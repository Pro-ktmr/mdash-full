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P:\教務委員会\2025年度議事等\数理データサイエンスAIプログラム教育認定制度\提出\桜花\再提出20250714\"/>
    </mc:Choice>
  </mc:AlternateContent>
  <bookViews>
    <workbookView xWindow="0" yWindow="0" windowWidth="24000" windowHeight="8385" tabRatio="885" firstSheet="1" activeTab="1"/>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教育の質・履修者数を向上させるための体制・計画'!$A$1:$I$118</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49" i="41" s="1"/>
  <c r="D33" i="40"/>
  <c r="S32" i="40"/>
  <c r="S31" i="40"/>
  <c r="S30" i="40"/>
  <c r="S29" i="40"/>
  <c r="S28" i="40"/>
  <c r="S27" i="40"/>
  <c r="S26" i="40"/>
  <c r="S25" i="40"/>
  <c r="S24" i="40"/>
  <c r="S23" i="40"/>
  <c r="S22" i="40"/>
  <c r="S21" i="40"/>
  <c r="S20" i="40"/>
  <c r="S19" i="40"/>
  <c r="S18" i="40"/>
  <c r="S17" i="40"/>
  <c r="S16" i="40"/>
  <c r="S15" i="40"/>
  <c r="S14" i="40"/>
  <c r="R33" i="40" l="1"/>
  <c r="S33" i="40" s="1"/>
  <c r="C48" i="41" s="1"/>
</calcChain>
</file>

<file path=xl/sharedStrings.xml><?xml version="1.0" encoding="utf-8"?>
<sst xmlns="http://schemas.openxmlformats.org/spreadsheetml/2006/main" count="315" uniqueCount="190">
  <si>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</si>
  <si>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</si>
  <si>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</si>
  <si>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</si>
  <si>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</si>
  <si>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</si>
  <si>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</si>
  <si>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</si>
  <si>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</si>
  <si>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</si>
  <si>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</si>
  <si>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</si>
  <si>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</si>
  <si>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</si>
  <si>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</si>
  <si>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</si>
  <si>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</si>
  <si>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</si>
  <si>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</si>
  <si>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</si>
  <si>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</si>
  <si>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</si>
  <si>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</si>
  <si>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</si>
  <si>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</si>
  <si>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</si>
  <si>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</si>
  <si>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</si>
  <si>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</si>
  <si>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</si>
  <si>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</si>
  <si>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</si>
  <si>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</si>
  <si>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</si>
  <si>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</si>
  <si>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</si>
  <si>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</si>
  <si>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</si>
  <si>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</si>
  <si>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</si>
  <si>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</si>
  <si>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</si>
  <si>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</si>
  <si>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</si>
  <si>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</si>
  <si>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</si>
  <si>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</si>
  <si>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</si>
  <si>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</si>
  <si>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</si>
  <si>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</si>
  <si>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</si>
  <si>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</si>
  <si>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</si>
  <si>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</si>
  <si>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</si>
  <si>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</si>
  <si>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</si>
  <si>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</si>
  <si>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</si>
  <si>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</si>
  <si>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</si>
  <si>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</si>
  <si>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</si>
  <si>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</si>
  <si>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</si>
  <si>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</si>
  <si>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</si>
  <si>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</si>
  <si>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</si>
  <si>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</si>
  <si>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</si>
  <si>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</si>
  <si>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</si>
  <si>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</si>
  <si>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</si>
  <si>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</si>
  <si>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</si>
  <si>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</si>
  <si>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</si>
  <si>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</si>
  <si>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</si>
  <si>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</si>
  <si>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</si>
  <si>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</si>
  <si>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</si>
  <si>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</si>
  <si>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</si>
  <si>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</si>
  <si>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</si>
  <si>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</si>
  <si>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</si>
  <si>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</si>
  <si>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</si>
  <si>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</si>
  <si>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</si>
  <si>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</si>
  <si>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</si>
  <si>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</si>
  <si>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</si>
  <si>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</si>
  <si>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</si>
  <si>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</si>
  <si>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</si>
  <si>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</si>
  <si>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</si>
  <si>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</si>
  <si>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</si>
  <si>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</si>
  <si>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</si>
  <si>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</si>
  <si>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</si>
  <si>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</si>
  <si>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</si>
  <si>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</si>
  <si>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</si>
  <si>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</si>
  <si>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</si>
  <si>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</si>
  <si>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</si>
  <si>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</si>
  <si>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</si>
  <si>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</si>
  <si>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</si>
  <si>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</si>
  <si>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</si>
  <si>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</si>
  <si>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</si>
  <si>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</si>
  <si>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</si>
  <si>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</si>
  <si>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</si>
  <si>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</si>
  <si>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</si>
  <si>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</si>
  <si>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</si>
  <si>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</si>
  <si>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</si>
  <si>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</si>
  <si>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</si>
  <si>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</si>
  <si>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</si>
  <si>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</si>
  <si>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桜花学園大学</t>
    <phoneticPr fontId="1"/>
  </si>
  <si>
    <t>桜花学園大学数理・データサイエンス・AI 教育プログラム（リテラシーレベル）</t>
    <phoneticPr fontId="1"/>
  </si>
  <si>
    <t>学部・学科によって、修了要件は相違しない</t>
  </si>
  <si>
    <t>統計学</t>
    <phoneticPr fontId="1"/>
  </si>
  <si>
    <t>社会調査法</t>
    <phoneticPr fontId="1"/>
  </si>
  <si>
    <t>情報社会論</t>
    <phoneticPr fontId="1"/>
  </si>
  <si>
    <t>○</t>
  </si>
  <si>
    <t>4-1統計および数理基礎</t>
  </si>
  <si>
    <t>4‐8データ活用実践（教師あり学習）</t>
  </si>
  <si>
    <t>4‐9データ活用実践（教師なし学習）</t>
  </si>
  <si>
    <t>「統計学」
【データを起点としたものの見方】統計学についての概要、データの種類（尺度水準）（1回目）
【ビッグデータ】回帰分析（重回帰分析）と講義全体の振り返り（14回目）
「社会調査法」
【ビッグデータ、AI、人間の知的活動とAIの関係性、データを起点としたものの見方、人間の知的活動を起点としたものの見方】社会調査の目的（1回目）
【人間の知的活動とAIの関係性、データを起点としたものの見方、人間の知的活動を起点としたものの見方】社会調査の意義・歴史・課題（2回目）
「情報社会論」
【AI、Iot、ビッグデータ、Society5.0、データを起点としたものの見方】情報化社会とは（1回目）
【AI、Iot、ビッグデータ、Society5.0、データを起点としたものの見方】情報社会の発展（8回目）
【AI、Iot、ビッグデータ、Society5.0、データを起点としたものの見方】成熟する情報社会（9回目）
【AI、Iot、ビッグデータ、Society5.0、データを起点としたものの見方】情報社会における社会情報システム（10回目）
【AI、Iot、ビッグデータ、Society5.0、データを起点としたものの見方】情報社会と生活（11回目）</t>
    <phoneticPr fontId="1"/>
  </si>
  <si>
    <t>「統計学」
【AI等を活用した新しいビジネスモデル】統計学についての概要、データの種類（尺度水準）（1回目）
【AI最新技術の活用例】回帰分析（重回帰分析）と講義全体の振り返り（14回目）
「社会調査法」
【AI等を活用した新しいビジネスモデル（シェアリングエコノミー、レコメンデーションなど）、AI最新技術の活用例】社会調査の目的（1回目）
【AI等を活用した新しいビジネスモデル（シェアリングエコノミー、レコメンデーションなど）】社会調査の意義・歴史・課題（2回目）
「情報社会論」
【ＡＩ最新技術の活用例】情報化社会とは（1回目）
【ＡＩ最新技術の活用例】成熟する情報社会（9回目）
【ＡＩ最新技術の活用例】情報社会における社会情報システム（10回目）
【ＡＩ最新技術の活用例】情報社会と生活（11回目）</t>
    <phoneticPr fontId="1"/>
  </si>
  <si>
    <t>「統計学」
【調査データ、実験データ、人の行動ログデータ】統計学についての概要、データの種類（尺度水準）（1回目）
【構造化データ】回帰分析（重回帰分析）と講義全体の振り返り（14回目）
「社会調査法」
【調査データ、1次データ、2次データ、データ作成】社会調査の目的（1回目）
【調査データ、1次データ、2次データ、データ作成】社会調査の意義・歴史・課題（2回目）
「情報社会論」
【調査データ、ビッグデータ、オープンデータ】情報化社会とは（1回目）
【調査データ、ビッグデータ、オープンデータ】成熟する情報社会（9回目）
【調査データ、ビッグデータ、オープンデータ】情報社会における社会情報システム（10回目）
【調査データ、ビッグデータ、オープンデータ】情報社会と生活（11回目）</t>
    <phoneticPr fontId="1"/>
  </si>
  <si>
    <t>「統計学」
【データ・AI活用領域の広がり】統計学についての概要、データの種類（尺度水準）（1回目）
【仮説検証、原因究明、判断支援】統計的仮説検定の考え方、１つの平均値の検定（9回目）
【販売、マーケティング、サービスなど】回帰分析（重回帰分析）と講義全体の振り返り（14回目）
「社会調査法」
【データ・AI活用領域の広がり（生産、消費、文化活動など）、研究開発、マーケティング、仮説検証、知識発見、原因究明、計画策定】社会調査の目的（1回目）
【データ・AI活用領域の広がり（生産、消費、文化活動など）、研究開発、マーケティング、仮説検証、知識発見、原因究明、計画策定】社会調査の意義・歴史・課題（2回目）
「情報社会論」
【ＡＩ活用領域の拡大、研究開発、調達、製造、物流、販売】情報化社会とは（1回目）
【ＡＩ活用領域の拡大、研究開発、調達、製造、物流、販売】情報メディアとその変遷(2)　映像・電気・電波メディア（3回目）
【ＡＩ活用領域の拡大、研究開発、調達、製造、物流、販売】情報メディアとその変遷(3)　デジタルメディア（4回目）
【ＡＩ活用領域の拡大、研究開発、調達、製造、物流、販売】成熟する情報社会（9回目）
【ＡＩ活用領域の拡大、研究開発、調達、製造、物流、販売】情報社会における社会情報システム（10回目）</t>
    <phoneticPr fontId="1"/>
  </si>
  <si>
    <t>「統計学」
【結果の共有・伝達】統計学についての概要、データの種類（尺度水準）（1回目）
【データ解析と推論】統計的仮説検定の考え方、１つの平均値の検定（9回目）
【データ解析と推論】回帰分析（重回帰分析）と講義全体の振り返り（14回目）
「社会調査法」
【課題抽出と定式化、データの取得・管理・加工、データ解析と推論、結果の共有・伝達、課題解決に向けた提案】社会調査の目的（1回目）
【課題抽出と定式化、データの取得・管理・加工、結果の共有・伝達、課題解決に向けた提案】社会調査の意義・歴史・課題（2回目）
「情報社会論」
【データサイエンスのサイクル、課題抽出、データ解析と推論】情報化社会とは（1回目）
【データサイエンスのサイクル、課題抽出、データ解析と推論】情報メディアとその変遷(3)　デジタルメディア（4回目）
【データサイエンスのサイクル、課題抽出、データ解析と推論】成熟する情報社会（9回目）
【データサイエンスのサイクル、課題抽出、データ解析と推論】情報社会における社会情報システム（10回目）
【データサイエンスのサイクル、課題抽出、データ解析と推論】情報社会と生活（11回目）</t>
    <phoneticPr fontId="1"/>
  </si>
  <si>
    <t>「統計学」
【情報セキュリティの3要素】統計学についての概要、データの種類（尺度水準）（1回目）
【匿名加工情報】回帰分析（重回帰分析）と講義全体の振り返り（14回目）
「社会調査法」
【情報セキュリティの3要素、情報漏洩、セキュリティ事故の事例紹介】社会調査の意義・歴史・課題（2回目）
【情報セキュリティの3要素、情報漏洩、セキュリティ事故の事例紹介】質問紙調査票を作成する（10回目）
【情報セキュリティの3要素、情報漏洩、セキュリティ事故の事例紹介】観察調査の実践（フィールドワーク、参与観察、行動観察など）（12回目）
【情報セキュリティの3要素、情報漏洩、セキュリティ事故の事例紹介】インタビュー調査の技法（アポイントメントの取り方、質問の仕方、インタビューの練習）（13回目）
【情報セキュリティの3要素、情報漏洩、セキュリティ事故の事例紹介】リサーチ・リテラシーを身につけるためには（15回目）
「情報社会論」
【情報セキュリティの3要素、暗号化、パスワード、情報漏洩、セキュリティ事故の事例紹介】コンピュータ社会とネットワーク社会（6回目）
【情報セキュリティの3要素、暗号化、パスワード、情報漏洩、セキュリティ事故の事例紹介】コンピュータ社会からデジタルネットワーク社会へ（7回目）
【情報セキュリティの3要素、暗号化、パスワード、情報漏洩、セキュリティ事故の事例紹介】情報社会と情報公開（12回目）
【情報セキュリティの3要素、暗号化、パスワード、情報漏洩、セキュリティ事故の事例紹介】情報社会と情報財産（13回目）
【情報セキュリティの3要素、暗号化、パスワード、情報漏洩、セキュリティ事故の事例紹介】情報社会と情報保護（14回目）
【情報セキュリティの3要素、暗号化、パスワード、情報漏洩、セキュリティ事故の事例紹介】情報社会と犯罪・倫理（15回目）</t>
    <phoneticPr fontId="1"/>
  </si>
  <si>
    <t>「統計学」
【データの種類】統計学についての概要、データの種類（尺度水準）（1回目）
【データの分布】度数分布表、ヒストグラム（2回目）
【データの分布、代表値の性質の違い、データのばらつき】代表値、散布度（3回目）
【母集団と標本抽出】母集団と標本、正規分布（5回目）
【母集団と標本抽出」標準化（6回目）
【母集団と標本抽出、観測データに含まれる誤差の扱い】母集団の推定、不偏推定量（7回目）
【母集団と標本抽出」区間推定（8回目）
【母集団と標本抽出】統計的仮説検定の考え方、１つの平均値の検定（9回目）
【母集団と標本抽出】２つの平均値の検定（t検定）（10回目）
【母集団と標本抽出】３つ以上の平均値の検定（分散分析）（11回目）
【相関と因果】相関（２変数の関係）（12回目）
「社会調査法」
【データの種類（量的変数、質的変数）、相関と因果（相関係数、擬似相関、交絡）、母集団と標本抽出】社会調査の手順②：仮説を構築し、調査方法を決定する（4回目）
【データの種類（量的変数、質的変数）、データの分布（ヒストグラム）と代表値（平均値、中央値、最頻値）、代表値の性質の違い、データのばらつき（分散、標準偏差、偏差値）、観測データに含まれる誤差の扱い、相関と因果（相関係数、擬似相関、交絡）、母集団と標本抽出】社会調査の手順③：収集データを分析する（5回目）
【データの種類（量的変数、質的変数）、データの分布（ヒストグラム）と代表値（平均値、中央値、最頻値）、代表値の性質の違い、データのばらつき（分散、標準偏差、偏差値）、観測データに含まれる誤差の扱い、相関と因果（相関係数、擬似相関、交絡）】社会調査の手順④：分析結果の解釈と調査結果の作成（6回目）
【データの種類（量的変数、質的変数）、観測データに含まれる誤差の扱い、相関と因果（相関係数、擬似相関、交絡）、母集団と標本抽出】因果関係と相関関係（7回目）
【データの種類（量的変数、質的変数）、データの分布（ヒストグラム）と代表値（平均値、中央値、最頻値）、代表値の性質の違い、データのばらつき（分散、標準偏差、偏差値）、観測データに含まれる誤差の扱い、相関と因果（相関係数、擬似相関、交絡）、母集団と標本抽出】統計データをもとにさまざまな分析をおこなう（e-Statを使用）（8回目）
「情報社会論」
【データの種類、データの分布、データのバラツキ、相関と因果、統計情報の正しい理解】情報の取得・加工・利用（5回目）</t>
    <phoneticPr fontId="1"/>
  </si>
  <si>
    <t>「統計学」
【データ表現、不適切なグラフ表現】表やグラフの種類とその特徴（4回目）
【データの比較】統計的仮説検定の考え方、１つの平均値の検定（9回目）
【データの比較】２つの平均値の検定（t検定）（10回目）
【データの比較】３つ以上の平均値の検定（分散分析）（11回目）
【データ表現】回帰分析（単回帰分析）（13回目）
【データ表現】回帰分析（重回帰分析）と講義全体の振り返り（14回目）
「社会調査法」
【データ表現（棒グラフ、折線グラフ、散布図、ヒートマップ）、データの比較、不適切なグラフ表現】統計データをもとにさまざまな分析をおこなう（e-Statを使用）（8回目）
【データ表現（棒グラフ、折線グラフ、散布図、ヒートマップ）、データの比較、不適切なグラフ表現】データ入力とさまざまな統計分析をおこなう（Excelでのクロス集計、グラフの作成）（11回目）
【データ表現（棒グラフ、折線グラフ、散布図、ヒートマップ）、データの比較、不適切なグラフ表現】レポート・論文の書き方（14回目）
「情報社会論」
【データ表現、データの比較、優れた可視化事例の紹介】情報の取得・加工・利用（5回目）</t>
    <phoneticPr fontId="1"/>
  </si>
  <si>
    <t>「統計学」
【データ解析ツール】２つの平均値の検定（t検定）（10回目）
【データ解析ツール】３つ以上の平均値の検定（分散分析）（11回目）
【データ解析ツール】相関（２変数の関係）（12回目）
【データ解析ツール】回帰分析（単回帰分析）（13回目）
【データ解析ツール】回帰分析（重回帰分析）と講義全体の振り返り（14回目）
「社会調査法」
【データの集計（和、平均）、データの並び替え、ランキング、データ解析ツール、表形式のデータ（csv）】統計データをもとにさまざまな分析をおこなう（e-Statを使用）（8回目）
【データの集計（和、平均）、データの並び替え、ランキング、データ解析ツール】量的データ収集の方法――サンプリング（単純無作為抽出、層化抽出、多段抽出など）（9回目）
【データの集計（和、平均）、データの並び替え、ランキング、データ解析ツール】データ入力とさまざまな統計分析をおこなう（Excelでのクロス集計、グラフの作成）（11回目）
「情報社会論」
【データの集計、ランキング、スプレッドシート、表形式のデータ（csv）】情報の取得・加工・利用（5回目）</t>
    <phoneticPr fontId="1"/>
  </si>
  <si>
    <t xml:space="preserve">課題や目的に応じて、数理・データサイエンス・AIの基礎的な知識を基に情報を収集・分析し、人間や社会への深い洞察力と情報モラル・情報セキュリティの理解をもって、課題を解決するために自己の見解を適切に発信・伝達できる実践的な能力を身につける。
</t>
    <phoneticPr fontId="1"/>
  </si>
  <si>
    <t>令和６</t>
    <phoneticPr fontId="1"/>
  </si>
  <si>
    <t>保育学部</t>
    <phoneticPr fontId="1"/>
  </si>
  <si>
    <t>学芸学部</t>
    <phoneticPr fontId="1"/>
  </si>
  <si>
    <t>上村　晶</t>
    <phoneticPr fontId="1"/>
  </si>
  <si>
    <t>共通教育委員長</t>
    <phoneticPr fontId="1"/>
  </si>
  <si>
    <t>桜花学園大学共通教育委員会、桜花学園大学合同教務委員会、桜花学園大学FD委員会</t>
    <phoneticPr fontId="1"/>
  </si>
  <si>
    <t>共通教育委員会は、桜花学園大学の共通教育に係わる教育課程および授業に関する事項を審議し、必要な連絡調整を行う。
桜花学園大学合同教務委員会は、教育課程、授業、定期試験、成績評価、単位認定、資格授与、学籍、時間割編成、その他教務に関する必要事項を審議し、必要な連絡調整をおこなう。
桜花学園大学FD委員会は、ＦＤのための基本方針の策定、ＦＤのための研修会等の開催、その他ＦＤに関する事項、FD活動についての自己点検・評価を取り扱う。
これらの組織は協働して数理・データサイエンス・AI教育の円滑な実施および教育内容の確認と教育効果の質向上を図る。</t>
    <phoneticPr fontId="1"/>
  </si>
  <si>
    <t>全学の共通教育科目に配置し、選択必修科目として全学部の卒業要件に定めている。時間割上も同一の曜日時限に設定することで、全学生を対象に公正・効率的な授業運営を可能としている。</t>
    <phoneticPr fontId="1"/>
  </si>
  <si>
    <t>新入生へ配布する『Campus Life Guide』に教育課程の構成について記載している。また、新入生オリエンテーションにおいて、共通教育委員長より全新入生へ共通教育科目及び各領域の内容や学修目標、卒業までの学修の道程における学修構成等を説明している。さらに、毎学期の履修ガイダンスにおいて卒業要件等を説明し、各自の履修科目を確認させている。</t>
    <phoneticPr fontId="1"/>
  </si>
  <si>
    <t>本学では入学時にパソコンを必携とし、大学から全学生にMicrosoft　Office365を提供して授業における情報通信技術の利活用を推進している。 オンデマンドによる学修や同時双方向型オンライン学修、LMSの活用への資料掲載等により、学生各自が反復学習可能となるよう、授業担当者へ当該システムの活用を推奨している。また、「遠隔授業個人申請の手順」を整備し、実習や障害等により通学が困難な学生にも面接授業と同等の学修環境を用意できる体制を整えている。</t>
    <phoneticPr fontId="1"/>
  </si>
  <si>
    <t>学修のための資料をアーカイブすることで学生各自が反復学習可能となるよう授業担当者へLMSの活用を推奨している。また、オフィスアワーや授業担当者との連絡方法を公開し、授業時間内外で学修指導、質問を受け付ける仕組みを用意している。さらに、本学に附置する情報総合センターに専任者を置き、開局時間は学生からの質問等を受け付ける体制を整えている。</t>
    <phoneticPr fontId="1"/>
  </si>
  <si>
    <t>学務部教務課にて本プログラムの履修・修得状況を管理するとともに、同データは桜花学園大学共通教育委員会、桜花学園大学合同教務委員会にて評価・改善のための資料として活用している。</t>
    <phoneticPr fontId="1"/>
  </si>
  <si>
    <t>学務部教務課が実施する授業アンケートにおいて、到達目標の達成度、身についたと感じる学修成果を把握することができる。また、桜花学園大学合同教務委員会が実施するアセスメント活動において、成績評価の割合を把握することができる。これらのデータは桜花学園大学共通教育委員会、桜花学園大学合同教務委員会、桜花学園大学FD委員会にて評価・改善のための資料として活用している。</t>
    <phoneticPr fontId="1"/>
  </si>
  <si>
    <t>学務部教務課が実施する授業アンケートにおいて、授業内容の理解度、ルーブリックの理解度を把握することができる。同データは桜花学園大学共通教育委員会、桜花学園大学合同教務委員会、桜花学園大学FD委員会にて評価・改善のための資料として活用している。また、授業担当者は授業計画において小テストや課題を設定し、学生個々の理解度を把握し、授業運営の改善に役立てている。</t>
    <phoneticPr fontId="1"/>
  </si>
  <si>
    <t>本学は、当該プログラムを構成する科目を全学の共通教育科目に配置し、選択必修科目として全学部の卒業要件に定めているため、配当対象学年において履修率は高いが、次年度は、全授業を対象として実施している学期末授業アンケートの前年度授業アンケート結果を含めたHPにおける当該プログラムの公開、新入生オリエンテーションや履修ガイダンスにおける当該プログラムの説明の強化を行い、数理・データサイエンス・AIに係る関心や学ぶことの意義への理解を促進する取り組みを行う。</t>
    <phoneticPr fontId="1"/>
  </si>
  <si>
    <t>本学は、当該プログラムを構成する科目を全学の共通教育科目に配置し、選択必修科目として全学部の卒業要件に定めているため、履修率は高いが、周知機会を増やして学生の関心を高めるため、新入生へ配布する『Campus Life Guide』やシラバスにおいて数理・データサイエンス・AI教育プログラムのリテラシーレベルに該当する科目であることを記載することを検討、また、新入生オリエンテーションや履修ガイダンスにおいて、各学科教務委員等より当該プログラムを説明する機会の拡充を図る。さらに、シラバス作成依頼時や非常勤講師打合せ会において当該プログラムを授業担当者へ説明し、できる限り多くの学生が履修・修得できるよう、LMS等の活用を強化するよう推奨する。自己点検・評価活動や関心・理解を促進する取り組みを踏まえ、内容・水準の維持・向上、学修意欲の喚起に資する教育活動を継続する。</t>
    <rPh sb="63" eb="64">
      <t>タカ</t>
    </rPh>
    <rPh sb="174" eb="176">
      <t>ケントウ</t>
    </rPh>
    <phoneticPr fontId="1"/>
  </si>
  <si>
    <t>学務部学生課では、卒業年次生に対し、進路・就職状況アンケートを行うとともに、卒業後1年が経過した卒業生にアンケート調査を実施している。これらにより、今後、当該プログラム修了者の進路、活躍状況等を把握することが可能である。また、正課に配置する学外実習（インターンシップ、教育実習、等）実施時の教員による巡回指導、連携協定を結ぶ自治体との協働活動、大学評価委員会が定期開催する外部評価において、当該プログラム修了者の活躍状況や学外からの評価を収集する。</t>
    <phoneticPr fontId="1"/>
  </si>
  <si>
    <t>正課に配置する学外実習（インターンシップ、教育実習、等）実施時の教員による巡回指導、連携協定を結ぶ自治体との協働活動、大学評価委員会が定期開催する外部評価において、当該プログラムへの意見を収集する。修了者の活躍状況を含めた学外からの意見は共通教育委員会において集約し、当該プログラムの改善・向上に活用する。</t>
    <phoneticPr fontId="1"/>
  </si>
  <si>
    <t>各授業において、数理・データサイエンス・AIが実社会でどのように利活用されているか、題材は身近なテーマを取り上げ、学生の実体験に即した経験として捉えることができ、学ぶ楽しさや学ぶことの意義を理解するように促している。また、資料配布やＬＭＳを活用したフィードバック等、授業外に行うべき学修活動（準備学修・事後学修）を促進する取組を授業担当者へ奨励している。これらの取組は、学務部教務課が実施する授業アンケートにおいて学修行動（予復習や自主学習への取り組みも含めこの授業に意欲的・積極的に取り組んだか、関連する内容により興味を持ちさらに学びたいと感じたか）として把握し、授業運営の改善に役立てている。</t>
    <phoneticPr fontId="1"/>
  </si>
  <si>
    <t>学務部教務課が実施する授業アンケートにおいて、「分かりやすさ」（教員の話し方や説明は分かりやすかったか、教材の使い方は適切だったか、質問ができるような機会や工夫があったか）や授業内容の理解度を測り、授業担当者への反省材料とするとともに、同データは桜花学園大学共通教育委員会、桜花学園大学合同教務委員会、桜花学園大学FD委員会にて評価・改善のための資料として活用している。また、授業担当者は授業計画において小テストや課題を設定し、学生個々の理解度を把握したり、フィードバックや解説を行うことで学生の理解を促進する工夫をしている。</t>
    <phoneticPr fontId="1"/>
  </si>
  <si>
    <t>全学の共通教育科目に配置し、選択必修科目として全学部の卒業要件に定めているため、配当対象学年において履修率は高い。年度進行に伴い、当プログラムの履修率は100％になる。一部の学部のみ、教育課程における当該科目群の卒業要件が異なるが、今後、履修率の向上を目指して当該学部の卒業要件を検討する。また、新入生オリエンテーションや履修ガイダンスにおいて説明を強化すること、新入生へ配布する『Campus Life Guide』やシラバスにおいて数理・データサイエンス・AI教育プログラムのリテラシーレベルに該当する科目であることを記載することを検討し、周知機会を増やして学生の関心を高めることを図る。</t>
    <phoneticPr fontId="1"/>
  </si>
  <si>
    <t>「統計学」
【データ可視化】統計学についての概要、データの種類（尺度水準）（1回目）
【データ可視化】度数分布表、ヒストグラム（2回目）
【関係性の可視化】相関（２変数の関係）（12回目）
【データ解析】回帰分析（重回帰分析）と講義全体の振り返り（14回目）
「社会調査法」
【データ解析、パターン発見、データ可視化、非構造化データ処理、AIとビッグデータ】社会調査の目的（1回目）
【データ解析、データ可視化、非構造化データ処理、AIでできることとできないこと、AIとビッグデータ】社会調査の意義・歴史・課題（2回目）
【データ解析、データ可視化、特化型AIと汎用AI、今のAIでできることとできないこと、AIとビッグデータ、生成AIの活用】社会調査の手順①：問題意識をもち、調査テーマを決定する（3回目）
【データ解析、データ可視化、特化型AIと汎用AI、今のAIでできることとできないこと、AIとビッグデータ、生成AIの活用】社会調査の手順②：仮説を構築し、調査方法を決定する（4回目）
「情報社会論」
【データの解析・可視化、ＡＩとビッグデータ、自動化技術】情報化社会とは（1回目）
【データの解析・可視化、ＡＩとビッグデータ、自動化技術】情報メディアとその変遷(3)　デジタルメディア（4回目）
【データの解析・可視化、ＡＩとビッグデータ、自動化技術】成熟する情報社会（9回目）
【データの解析・可視化、ＡＩとビッグデータ、自動化技術】情報社会における社会情報システム（10回目）</t>
    <phoneticPr fontId="1"/>
  </si>
  <si>
    <t>「統計学」
【データ倫理】統計学についての概要、データの種類（尺度水準）（1回目）
【データ・AI活用における負の事例紹介】統計学についての概要、データの種類（尺度水準）（1回目）
「社会調査法」
【個人情報保護、データ倫理、データ・ＡＩ活用における負の事例紹介】社会調査の意義・歴史・課題（2回目）
【個人情報保護、データ倫理、データバイアス】質問紙調査票を作成する（10回目）
【個人情報保護、データ倫理、データバイアス】観察調査の実践（フィールドワーク、参与観察、行動観察など）（12回目）
【個人情報保護、データ倫理、データバイアス】インタビュー調査の技法（アポイントメントの取り方、質問の仕方、インタビューの練習）（13回目）
【データ・AIを利活用する上で知っておくべきこと】リサーチ・リテラシーを身につけるためには（15回目）
「情報社会論」
【個人情報保護、データ倫理、データ・ＡＩ活用における負の事例紹介】コンピュータ社会とネットワーク社会（6回目）
【個人情報保護、データ倫理、データ・ＡＩ活用における負の事例紹介】コンピュータ社会からデジタルネットワーク社会へ（7回目）
【個人情報保護、データ倫理、データ・ＡＩ活用における負の事例紹介】情報社会と情報公開（12回目）
【個人情報保護、データ倫理、データ・ＡＩ活用における負の事例紹介】情報社会と情報財産（13回目）
【個人情報保護、データ倫理、データ・ＡＩ活用における負の事例紹介】情報社会と情報保護（14回目）
【個人情報保護、データ倫理、データ・ＡＩ活用における負の事例紹介】情報社会と犯罪・倫理（15回目）</t>
    <phoneticPr fontId="1"/>
  </si>
  <si>
    <t>プログラムを構成する次の3科目6単位（共通教育科目‐基礎科目‐数量的スキル情報リテラシー関係）から、2単位以上取得すること。　
選択科目：統計学、社会調査法、情報社会論</t>
    <rPh sb="16" eb="18">
      <t>タンイ</t>
    </rPh>
    <phoneticPr fontId="1"/>
  </si>
  <si>
    <t>国際学部</t>
    <rPh sb="0" eb="2">
      <t>コクサイ</t>
    </rPh>
    <rPh sb="2" eb="4">
      <t>ガクブ</t>
    </rPh>
    <phoneticPr fontId="1"/>
  </si>
  <si>
    <r>
      <t>桜花学園大学共通教育委員会規程、</t>
    </r>
    <r>
      <rPr>
        <sz val="12"/>
        <color theme="1"/>
        <rFont val="ＭＳ Ｐゴシック"/>
        <family val="3"/>
        <charset val="128"/>
        <scheme val="minor"/>
      </rPr>
      <t>桜花学園大学保育学部教務委員会規程、桜花学園大学国際学部教務委員会規程、桜花学園大学FD委員会規程、桜花学園大学保育学部FD委員会規程、桜花学園大学国際学部FD委員会規程</t>
    </r>
    <rPh sb="16" eb="33">
      <t>オウカガクエンダイガクホイクガクブキョウムイインカイキテイ</t>
    </rPh>
    <rPh sb="40" eb="42">
      <t>コクサイ</t>
    </rPh>
    <rPh sb="72" eb="76">
      <t>ホイクガクブ</t>
    </rPh>
    <rPh sb="90" eb="94">
      <t>コクサイガクブ</t>
    </rPh>
    <phoneticPr fontId="1"/>
  </si>
  <si>
    <t>共通教育委員会：上村晶（共通教育委員長・保育学部教授）、辻岡和代（教務委員・保育学部教授）、内田将平（教務委員・保育学部助教）、森山雅子（教務委員・保育学部准教授）、布和（教務委員・国際学部（学芸学部）教授）、上野佳苗（教務課職員）、木口宜彦（教務課職員）
桜花学園大学合同教務委員会：上村晶（教務部長・保育学部教授）、辻岡和代（教務委員・保育学部教授）、内田将平（教務委員・保育学部助教）、森山雅子（教務委員・保育学部准教授）、布和（教務委員・国際学部（学芸学部）教授）、中川千加子（教務課長）
桜花学園大学FD委員会：森川拓也（FD委員長・保育学部准教授）、松永康史（保育学部准教授）、木村達志（保育学部教授）、布和（国際学部（学芸学部）教授）、上村晶（教務部長・保育学部教授）、中川千加子（教務課長）</t>
    <rPh sb="91" eb="93">
      <t>コクサイ</t>
    </rPh>
    <rPh sb="93" eb="95">
      <t>ガクブ</t>
    </rPh>
    <rPh sb="224" eb="226">
      <t>コクサイ</t>
    </rPh>
    <rPh sb="226" eb="228">
      <t>ガクブ</t>
    </rPh>
    <rPh sb="313" eb="315">
      <t>コクサイ</t>
    </rPh>
    <rPh sb="318" eb="322">
      <t>ガクゲイガクブ</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</si>
</sst>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hair">
        <color auto="1"/>
      </left>
      <right style="thin">
        <color auto="1"/>
      </right>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7"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7" xfId="0" applyFont="1" applyBorder="1" applyAlignment="1">
      <alignment horizontal="left" vertical="center" shrinkToFit="1"/>
    </xf>
    <xf numFmtId="38" fontId="2" fillId="0" borderId="47"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8" fontId="2" fillId="0" borderId="48" xfId="2" applyFont="1" applyBorder="1" applyAlignment="1">
      <alignment vertical="center" shrinkToFit="1"/>
    </xf>
    <xf numFmtId="38" fontId="2" fillId="0" borderId="28" xfId="2" applyFont="1" applyBorder="1" applyAlignment="1">
      <alignment vertical="center" shrinkToFit="1"/>
    </xf>
    <xf numFmtId="38" fontId="2" fillId="0" borderId="15" xfId="2" applyFont="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top" wrapText="1" shrinkToFit="1"/>
    </xf>
    <xf numFmtId="0" fontId="2" fillId="0" borderId="3" xfId="0" applyFont="1" applyBorder="1" applyAlignment="1">
      <alignment vertical="top" wrapText="1" shrinkToFit="1"/>
    </xf>
    <xf numFmtId="0" fontId="2" fillId="0" borderId="4" xfId="0" applyFont="1" applyBorder="1" applyAlignment="1">
      <alignment vertical="top"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49" fontId="3" fillId="0" borderId="32" xfId="0" applyNumberFormat="1" applyFont="1" applyBorder="1" applyAlignment="1">
      <alignment horizontal="left" vertical="top" wrapText="1"/>
    </xf>
    <xf numFmtId="49" fontId="3" fillId="0" borderId="33" xfId="0" applyNumberFormat="1" applyFont="1" applyBorder="1" applyAlignment="1">
      <alignment horizontal="left" vertical="top"/>
    </xf>
    <xf numFmtId="49" fontId="3" fillId="0" borderId="34" xfId="0" applyNumberFormat="1" applyFont="1" applyBorder="1" applyAlignment="1">
      <alignment horizontal="left" vertical="top"/>
    </xf>
    <xf numFmtId="49" fontId="3" fillId="0" borderId="29" xfId="0" applyNumberFormat="1" applyFont="1" applyBorder="1" applyAlignment="1">
      <alignment horizontal="left" vertical="top" wrapText="1"/>
    </xf>
    <xf numFmtId="49" fontId="3" fillId="0" borderId="31" xfId="0" applyNumberFormat="1" applyFont="1" applyBorder="1" applyAlignment="1">
      <alignment horizontal="left" vertical="top"/>
    </xf>
    <xf numFmtId="49" fontId="3" fillId="0" borderId="30" xfId="0" applyNumberFormat="1" applyFont="1" applyBorder="1" applyAlignment="1">
      <alignment horizontal="left" vertical="top"/>
    </xf>
    <xf numFmtId="49" fontId="3" fillId="0" borderId="18" xfId="0" applyNumberFormat="1" applyFont="1" applyBorder="1" applyAlignment="1">
      <alignment horizontal="left" vertical="top" wrapText="1"/>
    </xf>
    <xf numFmtId="49" fontId="3" fillId="0" borderId="19" xfId="0" applyNumberFormat="1" applyFont="1" applyBorder="1" applyAlignment="1">
      <alignment horizontal="left" vertical="top"/>
    </xf>
    <xf numFmtId="49" fontId="3" fillId="0" borderId="17" xfId="0" applyNumberFormat="1" applyFont="1" applyBorder="1" applyAlignment="1">
      <alignment horizontal="left" vertical="top"/>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6"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7"/>
  <sheetViews>
    <sheetView showZeros="0" view="pageBreakPreview" topLeftCell="A7" zoomScaleNormal="100" zoomScaleSheetLayoutView="100" workbookViewId="0">
      <selection activeCell="B15" sqref="B15:U20"/>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8" t="s">
        <v>12</v>
      </c>
      <c r="U1" s="128"/>
      <c r="V1" s="2" t="s">
        <v>94</v>
      </c>
    </row>
    <row r="2" spans="1:24" ht="18.75" customHeight="1" x14ac:dyDescent="0.15">
      <c r="B2" s="17" t="s">
        <v>93</v>
      </c>
      <c r="C2" s="98" t="s">
        <v>143</v>
      </c>
      <c r="D2" s="99"/>
      <c r="E2" s="99"/>
      <c r="F2" s="99"/>
      <c r="G2" s="99"/>
      <c r="H2" s="99"/>
      <c r="I2" s="99"/>
      <c r="J2" s="100"/>
      <c r="K2" s="18"/>
      <c r="L2" s="6"/>
      <c r="M2" s="6"/>
      <c r="N2" s="6"/>
      <c r="O2" s="6"/>
      <c r="P2" s="6"/>
      <c r="Q2" s="6"/>
      <c r="R2" s="6"/>
      <c r="S2" s="6"/>
      <c r="T2" s="6"/>
      <c r="U2" s="6"/>
    </row>
    <row r="3" spans="1:24" ht="18.75" customHeight="1" x14ac:dyDescent="0.15">
      <c r="B3" s="17" t="s">
        <v>88</v>
      </c>
      <c r="C3" s="129" t="s">
        <v>144</v>
      </c>
      <c r="D3" s="130"/>
      <c r="E3" s="130"/>
      <c r="F3" s="130"/>
      <c r="G3" s="130"/>
      <c r="H3" s="130"/>
      <c r="I3" s="130"/>
      <c r="J3" s="131"/>
      <c r="K3" s="18"/>
      <c r="L3" s="6"/>
      <c r="M3" s="6"/>
      <c r="N3" s="6"/>
      <c r="O3" s="6"/>
      <c r="P3" s="6"/>
      <c r="Q3" s="6"/>
      <c r="R3" s="6"/>
      <c r="S3" s="6"/>
      <c r="T3" s="6"/>
      <c r="U3" s="6"/>
    </row>
    <row r="4" spans="1:24" ht="15" customHeight="1" x14ac:dyDescent="0.15">
      <c r="L4" s="18"/>
      <c r="M4" s="73"/>
      <c r="N4" s="73"/>
      <c r="O4" s="73"/>
      <c r="P4" s="73"/>
      <c r="Q4" s="73"/>
      <c r="R4" s="73"/>
      <c r="S4" s="73"/>
      <c r="T4" s="73"/>
      <c r="U4" s="73"/>
    </row>
    <row r="5" spans="1:24" ht="18" customHeight="1" x14ac:dyDescent="0.15">
      <c r="A5" s="109" t="s">
        <v>141</v>
      </c>
      <c r="B5" s="109"/>
      <c r="C5" s="109"/>
      <c r="D5" s="109"/>
      <c r="E5" s="109"/>
      <c r="F5" s="109"/>
      <c r="G5" s="109"/>
      <c r="H5" s="109"/>
      <c r="I5" s="109"/>
      <c r="J5" s="109"/>
      <c r="K5" s="109"/>
      <c r="L5" s="109"/>
      <c r="M5" s="109"/>
      <c r="N5" s="109"/>
      <c r="O5" s="109"/>
      <c r="P5" s="109"/>
      <c r="Q5" s="109"/>
      <c r="R5" s="109"/>
      <c r="S5" s="109"/>
      <c r="T5" s="109"/>
      <c r="U5" s="109"/>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144" t="s">
        <v>145</v>
      </c>
      <c r="M7" s="145"/>
      <c r="N7" s="145"/>
      <c r="O7" s="145"/>
      <c r="P7" s="145"/>
      <c r="Q7" s="145"/>
      <c r="R7" s="145"/>
      <c r="S7" s="145"/>
      <c r="T7" s="145"/>
      <c r="U7" s="146"/>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47"/>
      <c r="C11" s="148"/>
      <c r="D11" s="148"/>
      <c r="E11" s="148"/>
      <c r="F11" s="148"/>
      <c r="G11" s="148"/>
      <c r="H11" s="148"/>
      <c r="I11" s="148"/>
      <c r="J11" s="148"/>
      <c r="K11" s="148"/>
      <c r="L11" s="148"/>
      <c r="M11" s="148"/>
      <c r="N11" s="148"/>
      <c r="O11" s="148"/>
      <c r="P11" s="148"/>
      <c r="Q11" s="148"/>
      <c r="R11" s="148"/>
      <c r="S11" s="148"/>
      <c r="T11" s="148"/>
      <c r="U11" s="149"/>
    </row>
    <row r="12" spans="1:24" ht="18" customHeight="1" x14ac:dyDescent="0.15">
      <c r="B12" s="150"/>
      <c r="C12" s="151"/>
      <c r="D12" s="151"/>
      <c r="E12" s="151"/>
      <c r="F12" s="151"/>
      <c r="G12" s="151"/>
      <c r="H12" s="151"/>
      <c r="I12" s="151"/>
      <c r="J12" s="151"/>
      <c r="K12" s="151"/>
      <c r="L12" s="151"/>
      <c r="M12" s="151"/>
      <c r="N12" s="151"/>
      <c r="O12" s="151"/>
      <c r="P12" s="151"/>
      <c r="Q12" s="151"/>
      <c r="R12" s="151"/>
      <c r="S12" s="151"/>
      <c r="T12" s="151"/>
      <c r="U12" s="152"/>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4"/>
      <c r="M14" s="74"/>
      <c r="N14" s="74"/>
      <c r="O14" s="74"/>
      <c r="P14" s="74"/>
      <c r="Q14" s="74"/>
      <c r="R14" s="74"/>
      <c r="S14" s="74"/>
      <c r="T14" s="74"/>
      <c r="U14" s="74"/>
    </row>
    <row r="15" spans="1:24" ht="18" customHeight="1" x14ac:dyDescent="0.15">
      <c r="B15" s="110" t="s">
        <v>186</v>
      </c>
      <c r="C15" s="111"/>
      <c r="D15" s="111"/>
      <c r="E15" s="111"/>
      <c r="F15" s="111"/>
      <c r="G15" s="111"/>
      <c r="H15" s="111"/>
      <c r="I15" s="111"/>
      <c r="J15" s="111"/>
      <c r="K15" s="111"/>
      <c r="L15" s="111"/>
      <c r="M15" s="111"/>
      <c r="N15" s="111"/>
      <c r="O15" s="111"/>
      <c r="P15" s="111"/>
      <c r="Q15" s="111"/>
      <c r="R15" s="111"/>
      <c r="S15" s="111"/>
      <c r="T15" s="111"/>
      <c r="U15" s="112"/>
      <c r="X15" s="1" t="s">
        <v>89</v>
      </c>
    </row>
    <row r="16" spans="1:24" ht="18" customHeight="1" x14ac:dyDescent="0.15">
      <c r="B16" s="113"/>
      <c r="C16" s="114"/>
      <c r="D16" s="114"/>
      <c r="E16" s="114"/>
      <c r="F16" s="114"/>
      <c r="G16" s="114"/>
      <c r="H16" s="114"/>
      <c r="I16" s="114"/>
      <c r="J16" s="114"/>
      <c r="K16" s="114"/>
      <c r="L16" s="114"/>
      <c r="M16" s="114"/>
      <c r="N16" s="114"/>
      <c r="O16" s="114"/>
      <c r="P16" s="114"/>
      <c r="Q16" s="114"/>
      <c r="R16" s="114"/>
      <c r="S16" s="114"/>
      <c r="T16" s="114"/>
      <c r="U16" s="115"/>
      <c r="X16" s="1" t="s">
        <v>122</v>
      </c>
    </row>
    <row r="17" spans="1:24" ht="18" customHeight="1" x14ac:dyDescent="0.15">
      <c r="B17" s="113"/>
      <c r="C17" s="114"/>
      <c r="D17" s="114"/>
      <c r="E17" s="114"/>
      <c r="F17" s="114"/>
      <c r="G17" s="114"/>
      <c r="H17" s="114"/>
      <c r="I17" s="114"/>
      <c r="J17" s="114"/>
      <c r="K17" s="114"/>
      <c r="L17" s="114"/>
      <c r="M17" s="114"/>
      <c r="N17" s="114"/>
      <c r="O17" s="114"/>
      <c r="P17" s="114"/>
      <c r="Q17" s="114"/>
      <c r="R17" s="114"/>
      <c r="S17" s="114"/>
      <c r="T17" s="114"/>
      <c r="U17" s="115"/>
      <c r="X17" s="1" t="s">
        <v>123</v>
      </c>
    </row>
    <row r="18" spans="1:24" ht="18" customHeight="1" x14ac:dyDescent="0.15">
      <c r="B18" s="113"/>
      <c r="C18" s="114"/>
      <c r="D18" s="114"/>
      <c r="E18" s="114"/>
      <c r="F18" s="114"/>
      <c r="G18" s="114"/>
      <c r="H18" s="114"/>
      <c r="I18" s="114"/>
      <c r="J18" s="114"/>
      <c r="K18" s="114"/>
      <c r="L18" s="114"/>
      <c r="M18" s="114"/>
      <c r="N18" s="114"/>
      <c r="O18" s="114"/>
      <c r="P18" s="114"/>
      <c r="Q18" s="114"/>
      <c r="R18" s="114"/>
      <c r="S18" s="114"/>
      <c r="T18" s="114"/>
      <c r="U18" s="115"/>
      <c r="X18" s="1" t="s">
        <v>124</v>
      </c>
    </row>
    <row r="19" spans="1:24" ht="18" customHeight="1" x14ac:dyDescent="0.15">
      <c r="B19" s="113"/>
      <c r="C19" s="114"/>
      <c r="D19" s="114"/>
      <c r="E19" s="114"/>
      <c r="F19" s="114"/>
      <c r="G19" s="114"/>
      <c r="H19" s="114"/>
      <c r="I19" s="114"/>
      <c r="J19" s="114"/>
      <c r="K19" s="114"/>
      <c r="L19" s="114"/>
      <c r="M19" s="114"/>
      <c r="N19" s="114"/>
      <c r="O19" s="114"/>
      <c r="P19" s="114"/>
      <c r="Q19" s="114"/>
      <c r="R19" s="114"/>
      <c r="S19" s="114"/>
      <c r="T19" s="114"/>
      <c r="U19" s="115"/>
    </row>
    <row r="20" spans="1:24" ht="18" customHeight="1" x14ac:dyDescent="0.15">
      <c r="B20" s="116"/>
      <c r="C20" s="117"/>
      <c r="D20" s="117"/>
      <c r="E20" s="117"/>
      <c r="F20" s="117"/>
      <c r="G20" s="117"/>
      <c r="H20" s="117"/>
      <c r="I20" s="117"/>
      <c r="J20" s="117"/>
      <c r="K20" s="117"/>
      <c r="L20" s="117"/>
      <c r="M20" s="117"/>
      <c r="N20" s="117"/>
      <c r="O20" s="117"/>
      <c r="P20" s="117"/>
      <c r="Q20" s="117"/>
      <c r="R20" s="117"/>
      <c r="S20" s="117"/>
      <c r="T20" s="117"/>
      <c r="U20" s="118"/>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5">
        <v>1</v>
      </c>
      <c r="F22" s="1" t="s">
        <v>107</v>
      </c>
      <c r="H22" s="19">
        <v>2</v>
      </c>
      <c r="I22" s="3" t="s">
        <v>108</v>
      </c>
      <c r="J22" s="3"/>
      <c r="K22" s="18"/>
      <c r="M22" s="18" t="s">
        <v>104</v>
      </c>
      <c r="N22" s="141" t="s">
        <v>124</v>
      </c>
      <c r="O22" s="142"/>
      <c r="P22" s="142"/>
      <c r="Q22" s="142"/>
      <c r="R22" s="142"/>
      <c r="S22" s="142"/>
      <c r="T22" s="142"/>
      <c r="U22" s="143"/>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91" t="s">
        <v>96</v>
      </c>
      <c r="B24" s="91"/>
      <c r="C24" s="91"/>
      <c r="D24" s="91"/>
      <c r="E24" s="91"/>
      <c r="F24" s="91"/>
      <c r="G24" s="91"/>
      <c r="H24" s="91"/>
      <c r="I24" s="91"/>
      <c r="J24" s="91"/>
      <c r="K24" s="91"/>
      <c r="L24" s="91"/>
      <c r="M24" s="91"/>
      <c r="N24" s="91"/>
      <c r="O24" s="91"/>
      <c r="P24" s="91"/>
      <c r="Q24" s="91"/>
      <c r="R24" s="91"/>
      <c r="S24" s="91"/>
      <c r="T24" s="91"/>
      <c r="U24" s="91"/>
    </row>
    <row r="25" spans="1:24" ht="18" customHeight="1" x14ac:dyDescent="0.15">
      <c r="A25" s="91"/>
      <c r="B25" s="91"/>
      <c r="C25" s="91"/>
      <c r="D25" s="91"/>
      <c r="E25" s="91"/>
      <c r="F25" s="91"/>
      <c r="G25" s="91"/>
      <c r="H25" s="91"/>
      <c r="I25" s="91"/>
      <c r="J25" s="91"/>
      <c r="K25" s="91"/>
      <c r="L25" s="91"/>
      <c r="M25" s="91"/>
      <c r="N25" s="91"/>
      <c r="O25" s="91"/>
      <c r="P25" s="91"/>
      <c r="Q25" s="91"/>
      <c r="R25" s="91"/>
      <c r="S25" s="91"/>
      <c r="T25" s="91"/>
      <c r="U25" s="91"/>
    </row>
    <row r="26" spans="1:24" ht="18" customHeight="1" x14ac:dyDescent="0.15">
      <c r="B26" s="98" t="s">
        <v>48</v>
      </c>
      <c r="C26" s="99"/>
      <c r="D26" s="99"/>
      <c r="E26" s="99"/>
      <c r="F26" s="100"/>
      <c r="G26" s="60" t="s">
        <v>73</v>
      </c>
      <c r="H26" s="61" t="s">
        <v>76</v>
      </c>
      <c r="I26" s="62" t="s">
        <v>51</v>
      </c>
      <c r="J26" s="62" t="s">
        <v>54</v>
      </c>
      <c r="K26" s="98" t="s">
        <v>48</v>
      </c>
      <c r="L26" s="99"/>
      <c r="M26" s="99"/>
      <c r="N26" s="99"/>
      <c r="O26" s="99"/>
      <c r="P26" s="99"/>
      <c r="Q26" s="100"/>
      <c r="R26" s="60" t="s">
        <v>73</v>
      </c>
      <c r="S26" s="61" t="s">
        <v>76</v>
      </c>
      <c r="T26" s="62" t="s">
        <v>51</v>
      </c>
      <c r="U26" s="62" t="s">
        <v>54</v>
      </c>
    </row>
    <row r="27" spans="1:24" ht="18" customHeight="1" x14ac:dyDescent="0.15">
      <c r="B27" s="92" t="s">
        <v>146</v>
      </c>
      <c r="C27" s="93"/>
      <c r="D27" s="93"/>
      <c r="E27" s="93"/>
      <c r="F27" s="94"/>
      <c r="G27" s="63">
        <v>2</v>
      </c>
      <c r="H27" s="63"/>
      <c r="I27" s="63" t="s">
        <v>149</v>
      </c>
      <c r="J27" s="63" t="s">
        <v>149</v>
      </c>
      <c r="K27" s="92"/>
      <c r="L27" s="93"/>
      <c r="M27" s="93"/>
      <c r="N27" s="93"/>
      <c r="O27" s="93"/>
      <c r="P27" s="93"/>
      <c r="Q27" s="94"/>
      <c r="R27" s="63"/>
      <c r="S27" s="63"/>
      <c r="T27" s="63"/>
      <c r="U27" s="63"/>
    </row>
    <row r="28" spans="1:24" ht="18" customHeight="1" x14ac:dyDescent="0.15">
      <c r="B28" s="85" t="s">
        <v>147</v>
      </c>
      <c r="C28" s="86"/>
      <c r="D28" s="86"/>
      <c r="E28" s="86"/>
      <c r="F28" s="87"/>
      <c r="G28" s="64">
        <v>2</v>
      </c>
      <c r="H28" s="64"/>
      <c r="I28" s="64" t="s">
        <v>149</v>
      </c>
      <c r="J28" s="64" t="s">
        <v>149</v>
      </c>
      <c r="K28" s="85"/>
      <c r="L28" s="86"/>
      <c r="M28" s="86"/>
      <c r="N28" s="86"/>
      <c r="O28" s="86"/>
      <c r="P28" s="86"/>
      <c r="Q28" s="87"/>
      <c r="R28" s="64"/>
      <c r="S28" s="64"/>
      <c r="T28" s="64"/>
      <c r="U28" s="64"/>
    </row>
    <row r="29" spans="1:24" ht="18" customHeight="1" x14ac:dyDescent="0.15">
      <c r="B29" s="85" t="s">
        <v>148</v>
      </c>
      <c r="C29" s="86"/>
      <c r="D29" s="86"/>
      <c r="E29" s="86"/>
      <c r="F29" s="87"/>
      <c r="G29" s="64">
        <v>2</v>
      </c>
      <c r="H29" s="64"/>
      <c r="I29" s="64" t="s">
        <v>149</v>
      </c>
      <c r="J29" s="64" t="s">
        <v>149</v>
      </c>
      <c r="K29" s="85"/>
      <c r="L29" s="86"/>
      <c r="M29" s="86"/>
      <c r="N29" s="86"/>
      <c r="O29" s="86"/>
      <c r="P29" s="86"/>
      <c r="Q29" s="87"/>
      <c r="R29" s="64"/>
      <c r="S29" s="64"/>
      <c r="T29" s="64"/>
      <c r="U29" s="64"/>
    </row>
    <row r="30" spans="1:24" ht="18" customHeight="1" x14ac:dyDescent="0.15">
      <c r="B30" s="85"/>
      <c r="C30" s="86"/>
      <c r="D30" s="86"/>
      <c r="E30" s="86"/>
      <c r="F30" s="87"/>
      <c r="G30" s="64"/>
      <c r="H30" s="64"/>
      <c r="I30" s="64"/>
      <c r="J30" s="64"/>
      <c r="K30" s="85"/>
      <c r="L30" s="86"/>
      <c r="M30" s="86"/>
      <c r="N30" s="86"/>
      <c r="O30" s="86"/>
      <c r="P30" s="86"/>
      <c r="Q30" s="87"/>
      <c r="R30" s="64"/>
      <c r="S30" s="64"/>
      <c r="T30" s="64"/>
      <c r="U30" s="64"/>
    </row>
    <row r="31" spans="1:24" ht="18" customHeight="1" x14ac:dyDescent="0.15">
      <c r="B31" s="85"/>
      <c r="C31" s="86"/>
      <c r="D31" s="86"/>
      <c r="E31" s="86"/>
      <c r="F31" s="87"/>
      <c r="G31" s="64"/>
      <c r="H31" s="64"/>
      <c r="I31" s="64"/>
      <c r="J31" s="64"/>
      <c r="K31" s="85"/>
      <c r="L31" s="86"/>
      <c r="M31" s="86"/>
      <c r="N31" s="86"/>
      <c r="O31" s="86"/>
      <c r="P31" s="86"/>
      <c r="Q31" s="87"/>
      <c r="R31" s="64"/>
      <c r="S31" s="64"/>
      <c r="T31" s="64"/>
      <c r="U31" s="64"/>
    </row>
    <row r="32" spans="1:24" ht="18" customHeight="1" x14ac:dyDescent="0.15">
      <c r="A32" s="3"/>
      <c r="B32" s="85"/>
      <c r="C32" s="86"/>
      <c r="D32" s="86"/>
      <c r="E32" s="86"/>
      <c r="F32" s="87"/>
      <c r="G32" s="64"/>
      <c r="H32" s="64"/>
      <c r="I32" s="64"/>
      <c r="J32" s="64"/>
      <c r="K32" s="85"/>
      <c r="L32" s="86"/>
      <c r="M32" s="86"/>
      <c r="N32" s="86"/>
      <c r="O32" s="86"/>
      <c r="P32" s="86"/>
      <c r="Q32" s="87"/>
      <c r="R32" s="64"/>
      <c r="S32" s="64"/>
      <c r="T32" s="64"/>
      <c r="U32" s="64"/>
    </row>
    <row r="33" spans="1:21" ht="18" customHeight="1" x14ac:dyDescent="0.15">
      <c r="A33" s="3"/>
      <c r="B33" s="88"/>
      <c r="C33" s="89"/>
      <c r="D33" s="89"/>
      <c r="E33" s="89"/>
      <c r="F33" s="90"/>
      <c r="G33" s="65"/>
      <c r="H33" s="65"/>
      <c r="I33" s="66"/>
      <c r="J33" s="66"/>
      <c r="K33" s="88"/>
      <c r="L33" s="89"/>
      <c r="M33" s="89"/>
      <c r="N33" s="89"/>
      <c r="O33" s="89"/>
      <c r="P33" s="89"/>
      <c r="Q33" s="90"/>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91" t="s">
        <v>97</v>
      </c>
      <c r="B35" s="91"/>
      <c r="C35" s="91"/>
      <c r="D35" s="91"/>
      <c r="E35" s="91"/>
      <c r="F35" s="91"/>
      <c r="G35" s="91"/>
      <c r="H35" s="91"/>
      <c r="I35" s="91"/>
      <c r="J35" s="91"/>
      <c r="K35" s="91"/>
      <c r="L35" s="91"/>
      <c r="M35" s="91"/>
      <c r="N35" s="91"/>
      <c r="O35" s="91"/>
      <c r="P35" s="91"/>
      <c r="Q35" s="91"/>
      <c r="R35" s="91"/>
      <c r="S35" s="91"/>
      <c r="T35" s="91"/>
      <c r="U35" s="91"/>
    </row>
    <row r="36" spans="1:21" ht="18" customHeight="1" x14ac:dyDescent="0.15">
      <c r="A36" s="91"/>
      <c r="B36" s="91"/>
      <c r="C36" s="91"/>
      <c r="D36" s="91"/>
      <c r="E36" s="91"/>
      <c r="F36" s="91"/>
      <c r="G36" s="91"/>
      <c r="H36" s="91"/>
      <c r="I36" s="91"/>
      <c r="J36" s="91"/>
      <c r="K36" s="91"/>
      <c r="L36" s="91"/>
      <c r="M36" s="91"/>
      <c r="N36" s="91"/>
      <c r="O36" s="91"/>
      <c r="P36" s="91"/>
      <c r="Q36" s="91"/>
      <c r="R36" s="91"/>
      <c r="S36" s="91"/>
      <c r="T36" s="91"/>
      <c r="U36" s="91"/>
    </row>
    <row r="37" spans="1:21" ht="18" customHeight="1" x14ac:dyDescent="0.15">
      <c r="B37" s="98" t="s">
        <v>48</v>
      </c>
      <c r="C37" s="99"/>
      <c r="D37" s="99"/>
      <c r="E37" s="99"/>
      <c r="F37" s="100"/>
      <c r="G37" s="60" t="s">
        <v>73</v>
      </c>
      <c r="H37" s="61" t="s">
        <v>76</v>
      </c>
      <c r="I37" s="62" t="s">
        <v>64</v>
      </c>
      <c r="J37" s="62" t="s">
        <v>65</v>
      </c>
      <c r="K37" s="98" t="s">
        <v>48</v>
      </c>
      <c r="L37" s="99"/>
      <c r="M37" s="99"/>
      <c r="N37" s="99"/>
      <c r="O37" s="99"/>
      <c r="P37" s="99"/>
      <c r="Q37" s="100"/>
      <c r="R37" s="60" t="s">
        <v>73</v>
      </c>
      <c r="S37" s="61" t="s">
        <v>76</v>
      </c>
      <c r="T37" s="62" t="s">
        <v>64</v>
      </c>
      <c r="U37" s="62" t="s">
        <v>65</v>
      </c>
    </row>
    <row r="38" spans="1:21" ht="18" customHeight="1" x14ac:dyDescent="0.15">
      <c r="B38" s="92" t="s">
        <v>146</v>
      </c>
      <c r="C38" s="93"/>
      <c r="D38" s="93"/>
      <c r="E38" s="93"/>
      <c r="F38" s="94"/>
      <c r="G38" s="63">
        <v>2</v>
      </c>
      <c r="H38" s="63"/>
      <c r="I38" s="63" t="s">
        <v>149</v>
      </c>
      <c r="J38" s="63" t="s">
        <v>149</v>
      </c>
      <c r="K38" s="92"/>
      <c r="L38" s="93"/>
      <c r="M38" s="93"/>
      <c r="N38" s="93"/>
      <c r="O38" s="93"/>
      <c r="P38" s="93"/>
      <c r="Q38" s="94"/>
      <c r="R38" s="63"/>
      <c r="S38" s="63"/>
      <c r="T38" s="63"/>
      <c r="U38" s="63"/>
    </row>
    <row r="39" spans="1:21" ht="18" customHeight="1" x14ac:dyDescent="0.15">
      <c r="B39" s="85" t="s">
        <v>147</v>
      </c>
      <c r="C39" s="86"/>
      <c r="D39" s="86"/>
      <c r="E39" s="86"/>
      <c r="F39" s="87"/>
      <c r="G39" s="64">
        <v>2</v>
      </c>
      <c r="H39" s="64"/>
      <c r="I39" s="64" t="s">
        <v>149</v>
      </c>
      <c r="J39" s="64" t="s">
        <v>149</v>
      </c>
      <c r="K39" s="85"/>
      <c r="L39" s="86"/>
      <c r="M39" s="86"/>
      <c r="N39" s="86"/>
      <c r="O39" s="86"/>
      <c r="P39" s="86"/>
      <c r="Q39" s="87"/>
      <c r="R39" s="64"/>
      <c r="S39" s="64"/>
      <c r="T39" s="64"/>
      <c r="U39" s="64"/>
    </row>
    <row r="40" spans="1:21" ht="18" customHeight="1" x14ac:dyDescent="0.15">
      <c r="B40" s="85" t="s">
        <v>148</v>
      </c>
      <c r="C40" s="86"/>
      <c r="D40" s="86"/>
      <c r="E40" s="86"/>
      <c r="F40" s="87"/>
      <c r="G40" s="64">
        <v>2</v>
      </c>
      <c r="H40" s="64"/>
      <c r="I40" s="64" t="s">
        <v>149</v>
      </c>
      <c r="J40" s="64" t="s">
        <v>149</v>
      </c>
      <c r="K40" s="85"/>
      <c r="L40" s="86"/>
      <c r="M40" s="86"/>
      <c r="N40" s="86"/>
      <c r="O40" s="86"/>
      <c r="P40" s="86"/>
      <c r="Q40" s="87"/>
      <c r="R40" s="64"/>
      <c r="S40" s="64"/>
      <c r="T40" s="64"/>
      <c r="U40" s="64"/>
    </row>
    <row r="41" spans="1:21" ht="18" customHeight="1" x14ac:dyDescent="0.15">
      <c r="B41" s="85"/>
      <c r="C41" s="86"/>
      <c r="D41" s="86"/>
      <c r="E41" s="86"/>
      <c r="F41" s="87"/>
      <c r="G41" s="64"/>
      <c r="H41" s="64"/>
      <c r="I41" s="64"/>
      <c r="J41" s="64"/>
      <c r="K41" s="85"/>
      <c r="L41" s="86"/>
      <c r="M41" s="86"/>
      <c r="N41" s="86"/>
      <c r="O41" s="86"/>
      <c r="P41" s="86"/>
      <c r="Q41" s="87"/>
      <c r="R41" s="64"/>
      <c r="S41" s="64"/>
      <c r="T41" s="64"/>
      <c r="U41" s="64"/>
    </row>
    <row r="42" spans="1:21" ht="18" customHeight="1" x14ac:dyDescent="0.15">
      <c r="B42" s="85"/>
      <c r="C42" s="86"/>
      <c r="D42" s="86"/>
      <c r="E42" s="86"/>
      <c r="F42" s="87"/>
      <c r="G42" s="64"/>
      <c r="H42" s="64"/>
      <c r="I42" s="64"/>
      <c r="J42" s="64"/>
      <c r="K42" s="85"/>
      <c r="L42" s="86"/>
      <c r="M42" s="86"/>
      <c r="N42" s="86"/>
      <c r="O42" s="86"/>
      <c r="P42" s="86"/>
      <c r="Q42" s="87"/>
      <c r="R42" s="64"/>
      <c r="S42" s="64"/>
      <c r="T42" s="64"/>
      <c r="U42" s="64"/>
    </row>
    <row r="43" spans="1:21" ht="18" customHeight="1" x14ac:dyDescent="0.15">
      <c r="B43" s="85"/>
      <c r="C43" s="86"/>
      <c r="D43" s="86"/>
      <c r="E43" s="86"/>
      <c r="F43" s="87"/>
      <c r="G43" s="64"/>
      <c r="H43" s="64"/>
      <c r="I43" s="64"/>
      <c r="J43" s="64"/>
      <c r="K43" s="85"/>
      <c r="L43" s="86"/>
      <c r="M43" s="86"/>
      <c r="N43" s="86"/>
      <c r="O43" s="86"/>
      <c r="P43" s="86"/>
      <c r="Q43" s="87"/>
      <c r="R43" s="64"/>
      <c r="S43" s="64"/>
      <c r="T43" s="64"/>
      <c r="U43" s="64"/>
    </row>
    <row r="44" spans="1:21" ht="18" customHeight="1" x14ac:dyDescent="0.15">
      <c r="B44" s="88"/>
      <c r="C44" s="89"/>
      <c r="D44" s="89"/>
      <c r="E44" s="89"/>
      <c r="F44" s="90"/>
      <c r="G44" s="65"/>
      <c r="H44" s="65"/>
      <c r="I44" s="66"/>
      <c r="J44" s="66"/>
      <c r="K44" s="88"/>
      <c r="L44" s="89"/>
      <c r="M44" s="89"/>
      <c r="N44" s="89"/>
      <c r="O44" s="89"/>
      <c r="P44" s="89"/>
      <c r="Q44" s="90"/>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91" t="s">
        <v>98</v>
      </c>
      <c r="B46" s="91"/>
      <c r="C46" s="91"/>
      <c r="D46" s="91"/>
      <c r="E46" s="91"/>
      <c r="F46" s="91"/>
      <c r="G46" s="91"/>
      <c r="H46" s="91"/>
      <c r="I46" s="91"/>
      <c r="J46" s="91"/>
      <c r="K46" s="91"/>
      <c r="L46" s="91"/>
      <c r="M46" s="91"/>
      <c r="N46" s="91"/>
      <c r="O46" s="91"/>
      <c r="P46" s="91"/>
      <c r="Q46" s="91"/>
      <c r="R46" s="91"/>
      <c r="S46" s="91"/>
      <c r="T46" s="91"/>
      <c r="U46" s="91"/>
    </row>
    <row r="47" spans="1:21" ht="18" customHeight="1" x14ac:dyDescent="0.15">
      <c r="A47" s="91"/>
      <c r="B47" s="91"/>
      <c r="C47" s="91"/>
      <c r="D47" s="91"/>
      <c r="E47" s="91"/>
      <c r="F47" s="91"/>
      <c r="G47" s="91"/>
      <c r="H47" s="91"/>
      <c r="I47" s="91"/>
      <c r="J47" s="91"/>
      <c r="K47" s="91"/>
      <c r="L47" s="91"/>
      <c r="M47" s="91"/>
      <c r="N47" s="91"/>
      <c r="O47" s="91"/>
      <c r="P47" s="91"/>
      <c r="Q47" s="91"/>
      <c r="R47" s="91"/>
      <c r="S47" s="91"/>
      <c r="T47" s="91"/>
      <c r="U47" s="91"/>
    </row>
    <row r="48" spans="1:21" ht="18" customHeight="1" x14ac:dyDescent="0.15">
      <c r="B48" s="98" t="s">
        <v>48</v>
      </c>
      <c r="C48" s="99"/>
      <c r="D48" s="99"/>
      <c r="E48" s="99"/>
      <c r="F48" s="100"/>
      <c r="G48" s="60" t="s">
        <v>73</v>
      </c>
      <c r="H48" s="61" t="s">
        <v>76</v>
      </c>
      <c r="I48" s="62" t="s">
        <v>66</v>
      </c>
      <c r="J48" s="62" t="s">
        <v>67</v>
      </c>
      <c r="K48" s="98" t="s">
        <v>48</v>
      </c>
      <c r="L48" s="99"/>
      <c r="M48" s="99"/>
      <c r="N48" s="99"/>
      <c r="O48" s="99"/>
      <c r="P48" s="99"/>
      <c r="Q48" s="100"/>
      <c r="R48" s="60" t="s">
        <v>73</v>
      </c>
      <c r="S48" s="61" t="s">
        <v>76</v>
      </c>
      <c r="T48" s="62" t="s">
        <v>66</v>
      </c>
      <c r="U48" s="62" t="s">
        <v>67</v>
      </c>
    </row>
    <row r="49" spans="1:21" ht="18" customHeight="1" x14ac:dyDescent="0.15">
      <c r="A49" s="3"/>
      <c r="B49" s="92" t="s">
        <v>146</v>
      </c>
      <c r="C49" s="93"/>
      <c r="D49" s="93"/>
      <c r="E49" s="93"/>
      <c r="F49" s="94"/>
      <c r="G49" s="63">
        <v>2</v>
      </c>
      <c r="H49" s="63"/>
      <c r="I49" s="63" t="s">
        <v>149</v>
      </c>
      <c r="J49" s="63" t="s">
        <v>149</v>
      </c>
      <c r="K49" s="92"/>
      <c r="L49" s="93"/>
      <c r="M49" s="93"/>
      <c r="N49" s="93"/>
      <c r="O49" s="93"/>
      <c r="P49" s="93"/>
      <c r="Q49" s="94"/>
      <c r="R49" s="63"/>
      <c r="S49" s="63"/>
      <c r="T49" s="63"/>
      <c r="U49" s="63"/>
    </row>
    <row r="50" spans="1:21" ht="18" customHeight="1" x14ac:dyDescent="0.15">
      <c r="A50" s="3"/>
      <c r="B50" s="85" t="s">
        <v>147</v>
      </c>
      <c r="C50" s="86"/>
      <c r="D50" s="86"/>
      <c r="E50" s="86"/>
      <c r="F50" s="87"/>
      <c r="G50" s="64">
        <v>2</v>
      </c>
      <c r="H50" s="64"/>
      <c r="I50" s="64" t="s">
        <v>149</v>
      </c>
      <c r="J50" s="64" t="s">
        <v>149</v>
      </c>
      <c r="K50" s="85"/>
      <c r="L50" s="86"/>
      <c r="M50" s="86"/>
      <c r="N50" s="86"/>
      <c r="O50" s="86"/>
      <c r="P50" s="86"/>
      <c r="Q50" s="87"/>
      <c r="R50" s="64"/>
      <c r="S50" s="64"/>
      <c r="T50" s="64"/>
      <c r="U50" s="64"/>
    </row>
    <row r="51" spans="1:21" ht="18" customHeight="1" x14ac:dyDescent="0.15">
      <c r="A51" s="3"/>
      <c r="B51" s="85" t="s">
        <v>148</v>
      </c>
      <c r="C51" s="86"/>
      <c r="D51" s="86"/>
      <c r="E51" s="86"/>
      <c r="F51" s="87"/>
      <c r="G51" s="64">
        <v>2</v>
      </c>
      <c r="H51" s="64"/>
      <c r="I51" s="64" t="s">
        <v>149</v>
      </c>
      <c r="J51" s="64" t="s">
        <v>149</v>
      </c>
      <c r="K51" s="85"/>
      <c r="L51" s="86"/>
      <c r="M51" s="86"/>
      <c r="N51" s="86"/>
      <c r="O51" s="86"/>
      <c r="P51" s="86"/>
      <c r="Q51" s="87"/>
      <c r="R51" s="64"/>
      <c r="S51" s="64"/>
      <c r="T51" s="64"/>
      <c r="U51" s="64"/>
    </row>
    <row r="52" spans="1:21" ht="18" customHeight="1" x14ac:dyDescent="0.15">
      <c r="A52" s="3"/>
      <c r="B52" s="85"/>
      <c r="C52" s="86"/>
      <c r="D52" s="86"/>
      <c r="E52" s="86"/>
      <c r="F52" s="87"/>
      <c r="G52" s="64"/>
      <c r="H52" s="64"/>
      <c r="I52" s="64"/>
      <c r="J52" s="64"/>
      <c r="K52" s="85"/>
      <c r="L52" s="86"/>
      <c r="M52" s="86"/>
      <c r="N52" s="86"/>
      <c r="O52" s="86"/>
      <c r="P52" s="86"/>
      <c r="Q52" s="87"/>
      <c r="R52" s="64"/>
      <c r="S52" s="64"/>
      <c r="T52" s="64"/>
      <c r="U52" s="64"/>
    </row>
    <row r="53" spans="1:21" ht="18" customHeight="1" x14ac:dyDescent="0.15">
      <c r="A53" s="3"/>
      <c r="B53" s="85"/>
      <c r="C53" s="86"/>
      <c r="D53" s="86"/>
      <c r="E53" s="86"/>
      <c r="F53" s="87"/>
      <c r="G53" s="64"/>
      <c r="H53" s="64"/>
      <c r="I53" s="64"/>
      <c r="J53" s="64"/>
      <c r="K53" s="85"/>
      <c r="L53" s="86"/>
      <c r="M53" s="86"/>
      <c r="N53" s="86"/>
      <c r="O53" s="86"/>
      <c r="P53" s="86"/>
      <c r="Q53" s="87"/>
      <c r="R53" s="64"/>
      <c r="S53" s="64"/>
      <c r="T53" s="64"/>
      <c r="U53" s="64"/>
    </row>
    <row r="54" spans="1:21" ht="18" customHeight="1" x14ac:dyDescent="0.15">
      <c r="A54" s="3"/>
      <c r="B54" s="85"/>
      <c r="C54" s="86"/>
      <c r="D54" s="86"/>
      <c r="E54" s="86"/>
      <c r="F54" s="87"/>
      <c r="G54" s="64"/>
      <c r="H54" s="64"/>
      <c r="I54" s="64"/>
      <c r="J54" s="64"/>
      <c r="K54" s="85"/>
      <c r="L54" s="86"/>
      <c r="M54" s="86"/>
      <c r="N54" s="86"/>
      <c r="O54" s="86"/>
      <c r="P54" s="86"/>
      <c r="Q54" s="87"/>
      <c r="R54" s="64"/>
      <c r="S54" s="64"/>
      <c r="T54" s="64"/>
      <c r="U54" s="64"/>
    </row>
    <row r="55" spans="1:21" ht="18" customHeight="1" x14ac:dyDescent="0.15">
      <c r="A55" s="3"/>
      <c r="B55" s="88"/>
      <c r="C55" s="89"/>
      <c r="D55" s="89"/>
      <c r="E55" s="89"/>
      <c r="F55" s="90"/>
      <c r="G55" s="65"/>
      <c r="H55" s="65"/>
      <c r="I55" s="66"/>
      <c r="J55" s="66"/>
      <c r="K55" s="88"/>
      <c r="L55" s="89"/>
      <c r="M55" s="89"/>
      <c r="N55" s="89"/>
      <c r="O55" s="89"/>
      <c r="P55" s="89"/>
      <c r="Q55" s="90"/>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91" t="s">
        <v>99</v>
      </c>
      <c r="B57" s="91"/>
      <c r="C57" s="91"/>
      <c r="D57" s="91"/>
      <c r="E57" s="91"/>
      <c r="F57" s="91"/>
      <c r="G57" s="91"/>
      <c r="H57" s="91"/>
      <c r="I57" s="91"/>
      <c r="J57" s="91"/>
      <c r="K57" s="91"/>
      <c r="L57" s="91"/>
      <c r="M57" s="91"/>
      <c r="N57" s="91"/>
      <c r="O57" s="91"/>
      <c r="P57" s="91"/>
      <c r="Q57" s="91"/>
      <c r="R57" s="91"/>
      <c r="S57" s="91"/>
      <c r="T57" s="91"/>
      <c r="U57" s="91"/>
    </row>
    <row r="58" spans="1:21" ht="18" customHeight="1" x14ac:dyDescent="0.15">
      <c r="A58" s="91"/>
      <c r="B58" s="91"/>
      <c r="C58" s="91"/>
      <c r="D58" s="91"/>
      <c r="E58" s="91"/>
      <c r="F58" s="91"/>
      <c r="G58" s="91"/>
      <c r="H58" s="91"/>
      <c r="I58" s="91"/>
      <c r="J58" s="91"/>
      <c r="K58" s="91"/>
      <c r="L58" s="91"/>
      <c r="M58" s="91"/>
      <c r="N58" s="91"/>
      <c r="O58" s="91"/>
      <c r="P58" s="91"/>
      <c r="Q58" s="91"/>
      <c r="R58" s="91"/>
      <c r="S58" s="91"/>
      <c r="T58" s="91"/>
      <c r="U58" s="91"/>
    </row>
    <row r="59" spans="1:21" ht="18" customHeight="1" x14ac:dyDescent="0.15">
      <c r="B59" s="98" t="s">
        <v>48</v>
      </c>
      <c r="C59" s="99"/>
      <c r="D59" s="99"/>
      <c r="E59" s="99"/>
      <c r="F59" s="100"/>
      <c r="G59" s="60" t="s">
        <v>73</v>
      </c>
      <c r="H59" s="61" t="s">
        <v>76</v>
      </c>
      <c r="I59" s="62" t="s">
        <v>53</v>
      </c>
      <c r="J59" s="62" t="s">
        <v>55</v>
      </c>
      <c r="K59" s="98" t="s">
        <v>48</v>
      </c>
      <c r="L59" s="99"/>
      <c r="M59" s="99"/>
      <c r="N59" s="99"/>
      <c r="O59" s="99"/>
      <c r="P59" s="99"/>
      <c r="Q59" s="100"/>
      <c r="R59" s="60" t="s">
        <v>73</v>
      </c>
      <c r="S59" s="61" t="s">
        <v>76</v>
      </c>
      <c r="T59" s="62" t="s">
        <v>53</v>
      </c>
      <c r="U59" s="62" t="s">
        <v>55</v>
      </c>
    </row>
    <row r="60" spans="1:21" ht="18" customHeight="1" x14ac:dyDescent="0.15">
      <c r="A60" s="3"/>
      <c r="B60" s="92" t="s">
        <v>146</v>
      </c>
      <c r="C60" s="93"/>
      <c r="D60" s="93"/>
      <c r="E60" s="93"/>
      <c r="F60" s="94"/>
      <c r="G60" s="63">
        <v>2</v>
      </c>
      <c r="H60" s="63"/>
      <c r="I60" s="63" t="s">
        <v>149</v>
      </c>
      <c r="J60" s="63" t="s">
        <v>149</v>
      </c>
      <c r="K60" s="92"/>
      <c r="L60" s="93"/>
      <c r="M60" s="93"/>
      <c r="N60" s="93"/>
      <c r="O60" s="93"/>
      <c r="P60" s="93"/>
      <c r="Q60" s="94"/>
      <c r="R60" s="63"/>
      <c r="S60" s="63"/>
      <c r="T60" s="63"/>
      <c r="U60" s="63"/>
    </row>
    <row r="61" spans="1:21" ht="18" customHeight="1" x14ac:dyDescent="0.15">
      <c r="A61" s="3"/>
      <c r="B61" s="85" t="s">
        <v>147</v>
      </c>
      <c r="C61" s="86"/>
      <c r="D61" s="86"/>
      <c r="E61" s="86"/>
      <c r="F61" s="87"/>
      <c r="G61" s="64">
        <v>2</v>
      </c>
      <c r="H61" s="64"/>
      <c r="I61" s="64" t="s">
        <v>149</v>
      </c>
      <c r="J61" s="64" t="s">
        <v>149</v>
      </c>
      <c r="K61" s="85"/>
      <c r="L61" s="86"/>
      <c r="M61" s="86"/>
      <c r="N61" s="86"/>
      <c r="O61" s="86"/>
      <c r="P61" s="86"/>
      <c r="Q61" s="87"/>
      <c r="R61" s="64"/>
      <c r="S61" s="64"/>
      <c r="T61" s="64"/>
      <c r="U61" s="64"/>
    </row>
    <row r="62" spans="1:21" ht="18" customHeight="1" x14ac:dyDescent="0.15">
      <c r="A62" s="3"/>
      <c r="B62" s="85" t="s">
        <v>148</v>
      </c>
      <c r="C62" s="86"/>
      <c r="D62" s="86"/>
      <c r="E62" s="86"/>
      <c r="F62" s="87"/>
      <c r="G62" s="64">
        <v>2</v>
      </c>
      <c r="H62" s="64"/>
      <c r="I62" s="64" t="s">
        <v>149</v>
      </c>
      <c r="J62" s="64" t="s">
        <v>149</v>
      </c>
      <c r="K62" s="85"/>
      <c r="L62" s="86"/>
      <c r="M62" s="86"/>
      <c r="N62" s="86"/>
      <c r="O62" s="86"/>
      <c r="P62" s="86"/>
      <c r="Q62" s="87"/>
      <c r="R62" s="64"/>
      <c r="S62" s="64"/>
      <c r="T62" s="64"/>
      <c r="U62" s="64"/>
    </row>
    <row r="63" spans="1:21" ht="18" customHeight="1" x14ac:dyDescent="0.15">
      <c r="A63" s="3"/>
      <c r="B63" s="85"/>
      <c r="C63" s="86"/>
      <c r="D63" s="86"/>
      <c r="E63" s="86"/>
      <c r="F63" s="87"/>
      <c r="G63" s="64"/>
      <c r="H63" s="64"/>
      <c r="I63" s="64"/>
      <c r="J63" s="64"/>
      <c r="K63" s="85"/>
      <c r="L63" s="86"/>
      <c r="M63" s="86"/>
      <c r="N63" s="86"/>
      <c r="O63" s="86"/>
      <c r="P63" s="86"/>
      <c r="Q63" s="87"/>
      <c r="R63" s="64"/>
      <c r="S63" s="64"/>
      <c r="T63" s="64"/>
      <c r="U63" s="64"/>
    </row>
    <row r="64" spans="1:21" ht="18" customHeight="1" x14ac:dyDescent="0.15">
      <c r="A64" s="3"/>
      <c r="B64" s="85"/>
      <c r="C64" s="86"/>
      <c r="D64" s="86"/>
      <c r="E64" s="86"/>
      <c r="F64" s="87"/>
      <c r="G64" s="64"/>
      <c r="H64" s="64"/>
      <c r="I64" s="64"/>
      <c r="J64" s="64"/>
      <c r="K64" s="85"/>
      <c r="L64" s="86"/>
      <c r="M64" s="86"/>
      <c r="N64" s="86"/>
      <c r="O64" s="86"/>
      <c r="P64" s="86"/>
      <c r="Q64" s="87"/>
      <c r="R64" s="64"/>
      <c r="S64" s="64"/>
      <c r="T64" s="64"/>
      <c r="U64" s="64"/>
    </row>
    <row r="65" spans="1:27" ht="18" customHeight="1" x14ac:dyDescent="0.15">
      <c r="A65" s="3"/>
      <c r="B65" s="85"/>
      <c r="C65" s="86"/>
      <c r="D65" s="86"/>
      <c r="E65" s="86"/>
      <c r="F65" s="87"/>
      <c r="G65" s="64"/>
      <c r="H65" s="64"/>
      <c r="I65" s="64"/>
      <c r="J65" s="64"/>
      <c r="K65" s="85"/>
      <c r="L65" s="86"/>
      <c r="M65" s="86"/>
      <c r="N65" s="86"/>
      <c r="O65" s="86"/>
      <c r="P65" s="86"/>
      <c r="Q65" s="87"/>
      <c r="R65" s="64"/>
      <c r="S65" s="64"/>
      <c r="T65" s="64"/>
      <c r="U65" s="64"/>
    </row>
    <row r="66" spans="1:27" ht="18" customHeight="1" x14ac:dyDescent="0.15">
      <c r="A66" s="3"/>
      <c r="B66" s="88"/>
      <c r="C66" s="89"/>
      <c r="D66" s="89"/>
      <c r="E66" s="89"/>
      <c r="F66" s="90"/>
      <c r="G66" s="65"/>
      <c r="H66" s="65"/>
      <c r="I66" s="66"/>
      <c r="J66" s="66"/>
      <c r="K66" s="88"/>
      <c r="L66" s="89"/>
      <c r="M66" s="89"/>
      <c r="N66" s="89"/>
      <c r="O66" s="89"/>
      <c r="P66" s="89"/>
      <c r="Q66" s="90"/>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91" t="s">
        <v>100</v>
      </c>
      <c r="B68" s="91"/>
      <c r="C68" s="91"/>
      <c r="D68" s="91"/>
      <c r="E68" s="91"/>
      <c r="F68" s="91"/>
      <c r="G68" s="91"/>
      <c r="H68" s="91"/>
      <c r="I68" s="91"/>
      <c r="J68" s="91"/>
      <c r="K68" s="91"/>
      <c r="L68" s="91"/>
      <c r="M68" s="91"/>
      <c r="N68" s="91"/>
      <c r="O68" s="91"/>
      <c r="P68" s="91"/>
      <c r="Q68" s="91"/>
      <c r="R68" s="91"/>
      <c r="S68" s="91"/>
      <c r="T68" s="91"/>
      <c r="U68" s="91"/>
    </row>
    <row r="69" spans="1:27" ht="18" customHeight="1" x14ac:dyDescent="0.15">
      <c r="A69" s="91"/>
      <c r="B69" s="91"/>
      <c r="C69" s="91"/>
      <c r="D69" s="91"/>
      <c r="E69" s="91"/>
      <c r="F69" s="91"/>
      <c r="G69" s="91"/>
      <c r="H69" s="91"/>
      <c r="I69" s="91"/>
      <c r="J69" s="91"/>
      <c r="K69" s="91"/>
      <c r="L69" s="91"/>
      <c r="M69" s="91"/>
      <c r="N69" s="91"/>
      <c r="O69" s="91"/>
      <c r="P69" s="91"/>
      <c r="Q69" s="91"/>
      <c r="R69" s="91"/>
      <c r="S69" s="91"/>
      <c r="T69" s="91"/>
      <c r="U69" s="91"/>
    </row>
    <row r="70" spans="1:27" ht="18" customHeight="1" x14ac:dyDescent="0.15">
      <c r="B70" s="98" t="s">
        <v>48</v>
      </c>
      <c r="C70" s="99"/>
      <c r="D70" s="99"/>
      <c r="E70" s="99"/>
      <c r="F70" s="60" t="s">
        <v>73</v>
      </c>
      <c r="G70" s="61" t="s">
        <v>76</v>
      </c>
      <c r="H70" s="62" t="s">
        <v>87</v>
      </c>
      <c r="I70" s="62" t="s">
        <v>68</v>
      </c>
      <c r="J70" s="62" t="s">
        <v>69</v>
      </c>
      <c r="K70" s="98" t="s">
        <v>48</v>
      </c>
      <c r="L70" s="99"/>
      <c r="M70" s="99"/>
      <c r="N70" s="99"/>
      <c r="O70" s="99"/>
      <c r="P70" s="100"/>
      <c r="Q70" s="60" t="s">
        <v>73</v>
      </c>
      <c r="R70" s="61" t="s">
        <v>76</v>
      </c>
      <c r="S70" s="62" t="s">
        <v>87</v>
      </c>
      <c r="T70" s="62" t="s">
        <v>68</v>
      </c>
      <c r="U70" s="62" t="s">
        <v>69</v>
      </c>
    </row>
    <row r="71" spans="1:27" ht="18" customHeight="1" x14ac:dyDescent="0.15">
      <c r="A71" s="3"/>
      <c r="B71" s="92" t="s">
        <v>146</v>
      </c>
      <c r="C71" s="93"/>
      <c r="D71" s="93"/>
      <c r="E71" s="93"/>
      <c r="F71" s="63">
        <v>2</v>
      </c>
      <c r="G71" s="63"/>
      <c r="H71" s="63" t="s">
        <v>149</v>
      </c>
      <c r="I71" s="63" t="s">
        <v>149</v>
      </c>
      <c r="J71" s="63" t="s">
        <v>149</v>
      </c>
      <c r="K71" s="92"/>
      <c r="L71" s="93"/>
      <c r="M71" s="93"/>
      <c r="N71" s="93"/>
      <c r="O71" s="93"/>
      <c r="P71" s="94"/>
      <c r="Q71" s="63"/>
      <c r="R71" s="63"/>
      <c r="S71" s="63"/>
      <c r="T71" s="63"/>
      <c r="U71" s="63"/>
    </row>
    <row r="72" spans="1:27" ht="18" customHeight="1" x14ac:dyDescent="0.15">
      <c r="A72" s="3"/>
      <c r="B72" s="85" t="s">
        <v>147</v>
      </c>
      <c r="C72" s="86"/>
      <c r="D72" s="86"/>
      <c r="E72" s="86"/>
      <c r="F72" s="64">
        <v>2</v>
      </c>
      <c r="G72" s="64"/>
      <c r="H72" s="64" t="s">
        <v>149</v>
      </c>
      <c r="I72" s="64" t="s">
        <v>149</v>
      </c>
      <c r="J72" s="64" t="s">
        <v>149</v>
      </c>
      <c r="K72" s="85"/>
      <c r="L72" s="86"/>
      <c r="M72" s="86"/>
      <c r="N72" s="86"/>
      <c r="O72" s="86"/>
      <c r="P72" s="87"/>
      <c r="Q72" s="64"/>
      <c r="R72" s="64"/>
      <c r="S72" s="64"/>
      <c r="T72" s="64"/>
      <c r="U72" s="64"/>
    </row>
    <row r="73" spans="1:27" ht="18" customHeight="1" x14ac:dyDescent="0.15">
      <c r="A73" s="3"/>
      <c r="B73" s="85" t="s">
        <v>148</v>
      </c>
      <c r="C73" s="86"/>
      <c r="D73" s="86"/>
      <c r="E73" s="86"/>
      <c r="F73" s="64">
        <v>2</v>
      </c>
      <c r="G73" s="64"/>
      <c r="H73" s="64" t="s">
        <v>149</v>
      </c>
      <c r="I73" s="64" t="s">
        <v>149</v>
      </c>
      <c r="J73" s="64" t="s">
        <v>149</v>
      </c>
      <c r="K73" s="85"/>
      <c r="L73" s="86"/>
      <c r="M73" s="86"/>
      <c r="N73" s="86"/>
      <c r="O73" s="86"/>
      <c r="P73" s="87"/>
      <c r="Q73" s="64"/>
      <c r="R73" s="64"/>
      <c r="S73" s="64"/>
      <c r="T73" s="64"/>
      <c r="U73" s="64"/>
    </row>
    <row r="74" spans="1:27" ht="18" customHeight="1" x14ac:dyDescent="0.15">
      <c r="A74" s="3"/>
      <c r="B74" s="85"/>
      <c r="C74" s="86"/>
      <c r="D74" s="86"/>
      <c r="E74" s="86"/>
      <c r="F74" s="64"/>
      <c r="G74" s="64"/>
      <c r="H74" s="64"/>
      <c r="I74" s="64"/>
      <c r="J74" s="64"/>
      <c r="K74" s="85"/>
      <c r="L74" s="86"/>
      <c r="M74" s="86"/>
      <c r="N74" s="86"/>
      <c r="O74" s="86"/>
      <c r="P74" s="87"/>
      <c r="Q74" s="64"/>
      <c r="R74" s="64"/>
      <c r="S74" s="64"/>
      <c r="T74" s="64"/>
      <c r="U74" s="64"/>
    </row>
    <row r="75" spans="1:27" ht="18" customHeight="1" x14ac:dyDescent="0.15">
      <c r="A75" s="3"/>
      <c r="B75" s="85"/>
      <c r="C75" s="86"/>
      <c r="D75" s="86"/>
      <c r="E75" s="86"/>
      <c r="F75" s="64"/>
      <c r="G75" s="64"/>
      <c r="H75" s="64"/>
      <c r="I75" s="64"/>
      <c r="J75" s="64"/>
      <c r="K75" s="85"/>
      <c r="L75" s="86"/>
      <c r="M75" s="86"/>
      <c r="N75" s="86"/>
      <c r="O75" s="86"/>
      <c r="P75" s="87"/>
      <c r="Q75" s="64"/>
      <c r="R75" s="64"/>
      <c r="S75" s="64"/>
      <c r="T75" s="64"/>
      <c r="U75" s="64"/>
    </row>
    <row r="76" spans="1:27" ht="18" customHeight="1" x14ac:dyDescent="0.15">
      <c r="A76" s="3"/>
      <c r="B76" s="85"/>
      <c r="C76" s="86"/>
      <c r="D76" s="86"/>
      <c r="E76" s="86"/>
      <c r="F76" s="64"/>
      <c r="G76" s="64"/>
      <c r="H76" s="64"/>
      <c r="I76" s="64"/>
      <c r="J76" s="64"/>
      <c r="K76" s="85"/>
      <c r="L76" s="86"/>
      <c r="M76" s="86"/>
      <c r="N76" s="86"/>
      <c r="O76" s="86"/>
      <c r="P76" s="87"/>
      <c r="Q76" s="64"/>
      <c r="R76" s="64"/>
      <c r="S76" s="64"/>
      <c r="T76" s="64"/>
      <c r="U76" s="64"/>
    </row>
    <row r="77" spans="1:27" ht="18" customHeight="1" x14ac:dyDescent="0.15">
      <c r="A77" s="3"/>
      <c r="B77" s="88"/>
      <c r="C77" s="89"/>
      <c r="D77" s="89"/>
      <c r="E77" s="89"/>
      <c r="F77" s="65"/>
      <c r="G77" s="65"/>
      <c r="H77" s="66"/>
      <c r="I77" s="66"/>
      <c r="J77" s="66"/>
      <c r="K77" s="88"/>
      <c r="L77" s="89"/>
      <c r="M77" s="89"/>
      <c r="N77" s="89"/>
      <c r="O77" s="89"/>
      <c r="P77" s="90"/>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8" t="s">
        <v>48</v>
      </c>
      <c r="C80" s="99"/>
      <c r="D80" s="99"/>
      <c r="E80" s="99"/>
      <c r="F80" s="100"/>
      <c r="G80" s="98" t="s">
        <v>74</v>
      </c>
      <c r="H80" s="99"/>
      <c r="I80" s="99"/>
      <c r="J80" s="100"/>
      <c r="K80" s="106" t="s">
        <v>48</v>
      </c>
      <c r="L80" s="107"/>
      <c r="M80" s="107"/>
      <c r="N80" s="107"/>
      <c r="O80" s="107"/>
      <c r="P80" s="107"/>
      <c r="Q80" s="108"/>
      <c r="R80" s="98" t="s">
        <v>74</v>
      </c>
      <c r="S80" s="99"/>
      <c r="T80" s="99"/>
      <c r="U80" s="100"/>
      <c r="AA80" s="1" t="s">
        <v>138</v>
      </c>
    </row>
    <row r="81" spans="1:27" ht="18" customHeight="1" x14ac:dyDescent="0.15">
      <c r="A81" s="3"/>
      <c r="B81" s="92" t="s">
        <v>147</v>
      </c>
      <c r="C81" s="93"/>
      <c r="D81" s="93"/>
      <c r="E81" s="93"/>
      <c r="F81" s="94"/>
      <c r="G81" s="95" t="s">
        <v>150</v>
      </c>
      <c r="H81" s="96"/>
      <c r="I81" s="96"/>
      <c r="J81" s="97"/>
      <c r="K81" s="92"/>
      <c r="L81" s="93"/>
      <c r="M81" s="93"/>
      <c r="N81" s="93"/>
      <c r="O81" s="93"/>
      <c r="P81" s="93"/>
      <c r="Q81" s="94"/>
      <c r="R81" s="95"/>
      <c r="S81" s="96"/>
      <c r="T81" s="96"/>
      <c r="U81" s="97"/>
      <c r="AA81" s="1" t="s">
        <v>131</v>
      </c>
    </row>
    <row r="82" spans="1:27" ht="18" customHeight="1" x14ac:dyDescent="0.15">
      <c r="A82" s="3"/>
      <c r="B82" s="85" t="s">
        <v>147</v>
      </c>
      <c r="C82" s="86"/>
      <c r="D82" s="86"/>
      <c r="E82" s="86"/>
      <c r="F82" s="87"/>
      <c r="G82" s="103" t="s">
        <v>151</v>
      </c>
      <c r="H82" s="104"/>
      <c r="I82" s="104"/>
      <c r="J82" s="105"/>
      <c r="K82" s="85"/>
      <c r="L82" s="86"/>
      <c r="M82" s="86"/>
      <c r="N82" s="86"/>
      <c r="O82" s="86"/>
      <c r="P82" s="86"/>
      <c r="Q82" s="87"/>
      <c r="R82" s="103"/>
      <c r="S82" s="104"/>
      <c r="T82" s="104"/>
      <c r="U82" s="105"/>
      <c r="AA82" s="1" t="s">
        <v>132</v>
      </c>
    </row>
    <row r="83" spans="1:27" ht="18" customHeight="1" x14ac:dyDescent="0.15">
      <c r="A83" s="3"/>
      <c r="B83" s="85" t="s">
        <v>147</v>
      </c>
      <c r="C83" s="86"/>
      <c r="D83" s="86"/>
      <c r="E83" s="86"/>
      <c r="F83" s="87"/>
      <c r="G83" s="103" t="s">
        <v>152</v>
      </c>
      <c r="H83" s="104"/>
      <c r="I83" s="104"/>
      <c r="J83" s="105"/>
      <c r="K83" s="85"/>
      <c r="L83" s="86"/>
      <c r="M83" s="86"/>
      <c r="N83" s="86"/>
      <c r="O83" s="86"/>
      <c r="P83" s="86"/>
      <c r="Q83" s="87"/>
      <c r="R83" s="103"/>
      <c r="S83" s="104"/>
      <c r="T83" s="104"/>
      <c r="U83" s="105"/>
      <c r="AA83" s="1" t="s">
        <v>133</v>
      </c>
    </row>
    <row r="84" spans="1:27" ht="18" customHeight="1" x14ac:dyDescent="0.15">
      <c r="A84" s="3"/>
      <c r="B84" s="85"/>
      <c r="C84" s="86"/>
      <c r="D84" s="86"/>
      <c r="E84" s="86"/>
      <c r="F84" s="87"/>
      <c r="G84" s="103"/>
      <c r="H84" s="104"/>
      <c r="I84" s="104"/>
      <c r="J84" s="105"/>
      <c r="K84" s="85"/>
      <c r="L84" s="86"/>
      <c r="M84" s="86"/>
      <c r="N84" s="86"/>
      <c r="O84" s="86"/>
      <c r="P84" s="86"/>
      <c r="Q84" s="87"/>
      <c r="R84" s="103"/>
      <c r="S84" s="104"/>
      <c r="T84" s="104"/>
      <c r="U84" s="105"/>
      <c r="AA84" s="1" t="s">
        <v>139</v>
      </c>
    </row>
    <row r="85" spans="1:27" ht="18" customHeight="1" x14ac:dyDescent="0.15">
      <c r="A85" s="3"/>
      <c r="B85" s="85"/>
      <c r="C85" s="86"/>
      <c r="D85" s="86"/>
      <c r="E85" s="86"/>
      <c r="F85" s="87"/>
      <c r="G85" s="103"/>
      <c r="H85" s="104"/>
      <c r="I85" s="104"/>
      <c r="J85" s="105"/>
      <c r="K85" s="85"/>
      <c r="L85" s="86"/>
      <c r="M85" s="86"/>
      <c r="N85" s="86"/>
      <c r="O85" s="86"/>
      <c r="P85" s="86"/>
      <c r="Q85" s="87"/>
      <c r="R85" s="103"/>
      <c r="S85" s="104"/>
      <c r="T85" s="104"/>
      <c r="U85" s="105"/>
      <c r="AA85" s="1" t="s">
        <v>140</v>
      </c>
    </row>
    <row r="86" spans="1:27" ht="18" customHeight="1" x14ac:dyDescent="0.15">
      <c r="A86" s="3"/>
      <c r="B86" s="85"/>
      <c r="C86" s="86"/>
      <c r="D86" s="86"/>
      <c r="E86" s="86"/>
      <c r="F86" s="87"/>
      <c r="G86" s="103"/>
      <c r="H86" s="104"/>
      <c r="I86" s="104"/>
      <c r="J86" s="105"/>
      <c r="K86" s="85"/>
      <c r="L86" s="86"/>
      <c r="M86" s="86"/>
      <c r="N86" s="86"/>
      <c r="O86" s="86"/>
      <c r="P86" s="86"/>
      <c r="Q86" s="87"/>
      <c r="R86" s="103"/>
      <c r="S86" s="104"/>
      <c r="T86" s="104"/>
      <c r="U86" s="105"/>
      <c r="AA86" s="1" t="s">
        <v>134</v>
      </c>
    </row>
    <row r="87" spans="1:27" ht="18" customHeight="1" x14ac:dyDescent="0.15">
      <c r="A87" s="3"/>
      <c r="B87" s="88"/>
      <c r="C87" s="89"/>
      <c r="D87" s="89"/>
      <c r="E87" s="89"/>
      <c r="F87" s="90"/>
      <c r="G87" s="122"/>
      <c r="H87" s="123"/>
      <c r="I87" s="123"/>
      <c r="J87" s="124"/>
      <c r="K87" s="88"/>
      <c r="L87" s="89"/>
      <c r="M87" s="89"/>
      <c r="N87" s="89"/>
      <c r="O87" s="89"/>
      <c r="P87" s="89"/>
      <c r="Q87" s="90"/>
      <c r="R87" s="122"/>
      <c r="S87" s="123"/>
      <c r="T87" s="123"/>
      <c r="U87" s="124"/>
      <c r="AA87" s="1" t="s">
        <v>135</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15">
      <c r="A89" s="1" t="s">
        <v>102</v>
      </c>
      <c r="AA89" s="1" t="s">
        <v>137</v>
      </c>
    </row>
    <row r="90" spans="1:27" ht="18.75" customHeight="1" x14ac:dyDescent="0.15">
      <c r="B90" s="126" t="s">
        <v>49</v>
      </c>
      <c r="C90" s="127"/>
      <c r="D90" s="98" t="s">
        <v>50</v>
      </c>
      <c r="E90" s="99"/>
      <c r="F90" s="99"/>
      <c r="G90" s="99"/>
      <c r="H90" s="99"/>
      <c r="I90" s="99"/>
      <c r="J90" s="99"/>
      <c r="K90" s="99"/>
      <c r="L90" s="99"/>
      <c r="M90" s="99"/>
      <c r="N90" s="99"/>
      <c r="O90" s="99"/>
      <c r="P90" s="99"/>
      <c r="Q90" s="99"/>
      <c r="R90" s="99"/>
      <c r="S90" s="99"/>
      <c r="T90" s="99"/>
      <c r="U90" s="100"/>
    </row>
    <row r="91" spans="1:27" ht="180" customHeight="1" x14ac:dyDescent="0.15">
      <c r="B91" s="101" t="s">
        <v>56</v>
      </c>
      <c r="C91" s="68" t="s">
        <v>51</v>
      </c>
      <c r="D91" s="135" t="s">
        <v>153</v>
      </c>
      <c r="E91" s="136"/>
      <c r="F91" s="136"/>
      <c r="G91" s="136"/>
      <c r="H91" s="136"/>
      <c r="I91" s="136"/>
      <c r="J91" s="136"/>
      <c r="K91" s="136"/>
      <c r="L91" s="136"/>
      <c r="M91" s="136"/>
      <c r="N91" s="136"/>
      <c r="O91" s="136"/>
      <c r="P91" s="136"/>
      <c r="Q91" s="136"/>
      <c r="R91" s="136"/>
      <c r="S91" s="136"/>
      <c r="T91" s="136"/>
      <c r="U91" s="137"/>
    </row>
    <row r="92" spans="1:27" ht="180" customHeight="1" x14ac:dyDescent="0.15">
      <c r="B92" s="102"/>
      <c r="C92" s="70" t="s">
        <v>70</v>
      </c>
      <c r="D92" s="132" t="s">
        <v>154</v>
      </c>
      <c r="E92" s="133"/>
      <c r="F92" s="133"/>
      <c r="G92" s="133"/>
      <c r="H92" s="133"/>
      <c r="I92" s="133"/>
      <c r="J92" s="133"/>
      <c r="K92" s="133"/>
      <c r="L92" s="133"/>
      <c r="M92" s="133"/>
      <c r="N92" s="133"/>
      <c r="O92" s="133"/>
      <c r="P92" s="133"/>
      <c r="Q92" s="133"/>
      <c r="R92" s="133"/>
      <c r="S92" s="133"/>
      <c r="T92" s="133"/>
      <c r="U92" s="134"/>
    </row>
    <row r="93" spans="1:27" ht="177.75" customHeight="1" x14ac:dyDescent="0.15">
      <c r="B93" s="101" t="s">
        <v>57</v>
      </c>
      <c r="C93" s="69" t="s">
        <v>64</v>
      </c>
      <c r="D93" s="135" t="s">
        <v>155</v>
      </c>
      <c r="E93" s="136"/>
      <c r="F93" s="136"/>
      <c r="G93" s="136"/>
      <c r="H93" s="136"/>
      <c r="I93" s="136"/>
      <c r="J93" s="136"/>
      <c r="K93" s="136"/>
      <c r="L93" s="136"/>
      <c r="M93" s="136"/>
      <c r="N93" s="136"/>
      <c r="O93" s="136"/>
      <c r="P93" s="136"/>
      <c r="Q93" s="136"/>
      <c r="R93" s="136"/>
      <c r="S93" s="136"/>
      <c r="T93" s="136"/>
      <c r="U93" s="137"/>
    </row>
    <row r="94" spans="1:27" ht="219" customHeight="1" x14ac:dyDescent="0.15">
      <c r="B94" s="102"/>
      <c r="C94" s="70" t="s">
        <v>65</v>
      </c>
      <c r="D94" s="132" t="s">
        <v>156</v>
      </c>
      <c r="E94" s="133"/>
      <c r="F94" s="133"/>
      <c r="G94" s="133"/>
      <c r="H94" s="133"/>
      <c r="I94" s="133"/>
      <c r="J94" s="133"/>
      <c r="K94" s="133"/>
      <c r="L94" s="133"/>
      <c r="M94" s="133"/>
      <c r="N94" s="133"/>
      <c r="O94" s="133"/>
      <c r="P94" s="133"/>
      <c r="Q94" s="133"/>
      <c r="R94" s="133"/>
      <c r="S94" s="133"/>
      <c r="T94" s="133"/>
      <c r="U94" s="134"/>
    </row>
    <row r="95" spans="1:27" ht="244.5" customHeight="1" x14ac:dyDescent="0.15">
      <c r="B95" s="101" t="s">
        <v>58</v>
      </c>
      <c r="C95" s="69" t="s">
        <v>66</v>
      </c>
      <c r="D95" s="135" t="s">
        <v>184</v>
      </c>
      <c r="E95" s="136"/>
      <c r="F95" s="136"/>
      <c r="G95" s="136"/>
      <c r="H95" s="136"/>
      <c r="I95" s="136"/>
      <c r="J95" s="136"/>
      <c r="K95" s="136"/>
      <c r="L95" s="136"/>
      <c r="M95" s="136"/>
      <c r="N95" s="136"/>
      <c r="O95" s="136"/>
      <c r="P95" s="136"/>
      <c r="Q95" s="136"/>
      <c r="R95" s="136"/>
      <c r="S95" s="136"/>
      <c r="T95" s="136"/>
      <c r="U95" s="137"/>
    </row>
    <row r="96" spans="1:27" ht="200.25" customHeight="1" x14ac:dyDescent="0.15">
      <c r="B96" s="102"/>
      <c r="C96" s="71" t="s">
        <v>67</v>
      </c>
      <c r="D96" s="132" t="s">
        <v>157</v>
      </c>
      <c r="E96" s="133"/>
      <c r="F96" s="133"/>
      <c r="G96" s="133"/>
      <c r="H96" s="133"/>
      <c r="I96" s="133"/>
      <c r="J96" s="133"/>
      <c r="K96" s="133"/>
      <c r="L96" s="133"/>
      <c r="M96" s="133"/>
      <c r="N96" s="133"/>
      <c r="O96" s="133"/>
      <c r="P96" s="133"/>
      <c r="Q96" s="133"/>
      <c r="R96" s="133"/>
      <c r="S96" s="133"/>
      <c r="T96" s="133"/>
      <c r="U96" s="134"/>
    </row>
    <row r="97" spans="1:21" ht="230.25" customHeight="1" x14ac:dyDescent="0.15">
      <c r="B97" s="101" t="s">
        <v>71</v>
      </c>
      <c r="C97" s="68" t="s">
        <v>53</v>
      </c>
      <c r="D97" s="135" t="s">
        <v>185</v>
      </c>
      <c r="E97" s="136"/>
      <c r="F97" s="136"/>
      <c r="G97" s="136"/>
      <c r="H97" s="136"/>
      <c r="I97" s="136"/>
      <c r="J97" s="136"/>
      <c r="K97" s="136"/>
      <c r="L97" s="136"/>
      <c r="M97" s="136"/>
      <c r="N97" s="136"/>
      <c r="O97" s="136"/>
      <c r="P97" s="136"/>
      <c r="Q97" s="136"/>
      <c r="R97" s="136"/>
      <c r="S97" s="136"/>
      <c r="T97" s="136"/>
      <c r="U97" s="137"/>
    </row>
    <row r="98" spans="1:21" ht="240" customHeight="1" x14ac:dyDescent="0.15">
      <c r="B98" s="102"/>
      <c r="C98" s="70" t="s">
        <v>55</v>
      </c>
      <c r="D98" s="132" t="s">
        <v>158</v>
      </c>
      <c r="E98" s="133"/>
      <c r="F98" s="133"/>
      <c r="G98" s="133"/>
      <c r="H98" s="133"/>
      <c r="I98" s="133"/>
      <c r="J98" s="133"/>
      <c r="K98" s="133"/>
      <c r="L98" s="133"/>
      <c r="M98" s="133"/>
      <c r="N98" s="133"/>
      <c r="O98" s="133"/>
      <c r="P98" s="133"/>
      <c r="Q98" s="133"/>
      <c r="R98" s="133"/>
      <c r="S98" s="133"/>
      <c r="T98" s="133"/>
      <c r="U98" s="134"/>
    </row>
    <row r="99" spans="1:21" ht="350.1" customHeight="1" x14ac:dyDescent="0.15">
      <c r="B99" s="101" t="s">
        <v>72</v>
      </c>
      <c r="C99" s="69" t="s">
        <v>52</v>
      </c>
      <c r="D99" s="135" t="s">
        <v>159</v>
      </c>
      <c r="E99" s="136"/>
      <c r="F99" s="136"/>
      <c r="G99" s="136"/>
      <c r="H99" s="136"/>
      <c r="I99" s="136"/>
      <c r="J99" s="136"/>
      <c r="K99" s="136"/>
      <c r="L99" s="136"/>
      <c r="M99" s="136"/>
      <c r="N99" s="136"/>
      <c r="O99" s="136"/>
      <c r="P99" s="136"/>
      <c r="Q99" s="136"/>
      <c r="R99" s="136"/>
      <c r="S99" s="136"/>
      <c r="T99" s="136"/>
      <c r="U99" s="137"/>
    </row>
    <row r="100" spans="1:21" ht="223.5" customHeight="1" x14ac:dyDescent="0.15">
      <c r="B100" s="125"/>
      <c r="C100" s="72" t="s">
        <v>68</v>
      </c>
      <c r="D100" s="138" t="s">
        <v>160</v>
      </c>
      <c r="E100" s="139"/>
      <c r="F100" s="139"/>
      <c r="G100" s="139"/>
      <c r="H100" s="139"/>
      <c r="I100" s="139"/>
      <c r="J100" s="139"/>
      <c r="K100" s="139"/>
      <c r="L100" s="139"/>
      <c r="M100" s="139"/>
      <c r="N100" s="139"/>
      <c r="O100" s="139"/>
      <c r="P100" s="139"/>
      <c r="Q100" s="139"/>
      <c r="R100" s="139"/>
      <c r="S100" s="139"/>
      <c r="T100" s="139"/>
      <c r="U100" s="140"/>
    </row>
    <row r="101" spans="1:21" ht="240.75" customHeight="1" x14ac:dyDescent="0.15">
      <c r="B101" s="102"/>
      <c r="C101" s="71" t="s">
        <v>69</v>
      </c>
      <c r="D101" s="132" t="s">
        <v>161</v>
      </c>
      <c r="E101" s="133"/>
      <c r="F101" s="133"/>
      <c r="G101" s="133"/>
      <c r="H101" s="133"/>
      <c r="I101" s="133"/>
      <c r="J101" s="133"/>
      <c r="K101" s="133"/>
      <c r="L101" s="133"/>
      <c r="M101" s="133"/>
      <c r="N101" s="133"/>
      <c r="O101" s="133"/>
      <c r="P101" s="133"/>
      <c r="Q101" s="133"/>
      <c r="R101" s="133"/>
      <c r="S101" s="133"/>
      <c r="T101" s="133"/>
      <c r="U101" s="134"/>
    </row>
    <row r="102" spans="1:21" ht="6" customHeight="1" x14ac:dyDescent="0.15"/>
    <row r="103" spans="1:21" ht="18.75" customHeight="1" x14ac:dyDescent="0.15">
      <c r="A103" s="1" t="s">
        <v>103</v>
      </c>
    </row>
    <row r="104" spans="1:21" ht="81.75" customHeight="1" x14ac:dyDescent="0.15">
      <c r="B104" s="119" t="s">
        <v>162</v>
      </c>
      <c r="C104" s="120"/>
      <c r="D104" s="120"/>
      <c r="E104" s="120"/>
      <c r="F104" s="120"/>
      <c r="G104" s="120"/>
      <c r="H104" s="120"/>
      <c r="I104" s="120"/>
      <c r="J104" s="120"/>
      <c r="K104" s="120"/>
      <c r="L104" s="120"/>
      <c r="M104" s="120"/>
      <c r="N104" s="120"/>
      <c r="O104" s="120"/>
      <c r="P104" s="120"/>
      <c r="Q104" s="120"/>
      <c r="R104" s="120"/>
      <c r="S104" s="120"/>
      <c r="T104" s="120"/>
      <c r="U104" s="121"/>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 type="list" allowBlank="1" showInputMessage="1" showErrorMessage="1" sqref="G81:J87 R81:U87">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&amp;C数理・データサイエンス・AI教育プログラム認定制度【リテラシーレベル】令和7年度申請用</oddHeader>
  </headerFooter>
  <rowBreaks count="3" manualBreakCount="3">
    <brk id="67" max="20" man="1"/>
    <brk id="92"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tabSelected="1" view="pageBreakPreview" zoomScaleNormal="100" zoomScaleSheetLayoutView="100" workbookViewId="0">
      <selection activeCell="I8" sqref="I8"/>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92</v>
      </c>
    </row>
    <row r="2" spans="1:21" ht="18" customHeight="1" x14ac:dyDescent="0.15">
      <c r="A2" s="54"/>
      <c r="B2" s="54"/>
      <c r="C2" s="54"/>
      <c r="D2" s="54"/>
      <c r="E2" s="54"/>
      <c r="F2" s="54"/>
      <c r="G2" s="54"/>
      <c r="H2" s="54"/>
      <c r="I2" s="54"/>
      <c r="J2" s="54"/>
      <c r="K2" s="54"/>
      <c r="L2" s="54"/>
      <c r="M2" s="54"/>
      <c r="N2" s="54"/>
      <c r="O2" s="54"/>
      <c r="P2" s="54"/>
      <c r="Q2" s="154" t="str">
        <f>'様式１　プログラムを構成する授業科目'!C2</f>
        <v>桜花学園大学</v>
      </c>
      <c r="R2" s="154"/>
      <c r="S2" s="154"/>
    </row>
    <row r="3" spans="1:21" ht="18" customHeight="1" x14ac:dyDescent="0.15">
      <c r="A3" s="109" t="s">
        <v>142</v>
      </c>
      <c r="B3" s="109"/>
      <c r="C3" s="109"/>
      <c r="D3" s="109"/>
      <c r="E3" s="109"/>
      <c r="F3" s="109"/>
      <c r="G3" s="109"/>
      <c r="H3" s="109"/>
      <c r="I3" s="109"/>
      <c r="J3" s="109"/>
      <c r="K3" s="109"/>
      <c r="L3" s="109"/>
      <c r="M3" s="109"/>
      <c r="N3" s="109"/>
      <c r="O3" s="109"/>
      <c r="P3" s="109"/>
      <c r="Q3" s="109"/>
      <c r="R3" s="109"/>
      <c r="S3" s="109"/>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75</v>
      </c>
      <c r="B5" s="54"/>
      <c r="C5" s="155" t="s">
        <v>163</v>
      </c>
      <c r="D5" s="156"/>
      <c r="E5" s="58" t="s">
        <v>125</v>
      </c>
      <c r="F5" s="56"/>
      <c r="G5" s="56"/>
      <c r="H5" s="56"/>
      <c r="I5" s="56"/>
      <c r="J5" s="56"/>
      <c r="K5" s="56"/>
      <c r="L5" s="56"/>
      <c r="M5" s="56"/>
      <c r="N5" s="56"/>
      <c r="O5" s="56"/>
      <c r="P5" s="56"/>
      <c r="Q5" s="56"/>
      <c r="R5" s="55"/>
      <c r="S5" s="55"/>
    </row>
    <row r="6" spans="1:21" ht="7.15" customHeight="1" x14ac:dyDescent="0.15">
      <c r="A6" s="54"/>
      <c r="B6" s="54"/>
      <c r="C6" s="76"/>
      <c r="D6" s="76"/>
      <c r="E6" s="56"/>
      <c r="F6" s="56"/>
      <c r="G6" s="56"/>
      <c r="H6" s="56"/>
      <c r="I6" s="56"/>
      <c r="J6" s="56"/>
      <c r="K6" s="56"/>
      <c r="L6" s="56"/>
      <c r="M6" s="56"/>
      <c r="N6" s="56"/>
      <c r="O6" s="56"/>
      <c r="P6" s="56"/>
      <c r="Q6" s="56"/>
      <c r="R6" s="55"/>
      <c r="S6" s="55"/>
    </row>
    <row r="7" spans="1:21" ht="18" customHeight="1" x14ac:dyDescent="0.15">
      <c r="A7" s="54" t="s">
        <v>109</v>
      </c>
      <c r="B7" s="54"/>
      <c r="C7" s="76"/>
      <c r="D7" s="76"/>
      <c r="E7" s="56" t="s">
        <v>110</v>
      </c>
      <c r="F7" s="59">
        <v>23</v>
      </c>
      <c r="G7" s="58" t="s">
        <v>111</v>
      </c>
      <c r="H7" s="56" t="s">
        <v>112</v>
      </c>
      <c r="I7" s="59">
        <v>743</v>
      </c>
      <c r="J7" s="58" t="s">
        <v>111</v>
      </c>
      <c r="K7" s="57" t="s">
        <v>113</v>
      </c>
      <c r="L7" s="56" t="s">
        <v>114</v>
      </c>
      <c r="M7" s="59">
        <f>F7+I7</f>
        <v>766</v>
      </c>
      <c r="N7" s="56" t="s">
        <v>1</v>
      </c>
      <c r="O7" s="58" t="s">
        <v>115</v>
      </c>
      <c r="P7" s="56"/>
      <c r="Q7" s="56"/>
      <c r="R7" s="55"/>
      <c r="S7" s="55"/>
    </row>
    <row r="8" spans="1:21" ht="17.45" customHeight="1" x14ac:dyDescent="0.15">
      <c r="A8" s="56"/>
      <c r="B8" s="77" t="s">
        <v>128</v>
      </c>
      <c r="C8" s="56"/>
      <c r="D8" s="56"/>
      <c r="E8" s="56"/>
      <c r="F8" s="56"/>
      <c r="G8" s="56"/>
      <c r="H8" s="56"/>
      <c r="I8" s="56"/>
      <c r="J8" s="56"/>
      <c r="K8" s="56"/>
      <c r="L8" s="56"/>
      <c r="M8" s="56"/>
      <c r="N8" s="56"/>
      <c r="O8" s="56"/>
      <c r="P8" s="56"/>
      <c r="Q8" s="56"/>
      <c r="R8" s="56"/>
      <c r="S8" s="56"/>
    </row>
    <row r="9" spans="1:21" ht="18" customHeight="1" x14ac:dyDescent="0.15">
      <c r="A9" s="54" t="s">
        <v>120</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7" t="s">
        <v>43</v>
      </c>
      <c r="C11" s="167" t="s">
        <v>78</v>
      </c>
      <c r="D11" s="159" t="s">
        <v>45</v>
      </c>
      <c r="E11" s="161" t="s">
        <v>38</v>
      </c>
      <c r="F11" s="153" t="s">
        <v>126</v>
      </c>
      <c r="G11" s="153"/>
      <c r="H11" s="153" t="s">
        <v>106</v>
      </c>
      <c r="I11" s="153"/>
      <c r="J11" s="153" t="s">
        <v>77</v>
      </c>
      <c r="K11" s="153"/>
      <c r="L11" s="153" t="s">
        <v>46</v>
      </c>
      <c r="M11" s="153"/>
      <c r="N11" s="153" t="s">
        <v>47</v>
      </c>
      <c r="O11" s="153"/>
      <c r="P11" s="153" t="s">
        <v>127</v>
      </c>
      <c r="Q11" s="153"/>
      <c r="R11" s="163" t="s">
        <v>35</v>
      </c>
      <c r="S11" s="165" t="s">
        <v>32</v>
      </c>
      <c r="U11" s="2"/>
    </row>
    <row r="12" spans="1:21" ht="16.899999999999999" customHeight="1" x14ac:dyDescent="0.15">
      <c r="B12" s="158"/>
      <c r="C12" s="168"/>
      <c r="D12" s="160"/>
      <c r="E12" s="162"/>
      <c r="F12" s="78" t="s">
        <v>86</v>
      </c>
      <c r="G12" s="78" t="s">
        <v>29</v>
      </c>
      <c r="H12" s="78" t="s">
        <v>86</v>
      </c>
      <c r="I12" s="78" t="s">
        <v>29</v>
      </c>
      <c r="J12" s="78" t="s">
        <v>86</v>
      </c>
      <c r="K12" s="78" t="s">
        <v>29</v>
      </c>
      <c r="L12" s="78" t="s">
        <v>86</v>
      </c>
      <c r="M12" s="78" t="s">
        <v>29</v>
      </c>
      <c r="N12" s="78" t="s">
        <v>86</v>
      </c>
      <c r="O12" s="78" t="s">
        <v>29</v>
      </c>
      <c r="P12" s="78" t="s">
        <v>86</v>
      </c>
      <c r="Q12" s="79" t="s">
        <v>29</v>
      </c>
      <c r="R12" s="164"/>
      <c r="S12" s="166"/>
      <c r="U12" s="2"/>
    </row>
    <row r="13" spans="1:21" ht="18" customHeight="1" x14ac:dyDescent="0.15">
      <c r="A13" s="6"/>
      <c r="B13" s="48" t="s">
        <v>164</v>
      </c>
      <c r="C13" s="36">
        <v>610</v>
      </c>
      <c r="D13" s="37">
        <v>175</v>
      </c>
      <c r="E13" s="38">
        <v>710</v>
      </c>
      <c r="F13" s="84">
        <v>138</v>
      </c>
      <c r="G13" s="82">
        <v>137</v>
      </c>
      <c r="H13" s="38"/>
      <c r="I13" s="38"/>
      <c r="J13" s="38"/>
      <c r="K13" s="38"/>
      <c r="L13" s="38"/>
      <c r="M13" s="38"/>
      <c r="N13" s="38"/>
      <c r="O13" s="38"/>
      <c r="P13" s="38"/>
      <c r="Q13" s="49"/>
      <c r="R13" s="37">
        <f t="shared" ref="R13:R32" si="0">F13+H13+J13+L13+N13+P13</f>
        <v>138</v>
      </c>
      <c r="S13" s="50">
        <f t="shared" ref="S13:S33" si="1">R13/E13</f>
        <v>0.19436619718309858</v>
      </c>
    </row>
    <row r="14" spans="1:21" ht="18" customHeight="1" x14ac:dyDescent="0.15">
      <c r="A14" s="6"/>
      <c r="B14" s="11" t="s">
        <v>165</v>
      </c>
      <c r="C14" s="39">
        <v>103</v>
      </c>
      <c r="D14" s="40">
        <v>50</v>
      </c>
      <c r="E14" s="41">
        <v>160</v>
      </c>
      <c r="F14" s="39">
        <v>2</v>
      </c>
      <c r="G14" s="83">
        <v>2</v>
      </c>
      <c r="H14" s="42"/>
      <c r="I14" s="42"/>
      <c r="J14" s="42"/>
      <c r="K14" s="42"/>
      <c r="L14" s="42"/>
      <c r="M14" s="42"/>
      <c r="N14" s="42"/>
      <c r="O14" s="42"/>
      <c r="P14" s="42"/>
      <c r="Q14" s="39"/>
      <c r="R14" s="40">
        <f t="shared" si="0"/>
        <v>2</v>
      </c>
      <c r="S14" s="16">
        <f t="shared" si="1"/>
        <v>1.2500000000000001E-2</v>
      </c>
    </row>
    <row r="15" spans="1:21" ht="18" customHeight="1" x14ac:dyDescent="0.15">
      <c r="A15" s="6"/>
      <c r="B15" s="11" t="s">
        <v>187</v>
      </c>
      <c r="C15" s="39">
        <v>53</v>
      </c>
      <c r="D15" s="40">
        <v>50</v>
      </c>
      <c r="E15" s="41">
        <v>50</v>
      </c>
      <c r="F15" s="42">
        <v>0</v>
      </c>
      <c r="G15" s="42">
        <v>0</v>
      </c>
      <c r="H15" s="42"/>
      <c r="I15" s="42"/>
      <c r="J15" s="42"/>
      <c r="K15" s="42"/>
      <c r="L15" s="42"/>
      <c r="M15" s="42"/>
      <c r="N15" s="42"/>
      <c r="O15" s="42"/>
      <c r="P15" s="42"/>
      <c r="Q15" s="39"/>
      <c r="R15" s="40">
        <f t="shared" si="0"/>
        <v>0</v>
      </c>
      <c r="S15" s="8">
        <f t="shared" si="1"/>
        <v>0</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766</v>
      </c>
      <c r="D33" s="46">
        <f t="shared" ref="D33:R33" si="3">SUM(D13:D32)</f>
        <v>275</v>
      </c>
      <c r="E33" s="47">
        <f t="shared" si="3"/>
        <v>920</v>
      </c>
      <c r="F33" s="47">
        <f t="shared" si="3"/>
        <v>140</v>
      </c>
      <c r="G33" s="47">
        <f t="shared" ref="G33:H33" si="4">SUM(G13:G32)</f>
        <v>139</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140</v>
      </c>
      <c r="S33" s="9">
        <f t="shared" si="1"/>
        <v>0.15217391304347827</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3"/>
  <sheetViews>
    <sheetView showZeros="0" view="pageBreakPreview" zoomScaleNormal="100" zoomScaleSheetLayoutView="100" workbookViewId="0">
      <selection activeCell="B48" sqref="B48"/>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8" t="str">
        <f>'様式１　プログラムを構成する授業科目'!C2</f>
        <v>桜花学園大学</v>
      </c>
      <c r="I2" s="100"/>
    </row>
    <row r="3" spans="1:9" ht="18.75" customHeight="1" x14ac:dyDescent="0.15">
      <c r="G3" s="18"/>
      <c r="H3" s="10"/>
      <c r="I3" s="10"/>
    </row>
    <row r="4" spans="1:9" ht="18.600000000000001" customHeight="1" x14ac:dyDescent="0.15">
      <c r="A4" s="109" t="s">
        <v>36</v>
      </c>
      <c r="B4" s="109"/>
      <c r="C4" s="109"/>
      <c r="D4" s="109"/>
      <c r="E4" s="109"/>
      <c r="F4" s="109"/>
      <c r="G4" s="109"/>
      <c r="H4" s="109"/>
      <c r="I4" s="109"/>
    </row>
    <row r="5" spans="1:9" ht="13.15" customHeight="1" x14ac:dyDescent="0.15">
      <c r="B5" s="3"/>
      <c r="C5" s="3"/>
      <c r="D5" s="3"/>
      <c r="E5" s="3"/>
      <c r="F5" s="3"/>
      <c r="G5" s="3"/>
      <c r="H5" s="3"/>
      <c r="I5" s="3"/>
    </row>
    <row r="6" spans="1:9" ht="18" customHeight="1" x14ac:dyDescent="0.15">
      <c r="A6" s="1" t="s">
        <v>0</v>
      </c>
      <c r="B6" s="10" t="s">
        <v>81</v>
      </c>
      <c r="C6" s="189" t="s">
        <v>82</v>
      </c>
      <c r="D6" s="189"/>
      <c r="E6" s="17">
        <v>40</v>
      </c>
      <c r="F6" s="3" t="s">
        <v>1</v>
      </c>
      <c r="G6" s="3" t="s">
        <v>2</v>
      </c>
      <c r="H6" s="17">
        <v>82</v>
      </c>
      <c r="I6" s="10" t="s">
        <v>1</v>
      </c>
    </row>
    <row r="7" spans="1:9" ht="12" customHeight="1" x14ac:dyDescent="0.15">
      <c r="C7" s="2"/>
      <c r="D7" s="2"/>
      <c r="E7" s="2"/>
      <c r="F7" s="2"/>
      <c r="G7" s="2"/>
      <c r="H7" s="2"/>
      <c r="I7" s="21"/>
    </row>
    <row r="8" spans="1:9" ht="18" customHeight="1" x14ac:dyDescent="0.15">
      <c r="A8" s="1" t="s">
        <v>3</v>
      </c>
      <c r="B8" s="10" t="s">
        <v>83</v>
      </c>
      <c r="E8" s="3"/>
      <c r="F8" s="3"/>
      <c r="G8" s="3"/>
      <c r="H8" s="17">
        <v>3</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184" t="s">
        <v>166</v>
      </c>
      <c r="D11" s="187"/>
      <c r="E11" s="188"/>
      <c r="F11" s="21"/>
      <c r="G11" s="18" t="s">
        <v>10</v>
      </c>
      <c r="H11" s="184" t="s">
        <v>167</v>
      </c>
      <c r="I11" s="188"/>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184" t="s">
        <v>168</v>
      </c>
      <c r="C14" s="185"/>
      <c r="D14" s="185"/>
      <c r="E14" s="185"/>
      <c r="F14" s="185"/>
      <c r="G14" s="185"/>
      <c r="H14" s="185"/>
      <c r="I14" s="186"/>
    </row>
    <row r="15" spans="1:9" ht="9" customHeight="1" x14ac:dyDescent="0.15">
      <c r="B15" s="3"/>
      <c r="C15" s="3"/>
      <c r="D15" s="3"/>
      <c r="E15" s="3"/>
      <c r="F15" s="3"/>
      <c r="G15" s="3"/>
      <c r="H15" s="3"/>
      <c r="I15" s="3"/>
    </row>
    <row r="16" spans="1:9" ht="18" customHeight="1" x14ac:dyDescent="0.15">
      <c r="B16" s="18" t="s">
        <v>41</v>
      </c>
      <c r="C16" s="184" t="s">
        <v>166</v>
      </c>
      <c r="D16" s="187"/>
      <c r="E16" s="188"/>
      <c r="F16" s="21"/>
      <c r="G16" s="18" t="s">
        <v>10</v>
      </c>
      <c r="H16" s="184" t="s">
        <v>167</v>
      </c>
      <c r="I16" s="188"/>
    </row>
    <row r="17" spans="1:9" ht="18" customHeight="1" x14ac:dyDescent="0.15">
      <c r="B17" s="3"/>
      <c r="C17" s="3"/>
      <c r="D17" s="3"/>
      <c r="E17" s="3"/>
      <c r="F17" s="3"/>
      <c r="G17" s="3"/>
      <c r="H17" s="3"/>
      <c r="I17" s="3"/>
    </row>
    <row r="18" spans="1:9" ht="18.75" customHeight="1" x14ac:dyDescent="0.15">
      <c r="A18" s="1" t="s">
        <v>5</v>
      </c>
      <c r="B18" s="1" t="s">
        <v>40</v>
      </c>
      <c r="I18" s="3"/>
    </row>
    <row r="19" spans="1:9" ht="60" customHeight="1" x14ac:dyDescent="0.15">
      <c r="A19" s="1"/>
      <c r="B19" s="170" t="s">
        <v>188</v>
      </c>
      <c r="C19" s="171"/>
      <c r="D19" s="171"/>
      <c r="E19" s="171"/>
      <c r="F19" s="171"/>
      <c r="G19" s="171"/>
      <c r="H19" s="171"/>
      <c r="I19" s="172"/>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73" t="s">
        <v>169</v>
      </c>
      <c r="C22" s="174"/>
      <c r="D22" s="174"/>
      <c r="E22" s="174"/>
      <c r="F22" s="174"/>
      <c r="G22" s="174"/>
      <c r="H22" s="174"/>
      <c r="I22" s="175"/>
    </row>
    <row r="23" spans="1:9" ht="18.75" customHeight="1" x14ac:dyDescent="0.15">
      <c r="A23" s="14"/>
      <c r="B23" s="176"/>
      <c r="C23" s="177"/>
      <c r="D23" s="177"/>
      <c r="E23" s="177"/>
      <c r="F23" s="177"/>
      <c r="G23" s="177"/>
      <c r="H23" s="177"/>
      <c r="I23" s="178"/>
    </row>
    <row r="24" spans="1:9" ht="18.75" customHeight="1" x14ac:dyDescent="0.15">
      <c r="A24" s="14"/>
      <c r="B24" s="176"/>
      <c r="C24" s="177"/>
      <c r="D24" s="177"/>
      <c r="E24" s="177"/>
      <c r="F24" s="177"/>
      <c r="G24" s="177"/>
      <c r="H24" s="177"/>
      <c r="I24" s="178"/>
    </row>
    <row r="25" spans="1:9" ht="18.75" customHeight="1" x14ac:dyDescent="0.15">
      <c r="A25" s="14"/>
      <c r="B25" s="176"/>
      <c r="C25" s="177"/>
      <c r="D25" s="177"/>
      <c r="E25" s="177"/>
      <c r="F25" s="177"/>
      <c r="G25" s="177"/>
      <c r="H25" s="177"/>
      <c r="I25" s="178"/>
    </row>
    <row r="26" spans="1:9" ht="18.75" customHeight="1" x14ac:dyDescent="0.15">
      <c r="A26" s="14"/>
      <c r="B26" s="176"/>
      <c r="C26" s="177"/>
      <c r="D26" s="177"/>
      <c r="E26" s="177"/>
      <c r="F26" s="177"/>
      <c r="G26" s="177"/>
      <c r="H26" s="177"/>
      <c r="I26" s="178"/>
    </row>
    <row r="27" spans="1:9" ht="18.75" customHeight="1" x14ac:dyDescent="0.15">
      <c r="A27" s="14"/>
      <c r="B27" s="176"/>
      <c r="C27" s="177"/>
      <c r="D27" s="177"/>
      <c r="E27" s="177"/>
      <c r="F27" s="177"/>
      <c r="G27" s="177"/>
      <c r="H27" s="177"/>
      <c r="I27" s="178"/>
    </row>
    <row r="28" spans="1:9" ht="18.75" customHeight="1" x14ac:dyDescent="0.15">
      <c r="A28" s="14"/>
      <c r="B28" s="176"/>
      <c r="C28" s="177"/>
      <c r="D28" s="177"/>
      <c r="E28" s="177"/>
      <c r="F28" s="177"/>
      <c r="G28" s="177"/>
      <c r="H28" s="177"/>
      <c r="I28" s="178"/>
    </row>
    <row r="29" spans="1:9" ht="18.75" customHeight="1" x14ac:dyDescent="0.15">
      <c r="A29" s="14"/>
      <c r="B29" s="176"/>
      <c r="C29" s="177"/>
      <c r="D29" s="177"/>
      <c r="E29" s="177"/>
      <c r="F29" s="177"/>
      <c r="G29" s="177"/>
      <c r="H29" s="177"/>
      <c r="I29" s="178"/>
    </row>
    <row r="30" spans="1:9" ht="18.75" customHeight="1" x14ac:dyDescent="0.15">
      <c r="A30" s="14"/>
      <c r="B30" s="179"/>
      <c r="C30" s="180"/>
      <c r="D30" s="180"/>
      <c r="E30" s="180"/>
      <c r="F30" s="180"/>
      <c r="G30" s="180"/>
      <c r="H30" s="180"/>
      <c r="I30" s="178"/>
    </row>
    <row r="31" spans="1:9" ht="18.75" customHeight="1" x14ac:dyDescent="0.15">
      <c r="A31" s="14"/>
      <c r="B31" s="179"/>
      <c r="C31" s="180"/>
      <c r="D31" s="180"/>
      <c r="E31" s="180"/>
      <c r="F31" s="180"/>
      <c r="G31" s="180"/>
      <c r="H31" s="180"/>
      <c r="I31" s="178"/>
    </row>
    <row r="32" spans="1:9" ht="18.75" customHeight="1" x14ac:dyDescent="0.15">
      <c r="A32" s="14"/>
      <c r="B32" s="181"/>
      <c r="C32" s="182"/>
      <c r="D32" s="182"/>
      <c r="E32" s="182"/>
      <c r="F32" s="182"/>
      <c r="G32" s="182"/>
      <c r="H32" s="182"/>
      <c r="I32" s="183"/>
    </row>
    <row r="33" spans="1:14" ht="7.5" customHeight="1" x14ac:dyDescent="0.15">
      <c r="A33" s="14"/>
      <c r="B33" s="14"/>
      <c r="C33" s="14"/>
      <c r="D33" s="14"/>
      <c r="E33" s="14"/>
      <c r="F33" s="14"/>
      <c r="G33" s="14"/>
      <c r="H33" s="14"/>
      <c r="I33" s="14"/>
    </row>
    <row r="34" spans="1:14" ht="18.75" customHeight="1" x14ac:dyDescent="0.15">
      <c r="A34" s="15" t="s">
        <v>6</v>
      </c>
      <c r="B34" s="15" t="s">
        <v>9</v>
      </c>
      <c r="C34" s="10"/>
      <c r="D34" s="15"/>
      <c r="E34" s="15"/>
      <c r="F34" s="15"/>
      <c r="G34" s="15"/>
      <c r="H34" s="15"/>
      <c r="I34" s="15"/>
    </row>
    <row r="35" spans="1:14" ht="18.75" customHeight="1" x14ac:dyDescent="0.15">
      <c r="A35" s="14"/>
      <c r="B35" s="173" t="s">
        <v>189</v>
      </c>
      <c r="C35" s="174"/>
      <c r="D35" s="174"/>
      <c r="E35" s="174"/>
      <c r="F35" s="174"/>
      <c r="G35" s="174"/>
      <c r="H35" s="174"/>
      <c r="I35" s="175"/>
    </row>
    <row r="36" spans="1:14" ht="18.75" customHeight="1" x14ac:dyDescent="0.15">
      <c r="A36" s="14"/>
      <c r="B36" s="179"/>
      <c r="C36" s="180"/>
      <c r="D36" s="180"/>
      <c r="E36" s="180"/>
      <c r="F36" s="180"/>
      <c r="G36" s="180"/>
      <c r="H36" s="180"/>
      <c r="I36" s="178"/>
    </row>
    <row r="37" spans="1:14" ht="18.75" customHeight="1" x14ac:dyDescent="0.15">
      <c r="A37" s="14"/>
      <c r="B37" s="179"/>
      <c r="C37" s="180"/>
      <c r="D37" s="180"/>
      <c r="E37" s="180"/>
      <c r="F37" s="180"/>
      <c r="G37" s="180"/>
      <c r="H37" s="180"/>
      <c r="I37" s="178"/>
    </row>
    <row r="38" spans="1:14" ht="18.75" customHeight="1" x14ac:dyDescent="0.15">
      <c r="A38" s="14"/>
      <c r="B38" s="179"/>
      <c r="C38" s="180"/>
      <c r="D38" s="180"/>
      <c r="E38" s="180"/>
      <c r="F38" s="180"/>
      <c r="G38" s="180"/>
      <c r="H38" s="180"/>
      <c r="I38" s="178"/>
    </row>
    <row r="39" spans="1:14" ht="18.75" customHeight="1" x14ac:dyDescent="0.15">
      <c r="A39" s="14"/>
      <c r="B39" s="179"/>
      <c r="C39" s="180"/>
      <c r="D39" s="180"/>
      <c r="E39" s="180"/>
      <c r="F39" s="180"/>
      <c r="G39" s="180"/>
      <c r="H39" s="180"/>
      <c r="I39" s="178"/>
    </row>
    <row r="40" spans="1:14" ht="18.75" customHeight="1" x14ac:dyDescent="0.15">
      <c r="A40" s="14"/>
      <c r="B40" s="179"/>
      <c r="C40" s="180"/>
      <c r="D40" s="180"/>
      <c r="E40" s="180"/>
      <c r="F40" s="180"/>
      <c r="G40" s="180"/>
      <c r="H40" s="180"/>
      <c r="I40" s="178"/>
    </row>
    <row r="41" spans="1:14" ht="18.75" customHeight="1" x14ac:dyDescent="0.15">
      <c r="A41" s="14"/>
      <c r="B41" s="179"/>
      <c r="C41" s="180"/>
      <c r="D41" s="180"/>
      <c r="E41" s="180"/>
      <c r="F41" s="180"/>
      <c r="G41" s="180"/>
      <c r="H41" s="180"/>
      <c r="I41" s="178"/>
    </row>
    <row r="42" spans="1:14" ht="18.75" customHeight="1" x14ac:dyDescent="0.15">
      <c r="A42" s="14"/>
      <c r="B42" s="179"/>
      <c r="C42" s="180"/>
      <c r="D42" s="180"/>
      <c r="E42" s="180"/>
      <c r="F42" s="180"/>
      <c r="G42" s="180"/>
      <c r="H42" s="180"/>
      <c r="I42" s="178"/>
    </row>
    <row r="43" spans="1:14" ht="18.75" customHeight="1" x14ac:dyDescent="0.15">
      <c r="A43" s="14"/>
      <c r="B43" s="179"/>
      <c r="C43" s="180"/>
      <c r="D43" s="180"/>
      <c r="E43" s="180"/>
      <c r="F43" s="180"/>
      <c r="G43" s="180"/>
      <c r="H43" s="180"/>
      <c r="I43" s="178"/>
    </row>
    <row r="44" spans="1:14" ht="18.75" customHeight="1" x14ac:dyDescent="0.15">
      <c r="A44" s="14"/>
      <c r="B44" s="179"/>
      <c r="C44" s="180"/>
      <c r="D44" s="180"/>
      <c r="E44" s="180"/>
      <c r="F44" s="180"/>
      <c r="G44" s="180"/>
      <c r="H44" s="180"/>
      <c r="I44" s="178"/>
    </row>
    <row r="45" spans="1:14" ht="18.75" customHeight="1" x14ac:dyDescent="0.15">
      <c r="A45" s="14"/>
      <c r="B45" s="181"/>
      <c r="C45" s="182"/>
      <c r="D45" s="182"/>
      <c r="E45" s="182"/>
      <c r="F45" s="182"/>
      <c r="G45" s="182"/>
      <c r="H45" s="182"/>
      <c r="I45" s="183"/>
    </row>
    <row r="46" spans="1:14" ht="7.5" customHeight="1" x14ac:dyDescent="0.15">
      <c r="A46" s="4"/>
      <c r="B46" s="4"/>
      <c r="C46" s="4"/>
      <c r="D46" s="4"/>
      <c r="E46" s="4"/>
      <c r="F46" s="4"/>
      <c r="G46" s="4"/>
      <c r="H46" s="4"/>
      <c r="I46" s="4"/>
    </row>
    <row r="47" spans="1:14" ht="18.75" customHeight="1" x14ac:dyDescent="0.15">
      <c r="A47" s="1" t="s">
        <v>31</v>
      </c>
      <c r="B47" s="1" t="s">
        <v>105</v>
      </c>
    </row>
    <row r="48" spans="1:14" s="3" customFormat="1" ht="18.75" customHeight="1" x14ac:dyDescent="0.15">
      <c r="B48" s="80" t="s">
        <v>129</v>
      </c>
      <c r="C48" s="211">
        <f>'様式２ 履修者等数の実績'!S33</f>
        <v>0.15217391304347827</v>
      </c>
      <c r="D48" s="211"/>
      <c r="E48" s="80" t="s">
        <v>60</v>
      </c>
      <c r="F48" s="211">
        <v>0.3</v>
      </c>
      <c r="G48" s="211"/>
      <c r="H48" s="80" t="s">
        <v>80</v>
      </c>
      <c r="I48" s="22">
        <v>0.5</v>
      </c>
      <c r="J48" s="1"/>
      <c r="M48" s="1"/>
      <c r="N48" s="23"/>
    </row>
    <row r="49" spans="1:15" s="3" customFormat="1" ht="18.75" customHeight="1" x14ac:dyDescent="0.15">
      <c r="B49" s="81" t="s">
        <v>116</v>
      </c>
      <c r="C49" s="194">
        <v>0.8</v>
      </c>
      <c r="D49" s="194"/>
      <c r="E49" s="81" t="s">
        <v>130</v>
      </c>
      <c r="F49" s="194">
        <v>1</v>
      </c>
      <c r="G49" s="194"/>
      <c r="H49" s="81" t="s">
        <v>61</v>
      </c>
      <c r="I49" s="24">
        <f>'様式２ 履修者等数の実績'!E33</f>
        <v>920</v>
      </c>
      <c r="J49" s="1"/>
      <c r="M49" s="1"/>
      <c r="N49" s="23"/>
    </row>
    <row r="50" spans="1:15" ht="18.75" customHeight="1" x14ac:dyDescent="0.15">
      <c r="A50" s="1"/>
      <c r="B50" s="191" t="s">
        <v>62</v>
      </c>
      <c r="C50" s="192"/>
      <c r="D50" s="192"/>
      <c r="E50" s="192"/>
      <c r="F50" s="192"/>
      <c r="G50" s="192"/>
      <c r="H50" s="192"/>
      <c r="I50" s="193"/>
      <c r="N50" s="23"/>
      <c r="O50" s="3"/>
    </row>
    <row r="51" spans="1:15" ht="18.75" customHeight="1" x14ac:dyDescent="0.15">
      <c r="A51" s="1"/>
      <c r="B51" s="212" t="s">
        <v>183</v>
      </c>
      <c r="C51" s="213"/>
      <c r="D51" s="213"/>
      <c r="E51" s="213"/>
      <c r="F51" s="213"/>
      <c r="G51" s="213"/>
      <c r="H51" s="213"/>
      <c r="I51" s="214"/>
      <c r="N51" s="23"/>
      <c r="O51" s="3"/>
    </row>
    <row r="52" spans="1:15" ht="18.75" customHeight="1" x14ac:dyDescent="0.15">
      <c r="A52" s="1"/>
      <c r="B52" s="215"/>
      <c r="C52" s="216"/>
      <c r="D52" s="216"/>
      <c r="E52" s="216"/>
      <c r="F52" s="216"/>
      <c r="G52" s="216"/>
      <c r="H52" s="216"/>
      <c r="I52" s="217"/>
      <c r="N52" s="23"/>
      <c r="O52" s="3"/>
    </row>
    <row r="53" spans="1:15" ht="18.75" customHeight="1" x14ac:dyDescent="0.15">
      <c r="A53" s="1"/>
      <c r="B53" s="215"/>
      <c r="C53" s="216"/>
      <c r="D53" s="216"/>
      <c r="E53" s="216"/>
      <c r="F53" s="216"/>
      <c r="G53" s="216"/>
      <c r="H53" s="216"/>
      <c r="I53" s="217"/>
    </row>
    <row r="54" spans="1:15" ht="18.75" customHeight="1" x14ac:dyDescent="0.15">
      <c r="A54" s="1"/>
      <c r="B54" s="215"/>
      <c r="C54" s="216"/>
      <c r="D54" s="216"/>
      <c r="E54" s="216"/>
      <c r="F54" s="216"/>
      <c r="G54" s="216"/>
      <c r="H54" s="216"/>
      <c r="I54" s="217"/>
    </row>
    <row r="55" spans="1:15" ht="18.75" customHeight="1" x14ac:dyDescent="0.15">
      <c r="A55" s="1"/>
      <c r="B55" s="215"/>
      <c r="C55" s="216"/>
      <c r="D55" s="216"/>
      <c r="E55" s="216"/>
      <c r="F55" s="216"/>
      <c r="G55" s="216"/>
      <c r="H55" s="216"/>
      <c r="I55" s="217"/>
    </row>
    <row r="56" spans="1:15" ht="18.75" customHeight="1" x14ac:dyDescent="0.15">
      <c r="A56" s="1"/>
      <c r="B56" s="215"/>
      <c r="C56" s="216"/>
      <c r="D56" s="216"/>
      <c r="E56" s="216"/>
      <c r="F56" s="216"/>
      <c r="G56" s="216"/>
      <c r="H56" s="216"/>
      <c r="I56" s="217"/>
    </row>
    <row r="57" spans="1:15" ht="18.75" customHeight="1" x14ac:dyDescent="0.15">
      <c r="A57" s="1"/>
      <c r="B57" s="215"/>
      <c r="C57" s="216"/>
      <c r="D57" s="216"/>
      <c r="E57" s="216"/>
      <c r="F57" s="216"/>
      <c r="G57" s="216"/>
      <c r="H57" s="216"/>
      <c r="I57" s="217"/>
    </row>
    <row r="58" spans="1:15" ht="18.75" customHeight="1" x14ac:dyDescent="0.15">
      <c r="A58" s="1"/>
      <c r="B58" s="215"/>
      <c r="C58" s="216"/>
      <c r="D58" s="216"/>
      <c r="E58" s="216"/>
      <c r="F58" s="216"/>
      <c r="G58" s="216"/>
      <c r="H58" s="216"/>
      <c r="I58" s="217"/>
    </row>
    <row r="59" spans="1:15" ht="18.75" customHeight="1" x14ac:dyDescent="0.15">
      <c r="A59" s="1"/>
      <c r="B59" s="215"/>
      <c r="C59" s="216"/>
      <c r="D59" s="216"/>
      <c r="E59" s="216"/>
      <c r="F59" s="216"/>
      <c r="G59" s="216"/>
      <c r="H59" s="216"/>
      <c r="I59" s="217"/>
    </row>
    <row r="60" spans="1:15" ht="18.75" customHeight="1" x14ac:dyDescent="0.15">
      <c r="A60" s="1"/>
      <c r="B60" s="215"/>
      <c r="C60" s="216"/>
      <c r="D60" s="216"/>
      <c r="E60" s="216"/>
      <c r="F60" s="216"/>
      <c r="G60" s="216"/>
      <c r="H60" s="216"/>
      <c r="I60" s="217"/>
    </row>
    <row r="61" spans="1:15" ht="18.75" customHeight="1" x14ac:dyDescent="0.15">
      <c r="A61" s="1"/>
      <c r="B61" s="215"/>
      <c r="C61" s="216"/>
      <c r="D61" s="216"/>
      <c r="E61" s="216"/>
      <c r="F61" s="216"/>
      <c r="G61" s="216"/>
      <c r="H61" s="216"/>
      <c r="I61" s="217"/>
    </row>
    <row r="62" spans="1:15" ht="18.75" customHeight="1" x14ac:dyDescent="0.15">
      <c r="A62" s="1"/>
      <c r="B62" s="218"/>
      <c r="C62" s="219"/>
      <c r="D62" s="219"/>
      <c r="E62" s="219"/>
      <c r="F62" s="219"/>
      <c r="G62" s="219"/>
      <c r="H62" s="219"/>
      <c r="I62" s="220"/>
    </row>
    <row r="63" spans="1:15" ht="7.5" customHeight="1" x14ac:dyDescent="0.15">
      <c r="A63" s="14"/>
      <c r="B63" s="14"/>
      <c r="C63" s="14"/>
      <c r="D63" s="14"/>
      <c r="E63" s="14"/>
      <c r="F63" s="14"/>
      <c r="G63" s="14"/>
      <c r="H63" s="14"/>
      <c r="I63" s="14"/>
    </row>
    <row r="64" spans="1:15" ht="18.75" customHeight="1" x14ac:dyDescent="0.15">
      <c r="A64" s="15" t="s">
        <v>34</v>
      </c>
      <c r="B64" s="1" t="s">
        <v>37</v>
      </c>
      <c r="I64" s="15"/>
    </row>
    <row r="65" spans="1:9" ht="18.75" customHeight="1" x14ac:dyDescent="0.15">
      <c r="A65" s="4"/>
      <c r="B65" s="195" t="s">
        <v>170</v>
      </c>
      <c r="C65" s="196"/>
      <c r="D65" s="196"/>
      <c r="E65" s="196"/>
      <c r="F65" s="196"/>
      <c r="G65" s="196"/>
      <c r="H65" s="196"/>
      <c r="I65" s="197"/>
    </row>
    <row r="66" spans="1:9" ht="18.75" customHeight="1" x14ac:dyDescent="0.15">
      <c r="A66" s="4"/>
      <c r="B66" s="198"/>
      <c r="C66" s="199"/>
      <c r="D66" s="199"/>
      <c r="E66" s="199"/>
      <c r="F66" s="199"/>
      <c r="G66" s="199"/>
      <c r="H66" s="199"/>
      <c r="I66" s="200"/>
    </row>
    <row r="67" spans="1:9" ht="18.75" customHeight="1" x14ac:dyDescent="0.15">
      <c r="A67" s="4"/>
      <c r="B67" s="198"/>
      <c r="C67" s="199"/>
      <c r="D67" s="199"/>
      <c r="E67" s="199"/>
      <c r="F67" s="199"/>
      <c r="G67" s="199"/>
      <c r="H67" s="199"/>
      <c r="I67" s="200"/>
    </row>
    <row r="68" spans="1:9" ht="18.75" customHeight="1" x14ac:dyDescent="0.15">
      <c r="A68" s="4"/>
      <c r="B68" s="198"/>
      <c r="C68" s="199"/>
      <c r="D68" s="199"/>
      <c r="E68" s="199"/>
      <c r="F68" s="199"/>
      <c r="G68" s="199"/>
      <c r="H68" s="199"/>
      <c r="I68" s="200"/>
    </row>
    <row r="69" spans="1:9" ht="18.75" customHeight="1" x14ac:dyDescent="0.15">
      <c r="A69" s="4"/>
      <c r="B69" s="198"/>
      <c r="C69" s="199"/>
      <c r="D69" s="199"/>
      <c r="E69" s="199"/>
      <c r="F69" s="199"/>
      <c r="G69" s="199"/>
      <c r="H69" s="199"/>
      <c r="I69" s="200"/>
    </row>
    <row r="70" spans="1:9" ht="18.75" customHeight="1" x14ac:dyDescent="0.15">
      <c r="A70" s="4"/>
      <c r="B70" s="198"/>
      <c r="C70" s="199"/>
      <c r="D70" s="199"/>
      <c r="E70" s="199"/>
      <c r="F70" s="199"/>
      <c r="G70" s="199"/>
      <c r="H70" s="199"/>
      <c r="I70" s="200"/>
    </row>
    <row r="71" spans="1:9" ht="18.75" customHeight="1" x14ac:dyDescent="0.15">
      <c r="A71" s="4"/>
      <c r="B71" s="198"/>
      <c r="C71" s="199"/>
      <c r="D71" s="199"/>
      <c r="E71" s="199"/>
      <c r="F71" s="199"/>
      <c r="G71" s="199"/>
      <c r="H71" s="199"/>
      <c r="I71" s="200"/>
    </row>
    <row r="72" spans="1:9" ht="18.75" customHeight="1" x14ac:dyDescent="0.15">
      <c r="A72" s="4"/>
      <c r="B72" s="198"/>
      <c r="C72" s="199"/>
      <c r="D72" s="199"/>
      <c r="E72" s="199"/>
      <c r="F72" s="199"/>
      <c r="G72" s="199"/>
      <c r="H72" s="199"/>
      <c r="I72" s="200"/>
    </row>
    <row r="73" spans="1:9" ht="18.75" customHeight="1" x14ac:dyDescent="0.15">
      <c r="A73" s="4"/>
      <c r="B73" s="198"/>
      <c r="C73" s="199"/>
      <c r="D73" s="199"/>
      <c r="E73" s="199"/>
      <c r="F73" s="199"/>
      <c r="G73" s="199"/>
      <c r="H73" s="199"/>
      <c r="I73" s="200"/>
    </row>
    <row r="74" spans="1:9" ht="18.75" customHeight="1" x14ac:dyDescent="0.15">
      <c r="A74" s="4"/>
      <c r="B74" s="198"/>
      <c r="C74" s="199"/>
      <c r="D74" s="199"/>
      <c r="E74" s="199"/>
      <c r="F74" s="199"/>
      <c r="G74" s="199"/>
      <c r="H74" s="199"/>
      <c r="I74" s="200"/>
    </row>
    <row r="75" spans="1:9" ht="18.75" customHeight="1" x14ac:dyDescent="0.15">
      <c r="A75" s="4"/>
      <c r="B75" s="198"/>
      <c r="C75" s="199"/>
      <c r="D75" s="199"/>
      <c r="E75" s="199"/>
      <c r="F75" s="199"/>
      <c r="G75" s="199"/>
      <c r="H75" s="199"/>
      <c r="I75" s="200"/>
    </row>
    <row r="76" spans="1:9" ht="18.75" customHeight="1" x14ac:dyDescent="0.15">
      <c r="A76" s="4"/>
      <c r="B76" s="201"/>
      <c r="C76" s="202"/>
      <c r="D76" s="202"/>
      <c r="E76" s="202"/>
      <c r="F76" s="202"/>
      <c r="G76" s="202"/>
      <c r="H76" s="202"/>
      <c r="I76" s="203"/>
    </row>
    <row r="77" spans="1:9" ht="7.5" customHeight="1" x14ac:dyDescent="0.15">
      <c r="A77" s="4"/>
      <c r="B77" s="4"/>
      <c r="C77" s="4"/>
      <c r="D77" s="4"/>
      <c r="E77" s="4"/>
      <c r="F77" s="4"/>
      <c r="G77" s="4"/>
      <c r="H77" s="4"/>
      <c r="I77" s="4"/>
    </row>
    <row r="78" spans="1:9" ht="18.75" customHeight="1" x14ac:dyDescent="0.15">
      <c r="A78" s="1" t="s">
        <v>11</v>
      </c>
      <c r="B78" s="1" t="s">
        <v>39</v>
      </c>
    </row>
    <row r="79" spans="1:9" ht="18.75" customHeight="1" x14ac:dyDescent="0.15">
      <c r="A79" s="1"/>
      <c r="B79" s="195" t="s">
        <v>171</v>
      </c>
      <c r="C79" s="196"/>
      <c r="D79" s="196"/>
      <c r="E79" s="196"/>
      <c r="F79" s="196"/>
      <c r="G79" s="196"/>
      <c r="H79" s="196"/>
      <c r="I79" s="204"/>
    </row>
    <row r="80" spans="1:9" ht="18.75" customHeight="1" x14ac:dyDescent="0.15">
      <c r="A80" s="1"/>
      <c r="B80" s="205"/>
      <c r="C80" s="206"/>
      <c r="D80" s="206"/>
      <c r="E80" s="206"/>
      <c r="F80" s="206"/>
      <c r="G80" s="206"/>
      <c r="H80" s="206"/>
      <c r="I80" s="207"/>
    </row>
    <row r="81" spans="1:9" ht="18.75" customHeight="1" x14ac:dyDescent="0.15">
      <c r="A81" s="1"/>
      <c r="B81" s="205"/>
      <c r="C81" s="206"/>
      <c r="D81" s="206"/>
      <c r="E81" s="206"/>
      <c r="F81" s="206"/>
      <c r="G81" s="206"/>
      <c r="H81" s="206"/>
      <c r="I81" s="207"/>
    </row>
    <row r="82" spans="1:9" ht="18.75" customHeight="1" x14ac:dyDescent="0.15">
      <c r="A82" s="1"/>
      <c r="B82" s="205"/>
      <c r="C82" s="206"/>
      <c r="D82" s="206"/>
      <c r="E82" s="206"/>
      <c r="F82" s="206"/>
      <c r="G82" s="206"/>
      <c r="H82" s="206"/>
      <c r="I82" s="207"/>
    </row>
    <row r="83" spans="1:9" ht="18.75" customHeight="1" x14ac:dyDescent="0.15">
      <c r="A83" s="1"/>
      <c r="B83" s="205"/>
      <c r="C83" s="206"/>
      <c r="D83" s="206"/>
      <c r="E83" s="206"/>
      <c r="F83" s="206"/>
      <c r="G83" s="206"/>
      <c r="H83" s="206"/>
      <c r="I83" s="207"/>
    </row>
    <row r="84" spans="1:9" ht="18.75" customHeight="1" x14ac:dyDescent="0.15">
      <c r="A84" s="1"/>
      <c r="B84" s="205"/>
      <c r="C84" s="206"/>
      <c r="D84" s="206"/>
      <c r="E84" s="206"/>
      <c r="F84" s="206"/>
      <c r="G84" s="206"/>
      <c r="H84" s="206"/>
      <c r="I84" s="207"/>
    </row>
    <row r="85" spans="1:9" ht="18.75" customHeight="1" x14ac:dyDescent="0.15">
      <c r="A85" s="1"/>
      <c r="B85" s="205"/>
      <c r="C85" s="206"/>
      <c r="D85" s="206"/>
      <c r="E85" s="206"/>
      <c r="F85" s="206"/>
      <c r="G85" s="206"/>
      <c r="H85" s="206"/>
      <c r="I85" s="207"/>
    </row>
    <row r="86" spans="1:9" ht="18.75" customHeight="1" x14ac:dyDescent="0.15">
      <c r="A86" s="1"/>
      <c r="B86" s="205"/>
      <c r="C86" s="206"/>
      <c r="D86" s="206"/>
      <c r="E86" s="206"/>
      <c r="F86" s="206"/>
      <c r="G86" s="206"/>
      <c r="H86" s="206"/>
      <c r="I86" s="207"/>
    </row>
    <row r="87" spans="1:9" ht="18.75" customHeight="1" x14ac:dyDescent="0.15">
      <c r="A87" s="1"/>
      <c r="B87" s="205"/>
      <c r="C87" s="206"/>
      <c r="D87" s="206"/>
      <c r="E87" s="206"/>
      <c r="F87" s="206"/>
      <c r="G87" s="206"/>
      <c r="H87" s="206"/>
      <c r="I87" s="207"/>
    </row>
    <row r="88" spans="1:9" ht="18.75" customHeight="1" x14ac:dyDescent="0.15">
      <c r="A88" s="1"/>
      <c r="B88" s="205"/>
      <c r="C88" s="206"/>
      <c r="D88" s="206"/>
      <c r="E88" s="206"/>
      <c r="F88" s="206"/>
      <c r="G88" s="206"/>
      <c r="H88" s="206"/>
      <c r="I88" s="207"/>
    </row>
    <row r="89" spans="1:9" ht="18.75" customHeight="1" x14ac:dyDescent="0.15">
      <c r="A89" s="4"/>
      <c r="B89" s="205"/>
      <c r="C89" s="206"/>
      <c r="D89" s="206"/>
      <c r="E89" s="206"/>
      <c r="F89" s="206"/>
      <c r="G89" s="206"/>
      <c r="H89" s="206"/>
      <c r="I89" s="207"/>
    </row>
    <row r="90" spans="1:9" ht="18.75" customHeight="1" x14ac:dyDescent="0.15">
      <c r="A90" s="4"/>
      <c r="B90" s="208"/>
      <c r="C90" s="209"/>
      <c r="D90" s="209"/>
      <c r="E90" s="209"/>
      <c r="F90" s="209"/>
      <c r="G90" s="209"/>
      <c r="H90" s="209"/>
      <c r="I90" s="210"/>
    </row>
    <row r="91" spans="1:9" ht="7.5" customHeight="1" x14ac:dyDescent="0.15">
      <c r="A91" s="4"/>
      <c r="B91" s="4"/>
      <c r="C91" s="4"/>
      <c r="D91" s="4"/>
      <c r="E91" s="4"/>
      <c r="F91" s="4"/>
      <c r="G91" s="4"/>
      <c r="H91" s="4"/>
      <c r="I91" s="4"/>
    </row>
    <row r="92" spans="1:9" ht="18.75" customHeight="1" x14ac:dyDescent="0.15">
      <c r="A92" s="1" t="s">
        <v>42</v>
      </c>
      <c r="B92" s="1" t="s">
        <v>13</v>
      </c>
    </row>
    <row r="93" spans="1:9" ht="18.75" customHeight="1" x14ac:dyDescent="0.15">
      <c r="A93" s="1"/>
      <c r="B93" s="173" t="s">
        <v>172</v>
      </c>
      <c r="C93" s="174"/>
      <c r="D93" s="174"/>
      <c r="E93" s="174"/>
      <c r="F93" s="174"/>
      <c r="G93" s="174"/>
      <c r="H93" s="174"/>
      <c r="I93" s="175"/>
    </row>
    <row r="94" spans="1:9" ht="18.75" customHeight="1" x14ac:dyDescent="0.15">
      <c r="A94" s="1"/>
      <c r="B94" s="179"/>
      <c r="C94" s="180"/>
      <c r="D94" s="180"/>
      <c r="E94" s="180"/>
      <c r="F94" s="180"/>
      <c r="G94" s="180"/>
      <c r="H94" s="180"/>
      <c r="I94" s="178"/>
    </row>
    <row r="95" spans="1:9" ht="18.75" customHeight="1" x14ac:dyDescent="0.15">
      <c r="A95" s="1"/>
      <c r="B95" s="179"/>
      <c r="C95" s="180"/>
      <c r="D95" s="180"/>
      <c r="E95" s="180"/>
      <c r="F95" s="180"/>
      <c r="G95" s="180"/>
      <c r="H95" s="180"/>
      <c r="I95" s="178"/>
    </row>
    <row r="96" spans="1:9" ht="18.75" customHeight="1" x14ac:dyDescent="0.15">
      <c r="A96" s="1"/>
      <c r="B96" s="179"/>
      <c r="C96" s="180"/>
      <c r="D96" s="180"/>
      <c r="E96" s="180"/>
      <c r="F96" s="180"/>
      <c r="G96" s="180"/>
      <c r="H96" s="180"/>
      <c r="I96" s="178"/>
    </row>
    <row r="97" spans="1:9" ht="18.75" customHeight="1" x14ac:dyDescent="0.15">
      <c r="A97" s="1"/>
      <c r="B97" s="179"/>
      <c r="C97" s="180"/>
      <c r="D97" s="180"/>
      <c r="E97" s="180"/>
      <c r="F97" s="180"/>
      <c r="G97" s="180"/>
      <c r="H97" s="180"/>
      <c r="I97" s="178"/>
    </row>
    <row r="98" spans="1:9" ht="18.75" customHeight="1" x14ac:dyDescent="0.15">
      <c r="A98" s="1"/>
      <c r="B98" s="179"/>
      <c r="C98" s="180"/>
      <c r="D98" s="180"/>
      <c r="E98" s="180"/>
      <c r="F98" s="180"/>
      <c r="G98" s="180"/>
      <c r="H98" s="180"/>
      <c r="I98" s="178"/>
    </row>
    <row r="99" spans="1:9" ht="18.75" customHeight="1" x14ac:dyDescent="0.15">
      <c r="A99" s="1"/>
      <c r="B99" s="179"/>
      <c r="C99" s="180"/>
      <c r="D99" s="180"/>
      <c r="E99" s="180"/>
      <c r="F99" s="180"/>
      <c r="G99" s="180"/>
      <c r="H99" s="180"/>
      <c r="I99" s="178"/>
    </row>
    <row r="100" spans="1:9" ht="18.75" customHeight="1" x14ac:dyDescent="0.15">
      <c r="A100" s="1"/>
      <c r="B100" s="179"/>
      <c r="C100" s="180"/>
      <c r="D100" s="180"/>
      <c r="E100" s="180"/>
      <c r="F100" s="180"/>
      <c r="G100" s="180"/>
      <c r="H100" s="180"/>
      <c r="I100" s="178"/>
    </row>
    <row r="101" spans="1:9" ht="18.75" customHeight="1" x14ac:dyDescent="0.15">
      <c r="A101" s="1"/>
      <c r="B101" s="179"/>
      <c r="C101" s="180"/>
      <c r="D101" s="180"/>
      <c r="E101" s="180"/>
      <c r="F101" s="180"/>
      <c r="G101" s="180"/>
      <c r="H101" s="180"/>
      <c r="I101" s="178"/>
    </row>
    <row r="102" spans="1:9" ht="18.75" customHeight="1" x14ac:dyDescent="0.15">
      <c r="A102" s="1"/>
      <c r="B102" s="179"/>
      <c r="C102" s="180"/>
      <c r="D102" s="180"/>
      <c r="E102" s="180"/>
      <c r="F102" s="180"/>
      <c r="G102" s="180"/>
      <c r="H102" s="180"/>
      <c r="I102" s="178"/>
    </row>
    <row r="103" spans="1:9" ht="18.75" customHeight="1" x14ac:dyDescent="0.15">
      <c r="A103" s="1"/>
      <c r="B103" s="179"/>
      <c r="C103" s="180"/>
      <c r="D103" s="180"/>
      <c r="E103" s="180"/>
      <c r="F103" s="180"/>
      <c r="G103" s="180"/>
      <c r="H103" s="180"/>
      <c r="I103" s="178"/>
    </row>
    <row r="104" spans="1:9" ht="18.75" customHeight="1" x14ac:dyDescent="0.15">
      <c r="A104" s="4"/>
      <c r="B104" s="181"/>
      <c r="C104" s="182"/>
      <c r="D104" s="182"/>
      <c r="E104" s="182"/>
      <c r="F104" s="182"/>
      <c r="G104" s="182"/>
      <c r="H104" s="182"/>
      <c r="I104" s="183"/>
    </row>
    <row r="105" spans="1:9" ht="7.5" customHeight="1" x14ac:dyDescent="0.15">
      <c r="A105" s="4"/>
      <c r="B105" s="4"/>
      <c r="C105" s="4"/>
      <c r="D105" s="4"/>
      <c r="E105" s="4"/>
      <c r="F105" s="4"/>
      <c r="G105" s="4"/>
      <c r="H105" s="4"/>
      <c r="I105" s="4"/>
    </row>
    <row r="106" spans="1:9" ht="18.75" customHeight="1" x14ac:dyDescent="0.15">
      <c r="A106" s="1" t="s">
        <v>30</v>
      </c>
      <c r="B106" s="190" t="s">
        <v>44</v>
      </c>
      <c r="C106" s="190"/>
      <c r="D106" s="190"/>
      <c r="E106" s="190"/>
      <c r="F106" s="190"/>
      <c r="G106" s="190"/>
      <c r="H106" s="190"/>
      <c r="I106" s="190"/>
    </row>
    <row r="107" spans="1:9" ht="18.75" customHeight="1" x14ac:dyDescent="0.15">
      <c r="A107" s="4"/>
      <c r="B107" s="173" t="s">
        <v>173</v>
      </c>
      <c r="C107" s="174"/>
      <c r="D107" s="174"/>
      <c r="E107" s="174"/>
      <c r="F107" s="174"/>
      <c r="G107" s="174"/>
      <c r="H107" s="174"/>
      <c r="I107" s="175"/>
    </row>
    <row r="108" spans="1:9" ht="18.75" customHeight="1" x14ac:dyDescent="0.15">
      <c r="A108" s="4"/>
      <c r="B108" s="179"/>
      <c r="C108" s="180"/>
      <c r="D108" s="180"/>
      <c r="E108" s="180"/>
      <c r="F108" s="180"/>
      <c r="G108" s="180"/>
      <c r="H108" s="180"/>
      <c r="I108" s="178"/>
    </row>
    <row r="109" spans="1:9" ht="18.75" customHeight="1" x14ac:dyDescent="0.15">
      <c r="A109" s="4"/>
      <c r="B109" s="179"/>
      <c r="C109" s="180"/>
      <c r="D109" s="180"/>
      <c r="E109" s="180"/>
      <c r="F109" s="180"/>
      <c r="G109" s="180"/>
      <c r="H109" s="180"/>
      <c r="I109" s="178"/>
    </row>
    <row r="110" spans="1:9" ht="18.75" customHeight="1" x14ac:dyDescent="0.15">
      <c r="A110" s="4"/>
      <c r="B110" s="179"/>
      <c r="C110" s="180"/>
      <c r="D110" s="180"/>
      <c r="E110" s="180"/>
      <c r="F110" s="180"/>
      <c r="G110" s="180"/>
      <c r="H110" s="180"/>
      <c r="I110" s="178"/>
    </row>
    <row r="111" spans="1:9" ht="18.75" customHeight="1" x14ac:dyDescent="0.15">
      <c r="A111" s="4"/>
      <c r="B111" s="179"/>
      <c r="C111" s="180"/>
      <c r="D111" s="180"/>
      <c r="E111" s="180"/>
      <c r="F111" s="180"/>
      <c r="G111" s="180"/>
      <c r="H111" s="180"/>
      <c r="I111" s="178"/>
    </row>
    <row r="112" spans="1:9" ht="18.75" customHeight="1" x14ac:dyDescent="0.15">
      <c r="A112" s="4"/>
      <c r="B112" s="179"/>
      <c r="C112" s="180"/>
      <c r="D112" s="180"/>
      <c r="E112" s="180"/>
      <c r="F112" s="180"/>
      <c r="G112" s="180"/>
      <c r="H112" s="180"/>
      <c r="I112" s="178"/>
    </row>
    <row r="113" spans="1:9" ht="18.75" customHeight="1" x14ac:dyDescent="0.15">
      <c r="A113" s="4"/>
      <c r="B113" s="179"/>
      <c r="C113" s="180"/>
      <c r="D113" s="180"/>
      <c r="E113" s="180"/>
      <c r="F113" s="180"/>
      <c r="G113" s="180"/>
      <c r="H113" s="180"/>
      <c r="I113" s="178"/>
    </row>
    <row r="114" spans="1:9" ht="18.75" customHeight="1" x14ac:dyDescent="0.15">
      <c r="A114" s="4"/>
      <c r="B114" s="179"/>
      <c r="C114" s="180"/>
      <c r="D114" s="180"/>
      <c r="E114" s="180"/>
      <c r="F114" s="180"/>
      <c r="G114" s="180"/>
      <c r="H114" s="180"/>
      <c r="I114" s="178"/>
    </row>
    <row r="115" spans="1:9" ht="18.75" customHeight="1" x14ac:dyDescent="0.15">
      <c r="A115" s="4"/>
      <c r="B115" s="179"/>
      <c r="C115" s="180"/>
      <c r="D115" s="180"/>
      <c r="E115" s="180"/>
      <c r="F115" s="180"/>
      <c r="G115" s="180"/>
      <c r="H115" s="180"/>
      <c r="I115" s="178"/>
    </row>
    <row r="116" spans="1:9" ht="18.75" customHeight="1" x14ac:dyDescent="0.15">
      <c r="A116" s="4"/>
      <c r="B116" s="179"/>
      <c r="C116" s="180"/>
      <c r="D116" s="180"/>
      <c r="E116" s="180"/>
      <c r="F116" s="180"/>
      <c r="G116" s="180"/>
      <c r="H116" s="180"/>
      <c r="I116" s="178"/>
    </row>
    <row r="117" spans="1:9" ht="18.75" customHeight="1" x14ac:dyDescent="0.15">
      <c r="A117" s="4"/>
      <c r="B117" s="179"/>
      <c r="C117" s="180"/>
      <c r="D117" s="180"/>
      <c r="E117" s="180"/>
      <c r="F117" s="180"/>
      <c r="G117" s="180"/>
      <c r="H117" s="180"/>
      <c r="I117" s="178"/>
    </row>
    <row r="118" spans="1:9" ht="18.75" customHeight="1" x14ac:dyDescent="0.15">
      <c r="A118" s="4"/>
      <c r="B118" s="181"/>
      <c r="C118" s="182"/>
      <c r="D118" s="182"/>
      <c r="E118" s="182"/>
      <c r="F118" s="182"/>
      <c r="G118" s="182"/>
      <c r="H118" s="182"/>
      <c r="I118" s="183"/>
    </row>
    <row r="119" spans="1:9" ht="7.5" customHeight="1" x14ac:dyDescent="0.15">
      <c r="A119" s="4"/>
      <c r="B119" s="25"/>
      <c r="C119" s="25"/>
      <c r="D119" s="25"/>
      <c r="E119" s="25"/>
      <c r="F119" s="25"/>
      <c r="G119" s="25"/>
      <c r="H119" s="25"/>
      <c r="I119" s="25"/>
    </row>
    <row r="120" spans="1:9" ht="18.75" customHeight="1" x14ac:dyDescent="0.15">
      <c r="A120" s="51"/>
      <c r="B120" s="169"/>
      <c r="C120" s="169"/>
      <c r="D120" s="169"/>
      <c r="E120" s="169"/>
      <c r="F120" s="169"/>
      <c r="G120" s="169"/>
      <c r="H120" s="169"/>
      <c r="I120" s="169"/>
    </row>
    <row r="121" spans="1:9" ht="18.75" customHeight="1" x14ac:dyDescent="0.15">
      <c r="A121" s="51"/>
      <c r="B121" s="169"/>
      <c r="C121" s="169"/>
      <c r="D121" s="169"/>
      <c r="E121" s="169"/>
      <c r="F121" s="169"/>
      <c r="G121" s="169"/>
      <c r="H121" s="169"/>
      <c r="I121" s="169"/>
    </row>
    <row r="122" spans="1:9" ht="18.75" customHeight="1" x14ac:dyDescent="0.15">
      <c r="A122" s="4"/>
      <c r="B122" s="52"/>
      <c r="C122" s="52"/>
      <c r="D122" s="52"/>
      <c r="E122" s="52"/>
      <c r="F122" s="52"/>
      <c r="G122" s="52"/>
      <c r="H122" s="52"/>
      <c r="I122" s="53"/>
    </row>
    <row r="123" spans="1:9" ht="18.75" customHeight="1" x14ac:dyDescent="0.15">
      <c r="A123" s="4"/>
      <c r="B123" s="53"/>
      <c r="C123" s="53"/>
      <c r="D123" s="53"/>
      <c r="E123" s="53"/>
      <c r="F123" s="53"/>
      <c r="G123" s="53"/>
      <c r="H123" s="53"/>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4.25" x14ac:dyDescent="0.15">
      <c r="A132" s="4"/>
      <c r="B132" s="53"/>
      <c r="C132" s="53"/>
      <c r="D132" s="53"/>
      <c r="E132" s="53"/>
      <c r="F132" s="53"/>
      <c r="G132" s="53"/>
      <c r="H132" s="53"/>
      <c r="I132" s="53"/>
    </row>
    <row r="133" spans="1:9" ht="7.5" customHeight="1" x14ac:dyDescent="0.15">
      <c r="A133" s="4"/>
      <c r="B133" s="53"/>
      <c r="C133" s="53"/>
      <c r="D133" s="53"/>
      <c r="E133" s="53"/>
      <c r="F133" s="53"/>
      <c r="G133" s="53"/>
      <c r="H133" s="53"/>
      <c r="I133" s="53"/>
    </row>
  </sheetData>
  <mergeCells count="23">
    <mergeCell ref="F49:G49"/>
    <mergeCell ref="B65:I76"/>
    <mergeCell ref="B79:I90"/>
    <mergeCell ref="C48:D48"/>
    <mergeCell ref="C49:D49"/>
    <mergeCell ref="F48:G48"/>
    <mergeCell ref="B51:I62"/>
    <mergeCell ref="B120:I121"/>
    <mergeCell ref="H2:I2"/>
    <mergeCell ref="A4:I4"/>
    <mergeCell ref="B19:I19"/>
    <mergeCell ref="B22:I32"/>
    <mergeCell ref="B35:I45"/>
    <mergeCell ref="B14:I14"/>
    <mergeCell ref="C16:E16"/>
    <mergeCell ref="H16:I16"/>
    <mergeCell ref="C11:E11"/>
    <mergeCell ref="H11:I11"/>
    <mergeCell ref="C6:D6"/>
    <mergeCell ref="B93:I104"/>
    <mergeCell ref="B106:I106"/>
    <mergeCell ref="B107:I118"/>
    <mergeCell ref="B50:I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6" max="8" man="1"/>
    <brk id="9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E22" sqref="E22:I2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桜花学園大学</v>
      </c>
    </row>
    <row r="3" spans="1:9" ht="18.75" customHeight="1" x14ac:dyDescent="0.15">
      <c r="A3" s="109" t="s">
        <v>28</v>
      </c>
      <c r="B3" s="109"/>
      <c r="C3" s="109"/>
      <c r="D3" s="109"/>
      <c r="E3" s="109"/>
      <c r="F3" s="109"/>
      <c r="G3" s="109"/>
      <c r="H3" s="109"/>
      <c r="I3" s="109"/>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184" t="s">
        <v>168</v>
      </c>
      <c r="C6" s="228"/>
      <c r="D6" s="228"/>
      <c r="E6" s="228"/>
      <c r="F6" s="228"/>
      <c r="G6" s="228"/>
      <c r="H6" s="229"/>
      <c r="I6" s="3"/>
    </row>
    <row r="7" spans="1:9" ht="9" customHeight="1" x14ac:dyDescent="0.15">
      <c r="A7" s="5"/>
      <c r="B7" s="10"/>
      <c r="C7" s="10"/>
      <c r="D7" s="10"/>
      <c r="E7" s="10"/>
      <c r="F7" s="10"/>
      <c r="G7" s="10"/>
      <c r="H7" s="10"/>
      <c r="I7" s="3"/>
    </row>
    <row r="8" spans="1:9" ht="18.75" customHeight="1" x14ac:dyDescent="0.15">
      <c r="A8" s="5"/>
      <c r="B8" s="3"/>
      <c r="C8" s="3"/>
      <c r="D8" s="18" t="s">
        <v>41</v>
      </c>
      <c r="E8" s="19" t="s">
        <v>166</v>
      </c>
      <c r="F8" s="3"/>
      <c r="G8" s="18" t="s">
        <v>10</v>
      </c>
      <c r="H8" s="19" t="s">
        <v>167</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8" t="s">
        <v>24</v>
      </c>
      <c r="C11" s="99"/>
      <c r="D11" s="100"/>
      <c r="E11" s="99" t="s">
        <v>26</v>
      </c>
      <c r="F11" s="99"/>
      <c r="G11" s="99"/>
      <c r="H11" s="99"/>
      <c r="I11" s="100"/>
    </row>
    <row r="12" spans="1:9" ht="26.25" customHeight="1" x14ac:dyDescent="0.15">
      <c r="B12" s="26" t="s">
        <v>14</v>
      </c>
      <c r="C12" s="33"/>
      <c r="D12" s="27"/>
      <c r="E12" s="34"/>
      <c r="F12" s="34"/>
      <c r="G12" s="34"/>
      <c r="H12" s="34"/>
      <c r="I12" s="27"/>
    </row>
    <row r="13" spans="1:9" ht="210.75" customHeight="1" x14ac:dyDescent="0.15">
      <c r="B13" s="28"/>
      <c r="C13" s="226" t="s">
        <v>15</v>
      </c>
      <c r="D13" s="227"/>
      <c r="E13" s="223" t="s">
        <v>174</v>
      </c>
      <c r="F13" s="224"/>
      <c r="G13" s="224"/>
      <c r="H13" s="224"/>
      <c r="I13" s="225"/>
    </row>
    <row r="14" spans="1:9" ht="210.75" customHeight="1" x14ac:dyDescent="0.15">
      <c r="B14" s="28"/>
      <c r="C14" s="221" t="s">
        <v>16</v>
      </c>
      <c r="D14" s="222"/>
      <c r="E14" s="223" t="s">
        <v>175</v>
      </c>
      <c r="F14" s="224"/>
      <c r="G14" s="224"/>
      <c r="H14" s="224"/>
      <c r="I14" s="225"/>
    </row>
    <row r="15" spans="1:9" ht="210.75" customHeight="1" x14ac:dyDescent="0.15">
      <c r="B15" s="28"/>
      <c r="C15" s="226" t="s">
        <v>17</v>
      </c>
      <c r="D15" s="227"/>
      <c r="E15" s="223" t="s">
        <v>176</v>
      </c>
      <c r="F15" s="224"/>
      <c r="G15" s="224"/>
      <c r="H15" s="224"/>
      <c r="I15" s="225"/>
    </row>
    <row r="16" spans="1:9" ht="210.75" customHeight="1" x14ac:dyDescent="0.15">
      <c r="B16" s="28"/>
      <c r="C16" s="226" t="s">
        <v>18</v>
      </c>
      <c r="D16" s="227"/>
      <c r="E16" s="223" t="s">
        <v>177</v>
      </c>
      <c r="F16" s="224"/>
      <c r="G16" s="224"/>
      <c r="H16" s="224"/>
      <c r="I16" s="225"/>
    </row>
    <row r="17" spans="2:9" ht="210.75" customHeight="1" x14ac:dyDescent="0.15">
      <c r="B17" s="29"/>
      <c r="C17" s="230" t="s">
        <v>19</v>
      </c>
      <c r="D17" s="231"/>
      <c r="E17" s="232" t="s">
        <v>178</v>
      </c>
      <c r="F17" s="233"/>
      <c r="G17" s="233"/>
      <c r="H17" s="233"/>
      <c r="I17" s="234"/>
    </row>
    <row r="18" spans="2:9" ht="24" customHeight="1" x14ac:dyDescent="0.15">
      <c r="B18" s="26" t="s">
        <v>20</v>
      </c>
      <c r="C18" s="30"/>
      <c r="D18" s="31"/>
      <c r="E18" s="32"/>
      <c r="F18" s="32"/>
      <c r="G18" s="32"/>
      <c r="H18" s="32"/>
      <c r="I18" s="35"/>
    </row>
    <row r="19" spans="2:9" ht="218.25" customHeight="1" x14ac:dyDescent="0.15">
      <c r="B19" s="28"/>
      <c r="C19" s="226" t="s">
        <v>21</v>
      </c>
      <c r="D19" s="227"/>
      <c r="E19" s="224" t="s">
        <v>179</v>
      </c>
      <c r="F19" s="224"/>
      <c r="G19" s="224"/>
      <c r="H19" s="224"/>
      <c r="I19" s="225"/>
    </row>
    <row r="20" spans="2:9" ht="218.25" customHeight="1" x14ac:dyDescent="0.15">
      <c r="B20" s="29"/>
      <c r="C20" s="230" t="s">
        <v>22</v>
      </c>
      <c r="D20" s="231"/>
      <c r="E20" s="233" t="s">
        <v>180</v>
      </c>
      <c r="F20" s="233"/>
      <c r="G20" s="233"/>
      <c r="H20" s="233"/>
      <c r="I20" s="234"/>
    </row>
    <row r="21" spans="2:9" ht="218.25" customHeight="1" x14ac:dyDescent="0.15">
      <c r="B21" s="240" t="s">
        <v>23</v>
      </c>
      <c r="C21" s="241"/>
      <c r="D21" s="242"/>
      <c r="E21" s="243" t="s">
        <v>181</v>
      </c>
      <c r="F21" s="243"/>
      <c r="G21" s="243"/>
      <c r="H21" s="243"/>
      <c r="I21" s="244"/>
    </row>
    <row r="22" spans="2:9" ht="218.25" customHeight="1" x14ac:dyDescent="0.15">
      <c r="B22" s="235" t="s">
        <v>121</v>
      </c>
      <c r="C22" s="236"/>
      <c r="D22" s="237"/>
      <c r="E22" s="238" t="s">
        <v>182</v>
      </c>
      <c r="F22" s="238"/>
      <c r="G22" s="238"/>
      <c r="H22" s="238"/>
      <c r="I22" s="23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中川　千加子</dc:creator>
  <cp:lastModifiedBy>野村　祥宗</cp:lastModifiedBy>
  <cp:lastPrinted>2025-07-04T10:50:06Z</cp:lastPrinted>
  <dcterms:created xsi:type="dcterms:W3CDTF">2011-06-14T05:32:50Z</dcterms:created>
  <dcterms:modified xsi:type="dcterms:W3CDTF">2025-07-10T02:10:12Z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