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filesvres.obihiro.ac.jp\OFFICE\kyoumu\●石山担当業務（引継用一時保存）\数理データサイエンスAI教育プログラム認定制度\★申請関係\202507リテラシーレベル申請 （再提出）\申請\帯広畜産大学_再提出_07XX\01_帯広畜産大学_リテラシー\"/>
    </mc:Choice>
  </mc:AlternateContent>
  <xr:revisionPtr revIDLastSave="0" documentId="13_ncr:1_{4C040517-8F28-43C1-9EBC-65E39636A9FF}" xr6:coauthVersionLast="47" xr6:coauthVersionMax="47" xr10:uidLastSave="{00000000-0000-0000-0000-000000000000}"/>
  <bookViews>
    <workbookView xWindow="-1365" yWindow="6855" windowWidth="27375" windowHeight="1548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7" i="42" l="1"/>
  <c r="K16" i="42"/>
  <c r="K15" i="42"/>
  <c r="K14" i="42"/>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<sst xmlns="http://schemas.openxmlformats.org/spreadsheetml/2006/main" count="284" uniqueCount="192">
  <si>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</si>
  <si>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</si>
  <si>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</si>
  <si>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</si>
  <si>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</si>
  <si>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</si>
  <si>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</si>
  <si>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</si>
  <si>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</si>
  <si>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</si>
  <si>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</si>
  <si>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</si>
  <si>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</si>
  <si>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</si>
  <si>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</si>
  <si>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</si>
  <si>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</si>
  <si>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</si>
  <si>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</si>
  <si>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</si>
  <si>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</si>
  <si>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</si>
  <si>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</si>
  <si>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</si>
  <si>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</si>
  <si>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</si>
  <si>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</si>
  <si>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</si>
  <si>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</si>
  <si>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</si>
  <si>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</si>
  <si>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</si>
  <si>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</si>
  <si>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</si>
  <si>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</si>
  <si>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</si>
  <si>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</si>
  <si>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</si>
  <si>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</si>
  <si>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</si>
  <si>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</si>
  <si>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</si>
  <si>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</si>
  <si>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</si>
  <si>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</si>
  <si>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</si>
  <si>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</si>
  <si>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</si>
  <si>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</si>
  <si>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</si>
  <si>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</si>
  <si>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</si>
  <si>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</si>
  <si>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</si>
  <si>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</si>
  <si>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</si>
  <si>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</si>
  <si>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</si>
  <si>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</si>
  <si>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</si>
  <si>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</si>
  <si>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</si>
  <si>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</si>
  <si>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</si>
  <si>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</si>
  <si>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</si>
  <si>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</si>
  <si>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</si>
  <si>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</si>
  <si>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</si>
  <si>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</si>
  <si>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</si>
  <si>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</si>
  <si>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</si>
  <si>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</si>
  <si>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</si>
  <si>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</si>
  <si>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</si>
  <si>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</si>
  <si>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</si>
  <si>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</si>
  <si>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</si>
  <si>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</si>
  <si>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</si>
  <si>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</si>
  <si>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</si>
  <si>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</si>
  <si>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</si>
  <si>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</si>
  <si>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</si>
  <si>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</si>
  <si>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</si>
  <si>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</si>
  <si>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</si>
  <si>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</si>
  <si>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</si>
  <si>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</si>
  <si>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</si>
  <si>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</si>
  <si>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</si>
  <si>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</si>
  <si>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</si>
  <si>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</si>
  <si>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</si>
  <si>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</si>
  <si>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</si>
  <si>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</si>
  <si>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</si>
  <si>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</si>
  <si>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</si>
  <si>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</si>
  <si>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</si>
  <si>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</si>
  <si>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</si>
  <si>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</si>
  <si>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</si>
  <si>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</si>
  <si>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</si>
  <si>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</si>
  <si>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</si>
  <si>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</si>
  <si>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</si>
  <si>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</si>
  <si>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</si>
  <si>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</si>
  <si>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</si>
  <si>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</si>
  <si>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</si>
  <si>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</si>
  <si>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</si>
  <si>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</si>
  <si>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</si>
  <si>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</si>
  <si>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</si>
  <si>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</si>
  <si>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</si>
  <si>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</si>
  <si>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</si>
  <si>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</si>
  <si>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</si>
  <si>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</si>
  <si>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</si>
  <si>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</si>
  <si>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帯広畜産大学</t>
    <rPh sb="0" eb="6">
      <t>オビヒロチクサンダイガク</t>
    </rPh>
    <phoneticPr fontId="1"/>
  </si>
  <si>
    <t>数理・データサイエンス・ＡＩ教育プログラム</t>
  </si>
  <si>
    <t>学部・学科によって、修了要件は相違しない</t>
  </si>
  <si>
    <t>データサイエンス入門</t>
    <rPh sb="8" eb="10">
      <t>ニュウモン</t>
    </rPh>
    <phoneticPr fontId="1"/>
  </si>
  <si>
    <t>○</t>
  </si>
  <si>
    <t>データサイエンス入門</t>
    <phoneticPr fontId="1"/>
  </si>
  <si>
    <t>4-1統計および数理基礎</t>
  </si>
  <si>
    <t>令和６</t>
    <rPh sb="0" eb="2">
      <t>レイワ</t>
    </rPh>
    <phoneticPr fontId="1"/>
  </si>
  <si>
    <t>畜産学部・畜産科学課程</t>
    <rPh sb="0" eb="4">
      <t>チクサンガクブ</t>
    </rPh>
    <rPh sb="5" eb="9">
      <t>チクサンカガク</t>
    </rPh>
    <rPh sb="9" eb="11">
      <t>カテイ</t>
    </rPh>
    <phoneticPr fontId="1"/>
  </si>
  <si>
    <t>仙北谷　康</t>
    <rPh sb="0" eb="3">
      <t>センボクタニ</t>
    </rPh>
    <rPh sb="4" eb="5">
      <t>ヤスシ</t>
    </rPh>
    <phoneticPr fontId="1"/>
  </si>
  <si>
    <t>副学長（教育・入試・学生支援担当）・大学教育センター長</t>
    <rPh sb="0" eb="3">
      <t>フクガクチョウ</t>
    </rPh>
    <phoneticPr fontId="1"/>
  </si>
  <si>
    <t>大学教育センター教育支援室</t>
    <rPh sb="0" eb="4">
      <t>ダイガクキョウイク</t>
    </rPh>
    <rPh sb="8" eb="10">
      <t>キョウイク</t>
    </rPh>
    <rPh sb="10" eb="13">
      <t>シエンシツ</t>
    </rPh>
    <phoneticPr fontId="1"/>
  </si>
  <si>
    <t>　</t>
    <phoneticPr fontId="1"/>
  </si>
  <si>
    <t>宮竹　史仁</t>
    <rPh sb="0" eb="2">
      <t>ミヤタケ</t>
    </rPh>
    <rPh sb="3" eb="5">
      <t>フミヒト</t>
    </rPh>
    <phoneticPr fontId="1"/>
  </si>
  <si>
    <t>大学教育センター教育支援室長</t>
    <rPh sb="0" eb="2">
      <t>ダイガク</t>
    </rPh>
    <rPh sb="2" eb="4">
      <t>キョウイク</t>
    </rPh>
    <rPh sb="8" eb="10">
      <t>キョウイク</t>
    </rPh>
    <rPh sb="10" eb="14">
      <t>シエンシツチョウ</t>
    </rPh>
    <phoneticPr fontId="1"/>
  </si>
  <si>
    <t>大学教育センター教育支援室</t>
    <phoneticPr fontId="1"/>
  </si>
  <si>
    <t>宮竹　史仁</t>
    <phoneticPr fontId="1"/>
  </si>
  <si>
    <t>大学教育センター教育支援室長</t>
    <phoneticPr fontId="1"/>
  </si>
  <si>
    <t>授業時間内の他、LMS（Moodle）を活用し学習指導を行っている。質問はいつでもLMS（Moodle）及びメール等により行うことができる。質問内容に応じ、科目を分担する教員が回答する体制となっている。</t>
    <rPh sb="0" eb="2">
      <t>ジュギョウ</t>
    </rPh>
    <rPh sb="2" eb="4">
      <t>ジカン</t>
    </rPh>
    <rPh sb="4" eb="5">
      <t>ナイ</t>
    </rPh>
    <rPh sb="6" eb="7">
      <t>ホカ</t>
    </rPh>
    <rPh sb="20" eb="22">
      <t>カツヨウ</t>
    </rPh>
    <rPh sb="23" eb="27">
      <t>ガクシュウシドウ</t>
    </rPh>
    <rPh sb="28" eb="29">
      <t>オコナ</t>
    </rPh>
    <rPh sb="34" eb="36">
      <t>シツモン</t>
    </rPh>
    <rPh sb="52" eb="53">
      <t>オヨ</t>
    </rPh>
    <rPh sb="57" eb="58">
      <t>トウ</t>
    </rPh>
    <rPh sb="61" eb="62">
      <t>オコナ</t>
    </rPh>
    <rPh sb="70" eb="74">
      <t>シツモンナイヨウ</t>
    </rPh>
    <rPh sb="75" eb="76">
      <t>オウ</t>
    </rPh>
    <rPh sb="78" eb="80">
      <t>カモク</t>
    </rPh>
    <rPh sb="81" eb="83">
      <t>ブンタン</t>
    </rPh>
    <rPh sb="85" eb="87">
      <t>キョウイン</t>
    </rPh>
    <rPh sb="88" eb="90">
      <t>カイトウ</t>
    </rPh>
    <rPh sb="92" eb="94">
      <t>タイセイ</t>
    </rPh>
    <phoneticPr fontId="1"/>
  </si>
  <si>
    <t>「データサイエンス入門」（２単位・１年次前期）を修得すること。</t>
    <phoneticPr fontId="1"/>
  </si>
  <si>
    <t>畜産学部・共同獣医学課程</t>
    <rPh sb="0" eb="4">
      <t>チクサンガクブ</t>
    </rPh>
    <rPh sb="5" eb="7">
      <t>キョウドウ</t>
    </rPh>
    <rPh sb="7" eb="12">
      <t>ジュウイガクカテイ</t>
    </rPh>
    <phoneticPr fontId="1"/>
  </si>
  <si>
    <t xml:space="preserve">教育支援室は、学生の修学支援、教育内容及び教育方法の改善並びに授業評価等に関する業務を行う組織である。教育支援室内規では、同室の業務を教育プログラムの推進及び自己点検・評価並びに改善に関することと明記しており、本プログラムの企画、検討、自己点検評価及び公表を担当する。
</t>
    <rPh sb="0" eb="5">
      <t>キョウイクシエンシツ</t>
    </rPh>
    <rPh sb="7" eb="9">
      <t>ガクセイ</t>
    </rPh>
    <rPh sb="10" eb="14">
      <t>シュウガクシエン</t>
    </rPh>
    <rPh sb="15" eb="17">
      <t>キョウイク</t>
    </rPh>
    <rPh sb="17" eb="19">
      <t>ナイヨウ</t>
    </rPh>
    <rPh sb="19" eb="20">
      <t>オヨ</t>
    </rPh>
    <rPh sb="21" eb="25">
      <t>キョウイクホウホウ</t>
    </rPh>
    <rPh sb="26" eb="28">
      <t>カイゼン</t>
    </rPh>
    <rPh sb="28" eb="29">
      <t>ナラ</t>
    </rPh>
    <rPh sb="37" eb="38">
      <t>カン</t>
    </rPh>
    <rPh sb="40" eb="42">
      <t>ギョウム</t>
    </rPh>
    <rPh sb="43" eb="44">
      <t>オコナ</t>
    </rPh>
    <rPh sb="45" eb="47">
      <t>ソシキ</t>
    </rPh>
    <rPh sb="51" eb="56">
      <t>キョウイクシエンシツ</t>
    </rPh>
    <rPh sb="56" eb="58">
      <t>ナイキ</t>
    </rPh>
    <rPh sb="61" eb="63">
      <t>ドウシツ</t>
    </rPh>
    <rPh sb="64" eb="66">
      <t>ギョウム</t>
    </rPh>
    <rPh sb="98" eb="100">
      <t>メイキ</t>
    </rPh>
    <rPh sb="105" eb="106">
      <t>ホン</t>
    </rPh>
    <rPh sb="124" eb="125">
      <t>オヨ</t>
    </rPh>
    <rPh sb="129" eb="131">
      <t>タントウ</t>
    </rPh>
    <phoneticPr fontId="1"/>
  </si>
  <si>
    <t>教育支援室長　教授　宮竹　史仁
副室長　教授　大西　一光
人間科学研究部門　教授　平田　昌弘
人間科学研究部門　教授　平舘　善明
獣医学研究部門　教授　髙橋　英二
獣医学研究部門　准教授　室井　喜景
獣医学研究部門　准教授　豊留　孝仁
生命・食料科学研究部門　教授　萩谷　功一
グローバルアグロメディシン研究センター　准教授　赤坂　卓美
生命・食料科学研究部門　准教授　橋本　直人
環境農学研究部門　准教授　三宅俊輔
人間科学研究部門　准教授　落合　いずみ
農学情報基盤センター　准教授　斉藤　準　
教務課長　　小田　賢一</t>
    <rPh sb="38" eb="40">
      <t>キョウジュ</t>
    </rPh>
    <rPh sb="41" eb="43">
      <t>ヒラタ</t>
    </rPh>
    <rPh sb="44" eb="46">
      <t>マサヒロ</t>
    </rPh>
    <rPh sb="47" eb="49">
      <t>ニンゲン</t>
    </rPh>
    <rPh sb="49" eb="51">
      <t>カガク</t>
    </rPh>
    <rPh sb="51" eb="55">
      <t>ケンキュウブモン</t>
    </rPh>
    <rPh sb="56" eb="58">
      <t>キョウジュ</t>
    </rPh>
    <rPh sb="59" eb="61">
      <t>ヒラダテ</t>
    </rPh>
    <rPh sb="62" eb="64">
      <t>ヨシアキ</t>
    </rPh>
    <rPh sb="65" eb="68">
      <t>ジュウイガク</t>
    </rPh>
    <rPh sb="68" eb="72">
      <t>ケンキュウブモン</t>
    </rPh>
    <rPh sb="73" eb="75">
      <t>キョウジュ</t>
    </rPh>
    <rPh sb="79" eb="81">
      <t>エイジ</t>
    </rPh>
    <rPh sb="112" eb="117">
      <t>トヨトメタカヒト</t>
    </rPh>
    <rPh sb="163" eb="165">
      <t>アカサカ</t>
    </rPh>
    <rPh sb="166" eb="168">
      <t>タクミ</t>
    </rPh>
    <rPh sb="181" eb="184">
      <t>ジュンキョウジュ</t>
    </rPh>
    <rPh sb="185" eb="187">
      <t>ハシモト</t>
    </rPh>
    <rPh sb="188" eb="190">
      <t>ナオト</t>
    </rPh>
    <rPh sb="200" eb="203">
      <t>ジュンキョウジュ</t>
    </rPh>
    <rPh sb="204" eb="206">
      <t>ミヤケ</t>
    </rPh>
    <rPh sb="206" eb="208">
      <t>シュンスケ</t>
    </rPh>
    <rPh sb="209" eb="213">
      <t>ニンゲンカガク</t>
    </rPh>
    <rPh sb="213" eb="217">
      <t>ケンキュウブモン</t>
    </rPh>
    <rPh sb="218" eb="221">
      <t>ジュンキョウジュ</t>
    </rPh>
    <rPh sb="222" eb="224">
      <t>オチアイ</t>
    </rPh>
    <rPh sb="229" eb="231">
      <t>ノウガク</t>
    </rPh>
    <rPh sb="231" eb="233">
      <t>ジョウホウ</t>
    </rPh>
    <rPh sb="233" eb="235">
      <t>キバン</t>
    </rPh>
    <rPh sb="240" eb="243">
      <t>ジュンキョウジュ</t>
    </rPh>
    <rPh sb="244" eb="246">
      <t>サイトウ</t>
    </rPh>
    <rPh sb="247" eb="248">
      <t>ジュン</t>
    </rPh>
    <rPh sb="250" eb="254">
      <t>キョウムカチョウ</t>
    </rPh>
    <rPh sb="256" eb="258">
      <t>オダ</t>
    </rPh>
    <rPh sb="259" eb="261">
      <t>ケンイチ</t>
    </rPh>
    <phoneticPr fontId="1"/>
  </si>
  <si>
    <t>入学時に全ての新入生が参加するオリエンテーションにおいて、プログラムの説明を実施するとともに、全員に配布する履修要覧に掲載している。また、大学ホームページで本プログラムの内容等について発信している。</t>
    <rPh sb="47" eb="49">
      <t>ゼンイン</t>
    </rPh>
    <rPh sb="50" eb="52">
      <t>ハイフ</t>
    </rPh>
    <rPh sb="78" eb="79">
      <t>ホン</t>
    </rPh>
    <rPh sb="88" eb="90">
      <t>ケイサイ</t>
    </rPh>
    <phoneticPr fontId="1"/>
  </si>
  <si>
    <t>教育支援室において実施している授業評価アンケート及び本プログラム独自の学生アンケートにより、学生の理解度を把握し、本プログラムの評価及び改善に活用する。</t>
    <rPh sb="0" eb="5">
      <t>キョウイクシエンシツ</t>
    </rPh>
    <rPh sb="9" eb="11">
      <t>ジッシ</t>
    </rPh>
    <rPh sb="15" eb="19">
      <t>ジュギョウヒョウカ</t>
    </rPh>
    <rPh sb="24" eb="25">
      <t>オヨ</t>
    </rPh>
    <rPh sb="26" eb="27">
      <t>ホン</t>
    </rPh>
    <rPh sb="32" eb="34">
      <t>ドクジ</t>
    </rPh>
    <rPh sb="35" eb="37">
      <t>ガクセイ</t>
    </rPh>
    <rPh sb="46" eb="48">
      <t>ガクセイ</t>
    </rPh>
    <rPh sb="49" eb="52">
      <t>リカイド</t>
    </rPh>
    <rPh sb="53" eb="55">
      <t>ハアク</t>
    </rPh>
    <rPh sb="57" eb="58">
      <t>ホン</t>
    </rPh>
    <rPh sb="64" eb="66">
      <t>ヒョウカ</t>
    </rPh>
    <rPh sb="66" eb="67">
      <t>オヨ</t>
    </rPh>
    <rPh sb="68" eb="70">
      <t>カイゼン</t>
    </rPh>
    <rPh sb="71" eb="73">
      <t>カツヨウ</t>
    </rPh>
    <phoneticPr fontId="1"/>
  </si>
  <si>
    <t>入学時に実施する新入生オリエンテーションにおいて、本プログラムの説明を行い履修を推奨している。また、プログラム独自の学生アンケートにおいて受講学生からの意見を聴取するなどして、授業の改善を図ることで、学生の関心を高め履修率の向上を図る。なお、今後の本プログラム科目の全学必修化について、現在検討を行っている。</t>
    <rPh sb="94" eb="95">
      <t>ハカ</t>
    </rPh>
    <phoneticPr fontId="1"/>
  </si>
  <si>
    <t>本プログラムは、令和６年度から開始したため、現時点ではプログラム修了者の進路等について評価することはできないが、今後、集約・評価していく予定である。</t>
    <rPh sb="0" eb="1">
      <t>ホン</t>
    </rPh>
    <rPh sb="8" eb="10">
      <t>レイワ</t>
    </rPh>
    <rPh sb="11" eb="13">
      <t>ネンド</t>
    </rPh>
    <rPh sb="15" eb="17">
      <t>カイシ</t>
    </rPh>
    <rPh sb="22" eb="25">
      <t>ゲンジテン</t>
    </rPh>
    <rPh sb="32" eb="35">
      <t>シュウリョウシャ</t>
    </rPh>
    <rPh sb="36" eb="38">
      <t>シンロ</t>
    </rPh>
    <rPh sb="38" eb="39">
      <t>トウ</t>
    </rPh>
    <rPh sb="43" eb="45">
      <t>ヒョウカ</t>
    </rPh>
    <rPh sb="56" eb="58">
      <t>コンゴ</t>
    </rPh>
    <rPh sb="59" eb="61">
      <t>シュウヤク</t>
    </rPh>
    <rPh sb="62" eb="64">
      <t>ヒョウカ</t>
    </rPh>
    <rPh sb="68" eb="70">
      <t>ヨテイ</t>
    </rPh>
    <phoneticPr fontId="1"/>
  </si>
  <si>
    <t>・ビッグデータ、IoT、AI、生成AI「データサイエンス入門」（第1回、第3回）
・データ量の増加「データサイエンス入門」（第1回、第2回）
・第4次産業革命、Society 5.0、データ駆動型社会「データサイエンス入門」（第1回、第2回）</t>
    <rPh sb="15" eb="17">
      <t xml:space="preserve">セイセイ </t>
    </rPh>
    <rPh sb="32" eb="33">
      <t xml:space="preserve">ダイ2カイ </t>
    </rPh>
    <rPh sb="36" eb="37">
      <t xml:space="preserve">ダイ2カイ </t>
    </rPh>
    <rPh sb="47" eb="49">
      <t xml:space="preserve">ゾウカ </t>
    </rPh>
    <rPh sb="58" eb="60">
      <t xml:space="preserve">ニュウモン </t>
    </rPh>
    <rPh sb="62" eb="63">
      <t xml:space="preserve">ダイ1カイ </t>
    </rPh>
    <rPh sb="66" eb="67">
      <t xml:space="preserve">ダイ2カイ </t>
    </rPh>
    <rPh sb="70" eb="71">
      <t xml:space="preserve">ダイ4ジ </t>
    </rPh>
    <rPh sb="74" eb="78">
      <t xml:space="preserve">サンギョウカクメイ、 </t>
    </rPh>
    <rPh sb="94" eb="96">
      <t xml:space="preserve">クドウ </t>
    </rPh>
    <rPh sb="96" eb="97">
      <t xml:space="preserve">ガタ </t>
    </rPh>
    <rPh sb="97" eb="99">
      <t xml:space="preserve">シャカイ </t>
    </rPh>
    <rPh sb="113" eb="114">
      <t xml:space="preserve">ダイ1カイ </t>
    </rPh>
    <rPh sb="117" eb="118">
      <t xml:space="preserve">ダイ2カイ </t>
    </rPh>
    <phoneticPr fontId="1"/>
  </si>
  <si>
    <t>・AI最新技術の活用例（生成AIなど）「データサイエンス入門」（第1回、第3回、第8回）
・大規模言語モデル「データサイエンス入門」（第3回）</t>
    <rPh sb="3" eb="7">
      <t xml:space="preserve">サイシンギジュツノ </t>
    </rPh>
    <rPh sb="8" eb="11">
      <t xml:space="preserve">カツヨウレイ </t>
    </rPh>
    <rPh sb="12" eb="14">
      <t xml:space="preserve">セイセイ </t>
    </rPh>
    <rPh sb="32" eb="33">
      <t xml:space="preserve">ダイ1カイ </t>
    </rPh>
    <rPh sb="36" eb="37">
      <t xml:space="preserve">ダイ3カイ </t>
    </rPh>
    <rPh sb="40" eb="41">
      <t xml:space="preserve">ダイ8カイ </t>
    </rPh>
    <rPh sb="46" eb="51">
      <t xml:space="preserve">ダイキボゲンゴモデル </t>
    </rPh>
    <phoneticPr fontId="1"/>
  </si>
  <si>
    <t>・調査データ、実験データ、人の行動ログデータ、機械の稼働ログデータ「データサイエンス入門」（第1回、第2回、第9回）
・1次データ、2次データ「データサイエンス入門」（第2回）
・構造化データ、非構造化データ（文章、画像／動画、音声／音楽など）「データサイエンス入門」（第2回、第8回）</t>
    <rPh sb="1" eb="3">
      <t xml:space="preserve">チョウサ </t>
    </rPh>
    <rPh sb="7" eb="9">
      <t xml:space="preserve">ジッケン </t>
    </rPh>
    <rPh sb="13" eb="14">
      <t xml:space="preserve">ヒトノ </t>
    </rPh>
    <rPh sb="15" eb="17">
      <t xml:space="preserve">コウドウ </t>
    </rPh>
    <rPh sb="23" eb="25">
      <t xml:space="preserve">キカイノ </t>
    </rPh>
    <rPh sb="26" eb="28">
      <t xml:space="preserve">カドウ </t>
    </rPh>
    <rPh sb="42" eb="44">
      <t xml:space="preserve">ニュウモン </t>
    </rPh>
    <rPh sb="46" eb="47">
      <t xml:space="preserve">ダイ1カイ </t>
    </rPh>
    <rPh sb="50" eb="51">
      <t xml:space="preserve">ダイ2カイ </t>
    </rPh>
    <rPh sb="54" eb="55">
      <t xml:space="preserve">ダイ9カイ </t>
    </rPh>
    <rPh sb="89" eb="92">
      <t xml:space="preserve">コウゾウカデータ </t>
    </rPh>
    <rPh sb="96" eb="100">
      <t xml:space="preserve">ヒコウゾウカデータ </t>
    </rPh>
    <rPh sb="104" eb="106">
      <t xml:space="preserve">ブンショウ、 </t>
    </rPh>
    <rPh sb="107" eb="109">
      <t xml:space="preserve">ガゾウ </t>
    </rPh>
    <rPh sb="110" eb="112">
      <t xml:space="preserve">ドウガ </t>
    </rPh>
    <rPh sb="113" eb="115">
      <t xml:space="preserve">オンセイ </t>
    </rPh>
    <rPh sb="116" eb="118">
      <t xml:space="preserve">オンガク </t>
    </rPh>
    <rPh sb="138" eb="139">
      <t xml:space="preserve">ダイ8カイ </t>
    </rPh>
    <phoneticPr fontId="1"/>
  </si>
  <si>
    <t>・データ・AI活用領域の広がり「データサイエンス入門」（第3回、第4回）
・対話、コンテンツ生成、翻訳・要約・執筆支援、コーディング支援など生成AIの応用「データサイエンス入門」（第3回、第4回）</t>
    <rPh sb="7" eb="11">
      <t xml:space="preserve">カツヨウリョウイキノヒロガリ </t>
    </rPh>
    <rPh sb="32" eb="33">
      <t xml:space="preserve">ダイ4カイ </t>
    </rPh>
    <rPh sb="38" eb="40">
      <t xml:space="preserve">タイワ </t>
    </rPh>
    <rPh sb="46" eb="48">
      <t xml:space="preserve">セイセイ </t>
    </rPh>
    <rPh sb="49" eb="51">
      <t xml:space="preserve">ホンヤク </t>
    </rPh>
    <rPh sb="52" eb="54">
      <t xml:space="preserve">ヨウヤク </t>
    </rPh>
    <rPh sb="55" eb="59">
      <t xml:space="preserve">シッピツシエン </t>
    </rPh>
    <rPh sb="66" eb="68">
      <t xml:space="preserve">シエン </t>
    </rPh>
    <rPh sb="70" eb="72">
      <t xml:space="preserve">セイセイ </t>
    </rPh>
    <rPh sb="75" eb="77">
      <t xml:space="preserve">オウヨウ </t>
    </rPh>
    <rPh sb="94" eb="95">
      <t xml:space="preserve">ダイ4カイ </t>
    </rPh>
    <phoneticPr fontId="1"/>
  </si>
  <si>
    <t>・倫理的・法的・社会的課題（ELSI）「データサイエンス入門」（第4回）
・個人情報保護、EU一般データ保護規則（GDPR）、オプトアウト「データサイエンス入門」（第4回）
・データ倫理：データのねつ造、改ざん、盗用、プライバシー保護「データサイエンス入門」（第4回）
・AI社会原則「データサイエンス入門」（第4回）
・データ・AI活用における負の事例紹介「データサイエンス入門」（第3回、第4回）
・生成AIの留意事項（ハルシネーションによる誤情報の生成）「データサイエンス入門」（第4回）</t>
    <rPh sb="1" eb="4">
      <t xml:space="preserve">リンリテキ </t>
    </rPh>
    <rPh sb="5" eb="7">
      <t xml:space="preserve">ホウテキ </t>
    </rPh>
    <rPh sb="8" eb="13">
      <t xml:space="preserve">シャカイテキカダイ </t>
    </rPh>
    <rPh sb="32" eb="33">
      <t xml:space="preserve">ダイ4カイ </t>
    </rPh>
    <rPh sb="38" eb="44">
      <t xml:space="preserve">コジンジョウホウホゴ、 </t>
    </rPh>
    <rPh sb="47" eb="49">
      <t xml:space="preserve">イッパンデータホゴキソク </t>
    </rPh>
    <rPh sb="82" eb="83">
      <t xml:space="preserve">ダイ4カイ </t>
    </rPh>
    <rPh sb="102" eb="103">
      <t xml:space="preserve">カイザン </t>
    </rPh>
    <rPh sb="106" eb="108">
      <t xml:space="preserve">トウヨウ </t>
    </rPh>
    <rPh sb="130" eb="131">
      <t xml:space="preserve">ダイ4カイ </t>
    </rPh>
    <rPh sb="138" eb="142">
      <t xml:space="preserve">シャカイゲンソク </t>
    </rPh>
    <rPh sb="155" eb="156">
      <t xml:space="preserve">ダイ4カイ </t>
    </rPh>
    <rPh sb="167" eb="169">
      <t xml:space="preserve">カツヨウニオケル </t>
    </rPh>
    <rPh sb="173" eb="174">
      <t xml:space="preserve">フノ </t>
    </rPh>
    <rPh sb="175" eb="179">
      <t xml:space="preserve">ジレイショウカイ </t>
    </rPh>
    <rPh sb="188" eb="190">
      <t xml:space="preserve">ニュウモン </t>
    </rPh>
    <rPh sb="192" eb="193">
      <t xml:space="preserve">ダイ3カイ </t>
    </rPh>
    <rPh sb="196" eb="197">
      <t xml:space="preserve">ダイ4カイ </t>
    </rPh>
    <rPh sb="202" eb="204">
      <t xml:space="preserve">セイセイ </t>
    </rPh>
    <rPh sb="207" eb="211">
      <t xml:space="preserve">リュウイジコウ </t>
    </rPh>
    <rPh sb="223" eb="226">
      <t xml:space="preserve">ゴジョウホウノセイセイ </t>
    </rPh>
    <rPh sb="243" eb="244">
      <t xml:space="preserve">ダイ4カイ </t>
    </rPh>
    <phoneticPr fontId="1"/>
  </si>
  <si>
    <t>・情報セキュリティの3要素（機密性、完全性、可用性）「データサイエンス入門」（第4回）
・匿名加工情報「データサイエンス入門」（第4回）</t>
    <rPh sb="1" eb="3">
      <t xml:space="preserve">ジョウホウセキュリティノ </t>
    </rPh>
    <rPh sb="14" eb="17">
      <t xml:space="preserve">キミツセイ </t>
    </rPh>
    <rPh sb="18" eb="21">
      <t xml:space="preserve">カンゼンセイ </t>
    </rPh>
    <rPh sb="22" eb="25">
      <t xml:space="preserve">カヨウセイ </t>
    </rPh>
    <rPh sb="39" eb="40">
      <t xml:space="preserve">ダイ4カイ </t>
    </rPh>
    <rPh sb="45" eb="51">
      <t xml:space="preserve">トクメイカコウジョウホウ </t>
    </rPh>
    <rPh sb="64" eb="65">
      <t xml:space="preserve">ダイ4カイ </t>
    </rPh>
    <phoneticPr fontId="1"/>
  </si>
  <si>
    <t>・データの種類（量的変数、質的変数）「データサイエンス入門」（第5回、第9回）
・データの分布（ヒストグラム）と代表値（平均値、中央値、最頻値）「データサイエンス入門」（第5回、第9回、第11回、第13回、第14回）
・代表値の性質の違い「データサイエンス入門」（第5回）
・データのばらつき（分散、標準偏差）、外れ値「データサイエンス入門」（第5回、第11回、第13回、第14回）
・相関と因果（相関係数、疑似相関、交絡）「データサイエンス入門」（第9回）
・母集団と標本抽出「データサイエンス入門」（第9回）</t>
    <rPh sb="5" eb="7">
      <t xml:space="preserve">シュルイ </t>
    </rPh>
    <rPh sb="8" eb="10">
      <t xml:space="preserve">リョウテキ </t>
    </rPh>
    <rPh sb="10" eb="12">
      <t xml:space="preserve">ヘンスウ </t>
    </rPh>
    <rPh sb="13" eb="17">
      <t xml:space="preserve">シツテキヘンスウ </t>
    </rPh>
    <rPh sb="31" eb="32">
      <t xml:space="preserve">ダイ </t>
    </rPh>
    <rPh sb="35" eb="36">
      <t xml:space="preserve">ダイ9カイ </t>
    </rPh>
    <rPh sb="45" eb="47">
      <t xml:space="preserve">ブンプ </t>
    </rPh>
    <rPh sb="56" eb="59">
      <t xml:space="preserve">ダイヒョウチ </t>
    </rPh>
    <rPh sb="60" eb="63">
      <t xml:space="preserve">ヘイキンチ </t>
    </rPh>
    <rPh sb="64" eb="67">
      <t xml:space="preserve">チュウオウチ、 </t>
    </rPh>
    <rPh sb="68" eb="71">
      <t xml:space="preserve">サイヒンチ </t>
    </rPh>
    <rPh sb="85" eb="86">
      <t xml:space="preserve">ダイ5カイ </t>
    </rPh>
    <rPh sb="89" eb="90">
      <t xml:space="preserve">ダイ11カイ </t>
    </rPh>
    <rPh sb="93" eb="94">
      <t xml:space="preserve">ダイ11カイ </t>
    </rPh>
    <rPh sb="98" eb="99">
      <t xml:space="preserve">ダイ13カイ、 </t>
    </rPh>
    <rPh sb="103" eb="104">
      <t xml:space="preserve">ダイ14カイ </t>
    </rPh>
    <rPh sb="110" eb="113">
      <t xml:space="preserve">ダイヒョウチノセイシツノチガイ </t>
    </rPh>
    <rPh sb="132" eb="133">
      <t xml:space="preserve">ダイ5カイ </t>
    </rPh>
    <rPh sb="147" eb="149">
      <t xml:space="preserve">ブンサン、 </t>
    </rPh>
    <rPh sb="150" eb="154">
      <t xml:space="preserve">ヒョウジュンヘンサ </t>
    </rPh>
    <rPh sb="156" eb="157">
      <t xml:space="preserve">ハズレチ </t>
    </rPh>
    <rPh sb="172" eb="173">
      <t xml:space="preserve">ダイ5カイ </t>
    </rPh>
    <rPh sb="176" eb="177">
      <t xml:space="preserve">ダイ11カイ、 </t>
    </rPh>
    <rPh sb="181" eb="182">
      <t xml:space="preserve">ダイ13カイ、 </t>
    </rPh>
    <rPh sb="186" eb="187">
      <t xml:space="preserve">ダイ13カイ </t>
    </rPh>
    <rPh sb="193" eb="195">
      <t xml:space="preserve">ソウカン </t>
    </rPh>
    <rPh sb="196" eb="198">
      <t xml:space="preserve">インガ </t>
    </rPh>
    <rPh sb="199" eb="203">
      <t xml:space="preserve">ソウカンケイスウ、 </t>
    </rPh>
    <rPh sb="204" eb="206">
      <t xml:space="preserve">ギジ </t>
    </rPh>
    <rPh sb="206" eb="208">
      <t xml:space="preserve">ソウカン </t>
    </rPh>
    <rPh sb="209" eb="211">
      <t xml:space="preserve">コウラク </t>
    </rPh>
    <rPh sb="225" eb="226">
      <t xml:space="preserve">ダイ9カイ </t>
    </rPh>
    <rPh sb="231" eb="234">
      <t xml:space="preserve">ボシュウダント </t>
    </rPh>
    <rPh sb="235" eb="239">
      <t xml:space="preserve">ヒョウホンチュウシュツ </t>
    </rPh>
    <rPh sb="252" eb="253">
      <t xml:space="preserve">ダイ9カイ </t>
    </rPh>
    <phoneticPr fontId="1"/>
  </si>
  <si>
    <t>・データ表現（棒グラフ、折線グラフ、散布図、箱ひげ図）「データサイエンス入門」（第11回、第12回、第14回）
・データの比較「データサイエンス入門」（第11回、第12回）
・優れた可視化事例の紹介「データサイエンス入門」（第15回）</t>
    <rPh sb="7" eb="8">
      <t xml:space="preserve">ボウグラフ </t>
    </rPh>
    <rPh sb="12" eb="14">
      <t xml:space="preserve">オレセングラフ </t>
    </rPh>
    <rPh sb="18" eb="21">
      <t xml:space="preserve">サンプズ、 </t>
    </rPh>
    <rPh sb="22" eb="23">
      <t xml:space="preserve">ハコヒゲズ </t>
    </rPh>
    <rPh sb="40" eb="41">
      <t xml:space="preserve">ダイ11カイ </t>
    </rPh>
    <rPh sb="45" eb="46">
      <t xml:space="preserve">ダイ12カイ、 </t>
    </rPh>
    <rPh sb="50" eb="51">
      <t xml:space="preserve">ダイ14カイ </t>
    </rPh>
    <rPh sb="76" eb="77">
      <t xml:space="preserve">ダイ11カイ </t>
    </rPh>
    <rPh sb="81" eb="82">
      <t xml:space="preserve">ダイ12カイ </t>
    </rPh>
    <rPh sb="88" eb="89">
      <t xml:space="preserve">スグレタカシカジレイノショウカイ </t>
    </rPh>
    <rPh sb="112" eb="113">
      <t xml:space="preserve">ダイ15カイ </t>
    </rPh>
    <phoneticPr fontId="1"/>
  </si>
  <si>
    <t>・データの取得（機械判読可能なデータの作成・表記方法）「データサイエンス入門」（第2回、第8回、第10回、第11回、第13回）
・データの集計（和、平均）「データサイエンス入門」（第2回、第5回、第9回、第10回、第11回、第13回、第14回）
・データの並び替え「データサイエンス入門」（第2回、第10回）
・データ解析ツール（スプレッドシート）「データサイエンス入門」（第10回）
・表形式のデータ（CSV）「データサイエンス入門」（第2回）</t>
    <rPh sb="5" eb="7">
      <t xml:space="preserve">シュトク </t>
    </rPh>
    <rPh sb="8" eb="14">
      <t xml:space="preserve">キカイハンドクカノウナデータノサクセイ </t>
    </rPh>
    <rPh sb="22" eb="26">
      <t xml:space="preserve">ヒョウキホウホウ </t>
    </rPh>
    <rPh sb="40" eb="41">
      <t xml:space="preserve">ダイ2カイ、 </t>
    </rPh>
    <rPh sb="44" eb="45">
      <t xml:space="preserve">ダイ10カイ </t>
    </rPh>
    <rPh sb="48" eb="49">
      <t xml:space="preserve">ダイ10カイ </t>
    </rPh>
    <rPh sb="53" eb="54">
      <t xml:space="preserve">ダイ11カイ </t>
    </rPh>
    <rPh sb="58" eb="59">
      <t xml:space="preserve">ダイ13カイ </t>
    </rPh>
    <rPh sb="72" eb="73">
      <t xml:space="preserve">ワ </t>
    </rPh>
    <rPh sb="74" eb="76">
      <t xml:space="preserve">ヘイキン </t>
    </rPh>
    <rPh sb="90" eb="91">
      <t xml:space="preserve">ダイ5カイ </t>
    </rPh>
    <rPh sb="94" eb="95">
      <t xml:space="preserve">ダイ5カイ </t>
    </rPh>
    <rPh sb="98" eb="99">
      <t xml:space="preserve">ダイ9カイ </t>
    </rPh>
    <rPh sb="102" eb="103">
      <t xml:space="preserve">ダイ10カイ、 </t>
    </rPh>
    <rPh sb="107" eb="108">
      <t xml:space="preserve">ダイ11カイ、 </t>
    </rPh>
    <rPh sb="112" eb="113">
      <t xml:space="preserve">ダイ13カイ </t>
    </rPh>
    <rPh sb="117" eb="118">
      <t xml:space="preserve">ダイ14カイ </t>
    </rPh>
    <rPh sb="128" eb="129">
      <t xml:space="preserve">ナラビカエ </t>
    </rPh>
    <rPh sb="145" eb="146">
      <t xml:space="preserve">ダイ2カイ </t>
    </rPh>
    <rPh sb="149" eb="150">
      <t xml:space="preserve">ダイ10カイ </t>
    </rPh>
    <rPh sb="187" eb="188">
      <t xml:space="preserve">ダイ10カイ </t>
    </rPh>
    <rPh sb="194" eb="197">
      <t xml:space="preserve">ヒョウケイシキノデータ </t>
    </rPh>
    <rPh sb="219" eb="220">
      <t xml:space="preserve">ダイ2カイ </t>
    </rPh>
    <phoneticPr fontId="1"/>
  </si>
  <si>
    <t>・データ解析：予測、グルーピング、パターン発見、最適化「データサイエンス入門」（第6回、第7回、第8回、第9回）
・データ可視化：複合グラフ、多次元の可視化、関係性の可視化、地図上の可視化「データサイエンス入門」（第2回、第8回、第9回）
・非構造化データ処理：画像／動画処理、音声／音楽処理「データサイエンス入門」（第2回、第8回、第9回）
・今のAIで出来ることと出来ないこと「データサイエンス入門」（第3回、第4回）
・マルチモーダル（言語、画像、音声など）、生成AIの活用（プロンプトエンジニアリング）「データサイエンス入門」（第2回、第3回）</t>
    <rPh sb="7" eb="9">
      <t xml:space="preserve">ヨソク </t>
    </rPh>
    <rPh sb="21" eb="23">
      <t xml:space="preserve">ハッケン </t>
    </rPh>
    <rPh sb="24" eb="27">
      <t xml:space="preserve">サイテキカ </t>
    </rPh>
    <rPh sb="44" eb="45">
      <t xml:space="preserve">ダイ7カイ， </t>
    </rPh>
    <rPh sb="48" eb="49">
      <t xml:space="preserve">ダイ8カイ </t>
    </rPh>
    <rPh sb="52" eb="53">
      <t xml:space="preserve">ダイ9カイ </t>
    </rPh>
    <rPh sb="65" eb="67">
      <t xml:space="preserve">フクゴウ </t>
    </rPh>
    <rPh sb="71" eb="74">
      <t xml:space="preserve">タジゲンノカシカ </t>
    </rPh>
    <rPh sb="79" eb="82">
      <t xml:space="preserve">カンケイセイノカシカ </t>
    </rPh>
    <rPh sb="87" eb="90">
      <t xml:space="preserve">チズジョウノ </t>
    </rPh>
    <rPh sb="91" eb="94">
      <t xml:space="preserve">カシカ </t>
    </rPh>
    <rPh sb="111" eb="112">
      <t xml:space="preserve">ダイ8カイ </t>
    </rPh>
    <rPh sb="115" eb="116">
      <t xml:space="preserve">ダイ9カイ </t>
    </rPh>
    <rPh sb="121" eb="125">
      <t xml:space="preserve">ヒコウゾウカデータショリ </t>
    </rPh>
    <rPh sb="131" eb="133">
      <t xml:space="preserve">ガゾウ </t>
    </rPh>
    <rPh sb="134" eb="138">
      <t xml:space="preserve">ドウガショリ、 </t>
    </rPh>
    <rPh sb="139" eb="141">
      <t xml:space="preserve">オンセイ </t>
    </rPh>
    <rPh sb="142" eb="146">
      <t xml:space="preserve">オンガクショリ </t>
    </rPh>
    <rPh sb="163" eb="164">
      <t xml:space="preserve">ダイ8カイ </t>
    </rPh>
    <rPh sb="167" eb="168">
      <t xml:space="preserve">ダイ9カイ </t>
    </rPh>
    <rPh sb="173" eb="174">
      <t xml:space="preserve">イマノ </t>
    </rPh>
    <rPh sb="178" eb="180">
      <t xml:space="preserve">デキルコト </t>
    </rPh>
    <rPh sb="184" eb="186">
      <t xml:space="preserve">デキナイコト </t>
    </rPh>
    <rPh sb="207" eb="208">
      <t xml:space="preserve">ダイ4カイ </t>
    </rPh>
    <rPh sb="221" eb="223">
      <t xml:space="preserve">ゲンゴ </t>
    </rPh>
    <rPh sb="224" eb="226">
      <t xml:space="preserve">ガゾウ </t>
    </rPh>
    <rPh sb="227" eb="229">
      <t xml:space="preserve">オンセイ </t>
    </rPh>
    <rPh sb="233" eb="235">
      <t xml:space="preserve">セイセイ </t>
    </rPh>
    <rPh sb="238" eb="240">
      <t xml:space="preserve">カツヨウ </t>
    </rPh>
    <phoneticPr fontId="1"/>
  </si>
  <si>
    <t>・データサイエンスのサイクル（データの取得・管理・加工、探索的データ解析、データ解析と推論）「データサイエンス入門」（第2回、第5回、第6回、第7回）
・金融等におけるデータ・AI利活用事例紹介「データサイエンス入門」（第8回）</t>
    <rPh sb="19" eb="21">
      <t xml:space="preserve">シュトク </t>
    </rPh>
    <rPh sb="22" eb="24">
      <t xml:space="preserve">カンリ </t>
    </rPh>
    <rPh sb="25" eb="27">
      <t xml:space="preserve">カコウ </t>
    </rPh>
    <rPh sb="28" eb="30">
      <t xml:space="preserve">タンサク </t>
    </rPh>
    <rPh sb="30" eb="31">
      <t xml:space="preserve">テキ </t>
    </rPh>
    <rPh sb="43" eb="45">
      <t xml:space="preserve">スイロン </t>
    </rPh>
    <rPh sb="67" eb="68">
      <t xml:space="preserve">ダイ6カイ </t>
    </rPh>
    <rPh sb="71" eb="72">
      <t xml:space="preserve">ダイ7カイ </t>
    </rPh>
    <rPh sb="77" eb="79">
      <t xml:space="preserve">キンユウ </t>
    </rPh>
    <rPh sb="79" eb="80">
      <t xml:space="preserve">トウ </t>
    </rPh>
    <rPh sb="90" eb="97">
      <t xml:space="preserve">リカツヨウジレイショウカイ </t>
    </rPh>
    <rPh sb="112" eb="113">
      <t xml:space="preserve">カイ </t>
    </rPh>
    <phoneticPr fontId="1"/>
  </si>
  <si>
    <t>「データサイエンス入門」は、座学要素を授業時間の一部にとどめ、LMS上の動画による予習、小テストによる復習等で補足することとし、授業時間の大半は身近な題材を用いた手計算や、表計算およびプログラミングを活用した演習により行っている。こうした実践的手法の工夫によって、楽しさや意義を十分に実感しながら理解を深められるものと評価できる。実際、履修後のアンケートでは、9割以上の学生が同手法を肯定的に評価した。また、さらに深く学びたい分野を複数選択で尋ねたところ、生成AI（4割）、統計学（3割）、プログラミング（3割）等、数理・データサイエンス・AI関連の学習意欲向上に貢献したことが明らかとなった。</t>
    <rPh sb="14" eb="16">
      <t xml:space="preserve">ザガクノヨウソヲ </t>
    </rPh>
    <rPh sb="19" eb="23">
      <t xml:space="preserve">ジュギョウジカンノ </t>
    </rPh>
    <rPh sb="24" eb="26">
      <t xml:space="preserve">イチブニ </t>
    </rPh>
    <rPh sb="34" eb="35">
      <t xml:space="preserve">ジョウノ </t>
    </rPh>
    <rPh sb="36" eb="38">
      <t xml:space="preserve">ドウガトウニヨル </t>
    </rPh>
    <rPh sb="41" eb="43">
      <t xml:space="preserve">ヨシュウ、 </t>
    </rPh>
    <rPh sb="44" eb="45">
      <t xml:space="preserve">ショウテストトウニヨル </t>
    </rPh>
    <rPh sb="51" eb="53">
      <t xml:space="preserve">フクシュウ </t>
    </rPh>
    <rPh sb="53" eb="54">
      <t xml:space="preserve">トウ </t>
    </rPh>
    <rPh sb="55" eb="57">
      <t xml:space="preserve">ホソク </t>
    </rPh>
    <rPh sb="64" eb="68">
      <t xml:space="preserve">ジュギョウジカンノタイハン </t>
    </rPh>
    <rPh sb="75" eb="77">
      <t xml:space="preserve">ダイザイ </t>
    </rPh>
    <rPh sb="78" eb="79">
      <t xml:space="preserve">モチイタ </t>
    </rPh>
    <rPh sb="81" eb="84">
      <t xml:space="preserve">テケイサン </t>
    </rPh>
    <rPh sb="86" eb="89">
      <t xml:space="preserve">ヒョウケイサｎ </t>
    </rPh>
    <rPh sb="100" eb="102">
      <t xml:space="preserve">カツヨウシタ </t>
    </rPh>
    <rPh sb="104" eb="106">
      <t xml:space="preserve">エンシュウニ </t>
    </rPh>
    <rPh sb="109" eb="110">
      <t xml:space="preserve">オコナッテイル </t>
    </rPh>
    <rPh sb="119" eb="122">
      <t xml:space="preserve">ジッセンテキナ </t>
    </rPh>
    <rPh sb="122" eb="124">
      <t xml:space="preserve">シュホウニヨリ、 </t>
    </rPh>
    <rPh sb="125" eb="127">
      <t xml:space="preserve">クフウ </t>
    </rPh>
    <rPh sb="132" eb="133">
      <t xml:space="preserve">タノシサ </t>
    </rPh>
    <rPh sb="136" eb="138">
      <t xml:space="preserve">イギヲ </t>
    </rPh>
    <rPh sb="139" eb="141">
      <t xml:space="preserve">ジュウブン </t>
    </rPh>
    <rPh sb="142" eb="144">
      <t xml:space="preserve">ジッカン </t>
    </rPh>
    <rPh sb="148" eb="150">
      <t xml:space="preserve">リカイヲ </t>
    </rPh>
    <rPh sb="151" eb="152">
      <t xml:space="preserve">フカメラエル </t>
    </rPh>
    <rPh sb="159" eb="161">
      <t xml:space="preserve">ヒョウカデキル。 </t>
    </rPh>
    <rPh sb="165" eb="167">
      <t xml:space="preserve">ジッサイ、 </t>
    </rPh>
    <rPh sb="168" eb="171">
      <t xml:space="preserve">リシュウゴノ </t>
    </rPh>
    <rPh sb="182" eb="184">
      <t xml:space="preserve">イジョウノ </t>
    </rPh>
    <rPh sb="185" eb="187">
      <t xml:space="preserve">ガクセイガ </t>
    </rPh>
    <rPh sb="188" eb="189">
      <t xml:space="preserve">ドウ </t>
    </rPh>
    <rPh sb="189" eb="191">
      <t xml:space="preserve">シュホウ </t>
    </rPh>
    <rPh sb="192" eb="195">
      <t xml:space="preserve">コウテイテキニ </t>
    </rPh>
    <rPh sb="196" eb="198">
      <t xml:space="preserve">ヒョウカシタ。 </t>
    </rPh>
    <rPh sb="207" eb="208">
      <t xml:space="preserve">フカク </t>
    </rPh>
    <rPh sb="209" eb="210">
      <t xml:space="preserve">マナビタイ </t>
    </rPh>
    <rPh sb="213" eb="215">
      <t xml:space="preserve">ブンヤヲ </t>
    </rPh>
    <rPh sb="216" eb="218">
      <t xml:space="preserve">フクスウカイトウ </t>
    </rPh>
    <rPh sb="218" eb="220">
      <t xml:space="preserve">センタク </t>
    </rPh>
    <rPh sb="221" eb="222">
      <t xml:space="preserve">タズネタトクロ、 </t>
    </rPh>
    <rPh sb="228" eb="230">
      <t xml:space="preserve">セイセイ </t>
    </rPh>
    <rPh sb="237" eb="240">
      <t xml:space="preserve">トウケイガク、 </t>
    </rPh>
    <rPh sb="256" eb="257">
      <t xml:space="preserve">トウ、 </t>
    </rPh>
    <rPh sb="258" eb="260">
      <t xml:space="preserve">スウリ </t>
    </rPh>
    <rPh sb="272" eb="274">
      <t xml:space="preserve">カンレンノ </t>
    </rPh>
    <rPh sb="275" eb="279">
      <t xml:space="preserve">ガクシュウイヨク </t>
    </rPh>
    <rPh sb="279" eb="281">
      <t xml:space="preserve">コウジョウニ </t>
    </rPh>
    <rPh sb="282" eb="284">
      <t xml:space="preserve">コウケンシタコトガ </t>
    </rPh>
    <rPh sb="289" eb="290">
      <t xml:space="preserve">アキラカトナッタ。 </t>
    </rPh>
    <phoneticPr fontId="1"/>
  </si>
  <si>
    <t>令和6年度「データサイエンス入門」は、実施後の担当教員間による情報交換会において、授業アンケート結果や授業実施結果、学生の様子、各自の専門分野におけるデータサイエンス関連研究の動向等を踏まえ、題材提供順序の変更や講義内容、実習手法の改善・新規導入等について検討し、その結果を次年度の科目実施に反映させることとした。今後も継続的に同様の検証・改善のしくみを機能させていく予定である。</t>
    <rPh sb="0" eb="2">
      <t xml:space="preserve">レイワ6ネンド </t>
    </rPh>
    <rPh sb="14" eb="17">
      <t xml:space="preserve">マイネンドノ </t>
    </rPh>
    <rPh sb="18" eb="19">
      <t xml:space="preserve">ジッシゴニ </t>
    </rPh>
    <rPh sb="19" eb="22">
      <t xml:space="preserve">タントウキョウイン </t>
    </rPh>
    <rPh sb="24" eb="27">
      <t xml:space="preserve">ケントウカイ </t>
    </rPh>
    <rPh sb="31" eb="35">
      <t xml:space="preserve">ジョウホウコウカンヲオコナイ、 </t>
    </rPh>
    <rPh sb="41" eb="43">
      <t xml:space="preserve">ジュギョウアンケートケッカ </t>
    </rPh>
    <rPh sb="48" eb="50">
      <t xml:space="preserve">ケッカヤ </t>
    </rPh>
    <rPh sb="51" eb="57">
      <t xml:space="preserve">ジュギョウナイヨウヲ </t>
    </rPh>
    <rPh sb="58" eb="60">
      <t xml:space="preserve">ガクセイノヨウス </t>
    </rPh>
    <rPh sb="64" eb="66">
      <t xml:space="preserve">カクジノセンモン </t>
    </rPh>
    <rPh sb="69" eb="71">
      <t xml:space="preserve">ブンヤニオケル </t>
    </rPh>
    <rPh sb="83" eb="85">
      <t xml:space="preserve">カンレｎ </t>
    </rPh>
    <rPh sb="85" eb="87">
      <t xml:space="preserve">ケンキュウ </t>
    </rPh>
    <rPh sb="88" eb="90">
      <t xml:space="preserve">ドウコウ </t>
    </rPh>
    <rPh sb="90" eb="91">
      <t xml:space="preserve">トウ </t>
    </rPh>
    <rPh sb="92" eb="93">
      <t xml:space="preserve">フマエテ， </t>
    </rPh>
    <rPh sb="96" eb="102">
      <t xml:space="preserve">ダイザイジュンジョ </t>
    </rPh>
    <rPh sb="103" eb="105">
      <t xml:space="preserve">ヘンコウヤ </t>
    </rPh>
    <rPh sb="106" eb="110">
      <t xml:space="preserve">コウギナイヨウ </t>
    </rPh>
    <rPh sb="111" eb="115">
      <t xml:space="preserve">ジッシュウシュホウノ </t>
    </rPh>
    <rPh sb="116" eb="118">
      <t xml:space="preserve">カイゼン </t>
    </rPh>
    <rPh sb="119" eb="123">
      <t xml:space="preserve">シンキドウニュ </t>
    </rPh>
    <rPh sb="123" eb="124">
      <t xml:space="preserve">トウニツイテ </t>
    </rPh>
    <rPh sb="134" eb="136">
      <t xml:space="preserve">ケッカハ </t>
    </rPh>
    <rPh sb="137" eb="140">
      <t xml:space="preserve">ジネンドノ </t>
    </rPh>
    <rPh sb="141" eb="145">
      <t xml:space="preserve">カモクジッシニ </t>
    </rPh>
    <rPh sb="146" eb="148">
      <t xml:space="preserve">ハンエイサセ </t>
    </rPh>
    <rPh sb="157" eb="159">
      <t xml:space="preserve">コンゴモ </t>
    </rPh>
    <rPh sb="160" eb="163">
      <t xml:space="preserve">ケイゾクテキニ </t>
    </rPh>
    <rPh sb="164" eb="166">
      <t xml:space="preserve">ドウヨウノ </t>
    </rPh>
    <rPh sb="167" eb="169">
      <t xml:space="preserve">ケンショウ </t>
    </rPh>
    <rPh sb="170" eb="172">
      <t xml:space="preserve">カイゼン </t>
    </rPh>
    <rPh sb="177" eb="179">
      <t xml:space="preserve">キノウサセテイク </t>
    </rPh>
    <rPh sb="184" eb="186">
      <t xml:space="preserve">ヨテイデアル。 </t>
    </rPh>
    <phoneticPr fontId="1"/>
  </si>
  <si>
    <r>
      <t>本プログラムを構成する科目では、学生ポータルサイトやLMS（Moodle）により履修者の履修状況や修得状況、課題への取組状況を授業担当教員や教務課が</t>
    </r>
    <r>
      <rPr>
        <sz val="12"/>
        <rFont val="ＭＳ Ｐゴシック"/>
        <family val="3"/>
        <charset val="128"/>
      </rPr>
      <t>随時</t>
    </r>
    <r>
      <rPr>
        <sz val="12"/>
        <rFont val="ＭＳ Ｐゴシック"/>
        <family val="3"/>
        <charset val="128"/>
        <scheme val="minor"/>
      </rPr>
      <t>把握することができる。また、教育支援室では、</t>
    </r>
    <r>
      <rPr>
        <sz val="12"/>
        <rFont val="ＭＳ Ｐゴシック"/>
        <family val="3"/>
        <charset val="128"/>
      </rPr>
      <t>定期的に</t>
    </r>
    <r>
      <rPr>
        <sz val="12"/>
        <rFont val="ＭＳ Ｐゴシック"/>
        <family val="3"/>
        <charset val="128"/>
        <scheme val="minor"/>
      </rPr>
      <t>履修状況や修得状況を確認している。なお、令和6年度はプログラム対象学生250人のうち、134人が履修し、132人が修得した。</t>
    </r>
    <rPh sb="0" eb="1">
      <t>ホン</t>
    </rPh>
    <rPh sb="7" eb="9">
      <t>コウセイ</t>
    </rPh>
    <rPh sb="11" eb="13">
      <t>カモク</t>
    </rPh>
    <rPh sb="16" eb="18">
      <t>ガクセイ</t>
    </rPh>
    <rPh sb="40" eb="43">
      <t>リシュウシャ</t>
    </rPh>
    <rPh sb="44" eb="46">
      <t>リシュウ</t>
    </rPh>
    <rPh sb="46" eb="48">
      <t>ジョウキョウ</t>
    </rPh>
    <rPh sb="49" eb="53">
      <t>シュウトクジョウキョウ</t>
    </rPh>
    <rPh sb="54" eb="56">
      <t>カダイ</t>
    </rPh>
    <rPh sb="58" eb="59">
      <t>ト</t>
    </rPh>
    <rPh sb="59" eb="60">
      <t>ク</t>
    </rPh>
    <rPh sb="60" eb="62">
      <t>ジョウキョウ</t>
    </rPh>
    <rPh sb="63" eb="69">
      <t>ジュギョウタントウキョウイン</t>
    </rPh>
    <rPh sb="70" eb="73">
      <t>キョウムカ</t>
    </rPh>
    <rPh sb="74" eb="76">
      <t xml:space="preserve">ズイジ </t>
    </rPh>
    <rPh sb="76" eb="78">
      <t>ハアク</t>
    </rPh>
    <rPh sb="90" eb="95">
      <t>キョウイクシエンシツ</t>
    </rPh>
    <rPh sb="98" eb="101">
      <t xml:space="preserve">テイキテキニ </t>
    </rPh>
    <rPh sb="102" eb="106">
      <t>リシュウジョウキョウ</t>
    </rPh>
    <rPh sb="107" eb="109">
      <t>シュウトク</t>
    </rPh>
    <rPh sb="109" eb="111">
      <t>ジョウキョウ</t>
    </rPh>
    <rPh sb="112" eb="114">
      <t>カクニン</t>
    </rPh>
    <rPh sb="122" eb="124">
      <t>レイワ</t>
    </rPh>
    <rPh sb="125" eb="127">
      <t>ネンド</t>
    </rPh>
    <rPh sb="133" eb="137">
      <t>タイショウガクセイ</t>
    </rPh>
    <rPh sb="140" eb="141">
      <t>ニン</t>
    </rPh>
    <rPh sb="148" eb="149">
      <t>ニン</t>
    </rPh>
    <rPh sb="150" eb="152">
      <t>リシュウ</t>
    </rPh>
    <rPh sb="157" eb="158">
      <t>ニン</t>
    </rPh>
    <rPh sb="159" eb="161">
      <t>シュウトク</t>
    </rPh>
    <phoneticPr fontId="1"/>
  </si>
  <si>
    <r>
      <t>毎回の授業</t>
    </r>
    <r>
      <rPr>
        <sz val="12"/>
        <rFont val="ＭＳ Ｐゴシック"/>
        <family val="3"/>
        <charset val="128"/>
      </rPr>
      <t>についてLMS</t>
    </r>
    <r>
      <rPr>
        <sz val="12"/>
        <rFont val="ＭＳ Ｐゴシック"/>
        <family val="3"/>
        <charset val="128"/>
        <scheme val="minor"/>
      </rPr>
      <t>で実施する小テスト</t>
    </r>
    <r>
      <rPr>
        <sz val="12"/>
        <rFont val="ＭＳ Ｐゴシック"/>
        <family val="3"/>
        <charset val="128"/>
      </rPr>
      <t>（提出課題を含む）</t>
    </r>
    <r>
      <rPr>
        <sz val="12"/>
        <rFont val="ＭＳ Ｐゴシック"/>
        <family val="3"/>
        <charset val="128"/>
        <scheme val="minor"/>
      </rPr>
      <t>の結果、教育支援室において実施している授業評価アンケート及び</t>
    </r>
    <r>
      <rPr>
        <sz val="12"/>
        <rFont val="ＭＳ Ｐゴシック"/>
        <family val="3"/>
        <charset val="128"/>
      </rPr>
      <t>LMSで実施する</t>
    </r>
    <r>
      <rPr>
        <sz val="12"/>
        <rFont val="ＭＳ Ｐゴシック"/>
        <family val="3"/>
        <charset val="128"/>
        <scheme val="minor"/>
      </rPr>
      <t>本プログラム独自の学生アンケートにより、学生の理解度を把握し、教育支援室において、本プログラムの評価及び改善に活用する。</t>
    </r>
    <rPh sb="0" eb="2">
      <t>マイカイ</t>
    </rPh>
    <rPh sb="3" eb="5">
      <t>ジュギョウ</t>
    </rPh>
    <rPh sb="13" eb="15">
      <t>ジッシ</t>
    </rPh>
    <rPh sb="17" eb="18">
      <t>ショウ</t>
    </rPh>
    <rPh sb="22" eb="26">
      <t xml:space="preserve">テイシュツカダイヲ </t>
    </rPh>
    <rPh sb="27" eb="28">
      <t xml:space="preserve">フクム </t>
    </rPh>
    <rPh sb="31" eb="33">
      <t>ケッカ</t>
    </rPh>
    <rPh sb="34" eb="39">
      <t>キョウイクシエンシツ</t>
    </rPh>
    <rPh sb="43" eb="45">
      <t>ジッシ</t>
    </rPh>
    <rPh sb="49" eb="53">
      <t>ジュギョウヒョウカ</t>
    </rPh>
    <rPh sb="58" eb="59">
      <t>オヨ</t>
    </rPh>
    <rPh sb="64" eb="66">
      <t xml:space="preserve">ジッシスル </t>
    </rPh>
    <rPh sb="68" eb="69">
      <t>ホン</t>
    </rPh>
    <rPh sb="74" eb="76">
      <t>ドクジ</t>
    </rPh>
    <rPh sb="77" eb="79">
      <t>ガクセイ</t>
    </rPh>
    <rPh sb="88" eb="90">
      <t>ガクセイ</t>
    </rPh>
    <rPh sb="91" eb="94">
      <t>リカイド</t>
    </rPh>
    <rPh sb="94" eb="95">
      <t>オヨ</t>
    </rPh>
    <rPh sb="96" eb="98">
      <t>ジュギョウ</t>
    </rPh>
    <rPh sb="99" eb="101">
      <t>キョウイク</t>
    </rPh>
    <rPh sb="101" eb="103">
      <t>シエン</t>
    </rPh>
    <rPh sb="103" eb="104">
      <t>シツ</t>
    </rPh>
    <rPh sb="109" eb="110">
      <t>ホン</t>
    </rPh>
    <phoneticPr fontId="1"/>
  </si>
  <si>
    <r>
      <t>大学教育センターにおいて実施している授業評価アンケート及び</t>
    </r>
    <r>
      <rPr>
        <sz val="12"/>
        <rFont val="ＭＳ Ｐゴシック"/>
        <family val="3"/>
        <charset val="128"/>
      </rPr>
      <t>本</t>
    </r>
    <r>
      <rPr>
        <sz val="12"/>
        <rFont val="ＭＳ Ｐゴシック"/>
        <family val="3"/>
        <charset val="128"/>
        <scheme val="minor"/>
      </rPr>
      <t>プログラム独自の学生アンケートにおいて、後輩等他の学生への推奨度を問う設問はないが、本プログラムの構成科目における授業評価アンケートで「授業は全体として満足できるものであった。」という設問に対し「強くそう思う」「そう思う」と回答した割合が84.55％と高く、履修者は他の学生に推奨できるものと考えている。</t>
    </r>
    <r>
      <rPr>
        <sz val="12"/>
        <rFont val="ＭＳ Ｐゴシック"/>
        <family val="3"/>
        <charset val="128"/>
      </rPr>
      <t>令和7年度からはアンケートに当該設問を追加する予定である。</t>
    </r>
    <rPh sb="0" eb="2">
      <t>ダイガク</t>
    </rPh>
    <rPh sb="2" eb="4">
      <t>キョウイク</t>
    </rPh>
    <rPh sb="12" eb="14">
      <t>ジッシ</t>
    </rPh>
    <rPh sb="18" eb="22">
      <t>ジュギョウヒョウカ</t>
    </rPh>
    <rPh sb="27" eb="28">
      <t>オヨ</t>
    </rPh>
    <rPh sb="29" eb="30">
      <t xml:space="preserve">ホｎ </t>
    </rPh>
    <rPh sb="35" eb="37">
      <t>ドクジ</t>
    </rPh>
    <rPh sb="38" eb="40">
      <t>ガクセイ</t>
    </rPh>
    <rPh sb="50" eb="52">
      <t>コウハイ</t>
    </rPh>
    <rPh sb="52" eb="53">
      <t>ナド</t>
    </rPh>
    <rPh sb="53" eb="54">
      <t>ホカ</t>
    </rPh>
    <rPh sb="55" eb="57">
      <t>ガクセイ</t>
    </rPh>
    <rPh sb="59" eb="62">
      <t>スイショウド</t>
    </rPh>
    <rPh sb="63" eb="64">
      <t>ト</t>
    </rPh>
    <rPh sb="65" eb="67">
      <t>セツモン</t>
    </rPh>
    <rPh sb="72" eb="73">
      <t>ホン</t>
    </rPh>
    <rPh sb="79" eb="81">
      <t>コウセイ</t>
    </rPh>
    <rPh sb="81" eb="83">
      <t>カモク</t>
    </rPh>
    <rPh sb="122" eb="124">
      <t>セツモン</t>
    </rPh>
    <rPh sb="125" eb="126">
      <t>タイ</t>
    </rPh>
    <rPh sb="142" eb="144">
      <t>カイトウ</t>
    </rPh>
    <rPh sb="146" eb="148">
      <t>ワリアイ</t>
    </rPh>
    <rPh sb="156" eb="157">
      <t>タカ</t>
    </rPh>
    <rPh sb="159" eb="162">
      <t>リシュウシャ</t>
    </rPh>
    <rPh sb="163" eb="164">
      <t>ホカ</t>
    </rPh>
    <rPh sb="165" eb="167">
      <t>ガクセイ</t>
    </rPh>
    <rPh sb="168" eb="170">
      <t>スイショウ</t>
    </rPh>
    <rPh sb="176" eb="177">
      <t>カンガ</t>
    </rPh>
    <rPh sb="182" eb="184">
      <t xml:space="preserve">レイワ7ネンドカラハ </t>
    </rPh>
    <rPh sb="196" eb="200">
      <t xml:space="preserve">トウガイセツモンヲ </t>
    </rPh>
    <rPh sb="201" eb="203">
      <t xml:space="preserve">ツイカスルヨテイデアル。 </t>
    </rPh>
    <phoneticPr fontId="1"/>
  </si>
  <si>
    <r>
      <t>本プログラムは、令和６年度から開始した。今後、本プログラムの内容・手法等について、</t>
    </r>
    <r>
      <rPr>
        <sz val="12"/>
        <rFont val="ＭＳ Ｐゴシック"/>
        <family val="3"/>
        <charset val="128"/>
      </rPr>
      <t>産学連携センターにおいてAI関連研究・教育の推進に関し連携している企業や合同企業説明会参加企業等、</t>
    </r>
    <r>
      <rPr>
        <sz val="12"/>
        <rFont val="ＭＳ Ｐゴシック"/>
        <family val="3"/>
        <charset val="128"/>
        <scheme val="minor"/>
      </rPr>
      <t>本学とかかわりのある企業を中心に産業界からの意見を</t>
    </r>
    <r>
      <rPr>
        <sz val="12"/>
        <rFont val="ＭＳ Ｐゴシック"/>
        <family val="3"/>
        <charset val="128"/>
      </rPr>
      <t>アンケートやインタビューにより</t>
    </r>
    <r>
      <rPr>
        <sz val="12"/>
        <rFont val="ＭＳ Ｐゴシック"/>
        <family val="3"/>
        <charset val="128"/>
        <scheme val="minor"/>
      </rPr>
      <t>求め、プログラムの改善に役立てていく予定である。</t>
    </r>
    <rPh sb="20" eb="22">
      <t>コンゴ</t>
    </rPh>
    <rPh sb="23" eb="24">
      <t>ホン</t>
    </rPh>
    <rPh sb="30" eb="32">
      <t>ナイヨウ</t>
    </rPh>
    <rPh sb="33" eb="35">
      <t>シュホウ</t>
    </rPh>
    <rPh sb="35" eb="36">
      <t>トウ</t>
    </rPh>
    <rPh sb="41" eb="43">
      <t>ホンガク</t>
    </rPh>
    <rPh sb="51" eb="53">
      <t>キギョウ</t>
    </rPh>
    <rPh sb="54" eb="56">
      <t>チュウシン</t>
    </rPh>
    <rPh sb="57" eb="60">
      <t>サンギョウカイ</t>
    </rPh>
    <rPh sb="63" eb="65">
      <t>イケン</t>
    </rPh>
    <rPh sb="66" eb="67">
      <t>モト</t>
    </rPh>
    <rPh sb="75" eb="77">
      <t>カイゼン</t>
    </rPh>
    <rPh sb="77" eb="81">
      <t xml:space="preserve">ゴウドウキギョウ </t>
    </rPh>
    <rPh sb="81" eb="84">
      <t xml:space="preserve">セツメイカイ </t>
    </rPh>
    <rPh sb="84" eb="89">
      <t xml:space="preserve">サンカキギョウトウ </t>
    </rPh>
    <rPh sb="91" eb="93">
      <t>ヤクダ</t>
    </rPh>
    <rPh sb="97" eb="99">
      <t>ヨテイ</t>
    </rPh>
    <phoneticPr fontId="1"/>
  </si>
  <si>
    <r>
      <t xml:space="preserve">授業担当教員の他、SA及びTAを配置することにより受講生の疑問に即時対応できるサポート体制をとっている。演習部分においては、PCを設置している実習室とオンラインで接続し、分担教員、SA及びTAを配置することで、端末を持たない学生であっても履修できるようにしている。
また、授業内容をいつでも復習できるよう授業翌日にはアーカイブで配信している。
</t>
    </r>
    <r>
      <rPr>
        <sz val="12"/>
        <rFont val="ＭＳ Ｐゴシック"/>
        <family val="3"/>
        <charset val="128"/>
      </rPr>
      <t>さらに、必要となるアプリケーションやプログラミング環境はすべてクラウドサービスを活用することとし、学生が時間や場所、端末環境によらずに使用できるようにしている。</t>
    </r>
    <rPh sb="0" eb="2">
      <t>ジュギョウ</t>
    </rPh>
    <rPh sb="2" eb="4">
      <t>タントウ</t>
    </rPh>
    <rPh sb="4" eb="6">
      <t>キョウイン</t>
    </rPh>
    <rPh sb="7" eb="8">
      <t>ホカ</t>
    </rPh>
    <rPh sb="11" eb="12">
      <t>オヨ</t>
    </rPh>
    <rPh sb="16" eb="18">
      <t>ハイチ</t>
    </rPh>
    <rPh sb="25" eb="28">
      <t>ジュコウセイ</t>
    </rPh>
    <rPh sb="29" eb="31">
      <t>ギモン</t>
    </rPh>
    <rPh sb="32" eb="36">
      <t>ソクジタイオウ</t>
    </rPh>
    <rPh sb="43" eb="45">
      <t>タイセイ</t>
    </rPh>
    <rPh sb="52" eb="54">
      <t>エンシュウ</t>
    </rPh>
    <rPh sb="54" eb="56">
      <t>ブブン</t>
    </rPh>
    <rPh sb="65" eb="67">
      <t>セッチ</t>
    </rPh>
    <rPh sb="71" eb="73">
      <t>ジッシュウ</t>
    </rPh>
    <rPh sb="73" eb="74">
      <t>シツ</t>
    </rPh>
    <rPh sb="81" eb="83">
      <t>セツゾク</t>
    </rPh>
    <rPh sb="85" eb="89">
      <t>ブンタンキョウイン</t>
    </rPh>
    <rPh sb="97" eb="99">
      <t>ハイチ</t>
    </rPh>
    <rPh sb="105" eb="107">
      <t>タンマツ</t>
    </rPh>
    <rPh sb="119" eb="121">
      <t>リシュウ</t>
    </rPh>
    <rPh sb="176" eb="178">
      <t xml:space="preserve">ヒツヨウトナル </t>
    </rPh>
    <rPh sb="212" eb="214">
      <t xml:space="preserve">カツヨウ </t>
    </rPh>
    <rPh sb="221" eb="223">
      <t xml:space="preserve">ガクセイガ </t>
    </rPh>
    <rPh sb="224" eb="226">
      <t xml:space="preserve">ジカンヤバショ </t>
    </rPh>
    <rPh sb="230" eb="232">
      <t xml:space="preserve">タンマツ </t>
    </rPh>
    <rPh sb="232" eb="234">
      <t xml:space="preserve">カンキョウ </t>
    </rPh>
    <rPh sb="239" eb="241">
      <t xml:space="preserve">シヨウデキルヨウニシテイル。 </t>
    </rPh>
    <phoneticPr fontId="1"/>
  </si>
  <si>
    <r>
      <t>令和６年度に本プログラムを開始し、対象者の履修率は12%であった。更に履修者数を増やすため、入学時に実施する新入生オリエンテーションにおいてプログラムの説明を行い履修を推奨する。その中で、数理・データサイエンス・ＡＩ教育の重要性及び本学の専門性との繋がりを説明し関心を深め、履修率の向上を図る。また、令和７年度</t>
    </r>
    <r>
      <rPr>
        <sz val="12"/>
        <rFont val="ＭＳ Ｐゴシック"/>
        <family val="3"/>
        <charset val="128"/>
      </rPr>
      <t>から</t>
    </r>
    <r>
      <rPr>
        <sz val="12"/>
        <rFont val="ＭＳ Ｐゴシック"/>
        <family val="3"/>
        <charset val="128"/>
        <scheme val="minor"/>
      </rPr>
      <t xml:space="preserve">は受講しやすい時間割に変更したため、履修者数の増加が見込まれる。なお、今後の本プログラム科目の全学必修化について、現在検討を行っている。
</t>
    </r>
    <rPh sb="0" eb="2">
      <t>レイワ</t>
    </rPh>
    <rPh sb="3" eb="5">
      <t>ネンド</t>
    </rPh>
    <rPh sb="6" eb="7">
      <t>ホン</t>
    </rPh>
    <rPh sb="13" eb="15">
      <t>カイシ</t>
    </rPh>
    <rPh sb="17" eb="19">
      <t>タイショウ</t>
    </rPh>
    <rPh sb="19" eb="20">
      <t>シャ</t>
    </rPh>
    <rPh sb="21" eb="24">
      <t>リシュウリツ</t>
    </rPh>
    <rPh sb="33" eb="34">
      <t>サラ</t>
    </rPh>
    <rPh sb="40" eb="41">
      <t>フ</t>
    </rPh>
    <rPh sb="50" eb="52">
      <t>ジッシ</t>
    </rPh>
    <rPh sb="54" eb="57">
      <t>シンニュウセイ</t>
    </rPh>
    <rPh sb="76" eb="78">
      <t>セツメイ</t>
    </rPh>
    <rPh sb="79" eb="80">
      <t>オコナ</t>
    </rPh>
    <rPh sb="81" eb="83">
      <t>リシュウ</t>
    </rPh>
    <rPh sb="84" eb="86">
      <t>スイショウ</t>
    </rPh>
    <rPh sb="91" eb="92">
      <t>ナカ</t>
    </rPh>
    <rPh sb="108" eb="110">
      <t>キョウイク</t>
    </rPh>
    <rPh sb="111" eb="114">
      <t>ジュウヨウセイ</t>
    </rPh>
    <rPh sb="114" eb="115">
      <t>オヨ</t>
    </rPh>
    <rPh sb="116" eb="118">
      <t>ホンガク</t>
    </rPh>
    <rPh sb="119" eb="122">
      <t>センモンセイ</t>
    </rPh>
    <rPh sb="124" eb="125">
      <t>ツナ</t>
    </rPh>
    <rPh sb="128" eb="130">
      <t>セツメイ</t>
    </rPh>
    <rPh sb="131" eb="133">
      <t>カンシン</t>
    </rPh>
    <rPh sb="134" eb="135">
      <t>フカ</t>
    </rPh>
    <rPh sb="144" eb="145">
      <t>ハカ</t>
    </rPh>
    <rPh sb="150" eb="152">
      <t>レイワ</t>
    </rPh>
    <rPh sb="153" eb="155">
      <t>ネンド</t>
    </rPh>
    <rPh sb="158" eb="160">
      <t>ジュコウ</t>
    </rPh>
    <rPh sb="164" eb="167">
      <t>ジカンワリ</t>
    </rPh>
    <rPh sb="175" eb="178">
      <t>リシュウシャ</t>
    </rPh>
    <rPh sb="178" eb="179">
      <t>スウ</t>
    </rPh>
    <rPh sb="180" eb="182">
      <t>ゾウカ</t>
    </rPh>
    <rPh sb="183" eb="185">
      <t>ミコ</t>
    </rPh>
    <rPh sb="192" eb="194">
      <t>コンゴ</t>
    </rPh>
    <rPh sb="195" eb="196">
      <t>ホン</t>
    </rPh>
    <rPh sb="201" eb="203">
      <t>カモク</t>
    </rPh>
    <rPh sb="204" eb="206">
      <t>ゼンガク</t>
    </rPh>
    <rPh sb="206" eb="209">
      <t>ヒッシュウカ</t>
    </rPh>
    <rPh sb="214" eb="216">
      <t>ゲンザイ</t>
    </rPh>
    <rPh sb="216" eb="218">
      <t>ケントウ</t>
    </rPh>
    <rPh sb="219" eb="220">
      <t>オコナ</t>
    </rPh>
    <phoneticPr fontId="1"/>
  </si>
  <si>
    <r>
      <t>本プログラム科目は、全ての学部学生の卒業要件単位として受講可能な基盤教育として開講しており、現実的に受講ができる時間割を設定している。</t>
    </r>
    <r>
      <rPr>
        <sz val="12"/>
        <rFont val="ＭＳ Ｐゴシック"/>
        <family val="3"/>
        <charset val="128"/>
      </rPr>
      <t>令和7年度からは、前後の科目との関係も考慮し、より受講しやすい時間割に変更している。</t>
    </r>
    <rPh sb="0" eb="1">
      <t>ホン</t>
    </rPh>
    <rPh sb="6" eb="8">
      <t>カモク</t>
    </rPh>
    <rPh sb="10" eb="11">
      <t>スベ</t>
    </rPh>
    <rPh sb="13" eb="17">
      <t>ガクブガクセイ</t>
    </rPh>
    <rPh sb="18" eb="22">
      <t>ソツギョウヨウケン</t>
    </rPh>
    <rPh sb="22" eb="24">
      <t>タンイ</t>
    </rPh>
    <rPh sb="27" eb="31">
      <t>ジュコウカノウ</t>
    </rPh>
    <rPh sb="32" eb="36">
      <t>キバンキョウイク</t>
    </rPh>
    <rPh sb="39" eb="41">
      <t>カイコウ</t>
    </rPh>
    <rPh sb="46" eb="49">
      <t>ゲンジツテキ</t>
    </rPh>
    <rPh sb="50" eb="52">
      <t>ジュコウ</t>
    </rPh>
    <rPh sb="56" eb="59">
      <t>ジカンワリ</t>
    </rPh>
    <rPh sb="60" eb="62">
      <t>セッテイ</t>
    </rPh>
    <rPh sb="67" eb="69">
      <t xml:space="preserve">レイワ </t>
    </rPh>
    <rPh sb="70" eb="72">
      <t xml:space="preserve">ネンドカラハ </t>
    </rPh>
    <rPh sb="76" eb="78">
      <t xml:space="preserve">ゼンゴノ </t>
    </rPh>
    <rPh sb="79" eb="81">
      <t xml:space="preserve">カモクトノ </t>
    </rPh>
    <rPh sb="83" eb="85">
      <t xml:space="preserve">カンケイモ </t>
    </rPh>
    <rPh sb="86" eb="88">
      <t xml:space="preserve">コウリョシ， </t>
    </rPh>
    <rPh sb="92" eb="94">
      <t xml:space="preserve">ジュコウシヤスイ </t>
    </rPh>
    <rPh sb="98" eb="101">
      <t xml:space="preserve">ジカンワリニ </t>
    </rPh>
    <rPh sb="102" eb="104">
      <t xml:space="preserve">ヘンコウシテイル。 </t>
    </rPh>
    <phoneticPr fontId="1"/>
  </si>
  <si>
    <r>
      <t>基礎的なデータリテラシーを構成する知識、技能、心構えを身につける。</t>
    </r>
    <r>
      <rPr>
        <sz val="12"/>
        <rFont val="ＭＳ Ｐゴシック"/>
        <family val="3"/>
        <charset val="128"/>
      </rPr>
      <t>具体的には、①身の回りの生活や経済活動，および大学での学習・研究におけるデータサイエンスやAIの活用事例と，可能性，課題，限界を説明できる。②データサイエンスやAIの基礎となるデータの統計的・数理的な表現や推論について，適切な方法を判断，評価できる。③スプレッドシートにより，インプットとアウトプットのデジタルデータを適切に扱って，2変量までの記述統計を実践できる。④統計プロラミングにより，インプットとアウトプットのデジタルデータを適切に扱って，2変量までの記述統計を実践するプロセスを再現できる。</t>
    </r>
    <rPh sb="33" eb="36">
      <t xml:space="preserve">グタイテキニハ </t>
    </rPh>
    <phoneticPr fontId="1"/>
  </si>
  <si>
    <t>帯広畜産大学大学教育センター規程
帯広畜産大学大学教育センター教育支援室内規</t>
    <rPh sb="0" eb="6">
      <t>オビヒロチクサンダイガク</t>
    </rPh>
    <rPh sb="6" eb="10">
      <t>ダイガクキョウイク</t>
    </rPh>
    <rPh sb="14" eb="16">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</si>
</sst>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11" fillId="0" borderId="1"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11" fillId="0" borderId="2" xfId="0" applyFont="1" applyFill="1" applyBorder="1" applyAlignment="1">
      <alignment vertical="center" wrapText="1" shrinkToFit="1"/>
    </xf>
    <xf numFmtId="0" fontId="11" fillId="0" borderId="3" xfId="0" applyFont="1" applyFill="1" applyBorder="1" applyAlignment="1">
      <alignment vertical="center" wrapText="1" shrinkToFit="1"/>
    </xf>
    <xf numFmtId="0" fontId="11" fillId="0" borderId="4" xfId="0" applyFont="1" applyFill="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9" xfId="0" applyFont="1" applyFill="1" applyBorder="1" applyAlignment="1">
      <alignment vertical="center" shrinkToFit="1"/>
    </xf>
    <xf numFmtId="0" fontId="2" fillId="0" borderId="31" xfId="0" applyFont="1" applyFill="1" applyBorder="1" applyAlignment="1">
      <alignment vertical="center" shrinkToFit="1"/>
    </xf>
    <xf numFmtId="0" fontId="2" fillId="0" borderId="30" xfId="0" applyFont="1" applyFill="1" applyBorder="1" applyAlignment="1">
      <alignment vertical="center" shrinkToFit="1"/>
    </xf>
    <xf numFmtId="0" fontId="2" fillId="0" borderId="29" xfId="0" applyFont="1" applyFill="1" applyBorder="1" applyAlignment="1">
      <alignment horizontal="center" vertical="center" shrinkToFit="1"/>
    </xf>
    <xf numFmtId="0" fontId="2" fillId="0" borderId="31" xfId="0" applyFont="1" applyFill="1" applyBorder="1" applyAlignment="1">
      <alignment horizontal="center" vertical="center" shrinkToFit="1"/>
    </xf>
    <xf numFmtId="0" fontId="2" fillId="0" borderId="30" xfId="0" applyFont="1" applyFill="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11"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wrapText="1"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Fill="1" applyBorder="1" applyAlignment="1">
      <alignment vertical="top" wrapText="1" shrinkToFit="1"/>
    </xf>
    <xf numFmtId="0" fontId="11" fillId="0" borderId="12" xfId="0" applyFont="1" applyFill="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9" xfId="0" applyFont="1" applyFill="1" applyBorder="1" applyAlignment="1">
      <alignment vertical="top" wrapText="1" shrinkToFit="1"/>
    </xf>
    <xf numFmtId="0" fontId="11" fillId="0" borderId="17" xfId="0" applyFont="1" applyFill="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1" fillId="0" borderId="33" xfId="0" applyFont="1" applyFill="1" applyBorder="1" applyAlignment="1">
      <alignment vertical="top" wrapText="1" shrinkToFit="1"/>
    </xf>
    <xf numFmtId="0" fontId="11" fillId="0" borderId="34" xfId="0" applyFont="1" applyFill="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11" fillId="0" borderId="37" xfId="0" applyFont="1" applyFill="1" applyBorder="1" applyAlignment="1">
      <alignment vertical="top" wrapText="1" shrinkToFit="1"/>
    </xf>
    <xf numFmtId="0" fontId="11" fillId="0" borderId="38" xfId="0" applyFont="1" applyFill="1" applyBorder="1" applyAlignment="1">
      <alignment vertical="top" wrapText="1" shrinkToFit="1"/>
    </xf>
    <xf numFmtId="0" fontId="11" fillId="0" borderId="18" xfId="0" applyFont="1" applyFill="1" applyBorder="1" applyAlignment="1">
      <alignment vertical="top" wrapText="1" shrinkToFit="1"/>
    </xf>
    <xf numFmtId="0" fontId="11" fillId="0" borderId="32" xfId="0" applyFont="1" applyFill="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zoomScaleNormal="100" zoomScaleSheetLayoutView="100" workbookViewId="0">
      <selection activeCell="V12" sqref="V1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1" t="s">
        <v>12</v>
      </c>
      <c r="U1" s="121"/>
      <c r="V1" s="2" t="s">
        <v>94</v>
      </c>
    </row>
    <row r="2" spans="1:24" ht="18.75" customHeight="1" x14ac:dyDescent="0.15">
      <c r="B2" s="17" t="s">
        <v>93</v>
      </c>
      <c r="C2" s="90" t="s">
        <v>143</v>
      </c>
      <c r="D2" s="91"/>
      <c r="E2" s="91"/>
      <c r="F2" s="91"/>
      <c r="G2" s="91"/>
      <c r="H2" s="91"/>
      <c r="I2" s="91"/>
      <c r="J2" s="92"/>
      <c r="K2" s="18"/>
      <c r="L2" s="6"/>
      <c r="M2" s="6"/>
      <c r="N2" s="6"/>
      <c r="O2" s="6"/>
      <c r="P2" s="6"/>
      <c r="Q2" s="6"/>
      <c r="R2" s="6"/>
      <c r="S2" s="6"/>
      <c r="T2" s="6"/>
      <c r="U2" s="6"/>
    </row>
    <row r="3" spans="1:24" ht="18.75" customHeight="1" x14ac:dyDescent="0.15">
      <c r="B3" s="17" t="s">
        <v>88</v>
      </c>
      <c r="C3" s="90" t="s">
        <v>144</v>
      </c>
      <c r="D3" s="91"/>
      <c r="E3" s="91"/>
      <c r="F3" s="91"/>
      <c r="G3" s="91"/>
      <c r="H3" s="91"/>
      <c r="I3" s="91"/>
      <c r="J3" s="92"/>
      <c r="K3" s="18"/>
      <c r="L3" s="6"/>
      <c r="M3" s="6"/>
      <c r="N3" s="6"/>
      <c r="O3" s="6"/>
      <c r="P3" s="6"/>
      <c r="Q3" s="6"/>
      <c r="R3" s="6"/>
      <c r="S3" s="6"/>
      <c r="T3" s="6"/>
      <c r="U3" s="6"/>
    </row>
    <row r="4" spans="1:24" ht="15" customHeight="1" x14ac:dyDescent="0.15">
      <c r="L4" s="18"/>
      <c r="M4" s="72"/>
      <c r="N4" s="72"/>
      <c r="O4" s="72"/>
      <c r="P4" s="72"/>
      <c r="Q4" s="72"/>
      <c r="R4" s="72"/>
      <c r="S4" s="72"/>
      <c r="T4" s="72"/>
      <c r="U4" s="72"/>
    </row>
    <row r="5" spans="1:24" ht="18" customHeight="1" x14ac:dyDescent="0.15">
      <c r="A5" s="122" t="s">
        <v>141</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7" t="s">
        <v>145</v>
      </c>
      <c r="M7" s="88"/>
      <c r="N7" s="88"/>
      <c r="O7" s="88"/>
      <c r="P7" s="88"/>
      <c r="Q7" s="88"/>
      <c r="R7" s="88"/>
      <c r="S7" s="88"/>
      <c r="T7" s="88"/>
      <c r="U7" s="8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9"/>
      <c r="C11" s="100"/>
      <c r="D11" s="100"/>
      <c r="E11" s="100"/>
      <c r="F11" s="100"/>
      <c r="G11" s="100"/>
      <c r="H11" s="100"/>
      <c r="I11" s="100"/>
      <c r="J11" s="100"/>
      <c r="K11" s="100"/>
      <c r="L11" s="100"/>
      <c r="M11" s="100"/>
      <c r="N11" s="100"/>
      <c r="O11" s="100"/>
      <c r="P11" s="100"/>
      <c r="Q11" s="100"/>
      <c r="R11" s="100"/>
      <c r="S11" s="100"/>
      <c r="T11" s="100"/>
      <c r="U11" s="101"/>
    </row>
    <row r="12" spans="1:24" ht="18" customHeight="1" x14ac:dyDescent="0.15">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3"/>
      <c r="M14" s="73"/>
      <c r="N14" s="73"/>
      <c r="O14" s="73"/>
      <c r="P14" s="73"/>
      <c r="Q14" s="73"/>
      <c r="R14" s="73"/>
      <c r="S14" s="73"/>
      <c r="T14" s="73"/>
      <c r="U14" s="73"/>
    </row>
    <row r="15" spans="1:24" ht="18" customHeight="1" x14ac:dyDescent="0.15">
      <c r="B15" s="123" t="s">
        <v>162</v>
      </c>
      <c r="C15" s="124"/>
      <c r="D15" s="124"/>
      <c r="E15" s="124"/>
      <c r="F15" s="124"/>
      <c r="G15" s="124"/>
      <c r="H15" s="124"/>
      <c r="I15" s="124"/>
      <c r="J15" s="124"/>
      <c r="K15" s="124"/>
      <c r="L15" s="124"/>
      <c r="M15" s="124"/>
      <c r="N15" s="124"/>
      <c r="O15" s="124"/>
      <c r="P15" s="124"/>
      <c r="Q15" s="124"/>
      <c r="R15" s="124"/>
      <c r="S15" s="124"/>
      <c r="T15" s="124"/>
      <c r="U15" s="125"/>
      <c r="X15" s="1" t="s">
        <v>89</v>
      </c>
    </row>
    <row r="16" spans="1:24" ht="18" customHeight="1" x14ac:dyDescent="0.15">
      <c r="B16" s="126"/>
      <c r="C16" s="127"/>
      <c r="D16" s="127"/>
      <c r="E16" s="127"/>
      <c r="F16" s="127"/>
      <c r="G16" s="127"/>
      <c r="H16" s="127"/>
      <c r="I16" s="127"/>
      <c r="J16" s="127"/>
      <c r="K16" s="127"/>
      <c r="L16" s="127"/>
      <c r="M16" s="127"/>
      <c r="N16" s="127"/>
      <c r="O16" s="127"/>
      <c r="P16" s="127"/>
      <c r="Q16" s="127"/>
      <c r="R16" s="127"/>
      <c r="S16" s="127"/>
      <c r="T16" s="127"/>
      <c r="U16" s="128"/>
      <c r="X16" s="1" t="s">
        <v>122</v>
      </c>
    </row>
    <row r="17" spans="1:24" ht="18" customHeight="1" x14ac:dyDescent="0.15">
      <c r="B17" s="126"/>
      <c r="C17" s="127"/>
      <c r="D17" s="127"/>
      <c r="E17" s="127"/>
      <c r="F17" s="127"/>
      <c r="G17" s="127"/>
      <c r="H17" s="127"/>
      <c r="I17" s="127"/>
      <c r="J17" s="127"/>
      <c r="K17" s="127"/>
      <c r="L17" s="127"/>
      <c r="M17" s="127"/>
      <c r="N17" s="127"/>
      <c r="O17" s="127"/>
      <c r="P17" s="127"/>
      <c r="Q17" s="127"/>
      <c r="R17" s="127"/>
      <c r="S17" s="127"/>
      <c r="T17" s="127"/>
      <c r="U17" s="128"/>
      <c r="X17" s="1" t="s">
        <v>123</v>
      </c>
    </row>
    <row r="18" spans="1:24" ht="18" customHeight="1" x14ac:dyDescent="0.15">
      <c r="B18" s="126"/>
      <c r="C18" s="127"/>
      <c r="D18" s="127"/>
      <c r="E18" s="127"/>
      <c r="F18" s="127"/>
      <c r="G18" s="127"/>
      <c r="H18" s="127"/>
      <c r="I18" s="127"/>
      <c r="J18" s="127"/>
      <c r="K18" s="127"/>
      <c r="L18" s="127"/>
      <c r="M18" s="127"/>
      <c r="N18" s="127"/>
      <c r="O18" s="127"/>
      <c r="P18" s="127"/>
      <c r="Q18" s="127"/>
      <c r="R18" s="127"/>
      <c r="S18" s="127"/>
      <c r="T18" s="127"/>
      <c r="U18" s="128"/>
      <c r="X18" s="1" t="s">
        <v>124</v>
      </c>
    </row>
    <row r="19" spans="1:24" ht="18" customHeight="1" x14ac:dyDescent="0.15">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119</v>
      </c>
      <c r="E22" s="74">
        <v>1</v>
      </c>
      <c r="F22" s="1" t="s">
        <v>107</v>
      </c>
      <c r="H22" s="19">
        <v>2</v>
      </c>
      <c r="I22" s="3" t="s">
        <v>108</v>
      </c>
      <c r="J22" s="3"/>
      <c r="K22" s="18"/>
      <c r="M22" s="18" t="s">
        <v>104</v>
      </c>
      <c r="N22" s="84" t="s">
        <v>123</v>
      </c>
      <c r="O22" s="85"/>
      <c r="P22" s="85"/>
      <c r="Q22" s="85"/>
      <c r="R22" s="85"/>
      <c r="S22" s="85"/>
      <c r="T22" s="85"/>
      <c r="U22" s="8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4" t="s">
        <v>96</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x14ac:dyDescent="0.15">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x14ac:dyDescent="0.15">
      <c r="B26" s="90" t="s">
        <v>48</v>
      </c>
      <c r="C26" s="91"/>
      <c r="D26" s="91"/>
      <c r="E26" s="91"/>
      <c r="F26" s="92"/>
      <c r="G26" s="58" t="s">
        <v>73</v>
      </c>
      <c r="H26" s="59" t="s">
        <v>76</v>
      </c>
      <c r="I26" s="60" t="s">
        <v>51</v>
      </c>
      <c r="J26" s="60" t="s">
        <v>54</v>
      </c>
      <c r="K26" s="90" t="s">
        <v>48</v>
      </c>
      <c r="L26" s="91"/>
      <c r="M26" s="91"/>
      <c r="N26" s="91"/>
      <c r="O26" s="91"/>
      <c r="P26" s="91"/>
      <c r="Q26" s="92"/>
      <c r="R26" s="58" t="s">
        <v>73</v>
      </c>
      <c r="S26" s="59" t="s">
        <v>76</v>
      </c>
      <c r="T26" s="60" t="s">
        <v>51</v>
      </c>
      <c r="U26" s="60" t="s">
        <v>54</v>
      </c>
    </row>
    <row r="27" spans="1:24" ht="18" customHeight="1" x14ac:dyDescent="0.15">
      <c r="B27" s="111" t="s">
        <v>146</v>
      </c>
      <c r="C27" s="112"/>
      <c r="D27" s="112"/>
      <c r="E27" s="112"/>
      <c r="F27" s="113"/>
      <c r="G27" s="61">
        <v>2</v>
      </c>
      <c r="H27" s="61" t="s">
        <v>147</v>
      </c>
      <c r="I27" s="61" t="s">
        <v>147</v>
      </c>
      <c r="J27" s="61" t="s">
        <v>147</v>
      </c>
      <c r="K27" s="111"/>
      <c r="L27" s="112"/>
      <c r="M27" s="112"/>
      <c r="N27" s="112"/>
      <c r="O27" s="112"/>
      <c r="P27" s="112"/>
      <c r="Q27" s="113"/>
      <c r="R27" s="61"/>
      <c r="S27" s="61"/>
      <c r="T27" s="61"/>
      <c r="U27" s="61"/>
    </row>
    <row r="28" spans="1:24" ht="18" customHeight="1" x14ac:dyDescent="0.15">
      <c r="B28" s="105"/>
      <c r="C28" s="106"/>
      <c r="D28" s="106"/>
      <c r="E28" s="106"/>
      <c r="F28" s="107"/>
      <c r="G28" s="62"/>
      <c r="H28" s="62"/>
      <c r="I28" s="62"/>
      <c r="J28" s="62"/>
      <c r="K28" s="105"/>
      <c r="L28" s="106"/>
      <c r="M28" s="106"/>
      <c r="N28" s="106"/>
      <c r="O28" s="106"/>
      <c r="P28" s="106"/>
      <c r="Q28" s="107"/>
      <c r="R28" s="62"/>
      <c r="S28" s="62"/>
      <c r="T28" s="62"/>
      <c r="U28" s="62"/>
    </row>
    <row r="29" spans="1:24" ht="18" customHeight="1" x14ac:dyDescent="0.15">
      <c r="B29" s="105"/>
      <c r="C29" s="106"/>
      <c r="D29" s="106"/>
      <c r="E29" s="106"/>
      <c r="F29" s="107"/>
      <c r="G29" s="62"/>
      <c r="H29" s="62"/>
      <c r="I29" s="62"/>
      <c r="J29" s="62"/>
      <c r="K29" s="105"/>
      <c r="L29" s="106"/>
      <c r="M29" s="106"/>
      <c r="N29" s="106"/>
      <c r="O29" s="106"/>
      <c r="P29" s="106"/>
      <c r="Q29" s="107"/>
      <c r="R29" s="62"/>
      <c r="S29" s="62"/>
      <c r="T29" s="62"/>
      <c r="U29" s="62"/>
    </row>
    <row r="30" spans="1:24" ht="18" customHeight="1" x14ac:dyDescent="0.15">
      <c r="B30" s="105"/>
      <c r="C30" s="106"/>
      <c r="D30" s="106"/>
      <c r="E30" s="106"/>
      <c r="F30" s="107"/>
      <c r="G30" s="62"/>
      <c r="H30" s="62"/>
      <c r="I30" s="62"/>
      <c r="J30" s="62"/>
      <c r="K30" s="105"/>
      <c r="L30" s="106"/>
      <c r="M30" s="106"/>
      <c r="N30" s="106"/>
      <c r="O30" s="106"/>
      <c r="P30" s="106"/>
      <c r="Q30" s="107"/>
      <c r="R30" s="62"/>
      <c r="S30" s="62"/>
      <c r="T30" s="62"/>
      <c r="U30" s="62"/>
    </row>
    <row r="31" spans="1:24" ht="18" customHeight="1" x14ac:dyDescent="0.15">
      <c r="B31" s="105"/>
      <c r="C31" s="106"/>
      <c r="D31" s="106"/>
      <c r="E31" s="106"/>
      <c r="F31" s="107"/>
      <c r="G31" s="62"/>
      <c r="H31" s="62"/>
      <c r="I31" s="62"/>
      <c r="J31" s="62"/>
      <c r="K31" s="105"/>
      <c r="L31" s="106"/>
      <c r="M31" s="106"/>
      <c r="N31" s="106"/>
      <c r="O31" s="106"/>
      <c r="P31" s="106"/>
      <c r="Q31" s="107"/>
      <c r="R31" s="62"/>
      <c r="S31" s="62"/>
      <c r="T31" s="62"/>
      <c r="U31" s="62"/>
    </row>
    <row r="32" spans="1:24" ht="18" customHeight="1" x14ac:dyDescent="0.15">
      <c r="A32" s="3"/>
      <c r="B32" s="105"/>
      <c r="C32" s="106"/>
      <c r="D32" s="106"/>
      <c r="E32" s="106"/>
      <c r="F32" s="107"/>
      <c r="G32" s="62"/>
      <c r="H32" s="62"/>
      <c r="I32" s="62"/>
      <c r="J32" s="62"/>
      <c r="K32" s="105"/>
      <c r="L32" s="106"/>
      <c r="M32" s="106"/>
      <c r="N32" s="106"/>
      <c r="O32" s="106"/>
      <c r="P32" s="106"/>
      <c r="Q32" s="107"/>
      <c r="R32" s="62"/>
      <c r="S32" s="62"/>
      <c r="T32" s="62"/>
      <c r="U32" s="62"/>
    </row>
    <row r="33" spans="1:21" ht="18" customHeight="1" x14ac:dyDescent="0.15">
      <c r="A33" s="3"/>
      <c r="B33" s="108"/>
      <c r="C33" s="109"/>
      <c r="D33" s="109"/>
      <c r="E33" s="109"/>
      <c r="F33" s="110"/>
      <c r="G33" s="63"/>
      <c r="H33" s="63"/>
      <c r="I33" s="64"/>
      <c r="J33" s="64"/>
      <c r="K33" s="108"/>
      <c r="L33" s="109"/>
      <c r="M33" s="109"/>
      <c r="N33" s="109"/>
      <c r="O33" s="109"/>
      <c r="P33" s="109"/>
      <c r="Q33" s="110"/>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4" t="s">
        <v>97</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x14ac:dyDescent="0.15">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x14ac:dyDescent="0.15">
      <c r="B37" s="90" t="s">
        <v>48</v>
      </c>
      <c r="C37" s="91"/>
      <c r="D37" s="91"/>
      <c r="E37" s="91"/>
      <c r="F37" s="92"/>
      <c r="G37" s="58" t="s">
        <v>73</v>
      </c>
      <c r="H37" s="59" t="s">
        <v>76</v>
      </c>
      <c r="I37" s="60" t="s">
        <v>64</v>
      </c>
      <c r="J37" s="60" t="s">
        <v>65</v>
      </c>
      <c r="K37" s="90" t="s">
        <v>48</v>
      </c>
      <c r="L37" s="91"/>
      <c r="M37" s="91"/>
      <c r="N37" s="91"/>
      <c r="O37" s="91"/>
      <c r="P37" s="91"/>
      <c r="Q37" s="92"/>
      <c r="R37" s="58" t="s">
        <v>73</v>
      </c>
      <c r="S37" s="59" t="s">
        <v>76</v>
      </c>
      <c r="T37" s="60" t="s">
        <v>64</v>
      </c>
      <c r="U37" s="60" t="s">
        <v>65</v>
      </c>
    </row>
    <row r="38" spans="1:21" ht="18" customHeight="1" x14ac:dyDescent="0.15">
      <c r="B38" s="111" t="s">
        <v>146</v>
      </c>
      <c r="C38" s="112"/>
      <c r="D38" s="112"/>
      <c r="E38" s="112"/>
      <c r="F38" s="113"/>
      <c r="G38" s="61">
        <v>2</v>
      </c>
      <c r="H38" s="61" t="s">
        <v>147</v>
      </c>
      <c r="I38" s="61" t="s">
        <v>147</v>
      </c>
      <c r="J38" s="61" t="s">
        <v>147</v>
      </c>
      <c r="K38" s="111"/>
      <c r="L38" s="112"/>
      <c r="M38" s="112"/>
      <c r="N38" s="112"/>
      <c r="O38" s="112"/>
      <c r="P38" s="112"/>
      <c r="Q38" s="113"/>
      <c r="R38" s="61"/>
      <c r="S38" s="61"/>
      <c r="T38" s="61"/>
      <c r="U38" s="61"/>
    </row>
    <row r="39" spans="1:21" ht="18" customHeight="1" x14ac:dyDescent="0.15">
      <c r="B39" s="105"/>
      <c r="C39" s="106"/>
      <c r="D39" s="106"/>
      <c r="E39" s="106"/>
      <c r="F39" s="107"/>
      <c r="G39" s="62"/>
      <c r="H39" s="62"/>
      <c r="I39" s="62"/>
      <c r="J39" s="62"/>
      <c r="K39" s="105"/>
      <c r="L39" s="106"/>
      <c r="M39" s="106"/>
      <c r="N39" s="106"/>
      <c r="O39" s="106"/>
      <c r="P39" s="106"/>
      <c r="Q39" s="107"/>
      <c r="R39" s="62"/>
      <c r="S39" s="62"/>
      <c r="T39" s="62"/>
      <c r="U39" s="62"/>
    </row>
    <row r="40" spans="1:21" ht="18" customHeight="1" x14ac:dyDescent="0.15">
      <c r="B40" s="105"/>
      <c r="C40" s="106"/>
      <c r="D40" s="106"/>
      <c r="E40" s="106"/>
      <c r="F40" s="107"/>
      <c r="G40" s="62"/>
      <c r="H40" s="62"/>
      <c r="I40" s="62"/>
      <c r="J40" s="62"/>
      <c r="K40" s="105"/>
      <c r="L40" s="106"/>
      <c r="M40" s="106"/>
      <c r="N40" s="106"/>
      <c r="O40" s="106"/>
      <c r="P40" s="106"/>
      <c r="Q40" s="107"/>
      <c r="R40" s="62"/>
      <c r="S40" s="62"/>
      <c r="T40" s="62"/>
      <c r="U40" s="62"/>
    </row>
    <row r="41" spans="1:21" ht="18" customHeight="1" x14ac:dyDescent="0.15">
      <c r="B41" s="105"/>
      <c r="C41" s="106"/>
      <c r="D41" s="106"/>
      <c r="E41" s="106"/>
      <c r="F41" s="107"/>
      <c r="G41" s="62"/>
      <c r="H41" s="62"/>
      <c r="I41" s="62"/>
      <c r="J41" s="62"/>
      <c r="K41" s="105"/>
      <c r="L41" s="106"/>
      <c r="M41" s="106"/>
      <c r="N41" s="106"/>
      <c r="O41" s="106"/>
      <c r="P41" s="106"/>
      <c r="Q41" s="107"/>
      <c r="R41" s="62"/>
      <c r="S41" s="62"/>
      <c r="T41" s="62"/>
      <c r="U41" s="62"/>
    </row>
    <row r="42" spans="1:21" ht="18" customHeight="1" x14ac:dyDescent="0.15">
      <c r="B42" s="105"/>
      <c r="C42" s="106"/>
      <c r="D42" s="106"/>
      <c r="E42" s="106"/>
      <c r="F42" s="107"/>
      <c r="G42" s="62"/>
      <c r="H42" s="62"/>
      <c r="I42" s="62"/>
      <c r="J42" s="62"/>
      <c r="K42" s="105"/>
      <c r="L42" s="106"/>
      <c r="M42" s="106"/>
      <c r="N42" s="106"/>
      <c r="O42" s="106"/>
      <c r="P42" s="106"/>
      <c r="Q42" s="107"/>
      <c r="R42" s="62"/>
      <c r="S42" s="62"/>
      <c r="T42" s="62"/>
      <c r="U42" s="62"/>
    </row>
    <row r="43" spans="1:21" ht="18" customHeight="1" x14ac:dyDescent="0.15">
      <c r="B43" s="105"/>
      <c r="C43" s="106"/>
      <c r="D43" s="106"/>
      <c r="E43" s="106"/>
      <c r="F43" s="107"/>
      <c r="G43" s="62"/>
      <c r="H43" s="62"/>
      <c r="I43" s="62"/>
      <c r="J43" s="62"/>
      <c r="K43" s="105"/>
      <c r="L43" s="106"/>
      <c r="M43" s="106"/>
      <c r="N43" s="106"/>
      <c r="O43" s="106"/>
      <c r="P43" s="106"/>
      <c r="Q43" s="107"/>
      <c r="R43" s="62"/>
      <c r="S43" s="62"/>
      <c r="T43" s="62"/>
      <c r="U43" s="62"/>
    </row>
    <row r="44" spans="1:21" ht="18" customHeight="1" x14ac:dyDescent="0.15">
      <c r="B44" s="108"/>
      <c r="C44" s="109"/>
      <c r="D44" s="109"/>
      <c r="E44" s="109"/>
      <c r="F44" s="110"/>
      <c r="G44" s="63"/>
      <c r="H44" s="63"/>
      <c r="I44" s="64"/>
      <c r="J44" s="64"/>
      <c r="K44" s="108"/>
      <c r="L44" s="109"/>
      <c r="M44" s="109"/>
      <c r="N44" s="109"/>
      <c r="O44" s="109"/>
      <c r="P44" s="109"/>
      <c r="Q44" s="110"/>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4" t="s">
        <v>98</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x14ac:dyDescent="0.15">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x14ac:dyDescent="0.15">
      <c r="B48" s="90" t="s">
        <v>48</v>
      </c>
      <c r="C48" s="91"/>
      <c r="D48" s="91"/>
      <c r="E48" s="91"/>
      <c r="F48" s="92"/>
      <c r="G48" s="58" t="s">
        <v>73</v>
      </c>
      <c r="H48" s="59" t="s">
        <v>76</v>
      </c>
      <c r="I48" s="60" t="s">
        <v>66</v>
      </c>
      <c r="J48" s="60" t="s">
        <v>67</v>
      </c>
      <c r="K48" s="90" t="s">
        <v>48</v>
      </c>
      <c r="L48" s="91"/>
      <c r="M48" s="91"/>
      <c r="N48" s="91"/>
      <c r="O48" s="91"/>
      <c r="P48" s="91"/>
      <c r="Q48" s="92"/>
      <c r="R48" s="58" t="s">
        <v>73</v>
      </c>
      <c r="S48" s="59" t="s">
        <v>76</v>
      </c>
      <c r="T48" s="60" t="s">
        <v>66</v>
      </c>
      <c r="U48" s="60" t="s">
        <v>67</v>
      </c>
    </row>
    <row r="49" spans="1:21" ht="18" customHeight="1" x14ac:dyDescent="0.15">
      <c r="A49" s="3"/>
      <c r="B49" s="111" t="s">
        <v>146</v>
      </c>
      <c r="C49" s="112"/>
      <c r="D49" s="112"/>
      <c r="E49" s="112"/>
      <c r="F49" s="113"/>
      <c r="G49" s="61">
        <v>2</v>
      </c>
      <c r="H49" s="61" t="s">
        <v>147</v>
      </c>
      <c r="I49" s="61" t="s">
        <v>147</v>
      </c>
      <c r="J49" s="61" t="s">
        <v>147</v>
      </c>
      <c r="K49" s="111"/>
      <c r="L49" s="112"/>
      <c r="M49" s="112"/>
      <c r="N49" s="112"/>
      <c r="O49" s="112"/>
      <c r="P49" s="112"/>
      <c r="Q49" s="113"/>
      <c r="R49" s="61"/>
      <c r="S49" s="61"/>
      <c r="T49" s="61"/>
      <c r="U49" s="61"/>
    </row>
    <row r="50" spans="1:21" ht="18" customHeight="1" x14ac:dyDescent="0.15">
      <c r="A50" s="3"/>
      <c r="B50" s="105"/>
      <c r="C50" s="106"/>
      <c r="D50" s="106"/>
      <c r="E50" s="106"/>
      <c r="F50" s="107"/>
      <c r="G50" s="62"/>
      <c r="H50" s="62"/>
      <c r="I50" s="62"/>
      <c r="J50" s="62"/>
      <c r="K50" s="105"/>
      <c r="L50" s="106"/>
      <c r="M50" s="106"/>
      <c r="N50" s="106"/>
      <c r="O50" s="106"/>
      <c r="P50" s="106"/>
      <c r="Q50" s="107"/>
      <c r="R50" s="62"/>
      <c r="S50" s="62"/>
      <c r="T50" s="62"/>
      <c r="U50" s="62"/>
    </row>
    <row r="51" spans="1:21" ht="18" customHeight="1" x14ac:dyDescent="0.15">
      <c r="A51" s="3"/>
      <c r="B51" s="105"/>
      <c r="C51" s="106"/>
      <c r="D51" s="106"/>
      <c r="E51" s="106"/>
      <c r="F51" s="107"/>
      <c r="G51" s="62"/>
      <c r="H51" s="62"/>
      <c r="I51" s="62"/>
      <c r="J51" s="62"/>
      <c r="K51" s="105"/>
      <c r="L51" s="106"/>
      <c r="M51" s="106"/>
      <c r="N51" s="106"/>
      <c r="O51" s="106"/>
      <c r="P51" s="106"/>
      <c r="Q51" s="107"/>
      <c r="R51" s="62"/>
      <c r="S51" s="62"/>
      <c r="T51" s="62"/>
      <c r="U51" s="62"/>
    </row>
    <row r="52" spans="1:21" ht="18" customHeight="1" x14ac:dyDescent="0.15">
      <c r="A52" s="3"/>
      <c r="B52" s="105"/>
      <c r="C52" s="106"/>
      <c r="D52" s="106"/>
      <c r="E52" s="106"/>
      <c r="F52" s="107"/>
      <c r="G52" s="62"/>
      <c r="H52" s="62"/>
      <c r="I52" s="62"/>
      <c r="J52" s="62"/>
      <c r="K52" s="105"/>
      <c r="L52" s="106"/>
      <c r="M52" s="106"/>
      <c r="N52" s="106"/>
      <c r="O52" s="106"/>
      <c r="P52" s="106"/>
      <c r="Q52" s="107"/>
      <c r="R52" s="62"/>
      <c r="S52" s="62"/>
      <c r="T52" s="62"/>
      <c r="U52" s="62"/>
    </row>
    <row r="53" spans="1:21" ht="18" customHeight="1" x14ac:dyDescent="0.15">
      <c r="A53" s="3"/>
      <c r="B53" s="105"/>
      <c r="C53" s="106"/>
      <c r="D53" s="106"/>
      <c r="E53" s="106"/>
      <c r="F53" s="107"/>
      <c r="G53" s="62"/>
      <c r="H53" s="62"/>
      <c r="I53" s="62"/>
      <c r="J53" s="62"/>
      <c r="K53" s="105"/>
      <c r="L53" s="106"/>
      <c r="M53" s="106"/>
      <c r="N53" s="106"/>
      <c r="O53" s="106"/>
      <c r="P53" s="106"/>
      <c r="Q53" s="107"/>
      <c r="R53" s="62"/>
      <c r="S53" s="62"/>
      <c r="T53" s="62"/>
      <c r="U53" s="62"/>
    </row>
    <row r="54" spans="1:21" ht="18" customHeight="1" x14ac:dyDescent="0.15">
      <c r="A54" s="3"/>
      <c r="B54" s="105"/>
      <c r="C54" s="106"/>
      <c r="D54" s="106"/>
      <c r="E54" s="106"/>
      <c r="F54" s="107"/>
      <c r="G54" s="62"/>
      <c r="H54" s="62"/>
      <c r="I54" s="62"/>
      <c r="J54" s="62"/>
      <c r="K54" s="105"/>
      <c r="L54" s="106"/>
      <c r="M54" s="106"/>
      <c r="N54" s="106"/>
      <c r="O54" s="106"/>
      <c r="P54" s="106"/>
      <c r="Q54" s="107"/>
      <c r="R54" s="62"/>
      <c r="S54" s="62"/>
      <c r="T54" s="62"/>
      <c r="U54" s="62"/>
    </row>
    <row r="55" spans="1:21" ht="18" customHeight="1" x14ac:dyDescent="0.15">
      <c r="A55" s="3"/>
      <c r="B55" s="108"/>
      <c r="C55" s="109"/>
      <c r="D55" s="109"/>
      <c r="E55" s="109"/>
      <c r="F55" s="110"/>
      <c r="G55" s="63"/>
      <c r="H55" s="63"/>
      <c r="I55" s="64"/>
      <c r="J55" s="64"/>
      <c r="K55" s="108"/>
      <c r="L55" s="109"/>
      <c r="M55" s="109"/>
      <c r="N55" s="109"/>
      <c r="O55" s="109"/>
      <c r="P55" s="109"/>
      <c r="Q55" s="110"/>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4" t="s">
        <v>99</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x14ac:dyDescent="0.15">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x14ac:dyDescent="0.15">
      <c r="B59" s="90" t="s">
        <v>48</v>
      </c>
      <c r="C59" s="91"/>
      <c r="D59" s="91"/>
      <c r="E59" s="91"/>
      <c r="F59" s="92"/>
      <c r="G59" s="58" t="s">
        <v>73</v>
      </c>
      <c r="H59" s="59" t="s">
        <v>76</v>
      </c>
      <c r="I59" s="60" t="s">
        <v>53</v>
      </c>
      <c r="J59" s="60" t="s">
        <v>55</v>
      </c>
      <c r="K59" s="90" t="s">
        <v>48</v>
      </c>
      <c r="L59" s="91"/>
      <c r="M59" s="91"/>
      <c r="N59" s="91"/>
      <c r="O59" s="91"/>
      <c r="P59" s="91"/>
      <c r="Q59" s="92"/>
      <c r="R59" s="58" t="s">
        <v>73</v>
      </c>
      <c r="S59" s="59" t="s">
        <v>76</v>
      </c>
      <c r="T59" s="60" t="s">
        <v>53</v>
      </c>
      <c r="U59" s="60" t="s">
        <v>55</v>
      </c>
    </row>
    <row r="60" spans="1:21" ht="18" customHeight="1" x14ac:dyDescent="0.15">
      <c r="A60" s="3"/>
      <c r="B60" s="111" t="s">
        <v>146</v>
      </c>
      <c r="C60" s="112"/>
      <c r="D60" s="112"/>
      <c r="E60" s="112"/>
      <c r="F60" s="113"/>
      <c r="G60" s="61">
        <v>2</v>
      </c>
      <c r="H60" s="61" t="s">
        <v>147</v>
      </c>
      <c r="I60" s="61" t="s">
        <v>147</v>
      </c>
      <c r="J60" s="61" t="s">
        <v>147</v>
      </c>
      <c r="K60" s="111"/>
      <c r="L60" s="112"/>
      <c r="M60" s="112"/>
      <c r="N60" s="112"/>
      <c r="O60" s="112"/>
      <c r="P60" s="112"/>
      <c r="Q60" s="113"/>
      <c r="R60" s="61"/>
      <c r="S60" s="61"/>
      <c r="T60" s="61"/>
      <c r="U60" s="61"/>
    </row>
    <row r="61" spans="1:21" ht="18" customHeight="1" x14ac:dyDescent="0.15">
      <c r="A61" s="3"/>
      <c r="B61" s="105"/>
      <c r="C61" s="106"/>
      <c r="D61" s="106"/>
      <c r="E61" s="106"/>
      <c r="F61" s="107"/>
      <c r="G61" s="62"/>
      <c r="H61" s="62"/>
      <c r="I61" s="62"/>
      <c r="J61" s="62"/>
      <c r="K61" s="105"/>
      <c r="L61" s="106"/>
      <c r="M61" s="106"/>
      <c r="N61" s="106"/>
      <c r="O61" s="106"/>
      <c r="P61" s="106"/>
      <c r="Q61" s="107"/>
      <c r="R61" s="62"/>
      <c r="S61" s="62"/>
      <c r="T61" s="62"/>
      <c r="U61" s="62"/>
    </row>
    <row r="62" spans="1:21" ht="18" customHeight="1" x14ac:dyDescent="0.15">
      <c r="A62" s="3"/>
      <c r="B62" s="105"/>
      <c r="C62" s="106"/>
      <c r="D62" s="106"/>
      <c r="E62" s="106"/>
      <c r="F62" s="107"/>
      <c r="G62" s="62"/>
      <c r="H62" s="62"/>
      <c r="I62" s="62"/>
      <c r="J62" s="62"/>
      <c r="K62" s="105"/>
      <c r="L62" s="106"/>
      <c r="M62" s="106"/>
      <c r="N62" s="106"/>
      <c r="O62" s="106"/>
      <c r="P62" s="106"/>
      <c r="Q62" s="107"/>
      <c r="R62" s="62"/>
      <c r="S62" s="62"/>
      <c r="T62" s="62"/>
      <c r="U62" s="62"/>
    </row>
    <row r="63" spans="1:21" ht="18" customHeight="1" x14ac:dyDescent="0.15">
      <c r="A63" s="3"/>
      <c r="B63" s="105"/>
      <c r="C63" s="106"/>
      <c r="D63" s="106"/>
      <c r="E63" s="106"/>
      <c r="F63" s="107"/>
      <c r="G63" s="62"/>
      <c r="H63" s="62"/>
      <c r="I63" s="62"/>
      <c r="J63" s="62"/>
      <c r="K63" s="105"/>
      <c r="L63" s="106"/>
      <c r="M63" s="106"/>
      <c r="N63" s="106"/>
      <c r="O63" s="106"/>
      <c r="P63" s="106"/>
      <c r="Q63" s="107"/>
      <c r="R63" s="62"/>
      <c r="S63" s="62"/>
      <c r="T63" s="62"/>
      <c r="U63" s="62"/>
    </row>
    <row r="64" spans="1:21" ht="18" customHeight="1" x14ac:dyDescent="0.15">
      <c r="A64" s="3"/>
      <c r="B64" s="105"/>
      <c r="C64" s="106"/>
      <c r="D64" s="106"/>
      <c r="E64" s="106"/>
      <c r="F64" s="107"/>
      <c r="G64" s="62"/>
      <c r="H64" s="62"/>
      <c r="I64" s="62"/>
      <c r="J64" s="62"/>
      <c r="K64" s="105"/>
      <c r="L64" s="106"/>
      <c r="M64" s="106"/>
      <c r="N64" s="106"/>
      <c r="O64" s="106"/>
      <c r="P64" s="106"/>
      <c r="Q64" s="107"/>
      <c r="R64" s="62"/>
      <c r="S64" s="62"/>
      <c r="T64" s="62"/>
      <c r="U64" s="62"/>
    </row>
    <row r="65" spans="1:27" ht="18" customHeight="1" x14ac:dyDescent="0.15">
      <c r="A65" s="3"/>
      <c r="B65" s="105"/>
      <c r="C65" s="106"/>
      <c r="D65" s="106"/>
      <c r="E65" s="106"/>
      <c r="F65" s="107"/>
      <c r="G65" s="62"/>
      <c r="H65" s="62"/>
      <c r="I65" s="62"/>
      <c r="J65" s="62"/>
      <c r="K65" s="105"/>
      <c r="L65" s="106"/>
      <c r="M65" s="106"/>
      <c r="N65" s="106"/>
      <c r="O65" s="106"/>
      <c r="P65" s="106"/>
      <c r="Q65" s="107"/>
      <c r="R65" s="62"/>
      <c r="S65" s="62"/>
      <c r="T65" s="62"/>
      <c r="U65" s="62"/>
    </row>
    <row r="66" spans="1:27" ht="18" customHeight="1" x14ac:dyDescent="0.15">
      <c r="A66" s="3"/>
      <c r="B66" s="108"/>
      <c r="C66" s="109"/>
      <c r="D66" s="109"/>
      <c r="E66" s="109"/>
      <c r="F66" s="110"/>
      <c r="G66" s="63"/>
      <c r="H66" s="63"/>
      <c r="I66" s="64"/>
      <c r="J66" s="64"/>
      <c r="K66" s="108"/>
      <c r="L66" s="109"/>
      <c r="M66" s="109"/>
      <c r="N66" s="109"/>
      <c r="O66" s="109"/>
      <c r="P66" s="109"/>
      <c r="Q66" s="110"/>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4" t="s">
        <v>100</v>
      </c>
      <c r="B68" s="114"/>
      <c r="C68" s="114"/>
      <c r="D68" s="114"/>
      <c r="E68" s="114"/>
      <c r="F68" s="114"/>
      <c r="G68" s="114"/>
      <c r="H68" s="114"/>
      <c r="I68" s="114"/>
      <c r="J68" s="114"/>
      <c r="K68" s="114"/>
      <c r="L68" s="114"/>
      <c r="M68" s="114"/>
      <c r="N68" s="114"/>
      <c r="O68" s="114"/>
      <c r="P68" s="114"/>
      <c r="Q68" s="114"/>
      <c r="R68" s="114"/>
      <c r="S68" s="114"/>
      <c r="T68" s="114"/>
      <c r="U68" s="114"/>
    </row>
    <row r="69" spans="1:27" ht="18" customHeight="1" x14ac:dyDescent="0.15">
      <c r="A69" s="114"/>
      <c r="B69" s="114"/>
      <c r="C69" s="114"/>
      <c r="D69" s="114"/>
      <c r="E69" s="114"/>
      <c r="F69" s="114"/>
      <c r="G69" s="114"/>
      <c r="H69" s="114"/>
      <c r="I69" s="114"/>
      <c r="J69" s="114"/>
      <c r="K69" s="114"/>
      <c r="L69" s="114"/>
      <c r="M69" s="114"/>
      <c r="N69" s="114"/>
      <c r="O69" s="114"/>
      <c r="P69" s="114"/>
      <c r="Q69" s="114"/>
      <c r="R69" s="114"/>
      <c r="S69" s="114"/>
      <c r="T69" s="114"/>
      <c r="U69" s="114"/>
    </row>
    <row r="70" spans="1:27" ht="18" customHeight="1" x14ac:dyDescent="0.15">
      <c r="B70" s="90" t="s">
        <v>48</v>
      </c>
      <c r="C70" s="91"/>
      <c r="D70" s="91"/>
      <c r="E70" s="91"/>
      <c r="F70" s="58" t="s">
        <v>73</v>
      </c>
      <c r="G70" s="59" t="s">
        <v>76</v>
      </c>
      <c r="H70" s="60" t="s">
        <v>87</v>
      </c>
      <c r="I70" s="60" t="s">
        <v>68</v>
      </c>
      <c r="J70" s="60" t="s">
        <v>69</v>
      </c>
      <c r="K70" s="90" t="s">
        <v>48</v>
      </c>
      <c r="L70" s="91"/>
      <c r="M70" s="91"/>
      <c r="N70" s="91"/>
      <c r="O70" s="91"/>
      <c r="P70" s="92"/>
      <c r="Q70" s="58" t="s">
        <v>73</v>
      </c>
      <c r="R70" s="59" t="s">
        <v>76</v>
      </c>
      <c r="S70" s="60" t="s">
        <v>87</v>
      </c>
      <c r="T70" s="60" t="s">
        <v>68</v>
      </c>
      <c r="U70" s="60" t="s">
        <v>69</v>
      </c>
    </row>
    <row r="71" spans="1:27" ht="18" customHeight="1" x14ac:dyDescent="0.15">
      <c r="A71" s="3"/>
      <c r="B71" s="111" t="s">
        <v>148</v>
      </c>
      <c r="C71" s="112"/>
      <c r="D71" s="112"/>
      <c r="E71" s="113"/>
      <c r="F71" s="61">
        <v>2</v>
      </c>
      <c r="G71" s="61" t="s">
        <v>147</v>
      </c>
      <c r="H71" s="61" t="s">
        <v>147</v>
      </c>
      <c r="I71" s="61" t="s">
        <v>147</v>
      </c>
      <c r="J71" s="61" t="s">
        <v>147</v>
      </c>
      <c r="K71" s="111"/>
      <c r="L71" s="112"/>
      <c r="M71" s="112"/>
      <c r="N71" s="112"/>
      <c r="O71" s="112"/>
      <c r="P71" s="113"/>
      <c r="Q71" s="61"/>
      <c r="R71" s="61"/>
      <c r="S71" s="61"/>
      <c r="T71" s="61"/>
      <c r="U71" s="61"/>
    </row>
    <row r="72" spans="1:27" ht="18" customHeight="1" x14ac:dyDescent="0.15">
      <c r="A72" s="3"/>
      <c r="B72" s="105"/>
      <c r="C72" s="106"/>
      <c r="D72" s="106"/>
      <c r="E72" s="106"/>
      <c r="F72" s="62"/>
      <c r="G72" s="62"/>
      <c r="H72" s="62"/>
      <c r="I72" s="62"/>
      <c r="J72" s="62"/>
      <c r="K72" s="105"/>
      <c r="L72" s="106"/>
      <c r="M72" s="106"/>
      <c r="N72" s="106"/>
      <c r="O72" s="106"/>
      <c r="P72" s="107"/>
      <c r="Q72" s="62"/>
      <c r="R72" s="62"/>
      <c r="S72" s="62"/>
      <c r="T72" s="62"/>
      <c r="U72" s="62"/>
    </row>
    <row r="73" spans="1:27" ht="18" customHeight="1" x14ac:dyDescent="0.15">
      <c r="A73" s="3"/>
      <c r="B73" s="105"/>
      <c r="C73" s="106"/>
      <c r="D73" s="106"/>
      <c r="E73" s="106"/>
      <c r="F73" s="62"/>
      <c r="G73" s="62"/>
      <c r="H73" s="62"/>
      <c r="I73" s="62"/>
      <c r="J73" s="62"/>
      <c r="K73" s="105"/>
      <c r="L73" s="106"/>
      <c r="M73" s="106"/>
      <c r="N73" s="106"/>
      <c r="O73" s="106"/>
      <c r="P73" s="107"/>
      <c r="Q73" s="62"/>
      <c r="R73" s="62"/>
      <c r="S73" s="62"/>
      <c r="T73" s="62"/>
      <c r="U73" s="62"/>
    </row>
    <row r="74" spans="1:27" ht="18" customHeight="1" x14ac:dyDescent="0.15">
      <c r="A74" s="3"/>
      <c r="B74" s="105"/>
      <c r="C74" s="106"/>
      <c r="D74" s="106"/>
      <c r="E74" s="106"/>
      <c r="F74" s="62"/>
      <c r="G74" s="62"/>
      <c r="H74" s="62"/>
      <c r="I74" s="62"/>
      <c r="J74" s="62"/>
      <c r="K74" s="105"/>
      <c r="L74" s="106"/>
      <c r="M74" s="106"/>
      <c r="N74" s="106"/>
      <c r="O74" s="106"/>
      <c r="P74" s="107"/>
      <c r="Q74" s="62"/>
      <c r="R74" s="62"/>
      <c r="S74" s="62"/>
      <c r="T74" s="62"/>
      <c r="U74" s="62"/>
    </row>
    <row r="75" spans="1:27" ht="18" customHeight="1" x14ac:dyDescent="0.15">
      <c r="A75" s="3"/>
      <c r="B75" s="105"/>
      <c r="C75" s="106"/>
      <c r="D75" s="106"/>
      <c r="E75" s="106"/>
      <c r="F75" s="62"/>
      <c r="G75" s="62"/>
      <c r="H75" s="62"/>
      <c r="I75" s="62"/>
      <c r="J75" s="62"/>
      <c r="K75" s="105"/>
      <c r="L75" s="106"/>
      <c r="M75" s="106"/>
      <c r="N75" s="106"/>
      <c r="O75" s="106"/>
      <c r="P75" s="107"/>
      <c r="Q75" s="62"/>
      <c r="R75" s="62"/>
      <c r="S75" s="62"/>
      <c r="T75" s="62"/>
      <c r="U75" s="62"/>
    </row>
    <row r="76" spans="1:27" ht="18" customHeight="1" x14ac:dyDescent="0.15">
      <c r="A76" s="3"/>
      <c r="B76" s="105"/>
      <c r="C76" s="106"/>
      <c r="D76" s="106"/>
      <c r="E76" s="106"/>
      <c r="F76" s="62"/>
      <c r="G76" s="62"/>
      <c r="H76" s="62"/>
      <c r="I76" s="62"/>
      <c r="J76" s="62"/>
      <c r="K76" s="105"/>
      <c r="L76" s="106"/>
      <c r="M76" s="106"/>
      <c r="N76" s="106"/>
      <c r="O76" s="106"/>
      <c r="P76" s="107"/>
      <c r="Q76" s="62"/>
      <c r="R76" s="62"/>
      <c r="S76" s="62"/>
      <c r="T76" s="62"/>
      <c r="U76" s="62"/>
    </row>
    <row r="77" spans="1:27" ht="18" customHeight="1" x14ac:dyDescent="0.15">
      <c r="A77" s="3"/>
      <c r="B77" s="108"/>
      <c r="C77" s="109"/>
      <c r="D77" s="109"/>
      <c r="E77" s="109"/>
      <c r="F77" s="63"/>
      <c r="G77" s="63"/>
      <c r="H77" s="64"/>
      <c r="I77" s="64"/>
      <c r="J77" s="64"/>
      <c r="K77" s="108"/>
      <c r="L77" s="109"/>
      <c r="M77" s="109"/>
      <c r="N77" s="109"/>
      <c r="O77" s="109"/>
      <c r="P77" s="110"/>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0" t="s">
        <v>48</v>
      </c>
      <c r="C80" s="91"/>
      <c r="D80" s="91"/>
      <c r="E80" s="91"/>
      <c r="F80" s="92"/>
      <c r="G80" s="90" t="s">
        <v>74</v>
      </c>
      <c r="H80" s="91"/>
      <c r="I80" s="91"/>
      <c r="J80" s="92"/>
      <c r="K80" s="143" t="s">
        <v>48</v>
      </c>
      <c r="L80" s="144"/>
      <c r="M80" s="144"/>
      <c r="N80" s="144"/>
      <c r="O80" s="144"/>
      <c r="P80" s="144"/>
      <c r="Q80" s="145"/>
      <c r="R80" s="90" t="s">
        <v>74</v>
      </c>
      <c r="S80" s="91"/>
      <c r="T80" s="91"/>
      <c r="U80" s="92"/>
      <c r="AA80" s="1" t="s">
        <v>138</v>
      </c>
    </row>
    <row r="81" spans="1:27" ht="18" customHeight="1" x14ac:dyDescent="0.15">
      <c r="A81" s="3"/>
      <c r="B81" s="149" t="s">
        <v>148</v>
      </c>
      <c r="C81" s="150"/>
      <c r="D81" s="150"/>
      <c r="E81" s="150"/>
      <c r="F81" s="151"/>
      <c r="G81" s="152" t="s">
        <v>149</v>
      </c>
      <c r="H81" s="153"/>
      <c r="I81" s="153"/>
      <c r="J81" s="154"/>
      <c r="K81" s="111"/>
      <c r="L81" s="112"/>
      <c r="M81" s="112"/>
      <c r="N81" s="112"/>
      <c r="O81" s="112"/>
      <c r="P81" s="112"/>
      <c r="Q81" s="113"/>
      <c r="R81" s="146"/>
      <c r="S81" s="147"/>
      <c r="T81" s="147"/>
      <c r="U81" s="148"/>
      <c r="AA81" s="1" t="s">
        <v>131</v>
      </c>
    </row>
    <row r="82" spans="1:27" ht="18" customHeight="1" x14ac:dyDescent="0.15">
      <c r="A82" s="3"/>
      <c r="B82" s="105"/>
      <c r="C82" s="106"/>
      <c r="D82" s="106"/>
      <c r="E82" s="106"/>
      <c r="F82" s="107"/>
      <c r="G82" s="138"/>
      <c r="H82" s="139"/>
      <c r="I82" s="139"/>
      <c r="J82" s="140"/>
      <c r="K82" s="105"/>
      <c r="L82" s="106"/>
      <c r="M82" s="106"/>
      <c r="N82" s="106"/>
      <c r="O82" s="106"/>
      <c r="P82" s="106"/>
      <c r="Q82" s="107"/>
      <c r="R82" s="138"/>
      <c r="S82" s="139"/>
      <c r="T82" s="139"/>
      <c r="U82" s="140"/>
      <c r="AA82" s="1" t="s">
        <v>132</v>
      </c>
    </row>
    <row r="83" spans="1:27" ht="18" customHeight="1" x14ac:dyDescent="0.15">
      <c r="A83" s="3"/>
      <c r="B83" s="105"/>
      <c r="C83" s="106"/>
      <c r="D83" s="106"/>
      <c r="E83" s="106"/>
      <c r="F83" s="107"/>
      <c r="G83" s="138"/>
      <c r="H83" s="139"/>
      <c r="I83" s="139"/>
      <c r="J83" s="140"/>
      <c r="K83" s="105"/>
      <c r="L83" s="106"/>
      <c r="M83" s="106"/>
      <c r="N83" s="106"/>
      <c r="O83" s="106"/>
      <c r="P83" s="106"/>
      <c r="Q83" s="107"/>
      <c r="R83" s="138"/>
      <c r="S83" s="139"/>
      <c r="T83" s="139"/>
      <c r="U83" s="140"/>
      <c r="AA83" s="1" t="s">
        <v>133</v>
      </c>
    </row>
    <row r="84" spans="1:27" ht="18" customHeight="1" x14ac:dyDescent="0.15">
      <c r="A84" s="3"/>
      <c r="B84" s="105"/>
      <c r="C84" s="106"/>
      <c r="D84" s="106"/>
      <c r="E84" s="106"/>
      <c r="F84" s="107"/>
      <c r="G84" s="138"/>
      <c r="H84" s="139"/>
      <c r="I84" s="139"/>
      <c r="J84" s="140"/>
      <c r="K84" s="105"/>
      <c r="L84" s="106"/>
      <c r="M84" s="106"/>
      <c r="N84" s="106"/>
      <c r="O84" s="106"/>
      <c r="P84" s="106"/>
      <c r="Q84" s="107"/>
      <c r="R84" s="138"/>
      <c r="S84" s="139"/>
      <c r="T84" s="139"/>
      <c r="U84" s="140"/>
      <c r="AA84" s="1" t="s">
        <v>139</v>
      </c>
    </row>
    <row r="85" spans="1:27" ht="18" customHeight="1" x14ac:dyDescent="0.15">
      <c r="A85" s="3"/>
      <c r="B85" s="105"/>
      <c r="C85" s="106"/>
      <c r="D85" s="106"/>
      <c r="E85" s="106"/>
      <c r="F85" s="107"/>
      <c r="G85" s="138"/>
      <c r="H85" s="139"/>
      <c r="I85" s="139"/>
      <c r="J85" s="140"/>
      <c r="K85" s="105"/>
      <c r="L85" s="106"/>
      <c r="M85" s="106"/>
      <c r="N85" s="106"/>
      <c r="O85" s="106"/>
      <c r="P85" s="106"/>
      <c r="Q85" s="107"/>
      <c r="R85" s="138"/>
      <c r="S85" s="139"/>
      <c r="T85" s="139"/>
      <c r="U85" s="140"/>
      <c r="AA85" s="1" t="s">
        <v>140</v>
      </c>
    </row>
    <row r="86" spans="1:27" ht="18" customHeight="1" x14ac:dyDescent="0.15">
      <c r="A86" s="3"/>
      <c r="B86" s="105"/>
      <c r="C86" s="106"/>
      <c r="D86" s="106"/>
      <c r="E86" s="106"/>
      <c r="F86" s="107"/>
      <c r="G86" s="138"/>
      <c r="H86" s="139"/>
      <c r="I86" s="139"/>
      <c r="J86" s="140"/>
      <c r="K86" s="105"/>
      <c r="L86" s="106"/>
      <c r="M86" s="106"/>
      <c r="N86" s="106"/>
      <c r="O86" s="106"/>
      <c r="P86" s="106"/>
      <c r="Q86" s="107"/>
      <c r="R86" s="138"/>
      <c r="S86" s="139"/>
      <c r="T86" s="139"/>
      <c r="U86" s="140"/>
      <c r="AA86" s="1" t="s">
        <v>134</v>
      </c>
    </row>
    <row r="87" spans="1:27" ht="18" customHeight="1" x14ac:dyDescent="0.15">
      <c r="A87" s="3"/>
      <c r="B87" s="108"/>
      <c r="C87" s="109"/>
      <c r="D87" s="109"/>
      <c r="E87" s="109"/>
      <c r="F87" s="110"/>
      <c r="G87" s="135"/>
      <c r="H87" s="136"/>
      <c r="I87" s="136"/>
      <c r="J87" s="137"/>
      <c r="K87" s="108"/>
      <c r="L87" s="109"/>
      <c r="M87" s="109"/>
      <c r="N87" s="109"/>
      <c r="O87" s="109"/>
      <c r="P87" s="109"/>
      <c r="Q87" s="110"/>
      <c r="R87" s="135"/>
      <c r="S87" s="136"/>
      <c r="T87" s="136"/>
      <c r="U87" s="137"/>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41" t="s">
        <v>49</v>
      </c>
      <c r="C90" s="142"/>
      <c r="D90" s="90" t="s">
        <v>50</v>
      </c>
      <c r="E90" s="91"/>
      <c r="F90" s="91"/>
      <c r="G90" s="91"/>
      <c r="H90" s="91"/>
      <c r="I90" s="91"/>
      <c r="J90" s="91"/>
      <c r="K90" s="91"/>
      <c r="L90" s="91"/>
      <c r="M90" s="91"/>
      <c r="N90" s="91"/>
      <c r="O90" s="91"/>
      <c r="P90" s="91"/>
      <c r="Q90" s="91"/>
      <c r="R90" s="91"/>
      <c r="S90" s="91"/>
      <c r="T90" s="91"/>
      <c r="U90" s="92"/>
    </row>
    <row r="91" spans="1:27" ht="97.5" customHeight="1" x14ac:dyDescent="0.15">
      <c r="B91" s="118" t="s">
        <v>56</v>
      </c>
      <c r="C91" s="66" t="s">
        <v>51</v>
      </c>
      <c r="D91" s="93" t="s">
        <v>170</v>
      </c>
      <c r="E91" s="94"/>
      <c r="F91" s="94"/>
      <c r="G91" s="94"/>
      <c r="H91" s="94"/>
      <c r="I91" s="94"/>
      <c r="J91" s="94"/>
      <c r="K91" s="94"/>
      <c r="L91" s="94"/>
      <c r="M91" s="94"/>
      <c r="N91" s="94"/>
      <c r="O91" s="94"/>
      <c r="P91" s="94"/>
      <c r="Q91" s="94"/>
      <c r="R91" s="94"/>
      <c r="S91" s="94"/>
      <c r="T91" s="94"/>
      <c r="U91" s="95"/>
    </row>
    <row r="92" spans="1:27" ht="97.5" customHeight="1" x14ac:dyDescent="0.15">
      <c r="B92" s="120"/>
      <c r="C92" s="67" t="s">
        <v>70</v>
      </c>
      <c r="D92" s="96" t="s">
        <v>171</v>
      </c>
      <c r="E92" s="97"/>
      <c r="F92" s="97"/>
      <c r="G92" s="97"/>
      <c r="H92" s="97"/>
      <c r="I92" s="97"/>
      <c r="J92" s="97"/>
      <c r="K92" s="97"/>
      <c r="L92" s="97"/>
      <c r="M92" s="97"/>
      <c r="N92" s="97"/>
      <c r="O92" s="97"/>
      <c r="P92" s="97"/>
      <c r="Q92" s="97"/>
      <c r="R92" s="97"/>
      <c r="S92" s="97"/>
      <c r="T92" s="97"/>
      <c r="U92" s="98"/>
    </row>
    <row r="93" spans="1:27" ht="97.5" customHeight="1" x14ac:dyDescent="0.15">
      <c r="B93" s="118" t="s">
        <v>57</v>
      </c>
      <c r="C93" s="68" t="s">
        <v>64</v>
      </c>
      <c r="D93" s="93" t="s">
        <v>172</v>
      </c>
      <c r="E93" s="94"/>
      <c r="F93" s="94"/>
      <c r="G93" s="94"/>
      <c r="H93" s="94"/>
      <c r="I93" s="94"/>
      <c r="J93" s="94"/>
      <c r="K93" s="94"/>
      <c r="L93" s="94"/>
      <c r="M93" s="94"/>
      <c r="N93" s="94"/>
      <c r="O93" s="94"/>
      <c r="P93" s="94"/>
      <c r="Q93" s="94"/>
      <c r="R93" s="94"/>
      <c r="S93" s="94"/>
      <c r="T93" s="94"/>
      <c r="U93" s="95"/>
    </row>
    <row r="94" spans="1:27" ht="97.5" customHeight="1" x14ac:dyDescent="0.15">
      <c r="B94" s="119"/>
      <c r="C94" s="69" t="s">
        <v>65</v>
      </c>
      <c r="D94" s="96" t="s">
        <v>173</v>
      </c>
      <c r="E94" s="97"/>
      <c r="F94" s="97"/>
      <c r="G94" s="97"/>
      <c r="H94" s="97"/>
      <c r="I94" s="97"/>
      <c r="J94" s="97"/>
      <c r="K94" s="97"/>
      <c r="L94" s="97"/>
      <c r="M94" s="97"/>
      <c r="N94" s="97"/>
      <c r="O94" s="97"/>
      <c r="P94" s="97"/>
      <c r="Q94" s="97"/>
      <c r="R94" s="97"/>
      <c r="S94" s="97"/>
      <c r="T94" s="97"/>
      <c r="U94" s="98"/>
    </row>
    <row r="95" spans="1:27" ht="97.5" customHeight="1" x14ac:dyDescent="0.15">
      <c r="B95" s="118" t="s">
        <v>58</v>
      </c>
      <c r="C95" s="68" t="s">
        <v>66</v>
      </c>
      <c r="D95" s="93" t="s">
        <v>179</v>
      </c>
      <c r="E95" s="94"/>
      <c r="F95" s="94"/>
      <c r="G95" s="94"/>
      <c r="H95" s="94"/>
      <c r="I95" s="94"/>
      <c r="J95" s="94"/>
      <c r="K95" s="94"/>
      <c r="L95" s="94"/>
      <c r="M95" s="94"/>
      <c r="N95" s="94"/>
      <c r="O95" s="94"/>
      <c r="P95" s="94"/>
      <c r="Q95" s="94"/>
      <c r="R95" s="94"/>
      <c r="S95" s="94"/>
      <c r="T95" s="94"/>
      <c r="U95" s="95"/>
    </row>
    <row r="96" spans="1:27" ht="97.5" customHeight="1" x14ac:dyDescent="0.15">
      <c r="B96" s="119"/>
      <c r="C96" s="70" t="s">
        <v>67</v>
      </c>
      <c r="D96" s="96" t="s">
        <v>180</v>
      </c>
      <c r="E96" s="97"/>
      <c r="F96" s="97"/>
      <c r="G96" s="97"/>
      <c r="H96" s="97"/>
      <c r="I96" s="97"/>
      <c r="J96" s="97"/>
      <c r="K96" s="97"/>
      <c r="L96" s="97"/>
      <c r="M96" s="97"/>
      <c r="N96" s="97"/>
      <c r="O96" s="97"/>
      <c r="P96" s="97"/>
      <c r="Q96" s="97"/>
      <c r="R96" s="97"/>
      <c r="S96" s="97"/>
      <c r="T96" s="97"/>
      <c r="U96" s="98"/>
    </row>
    <row r="97" spans="1:21" ht="97.5" customHeight="1" x14ac:dyDescent="0.15">
      <c r="B97" s="118" t="s">
        <v>71</v>
      </c>
      <c r="C97" s="66" t="s">
        <v>53</v>
      </c>
      <c r="D97" s="93" t="s">
        <v>174</v>
      </c>
      <c r="E97" s="94"/>
      <c r="F97" s="94"/>
      <c r="G97" s="94"/>
      <c r="H97" s="94"/>
      <c r="I97" s="94"/>
      <c r="J97" s="94"/>
      <c r="K97" s="94"/>
      <c r="L97" s="94"/>
      <c r="M97" s="94"/>
      <c r="N97" s="94"/>
      <c r="O97" s="94"/>
      <c r="P97" s="94"/>
      <c r="Q97" s="94"/>
      <c r="R97" s="94"/>
      <c r="S97" s="94"/>
      <c r="T97" s="94"/>
      <c r="U97" s="95"/>
    </row>
    <row r="98" spans="1:21" ht="97.5" customHeight="1" x14ac:dyDescent="0.15">
      <c r="B98" s="119"/>
      <c r="C98" s="69" t="s">
        <v>55</v>
      </c>
      <c r="D98" s="96" t="s">
        <v>175</v>
      </c>
      <c r="E98" s="97"/>
      <c r="F98" s="97"/>
      <c r="G98" s="97"/>
      <c r="H98" s="97"/>
      <c r="I98" s="97"/>
      <c r="J98" s="97"/>
      <c r="K98" s="97"/>
      <c r="L98" s="97"/>
      <c r="M98" s="97"/>
      <c r="N98" s="97"/>
      <c r="O98" s="97"/>
      <c r="P98" s="97"/>
      <c r="Q98" s="97"/>
      <c r="R98" s="97"/>
      <c r="S98" s="97"/>
      <c r="T98" s="97"/>
      <c r="U98" s="98"/>
    </row>
    <row r="99" spans="1:21" ht="97.5" customHeight="1" x14ac:dyDescent="0.15">
      <c r="B99" s="118" t="s">
        <v>72</v>
      </c>
      <c r="C99" s="68" t="s">
        <v>52</v>
      </c>
      <c r="D99" s="93" t="s">
        <v>176</v>
      </c>
      <c r="E99" s="94"/>
      <c r="F99" s="94"/>
      <c r="G99" s="94"/>
      <c r="H99" s="94"/>
      <c r="I99" s="94"/>
      <c r="J99" s="94"/>
      <c r="K99" s="94"/>
      <c r="L99" s="94"/>
      <c r="M99" s="94"/>
      <c r="N99" s="94"/>
      <c r="O99" s="94"/>
      <c r="P99" s="94"/>
      <c r="Q99" s="94"/>
      <c r="R99" s="94"/>
      <c r="S99" s="94"/>
      <c r="T99" s="94"/>
      <c r="U99" s="95"/>
    </row>
    <row r="100" spans="1:21" ht="97.5" customHeight="1" x14ac:dyDescent="0.15">
      <c r="B100" s="120"/>
      <c r="C100" s="71" t="s">
        <v>68</v>
      </c>
      <c r="D100" s="115" t="s">
        <v>177</v>
      </c>
      <c r="E100" s="116"/>
      <c r="F100" s="116"/>
      <c r="G100" s="116"/>
      <c r="H100" s="116"/>
      <c r="I100" s="116"/>
      <c r="J100" s="116"/>
      <c r="K100" s="116"/>
      <c r="L100" s="116"/>
      <c r="M100" s="116"/>
      <c r="N100" s="116"/>
      <c r="O100" s="116"/>
      <c r="P100" s="116"/>
      <c r="Q100" s="116"/>
      <c r="R100" s="116"/>
      <c r="S100" s="116"/>
      <c r="T100" s="116"/>
      <c r="U100" s="117"/>
    </row>
    <row r="101" spans="1:21" ht="97.5" customHeight="1" x14ac:dyDescent="0.15">
      <c r="B101" s="119"/>
      <c r="C101" s="70" t="s">
        <v>69</v>
      </c>
      <c r="D101" s="96" t="s">
        <v>178</v>
      </c>
      <c r="E101" s="97"/>
      <c r="F101" s="97"/>
      <c r="G101" s="97"/>
      <c r="H101" s="97"/>
      <c r="I101" s="97"/>
      <c r="J101" s="97"/>
      <c r="K101" s="97"/>
      <c r="L101" s="97"/>
      <c r="M101" s="97"/>
      <c r="N101" s="97"/>
      <c r="O101" s="97"/>
      <c r="P101" s="97"/>
      <c r="Q101" s="97"/>
      <c r="R101" s="97"/>
      <c r="S101" s="97"/>
      <c r="T101" s="97"/>
      <c r="U101" s="98"/>
    </row>
    <row r="102" spans="1:21" ht="6" customHeight="1" x14ac:dyDescent="0.15"/>
    <row r="103" spans="1:21" ht="18.75" customHeight="1" x14ac:dyDescent="0.15">
      <c r="A103" s="1" t="s">
        <v>103</v>
      </c>
    </row>
    <row r="104" spans="1:21" ht="81.75" customHeight="1" x14ac:dyDescent="0.15">
      <c r="B104" s="132" t="s">
        <v>190</v>
      </c>
      <c r="C104" s="133"/>
      <c r="D104" s="133"/>
      <c r="E104" s="133"/>
      <c r="F104" s="133"/>
      <c r="G104" s="133"/>
      <c r="H104" s="133"/>
      <c r="I104" s="133"/>
      <c r="J104" s="133"/>
      <c r="K104" s="133"/>
      <c r="L104" s="133"/>
      <c r="M104" s="133"/>
      <c r="N104" s="133"/>
      <c r="O104" s="133"/>
      <c r="P104" s="133"/>
      <c r="Q104" s="133"/>
      <c r="R104" s="133"/>
      <c r="S104" s="133"/>
      <c r="T104" s="133"/>
      <c r="U104" s="134"/>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G81:J8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R81:U87 G82:J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E14" sqref="E14"/>
    </sheetView>
  </sheetViews>
  <sheetFormatPr defaultColWidth="9" defaultRowHeight="18.75" customHeight="1" x14ac:dyDescent="0.15"/>
  <cols>
    <col min="1" max="1" width="2.62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92</v>
      </c>
    </row>
    <row r="2" spans="1:21" ht="18" customHeight="1" x14ac:dyDescent="0.15">
      <c r="A2" s="52"/>
      <c r="B2" s="52"/>
      <c r="C2" s="52"/>
      <c r="D2" s="52"/>
      <c r="E2" s="52"/>
      <c r="F2" s="52"/>
      <c r="G2" s="52"/>
      <c r="H2" s="52"/>
      <c r="I2" s="52"/>
      <c r="J2" s="52"/>
      <c r="K2" s="52"/>
      <c r="L2" s="52"/>
      <c r="M2" s="52"/>
      <c r="N2" s="52"/>
      <c r="O2" s="52"/>
      <c r="P2" s="52"/>
      <c r="Q2" s="156" t="str">
        <f>'様式１　プログラムを構成する授業科目'!C2</f>
        <v>帯広畜産大学</v>
      </c>
      <c r="R2" s="156"/>
      <c r="S2" s="156"/>
    </row>
    <row r="3" spans="1:21" ht="18" customHeight="1" x14ac:dyDescent="0.15">
      <c r="A3" s="122" t="s">
        <v>142</v>
      </c>
      <c r="B3" s="122"/>
      <c r="C3" s="122"/>
      <c r="D3" s="122"/>
      <c r="E3" s="122"/>
      <c r="F3" s="122"/>
      <c r="G3" s="122"/>
      <c r="H3" s="122"/>
      <c r="I3" s="122"/>
      <c r="J3" s="122"/>
      <c r="K3" s="122"/>
      <c r="L3" s="122"/>
      <c r="M3" s="122"/>
      <c r="N3" s="122"/>
      <c r="O3" s="122"/>
      <c r="P3" s="122"/>
      <c r="Q3" s="122"/>
      <c r="R3" s="122"/>
      <c r="S3" s="122"/>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75</v>
      </c>
      <c r="B5" s="52"/>
      <c r="C5" s="157" t="s">
        <v>150</v>
      </c>
      <c r="D5" s="158"/>
      <c r="E5" s="56" t="s">
        <v>125</v>
      </c>
      <c r="F5" s="54"/>
      <c r="G5" s="54"/>
      <c r="H5" s="54"/>
      <c r="I5" s="54"/>
      <c r="J5" s="54"/>
      <c r="K5" s="54"/>
      <c r="L5" s="54"/>
      <c r="M5" s="54"/>
      <c r="N5" s="54"/>
      <c r="O5" s="54"/>
      <c r="P5" s="54"/>
      <c r="Q5" s="54"/>
      <c r="R5" s="53"/>
      <c r="S5" s="53"/>
    </row>
    <row r="6" spans="1:21" ht="7.3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109</v>
      </c>
      <c r="B7" s="52"/>
      <c r="C7" s="75"/>
      <c r="D7" s="75"/>
      <c r="E7" s="54" t="s">
        <v>110</v>
      </c>
      <c r="F7" s="57">
        <v>434</v>
      </c>
      <c r="G7" s="56" t="s">
        <v>111</v>
      </c>
      <c r="H7" s="54" t="s">
        <v>112</v>
      </c>
      <c r="I7" s="57">
        <v>702</v>
      </c>
      <c r="J7" s="56" t="s">
        <v>111</v>
      </c>
      <c r="K7" s="55" t="s">
        <v>113</v>
      </c>
      <c r="L7" s="54" t="s">
        <v>114</v>
      </c>
      <c r="M7" s="57">
        <f>F7+I7</f>
        <v>1136</v>
      </c>
      <c r="N7" s="54" t="s">
        <v>1</v>
      </c>
      <c r="O7" s="56" t="s">
        <v>115</v>
      </c>
      <c r="P7" s="54"/>
      <c r="Q7" s="54"/>
      <c r="R7" s="53"/>
      <c r="S7" s="53"/>
    </row>
    <row r="8" spans="1:21" ht="17.45" customHeight="1" x14ac:dyDescent="0.15">
      <c r="A8" s="54"/>
      <c r="B8" s="76" t="s">
        <v>128</v>
      </c>
      <c r="C8" s="54"/>
      <c r="D8" s="54"/>
      <c r="E8" s="54"/>
      <c r="F8" s="54"/>
      <c r="G8" s="54"/>
      <c r="H8" s="54"/>
      <c r="I8" s="54"/>
      <c r="J8" s="54"/>
      <c r="K8" s="54"/>
      <c r="L8" s="54"/>
      <c r="M8" s="54"/>
      <c r="N8" s="54"/>
      <c r="O8" s="54"/>
      <c r="P8" s="54"/>
      <c r="Q8" s="54"/>
      <c r="R8" s="54"/>
      <c r="S8" s="54"/>
    </row>
    <row r="9" spans="1:21" ht="18" customHeight="1" x14ac:dyDescent="0.15">
      <c r="A9" s="52" t="s">
        <v>120</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9" t="s">
        <v>43</v>
      </c>
      <c r="C11" s="169" t="s">
        <v>78</v>
      </c>
      <c r="D11" s="161" t="s">
        <v>45</v>
      </c>
      <c r="E11" s="163" t="s">
        <v>38</v>
      </c>
      <c r="F11" s="155" t="s">
        <v>126</v>
      </c>
      <c r="G11" s="155"/>
      <c r="H11" s="155" t="s">
        <v>106</v>
      </c>
      <c r="I11" s="155"/>
      <c r="J11" s="155" t="s">
        <v>77</v>
      </c>
      <c r="K11" s="155"/>
      <c r="L11" s="155" t="s">
        <v>46</v>
      </c>
      <c r="M11" s="155"/>
      <c r="N11" s="155" t="s">
        <v>47</v>
      </c>
      <c r="O11" s="155"/>
      <c r="P11" s="155" t="s">
        <v>127</v>
      </c>
      <c r="Q11" s="155"/>
      <c r="R11" s="165" t="s">
        <v>35</v>
      </c>
      <c r="S11" s="167" t="s">
        <v>32</v>
      </c>
      <c r="U11" s="2"/>
    </row>
    <row r="12" spans="1:21" ht="17.100000000000001" customHeight="1" x14ac:dyDescent="0.15">
      <c r="B12" s="160"/>
      <c r="C12" s="170"/>
      <c r="D12" s="162"/>
      <c r="E12" s="164"/>
      <c r="F12" s="77" t="s">
        <v>86</v>
      </c>
      <c r="G12" s="77" t="s">
        <v>29</v>
      </c>
      <c r="H12" s="77" t="s">
        <v>86</v>
      </c>
      <c r="I12" s="77" t="s">
        <v>29</v>
      </c>
      <c r="J12" s="77" t="s">
        <v>86</v>
      </c>
      <c r="K12" s="77" t="s">
        <v>29</v>
      </c>
      <c r="L12" s="77" t="s">
        <v>86</v>
      </c>
      <c r="M12" s="77" t="s">
        <v>29</v>
      </c>
      <c r="N12" s="77" t="s">
        <v>86</v>
      </c>
      <c r="O12" s="77" t="s">
        <v>29</v>
      </c>
      <c r="P12" s="77" t="s">
        <v>86</v>
      </c>
      <c r="Q12" s="78" t="s">
        <v>29</v>
      </c>
      <c r="R12" s="166"/>
      <c r="S12" s="168"/>
      <c r="U12" s="2"/>
    </row>
    <row r="13" spans="1:21" ht="18" customHeight="1" x14ac:dyDescent="0.15">
      <c r="A13" s="6"/>
      <c r="B13" s="46" t="s">
        <v>163</v>
      </c>
      <c r="C13" s="34">
        <v>244</v>
      </c>
      <c r="D13" s="35">
        <v>40</v>
      </c>
      <c r="E13" s="36">
        <v>240</v>
      </c>
      <c r="F13" s="36">
        <v>2</v>
      </c>
      <c r="G13" s="81">
        <v>2</v>
      </c>
      <c r="H13" s="36"/>
      <c r="I13" s="36"/>
      <c r="J13" s="36"/>
      <c r="K13" s="36"/>
      <c r="L13" s="36"/>
      <c r="M13" s="36"/>
      <c r="N13" s="36"/>
      <c r="O13" s="36"/>
      <c r="P13" s="36"/>
      <c r="Q13" s="47"/>
      <c r="R13" s="35">
        <f t="shared" ref="R13:R32" si="0">F13+H13+J13+L13+N13+P13</f>
        <v>2</v>
      </c>
      <c r="S13" s="48">
        <f t="shared" ref="S13:S33" si="1">R13/E13</f>
        <v>8.3333333333333332E-3</v>
      </c>
    </row>
    <row r="14" spans="1:21" ht="18" customHeight="1" x14ac:dyDescent="0.15">
      <c r="A14" s="6"/>
      <c r="B14" s="11" t="s">
        <v>151</v>
      </c>
      <c r="C14" s="37">
        <v>892</v>
      </c>
      <c r="D14" s="38">
        <v>210</v>
      </c>
      <c r="E14" s="39">
        <v>860</v>
      </c>
      <c r="F14" s="40">
        <v>132</v>
      </c>
      <c r="G14" s="82">
        <v>130</v>
      </c>
      <c r="H14" s="40"/>
      <c r="I14" s="40"/>
      <c r="J14" s="40"/>
      <c r="K14" s="40"/>
      <c r="L14" s="40"/>
      <c r="M14" s="40"/>
      <c r="N14" s="40"/>
      <c r="O14" s="40"/>
      <c r="P14" s="40"/>
      <c r="Q14" s="37"/>
      <c r="R14" s="38">
        <f t="shared" si="0"/>
        <v>132</v>
      </c>
      <c r="S14" s="16">
        <f t="shared" si="1"/>
        <v>0.15348837209302327</v>
      </c>
    </row>
    <row r="15" spans="1:21" ht="18" customHeight="1" x14ac:dyDescent="0.15">
      <c r="A15" s="6"/>
      <c r="B15" s="11"/>
      <c r="C15" s="37"/>
      <c r="D15" s="38"/>
      <c r="E15" s="39"/>
      <c r="F15" s="40"/>
      <c r="G15" s="40"/>
      <c r="H15" s="40"/>
      <c r="I15" s="40"/>
      <c r="J15" s="40"/>
      <c r="K15" s="40"/>
      <c r="L15" s="40"/>
      <c r="M15" s="40"/>
      <c r="N15" s="40"/>
      <c r="O15" s="40"/>
      <c r="P15" s="40"/>
      <c r="Q15" s="37"/>
      <c r="R15" s="38">
        <f t="shared" si="0"/>
        <v>0</v>
      </c>
      <c r="S15" s="8" t="e">
        <f t="shared" si="1"/>
        <v>#DIV/0!</v>
      </c>
    </row>
    <row r="16" spans="1:21" ht="18" customHeight="1" x14ac:dyDescent="0.15">
      <c r="A16" s="6"/>
      <c r="B16" s="11"/>
      <c r="C16" s="37"/>
      <c r="D16" s="38"/>
      <c r="E16" s="39"/>
      <c r="F16" s="40"/>
      <c r="G16" s="40"/>
      <c r="H16" s="40"/>
      <c r="I16" s="40"/>
      <c r="J16" s="40"/>
      <c r="K16" s="40"/>
      <c r="L16" s="40"/>
      <c r="M16" s="40"/>
      <c r="N16" s="40"/>
      <c r="O16" s="40"/>
      <c r="P16" s="40"/>
      <c r="Q16" s="37"/>
      <c r="R16" s="38">
        <f t="shared" si="0"/>
        <v>0</v>
      </c>
      <c r="S16" s="8" t="e">
        <f t="shared" si="1"/>
        <v>#DIV/0!</v>
      </c>
    </row>
    <row r="17" spans="1:19" ht="18" customHeight="1" x14ac:dyDescent="0.15">
      <c r="A17" s="6"/>
      <c r="B17" s="11"/>
      <c r="C17" s="37"/>
      <c r="D17" s="38"/>
      <c r="E17" s="39"/>
      <c r="F17" s="40"/>
      <c r="G17" s="40"/>
      <c r="H17" s="40"/>
      <c r="I17" s="40"/>
      <c r="J17" s="40"/>
      <c r="K17" s="40"/>
      <c r="L17" s="40"/>
      <c r="M17" s="40"/>
      <c r="N17" s="40"/>
      <c r="O17" s="40"/>
      <c r="P17" s="40"/>
      <c r="Q17" s="37"/>
      <c r="R17" s="38">
        <f t="shared" si="0"/>
        <v>0</v>
      </c>
      <c r="S17" s="8" t="e">
        <f t="shared" si="1"/>
        <v>#DIV/0!</v>
      </c>
    </row>
    <row r="18" spans="1:19" ht="18" customHeight="1" x14ac:dyDescent="0.15">
      <c r="A18" s="6"/>
      <c r="B18" s="11"/>
      <c r="C18" s="37"/>
      <c r="D18" s="38"/>
      <c r="E18" s="39"/>
      <c r="F18" s="40"/>
      <c r="G18" s="40"/>
      <c r="H18" s="40"/>
      <c r="I18" s="40"/>
      <c r="J18" s="40"/>
      <c r="K18" s="40"/>
      <c r="L18" s="40"/>
      <c r="M18" s="40"/>
      <c r="N18" s="40"/>
      <c r="O18" s="40"/>
      <c r="P18" s="40"/>
      <c r="Q18" s="37"/>
      <c r="R18" s="38">
        <f t="shared" si="0"/>
        <v>0</v>
      </c>
      <c r="S18" s="8" t="e">
        <f t="shared" si="1"/>
        <v>#DIV/0!</v>
      </c>
    </row>
    <row r="19" spans="1:19" ht="18" customHeight="1" x14ac:dyDescent="0.15">
      <c r="A19" s="6"/>
      <c r="B19" s="11"/>
      <c r="C19" s="37"/>
      <c r="D19" s="38"/>
      <c r="E19" s="39"/>
      <c r="F19" s="40"/>
      <c r="G19" s="40"/>
      <c r="H19" s="40"/>
      <c r="I19" s="40"/>
      <c r="J19" s="40"/>
      <c r="K19" s="40"/>
      <c r="L19" s="40"/>
      <c r="M19" s="40"/>
      <c r="N19" s="40"/>
      <c r="O19" s="40"/>
      <c r="P19" s="40"/>
      <c r="Q19" s="37"/>
      <c r="R19" s="38">
        <f t="shared" si="0"/>
        <v>0</v>
      </c>
      <c r="S19" s="8" t="e">
        <f t="shared" si="1"/>
        <v>#DIV/0!</v>
      </c>
    </row>
    <row r="20" spans="1:19" ht="18" customHeight="1" x14ac:dyDescent="0.15">
      <c r="A20" s="6"/>
      <c r="B20" s="11"/>
      <c r="C20" s="37"/>
      <c r="D20" s="38"/>
      <c r="E20" s="39"/>
      <c r="F20" s="40"/>
      <c r="G20" s="40"/>
      <c r="H20" s="40"/>
      <c r="I20" s="40"/>
      <c r="J20" s="40"/>
      <c r="K20" s="40"/>
      <c r="L20" s="40"/>
      <c r="M20" s="40"/>
      <c r="N20" s="40"/>
      <c r="O20" s="40"/>
      <c r="P20" s="40"/>
      <c r="Q20" s="37"/>
      <c r="R20" s="38">
        <f t="shared" si="0"/>
        <v>0</v>
      </c>
      <c r="S20" s="8" t="e">
        <f t="shared" si="1"/>
        <v>#DIV/0!</v>
      </c>
    </row>
    <row r="21" spans="1:19" ht="18" customHeight="1" x14ac:dyDescent="0.15">
      <c r="A21" s="6"/>
      <c r="B21" s="11"/>
      <c r="C21" s="37"/>
      <c r="D21" s="38"/>
      <c r="E21" s="39"/>
      <c r="F21" s="40"/>
      <c r="G21" s="40"/>
      <c r="H21" s="40"/>
      <c r="I21" s="40"/>
      <c r="J21" s="40"/>
      <c r="K21" s="40"/>
      <c r="L21" s="40"/>
      <c r="M21" s="40"/>
      <c r="N21" s="40"/>
      <c r="O21" s="40"/>
      <c r="P21" s="40"/>
      <c r="Q21" s="37"/>
      <c r="R21" s="38">
        <f t="shared" si="0"/>
        <v>0</v>
      </c>
      <c r="S21" s="8" t="e">
        <f t="shared" si="1"/>
        <v>#DIV/0!</v>
      </c>
    </row>
    <row r="22" spans="1:19" ht="18" customHeight="1" x14ac:dyDescent="0.15">
      <c r="A22" s="6"/>
      <c r="B22" s="11"/>
      <c r="C22" s="37"/>
      <c r="D22" s="38"/>
      <c r="E22" s="39"/>
      <c r="F22" s="40"/>
      <c r="G22" s="40"/>
      <c r="H22" s="40"/>
      <c r="I22" s="40"/>
      <c r="J22" s="40"/>
      <c r="K22" s="40"/>
      <c r="L22" s="40"/>
      <c r="M22" s="40"/>
      <c r="N22" s="40"/>
      <c r="O22" s="40"/>
      <c r="P22" s="40"/>
      <c r="Q22" s="37"/>
      <c r="R22" s="38">
        <f t="shared" si="0"/>
        <v>0</v>
      </c>
      <c r="S22" s="8" t="e">
        <f t="shared" si="1"/>
        <v>#DIV/0!</v>
      </c>
    </row>
    <row r="23" spans="1:19" ht="18" customHeight="1" x14ac:dyDescent="0.15">
      <c r="A23" s="6"/>
      <c r="B23" s="11"/>
      <c r="C23" s="37"/>
      <c r="D23" s="38"/>
      <c r="E23" s="39"/>
      <c r="F23" s="40"/>
      <c r="G23" s="40"/>
      <c r="H23" s="40"/>
      <c r="I23" s="40"/>
      <c r="J23" s="40"/>
      <c r="K23" s="40"/>
      <c r="L23" s="40"/>
      <c r="M23" s="40"/>
      <c r="N23" s="40"/>
      <c r="O23" s="40"/>
      <c r="P23" s="40"/>
      <c r="Q23" s="37"/>
      <c r="R23" s="38">
        <f t="shared" si="0"/>
        <v>0</v>
      </c>
      <c r="S23" s="8" t="e">
        <f t="shared" si="1"/>
        <v>#DIV/0!</v>
      </c>
    </row>
    <row r="24" spans="1:19" ht="18" customHeight="1" x14ac:dyDescent="0.15">
      <c r="A24" s="6"/>
      <c r="B24" s="11"/>
      <c r="C24" s="37"/>
      <c r="D24" s="38"/>
      <c r="E24" s="39"/>
      <c r="F24" s="40"/>
      <c r="G24" s="40"/>
      <c r="H24" s="40"/>
      <c r="I24" s="40"/>
      <c r="J24" s="40"/>
      <c r="K24" s="40"/>
      <c r="L24" s="40"/>
      <c r="M24" s="40"/>
      <c r="N24" s="40"/>
      <c r="O24" s="40"/>
      <c r="P24" s="40"/>
      <c r="Q24" s="37"/>
      <c r="R24" s="38">
        <f t="shared" si="0"/>
        <v>0</v>
      </c>
      <c r="S24" s="8" t="e">
        <f t="shared" si="1"/>
        <v>#DIV/0!</v>
      </c>
    </row>
    <row r="25" spans="1:19" ht="18" customHeight="1" x14ac:dyDescent="0.15">
      <c r="A25" s="6"/>
      <c r="B25" s="11"/>
      <c r="C25" s="37"/>
      <c r="D25" s="38"/>
      <c r="E25" s="39"/>
      <c r="F25" s="40"/>
      <c r="G25" s="40"/>
      <c r="H25" s="40"/>
      <c r="I25" s="40"/>
      <c r="J25" s="40"/>
      <c r="K25" s="40"/>
      <c r="L25" s="40"/>
      <c r="M25" s="40"/>
      <c r="N25" s="40"/>
      <c r="O25" s="40"/>
      <c r="P25" s="40"/>
      <c r="Q25" s="37"/>
      <c r="R25" s="38">
        <f t="shared" si="0"/>
        <v>0</v>
      </c>
      <c r="S25" s="8" t="e">
        <f t="shared" si="1"/>
        <v>#DIV/0!</v>
      </c>
    </row>
    <row r="26" spans="1:19" ht="18" customHeight="1" x14ac:dyDescent="0.15">
      <c r="A26" s="6"/>
      <c r="B26" s="11"/>
      <c r="C26" s="37"/>
      <c r="D26" s="38"/>
      <c r="E26" s="39"/>
      <c r="F26" s="40"/>
      <c r="G26" s="40"/>
      <c r="H26" s="40"/>
      <c r="I26" s="40"/>
      <c r="J26" s="40"/>
      <c r="K26" s="40"/>
      <c r="L26" s="40"/>
      <c r="M26" s="40"/>
      <c r="N26" s="40"/>
      <c r="O26" s="40"/>
      <c r="P26" s="40"/>
      <c r="Q26" s="37"/>
      <c r="R26" s="38">
        <f t="shared" si="0"/>
        <v>0</v>
      </c>
      <c r="S26" s="8" t="e">
        <f t="shared" si="1"/>
        <v>#DIV/0!</v>
      </c>
    </row>
    <row r="27" spans="1:19" ht="18" customHeight="1" x14ac:dyDescent="0.15">
      <c r="A27" s="6"/>
      <c r="B27" s="11"/>
      <c r="C27" s="37"/>
      <c r="D27" s="38"/>
      <c r="E27" s="39"/>
      <c r="F27" s="40"/>
      <c r="G27" s="40"/>
      <c r="H27" s="40"/>
      <c r="I27" s="40"/>
      <c r="J27" s="40"/>
      <c r="K27" s="40"/>
      <c r="L27" s="40"/>
      <c r="M27" s="40"/>
      <c r="N27" s="40"/>
      <c r="O27" s="40"/>
      <c r="P27" s="40"/>
      <c r="Q27" s="37"/>
      <c r="R27" s="38">
        <f t="shared" si="0"/>
        <v>0</v>
      </c>
      <c r="S27" s="8" t="e">
        <f t="shared" si="1"/>
        <v>#DIV/0!</v>
      </c>
    </row>
    <row r="28" spans="1:19" ht="18" customHeight="1" x14ac:dyDescent="0.15">
      <c r="A28" s="6"/>
      <c r="B28" s="11"/>
      <c r="C28" s="37"/>
      <c r="D28" s="38"/>
      <c r="E28" s="39"/>
      <c r="F28" s="40"/>
      <c r="G28" s="40"/>
      <c r="H28" s="40"/>
      <c r="I28" s="40"/>
      <c r="J28" s="40"/>
      <c r="K28" s="40"/>
      <c r="L28" s="40"/>
      <c r="M28" s="40"/>
      <c r="N28" s="40"/>
      <c r="O28" s="40"/>
      <c r="P28" s="40"/>
      <c r="Q28" s="37"/>
      <c r="R28" s="38">
        <f t="shared" si="0"/>
        <v>0</v>
      </c>
      <c r="S28" s="8" t="e">
        <f t="shared" si="1"/>
        <v>#DIV/0!</v>
      </c>
    </row>
    <row r="29" spans="1:19" ht="18" customHeight="1" x14ac:dyDescent="0.15">
      <c r="A29" s="6"/>
      <c r="B29" s="11"/>
      <c r="C29" s="37"/>
      <c r="D29" s="38"/>
      <c r="E29" s="39"/>
      <c r="F29" s="40"/>
      <c r="G29" s="40"/>
      <c r="H29" s="40"/>
      <c r="I29" s="40"/>
      <c r="J29" s="40"/>
      <c r="K29" s="40"/>
      <c r="L29" s="40"/>
      <c r="M29" s="40"/>
      <c r="N29" s="40"/>
      <c r="O29" s="40"/>
      <c r="P29" s="40"/>
      <c r="Q29" s="37"/>
      <c r="R29" s="38">
        <f t="shared" si="0"/>
        <v>0</v>
      </c>
      <c r="S29" s="8" t="e">
        <f t="shared" si="1"/>
        <v>#DIV/0!</v>
      </c>
    </row>
    <row r="30" spans="1:19" ht="18" customHeight="1" x14ac:dyDescent="0.15">
      <c r="A30" s="6"/>
      <c r="B30" s="11"/>
      <c r="C30" s="37"/>
      <c r="D30" s="41"/>
      <c r="E30" s="39"/>
      <c r="F30" s="40"/>
      <c r="G30" s="40"/>
      <c r="H30" s="40"/>
      <c r="I30" s="40"/>
      <c r="J30" s="40"/>
      <c r="K30" s="40"/>
      <c r="L30" s="40"/>
      <c r="M30" s="40"/>
      <c r="N30" s="40"/>
      <c r="O30" s="40"/>
      <c r="P30" s="40"/>
      <c r="Q30" s="37"/>
      <c r="R30" s="41">
        <f t="shared" si="0"/>
        <v>0</v>
      </c>
      <c r="S30" s="8" t="e">
        <f t="shared" si="1"/>
        <v>#DIV/0!</v>
      </c>
    </row>
    <row r="31" spans="1:19" ht="18" customHeight="1" x14ac:dyDescent="0.15">
      <c r="A31" s="6"/>
      <c r="B31" s="11"/>
      <c r="C31" s="37"/>
      <c r="D31" s="41"/>
      <c r="E31" s="39"/>
      <c r="F31" s="40"/>
      <c r="G31" s="40"/>
      <c r="H31" s="40"/>
      <c r="I31" s="40"/>
      <c r="J31" s="40"/>
      <c r="K31" s="40"/>
      <c r="L31" s="40"/>
      <c r="M31" s="40"/>
      <c r="N31" s="40"/>
      <c r="O31" s="40"/>
      <c r="P31" s="40"/>
      <c r="Q31" s="37"/>
      <c r="R31" s="41">
        <f t="shared" si="0"/>
        <v>0</v>
      </c>
      <c r="S31" s="8" t="e">
        <f t="shared" si="1"/>
        <v>#DIV/0!</v>
      </c>
    </row>
    <row r="32" spans="1:19" ht="18" customHeight="1" thickBot="1" x14ac:dyDescent="0.2">
      <c r="A32" s="6"/>
      <c r="B32" s="12"/>
      <c r="C32" s="34"/>
      <c r="D32" s="42"/>
      <c r="E32" s="36"/>
      <c r="F32" s="36"/>
      <c r="G32" s="36"/>
      <c r="H32" s="36"/>
      <c r="I32" s="36"/>
      <c r="J32" s="36"/>
      <c r="K32" s="36"/>
      <c r="L32" s="36"/>
      <c r="M32" s="36"/>
      <c r="N32" s="36"/>
      <c r="O32" s="36"/>
      <c r="P32" s="36"/>
      <c r="Q32" s="37"/>
      <c r="R32" s="42">
        <f t="shared" si="0"/>
        <v>0</v>
      </c>
      <c r="S32" s="7" t="e">
        <f t="shared" si="1"/>
        <v>#DIV/0!</v>
      </c>
    </row>
    <row r="33" spans="2:19" ht="18" customHeight="1" thickTop="1" x14ac:dyDescent="0.15">
      <c r="B33" s="13" t="s">
        <v>33</v>
      </c>
      <c r="C33" s="43">
        <f t="shared" ref="C33" si="2">SUM(C13:C32)</f>
        <v>1136</v>
      </c>
      <c r="D33" s="44">
        <f t="shared" ref="D33:R33" si="3">SUM(D13:D32)</f>
        <v>250</v>
      </c>
      <c r="E33" s="45">
        <f t="shared" si="3"/>
        <v>1100</v>
      </c>
      <c r="F33" s="45">
        <f t="shared" si="3"/>
        <v>134</v>
      </c>
      <c r="G33" s="45">
        <f t="shared" ref="G33:H33" si="4">SUM(G13:G32)</f>
        <v>132</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134</v>
      </c>
      <c r="S33" s="9">
        <f t="shared" si="1"/>
        <v>0.12181818181818181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21" zoomScaleNormal="100" zoomScaleSheetLayoutView="100" workbookViewId="0">
      <selection activeCell="B19" sqref="B19:I19"/>
    </sheetView>
  </sheetViews>
  <sheetFormatPr defaultColWidth="11.375" defaultRowHeight="18.75" customHeight="1" x14ac:dyDescent="0.15"/>
  <cols>
    <col min="1" max="1" width="2.625" style="2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0" t="str">
        <f>'様式１　プログラムを構成する授業科目'!C2</f>
        <v>帯広畜産大学</v>
      </c>
      <c r="I2" s="92"/>
    </row>
    <row r="3" spans="1:9" ht="18.75" customHeight="1" x14ac:dyDescent="0.15">
      <c r="G3" s="18"/>
      <c r="H3" s="10"/>
      <c r="I3" s="10"/>
    </row>
    <row r="4" spans="1:9" ht="18.600000000000001" customHeight="1" x14ac:dyDescent="0.15">
      <c r="A4" s="122" t="s">
        <v>36</v>
      </c>
      <c r="B4" s="122"/>
      <c r="C4" s="122"/>
      <c r="D4" s="122"/>
      <c r="E4" s="122"/>
      <c r="F4" s="122"/>
      <c r="G4" s="122"/>
      <c r="H4" s="122"/>
      <c r="I4" s="122"/>
    </row>
    <row r="5" spans="1:9" ht="13.35" customHeight="1" x14ac:dyDescent="0.15">
      <c r="B5" s="3"/>
      <c r="C5" s="3"/>
      <c r="D5" s="3"/>
      <c r="E5" s="3"/>
      <c r="F5" s="3"/>
      <c r="G5" s="3"/>
      <c r="H5" s="3"/>
      <c r="I5" s="3"/>
    </row>
    <row r="6" spans="1:9" ht="18" customHeight="1" x14ac:dyDescent="0.15">
      <c r="A6" s="1" t="s">
        <v>0</v>
      </c>
      <c r="B6" s="10" t="s">
        <v>81</v>
      </c>
      <c r="C6" s="223" t="s">
        <v>82</v>
      </c>
      <c r="D6" s="223"/>
      <c r="E6" s="17">
        <v>129</v>
      </c>
      <c r="F6" s="3" t="s">
        <v>1</v>
      </c>
      <c r="G6" s="3" t="s">
        <v>2</v>
      </c>
      <c r="H6" s="17">
        <v>23</v>
      </c>
      <c r="I6" s="10" t="s">
        <v>1</v>
      </c>
    </row>
    <row r="7" spans="1:9" ht="12" customHeight="1" x14ac:dyDescent="0.15">
      <c r="C7" s="2"/>
      <c r="D7" s="2"/>
      <c r="E7" s="2"/>
      <c r="F7" s="2"/>
      <c r="G7" s="2"/>
      <c r="H7" s="2"/>
      <c r="I7" s="21"/>
    </row>
    <row r="8" spans="1:9" ht="18" customHeight="1" x14ac:dyDescent="0.15">
      <c r="A8" s="1" t="s">
        <v>3</v>
      </c>
      <c r="B8" s="10" t="s">
        <v>83</v>
      </c>
      <c r="E8" s="3"/>
      <c r="F8" s="3"/>
      <c r="G8" s="3"/>
      <c r="H8" s="17">
        <v>5</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16" t="s">
        <v>152</v>
      </c>
      <c r="D11" s="219"/>
      <c r="E11" s="220"/>
      <c r="F11" s="21"/>
      <c r="G11" s="18" t="s">
        <v>10</v>
      </c>
      <c r="H11" s="221" t="s">
        <v>153</v>
      </c>
      <c r="I11" s="222"/>
    </row>
    <row r="12" spans="1:9" ht="10.3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16" t="s">
        <v>154</v>
      </c>
      <c r="C14" s="217"/>
      <c r="D14" s="217"/>
      <c r="E14" s="217"/>
      <c r="F14" s="217"/>
      <c r="G14" s="217"/>
      <c r="H14" s="217"/>
      <c r="I14" s="218"/>
    </row>
    <row r="15" spans="1:9" ht="9" customHeight="1" x14ac:dyDescent="0.15">
      <c r="B15" s="3" t="s">
        <v>155</v>
      </c>
      <c r="C15" s="3"/>
      <c r="D15" s="3"/>
      <c r="E15" s="3"/>
      <c r="F15" s="3"/>
      <c r="G15" s="3"/>
      <c r="H15" s="3"/>
      <c r="I15" s="3"/>
    </row>
    <row r="16" spans="1:9" ht="18" customHeight="1" x14ac:dyDescent="0.15">
      <c r="B16" s="18" t="s">
        <v>41</v>
      </c>
      <c r="C16" s="216" t="s">
        <v>156</v>
      </c>
      <c r="D16" s="219"/>
      <c r="E16" s="220"/>
      <c r="F16" s="21"/>
      <c r="G16" s="18" t="s">
        <v>10</v>
      </c>
      <c r="H16" s="216" t="s">
        <v>157</v>
      </c>
      <c r="I16" s="220"/>
    </row>
    <row r="17" spans="1:9" ht="18" customHeight="1" x14ac:dyDescent="0.15">
      <c r="B17" s="3"/>
      <c r="C17" s="3"/>
      <c r="D17" s="3"/>
      <c r="E17" s="3"/>
      <c r="F17" s="3"/>
      <c r="G17" s="3"/>
      <c r="H17" s="3"/>
      <c r="I17" s="3"/>
    </row>
    <row r="18" spans="1:9" ht="18.75" customHeight="1" x14ac:dyDescent="0.15">
      <c r="A18" s="1" t="s">
        <v>5</v>
      </c>
      <c r="B18" s="1" t="s">
        <v>40</v>
      </c>
      <c r="I18" s="3"/>
    </row>
    <row r="19" spans="1:9" ht="33" customHeight="1" x14ac:dyDescent="0.15">
      <c r="A19" s="1"/>
      <c r="B19" s="202" t="s">
        <v>191</v>
      </c>
      <c r="C19" s="203"/>
      <c r="D19" s="203"/>
      <c r="E19" s="203"/>
      <c r="F19" s="203"/>
      <c r="G19" s="203"/>
      <c r="H19" s="203"/>
      <c r="I19" s="20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05" t="s">
        <v>164</v>
      </c>
      <c r="C22" s="206"/>
      <c r="D22" s="206"/>
      <c r="E22" s="206"/>
      <c r="F22" s="206"/>
      <c r="G22" s="206"/>
      <c r="H22" s="206"/>
      <c r="I22" s="207"/>
    </row>
    <row r="23" spans="1:9" ht="18.75" customHeight="1" x14ac:dyDescent="0.15">
      <c r="A23" s="14"/>
      <c r="B23" s="208"/>
      <c r="C23" s="209"/>
      <c r="D23" s="209"/>
      <c r="E23" s="209"/>
      <c r="F23" s="209"/>
      <c r="G23" s="209"/>
      <c r="H23" s="209"/>
      <c r="I23" s="210"/>
    </row>
    <row r="24" spans="1:9" ht="18.75" customHeight="1" x14ac:dyDescent="0.15">
      <c r="A24" s="14"/>
      <c r="B24" s="208"/>
      <c r="C24" s="209"/>
      <c r="D24" s="209"/>
      <c r="E24" s="209"/>
      <c r="F24" s="209"/>
      <c r="G24" s="209"/>
      <c r="H24" s="209"/>
      <c r="I24" s="210"/>
    </row>
    <row r="25" spans="1:9" ht="18.75" customHeight="1" x14ac:dyDescent="0.15">
      <c r="A25" s="14"/>
      <c r="B25" s="208"/>
      <c r="C25" s="209"/>
      <c r="D25" s="209"/>
      <c r="E25" s="209"/>
      <c r="F25" s="209"/>
      <c r="G25" s="209"/>
      <c r="H25" s="209"/>
      <c r="I25" s="210"/>
    </row>
    <row r="26" spans="1:9" ht="18.75" customHeight="1" x14ac:dyDescent="0.15">
      <c r="A26" s="14"/>
      <c r="B26" s="208"/>
      <c r="C26" s="209"/>
      <c r="D26" s="209"/>
      <c r="E26" s="209"/>
      <c r="F26" s="209"/>
      <c r="G26" s="209"/>
      <c r="H26" s="209"/>
      <c r="I26" s="210"/>
    </row>
    <row r="27" spans="1:9" ht="18.75" customHeight="1" x14ac:dyDescent="0.15">
      <c r="A27" s="14"/>
      <c r="B27" s="208"/>
      <c r="C27" s="209"/>
      <c r="D27" s="209"/>
      <c r="E27" s="209"/>
      <c r="F27" s="209"/>
      <c r="G27" s="209"/>
      <c r="H27" s="209"/>
      <c r="I27" s="210"/>
    </row>
    <row r="28" spans="1:9" ht="18.75" customHeight="1" x14ac:dyDescent="0.15">
      <c r="A28" s="14"/>
      <c r="B28" s="208"/>
      <c r="C28" s="209"/>
      <c r="D28" s="209"/>
      <c r="E28" s="209"/>
      <c r="F28" s="209"/>
      <c r="G28" s="209"/>
      <c r="H28" s="209"/>
      <c r="I28" s="210"/>
    </row>
    <row r="29" spans="1:9" ht="18.75" customHeight="1" x14ac:dyDescent="0.15">
      <c r="A29" s="14"/>
      <c r="B29" s="208"/>
      <c r="C29" s="209"/>
      <c r="D29" s="209"/>
      <c r="E29" s="209"/>
      <c r="F29" s="209"/>
      <c r="G29" s="209"/>
      <c r="H29" s="209"/>
      <c r="I29" s="210"/>
    </row>
    <row r="30" spans="1:9" ht="18.75" customHeight="1" x14ac:dyDescent="0.15">
      <c r="A30" s="14"/>
      <c r="B30" s="211"/>
      <c r="C30" s="212"/>
      <c r="D30" s="212"/>
      <c r="E30" s="212"/>
      <c r="F30" s="212"/>
      <c r="G30" s="212"/>
      <c r="H30" s="212"/>
      <c r="I30" s="210"/>
    </row>
    <row r="31" spans="1:9" ht="18.75" customHeight="1" x14ac:dyDescent="0.15">
      <c r="A31" s="14"/>
      <c r="B31" s="211"/>
      <c r="C31" s="212"/>
      <c r="D31" s="212"/>
      <c r="E31" s="212"/>
      <c r="F31" s="212"/>
      <c r="G31" s="212"/>
      <c r="H31" s="212"/>
      <c r="I31" s="210"/>
    </row>
    <row r="32" spans="1:9" ht="18.75" customHeight="1" x14ac:dyDescent="0.15">
      <c r="A32" s="14"/>
      <c r="B32" s="213"/>
      <c r="C32" s="214"/>
      <c r="D32" s="214"/>
      <c r="E32" s="214"/>
      <c r="F32" s="214"/>
      <c r="G32" s="214"/>
      <c r="H32" s="214"/>
      <c r="I32" s="21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5" t="s">
        <v>165</v>
      </c>
      <c r="C35" s="206"/>
      <c r="D35" s="206"/>
      <c r="E35" s="206"/>
      <c r="F35" s="206"/>
      <c r="G35" s="206"/>
      <c r="H35" s="206"/>
      <c r="I35" s="207"/>
    </row>
    <row r="36" spans="1:9" ht="18.75" customHeight="1" x14ac:dyDescent="0.15">
      <c r="A36" s="14"/>
      <c r="B36" s="211"/>
      <c r="C36" s="212"/>
      <c r="D36" s="212"/>
      <c r="E36" s="212"/>
      <c r="F36" s="212"/>
      <c r="G36" s="212"/>
      <c r="H36" s="212"/>
      <c r="I36" s="210"/>
    </row>
    <row r="37" spans="1:9" ht="18.75" customHeight="1" x14ac:dyDescent="0.15">
      <c r="A37" s="14"/>
      <c r="B37" s="211"/>
      <c r="C37" s="212"/>
      <c r="D37" s="212"/>
      <c r="E37" s="212"/>
      <c r="F37" s="212"/>
      <c r="G37" s="212"/>
      <c r="H37" s="212"/>
      <c r="I37" s="210"/>
    </row>
    <row r="38" spans="1:9" ht="18.75" customHeight="1" x14ac:dyDescent="0.15">
      <c r="A38" s="14"/>
      <c r="B38" s="211"/>
      <c r="C38" s="212"/>
      <c r="D38" s="212"/>
      <c r="E38" s="212"/>
      <c r="F38" s="212"/>
      <c r="G38" s="212"/>
      <c r="H38" s="212"/>
      <c r="I38" s="210"/>
    </row>
    <row r="39" spans="1:9" ht="18.75" customHeight="1" x14ac:dyDescent="0.15">
      <c r="A39" s="14"/>
      <c r="B39" s="211"/>
      <c r="C39" s="212"/>
      <c r="D39" s="212"/>
      <c r="E39" s="212"/>
      <c r="F39" s="212"/>
      <c r="G39" s="212"/>
      <c r="H39" s="212"/>
      <c r="I39" s="210"/>
    </row>
    <row r="40" spans="1:9" ht="18.75" customHeight="1" x14ac:dyDescent="0.15">
      <c r="A40" s="14"/>
      <c r="B40" s="211"/>
      <c r="C40" s="212"/>
      <c r="D40" s="212"/>
      <c r="E40" s="212"/>
      <c r="F40" s="212"/>
      <c r="G40" s="212"/>
      <c r="H40" s="212"/>
      <c r="I40" s="210"/>
    </row>
    <row r="41" spans="1:9" ht="18.75" customHeight="1" x14ac:dyDescent="0.15">
      <c r="A41" s="14"/>
      <c r="B41" s="211"/>
      <c r="C41" s="212"/>
      <c r="D41" s="212"/>
      <c r="E41" s="212"/>
      <c r="F41" s="212"/>
      <c r="G41" s="212"/>
      <c r="H41" s="212"/>
      <c r="I41" s="210"/>
    </row>
    <row r="42" spans="1:9" ht="18.75" customHeight="1" x14ac:dyDescent="0.15">
      <c r="A42" s="14"/>
      <c r="B42" s="211"/>
      <c r="C42" s="212"/>
      <c r="D42" s="212"/>
      <c r="E42" s="212"/>
      <c r="F42" s="212"/>
      <c r="G42" s="212"/>
      <c r="H42" s="212"/>
      <c r="I42" s="210"/>
    </row>
    <row r="43" spans="1:9" ht="18.75" customHeight="1" x14ac:dyDescent="0.15">
      <c r="A43" s="14"/>
      <c r="B43" s="211"/>
      <c r="C43" s="212"/>
      <c r="D43" s="212"/>
      <c r="E43" s="212"/>
      <c r="F43" s="212"/>
      <c r="G43" s="212"/>
      <c r="H43" s="212"/>
      <c r="I43" s="210"/>
    </row>
    <row r="44" spans="1:9" ht="18.75" customHeight="1" x14ac:dyDescent="0.15">
      <c r="A44" s="14"/>
      <c r="B44" s="211"/>
      <c r="C44" s="212"/>
      <c r="D44" s="212"/>
      <c r="E44" s="212"/>
      <c r="F44" s="212"/>
      <c r="G44" s="212"/>
      <c r="H44" s="212"/>
      <c r="I44" s="210"/>
    </row>
    <row r="45" spans="1:9" ht="18.75" customHeight="1" x14ac:dyDescent="0.15">
      <c r="A45" s="14"/>
      <c r="B45" s="211"/>
      <c r="C45" s="212"/>
      <c r="D45" s="212"/>
      <c r="E45" s="212"/>
      <c r="F45" s="212"/>
      <c r="G45" s="212"/>
      <c r="H45" s="212"/>
      <c r="I45" s="210"/>
    </row>
    <row r="46" spans="1:9" ht="18.75" customHeight="1" x14ac:dyDescent="0.15">
      <c r="A46" s="14"/>
      <c r="B46" s="213"/>
      <c r="C46" s="214"/>
      <c r="D46" s="214"/>
      <c r="E46" s="214"/>
      <c r="F46" s="214"/>
      <c r="G46" s="214"/>
      <c r="H46" s="214"/>
      <c r="I46" s="215"/>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190">
        <f>'様式２ 履修者等数の実績'!S33</f>
        <v>0.12181818181818181</v>
      </c>
      <c r="D49" s="190"/>
      <c r="E49" s="79" t="s">
        <v>60</v>
      </c>
      <c r="F49" s="190">
        <v>0.24</v>
      </c>
      <c r="G49" s="190"/>
      <c r="H49" s="79" t="s">
        <v>80</v>
      </c>
      <c r="I49" s="22">
        <v>0.36</v>
      </c>
      <c r="J49" s="1"/>
      <c r="M49" s="1"/>
      <c r="N49" s="23"/>
    </row>
    <row r="50" spans="1:15" s="3" customFormat="1" ht="18.75" customHeight="1" x14ac:dyDescent="0.15">
      <c r="B50" s="80" t="s">
        <v>116</v>
      </c>
      <c r="C50" s="191">
        <v>0.48</v>
      </c>
      <c r="D50" s="191"/>
      <c r="E50" s="80" t="s">
        <v>130</v>
      </c>
      <c r="F50" s="171">
        <v>0.6</v>
      </c>
      <c r="G50" s="171"/>
      <c r="H50" s="83" t="s">
        <v>61</v>
      </c>
      <c r="I50" s="24">
        <f>'様式２ 履修者等数の実績'!E33</f>
        <v>1100</v>
      </c>
      <c r="J50" s="1"/>
      <c r="M50" s="1"/>
      <c r="N50" s="23"/>
    </row>
    <row r="51" spans="1:15" ht="18.75" customHeight="1" x14ac:dyDescent="0.15">
      <c r="A51" s="1"/>
      <c r="B51" s="234" t="s">
        <v>62</v>
      </c>
      <c r="C51" s="235"/>
      <c r="D51" s="235"/>
      <c r="E51" s="235"/>
      <c r="F51" s="235"/>
      <c r="G51" s="235"/>
      <c r="H51" s="235"/>
      <c r="I51" s="236"/>
      <c r="N51" s="23"/>
      <c r="O51" s="3"/>
    </row>
    <row r="52" spans="1:15" ht="18.75" customHeight="1" x14ac:dyDescent="0.15">
      <c r="A52" s="1"/>
      <c r="B52" s="192" t="s">
        <v>188</v>
      </c>
      <c r="C52" s="193"/>
      <c r="D52" s="193"/>
      <c r="E52" s="193"/>
      <c r="F52" s="193"/>
      <c r="G52" s="193"/>
      <c r="H52" s="193"/>
      <c r="I52" s="194"/>
      <c r="N52" s="23"/>
      <c r="O52" s="3"/>
    </row>
    <row r="53" spans="1:15" ht="18.75" customHeight="1" x14ac:dyDescent="0.15">
      <c r="A53" s="1"/>
      <c r="B53" s="195"/>
      <c r="C53" s="196"/>
      <c r="D53" s="196"/>
      <c r="E53" s="196"/>
      <c r="F53" s="196"/>
      <c r="G53" s="196"/>
      <c r="H53" s="196"/>
      <c r="I53" s="197"/>
      <c r="N53" s="23"/>
      <c r="O53" s="3"/>
    </row>
    <row r="54" spans="1:15" ht="18.75" customHeight="1" x14ac:dyDescent="0.15">
      <c r="A54" s="1"/>
      <c r="B54" s="195"/>
      <c r="C54" s="196"/>
      <c r="D54" s="196"/>
      <c r="E54" s="196"/>
      <c r="F54" s="196"/>
      <c r="G54" s="196"/>
      <c r="H54" s="196"/>
      <c r="I54" s="197"/>
    </row>
    <row r="55" spans="1:15" ht="18.75" customHeight="1" x14ac:dyDescent="0.15">
      <c r="A55" s="1"/>
      <c r="B55" s="195"/>
      <c r="C55" s="196"/>
      <c r="D55" s="196"/>
      <c r="E55" s="196"/>
      <c r="F55" s="196"/>
      <c r="G55" s="196"/>
      <c r="H55" s="196"/>
      <c r="I55" s="197"/>
    </row>
    <row r="56" spans="1:15" ht="18.75" customHeight="1" x14ac:dyDescent="0.15">
      <c r="A56" s="1"/>
      <c r="B56" s="195"/>
      <c r="C56" s="196"/>
      <c r="D56" s="196"/>
      <c r="E56" s="196"/>
      <c r="F56" s="196"/>
      <c r="G56" s="196"/>
      <c r="H56" s="196"/>
      <c r="I56" s="197"/>
    </row>
    <row r="57" spans="1:15" ht="18.75" customHeight="1" x14ac:dyDescent="0.15">
      <c r="A57" s="1"/>
      <c r="B57" s="195"/>
      <c r="C57" s="196"/>
      <c r="D57" s="196"/>
      <c r="E57" s="196"/>
      <c r="F57" s="196"/>
      <c r="G57" s="196"/>
      <c r="H57" s="196"/>
      <c r="I57" s="197"/>
    </row>
    <row r="58" spans="1:15" ht="18.75" customHeight="1" x14ac:dyDescent="0.15">
      <c r="A58" s="1"/>
      <c r="B58" s="195"/>
      <c r="C58" s="196"/>
      <c r="D58" s="196"/>
      <c r="E58" s="196"/>
      <c r="F58" s="196"/>
      <c r="G58" s="196"/>
      <c r="H58" s="196"/>
      <c r="I58" s="197"/>
    </row>
    <row r="59" spans="1:15" ht="18.75" customHeight="1" x14ac:dyDescent="0.15">
      <c r="A59" s="1"/>
      <c r="B59" s="195"/>
      <c r="C59" s="196"/>
      <c r="D59" s="196"/>
      <c r="E59" s="196"/>
      <c r="F59" s="196"/>
      <c r="G59" s="196"/>
      <c r="H59" s="196"/>
      <c r="I59" s="197"/>
    </row>
    <row r="60" spans="1:15" ht="18.75" customHeight="1" x14ac:dyDescent="0.15">
      <c r="A60" s="1"/>
      <c r="B60" s="195"/>
      <c r="C60" s="196"/>
      <c r="D60" s="196"/>
      <c r="E60" s="196"/>
      <c r="F60" s="196"/>
      <c r="G60" s="196"/>
      <c r="H60" s="196"/>
      <c r="I60" s="197"/>
    </row>
    <row r="61" spans="1:15" ht="18.75" customHeight="1" x14ac:dyDescent="0.15">
      <c r="A61" s="1"/>
      <c r="B61" s="195"/>
      <c r="C61" s="196"/>
      <c r="D61" s="196"/>
      <c r="E61" s="196"/>
      <c r="F61" s="196"/>
      <c r="G61" s="196"/>
      <c r="H61" s="196"/>
      <c r="I61" s="197"/>
    </row>
    <row r="62" spans="1:15" ht="18.75" customHeight="1" x14ac:dyDescent="0.15">
      <c r="A62" s="1"/>
      <c r="B62" s="195"/>
      <c r="C62" s="196"/>
      <c r="D62" s="196"/>
      <c r="E62" s="196"/>
      <c r="F62" s="196"/>
      <c r="G62" s="196"/>
      <c r="H62" s="196"/>
      <c r="I62" s="197"/>
    </row>
    <row r="63" spans="1:15" ht="18.75" customHeight="1" x14ac:dyDescent="0.15">
      <c r="A63" s="1"/>
      <c r="B63" s="198"/>
      <c r="C63" s="199"/>
      <c r="D63" s="199"/>
      <c r="E63" s="199"/>
      <c r="F63" s="199"/>
      <c r="G63" s="199"/>
      <c r="H63" s="199"/>
      <c r="I63" s="200"/>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72" t="s">
        <v>189</v>
      </c>
      <c r="C66" s="173"/>
      <c r="D66" s="173"/>
      <c r="E66" s="173"/>
      <c r="F66" s="173"/>
      <c r="G66" s="173"/>
      <c r="H66" s="173"/>
      <c r="I66" s="174"/>
    </row>
    <row r="67" spans="1:9" ht="18.75" customHeight="1" x14ac:dyDescent="0.15">
      <c r="A67" s="4"/>
      <c r="B67" s="175"/>
      <c r="C67" s="176"/>
      <c r="D67" s="176"/>
      <c r="E67" s="176"/>
      <c r="F67" s="176"/>
      <c r="G67" s="176"/>
      <c r="H67" s="176"/>
      <c r="I67" s="177"/>
    </row>
    <row r="68" spans="1:9" ht="18.75" customHeight="1" x14ac:dyDescent="0.15">
      <c r="A68" s="4"/>
      <c r="B68" s="175"/>
      <c r="C68" s="176"/>
      <c r="D68" s="176"/>
      <c r="E68" s="176"/>
      <c r="F68" s="176"/>
      <c r="G68" s="176"/>
      <c r="H68" s="176"/>
      <c r="I68" s="177"/>
    </row>
    <row r="69" spans="1:9" ht="18.75" customHeight="1" x14ac:dyDescent="0.15">
      <c r="A69" s="4"/>
      <c r="B69" s="175"/>
      <c r="C69" s="176"/>
      <c r="D69" s="176"/>
      <c r="E69" s="176"/>
      <c r="F69" s="176"/>
      <c r="G69" s="176"/>
      <c r="H69" s="176"/>
      <c r="I69" s="177"/>
    </row>
    <row r="70" spans="1:9" ht="18.75" customHeight="1" x14ac:dyDescent="0.15">
      <c r="A70" s="4"/>
      <c r="B70" s="175"/>
      <c r="C70" s="176"/>
      <c r="D70" s="176"/>
      <c r="E70" s="176"/>
      <c r="F70" s="176"/>
      <c r="G70" s="176"/>
      <c r="H70" s="176"/>
      <c r="I70" s="177"/>
    </row>
    <row r="71" spans="1:9" ht="18.75" customHeight="1" x14ac:dyDescent="0.15">
      <c r="A71" s="4"/>
      <c r="B71" s="175"/>
      <c r="C71" s="176"/>
      <c r="D71" s="176"/>
      <c r="E71" s="176"/>
      <c r="F71" s="176"/>
      <c r="G71" s="176"/>
      <c r="H71" s="176"/>
      <c r="I71" s="177"/>
    </row>
    <row r="72" spans="1:9" ht="18.75" customHeight="1" x14ac:dyDescent="0.15">
      <c r="A72" s="4"/>
      <c r="B72" s="175"/>
      <c r="C72" s="176"/>
      <c r="D72" s="176"/>
      <c r="E72" s="176"/>
      <c r="F72" s="176"/>
      <c r="G72" s="176"/>
      <c r="H72" s="176"/>
      <c r="I72" s="177"/>
    </row>
    <row r="73" spans="1:9" ht="18.75" customHeight="1" x14ac:dyDescent="0.15">
      <c r="A73" s="4"/>
      <c r="B73" s="175"/>
      <c r="C73" s="176"/>
      <c r="D73" s="176"/>
      <c r="E73" s="176"/>
      <c r="F73" s="176"/>
      <c r="G73" s="176"/>
      <c r="H73" s="176"/>
      <c r="I73" s="177"/>
    </row>
    <row r="74" spans="1:9" ht="18.75" customHeight="1" x14ac:dyDescent="0.15">
      <c r="A74" s="4"/>
      <c r="B74" s="175"/>
      <c r="C74" s="176"/>
      <c r="D74" s="176"/>
      <c r="E74" s="176"/>
      <c r="F74" s="176"/>
      <c r="G74" s="176"/>
      <c r="H74" s="176"/>
      <c r="I74" s="177"/>
    </row>
    <row r="75" spans="1:9" ht="18.75" customHeight="1" x14ac:dyDescent="0.15">
      <c r="A75" s="4"/>
      <c r="B75" s="175"/>
      <c r="C75" s="176"/>
      <c r="D75" s="176"/>
      <c r="E75" s="176"/>
      <c r="F75" s="176"/>
      <c r="G75" s="176"/>
      <c r="H75" s="176"/>
      <c r="I75" s="177"/>
    </row>
    <row r="76" spans="1:9" ht="18.75" customHeight="1" x14ac:dyDescent="0.15">
      <c r="A76" s="4"/>
      <c r="B76" s="175"/>
      <c r="C76" s="176"/>
      <c r="D76" s="176"/>
      <c r="E76" s="176"/>
      <c r="F76" s="176"/>
      <c r="G76" s="176"/>
      <c r="H76" s="176"/>
      <c r="I76" s="177"/>
    </row>
    <row r="77" spans="1:9" ht="18.75" customHeight="1" x14ac:dyDescent="0.15">
      <c r="A77" s="4"/>
      <c r="B77" s="178"/>
      <c r="C77" s="179"/>
      <c r="D77" s="179"/>
      <c r="E77" s="179"/>
      <c r="F77" s="179"/>
      <c r="G77" s="179"/>
      <c r="H77" s="179"/>
      <c r="I77" s="180"/>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81" t="s">
        <v>166</v>
      </c>
      <c r="C80" s="182"/>
      <c r="D80" s="182"/>
      <c r="E80" s="182"/>
      <c r="F80" s="182"/>
      <c r="G80" s="182"/>
      <c r="H80" s="182"/>
      <c r="I80" s="183"/>
    </row>
    <row r="81" spans="1:9" ht="18.75" customHeight="1" x14ac:dyDescent="0.15">
      <c r="A81" s="1"/>
      <c r="B81" s="184"/>
      <c r="C81" s="185"/>
      <c r="D81" s="185"/>
      <c r="E81" s="185"/>
      <c r="F81" s="185"/>
      <c r="G81" s="185"/>
      <c r="H81" s="185"/>
      <c r="I81" s="186"/>
    </row>
    <row r="82" spans="1:9" ht="18.75" customHeight="1" x14ac:dyDescent="0.15">
      <c r="A82" s="1"/>
      <c r="B82" s="184"/>
      <c r="C82" s="185"/>
      <c r="D82" s="185"/>
      <c r="E82" s="185"/>
      <c r="F82" s="185"/>
      <c r="G82" s="185"/>
      <c r="H82" s="185"/>
      <c r="I82" s="186"/>
    </row>
    <row r="83" spans="1:9" ht="18.75" customHeight="1" x14ac:dyDescent="0.15">
      <c r="A83" s="1"/>
      <c r="B83" s="184"/>
      <c r="C83" s="185"/>
      <c r="D83" s="185"/>
      <c r="E83" s="185"/>
      <c r="F83" s="185"/>
      <c r="G83" s="185"/>
      <c r="H83" s="185"/>
      <c r="I83" s="186"/>
    </row>
    <row r="84" spans="1:9" ht="18.75" customHeight="1" x14ac:dyDescent="0.15">
      <c r="A84" s="1"/>
      <c r="B84" s="184"/>
      <c r="C84" s="185"/>
      <c r="D84" s="185"/>
      <c r="E84" s="185"/>
      <c r="F84" s="185"/>
      <c r="G84" s="185"/>
      <c r="H84" s="185"/>
      <c r="I84" s="186"/>
    </row>
    <row r="85" spans="1:9" ht="18.75" customHeight="1" x14ac:dyDescent="0.15">
      <c r="A85" s="1"/>
      <c r="B85" s="184"/>
      <c r="C85" s="185"/>
      <c r="D85" s="185"/>
      <c r="E85" s="185"/>
      <c r="F85" s="185"/>
      <c r="G85" s="185"/>
      <c r="H85" s="185"/>
      <c r="I85" s="186"/>
    </row>
    <row r="86" spans="1:9" ht="18.75" customHeight="1" x14ac:dyDescent="0.15">
      <c r="A86" s="1"/>
      <c r="B86" s="184"/>
      <c r="C86" s="185"/>
      <c r="D86" s="185"/>
      <c r="E86" s="185"/>
      <c r="F86" s="185"/>
      <c r="G86" s="185"/>
      <c r="H86" s="185"/>
      <c r="I86" s="186"/>
    </row>
    <row r="87" spans="1:9" ht="18.75" customHeight="1" x14ac:dyDescent="0.15">
      <c r="A87" s="1"/>
      <c r="B87" s="184"/>
      <c r="C87" s="185"/>
      <c r="D87" s="185"/>
      <c r="E87" s="185"/>
      <c r="F87" s="185"/>
      <c r="G87" s="185"/>
      <c r="H87" s="185"/>
      <c r="I87" s="186"/>
    </row>
    <row r="88" spans="1:9" ht="18.75" customHeight="1" x14ac:dyDescent="0.15">
      <c r="A88" s="1"/>
      <c r="B88" s="184"/>
      <c r="C88" s="185"/>
      <c r="D88" s="185"/>
      <c r="E88" s="185"/>
      <c r="F88" s="185"/>
      <c r="G88" s="185"/>
      <c r="H88" s="185"/>
      <c r="I88" s="186"/>
    </row>
    <row r="89" spans="1:9" ht="18.75" customHeight="1" x14ac:dyDescent="0.15">
      <c r="A89" s="1"/>
      <c r="B89" s="184"/>
      <c r="C89" s="185"/>
      <c r="D89" s="185"/>
      <c r="E89" s="185"/>
      <c r="F89" s="185"/>
      <c r="G89" s="185"/>
      <c r="H89" s="185"/>
      <c r="I89" s="186"/>
    </row>
    <row r="90" spans="1:9" ht="18.75" customHeight="1" x14ac:dyDescent="0.15">
      <c r="A90" s="4"/>
      <c r="B90" s="184"/>
      <c r="C90" s="185"/>
      <c r="D90" s="185"/>
      <c r="E90" s="185"/>
      <c r="F90" s="185"/>
      <c r="G90" s="185"/>
      <c r="H90" s="185"/>
      <c r="I90" s="186"/>
    </row>
    <row r="91" spans="1:9" ht="18.75" customHeight="1" x14ac:dyDescent="0.15">
      <c r="A91" s="4"/>
      <c r="B91" s="187"/>
      <c r="C91" s="188"/>
      <c r="D91" s="188"/>
      <c r="E91" s="188"/>
      <c r="F91" s="188"/>
      <c r="G91" s="188"/>
      <c r="H91" s="188"/>
      <c r="I91" s="189"/>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24" t="s">
        <v>187</v>
      </c>
      <c r="C94" s="225"/>
      <c r="D94" s="225"/>
      <c r="E94" s="225"/>
      <c r="F94" s="225"/>
      <c r="G94" s="225"/>
      <c r="H94" s="225"/>
      <c r="I94" s="226"/>
    </row>
    <row r="95" spans="1:9" ht="18.75" customHeight="1" x14ac:dyDescent="0.15">
      <c r="A95" s="1"/>
      <c r="B95" s="227"/>
      <c r="C95" s="228"/>
      <c r="D95" s="228"/>
      <c r="E95" s="228"/>
      <c r="F95" s="228"/>
      <c r="G95" s="228"/>
      <c r="H95" s="228"/>
      <c r="I95" s="229"/>
    </row>
    <row r="96" spans="1:9" ht="18.75" customHeight="1" x14ac:dyDescent="0.15">
      <c r="A96" s="1"/>
      <c r="B96" s="227"/>
      <c r="C96" s="228"/>
      <c r="D96" s="228"/>
      <c r="E96" s="228"/>
      <c r="F96" s="228"/>
      <c r="G96" s="228"/>
      <c r="H96" s="228"/>
      <c r="I96" s="229"/>
    </row>
    <row r="97" spans="1:9" ht="18.75" customHeight="1" x14ac:dyDescent="0.15">
      <c r="A97" s="1"/>
      <c r="B97" s="227"/>
      <c r="C97" s="228"/>
      <c r="D97" s="228"/>
      <c r="E97" s="228"/>
      <c r="F97" s="228"/>
      <c r="G97" s="228"/>
      <c r="H97" s="228"/>
      <c r="I97" s="229"/>
    </row>
    <row r="98" spans="1:9" ht="18.75" customHeight="1" x14ac:dyDescent="0.15">
      <c r="A98" s="1"/>
      <c r="B98" s="227"/>
      <c r="C98" s="228"/>
      <c r="D98" s="228"/>
      <c r="E98" s="228"/>
      <c r="F98" s="228"/>
      <c r="G98" s="228"/>
      <c r="H98" s="228"/>
      <c r="I98" s="229"/>
    </row>
    <row r="99" spans="1:9" ht="18.75" customHeight="1" x14ac:dyDescent="0.15">
      <c r="A99" s="1"/>
      <c r="B99" s="227"/>
      <c r="C99" s="228"/>
      <c r="D99" s="228"/>
      <c r="E99" s="228"/>
      <c r="F99" s="228"/>
      <c r="G99" s="228"/>
      <c r="H99" s="228"/>
      <c r="I99" s="229"/>
    </row>
    <row r="100" spans="1:9" ht="18.75" customHeight="1" x14ac:dyDescent="0.15">
      <c r="A100" s="1"/>
      <c r="B100" s="227"/>
      <c r="C100" s="228"/>
      <c r="D100" s="228"/>
      <c r="E100" s="228"/>
      <c r="F100" s="228"/>
      <c r="G100" s="228"/>
      <c r="H100" s="228"/>
      <c r="I100" s="229"/>
    </row>
    <row r="101" spans="1:9" ht="18.75" customHeight="1" x14ac:dyDescent="0.15">
      <c r="A101" s="1"/>
      <c r="B101" s="227"/>
      <c r="C101" s="228"/>
      <c r="D101" s="228"/>
      <c r="E101" s="228"/>
      <c r="F101" s="228"/>
      <c r="G101" s="228"/>
      <c r="H101" s="228"/>
      <c r="I101" s="229"/>
    </row>
    <row r="102" spans="1:9" ht="18.75" customHeight="1" x14ac:dyDescent="0.15">
      <c r="A102" s="1"/>
      <c r="B102" s="227"/>
      <c r="C102" s="228"/>
      <c r="D102" s="228"/>
      <c r="E102" s="228"/>
      <c r="F102" s="228"/>
      <c r="G102" s="228"/>
      <c r="H102" s="228"/>
      <c r="I102" s="229"/>
    </row>
    <row r="103" spans="1:9" ht="18.75" customHeight="1" x14ac:dyDescent="0.15">
      <c r="A103" s="1"/>
      <c r="B103" s="227"/>
      <c r="C103" s="228"/>
      <c r="D103" s="228"/>
      <c r="E103" s="228"/>
      <c r="F103" s="228"/>
      <c r="G103" s="228"/>
      <c r="H103" s="228"/>
      <c r="I103" s="229"/>
    </row>
    <row r="104" spans="1:9" ht="18.75" customHeight="1" x14ac:dyDescent="0.15">
      <c r="A104" s="1"/>
      <c r="B104" s="227"/>
      <c r="C104" s="228"/>
      <c r="D104" s="228"/>
      <c r="E104" s="228"/>
      <c r="F104" s="228"/>
      <c r="G104" s="228"/>
      <c r="H104" s="228"/>
      <c r="I104" s="229"/>
    </row>
    <row r="105" spans="1:9" ht="18.75" customHeight="1" x14ac:dyDescent="0.15">
      <c r="A105" s="4"/>
      <c r="B105" s="230"/>
      <c r="C105" s="231"/>
      <c r="D105" s="231"/>
      <c r="E105" s="231"/>
      <c r="F105" s="231"/>
      <c r="G105" s="231"/>
      <c r="H105" s="231"/>
      <c r="I105" s="232"/>
    </row>
    <row r="106" spans="1:9" ht="7.5" customHeight="1" x14ac:dyDescent="0.15">
      <c r="A106" s="4"/>
      <c r="B106" s="4"/>
      <c r="C106" s="4"/>
      <c r="D106" s="4"/>
      <c r="E106" s="4"/>
      <c r="F106" s="4"/>
      <c r="G106" s="4"/>
      <c r="H106" s="4"/>
      <c r="I106" s="4"/>
    </row>
    <row r="107" spans="1:9" ht="18.75" customHeight="1" x14ac:dyDescent="0.15">
      <c r="A107" s="1" t="s">
        <v>30</v>
      </c>
      <c r="B107" s="233" t="s">
        <v>44</v>
      </c>
      <c r="C107" s="233"/>
      <c r="D107" s="233"/>
      <c r="E107" s="233"/>
      <c r="F107" s="233"/>
      <c r="G107" s="233"/>
      <c r="H107" s="233"/>
      <c r="I107" s="233"/>
    </row>
    <row r="108" spans="1:9" ht="18.75" customHeight="1" x14ac:dyDescent="0.15">
      <c r="A108" s="4"/>
      <c r="B108" s="205" t="s">
        <v>161</v>
      </c>
      <c r="C108" s="206"/>
      <c r="D108" s="206"/>
      <c r="E108" s="206"/>
      <c r="F108" s="206"/>
      <c r="G108" s="206"/>
      <c r="H108" s="206"/>
      <c r="I108" s="207"/>
    </row>
    <row r="109" spans="1:9" ht="18.75" customHeight="1" x14ac:dyDescent="0.15">
      <c r="A109" s="4"/>
      <c r="B109" s="211"/>
      <c r="C109" s="212"/>
      <c r="D109" s="212"/>
      <c r="E109" s="212"/>
      <c r="F109" s="212"/>
      <c r="G109" s="212"/>
      <c r="H109" s="212"/>
      <c r="I109" s="210"/>
    </row>
    <row r="110" spans="1:9" ht="18.75" customHeight="1" x14ac:dyDescent="0.15">
      <c r="A110" s="4"/>
      <c r="B110" s="211"/>
      <c r="C110" s="212"/>
      <c r="D110" s="212"/>
      <c r="E110" s="212"/>
      <c r="F110" s="212"/>
      <c r="G110" s="212"/>
      <c r="H110" s="212"/>
      <c r="I110" s="210"/>
    </row>
    <row r="111" spans="1:9" ht="18.75" customHeight="1" x14ac:dyDescent="0.15">
      <c r="A111" s="4"/>
      <c r="B111" s="211"/>
      <c r="C111" s="212"/>
      <c r="D111" s="212"/>
      <c r="E111" s="212"/>
      <c r="F111" s="212"/>
      <c r="G111" s="212"/>
      <c r="H111" s="212"/>
      <c r="I111" s="210"/>
    </row>
    <row r="112" spans="1:9" ht="18.75" customHeight="1" x14ac:dyDescent="0.15">
      <c r="A112" s="4"/>
      <c r="B112" s="211"/>
      <c r="C112" s="212"/>
      <c r="D112" s="212"/>
      <c r="E112" s="212"/>
      <c r="F112" s="212"/>
      <c r="G112" s="212"/>
      <c r="H112" s="212"/>
      <c r="I112" s="210"/>
    </row>
    <row r="113" spans="1:9" ht="18.75" customHeight="1" x14ac:dyDescent="0.15">
      <c r="A113" s="4"/>
      <c r="B113" s="211"/>
      <c r="C113" s="212"/>
      <c r="D113" s="212"/>
      <c r="E113" s="212"/>
      <c r="F113" s="212"/>
      <c r="G113" s="212"/>
      <c r="H113" s="212"/>
      <c r="I113" s="210"/>
    </row>
    <row r="114" spans="1:9" ht="18.75" customHeight="1" x14ac:dyDescent="0.15">
      <c r="A114" s="4"/>
      <c r="B114" s="211"/>
      <c r="C114" s="212"/>
      <c r="D114" s="212"/>
      <c r="E114" s="212"/>
      <c r="F114" s="212"/>
      <c r="G114" s="212"/>
      <c r="H114" s="212"/>
      <c r="I114" s="210"/>
    </row>
    <row r="115" spans="1:9" ht="18.75" customHeight="1" x14ac:dyDescent="0.15">
      <c r="A115" s="4"/>
      <c r="B115" s="211"/>
      <c r="C115" s="212"/>
      <c r="D115" s="212"/>
      <c r="E115" s="212"/>
      <c r="F115" s="212"/>
      <c r="G115" s="212"/>
      <c r="H115" s="212"/>
      <c r="I115" s="210"/>
    </row>
    <row r="116" spans="1:9" ht="18.75" customHeight="1" x14ac:dyDescent="0.15">
      <c r="A116" s="4"/>
      <c r="B116" s="211"/>
      <c r="C116" s="212"/>
      <c r="D116" s="212"/>
      <c r="E116" s="212"/>
      <c r="F116" s="212"/>
      <c r="G116" s="212"/>
      <c r="H116" s="212"/>
      <c r="I116" s="210"/>
    </row>
    <row r="117" spans="1:9" ht="18.75" customHeight="1" x14ac:dyDescent="0.15">
      <c r="A117" s="4"/>
      <c r="B117" s="211"/>
      <c r="C117" s="212"/>
      <c r="D117" s="212"/>
      <c r="E117" s="212"/>
      <c r="F117" s="212"/>
      <c r="G117" s="212"/>
      <c r="H117" s="212"/>
      <c r="I117" s="210"/>
    </row>
    <row r="118" spans="1:9" ht="18.75" customHeight="1" x14ac:dyDescent="0.15">
      <c r="A118" s="4"/>
      <c r="B118" s="211"/>
      <c r="C118" s="212"/>
      <c r="D118" s="212"/>
      <c r="E118" s="212"/>
      <c r="F118" s="212"/>
      <c r="G118" s="212"/>
      <c r="H118" s="212"/>
      <c r="I118" s="210"/>
    </row>
    <row r="119" spans="1:9" ht="18.75" customHeight="1" x14ac:dyDescent="0.15">
      <c r="A119" s="4"/>
      <c r="B119" s="213"/>
      <c r="C119" s="214"/>
      <c r="D119" s="214"/>
      <c r="E119" s="214"/>
      <c r="F119" s="214"/>
      <c r="G119" s="214"/>
      <c r="H119" s="214"/>
      <c r="I119" s="215"/>
    </row>
    <row r="120" spans="1:9" ht="7.5" customHeight="1" x14ac:dyDescent="0.15">
      <c r="A120" s="4"/>
      <c r="B120" s="25"/>
      <c r="C120" s="25"/>
      <c r="D120" s="25"/>
      <c r="E120" s="25"/>
      <c r="F120" s="25"/>
      <c r="G120" s="25"/>
      <c r="H120" s="25"/>
      <c r="I120" s="25"/>
    </row>
    <row r="121" spans="1:9" ht="18.75" customHeight="1" x14ac:dyDescent="0.15">
      <c r="A121" s="49"/>
      <c r="B121" s="201"/>
      <c r="C121" s="201"/>
      <c r="D121" s="201"/>
      <c r="E121" s="201"/>
      <c r="F121" s="201"/>
      <c r="G121" s="201"/>
      <c r="H121" s="201"/>
      <c r="I121" s="201"/>
    </row>
    <row r="122" spans="1:9" ht="18.75" customHeight="1" x14ac:dyDescent="0.15">
      <c r="A122" s="49"/>
      <c r="B122" s="201"/>
      <c r="C122" s="201"/>
      <c r="D122" s="201"/>
      <c r="E122" s="201"/>
      <c r="F122" s="201"/>
      <c r="G122" s="201"/>
      <c r="H122" s="201"/>
      <c r="I122" s="201"/>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O30"/>
  <sheetViews>
    <sheetView showZeros="0" view="pageBreakPreview" topLeftCell="A16" zoomScaleNormal="100" zoomScaleSheetLayoutView="100" workbookViewId="0">
      <selection activeCell="D18" sqref="D18"/>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5.625" style="1" customWidth="1"/>
    <col min="11" max="16384" width="11.375" style="1"/>
  </cols>
  <sheetData>
    <row r="1" spans="1:11" ht="18.75" customHeight="1" x14ac:dyDescent="0.15">
      <c r="A1" s="1" t="s">
        <v>63</v>
      </c>
      <c r="I1" s="18" t="s">
        <v>90</v>
      </c>
    </row>
    <row r="2" spans="1:11" ht="18.75" customHeight="1" x14ac:dyDescent="0.15">
      <c r="H2" s="18" t="s">
        <v>93</v>
      </c>
      <c r="I2" s="17" t="str">
        <f>'様式１　プログラムを構成する授業科目'!C2</f>
        <v>帯広畜産大学</v>
      </c>
    </row>
    <row r="3" spans="1:11" ht="18.75" customHeight="1" x14ac:dyDescent="0.15">
      <c r="A3" s="122" t="s">
        <v>28</v>
      </c>
      <c r="B3" s="122"/>
      <c r="C3" s="122"/>
      <c r="D3" s="122"/>
      <c r="E3" s="122"/>
      <c r="F3" s="122"/>
      <c r="G3" s="122"/>
      <c r="H3" s="122"/>
      <c r="I3" s="122"/>
    </row>
    <row r="4" spans="1:11" ht="18.75" customHeight="1" x14ac:dyDescent="0.15">
      <c r="A4" s="5"/>
      <c r="B4" s="5"/>
      <c r="C4" s="5"/>
      <c r="D4" s="5"/>
      <c r="E4" s="5"/>
      <c r="F4" s="5"/>
      <c r="G4" s="5"/>
      <c r="H4" s="5"/>
      <c r="I4" s="5"/>
    </row>
    <row r="5" spans="1:11" ht="18.75" customHeight="1" x14ac:dyDescent="0.15">
      <c r="A5" s="1" t="s">
        <v>0</v>
      </c>
      <c r="B5" s="10" t="s">
        <v>85</v>
      </c>
      <c r="C5" s="5"/>
      <c r="D5" s="5"/>
      <c r="E5" s="5"/>
      <c r="F5" s="5"/>
      <c r="G5" s="5"/>
      <c r="H5" s="5"/>
      <c r="I5" s="5"/>
    </row>
    <row r="6" spans="1:11" ht="26.25" customHeight="1" x14ac:dyDescent="0.15">
      <c r="A6" s="5"/>
      <c r="B6" s="216" t="s">
        <v>158</v>
      </c>
      <c r="C6" s="259"/>
      <c r="D6" s="259"/>
      <c r="E6" s="259"/>
      <c r="F6" s="259"/>
      <c r="G6" s="259"/>
      <c r="H6" s="260"/>
      <c r="I6" s="3"/>
    </row>
    <row r="7" spans="1:11" ht="9" customHeight="1" x14ac:dyDescent="0.15">
      <c r="A7" s="5"/>
      <c r="B7" s="10"/>
      <c r="C7" s="10"/>
      <c r="D7" s="10"/>
      <c r="E7" s="10"/>
      <c r="F7" s="10"/>
      <c r="G7" s="10"/>
      <c r="H7" s="10"/>
      <c r="I7" s="3"/>
    </row>
    <row r="8" spans="1:11" ht="18.75" customHeight="1" x14ac:dyDescent="0.15">
      <c r="A8" s="5"/>
      <c r="B8" s="3"/>
      <c r="C8" s="3"/>
      <c r="D8" s="18" t="s">
        <v>41</v>
      </c>
      <c r="E8" s="19" t="s">
        <v>159</v>
      </c>
      <c r="F8" s="3"/>
      <c r="G8" s="18" t="s">
        <v>10</v>
      </c>
      <c r="H8" s="19" t="s">
        <v>160</v>
      </c>
      <c r="I8" s="3"/>
    </row>
    <row r="9" spans="1:11" ht="7.5" customHeight="1" x14ac:dyDescent="0.15">
      <c r="A9" s="5"/>
      <c r="B9" s="5"/>
      <c r="C9" s="5"/>
      <c r="D9" s="5"/>
      <c r="E9" s="5"/>
      <c r="F9" s="5"/>
      <c r="G9" s="5"/>
      <c r="H9" s="5"/>
      <c r="I9" s="5"/>
    </row>
    <row r="10" spans="1:11" ht="18.75" customHeight="1" x14ac:dyDescent="0.15">
      <c r="A10" s="1" t="s">
        <v>3</v>
      </c>
      <c r="B10" s="1" t="s">
        <v>27</v>
      </c>
      <c r="C10" s="4"/>
      <c r="D10" s="4"/>
      <c r="E10" s="4"/>
      <c r="F10" s="4"/>
      <c r="G10" s="4"/>
      <c r="H10" s="4"/>
      <c r="I10" s="4"/>
    </row>
    <row r="11" spans="1:11" ht="18.75" customHeight="1" x14ac:dyDescent="0.15">
      <c r="B11" s="90" t="s">
        <v>24</v>
      </c>
      <c r="C11" s="91"/>
      <c r="D11" s="92"/>
      <c r="E11" s="91" t="s">
        <v>26</v>
      </c>
      <c r="F11" s="91"/>
      <c r="G11" s="91"/>
      <c r="H11" s="91"/>
      <c r="I11" s="92"/>
    </row>
    <row r="12" spans="1:11" ht="26.25" customHeight="1" x14ac:dyDescent="0.15">
      <c r="B12" s="26" t="s">
        <v>14</v>
      </c>
      <c r="C12" s="32"/>
      <c r="D12" s="27"/>
      <c r="E12" s="33"/>
      <c r="F12" s="33"/>
      <c r="G12" s="33"/>
      <c r="H12" s="33"/>
      <c r="I12" s="27"/>
    </row>
    <row r="13" spans="1:11" ht="91.5" customHeight="1" x14ac:dyDescent="0.15">
      <c r="B13" s="28"/>
      <c r="C13" s="242" t="s">
        <v>15</v>
      </c>
      <c r="D13" s="243"/>
      <c r="E13" s="255" t="s">
        <v>183</v>
      </c>
      <c r="F13" s="244"/>
      <c r="G13" s="244"/>
      <c r="H13" s="244"/>
      <c r="I13" s="245"/>
    </row>
    <row r="14" spans="1:11" ht="91.5" customHeight="1" x14ac:dyDescent="0.15">
      <c r="B14" s="28"/>
      <c r="C14" s="257" t="s">
        <v>16</v>
      </c>
      <c r="D14" s="258"/>
      <c r="E14" s="255" t="s">
        <v>184</v>
      </c>
      <c r="F14" s="244"/>
      <c r="G14" s="244"/>
      <c r="H14" s="244"/>
      <c r="I14" s="245"/>
      <c r="K14" s="1">
        <f t="shared" ref="K14:K16" si="0">LEN(F14)</f>
        <v>0</v>
      </c>
    </row>
    <row r="15" spans="1:11" ht="91.5" customHeight="1" x14ac:dyDescent="0.15">
      <c r="B15" s="28"/>
      <c r="C15" s="242" t="s">
        <v>17</v>
      </c>
      <c r="D15" s="243"/>
      <c r="E15" s="255" t="s">
        <v>167</v>
      </c>
      <c r="F15" s="244"/>
      <c r="G15" s="244"/>
      <c r="H15" s="244"/>
      <c r="I15" s="245"/>
      <c r="K15" s="1">
        <f t="shared" si="0"/>
        <v>0</v>
      </c>
    </row>
    <row r="16" spans="1:11" ht="91.5" customHeight="1" x14ac:dyDescent="0.15">
      <c r="B16" s="28"/>
      <c r="C16" s="242" t="s">
        <v>18</v>
      </c>
      <c r="D16" s="243"/>
      <c r="E16" s="255" t="s">
        <v>185</v>
      </c>
      <c r="F16" s="244"/>
      <c r="G16" s="244"/>
      <c r="H16" s="244"/>
      <c r="I16" s="245"/>
      <c r="K16" s="1">
        <f t="shared" si="0"/>
        <v>0</v>
      </c>
    </row>
    <row r="17" spans="2:15" ht="91.5" customHeight="1" x14ac:dyDescent="0.15">
      <c r="B17" s="29"/>
      <c r="C17" s="246" t="s">
        <v>19</v>
      </c>
      <c r="D17" s="247"/>
      <c r="E17" s="256" t="s">
        <v>168</v>
      </c>
      <c r="F17" s="248"/>
      <c r="G17" s="248"/>
      <c r="H17" s="248"/>
      <c r="I17" s="249"/>
      <c r="K17" s="1">
        <f>LEN(F17)</f>
        <v>0</v>
      </c>
    </row>
    <row r="18" spans="2:15" ht="24" customHeight="1" x14ac:dyDescent="0.15">
      <c r="B18" s="26" t="s">
        <v>20</v>
      </c>
      <c r="C18" s="30"/>
      <c r="D18" s="31"/>
      <c r="E18" s="33"/>
      <c r="F18" s="33"/>
      <c r="G18" s="33"/>
      <c r="H18" s="33"/>
      <c r="I18" s="27"/>
    </row>
    <row r="19" spans="2:15" ht="93" customHeight="1" x14ac:dyDescent="0.15">
      <c r="B19" s="28"/>
      <c r="C19" s="242" t="s">
        <v>21</v>
      </c>
      <c r="D19" s="243"/>
      <c r="E19" s="244" t="s">
        <v>169</v>
      </c>
      <c r="F19" s="244"/>
      <c r="G19" s="244"/>
      <c r="H19" s="244"/>
      <c r="I19" s="245"/>
    </row>
    <row r="20" spans="2:15" ht="93" customHeight="1" x14ac:dyDescent="0.15">
      <c r="B20" s="29"/>
      <c r="C20" s="246" t="s">
        <v>22</v>
      </c>
      <c r="D20" s="247"/>
      <c r="E20" s="248" t="s">
        <v>186</v>
      </c>
      <c r="F20" s="248"/>
      <c r="G20" s="248"/>
      <c r="H20" s="248"/>
      <c r="I20" s="249"/>
      <c r="K20" s="15"/>
      <c r="L20" s="15"/>
      <c r="M20" s="15"/>
      <c r="O20" s="15"/>
    </row>
    <row r="21" spans="2:15" ht="93" customHeight="1" x14ac:dyDescent="0.15">
      <c r="B21" s="250" t="s">
        <v>23</v>
      </c>
      <c r="C21" s="251"/>
      <c r="D21" s="252"/>
      <c r="E21" s="253" t="s">
        <v>181</v>
      </c>
      <c r="F21" s="253"/>
      <c r="G21" s="253"/>
      <c r="H21" s="253"/>
      <c r="I21" s="254"/>
    </row>
    <row r="22" spans="2:15" ht="151.5" customHeight="1" x14ac:dyDescent="0.15">
      <c r="B22" s="237" t="s">
        <v>121</v>
      </c>
      <c r="C22" s="238"/>
      <c r="D22" s="239"/>
      <c r="E22" s="240" t="s">
        <v>182</v>
      </c>
      <c r="F22" s="240"/>
      <c r="G22" s="240"/>
      <c r="H22" s="240"/>
      <c r="I22" s="241"/>
    </row>
    <row r="23" spans="2:15" ht="22.5" customHeight="1" x14ac:dyDescent="0.15">
      <c r="B23" s="4"/>
      <c r="C23" s="4"/>
      <c r="D23" s="4"/>
      <c r="E23" s="4"/>
      <c r="F23" s="4"/>
      <c r="G23" s="4"/>
      <c r="H23" s="4"/>
      <c r="I23" s="4"/>
    </row>
    <row r="24" spans="2:15" ht="22.5" customHeight="1" x14ac:dyDescent="0.15">
      <c r="B24" s="4"/>
      <c r="C24" s="4"/>
      <c r="D24" s="4"/>
      <c r="E24" s="4"/>
      <c r="F24" s="4"/>
      <c r="G24" s="4"/>
      <c r="H24" s="4"/>
      <c r="I24" s="4"/>
    </row>
    <row r="25" spans="2:15" ht="22.5" customHeight="1" x14ac:dyDescent="0.15">
      <c r="B25" s="4"/>
      <c r="C25" s="4"/>
      <c r="D25" s="4"/>
      <c r="E25" s="4"/>
      <c r="F25" s="4"/>
      <c r="G25" s="4"/>
      <c r="H25" s="4"/>
      <c r="I25" s="4"/>
    </row>
    <row r="26" spans="2:15" ht="22.5" customHeight="1" x14ac:dyDescent="0.15">
      <c r="B26" s="4"/>
      <c r="C26" s="4"/>
      <c r="D26" s="4"/>
      <c r="E26" s="4"/>
      <c r="F26" s="4"/>
      <c r="G26" s="4"/>
      <c r="H26" s="4"/>
      <c r="I26" s="4"/>
    </row>
    <row r="27" spans="2:15" ht="22.5" customHeight="1" x14ac:dyDescent="0.15">
      <c r="B27" s="4"/>
      <c r="C27" s="4"/>
      <c r="D27" s="4"/>
      <c r="E27" s="4"/>
      <c r="F27" s="4"/>
      <c r="G27" s="4"/>
      <c r="H27" s="4"/>
      <c r="I27" s="4"/>
    </row>
    <row r="28" spans="2:15" ht="22.5" customHeight="1" x14ac:dyDescent="0.15">
      <c r="B28" s="14"/>
      <c r="C28" s="14"/>
      <c r="D28" s="14"/>
      <c r="E28" s="14"/>
      <c r="F28" s="14"/>
      <c r="G28" s="14"/>
      <c r="H28" s="14"/>
      <c r="I28" s="14"/>
    </row>
    <row r="29" spans="2:15" ht="22.5" customHeight="1" x14ac:dyDescent="0.15">
      <c r="B29" s="14"/>
      <c r="C29" s="14"/>
      <c r="D29" s="14"/>
      <c r="E29" s="14"/>
      <c r="F29" s="14"/>
      <c r="G29" s="14"/>
      <c r="H29" s="14"/>
      <c r="I29" s="14"/>
    </row>
    <row r="30" spans="2:15"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PC2256</dc:creator>
  <cp:lastModifiedBy>chikudai</cp:lastModifiedBy>
  <cp:lastPrinted>2025-05-08T00:16:41Z</cp:lastPrinted>
  <dcterms:created xsi:type="dcterms:W3CDTF">2011-06-14T05:32:50Z</dcterms:created>
  <dcterms:modified xsi:type="dcterms:W3CDTF">2025-07-08T01:04:11Z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