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jimudsv01\sky\データサイエンス\●　プログラム認定申請書\●　2025　追加提出\"/>
    </mc:Choice>
  </mc:AlternateContent>
  <xr:revisionPtr revIDLastSave="0" documentId="13_ncr:1_{09D5EC80-7743-452E-969D-6C080571FA48}" xr6:coauthVersionLast="36" xr6:coauthVersionMax="47" xr10:uidLastSave="{00000000-0000-0000-0000-000000000000}"/>
  <bookViews>
    <workbookView xWindow="0" yWindow="0" windowWidth="28800" windowHeight="11655" tabRatio="885" activeTab="1" xr2:uid="{00000000-000D-0000-FFFF-FFFF00000000}"/>
  </bookViews>
  <sheets>
    <sheet name="様式１　プログラムを構成する授業科目" sheetId="45"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R16" i="40" l="1"/>
  <c r="S16" i="40" s="1"/>
  <c r="R17" i="40"/>
  <c r="S17" i="40" s="1"/>
  <c r="R18" i="40"/>
  <c r="S18" i="40" s="1"/>
  <c r="R19" i="40"/>
  <c r="S19" i="40" s="1"/>
  <c r="R20" i="40"/>
  <c r="S20" i="40" s="1"/>
  <c r="M7" i="40" l="1"/>
  <c r="I33" i="40" l="1"/>
  <c r="M33" i="40"/>
  <c r="P33" i="40"/>
  <c r="Q33" i="40"/>
  <c r="O33" i="40"/>
  <c r="N33" i="40"/>
  <c r="L33" i="40"/>
  <c r="J33" i="40"/>
  <c r="K33" i="40"/>
  <c r="H33" i="40"/>
  <c r="R13" i="40" l="1"/>
  <c r="R14" i="40"/>
  <c r="R15" i="40"/>
  <c r="R21" i="40"/>
  <c r="R22" i="40"/>
  <c r="R23" i="40"/>
  <c r="R24" i="40"/>
  <c r="R25" i="40"/>
  <c r="R26" i="40"/>
  <c r="R27" i="40"/>
  <c r="R28" i="40"/>
  <c r="R29" i="40"/>
  <c r="R30" i="40"/>
  <c r="R31" i="40"/>
  <c r="R32" i="40"/>
  <c r="C33" i="40"/>
  <c r="G33" i="40" l="1"/>
  <c r="F33" i="40" l="1"/>
  <c r="E33" i="40"/>
  <c r="D33" i="40"/>
  <c r="S32" i="40"/>
  <c r="S31" i="40"/>
  <c r="S30" i="40"/>
  <c r="S29" i="40"/>
  <c r="S28" i="40"/>
  <c r="S27" i="40"/>
  <c r="S26" i="40"/>
  <c r="S25" i="40"/>
  <c r="S24" i="40"/>
  <c r="S23" i="40"/>
  <c r="S22" i="40"/>
  <c r="S21" i="40"/>
  <c r="S15" i="40"/>
  <c r="S14" i="40"/>
  <c r="S13" i="40"/>
  <c r="R33" i="40" l="1"/>
  <c r="S33" i="40" s="1"/>
  <c r="C49" i="4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法人１</author>
  </authors>
  <commentList>
    <comment ref="D91" authorId="0" shapeId="0" xr:uid="{57ACE200-777C-40B7-ABC8-C2F6F409477D}">
      <text>
        <r>
          <rPr>
            <sz val="9"/>
            <color indexed="81"/>
            <rFont val="MS P ゴシック"/>
            <family val="3"/>
            <charset val="128"/>
          </rPr>
          <t xml:space="preserve">※　赤字は、モデルカリキュラム「スキルセット」P14の文言を抜粋。不必要な文言の削除は可。しかし、独自文言の追記は不可となります。
※　青文字箇所は、シラバス文言のため、提出時には削除いたします。
</t>
        </r>
      </text>
    </comment>
  </commentList>
</comments>
</file>

<file path=xl/sharedStrings.xml><?xml version="1.0" encoding="utf-8"?>
<sst xmlns="http://schemas.openxmlformats.org/spreadsheetml/2006/main" count="294" uniqueCount="192">
  <si>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</si>
  <si>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</si>
  <si>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</si>
  <si>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</si>
  <si>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</si>
  <si>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</si>
  <si>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</si>
  <si>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</si>
  <si>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</si>
  <si>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</si>
  <si>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</si>
  <si>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</si>
  <si>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</si>
  <si>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</si>
  <si>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</si>
  <si>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</si>
  <si>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</si>
  <si>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</si>
  <si>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</si>
  <si>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</si>
  <si>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</si>
  <si>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</si>
  <si>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</si>
  <si>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</si>
  <si>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</si>
  <si>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</si>
  <si>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</si>
  <si>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</si>
  <si>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</si>
  <si>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</si>
  <si>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</si>
  <si>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</si>
  <si>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</si>
  <si>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</si>
  <si>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</si>
  <si>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</si>
  <si>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</si>
  <si>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</si>
  <si>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</si>
  <si>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</si>
  <si>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</si>
  <si>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</si>
  <si>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</si>
  <si>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</si>
  <si>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</si>
  <si>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</si>
  <si>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</si>
  <si>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</si>
  <si>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</si>
  <si>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</si>
  <si>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</si>
  <si>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</si>
  <si>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</si>
  <si>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</si>
  <si>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</si>
  <si>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</si>
  <si>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</si>
  <si>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</si>
  <si>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</si>
  <si>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</si>
  <si>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</si>
  <si>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</si>
  <si>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</si>
  <si>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</si>
  <si>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</si>
  <si>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</si>
  <si>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</si>
  <si>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</si>
  <si>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</si>
  <si>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</si>
  <si>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</si>
  <si>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</si>
  <si>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</si>
  <si>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</si>
  <si>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</si>
  <si>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</si>
  <si>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</si>
  <si>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</si>
  <si>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</si>
  <si>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</si>
  <si>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</si>
  <si>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</si>
  <si>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</si>
  <si>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</si>
  <si>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</si>
  <si>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</si>
  <si>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</si>
  <si>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</si>
  <si>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</si>
  <si>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</si>
  <si>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</si>
  <si>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</si>
  <si>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</si>
  <si>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</si>
  <si>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</si>
  <si>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</si>
  <si>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</si>
  <si>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</si>
  <si>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</si>
  <si>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</si>
  <si>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</si>
  <si>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</si>
  <si>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</si>
  <si>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</si>
  <si>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</si>
  <si>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</si>
  <si>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</si>
  <si>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</si>
  <si>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</si>
  <si>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</si>
  <si>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</si>
  <si>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</si>
  <si>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</si>
  <si>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</si>
  <si>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</si>
  <si>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</si>
  <si>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</si>
  <si>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</si>
  <si>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</si>
  <si>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</si>
  <si>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</si>
  <si>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</si>
  <si>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</si>
  <si>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</si>
  <si>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</si>
  <si>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</si>
  <si>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</si>
  <si>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</si>
  <si>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</si>
  <si>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</si>
  <si>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</si>
  <si>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</si>
  <si>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</si>
  <si>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</si>
  <si>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</si>
  <si>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</si>
  <si>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</si>
  <si>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</si>
  <si>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</si>
  <si>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</si>
  <si>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</si>
  <si>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</si>
  <si>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</si>
  <si>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仁愛大学</t>
  </si>
  <si>
    <t>篭谷 隆弘</t>
  </si>
  <si>
    <t>共通教育専門委員会委員長・教授</t>
  </si>
  <si>
    <t>仁愛大学共通教育専門委員会規程</t>
    <rPh sb="0" eb="4">
      <t>ジンアイダイガク</t>
    </rPh>
    <phoneticPr fontId="1"/>
  </si>
  <si>
    <t>本委員会は、学部共通科目の教育課程、共通教育のあり方について所掌をすることを目的に設置されている。当該「仁愛大学データサイエンスプログラム」も、共通教育としての数理・データサイエンス・ＡＩに関する知識の醸成を目的としていることから、共通教育専門委員会にて教育の質を向上させる検討を行っている。</t>
    <phoneticPr fontId="1"/>
  </si>
  <si>
    <t>共通教育専門委員会委員長・子ども教育学科　教授　篭谷 隆弘
学生支援センター長・心理学科　教授　森 俊之
健康栄養学科　教授　尼子 克己
コミュニケーション学科　准教授　安彦 智史
コミュニケーション学科　准教授　マシュー ハウカ
コミュニケーション学科　講師　禿 寿</t>
    <phoneticPr fontId="1"/>
  </si>
  <si>
    <t>令和６年度入学生より、全学において、本プログラム（リテラシーレベル）を開始した。
本プログラムは、下記２つの授業科目から構成される。
・「情報基礎」 １年前期　　必修　演習　２単位
・「データサイエンス基礎」１年後期　選択　演習　２単位</t>
    <phoneticPr fontId="1"/>
  </si>
  <si>
    <t>共通教育専門委員会が中心となり、令和６年度入学生から全学的に本プログラム（リテラシーレベル）を開始した。</t>
    <phoneticPr fontId="1"/>
  </si>
  <si>
    <t>学生に対する本プログラムの修了の促しについては、学生支援センターから、履修年次である1年生の前期及び後期のガイダンスにおいて資料を用いて説明を行い修了を推奨している。
また、各授業担当者側から、プログラム構成科目の前期「情報基礎」（必修）内において、後期「データサイエンス基礎」の修得により、本プログラムを修了するように促している。
このほか、令和6年度に本学附属図書館においてデータサイエンス・統計等の関連書籍の充実を図り（約70点）、学生の同分野に対する関心の向上や、調べ学習に応える体制を整備している。
なお、本学学生向け及び対外的に、本プログラムの到達目標やプログラム修了要件、構成する科目を、本学Webページに公開しており、いつでも閲覧できるようにしている。
公開先URL：https://www.jindai.ac.jp/datascience/</t>
    <phoneticPr fontId="1"/>
  </si>
  <si>
    <t>334字</t>
    <rPh sb="3" eb="4">
      <t>ジ</t>
    </rPh>
    <phoneticPr fontId="1"/>
  </si>
  <si>
    <t>本プログラムの「情報基礎」については、卒業要件となる必修科目としても位置づけられており、本学学生全員が学習できるようにしている。
その他の本プログラムを構成する科目についても、数理・データサイエンス・AIに関わる内容に興味を持つ学生が履修できるように、可能な限り時間割編成の工夫をしている。</t>
    <phoneticPr fontId="1"/>
  </si>
  <si>
    <t>学部・学科によって、修了要件は相違しない</t>
  </si>
  <si>
    <t>仁愛大学データサイエンスプログラム</t>
  </si>
  <si>
    <t>プログラムを構成する科目群である、学部共通科目「情報基礎」（2単位）、「データサイエンス基礎」（2単位）、合計４単位を取得すること。</t>
    <phoneticPr fontId="1"/>
  </si>
  <si>
    <t>「データサイエンス基礎」</t>
    <phoneticPr fontId="1"/>
  </si>
  <si>
    <t>○</t>
  </si>
  <si>
    <t>「情報基礎」</t>
    <rPh sb="1" eb="3">
      <t>ジョウホウ</t>
    </rPh>
    <rPh sb="3" eb="5">
      <t>キソ</t>
    </rPh>
    <phoneticPr fontId="1"/>
  </si>
  <si>
    <t>「情報基礎」</t>
    <rPh sb="3" eb="5">
      <t>キソ</t>
    </rPh>
    <phoneticPr fontId="1"/>
  </si>
  <si>
    <t>・第4次産業革命、Ｓｏｃｉｅｔｙ5.0、データ駆動型社会と呼ばれるこれからのＡＩ時代において求められる人材、能力の理解
・データサイエンスやAIに関する基礎的な知識
・データサイエンスやAIと社会や生活との関わりの理解
・データの集計、分析、統計解析、およびデータの可視化方法と活用力
・データを活用するにあたっての留意事項の理解</t>
    <phoneticPr fontId="1"/>
  </si>
  <si>
    <t>令和６</t>
    <rPh sb="0" eb="2">
      <t>レイワ</t>
    </rPh>
    <phoneticPr fontId="1"/>
  </si>
  <si>
    <t>自己点検評価委員会</t>
    <rPh sb="0" eb="6">
      <t>ジコテンケンヒョウカ</t>
    </rPh>
    <rPh sb="6" eb="9">
      <t>イインカイ</t>
    </rPh>
    <phoneticPr fontId="1"/>
  </si>
  <si>
    <t>山本 浩範</t>
  </si>
  <si>
    <t>自己点検評価委員会委員長・教授</t>
  </si>
  <si>
    <t>現時点において本プログラムの修了者は全員在学中であり、進路は決定していない。本プログラムは初年次に配置しているものの、各学科で学ぶ統計・データ等を扱う専門科目に繋がる基礎的内容であると言える。そのため、各学科での専門分野を学び就職する先においても、本プログラムで学んだ知識・スキルが活きるものと考えている。</t>
    <phoneticPr fontId="1"/>
  </si>
  <si>
    <t>本プログラムを修了した卒業生を現時点で輩出していないため、今後、キャリア支援センターとも連携し、就職先の企業へのアンケート等を通じて情報収集に努めていくとともに、プログラム改善に向けて検討するものとされている。数理・データサイエンス・AI教育強化拠点コンソーシアム北信越ブロックに連携校として加盟しており、コンソーシアムで開催されているイベントや研修会での民間企業・団体の声を参考に、本プログラムを構築し、点検・評価できるようにしている。</t>
    <phoneticPr fontId="1"/>
  </si>
  <si>
    <t>数理・データサイエンス・AI（リテラシーレベル）モデルカリキュラムを参考に、身近な社会における実例を授業で紹介することで、学ぶ意義や楽しさを理解させることに努めている。また、授業アンケート結果を分析し授業の工夫・改善を行っている。</t>
    <phoneticPr fontId="1"/>
  </si>
  <si>
    <t>共通教育専門委員会　（R7から教育課程委員会へ統合）</t>
    <rPh sb="0" eb="4">
      <t>キョウツウキョウイク</t>
    </rPh>
    <rPh sb="4" eb="9">
      <t>センモンイインカイ</t>
    </rPh>
    <rPh sb="15" eb="22">
      <t>キョウイクカテイイインカイ</t>
    </rPh>
    <rPh sb="23" eb="25">
      <t>トウゴウ</t>
    </rPh>
    <phoneticPr fontId="1"/>
  </si>
  <si>
    <t>プログラム構成科目の授業評価、独自アンケート等を分析することで全体的な学修成果を把握し、これらの結果をプログラムの改善に活用している。授業評価にあっては、学期中にLMS（学習管理システム）若しくは対面により実施する「中間授業評価」によって学生からの授業への改善要望を把握している。各学期末には「学期末授業評価」を実施し、授業の内容、方法及び総合評価を実施しており、各授業の全体的な理解度を把握している。「データサイエンス基礎」の授業内において、受講者全員に対して独自アンケートを実施しデータの活用に関する意見などを徴収し、これらの分析結果に基づいて、プログラムの評価・改善を行っている。</t>
    <rPh sb="15" eb="17">
      <t>ドクジ</t>
    </rPh>
    <rPh sb="214" eb="217">
      <t>ジュギョウナイ</t>
    </rPh>
    <rPh sb="231" eb="233">
      <t>ドクジ</t>
    </rPh>
    <rPh sb="252" eb="254">
      <t>イケン</t>
    </rPh>
    <rPh sb="257" eb="259">
      <t>チョウシュウ</t>
    </rPh>
    <phoneticPr fontId="1"/>
  </si>
  <si>
    <t>「データサイエンス基礎」の授業内において、受講者全員に対してプログラムに対するアンケートを実施し理解度を分析している。本プログラム受講後、「このプログラムを通して、データの取り扱い方や読み取り方、AIの活用方法等、データサイエンスの基礎に関して、理解できましたか？」というアンケートを実施した結果、「理解できた」19.6％、「どちらかといえば、理解できた」56.1％、「どちらかといえば、理解できなかった」20.9％、「理解できなかった」3.4％と、全体的に理解度は高い。</t>
    <rPh sb="45" eb="47">
      <t>ジッシ</t>
    </rPh>
    <phoneticPr fontId="1"/>
  </si>
  <si>
    <t>「データサイエンス基礎」の授業内において、受講者全員に対してプログラムに対するアンケートによると、「全国の学生にデータサイエンスの学びが求められる現在、このプログラムを後輩にも推奨しますか」という設問に対し、「推奨します。」53.4％、「どちらかといえば、推奨します。」44.6％、「どちらかといえば、推奨しません。」2.0％、「推奨しません。」0％と、全体的に肯定的な回答が多く、全体的に推奨度は高い。</t>
    <phoneticPr fontId="1"/>
  </si>
  <si>
    <t xml:space="preserve">学生に対する本プログラムの修了の促しについては、学生支援センターから1年生の前期・後期のガイダンスにおいて資料を用いて説明を行い修了を推奨している。また、各授業担当者側から、前期「情報基礎」（必修）内において、後期「データサイエンス基礎」の修得により、本プログラムを修了するように促している。また令和6年度に本学附属図書館においてデータサイエンス・統計等の関連書籍の充実を図り（約70点）、学生の同分野に対する関心の向上や、調べ学習に応える体制を整備している。なお、本学学生向け及び対外的に、プログラムの到達目標や修了要件、構成科目を、本学Webページに公開しており、いつでも閲覧できるようにしている。
</t>
    <phoneticPr fontId="1"/>
  </si>
  <si>
    <t>令和6年度から開始した「仁愛大学データサイエンスプログラム」（以下、「本プログラム」という。）について共通教育専門委員会において、本プログラムの履修状況および単位修得状況の把握・分析を実施している。令和6年度においては、全体で63.0％のプログラム修了の状況にある。
●プログラム修了者（2科目修得）：　235名中（R6.5.1　1年生）　修了148名（63.0％）
心理学科                  　　   58名中  　　 40名（69.0％）
コミュニケーション学科　　　66名中　　　 52名（78.8％）
健康栄養学科 　　　　　　 　 62名中　　　 42名（67.7％）
子ども教育学科 　          　 49名中   　　14名（28.6％）</t>
    <rPh sb="167" eb="169">
      <t>ネンセイ</t>
    </rPh>
    <phoneticPr fontId="1"/>
  </si>
  <si>
    <t>仁愛大学</t>
    <rPh sb="0" eb="4">
      <t>ジンアイダイガク</t>
    </rPh>
    <phoneticPr fontId="1"/>
  </si>
  <si>
    <t>ガイダンス</t>
    <phoneticPr fontId="1"/>
  </si>
  <si>
    <t>・データ表現（棒グラフ、折線グラフ、散布図、ヒートマップ、）「情報基礎」（第9回）「データサイエンス基礎」（第7回）（第12回）
・データの比較（条件をそろえた比較、処理の前後での比較)「情報基礎」（第8回）（第9回）（第10回）
・相手に的確かつ正確に情報を伝える技術の考え方（スライド作成、プレゼンテーションなど）「情報基礎」（第11回）（第12回）（第13回）（第14回）</t>
    <rPh sb="50" eb="52">
      <t>キソ</t>
    </rPh>
    <rPh sb="54" eb="55">
      <t>ダイ</t>
    </rPh>
    <rPh sb="56" eb="57">
      <t>カイ</t>
    </rPh>
    <rPh sb="59" eb="60">
      <t>ダイ</t>
    </rPh>
    <rPh sb="62" eb="63">
      <t>カイ</t>
    </rPh>
    <rPh sb="117" eb="119">
      <t>アイテ</t>
    </rPh>
    <rPh sb="120" eb="122">
      <t>テキカク</t>
    </rPh>
    <rPh sb="124" eb="126">
      <t>セイカク</t>
    </rPh>
    <rPh sb="127" eb="129">
      <t>ジョウホウ</t>
    </rPh>
    <rPh sb="130" eb="131">
      <t>ツタ</t>
    </rPh>
    <rPh sb="133" eb="135">
      <t>ギジュツ</t>
    </rPh>
    <rPh sb="136" eb="137">
      <t>カンガ</t>
    </rPh>
    <rPh sb="138" eb="139">
      <t>カタ</t>
    </rPh>
    <rPh sb="144" eb="146">
      <t>サクセイ</t>
    </rPh>
    <rPh sb="160" eb="164">
      <t>ジョウホウキソ</t>
    </rPh>
    <rPh sb="166" eb="167">
      <t>ダイ</t>
    </rPh>
    <rPh sb="169" eb="170">
      <t>カイ</t>
    </rPh>
    <rPh sb="172" eb="173">
      <t>ダイ</t>
    </rPh>
    <rPh sb="175" eb="176">
      <t>カイ</t>
    </rPh>
    <rPh sb="178" eb="179">
      <t>ダイ</t>
    </rPh>
    <rPh sb="181" eb="182">
      <t>カイ</t>
    </rPh>
    <rPh sb="184" eb="185">
      <t>ダイ</t>
    </rPh>
    <rPh sb="187" eb="188">
      <t>カイ</t>
    </rPh>
    <phoneticPr fontId="1"/>
  </si>
  <si>
    <t>・倫理的・法的・社会的課題（ELSI：Ethical, Legal and Social Issues）「情報基礎」（第2回）</t>
    <phoneticPr fontId="1"/>
  </si>
  <si>
    <t xml:space="preserve">・ユーザ認証と、パスワード、アクセス制御、悪意ある情報搾取「情報基礎」（第2回）
</t>
    <phoneticPr fontId="1"/>
  </si>
  <si>
    <r>
      <t>・データの種類（量的変数、質的変数）「データサイエンス基礎」（第7回）
・データの分布(ヒストグラム)と代表値（平均値、中央値、最頻値）「データサイエンス基礎」（第8回）
・データのばらつき（分散、標準偏差、偏差値）、外れ値「データサイエンス基礎」（第9回）（第10回）
・相関と因果（相関係数）「データサイエンス基礎」（第12回）</t>
    </r>
    <r>
      <rPr>
        <strike/>
        <sz val="9"/>
        <rFont val="ＭＳ Ｐゴシック"/>
        <family val="3"/>
        <charset val="128"/>
        <scheme val="minor"/>
      </rPr>
      <t xml:space="preserve">
</t>
    </r>
    <r>
      <rPr>
        <sz val="9"/>
        <rFont val="ＭＳ Ｐゴシック"/>
        <family val="3"/>
        <charset val="128"/>
        <scheme val="minor"/>
      </rPr>
      <t>・クロス集計表、分割表、相関係数行列、散布図行列　「情報基礎」（第10回）「データサイエンス基礎」（第13回）
・代表値の性質の違い（実社会では平均値＝最頻値でないことが多い）「データサイエンス基礎」（第8回）</t>
    </r>
    <rPh sb="130" eb="131">
      <t>ダイ</t>
    </rPh>
    <rPh sb="133" eb="134">
      <t>カイ</t>
    </rPh>
    <rPh sb="264" eb="266">
      <t>キソ</t>
    </rPh>
    <rPh sb="268" eb="269">
      <t>ダイ</t>
    </rPh>
    <rPh sb="270" eb="271">
      <t>カイ</t>
    </rPh>
    <phoneticPr fontId="1"/>
  </si>
  <si>
    <t>・第4次産業革命、Society 5.0、データ駆動型社会「データサイエンス基礎」（第1回）（第2回）
・ビッグデータ、IoT、AI、生成AI「データサイエンス基礎」（第1回）（第2回）</t>
    <rPh sb="47" eb="48">
      <t>ダイ</t>
    </rPh>
    <rPh sb="49" eb="50">
      <t>カイ</t>
    </rPh>
    <rPh sb="84" eb="85">
      <t>ダイ</t>
    </rPh>
    <rPh sb="86" eb="87">
      <t>カイ</t>
    </rPh>
    <phoneticPr fontId="1"/>
  </si>
  <si>
    <t>・AI最新技術の活用例（深層生成モデル強化学習、生成AI）「データサイエンス基礎」（第2回）</t>
    <phoneticPr fontId="1"/>
  </si>
  <si>
    <t>・データ・AI活用領域の広がり(生産、消費など)「データサイエンス基礎」（第5回）（第6回）
・調達、製造、販売、マーケティング、サービス「データサイエンス基礎」（第5回）（第6回）</t>
    <rPh sb="82" eb="83">
      <t>ダイ</t>
    </rPh>
    <rPh sb="84" eb="85">
      <t>カイ</t>
    </rPh>
    <phoneticPr fontId="1"/>
  </si>
  <si>
    <t>・教育、流通、製造、サービス、公共、ヘルスケア等におけるデータ・AI利活用事例紹介「データサイエンス基礎」（第5回）（第6回）</t>
    <rPh sb="54" eb="55">
      <t>ダイ</t>
    </rPh>
    <rPh sb="56" eb="57">
      <t>カイ</t>
    </rPh>
    <phoneticPr fontId="1"/>
  </si>
  <si>
    <t>・調査データ、実験データなど　「データサイエンス基礎」（第3回）（第4回）
・データのオープン化（オープンデータ）「データサイエンス基礎」（第3回）（第4回）
・1次データ、2次データ「データサイエンス基礎」（第3回）（第4回）</t>
    <rPh sb="28" eb="29">
      <t>ダイ</t>
    </rPh>
    <rPh sb="30" eb="31">
      <t>カイ</t>
    </rPh>
    <rPh sb="70" eb="71">
      <t>ダイ</t>
    </rPh>
    <rPh sb="72" eb="73">
      <t>カイ</t>
    </rPh>
    <phoneticPr fontId="1"/>
  </si>
  <si>
    <t>・データ解析「情報基礎」（第10回）「データサイエンス基礎」（第8回）
・データ可視化：複合グラフ、2軸グラフ「情報基礎」（第9回）「データサイエンス基礎」（第7回）
・データ可視化：地図上の可視化「データサイエンス基礎」（第3回）（第4回）
・データ可視化：関係性の可視化「データサイエンス基礎」（第12回）（第13回）</t>
    <rPh sb="75" eb="77">
      <t>キソ</t>
    </rPh>
    <rPh sb="156" eb="157">
      <t>ダイ</t>
    </rPh>
    <rPh sb="159" eb="160">
      <t>カイ</t>
    </rPh>
    <phoneticPr fontId="1"/>
  </si>
  <si>
    <t>・データの集計（和、平均）「情報基礎」（第7回）（第8回）
・表形式のデータ（csv）「情報基礎」（第7回）
・データの並び替え、ランキング「情報基礎」（第8回）（第10回）
・データの取得「情報基礎」（第7回）
・データ解析ツール（スプレッドシート）「情報基礎」（第7回）（第8回）（第9回）（第10回）、「データサイエンス基礎」（第7回）</t>
    <rPh sb="25" eb="26">
      <t>ダイ</t>
    </rPh>
    <rPh sb="27" eb="28">
      <t>カイ</t>
    </rPh>
    <rPh sb="82" eb="83">
      <t>ダイ</t>
    </rPh>
    <rPh sb="85" eb="86">
      <t>カイ</t>
    </rPh>
    <rPh sb="111" eb="113">
      <t>カイセキ</t>
    </rPh>
    <rPh sb="127" eb="131">
      <t>ジョウホウキソ</t>
    </rPh>
    <rPh sb="133" eb="134">
      <t>ダイ</t>
    </rPh>
    <rPh sb="135" eb="136">
      <t>カイ</t>
    </rPh>
    <rPh sb="138" eb="139">
      <t>ダイ</t>
    </rPh>
    <rPh sb="140" eb="141">
      <t>カイ</t>
    </rPh>
    <rPh sb="143" eb="144">
      <t>ダイ</t>
    </rPh>
    <rPh sb="145" eb="146">
      <t>カイ</t>
    </rPh>
    <rPh sb="148" eb="149">
      <t>ダイ</t>
    </rPh>
    <rPh sb="151" eb="152">
      <t>カイ</t>
    </rPh>
    <rPh sb="163" eb="165">
      <t>キソ</t>
    </rPh>
    <rPh sb="167" eb="168">
      <t>ダイ</t>
    </rPh>
    <rPh sb="169" eb="170">
      <t>カイ</t>
    </rPh>
    <phoneticPr fontId="1"/>
  </si>
  <si>
    <t>授業の内容・水準を維持・向上しつつより「分かりやすい」授業を実現するために、受講後のアンケートや授業評価の結果を共通教育専門委員会で分析し、学生が理解しやすく興味を持てる授業への改善を行っている。当該内容をもとに授業担当者間で共有し、最新の事例を取り入れて、授業をより実践的かつ理解しやすくすることとしている。
プログラム構成科目は学科毎に2つに人数を分けてコンピュータ室で実施している。コンピュータ室は3部屋、パソコンは計164台と受講者に対して十分な数を配備している。また令和6年度に部屋全てのパソコンの更新を行っており適切な設備環境のもと授業が実施されている。</t>
    <phoneticPr fontId="1"/>
  </si>
  <si>
    <t>オフィスアワーを設定し、基幹教員担当の科目について学習内容に関する質問を受け付ける機会を設けている。また、基幹教員以外（非常勤講師）担当の科目については、授業終了後に質疑応答に対応する時間を設け、学習内容に関する質問に対応している。このほか、LMSやメール等で学生の個別の質問や対応を行っている。</t>
    <rPh sb="128" eb="129">
      <t>ナド</t>
    </rPh>
    <rPh sb="130" eb="132">
      <t>ガクセイ</t>
    </rPh>
    <rPh sb="133" eb="135">
      <t>コベツ</t>
    </rPh>
    <rPh sb="136" eb="138">
      <t>シツモン</t>
    </rPh>
    <rPh sb="139" eb="141">
      <t>タイオウ</t>
    </rPh>
    <rPh sb="142" eb="143">
      <t>オコナ</t>
    </rPh>
    <phoneticPr fontId="1"/>
  </si>
  <si>
    <t>人間学部</t>
    <rPh sb="0" eb="4">
      <t>ニンゲンガクブ</t>
    </rPh>
    <phoneticPr fontId="1"/>
  </si>
  <si>
    <t>人間生活学部</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</si>
</sst>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9"/>
      <name val="ＭＳ Ｐゴシック"/>
      <family val="3"/>
      <charset val="128"/>
      <scheme val="minor"/>
    </font>
    <font>
      <sz val="9"/>
      <color indexed="81"/>
      <name val="MS P ゴシック"/>
      <family val="3"/>
      <charset val="128"/>
    </font>
    <font>
      <strike/>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20"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4"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6" xfId="0" applyFont="1" applyFill="1" applyBorder="1" applyAlignment="1">
      <alignment vertical="top" wrapText="1"/>
    </xf>
    <xf numFmtId="0" fontId="3" fillId="2" borderId="37"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38" fontId="2" fillId="0" borderId="44" xfId="2" applyFont="1" applyBorder="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5"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4"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0" xfId="0" applyFont="1" applyAlignment="1">
      <alignment horizontal="center" vertical="center" shrinkToFit="1"/>
    </xf>
    <xf numFmtId="49" fontId="3" fillId="0" borderId="42"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38" xfId="0" applyNumberFormat="1" applyFont="1" applyBorder="1" applyAlignment="1">
      <alignment horizontal="center" vertical="center"/>
    </xf>
    <xf numFmtId="49" fontId="3" fillId="0" borderId="25"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27"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1" xfId="0" applyFont="1" applyBorder="1" applyAlignment="1">
      <alignment horizontal="center" vertical="center"/>
    </xf>
    <xf numFmtId="0" fontId="8" fillId="0" borderId="34"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1" xfId="0" applyFont="1" applyBorder="1" applyAlignment="1">
      <alignment horizontal="right" vertical="center"/>
    </xf>
    <xf numFmtId="0" fontId="13" fillId="2" borderId="36" xfId="0" applyFont="1" applyFill="1" applyBorder="1" applyAlignment="1">
      <alignment vertical="top" shrinkToFit="1"/>
    </xf>
    <xf numFmtId="0" fontId="13" fillId="2" borderId="37" xfId="0" applyFont="1" applyFill="1" applyBorder="1" applyAlignment="1">
      <alignment vertical="top" shrinkToFit="1"/>
    </xf>
    <xf numFmtId="9" fontId="2" fillId="0" borderId="44"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right" vertical="center"/>
    </xf>
    <xf numFmtId="0" fontId="2" fillId="0" borderId="0" xfId="0" applyFont="1" applyAlignment="1">
      <alignment horizontal="center" vertical="center"/>
    </xf>
    <xf numFmtId="0" fontId="2" fillId="0" borderId="0" xfId="0" applyFont="1">
      <alignment vertical="center"/>
    </xf>
    <xf numFmtId="0" fontId="2" fillId="0" borderId="0" xfId="0" applyFont="1" applyAlignment="1">
      <alignment vertical="top" wrapText="1"/>
    </xf>
    <xf numFmtId="0" fontId="2" fillId="0" borderId="1" xfId="0" applyFont="1" applyBorder="1" applyAlignment="1">
      <alignment horizontal="left" vertical="center" shrinkToFit="1"/>
    </xf>
    <xf numFmtId="0" fontId="2" fillId="0" borderId="0" xfId="0" applyFont="1">
      <alignment vertical="center"/>
    </xf>
    <xf numFmtId="0" fontId="2" fillId="0" borderId="0" xfId="0" applyFont="1" applyAlignment="1">
      <alignment horizontal="righ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vertical="center" wrapText="1"/>
    </xf>
    <xf numFmtId="0" fontId="2" fillId="0" borderId="28"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11" fillId="0" borderId="18" xfId="0" applyFont="1" applyBorder="1" applyAlignment="1">
      <alignment horizontal="left" vertical="center" shrinkToFit="1"/>
    </xf>
    <xf numFmtId="0" fontId="11" fillId="0" borderId="19" xfId="0" applyFont="1" applyBorder="1" applyAlignment="1">
      <alignment horizontal="left" vertical="center" shrinkToFit="1"/>
    </xf>
    <xf numFmtId="0" fontId="11" fillId="0" borderId="17" xfId="0" applyFont="1" applyBorder="1" applyAlignment="1">
      <alignment horizontal="lef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8"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29" xfId="0" applyFont="1" applyBorder="1" applyAlignment="1">
      <alignment horizontal="center"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39" xfId="0" applyFont="1" applyBorder="1" applyAlignment="1">
      <alignment vertical="center" wrapText="1"/>
    </xf>
    <xf numFmtId="0" fontId="3" fillId="0" borderId="26" xfId="0" applyFont="1" applyBorder="1" applyAlignment="1">
      <alignment vertical="center" wrapText="1"/>
    </xf>
    <xf numFmtId="49" fontId="13" fillId="0" borderId="28" xfId="0" applyNumberFormat="1" applyFont="1" applyBorder="1" applyAlignment="1">
      <alignment horizontal="left" vertical="center" wrapText="1"/>
    </xf>
    <xf numFmtId="49" fontId="13" fillId="0" borderId="30" xfId="0" applyNumberFormat="1" applyFont="1" applyBorder="1" applyAlignment="1">
      <alignment horizontal="left" vertical="center"/>
    </xf>
    <xf numFmtId="49" fontId="13" fillId="0" borderId="29" xfId="0" applyNumberFormat="1" applyFont="1" applyBorder="1" applyAlignment="1">
      <alignment horizontal="left" vertical="center"/>
    </xf>
    <xf numFmtId="49" fontId="13" fillId="0" borderId="31" xfId="0" applyNumberFormat="1" applyFont="1" applyBorder="1" applyAlignment="1">
      <alignment horizontal="left" vertical="center" wrapText="1"/>
    </xf>
    <xf numFmtId="49" fontId="13" fillId="0" borderId="32" xfId="0" applyNumberFormat="1" applyFont="1" applyBorder="1" applyAlignment="1">
      <alignment horizontal="left" vertical="center"/>
    </xf>
    <xf numFmtId="49" fontId="13" fillId="0" borderId="33" xfId="0" applyNumberFormat="1" applyFont="1" applyBorder="1" applyAlignment="1">
      <alignment horizontal="left" vertical="center"/>
    </xf>
    <xf numFmtId="0" fontId="3" fillId="0" borderId="40" xfId="0" applyFont="1" applyBorder="1" applyAlignment="1">
      <alignment vertical="center" wrapTex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49" fontId="13" fillId="0" borderId="18" xfId="0" applyNumberFormat="1" applyFont="1" applyBorder="1" applyAlignment="1">
      <alignment horizontal="left" vertical="center" wrapText="1"/>
    </xf>
    <xf numFmtId="49" fontId="13" fillId="0" borderId="19" xfId="0" applyNumberFormat="1" applyFont="1" applyBorder="1" applyAlignment="1">
      <alignment horizontal="left" vertical="center"/>
    </xf>
    <xf numFmtId="49" fontId="13" fillId="0" borderId="17" xfId="0" applyNumberFormat="1" applyFont="1" applyBorder="1" applyAlignment="1">
      <alignment horizontal="left" vertical="center"/>
    </xf>
    <xf numFmtId="0" fontId="3" fillId="0" borderId="2" xfId="0" applyFont="1" applyBorder="1" applyAlignment="1">
      <alignment vertical="center" wrapText="1" shrinkToFit="1"/>
    </xf>
    <xf numFmtId="0" fontId="3" fillId="0" borderId="3" xfId="0" applyFont="1" applyBorder="1" applyAlignment="1">
      <alignment vertical="center" wrapText="1" shrinkToFit="1"/>
    </xf>
    <xf numFmtId="0" fontId="3" fillId="0" borderId="4" xfId="0" applyFont="1" applyBorder="1" applyAlignment="1">
      <alignment vertical="center" wrapText="1"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1" fillId="0" borderId="19" xfId="0" applyFont="1" applyBorder="1" applyAlignment="1">
      <alignment vertical="top" wrapText="1" shrinkToFit="1"/>
    </xf>
    <xf numFmtId="0" fontId="11" fillId="0" borderId="17" xfId="0" applyFont="1" applyBorder="1" applyAlignment="1">
      <alignment vertical="top" wrapText="1" shrinkToFit="1"/>
    </xf>
    <xf numFmtId="0" fontId="2" fillId="0" borderId="46" xfId="0" applyFont="1" applyBorder="1" applyAlignment="1">
      <alignment vertical="center" wrapText="1"/>
    </xf>
    <xf numFmtId="0" fontId="2" fillId="0" borderId="33" xfId="0" applyFont="1" applyBorder="1" applyAlignment="1">
      <alignment vertical="center" wrapText="1"/>
    </xf>
    <xf numFmtId="0" fontId="11" fillId="0" borderId="32" xfId="0" applyFont="1" applyBorder="1" applyAlignment="1">
      <alignment vertical="top" wrapText="1" shrinkToFit="1"/>
    </xf>
    <xf numFmtId="0" fontId="11" fillId="0" borderId="33" xfId="0" applyFont="1" applyBorder="1" applyAlignment="1">
      <alignment vertical="top" wrapText="1" shrinkToFit="1"/>
    </xf>
    <xf numFmtId="0" fontId="2" fillId="0" borderId="35"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11" fillId="0" borderId="36" xfId="0" applyFont="1" applyBorder="1" applyAlignment="1">
      <alignment vertical="top" wrapText="1" shrinkToFit="1"/>
    </xf>
    <xf numFmtId="0" fontId="11" fillId="0" borderId="37" xfId="0" applyFont="1" applyBorder="1" applyAlignment="1">
      <alignment vertical="top" wrapText="1" shrinkToFit="1"/>
    </xf>
    <xf numFmtId="0" fontId="11" fillId="0" borderId="18" xfId="0" applyFont="1" applyFill="1" applyBorder="1" applyAlignment="1">
      <alignment vertical="top" wrapText="1" shrinkToFit="1"/>
    </xf>
    <xf numFmtId="0" fontId="11" fillId="0" borderId="19" xfId="0" applyFont="1" applyFill="1" applyBorder="1" applyAlignment="1">
      <alignment vertical="top" wrapText="1" shrinkToFit="1"/>
    </xf>
    <xf numFmtId="0" fontId="11" fillId="0" borderId="17" xfId="0" applyFont="1" applyFill="1" applyBorder="1" applyAlignment="1">
      <alignment vertical="top" wrapText="1" shrinkToFit="1"/>
    </xf>
    <xf numFmtId="0" fontId="11" fillId="0" borderId="31" xfId="0" applyFont="1" applyFill="1" applyBorder="1" applyAlignment="1">
      <alignment vertical="top" wrapText="1" shrinkToFit="1"/>
    </xf>
    <xf numFmtId="0" fontId="11" fillId="0" borderId="32" xfId="0" applyFont="1" applyFill="1" applyBorder="1" applyAlignment="1">
      <alignment vertical="top" wrapText="1" shrinkToFit="1"/>
    </xf>
    <xf numFmtId="0" fontId="11" fillId="0" borderId="33" xfId="0" applyFont="1" applyFill="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11" fillId="0" borderId="18"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D656D-4259-40E1-BCA2-BE97C7691E22}">
  <sheetPr>
    <pageSetUpPr fitToPage="1"/>
  </sheetPr>
  <dimension ref="A1:AA107"/>
  <sheetViews>
    <sheetView showZeros="0" view="pageBreakPreview" topLeftCell="A58" zoomScaleNormal="100" zoomScaleSheetLayoutView="100" workbookViewId="0">
      <selection activeCell="Y65" sqref="Y65"/>
    </sheetView>
  </sheetViews>
  <sheetFormatPr defaultColWidth="9" defaultRowHeight="18.75" customHeight="1"/>
  <cols>
    <col min="1" max="1" width="2.5" style="81" customWidth="1"/>
    <col min="2" max="2" width="16.5" style="81" customWidth="1"/>
    <col min="3" max="21" width="5.625" style="81" customWidth="1"/>
    <col min="22" max="22" width="5.75" style="81" customWidth="1"/>
    <col min="23" max="23" width="3.625" style="81" customWidth="1"/>
    <col min="24" max="24" width="48.625" style="81" hidden="1" customWidth="1"/>
    <col min="25" max="26" width="9" style="81"/>
    <col min="27" max="27" width="9" style="81" hidden="1" customWidth="1"/>
    <col min="28" max="16384" width="9" style="81"/>
  </cols>
  <sheetData>
    <row r="1" spans="1:24" ht="18.600000000000001" customHeight="1">
      <c r="T1" s="85" t="s">
        <v>12</v>
      </c>
      <c r="U1" s="85"/>
      <c r="V1" s="2" t="s">
        <v>94</v>
      </c>
    </row>
    <row r="2" spans="1:24" ht="18.75" customHeight="1">
      <c r="B2" s="14" t="s">
        <v>93</v>
      </c>
      <c r="C2" s="86" t="s">
        <v>143</v>
      </c>
      <c r="D2" s="87"/>
      <c r="E2" s="87"/>
      <c r="F2" s="87"/>
      <c r="G2" s="87"/>
      <c r="H2" s="87"/>
      <c r="I2" s="87"/>
      <c r="J2" s="88"/>
      <c r="K2" s="79"/>
      <c r="L2" s="6"/>
      <c r="M2" s="6"/>
      <c r="N2" s="6"/>
      <c r="O2" s="6"/>
      <c r="P2" s="6"/>
      <c r="Q2" s="6"/>
      <c r="R2" s="6"/>
      <c r="S2" s="6"/>
      <c r="T2" s="6"/>
      <c r="U2" s="6"/>
    </row>
    <row r="3" spans="1:24" ht="18.75" customHeight="1">
      <c r="B3" s="14" t="s">
        <v>88</v>
      </c>
      <c r="C3" s="86" t="s">
        <v>155</v>
      </c>
      <c r="D3" s="87"/>
      <c r="E3" s="87"/>
      <c r="F3" s="87"/>
      <c r="G3" s="87"/>
      <c r="H3" s="87"/>
      <c r="I3" s="87"/>
      <c r="J3" s="88"/>
      <c r="K3" s="79"/>
      <c r="L3" s="6"/>
      <c r="M3" s="6"/>
      <c r="N3" s="6"/>
      <c r="O3" s="6"/>
      <c r="P3" s="6"/>
      <c r="Q3" s="6"/>
      <c r="R3" s="6"/>
      <c r="S3" s="6"/>
      <c r="T3" s="6"/>
      <c r="U3" s="6"/>
    </row>
    <row r="4" spans="1:24" ht="15" customHeight="1">
      <c r="L4" s="79"/>
      <c r="M4" s="65"/>
      <c r="N4" s="65"/>
      <c r="O4" s="65"/>
      <c r="P4" s="65"/>
      <c r="Q4" s="65"/>
      <c r="R4" s="65"/>
      <c r="S4" s="65"/>
      <c r="T4" s="65"/>
      <c r="U4" s="65"/>
    </row>
    <row r="5" spans="1:24" ht="18" customHeight="1">
      <c r="A5" s="89" t="s">
        <v>141</v>
      </c>
      <c r="B5" s="89"/>
      <c r="C5" s="89"/>
      <c r="D5" s="89"/>
      <c r="E5" s="89"/>
      <c r="F5" s="89"/>
      <c r="G5" s="89"/>
      <c r="H5" s="89"/>
      <c r="I5" s="89"/>
      <c r="J5" s="89"/>
      <c r="K5" s="89"/>
      <c r="L5" s="89"/>
      <c r="M5" s="89"/>
      <c r="N5" s="89"/>
      <c r="O5" s="89"/>
      <c r="P5" s="89"/>
      <c r="Q5" s="89"/>
      <c r="R5" s="89"/>
      <c r="S5" s="89"/>
      <c r="T5" s="89"/>
      <c r="U5" s="89"/>
    </row>
    <row r="6" spans="1:24" ht="15" customHeight="1">
      <c r="B6" s="80"/>
      <c r="C6" s="80"/>
      <c r="D6" s="80"/>
      <c r="E6" s="80"/>
      <c r="F6" s="80"/>
      <c r="G6" s="80"/>
      <c r="H6" s="80"/>
      <c r="I6" s="80"/>
      <c r="J6" s="80"/>
      <c r="K6" s="80"/>
      <c r="L6" s="80"/>
      <c r="M6" s="80"/>
      <c r="N6" s="80"/>
      <c r="O6" s="80"/>
      <c r="P6" s="80"/>
      <c r="Q6" s="80"/>
      <c r="R6" s="80"/>
      <c r="S6" s="80"/>
      <c r="T6" s="80"/>
      <c r="U6" s="80"/>
    </row>
    <row r="7" spans="1:24" ht="15" customHeight="1">
      <c r="A7" s="81" t="s">
        <v>117</v>
      </c>
      <c r="B7" s="80"/>
      <c r="C7" s="80"/>
      <c r="D7" s="80"/>
      <c r="E7" s="80"/>
      <c r="F7" s="2"/>
      <c r="G7" s="2"/>
      <c r="H7" s="2"/>
      <c r="I7" s="2"/>
      <c r="J7" s="2"/>
      <c r="K7" s="2"/>
      <c r="L7" s="90" t="s">
        <v>154</v>
      </c>
      <c r="M7" s="91"/>
      <c r="N7" s="91"/>
      <c r="O7" s="91"/>
      <c r="P7" s="91"/>
      <c r="Q7" s="91"/>
      <c r="R7" s="91"/>
      <c r="S7" s="91"/>
      <c r="T7" s="91"/>
      <c r="U7" s="92"/>
    </row>
    <row r="8" spans="1:24" ht="6" customHeight="1">
      <c r="B8" s="80"/>
      <c r="C8" s="80"/>
      <c r="D8" s="80"/>
      <c r="E8" s="80"/>
      <c r="F8" s="80"/>
      <c r="G8" s="80"/>
      <c r="H8" s="80"/>
      <c r="I8" s="80"/>
      <c r="J8" s="80"/>
      <c r="K8" s="80"/>
      <c r="L8" s="80"/>
      <c r="M8" s="80"/>
      <c r="N8" s="80"/>
      <c r="O8" s="80"/>
      <c r="P8" s="80"/>
      <c r="Q8" s="80"/>
      <c r="R8" s="80"/>
      <c r="S8" s="80"/>
      <c r="T8" s="80"/>
      <c r="U8" s="80"/>
    </row>
    <row r="9" spans="1:24" ht="18" customHeight="1">
      <c r="A9" s="81" t="s">
        <v>118</v>
      </c>
      <c r="C9" s="80"/>
      <c r="D9" s="80"/>
      <c r="K9" s="79"/>
      <c r="L9" s="2"/>
      <c r="M9" s="2"/>
      <c r="N9" s="2"/>
      <c r="O9" s="2"/>
      <c r="P9" s="2"/>
      <c r="Q9" s="2"/>
      <c r="R9" s="2"/>
      <c r="S9" s="2"/>
      <c r="T9" s="2"/>
      <c r="U9" s="2"/>
    </row>
    <row r="10" spans="1:24" ht="6" customHeight="1">
      <c r="B10" s="80"/>
      <c r="C10" s="80"/>
      <c r="D10" s="80"/>
      <c r="E10" s="80"/>
      <c r="F10" s="80"/>
      <c r="G10" s="80"/>
      <c r="H10" s="80"/>
      <c r="I10" s="80"/>
      <c r="J10" s="80"/>
      <c r="K10" s="80"/>
      <c r="L10" s="8"/>
      <c r="M10" s="80"/>
      <c r="N10" s="80"/>
      <c r="O10" s="80"/>
      <c r="P10" s="80"/>
      <c r="Q10" s="80"/>
      <c r="R10" s="80"/>
      <c r="S10" s="80"/>
      <c r="T10" s="80"/>
      <c r="U10" s="80"/>
    </row>
    <row r="11" spans="1:24" ht="18" customHeight="1">
      <c r="B11" s="93"/>
      <c r="C11" s="94"/>
      <c r="D11" s="94"/>
      <c r="E11" s="94"/>
      <c r="F11" s="94"/>
      <c r="G11" s="94"/>
      <c r="H11" s="94"/>
      <c r="I11" s="94"/>
      <c r="J11" s="94"/>
      <c r="K11" s="94"/>
      <c r="L11" s="94"/>
      <c r="M11" s="94"/>
      <c r="N11" s="94"/>
      <c r="O11" s="94"/>
      <c r="P11" s="94"/>
      <c r="Q11" s="94"/>
      <c r="R11" s="94"/>
      <c r="S11" s="94"/>
      <c r="T11" s="94"/>
      <c r="U11" s="95"/>
    </row>
    <row r="12" spans="1:24" ht="18" customHeight="1">
      <c r="B12" s="96"/>
      <c r="C12" s="97"/>
      <c r="D12" s="97"/>
      <c r="E12" s="97"/>
      <c r="F12" s="97"/>
      <c r="G12" s="97"/>
      <c r="H12" s="97"/>
      <c r="I12" s="97"/>
      <c r="J12" s="97"/>
      <c r="K12" s="97"/>
      <c r="L12" s="97"/>
      <c r="M12" s="97"/>
      <c r="N12" s="97"/>
      <c r="O12" s="97"/>
      <c r="P12" s="97"/>
      <c r="Q12" s="97"/>
      <c r="R12" s="97"/>
      <c r="S12" s="97"/>
      <c r="T12" s="97"/>
      <c r="U12" s="98"/>
    </row>
    <row r="13" spans="1:24" ht="6" customHeight="1">
      <c r="B13" s="80"/>
      <c r="C13" s="80"/>
      <c r="D13" s="80"/>
      <c r="E13" s="80"/>
      <c r="F13" s="80"/>
      <c r="G13" s="80"/>
      <c r="H13" s="80"/>
      <c r="I13" s="80"/>
      <c r="J13" s="80"/>
      <c r="K13" s="80"/>
      <c r="L13" s="8"/>
      <c r="M13" s="80"/>
      <c r="N13" s="80"/>
      <c r="O13" s="80"/>
      <c r="P13" s="80"/>
      <c r="Q13" s="80"/>
      <c r="R13" s="80"/>
      <c r="S13" s="80"/>
      <c r="T13" s="80"/>
      <c r="U13" s="80"/>
    </row>
    <row r="14" spans="1:24" ht="18" customHeight="1">
      <c r="A14" s="81" t="s">
        <v>95</v>
      </c>
      <c r="B14" s="80"/>
      <c r="C14" s="80"/>
      <c r="D14" s="80"/>
      <c r="E14" s="79"/>
      <c r="F14" s="79"/>
      <c r="G14" s="79"/>
      <c r="H14" s="79"/>
      <c r="I14" s="79"/>
      <c r="J14" s="79"/>
      <c r="K14" s="79"/>
      <c r="L14" s="66"/>
      <c r="M14" s="66"/>
      <c r="N14" s="66"/>
      <c r="O14" s="66"/>
      <c r="P14" s="66"/>
      <c r="Q14" s="66"/>
      <c r="R14" s="66"/>
      <c r="S14" s="66"/>
      <c r="T14" s="66"/>
      <c r="U14" s="66"/>
    </row>
    <row r="15" spans="1:24" ht="18" customHeight="1">
      <c r="B15" s="102" t="s">
        <v>156</v>
      </c>
      <c r="C15" s="103"/>
      <c r="D15" s="103"/>
      <c r="E15" s="103"/>
      <c r="F15" s="103"/>
      <c r="G15" s="103"/>
      <c r="H15" s="103"/>
      <c r="I15" s="103"/>
      <c r="J15" s="103"/>
      <c r="K15" s="103"/>
      <c r="L15" s="103"/>
      <c r="M15" s="103"/>
      <c r="N15" s="103"/>
      <c r="O15" s="103"/>
      <c r="P15" s="103"/>
      <c r="Q15" s="103"/>
      <c r="R15" s="103"/>
      <c r="S15" s="103"/>
      <c r="T15" s="103"/>
      <c r="U15" s="104"/>
      <c r="X15" s="81" t="s">
        <v>89</v>
      </c>
    </row>
    <row r="16" spans="1:24" ht="18" customHeight="1">
      <c r="B16" s="105"/>
      <c r="C16" s="106"/>
      <c r="D16" s="106"/>
      <c r="E16" s="106"/>
      <c r="F16" s="106"/>
      <c r="G16" s="106"/>
      <c r="H16" s="106"/>
      <c r="I16" s="106"/>
      <c r="J16" s="106"/>
      <c r="K16" s="106"/>
      <c r="L16" s="106"/>
      <c r="M16" s="106"/>
      <c r="N16" s="106"/>
      <c r="O16" s="106"/>
      <c r="P16" s="106"/>
      <c r="Q16" s="106"/>
      <c r="R16" s="106"/>
      <c r="S16" s="106"/>
      <c r="T16" s="106"/>
      <c r="U16" s="107"/>
      <c r="X16" s="81" t="s">
        <v>122</v>
      </c>
    </row>
    <row r="17" spans="1:24" ht="18" customHeight="1">
      <c r="B17" s="105"/>
      <c r="C17" s="106"/>
      <c r="D17" s="106"/>
      <c r="E17" s="106"/>
      <c r="F17" s="106"/>
      <c r="G17" s="106"/>
      <c r="H17" s="106"/>
      <c r="I17" s="106"/>
      <c r="J17" s="106"/>
      <c r="K17" s="106"/>
      <c r="L17" s="106"/>
      <c r="M17" s="106"/>
      <c r="N17" s="106"/>
      <c r="O17" s="106"/>
      <c r="P17" s="106"/>
      <c r="Q17" s="106"/>
      <c r="R17" s="106"/>
      <c r="S17" s="106"/>
      <c r="T17" s="106"/>
      <c r="U17" s="107"/>
      <c r="X17" s="81" t="s">
        <v>123</v>
      </c>
    </row>
    <row r="18" spans="1:24" ht="18" customHeight="1">
      <c r="B18" s="105"/>
      <c r="C18" s="106"/>
      <c r="D18" s="106"/>
      <c r="E18" s="106"/>
      <c r="F18" s="106"/>
      <c r="G18" s="106"/>
      <c r="H18" s="106"/>
      <c r="I18" s="106"/>
      <c r="J18" s="106"/>
      <c r="K18" s="106"/>
      <c r="L18" s="106"/>
      <c r="M18" s="106"/>
      <c r="N18" s="106"/>
      <c r="O18" s="106"/>
      <c r="P18" s="106"/>
      <c r="Q18" s="106"/>
      <c r="R18" s="106"/>
      <c r="S18" s="106"/>
      <c r="T18" s="106"/>
      <c r="U18" s="107"/>
      <c r="X18" s="81" t="s">
        <v>124</v>
      </c>
    </row>
    <row r="19" spans="1:24" ht="18" customHeight="1">
      <c r="B19" s="105"/>
      <c r="C19" s="106"/>
      <c r="D19" s="106"/>
      <c r="E19" s="106"/>
      <c r="F19" s="106"/>
      <c r="G19" s="106"/>
      <c r="H19" s="106"/>
      <c r="I19" s="106"/>
      <c r="J19" s="106"/>
      <c r="K19" s="106"/>
      <c r="L19" s="106"/>
      <c r="M19" s="106"/>
      <c r="N19" s="106"/>
      <c r="O19" s="106"/>
      <c r="P19" s="106"/>
      <c r="Q19" s="106"/>
      <c r="R19" s="106"/>
      <c r="S19" s="106"/>
      <c r="T19" s="106"/>
      <c r="U19" s="107"/>
    </row>
    <row r="20" spans="1:24" ht="18" customHeight="1">
      <c r="B20" s="108"/>
      <c r="C20" s="109"/>
      <c r="D20" s="109"/>
      <c r="E20" s="109"/>
      <c r="F20" s="109"/>
      <c r="G20" s="109"/>
      <c r="H20" s="109"/>
      <c r="I20" s="109"/>
      <c r="J20" s="109"/>
      <c r="K20" s="109"/>
      <c r="L20" s="109"/>
      <c r="M20" s="109"/>
      <c r="N20" s="109"/>
      <c r="O20" s="109"/>
      <c r="P20" s="109"/>
      <c r="Q20" s="109"/>
      <c r="R20" s="109"/>
      <c r="S20" s="109"/>
      <c r="T20" s="109"/>
      <c r="U20" s="110"/>
    </row>
    <row r="21" spans="1:24" ht="7.5" customHeight="1">
      <c r="B21" s="80"/>
      <c r="C21" s="80"/>
      <c r="D21" s="80"/>
      <c r="E21" s="80"/>
      <c r="F21" s="80"/>
      <c r="G21" s="80"/>
      <c r="H21" s="80"/>
      <c r="I21" s="80"/>
      <c r="J21" s="80"/>
      <c r="K21" s="80"/>
      <c r="L21" s="80"/>
      <c r="M21" s="80"/>
      <c r="N21" s="80"/>
      <c r="O21" s="80"/>
      <c r="P21" s="80"/>
      <c r="Q21" s="80"/>
      <c r="R21" s="80"/>
      <c r="S21" s="80"/>
      <c r="T21" s="80"/>
      <c r="U21" s="80"/>
    </row>
    <row r="22" spans="1:24" ht="19.899999999999999" customHeight="1">
      <c r="B22" s="81" t="s">
        <v>119</v>
      </c>
      <c r="E22" s="67">
        <v>2</v>
      </c>
      <c r="F22" s="81" t="s">
        <v>107</v>
      </c>
      <c r="H22" s="74">
        <v>4</v>
      </c>
      <c r="I22" s="80" t="s">
        <v>108</v>
      </c>
      <c r="J22" s="80"/>
      <c r="K22" s="79"/>
      <c r="M22" s="79" t="s">
        <v>104</v>
      </c>
      <c r="N22" s="111" t="s">
        <v>124</v>
      </c>
      <c r="O22" s="112"/>
      <c r="P22" s="112"/>
      <c r="Q22" s="112"/>
      <c r="R22" s="112"/>
      <c r="S22" s="112"/>
      <c r="T22" s="112"/>
      <c r="U22" s="113"/>
    </row>
    <row r="23" spans="1:24" ht="7.5" customHeight="1">
      <c r="B23" s="80"/>
      <c r="C23" s="80"/>
      <c r="D23" s="80"/>
      <c r="E23" s="80"/>
      <c r="F23" s="80"/>
      <c r="G23" s="80"/>
      <c r="H23" s="80"/>
      <c r="I23" s="80"/>
      <c r="J23" s="80"/>
      <c r="K23" s="80"/>
      <c r="L23" s="80"/>
      <c r="M23" s="80"/>
      <c r="N23" s="80"/>
      <c r="O23" s="80"/>
      <c r="P23" s="80"/>
      <c r="Q23" s="80"/>
      <c r="R23" s="80"/>
      <c r="S23" s="80"/>
      <c r="T23" s="80"/>
      <c r="U23" s="80"/>
    </row>
    <row r="24" spans="1:24" ht="18" customHeight="1">
      <c r="A24" s="114" t="s">
        <v>96</v>
      </c>
      <c r="B24" s="114"/>
      <c r="C24" s="114"/>
      <c r="D24" s="114"/>
      <c r="E24" s="114"/>
      <c r="F24" s="114"/>
      <c r="G24" s="114"/>
      <c r="H24" s="114"/>
      <c r="I24" s="114"/>
      <c r="J24" s="114"/>
      <c r="K24" s="114"/>
      <c r="L24" s="114"/>
      <c r="M24" s="114"/>
      <c r="N24" s="114"/>
      <c r="O24" s="114"/>
      <c r="P24" s="114"/>
      <c r="Q24" s="114"/>
      <c r="R24" s="114"/>
      <c r="S24" s="114"/>
      <c r="T24" s="114"/>
      <c r="U24" s="114"/>
    </row>
    <row r="25" spans="1:24" ht="18" customHeight="1">
      <c r="A25" s="114"/>
      <c r="B25" s="114"/>
      <c r="C25" s="114"/>
      <c r="D25" s="114"/>
      <c r="E25" s="114"/>
      <c r="F25" s="114"/>
      <c r="G25" s="114"/>
      <c r="H25" s="114"/>
      <c r="I25" s="114"/>
      <c r="J25" s="114"/>
      <c r="K25" s="114"/>
      <c r="L25" s="114"/>
      <c r="M25" s="114"/>
      <c r="N25" s="114"/>
      <c r="O25" s="114"/>
      <c r="P25" s="114"/>
      <c r="Q25" s="114"/>
      <c r="R25" s="114"/>
      <c r="S25" s="114"/>
      <c r="T25" s="114"/>
      <c r="U25" s="114"/>
    </row>
    <row r="26" spans="1:24" ht="18" customHeight="1">
      <c r="B26" s="86" t="s">
        <v>48</v>
      </c>
      <c r="C26" s="87"/>
      <c r="D26" s="87"/>
      <c r="E26" s="87"/>
      <c r="F26" s="88"/>
      <c r="G26" s="51" t="s">
        <v>73</v>
      </c>
      <c r="H26" s="52" t="s">
        <v>76</v>
      </c>
      <c r="I26" s="53" t="s">
        <v>51</v>
      </c>
      <c r="J26" s="53" t="s">
        <v>54</v>
      </c>
      <c r="K26" s="86" t="s">
        <v>48</v>
      </c>
      <c r="L26" s="87"/>
      <c r="M26" s="87"/>
      <c r="N26" s="87"/>
      <c r="O26" s="87"/>
      <c r="P26" s="87"/>
      <c r="Q26" s="88"/>
      <c r="R26" s="51" t="s">
        <v>73</v>
      </c>
      <c r="S26" s="52" t="s">
        <v>76</v>
      </c>
      <c r="T26" s="53" t="s">
        <v>51</v>
      </c>
      <c r="U26" s="53" t="s">
        <v>54</v>
      </c>
    </row>
    <row r="27" spans="1:24" ht="18" customHeight="1">
      <c r="B27" s="115" t="s">
        <v>157</v>
      </c>
      <c r="C27" s="116"/>
      <c r="D27" s="116"/>
      <c r="E27" s="116"/>
      <c r="F27" s="117"/>
      <c r="G27" s="54">
        <v>2</v>
      </c>
      <c r="H27" s="54" t="s">
        <v>158</v>
      </c>
      <c r="I27" s="54" t="s">
        <v>158</v>
      </c>
      <c r="J27" s="54" t="s">
        <v>158</v>
      </c>
      <c r="K27" s="115"/>
      <c r="L27" s="116"/>
      <c r="M27" s="116"/>
      <c r="N27" s="116"/>
      <c r="O27" s="116"/>
      <c r="P27" s="116"/>
      <c r="Q27" s="117"/>
      <c r="R27" s="54"/>
      <c r="S27" s="54"/>
      <c r="T27" s="54"/>
      <c r="U27" s="54"/>
    </row>
    <row r="28" spans="1:24" ht="18" customHeight="1">
      <c r="B28" s="99"/>
      <c r="C28" s="100"/>
      <c r="D28" s="100"/>
      <c r="E28" s="100"/>
      <c r="F28" s="101"/>
      <c r="G28" s="55"/>
      <c r="H28" s="55"/>
      <c r="I28" s="55"/>
      <c r="J28" s="55"/>
      <c r="K28" s="99"/>
      <c r="L28" s="100"/>
      <c r="M28" s="100"/>
      <c r="N28" s="100"/>
      <c r="O28" s="100"/>
      <c r="P28" s="100"/>
      <c r="Q28" s="101"/>
      <c r="R28" s="55"/>
      <c r="S28" s="55"/>
      <c r="T28" s="55"/>
      <c r="U28" s="55"/>
    </row>
    <row r="29" spans="1:24" ht="18" customHeight="1">
      <c r="B29" s="99"/>
      <c r="C29" s="100"/>
      <c r="D29" s="100"/>
      <c r="E29" s="100"/>
      <c r="F29" s="101"/>
      <c r="G29" s="55"/>
      <c r="H29" s="55"/>
      <c r="I29" s="55"/>
      <c r="J29" s="55"/>
      <c r="K29" s="99"/>
      <c r="L29" s="100"/>
      <c r="M29" s="100"/>
      <c r="N29" s="100"/>
      <c r="O29" s="100"/>
      <c r="P29" s="100"/>
      <c r="Q29" s="101"/>
      <c r="R29" s="55"/>
      <c r="S29" s="55"/>
      <c r="T29" s="55"/>
      <c r="U29" s="55"/>
    </row>
    <row r="30" spans="1:24" ht="18" customHeight="1">
      <c r="B30" s="99"/>
      <c r="C30" s="100"/>
      <c r="D30" s="100"/>
      <c r="E30" s="100"/>
      <c r="F30" s="101"/>
      <c r="G30" s="55"/>
      <c r="H30" s="55"/>
      <c r="I30" s="55"/>
      <c r="J30" s="55"/>
      <c r="K30" s="99"/>
      <c r="L30" s="100"/>
      <c r="M30" s="100"/>
      <c r="N30" s="100"/>
      <c r="O30" s="100"/>
      <c r="P30" s="100"/>
      <c r="Q30" s="101"/>
      <c r="R30" s="55"/>
      <c r="S30" s="55"/>
      <c r="T30" s="55"/>
      <c r="U30" s="55"/>
    </row>
    <row r="31" spans="1:24" ht="18" customHeight="1">
      <c r="B31" s="99"/>
      <c r="C31" s="100"/>
      <c r="D31" s="100"/>
      <c r="E31" s="100"/>
      <c r="F31" s="101"/>
      <c r="G31" s="55"/>
      <c r="H31" s="55"/>
      <c r="I31" s="55"/>
      <c r="J31" s="55"/>
      <c r="K31" s="99"/>
      <c r="L31" s="100"/>
      <c r="M31" s="100"/>
      <c r="N31" s="100"/>
      <c r="O31" s="100"/>
      <c r="P31" s="100"/>
      <c r="Q31" s="101"/>
      <c r="R31" s="55"/>
      <c r="S31" s="55"/>
      <c r="T31" s="55"/>
      <c r="U31" s="55"/>
    </row>
    <row r="32" spans="1:24" ht="18" customHeight="1">
      <c r="A32" s="80"/>
      <c r="B32" s="99"/>
      <c r="C32" s="100"/>
      <c r="D32" s="100"/>
      <c r="E32" s="100"/>
      <c r="F32" s="101"/>
      <c r="G32" s="55"/>
      <c r="H32" s="55"/>
      <c r="I32" s="55"/>
      <c r="J32" s="55"/>
      <c r="K32" s="99"/>
      <c r="L32" s="100"/>
      <c r="M32" s="100"/>
      <c r="N32" s="100"/>
      <c r="O32" s="100"/>
      <c r="P32" s="100"/>
      <c r="Q32" s="101"/>
      <c r="R32" s="55"/>
      <c r="S32" s="55"/>
      <c r="T32" s="55"/>
      <c r="U32" s="55"/>
    </row>
    <row r="33" spans="1:21" ht="18" customHeight="1">
      <c r="A33" s="80"/>
      <c r="B33" s="118"/>
      <c r="C33" s="119"/>
      <c r="D33" s="119"/>
      <c r="E33" s="119"/>
      <c r="F33" s="120"/>
      <c r="G33" s="56"/>
      <c r="H33" s="56"/>
      <c r="I33" s="57"/>
      <c r="J33" s="57"/>
      <c r="K33" s="118"/>
      <c r="L33" s="119"/>
      <c r="M33" s="119"/>
      <c r="N33" s="119"/>
      <c r="O33" s="119"/>
      <c r="P33" s="119"/>
      <c r="Q33" s="120"/>
      <c r="R33" s="56"/>
      <c r="S33" s="56"/>
      <c r="T33" s="57"/>
      <c r="U33" s="57"/>
    </row>
    <row r="34" spans="1:21" ht="7.5" customHeight="1">
      <c r="A34" s="80"/>
      <c r="B34" s="6"/>
      <c r="C34" s="6"/>
      <c r="D34" s="6"/>
      <c r="E34" s="80"/>
      <c r="F34" s="80"/>
      <c r="G34" s="80"/>
      <c r="H34" s="80"/>
      <c r="I34" s="6"/>
      <c r="J34" s="6"/>
      <c r="K34" s="6"/>
      <c r="L34" s="6"/>
      <c r="M34" s="6"/>
      <c r="N34" s="6"/>
      <c r="O34" s="6"/>
      <c r="P34" s="6"/>
      <c r="Q34" s="6"/>
      <c r="R34" s="6"/>
      <c r="S34" s="6"/>
      <c r="T34" s="6"/>
      <c r="U34" s="80"/>
    </row>
    <row r="35" spans="1:21" ht="18" customHeight="1">
      <c r="A35" s="114" t="s">
        <v>97</v>
      </c>
      <c r="B35" s="114"/>
      <c r="C35" s="114"/>
      <c r="D35" s="114"/>
      <c r="E35" s="114"/>
      <c r="F35" s="114"/>
      <c r="G35" s="114"/>
      <c r="H35" s="114"/>
      <c r="I35" s="114"/>
      <c r="J35" s="114"/>
      <c r="K35" s="114"/>
      <c r="L35" s="114"/>
      <c r="M35" s="114"/>
      <c r="N35" s="114"/>
      <c r="O35" s="114"/>
      <c r="P35" s="114"/>
      <c r="Q35" s="114"/>
      <c r="R35" s="114"/>
      <c r="S35" s="114"/>
      <c r="T35" s="114"/>
      <c r="U35" s="114"/>
    </row>
    <row r="36" spans="1:21" ht="18" customHeight="1">
      <c r="A36" s="114"/>
      <c r="B36" s="114"/>
      <c r="C36" s="114"/>
      <c r="D36" s="114"/>
      <c r="E36" s="114"/>
      <c r="F36" s="114"/>
      <c r="G36" s="114"/>
      <c r="H36" s="114"/>
      <c r="I36" s="114"/>
      <c r="J36" s="114"/>
      <c r="K36" s="114"/>
      <c r="L36" s="114"/>
      <c r="M36" s="114"/>
      <c r="N36" s="114"/>
      <c r="O36" s="114"/>
      <c r="P36" s="114"/>
      <c r="Q36" s="114"/>
      <c r="R36" s="114"/>
      <c r="S36" s="114"/>
      <c r="T36" s="114"/>
      <c r="U36" s="114"/>
    </row>
    <row r="37" spans="1:21" ht="18" customHeight="1">
      <c r="B37" s="86" t="s">
        <v>48</v>
      </c>
      <c r="C37" s="87"/>
      <c r="D37" s="87"/>
      <c r="E37" s="87"/>
      <c r="F37" s="88"/>
      <c r="G37" s="51" t="s">
        <v>73</v>
      </c>
      <c r="H37" s="52" t="s">
        <v>76</v>
      </c>
      <c r="I37" s="53" t="s">
        <v>64</v>
      </c>
      <c r="J37" s="53" t="s">
        <v>65</v>
      </c>
      <c r="K37" s="86" t="s">
        <v>48</v>
      </c>
      <c r="L37" s="87"/>
      <c r="M37" s="87"/>
      <c r="N37" s="87"/>
      <c r="O37" s="87"/>
      <c r="P37" s="87"/>
      <c r="Q37" s="88"/>
      <c r="R37" s="51" t="s">
        <v>73</v>
      </c>
      <c r="S37" s="52" t="s">
        <v>76</v>
      </c>
      <c r="T37" s="53" t="s">
        <v>64</v>
      </c>
      <c r="U37" s="53" t="s">
        <v>65</v>
      </c>
    </row>
    <row r="38" spans="1:21" ht="18" customHeight="1">
      <c r="B38" s="115" t="s">
        <v>157</v>
      </c>
      <c r="C38" s="116"/>
      <c r="D38" s="116"/>
      <c r="E38" s="116"/>
      <c r="F38" s="117"/>
      <c r="G38" s="54">
        <v>2</v>
      </c>
      <c r="H38" s="54" t="s">
        <v>158</v>
      </c>
      <c r="I38" s="54" t="s">
        <v>158</v>
      </c>
      <c r="J38" s="54" t="s">
        <v>158</v>
      </c>
      <c r="K38" s="115"/>
      <c r="L38" s="116"/>
      <c r="M38" s="116"/>
      <c r="N38" s="116"/>
      <c r="O38" s="116"/>
      <c r="P38" s="116"/>
      <c r="Q38" s="117"/>
      <c r="R38" s="54"/>
      <c r="S38" s="54"/>
      <c r="T38" s="54"/>
      <c r="U38" s="54"/>
    </row>
    <row r="39" spans="1:21" ht="18" customHeight="1">
      <c r="B39" s="99"/>
      <c r="C39" s="100"/>
      <c r="D39" s="100"/>
      <c r="E39" s="100"/>
      <c r="F39" s="101"/>
      <c r="G39" s="55"/>
      <c r="H39" s="55"/>
      <c r="I39" s="55"/>
      <c r="J39" s="55"/>
      <c r="K39" s="99"/>
      <c r="L39" s="100"/>
      <c r="M39" s="100"/>
      <c r="N39" s="100"/>
      <c r="O39" s="100"/>
      <c r="P39" s="100"/>
      <c r="Q39" s="101"/>
      <c r="R39" s="55"/>
      <c r="S39" s="55"/>
      <c r="T39" s="55"/>
      <c r="U39" s="55"/>
    </row>
    <row r="40" spans="1:21" ht="18" customHeight="1">
      <c r="B40" s="99"/>
      <c r="C40" s="100"/>
      <c r="D40" s="100"/>
      <c r="E40" s="100"/>
      <c r="F40" s="101"/>
      <c r="G40" s="55"/>
      <c r="H40" s="55"/>
      <c r="I40" s="55"/>
      <c r="J40" s="55"/>
      <c r="K40" s="99"/>
      <c r="L40" s="100"/>
      <c r="M40" s="100"/>
      <c r="N40" s="100"/>
      <c r="O40" s="100"/>
      <c r="P40" s="100"/>
      <c r="Q40" s="101"/>
      <c r="R40" s="55"/>
      <c r="S40" s="55"/>
      <c r="T40" s="55"/>
      <c r="U40" s="55"/>
    </row>
    <row r="41" spans="1:21" ht="18" customHeight="1">
      <c r="B41" s="99"/>
      <c r="C41" s="100"/>
      <c r="D41" s="100"/>
      <c r="E41" s="100"/>
      <c r="F41" s="101"/>
      <c r="G41" s="55"/>
      <c r="H41" s="55"/>
      <c r="I41" s="55"/>
      <c r="J41" s="55"/>
      <c r="K41" s="99"/>
      <c r="L41" s="100"/>
      <c r="M41" s="100"/>
      <c r="N41" s="100"/>
      <c r="O41" s="100"/>
      <c r="P41" s="100"/>
      <c r="Q41" s="101"/>
      <c r="R41" s="55"/>
      <c r="S41" s="55"/>
      <c r="T41" s="55"/>
      <c r="U41" s="55"/>
    </row>
    <row r="42" spans="1:21" ht="18" customHeight="1">
      <c r="B42" s="99"/>
      <c r="C42" s="100"/>
      <c r="D42" s="100"/>
      <c r="E42" s="100"/>
      <c r="F42" s="101"/>
      <c r="G42" s="55"/>
      <c r="H42" s="55"/>
      <c r="I42" s="55"/>
      <c r="J42" s="55"/>
      <c r="K42" s="99"/>
      <c r="L42" s="100"/>
      <c r="M42" s="100"/>
      <c r="N42" s="100"/>
      <c r="O42" s="100"/>
      <c r="P42" s="100"/>
      <c r="Q42" s="101"/>
      <c r="R42" s="55"/>
      <c r="S42" s="55"/>
      <c r="T42" s="55"/>
      <c r="U42" s="55"/>
    </row>
    <row r="43" spans="1:21" ht="18" customHeight="1">
      <c r="B43" s="99"/>
      <c r="C43" s="100"/>
      <c r="D43" s="100"/>
      <c r="E43" s="100"/>
      <c r="F43" s="101"/>
      <c r="G43" s="55"/>
      <c r="H43" s="55"/>
      <c r="I43" s="55"/>
      <c r="J43" s="55"/>
      <c r="K43" s="99"/>
      <c r="L43" s="100"/>
      <c r="M43" s="100"/>
      <c r="N43" s="100"/>
      <c r="O43" s="100"/>
      <c r="P43" s="100"/>
      <c r="Q43" s="101"/>
      <c r="R43" s="55"/>
      <c r="S43" s="55"/>
      <c r="T43" s="55"/>
      <c r="U43" s="55"/>
    </row>
    <row r="44" spans="1:21" ht="18" customHeight="1">
      <c r="B44" s="118"/>
      <c r="C44" s="119"/>
      <c r="D44" s="119"/>
      <c r="E44" s="119"/>
      <c r="F44" s="120"/>
      <c r="G44" s="56"/>
      <c r="H44" s="56"/>
      <c r="I44" s="57"/>
      <c r="J44" s="57"/>
      <c r="K44" s="118"/>
      <c r="L44" s="119"/>
      <c r="M44" s="119"/>
      <c r="N44" s="119"/>
      <c r="O44" s="119"/>
      <c r="P44" s="119"/>
      <c r="Q44" s="120"/>
      <c r="R44" s="56"/>
      <c r="S44" s="56"/>
      <c r="T44" s="57"/>
      <c r="U44" s="57"/>
    </row>
    <row r="45" spans="1:21" ht="7.5" customHeight="1">
      <c r="A45" s="80"/>
      <c r="B45" s="6"/>
      <c r="C45" s="6"/>
      <c r="D45" s="6"/>
      <c r="E45" s="80"/>
      <c r="F45" s="80"/>
      <c r="G45" s="80"/>
      <c r="H45" s="80"/>
      <c r="I45" s="6"/>
      <c r="J45" s="6"/>
      <c r="K45" s="6"/>
      <c r="L45" s="6"/>
      <c r="M45" s="6"/>
      <c r="N45" s="6"/>
      <c r="O45" s="6"/>
      <c r="P45" s="6"/>
      <c r="Q45" s="6"/>
      <c r="R45" s="6"/>
      <c r="S45" s="6"/>
      <c r="T45" s="6"/>
      <c r="U45" s="80"/>
    </row>
    <row r="46" spans="1:21" ht="18" customHeight="1">
      <c r="A46" s="114" t="s">
        <v>98</v>
      </c>
      <c r="B46" s="114"/>
      <c r="C46" s="114"/>
      <c r="D46" s="114"/>
      <c r="E46" s="114"/>
      <c r="F46" s="114"/>
      <c r="G46" s="114"/>
      <c r="H46" s="114"/>
      <c r="I46" s="114"/>
      <c r="J46" s="114"/>
      <c r="K46" s="114"/>
      <c r="L46" s="114"/>
      <c r="M46" s="114"/>
      <c r="N46" s="114"/>
      <c r="O46" s="114"/>
      <c r="P46" s="114"/>
      <c r="Q46" s="114"/>
      <c r="R46" s="114"/>
      <c r="S46" s="114"/>
      <c r="T46" s="114"/>
      <c r="U46" s="114"/>
    </row>
    <row r="47" spans="1:21" ht="18" customHeight="1">
      <c r="A47" s="114"/>
      <c r="B47" s="114"/>
      <c r="C47" s="114"/>
      <c r="D47" s="114"/>
      <c r="E47" s="114"/>
      <c r="F47" s="114"/>
      <c r="G47" s="114"/>
      <c r="H47" s="114"/>
      <c r="I47" s="114"/>
      <c r="J47" s="114"/>
      <c r="K47" s="114"/>
      <c r="L47" s="114"/>
      <c r="M47" s="114"/>
      <c r="N47" s="114"/>
      <c r="O47" s="114"/>
      <c r="P47" s="114"/>
      <c r="Q47" s="114"/>
      <c r="R47" s="114"/>
      <c r="S47" s="114"/>
      <c r="T47" s="114"/>
      <c r="U47" s="114"/>
    </row>
    <row r="48" spans="1:21" ht="18" customHeight="1">
      <c r="B48" s="86" t="s">
        <v>48</v>
      </c>
      <c r="C48" s="87"/>
      <c r="D48" s="87"/>
      <c r="E48" s="87"/>
      <c r="F48" s="88"/>
      <c r="G48" s="51" t="s">
        <v>73</v>
      </c>
      <c r="H48" s="52" t="s">
        <v>76</v>
      </c>
      <c r="I48" s="53" t="s">
        <v>66</v>
      </c>
      <c r="J48" s="53" t="s">
        <v>67</v>
      </c>
      <c r="K48" s="86" t="s">
        <v>48</v>
      </c>
      <c r="L48" s="87"/>
      <c r="M48" s="87"/>
      <c r="N48" s="87"/>
      <c r="O48" s="87"/>
      <c r="P48" s="87"/>
      <c r="Q48" s="88"/>
      <c r="R48" s="51" t="s">
        <v>73</v>
      </c>
      <c r="S48" s="52" t="s">
        <v>76</v>
      </c>
      <c r="T48" s="53" t="s">
        <v>66</v>
      </c>
      <c r="U48" s="53" t="s">
        <v>67</v>
      </c>
    </row>
    <row r="49" spans="1:21" ht="18" customHeight="1">
      <c r="A49" s="80"/>
      <c r="B49" s="99" t="s">
        <v>159</v>
      </c>
      <c r="C49" s="100"/>
      <c r="D49" s="100"/>
      <c r="E49" s="100"/>
      <c r="F49" s="101"/>
      <c r="G49" s="55">
        <v>2</v>
      </c>
      <c r="H49" s="55" t="s">
        <v>158</v>
      </c>
      <c r="I49" s="55" t="s">
        <v>158</v>
      </c>
      <c r="J49" s="55"/>
      <c r="K49" s="115"/>
      <c r="L49" s="116"/>
      <c r="M49" s="116"/>
      <c r="N49" s="116"/>
      <c r="O49" s="116"/>
      <c r="P49" s="116"/>
      <c r="Q49" s="117"/>
      <c r="R49" s="54"/>
      <c r="S49" s="54"/>
      <c r="T49" s="54"/>
      <c r="U49" s="54"/>
    </row>
    <row r="50" spans="1:21" ht="18" customHeight="1">
      <c r="A50" s="80"/>
      <c r="B50" s="99" t="s">
        <v>157</v>
      </c>
      <c r="C50" s="100"/>
      <c r="D50" s="100"/>
      <c r="E50" s="100"/>
      <c r="F50" s="101"/>
      <c r="G50" s="55">
        <v>2</v>
      </c>
      <c r="H50" s="55" t="s">
        <v>158</v>
      </c>
      <c r="I50" s="55" t="s">
        <v>158</v>
      </c>
      <c r="J50" s="55" t="s">
        <v>158</v>
      </c>
      <c r="K50" s="99"/>
      <c r="L50" s="100"/>
      <c r="M50" s="100"/>
      <c r="N50" s="100"/>
      <c r="O50" s="100"/>
      <c r="P50" s="100"/>
      <c r="Q50" s="101"/>
      <c r="R50" s="55"/>
      <c r="S50" s="55"/>
      <c r="T50" s="55"/>
      <c r="U50" s="55"/>
    </row>
    <row r="51" spans="1:21" ht="18" customHeight="1">
      <c r="A51" s="80"/>
      <c r="B51" s="99"/>
      <c r="C51" s="100"/>
      <c r="D51" s="100"/>
      <c r="E51" s="100"/>
      <c r="F51" s="101"/>
      <c r="G51" s="55"/>
      <c r="H51" s="55"/>
      <c r="I51" s="55"/>
      <c r="J51" s="55"/>
      <c r="K51" s="99"/>
      <c r="L51" s="100"/>
      <c r="M51" s="100"/>
      <c r="N51" s="100"/>
      <c r="O51" s="100"/>
      <c r="P51" s="100"/>
      <c r="Q51" s="101"/>
      <c r="R51" s="55"/>
      <c r="S51" s="55"/>
      <c r="T51" s="55"/>
      <c r="U51" s="55"/>
    </row>
    <row r="52" spans="1:21" ht="18" customHeight="1">
      <c r="A52" s="80"/>
      <c r="B52" s="99"/>
      <c r="C52" s="100"/>
      <c r="D52" s="100"/>
      <c r="E52" s="100"/>
      <c r="F52" s="101"/>
      <c r="G52" s="55"/>
      <c r="H52" s="55"/>
      <c r="I52" s="55"/>
      <c r="J52" s="55"/>
      <c r="K52" s="99"/>
      <c r="L52" s="100"/>
      <c r="M52" s="100"/>
      <c r="N52" s="100"/>
      <c r="O52" s="100"/>
      <c r="P52" s="100"/>
      <c r="Q52" s="101"/>
      <c r="R52" s="55"/>
      <c r="S52" s="55"/>
      <c r="T52" s="55"/>
      <c r="U52" s="55"/>
    </row>
    <row r="53" spans="1:21" ht="18" customHeight="1">
      <c r="A53" s="80"/>
      <c r="B53" s="99"/>
      <c r="C53" s="100"/>
      <c r="D53" s="100"/>
      <c r="E53" s="100"/>
      <c r="F53" s="101"/>
      <c r="G53" s="55"/>
      <c r="H53" s="55"/>
      <c r="I53" s="55"/>
      <c r="J53" s="55"/>
      <c r="K53" s="99"/>
      <c r="L53" s="100"/>
      <c r="M53" s="100"/>
      <c r="N53" s="100"/>
      <c r="O53" s="100"/>
      <c r="P53" s="100"/>
      <c r="Q53" s="101"/>
      <c r="R53" s="55"/>
      <c r="S53" s="55"/>
      <c r="T53" s="55"/>
      <c r="U53" s="55"/>
    </row>
    <row r="54" spans="1:21" ht="18" customHeight="1">
      <c r="A54" s="80"/>
      <c r="B54" s="99"/>
      <c r="C54" s="100"/>
      <c r="D54" s="100"/>
      <c r="E54" s="100"/>
      <c r="F54" s="101"/>
      <c r="G54" s="55"/>
      <c r="H54" s="55"/>
      <c r="I54" s="55"/>
      <c r="J54" s="55"/>
      <c r="K54" s="99"/>
      <c r="L54" s="100"/>
      <c r="M54" s="100"/>
      <c r="N54" s="100"/>
      <c r="O54" s="100"/>
      <c r="P54" s="100"/>
      <c r="Q54" s="101"/>
      <c r="R54" s="55"/>
      <c r="S54" s="55"/>
      <c r="T54" s="55"/>
      <c r="U54" s="55"/>
    </row>
    <row r="55" spans="1:21" ht="18" customHeight="1">
      <c r="A55" s="80"/>
      <c r="B55" s="118"/>
      <c r="C55" s="119"/>
      <c r="D55" s="119"/>
      <c r="E55" s="119"/>
      <c r="F55" s="120"/>
      <c r="G55" s="56"/>
      <c r="H55" s="56"/>
      <c r="I55" s="57"/>
      <c r="J55" s="57"/>
      <c r="K55" s="118"/>
      <c r="L55" s="119"/>
      <c r="M55" s="119"/>
      <c r="N55" s="119"/>
      <c r="O55" s="119"/>
      <c r="P55" s="119"/>
      <c r="Q55" s="120"/>
      <c r="R55" s="56"/>
      <c r="S55" s="56"/>
      <c r="T55" s="57"/>
      <c r="U55" s="57"/>
    </row>
    <row r="56" spans="1:21" ht="7.5" customHeight="1">
      <c r="B56" s="82"/>
      <c r="C56" s="82"/>
      <c r="D56" s="82"/>
      <c r="E56" s="82"/>
      <c r="F56" s="82"/>
      <c r="G56" s="82"/>
      <c r="H56" s="82"/>
      <c r="I56" s="82"/>
      <c r="J56" s="82"/>
      <c r="K56" s="82"/>
      <c r="L56" s="82"/>
      <c r="M56" s="82"/>
      <c r="N56" s="82"/>
      <c r="O56" s="82"/>
      <c r="P56" s="82"/>
      <c r="Q56" s="82"/>
      <c r="R56" s="82"/>
      <c r="S56" s="82"/>
      <c r="T56" s="82"/>
    </row>
    <row r="57" spans="1:21" ht="18" customHeight="1">
      <c r="A57" s="114" t="s">
        <v>99</v>
      </c>
      <c r="B57" s="114"/>
      <c r="C57" s="114"/>
      <c r="D57" s="114"/>
      <c r="E57" s="114"/>
      <c r="F57" s="114"/>
      <c r="G57" s="114"/>
      <c r="H57" s="114"/>
      <c r="I57" s="114"/>
      <c r="J57" s="114"/>
      <c r="K57" s="114"/>
      <c r="L57" s="114"/>
      <c r="M57" s="114"/>
      <c r="N57" s="114"/>
      <c r="O57" s="114"/>
      <c r="P57" s="114"/>
      <c r="Q57" s="114"/>
      <c r="R57" s="114"/>
      <c r="S57" s="114"/>
      <c r="T57" s="114"/>
      <c r="U57" s="114"/>
    </row>
    <row r="58" spans="1:21" ht="18" customHeight="1">
      <c r="A58" s="114"/>
      <c r="B58" s="114"/>
      <c r="C58" s="114"/>
      <c r="D58" s="114"/>
      <c r="E58" s="114"/>
      <c r="F58" s="114"/>
      <c r="G58" s="114"/>
      <c r="H58" s="114"/>
      <c r="I58" s="114"/>
      <c r="J58" s="114"/>
      <c r="K58" s="114"/>
      <c r="L58" s="114"/>
      <c r="M58" s="114"/>
      <c r="N58" s="114"/>
      <c r="O58" s="114"/>
      <c r="P58" s="114"/>
      <c r="Q58" s="114"/>
      <c r="R58" s="114"/>
      <c r="S58" s="114"/>
      <c r="T58" s="114"/>
      <c r="U58" s="114"/>
    </row>
    <row r="59" spans="1:21" ht="18" customHeight="1">
      <c r="B59" s="86" t="s">
        <v>48</v>
      </c>
      <c r="C59" s="87"/>
      <c r="D59" s="87"/>
      <c r="E59" s="87"/>
      <c r="F59" s="88"/>
      <c r="G59" s="51" t="s">
        <v>73</v>
      </c>
      <c r="H59" s="52" t="s">
        <v>76</v>
      </c>
      <c r="I59" s="53" t="s">
        <v>53</v>
      </c>
      <c r="J59" s="53" t="s">
        <v>55</v>
      </c>
      <c r="K59" s="86" t="s">
        <v>48</v>
      </c>
      <c r="L59" s="87"/>
      <c r="M59" s="87"/>
      <c r="N59" s="87"/>
      <c r="O59" s="87"/>
      <c r="P59" s="87"/>
      <c r="Q59" s="88"/>
      <c r="R59" s="51" t="s">
        <v>73</v>
      </c>
      <c r="S59" s="52" t="s">
        <v>76</v>
      </c>
      <c r="T59" s="53" t="s">
        <v>53</v>
      </c>
      <c r="U59" s="53" t="s">
        <v>55</v>
      </c>
    </row>
    <row r="60" spans="1:21" ht="18" customHeight="1">
      <c r="A60" s="80"/>
      <c r="B60" s="121" t="s">
        <v>159</v>
      </c>
      <c r="C60" s="122"/>
      <c r="D60" s="122"/>
      <c r="E60" s="122"/>
      <c r="F60" s="123"/>
      <c r="G60" s="55">
        <v>2</v>
      </c>
      <c r="H60" s="55" t="s">
        <v>158</v>
      </c>
      <c r="I60" s="55" t="s">
        <v>158</v>
      </c>
      <c r="J60" s="55" t="s">
        <v>158</v>
      </c>
      <c r="K60" s="115"/>
      <c r="L60" s="116"/>
      <c r="M60" s="116"/>
      <c r="N60" s="116"/>
      <c r="O60" s="116"/>
      <c r="P60" s="116"/>
      <c r="Q60" s="117"/>
      <c r="R60" s="54"/>
      <c r="S60" s="54"/>
      <c r="T60" s="54"/>
      <c r="U60" s="54"/>
    </row>
    <row r="61" spans="1:21" ht="18" customHeight="1">
      <c r="A61" s="80"/>
      <c r="B61" s="121"/>
      <c r="C61" s="122"/>
      <c r="D61" s="122"/>
      <c r="E61" s="122"/>
      <c r="F61" s="123"/>
      <c r="G61" s="55"/>
      <c r="H61" s="55"/>
      <c r="I61" s="55"/>
      <c r="J61" s="55"/>
      <c r="K61" s="99"/>
      <c r="L61" s="100"/>
      <c r="M61" s="100"/>
      <c r="N61" s="100"/>
      <c r="O61" s="100"/>
      <c r="P61" s="100"/>
      <c r="Q61" s="101"/>
      <c r="R61" s="55"/>
      <c r="S61" s="55"/>
      <c r="T61" s="55"/>
      <c r="U61" s="55"/>
    </row>
    <row r="62" spans="1:21" ht="18" customHeight="1">
      <c r="A62" s="80"/>
      <c r="B62" s="99"/>
      <c r="C62" s="100"/>
      <c r="D62" s="100"/>
      <c r="E62" s="100"/>
      <c r="F62" s="101"/>
      <c r="G62" s="55"/>
      <c r="H62" s="55"/>
      <c r="I62" s="55"/>
      <c r="J62" s="55"/>
      <c r="K62" s="99"/>
      <c r="L62" s="100"/>
      <c r="M62" s="100"/>
      <c r="N62" s="100"/>
      <c r="O62" s="100"/>
      <c r="P62" s="100"/>
      <c r="Q62" s="101"/>
      <c r="R62" s="55"/>
      <c r="S62" s="55"/>
      <c r="T62" s="55"/>
      <c r="U62" s="55"/>
    </row>
    <row r="63" spans="1:21" ht="18" customHeight="1">
      <c r="A63" s="80"/>
      <c r="B63" s="99"/>
      <c r="C63" s="100"/>
      <c r="D63" s="100"/>
      <c r="E63" s="100"/>
      <c r="F63" s="101"/>
      <c r="G63" s="55"/>
      <c r="H63" s="55"/>
      <c r="I63" s="55"/>
      <c r="J63" s="55"/>
      <c r="K63" s="99"/>
      <c r="L63" s="100"/>
      <c r="M63" s="100"/>
      <c r="N63" s="100"/>
      <c r="O63" s="100"/>
      <c r="P63" s="100"/>
      <c r="Q63" s="101"/>
      <c r="R63" s="55"/>
      <c r="S63" s="55"/>
      <c r="T63" s="55"/>
      <c r="U63" s="55"/>
    </row>
    <row r="64" spans="1:21" ht="18" customHeight="1">
      <c r="A64" s="80"/>
      <c r="B64" s="99"/>
      <c r="C64" s="100"/>
      <c r="D64" s="100"/>
      <c r="E64" s="100"/>
      <c r="F64" s="101"/>
      <c r="G64" s="55"/>
      <c r="H64" s="55"/>
      <c r="I64" s="55"/>
      <c r="J64" s="55"/>
      <c r="K64" s="99"/>
      <c r="L64" s="100"/>
      <c r="M64" s="100"/>
      <c r="N64" s="100"/>
      <c r="O64" s="100"/>
      <c r="P64" s="100"/>
      <c r="Q64" s="101"/>
      <c r="R64" s="55"/>
      <c r="S64" s="55"/>
      <c r="T64" s="55"/>
      <c r="U64" s="55"/>
    </row>
    <row r="65" spans="1:27" ht="18" customHeight="1">
      <c r="A65" s="80"/>
      <c r="B65" s="99"/>
      <c r="C65" s="100"/>
      <c r="D65" s="100"/>
      <c r="E65" s="100"/>
      <c r="F65" s="101"/>
      <c r="G65" s="55"/>
      <c r="H65" s="55"/>
      <c r="I65" s="55"/>
      <c r="J65" s="55"/>
      <c r="K65" s="99"/>
      <c r="L65" s="100"/>
      <c r="M65" s="100"/>
      <c r="N65" s="100"/>
      <c r="O65" s="100"/>
      <c r="P65" s="100"/>
      <c r="Q65" s="101"/>
      <c r="R65" s="55"/>
      <c r="S65" s="55"/>
      <c r="T65" s="55"/>
      <c r="U65" s="55"/>
    </row>
    <row r="66" spans="1:27" ht="18" customHeight="1">
      <c r="A66" s="80"/>
      <c r="B66" s="118"/>
      <c r="C66" s="119"/>
      <c r="D66" s="119"/>
      <c r="E66" s="119"/>
      <c r="F66" s="120"/>
      <c r="G66" s="56"/>
      <c r="H66" s="56"/>
      <c r="I66" s="57"/>
      <c r="J66" s="57"/>
      <c r="K66" s="118"/>
      <c r="L66" s="119"/>
      <c r="M66" s="119"/>
      <c r="N66" s="119"/>
      <c r="O66" s="119"/>
      <c r="P66" s="119"/>
      <c r="Q66" s="120"/>
      <c r="R66" s="56"/>
      <c r="S66" s="56"/>
      <c r="T66" s="57"/>
      <c r="U66" s="57"/>
    </row>
    <row r="67" spans="1:27" ht="7.5" customHeight="1">
      <c r="B67" s="82"/>
      <c r="C67" s="82"/>
      <c r="D67" s="82"/>
      <c r="E67" s="82"/>
      <c r="F67" s="82"/>
      <c r="G67" s="82"/>
      <c r="H67" s="82"/>
      <c r="I67" s="82"/>
      <c r="J67" s="82"/>
      <c r="K67" s="82"/>
      <c r="L67" s="82"/>
      <c r="M67" s="82"/>
      <c r="N67" s="82"/>
      <c r="O67" s="82"/>
      <c r="P67" s="82"/>
      <c r="Q67" s="82"/>
      <c r="R67" s="82"/>
      <c r="S67" s="82"/>
      <c r="T67" s="82"/>
    </row>
    <row r="68" spans="1:27" ht="18" customHeight="1">
      <c r="A68" s="114" t="s">
        <v>100</v>
      </c>
      <c r="B68" s="114"/>
      <c r="C68" s="114"/>
      <c r="D68" s="114"/>
      <c r="E68" s="114"/>
      <c r="F68" s="114"/>
      <c r="G68" s="114"/>
      <c r="H68" s="114"/>
      <c r="I68" s="114"/>
      <c r="J68" s="114"/>
      <c r="K68" s="114"/>
      <c r="L68" s="114"/>
      <c r="M68" s="114"/>
      <c r="N68" s="114"/>
      <c r="O68" s="114"/>
      <c r="P68" s="114"/>
      <c r="Q68" s="114"/>
      <c r="R68" s="114"/>
      <c r="S68" s="114"/>
      <c r="T68" s="114"/>
      <c r="U68" s="114"/>
    </row>
    <row r="69" spans="1:27" ht="18" customHeight="1">
      <c r="A69" s="114"/>
      <c r="B69" s="114"/>
      <c r="C69" s="114"/>
      <c r="D69" s="114"/>
      <c r="E69" s="114"/>
      <c r="F69" s="114"/>
      <c r="G69" s="114"/>
      <c r="H69" s="114"/>
      <c r="I69" s="114"/>
      <c r="J69" s="114"/>
      <c r="K69" s="114"/>
      <c r="L69" s="114"/>
      <c r="M69" s="114"/>
      <c r="N69" s="114"/>
      <c r="O69" s="114"/>
      <c r="P69" s="114"/>
      <c r="Q69" s="114"/>
      <c r="R69" s="114"/>
      <c r="S69" s="114"/>
      <c r="T69" s="114"/>
      <c r="U69" s="114"/>
    </row>
    <row r="70" spans="1:27" ht="18" customHeight="1">
      <c r="B70" s="86" t="s">
        <v>48</v>
      </c>
      <c r="C70" s="87"/>
      <c r="D70" s="87"/>
      <c r="E70" s="87"/>
      <c r="F70" s="51" t="s">
        <v>73</v>
      </c>
      <c r="G70" s="52" t="s">
        <v>76</v>
      </c>
      <c r="H70" s="53" t="s">
        <v>87</v>
      </c>
      <c r="I70" s="53" t="s">
        <v>68</v>
      </c>
      <c r="J70" s="53" t="s">
        <v>69</v>
      </c>
      <c r="K70" s="86" t="s">
        <v>48</v>
      </c>
      <c r="L70" s="87"/>
      <c r="M70" s="87"/>
      <c r="N70" s="87"/>
      <c r="O70" s="87"/>
      <c r="P70" s="88"/>
      <c r="Q70" s="51" t="s">
        <v>73</v>
      </c>
      <c r="R70" s="52" t="s">
        <v>76</v>
      </c>
      <c r="S70" s="53" t="s">
        <v>87</v>
      </c>
      <c r="T70" s="53" t="s">
        <v>68</v>
      </c>
      <c r="U70" s="53" t="s">
        <v>69</v>
      </c>
    </row>
    <row r="71" spans="1:27" ht="18" customHeight="1">
      <c r="A71" s="80"/>
      <c r="B71" s="99" t="s">
        <v>160</v>
      </c>
      <c r="C71" s="100"/>
      <c r="D71" s="100"/>
      <c r="E71" s="100"/>
      <c r="F71" s="55">
        <v>2</v>
      </c>
      <c r="G71" s="55" t="s">
        <v>158</v>
      </c>
      <c r="H71" s="55" t="s">
        <v>158</v>
      </c>
      <c r="I71" s="55" t="s">
        <v>158</v>
      </c>
      <c r="J71" s="55" t="s">
        <v>158</v>
      </c>
      <c r="K71" s="115"/>
      <c r="L71" s="116"/>
      <c r="M71" s="116"/>
      <c r="N71" s="116"/>
      <c r="O71" s="116"/>
      <c r="P71" s="117"/>
      <c r="Q71" s="54"/>
      <c r="R71" s="54"/>
      <c r="S71" s="54"/>
      <c r="T71" s="54"/>
      <c r="U71" s="54"/>
    </row>
    <row r="72" spans="1:27" ht="18" customHeight="1">
      <c r="A72" s="80"/>
      <c r="B72" s="99" t="s">
        <v>157</v>
      </c>
      <c r="C72" s="100"/>
      <c r="D72" s="100"/>
      <c r="E72" s="100"/>
      <c r="F72" s="55">
        <v>2</v>
      </c>
      <c r="G72" s="55" t="s">
        <v>158</v>
      </c>
      <c r="H72" s="55" t="s">
        <v>158</v>
      </c>
      <c r="I72" s="55" t="s">
        <v>158</v>
      </c>
      <c r="J72" s="55" t="s">
        <v>158</v>
      </c>
      <c r="K72" s="99"/>
      <c r="L72" s="100"/>
      <c r="M72" s="100"/>
      <c r="N72" s="100"/>
      <c r="O72" s="100"/>
      <c r="P72" s="101"/>
      <c r="Q72" s="55"/>
      <c r="R72" s="55"/>
      <c r="S72" s="55"/>
      <c r="T72" s="55"/>
      <c r="U72" s="55"/>
    </row>
    <row r="73" spans="1:27" ht="18" customHeight="1">
      <c r="A73" s="80"/>
      <c r="B73" s="99"/>
      <c r="C73" s="100"/>
      <c r="D73" s="100"/>
      <c r="E73" s="100"/>
      <c r="F73" s="55"/>
      <c r="G73" s="55"/>
      <c r="H73" s="55"/>
      <c r="I73" s="55"/>
      <c r="J73" s="55"/>
      <c r="K73" s="99"/>
      <c r="L73" s="100"/>
      <c r="M73" s="100"/>
      <c r="N73" s="100"/>
      <c r="O73" s="100"/>
      <c r="P73" s="101"/>
      <c r="Q73" s="55"/>
      <c r="R73" s="55"/>
      <c r="S73" s="55"/>
      <c r="T73" s="55"/>
      <c r="U73" s="55"/>
    </row>
    <row r="74" spans="1:27" ht="18" customHeight="1">
      <c r="A74" s="80"/>
      <c r="B74" s="99"/>
      <c r="C74" s="100"/>
      <c r="D74" s="100"/>
      <c r="E74" s="100"/>
      <c r="F74" s="55"/>
      <c r="G74" s="55"/>
      <c r="H74" s="55"/>
      <c r="I74" s="55"/>
      <c r="J74" s="55"/>
      <c r="K74" s="99"/>
      <c r="L74" s="100"/>
      <c r="M74" s="100"/>
      <c r="N74" s="100"/>
      <c r="O74" s="100"/>
      <c r="P74" s="101"/>
      <c r="Q74" s="55"/>
      <c r="R74" s="55"/>
      <c r="S74" s="55"/>
      <c r="T74" s="55"/>
      <c r="U74" s="55"/>
    </row>
    <row r="75" spans="1:27" ht="18" customHeight="1">
      <c r="A75" s="80"/>
      <c r="B75" s="99"/>
      <c r="C75" s="100"/>
      <c r="D75" s="100"/>
      <c r="E75" s="100"/>
      <c r="F75" s="55"/>
      <c r="G75" s="55"/>
      <c r="H75" s="55"/>
      <c r="I75" s="55"/>
      <c r="J75" s="55"/>
      <c r="K75" s="99"/>
      <c r="L75" s="100"/>
      <c r="M75" s="100"/>
      <c r="N75" s="100"/>
      <c r="O75" s="100"/>
      <c r="P75" s="101"/>
      <c r="Q75" s="55"/>
      <c r="R75" s="55"/>
      <c r="S75" s="55"/>
      <c r="T75" s="55"/>
      <c r="U75" s="55"/>
    </row>
    <row r="76" spans="1:27" ht="18" customHeight="1">
      <c r="A76" s="80"/>
      <c r="B76" s="99"/>
      <c r="C76" s="100"/>
      <c r="D76" s="100"/>
      <c r="E76" s="100"/>
      <c r="F76" s="55"/>
      <c r="G76" s="55"/>
      <c r="H76" s="55"/>
      <c r="I76" s="55"/>
      <c r="J76" s="55"/>
      <c r="K76" s="99"/>
      <c r="L76" s="100"/>
      <c r="M76" s="100"/>
      <c r="N76" s="100"/>
      <c r="O76" s="100"/>
      <c r="P76" s="101"/>
      <c r="Q76" s="55"/>
      <c r="R76" s="55"/>
      <c r="S76" s="55"/>
      <c r="T76" s="55"/>
      <c r="U76" s="55"/>
    </row>
    <row r="77" spans="1:27" ht="18" customHeight="1">
      <c r="A77" s="80"/>
      <c r="B77" s="118"/>
      <c r="C77" s="119"/>
      <c r="D77" s="119"/>
      <c r="E77" s="119"/>
      <c r="F77" s="56"/>
      <c r="G77" s="56"/>
      <c r="H77" s="57"/>
      <c r="I77" s="57"/>
      <c r="J77" s="57"/>
      <c r="K77" s="118"/>
      <c r="L77" s="119"/>
      <c r="M77" s="119"/>
      <c r="N77" s="119"/>
      <c r="O77" s="119"/>
      <c r="P77" s="120"/>
      <c r="Q77" s="56"/>
      <c r="R77" s="56"/>
      <c r="S77" s="57"/>
      <c r="T77" s="57"/>
      <c r="U77" s="57"/>
    </row>
    <row r="78" spans="1:27" ht="7.5" customHeight="1">
      <c r="B78" s="82"/>
      <c r="C78" s="82"/>
      <c r="D78" s="82"/>
      <c r="E78" s="82"/>
      <c r="F78" s="82"/>
      <c r="G78" s="82"/>
      <c r="H78" s="82"/>
      <c r="I78" s="82"/>
      <c r="J78" s="82"/>
      <c r="K78" s="82"/>
      <c r="L78" s="82"/>
      <c r="M78" s="82"/>
      <c r="N78" s="82"/>
      <c r="O78" s="82"/>
      <c r="P78" s="82"/>
      <c r="Q78" s="82"/>
      <c r="R78" s="82"/>
      <c r="S78" s="82"/>
      <c r="T78" s="82"/>
    </row>
    <row r="79" spans="1:27" ht="18" customHeight="1">
      <c r="A79" s="81" t="s">
        <v>101</v>
      </c>
      <c r="I79" s="80"/>
      <c r="J79" s="80"/>
      <c r="K79" s="80"/>
      <c r="L79" s="80"/>
      <c r="M79" s="80"/>
      <c r="N79" s="80"/>
      <c r="O79" s="80"/>
      <c r="P79" s="80"/>
      <c r="Q79" s="80"/>
      <c r="R79" s="80"/>
      <c r="S79" s="80"/>
      <c r="T79" s="80"/>
      <c r="U79" s="80"/>
    </row>
    <row r="80" spans="1:27" ht="18" customHeight="1">
      <c r="B80" s="86" t="s">
        <v>48</v>
      </c>
      <c r="C80" s="87"/>
      <c r="D80" s="87"/>
      <c r="E80" s="87"/>
      <c r="F80" s="88"/>
      <c r="G80" s="86" t="s">
        <v>74</v>
      </c>
      <c r="H80" s="87"/>
      <c r="I80" s="87"/>
      <c r="J80" s="88"/>
      <c r="K80" s="124" t="s">
        <v>48</v>
      </c>
      <c r="L80" s="125"/>
      <c r="M80" s="125"/>
      <c r="N80" s="125"/>
      <c r="O80" s="125"/>
      <c r="P80" s="125"/>
      <c r="Q80" s="126"/>
      <c r="R80" s="86" t="s">
        <v>74</v>
      </c>
      <c r="S80" s="87"/>
      <c r="T80" s="87"/>
      <c r="U80" s="88"/>
      <c r="AA80" s="81" t="s">
        <v>138</v>
      </c>
    </row>
    <row r="81" spans="1:27" ht="18" customHeight="1">
      <c r="A81" s="80"/>
      <c r="B81" s="115"/>
      <c r="C81" s="116"/>
      <c r="D81" s="116"/>
      <c r="E81" s="116"/>
      <c r="F81" s="117"/>
      <c r="G81" s="127"/>
      <c r="H81" s="128"/>
      <c r="I81" s="128"/>
      <c r="J81" s="129"/>
      <c r="K81" s="115"/>
      <c r="L81" s="116"/>
      <c r="M81" s="116"/>
      <c r="N81" s="116"/>
      <c r="O81" s="116"/>
      <c r="P81" s="116"/>
      <c r="Q81" s="117"/>
      <c r="R81" s="130"/>
      <c r="S81" s="131"/>
      <c r="T81" s="131"/>
      <c r="U81" s="132"/>
      <c r="AA81" s="81" t="s">
        <v>131</v>
      </c>
    </row>
    <row r="82" spans="1:27" ht="18" customHeight="1">
      <c r="A82" s="80"/>
      <c r="B82" s="99"/>
      <c r="C82" s="100"/>
      <c r="D82" s="100"/>
      <c r="E82" s="100"/>
      <c r="F82" s="101"/>
      <c r="G82" s="133"/>
      <c r="H82" s="134"/>
      <c r="I82" s="134"/>
      <c r="J82" s="135"/>
      <c r="K82" s="99"/>
      <c r="L82" s="100"/>
      <c r="M82" s="100"/>
      <c r="N82" s="100"/>
      <c r="O82" s="100"/>
      <c r="P82" s="100"/>
      <c r="Q82" s="101"/>
      <c r="R82" s="133"/>
      <c r="S82" s="134"/>
      <c r="T82" s="134"/>
      <c r="U82" s="135"/>
      <c r="AA82" s="81" t="s">
        <v>132</v>
      </c>
    </row>
    <row r="83" spans="1:27" ht="18" customHeight="1">
      <c r="A83" s="80"/>
      <c r="B83" s="99"/>
      <c r="C83" s="100"/>
      <c r="D83" s="100"/>
      <c r="E83" s="100"/>
      <c r="F83" s="101"/>
      <c r="G83" s="133"/>
      <c r="H83" s="134"/>
      <c r="I83" s="134"/>
      <c r="J83" s="135"/>
      <c r="K83" s="99"/>
      <c r="L83" s="100"/>
      <c r="M83" s="100"/>
      <c r="N83" s="100"/>
      <c r="O83" s="100"/>
      <c r="P83" s="100"/>
      <c r="Q83" s="101"/>
      <c r="R83" s="133"/>
      <c r="S83" s="134"/>
      <c r="T83" s="134"/>
      <c r="U83" s="135"/>
      <c r="AA83" s="81" t="s">
        <v>133</v>
      </c>
    </row>
    <row r="84" spans="1:27" ht="18" customHeight="1">
      <c r="A84" s="80"/>
      <c r="B84" s="99"/>
      <c r="C84" s="100"/>
      <c r="D84" s="100"/>
      <c r="E84" s="100"/>
      <c r="F84" s="101"/>
      <c r="G84" s="133"/>
      <c r="H84" s="134"/>
      <c r="I84" s="134"/>
      <c r="J84" s="135"/>
      <c r="K84" s="99"/>
      <c r="L84" s="100"/>
      <c r="M84" s="100"/>
      <c r="N84" s="100"/>
      <c r="O84" s="100"/>
      <c r="P84" s="100"/>
      <c r="Q84" s="101"/>
      <c r="R84" s="133"/>
      <c r="S84" s="134"/>
      <c r="T84" s="134"/>
      <c r="U84" s="135"/>
      <c r="AA84" s="81" t="s">
        <v>139</v>
      </c>
    </row>
    <row r="85" spans="1:27" ht="18" customHeight="1">
      <c r="A85" s="80"/>
      <c r="B85" s="99"/>
      <c r="C85" s="100"/>
      <c r="D85" s="100"/>
      <c r="E85" s="100"/>
      <c r="F85" s="101"/>
      <c r="G85" s="133"/>
      <c r="H85" s="134"/>
      <c r="I85" s="134"/>
      <c r="J85" s="135"/>
      <c r="K85" s="99"/>
      <c r="L85" s="100"/>
      <c r="M85" s="100"/>
      <c r="N85" s="100"/>
      <c r="O85" s="100"/>
      <c r="P85" s="100"/>
      <c r="Q85" s="101"/>
      <c r="R85" s="133"/>
      <c r="S85" s="134"/>
      <c r="T85" s="134"/>
      <c r="U85" s="135"/>
      <c r="AA85" s="81" t="s">
        <v>140</v>
      </c>
    </row>
    <row r="86" spans="1:27" ht="18" customHeight="1">
      <c r="A86" s="80"/>
      <c r="B86" s="99"/>
      <c r="C86" s="100"/>
      <c r="D86" s="100"/>
      <c r="E86" s="100"/>
      <c r="F86" s="101"/>
      <c r="G86" s="133"/>
      <c r="H86" s="134"/>
      <c r="I86" s="134"/>
      <c r="J86" s="135"/>
      <c r="K86" s="99"/>
      <c r="L86" s="100"/>
      <c r="M86" s="100"/>
      <c r="N86" s="100"/>
      <c r="O86" s="100"/>
      <c r="P86" s="100"/>
      <c r="Q86" s="101"/>
      <c r="R86" s="133"/>
      <c r="S86" s="134"/>
      <c r="T86" s="134"/>
      <c r="U86" s="135"/>
      <c r="AA86" s="81" t="s">
        <v>134</v>
      </c>
    </row>
    <row r="87" spans="1:27" ht="18" customHeight="1">
      <c r="A87" s="80"/>
      <c r="B87" s="118"/>
      <c r="C87" s="119"/>
      <c r="D87" s="119"/>
      <c r="E87" s="119"/>
      <c r="F87" s="120"/>
      <c r="G87" s="145"/>
      <c r="H87" s="146"/>
      <c r="I87" s="146"/>
      <c r="J87" s="147"/>
      <c r="K87" s="118"/>
      <c r="L87" s="119"/>
      <c r="M87" s="119"/>
      <c r="N87" s="119"/>
      <c r="O87" s="119"/>
      <c r="P87" s="119"/>
      <c r="Q87" s="120"/>
      <c r="R87" s="145"/>
      <c r="S87" s="146"/>
      <c r="T87" s="146"/>
      <c r="U87" s="147"/>
      <c r="AA87" s="81" t="s">
        <v>135</v>
      </c>
    </row>
    <row r="88" spans="1:27" ht="18" customHeight="1">
      <c r="A88" s="80"/>
      <c r="B88" s="6"/>
      <c r="C88" s="6"/>
      <c r="D88" s="6"/>
      <c r="E88" s="6"/>
      <c r="F88" s="6"/>
      <c r="G88" s="58"/>
      <c r="H88" s="58"/>
      <c r="I88" s="58"/>
      <c r="J88" s="58"/>
      <c r="K88" s="6"/>
      <c r="L88" s="6"/>
      <c r="M88" s="6"/>
      <c r="N88" s="6"/>
      <c r="O88" s="6"/>
      <c r="P88" s="6"/>
      <c r="Q88" s="6"/>
      <c r="R88" s="58"/>
      <c r="S88" s="58"/>
      <c r="T88" s="58"/>
      <c r="U88" s="58"/>
      <c r="AA88" s="81" t="s">
        <v>136</v>
      </c>
    </row>
    <row r="89" spans="1:27" ht="18.75" customHeight="1">
      <c r="A89" s="81" t="s">
        <v>102</v>
      </c>
      <c r="AA89" s="81" t="s">
        <v>137</v>
      </c>
    </row>
    <row r="90" spans="1:27" ht="18.75" customHeight="1">
      <c r="B90" s="148" t="s">
        <v>49</v>
      </c>
      <c r="C90" s="149"/>
      <c r="D90" s="86" t="s">
        <v>50</v>
      </c>
      <c r="E90" s="87"/>
      <c r="F90" s="87"/>
      <c r="G90" s="87"/>
      <c r="H90" s="87"/>
      <c r="I90" s="87"/>
      <c r="J90" s="87"/>
      <c r="K90" s="87"/>
      <c r="L90" s="87"/>
      <c r="M90" s="87"/>
      <c r="N90" s="87"/>
      <c r="O90" s="87"/>
      <c r="P90" s="87"/>
      <c r="Q90" s="87"/>
      <c r="R90" s="87"/>
      <c r="S90" s="87"/>
      <c r="T90" s="87"/>
      <c r="U90" s="88"/>
    </row>
    <row r="91" spans="1:27" ht="97.5" customHeight="1">
      <c r="B91" s="136" t="s">
        <v>56</v>
      </c>
      <c r="C91" s="59" t="s">
        <v>51</v>
      </c>
      <c r="D91" s="138" t="s">
        <v>181</v>
      </c>
      <c r="E91" s="139"/>
      <c r="F91" s="139"/>
      <c r="G91" s="139"/>
      <c r="H91" s="139"/>
      <c r="I91" s="139"/>
      <c r="J91" s="139"/>
      <c r="K91" s="139"/>
      <c r="L91" s="139"/>
      <c r="M91" s="139"/>
      <c r="N91" s="139"/>
      <c r="O91" s="139"/>
      <c r="P91" s="139"/>
      <c r="Q91" s="139"/>
      <c r="R91" s="139"/>
      <c r="S91" s="139"/>
      <c r="T91" s="139"/>
      <c r="U91" s="140"/>
      <c r="Y91" s="81" t="s">
        <v>176</v>
      </c>
    </row>
    <row r="92" spans="1:27" ht="97.5" customHeight="1">
      <c r="B92" s="137"/>
      <c r="C92" s="60" t="s">
        <v>70</v>
      </c>
      <c r="D92" s="141" t="s">
        <v>182</v>
      </c>
      <c r="E92" s="142"/>
      <c r="F92" s="142"/>
      <c r="G92" s="142"/>
      <c r="H92" s="142"/>
      <c r="I92" s="142"/>
      <c r="J92" s="142"/>
      <c r="K92" s="142"/>
      <c r="L92" s="142"/>
      <c r="M92" s="142"/>
      <c r="N92" s="142"/>
      <c r="O92" s="142"/>
      <c r="P92" s="142"/>
      <c r="Q92" s="142"/>
      <c r="R92" s="142"/>
      <c r="S92" s="142"/>
      <c r="T92" s="142"/>
      <c r="U92" s="143"/>
    </row>
    <row r="93" spans="1:27" ht="97.5" customHeight="1">
      <c r="B93" s="136" t="s">
        <v>57</v>
      </c>
      <c r="C93" s="61" t="s">
        <v>64</v>
      </c>
      <c r="D93" s="138" t="s">
        <v>185</v>
      </c>
      <c r="E93" s="139"/>
      <c r="F93" s="139"/>
      <c r="G93" s="139"/>
      <c r="H93" s="139"/>
      <c r="I93" s="139"/>
      <c r="J93" s="139"/>
      <c r="K93" s="139"/>
      <c r="L93" s="139"/>
      <c r="M93" s="139"/>
      <c r="N93" s="139"/>
      <c r="O93" s="139"/>
      <c r="P93" s="139"/>
      <c r="Q93" s="139"/>
      <c r="R93" s="139"/>
      <c r="S93" s="139"/>
      <c r="T93" s="139"/>
      <c r="U93" s="140"/>
    </row>
    <row r="94" spans="1:27" ht="97.5" customHeight="1">
      <c r="B94" s="144"/>
      <c r="C94" s="62" t="s">
        <v>65</v>
      </c>
      <c r="D94" s="141" t="s">
        <v>183</v>
      </c>
      <c r="E94" s="142"/>
      <c r="F94" s="142"/>
      <c r="G94" s="142"/>
      <c r="H94" s="142"/>
      <c r="I94" s="142"/>
      <c r="J94" s="142"/>
      <c r="K94" s="142"/>
      <c r="L94" s="142"/>
      <c r="M94" s="142"/>
      <c r="N94" s="142"/>
      <c r="O94" s="142"/>
      <c r="P94" s="142"/>
      <c r="Q94" s="142"/>
      <c r="R94" s="142"/>
      <c r="S94" s="142"/>
      <c r="T94" s="142"/>
      <c r="U94" s="143"/>
    </row>
    <row r="95" spans="1:27" ht="97.5" customHeight="1">
      <c r="B95" s="136" t="s">
        <v>58</v>
      </c>
      <c r="C95" s="61" t="s">
        <v>66</v>
      </c>
      <c r="D95" s="138" t="s">
        <v>186</v>
      </c>
      <c r="E95" s="139"/>
      <c r="F95" s="139"/>
      <c r="G95" s="139"/>
      <c r="H95" s="139"/>
      <c r="I95" s="139"/>
      <c r="J95" s="139"/>
      <c r="K95" s="139"/>
      <c r="L95" s="139"/>
      <c r="M95" s="139"/>
      <c r="N95" s="139"/>
      <c r="O95" s="139"/>
      <c r="P95" s="139"/>
      <c r="Q95" s="139"/>
      <c r="R95" s="139"/>
      <c r="S95" s="139"/>
      <c r="T95" s="139"/>
      <c r="U95" s="140"/>
    </row>
    <row r="96" spans="1:27" ht="97.5" customHeight="1">
      <c r="B96" s="144"/>
      <c r="C96" s="63" t="s">
        <v>67</v>
      </c>
      <c r="D96" s="141" t="s">
        <v>184</v>
      </c>
      <c r="E96" s="142"/>
      <c r="F96" s="142"/>
      <c r="G96" s="142"/>
      <c r="H96" s="142"/>
      <c r="I96" s="142"/>
      <c r="J96" s="142"/>
      <c r="K96" s="142"/>
      <c r="L96" s="142"/>
      <c r="M96" s="142"/>
      <c r="N96" s="142"/>
      <c r="O96" s="142"/>
      <c r="P96" s="142"/>
      <c r="Q96" s="142"/>
      <c r="R96" s="142"/>
      <c r="S96" s="142"/>
      <c r="T96" s="142"/>
      <c r="U96" s="143"/>
    </row>
    <row r="97" spans="1:21" ht="97.5" customHeight="1">
      <c r="B97" s="136" t="s">
        <v>71</v>
      </c>
      <c r="C97" s="59" t="s">
        <v>53</v>
      </c>
      <c r="D97" s="138" t="s">
        <v>178</v>
      </c>
      <c r="E97" s="139"/>
      <c r="F97" s="139"/>
      <c r="G97" s="139"/>
      <c r="H97" s="139"/>
      <c r="I97" s="139"/>
      <c r="J97" s="139"/>
      <c r="K97" s="139"/>
      <c r="L97" s="139"/>
      <c r="M97" s="139"/>
      <c r="N97" s="139"/>
      <c r="O97" s="139"/>
      <c r="P97" s="139"/>
      <c r="Q97" s="139"/>
      <c r="R97" s="139"/>
      <c r="S97" s="139"/>
      <c r="T97" s="139"/>
      <c r="U97" s="140"/>
    </row>
    <row r="98" spans="1:21" ht="97.5" customHeight="1">
      <c r="B98" s="144"/>
      <c r="C98" s="62" t="s">
        <v>55</v>
      </c>
      <c r="D98" s="141" t="s">
        <v>179</v>
      </c>
      <c r="E98" s="142"/>
      <c r="F98" s="142"/>
      <c r="G98" s="142"/>
      <c r="H98" s="142"/>
      <c r="I98" s="142"/>
      <c r="J98" s="142"/>
      <c r="K98" s="142"/>
      <c r="L98" s="142"/>
      <c r="M98" s="142"/>
      <c r="N98" s="142"/>
      <c r="O98" s="142"/>
      <c r="P98" s="142"/>
      <c r="Q98" s="142"/>
      <c r="R98" s="142"/>
      <c r="S98" s="142"/>
      <c r="T98" s="142"/>
      <c r="U98" s="143"/>
    </row>
    <row r="99" spans="1:21" ht="127.5" customHeight="1">
      <c r="B99" s="136" t="s">
        <v>72</v>
      </c>
      <c r="C99" s="61" t="s">
        <v>52</v>
      </c>
      <c r="D99" s="138" t="s">
        <v>180</v>
      </c>
      <c r="E99" s="139"/>
      <c r="F99" s="139"/>
      <c r="G99" s="139"/>
      <c r="H99" s="139"/>
      <c r="I99" s="139"/>
      <c r="J99" s="139"/>
      <c r="K99" s="139"/>
      <c r="L99" s="139"/>
      <c r="M99" s="139"/>
      <c r="N99" s="139"/>
      <c r="O99" s="139"/>
      <c r="P99" s="139"/>
      <c r="Q99" s="139"/>
      <c r="R99" s="139"/>
      <c r="S99" s="139"/>
      <c r="T99" s="139"/>
      <c r="U99" s="140"/>
    </row>
    <row r="100" spans="1:21" ht="102.75" customHeight="1">
      <c r="B100" s="137"/>
      <c r="C100" s="64" t="s">
        <v>68</v>
      </c>
      <c r="D100" s="150" t="s">
        <v>177</v>
      </c>
      <c r="E100" s="151"/>
      <c r="F100" s="151"/>
      <c r="G100" s="151"/>
      <c r="H100" s="151"/>
      <c r="I100" s="151"/>
      <c r="J100" s="151"/>
      <c r="K100" s="151"/>
      <c r="L100" s="151"/>
      <c r="M100" s="151"/>
      <c r="N100" s="151"/>
      <c r="O100" s="151"/>
      <c r="P100" s="151"/>
      <c r="Q100" s="151"/>
      <c r="R100" s="151"/>
      <c r="S100" s="151"/>
      <c r="T100" s="151"/>
      <c r="U100" s="152"/>
    </row>
    <row r="101" spans="1:21" ht="97.5" customHeight="1">
      <c r="B101" s="144"/>
      <c r="C101" s="63" t="s">
        <v>69</v>
      </c>
      <c r="D101" s="141" t="s">
        <v>187</v>
      </c>
      <c r="E101" s="142"/>
      <c r="F101" s="142"/>
      <c r="G101" s="142"/>
      <c r="H101" s="142"/>
      <c r="I101" s="142"/>
      <c r="J101" s="142"/>
      <c r="K101" s="142"/>
      <c r="L101" s="142"/>
      <c r="M101" s="142"/>
      <c r="N101" s="142"/>
      <c r="O101" s="142"/>
      <c r="P101" s="142"/>
      <c r="Q101" s="142"/>
      <c r="R101" s="142"/>
      <c r="S101" s="142"/>
      <c r="T101" s="142"/>
      <c r="U101" s="143"/>
    </row>
    <row r="102" spans="1:21" ht="6" customHeight="1"/>
    <row r="103" spans="1:21" ht="18.75" customHeight="1">
      <c r="A103" s="81" t="s">
        <v>103</v>
      </c>
    </row>
    <row r="104" spans="1:21" ht="81.75" customHeight="1">
      <c r="B104" s="153" t="s">
        <v>161</v>
      </c>
      <c r="C104" s="154"/>
      <c r="D104" s="154"/>
      <c r="E104" s="154"/>
      <c r="F104" s="154"/>
      <c r="G104" s="154"/>
      <c r="H104" s="154"/>
      <c r="I104" s="154"/>
      <c r="J104" s="154"/>
      <c r="K104" s="154"/>
      <c r="L104" s="154"/>
      <c r="M104" s="154"/>
      <c r="N104" s="154"/>
      <c r="O104" s="154"/>
      <c r="P104" s="154"/>
      <c r="Q104" s="154"/>
      <c r="R104" s="154"/>
      <c r="S104" s="154"/>
      <c r="T104" s="154"/>
      <c r="U104" s="155"/>
    </row>
    <row r="107" spans="1:21" ht="18" customHeight="1"/>
  </sheetData>
  <mergeCells count="144">
    <mergeCell ref="B99:B101"/>
    <mergeCell ref="D99:U99"/>
    <mergeCell ref="D100:U100"/>
    <mergeCell ref="D101:U101"/>
    <mergeCell ref="B104:U104"/>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2:E72"/>
    <mergeCell ref="K71:P71"/>
    <mergeCell ref="B71:E71"/>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50:F50"/>
    <mergeCell ref="K49:Q49"/>
    <mergeCell ref="B49:F49"/>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S60:U66 J50:J51 H49:I49 H50:J50 H52:J55 H60:J66 G71:J72 G74:J77 J73" xr:uid="{8C76E003-F0EF-4528-8FF3-3D79A7584E47}">
      <formula1>"○"</formula1>
    </dataValidation>
    <dataValidation type="list" allowBlank="1" showInputMessage="1" showErrorMessage="1" sqref="U34 U45 E34:H34 E45:H45" xr:uid="{DFF7CC41-536F-462C-812E-AF793B22BCA5}">
      <formula1>"全学開講,一部開講"</formula1>
    </dataValidation>
    <dataValidation type="list" allowBlank="1" showInputMessage="1" showErrorMessage="1" sqref="L14 L7:U7" xr:uid="{84F79FA5-3456-4764-8476-C743D1EAF2D9}">
      <formula1>"学部・学科によって、修了要件は相違する,学部・学科によって、修了要件は相違しない"</formula1>
    </dataValidation>
    <dataValidation type="list" allowBlank="1" showInputMessage="1" showErrorMessage="1" sqref="G88:J88 R88:U88 G81:J81" xr:uid="{FE70627B-4B28-47E0-9EA7-4FD78B17014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2127EE0F-B96A-47B1-9190-EB0410235AA1}">
      <formula1>$X$16:$X$18</formula1>
    </dataValidation>
    <dataValidation type="list" allowBlank="1" showInputMessage="1" showErrorMessage="1" sqref="R81:U87 G82:J87" xr:uid="{064920B6-CBCC-47DB-A4EE-02F8C1855560}">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5"/>
  <sheetViews>
    <sheetView tabSelected="1" view="pageBreakPreview" topLeftCell="A4" zoomScaleNormal="100" zoomScaleSheetLayoutView="100" workbookViewId="0">
      <selection activeCell="T16" sqref="T16"/>
    </sheetView>
  </sheetViews>
  <sheetFormatPr defaultColWidth="9" defaultRowHeight="18.75" customHeight="1"/>
  <cols>
    <col min="1" max="1" width="2.75" style="1" customWidth="1"/>
    <col min="2" max="2" width="27.875" style="1" customWidth="1"/>
    <col min="3" max="18" width="6.125" style="1" customWidth="1"/>
    <col min="19" max="19" width="6.625" style="1" customWidth="1"/>
    <col min="20" max="16384" width="9" style="1"/>
  </cols>
  <sheetData>
    <row r="1" spans="1:21" ht="18" customHeight="1">
      <c r="A1" s="45"/>
      <c r="B1" s="45"/>
      <c r="C1" s="45"/>
      <c r="D1" s="45"/>
      <c r="E1" s="45"/>
      <c r="F1" s="45"/>
      <c r="G1" s="45"/>
      <c r="H1" s="45"/>
      <c r="I1" s="45"/>
      <c r="J1" s="45"/>
      <c r="K1" s="45"/>
      <c r="L1" s="45"/>
      <c r="M1" s="45"/>
      <c r="N1" s="45"/>
      <c r="O1" s="45"/>
      <c r="P1" s="45"/>
      <c r="Q1" s="45"/>
      <c r="R1" s="45"/>
      <c r="S1" s="45" t="s">
        <v>92</v>
      </c>
    </row>
    <row r="2" spans="1:21" ht="18" customHeight="1">
      <c r="A2" s="45"/>
      <c r="B2" s="45"/>
      <c r="C2" s="45"/>
      <c r="D2" s="45"/>
      <c r="E2" s="45"/>
      <c r="F2" s="45"/>
      <c r="G2" s="45"/>
      <c r="H2" s="45"/>
      <c r="I2" s="45"/>
      <c r="J2" s="45"/>
      <c r="K2" s="45"/>
      <c r="L2" s="45"/>
      <c r="M2" s="45"/>
      <c r="N2" s="45"/>
      <c r="O2" s="45"/>
      <c r="P2" s="45"/>
      <c r="Q2" s="157" t="s">
        <v>175</v>
      </c>
      <c r="R2" s="157"/>
      <c r="S2" s="157"/>
    </row>
    <row r="3" spans="1:21" ht="18" customHeight="1">
      <c r="A3" s="89" t="s">
        <v>142</v>
      </c>
      <c r="B3" s="89"/>
      <c r="C3" s="89"/>
      <c r="D3" s="89"/>
      <c r="E3" s="89"/>
      <c r="F3" s="89"/>
      <c r="G3" s="89"/>
      <c r="H3" s="89"/>
      <c r="I3" s="89"/>
      <c r="J3" s="89"/>
      <c r="K3" s="89"/>
      <c r="L3" s="89"/>
      <c r="M3" s="89"/>
      <c r="N3" s="89"/>
      <c r="O3" s="89"/>
      <c r="P3" s="89"/>
      <c r="Q3" s="89"/>
      <c r="R3" s="89"/>
      <c r="S3" s="89"/>
    </row>
    <row r="4" spans="1:21" ht="7.5" customHeight="1">
      <c r="A4" s="47"/>
      <c r="B4" s="47"/>
      <c r="C4" s="47"/>
      <c r="D4" s="47"/>
      <c r="E4" s="47"/>
      <c r="F4" s="47"/>
      <c r="G4" s="47"/>
      <c r="H4" s="47"/>
      <c r="I4" s="47"/>
      <c r="J4" s="47"/>
      <c r="K4" s="47"/>
      <c r="L4" s="47"/>
      <c r="M4" s="47"/>
      <c r="N4" s="47"/>
      <c r="O4" s="47"/>
      <c r="P4" s="47"/>
      <c r="Q4" s="47"/>
      <c r="R4" s="47"/>
      <c r="S4" s="47"/>
    </row>
    <row r="5" spans="1:21" ht="18" customHeight="1">
      <c r="A5" s="45" t="s">
        <v>75</v>
      </c>
      <c r="B5" s="45"/>
      <c r="C5" s="158" t="s">
        <v>162</v>
      </c>
      <c r="D5" s="159"/>
      <c r="E5" s="49" t="s">
        <v>125</v>
      </c>
      <c r="F5" s="47"/>
      <c r="G5" s="47"/>
      <c r="H5" s="47"/>
      <c r="I5" s="47"/>
      <c r="J5" s="47"/>
      <c r="K5" s="47"/>
      <c r="L5" s="47"/>
      <c r="M5" s="47"/>
      <c r="N5" s="47"/>
      <c r="O5" s="47"/>
      <c r="P5" s="47"/>
      <c r="Q5" s="47"/>
      <c r="R5" s="46"/>
      <c r="S5" s="46"/>
    </row>
    <row r="6" spans="1:21" ht="7.15" customHeight="1">
      <c r="A6" s="45"/>
      <c r="B6" s="45"/>
      <c r="C6" s="68"/>
      <c r="D6" s="68"/>
      <c r="E6" s="47"/>
      <c r="F6" s="47"/>
      <c r="G6" s="47"/>
      <c r="H6" s="47"/>
      <c r="I6" s="47"/>
      <c r="J6" s="47"/>
      <c r="K6" s="47"/>
      <c r="L6" s="47"/>
      <c r="M6" s="47"/>
      <c r="N6" s="47"/>
      <c r="O6" s="47"/>
      <c r="P6" s="47"/>
      <c r="Q6" s="47"/>
      <c r="R6" s="46"/>
      <c r="S6" s="46"/>
    </row>
    <row r="7" spans="1:21" ht="18" customHeight="1">
      <c r="A7" s="45" t="s">
        <v>109</v>
      </c>
      <c r="B7" s="45"/>
      <c r="C7" s="68"/>
      <c r="D7" s="68"/>
      <c r="E7" s="47" t="s">
        <v>110</v>
      </c>
      <c r="F7" s="50">
        <v>308</v>
      </c>
      <c r="G7" s="49" t="s">
        <v>111</v>
      </c>
      <c r="H7" s="47" t="s">
        <v>112</v>
      </c>
      <c r="I7" s="50">
        <v>713</v>
      </c>
      <c r="J7" s="49" t="s">
        <v>111</v>
      </c>
      <c r="K7" s="48" t="s">
        <v>113</v>
      </c>
      <c r="L7" s="47" t="s">
        <v>114</v>
      </c>
      <c r="M7" s="50">
        <f>F7+I7</f>
        <v>1021</v>
      </c>
      <c r="N7" s="47" t="s">
        <v>1</v>
      </c>
      <c r="O7" s="49" t="s">
        <v>115</v>
      </c>
      <c r="P7" s="47"/>
      <c r="Q7" s="47"/>
      <c r="R7" s="46"/>
      <c r="S7" s="46"/>
    </row>
    <row r="8" spans="1:21" ht="17.45" customHeight="1">
      <c r="A8" s="47"/>
      <c r="B8" s="69" t="s">
        <v>128</v>
      </c>
      <c r="C8" s="47"/>
      <c r="D8" s="47"/>
      <c r="E8" s="47"/>
      <c r="F8" s="47"/>
      <c r="G8" s="47"/>
      <c r="H8" s="47"/>
      <c r="I8" s="47"/>
      <c r="J8" s="47"/>
      <c r="K8" s="47"/>
      <c r="L8" s="47"/>
      <c r="M8" s="47"/>
      <c r="N8" s="47"/>
      <c r="O8" s="47"/>
      <c r="P8" s="47"/>
      <c r="Q8" s="47"/>
      <c r="R8" s="47"/>
      <c r="S8" s="47"/>
    </row>
    <row r="9" spans="1:21" ht="18" customHeight="1">
      <c r="A9" s="45" t="s">
        <v>120</v>
      </c>
      <c r="B9" s="47"/>
      <c r="C9" s="47"/>
      <c r="D9" s="47"/>
      <c r="E9" s="47"/>
      <c r="F9" s="47"/>
      <c r="G9" s="47"/>
      <c r="H9" s="47"/>
      <c r="I9" s="47"/>
      <c r="J9" s="47"/>
      <c r="K9" s="47"/>
      <c r="L9" s="47"/>
      <c r="M9" s="47"/>
      <c r="N9" s="47"/>
      <c r="O9" s="47"/>
      <c r="P9" s="47"/>
      <c r="Q9" s="47"/>
      <c r="R9" s="47"/>
      <c r="S9" s="47"/>
    </row>
    <row r="10" spans="1:21" ht="6" customHeight="1">
      <c r="B10" s="3"/>
      <c r="C10" s="3"/>
      <c r="D10" s="3"/>
      <c r="E10" s="3"/>
      <c r="F10" s="3"/>
      <c r="G10" s="3"/>
      <c r="H10" s="3"/>
      <c r="I10" s="3"/>
      <c r="J10" s="3"/>
      <c r="K10" s="3"/>
      <c r="L10" s="3"/>
      <c r="M10" s="3"/>
      <c r="N10" s="3"/>
      <c r="O10" s="3"/>
      <c r="P10" s="3"/>
      <c r="Q10" s="3"/>
      <c r="R10" s="3"/>
      <c r="S10" s="3"/>
    </row>
    <row r="11" spans="1:21" ht="18" customHeight="1">
      <c r="B11" s="160" t="s">
        <v>43</v>
      </c>
      <c r="C11" s="170" t="s">
        <v>78</v>
      </c>
      <c r="D11" s="162" t="s">
        <v>45</v>
      </c>
      <c r="E11" s="164" t="s">
        <v>38</v>
      </c>
      <c r="F11" s="156" t="s">
        <v>126</v>
      </c>
      <c r="G11" s="156"/>
      <c r="H11" s="156" t="s">
        <v>106</v>
      </c>
      <c r="I11" s="156"/>
      <c r="J11" s="156" t="s">
        <v>77</v>
      </c>
      <c r="K11" s="156"/>
      <c r="L11" s="156" t="s">
        <v>46</v>
      </c>
      <c r="M11" s="156"/>
      <c r="N11" s="156" t="s">
        <v>47</v>
      </c>
      <c r="O11" s="156"/>
      <c r="P11" s="156" t="s">
        <v>127</v>
      </c>
      <c r="Q11" s="156"/>
      <c r="R11" s="166" t="s">
        <v>35</v>
      </c>
      <c r="S11" s="168" t="s">
        <v>32</v>
      </c>
      <c r="U11" s="2"/>
    </row>
    <row r="12" spans="1:21" ht="16.899999999999999" customHeight="1">
      <c r="B12" s="161"/>
      <c r="C12" s="171"/>
      <c r="D12" s="163"/>
      <c r="E12" s="165"/>
      <c r="F12" s="70" t="s">
        <v>86</v>
      </c>
      <c r="G12" s="70" t="s">
        <v>29</v>
      </c>
      <c r="H12" s="70" t="s">
        <v>86</v>
      </c>
      <c r="I12" s="70" t="s">
        <v>29</v>
      </c>
      <c r="J12" s="70" t="s">
        <v>86</v>
      </c>
      <c r="K12" s="70" t="s">
        <v>29</v>
      </c>
      <c r="L12" s="70" t="s">
        <v>86</v>
      </c>
      <c r="M12" s="70" t="s">
        <v>29</v>
      </c>
      <c r="N12" s="70" t="s">
        <v>86</v>
      </c>
      <c r="O12" s="70" t="s">
        <v>29</v>
      </c>
      <c r="P12" s="70" t="s">
        <v>86</v>
      </c>
      <c r="Q12" s="71" t="s">
        <v>29</v>
      </c>
      <c r="R12" s="167"/>
      <c r="S12" s="169"/>
      <c r="U12" s="2"/>
    </row>
    <row r="13" spans="1:21" ht="18" customHeight="1">
      <c r="A13" s="6"/>
      <c r="B13" s="9" t="s">
        <v>190</v>
      </c>
      <c r="C13" s="33">
        <v>590</v>
      </c>
      <c r="D13" s="33">
        <v>170</v>
      </c>
      <c r="E13" s="33">
        <v>688</v>
      </c>
      <c r="F13" s="33">
        <v>106</v>
      </c>
      <c r="G13" s="33">
        <v>92</v>
      </c>
      <c r="H13" s="36"/>
      <c r="I13" s="36"/>
      <c r="J13" s="36"/>
      <c r="K13" s="36"/>
      <c r="L13" s="36"/>
      <c r="M13" s="36"/>
      <c r="N13" s="36"/>
      <c r="O13" s="36"/>
      <c r="P13" s="36"/>
      <c r="Q13" s="33"/>
      <c r="R13" s="34">
        <f t="shared" ref="R13:R32" si="0">F13+H13+J13+L13+N13+P13</f>
        <v>106</v>
      </c>
      <c r="S13" s="7">
        <f t="shared" ref="S13:S33" si="1">R13/E13</f>
        <v>0.15406976744186046</v>
      </c>
    </row>
    <row r="14" spans="1:21" ht="18" customHeight="1">
      <c r="A14" s="6"/>
      <c r="B14" s="9" t="s">
        <v>191</v>
      </c>
      <c r="C14" s="33">
        <v>431</v>
      </c>
      <c r="D14" s="33">
        <v>145</v>
      </c>
      <c r="E14" s="33">
        <v>584</v>
      </c>
      <c r="F14" s="33">
        <v>67</v>
      </c>
      <c r="G14" s="33">
        <v>56</v>
      </c>
      <c r="H14" s="36"/>
      <c r="I14" s="36"/>
      <c r="J14" s="36"/>
      <c r="K14" s="36"/>
      <c r="L14" s="36"/>
      <c r="M14" s="36"/>
      <c r="N14" s="36"/>
      <c r="O14" s="36"/>
      <c r="P14" s="36"/>
      <c r="Q14" s="33"/>
      <c r="R14" s="34">
        <f t="shared" si="0"/>
        <v>67</v>
      </c>
      <c r="S14" s="7">
        <f t="shared" si="1"/>
        <v>0.11472602739726027</v>
      </c>
    </row>
    <row r="15" spans="1:21" ht="18" customHeight="1">
      <c r="A15" s="6"/>
      <c r="B15" s="9"/>
      <c r="C15" s="33"/>
      <c r="D15" s="34"/>
      <c r="E15" s="35"/>
      <c r="F15" s="36"/>
      <c r="G15" s="36"/>
      <c r="H15" s="36"/>
      <c r="I15" s="36"/>
      <c r="J15" s="36"/>
      <c r="K15" s="36"/>
      <c r="L15" s="36"/>
      <c r="M15" s="36"/>
      <c r="N15" s="36"/>
      <c r="O15" s="36"/>
      <c r="P15" s="36"/>
      <c r="Q15" s="33"/>
      <c r="R15" s="34">
        <f t="shared" si="0"/>
        <v>0</v>
      </c>
      <c r="S15" s="7" t="e">
        <f t="shared" si="1"/>
        <v>#DIV/0!</v>
      </c>
    </row>
    <row r="16" spans="1:21" s="84" customFormat="1" ht="18" customHeight="1">
      <c r="A16" s="6"/>
      <c r="B16" s="9"/>
      <c r="C16" s="33"/>
      <c r="D16" s="34"/>
      <c r="E16" s="35"/>
      <c r="F16" s="36"/>
      <c r="G16" s="36"/>
      <c r="H16" s="36"/>
      <c r="I16" s="36"/>
      <c r="J16" s="36"/>
      <c r="K16" s="36"/>
      <c r="L16" s="36"/>
      <c r="M16" s="36"/>
      <c r="N16" s="36"/>
      <c r="O16" s="36"/>
      <c r="P16" s="36"/>
      <c r="Q16" s="33"/>
      <c r="R16" s="34">
        <f t="shared" ref="R16:R20" si="2">F16+H16+J16+L16+N16+P16</f>
        <v>0</v>
      </c>
      <c r="S16" s="7" t="e">
        <f t="shared" ref="S16:S20" si="3">R16/E16</f>
        <v>#DIV/0!</v>
      </c>
    </row>
    <row r="17" spans="1:19" s="84" customFormat="1" ht="18" customHeight="1">
      <c r="A17" s="6"/>
      <c r="B17" s="9"/>
      <c r="C17" s="33"/>
      <c r="D17" s="34"/>
      <c r="E17" s="35"/>
      <c r="F17" s="36"/>
      <c r="G17" s="36"/>
      <c r="H17" s="36"/>
      <c r="I17" s="36"/>
      <c r="J17" s="36"/>
      <c r="K17" s="36"/>
      <c r="L17" s="36"/>
      <c r="M17" s="36"/>
      <c r="N17" s="36"/>
      <c r="O17" s="36"/>
      <c r="P17" s="36"/>
      <c r="Q17" s="33"/>
      <c r="R17" s="34">
        <f t="shared" si="2"/>
        <v>0</v>
      </c>
      <c r="S17" s="7" t="e">
        <f t="shared" si="3"/>
        <v>#DIV/0!</v>
      </c>
    </row>
    <row r="18" spans="1:19" s="84" customFormat="1" ht="18" customHeight="1">
      <c r="A18" s="6"/>
      <c r="B18" s="9"/>
      <c r="C18" s="33"/>
      <c r="D18" s="34"/>
      <c r="E18" s="35"/>
      <c r="F18" s="36"/>
      <c r="G18" s="36"/>
      <c r="H18" s="36"/>
      <c r="I18" s="36"/>
      <c r="J18" s="36"/>
      <c r="K18" s="36"/>
      <c r="L18" s="36"/>
      <c r="M18" s="36"/>
      <c r="N18" s="36"/>
      <c r="O18" s="36"/>
      <c r="P18" s="36"/>
      <c r="Q18" s="33"/>
      <c r="R18" s="34">
        <f t="shared" si="2"/>
        <v>0</v>
      </c>
      <c r="S18" s="7" t="e">
        <f t="shared" si="3"/>
        <v>#DIV/0!</v>
      </c>
    </row>
    <row r="19" spans="1:19" s="84" customFormat="1" ht="18" customHeight="1">
      <c r="A19" s="6"/>
      <c r="B19" s="9"/>
      <c r="C19" s="33"/>
      <c r="D19" s="34"/>
      <c r="E19" s="35"/>
      <c r="F19" s="36"/>
      <c r="G19" s="36"/>
      <c r="H19" s="36"/>
      <c r="I19" s="36"/>
      <c r="J19" s="36"/>
      <c r="K19" s="36"/>
      <c r="L19" s="36"/>
      <c r="M19" s="36"/>
      <c r="N19" s="36"/>
      <c r="O19" s="36"/>
      <c r="P19" s="36"/>
      <c r="Q19" s="33"/>
      <c r="R19" s="34">
        <f t="shared" si="2"/>
        <v>0</v>
      </c>
      <c r="S19" s="7" t="e">
        <f t="shared" si="3"/>
        <v>#DIV/0!</v>
      </c>
    </row>
    <row r="20" spans="1:19" s="84" customFormat="1" ht="18" customHeight="1">
      <c r="A20" s="6"/>
      <c r="B20" s="9"/>
      <c r="C20" s="33"/>
      <c r="D20" s="34"/>
      <c r="E20" s="35"/>
      <c r="F20" s="36"/>
      <c r="G20" s="36"/>
      <c r="H20" s="36"/>
      <c r="I20" s="36"/>
      <c r="J20" s="36"/>
      <c r="K20" s="36"/>
      <c r="L20" s="36"/>
      <c r="M20" s="36"/>
      <c r="N20" s="36"/>
      <c r="O20" s="36"/>
      <c r="P20" s="36"/>
      <c r="Q20" s="33"/>
      <c r="R20" s="34">
        <f t="shared" si="2"/>
        <v>0</v>
      </c>
      <c r="S20" s="7" t="e">
        <f t="shared" si="3"/>
        <v>#DIV/0!</v>
      </c>
    </row>
    <row r="21" spans="1:19" ht="18" customHeight="1">
      <c r="A21" s="6"/>
      <c r="B21" s="9"/>
      <c r="C21" s="33"/>
      <c r="D21" s="34"/>
      <c r="E21" s="35"/>
      <c r="F21" s="36"/>
      <c r="G21" s="36"/>
      <c r="H21" s="36"/>
      <c r="I21" s="36"/>
      <c r="J21" s="36"/>
      <c r="K21" s="36"/>
      <c r="L21" s="36"/>
      <c r="M21" s="36"/>
      <c r="N21" s="36"/>
      <c r="O21" s="36"/>
      <c r="P21" s="36"/>
      <c r="Q21" s="33"/>
      <c r="R21" s="34">
        <f t="shared" si="0"/>
        <v>0</v>
      </c>
      <c r="S21" s="7" t="e">
        <f t="shared" si="1"/>
        <v>#DIV/0!</v>
      </c>
    </row>
    <row r="22" spans="1:19" ht="18" customHeight="1">
      <c r="A22" s="6"/>
      <c r="B22" s="9"/>
      <c r="C22" s="33"/>
      <c r="D22" s="34"/>
      <c r="E22" s="35"/>
      <c r="F22" s="36"/>
      <c r="G22" s="36"/>
      <c r="H22" s="36"/>
      <c r="I22" s="36"/>
      <c r="J22" s="36"/>
      <c r="K22" s="36"/>
      <c r="L22" s="36"/>
      <c r="M22" s="36"/>
      <c r="N22" s="36"/>
      <c r="O22" s="36"/>
      <c r="P22" s="36"/>
      <c r="Q22" s="33"/>
      <c r="R22" s="34">
        <f t="shared" si="0"/>
        <v>0</v>
      </c>
      <c r="S22" s="7" t="e">
        <f t="shared" si="1"/>
        <v>#DIV/0!</v>
      </c>
    </row>
    <row r="23" spans="1:19" ht="18" customHeight="1">
      <c r="A23" s="6"/>
      <c r="B23" s="9"/>
      <c r="C23" s="33"/>
      <c r="D23" s="34"/>
      <c r="E23" s="35"/>
      <c r="F23" s="36"/>
      <c r="G23" s="36"/>
      <c r="H23" s="36"/>
      <c r="I23" s="36"/>
      <c r="J23" s="36"/>
      <c r="K23" s="36"/>
      <c r="L23" s="36"/>
      <c r="M23" s="36"/>
      <c r="N23" s="36"/>
      <c r="O23" s="36"/>
      <c r="P23" s="36"/>
      <c r="Q23" s="33"/>
      <c r="R23" s="33">
        <f t="shared" si="0"/>
        <v>0</v>
      </c>
      <c r="S23" s="7" t="e">
        <f t="shared" si="1"/>
        <v>#DIV/0!</v>
      </c>
    </row>
    <row r="24" spans="1:19" ht="18" customHeight="1">
      <c r="A24" s="6"/>
      <c r="B24" s="9"/>
      <c r="C24" s="33"/>
      <c r="D24" s="34"/>
      <c r="E24" s="35"/>
      <c r="F24" s="36"/>
      <c r="G24" s="36"/>
      <c r="H24" s="36"/>
      <c r="I24" s="36"/>
      <c r="J24" s="36"/>
      <c r="K24" s="36"/>
      <c r="L24" s="36"/>
      <c r="M24" s="36"/>
      <c r="N24" s="36"/>
      <c r="O24" s="36"/>
      <c r="P24" s="36"/>
      <c r="Q24" s="33"/>
      <c r="R24" s="33">
        <f t="shared" si="0"/>
        <v>0</v>
      </c>
      <c r="S24" s="7" t="e">
        <f t="shared" si="1"/>
        <v>#DIV/0!</v>
      </c>
    </row>
    <row r="25" spans="1:19" ht="18" customHeight="1">
      <c r="A25" s="6"/>
      <c r="B25" s="9"/>
      <c r="C25" s="33"/>
      <c r="D25" s="34"/>
      <c r="E25" s="35"/>
      <c r="F25" s="36"/>
      <c r="G25" s="36"/>
      <c r="H25" s="36"/>
      <c r="I25" s="36"/>
      <c r="J25" s="36"/>
      <c r="K25" s="36"/>
      <c r="L25" s="36"/>
      <c r="M25" s="36"/>
      <c r="N25" s="36"/>
      <c r="O25" s="36"/>
      <c r="P25" s="36"/>
      <c r="Q25" s="33"/>
      <c r="R25" s="33">
        <f t="shared" si="0"/>
        <v>0</v>
      </c>
      <c r="S25" s="7" t="e">
        <f t="shared" si="1"/>
        <v>#DIV/0!</v>
      </c>
    </row>
    <row r="26" spans="1:19" ht="18" customHeight="1">
      <c r="A26" s="6"/>
      <c r="B26" s="9"/>
      <c r="C26" s="33"/>
      <c r="D26" s="34"/>
      <c r="E26" s="35"/>
      <c r="F26" s="36"/>
      <c r="G26" s="36"/>
      <c r="H26" s="36"/>
      <c r="I26" s="36"/>
      <c r="J26" s="36"/>
      <c r="K26" s="36"/>
      <c r="L26" s="36"/>
      <c r="M26" s="36"/>
      <c r="N26" s="36"/>
      <c r="O26" s="36"/>
      <c r="P26" s="36"/>
      <c r="Q26" s="33"/>
      <c r="R26" s="33">
        <f t="shared" si="0"/>
        <v>0</v>
      </c>
      <c r="S26" s="7" t="e">
        <f t="shared" si="1"/>
        <v>#DIV/0!</v>
      </c>
    </row>
    <row r="27" spans="1:19" ht="18" customHeight="1">
      <c r="A27" s="6"/>
      <c r="B27" s="9"/>
      <c r="C27" s="33"/>
      <c r="D27" s="34"/>
      <c r="E27" s="35"/>
      <c r="F27" s="36"/>
      <c r="G27" s="36"/>
      <c r="H27" s="36"/>
      <c r="I27" s="36"/>
      <c r="J27" s="36"/>
      <c r="K27" s="36"/>
      <c r="L27" s="36"/>
      <c r="M27" s="36"/>
      <c r="N27" s="36"/>
      <c r="O27" s="36"/>
      <c r="P27" s="36"/>
      <c r="Q27" s="33"/>
      <c r="R27" s="33">
        <f t="shared" si="0"/>
        <v>0</v>
      </c>
      <c r="S27" s="7" t="e">
        <f t="shared" si="1"/>
        <v>#DIV/0!</v>
      </c>
    </row>
    <row r="28" spans="1:19" ht="18" customHeight="1">
      <c r="A28" s="6"/>
      <c r="B28" s="9"/>
      <c r="C28" s="33"/>
      <c r="D28" s="34"/>
      <c r="E28" s="35"/>
      <c r="F28" s="36"/>
      <c r="G28" s="36"/>
      <c r="H28" s="36"/>
      <c r="I28" s="36"/>
      <c r="J28" s="36"/>
      <c r="K28" s="36"/>
      <c r="L28" s="36"/>
      <c r="M28" s="36"/>
      <c r="N28" s="36"/>
      <c r="O28" s="36"/>
      <c r="P28" s="36"/>
      <c r="Q28" s="33"/>
      <c r="R28" s="33">
        <f t="shared" si="0"/>
        <v>0</v>
      </c>
      <c r="S28" s="7" t="e">
        <f t="shared" si="1"/>
        <v>#DIV/0!</v>
      </c>
    </row>
    <row r="29" spans="1:19" ht="18" customHeight="1">
      <c r="A29" s="6"/>
      <c r="B29" s="9"/>
      <c r="C29" s="33"/>
      <c r="D29" s="34"/>
      <c r="E29" s="35"/>
      <c r="F29" s="36"/>
      <c r="G29" s="36"/>
      <c r="H29" s="36"/>
      <c r="I29" s="36"/>
      <c r="J29" s="36"/>
      <c r="K29" s="36"/>
      <c r="L29" s="36"/>
      <c r="M29" s="36"/>
      <c r="N29" s="36"/>
      <c r="O29" s="36"/>
      <c r="P29" s="36"/>
      <c r="Q29" s="33"/>
      <c r="R29" s="33">
        <f t="shared" si="0"/>
        <v>0</v>
      </c>
      <c r="S29" s="7" t="e">
        <f t="shared" si="1"/>
        <v>#DIV/0!</v>
      </c>
    </row>
    <row r="30" spans="1:19" ht="18" customHeight="1">
      <c r="A30" s="6"/>
      <c r="B30" s="9"/>
      <c r="C30" s="33"/>
      <c r="D30" s="37"/>
      <c r="E30" s="35"/>
      <c r="F30" s="36"/>
      <c r="G30" s="36"/>
      <c r="H30" s="36"/>
      <c r="I30" s="36"/>
      <c r="J30" s="36"/>
      <c r="K30" s="36"/>
      <c r="L30" s="36"/>
      <c r="M30" s="36"/>
      <c r="N30" s="36"/>
      <c r="O30" s="36"/>
      <c r="P30" s="36"/>
      <c r="Q30" s="33"/>
      <c r="R30" s="33">
        <f t="shared" si="0"/>
        <v>0</v>
      </c>
      <c r="S30" s="7" t="e">
        <f t="shared" si="1"/>
        <v>#DIV/0!</v>
      </c>
    </row>
    <row r="31" spans="1:19" ht="18" customHeight="1">
      <c r="A31" s="6"/>
      <c r="B31" s="9"/>
      <c r="C31" s="33"/>
      <c r="D31" s="37"/>
      <c r="E31" s="35"/>
      <c r="F31" s="36"/>
      <c r="G31" s="36"/>
      <c r="H31" s="36"/>
      <c r="I31" s="36"/>
      <c r="J31" s="36"/>
      <c r="K31" s="36"/>
      <c r="L31" s="36"/>
      <c r="M31" s="36"/>
      <c r="N31" s="36"/>
      <c r="O31" s="36"/>
      <c r="P31" s="36"/>
      <c r="Q31" s="33"/>
      <c r="R31" s="33">
        <f t="shared" si="0"/>
        <v>0</v>
      </c>
      <c r="S31" s="7" t="e">
        <f t="shared" si="1"/>
        <v>#DIV/0!</v>
      </c>
    </row>
    <row r="32" spans="1:19" ht="18" customHeight="1" thickBot="1">
      <c r="A32" s="6"/>
      <c r="B32" s="10"/>
      <c r="C32" s="31"/>
      <c r="D32" s="38"/>
      <c r="E32" s="32"/>
      <c r="F32" s="32"/>
      <c r="G32" s="32"/>
      <c r="H32" s="32"/>
      <c r="I32" s="32"/>
      <c r="J32" s="32"/>
      <c r="K32" s="32"/>
      <c r="L32" s="32"/>
      <c r="M32" s="32"/>
      <c r="N32" s="32"/>
      <c r="O32" s="32"/>
      <c r="P32" s="32"/>
      <c r="Q32" s="33"/>
      <c r="R32" s="31">
        <f t="shared" si="0"/>
        <v>0</v>
      </c>
      <c r="S32" s="77" t="e">
        <f t="shared" si="1"/>
        <v>#DIV/0!</v>
      </c>
    </row>
    <row r="33" spans="2:19" ht="18" customHeight="1" thickTop="1">
      <c r="B33" s="11" t="s">
        <v>33</v>
      </c>
      <c r="C33" s="39">
        <f>SUM(C13:C32)</f>
        <v>1021</v>
      </c>
      <c r="D33" s="40">
        <f>SUM(D13:D32)</f>
        <v>315</v>
      </c>
      <c r="E33" s="41">
        <f>SUM(E13:E32)</f>
        <v>1272</v>
      </c>
      <c r="F33" s="41">
        <f>SUM(F13:F32)</f>
        <v>173</v>
      </c>
      <c r="G33" s="41">
        <f>SUM(G13:G32)</f>
        <v>148</v>
      </c>
      <c r="H33" s="41">
        <f>SUM(H13:H32)</f>
        <v>0</v>
      </c>
      <c r="I33" s="41">
        <f>SUM(I13:I32)</f>
        <v>0</v>
      </c>
      <c r="J33" s="41">
        <f>SUM(J13:J32)</f>
        <v>0</v>
      </c>
      <c r="K33" s="41">
        <f>SUM(K13:K32)</f>
        <v>0</v>
      </c>
      <c r="L33" s="41">
        <f>SUM(L13:L32)</f>
        <v>0</v>
      </c>
      <c r="M33" s="41">
        <f>SUM(M13:M32)</f>
        <v>0</v>
      </c>
      <c r="N33" s="41">
        <f>SUM(N13:N32)</f>
        <v>0</v>
      </c>
      <c r="O33" s="41">
        <f>SUM(O13:O32)</f>
        <v>0</v>
      </c>
      <c r="P33" s="41">
        <f>SUM(P13:P32)</f>
        <v>0</v>
      </c>
      <c r="Q33" s="39">
        <f>SUM(Q13:Q32)</f>
        <v>0</v>
      </c>
      <c r="R33" s="39">
        <f>SUM(R13:R32)</f>
        <v>173</v>
      </c>
      <c r="S33" s="78">
        <f t="shared" si="1"/>
        <v>0.1360062893081761</v>
      </c>
    </row>
    <row r="35" spans="2:19" ht="18.75" customHeight="1">
      <c r="C35" s="1">
        <v>1021</v>
      </c>
      <c r="D35" s="1">
        <v>315</v>
      </c>
      <c r="E35" s="1">
        <v>1272</v>
      </c>
      <c r="F35" s="1">
        <v>173</v>
      </c>
      <c r="G35" s="1">
        <v>148</v>
      </c>
      <c r="H35" s="1">
        <v>0</v>
      </c>
      <c r="I35" s="1">
        <v>0</v>
      </c>
      <c r="J35" s="1">
        <v>0</v>
      </c>
      <c r="K35" s="1">
        <v>0</v>
      </c>
      <c r="L35" s="1">
        <v>0</v>
      </c>
      <c r="M35" s="1">
        <v>0</v>
      </c>
      <c r="N35" s="1">
        <v>0</v>
      </c>
      <c r="O35" s="1">
        <v>0</v>
      </c>
      <c r="P35" s="1">
        <v>0</v>
      </c>
      <c r="Q35" s="1">
        <v>0</v>
      </c>
      <c r="R35" s="1">
        <v>173</v>
      </c>
      <c r="S35" s="1">
        <v>0.1360062893081761</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89" zoomScaleNormal="100" zoomScaleSheetLayoutView="100" workbookViewId="0">
      <selection activeCell="Y65" sqref="Y65"/>
    </sheetView>
  </sheetViews>
  <sheetFormatPr defaultColWidth="11.375" defaultRowHeight="18.75" customHeight="1"/>
  <cols>
    <col min="1" max="1" width="2.75" style="17"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17" t="s">
        <v>59</v>
      </c>
      <c r="I1" s="15" t="s">
        <v>91</v>
      </c>
    </row>
    <row r="2" spans="1:9" ht="18.75" customHeight="1">
      <c r="G2" s="15" t="s">
        <v>93</v>
      </c>
      <c r="H2" s="86" t="s">
        <v>143</v>
      </c>
      <c r="I2" s="88"/>
    </row>
    <row r="3" spans="1:9" ht="18.75" customHeight="1">
      <c r="G3" s="15"/>
      <c r="H3" s="8"/>
      <c r="I3" s="8"/>
    </row>
    <row r="4" spans="1:9" ht="18.600000000000001" customHeight="1">
      <c r="A4" s="89" t="s">
        <v>36</v>
      </c>
      <c r="B4" s="89"/>
      <c r="C4" s="89"/>
      <c r="D4" s="89"/>
      <c r="E4" s="89"/>
      <c r="F4" s="89"/>
      <c r="G4" s="89"/>
      <c r="H4" s="89"/>
      <c r="I4" s="89"/>
    </row>
    <row r="5" spans="1:9" ht="13.15" customHeight="1">
      <c r="B5" s="3"/>
      <c r="C5" s="3"/>
      <c r="D5" s="3"/>
      <c r="E5" s="3"/>
      <c r="F5" s="3"/>
      <c r="G5" s="3"/>
      <c r="H5" s="3"/>
      <c r="I5" s="3"/>
    </row>
    <row r="6" spans="1:9" ht="18" customHeight="1">
      <c r="A6" s="1" t="s">
        <v>0</v>
      </c>
      <c r="B6" s="8" t="s">
        <v>81</v>
      </c>
      <c r="C6" s="221" t="s">
        <v>82</v>
      </c>
      <c r="D6" s="221"/>
      <c r="E6" s="14">
        <v>63</v>
      </c>
      <c r="F6" s="3" t="s">
        <v>1</v>
      </c>
      <c r="G6" s="3" t="s">
        <v>2</v>
      </c>
      <c r="H6" s="14">
        <v>65</v>
      </c>
      <c r="I6" s="8" t="s">
        <v>1</v>
      </c>
    </row>
    <row r="7" spans="1:9" ht="12" customHeight="1">
      <c r="C7" s="2"/>
      <c r="D7" s="2"/>
      <c r="E7" s="2"/>
      <c r="F7" s="2"/>
      <c r="G7" s="2"/>
      <c r="H7" s="2"/>
      <c r="I7" s="18"/>
    </row>
    <row r="8" spans="1:9" ht="18" customHeight="1">
      <c r="A8" s="1" t="s">
        <v>3</v>
      </c>
      <c r="B8" s="8" t="s">
        <v>83</v>
      </c>
      <c r="E8" s="3"/>
      <c r="F8" s="3"/>
      <c r="G8" s="3"/>
      <c r="H8" s="14">
        <v>4</v>
      </c>
      <c r="I8" s="8" t="s">
        <v>1</v>
      </c>
    </row>
    <row r="9" spans="1:9" ht="9" customHeight="1">
      <c r="B9" s="3"/>
      <c r="C9" s="3"/>
      <c r="D9" s="3"/>
      <c r="E9" s="3"/>
      <c r="F9" s="3"/>
      <c r="G9" s="3"/>
      <c r="H9" s="3"/>
      <c r="I9" s="3"/>
    </row>
    <row r="10" spans="1:9" ht="18" customHeight="1">
      <c r="A10" s="1" t="s">
        <v>4</v>
      </c>
      <c r="B10" s="8" t="s">
        <v>84</v>
      </c>
      <c r="C10" s="3"/>
      <c r="D10" s="3"/>
      <c r="E10" s="3"/>
      <c r="F10" s="3"/>
      <c r="G10" s="3"/>
      <c r="H10" s="3"/>
      <c r="I10" s="3"/>
    </row>
    <row r="11" spans="1:9" ht="18" customHeight="1">
      <c r="B11" s="15" t="s">
        <v>41</v>
      </c>
      <c r="C11" s="214" t="s">
        <v>144</v>
      </c>
      <c r="D11" s="217"/>
      <c r="E11" s="218"/>
      <c r="F11" s="18"/>
      <c r="G11" s="15" t="s">
        <v>10</v>
      </c>
      <c r="H11" s="219" t="s">
        <v>145</v>
      </c>
      <c r="I11" s="220"/>
    </row>
    <row r="12" spans="1:9" ht="10.15" customHeight="1">
      <c r="B12" s="15"/>
      <c r="C12" s="8"/>
      <c r="D12" s="18"/>
      <c r="E12" s="18"/>
      <c r="F12" s="18"/>
      <c r="G12" s="15"/>
      <c r="H12" s="8"/>
      <c r="I12" s="18"/>
    </row>
    <row r="13" spans="1:9" ht="18" customHeight="1">
      <c r="A13" s="1" t="s">
        <v>7</v>
      </c>
      <c r="B13" s="8" t="s">
        <v>79</v>
      </c>
      <c r="C13" s="3"/>
      <c r="D13" s="3"/>
      <c r="E13" s="3"/>
      <c r="F13" s="3"/>
      <c r="G13" s="3"/>
      <c r="H13" s="3"/>
      <c r="I13" s="3"/>
    </row>
    <row r="14" spans="1:9" ht="18" customHeight="1">
      <c r="B14" s="214" t="s">
        <v>169</v>
      </c>
      <c r="C14" s="215"/>
      <c r="D14" s="215"/>
      <c r="E14" s="215"/>
      <c r="F14" s="215"/>
      <c r="G14" s="215"/>
      <c r="H14" s="215"/>
      <c r="I14" s="216"/>
    </row>
    <row r="15" spans="1:9" ht="9" customHeight="1">
      <c r="B15" s="3"/>
      <c r="C15" s="3"/>
      <c r="D15" s="3"/>
      <c r="E15" s="3"/>
      <c r="F15" s="3"/>
      <c r="G15" s="3"/>
      <c r="H15" s="3"/>
      <c r="I15" s="3"/>
    </row>
    <row r="16" spans="1:9" ht="18" customHeight="1">
      <c r="B16" s="15" t="s">
        <v>41</v>
      </c>
      <c r="C16" s="214" t="s">
        <v>144</v>
      </c>
      <c r="D16" s="217"/>
      <c r="E16" s="218"/>
      <c r="F16" s="18"/>
      <c r="G16" s="15" t="s">
        <v>10</v>
      </c>
      <c r="H16" s="219" t="s">
        <v>145</v>
      </c>
      <c r="I16" s="220"/>
    </row>
    <row r="17" spans="1:9" ht="18" customHeight="1">
      <c r="B17" s="3"/>
      <c r="C17" s="3"/>
      <c r="D17" s="3"/>
      <c r="E17" s="3"/>
      <c r="F17" s="3"/>
      <c r="G17" s="3"/>
      <c r="H17" s="3"/>
      <c r="I17" s="3"/>
    </row>
    <row r="18" spans="1:9" ht="18.75" customHeight="1">
      <c r="A18" s="1" t="s">
        <v>5</v>
      </c>
      <c r="B18" s="1" t="s">
        <v>40</v>
      </c>
      <c r="I18" s="3"/>
    </row>
    <row r="19" spans="1:9" ht="18.75" customHeight="1">
      <c r="A19" s="1"/>
      <c r="B19" s="200" t="s">
        <v>146</v>
      </c>
      <c r="C19" s="201"/>
      <c r="D19" s="201"/>
      <c r="E19" s="201"/>
      <c r="F19" s="201"/>
      <c r="G19" s="201"/>
      <c r="H19" s="201"/>
      <c r="I19" s="202"/>
    </row>
    <row r="20" spans="1:9" ht="7.5" customHeight="1">
      <c r="B20" s="3"/>
      <c r="C20" s="3"/>
      <c r="D20" s="3"/>
      <c r="E20" s="3"/>
      <c r="F20" s="3"/>
      <c r="G20" s="3"/>
      <c r="H20" s="3"/>
      <c r="I20" s="3"/>
    </row>
    <row r="21" spans="1:9" ht="18.75" customHeight="1">
      <c r="A21" s="1" t="s">
        <v>8</v>
      </c>
      <c r="B21" s="1" t="s">
        <v>25</v>
      </c>
    </row>
    <row r="22" spans="1:9" ht="18.75" customHeight="1">
      <c r="A22" s="12"/>
      <c r="B22" s="203" t="s">
        <v>147</v>
      </c>
      <c r="C22" s="204"/>
      <c r="D22" s="204"/>
      <c r="E22" s="204"/>
      <c r="F22" s="204"/>
      <c r="G22" s="204"/>
      <c r="H22" s="204"/>
      <c r="I22" s="205"/>
    </row>
    <row r="23" spans="1:9" ht="18.75" customHeight="1">
      <c r="A23" s="12"/>
      <c r="B23" s="206"/>
      <c r="C23" s="207"/>
      <c r="D23" s="207"/>
      <c r="E23" s="207"/>
      <c r="F23" s="207"/>
      <c r="G23" s="207"/>
      <c r="H23" s="207"/>
      <c r="I23" s="208"/>
    </row>
    <row r="24" spans="1:9" ht="18.75" customHeight="1">
      <c r="A24" s="12"/>
      <c r="B24" s="206"/>
      <c r="C24" s="207"/>
      <c r="D24" s="207"/>
      <c r="E24" s="207"/>
      <c r="F24" s="207"/>
      <c r="G24" s="207"/>
      <c r="H24" s="207"/>
      <c r="I24" s="208"/>
    </row>
    <row r="25" spans="1:9" ht="18.75" customHeight="1">
      <c r="A25" s="12"/>
      <c r="B25" s="206"/>
      <c r="C25" s="207"/>
      <c r="D25" s="207"/>
      <c r="E25" s="207"/>
      <c r="F25" s="207"/>
      <c r="G25" s="207"/>
      <c r="H25" s="207"/>
      <c r="I25" s="208"/>
    </row>
    <row r="26" spans="1:9" ht="18.75" customHeight="1">
      <c r="A26" s="12"/>
      <c r="B26" s="206"/>
      <c r="C26" s="207"/>
      <c r="D26" s="207"/>
      <c r="E26" s="207"/>
      <c r="F26" s="207"/>
      <c r="G26" s="207"/>
      <c r="H26" s="207"/>
      <c r="I26" s="208"/>
    </row>
    <row r="27" spans="1:9" ht="18.75" customHeight="1">
      <c r="A27" s="12"/>
      <c r="B27" s="206"/>
      <c r="C27" s="207"/>
      <c r="D27" s="207"/>
      <c r="E27" s="207"/>
      <c r="F27" s="207"/>
      <c r="G27" s="207"/>
      <c r="H27" s="207"/>
      <c r="I27" s="208"/>
    </row>
    <row r="28" spans="1:9" ht="18.75" customHeight="1">
      <c r="A28" s="12"/>
      <c r="B28" s="206"/>
      <c r="C28" s="207"/>
      <c r="D28" s="207"/>
      <c r="E28" s="207"/>
      <c r="F28" s="207"/>
      <c r="G28" s="207"/>
      <c r="H28" s="207"/>
      <c r="I28" s="208"/>
    </row>
    <row r="29" spans="1:9" ht="18.75" customHeight="1">
      <c r="A29" s="12"/>
      <c r="B29" s="206"/>
      <c r="C29" s="207"/>
      <c r="D29" s="207"/>
      <c r="E29" s="207"/>
      <c r="F29" s="207"/>
      <c r="G29" s="207"/>
      <c r="H29" s="207"/>
      <c r="I29" s="208"/>
    </row>
    <row r="30" spans="1:9" ht="18.75" customHeight="1">
      <c r="A30" s="12"/>
      <c r="B30" s="209"/>
      <c r="C30" s="210"/>
      <c r="D30" s="210"/>
      <c r="E30" s="210"/>
      <c r="F30" s="210"/>
      <c r="G30" s="210"/>
      <c r="H30" s="210"/>
      <c r="I30" s="208"/>
    </row>
    <row r="31" spans="1:9" ht="18.75" customHeight="1">
      <c r="A31" s="12"/>
      <c r="B31" s="209"/>
      <c r="C31" s="210"/>
      <c r="D31" s="210"/>
      <c r="E31" s="210"/>
      <c r="F31" s="210"/>
      <c r="G31" s="210"/>
      <c r="H31" s="210"/>
      <c r="I31" s="208"/>
    </row>
    <row r="32" spans="1:9" ht="18.75" customHeight="1">
      <c r="A32" s="12"/>
      <c r="B32" s="211"/>
      <c r="C32" s="212"/>
      <c r="D32" s="212"/>
      <c r="E32" s="212"/>
      <c r="F32" s="212"/>
      <c r="G32" s="212"/>
      <c r="H32" s="212"/>
      <c r="I32" s="213"/>
    </row>
    <row r="33" spans="1:9" ht="7.5" customHeight="1">
      <c r="A33" s="12"/>
      <c r="B33" s="12"/>
      <c r="C33" s="12"/>
      <c r="D33" s="12"/>
      <c r="E33" s="12"/>
      <c r="F33" s="12"/>
      <c r="G33" s="12"/>
      <c r="H33" s="12"/>
      <c r="I33" s="12"/>
    </row>
    <row r="34" spans="1:9" ht="18.75" customHeight="1">
      <c r="A34" s="13" t="s">
        <v>6</v>
      </c>
      <c r="B34" s="13" t="s">
        <v>9</v>
      </c>
      <c r="C34" s="8"/>
      <c r="D34" s="13"/>
      <c r="E34" s="13"/>
      <c r="F34" s="13"/>
      <c r="G34" s="13"/>
      <c r="H34" s="13"/>
      <c r="I34" s="13"/>
    </row>
    <row r="35" spans="1:9" ht="18.75" customHeight="1">
      <c r="A35" s="12"/>
      <c r="B35" s="203" t="s">
        <v>148</v>
      </c>
      <c r="C35" s="204"/>
      <c r="D35" s="204"/>
      <c r="E35" s="204"/>
      <c r="F35" s="204"/>
      <c r="G35" s="204"/>
      <c r="H35" s="204"/>
      <c r="I35" s="205"/>
    </row>
    <row r="36" spans="1:9" ht="18.75" customHeight="1">
      <c r="A36" s="12"/>
      <c r="B36" s="209"/>
      <c r="C36" s="210"/>
      <c r="D36" s="210"/>
      <c r="E36" s="210"/>
      <c r="F36" s="210"/>
      <c r="G36" s="210"/>
      <c r="H36" s="210"/>
      <c r="I36" s="208"/>
    </row>
    <row r="37" spans="1:9" ht="18.75" customHeight="1">
      <c r="A37" s="12"/>
      <c r="B37" s="209"/>
      <c r="C37" s="210"/>
      <c r="D37" s="210"/>
      <c r="E37" s="210"/>
      <c r="F37" s="210"/>
      <c r="G37" s="210"/>
      <c r="H37" s="210"/>
      <c r="I37" s="208"/>
    </row>
    <row r="38" spans="1:9" ht="18.75" customHeight="1">
      <c r="A38" s="12"/>
      <c r="B38" s="209"/>
      <c r="C38" s="210"/>
      <c r="D38" s="210"/>
      <c r="E38" s="210"/>
      <c r="F38" s="210"/>
      <c r="G38" s="210"/>
      <c r="H38" s="210"/>
      <c r="I38" s="208"/>
    </row>
    <row r="39" spans="1:9" ht="18.75" customHeight="1">
      <c r="A39" s="12"/>
      <c r="B39" s="209"/>
      <c r="C39" s="210"/>
      <c r="D39" s="210"/>
      <c r="E39" s="210"/>
      <c r="F39" s="210"/>
      <c r="G39" s="210"/>
      <c r="H39" s="210"/>
      <c r="I39" s="208"/>
    </row>
    <row r="40" spans="1:9" ht="18.75" customHeight="1">
      <c r="A40" s="12"/>
      <c r="B40" s="209"/>
      <c r="C40" s="210"/>
      <c r="D40" s="210"/>
      <c r="E40" s="210"/>
      <c r="F40" s="210"/>
      <c r="G40" s="210"/>
      <c r="H40" s="210"/>
      <c r="I40" s="208"/>
    </row>
    <row r="41" spans="1:9" ht="18.75" customHeight="1">
      <c r="A41" s="12"/>
      <c r="B41" s="209"/>
      <c r="C41" s="210"/>
      <c r="D41" s="210"/>
      <c r="E41" s="210"/>
      <c r="F41" s="210"/>
      <c r="G41" s="210"/>
      <c r="H41" s="210"/>
      <c r="I41" s="208"/>
    </row>
    <row r="42" spans="1:9" ht="18.75" customHeight="1">
      <c r="A42" s="12"/>
      <c r="B42" s="209"/>
      <c r="C42" s="210"/>
      <c r="D42" s="210"/>
      <c r="E42" s="210"/>
      <c r="F42" s="210"/>
      <c r="G42" s="210"/>
      <c r="H42" s="210"/>
      <c r="I42" s="208"/>
    </row>
    <row r="43" spans="1:9" ht="18.75" customHeight="1">
      <c r="A43" s="12"/>
      <c r="B43" s="209"/>
      <c r="C43" s="210"/>
      <c r="D43" s="210"/>
      <c r="E43" s="210"/>
      <c r="F43" s="210"/>
      <c r="G43" s="210"/>
      <c r="H43" s="210"/>
      <c r="I43" s="208"/>
    </row>
    <row r="44" spans="1:9" ht="18.75" customHeight="1">
      <c r="A44" s="12"/>
      <c r="B44" s="209"/>
      <c r="C44" s="210"/>
      <c r="D44" s="210"/>
      <c r="E44" s="210"/>
      <c r="F44" s="210"/>
      <c r="G44" s="210"/>
      <c r="H44" s="210"/>
      <c r="I44" s="208"/>
    </row>
    <row r="45" spans="1:9" ht="18.75" customHeight="1">
      <c r="A45" s="12"/>
      <c r="B45" s="209"/>
      <c r="C45" s="210"/>
      <c r="D45" s="210"/>
      <c r="E45" s="210"/>
      <c r="F45" s="210"/>
      <c r="G45" s="210"/>
      <c r="H45" s="210"/>
      <c r="I45" s="208"/>
    </row>
    <row r="46" spans="1:9" ht="18.75" customHeight="1">
      <c r="A46" s="12"/>
      <c r="B46" s="211"/>
      <c r="C46" s="212"/>
      <c r="D46" s="212"/>
      <c r="E46" s="212"/>
      <c r="F46" s="212"/>
      <c r="G46" s="212"/>
      <c r="H46" s="212"/>
      <c r="I46" s="213"/>
    </row>
    <row r="47" spans="1:9" ht="7.5" customHeight="1">
      <c r="A47" s="4"/>
      <c r="B47" s="4"/>
      <c r="C47" s="4"/>
      <c r="D47" s="4"/>
      <c r="E47" s="4"/>
      <c r="F47" s="4"/>
      <c r="G47" s="4"/>
      <c r="H47" s="4"/>
      <c r="I47" s="4"/>
    </row>
    <row r="48" spans="1:9" ht="18.75" customHeight="1">
      <c r="A48" s="1" t="s">
        <v>31</v>
      </c>
      <c r="B48" s="1" t="s">
        <v>105</v>
      </c>
    </row>
    <row r="49" spans="1:15" s="3" customFormat="1" ht="18.75" customHeight="1">
      <c r="B49" s="72" t="s">
        <v>129</v>
      </c>
      <c r="C49" s="189">
        <f>'様式２ 履修者等数の実績'!S33</f>
        <v>0.1360062893081761</v>
      </c>
      <c r="D49" s="189"/>
      <c r="E49" s="72" t="s">
        <v>60</v>
      </c>
      <c r="F49" s="189">
        <v>0.3</v>
      </c>
      <c r="G49" s="189"/>
      <c r="H49" s="72" t="s">
        <v>80</v>
      </c>
      <c r="I49" s="19">
        <v>0.45</v>
      </c>
      <c r="J49" s="1"/>
      <c r="M49" s="1"/>
      <c r="N49" s="20"/>
    </row>
    <row r="50" spans="1:15" s="3" customFormat="1" ht="18.75" customHeight="1">
      <c r="B50" s="73" t="s">
        <v>116</v>
      </c>
      <c r="C50" s="172">
        <v>0.6</v>
      </c>
      <c r="D50" s="172"/>
      <c r="E50" s="73" t="s">
        <v>130</v>
      </c>
      <c r="F50" s="172">
        <v>0.65</v>
      </c>
      <c r="G50" s="172"/>
      <c r="H50" s="73" t="s">
        <v>61</v>
      </c>
      <c r="I50" s="21">
        <v>1272</v>
      </c>
      <c r="J50" s="1"/>
      <c r="M50" s="1"/>
      <c r="N50" s="20"/>
    </row>
    <row r="51" spans="1:15" ht="18.75" customHeight="1">
      <c r="A51" s="1"/>
      <c r="B51" s="223" t="s">
        <v>62</v>
      </c>
      <c r="C51" s="224"/>
      <c r="D51" s="224"/>
      <c r="E51" s="224"/>
      <c r="F51" s="224"/>
      <c r="G51" s="224"/>
      <c r="H51" s="224"/>
      <c r="I51" s="225"/>
      <c r="N51" s="20"/>
      <c r="O51" s="3"/>
    </row>
    <row r="52" spans="1:15" ht="18.75" customHeight="1">
      <c r="A52" s="1"/>
      <c r="B52" s="190" t="s">
        <v>149</v>
      </c>
      <c r="C52" s="191"/>
      <c r="D52" s="191"/>
      <c r="E52" s="191"/>
      <c r="F52" s="191"/>
      <c r="G52" s="191"/>
      <c r="H52" s="191"/>
      <c r="I52" s="192"/>
      <c r="N52" s="20"/>
      <c r="O52" s="3"/>
    </row>
    <row r="53" spans="1:15" ht="18.75" customHeight="1">
      <c r="A53" s="1"/>
      <c r="B53" s="193"/>
      <c r="C53" s="194"/>
      <c r="D53" s="194"/>
      <c r="E53" s="194"/>
      <c r="F53" s="194"/>
      <c r="G53" s="194"/>
      <c r="H53" s="194"/>
      <c r="I53" s="195"/>
      <c r="N53" s="20"/>
      <c r="O53" s="3"/>
    </row>
    <row r="54" spans="1:15" ht="18.75" customHeight="1">
      <c r="A54" s="1"/>
      <c r="B54" s="193"/>
      <c r="C54" s="194"/>
      <c r="D54" s="194"/>
      <c r="E54" s="194"/>
      <c r="F54" s="194"/>
      <c r="G54" s="194"/>
      <c r="H54" s="194"/>
      <c r="I54" s="195"/>
    </row>
    <row r="55" spans="1:15" ht="18.75" customHeight="1">
      <c r="A55" s="1"/>
      <c r="B55" s="193"/>
      <c r="C55" s="194"/>
      <c r="D55" s="194"/>
      <c r="E55" s="194"/>
      <c r="F55" s="194"/>
      <c r="G55" s="194"/>
      <c r="H55" s="194"/>
      <c r="I55" s="195"/>
    </row>
    <row r="56" spans="1:15" ht="18.75" customHeight="1">
      <c r="A56" s="1"/>
      <c r="B56" s="193"/>
      <c r="C56" s="194"/>
      <c r="D56" s="194"/>
      <c r="E56" s="194"/>
      <c r="F56" s="194"/>
      <c r="G56" s="194"/>
      <c r="H56" s="194"/>
      <c r="I56" s="195"/>
    </row>
    <row r="57" spans="1:15" ht="18.75" customHeight="1">
      <c r="A57" s="1"/>
      <c r="B57" s="193"/>
      <c r="C57" s="194"/>
      <c r="D57" s="194"/>
      <c r="E57" s="194"/>
      <c r="F57" s="194"/>
      <c r="G57" s="194"/>
      <c r="H57" s="194"/>
      <c r="I57" s="195"/>
    </row>
    <row r="58" spans="1:15" ht="18.75" customHeight="1">
      <c r="A58" s="1"/>
      <c r="B58" s="193"/>
      <c r="C58" s="194"/>
      <c r="D58" s="194"/>
      <c r="E58" s="194"/>
      <c r="F58" s="194"/>
      <c r="G58" s="194"/>
      <c r="H58" s="194"/>
      <c r="I58" s="195"/>
    </row>
    <row r="59" spans="1:15" ht="18.75" customHeight="1">
      <c r="A59" s="1"/>
      <c r="B59" s="193"/>
      <c r="C59" s="194"/>
      <c r="D59" s="194"/>
      <c r="E59" s="194"/>
      <c r="F59" s="194"/>
      <c r="G59" s="194"/>
      <c r="H59" s="194"/>
      <c r="I59" s="195"/>
    </row>
    <row r="60" spans="1:15" ht="18.75" customHeight="1">
      <c r="A60" s="1"/>
      <c r="B60" s="193"/>
      <c r="C60" s="194"/>
      <c r="D60" s="194"/>
      <c r="E60" s="194"/>
      <c r="F60" s="194"/>
      <c r="G60" s="194"/>
      <c r="H60" s="194"/>
      <c r="I60" s="195"/>
    </row>
    <row r="61" spans="1:15" ht="18.75" customHeight="1">
      <c r="A61" s="1"/>
      <c r="B61" s="193"/>
      <c r="C61" s="194"/>
      <c r="D61" s="194"/>
      <c r="E61" s="194"/>
      <c r="F61" s="194"/>
      <c r="G61" s="194"/>
      <c r="H61" s="194"/>
      <c r="I61" s="195"/>
    </row>
    <row r="62" spans="1:15" ht="18.75" customHeight="1">
      <c r="A62" s="1"/>
      <c r="B62" s="193"/>
      <c r="C62" s="194"/>
      <c r="D62" s="194"/>
      <c r="E62" s="194"/>
      <c r="F62" s="194"/>
      <c r="G62" s="194"/>
      <c r="H62" s="194"/>
      <c r="I62" s="195"/>
    </row>
    <row r="63" spans="1:15" ht="18.75" customHeight="1">
      <c r="A63" s="1"/>
      <c r="B63" s="196"/>
      <c r="C63" s="197"/>
      <c r="D63" s="197"/>
      <c r="E63" s="197"/>
      <c r="F63" s="197"/>
      <c r="G63" s="197"/>
      <c r="H63" s="197"/>
      <c r="I63" s="198"/>
    </row>
    <row r="64" spans="1:15" ht="7.5" customHeight="1">
      <c r="A64" s="12"/>
      <c r="B64" s="12"/>
      <c r="C64" s="12"/>
      <c r="D64" s="12"/>
      <c r="E64" s="12"/>
      <c r="F64" s="12"/>
      <c r="G64" s="12"/>
      <c r="H64" s="12"/>
      <c r="I64" s="12"/>
    </row>
    <row r="65" spans="1:11" ht="18.75" customHeight="1">
      <c r="A65" s="13" t="s">
        <v>34</v>
      </c>
      <c r="B65" s="1" t="s">
        <v>37</v>
      </c>
      <c r="I65" s="13"/>
    </row>
    <row r="66" spans="1:11" ht="18.75" customHeight="1">
      <c r="A66" s="4"/>
      <c r="B66" s="173" t="s">
        <v>150</v>
      </c>
      <c r="C66" s="174"/>
      <c r="D66" s="174"/>
      <c r="E66" s="174"/>
      <c r="F66" s="174"/>
      <c r="G66" s="174"/>
      <c r="H66" s="174"/>
      <c r="I66" s="175"/>
    </row>
    <row r="67" spans="1:11" ht="18.75" customHeight="1">
      <c r="A67" s="4"/>
      <c r="B67" s="176"/>
      <c r="C67" s="177"/>
      <c r="D67" s="177"/>
      <c r="E67" s="177"/>
      <c r="F67" s="177"/>
      <c r="G67" s="177"/>
      <c r="H67" s="177"/>
      <c r="I67" s="178"/>
    </row>
    <row r="68" spans="1:11" ht="18.75" customHeight="1">
      <c r="A68" s="4"/>
      <c r="B68" s="176"/>
      <c r="C68" s="177"/>
      <c r="D68" s="177"/>
      <c r="E68" s="177"/>
      <c r="F68" s="177"/>
      <c r="G68" s="177"/>
      <c r="H68" s="177"/>
      <c r="I68" s="178"/>
    </row>
    <row r="69" spans="1:11" ht="18.75" customHeight="1">
      <c r="A69" s="4"/>
      <c r="B69" s="176"/>
      <c r="C69" s="177"/>
      <c r="D69" s="177"/>
      <c r="E69" s="177"/>
      <c r="F69" s="177"/>
      <c r="G69" s="177"/>
      <c r="H69" s="177"/>
      <c r="I69" s="178"/>
    </row>
    <row r="70" spans="1:11" ht="18.75" customHeight="1">
      <c r="A70" s="4"/>
      <c r="B70" s="176"/>
      <c r="C70" s="177"/>
      <c r="D70" s="177"/>
      <c r="E70" s="177"/>
      <c r="F70" s="177"/>
      <c r="G70" s="177"/>
      <c r="H70" s="177"/>
      <c r="I70" s="178"/>
    </row>
    <row r="71" spans="1:11" ht="18.75" customHeight="1">
      <c r="A71" s="4"/>
      <c r="B71" s="176"/>
      <c r="C71" s="177"/>
      <c r="D71" s="177"/>
      <c r="E71" s="177"/>
      <c r="F71" s="177"/>
      <c r="G71" s="177"/>
      <c r="H71" s="177"/>
      <c r="I71" s="178"/>
    </row>
    <row r="72" spans="1:11" ht="18.75" customHeight="1">
      <c r="A72" s="4"/>
      <c r="B72" s="176"/>
      <c r="C72" s="177"/>
      <c r="D72" s="177"/>
      <c r="E72" s="177"/>
      <c r="F72" s="177"/>
      <c r="G72" s="177"/>
      <c r="H72" s="177"/>
      <c r="I72" s="178"/>
    </row>
    <row r="73" spans="1:11" ht="18.75" customHeight="1">
      <c r="A73" s="4"/>
      <c r="B73" s="176"/>
      <c r="C73" s="177"/>
      <c r="D73" s="177"/>
      <c r="E73" s="177"/>
      <c r="F73" s="177"/>
      <c r="G73" s="177"/>
      <c r="H73" s="177"/>
      <c r="I73" s="178"/>
    </row>
    <row r="74" spans="1:11" ht="18.75" customHeight="1">
      <c r="A74" s="4"/>
      <c r="B74" s="176"/>
      <c r="C74" s="177"/>
      <c r="D74" s="177"/>
      <c r="E74" s="177"/>
      <c r="F74" s="177"/>
      <c r="G74" s="177"/>
      <c r="H74" s="177"/>
      <c r="I74" s="178"/>
    </row>
    <row r="75" spans="1:11" ht="18.75" customHeight="1">
      <c r="A75" s="4"/>
      <c r="B75" s="176"/>
      <c r="C75" s="177"/>
      <c r="D75" s="177"/>
      <c r="E75" s="177"/>
      <c r="F75" s="177"/>
      <c r="G75" s="177"/>
      <c r="H75" s="177"/>
      <c r="I75" s="178"/>
    </row>
    <row r="76" spans="1:11" ht="18.75" customHeight="1">
      <c r="A76" s="4"/>
      <c r="B76" s="176"/>
      <c r="C76" s="177"/>
      <c r="D76" s="177"/>
      <c r="E76" s="177"/>
      <c r="F76" s="177"/>
      <c r="G76" s="177"/>
      <c r="H76" s="177"/>
      <c r="I76" s="178"/>
    </row>
    <row r="77" spans="1:11" ht="18.75" customHeight="1">
      <c r="A77" s="4"/>
      <c r="B77" s="179"/>
      <c r="C77" s="180"/>
      <c r="D77" s="180"/>
      <c r="E77" s="180"/>
      <c r="F77" s="180"/>
      <c r="G77" s="180"/>
      <c r="H77" s="180"/>
      <c r="I77" s="181"/>
    </row>
    <row r="78" spans="1:11" ht="7.5" customHeight="1">
      <c r="A78" s="4"/>
      <c r="B78" s="4"/>
      <c r="C78" s="4"/>
      <c r="D78" s="4"/>
      <c r="E78" s="4"/>
      <c r="F78" s="4"/>
      <c r="G78" s="4"/>
      <c r="H78" s="4"/>
      <c r="I78" s="4"/>
    </row>
    <row r="79" spans="1:11" ht="18.75" customHeight="1">
      <c r="A79" s="1" t="s">
        <v>11</v>
      </c>
      <c r="B79" s="1" t="s">
        <v>39</v>
      </c>
    </row>
    <row r="80" spans="1:11" ht="18.75" customHeight="1">
      <c r="A80" s="1"/>
      <c r="B80" s="173" t="s">
        <v>151</v>
      </c>
      <c r="C80" s="174"/>
      <c r="D80" s="174"/>
      <c r="E80" s="174"/>
      <c r="F80" s="174"/>
      <c r="G80" s="174"/>
      <c r="H80" s="174"/>
      <c r="I80" s="182"/>
      <c r="K80" s="1" t="s">
        <v>152</v>
      </c>
    </row>
    <row r="81" spans="1:9" ht="18.75" customHeight="1">
      <c r="A81" s="1"/>
      <c r="B81" s="183"/>
      <c r="C81" s="184"/>
      <c r="D81" s="184"/>
      <c r="E81" s="184"/>
      <c r="F81" s="184"/>
      <c r="G81" s="184"/>
      <c r="H81" s="184"/>
      <c r="I81" s="185"/>
    </row>
    <row r="82" spans="1:9" ht="18.75" customHeight="1">
      <c r="A82" s="1"/>
      <c r="B82" s="183"/>
      <c r="C82" s="184"/>
      <c r="D82" s="184"/>
      <c r="E82" s="184"/>
      <c r="F82" s="184"/>
      <c r="G82" s="184"/>
      <c r="H82" s="184"/>
      <c r="I82" s="185"/>
    </row>
    <row r="83" spans="1:9" ht="18.75" customHeight="1">
      <c r="A83" s="1"/>
      <c r="B83" s="183"/>
      <c r="C83" s="184"/>
      <c r="D83" s="184"/>
      <c r="E83" s="184"/>
      <c r="F83" s="184"/>
      <c r="G83" s="184"/>
      <c r="H83" s="184"/>
      <c r="I83" s="185"/>
    </row>
    <row r="84" spans="1:9" ht="18.75" customHeight="1">
      <c r="A84" s="1"/>
      <c r="B84" s="183"/>
      <c r="C84" s="184"/>
      <c r="D84" s="184"/>
      <c r="E84" s="184"/>
      <c r="F84" s="184"/>
      <c r="G84" s="184"/>
      <c r="H84" s="184"/>
      <c r="I84" s="185"/>
    </row>
    <row r="85" spans="1:9" ht="18.75" customHeight="1">
      <c r="A85" s="1"/>
      <c r="B85" s="183"/>
      <c r="C85" s="184"/>
      <c r="D85" s="184"/>
      <c r="E85" s="184"/>
      <c r="F85" s="184"/>
      <c r="G85" s="184"/>
      <c r="H85" s="184"/>
      <c r="I85" s="185"/>
    </row>
    <row r="86" spans="1:9" ht="18.75" customHeight="1">
      <c r="A86" s="1"/>
      <c r="B86" s="183"/>
      <c r="C86" s="184"/>
      <c r="D86" s="184"/>
      <c r="E86" s="184"/>
      <c r="F86" s="184"/>
      <c r="G86" s="184"/>
      <c r="H86" s="184"/>
      <c r="I86" s="185"/>
    </row>
    <row r="87" spans="1:9" ht="18.75" customHeight="1">
      <c r="A87" s="1"/>
      <c r="B87" s="183"/>
      <c r="C87" s="184"/>
      <c r="D87" s="184"/>
      <c r="E87" s="184"/>
      <c r="F87" s="184"/>
      <c r="G87" s="184"/>
      <c r="H87" s="184"/>
      <c r="I87" s="185"/>
    </row>
    <row r="88" spans="1:9" ht="18.75" customHeight="1">
      <c r="A88" s="1"/>
      <c r="B88" s="183"/>
      <c r="C88" s="184"/>
      <c r="D88" s="184"/>
      <c r="E88" s="184"/>
      <c r="F88" s="184"/>
      <c r="G88" s="184"/>
      <c r="H88" s="184"/>
      <c r="I88" s="185"/>
    </row>
    <row r="89" spans="1:9" ht="18.75" customHeight="1">
      <c r="A89" s="1"/>
      <c r="B89" s="183"/>
      <c r="C89" s="184"/>
      <c r="D89" s="184"/>
      <c r="E89" s="184"/>
      <c r="F89" s="184"/>
      <c r="G89" s="184"/>
      <c r="H89" s="184"/>
      <c r="I89" s="185"/>
    </row>
    <row r="90" spans="1:9" ht="18.75" customHeight="1">
      <c r="A90" s="4"/>
      <c r="B90" s="183"/>
      <c r="C90" s="184"/>
      <c r="D90" s="184"/>
      <c r="E90" s="184"/>
      <c r="F90" s="184"/>
      <c r="G90" s="184"/>
      <c r="H90" s="184"/>
      <c r="I90" s="185"/>
    </row>
    <row r="91" spans="1:9" ht="18.75" customHeight="1">
      <c r="A91" s="4"/>
      <c r="B91" s="186"/>
      <c r="C91" s="187"/>
      <c r="D91" s="187"/>
      <c r="E91" s="187"/>
      <c r="F91" s="187"/>
      <c r="G91" s="187"/>
      <c r="H91" s="187"/>
      <c r="I91" s="188"/>
    </row>
    <row r="92" spans="1:9" ht="7.5" customHeight="1">
      <c r="A92" s="4"/>
      <c r="B92" s="4"/>
      <c r="C92" s="4"/>
      <c r="D92" s="4"/>
      <c r="E92" s="4"/>
      <c r="F92" s="4"/>
      <c r="G92" s="4"/>
      <c r="H92" s="4"/>
      <c r="I92" s="4"/>
    </row>
    <row r="93" spans="1:9" ht="18.75" customHeight="1">
      <c r="A93" s="1" t="s">
        <v>42</v>
      </c>
      <c r="B93" s="1" t="s">
        <v>13</v>
      </c>
    </row>
    <row r="94" spans="1:9" ht="18.75" customHeight="1">
      <c r="A94" s="1"/>
      <c r="B94" s="203" t="s">
        <v>153</v>
      </c>
      <c r="C94" s="204"/>
      <c r="D94" s="204"/>
      <c r="E94" s="204"/>
      <c r="F94" s="204"/>
      <c r="G94" s="204"/>
      <c r="H94" s="204"/>
      <c r="I94" s="205"/>
    </row>
    <row r="95" spans="1:9" ht="18.75" customHeight="1">
      <c r="A95" s="1"/>
      <c r="B95" s="209"/>
      <c r="C95" s="210"/>
      <c r="D95" s="210"/>
      <c r="E95" s="210"/>
      <c r="F95" s="210"/>
      <c r="G95" s="210"/>
      <c r="H95" s="210"/>
      <c r="I95" s="208"/>
    </row>
    <row r="96" spans="1:9" ht="18.75" customHeight="1">
      <c r="A96" s="1"/>
      <c r="B96" s="209"/>
      <c r="C96" s="210"/>
      <c r="D96" s="210"/>
      <c r="E96" s="210"/>
      <c r="F96" s="210"/>
      <c r="G96" s="210"/>
      <c r="H96" s="210"/>
      <c r="I96" s="208"/>
    </row>
    <row r="97" spans="1:9" ht="18.75" customHeight="1">
      <c r="A97" s="1"/>
      <c r="B97" s="209"/>
      <c r="C97" s="210"/>
      <c r="D97" s="210"/>
      <c r="E97" s="210"/>
      <c r="F97" s="210"/>
      <c r="G97" s="210"/>
      <c r="H97" s="210"/>
      <c r="I97" s="208"/>
    </row>
    <row r="98" spans="1:9" ht="18.75" customHeight="1">
      <c r="A98" s="1"/>
      <c r="B98" s="209"/>
      <c r="C98" s="210"/>
      <c r="D98" s="210"/>
      <c r="E98" s="210"/>
      <c r="F98" s="210"/>
      <c r="G98" s="210"/>
      <c r="H98" s="210"/>
      <c r="I98" s="208"/>
    </row>
    <row r="99" spans="1:9" ht="18.75" customHeight="1">
      <c r="A99" s="1"/>
      <c r="B99" s="209"/>
      <c r="C99" s="210"/>
      <c r="D99" s="210"/>
      <c r="E99" s="210"/>
      <c r="F99" s="210"/>
      <c r="G99" s="210"/>
      <c r="H99" s="210"/>
      <c r="I99" s="208"/>
    </row>
    <row r="100" spans="1:9" ht="18.75" customHeight="1">
      <c r="A100" s="1"/>
      <c r="B100" s="209"/>
      <c r="C100" s="210"/>
      <c r="D100" s="210"/>
      <c r="E100" s="210"/>
      <c r="F100" s="210"/>
      <c r="G100" s="210"/>
      <c r="H100" s="210"/>
      <c r="I100" s="208"/>
    </row>
    <row r="101" spans="1:9" ht="18.75" customHeight="1">
      <c r="A101" s="1"/>
      <c r="B101" s="209"/>
      <c r="C101" s="210"/>
      <c r="D101" s="210"/>
      <c r="E101" s="210"/>
      <c r="F101" s="210"/>
      <c r="G101" s="210"/>
      <c r="H101" s="210"/>
      <c r="I101" s="208"/>
    </row>
    <row r="102" spans="1:9" ht="18.75" customHeight="1">
      <c r="A102" s="1"/>
      <c r="B102" s="209"/>
      <c r="C102" s="210"/>
      <c r="D102" s="210"/>
      <c r="E102" s="210"/>
      <c r="F102" s="210"/>
      <c r="G102" s="210"/>
      <c r="H102" s="210"/>
      <c r="I102" s="208"/>
    </row>
    <row r="103" spans="1:9" ht="18.75" customHeight="1">
      <c r="A103" s="1"/>
      <c r="B103" s="209"/>
      <c r="C103" s="210"/>
      <c r="D103" s="210"/>
      <c r="E103" s="210"/>
      <c r="F103" s="210"/>
      <c r="G103" s="210"/>
      <c r="H103" s="210"/>
      <c r="I103" s="208"/>
    </row>
    <row r="104" spans="1:9" ht="18.75" customHeight="1">
      <c r="A104" s="1"/>
      <c r="B104" s="209"/>
      <c r="C104" s="210"/>
      <c r="D104" s="210"/>
      <c r="E104" s="210"/>
      <c r="F104" s="210"/>
      <c r="G104" s="210"/>
      <c r="H104" s="210"/>
      <c r="I104" s="208"/>
    </row>
    <row r="105" spans="1:9" ht="18.75" customHeight="1">
      <c r="A105" s="4"/>
      <c r="B105" s="211"/>
      <c r="C105" s="212"/>
      <c r="D105" s="212"/>
      <c r="E105" s="212"/>
      <c r="F105" s="212"/>
      <c r="G105" s="212"/>
      <c r="H105" s="212"/>
      <c r="I105" s="213"/>
    </row>
    <row r="106" spans="1:9" ht="7.5" customHeight="1">
      <c r="A106" s="4"/>
      <c r="B106" s="4"/>
      <c r="C106" s="4"/>
      <c r="D106" s="4"/>
      <c r="E106" s="4"/>
      <c r="F106" s="4"/>
      <c r="G106" s="4"/>
      <c r="H106" s="4"/>
      <c r="I106" s="4"/>
    </row>
    <row r="107" spans="1:9" ht="18.75" customHeight="1">
      <c r="A107" s="1" t="s">
        <v>30</v>
      </c>
      <c r="B107" s="222" t="s">
        <v>44</v>
      </c>
      <c r="C107" s="222"/>
      <c r="D107" s="222"/>
      <c r="E107" s="222"/>
      <c r="F107" s="222"/>
      <c r="G107" s="222"/>
      <c r="H107" s="222"/>
      <c r="I107" s="222"/>
    </row>
    <row r="108" spans="1:9" ht="18.75" customHeight="1">
      <c r="A108" s="4"/>
      <c r="B108" s="203" t="s">
        <v>189</v>
      </c>
      <c r="C108" s="204"/>
      <c r="D108" s="204"/>
      <c r="E108" s="204"/>
      <c r="F108" s="204"/>
      <c r="G108" s="204"/>
      <c r="H108" s="204"/>
      <c r="I108" s="205"/>
    </row>
    <row r="109" spans="1:9" ht="18.75" customHeight="1">
      <c r="A109" s="4"/>
      <c r="B109" s="209"/>
      <c r="C109" s="210"/>
      <c r="D109" s="210"/>
      <c r="E109" s="210"/>
      <c r="F109" s="210"/>
      <c r="G109" s="210"/>
      <c r="H109" s="210"/>
      <c r="I109" s="208"/>
    </row>
    <row r="110" spans="1:9" ht="18.75" customHeight="1">
      <c r="A110" s="4"/>
      <c r="B110" s="209"/>
      <c r="C110" s="210"/>
      <c r="D110" s="210"/>
      <c r="E110" s="210"/>
      <c r="F110" s="210"/>
      <c r="G110" s="210"/>
      <c r="H110" s="210"/>
      <c r="I110" s="208"/>
    </row>
    <row r="111" spans="1:9" ht="18.75" customHeight="1">
      <c r="A111" s="4"/>
      <c r="B111" s="209"/>
      <c r="C111" s="210"/>
      <c r="D111" s="210"/>
      <c r="E111" s="210"/>
      <c r="F111" s="210"/>
      <c r="G111" s="210"/>
      <c r="H111" s="210"/>
      <c r="I111" s="208"/>
    </row>
    <row r="112" spans="1:9" ht="18.75" customHeight="1">
      <c r="A112" s="4"/>
      <c r="B112" s="209"/>
      <c r="C112" s="210"/>
      <c r="D112" s="210"/>
      <c r="E112" s="210"/>
      <c r="F112" s="210"/>
      <c r="G112" s="210"/>
      <c r="H112" s="210"/>
      <c r="I112" s="208"/>
    </row>
    <row r="113" spans="1:9" ht="18.75" customHeight="1">
      <c r="A113" s="4"/>
      <c r="B113" s="209"/>
      <c r="C113" s="210"/>
      <c r="D113" s="210"/>
      <c r="E113" s="210"/>
      <c r="F113" s="210"/>
      <c r="G113" s="210"/>
      <c r="H113" s="210"/>
      <c r="I113" s="208"/>
    </row>
    <row r="114" spans="1:9" ht="18.75" customHeight="1">
      <c r="A114" s="4"/>
      <c r="B114" s="209"/>
      <c r="C114" s="210"/>
      <c r="D114" s="210"/>
      <c r="E114" s="210"/>
      <c r="F114" s="210"/>
      <c r="G114" s="210"/>
      <c r="H114" s="210"/>
      <c r="I114" s="208"/>
    </row>
    <row r="115" spans="1:9" ht="18.75" customHeight="1">
      <c r="A115" s="4"/>
      <c r="B115" s="209"/>
      <c r="C115" s="210"/>
      <c r="D115" s="210"/>
      <c r="E115" s="210"/>
      <c r="F115" s="210"/>
      <c r="G115" s="210"/>
      <c r="H115" s="210"/>
      <c r="I115" s="208"/>
    </row>
    <row r="116" spans="1:9" ht="18.75" customHeight="1">
      <c r="A116" s="4"/>
      <c r="B116" s="209"/>
      <c r="C116" s="210"/>
      <c r="D116" s="210"/>
      <c r="E116" s="210"/>
      <c r="F116" s="210"/>
      <c r="G116" s="210"/>
      <c r="H116" s="210"/>
      <c r="I116" s="208"/>
    </row>
    <row r="117" spans="1:9" ht="18.75" customHeight="1">
      <c r="A117" s="4"/>
      <c r="B117" s="209"/>
      <c r="C117" s="210"/>
      <c r="D117" s="210"/>
      <c r="E117" s="210"/>
      <c r="F117" s="210"/>
      <c r="G117" s="210"/>
      <c r="H117" s="210"/>
      <c r="I117" s="208"/>
    </row>
    <row r="118" spans="1:9" ht="18.75" customHeight="1">
      <c r="A118" s="4"/>
      <c r="B118" s="209"/>
      <c r="C118" s="210"/>
      <c r="D118" s="210"/>
      <c r="E118" s="210"/>
      <c r="F118" s="210"/>
      <c r="G118" s="210"/>
      <c r="H118" s="210"/>
      <c r="I118" s="208"/>
    </row>
    <row r="119" spans="1:9" ht="18.75" customHeight="1">
      <c r="A119" s="4"/>
      <c r="B119" s="211"/>
      <c r="C119" s="212"/>
      <c r="D119" s="212"/>
      <c r="E119" s="212"/>
      <c r="F119" s="212"/>
      <c r="G119" s="212"/>
      <c r="H119" s="212"/>
      <c r="I119" s="213"/>
    </row>
    <row r="120" spans="1:9" ht="7.5" customHeight="1">
      <c r="A120" s="4"/>
      <c r="B120" s="22"/>
      <c r="C120" s="22"/>
      <c r="D120" s="22"/>
      <c r="E120" s="22"/>
      <c r="F120" s="22"/>
      <c r="G120" s="22"/>
      <c r="H120" s="22"/>
      <c r="I120" s="22"/>
    </row>
    <row r="121" spans="1:9" ht="18.75" customHeight="1">
      <c r="A121" s="42"/>
      <c r="B121" s="199"/>
      <c r="C121" s="199"/>
      <c r="D121" s="199"/>
      <c r="E121" s="199"/>
      <c r="F121" s="199"/>
      <c r="G121" s="199"/>
      <c r="H121" s="199"/>
      <c r="I121" s="199"/>
    </row>
    <row r="122" spans="1:9" ht="18.75" customHeight="1">
      <c r="A122" s="42"/>
      <c r="B122" s="199"/>
      <c r="C122" s="199"/>
      <c r="D122" s="199"/>
      <c r="E122" s="199"/>
      <c r="F122" s="199"/>
      <c r="G122" s="199"/>
      <c r="H122" s="199"/>
      <c r="I122" s="199"/>
    </row>
    <row r="123" spans="1:9" ht="18.75" customHeight="1">
      <c r="A123" s="4"/>
      <c r="B123" s="43"/>
      <c r="C123" s="43"/>
      <c r="D123" s="43"/>
      <c r="E123" s="43"/>
      <c r="F123" s="43"/>
      <c r="G123" s="43"/>
      <c r="H123" s="43"/>
      <c r="I123" s="44"/>
    </row>
    <row r="124" spans="1:9" ht="18.75" customHeight="1">
      <c r="A124" s="4"/>
      <c r="B124" s="44"/>
      <c r="C124" s="44"/>
      <c r="D124" s="44"/>
      <c r="E124" s="44"/>
      <c r="F124" s="44"/>
      <c r="G124" s="44"/>
      <c r="H124" s="44"/>
      <c r="I124" s="44"/>
    </row>
    <row r="125" spans="1:9" ht="18.75" customHeight="1">
      <c r="A125" s="4"/>
      <c r="B125" s="44"/>
      <c r="C125" s="44"/>
      <c r="D125" s="44"/>
      <c r="E125" s="44"/>
      <c r="F125" s="44"/>
      <c r="G125" s="44"/>
      <c r="H125" s="44"/>
      <c r="I125" s="44"/>
    </row>
    <row r="126" spans="1:9" ht="18.75" customHeight="1">
      <c r="A126" s="4"/>
      <c r="B126" s="44"/>
      <c r="C126" s="44"/>
      <c r="D126" s="44"/>
      <c r="E126" s="44"/>
      <c r="F126" s="44"/>
      <c r="G126" s="44"/>
      <c r="H126" s="44"/>
      <c r="I126" s="44"/>
    </row>
    <row r="127" spans="1:9" ht="18.75" customHeight="1">
      <c r="A127" s="4"/>
      <c r="B127" s="44"/>
      <c r="C127" s="44"/>
      <c r="D127" s="44"/>
      <c r="E127" s="44"/>
      <c r="F127" s="44"/>
      <c r="G127" s="44"/>
      <c r="H127" s="44"/>
      <c r="I127" s="44"/>
    </row>
    <row r="128" spans="1:9" ht="18.75" customHeight="1">
      <c r="A128" s="4"/>
      <c r="B128" s="44"/>
      <c r="C128" s="44"/>
      <c r="D128" s="44"/>
      <c r="E128" s="44"/>
      <c r="F128" s="44"/>
      <c r="G128" s="44"/>
      <c r="H128" s="44"/>
      <c r="I128" s="44"/>
    </row>
    <row r="129" spans="1:9" ht="18.75" customHeight="1">
      <c r="A129" s="4"/>
      <c r="B129" s="44"/>
      <c r="C129" s="44"/>
      <c r="D129" s="44"/>
      <c r="E129" s="44"/>
      <c r="F129" s="44"/>
      <c r="G129" s="44"/>
      <c r="H129" s="44"/>
      <c r="I129" s="44"/>
    </row>
    <row r="130" spans="1:9" ht="18.75" customHeight="1">
      <c r="A130" s="4"/>
      <c r="B130" s="44"/>
      <c r="C130" s="44"/>
      <c r="D130" s="44"/>
      <c r="E130" s="44"/>
      <c r="F130" s="44"/>
      <c r="G130" s="44"/>
      <c r="H130" s="44"/>
      <c r="I130" s="44"/>
    </row>
    <row r="131" spans="1:9" ht="18.75" customHeight="1">
      <c r="A131" s="4"/>
      <c r="B131" s="44"/>
      <c r="C131" s="44"/>
      <c r="D131" s="44"/>
      <c r="E131" s="44"/>
      <c r="F131" s="44"/>
      <c r="G131" s="44"/>
      <c r="H131" s="44"/>
      <c r="I131" s="44"/>
    </row>
    <row r="132" spans="1:9" ht="18.75" customHeight="1">
      <c r="A132" s="4"/>
      <c r="B132" s="44"/>
      <c r="C132" s="44"/>
      <c r="D132" s="44"/>
      <c r="E132" s="44"/>
      <c r="F132" s="44"/>
      <c r="G132" s="44"/>
      <c r="H132" s="44"/>
      <c r="I132" s="44"/>
    </row>
    <row r="133" spans="1:9" ht="14.25">
      <c r="A133" s="4"/>
      <c r="B133" s="44"/>
      <c r="C133" s="44"/>
      <c r="D133" s="44"/>
      <c r="E133" s="44"/>
      <c r="F133" s="44"/>
      <c r="G133" s="44"/>
      <c r="H133" s="44"/>
      <c r="I133" s="44"/>
    </row>
    <row r="134" spans="1:9" ht="7.5" customHeight="1">
      <c r="A134" s="4"/>
      <c r="B134" s="44"/>
      <c r="C134" s="44"/>
      <c r="D134" s="44"/>
      <c r="E134" s="44"/>
      <c r="F134" s="44"/>
      <c r="G134" s="44"/>
      <c r="H134" s="44"/>
      <c r="I134" s="44"/>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L30"/>
  <sheetViews>
    <sheetView showZeros="0" view="pageBreakPreview" zoomScale="90" zoomScaleNormal="100" zoomScaleSheetLayoutView="90" workbookViewId="0">
      <selection activeCell="L14" sqref="L14"/>
    </sheetView>
  </sheetViews>
  <sheetFormatPr defaultColWidth="11.375" defaultRowHeight="22.5" customHeight="1"/>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12" ht="18.75" customHeight="1">
      <c r="A1" s="1" t="s">
        <v>63</v>
      </c>
      <c r="I1" s="15" t="s">
        <v>90</v>
      </c>
    </row>
    <row r="2" spans="1:12" ht="18.75" customHeight="1">
      <c r="H2" s="15" t="s">
        <v>93</v>
      </c>
      <c r="I2" s="14" t="s">
        <v>175</v>
      </c>
    </row>
    <row r="3" spans="1:12" ht="18.75" customHeight="1">
      <c r="A3" s="89" t="s">
        <v>28</v>
      </c>
      <c r="B3" s="89"/>
      <c r="C3" s="89"/>
      <c r="D3" s="89"/>
      <c r="E3" s="89"/>
      <c r="F3" s="89"/>
      <c r="G3" s="89"/>
      <c r="H3" s="89"/>
      <c r="I3" s="89"/>
    </row>
    <row r="4" spans="1:12" ht="18.75" customHeight="1">
      <c r="A4" s="5"/>
      <c r="B4" s="5"/>
      <c r="C4" s="5"/>
      <c r="D4" s="5"/>
      <c r="E4" s="5"/>
      <c r="F4" s="5"/>
      <c r="G4" s="5"/>
      <c r="H4" s="5"/>
      <c r="I4" s="5"/>
    </row>
    <row r="5" spans="1:12" ht="18.75" customHeight="1">
      <c r="A5" s="1" t="s">
        <v>0</v>
      </c>
      <c r="B5" s="8" t="s">
        <v>85</v>
      </c>
      <c r="C5" s="5"/>
      <c r="D5" s="5"/>
      <c r="E5" s="5"/>
      <c r="F5" s="5"/>
      <c r="G5" s="5"/>
      <c r="H5" s="5"/>
      <c r="I5" s="5"/>
    </row>
    <row r="6" spans="1:12" ht="26.25" customHeight="1">
      <c r="A6" s="5"/>
      <c r="B6" s="214" t="s">
        <v>163</v>
      </c>
      <c r="C6" s="253"/>
      <c r="D6" s="253"/>
      <c r="E6" s="253"/>
      <c r="F6" s="253"/>
      <c r="G6" s="253"/>
      <c r="H6" s="254"/>
      <c r="I6" s="3"/>
    </row>
    <row r="7" spans="1:12" ht="9" customHeight="1">
      <c r="A7" s="5"/>
      <c r="B7" s="8"/>
      <c r="C7" s="8"/>
      <c r="D7" s="8"/>
      <c r="E7" s="8"/>
      <c r="F7" s="8"/>
      <c r="G7" s="8"/>
      <c r="H7" s="8"/>
      <c r="I7" s="3"/>
    </row>
    <row r="8" spans="1:12" ht="18.75" customHeight="1">
      <c r="A8" s="5"/>
      <c r="B8" s="3"/>
      <c r="C8" s="3"/>
      <c r="D8" s="15" t="s">
        <v>41</v>
      </c>
      <c r="E8" s="16" t="s">
        <v>164</v>
      </c>
      <c r="F8" s="3"/>
      <c r="G8" s="15" t="s">
        <v>10</v>
      </c>
      <c r="H8" s="83" t="s">
        <v>165</v>
      </c>
      <c r="I8" s="3"/>
    </row>
    <row r="9" spans="1:12" ht="7.5" customHeight="1">
      <c r="A9" s="5"/>
      <c r="B9" s="5"/>
      <c r="C9" s="5"/>
      <c r="D9" s="5"/>
      <c r="E9" s="5"/>
      <c r="F9" s="5"/>
      <c r="G9" s="5"/>
      <c r="H9" s="5"/>
      <c r="I9" s="5"/>
    </row>
    <row r="10" spans="1:12" ht="18.75" customHeight="1">
      <c r="A10" s="1" t="s">
        <v>3</v>
      </c>
      <c r="B10" s="1" t="s">
        <v>27</v>
      </c>
      <c r="C10" s="4"/>
      <c r="D10" s="4"/>
      <c r="E10" s="4"/>
      <c r="F10" s="4"/>
      <c r="G10" s="4"/>
      <c r="H10" s="4"/>
      <c r="I10" s="4"/>
    </row>
    <row r="11" spans="1:12" ht="18.75" customHeight="1">
      <c r="B11" s="86" t="s">
        <v>24</v>
      </c>
      <c r="C11" s="87"/>
      <c r="D11" s="88"/>
      <c r="E11" s="87" t="s">
        <v>26</v>
      </c>
      <c r="F11" s="87"/>
      <c r="G11" s="87"/>
      <c r="H11" s="87"/>
      <c r="I11" s="88"/>
    </row>
    <row r="12" spans="1:12" ht="26.25" customHeight="1">
      <c r="B12" s="23" t="s">
        <v>14</v>
      </c>
      <c r="C12" s="29"/>
      <c r="D12" s="24"/>
      <c r="E12" s="30"/>
      <c r="F12" s="30"/>
      <c r="G12" s="30"/>
      <c r="H12" s="30"/>
      <c r="I12" s="24"/>
    </row>
    <row r="13" spans="1:12" ht="210.75" customHeight="1">
      <c r="B13" s="25"/>
      <c r="C13" s="231" t="s">
        <v>15</v>
      </c>
      <c r="D13" s="232"/>
      <c r="E13" s="252" t="s">
        <v>174</v>
      </c>
      <c r="F13" s="233"/>
      <c r="G13" s="233"/>
      <c r="H13" s="233"/>
      <c r="I13" s="234"/>
      <c r="L13" s="1">
        <v>222</v>
      </c>
    </row>
    <row r="14" spans="1:12" ht="210.75" customHeight="1">
      <c r="B14" s="25"/>
      <c r="C14" s="250" t="s">
        <v>16</v>
      </c>
      <c r="D14" s="251"/>
      <c r="E14" s="244" t="s">
        <v>170</v>
      </c>
      <c r="F14" s="245"/>
      <c r="G14" s="245"/>
      <c r="H14" s="245"/>
      <c r="I14" s="246"/>
      <c r="L14" s="1">
        <v>291</v>
      </c>
    </row>
    <row r="15" spans="1:12" ht="210.75" customHeight="1">
      <c r="B15" s="25"/>
      <c r="C15" s="231" t="s">
        <v>17</v>
      </c>
      <c r="D15" s="232"/>
      <c r="E15" s="244" t="s">
        <v>171</v>
      </c>
      <c r="F15" s="245"/>
      <c r="G15" s="245"/>
      <c r="H15" s="245"/>
      <c r="I15" s="246"/>
      <c r="L15" s="1">
        <v>224</v>
      </c>
    </row>
    <row r="16" spans="1:12" ht="210.75" customHeight="1">
      <c r="B16" s="25"/>
      <c r="C16" s="231" t="s">
        <v>18</v>
      </c>
      <c r="D16" s="232"/>
      <c r="E16" s="244" t="s">
        <v>172</v>
      </c>
      <c r="F16" s="245"/>
      <c r="G16" s="245"/>
      <c r="H16" s="245"/>
      <c r="I16" s="246"/>
      <c r="L16" s="1">
        <v>194</v>
      </c>
    </row>
    <row r="17" spans="2:12" ht="210.75" customHeight="1">
      <c r="B17" s="26"/>
      <c r="C17" s="235" t="s">
        <v>19</v>
      </c>
      <c r="D17" s="236"/>
      <c r="E17" s="247" t="s">
        <v>173</v>
      </c>
      <c r="F17" s="248"/>
      <c r="G17" s="248"/>
      <c r="H17" s="248"/>
      <c r="I17" s="249"/>
      <c r="L17" s="1">
        <v>298</v>
      </c>
    </row>
    <row r="18" spans="2:12" ht="24" customHeight="1">
      <c r="B18" s="23" t="s">
        <v>20</v>
      </c>
      <c r="C18" s="27"/>
      <c r="D18" s="28"/>
      <c r="E18" s="75"/>
      <c r="F18" s="75"/>
      <c r="G18" s="75"/>
      <c r="H18" s="75"/>
      <c r="I18" s="76"/>
    </row>
    <row r="19" spans="2:12" ht="218.25" customHeight="1">
      <c r="B19" s="25"/>
      <c r="C19" s="231" t="s">
        <v>21</v>
      </c>
      <c r="D19" s="232"/>
      <c r="E19" s="233" t="s">
        <v>166</v>
      </c>
      <c r="F19" s="233"/>
      <c r="G19" s="233"/>
      <c r="H19" s="233"/>
      <c r="I19" s="234"/>
      <c r="L19" s="1">
        <v>153</v>
      </c>
    </row>
    <row r="20" spans="2:12" ht="218.25" customHeight="1">
      <c r="B20" s="26"/>
      <c r="C20" s="235" t="s">
        <v>22</v>
      </c>
      <c r="D20" s="236"/>
      <c r="E20" s="237" t="s">
        <v>167</v>
      </c>
      <c r="F20" s="237"/>
      <c r="G20" s="237"/>
      <c r="H20" s="237"/>
      <c r="I20" s="238"/>
      <c r="L20" s="1">
        <v>218</v>
      </c>
    </row>
    <row r="21" spans="2:12" ht="218.25" customHeight="1">
      <c r="B21" s="239" t="s">
        <v>23</v>
      </c>
      <c r="C21" s="240"/>
      <c r="D21" s="241"/>
      <c r="E21" s="242" t="s">
        <v>168</v>
      </c>
      <c r="F21" s="242"/>
      <c r="G21" s="242"/>
      <c r="H21" s="242"/>
      <c r="I21" s="243"/>
      <c r="L21" s="1">
        <v>114</v>
      </c>
    </row>
    <row r="22" spans="2:12" ht="218.25" customHeight="1">
      <c r="B22" s="226" t="s">
        <v>121</v>
      </c>
      <c r="C22" s="227"/>
      <c r="D22" s="228"/>
      <c r="E22" s="229" t="s">
        <v>188</v>
      </c>
      <c r="F22" s="229"/>
      <c r="G22" s="229"/>
      <c r="H22" s="229"/>
      <c r="I22" s="230"/>
      <c r="L22" s="1">
        <v>280</v>
      </c>
    </row>
    <row r="23" spans="2:12" ht="22.5" customHeight="1">
      <c r="B23" s="4"/>
      <c r="C23" s="4"/>
      <c r="D23" s="4"/>
      <c r="E23" s="4"/>
      <c r="F23" s="4"/>
      <c r="G23" s="4"/>
      <c r="H23" s="4"/>
      <c r="I23" s="4"/>
    </row>
    <row r="24" spans="2:12" ht="22.5" customHeight="1">
      <c r="B24" s="4"/>
      <c r="C24" s="4"/>
      <c r="D24" s="4"/>
      <c r="E24" s="4"/>
      <c r="F24" s="4"/>
      <c r="G24" s="4"/>
      <c r="H24" s="4"/>
      <c r="I24" s="4"/>
    </row>
    <row r="25" spans="2:12" ht="22.5" customHeight="1">
      <c r="B25" s="4"/>
      <c r="C25" s="4"/>
      <c r="D25" s="4"/>
      <c r="E25" s="4"/>
      <c r="F25" s="4"/>
      <c r="G25" s="4"/>
      <c r="H25" s="4"/>
      <c r="I25" s="4"/>
    </row>
    <row r="26" spans="2:12" ht="22.5" customHeight="1">
      <c r="B26" s="4"/>
      <c r="C26" s="4"/>
      <c r="D26" s="4"/>
      <c r="E26" s="4"/>
      <c r="F26" s="4"/>
      <c r="G26" s="4"/>
      <c r="H26" s="4"/>
      <c r="I26" s="4"/>
    </row>
    <row r="27" spans="2:12" ht="22.5" customHeight="1">
      <c r="B27" s="4"/>
      <c r="C27" s="4"/>
      <c r="D27" s="4"/>
      <c r="E27" s="4"/>
      <c r="F27" s="4"/>
      <c r="G27" s="4"/>
      <c r="H27" s="4"/>
      <c r="I27" s="4"/>
    </row>
    <row r="28" spans="2:12" ht="22.5" customHeight="1">
      <c r="B28" s="12"/>
      <c r="C28" s="12"/>
      <c r="D28" s="12"/>
      <c r="E28" s="12"/>
      <c r="F28" s="12"/>
      <c r="G28" s="12"/>
      <c r="H28" s="12"/>
      <c r="I28" s="12"/>
    </row>
    <row r="29" spans="2:12" ht="22.5" customHeight="1">
      <c r="B29" s="12"/>
      <c r="C29" s="12"/>
      <c r="D29" s="12"/>
      <c r="E29" s="12"/>
      <c r="F29" s="12"/>
      <c r="G29" s="12"/>
      <c r="H29" s="12"/>
      <c r="I29" s="12"/>
    </row>
    <row r="30" spans="2:12" ht="22.5" customHeight="1">
      <c r="B30" s="12"/>
      <c r="C30" s="12"/>
      <c r="D30" s="12"/>
      <c r="E30" s="12"/>
      <c r="F30" s="12"/>
      <c r="G30" s="12"/>
      <c r="H30" s="12"/>
      <c r="I30" s="12"/>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法人１</dc:creator>
  <cp:lastModifiedBy>松原 広幸</cp:lastModifiedBy>
  <cp:lastPrinted>2025-04-24T02:10:10Z</cp:lastPrinted>
  <dcterms:created xsi:type="dcterms:W3CDTF">2011-06-14T05:32:50Z</dcterms:created>
  <dcterms:modified xsi:type="dcterms:W3CDTF">2025-07-04T00:11:21Z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