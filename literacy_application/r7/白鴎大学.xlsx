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C:\Users\atsuk\Downloads\★リテラシー_再提出済\017_250430白鴎大学\"/>
    </mc:Choice>
  </mc:AlternateContent>
  <xr:revisionPtr revIDLastSave="0" documentId="13_ncr:1_{1815C56E-A3FF-4DE2-A1D1-78B461F1E7AF}" xr6:coauthVersionLast="47" xr6:coauthVersionMax="47" xr10:uidLastSave="{00000000-0000-0000-0000-000000000000}"/>
  <bookViews>
    <workbookView xWindow="-108" yWindow="-108" windowWidth="18648" windowHeight="11784"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l="1"/>
  <c r="C49" i="41" s="1"/>
</calcChain>
</file>

<file path=xl/sharedStrings.xml><?xml version="1.0" encoding="utf-8"?>
<sst xmlns="http://schemas.openxmlformats.org/spreadsheetml/2006/main" count="282" uniqueCount="190">
  <si>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</si>
  <si>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</si>
  <si>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</si>
  <si>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プログラム名</t>
    <rPh sb="5" eb="6">
      <t>メイ</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</si>
  <si>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</si>
  <si>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</si>
  <si>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② 対象となる学部・学科名称</t>
    <phoneticPr fontId="1"/>
  </si>
  <si>
    <t>③ 修了要件</t>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</si>
  <si>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</si>
  <si>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</si>
  <si>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</si>
  <si>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</si>
  <si>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</si>
  <si>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</si>
  <si>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</si>
  <si>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</si>
  <si>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</si>
  <si>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</si>
  <si>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</si>
  <si>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</si>
  <si>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</si>
  <si>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</si>
  <si>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</si>
  <si>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</si>
  <si>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</si>
  <si>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</si>
  <si>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</si>
  <si>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</si>
  <si>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</si>
  <si>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</si>
  <si>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</si>
  <si>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</si>
  <si>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</si>
  <si>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</si>
  <si>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</si>
  <si>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</si>
  <si>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</si>
  <si>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</si>
  <si>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</si>
  <si>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</si>
  <si>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</si>
  <si>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</si>
  <si>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</si>
  <si>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</si>
  <si>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</si>
  <si>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</si>
  <si>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</si>
  <si>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</si>
  <si>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</si>
  <si>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</si>
  <si>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</si>
  <si>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</si>
  <si>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</si>
  <si>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</si>
  <si>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</si>
  <si>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</si>
  <si>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</si>
  <si>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</si>
  <si>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</si>
  <si>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</si>
  <si>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</si>
  <si>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</si>
  <si>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</si>
  <si>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</si>
  <si>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</si>
  <si>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</si>
  <si>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</si>
  <si>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</si>
  <si>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</si>
  <si>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</si>
  <si>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</si>
  <si>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</si>
  <si>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</si>
  <si>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</si>
  <si>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</si>
  <si>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</si>
  <si>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</si>
  <si>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</si>
  <si>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</si>
  <si>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</si>
  <si>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</si>
  <si>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</si>
  <si>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</si>
  <si>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</si>
  <si>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</si>
  <si>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</si>
  <si>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</si>
  <si>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</si>
  <si>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</si>
  <si>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</si>
  <si>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</si>
  <si>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</si>
  <si>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</si>
  <si>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</si>
  <si>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</si>
  <si>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</si>
  <si>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</si>
  <si>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</si>
  <si>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</si>
  <si>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</si>
  <si>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</si>
  <si>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</si>
  <si>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</si>
  <si>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</si>
  <si>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</si>
  <si>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</si>
  <si>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</si>
  <si>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</si>
  <si>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</si>
  <si>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</si>
  <si>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</si>
  <si>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</si>
  <si>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</si>
  <si>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</si>
  <si>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</si>
  <si>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</si>
  <si>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</si>
  <si>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</si>
  <si>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</si>
  <si>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</si>
  <si>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</si>
  <si>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</si>
  <si>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</si>
  <si>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</si>
  <si>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</si>
  <si>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</si>
  <si>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</si>
  <si>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</si>
  <si>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</si>
  <si>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</si>
  <si>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</si>
  <si>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</si>
  <si>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</si>
  <si>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</si>
  <si>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</si>
  <si>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</si>
  <si>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</si>
  <si>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</si>
  <si>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</si>
  <si>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</si>
  <si>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</si>
  <si>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</si>
  <si>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</si>
  <si>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数理・データサイエンス・AI教育プログラム</t>
    <phoneticPr fontId="1"/>
  </si>
  <si>
    <t>データサイエンス基礎</t>
    <rPh sb="8" eb="10">
      <t>キソ</t>
    </rPh>
    <phoneticPr fontId="1"/>
  </si>
  <si>
    <t>○</t>
  </si>
  <si>
    <t>データサイエンス基礎</t>
    <phoneticPr fontId="1"/>
  </si>
  <si>
    <t>○</t>
    <phoneticPr fontId="1"/>
  </si>
  <si>
    <t>経営学部</t>
    <rPh sb="0" eb="2">
      <t>ケイエイ</t>
    </rPh>
    <rPh sb="2" eb="4">
      <t>ガクブ</t>
    </rPh>
    <phoneticPr fontId="1"/>
  </si>
  <si>
    <t>法学部</t>
    <rPh sb="0" eb="3">
      <t>ホウガクブ</t>
    </rPh>
    <phoneticPr fontId="1"/>
  </si>
  <si>
    <t>　・ビッグデ－タ、IoT、AI、生成AI、ロボット「データサイエンス基礎」（1回目）
　・デ－タ量の増加、計算機の処理性能の向上、AIの非連続的進化「データサイエンス基礎」（1回目）
　・第4次産業革命、Society 5.0、デ－タ駆動型社会「データサイエンス基礎」（1回目）
　・複数技術を組み合わせたAIサ－ビス ・人間の知的活動とAIの関係性「データサイエンス基礎」（1回目）
　・デ－タを起点としたものの見方、人間の知的活動を起点としたものの見方「データサイエンス基礎」（15回目）</t>
    <rPh sb="39" eb="41">
      <t>カイメ</t>
    </rPh>
    <phoneticPr fontId="1"/>
  </si>
  <si>
    <t>　・デ－タ表現（棒グラフ、折線グラフ、散布図、ヒ－トマップ、箱ひげ図）「データサイエンス基礎」（4回目、5回目）
　・優れた可視化事例の紹介（可視化することによって新たな気づきがあった事例など）「データサイエンス基礎」（4回目）
　・不適切なグラフ表現（チャ－トジャンク、不必要な視覚的要素）「データサイエンス基礎」（5回目）
　・相手に的確かつ正確に情報を伝える技術や考え方（スライド作成，プレゼンテ－ションなど）「データサイエンス基礎」（12回目）</t>
    <rPh sb="53" eb="55">
      <t>カイメ</t>
    </rPh>
    <phoneticPr fontId="1"/>
  </si>
  <si>
    <t>古瀬　一隆</t>
    <phoneticPr fontId="1"/>
  </si>
  <si>
    <t>数理・データサイエンス・AI教育プログラム推進部会内規</t>
    <phoneticPr fontId="1"/>
  </si>
  <si>
    <t>部会長　古瀬　一隆（経営学部　教授）
部会員　佐藤　伸也（経営学部　准教授）
　　　　　 高島　幸成（経営学部　講師）</t>
    <phoneticPr fontId="1"/>
  </si>
  <si>
    <t>舩田 眞里子</t>
    <phoneticPr fontId="1"/>
  </si>
  <si>
    <t>教授、数理・データサイエンス・AI教育プログラム推進部会長</t>
    <rPh sb="0" eb="2">
      <t>キョウジュ</t>
    </rPh>
    <rPh sb="28" eb="29">
      <t>チョウ</t>
    </rPh>
    <phoneticPr fontId="1"/>
  </si>
  <si>
    <t>令和６</t>
    <rPh sb="0" eb="2">
      <t>レイワ</t>
    </rPh>
    <phoneticPr fontId="1"/>
  </si>
  <si>
    <t>白鷗大学情報処理教育研究センター運営委員会　数理・データサイエンス・AI教育プログラム推進部会</t>
    <rPh sb="18" eb="21">
      <t>イインカイ</t>
    </rPh>
    <phoneticPr fontId="1"/>
  </si>
  <si>
    <t>白鷗大学情報処理教育研究センター運営委員会　数理・データサイエンス・AI教育プログラム点検・評価部会</t>
    <phoneticPr fontId="1"/>
  </si>
  <si>
    <t>　・情報セキュリティの3要素（機密性、完全性、可用性） 「データサイエンス基礎」（9回目）
　・匿名加工情報、暗号化と復号、ユ－ザ認証とパスワ－ド、アクセス制御、悪意ある情報搾取 「データサイエンス基礎」（9回目）
　・情報漏洩等によるセキュリティ事故の事例紹介 「データサイエンス基礎」（9回目）
　・サイバ－セキュリティ「データサイエンス基礎」（9回目）</t>
    <phoneticPr fontId="1"/>
  </si>
  <si>
    <t>　令和6年前期の本プログラム履修者は履修定員の88%の履修申し込み状況であった。これに対して、令和6年後期の本プログラム履修者は開講科目定員の100%であり、開講科目に対する認識は進んでいるものと考えられる。一方、履修者数の増加に関しては担当者の開講上限数に制約があるため、履修者数の上限に達した段階で開講数の増加を検討する。</t>
    <phoneticPr fontId="1"/>
  </si>
  <si>
    <t>　本プログラムは令和6年度から開始している。受講者の中には4年生も含まれているため、令和7年度の時点で本プログラム修了者から就職・卒業をした学生は少数だが存在している。しかしながら、本プログラム受講中あるいは受講前に就職活動を終了している学生が大半であるため本プログラムの影響を測ることは難しい。また、卒業生についても入社直後の状況であり、本プログラム終了者の企業等での活躍状況についても現状では把握できない状態にある。
　令和8年度卒業生からは本プログラムの影響を測ることが可能であるため、進路関連部署と連携しながら、就職先等の状況について継続的に調査を行っていく予定である。</t>
    <rPh sb="1" eb="2">
      <t>ホン</t>
    </rPh>
    <rPh sb="70" eb="72">
      <t>ガクセイ</t>
    </rPh>
    <rPh sb="73" eb="75">
      <t>ショウスウ</t>
    </rPh>
    <rPh sb="77" eb="79">
      <t>ソンザイ</t>
    </rPh>
    <rPh sb="151" eb="154">
      <t>ソツギョウセイ</t>
    </rPh>
    <rPh sb="159" eb="161">
      <t>ニュウシャ</t>
    </rPh>
    <rPh sb="161" eb="163">
      <t>チョクゴ</t>
    </rPh>
    <rPh sb="164" eb="166">
      <t>ジョウキョウ</t>
    </rPh>
    <rPh sb="170" eb="171">
      <t>ホン</t>
    </rPh>
    <rPh sb="176" eb="178">
      <t>シュウリョウ</t>
    </rPh>
    <rPh sb="178" eb="179">
      <t>シャ</t>
    </rPh>
    <rPh sb="180" eb="182">
      <t>キギョウ</t>
    </rPh>
    <rPh sb="182" eb="183">
      <t>トウ</t>
    </rPh>
    <rPh sb="185" eb="187">
      <t>カツヤク</t>
    </rPh>
    <rPh sb="187" eb="189">
      <t>ジョウキョウ</t>
    </rPh>
    <rPh sb="194" eb="196">
      <t>ゲンジョウ</t>
    </rPh>
    <rPh sb="198" eb="200">
      <t>ハアク</t>
    </rPh>
    <rPh sb="204" eb="206">
      <t>ジョウタイ</t>
    </rPh>
    <rPh sb="216" eb="217">
      <t>ド</t>
    </rPh>
    <rPh sb="246" eb="248">
      <t>シンロ</t>
    </rPh>
    <rPh sb="248" eb="250">
      <t>カンレン</t>
    </rPh>
    <rPh sb="250" eb="252">
      <t>ブショ</t>
    </rPh>
    <rPh sb="253" eb="255">
      <t>レンケイ</t>
    </rPh>
    <phoneticPr fontId="1"/>
  </si>
  <si>
    <t>　講義内では生成AIでできることや生じる問題点、データサイエンスを用いた企業での実用例など、数理・AI・データサイエンスに関連する最新の話題や事例の紹介などを通して常に関心を維持するように工夫している。また、本プログラム履修者は文系学生であるため、機械学習やテキストマイニングなどの手法や知識の説明のみでは内容を得心しがたい部分がある。そのため、Web上から簡単な操作で画像を認識する機械学習を体験できるツールや、テキストマイニングのツールを用いて体験に伴う理解の促進に努めている。
　加えて、Excelを用いたデータ分析等に関しては技法を学ぶとともに、分類や回帰をExcelを利用して実施・体験できる教材の利用や、グループワークによる問題解決プロセスを課題にすることで、実践によるデータ分析の技術と意義を体得できるように授業構成を工夫している。</t>
    <rPh sb="1" eb="3">
      <t>コウギ</t>
    </rPh>
    <rPh sb="6" eb="8">
      <t>セイセイ</t>
    </rPh>
    <rPh sb="17" eb="18">
      <t>ショウ</t>
    </rPh>
    <rPh sb="20" eb="23">
      <t>モンダイテン</t>
    </rPh>
    <rPh sb="33" eb="34">
      <t>モチ</t>
    </rPh>
    <rPh sb="36" eb="38">
      <t>キギョウ</t>
    </rPh>
    <rPh sb="40" eb="42">
      <t>ジツヨウ</t>
    </rPh>
    <rPh sb="42" eb="43">
      <t>レイ</t>
    </rPh>
    <rPh sb="104" eb="105">
      <t>ホン</t>
    </rPh>
    <rPh sb="110" eb="112">
      <t>リシュウ</t>
    </rPh>
    <rPh sb="112" eb="113">
      <t>シャ</t>
    </rPh>
    <rPh sb="153" eb="155">
      <t>ナイヨウ</t>
    </rPh>
    <rPh sb="176" eb="177">
      <t>ジョウ</t>
    </rPh>
    <rPh sb="185" eb="187">
      <t>ガゾウ</t>
    </rPh>
    <rPh sb="188" eb="190">
      <t>ニンシキ</t>
    </rPh>
    <rPh sb="224" eb="226">
      <t>タイケン</t>
    </rPh>
    <rPh sb="227" eb="228">
      <t>トモナ</t>
    </rPh>
    <rPh sb="277" eb="279">
      <t>ブンルイ</t>
    </rPh>
    <rPh sb="280" eb="282">
      <t>カイキ</t>
    </rPh>
    <rPh sb="289" eb="291">
      <t>リヨウ</t>
    </rPh>
    <rPh sb="293" eb="295">
      <t>ジッシ</t>
    </rPh>
    <rPh sb="296" eb="298">
      <t>タイケン</t>
    </rPh>
    <rPh sb="301" eb="303">
      <t>キョウザイ</t>
    </rPh>
    <rPh sb="304" eb="306">
      <t>リヨウ</t>
    </rPh>
    <rPh sb="336" eb="338">
      <t>ジッセン</t>
    </rPh>
    <phoneticPr fontId="1"/>
  </si>
  <si>
    <t>　学生自身に理解度・到達状況について自己申告制のアンケートを実
施している（質問事項「データサイエンス基礎について、自身で感じる
理解度を0～100の数値で表してください」）。理解度に関しては分析・
改善を行いやすいように選択式ではなく数値による入力式にしている。
　令和6年度前期開講の「データサイエンス基礎」では2講座、合計受
講者数が104人おり、有効回答数97で右図の結果だった。また、後期
開講では合計受講者数が59人、有効回答数44で右図の結果だった。
学生自身の自己判断で判定するため、学生が謙遜し若干低めの点数
が出る傾向にある。例えば成績評価で90点以上の学生が45点と評価
している事例などがみられる。今後は全体として、理解度の数値を高く
自己評価できる学生を増やしていくように改善を行っていく。</t>
    <phoneticPr fontId="1"/>
  </si>
  <si>
    <t>　後輩への推奨度に関して「データサイエンス基礎を受講したうえで、
未受講の友人や後輩などに勧めるとしたら推奨度はどのくらいだと考
えますか。0～100の数値で表してください。」という設問でアンケートを
実施している。令和6年前期は2講座、合計受講者数が105人おり、有
効回答数97で右図の結果だった。また、後期開講では合計受講者数
が59人、有効回答数41で右図の結果だった。
　点数全体として非常に高い数値ではないが、個々のコメントについて
は低い点数をつけた学生でも「将来の役に立つ内容であるため推奨す
る」旨の記載が多かった。全体的に文系大学であるため、Excel等のデ
ータ処理を苦手とする学生が多く、友人・後輩もその傾向にあるため勧
め辛いとする者が多かった。データ処理についての苦手意識に対処す
るために、Excel操作についての自己学習用動画などの補助教材を充
実させることでよりプログラムを受講しやすい環境を整えていく。</t>
    <phoneticPr fontId="1"/>
  </si>
  <si>
    <t>　本プログラムは令和６年度から開始しており、開設から1年であるため修得率は低い状況にある。
　現在、受講者の比率は経営学部、法学部、教育学部の順になっており、特に教育学部の受講者が少ない。この受講者の偏りについては、経営学部が元来から情報系の科目を複数開講しており、学生が比較的情報系の科目に対して慣れ親しんでいる一方、法学部、教育学部は情報系の科目に慣れていないことが要因として考えられる。加えて、現在、プログラムを開設しているキャンパスが経営学部、法学部のある本キャンパスで行っていることも影響していると考えられる。
　受講者の状況を鑑みて教育学部のキャンパスで開講を行うなど、全学的にプログラムの履修・修得者数の増加を目指す。</t>
    <rPh sb="8" eb="10">
      <t>レイワ</t>
    </rPh>
    <rPh sb="11" eb="13">
      <t>ネンド</t>
    </rPh>
    <rPh sb="232" eb="233">
      <t>ホン</t>
    </rPh>
    <phoneticPr fontId="1"/>
  </si>
  <si>
    <t>教育学部</t>
    <rPh sb="0" eb="2">
      <t>キョウイク</t>
    </rPh>
    <rPh sb="2" eb="4">
      <t>ガクブ</t>
    </rPh>
    <phoneticPr fontId="1"/>
  </si>
  <si>
    <t>電子掲示板などを利用して、全学的にデータサイエンス科目の重要性を示して履修者を募っている。また、MDASH認定が得られた場合、令和8年度からは特に入学初年度生のガイダンスに焦点を当て、各情報科目との関連性を示しながら、初年度学習として最適な点、高等教育学位保持者にとって必須の知識である点などを示して、履修の必要性の説明を行い、多くの学生が履修できるように図る。</t>
    <rPh sb="53" eb="55">
      <t>ニンテイ</t>
    </rPh>
    <rPh sb="56" eb="57">
      <t>エ</t>
    </rPh>
    <rPh sb="60" eb="62">
      <t>バアイ</t>
    </rPh>
    <rPh sb="164" eb="165">
      <t>オオ</t>
    </rPh>
    <rPh sb="167" eb="169">
      <t>ガクセイ</t>
    </rPh>
    <rPh sb="170" eb="172">
      <t>リシュウ</t>
    </rPh>
    <rPh sb="178" eb="179">
      <t>ハカ</t>
    </rPh>
    <phoneticPr fontId="1"/>
  </si>
  <si>
    <t>　・AI等を活用した新しいビジネスモデル(シェアリングエコノミ－、商品のレコメンデ－ションなど)「データサイエンス基礎」（1回目、2回目） 
　・AI最新技術の活用例（深層生成モデル、強化学習、転移学習、生成AIなど）「データサイエンス基礎」（7回目、15回目）</t>
    <rPh sb="66" eb="68">
      <t>カイメ</t>
    </rPh>
    <rPh sb="128" eb="130">
      <t>カイメ</t>
    </rPh>
    <phoneticPr fontId="1"/>
  </si>
  <si>
    <t xml:space="preserve">　・デ－タ・AI活用領域の広がり(生産、消費、文化活動など)「データサイエンス基礎」（2回目）
　・研究開発、調達、製造、物流、販売、マ－ケティング、サ－ビスなど「データサイエンス基礎」（2回目）
　・仮説検証、知識発見、原因究明、計画策定、判断支援、活動代替、新規生成など「データサイエンス基礎」（4回目、11回目、12回目）
　・対話、コンテンツ生成、翻訳・要約・執筆支援、コ－ディング支援など生成AIの応用「データサイエンス基礎」（2回目、15回目）
</t>
    <rPh sb="151" eb="153">
      <t>カイメ</t>
    </rPh>
    <rPh sb="156" eb="158">
      <t>カイメ</t>
    </rPh>
    <rPh sb="161" eb="163">
      <t>カイメ</t>
    </rPh>
    <rPh sb="225" eb="227">
      <t>カイメ</t>
    </rPh>
    <phoneticPr fontId="1"/>
  </si>
  <si>
    <t xml:space="preserve">　・デ－タサイエンスのサイクル（課題抽出と定式化、デ－タの取得・管理・加工、 探索的デ－タ解析、デ－タ解析と推論、結果の共有・伝達、課題解決に向けた提案）「データサイエンス基礎」（4回目、11回目、12回目）
　・教育、芸術、流通、製造、金融、サ－ビス、インフラ、公共、ヘルスケア等におけるデ－タ・AI利活用 事例紹介「データサイエンス基礎」（1回目、2回目、8回目）
</t>
    <rPh sb="96" eb="98">
      <t>カイメ</t>
    </rPh>
    <rPh sb="101" eb="103">
      <t>カイメ</t>
    </rPh>
    <rPh sb="173" eb="175">
      <t>カイメ</t>
    </rPh>
    <rPh sb="177" eb="179">
      <t>カイメ</t>
    </rPh>
    <phoneticPr fontId="1"/>
  </si>
  <si>
    <t>　・倫理的・法的・社会的課題（ELSI：Ethical, Legal and Social Issues）「データサイエンス基礎」（10回目）
　・個人情報保護、EU一般デ－タ保護規則(GDPR)、忘れられる権利、オプトアウト「データサイエンス基礎」（10回目）
　・デ－タ倫理：デ－タのねつ造、改ざん、盗用、プライバシ－保護「データサイエンス基礎」（10回目）
　・AI社会原則（公平性、説明責任、透明性、人間中心の判断） 「データサイエンス基礎」（10回目）
　・デ－タバイアス、アルゴリズムバイアス「データサイエンス基礎」（10回目）
　・デ－タ・AI活用における負の事例紹介「データサイエンス基礎」（10回目）
　・生成AIの留意事項（ハルシネ－ションによる誤情報の生成、偽情報や有害コンテンツの生成・ 氾濫 など）「データサイエンス基礎」（10回目、15回目）</t>
    <rPh sb="382" eb="384">
      <t>カイメ</t>
    </rPh>
    <phoneticPr fontId="1"/>
  </si>
  <si>
    <t>　・デ－タの取得（機械判読可能なデ－タの作成・表記方法）「データサイエンス基礎」（2回目、8回目、9回目、11回目、12回目）
　・表形式のデ－タ（csv）「データサイエンス基礎」（2回目、8回目、9回目）
　・デ－タの集計（和、平均）「データサイエンス基礎」（11回目）
　・デ－タの並び替え、ランキング「データサイエンス基礎」（11回目）
　・デ－タ解析ツ－ル（スプレッドシ－ト、BIツ－ル）「データサイエンス基礎」（11回目）</t>
    <rPh sb="46" eb="48">
      <t>カイメ</t>
    </rPh>
    <rPh sb="50" eb="52">
      <t>カイメ</t>
    </rPh>
    <rPh sb="55" eb="57">
      <t>カイメ</t>
    </rPh>
    <rPh sb="60" eb="62">
      <t>カイメ</t>
    </rPh>
    <rPh sb="96" eb="98">
      <t>カイメ</t>
    </rPh>
    <rPh sb="100" eb="102">
      <t>カイメ</t>
    </rPh>
    <phoneticPr fontId="1"/>
  </si>
  <si>
    <t>　・調査データ、実験データ、人の行動ログデータ、機械の稼働ログデータなど「データサイエンス基礎」（11回目、12回目）
　・1次データ、2次データ、データのメタ化「データサイエンス基礎」（11回目、12回目）
　・デ－タ作成（ビッグデ－タとアノテ－ション）「データサイエンス基礎」（1回目）
　・デ－タのオ－プン化（オ－プンデ－タ）「データサイエンス基礎」（8回目、9回目）</t>
    <rPh sb="56" eb="58">
      <t>カイメ</t>
    </rPh>
    <rPh sb="184" eb="186">
      <t>カイメ</t>
    </rPh>
    <phoneticPr fontId="1"/>
  </si>
  <si>
    <t>　・デ－タ解析：予測、グル－ピング、パタ－ン発見、最適化、モデル化とシミュレ－ション・デ－タ同化「データサイエンス基礎」（3回目、6回目、13回目、14回目）
　・データ可視化：複合グラフ、2軸グラフ、多次元の可視化、関係性の可視化、地図上の可視化、挙動・軌跡の可視化、リアルタイム可視化など「データサイエンス基礎」（4回目、5回目）
　・非構造化デ－タ処理：言語処理、画像/動画処理、音声/音楽処理など 「データサイエンス基礎」（6回目、7回目）
　・認識技術、ル－ルベ－ス、自動化技術 「データサイエンス基礎」（6回目、7回目）</t>
    <rPh sb="66" eb="68">
      <t>カイメ</t>
    </rPh>
    <rPh sb="164" eb="166">
      <t>カイメ</t>
    </rPh>
    <rPh sb="221" eb="223">
      <t>カイメ</t>
    </rPh>
    <rPh sb="263" eb="265">
      <t>カイメ</t>
    </rPh>
    <phoneticPr fontId="1"/>
  </si>
  <si>
    <t>　・デ－タ解析ツ－ル（スプレッドシ－ト、BIツ－ル）「データサイエンス基礎」（1回目）
　・デ－タの集計（和、平均）「データサイエンス基礎」（1回目）
　・デ－タの分布(ヒストグラム)と代表値（平均値、中央値、最頻値）「データサイエンス基礎」（3回目）
　・デ－タの種類（量的変数、質的変数）「データサイエンス基礎」（3回目）
　・代表値の性質の違い（実社会では平均値＝最頻値でないことが多い）「データサイエンス基礎」（3回目）
　・デ－タのばらつき（分散、標準偏差、偏差値）、外れ値 「データサイエンス基礎」（3回目）
　・統計情報の正しい理解（誇張表現に惑わされない）「データサイエンス基礎」（3回目）
　・打ち切りや欠測脱落を含むデ－タ、層別の必要なデ－タ「データサイエンス基礎」（11回目）
　・相関と因果（相関係数、擬似相関、交絡）「データサイエンス基礎」（14回目）</t>
    <phoneticPr fontId="1"/>
  </si>
  <si>
    <t>白鷗大学</t>
    <rPh sb="0" eb="2">
      <t>ハクオウ</t>
    </rPh>
    <rPh sb="2" eb="4">
      <t>ダイガク</t>
    </rPh>
    <phoneticPr fontId="1"/>
  </si>
  <si>
    <t>学部・学科によって、修了要件は相違しない</t>
  </si>
  <si>
    <t>数理・AI・データサイエンス領域に関する基本的なリテラシーを身に付けるとともに、自身の専門領域においてデータサイエンティストなどのスペシャリストに仕事を依頼することのできるような基礎的な能力を身に付けることを目標として、以下の3点を習得する。
　① データサイエンスの基礎的な知識と技法を身に付ける。
　② 基礎的な手法により、データの収集・加工・分析ができるようになる。
　③ データを扱う際に留意すべき倫理やその他の事項を理解する。</t>
    <rPh sb="0" eb="2">
      <t>スウリ</t>
    </rPh>
    <rPh sb="14" eb="16">
      <t>リョウイキ</t>
    </rPh>
    <rPh sb="17" eb="18">
      <t>カン</t>
    </rPh>
    <rPh sb="20" eb="23">
      <t>キホンテキ</t>
    </rPh>
    <rPh sb="30" eb="31">
      <t>ミ</t>
    </rPh>
    <rPh sb="32" eb="33">
      <t>ツ</t>
    </rPh>
    <rPh sb="40" eb="42">
      <t>ジシン</t>
    </rPh>
    <rPh sb="43" eb="45">
      <t>センモン</t>
    </rPh>
    <rPh sb="45" eb="47">
      <t>リョウイキ</t>
    </rPh>
    <rPh sb="73" eb="75">
      <t>シゴト</t>
    </rPh>
    <rPh sb="76" eb="78">
      <t>イライ</t>
    </rPh>
    <rPh sb="89" eb="92">
      <t>キソテキ</t>
    </rPh>
    <rPh sb="93" eb="95">
      <t>ノウリョク</t>
    </rPh>
    <rPh sb="96" eb="97">
      <t>ミ</t>
    </rPh>
    <rPh sb="98" eb="99">
      <t>ツ</t>
    </rPh>
    <rPh sb="104" eb="106">
      <t>モクヒョウ</t>
    </rPh>
    <rPh sb="110" eb="112">
      <t>イカ</t>
    </rPh>
    <rPh sb="114" eb="115">
      <t>テン</t>
    </rPh>
    <rPh sb="116" eb="118">
      <t>シュウトク</t>
    </rPh>
    <phoneticPr fontId="1"/>
  </si>
  <si>
    <t>　白鷗大学における数理・データサイエンス・AI教育を推進することを目的とする。
　本体制では、数理・データサイエンス・AIの基本的なリテラシー能力の育成を目指して、適切な教育方法の策定、運営、及び環境の構築を目指す。また、基本的なリテラシー能力に加えて、本学を構成する経営、法、教育の各分野における学生が個々に専門性を活かしつつ、数理・データサイエンス・AIのスペシャリストと共に協働することのできる資質や思考を養成していく。
　これらの体制の実施に加えて、「数理・データサイエンス・AI教育プログラム認定制度」への申請及び更新に関する業務の遂行、「数理・データサイエンス・AI教育強化拠点コンソーシアム」への参加による教育精度の向上も併せて実施していく。</t>
    <rPh sb="1" eb="3">
      <t>ハクオウ</t>
    </rPh>
    <rPh sb="3" eb="5">
      <t>ダイガク</t>
    </rPh>
    <rPh sb="90" eb="92">
      <t>サクテイ</t>
    </rPh>
    <rPh sb="93" eb="95">
      <t>ウンエイ</t>
    </rPh>
    <rPh sb="96" eb="97">
      <t>オヨ</t>
    </rPh>
    <rPh sb="219" eb="221">
      <t>タイセイ</t>
    </rPh>
    <rPh sb="222" eb="224">
      <t>ジッシ</t>
    </rPh>
    <rPh sb="225" eb="226">
      <t>クワ</t>
    </rPh>
    <rPh sb="260" eb="261">
      <t>オヨ</t>
    </rPh>
    <rPh sb="262" eb="264">
      <t>コウシン</t>
    </rPh>
    <rPh sb="265" eb="266">
      <t>カン</t>
    </rPh>
    <rPh sb="268" eb="270">
      <t>ギョウム</t>
    </rPh>
    <rPh sb="271" eb="273">
      <t>スイコウ</t>
    </rPh>
    <rPh sb="310" eb="312">
      <t>キョウイク</t>
    </rPh>
    <rPh sb="312" eb="314">
      <t>セイド</t>
    </rPh>
    <rPh sb="315" eb="317">
      <t>コウジョウ</t>
    </rPh>
    <rPh sb="318" eb="319">
      <t>アワ</t>
    </rPh>
    <rPh sb="321" eb="323">
      <t>ジッシ</t>
    </rPh>
    <phoneticPr fontId="1"/>
  </si>
  <si>
    <t>教授、白鷗大学情報処理教育研究センター運営委員長</t>
    <rPh sb="0" eb="2">
      <t>キョウジュ</t>
    </rPh>
    <rPh sb="23" eb="24">
      <t>チョウ</t>
    </rPh>
    <phoneticPr fontId="1"/>
  </si>
  <si>
    <t>　白鷗大学シラバスでは各科目の到達目標、及び評価についての配点を明示している。また、シラバスに従って授業中には関連した課題、小テストを与え、適宜学生の理解状況を確認しながら授業を進めており、最終的な単位取得者は87%であった。
　加えて、本プログラムのためのアンケート（第14回、15回に実施）において『データサイエンス基礎を受講してみて、シラバスに記載の「 データサイエンスの基礎的な知識と技法を身に付ける」「基礎的な手法により、データの収集・加工・分析ができるようになる」「 データを扱う際に留意すべき倫理やその他の事項を理解する」の3要素について、自分の考える到達度を以下から選んでください。』との質問に対しては、「到達した」「大分到達した」の解答が66％であり、「どちらともいえない」「少し到達していない」「到達していない」が34％になった。さらに、自由記述欄では到達していないと自己判断している学生でも、データサイエンス分野に関する興味が大きく向上している旨の記述がみられるため、おおむね学修成果が上がっていると考えられる。</t>
    <rPh sb="1" eb="3">
      <t>ハクオウ</t>
    </rPh>
    <phoneticPr fontId="1"/>
  </si>
  <si>
    <t>　上述の通り、令和6年度から開始したプログラムであるため、産業界からの教育プログラム内容に関する意見を募れていない状態にある。今後、上述の企業等の評価を収集する過程において企業からの要望や提案を収集し、教育プログラムへのフィードバックを行っていく。また、特に本学所在地の小山市に根差す企業との連携を進めていく。</t>
    <rPh sb="137" eb="138">
      <t>シ</t>
    </rPh>
    <phoneticPr fontId="1"/>
  </si>
  <si>
    <t>　授業担当者で学期中には週1度のペースで進捗状況と学生の状況についての情報交換を行っている。また、大学全体で行っている授業に対する満足度調査とは別に「データサイエンス基礎」科目の修得状況を測る独自のアンケートを行って、学期ごとに担当者で検証を行っている。
　内容としてはベースとなるテキストやトピックを中心としながら、関連する時事の話題を盛り込むことに注意を払っている。また、文系学生であるため、数式モデル等の理論説明だけで理解することが難しいため、アプリケーションを用いた体験を盛り込むことに注力して理解・興味の向上を図っている。
　これらの取り組みの中で、「生成AIを有効に機能させるプロンプトのコツ」「Excel操作の自己学習用の動画教材化」などの改善案があり、新たに組み入れることを検討している状況にある。</t>
    <rPh sb="272" eb="273">
      <t>ト</t>
    </rPh>
    <rPh sb="274" eb="275">
      <t>ク</t>
    </rPh>
    <rPh sb="277" eb="278">
      <t>ナカ</t>
    </rPh>
    <rPh sb="281" eb="283">
      <t>セイセイ</t>
    </rPh>
    <rPh sb="286" eb="288">
      <t>ユウコウ</t>
    </rPh>
    <rPh sb="289" eb="291">
      <t>キノウ</t>
    </rPh>
    <rPh sb="309" eb="311">
      <t>ソウサ</t>
    </rPh>
    <rPh sb="312" eb="314">
      <t>ジコ</t>
    </rPh>
    <rPh sb="314" eb="317">
      <t>ガクシュウヨウ</t>
    </rPh>
    <rPh sb="318" eb="320">
      <t>ドウガ</t>
    </rPh>
    <rPh sb="320" eb="322">
      <t>キョウザイ</t>
    </rPh>
    <rPh sb="322" eb="323">
      <t>バ</t>
    </rPh>
    <rPh sb="327" eb="329">
      <t>カイゼン</t>
    </rPh>
    <rPh sb="329" eb="330">
      <t>アン</t>
    </rPh>
    <rPh sb="334" eb="335">
      <t>アラ</t>
    </rPh>
    <rPh sb="337" eb="338">
      <t>ク</t>
    </rPh>
    <rPh sb="339" eb="340">
      <t>イ</t>
    </rPh>
    <rPh sb="345" eb="347">
      <t>ケントウ</t>
    </rPh>
    <rPh sb="351" eb="353">
      <t>ジョウキョウ</t>
    </rPh>
    <phoneticPr fontId="1"/>
  </si>
  <si>
    <t>　本学では「データサイエンス基礎」を経営学部、法学部、教育学部の全学部の学生が履修可能な科目として開講している。各学部生が履修を行いやすいように複数の講座を開講しており、それぞれの開講曜日、時間をずらして、学生が履修しやすいように配慮をしている。
　令和6年度の実績では履修定員が埋まらなかった講座があったため、履修定員上限までの履修者の増加を当面の目標とする。履修定員まで履修者が増えた場合、令和7年度から8年度に向けて3％ずつ履修率が増加していくことになる。ただし、本学は文系学生を主体とするため、データサイエンス領域に対する需要を加味すると2%ずつの増加が適正な増加量になると考えられる。
　MDASHの認定が得られた場合、令和8年度からは新入生ガイダンスにおいて、AI戦略2019以降の数理・AI・データサイエンスの流れを説明し、「今後、他大学を含めて高等教育を受けた人材にとって、データサイエンス科目を修得することが一般化する」ことを示し、学生に対して修得を奨励していく。加えて、本来は本プログラム履修後に修得すべき、データサイエンス、AI、プログラミング等の科目においても関連分野の基礎科目として開講している旨の周知を行っていく。
　あわせて、令和8年度までの3年間の実績から判断し、需要が高まるようであれば開講数の増加を検討し、履修率の増加を目指していく。</t>
    <rPh sb="75" eb="77">
      <t>コウザ</t>
    </rPh>
    <rPh sb="125" eb="127">
      <t>レイワ</t>
    </rPh>
    <rPh sb="128" eb="130">
      <t>ネンド</t>
    </rPh>
    <rPh sb="131" eb="133">
      <t>ジッセキ</t>
    </rPh>
    <rPh sb="135" eb="137">
      <t>リシュウ</t>
    </rPh>
    <rPh sb="137" eb="139">
      <t>テイイン</t>
    </rPh>
    <rPh sb="140" eb="141">
      <t>ウ</t>
    </rPh>
    <rPh sb="147" eb="149">
      <t>コウザ</t>
    </rPh>
    <rPh sb="156" eb="158">
      <t>リシュウ</t>
    </rPh>
    <rPh sb="158" eb="160">
      <t>テイイン</t>
    </rPh>
    <rPh sb="160" eb="162">
      <t>ジョウゲン</t>
    </rPh>
    <rPh sb="165" eb="167">
      <t>リシュウ</t>
    </rPh>
    <rPh sb="167" eb="168">
      <t>シャ</t>
    </rPh>
    <rPh sb="169" eb="171">
      <t>ゾウカ</t>
    </rPh>
    <rPh sb="172" eb="174">
      <t>トウメン</t>
    </rPh>
    <rPh sb="181" eb="183">
      <t>リシュウ</t>
    </rPh>
    <rPh sb="183" eb="185">
      <t>テイイン</t>
    </rPh>
    <rPh sb="187" eb="189">
      <t>リシュウ</t>
    </rPh>
    <rPh sb="189" eb="190">
      <t>シャ</t>
    </rPh>
    <rPh sb="191" eb="192">
      <t>フ</t>
    </rPh>
    <rPh sb="194" eb="196">
      <t>バアイ</t>
    </rPh>
    <rPh sb="197" eb="199">
      <t>レイワ</t>
    </rPh>
    <rPh sb="200" eb="201">
      <t>ネン</t>
    </rPh>
    <rPh sb="201" eb="202">
      <t>ド</t>
    </rPh>
    <rPh sb="205" eb="207">
      <t>ネンド</t>
    </rPh>
    <rPh sb="208" eb="209">
      <t>ム</t>
    </rPh>
    <rPh sb="215" eb="217">
      <t>リシュウ</t>
    </rPh>
    <rPh sb="217" eb="218">
      <t>リツ</t>
    </rPh>
    <rPh sb="219" eb="221">
      <t>ゾウカ</t>
    </rPh>
    <rPh sb="235" eb="237">
      <t>ホンガク</t>
    </rPh>
    <rPh sb="238" eb="240">
      <t>ブンケイ</t>
    </rPh>
    <rPh sb="240" eb="242">
      <t>ガクセイ</t>
    </rPh>
    <rPh sb="243" eb="245">
      <t>シュタイ</t>
    </rPh>
    <rPh sb="259" eb="261">
      <t>リョウイキ</t>
    </rPh>
    <rPh sb="262" eb="263">
      <t>タイ</t>
    </rPh>
    <rPh sb="265" eb="267">
      <t>ジュヨウ</t>
    </rPh>
    <rPh sb="268" eb="270">
      <t>カミ</t>
    </rPh>
    <rPh sb="278" eb="280">
      <t>ゾウカ</t>
    </rPh>
    <rPh sb="281" eb="283">
      <t>テキセイ</t>
    </rPh>
    <rPh sb="284" eb="286">
      <t>ゾウカ</t>
    </rPh>
    <rPh sb="286" eb="287">
      <t>リョウ</t>
    </rPh>
    <rPh sb="291" eb="292">
      <t>カンガ</t>
    </rPh>
    <rPh sb="305" eb="307">
      <t>ニンテイ</t>
    </rPh>
    <rPh sb="308" eb="309">
      <t>エ</t>
    </rPh>
    <rPh sb="312" eb="314">
      <t>バアイ</t>
    </rPh>
    <rPh sb="528" eb="530">
      <t>レイワ</t>
    </rPh>
    <rPh sb="531" eb="532">
      <t>ネン</t>
    </rPh>
    <rPh sb="532" eb="533">
      <t>ド</t>
    </rPh>
    <rPh sb="564" eb="566">
      <t>ゾウカ</t>
    </rPh>
    <rPh sb="567" eb="569">
      <t>ケントウ</t>
    </rPh>
    <phoneticPr fontId="1"/>
  </si>
  <si>
    <t>　本学は本キャンパス、及び大行寺キャンパスの2地点にキャンパスを持ち、それぞれ経営学部と法学部が本キャンパス、教育学部が大行寺キャンパスを拠点としている。この中で、現在は本キャンパスのみで「データサイエンス基礎」を開講している。両キャンパスの移動所要時間は20分程度であるため履修に関して特別大きな負担が生じないように開講時間を1限や3限等にするなど、前後の時間に余裕が生じる時間帯で開講している。加えて、本キャンパスは小山駅前に面しており、大行寺キャンパスへ通学する教育学部生も通学途上で受講しやすい点も追記しておく。
　また、教育学部生の履修者が増加した場合は開講時間を増やし、大行寺キャンパスで行うことを計画しており、そのための人員、設備の調整を行っていく。</t>
    <rPh sb="168" eb="169">
      <t>ゲン</t>
    </rPh>
    <rPh sb="169" eb="170">
      <t>トウ</t>
    </rPh>
    <rPh sb="199" eb="200">
      <t>クワ</t>
    </rPh>
    <rPh sb="203" eb="204">
      <t>ホン</t>
    </rPh>
    <rPh sb="210" eb="212">
      <t>オヤマ</t>
    </rPh>
    <rPh sb="212" eb="213">
      <t>エキ</t>
    </rPh>
    <rPh sb="213" eb="214">
      <t>マエ</t>
    </rPh>
    <rPh sb="215" eb="216">
      <t>メン</t>
    </rPh>
    <rPh sb="221" eb="224">
      <t>ダイギョウジ</t>
    </rPh>
    <rPh sb="230" eb="232">
      <t>ツウガク</t>
    </rPh>
    <rPh sb="234" eb="236">
      <t>キョウイク</t>
    </rPh>
    <rPh sb="236" eb="238">
      <t>ガクブ</t>
    </rPh>
    <rPh sb="238" eb="239">
      <t>セイ</t>
    </rPh>
    <rPh sb="240" eb="242">
      <t>ツウガク</t>
    </rPh>
    <rPh sb="242" eb="244">
      <t>トジョウ</t>
    </rPh>
    <rPh sb="245" eb="247">
      <t>ジュコウ</t>
    </rPh>
    <rPh sb="251" eb="252">
      <t>テン</t>
    </rPh>
    <rPh sb="253" eb="255">
      <t>ツイキ</t>
    </rPh>
    <rPh sb="262" eb="264">
      <t>ホンガク</t>
    </rPh>
    <phoneticPr fontId="1"/>
  </si>
  <si>
    <t>本学ではLMSとしてWebClassを導入しており、利用の有無にかかわらず開講科目で必ずクラスを作成している。「データサイエンス基礎」においては、授業資料の掲載、課題の出題とフィードバック、アンケートの実施や質問の送付などで利用している。
また、全学的にWebClassを利用する機会が多いため、本学学生はWebClassの利用に関して1年生から経験しており、「データサイエンス基礎」において同システムの利用に関する問題が生じる可能性は低い。</t>
    <rPh sb="173" eb="175">
      <t>ケイケン</t>
    </rPh>
    <rPh sb="202" eb="204">
      <t>リヨウ</t>
    </rPh>
    <rPh sb="205" eb="206">
      <t>カン</t>
    </rPh>
    <rPh sb="211" eb="212">
      <t>ショウ</t>
    </rPh>
    <rPh sb="214" eb="217">
      <t>カノウセイ</t>
    </rPh>
    <rPh sb="218" eb="219">
      <t>ヒク</t>
    </rPh>
    <phoneticPr fontId="1"/>
  </si>
  <si>
    <t>1.講義資料はWebにPDF形式で掲載することで学習教材として個々人が利用しやすいようにしている
2.講義内でデータ処理に使うツールについては、MicrosoftOffice、及びWebブラウザ上から無料で使うことのできるものを選んでいる。また本学ではMicrosoft365アカウントを入学時に交付しているため、講義で取り扱う全てのデータ処理についてブラウザ上から実施できるため、復習を行いやすい授業体制を構築している
3.下記⑫に示すように本学ではLMSを利用して学生の質問に対応している</t>
    <phoneticPr fontId="1"/>
  </si>
  <si>
    <r>
      <t xml:space="preserve">教養科目「データサイエンス基礎」の2単位を取得すること。
令和6年度以前の入学者は教養科目「教養特講（データサイエンス基礎）」の2単位を取得すること。
</t>
    </r>
    <r>
      <rPr>
        <sz val="11"/>
        <rFont val="ＭＳ Ｐゴシック"/>
        <family val="3"/>
        <charset val="128"/>
        <scheme val="minor"/>
      </rPr>
      <t xml:space="preserve">※「教養特講（データサイエンス基礎）」は正規科目である「データサイエンス基礎」の開講に先立ち令和6年度から開講されている科目であり、両科目に内容の違いはない。令和7年度以降は「教養特講（データサイエンス基礎）」と「データサイエンス基礎」の両科目を、同一の開講日時・内容で開講している。前者の科目の単位を修得した学生が後者の科目の単位を再度履修することを防ぐため、令和6年度以前に入学した学生は令和7年度以降も「教養特講（データサイエンス基礎）」のみが履修可能であり、この科目の単位取得が当教育プログラムの修了要件となる。なお、教養特講は通常の教養科目と変わりなく卒業要件の単位として扱われる。詳しくは「補足.教養特講について」を参照。
</t>
    </r>
    <rPh sb="0" eb="2">
      <t>キョウヨウ</t>
    </rPh>
    <rPh sb="29" eb="31">
      <t>レイワ</t>
    </rPh>
    <rPh sb="32" eb="34">
      <t>ネンド</t>
    </rPh>
    <rPh sb="34" eb="36">
      <t>イゼン</t>
    </rPh>
    <rPh sb="37" eb="40">
      <t>ニュウガクシャ</t>
    </rPh>
    <rPh sb="41" eb="45">
      <t>キョウヨウカモク</t>
    </rPh>
    <rPh sb="46" eb="48">
      <t>キョウヨウ</t>
    </rPh>
    <rPh sb="48" eb="50">
      <t>トッコウ</t>
    </rPh>
    <rPh sb="59" eb="61">
      <t>キソ</t>
    </rPh>
    <rPh sb="65" eb="67">
      <t>タンイ</t>
    </rPh>
    <rPh sb="68" eb="70">
      <t>シュトク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</si>
</sst>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7"/>
      <name val="ＭＳ Ｐゴシック"/>
      <family val="3"/>
      <charset val="128"/>
      <scheme val="minor"/>
    </font>
    <font>
      <sz val="11"/>
      <name val="ＭＳ Ｐゴシック"/>
      <family val="3"/>
      <charset val="128"/>
      <scheme val="minor"/>
    </font>
    <font>
      <sz val="6"/>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0" xfId="0" applyFont="1">
      <alignmen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top" wrapText="1" shrinkToFit="1"/>
    </xf>
    <xf numFmtId="0" fontId="2" fillId="0" borderId="0" xfId="0" applyFont="1" applyAlignment="1">
      <alignment vertical="top" shrinkToFit="1"/>
    </xf>
    <xf numFmtId="38" fontId="2" fillId="0" borderId="5" xfId="2" applyFont="1" applyFill="1" applyBorder="1" applyAlignment="1">
      <alignment vertical="center" shrinkToFit="1"/>
    </xf>
    <xf numFmtId="38" fontId="2" fillId="0" borderId="48" xfId="2" applyFont="1" applyFill="1" applyBorder="1" applyAlignment="1">
      <alignment vertical="center" shrinkToFit="1"/>
    </xf>
    <xf numFmtId="38" fontId="2" fillId="0" borderId="20" xfId="2" applyFont="1" applyFill="1" applyBorder="1" applyAlignment="1">
      <alignment vertical="center" shrinkToFit="1"/>
    </xf>
    <xf numFmtId="38" fontId="2" fillId="0" borderId="46" xfId="2" applyFont="1" applyFill="1" applyBorder="1" applyAlignment="1">
      <alignment vertical="center" shrinkToFit="1"/>
    </xf>
    <xf numFmtId="0" fontId="11" fillId="0" borderId="1" xfId="0" applyFont="1" applyBorder="1" applyAlignment="1">
      <alignment horizontal="center" vertical="center"/>
    </xf>
    <xf numFmtId="0" fontId="11" fillId="0" borderId="1" xfId="0" applyFont="1" applyBorder="1" applyAlignment="1">
      <alignment horizontal="center" vertical="center" shrinkToFit="1"/>
    </xf>
    <xf numFmtId="0" fontId="11" fillId="0" borderId="1" xfId="0" applyFont="1" applyBorder="1">
      <alignment vertical="center"/>
    </xf>
    <xf numFmtId="0" fontId="13" fillId="0" borderId="32" xfId="0" applyFont="1" applyBorder="1" applyAlignment="1">
      <alignment horizontal="center" vertical="center"/>
    </xf>
    <xf numFmtId="38" fontId="11" fillId="0" borderId="45" xfId="2" applyFont="1" applyFill="1" applyBorder="1" applyAlignment="1">
      <alignment vertical="center" shrinkToFit="1"/>
    </xf>
    <xf numFmtId="38" fontId="11" fillId="0" borderId="0" xfId="2" applyFont="1" applyFill="1" applyAlignment="1">
      <alignment vertical="center" shrinkToFit="1"/>
    </xf>
    <xf numFmtId="38" fontId="11" fillId="0" borderId="5" xfId="2" applyFont="1" applyFill="1" applyBorder="1" applyAlignment="1">
      <alignment vertical="center" shrinkToFit="1"/>
    </xf>
    <xf numFmtId="38" fontId="11" fillId="0" borderId="20" xfId="2" applyFont="1" applyFill="1" applyBorder="1" applyAlignment="1">
      <alignment vertical="center" shrinkToFit="1"/>
    </xf>
    <xf numFmtId="38" fontId="11" fillId="0" borderId="19" xfId="2" applyFont="1" applyFill="1" applyBorder="1" applyAlignment="1">
      <alignment vertical="center" shrinkToFit="1"/>
    </xf>
    <xf numFmtId="38" fontId="11" fillId="0" borderId="18" xfId="2" applyFont="1" applyFill="1" applyBorder="1" applyAlignment="1">
      <alignment vertical="center" shrinkToFit="1"/>
    </xf>
    <xf numFmtId="38" fontId="11" fillId="0" borderId="46" xfId="2" applyFont="1" applyFill="1" applyBorder="1" applyAlignment="1">
      <alignment vertical="center" shrinkToFit="1"/>
    </xf>
    <xf numFmtId="0" fontId="11" fillId="0" borderId="1" xfId="0" applyFont="1" applyBorder="1" applyAlignment="1">
      <alignment horizontal="left" vertical="center"/>
    </xf>
    <xf numFmtId="0" fontId="14" fillId="0" borderId="0" xfId="0" applyFont="1">
      <alignment vertical="center"/>
    </xf>
    <xf numFmtId="0" fontId="14" fillId="0" borderId="0" xfId="0" applyFont="1" applyAlignment="1">
      <alignment horizontal="left" vertical="center"/>
    </xf>
    <xf numFmtId="0" fontId="11" fillId="0" borderId="0" xfId="0" applyFont="1" applyAlignment="1">
      <alignment horizontal="center" vertical="center" wrapText="1"/>
    </xf>
    <xf numFmtId="0" fontId="2" fillId="0" borderId="20" xfId="0" applyFont="1" applyBorder="1" applyAlignment="1">
      <alignment horizontal="left" vertical="center" wrapText="1" shrinkToFit="1"/>
    </xf>
    <xf numFmtId="0" fontId="11"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16" fillId="0" borderId="32" xfId="0" applyNumberFormat="1" applyFont="1" applyBorder="1" applyAlignment="1">
      <alignment horizontal="left" vertical="top" wrapText="1"/>
    </xf>
    <xf numFmtId="49" fontId="16" fillId="0" borderId="33" xfId="0" applyNumberFormat="1" applyFont="1" applyBorder="1" applyAlignment="1">
      <alignment horizontal="left" vertical="top"/>
    </xf>
    <xf numFmtId="49" fontId="16" fillId="0" borderId="34" xfId="0" applyNumberFormat="1" applyFont="1" applyBorder="1" applyAlignment="1">
      <alignment horizontal="left" vertical="top"/>
    </xf>
    <xf numFmtId="49" fontId="16" fillId="0" borderId="29" xfId="0" applyNumberFormat="1" applyFont="1" applyBorder="1" applyAlignment="1">
      <alignment horizontal="left" vertical="top" wrapText="1"/>
    </xf>
    <xf numFmtId="49" fontId="16" fillId="0" borderId="31" xfId="0" applyNumberFormat="1" applyFont="1" applyBorder="1" applyAlignment="1">
      <alignment horizontal="left" vertical="top"/>
    </xf>
    <xf numFmtId="49" fontId="16" fillId="0" borderId="30" xfId="0" applyNumberFormat="1" applyFont="1" applyBorder="1" applyAlignment="1">
      <alignment horizontal="left" vertical="top"/>
    </xf>
    <xf numFmtId="49" fontId="16" fillId="0" borderId="18" xfId="0" applyNumberFormat="1" applyFont="1" applyBorder="1" applyAlignment="1">
      <alignment horizontal="left" vertical="top" wrapText="1"/>
    </xf>
    <xf numFmtId="49" fontId="16" fillId="0" borderId="19" xfId="0" applyNumberFormat="1" applyFont="1" applyBorder="1" applyAlignment="1">
      <alignment horizontal="left" vertical="top"/>
    </xf>
    <xf numFmtId="49" fontId="16" fillId="0" borderId="17" xfId="0" applyNumberFormat="1" applyFont="1" applyBorder="1" applyAlignment="1">
      <alignment horizontal="left" vertical="top"/>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11"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12" fillId="0" borderId="8"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12" fillId="0" borderId="15" xfId="0" applyFont="1" applyBorder="1" applyAlignment="1">
      <alignment horizontal="center" vertical="center" wrapText="1"/>
    </xf>
    <xf numFmtId="0" fontId="12" fillId="0" borderId="13" xfId="0" applyFont="1" applyBorder="1" applyAlignment="1">
      <alignment horizontal="center" vertical="center" wrapText="1"/>
    </xf>
    <xf numFmtId="0" fontId="2" fillId="0" borderId="14" xfId="0" applyFont="1" applyBorder="1" applyAlignment="1">
      <alignment horizontal="center" vertical="center"/>
    </xf>
    <xf numFmtId="0" fontId="10" fillId="0" borderId="0" xfId="0" applyFont="1" applyAlignment="1">
      <alignment horizontal="left" vertical="center" wrapTex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4" fillId="0" borderId="2" xfId="0" applyFont="1" applyBorder="1" applyAlignment="1">
      <alignment horizontal="left" vertical="center"/>
    </xf>
    <xf numFmtId="0" fontId="14" fillId="0" borderId="3" xfId="0" applyFont="1" applyBorder="1">
      <alignment vertical="center"/>
    </xf>
    <xf numFmtId="0" fontId="14" fillId="0" borderId="4" xfId="0" applyFont="1" applyBorder="1">
      <alignment vertical="center"/>
    </xf>
    <xf numFmtId="0" fontId="11" fillId="0" borderId="2" xfId="0" applyFont="1" applyBorder="1" applyAlignment="1">
      <alignment horizontal="left" vertical="center"/>
    </xf>
    <xf numFmtId="0" fontId="14" fillId="0" borderId="3" xfId="0" applyFont="1" applyBorder="1" applyAlignment="1">
      <alignment horizontal="left" vertical="center"/>
    </xf>
    <xf numFmtId="0" fontId="14" fillId="0" borderId="4" xfId="0" applyFont="1" applyBorder="1" applyAlignment="1">
      <alignment horizontal="left" vertical="center"/>
    </xf>
    <xf numFmtId="0" fontId="15" fillId="0" borderId="2" xfId="0" applyFont="1" applyBorder="1" applyAlignment="1">
      <alignment horizontal="left" vertical="center"/>
    </xf>
    <xf numFmtId="0" fontId="1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11" fillId="0" borderId="1" xfId="0" applyNumberFormat="1" applyFont="1" applyBorder="1" applyAlignment="1">
      <alignment horizontal="center" vertical="center" shrinkToFi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11"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1" fillId="0" borderId="32" xfId="0" applyFont="1" applyBorder="1" applyAlignment="1">
      <alignment vertical="top" wrapText="1" shrinkToFit="1"/>
    </xf>
    <xf numFmtId="0" fontId="11" fillId="0" borderId="33" xfId="0" applyFont="1" applyBorder="1" applyAlignment="1">
      <alignment vertical="top" wrapText="1" shrinkToFit="1"/>
    </xf>
    <xf numFmtId="0" fontId="11"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1415122</xdr:colOff>
      <xdr:row>14</xdr:row>
      <xdr:rowOff>45035</xdr:rowOff>
    </xdr:from>
    <xdr:to>
      <xdr:col>8</xdr:col>
      <xdr:colOff>713212</xdr:colOff>
      <xdr:row>14</xdr:row>
      <xdr:rowOff>2015358</xdr:rowOff>
    </xdr:to>
    <xdr:pic>
      <xdr:nvPicPr>
        <xdr:cNvPr id="2" name="図 1">
          <a:extLst>
            <a:ext uri="{FF2B5EF4-FFF2-40B4-BE49-F238E27FC236}">
              <a16:creationId xmlns:a16="http://schemas.microsoft.com/office/drawing/2014/main" id="{00771EED-A457-46B7-ADFA-74D050D5AB45}"/>
            </a:ext>
          </a:extLst>
        </xdr:cNvPr>
        <xdr:cNvPicPr>
          <a:picLocks noChangeAspect="1"/>
        </xdr:cNvPicPr>
      </xdr:nvPicPr>
      <xdr:blipFill rotWithShape="1">
        <a:blip xmlns:r="http://schemas.openxmlformats.org/officeDocument/2006/relationships" r:embed="rId1"/>
        <a:srcRect l="12956" r="15114"/>
        <a:stretch/>
      </xdr:blipFill>
      <xdr:spPr>
        <a:xfrm>
          <a:off x="7263472" y="8179385"/>
          <a:ext cx="1641240" cy="1970323"/>
        </a:xfrm>
        <a:prstGeom prst="rect">
          <a:avLst/>
        </a:prstGeom>
      </xdr:spPr>
    </xdr:pic>
    <xdr:clientData/>
  </xdr:twoCellAnchor>
  <xdr:twoCellAnchor editAs="oneCell">
    <xdr:from>
      <xdr:col>7</xdr:col>
      <xdr:colOff>1475188</xdr:colOff>
      <xdr:row>15</xdr:row>
      <xdr:rowOff>21914</xdr:rowOff>
    </xdr:from>
    <xdr:to>
      <xdr:col>8</xdr:col>
      <xdr:colOff>656306</xdr:colOff>
      <xdr:row>15</xdr:row>
      <xdr:rowOff>2049518</xdr:rowOff>
    </xdr:to>
    <xdr:pic>
      <xdr:nvPicPr>
        <xdr:cNvPr id="3" name="図 2">
          <a:extLst>
            <a:ext uri="{FF2B5EF4-FFF2-40B4-BE49-F238E27FC236}">
              <a16:creationId xmlns:a16="http://schemas.microsoft.com/office/drawing/2014/main" id="{0C8F16CC-8DC9-4590-B09A-7F2766A4C22D}"/>
            </a:ext>
          </a:extLst>
        </xdr:cNvPr>
        <xdr:cNvPicPr>
          <a:picLocks noChangeAspect="1"/>
        </xdr:cNvPicPr>
      </xdr:nvPicPr>
      <xdr:blipFill rotWithShape="1">
        <a:blip xmlns:r="http://schemas.openxmlformats.org/officeDocument/2006/relationships" r:embed="rId2"/>
        <a:srcRect l="4999" r="5008"/>
        <a:stretch/>
      </xdr:blipFill>
      <xdr:spPr>
        <a:xfrm>
          <a:off x="7328136" y="10814724"/>
          <a:ext cx="1526239" cy="2027604"/>
        </a:xfrm>
        <a:prstGeom prst="rect">
          <a:avLst/>
        </a:prstGeom>
      </xdr:spPr>
    </xdr:pic>
    <xdr:clientData/>
  </xdr:twoCellAnchor>
  <xdr:twoCellAnchor editAs="oneCell">
    <xdr:from>
      <xdr:col>8</xdr:col>
      <xdr:colOff>735205</xdr:colOff>
      <xdr:row>14</xdr:row>
      <xdr:rowOff>52004</xdr:rowOff>
    </xdr:from>
    <xdr:to>
      <xdr:col>8</xdr:col>
      <xdr:colOff>2322822</xdr:colOff>
      <xdr:row>14</xdr:row>
      <xdr:rowOff>2011747</xdr:rowOff>
    </xdr:to>
    <xdr:pic>
      <xdr:nvPicPr>
        <xdr:cNvPr id="4" name="図 3">
          <a:extLst>
            <a:ext uri="{FF2B5EF4-FFF2-40B4-BE49-F238E27FC236}">
              <a16:creationId xmlns:a16="http://schemas.microsoft.com/office/drawing/2014/main" id="{4C6B893C-7DE5-4D3F-8F7F-DCE71032CACE}"/>
            </a:ext>
          </a:extLst>
        </xdr:cNvPr>
        <xdr:cNvPicPr>
          <a:picLocks noChangeAspect="1"/>
        </xdr:cNvPicPr>
      </xdr:nvPicPr>
      <xdr:blipFill rotWithShape="1">
        <a:blip xmlns:r="http://schemas.openxmlformats.org/officeDocument/2006/relationships" r:embed="rId3"/>
        <a:srcRect l="14837" r="15057"/>
        <a:stretch/>
      </xdr:blipFill>
      <xdr:spPr>
        <a:xfrm>
          <a:off x="8926705" y="8186354"/>
          <a:ext cx="1587617" cy="1959743"/>
        </a:xfrm>
        <a:prstGeom prst="rect">
          <a:avLst/>
        </a:prstGeom>
      </xdr:spPr>
    </xdr:pic>
    <xdr:clientData/>
  </xdr:twoCellAnchor>
  <xdr:twoCellAnchor editAs="oneCell">
    <xdr:from>
      <xdr:col>8</xdr:col>
      <xdr:colOff>670035</xdr:colOff>
      <xdr:row>15</xdr:row>
      <xdr:rowOff>33210</xdr:rowOff>
    </xdr:from>
    <xdr:to>
      <xdr:col>8</xdr:col>
      <xdr:colOff>2312013</xdr:colOff>
      <xdr:row>15</xdr:row>
      <xdr:rowOff>2003582</xdr:rowOff>
    </xdr:to>
    <xdr:pic>
      <xdr:nvPicPr>
        <xdr:cNvPr id="5" name="図 4">
          <a:extLst>
            <a:ext uri="{FF2B5EF4-FFF2-40B4-BE49-F238E27FC236}">
              <a16:creationId xmlns:a16="http://schemas.microsoft.com/office/drawing/2014/main" id="{15D8FE0E-A36A-4233-ACB5-C5DF0DC28B4D}"/>
            </a:ext>
          </a:extLst>
        </xdr:cNvPr>
        <xdr:cNvPicPr>
          <a:picLocks noChangeAspect="1"/>
        </xdr:cNvPicPr>
      </xdr:nvPicPr>
      <xdr:blipFill>
        <a:blip xmlns:r="http://schemas.openxmlformats.org/officeDocument/2006/relationships" r:embed="rId4"/>
        <a:stretch>
          <a:fillRect/>
        </a:stretch>
      </xdr:blipFill>
      <xdr:spPr>
        <a:xfrm>
          <a:off x="8868104" y="10826020"/>
          <a:ext cx="1641978" cy="197037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topLeftCell="A16" zoomScaleNormal="100" zoomScaleSheetLayoutView="100" workbookViewId="0">
      <selection activeCell="Y32" sqref="Y32"/>
    </sheetView>
  </sheetViews>
  <sheetFormatPr defaultColWidth="9" defaultRowHeight="18.75" customHeight="1" x14ac:dyDescent="0.2"/>
  <cols>
    <col min="1" max="1" width="2.33203125" style="1" customWidth="1"/>
    <col min="2" max="2" width="16.33203125" style="1" customWidth="1"/>
    <col min="3" max="21" width="5.77734375" style="1" customWidth="1"/>
    <col min="22" max="22" width="9" style="1"/>
    <col min="23" max="23" width="3.77734375" style="1" customWidth="1"/>
    <col min="24" max="24" width="48.77734375" style="1" hidden="1" customWidth="1"/>
    <col min="25" max="26" width="9" style="1"/>
    <col min="27" max="27" width="9" style="1" hidden="1" customWidth="1"/>
    <col min="28" max="16384" width="9" style="1"/>
  </cols>
  <sheetData>
    <row r="1" spans="1:24" ht="18.600000000000001" customHeight="1" x14ac:dyDescent="0.2">
      <c r="T1" s="143" t="s">
        <v>0</v>
      </c>
      <c r="U1" s="143"/>
      <c r="V1" s="2" t="s">
        <v>1</v>
      </c>
    </row>
    <row r="2" spans="1:24" ht="18.75" customHeight="1" x14ac:dyDescent="0.2">
      <c r="B2" s="14" t="s">
        <v>2</v>
      </c>
      <c r="C2" s="113" t="s">
        <v>177</v>
      </c>
      <c r="D2" s="114"/>
      <c r="E2" s="114"/>
      <c r="F2" s="114"/>
      <c r="G2" s="114"/>
      <c r="H2" s="114"/>
      <c r="I2" s="114"/>
      <c r="J2" s="115"/>
      <c r="K2" s="73"/>
      <c r="L2" s="5"/>
      <c r="M2" s="5"/>
      <c r="N2" s="5"/>
      <c r="O2" s="5"/>
      <c r="P2" s="5"/>
      <c r="Q2" s="5"/>
      <c r="R2" s="5"/>
      <c r="S2" s="5"/>
      <c r="T2" s="5"/>
      <c r="U2" s="5"/>
    </row>
    <row r="3" spans="1:24" ht="18.75" customHeight="1" x14ac:dyDescent="0.2">
      <c r="B3" s="14" t="s">
        <v>3</v>
      </c>
      <c r="C3" s="113" t="s">
        <v>143</v>
      </c>
      <c r="D3" s="114"/>
      <c r="E3" s="114"/>
      <c r="F3" s="114"/>
      <c r="G3" s="114"/>
      <c r="H3" s="114"/>
      <c r="I3" s="114"/>
      <c r="J3" s="115"/>
      <c r="K3" s="73"/>
      <c r="L3" s="5"/>
      <c r="M3" s="5"/>
      <c r="N3" s="5"/>
      <c r="O3" s="5"/>
      <c r="P3" s="5"/>
      <c r="Q3" s="5"/>
      <c r="R3" s="5"/>
      <c r="S3" s="5"/>
      <c r="T3" s="5"/>
      <c r="U3" s="5"/>
    </row>
    <row r="4" spans="1:24" ht="15" customHeight="1" x14ac:dyDescent="0.2">
      <c r="L4" s="73"/>
      <c r="M4" s="63"/>
      <c r="N4" s="63"/>
      <c r="O4" s="63"/>
      <c r="P4" s="63"/>
      <c r="Q4" s="63"/>
      <c r="R4" s="63"/>
      <c r="S4" s="63"/>
      <c r="T4" s="63"/>
      <c r="U4" s="63"/>
    </row>
    <row r="5" spans="1:24" ht="18" customHeight="1" x14ac:dyDescent="0.2">
      <c r="A5" s="124" t="s">
        <v>4</v>
      </c>
      <c r="B5" s="124"/>
      <c r="C5" s="124"/>
      <c r="D5" s="124"/>
      <c r="E5" s="124"/>
      <c r="F5" s="124"/>
      <c r="G5" s="124"/>
      <c r="H5" s="124"/>
      <c r="I5" s="124"/>
      <c r="J5" s="124"/>
      <c r="K5" s="124"/>
      <c r="L5" s="124"/>
      <c r="M5" s="124"/>
      <c r="N5" s="124"/>
      <c r="O5" s="124"/>
      <c r="P5" s="124"/>
      <c r="Q5" s="124"/>
      <c r="R5" s="124"/>
      <c r="S5" s="124"/>
      <c r="T5" s="124"/>
      <c r="U5" s="124"/>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5</v>
      </c>
      <c r="B7" s="3"/>
      <c r="C7" s="3"/>
      <c r="D7" s="3"/>
      <c r="E7" s="3"/>
      <c r="F7" s="2"/>
      <c r="G7" s="2"/>
      <c r="H7" s="2"/>
      <c r="I7" s="2"/>
      <c r="J7" s="2"/>
      <c r="K7" s="2"/>
      <c r="L7" s="156" t="s">
        <v>178</v>
      </c>
      <c r="M7" s="157"/>
      <c r="N7" s="157"/>
      <c r="O7" s="157"/>
      <c r="P7" s="157"/>
      <c r="Q7" s="157"/>
      <c r="R7" s="157"/>
      <c r="S7" s="157"/>
      <c r="T7" s="157"/>
      <c r="U7" s="158"/>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6</v>
      </c>
      <c r="C9" s="3"/>
      <c r="D9" s="3"/>
      <c r="K9" s="73"/>
      <c r="L9" s="2"/>
      <c r="M9" s="2"/>
      <c r="N9" s="2"/>
      <c r="O9" s="2"/>
      <c r="P9" s="2"/>
      <c r="Q9" s="2"/>
      <c r="R9" s="2"/>
      <c r="S9" s="2"/>
      <c r="T9" s="2"/>
      <c r="U9" s="2"/>
    </row>
    <row r="10" spans="1:24" ht="6" customHeight="1" x14ac:dyDescent="0.2">
      <c r="B10" s="3"/>
      <c r="C10" s="3"/>
      <c r="D10" s="3"/>
      <c r="E10" s="3"/>
      <c r="F10" s="3"/>
      <c r="G10" s="3"/>
      <c r="H10" s="3"/>
      <c r="I10" s="3"/>
      <c r="J10" s="3"/>
      <c r="K10" s="3"/>
      <c r="L10" s="9"/>
      <c r="M10" s="3"/>
      <c r="N10" s="3"/>
      <c r="O10" s="3"/>
      <c r="P10" s="3"/>
      <c r="Q10" s="3"/>
      <c r="R10" s="3"/>
      <c r="S10" s="3"/>
      <c r="T10" s="3"/>
      <c r="U10" s="3"/>
    </row>
    <row r="11" spans="1:24" ht="18" customHeight="1" x14ac:dyDescent="0.2">
      <c r="B11" s="159"/>
      <c r="C11" s="160"/>
      <c r="D11" s="160"/>
      <c r="E11" s="160"/>
      <c r="F11" s="160"/>
      <c r="G11" s="160"/>
      <c r="H11" s="160"/>
      <c r="I11" s="160"/>
      <c r="J11" s="160"/>
      <c r="K11" s="160"/>
      <c r="L11" s="160"/>
      <c r="M11" s="160"/>
      <c r="N11" s="160"/>
      <c r="O11" s="160"/>
      <c r="P11" s="160"/>
      <c r="Q11" s="160"/>
      <c r="R11" s="160"/>
      <c r="S11" s="160"/>
      <c r="T11" s="160"/>
      <c r="U11" s="161"/>
    </row>
    <row r="12" spans="1:24" ht="18" customHeight="1" x14ac:dyDescent="0.2">
      <c r="B12" s="162"/>
      <c r="C12" s="163"/>
      <c r="D12" s="163"/>
      <c r="E12" s="163"/>
      <c r="F12" s="163"/>
      <c r="G12" s="163"/>
      <c r="H12" s="163"/>
      <c r="I12" s="163"/>
      <c r="J12" s="163"/>
      <c r="K12" s="163"/>
      <c r="L12" s="163"/>
      <c r="M12" s="163"/>
      <c r="N12" s="163"/>
      <c r="O12" s="163"/>
      <c r="P12" s="163"/>
      <c r="Q12" s="163"/>
      <c r="R12" s="163"/>
      <c r="S12" s="163"/>
      <c r="T12" s="163"/>
      <c r="U12" s="164"/>
    </row>
    <row r="13" spans="1:24" ht="6" customHeight="1" x14ac:dyDescent="0.2">
      <c r="B13" s="3"/>
      <c r="C13" s="3"/>
      <c r="D13" s="3"/>
      <c r="E13" s="3"/>
      <c r="F13" s="3"/>
      <c r="G13" s="3"/>
      <c r="H13" s="3"/>
      <c r="I13" s="3"/>
      <c r="J13" s="3"/>
      <c r="K13" s="3"/>
      <c r="L13" s="9"/>
      <c r="M13" s="3"/>
      <c r="N13" s="3"/>
      <c r="O13" s="3"/>
      <c r="P13" s="3"/>
      <c r="Q13" s="3"/>
      <c r="R13" s="3"/>
      <c r="S13" s="3"/>
      <c r="T13" s="3"/>
      <c r="U13" s="3"/>
    </row>
    <row r="14" spans="1:24" ht="18" customHeight="1" x14ac:dyDescent="0.2">
      <c r="A14" s="1" t="s">
        <v>7</v>
      </c>
      <c r="B14" s="3"/>
      <c r="C14" s="3"/>
      <c r="D14" s="3"/>
      <c r="E14" s="73"/>
      <c r="F14" s="73"/>
      <c r="G14" s="73"/>
      <c r="H14" s="73"/>
      <c r="I14" s="73"/>
      <c r="J14" s="73"/>
      <c r="K14" s="73"/>
      <c r="L14" s="64"/>
      <c r="M14" s="64"/>
      <c r="N14" s="64"/>
      <c r="O14" s="64"/>
      <c r="P14" s="64"/>
      <c r="Q14" s="64"/>
      <c r="R14" s="64"/>
      <c r="S14" s="64"/>
      <c r="T14" s="64"/>
      <c r="U14" s="64"/>
    </row>
    <row r="15" spans="1:24" ht="18" customHeight="1" x14ac:dyDescent="0.2">
      <c r="B15" s="125" t="s">
        <v>189</v>
      </c>
      <c r="C15" s="126"/>
      <c r="D15" s="126"/>
      <c r="E15" s="126"/>
      <c r="F15" s="126"/>
      <c r="G15" s="126"/>
      <c r="H15" s="126"/>
      <c r="I15" s="126"/>
      <c r="J15" s="126"/>
      <c r="K15" s="126"/>
      <c r="L15" s="126"/>
      <c r="M15" s="126"/>
      <c r="N15" s="126"/>
      <c r="O15" s="126"/>
      <c r="P15" s="126"/>
      <c r="Q15" s="126"/>
      <c r="R15" s="126"/>
      <c r="S15" s="126"/>
      <c r="T15" s="126"/>
      <c r="U15" s="127"/>
      <c r="X15" s="1" t="s">
        <v>8</v>
      </c>
    </row>
    <row r="16" spans="1:24" ht="18" customHeight="1" x14ac:dyDescent="0.2">
      <c r="B16" s="128"/>
      <c r="C16" s="129"/>
      <c r="D16" s="129"/>
      <c r="E16" s="129"/>
      <c r="F16" s="129"/>
      <c r="G16" s="129"/>
      <c r="H16" s="129"/>
      <c r="I16" s="129"/>
      <c r="J16" s="129"/>
      <c r="K16" s="129"/>
      <c r="L16" s="129"/>
      <c r="M16" s="129"/>
      <c r="N16" s="129"/>
      <c r="O16" s="129"/>
      <c r="P16" s="129"/>
      <c r="Q16" s="129"/>
      <c r="R16" s="129"/>
      <c r="S16" s="129"/>
      <c r="T16" s="129"/>
      <c r="U16" s="130"/>
      <c r="X16" s="1" t="s">
        <v>9</v>
      </c>
    </row>
    <row r="17" spans="1:24" ht="18" customHeight="1" x14ac:dyDescent="0.2">
      <c r="B17" s="128"/>
      <c r="C17" s="129"/>
      <c r="D17" s="129"/>
      <c r="E17" s="129"/>
      <c r="F17" s="129"/>
      <c r="G17" s="129"/>
      <c r="H17" s="129"/>
      <c r="I17" s="129"/>
      <c r="J17" s="129"/>
      <c r="K17" s="129"/>
      <c r="L17" s="129"/>
      <c r="M17" s="129"/>
      <c r="N17" s="129"/>
      <c r="O17" s="129"/>
      <c r="P17" s="129"/>
      <c r="Q17" s="129"/>
      <c r="R17" s="129"/>
      <c r="S17" s="129"/>
      <c r="T17" s="129"/>
      <c r="U17" s="130"/>
      <c r="X17" s="1" t="s">
        <v>10</v>
      </c>
    </row>
    <row r="18" spans="1:24" ht="18" customHeight="1" x14ac:dyDescent="0.2">
      <c r="B18" s="128"/>
      <c r="C18" s="129"/>
      <c r="D18" s="129"/>
      <c r="E18" s="129"/>
      <c r="F18" s="129"/>
      <c r="G18" s="129"/>
      <c r="H18" s="129"/>
      <c r="I18" s="129"/>
      <c r="J18" s="129"/>
      <c r="K18" s="129"/>
      <c r="L18" s="129"/>
      <c r="M18" s="129"/>
      <c r="N18" s="129"/>
      <c r="O18" s="129"/>
      <c r="P18" s="129"/>
      <c r="Q18" s="129"/>
      <c r="R18" s="129"/>
      <c r="S18" s="129"/>
      <c r="T18" s="129"/>
      <c r="U18" s="130"/>
      <c r="X18" s="1" t="s">
        <v>11</v>
      </c>
    </row>
    <row r="19" spans="1:24" ht="18" customHeight="1" x14ac:dyDescent="0.2">
      <c r="B19" s="128"/>
      <c r="C19" s="129"/>
      <c r="D19" s="129"/>
      <c r="E19" s="129"/>
      <c r="F19" s="129"/>
      <c r="G19" s="129"/>
      <c r="H19" s="129"/>
      <c r="I19" s="129"/>
      <c r="J19" s="129"/>
      <c r="K19" s="129"/>
      <c r="L19" s="129"/>
      <c r="M19" s="129"/>
      <c r="N19" s="129"/>
      <c r="O19" s="129"/>
      <c r="P19" s="129"/>
      <c r="Q19" s="129"/>
      <c r="R19" s="129"/>
      <c r="S19" s="129"/>
      <c r="T19" s="129"/>
      <c r="U19" s="130"/>
    </row>
    <row r="20" spans="1:24" ht="21.6" customHeight="1" x14ac:dyDescent="0.2">
      <c r="B20" s="131"/>
      <c r="C20" s="132"/>
      <c r="D20" s="132"/>
      <c r="E20" s="132"/>
      <c r="F20" s="132"/>
      <c r="G20" s="132"/>
      <c r="H20" s="132"/>
      <c r="I20" s="132"/>
      <c r="J20" s="132"/>
      <c r="K20" s="132"/>
      <c r="L20" s="132"/>
      <c r="M20" s="132"/>
      <c r="N20" s="132"/>
      <c r="O20" s="132"/>
      <c r="P20" s="132"/>
      <c r="Q20" s="132"/>
      <c r="R20" s="132"/>
      <c r="S20" s="132"/>
      <c r="T20" s="132"/>
      <c r="U20" s="133"/>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12</v>
      </c>
      <c r="E22" s="65">
        <v>1</v>
      </c>
      <c r="F22" s="1" t="s">
        <v>13</v>
      </c>
      <c r="H22" s="15">
        <v>2</v>
      </c>
      <c r="I22" s="3" t="s">
        <v>14</v>
      </c>
      <c r="J22" s="3"/>
      <c r="K22" s="73"/>
      <c r="M22" s="73" t="s">
        <v>15</v>
      </c>
      <c r="N22" s="153" t="s">
        <v>11</v>
      </c>
      <c r="O22" s="154"/>
      <c r="P22" s="154"/>
      <c r="Q22" s="154"/>
      <c r="R22" s="154"/>
      <c r="S22" s="154"/>
      <c r="T22" s="154"/>
      <c r="U22" s="155"/>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06" t="s">
        <v>16</v>
      </c>
      <c r="B24" s="106"/>
      <c r="C24" s="106"/>
      <c r="D24" s="106"/>
      <c r="E24" s="106"/>
      <c r="F24" s="106"/>
      <c r="G24" s="106"/>
      <c r="H24" s="106"/>
      <c r="I24" s="106"/>
      <c r="J24" s="106"/>
      <c r="K24" s="106"/>
      <c r="L24" s="106"/>
      <c r="M24" s="106"/>
      <c r="N24" s="106"/>
      <c r="O24" s="106"/>
      <c r="P24" s="106"/>
      <c r="Q24" s="106"/>
      <c r="R24" s="106"/>
      <c r="S24" s="106"/>
      <c r="T24" s="106"/>
      <c r="U24" s="106"/>
    </row>
    <row r="25" spans="1:24" ht="18" customHeight="1" x14ac:dyDescent="0.2">
      <c r="A25" s="106"/>
      <c r="B25" s="106"/>
      <c r="C25" s="106"/>
      <c r="D25" s="106"/>
      <c r="E25" s="106"/>
      <c r="F25" s="106"/>
      <c r="G25" s="106"/>
      <c r="H25" s="106"/>
      <c r="I25" s="106"/>
      <c r="J25" s="106"/>
      <c r="K25" s="106"/>
      <c r="L25" s="106"/>
      <c r="M25" s="106"/>
      <c r="N25" s="106"/>
      <c r="O25" s="106"/>
      <c r="P25" s="106"/>
      <c r="Q25" s="106"/>
      <c r="R25" s="106"/>
      <c r="S25" s="106"/>
      <c r="T25" s="106"/>
      <c r="U25" s="106"/>
    </row>
    <row r="26" spans="1:24" ht="18" customHeight="1" x14ac:dyDescent="0.2">
      <c r="B26" s="113" t="s">
        <v>17</v>
      </c>
      <c r="C26" s="114"/>
      <c r="D26" s="114"/>
      <c r="E26" s="114"/>
      <c r="F26" s="115"/>
      <c r="G26" s="49" t="s">
        <v>18</v>
      </c>
      <c r="H26" s="50" t="s">
        <v>19</v>
      </c>
      <c r="I26" s="51" t="s">
        <v>20</v>
      </c>
      <c r="J26" s="51" t="s">
        <v>21</v>
      </c>
      <c r="K26" s="113" t="s">
        <v>17</v>
      </c>
      <c r="L26" s="114"/>
      <c r="M26" s="114"/>
      <c r="N26" s="114"/>
      <c r="O26" s="114"/>
      <c r="P26" s="114"/>
      <c r="Q26" s="115"/>
      <c r="R26" s="49" t="s">
        <v>18</v>
      </c>
      <c r="S26" s="50" t="s">
        <v>19</v>
      </c>
      <c r="T26" s="51" t="s">
        <v>20</v>
      </c>
      <c r="U26" s="51" t="s">
        <v>21</v>
      </c>
    </row>
    <row r="27" spans="1:24" ht="18" customHeight="1" x14ac:dyDescent="0.2">
      <c r="B27" s="107" t="s">
        <v>144</v>
      </c>
      <c r="C27" s="108"/>
      <c r="D27" s="108"/>
      <c r="E27" s="108"/>
      <c r="F27" s="109"/>
      <c r="G27" s="52">
        <v>2</v>
      </c>
      <c r="H27" s="52" t="s">
        <v>145</v>
      </c>
      <c r="I27" s="52" t="s">
        <v>145</v>
      </c>
      <c r="J27" s="52" t="s">
        <v>145</v>
      </c>
      <c r="K27" s="107"/>
      <c r="L27" s="108"/>
      <c r="M27" s="108"/>
      <c r="N27" s="108"/>
      <c r="O27" s="108"/>
      <c r="P27" s="108"/>
      <c r="Q27" s="109"/>
      <c r="R27" s="52"/>
      <c r="S27" s="52"/>
      <c r="T27" s="52"/>
      <c r="U27" s="52"/>
    </row>
    <row r="28" spans="1:24" ht="18" customHeight="1" x14ac:dyDescent="0.2">
      <c r="B28" s="100"/>
      <c r="C28" s="101"/>
      <c r="D28" s="101"/>
      <c r="E28" s="101"/>
      <c r="F28" s="102"/>
      <c r="G28" s="53"/>
      <c r="H28" s="53"/>
      <c r="I28" s="53"/>
      <c r="J28" s="53"/>
      <c r="K28" s="100"/>
      <c r="L28" s="101"/>
      <c r="M28" s="101"/>
      <c r="N28" s="101"/>
      <c r="O28" s="101"/>
      <c r="P28" s="101"/>
      <c r="Q28" s="102"/>
      <c r="R28" s="53"/>
      <c r="S28" s="53"/>
      <c r="T28" s="53"/>
      <c r="U28" s="53"/>
    </row>
    <row r="29" spans="1:24" ht="18" customHeight="1" x14ac:dyDescent="0.2">
      <c r="B29" s="100"/>
      <c r="C29" s="101"/>
      <c r="D29" s="101"/>
      <c r="E29" s="101"/>
      <c r="F29" s="102"/>
      <c r="G29" s="53"/>
      <c r="H29" s="53"/>
      <c r="I29" s="53"/>
      <c r="J29" s="53"/>
      <c r="K29" s="100"/>
      <c r="L29" s="101"/>
      <c r="M29" s="101"/>
      <c r="N29" s="101"/>
      <c r="O29" s="101"/>
      <c r="P29" s="101"/>
      <c r="Q29" s="102"/>
      <c r="R29" s="53"/>
      <c r="S29" s="53"/>
      <c r="T29" s="53"/>
      <c r="U29" s="53"/>
    </row>
    <row r="30" spans="1:24" ht="18" customHeight="1" x14ac:dyDescent="0.2">
      <c r="B30" s="100"/>
      <c r="C30" s="101"/>
      <c r="D30" s="101"/>
      <c r="E30" s="101"/>
      <c r="F30" s="102"/>
      <c r="G30" s="53"/>
      <c r="H30" s="53"/>
      <c r="I30" s="53"/>
      <c r="J30" s="53"/>
      <c r="K30" s="100"/>
      <c r="L30" s="101"/>
      <c r="M30" s="101"/>
      <c r="N30" s="101"/>
      <c r="O30" s="101"/>
      <c r="P30" s="101"/>
      <c r="Q30" s="102"/>
      <c r="R30" s="53"/>
      <c r="S30" s="53"/>
      <c r="T30" s="53"/>
      <c r="U30" s="53"/>
    </row>
    <row r="31" spans="1:24" ht="18" customHeight="1" x14ac:dyDescent="0.2">
      <c r="B31" s="100"/>
      <c r="C31" s="101"/>
      <c r="D31" s="101"/>
      <c r="E31" s="101"/>
      <c r="F31" s="102"/>
      <c r="G31" s="53"/>
      <c r="H31" s="53"/>
      <c r="I31" s="53"/>
      <c r="J31" s="53"/>
      <c r="K31" s="100"/>
      <c r="L31" s="101"/>
      <c r="M31" s="101"/>
      <c r="N31" s="101"/>
      <c r="O31" s="101"/>
      <c r="P31" s="101"/>
      <c r="Q31" s="102"/>
      <c r="R31" s="53"/>
      <c r="S31" s="53"/>
      <c r="T31" s="53"/>
      <c r="U31" s="53"/>
    </row>
    <row r="32" spans="1:24" ht="18" customHeight="1" x14ac:dyDescent="0.2">
      <c r="A32" s="3"/>
      <c r="B32" s="100"/>
      <c r="C32" s="101"/>
      <c r="D32" s="101"/>
      <c r="E32" s="101"/>
      <c r="F32" s="102"/>
      <c r="G32" s="53"/>
      <c r="H32" s="53"/>
      <c r="I32" s="53"/>
      <c r="J32" s="53"/>
      <c r="K32" s="100"/>
      <c r="L32" s="101"/>
      <c r="M32" s="101"/>
      <c r="N32" s="101"/>
      <c r="O32" s="101"/>
      <c r="P32" s="101"/>
      <c r="Q32" s="102"/>
      <c r="R32" s="53"/>
      <c r="S32" s="53"/>
      <c r="T32" s="53"/>
      <c r="U32" s="53"/>
    </row>
    <row r="33" spans="1:21" ht="18" customHeight="1" x14ac:dyDescent="0.2">
      <c r="A33" s="3"/>
      <c r="B33" s="103"/>
      <c r="C33" s="104"/>
      <c r="D33" s="104"/>
      <c r="E33" s="104"/>
      <c r="F33" s="105"/>
      <c r="G33" s="54"/>
      <c r="H33" s="54"/>
      <c r="I33" s="55"/>
      <c r="J33" s="55"/>
      <c r="K33" s="103"/>
      <c r="L33" s="104"/>
      <c r="M33" s="104"/>
      <c r="N33" s="104"/>
      <c r="O33" s="104"/>
      <c r="P33" s="104"/>
      <c r="Q33" s="105"/>
      <c r="R33" s="54"/>
      <c r="S33" s="54"/>
      <c r="T33" s="55"/>
      <c r="U33" s="55"/>
    </row>
    <row r="34" spans="1:21" ht="7.5" customHeight="1" x14ac:dyDescent="0.2">
      <c r="A34" s="3"/>
      <c r="B34" s="5"/>
      <c r="C34" s="5"/>
      <c r="D34" s="5"/>
      <c r="E34" s="3"/>
      <c r="F34" s="3"/>
      <c r="G34" s="3"/>
      <c r="H34" s="3"/>
      <c r="I34" s="5"/>
      <c r="J34" s="5"/>
      <c r="K34" s="5"/>
      <c r="L34" s="5"/>
      <c r="M34" s="5"/>
      <c r="N34" s="5"/>
      <c r="O34" s="5"/>
      <c r="P34" s="5"/>
      <c r="Q34" s="5"/>
      <c r="R34" s="5"/>
      <c r="S34" s="5"/>
      <c r="T34" s="5"/>
      <c r="U34" s="3"/>
    </row>
    <row r="35" spans="1:21" ht="18" customHeight="1" x14ac:dyDescent="0.2">
      <c r="A35" s="106" t="s">
        <v>22</v>
      </c>
      <c r="B35" s="106"/>
      <c r="C35" s="106"/>
      <c r="D35" s="106"/>
      <c r="E35" s="106"/>
      <c r="F35" s="106"/>
      <c r="G35" s="106"/>
      <c r="H35" s="106"/>
      <c r="I35" s="106"/>
      <c r="J35" s="106"/>
      <c r="K35" s="106"/>
      <c r="L35" s="106"/>
      <c r="M35" s="106"/>
      <c r="N35" s="106"/>
      <c r="O35" s="106"/>
      <c r="P35" s="106"/>
      <c r="Q35" s="106"/>
      <c r="R35" s="106"/>
      <c r="S35" s="106"/>
      <c r="T35" s="106"/>
      <c r="U35" s="106"/>
    </row>
    <row r="36" spans="1:21" ht="18" customHeight="1" x14ac:dyDescent="0.2">
      <c r="A36" s="106"/>
      <c r="B36" s="106"/>
      <c r="C36" s="106"/>
      <c r="D36" s="106"/>
      <c r="E36" s="106"/>
      <c r="F36" s="106"/>
      <c r="G36" s="106"/>
      <c r="H36" s="106"/>
      <c r="I36" s="106"/>
      <c r="J36" s="106"/>
      <c r="K36" s="106"/>
      <c r="L36" s="106"/>
      <c r="M36" s="106"/>
      <c r="N36" s="106"/>
      <c r="O36" s="106"/>
      <c r="P36" s="106"/>
      <c r="Q36" s="106"/>
      <c r="R36" s="106"/>
      <c r="S36" s="106"/>
      <c r="T36" s="106"/>
      <c r="U36" s="106"/>
    </row>
    <row r="37" spans="1:21" ht="18" customHeight="1" x14ac:dyDescent="0.2">
      <c r="B37" s="113" t="s">
        <v>17</v>
      </c>
      <c r="C37" s="114"/>
      <c r="D37" s="114"/>
      <c r="E37" s="114"/>
      <c r="F37" s="115"/>
      <c r="G37" s="49" t="s">
        <v>18</v>
      </c>
      <c r="H37" s="50" t="s">
        <v>19</v>
      </c>
      <c r="I37" s="51" t="s">
        <v>23</v>
      </c>
      <c r="J37" s="51" t="s">
        <v>24</v>
      </c>
      <c r="K37" s="113" t="s">
        <v>17</v>
      </c>
      <c r="L37" s="114"/>
      <c r="M37" s="114"/>
      <c r="N37" s="114"/>
      <c r="O37" s="114"/>
      <c r="P37" s="114"/>
      <c r="Q37" s="115"/>
      <c r="R37" s="49" t="s">
        <v>18</v>
      </c>
      <c r="S37" s="50" t="s">
        <v>19</v>
      </c>
      <c r="T37" s="51" t="s">
        <v>23</v>
      </c>
      <c r="U37" s="51" t="s">
        <v>24</v>
      </c>
    </row>
    <row r="38" spans="1:21" ht="18" customHeight="1" x14ac:dyDescent="0.2">
      <c r="B38" s="107" t="s">
        <v>146</v>
      </c>
      <c r="C38" s="108"/>
      <c r="D38" s="108"/>
      <c r="E38" s="108"/>
      <c r="F38" s="109"/>
      <c r="G38" s="52">
        <v>2</v>
      </c>
      <c r="H38" s="52" t="s">
        <v>145</v>
      </c>
      <c r="I38" s="52" t="s">
        <v>145</v>
      </c>
      <c r="J38" s="52" t="s">
        <v>145</v>
      </c>
      <c r="K38" s="107"/>
      <c r="L38" s="108"/>
      <c r="M38" s="108"/>
      <c r="N38" s="108"/>
      <c r="O38" s="108"/>
      <c r="P38" s="108"/>
      <c r="Q38" s="109"/>
      <c r="R38" s="52"/>
      <c r="S38" s="52"/>
      <c r="T38" s="52"/>
      <c r="U38" s="52"/>
    </row>
    <row r="39" spans="1:21" ht="18" customHeight="1" x14ac:dyDescent="0.2">
      <c r="B39" s="100"/>
      <c r="C39" s="101"/>
      <c r="D39" s="101"/>
      <c r="E39" s="101"/>
      <c r="F39" s="102"/>
      <c r="G39" s="53"/>
      <c r="H39" s="53"/>
      <c r="I39" s="53"/>
      <c r="J39" s="53"/>
      <c r="K39" s="100"/>
      <c r="L39" s="101"/>
      <c r="M39" s="101"/>
      <c r="N39" s="101"/>
      <c r="O39" s="101"/>
      <c r="P39" s="101"/>
      <c r="Q39" s="102"/>
      <c r="R39" s="53"/>
      <c r="S39" s="53"/>
      <c r="T39" s="53"/>
      <c r="U39" s="53"/>
    </row>
    <row r="40" spans="1:21" ht="18" customHeight="1" x14ac:dyDescent="0.2">
      <c r="B40" s="100"/>
      <c r="C40" s="101"/>
      <c r="D40" s="101"/>
      <c r="E40" s="101"/>
      <c r="F40" s="102"/>
      <c r="G40" s="53"/>
      <c r="H40" s="53"/>
      <c r="I40" s="53"/>
      <c r="J40" s="53"/>
      <c r="K40" s="100"/>
      <c r="L40" s="101"/>
      <c r="M40" s="101"/>
      <c r="N40" s="101"/>
      <c r="O40" s="101"/>
      <c r="P40" s="101"/>
      <c r="Q40" s="102"/>
      <c r="R40" s="53"/>
      <c r="S40" s="53"/>
      <c r="T40" s="53"/>
      <c r="U40" s="53"/>
    </row>
    <row r="41" spans="1:21" ht="18" customHeight="1" x14ac:dyDescent="0.2">
      <c r="B41" s="100"/>
      <c r="C41" s="101"/>
      <c r="D41" s="101"/>
      <c r="E41" s="101"/>
      <c r="F41" s="102"/>
      <c r="G41" s="53"/>
      <c r="H41" s="53"/>
      <c r="I41" s="53"/>
      <c r="J41" s="53"/>
      <c r="K41" s="100"/>
      <c r="L41" s="101"/>
      <c r="M41" s="101"/>
      <c r="N41" s="101"/>
      <c r="O41" s="101"/>
      <c r="P41" s="101"/>
      <c r="Q41" s="102"/>
      <c r="R41" s="53"/>
      <c r="S41" s="53"/>
      <c r="T41" s="53"/>
      <c r="U41" s="53"/>
    </row>
    <row r="42" spans="1:21" ht="18" customHeight="1" x14ac:dyDescent="0.2">
      <c r="B42" s="100"/>
      <c r="C42" s="101"/>
      <c r="D42" s="101"/>
      <c r="E42" s="101"/>
      <c r="F42" s="102"/>
      <c r="G42" s="53"/>
      <c r="H42" s="53"/>
      <c r="I42" s="53"/>
      <c r="J42" s="53"/>
      <c r="K42" s="100"/>
      <c r="L42" s="101"/>
      <c r="M42" s="101"/>
      <c r="N42" s="101"/>
      <c r="O42" s="101"/>
      <c r="P42" s="101"/>
      <c r="Q42" s="102"/>
      <c r="R42" s="53"/>
      <c r="S42" s="53"/>
      <c r="T42" s="53"/>
      <c r="U42" s="53"/>
    </row>
    <row r="43" spans="1:21" ht="18" customHeight="1" x14ac:dyDescent="0.2">
      <c r="B43" s="100"/>
      <c r="C43" s="101"/>
      <c r="D43" s="101"/>
      <c r="E43" s="101"/>
      <c r="F43" s="102"/>
      <c r="G43" s="53"/>
      <c r="H43" s="53"/>
      <c r="I43" s="53"/>
      <c r="J43" s="53"/>
      <c r="K43" s="100"/>
      <c r="L43" s="101"/>
      <c r="M43" s="101"/>
      <c r="N43" s="101"/>
      <c r="O43" s="101"/>
      <c r="P43" s="101"/>
      <c r="Q43" s="102"/>
      <c r="R43" s="53"/>
      <c r="S43" s="53"/>
      <c r="T43" s="53"/>
      <c r="U43" s="53"/>
    </row>
    <row r="44" spans="1:21" ht="18" customHeight="1" x14ac:dyDescent="0.2">
      <c r="B44" s="103"/>
      <c r="C44" s="104"/>
      <c r="D44" s="104"/>
      <c r="E44" s="104"/>
      <c r="F44" s="105"/>
      <c r="G44" s="54"/>
      <c r="H44" s="54"/>
      <c r="I44" s="55"/>
      <c r="J44" s="55"/>
      <c r="K44" s="103"/>
      <c r="L44" s="104"/>
      <c r="M44" s="104"/>
      <c r="N44" s="104"/>
      <c r="O44" s="104"/>
      <c r="P44" s="104"/>
      <c r="Q44" s="105"/>
      <c r="R44" s="54"/>
      <c r="S44" s="54"/>
      <c r="T44" s="55"/>
      <c r="U44" s="55"/>
    </row>
    <row r="45" spans="1:21" ht="7.5" customHeight="1" x14ac:dyDescent="0.2">
      <c r="A45" s="3"/>
      <c r="B45" s="5"/>
      <c r="C45" s="5"/>
      <c r="D45" s="5"/>
      <c r="E45" s="3"/>
      <c r="F45" s="3"/>
      <c r="G45" s="3"/>
      <c r="H45" s="3"/>
      <c r="I45" s="5"/>
      <c r="J45" s="5"/>
      <c r="K45" s="5"/>
      <c r="L45" s="5"/>
      <c r="M45" s="5"/>
      <c r="N45" s="5"/>
      <c r="O45" s="5"/>
      <c r="P45" s="5"/>
      <c r="Q45" s="5"/>
      <c r="R45" s="5"/>
      <c r="S45" s="5"/>
      <c r="T45" s="5"/>
      <c r="U45" s="3"/>
    </row>
    <row r="46" spans="1:21" ht="18" customHeight="1" x14ac:dyDescent="0.2">
      <c r="A46" s="106" t="s">
        <v>25</v>
      </c>
      <c r="B46" s="106"/>
      <c r="C46" s="106"/>
      <c r="D46" s="106"/>
      <c r="E46" s="106"/>
      <c r="F46" s="106"/>
      <c r="G46" s="106"/>
      <c r="H46" s="106"/>
      <c r="I46" s="106"/>
      <c r="J46" s="106"/>
      <c r="K46" s="106"/>
      <c r="L46" s="106"/>
      <c r="M46" s="106"/>
      <c r="N46" s="106"/>
      <c r="O46" s="106"/>
      <c r="P46" s="106"/>
      <c r="Q46" s="106"/>
      <c r="R46" s="106"/>
      <c r="S46" s="106"/>
      <c r="T46" s="106"/>
      <c r="U46" s="106"/>
    </row>
    <row r="47" spans="1:21" ht="18" customHeight="1" x14ac:dyDescent="0.2">
      <c r="A47" s="106"/>
      <c r="B47" s="106"/>
      <c r="C47" s="106"/>
      <c r="D47" s="106"/>
      <c r="E47" s="106"/>
      <c r="F47" s="106"/>
      <c r="G47" s="106"/>
      <c r="H47" s="106"/>
      <c r="I47" s="106"/>
      <c r="J47" s="106"/>
      <c r="K47" s="106"/>
      <c r="L47" s="106"/>
      <c r="M47" s="106"/>
      <c r="N47" s="106"/>
      <c r="O47" s="106"/>
      <c r="P47" s="106"/>
      <c r="Q47" s="106"/>
      <c r="R47" s="106"/>
      <c r="S47" s="106"/>
      <c r="T47" s="106"/>
      <c r="U47" s="106"/>
    </row>
    <row r="48" spans="1:21" ht="18" customHeight="1" x14ac:dyDescent="0.2">
      <c r="B48" s="113" t="s">
        <v>17</v>
      </c>
      <c r="C48" s="114"/>
      <c r="D48" s="114"/>
      <c r="E48" s="114"/>
      <c r="F48" s="115"/>
      <c r="G48" s="49" t="s">
        <v>18</v>
      </c>
      <c r="H48" s="50" t="s">
        <v>19</v>
      </c>
      <c r="I48" s="51" t="s">
        <v>26</v>
      </c>
      <c r="J48" s="51" t="s">
        <v>27</v>
      </c>
      <c r="K48" s="113" t="s">
        <v>17</v>
      </c>
      <c r="L48" s="114"/>
      <c r="M48" s="114"/>
      <c r="N48" s="114"/>
      <c r="O48" s="114"/>
      <c r="P48" s="114"/>
      <c r="Q48" s="115"/>
      <c r="R48" s="49" t="s">
        <v>18</v>
      </c>
      <c r="S48" s="50" t="s">
        <v>19</v>
      </c>
      <c r="T48" s="51" t="s">
        <v>26</v>
      </c>
      <c r="U48" s="51" t="s">
        <v>27</v>
      </c>
    </row>
    <row r="49" spans="1:21" ht="18" customHeight="1" x14ac:dyDescent="0.2">
      <c r="A49" s="3"/>
      <c r="B49" s="107" t="s">
        <v>146</v>
      </c>
      <c r="C49" s="108"/>
      <c r="D49" s="108"/>
      <c r="E49" s="108"/>
      <c r="F49" s="109"/>
      <c r="G49" s="52">
        <v>2</v>
      </c>
      <c r="H49" s="52" t="s">
        <v>145</v>
      </c>
      <c r="I49" s="52" t="s">
        <v>145</v>
      </c>
      <c r="J49" s="52" t="s">
        <v>145</v>
      </c>
      <c r="K49" s="107"/>
      <c r="L49" s="108"/>
      <c r="M49" s="108"/>
      <c r="N49" s="108"/>
      <c r="O49" s="108"/>
      <c r="P49" s="108"/>
      <c r="Q49" s="109"/>
      <c r="R49" s="52"/>
      <c r="S49" s="52"/>
      <c r="T49" s="52"/>
      <c r="U49" s="52"/>
    </row>
    <row r="50" spans="1:21" ht="18" customHeight="1" x14ac:dyDescent="0.2">
      <c r="A50" s="3"/>
      <c r="B50" s="100"/>
      <c r="C50" s="101"/>
      <c r="D50" s="101"/>
      <c r="E50" s="101"/>
      <c r="F50" s="102"/>
      <c r="G50" s="53"/>
      <c r="H50" s="53"/>
      <c r="I50" s="53"/>
      <c r="J50" s="53"/>
      <c r="K50" s="100"/>
      <c r="L50" s="101"/>
      <c r="M50" s="101"/>
      <c r="N50" s="101"/>
      <c r="O50" s="101"/>
      <c r="P50" s="101"/>
      <c r="Q50" s="102"/>
      <c r="R50" s="53"/>
      <c r="S50" s="53"/>
      <c r="T50" s="53"/>
      <c r="U50" s="53"/>
    </row>
    <row r="51" spans="1:21" ht="18" customHeight="1" x14ac:dyDescent="0.2">
      <c r="A51" s="3"/>
      <c r="B51" s="100"/>
      <c r="C51" s="101"/>
      <c r="D51" s="101"/>
      <c r="E51" s="101"/>
      <c r="F51" s="102"/>
      <c r="G51" s="53"/>
      <c r="H51" s="53"/>
      <c r="I51" s="53"/>
      <c r="J51" s="53"/>
      <c r="K51" s="100"/>
      <c r="L51" s="101"/>
      <c r="M51" s="101"/>
      <c r="N51" s="101"/>
      <c r="O51" s="101"/>
      <c r="P51" s="101"/>
      <c r="Q51" s="102"/>
      <c r="R51" s="53"/>
      <c r="S51" s="53"/>
      <c r="T51" s="53"/>
      <c r="U51" s="53"/>
    </row>
    <row r="52" spans="1:21" ht="18" customHeight="1" x14ac:dyDescent="0.2">
      <c r="A52" s="3"/>
      <c r="B52" s="100"/>
      <c r="C52" s="101"/>
      <c r="D52" s="101"/>
      <c r="E52" s="101"/>
      <c r="F52" s="102"/>
      <c r="G52" s="53"/>
      <c r="H52" s="53"/>
      <c r="I52" s="53"/>
      <c r="J52" s="53"/>
      <c r="K52" s="100"/>
      <c r="L52" s="101"/>
      <c r="M52" s="101"/>
      <c r="N52" s="101"/>
      <c r="O52" s="101"/>
      <c r="P52" s="101"/>
      <c r="Q52" s="102"/>
      <c r="R52" s="53"/>
      <c r="S52" s="53"/>
      <c r="T52" s="53"/>
      <c r="U52" s="53"/>
    </row>
    <row r="53" spans="1:21" ht="18" customHeight="1" x14ac:dyDescent="0.2">
      <c r="A53" s="3"/>
      <c r="B53" s="100"/>
      <c r="C53" s="101"/>
      <c r="D53" s="101"/>
      <c r="E53" s="101"/>
      <c r="F53" s="102"/>
      <c r="G53" s="53"/>
      <c r="H53" s="53"/>
      <c r="I53" s="53"/>
      <c r="J53" s="53"/>
      <c r="K53" s="100"/>
      <c r="L53" s="101"/>
      <c r="M53" s="101"/>
      <c r="N53" s="101"/>
      <c r="O53" s="101"/>
      <c r="P53" s="101"/>
      <c r="Q53" s="102"/>
      <c r="R53" s="53"/>
      <c r="S53" s="53"/>
      <c r="T53" s="53"/>
      <c r="U53" s="53"/>
    </row>
    <row r="54" spans="1:21" ht="18" customHeight="1" x14ac:dyDescent="0.2">
      <c r="A54" s="3"/>
      <c r="B54" s="100"/>
      <c r="C54" s="101"/>
      <c r="D54" s="101"/>
      <c r="E54" s="101"/>
      <c r="F54" s="102"/>
      <c r="G54" s="53"/>
      <c r="H54" s="53"/>
      <c r="I54" s="53"/>
      <c r="J54" s="53"/>
      <c r="K54" s="100"/>
      <c r="L54" s="101"/>
      <c r="M54" s="101"/>
      <c r="N54" s="101"/>
      <c r="O54" s="101"/>
      <c r="P54" s="101"/>
      <c r="Q54" s="102"/>
      <c r="R54" s="53"/>
      <c r="S54" s="53"/>
      <c r="T54" s="53"/>
      <c r="U54" s="53"/>
    </row>
    <row r="55" spans="1:21" ht="18" customHeight="1" x14ac:dyDescent="0.2">
      <c r="A55" s="3"/>
      <c r="B55" s="103"/>
      <c r="C55" s="104"/>
      <c r="D55" s="104"/>
      <c r="E55" s="104"/>
      <c r="F55" s="105"/>
      <c r="G55" s="54"/>
      <c r="H55" s="54"/>
      <c r="I55" s="55"/>
      <c r="J55" s="55"/>
      <c r="K55" s="103"/>
      <c r="L55" s="104"/>
      <c r="M55" s="104"/>
      <c r="N55" s="104"/>
      <c r="O55" s="104"/>
      <c r="P55" s="104"/>
      <c r="Q55" s="105"/>
      <c r="R55" s="54"/>
      <c r="S55" s="54"/>
      <c r="T55" s="55"/>
      <c r="U55" s="55"/>
    </row>
    <row r="56" spans="1:21" ht="7.5" customHeight="1" x14ac:dyDescent="0.2">
      <c r="B56" s="76"/>
      <c r="C56" s="76"/>
      <c r="D56" s="76"/>
      <c r="E56" s="76"/>
      <c r="F56" s="76"/>
      <c r="G56" s="76"/>
      <c r="H56" s="76"/>
      <c r="I56" s="76"/>
      <c r="J56" s="76"/>
      <c r="K56" s="76"/>
      <c r="L56" s="76"/>
      <c r="M56" s="76"/>
      <c r="N56" s="76"/>
      <c r="O56" s="76"/>
      <c r="P56" s="76"/>
      <c r="Q56" s="76"/>
      <c r="R56" s="76"/>
      <c r="S56" s="76"/>
      <c r="T56" s="76"/>
    </row>
    <row r="57" spans="1:21" ht="18" customHeight="1" x14ac:dyDescent="0.2">
      <c r="A57" s="106" t="s">
        <v>28</v>
      </c>
      <c r="B57" s="106"/>
      <c r="C57" s="106"/>
      <c r="D57" s="106"/>
      <c r="E57" s="106"/>
      <c r="F57" s="106"/>
      <c r="G57" s="106"/>
      <c r="H57" s="106"/>
      <c r="I57" s="106"/>
      <c r="J57" s="106"/>
      <c r="K57" s="106"/>
      <c r="L57" s="106"/>
      <c r="M57" s="106"/>
      <c r="N57" s="106"/>
      <c r="O57" s="106"/>
      <c r="P57" s="106"/>
      <c r="Q57" s="106"/>
      <c r="R57" s="106"/>
      <c r="S57" s="106"/>
      <c r="T57" s="106"/>
      <c r="U57" s="106"/>
    </row>
    <row r="58" spans="1:21" ht="18" customHeight="1" x14ac:dyDescent="0.2">
      <c r="A58" s="106"/>
      <c r="B58" s="106"/>
      <c r="C58" s="106"/>
      <c r="D58" s="106"/>
      <c r="E58" s="106"/>
      <c r="F58" s="106"/>
      <c r="G58" s="106"/>
      <c r="H58" s="106"/>
      <c r="I58" s="106"/>
      <c r="J58" s="106"/>
      <c r="K58" s="106"/>
      <c r="L58" s="106"/>
      <c r="M58" s="106"/>
      <c r="N58" s="106"/>
      <c r="O58" s="106"/>
      <c r="P58" s="106"/>
      <c r="Q58" s="106"/>
      <c r="R58" s="106"/>
      <c r="S58" s="106"/>
      <c r="T58" s="106"/>
      <c r="U58" s="106"/>
    </row>
    <row r="59" spans="1:21" ht="18" customHeight="1" x14ac:dyDescent="0.2">
      <c r="B59" s="113" t="s">
        <v>17</v>
      </c>
      <c r="C59" s="114"/>
      <c r="D59" s="114"/>
      <c r="E59" s="114"/>
      <c r="F59" s="115"/>
      <c r="G59" s="49" t="s">
        <v>18</v>
      </c>
      <c r="H59" s="50" t="s">
        <v>19</v>
      </c>
      <c r="I59" s="51" t="s">
        <v>29</v>
      </c>
      <c r="J59" s="51" t="s">
        <v>30</v>
      </c>
      <c r="K59" s="113" t="s">
        <v>17</v>
      </c>
      <c r="L59" s="114"/>
      <c r="M59" s="114"/>
      <c r="N59" s="114"/>
      <c r="O59" s="114"/>
      <c r="P59" s="114"/>
      <c r="Q59" s="115"/>
      <c r="R59" s="49" t="s">
        <v>18</v>
      </c>
      <c r="S59" s="50" t="s">
        <v>19</v>
      </c>
      <c r="T59" s="51" t="s">
        <v>29</v>
      </c>
      <c r="U59" s="51" t="s">
        <v>30</v>
      </c>
    </row>
    <row r="60" spans="1:21" ht="18" customHeight="1" x14ac:dyDescent="0.2">
      <c r="A60" s="3"/>
      <c r="B60" s="107" t="s">
        <v>146</v>
      </c>
      <c r="C60" s="108"/>
      <c r="D60" s="108"/>
      <c r="E60" s="108"/>
      <c r="F60" s="109"/>
      <c r="G60" s="52">
        <v>2</v>
      </c>
      <c r="H60" s="52" t="s">
        <v>145</v>
      </c>
      <c r="I60" s="52" t="s">
        <v>145</v>
      </c>
      <c r="J60" s="52" t="s">
        <v>145</v>
      </c>
      <c r="K60" s="107"/>
      <c r="L60" s="108"/>
      <c r="M60" s="108"/>
      <c r="N60" s="108"/>
      <c r="O60" s="108"/>
      <c r="P60" s="108"/>
      <c r="Q60" s="109"/>
      <c r="R60" s="52"/>
      <c r="S60" s="52"/>
      <c r="T60" s="52"/>
      <c r="U60" s="52"/>
    </row>
    <row r="61" spans="1:21" ht="18" customHeight="1" x14ac:dyDescent="0.2">
      <c r="A61" s="3"/>
      <c r="B61" s="100"/>
      <c r="C61" s="101"/>
      <c r="D61" s="101"/>
      <c r="E61" s="101"/>
      <c r="F61" s="102"/>
      <c r="G61" s="53"/>
      <c r="H61" s="53"/>
      <c r="I61" s="53"/>
      <c r="J61" s="53"/>
      <c r="K61" s="100"/>
      <c r="L61" s="101"/>
      <c r="M61" s="101"/>
      <c r="N61" s="101"/>
      <c r="O61" s="101"/>
      <c r="P61" s="101"/>
      <c r="Q61" s="102"/>
      <c r="R61" s="53"/>
      <c r="S61" s="53"/>
      <c r="T61" s="53"/>
      <c r="U61" s="53"/>
    </row>
    <row r="62" spans="1:21" ht="18" customHeight="1" x14ac:dyDescent="0.2">
      <c r="A62" s="3"/>
      <c r="B62" s="100"/>
      <c r="C62" s="101"/>
      <c r="D62" s="101"/>
      <c r="E62" s="101"/>
      <c r="F62" s="102"/>
      <c r="G62" s="53"/>
      <c r="H62" s="53"/>
      <c r="I62" s="53"/>
      <c r="J62" s="53"/>
      <c r="K62" s="100"/>
      <c r="L62" s="101"/>
      <c r="M62" s="101"/>
      <c r="N62" s="101"/>
      <c r="O62" s="101"/>
      <c r="P62" s="101"/>
      <c r="Q62" s="102"/>
      <c r="R62" s="53"/>
      <c r="S62" s="53"/>
      <c r="T62" s="53"/>
      <c r="U62" s="53"/>
    </row>
    <row r="63" spans="1:21" ht="18" customHeight="1" x14ac:dyDescent="0.2">
      <c r="A63" s="3"/>
      <c r="B63" s="100"/>
      <c r="C63" s="101"/>
      <c r="D63" s="101"/>
      <c r="E63" s="101"/>
      <c r="F63" s="102"/>
      <c r="G63" s="53"/>
      <c r="H63" s="53"/>
      <c r="I63" s="53"/>
      <c r="J63" s="53"/>
      <c r="K63" s="100"/>
      <c r="L63" s="101"/>
      <c r="M63" s="101"/>
      <c r="N63" s="101"/>
      <c r="O63" s="101"/>
      <c r="P63" s="101"/>
      <c r="Q63" s="102"/>
      <c r="R63" s="53"/>
      <c r="S63" s="53"/>
      <c r="T63" s="53"/>
      <c r="U63" s="53"/>
    </row>
    <row r="64" spans="1:21" ht="18" customHeight="1" x14ac:dyDescent="0.2">
      <c r="A64" s="3"/>
      <c r="B64" s="100"/>
      <c r="C64" s="101"/>
      <c r="D64" s="101"/>
      <c r="E64" s="101"/>
      <c r="F64" s="102"/>
      <c r="G64" s="53"/>
      <c r="H64" s="53"/>
      <c r="I64" s="53"/>
      <c r="J64" s="53"/>
      <c r="K64" s="100"/>
      <c r="L64" s="101"/>
      <c r="M64" s="101"/>
      <c r="N64" s="101"/>
      <c r="O64" s="101"/>
      <c r="P64" s="101"/>
      <c r="Q64" s="102"/>
      <c r="R64" s="53"/>
      <c r="S64" s="53"/>
      <c r="T64" s="53"/>
      <c r="U64" s="53"/>
    </row>
    <row r="65" spans="1:27" ht="18" customHeight="1" x14ac:dyDescent="0.2">
      <c r="A65" s="3"/>
      <c r="B65" s="100"/>
      <c r="C65" s="101"/>
      <c r="D65" s="101"/>
      <c r="E65" s="101"/>
      <c r="F65" s="102"/>
      <c r="G65" s="53"/>
      <c r="H65" s="53"/>
      <c r="I65" s="53"/>
      <c r="J65" s="53"/>
      <c r="K65" s="100"/>
      <c r="L65" s="101"/>
      <c r="M65" s="101"/>
      <c r="N65" s="101"/>
      <c r="O65" s="101"/>
      <c r="P65" s="101"/>
      <c r="Q65" s="102"/>
      <c r="R65" s="53"/>
      <c r="S65" s="53"/>
      <c r="T65" s="53"/>
      <c r="U65" s="53"/>
    </row>
    <row r="66" spans="1:27" ht="18" customHeight="1" x14ac:dyDescent="0.2">
      <c r="A66" s="3"/>
      <c r="B66" s="103"/>
      <c r="C66" s="104"/>
      <c r="D66" s="104"/>
      <c r="E66" s="104"/>
      <c r="F66" s="105"/>
      <c r="G66" s="54"/>
      <c r="H66" s="54"/>
      <c r="I66" s="55"/>
      <c r="J66" s="55"/>
      <c r="K66" s="103"/>
      <c r="L66" s="104"/>
      <c r="M66" s="104"/>
      <c r="N66" s="104"/>
      <c r="O66" s="104"/>
      <c r="P66" s="104"/>
      <c r="Q66" s="105"/>
      <c r="R66" s="54"/>
      <c r="S66" s="54"/>
      <c r="T66" s="55"/>
      <c r="U66" s="55"/>
    </row>
    <row r="67" spans="1:27" ht="7.5" customHeight="1" x14ac:dyDescent="0.2">
      <c r="B67" s="76"/>
      <c r="C67" s="76"/>
      <c r="D67" s="76"/>
      <c r="E67" s="76"/>
      <c r="F67" s="76"/>
      <c r="G67" s="76"/>
      <c r="H67" s="76"/>
      <c r="I67" s="76"/>
      <c r="J67" s="76"/>
      <c r="K67" s="76"/>
      <c r="L67" s="76"/>
      <c r="M67" s="76"/>
      <c r="N67" s="76"/>
      <c r="O67" s="76"/>
      <c r="P67" s="76"/>
      <c r="Q67" s="76"/>
      <c r="R67" s="76"/>
      <c r="S67" s="76"/>
      <c r="T67" s="76"/>
    </row>
    <row r="68" spans="1:27" ht="18" customHeight="1" x14ac:dyDescent="0.2">
      <c r="A68" s="106" t="s">
        <v>31</v>
      </c>
      <c r="B68" s="106"/>
      <c r="C68" s="106"/>
      <c r="D68" s="106"/>
      <c r="E68" s="106"/>
      <c r="F68" s="106"/>
      <c r="G68" s="106"/>
      <c r="H68" s="106"/>
      <c r="I68" s="106"/>
      <c r="J68" s="106"/>
      <c r="K68" s="106"/>
      <c r="L68" s="106"/>
      <c r="M68" s="106"/>
      <c r="N68" s="106"/>
      <c r="O68" s="106"/>
      <c r="P68" s="106"/>
      <c r="Q68" s="106"/>
      <c r="R68" s="106"/>
      <c r="S68" s="106"/>
      <c r="T68" s="106"/>
      <c r="U68" s="106"/>
    </row>
    <row r="69" spans="1:27" ht="18" customHeight="1" x14ac:dyDescent="0.2">
      <c r="A69" s="106"/>
      <c r="B69" s="106"/>
      <c r="C69" s="106"/>
      <c r="D69" s="106"/>
      <c r="E69" s="106"/>
      <c r="F69" s="106"/>
      <c r="G69" s="106"/>
      <c r="H69" s="106"/>
      <c r="I69" s="106"/>
      <c r="J69" s="106"/>
      <c r="K69" s="106"/>
      <c r="L69" s="106"/>
      <c r="M69" s="106"/>
      <c r="N69" s="106"/>
      <c r="O69" s="106"/>
      <c r="P69" s="106"/>
      <c r="Q69" s="106"/>
      <c r="R69" s="106"/>
      <c r="S69" s="106"/>
      <c r="T69" s="106"/>
      <c r="U69" s="106"/>
    </row>
    <row r="70" spans="1:27" ht="18" customHeight="1" x14ac:dyDescent="0.2">
      <c r="B70" s="113" t="s">
        <v>17</v>
      </c>
      <c r="C70" s="114"/>
      <c r="D70" s="114"/>
      <c r="E70" s="114"/>
      <c r="F70" s="49" t="s">
        <v>18</v>
      </c>
      <c r="G70" s="50" t="s">
        <v>19</v>
      </c>
      <c r="H70" s="51" t="s">
        <v>32</v>
      </c>
      <c r="I70" s="51" t="s">
        <v>33</v>
      </c>
      <c r="J70" s="51" t="s">
        <v>34</v>
      </c>
      <c r="K70" s="113" t="s">
        <v>17</v>
      </c>
      <c r="L70" s="114"/>
      <c r="M70" s="114"/>
      <c r="N70" s="114"/>
      <c r="O70" s="114"/>
      <c r="P70" s="115"/>
      <c r="Q70" s="49" t="s">
        <v>18</v>
      </c>
      <c r="R70" s="50" t="s">
        <v>19</v>
      </c>
      <c r="S70" s="51" t="s">
        <v>32</v>
      </c>
      <c r="T70" s="51" t="s">
        <v>33</v>
      </c>
      <c r="U70" s="51" t="s">
        <v>34</v>
      </c>
    </row>
    <row r="71" spans="1:27" ht="18" customHeight="1" x14ac:dyDescent="0.2">
      <c r="A71" s="3"/>
      <c r="B71" s="107" t="s">
        <v>146</v>
      </c>
      <c r="C71" s="108"/>
      <c r="D71" s="108"/>
      <c r="E71" s="108"/>
      <c r="F71" s="52">
        <v>2</v>
      </c>
      <c r="G71" s="52" t="s">
        <v>147</v>
      </c>
      <c r="H71" s="52" t="s">
        <v>145</v>
      </c>
      <c r="I71" s="52" t="s">
        <v>145</v>
      </c>
      <c r="J71" s="52" t="s">
        <v>145</v>
      </c>
      <c r="K71" s="107"/>
      <c r="L71" s="108"/>
      <c r="M71" s="108"/>
      <c r="N71" s="108"/>
      <c r="O71" s="108"/>
      <c r="P71" s="109"/>
      <c r="Q71" s="52"/>
      <c r="R71" s="52"/>
      <c r="S71" s="52"/>
      <c r="T71" s="52"/>
      <c r="U71" s="52"/>
    </row>
    <row r="72" spans="1:27" ht="18" customHeight="1" x14ac:dyDescent="0.2">
      <c r="A72" s="3"/>
      <c r="B72" s="100"/>
      <c r="C72" s="101"/>
      <c r="D72" s="101"/>
      <c r="E72" s="101"/>
      <c r="F72" s="53"/>
      <c r="G72" s="53"/>
      <c r="H72" s="53"/>
      <c r="I72" s="53"/>
      <c r="J72" s="53"/>
      <c r="K72" s="100"/>
      <c r="L72" s="101"/>
      <c r="M72" s="101"/>
      <c r="N72" s="101"/>
      <c r="O72" s="101"/>
      <c r="P72" s="102"/>
      <c r="Q72" s="53"/>
      <c r="R72" s="53"/>
      <c r="S72" s="53"/>
      <c r="T72" s="53"/>
      <c r="U72" s="53"/>
    </row>
    <row r="73" spans="1:27" ht="18" customHeight="1" x14ac:dyDescent="0.2">
      <c r="A73" s="3"/>
      <c r="B73" s="100"/>
      <c r="C73" s="101"/>
      <c r="D73" s="101"/>
      <c r="E73" s="101"/>
      <c r="F73" s="53"/>
      <c r="G73" s="53"/>
      <c r="H73" s="53"/>
      <c r="I73" s="53"/>
      <c r="J73" s="53"/>
      <c r="K73" s="100"/>
      <c r="L73" s="101"/>
      <c r="M73" s="101"/>
      <c r="N73" s="101"/>
      <c r="O73" s="101"/>
      <c r="P73" s="102"/>
      <c r="Q73" s="53"/>
      <c r="R73" s="53"/>
      <c r="S73" s="53"/>
      <c r="T73" s="53"/>
      <c r="U73" s="53"/>
    </row>
    <row r="74" spans="1:27" ht="18" customHeight="1" x14ac:dyDescent="0.2">
      <c r="A74" s="3"/>
      <c r="B74" s="100"/>
      <c r="C74" s="101"/>
      <c r="D74" s="101"/>
      <c r="E74" s="101"/>
      <c r="F74" s="53"/>
      <c r="G74" s="53"/>
      <c r="H74" s="53"/>
      <c r="I74" s="53"/>
      <c r="J74" s="53"/>
      <c r="K74" s="100"/>
      <c r="L74" s="101"/>
      <c r="M74" s="101"/>
      <c r="N74" s="101"/>
      <c r="O74" s="101"/>
      <c r="P74" s="102"/>
      <c r="Q74" s="53"/>
      <c r="R74" s="53"/>
      <c r="S74" s="53"/>
      <c r="T74" s="53"/>
      <c r="U74" s="53"/>
    </row>
    <row r="75" spans="1:27" ht="18" customHeight="1" x14ac:dyDescent="0.2">
      <c r="A75" s="3"/>
      <c r="B75" s="100"/>
      <c r="C75" s="101"/>
      <c r="D75" s="101"/>
      <c r="E75" s="101"/>
      <c r="F75" s="53"/>
      <c r="G75" s="53"/>
      <c r="H75" s="53"/>
      <c r="I75" s="53"/>
      <c r="J75" s="53"/>
      <c r="K75" s="100"/>
      <c r="L75" s="101"/>
      <c r="M75" s="101"/>
      <c r="N75" s="101"/>
      <c r="O75" s="101"/>
      <c r="P75" s="102"/>
      <c r="Q75" s="53"/>
      <c r="R75" s="53"/>
      <c r="S75" s="53"/>
      <c r="T75" s="53"/>
      <c r="U75" s="53"/>
    </row>
    <row r="76" spans="1:27" ht="18" customHeight="1" x14ac:dyDescent="0.2">
      <c r="A76" s="3"/>
      <c r="B76" s="100"/>
      <c r="C76" s="101"/>
      <c r="D76" s="101"/>
      <c r="E76" s="101"/>
      <c r="F76" s="53"/>
      <c r="G76" s="53"/>
      <c r="H76" s="53"/>
      <c r="I76" s="53"/>
      <c r="J76" s="53"/>
      <c r="K76" s="100"/>
      <c r="L76" s="101"/>
      <c r="M76" s="101"/>
      <c r="N76" s="101"/>
      <c r="O76" s="101"/>
      <c r="P76" s="102"/>
      <c r="Q76" s="53"/>
      <c r="R76" s="53"/>
      <c r="S76" s="53"/>
      <c r="T76" s="53"/>
      <c r="U76" s="53"/>
    </row>
    <row r="77" spans="1:27" ht="18" customHeight="1" x14ac:dyDescent="0.2">
      <c r="A77" s="3"/>
      <c r="B77" s="103"/>
      <c r="C77" s="104"/>
      <c r="D77" s="104"/>
      <c r="E77" s="104"/>
      <c r="F77" s="54"/>
      <c r="G77" s="54"/>
      <c r="H77" s="55"/>
      <c r="I77" s="55"/>
      <c r="J77" s="55"/>
      <c r="K77" s="103"/>
      <c r="L77" s="104"/>
      <c r="M77" s="104"/>
      <c r="N77" s="104"/>
      <c r="O77" s="104"/>
      <c r="P77" s="105"/>
      <c r="Q77" s="54"/>
      <c r="R77" s="54"/>
      <c r="S77" s="55"/>
      <c r="T77" s="55"/>
      <c r="U77" s="55"/>
    </row>
    <row r="78" spans="1:27" ht="7.5" customHeight="1" x14ac:dyDescent="0.2">
      <c r="B78" s="76"/>
      <c r="C78" s="76"/>
      <c r="D78" s="76"/>
      <c r="E78" s="76"/>
      <c r="F78" s="76"/>
      <c r="G78" s="76"/>
      <c r="H78" s="76"/>
      <c r="I78" s="76"/>
      <c r="J78" s="76"/>
      <c r="K78" s="76"/>
      <c r="L78" s="76"/>
      <c r="M78" s="76"/>
      <c r="N78" s="76"/>
      <c r="O78" s="76"/>
      <c r="P78" s="76"/>
      <c r="Q78" s="76"/>
      <c r="R78" s="76"/>
      <c r="S78" s="76"/>
      <c r="T78" s="76"/>
    </row>
    <row r="79" spans="1:27" ht="18" customHeight="1" x14ac:dyDescent="0.2">
      <c r="A79" s="1" t="s">
        <v>35</v>
      </c>
      <c r="I79" s="3"/>
      <c r="J79" s="3"/>
      <c r="K79" s="3"/>
      <c r="L79" s="3"/>
      <c r="M79" s="3"/>
      <c r="N79" s="3"/>
      <c r="O79" s="3"/>
      <c r="P79" s="3"/>
      <c r="Q79" s="3"/>
      <c r="R79" s="3"/>
      <c r="S79" s="3"/>
      <c r="T79" s="3"/>
      <c r="U79" s="3"/>
    </row>
    <row r="80" spans="1:27" ht="18" customHeight="1" x14ac:dyDescent="0.2">
      <c r="B80" s="113" t="s">
        <v>17</v>
      </c>
      <c r="C80" s="114"/>
      <c r="D80" s="114"/>
      <c r="E80" s="114"/>
      <c r="F80" s="115"/>
      <c r="G80" s="113" t="s">
        <v>36</v>
      </c>
      <c r="H80" s="114"/>
      <c r="I80" s="114"/>
      <c r="J80" s="115"/>
      <c r="K80" s="121" t="s">
        <v>17</v>
      </c>
      <c r="L80" s="122"/>
      <c r="M80" s="122"/>
      <c r="N80" s="122"/>
      <c r="O80" s="122"/>
      <c r="P80" s="122"/>
      <c r="Q80" s="123"/>
      <c r="R80" s="113" t="s">
        <v>36</v>
      </c>
      <c r="S80" s="114"/>
      <c r="T80" s="114"/>
      <c r="U80" s="115"/>
      <c r="AA80" s="1" t="s">
        <v>37</v>
      </c>
    </row>
    <row r="81" spans="1:27" ht="18" customHeight="1" x14ac:dyDescent="0.2">
      <c r="A81" s="3"/>
      <c r="B81" s="107"/>
      <c r="C81" s="108"/>
      <c r="D81" s="108"/>
      <c r="E81" s="108"/>
      <c r="F81" s="109"/>
      <c r="G81" s="110"/>
      <c r="H81" s="111"/>
      <c r="I81" s="111"/>
      <c r="J81" s="112"/>
      <c r="K81" s="107"/>
      <c r="L81" s="108"/>
      <c r="M81" s="108"/>
      <c r="N81" s="108"/>
      <c r="O81" s="108"/>
      <c r="P81" s="108"/>
      <c r="Q81" s="109"/>
      <c r="R81" s="110"/>
      <c r="S81" s="111"/>
      <c r="T81" s="111"/>
      <c r="U81" s="112"/>
      <c r="AA81" s="1" t="s">
        <v>38</v>
      </c>
    </row>
    <row r="82" spans="1:27" ht="18" customHeight="1" x14ac:dyDescent="0.2">
      <c r="A82" s="3"/>
      <c r="B82" s="100"/>
      <c r="C82" s="101"/>
      <c r="D82" s="101"/>
      <c r="E82" s="101"/>
      <c r="F82" s="102"/>
      <c r="G82" s="118"/>
      <c r="H82" s="119"/>
      <c r="I82" s="119"/>
      <c r="J82" s="120"/>
      <c r="K82" s="100"/>
      <c r="L82" s="101"/>
      <c r="M82" s="101"/>
      <c r="N82" s="101"/>
      <c r="O82" s="101"/>
      <c r="P82" s="101"/>
      <c r="Q82" s="102"/>
      <c r="R82" s="118"/>
      <c r="S82" s="119"/>
      <c r="T82" s="119"/>
      <c r="U82" s="120"/>
      <c r="AA82" s="1" t="s">
        <v>39</v>
      </c>
    </row>
    <row r="83" spans="1:27" ht="18" customHeight="1" x14ac:dyDescent="0.2">
      <c r="A83" s="3"/>
      <c r="B83" s="100"/>
      <c r="C83" s="101"/>
      <c r="D83" s="101"/>
      <c r="E83" s="101"/>
      <c r="F83" s="102"/>
      <c r="G83" s="118"/>
      <c r="H83" s="119"/>
      <c r="I83" s="119"/>
      <c r="J83" s="120"/>
      <c r="K83" s="100"/>
      <c r="L83" s="101"/>
      <c r="M83" s="101"/>
      <c r="N83" s="101"/>
      <c r="O83" s="101"/>
      <c r="P83" s="101"/>
      <c r="Q83" s="102"/>
      <c r="R83" s="118"/>
      <c r="S83" s="119"/>
      <c r="T83" s="119"/>
      <c r="U83" s="120"/>
      <c r="AA83" s="1" t="s">
        <v>40</v>
      </c>
    </row>
    <row r="84" spans="1:27" ht="18" customHeight="1" x14ac:dyDescent="0.2">
      <c r="A84" s="3"/>
      <c r="B84" s="100"/>
      <c r="C84" s="101"/>
      <c r="D84" s="101"/>
      <c r="E84" s="101"/>
      <c r="F84" s="102"/>
      <c r="G84" s="118"/>
      <c r="H84" s="119"/>
      <c r="I84" s="119"/>
      <c r="J84" s="120"/>
      <c r="K84" s="100"/>
      <c r="L84" s="101"/>
      <c r="M84" s="101"/>
      <c r="N84" s="101"/>
      <c r="O84" s="101"/>
      <c r="P84" s="101"/>
      <c r="Q84" s="102"/>
      <c r="R84" s="118"/>
      <c r="S84" s="119"/>
      <c r="T84" s="119"/>
      <c r="U84" s="120"/>
      <c r="AA84" s="1" t="s">
        <v>41</v>
      </c>
    </row>
    <row r="85" spans="1:27" ht="18" customHeight="1" x14ac:dyDescent="0.2">
      <c r="A85" s="3"/>
      <c r="B85" s="100"/>
      <c r="C85" s="101"/>
      <c r="D85" s="101"/>
      <c r="E85" s="101"/>
      <c r="F85" s="102"/>
      <c r="G85" s="118"/>
      <c r="H85" s="119"/>
      <c r="I85" s="119"/>
      <c r="J85" s="120"/>
      <c r="K85" s="100"/>
      <c r="L85" s="101"/>
      <c r="M85" s="101"/>
      <c r="N85" s="101"/>
      <c r="O85" s="101"/>
      <c r="P85" s="101"/>
      <c r="Q85" s="102"/>
      <c r="R85" s="118"/>
      <c r="S85" s="119"/>
      <c r="T85" s="119"/>
      <c r="U85" s="120"/>
      <c r="AA85" s="1" t="s">
        <v>42</v>
      </c>
    </row>
    <row r="86" spans="1:27" ht="18" customHeight="1" x14ac:dyDescent="0.2">
      <c r="A86" s="3"/>
      <c r="B86" s="100"/>
      <c r="C86" s="101"/>
      <c r="D86" s="101"/>
      <c r="E86" s="101"/>
      <c r="F86" s="102"/>
      <c r="G86" s="118"/>
      <c r="H86" s="119"/>
      <c r="I86" s="119"/>
      <c r="J86" s="120"/>
      <c r="K86" s="100"/>
      <c r="L86" s="101"/>
      <c r="M86" s="101"/>
      <c r="N86" s="101"/>
      <c r="O86" s="101"/>
      <c r="P86" s="101"/>
      <c r="Q86" s="102"/>
      <c r="R86" s="118"/>
      <c r="S86" s="119"/>
      <c r="T86" s="119"/>
      <c r="U86" s="120"/>
      <c r="AA86" s="1" t="s">
        <v>43</v>
      </c>
    </row>
    <row r="87" spans="1:27" ht="18" customHeight="1" x14ac:dyDescent="0.2">
      <c r="A87" s="3"/>
      <c r="B87" s="103"/>
      <c r="C87" s="104"/>
      <c r="D87" s="104"/>
      <c r="E87" s="104"/>
      <c r="F87" s="105"/>
      <c r="G87" s="137"/>
      <c r="H87" s="138"/>
      <c r="I87" s="138"/>
      <c r="J87" s="139"/>
      <c r="K87" s="103"/>
      <c r="L87" s="104"/>
      <c r="M87" s="104"/>
      <c r="N87" s="104"/>
      <c r="O87" s="104"/>
      <c r="P87" s="104"/>
      <c r="Q87" s="105"/>
      <c r="R87" s="137"/>
      <c r="S87" s="138"/>
      <c r="T87" s="138"/>
      <c r="U87" s="139"/>
      <c r="AA87" s="1" t="s">
        <v>44</v>
      </c>
    </row>
    <row r="88" spans="1:27" ht="18" customHeight="1" x14ac:dyDescent="0.2">
      <c r="A88" s="3"/>
      <c r="B88" s="5"/>
      <c r="C88" s="5"/>
      <c r="D88" s="5"/>
      <c r="E88" s="5"/>
      <c r="F88" s="5"/>
      <c r="G88" s="56"/>
      <c r="H88" s="56"/>
      <c r="I88" s="56"/>
      <c r="J88" s="56"/>
      <c r="K88" s="5"/>
      <c r="L88" s="5"/>
      <c r="M88" s="5"/>
      <c r="N88" s="5"/>
      <c r="O88" s="5"/>
      <c r="P88" s="5"/>
      <c r="Q88" s="5"/>
      <c r="R88" s="56"/>
      <c r="S88" s="56"/>
      <c r="T88" s="56"/>
      <c r="U88" s="56"/>
      <c r="AA88" s="1" t="s">
        <v>45</v>
      </c>
    </row>
    <row r="89" spans="1:27" ht="18.75" customHeight="1" x14ac:dyDescent="0.2">
      <c r="A89" s="1" t="s">
        <v>46</v>
      </c>
      <c r="AA89" s="1" t="s">
        <v>47</v>
      </c>
    </row>
    <row r="90" spans="1:27" ht="18.75" customHeight="1" x14ac:dyDescent="0.2">
      <c r="B90" s="141" t="s">
        <v>48</v>
      </c>
      <c r="C90" s="142"/>
      <c r="D90" s="113" t="s">
        <v>49</v>
      </c>
      <c r="E90" s="114"/>
      <c r="F90" s="114"/>
      <c r="G90" s="114"/>
      <c r="H90" s="114"/>
      <c r="I90" s="114"/>
      <c r="J90" s="114"/>
      <c r="K90" s="114"/>
      <c r="L90" s="114"/>
      <c r="M90" s="114"/>
      <c r="N90" s="114"/>
      <c r="O90" s="114"/>
      <c r="P90" s="114"/>
      <c r="Q90" s="114"/>
      <c r="R90" s="114"/>
      <c r="S90" s="114"/>
      <c r="T90" s="114"/>
      <c r="U90" s="115"/>
    </row>
    <row r="91" spans="1:27" ht="97.5" customHeight="1" x14ac:dyDescent="0.2">
      <c r="B91" s="116" t="s">
        <v>50</v>
      </c>
      <c r="C91" s="57" t="s">
        <v>20</v>
      </c>
      <c r="D91" s="147" t="s">
        <v>150</v>
      </c>
      <c r="E91" s="148"/>
      <c r="F91" s="148"/>
      <c r="G91" s="148"/>
      <c r="H91" s="148"/>
      <c r="I91" s="148"/>
      <c r="J91" s="148"/>
      <c r="K91" s="148"/>
      <c r="L91" s="148"/>
      <c r="M91" s="148"/>
      <c r="N91" s="148"/>
      <c r="O91" s="148"/>
      <c r="P91" s="148"/>
      <c r="Q91" s="148"/>
      <c r="R91" s="148"/>
      <c r="S91" s="148"/>
      <c r="T91" s="148"/>
      <c r="U91" s="149"/>
    </row>
    <row r="92" spans="1:27" ht="97.5" customHeight="1" x14ac:dyDescent="0.2">
      <c r="B92" s="140"/>
      <c r="C92" s="58" t="s">
        <v>51</v>
      </c>
      <c r="D92" s="144" t="s">
        <v>169</v>
      </c>
      <c r="E92" s="145"/>
      <c r="F92" s="145"/>
      <c r="G92" s="145"/>
      <c r="H92" s="145"/>
      <c r="I92" s="145"/>
      <c r="J92" s="145"/>
      <c r="K92" s="145"/>
      <c r="L92" s="145"/>
      <c r="M92" s="145"/>
      <c r="N92" s="145"/>
      <c r="O92" s="145"/>
      <c r="P92" s="145"/>
      <c r="Q92" s="145"/>
      <c r="R92" s="145"/>
      <c r="S92" s="145"/>
      <c r="T92" s="145"/>
      <c r="U92" s="146"/>
    </row>
    <row r="93" spans="1:27" ht="97.5" customHeight="1" x14ac:dyDescent="0.2">
      <c r="B93" s="116" t="s">
        <v>52</v>
      </c>
      <c r="C93" s="59" t="s">
        <v>23</v>
      </c>
      <c r="D93" s="147" t="s">
        <v>174</v>
      </c>
      <c r="E93" s="148"/>
      <c r="F93" s="148"/>
      <c r="G93" s="148"/>
      <c r="H93" s="148"/>
      <c r="I93" s="148"/>
      <c r="J93" s="148"/>
      <c r="K93" s="148"/>
      <c r="L93" s="148"/>
      <c r="M93" s="148"/>
      <c r="N93" s="148"/>
      <c r="O93" s="148"/>
      <c r="P93" s="148"/>
      <c r="Q93" s="148"/>
      <c r="R93" s="148"/>
      <c r="S93" s="148"/>
      <c r="T93" s="148"/>
      <c r="U93" s="149"/>
    </row>
    <row r="94" spans="1:27" ht="114" customHeight="1" x14ac:dyDescent="0.2">
      <c r="B94" s="117"/>
      <c r="C94" s="60" t="s">
        <v>24</v>
      </c>
      <c r="D94" s="144" t="s">
        <v>170</v>
      </c>
      <c r="E94" s="145"/>
      <c r="F94" s="145"/>
      <c r="G94" s="145"/>
      <c r="H94" s="145"/>
      <c r="I94" s="145"/>
      <c r="J94" s="145"/>
      <c r="K94" s="145"/>
      <c r="L94" s="145"/>
      <c r="M94" s="145"/>
      <c r="N94" s="145"/>
      <c r="O94" s="145"/>
      <c r="P94" s="145"/>
      <c r="Q94" s="145"/>
      <c r="R94" s="145"/>
      <c r="S94" s="145"/>
      <c r="T94" s="145"/>
      <c r="U94" s="146"/>
    </row>
    <row r="95" spans="1:27" ht="138.75" customHeight="1" x14ac:dyDescent="0.2">
      <c r="B95" s="116" t="s">
        <v>53</v>
      </c>
      <c r="C95" s="59" t="s">
        <v>26</v>
      </c>
      <c r="D95" s="147" t="s">
        <v>175</v>
      </c>
      <c r="E95" s="148"/>
      <c r="F95" s="148"/>
      <c r="G95" s="148"/>
      <c r="H95" s="148"/>
      <c r="I95" s="148"/>
      <c r="J95" s="148"/>
      <c r="K95" s="148"/>
      <c r="L95" s="148"/>
      <c r="M95" s="148"/>
      <c r="N95" s="148"/>
      <c r="O95" s="148"/>
      <c r="P95" s="148"/>
      <c r="Q95" s="148"/>
      <c r="R95" s="148"/>
      <c r="S95" s="148"/>
      <c r="T95" s="148"/>
      <c r="U95" s="149"/>
    </row>
    <row r="96" spans="1:27" ht="115.5" customHeight="1" x14ac:dyDescent="0.2">
      <c r="B96" s="117"/>
      <c r="C96" s="61" t="s">
        <v>27</v>
      </c>
      <c r="D96" s="144" t="s">
        <v>171</v>
      </c>
      <c r="E96" s="145"/>
      <c r="F96" s="145"/>
      <c r="G96" s="145"/>
      <c r="H96" s="145"/>
      <c r="I96" s="145"/>
      <c r="J96" s="145"/>
      <c r="K96" s="145"/>
      <c r="L96" s="145"/>
      <c r="M96" s="145"/>
      <c r="N96" s="145"/>
      <c r="O96" s="145"/>
      <c r="P96" s="145"/>
      <c r="Q96" s="145"/>
      <c r="R96" s="145"/>
      <c r="S96" s="145"/>
      <c r="T96" s="145"/>
      <c r="U96" s="146"/>
    </row>
    <row r="97" spans="1:21" ht="97.5" customHeight="1" x14ac:dyDescent="0.2">
      <c r="B97" s="116" t="s">
        <v>54</v>
      </c>
      <c r="C97" s="57" t="s">
        <v>29</v>
      </c>
      <c r="D97" s="147" t="s">
        <v>172</v>
      </c>
      <c r="E97" s="148"/>
      <c r="F97" s="148"/>
      <c r="G97" s="148"/>
      <c r="H97" s="148"/>
      <c r="I97" s="148"/>
      <c r="J97" s="148"/>
      <c r="K97" s="148"/>
      <c r="L97" s="148"/>
      <c r="M97" s="148"/>
      <c r="N97" s="148"/>
      <c r="O97" s="148"/>
      <c r="P97" s="148"/>
      <c r="Q97" s="148"/>
      <c r="R97" s="148"/>
      <c r="S97" s="148"/>
      <c r="T97" s="148"/>
      <c r="U97" s="149"/>
    </row>
    <row r="98" spans="1:21" ht="97.5" customHeight="1" x14ac:dyDescent="0.2">
      <c r="B98" s="117"/>
      <c r="C98" s="60" t="s">
        <v>30</v>
      </c>
      <c r="D98" s="144" t="s">
        <v>160</v>
      </c>
      <c r="E98" s="145"/>
      <c r="F98" s="145"/>
      <c r="G98" s="145"/>
      <c r="H98" s="145"/>
      <c r="I98" s="145"/>
      <c r="J98" s="145"/>
      <c r="K98" s="145"/>
      <c r="L98" s="145"/>
      <c r="M98" s="145"/>
      <c r="N98" s="145"/>
      <c r="O98" s="145"/>
      <c r="P98" s="145"/>
      <c r="Q98" s="145"/>
      <c r="R98" s="145"/>
      <c r="S98" s="145"/>
      <c r="T98" s="145"/>
      <c r="U98" s="146"/>
    </row>
    <row r="99" spans="1:21" ht="105.75" customHeight="1" x14ac:dyDescent="0.2">
      <c r="B99" s="116" t="s">
        <v>55</v>
      </c>
      <c r="C99" s="59" t="s">
        <v>56</v>
      </c>
      <c r="D99" s="147" t="s">
        <v>176</v>
      </c>
      <c r="E99" s="148"/>
      <c r="F99" s="148"/>
      <c r="G99" s="148"/>
      <c r="H99" s="148"/>
      <c r="I99" s="148"/>
      <c r="J99" s="148"/>
      <c r="K99" s="148"/>
      <c r="L99" s="148"/>
      <c r="M99" s="148"/>
      <c r="N99" s="148"/>
      <c r="O99" s="148"/>
      <c r="P99" s="148"/>
      <c r="Q99" s="148"/>
      <c r="R99" s="148"/>
      <c r="S99" s="148"/>
      <c r="T99" s="148"/>
      <c r="U99" s="149"/>
    </row>
    <row r="100" spans="1:21" ht="85.5" customHeight="1" x14ac:dyDescent="0.2">
      <c r="B100" s="140"/>
      <c r="C100" s="62" t="s">
        <v>33</v>
      </c>
      <c r="D100" s="150" t="s">
        <v>151</v>
      </c>
      <c r="E100" s="151"/>
      <c r="F100" s="151"/>
      <c r="G100" s="151"/>
      <c r="H100" s="151"/>
      <c r="I100" s="151"/>
      <c r="J100" s="151"/>
      <c r="K100" s="151"/>
      <c r="L100" s="151"/>
      <c r="M100" s="151"/>
      <c r="N100" s="151"/>
      <c r="O100" s="151"/>
      <c r="P100" s="151"/>
      <c r="Q100" s="151"/>
      <c r="R100" s="151"/>
      <c r="S100" s="151"/>
      <c r="T100" s="151"/>
      <c r="U100" s="152"/>
    </row>
    <row r="101" spans="1:21" ht="97.5" customHeight="1" x14ac:dyDescent="0.2">
      <c r="B101" s="117"/>
      <c r="C101" s="61" t="s">
        <v>34</v>
      </c>
      <c r="D101" s="144" t="s">
        <v>173</v>
      </c>
      <c r="E101" s="145"/>
      <c r="F101" s="145"/>
      <c r="G101" s="145"/>
      <c r="H101" s="145"/>
      <c r="I101" s="145"/>
      <c r="J101" s="145"/>
      <c r="K101" s="145"/>
      <c r="L101" s="145"/>
      <c r="M101" s="145"/>
      <c r="N101" s="145"/>
      <c r="O101" s="145"/>
      <c r="P101" s="145"/>
      <c r="Q101" s="145"/>
      <c r="R101" s="145"/>
      <c r="S101" s="145"/>
      <c r="T101" s="145"/>
      <c r="U101" s="146"/>
    </row>
    <row r="102" spans="1:21" ht="6" customHeight="1" x14ac:dyDescent="0.2"/>
    <row r="103" spans="1:21" ht="18.75" customHeight="1" x14ac:dyDescent="0.2">
      <c r="A103" s="1" t="s">
        <v>57</v>
      </c>
    </row>
    <row r="104" spans="1:21" ht="81.75" customHeight="1" x14ac:dyDescent="0.2">
      <c r="B104" s="134" t="s">
        <v>179</v>
      </c>
      <c r="C104" s="135"/>
      <c r="D104" s="135"/>
      <c r="E104" s="135"/>
      <c r="F104" s="135"/>
      <c r="G104" s="135"/>
      <c r="H104" s="135"/>
      <c r="I104" s="135"/>
      <c r="J104" s="135"/>
      <c r="K104" s="135"/>
      <c r="L104" s="135"/>
      <c r="M104" s="135"/>
      <c r="N104" s="135"/>
      <c r="O104" s="135"/>
      <c r="P104" s="135"/>
      <c r="Q104" s="135"/>
      <c r="R104" s="135"/>
      <c r="S104" s="135"/>
      <c r="T104" s="135"/>
      <c r="U104" s="136"/>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2:J77 H71:J71"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6"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115" zoomScaleNormal="100" zoomScaleSheetLayoutView="115" workbookViewId="0"/>
  </sheetViews>
  <sheetFormatPr defaultColWidth="9" defaultRowHeight="18.75" customHeight="1" x14ac:dyDescent="0.2"/>
  <cols>
    <col min="1" max="1" width="2.77734375" style="1" customWidth="1"/>
    <col min="2" max="2" width="27.88671875" style="1" customWidth="1"/>
    <col min="3" max="18" width="6.109375" style="1" customWidth="1"/>
    <col min="19" max="19" width="6.77734375" style="1" customWidth="1"/>
    <col min="20" max="16384" width="9" style="1"/>
  </cols>
  <sheetData>
    <row r="1" spans="1:21" ht="18" customHeight="1" x14ac:dyDescent="0.2">
      <c r="A1" s="44"/>
      <c r="B1" s="44"/>
      <c r="C1" s="44"/>
      <c r="D1" s="44"/>
      <c r="E1" s="44"/>
      <c r="F1" s="44"/>
      <c r="G1" s="44"/>
      <c r="H1" s="44"/>
      <c r="I1" s="44"/>
      <c r="J1" s="44"/>
      <c r="K1" s="44"/>
      <c r="L1" s="44"/>
      <c r="M1" s="44"/>
      <c r="N1" s="44"/>
      <c r="O1" s="44"/>
      <c r="P1" s="44"/>
      <c r="Q1" s="44"/>
      <c r="R1" s="44"/>
      <c r="S1" s="44" t="s">
        <v>58</v>
      </c>
    </row>
    <row r="2" spans="1:21" ht="18" customHeight="1" x14ac:dyDescent="0.2">
      <c r="A2" s="44"/>
      <c r="B2" s="44"/>
      <c r="C2" s="44"/>
      <c r="D2" s="44"/>
      <c r="E2" s="44"/>
      <c r="F2" s="44"/>
      <c r="G2" s="44"/>
      <c r="H2" s="44"/>
      <c r="I2" s="44"/>
      <c r="J2" s="44"/>
      <c r="K2" s="44"/>
      <c r="L2" s="44"/>
      <c r="M2" s="44"/>
      <c r="N2" s="44"/>
      <c r="O2" s="44"/>
      <c r="P2" s="44"/>
      <c r="Q2" s="166" t="str">
        <f>'様式１　プログラムを構成する授業科目'!C2</f>
        <v>白鷗大学</v>
      </c>
      <c r="R2" s="166"/>
      <c r="S2" s="166"/>
    </row>
    <row r="3" spans="1:21" ht="18" customHeight="1" x14ac:dyDescent="0.2">
      <c r="A3" s="124" t="s">
        <v>59</v>
      </c>
      <c r="B3" s="124"/>
      <c r="C3" s="124"/>
      <c r="D3" s="124"/>
      <c r="E3" s="124"/>
      <c r="F3" s="124"/>
      <c r="G3" s="124"/>
      <c r="H3" s="124"/>
      <c r="I3" s="124"/>
      <c r="J3" s="124"/>
      <c r="K3" s="124"/>
      <c r="L3" s="124"/>
      <c r="M3" s="124"/>
      <c r="N3" s="124"/>
      <c r="O3" s="124"/>
      <c r="P3" s="124"/>
      <c r="Q3" s="124"/>
      <c r="R3" s="124"/>
      <c r="S3" s="124"/>
    </row>
    <row r="4" spans="1:21" ht="7.5" customHeight="1" x14ac:dyDescent="0.2">
      <c r="A4" s="46"/>
      <c r="B4" s="46"/>
      <c r="C4" s="46"/>
      <c r="D4" s="46"/>
      <c r="E4" s="46"/>
      <c r="F4" s="46"/>
      <c r="G4" s="46"/>
      <c r="H4" s="46"/>
      <c r="I4" s="46"/>
      <c r="J4" s="46"/>
      <c r="K4" s="46"/>
      <c r="L4" s="46"/>
      <c r="M4" s="46"/>
      <c r="N4" s="46"/>
      <c r="O4" s="46"/>
      <c r="P4" s="46"/>
      <c r="Q4" s="46"/>
      <c r="R4" s="46"/>
      <c r="S4" s="46"/>
    </row>
    <row r="5" spans="1:21" ht="18" customHeight="1" x14ac:dyDescent="0.2">
      <c r="A5" s="44" t="s">
        <v>60</v>
      </c>
      <c r="B5" s="44"/>
      <c r="C5" s="167" t="s">
        <v>157</v>
      </c>
      <c r="D5" s="168"/>
      <c r="E5" s="48" t="s">
        <v>61</v>
      </c>
      <c r="F5" s="46"/>
      <c r="G5" s="46"/>
      <c r="H5" s="46"/>
      <c r="I5" s="46"/>
      <c r="J5" s="46"/>
      <c r="K5" s="46"/>
      <c r="L5" s="46"/>
      <c r="M5" s="46"/>
      <c r="N5" s="46"/>
      <c r="O5" s="46"/>
      <c r="P5" s="46"/>
      <c r="Q5" s="46"/>
      <c r="R5" s="45"/>
      <c r="S5" s="45"/>
    </row>
    <row r="6" spans="1:21" ht="7.2" customHeight="1" x14ac:dyDescent="0.2">
      <c r="A6" s="44"/>
      <c r="B6" s="44"/>
      <c r="C6" s="66"/>
      <c r="D6" s="66"/>
      <c r="E6" s="46"/>
      <c r="F6" s="46"/>
      <c r="G6" s="46"/>
      <c r="H6" s="46"/>
      <c r="I6" s="46"/>
      <c r="J6" s="46"/>
      <c r="K6" s="46"/>
      <c r="L6" s="46"/>
      <c r="M6" s="46"/>
      <c r="N6" s="46"/>
      <c r="O6" s="46"/>
      <c r="P6" s="46"/>
      <c r="Q6" s="46"/>
      <c r="R6" s="45"/>
      <c r="S6" s="45"/>
    </row>
    <row r="7" spans="1:21" ht="18" customHeight="1" x14ac:dyDescent="0.2">
      <c r="A7" s="44" t="s">
        <v>62</v>
      </c>
      <c r="B7" s="44"/>
      <c r="C7" s="66"/>
      <c r="D7" s="66"/>
      <c r="E7" s="46" t="s">
        <v>63</v>
      </c>
      <c r="F7" s="85">
        <v>2877</v>
      </c>
      <c r="G7" s="48" t="s">
        <v>64</v>
      </c>
      <c r="H7" s="46" t="s">
        <v>65</v>
      </c>
      <c r="I7" s="85">
        <v>2361</v>
      </c>
      <c r="J7" s="48" t="s">
        <v>64</v>
      </c>
      <c r="K7" s="47" t="s">
        <v>66</v>
      </c>
      <c r="L7" s="46" t="s">
        <v>67</v>
      </c>
      <c r="M7" s="85">
        <f>F7+I7</f>
        <v>5238</v>
      </c>
      <c r="N7" s="46" t="s">
        <v>68</v>
      </c>
      <c r="O7" s="48" t="s">
        <v>69</v>
      </c>
      <c r="P7" s="46"/>
      <c r="Q7" s="46"/>
      <c r="R7" s="45"/>
      <c r="S7" s="45"/>
    </row>
    <row r="8" spans="1:21" ht="17.399999999999999" customHeight="1" x14ac:dyDescent="0.2">
      <c r="A8" s="46"/>
      <c r="B8" s="67" t="s">
        <v>70</v>
      </c>
      <c r="C8" s="46"/>
      <c r="D8" s="46"/>
      <c r="E8" s="46"/>
      <c r="F8" s="46"/>
      <c r="G8" s="46"/>
      <c r="H8" s="46"/>
      <c r="I8" s="46"/>
      <c r="J8" s="46"/>
      <c r="K8" s="46"/>
      <c r="L8" s="46"/>
      <c r="M8" s="46"/>
      <c r="N8" s="46"/>
      <c r="O8" s="46"/>
      <c r="P8" s="46"/>
      <c r="Q8" s="46"/>
      <c r="R8" s="46"/>
      <c r="S8" s="46"/>
    </row>
    <row r="9" spans="1:21" ht="18" customHeight="1" x14ac:dyDescent="0.2">
      <c r="A9" s="44" t="s">
        <v>71</v>
      </c>
      <c r="B9" s="46"/>
      <c r="C9" s="46"/>
      <c r="D9" s="46"/>
      <c r="E9" s="46"/>
      <c r="F9" s="46"/>
      <c r="G9" s="46"/>
      <c r="H9" s="46"/>
      <c r="I9" s="46"/>
      <c r="J9" s="46"/>
      <c r="K9" s="46"/>
      <c r="L9" s="46"/>
      <c r="M9" s="46"/>
      <c r="N9" s="46"/>
      <c r="O9" s="46"/>
      <c r="P9" s="46"/>
      <c r="Q9" s="46"/>
      <c r="R9" s="46"/>
      <c r="S9" s="46"/>
    </row>
    <row r="10" spans="1:21" ht="6" customHeight="1" x14ac:dyDescent="0.2">
      <c r="B10" s="3"/>
      <c r="C10" s="46"/>
      <c r="D10" s="46"/>
      <c r="E10" s="46"/>
      <c r="F10" s="46"/>
      <c r="G10" s="46"/>
      <c r="H10" s="46"/>
      <c r="I10" s="46"/>
      <c r="J10" s="46"/>
      <c r="K10" s="46"/>
      <c r="L10" s="46"/>
      <c r="M10" s="46"/>
      <c r="N10" s="46"/>
      <c r="O10" s="46"/>
      <c r="P10" s="3"/>
      <c r="Q10" s="3"/>
      <c r="R10" s="3"/>
      <c r="S10" s="3"/>
    </row>
    <row r="11" spans="1:21" ht="18" customHeight="1" x14ac:dyDescent="0.2">
      <c r="B11" s="169" t="s">
        <v>72</v>
      </c>
      <c r="C11" s="179" t="s">
        <v>73</v>
      </c>
      <c r="D11" s="171" t="s">
        <v>74</v>
      </c>
      <c r="E11" s="173" t="s">
        <v>75</v>
      </c>
      <c r="F11" s="165" t="s">
        <v>76</v>
      </c>
      <c r="G11" s="165"/>
      <c r="H11" s="165" t="s">
        <v>77</v>
      </c>
      <c r="I11" s="165"/>
      <c r="J11" s="165" t="s">
        <v>78</v>
      </c>
      <c r="K11" s="165"/>
      <c r="L11" s="165" t="s">
        <v>79</v>
      </c>
      <c r="M11" s="165"/>
      <c r="N11" s="165" t="s">
        <v>80</v>
      </c>
      <c r="O11" s="165"/>
      <c r="P11" s="181" t="s">
        <v>81</v>
      </c>
      <c r="Q11" s="181"/>
      <c r="R11" s="175" t="s">
        <v>82</v>
      </c>
      <c r="S11" s="177" t="s">
        <v>83</v>
      </c>
      <c r="U11" s="2"/>
    </row>
    <row r="12" spans="1:21" ht="16.95" customHeight="1" x14ac:dyDescent="0.2">
      <c r="B12" s="170"/>
      <c r="C12" s="180"/>
      <c r="D12" s="172"/>
      <c r="E12" s="174"/>
      <c r="F12" s="86" t="s">
        <v>84</v>
      </c>
      <c r="G12" s="86" t="s">
        <v>85</v>
      </c>
      <c r="H12" s="86" t="s">
        <v>84</v>
      </c>
      <c r="I12" s="86" t="s">
        <v>85</v>
      </c>
      <c r="J12" s="86" t="s">
        <v>84</v>
      </c>
      <c r="K12" s="86" t="s">
        <v>85</v>
      </c>
      <c r="L12" s="86" t="s">
        <v>84</v>
      </c>
      <c r="M12" s="86" t="s">
        <v>85</v>
      </c>
      <c r="N12" s="86" t="s">
        <v>84</v>
      </c>
      <c r="O12" s="86" t="s">
        <v>85</v>
      </c>
      <c r="P12" s="68" t="s">
        <v>84</v>
      </c>
      <c r="Q12" s="69" t="s">
        <v>85</v>
      </c>
      <c r="R12" s="176"/>
      <c r="S12" s="178"/>
      <c r="U12" s="2"/>
    </row>
    <row r="13" spans="1:21" ht="18" customHeight="1" x14ac:dyDescent="0.2">
      <c r="A13" s="5"/>
      <c r="B13" s="42" t="s">
        <v>148</v>
      </c>
      <c r="C13" s="87">
        <v>1942</v>
      </c>
      <c r="D13" s="88">
        <v>400</v>
      </c>
      <c r="E13" s="89">
        <v>1600</v>
      </c>
      <c r="F13" s="89">
        <v>96</v>
      </c>
      <c r="G13" s="89">
        <v>83</v>
      </c>
      <c r="H13" s="89"/>
      <c r="I13" s="89"/>
      <c r="J13" s="89"/>
      <c r="K13" s="89"/>
      <c r="L13" s="89"/>
      <c r="M13" s="89"/>
      <c r="N13" s="89"/>
      <c r="O13" s="89"/>
      <c r="P13" s="79"/>
      <c r="Q13" s="80"/>
      <c r="R13" s="31">
        <f t="shared" ref="R13:R32" si="0">F13+H13+J13+L13+N13+P13</f>
        <v>96</v>
      </c>
      <c r="S13" s="7">
        <f t="shared" ref="S13:S32" si="1">R13/E13</f>
        <v>0.06</v>
      </c>
    </row>
    <row r="14" spans="1:21" ht="18" customHeight="1" x14ac:dyDescent="0.2">
      <c r="A14" s="5"/>
      <c r="B14" s="10" t="s">
        <v>149</v>
      </c>
      <c r="C14" s="90">
        <v>1262</v>
      </c>
      <c r="D14" s="91">
        <v>270</v>
      </c>
      <c r="E14" s="92">
        <v>1080</v>
      </c>
      <c r="F14" s="93">
        <v>51</v>
      </c>
      <c r="G14" s="93">
        <v>45</v>
      </c>
      <c r="H14" s="93"/>
      <c r="I14" s="93"/>
      <c r="J14" s="93"/>
      <c r="K14" s="93"/>
      <c r="L14" s="93"/>
      <c r="M14" s="93"/>
      <c r="N14" s="93"/>
      <c r="O14" s="93"/>
      <c r="P14" s="82"/>
      <c r="Q14" s="81"/>
      <c r="R14" s="34">
        <f t="shared" si="0"/>
        <v>51</v>
      </c>
      <c r="S14" s="13">
        <f t="shared" si="1"/>
        <v>4.7222222222222221E-2</v>
      </c>
    </row>
    <row r="15" spans="1:21" ht="18" customHeight="1" x14ac:dyDescent="0.2">
      <c r="A15" s="5"/>
      <c r="B15" s="98" t="s">
        <v>167</v>
      </c>
      <c r="C15" s="90">
        <v>2034</v>
      </c>
      <c r="D15" s="91">
        <v>430</v>
      </c>
      <c r="E15" s="92">
        <v>1720</v>
      </c>
      <c r="F15" s="93">
        <v>18</v>
      </c>
      <c r="G15" s="93">
        <v>15</v>
      </c>
      <c r="H15" s="93"/>
      <c r="I15" s="93"/>
      <c r="J15" s="93"/>
      <c r="K15" s="93"/>
      <c r="L15" s="93"/>
      <c r="M15" s="93"/>
      <c r="N15" s="93"/>
      <c r="O15" s="93"/>
      <c r="P15" s="82"/>
      <c r="Q15" s="81"/>
      <c r="R15" s="34">
        <f t="shared" si="0"/>
        <v>18</v>
      </c>
      <c r="S15" s="7">
        <f t="shared" si="1"/>
        <v>1.0465116279069767E-2</v>
      </c>
    </row>
    <row r="16" spans="1:21" ht="18" customHeight="1" x14ac:dyDescent="0.2">
      <c r="A16" s="5"/>
      <c r="B16" s="10"/>
      <c r="C16" s="33"/>
      <c r="D16" s="34"/>
      <c r="E16" s="35"/>
      <c r="F16" s="36"/>
      <c r="G16" s="36"/>
      <c r="H16" s="36"/>
      <c r="I16" s="36"/>
      <c r="J16" s="36"/>
      <c r="K16" s="36"/>
      <c r="L16" s="36"/>
      <c r="M16" s="36"/>
      <c r="N16" s="36"/>
      <c r="O16" s="36"/>
      <c r="P16" s="36"/>
      <c r="Q16" s="33"/>
      <c r="R16" s="34">
        <f t="shared" si="0"/>
        <v>0</v>
      </c>
      <c r="S16" s="7" t="e">
        <f t="shared" si="1"/>
        <v>#DIV/0!</v>
      </c>
    </row>
    <row r="17" spans="1:19" ht="18" customHeight="1" x14ac:dyDescent="0.2">
      <c r="A17" s="5"/>
      <c r="B17" s="10"/>
      <c r="C17" s="33"/>
      <c r="D17" s="34"/>
      <c r="E17" s="35"/>
      <c r="F17" s="36"/>
      <c r="G17" s="36"/>
      <c r="H17" s="36"/>
      <c r="I17" s="36"/>
      <c r="J17" s="36"/>
      <c r="K17" s="36"/>
      <c r="L17" s="36"/>
      <c r="M17" s="36"/>
      <c r="N17" s="36"/>
      <c r="O17" s="36"/>
      <c r="P17" s="36"/>
      <c r="Q17" s="33"/>
      <c r="R17" s="34">
        <f t="shared" si="0"/>
        <v>0</v>
      </c>
      <c r="S17" s="7" t="e">
        <f t="shared" si="1"/>
        <v>#DIV/0!</v>
      </c>
    </row>
    <row r="18" spans="1:19" ht="18" customHeight="1" x14ac:dyDescent="0.2">
      <c r="A18" s="5"/>
      <c r="B18" s="10"/>
      <c r="C18" s="33"/>
      <c r="D18" s="34"/>
      <c r="E18" s="35"/>
      <c r="F18" s="36"/>
      <c r="G18" s="36"/>
      <c r="H18" s="36"/>
      <c r="I18" s="36"/>
      <c r="J18" s="36"/>
      <c r="K18" s="36"/>
      <c r="L18" s="36"/>
      <c r="M18" s="36"/>
      <c r="N18" s="36"/>
      <c r="O18" s="36"/>
      <c r="P18" s="36"/>
      <c r="Q18" s="33"/>
      <c r="R18" s="34">
        <f t="shared" si="0"/>
        <v>0</v>
      </c>
      <c r="S18" s="7" t="e">
        <f t="shared" si="1"/>
        <v>#DIV/0!</v>
      </c>
    </row>
    <row r="19" spans="1:19" ht="18" customHeight="1" x14ac:dyDescent="0.2">
      <c r="A19" s="5"/>
      <c r="B19" s="10"/>
      <c r="C19" s="33"/>
      <c r="D19" s="34"/>
      <c r="E19" s="35"/>
      <c r="F19" s="36"/>
      <c r="G19" s="36"/>
      <c r="H19" s="36"/>
      <c r="I19" s="36"/>
      <c r="J19" s="36"/>
      <c r="K19" s="36"/>
      <c r="L19" s="36"/>
      <c r="M19" s="36"/>
      <c r="N19" s="36"/>
      <c r="O19" s="36"/>
      <c r="P19" s="36"/>
      <c r="Q19" s="33"/>
      <c r="R19" s="34">
        <f t="shared" si="0"/>
        <v>0</v>
      </c>
      <c r="S19" s="7" t="e">
        <f t="shared" si="1"/>
        <v>#DIV/0!</v>
      </c>
    </row>
    <row r="20" spans="1:19" ht="18" customHeight="1" x14ac:dyDescent="0.2">
      <c r="A20" s="5"/>
      <c r="B20" s="10"/>
      <c r="C20" s="33"/>
      <c r="D20" s="34"/>
      <c r="E20" s="35"/>
      <c r="F20" s="36"/>
      <c r="G20" s="36"/>
      <c r="H20" s="36"/>
      <c r="I20" s="36"/>
      <c r="J20" s="36"/>
      <c r="K20" s="36"/>
      <c r="L20" s="36"/>
      <c r="M20" s="36"/>
      <c r="N20" s="36"/>
      <c r="O20" s="36"/>
      <c r="P20" s="36"/>
      <c r="Q20" s="33"/>
      <c r="R20" s="34">
        <f t="shared" si="0"/>
        <v>0</v>
      </c>
      <c r="S20" s="7" t="e">
        <f t="shared" si="1"/>
        <v>#DIV/0!</v>
      </c>
    </row>
    <row r="21" spans="1:19" ht="18" customHeight="1" x14ac:dyDescent="0.2">
      <c r="A21" s="5"/>
      <c r="B21" s="10"/>
      <c r="C21" s="33"/>
      <c r="D21" s="34"/>
      <c r="E21" s="35"/>
      <c r="F21" s="36"/>
      <c r="G21" s="36"/>
      <c r="H21" s="36"/>
      <c r="I21" s="36"/>
      <c r="J21" s="36"/>
      <c r="K21" s="36"/>
      <c r="L21" s="36"/>
      <c r="M21" s="36"/>
      <c r="N21" s="36"/>
      <c r="O21" s="36"/>
      <c r="P21" s="36"/>
      <c r="Q21" s="33"/>
      <c r="R21" s="34">
        <f t="shared" si="0"/>
        <v>0</v>
      </c>
      <c r="S21" s="7" t="e">
        <f t="shared" si="1"/>
        <v>#DIV/0!</v>
      </c>
    </row>
    <row r="22" spans="1:19" ht="18" customHeight="1" x14ac:dyDescent="0.2">
      <c r="A22" s="5"/>
      <c r="B22" s="10"/>
      <c r="C22" s="33"/>
      <c r="D22" s="34"/>
      <c r="E22" s="35"/>
      <c r="F22" s="36"/>
      <c r="G22" s="36"/>
      <c r="H22" s="36"/>
      <c r="I22" s="36"/>
      <c r="J22" s="36"/>
      <c r="K22" s="36"/>
      <c r="L22" s="36"/>
      <c r="M22" s="36"/>
      <c r="N22" s="36"/>
      <c r="O22" s="36"/>
      <c r="P22" s="36"/>
      <c r="Q22" s="33"/>
      <c r="R22" s="34">
        <f t="shared" si="0"/>
        <v>0</v>
      </c>
      <c r="S22" s="7" t="e">
        <f t="shared" si="1"/>
        <v>#DIV/0!</v>
      </c>
    </row>
    <row r="23" spans="1:19" ht="18" customHeight="1" x14ac:dyDescent="0.2">
      <c r="A23" s="5"/>
      <c r="B23" s="10"/>
      <c r="C23" s="33"/>
      <c r="D23" s="34"/>
      <c r="E23" s="35"/>
      <c r="F23" s="36"/>
      <c r="G23" s="36"/>
      <c r="H23" s="36"/>
      <c r="I23" s="36"/>
      <c r="J23" s="36"/>
      <c r="K23" s="36"/>
      <c r="L23" s="36"/>
      <c r="M23" s="36"/>
      <c r="N23" s="36"/>
      <c r="O23" s="36"/>
      <c r="P23" s="36"/>
      <c r="Q23" s="33"/>
      <c r="R23" s="34">
        <f t="shared" si="0"/>
        <v>0</v>
      </c>
      <c r="S23" s="7" t="e">
        <f t="shared" si="1"/>
        <v>#DIV/0!</v>
      </c>
    </row>
    <row r="24" spans="1:19" ht="18" customHeight="1" x14ac:dyDescent="0.2">
      <c r="A24" s="5"/>
      <c r="B24" s="10"/>
      <c r="C24" s="33"/>
      <c r="D24" s="34"/>
      <c r="E24" s="35"/>
      <c r="F24" s="36"/>
      <c r="G24" s="36"/>
      <c r="H24" s="36"/>
      <c r="I24" s="36"/>
      <c r="J24" s="36"/>
      <c r="K24" s="36"/>
      <c r="L24" s="36"/>
      <c r="M24" s="36"/>
      <c r="N24" s="36"/>
      <c r="O24" s="36"/>
      <c r="P24" s="36"/>
      <c r="Q24" s="33"/>
      <c r="R24" s="34">
        <f t="shared" si="0"/>
        <v>0</v>
      </c>
      <c r="S24" s="7" t="e">
        <f t="shared" si="1"/>
        <v>#DIV/0!</v>
      </c>
    </row>
    <row r="25" spans="1:19" ht="18" customHeight="1" x14ac:dyDescent="0.2">
      <c r="A25" s="5"/>
      <c r="B25" s="10"/>
      <c r="C25" s="33"/>
      <c r="D25" s="34"/>
      <c r="E25" s="35"/>
      <c r="F25" s="36"/>
      <c r="G25" s="36"/>
      <c r="H25" s="36"/>
      <c r="I25" s="36"/>
      <c r="J25" s="36"/>
      <c r="K25" s="36"/>
      <c r="L25" s="36"/>
      <c r="M25" s="36"/>
      <c r="N25" s="36"/>
      <c r="O25" s="36"/>
      <c r="P25" s="36"/>
      <c r="Q25" s="33"/>
      <c r="R25" s="34">
        <f t="shared" si="0"/>
        <v>0</v>
      </c>
      <c r="S25" s="7" t="e">
        <f t="shared" si="1"/>
        <v>#DIV/0!</v>
      </c>
    </row>
    <row r="26" spans="1:19" ht="18" customHeight="1" x14ac:dyDescent="0.2">
      <c r="A26" s="5"/>
      <c r="B26" s="10"/>
      <c r="C26" s="33"/>
      <c r="D26" s="34"/>
      <c r="E26" s="35"/>
      <c r="F26" s="36"/>
      <c r="G26" s="36"/>
      <c r="H26" s="36"/>
      <c r="I26" s="36"/>
      <c r="J26" s="36"/>
      <c r="K26" s="36"/>
      <c r="L26" s="36"/>
      <c r="M26" s="36"/>
      <c r="N26" s="36"/>
      <c r="O26" s="36"/>
      <c r="P26" s="36"/>
      <c r="Q26" s="33"/>
      <c r="R26" s="34">
        <f t="shared" si="0"/>
        <v>0</v>
      </c>
      <c r="S26" s="7" t="e">
        <f t="shared" si="1"/>
        <v>#DIV/0!</v>
      </c>
    </row>
    <row r="27" spans="1:19" ht="18" customHeight="1" x14ac:dyDescent="0.2">
      <c r="A27" s="5"/>
      <c r="B27" s="10"/>
      <c r="C27" s="33"/>
      <c r="D27" s="34"/>
      <c r="E27" s="35"/>
      <c r="F27" s="36"/>
      <c r="G27" s="36"/>
      <c r="H27" s="36"/>
      <c r="I27" s="36"/>
      <c r="J27" s="36"/>
      <c r="K27" s="36"/>
      <c r="L27" s="36"/>
      <c r="M27" s="36"/>
      <c r="N27" s="36"/>
      <c r="O27" s="36"/>
      <c r="P27" s="36"/>
      <c r="Q27" s="33"/>
      <c r="R27" s="34">
        <f t="shared" si="0"/>
        <v>0</v>
      </c>
      <c r="S27" s="7" t="e">
        <f t="shared" si="1"/>
        <v>#DIV/0!</v>
      </c>
    </row>
    <row r="28" spans="1:19" ht="18" customHeight="1" x14ac:dyDescent="0.2">
      <c r="A28" s="5"/>
      <c r="B28" s="10"/>
      <c r="C28" s="33"/>
      <c r="D28" s="34"/>
      <c r="E28" s="35"/>
      <c r="F28" s="36"/>
      <c r="G28" s="36"/>
      <c r="H28" s="36"/>
      <c r="I28" s="36"/>
      <c r="J28" s="36"/>
      <c r="K28" s="36"/>
      <c r="L28" s="36"/>
      <c r="M28" s="36"/>
      <c r="N28" s="36"/>
      <c r="O28" s="36"/>
      <c r="P28" s="36"/>
      <c r="Q28" s="33"/>
      <c r="R28" s="34">
        <f t="shared" si="0"/>
        <v>0</v>
      </c>
      <c r="S28" s="7" t="e">
        <f t="shared" si="1"/>
        <v>#DIV/0!</v>
      </c>
    </row>
    <row r="29" spans="1:19" ht="18" customHeight="1" x14ac:dyDescent="0.2">
      <c r="A29" s="5"/>
      <c r="B29" s="10"/>
      <c r="C29" s="33"/>
      <c r="D29" s="34"/>
      <c r="E29" s="35"/>
      <c r="F29" s="36"/>
      <c r="G29" s="36"/>
      <c r="H29" s="36"/>
      <c r="I29" s="36"/>
      <c r="J29" s="36"/>
      <c r="K29" s="36"/>
      <c r="L29" s="36"/>
      <c r="M29" s="36"/>
      <c r="N29" s="36"/>
      <c r="O29" s="36"/>
      <c r="P29" s="36"/>
      <c r="Q29" s="33"/>
      <c r="R29" s="34">
        <f t="shared" si="0"/>
        <v>0</v>
      </c>
      <c r="S29" s="7" t="e">
        <f t="shared" si="1"/>
        <v>#DIV/0!</v>
      </c>
    </row>
    <row r="30" spans="1:19" ht="18" customHeight="1" x14ac:dyDescent="0.2">
      <c r="A30" s="5"/>
      <c r="B30" s="10"/>
      <c r="C30" s="33"/>
      <c r="D30" s="37"/>
      <c r="E30" s="35"/>
      <c r="F30" s="36"/>
      <c r="G30" s="36"/>
      <c r="H30" s="36"/>
      <c r="I30" s="36"/>
      <c r="J30" s="36"/>
      <c r="K30" s="36"/>
      <c r="L30" s="36"/>
      <c r="M30" s="36"/>
      <c r="N30" s="36"/>
      <c r="O30" s="36"/>
      <c r="P30" s="36"/>
      <c r="Q30" s="33"/>
      <c r="R30" s="37">
        <f t="shared" si="0"/>
        <v>0</v>
      </c>
      <c r="S30" s="7" t="e">
        <f t="shared" si="1"/>
        <v>#DIV/0!</v>
      </c>
    </row>
    <row r="31" spans="1:19" ht="18" customHeight="1" x14ac:dyDescent="0.2">
      <c r="A31" s="5"/>
      <c r="B31" s="10"/>
      <c r="C31" s="33"/>
      <c r="D31" s="37"/>
      <c r="E31" s="35"/>
      <c r="F31" s="36"/>
      <c r="G31" s="36"/>
      <c r="H31" s="36"/>
      <c r="I31" s="36"/>
      <c r="J31" s="36"/>
      <c r="K31" s="36"/>
      <c r="L31" s="36"/>
      <c r="M31" s="36"/>
      <c r="N31" s="36"/>
      <c r="O31" s="36"/>
      <c r="P31" s="36"/>
      <c r="Q31" s="33"/>
      <c r="R31" s="37">
        <f t="shared" si="0"/>
        <v>0</v>
      </c>
      <c r="S31" s="7" t="e">
        <f t="shared" si="1"/>
        <v>#DIV/0!</v>
      </c>
    </row>
    <row r="32" spans="1:19" ht="18" customHeight="1" thickBot="1" x14ac:dyDescent="0.25">
      <c r="A32" s="5"/>
      <c r="B32" s="11"/>
      <c r="C32" s="30"/>
      <c r="D32" s="38"/>
      <c r="E32" s="32"/>
      <c r="F32" s="32"/>
      <c r="G32" s="32"/>
      <c r="H32" s="32"/>
      <c r="I32" s="32"/>
      <c r="J32" s="32"/>
      <c r="K32" s="32"/>
      <c r="L32" s="32"/>
      <c r="M32" s="32"/>
      <c r="N32" s="32"/>
      <c r="O32" s="32"/>
      <c r="P32" s="32"/>
      <c r="Q32" s="33"/>
      <c r="R32" s="38">
        <f t="shared" si="0"/>
        <v>0</v>
      </c>
      <c r="S32" s="6" t="e">
        <f t="shared" si="1"/>
        <v>#DIV/0!</v>
      </c>
    </row>
    <row r="33" spans="2:19" ht="18" customHeight="1" thickTop="1" x14ac:dyDescent="0.2">
      <c r="B33" s="12" t="s">
        <v>86</v>
      </c>
      <c r="C33" s="39">
        <f t="shared" ref="C33" si="2">SUM(C13:C32)</f>
        <v>5238</v>
      </c>
      <c r="D33" s="40">
        <f t="shared" ref="D33:R33" si="3">SUM(D13:D32)</f>
        <v>1100</v>
      </c>
      <c r="E33" s="41">
        <f t="shared" si="3"/>
        <v>4400</v>
      </c>
      <c r="F33" s="41">
        <f t="shared" si="3"/>
        <v>165</v>
      </c>
      <c r="G33" s="41">
        <f t="shared" ref="G33:H33" si="4">SUM(G13:G32)</f>
        <v>143</v>
      </c>
      <c r="H33" s="41">
        <f t="shared" si="4"/>
        <v>0</v>
      </c>
      <c r="I33" s="41">
        <f t="shared" ref="I33:J33" si="5">SUM(I13:I32)</f>
        <v>0</v>
      </c>
      <c r="J33" s="41">
        <f t="shared" si="5"/>
        <v>0</v>
      </c>
      <c r="K33" s="41">
        <f t="shared" ref="K33:O33" si="6">SUM(K13:K32)</f>
        <v>0</v>
      </c>
      <c r="L33" s="41">
        <f t="shared" si="6"/>
        <v>0</v>
      </c>
      <c r="M33" s="41">
        <f t="shared" si="6"/>
        <v>0</v>
      </c>
      <c r="N33" s="41">
        <f t="shared" si="6"/>
        <v>0</v>
      </c>
      <c r="O33" s="41">
        <f t="shared" si="6"/>
        <v>0</v>
      </c>
      <c r="P33" s="41">
        <f t="shared" ref="P33:Q33" si="7">SUM(P13:P32)</f>
        <v>0</v>
      </c>
      <c r="Q33" s="39">
        <f t="shared" si="7"/>
        <v>0</v>
      </c>
      <c r="R33" s="40">
        <f t="shared" si="3"/>
        <v>165</v>
      </c>
      <c r="S33" s="8">
        <f>R33/E33</f>
        <v>3.7499999999999999E-2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4"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145" zoomScaleNormal="100" zoomScaleSheetLayoutView="145" workbookViewId="0"/>
  </sheetViews>
  <sheetFormatPr defaultColWidth="11.21875" defaultRowHeight="18.75" customHeight="1" x14ac:dyDescent="0.2"/>
  <cols>
    <col min="1" max="1" width="2.77734375" style="16" customWidth="1"/>
    <col min="2" max="2" width="16.77734375" style="1" customWidth="1"/>
    <col min="3" max="3" width="8.88671875" style="1" customWidth="1"/>
    <col min="4" max="4" width="2.21875" style="1" customWidth="1"/>
    <col min="5" max="5" width="16.77734375" style="1" customWidth="1"/>
    <col min="6" max="6" width="4.21875" style="1" customWidth="1"/>
    <col min="7" max="7" width="9" style="1" customWidth="1"/>
    <col min="8" max="8" width="16.77734375" style="1" customWidth="1"/>
    <col min="9" max="9" width="12.109375" style="1" customWidth="1"/>
    <col min="10" max="16384" width="11.21875" style="1"/>
  </cols>
  <sheetData>
    <row r="1" spans="1:9" ht="18.75" customHeight="1" x14ac:dyDescent="0.2">
      <c r="A1" s="16" t="s">
        <v>87</v>
      </c>
      <c r="I1" s="73" t="s">
        <v>88</v>
      </c>
    </row>
    <row r="2" spans="1:9" ht="18.75" customHeight="1" x14ac:dyDescent="0.2">
      <c r="G2" s="73" t="s">
        <v>2</v>
      </c>
      <c r="H2" s="113" t="str">
        <f>'様式１　プログラムを構成する授業科目'!C2</f>
        <v>白鷗大学</v>
      </c>
      <c r="I2" s="115"/>
    </row>
    <row r="3" spans="1:9" ht="18.75" customHeight="1" x14ac:dyDescent="0.2">
      <c r="G3" s="73"/>
      <c r="H3" s="9"/>
      <c r="I3" s="9"/>
    </row>
    <row r="4" spans="1:9" ht="18.600000000000001" customHeight="1" x14ac:dyDescent="0.2">
      <c r="A4" s="124" t="s">
        <v>89</v>
      </c>
      <c r="B4" s="124"/>
      <c r="C4" s="124"/>
      <c r="D4" s="124"/>
      <c r="E4" s="124"/>
      <c r="F4" s="124"/>
      <c r="G4" s="124"/>
      <c r="H4" s="124"/>
      <c r="I4" s="124"/>
    </row>
    <row r="5" spans="1:9" ht="13.2" customHeight="1" x14ac:dyDescent="0.2">
      <c r="B5" s="3"/>
      <c r="C5" s="3"/>
      <c r="D5" s="3"/>
      <c r="E5" s="3"/>
      <c r="F5" s="3"/>
      <c r="G5" s="3"/>
      <c r="H5" s="3"/>
      <c r="I5" s="3"/>
    </row>
    <row r="6" spans="1:9" ht="18" customHeight="1" x14ac:dyDescent="0.2">
      <c r="A6" s="1" t="s">
        <v>90</v>
      </c>
      <c r="B6" s="9" t="s">
        <v>91</v>
      </c>
      <c r="C6" s="214" t="s">
        <v>92</v>
      </c>
      <c r="D6" s="214"/>
      <c r="E6" s="14">
        <v>122</v>
      </c>
      <c r="F6" s="3" t="s">
        <v>68</v>
      </c>
      <c r="G6" s="3" t="s">
        <v>93</v>
      </c>
      <c r="H6" s="14">
        <v>125</v>
      </c>
      <c r="I6" s="9" t="s">
        <v>68</v>
      </c>
    </row>
    <row r="7" spans="1:9" ht="12" customHeight="1" x14ac:dyDescent="0.2">
      <c r="B7" s="44"/>
      <c r="C7" s="95"/>
      <c r="D7" s="95"/>
      <c r="E7" s="95"/>
      <c r="F7" s="95"/>
      <c r="G7" s="95"/>
      <c r="H7" s="95"/>
      <c r="I7" s="96"/>
    </row>
    <row r="8" spans="1:9" ht="18" customHeight="1" x14ac:dyDescent="0.2">
      <c r="A8" s="1" t="s">
        <v>94</v>
      </c>
      <c r="B8" s="48" t="s">
        <v>95</v>
      </c>
      <c r="C8" s="44"/>
      <c r="D8" s="44"/>
      <c r="E8" s="46"/>
      <c r="F8" s="46"/>
      <c r="G8" s="46"/>
      <c r="H8" s="83">
        <v>2</v>
      </c>
      <c r="I8" s="48" t="s">
        <v>68</v>
      </c>
    </row>
    <row r="9" spans="1:9" ht="9" customHeight="1" x14ac:dyDescent="0.2">
      <c r="B9" s="46"/>
      <c r="C9" s="46"/>
      <c r="D9" s="46"/>
      <c r="E9" s="46"/>
      <c r="F9" s="46"/>
      <c r="G9" s="46"/>
      <c r="H9" s="46"/>
      <c r="I9" s="46"/>
    </row>
    <row r="10" spans="1:9" ht="18" customHeight="1" x14ac:dyDescent="0.2">
      <c r="A10" s="1" t="s">
        <v>96</v>
      </c>
      <c r="B10" s="48" t="s">
        <v>97</v>
      </c>
      <c r="C10" s="46"/>
      <c r="D10" s="46"/>
      <c r="E10" s="46"/>
      <c r="F10" s="46"/>
      <c r="G10" s="46"/>
      <c r="H10" s="46"/>
      <c r="I10" s="46"/>
    </row>
    <row r="11" spans="1:9" ht="18" customHeight="1" x14ac:dyDescent="0.2">
      <c r="B11" s="47" t="s">
        <v>98</v>
      </c>
      <c r="C11" s="209" t="s">
        <v>152</v>
      </c>
      <c r="D11" s="210"/>
      <c r="E11" s="211"/>
      <c r="F11" s="96"/>
      <c r="G11" s="47" t="s">
        <v>99</v>
      </c>
      <c r="H11" s="212" t="s">
        <v>156</v>
      </c>
      <c r="I11" s="213"/>
    </row>
    <row r="12" spans="1:9" ht="10.199999999999999" customHeight="1" x14ac:dyDescent="0.2">
      <c r="B12" s="47"/>
      <c r="C12" s="48"/>
      <c r="D12" s="96"/>
      <c r="E12" s="96"/>
      <c r="F12" s="96"/>
      <c r="G12" s="47"/>
      <c r="H12" s="48"/>
      <c r="I12" s="96"/>
    </row>
    <row r="13" spans="1:9" ht="18" customHeight="1" x14ac:dyDescent="0.2">
      <c r="A13" s="1" t="s">
        <v>100</v>
      </c>
      <c r="B13" s="48" t="s">
        <v>101</v>
      </c>
      <c r="C13" s="46"/>
      <c r="D13" s="46"/>
      <c r="E13" s="46"/>
      <c r="F13" s="46"/>
      <c r="G13" s="46"/>
      <c r="H13" s="46"/>
      <c r="I13" s="46"/>
    </row>
    <row r="14" spans="1:9" ht="18" customHeight="1" x14ac:dyDescent="0.2">
      <c r="B14" s="206" t="s">
        <v>158</v>
      </c>
      <c r="C14" s="207"/>
      <c r="D14" s="207"/>
      <c r="E14" s="207"/>
      <c r="F14" s="207"/>
      <c r="G14" s="207"/>
      <c r="H14" s="207"/>
      <c r="I14" s="208"/>
    </row>
    <row r="15" spans="1:9" ht="9" customHeight="1" x14ac:dyDescent="0.2">
      <c r="B15" s="97"/>
      <c r="C15" s="46"/>
      <c r="D15" s="46"/>
      <c r="E15" s="46"/>
      <c r="F15" s="46"/>
      <c r="G15" s="46"/>
      <c r="H15" s="46"/>
      <c r="I15" s="46"/>
    </row>
    <row r="16" spans="1:9" ht="18" customHeight="1" x14ac:dyDescent="0.2">
      <c r="B16" s="47" t="s">
        <v>98</v>
      </c>
      <c r="C16" s="209" t="s">
        <v>152</v>
      </c>
      <c r="D16" s="210"/>
      <c r="E16" s="211"/>
      <c r="F16" s="96"/>
      <c r="G16" s="47" t="s">
        <v>99</v>
      </c>
      <c r="H16" s="212" t="s">
        <v>156</v>
      </c>
      <c r="I16" s="213"/>
    </row>
    <row r="17" spans="1:9" ht="18" customHeight="1" x14ac:dyDescent="0.2">
      <c r="B17" s="46"/>
      <c r="C17" s="46"/>
      <c r="D17" s="46"/>
      <c r="E17" s="46"/>
      <c r="F17" s="46"/>
      <c r="G17" s="46"/>
      <c r="H17" s="46"/>
      <c r="I17" s="46"/>
    </row>
    <row r="18" spans="1:9" ht="18.75" customHeight="1" x14ac:dyDescent="0.2">
      <c r="A18" s="1" t="s">
        <v>102</v>
      </c>
      <c r="B18" s="44" t="s">
        <v>103</v>
      </c>
      <c r="C18" s="44"/>
      <c r="D18" s="44"/>
      <c r="E18" s="44"/>
      <c r="F18" s="44"/>
      <c r="G18" s="44"/>
      <c r="H18" s="44"/>
      <c r="I18" s="46"/>
    </row>
    <row r="19" spans="1:9" ht="18.75" customHeight="1" x14ac:dyDescent="0.2">
      <c r="A19" s="1"/>
      <c r="B19" s="183" t="s">
        <v>153</v>
      </c>
      <c r="C19" s="184"/>
      <c r="D19" s="184"/>
      <c r="E19" s="184"/>
      <c r="F19" s="184"/>
      <c r="G19" s="184"/>
      <c r="H19" s="184"/>
      <c r="I19" s="185"/>
    </row>
    <row r="20" spans="1:9" ht="7.5" customHeight="1" x14ac:dyDescent="0.2">
      <c r="B20" s="46"/>
      <c r="C20" s="46"/>
      <c r="D20" s="46"/>
      <c r="E20" s="46"/>
      <c r="F20" s="46"/>
      <c r="G20" s="46"/>
      <c r="H20" s="46"/>
      <c r="I20" s="46"/>
    </row>
    <row r="21" spans="1:9" ht="18.75" customHeight="1" x14ac:dyDescent="0.2">
      <c r="A21" s="1" t="s">
        <v>104</v>
      </c>
      <c r="B21" s="44" t="s">
        <v>105</v>
      </c>
      <c r="C21" s="44"/>
      <c r="D21" s="44"/>
      <c r="E21" s="44"/>
      <c r="F21" s="44"/>
      <c r="G21" s="44"/>
      <c r="H21" s="44"/>
      <c r="I21" s="44"/>
    </row>
    <row r="22" spans="1:9" ht="18.75" customHeight="1" x14ac:dyDescent="0.2">
      <c r="A22" s="76"/>
      <c r="B22" s="186" t="s">
        <v>180</v>
      </c>
      <c r="C22" s="187"/>
      <c r="D22" s="187"/>
      <c r="E22" s="187"/>
      <c r="F22" s="187"/>
      <c r="G22" s="187"/>
      <c r="H22" s="187"/>
      <c r="I22" s="188"/>
    </row>
    <row r="23" spans="1:9" ht="18.75" customHeight="1" x14ac:dyDescent="0.2">
      <c r="A23" s="76"/>
      <c r="B23" s="189"/>
      <c r="C23" s="190"/>
      <c r="D23" s="190"/>
      <c r="E23" s="190"/>
      <c r="F23" s="190"/>
      <c r="G23" s="190"/>
      <c r="H23" s="190"/>
      <c r="I23" s="191"/>
    </row>
    <row r="24" spans="1:9" ht="18.75" customHeight="1" x14ac:dyDescent="0.2">
      <c r="A24" s="76"/>
      <c r="B24" s="189"/>
      <c r="C24" s="190"/>
      <c r="D24" s="190"/>
      <c r="E24" s="190"/>
      <c r="F24" s="190"/>
      <c r="G24" s="190"/>
      <c r="H24" s="190"/>
      <c r="I24" s="191"/>
    </row>
    <row r="25" spans="1:9" ht="18.75" customHeight="1" x14ac:dyDescent="0.2">
      <c r="A25" s="76"/>
      <c r="B25" s="189"/>
      <c r="C25" s="190"/>
      <c r="D25" s="190"/>
      <c r="E25" s="190"/>
      <c r="F25" s="190"/>
      <c r="G25" s="190"/>
      <c r="H25" s="190"/>
      <c r="I25" s="191"/>
    </row>
    <row r="26" spans="1:9" ht="18.75" customHeight="1" x14ac:dyDescent="0.2">
      <c r="A26" s="76"/>
      <c r="B26" s="189"/>
      <c r="C26" s="190"/>
      <c r="D26" s="190"/>
      <c r="E26" s="190"/>
      <c r="F26" s="190"/>
      <c r="G26" s="190"/>
      <c r="H26" s="190"/>
      <c r="I26" s="191"/>
    </row>
    <row r="27" spans="1:9" ht="18.75" customHeight="1" x14ac:dyDescent="0.2">
      <c r="A27" s="76"/>
      <c r="B27" s="189"/>
      <c r="C27" s="190"/>
      <c r="D27" s="190"/>
      <c r="E27" s="190"/>
      <c r="F27" s="190"/>
      <c r="G27" s="190"/>
      <c r="H27" s="190"/>
      <c r="I27" s="191"/>
    </row>
    <row r="28" spans="1:9" ht="18.75" customHeight="1" x14ac:dyDescent="0.2">
      <c r="A28" s="76"/>
      <c r="B28" s="189"/>
      <c r="C28" s="190"/>
      <c r="D28" s="190"/>
      <c r="E28" s="190"/>
      <c r="F28" s="190"/>
      <c r="G28" s="190"/>
      <c r="H28" s="190"/>
      <c r="I28" s="191"/>
    </row>
    <row r="29" spans="1:9" ht="18.75" customHeight="1" x14ac:dyDescent="0.2">
      <c r="A29" s="76"/>
      <c r="B29" s="189"/>
      <c r="C29" s="190"/>
      <c r="D29" s="190"/>
      <c r="E29" s="190"/>
      <c r="F29" s="190"/>
      <c r="G29" s="190"/>
      <c r="H29" s="190"/>
      <c r="I29" s="191"/>
    </row>
    <row r="30" spans="1:9" ht="18.75" customHeight="1" x14ac:dyDescent="0.2">
      <c r="A30" s="76"/>
      <c r="B30" s="192"/>
      <c r="C30" s="193"/>
      <c r="D30" s="193"/>
      <c r="E30" s="193"/>
      <c r="F30" s="193"/>
      <c r="G30" s="193"/>
      <c r="H30" s="193"/>
      <c r="I30" s="191"/>
    </row>
    <row r="31" spans="1:9" ht="18.75" customHeight="1" x14ac:dyDescent="0.2">
      <c r="A31" s="76"/>
      <c r="B31" s="192"/>
      <c r="C31" s="193"/>
      <c r="D31" s="193"/>
      <c r="E31" s="193"/>
      <c r="F31" s="193"/>
      <c r="G31" s="193"/>
      <c r="H31" s="193"/>
      <c r="I31" s="191"/>
    </row>
    <row r="32" spans="1:9" ht="18.75" customHeight="1" x14ac:dyDescent="0.2">
      <c r="A32" s="76"/>
      <c r="B32" s="194"/>
      <c r="C32" s="195"/>
      <c r="D32" s="195"/>
      <c r="E32" s="195"/>
      <c r="F32" s="195"/>
      <c r="G32" s="195"/>
      <c r="H32" s="195"/>
      <c r="I32" s="196"/>
    </row>
    <row r="33" spans="1:9" ht="7.5" customHeight="1" x14ac:dyDescent="0.2">
      <c r="A33" s="76"/>
      <c r="B33" s="76"/>
      <c r="C33" s="76"/>
      <c r="D33" s="76"/>
      <c r="E33" s="76"/>
      <c r="F33" s="76"/>
      <c r="G33" s="76"/>
      <c r="H33" s="76"/>
      <c r="I33" s="76"/>
    </row>
    <row r="34" spans="1:9" ht="18.75" customHeight="1" x14ac:dyDescent="0.2">
      <c r="A34" s="72" t="s">
        <v>106</v>
      </c>
      <c r="B34" s="72" t="s">
        <v>107</v>
      </c>
      <c r="C34" s="9"/>
      <c r="D34" s="72"/>
      <c r="E34" s="72"/>
      <c r="F34" s="72"/>
      <c r="G34" s="72"/>
      <c r="H34" s="72"/>
      <c r="I34" s="72"/>
    </row>
    <row r="35" spans="1:9" ht="18.75" customHeight="1" x14ac:dyDescent="0.2">
      <c r="A35" s="76"/>
      <c r="B35" s="197" t="s">
        <v>154</v>
      </c>
      <c r="C35" s="198"/>
      <c r="D35" s="198"/>
      <c r="E35" s="198"/>
      <c r="F35" s="198"/>
      <c r="G35" s="198"/>
      <c r="H35" s="198"/>
      <c r="I35" s="199"/>
    </row>
    <row r="36" spans="1:9" ht="18.75" customHeight="1" x14ac:dyDescent="0.2">
      <c r="A36" s="76"/>
      <c r="B36" s="200"/>
      <c r="C36" s="201"/>
      <c r="D36" s="201"/>
      <c r="E36" s="201"/>
      <c r="F36" s="201"/>
      <c r="G36" s="201"/>
      <c r="H36" s="201"/>
      <c r="I36" s="202"/>
    </row>
    <row r="37" spans="1:9" ht="18.75" customHeight="1" x14ac:dyDescent="0.2">
      <c r="A37" s="76"/>
      <c r="B37" s="200"/>
      <c r="C37" s="201"/>
      <c r="D37" s="201"/>
      <c r="E37" s="201"/>
      <c r="F37" s="201"/>
      <c r="G37" s="201"/>
      <c r="H37" s="201"/>
      <c r="I37" s="202"/>
    </row>
    <row r="38" spans="1:9" ht="18.75" customHeight="1" x14ac:dyDescent="0.2">
      <c r="A38" s="76"/>
      <c r="B38" s="200"/>
      <c r="C38" s="201"/>
      <c r="D38" s="201"/>
      <c r="E38" s="201"/>
      <c r="F38" s="201"/>
      <c r="G38" s="201"/>
      <c r="H38" s="201"/>
      <c r="I38" s="202"/>
    </row>
    <row r="39" spans="1:9" ht="18.75" customHeight="1" x14ac:dyDescent="0.2">
      <c r="A39" s="76"/>
      <c r="B39" s="200"/>
      <c r="C39" s="201"/>
      <c r="D39" s="201"/>
      <c r="E39" s="201"/>
      <c r="F39" s="201"/>
      <c r="G39" s="201"/>
      <c r="H39" s="201"/>
      <c r="I39" s="202"/>
    </row>
    <row r="40" spans="1:9" ht="18.75" customHeight="1" x14ac:dyDescent="0.2">
      <c r="A40" s="76"/>
      <c r="B40" s="200"/>
      <c r="C40" s="201"/>
      <c r="D40" s="201"/>
      <c r="E40" s="201"/>
      <c r="F40" s="201"/>
      <c r="G40" s="201"/>
      <c r="H40" s="201"/>
      <c r="I40" s="202"/>
    </row>
    <row r="41" spans="1:9" ht="18.75" customHeight="1" x14ac:dyDescent="0.2">
      <c r="A41" s="76"/>
      <c r="B41" s="200"/>
      <c r="C41" s="201"/>
      <c r="D41" s="201"/>
      <c r="E41" s="201"/>
      <c r="F41" s="201"/>
      <c r="G41" s="201"/>
      <c r="H41" s="201"/>
      <c r="I41" s="202"/>
    </row>
    <row r="42" spans="1:9" ht="18.75" customHeight="1" x14ac:dyDescent="0.2">
      <c r="A42" s="76"/>
      <c r="B42" s="200"/>
      <c r="C42" s="201"/>
      <c r="D42" s="201"/>
      <c r="E42" s="201"/>
      <c r="F42" s="201"/>
      <c r="G42" s="201"/>
      <c r="H42" s="201"/>
      <c r="I42" s="202"/>
    </row>
    <row r="43" spans="1:9" ht="18.75" customHeight="1" x14ac:dyDescent="0.2">
      <c r="A43" s="76"/>
      <c r="B43" s="200"/>
      <c r="C43" s="201"/>
      <c r="D43" s="201"/>
      <c r="E43" s="201"/>
      <c r="F43" s="201"/>
      <c r="G43" s="201"/>
      <c r="H43" s="201"/>
      <c r="I43" s="202"/>
    </row>
    <row r="44" spans="1:9" ht="18.75" customHeight="1" x14ac:dyDescent="0.2">
      <c r="A44" s="76"/>
      <c r="B44" s="200"/>
      <c r="C44" s="201"/>
      <c r="D44" s="201"/>
      <c r="E44" s="201"/>
      <c r="F44" s="201"/>
      <c r="G44" s="201"/>
      <c r="H44" s="201"/>
      <c r="I44" s="202"/>
    </row>
    <row r="45" spans="1:9" ht="18.75" customHeight="1" x14ac:dyDescent="0.2">
      <c r="A45" s="76"/>
      <c r="B45" s="200"/>
      <c r="C45" s="201"/>
      <c r="D45" s="201"/>
      <c r="E45" s="201"/>
      <c r="F45" s="201"/>
      <c r="G45" s="201"/>
      <c r="H45" s="201"/>
      <c r="I45" s="202"/>
    </row>
    <row r="46" spans="1:9" ht="18.75" customHeight="1" x14ac:dyDescent="0.2">
      <c r="A46" s="76"/>
      <c r="B46" s="203"/>
      <c r="C46" s="204"/>
      <c r="D46" s="204"/>
      <c r="E46" s="204"/>
      <c r="F46" s="204"/>
      <c r="G46" s="204"/>
      <c r="H46" s="204"/>
      <c r="I46" s="205"/>
    </row>
    <row r="47" spans="1:9" ht="7.5" customHeight="1" x14ac:dyDescent="0.2">
      <c r="A47" s="4"/>
      <c r="B47" s="4"/>
      <c r="C47" s="4"/>
      <c r="D47" s="4"/>
      <c r="E47" s="4"/>
      <c r="F47" s="4"/>
      <c r="G47" s="4"/>
      <c r="H47" s="4"/>
      <c r="I47" s="4"/>
    </row>
    <row r="48" spans="1:9" ht="18.75" customHeight="1" x14ac:dyDescent="0.2">
      <c r="A48" s="1" t="s">
        <v>108</v>
      </c>
      <c r="B48" s="1" t="s">
        <v>109</v>
      </c>
    </row>
    <row r="49" spans="1:15" s="3" customFormat="1" ht="18.75" customHeight="1" x14ac:dyDescent="0.2">
      <c r="B49" s="70" t="s">
        <v>110</v>
      </c>
      <c r="C49" s="238">
        <f>'様式２ 履修者等数の実績'!S33</f>
        <v>3.7499999999999999E-2</v>
      </c>
      <c r="D49" s="238"/>
      <c r="E49" s="70" t="s">
        <v>111</v>
      </c>
      <c r="F49" s="238">
        <v>0.06</v>
      </c>
      <c r="G49" s="238"/>
      <c r="H49" s="70" t="s">
        <v>112</v>
      </c>
      <c r="I49" s="75">
        <v>0.08</v>
      </c>
      <c r="J49" s="1"/>
      <c r="M49" s="1"/>
      <c r="N49" s="17"/>
    </row>
    <row r="50" spans="1:15" s="3" customFormat="1" ht="18.75" customHeight="1" x14ac:dyDescent="0.2">
      <c r="B50" s="71" t="s">
        <v>113</v>
      </c>
      <c r="C50" s="219">
        <v>0.1</v>
      </c>
      <c r="D50" s="219"/>
      <c r="E50" s="84" t="s">
        <v>114</v>
      </c>
      <c r="F50" s="219">
        <v>0.12</v>
      </c>
      <c r="G50" s="219"/>
      <c r="H50" s="71" t="s">
        <v>115</v>
      </c>
      <c r="I50" s="18">
        <f>'様式２ 履修者等数の実績'!E33</f>
        <v>4400</v>
      </c>
      <c r="J50" s="1"/>
      <c r="M50" s="1"/>
      <c r="N50" s="17"/>
    </row>
    <row r="51" spans="1:15" ht="18.75" customHeight="1" x14ac:dyDescent="0.2">
      <c r="A51" s="1"/>
      <c r="B51" s="216" t="s">
        <v>116</v>
      </c>
      <c r="C51" s="217"/>
      <c r="D51" s="217"/>
      <c r="E51" s="217"/>
      <c r="F51" s="217"/>
      <c r="G51" s="217"/>
      <c r="H51" s="217"/>
      <c r="I51" s="218"/>
      <c r="N51" s="17"/>
      <c r="O51" s="3"/>
    </row>
    <row r="52" spans="1:15" ht="18.75" customHeight="1" x14ac:dyDescent="0.2">
      <c r="A52" s="1"/>
      <c r="B52" s="239" t="s">
        <v>185</v>
      </c>
      <c r="C52" s="240"/>
      <c r="D52" s="240"/>
      <c r="E52" s="240"/>
      <c r="F52" s="240"/>
      <c r="G52" s="240"/>
      <c r="H52" s="240"/>
      <c r="I52" s="241"/>
      <c r="N52" s="17"/>
      <c r="O52" s="3"/>
    </row>
    <row r="53" spans="1:15" ht="18.75" customHeight="1" x14ac:dyDescent="0.2">
      <c r="A53" s="1"/>
      <c r="B53" s="242"/>
      <c r="C53" s="243"/>
      <c r="D53" s="243"/>
      <c r="E53" s="243"/>
      <c r="F53" s="243"/>
      <c r="G53" s="243"/>
      <c r="H53" s="243"/>
      <c r="I53" s="244"/>
      <c r="N53" s="17"/>
      <c r="O53" s="3"/>
    </row>
    <row r="54" spans="1:15" ht="18.75" customHeight="1" x14ac:dyDescent="0.2">
      <c r="A54" s="1"/>
      <c r="B54" s="242"/>
      <c r="C54" s="243"/>
      <c r="D54" s="243"/>
      <c r="E54" s="243"/>
      <c r="F54" s="243"/>
      <c r="G54" s="243"/>
      <c r="H54" s="243"/>
      <c r="I54" s="244"/>
    </row>
    <row r="55" spans="1:15" ht="18.75" customHeight="1" x14ac:dyDescent="0.2">
      <c r="A55" s="1"/>
      <c r="B55" s="242"/>
      <c r="C55" s="243"/>
      <c r="D55" s="243"/>
      <c r="E55" s="243"/>
      <c r="F55" s="243"/>
      <c r="G55" s="243"/>
      <c r="H55" s="243"/>
      <c r="I55" s="244"/>
    </row>
    <row r="56" spans="1:15" ht="18.75" customHeight="1" x14ac:dyDescent="0.2">
      <c r="A56" s="1"/>
      <c r="B56" s="242"/>
      <c r="C56" s="243"/>
      <c r="D56" s="243"/>
      <c r="E56" s="243"/>
      <c r="F56" s="243"/>
      <c r="G56" s="243"/>
      <c r="H56" s="243"/>
      <c r="I56" s="244"/>
    </row>
    <row r="57" spans="1:15" ht="18.75" customHeight="1" x14ac:dyDescent="0.2">
      <c r="A57" s="1"/>
      <c r="B57" s="242"/>
      <c r="C57" s="243"/>
      <c r="D57" s="243"/>
      <c r="E57" s="243"/>
      <c r="F57" s="243"/>
      <c r="G57" s="243"/>
      <c r="H57" s="243"/>
      <c r="I57" s="244"/>
    </row>
    <row r="58" spans="1:15" ht="18.75" customHeight="1" x14ac:dyDescent="0.2">
      <c r="A58" s="1"/>
      <c r="B58" s="242"/>
      <c r="C58" s="243"/>
      <c r="D58" s="243"/>
      <c r="E58" s="243"/>
      <c r="F58" s="243"/>
      <c r="G58" s="243"/>
      <c r="H58" s="243"/>
      <c r="I58" s="244"/>
    </row>
    <row r="59" spans="1:15" ht="18.75" customHeight="1" x14ac:dyDescent="0.2">
      <c r="A59" s="1"/>
      <c r="B59" s="242"/>
      <c r="C59" s="243"/>
      <c r="D59" s="243"/>
      <c r="E59" s="243"/>
      <c r="F59" s="243"/>
      <c r="G59" s="243"/>
      <c r="H59" s="243"/>
      <c r="I59" s="244"/>
    </row>
    <row r="60" spans="1:15" ht="18.75" customHeight="1" x14ac:dyDescent="0.2">
      <c r="A60" s="1"/>
      <c r="B60" s="242"/>
      <c r="C60" s="243"/>
      <c r="D60" s="243"/>
      <c r="E60" s="243"/>
      <c r="F60" s="243"/>
      <c r="G60" s="243"/>
      <c r="H60" s="243"/>
      <c r="I60" s="244"/>
    </row>
    <row r="61" spans="1:15" ht="18.75" customHeight="1" x14ac:dyDescent="0.2">
      <c r="A61" s="1"/>
      <c r="B61" s="242"/>
      <c r="C61" s="243"/>
      <c r="D61" s="243"/>
      <c r="E61" s="243"/>
      <c r="F61" s="243"/>
      <c r="G61" s="243"/>
      <c r="H61" s="243"/>
      <c r="I61" s="244"/>
    </row>
    <row r="62" spans="1:15" ht="18.75" customHeight="1" x14ac:dyDescent="0.2">
      <c r="A62" s="1"/>
      <c r="B62" s="242"/>
      <c r="C62" s="243"/>
      <c r="D62" s="243"/>
      <c r="E62" s="243"/>
      <c r="F62" s="243"/>
      <c r="G62" s="243"/>
      <c r="H62" s="243"/>
      <c r="I62" s="244"/>
    </row>
    <row r="63" spans="1:15" ht="18.75" customHeight="1" x14ac:dyDescent="0.2">
      <c r="A63" s="1"/>
      <c r="B63" s="245"/>
      <c r="C63" s="246"/>
      <c r="D63" s="246"/>
      <c r="E63" s="246"/>
      <c r="F63" s="246"/>
      <c r="G63" s="246"/>
      <c r="H63" s="246"/>
      <c r="I63" s="247"/>
    </row>
    <row r="64" spans="1:15" ht="7.5" customHeight="1" x14ac:dyDescent="0.2">
      <c r="A64" s="76"/>
      <c r="B64" s="76"/>
      <c r="C64" s="76"/>
      <c r="D64" s="76"/>
      <c r="E64" s="76"/>
      <c r="F64" s="76"/>
      <c r="G64" s="76"/>
      <c r="H64" s="76"/>
      <c r="I64" s="76"/>
    </row>
    <row r="65" spans="1:9" ht="18.75" customHeight="1" x14ac:dyDescent="0.2">
      <c r="A65" s="72" t="s">
        <v>117</v>
      </c>
      <c r="B65" s="1" t="s">
        <v>118</v>
      </c>
      <c r="I65" s="72"/>
    </row>
    <row r="66" spans="1:9" ht="18.75" customHeight="1" x14ac:dyDescent="0.2">
      <c r="A66" s="4"/>
      <c r="B66" s="220" t="s">
        <v>186</v>
      </c>
      <c r="C66" s="221"/>
      <c r="D66" s="221"/>
      <c r="E66" s="221"/>
      <c r="F66" s="221"/>
      <c r="G66" s="221"/>
      <c r="H66" s="221"/>
      <c r="I66" s="222"/>
    </row>
    <row r="67" spans="1:9" ht="18.75" customHeight="1" x14ac:dyDescent="0.2">
      <c r="A67" s="4"/>
      <c r="B67" s="223"/>
      <c r="C67" s="224"/>
      <c r="D67" s="224"/>
      <c r="E67" s="224"/>
      <c r="F67" s="224"/>
      <c r="G67" s="224"/>
      <c r="H67" s="224"/>
      <c r="I67" s="225"/>
    </row>
    <row r="68" spans="1:9" ht="18.75" customHeight="1" x14ac:dyDescent="0.2">
      <c r="A68" s="4"/>
      <c r="B68" s="223"/>
      <c r="C68" s="224"/>
      <c r="D68" s="224"/>
      <c r="E68" s="224"/>
      <c r="F68" s="224"/>
      <c r="G68" s="224"/>
      <c r="H68" s="224"/>
      <c r="I68" s="225"/>
    </row>
    <row r="69" spans="1:9" ht="18.75" customHeight="1" x14ac:dyDescent="0.2">
      <c r="A69" s="4"/>
      <c r="B69" s="223"/>
      <c r="C69" s="224"/>
      <c r="D69" s="224"/>
      <c r="E69" s="224"/>
      <c r="F69" s="224"/>
      <c r="G69" s="224"/>
      <c r="H69" s="224"/>
      <c r="I69" s="225"/>
    </row>
    <row r="70" spans="1:9" ht="18.75" customHeight="1" x14ac:dyDescent="0.2">
      <c r="A70" s="4"/>
      <c r="B70" s="223"/>
      <c r="C70" s="224"/>
      <c r="D70" s="224"/>
      <c r="E70" s="224"/>
      <c r="F70" s="224"/>
      <c r="G70" s="224"/>
      <c r="H70" s="224"/>
      <c r="I70" s="225"/>
    </row>
    <row r="71" spans="1:9" ht="18.75" customHeight="1" x14ac:dyDescent="0.2">
      <c r="A71" s="4"/>
      <c r="B71" s="223"/>
      <c r="C71" s="224"/>
      <c r="D71" s="224"/>
      <c r="E71" s="224"/>
      <c r="F71" s="224"/>
      <c r="G71" s="224"/>
      <c r="H71" s="224"/>
      <c r="I71" s="225"/>
    </row>
    <row r="72" spans="1:9" ht="18.75" customHeight="1" x14ac:dyDescent="0.2">
      <c r="A72" s="4"/>
      <c r="B72" s="223"/>
      <c r="C72" s="224"/>
      <c r="D72" s="224"/>
      <c r="E72" s="224"/>
      <c r="F72" s="224"/>
      <c r="G72" s="224"/>
      <c r="H72" s="224"/>
      <c r="I72" s="225"/>
    </row>
    <row r="73" spans="1:9" ht="18.75" customHeight="1" x14ac:dyDescent="0.2">
      <c r="A73" s="4"/>
      <c r="B73" s="223"/>
      <c r="C73" s="224"/>
      <c r="D73" s="224"/>
      <c r="E73" s="224"/>
      <c r="F73" s="224"/>
      <c r="G73" s="224"/>
      <c r="H73" s="224"/>
      <c r="I73" s="225"/>
    </row>
    <row r="74" spans="1:9" ht="18.75" customHeight="1" x14ac:dyDescent="0.2">
      <c r="A74" s="4"/>
      <c r="B74" s="223"/>
      <c r="C74" s="224"/>
      <c r="D74" s="224"/>
      <c r="E74" s="224"/>
      <c r="F74" s="224"/>
      <c r="G74" s="224"/>
      <c r="H74" s="224"/>
      <c r="I74" s="225"/>
    </row>
    <row r="75" spans="1:9" ht="18.75" customHeight="1" x14ac:dyDescent="0.2">
      <c r="A75" s="4"/>
      <c r="B75" s="223"/>
      <c r="C75" s="224"/>
      <c r="D75" s="224"/>
      <c r="E75" s="224"/>
      <c r="F75" s="224"/>
      <c r="G75" s="224"/>
      <c r="H75" s="224"/>
      <c r="I75" s="225"/>
    </row>
    <row r="76" spans="1:9" ht="18.75" customHeight="1" x14ac:dyDescent="0.2">
      <c r="A76" s="4"/>
      <c r="B76" s="223"/>
      <c r="C76" s="224"/>
      <c r="D76" s="224"/>
      <c r="E76" s="224"/>
      <c r="F76" s="224"/>
      <c r="G76" s="224"/>
      <c r="H76" s="224"/>
      <c r="I76" s="225"/>
    </row>
    <row r="77" spans="1:9" ht="18.75" customHeight="1" x14ac:dyDescent="0.2">
      <c r="A77" s="4"/>
      <c r="B77" s="226"/>
      <c r="C77" s="227"/>
      <c r="D77" s="227"/>
      <c r="E77" s="227"/>
      <c r="F77" s="227"/>
      <c r="G77" s="227"/>
      <c r="H77" s="227"/>
      <c r="I77" s="228"/>
    </row>
    <row r="78" spans="1:9" ht="7.5" customHeight="1" x14ac:dyDescent="0.2">
      <c r="A78" s="4"/>
      <c r="B78" s="4"/>
      <c r="C78" s="4"/>
      <c r="D78" s="4"/>
      <c r="E78" s="4"/>
      <c r="F78" s="4"/>
      <c r="G78" s="4"/>
      <c r="H78" s="4"/>
      <c r="I78" s="4"/>
    </row>
    <row r="79" spans="1:9" ht="18.75" customHeight="1" x14ac:dyDescent="0.2">
      <c r="A79" s="1" t="s">
        <v>119</v>
      </c>
      <c r="B79" s="1" t="s">
        <v>120</v>
      </c>
    </row>
    <row r="80" spans="1:9" ht="18.75" customHeight="1" x14ac:dyDescent="0.2">
      <c r="A80" s="1"/>
      <c r="B80" s="229" t="s">
        <v>168</v>
      </c>
      <c r="C80" s="230"/>
      <c r="D80" s="230"/>
      <c r="E80" s="230"/>
      <c r="F80" s="230"/>
      <c r="G80" s="230"/>
      <c r="H80" s="230"/>
      <c r="I80" s="231"/>
    </row>
    <row r="81" spans="1:9" ht="18.75" customHeight="1" x14ac:dyDescent="0.2">
      <c r="A81" s="1"/>
      <c r="B81" s="232"/>
      <c r="C81" s="233"/>
      <c r="D81" s="233"/>
      <c r="E81" s="233"/>
      <c r="F81" s="233"/>
      <c r="G81" s="233"/>
      <c r="H81" s="233"/>
      <c r="I81" s="234"/>
    </row>
    <row r="82" spans="1:9" ht="18.75" customHeight="1" x14ac:dyDescent="0.2">
      <c r="A82" s="1"/>
      <c r="B82" s="232"/>
      <c r="C82" s="233"/>
      <c r="D82" s="233"/>
      <c r="E82" s="233"/>
      <c r="F82" s="233"/>
      <c r="G82" s="233"/>
      <c r="H82" s="233"/>
      <c r="I82" s="234"/>
    </row>
    <row r="83" spans="1:9" ht="18.75" customHeight="1" x14ac:dyDescent="0.2">
      <c r="A83" s="1"/>
      <c r="B83" s="232"/>
      <c r="C83" s="233"/>
      <c r="D83" s="233"/>
      <c r="E83" s="233"/>
      <c r="F83" s="233"/>
      <c r="G83" s="233"/>
      <c r="H83" s="233"/>
      <c r="I83" s="234"/>
    </row>
    <row r="84" spans="1:9" ht="18.75" customHeight="1" x14ac:dyDescent="0.2">
      <c r="A84" s="1"/>
      <c r="B84" s="232"/>
      <c r="C84" s="233"/>
      <c r="D84" s="233"/>
      <c r="E84" s="233"/>
      <c r="F84" s="233"/>
      <c r="G84" s="233"/>
      <c r="H84" s="233"/>
      <c r="I84" s="234"/>
    </row>
    <row r="85" spans="1:9" ht="18.75" customHeight="1" x14ac:dyDescent="0.2">
      <c r="A85" s="1"/>
      <c r="B85" s="232"/>
      <c r="C85" s="233"/>
      <c r="D85" s="233"/>
      <c r="E85" s="233"/>
      <c r="F85" s="233"/>
      <c r="G85" s="233"/>
      <c r="H85" s="233"/>
      <c r="I85" s="234"/>
    </row>
    <row r="86" spans="1:9" ht="18.75" customHeight="1" x14ac:dyDescent="0.2">
      <c r="A86" s="1"/>
      <c r="B86" s="232"/>
      <c r="C86" s="233"/>
      <c r="D86" s="233"/>
      <c r="E86" s="233"/>
      <c r="F86" s="233"/>
      <c r="G86" s="233"/>
      <c r="H86" s="233"/>
      <c r="I86" s="234"/>
    </row>
    <row r="87" spans="1:9" ht="18.75" customHeight="1" x14ac:dyDescent="0.2">
      <c r="A87" s="1"/>
      <c r="B87" s="232"/>
      <c r="C87" s="233"/>
      <c r="D87" s="233"/>
      <c r="E87" s="233"/>
      <c r="F87" s="233"/>
      <c r="G87" s="233"/>
      <c r="H87" s="233"/>
      <c r="I87" s="234"/>
    </row>
    <row r="88" spans="1:9" ht="18.75" customHeight="1" x14ac:dyDescent="0.2">
      <c r="A88" s="1"/>
      <c r="B88" s="232"/>
      <c r="C88" s="233"/>
      <c r="D88" s="233"/>
      <c r="E88" s="233"/>
      <c r="F88" s="233"/>
      <c r="G88" s="233"/>
      <c r="H88" s="233"/>
      <c r="I88" s="234"/>
    </row>
    <row r="89" spans="1:9" ht="18.75" customHeight="1" x14ac:dyDescent="0.2">
      <c r="A89" s="1"/>
      <c r="B89" s="232"/>
      <c r="C89" s="233"/>
      <c r="D89" s="233"/>
      <c r="E89" s="233"/>
      <c r="F89" s="233"/>
      <c r="G89" s="233"/>
      <c r="H89" s="233"/>
      <c r="I89" s="234"/>
    </row>
    <row r="90" spans="1:9" ht="18.75" customHeight="1" x14ac:dyDescent="0.2">
      <c r="A90" s="4"/>
      <c r="B90" s="232"/>
      <c r="C90" s="233"/>
      <c r="D90" s="233"/>
      <c r="E90" s="233"/>
      <c r="F90" s="233"/>
      <c r="G90" s="233"/>
      <c r="H90" s="233"/>
      <c r="I90" s="234"/>
    </row>
    <row r="91" spans="1:9" ht="18.75" customHeight="1" x14ac:dyDescent="0.2">
      <c r="A91" s="4"/>
      <c r="B91" s="235"/>
      <c r="C91" s="236"/>
      <c r="D91" s="236"/>
      <c r="E91" s="236"/>
      <c r="F91" s="236"/>
      <c r="G91" s="236"/>
      <c r="H91" s="236"/>
      <c r="I91" s="237"/>
    </row>
    <row r="92" spans="1:9" ht="7.5" customHeight="1" x14ac:dyDescent="0.2">
      <c r="A92" s="4"/>
      <c r="B92" s="4"/>
      <c r="C92" s="4"/>
      <c r="D92" s="4"/>
      <c r="E92" s="4"/>
      <c r="F92" s="4"/>
      <c r="G92" s="4"/>
      <c r="H92" s="4"/>
      <c r="I92" s="4"/>
    </row>
    <row r="93" spans="1:9" ht="18.75" customHeight="1" x14ac:dyDescent="0.2">
      <c r="A93" s="1" t="s">
        <v>121</v>
      </c>
      <c r="B93" s="1" t="s">
        <v>122</v>
      </c>
    </row>
    <row r="94" spans="1:9" ht="18.75" customHeight="1" x14ac:dyDescent="0.2">
      <c r="A94" s="1"/>
      <c r="B94" s="197" t="s">
        <v>188</v>
      </c>
      <c r="C94" s="198"/>
      <c r="D94" s="198"/>
      <c r="E94" s="198"/>
      <c r="F94" s="198"/>
      <c r="G94" s="198"/>
      <c r="H94" s="198"/>
      <c r="I94" s="199"/>
    </row>
    <row r="95" spans="1:9" ht="18.75" customHeight="1" x14ac:dyDescent="0.2">
      <c r="A95" s="1"/>
      <c r="B95" s="200"/>
      <c r="C95" s="201"/>
      <c r="D95" s="201"/>
      <c r="E95" s="201"/>
      <c r="F95" s="201"/>
      <c r="G95" s="201"/>
      <c r="H95" s="201"/>
      <c r="I95" s="202"/>
    </row>
    <row r="96" spans="1:9" ht="18.75" customHeight="1" x14ac:dyDescent="0.2">
      <c r="A96" s="1"/>
      <c r="B96" s="200"/>
      <c r="C96" s="201"/>
      <c r="D96" s="201"/>
      <c r="E96" s="201"/>
      <c r="F96" s="201"/>
      <c r="G96" s="201"/>
      <c r="H96" s="201"/>
      <c r="I96" s="202"/>
    </row>
    <row r="97" spans="1:9" ht="18.75" customHeight="1" x14ac:dyDescent="0.2">
      <c r="A97" s="1"/>
      <c r="B97" s="200"/>
      <c r="C97" s="201"/>
      <c r="D97" s="201"/>
      <c r="E97" s="201"/>
      <c r="F97" s="201"/>
      <c r="G97" s="201"/>
      <c r="H97" s="201"/>
      <c r="I97" s="202"/>
    </row>
    <row r="98" spans="1:9" ht="18.75" customHeight="1" x14ac:dyDescent="0.2">
      <c r="A98" s="1"/>
      <c r="B98" s="200"/>
      <c r="C98" s="201"/>
      <c r="D98" s="201"/>
      <c r="E98" s="201"/>
      <c r="F98" s="201"/>
      <c r="G98" s="201"/>
      <c r="H98" s="201"/>
      <c r="I98" s="202"/>
    </row>
    <row r="99" spans="1:9" ht="18.75" customHeight="1" x14ac:dyDescent="0.2">
      <c r="A99" s="1"/>
      <c r="B99" s="200"/>
      <c r="C99" s="201"/>
      <c r="D99" s="201"/>
      <c r="E99" s="201"/>
      <c r="F99" s="201"/>
      <c r="G99" s="201"/>
      <c r="H99" s="201"/>
      <c r="I99" s="202"/>
    </row>
    <row r="100" spans="1:9" ht="18.75" customHeight="1" x14ac:dyDescent="0.2">
      <c r="A100" s="1"/>
      <c r="B100" s="200"/>
      <c r="C100" s="201"/>
      <c r="D100" s="201"/>
      <c r="E100" s="201"/>
      <c r="F100" s="201"/>
      <c r="G100" s="201"/>
      <c r="H100" s="201"/>
      <c r="I100" s="202"/>
    </row>
    <row r="101" spans="1:9" ht="18.75" customHeight="1" x14ac:dyDescent="0.2">
      <c r="A101" s="1"/>
      <c r="B101" s="200"/>
      <c r="C101" s="201"/>
      <c r="D101" s="201"/>
      <c r="E101" s="201"/>
      <c r="F101" s="201"/>
      <c r="G101" s="201"/>
      <c r="H101" s="201"/>
      <c r="I101" s="202"/>
    </row>
    <row r="102" spans="1:9" ht="18.75" customHeight="1" x14ac:dyDescent="0.2">
      <c r="A102" s="1"/>
      <c r="B102" s="200"/>
      <c r="C102" s="201"/>
      <c r="D102" s="201"/>
      <c r="E102" s="201"/>
      <c r="F102" s="201"/>
      <c r="G102" s="201"/>
      <c r="H102" s="201"/>
      <c r="I102" s="202"/>
    </row>
    <row r="103" spans="1:9" ht="18.75" customHeight="1" x14ac:dyDescent="0.2">
      <c r="A103" s="1"/>
      <c r="B103" s="200"/>
      <c r="C103" s="201"/>
      <c r="D103" s="201"/>
      <c r="E103" s="201"/>
      <c r="F103" s="201"/>
      <c r="G103" s="201"/>
      <c r="H103" s="201"/>
      <c r="I103" s="202"/>
    </row>
    <row r="104" spans="1:9" ht="18.75" customHeight="1" x14ac:dyDescent="0.2">
      <c r="A104" s="1"/>
      <c r="B104" s="200"/>
      <c r="C104" s="201"/>
      <c r="D104" s="201"/>
      <c r="E104" s="201"/>
      <c r="F104" s="201"/>
      <c r="G104" s="201"/>
      <c r="H104" s="201"/>
      <c r="I104" s="202"/>
    </row>
    <row r="105" spans="1:9" ht="18.75" customHeight="1" x14ac:dyDescent="0.2">
      <c r="A105" s="4"/>
      <c r="B105" s="203"/>
      <c r="C105" s="204"/>
      <c r="D105" s="204"/>
      <c r="E105" s="204"/>
      <c r="F105" s="204"/>
      <c r="G105" s="204"/>
      <c r="H105" s="204"/>
      <c r="I105" s="205"/>
    </row>
    <row r="106" spans="1:9" ht="7.5" customHeight="1" x14ac:dyDescent="0.2">
      <c r="A106" s="4"/>
      <c r="B106" s="4"/>
      <c r="C106" s="4"/>
      <c r="D106" s="4"/>
      <c r="E106" s="4"/>
      <c r="F106" s="4"/>
      <c r="G106" s="4"/>
      <c r="H106" s="4"/>
      <c r="I106" s="4"/>
    </row>
    <row r="107" spans="1:9" ht="18.75" customHeight="1" x14ac:dyDescent="0.2">
      <c r="A107" s="1" t="s">
        <v>123</v>
      </c>
      <c r="B107" s="215" t="s">
        <v>124</v>
      </c>
      <c r="C107" s="215"/>
      <c r="D107" s="215"/>
      <c r="E107" s="215"/>
      <c r="F107" s="215"/>
      <c r="G107" s="215"/>
      <c r="H107" s="215"/>
      <c r="I107" s="215"/>
    </row>
    <row r="108" spans="1:9" ht="18.75" customHeight="1" x14ac:dyDescent="0.2">
      <c r="A108" s="4"/>
      <c r="B108" s="197" t="s">
        <v>187</v>
      </c>
      <c r="C108" s="198"/>
      <c r="D108" s="198"/>
      <c r="E108" s="198"/>
      <c r="F108" s="198"/>
      <c r="G108" s="198"/>
      <c r="H108" s="198"/>
      <c r="I108" s="199"/>
    </row>
    <row r="109" spans="1:9" ht="18.75" customHeight="1" x14ac:dyDescent="0.2">
      <c r="A109" s="4"/>
      <c r="B109" s="200"/>
      <c r="C109" s="201"/>
      <c r="D109" s="201"/>
      <c r="E109" s="201"/>
      <c r="F109" s="201"/>
      <c r="G109" s="201"/>
      <c r="H109" s="201"/>
      <c r="I109" s="202"/>
    </row>
    <row r="110" spans="1:9" ht="18.75" customHeight="1" x14ac:dyDescent="0.2">
      <c r="A110" s="4"/>
      <c r="B110" s="200"/>
      <c r="C110" s="201"/>
      <c r="D110" s="201"/>
      <c r="E110" s="201"/>
      <c r="F110" s="201"/>
      <c r="G110" s="201"/>
      <c r="H110" s="201"/>
      <c r="I110" s="202"/>
    </row>
    <row r="111" spans="1:9" ht="18.75" customHeight="1" x14ac:dyDescent="0.2">
      <c r="A111" s="4"/>
      <c r="B111" s="200"/>
      <c r="C111" s="201"/>
      <c r="D111" s="201"/>
      <c r="E111" s="201"/>
      <c r="F111" s="201"/>
      <c r="G111" s="201"/>
      <c r="H111" s="201"/>
      <c r="I111" s="202"/>
    </row>
    <row r="112" spans="1:9" ht="18.75" customHeight="1" x14ac:dyDescent="0.2">
      <c r="A112" s="4"/>
      <c r="B112" s="200"/>
      <c r="C112" s="201"/>
      <c r="D112" s="201"/>
      <c r="E112" s="201"/>
      <c r="F112" s="201"/>
      <c r="G112" s="201"/>
      <c r="H112" s="201"/>
      <c r="I112" s="202"/>
    </row>
    <row r="113" spans="1:9" ht="18.75" customHeight="1" x14ac:dyDescent="0.2">
      <c r="A113" s="4"/>
      <c r="B113" s="200"/>
      <c r="C113" s="201"/>
      <c r="D113" s="201"/>
      <c r="E113" s="201"/>
      <c r="F113" s="201"/>
      <c r="G113" s="201"/>
      <c r="H113" s="201"/>
      <c r="I113" s="202"/>
    </row>
    <row r="114" spans="1:9" ht="18.75" customHeight="1" x14ac:dyDescent="0.2">
      <c r="A114" s="4"/>
      <c r="B114" s="200"/>
      <c r="C114" s="201"/>
      <c r="D114" s="201"/>
      <c r="E114" s="201"/>
      <c r="F114" s="201"/>
      <c r="G114" s="201"/>
      <c r="H114" s="201"/>
      <c r="I114" s="202"/>
    </row>
    <row r="115" spans="1:9" ht="18.75" customHeight="1" x14ac:dyDescent="0.2">
      <c r="A115" s="4"/>
      <c r="B115" s="200"/>
      <c r="C115" s="201"/>
      <c r="D115" s="201"/>
      <c r="E115" s="201"/>
      <c r="F115" s="201"/>
      <c r="G115" s="201"/>
      <c r="H115" s="201"/>
      <c r="I115" s="202"/>
    </row>
    <row r="116" spans="1:9" ht="18.75" customHeight="1" x14ac:dyDescent="0.2">
      <c r="A116" s="4"/>
      <c r="B116" s="200"/>
      <c r="C116" s="201"/>
      <c r="D116" s="201"/>
      <c r="E116" s="201"/>
      <c r="F116" s="201"/>
      <c r="G116" s="201"/>
      <c r="H116" s="201"/>
      <c r="I116" s="202"/>
    </row>
    <row r="117" spans="1:9" ht="18.75" customHeight="1" x14ac:dyDescent="0.2">
      <c r="A117" s="4"/>
      <c r="B117" s="200"/>
      <c r="C117" s="201"/>
      <c r="D117" s="201"/>
      <c r="E117" s="201"/>
      <c r="F117" s="201"/>
      <c r="G117" s="201"/>
      <c r="H117" s="201"/>
      <c r="I117" s="202"/>
    </row>
    <row r="118" spans="1:9" ht="18.75" customHeight="1" x14ac:dyDescent="0.2">
      <c r="A118" s="4"/>
      <c r="B118" s="200"/>
      <c r="C118" s="201"/>
      <c r="D118" s="201"/>
      <c r="E118" s="201"/>
      <c r="F118" s="201"/>
      <c r="G118" s="201"/>
      <c r="H118" s="201"/>
      <c r="I118" s="202"/>
    </row>
    <row r="119" spans="1:9" ht="18.75" customHeight="1" x14ac:dyDescent="0.2">
      <c r="A119" s="4"/>
      <c r="B119" s="203"/>
      <c r="C119" s="204"/>
      <c r="D119" s="204"/>
      <c r="E119" s="204"/>
      <c r="F119" s="204"/>
      <c r="G119" s="204"/>
      <c r="H119" s="204"/>
      <c r="I119" s="205"/>
    </row>
    <row r="120" spans="1:9" ht="7.5" customHeight="1" x14ac:dyDescent="0.2">
      <c r="A120" s="4"/>
      <c r="B120" s="19"/>
      <c r="C120" s="19"/>
      <c r="D120" s="19"/>
      <c r="E120" s="19"/>
      <c r="F120" s="19"/>
      <c r="G120" s="19"/>
      <c r="H120" s="19"/>
      <c r="I120" s="19"/>
    </row>
    <row r="121" spans="1:9" ht="18.75" customHeight="1" x14ac:dyDescent="0.2">
      <c r="A121" s="43"/>
      <c r="B121" s="182"/>
      <c r="C121" s="182"/>
      <c r="D121" s="182"/>
      <c r="E121" s="182"/>
      <c r="F121" s="182"/>
      <c r="G121" s="182"/>
      <c r="H121" s="182"/>
      <c r="I121" s="182"/>
    </row>
    <row r="122" spans="1:9" ht="18.75" customHeight="1" x14ac:dyDescent="0.2">
      <c r="A122" s="43"/>
      <c r="B122" s="182"/>
      <c r="C122" s="182"/>
      <c r="D122" s="182"/>
      <c r="E122" s="182"/>
      <c r="F122" s="182"/>
      <c r="G122" s="182"/>
      <c r="H122" s="182"/>
      <c r="I122" s="182"/>
    </row>
    <row r="123" spans="1:9" ht="18.75" customHeight="1" x14ac:dyDescent="0.2">
      <c r="A123" s="4"/>
      <c r="B123" s="77"/>
      <c r="C123" s="77"/>
      <c r="D123" s="77"/>
      <c r="E123" s="77"/>
      <c r="F123" s="77"/>
      <c r="G123" s="77"/>
      <c r="H123" s="77"/>
      <c r="I123" s="78"/>
    </row>
    <row r="124" spans="1:9" ht="18.75" customHeight="1" x14ac:dyDescent="0.2">
      <c r="A124" s="4"/>
      <c r="B124" s="78"/>
      <c r="C124" s="78"/>
      <c r="D124" s="78"/>
      <c r="E124" s="78"/>
      <c r="F124" s="78"/>
      <c r="G124" s="78"/>
      <c r="H124" s="78"/>
      <c r="I124" s="78"/>
    </row>
    <row r="125" spans="1:9" ht="18.75" customHeight="1" x14ac:dyDescent="0.2">
      <c r="A125" s="4"/>
      <c r="B125" s="78"/>
      <c r="C125" s="78"/>
      <c r="D125" s="78"/>
      <c r="E125" s="78"/>
      <c r="F125" s="78"/>
      <c r="G125" s="78"/>
      <c r="H125" s="78"/>
      <c r="I125" s="78"/>
    </row>
    <row r="126" spans="1:9" ht="18.75" customHeight="1" x14ac:dyDescent="0.2">
      <c r="A126" s="4"/>
      <c r="B126" s="78"/>
      <c r="C126" s="78"/>
      <c r="D126" s="78"/>
      <c r="E126" s="78"/>
      <c r="F126" s="78"/>
      <c r="G126" s="78"/>
      <c r="H126" s="78"/>
      <c r="I126" s="78"/>
    </row>
    <row r="127" spans="1:9" ht="18.75" customHeight="1" x14ac:dyDescent="0.2">
      <c r="A127" s="4"/>
      <c r="B127" s="78"/>
      <c r="C127" s="78"/>
      <c r="D127" s="78"/>
      <c r="E127" s="78"/>
      <c r="F127" s="78"/>
      <c r="G127" s="78"/>
      <c r="H127" s="78"/>
      <c r="I127" s="78"/>
    </row>
    <row r="128" spans="1:9" ht="18.75" customHeight="1" x14ac:dyDescent="0.2">
      <c r="A128" s="4"/>
      <c r="B128" s="78"/>
      <c r="C128" s="78"/>
      <c r="D128" s="78"/>
      <c r="E128" s="78"/>
      <c r="F128" s="78"/>
      <c r="G128" s="78"/>
      <c r="H128" s="78"/>
      <c r="I128" s="78"/>
    </row>
    <row r="129" spans="1:9" ht="18.75" customHeight="1" x14ac:dyDescent="0.2">
      <c r="A129" s="4"/>
      <c r="B129" s="78"/>
      <c r="C129" s="78"/>
      <c r="D129" s="78"/>
      <c r="E129" s="78"/>
      <c r="F129" s="78"/>
      <c r="G129" s="78"/>
      <c r="H129" s="78"/>
      <c r="I129" s="78"/>
    </row>
    <row r="130" spans="1:9" ht="18.75" customHeight="1" x14ac:dyDescent="0.2">
      <c r="A130" s="4"/>
      <c r="B130" s="78"/>
      <c r="C130" s="78"/>
      <c r="D130" s="78"/>
      <c r="E130" s="78"/>
      <c r="F130" s="78"/>
      <c r="G130" s="78"/>
      <c r="H130" s="78"/>
      <c r="I130" s="78"/>
    </row>
    <row r="131" spans="1:9" ht="18.75" customHeight="1" x14ac:dyDescent="0.2">
      <c r="A131" s="4"/>
      <c r="B131" s="78"/>
      <c r="C131" s="78"/>
      <c r="D131" s="78"/>
      <c r="E131" s="78"/>
      <c r="F131" s="78"/>
      <c r="G131" s="78"/>
      <c r="H131" s="78"/>
      <c r="I131" s="78"/>
    </row>
    <row r="132" spans="1:9" ht="18.75" customHeight="1" x14ac:dyDescent="0.2">
      <c r="A132" s="4"/>
      <c r="B132" s="78"/>
      <c r="C132" s="78"/>
      <c r="D132" s="78"/>
      <c r="E132" s="78"/>
      <c r="F132" s="78"/>
      <c r="G132" s="78"/>
      <c r="H132" s="78"/>
      <c r="I132" s="78"/>
    </row>
    <row r="133" spans="1:9" ht="14.4" x14ac:dyDescent="0.2">
      <c r="A133" s="4"/>
      <c r="B133" s="78"/>
      <c r="C133" s="78"/>
      <c r="D133" s="78"/>
      <c r="E133" s="78"/>
      <c r="F133" s="78"/>
      <c r="G133" s="78"/>
      <c r="H133" s="78"/>
      <c r="I133" s="78"/>
    </row>
    <row r="134" spans="1:9" ht="7.5" customHeight="1" x14ac:dyDescent="0.2">
      <c r="A134" s="4"/>
      <c r="B134" s="78"/>
      <c r="C134" s="78"/>
      <c r="D134" s="78"/>
      <c r="E134" s="78"/>
      <c r="F134" s="78"/>
      <c r="G134" s="78"/>
      <c r="H134" s="78"/>
      <c r="I134" s="78"/>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M13" sqref="M13"/>
    </sheetView>
  </sheetViews>
  <sheetFormatPr defaultColWidth="11.2187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21875" style="1"/>
  </cols>
  <sheetData>
    <row r="1" spans="1:9" ht="18.75" customHeight="1" x14ac:dyDescent="0.2">
      <c r="A1" s="1" t="s">
        <v>125</v>
      </c>
      <c r="I1" s="73" t="s">
        <v>126</v>
      </c>
    </row>
    <row r="2" spans="1:9" ht="18.75" customHeight="1" x14ac:dyDescent="0.2">
      <c r="H2" s="73" t="s">
        <v>2</v>
      </c>
      <c r="I2" s="14" t="str">
        <f>'様式１　プログラムを構成する授業科目'!C2</f>
        <v>白鷗大学</v>
      </c>
    </row>
    <row r="3" spans="1:9" ht="18.75" customHeight="1" x14ac:dyDescent="0.2">
      <c r="A3" s="124" t="s">
        <v>127</v>
      </c>
      <c r="B3" s="124"/>
      <c r="C3" s="124"/>
      <c r="D3" s="124"/>
      <c r="E3" s="124"/>
      <c r="F3" s="124"/>
      <c r="G3" s="124"/>
      <c r="H3" s="124"/>
      <c r="I3" s="124"/>
    </row>
    <row r="4" spans="1:9" ht="18.75" customHeight="1" x14ac:dyDescent="0.2">
      <c r="A4" s="74"/>
      <c r="B4" s="74"/>
      <c r="C4" s="74"/>
      <c r="D4" s="74"/>
      <c r="E4" s="74"/>
      <c r="F4" s="74"/>
      <c r="G4" s="74"/>
      <c r="H4" s="74"/>
      <c r="I4" s="74"/>
    </row>
    <row r="5" spans="1:9" ht="18.75" customHeight="1" x14ac:dyDescent="0.2">
      <c r="A5" s="1" t="s">
        <v>90</v>
      </c>
      <c r="B5" s="9" t="s">
        <v>128</v>
      </c>
      <c r="C5" s="74"/>
      <c r="D5" s="74"/>
      <c r="E5" s="74"/>
      <c r="F5" s="74"/>
      <c r="G5" s="74"/>
      <c r="H5" s="74"/>
      <c r="I5" s="74"/>
    </row>
    <row r="6" spans="1:9" ht="26.25" customHeight="1" x14ac:dyDescent="0.2">
      <c r="A6" s="74"/>
      <c r="B6" s="209" t="s">
        <v>159</v>
      </c>
      <c r="C6" s="255"/>
      <c r="D6" s="255"/>
      <c r="E6" s="255"/>
      <c r="F6" s="255"/>
      <c r="G6" s="255"/>
      <c r="H6" s="256"/>
      <c r="I6" s="46"/>
    </row>
    <row r="7" spans="1:9" ht="9" customHeight="1" x14ac:dyDescent="0.2">
      <c r="A7" s="74"/>
      <c r="B7" s="48"/>
      <c r="C7" s="48"/>
      <c r="D7" s="48"/>
      <c r="E7" s="48"/>
      <c r="F7" s="48"/>
      <c r="G7" s="48"/>
      <c r="H7" s="48"/>
      <c r="I7" s="46"/>
    </row>
    <row r="8" spans="1:9" ht="18.75" customHeight="1" x14ac:dyDescent="0.2">
      <c r="A8" s="74"/>
      <c r="B8" s="46"/>
      <c r="C8" s="46"/>
      <c r="D8" s="47" t="s">
        <v>98</v>
      </c>
      <c r="E8" s="94" t="s">
        <v>155</v>
      </c>
      <c r="F8" s="46"/>
      <c r="G8" s="47" t="s">
        <v>99</v>
      </c>
      <c r="H8" s="94" t="s">
        <v>181</v>
      </c>
      <c r="I8" s="99"/>
    </row>
    <row r="9" spans="1:9" ht="7.5" customHeight="1" x14ac:dyDescent="0.2">
      <c r="A9" s="74"/>
      <c r="B9" s="74"/>
      <c r="C9" s="74"/>
      <c r="D9" s="74"/>
      <c r="E9" s="74"/>
      <c r="F9" s="74"/>
      <c r="G9" s="74"/>
      <c r="H9" s="74"/>
      <c r="I9" s="74"/>
    </row>
    <row r="10" spans="1:9" ht="18.75" customHeight="1" x14ac:dyDescent="0.2">
      <c r="A10" s="1" t="s">
        <v>94</v>
      </c>
      <c r="B10" s="1" t="s">
        <v>129</v>
      </c>
      <c r="C10" s="4"/>
      <c r="D10" s="4"/>
      <c r="E10" s="4"/>
      <c r="F10" s="4"/>
      <c r="G10" s="4"/>
      <c r="H10" s="4"/>
      <c r="I10" s="4"/>
    </row>
    <row r="11" spans="1:9" ht="18.75" customHeight="1" x14ac:dyDescent="0.2">
      <c r="B11" s="113" t="s">
        <v>130</v>
      </c>
      <c r="C11" s="114"/>
      <c r="D11" s="115"/>
      <c r="E11" s="114" t="s">
        <v>131</v>
      </c>
      <c r="F11" s="114"/>
      <c r="G11" s="114"/>
      <c r="H11" s="114"/>
      <c r="I11" s="115"/>
    </row>
    <row r="12" spans="1:9" ht="26.25" customHeight="1" x14ac:dyDescent="0.2">
      <c r="B12" s="20" t="s">
        <v>132</v>
      </c>
      <c r="C12" s="27"/>
      <c r="D12" s="21"/>
      <c r="E12" s="28"/>
      <c r="F12" s="28"/>
      <c r="G12" s="28"/>
      <c r="H12" s="28"/>
      <c r="I12" s="21"/>
    </row>
    <row r="13" spans="1:9" ht="210.75" customHeight="1" x14ac:dyDescent="0.2">
      <c r="B13" s="22"/>
      <c r="C13" s="253" t="s">
        <v>133</v>
      </c>
      <c r="D13" s="254"/>
      <c r="E13" s="250" t="s">
        <v>166</v>
      </c>
      <c r="F13" s="251"/>
      <c r="G13" s="251"/>
      <c r="H13" s="251"/>
      <c r="I13" s="252"/>
    </row>
    <row r="14" spans="1:9" ht="210.75" customHeight="1" x14ac:dyDescent="0.2">
      <c r="B14" s="22"/>
      <c r="C14" s="248" t="s">
        <v>134</v>
      </c>
      <c r="D14" s="249"/>
      <c r="E14" s="250" t="s">
        <v>182</v>
      </c>
      <c r="F14" s="251"/>
      <c r="G14" s="251"/>
      <c r="H14" s="251"/>
      <c r="I14" s="252"/>
    </row>
    <row r="15" spans="1:9" ht="210.75" customHeight="1" x14ac:dyDescent="0.2">
      <c r="B15" s="22"/>
      <c r="C15" s="253" t="s">
        <v>135</v>
      </c>
      <c r="D15" s="254"/>
      <c r="E15" s="257" t="s">
        <v>164</v>
      </c>
      <c r="F15" s="258"/>
      <c r="G15" s="258"/>
      <c r="H15" s="258"/>
      <c r="I15" s="259"/>
    </row>
    <row r="16" spans="1:9" ht="210.75" customHeight="1" x14ac:dyDescent="0.2">
      <c r="B16" s="22"/>
      <c r="C16" s="253" t="s">
        <v>136</v>
      </c>
      <c r="D16" s="254"/>
      <c r="E16" s="257" t="s">
        <v>165</v>
      </c>
      <c r="F16" s="258"/>
      <c r="G16" s="258"/>
      <c r="H16" s="258"/>
      <c r="I16" s="259"/>
    </row>
    <row r="17" spans="2:9" ht="210.75" customHeight="1" x14ac:dyDescent="0.2">
      <c r="B17" s="23"/>
      <c r="C17" s="260" t="s">
        <v>137</v>
      </c>
      <c r="D17" s="261"/>
      <c r="E17" s="262" t="s">
        <v>161</v>
      </c>
      <c r="F17" s="263"/>
      <c r="G17" s="263"/>
      <c r="H17" s="263"/>
      <c r="I17" s="264"/>
    </row>
    <row r="18" spans="2:9" ht="24" customHeight="1" x14ac:dyDescent="0.2">
      <c r="B18" s="20" t="s">
        <v>138</v>
      </c>
      <c r="C18" s="24"/>
      <c r="D18" s="25"/>
      <c r="E18" s="26"/>
      <c r="F18" s="26"/>
      <c r="G18" s="26"/>
      <c r="H18" s="26"/>
      <c r="I18" s="29"/>
    </row>
    <row r="19" spans="2:9" ht="218.25" customHeight="1" x14ac:dyDescent="0.2">
      <c r="B19" s="22"/>
      <c r="C19" s="253" t="s">
        <v>139</v>
      </c>
      <c r="D19" s="254"/>
      <c r="E19" s="251" t="s">
        <v>162</v>
      </c>
      <c r="F19" s="251"/>
      <c r="G19" s="251"/>
      <c r="H19" s="251"/>
      <c r="I19" s="252"/>
    </row>
    <row r="20" spans="2:9" ht="218.25" customHeight="1" x14ac:dyDescent="0.2">
      <c r="B20" s="23"/>
      <c r="C20" s="260" t="s">
        <v>140</v>
      </c>
      <c r="D20" s="261"/>
      <c r="E20" s="263" t="s">
        <v>183</v>
      </c>
      <c r="F20" s="263"/>
      <c r="G20" s="263"/>
      <c r="H20" s="263"/>
      <c r="I20" s="264"/>
    </row>
    <row r="21" spans="2:9" ht="218.25" customHeight="1" x14ac:dyDescent="0.2">
      <c r="B21" s="270" t="s">
        <v>141</v>
      </c>
      <c r="C21" s="271"/>
      <c r="D21" s="272"/>
      <c r="E21" s="273" t="s">
        <v>163</v>
      </c>
      <c r="F21" s="273"/>
      <c r="G21" s="273"/>
      <c r="H21" s="273"/>
      <c r="I21" s="274"/>
    </row>
    <row r="22" spans="2:9" ht="218.25" customHeight="1" x14ac:dyDescent="0.2">
      <c r="B22" s="265" t="s">
        <v>142</v>
      </c>
      <c r="C22" s="266"/>
      <c r="D22" s="267"/>
      <c r="E22" s="268" t="s">
        <v>184</v>
      </c>
      <c r="F22" s="268"/>
      <c r="G22" s="268"/>
      <c r="H22" s="268"/>
      <c r="I22" s="269"/>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76"/>
      <c r="C28" s="76"/>
      <c r="D28" s="76"/>
      <c r="E28" s="76"/>
      <c r="F28" s="76"/>
      <c r="G28" s="76"/>
      <c r="H28" s="76"/>
      <c r="I28" s="76"/>
    </row>
    <row r="29" spans="2:9" ht="22.5" customHeight="1" x14ac:dyDescent="0.2">
      <c r="B29" s="76"/>
      <c r="C29" s="76"/>
      <c r="D29" s="76"/>
      <c r="E29" s="76"/>
      <c r="F29" s="76"/>
      <c r="G29" s="76"/>
      <c r="H29" s="76"/>
      <c r="I29" s="76"/>
    </row>
    <row r="30" spans="2:9" ht="22.5" customHeight="1" x14ac:dyDescent="0.2">
      <c r="B30" s="76"/>
      <c r="C30" s="76"/>
      <c r="D30" s="76"/>
      <c r="E30" s="76"/>
      <c r="F30" s="76"/>
      <c r="G30" s="76"/>
      <c r="H30" s="76"/>
      <c r="I30" s="76"/>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Atsuko Saito</cp:lastModifiedBy>
  <cp:revision/>
  <cp:lastPrinted>2025-07-03T03:49:00Z</cp:lastPrinted>
  <dcterms:created xsi:type="dcterms:W3CDTF">2011-06-14T05:32:50Z</dcterms:created>
  <dcterms:modified xsi:type="dcterms:W3CDTF">2025-07-03T03:49:03Z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