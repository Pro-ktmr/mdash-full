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fs1\fs1\大学\教育・学生支援部\教務・学生支援T\教務系\work\数理データサイエンスAI教育プログラム認定制度\申請\再々提出\回答\再々提出_八戸工業大学_0718\"/>
    </mc:Choice>
  </mc:AlternateContent>
  <xr:revisionPtr revIDLastSave="0" documentId="13_ncr:1_{555ED536-6FCD-482F-BAF8-76DDC039272A}" xr6:coauthVersionLast="47" xr6:coauthVersionMax="47" xr10:uidLastSave="{00000000-0000-0000-0000-000000000000}"/>
  <bookViews>
    <workbookView xWindow="-120" yWindow="-120" windowWidth="38640" windowHeight="211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14" i="40"/>
  <c r="R33" i="40" l="1"/>
  <c r="S33" i="40" s="1"/>
</calcChain>
</file>

<file path=xl/sharedStrings.xml><?xml version="1.0" encoding="utf-8"?>
<sst xmlns="http://schemas.openxmlformats.org/spreadsheetml/2006/main" count="295" uniqueCount="198">
  <si>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</si>
  <si>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</si>
  <si>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</si>
  <si>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</si>
  <si>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</si>
  <si>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</si>
  <si>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</si>
  <si>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</si>
  <si>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</si>
  <si>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</si>
  <si>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</si>
  <si>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</si>
  <si>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</si>
  <si>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</si>
  <si>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</si>
  <si>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</si>
  <si>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</si>
  <si>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</si>
  <si>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</si>
  <si>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</si>
  <si>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</si>
  <si>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</si>
  <si>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</si>
  <si>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</si>
  <si>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</si>
  <si>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</si>
  <si>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</si>
  <si>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</si>
  <si>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</si>
  <si>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</si>
  <si>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</si>
  <si>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</si>
  <si>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</si>
  <si>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</si>
  <si>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</si>
  <si>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</si>
  <si>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</si>
  <si>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</si>
  <si>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</si>
  <si>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</si>
  <si>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</si>
  <si>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</si>
  <si>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</si>
  <si>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</si>
  <si>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</si>
  <si>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</si>
  <si>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</si>
  <si>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</si>
  <si>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</si>
  <si>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</si>
  <si>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</si>
  <si>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</si>
  <si>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</si>
  <si>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</si>
  <si>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</si>
  <si>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</si>
  <si>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</si>
  <si>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</si>
  <si>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</si>
  <si>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</si>
  <si>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</si>
  <si>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</si>
  <si>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</si>
  <si>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</si>
  <si>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</si>
  <si>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</si>
  <si>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</si>
  <si>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</si>
  <si>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</si>
  <si>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</si>
  <si>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</si>
  <si>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</si>
  <si>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</si>
  <si>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</si>
  <si>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</si>
  <si>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</si>
  <si>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</si>
  <si>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</si>
  <si>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</si>
  <si>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</si>
  <si>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</si>
  <si>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</si>
  <si>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</si>
  <si>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</si>
  <si>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</si>
  <si>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</si>
  <si>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</si>
  <si>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</si>
  <si>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</si>
  <si>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</si>
  <si>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</si>
  <si>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</si>
  <si>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</si>
  <si>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</si>
  <si>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</si>
  <si>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</si>
  <si>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</si>
  <si>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</si>
  <si>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</si>
  <si>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</si>
  <si>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</si>
  <si>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</si>
  <si>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</si>
  <si>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</si>
  <si>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</si>
  <si>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</si>
  <si>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</si>
  <si>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</si>
  <si>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</si>
  <si>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</si>
  <si>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</si>
  <si>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</si>
  <si>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</si>
  <si>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</si>
  <si>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</si>
  <si>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</si>
  <si>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</si>
  <si>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</si>
  <si>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</si>
  <si>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</si>
  <si>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</si>
  <si>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</si>
  <si>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</si>
  <si>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</si>
  <si>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</si>
  <si>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</si>
  <si>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</si>
  <si>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</si>
  <si>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</si>
  <si>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</si>
  <si>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</si>
  <si>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</si>
  <si>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</si>
  <si>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</si>
  <si>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</si>
  <si>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</si>
  <si>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</si>
  <si>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</si>
  <si>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</si>
  <si>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</si>
  <si>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</si>
  <si>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</si>
  <si>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</si>
  <si>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八戸工業大学</t>
  </si>
  <si>
    <t>数理・データサイエンス・AI教育プログラム</t>
  </si>
  <si>
    <t>学部・学科によって、修了要件は相違しない</t>
  </si>
  <si>
    <t>AI・データサイエンス入門</t>
    <phoneticPr fontId="1"/>
  </si>
  <si>
    <t>○</t>
  </si>
  <si>
    <t>AI・データサイエンス入門</t>
  </si>
  <si>
    <t>データアナリティクスⅠ</t>
  </si>
  <si>
    <t>微分積分</t>
  </si>
  <si>
    <t>線形代数</t>
  </si>
  <si>
    <t>確率・統計</t>
  </si>
  <si>
    <t>データアナリティクスⅡ</t>
  </si>
  <si>
    <t>4-1統計および数理基礎</t>
  </si>
  <si>
    <t>4‐7データハンドリング</t>
  </si>
  <si>
    <t>その他</t>
  </si>
  <si>
    <t>・ビッグデータ、IoT、AI、生成AI「AI・データサイエンス入門」1回目
・第4次産業革命、Society 5.0、データ駆動型社会「AI・データサイエンス入門」1回目</t>
    <rPh sb="35" eb="37">
      <t>カイメ</t>
    </rPh>
    <phoneticPr fontId="1"/>
  </si>
  <si>
    <t>・AI最新技術の活用例（深層生成モデル、強化学習、転移学習、生成AIなど）「AI・データサイエンス入門」9回目
・AI等を活用した新しいビジネスモデル(シェアリングエコノミー、商品のレコメンデーションなど)「AI・データサイエンス入門」9回目
・基盤モデル、大規模言語モデル、拡散モデル「AI・データサイエンス入門」1,9回目</t>
  </si>
  <si>
    <t>・調査データ、実験データ、人の行動ログデータ、機械の稼働ログデータなど「AI・データサイエンス入門」2回目
・1次データ、2次データ、データのメタ化「AI・データサイエンス入門」2回目
・構造化データ、非構造化データ（文章、画像/動画、音声/音楽など）「AI・データサイエンス入門」2回目
・データ作成（ビッグデータとアノテーション）「AI・データサイエンス入門」2回目
・データのオープン化（オープンデータ）「AI・データサイエンス入門」2回目</t>
  </si>
  <si>
    <t>・データ・AI活用領域の広がり(生産、消費、文化活動など)「AI・データサイエンス入門」2回目
・研究開発、調達、製造、物流、販売、マーケティング、サービスなど「AI・データサイエンス入門」2回目
・仮説検証、知識発見、原因究明、計画策定、判断支援、活動代替、新規生成など「AI・データサイエンス入門」2回目</t>
  </si>
  <si>
    <t>・データ解析：予測、グルーピング、パターン発見、最適化、モデル化とシミュレーション・データ同化など「AI・データサイエンス入門」3回目
・特化型AIと汎用AI、今のAIで出来ることと出来ないこと、AIとビッグデータ「AI・データサイエンス入門」3回目
・マルチモーダル（言語、画像、音声など）、生成AIの活用（プロンプトエンジニアリング）「AI・データサイエンス入門」9回目</t>
  </si>
  <si>
    <t>・教育、芸術、流通、製造、金融、サービス、インフラ、公共、ヘルスケア等におけるデータ・AI利活用事例紹介「AI・データサイエンス入門」10～15回目</t>
  </si>
  <si>
    <t>・倫理的・法的・社会的課題（ELSI：Ethical, Legal and Social Issues）「AI・データサイエンス入門」12回目
・個人情報保護、EU一般データ保護規則(GDPR)、忘れられる権利、オプトアウト「AI・データサイエンス入門」9,12回目
・データバイアス、アルゴリズムバイアス「AI・データサイエンス入門」9回目
・データ・AI活用における負の事例紹介「AI・データサイエンス入門」14回目
・生成AIの留意事項（ハルシネーションによる誤情報の生成、偽情報や有害コンテンツの生成・氾濫など）「AI・データサイエンス入門」1,9,14回目</t>
  </si>
  <si>
    <t>・情報セキュリティの3要素（機密性、完全性、可用性）「AI・データサイエンス入門」9回目
・情報漏洩等によるセキュリティ事故の事例紹介「AI・データサイエンス入門」12回目</t>
  </si>
  <si>
    <t>・データの種類（量的変数、質的変数）「AI・データサイエンス入門」4回目、「データアナリティクスⅠ」3回目
・データの分布(ヒストグラム)と代表値（平均値、中央値、最頻値）「AI・データサイエンス入門」4回目、「データアナリティクスⅠ」3回目
・代表値の性質の違い（実社会では平均値＝最頻値でないことが多い）「AI・データサイエンス入門」4回目、「データアナリティクスⅠ」3回目
・データのばらつき（分散、標準偏差、偏差値）「AI・データサイエンス入門」4回目、「データアナリティクスⅠ」3回目
・相関と因果（相関係数、擬似相関、交絡）、クロス集計表、分割表「AI・データサイエンス入門」4回目、「データアナリティクスⅠ」4回目
・観測データに含まれる誤差の扱い「AI・データサイエンス入門」2回目
・打ち切りや欠測を含むデータ、層別の必要なデータ「AI・データサイエンス入門」5回目
・統計情報の正しい理解（誇張表現に惑わされない）「データアナリティクスⅠ」8回目
・母集団と標本抽出（国勢調査、アンケート調査、全数調査、単純無作為抽出、層別抽出、多段抽出）「データアナリティクスⅠ」9回目</t>
    <rPh sb="51" eb="53">
      <t>カイメ</t>
    </rPh>
    <phoneticPr fontId="1"/>
  </si>
  <si>
    <t>・データ表現（棒グラフ、折線グラフ、散布図、ヒートマップ、箱ひげ図）「AI・データサイエンス入門」4,5回目「データアナリティクスⅠ」7,8回目
・データの比較（条件をそろえた比較、処理の前後での比較、A/Bテスト)「AI・データサイエンス入門」12回目、「データアナリティクスⅠ」7,8回目
・不適切なグラフ表現（チャートジャンク、不必要な視覚的要素）「データアナリティクスⅠ」8回目
・相手に的確かつ正確に情報を伝える技術や考え方（スライド作成、プレゼンテーションなど）「データアナリティクスⅠ」14,15回目</t>
  </si>
  <si>
    <t>・データの取得（機械判読可能なデータの作成・表記方法）「AI・データサイエンス入門」4回目、「データアナリティクスⅠ」2回目
・表形式のデータ（csv）「データアナリティクスⅠ」2回目
・データの集計（和、平均）「データアナリティクスⅠ」3回目
・表形式のデータ（csv）「AI・データサイエンス入門」4回目</t>
  </si>
  <si>
    <t>・現代社会におけるデータとAIの役割と現状の動向を認識し、データリテラシーおよびAIの基本的な知識を習得する。
・データ・AIの具体的な活用事例を理解し、倫理的・法的に適切に取り扱うための注意点を把握する。
・基礎的な統計分析の手法を習得するとともに、分析結果に基づき事象の背景にある要因や本質的な意味合いを推論し、説明できる。</t>
  </si>
  <si>
    <t>令和４</t>
    <rPh sb="0" eb="2">
      <t>レイワ</t>
    </rPh>
    <phoneticPr fontId="1"/>
  </si>
  <si>
    <t>工学部・工学科</t>
    <rPh sb="0" eb="3">
      <t>コウガクブ</t>
    </rPh>
    <rPh sb="4" eb="7">
      <t>コウガクカ</t>
    </rPh>
    <phoneticPr fontId="1"/>
  </si>
  <si>
    <t>感性デザイン学部・感性デザイン学科</t>
    <rPh sb="0" eb="2">
      <t>カンセイ</t>
    </rPh>
    <rPh sb="6" eb="8">
      <t>ガクブ</t>
    </rPh>
    <rPh sb="9" eb="11">
      <t>カンセイ</t>
    </rPh>
    <rPh sb="15" eb="17">
      <t>ガッカ</t>
    </rPh>
    <phoneticPr fontId="1"/>
  </si>
  <si>
    <t>佐々木　崇徳</t>
    <rPh sb="0" eb="6">
      <t>ササキ</t>
    </rPh>
    <phoneticPr fontId="1"/>
  </si>
  <si>
    <t>基礎教育研究センター長</t>
    <rPh sb="0" eb="4">
      <t>キソキョウイク</t>
    </rPh>
    <rPh sb="4" eb="6">
      <t>ケンキュウ</t>
    </rPh>
    <rPh sb="10" eb="11">
      <t>チョウ</t>
    </rPh>
    <phoneticPr fontId="1"/>
  </si>
  <si>
    <t>教育改革専門委員会</t>
    <rPh sb="0" eb="4">
      <t>キョウイクカイカク</t>
    </rPh>
    <rPh sb="4" eb="9">
      <t>センモンイインカイ</t>
    </rPh>
    <phoneticPr fontId="1"/>
  </si>
  <si>
    <t>金子　賢治</t>
    <rPh sb="0" eb="5">
      <t>カネコ</t>
    </rPh>
    <phoneticPr fontId="1"/>
  </si>
  <si>
    <t>学長補佐、教育・学生支援部長</t>
    <rPh sb="0" eb="4">
      <t>ガクチョウホサ</t>
    </rPh>
    <rPh sb="5" eb="7">
      <t>キョウイク</t>
    </rPh>
    <rPh sb="8" eb="14">
      <t>ガクセイシエンブチョウ</t>
    </rPh>
    <phoneticPr fontId="1"/>
  </si>
  <si>
    <t>八戸工業大学教育改革専門委員会規程</t>
  </si>
  <si>
    <t>　本プログラムの必修科目である「AI・データサイエンス入門」は令和4年度以降入学生全学部の必修科目となっているため、令和7年度以降は履修者数と在籍者数がほぼ等しい状態となる。履修率向上のためには在籍者数を増やす必要があり、本学の全体的な課題となる。また、令和4年度から開始した本プログラムも３年目となるが、展開科目の「データアナリティクスⅠ」「データアナリティクスⅡ」の２科目とも履修した学生が少ないため、プログラムの成果と課題を明確にした上でプログラム全体のブラッシュアップに努めるとともに、展開科目の履修も促したい。</t>
    <rPh sb="1" eb="2">
      <t>ホン</t>
    </rPh>
    <rPh sb="8" eb="10">
      <t>ヒッシュウ</t>
    </rPh>
    <rPh sb="10" eb="12">
      <t>カモク</t>
    </rPh>
    <rPh sb="27" eb="29">
      <t>ニュウモン</t>
    </rPh>
    <rPh sb="31" eb="33">
      <t>レイワ</t>
    </rPh>
    <rPh sb="34" eb="36">
      <t>ネンド</t>
    </rPh>
    <rPh sb="36" eb="38">
      <t>イコウ</t>
    </rPh>
    <rPh sb="38" eb="41">
      <t>ニュウガクセイ</t>
    </rPh>
    <rPh sb="41" eb="44">
      <t>ゼンガクブ</t>
    </rPh>
    <rPh sb="45" eb="47">
      <t>ヒッシュウ</t>
    </rPh>
    <rPh sb="47" eb="49">
      <t>カモク</t>
    </rPh>
    <rPh sb="58" eb="60">
      <t>レイワ</t>
    </rPh>
    <rPh sb="61" eb="63">
      <t>ネンド</t>
    </rPh>
    <rPh sb="63" eb="65">
      <t>イコウ</t>
    </rPh>
    <rPh sb="66" eb="70">
      <t>リシュウシャスウ</t>
    </rPh>
    <rPh sb="71" eb="75">
      <t>ザイセキシャスウ</t>
    </rPh>
    <rPh sb="78" eb="79">
      <t>ヒト</t>
    </rPh>
    <rPh sb="81" eb="83">
      <t>ジョウタイ</t>
    </rPh>
    <rPh sb="87" eb="90">
      <t>リシュウリツ</t>
    </rPh>
    <rPh sb="90" eb="92">
      <t>コウジョウ</t>
    </rPh>
    <rPh sb="97" eb="100">
      <t>ザイセキシャ</t>
    </rPh>
    <rPh sb="100" eb="101">
      <t>スウ</t>
    </rPh>
    <rPh sb="102" eb="103">
      <t>フ</t>
    </rPh>
    <rPh sb="105" eb="107">
      <t>ヒツヨウ</t>
    </rPh>
    <rPh sb="111" eb="113">
      <t>ホンガク</t>
    </rPh>
    <rPh sb="114" eb="117">
      <t>ゼンタイテキ</t>
    </rPh>
    <rPh sb="118" eb="120">
      <t>カダイ</t>
    </rPh>
    <rPh sb="153" eb="155">
      <t>テンカイ</t>
    </rPh>
    <rPh sb="186" eb="188">
      <t>カモク</t>
    </rPh>
    <rPh sb="190" eb="192">
      <t>リシュウ</t>
    </rPh>
    <rPh sb="194" eb="196">
      <t>ガクセイ</t>
    </rPh>
    <rPh sb="197" eb="198">
      <t>スク</t>
    </rPh>
    <rPh sb="252" eb="254">
      <t>リシュウ</t>
    </rPh>
    <rPh sb="255" eb="256">
      <t>ウナガ</t>
    </rPh>
    <phoneticPr fontId="1"/>
  </si>
  <si>
    <t>　 本プログラムの必修科目である「AI・データサイエンス入門」は、令和4年度以降入学生全学部の必修科目となっているため、全学部生が受講しプログラム修了が可能である。ただし、展開科目群については履修率が低いため、プログラム修了に留まらず、より深い知識を得られる展開科目群等の履修率向上を図る必要がある。改善策としては、全学部生が履修する「AI・データサイエンス入門」において各コースと関連のある領域におけるAI・データサイエンスの活用事例を紹介し、各専門分野への関連を理解できるような教材を準備する。また、専門用語を多用することから、システム情報工学コース以外の学生を放置しないよう、より分かりやすく伝えるための工夫を施す。
　また、教育・学生支援部においては、時間割の重複を避けるよう配置することで履修率向上を目指す。</t>
    <rPh sb="2" eb="3">
      <t>ホン</t>
    </rPh>
    <rPh sb="9" eb="11">
      <t>ヒッシュウ</t>
    </rPh>
    <rPh sb="11" eb="13">
      <t>カモク</t>
    </rPh>
    <rPh sb="60" eb="63">
      <t>ゼンガクブ</t>
    </rPh>
    <rPh sb="65" eb="67">
      <t>ジュコウ</t>
    </rPh>
    <rPh sb="73" eb="75">
      <t>シュウリョウ</t>
    </rPh>
    <rPh sb="76" eb="78">
      <t>カノウ</t>
    </rPh>
    <rPh sb="86" eb="88">
      <t>テンカイ</t>
    </rPh>
    <rPh sb="88" eb="91">
      <t>カモクグン</t>
    </rPh>
    <rPh sb="96" eb="99">
      <t>リシュウリツ</t>
    </rPh>
    <rPh sb="100" eb="101">
      <t>ヒク</t>
    </rPh>
    <rPh sb="110" eb="112">
      <t>シュウリョウ</t>
    </rPh>
    <rPh sb="134" eb="135">
      <t>トウ</t>
    </rPh>
    <rPh sb="136" eb="139">
      <t>リシュウリツ</t>
    </rPh>
    <rPh sb="139" eb="141">
      <t>コウジョウ</t>
    </rPh>
    <rPh sb="142" eb="143">
      <t>ハカ</t>
    </rPh>
    <rPh sb="144" eb="146">
      <t>ヒツヨウ</t>
    </rPh>
    <rPh sb="158" eb="161">
      <t>ゼンガクブ</t>
    </rPh>
    <rPh sb="161" eb="162">
      <t>セイ</t>
    </rPh>
    <rPh sb="163" eb="165">
      <t>リシュウ</t>
    </rPh>
    <rPh sb="179" eb="181">
      <t>ニュウモン</t>
    </rPh>
    <rPh sb="186" eb="187">
      <t>カク</t>
    </rPh>
    <rPh sb="191" eb="193">
      <t>カンレン</t>
    </rPh>
    <rPh sb="196" eb="198">
      <t>リョウイキ</t>
    </rPh>
    <rPh sb="214" eb="218">
      <t>カツヨウジレイ</t>
    </rPh>
    <rPh sb="219" eb="221">
      <t>ショウカイ</t>
    </rPh>
    <rPh sb="223" eb="224">
      <t>カク</t>
    </rPh>
    <rPh sb="224" eb="228">
      <t>センモンブンヤ</t>
    </rPh>
    <rPh sb="230" eb="232">
      <t>カンレン</t>
    </rPh>
    <rPh sb="233" eb="235">
      <t>リカイ</t>
    </rPh>
    <rPh sb="241" eb="243">
      <t>キョウザイ</t>
    </rPh>
    <rPh sb="244" eb="246">
      <t>ジュンビ</t>
    </rPh>
    <rPh sb="252" eb="256">
      <t>センモンヨウゴ</t>
    </rPh>
    <rPh sb="257" eb="259">
      <t>タヨウ</t>
    </rPh>
    <rPh sb="270" eb="274">
      <t>ジョウホウコウガク</t>
    </rPh>
    <rPh sb="277" eb="279">
      <t>イガイ</t>
    </rPh>
    <rPh sb="280" eb="282">
      <t>ガクセイ</t>
    </rPh>
    <rPh sb="283" eb="285">
      <t>ホウチ</t>
    </rPh>
    <rPh sb="293" eb="294">
      <t>ワ</t>
    </rPh>
    <rPh sb="299" eb="300">
      <t>ツタ</t>
    </rPh>
    <rPh sb="305" eb="307">
      <t>クフウ</t>
    </rPh>
    <rPh sb="308" eb="309">
      <t>ホドコ</t>
    </rPh>
    <rPh sb="316" eb="318">
      <t>キョウイク</t>
    </rPh>
    <rPh sb="319" eb="321">
      <t>ガクセイ</t>
    </rPh>
    <rPh sb="321" eb="324">
      <t>シエンブ</t>
    </rPh>
    <rPh sb="330" eb="333">
      <t>ジカンワリ</t>
    </rPh>
    <rPh sb="334" eb="336">
      <t>ジュウフク</t>
    </rPh>
    <rPh sb="337" eb="338">
      <t>サ</t>
    </rPh>
    <rPh sb="342" eb="344">
      <t>ハイチ</t>
    </rPh>
    <rPh sb="349" eb="352">
      <t>リシュウリツ</t>
    </rPh>
    <rPh sb="352" eb="354">
      <t>コウジョウ</t>
    </rPh>
    <rPh sb="355" eb="357">
      <t>メザ</t>
    </rPh>
    <phoneticPr fontId="1"/>
  </si>
  <si>
    <t>　1学年を対象とした教務系ガイダンスにて、本プログラムの意義や内容を記載したチラシを配布し、苦手意識を持つ学生に対してもデータサイエンスの必要性や、各専門分野との関連性があることを説明している。また、工学部・感性デザイン学部ともに必修である「AI・データサイエンス入門」の単位を取得することでプログラム修了が可能な制度となっているため、基礎科目群のみならず展開科目群の科目についても説明し、プログラムの体系的な部分も理解してもらえるような工夫をしている。また、展開科目群の科目内容については、専門用語の説明に時間をかけて丁寧に説明することで、プログラミングになじみのない学生でも取り掛かりやすくなるようにする。加えて、講義で取り扱うデータを多様にし、実データも多数扱うことで、学科・コースによらず多くの学生が興味の持つことができる内容にしていく予定である。</t>
    <rPh sb="34" eb="36">
      <t>キサイ</t>
    </rPh>
    <rPh sb="42" eb="44">
      <t>ハイフ</t>
    </rPh>
    <rPh sb="74" eb="79">
      <t>カクセンモンブンヤ</t>
    </rPh>
    <rPh sb="81" eb="84">
      <t>カンレンセイ</t>
    </rPh>
    <rPh sb="90" eb="92">
      <t>セツメイ</t>
    </rPh>
    <rPh sb="184" eb="186">
      <t>カモク</t>
    </rPh>
    <rPh sb="191" eb="193">
      <t>セツメイ</t>
    </rPh>
    <rPh sb="201" eb="203">
      <t>タイケイ</t>
    </rPh>
    <rPh sb="203" eb="204">
      <t>テキ</t>
    </rPh>
    <rPh sb="205" eb="207">
      <t>ブブン</t>
    </rPh>
    <rPh sb="208" eb="210">
      <t>リカイ</t>
    </rPh>
    <rPh sb="219" eb="221">
      <t>クフウ</t>
    </rPh>
    <rPh sb="236" eb="238">
      <t>カモク</t>
    </rPh>
    <rPh sb="238" eb="240">
      <t>ナイヨウ</t>
    </rPh>
    <rPh sb="246" eb="250">
      <t>センモンヨウゴ</t>
    </rPh>
    <rPh sb="251" eb="253">
      <t>セツメイ</t>
    </rPh>
    <rPh sb="254" eb="256">
      <t>ジカン</t>
    </rPh>
    <rPh sb="260" eb="262">
      <t>テイネイ</t>
    </rPh>
    <rPh sb="263" eb="265">
      <t>セツメイ</t>
    </rPh>
    <rPh sb="305" eb="306">
      <t>クワ</t>
    </rPh>
    <rPh sb="325" eb="326">
      <t>ジツ</t>
    </rPh>
    <rPh sb="330" eb="332">
      <t>タスウ</t>
    </rPh>
    <rPh sb="332" eb="333">
      <t>アツカ</t>
    </rPh>
    <rPh sb="348" eb="349">
      <t>オオ</t>
    </rPh>
    <rPh sb="351" eb="353">
      <t>ガクセイ</t>
    </rPh>
    <rPh sb="372" eb="374">
      <t>ヨテイ</t>
    </rPh>
    <phoneticPr fontId="1"/>
  </si>
  <si>
    <t>　全学部生必修科目である「AI・データサイエンス入門」の担当教員には全学科・コースの教員が含まれているため、分からない部分については身近な所属学科・コースの教員に質問できる体制が整っている。また、履修者数が多いため本学システム情報工学科を卒業したTAを配置している。TAは、学生のつまづく部分を熟知しており、より学生に近い視点で指導、また学生の分からない気持ちに寄り添いながら指導できることも利点である。実際に、学生からは「教員や学生が多くいるので、分からないところをすぐに質問することができた。」というコメントも寄せられている。
また、Classroomを使用して動画を共有しているため、復習時に大いに活用できる。
さらに、全科目のシラバスにオフィスアワーを記載し、授業時間外でも質問を受け付けている。</t>
    <rPh sb="1" eb="4">
      <t>ゼンガクブ</t>
    </rPh>
    <rPh sb="4" eb="5">
      <t>セイ</t>
    </rPh>
    <rPh sb="5" eb="7">
      <t>ヒッシュウ</t>
    </rPh>
    <rPh sb="7" eb="9">
      <t>カモク</t>
    </rPh>
    <rPh sb="24" eb="26">
      <t>ニュウモン</t>
    </rPh>
    <rPh sb="28" eb="32">
      <t>タントウキョウイン</t>
    </rPh>
    <rPh sb="34" eb="35">
      <t>ゼン</t>
    </rPh>
    <rPh sb="35" eb="37">
      <t>ガッカ</t>
    </rPh>
    <rPh sb="42" eb="44">
      <t>キョウイン</t>
    </rPh>
    <rPh sb="45" eb="46">
      <t>フク</t>
    </rPh>
    <rPh sb="54" eb="55">
      <t>ワ</t>
    </rPh>
    <rPh sb="59" eb="61">
      <t>ブブン</t>
    </rPh>
    <rPh sb="66" eb="68">
      <t>ミジカ</t>
    </rPh>
    <rPh sb="69" eb="71">
      <t>ショゾク</t>
    </rPh>
    <rPh sb="71" eb="73">
      <t>ガッカ</t>
    </rPh>
    <rPh sb="78" eb="80">
      <t>キョウイン</t>
    </rPh>
    <rPh sb="81" eb="83">
      <t>シツモン</t>
    </rPh>
    <rPh sb="86" eb="88">
      <t>タイセイ</t>
    </rPh>
    <rPh sb="89" eb="90">
      <t>トトノ</t>
    </rPh>
    <rPh sb="98" eb="102">
      <t>リシュウシャスウ</t>
    </rPh>
    <rPh sb="103" eb="104">
      <t>オオ</t>
    </rPh>
    <rPh sb="107" eb="109">
      <t>ホンガク</t>
    </rPh>
    <rPh sb="113" eb="118">
      <t>ジョウホウコウガクカ</t>
    </rPh>
    <rPh sb="119" eb="121">
      <t>ソツギョウ</t>
    </rPh>
    <rPh sb="126" eb="128">
      <t>ハイチ</t>
    </rPh>
    <rPh sb="137" eb="139">
      <t>ガクセイ</t>
    </rPh>
    <rPh sb="144" eb="146">
      <t>ブブン</t>
    </rPh>
    <rPh sb="147" eb="149">
      <t>ジュクチ</t>
    </rPh>
    <rPh sb="156" eb="158">
      <t>ガクセイ</t>
    </rPh>
    <rPh sb="159" eb="160">
      <t>チカ</t>
    </rPh>
    <rPh sb="161" eb="163">
      <t>シテン</t>
    </rPh>
    <rPh sb="164" eb="166">
      <t>シドウ</t>
    </rPh>
    <rPh sb="169" eb="171">
      <t>ガクセイ</t>
    </rPh>
    <rPh sb="172" eb="173">
      <t>ワ</t>
    </rPh>
    <rPh sb="177" eb="179">
      <t>キモ</t>
    </rPh>
    <rPh sb="181" eb="182">
      <t>ヨ</t>
    </rPh>
    <rPh sb="183" eb="184">
      <t>ソ</t>
    </rPh>
    <rPh sb="188" eb="190">
      <t>シドウ</t>
    </rPh>
    <rPh sb="196" eb="198">
      <t>リテン</t>
    </rPh>
    <rPh sb="202" eb="204">
      <t>ジッサイ</t>
    </rPh>
    <rPh sb="206" eb="208">
      <t>ガクセイ</t>
    </rPh>
    <rPh sb="212" eb="214">
      <t>キョウイン</t>
    </rPh>
    <rPh sb="215" eb="217">
      <t>ガクセイ</t>
    </rPh>
    <rPh sb="218" eb="219">
      <t>オオ</t>
    </rPh>
    <rPh sb="225" eb="226">
      <t>ワ</t>
    </rPh>
    <rPh sb="237" eb="239">
      <t>シツモン</t>
    </rPh>
    <rPh sb="257" eb="258">
      <t>ヨ</t>
    </rPh>
    <rPh sb="279" eb="281">
      <t>シヨウ</t>
    </rPh>
    <rPh sb="283" eb="285">
      <t>ドウガ</t>
    </rPh>
    <rPh sb="286" eb="288">
      <t>キョウユウ</t>
    </rPh>
    <rPh sb="295" eb="297">
      <t>フクシュウ</t>
    </rPh>
    <rPh sb="297" eb="298">
      <t>ジ</t>
    </rPh>
    <rPh sb="299" eb="300">
      <t>オオ</t>
    </rPh>
    <rPh sb="302" eb="304">
      <t>カツヨウ</t>
    </rPh>
    <phoneticPr fontId="1"/>
  </si>
  <si>
    <t>教育改革専門委員会</t>
    <rPh sb="0" eb="2">
      <t>キョウイク</t>
    </rPh>
    <rPh sb="2" eb="9">
      <t>カイカクセンモンイインカイ</t>
    </rPh>
    <phoneticPr fontId="1"/>
  </si>
  <si>
    <t>学長補佐、教育・学生支援部長</t>
  </si>
  <si>
    <t>教育・学生支援部において、プログラムの履修・取得状況を把握できる。
本プログラムの必修科目「AI・データサイエンス入門」を見ると、プログラムの履修・修得状況がおおよそ確認できる。
令和4年度　履修者数：273名　修得者数：244名　単位修得率：88.7% （新入学生数  275名）
令和5年度　履修者数：194名　修得者数：172名　単位修得率：90.5% （新入学生数　190名）
令和6年度　履修者数：197名  修得者数：167名　単位修得率：90.3% （新入学生数　185名）
「AI・データサイエンス入門」初年度の令和4年度から比較すると、単位修得率は上がっている。</t>
    <rPh sb="0" eb="2">
      <t>キョウイク</t>
    </rPh>
    <rPh sb="3" eb="8">
      <t>ガクセイシエンブ</t>
    </rPh>
    <rPh sb="19" eb="21">
      <t>リシュウ</t>
    </rPh>
    <rPh sb="22" eb="24">
      <t>シュトク</t>
    </rPh>
    <rPh sb="24" eb="26">
      <t>ジョウキョウ</t>
    </rPh>
    <rPh sb="27" eb="29">
      <t>ハアク</t>
    </rPh>
    <rPh sb="35" eb="36">
      <t>ホン</t>
    </rPh>
    <rPh sb="42" eb="46">
      <t>ヒッシュウカモク</t>
    </rPh>
    <rPh sb="62" eb="63">
      <t>ミ</t>
    </rPh>
    <rPh sb="72" eb="74">
      <t>リシュウ</t>
    </rPh>
    <rPh sb="75" eb="77">
      <t>シュウトク</t>
    </rPh>
    <rPh sb="77" eb="79">
      <t>ジョウキョウ</t>
    </rPh>
    <rPh sb="84" eb="86">
      <t>カクニン</t>
    </rPh>
    <rPh sb="91" eb="93">
      <t>レイワ</t>
    </rPh>
    <rPh sb="94" eb="96">
      <t>ネンド</t>
    </rPh>
    <rPh sb="97" eb="101">
      <t>リシュウシャスウ</t>
    </rPh>
    <rPh sb="105" eb="106">
      <t>メイ</t>
    </rPh>
    <rPh sb="107" eb="110">
      <t>シュウトクシャ</t>
    </rPh>
    <rPh sb="110" eb="111">
      <t>スウ</t>
    </rPh>
    <rPh sb="115" eb="116">
      <t>メイ</t>
    </rPh>
    <rPh sb="117" eb="122">
      <t>タンイシュウトクリツ</t>
    </rPh>
    <rPh sb="130" eb="134">
      <t>シンニュウガクセイ</t>
    </rPh>
    <rPh sb="134" eb="135">
      <t>スウ</t>
    </rPh>
    <rPh sb="140" eb="141">
      <t>メイ</t>
    </rPh>
    <rPh sb="143" eb="145">
      <t>レイワ</t>
    </rPh>
    <rPh sb="146" eb="148">
      <t>ネンド</t>
    </rPh>
    <rPh sb="149" eb="152">
      <t>リシュウシャ</t>
    </rPh>
    <rPh sb="152" eb="153">
      <t>スウ</t>
    </rPh>
    <rPh sb="157" eb="158">
      <t>メイ</t>
    </rPh>
    <rPh sb="167" eb="168">
      <t>メイ</t>
    </rPh>
    <rPh sb="194" eb="196">
      <t>レイワ</t>
    </rPh>
    <rPh sb="197" eb="199">
      <t>ネンド</t>
    </rPh>
    <rPh sb="208" eb="209">
      <t>メイ</t>
    </rPh>
    <rPh sb="219" eb="220">
      <t>メイ</t>
    </rPh>
    <rPh sb="221" eb="226">
      <t>タンイシュウトクリツ</t>
    </rPh>
    <rPh sb="243" eb="244">
      <t>メイ</t>
    </rPh>
    <rPh sb="259" eb="261">
      <t>ニュウモン</t>
    </rPh>
    <rPh sb="262" eb="265">
      <t>ショネンド</t>
    </rPh>
    <rPh sb="266" eb="268">
      <t>レイワ</t>
    </rPh>
    <rPh sb="269" eb="271">
      <t>ネンド</t>
    </rPh>
    <rPh sb="273" eb="275">
      <t>ヒカク</t>
    </rPh>
    <rPh sb="279" eb="284">
      <t>タンイシュウトクリツ</t>
    </rPh>
    <rPh sb="285" eb="286">
      <t>ア</t>
    </rPh>
    <phoneticPr fontId="1"/>
  </si>
  <si>
    <t>教育・学生支援部において学生に対して実施する授業評価アンケートから、学生の満足度、理解度などを把握することができる。アンケート結果から、序盤でつまずいてしまう学生も数名いたことが確認できたため、次年度は基礎の部分をもう少し手厚く教えられるよう時間を確保する、グループワークを取り入れてお互いに教えあえる機会を作る、などの工夫を施し改善につなげている。</t>
    <rPh sb="0" eb="2">
      <t>キョウイク</t>
    </rPh>
    <rPh sb="3" eb="8">
      <t>ガクセイシエンブ</t>
    </rPh>
    <rPh sb="12" eb="14">
      <t>ガクセイ</t>
    </rPh>
    <rPh sb="15" eb="16">
      <t>タイ</t>
    </rPh>
    <rPh sb="18" eb="20">
      <t>ジッシ</t>
    </rPh>
    <rPh sb="22" eb="24">
      <t>ジュギョウ</t>
    </rPh>
    <rPh sb="24" eb="26">
      <t>ヒョウカ</t>
    </rPh>
    <rPh sb="34" eb="36">
      <t>ガクセイ</t>
    </rPh>
    <rPh sb="37" eb="39">
      <t>マンゾク</t>
    </rPh>
    <rPh sb="39" eb="40">
      <t>ド</t>
    </rPh>
    <rPh sb="41" eb="43">
      <t>リカイ</t>
    </rPh>
    <rPh sb="43" eb="44">
      <t>ド</t>
    </rPh>
    <rPh sb="47" eb="49">
      <t>ハアク</t>
    </rPh>
    <rPh sb="63" eb="65">
      <t>ケッカ</t>
    </rPh>
    <rPh sb="68" eb="70">
      <t>ジョバン</t>
    </rPh>
    <rPh sb="79" eb="81">
      <t>ガクセイ</t>
    </rPh>
    <rPh sb="82" eb="84">
      <t>スウメイ</t>
    </rPh>
    <rPh sb="89" eb="91">
      <t>カクニン</t>
    </rPh>
    <rPh sb="97" eb="100">
      <t>ジネンド</t>
    </rPh>
    <rPh sb="101" eb="103">
      <t>キソ</t>
    </rPh>
    <rPh sb="104" eb="106">
      <t>ブブン</t>
    </rPh>
    <rPh sb="109" eb="110">
      <t>スコ</t>
    </rPh>
    <rPh sb="111" eb="113">
      <t>テアツ</t>
    </rPh>
    <rPh sb="114" eb="115">
      <t>オシ</t>
    </rPh>
    <rPh sb="121" eb="123">
      <t>ジカン</t>
    </rPh>
    <rPh sb="124" eb="126">
      <t>カクホ</t>
    </rPh>
    <rPh sb="137" eb="138">
      <t>ト</t>
    </rPh>
    <rPh sb="139" eb="140">
      <t>イ</t>
    </rPh>
    <rPh sb="143" eb="144">
      <t>タガ</t>
    </rPh>
    <rPh sb="146" eb="147">
      <t>オシ</t>
    </rPh>
    <rPh sb="151" eb="153">
      <t>キカイ</t>
    </rPh>
    <rPh sb="154" eb="155">
      <t>ツク</t>
    </rPh>
    <rPh sb="160" eb="162">
      <t>クフウ</t>
    </rPh>
    <rPh sb="163" eb="164">
      <t>ホドコ</t>
    </rPh>
    <rPh sb="165" eb="167">
      <t>カイゼン</t>
    </rPh>
    <phoneticPr fontId="1"/>
  </si>
  <si>
    <t>　授業評価アンケートから、「いろんな分野でAIがどのように活用されていたかを知ることができた。」「未来に繋がる面白い授業だった」「授業中で分からないことでも教師とリアルタイムで実習を行うことでその場で理解することができた。」など、授業の充実感のみではなく苦手意識を持つ学生も安心できるようなコメントがあったため、後輩等他学生への推奨が期待できる。なお、推奨度を直接測定する調査は実施していない。</t>
    <rPh sb="1" eb="5">
      <t>ジュギョウヒョウカ</t>
    </rPh>
    <rPh sb="118" eb="120">
      <t>ジュウジツ</t>
    </rPh>
    <rPh sb="120" eb="121">
      <t>カン</t>
    </rPh>
    <rPh sb="127" eb="129">
      <t>ニガテ</t>
    </rPh>
    <rPh sb="129" eb="131">
      <t>イシキ</t>
    </rPh>
    <rPh sb="132" eb="133">
      <t>モ</t>
    </rPh>
    <rPh sb="134" eb="136">
      <t>ガクセイ</t>
    </rPh>
    <rPh sb="137" eb="139">
      <t>アンシン</t>
    </rPh>
    <rPh sb="156" eb="158">
      <t>コウハイ</t>
    </rPh>
    <rPh sb="158" eb="159">
      <t>トウ</t>
    </rPh>
    <rPh sb="159" eb="160">
      <t>ホカ</t>
    </rPh>
    <rPh sb="160" eb="162">
      <t>ガクセイ</t>
    </rPh>
    <rPh sb="164" eb="166">
      <t>スイショウ</t>
    </rPh>
    <rPh sb="167" eb="169">
      <t>キタイ</t>
    </rPh>
    <rPh sb="176" eb="179">
      <t>スイショウド</t>
    </rPh>
    <rPh sb="180" eb="182">
      <t>チョクセツ</t>
    </rPh>
    <rPh sb="182" eb="184">
      <t>ソクテイ</t>
    </rPh>
    <rPh sb="186" eb="188">
      <t>チョウサ</t>
    </rPh>
    <rPh sb="189" eb="191">
      <t>ジッシ</t>
    </rPh>
    <phoneticPr fontId="1"/>
  </si>
  <si>
    <t>本プログラムは令和４年度から開始しておりプログラム修了生もまだ在学中であるため、令和7年時点で修了者の進路、活躍状況、企業等の評価は確認できていない。
しかしながら、本学では以前より企業と卒業生本人を対象とした卒業生アンケートを実施しており、本プログラムの成果や企業からの評価を計測できる体制は整っている。具体的には、本プログラム科目の修得因子である「数量的スキル」「情報リテラシー力」がどの程度身に付いているかを、卒業生本人と企業から回答していただき、プログラム開始以前の学生と開始後の学生とを比較することで成果を可視化できる。</t>
    <rPh sb="0" eb="1">
      <t>ホン</t>
    </rPh>
    <rPh sb="7" eb="9">
      <t>レイワ</t>
    </rPh>
    <rPh sb="10" eb="12">
      <t>ネンド</t>
    </rPh>
    <rPh sb="14" eb="16">
      <t>カイシ</t>
    </rPh>
    <rPh sb="25" eb="27">
      <t>シュウリョウ</t>
    </rPh>
    <rPh sb="27" eb="28">
      <t>セイ</t>
    </rPh>
    <rPh sb="31" eb="34">
      <t>ザイガクチュウ</t>
    </rPh>
    <rPh sb="40" eb="42">
      <t>レイワ</t>
    </rPh>
    <rPh sb="43" eb="44">
      <t>ネン</t>
    </rPh>
    <rPh sb="44" eb="46">
      <t>ジテン</t>
    </rPh>
    <rPh sb="47" eb="50">
      <t>シュウリョウシャ</t>
    </rPh>
    <rPh sb="51" eb="53">
      <t>シンロ</t>
    </rPh>
    <rPh sb="54" eb="56">
      <t>カツヤク</t>
    </rPh>
    <rPh sb="56" eb="58">
      <t>ジョウキョウ</t>
    </rPh>
    <rPh sb="59" eb="61">
      <t>キギョウ</t>
    </rPh>
    <rPh sb="61" eb="62">
      <t>トウ</t>
    </rPh>
    <rPh sb="63" eb="65">
      <t>ヒョウカ</t>
    </rPh>
    <rPh sb="66" eb="68">
      <t>カクニン</t>
    </rPh>
    <rPh sb="83" eb="85">
      <t>ホンガク</t>
    </rPh>
    <rPh sb="87" eb="89">
      <t>イゼン</t>
    </rPh>
    <rPh sb="91" eb="93">
      <t>キギョウ</t>
    </rPh>
    <rPh sb="94" eb="97">
      <t>ソツギョウセイ</t>
    </rPh>
    <rPh sb="97" eb="99">
      <t>ホンニン</t>
    </rPh>
    <rPh sb="100" eb="102">
      <t>タイショウ</t>
    </rPh>
    <rPh sb="105" eb="107">
      <t>ソツギョウ</t>
    </rPh>
    <rPh sb="107" eb="108">
      <t>セイ</t>
    </rPh>
    <rPh sb="114" eb="116">
      <t>ジッシ</t>
    </rPh>
    <rPh sb="153" eb="156">
      <t>グタイテキ</t>
    </rPh>
    <rPh sb="159" eb="160">
      <t>ホン</t>
    </rPh>
    <rPh sb="165" eb="167">
      <t>カモク</t>
    </rPh>
    <rPh sb="168" eb="170">
      <t>シュウトク</t>
    </rPh>
    <rPh sb="170" eb="172">
      <t>インシ</t>
    </rPh>
    <rPh sb="176" eb="179">
      <t>スウリョウテキ</t>
    </rPh>
    <rPh sb="184" eb="186">
      <t>ジョウホウ</t>
    </rPh>
    <rPh sb="191" eb="192">
      <t>リョク</t>
    </rPh>
    <rPh sb="196" eb="198">
      <t>テイド</t>
    </rPh>
    <rPh sb="198" eb="199">
      <t>ミ</t>
    </rPh>
    <rPh sb="200" eb="201">
      <t>ツ</t>
    </rPh>
    <rPh sb="208" eb="211">
      <t>ソツギョウセイ</t>
    </rPh>
    <rPh sb="211" eb="213">
      <t>ホンニン</t>
    </rPh>
    <rPh sb="214" eb="216">
      <t>キギョウ</t>
    </rPh>
    <rPh sb="218" eb="220">
      <t>カイトウ</t>
    </rPh>
    <rPh sb="232" eb="234">
      <t>カイシ</t>
    </rPh>
    <rPh sb="234" eb="236">
      <t>イゼン</t>
    </rPh>
    <rPh sb="237" eb="239">
      <t>ガクセイ</t>
    </rPh>
    <rPh sb="240" eb="243">
      <t>カイシゴ</t>
    </rPh>
    <rPh sb="244" eb="246">
      <t>ガクセイ</t>
    </rPh>
    <rPh sb="248" eb="250">
      <t>ヒカク</t>
    </rPh>
    <rPh sb="255" eb="257">
      <t>セイカ</t>
    </rPh>
    <rPh sb="258" eb="261">
      <t>カシカ</t>
    </rPh>
    <phoneticPr fontId="1"/>
  </si>
  <si>
    <t>外部評価委員会や共同研究、企業アンケートなど様々な機会を活用し産業界からの意見を伺い、教育プログラム改善の参考とする。これまで企業側からいただいた意見の中には、『「数量的スキル」「論理的思考力」を持っている人材が必要』との声もあり、特に「数量的スキル」においては本プログラムの科目で身に付けられる要素であるため、引き続き情報収集の場として積極的に意見を伺いたい。また、本学への理解が深い卒業生とも同窓会などを通して意見交換を行い、教育プログラムへの要望・期待などを取り入れることとしている。</t>
    <rPh sb="0" eb="2">
      <t>ガイブ</t>
    </rPh>
    <rPh sb="2" eb="7">
      <t>ヒョウカイインカイ</t>
    </rPh>
    <rPh sb="8" eb="12">
      <t>キョウドウケンキュウ</t>
    </rPh>
    <rPh sb="13" eb="15">
      <t>キギョウ</t>
    </rPh>
    <rPh sb="22" eb="24">
      <t>サマザマ</t>
    </rPh>
    <rPh sb="25" eb="27">
      <t>キカイ</t>
    </rPh>
    <rPh sb="28" eb="30">
      <t>カツヨウ</t>
    </rPh>
    <rPh sb="31" eb="34">
      <t>サンギョウカイ</t>
    </rPh>
    <rPh sb="37" eb="39">
      <t>イケン</t>
    </rPh>
    <rPh sb="40" eb="41">
      <t>ウカガ</t>
    </rPh>
    <rPh sb="43" eb="45">
      <t>キョウイク</t>
    </rPh>
    <rPh sb="50" eb="52">
      <t>カイゼン</t>
    </rPh>
    <rPh sb="53" eb="55">
      <t>サンコウ</t>
    </rPh>
    <rPh sb="63" eb="66">
      <t>キギョウガワ</t>
    </rPh>
    <rPh sb="73" eb="75">
      <t>イケン</t>
    </rPh>
    <rPh sb="76" eb="77">
      <t>ナカ</t>
    </rPh>
    <rPh sb="82" eb="85">
      <t>スウリョウテキ</t>
    </rPh>
    <rPh sb="90" eb="93">
      <t>ロンリテキ</t>
    </rPh>
    <rPh sb="93" eb="96">
      <t>シコウリョク</t>
    </rPh>
    <rPh sb="98" eb="99">
      <t>モ</t>
    </rPh>
    <rPh sb="103" eb="105">
      <t>ジンザイ</t>
    </rPh>
    <rPh sb="106" eb="108">
      <t>ヒツヨウ</t>
    </rPh>
    <rPh sb="111" eb="112">
      <t>コエ</t>
    </rPh>
    <rPh sb="116" eb="117">
      <t>トク</t>
    </rPh>
    <rPh sb="119" eb="122">
      <t>スウリョウテキ</t>
    </rPh>
    <rPh sb="131" eb="132">
      <t>ホン</t>
    </rPh>
    <rPh sb="138" eb="140">
      <t>カモク</t>
    </rPh>
    <rPh sb="141" eb="142">
      <t>ミ</t>
    </rPh>
    <rPh sb="143" eb="144">
      <t>ツ</t>
    </rPh>
    <rPh sb="148" eb="150">
      <t>ヨウソ</t>
    </rPh>
    <rPh sb="156" eb="157">
      <t>ヒ</t>
    </rPh>
    <rPh sb="158" eb="159">
      <t>ツヅ</t>
    </rPh>
    <rPh sb="160" eb="164">
      <t>ジョウホウシュウシュウ</t>
    </rPh>
    <rPh sb="165" eb="166">
      <t>バ</t>
    </rPh>
    <rPh sb="169" eb="172">
      <t>セッキョクテキ</t>
    </rPh>
    <rPh sb="173" eb="175">
      <t>イケン</t>
    </rPh>
    <rPh sb="176" eb="177">
      <t>ウカガ</t>
    </rPh>
    <rPh sb="184" eb="186">
      <t>ホンガク</t>
    </rPh>
    <rPh sb="188" eb="190">
      <t>リカイ</t>
    </rPh>
    <rPh sb="191" eb="192">
      <t>フカ</t>
    </rPh>
    <rPh sb="193" eb="196">
      <t>ソツギョウセイ</t>
    </rPh>
    <rPh sb="198" eb="201">
      <t>ドウソウカイ</t>
    </rPh>
    <rPh sb="204" eb="205">
      <t>トオ</t>
    </rPh>
    <phoneticPr fontId="1"/>
  </si>
  <si>
    <t>本教育プログラムを構成する科目である「AI・データサイエンス入門」の受講者に対して，「授業評価アンケート」の結果を踏まえ，学修成果に関する結果を自己点検および評価・改善に繋げ，「学ぶ楽しさ」「学ぶことの意義」を理解してもらえるような教育プログラムを検討する。
　展開科目「データアナリティクスⅠ」では、統計分析や可視化方法について学ぶだけでなく、学んだことを活用して実問題に関するデータ分析・発表を行うことで、実問題との結びつきを体験できるようにし、学ぶことの楽しさ・意義を理解してもらえるようにしている。</t>
    <rPh sb="131" eb="135">
      <t>テンカイカモク</t>
    </rPh>
    <rPh sb="151" eb="155">
      <t>トウケイブンセキ</t>
    </rPh>
    <rPh sb="156" eb="159">
      <t>カシカ</t>
    </rPh>
    <rPh sb="159" eb="161">
      <t>ホウホウ</t>
    </rPh>
    <rPh sb="173" eb="174">
      <t>マナ</t>
    </rPh>
    <rPh sb="179" eb="181">
      <t>カツヨウ</t>
    </rPh>
    <rPh sb="183" eb="186">
      <t>ジツモンダイ</t>
    </rPh>
    <rPh sb="187" eb="188">
      <t>カン</t>
    </rPh>
    <rPh sb="193" eb="195">
      <t>ブンセキ</t>
    </rPh>
    <rPh sb="196" eb="198">
      <t>ハッピョウ</t>
    </rPh>
    <rPh sb="199" eb="200">
      <t>オコナ</t>
    </rPh>
    <rPh sb="205" eb="208">
      <t>ジツモンダイ</t>
    </rPh>
    <rPh sb="210" eb="211">
      <t>ムス</t>
    </rPh>
    <rPh sb="215" eb="217">
      <t>タイケン</t>
    </rPh>
    <rPh sb="225" eb="226">
      <t>マナ</t>
    </rPh>
    <rPh sb="230" eb="231">
      <t>タノ</t>
    </rPh>
    <rPh sb="234" eb="236">
      <t>イギ</t>
    </rPh>
    <rPh sb="237" eb="239">
      <t>リカイ</t>
    </rPh>
    <phoneticPr fontId="1"/>
  </si>
  <si>
    <r>
      <t>授業評価アンケートにより，学生の理解度を把握し，学修成果に関する結果を自己点検および評価・改善に繋げている。</t>
    </r>
    <r>
      <rPr>
        <sz val="12"/>
        <rFont val="ＭＳ Ｐゴシック"/>
        <family val="3"/>
        <charset val="128"/>
        <scheme val="minor"/>
      </rPr>
      <t>また、ＴＰ（ティーチング・ポートフォリオ）を活用し、教育実践、教育手法、理解度・達成度の向上、教育改善に繋げている。さらには、R6年度、弘前大学開催の青森県数理・データサイエンスAI教育シンポジウムに本学教員がパネリストとして出席。高等学校で</t>
    </r>
    <r>
      <rPr>
        <sz val="12"/>
        <color theme="1"/>
        <rFont val="ＭＳ Ｐゴシック"/>
        <family val="3"/>
        <charset val="128"/>
        <scheme val="minor"/>
      </rPr>
      <t>必修化された「情報Ⅰ」との接続や、社会に活きるデータサイエンス教育の在り方について、大学教員や企業、教育委員会等各方面からの意見交換があり、これらを参考としながらより分かりやすく、実践的な授業内容に見直す予定である。</t>
    </r>
    <rPh sb="76" eb="78">
      <t>カツヨウ</t>
    </rPh>
    <rPh sb="80" eb="84">
      <t>キョウイクジッセン</t>
    </rPh>
    <rPh sb="85" eb="87">
      <t>キョウイク</t>
    </rPh>
    <rPh sb="87" eb="89">
      <t>シュホウ</t>
    </rPh>
    <rPh sb="90" eb="93">
      <t>リカイド</t>
    </rPh>
    <rPh sb="94" eb="97">
      <t>タッセイド</t>
    </rPh>
    <rPh sb="98" eb="100">
      <t>コウジョウ</t>
    </rPh>
    <rPh sb="101" eb="103">
      <t>キョウイク</t>
    </rPh>
    <rPh sb="103" eb="105">
      <t>カイゼン</t>
    </rPh>
    <rPh sb="119" eb="121">
      <t>ネンド</t>
    </rPh>
    <rPh sb="122" eb="124">
      <t>ヒロサキ</t>
    </rPh>
    <rPh sb="124" eb="126">
      <t>ダイガク</t>
    </rPh>
    <rPh sb="126" eb="128">
      <t>カイサイ</t>
    </rPh>
    <rPh sb="129" eb="132">
      <t>アオモリケン</t>
    </rPh>
    <rPh sb="132" eb="134">
      <t>スウリ</t>
    </rPh>
    <rPh sb="145" eb="147">
      <t>キョウイク</t>
    </rPh>
    <rPh sb="154" eb="156">
      <t>ホンガク</t>
    </rPh>
    <rPh sb="156" eb="158">
      <t>キョウイン</t>
    </rPh>
    <rPh sb="167" eb="169">
      <t>シュッセキ</t>
    </rPh>
    <rPh sb="170" eb="174">
      <t>コウトウガッコウ</t>
    </rPh>
    <rPh sb="175" eb="178">
      <t>ヒッシュウカ</t>
    </rPh>
    <rPh sb="182" eb="184">
      <t>ジョウホウ</t>
    </rPh>
    <rPh sb="188" eb="190">
      <t>セツゾク</t>
    </rPh>
    <rPh sb="192" eb="194">
      <t>シャカイ</t>
    </rPh>
    <rPh sb="195" eb="196">
      <t>イ</t>
    </rPh>
    <rPh sb="206" eb="208">
      <t>キョウイク</t>
    </rPh>
    <rPh sb="209" eb="210">
      <t>ア</t>
    </rPh>
    <rPh sb="211" eb="212">
      <t>カタ</t>
    </rPh>
    <rPh sb="249" eb="251">
      <t>サンコウ</t>
    </rPh>
    <rPh sb="258" eb="259">
      <t>ワ</t>
    </rPh>
    <rPh sb="265" eb="268">
      <t>ジッセンテキ</t>
    </rPh>
    <rPh sb="269" eb="271">
      <t>ジュギョウ</t>
    </rPh>
    <rPh sb="271" eb="273">
      <t>ナイヨウ</t>
    </rPh>
    <rPh sb="274" eb="276">
      <t>ミナオ</t>
    </rPh>
    <rPh sb="277" eb="279">
      <t>ヨテイ</t>
    </rPh>
    <phoneticPr fontId="1"/>
  </si>
  <si>
    <r>
      <t xml:space="preserve">令和6年度教育改革専門委員会
教育・学生支援部長　阿波　稔
教育・学生支援部推進監　藤田　敏明
教育・学生支援部推進監　小玉　成人
教務委員　工学科　工藤　祐嗣
教務委員　工学科　花田　一磨
教務委員　工学科　山口　広行
教務委員　工学科　本田　洋之
教務委員　工学科　迫井　裕樹
教務委員　感性デザイン学科　高橋　史朗
教務委員　基礎教育研究センター　大室　康平
教育・学生支援部次長　栗橋　秀行
教育・学生支援部課長　蛯名　恵利子
</t>
    </r>
    <r>
      <rPr>
        <sz val="11"/>
        <rFont val="ＭＳ Ｐゴシック"/>
        <family val="3"/>
        <charset val="128"/>
        <scheme val="minor"/>
      </rPr>
      <t>（令和7年度より、学長補佐　金子賢治が教育・学生支援部長および教育改革専門委員会委員長に就任）</t>
    </r>
    <rPh sb="0" eb="2">
      <t>レイワ</t>
    </rPh>
    <rPh sb="3" eb="5">
      <t>ネンド</t>
    </rPh>
    <rPh sb="5" eb="14">
      <t>キョウイクカイカクセンモンイインカイ</t>
    </rPh>
    <rPh sb="26" eb="30">
      <t>アバ</t>
    </rPh>
    <rPh sb="67" eb="71">
      <t>キョウムイイン</t>
    </rPh>
    <rPh sb="72" eb="75">
      <t>コウガクカ</t>
    </rPh>
    <rPh sb="76" eb="81">
      <t>クドウ</t>
    </rPh>
    <rPh sb="91" eb="96">
      <t>ハナダ</t>
    </rPh>
    <rPh sb="106" eb="111">
      <t>ヤマグチ</t>
    </rPh>
    <rPh sb="121" eb="126">
      <t>ホンダ</t>
    </rPh>
    <rPh sb="136" eb="141">
      <t>サコイ</t>
    </rPh>
    <rPh sb="147" eb="149">
      <t>カンセイ</t>
    </rPh>
    <rPh sb="153" eb="155">
      <t>ガッカ</t>
    </rPh>
    <rPh sb="156" eb="161">
      <t>タカハシ</t>
    </rPh>
    <rPh sb="162" eb="166">
      <t>キョウムイイン</t>
    </rPh>
    <rPh sb="167" eb="171">
      <t>キソキョウイク</t>
    </rPh>
    <rPh sb="171" eb="173">
      <t>ケンキュウ</t>
    </rPh>
    <rPh sb="178" eb="183">
      <t>オオムロ</t>
    </rPh>
    <rPh sb="184" eb="186">
      <t>キョウイク</t>
    </rPh>
    <rPh sb="187" eb="192">
      <t>ガクセイシエンブ</t>
    </rPh>
    <rPh sb="192" eb="194">
      <t>ジチョウ</t>
    </rPh>
    <rPh sb="195" eb="200">
      <t>クリハシ</t>
    </rPh>
    <rPh sb="201" eb="203">
      <t>キョウイク</t>
    </rPh>
    <rPh sb="204" eb="209">
      <t>ガクセイシエンブ</t>
    </rPh>
    <rPh sb="209" eb="211">
      <t>カチョウ</t>
    </rPh>
    <rPh sb="212" eb="218">
      <t>エビナ</t>
    </rPh>
    <rPh sb="228" eb="230">
      <t>ガクチョウ</t>
    </rPh>
    <rPh sb="230" eb="232">
      <t>ホサ</t>
    </rPh>
    <rPh sb="238" eb="240">
      <t>キョウイク</t>
    </rPh>
    <rPh sb="241" eb="247">
      <t>ガクセイシエンブチョウ</t>
    </rPh>
    <rPh sb="250" eb="252">
      <t>キョウイク</t>
    </rPh>
    <rPh sb="252" eb="254">
      <t>カイカク</t>
    </rPh>
    <rPh sb="254" eb="259">
      <t>センモンイインカイ</t>
    </rPh>
    <rPh sb="259" eb="262">
      <t>イインチョウ</t>
    </rPh>
    <rPh sb="263" eb="265">
      <t>シュウニン</t>
    </rPh>
    <phoneticPr fontId="1"/>
  </si>
  <si>
    <t>授業評価アンケートから、学生の理解度を把握できる。また、アンケート結果をもとに科目担当教員が自己評価・改善計画を立て、次年度の授業に活かすことができる。</t>
    <rPh sb="0" eb="2">
      <t>ジュギョウ</t>
    </rPh>
    <rPh sb="2" eb="4">
      <t>ヒョウカ</t>
    </rPh>
    <rPh sb="12" eb="14">
      <t>ガクセイ</t>
    </rPh>
    <rPh sb="15" eb="17">
      <t>リカイ</t>
    </rPh>
    <rPh sb="17" eb="18">
      <t>ド</t>
    </rPh>
    <rPh sb="19" eb="21">
      <t>ハアク</t>
    </rPh>
    <rPh sb="33" eb="35">
      <t>ケッカ</t>
    </rPh>
    <rPh sb="39" eb="45">
      <t>カモクタントウキョウイン</t>
    </rPh>
    <rPh sb="46" eb="50">
      <t>ジコヒョウカ</t>
    </rPh>
    <rPh sb="51" eb="55">
      <t>カイゼンケイカク</t>
    </rPh>
    <rPh sb="56" eb="57">
      <t>タテ</t>
    </rPh>
    <rPh sb="59" eb="62">
      <t>ジネンド</t>
    </rPh>
    <rPh sb="63" eb="65">
      <t>ジュギョウ</t>
    </rPh>
    <rPh sb="66" eb="67">
      <t>イ</t>
    </rPh>
    <phoneticPr fontId="1"/>
  </si>
  <si>
    <t>本プログラムの必修科目である「AI・データサイエンス入門」は、令和4年度以降入学生全学部の必修科目となっているため、ほぼ全員がプログラム修了する予定である。ただし、展開科目群については履修率が低いため、プログラム修了にとどまることなくより深い知識を得られる展開科目群の履修率向上を図る必要がある。展開科目群については開講してから1～2年目、科目担当教員も変更になったこともあり、履修率向上に向けた取り組みは今後行っていく予定である。具体的には、初回授業時にシステム情報工学コース以外の学生に対しても授業内容を分かりやすく伝えること、各専門分野との関連性を強調し卒業研究や就職後での活用場面をイメージさせることで履修を促す計画である。
　</t>
    <rPh sb="60" eb="62">
      <t>ゼンイン</t>
    </rPh>
    <rPh sb="68" eb="70">
      <t>シュウリョウ</t>
    </rPh>
    <rPh sb="72" eb="74">
      <t>ヨテイ</t>
    </rPh>
    <rPh sb="82" eb="84">
      <t>テンカイ</t>
    </rPh>
    <rPh sb="128" eb="130">
      <t>テンカイ</t>
    </rPh>
    <rPh sb="130" eb="132">
      <t>カモク</t>
    </rPh>
    <rPh sb="148" eb="150">
      <t>テンカイ</t>
    </rPh>
    <rPh sb="210" eb="212">
      <t>ヨテイ</t>
    </rPh>
    <rPh sb="222" eb="227">
      <t>ショカイジュギョウジ</t>
    </rPh>
    <rPh sb="232" eb="236">
      <t>ジョウホウコウガク</t>
    </rPh>
    <rPh sb="239" eb="241">
      <t>イガイ</t>
    </rPh>
    <rPh sb="242" eb="244">
      <t>ガクセイ</t>
    </rPh>
    <rPh sb="245" eb="246">
      <t>タイ</t>
    </rPh>
    <rPh sb="249" eb="253">
      <t>ジュギョウナイヨウ</t>
    </rPh>
    <rPh sb="254" eb="255">
      <t>ワ</t>
    </rPh>
    <rPh sb="260" eb="261">
      <t>ツタ</t>
    </rPh>
    <rPh sb="266" eb="267">
      <t>カク</t>
    </rPh>
    <rPh sb="267" eb="271">
      <t>センモンブンヤ</t>
    </rPh>
    <rPh sb="273" eb="276">
      <t>カンレンセイ</t>
    </rPh>
    <rPh sb="277" eb="279">
      <t>キョウチョウ</t>
    </rPh>
    <rPh sb="280" eb="284">
      <t>ソツギョウケンキュウ</t>
    </rPh>
    <rPh sb="285" eb="288">
      <t>シュウショクゴ</t>
    </rPh>
    <rPh sb="290" eb="292">
      <t>カツヨウ</t>
    </rPh>
    <rPh sb="292" eb="294">
      <t>バメン</t>
    </rPh>
    <rPh sb="305" eb="307">
      <t>リシュウ</t>
    </rPh>
    <rPh sb="308" eb="309">
      <t>ウナガ</t>
    </rPh>
    <rPh sb="310" eb="312">
      <t>ケイカク</t>
    </rPh>
    <phoneticPr fontId="1"/>
  </si>
  <si>
    <t>プログラムを構成する科目（AI・ﾃﾞｰﾀｻｲｴﾝｽ入門(2単位・必修)、微分積分(2単位・選択)、線形代数(2単位・選択)、確率・統計(2単位・選択)、データアナリティクスⅠ(2単位・選択)、データアナリティクスⅡ(2単位・選択)）から２単位以上を修得すること。
各所属学科・コースの卒業要件と履修表を満たすこと。</t>
    <rPh sb="42" eb="44">
      <t>タンイ</t>
    </rPh>
    <rPh sb="45" eb="47">
      <t>センタク</t>
    </rPh>
    <rPh sb="55" eb="57">
      <t>タンイ</t>
    </rPh>
    <rPh sb="58" eb="60">
      <t>センタク</t>
    </rPh>
    <rPh sb="69" eb="71">
      <t>タンイ</t>
    </rPh>
    <rPh sb="72" eb="74">
      <t>センタク</t>
    </rPh>
    <rPh sb="89" eb="91">
      <t>タンイ</t>
    </rPh>
    <rPh sb="92" eb="94">
      <t>センタク</t>
    </rPh>
    <rPh sb="109" eb="111">
      <t>タンイ</t>
    </rPh>
    <rPh sb="112" eb="114">
      <t>センタク</t>
    </rPh>
    <phoneticPr fontId="1"/>
  </si>
  <si>
    <t>阿波　稔</t>
    <rPh sb="0" eb="4">
      <t>アバ</t>
    </rPh>
    <phoneticPr fontId="1"/>
  </si>
  <si>
    <t>　 本委員会は八戸工業大学の教育改革を推進するための組織であり、「教育改革のための調査・検討に関すること」、「教育課程、教育内容および教育方法の改善に関すること」等を協議・検討する。特に、本委員会が主導である「科目レベル（個々の授業）の点検評価・改善活動」においては、学生対象の授業評価アンケートの結果やTP（ティーチングポートフォリオ）、担当科目のみならず全学的に情報を共有、他科目のグッドプラクティスなども参考としながら、本プログラムの改善や活動に繋げることができる。また年に1度、部局毎のFD活動結果を本委員会に報告することとなっている。部局の垣根を越えて情報を共有するとともに、本プログラムの運営を担っている基礎教育研究センターと連携しながら、本プログラムの充実を試みている。</t>
    <phoneticPr fontId="1"/>
  </si>
  <si>
    <t>　「AI・データサイエンス入門」についてはTAや教員を複数人配置することで、学生からの質問に素早く応えられる体制を整えている。
「データアナリティクスⅠ」、「データアナリティクスⅡ」については、基礎事項を概説、その後スライド・教科書を参照しながら手を動かしてGoogle Colaboratory上でコーディングさせる時間を十分とり、並行して個別の質問対応でフォローアップしている。　
   全科目のシラバスにオフィスアワーを記載し、授業時間外でも質問を受け付けている。</t>
    <rPh sb="24" eb="26">
      <t>キョウイン</t>
    </rPh>
    <rPh sb="27" eb="30">
      <t>フクスウニン</t>
    </rPh>
    <rPh sb="30" eb="32">
      <t>ハイチ</t>
    </rPh>
    <rPh sb="38" eb="40">
      <t>ガクセイ</t>
    </rPh>
    <rPh sb="43" eb="45">
      <t>シツモン</t>
    </rPh>
    <rPh sb="46" eb="48">
      <t>スバヤ</t>
    </rPh>
    <rPh sb="49" eb="50">
      <t>コタ</t>
    </rPh>
    <rPh sb="54" eb="56">
      <t>タイセイ</t>
    </rPh>
    <rPh sb="57" eb="58">
      <t>トトノ</t>
    </rPh>
    <rPh sb="97" eb="101">
      <t>キソジコウ</t>
    </rPh>
    <rPh sb="102" eb="104">
      <t>ガイセツ</t>
    </rPh>
    <rPh sb="107" eb="108">
      <t>ゴ</t>
    </rPh>
    <rPh sb="113" eb="116">
      <t>キョウカショ</t>
    </rPh>
    <rPh sb="117" eb="119">
      <t>サンショウ</t>
    </rPh>
    <rPh sb="123" eb="124">
      <t>テ</t>
    </rPh>
    <rPh sb="125" eb="126">
      <t>ウゴ</t>
    </rPh>
    <rPh sb="148" eb="149">
      <t>ジョウ</t>
    </rPh>
    <rPh sb="159" eb="161">
      <t>ジカン</t>
    </rPh>
    <rPh sb="162" eb="164">
      <t>ジュウブン</t>
    </rPh>
    <rPh sb="167" eb="169">
      <t>ヘイコウ</t>
    </rPh>
    <rPh sb="171" eb="173">
      <t>コベツ</t>
    </rPh>
    <rPh sb="174" eb="178">
      <t>シツモンタイオウ</t>
    </rPh>
    <rPh sb="229" eb="230">
      <t>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</si>
</sst>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Up="1">
      <left style="thin">
        <color auto="1"/>
      </left>
      <right/>
      <top style="thin">
        <color auto="1"/>
      </top>
      <bottom/>
      <diagonal style="thin">
        <color auto="1"/>
      </diagonal>
    </border>
    <border diagonalUp="1">
      <left style="thin">
        <color auto="1"/>
      </left>
      <right style="thin">
        <color auto="1"/>
      </right>
      <top style="thin">
        <color auto="1"/>
      </top>
      <bottom style="hair">
        <color auto="1"/>
      </bottom>
      <diagonal style="thin">
        <color auto="1"/>
      </diagonal>
    </border>
    <border diagonalUp="1">
      <left style="thin">
        <color auto="1"/>
      </left>
      <right style="dotted">
        <color auto="1"/>
      </right>
      <top style="hair">
        <color auto="1"/>
      </top>
      <bottom style="hair">
        <color auto="1"/>
      </bottom>
      <diagonal style="thin">
        <color auto="1"/>
      </diagonal>
    </border>
    <border diagonalUp="1">
      <left style="thin">
        <color auto="1"/>
      </left>
      <right style="thin">
        <color auto="1"/>
      </right>
      <top style="hair">
        <color auto="1"/>
      </top>
      <bottom style="hair">
        <color auto="1"/>
      </bottom>
      <diagonal style="thin">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7" xfId="0" applyFont="1" applyBorder="1" applyAlignment="1">
      <alignment horizontal="lef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48" xfId="2" applyFont="1" applyBorder="1" applyAlignment="1">
      <alignment vertical="center" shrinkToFit="1"/>
    </xf>
    <xf numFmtId="38" fontId="2" fillId="0" borderId="49" xfId="2" applyFont="1" applyBorder="1" applyAlignment="1">
      <alignment vertical="center" shrinkToFit="1"/>
    </xf>
    <xf numFmtId="38" fontId="2" fillId="0" borderId="50" xfId="2" applyFont="1" applyBorder="1" applyAlignment="1">
      <alignment vertical="center" shrinkToFit="1"/>
    </xf>
    <xf numFmtId="38" fontId="2" fillId="0" borderId="51" xfId="2" applyFont="1" applyBorder="1" applyAlignment="1">
      <alignment vertical="center" shrinkToFit="1"/>
    </xf>
    <xf numFmtId="9" fontId="2" fillId="0" borderId="44" xfId="0" applyNumberFormat="1" applyFont="1" applyBorder="1" applyAlignment="1">
      <alignment vertical="center" shrinkToFit="1"/>
    </xf>
    <xf numFmtId="0" fontId="11" fillId="0" borderId="1" xfId="0" applyFont="1" applyBorder="1" applyAlignment="1">
      <alignment horizontal="center" vertical="center"/>
    </xf>
    <xf numFmtId="0" fontId="13" fillId="0" borderId="0" xfId="0" applyFont="1">
      <alignment vertical="center"/>
    </xf>
    <xf numFmtId="0" fontId="11" fillId="0" borderId="0" xfId="0" applyFont="1" applyAlignment="1">
      <alignment horizontal="left" vertical="center" shrinkToFit="1"/>
    </xf>
    <xf numFmtId="0" fontId="13" fillId="0" borderId="0" xfId="0" applyFont="1" applyAlignment="1">
      <alignment horizontal="center" vertical="center"/>
    </xf>
    <xf numFmtId="0" fontId="11" fillId="0" borderId="1" xfId="0" applyFont="1" applyBorder="1" applyAlignment="1">
      <alignment horizontal="right" vertical="center"/>
    </xf>
    <xf numFmtId="0" fontId="15" fillId="0" borderId="1" xfId="0" applyFont="1" applyBorder="1" applyAlignment="1">
      <alignment horizontal="center" vertical="center" shrinkToFit="1"/>
    </xf>
    <xf numFmtId="0" fontId="15" fillId="0" borderId="4" xfId="0" applyFont="1" applyBorder="1" applyAlignment="1">
      <alignment horizontal="center" vertical="center" shrinkToFit="1"/>
    </xf>
    <xf numFmtId="49" fontId="15" fillId="0" borderId="1" xfId="0" applyNumberFormat="1" applyFont="1" applyBorder="1" applyAlignment="1">
      <alignment horizontal="center" vertical="center"/>
    </xf>
    <xf numFmtId="0" fontId="11" fillId="0" borderId="14"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3"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0" xfId="0" applyFont="1" applyAlignment="1">
      <alignment vertical="top" wrapText="1"/>
    </xf>
    <xf numFmtId="49" fontId="15" fillId="0" borderId="42" xfId="0" applyNumberFormat="1" applyFont="1" applyBorder="1" applyAlignment="1">
      <alignment horizontal="center" vertical="center"/>
    </xf>
    <xf numFmtId="49" fontId="15" fillId="0" borderId="43" xfId="0" applyNumberFormat="1" applyFont="1" applyBorder="1" applyAlignment="1">
      <alignment horizontal="center" vertical="center"/>
    </xf>
    <xf numFmtId="49" fontId="15" fillId="0" borderId="38" xfId="0" applyNumberFormat="1" applyFont="1" applyBorder="1" applyAlignment="1">
      <alignment horizontal="center" vertical="center"/>
    </xf>
    <xf numFmtId="49" fontId="15" fillId="0" borderId="25" xfId="0" applyNumberFormat="1" applyFont="1" applyBorder="1" applyAlignment="1">
      <alignment horizontal="center" vertical="center"/>
    </xf>
    <xf numFmtId="49" fontId="15" fillId="0" borderId="41" xfId="0" applyNumberFormat="1" applyFont="1" applyBorder="1" applyAlignment="1">
      <alignment horizontal="center" vertical="center"/>
    </xf>
    <xf numFmtId="49" fontId="15" fillId="0" borderId="27" xfId="0" applyNumberFormat="1" applyFont="1" applyBorder="1" applyAlignment="1">
      <alignment horizontal="center" vertical="center"/>
    </xf>
    <xf numFmtId="9" fontId="2" fillId="0" borderId="24" xfId="0" applyNumberFormat="1" applyFont="1" applyBorder="1" applyAlignment="1">
      <alignment vertical="center" shrinkToFit="1"/>
    </xf>
    <xf numFmtId="9" fontId="2" fillId="0" borderId="1" xfId="0" applyNumberFormat="1" applyFont="1" applyBorder="1" applyAlignment="1">
      <alignment horizontal="center" vertical="center" shrinkToFit="1"/>
    </xf>
    <xf numFmtId="0" fontId="13" fillId="0" borderId="2" xfId="0" applyFont="1" applyFill="1" applyBorder="1" applyAlignment="1">
      <alignment horizontal="center" vertical="center" shrinkToFit="1"/>
    </xf>
    <xf numFmtId="0" fontId="13" fillId="0" borderId="3" xfId="0" applyFont="1" applyFill="1" applyBorder="1" applyAlignment="1">
      <alignment horizontal="center" vertical="center" shrinkToFit="1"/>
    </xf>
    <xf numFmtId="0" fontId="13" fillId="0" borderId="4" xfId="0" applyFont="1" applyFill="1" applyBorder="1" applyAlignment="1">
      <alignment horizontal="center"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49" fontId="15" fillId="0" borderId="28" xfId="0" applyNumberFormat="1" applyFont="1" applyBorder="1" applyAlignment="1">
      <alignment horizontal="left" vertical="center" wrapText="1"/>
    </xf>
    <xf numFmtId="49" fontId="15" fillId="0" borderId="30" xfId="0" applyNumberFormat="1" applyFont="1" applyBorder="1" applyAlignment="1">
      <alignment horizontal="left" vertical="center" wrapText="1"/>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wrapText="1"/>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11" fillId="0" borderId="18" xfId="0" applyFont="1" applyBorder="1" applyAlignment="1">
      <alignment vertical="center" shrinkToFit="1"/>
    </xf>
    <xf numFmtId="0" fontId="11" fillId="0" borderId="19" xfId="0" applyFont="1" applyBorder="1" applyAlignment="1">
      <alignment vertical="center" shrinkToFit="1"/>
    </xf>
    <xf numFmtId="0" fontId="11" fillId="0" borderId="17" xfId="0" applyFont="1" applyBorder="1" applyAlignment="1">
      <alignment vertical="center" shrinkToFit="1"/>
    </xf>
    <xf numFmtId="0" fontId="11" fillId="0" borderId="31" xfId="0" applyFont="1" applyBorder="1" applyAlignment="1">
      <alignment vertical="center" shrinkToFit="1"/>
    </xf>
    <xf numFmtId="0" fontId="11" fillId="0" borderId="32" xfId="0" applyFont="1" applyBorder="1" applyAlignment="1">
      <alignment vertical="center" shrinkToFit="1"/>
    </xf>
    <xf numFmtId="0" fontId="11" fillId="0" borderId="33" xfId="0" applyFont="1" applyBorder="1" applyAlignment="1">
      <alignment vertical="center" shrinkToFit="1"/>
    </xf>
    <xf numFmtId="0" fontId="11" fillId="0" borderId="28" xfId="0" applyFont="1" applyBorder="1" applyAlignment="1">
      <alignment vertical="center" shrinkToFit="1"/>
    </xf>
    <xf numFmtId="0" fontId="11" fillId="0" borderId="30" xfId="0" applyFont="1" applyBorder="1" applyAlignment="1">
      <alignment vertical="center" shrinkToFit="1"/>
    </xf>
    <xf numFmtId="0" fontId="11" fillId="0" borderId="29" xfId="0" applyFont="1" applyBorder="1" applyAlignment="1">
      <alignment vertical="center" shrinkToFit="1"/>
    </xf>
    <xf numFmtId="0" fontId="11" fillId="0" borderId="0" xfId="0" applyFont="1" applyAlignment="1">
      <alignment vertical="center" wrapText="1"/>
    </xf>
    <xf numFmtId="49" fontId="15" fillId="0" borderId="18" xfId="0" applyNumberFormat="1" applyFont="1" applyBorder="1" applyAlignment="1">
      <alignment horizontal="left" vertical="center" wrapText="1"/>
    </xf>
    <xf numFmtId="49" fontId="15" fillId="0" borderId="19" xfId="0" applyNumberFormat="1" applyFont="1" applyBorder="1" applyAlignment="1">
      <alignment horizontal="left" vertical="center" wrapText="1"/>
    </xf>
    <xf numFmtId="49" fontId="15" fillId="0" borderId="17" xfId="0" applyNumberFormat="1" applyFont="1" applyBorder="1" applyAlignment="1">
      <alignment horizontal="left" vertical="center" wrapText="1"/>
    </xf>
    <xf numFmtId="0" fontId="15" fillId="0" borderId="39" xfId="0" applyFont="1" applyBorder="1" applyAlignment="1">
      <alignment vertical="center" wrapText="1"/>
    </xf>
    <xf numFmtId="0" fontId="15" fillId="0" borderId="40" xfId="0" applyFont="1" applyBorder="1" applyAlignment="1">
      <alignment vertical="center" wrapText="1"/>
    </xf>
    <xf numFmtId="0" fontId="15" fillId="0" borderId="26" xfId="0" applyFont="1" applyBorder="1" applyAlignment="1">
      <alignment vertical="center" wrapText="1"/>
    </xf>
    <xf numFmtId="0" fontId="11" fillId="0" borderId="0" xfId="0" applyFont="1" applyAlignment="1">
      <alignment horizontal="right" vertical="center"/>
    </xf>
    <xf numFmtId="0" fontId="14"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xf numFmtId="0" fontId="11" fillId="0" borderId="11"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12"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17" xfId="0"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7" xfId="0" applyFont="1" applyBorder="1" applyAlignment="1">
      <alignment horizontal="center" vertical="center" shrinkToFit="1"/>
    </xf>
    <xf numFmtId="0" fontId="11" fillId="0" borderId="8" xfId="0" applyFont="1" applyBorder="1" applyAlignment="1">
      <alignment horizontal="center" vertical="center" shrinkToFit="1"/>
    </xf>
    <xf numFmtId="0" fontId="11"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6" fillId="0" borderId="0" xfId="0" applyFont="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11" xfId="0" applyFont="1" applyFill="1" applyBorder="1" applyAlignment="1">
      <alignment horizontal="center" vertical="center" shrinkToFit="1"/>
    </xf>
    <xf numFmtId="0" fontId="2" fillId="2" borderId="6" xfId="0" applyFont="1" applyFill="1" applyBorder="1" applyAlignment="1">
      <alignment horizontal="center" vertical="center" shrinkToFit="1"/>
    </xf>
    <xf numFmtId="0" fontId="2" fillId="2" borderId="12"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18" xfId="0" applyFont="1" applyBorder="1" applyAlignment="1">
      <alignment vertical="top" wrapText="1" shrinkToFit="1"/>
    </xf>
    <xf numFmtId="0" fontId="2" fillId="0" borderId="31"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center"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80" zoomScaleNormal="100" zoomScaleSheetLayoutView="80" workbookViewId="0">
      <selection activeCell="K31" sqref="K31:Q31"/>
    </sheetView>
  </sheetViews>
  <sheetFormatPr defaultColWidth="9" defaultRowHeight="18.75" customHeight="1" x14ac:dyDescent="0.15"/>
  <cols>
    <col min="1" max="1" width="2.5" style="48" customWidth="1"/>
    <col min="2" max="2" width="16.5" style="48" customWidth="1"/>
    <col min="3" max="21" width="5.625" style="48" customWidth="1"/>
    <col min="22" max="22" width="9" style="48"/>
    <col min="23" max="23" width="3.625" style="48" customWidth="1"/>
    <col min="24" max="24" width="48.625" style="48" hidden="1" customWidth="1"/>
    <col min="25" max="26" width="9" style="48"/>
    <col min="27" max="27" width="9" style="48" hidden="1" customWidth="1"/>
    <col min="28" max="16384" width="9" style="48"/>
  </cols>
  <sheetData>
    <row r="1" spans="1:24" ht="18.600000000000001" customHeight="1" x14ac:dyDescent="0.15">
      <c r="T1" s="123" t="s">
        <v>12</v>
      </c>
      <c r="U1" s="123"/>
      <c r="V1" s="66" t="s">
        <v>94</v>
      </c>
    </row>
    <row r="2" spans="1:24" ht="18.75" customHeight="1" x14ac:dyDescent="0.15">
      <c r="B2" s="65" t="s">
        <v>93</v>
      </c>
      <c r="C2" s="92" t="s">
        <v>143</v>
      </c>
      <c r="D2" s="93"/>
      <c r="E2" s="93"/>
      <c r="F2" s="93"/>
      <c r="G2" s="93"/>
      <c r="H2" s="93"/>
      <c r="I2" s="93"/>
      <c r="J2" s="94"/>
      <c r="K2" s="51"/>
      <c r="L2" s="49"/>
      <c r="M2" s="49"/>
      <c r="N2" s="49"/>
      <c r="O2" s="49"/>
      <c r="P2" s="49"/>
      <c r="Q2" s="49"/>
      <c r="R2" s="49"/>
      <c r="S2" s="49"/>
      <c r="T2" s="49"/>
      <c r="U2" s="49"/>
    </row>
    <row r="3" spans="1:24" ht="18.75" customHeight="1" x14ac:dyDescent="0.15">
      <c r="B3" s="65" t="s">
        <v>88</v>
      </c>
      <c r="C3" s="92" t="s">
        <v>144</v>
      </c>
      <c r="D3" s="93"/>
      <c r="E3" s="93"/>
      <c r="F3" s="93"/>
      <c r="G3" s="93"/>
      <c r="H3" s="93"/>
      <c r="I3" s="93"/>
      <c r="J3" s="94"/>
      <c r="K3" s="51"/>
      <c r="L3" s="49"/>
      <c r="M3" s="49"/>
      <c r="N3" s="49"/>
      <c r="O3" s="49"/>
      <c r="P3" s="49"/>
      <c r="Q3" s="49"/>
      <c r="R3" s="49"/>
      <c r="S3" s="49"/>
      <c r="T3" s="49"/>
      <c r="U3" s="49"/>
    </row>
    <row r="4" spans="1:24" ht="15" customHeight="1" x14ac:dyDescent="0.15">
      <c r="L4" s="51"/>
      <c r="M4" s="67"/>
      <c r="N4" s="67"/>
      <c r="O4" s="67"/>
      <c r="P4" s="67"/>
      <c r="Q4" s="67"/>
      <c r="R4" s="67"/>
      <c r="S4" s="67"/>
      <c r="T4" s="67"/>
      <c r="U4" s="67"/>
    </row>
    <row r="5" spans="1:24" ht="18" customHeight="1" x14ac:dyDescent="0.15">
      <c r="A5" s="124" t="s">
        <v>141</v>
      </c>
      <c r="B5" s="124"/>
      <c r="C5" s="124"/>
      <c r="D5" s="124"/>
      <c r="E5" s="124"/>
      <c r="F5" s="124"/>
      <c r="G5" s="124"/>
      <c r="H5" s="124"/>
      <c r="I5" s="124"/>
      <c r="J5" s="124"/>
      <c r="K5" s="124"/>
      <c r="L5" s="124"/>
      <c r="M5" s="124"/>
      <c r="N5" s="124"/>
      <c r="O5" s="124"/>
      <c r="P5" s="124"/>
      <c r="Q5" s="124"/>
      <c r="R5" s="124"/>
      <c r="S5" s="124"/>
      <c r="T5" s="124"/>
      <c r="U5" s="124"/>
    </row>
    <row r="6" spans="1:24" ht="15" customHeight="1" x14ac:dyDescent="0.15">
      <c r="B6" s="50"/>
      <c r="C6" s="50"/>
      <c r="D6" s="50"/>
      <c r="E6" s="50"/>
      <c r="F6" s="50"/>
      <c r="G6" s="50"/>
      <c r="H6" s="50"/>
      <c r="I6" s="50"/>
      <c r="J6" s="50"/>
      <c r="K6" s="50"/>
      <c r="L6" s="50"/>
      <c r="M6" s="50"/>
      <c r="N6" s="50"/>
      <c r="O6" s="50"/>
      <c r="P6" s="50"/>
      <c r="Q6" s="50"/>
      <c r="R6" s="50"/>
      <c r="S6" s="50"/>
      <c r="T6" s="50"/>
      <c r="U6" s="50"/>
    </row>
    <row r="7" spans="1:24" ht="15" customHeight="1" x14ac:dyDescent="0.15">
      <c r="A7" s="48" t="s">
        <v>117</v>
      </c>
      <c r="B7" s="50"/>
      <c r="C7" s="50"/>
      <c r="D7" s="50"/>
      <c r="E7" s="50"/>
      <c r="F7" s="66"/>
      <c r="G7" s="66"/>
      <c r="H7" s="66"/>
      <c r="I7" s="66"/>
      <c r="J7" s="66"/>
      <c r="K7" s="66"/>
      <c r="L7" s="89" t="s">
        <v>145</v>
      </c>
      <c r="M7" s="90"/>
      <c r="N7" s="90"/>
      <c r="O7" s="90"/>
      <c r="P7" s="90"/>
      <c r="Q7" s="90"/>
      <c r="R7" s="90"/>
      <c r="S7" s="90"/>
      <c r="T7" s="90"/>
      <c r="U7" s="91"/>
    </row>
    <row r="8" spans="1:24" ht="6" customHeight="1" x14ac:dyDescent="0.15">
      <c r="B8" s="50"/>
      <c r="C8" s="50"/>
      <c r="D8" s="50"/>
      <c r="E8" s="50"/>
      <c r="F8" s="50"/>
      <c r="G8" s="50"/>
      <c r="H8" s="50"/>
      <c r="I8" s="50"/>
      <c r="J8" s="50"/>
      <c r="K8" s="50"/>
      <c r="L8" s="50"/>
      <c r="M8" s="50"/>
      <c r="N8" s="50"/>
      <c r="O8" s="50"/>
      <c r="P8" s="50"/>
      <c r="Q8" s="50"/>
      <c r="R8" s="50"/>
      <c r="S8" s="50"/>
      <c r="T8" s="50"/>
      <c r="U8" s="50"/>
    </row>
    <row r="9" spans="1:24" ht="18" customHeight="1" x14ac:dyDescent="0.15">
      <c r="A9" s="48" t="s">
        <v>118</v>
      </c>
      <c r="C9" s="50"/>
      <c r="D9" s="50"/>
      <c r="K9" s="51"/>
      <c r="L9" s="66"/>
      <c r="M9" s="66"/>
      <c r="N9" s="66"/>
      <c r="O9" s="66"/>
      <c r="P9" s="66"/>
      <c r="Q9" s="66"/>
      <c r="R9" s="66"/>
      <c r="S9" s="66"/>
      <c r="T9" s="66"/>
      <c r="U9" s="66"/>
    </row>
    <row r="10" spans="1:24" ht="6" customHeight="1" x14ac:dyDescent="0.15">
      <c r="B10" s="50"/>
      <c r="C10" s="50"/>
      <c r="D10" s="50"/>
      <c r="E10" s="50"/>
      <c r="F10" s="50"/>
      <c r="G10" s="50"/>
      <c r="H10" s="50"/>
      <c r="I10" s="50"/>
      <c r="J10" s="50"/>
      <c r="K10" s="50"/>
      <c r="L10" s="52"/>
      <c r="M10" s="50"/>
      <c r="N10" s="50"/>
      <c r="O10" s="50"/>
      <c r="P10" s="50"/>
      <c r="Q10" s="50"/>
      <c r="R10" s="50"/>
      <c r="S10" s="50"/>
      <c r="T10" s="50"/>
      <c r="U10" s="50"/>
    </row>
    <row r="11" spans="1:24" ht="18" customHeight="1" x14ac:dyDescent="0.15">
      <c r="B11" s="101"/>
      <c r="C11" s="102"/>
      <c r="D11" s="102"/>
      <c r="E11" s="102"/>
      <c r="F11" s="102"/>
      <c r="G11" s="102"/>
      <c r="H11" s="102"/>
      <c r="I11" s="102"/>
      <c r="J11" s="102"/>
      <c r="K11" s="102"/>
      <c r="L11" s="102"/>
      <c r="M11" s="102"/>
      <c r="N11" s="102"/>
      <c r="O11" s="102"/>
      <c r="P11" s="102"/>
      <c r="Q11" s="102"/>
      <c r="R11" s="102"/>
      <c r="S11" s="102"/>
      <c r="T11" s="102"/>
      <c r="U11" s="103"/>
    </row>
    <row r="12" spans="1:24" ht="18" customHeight="1" x14ac:dyDescent="0.15">
      <c r="B12" s="104"/>
      <c r="C12" s="105"/>
      <c r="D12" s="105"/>
      <c r="E12" s="105"/>
      <c r="F12" s="105"/>
      <c r="G12" s="105"/>
      <c r="H12" s="105"/>
      <c r="I12" s="105"/>
      <c r="J12" s="105"/>
      <c r="K12" s="105"/>
      <c r="L12" s="105"/>
      <c r="M12" s="105"/>
      <c r="N12" s="105"/>
      <c r="O12" s="105"/>
      <c r="P12" s="105"/>
      <c r="Q12" s="105"/>
      <c r="R12" s="105"/>
      <c r="S12" s="105"/>
      <c r="T12" s="105"/>
      <c r="U12" s="106"/>
    </row>
    <row r="13" spans="1:24" ht="6" customHeight="1" x14ac:dyDescent="0.15">
      <c r="B13" s="50"/>
      <c r="C13" s="50"/>
      <c r="D13" s="50"/>
      <c r="E13" s="50"/>
      <c r="F13" s="50"/>
      <c r="G13" s="50"/>
      <c r="H13" s="50"/>
      <c r="I13" s="50"/>
      <c r="J13" s="50"/>
      <c r="K13" s="50"/>
      <c r="L13" s="52"/>
      <c r="M13" s="50"/>
      <c r="N13" s="50"/>
      <c r="O13" s="50"/>
      <c r="P13" s="50"/>
      <c r="Q13" s="50"/>
      <c r="R13" s="50"/>
      <c r="S13" s="50"/>
      <c r="T13" s="50"/>
      <c r="U13" s="50"/>
    </row>
    <row r="14" spans="1:24" ht="18" customHeight="1" x14ac:dyDescent="0.15">
      <c r="A14" s="48" t="s">
        <v>95</v>
      </c>
      <c r="B14" s="50"/>
      <c r="C14" s="50"/>
      <c r="D14" s="50"/>
      <c r="E14" s="51"/>
      <c r="F14" s="51"/>
      <c r="G14" s="51"/>
      <c r="H14" s="51"/>
      <c r="I14" s="51"/>
      <c r="J14" s="51"/>
      <c r="K14" s="51"/>
      <c r="L14" s="68"/>
      <c r="M14" s="68"/>
      <c r="N14" s="68"/>
      <c r="O14" s="68"/>
      <c r="P14" s="68"/>
      <c r="Q14" s="68"/>
      <c r="R14" s="68"/>
      <c r="S14" s="68"/>
      <c r="T14" s="68"/>
      <c r="U14" s="68"/>
    </row>
    <row r="15" spans="1:24" ht="18" customHeight="1" x14ac:dyDescent="0.15">
      <c r="B15" s="125" t="s">
        <v>194</v>
      </c>
      <c r="C15" s="126"/>
      <c r="D15" s="126"/>
      <c r="E15" s="126"/>
      <c r="F15" s="126"/>
      <c r="G15" s="126"/>
      <c r="H15" s="126"/>
      <c r="I15" s="126"/>
      <c r="J15" s="126"/>
      <c r="K15" s="126"/>
      <c r="L15" s="126"/>
      <c r="M15" s="126"/>
      <c r="N15" s="126"/>
      <c r="O15" s="126"/>
      <c r="P15" s="126"/>
      <c r="Q15" s="126"/>
      <c r="R15" s="126"/>
      <c r="S15" s="126"/>
      <c r="T15" s="126"/>
      <c r="U15" s="127"/>
      <c r="X15" s="48" t="s">
        <v>89</v>
      </c>
    </row>
    <row r="16" spans="1:24" ht="18" customHeight="1" x14ac:dyDescent="0.15">
      <c r="B16" s="128"/>
      <c r="C16" s="129"/>
      <c r="D16" s="129"/>
      <c r="E16" s="129"/>
      <c r="F16" s="129"/>
      <c r="G16" s="129"/>
      <c r="H16" s="129"/>
      <c r="I16" s="129"/>
      <c r="J16" s="129"/>
      <c r="K16" s="129"/>
      <c r="L16" s="129"/>
      <c r="M16" s="129"/>
      <c r="N16" s="129"/>
      <c r="O16" s="129"/>
      <c r="P16" s="129"/>
      <c r="Q16" s="129"/>
      <c r="R16" s="129"/>
      <c r="S16" s="129"/>
      <c r="T16" s="129"/>
      <c r="U16" s="130"/>
      <c r="X16" s="48" t="s">
        <v>122</v>
      </c>
    </row>
    <row r="17" spans="1:24" ht="18" customHeight="1" x14ac:dyDescent="0.15">
      <c r="B17" s="128"/>
      <c r="C17" s="129"/>
      <c r="D17" s="129"/>
      <c r="E17" s="129"/>
      <c r="F17" s="129"/>
      <c r="G17" s="129"/>
      <c r="H17" s="129"/>
      <c r="I17" s="129"/>
      <c r="J17" s="129"/>
      <c r="K17" s="129"/>
      <c r="L17" s="129"/>
      <c r="M17" s="129"/>
      <c r="N17" s="129"/>
      <c r="O17" s="129"/>
      <c r="P17" s="129"/>
      <c r="Q17" s="129"/>
      <c r="R17" s="129"/>
      <c r="S17" s="129"/>
      <c r="T17" s="129"/>
      <c r="U17" s="130"/>
      <c r="X17" s="48" t="s">
        <v>123</v>
      </c>
    </row>
    <row r="18" spans="1:24" ht="18" customHeight="1" x14ac:dyDescent="0.15">
      <c r="B18" s="128"/>
      <c r="C18" s="129"/>
      <c r="D18" s="129"/>
      <c r="E18" s="129"/>
      <c r="F18" s="129"/>
      <c r="G18" s="129"/>
      <c r="H18" s="129"/>
      <c r="I18" s="129"/>
      <c r="J18" s="129"/>
      <c r="K18" s="129"/>
      <c r="L18" s="129"/>
      <c r="M18" s="129"/>
      <c r="N18" s="129"/>
      <c r="O18" s="129"/>
      <c r="P18" s="129"/>
      <c r="Q18" s="129"/>
      <c r="R18" s="129"/>
      <c r="S18" s="129"/>
      <c r="T18" s="129"/>
      <c r="U18" s="130"/>
      <c r="X18" s="48" t="s">
        <v>124</v>
      </c>
    </row>
    <row r="19" spans="1:24" ht="18" customHeight="1" x14ac:dyDescent="0.15">
      <c r="B19" s="128"/>
      <c r="C19" s="129"/>
      <c r="D19" s="129"/>
      <c r="E19" s="129"/>
      <c r="F19" s="129"/>
      <c r="G19" s="129"/>
      <c r="H19" s="129"/>
      <c r="I19" s="129"/>
      <c r="J19" s="129"/>
      <c r="K19" s="129"/>
      <c r="L19" s="129"/>
      <c r="M19" s="129"/>
      <c r="N19" s="129"/>
      <c r="O19" s="129"/>
      <c r="P19" s="129"/>
      <c r="Q19" s="129"/>
      <c r="R19" s="129"/>
      <c r="S19" s="129"/>
      <c r="T19" s="129"/>
      <c r="U19" s="130"/>
    </row>
    <row r="20" spans="1:24" ht="18" customHeight="1" x14ac:dyDescent="0.15">
      <c r="B20" s="131"/>
      <c r="C20" s="132"/>
      <c r="D20" s="132"/>
      <c r="E20" s="132"/>
      <c r="F20" s="132"/>
      <c r="G20" s="132"/>
      <c r="H20" s="132"/>
      <c r="I20" s="132"/>
      <c r="J20" s="132"/>
      <c r="K20" s="132"/>
      <c r="L20" s="132"/>
      <c r="M20" s="132"/>
      <c r="N20" s="132"/>
      <c r="O20" s="132"/>
      <c r="P20" s="132"/>
      <c r="Q20" s="132"/>
      <c r="R20" s="132"/>
      <c r="S20" s="132"/>
      <c r="T20" s="132"/>
      <c r="U20" s="133"/>
    </row>
    <row r="21" spans="1:24" ht="7.5" customHeight="1" x14ac:dyDescent="0.15">
      <c r="B21" s="50"/>
      <c r="C21" s="50"/>
      <c r="D21" s="50"/>
      <c r="E21" s="50"/>
      <c r="F21" s="50"/>
      <c r="G21" s="50"/>
      <c r="H21" s="50"/>
      <c r="I21" s="50"/>
      <c r="J21" s="50"/>
      <c r="K21" s="50"/>
      <c r="L21" s="50"/>
      <c r="M21" s="50"/>
      <c r="N21" s="50"/>
      <c r="O21" s="50"/>
      <c r="P21" s="50"/>
      <c r="Q21" s="50"/>
      <c r="R21" s="50"/>
      <c r="S21" s="50"/>
      <c r="T21" s="50"/>
      <c r="U21" s="50"/>
    </row>
    <row r="22" spans="1:24" ht="19.899999999999999" customHeight="1" x14ac:dyDescent="0.15">
      <c r="B22" s="48" t="s">
        <v>119</v>
      </c>
      <c r="E22" s="53">
        <v>1</v>
      </c>
      <c r="F22" s="48" t="s">
        <v>107</v>
      </c>
      <c r="H22" s="69">
        <v>2</v>
      </c>
      <c r="I22" s="50" t="s">
        <v>108</v>
      </c>
      <c r="J22" s="50"/>
      <c r="K22" s="51"/>
      <c r="M22" s="51" t="s">
        <v>104</v>
      </c>
      <c r="N22" s="86" t="s">
        <v>122</v>
      </c>
      <c r="O22" s="87"/>
      <c r="P22" s="87"/>
      <c r="Q22" s="87"/>
      <c r="R22" s="87"/>
      <c r="S22" s="87"/>
      <c r="T22" s="87"/>
      <c r="U22" s="88"/>
    </row>
    <row r="23" spans="1:24" ht="7.5" customHeight="1" x14ac:dyDescent="0.15">
      <c r="B23" s="50"/>
      <c r="C23" s="50"/>
      <c r="D23" s="50"/>
      <c r="E23" s="50"/>
      <c r="F23" s="50"/>
      <c r="G23" s="50"/>
      <c r="H23" s="50"/>
      <c r="I23" s="50"/>
      <c r="J23" s="50"/>
      <c r="K23" s="50"/>
      <c r="L23" s="50"/>
      <c r="M23" s="50"/>
      <c r="N23" s="50"/>
      <c r="O23" s="50"/>
      <c r="P23" s="50"/>
      <c r="Q23" s="50"/>
      <c r="R23" s="50"/>
      <c r="S23" s="50"/>
      <c r="T23" s="50"/>
      <c r="U23" s="50"/>
    </row>
    <row r="24" spans="1:24" ht="18" customHeight="1" x14ac:dyDescent="0.15">
      <c r="A24" s="116" t="s">
        <v>96</v>
      </c>
      <c r="B24" s="116"/>
      <c r="C24" s="116"/>
      <c r="D24" s="116"/>
      <c r="E24" s="116"/>
      <c r="F24" s="116"/>
      <c r="G24" s="116"/>
      <c r="H24" s="116"/>
      <c r="I24" s="116"/>
      <c r="J24" s="116"/>
      <c r="K24" s="116"/>
      <c r="L24" s="116"/>
      <c r="M24" s="116"/>
      <c r="N24" s="116"/>
      <c r="O24" s="116"/>
      <c r="P24" s="116"/>
      <c r="Q24" s="116"/>
      <c r="R24" s="116"/>
      <c r="S24" s="116"/>
      <c r="T24" s="116"/>
      <c r="U24" s="116"/>
    </row>
    <row r="25" spans="1:24" ht="18" customHeight="1" x14ac:dyDescent="0.15">
      <c r="A25" s="116"/>
      <c r="B25" s="116"/>
      <c r="C25" s="116"/>
      <c r="D25" s="116"/>
      <c r="E25" s="116"/>
      <c r="F25" s="116"/>
      <c r="G25" s="116"/>
      <c r="H25" s="116"/>
      <c r="I25" s="116"/>
      <c r="J25" s="116"/>
      <c r="K25" s="116"/>
      <c r="L25" s="116"/>
      <c r="M25" s="116"/>
      <c r="N25" s="116"/>
      <c r="O25" s="116"/>
      <c r="P25" s="116"/>
      <c r="Q25" s="116"/>
      <c r="R25" s="116"/>
      <c r="S25" s="116"/>
      <c r="T25" s="116"/>
      <c r="U25" s="116"/>
    </row>
    <row r="26" spans="1:24" ht="18" customHeight="1" x14ac:dyDescent="0.15">
      <c r="B26" s="92" t="s">
        <v>48</v>
      </c>
      <c r="C26" s="93"/>
      <c r="D26" s="93"/>
      <c r="E26" s="93"/>
      <c r="F26" s="94"/>
      <c r="G26" s="70" t="s">
        <v>73</v>
      </c>
      <c r="H26" s="71" t="s">
        <v>76</v>
      </c>
      <c r="I26" s="72" t="s">
        <v>51</v>
      </c>
      <c r="J26" s="72" t="s">
        <v>54</v>
      </c>
      <c r="K26" s="92" t="s">
        <v>48</v>
      </c>
      <c r="L26" s="93"/>
      <c r="M26" s="93"/>
      <c r="N26" s="93"/>
      <c r="O26" s="93"/>
      <c r="P26" s="93"/>
      <c r="Q26" s="94"/>
      <c r="R26" s="70" t="s">
        <v>73</v>
      </c>
      <c r="S26" s="71" t="s">
        <v>76</v>
      </c>
      <c r="T26" s="72" t="s">
        <v>51</v>
      </c>
      <c r="U26" s="72" t="s">
        <v>54</v>
      </c>
    </row>
    <row r="27" spans="1:24" ht="18" customHeight="1" x14ac:dyDescent="0.15">
      <c r="B27" s="113" t="s">
        <v>146</v>
      </c>
      <c r="C27" s="114"/>
      <c r="D27" s="114"/>
      <c r="E27" s="114"/>
      <c r="F27" s="115"/>
      <c r="G27" s="73">
        <v>2</v>
      </c>
      <c r="H27" s="73" t="s">
        <v>147</v>
      </c>
      <c r="I27" s="73" t="s">
        <v>147</v>
      </c>
      <c r="J27" s="73" t="s">
        <v>147</v>
      </c>
      <c r="K27" s="113"/>
      <c r="L27" s="114"/>
      <c r="M27" s="114"/>
      <c r="N27" s="114"/>
      <c r="O27" s="114"/>
      <c r="P27" s="114"/>
      <c r="Q27" s="115"/>
      <c r="R27" s="73"/>
      <c r="S27" s="73"/>
      <c r="T27" s="73"/>
      <c r="U27" s="73"/>
    </row>
    <row r="28" spans="1:24" ht="18" customHeight="1" x14ac:dyDescent="0.15">
      <c r="B28" s="107"/>
      <c r="C28" s="108"/>
      <c r="D28" s="108"/>
      <c r="E28" s="108"/>
      <c r="F28" s="109"/>
      <c r="G28" s="74"/>
      <c r="H28" s="74"/>
      <c r="I28" s="74"/>
      <c r="J28" s="74"/>
      <c r="K28" s="107"/>
      <c r="L28" s="108"/>
      <c r="M28" s="108"/>
      <c r="N28" s="108"/>
      <c r="O28" s="108"/>
      <c r="P28" s="108"/>
      <c r="Q28" s="109"/>
      <c r="R28" s="74"/>
      <c r="S28" s="74"/>
      <c r="T28" s="74"/>
      <c r="U28" s="74"/>
    </row>
    <row r="29" spans="1:24" ht="18" customHeight="1" x14ac:dyDescent="0.15">
      <c r="B29" s="107"/>
      <c r="C29" s="108"/>
      <c r="D29" s="108"/>
      <c r="E29" s="108"/>
      <c r="F29" s="109"/>
      <c r="G29" s="74"/>
      <c r="H29" s="74"/>
      <c r="I29" s="74"/>
      <c r="J29" s="74"/>
      <c r="K29" s="107"/>
      <c r="L29" s="108"/>
      <c r="M29" s="108"/>
      <c r="N29" s="108"/>
      <c r="O29" s="108"/>
      <c r="P29" s="108"/>
      <c r="Q29" s="109"/>
      <c r="R29" s="74"/>
      <c r="S29" s="74"/>
      <c r="T29" s="74"/>
      <c r="U29" s="74"/>
    </row>
    <row r="30" spans="1:24" ht="18" customHeight="1" x14ac:dyDescent="0.15">
      <c r="B30" s="107"/>
      <c r="C30" s="108"/>
      <c r="D30" s="108"/>
      <c r="E30" s="108"/>
      <c r="F30" s="109"/>
      <c r="G30" s="74"/>
      <c r="H30" s="74"/>
      <c r="I30" s="74"/>
      <c r="J30" s="74"/>
      <c r="K30" s="107"/>
      <c r="L30" s="108"/>
      <c r="M30" s="108"/>
      <c r="N30" s="108"/>
      <c r="O30" s="108"/>
      <c r="P30" s="108"/>
      <c r="Q30" s="109"/>
      <c r="R30" s="74"/>
      <c r="S30" s="74"/>
      <c r="T30" s="74"/>
      <c r="U30" s="74"/>
    </row>
    <row r="31" spans="1:24" ht="18" customHeight="1" x14ac:dyDescent="0.15">
      <c r="B31" s="107"/>
      <c r="C31" s="108"/>
      <c r="D31" s="108"/>
      <c r="E31" s="108"/>
      <c r="F31" s="109"/>
      <c r="G31" s="74"/>
      <c r="H31" s="74"/>
      <c r="I31" s="74"/>
      <c r="J31" s="74"/>
      <c r="K31" s="107"/>
      <c r="L31" s="108"/>
      <c r="M31" s="108"/>
      <c r="N31" s="108"/>
      <c r="O31" s="108"/>
      <c r="P31" s="108"/>
      <c r="Q31" s="109"/>
      <c r="R31" s="74"/>
      <c r="S31" s="74"/>
      <c r="T31" s="74"/>
      <c r="U31" s="74"/>
    </row>
    <row r="32" spans="1:24" ht="18" customHeight="1" x14ac:dyDescent="0.15">
      <c r="A32" s="50"/>
      <c r="B32" s="107"/>
      <c r="C32" s="108"/>
      <c r="D32" s="108"/>
      <c r="E32" s="108"/>
      <c r="F32" s="109"/>
      <c r="G32" s="74"/>
      <c r="H32" s="74"/>
      <c r="I32" s="74"/>
      <c r="J32" s="74"/>
      <c r="K32" s="107"/>
      <c r="L32" s="108"/>
      <c r="M32" s="108"/>
      <c r="N32" s="108"/>
      <c r="O32" s="108"/>
      <c r="P32" s="108"/>
      <c r="Q32" s="109"/>
      <c r="R32" s="74"/>
      <c r="S32" s="74"/>
      <c r="T32" s="74"/>
      <c r="U32" s="74"/>
    </row>
    <row r="33" spans="1:21" ht="18" customHeight="1" x14ac:dyDescent="0.15">
      <c r="A33" s="50"/>
      <c r="B33" s="110"/>
      <c r="C33" s="111"/>
      <c r="D33" s="111"/>
      <c r="E33" s="111"/>
      <c r="F33" s="112"/>
      <c r="G33" s="75"/>
      <c r="H33" s="75"/>
      <c r="I33" s="76"/>
      <c r="J33" s="76"/>
      <c r="K33" s="110"/>
      <c r="L33" s="111"/>
      <c r="M33" s="111"/>
      <c r="N33" s="111"/>
      <c r="O33" s="111"/>
      <c r="P33" s="111"/>
      <c r="Q33" s="112"/>
      <c r="R33" s="75"/>
      <c r="S33" s="75"/>
      <c r="T33" s="76"/>
      <c r="U33" s="76"/>
    </row>
    <row r="34" spans="1:21" ht="7.5" customHeight="1" x14ac:dyDescent="0.15">
      <c r="A34" s="50"/>
      <c r="B34" s="49"/>
      <c r="C34" s="49"/>
      <c r="D34" s="49"/>
      <c r="E34" s="50"/>
      <c r="F34" s="50"/>
      <c r="G34" s="50"/>
      <c r="H34" s="50"/>
      <c r="I34" s="49"/>
      <c r="J34" s="49"/>
      <c r="K34" s="49"/>
      <c r="L34" s="49"/>
      <c r="M34" s="49"/>
      <c r="N34" s="49"/>
      <c r="O34" s="49"/>
      <c r="P34" s="49"/>
      <c r="Q34" s="49"/>
      <c r="R34" s="49"/>
      <c r="S34" s="49"/>
      <c r="T34" s="49"/>
      <c r="U34" s="50"/>
    </row>
    <row r="35" spans="1:21" ht="18" customHeight="1" x14ac:dyDescent="0.15">
      <c r="A35" s="116" t="s">
        <v>97</v>
      </c>
      <c r="B35" s="116"/>
      <c r="C35" s="116"/>
      <c r="D35" s="116"/>
      <c r="E35" s="116"/>
      <c r="F35" s="116"/>
      <c r="G35" s="116"/>
      <c r="H35" s="116"/>
      <c r="I35" s="116"/>
      <c r="J35" s="116"/>
      <c r="K35" s="116"/>
      <c r="L35" s="116"/>
      <c r="M35" s="116"/>
      <c r="N35" s="116"/>
      <c r="O35" s="116"/>
      <c r="P35" s="116"/>
      <c r="Q35" s="116"/>
      <c r="R35" s="116"/>
      <c r="S35" s="116"/>
      <c r="T35" s="116"/>
      <c r="U35" s="116"/>
    </row>
    <row r="36" spans="1:21" ht="18" customHeight="1" x14ac:dyDescent="0.15">
      <c r="A36" s="116"/>
      <c r="B36" s="116"/>
      <c r="C36" s="116"/>
      <c r="D36" s="116"/>
      <c r="E36" s="116"/>
      <c r="F36" s="116"/>
      <c r="G36" s="116"/>
      <c r="H36" s="116"/>
      <c r="I36" s="116"/>
      <c r="J36" s="116"/>
      <c r="K36" s="116"/>
      <c r="L36" s="116"/>
      <c r="M36" s="116"/>
      <c r="N36" s="116"/>
      <c r="O36" s="116"/>
      <c r="P36" s="116"/>
      <c r="Q36" s="116"/>
      <c r="R36" s="116"/>
      <c r="S36" s="116"/>
      <c r="T36" s="116"/>
      <c r="U36" s="116"/>
    </row>
    <row r="37" spans="1:21" ht="18" customHeight="1" x14ac:dyDescent="0.15">
      <c r="B37" s="92" t="s">
        <v>48</v>
      </c>
      <c r="C37" s="93"/>
      <c r="D37" s="93"/>
      <c r="E37" s="93"/>
      <c r="F37" s="94"/>
      <c r="G37" s="70" t="s">
        <v>73</v>
      </c>
      <c r="H37" s="71" t="s">
        <v>76</v>
      </c>
      <c r="I37" s="72" t="s">
        <v>64</v>
      </c>
      <c r="J37" s="72" t="s">
        <v>65</v>
      </c>
      <c r="K37" s="92" t="s">
        <v>48</v>
      </c>
      <c r="L37" s="93"/>
      <c r="M37" s="93"/>
      <c r="N37" s="93"/>
      <c r="O37" s="93"/>
      <c r="P37" s="93"/>
      <c r="Q37" s="94"/>
      <c r="R37" s="70" t="s">
        <v>73</v>
      </c>
      <c r="S37" s="71" t="s">
        <v>76</v>
      </c>
      <c r="T37" s="72" t="s">
        <v>64</v>
      </c>
      <c r="U37" s="72" t="s">
        <v>65</v>
      </c>
    </row>
    <row r="38" spans="1:21" ht="18" customHeight="1" x14ac:dyDescent="0.15">
      <c r="B38" s="113" t="s">
        <v>148</v>
      </c>
      <c r="C38" s="114"/>
      <c r="D38" s="114"/>
      <c r="E38" s="114"/>
      <c r="F38" s="115"/>
      <c r="G38" s="73">
        <v>2</v>
      </c>
      <c r="H38" s="73" t="s">
        <v>147</v>
      </c>
      <c r="I38" s="73" t="s">
        <v>147</v>
      </c>
      <c r="J38" s="73" t="s">
        <v>147</v>
      </c>
      <c r="K38" s="113"/>
      <c r="L38" s="114"/>
      <c r="M38" s="114"/>
      <c r="N38" s="114"/>
      <c r="O38" s="114"/>
      <c r="P38" s="114"/>
      <c r="Q38" s="115"/>
      <c r="R38" s="73"/>
      <c r="S38" s="73"/>
      <c r="T38" s="73"/>
      <c r="U38" s="73"/>
    </row>
    <row r="39" spans="1:21" ht="18" customHeight="1" x14ac:dyDescent="0.15">
      <c r="B39" s="107"/>
      <c r="C39" s="108"/>
      <c r="D39" s="108"/>
      <c r="E39" s="108"/>
      <c r="F39" s="109"/>
      <c r="G39" s="74"/>
      <c r="H39" s="74"/>
      <c r="I39" s="74"/>
      <c r="J39" s="74"/>
      <c r="K39" s="107"/>
      <c r="L39" s="108"/>
      <c r="M39" s="108"/>
      <c r="N39" s="108"/>
      <c r="O39" s="108"/>
      <c r="P39" s="108"/>
      <c r="Q39" s="109"/>
      <c r="R39" s="74"/>
      <c r="S39" s="74"/>
      <c r="T39" s="74"/>
      <c r="U39" s="74"/>
    </row>
    <row r="40" spans="1:21" ht="18" customHeight="1" x14ac:dyDescent="0.15">
      <c r="B40" s="107"/>
      <c r="C40" s="108"/>
      <c r="D40" s="108"/>
      <c r="E40" s="108"/>
      <c r="F40" s="109"/>
      <c r="G40" s="74"/>
      <c r="H40" s="74"/>
      <c r="I40" s="74"/>
      <c r="J40" s="74"/>
      <c r="K40" s="107"/>
      <c r="L40" s="108"/>
      <c r="M40" s="108"/>
      <c r="N40" s="108"/>
      <c r="O40" s="108"/>
      <c r="P40" s="108"/>
      <c r="Q40" s="109"/>
      <c r="R40" s="74"/>
      <c r="S40" s="74"/>
      <c r="T40" s="74"/>
      <c r="U40" s="74"/>
    </row>
    <row r="41" spans="1:21" ht="18" customHeight="1" x14ac:dyDescent="0.15">
      <c r="B41" s="107"/>
      <c r="C41" s="108"/>
      <c r="D41" s="108"/>
      <c r="E41" s="108"/>
      <c r="F41" s="109"/>
      <c r="G41" s="74"/>
      <c r="H41" s="74"/>
      <c r="I41" s="74"/>
      <c r="J41" s="74"/>
      <c r="K41" s="107"/>
      <c r="L41" s="108"/>
      <c r="M41" s="108"/>
      <c r="N41" s="108"/>
      <c r="O41" s="108"/>
      <c r="P41" s="108"/>
      <c r="Q41" s="109"/>
      <c r="R41" s="74"/>
      <c r="S41" s="74"/>
      <c r="T41" s="74"/>
      <c r="U41" s="74"/>
    </row>
    <row r="42" spans="1:21" ht="18" customHeight="1" x14ac:dyDescent="0.15">
      <c r="B42" s="107"/>
      <c r="C42" s="108"/>
      <c r="D42" s="108"/>
      <c r="E42" s="108"/>
      <c r="F42" s="109"/>
      <c r="G42" s="74"/>
      <c r="H42" s="74"/>
      <c r="I42" s="74"/>
      <c r="J42" s="74"/>
      <c r="K42" s="107"/>
      <c r="L42" s="108"/>
      <c r="M42" s="108"/>
      <c r="N42" s="108"/>
      <c r="O42" s="108"/>
      <c r="P42" s="108"/>
      <c r="Q42" s="109"/>
      <c r="R42" s="74"/>
      <c r="S42" s="74"/>
      <c r="T42" s="74"/>
      <c r="U42" s="74"/>
    </row>
    <row r="43" spans="1:21" ht="18" customHeight="1" x14ac:dyDescent="0.15">
      <c r="B43" s="107"/>
      <c r="C43" s="108"/>
      <c r="D43" s="108"/>
      <c r="E43" s="108"/>
      <c r="F43" s="109"/>
      <c r="G43" s="74"/>
      <c r="H43" s="74"/>
      <c r="I43" s="74"/>
      <c r="J43" s="74"/>
      <c r="K43" s="107"/>
      <c r="L43" s="108"/>
      <c r="M43" s="108"/>
      <c r="N43" s="108"/>
      <c r="O43" s="108"/>
      <c r="P43" s="108"/>
      <c r="Q43" s="109"/>
      <c r="R43" s="74"/>
      <c r="S43" s="74"/>
      <c r="T43" s="74"/>
      <c r="U43" s="74"/>
    </row>
    <row r="44" spans="1:21" ht="18" customHeight="1" x14ac:dyDescent="0.15">
      <c r="B44" s="110"/>
      <c r="C44" s="111"/>
      <c r="D44" s="111"/>
      <c r="E44" s="111"/>
      <c r="F44" s="112"/>
      <c r="G44" s="75"/>
      <c r="H44" s="75"/>
      <c r="I44" s="76"/>
      <c r="J44" s="76"/>
      <c r="K44" s="110"/>
      <c r="L44" s="111"/>
      <c r="M44" s="111"/>
      <c r="N44" s="111"/>
      <c r="O44" s="111"/>
      <c r="P44" s="111"/>
      <c r="Q44" s="112"/>
      <c r="R44" s="75"/>
      <c r="S44" s="75"/>
      <c r="T44" s="76"/>
      <c r="U44" s="76"/>
    </row>
    <row r="45" spans="1:21" ht="7.5" customHeight="1" x14ac:dyDescent="0.15">
      <c r="A45" s="50"/>
      <c r="B45" s="49"/>
      <c r="C45" s="49"/>
      <c r="D45" s="49"/>
      <c r="E45" s="50"/>
      <c r="F45" s="50"/>
      <c r="G45" s="50"/>
      <c r="H45" s="50"/>
      <c r="I45" s="49"/>
      <c r="J45" s="49"/>
      <c r="K45" s="49"/>
      <c r="L45" s="49"/>
      <c r="M45" s="49"/>
      <c r="N45" s="49"/>
      <c r="O45" s="49"/>
      <c r="P45" s="49"/>
      <c r="Q45" s="49"/>
      <c r="R45" s="49"/>
      <c r="S45" s="49"/>
      <c r="T45" s="49"/>
      <c r="U45" s="50"/>
    </row>
    <row r="46" spans="1:21" ht="18" customHeight="1" x14ac:dyDescent="0.15">
      <c r="A46" s="116" t="s">
        <v>98</v>
      </c>
      <c r="B46" s="116"/>
      <c r="C46" s="116"/>
      <c r="D46" s="116"/>
      <c r="E46" s="116"/>
      <c r="F46" s="116"/>
      <c r="G46" s="116"/>
      <c r="H46" s="116"/>
      <c r="I46" s="116"/>
      <c r="J46" s="116"/>
      <c r="K46" s="116"/>
      <c r="L46" s="116"/>
      <c r="M46" s="116"/>
      <c r="N46" s="116"/>
      <c r="O46" s="116"/>
      <c r="P46" s="116"/>
      <c r="Q46" s="116"/>
      <c r="R46" s="116"/>
      <c r="S46" s="116"/>
      <c r="T46" s="116"/>
      <c r="U46" s="116"/>
    </row>
    <row r="47" spans="1:21" ht="18" customHeight="1" x14ac:dyDescent="0.15">
      <c r="A47" s="116"/>
      <c r="B47" s="116"/>
      <c r="C47" s="116"/>
      <c r="D47" s="116"/>
      <c r="E47" s="116"/>
      <c r="F47" s="116"/>
      <c r="G47" s="116"/>
      <c r="H47" s="116"/>
      <c r="I47" s="116"/>
      <c r="J47" s="116"/>
      <c r="K47" s="116"/>
      <c r="L47" s="116"/>
      <c r="M47" s="116"/>
      <c r="N47" s="116"/>
      <c r="O47" s="116"/>
      <c r="P47" s="116"/>
      <c r="Q47" s="116"/>
      <c r="R47" s="116"/>
      <c r="S47" s="116"/>
      <c r="T47" s="116"/>
      <c r="U47" s="116"/>
    </row>
    <row r="48" spans="1:21" ht="18" customHeight="1" x14ac:dyDescent="0.15">
      <c r="B48" s="92" t="s">
        <v>48</v>
      </c>
      <c r="C48" s="93"/>
      <c r="D48" s="93"/>
      <c r="E48" s="93"/>
      <c r="F48" s="94"/>
      <c r="G48" s="70" t="s">
        <v>73</v>
      </c>
      <c r="H48" s="71" t="s">
        <v>76</v>
      </c>
      <c r="I48" s="72" t="s">
        <v>66</v>
      </c>
      <c r="J48" s="72" t="s">
        <v>67</v>
      </c>
      <c r="K48" s="92" t="s">
        <v>48</v>
      </c>
      <c r="L48" s="93"/>
      <c r="M48" s="93"/>
      <c r="N48" s="93"/>
      <c r="O48" s="93"/>
      <c r="P48" s="93"/>
      <c r="Q48" s="94"/>
      <c r="R48" s="70" t="s">
        <v>73</v>
      </c>
      <c r="S48" s="71" t="s">
        <v>76</v>
      </c>
      <c r="T48" s="72" t="s">
        <v>66</v>
      </c>
      <c r="U48" s="72" t="s">
        <v>67</v>
      </c>
    </row>
    <row r="49" spans="1:21" ht="18" customHeight="1" x14ac:dyDescent="0.15">
      <c r="A49" s="50"/>
      <c r="B49" s="113" t="s">
        <v>148</v>
      </c>
      <c r="C49" s="114"/>
      <c r="D49" s="114"/>
      <c r="E49" s="114"/>
      <c r="F49" s="115"/>
      <c r="G49" s="73">
        <v>2</v>
      </c>
      <c r="H49" s="73" t="s">
        <v>147</v>
      </c>
      <c r="I49" s="73" t="s">
        <v>147</v>
      </c>
      <c r="J49" s="73" t="s">
        <v>147</v>
      </c>
      <c r="K49" s="113"/>
      <c r="L49" s="114"/>
      <c r="M49" s="114"/>
      <c r="N49" s="114"/>
      <c r="O49" s="114"/>
      <c r="P49" s="114"/>
      <c r="Q49" s="115"/>
      <c r="R49" s="73"/>
      <c r="S49" s="73"/>
      <c r="T49" s="73"/>
      <c r="U49" s="73"/>
    </row>
    <row r="50" spans="1:21" ht="18" customHeight="1" x14ac:dyDescent="0.15">
      <c r="A50" s="50"/>
      <c r="B50" s="107"/>
      <c r="C50" s="108"/>
      <c r="D50" s="108"/>
      <c r="E50" s="108"/>
      <c r="F50" s="109"/>
      <c r="G50" s="74"/>
      <c r="H50" s="74"/>
      <c r="I50" s="74"/>
      <c r="J50" s="74"/>
      <c r="K50" s="107"/>
      <c r="L50" s="108"/>
      <c r="M50" s="108"/>
      <c r="N50" s="108"/>
      <c r="O50" s="108"/>
      <c r="P50" s="108"/>
      <c r="Q50" s="109"/>
      <c r="R50" s="74"/>
      <c r="S50" s="74"/>
      <c r="T50" s="74"/>
      <c r="U50" s="74"/>
    </row>
    <row r="51" spans="1:21" ht="18" customHeight="1" x14ac:dyDescent="0.15">
      <c r="A51" s="50"/>
      <c r="B51" s="107"/>
      <c r="C51" s="108"/>
      <c r="D51" s="108"/>
      <c r="E51" s="108"/>
      <c r="F51" s="109"/>
      <c r="G51" s="74"/>
      <c r="H51" s="74"/>
      <c r="I51" s="74"/>
      <c r="J51" s="74"/>
      <c r="K51" s="107"/>
      <c r="L51" s="108"/>
      <c r="M51" s="108"/>
      <c r="N51" s="108"/>
      <c r="O51" s="108"/>
      <c r="P51" s="108"/>
      <c r="Q51" s="109"/>
      <c r="R51" s="74"/>
      <c r="S51" s="74"/>
      <c r="T51" s="74"/>
      <c r="U51" s="74"/>
    </row>
    <row r="52" spans="1:21" ht="18" customHeight="1" x14ac:dyDescent="0.15">
      <c r="A52" s="50"/>
      <c r="B52" s="107"/>
      <c r="C52" s="108"/>
      <c r="D52" s="108"/>
      <c r="E52" s="108"/>
      <c r="F52" s="109"/>
      <c r="G52" s="74"/>
      <c r="H52" s="74"/>
      <c r="I52" s="74"/>
      <c r="J52" s="74"/>
      <c r="K52" s="107"/>
      <c r="L52" s="108"/>
      <c r="M52" s="108"/>
      <c r="N52" s="108"/>
      <c r="O52" s="108"/>
      <c r="P52" s="108"/>
      <c r="Q52" s="109"/>
      <c r="R52" s="74"/>
      <c r="S52" s="74"/>
      <c r="T52" s="74"/>
      <c r="U52" s="74"/>
    </row>
    <row r="53" spans="1:21" ht="18" customHeight="1" x14ac:dyDescent="0.15">
      <c r="A53" s="50"/>
      <c r="B53" s="107"/>
      <c r="C53" s="108"/>
      <c r="D53" s="108"/>
      <c r="E53" s="108"/>
      <c r="F53" s="109"/>
      <c r="G53" s="74"/>
      <c r="H53" s="74"/>
      <c r="I53" s="74"/>
      <c r="J53" s="74"/>
      <c r="K53" s="107"/>
      <c r="L53" s="108"/>
      <c r="M53" s="108"/>
      <c r="N53" s="108"/>
      <c r="O53" s="108"/>
      <c r="P53" s="108"/>
      <c r="Q53" s="109"/>
      <c r="R53" s="74"/>
      <c r="S53" s="74"/>
      <c r="T53" s="74"/>
      <c r="U53" s="74"/>
    </row>
    <row r="54" spans="1:21" ht="18" customHeight="1" x14ac:dyDescent="0.15">
      <c r="A54" s="50"/>
      <c r="B54" s="107"/>
      <c r="C54" s="108"/>
      <c r="D54" s="108"/>
      <c r="E54" s="108"/>
      <c r="F54" s="109"/>
      <c r="G54" s="74"/>
      <c r="H54" s="74"/>
      <c r="I54" s="74"/>
      <c r="J54" s="74"/>
      <c r="K54" s="107"/>
      <c r="L54" s="108"/>
      <c r="M54" s="108"/>
      <c r="N54" s="108"/>
      <c r="O54" s="108"/>
      <c r="P54" s="108"/>
      <c r="Q54" s="109"/>
      <c r="R54" s="74"/>
      <c r="S54" s="74"/>
      <c r="T54" s="74"/>
      <c r="U54" s="74"/>
    </row>
    <row r="55" spans="1:21" ht="18" customHeight="1" x14ac:dyDescent="0.15">
      <c r="A55" s="50"/>
      <c r="B55" s="110"/>
      <c r="C55" s="111"/>
      <c r="D55" s="111"/>
      <c r="E55" s="111"/>
      <c r="F55" s="112"/>
      <c r="G55" s="75"/>
      <c r="H55" s="75"/>
      <c r="I55" s="76"/>
      <c r="J55" s="76"/>
      <c r="K55" s="110"/>
      <c r="L55" s="111"/>
      <c r="M55" s="111"/>
      <c r="N55" s="111"/>
      <c r="O55" s="111"/>
      <c r="P55" s="111"/>
      <c r="Q55" s="112"/>
      <c r="R55" s="75"/>
      <c r="S55" s="75"/>
      <c r="T55" s="76"/>
      <c r="U55" s="76"/>
    </row>
    <row r="56" spans="1:21" ht="7.5" customHeight="1" x14ac:dyDescent="0.15">
      <c r="B56" s="77"/>
      <c r="C56" s="77"/>
      <c r="D56" s="77"/>
      <c r="E56" s="77"/>
      <c r="F56" s="77"/>
      <c r="G56" s="77"/>
      <c r="H56" s="77"/>
      <c r="I56" s="77"/>
      <c r="J56" s="77"/>
      <c r="K56" s="77"/>
      <c r="L56" s="77"/>
      <c r="M56" s="77"/>
      <c r="N56" s="77"/>
      <c r="O56" s="77"/>
      <c r="P56" s="77"/>
      <c r="Q56" s="77"/>
      <c r="R56" s="77"/>
      <c r="S56" s="77"/>
      <c r="T56" s="77"/>
    </row>
    <row r="57" spans="1:21" ht="18" customHeight="1" x14ac:dyDescent="0.15">
      <c r="A57" s="116" t="s">
        <v>99</v>
      </c>
      <c r="B57" s="116"/>
      <c r="C57" s="116"/>
      <c r="D57" s="116"/>
      <c r="E57" s="116"/>
      <c r="F57" s="116"/>
      <c r="G57" s="116"/>
      <c r="H57" s="116"/>
      <c r="I57" s="116"/>
      <c r="J57" s="116"/>
      <c r="K57" s="116"/>
      <c r="L57" s="116"/>
      <c r="M57" s="116"/>
      <c r="N57" s="116"/>
      <c r="O57" s="116"/>
      <c r="P57" s="116"/>
      <c r="Q57" s="116"/>
      <c r="R57" s="116"/>
      <c r="S57" s="116"/>
      <c r="T57" s="116"/>
      <c r="U57" s="116"/>
    </row>
    <row r="58" spans="1:21" ht="18" customHeight="1" x14ac:dyDescent="0.15">
      <c r="A58" s="116"/>
      <c r="B58" s="116"/>
      <c r="C58" s="116"/>
      <c r="D58" s="116"/>
      <c r="E58" s="116"/>
      <c r="F58" s="116"/>
      <c r="G58" s="116"/>
      <c r="H58" s="116"/>
      <c r="I58" s="116"/>
      <c r="J58" s="116"/>
      <c r="K58" s="116"/>
      <c r="L58" s="116"/>
      <c r="M58" s="116"/>
      <c r="N58" s="116"/>
      <c r="O58" s="116"/>
      <c r="P58" s="116"/>
      <c r="Q58" s="116"/>
      <c r="R58" s="116"/>
      <c r="S58" s="116"/>
      <c r="T58" s="116"/>
      <c r="U58" s="116"/>
    </row>
    <row r="59" spans="1:21" ht="18" customHeight="1" x14ac:dyDescent="0.15">
      <c r="B59" s="92" t="s">
        <v>48</v>
      </c>
      <c r="C59" s="93"/>
      <c r="D59" s="93"/>
      <c r="E59" s="93"/>
      <c r="F59" s="94"/>
      <c r="G59" s="70" t="s">
        <v>73</v>
      </c>
      <c r="H59" s="71" t="s">
        <v>76</v>
      </c>
      <c r="I59" s="72" t="s">
        <v>53</v>
      </c>
      <c r="J59" s="72" t="s">
        <v>55</v>
      </c>
      <c r="K59" s="92" t="s">
        <v>48</v>
      </c>
      <c r="L59" s="93"/>
      <c r="M59" s="93"/>
      <c r="N59" s="93"/>
      <c r="O59" s="93"/>
      <c r="P59" s="93"/>
      <c r="Q59" s="94"/>
      <c r="R59" s="70" t="s">
        <v>73</v>
      </c>
      <c r="S59" s="71" t="s">
        <v>76</v>
      </c>
      <c r="T59" s="72" t="s">
        <v>53</v>
      </c>
      <c r="U59" s="72" t="s">
        <v>55</v>
      </c>
    </row>
    <row r="60" spans="1:21" ht="18" customHeight="1" x14ac:dyDescent="0.15">
      <c r="A60" s="50"/>
      <c r="B60" s="113" t="s">
        <v>148</v>
      </c>
      <c r="C60" s="114"/>
      <c r="D60" s="114"/>
      <c r="E60" s="114"/>
      <c r="F60" s="115"/>
      <c r="G60" s="73">
        <v>2</v>
      </c>
      <c r="H60" s="73" t="s">
        <v>147</v>
      </c>
      <c r="I60" s="73" t="s">
        <v>147</v>
      </c>
      <c r="J60" s="73" t="s">
        <v>147</v>
      </c>
      <c r="K60" s="113"/>
      <c r="L60" s="114"/>
      <c r="M60" s="114"/>
      <c r="N60" s="114"/>
      <c r="O60" s="114"/>
      <c r="P60" s="114"/>
      <c r="Q60" s="115"/>
      <c r="R60" s="73"/>
      <c r="S60" s="73"/>
      <c r="T60" s="73"/>
      <c r="U60" s="73"/>
    </row>
    <row r="61" spans="1:21" ht="18" customHeight="1" x14ac:dyDescent="0.15">
      <c r="A61" s="50"/>
      <c r="B61" s="107"/>
      <c r="C61" s="108"/>
      <c r="D61" s="108"/>
      <c r="E61" s="108"/>
      <c r="F61" s="109"/>
      <c r="G61" s="74"/>
      <c r="H61" s="74"/>
      <c r="I61" s="74"/>
      <c r="J61" s="74"/>
      <c r="K61" s="107"/>
      <c r="L61" s="108"/>
      <c r="M61" s="108"/>
      <c r="N61" s="108"/>
      <c r="O61" s="108"/>
      <c r="P61" s="108"/>
      <c r="Q61" s="109"/>
      <c r="R61" s="74"/>
      <c r="S61" s="74"/>
      <c r="T61" s="74"/>
      <c r="U61" s="74"/>
    </row>
    <row r="62" spans="1:21" ht="18" customHeight="1" x14ac:dyDescent="0.15">
      <c r="A62" s="50"/>
      <c r="B62" s="107"/>
      <c r="C62" s="108"/>
      <c r="D62" s="108"/>
      <c r="E62" s="108"/>
      <c r="F62" s="109"/>
      <c r="G62" s="74"/>
      <c r="H62" s="74"/>
      <c r="I62" s="74"/>
      <c r="J62" s="74"/>
      <c r="K62" s="107"/>
      <c r="L62" s="108"/>
      <c r="M62" s="108"/>
      <c r="N62" s="108"/>
      <c r="O62" s="108"/>
      <c r="P62" s="108"/>
      <c r="Q62" s="109"/>
      <c r="R62" s="74"/>
      <c r="S62" s="74"/>
      <c r="T62" s="74"/>
      <c r="U62" s="74"/>
    </row>
    <row r="63" spans="1:21" ht="18" customHeight="1" x14ac:dyDescent="0.15">
      <c r="A63" s="50"/>
      <c r="B63" s="107"/>
      <c r="C63" s="108"/>
      <c r="D63" s="108"/>
      <c r="E63" s="108"/>
      <c r="F63" s="109"/>
      <c r="G63" s="74"/>
      <c r="H63" s="74"/>
      <c r="I63" s="74"/>
      <c r="J63" s="74"/>
      <c r="K63" s="107"/>
      <c r="L63" s="108"/>
      <c r="M63" s="108"/>
      <c r="N63" s="108"/>
      <c r="O63" s="108"/>
      <c r="P63" s="108"/>
      <c r="Q63" s="109"/>
      <c r="R63" s="74"/>
      <c r="S63" s="74"/>
      <c r="T63" s="74"/>
      <c r="U63" s="74"/>
    </row>
    <row r="64" spans="1:21" ht="18" customHeight="1" x14ac:dyDescent="0.15">
      <c r="A64" s="50"/>
      <c r="B64" s="107"/>
      <c r="C64" s="108"/>
      <c r="D64" s="108"/>
      <c r="E64" s="108"/>
      <c r="F64" s="109"/>
      <c r="G64" s="74"/>
      <c r="H64" s="74"/>
      <c r="I64" s="74"/>
      <c r="J64" s="74"/>
      <c r="K64" s="107"/>
      <c r="L64" s="108"/>
      <c r="M64" s="108"/>
      <c r="N64" s="108"/>
      <c r="O64" s="108"/>
      <c r="P64" s="108"/>
      <c r="Q64" s="109"/>
      <c r="R64" s="74"/>
      <c r="S64" s="74"/>
      <c r="T64" s="74"/>
      <c r="U64" s="74"/>
    </row>
    <row r="65" spans="1:27" ht="18" customHeight="1" x14ac:dyDescent="0.15">
      <c r="A65" s="50"/>
      <c r="B65" s="107"/>
      <c r="C65" s="108"/>
      <c r="D65" s="108"/>
      <c r="E65" s="108"/>
      <c r="F65" s="109"/>
      <c r="G65" s="74"/>
      <c r="H65" s="74"/>
      <c r="I65" s="74"/>
      <c r="J65" s="74"/>
      <c r="K65" s="107"/>
      <c r="L65" s="108"/>
      <c r="M65" s="108"/>
      <c r="N65" s="108"/>
      <c r="O65" s="108"/>
      <c r="P65" s="108"/>
      <c r="Q65" s="109"/>
      <c r="R65" s="74"/>
      <c r="S65" s="74"/>
      <c r="T65" s="74"/>
      <c r="U65" s="74"/>
    </row>
    <row r="66" spans="1:27" ht="18" customHeight="1" x14ac:dyDescent="0.15">
      <c r="A66" s="50"/>
      <c r="B66" s="110"/>
      <c r="C66" s="111"/>
      <c r="D66" s="111"/>
      <c r="E66" s="111"/>
      <c r="F66" s="112"/>
      <c r="G66" s="75"/>
      <c r="H66" s="75"/>
      <c r="I66" s="76"/>
      <c r="J66" s="76"/>
      <c r="K66" s="110"/>
      <c r="L66" s="111"/>
      <c r="M66" s="111"/>
      <c r="N66" s="111"/>
      <c r="O66" s="111"/>
      <c r="P66" s="111"/>
      <c r="Q66" s="112"/>
      <c r="R66" s="75"/>
      <c r="S66" s="75"/>
      <c r="T66" s="76"/>
      <c r="U66" s="76"/>
    </row>
    <row r="67" spans="1:27" ht="7.5" customHeight="1" x14ac:dyDescent="0.15">
      <c r="B67" s="77"/>
      <c r="C67" s="77"/>
      <c r="D67" s="77"/>
      <c r="E67" s="77"/>
      <c r="F67" s="77"/>
      <c r="G67" s="77"/>
      <c r="H67" s="77"/>
      <c r="I67" s="77"/>
      <c r="J67" s="77"/>
      <c r="K67" s="77"/>
      <c r="L67" s="77"/>
      <c r="M67" s="77"/>
      <c r="N67" s="77"/>
      <c r="O67" s="77"/>
      <c r="P67" s="77"/>
      <c r="Q67" s="77"/>
      <c r="R67" s="77"/>
      <c r="S67" s="77"/>
      <c r="T67" s="77"/>
    </row>
    <row r="68" spans="1:27" ht="18" customHeight="1" x14ac:dyDescent="0.15">
      <c r="A68" s="116" t="s">
        <v>100</v>
      </c>
      <c r="B68" s="116"/>
      <c r="C68" s="116"/>
      <c r="D68" s="116"/>
      <c r="E68" s="116"/>
      <c r="F68" s="116"/>
      <c r="G68" s="116"/>
      <c r="H68" s="116"/>
      <c r="I68" s="116"/>
      <c r="J68" s="116"/>
      <c r="K68" s="116"/>
      <c r="L68" s="116"/>
      <c r="M68" s="116"/>
      <c r="N68" s="116"/>
      <c r="O68" s="116"/>
      <c r="P68" s="116"/>
      <c r="Q68" s="116"/>
      <c r="R68" s="116"/>
      <c r="S68" s="116"/>
      <c r="T68" s="116"/>
      <c r="U68" s="116"/>
    </row>
    <row r="69" spans="1:27" ht="18" customHeight="1" x14ac:dyDescent="0.15">
      <c r="A69" s="116"/>
      <c r="B69" s="116"/>
      <c r="C69" s="116"/>
      <c r="D69" s="116"/>
      <c r="E69" s="116"/>
      <c r="F69" s="116"/>
      <c r="G69" s="116"/>
      <c r="H69" s="116"/>
      <c r="I69" s="116"/>
      <c r="J69" s="116"/>
      <c r="K69" s="116"/>
      <c r="L69" s="116"/>
      <c r="M69" s="116"/>
      <c r="N69" s="116"/>
      <c r="O69" s="116"/>
      <c r="P69" s="116"/>
      <c r="Q69" s="116"/>
      <c r="R69" s="116"/>
      <c r="S69" s="116"/>
      <c r="T69" s="116"/>
      <c r="U69" s="116"/>
    </row>
    <row r="70" spans="1:27" ht="18" customHeight="1" x14ac:dyDescent="0.15">
      <c r="B70" s="92" t="s">
        <v>48</v>
      </c>
      <c r="C70" s="93"/>
      <c r="D70" s="93"/>
      <c r="E70" s="93"/>
      <c r="F70" s="70" t="s">
        <v>73</v>
      </c>
      <c r="G70" s="71" t="s">
        <v>76</v>
      </c>
      <c r="H70" s="72" t="s">
        <v>87</v>
      </c>
      <c r="I70" s="72" t="s">
        <v>68</v>
      </c>
      <c r="J70" s="72" t="s">
        <v>69</v>
      </c>
      <c r="K70" s="92" t="s">
        <v>48</v>
      </c>
      <c r="L70" s="93"/>
      <c r="M70" s="93"/>
      <c r="N70" s="93"/>
      <c r="O70" s="93"/>
      <c r="P70" s="94"/>
      <c r="Q70" s="70" t="s">
        <v>73</v>
      </c>
      <c r="R70" s="71" t="s">
        <v>76</v>
      </c>
      <c r="S70" s="72" t="s">
        <v>87</v>
      </c>
      <c r="T70" s="72" t="s">
        <v>68</v>
      </c>
      <c r="U70" s="72" t="s">
        <v>69</v>
      </c>
    </row>
    <row r="71" spans="1:27" ht="18" customHeight="1" x14ac:dyDescent="0.15">
      <c r="A71" s="50"/>
      <c r="B71" s="113" t="s">
        <v>148</v>
      </c>
      <c r="C71" s="114"/>
      <c r="D71" s="114"/>
      <c r="E71" s="114"/>
      <c r="F71" s="73">
        <v>2</v>
      </c>
      <c r="G71" s="73" t="s">
        <v>147</v>
      </c>
      <c r="H71" s="73" t="s">
        <v>147</v>
      </c>
      <c r="I71" s="73" t="s">
        <v>147</v>
      </c>
      <c r="J71" s="73" t="s">
        <v>147</v>
      </c>
      <c r="K71" s="113"/>
      <c r="L71" s="114"/>
      <c r="M71" s="114"/>
      <c r="N71" s="114"/>
      <c r="O71" s="114"/>
      <c r="P71" s="115"/>
      <c r="Q71" s="73"/>
      <c r="R71" s="73"/>
      <c r="S71" s="73"/>
      <c r="T71" s="73"/>
      <c r="U71" s="73"/>
    </row>
    <row r="72" spans="1:27" ht="18" customHeight="1" x14ac:dyDescent="0.15">
      <c r="A72" s="50"/>
      <c r="B72" s="107" t="s">
        <v>149</v>
      </c>
      <c r="C72" s="108"/>
      <c r="D72" s="108"/>
      <c r="E72" s="108"/>
      <c r="F72" s="74">
        <v>2</v>
      </c>
      <c r="G72" s="74"/>
      <c r="H72" s="74" t="s">
        <v>147</v>
      </c>
      <c r="I72" s="74" t="s">
        <v>147</v>
      </c>
      <c r="J72" s="74" t="s">
        <v>147</v>
      </c>
      <c r="K72" s="107"/>
      <c r="L72" s="108"/>
      <c r="M72" s="108"/>
      <c r="N72" s="108"/>
      <c r="O72" s="108"/>
      <c r="P72" s="109"/>
      <c r="Q72" s="74"/>
      <c r="R72" s="74"/>
      <c r="S72" s="74"/>
      <c r="T72" s="74"/>
      <c r="U72" s="74"/>
    </row>
    <row r="73" spans="1:27" ht="18" customHeight="1" x14ac:dyDescent="0.15">
      <c r="A73" s="50"/>
      <c r="B73" s="107"/>
      <c r="C73" s="108"/>
      <c r="D73" s="108"/>
      <c r="E73" s="108"/>
      <c r="F73" s="74"/>
      <c r="G73" s="74"/>
      <c r="H73" s="74"/>
      <c r="I73" s="74"/>
      <c r="J73" s="74"/>
      <c r="K73" s="107"/>
      <c r="L73" s="108"/>
      <c r="M73" s="108"/>
      <c r="N73" s="108"/>
      <c r="O73" s="108"/>
      <c r="P73" s="109"/>
      <c r="Q73" s="74"/>
      <c r="R73" s="74"/>
      <c r="S73" s="74"/>
      <c r="T73" s="74"/>
      <c r="U73" s="74"/>
    </row>
    <row r="74" spans="1:27" ht="18" customHeight="1" x14ac:dyDescent="0.15">
      <c r="A74" s="50"/>
      <c r="B74" s="107"/>
      <c r="C74" s="108"/>
      <c r="D74" s="108"/>
      <c r="E74" s="108"/>
      <c r="F74" s="74"/>
      <c r="G74" s="74"/>
      <c r="H74" s="74"/>
      <c r="I74" s="74"/>
      <c r="J74" s="74"/>
      <c r="K74" s="107"/>
      <c r="L74" s="108"/>
      <c r="M74" s="108"/>
      <c r="N74" s="108"/>
      <c r="O74" s="108"/>
      <c r="P74" s="109"/>
      <c r="Q74" s="74"/>
      <c r="R74" s="74"/>
      <c r="S74" s="74"/>
      <c r="T74" s="74"/>
      <c r="U74" s="74"/>
    </row>
    <row r="75" spans="1:27" ht="18" customHeight="1" x14ac:dyDescent="0.15">
      <c r="A75" s="50"/>
      <c r="B75" s="107"/>
      <c r="C75" s="108"/>
      <c r="D75" s="108"/>
      <c r="E75" s="108"/>
      <c r="F75" s="74"/>
      <c r="G75" s="74"/>
      <c r="H75" s="74"/>
      <c r="I75" s="74"/>
      <c r="J75" s="74"/>
      <c r="K75" s="107"/>
      <c r="L75" s="108"/>
      <c r="M75" s="108"/>
      <c r="N75" s="108"/>
      <c r="O75" s="108"/>
      <c r="P75" s="109"/>
      <c r="Q75" s="74"/>
      <c r="R75" s="74"/>
      <c r="S75" s="74"/>
      <c r="T75" s="74"/>
      <c r="U75" s="74"/>
    </row>
    <row r="76" spans="1:27" ht="18" customHeight="1" x14ac:dyDescent="0.15">
      <c r="A76" s="50"/>
      <c r="B76" s="107"/>
      <c r="C76" s="108"/>
      <c r="D76" s="108"/>
      <c r="E76" s="108"/>
      <c r="F76" s="74"/>
      <c r="G76" s="74"/>
      <c r="H76" s="74"/>
      <c r="I76" s="74"/>
      <c r="J76" s="74"/>
      <c r="K76" s="107"/>
      <c r="L76" s="108"/>
      <c r="M76" s="108"/>
      <c r="N76" s="108"/>
      <c r="O76" s="108"/>
      <c r="P76" s="109"/>
      <c r="Q76" s="74"/>
      <c r="R76" s="74"/>
      <c r="S76" s="74"/>
      <c r="T76" s="74"/>
      <c r="U76" s="74"/>
    </row>
    <row r="77" spans="1:27" ht="18" customHeight="1" x14ac:dyDescent="0.15">
      <c r="A77" s="50"/>
      <c r="B77" s="110"/>
      <c r="C77" s="111"/>
      <c r="D77" s="111"/>
      <c r="E77" s="111"/>
      <c r="F77" s="75"/>
      <c r="G77" s="75"/>
      <c r="H77" s="76"/>
      <c r="I77" s="76"/>
      <c r="J77" s="76"/>
      <c r="K77" s="110"/>
      <c r="L77" s="111"/>
      <c r="M77" s="111"/>
      <c r="N77" s="111"/>
      <c r="O77" s="111"/>
      <c r="P77" s="112"/>
      <c r="Q77" s="75"/>
      <c r="R77" s="75"/>
      <c r="S77" s="76"/>
      <c r="T77" s="76"/>
      <c r="U77" s="76"/>
    </row>
    <row r="78" spans="1:27" ht="7.5" customHeight="1" x14ac:dyDescent="0.15">
      <c r="B78" s="77"/>
      <c r="C78" s="77"/>
      <c r="D78" s="77"/>
      <c r="E78" s="77"/>
      <c r="F78" s="77"/>
      <c r="G78" s="77"/>
      <c r="H78" s="77"/>
      <c r="I78" s="77"/>
      <c r="J78" s="77"/>
      <c r="K78" s="77"/>
      <c r="L78" s="77"/>
      <c r="M78" s="77"/>
      <c r="N78" s="77"/>
      <c r="O78" s="77"/>
      <c r="P78" s="77"/>
      <c r="Q78" s="77"/>
      <c r="R78" s="77"/>
      <c r="S78" s="77"/>
      <c r="T78" s="77"/>
    </row>
    <row r="79" spans="1:27" ht="18" customHeight="1" x14ac:dyDescent="0.15">
      <c r="A79" s="48" t="s">
        <v>101</v>
      </c>
      <c r="I79" s="50"/>
      <c r="J79" s="50"/>
      <c r="K79" s="50"/>
      <c r="L79" s="50"/>
      <c r="M79" s="50"/>
      <c r="N79" s="50"/>
      <c r="O79" s="50"/>
      <c r="P79" s="50"/>
      <c r="Q79" s="50"/>
      <c r="R79" s="50"/>
      <c r="S79" s="50"/>
      <c r="T79" s="50"/>
      <c r="U79" s="50"/>
    </row>
    <row r="80" spans="1:27" ht="18" customHeight="1" x14ac:dyDescent="0.15">
      <c r="B80" s="92" t="s">
        <v>48</v>
      </c>
      <c r="C80" s="93"/>
      <c r="D80" s="93"/>
      <c r="E80" s="93"/>
      <c r="F80" s="94"/>
      <c r="G80" s="92" t="s">
        <v>74</v>
      </c>
      <c r="H80" s="93"/>
      <c r="I80" s="93"/>
      <c r="J80" s="94"/>
      <c r="K80" s="145" t="s">
        <v>48</v>
      </c>
      <c r="L80" s="146"/>
      <c r="M80" s="146"/>
      <c r="N80" s="146"/>
      <c r="O80" s="146"/>
      <c r="P80" s="146"/>
      <c r="Q80" s="147"/>
      <c r="R80" s="92" t="s">
        <v>74</v>
      </c>
      <c r="S80" s="93"/>
      <c r="T80" s="93"/>
      <c r="U80" s="94"/>
      <c r="AA80" s="48" t="s">
        <v>138</v>
      </c>
    </row>
    <row r="81" spans="1:27" ht="18" customHeight="1" x14ac:dyDescent="0.15">
      <c r="A81" s="50"/>
      <c r="B81" s="113" t="s">
        <v>150</v>
      </c>
      <c r="C81" s="114"/>
      <c r="D81" s="114"/>
      <c r="E81" s="114"/>
      <c r="F81" s="115"/>
      <c r="G81" s="148" t="s">
        <v>154</v>
      </c>
      <c r="H81" s="149"/>
      <c r="I81" s="149"/>
      <c r="J81" s="150"/>
      <c r="K81" s="113"/>
      <c r="L81" s="114"/>
      <c r="M81" s="114"/>
      <c r="N81" s="114"/>
      <c r="O81" s="114"/>
      <c r="P81" s="114"/>
      <c r="Q81" s="115"/>
      <c r="R81" s="148"/>
      <c r="S81" s="149"/>
      <c r="T81" s="149"/>
      <c r="U81" s="150"/>
      <c r="AA81" s="48" t="s">
        <v>131</v>
      </c>
    </row>
    <row r="82" spans="1:27" ht="18" customHeight="1" x14ac:dyDescent="0.15">
      <c r="A82" s="50"/>
      <c r="B82" s="107" t="s">
        <v>151</v>
      </c>
      <c r="C82" s="108"/>
      <c r="D82" s="108"/>
      <c r="E82" s="108"/>
      <c r="F82" s="109"/>
      <c r="G82" s="140" t="s">
        <v>154</v>
      </c>
      <c r="H82" s="141"/>
      <c r="I82" s="141"/>
      <c r="J82" s="142"/>
      <c r="K82" s="107"/>
      <c r="L82" s="108"/>
      <c r="M82" s="108"/>
      <c r="N82" s="108"/>
      <c r="O82" s="108"/>
      <c r="P82" s="108"/>
      <c r="Q82" s="109"/>
      <c r="R82" s="140"/>
      <c r="S82" s="141"/>
      <c r="T82" s="141"/>
      <c r="U82" s="142"/>
      <c r="AA82" s="48" t="s">
        <v>132</v>
      </c>
    </row>
    <row r="83" spans="1:27" ht="18" customHeight="1" x14ac:dyDescent="0.15">
      <c r="A83" s="50"/>
      <c r="B83" s="107" t="s">
        <v>152</v>
      </c>
      <c r="C83" s="108"/>
      <c r="D83" s="108"/>
      <c r="E83" s="108"/>
      <c r="F83" s="109"/>
      <c r="G83" s="140" t="s">
        <v>154</v>
      </c>
      <c r="H83" s="141"/>
      <c r="I83" s="141"/>
      <c r="J83" s="142"/>
      <c r="K83" s="107"/>
      <c r="L83" s="108"/>
      <c r="M83" s="108"/>
      <c r="N83" s="108"/>
      <c r="O83" s="108"/>
      <c r="P83" s="108"/>
      <c r="Q83" s="109"/>
      <c r="R83" s="140"/>
      <c r="S83" s="141"/>
      <c r="T83" s="141"/>
      <c r="U83" s="142"/>
      <c r="AA83" s="48" t="s">
        <v>133</v>
      </c>
    </row>
    <row r="84" spans="1:27" ht="18" customHeight="1" x14ac:dyDescent="0.15">
      <c r="A84" s="50"/>
      <c r="B84" s="107" t="s">
        <v>149</v>
      </c>
      <c r="C84" s="108"/>
      <c r="D84" s="108"/>
      <c r="E84" s="108"/>
      <c r="F84" s="109"/>
      <c r="G84" s="140" t="s">
        <v>155</v>
      </c>
      <c r="H84" s="141"/>
      <c r="I84" s="141"/>
      <c r="J84" s="142"/>
      <c r="K84" s="107"/>
      <c r="L84" s="108"/>
      <c r="M84" s="108"/>
      <c r="N84" s="108"/>
      <c r="O84" s="108"/>
      <c r="P84" s="108"/>
      <c r="Q84" s="109"/>
      <c r="R84" s="140"/>
      <c r="S84" s="141"/>
      <c r="T84" s="141"/>
      <c r="U84" s="142"/>
      <c r="AA84" s="48" t="s">
        <v>139</v>
      </c>
    </row>
    <row r="85" spans="1:27" ht="18" customHeight="1" x14ac:dyDescent="0.15">
      <c r="A85" s="50"/>
      <c r="B85" s="107" t="s">
        <v>153</v>
      </c>
      <c r="C85" s="108"/>
      <c r="D85" s="108"/>
      <c r="E85" s="108"/>
      <c r="F85" s="109"/>
      <c r="G85" s="140" t="s">
        <v>156</v>
      </c>
      <c r="H85" s="141"/>
      <c r="I85" s="141"/>
      <c r="J85" s="142"/>
      <c r="K85" s="107"/>
      <c r="L85" s="108"/>
      <c r="M85" s="108"/>
      <c r="N85" s="108"/>
      <c r="O85" s="108"/>
      <c r="P85" s="108"/>
      <c r="Q85" s="109"/>
      <c r="R85" s="140"/>
      <c r="S85" s="141"/>
      <c r="T85" s="141"/>
      <c r="U85" s="142"/>
      <c r="AA85" s="48" t="s">
        <v>140</v>
      </c>
    </row>
    <row r="86" spans="1:27" ht="18" customHeight="1" x14ac:dyDescent="0.15">
      <c r="A86" s="50"/>
      <c r="B86" s="107"/>
      <c r="C86" s="108"/>
      <c r="D86" s="108"/>
      <c r="E86" s="108"/>
      <c r="F86" s="109"/>
      <c r="G86" s="140"/>
      <c r="H86" s="141"/>
      <c r="I86" s="141"/>
      <c r="J86" s="142"/>
      <c r="K86" s="107"/>
      <c r="L86" s="108"/>
      <c r="M86" s="108"/>
      <c r="N86" s="108"/>
      <c r="O86" s="108"/>
      <c r="P86" s="108"/>
      <c r="Q86" s="109"/>
      <c r="R86" s="140"/>
      <c r="S86" s="141"/>
      <c r="T86" s="141"/>
      <c r="U86" s="142"/>
      <c r="AA86" s="48" t="s">
        <v>134</v>
      </c>
    </row>
    <row r="87" spans="1:27" ht="18" customHeight="1" x14ac:dyDescent="0.15">
      <c r="A87" s="50"/>
      <c r="B87" s="110"/>
      <c r="C87" s="111"/>
      <c r="D87" s="111"/>
      <c r="E87" s="111"/>
      <c r="F87" s="112"/>
      <c r="G87" s="137"/>
      <c r="H87" s="138"/>
      <c r="I87" s="138"/>
      <c r="J87" s="139"/>
      <c r="K87" s="110"/>
      <c r="L87" s="111"/>
      <c r="M87" s="111"/>
      <c r="N87" s="111"/>
      <c r="O87" s="111"/>
      <c r="P87" s="111"/>
      <c r="Q87" s="112"/>
      <c r="R87" s="137"/>
      <c r="S87" s="138"/>
      <c r="T87" s="138"/>
      <c r="U87" s="139"/>
      <c r="AA87" s="48" t="s">
        <v>135</v>
      </c>
    </row>
    <row r="88" spans="1:27" ht="18" customHeight="1" x14ac:dyDescent="0.15">
      <c r="A88" s="50"/>
      <c r="B88" s="49"/>
      <c r="C88" s="49"/>
      <c r="D88" s="49"/>
      <c r="E88" s="49"/>
      <c r="F88" s="49"/>
      <c r="G88" s="54"/>
      <c r="H88" s="54"/>
      <c r="I88" s="54"/>
      <c r="J88" s="54"/>
      <c r="K88" s="49"/>
      <c r="L88" s="49"/>
      <c r="M88" s="49"/>
      <c r="N88" s="49"/>
      <c r="O88" s="49"/>
      <c r="P88" s="49"/>
      <c r="Q88" s="49"/>
      <c r="R88" s="54"/>
      <c r="S88" s="54"/>
      <c r="T88" s="54"/>
      <c r="U88" s="54"/>
      <c r="AA88" s="48" t="s">
        <v>136</v>
      </c>
    </row>
    <row r="89" spans="1:27" ht="18.75" customHeight="1" x14ac:dyDescent="0.15">
      <c r="A89" s="48" t="s">
        <v>102</v>
      </c>
      <c r="AA89" s="48" t="s">
        <v>137</v>
      </c>
    </row>
    <row r="90" spans="1:27" ht="18.75" customHeight="1" x14ac:dyDescent="0.15">
      <c r="B90" s="143" t="s">
        <v>49</v>
      </c>
      <c r="C90" s="144"/>
      <c r="D90" s="92" t="s">
        <v>50</v>
      </c>
      <c r="E90" s="93"/>
      <c r="F90" s="93"/>
      <c r="G90" s="93"/>
      <c r="H90" s="93"/>
      <c r="I90" s="93"/>
      <c r="J90" s="93"/>
      <c r="K90" s="93"/>
      <c r="L90" s="93"/>
      <c r="M90" s="93"/>
      <c r="N90" s="93"/>
      <c r="O90" s="93"/>
      <c r="P90" s="93"/>
      <c r="Q90" s="93"/>
      <c r="R90" s="93"/>
      <c r="S90" s="93"/>
      <c r="T90" s="93"/>
      <c r="U90" s="94"/>
    </row>
    <row r="91" spans="1:27" ht="97.5" customHeight="1" x14ac:dyDescent="0.15">
      <c r="B91" s="120" t="s">
        <v>56</v>
      </c>
      <c r="C91" s="78" t="s">
        <v>51</v>
      </c>
      <c r="D91" s="95" t="s">
        <v>157</v>
      </c>
      <c r="E91" s="96"/>
      <c r="F91" s="96"/>
      <c r="G91" s="96"/>
      <c r="H91" s="96"/>
      <c r="I91" s="96"/>
      <c r="J91" s="96"/>
      <c r="K91" s="96"/>
      <c r="L91" s="96"/>
      <c r="M91" s="96"/>
      <c r="N91" s="96"/>
      <c r="O91" s="96"/>
      <c r="P91" s="96"/>
      <c r="Q91" s="96"/>
      <c r="R91" s="96"/>
      <c r="S91" s="96"/>
      <c r="T91" s="96"/>
      <c r="U91" s="97"/>
    </row>
    <row r="92" spans="1:27" ht="97.5" customHeight="1" x14ac:dyDescent="0.15">
      <c r="B92" s="122"/>
      <c r="C92" s="79" t="s">
        <v>70</v>
      </c>
      <c r="D92" s="98" t="s">
        <v>158</v>
      </c>
      <c r="E92" s="99"/>
      <c r="F92" s="99"/>
      <c r="G92" s="99"/>
      <c r="H92" s="99"/>
      <c r="I92" s="99"/>
      <c r="J92" s="99"/>
      <c r="K92" s="99"/>
      <c r="L92" s="99"/>
      <c r="M92" s="99"/>
      <c r="N92" s="99"/>
      <c r="O92" s="99"/>
      <c r="P92" s="99"/>
      <c r="Q92" s="99"/>
      <c r="R92" s="99"/>
      <c r="S92" s="99"/>
      <c r="T92" s="99"/>
      <c r="U92" s="100"/>
    </row>
    <row r="93" spans="1:27" ht="97.5" customHeight="1" x14ac:dyDescent="0.15">
      <c r="B93" s="120" t="s">
        <v>57</v>
      </c>
      <c r="C93" s="80" t="s">
        <v>64</v>
      </c>
      <c r="D93" s="95" t="s">
        <v>159</v>
      </c>
      <c r="E93" s="96"/>
      <c r="F93" s="96"/>
      <c r="G93" s="96"/>
      <c r="H93" s="96"/>
      <c r="I93" s="96"/>
      <c r="J93" s="96"/>
      <c r="K93" s="96"/>
      <c r="L93" s="96"/>
      <c r="M93" s="96"/>
      <c r="N93" s="96"/>
      <c r="O93" s="96"/>
      <c r="P93" s="96"/>
      <c r="Q93" s="96"/>
      <c r="R93" s="96"/>
      <c r="S93" s="96"/>
      <c r="T93" s="96"/>
      <c r="U93" s="97"/>
    </row>
    <row r="94" spans="1:27" ht="97.5" customHeight="1" x14ac:dyDescent="0.15">
      <c r="B94" s="121"/>
      <c r="C94" s="81" t="s">
        <v>65</v>
      </c>
      <c r="D94" s="98" t="s">
        <v>160</v>
      </c>
      <c r="E94" s="99"/>
      <c r="F94" s="99"/>
      <c r="G94" s="99"/>
      <c r="H94" s="99"/>
      <c r="I94" s="99"/>
      <c r="J94" s="99"/>
      <c r="K94" s="99"/>
      <c r="L94" s="99"/>
      <c r="M94" s="99"/>
      <c r="N94" s="99"/>
      <c r="O94" s="99"/>
      <c r="P94" s="99"/>
      <c r="Q94" s="99"/>
      <c r="R94" s="99"/>
      <c r="S94" s="99"/>
      <c r="T94" s="99"/>
      <c r="U94" s="100"/>
    </row>
    <row r="95" spans="1:27" ht="97.5" customHeight="1" x14ac:dyDescent="0.15">
      <c r="B95" s="120" t="s">
        <v>58</v>
      </c>
      <c r="C95" s="80" t="s">
        <v>66</v>
      </c>
      <c r="D95" s="95" t="s">
        <v>161</v>
      </c>
      <c r="E95" s="96"/>
      <c r="F95" s="96"/>
      <c r="G95" s="96"/>
      <c r="H95" s="96"/>
      <c r="I95" s="96"/>
      <c r="J95" s="96"/>
      <c r="K95" s="96"/>
      <c r="L95" s="96"/>
      <c r="M95" s="96"/>
      <c r="N95" s="96"/>
      <c r="O95" s="96"/>
      <c r="P95" s="96"/>
      <c r="Q95" s="96"/>
      <c r="R95" s="96"/>
      <c r="S95" s="96"/>
      <c r="T95" s="96"/>
      <c r="U95" s="97"/>
    </row>
    <row r="96" spans="1:27" ht="97.5" customHeight="1" x14ac:dyDescent="0.15">
      <c r="B96" s="121"/>
      <c r="C96" s="82" t="s">
        <v>67</v>
      </c>
      <c r="D96" s="98" t="s">
        <v>162</v>
      </c>
      <c r="E96" s="99"/>
      <c r="F96" s="99"/>
      <c r="G96" s="99"/>
      <c r="H96" s="99"/>
      <c r="I96" s="99"/>
      <c r="J96" s="99"/>
      <c r="K96" s="99"/>
      <c r="L96" s="99"/>
      <c r="M96" s="99"/>
      <c r="N96" s="99"/>
      <c r="O96" s="99"/>
      <c r="P96" s="99"/>
      <c r="Q96" s="99"/>
      <c r="R96" s="99"/>
      <c r="S96" s="99"/>
      <c r="T96" s="99"/>
      <c r="U96" s="100"/>
    </row>
    <row r="97" spans="1:21" ht="97.5" customHeight="1" x14ac:dyDescent="0.15">
      <c r="B97" s="120" t="s">
        <v>71</v>
      </c>
      <c r="C97" s="78" t="s">
        <v>53</v>
      </c>
      <c r="D97" s="95" t="s">
        <v>163</v>
      </c>
      <c r="E97" s="96"/>
      <c r="F97" s="96"/>
      <c r="G97" s="96"/>
      <c r="H97" s="96"/>
      <c r="I97" s="96"/>
      <c r="J97" s="96"/>
      <c r="K97" s="96"/>
      <c r="L97" s="96"/>
      <c r="M97" s="96"/>
      <c r="N97" s="96"/>
      <c r="O97" s="96"/>
      <c r="P97" s="96"/>
      <c r="Q97" s="96"/>
      <c r="R97" s="96"/>
      <c r="S97" s="96"/>
      <c r="T97" s="96"/>
      <c r="U97" s="97"/>
    </row>
    <row r="98" spans="1:21" ht="97.5" customHeight="1" x14ac:dyDescent="0.15">
      <c r="B98" s="121"/>
      <c r="C98" s="81" t="s">
        <v>55</v>
      </c>
      <c r="D98" s="98" t="s">
        <v>164</v>
      </c>
      <c r="E98" s="99"/>
      <c r="F98" s="99"/>
      <c r="G98" s="99"/>
      <c r="H98" s="99"/>
      <c r="I98" s="99"/>
      <c r="J98" s="99"/>
      <c r="K98" s="99"/>
      <c r="L98" s="99"/>
      <c r="M98" s="99"/>
      <c r="N98" s="99"/>
      <c r="O98" s="99"/>
      <c r="P98" s="99"/>
      <c r="Q98" s="99"/>
      <c r="R98" s="99"/>
      <c r="S98" s="99"/>
      <c r="T98" s="99"/>
      <c r="U98" s="100"/>
    </row>
    <row r="99" spans="1:21" ht="139.5" customHeight="1" x14ac:dyDescent="0.15">
      <c r="B99" s="120" t="s">
        <v>72</v>
      </c>
      <c r="C99" s="80" t="s">
        <v>52</v>
      </c>
      <c r="D99" s="95" t="s">
        <v>165</v>
      </c>
      <c r="E99" s="96"/>
      <c r="F99" s="96"/>
      <c r="G99" s="96"/>
      <c r="H99" s="96"/>
      <c r="I99" s="96"/>
      <c r="J99" s="96"/>
      <c r="K99" s="96"/>
      <c r="L99" s="96"/>
      <c r="M99" s="96"/>
      <c r="N99" s="96"/>
      <c r="O99" s="96"/>
      <c r="P99" s="96"/>
      <c r="Q99" s="96"/>
      <c r="R99" s="96"/>
      <c r="S99" s="96"/>
      <c r="T99" s="96"/>
      <c r="U99" s="97"/>
    </row>
    <row r="100" spans="1:21" ht="97.5" customHeight="1" x14ac:dyDescent="0.15">
      <c r="B100" s="122"/>
      <c r="C100" s="83" t="s">
        <v>68</v>
      </c>
      <c r="D100" s="117" t="s">
        <v>166</v>
      </c>
      <c r="E100" s="118"/>
      <c r="F100" s="118"/>
      <c r="G100" s="118"/>
      <c r="H100" s="118"/>
      <c r="I100" s="118"/>
      <c r="J100" s="118"/>
      <c r="K100" s="118"/>
      <c r="L100" s="118"/>
      <c r="M100" s="118"/>
      <c r="N100" s="118"/>
      <c r="O100" s="118"/>
      <c r="P100" s="118"/>
      <c r="Q100" s="118"/>
      <c r="R100" s="118"/>
      <c r="S100" s="118"/>
      <c r="T100" s="118"/>
      <c r="U100" s="119"/>
    </row>
    <row r="101" spans="1:21" ht="97.5" customHeight="1" x14ac:dyDescent="0.15">
      <c r="B101" s="121"/>
      <c r="C101" s="82" t="s">
        <v>69</v>
      </c>
      <c r="D101" s="98" t="s">
        <v>167</v>
      </c>
      <c r="E101" s="99"/>
      <c r="F101" s="99"/>
      <c r="G101" s="99"/>
      <c r="H101" s="99"/>
      <c r="I101" s="99"/>
      <c r="J101" s="99"/>
      <c r="K101" s="99"/>
      <c r="L101" s="99"/>
      <c r="M101" s="99"/>
      <c r="N101" s="99"/>
      <c r="O101" s="99"/>
      <c r="P101" s="99"/>
      <c r="Q101" s="99"/>
      <c r="R101" s="99"/>
      <c r="S101" s="99"/>
      <c r="T101" s="99"/>
      <c r="U101" s="100"/>
    </row>
    <row r="102" spans="1:21" ht="6" customHeight="1" x14ac:dyDescent="0.15"/>
    <row r="103" spans="1:21" ht="18.75" customHeight="1" x14ac:dyDescent="0.15">
      <c r="A103" s="48" t="s">
        <v>103</v>
      </c>
    </row>
    <row r="104" spans="1:21" ht="81.75" customHeight="1" x14ac:dyDescent="0.15">
      <c r="B104" s="134" t="s">
        <v>168</v>
      </c>
      <c r="C104" s="135"/>
      <c r="D104" s="135"/>
      <c r="E104" s="135"/>
      <c r="F104" s="135"/>
      <c r="G104" s="135"/>
      <c r="H104" s="135"/>
      <c r="I104" s="135"/>
      <c r="J104" s="135"/>
      <c r="K104" s="135"/>
      <c r="L104" s="135"/>
      <c r="M104" s="135"/>
      <c r="N104" s="135"/>
      <c r="O104" s="135"/>
      <c r="P104" s="135"/>
      <c r="Q104" s="135"/>
      <c r="R104" s="135"/>
      <c r="S104" s="135"/>
      <c r="T104" s="135"/>
      <c r="U104" s="136"/>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D99" sqref="D99:U99"/>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48"/>
      <c r="B1" s="48"/>
      <c r="C1" s="48"/>
      <c r="D1" s="48"/>
      <c r="E1" s="48"/>
      <c r="F1" s="48"/>
      <c r="G1" s="48"/>
      <c r="H1" s="48"/>
      <c r="I1" s="48"/>
      <c r="J1" s="48"/>
      <c r="K1" s="48"/>
      <c r="L1" s="48"/>
      <c r="M1" s="48"/>
      <c r="N1" s="48"/>
      <c r="O1" s="48"/>
      <c r="P1" s="48"/>
      <c r="Q1" s="48"/>
      <c r="R1" s="48"/>
      <c r="S1" s="48" t="s">
        <v>92</v>
      </c>
    </row>
    <row r="2" spans="1:21" ht="18" customHeight="1" x14ac:dyDescent="0.15">
      <c r="A2" s="48"/>
      <c r="B2" s="48"/>
      <c r="C2" s="48"/>
      <c r="D2" s="48"/>
      <c r="E2" s="48"/>
      <c r="F2" s="48"/>
      <c r="G2" s="48"/>
      <c r="H2" s="48"/>
      <c r="I2" s="48"/>
      <c r="J2" s="48"/>
      <c r="K2" s="48"/>
      <c r="L2" s="48"/>
      <c r="M2" s="48"/>
      <c r="N2" s="48"/>
      <c r="O2" s="48"/>
      <c r="P2" s="48"/>
      <c r="Q2" s="152" t="str">
        <f>'様式１　プログラムを構成する授業科目'!C2</f>
        <v>八戸工業大学</v>
      </c>
      <c r="R2" s="152"/>
      <c r="S2" s="152"/>
    </row>
    <row r="3" spans="1:21" ht="18" customHeight="1" x14ac:dyDescent="0.15">
      <c r="A3" s="153" t="s">
        <v>142</v>
      </c>
      <c r="B3" s="153"/>
      <c r="C3" s="153"/>
      <c r="D3" s="153"/>
      <c r="E3" s="153"/>
      <c r="F3" s="153"/>
      <c r="G3" s="153"/>
      <c r="H3" s="153"/>
      <c r="I3" s="153"/>
      <c r="J3" s="153"/>
      <c r="K3" s="153"/>
      <c r="L3" s="153"/>
      <c r="M3" s="153"/>
      <c r="N3" s="153"/>
      <c r="O3" s="153"/>
      <c r="P3" s="153"/>
      <c r="Q3" s="153"/>
      <c r="R3" s="153"/>
      <c r="S3" s="153"/>
    </row>
    <row r="4" spans="1:21" ht="7.5" customHeight="1" x14ac:dyDescent="0.15">
      <c r="A4" s="50"/>
      <c r="B4" s="50"/>
      <c r="C4" s="50"/>
      <c r="D4" s="50"/>
      <c r="E4" s="50"/>
      <c r="F4" s="50"/>
      <c r="G4" s="50"/>
      <c r="H4" s="50"/>
      <c r="I4" s="50"/>
      <c r="J4" s="50"/>
      <c r="K4" s="50"/>
      <c r="L4" s="50"/>
      <c r="M4" s="50"/>
      <c r="N4" s="50"/>
      <c r="O4" s="50"/>
      <c r="P4" s="50"/>
      <c r="Q4" s="50"/>
      <c r="R4" s="50"/>
      <c r="S4" s="50"/>
    </row>
    <row r="5" spans="1:21" ht="18" customHeight="1" x14ac:dyDescent="0.15">
      <c r="A5" s="48" t="s">
        <v>75</v>
      </c>
      <c r="B5" s="48"/>
      <c r="C5" s="154" t="s">
        <v>169</v>
      </c>
      <c r="D5" s="155"/>
      <c r="E5" s="52" t="s">
        <v>125</v>
      </c>
      <c r="F5" s="50"/>
      <c r="G5" s="50"/>
      <c r="H5" s="50"/>
      <c r="I5" s="50"/>
      <c r="J5" s="50"/>
      <c r="K5" s="50"/>
      <c r="L5" s="50"/>
      <c r="M5" s="50"/>
      <c r="N5" s="50"/>
      <c r="O5" s="50"/>
      <c r="P5" s="50"/>
      <c r="Q5" s="50"/>
      <c r="R5" s="49"/>
      <c r="S5" s="49"/>
    </row>
    <row r="6" spans="1:21" ht="7.15" customHeight="1" x14ac:dyDescent="0.15">
      <c r="A6" s="48"/>
      <c r="B6" s="48"/>
      <c r="C6" s="54"/>
      <c r="D6" s="54"/>
      <c r="E6" s="50"/>
      <c r="F6" s="50"/>
      <c r="G6" s="50"/>
      <c r="H6" s="50"/>
      <c r="I6" s="50"/>
      <c r="J6" s="50"/>
      <c r="K6" s="50"/>
      <c r="L6" s="50"/>
      <c r="M6" s="50"/>
      <c r="N6" s="50"/>
      <c r="O6" s="50"/>
      <c r="P6" s="50"/>
      <c r="Q6" s="50"/>
      <c r="R6" s="49"/>
      <c r="S6" s="49"/>
    </row>
    <row r="7" spans="1:21" ht="18" customHeight="1" x14ac:dyDescent="0.15">
      <c r="A7" s="48" t="s">
        <v>109</v>
      </c>
      <c r="B7" s="48"/>
      <c r="C7" s="54"/>
      <c r="D7" s="54"/>
      <c r="E7" s="50" t="s">
        <v>110</v>
      </c>
      <c r="F7" s="53">
        <v>758</v>
      </c>
      <c r="G7" s="52" t="s">
        <v>111</v>
      </c>
      <c r="H7" s="50" t="s">
        <v>112</v>
      </c>
      <c r="I7" s="53">
        <v>153</v>
      </c>
      <c r="J7" s="52" t="s">
        <v>111</v>
      </c>
      <c r="K7" s="51" t="s">
        <v>113</v>
      </c>
      <c r="L7" s="50" t="s">
        <v>114</v>
      </c>
      <c r="M7" s="53">
        <f>F7+I7</f>
        <v>911</v>
      </c>
      <c r="N7" s="50" t="s">
        <v>1</v>
      </c>
      <c r="O7" s="52" t="s">
        <v>115</v>
      </c>
      <c r="P7" s="50"/>
      <c r="Q7" s="50"/>
      <c r="R7" s="49"/>
      <c r="S7" s="49"/>
    </row>
    <row r="8" spans="1:21" ht="17.45" customHeight="1" x14ac:dyDescent="0.15">
      <c r="A8" s="50"/>
      <c r="B8" s="55" t="s">
        <v>128</v>
      </c>
      <c r="C8" s="50"/>
      <c r="D8" s="50"/>
      <c r="E8" s="50"/>
      <c r="F8" s="50"/>
      <c r="G8" s="50"/>
      <c r="H8" s="50"/>
      <c r="I8" s="50"/>
      <c r="J8" s="50"/>
      <c r="K8" s="50"/>
      <c r="L8" s="50"/>
      <c r="M8" s="50"/>
      <c r="N8" s="50"/>
      <c r="O8" s="50"/>
      <c r="P8" s="50"/>
      <c r="Q8" s="50"/>
      <c r="R8" s="50"/>
      <c r="S8" s="50"/>
    </row>
    <row r="9" spans="1:21" ht="18" customHeight="1" x14ac:dyDescent="0.15">
      <c r="A9" s="48" t="s">
        <v>120</v>
      </c>
      <c r="B9" s="50"/>
      <c r="C9" s="50"/>
      <c r="D9" s="50"/>
      <c r="E9" s="50"/>
      <c r="F9" s="50"/>
      <c r="G9" s="50"/>
      <c r="H9" s="50"/>
      <c r="I9" s="50"/>
      <c r="J9" s="50"/>
      <c r="K9" s="50"/>
      <c r="L9" s="50"/>
      <c r="M9" s="50"/>
      <c r="N9" s="50"/>
      <c r="O9" s="50"/>
      <c r="P9" s="50"/>
      <c r="Q9" s="50"/>
      <c r="R9" s="50"/>
      <c r="S9" s="5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6" t="s">
        <v>43</v>
      </c>
      <c r="C11" s="166" t="s">
        <v>78</v>
      </c>
      <c r="D11" s="158" t="s">
        <v>45</v>
      </c>
      <c r="E11" s="160" t="s">
        <v>38</v>
      </c>
      <c r="F11" s="151" t="s">
        <v>126</v>
      </c>
      <c r="G11" s="151"/>
      <c r="H11" s="151" t="s">
        <v>106</v>
      </c>
      <c r="I11" s="151"/>
      <c r="J11" s="151" t="s">
        <v>77</v>
      </c>
      <c r="K11" s="151"/>
      <c r="L11" s="151" t="s">
        <v>46</v>
      </c>
      <c r="M11" s="151"/>
      <c r="N11" s="151" t="s">
        <v>47</v>
      </c>
      <c r="O11" s="151"/>
      <c r="P11" s="151" t="s">
        <v>127</v>
      </c>
      <c r="Q11" s="151"/>
      <c r="R11" s="162" t="s">
        <v>35</v>
      </c>
      <c r="S11" s="164" t="s">
        <v>32</v>
      </c>
      <c r="U11" s="2"/>
    </row>
    <row r="12" spans="1:21" ht="16.899999999999999" customHeight="1" x14ac:dyDescent="0.15">
      <c r="B12" s="157"/>
      <c r="C12" s="167"/>
      <c r="D12" s="159"/>
      <c r="E12" s="161"/>
      <c r="F12" s="56" t="s">
        <v>86</v>
      </c>
      <c r="G12" s="56" t="s">
        <v>29</v>
      </c>
      <c r="H12" s="56" t="s">
        <v>86</v>
      </c>
      <c r="I12" s="56" t="s">
        <v>29</v>
      </c>
      <c r="J12" s="56" t="s">
        <v>86</v>
      </c>
      <c r="K12" s="56" t="s">
        <v>29</v>
      </c>
      <c r="L12" s="56" t="s">
        <v>86</v>
      </c>
      <c r="M12" s="56" t="s">
        <v>29</v>
      </c>
      <c r="N12" s="56" t="s">
        <v>86</v>
      </c>
      <c r="O12" s="56" t="s">
        <v>29</v>
      </c>
      <c r="P12" s="56" t="s">
        <v>86</v>
      </c>
      <c r="Q12" s="57" t="s">
        <v>29</v>
      </c>
      <c r="R12" s="163"/>
      <c r="S12" s="165"/>
      <c r="U12" s="2"/>
    </row>
    <row r="13" spans="1:21" ht="18" customHeight="1" x14ac:dyDescent="0.15">
      <c r="A13" s="6"/>
      <c r="B13" s="44" t="s">
        <v>170</v>
      </c>
      <c r="C13" s="32">
        <v>759</v>
      </c>
      <c r="D13" s="33">
        <v>250</v>
      </c>
      <c r="E13" s="34">
        <v>1000</v>
      </c>
      <c r="F13" s="34">
        <v>158</v>
      </c>
      <c r="G13" s="34">
        <v>137</v>
      </c>
      <c r="H13" s="34">
        <v>166</v>
      </c>
      <c r="I13" s="34">
        <v>148</v>
      </c>
      <c r="J13" s="34">
        <v>234</v>
      </c>
      <c r="K13" s="34">
        <v>208</v>
      </c>
      <c r="L13" s="60"/>
      <c r="M13" s="60"/>
      <c r="N13" s="60"/>
      <c r="O13" s="60"/>
      <c r="P13" s="60"/>
      <c r="Q13" s="61"/>
      <c r="R13" s="33">
        <f t="shared" ref="R13:R32" si="0">F13+H13+J13+L13+N13+P13</f>
        <v>558</v>
      </c>
      <c r="S13" s="64">
        <f t="shared" ref="S13:S33" si="1">R13/E13</f>
        <v>0.55800000000000005</v>
      </c>
    </row>
    <row r="14" spans="1:21" ht="18" customHeight="1" x14ac:dyDescent="0.15">
      <c r="A14" s="6"/>
      <c r="B14" s="9" t="s">
        <v>171</v>
      </c>
      <c r="C14" s="35">
        <v>152</v>
      </c>
      <c r="D14" s="36">
        <v>50</v>
      </c>
      <c r="E14" s="37">
        <v>200</v>
      </c>
      <c r="F14" s="38">
        <v>39</v>
      </c>
      <c r="G14" s="38">
        <v>30</v>
      </c>
      <c r="H14" s="38">
        <v>28</v>
      </c>
      <c r="I14" s="38">
        <v>23</v>
      </c>
      <c r="J14" s="38">
        <v>39</v>
      </c>
      <c r="K14" s="38">
        <v>36</v>
      </c>
      <c r="L14" s="62"/>
      <c r="M14" s="62"/>
      <c r="N14" s="62"/>
      <c r="O14" s="62"/>
      <c r="P14" s="62"/>
      <c r="Q14" s="63"/>
      <c r="R14" s="36">
        <f t="shared" si="0"/>
        <v>106</v>
      </c>
      <c r="S14" s="7">
        <f t="shared" si="1"/>
        <v>0.53</v>
      </c>
    </row>
    <row r="15" spans="1:21" ht="18" customHeight="1" x14ac:dyDescent="0.15">
      <c r="A15" s="6"/>
      <c r="B15" s="9"/>
      <c r="C15" s="35"/>
      <c r="D15" s="36"/>
      <c r="E15" s="37"/>
      <c r="F15" s="38"/>
      <c r="G15" s="38"/>
      <c r="H15" s="38"/>
      <c r="I15" s="38"/>
      <c r="J15" s="38"/>
      <c r="K15" s="38"/>
      <c r="L15" s="38"/>
      <c r="M15" s="38"/>
      <c r="N15" s="38"/>
      <c r="O15" s="38"/>
      <c r="P15" s="38"/>
      <c r="Q15" s="35"/>
      <c r="R15" s="36">
        <f t="shared" si="0"/>
        <v>0</v>
      </c>
      <c r="S15" s="7">
        <v>0</v>
      </c>
    </row>
    <row r="16" spans="1:21" ht="18" customHeight="1" x14ac:dyDescent="0.15">
      <c r="A16" s="6"/>
      <c r="B16" s="9"/>
      <c r="C16" s="35"/>
      <c r="D16" s="36"/>
      <c r="E16" s="37"/>
      <c r="F16" s="38"/>
      <c r="G16" s="38"/>
      <c r="H16" s="38"/>
      <c r="I16" s="38"/>
      <c r="J16" s="38"/>
      <c r="K16" s="38"/>
      <c r="L16" s="38"/>
      <c r="M16" s="38"/>
      <c r="N16" s="38"/>
      <c r="O16" s="38"/>
      <c r="P16" s="38"/>
      <c r="Q16" s="35"/>
      <c r="R16" s="36">
        <f t="shared" si="0"/>
        <v>0</v>
      </c>
      <c r="S16" s="7">
        <v>0</v>
      </c>
    </row>
    <row r="17" spans="1:19" ht="18" customHeight="1" x14ac:dyDescent="0.15">
      <c r="A17" s="6"/>
      <c r="B17" s="9"/>
      <c r="C17" s="35"/>
      <c r="D17" s="36"/>
      <c r="E17" s="37"/>
      <c r="F17" s="38"/>
      <c r="G17" s="38"/>
      <c r="H17" s="38"/>
      <c r="I17" s="38"/>
      <c r="J17" s="38"/>
      <c r="K17" s="38"/>
      <c r="L17" s="38"/>
      <c r="M17" s="38"/>
      <c r="N17" s="38"/>
      <c r="O17" s="38"/>
      <c r="P17" s="38"/>
      <c r="Q17" s="35"/>
      <c r="R17" s="36">
        <f t="shared" si="0"/>
        <v>0</v>
      </c>
      <c r="S17" s="7">
        <v>0</v>
      </c>
    </row>
    <row r="18" spans="1:19" ht="18" customHeight="1" x14ac:dyDescent="0.15">
      <c r="A18" s="6"/>
      <c r="B18" s="9"/>
      <c r="C18" s="35"/>
      <c r="D18" s="36"/>
      <c r="E18" s="37"/>
      <c r="F18" s="38"/>
      <c r="G18" s="38"/>
      <c r="H18" s="38"/>
      <c r="I18" s="38"/>
      <c r="J18" s="38"/>
      <c r="K18" s="38"/>
      <c r="L18" s="38"/>
      <c r="M18" s="38"/>
      <c r="N18" s="38"/>
      <c r="O18" s="38"/>
      <c r="P18" s="38"/>
      <c r="Q18" s="35"/>
      <c r="R18" s="36">
        <f t="shared" si="0"/>
        <v>0</v>
      </c>
      <c r="S18" s="7">
        <v>0</v>
      </c>
    </row>
    <row r="19" spans="1:19" ht="18" customHeight="1" x14ac:dyDescent="0.15">
      <c r="A19" s="6"/>
      <c r="B19" s="9"/>
      <c r="C19" s="35"/>
      <c r="D19" s="36"/>
      <c r="E19" s="37"/>
      <c r="F19" s="38"/>
      <c r="G19" s="38"/>
      <c r="H19" s="38"/>
      <c r="I19" s="38"/>
      <c r="J19" s="38"/>
      <c r="K19" s="38"/>
      <c r="L19" s="38"/>
      <c r="M19" s="38"/>
      <c r="N19" s="38"/>
      <c r="O19" s="38"/>
      <c r="P19" s="38"/>
      <c r="Q19" s="35"/>
      <c r="R19" s="36">
        <f t="shared" si="0"/>
        <v>0</v>
      </c>
      <c r="S19" s="7">
        <v>0</v>
      </c>
    </row>
    <row r="20" spans="1:19" ht="18" customHeight="1" x14ac:dyDescent="0.15">
      <c r="A20" s="6"/>
      <c r="B20" s="9"/>
      <c r="C20" s="35"/>
      <c r="D20" s="36"/>
      <c r="E20" s="37"/>
      <c r="F20" s="38"/>
      <c r="G20" s="38"/>
      <c r="H20" s="38"/>
      <c r="I20" s="38"/>
      <c r="J20" s="38"/>
      <c r="K20" s="38"/>
      <c r="L20" s="38"/>
      <c r="M20" s="38"/>
      <c r="N20" s="38"/>
      <c r="O20" s="38"/>
      <c r="P20" s="38"/>
      <c r="Q20" s="35"/>
      <c r="R20" s="36">
        <f t="shared" si="0"/>
        <v>0</v>
      </c>
      <c r="S20" s="7">
        <v>0</v>
      </c>
    </row>
    <row r="21" spans="1:19" ht="18" customHeight="1" x14ac:dyDescent="0.15">
      <c r="A21" s="6"/>
      <c r="B21" s="9"/>
      <c r="C21" s="35"/>
      <c r="D21" s="36"/>
      <c r="E21" s="37"/>
      <c r="F21" s="38"/>
      <c r="G21" s="38"/>
      <c r="H21" s="38"/>
      <c r="I21" s="38"/>
      <c r="J21" s="38"/>
      <c r="K21" s="38"/>
      <c r="L21" s="38"/>
      <c r="M21" s="38"/>
      <c r="N21" s="38"/>
      <c r="O21" s="38"/>
      <c r="P21" s="38"/>
      <c r="Q21" s="35"/>
      <c r="R21" s="36">
        <f t="shared" si="0"/>
        <v>0</v>
      </c>
      <c r="S21" s="7">
        <v>0</v>
      </c>
    </row>
    <row r="22" spans="1:19" ht="18" customHeight="1" x14ac:dyDescent="0.15">
      <c r="A22" s="6"/>
      <c r="B22" s="9"/>
      <c r="C22" s="35"/>
      <c r="D22" s="36"/>
      <c r="E22" s="37"/>
      <c r="F22" s="38"/>
      <c r="G22" s="38"/>
      <c r="H22" s="38"/>
      <c r="I22" s="38"/>
      <c r="J22" s="38"/>
      <c r="K22" s="38"/>
      <c r="L22" s="38"/>
      <c r="M22" s="38"/>
      <c r="N22" s="38"/>
      <c r="O22" s="38"/>
      <c r="P22" s="38"/>
      <c r="Q22" s="35"/>
      <c r="R22" s="36">
        <f t="shared" si="0"/>
        <v>0</v>
      </c>
      <c r="S22" s="7">
        <v>0</v>
      </c>
    </row>
    <row r="23" spans="1:19" ht="18" customHeight="1" x14ac:dyDescent="0.15">
      <c r="A23" s="6"/>
      <c r="B23" s="9"/>
      <c r="C23" s="35"/>
      <c r="D23" s="36"/>
      <c r="E23" s="37"/>
      <c r="F23" s="38"/>
      <c r="G23" s="38"/>
      <c r="H23" s="38"/>
      <c r="I23" s="38"/>
      <c r="J23" s="38"/>
      <c r="K23" s="38"/>
      <c r="L23" s="38"/>
      <c r="M23" s="38"/>
      <c r="N23" s="38"/>
      <c r="O23" s="38"/>
      <c r="P23" s="38"/>
      <c r="Q23" s="35"/>
      <c r="R23" s="36">
        <f t="shared" si="0"/>
        <v>0</v>
      </c>
      <c r="S23" s="7">
        <v>0</v>
      </c>
    </row>
    <row r="24" spans="1:19" ht="18" customHeight="1" x14ac:dyDescent="0.15">
      <c r="A24" s="6"/>
      <c r="B24" s="9"/>
      <c r="C24" s="35"/>
      <c r="D24" s="36"/>
      <c r="E24" s="37"/>
      <c r="F24" s="38"/>
      <c r="G24" s="38"/>
      <c r="H24" s="38"/>
      <c r="I24" s="38"/>
      <c r="J24" s="38"/>
      <c r="K24" s="38"/>
      <c r="L24" s="38"/>
      <c r="M24" s="38"/>
      <c r="N24" s="38"/>
      <c r="O24" s="38"/>
      <c r="P24" s="38"/>
      <c r="Q24" s="35"/>
      <c r="R24" s="36">
        <f t="shared" si="0"/>
        <v>0</v>
      </c>
      <c r="S24" s="7">
        <v>0</v>
      </c>
    </row>
    <row r="25" spans="1:19" ht="18" customHeight="1" x14ac:dyDescent="0.15">
      <c r="A25" s="6"/>
      <c r="B25" s="9"/>
      <c r="C25" s="35"/>
      <c r="D25" s="36"/>
      <c r="E25" s="37"/>
      <c r="F25" s="38"/>
      <c r="G25" s="38"/>
      <c r="H25" s="38"/>
      <c r="I25" s="38"/>
      <c r="J25" s="38"/>
      <c r="K25" s="38"/>
      <c r="L25" s="38"/>
      <c r="M25" s="38"/>
      <c r="N25" s="38"/>
      <c r="O25" s="38"/>
      <c r="P25" s="38"/>
      <c r="Q25" s="35"/>
      <c r="R25" s="36">
        <f t="shared" si="0"/>
        <v>0</v>
      </c>
      <c r="S25" s="7">
        <v>0</v>
      </c>
    </row>
    <row r="26" spans="1:19" ht="18" customHeight="1" x14ac:dyDescent="0.15">
      <c r="A26" s="6"/>
      <c r="B26" s="9"/>
      <c r="C26" s="35"/>
      <c r="D26" s="36"/>
      <c r="E26" s="37"/>
      <c r="F26" s="38"/>
      <c r="G26" s="38"/>
      <c r="H26" s="38"/>
      <c r="I26" s="38"/>
      <c r="J26" s="38"/>
      <c r="K26" s="38"/>
      <c r="L26" s="38"/>
      <c r="M26" s="38"/>
      <c r="N26" s="38"/>
      <c r="O26" s="38"/>
      <c r="P26" s="38"/>
      <c r="Q26" s="35"/>
      <c r="R26" s="36">
        <f t="shared" si="0"/>
        <v>0</v>
      </c>
      <c r="S26" s="7">
        <v>0</v>
      </c>
    </row>
    <row r="27" spans="1:19" ht="18" customHeight="1" x14ac:dyDescent="0.15">
      <c r="A27" s="6"/>
      <c r="B27" s="9"/>
      <c r="C27" s="35"/>
      <c r="D27" s="36"/>
      <c r="E27" s="37"/>
      <c r="F27" s="38"/>
      <c r="G27" s="38"/>
      <c r="H27" s="38"/>
      <c r="I27" s="38"/>
      <c r="J27" s="38"/>
      <c r="K27" s="38"/>
      <c r="L27" s="38"/>
      <c r="M27" s="38"/>
      <c r="N27" s="38"/>
      <c r="O27" s="38"/>
      <c r="P27" s="38"/>
      <c r="Q27" s="35"/>
      <c r="R27" s="36">
        <f t="shared" si="0"/>
        <v>0</v>
      </c>
      <c r="S27" s="7">
        <v>0</v>
      </c>
    </row>
    <row r="28" spans="1:19" ht="18" customHeight="1" x14ac:dyDescent="0.15">
      <c r="A28" s="6"/>
      <c r="B28" s="9"/>
      <c r="C28" s="35"/>
      <c r="D28" s="36"/>
      <c r="E28" s="37"/>
      <c r="F28" s="38"/>
      <c r="G28" s="38"/>
      <c r="H28" s="38"/>
      <c r="I28" s="38"/>
      <c r="J28" s="38"/>
      <c r="K28" s="38"/>
      <c r="L28" s="38"/>
      <c r="M28" s="38"/>
      <c r="N28" s="38"/>
      <c r="O28" s="38"/>
      <c r="P28" s="38"/>
      <c r="Q28" s="35"/>
      <c r="R28" s="36">
        <f t="shared" si="0"/>
        <v>0</v>
      </c>
      <c r="S28" s="7">
        <v>0</v>
      </c>
    </row>
    <row r="29" spans="1:19" ht="18" customHeight="1" x14ac:dyDescent="0.15">
      <c r="A29" s="6"/>
      <c r="B29" s="9"/>
      <c r="C29" s="35"/>
      <c r="D29" s="36"/>
      <c r="E29" s="37"/>
      <c r="F29" s="38"/>
      <c r="G29" s="38"/>
      <c r="H29" s="38"/>
      <c r="I29" s="38"/>
      <c r="J29" s="38"/>
      <c r="K29" s="38"/>
      <c r="L29" s="38"/>
      <c r="M29" s="38"/>
      <c r="N29" s="38"/>
      <c r="O29" s="38"/>
      <c r="P29" s="38"/>
      <c r="Q29" s="35"/>
      <c r="R29" s="36">
        <f t="shared" si="0"/>
        <v>0</v>
      </c>
      <c r="S29" s="7">
        <v>0</v>
      </c>
    </row>
    <row r="30" spans="1:19" ht="18" customHeight="1" x14ac:dyDescent="0.15">
      <c r="A30" s="6"/>
      <c r="B30" s="9"/>
      <c r="C30" s="35"/>
      <c r="D30" s="39"/>
      <c r="E30" s="37"/>
      <c r="F30" s="38"/>
      <c r="G30" s="38"/>
      <c r="H30" s="38"/>
      <c r="I30" s="38"/>
      <c r="J30" s="38"/>
      <c r="K30" s="38"/>
      <c r="L30" s="38"/>
      <c r="M30" s="38"/>
      <c r="N30" s="38"/>
      <c r="O30" s="38"/>
      <c r="P30" s="38"/>
      <c r="Q30" s="35"/>
      <c r="R30" s="39">
        <f t="shared" si="0"/>
        <v>0</v>
      </c>
      <c r="S30" s="7">
        <v>0</v>
      </c>
    </row>
    <row r="31" spans="1:19" ht="18" customHeight="1" x14ac:dyDescent="0.15">
      <c r="A31" s="6"/>
      <c r="B31" s="9"/>
      <c r="C31" s="35"/>
      <c r="D31" s="39"/>
      <c r="E31" s="37"/>
      <c r="F31" s="38"/>
      <c r="G31" s="38"/>
      <c r="H31" s="38"/>
      <c r="I31" s="38"/>
      <c r="J31" s="38"/>
      <c r="K31" s="38"/>
      <c r="L31" s="38"/>
      <c r="M31" s="38"/>
      <c r="N31" s="38"/>
      <c r="O31" s="38"/>
      <c r="P31" s="38"/>
      <c r="Q31" s="35"/>
      <c r="R31" s="39">
        <f t="shared" si="0"/>
        <v>0</v>
      </c>
      <c r="S31" s="7">
        <v>0</v>
      </c>
    </row>
    <row r="32" spans="1:19" ht="18" customHeight="1" thickBot="1" x14ac:dyDescent="0.2">
      <c r="A32" s="6"/>
      <c r="B32" s="10"/>
      <c r="C32" s="32"/>
      <c r="D32" s="40"/>
      <c r="E32" s="34"/>
      <c r="F32" s="34"/>
      <c r="G32" s="34"/>
      <c r="H32" s="34"/>
      <c r="I32" s="34"/>
      <c r="J32" s="34"/>
      <c r="K32" s="34"/>
      <c r="L32" s="34"/>
      <c r="M32" s="34"/>
      <c r="N32" s="34"/>
      <c r="O32" s="34"/>
      <c r="P32" s="34"/>
      <c r="Q32" s="35"/>
      <c r="R32" s="40">
        <f t="shared" si="0"/>
        <v>0</v>
      </c>
      <c r="S32" s="7">
        <v>0</v>
      </c>
    </row>
    <row r="33" spans="2:19" ht="18" customHeight="1" thickTop="1" x14ac:dyDescent="0.15">
      <c r="B33" s="11" t="s">
        <v>33</v>
      </c>
      <c r="C33" s="41">
        <f t="shared" ref="C33" si="2">SUM(C13:C32)</f>
        <v>911</v>
      </c>
      <c r="D33" s="42">
        <f t="shared" ref="D33:R33" si="3">SUM(D13:D32)</f>
        <v>300</v>
      </c>
      <c r="E33" s="43">
        <f t="shared" si="3"/>
        <v>1200</v>
      </c>
      <c r="F33" s="43">
        <f t="shared" si="3"/>
        <v>197</v>
      </c>
      <c r="G33" s="43">
        <f t="shared" ref="G33:H33" si="4">SUM(G13:G32)</f>
        <v>167</v>
      </c>
      <c r="H33" s="43">
        <f t="shared" si="4"/>
        <v>194</v>
      </c>
      <c r="I33" s="43">
        <f t="shared" ref="I33:J33" si="5">SUM(I13:I32)</f>
        <v>171</v>
      </c>
      <c r="J33" s="43">
        <f t="shared" si="5"/>
        <v>273</v>
      </c>
      <c r="K33" s="43">
        <f t="shared" ref="K33:O33" si="6">SUM(K13:K32)</f>
        <v>244</v>
      </c>
      <c r="L33" s="43">
        <f t="shared" si="6"/>
        <v>0</v>
      </c>
      <c r="M33" s="43">
        <f t="shared" si="6"/>
        <v>0</v>
      </c>
      <c r="N33" s="43">
        <f t="shared" si="6"/>
        <v>0</v>
      </c>
      <c r="O33" s="43">
        <f t="shared" si="6"/>
        <v>0</v>
      </c>
      <c r="P33" s="43">
        <f t="shared" ref="P33:Q33" si="7">SUM(P13:P32)</f>
        <v>0</v>
      </c>
      <c r="Q33" s="41">
        <f t="shared" si="7"/>
        <v>0</v>
      </c>
      <c r="R33" s="42">
        <f t="shared" si="3"/>
        <v>664</v>
      </c>
      <c r="S33" s="84">
        <f t="shared" si="1"/>
        <v>0.55333333333333334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75" style="17"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5.375" style="1" customWidth="1"/>
    <col min="10" max="16384" width="11.375" style="1"/>
  </cols>
  <sheetData>
    <row r="1" spans="1:9" ht="18.75" customHeight="1" x14ac:dyDescent="0.15">
      <c r="A1" s="17" t="s">
        <v>59</v>
      </c>
      <c r="I1" s="15" t="s">
        <v>91</v>
      </c>
    </row>
    <row r="2" spans="1:9" ht="18.75" customHeight="1" x14ac:dyDescent="0.15">
      <c r="G2" s="15" t="s">
        <v>93</v>
      </c>
      <c r="H2" s="196" t="str">
        <f>'様式１　プログラムを構成する授業科目'!C2</f>
        <v>八戸工業大学</v>
      </c>
      <c r="I2" s="197"/>
    </row>
    <row r="3" spans="1:9" ht="18.75" customHeight="1" x14ac:dyDescent="0.15">
      <c r="G3" s="15"/>
      <c r="H3" s="8"/>
      <c r="I3" s="8"/>
    </row>
    <row r="4" spans="1:9" ht="18.600000000000001" customHeight="1" x14ac:dyDescent="0.15">
      <c r="A4" s="153" t="s">
        <v>36</v>
      </c>
      <c r="B4" s="153"/>
      <c r="C4" s="153"/>
      <c r="D4" s="153"/>
      <c r="E4" s="153"/>
      <c r="F4" s="153"/>
      <c r="G4" s="153"/>
      <c r="H4" s="153"/>
      <c r="I4" s="153"/>
    </row>
    <row r="5" spans="1:9" ht="13.15" customHeight="1" x14ac:dyDescent="0.15">
      <c r="B5" s="3"/>
      <c r="C5" s="3"/>
      <c r="D5" s="3"/>
      <c r="E5" s="3"/>
      <c r="F5" s="3"/>
      <c r="G5" s="3"/>
      <c r="H5" s="3"/>
      <c r="I5" s="3"/>
    </row>
    <row r="6" spans="1:9" ht="18" customHeight="1" x14ac:dyDescent="0.15">
      <c r="A6" s="1" t="s">
        <v>0</v>
      </c>
      <c r="B6" s="8" t="s">
        <v>81</v>
      </c>
      <c r="C6" s="226" t="s">
        <v>82</v>
      </c>
      <c r="D6" s="226"/>
      <c r="E6" s="14">
        <v>66</v>
      </c>
      <c r="F6" s="3" t="s">
        <v>1</v>
      </c>
      <c r="G6" s="3" t="s">
        <v>2</v>
      </c>
      <c r="H6" s="14">
        <v>65</v>
      </c>
      <c r="I6" s="8" t="s">
        <v>1</v>
      </c>
    </row>
    <row r="7" spans="1:9" ht="12" customHeight="1" x14ac:dyDescent="0.15">
      <c r="C7" s="2"/>
      <c r="D7" s="2"/>
      <c r="E7" s="2"/>
      <c r="F7" s="2"/>
      <c r="G7" s="2"/>
      <c r="H7" s="2"/>
      <c r="I7" s="18"/>
    </row>
    <row r="8" spans="1:9" ht="18" customHeight="1" x14ac:dyDescent="0.15">
      <c r="A8" s="1" t="s">
        <v>3</v>
      </c>
      <c r="B8" s="8" t="s">
        <v>83</v>
      </c>
      <c r="E8" s="3"/>
      <c r="F8" s="3"/>
      <c r="G8" s="3"/>
      <c r="H8" s="14">
        <v>11</v>
      </c>
      <c r="I8" s="8" t="s">
        <v>1</v>
      </c>
    </row>
    <row r="9" spans="1:9" ht="9" customHeight="1" x14ac:dyDescent="0.15">
      <c r="B9" s="3"/>
      <c r="C9" s="3"/>
      <c r="D9" s="3"/>
      <c r="E9" s="3"/>
      <c r="F9" s="3"/>
      <c r="G9" s="3"/>
      <c r="H9" s="3"/>
      <c r="I9" s="3"/>
    </row>
    <row r="10" spans="1:9" ht="18" customHeight="1" x14ac:dyDescent="0.15">
      <c r="A10" s="1" t="s">
        <v>4</v>
      </c>
      <c r="B10" s="8" t="s">
        <v>84</v>
      </c>
      <c r="C10" s="3"/>
      <c r="D10" s="3"/>
      <c r="E10" s="3"/>
      <c r="F10" s="3"/>
      <c r="G10" s="3"/>
      <c r="H10" s="3"/>
      <c r="I10" s="3"/>
    </row>
    <row r="11" spans="1:9" ht="18" customHeight="1" x14ac:dyDescent="0.15">
      <c r="B11" s="15" t="s">
        <v>41</v>
      </c>
      <c r="C11" s="221" t="s">
        <v>172</v>
      </c>
      <c r="D11" s="224"/>
      <c r="E11" s="225"/>
      <c r="F11" s="18"/>
      <c r="G11" s="15" t="s">
        <v>10</v>
      </c>
      <c r="H11" s="221" t="s">
        <v>173</v>
      </c>
      <c r="I11" s="225"/>
    </row>
    <row r="12" spans="1:9" ht="10.15" customHeight="1" x14ac:dyDescent="0.15">
      <c r="B12" s="15"/>
      <c r="C12" s="8"/>
      <c r="D12" s="18"/>
      <c r="E12" s="18"/>
      <c r="F12" s="18"/>
      <c r="G12" s="15"/>
      <c r="H12" s="8"/>
      <c r="I12" s="18"/>
    </row>
    <row r="13" spans="1:9" ht="18" customHeight="1" x14ac:dyDescent="0.15">
      <c r="A13" s="1" t="s">
        <v>7</v>
      </c>
      <c r="B13" s="8" t="s">
        <v>79</v>
      </c>
      <c r="C13" s="3"/>
      <c r="D13" s="3"/>
      <c r="E13" s="3"/>
      <c r="F13" s="3"/>
      <c r="G13" s="3"/>
      <c r="H13" s="3"/>
      <c r="I13" s="3"/>
    </row>
    <row r="14" spans="1:9" ht="18" customHeight="1" x14ac:dyDescent="0.15">
      <c r="B14" s="221" t="s">
        <v>174</v>
      </c>
      <c r="C14" s="222"/>
      <c r="D14" s="222"/>
      <c r="E14" s="222"/>
      <c r="F14" s="222"/>
      <c r="G14" s="222"/>
      <c r="H14" s="222"/>
      <c r="I14" s="223"/>
    </row>
    <row r="15" spans="1:9" ht="9" customHeight="1" x14ac:dyDescent="0.15">
      <c r="B15" s="3"/>
      <c r="C15" s="3"/>
      <c r="D15" s="3"/>
      <c r="E15" s="3"/>
      <c r="F15" s="3"/>
      <c r="G15" s="3"/>
      <c r="H15" s="3"/>
      <c r="I15" s="3"/>
    </row>
    <row r="16" spans="1:9" ht="18" customHeight="1" x14ac:dyDescent="0.15">
      <c r="B16" s="15" t="s">
        <v>41</v>
      </c>
      <c r="C16" s="221" t="s">
        <v>195</v>
      </c>
      <c r="D16" s="224"/>
      <c r="E16" s="225"/>
      <c r="F16" s="18"/>
      <c r="G16" s="15" t="s">
        <v>10</v>
      </c>
      <c r="H16" s="221" t="s">
        <v>176</v>
      </c>
      <c r="I16" s="225"/>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98" t="s">
        <v>177</v>
      </c>
      <c r="C19" s="199"/>
      <c r="D19" s="199"/>
      <c r="E19" s="199"/>
      <c r="F19" s="199"/>
      <c r="G19" s="199"/>
      <c r="H19" s="199"/>
      <c r="I19" s="200"/>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2"/>
      <c r="B22" s="201" t="s">
        <v>196</v>
      </c>
      <c r="C22" s="202"/>
      <c r="D22" s="202"/>
      <c r="E22" s="202"/>
      <c r="F22" s="202"/>
      <c r="G22" s="202"/>
      <c r="H22" s="202"/>
      <c r="I22" s="203"/>
    </row>
    <row r="23" spans="1:9" ht="18.75" customHeight="1" x14ac:dyDescent="0.15">
      <c r="A23" s="12"/>
      <c r="B23" s="204"/>
      <c r="C23" s="205"/>
      <c r="D23" s="205"/>
      <c r="E23" s="205"/>
      <c r="F23" s="205"/>
      <c r="G23" s="205"/>
      <c r="H23" s="205"/>
      <c r="I23" s="206"/>
    </row>
    <row r="24" spans="1:9" ht="18.75" customHeight="1" x14ac:dyDescent="0.15">
      <c r="A24" s="12"/>
      <c r="B24" s="204"/>
      <c r="C24" s="205"/>
      <c r="D24" s="205"/>
      <c r="E24" s="205"/>
      <c r="F24" s="205"/>
      <c r="G24" s="205"/>
      <c r="H24" s="205"/>
      <c r="I24" s="206"/>
    </row>
    <row r="25" spans="1:9" ht="18.75" customHeight="1" x14ac:dyDescent="0.15">
      <c r="A25" s="12"/>
      <c r="B25" s="204"/>
      <c r="C25" s="205"/>
      <c r="D25" s="205"/>
      <c r="E25" s="205"/>
      <c r="F25" s="205"/>
      <c r="G25" s="205"/>
      <c r="H25" s="205"/>
      <c r="I25" s="206"/>
    </row>
    <row r="26" spans="1:9" ht="18.75" customHeight="1" x14ac:dyDescent="0.15">
      <c r="A26" s="12"/>
      <c r="B26" s="204"/>
      <c r="C26" s="205"/>
      <c r="D26" s="205"/>
      <c r="E26" s="205"/>
      <c r="F26" s="205"/>
      <c r="G26" s="205"/>
      <c r="H26" s="205"/>
      <c r="I26" s="206"/>
    </row>
    <row r="27" spans="1:9" ht="18.75" customHeight="1" x14ac:dyDescent="0.15">
      <c r="A27" s="12"/>
      <c r="B27" s="204"/>
      <c r="C27" s="205"/>
      <c r="D27" s="205"/>
      <c r="E27" s="205"/>
      <c r="F27" s="205"/>
      <c r="G27" s="205"/>
      <c r="H27" s="205"/>
      <c r="I27" s="206"/>
    </row>
    <row r="28" spans="1:9" ht="18.75" customHeight="1" x14ac:dyDescent="0.15">
      <c r="A28" s="12"/>
      <c r="B28" s="204"/>
      <c r="C28" s="205"/>
      <c r="D28" s="205"/>
      <c r="E28" s="205"/>
      <c r="F28" s="205"/>
      <c r="G28" s="205"/>
      <c r="H28" s="205"/>
      <c r="I28" s="206"/>
    </row>
    <row r="29" spans="1:9" ht="18.75" customHeight="1" x14ac:dyDescent="0.15">
      <c r="A29" s="12"/>
      <c r="B29" s="204"/>
      <c r="C29" s="205"/>
      <c r="D29" s="205"/>
      <c r="E29" s="205"/>
      <c r="F29" s="205"/>
      <c r="G29" s="205"/>
      <c r="H29" s="205"/>
      <c r="I29" s="206"/>
    </row>
    <row r="30" spans="1:9" ht="18.75" customHeight="1" x14ac:dyDescent="0.15">
      <c r="A30" s="12"/>
      <c r="B30" s="207"/>
      <c r="C30" s="208"/>
      <c r="D30" s="208"/>
      <c r="E30" s="208"/>
      <c r="F30" s="208"/>
      <c r="G30" s="208"/>
      <c r="H30" s="208"/>
      <c r="I30" s="206"/>
    </row>
    <row r="31" spans="1:9" ht="18.75" customHeight="1" x14ac:dyDescent="0.15">
      <c r="A31" s="12"/>
      <c r="B31" s="207"/>
      <c r="C31" s="208"/>
      <c r="D31" s="208"/>
      <c r="E31" s="208"/>
      <c r="F31" s="208"/>
      <c r="G31" s="208"/>
      <c r="H31" s="208"/>
      <c r="I31" s="206"/>
    </row>
    <row r="32" spans="1:9" ht="18.75" customHeight="1" x14ac:dyDescent="0.15">
      <c r="A32" s="12"/>
      <c r="B32" s="209"/>
      <c r="C32" s="210"/>
      <c r="D32" s="210"/>
      <c r="E32" s="210"/>
      <c r="F32" s="210"/>
      <c r="G32" s="210"/>
      <c r="H32" s="210"/>
      <c r="I32" s="211"/>
    </row>
    <row r="33" spans="1:9" ht="7.5" customHeight="1" x14ac:dyDescent="0.15">
      <c r="A33" s="12"/>
      <c r="B33" s="12"/>
      <c r="C33" s="12"/>
      <c r="D33" s="12"/>
      <c r="E33" s="12"/>
      <c r="F33" s="12"/>
      <c r="G33" s="12"/>
      <c r="H33" s="12"/>
      <c r="I33" s="12"/>
    </row>
    <row r="34" spans="1:9" ht="18.75" customHeight="1" x14ac:dyDescent="0.15">
      <c r="A34" s="13" t="s">
        <v>6</v>
      </c>
      <c r="B34" s="13" t="s">
        <v>9</v>
      </c>
      <c r="C34" s="8"/>
      <c r="D34" s="13"/>
      <c r="E34" s="13"/>
      <c r="F34" s="13"/>
      <c r="G34" s="13"/>
      <c r="H34" s="13"/>
      <c r="I34" s="13"/>
    </row>
    <row r="35" spans="1:9" ht="18.75" customHeight="1" x14ac:dyDescent="0.15">
      <c r="A35" s="12"/>
      <c r="B35" s="212" t="s">
        <v>191</v>
      </c>
      <c r="C35" s="213"/>
      <c r="D35" s="213"/>
      <c r="E35" s="213"/>
      <c r="F35" s="213"/>
      <c r="G35" s="213"/>
      <c r="H35" s="213"/>
      <c r="I35" s="214"/>
    </row>
    <row r="36" spans="1:9" ht="18.75" customHeight="1" x14ac:dyDescent="0.15">
      <c r="A36" s="12"/>
      <c r="B36" s="215"/>
      <c r="C36" s="216"/>
      <c r="D36" s="216"/>
      <c r="E36" s="216"/>
      <c r="F36" s="216"/>
      <c r="G36" s="216"/>
      <c r="H36" s="216"/>
      <c r="I36" s="217"/>
    </row>
    <row r="37" spans="1:9" ht="18.75" customHeight="1" x14ac:dyDescent="0.15">
      <c r="A37" s="12"/>
      <c r="B37" s="215"/>
      <c r="C37" s="216"/>
      <c r="D37" s="216"/>
      <c r="E37" s="216"/>
      <c r="F37" s="216"/>
      <c r="G37" s="216"/>
      <c r="H37" s="216"/>
      <c r="I37" s="217"/>
    </row>
    <row r="38" spans="1:9" ht="18.75" customHeight="1" x14ac:dyDescent="0.15">
      <c r="A38" s="12"/>
      <c r="B38" s="215"/>
      <c r="C38" s="216"/>
      <c r="D38" s="216"/>
      <c r="E38" s="216"/>
      <c r="F38" s="216"/>
      <c r="G38" s="216"/>
      <c r="H38" s="216"/>
      <c r="I38" s="217"/>
    </row>
    <row r="39" spans="1:9" ht="18.75" customHeight="1" x14ac:dyDescent="0.15">
      <c r="A39" s="12"/>
      <c r="B39" s="215"/>
      <c r="C39" s="216"/>
      <c r="D39" s="216"/>
      <c r="E39" s="216"/>
      <c r="F39" s="216"/>
      <c r="G39" s="216"/>
      <c r="H39" s="216"/>
      <c r="I39" s="217"/>
    </row>
    <row r="40" spans="1:9" ht="18.75" customHeight="1" x14ac:dyDescent="0.15">
      <c r="A40" s="12"/>
      <c r="B40" s="215"/>
      <c r="C40" s="216"/>
      <c r="D40" s="216"/>
      <c r="E40" s="216"/>
      <c r="F40" s="216"/>
      <c r="G40" s="216"/>
      <c r="H40" s="216"/>
      <c r="I40" s="217"/>
    </row>
    <row r="41" spans="1:9" ht="18.75" customHeight="1" x14ac:dyDescent="0.15">
      <c r="A41" s="12"/>
      <c r="B41" s="215"/>
      <c r="C41" s="216"/>
      <c r="D41" s="216"/>
      <c r="E41" s="216"/>
      <c r="F41" s="216"/>
      <c r="G41" s="216"/>
      <c r="H41" s="216"/>
      <c r="I41" s="217"/>
    </row>
    <row r="42" spans="1:9" ht="18.75" customHeight="1" x14ac:dyDescent="0.15">
      <c r="A42" s="12"/>
      <c r="B42" s="215"/>
      <c r="C42" s="216"/>
      <c r="D42" s="216"/>
      <c r="E42" s="216"/>
      <c r="F42" s="216"/>
      <c r="G42" s="216"/>
      <c r="H42" s="216"/>
      <c r="I42" s="217"/>
    </row>
    <row r="43" spans="1:9" ht="18.75" customHeight="1" x14ac:dyDescent="0.15">
      <c r="A43" s="12"/>
      <c r="B43" s="215"/>
      <c r="C43" s="216"/>
      <c r="D43" s="216"/>
      <c r="E43" s="216"/>
      <c r="F43" s="216"/>
      <c r="G43" s="216"/>
      <c r="H43" s="216"/>
      <c r="I43" s="217"/>
    </row>
    <row r="44" spans="1:9" ht="18.75" customHeight="1" x14ac:dyDescent="0.15">
      <c r="A44" s="12"/>
      <c r="B44" s="215"/>
      <c r="C44" s="216"/>
      <c r="D44" s="216"/>
      <c r="E44" s="216"/>
      <c r="F44" s="216"/>
      <c r="G44" s="216"/>
      <c r="H44" s="216"/>
      <c r="I44" s="217"/>
    </row>
    <row r="45" spans="1:9" ht="18.75" customHeight="1" x14ac:dyDescent="0.15">
      <c r="A45" s="12"/>
      <c r="B45" s="215"/>
      <c r="C45" s="216"/>
      <c r="D45" s="216"/>
      <c r="E45" s="216"/>
      <c r="F45" s="216"/>
      <c r="G45" s="216"/>
      <c r="H45" s="216"/>
      <c r="I45" s="217"/>
    </row>
    <row r="46" spans="1:9" ht="18.75" customHeight="1" x14ac:dyDescent="0.15">
      <c r="A46" s="12"/>
      <c r="B46" s="218"/>
      <c r="C46" s="219"/>
      <c r="D46" s="219"/>
      <c r="E46" s="219"/>
      <c r="F46" s="219"/>
      <c r="G46" s="219"/>
      <c r="H46" s="219"/>
      <c r="I46" s="220"/>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58" t="s">
        <v>129</v>
      </c>
      <c r="C49" s="185">
        <v>0.55333333333333334</v>
      </c>
      <c r="D49" s="185"/>
      <c r="E49" s="58" t="s">
        <v>60</v>
      </c>
      <c r="F49" s="185">
        <v>0.67</v>
      </c>
      <c r="G49" s="185"/>
      <c r="H49" s="58" t="s">
        <v>80</v>
      </c>
      <c r="I49" s="85">
        <v>0.71</v>
      </c>
      <c r="J49" s="1"/>
      <c r="M49" s="1"/>
      <c r="N49" s="19"/>
    </row>
    <row r="50" spans="1:15" s="3" customFormat="1" ht="18.75" customHeight="1" x14ac:dyDescent="0.15">
      <c r="B50" s="59" t="s">
        <v>116</v>
      </c>
      <c r="C50" s="168">
        <v>0.73</v>
      </c>
      <c r="D50" s="168"/>
      <c r="E50" s="59" t="s">
        <v>130</v>
      </c>
      <c r="F50" s="168">
        <v>0.75</v>
      </c>
      <c r="G50" s="168"/>
      <c r="H50" s="59" t="s">
        <v>61</v>
      </c>
      <c r="I50" s="20">
        <v>1200</v>
      </c>
      <c r="J50" s="1"/>
      <c r="M50" s="1"/>
      <c r="N50" s="19"/>
    </row>
    <row r="51" spans="1:15" ht="18.75" customHeight="1" x14ac:dyDescent="0.15">
      <c r="A51" s="1"/>
      <c r="B51" s="228" t="s">
        <v>62</v>
      </c>
      <c r="C51" s="229"/>
      <c r="D51" s="229"/>
      <c r="E51" s="229"/>
      <c r="F51" s="229"/>
      <c r="G51" s="229"/>
      <c r="H51" s="229"/>
      <c r="I51" s="230"/>
      <c r="N51" s="19"/>
      <c r="O51" s="3"/>
    </row>
    <row r="52" spans="1:15" ht="18.75" customHeight="1" x14ac:dyDescent="0.15">
      <c r="A52" s="1"/>
      <c r="B52" s="186" t="s">
        <v>178</v>
      </c>
      <c r="C52" s="187"/>
      <c r="D52" s="187"/>
      <c r="E52" s="187"/>
      <c r="F52" s="187"/>
      <c r="G52" s="187"/>
      <c r="H52" s="187"/>
      <c r="I52" s="188"/>
      <c r="N52" s="19"/>
      <c r="O52" s="3"/>
    </row>
    <row r="53" spans="1:15" ht="18.75" customHeight="1" x14ac:dyDescent="0.15">
      <c r="A53" s="1"/>
      <c r="B53" s="189"/>
      <c r="C53" s="190"/>
      <c r="D53" s="190"/>
      <c r="E53" s="190"/>
      <c r="F53" s="190"/>
      <c r="G53" s="190"/>
      <c r="H53" s="190"/>
      <c r="I53" s="191"/>
      <c r="N53" s="19"/>
      <c r="O53" s="3"/>
    </row>
    <row r="54" spans="1:15" ht="18.75" customHeight="1" x14ac:dyDescent="0.15">
      <c r="A54" s="1"/>
      <c r="B54" s="189"/>
      <c r="C54" s="190"/>
      <c r="D54" s="190"/>
      <c r="E54" s="190"/>
      <c r="F54" s="190"/>
      <c r="G54" s="190"/>
      <c r="H54" s="190"/>
      <c r="I54" s="191"/>
    </row>
    <row r="55" spans="1:15" ht="18.75" customHeight="1" x14ac:dyDescent="0.15">
      <c r="A55" s="1"/>
      <c r="B55" s="189"/>
      <c r="C55" s="190"/>
      <c r="D55" s="190"/>
      <c r="E55" s="190"/>
      <c r="F55" s="190"/>
      <c r="G55" s="190"/>
      <c r="H55" s="190"/>
      <c r="I55" s="191"/>
    </row>
    <row r="56" spans="1:15" ht="18.75" customHeight="1" x14ac:dyDescent="0.15">
      <c r="A56" s="1"/>
      <c r="B56" s="189"/>
      <c r="C56" s="190"/>
      <c r="D56" s="190"/>
      <c r="E56" s="190"/>
      <c r="F56" s="190"/>
      <c r="G56" s="190"/>
      <c r="H56" s="190"/>
      <c r="I56" s="191"/>
    </row>
    <row r="57" spans="1:15" ht="18.75" customHeight="1" x14ac:dyDescent="0.15">
      <c r="A57" s="1"/>
      <c r="B57" s="189"/>
      <c r="C57" s="190"/>
      <c r="D57" s="190"/>
      <c r="E57" s="190"/>
      <c r="F57" s="190"/>
      <c r="G57" s="190"/>
      <c r="H57" s="190"/>
      <c r="I57" s="191"/>
    </row>
    <row r="58" spans="1:15" ht="18.75" customHeight="1" x14ac:dyDescent="0.15">
      <c r="A58" s="1"/>
      <c r="B58" s="189"/>
      <c r="C58" s="190"/>
      <c r="D58" s="190"/>
      <c r="E58" s="190"/>
      <c r="F58" s="190"/>
      <c r="G58" s="190"/>
      <c r="H58" s="190"/>
      <c r="I58" s="191"/>
    </row>
    <row r="59" spans="1:15" ht="18.75" customHeight="1" x14ac:dyDescent="0.15">
      <c r="A59" s="1"/>
      <c r="B59" s="189"/>
      <c r="C59" s="190"/>
      <c r="D59" s="190"/>
      <c r="E59" s="190"/>
      <c r="F59" s="190"/>
      <c r="G59" s="190"/>
      <c r="H59" s="190"/>
      <c r="I59" s="191"/>
    </row>
    <row r="60" spans="1:15" ht="18.75" customHeight="1" x14ac:dyDescent="0.15">
      <c r="A60" s="1"/>
      <c r="B60" s="189"/>
      <c r="C60" s="190"/>
      <c r="D60" s="190"/>
      <c r="E60" s="190"/>
      <c r="F60" s="190"/>
      <c r="G60" s="190"/>
      <c r="H60" s="190"/>
      <c r="I60" s="191"/>
    </row>
    <row r="61" spans="1:15" ht="18.75" customHeight="1" x14ac:dyDescent="0.15">
      <c r="A61" s="1"/>
      <c r="B61" s="189"/>
      <c r="C61" s="190"/>
      <c r="D61" s="190"/>
      <c r="E61" s="190"/>
      <c r="F61" s="190"/>
      <c r="G61" s="190"/>
      <c r="H61" s="190"/>
      <c r="I61" s="191"/>
    </row>
    <row r="62" spans="1:15" ht="18.75" customHeight="1" x14ac:dyDescent="0.15">
      <c r="A62" s="1"/>
      <c r="B62" s="189"/>
      <c r="C62" s="190"/>
      <c r="D62" s="190"/>
      <c r="E62" s="190"/>
      <c r="F62" s="190"/>
      <c r="G62" s="190"/>
      <c r="H62" s="190"/>
      <c r="I62" s="191"/>
    </row>
    <row r="63" spans="1:15" ht="18.75" customHeight="1" x14ac:dyDescent="0.15">
      <c r="A63" s="1"/>
      <c r="B63" s="192"/>
      <c r="C63" s="193"/>
      <c r="D63" s="193"/>
      <c r="E63" s="193"/>
      <c r="F63" s="193"/>
      <c r="G63" s="193"/>
      <c r="H63" s="193"/>
      <c r="I63" s="194"/>
    </row>
    <row r="64" spans="1:15" ht="7.5" customHeight="1" x14ac:dyDescent="0.15">
      <c r="A64" s="12"/>
      <c r="B64" s="12"/>
      <c r="C64" s="12"/>
      <c r="D64" s="12"/>
      <c r="E64" s="12"/>
      <c r="F64" s="12"/>
      <c r="G64" s="12"/>
      <c r="H64" s="12"/>
      <c r="I64" s="12"/>
    </row>
    <row r="65" spans="1:9" ht="18.75" customHeight="1" x14ac:dyDescent="0.15">
      <c r="A65" s="13" t="s">
        <v>34</v>
      </c>
      <c r="B65" s="1" t="s">
        <v>37</v>
      </c>
      <c r="I65" s="13"/>
    </row>
    <row r="66" spans="1:9" ht="18.75" customHeight="1" x14ac:dyDescent="0.15">
      <c r="A66" s="4"/>
      <c r="B66" s="169" t="s">
        <v>179</v>
      </c>
      <c r="C66" s="170"/>
      <c r="D66" s="170"/>
      <c r="E66" s="170"/>
      <c r="F66" s="170"/>
      <c r="G66" s="170"/>
      <c r="H66" s="170"/>
      <c r="I66" s="171"/>
    </row>
    <row r="67" spans="1:9" ht="18.75" customHeight="1" x14ac:dyDescent="0.15">
      <c r="A67" s="4"/>
      <c r="B67" s="172"/>
      <c r="C67" s="173"/>
      <c r="D67" s="173"/>
      <c r="E67" s="173"/>
      <c r="F67" s="173"/>
      <c r="G67" s="173"/>
      <c r="H67" s="173"/>
      <c r="I67" s="174"/>
    </row>
    <row r="68" spans="1:9" ht="18.75" customHeight="1" x14ac:dyDescent="0.15">
      <c r="A68" s="4"/>
      <c r="B68" s="172"/>
      <c r="C68" s="173"/>
      <c r="D68" s="173"/>
      <c r="E68" s="173"/>
      <c r="F68" s="173"/>
      <c r="G68" s="173"/>
      <c r="H68" s="173"/>
      <c r="I68" s="174"/>
    </row>
    <row r="69" spans="1:9" ht="18.75" customHeight="1" x14ac:dyDescent="0.15">
      <c r="A69" s="4"/>
      <c r="B69" s="172"/>
      <c r="C69" s="173"/>
      <c r="D69" s="173"/>
      <c r="E69" s="173"/>
      <c r="F69" s="173"/>
      <c r="G69" s="173"/>
      <c r="H69" s="173"/>
      <c r="I69" s="174"/>
    </row>
    <row r="70" spans="1:9" ht="18.75" customHeight="1" x14ac:dyDescent="0.15">
      <c r="A70" s="4"/>
      <c r="B70" s="172"/>
      <c r="C70" s="173"/>
      <c r="D70" s="173"/>
      <c r="E70" s="173"/>
      <c r="F70" s="173"/>
      <c r="G70" s="173"/>
      <c r="H70" s="173"/>
      <c r="I70" s="174"/>
    </row>
    <row r="71" spans="1:9" ht="18.75" customHeight="1" x14ac:dyDescent="0.15">
      <c r="A71" s="4"/>
      <c r="B71" s="172"/>
      <c r="C71" s="173"/>
      <c r="D71" s="173"/>
      <c r="E71" s="173"/>
      <c r="F71" s="173"/>
      <c r="G71" s="173"/>
      <c r="H71" s="173"/>
      <c r="I71" s="174"/>
    </row>
    <row r="72" spans="1:9" ht="18.75" customHeight="1" x14ac:dyDescent="0.15">
      <c r="A72" s="4"/>
      <c r="B72" s="172"/>
      <c r="C72" s="173"/>
      <c r="D72" s="173"/>
      <c r="E72" s="173"/>
      <c r="F72" s="173"/>
      <c r="G72" s="173"/>
      <c r="H72" s="173"/>
      <c r="I72" s="174"/>
    </row>
    <row r="73" spans="1:9" ht="18.75" customHeight="1" x14ac:dyDescent="0.15">
      <c r="A73" s="4"/>
      <c r="B73" s="172"/>
      <c r="C73" s="173"/>
      <c r="D73" s="173"/>
      <c r="E73" s="173"/>
      <c r="F73" s="173"/>
      <c r="G73" s="173"/>
      <c r="H73" s="173"/>
      <c r="I73" s="174"/>
    </row>
    <row r="74" spans="1:9" ht="18.75" customHeight="1" x14ac:dyDescent="0.15">
      <c r="A74" s="4"/>
      <c r="B74" s="172"/>
      <c r="C74" s="173"/>
      <c r="D74" s="173"/>
      <c r="E74" s="173"/>
      <c r="F74" s="173"/>
      <c r="G74" s="173"/>
      <c r="H74" s="173"/>
      <c r="I74" s="174"/>
    </row>
    <row r="75" spans="1:9" ht="18.75" customHeight="1" x14ac:dyDescent="0.15">
      <c r="A75" s="4"/>
      <c r="B75" s="172"/>
      <c r="C75" s="173"/>
      <c r="D75" s="173"/>
      <c r="E75" s="173"/>
      <c r="F75" s="173"/>
      <c r="G75" s="173"/>
      <c r="H75" s="173"/>
      <c r="I75" s="174"/>
    </row>
    <row r="76" spans="1:9" ht="18.75" customHeight="1" x14ac:dyDescent="0.15">
      <c r="A76" s="4"/>
      <c r="B76" s="172"/>
      <c r="C76" s="173"/>
      <c r="D76" s="173"/>
      <c r="E76" s="173"/>
      <c r="F76" s="173"/>
      <c r="G76" s="173"/>
      <c r="H76" s="173"/>
      <c r="I76" s="174"/>
    </row>
    <row r="77" spans="1:9" ht="18.75" customHeight="1" x14ac:dyDescent="0.15">
      <c r="A77" s="4"/>
      <c r="B77" s="175"/>
      <c r="C77" s="176"/>
      <c r="D77" s="176"/>
      <c r="E77" s="176"/>
      <c r="F77" s="176"/>
      <c r="G77" s="176"/>
      <c r="H77" s="176"/>
      <c r="I77" s="177"/>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69" t="s">
        <v>180</v>
      </c>
      <c r="C80" s="170"/>
      <c r="D80" s="170"/>
      <c r="E80" s="170"/>
      <c r="F80" s="170"/>
      <c r="G80" s="170"/>
      <c r="H80" s="170"/>
      <c r="I80" s="178"/>
    </row>
    <row r="81" spans="1:9" ht="18.75" customHeight="1" x14ac:dyDescent="0.15">
      <c r="A81" s="1"/>
      <c r="B81" s="179"/>
      <c r="C81" s="180"/>
      <c r="D81" s="180"/>
      <c r="E81" s="180"/>
      <c r="F81" s="180"/>
      <c r="G81" s="180"/>
      <c r="H81" s="180"/>
      <c r="I81" s="181"/>
    </row>
    <row r="82" spans="1:9" ht="18.75" customHeight="1" x14ac:dyDescent="0.15">
      <c r="A82" s="1"/>
      <c r="B82" s="179"/>
      <c r="C82" s="180"/>
      <c r="D82" s="180"/>
      <c r="E82" s="180"/>
      <c r="F82" s="180"/>
      <c r="G82" s="180"/>
      <c r="H82" s="180"/>
      <c r="I82" s="181"/>
    </row>
    <row r="83" spans="1:9" ht="18.75" customHeight="1" x14ac:dyDescent="0.15">
      <c r="A83" s="1"/>
      <c r="B83" s="179"/>
      <c r="C83" s="180"/>
      <c r="D83" s="180"/>
      <c r="E83" s="180"/>
      <c r="F83" s="180"/>
      <c r="G83" s="180"/>
      <c r="H83" s="180"/>
      <c r="I83" s="181"/>
    </row>
    <row r="84" spans="1:9" ht="18.75" customHeight="1" x14ac:dyDescent="0.15">
      <c r="A84" s="1"/>
      <c r="B84" s="179"/>
      <c r="C84" s="180"/>
      <c r="D84" s="180"/>
      <c r="E84" s="180"/>
      <c r="F84" s="180"/>
      <c r="G84" s="180"/>
      <c r="H84" s="180"/>
      <c r="I84" s="181"/>
    </row>
    <row r="85" spans="1:9" ht="18.75" customHeight="1" x14ac:dyDescent="0.15">
      <c r="A85" s="1"/>
      <c r="B85" s="179"/>
      <c r="C85" s="180"/>
      <c r="D85" s="180"/>
      <c r="E85" s="180"/>
      <c r="F85" s="180"/>
      <c r="G85" s="180"/>
      <c r="H85" s="180"/>
      <c r="I85" s="181"/>
    </row>
    <row r="86" spans="1:9" ht="18.75" customHeight="1" x14ac:dyDescent="0.15">
      <c r="A86" s="1"/>
      <c r="B86" s="179"/>
      <c r="C86" s="180"/>
      <c r="D86" s="180"/>
      <c r="E86" s="180"/>
      <c r="F86" s="180"/>
      <c r="G86" s="180"/>
      <c r="H86" s="180"/>
      <c r="I86" s="181"/>
    </row>
    <row r="87" spans="1:9" ht="18.75" customHeight="1" x14ac:dyDescent="0.15">
      <c r="A87" s="1"/>
      <c r="B87" s="179"/>
      <c r="C87" s="180"/>
      <c r="D87" s="180"/>
      <c r="E87" s="180"/>
      <c r="F87" s="180"/>
      <c r="G87" s="180"/>
      <c r="H87" s="180"/>
      <c r="I87" s="181"/>
    </row>
    <row r="88" spans="1:9" ht="18.75" customHeight="1" x14ac:dyDescent="0.15">
      <c r="A88" s="1"/>
      <c r="B88" s="179"/>
      <c r="C88" s="180"/>
      <c r="D88" s="180"/>
      <c r="E88" s="180"/>
      <c r="F88" s="180"/>
      <c r="G88" s="180"/>
      <c r="H88" s="180"/>
      <c r="I88" s="181"/>
    </row>
    <row r="89" spans="1:9" ht="18.75" customHeight="1" x14ac:dyDescent="0.15">
      <c r="A89" s="1"/>
      <c r="B89" s="179"/>
      <c r="C89" s="180"/>
      <c r="D89" s="180"/>
      <c r="E89" s="180"/>
      <c r="F89" s="180"/>
      <c r="G89" s="180"/>
      <c r="H89" s="180"/>
      <c r="I89" s="181"/>
    </row>
    <row r="90" spans="1:9" ht="18.75" customHeight="1" x14ac:dyDescent="0.15">
      <c r="A90" s="4"/>
      <c r="B90" s="179"/>
      <c r="C90" s="180"/>
      <c r="D90" s="180"/>
      <c r="E90" s="180"/>
      <c r="F90" s="180"/>
      <c r="G90" s="180"/>
      <c r="H90" s="180"/>
      <c r="I90" s="181"/>
    </row>
    <row r="91" spans="1:9" ht="18.75" customHeight="1" x14ac:dyDescent="0.15">
      <c r="A91" s="4"/>
      <c r="B91" s="182"/>
      <c r="C91" s="183"/>
      <c r="D91" s="183"/>
      <c r="E91" s="183"/>
      <c r="F91" s="183"/>
      <c r="G91" s="183"/>
      <c r="H91" s="183"/>
      <c r="I91" s="184"/>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201" t="s">
        <v>181</v>
      </c>
      <c r="C94" s="202"/>
      <c r="D94" s="202"/>
      <c r="E94" s="202"/>
      <c r="F94" s="202"/>
      <c r="G94" s="202"/>
      <c r="H94" s="202"/>
      <c r="I94" s="203"/>
    </row>
    <row r="95" spans="1:9" ht="18.75" customHeight="1" x14ac:dyDescent="0.15">
      <c r="A95" s="1"/>
      <c r="B95" s="207"/>
      <c r="C95" s="208"/>
      <c r="D95" s="208"/>
      <c r="E95" s="208"/>
      <c r="F95" s="208"/>
      <c r="G95" s="208"/>
      <c r="H95" s="208"/>
      <c r="I95" s="206"/>
    </row>
    <row r="96" spans="1:9" ht="18.75" customHeight="1" x14ac:dyDescent="0.15">
      <c r="A96" s="1"/>
      <c r="B96" s="207"/>
      <c r="C96" s="208"/>
      <c r="D96" s="208"/>
      <c r="E96" s="208"/>
      <c r="F96" s="208"/>
      <c r="G96" s="208"/>
      <c r="H96" s="208"/>
      <c r="I96" s="206"/>
    </row>
    <row r="97" spans="1:9" ht="18.75" customHeight="1" x14ac:dyDescent="0.15">
      <c r="A97" s="1"/>
      <c r="B97" s="207"/>
      <c r="C97" s="208"/>
      <c r="D97" s="208"/>
      <c r="E97" s="208"/>
      <c r="F97" s="208"/>
      <c r="G97" s="208"/>
      <c r="H97" s="208"/>
      <c r="I97" s="206"/>
    </row>
    <row r="98" spans="1:9" ht="18.75" customHeight="1" x14ac:dyDescent="0.15">
      <c r="A98" s="1"/>
      <c r="B98" s="207"/>
      <c r="C98" s="208"/>
      <c r="D98" s="208"/>
      <c r="E98" s="208"/>
      <c r="F98" s="208"/>
      <c r="G98" s="208"/>
      <c r="H98" s="208"/>
      <c r="I98" s="206"/>
    </row>
    <row r="99" spans="1:9" ht="18.75" customHeight="1" x14ac:dyDescent="0.15">
      <c r="A99" s="1"/>
      <c r="B99" s="207"/>
      <c r="C99" s="208"/>
      <c r="D99" s="208"/>
      <c r="E99" s="208"/>
      <c r="F99" s="208"/>
      <c r="G99" s="208"/>
      <c r="H99" s="208"/>
      <c r="I99" s="206"/>
    </row>
    <row r="100" spans="1:9" ht="18.75" customHeight="1" x14ac:dyDescent="0.15">
      <c r="A100" s="1"/>
      <c r="B100" s="207"/>
      <c r="C100" s="208"/>
      <c r="D100" s="208"/>
      <c r="E100" s="208"/>
      <c r="F100" s="208"/>
      <c r="G100" s="208"/>
      <c r="H100" s="208"/>
      <c r="I100" s="206"/>
    </row>
    <row r="101" spans="1:9" ht="18.75" customHeight="1" x14ac:dyDescent="0.15">
      <c r="A101" s="1"/>
      <c r="B101" s="207"/>
      <c r="C101" s="208"/>
      <c r="D101" s="208"/>
      <c r="E101" s="208"/>
      <c r="F101" s="208"/>
      <c r="G101" s="208"/>
      <c r="H101" s="208"/>
      <c r="I101" s="206"/>
    </row>
    <row r="102" spans="1:9" ht="18.75" customHeight="1" x14ac:dyDescent="0.15">
      <c r="A102" s="1"/>
      <c r="B102" s="207"/>
      <c r="C102" s="208"/>
      <c r="D102" s="208"/>
      <c r="E102" s="208"/>
      <c r="F102" s="208"/>
      <c r="G102" s="208"/>
      <c r="H102" s="208"/>
      <c r="I102" s="206"/>
    </row>
    <row r="103" spans="1:9" ht="18.75" customHeight="1" x14ac:dyDescent="0.15">
      <c r="A103" s="1"/>
      <c r="B103" s="207"/>
      <c r="C103" s="208"/>
      <c r="D103" s="208"/>
      <c r="E103" s="208"/>
      <c r="F103" s="208"/>
      <c r="G103" s="208"/>
      <c r="H103" s="208"/>
      <c r="I103" s="206"/>
    </row>
    <row r="104" spans="1:9" ht="18.75" customHeight="1" x14ac:dyDescent="0.15">
      <c r="A104" s="1"/>
      <c r="B104" s="207"/>
      <c r="C104" s="208"/>
      <c r="D104" s="208"/>
      <c r="E104" s="208"/>
      <c r="F104" s="208"/>
      <c r="G104" s="208"/>
      <c r="H104" s="208"/>
      <c r="I104" s="206"/>
    </row>
    <row r="105" spans="1:9" ht="18.75" customHeight="1" x14ac:dyDescent="0.15">
      <c r="A105" s="4"/>
      <c r="B105" s="209"/>
      <c r="C105" s="210"/>
      <c r="D105" s="210"/>
      <c r="E105" s="210"/>
      <c r="F105" s="210"/>
      <c r="G105" s="210"/>
      <c r="H105" s="210"/>
      <c r="I105" s="211"/>
    </row>
    <row r="106" spans="1:9" ht="7.5" customHeight="1" x14ac:dyDescent="0.15">
      <c r="A106" s="4"/>
      <c r="B106" s="4"/>
      <c r="C106" s="4"/>
      <c r="D106" s="4"/>
      <c r="E106" s="4"/>
      <c r="F106" s="4"/>
      <c r="G106" s="4"/>
      <c r="H106" s="4"/>
      <c r="I106" s="4"/>
    </row>
    <row r="107" spans="1:9" ht="18.75" customHeight="1" x14ac:dyDescent="0.15">
      <c r="A107" s="1" t="s">
        <v>30</v>
      </c>
      <c r="B107" s="227" t="s">
        <v>44</v>
      </c>
      <c r="C107" s="227"/>
      <c r="D107" s="227"/>
      <c r="E107" s="227"/>
      <c r="F107" s="227"/>
      <c r="G107" s="227"/>
      <c r="H107" s="227"/>
      <c r="I107" s="227"/>
    </row>
    <row r="108" spans="1:9" ht="18.75" customHeight="1" x14ac:dyDescent="0.15">
      <c r="A108" s="4"/>
      <c r="B108" s="201" t="s">
        <v>197</v>
      </c>
      <c r="C108" s="202"/>
      <c r="D108" s="202"/>
      <c r="E108" s="202"/>
      <c r="F108" s="202"/>
      <c r="G108" s="202"/>
      <c r="H108" s="202"/>
      <c r="I108" s="203"/>
    </row>
    <row r="109" spans="1:9" ht="18.75" customHeight="1" x14ac:dyDescent="0.15">
      <c r="A109" s="4"/>
      <c r="B109" s="207"/>
      <c r="C109" s="208"/>
      <c r="D109" s="208"/>
      <c r="E109" s="208"/>
      <c r="F109" s="208"/>
      <c r="G109" s="208"/>
      <c r="H109" s="208"/>
      <c r="I109" s="206"/>
    </row>
    <row r="110" spans="1:9" ht="18.75" customHeight="1" x14ac:dyDescent="0.15">
      <c r="A110" s="4"/>
      <c r="B110" s="207"/>
      <c r="C110" s="208"/>
      <c r="D110" s="208"/>
      <c r="E110" s="208"/>
      <c r="F110" s="208"/>
      <c r="G110" s="208"/>
      <c r="H110" s="208"/>
      <c r="I110" s="206"/>
    </row>
    <row r="111" spans="1:9" ht="18.75" customHeight="1" x14ac:dyDescent="0.15">
      <c r="A111" s="4"/>
      <c r="B111" s="207"/>
      <c r="C111" s="208"/>
      <c r="D111" s="208"/>
      <c r="E111" s="208"/>
      <c r="F111" s="208"/>
      <c r="G111" s="208"/>
      <c r="H111" s="208"/>
      <c r="I111" s="206"/>
    </row>
    <row r="112" spans="1:9" ht="18.75" customHeight="1" x14ac:dyDescent="0.15">
      <c r="A112" s="4"/>
      <c r="B112" s="207"/>
      <c r="C112" s="208"/>
      <c r="D112" s="208"/>
      <c r="E112" s="208"/>
      <c r="F112" s="208"/>
      <c r="G112" s="208"/>
      <c r="H112" s="208"/>
      <c r="I112" s="206"/>
    </row>
    <row r="113" spans="1:9" ht="18.75" customHeight="1" x14ac:dyDescent="0.15">
      <c r="A113" s="4"/>
      <c r="B113" s="207"/>
      <c r="C113" s="208"/>
      <c r="D113" s="208"/>
      <c r="E113" s="208"/>
      <c r="F113" s="208"/>
      <c r="G113" s="208"/>
      <c r="H113" s="208"/>
      <c r="I113" s="206"/>
    </row>
    <row r="114" spans="1:9" ht="18.75" customHeight="1" x14ac:dyDescent="0.15">
      <c r="A114" s="4"/>
      <c r="B114" s="207"/>
      <c r="C114" s="208"/>
      <c r="D114" s="208"/>
      <c r="E114" s="208"/>
      <c r="F114" s="208"/>
      <c r="G114" s="208"/>
      <c r="H114" s="208"/>
      <c r="I114" s="206"/>
    </row>
    <row r="115" spans="1:9" ht="18.75" customHeight="1" x14ac:dyDescent="0.15">
      <c r="A115" s="4"/>
      <c r="B115" s="207"/>
      <c r="C115" s="208"/>
      <c r="D115" s="208"/>
      <c r="E115" s="208"/>
      <c r="F115" s="208"/>
      <c r="G115" s="208"/>
      <c r="H115" s="208"/>
      <c r="I115" s="206"/>
    </row>
    <row r="116" spans="1:9" ht="18.75" customHeight="1" x14ac:dyDescent="0.15">
      <c r="A116" s="4"/>
      <c r="B116" s="207"/>
      <c r="C116" s="208"/>
      <c r="D116" s="208"/>
      <c r="E116" s="208"/>
      <c r="F116" s="208"/>
      <c r="G116" s="208"/>
      <c r="H116" s="208"/>
      <c r="I116" s="206"/>
    </row>
    <row r="117" spans="1:9" ht="18.75" customHeight="1" x14ac:dyDescent="0.15">
      <c r="A117" s="4"/>
      <c r="B117" s="207"/>
      <c r="C117" s="208"/>
      <c r="D117" s="208"/>
      <c r="E117" s="208"/>
      <c r="F117" s="208"/>
      <c r="G117" s="208"/>
      <c r="H117" s="208"/>
      <c r="I117" s="206"/>
    </row>
    <row r="118" spans="1:9" ht="18.75" customHeight="1" x14ac:dyDescent="0.15">
      <c r="A118" s="4"/>
      <c r="B118" s="207"/>
      <c r="C118" s="208"/>
      <c r="D118" s="208"/>
      <c r="E118" s="208"/>
      <c r="F118" s="208"/>
      <c r="G118" s="208"/>
      <c r="H118" s="208"/>
      <c r="I118" s="206"/>
    </row>
    <row r="119" spans="1:9" ht="18.75" customHeight="1" x14ac:dyDescent="0.15">
      <c r="A119" s="4"/>
      <c r="B119" s="209"/>
      <c r="C119" s="210"/>
      <c r="D119" s="210"/>
      <c r="E119" s="210"/>
      <c r="F119" s="210"/>
      <c r="G119" s="210"/>
      <c r="H119" s="210"/>
      <c r="I119" s="211"/>
    </row>
    <row r="120" spans="1:9" ht="7.5" customHeight="1" x14ac:dyDescent="0.15">
      <c r="A120" s="4"/>
      <c r="B120" s="21"/>
      <c r="C120" s="21"/>
      <c r="D120" s="21"/>
      <c r="E120" s="21"/>
      <c r="F120" s="21"/>
      <c r="G120" s="21"/>
      <c r="H120" s="21"/>
      <c r="I120" s="21"/>
    </row>
    <row r="121" spans="1:9" ht="18.75" customHeight="1" x14ac:dyDescent="0.15">
      <c r="A121" s="45"/>
      <c r="B121" s="195"/>
      <c r="C121" s="195"/>
      <c r="D121" s="195"/>
      <c r="E121" s="195"/>
      <c r="F121" s="195"/>
      <c r="G121" s="195"/>
      <c r="H121" s="195"/>
      <c r="I121" s="195"/>
    </row>
    <row r="122" spans="1:9" ht="18.75" customHeight="1" x14ac:dyDescent="0.15">
      <c r="A122" s="45"/>
      <c r="B122" s="195"/>
      <c r="C122" s="195"/>
      <c r="D122" s="195"/>
      <c r="E122" s="195"/>
      <c r="F122" s="195"/>
      <c r="G122" s="195"/>
      <c r="H122" s="195"/>
      <c r="I122" s="195"/>
    </row>
    <row r="123" spans="1:9" ht="18.75" customHeight="1" x14ac:dyDescent="0.15">
      <c r="A123" s="4"/>
      <c r="B123" s="46"/>
      <c r="C123" s="46"/>
      <c r="D123" s="46"/>
      <c r="E123" s="46"/>
      <c r="F123" s="46"/>
      <c r="G123" s="46"/>
      <c r="H123" s="46"/>
      <c r="I123" s="47"/>
    </row>
    <row r="124" spans="1:9" ht="18.75" customHeight="1" x14ac:dyDescent="0.15">
      <c r="A124" s="4"/>
      <c r="B124" s="47"/>
      <c r="C124" s="47"/>
      <c r="D124" s="47"/>
      <c r="E124" s="47"/>
      <c r="F124" s="47"/>
      <c r="G124" s="47"/>
      <c r="H124" s="47"/>
      <c r="I124" s="47"/>
    </row>
    <row r="125" spans="1:9" ht="18.75" customHeight="1" x14ac:dyDescent="0.15">
      <c r="A125" s="4"/>
      <c r="B125" s="47"/>
      <c r="C125" s="47"/>
      <c r="D125" s="47"/>
      <c r="E125" s="47"/>
      <c r="F125" s="47"/>
      <c r="G125" s="47"/>
      <c r="H125" s="47"/>
      <c r="I125" s="47"/>
    </row>
    <row r="126" spans="1:9" ht="18.75" customHeight="1" x14ac:dyDescent="0.15">
      <c r="A126" s="4"/>
      <c r="B126" s="47"/>
      <c r="C126" s="47"/>
      <c r="D126" s="47"/>
      <c r="E126" s="47"/>
      <c r="F126" s="47"/>
      <c r="G126" s="47"/>
      <c r="H126" s="47"/>
      <c r="I126" s="47"/>
    </row>
    <row r="127" spans="1:9" ht="18.75" customHeight="1" x14ac:dyDescent="0.15">
      <c r="A127" s="4"/>
      <c r="B127" s="47"/>
      <c r="C127" s="47"/>
      <c r="D127" s="47"/>
      <c r="E127" s="47"/>
      <c r="F127" s="47"/>
      <c r="G127" s="47"/>
      <c r="H127" s="47"/>
      <c r="I127" s="47"/>
    </row>
    <row r="128" spans="1:9" ht="18.75" customHeight="1" x14ac:dyDescent="0.15">
      <c r="A128" s="4"/>
      <c r="B128" s="47"/>
      <c r="C128" s="47"/>
      <c r="D128" s="47"/>
      <c r="E128" s="47"/>
      <c r="F128" s="47"/>
      <c r="G128" s="47"/>
      <c r="H128" s="47"/>
      <c r="I128" s="47"/>
    </row>
    <row r="129" spans="1:9" ht="18.75" customHeight="1" x14ac:dyDescent="0.15">
      <c r="A129" s="4"/>
      <c r="B129" s="47"/>
      <c r="C129" s="47"/>
      <c r="D129" s="47"/>
      <c r="E129" s="47"/>
      <c r="F129" s="47"/>
      <c r="G129" s="47"/>
      <c r="H129" s="47"/>
      <c r="I129" s="47"/>
    </row>
    <row r="130" spans="1:9" ht="18.75" customHeight="1" x14ac:dyDescent="0.15">
      <c r="A130" s="4"/>
      <c r="B130" s="47"/>
      <c r="C130" s="47"/>
      <c r="D130" s="47"/>
      <c r="E130" s="47"/>
      <c r="F130" s="47"/>
      <c r="G130" s="47"/>
      <c r="H130" s="47"/>
      <c r="I130" s="47"/>
    </row>
    <row r="131" spans="1:9" ht="18.75" customHeight="1" x14ac:dyDescent="0.15">
      <c r="A131" s="4"/>
      <c r="B131" s="47"/>
      <c r="C131" s="47"/>
      <c r="D131" s="47"/>
      <c r="E131" s="47"/>
      <c r="F131" s="47"/>
      <c r="G131" s="47"/>
      <c r="H131" s="47"/>
      <c r="I131" s="47"/>
    </row>
    <row r="132" spans="1:9" ht="18.75" customHeight="1" x14ac:dyDescent="0.15">
      <c r="A132" s="4"/>
      <c r="B132" s="47"/>
      <c r="C132" s="47"/>
      <c r="D132" s="47"/>
      <c r="E132" s="47"/>
      <c r="F132" s="47"/>
      <c r="G132" s="47"/>
      <c r="H132" s="47"/>
      <c r="I132" s="47"/>
    </row>
    <row r="133" spans="1:9" ht="14.25" x14ac:dyDescent="0.15">
      <c r="A133" s="4"/>
      <c r="B133" s="47"/>
      <c r="C133" s="47"/>
      <c r="D133" s="47"/>
      <c r="E133" s="47"/>
      <c r="F133" s="47"/>
      <c r="G133" s="47"/>
      <c r="H133" s="47"/>
      <c r="I133" s="47"/>
    </row>
    <row r="134" spans="1:9" ht="7.5" customHeight="1" x14ac:dyDescent="0.15">
      <c r="A134" s="4"/>
      <c r="B134" s="47"/>
      <c r="C134" s="47"/>
      <c r="D134" s="47"/>
      <c r="E134" s="47"/>
      <c r="F134" s="47"/>
      <c r="G134" s="47"/>
      <c r="H134" s="47"/>
      <c r="I134" s="47"/>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scale="9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E20" sqref="E20:I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5" t="s">
        <v>90</v>
      </c>
    </row>
    <row r="2" spans="1:9" ht="18.75" customHeight="1" x14ac:dyDescent="0.15">
      <c r="H2" s="15" t="s">
        <v>93</v>
      </c>
      <c r="I2" s="14" t="str">
        <f>'様式１　プログラムを構成する授業科目'!C2</f>
        <v>八戸工業大学</v>
      </c>
    </row>
    <row r="3" spans="1:9" ht="18.75" customHeight="1" x14ac:dyDescent="0.15">
      <c r="A3" s="153" t="s">
        <v>28</v>
      </c>
      <c r="B3" s="153"/>
      <c r="C3" s="153"/>
      <c r="D3" s="153"/>
      <c r="E3" s="153"/>
      <c r="F3" s="153"/>
      <c r="G3" s="153"/>
      <c r="H3" s="153"/>
      <c r="I3" s="153"/>
    </row>
    <row r="4" spans="1:9" ht="18.75" customHeight="1" x14ac:dyDescent="0.15">
      <c r="A4" s="5"/>
      <c r="B4" s="5"/>
      <c r="C4" s="5"/>
      <c r="D4" s="5"/>
      <c r="E4" s="5"/>
      <c r="F4" s="5"/>
      <c r="G4" s="5"/>
      <c r="H4" s="5"/>
      <c r="I4" s="5"/>
    </row>
    <row r="5" spans="1:9" ht="18.75" customHeight="1" x14ac:dyDescent="0.15">
      <c r="A5" s="1" t="s">
        <v>0</v>
      </c>
      <c r="B5" s="8" t="s">
        <v>85</v>
      </c>
      <c r="C5" s="5"/>
      <c r="D5" s="5"/>
      <c r="E5" s="5"/>
      <c r="F5" s="5"/>
      <c r="G5" s="5"/>
      <c r="H5" s="5"/>
      <c r="I5" s="5"/>
    </row>
    <row r="6" spans="1:9" ht="26.25" customHeight="1" x14ac:dyDescent="0.15">
      <c r="A6" s="5"/>
      <c r="B6" s="221" t="s">
        <v>182</v>
      </c>
      <c r="C6" s="254"/>
      <c r="D6" s="254"/>
      <c r="E6" s="254"/>
      <c r="F6" s="254"/>
      <c r="G6" s="254"/>
      <c r="H6" s="255"/>
      <c r="I6" s="3"/>
    </row>
    <row r="7" spans="1:9" ht="9" customHeight="1" x14ac:dyDescent="0.15">
      <c r="A7" s="5"/>
      <c r="B7" s="8"/>
      <c r="C7" s="8"/>
      <c r="D7" s="8"/>
      <c r="E7" s="8"/>
      <c r="F7" s="8"/>
      <c r="G7" s="8"/>
      <c r="H7" s="8"/>
      <c r="I7" s="3"/>
    </row>
    <row r="8" spans="1:9" ht="18.75" customHeight="1" x14ac:dyDescent="0.15">
      <c r="A8" s="5"/>
      <c r="B8" s="3"/>
      <c r="C8" s="3"/>
      <c r="D8" s="15" t="s">
        <v>41</v>
      </c>
      <c r="E8" s="16" t="s">
        <v>183</v>
      </c>
      <c r="F8" s="3"/>
      <c r="G8" s="15" t="s">
        <v>10</v>
      </c>
      <c r="H8" s="16" t="s">
        <v>175</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96" t="s">
        <v>24</v>
      </c>
      <c r="C11" s="253"/>
      <c r="D11" s="197"/>
      <c r="E11" s="253" t="s">
        <v>26</v>
      </c>
      <c r="F11" s="253"/>
      <c r="G11" s="253"/>
      <c r="H11" s="253"/>
      <c r="I11" s="197"/>
    </row>
    <row r="12" spans="1:9" ht="26.25" customHeight="1" x14ac:dyDescent="0.15">
      <c r="B12" s="22" t="s">
        <v>14</v>
      </c>
      <c r="C12" s="29"/>
      <c r="D12" s="23"/>
      <c r="E12" s="30"/>
      <c r="F12" s="30"/>
      <c r="G12" s="30"/>
      <c r="H12" s="30"/>
      <c r="I12" s="23"/>
    </row>
    <row r="13" spans="1:9" ht="210.75" customHeight="1" x14ac:dyDescent="0.15">
      <c r="B13" s="24"/>
      <c r="C13" s="236" t="s">
        <v>15</v>
      </c>
      <c r="D13" s="237"/>
      <c r="E13" s="249" t="s">
        <v>184</v>
      </c>
      <c r="F13" s="238"/>
      <c r="G13" s="238"/>
      <c r="H13" s="238"/>
      <c r="I13" s="239"/>
    </row>
    <row r="14" spans="1:9" ht="210.75" customHeight="1" x14ac:dyDescent="0.15">
      <c r="B14" s="24"/>
      <c r="C14" s="251" t="s">
        <v>16</v>
      </c>
      <c r="D14" s="252"/>
      <c r="E14" s="249" t="s">
        <v>185</v>
      </c>
      <c r="F14" s="238"/>
      <c r="G14" s="238"/>
      <c r="H14" s="238"/>
      <c r="I14" s="239"/>
    </row>
    <row r="15" spans="1:9" ht="210.75" customHeight="1" x14ac:dyDescent="0.15">
      <c r="B15" s="24"/>
      <c r="C15" s="236" t="s">
        <v>17</v>
      </c>
      <c r="D15" s="237"/>
      <c r="E15" s="249" t="s">
        <v>192</v>
      </c>
      <c r="F15" s="238"/>
      <c r="G15" s="238"/>
      <c r="H15" s="238"/>
      <c r="I15" s="239"/>
    </row>
    <row r="16" spans="1:9" ht="210.75" customHeight="1" x14ac:dyDescent="0.15">
      <c r="B16" s="24"/>
      <c r="C16" s="236" t="s">
        <v>18</v>
      </c>
      <c r="D16" s="237"/>
      <c r="E16" s="249" t="s">
        <v>186</v>
      </c>
      <c r="F16" s="238"/>
      <c r="G16" s="238"/>
      <c r="H16" s="238"/>
      <c r="I16" s="239"/>
    </row>
    <row r="17" spans="2:9" ht="210.75" customHeight="1" x14ac:dyDescent="0.15">
      <c r="B17" s="25"/>
      <c r="C17" s="240" t="s">
        <v>19</v>
      </c>
      <c r="D17" s="241"/>
      <c r="E17" s="250" t="s">
        <v>193</v>
      </c>
      <c r="F17" s="242"/>
      <c r="G17" s="242"/>
      <c r="H17" s="242"/>
      <c r="I17" s="243"/>
    </row>
    <row r="18" spans="2:9" ht="24" customHeight="1" x14ac:dyDescent="0.15">
      <c r="B18" s="22" t="s">
        <v>20</v>
      </c>
      <c r="C18" s="26"/>
      <c r="D18" s="27"/>
      <c r="E18" s="28"/>
      <c r="F18" s="28"/>
      <c r="G18" s="28"/>
      <c r="H18" s="28"/>
      <c r="I18" s="31"/>
    </row>
    <row r="19" spans="2:9" ht="218.25" customHeight="1" x14ac:dyDescent="0.15">
      <c r="B19" s="24"/>
      <c r="C19" s="236" t="s">
        <v>21</v>
      </c>
      <c r="D19" s="237"/>
      <c r="E19" s="238" t="s">
        <v>187</v>
      </c>
      <c r="F19" s="238"/>
      <c r="G19" s="238"/>
      <c r="H19" s="238"/>
      <c r="I19" s="239"/>
    </row>
    <row r="20" spans="2:9" ht="218.25" customHeight="1" x14ac:dyDescent="0.15">
      <c r="B20" s="25"/>
      <c r="C20" s="240" t="s">
        <v>22</v>
      </c>
      <c r="D20" s="241"/>
      <c r="E20" s="242" t="s">
        <v>188</v>
      </c>
      <c r="F20" s="242"/>
      <c r="G20" s="242"/>
      <c r="H20" s="242"/>
      <c r="I20" s="243"/>
    </row>
    <row r="21" spans="2:9" ht="218.25" customHeight="1" x14ac:dyDescent="0.15">
      <c r="B21" s="244" t="s">
        <v>23</v>
      </c>
      <c r="C21" s="245"/>
      <c r="D21" s="246"/>
      <c r="E21" s="247" t="s">
        <v>189</v>
      </c>
      <c r="F21" s="247"/>
      <c r="G21" s="247"/>
      <c r="H21" s="247"/>
      <c r="I21" s="248"/>
    </row>
    <row r="22" spans="2:9" ht="218.25" customHeight="1" x14ac:dyDescent="0.15">
      <c r="B22" s="231" t="s">
        <v>121</v>
      </c>
      <c r="C22" s="232"/>
      <c r="D22" s="233"/>
      <c r="E22" s="234" t="s">
        <v>190</v>
      </c>
      <c r="F22" s="234"/>
      <c r="G22" s="234"/>
      <c r="H22" s="234"/>
      <c r="I22" s="23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2"/>
      <c r="C28" s="12"/>
      <c r="D28" s="12"/>
      <c r="E28" s="12"/>
      <c r="F28" s="12"/>
      <c r="G28" s="12"/>
      <c r="H28" s="12"/>
      <c r="I28" s="12"/>
    </row>
    <row r="29" spans="2:9" ht="22.5" customHeight="1" x14ac:dyDescent="0.15">
      <c r="B29" s="12"/>
      <c r="C29" s="12"/>
      <c r="D29" s="12"/>
      <c r="E29" s="12"/>
      <c r="F29" s="12"/>
      <c r="G29" s="12"/>
      <c r="H29" s="12"/>
      <c r="I29" s="12"/>
    </row>
    <row r="30" spans="2:9" ht="22.5" customHeight="1" x14ac:dyDescent="0.15">
      <c r="B30" s="12"/>
      <c r="C30" s="12"/>
      <c r="D30" s="12"/>
      <c r="E30" s="12"/>
      <c r="F30" s="12"/>
      <c r="G30" s="12"/>
      <c r="H30" s="12"/>
      <c r="I30" s="12"/>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kyoumu-05</dc:creator>
  <cp:lastModifiedBy>赤坂 友貴奈</cp:lastModifiedBy>
  <cp:lastPrinted>2025-07-17T08:42:01Z</cp:lastPrinted>
  <dcterms:created xsi:type="dcterms:W3CDTF">2011-06-14T05:32:50Z</dcterms:created>
  <dcterms:modified xsi:type="dcterms:W3CDTF">2025-07-17T23:50:20Z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