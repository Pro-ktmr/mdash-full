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Z:\UNION\★MDASH申請\03）再提出（7.4_アイフィスより_〆」7.11）\04）様式（7.11再提出用一式）\02）様式_再提出\"/>
    </mc:Choice>
  </mc:AlternateContent>
  <xr:revisionPtr revIDLastSave="0" documentId="13_ncr:1_{405F3A0C-5947-4BF6-9EB6-72EFF35D5553}" xr6:coauthVersionLast="36" xr6:coauthVersionMax="47" xr10:uidLastSave="{00000000-0000-0000-0000-000000000000}"/>
  <bookViews>
    <workbookView xWindow="0" yWindow="0" windowWidth="19200" windowHeight="6740" tabRatio="885" firstSheet="1" activeTab="4" xr2:uid="{00000000-000D-0000-FFFF-FFFF00000000}"/>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プログラムを構成する授業科目'!$A$1:$U$105</definedName>
    <definedName name="_xlnm.Print_Area" localSheetId="1">'様式１−２　プログラムを構成する授業科目'!$A$1:$U$105</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R15" i="40" l="1"/>
  <c r="S15" i="40" s="1"/>
  <c r="M7" i="40" l="1"/>
  <c r="I2" i="42"/>
  <c r="H2" i="41"/>
  <c r="Q2" i="40"/>
  <c r="I33" i="40" l="1"/>
  <c r="M33" i="40"/>
  <c r="P33" i="40"/>
  <c r="Q33" i="40"/>
  <c r="O33" i="40"/>
  <c r="N33" i="40"/>
  <c r="L33" i="40"/>
  <c r="J33" i="40"/>
  <c r="K33" i="40"/>
  <c r="H33" i="40"/>
  <c r="R14" i="40" l="1"/>
  <c r="S14" i="40" s="1"/>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R33" i="40" l="1"/>
  <c r="S33" i="40" l="1"/>
  <c r="C49" i="41" s="1"/>
</calcChain>
</file>

<file path=xl/sharedStrings.xml><?xml version="1.0" encoding="utf-8"?>
<sst xmlns="http://schemas.openxmlformats.org/spreadsheetml/2006/main" count="430" uniqueCount="205">
  <si>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</si>
  <si>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</si>
  <si>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</si>
  <si>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</si>
  <si>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</si>
  <si>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</si>
  <si>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</si>
  <si>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</si>
  <si>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</si>
  <si>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</si>
  <si>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</si>
  <si>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</si>
  <si>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</si>
  <si>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</si>
  <si>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</si>
  <si>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</si>
  <si>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</si>
  <si>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</si>
  <si>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</si>
  <si>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</si>
  <si>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</si>
  <si>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</si>
  <si>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</si>
  <si>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</si>
  <si>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</si>
  <si>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</si>
  <si>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</si>
  <si>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</si>
  <si>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</si>
  <si>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</si>
  <si>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</si>
  <si>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</si>
  <si>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</si>
  <si>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</si>
  <si>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</si>
  <si>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</si>
  <si>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</si>
  <si>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</si>
  <si>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</si>
  <si>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</si>
  <si>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</si>
  <si>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</si>
  <si>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</si>
  <si>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</si>
  <si>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</si>
  <si>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</si>
  <si>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</si>
  <si>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</si>
  <si>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</si>
  <si>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</si>
  <si>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</si>
  <si>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</si>
  <si>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</si>
  <si>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</si>
  <si>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</si>
  <si>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</si>
  <si>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</si>
  <si>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</si>
  <si>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</si>
  <si>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</si>
  <si>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</si>
  <si>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</si>
  <si>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</si>
  <si>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</si>
  <si>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</si>
  <si>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</si>
  <si>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</si>
  <si>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</si>
  <si>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</si>
  <si>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</si>
  <si>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</si>
  <si>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</si>
  <si>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</si>
  <si>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</si>
  <si>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</si>
  <si>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</si>
  <si>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</si>
  <si>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</si>
  <si>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</si>
  <si>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</si>
  <si>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</si>
  <si>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</si>
  <si>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</si>
  <si>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</si>
  <si>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</si>
  <si>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</si>
  <si>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</si>
  <si>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</si>
  <si>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</si>
  <si>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</si>
  <si>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</si>
  <si>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</si>
  <si>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</si>
  <si>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</si>
  <si>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</si>
  <si>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</si>
  <si>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</si>
  <si>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</si>
  <si>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</si>
  <si>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</si>
  <si>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</si>
  <si>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</si>
  <si>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</si>
  <si>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</si>
  <si>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</si>
  <si>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</si>
  <si>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</si>
  <si>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</si>
  <si>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</si>
  <si>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</si>
  <si>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</si>
  <si>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</si>
  <si>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</si>
  <si>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</si>
  <si>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</si>
  <si>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</si>
  <si>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</si>
  <si>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</si>
  <si>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</si>
  <si>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</si>
  <si>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</si>
  <si>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</si>
  <si>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</si>
  <si>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</si>
  <si>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</si>
  <si>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</si>
  <si>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</si>
  <si>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</si>
  <si>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</si>
  <si>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</si>
  <si>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</si>
  <si>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</si>
  <si>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</si>
  <si>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</si>
  <si>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</si>
  <si>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</si>
  <si>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</si>
  <si>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</si>
  <si>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</si>
  <si>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</si>
  <si>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</si>
  <si>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</si>
  <si>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</si>
  <si>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湘北短期大学</t>
    <rPh sb="0" eb="6">
      <t xml:space="preserve">ショウホクタンキダイガク </t>
    </rPh>
    <phoneticPr fontId="1"/>
  </si>
  <si>
    <t>湘北数理・データサイエンス・AI教育プログラム</t>
    <phoneticPr fontId="1"/>
  </si>
  <si>
    <t>情報リテラシー（データサイエンス入門）</t>
    <phoneticPr fontId="1"/>
  </si>
  <si>
    <t>保育のためのICT・DX入門Ⅱ</t>
    <phoneticPr fontId="1"/>
  </si>
  <si>
    <t>○</t>
  </si>
  <si>
    <t>様式１ー１</t>
    <rPh sb="0" eb="2">
      <t>ヨウシキ</t>
    </rPh>
    <phoneticPr fontId="1"/>
  </si>
  <si>
    <t>2年次通年必修科目「保育のためのICT・DX入門Ⅱ」の1単位を取得すること。</t>
    <rPh sb="3" eb="5">
      <t xml:space="preserve">ツウネｎ </t>
    </rPh>
    <rPh sb="5" eb="9">
      <t xml:space="preserve">ヒッシュウカモク </t>
    </rPh>
    <rPh sb="31" eb="33">
      <t xml:space="preserve">タンイシュトク </t>
    </rPh>
    <phoneticPr fontId="1"/>
  </si>
  <si>
    <t>保育学科</t>
    <rPh sb="0" eb="4">
      <t xml:space="preserve">ホイクガッカ </t>
    </rPh>
    <phoneticPr fontId="1"/>
  </si>
  <si>
    <t>総合ビジネス・情報学科、生活プロデュース学科</t>
    <rPh sb="0" eb="2">
      <t xml:space="preserve">ソウゴウビジネス </t>
    </rPh>
    <rPh sb="7" eb="11">
      <t xml:space="preserve">ジョウホウガッカ </t>
    </rPh>
    <rPh sb="12" eb="14">
      <t xml:space="preserve">セイカツプロデュース </t>
    </rPh>
    <rPh sb="20" eb="22">
      <t xml:space="preserve">ガッカ </t>
    </rPh>
    <phoneticPr fontId="1"/>
  </si>
  <si>
    <t>1年次前期必修科目「情報リテラシー（データサイエンス入門）」の2単位を取得すること。</t>
    <rPh sb="3" eb="5">
      <t xml:space="preserve">ゼンキ </t>
    </rPh>
    <rPh sb="5" eb="9">
      <t xml:space="preserve">ヒッシュウカモク </t>
    </rPh>
    <rPh sb="32" eb="34">
      <t xml:space="preserve">タンイシュウトク </t>
    </rPh>
    <rPh sb="35" eb="37">
      <t xml:space="preserve">シュトク </t>
    </rPh>
    <phoneticPr fontId="1"/>
  </si>
  <si>
    <t>様式１ー２</t>
    <rPh sb="0" eb="2">
      <t>ヨウシキ</t>
    </rPh>
    <phoneticPr fontId="1"/>
  </si>
  <si>
    <t>・ビッグデータ、IoT、AI、生成AI、ロボット：　「情報リテラシー（データサイエンス入門）」（6回目）
・データ量の増加、計算機の処理性能の向上、AIの非連続的進化：　「情報リテラシー（データサイエンス入門）」（6回目）
・第4次産業革命、Society 5.0、データ駆動型社会：　「情報リテラシー（データサイエンス入門）」（6回目）</t>
    <phoneticPr fontId="1"/>
  </si>
  <si>
    <t>・調査データ、実験データ、人の行動ログデータ、機械の稼働ログデータなど：　「情報リテラシー（データサイエンス入門）」（6回目）
・構造化データ、非構造化データ（文章、画像/動画、音声/音楽など）：　「情報リテラシー（データサイエンス入門）」（6回目）
・データのオープン化（オープンデータ）：　「情報リテラシー（データサイエンス入門）」（10、12、13回目）</t>
    <phoneticPr fontId="1"/>
  </si>
  <si>
    <t>・データ・AI活用領域の広がり(生産、消費、文化活動など)：　「情報リテラシー（データサイエンス入門）」（8回目）
・研究開発、調達、製造、物流、販売、マーケティング、サービスなど：　「情報リテラシー（データサイエンス入門）」（8回目）
・仮説検証、知識発見、原因究明、計画策定、判断支援、活動代替、新規生成など：　「情報リテラシー（データサイエンス入門）」（8回目）</t>
    <phoneticPr fontId="1"/>
  </si>
  <si>
    <t>・情報漏洩等によるセキュリティ事故の事例紹介：　「情報リテラシー（データサイエンス入門）」（5回目）</t>
    <phoneticPr fontId="1"/>
  </si>
  <si>
    <t>令和6</t>
    <rPh sb="0" eb="2">
      <t>レイワ</t>
    </rPh>
    <phoneticPr fontId="1"/>
  </si>
  <si>
    <t>総合ビジネス・情報学科</t>
    <rPh sb="0" eb="2">
      <t>ソウゴウ</t>
    </rPh>
    <rPh sb="7" eb="9">
      <t>ジョウホウ</t>
    </rPh>
    <rPh sb="9" eb="11">
      <t>ガッカ</t>
    </rPh>
    <phoneticPr fontId="1"/>
  </si>
  <si>
    <t>生活プロデュース学科</t>
    <rPh sb="0" eb="2">
      <t>セイカツ</t>
    </rPh>
    <rPh sb="8" eb="10">
      <t>ガッカ</t>
    </rPh>
    <phoneticPr fontId="1"/>
  </si>
  <si>
    <t>保育学科</t>
    <rPh sb="0" eb="2">
      <t>ホイク</t>
    </rPh>
    <rPh sb="2" eb="4">
      <t>ガッカ</t>
    </rPh>
    <phoneticPr fontId="1"/>
  </si>
  <si>
    <t>リベラルアーツセンター長</t>
    <rPh sb="11" eb="12">
      <t>チョウ</t>
    </rPh>
    <phoneticPr fontId="1"/>
  </si>
  <si>
    <t>リベラルアーツセンター長</t>
    <phoneticPr fontId="1"/>
  </si>
  <si>
    <t>学長</t>
    <rPh sb="0" eb="2">
      <t>ガクチョウ</t>
    </rPh>
    <phoneticPr fontId="1"/>
  </si>
  <si>
    <t>髙橋洋</t>
    <rPh sb="0" eb="2">
      <t>タカハシ</t>
    </rPh>
    <rPh sb="2" eb="3">
      <t>ヒロシ</t>
    </rPh>
    <phoneticPr fontId="1"/>
  </si>
  <si>
    <t>髙嶋章雄</t>
    <rPh sb="0" eb="2">
      <t>タカシマ</t>
    </rPh>
    <phoneticPr fontId="1"/>
  </si>
  <si>
    <t>数理・データサイエンス・AI教育推進ワーキンググループ</t>
    <phoneticPr fontId="1"/>
  </si>
  <si>
    <t xml:space="preserve">髙嶋章雄　リベラルアーツセンター長（責任者）
矢沢隆　教務・学生部部長（副責任者）
小林良向　IR室長
泉屋咲月　生活プロデュース学科
小笠原大輔　保育学科
北野俊之　教務・学生部
高橋博子　教務・学生部
</t>
    <rPh sb="0" eb="2">
      <t>タカシマ</t>
    </rPh>
    <rPh sb="2" eb="4">
      <t>アキオ</t>
    </rPh>
    <rPh sb="16" eb="17">
      <t>チョウ</t>
    </rPh>
    <rPh sb="18" eb="21">
      <t>セキニンシャ</t>
    </rPh>
    <rPh sb="27" eb="29">
      <t>キョウム</t>
    </rPh>
    <rPh sb="30" eb="33">
      <t>ガクセイブ</t>
    </rPh>
    <rPh sb="33" eb="35">
      <t>ブチョウ</t>
    </rPh>
    <rPh sb="36" eb="37">
      <t>フク</t>
    </rPh>
    <rPh sb="37" eb="40">
      <t>セキニンシャ</t>
    </rPh>
    <rPh sb="49" eb="51">
      <t>シツチョウ</t>
    </rPh>
    <rPh sb="52" eb="54">
      <t>イズミヤ</t>
    </rPh>
    <rPh sb="54" eb="56">
      <t>サツキ</t>
    </rPh>
    <rPh sb="57" eb="59">
      <t>セイカツ</t>
    </rPh>
    <rPh sb="65" eb="67">
      <t>ガッカ</t>
    </rPh>
    <phoneticPr fontId="1"/>
  </si>
  <si>
    <t>髙嶋章雄</t>
    <rPh sb="0" eb="2">
      <t>タカシマ</t>
    </rPh>
    <rPh sb="2" eb="4">
      <t>アキオ</t>
    </rPh>
    <phoneticPr fontId="1"/>
  </si>
  <si>
    <t>・現代社会において必要となる数理・データサイエンス・AIの基礎的素養、知識、技能を主体的に身につけ、日常の生活や仕事等の場で実践的に活用することができる。
・数理・データサイエンス・AIの知識、技能の恩恵を享受できるようになるとともに、これらを活用するにあたっては、公平性・公正性の観点を常に持ち、人間中心の適切な判断や説明ができるようになる。</t>
    <phoneticPr fontId="1"/>
  </si>
  <si>
    <t>本教育プログラムを構成する「情報リテラシー（データサイエンス入門）」および「保育のためのICT・DX入門Ⅱ」は、各学科の卒業要件に含まれる必修科目として開講している。</t>
    <rPh sb="0" eb="1">
      <t>ホン</t>
    </rPh>
    <rPh sb="1" eb="3">
      <t>キョウイク</t>
    </rPh>
    <rPh sb="9" eb="11">
      <t>コウセイ</t>
    </rPh>
    <rPh sb="14" eb="16">
      <t>ジョウホウ</t>
    </rPh>
    <rPh sb="30" eb="32">
      <t>ニュウモン</t>
    </rPh>
    <rPh sb="56" eb="59">
      <t>カクガッカ</t>
    </rPh>
    <rPh sb="60" eb="62">
      <t>ソツギョウ</t>
    </rPh>
    <rPh sb="62" eb="64">
      <t>ヨウケン</t>
    </rPh>
    <rPh sb="65" eb="66">
      <t>フク</t>
    </rPh>
    <rPh sb="69" eb="71">
      <t>ヒッシュウ</t>
    </rPh>
    <rPh sb="71" eb="73">
      <t>カモク</t>
    </rPh>
    <rPh sb="76" eb="78">
      <t>カイコウ</t>
    </rPh>
    <phoneticPr fontId="1"/>
  </si>
  <si>
    <t>湘北短期大学数理・データサイエンス・AI教育推進ワーキンググループは、以下の業務を所管する
（1）当教育プログラムの具体的な内容に関する協議・検討
（2）当教育プログラムの計画（当教育プログラムにおいて身に付けることのできる能力、修了要件、開設される授業科目、授業の方法、及び内容等）の策定並びに実施体制の構築、及びそれらの公表
（3）学生に対し当教育プログラムの履修を促す取組の協議・検討、及び実施
（4）当教育プログラムについての点検及び評価、その結果の公表</t>
    <rPh sb="0" eb="2">
      <t>ショウホク</t>
    </rPh>
    <rPh sb="2" eb="4">
      <t>タンキ</t>
    </rPh>
    <rPh sb="4" eb="6">
      <t>ダイガク</t>
    </rPh>
    <rPh sb="35" eb="37">
      <t>イカ</t>
    </rPh>
    <rPh sb="38" eb="40">
      <t>ギョウム</t>
    </rPh>
    <rPh sb="41" eb="43">
      <t>ショカン</t>
    </rPh>
    <phoneticPr fontId="1"/>
  </si>
  <si>
    <t>本教育プログラムを構成する「情報リテラシー（データサイエンス入門）」および「保育のためのICT・DX入門Ⅱ」は、各学科の卒業要件に含まれる必修科目として開講している。</t>
    <phoneticPr fontId="1"/>
  </si>
  <si>
    <t>本教育プログラムは、各学科必修科目のみで構成されており、もともと興味を持っていない学生も一定数含まれる。そのため、産業界からの視点だけでなく、学生目線の身近な事例なども散りばめて、数理・データサイエンス・AIに関する知識やスキルを自然と理解できるような授業を展開している。結果として上述した複数の設問において肯定的な意見が得られたと考えられる。</t>
    <rPh sb="0" eb="1">
      <t>ホン</t>
    </rPh>
    <rPh sb="1" eb="3">
      <t>キョウイク</t>
    </rPh>
    <rPh sb="10" eb="13">
      <t>カクガッカ</t>
    </rPh>
    <rPh sb="13" eb="15">
      <t>ヒッシュウ</t>
    </rPh>
    <rPh sb="15" eb="17">
      <t>カモク</t>
    </rPh>
    <rPh sb="20" eb="22">
      <t>コウセイ</t>
    </rPh>
    <rPh sb="32" eb="34">
      <t>キョウミ</t>
    </rPh>
    <rPh sb="35" eb="36">
      <t>モ</t>
    </rPh>
    <rPh sb="41" eb="43">
      <t>ガクセイ</t>
    </rPh>
    <rPh sb="44" eb="47">
      <t>イッテイスウ</t>
    </rPh>
    <rPh sb="47" eb="48">
      <t>フク</t>
    </rPh>
    <rPh sb="57" eb="60">
      <t>サンギョウカイ</t>
    </rPh>
    <rPh sb="63" eb="65">
      <t>シテン</t>
    </rPh>
    <rPh sb="71" eb="73">
      <t>ガクセイ</t>
    </rPh>
    <rPh sb="73" eb="75">
      <t>メセン</t>
    </rPh>
    <rPh sb="76" eb="78">
      <t>ミジカ</t>
    </rPh>
    <rPh sb="79" eb="81">
      <t>ジレイ</t>
    </rPh>
    <rPh sb="84" eb="85">
      <t>チ</t>
    </rPh>
    <rPh sb="90" eb="92">
      <t>スウリ</t>
    </rPh>
    <rPh sb="105" eb="106">
      <t>カン</t>
    </rPh>
    <rPh sb="108" eb="110">
      <t>チシキ</t>
    </rPh>
    <rPh sb="115" eb="117">
      <t>シゼン</t>
    </rPh>
    <rPh sb="118" eb="120">
      <t>リカイ</t>
    </rPh>
    <rPh sb="126" eb="128">
      <t>ジュギョウ</t>
    </rPh>
    <rPh sb="129" eb="131">
      <t>テンカイ</t>
    </rPh>
    <rPh sb="136" eb="138">
      <t>ケッカ</t>
    </rPh>
    <rPh sb="141" eb="143">
      <t>ジョウジュツ</t>
    </rPh>
    <rPh sb="145" eb="147">
      <t>フクスウ</t>
    </rPh>
    <rPh sb="148" eb="150">
      <t>セツモン</t>
    </rPh>
    <rPh sb="154" eb="157">
      <t>コウテイテキ</t>
    </rPh>
    <rPh sb="158" eb="160">
      <t>イケン</t>
    </rPh>
    <rPh sb="161" eb="162">
      <t>エ</t>
    </rPh>
    <rPh sb="166" eb="167">
      <t>カンガ</t>
    </rPh>
    <phoneticPr fontId="1"/>
  </si>
  <si>
    <t>・AI最新技術の活用例（深層生成モデル、強化学習、生成AIなど）：　「情報リテラシー（データサイエンス入門）」（6回目）
・AI等を活用した新しいビジネスモデル(シェアリングエコノミー、商品のレコメンデーションなど)：　「情報リテラシー（データサイエンス入門）」（8回目）</t>
    <phoneticPr fontId="1"/>
  </si>
  <si>
    <t>・データ解析：予測、グルーピング、パターン発見など：　「情報リテラシー（データサイエンス入門）」（6、7回目）
・データ可視化：複合グラフ、2軸グラフ、多次元の可視化、関係性の可視化など：　「情報リテラシー（データサイエンス入門）」（11、14回目）</t>
    <phoneticPr fontId="1"/>
  </si>
  <si>
    <t>・倫理的・法的・社会的課題（ELSI：Ethical, Legal and Social Issues）：　「情報リテラシー（データサイエンス入門）」（8回目）
・個人情報保護：　「情報リテラシー（データサイエンス入門）」（8回目）
・データ倫理：　「情報リテラシー（データサイエンス入門）」（8回目）
・データバイアス：　「情報リテラシー（データサイエンス入門）」（8回目）
・生成AIの留意事項（ハルシネーションによる誤情報の生成、偽情報や有害コンテンツの生成・氾濫 など）：　「情報リテラシー（データサイエンス入門）」（5回目）</t>
    <phoneticPr fontId="1"/>
  </si>
  <si>
    <t>数理・データサイエンス・AI教育推進ワーキンググループ設置要綱</t>
    <rPh sb="27" eb="29">
      <t>セッチ</t>
    </rPh>
    <rPh sb="29" eb="31">
      <t>ヨウコウ</t>
    </rPh>
    <phoneticPr fontId="1"/>
  </si>
  <si>
    <t>令和6年度の「情報リテラシー（データサイエンス入門）」の授業改善アンケートの設問「授業の内容は興味深いものであったか」において、88.4%の肯定的な意見が得られた。後輩等への推奨度を直接調査したものではないが、多くの学生にとって履修する価値のある内容として受け入れられたと考えられる。</t>
    <rPh sb="28" eb="30">
      <t>ジュギョウ</t>
    </rPh>
    <rPh sb="30" eb="32">
      <t>カイゼン</t>
    </rPh>
    <rPh sb="38" eb="40">
      <t>セツモン</t>
    </rPh>
    <rPh sb="41" eb="43">
      <t>ジュギョウ</t>
    </rPh>
    <rPh sb="44" eb="46">
      <t>ナイヨウ</t>
    </rPh>
    <rPh sb="47" eb="50">
      <t>キョウミブカ</t>
    </rPh>
    <rPh sb="70" eb="73">
      <t>コウテイテキ</t>
    </rPh>
    <rPh sb="74" eb="76">
      <t>イケン</t>
    </rPh>
    <rPh sb="77" eb="78">
      <t>エ</t>
    </rPh>
    <rPh sb="82" eb="84">
      <t>コウハイ</t>
    </rPh>
    <rPh sb="84" eb="85">
      <t>トウ</t>
    </rPh>
    <rPh sb="87" eb="89">
      <t>スイショウ</t>
    </rPh>
    <rPh sb="128" eb="129">
      <t>ウ</t>
    </rPh>
    <rPh sb="130" eb="131">
      <t>イ</t>
    </rPh>
    <rPh sb="136" eb="137">
      <t>カンガ</t>
    </rPh>
    <phoneticPr fontId="1"/>
  </si>
  <si>
    <r>
      <t>湘北短期大学は総合ビジネス・情報学科、生活プロデュース学科、保育学科からなる総合短期大学である。各専門分野での実務において重要な役割を果たすと考え、全学科で数理・データサイエンス・AIに関する科目を、必修科目として位置づけている。
総合ビジネス・情報学科および生活プロデュース学科においては、1年次前期の必修科目として「情報リテラシー（データサイエンス入門）」を開講する。PCを操作する内容も含むため、全15回のオンデマンド科目とし、自由な時間に何度でも動画を見直しながら学習を進められるようにしている。
保育学科においては、基本的なPCスキルを学ぶ1年次通年隔週で開講する「保育のためのICT・DX入門Ⅰ」の発展として、2年次通年隔週で開講する「保育のためのICT・DX入門Ⅱ」を開講している。本教育プログラムが対象とする科目は「保育のためのICT・DX入門Ⅱ」とする。
令和6年度以降の全入学生が本プログラムの履修対象学生となる。総合ビジネス・情報学科と生活プロデュース学科の学生</t>
    </r>
    <r>
      <rPr>
        <sz val="12"/>
        <rFont val="ＭＳ Ｐゴシック"/>
        <family val="3"/>
        <charset val="128"/>
        <scheme val="minor"/>
      </rPr>
      <t>は、令和6年度に対象科目の履修を終え、保育学科の学生は、令和7年度に対象科目の履修を終えることとなる。
収容定員ではなく在籍者数を母数とした場合の履修率</t>
    </r>
    <r>
      <rPr>
        <sz val="12"/>
        <color theme="1"/>
        <rFont val="ＭＳ Ｐゴシック"/>
        <family val="3"/>
        <charset val="128"/>
        <scheme val="minor"/>
      </rPr>
      <t>は、令和7年度以降100%となる。</t>
    </r>
    <rPh sb="0" eb="2">
      <t>ショウホク</t>
    </rPh>
    <rPh sb="2" eb="4">
      <t>タンキ</t>
    </rPh>
    <rPh sb="4" eb="6">
      <t>ダイガク</t>
    </rPh>
    <rPh sb="7" eb="9">
      <t>ソウゴウ</t>
    </rPh>
    <rPh sb="14" eb="16">
      <t>ジョウホウ</t>
    </rPh>
    <rPh sb="16" eb="18">
      <t>ガッカ</t>
    </rPh>
    <rPh sb="19" eb="21">
      <t>セイカツ</t>
    </rPh>
    <rPh sb="27" eb="29">
      <t>ガッカ</t>
    </rPh>
    <rPh sb="30" eb="32">
      <t>ホイク</t>
    </rPh>
    <rPh sb="32" eb="34">
      <t>ガッカ</t>
    </rPh>
    <rPh sb="38" eb="40">
      <t>ソウゴウ</t>
    </rPh>
    <rPh sb="40" eb="42">
      <t>タンキ</t>
    </rPh>
    <rPh sb="42" eb="44">
      <t>ダイガク</t>
    </rPh>
    <rPh sb="48" eb="49">
      <t>カク</t>
    </rPh>
    <rPh sb="71" eb="72">
      <t>カンガ</t>
    </rPh>
    <rPh sb="96" eb="98">
      <t>カモク</t>
    </rPh>
    <rPh sb="116" eb="118">
      <t>ソウゴウ</t>
    </rPh>
    <rPh sb="123" eb="125">
      <t>ジョウホウ</t>
    </rPh>
    <rPh sb="125" eb="127">
      <t>ガッカ</t>
    </rPh>
    <rPh sb="130" eb="132">
      <t>セイカツ</t>
    </rPh>
    <rPh sb="138" eb="140">
      <t>ガッカ</t>
    </rPh>
    <rPh sb="147" eb="148">
      <t>ネン</t>
    </rPh>
    <rPh sb="148" eb="149">
      <t>ジ</t>
    </rPh>
    <rPh sb="149" eb="151">
      <t>ゼンキ</t>
    </rPh>
    <rPh sb="152" eb="154">
      <t>ヒッシュウ</t>
    </rPh>
    <rPh sb="154" eb="156">
      <t>カモク</t>
    </rPh>
    <rPh sb="160" eb="162">
      <t>ジョウホウ</t>
    </rPh>
    <rPh sb="176" eb="178">
      <t>ニュウモン</t>
    </rPh>
    <rPh sb="181" eb="183">
      <t>カイコウ</t>
    </rPh>
    <rPh sb="189" eb="191">
      <t>ソウサ</t>
    </rPh>
    <rPh sb="193" eb="195">
      <t>ナイヨウ</t>
    </rPh>
    <rPh sb="196" eb="197">
      <t>フク</t>
    </rPh>
    <rPh sb="201" eb="202">
      <t>ゼン</t>
    </rPh>
    <rPh sb="204" eb="205">
      <t>カイ</t>
    </rPh>
    <rPh sb="212" eb="214">
      <t>カモク</t>
    </rPh>
    <rPh sb="217" eb="219">
      <t>ジユウ</t>
    </rPh>
    <rPh sb="220" eb="222">
      <t>ジカン</t>
    </rPh>
    <rPh sb="223" eb="225">
      <t>ナンド</t>
    </rPh>
    <rPh sb="227" eb="229">
      <t>ドウガ</t>
    </rPh>
    <rPh sb="230" eb="232">
      <t>ミナオ</t>
    </rPh>
    <rPh sb="236" eb="238">
      <t>ガクシュウ</t>
    </rPh>
    <rPh sb="239" eb="240">
      <t>スス</t>
    </rPh>
    <rPh sb="253" eb="255">
      <t>ホイク</t>
    </rPh>
    <rPh sb="255" eb="257">
      <t>ガッカ</t>
    </rPh>
    <rPh sb="263" eb="266">
      <t>キホンテキ</t>
    </rPh>
    <rPh sb="273" eb="274">
      <t>マナ</t>
    </rPh>
    <rPh sb="276" eb="277">
      <t>ネン</t>
    </rPh>
    <rPh sb="277" eb="278">
      <t>ジ</t>
    </rPh>
    <rPh sb="278" eb="280">
      <t>ツウネン</t>
    </rPh>
    <rPh sb="280" eb="282">
      <t>カクシュウ</t>
    </rPh>
    <rPh sb="283" eb="285">
      <t>カイコウ</t>
    </rPh>
    <rPh sb="305" eb="307">
      <t>ハッテン</t>
    </rPh>
    <rPh sb="312" eb="313">
      <t>ネン</t>
    </rPh>
    <rPh sb="313" eb="314">
      <t>ジ</t>
    </rPh>
    <rPh sb="314" eb="316">
      <t>ツウネン</t>
    </rPh>
    <rPh sb="316" eb="318">
      <t>カクシュウ</t>
    </rPh>
    <rPh sb="319" eb="321">
      <t>カイコウ</t>
    </rPh>
    <rPh sb="341" eb="343">
      <t>カイコウ</t>
    </rPh>
    <rPh sb="348" eb="349">
      <t>ホン</t>
    </rPh>
    <rPh sb="349" eb="351">
      <t>キョウイク</t>
    </rPh>
    <rPh sb="357" eb="359">
      <t>タイショウ</t>
    </rPh>
    <rPh sb="362" eb="364">
      <t>カモク</t>
    </rPh>
    <rPh sb="387" eb="389">
      <t>レイワ</t>
    </rPh>
    <rPh sb="390" eb="392">
      <t>ネンド</t>
    </rPh>
    <rPh sb="392" eb="394">
      <t>イコウ</t>
    </rPh>
    <rPh sb="395" eb="396">
      <t>ゼン</t>
    </rPh>
    <rPh sb="396" eb="399">
      <t>ニュウガクセイ</t>
    </rPh>
    <rPh sb="400" eb="401">
      <t>ホン</t>
    </rPh>
    <rPh sb="407" eb="409">
      <t>リシュウ</t>
    </rPh>
    <rPh sb="409" eb="411">
      <t>タイショウ</t>
    </rPh>
    <rPh sb="411" eb="413">
      <t>ガクセイ</t>
    </rPh>
    <rPh sb="417" eb="419">
      <t>ソウゴウ</t>
    </rPh>
    <rPh sb="424" eb="428">
      <t>ジョウホウガッカ</t>
    </rPh>
    <rPh sb="429" eb="431">
      <t>セイカツ</t>
    </rPh>
    <rPh sb="437" eb="439">
      <t>ガッカ</t>
    </rPh>
    <rPh sb="440" eb="442">
      <t>ガクセイ</t>
    </rPh>
    <rPh sb="444" eb="446">
      <t>レイワ</t>
    </rPh>
    <rPh sb="447" eb="449">
      <t>ネンド</t>
    </rPh>
    <rPh sb="450" eb="452">
      <t>タイショウ</t>
    </rPh>
    <rPh sb="452" eb="454">
      <t>カモク</t>
    </rPh>
    <rPh sb="455" eb="457">
      <t>リシュウ</t>
    </rPh>
    <rPh sb="458" eb="459">
      <t>オ</t>
    </rPh>
    <rPh sb="461" eb="463">
      <t>ホイク</t>
    </rPh>
    <rPh sb="463" eb="465">
      <t>ガッカ</t>
    </rPh>
    <rPh sb="466" eb="468">
      <t>ガクセイ</t>
    </rPh>
    <rPh sb="470" eb="472">
      <t>レイワ</t>
    </rPh>
    <rPh sb="473" eb="475">
      <t>ネンド</t>
    </rPh>
    <rPh sb="476" eb="478">
      <t>タイショウ</t>
    </rPh>
    <rPh sb="478" eb="480">
      <t>カモク</t>
    </rPh>
    <rPh sb="481" eb="483">
      <t>リシュウ</t>
    </rPh>
    <rPh sb="484" eb="485">
      <t>オ</t>
    </rPh>
    <rPh sb="494" eb="496">
      <t>シュウヨウ</t>
    </rPh>
    <rPh sb="496" eb="498">
      <t>テイイン</t>
    </rPh>
    <rPh sb="502" eb="504">
      <t>ザイセキ</t>
    </rPh>
    <rPh sb="504" eb="505">
      <t>モノ</t>
    </rPh>
    <rPh sb="505" eb="506">
      <t>スウ</t>
    </rPh>
    <rPh sb="507" eb="509">
      <t>ボスウ</t>
    </rPh>
    <rPh sb="512" eb="514">
      <t>バアイ</t>
    </rPh>
    <rPh sb="515" eb="517">
      <t>リシュウ</t>
    </rPh>
    <rPh sb="517" eb="518">
      <t>リツ</t>
    </rPh>
    <rPh sb="520" eb="522">
      <t>レイワ</t>
    </rPh>
    <rPh sb="523" eb="525">
      <t>ネンド</t>
    </rPh>
    <rPh sb="525" eb="527">
      <t>イコウ</t>
    </rPh>
    <phoneticPr fontId="1"/>
  </si>
  <si>
    <t>・データの種類（量的変数、質的変数）：　「情報リテラシー（データサイエンス入門）」（7回目）
・データの分布(ヒストグラム)と代表値（平均値、中央値、最頻値）：　「情報リテラシー（データサイエンス入門）」（7回目）
・代表値の性質の違い（実社会では平均値＝最頻値でないことが多い）：　「情報リテラシー（データサイエンス入門）」（7回目）
・データのばらつき（分散、標準偏差、偏差値）、外れ値：　「情報リテラシー（データサイエンス入門）」（7回目）
・相関と因果（相関係数、擬似相関、交絡）：　「情報リテラシー（データサイエンス入門）」（7回目）
・クロス集計表、分割表、相関係数行列、散布図行列：　「情報リテラシー（データサイエンス入門）」（9～15回目）
・統計情報の正しい理解（誇張表現に惑わされない）：　「情報リテラシー（データサイエンス入門）」（7回目）</t>
  </si>
  <si>
    <t>・データ表現（棒グラフ、折線グラフ、散布図、ヒートマップ、箱ひげ図）：　「情報リテラシー（データサイエンス入門）」（9～15回目）
・相手に的確かつ正確に情報を伝える技術や考え方（スライド作成，プレゼンテーションなど）：　「情報リテラシー（データサイエンス入門）」（2、3回目）</t>
  </si>
  <si>
    <t>・データの取得（機械判読可能なデータの作成・表記方法）：　「情報リテラシー（データサイエンス入門）」（7、9～15回目）
・データの集計（和、平均）：　「情報リテラシー（データサイエンス入門）」（2、3、7、9～15回目）
・データの並び替え、ランキング：　「情報リテラシー（データサイエンス入門）」（7、9～15回目）
・データ解析ツール（スプレッドシート、BIツール）：　「情報リテラシー（データサイエンス入門）」（9～15回目）
・表形式のデータ（csv）：　「情報リテラシー（データサイエンス入門）」（2、9～15回目）</t>
    <phoneticPr fontId="1"/>
  </si>
  <si>
    <t>・ビッグデータ、IoT、AI、生成AI、ロボット：　「保育のためのICT・DX入門Ⅱ」（1回目）
・データ量の増加、計算機の処理性能の向上、AIの非連続的進化：　「保育のためのICT・DX入門Ⅱ」（1回目）
・第4次産業革命、Society 5.0、データ駆動型社会：　「保育のためのICT・DX入門Ⅱ」（1回目）
・人間の知的活動とAIの関係性：　「保育のためのICT・DX入門Ⅱ」（8回目）</t>
  </si>
  <si>
    <t>・AI最新技術の活用例（生成AIなど）：　「保育のためのICT・DX入門Ⅱ」（8回目）
・AI等を活用した新しいビジネスモデル(シェアリングエコノミー、商品のレコメンデーションなど)：　「保育のためのICT・DX入門Ⅱ」（8回目）</t>
  </si>
  <si>
    <t>・調査データ、実験データなど：　「保育のためのICT・DX入門Ⅱ」（3,4回目）
・構造化データ、非構造化データ（文章、画像/動画、音声/音楽など）：　「保育のためのICT・DX入門Ⅱ」（10回目）</t>
  </si>
  <si>
    <t>・データ・AI活用領域の広がり(生産、消費、文化活動など)：　「保育のためのICT・DX入門Ⅱ」（2回目）</t>
  </si>
  <si>
    <t>・非構造化データ処理：言語処理、画像/動画処理、音声/音楽処理など：　「保育のためのICT・DX入門Ⅱ」（8､10～15回目）
・自動化技術：　「保育のためのICT・DX入門Ⅱ」（15回目）</t>
  </si>
  <si>
    <t>・データサイエンスのサイクル（データの取得・管理・加工）：　「保育のためのICT・DX入門Ⅱ」（1回目）
・教育、サービス等におけるデータ・AI利活用：　「保育のためのICT・DX入門Ⅱ」（8回目）
事例紹介：　「保育のためのICT・DX入門Ⅱ」（8回目）</t>
  </si>
  <si>
    <t>・倫理的・法的・社会的課題（ELSI：Ethical, Legal and Social Issues）：　「保育のためのICT・DX入門Ⅱ」（9回目）
・データ倫理：データのねつ造、改ざん、盗用、プライバシー保護：　「保育のためのICT・DX入門Ⅱ」（1回目）
・AIサービスの責任論：　「保育のためのICT・DX入門Ⅱ」（9回目）
・データ・AI活用における負の事例紹介：　「保育のためのICT・DX入門Ⅱ」（9回目）
・生成AIの留意事項（ハルシネーションによる誤情報の生成、偽情報や有害コンテンツの生成・氾濫 など）：　「保育のためのICT・DX入門Ⅱ」（9回目）</t>
  </si>
  <si>
    <t>・情報漏洩等によるセキュリティ事故の事例紹介：　「保育のためのICT・DX入門Ⅱ」（9回目）</t>
  </si>
  <si>
    <t>・データの種類（量的変数、質的変数）：　「保育のためのICT・DX入門Ⅱ」（4回目）
・データの分布(ヒストグラム)と代表値（平均値、中央値、最頻値）：　「保育のためのICT・DX入門Ⅱ」（4回目）
・代表値の性質の違い（実社会では平均値＝最頻値でないことが多い）：　「保育のためのICT・DX入門Ⅱ」（4回目）
・データのばらつき（分散、標準偏差、偏差値）：　「保育のためのICT・DX入門Ⅱ」（4回目）</t>
  </si>
  <si>
    <t>・データ表現（棒グラフ、折線グラフ、散布図）：　「保育のためのICT・DX入門Ⅱ」（4～7回目）
・データの比較（条件をそろえた比較)：　「保育のためのICT・DX入門Ⅱ」（5～7回目）
・不適切なグラフ表現（チャートジャンク、不必要な視覚的要素）：　「保育のためのICT・DX入門Ⅱ」（5回目）
・優れた可視化事例の紹介（可視化することによって新たな気づきがあった事例など）：　「保育のためのICT・DX入門Ⅱ」（5回目）
・相手に的確かつ正確に情報を伝える技術や考え方（スライド作成、プレゼンテーションなど）：　「保育のためのICT・DX入門Ⅱ」（7回目）</t>
  </si>
  <si>
    <t>・データの取得（機械判読可能なデータの作成・表記方法）：　「保育のためのICT・DX入門Ⅱ」（3回目）
・データの集計（和、平均）：　「保育のためのICT・DX入門Ⅱ」（5～7回目）
・データの並び替え、ランキング：　「保育のためのICT・DX入門Ⅱ」（5～7回目）
・データ解析ツール（スプレッドシート、BIツール）：　「保育のためのICT・DX入門Ⅱ」（5～7回目）
・表形式のデータ（csv）：　「保育のためのICT・DX入門Ⅱ」（5～7回目）</t>
  </si>
  <si>
    <t>・データサイエンスのサイクル（課題抽出と定式化、データの取得・管理・加工、探索的データ解析、データ解析と推論、結果の共有・伝達、課題解決に向けた提案）：　「情報リテラシー（データサイエンス入門）」（9～15回目）
・教育、芸術、流通、製造、金融、サービス、インフラ、公共、ヘルスケア等におけるデータ・AI利活用事例紹介：　「情報リテラシー（データサイエンス入門）」（8回目）</t>
    <phoneticPr fontId="1"/>
  </si>
  <si>
    <t>入学後のガイダンスや学生向けの情報ポータルにおいて、本教育プログラムの内容を周知している。</t>
    <phoneticPr fontId="1"/>
  </si>
  <si>
    <t>本教育プログラムを構成する全科目は、講義資料をLMSで管理・提供している。「情報リテラシー（データサイエンス入門）」は、学外のインストラクショナルデザインの専門家に協力を仰ぎ、50件の動画を中心としたオンデマンド科目として、学生が繰り返し学習可能な環境を提供している。</t>
    <phoneticPr fontId="1"/>
  </si>
  <si>
    <t>対面で実施する科目は授業中や授業後に質問を受け付けている。オンデマンド科目はLMSを通じて質問を受け付けるとともに、担当する常勤教員がオフィスアワーを中心に対面での質問を受け付けている。また、本学にはPCやIT機器を利用する上でわからないことを学生が気軽に相談できる「ITコンシェルジュ」が常駐しており、学修を妨げない範囲でITに関するトラブル解決を行っている。</t>
    <rPh sb="0" eb="2">
      <t>タイメン</t>
    </rPh>
    <rPh sb="3" eb="5">
      <t>ジッシ</t>
    </rPh>
    <rPh sb="7" eb="9">
      <t>カモク</t>
    </rPh>
    <rPh sb="10" eb="12">
      <t>ジュギョウ</t>
    </rPh>
    <rPh sb="12" eb="13">
      <t>チュウ</t>
    </rPh>
    <rPh sb="14" eb="16">
      <t>ジュギョウ</t>
    </rPh>
    <rPh sb="16" eb="17">
      <t>ゴ</t>
    </rPh>
    <rPh sb="18" eb="20">
      <t>シツモン</t>
    </rPh>
    <rPh sb="21" eb="22">
      <t>ウ</t>
    </rPh>
    <rPh sb="23" eb="24">
      <t>ツ</t>
    </rPh>
    <rPh sb="35" eb="37">
      <t>カモク</t>
    </rPh>
    <rPh sb="42" eb="43">
      <t>ツウ</t>
    </rPh>
    <rPh sb="45" eb="47">
      <t>シツモン</t>
    </rPh>
    <rPh sb="48" eb="49">
      <t>ウ</t>
    </rPh>
    <rPh sb="50" eb="51">
      <t>ツ</t>
    </rPh>
    <rPh sb="58" eb="60">
      <t>タントウ</t>
    </rPh>
    <rPh sb="62" eb="64">
      <t>ジョウキン</t>
    </rPh>
    <rPh sb="64" eb="66">
      <t>キョウイン</t>
    </rPh>
    <rPh sb="75" eb="77">
      <t>チュウシン</t>
    </rPh>
    <rPh sb="78" eb="80">
      <t>タイメン</t>
    </rPh>
    <rPh sb="82" eb="84">
      <t>シツモン</t>
    </rPh>
    <rPh sb="85" eb="86">
      <t>ウ</t>
    </rPh>
    <rPh sb="87" eb="88">
      <t>ツ</t>
    </rPh>
    <rPh sb="96" eb="98">
      <t>ホンガク</t>
    </rPh>
    <rPh sb="105" eb="107">
      <t>キキ</t>
    </rPh>
    <rPh sb="122" eb="124">
      <t>ガクセイ</t>
    </rPh>
    <rPh sb="152" eb="154">
      <t>ガクシュウ</t>
    </rPh>
    <rPh sb="155" eb="156">
      <t>サマタ</t>
    </rPh>
    <rPh sb="159" eb="161">
      <t>ハンイ</t>
    </rPh>
    <rPh sb="165" eb="166">
      <t>カン</t>
    </rPh>
    <rPh sb="172" eb="174">
      <t>カイケツ</t>
    </rPh>
    <rPh sb="175" eb="176">
      <t>オコナ</t>
    </rPh>
    <phoneticPr fontId="1"/>
  </si>
  <si>
    <t>本教育プログラムを修了した学生が卒業するのは令和7年度末が初めてとなり、進路についても今後判明する状況である。</t>
    <rPh sb="0" eb="1">
      <t>ホン</t>
    </rPh>
    <rPh sb="1" eb="3">
      <t>キョウイク</t>
    </rPh>
    <rPh sb="9" eb="11">
      <t>シュウリョウ</t>
    </rPh>
    <rPh sb="13" eb="15">
      <t>ガクセイ</t>
    </rPh>
    <rPh sb="16" eb="18">
      <t>ソツギョウ</t>
    </rPh>
    <rPh sb="22" eb="24">
      <t>レイワ</t>
    </rPh>
    <rPh sb="25" eb="27">
      <t>ネンド</t>
    </rPh>
    <rPh sb="27" eb="28">
      <t>マツ</t>
    </rPh>
    <rPh sb="29" eb="30">
      <t>ハジ</t>
    </rPh>
    <rPh sb="36" eb="38">
      <t>シンロ</t>
    </rPh>
    <rPh sb="43" eb="45">
      <t>コンゴ</t>
    </rPh>
    <rPh sb="45" eb="47">
      <t>ハンメイ</t>
    </rPh>
    <rPh sb="49" eb="51">
      <t>ジョウキョウ</t>
    </rPh>
    <phoneticPr fontId="1"/>
  </si>
  <si>
    <t>数理・データサイエンス・AI教育推進ワーキンググループおよび教務・学生課において本プログラムの履修・単位修得状況を分析している。令和6年度終了時点で、総合ビジネス・情報学科および生活プロデュース学科の学生が受講できる「情報リテラシー（データサイエンス入門）」が終了している。単位修得率は87.9%（203/231名）であった。このうち、開講期中または期後に休学もしくは退学した学生を除くと単位修得率は98.5%（203/206名）となる。</t>
    <rPh sb="64" eb="66">
      <t>レイワ</t>
    </rPh>
    <rPh sb="67" eb="69">
      <t>ネンド</t>
    </rPh>
    <rPh sb="69" eb="71">
      <t>シュウリョウ</t>
    </rPh>
    <rPh sb="71" eb="73">
      <t>ジテン</t>
    </rPh>
    <rPh sb="75" eb="77">
      <t>ソウゴウ</t>
    </rPh>
    <rPh sb="82" eb="84">
      <t>ジョウホウ</t>
    </rPh>
    <rPh sb="84" eb="86">
      <t>ガッカ</t>
    </rPh>
    <rPh sb="89" eb="91">
      <t>セイカツ</t>
    </rPh>
    <rPh sb="97" eb="99">
      <t>ガッカ</t>
    </rPh>
    <rPh sb="100" eb="102">
      <t>ガクセイ</t>
    </rPh>
    <rPh sb="103" eb="105">
      <t>ジュコウ</t>
    </rPh>
    <rPh sb="109" eb="111">
      <t>ジョウホウ</t>
    </rPh>
    <rPh sb="125" eb="127">
      <t>ニュウモン</t>
    </rPh>
    <rPh sb="130" eb="132">
      <t>シュウリョウ</t>
    </rPh>
    <rPh sb="137" eb="139">
      <t>タンイ</t>
    </rPh>
    <rPh sb="139" eb="141">
      <t>シュウトク</t>
    </rPh>
    <rPh sb="141" eb="142">
      <t>リツ</t>
    </rPh>
    <rPh sb="156" eb="157">
      <t>メイ</t>
    </rPh>
    <rPh sb="168" eb="170">
      <t>カイコウ</t>
    </rPh>
    <rPh sb="170" eb="171">
      <t>キ</t>
    </rPh>
    <rPh sb="171" eb="172">
      <t>ナカ</t>
    </rPh>
    <phoneticPr fontId="1"/>
  </si>
  <si>
    <t>担当教員はLMSを通じて学生の進捗を常に把握しており、担当教員および数理・データサイエンス・AI教育推進ワーキンググループにおいて本プログラムの履修・単位修得状況を分析している。
「情報リテラシー（データサイエンス入門）」は、全15回（動画・課題提出・小テストを含む全94レクチャー）のオンデマンド科目であり、LMSへのログイン状況、動画閲覧状況、課題提出状況を教員が常にモニタリングし、進捗の芳しくない学生にはメール等でリマインドした。学修成果を確認する小テストを25件設け、テストをクリアしない限り先のレクチャーに進めない仕様としているため、全レクチャーに取り組んだ学生は一定の学修成果を有していると考えられる。</t>
    <rPh sb="0" eb="2">
      <t>タントウ</t>
    </rPh>
    <rPh sb="2" eb="4">
      <t>キョウイン</t>
    </rPh>
    <rPh sb="9" eb="10">
      <t>ツウ</t>
    </rPh>
    <rPh sb="12" eb="14">
      <t>ガクセイ</t>
    </rPh>
    <rPh sb="15" eb="17">
      <t>シンチョク</t>
    </rPh>
    <rPh sb="18" eb="19">
      <t>ツネ</t>
    </rPh>
    <rPh sb="20" eb="22">
      <t>ハアク</t>
    </rPh>
    <rPh sb="27" eb="29">
      <t>タントウ</t>
    </rPh>
    <rPh sb="29" eb="31">
      <t>キョウイン</t>
    </rPh>
    <rPh sb="91" eb="93">
      <t>ジョウホウ</t>
    </rPh>
    <rPh sb="107" eb="109">
      <t>ニュウモン</t>
    </rPh>
    <rPh sb="113" eb="114">
      <t>ゼン</t>
    </rPh>
    <rPh sb="116" eb="117">
      <t>カイ</t>
    </rPh>
    <rPh sb="118" eb="120">
      <t>ドウガ</t>
    </rPh>
    <rPh sb="121" eb="123">
      <t>カダイ</t>
    </rPh>
    <rPh sb="123" eb="125">
      <t>テイシュツ</t>
    </rPh>
    <rPh sb="126" eb="127">
      <t>ショウ</t>
    </rPh>
    <rPh sb="131" eb="132">
      <t>フク</t>
    </rPh>
    <rPh sb="133" eb="134">
      <t>ゼン</t>
    </rPh>
    <rPh sb="149" eb="151">
      <t>カモク</t>
    </rPh>
    <rPh sb="164" eb="166">
      <t>ジョウキョウ</t>
    </rPh>
    <rPh sb="167" eb="169">
      <t>ドウガ</t>
    </rPh>
    <rPh sb="169" eb="171">
      <t>エツラン</t>
    </rPh>
    <rPh sb="171" eb="173">
      <t>ジョウキョウ</t>
    </rPh>
    <rPh sb="174" eb="176">
      <t>カダイ</t>
    </rPh>
    <rPh sb="176" eb="178">
      <t>テイシュツ</t>
    </rPh>
    <rPh sb="178" eb="180">
      <t>ジョウキョウ</t>
    </rPh>
    <rPh sb="181" eb="183">
      <t>キョウイン</t>
    </rPh>
    <rPh sb="184" eb="185">
      <t>ツネ</t>
    </rPh>
    <rPh sb="194" eb="196">
      <t>シンチョク</t>
    </rPh>
    <rPh sb="197" eb="198">
      <t>カンバ</t>
    </rPh>
    <rPh sb="202" eb="204">
      <t>ガクセイ</t>
    </rPh>
    <rPh sb="209" eb="210">
      <t>トウ</t>
    </rPh>
    <rPh sb="219" eb="221">
      <t>ガクシュウ</t>
    </rPh>
    <rPh sb="221" eb="223">
      <t>セイカ</t>
    </rPh>
    <rPh sb="224" eb="226">
      <t>カクニン</t>
    </rPh>
    <rPh sb="228" eb="229">
      <t>ショウ</t>
    </rPh>
    <rPh sb="235" eb="236">
      <t>ケン</t>
    </rPh>
    <rPh sb="236" eb="237">
      <t>モウ</t>
    </rPh>
    <rPh sb="249" eb="250">
      <t>カギ</t>
    </rPh>
    <rPh sb="251" eb="252">
      <t>サキ</t>
    </rPh>
    <rPh sb="259" eb="260">
      <t>スス</t>
    </rPh>
    <rPh sb="263" eb="265">
      <t>シヨウ</t>
    </rPh>
    <rPh sb="273" eb="274">
      <t>ゼン</t>
    </rPh>
    <rPh sb="280" eb="281">
      <t>ト</t>
    </rPh>
    <rPh sb="282" eb="283">
      <t>ク</t>
    </rPh>
    <rPh sb="285" eb="287">
      <t>ガクセイ</t>
    </rPh>
    <rPh sb="288" eb="290">
      <t>イッテイ</t>
    </rPh>
    <rPh sb="291" eb="293">
      <t>ガクシュウ</t>
    </rPh>
    <rPh sb="293" eb="295">
      <t>セイカ</t>
    </rPh>
    <rPh sb="296" eb="297">
      <t>ユウ</t>
    </rPh>
    <rPh sb="302" eb="303">
      <t>カンガ</t>
    </rPh>
    <phoneticPr fontId="1"/>
  </si>
  <si>
    <t>教務・学生課において本教育プログラム受講者全員に対して授業改善アンケートを実施している。また、リベラルアーツセンターにおいて、オンデマンド科目の受講スタイルに関するアンケートを実施している。数理・データサイエンス・AI教育推進ワーキンググループにおいて各アンケート結果を分析している。
令和6年度の「情報リテラシー（データサイエンス入門）」においては、授業改善アンケートの設問「この授業の目的とする知識や技能、考え方が身についたか」「この授業を通じて自分が以前より成長できたか」において、4段階評価で肯定的な意見が、それぞれ92%を超える結果となった。学生の自己評価として、各自が内容を理解できたと考えられる。</t>
    <rPh sb="126" eb="127">
      <t>カク</t>
    </rPh>
    <rPh sb="132" eb="134">
      <t>ケッカ</t>
    </rPh>
    <rPh sb="135" eb="137">
      <t>ブンセキ</t>
    </rPh>
    <rPh sb="245" eb="247">
      <t>ダンカイ</t>
    </rPh>
    <rPh sb="247" eb="249">
      <t>ヒョウカ</t>
    </rPh>
    <rPh sb="250" eb="253">
      <t>コウテイテキ</t>
    </rPh>
    <rPh sb="254" eb="256">
      <t>イケン</t>
    </rPh>
    <rPh sb="266" eb="267">
      <t>コ</t>
    </rPh>
    <rPh sb="276" eb="278">
      <t>ガクセイ</t>
    </rPh>
    <rPh sb="279" eb="281">
      <t>ジコ</t>
    </rPh>
    <rPh sb="281" eb="283">
      <t>ヒョウカ</t>
    </rPh>
    <rPh sb="287" eb="289">
      <t>カクジ</t>
    </rPh>
    <rPh sb="290" eb="292">
      <t>ナイヨウ</t>
    </rPh>
    <rPh sb="293" eb="295">
      <t>リカイ</t>
    </rPh>
    <rPh sb="299" eb="300">
      <t>カンガダンカイヒョウカ</t>
    </rPh>
    <phoneticPr fontId="1"/>
  </si>
  <si>
    <t>本学卒業生がターゲットとする就職先の内、事務職やSEはもとより、人と人とのコミュニケーションが重要視される接客業や保育の現場においても、本プログラムの学修内容が重要視されている。過去の来店データに基づく顧客との対面コミュニケーションの円滑化や、午睡センサーを利用した園児の安全確保など、質の高いサービス提供の事例が増えつつある。生成AI関連技術の急速な発展も注視しつつ、学生にとって有益な情報を提供できるようプログラムの内容を、数理・データサイエンス・AI教育推進ワーキンググループにおいて継続点検する。</t>
    <rPh sb="0" eb="2">
      <t>ホンガク</t>
    </rPh>
    <rPh sb="2" eb="5">
      <t>ソツギョウセイ</t>
    </rPh>
    <rPh sb="14" eb="16">
      <t>シュウショク</t>
    </rPh>
    <rPh sb="16" eb="17">
      <t>サキ</t>
    </rPh>
    <rPh sb="18" eb="19">
      <t>ウチ</t>
    </rPh>
    <rPh sb="20" eb="22">
      <t>ジム</t>
    </rPh>
    <rPh sb="22" eb="23">
      <t>ショク</t>
    </rPh>
    <rPh sb="32" eb="33">
      <t>ヒト</t>
    </rPh>
    <rPh sb="34" eb="35">
      <t>ヒト</t>
    </rPh>
    <rPh sb="47" eb="50">
      <t>ジュウヨウシ</t>
    </rPh>
    <rPh sb="53" eb="56">
      <t>セッキャクギョウ</t>
    </rPh>
    <rPh sb="57" eb="59">
      <t>ホイク</t>
    </rPh>
    <rPh sb="60" eb="62">
      <t>ゲンバ</t>
    </rPh>
    <rPh sb="68" eb="69">
      <t>ホン</t>
    </rPh>
    <rPh sb="75" eb="77">
      <t>ガクシュウ</t>
    </rPh>
    <rPh sb="77" eb="79">
      <t>ナイヨウ</t>
    </rPh>
    <rPh sb="80" eb="83">
      <t>ジュウヨウシ</t>
    </rPh>
    <rPh sb="89" eb="91">
      <t>カコ</t>
    </rPh>
    <rPh sb="92" eb="94">
      <t>ライテン</t>
    </rPh>
    <rPh sb="98" eb="99">
      <t>モト</t>
    </rPh>
    <rPh sb="101" eb="103">
      <t>コキャク</t>
    </rPh>
    <rPh sb="105" eb="107">
      <t>タイメン</t>
    </rPh>
    <rPh sb="117" eb="120">
      <t>エンカツカ</t>
    </rPh>
    <rPh sb="122" eb="124">
      <t>ゴスイ</t>
    </rPh>
    <rPh sb="129" eb="131">
      <t>リヨウ</t>
    </rPh>
    <rPh sb="133" eb="135">
      <t>エンジ</t>
    </rPh>
    <rPh sb="136" eb="138">
      <t>アンゼン</t>
    </rPh>
    <rPh sb="138" eb="140">
      <t>カクホ</t>
    </rPh>
    <rPh sb="143" eb="144">
      <t>シツ</t>
    </rPh>
    <rPh sb="145" eb="146">
      <t>タカ</t>
    </rPh>
    <rPh sb="151" eb="153">
      <t>テイキョウ</t>
    </rPh>
    <rPh sb="154" eb="156">
      <t>ジレイ</t>
    </rPh>
    <rPh sb="157" eb="158">
      <t>フ</t>
    </rPh>
    <rPh sb="164" eb="166">
      <t>セイセイ</t>
    </rPh>
    <rPh sb="168" eb="170">
      <t>カンレン</t>
    </rPh>
    <rPh sb="170" eb="172">
      <t>ギジュツ</t>
    </rPh>
    <rPh sb="173" eb="175">
      <t>キュウソク</t>
    </rPh>
    <rPh sb="176" eb="178">
      <t>ハッテン</t>
    </rPh>
    <rPh sb="179" eb="181">
      <t>チュウシ</t>
    </rPh>
    <rPh sb="185" eb="187">
      <t>ガクセイ</t>
    </rPh>
    <rPh sb="191" eb="193">
      <t>ユウエキ</t>
    </rPh>
    <rPh sb="194" eb="196">
      <t>ジョウホウ</t>
    </rPh>
    <rPh sb="197" eb="199">
      <t>テイキョウ</t>
    </rPh>
    <rPh sb="210" eb="212">
      <t>ナイヨウ</t>
    </rPh>
    <phoneticPr fontId="1"/>
  </si>
  <si>
    <t>オンデマンド科目においては、授業設計段階から学外のインストラクショナルデザイナーに協力を仰ぎ動画制作や課題設定を構成した。受講スタイルに関するアンケートから、オンデマンド形式に関して79.5%の肯定的な意見が得られた。授業改善アンケート等で得られる情報や、本教育プログラム以外の授業内容・スタイルも参考にし、分かりやすさの観点から授業およびプログラムを、数理・データサイエンス・AI教育推進ワーキンググループにおいて継続点検する。</t>
    <rPh sb="6" eb="8">
      <t>カモク</t>
    </rPh>
    <rPh sb="14" eb="16">
      <t>ジュギョウ</t>
    </rPh>
    <rPh sb="16" eb="18">
      <t>セッケイ</t>
    </rPh>
    <rPh sb="18" eb="20">
      <t>ダンカイ</t>
    </rPh>
    <rPh sb="22" eb="24">
      <t>ガクガイ</t>
    </rPh>
    <rPh sb="41" eb="43">
      <t>キョウリョク</t>
    </rPh>
    <rPh sb="44" eb="45">
      <t>アオ</t>
    </rPh>
    <rPh sb="46" eb="48">
      <t>ドウガ</t>
    </rPh>
    <rPh sb="48" eb="50">
      <t>セイサク</t>
    </rPh>
    <rPh sb="51" eb="53">
      <t>カダイ</t>
    </rPh>
    <rPh sb="53" eb="55">
      <t>セッテイ</t>
    </rPh>
    <rPh sb="56" eb="58">
      <t>コウセイ</t>
    </rPh>
    <rPh sb="87" eb="88">
      <t>カン</t>
    </rPh>
    <rPh sb="96" eb="99">
      <t>コウテイテキ</t>
    </rPh>
    <rPh sb="100" eb="102">
      <t>イケン</t>
    </rPh>
    <rPh sb="103" eb="104">
      <t>エ</t>
    </rPh>
    <rPh sb="210" eb="212">
      <t>テンケン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</si>
</sst>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pplyAlignment="1">
      <alignment horizontal="center" vertical="center"/>
    </xf>
    <xf numFmtId="9" fontId="2" fillId="0" borderId="45" xfId="0" applyNumberFormat="1" applyFont="1" applyBorder="1" applyAlignment="1">
      <alignment vertical="center" shrinkToFit="1"/>
    </xf>
    <xf numFmtId="0" fontId="3" fillId="2" borderId="37" xfId="0" applyFont="1" applyFill="1" applyBorder="1" applyAlignment="1">
      <alignment vertical="center" shrinkToFit="1"/>
    </xf>
    <xf numFmtId="0" fontId="3" fillId="2" borderId="38" xfId="0" applyFont="1" applyFill="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49" fontId="13" fillId="0" borderId="29" xfId="0" applyNumberFormat="1" applyFont="1" applyBorder="1" applyAlignment="1">
      <alignment horizontal="left" vertical="center" wrapText="1"/>
    </xf>
    <xf numFmtId="49" fontId="13" fillId="0" borderId="31" xfId="0" applyNumberFormat="1" applyFont="1" applyBorder="1" applyAlignment="1">
      <alignment horizontal="left" vertical="center" wrapText="1"/>
    </xf>
    <xf numFmtId="49" fontId="13" fillId="0" borderId="30" xfId="0" applyNumberFormat="1" applyFont="1" applyBorder="1" applyAlignment="1">
      <alignment horizontal="left" vertical="center" wrapText="1"/>
    </xf>
    <xf numFmtId="49" fontId="13" fillId="0" borderId="32" xfId="0" applyNumberFormat="1" applyFont="1" applyBorder="1" applyAlignment="1">
      <alignment horizontal="left" vertical="center" wrapText="1"/>
    </xf>
    <xf numFmtId="49" fontId="13" fillId="0" borderId="33" xfId="0" applyNumberFormat="1" applyFont="1" applyBorder="1" applyAlignment="1">
      <alignment horizontal="left" vertical="center" wrapText="1"/>
    </xf>
    <xf numFmtId="49" fontId="13" fillId="0" borderId="34" xfId="0" applyNumberFormat="1" applyFont="1" applyBorder="1" applyAlignment="1">
      <alignment horizontal="left" vertical="center" wrapText="1"/>
    </xf>
    <xf numFmtId="49" fontId="13" fillId="0" borderId="18" xfId="0" applyNumberFormat="1" applyFont="1" applyBorder="1" applyAlignment="1">
      <alignment horizontal="left" vertical="center" wrapText="1"/>
    </xf>
    <xf numFmtId="49" fontId="13" fillId="0" borderId="19" xfId="0" applyNumberFormat="1" applyFont="1" applyBorder="1" applyAlignment="1">
      <alignment horizontal="left" vertical="center" wrapText="1"/>
    </xf>
    <xf numFmtId="49" fontId="13" fillId="0" borderId="17" xfId="0" applyNumberFormat="1"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1" fillId="0" borderId="7" xfId="0" applyFont="1" applyBorder="1" applyAlignment="1">
      <alignment vertical="top" wrapText="1"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center" wrapText="1" shrinkToFit="1"/>
    </xf>
    <xf numFmtId="0" fontId="11" fillId="0" borderId="19" xfId="0" applyFont="1" applyBorder="1" applyAlignment="1">
      <alignment vertical="center" wrapText="1" shrinkToFit="1"/>
    </xf>
    <xf numFmtId="0" fontId="11" fillId="0" borderId="17" xfId="0" applyFont="1" applyBorder="1" applyAlignment="1">
      <alignment vertical="center"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2" fillId="0" borderId="18" xfId="0" applyFont="1" applyBorder="1" applyAlignment="1">
      <alignment vertical="center" wrapText="1" shrinkToFit="1"/>
    </xf>
    <xf numFmtId="0" fontId="2" fillId="0" borderId="19" xfId="0" applyFont="1" applyBorder="1" applyAlignment="1">
      <alignment vertical="center" wrapText="1" shrinkToFit="1"/>
    </xf>
    <xf numFmtId="0" fontId="2" fillId="0" borderId="17" xfId="0" applyFont="1" applyBorder="1" applyAlignment="1">
      <alignment vertical="center"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center" wrapText="1" shrinkToFit="1"/>
    </xf>
    <xf numFmtId="0" fontId="2" fillId="0" borderId="33" xfId="0" applyFont="1" applyBorder="1" applyAlignment="1">
      <alignment vertical="center" wrapText="1" shrinkToFit="1"/>
    </xf>
    <xf numFmtId="0" fontId="2" fillId="0" borderId="34" xfId="0" applyFont="1" applyBorder="1" applyAlignment="1">
      <alignment vertical="center"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center" wrapText="1" shrinkToFit="1"/>
    </xf>
    <xf numFmtId="0" fontId="11" fillId="0" borderId="12" xfId="0" applyFont="1" applyBorder="1" applyAlignment="1">
      <alignment vertical="center" wrapText="1" shrinkToFit="1"/>
    </xf>
    <xf numFmtId="0" fontId="11" fillId="0" borderId="33" xfId="0" applyFont="1" applyBorder="1" applyAlignment="1">
      <alignment vertical="center" wrapText="1" shrinkToFit="1"/>
    </xf>
    <xf numFmtId="0" fontId="11" fillId="0" borderId="34" xfId="0" applyFont="1" applyBorder="1" applyAlignment="1">
      <alignment vertical="center"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center" wrapText="1" shrinkToFit="1"/>
    </xf>
    <xf numFmtId="0" fontId="2" fillId="0" borderId="38" xfId="0" applyFont="1" applyBorder="1" applyAlignment="1">
      <alignment vertical="center"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7" zoomScale="85" zoomScaleNormal="100" zoomScaleSheetLayoutView="85" workbookViewId="0">
      <selection activeCell="E22" sqref="E22:I22"/>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6" t="s">
        <v>148</v>
      </c>
      <c r="U1" s="126"/>
      <c r="V1" s="2" t="s">
        <v>93</v>
      </c>
    </row>
    <row r="2" spans="1:24" ht="18.75" customHeight="1" x14ac:dyDescent="0.2">
      <c r="B2" s="16" t="s">
        <v>92</v>
      </c>
      <c r="C2" s="96" t="s">
        <v>143</v>
      </c>
      <c r="D2" s="97"/>
      <c r="E2" s="97"/>
      <c r="F2" s="97"/>
      <c r="G2" s="97"/>
      <c r="H2" s="97"/>
      <c r="I2" s="97"/>
      <c r="J2" s="98"/>
      <c r="K2" s="17"/>
      <c r="L2" s="6"/>
      <c r="M2" s="6"/>
      <c r="N2" s="6"/>
      <c r="O2" s="6"/>
      <c r="P2" s="6"/>
      <c r="Q2" s="6"/>
      <c r="R2" s="6"/>
      <c r="S2" s="6"/>
      <c r="T2" s="6"/>
      <c r="U2" s="6"/>
    </row>
    <row r="3" spans="1:24" ht="18.75" customHeight="1" x14ac:dyDescent="0.2">
      <c r="B3" s="16" t="s">
        <v>87</v>
      </c>
      <c r="C3" s="96" t="s">
        <v>144</v>
      </c>
      <c r="D3" s="97"/>
      <c r="E3" s="97"/>
      <c r="F3" s="97"/>
      <c r="G3" s="97"/>
      <c r="H3" s="97"/>
      <c r="I3" s="97"/>
      <c r="J3" s="98"/>
      <c r="K3" s="17"/>
      <c r="L3" s="6"/>
      <c r="M3" s="6"/>
      <c r="N3" s="6"/>
      <c r="O3" s="6"/>
      <c r="P3" s="6"/>
      <c r="Q3" s="6"/>
      <c r="R3" s="6"/>
      <c r="S3" s="6"/>
      <c r="T3" s="6"/>
      <c r="U3" s="6"/>
    </row>
    <row r="4" spans="1:24" ht="15" customHeight="1" x14ac:dyDescent="0.2">
      <c r="L4" s="17"/>
      <c r="M4" s="70"/>
      <c r="N4" s="70"/>
      <c r="O4" s="70"/>
      <c r="P4" s="70"/>
      <c r="Q4" s="70"/>
      <c r="R4" s="70"/>
      <c r="S4" s="70"/>
      <c r="T4" s="70"/>
      <c r="U4" s="70"/>
    </row>
    <row r="5" spans="1:24" ht="18" customHeight="1" x14ac:dyDescent="0.2">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39" t="s">
        <v>116</v>
      </c>
      <c r="M7" s="140"/>
      <c r="N7" s="140"/>
      <c r="O7" s="140"/>
      <c r="P7" s="140"/>
      <c r="Q7" s="140"/>
      <c r="R7" s="140"/>
      <c r="S7" s="140"/>
      <c r="T7" s="140"/>
      <c r="U7" s="14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7"/>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2" t="s">
        <v>151</v>
      </c>
      <c r="C11" s="143"/>
      <c r="D11" s="143"/>
      <c r="E11" s="143"/>
      <c r="F11" s="143"/>
      <c r="G11" s="143"/>
      <c r="H11" s="143"/>
      <c r="I11" s="143"/>
      <c r="J11" s="143"/>
      <c r="K11" s="143"/>
      <c r="L11" s="143"/>
      <c r="M11" s="143"/>
      <c r="N11" s="143"/>
      <c r="O11" s="143"/>
      <c r="P11" s="143"/>
      <c r="Q11" s="143"/>
      <c r="R11" s="143"/>
      <c r="S11" s="143"/>
      <c r="T11" s="143"/>
      <c r="U11" s="144"/>
    </row>
    <row r="12" spans="1:24" ht="18" customHeight="1" x14ac:dyDescent="0.2">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7"/>
      <c r="F14" s="17"/>
      <c r="G14" s="17"/>
      <c r="H14" s="17"/>
      <c r="I14" s="17"/>
      <c r="J14" s="17"/>
      <c r="K14" s="17"/>
      <c r="L14" s="71"/>
      <c r="M14" s="71"/>
      <c r="N14" s="71"/>
      <c r="O14" s="71"/>
      <c r="P14" s="71"/>
      <c r="Q14" s="71"/>
      <c r="R14" s="71"/>
      <c r="S14" s="71"/>
      <c r="T14" s="71"/>
      <c r="U14" s="71"/>
    </row>
    <row r="15" spans="1:24" ht="18" customHeight="1" x14ac:dyDescent="0.2">
      <c r="B15" s="108" t="s">
        <v>152</v>
      </c>
      <c r="C15" s="109"/>
      <c r="D15" s="109"/>
      <c r="E15" s="109"/>
      <c r="F15" s="109"/>
      <c r="G15" s="109"/>
      <c r="H15" s="109"/>
      <c r="I15" s="109"/>
      <c r="J15" s="109"/>
      <c r="K15" s="109"/>
      <c r="L15" s="109"/>
      <c r="M15" s="109"/>
      <c r="N15" s="109"/>
      <c r="O15" s="109"/>
      <c r="P15" s="109"/>
      <c r="Q15" s="109"/>
      <c r="R15" s="109"/>
      <c r="S15" s="109"/>
      <c r="T15" s="109"/>
      <c r="U15" s="110"/>
      <c r="X15" s="1" t="s">
        <v>88</v>
      </c>
    </row>
    <row r="16" spans="1:24" ht="18" customHeight="1" x14ac:dyDescent="0.2">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2">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2">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2">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149999999999999" customHeight="1" x14ac:dyDescent="0.2">
      <c r="B22" s="1" t="s">
        <v>119</v>
      </c>
      <c r="E22" s="72">
        <v>1</v>
      </c>
      <c r="F22" s="1" t="s">
        <v>106</v>
      </c>
      <c r="H22" s="18">
        <v>2</v>
      </c>
      <c r="I22" s="3" t="s">
        <v>107</v>
      </c>
      <c r="J22" s="3"/>
      <c r="K22" s="17"/>
      <c r="M22" s="17" t="s">
        <v>103</v>
      </c>
      <c r="N22" s="136" t="s">
        <v>122</v>
      </c>
      <c r="O22" s="137"/>
      <c r="P22" s="137"/>
      <c r="Q22" s="137"/>
      <c r="R22" s="137"/>
      <c r="S22" s="137"/>
      <c r="T22" s="137"/>
      <c r="U22" s="13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95</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47</v>
      </c>
      <c r="C26" s="97"/>
      <c r="D26" s="97"/>
      <c r="E26" s="97"/>
      <c r="F26" s="98"/>
      <c r="G26" s="56" t="s">
        <v>72</v>
      </c>
      <c r="H26" s="57" t="s">
        <v>75</v>
      </c>
      <c r="I26" s="58" t="s">
        <v>50</v>
      </c>
      <c r="J26" s="58" t="s">
        <v>53</v>
      </c>
      <c r="K26" s="96" t="s">
        <v>47</v>
      </c>
      <c r="L26" s="97"/>
      <c r="M26" s="97"/>
      <c r="N26" s="97"/>
      <c r="O26" s="97"/>
      <c r="P26" s="97"/>
      <c r="Q26" s="98"/>
      <c r="R26" s="56" t="s">
        <v>72</v>
      </c>
      <c r="S26" s="57" t="s">
        <v>75</v>
      </c>
      <c r="T26" s="58" t="s">
        <v>50</v>
      </c>
      <c r="U26" s="58" t="s">
        <v>53</v>
      </c>
    </row>
    <row r="27" spans="1:24" ht="18" customHeight="1" x14ac:dyDescent="0.2">
      <c r="B27" s="90" t="s">
        <v>145</v>
      </c>
      <c r="C27" s="91"/>
      <c r="D27" s="91"/>
      <c r="E27" s="91"/>
      <c r="F27" s="92"/>
      <c r="G27" s="59">
        <v>2</v>
      </c>
      <c r="H27" s="59" t="s">
        <v>147</v>
      </c>
      <c r="I27" s="59" t="s">
        <v>147</v>
      </c>
      <c r="J27" s="59" t="s">
        <v>147</v>
      </c>
      <c r="K27" s="90"/>
      <c r="L27" s="91"/>
      <c r="M27" s="91"/>
      <c r="N27" s="91"/>
      <c r="O27" s="91"/>
      <c r="P27" s="91"/>
      <c r="Q27" s="92"/>
      <c r="R27" s="59"/>
      <c r="S27" s="59"/>
      <c r="T27" s="59"/>
      <c r="U27" s="59"/>
    </row>
    <row r="28" spans="1:24" ht="18" customHeight="1" x14ac:dyDescent="0.2">
      <c r="B28" s="83"/>
      <c r="C28" s="84"/>
      <c r="D28" s="84"/>
      <c r="E28" s="84"/>
      <c r="F28" s="85"/>
      <c r="G28" s="60"/>
      <c r="H28" s="60"/>
      <c r="I28" s="60"/>
      <c r="J28" s="60"/>
      <c r="K28" s="83"/>
      <c r="L28" s="84"/>
      <c r="M28" s="84"/>
      <c r="N28" s="84"/>
      <c r="O28" s="84"/>
      <c r="P28" s="84"/>
      <c r="Q28" s="85"/>
      <c r="R28" s="60"/>
      <c r="S28" s="60"/>
      <c r="T28" s="60"/>
      <c r="U28" s="60"/>
    </row>
    <row r="29" spans="1:24" ht="18" customHeight="1" x14ac:dyDescent="0.2">
      <c r="B29" s="83"/>
      <c r="C29" s="84"/>
      <c r="D29" s="84"/>
      <c r="E29" s="84"/>
      <c r="F29" s="85"/>
      <c r="G29" s="60"/>
      <c r="H29" s="60"/>
      <c r="I29" s="60"/>
      <c r="J29" s="60"/>
      <c r="K29" s="83"/>
      <c r="L29" s="84"/>
      <c r="M29" s="84"/>
      <c r="N29" s="84"/>
      <c r="O29" s="84"/>
      <c r="P29" s="84"/>
      <c r="Q29" s="85"/>
      <c r="R29" s="60"/>
      <c r="S29" s="60"/>
      <c r="T29" s="60"/>
      <c r="U29" s="60"/>
    </row>
    <row r="30" spans="1:24" ht="18" customHeight="1" x14ac:dyDescent="0.2">
      <c r="B30" s="83"/>
      <c r="C30" s="84"/>
      <c r="D30" s="84"/>
      <c r="E30" s="84"/>
      <c r="F30" s="85"/>
      <c r="G30" s="60"/>
      <c r="H30" s="60"/>
      <c r="I30" s="60"/>
      <c r="J30" s="60"/>
      <c r="K30" s="83"/>
      <c r="L30" s="84"/>
      <c r="M30" s="84"/>
      <c r="N30" s="84"/>
      <c r="O30" s="84"/>
      <c r="P30" s="84"/>
      <c r="Q30" s="85"/>
      <c r="R30" s="60"/>
      <c r="S30" s="60"/>
      <c r="T30" s="60"/>
      <c r="U30" s="60"/>
    </row>
    <row r="31" spans="1:24" ht="18" customHeight="1" x14ac:dyDescent="0.2">
      <c r="B31" s="83"/>
      <c r="C31" s="84"/>
      <c r="D31" s="84"/>
      <c r="E31" s="84"/>
      <c r="F31" s="85"/>
      <c r="G31" s="60"/>
      <c r="H31" s="60"/>
      <c r="I31" s="60"/>
      <c r="J31" s="60"/>
      <c r="K31" s="83"/>
      <c r="L31" s="84"/>
      <c r="M31" s="84"/>
      <c r="N31" s="84"/>
      <c r="O31" s="84"/>
      <c r="P31" s="84"/>
      <c r="Q31" s="85"/>
      <c r="R31" s="60"/>
      <c r="S31" s="60"/>
      <c r="T31" s="60"/>
      <c r="U31" s="60"/>
    </row>
    <row r="32" spans="1:24" ht="18" customHeight="1" x14ac:dyDescent="0.2">
      <c r="A32" s="3"/>
      <c r="B32" s="83"/>
      <c r="C32" s="84"/>
      <c r="D32" s="84"/>
      <c r="E32" s="84"/>
      <c r="F32" s="85"/>
      <c r="G32" s="60"/>
      <c r="H32" s="60"/>
      <c r="I32" s="60"/>
      <c r="J32" s="60"/>
      <c r="K32" s="83"/>
      <c r="L32" s="84"/>
      <c r="M32" s="84"/>
      <c r="N32" s="84"/>
      <c r="O32" s="84"/>
      <c r="P32" s="84"/>
      <c r="Q32" s="85"/>
      <c r="R32" s="60"/>
      <c r="S32" s="60"/>
      <c r="T32" s="60"/>
      <c r="U32" s="60"/>
    </row>
    <row r="33" spans="1:21" ht="18" customHeight="1" x14ac:dyDescent="0.2">
      <c r="A33" s="3"/>
      <c r="B33" s="86"/>
      <c r="C33" s="87"/>
      <c r="D33" s="87"/>
      <c r="E33" s="87"/>
      <c r="F33" s="88"/>
      <c r="G33" s="61"/>
      <c r="H33" s="61"/>
      <c r="I33" s="62"/>
      <c r="J33" s="62"/>
      <c r="K33" s="86"/>
      <c r="L33" s="87"/>
      <c r="M33" s="87"/>
      <c r="N33" s="87"/>
      <c r="O33" s="87"/>
      <c r="P33" s="87"/>
      <c r="Q33" s="88"/>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96</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47</v>
      </c>
      <c r="C37" s="97"/>
      <c r="D37" s="97"/>
      <c r="E37" s="97"/>
      <c r="F37" s="98"/>
      <c r="G37" s="56" t="s">
        <v>72</v>
      </c>
      <c r="H37" s="57" t="s">
        <v>75</v>
      </c>
      <c r="I37" s="58" t="s">
        <v>63</v>
      </c>
      <c r="J37" s="58" t="s">
        <v>64</v>
      </c>
      <c r="K37" s="96" t="s">
        <v>47</v>
      </c>
      <c r="L37" s="97"/>
      <c r="M37" s="97"/>
      <c r="N37" s="97"/>
      <c r="O37" s="97"/>
      <c r="P37" s="97"/>
      <c r="Q37" s="98"/>
      <c r="R37" s="56" t="s">
        <v>72</v>
      </c>
      <c r="S37" s="57" t="s">
        <v>75</v>
      </c>
      <c r="T37" s="58" t="s">
        <v>63</v>
      </c>
      <c r="U37" s="58" t="s">
        <v>64</v>
      </c>
    </row>
    <row r="38" spans="1:21" ht="18" customHeight="1" x14ac:dyDescent="0.2">
      <c r="B38" s="90" t="s">
        <v>145</v>
      </c>
      <c r="C38" s="91"/>
      <c r="D38" s="91"/>
      <c r="E38" s="91"/>
      <c r="F38" s="92"/>
      <c r="G38" s="59">
        <v>2</v>
      </c>
      <c r="H38" s="59" t="s">
        <v>147</v>
      </c>
      <c r="I38" s="59" t="s">
        <v>147</v>
      </c>
      <c r="J38" s="59" t="s">
        <v>147</v>
      </c>
      <c r="K38" s="90"/>
      <c r="L38" s="91"/>
      <c r="M38" s="91"/>
      <c r="N38" s="91"/>
      <c r="O38" s="91"/>
      <c r="P38" s="91"/>
      <c r="Q38" s="92"/>
      <c r="R38" s="59"/>
      <c r="S38" s="59"/>
      <c r="T38" s="59"/>
      <c r="U38" s="59"/>
    </row>
    <row r="39" spans="1:21" ht="18" customHeight="1" x14ac:dyDescent="0.2">
      <c r="B39" s="83"/>
      <c r="C39" s="84"/>
      <c r="D39" s="84"/>
      <c r="E39" s="84"/>
      <c r="F39" s="85"/>
      <c r="G39" s="60"/>
      <c r="H39" s="60"/>
      <c r="I39" s="60"/>
      <c r="J39" s="60"/>
      <c r="K39" s="83"/>
      <c r="L39" s="84"/>
      <c r="M39" s="84"/>
      <c r="N39" s="84"/>
      <c r="O39" s="84"/>
      <c r="P39" s="84"/>
      <c r="Q39" s="85"/>
      <c r="R39" s="60"/>
      <c r="S39" s="60"/>
      <c r="T39" s="60"/>
      <c r="U39" s="60"/>
    </row>
    <row r="40" spans="1:21" ht="18" customHeight="1" x14ac:dyDescent="0.2">
      <c r="B40" s="83"/>
      <c r="C40" s="84"/>
      <c r="D40" s="84"/>
      <c r="E40" s="84"/>
      <c r="F40" s="85"/>
      <c r="G40" s="60"/>
      <c r="H40" s="60"/>
      <c r="I40" s="60"/>
      <c r="J40" s="60"/>
      <c r="K40" s="83"/>
      <c r="L40" s="84"/>
      <c r="M40" s="84"/>
      <c r="N40" s="84"/>
      <c r="O40" s="84"/>
      <c r="P40" s="84"/>
      <c r="Q40" s="85"/>
      <c r="R40" s="60"/>
      <c r="S40" s="60"/>
      <c r="T40" s="60"/>
      <c r="U40" s="60"/>
    </row>
    <row r="41" spans="1:21" ht="18" customHeight="1" x14ac:dyDescent="0.2">
      <c r="B41" s="83"/>
      <c r="C41" s="84"/>
      <c r="D41" s="84"/>
      <c r="E41" s="84"/>
      <c r="F41" s="85"/>
      <c r="G41" s="60"/>
      <c r="H41" s="60"/>
      <c r="I41" s="60"/>
      <c r="J41" s="60"/>
      <c r="K41" s="83"/>
      <c r="L41" s="84"/>
      <c r="M41" s="84"/>
      <c r="N41" s="84"/>
      <c r="O41" s="84"/>
      <c r="P41" s="84"/>
      <c r="Q41" s="85"/>
      <c r="R41" s="60"/>
      <c r="S41" s="60"/>
      <c r="T41" s="60"/>
      <c r="U41" s="60"/>
    </row>
    <row r="42" spans="1:21" ht="18" customHeight="1" x14ac:dyDescent="0.2">
      <c r="B42" s="83"/>
      <c r="C42" s="84"/>
      <c r="D42" s="84"/>
      <c r="E42" s="84"/>
      <c r="F42" s="85"/>
      <c r="G42" s="60"/>
      <c r="H42" s="60"/>
      <c r="I42" s="60"/>
      <c r="J42" s="60"/>
      <c r="K42" s="83"/>
      <c r="L42" s="84"/>
      <c r="M42" s="84"/>
      <c r="N42" s="84"/>
      <c r="O42" s="84"/>
      <c r="P42" s="84"/>
      <c r="Q42" s="85"/>
      <c r="R42" s="60"/>
      <c r="S42" s="60"/>
      <c r="T42" s="60"/>
      <c r="U42" s="60"/>
    </row>
    <row r="43" spans="1:21" ht="18" customHeight="1" x14ac:dyDescent="0.2">
      <c r="B43" s="83"/>
      <c r="C43" s="84"/>
      <c r="D43" s="84"/>
      <c r="E43" s="84"/>
      <c r="F43" s="85"/>
      <c r="G43" s="60"/>
      <c r="H43" s="60"/>
      <c r="I43" s="60"/>
      <c r="J43" s="60"/>
      <c r="K43" s="83"/>
      <c r="L43" s="84"/>
      <c r="M43" s="84"/>
      <c r="N43" s="84"/>
      <c r="O43" s="84"/>
      <c r="P43" s="84"/>
      <c r="Q43" s="85"/>
      <c r="R43" s="60"/>
      <c r="S43" s="60"/>
      <c r="T43" s="60"/>
      <c r="U43" s="60"/>
    </row>
    <row r="44" spans="1:21" ht="18" customHeight="1" x14ac:dyDescent="0.2">
      <c r="B44" s="86"/>
      <c r="C44" s="87"/>
      <c r="D44" s="87"/>
      <c r="E44" s="87"/>
      <c r="F44" s="88"/>
      <c r="G44" s="61"/>
      <c r="H44" s="61"/>
      <c r="I44" s="62"/>
      <c r="J44" s="62"/>
      <c r="K44" s="86"/>
      <c r="L44" s="87"/>
      <c r="M44" s="87"/>
      <c r="N44" s="87"/>
      <c r="O44" s="87"/>
      <c r="P44" s="87"/>
      <c r="Q44" s="88"/>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97</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47</v>
      </c>
      <c r="C48" s="97"/>
      <c r="D48" s="97"/>
      <c r="E48" s="97"/>
      <c r="F48" s="98"/>
      <c r="G48" s="56" t="s">
        <v>72</v>
      </c>
      <c r="H48" s="57" t="s">
        <v>75</v>
      </c>
      <c r="I48" s="58" t="s">
        <v>65</v>
      </c>
      <c r="J48" s="58" t="s">
        <v>66</v>
      </c>
      <c r="K48" s="96" t="s">
        <v>47</v>
      </c>
      <c r="L48" s="97"/>
      <c r="M48" s="97"/>
      <c r="N48" s="97"/>
      <c r="O48" s="97"/>
      <c r="P48" s="97"/>
      <c r="Q48" s="98"/>
      <c r="R48" s="56" t="s">
        <v>72</v>
      </c>
      <c r="S48" s="57" t="s">
        <v>75</v>
      </c>
      <c r="T48" s="58" t="s">
        <v>65</v>
      </c>
      <c r="U48" s="58" t="s">
        <v>66</v>
      </c>
    </row>
    <row r="49" spans="1:21" ht="18" customHeight="1" x14ac:dyDescent="0.2">
      <c r="A49" s="3"/>
      <c r="B49" s="90" t="s">
        <v>145</v>
      </c>
      <c r="C49" s="91"/>
      <c r="D49" s="91"/>
      <c r="E49" s="91"/>
      <c r="F49" s="92"/>
      <c r="G49" s="59">
        <v>2</v>
      </c>
      <c r="H49" s="59" t="s">
        <v>147</v>
      </c>
      <c r="I49" s="59" t="s">
        <v>147</v>
      </c>
      <c r="J49" s="59" t="s">
        <v>147</v>
      </c>
      <c r="K49" s="90"/>
      <c r="L49" s="91"/>
      <c r="M49" s="91"/>
      <c r="N49" s="91"/>
      <c r="O49" s="91"/>
      <c r="P49" s="91"/>
      <c r="Q49" s="92"/>
      <c r="R49" s="59"/>
      <c r="S49" s="59"/>
      <c r="T49" s="59"/>
      <c r="U49" s="59"/>
    </row>
    <row r="50" spans="1:21" ht="18" customHeight="1" x14ac:dyDescent="0.2">
      <c r="A50" s="3"/>
      <c r="B50" s="83"/>
      <c r="C50" s="84"/>
      <c r="D50" s="84"/>
      <c r="E50" s="84"/>
      <c r="F50" s="85"/>
      <c r="G50" s="60"/>
      <c r="H50" s="60"/>
      <c r="I50" s="60"/>
      <c r="J50" s="60"/>
      <c r="K50" s="83"/>
      <c r="L50" s="84"/>
      <c r="M50" s="84"/>
      <c r="N50" s="84"/>
      <c r="O50" s="84"/>
      <c r="P50" s="84"/>
      <c r="Q50" s="85"/>
      <c r="R50" s="60"/>
      <c r="S50" s="60"/>
      <c r="T50" s="60"/>
      <c r="U50" s="60"/>
    </row>
    <row r="51" spans="1:21" ht="18" customHeight="1" x14ac:dyDescent="0.2">
      <c r="A51" s="3"/>
      <c r="B51" s="83"/>
      <c r="C51" s="84"/>
      <c r="D51" s="84"/>
      <c r="E51" s="84"/>
      <c r="F51" s="85"/>
      <c r="G51" s="60"/>
      <c r="H51" s="60"/>
      <c r="I51" s="60"/>
      <c r="J51" s="60"/>
      <c r="K51" s="83"/>
      <c r="L51" s="84"/>
      <c r="M51" s="84"/>
      <c r="N51" s="84"/>
      <c r="O51" s="84"/>
      <c r="P51" s="84"/>
      <c r="Q51" s="85"/>
      <c r="R51" s="60"/>
      <c r="S51" s="60"/>
      <c r="T51" s="60"/>
      <c r="U51" s="60"/>
    </row>
    <row r="52" spans="1:21" ht="18" customHeight="1" x14ac:dyDescent="0.2">
      <c r="A52" s="3"/>
      <c r="B52" s="83"/>
      <c r="C52" s="84"/>
      <c r="D52" s="84"/>
      <c r="E52" s="84"/>
      <c r="F52" s="85"/>
      <c r="G52" s="60"/>
      <c r="H52" s="60"/>
      <c r="I52" s="60"/>
      <c r="J52" s="60"/>
      <c r="K52" s="83"/>
      <c r="L52" s="84"/>
      <c r="M52" s="84"/>
      <c r="N52" s="84"/>
      <c r="O52" s="84"/>
      <c r="P52" s="84"/>
      <c r="Q52" s="85"/>
      <c r="R52" s="60"/>
      <c r="S52" s="60"/>
      <c r="T52" s="60"/>
      <c r="U52" s="60"/>
    </row>
    <row r="53" spans="1:21" ht="18" customHeight="1" x14ac:dyDescent="0.2">
      <c r="A53" s="3"/>
      <c r="B53" s="83"/>
      <c r="C53" s="84"/>
      <c r="D53" s="84"/>
      <c r="E53" s="84"/>
      <c r="F53" s="85"/>
      <c r="G53" s="60"/>
      <c r="H53" s="60"/>
      <c r="I53" s="60"/>
      <c r="J53" s="60"/>
      <c r="K53" s="83"/>
      <c r="L53" s="84"/>
      <c r="M53" s="84"/>
      <c r="N53" s="84"/>
      <c r="O53" s="84"/>
      <c r="P53" s="84"/>
      <c r="Q53" s="85"/>
      <c r="R53" s="60"/>
      <c r="S53" s="60"/>
      <c r="T53" s="60"/>
      <c r="U53" s="60"/>
    </row>
    <row r="54" spans="1:21" ht="18" customHeight="1" x14ac:dyDescent="0.2">
      <c r="A54" s="3"/>
      <c r="B54" s="83"/>
      <c r="C54" s="84"/>
      <c r="D54" s="84"/>
      <c r="E54" s="84"/>
      <c r="F54" s="85"/>
      <c r="G54" s="60"/>
      <c r="H54" s="60"/>
      <c r="I54" s="60"/>
      <c r="J54" s="60"/>
      <c r="K54" s="83"/>
      <c r="L54" s="84"/>
      <c r="M54" s="84"/>
      <c r="N54" s="84"/>
      <c r="O54" s="84"/>
      <c r="P54" s="84"/>
      <c r="Q54" s="85"/>
      <c r="R54" s="60"/>
      <c r="S54" s="60"/>
      <c r="T54" s="60"/>
      <c r="U54" s="60"/>
    </row>
    <row r="55" spans="1:21" ht="18" customHeight="1" x14ac:dyDescent="0.2">
      <c r="A55" s="3"/>
      <c r="B55" s="86"/>
      <c r="C55" s="87"/>
      <c r="D55" s="87"/>
      <c r="E55" s="87"/>
      <c r="F55" s="88"/>
      <c r="G55" s="61"/>
      <c r="H55" s="61"/>
      <c r="I55" s="62"/>
      <c r="J55" s="62"/>
      <c r="K55" s="86"/>
      <c r="L55" s="87"/>
      <c r="M55" s="87"/>
      <c r="N55" s="87"/>
      <c r="O55" s="87"/>
      <c r="P55" s="87"/>
      <c r="Q55" s="88"/>
      <c r="R55" s="61"/>
      <c r="S55" s="61"/>
      <c r="T55" s="62"/>
      <c r="U55" s="62"/>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98</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47</v>
      </c>
      <c r="C59" s="97"/>
      <c r="D59" s="97"/>
      <c r="E59" s="97"/>
      <c r="F59" s="98"/>
      <c r="G59" s="56" t="s">
        <v>72</v>
      </c>
      <c r="H59" s="57" t="s">
        <v>75</v>
      </c>
      <c r="I59" s="58" t="s">
        <v>52</v>
      </c>
      <c r="J59" s="58" t="s">
        <v>54</v>
      </c>
      <c r="K59" s="96" t="s">
        <v>47</v>
      </c>
      <c r="L59" s="97"/>
      <c r="M59" s="97"/>
      <c r="N59" s="97"/>
      <c r="O59" s="97"/>
      <c r="P59" s="97"/>
      <c r="Q59" s="98"/>
      <c r="R59" s="56" t="s">
        <v>72</v>
      </c>
      <c r="S59" s="57" t="s">
        <v>75</v>
      </c>
      <c r="T59" s="58" t="s">
        <v>52</v>
      </c>
      <c r="U59" s="58" t="s">
        <v>54</v>
      </c>
    </row>
    <row r="60" spans="1:21" ht="18" customHeight="1" x14ac:dyDescent="0.2">
      <c r="A60" s="3"/>
      <c r="B60" s="90" t="s">
        <v>145</v>
      </c>
      <c r="C60" s="91"/>
      <c r="D60" s="91"/>
      <c r="E60" s="91"/>
      <c r="F60" s="92"/>
      <c r="G60" s="59">
        <v>2</v>
      </c>
      <c r="H60" s="59" t="s">
        <v>147</v>
      </c>
      <c r="I60" s="59" t="s">
        <v>147</v>
      </c>
      <c r="J60" s="59" t="s">
        <v>147</v>
      </c>
      <c r="K60" s="90"/>
      <c r="L60" s="91"/>
      <c r="M60" s="91"/>
      <c r="N60" s="91"/>
      <c r="O60" s="91"/>
      <c r="P60" s="91"/>
      <c r="Q60" s="92"/>
      <c r="R60" s="59"/>
      <c r="S60" s="59"/>
      <c r="T60" s="59"/>
      <c r="U60" s="59"/>
    </row>
    <row r="61" spans="1:21" ht="18" customHeight="1" x14ac:dyDescent="0.2">
      <c r="A61" s="3"/>
      <c r="B61" s="83"/>
      <c r="C61" s="84"/>
      <c r="D61" s="84"/>
      <c r="E61" s="84"/>
      <c r="F61" s="85"/>
      <c r="G61" s="60"/>
      <c r="H61" s="60"/>
      <c r="I61" s="60"/>
      <c r="J61" s="60"/>
      <c r="K61" s="83"/>
      <c r="L61" s="84"/>
      <c r="M61" s="84"/>
      <c r="N61" s="84"/>
      <c r="O61" s="84"/>
      <c r="P61" s="84"/>
      <c r="Q61" s="85"/>
      <c r="R61" s="60"/>
      <c r="S61" s="60"/>
      <c r="T61" s="60"/>
      <c r="U61" s="60"/>
    </row>
    <row r="62" spans="1:21" ht="18" customHeight="1" x14ac:dyDescent="0.2">
      <c r="A62" s="3"/>
      <c r="B62" s="83"/>
      <c r="C62" s="84"/>
      <c r="D62" s="84"/>
      <c r="E62" s="84"/>
      <c r="F62" s="85"/>
      <c r="G62" s="60"/>
      <c r="H62" s="60"/>
      <c r="I62" s="60"/>
      <c r="J62" s="60"/>
      <c r="K62" s="83"/>
      <c r="L62" s="84"/>
      <c r="M62" s="84"/>
      <c r="N62" s="84"/>
      <c r="O62" s="84"/>
      <c r="P62" s="84"/>
      <c r="Q62" s="85"/>
      <c r="R62" s="60"/>
      <c r="S62" s="60"/>
      <c r="T62" s="60"/>
      <c r="U62" s="60"/>
    </row>
    <row r="63" spans="1:21" ht="18" customHeight="1" x14ac:dyDescent="0.2">
      <c r="A63" s="3"/>
      <c r="B63" s="83"/>
      <c r="C63" s="84"/>
      <c r="D63" s="84"/>
      <c r="E63" s="84"/>
      <c r="F63" s="85"/>
      <c r="G63" s="60"/>
      <c r="H63" s="60"/>
      <c r="I63" s="60"/>
      <c r="J63" s="60"/>
      <c r="K63" s="83"/>
      <c r="L63" s="84"/>
      <c r="M63" s="84"/>
      <c r="N63" s="84"/>
      <c r="O63" s="84"/>
      <c r="P63" s="84"/>
      <c r="Q63" s="85"/>
      <c r="R63" s="60"/>
      <c r="S63" s="60"/>
      <c r="T63" s="60"/>
      <c r="U63" s="60"/>
    </row>
    <row r="64" spans="1:21" ht="18" customHeight="1" x14ac:dyDescent="0.2">
      <c r="A64" s="3"/>
      <c r="B64" s="83"/>
      <c r="C64" s="84"/>
      <c r="D64" s="84"/>
      <c r="E64" s="84"/>
      <c r="F64" s="85"/>
      <c r="G64" s="60"/>
      <c r="H64" s="60"/>
      <c r="I64" s="60"/>
      <c r="J64" s="60"/>
      <c r="K64" s="83"/>
      <c r="L64" s="84"/>
      <c r="M64" s="84"/>
      <c r="N64" s="84"/>
      <c r="O64" s="84"/>
      <c r="P64" s="84"/>
      <c r="Q64" s="85"/>
      <c r="R64" s="60"/>
      <c r="S64" s="60"/>
      <c r="T64" s="60"/>
      <c r="U64" s="60"/>
    </row>
    <row r="65" spans="1:27" ht="18" customHeight="1" x14ac:dyDescent="0.2">
      <c r="A65" s="3"/>
      <c r="B65" s="83"/>
      <c r="C65" s="84"/>
      <c r="D65" s="84"/>
      <c r="E65" s="84"/>
      <c r="F65" s="85"/>
      <c r="G65" s="60"/>
      <c r="H65" s="60"/>
      <c r="I65" s="60"/>
      <c r="J65" s="60"/>
      <c r="K65" s="83"/>
      <c r="L65" s="84"/>
      <c r="M65" s="84"/>
      <c r="N65" s="84"/>
      <c r="O65" s="84"/>
      <c r="P65" s="84"/>
      <c r="Q65" s="85"/>
      <c r="R65" s="60"/>
      <c r="S65" s="60"/>
      <c r="T65" s="60"/>
      <c r="U65" s="60"/>
    </row>
    <row r="66" spans="1:27" ht="18" customHeight="1" x14ac:dyDescent="0.2">
      <c r="A66" s="3"/>
      <c r="B66" s="86"/>
      <c r="C66" s="87"/>
      <c r="D66" s="87"/>
      <c r="E66" s="87"/>
      <c r="F66" s="88"/>
      <c r="G66" s="61"/>
      <c r="H66" s="61"/>
      <c r="I66" s="62"/>
      <c r="J66" s="62"/>
      <c r="K66" s="86"/>
      <c r="L66" s="87"/>
      <c r="M66" s="87"/>
      <c r="N66" s="87"/>
      <c r="O66" s="87"/>
      <c r="P66" s="87"/>
      <c r="Q66" s="88"/>
      <c r="R66" s="61"/>
      <c r="S66" s="61"/>
      <c r="T66" s="62"/>
      <c r="U66" s="62"/>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99</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47</v>
      </c>
      <c r="C70" s="97"/>
      <c r="D70" s="97"/>
      <c r="E70" s="97"/>
      <c r="F70" s="56" t="s">
        <v>72</v>
      </c>
      <c r="G70" s="57" t="s">
        <v>75</v>
      </c>
      <c r="H70" s="58" t="s">
        <v>86</v>
      </c>
      <c r="I70" s="58" t="s">
        <v>67</v>
      </c>
      <c r="J70" s="58" t="s">
        <v>68</v>
      </c>
      <c r="K70" s="96" t="s">
        <v>47</v>
      </c>
      <c r="L70" s="97"/>
      <c r="M70" s="97"/>
      <c r="N70" s="97"/>
      <c r="O70" s="97"/>
      <c r="P70" s="98"/>
      <c r="Q70" s="56" t="s">
        <v>72</v>
      </c>
      <c r="R70" s="57" t="s">
        <v>75</v>
      </c>
      <c r="S70" s="58" t="s">
        <v>86</v>
      </c>
      <c r="T70" s="58" t="s">
        <v>67</v>
      </c>
      <c r="U70" s="58" t="s">
        <v>68</v>
      </c>
    </row>
    <row r="71" spans="1:27" ht="18" customHeight="1" x14ac:dyDescent="0.2">
      <c r="A71" s="3"/>
      <c r="B71" s="90" t="s">
        <v>145</v>
      </c>
      <c r="C71" s="91"/>
      <c r="D71" s="91"/>
      <c r="E71" s="92"/>
      <c r="F71" s="59">
        <v>2</v>
      </c>
      <c r="G71" s="59" t="s">
        <v>147</v>
      </c>
      <c r="H71" s="59" t="s">
        <v>147</v>
      </c>
      <c r="I71" s="59" t="s">
        <v>147</v>
      </c>
      <c r="J71" s="59" t="s">
        <v>147</v>
      </c>
      <c r="K71" s="90"/>
      <c r="L71" s="91"/>
      <c r="M71" s="91"/>
      <c r="N71" s="91"/>
      <c r="O71" s="91"/>
      <c r="P71" s="92"/>
      <c r="Q71" s="59"/>
      <c r="R71" s="59"/>
      <c r="S71" s="59"/>
      <c r="T71" s="59"/>
      <c r="U71" s="59"/>
    </row>
    <row r="72" spans="1:27" ht="18" customHeight="1" x14ac:dyDescent="0.2">
      <c r="A72" s="3"/>
      <c r="B72" s="83"/>
      <c r="C72" s="84"/>
      <c r="D72" s="84"/>
      <c r="E72" s="85"/>
      <c r="F72" s="60"/>
      <c r="G72" s="60"/>
      <c r="H72" s="60"/>
      <c r="I72" s="60"/>
      <c r="J72" s="60"/>
      <c r="K72" s="83"/>
      <c r="L72" s="84"/>
      <c r="M72" s="84"/>
      <c r="N72" s="84"/>
      <c r="O72" s="84"/>
      <c r="P72" s="85"/>
      <c r="Q72" s="60"/>
      <c r="R72" s="60"/>
      <c r="S72" s="60"/>
      <c r="T72" s="60"/>
      <c r="U72" s="60"/>
    </row>
    <row r="73" spans="1:27" ht="18" customHeight="1" x14ac:dyDescent="0.2">
      <c r="A73" s="3"/>
      <c r="B73" s="83"/>
      <c r="C73" s="84"/>
      <c r="D73" s="84"/>
      <c r="E73" s="84"/>
      <c r="F73" s="60"/>
      <c r="G73" s="60"/>
      <c r="H73" s="60"/>
      <c r="I73" s="60"/>
      <c r="J73" s="60"/>
      <c r="K73" s="83"/>
      <c r="L73" s="84"/>
      <c r="M73" s="84"/>
      <c r="N73" s="84"/>
      <c r="O73" s="84"/>
      <c r="P73" s="85"/>
      <c r="Q73" s="60"/>
      <c r="R73" s="60"/>
      <c r="S73" s="60"/>
      <c r="T73" s="60"/>
      <c r="U73" s="60"/>
    </row>
    <row r="74" spans="1:27" ht="18" customHeight="1" x14ac:dyDescent="0.2">
      <c r="A74" s="3"/>
      <c r="B74" s="83"/>
      <c r="C74" s="84"/>
      <c r="D74" s="84"/>
      <c r="E74" s="84"/>
      <c r="F74" s="60"/>
      <c r="G74" s="60"/>
      <c r="H74" s="60"/>
      <c r="I74" s="60"/>
      <c r="J74" s="60"/>
      <c r="K74" s="83"/>
      <c r="L74" s="84"/>
      <c r="M74" s="84"/>
      <c r="N74" s="84"/>
      <c r="O74" s="84"/>
      <c r="P74" s="85"/>
      <c r="Q74" s="60"/>
      <c r="R74" s="60"/>
      <c r="S74" s="60"/>
      <c r="T74" s="60"/>
      <c r="U74" s="60"/>
    </row>
    <row r="75" spans="1:27" ht="18" customHeight="1" x14ac:dyDescent="0.2">
      <c r="A75" s="3"/>
      <c r="B75" s="83"/>
      <c r="C75" s="84"/>
      <c r="D75" s="84"/>
      <c r="E75" s="84"/>
      <c r="F75" s="60"/>
      <c r="G75" s="60"/>
      <c r="H75" s="60"/>
      <c r="I75" s="60"/>
      <c r="J75" s="60"/>
      <c r="K75" s="83"/>
      <c r="L75" s="84"/>
      <c r="M75" s="84"/>
      <c r="N75" s="84"/>
      <c r="O75" s="84"/>
      <c r="P75" s="85"/>
      <c r="Q75" s="60"/>
      <c r="R75" s="60"/>
      <c r="S75" s="60"/>
      <c r="T75" s="60"/>
      <c r="U75" s="60"/>
    </row>
    <row r="76" spans="1:27" ht="18" customHeight="1" x14ac:dyDescent="0.2">
      <c r="A76" s="3"/>
      <c r="B76" s="83"/>
      <c r="C76" s="84"/>
      <c r="D76" s="84"/>
      <c r="E76" s="84"/>
      <c r="F76" s="60"/>
      <c r="G76" s="60"/>
      <c r="H76" s="60"/>
      <c r="I76" s="60"/>
      <c r="J76" s="60"/>
      <c r="K76" s="83"/>
      <c r="L76" s="84"/>
      <c r="M76" s="84"/>
      <c r="N76" s="84"/>
      <c r="O76" s="84"/>
      <c r="P76" s="85"/>
      <c r="Q76" s="60"/>
      <c r="R76" s="60"/>
      <c r="S76" s="60"/>
      <c r="T76" s="60"/>
      <c r="U76" s="60"/>
    </row>
    <row r="77" spans="1:27" ht="18" customHeight="1" x14ac:dyDescent="0.2">
      <c r="A77" s="3"/>
      <c r="B77" s="86"/>
      <c r="C77" s="87"/>
      <c r="D77" s="87"/>
      <c r="E77" s="87"/>
      <c r="F77" s="61"/>
      <c r="G77" s="61"/>
      <c r="H77" s="62"/>
      <c r="I77" s="62"/>
      <c r="J77" s="62"/>
      <c r="K77" s="86"/>
      <c r="L77" s="87"/>
      <c r="M77" s="87"/>
      <c r="N77" s="87"/>
      <c r="O77" s="87"/>
      <c r="P77" s="88"/>
      <c r="Q77" s="61"/>
      <c r="R77" s="61"/>
      <c r="S77" s="62"/>
      <c r="T77" s="62"/>
      <c r="U77" s="62"/>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6" t="s">
        <v>47</v>
      </c>
      <c r="C80" s="97"/>
      <c r="D80" s="97"/>
      <c r="E80" s="97"/>
      <c r="F80" s="98"/>
      <c r="G80" s="96" t="s">
        <v>73</v>
      </c>
      <c r="H80" s="97"/>
      <c r="I80" s="97"/>
      <c r="J80" s="98"/>
      <c r="K80" s="104" t="s">
        <v>47</v>
      </c>
      <c r="L80" s="105"/>
      <c r="M80" s="105"/>
      <c r="N80" s="105"/>
      <c r="O80" s="105"/>
      <c r="P80" s="105"/>
      <c r="Q80" s="106"/>
      <c r="R80" s="96" t="s">
        <v>73</v>
      </c>
      <c r="S80" s="97"/>
      <c r="T80" s="97"/>
      <c r="U80" s="98"/>
      <c r="AA80" s="1" t="s">
        <v>138</v>
      </c>
    </row>
    <row r="81" spans="1:27" ht="18" customHeight="1" x14ac:dyDescent="0.2">
      <c r="A81" s="3"/>
      <c r="B81" s="90"/>
      <c r="C81" s="91"/>
      <c r="D81" s="91"/>
      <c r="E81" s="91"/>
      <c r="F81" s="92"/>
      <c r="G81" s="93"/>
      <c r="H81" s="94"/>
      <c r="I81" s="94"/>
      <c r="J81" s="95"/>
      <c r="K81" s="90"/>
      <c r="L81" s="91"/>
      <c r="M81" s="91"/>
      <c r="N81" s="91"/>
      <c r="O81" s="91"/>
      <c r="P81" s="91"/>
      <c r="Q81" s="92"/>
      <c r="R81" s="93"/>
      <c r="S81" s="94"/>
      <c r="T81" s="94"/>
      <c r="U81" s="95"/>
      <c r="AA81" s="1" t="s">
        <v>131</v>
      </c>
    </row>
    <row r="82" spans="1:27" ht="18" customHeight="1" x14ac:dyDescent="0.2">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2">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2">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2">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2">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2">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4" t="s">
        <v>48</v>
      </c>
      <c r="C90" s="125"/>
      <c r="D90" s="96" t="s">
        <v>49</v>
      </c>
      <c r="E90" s="97"/>
      <c r="F90" s="97"/>
      <c r="G90" s="97"/>
      <c r="H90" s="97"/>
      <c r="I90" s="97"/>
      <c r="J90" s="97"/>
      <c r="K90" s="97"/>
      <c r="L90" s="97"/>
      <c r="M90" s="97"/>
      <c r="N90" s="97"/>
      <c r="O90" s="97"/>
      <c r="P90" s="97"/>
      <c r="Q90" s="97"/>
      <c r="R90" s="97"/>
      <c r="S90" s="97"/>
      <c r="T90" s="97"/>
      <c r="U90" s="98"/>
    </row>
    <row r="91" spans="1:27" ht="97.5" customHeight="1" x14ac:dyDescent="0.2">
      <c r="B91" s="99" t="s">
        <v>55</v>
      </c>
      <c r="C91" s="64" t="s">
        <v>50</v>
      </c>
      <c r="D91" s="130" t="s">
        <v>154</v>
      </c>
      <c r="E91" s="131"/>
      <c r="F91" s="131"/>
      <c r="G91" s="131"/>
      <c r="H91" s="131"/>
      <c r="I91" s="131"/>
      <c r="J91" s="131"/>
      <c r="K91" s="131"/>
      <c r="L91" s="131"/>
      <c r="M91" s="131"/>
      <c r="N91" s="131"/>
      <c r="O91" s="131"/>
      <c r="P91" s="131"/>
      <c r="Q91" s="131"/>
      <c r="R91" s="131"/>
      <c r="S91" s="131"/>
      <c r="T91" s="131"/>
      <c r="U91" s="132"/>
    </row>
    <row r="92" spans="1:27" ht="97.5" customHeight="1" x14ac:dyDescent="0.2">
      <c r="B92" s="123"/>
      <c r="C92" s="65" t="s">
        <v>69</v>
      </c>
      <c r="D92" s="127" t="s">
        <v>175</v>
      </c>
      <c r="E92" s="128"/>
      <c r="F92" s="128"/>
      <c r="G92" s="128"/>
      <c r="H92" s="128"/>
      <c r="I92" s="128"/>
      <c r="J92" s="128"/>
      <c r="K92" s="128"/>
      <c r="L92" s="128"/>
      <c r="M92" s="128"/>
      <c r="N92" s="128"/>
      <c r="O92" s="128"/>
      <c r="P92" s="128"/>
      <c r="Q92" s="128"/>
      <c r="R92" s="128"/>
      <c r="S92" s="128"/>
      <c r="T92" s="128"/>
      <c r="U92" s="129"/>
    </row>
    <row r="93" spans="1:27" ht="97.5" customHeight="1" x14ac:dyDescent="0.2">
      <c r="B93" s="99" t="s">
        <v>56</v>
      </c>
      <c r="C93" s="66" t="s">
        <v>63</v>
      </c>
      <c r="D93" s="130" t="s">
        <v>155</v>
      </c>
      <c r="E93" s="131"/>
      <c r="F93" s="131"/>
      <c r="G93" s="131"/>
      <c r="H93" s="131"/>
      <c r="I93" s="131"/>
      <c r="J93" s="131"/>
      <c r="K93" s="131"/>
      <c r="L93" s="131"/>
      <c r="M93" s="131"/>
      <c r="N93" s="131"/>
      <c r="O93" s="131"/>
      <c r="P93" s="131"/>
      <c r="Q93" s="131"/>
      <c r="R93" s="131"/>
      <c r="S93" s="131"/>
      <c r="T93" s="131"/>
      <c r="U93" s="132"/>
    </row>
    <row r="94" spans="1:27" ht="97.5" customHeight="1" x14ac:dyDescent="0.2">
      <c r="B94" s="100"/>
      <c r="C94" s="67" t="s">
        <v>64</v>
      </c>
      <c r="D94" s="127" t="s">
        <v>156</v>
      </c>
      <c r="E94" s="128"/>
      <c r="F94" s="128"/>
      <c r="G94" s="128"/>
      <c r="H94" s="128"/>
      <c r="I94" s="128"/>
      <c r="J94" s="128"/>
      <c r="K94" s="128"/>
      <c r="L94" s="128"/>
      <c r="M94" s="128"/>
      <c r="N94" s="128"/>
      <c r="O94" s="128"/>
      <c r="P94" s="128"/>
      <c r="Q94" s="128"/>
      <c r="R94" s="128"/>
      <c r="S94" s="128"/>
      <c r="T94" s="128"/>
      <c r="U94" s="129"/>
    </row>
    <row r="95" spans="1:27" ht="97.5" customHeight="1" x14ac:dyDescent="0.2">
      <c r="B95" s="99" t="s">
        <v>57</v>
      </c>
      <c r="C95" s="66" t="s">
        <v>65</v>
      </c>
      <c r="D95" s="130" t="s">
        <v>176</v>
      </c>
      <c r="E95" s="131"/>
      <c r="F95" s="131"/>
      <c r="G95" s="131"/>
      <c r="H95" s="131"/>
      <c r="I95" s="131"/>
      <c r="J95" s="131"/>
      <c r="K95" s="131"/>
      <c r="L95" s="131"/>
      <c r="M95" s="131"/>
      <c r="N95" s="131"/>
      <c r="O95" s="131"/>
      <c r="P95" s="131"/>
      <c r="Q95" s="131"/>
      <c r="R95" s="131"/>
      <c r="S95" s="131"/>
      <c r="T95" s="131"/>
      <c r="U95" s="132"/>
    </row>
    <row r="96" spans="1:27" ht="97.5" customHeight="1" x14ac:dyDescent="0.2">
      <c r="B96" s="100"/>
      <c r="C96" s="68" t="s">
        <v>66</v>
      </c>
      <c r="D96" s="127" t="s">
        <v>195</v>
      </c>
      <c r="E96" s="128"/>
      <c r="F96" s="128"/>
      <c r="G96" s="128"/>
      <c r="H96" s="128"/>
      <c r="I96" s="128"/>
      <c r="J96" s="128"/>
      <c r="K96" s="128"/>
      <c r="L96" s="128"/>
      <c r="M96" s="128"/>
      <c r="N96" s="128"/>
      <c r="O96" s="128"/>
      <c r="P96" s="128"/>
      <c r="Q96" s="128"/>
      <c r="R96" s="128"/>
      <c r="S96" s="128"/>
      <c r="T96" s="128"/>
      <c r="U96" s="129"/>
    </row>
    <row r="97" spans="1:21" ht="97.5" customHeight="1" x14ac:dyDescent="0.2">
      <c r="B97" s="99" t="s">
        <v>70</v>
      </c>
      <c r="C97" s="64" t="s">
        <v>52</v>
      </c>
      <c r="D97" s="130" t="s">
        <v>177</v>
      </c>
      <c r="E97" s="131"/>
      <c r="F97" s="131"/>
      <c r="G97" s="131"/>
      <c r="H97" s="131"/>
      <c r="I97" s="131"/>
      <c r="J97" s="131"/>
      <c r="K97" s="131"/>
      <c r="L97" s="131"/>
      <c r="M97" s="131"/>
      <c r="N97" s="131"/>
      <c r="O97" s="131"/>
      <c r="P97" s="131"/>
      <c r="Q97" s="131"/>
      <c r="R97" s="131"/>
      <c r="S97" s="131"/>
      <c r="T97" s="131"/>
      <c r="U97" s="132"/>
    </row>
    <row r="98" spans="1:21" ht="97" customHeight="1" x14ac:dyDescent="0.2">
      <c r="B98" s="100"/>
      <c r="C98" s="67" t="s">
        <v>54</v>
      </c>
      <c r="D98" s="127" t="s">
        <v>157</v>
      </c>
      <c r="E98" s="128"/>
      <c r="F98" s="128"/>
      <c r="G98" s="128"/>
      <c r="H98" s="128"/>
      <c r="I98" s="128"/>
      <c r="J98" s="128"/>
      <c r="K98" s="128"/>
      <c r="L98" s="128"/>
      <c r="M98" s="128"/>
      <c r="N98" s="128"/>
      <c r="O98" s="128"/>
      <c r="P98" s="128"/>
      <c r="Q98" s="128"/>
      <c r="R98" s="128"/>
      <c r="S98" s="128"/>
      <c r="T98" s="128"/>
      <c r="U98" s="129"/>
    </row>
    <row r="99" spans="1:21" ht="129" customHeight="1" x14ac:dyDescent="0.2">
      <c r="B99" s="99" t="s">
        <v>71</v>
      </c>
      <c r="C99" s="66" t="s">
        <v>51</v>
      </c>
      <c r="D99" s="130" t="s">
        <v>181</v>
      </c>
      <c r="E99" s="131"/>
      <c r="F99" s="131"/>
      <c r="G99" s="131"/>
      <c r="H99" s="131"/>
      <c r="I99" s="131"/>
      <c r="J99" s="131"/>
      <c r="K99" s="131"/>
      <c r="L99" s="131"/>
      <c r="M99" s="131"/>
      <c r="N99" s="131"/>
      <c r="O99" s="131"/>
      <c r="P99" s="131"/>
      <c r="Q99" s="131"/>
      <c r="R99" s="131"/>
      <c r="S99" s="131"/>
      <c r="T99" s="131"/>
      <c r="U99" s="132"/>
    </row>
    <row r="100" spans="1:21" ht="97.5" customHeight="1" x14ac:dyDescent="0.2">
      <c r="B100" s="123"/>
      <c r="C100" s="69" t="s">
        <v>67</v>
      </c>
      <c r="D100" s="133" t="s">
        <v>182</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2">
      <c r="B101" s="100"/>
      <c r="C101" s="68" t="s">
        <v>68</v>
      </c>
      <c r="D101" s="127" t="s">
        <v>183</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2"/>
    <row r="103" spans="1:21" ht="18.75" customHeight="1" x14ac:dyDescent="0.2">
      <c r="A103" s="1" t="s">
        <v>102</v>
      </c>
    </row>
    <row r="104" spans="1:21" ht="81.75" customHeight="1" x14ac:dyDescent="0.2">
      <c r="B104" s="117" t="s">
        <v>170</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2322-5E0F-3345-9C01-FD1A45759659}">
  <sheetPr>
    <pageSetUpPr fitToPage="1"/>
  </sheetPr>
  <dimension ref="A1:AA107"/>
  <sheetViews>
    <sheetView showZeros="0" view="pageBreakPreview" topLeftCell="A94" zoomScale="104" zoomScaleNormal="100" zoomScaleSheetLayoutView="104" workbookViewId="0">
      <selection activeCell="E22" sqref="E22:I22"/>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26" t="s">
        <v>153</v>
      </c>
      <c r="U1" s="126"/>
      <c r="V1" s="2" t="s">
        <v>93</v>
      </c>
    </row>
    <row r="2" spans="1:24" ht="18.75" customHeight="1" x14ac:dyDescent="0.2">
      <c r="B2" s="16" t="s">
        <v>92</v>
      </c>
      <c r="C2" s="96" t="s">
        <v>143</v>
      </c>
      <c r="D2" s="97"/>
      <c r="E2" s="97"/>
      <c r="F2" s="97"/>
      <c r="G2" s="97"/>
      <c r="H2" s="97"/>
      <c r="I2" s="97"/>
      <c r="J2" s="98"/>
      <c r="K2" s="17"/>
      <c r="L2" s="6"/>
      <c r="M2" s="6"/>
      <c r="N2" s="6"/>
      <c r="O2" s="6"/>
      <c r="P2" s="6"/>
      <c r="Q2" s="6"/>
      <c r="R2" s="6"/>
      <c r="S2" s="6"/>
      <c r="T2" s="6"/>
      <c r="U2" s="6"/>
    </row>
    <row r="3" spans="1:24" ht="18.75" customHeight="1" x14ac:dyDescent="0.2">
      <c r="B3" s="16" t="s">
        <v>87</v>
      </c>
      <c r="C3" s="96" t="s">
        <v>144</v>
      </c>
      <c r="D3" s="97"/>
      <c r="E3" s="97"/>
      <c r="F3" s="97"/>
      <c r="G3" s="97"/>
      <c r="H3" s="97"/>
      <c r="I3" s="97"/>
      <c r="J3" s="98"/>
      <c r="K3" s="17"/>
      <c r="L3" s="6"/>
      <c r="M3" s="6"/>
      <c r="N3" s="6"/>
      <c r="O3" s="6"/>
      <c r="P3" s="6"/>
      <c r="Q3" s="6"/>
      <c r="R3" s="6"/>
      <c r="S3" s="6"/>
      <c r="T3" s="6"/>
      <c r="U3" s="6"/>
    </row>
    <row r="4" spans="1:24" ht="15" customHeight="1" x14ac:dyDescent="0.2">
      <c r="L4" s="17"/>
      <c r="M4" s="70"/>
      <c r="N4" s="70"/>
      <c r="O4" s="70"/>
      <c r="P4" s="70"/>
      <c r="Q4" s="70"/>
      <c r="R4" s="70"/>
      <c r="S4" s="70"/>
      <c r="T4" s="70"/>
      <c r="U4" s="70"/>
    </row>
    <row r="5" spans="1:24" ht="18" customHeight="1" x14ac:dyDescent="0.2">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39" t="s">
        <v>116</v>
      </c>
      <c r="M7" s="140"/>
      <c r="N7" s="140"/>
      <c r="O7" s="140"/>
      <c r="P7" s="140"/>
      <c r="Q7" s="140"/>
      <c r="R7" s="140"/>
      <c r="S7" s="140"/>
      <c r="T7" s="140"/>
      <c r="U7" s="14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7"/>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2" t="s">
        <v>150</v>
      </c>
      <c r="C11" s="143"/>
      <c r="D11" s="143"/>
      <c r="E11" s="143"/>
      <c r="F11" s="143"/>
      <c r="G11" s="143"/>
      <c r="H11" s="143"/>
      <c r="I11" s="143"/>
      <c r="J11" s="143"/>
      <c r="K11" s="143"/>
      <c r="L11" s="143"/>
      <c r="M11" s="143"/>
      <c r="N11" s="143"/>
      <c r="O11" s="143"/>
      <c r="P11" s="143"/>
      <c r="Q11" s="143"/>
      <c r="R11" s="143"/>
      <c r="S11" s="143"/>
      <c r="T11" s="143"/>
      <c r="U11" s="144"/>
    </row>
    <row r="12" spans="1:24" ht="18" customHeight="1" x14ac:dyDescent="0.2">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7"/>
      <c r="F14" s="17"/>
      <c r="G14" s="17"/>
      <c r="H14" s="17"/>
      <c r="I14" s="17"/>
      <c r="J14" s="17"/>
      <c r="K14" s="17"/>
      <c r="L14" s="71"/>
      <c r="M14" s="71"/>
      <c r="N14" s="71"/>
      <c r="O14" s="71"/>
      <c r="P14" s="71"/>
      <c r="Q14" s="71"/>
      <c r="R14" s="71"/>
      <c r="S14" s="71"/>
      <c r="T14" s="71"/>
      <c r="U14" s="71"/>
    </row>
    <row r="15" spans="1:24" ht="18" customHeight="1" x14ac:dyDescent="0.2">
      <c r="B15" s="108" t="s">
        <v>149</v>
      </c>
      <c r="C15" s="109"/>
      <c r="D15" s="109"/>
      <c r="E15" s="109"/>
      <c r="F15" s="109"/>
      <c r="G15" s="109"/>
      <c r="H15" s="109"/>
      <c r="I15" s="109"/>
      <c r="J15" s="109"/>
      <c r="K15" s="109"/>
      <c r="L15" s="109"/>
      <c r="M15" s="109"/>
      <c r="N15" s="109"/>
      <c r="O15" s="109"/>
      <c r="P15" s="109"/>
      <c r="Q15" s="109"/>
      <c r="R15" s="109"/>
      <c r="S15" s="109"/>
      <c r="T15" s="109"/>
      <c r="U15" s="110"/>
      <c r="X15" s="1" t="s">
        <v>88</v>
      </c>
    </row>
    <row r="16" spans="1:24" ht="18" customHeight="1" x14ac:dyDescent="0.2">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2">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2">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2">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149999999999999" customHeight="1" x14ac:dyDescent="0.2">
      <c r="B22" s="1" t="s">
        <v>119</v>
      </c>
      <c r="E22" s="72">
        <v>1</v>
      </c>
      <c r="F22" s="1" t="s">
        <v>106</v>
      </c>
      <c r="H22" s="18">
        <v>1</v>
      </c>
      <c r="I22" s="3" t="s">
        <v>107</v>
      </c>
      <c r="J22" s="3"/>
      <c r="K22" s="17"/>
      <c r="M22" s="17" t="s">
        <v>103</v>
      </c>
      <c r="N22" s="136" t="s">
        <v>122</v>
      </c>
      <c r="O22" s="137"/>
      <c r="P22" s="137"/>
      <c r="Q22" s="137"/>
      <c r="R22" s="137"/>
      <c r="S22" s="137"/>
      <c r="T22" s="137"/>
      <c r="U22" s="13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95</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47</v>
      </c>
      <c r="C26" s="97"/>
      <c r="D26" s="97"/>
      <c r="E26" s="97"/>
      <c r="F26" s="98"/>
      <c r="G26" s="56" t="s">
        <v>72</v>
      </c>
      <c r="H26" s="57" t="s">
        <v>75</v>
      </c>
      <c r="I26" s="58" t="s">
        <v>50</v>
      </c>
      <c r="J26" s="58" t="s">
        <v>53</v>
      </c>
      <c r="K26" s="96" t="s">
        <v>47</v>
      </c>
      <c r="L26" s="97"/>
      <c r="M26" s="97"/>
      <c r="N26" s="97"/>
      <c r="O26" s="97"/>
      <c r="P26" s="97"/>
      <c r="Q26" s="98"/>
      <c r="R26" s="56" t="s">
        <v>72</v>
      </c>
      <c r="S26" s="57" t="s">
        <v>75</v>
      </c>
      <c r="T26" s="58" t="s">
        <v>50</v>
      </c>
      <c r="U26" s="58" t="s">
        <v>53</v>
      </c>
    </row>
    <row r="27" spans="1:24" ht="18" customHeight="1" x14ac:dyDescent="0.2">
      <c r="B27" s="83" t="s">
        <v>146</v>
      </c>
      <c r="C27" s="84"/>
      <c r="D27" s="84"/>
      <c r="E27" s="84"/>
      <c r="F27" s="85"/>
      <c r="G27" s="59">
        <v>1</v>
      </c>
      <c r="H27" s="59" t="s">
        <v>147</v>
      </c>
      <c r="I27" s="59" t="s">
        <v>147</v>
      </c>
      <c r="J27" s="59" t="s">
        <v>147</v>
      </c>
      <c r="K27" s="90"/>
      <c r="L27" s="91"/>
      <c r="M27" s="91"/>
      <c r="N27" s="91"/>
      <c r="O27" s="91"/>
      <c r="P27" s="91"/>
      <c r="Q27" s="92"/>
      <c r="R27" s="59"/>
      <c r="S27" s="59"/>
      <c r="T27" s="59"/>
      <c r="U27" s="59"/>
    </row>
    <row r="28" spans="1:24" ht="18" customHeight="1" x14ac:dyDescent="0.2">
      <c r="B28" s="83"/>
      <c r="C28" s="84"/>
      <c r="D28" s="84"/>
      <c r="E28" s="84"/>
      <c r="F28" s="85"/>
      <c r="G28" s="60"/>
      <c r="H28" s="60"/>
      <c r="I28" s="60"/>
      <c r="J28" s="60"/>
      <c r="K28" s="83"/>
      <c r="L28" s="84"/>
      <c r="M28" s="84"/>
      <c r="N28" s="84"/>
      <c r="O28" s="84"/>
      <c r="P28" s="84"/>
      <c r="Q28" s="85"/>
      <c r="R28" s="60"/>
      <c r="S28" s="60"/>
      <c r="T28" s="60"/>
      <c r="U28" s="60"/>
    </row>
    <row r="29" spans="1:24" ht="18" customHeight="1" x14ac:dyDescent="0.2">
      <c r="B29" s="83"/>
      <c r="C29" s="84"/>
      <c r="D29" s="84"/>
      <c r="E29" s="84"/>
      <c r="F29" s="85"/>
      <c r="G29" s="60"/>
      <c r="H29" s="60"/>
      <c r="I29" s="60"/>
      <c r="J29" s="60"/>
      <c r="K29" s="83"/>
      <c r="L29" s="84"/>
      <c r="M29" s="84"/>
      <c r="N29" s="84"/>
      <c r="O29" s="84"/>
      <c r="P29" s="84"/>
      <c r="Q29" s="85"/>
      <c r="R29" s="60"/>
      <c r="S29" s="60"/>
      <c r="T29" s="60"/>
      <c r="U29" s="60"/>
    </row>
    <row r="30" spans="1:24" ht="18" customHeight="1" x14ac:dyDescent="0.2">
      <c r="B30" s="83"/>
      <c r="C30" s="84"/>
      <c r="D30" s="84"/>
      <c r="E30" s="84"/>
      <c r="F30" s="85"/>
      <c r="G30" s="60"/>
      <c r="H30" s="60"/>
      <c r="I30" s="60"/>
      <c r="J30" s="60"/>
      <c r="K30" s="83"/>
      <c r="L30" s="84"/>
      <c r="M30" s="84"/>
      <c r="N30" s="84"/>
      <c r="O30" s="84"/>
      <c r="P30" s="84"/>
      <c r="Q30" s="85"/>
      <c r="R30" s="60"/>
      <c r="S30" s="60"/>
      <c r="T30" s="60"/>
      <c r="U30" s="60"/>
    </row>
    <row r="31" spans="1:24" ht="18" customHeight="1" x14ac:dyDescent="0.2">
      <c r="B31" s="83"/>
      <c r="C31" s="84"/>
      <c r="D31" s="84"/>
      <c r="E31" s="84"/>
      <c r="F31" s="85"/>
      <c r="G31" s="60"/>
      <c r="H31" s="60"/>
      <c r="I31" s="60"/>
      <c r="J31" s="60"/>
      <c r="K31" s="83"/>
      <c r="L31" s="84"/>
      <c r="M31" s="84"/>
      <c r="N31" s="84"/>
      <c r="O31" s="84"/>
      <c r="P31" s="84"/>
      <c r="Q31" s="85"/>
      <c r="R31" s="60"/>
      <c r="S31" s="60"/>
      <c r="T31" s="60"/>
      <c r="U31" s="60"/>
    </row>
    <row r="32" spans="1:24" ht="18" customHeight="1" x14ac:dyDescent="0.2">
      <c r="A32" s="3"/>
      <c r="B32" s="83"/>
      <c r="C32" s="84"/>
      <c r="D32" s="84"/>
      <c r="E32" s="84"/>
      <c r="F32" s="85"/>
      <c r="G32" s="60"/>
      <c r="H32" s="60"/>
      <c r="I32" s="60"/>
      <c r="J32" s="60"/>
      <c r="K32" s="83"/>
      <c r="L32" s="84"/>
      <c r="M32" s="84"/>
      <c r="N32" s="84"/>
      <c r="O32" s="84"/>
      <c r="P32" s="84"/>
      <c r="Q32" s="85"/>
      <c r="R32" s="60"/>
      <c r="S32" s="60"/>
      <c r="T32" s="60"/>
      <c r="U32" s="60"/>
    </row>
    <row r="33" spans="1:21" ht="18" customHeight="1" x14ac:dyDescent="0.2">
      <c r="A33" s="3"/>
      <c r="B33" s="86"/>
      <c r="C33" s="87"/>
      <c r="D33" s="87"/>
      <c r="E33" s="87"/>
      <c r="F33" s="88"/>
      <c r="G33" s="61"/>
      <c r="H33" s="61"/>
      <c r="I33" s="62"/>
      <c r="J33" s="62"/>
      <c r="K33" s="86"/>
      <c r="L33" s="87"/>
      <c r="M33" s="87"/>
      <c r="N33" s="87"/>
      <c r="O33" s="87"/>
      <c r="P33" s="87"/>
      <c r="Q33" s="88"/>
      <c r="R33" s="61"/>
      <c r="S33" s="61"/>
      <c r="T33" s="62"/>
      <c r="U33" s="62"/>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96</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47</v>
      </c>
      <c r="C37" s="97"/>
      <c r="D37" s="97"/>
      <c r="E37" s="97"/>
      <c r="F37" s="98"/>
      <c r="G37" s="56" t="s">
        <v>72</v>
      </c>
      <c r="H37" s="57" t="s">
        <v>75</v>
      </c>
      <c r="I37" s="58" t="s">
        <v>63</v>
      </c>
      <c r="J37" s="58" t="s">
        <v>64</v>
      </c>
      <c r="K37" s="96" t="s">
        <v>47</v>
      </c>
      <c r="L37" s="97"/>
      <c r="M37" s="97"/>
      <c r="N37" s="97"/>
      <c r="O37" s="97"/>
      <c r="P37" s="97"/>
      <c r="Q37" s="98"/>
      <c r="R37" s="56" t="s">
        <v>72</v>
      </c>
      <c r="S37" s="57" t="s">
        <v>75</v>
      </c>
      <c r="T37" s="58" t="s">
        <v>63</v>
      </c>
      <c r="U37" s="58" t="s">
        <v>64</v>
      </c>
    </row>
    <row r="38" spans="1:21" ht="18" customHeight="1" x14ac:dyDescent="0.2">
      <c r="B38" s="83" t="s">
        <v>146</v>
      </c>
      <c r="C38" s="84"/>
      <c r="D38" s="84"/>
      <c r="E38" s="84"/>
      <c r="F38" s="85"/>
      <c r="G38" s="59">
        <v>1</v>
      </c>
      <c r="H38" s="59" t="s">
        <v>147</v>
      </c>
      <c r="I38" s="59" t="s">
        <v>147</v>
      </c>
      <c r="J38" s="59" t="s">
        <v>147</v>
      </c>
      <c r="K38" s="90"/>
      <c r="L38" s="91"/>
      <c r="M38" s="91"/>
      <c r="N38" s="91"/>
      <c r="O38" s="91"/>
      <c r="P38" s="91"/>
      <c r="Q38" s="92"/>
      <c r="R38" s="59"/>
      <c r="S38" s="59"/>
      <c r="T38" s="59"/>
      <c r="U38" s="59"/>
    </row>
    <row r="39" spans="1:21" ht="18" customHeight="1" x14ac:dyDescent="0.2">
      <c r="B39" s="83"/>
      <c r="C39" s="84"/>
      <c r="D39" s="84"/>
      <c r="E39" s="84"/>
      <c r="F39" s="85"/>
      <c r="G39" s="60"/>
      <c r="H39" s="60"/>
      <c r="I39" s="60"/>
      <c r="J39" s="60"/>
      <c r="K39" s="83"/>
      <c r="L39" s="84"/>
      <c r="M39" s="84"/>
      <c r="N39" s="84"/>
      <c r="O39" s="84"/>
      <c r="P39" s="84"/>
      <c r="Q39" s="85"/>
      <c r="R39" s="60"/>
      <c r="S39" s="60"/>
      <c r="T39" s="60"/>
      <c r="U39" s="60"/>
    </row>
    <row r="40" spans="1:21" ht="18" customHeight="1" x14ac:dyDescent="0.2">
      <c r="B40" s="83"/>
      <c r="C40" s="84"/>
      <c r="D40" s="84"/>
      <c r="E40" s="84"/>
      <c r="F40" s="85"/>
      <c r="G40" s="60"/>
      <c r="H40" s="60"/>
      <c r="I40" s="60"/>
      <c r="J40" s="60"/>
      <c r="K40" s="83"/>
      <c r="L40" s="84"/>
      <c r="M40" s="84"/>
      <c r="N40" s="84"/>
      <c r="O40" s="84"/>
      <c r="P40" s="84"/>
      <c r="Q40" s="85"/>
      <c r="R40" s="60"/>
      <c r="S40" s="60"/>
      <c r="T40" s="60"/>
      <c r="U40" s="60"/>
    </row>
    <row r="41" spans="1:21" ht="18" customHeight="1" x14ac:dyDescent="0.2">
      <c r="B41" s="83"/>
      <c r="C41" s="84"/>
      <c r="D41" s="84"/>
      <c r="E41" s="84"/>
      <c r="F41" s="85"/>
      <c r="G41" s="60"/>
      <c r="H41" s="60"/>
      <c r="I41" s="60"/>
      <c r="J41" s="60"/>
      <c r="K41" s="83"/>
      <c r="L41" s="84"/>
      <c r="M41" s="84"/>
      <c r="N41" s="84"/>
      <c r="O41" s="84"/>
      <c r="P41" s="84"/>
      <c r="Q41" s="85"/>
      <c r="R41" s="60"/>
      <c r="S41" s="60"/>
      <c r="T41" s="60"/>
      <c r="U41" s="60"/>
    </row>
    <row r="42" spans="1:21" ht="18" customHeight="1" x14ac:dyDescent="0.2">
      <c r="B42" s="83"/>
      <c r="C42" s="84"/>
      <c r="D42" s="84"/>
      <c r="E42" s="84"/>
      <c r="F42" s="85"/>
      <c r="G42" s="60"/>
      <c r="H42" s="60"/>
      <c r="I42" s="60"/>
      <c r="J42" s="60"/>
      <c r="K42" s="83"/>
      <c r="L42" s="84"/>
      <c r="M42" s="84"/>
      <c r="N42" s="84"/>
      <c r="O42" s="84"/>
      <c r="P42" s="84"/>
      <c r="Q42" s="85"/>
      <c r="R42" s="60"/>
      <c r="S42" s="60"/>
      <c r="T42" s="60"/>
      <c r="U42" s="60"/>
    </row>
    <row r="43" spans="1:21" ht="18" customHeight="1" x14ac:dyDescent="0.2">
      <c r="B43" s="83"/>
      <c r="C43" s="84"/>
      <c r="D43" s="84"/>
      <c r="E43" s="84"/>
      <c r="F43" s="85"/>
      <c r="G43" s="60"/>
      <c r="H43" s="60"/>
      <c r="I43" s="60"/>
      <c r="J43" s="60"/>
      <c r="K43" s="83"/>
      <c r="L43" s="84"/>
      <c r="M43" s="84"/>
      <c r="N43" s="84"/>
      <c r="O43" s="84"/>
      <c r="P43" s="84"/>
      <c r="Q43" s="85"/>
      <c r="R43" s="60"/>
      <c r="S43" s="60"/>
      <c r="T43" s="60"/>
      <c r="U43" s="60"/>
    </row>
    <row r="44" spans="1:21" ht="18" customHeight="1" x14ac:dyDescent="0.2">
      <c r="B44" s="86"/>
      <c r="C44" s="87"/>
      <c r="D44" s="87"/>
      <c r="E44" s="87"/>
      <c r="F44" s="88"/>
      <c r="G44" s="61"/>
      <c r="H44" s="61"/>
      <c r="I44" s="62"/>
      <c r="J44" s="62"/>
      <c r="K44" s="86"/>
      <c r="L44" s="87"/>
      <c r="M44" s="87"/>
      <c r="N44" s="87"/>
      <c r="O44" s="87"/>
      <c r="P44" s="87"/>
      <c r="Q44" s="88"/>
      <c r="R44" s="61"/>
      <c r="S44" s="61"/>
      <c r="T44" s="62"/>
      <c r="U44" s="62"/>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97</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47</v>
      </c>
      <c r="C48" s="97"/>
      <c r="D48" s="97"/>
      <c r="E48" s="97"/>
      <c r="F48" s="98"/>
      <c r="G48" s="56" t="s">
        <v>72</v>
      </c>
      <c r="H48" s="57" t="s">
        <v>75</v>
      </c>
      <c r="I48" s="58" t="s">
        <v>65</v>
      </c>
      <c r="J48" s="58" t="s">
        <v>66</v>
      </c>
      <c r="K48" s="96" t="s">
        <v>47</v>
      </c>
      <c r="L48" s="97"/>
      <c r="M48" s="97"/>
      <c r="N48" s="97"/>
      <c r="O48" s="97"/>
      <c r="P48" s="97"/>
      <c r="Q48" s="98"/>
      <c r="R48" s="56" t="s">
        <v>72</v>
      </c>
      <c r="S48" s="57" t="s">
        <v>75</v>
      </c>
      <c r="T48" s="58" t="s">
        <v>65</v>
      </c>
      <c r="U48" s="58" t="s">
        <v>66</v>
      </c>
    </row>
    <row r="49" spans="1:21" ht="18" customHeight="1" x14ac:dyDescent="0.2">
      <c r="A49" s="3"/>
      <c r="B49" s="83" t="s">
        <v>146</v>
      </c>
      <c r="C49" s="84"/>
      <c r="D49" s="84"/>
      <c r="E49" s="84"/>
      <c r="F49" s="85"/>
      <c r="G49" s="59">
        <v>1</v>
      </c>
      <c r="H49" s="59" t="s">
        <v>147</v>
      </c>
      <c r="I49" s="59" t="s">
        <v>147</v>
      </c>
      <c r="J49" s="59" t="s">
        <v>147</v>
      </c>
      <c r="K49" s="90"/>
      <c r="L49" s="91"/>
      <c r="M49" s="91"/>
      <c r="N49" s="91"/>
      <c r="O49" s="91"/>
      <c r="P49" s="91"/>
      <c r="Q49" s="92"/>
      <c r="R49" s="59"/>
      <c r="S49" s="59"/>
      <c r="T49" s="59"/>
      <c r="U49" s="59"/>
    </row>
    <row r="50" spans="1:21" ht="18" customHeight="1" x14ac:dyDescent="0.2">
      <c r="A50" s="3"/>
      <c r="B50" s="83"/>
      <c r="C50" s="84"/>
      <c r="D50" s="84"/>
      <c r="E50" s="84"/>
      <c r="F50" s="85"/>
      <c r="G50" s="60"/>
      <c r="H50" s="60"/>
      <c r="I50" s="60"/>
      <c r="J50" s="60"/>
      <c r="K50" s="83"/>
      <c r="L50" s="84"/>
      <c r="M50" s="84"/>
      <c r="N50" s="84"/>
      <c r="O50" s="84"/>
      <c r="P50" s="84"/>
      <c r="Q50" s="85"/>
      <c r="R50" s="60"/>
      <c r="S50" s="60"/>
      <c r="T50" s="60"/>
      <c r="U50" s="60"/>
    </row>
    <row r="51" spans="1:21" ht="18" customHeight="1" x14ac:dyDescent="0.2">
      <c r="A51" s="3"/>
      <c r="B51" s="83"/>
      <c r="C51" s="84"/>
      <c r="D51" s="84"/>
      <c r="E51" s="84"/>
      <c r="F51" s="85"/>
      <c r="G51" s="60"/>
      <c r="H51" s="60"/>
      <c r="I51" s="60"/>
      <c r="J51" s="60"/>
      <c r="K51" s="83"/>
      <c r="L51" s="84"/>
      <c r="M51" s="84"/>
      <c r="N51" s="84"/>
      <c r="O51" s="84"/>
      <c r="P51" s="84"/>
      <c r="Q51" s="85"/>
      <c r="R51" s="60"/>
      <c r="S51" s="60"/>
      <c r="T51" s="60"/>
      <c r="U51" s="60"/>
    </row>
    <row r="52" spans="1:21" ht="18" customHeight="1" x14ac:dyDescent="0.2">
      <c r="A52" s="3"/>
      <c r="B52" s="83"/>
      <c r="C52" s="84"/>
      <c r="D52" s="84"/>
      <c r="E52" s="84"/>
      <c r="F52" s="85"/>
      <c r="G52" s="60"/>
      <c r="H52" s="60"/>
      <c r="I52" s="60"/>
      <c r="J52" s="60"/>
      <c r="K52" s="83"/>
      <c r="L52" s="84"/>
      <c r="M52" s="84"/>
      <c r="N52" s="84"/>
      <c r="O52" s="84"/>
      <c r="P52" s="84"/>
      <c r="Q52" s="85"/>
      <c r="R52" s="60"/>
      <c r="S52" s="60"/>
      <c r="T52" s="60"/>
      <c r="U52" s="60"/>
    </row>
    <row r="53" spans="1:21" ht="18" customHeight="1" x14ac:dyDescent="0.2">
      <c r="A53" s="3"/>
      <c r="B53" s="83"/>
      <c r="C53" s="84"/>
      <c r="D53" s="84"/>
      <c r="E53" s="84"/>
      <c r="F53" s="85"/>
      <c r="G53" s="60"/>
      <c r="H53" s="60"/>
      <c r="I53" s="60"/>
      <c r="J53" s="60"/>
      <c r="K53" s="83"/>
      <c r="L53" s="84"/>
      <c r="M53" s="84"/>
      <c r="N53" s="84"/>
      <c r="O53" s="84"/>
      <c r="P53" s="84"/>
      <c r="Q53" s="85"/>
      <c r="R53" s="60"/>
      <c r="S53" s="60"/>
      <c r="T53" s="60"/>
      <c r="U53" s="60"/>
    </row>
    <row r="54" spans="1:21" ht="18" customHeight="1" x14ac:dyDescent="0.2">
      <c r="A54" s="3"/>
      <c r="B54" s="83"/>
      <c r="C54" s="84"/>
      <c r="D54" s="84"/>
      <c r="E54" s="84"/>
      <c r="F54" s="85"/>
      <c r="G54" s="60"/>
      <c r="H54" s="60"/>
      <c r="I54" s="60"/>
      <c r="J54" s="60"/>
      <c r="K54" s="83"/>
      <c r="L54" s="84"/>
      <c r="M54" s="84"/>
      <c r="N54" s="84"/>
      <c r="O54" s="84"/>
      <c r="P54" s="84"/>
      <c r="Q54" s="85"/>
      <c r="R54" s="60"/>
      <c r="S54" s="60"/>
      <c r="T54" s="60"/>
      <c r="U54" s="60"/>
    </row>
    <row r="55" spans="1:21" ht="18" customHeight="1" x14ac:dyDescent="0.2">
      <c r="A55" s="3"/>
      <c r="B55" s="86"/>
      <c r="C55" s="87"/>
      <c r="D55" s="87"/>
      <c r="E55" s="87"/>
      <c r="F55" s="88"/>
      <c r="G55" s="61"/>
      <c r="H55" s="61"/>
      <c r="I55" s="62"/>
      <c r="J55" s="62"/>
      <c r="K55" s="86"/>
      <c r="L55" s="87"/>
      <c r="M55" s="87"/>
      <c r="N55" s="87"/>
      <c r="O55" s="87"/>
      <c r="P55" s="87"/>
      <c r="Q55" s="88"/>
      <c r="R55" s="61"/>
      <c r="S55" s="61"/>
      <c r="T55" s="62"/>
      <c r="U55" s="62"/>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98</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47</v>
      </c>
      <c r="C59" s="97"/>
      <c r="D59" s="97"/>
      <c r="E59" s="97"/>
      <c r="F59" s="98"/>
      <c r="G59" s="56" t="s">
        <v>72</v>
      </c>
      <c r="H59" s="57" t="s">
        <v>75</v>
      </c>
      <c r="I59" s="58" t="s">
        <v>52</v>
      </c>
      <c r="J59" s="58" t="s">
        <v>54</v>
      </c>
      <c r="K59" s="96" t="s">
        <v>47</v>
      </c>
      <c r="L59" s="97"/>
      <c r="M59" s="97"/>
      <c r="N59" s="97"/>
      <c r="O59" s="97"/>
      <c r="P59" s="97"/>
      <c r="Q59" s="98"/>
      <c r="R59" s="56" t="s">
        <v>72</v>
      </c>
      <c r="S59" s="57" t="s">
        <v>75</v>
      </c>
      <c r="T59" s="58" t="s">
        <v>52</v>
      </c>
      <c r="U59" s="58" t="s">
        <v>54</v>
      </c>
    </row>
    <row r="60" spans="1:21" ht="18" customHeight="1" x14ac:dyDescent="0.2">
      <c r="A60" s="3"/>
      <c r="B60" s="83" t="s">
        <v>146</v>
      </c>
      <c r="C60" s="84"/>
      <c r="D60" s="84"/>
      <c r="E60" s="84"/>
      <c r="F60" s="85"/>
      <c r="G60" s="59">
        <v>1</v>
      </c>
      <c r="H60" s="59" t="s">
        <v>147</v>
      </c>
      <c r="I60" s="59" t="s">
        <v>147</v>
      </c>
      <c r="J60" s="59" t="s">
        <v>147</v>
      </c>
      <c r="K60" s="90"/>
      <c r="L60" s="91"/>
      <c r="M60" s="91"/>
      <c r="N60" s="91"/>
      <c r="O60" s="91"/>
      <c r="P60" s="91"/>
      <c r="Q60" s="92"/>
      <c r="R60" s="59"/>
      <c r="S60" s="59"/>
      <c r="T60" s="59"/>
      <c r="U60" s="59"/>
    </row>
    <row r="61" spans="1:21" ht="18" customHeight="1" x14ac:dyDescent="0.2">
      <c r="A61" s="3"/>
      <c r="B61" s="83"/>
      <c r="C61" s="84"/>
      <c r="D61" s="84"/>
      <c r="E61" s="84"/>
      <c r="F61" s="85"/>
      <c r="G61" s="60"/>
      <c r="H61" s="60"/>
      <c r="I61" s="60"/>
      <c r="J61" s="60"/>
      <c r="K61" s="83"/>
      <c r="L61" s="84"/>
      <c r="M61" s="84"/>
      <c r="N61" s="84"/>
      <c r="O61" s="84"/>
      <c r="P61" s="84"/>
      <c r="Q61" s="85"/>
      <c r="R61" s="60"/>
      <c r="S61" s="60"/>
      <c r="T61" s="60"/>
      <c r="U61" s="60"/>
    </row>
    <row r="62" spans="1:21" ht="18" customHeight="1" x14ac:dyDescent="0.2">
      <c r="A62" s="3"/>
      <c r="B62" s="83"/>
      <c r="C62" s="84"/>
      <c r="D62" s="84"/>
      <c r="E62" s="84"/>
      <c r="F62" s="85"/>
      <c r="G62" s="60"/>
      <c r="H62" s="60"/>
      <c r="I62" s="60"/>
      <c r="J62" s="60"/>
      <c r="K62" s="83"/>
      <c r="L62" s="84"/>
      <c r="M62" s="84"/>
      <c r="N62" s="84"/>
      <c r="O62" s="84"/>
      <c r="P62" s="84"/>
      <c r="Q62" s="85"/>
      <c r="R62" s="60"/>
      <c r="S62" s="60"/>
      <c r="T62" s="60"/>
      <c r="U62" s="60"/>
    </row>
    <row r="63" spans="1:21" ht="18" customHeight="1" x14ac:dyDescent="0.2">
      <c r="A63" s="3"/>
      <c r="B63" s="83"/>
      <c r="C63" s="84"/>
      <c r="D63" s="84"/>
      <c r="E63" s="84"/>
      <c r="F63" s="85"/>
      <c r="G63" s="60"/>
      <c r="H63" s="60"/>
      <c r="I63" s="60"/>
      <c r="J63" s="60"/>
      <c r="K63" s="83"/>
      <c r="L63" s="84"/>
      <c r="M63" s="84"/>
      <c r="N63" s="84"/>
      <c r="O63" s="84"/>
      <c r="P63" s="84"/>
      <c r="Q63" s="85"/>
      <c r="R63" s="60"/>
      <c r="S63" s="60"/>
      <c r="T63" s="60"/>
      <c r="U63" s="60"/>
    </row>
    <row r="64" spans="1:21" ht="18" customHeight="1" x14ac:dyDescent="0.2">
      <c r="A64" s="3"/>
      <c r="B64" s="83"/>
      <c r="C64" s="84"/>
      <c r="D64" s="84"/>
      <c r="E64" s="84"/>
      <c r="F64" s="85"/>
      <c r="G64" s="60"/>
      <c r="H64" s="60"/>
      <c r="I64" s="60"/>
      <c r="J64" s="60"/>
      <c r="K64" s="83"/>
      <c r="L64" s="84"/>
      <c r="M64" s="84"/>
      <c r="N64" s="84"/>
      <c r="O64" s="84"/>
      <c r="P64" s="84"/>
      <c r="Q64" s="85"/>
      <c r="R64" s="60"/>
      <c r="S64" s="60"/>
      <c r="T64" s="60"/>
      <c r="U64" s="60"/>
    </row>
    <row r="65" spans="1:27" ht="18" customHeight="1" x14ac:dyDescent="0.2">
      <c r="A65" s="3"/>
      <c r="B65" s="83"/>
      <c r="C65" s="84"/>
      <c r="D65" s="84"/>
      <c r="E65" s="84"/>
      <c r="F65" s="85"/>
      <c r="G65" s="60"/>
      <c r="H65" s="60"/>
      <c r="I65" s="60"/>
      <c r="J65" s="60"/>
      <c r="K65" s="83"/>
      <c r="L65" s="84"/>
      <c r="M65" s="84"/>
      <c r="N65" s="84"/>
      <c r="O65" s="84"/>
      <c r="P65" s="84"/>
      <c r="Q65" s="85"/>
      <c r="R65" s="60"/>
      <c r="S65" s="60"/>
      <c r="T65" s="60"/>
      <c r="U65" s="60"/>
    </row>
    <row r="66" spans="1:27" ht="18" customHeight="1" x14ac:dyDescent="0.2">
      <c r="A66" s="3"/>
      <c r="B66" s="86"/>
      <c r="C66" s="87"/>
      <c r="D66" s="87"/>
      <c r="E66" s="87"/>
      <c r="F66" s="88"/>
      <c r="G66" s="61"/>
      <c r="H66" s="61"/>
      <c r="I66" s="62"/>
      <c r="J66" s="62"/>
      <c r="K66" s="86"/>
      <c r="L66" s="87"/>
      <c r="M66" s="87"/>
      <c r="N66" s="87"/>
      <c r="O66" s="87"/>
      <c r="P66" s="87"/>
      <c r="Q66" s="88"/>
      <c r="R66" s="61"/>
      <c r="S66" s="61"/>
      <c r="T66" s="62"/>
      <c r="U66" s="62"/>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99</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47</v>
      </c>
      <c r="C70" s="97"/>
      <c r="D70" s="97"/>
      <c r="E70" s="97"/>
      <c r="F70" s="56" t="s">
        <v>72</v>
      </c>
      <c r="G70" s="57" t="s">
        <v>75</v>
      </c>
      <c r="H70" s="58" t="s">
        <v>86</v>
      </c>
      <c r="I70" s="58" t="s">
        <v>67</v>
      </c>
      <c r="J70" s="58" t="s">
        <v>68</v>
      </c>
      <c r="K70" s="96" t="s">
        <v>47</v>
      </c>
      <c r="L70" s="97"/>
      <c r="M70" s="97"/>
      <c r="N70" s="97"/>
      <c r="O70" s="97"/>
      <c r="P70" s="98"/>
      <c r="Q70" s="56" t="s">
        <v>72</v>
      </c>
      <c r="R70" s="57" t="s">
        <v>75</v>
      </c>
      <c r="S70" s="58" t="s">
        <v>86</v>
      </c>
      <c r="T70" s="58" t="s">
        <v>67</v>
      </c>
      <c r="U70" s="58" t="s">
        <v>68</v>
      </c>
    </row>
    <row r="71" spans="1:27" ht="18" customHeight="1" x14ac:dyDescent="0.2">
      <c r="A71" s="3"/>
      <c r="B71" s="83" t="s">
        <v>146</v>
      </c>
      <c r="C71" s="84"/>
      <c r="D71" s="84"/>
      <c r="E71" s="85"/>
      <c r="F71" s="59">
        <v>1</v>
      </c>
      <c r="G71" s="59" t="s">
        <v>147</v>
      </c>
      <c r="H71" s="59" t="s">
        <v>147</v>
      </c>
      <c r="I71" s="59" t="s">
        <v>147</v>
      </c>
      <c r="J71" s="59" t="s">
        <v>147</v>
      </c>
      <c r="K71" s="90"/>
      <c r="L71" s="91"/>
      <c r="M71" s="91"/>
      <c r="N71" s="91"/>
      <c r="O71" s="91"/>
      <c r="P71" s="92"/>
      <c r="Q71" s="59"/>
      <c r="R71" s="59"/>
      <c r="S71" s="59"/>
      <c r="T71" s="59"/>
      <c r="U71" s="59"/>
    </row>
    <row r="72" spans="1:27" ht="18" customHeight="1" x14ac:dyDescent="0.2">
      <c r="A72" s="3"/>
      <c r="B72" s="83"/>
      <c r="C72" s="84"/>
      <c r="D72" s="84"/>
      <c r="E72" s="85"/>
      <c r="F72" s="60"/>
      <c r="G72" s="60"/>
      <c r="H72" s="60"/>
      <c r="I72" s="60"/>
      <c r="J72" s="60"/>
      <c r="K72" s="83"/>
      <c r="L72" s="84"/>
      <c r="M72" s="84"/>
      <c r="N72" s="84"/>
      <c r="O72" s="84"/>
      <c r="P72" s="85"/>
      <c r="Q72" s="60"/>
      <c r="R72" s="60"/>
      <c r="S72" s="60"/>
      <c r="T72" s="60"/>
      <c r="U72" s="60"/>
    </row>
    <row r="73" spans="1:27" ht="18" customHeight="1" x14ac:dyDescent="0.2">
      <c r="A73" s="3"/>
      <c r="B73" s="83"/>
      <c r="C73" s="84"/>
      <c r="D73" s="84"/>
      <c r="E73" s="84"/>
      <c r="F73" s="60"/>
      <c r="G73" s="60"/>
      <c r="H73" s="60"/>
      <c r="I73" s="60"/>
      <c r="J73" s="60"/>
      <c r="K73" s="83"/>
      <c r="L73" s="84"/>
      <c r="M73" s="84"/>
      <c r="N73" s="84"/>
      <c r="O73" s="84"/>
      <c r="P73" s="85"/>
      <c r="Q73" s="60"/>
      <c r="R73" s="60"/>
      <c r="S73" s="60"/>
      <c r="T73" s="60"/>
      <c r="U73" s="60"/>
    </row>
    <row r="74" spans="1:27" ht="18" customHeight="1" x14ac:dyDescent="0.2">
      <c r="A74" s="3"/>
      <c r="B74" s="83"/>
      <c r="C74" s="84"/>
      <c r="D74" s="84"/>
      <c r="E74" s="84"/>
      <c r="F74" s="60"/>
      <c r="G74" s="60"/>
      <c r="H74" s="60"/>
      <c r="I74" s="60"/>
      <c r="J74" s="60"/>
      <c r="K74" s="83"/>
      <c r="L74" s="84"/>
      <c r="M74" s="84"/>
      <c r="N74" s="84"/>
      <c r="O74" s="84"/>
      <c r="P74" s="85"/>
      <c r="Q74" s="60"/>
      <c r="R74" s="60"/>
      <c r="S74" s="60"/>
      <c r="T74" s="60"/>
      <c r="U74" s="60"/>
    </row>
    <row r="75" spans="1:27" ht="18" customHeight="1" x14ac:dyDescent="0.2">
      <c r="A75" s="3"/>
      <c r="B75" s="83"/>
      <c r="C75" s="84"/>
      <c r="D75" s="84"/>
      <c r="E75" s="84"/>
      <c r="F75" s="60"/>
      <c r="G75" s="60"/>
      <c r="H75" s="60"/>
      <c r="I75" s="60"/>
      <c r="J75" s="60"/>
      <c r="K75" s="83"/>
      <c r="L75" s="84"/>
      <c r="M75" s="84"/>
      <c r="N75" s="84"/>
      <c r="O75" s="84"/>
      <c r="P75" s="85"/>
      <c r="Q75" s="60"/>
      <c r="R75" s="60"/>
      <c r="S75" s="60"/>
      <c r="T75" s="60"/>
      <c r="U75" s="60"/>
    </row>
    <row r="76" spans="1:27" ht="18" customHeight="1" x14ac:dyDescent="0.2">
      <c r="A76" s="3"/>
      <c r="B76" s="83"/>
      <c r="C76" s="84"/>
      <c r="D76" s="84"/>
      <c r="E76" s="84"/>
      <c r="F76" s="60"/>
      <c r="G76" s="60"/>
      <c r="H76" s="60"/>
      <c r="I76" s="60"/>
      <c r="J76" s="60"/>
      <c r="K76" s="83"/>
      <c r="L76" s="84"/>
      <c r="M76" s="84"/>
      <c r="N76" s="84"/>
      <c r="O76" s="84"/>
      <c r="P76" s="85"/>
      <c r="Q76" s="60"/>
      <c r="R76" s="60"/>
      <c r="S76" s="60"/>
      <c r="T76" s="60"/>
      <c r="U76" s="60"/>
    </row>
    <row r="77" spans="1:27" ht="18" customHeight="1" x14ac:dyDescent="0.2">
      <c r="A77" s="3"/>
      <c r="B77" s="86"/>
      <c r="C77" s="87"/>
      <c r="D77" s="87"/>
      <c r="E77" s="87"/>
      <c r="F77" s="61"/>
      <c r="G77" s="61"/>
      <c r="H77" s="62"/>
      <c r="I77" s="62"/>
      <c r="J77" s="62"/>
      <c r="K77" s="86"/>
      <c r="L77" s="87"/>
      <c r="M77" s="87"/>
      <c r="N77" s="87"/>
      <c r="O77" s="87"/>
      <c r="P77" s="88"/>
      <c r="Q77" s="61"/>
      <c r="R77" s="61"/>
      <c r="S77" s="62"/>
      <c r="T77" s="62"/>
      <c r="U77" s="62"/>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6" t="s">
        <v>47</v>
      </c>
      <c r="C80" s="97"/>
      <c r="D80" s="97"/>
      <c r="E80" s="97"/>
      <c r="F80" s="98"/>
      <c r="G80" s="96" t="s">
        <v>73</v>
      </c>
      <c r="H80" s="97"/>
      <c r="I80" s="97"/>
      <c r="J80" s="98"/>
      <c r="K80" s="104" t="s">
        <v>47</v>
      </c>
      <c r="L80" s="105"/>
      <c r="M80" s="105"/>
      <c r="N80" s="105"/>
      <c r="O80" s="105"/>
      <c r="P80" s="105"/>
      <c r="Q80" s="106"/>
      <c r="R80" s="96" t="s">
        <v>73</v>
      </c>
      <c r="S80" s="97"/>
      <c r="T80" s="97"/>
      <c r="U80" s="98"/>
      <c r="AA80" s="1" t="s">
        <v>138</v>
      </c>
    </row>
    <row r="81" spans="1:27" ht="18" customHeight="1" x14ac:dyDescent="0.2">
      <c r="A81" s="3"/>
      <c r="B81" s="90"/>
      <c r="C81" s="91"/>
      <c r="D81" s="91"/>
      <c r="E81" s="91"/>
      <c r="F81" s="92"/>
      <c r="G81" s="93"/>
      <c r="H81" s="94"/>
      <c r="I81" s="94"/>
      <c r="J81" s="95"/>
      <c r="K81" s="90"/>
      <c r="L81" s="91"/>
      <c r="M81" s="91"/>
      <c r="N81" s="91"/>
      <c r="O81" s="91"/>
      <c r="P81" s="91"/>
      <c r="Q81" s="92"/>
      <c r="R81" s="93"/>
      <c r="S81" s="94"/>
      <c r="T81" s="94"/>
      <c r="U81" s="95"/>
      <c r="AA81" s="1" t="s">
        <v>131</v>
      </c>
    </row>
    <row r="82" spans="1:27" ht="18" customHeight="1" x14ac:dyDescent="0.2">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2">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2">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2">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2">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2">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2">
      <c r="A88" s="3"/>
      <c r="B88" s="6"/>
      <c r="C88" s="6"/>
      <c r="D88" s="6"/>
      <c r="E88" s="6"/>
      <c r="F88" s="6"/>
      <c r="G88" s="63"/>
      <c r="H88" s="63"/>
      <c r="I88" s="63"/>
      <c r="J88" s="63"/>
      <c r="K88" s="6"/>
      <c r="L88" s="6"/>
      <c r="M88" s="6"/>
      <c r="N88" s="6"/>
      <c r="O88" s="6"/>
      <c r="P88" s="6"/>
      <c r="Q88" s="6"/>
      <c r="R88" s="63"/>
      <c r="S88" s="63"/>
      <c r="T88" s="63"/>
      <c r="U88" s="63"/>
      <c r="AA88" s="1" t="s">
        <v>136</v>
      </c>
    </row>
    <row r="89" spans="1:27" ht="18.75" customHeight="1" x14ac:dyDescent="0.2">
      <c r="A89" s="1" t="s">
        <v>101</v>
      </c>
      <c r="AA89" s="1" t="s">
        <v>137</v>
      </c>
    </row>
    <row r="90" spans="1:27" ht="18.75" customHeight="1" x14ac:dyDescent="0.2">
      <c r="B90" s="124" t="s">
        <v>48</v>
      </c>
      <c r="C90" s="125"/>
      <c r="D90" s="96" t="s">
        <v>49</v>
      </c>
      <c r="E90" s="97"/>
      <c r="F90" s="97"/>
      <c r="G90" s="97"/>
      <c r="H90" s="97"/>
      <c r="I90" s="97"/>
      <c r="J90" s="97"/>
      <c r="K90" s="97"/>
      <c r="L90" s="97"/>
      <c r="M90" s="97"/>
      <c r="N90" s="97"/>
      <c r="O90" s="97"/>
      <c r="P90" s="97"/>
      <c r="Q90" s="97"/>
      <c r="R90" s="97"/>
      <c r="S90" s="97"/>
      <c r="T90" s="97"/>
      <c r="U90" s="98"/>
    </row>
    <row r="91" spans="1:27" ht="97.5" customHeight="1" x14ac:dyDescent="0.2">
      <c r="B91" s="99" t="s">
        <v>55</v>
      </c>
      <c r="C91" s="64" t="s">
        <v>50</v>
      </c>
      <c r="D91" s="148" t="s">
        <v>184</v>
      </c>
      <c r="E91" s="149"/>
      <c r="F91" s="149"/>
      <c r="G91" s="149"/>
      <c r="H91" s="149"/>
      <c r="I91" s="149"/>
      <c r="J91" s="149"/>
      <c r="K91" s="149"/>
      <c r="L91" s="149"/>
      <c r="M91" s="149"/>
      <c r="N91" s="149"/>
      <c r="O91" s="149"/>
      <c r="P91" s="149"/>
      <c r="Q91" s="149"/>
      <c r="R91" s="149"/>
      <c r="S91" s="149"/>
      <c r="T91" s="149"/>
      <c r="U91" s="150"/>
    </row>
    <row r="92" spans="1:27" ht="97.5" customHeight="1" x14ac:dyDescent="0.2">
      <c r="B92" s="123"/>
      <c r="C92" s="65" t="s">
        <v>69</v>
      </c>
      <c r="D92" s="151" t="s">
        <v>185</v>
      </c>
      <c r="E92" s="152"/>
      <c r="F92" s="152"/>
      <c r="G92" s="152"/>
      <c r="H92" s="152"/>
      <c r="I92" s="152"/>
      <c r="J92" s="152"/>
      <c r="K92" s="152"/>
      <c r="L92" s="152"/>
      <c r="M92" s="152"/>
      <c r="N92" s="152"/>
      <c r="O92" s="152"/>
      <c r="P92" s="152"/>
      <c r="Q92" s="152"/>
      <c r="R92" s="152"/>
      <c r="S92" s="152"/>
      <c r="T92" s="152"/>
      <c r="U92" s="153"/>
    </row>
    <row r="93" spans="1:27" ht="97.5" customHeight="1" x14ac:dyDescent="0.2">
      <c r="B93" s="99" t="s">
        <v>56</v>
      </c>
      <c r="C93" s="66" t="s">
        <v>63</v>
      </c>
      <c r="D93" s="148" t="s">
        <v>186</v>
      </c>
      <c r="E93" s="149"/>
      <c r="F93" s="149"/>
      <c r="G93" s="149"/>
      <c r="H93" s="149"/>
      <c r="I93" s="149"/>
      <c r="J93" s="149"/>
      <c r="K93" s="149"/>
      <c r="L93" s="149"/>
      <c r="M93" s="149"/>
      <c r="N93" s="149"/>
      <c r="O93" s="149"/>
      <c r="P93" s="149"/>
      <c r="Q93" s="149"/>
      <c r="R93" s="149"/>
      <c r="S93" s="149"/>
      <c r="T93" s="149"/>
      <c r="U93" s="150"/>
    </row>
    <row r="94" spans="1:27" ht="97.5" customHeight="1" x14ac:dyDescent="0.2">
      <c r="B94" s="100"/>
      <c r="C94" s="67" t="s">
        <v>64</v>
      </c>
      <c r="D94" s="151" t="s">
        <v>187</v>
      </c>
      <c r="E94" s="152"/>
      <c r="F94" s="152"/>
      <c r="G94" s="152"/>
      <c r="H94" s="152"/>
      <c r="I94" s="152"/>
      <c r="J94" s="152"/>
      <c r="K94" s="152"/>
      <c r="L94" s="152"/>
      <c r="M94" s="152"/>
      <c r="N94" s="152"/>
      <c r="O94" s="152"/>
      <c r="P94" s="152"/>
      <c r="Q94" s="152"/>
      <c r="R94" s="152"/>
      <c r="S94" s="152"/>
      <c r="T94" s="152"/>
      <c r="U94" s="153"/>
    </row>
    <row r="95" spans="1:27" ht="97.5" customHeight="1" x14ac:dyDescent="0.2">
      <c r="B95" s="99" t="s">
        <v>57</v>
      </c>
      <c r="C95" s="66" t="s">
        <v>65</v>
      </c>
      <c r="D95" s="148" t="s">
        <v>188</v>
      </c>
      <c r="E95" s="149"/>
      <c r="F95" s="149"/>
      <c r="G95" s="149"/>
      <c r="H95" s="149"/>
      <c r="I95" s="149"/>
      <c r="J95" s="149"/>
      <c r="K95" s="149"/>
      <c r="L95" s="149"/>
      <c r="M95" s="149"/>
      <c r="N95" s="149"/>
      <c r="O95" s="149"/>
      <c r="P95" s="149"/>
      <c r="Q95" s="149"/>
      <c r="R95" s="149"/>
      <c r="S95" s="149"/>
      <c r="T95" s="149"/>
      <c r="U95" s="150"/>
    </row>
    <row r="96" spans="1:27" ht="97.5" customHeight="1" x14ac:dyDescent="0.2">
      <c r="B96" s="100"/>
      <c r="C96" s="68" t="s">
        <v>66</v>
      </c>
      <c r="D96" s="151" t="s">
        <v>189</v>
      </c>
      <c r="E96" s="152"/>
      <c r="F96" s="152"/>
      <c r="G96" s="152"/>
      <c r="H96" s="152"/>
      <c r="I96" s="152"/>
      <c r="J96" s="152"/>
      <c r="K96" s="152"/>
      <c r="L96" s="152"/>
      <c r="M96" s="152"/>
      <c r="N96" s="152"/>
      <c r="O96" s="152"/>
      <c r="P96" s="152"/>
      <c r="Q96" s="152"/>
      <c r="R96" s="152"/>
      <c r="S96" s="152"/>
      <c r="T96" s="152"/>
      <c r="U96" s="153"/>
    </row>
    <row r="97" spans="1:21" ht="97.5" customHeight="1" x14ac:dyDescent="0.2">
      <c r="B97" s="99" t="s">
        <v>70</v>
      </c>
      <c r="C97" s="64" t="s">
        <v>52</v>
      </c>
      <c r="D97" s="148" t="s">
        <v>190</v>
      </c>
      <c r="E97" s="149"/>
      <c r="F97" s="149"/>
      <c r="G97" s="149"/>
      <c r="H97" s="149"/>
      <c r="I97" s="149"/>
      <c r="J97" s="149"/>
      <c r="K97" s="149"/>
      <c r="L97" s="149"/>
      <c r="M97" s="149"/>
      <c r="N97" s="149"/>
      <c r="O97" s="149"/>
      <c r="P97" s="149"/>
      <c r="Q97" s="149"/>
      <c r="R97" s="149"/>
      <c r="S97" s="149"/>
      <c r="T97" s="149"/>
      <c r="U97" s="150"/>
    </row>
    <row r="98" spans="1:21" ht="97.5" customHeight="1" x14ac:dyDescent="0.2">
      <c r="B98" s="100"/>
      <c r="C98" s="67" t="s">
        <v>54</v>
      </c>
      <c r="D98" s="151" t="s">
        <v>191</v>
      </c>
      <c r="E98" s="152"/>
      <c r="F98" s="152"/>
      <c r="G98" s="152"/>
      <c r="H98" s="152"/>
      <c r="I98" s="152"/>
      <c r="J98" s="152"/>
      <c r="K98" s="152"/>
      <c r="L98" s="152"/>
      <c r="M98" s="152"/>
      <c r="N98" s="152"/>
      <c r="O98" s="152"/>
      <c r="P98" s="152"/>
      <c r="Q98" s="152"/>
      <c r="R98" s="152"/>
      <c r="S98" s="152"/>
      <c r="T98" s="152"/>
      <c r="U98" s="153"/>
    </row>
    <row r="99" spans="1:21" ht="97.5" customHeight="1" x14ac:dyDescent="0.2">
      <c r="B99" s="99" t="s">
        <v>71</v>
      </c>
      <c r="C99" s="66" t="s">
        <v>51</v>
      </c>
      <c r="D99" s="148" t="s">
        <v>192</v>
      </c>
      <c r="E99" s="149"/>
      <c r="F99" s="149"/>
      <c r="G99" s="149"/>
      <c r="H99" s="149"/>
      <c r="I99" s="149"/>
      <c r="J99" s="149"/>
      <c r="K99" s="149"/>
      <c r="L99" s="149"/>
      <c r="M99" s="149"/>
      <c r="N99" s="149"/>
      <c r="O99" s="149"/>
      <c r="P99" s="149"/>
      <c r="Q99" s="149"/>
      <c r="R99" s="149"/>
      <c r="S99" s="149"/>
      <c r="T99" s="149"/>
      <c r="U99" s="150"/>
    </row>
    <row r="100" spans="1:21" ht="97.5" customHeight="1" x14ac:dyDescent="0.2">
      <c r="B100" s="123"/>
      <c r="C100" s="69" t="s">
        <v>67</v>
      </c>
      <c r="D100" s="154" t="s">
        <v>193</v>
      </c>
      <c r="E100" s="155"/>
      <c r="F100" s="155"/>
      <c r="G100" s="155"/>
      <c r="H100" s="155"/>
      <c r="I100" s="155"/>
      <c r="J100" s="155"/>
      <c r="K100" s="155"/>
      <c r="L100" s="155"/>
      <c r="M100" s="155"/>
      <c r="N100" s="155"/>
      <c r="O100" s="155"/>
      <c r="P100" s="155"/>
      <c r="Q100" s="155"/>
      <c r="R100" s="155"/>
      <c r="S100" s="155"/>
      <c r="T100" s="155"/>
      <c r="U100" s="156"/>
    </row>
    <row r="101" spans="1:21" ht="97.5" customHeight="1" x14ac:dyDescent="0.2">
      <c r="B101" s="100"/>
      <c r="C101" s="68" t="s">
        <v>68</v>
      </c>
      <c r="D101" s="151" t="s">
        <v>194</v>
      </c>
      <c r="E101" s="152"/>
      <c r="F101" s="152"/>
      <c r="G101" s="152"/>
      <c r="H101" s="152"/>
      <c r="I101" s="152"/>
      <c r="J101" s="152"/>
      <c r="K101" s="152"/>
      <c r="L101" s="152"/>
      <c r="M101" s="152"/>
      <c r="N101" s="152"/>
      <c r="O101" s="152"/>
      <c r="P101" s="152"/>
      <c r="Q101" s="152"/>
      <c r="R101" s="152"/>
      <c r="S101" s="152"/>
      <c r="T101" s="152"/>
      <c r="U101" s="153"/>
    </row>
    <row r="102" spans="1:21" ht="6" customHeight="1" x14ac:dyDescent="0.2"/>
    <row r="103" spans="1:21" ht="18.75" customHeight="1" x14ac:dyDescent="0.2">
      <c r="A103" s="1" t="s">
        <v>102</v>
      </c>
    </row>
    <row r="104" spans="1:21" ht="81.75" customHeight="1" x14ac:dyDescent="0.2">
      <c r="B104" s="117" t="s">
        <v>170</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2"/>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G81:J87 R81:U87" xr:uid="{CF7605E4-C695-654E-8908-F5B5F13F2779}">
      <formula1>$AA$80:$AA$89</formula1>
    </dataValidation>
    <dataValidation type="list" allowBlank="1" showInputMessage="1" showErrorMessage="1" sqref="N22:U22" xr:uid="{A928F1B1-201A-324C-A742-3DF7F3670F37}">
      <formula1>$X$16:$X$18</formula1>
    </dataValidation>
    <dataValidation type="list" allowBlank="1" showInputMessage="1" showErrorMessage="1" sqref="G88:J88 R88:U88" xr:uid="{336E82D5-39D7-EB4F-935E-85958A6BC24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D364B823-8FC7-4C46-9E30-1D5FB8D6C4AB}">
      <formula1>"学部・学科によって、修了要件は相違する,学部・学科によって、修了要件は相違しない"</formula1>
    </dataValidation>
    <dataValidation type="list" allowBlank="1" showInputMessage="1" showErrorMessage="1" sqref="U34 U45 E34:H34 E45:H45" xr:uid="{8BFF7D22-44AB-2241-9E46-81E10025B680}">
      <formula1>"全学開講,一部開講"</formula1>
    </dataValidation>
    <dataValidation type="list" allowBlank="1" showInputMessage="1" showErrorMessage="1" sqref="H27:J33 S27:U33 R71:U77 S38:U44 G71:J77 S49:U55 H38:J44 S60:U66 H49:J55 H60:J66" xr:uid="{E84D3FA2-A965-0344-9340-39B45CD939AF}">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B25" zoomScale="110" zoomScaleNormal="100" zoomScaleSheetLayoutView="110" workbookViewId="0">
      <selection activeCell="E22" sqref="E22:I22"/>
    </sheetView>
  </sheetViews>
  <sheetFormatPr defaultColWidth="9" defaultRowHeight="18.75" customHeight="1" x14ac:dyDescent="0.2"/>
  <cols>
    <col min="1" max="1" width="2.9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0"/>
      <c r="B1" s="50"/>
      <c r="C1" s="50"/>
      <c r="D1" s="50"/>
      <c r="E1" s="50"/>
      <c r="F1" s="50"/>
      <c r="G1" s="50"/>
      <c r="H1" s="50"/>
      <c r="I1" s="50"/>
      <c r="J1" s="50"/>
      <c r="K1" s="50"/>
      <c r="L1" s="50"/>
      <c r="M1" s="50"/>
      <c r="N1" s="50"/>
      <c r="O1" s="50"/>
      <c r="P1" s="50"/>
      <c r="Q1" s="50"/>
      <c r="R1" s="50"/>
      <c r="S1" s="50" t="s">
        <v>91</v>
      </c>
    </row>
    <row r="2" spans="1:21" ht="18" customHeight="1" x14ac:dyDescent="0.2">
      <c r="A2" s="50"/>
      <c r="B2" s="47"/>
      <c r="C2" s="50"/>
      <c r="D2" s="50"/>
      <c r="E2" s="50"/>
      <c r="F2" s="50"/>
      <c r="G2" s="50"/>
      <c r="H2" s="50"/>
      <c r="I2" s="50"/>
      <c r="J2" s="50"/>
      <c r="K2" s="50"/>
      <c r="L2" s="50"/>
      <c r="M2" s="50"/>
      <c r="N2" s="50"/>
      <c r="O2" s="50"/>
      <c r="P2" s="50"/>
      <c r="Q2" s="158" t="str">
        <f>'様式１−１　プログラムを構成する授業科目'!C2</f>
        <v>湘北短期大学</v>
      </c>
      <c r="R2" s="158"/>
      <c r="S2" s="158"/>
    </row>
    <row r="3" spans="1:21" ht="18" customHeight="1" x14ac:dyDescent="0.2">
      <c r="A3" s="107" t="s">
        <v>142</v>
      </c>
      <c r="B3" s="107"/>
      <c r="C3" s="107"/>
      <c r="D3" s="107"/>
      <c r="E3" s="107"/>
      <c r="F3" s="107"/>
      <c r="G3" s="107"/>
      <c r="H3" s="107"/>
      <c r="I3" s="107"/>
      <c r="J3" s="107"/>
      <c r="K3" s="107"/>
      <c r="L3" s="107"/>
      <c r="M3" s="107"/>
      <c r="N3" s="107"/>
      <c r="O3" s="107"/>
      <c r="P3" s="107"/>
      <c r="Q3" s="107"/>
      <c r="R3" s="107"/>
      <c r="S3" s="107"/>
    </row>
    <row r="4" spans="1:21" ht="7.5" customHeight="1" x14ac:dyDescent="0.2">
      <c r="A4" s="52"/>
      <c r="B4" s="52"/>
      <c r="C4" s="52"/>
      <c r="D4" s="52"/>
      <c r="E4" s="52"/>
      <c r="F4" s="52"/>
      <c r="G4" s="52"/>
      <c r="H4" s="52"/>
      <c r="I4" s="52"/>
      <c r="J4" s="52"/>
      <c r="K4" s="52"/>
      <c r="L4" s="52"/>
      <c r="M4" s="52"/>
      <c r="N4" s="52"/>
      <c r="O4" s="52"/>
      <c r="P4" s="52"/>
      <c r="Q4" s="52"/>
      <c r="R4" s="52"/>
      <c r="S4" s="52"/>
    </row>
    <row r="5" spans="1:21" ht="18" customHeight="1" x14ac:dyDescent="0.2">
      <c r="A5" s="50" t="s">
        <v>74</v>
      </c>
      <c r="B5" s="50"/>
      <c r="C5" s="159" t="s">
        <v>158</v>
      </c>
      <c r="D5" s="160"/>
      <c r="E5" s="54" t="s">
        <v>125</v>
      </c>
      <c r="F5" s="52"/>
      <c r="G5" s="52"/>
      <c r="H5" s="52"/>
      <c r="I5" s="52"/>
      <c r="J5" s="52"/>
      <c r="K5" s="52"/>
      <c r="L5" s="52"/>
      <c r="M5" s="52"/>
      <c r="N5" s="52"/>
      <c r="O5" s="52"/>
      <c r="P5" s="52"/>
      <c r="Q5" s="52"/>
      <c r="R5" s="51"/>
      <c r="S5" s="51"/>
    </row>
    <row r="6" spans="1:21" ht="7.4" customHeight="1" x14ac:dyDescent="0.2">
      <c r="A6" s="50"/>
      <c r="B6" s="50"/>
      <c r="C6" s="73"/>
      <c r="D6" s="73"/>
      <c r="E6" s="52"/>
      <c r="F6" s="52"/>
      <c r="G6" s="52"/>
      <c r="H6" s="52"/>
      <c r="I6" s="52"/>
      <c r="J6" s="52"/>
      <c r="K6" s="52"/>
      <c r="L6" s="52"/>
      <c r="M6" s="52"/>
      <c r="N6" s="52"/>
      <c r="O6" s="52"/>
      <c r="P6" s="52"/>
      <c r="Q6" s="52"/>
      <c r="R6" s="51"/>
      <c r="S6" s="51"/>
    </row>
    <row r="7" spans="1:21" ht="18" customHeight="1" x14ac:dyDescent="0.2">
      <c r="A7" s="50" t="s">
        <v>108</v>
      </c>
      <c r="B7" s="50"/>
      <c r="C7" s="73"/>
      <c r="D7" s="73"/>
      <c r="E7" s="52" t="s">
        <v>109</v>
      </c>
      <c r="F7" s="55">
        <v>119</v>
      </c>
      <c r="G7" s="54" t="s">
        <v>110</v>
      </c>
      <c r="H7" s="52" t="s">
        <v>111</v>
      </c>
      <c r="I7" s="55">
        <v>523</v>
      </c>
      <c r="J7" s="54" t="s">
        <v>110</v>
      </c>
      <c r="K7" s="53" t="s">
        <v>112</v>
      </c>
      <c r="L7" s="52" t="s">
        <v>113</v>
      </c>
      <c r="M7" s="55">
        <f>F7+I7</f>
        <v>642</v>
      </c>
      <c r="N7" s="52" t="s">
        <v>1</v>
      </c>
      <c r="O7" s="54" t="s">
        <v>114</v>
      </c>
      <c r="P7" s="52"/>
      <c r="Q7" s="52"/>
      <c r="R7" s="51"/>
      <c r="S7" s="51"/>
    </row>
    <row r="8" spans="1:21" ht="17.5" customHeight="1" x14ac:dyDescent="0.2">
      <c r="A8" s="52"/>
      <c r="B8" s="74" t="s">
        <v>128</v>
      </c>
      <c r="C8" s="52"/>
      <c r="D8" s="52"/>
      <c r="E8" s="52"/>
      <c r="F8" s="52"/>
      <c r="G8" s="52"/>
      <c r="H8" s="52"/>
      <c r="I8" s="52"/>
      <c r="J8" s="52"/>
      <c r="K8" s="52"/>
      <c r="L8" s="52"/>
      <c r="M8" s="52"/>
      <c r="N8" s="52"/>
      <c r="O8" s="52"/>
      <c r="P8" s="52"/>
      <c r="Q8" s="52"/>
      <c r="R8" s="52"/>
      <c r="S8" s="52"/>
    </row>
    <row r="9" spans="1:21" ht="18" customHeight="1" x14ac:dyDescent="0.2">
      <c r="A9" s="50" t="s">
        <v>120</v>
      </c>
      <c r="B9" s="52"/>
      <c r="C9" s="52"/>
      <c r="D9" s="52"/>
      <c r="E9" s="52"/>
      <c r="F9" s="52"/>
      <c r="G9" s="52"/>
      <c r="H9" s="52"/>
      <c r="I9" s="52"/>
      <c r="J9" s="52"/>
      <c r="K9" s="52"/>
      <c r="L9" s="52"/>
      <c r="M9" s="52"/>
      <c r="N9" s="52"/>
      <c r="O9" s="52"/>
      <c r="P9" s="52"/>
      <c r="Q9" s="52"/>
      <c r="R9" s="52"/>
      <c r="S9" s="52"/>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1" t="s">
        <v>42</v>
      </c>
      <c r="C11" s="171" t="s">
        <v>77</v>
      </c>
      <c r="D11" s="163" t="s">
        <v>44</v>
      </c>
      <c r="E11" s="165" t="s">
        <v>37</v>
      </c>
      <c r="F11" s="157" t="s">
        <v>126</v>
      </c>
      <c r="G11" s="157"/>
      <c r="H11" s="157" t="s">
        <v>105</v>
      </c>
      <c r="I11" s="157"/>
      <c r="J11" s="157" t="s">
        <v>76</v>
      </c>
      <c r="K11" s="157"/>
      <c r="L11" s="157" t="s">
        <v>45</v>
      </c>
      <c r="M11" s="157"/>
      <c r="N11" s="157" t="s">
        <v>46</v>
      </c>
      <c r="O11" s="157"/>
      <c r="P11" s="157" t="s">
        <v>127</v>
      </c>
      <c r="Q11" s="157"/>
      <c r="R11" s="167" t="s">
        <v>34</v>
      </c>
      <c r="S11" s="169" t="s">
        <v>31</v>
      </c>
      <c r="U11" s="2"/>
    </row>
    <row r="12" spans="1:21" ht="17.149999999999999" customHeight="1" x14ac:dyDescent="0.2">
      <c r="B12" s="162"/>
      <c r="C12" s="172"/>
      <c r="D12" s="164"/>
      <c r="E12" s="166"/>
      <c r="F12" s="75" t="s">
        <v>85</v>
      </c>
      <c r="G12" s="75" t="s">
        <v>28</v>
      </c>
      <c r="H12" s="75" t="s">
        <v>85</v>
      </c>
      <c r="I12" s="75" t="s">
        <v>28</v>
      </c>
      <c r="J12" s="75" t="s">
        <v>85</v>
      </c>
      <c r="K12" s="75" t="s">
        <v>28</v>
      </c>
      <c r="L12" s="75" t="s">
        <v>85</v>
      </c>
      <c r="M12" s="75" t="s">
        <v>28</v>
      </c>
      <c r="N12" s="75" t="s">
        <v>85</v>
      </c>
      <c r="O12" s="75" t="s">
        <v>28</v>
      </c>
      <c r="P12" s="75" t="s">
        <v>85</v>
      </c>
      <c r="Q12" s="76" t="s">
        <v>28</v>
      </c>
      <c r="R12" s="168"/>
      <c r="S12" s="170"/>
      <c r="U12" s="2"/>
    </row>
    <row r="13" spans="1:21" ht="18" customHeight="1" x14ac:dyDescent="0.2">
      <c r="A13" s="6"/>
      <c r="B13" s="45" t="s">
        <v>159</v>
      </c>
      <c r="C13" s="33">
        <v>321</v>
      </c>
      <c r="D13" s="35">
        <v>220</v>
      </c>
      <c r="E13" s="35">
        <v>440</v>
      </c>
      <c r="F13" s="35">
        <v>154</v>
      </c>
      <c r="G13" s="35">
        <v>142</v>
      </c>
      <c r="H13" s="35"/>
      <c r="I13" s="35"/>
      <c r="J13" s="35"/>
      <c r="K13" s="35"/>
      <c r="L13" s="35"/>
      <c r="M13" s="35"/>
      <c r="N13" s="35"/>
      <c r="O13" s="35"/>
      <c r="P13" s="35"/>
      <c r="Q13" s="46"/>
      <c r="R13" s="34">
        <f t="shared" ref="R13:R32" si="0">F13+H13+J13+L13+N13+P13</f>
        <v>154</v>
      </c>
      <c r="S13" s="80">
        <f>R13/E13</f>
        <v>0.35</v>
      </c>
    </row>
    <row r="14" spans="1:21" ht="18" customHeight="1" x14ac:dyDescent="0.2">
      <c r="A14" s="6"/>
      <c r="B14" s="11" t="s">
        <v>160</v>
      </c>
      <c r="C14" s="36">
        <v>136</v>
      </c>
      <c r="D14" s="38">
        <v>125</v>
      </c>
      <c r="E14" s="38">
        <v>250</v>
      </c>
      <c r="F14" s="39">
        <v>77</v>
      </c>
      <c r="G14" s="39">
        <v>74</v>
      </c>
      <c r="H14" s="39"/>
      <c r="I14" s="39"/>
      <c r="J14" s="39"/>
      <c r="K14" s="39"/>
      <c r="L14" s="39"/>
      <c r="M14" s="39"/>
      <c r="N14" s="39"/>
      <c r="O14" s="39"/>
      <c r="P14" s="39"/>
      <c r="Q14" s="36"/>
      <c r="R14" s="37">
        <f t="shared" si="0"/>
        <v>77</v>
      </c>
      <c r="S14" s="8">
        <f>R14/E14</f>
        <v>0.308</v>
      </c>
    </row>
    <row r="15" spans="1:21" ht="18" customHeight="1" x14ac:dyDescent="0.2">
      <c r="A15" s="6"/>
      <c r="B15" s="11" t="s">
        <v>161</v>
      </c>
      <c r="C15" s="36">
        <v>185</v>
      </c>
      <c r="D15" s="38">
        <v>135</v>
      </c>
      <c r="E15" s="38">
        <v>270</v>
      </c>
      <c r="F15" s="39">
        <v>0</v>
      </c>
      <c r="G15" s="39">
        <v>0</v>
      </c>
      <c r="H15" s="39"/>
      <c r="I15" s="39"/>
      <c r="J15" s="39"/>
      <c r="K15" s="39"/>
      <c r="L15" s="39"/>
      <c r="M15" s="39"/>
      <c r="N15" s="39"/>
      <c r="O15" s="39"/>
      <c r="P15" s="39"/>
      <c r="Q15" s="36"/>
      <c r="R15" s="37">
        <f>F15+H15+J15+L15+N15+P15</f>
        <v>0</v>
      </c>
      <c r="S15" s="8">
        <f>R15/E15</f>
        <v>0</v>
      </c>
    </row>
    <row r="16" spans="1:21" ht="18" customHeight="1" x14ac:dyDescent="0.2">
      <c r="A16" s="6"/>
      <c r="B16" s="11"/>
      <c r="C16" s="36"/>
      <c r="D16" s="37"/>
      <c r="E16" s="38"/>
      <c r="F16" s="39"/>
      <c r="G16" s="39"/>
      <c r="H16" s="39"/>
      <c r="I16" s="39"/>
      <c r="J16" s="39"/>
      <c r="K16" s="39"/>
      <c r="L16" s="39"/>
      <c r="M16" s="39"/>
      <c r="N16" s="39"/>
      <c r="O16" s="39"/>
      <c r="P16" s="39"/>
      <c r="Q16" s="36"/>
      <c r="R16" s="37">
        <f t="shared" si="0"/>
        <v>0</v>
      </c>
      <c r="S16" s="8" t="e">
        <f t="shared" ref="S16:S32" si="1">R16/E16</f>
        <v>#DIV/0!</v>
      </c>
    </row>
    <row r="17" spans="1:19" ht="18" customHeight="1" x14ac:dyDescent="0.2">
      <c r="A17" s="6"/>
      <c r="B17" s="11"/>
      <c r="C17" s="36"/>
      <c r="D17" s="37"/>
      <c r="E17" s="38"/>
      <c r="F17" s="39"/>
      <c r="G17" s="39"/>
      <c r="H17" s="39"/>
      <c r="I17" s="39"/>
      <c r="J17" s="39"/>
      <c r="K17" s="39"/>
      <c r="L17" s="39"/>
      <c r="M17" s="39"/>
      <c r="N17" s="39"/>
      <c r="O17" s="39"/>
      <c r="P17" s="39"/>
      <c r="Q17" s="36"/>
      <c r="R17" s="37">
        <f t="shared" si="0"/>
        <v>0</v>
      </c>
      <c r="S17" s="8" t="e">
        <f t="shared" si="1"/>
        <v>#DIV/0!</v>
      </c>
    </row>
    <row r="18" spans="1:19" ht="18" customHeight="1" x14ac:dyDescent="0.2">
      <c r="A18" s="6"/>
      <c r="B18" s="11"/>
      <c r="C18" s="36"/>
      <c r="D18" s="37"/>
      <c r="E18" s="38"/>
      <c r="F18" s="39"/>
      <c r="G18" s="39"/>
      <c r="H18" s="39"/>
      <c r="I18" s="39"/>
      <c r="J18" s="39"/>
      <c r="K18" s="39"/>
      <c r="L18" s="39"/>
      <c r="M18" s="39"/>
      <c r="N18" s="39"/>
      <c r="O18" s="39"/>
      <c r="P18" s="39"/>
      <c r="Q18" s="36"/>
      <c r="R18" s="37">
        <f t="shared" si="0"/>
        <v>0</v>
      </c>
      <c r="S18" s="8" t="e">
        <f t="shared" si="1"/>
        <v>#DIV/0!</v>
      </c>
    </row>
    <row r="19" spans="1:19" ht="18" customHeight="1" x14ac:dyDescent="0.2">
      <c r="A19" s="6"/>
      <c r="B19" s="11"/>
      <c r="C19" s="36"/>
      <c r="D19" s="37"/>
      <c r="E19" s="38"/>
      <c r="F19" s="39"/>
      <c r="G19" s="39"/>
      <c r="H19" s="39"/>
      <c r="I19" s="39"/>
      <c r="J19" s="39"/>
      <c r="K19" s="39"/>
      <c r="L19" s="39"/>
      <c r="M19" s="39"/>
      <c r="N19" s="39"/>
      <c r="O19" s="39"/>
      <c r="P19" s="39"/>
      <c r="Q19" s="36"/>
      <c r="R19" s="37">
        <f t="shared" si="0"/>
        <v>0</v>
      </c>
      <c r="S19" s="8" t="e">
        <f t="shared" si="1"/>
        <v>#DIV/0!</v>
      </c>
    </row>
    <row r="20" spans="1:19" ht="18" customHeight="1" x14ac:dyDescent="0.2">
      <c r="A20" s="6"/>
      <c r="B20" s="11"/>
      <c r="C20" s="36"/>
      <c r="D20" s="37"/>
      <c r="E20" s="38"/>
      <c r="F20" s="39"/>
      <c r="G20" s="39"/>
      <c r="H20" s="39"/>
      <c r="I20" s="39"/>
      <c r="J20" s="39"/>
      <c r="K20" s="39"/>
      <c r="L20" s="39"/>
      <c r="M20" s="39"/>
      <c r="N20" s="39"/>
      <c r="O20" s="39"/>
      <c r="P20" s="39"/>
      <c r="Q20" s="36"/>
      <c r="R20" s="37">
        <f t="shared" si="0"/>
        <v>0</v>
      </c>
      <c r="S20" s="8" t="e">
        <f t="shared" si="1"/>
        <v>#DIV/0!</v>
      </c>
    </row>
    <row r="21" spans="1:19" ht="18" customHeight="1" x14ac:dyDescent="0.2">
      <c r="A21" s="6"/>
      <c r="B21" s="11"/>
      <c r="C21" s="36"/>
      <c r="D21" s="37"/>
      <c r="E21" s="38"/>
      <c r="F21" s="39"/>
      <c r="G21" s="39"/>
      <c r="H21" s="39"/>
      <c r="I21" s="39"/>
      <c r="J21" s="39"/>
      <c r="K21" s="39"/>
      <c r="L21" s="39"/>
      <c r="M21" s="39"/>
      <c r="N21" s="39"/>
      <c r="O21" s="39"/>
      <c r="P21" s="39"/>
      <c r="Q21" s="36"/>
      <c r="R21" s="37">
        <f t="shared" si="0"/>
        <v>0</v>
      </c>
      <c r="S21" s="8" t="e">
        <f t="shared" si="1"/>
        <v>#DIV/0!</v>
      </c>
    </row>
    <row r="22" spans="1:19" ht="18" customHeight="1" x14ac:dyDescent="0.2">
      <c r="A22" s="6"/>
      <c r="B22" s="11"/>
      <c r="C22" s="36"/>
      <c r="D22" s="37"/>
      <c r="E22" s="38"/>
      <c r="F22" s="39"/>
      <c r="G22" s="39"/>
      <c r="H22" s="39"/>
      <c r="I22" s="39"/>
      <c r="J22" s="39"/>
      <c r="K22" s="39"/>
      <c r="L22" s="39"/>
      <c r="M22" s="39"/>
      <c r="N22" s="39"/>
      <c r="O22" s="39"/>
      <c r="P22" s="39"/>
      <c r="Q22" s="36"/>
      <c r="R22" s="37">
        <f t="shared" si="0"/>
        <v>0</v>
      </c>
      <c r="S22" s="8" t="e">
        <f t="shared" si="1"/>
        <v>#DIV/0!</v>
      </c>
    </row>
    <row r="23" spans="1:19" ht="18" customHeight="1" x14ac:dyDescent="0.2">
      <c r="A23" s="6"/>
      <c r="B23" s="11"/>
      <c r="C23" s="36"/>
      <c r="D23" s="37"/>
      <c r="E23" s="38"/>
      <c r="F23" s="39"/>
      <c r="G23" s="39"/>
      <c r="H23" s="39"/>
      <c r="I23" s="39"/>
      <c r="J23" s="39"/>
      <c r="K23" s="39"/>
      <c r="L23" s="39"/>
      <c r="M23" s="39"/>
      <c r="N23" s="39"/>
      <c r="O23" s="39"/>
      <c r="P23" s="39"/>
      <c r="Q23" s="36"/>
      <c r="R23" s="37">
        <f t="shared" si="0"/>
        <v>0</v>
      </c>
      <c r="S23" s="8" t="e">
        <f t="shared" si="1"/>
        <v>#DIV/0!</v>
      </c>
    </row>
    <row r="24" spans="1:19" ht="18" customHeight="1" x14ac:dyDescent="0.2">
      <c r="A24" s="6"/>
      <c r="B24" s="11"/>
      <c r="C24" s="36"/>
      <c r="D24" s="37"/>
      <c r="E24" s="38"/>
      <c r="F24" s="39"/>
      <c r="G24" s="39"/>
      <c r="H24" s="39"/>
      <c r="I24" s="39"/>
      <c r="J24" s="39"/>
      <c r="K24" s="39"/>
      <c r="L24" s="39"/>
      <c r="M24" s="39"/>
      <c r="N24" s="39"/>
      <c r="O24" s="39"/>
      <c r="P24" s="39"/>
      <c r="Q24" s="36"/>
      <c r="R24" s="37">
        <f t="shared" si="0"/>
        <v>0</v>
      </c>
      <c r="S24" s="8" t="e">
        <f t="shared" si="1"/>
        <v>#DIV/0!</v>
      </c>
    </row>
    <row r="25" spans="1:19" ht="18" customHeight="1" x14ac:dyDescent="0.2">
      <c r="A25" s="6"/>
      <c r="B25" s="11"/>
      <c r="C25" s="36"/>
      <c r="D25" s="37"/>
      <c r="E25" s="38"/>
      <c r="F25" s="39"/>
      <c r="G25" s="39"/>
      <c r="H25" s="39"/>
      <c r="I25" s="39"/>
      <c r="J25" s="39"/>
      <c r="K25" s="39"/>
      <c r="L25" s="39"/>
      <c r="M25" s="39"/>
      <c r="N25" s="39"/>
      <c r="O25" s="39"/>
      <c r="P25" s="39"/>
      <c r="Q25" s="36"/>
      <c r="R25" s="37">
        <f t="shared" si="0"/>
        <v>0</v>
      </c>
      <c r="S25" s="8" t="e">
        <f t="shared" si="1"/>
        <v>#DIV/0!</v>
      </c>
    </row>
    <row r="26" spans="1:19" ht="18" customHeight="1" x14ac:dyDescent="0.2">
      <c r="A26" s="6"/>
      <c r="B26" s="11"/>
      <c r="C26" s="36"/>
      <c r="D26" s="37"/>
      <c r="E26" s="38"/>
      <c r="F26" s="39"/>
      <c r="G26" s="39"/>
      <c r="H26" s="39"/>
      <c r="I26" s="39"/>
      <c r="J26" s="39"/>
      <c r="K26" s="39"/>
      <c r="L26" s="39"/>
      <c r="M26" s="39"/>
      <c r="N26" s="39"/>
      <c r="O26" s="39"/>
      <c r="P26" s="39"/>
      <c r="Q26" s="36"/>
      <c r="R26" s="37">
        <f t="shared" si="0"/>
        <v>0</v>
      </c>
      <c r="S26" s="8" t="e">
        <f t="shared" si="1"/>
        <v>#DIV/0!</v>
      </c>
    </row>
    <row r="27" spans="1:19" ht="18" customHeight="1" x14ac:dyDescent="0.2">
      <c r="A27" s="6"/>
      <c r="B27" s="11"/>
      <c r="C27" s="36"/>
      <c r="D27" s="37"/>
      <c r="E27" s="38"/>
      <c r="F27" s="39"/>
      <c r="G27" s="39"/>
      <c r="H27" s="39"/>
      <c r="I27" s="39"/>
      <c r="J27" s="39"/>
      <c r="K27" s="39"/>
      <c r="L27" s="39"/>
      <c r="M27" s="39"/>
      <c r="N27" s="39"/>
      <c r="O27" s="39"/>
      <c r="P27" s="39"/>
      <c r="Q27" s="36"/>
      <c r="R27" s="37">
        <f t="shared" si="0"/>
        <v>0</v>
      </c>
      <c r="S27" s="8" t="e">
        <f t="shared" si="1"/>
        <v>#DIV/0!</v>
      </c>
    </row>
    <row r="28" spans="1:19" ht="18" customHeight="1" x14ac:dyDescent="0.2">
      <c r="A28" s="6"/>
      <c r="B28" s="11"/>
      <c r="C28" s="36"/>
      <c r="D28" s="37"/>
      <c r="E28" s="38"/>
      <c r="F28" s="39"/>
      <c r="G28" s="39"/>
      <c r="H28" s="39"/>
      <c r="I28" s="39"/>
      <c r="J28" s="39"/>
      <c r="K28" s="39"/>
      <c r="L28" s="39"/>
      <c r="M28" s="39"/>
      <c r="N28" s="39"/>
      <c r="O28" s="39"/>
      <c r="P28" s="39"/>
      <c r="Q28" s="36"/>
      <c r="R28" s="37">
        <f t="shared" si="0"/>
        <v>0</v>
      </c>
      <c r="S28" s="8" t="e">
        <f t="shared" si="1"/>
        <v>#DIV/0!</v>
      </c>
    </row>
    <row r="29" spans="1:19" ht="18" customHeight="1" x14ac:dyDescent="0.2">
      <c r="A29" s="6"/>
      <c r="B29" s="11"/>
      <c r="C29" s="36"/>
      <c r="D29" s="37"/>
      <c r="E29" s="38"/>
      <c r="F29" s="39"/>
      <c r="G29" s="39"/>
      <c r="H29" s="39"/>
      <c r="I29" s="39"/>
      <c r="J29" s="39"/>
      <c r="K29" s="39"/>
      <c r="L29" s="39"/>
      <c r="M29" s="39"/>
      <c r="N29" s="39"/>
      <c r="O29" s="39"/>
      <c r="P29" s="39"/>
      <c r="Q29" s="36"/>
      <c r="R29" s="37">
        <f t="shared" si="0"/>
        <v>0</v>
      </c>
      <c r="S29" s="8" t="e">
        <f t="shared" si="1"/>
        <v>#DIV/0!</v>
      </c>
    </row>
    <row r="30" spans="1:19" ht="18" customHeight="1" x14ac:dyDescent="0.2">
      <c r="A30" s="6"/>
      <c r="B30" s="11"/>
      <c r="C30" s="36"/>
      <c r="D30" s="40"/>
      <c r="E30" s="38"/>
      <c r="F30" s="39"/>
      <c r="G30" s="39"/>
      <c r="H30" s="39"/>
      <c r="I30" s="39"/>
      <c r="J30" s="39"/>
      <c r="K30" s="39"/>
      <c r="L30" s="39"/>
      <c r="M30" s="39"/>
      <c r="N30" s="39"/>
      <c r="O30" s="39"/>
      <c r="P30" s="39"/>
      <c r="Q30" s="36"/>
      <c r="R30" s="40">
        <f t="shared" si="0"/>
        <v>0</v>
      </c>
      <c r="S30" s="8" t="e">
        <f t="shared" si="1"/>
        <v>#DIV/0!</v>
      </c>
    </row>
    <row r="31" spans="1:19" ht="18" customHeight="1" x14ac:dyDescent="0.2">
      <c r="A31" s="6"/>
      <c r="B31" s="11"/>
      <c r="C31" s="36"/>
      <c r="D31" s="40"/>
      <c r="E31" s="38"/>
      <c r="F31" s="39"/>
      <c r="G31" s="39"/>
      <c r="H31" s="39"/>
      <c r="I31" s="39"/>
      <c r="J31" s="39"/>
      <c r="K31" s="39"/>
      <c r="L31" s="39"/>
      <c r="M31" s="39"/>
      <c r="N31" s="39"/>
      <c r="O31" s="39"/>
      <c r="P31" s="39"/>
      <c r="Q31" s="36"/>
      <c r="R31" s="40">
        <f t="shared" si="0"/>
        <v>0</v>
      </c>
      <c r="S31" s="8" t="e">
        <f t="shared" si="1"/>
        <v>#DIV/0!</v>
      </c>
    </row>
    <row r="32" spans="1:19" ht="18" customHeight="1" thickBot="1" x14ac:dyDescent="0.25">
      <c r="A32" s="6"/>
      <c r="B32" s="12"/>
      <c r="C32" s="33"/>
      <c r="D32" s="41"/>
      <c r="E32" s="35"/>
      <c r="F32" s="35"/>
      <c r="G32" s="35"/>
      <c r="H32" s="35"/>
      <c r="I32" s="35"/>
      <c r="J32" s="35"/>
      <c r="K32" s="35"/>
      <c r="L32" s="35"/>
      <c r="M32" s="35"/>
      <c r="N32" s="35"/>
      <c r="O32" s="35"/>
      <c r="P32" s="35"/>
      <c r="Q32" s="36"/>
      <c r="R32" s="41">
        <f t="shared" si="0"/>
        <v>0</v>
      </c>
      <c r="S32" s="7" t="e">
        <f t="shared" si="1"/>
        <v>#DIV/0!</v>
      </c>
    </row>
    <row r="33" spans="2:19" ht="18" customHeight="1" thickTop="1" x14ac:dyDescent="0.2">
      <c r="B33" s="13" t="s">
        <v>32</v>
      </c>
      <c r="C33" s="42">
        <f t="shared" ref="C33" si="2">SUM(C13:C32)</f>
        <v>642</v>
      </c>
      <c r="D33" s="43">
        <f t="shared" ref="D33:R33" si="3">SUM(D13:D32)</f>
        <v>480</v>
      </c>
      <c r="E33" s="44">
        <f t="shared" si="3"/>
        <v>960</v>
      </c>
      <c r="F33" s="44">
        <f t="shared" si="3"/>
        <v>231</v>
      </c>
      <c r="G33" s="44">
        <f t="shared" ref="G33:H33" si="4">SUM(G13:G32)</f>
        <v>216</v>
      </c>
      <c r="H33" s="44">
        <f t="shared" si="4"/>
        <v>0</v>
      </c>
      <c r="I33" s="44">
        <f t="shared" ref="I33:J33" si="5">SUM(I13:I32)</f>
        <v>0</v>
      </c>
      <c r="J33" s="44">
        <f t="shared" si="5"/>
        <v>0</v>
      </c>
      <c r="K33" s="44">
        <f t="shared" ref="K33:O33" si="6">SUM(K13:K32)</f>
        <v>0</v>
      </c>
      <c r="L33" s="44">
        <f t="shared" si="6"/>
        <v>0</v>
      </c>
      <c r="M33" s="44">
        <f t="shared" si="6"/>
        <v>0</v>
      </c>
      <c r="N33" s="44">
        <f t="shared" si="6"/>
        <v>0</v>
      </c>
      <c r="O33" s="44">
        <f t="shared" si="6"/>
        <v>0</v>
      </c>
      <c r="P33" s="44">
        <f t="shared" ref="P33:Q33" si="7">SUM(P13:P32)</f>
        <v>0</v>
      </c>
      <c r="Q33" s="42">
        <f t="shared" si="7"/>
        <v>0</v>
      </c>
      <c r="R33" s="43">
        <f t="shared" si="3"/>
        <v>231</v>
      </c>
      <c r="S33" s="9">
        <f>R33/E33</f>
        <v>0.24062500000000001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4"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85" zoomScale="115" zoomScaleNormal="100" zoomScaleSheetLayoutView="115" workbookViewId="0">
      <selection activeCell="B80" sqref="B80:I91"/>
    </sheetView>
  </sheetViews>
  <sheetFormatPr defaultColWidth="11.36328125" defaultRowHeight="18.75" customHeight="1" x14ac:dyDescent="0.2"/>
  <cols>
    <col min="1" max="1" width="2.90625" style="19" customWidth="1"/>
    <col min="2" max="2" width="16.6328125" style="1" customWidth="1"/>
    <col min="3" max="3" width="8.90625" style="1" customWidth="1"/>
    <col min="4" max="4" width="2.089843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19" t="s">
        <v>58</v>
      </c>
      <c r="I1" s="17" t="s">
        <v>90</v>
      </c>
    </row>
    <row r="2" spans="1:9" ht="18.75" customHeight="1" x14ac:dyDescent="0.2">
      <c r="G2" s="17" t="s">
        <v>92</v>
      </c>
      <c r="H2" s="96" t="str">
        <f>'様式１−１　プログラムを構成する授業科目'!C2</f>
        <v>湘北短期大学</v>
      </c>
      <c r="I2" s="98"/>
    </row>
    <row r="3" spans="1:9" ht="18.75" customHeight="1" x14ac:dyDescent="0.2">
      <c r="G3" s="17"/>
      <c r="H3" s="10"/>
      <c r="I3" s="10"/>
    </row>
    <row r="4" spans="1:9" ht="18.649999999999999" customHeight="1" x14ac:dyDescent="0.2">
      <c r="A4" s="107" t="s">
        <v>35</v>
      </c>
      <c r="B4" s="107"/>
      <c r="C4" s="107"/>
      <c r="D4" s="107"/>
      <c r="E4" s="107"/>
      <c r="F4" s="107"/>
      <c r="G4" s="107"/>
      <c r="H4" s="107"/>
      <c r="I4" s="107"/>
    </row>
    <row r="5" spans="1:9" ht="13.4" customHeight="1" x14ac:dyDescent="0.2">
      <c r="B5" s="3"/>
      <c r="C5" s="3"/>
      <c r="D5" s="3"/>
      <c r="E5" s="3"/>
      <c r="F5" s="3"/>
      <c r="G5" s="3"/>
      <c r="H5" s="3"/>
      <c r="I5" s="3"/>
    </row>
    <row r="6" spans="1:9" ht="18" customHeight="1" x14ac:dyDescent="0.2">
      <c r="A6" s="1" t="s">
        <v>0</v>
      </c>
      <c r="B6" s="10" t="s">
        <v>80</v>
      </c>
      <c r="C6" s="193" t="s">
        <v>81</v>
      </c>
      <c r="D6" s="193"/>
      <c r="E6" s="79">
        <v>34</v>
      </c>
      <c r="F6" s="3" t="s">
        <v>1</v>
      </c>
      <c r="G6" s="3" t="s">
        <v>2</v>
      </c>
      <c r="H6" s="79">
        <v>82</v>
      </c>
      <c r="I6" s="10" t="s">
        <v>1</v>
      </c>
    </row>
    <row r="7" spans="1:9" ht="12" customHeight="1" x14ac:dyDescent="0.2">
      <c r="C7" s="2"/>
      <c r="D7" s="2"/>
      <c r="E7" s="2"/>
      <c r="F7" s="2"/>
      <c r="G7" s="2"/>
      <c r="H7" s="2"/>
      <c r="I7" s="20"/>
    </row>
    <row r="8" spans="1:9" ht="18" customHeight="1" x14ac:dyDescent="0.2">
      <c r="A8" s="1" t="s">
        <v>3</v>
      </c>
      <c r="B8" s="10" t="s">
        <v>82</v>
      </c>
      <c r="E8" s="3"/>
      <c r="F8" s="3"/>
      <c r="G8" s="3"/>
      <c r="H8" s="16">
        <v>2</v>
      </c>
      <c r="I8" s="10" t="s">
        <v>1</v>
      </c>
    </row>
    <row r="9" spans="1:9" ht="9" customHeight="1" x14ac:dyDescent="0.2">
      <c r="B9" s="3"/>
      <c r="C9" s="3"/>
      <c r="D9" s="3"/>
      <c r="E9" s="3"/>
      <c r="F9" s="3"/>
      <c r="G9" s="3"/>
      <c r="H9" s="3"/>
      <c r="I9" s="3"/>
    </row>
    <row r="10" spans="1:9" ht="18" customHeight="1" x14ac:dyDescent="0.2">
      <c r="A10" s="1" t="s">
        <v>4</v>
      </c>
      <c r="B10" s="10" t="s">
        <v>83</v>
      </c>
      <c r="C10" s="3"/>
      <c r="D10" s="3"/>
      <c r="E10" s="3"/>
      <c r="F10" s="3"/>
      <c r="G10" s="3"/>
      <c r="H10" s="3"/>
      <c r="I10" s="3"/>
    </row>
    <row r="11" spans="1:9" ht="18" customHeight="1" x14ac:dyDescent="0.2">
      <c r="B11" s="17" t="s">
        <v>40</v>
      </c>
      <c r="C11" s="188" t="s">
        <v>165</v>
      </c>
      <c r="D11" s="191"/>
      <c r="E11" s="192"/>
      <c r="F11" s="20"/>
      <c r="G11" s="17" t="s">
        <v>10</v>
      </c>
      <c r="H11" s="188" t="s">
        <v>164</v>
      </c>
      <c r="I11" s="192"/>
    </row>
    <row r="12" spans="1:9" ht="10.4" customHeight="1" x14ac:dyDescent="0.2">
      <c r="B12" s="17"/>
      <c r="C12" s="10"/>
      <c r="D12" s="20"/>
      <c r="E12" s="20"/>
      <c r="F12" s="20"/>
      <c r="G12" s="17"/>
      <c r="H12" s="10"/>
      <c r="I12" s="20"/>
    </row>
    <row r="13" spans="1:9" ht="18" customHeight="1" x14ac:dyDescent="0.2">
      <c r="A13" s="1" t="s">
        <v>7</v>
      </c>
      <c r="B13" s="10" t="s">
        <v>78</v>
      </c>
      <c r="C13" s="3"/>
      <c r="D13" s="3"/>
      <c r="E13" s="3"/>
      <c r="F13" s="3"/>
      <c r="G13" s="3"/>
      <c r="H13" s="3"/>
      <c r="I13" s="3"/>
    </row>
    <row r="14" spans="1:9" ht="18" customHeight="1" x14ac:dyDescent="0.2">
      <c r="B14" s="188" t="s">
        <v>167</v>
      </c>
      <c r="C14" s="189"/>
      <c r="D14" s="189"/>
      <c r="E14" s="189"/>
      <c r="F14" s="189"/>
      <c r="G14" s="189"/>
      <c r="H14" s="189"/>
      <c r="I14" s="190"/>
    </row>
    <row r="15" spans="1:9" ht="9" customHeight="1" x14ac:dyDescent="0.2">
      <c r="B15" s="3"/>
      <c r="C15" s="3"/>
      <c r="D15" s="3"/>
      <c r="E15" s="3"/>
      <c r="F15" s="3"/>
      <c r="G15" s="3"/>
      <c r="H15" s="3"/>
      <c r="I15" s="3"/>
    </row>
    <row r="16" spans="1:9" ht="18" customHeight="1" x14ac:dyDescent="0.2">
      <c r="B16" s="17" t="s">
        <v>40</v>
      </c>
      <c r="C16" s="188" t="s">
        <v>166</v>
      </c>
      <c r="D16" s="191"/>
      <c r="E16" s="192"/>
      <c r="F16" s="20"/>
      <c r="G16" s="17" t="s">
        <v>10</v>
      </c>
      <c r="H16" s="188" t="s">
        <v>163</v>
      </c>
      <c r="I16" s="192"/>
    </row>
    <row r="17" spans="1:9" ht="18" customHeight="1" x14ac:dyDescent="0.2">
      <c r="B17" s="3"/>
      <c r="C17" s="3"/>
      <c r="D17" s="3"/>
      <c r="E17" s="3"/>
      <c r="F17" s="3"/>
      <c r="G17" s="3"/>
      <c r="H17" s="3"/>
      <c r="I17" s="3"/>
    </row>
    <row r="18" spans="1:9" ht="18.75" customHeight="1" x14ac:dyDescent="0.2">
      <c r="A18" s="1" t="s">
        <v>5</v>
      </c>
      <c r="B18" s="1" t="s">
        <v>39</v>
      </c>
      <c r="I18" s="3"/>
    </row>
    <row r="19" spans="1:9" ht="18.75" customHeight="1" x14ac:dyDescent="0.2">
      <c r="A19" s="1"/>
      <c r="B19" s="174" t="s">
        <v>178</v>
      </c>
      <c r="C19" s="175"/>
      <c r="D19" s="175"/>
      <c r="E19" s="175"/>
      <c r="F19" s="175"/>
      <c r="G19" s="175"/>
      <c r="H19" s="175"/>
      <c r="I19" s="176"/>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177" t="s">
        <v>172</v>
      </c>
      <c r="C22" s="178"/>
      <c r="D22" s="178"/>
      <c r="E22" s="178"/>
      <c r="F22" s="178"/>
      <c r="G22" s="178"/>
      <c r="H22" s="178"/>
      <c r="I22" s="179"/>
    </row>
    <row r="23" spans="1:9" ht="18.75" customHeight="1" x14ac:dyDescent="0.2">
      <c r="A23" s="14"/>
      <c r="B23" s="180"/>
      <c r="C23" s="181"/>
      <c r="D23" s="181"/>
      <c r="E23" s="181"/>
      <c r="F23" s="181"/>
      <c r="G23" s="181"/>
      <c r="H23" s="181"/>
      <c r="I23" s="182"/>
    </row>
    <row r="24" spans="1:9" ht="18.75" customHeight="1" x14ac:dyDescent="0.2">
      <c r="A24" s="14"/>
      <c r="B24" s="180"/>
      <c r="C24" s="181"/>
      <c r="D24" s="181"/>
      <c r="E24" s="181"/>
      <c r="F24" s="181"/>
      <c r="G24" s="181"/>
      <c r="H24" s="181"/>
      <c r="I24" s="182"/>
    </row>
    <row r="25" spans="1:9" ht="18.75" customHeight="1" x14ac:dyDescent="0.2">
      <c r="A25" s="14"/>
      <c r="B25" s="180"/>
      <c r="C25" s="181"/>
      <c r="D25" s="181"/>
      <c r="E25" s="181"/>
      <c r="F25" s="181"/>
      <c r="G25" s="181"/>
      <c r="H25" s="181"/>
      <c r="I25" s="182"/>
    </row>
    <row r="26" spans="1:9" ht="18.75" customHeight="1" x14ac:dyDescent="0.2">
      <c r="A26" s="14"/>
      <c r="B26" s="180"/>
      <c r="C26" s="181"/>
      <c r="D26" s="181"/>
      <c r="E26" s="181"/>
      <c r="F26" s="181"/>
      <c r="G26" s="181"/>
      <c r="H26" s="181"/>
      <c r="I26" s="182"/>
    </row>
    <row r="27" spans="1:9" ht="18.75" customHeight="1" x14ac:dyDescent="0.2">
      <c r="A27" s="14"/>
      <c r="B27" s="180"/>
      <c r="C27" s="181"/>
      <c r="D27" s="181"/>
      <c r="E27" s="181"/>
      <c r="F27" s="181"/>
      <c r="G27" s="181"/>
      <c r="H27" s="181"/>
      <c r="I27" s="182"/>
    </row>
    <row r="28" spans="1:9" ht="18.75" customHeight="1" x14ac:dyDescent="0.2">
      <c r="A28" s="14"/>
      <c r="B28" s="180"/>
      <c r="C28" s="181"/>
      <c r="D28" s="181"/>
      <c r="E28" s="181"/>
      <c r="F28" s="181"/>
      <c r="G28" s="181"/>
      <c r="H28" s="181"/>
      <c r="I28" s="182"/>
    </row>
    <row r="29" spans="1:9" ht="18.75" customHeight="1" x14ac:dyDescent="0.2">
      <c r="A29" s="14"/>
      <c r="B29" s="180"/>
      <c r="C29" s="181"/>
      <c r="D29" s="181"/>
      <c r="E29" s="181"/>
      <c r="F29" s="181"/>
      <c r="G29" s="181"/>
      <c r="H29" s="181"/>
      <c r="I29" s="182"/>
    </row>
    <row r="30" spans="1:9" ht="18.75" customHeight="1" x14ac:dyDescent="0.2">
      <c r="A30" s="14"/>
      <c r="B30" s="183"/>
      <c r="C30" s="184"/>
      <c r="D30" s="184"/>
      <c r="E30" s="184"/>
      <c r="F30" s="184"/>
      <c r="G30" s="184"/>
      <c r="H30" s="184"/>
      <c r="I30" s="182"/>
    </row>
    <row r="31" spans="1:9" ht="18.75" customHeight="1" x14ac:dyDescent="0.2">
      <c r="A31" s="14"/>
      <c r="B31" s="183"/>
      <c r="C31" s="184"/>
      <c r="D31" s="184"/>
      <c r="E31" s="184"/>
      <c r="F31" s="184"/>
      <c r="G31" s="184"/>
      <c r="H31" s="184"/>
      <c r="I31" s="182"/>
    </row>
    <row r="32" spans="1:9" ht="18.75" customHeight="1" x14ac:dyDescent="0.2">
      <c r="A32" s="14"/>
      <c r="B32" s="185"/>
      <c r="C32" s="186"/>
      <c r="D32" s="186"/>
      <c r="E32" s="186"/>
      <c r="F32" s="186"/>
      <c r="G32" s="186"/>
      <c r="H32" s="186"/>
      <c r="I32" s="187"/>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77" t="s">
        <v>168</v>
      </c>
      <c r="C35" s="178"/>
      <c r="D35" s="178"/>
      <c r="E35" s="178"/>
      <c r="F35" s="178"/>
      <c r="G35" s="178"/>
      <c r="H35" s="178"/>
      <c r="I35" s="179"/>
    </row>
    <row r="36" spans="1:9" ht="18.75" customHeight="1" x14ac:dyDescent="0.2">
      <c r="A36" s="14"/>
      <c r="B36" s="183"/>
      <c r="C36" s="184"/>
      <c r="D36" s="184"/>
      <c r="E36" s="184"/>
      <c r="F36" s="184"/>
      <c r="G36" s="184"/>
      <c r="H36" s="184"/>
      <c r="I36" s="182"/>
    </row>
    <row r="37" spans="1:9" ht="18.75" customHeight="1" x14ac:dyDescent="0.2">
      <c r="A37" s="14"/>
      <c r="B37" s="183"/>
      <c r="C37" s="184"/>
      <c r="D37" s="184"/>
      <c r="E37" s="184"/>
      <c r="F37" s="184"/>
      <c r="G37" s="184"/>
      <c r="H37" s="184"/>
      <c r="I37" s="182"/>
    </row>
    <row r="38" spans="1:9" ht="18.75" customHeight="1" x14ac:dyDescent="0.2">
      <c r="A38" s="14"/>
      <c r="B38" s="183"/>
      <c r="C38" s="184"/>
      <c r="D38" s="184"/>
      <c r="E38" s="184"/>
      <c r="F38" s="184"/>
      <c r="G38" s="184"/>
      <c r="H38" s="184"/>
      <c r="I38" s="182"/>
    </row>
    <row r="39" spans="1:9" ht="18.75" customHeight="1" x14ac:dyDescent="0.2">
      <c r="A39" s="14"/>
      <c r="B39" s="183"/>
      <c r="C39" s="184"/>
      <c r="D39" s="184"/>
      <c r="E39" s="184"/>
      <c r="F39" s="184"/>
      <c r="G39" s="184"/>
      <c r="H39" s="184"/>
      <c r="I39" s="182"/>
    </row>
    <row r="40" spans="1:9" ht="18.75" customHeight="1" x14ac:dyDescent="0.2">
      <c r="A40" s="14"/>
      <c r="B40" s="183"/>
      <c r="C40" s="184"/>
      <c r="D40" s="184"/>
      <c r="E40" s="184"/>
      <c r="F40" s="184"/>
      <c r="G40" s="184"/>
      <c r="H40" s="184"/>
      <c r="I40" s="182"/>
    </row>
    <row r="41" spans="1:9" ht="18.75" customHeight="1" x14ac:dyDescent="0.2">
      <c r="A41" s="14"/>
      <c r="B41" s="183"/>
      <c r="C41" s="184"/>
      <c r="D41" s="184"/>
      <c r="E41" s="184"/>
      <c r="F41" s="184"/>
      <c r="G41" s="184"/>
      <c r="H41" s="184"/>
      <c r="I41" s="182"/>
    </row>
    <row r="42" spans="1:9" ht="18.75" customHeight="1" x14ac:dyDescent="0.2">
      <c r="A42" s="14"/>
      <c r="B42" s="183"/>
      <c r="C42" s="184"/>
      <c r="D42" s="184"/>
      <c r="E42" s="184"/>
      <c r="F42" s="184"/>
      <c r="G42" s="184"/>
      <c r="H42" s="184"/>
      <c r="I42" s="182"/>
    </row>
    <row r="43" spans="1:9" ht="18.75" customHeight="1" x14ac:dyDescent="0.2">
      <c r="A43" s="14"/>
      <c r="B43" s="183"/>
      <c r="C43" s="184"/>
      <c r="D43" s="184"/>
      <c r="E43" s="184"/>
      <c r="F43" s="184"/>
      <c r="G43" s="184"/>
      <c r="H43" s="184"/>
      <c r="I43" s="182"/>
    </row>
    <row r="44" spans="1:9" ht="18.75" customHeight="1" x14ac:dyDescent="0.2">
      <c r="A44" s="14"/>
      <c r="B44" s="183"/>
      <c r="C44" s="184"/>
      <c r="D44" s="184"/>
      <c r="E44" s="184"/>
      <c r="F44" s="184"/>
      <c r="G44" s="184"/>
      <c r="H44" s="184"/>
      <c r="I44" s="182"/>
    </row>
    <row r="45" spans="1:9" ht="18.75" customHeight="1" x14ac:dyDescent="0.2">
      <c r="A45" s="14"/>
      <c r="B45" s="183"/>
      <c r="C45" s="184"/>
      <c r="D45" s="184"/>
      <c r="E45" s="184"/>
      <c r="F45" s="184"/>
      <c r="G45" s="184"/>
      <c r="H45" s="184"/>
      <c r="I45" s="182"/>
    </row>
    <row r="46" spans="1:9" ht="18.75" customHeight="1" x14ac:dyDescent="0.2">
      <c r="A46" s="14"/>
      <c r="B46" s="185"/>
      <c r="C46" s="186"/>
      <c r="D46" s="186"/>
      <c r="E46" s="186"/>
      <c r="F46" s="186"/>
      <c r="G46" s="186"/>
      <c r="H46" s="186"/>
      <c r="I46" s="187"/>
    </row>
    <row r="47" spans="1:9" ht="7.5" customHeight="1" x14ac:dyDescent="0.2">
      <c r="A47" s="4"/>
      <c r="B47" s="4"/>
      <c r="C47" s="4"/>
      <c r="D47" s="4"/>
      <c r="E47" s="4"/>
      <c r="F47" s="4"/>
      <c r="G47" s="4"/>
      <c r="H47" s="4"/>
      <c r="I47" s="4"/>
    </row>
    <row r="48" spans="1:9" ht="18.75" customHeight="1" x14ac:dyDescent="0.2">
      <c r="A48" s="1" t="s">
        <v>30</v>
      </c>
      <c r="B48" s="1" t="s">
        <v>104</v>
      </c>
    </row>
    <row r="49" spans="1:15" s="3" customFormat="1" ht="18.75" customHeight="1" x14ac:dyDescent="0.2">
      <c r="B49" s="77" t="s">
        <v>129</v>
      </c>
      <c r="C49" s="216">
        <f>'様式２ 履修者等数の実績'!S33</f>
        <v>0.24062500000000001</v>
      </c>
      <c r="D49" s="216"/>
      <c r="E49" s="77" t="s">
        <v>59</v>
      </c>
      <c r="F49" s="216">
        <v>0.67</v>
      </c>
      <c r="G49" s="216"/>
      <c r="H49" s="77" t="s">
        <v>79</v>
      </c>
      <c r="I49" s="21">
        <v>0.8</v>
      </c>
      <c r="J49" s="1"/>
      <c r="M49" s="1"/>
      <c r="N49" s="22"/>
    </row>
    <row r="50" spans="1:15" s="3" customFormat="1" ht="18.75" customHeight="1" x14ac:dyDescent="0.2">
      <c r="B50" s="78" t="s">
        <v>115</v>
      </c>
      <c r="C50" s="199">
        <v>0.9</v>
      </c>
      <c r="D50" s="199"/>
      <c r="E50" s="78" t="s">
        <v>130</v>
      </c>
      <c r="F50" s="199">
        <v>1</v>
      </c>
      <c r="G50" s="199"/>
      <c r="H50" s="78" t="s">
        <v>60</v>
      </c>
      <c r="I50" s="23">
        <f>'様式２ 履修者等数の実績'!E33</f>
        <v>960</v>
      </c>
      <c r="J50" s="1"/>
      <c r="M50" s="1"/>
      <c r="N50" s="22"/>
    </row>
    <row r="51" spans="1:15" ht="18.75" customHeight="1" x14ac:dyDescent="0.2">
      <c r="A51" s="1"/>
      <c r="B51" s="196" t="s">
        <v>61</v>
      </c>
      <c r="C51" s="197"/>
      <c r="D51" s="197"/>
      <c r="E51" s="197"/>
      <c r="F51" s="197"/>
      <c r="G51" s="197"/>
      <c r="H51" s="197"/>
      <c r="I51" s="198"/>
      <c r="N51" s="22"/>
      <c r="O51" s="3"/>
    </row>
    <row r="52" spans="1:15" ht="18.75" customHeight="1" x14ac:dyDescent="0.2">
      <c r="A52" s="1"/>
      <c r="B52" s="217" t="s">
        <v>180</v>
      </c>
      <c r="C52" s="218"/>
      <c r="D52" s="218"/>
      <c r="E52" s="218"/>
      <c r="F52" s="218"/>
      <c r="G52" s="218"/>
      <c r="H52" s="218"/>
      <c r="I52" s="219"/>
      <c r="N52" s="22"/>
      <c r="O52" s="3"/>
    </row>
    <row r="53" spans="1:15" ht="18.75" customHeight="1" x14ac:dyDescent="0.2">
      <c r="A53" s="1"/>
      <c r="B53" s="220"/>
      <c r="C53" s="221"/>
      <c r="D53" s="221"/>
      <c r="E53" s="221"/>
      <c r="F53" s="221"/>
      <c r="G53" s="221"/>
      <c r="H53" s="221"/>
      <c r="I53" s="222"/>
      <c r="N53" s="22"/>
      <c r="O53" s="3"/>
    </row>
    <row r="54" spans="1:15" ht="18.75" customHeight="1" x14ac:dyDescent="0.2">
      <c r="A54" s="1"/>
      <c r="B54" s="220"/>
      <c r="C54" s="221"/>
      <c r="D54" s="221"/>
      <c r="E54" s="221"/>
      <c r="F54" s="221"/>
      <c r="G54" s="221"/>
      <c r="H54" s="221"/>
      <c r="I54" s="222"/>
    </row>
    <row r="55" spans="1:15" ht="18.75" customHeight="1" x14ac:dyDescent="0.2">
      <c r="A55" s="1"/>
      <c r="B55" s="220"/>
      <c r="C55" s="221"/>
      <c r="D55" s="221"/>
      <c r="E55" s="221"/>
      <c r="F55" s="221"/>
      <c r="G55" s="221"/>
      <c r="H55" s="221"/>
      <c r="I55" s="222"/>
    </row>
    <row r="56" spans="1:15" ht="18.75" customHeight="1" x14ac:dyDescent="0.2">
      <c r="A56" s="1"/>
      <c r="B56" s="220"/>
      <c r="C56" s="221"/>
      <c r="D56" s="221"/>
      <c r="E56" s="221"/>
      <c r="F56" s="221"/>
      <c r="G56" s="221"/>
      <c r="H56" s="221"/>
      <c r="I56" s="222"/>
    </row>
    <row r="57" spans="1:15" ht="18.75" customHeight="1" x14ac:dyDescent="0.2">
      <c r="A57" s="1"/>
      <c r="B57" s="220"/>
      <c r="C57" s="221"/>
      <c r="D57" s="221"/>
      <c r="E57" s="221"/>
      <c r="F57" s="221"/>
      <c r="G57" s="221"/>
      <c r="H57" s="221"/>
      <c r="I57" s="222"/>
    </row>
    <row r="58" spans="1:15" ht="18.75" customHeight="1" x14ac:dyDescent="0.2">
      <c r="A58" s="1"/>
      <c r="B58" s="220"/>
      <c r="C58" s="221"/>
      <c r="D58" s="221"/>
      <c r="E58" s="221"/>
      <c r="F58" s="221"/>
      <c r="G58" s="221"/>
      <c r="H58" s="221"/>
      <c r="I58" s="222"/>
    </row>
    <row r="59" spans="1:15" ht="18.75" customHeight="1" x14ac:dyDescent="0.2">
      <c r="A59" s="1"/>
      <c r="B59" s="220"/>
      <c r="C59" s="221"/>
      <c r="D59" s="221"/>
      <c r="E59" s="221"/>
      <c r="F59" s="221"/>
      <c r="G59" s="221"/>
      <c r="H59" s="221"/>
      <c r="I59" s="222"/>
    </row>
    <row r="60" spans="1:15" ht="18.75" customHeight="1" x14ac:dyDescent="0.2">
      <c r="A60" s="1"/>
      <c r="B60" s="220"/>
      <c r="C60" s="221"/>
      <c r="D60" s="221"/>
      <c r="E60" s="221"/>
      <c r="F60" s="221"/>
      <c r="G60" s="221"/>
      <c r="H60" s="221"/>
      <c r="I60" s="222"/>
    </row>
    <row r="61" spans="1:15" ht="18.75" customHeight="1" x14ac:dyDescent="0.2">
      <c r="A61" s="1"/>
      <c r="B61" s="220"/>
      <c r="C61" s="221"/>
      <c r="D61" s="221"/>
      <c r="E61" s="221"/>
      <c r="F61" s="221"/>
      <c r="G61" s="221"/>
      <c r="H61" s="221"/>
      <c r="I61" s="222"/>
    </row>
    <row r="62" spans="1:15" ht="18.75" customHeight="1" x14ac:dyDescent="0.2">
      <c r="A62" s="1"/>
      <c r="B62" s="220"/>
      <c r="C62" s="221"/>
      <c r="D62" s="221"/>
      <c r="E62" s="221"/>
      <c r="F62" s="221"/>
      <c r="G62" s="221"/>
      <c r="H62" s="221"/>
      <c r="I62" s="222"/>
    </row>
    <row r="63" spans="1:15" ht="18.75" customHeight="1" x14ac:dyDescent="0.2">
      <c r="A63" s="1"/>
      <c r="B63" s="223"/>
      <c r="C63" s="224"/>
      <c r="D63" s="224"/>
      <c r="E63" s="224"/>
      <c r="F63" s="224"/>
      <c r="G63" s="224"/>
      <c r="H63" s="224"/>
      <c r="I63" s="225"/>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200" t="s">
        <v>171</v>
      </c>
      <c r="C66" s="201"/>
      <c r="D66" s="201"/>
      <c r="E66" s="201"/>
      <c r="F66" s="201"/>
      <c r="G66" s="201"/>
      <c r="H66" s="201"/>
      <c r="I66" s="202"/>
    </row>
    <row r="67" spans="1:9" ht="18.75" customHeight="1" x14ac:dyDescent="0.2">
      <c r="A67" s="4"/>
      <c r="B67" s="203"/>
      <c r="C67" s="204"/>
      <c r="D67" s="204"/>
      <c r="E67" s="204"/>
      <c r="F67" s="204"/>
      <c r="G67" s="204"/>
      <c r="H67" s="204"/>
      <c r="I67" s="205"/>
    </row>
    <row r="68" spans="1:9" ht="18.75" customHeight="1" x14ac:dyDescent="0.2">
      <c r="A68" s="4"/>
      <c r="B68" s="203"/>
      <c r="C68" s="204"/>
      <c r="D68" s="204"/>
      <c r="E68" s="204"/>
      <c r="F68" s="204"/>
      <c r="G68" s="204"/>
      <c r="H68" s="204"/>
      <c r="I68" s="205"/>
    </row>
    <row r="69" spans="1:9" ht="18.75" customHeight="1" x14ac:dyDescent="0.2">
      <c r="A69" s="4"/>
      <c r="B69" s="203"/>
      <c r="C69" s="204"/>
      <c r="D69" s="204"/>
      <c r="E69" s="204"/>
      <c r="F69" s="204"/>
      <c r="G69" s="204"/>
      <c r="H69" s="204"/>
      <c r="I69" s="205"/>
    </row>
    <row r="70" spans="1:9" ht="18.75" customHeight="1" x14ac:dyDescent="0.2">
      <c r="A70" s="4"/>
      <c r="B70" s="203"/>
      <c r="C70" s="204"/>
      <c r="D70" s="204"/>
      <c r="E70" s="204"/>
      <c r="F70" s="204"/>
      <c r="G70" s="204"/>
      <c r="H70" s="204"/>
      <c r="I70" s="205"/>
    </row>
    <row r="71" spans="1:9" ht="18.75" customHeight="1" x14ac:dyDescent="0.2">
      <c r="A71" s="4"/>
      <c r="B71" s="203"/>
      <c r="C71" s="204"/>
      <c r="D71" s="204"/>
      <c r="E71" s="204"/>
      <c r="F71" s="204"/>
      <c r="G71" s="204"/>
      <c r="H71" s="204"/>
      <c r="I71" s="205"/>
    </row>
    <row r="72" spans="1:9" ht="18.75" customHeight="1" x14ac:dyDescent="0.2">
      <c r="A72" s="4"/>
      <c r="B72" s="203"/>
      <c r="C72" s="204"/>
      <c r="D72" s="204"/>
      <c r="E72" s="204"/>
      <c r="F72" s="204"/>
      <c r="G72" s="204"/>
      <c r="H72" s="204"/>
      <c r="I72" s="205"/>
    </row>
    <row r="73" spans="1:9" ht="18.75" customHeight="1" x14ac:dyDescent="0.2">
      <c r="A73" s="4"/>
      <c r="B73" s="203"/>
      <c r="C73" s="204"/>
      <c r="D73" s="204"/>
      <c r="E73" s="204"/>
      <c r="F73" s="204"/>
      <c r="G73" s="204"/>
      <c r="H73" s="204"/>
      <c r="I73" s="205"/>
    </row>
    <row r="74" spans="1:9" ht="18.75" customHeight="1" x14ac:dyDescent="0.2">
      <c r="A74" s="4"/>
      <c r="B74" s="203"/>
      <c r="C74" s="204"/>
      <c r="D74" s="204"/>
      <c r="E74" s="204"/>
      <c r="F74" s="204"/>
      <c r="G74" s="204"/>
      <c r="H74" s="204"/>
      <c r="I74" s="205"/>
    </row>
    <row r="75" spans="1:9" ht="18.75" customHeight="1" x14ac:dyDescent="0.2">
      <c r="A75" s="4"/>
      <c r="B75" s="203"/>
      <c r="C75" s="204"/>
      <c r="D75" s="204"/>
      <c r="E75" s="204"/>
      <c r="F75" s="204"/>
      <c r="G75" s="204"/>
      <c r="H75" s="204"/>
      <c r="I75" s="205"/>
    </row>
    <row r="76" spans="1:9" ht="18.75" customHeight="1" x14ac:dyDescent="0.2">
      <c r="A76" s="4"/>
      <c r="B76" s="203"/>
      <c r="C76" s="204"/>
      <c r="D76" s="204"/>
      <c r="E76" s="204"/>
      <c r="F76" s="204"/>
      <c r="G76" s="204"/>
      <c r="H76" s="204"/>
      <c r="I76" s="205"/>
    </row>
    <row r="77" spans="1:9" ht="18.75" customHeight="1" x14ac:dyDescent="0.2">
      <c r="A77" s="4"/>
      <c r="B77" s="206"/>
      <c r="C77" s="207"/>
      <c r="D77" s="207"/>
      <c r="E77" s="207"/>
      <c r="F77" s="207"/>
      <c r="G77" s="207"/>
      <c r="H77" s="207"/>
      <c r="I77" s="208"/>
    </row>
    <row r="78" spans="1:9" ht="7.5" customHeight="1" x14ac:dyDescent="0.2">
      <c r="A78" s="4"/>
      <c r="B78" s="4"/>
      <c r="C78" s="4"/>
      <c r="D78" s="4"/>
      <c r="E78" s="4"/>
      <c r="F78" s="4"/>
      <c r="G78" s="4"/>
      <c r="H78" s="4"/>
      <c r="I78" s="4"/>
    </row>
    <row r="79" spans="1:9" ht="18.75" customHeight="1" x14ac:dyDescent="0.2">
      <c r="A79" s="1" t="s">
        <v>11</v>
      </c>
      <c r="B79" s="1" t="s">
        <v>38</v>
      </c>
    </row>
    <row r="80" spans="1:9" ht="18.75" customHeight="1" x14ac:dyDescent="0.2">
      <c r="A80" s="1"/>
      <c r="B80" s="200" t="s">
        <v>196</v>
      </c>
      <c r="C80" s="201"/>
      <c r="D80" s="201"/>
      <c r="E80" s="201"/>
      <c r="F80" s="201"/>
      <c r="G80" s="201"/>
      <c r="H80" s="201"/>
      <c r="I80" s="209"/>
    </row>
    <row r="81" spans="1:9" ht="18.75" customHeight="1" x14ac:dyDescent="0.2">
      <c r="A81" s="1"/>
      <c r="B81" s="210"/>
      <c r="C81" s="211"/>
      <c r="D81" s="211"/>
      <c r="E81" s="211"/>
      <c r="F81" s="211"/>
      <c r="G81" s="211"/>
      <c r="H81" s="211"/>
      <c r="I81" s="212"/>
    </row>
    <row r="82" spans="1:9" ht="18.75" customHeight="1" x14ac:dyDescent="0.2">
      <c r="A82" s="1"/>
      <c r="B82" s="210"/>
      <c r="C82" s="211"/>
      <c r="D82" s="211"/>
      <c r="E82" s="211"/>
      <c r="F82" s="211"/>
      <c r="G82" s="211"/>
      <c r="H82" s="211"/>
      <c r="I82" s="212"/>
    </row>
    <row r="83" spans="1:9" ht="18.75" customHeight="1" x14ac:dyDescent="0.2">
      <c r="A83" s="1"/>
      <c r="B83" s="210"/>
      <c r="C83" s="211"/>
      <c r="D83" s="211"/>
      <c r="E83" s="211"/>
      <c r="F83" s="211"/>
      <c r="G83" s="211"/>
      <c r="H83" s="211"/>
      <c r="I83" s="212"/>
    </row>
    <row r="84" spans="1:9" ht="18.75" customHeight="1" x14ac:dyDescent="0.2">
      <c r="A84" s="1"/>
      <c r="B84" s="210"/>
      <c r="C84" s="211"/>
      <c r="D84" s="211"/>
      <c r="E84" s="211"/>
      <c r="F84" s="211"/>
      <c r="G84" s="211"/>
      <c r="H84" s="211"/>
      <c r="I84" s="212"/>
    </row>
    <row r="85" spans="1:9" ht="18.75" customHeight="1" x14ac:dyDescent="0.2">
      <c r="A85" s="1"/>
      <c r="B85" s="210"/>
      <c r="C85" s="211"/>
      <c r="D85" s="211"/>
      <c r="E85" s="211"/>
      <c r="F85" s="211"/>
      <c r="G85" s="211"/>
      <c r="H85" s="211"/>
      <c r="I85" s="212"/>
    </row>
    <row r="86" spans="1:9" ht="18.75" customHeight="1" x14ac:dyDescent="0.2">
      <c r="A86" s="1"/>
      <c r="B86" s="210"/>
      <c r="C86" s="211"/>
      <c r="D86" s="211"/>
      <c r="E86" s="211"/>
      <c r="F86" s="211"/>
      <c r="G86" s="211"/>
      <c r="H86" s="211"/>
      <c r="I86" s="212"/>
    </row>
    <row r="87" spans="1:9" ht="18.75" customHeight="1" x14ac:dyDescent="0.2">
      <c r="A87" s="1"/>
      <c r="B87" s="210"/>
      <c r="C87" s="211"/>
      <c r="D87" s="211"/>
      <c r="E87" s="211"/>
      <c r="F87" s="211"/>
      <c r="G87" s="211"/>
      <c r="H87" s="211"/>
      <c r="I87" s="212"/>
    </row>
    <row r="88" spans="1:9" ht="18.75" customHeight="1" x14ac:dyDescent="0.2">
      <c r="A88" s="1"/>
      <c r="B88" s="210"/>
      <c r="C88" s="211"/>
      <c r="D88" s="211"/>
      <c r="E88" s="211"/>
      <c r="F88" s="211"/>
      <c r="G88" s="211"/>
      <c r="H88" s="211"/>
      <c r="I88" s="212"/>
    </row>
    <row r="89" spans="1:9" ht="18.75" customHeight="1" x14ac:dyDescent="0.2">
      <c r="A89" s="1"/>
      <c r="B89" s="210"/>
      <c r="C89" s="211"/>
      <c r="D89" s="211"/>
      <c r="E89" s="211"/>
      <c r="F89" s="211"/>
      <c r="G89" s="211"/>
      <c r="H89" s="211"/>
      <c r="I89" s="212"/>
    </row>
    <row r="90" spans="1:9" ht="18.75" customHeight="1" x14ac:dyDescent="0.2">
      <c r="A90" s="4"/>
      <c r="B90" s="210"/>
      <c r="C90" s="211"/>
      <c r="D90" s="211"/>
      <c r="E90" s="211"/>
      <c r="F90" s="211"/>
      <c r="G90" s="211"/>
      <c r="H90" s="211"/>
      <c r="I90" s="212"/>
    </row>
    <row r="91" spans="1:9" ht="16.5" customHeight="1" x14ac:dyDescent="0.2">
      <c r="A91" s="4"/>
      <c r="B91" s="213"/>
      <c r="C91" s="214"/>
      <c r="D91" s="214"/>
      <c r="E91" s="214"/>
      <c r="F91" s="214"/>
      <c r="G91" s="214"/>
      <c r="H91" s="214"/>
      <c r="I91" s="215"/>
    </row>
    <row r="92" spans="1:9" ht="7.5" customHeight="1" x14ac:dyDescent="0.2">
      <c r="A92" s="4"/>
      <c r="B92" s="4"/>
      <c r="C92" s="4"/>
      <c r="D92" s="4"/>
      <c r="E92" s="4"/>
      <c r="F92" s="4"/>
      <c r="G92" s="4"/>
      <c r="H92" s="4"/>
      <c r="I92" s="4"/>
    </row>
    <row r="93" spans="1:9" ht="18.75" customHeight="1" x14ac:dyDescent="0.2">
      <c r="A93" s="1" t="s">
        <v>41</v>
      </c>
      <c r="B93" s="1" t="s">
        <v>12</v>
      </c>
    </row>
    <row r="94" spans="1:9" ht="18.75" customHeight="1" x14ac:dyDescent="0.2">
      <c r="A94" s="1"/>
      <c r="B94" s="194" t="s">
        <v>197</v>
      </c>
      <c r="C94" s="178"/>
      <c r="D94" s="178"/>
      <c r="E94" s="178"/>
      <c r="F94" s="178"/>
      <c r="G94" s="178"/>
      <c r="H94" s="178"/>
      <c r="I94" s="179"/>
    </row>
    <row r="95" spans="1:9" ht="18.75" customHeight="1" x14ac:dyDescent="0.2">
      <c r="A95" s="1"/>
      <c r="B95" s="183"/>
      <c r="C95" s="184"/>
      <c r="D95" s="184"/>
      <c r="E95" s="184"/>
      <c r="F95" s="184"/>
      <c r="G95" s="184"/>
      <c r="H95" s="184"/>
      <c r="I95" s="182"/>
    </row>
    <row r="96" spans="1:9" ht="18.75" customHeight="1" x14ac:dyDescent="0.2">
      <c r="A96" s="1"/>
      <c r="B96" s="183"/>
      <c r="C96" s="184"/>
      <c r="D96" s="184"/>
      <c r="E96" s="184"/>
      <c r="F96" s="184"/>
      <c r="G96" s="184"/>
      <c r="H96" s="184"/>
      <c r="I96" s="182"/>
    </row>
    <row r="97" spans="1:9" ht="18.75" customHeight="1" x14ac:dyDescent="0.2">
      <c r="A97" s="1"/>
      <c r="B97" s="183"/>
      <c r="C97" s="184"/>
      <c r="D97" s="184"/>
      <c r="E97" s="184"/>
      <c r="F97" s="184"/>
      <c r="G97" s="184"/>
      <c r="H97" s="184"/>
      <c r="I97" s="182"/>
    </row>
    <row r="98" spans="1:9" ht="18.75" customHeight="1" x14ac:dyDescent="0.2">
      <c r="A98" s="1"/>
      <c r="B98" s="183"/>
      <c r="C98" s="184"/>
      <c r="D98" s="184"/>
      <c r="E98" s="184"/>
      <c r="F98" s="184"/>
      <c r="G98" s="184"/>
      <c r="H98" s="184"/>
      <c r="I98" s="182"/>
    </row>
    <row r="99" spans="1:9" ht="18.75" customHeight="1" x14ac:dyDescent="0.2">
      <c r="A99" s="1"/>
      <c r="B99" s="183"/>
      <c r="C99" s="184"/>
      <c r="D99" s="184"/>
      <c r="E99" s="184"/>
      <c r="F99" s="184"/>
      <c r="G99" s="184"/>
      <c r="H99" s="184"/>
      <c r="I99" s="182"/>
    </row>
    <row r="100" spans="1:9" ht="18.75" customHeight="1" x14ac:dyDescent="0.2">
      <c r="A100" s="1"/>
      <c r="B100" s="183"/>
      <c r="C100" s="184"/>
      <c r="D100" s="184"/>
      <c r="E100" s="184"/>
      <c r="F100" s="184"/>
      <c r="G100" s="184"/>
      <c r="H100" s="184"/>
      <c r="I100" s="182"/>
    </row>
    <row r="101" spans="1:9" ht="18.75" customHeight="1" x14ac:dyDescent="0.2">
      <c r="A101" s="1"/>
      <c r="B101" s="183"/>
      <c r="C101" s="184"/>
      <c r="D101" s="184"/>
      <c r="E101" s="184"/>
      <c r="F101" s="184"/>
      <c r="G101" s="184"/>
      <c r="H101" s="184"/>
      <c r="I101" s="182"/>
    </row>
    <row r="102" spans="1:9" ht="18.75" customHeight="1" x14ac:dyDescent="0.2">
      <c r="A102" s="1"/>
      <c r="B102" s="183"/>
      <c r="C102" s="184"/>
      <c r="D102" s="184"/>
      <c r="E102" s="184"/>
      <c r="F102" s="184"/>
      <c r="G102" s="184"/>
      <c r="H102" s="184"/>
      <c r="I102" s="182"/>
    </row>
    <row r="103" spans="1:9" ht="18.75" customHeight="1" x14ac:dyDescent="0.2">
      <c r="A103" s="1"/>
      <c r="B103" s="183"/>
      <c r="C103" s="184"/>
      <c r="D103" s="184"/>
      <c r="E103" s="184"/>
      <c r="F103" s="184"/>
      <c r="G103" s="184"/>
      <c r="H103" s="184"/>
      <c r="I103" s="182"/>
    </row>
    <row r="104" spans="1:9" ht="18.75" customHeight="1" x14ac:dyDescent="0.2">
      <c r="A104" s="1"/>
      <c r="B104" s="183"/>
      <c r="C104" s="184"/>
      <c r="D104" s="184"/>
      <c r="E104" s="184"/>
      <c r="F104" s="184"/>
      <c r="G104" s="184"/>
      <c r="H104" s="184"/>
      <c r="I104" s="182"/>
    </row>
    <row r="105" spans="1:9" ht="18.75" customHeight="1" x14ac:dyDescent="0.2">
      <c r="A105" s="4"/>
      <c r="B105" s="185"/>
      <c r="C105" s="186"/>
      <c r="D105" s="186"/>
      <c r="E105" s="186"/>
      <c r="F105" s="186"/>
      <c r="G105" s="186"/>
      <c r="H105" s="186"/>
      <c r="I105" s="187"/>
    </row>
    <row r="106" spans="1:9" ht="7.5" customHeight="1" x14ac:dyDescent="0.2">
      <c r="A106" s="4"/>
      <c r="B106" s="4"/>
      <c r="C106" s="4"/>
      <c r="D106" s="4"/>
      <c r="E106" s="4"/>
      <c r="F106" s="4"/>
      <c r="G106" s="4"/>
      <c r="H106" s="4"/>
      <c r="I106" s="4"/>
    </row>
    <row r="107" spans="1:9" ht="18.75" customHeight="1" x14ac:dyDescent="0.2">
      <c r="A107" s="1" t="s">
        <v>29</v>
      </c>
      <c r="B107" s="195" t="s">
        <v>43</v>
      </c>
      <c r="C107" s="195"/>
      <c r="D107" s="195"/>
      <c r="E107" s="195"/>
      <c r="F107" s="195"/>
      <c r="G107" s="195"/>
      <c r="H107" s="195"/>
      <c r="I107" s="195"/>
    </row>
    <row r="108" spans="1:9" ht="18.75" customHeight="1" x14ac:dyDescent="0.2">
      <c r="A108" s="4"/>
      <c r="B108" s="177" t="s">
        <v>198</v>
      </c>
      <c r="C108" s="178"/>
      <c r="D108" s="178"/>
      <c r="E108" s="178"/>
      <c r="F108" s="178"/>
      <c r="G108" s="178"/>
      <c r="H108" s="178"/>
      <c r="I108" s="179"/>
    </row>
    <row r="109" spans="1:9" ht="18.75" customHeight="1" x14ac:dyDescent="0.2">
      <c r="A109" s="4"/>
      <c r="B109" s="183"/>
      <c r="C109" s="184"/>
      <c r="D109" s="184"/>
      <c r="E109" s="184"/>
      <c r="F109" s="184"/>
      <c r="G109" s="184"/>
      <c r="H109" s="184"/>
      <c r="I109" s="182"/>
    </row>
    <row r="110" spans="1:9" ht="18.75" customHeight="1" x14ac:dyDescent="0.2">
      <c r="A110" s="4"/>
      <c r="B110" s="183"/>
      <c r="C110" s="184"/>
      <c r="D110" s="184"/>
      <c r="E110" s="184"/>
      <c r="F110" s="184"/>
      <c r="G110" s="184"/>
      <c r="H110" s="184"/>
      <c r="I110" s="182"/>
    </row>
    <row r="111" spans="1:9" ht="18.75" customHeight="1" x14ac:dyDescent="0.2">
      <c r="A111" s="4"/>
      <c r="B111" s="183"/>
      <c r="C111" s="184"/>
      <c r="D111" s="184"/>
      <c r="E111" s="184"/>
      <c r="F111" s="184"/>
      <c r="G111" s="184"/>
      <c r="H111" s="184"/>
      <c r="I111" s="182"/>
    </row>
    <row r="112" spans="1:9" ht="18.75" customHeight="1" x14ac:dyDescent="0.2">
      <c r="A112" s="4"/>
      <c r="B112" s="183"/>
      <c r="C112" s="184"/>
      <c r="D112" s="184"/>
      <c r="E112" s="184"/>
      <c r="F112" s="184"/>
      <c r="G112" s="184"/>
      <c r="H112" s="184"/>
      <c r="I112" s="182"/>
    </row>
    <row r="113" spans="1:9" ht="18.75" customHeight="1" x14ac:dyDescent="0.2">
      <c r="A113" s="4"/>
      <c r="B113" s="183"/>
      <c r="C113" s="184"/>
      <c r="D113" s="184"/>
      <c r="E113" s="184"/>
      <c r="F113" s="184"/>
      <c r="G113" s="184"/>
      <c r="H113" s="184"/>
      <c r="I113" s="182"/>
    </row>
    <row r="114" spans="1:9" ht="18.75" customHeight="1" x14ac:dyDescent="0.2">
      <c r="A114" s="4"/>
      <c r="B114" s="183"/>
      <c r="C114" s="184"/>
      <c r="D114" s="184"/>
      <c r="E114" s="184"/>
      <c r="F114" s="184"/>
      <c r="G114" s="184"/>
      <c r="H114" s="184"/>
      <c r="I114" s="182"/>
    </row>
    <row r="115" spans="1:9" ht="18.75" customHeight="1" x14ac:dyDescent="0.2">
      <c r="A115" s="4"/>
      <c r="B115" s="183"/>
      <c r="C115" s="184"/>
      <c r="D115" s="184"/>
      <c r="E115" s="184"/>
      <c r="F115" s="184"/>
      <c r="G115" s="184"/>
      <c r="H115" s="184"/>
      <c r="I115" s="182"/>
    </row>
    <row r="116" spans="1:9" ht="18.75" customHeight="1" x14ac:dyDescent="0.2">
      <c r="A116" s="4"/>
      <c r="B116" s="183"/>
      <c r="C116" s="184"/>
      <c r="D116" s="184"/>
      <c r="E116" s="184"/>
      <c r="F116" s="184"/>
      <c r="G116" s="184"/>
      <c r="H116" s="184"/>
      <c r="I116" s="182"/>
    </row>
    <row r="117" spans="1:9" ht="18.75" customHeight="1" x14ac:dyDescent="0.2">
      <c r="A117" s="4"/>
      <c r="B117" s="183"/>
      <c r="C117" s="184"/>
      <c r="D117" s="184"/>
      <c r="E117" s="184"/>
      <c r="F117" s="184"/>
      <c r="G117" s="184"/>
      <c r="H117" s="184"/>
      <c r="I117" s="182"/>
    </row>
    <row r="118" spans="1:9" ht="18.75" customHeight="1" x14ac:dyDescent="0.2">
      <c r="A118" s="4"/>
      <c r="B118" s="183"/>
      <c r="C118" s="184"/>
      <c r="D118" s="184"/>
      <c r="E118" s="184"/>
      <c r="F118" s="184"/>
      <c r="G118" s="184"/>
      <c r="H118" s="184"/>
      <c r="I118" s="182"/>
    </row>
    <row r="119" spans="1:9" ht="18.75" customHeight="1" x14ac:dyDescent="0.2">
      <c r="A119" s="4"/>
      <c r="B119" s="185"/>
      <c r="C119" s="186"/>
      <c r="D119" s="186"/>
      <c r="E119" s="186"/>
      <c r="F119" s="186"/>
      <c r="G119" s="186"/>
      <c r="H119" s="186"/>
      <c r="I119" s="187"/>
    </row>
    <row r="120" spans="1:9" ht="7.5" customHeight="1" x14ac:dyDescent="0.2">
      <c r="A120" s="4"/>
      <c r="B120" s="24"/>
      <c r="C120" s="24"/>
      <c r="D120" s="24"/>
      <c r="E120" s="24"/>
      <c r="F120" s="24"/>
      <c r="G120" s="24"/>
      <c r="H120" s="24"/>
      <c r="I120" s="24"/>
    </row>
    <row r="121" spans="1:9" ht="18.75" customHeight="1" x14ac:dyDescent="0.2">
      <c r="A121" s="47"/>
      <c r="B121" s="173"/>
      <c r="C121" s="173"/>
      <c r="D121" s="173"/>
      <c r="E121" s="173"/>
      <c r="F121" s="173"/>
      <c r="G121" s="173"/>
      <c r="H121" s="173"/>
      <c r="I121" s="173"/>
    </row>
    <row r="122" spans="1:9" ht="18.75" customHeight="1" x14ac:dyDescent="0.2">
      <c r="A122" s="47"/>
      <c r="B122" s="173"/>
      <c r="C122" s="173"/>
      <c r="D122" s="173"/>
      <c r="E122" s="173"/>
      <c r="F122" s="173"/>
      <c r="G122" s="173"/>
      <c r="H122" s="173"/>
      <c r="I122" s="173"/>
    </row>
    <row r="123" spans="1:9" ht="18.75" customHeight="1" x14ac:dyDescent="0.2">
      <c r="A123" s="4"/>
      <c r="B123" s="48"/>
      <c r="C123" s="48"/>
      <c r="D123" s="48"/>
      <c r="E123" s="48"/>
      <c r="F123" s="48"/>
      <c r="G123" s="48"/>
      <c r="H123" s="48"/>
      <c r="I123" s="49"/>
    </row>
    <row r="124" spans="1:9" ht="18.75" customHeight="1" x14ac:dyDescent="0.2">
      <c r="A124" s="4"/>
      <c r="B124" s="49"/>
      <c r="C124" s="49"/>
      <c r="D124" s="49"/>
      <c r="E124" s="49"/>
      <c r="F124" s="49"/>
      <c r="G124" s="49"/>
      <c r="H124" s="49"/>
      <c r="I124" s="49"/>
    </row>
    <row r="125" spans="1:9" ht="18.75" customHeight="1" x14ac:dyDescent="0.2">
      <c r="A125" s="4"/>
      <c r="B125" s="49"/>
      <c r="C125" s="49"/>
      <c r="D125" s="49"/>
      <c r="E125" s="49"/>
      <c r="F125" s="49"/>
      <c r="G125" s="49"/>
      <c r="H125" s="49"/>
      <c r="I125" s="49"/>
    </row>
    <row r="126" spans="1:9" ht="18.75" customHeight="1" x14ac:dyDescent="0.2">
      <c r="A126" s="4"/>
      <c r="B126" s="49"/>
      <c r="C126" s="49"/>
      <c r="D126" s="49"/>
      <c r="E126" s="49"/>
      <c r="F126" s="49"/>
      <c r="G126" s="49"/>
      <c r="H126" s="49"/>
      <c r="I126" s="49"/>
    </row>
    <row r="127" spans="1:9" ht="18.75" customHeight="1" x14ac:dyDescent="0.2">
      <c r="A127" s="4"/>
      <c r="B127" s="49"/>
      <c r="C127" s="49"/>
      <c r="D127" s="49"/>
      <c r="E127" s="49"/>
      <c r="F127" s="49"/>
      <c r="G127" s="49"/>
      <c r="H127" s="49"/>
      <c r="I127" s="49"/>
    </row>
    <row r="128" spans="1:9" ht="18.75" customHeight="1" x14ac:dyDescent="0.2">
      <c r="A128" s="4"/>
      <c r="B128" s="49"/>
      <c r="C128" s="49"/>
      <c r="D128" s="49"/>
      <c r="E128" s="49"/>
      <c r="F128" s="49"/>
      <c r="G128" s="49"/>
      <c r="H128" s="49"/>
      <c r="I128" s="49"/>
    </row>
    <row r="129" spans="1:9" ht="18.75" customHeight="1" x14ac:dyDescent="0.2">
      <c r="A129" s="4"/>
      <c r="B129" s="49"/>
      <c r="C129" s="49"/>
      <c r="D129" s="49"/>
      <c r="E129" s="49"/>
      <c r="F129" s="49"/>
      <c r="G129" s="49"/>
      <c r="H129" s="49"/>
      <c r="I129" s="49"/>
    </row>
    <row r="130" spans="1:9" ht="18.75" customHeight="1" x14ac:dyDescent="0.2">
      <c r="A130" s="4"/>
      <c r="B130" s="49"/>
      <c r="C130" s="49"/>
      <c r="D130" s="49"/>
      <c r="E130" s="49"/>
      <c r="F130" s="49"/>
      <c r="G130" s="49"/>
      <c r="H130" s="49"/>
      <c r="I130" s="49"/>
    </row>
    <row r="131" spans="1:9" ht="18.75" customHeight="1" x14ac:dyDescent="0.2">
      <c r="A131" s="4"/>
      <c r="B131" s="49"/>
      <c r="C131" s="49"/>
      <c r="D131" s="49"/>
      <c r="E131" s="49"/>
      <c r="F131" s="49"/>
      <c r="G131" s="49"/>
      <c r="H131" s="49"/>
      <c r="I131" s="49"/>
    </row>
    <row r="132" spans="1:9" ht="18.75" customHeight="1" x14ac:dyDescent="0.2">
      <c r="A132" s="4"/>
      <c r="B132" s="49"/>
      <c r="C132" s="49"/>
      <c r="D132" s="49"/>
      <c r="E132" s="49"/>
      <c r="F132" s="49"/>
      <c r="G132" s="49"/>
      <c r="H132" s="49"/>
      <c r="I132" s="49"/>
    </row>
    <row r="133" spans="1:9" ht="14" x14ac:dyDescent="0.2">
      <c r="A133" s="4"/>
      <c r="B133" s="49"/>
      <c r="C133" s="49"/>
      <c r="D133" s="49"/>
      <c r="E133" s="49"/>
      <c r="F133" s="49"/>
      <c r="G133" s="49"/>
      <c r="H133" s="49"/>
      <c r="I133" s="49"/>
    </row>
    <row r="134" spans="1:9" ht="7.5" customHeight="1" x14ac:dyDescent="0.2">
      <c r="A134" s="4"/>
      <c r="B134" s="49"/>
      <c r="C134" s="49"/>
      <c r="D134" s="49"/>
      <c r="E134" s="49"/>
      <c r="F134" s="49"/>
      <c r="G134" s="49"/>
      <c r="H134" s="49"/>
      <c r="I134" s="4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zoomScaleNormal="100" zoomScaleSheetLayoutView="100" workbookViewId="0">
      <selection activeCell="E13" sqref="E13:I13"/>
    </sheetView>
  </sheetViews>
  <sheetFormatPr defaultColWidth="11.36328125" defaultRowHeight="22.5" customHeight="1" x14ac:dyDescent="0.2"/>
  <cols>
    <col min="1" max="3" width="2.90625" style="1" customWidth="1"/>
    <col min="4" max="4" width="22.08984375" style="1" customWidth="1"/>
    <col min="5" max="5" width="30.90625" style="1" customWidth="1"/>
    <col min="6" max="7" width="7.90625" style="1" customWidth="1"/>
    <col min="8" max="9" width="30.90625" style="1" customWidth="1"/>
    <col min="10" max="10" width="4.08984375" style="1" customWidth="1"/>
    <col min="11" max="16384" width="11.36328125" style="1"/>
  </cols>
  <sheetData>
    <row r="1" spans="1:9" ht="18.75" customHeight="1" x14ac:dyDescent="0.2">
      <c r="A1" s="1" t="s">
        <v>62</v>
      </c>
      <c r="I1" s="17" t="s">
        <v>89</v>
      </c>
    </row>
    <row r="2" spans="1:9" ht="18.75" customHeight="1" x14ac:dyDescent="0.2">
      <c r="H2" s="17" t="s">
        <v>92</v>
      </c>
      <c r="I2" s="16" t="str">
        <f>'様式１−１　プログラムを構成する授業科目'!C2</f>
        <v>湘北短期大学</v>
      </c>
    </row>
    <row r="3" spans="1:9" ht="18.75" customHeight="1" x14ac:dyDescent="0.2">
      <c r="A3" s="107" t="s">
        <v>27</v>
      </c>
      <c r="B3" s="107"/>
      <c r="C3" s="107"/>
      <c r="D3" s="107"/>
      <c r="E3" s="107"/>
      <c r="F3" s="107"/>
      <c r="G3" s="107"/>
      <c r="H3" s="107"/>
      <c r="I3" s="107"/>
    </row>
    <row r="4" spans="1:9" ht="18.75" customHeight="1" x14ac:dyDescent="0.2">
      <c r="A4" s="5"/>
      <c r="B4" s="5"/>
      <c r="C4" s="5"/>
      <c r="D4" s="5"/>
      <c r="E4" s="5"/>
      <c r="F4" s="5"/>
      <c r="G4" s="5"/>
      <c r="H4" s="5"/>
      <c r="I4" s="5"/>
    </row>
    <row r="5" spans="1:9" ht="18.75" customHeight="1" x14ac:dyDescent="0.2">
      <c r="A5" s="1" t="s">
        <v>0</v>
      </c>
      <c r="B5" s="10" t="s">
        <v>84</v>
      </c>
      <c r="C5" s="5"/>
      <c r="D5" s="5"/>
      <c r="E5" s="5"/>
      <c r="F5" s="5"/>
      <c r="G5" s="5"/>
      <c r="H5" s="5"/>
      <c r="I5" s="5"/>
    </row>
    <row r="6" spans="1:9" ht="26.25" customHeight="1" x14ac:dyDescent="0.2">
      <c r="A6" s="5"/>
      <c r="B6" s="233" t="s">
        <v>167</v>
      </c>
      <c r="C6" s="234"/>
      <c r="D6" s="234"/>
      <c r="E6" s="234"/>
      <c r="F6" s="234"/>
      <c r="G6" s="234"/>
      <c r="H6" s="235"/>
      <c r="I6" s="3"/>
    </row>
    <row r="7" spans="1:9" ht="9" customHeight="1" x14ac:dyDescent="0.2">
      <c r="A7" s="5"/>
      <c r="B7" s="10"/>
      <c r="C7" s="10"/>
      <c r="D7" s="10"/>
      <c r="E7" s="10"/>
      <c r="F7" s="10"/>
      <c r="G7" s="10"/>
      <c r="H7" s="10"/>
      <c r="I7" s="3"/>
    </row>
    <row r="8" spans="1:9" ht="18.75" customHeight="1" x14ac:dyDescent="0.2">
      <c r="A8" s="5"/>
      <c r="B8" s="3"/>
      <c r="C8" s="3"/>
      <c r="D8" s="17" t="s">
        <v>40</v>
      </c>
      <c r="E8" s="18" t="s">
        <v>169</v>
      </c>
      <c r="F8" s="3"/>
      <c r="G8" s="17" t="s">
        <v>10</v>
      </c>
      <c r="H8" s="18" t="s">
        <v>162</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6" t="s">
        <v>23</v>
      </c>
      <c r="C11" s="97"/>
      <c r="D11" s="98"/>
      <c r="E11" s="97" t="s">
        <v>25</v>
      </c>
      <c r="F11" s="97"/>
      <c r="G11" s="97"/>
      <c r="H11" s="97"/>
      <c r="I11" s="98"/>
    </row>
    <row r="12" spans="1:9" ht="26.25" customHeight="1" x14ac:dyDescent="0.2">
      <c r="B12" s="25" t="s">
        <v>13</v>
      </c>
      <c r="C12" s="31"/>
      <c r="D12" s="26"/>
      <c r="E12" s="32"/>
      <c r="F12" s="32"/>
      <c r="G12" s="32"/>
      <c r="H12" s="32"/>
      <c r="I12" s="26"/>
    </row>
    <row r="13" spans="1:9" ht="97" customHeight="1" x14ac:dyDescent="0.2">
      <c r="B13" s="27"/>
      <c r="C13" s="231" t="s">
        <v>14</v>
      </c>
      <c r="D13" s="232"/>
      <c r="E13" s="228" t="s">
        <v>200</v>
      </c>
      <c r="F13" s="229"/>
      <c r="G13" s="229"/>
      <c r="H13" s="229"/>
      <c r="I13" s="230"/>
    </row>
    <row r="14" spans="1:9" ht="116.5" customHeight="1" x14ac:dyDescent="0.2">
      <c r="B14" s="27"/>
      <c r="C14" s="226" t="s">
        <v>15</v>
      </c>
      <c r="D14" s="227"/>
      <c r="E14" s="228" t="s">
        <v>201</v>
      </c>
      <c r="F14" s="229"/>
      <c r="G14" s="229"/>
      <c r="H14" s="229"/>
      <c r="I14" s="230"/>
    </row>
    <row r="15" spans="1:9" ht="210.75" customHeight="1" x14ac:dyDescent="0.2">
      <c r="B15" s="27"/>
      <c r="C15" s="231" t="s">
        <v>16</v>
      </c>
      <c r="D15" s="232"/>
      <c r="E15" s="228" t="s">
        <v>202</v>
      </c>
      <c r="F15" s="229"/>
      <c r="G15" s="229"/>
      <c r="H15" s="229"/>
      <c r="I15" s="230"/>
    </row>
    <row r="16" spans="1:9" ht="210.5" customHeight="1" x14ac:dyDescent="0.2">
      <c r="B16" s="27"/>
      <c r="C16" s="231" t="s">
        <v>17</v>
      </c>
      <c r="D16" s="232"/>
      <c r="E16" s="236" t="s">
        <v>179</v>
      </c>
      <c r="F16" s="237"/>
      <c r="G16" s="237"/>
      <c r="H16" s="237"/>
      <c r="I16" s="238"/>
    </row>
    <row r="17" spans="2:9" ht="210.5" customHeight="1" x14ac:dyDescent="0.2">
      <c r="B17" s="28"/>
      <c r="C17" s="239" t="s">
        <v>18</v>
      </c>
      <c r="D17" s="240"/>
      <c r="E17" s="241" t="s">
        <v>173</v>
      </c>
      <c r="F17" s="242"/>
      <c r="G17" s="242"/>
      <c r="H17" s="242"/>
      <c r="I17" s="243"/>
    </row>
    <row r="18" spans="2:9" ht="24" customHeight="1" x14ac:dyDescent="0.2">
      <c r="B18" s="25" t="s">
        <v>19</v>
      </c>
      <c r="C18" s="29"/>
      <c r="D18" s="30"/>
      <c r="E18" s="81"/>
      <c r="F18" s="81"/>
      <c r="G18" s="81"/>
      <c r="H18" s="81"/>
      <c r="I18" s="82"/>
    </row>
    <row r="19" spans="2:9" ht="218.25" customHeight="1" x14ac:dyDescent="0.2">
      <c r="B19" s="27"/>
      <c r="C19" s="231" t="s">
        <v>20</v>
      </c>
      <c r="D19" s="232"/>
      <c r="E19" s="237" t="s">
        <v>199</v>
      </c>
      <c r="F19" s="237"/>
      <c r="G19" s="237"/>
      <c r="H19" s="237"/>
      <c r="I19" s="238"/>
    </row>
    <row r="20" spans="2:9" ht="218.25" customHeight="1" x14ac:dyDescent="0.2">
      <c r="B20" s="28"/>
      <c r="C20" s="239" t="s">
        <v>21</v>
      </c>
      <c r="D20" s="240"/>
      <c r="E20" s="249" t="s">
        <v>203</v>
      </c>
      <c r="F20" s="249"/>
      <c r="G20" s="249"/>
      <c r="H20" s="249"/>
      <c r="I20" s="250"/>
    </row>
    <row r="21" spans="2:9" ht="218.25" customHeight="1" x14ac:dyDescent="0.2">
      <c r="B21" s="251" t="s">
        <v>22</v>
      </c>
      <c r="C21" s="252"/>
      <c r="D21" s="253"/>
      <c r="E21" s="254" t="s">
        <v>174</v>
      </c>
      <c r="F21" s="254"/>
      <c r="G21" s="254"/>
      <c r="H21" s="254"/>
      <c r="I21" s="255"/>
    </row>
    <row r="22" spans="2:9" ht="218.25" customHeight="1" x14ac:dyDescent="0.2">
      <c r="B22" s="244" t="s">
        <v>121</v>
      </c>
      <c r="C22" s="245"/>
      <c r="D22" s="246"/>
      <c r="E22" s="247" t="s">
        <v>204</v>
      </c>
      <c r="F22" s="247"/>
      <c r="G22" s="247"/>
      <c r="H22" s="247"/>
      <c r="I22" s="248"/>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小林 良向</dc:creator>
  <cp:lastModifiedBy>矢沢　隆</cp:lastModifiedBy>
  <cp:lastPrinted>2025-07-10T06:26:23Z</cp:lastPrinted>
  <dcterms:created xsi:type="dcterms:W3CDTF">2011-06-14T05:32:50Z</dcterms:created>
  <dcterms:modified xsi:type="dcterms:W3CDTF">2025-07-10T06:38:07Z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