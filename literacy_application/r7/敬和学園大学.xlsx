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C:\Users\user\Desktop\敬和学園大学\★★講義\数理データサイエンスAI\文科省申請書類\★★提出書類\敬和学園大学MDASH\01_敬和学園大学_リテラシー\"/>
    </mc:Choice>
  </mc:AlternateContent>
  <xr:revisionPtr revIDLastSave="0" documentId="13_ncr:1_{0981E898-18A0-4EF3-8269-7B7B00A3037D}" xr6:coauthVersionLast="47" xr6:coauthVersionMax="47" xr10:uidLastSave="{00000000-0000-0000-0000-000000000000}"/>
  <bookViews>
    <workbookView xWindow="-110" yWindow="-110" windowWidth="19420" windowHeight="11020" tabRatio="885" activeTab="1"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<sst xmlns="http://schemas.openxmlformats.org/spreadsheetml/2006/main" count="298" uniqueCount="192">
  <si>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</si>
  <si>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</si>
  <si>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</si>
  <si>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</si>
  <si>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</si>
  <si>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</si>
  <si>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</si>
  <si>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</si>
  <si>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</si>
  <si>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</si>
  <si>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</si>
  <si>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</si>
  <si>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</si>
  <si>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</si>
  <si>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</si>
  <si>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</si>
  <si>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</si>
  <si>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</si>
  <si>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</si>
  <si>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</si>
  <si>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</si>
  <si>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</si>
  <si>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</si>
  <si>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</si>
  <si>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</si>
  <si>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</si>
  <si>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</si>
  <si>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</si>
  <si>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</si>
  <si>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</si>
  <si>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</si>
  <si>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</si>
  <si>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</si>
  <si>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</si>
  <si>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</si>
  <si>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</si>
  <si>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</si>
  <si>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</si>
  <si>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</si>
  <si>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</si>
  <si>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</si>
  <si>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</si>
  <si>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</si>
  <si>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</si>
  <si>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</si>
  <si>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</si>
  <si>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</si>
  <si>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</si>
  <si>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</si>
  <si>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</si>
  <si>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</si>
  <si>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</si>
  <si>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</si>
  <si>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</si>
  <si>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</si>
  <si>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</si>
  <si>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</si>
  <si>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</si>
  <si>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</si>
  <si>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</si>
  <si>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</si>
  <si>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</si>
  <si>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</si>
  <si>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</si>
  <si>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</si>
  <si>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</si>
  <si>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</si>
  <si>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</si>
  <si>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</si>
  <si>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</si>
  <si>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</si>
  <si>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</si>
  <si>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</si>
  <si>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</si>
  <si>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</si>
  <si>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</si>
  <si>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</si>
  <si>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</si>
  <si>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</si>
  <si>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</si>
  <si>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</si>
  <si>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</si>
  <si>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</si>
  <si>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</si>
  <si>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</si>
  <si>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</si>
  <si>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</si>
  <si>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</si>
  <si>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</si>
  <si>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</si>
  <si>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</si>
  <si>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</si>
  <si>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</si>
  <si>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</si>
  <si>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</si>
  <si>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</si>
  <si>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</si>
  <si>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</si>
  <si>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</si>
  <si>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</si>
  <si>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</si>
  <si>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</si>
  <si>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</si>
  <si>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</si>
  <si>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</si>
  <si>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</si>
  <si>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</si>
  <si>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</si>
  <si>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</si>
  <si>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</si>
  <si>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</si>
  <si>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</si>
  <si>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</si>
  <si>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</si>
  <si>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</si>
  <si>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</si>
  <si>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</si>
  <si>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</si>
  <si>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</si>
  <si>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</si>
  <si>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</si>
  <si>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</si>
  <si>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</si>
  <si>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</si>
  <si>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</si>
  <si>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</si>
  <si>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</si>
  <si>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</si>
  <si>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</si>
  <si>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</si>
  <si>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</si>
  <si>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</si>
  <si>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</si>
  <si>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</si>
  <si>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</si>
  <si>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</si>
  <si>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</si>
  <si>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</si>
  <si>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</si>
  <si>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</si>
  <si>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</si>
  <si>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</si>
  <si>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</si>
  <si>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敬和学園大学</t>
    <rPh sb="0" eb="6">
      <t>ケイワガクエンダイガク</t>
    </rPh>
    <phoneticPr fontId="1"/>
  </si>
  <si>
    <t>学部・学科によって、修了要件は相違しない</t>
  </si>
  <si>
    <t>データサイエンス入門</t>
    <rPh sb="8" eb="10">
      <t>ニュウモン</t>
    </rPh>
    <phoneticPr fontId="1"/>
  </si>
  <si>
    <t>○</t>
  </si>
  <si>
    <t>コンピューターリテラシー</t>
    <phoneticPr fontId="1"/>
  </si>
  <si>
    <t>AIリテラシー</t>
    <phoneticPr fontId="1"/>
  </si>
  <si>
    <t>4-1統計および数理基礎</t>
  </si>
  <si>
    <t>・AIの正しい知識を持ち、社会における変化を柔軟に受け入れることができる。
・基礎的な統計知識を身につけ、「データを正しく読む力」と「データを正確に伝える力」を身につけることができる。
・データ・AIを活用するうえで求められるモラルや倫理について理解し、個人のデータを守るうえで注意すべきことが理解できる。</t>
    <phoneticPr fontId="1"/>
  </si>
  <si>
    <t>令和6</t>
    <rPh sb="0" eb="2">
      <t>レイワ</t>
    </rPh>
    <phoneticPr fontId="1"/>
  </si>
  <si>
    <t>伊藤学</t>
    <rPh sb="0" eb="3">
      <t>イトウマナブ</t>
    </rPh>
    <phoneticPr fontId="1"/>
  </si>
  <si>
    <t>国際文化学科　教授</t>
    <rPh sb="0" eb="2">
      <t>コクサイ</t>
    </rPh>
    <rPh sb="2" eb="4">
      <t>ブンカ</t>
    </rPh>
    <rPh sb="4" eb="6">
      <t>ガッカ</t>
    </rPh>
    <rPh sb="7" eb="9">
      <t>キョウジュ</t>
    </rPh>
    <phoneticPr fontId="1"/>
  </si>
  <si>
    <t>敬和学園大学ネットワーク委員会</t>
    <rPh sb="0" eb="6">
      <t>ケイワガクエンダイガク</t>
    </rPh>
    <phoneticPr fontId="1"/>
  </si>
  <si>
    <t>ネットワーク委員長</t>
    <rPh sb="6" eb="9">
      <t>イインチョウ</t>
    </rPh>
    <phoneticPr fontId="1"/>
  </si>
  <si>
    <t>＜ネットワーク委員会＞
委員長：伊藤学（教授　人文学部 国際文化学科）
委員：一戸信哉（教授　人文学部 国際文化学科）
委員：加藤裕康（教授　人文学部 国際文化学科）
委員：船岡芳晴（課長　教務課）
委員：小端康弘（課長　広報入試課）
委員：鈴木麻由（課長　総務課）</t>
    <rPh sb="12" eb="15">
      <t>イインチョウ</t>
    </rPh>
    <rPh sb="16" eb="19">
      <t>イトウマナブ</t>
    </rPh>
    <rPh sb="20" eb="22">
      <t>キョウジュ</t>
    </rPh>
    <rPh sb="23" eb="27">
      <t>ジンブンガクブ</t>
    </rPh>
    <rPh sb="28" eb="32">
      <t>コクサイブンカ</t>
    </rPh>
    <rPh sb="32" eb="34">
      <t>ガッカ</t>
    </rPh>
    <rPh sb="36" eb="38">
      <t>イイン</t>
    </rPh>
    <rPh sb="39" eb="41">
      <t>イチノヘ</t>
    </rPh>
    <rPh sb="41" eb="43">
      <t>シンヤ</t>
    </rPh>
    <rPh sb="60" eb="62">
      <t>イイン</t>
    </rPh>
    <rPh sb="84" eb="86">
      <t>イイン</t>
    </rPh>
    <rPh sb="92" eb="94">
      <t>カチョウ</t>
    </rPh>
    <rPh sb="95" eb="98">
      <t>キョウムカ</t>
    </rPh>
    <rPh sb="100" eb="102">
      <t>イイン</t>
    </rPh>
    <rPh sb="108" eb="110">
      <t>カチョウ</t>
    </rPh>
    <rPh sb="111" eb="116">
      <t>コウホウニュウシカ</t>
    </rPh>
    <rPh sb="118" eb="120">
      <t>イイン</t>
    </rPh>
    <rPh sb="126" eb="128">
      <t>カチョウ</t>
    </rPh>
    <rPh sb="129" eb="132">
      <t>ソウムカ</t>
    </rPh>
    <phoneticPr fontId="1"/>
  </si>
  <si>
    <t>開講初年度となった令和６年度は、学内の情報教育演習室（PC教室）で授業を行っているが、PC台数に制限がある。今後は履修対象学年が増えていくこともあり、より多くの学生が履修できるように、普通教室での開講や開講コマの複数設置を検討していく。
学内設備面では、図書館のPCの自由開放のほかに、ノートPC貸出しを行っており、自主学習に利用できるようにしている。併せて、全学内にWifi環境を構築しており、学生持ち込みのデバイスによる接続も可能（BYOD）としている。
また、担当教員のオフィスアワーを周知し、指導・質問を受ける体制がある。担当教員以外にも、学年担任が適宜面談を行っている。</t>
    <rPh sb="48" eb="50">
      <t>セイゲン</t>
    </rPh>
    <rPh sb="127" eb="130">
      <t>トショカン</t>
    </rPh>
    <rPh sb="152" eb="153">
      <t>オコナ</t>
    </rPh>
    <rPh sb="160" eb="162">
      <t>ガクシュウ</t>
    </rPh>
    <rPh sb="176" eb="177">
      <t>アワ</t>
    </rPh>
    <rPh sb="180" eb="181">
      <t>ゼン</t>
    </rPh>
    <rPh sb="181" eb="183">
      <t>ガクナイ</t>
    </rPh>
    <rPh sb="188" eb="190">
      <t>カンキョウ</t>
    </rPh>
    <rPh sb="191" eb="193">
      <t>コウチク</t>
    </rPh>
    <rPh sb="200" eb="201">
      <t>モ</t>
    </rPh>
    <rPh sb="202" eb="203">
      <t>コ</t>
    </rPh>
    <rPh sb="212" eb="214">
      <t>セツゾク</t>
    </rPh>
    <rPh sb="215" eb="217">
      <t>カノウ</t>
    </rPh>
    <phoneticPr fontId="1"/>
  </si>
  <si>
    <t>授業前後に時間を設けて授業担当教員が質問等を受付けるほかに、ポータルサイトGoogleClassroomを用いたサブ教材の提供やQ&amp;A、またはMeet、Zoomなどをフルに活用し、履修者は学外からも授業担当教員に質問することができ、担当教員から該当学生へのフィードバックも可能となっている。</t>
    <rPh sb="53" eb="54">
      <t>モチ</t>
    </rPh>
    <rPh sb="58" eb="60">
      <t>キョウザイ</t>
    </rPh>
    <rPh sb="61" eb="63">
      <t>テイキョウ</t>
    </rPh>
    <rPh sb="86" eb="88">
      <t>カツヨウ</t>
    </rPh>
    <phoneticPr fontId="1"/>
  </si>
  <si>
    <t>敬和学園大学自己点検・評価委員会</t>
    <phoneticPr fontId="1"/>
  </si>
  <si>
    <t>金山愛子</t>
    <rPh sb="0" eb="4">
      <t>カナヤマアイコ</t>
    </rPh>
    <phoneticPr fontId="1"/>
  </si>
  <si>
    <t>自己点検・評価委員長　学長</t>
    <rPh sb="7" eb="10">
      <t>イインチョウ</t>
    </rPh>
    <rPh sb="11" eb="13">
      <t>ガクチョウ</t>
    </rPh>
    <phoneticPr fontId="1"/>
  </si>
  <si>
    <t>講義終了後に受講者を対象に授業評価アンケートを実施し（令和６年度はコンピューターリテラシーのみ）、当学のポータルサイトである“Universal Passport”にて確認できるようになっている。
授業評価アンケートによる理解度は、良好であり、小テストおよびグループワークなど座学だけではない内容にしていることが評価されている。
「この授業で教わったことを理解し、身についたと思いますか？」の質問では、「とてもそう思う」「そう思う」と回答した割合は、クラスによるが6割～7割となっており、どちらともいえないまで入れると8割～9割となっている。
また、各回の確認テストや課題によって理解度を深めることができたと考えている。
令和７年度から始まる「データサイエンス入門」においても同様のアンケートを実施する予定である。</t>
    <rPh sb="27" eb="29">
      <t>レイワ</t>
    </rPh>
    <rPh sb="30" eb="32">
      <t>ネンド</t>
    </rPh>
    <phoneticPr fontId="1"/>
  </si>
  <si>
    <t>“学生アンケート等を通じた後輩等他の学生への推奨度”については、令和７年度にて最初の修了者を輩出するため、この項目については翌年度に記載する。</t>
    <phoneticPr fontId="1"/>
  </si>
  <si>
    <t>前記したように、令和７年度にて最初の修了者を輩出するため、この項目については現在の予定という形で記載する。
全学的な履修者数、履修率については、前期と後期に分けて集計する予定である。またその結果については、敬和学園大学数理・データサイエンス・AIプログラム（リテラシーレベル）を統括するネットワーク委員会にて検証を行い、現状での問題点や改善策の検討を行っていく。最大の目標は、本プログラムの修了者を一人でも多く輩出することにある。</t>
    <phoneticPr fontId="1"/>
  </si>
  <si>
    <t>前記したように、令和７年度にて最初の修了者を輩出し、その卒業年度は令和９年度以降となるため、現段階では評価できていない。</t>
    <rPh sb="28" eb="32">
      <t>ソツギョウネンド</t>
    </rPh>
    <rPh sb="33" eb="35">
      <t>レイワ</t>
    </rPh>
    <rPh sb="36" eb="38">
      <t>ネンド</t>
    </rPh>
    <rPh sb="38" eb="40">
      <t>イコウ</t>
    </rPh>
    <rPh sb="46" eb="49">
      <t>ゲンダンカイ</t>
    </rPh>
    <rPh sb="51" eb="53">
      <t>ヒョウカ</t>
    </rPh>
    <phoneticPr fontId="1"/>
  </si>
  <si>
    <t>現状では、産業界から意見を収集する機会や仕組みはない。しかしながら、本プログラム修了者の意見を収集できるようなアンケートフォームを用意し、修了者に記載を促す予定である。さらには、修了者は社内人となるため、勤務先の企業からヒアリングを行ってもらい、前記したアンケートフォームから情報を収集する予定である。これらの情報を基に、敬和学園大学としてふさわしいカリキュラムを独自に模索していく。
また、本プログラムは、産業界での実務経験が豊富な教員が担当したおり、これらの教員からも現業に近いプログラム内容や手法についての講義運用ができている。</t>
    <phoneticPr fontId="1"/>
  </si>
  <si>
    <t>本プログラムの内容・水準を維持・向上するために、敬和学園大学では、AIの分野内となる応用情報工学を専攻した教員を配置している。さらに、会社員としての実務経験もあることから、学問的知見の他に実社会での運用例を数多く講義することができる。理論と現業の両サイドからの講義を行うことにより、学生にとって肌身の近い内容（マーケティング・物流・医療・農業など）での講義に心がけている。さらには、修了者からの評価アンケートを活用して、修正を加えることで「分かりやすい」を追求していく予定である。
加えて、生成AIなど技術発展の早い分野であることから、日経コンピュータや人工知能学会などの雑誌からも、情報を提供していく予定である。</t>
    <phoneticPr fontId="1"/>
  </si>
  <si>
    <t>国際文化学科</t>
  </si>
  <si>
    <t>英語文化コミュニケーション学科</t>
  </si>
  <si>
    <t>共生社会学会</t>
  </si>
  <si>
    <r>
      <t>＜データを扱う＞</t>
    </r>
    <r>
      <rPr>
        <b/>
        <sz val="9"/>
        <color theme="1"/>
        <rFont val="ＭＳ Ｐゴシック"/>
        <family val="3"/>
        <charset val="128"/>
        <scheme val="minor"/>
      </rPr>
      <t>【データサイエンス入門第１２・１３回】</t>
    </r>
    <r>
      <rPr>
        <sz val="9"/>
        <color theme="1"/>
        <rFont val="ＭＳ Ｐゴシック"/>
        <family val="3"/>
        <charset val="128"/>
        <scheme val="minor"/>
      </rPr>
      <t xml:space="preserve">
データを扱うための力を養う
・データの取得（機械判読可能なデータの作成・表記方法）
・データの集計（和、平均）
・データの並び替え、ランキング
</t>
    </r>
    <rPh sb="17" eb="20">
      <t>ニュウモンダイ</t>
    </rPh>
    <rPh sb="25" eb="26">
      <t>カイ</t>
    </rPh>
    <phoneticPr fontId="1"/>
  </si>
  <si>
    <r>
      <t>＜データを説明する＞</t>
    </r>
    <r>
      <rPr>
        <b/>
        <sz val="9"/>
        <color theme="1"/>
        <rFont val="ＭＳ Ｐゴシック"/>
        <family val="3"/>
        <charset val="128"/>
        <scheme val="minor"/>
      </rPr>
      <t>【データサイエンス入門第１０・１１回】</t>
    </r>
    <r>
      <rPr>
        <sz val="9"/>
        <color theme="1"/>
        <rFont val="ＭＳ Ｐゴシック"/>
        <family val="3"/>
        <charset val="128"/>
        <scheme val="minor"/>
      </rPr>
      <t xml:space="preserve">
データを適切に説明する力を養う
・データ表現（棒グラフ、折線グラフ、散布図、ヒートマップ、箱ひげ図）
・データの比較（条件をそろえた比較、処理の前後での比較、A/Bテスト)
・優れた可視化事例の紹介（可視化することによって新たな気づきがあった事例など）
・相手に的確かつ正確に情報を伝える技術や考え方（スライド作成、プレゼンテーションなど）</t>
    </r>
    <r>
      <rPr>
        <b/>
        <sz val="9"/>
        <color theme="1"/>
        <rFont val="ＭＳ Ｐゴシック"/>
        <family val="3"/>
        <charset val="128"/>
        <scheme val="minor"/>
      </rPr>
      <t>【コンピューターリテラシー第１０～１３回】</t>
    </r>
    <rPh sb="213" eb="214">
      <t>ダイ</t>
    </rPh>
    <rPh sb="219" eb="220">
      <t>カイ</t>
    </rPh>
    <phoneticPr fontId="1"/>
  </si>
  <si>
    <r>
      <t>＜データを読む＞</t>
    </r>
    <r>
      <rPr>
        <b/>
        <sz val="9"/>
        <color theme="1"/>
        <rFont val="ＭＳ Ｐゴシック"/>
        <family val="3"/>
        <charset val="128"/>
        <scheme val="minor"/>
      </rPr>
      <t>【データサイエンス入門第８・９回】</t>
    </r>
    <r>
      <rPr>
        <sz val="9"/>
        <color theme="1"/>
        <rFont val="ＭＳ Ｐゴシック"/>
        <family val="3"/>
        <charset val="128"/>
        <scheme val="minor"/>
      </rPr>
      <t xml:space="preserve">
データを適切に読み解く力を養う
・データの種類（量的変数、質的変数）
・データの分布(ヒストグラム)と代表値（平均値、中央値、最頻値）
・代表値の性質の違い（実社会では平均値＝最頻値でないことが多い）
・データのばらつき（分散、標準偏差、偏差値）、外れ値
・相関と因果（相関係数、擬似相関、交絡）
</t>
    </r>
    <phoneticPr fontId="1"/>
  </si>
  <si>
    <r>
      <t>＜データを守る上での留意事項＞</t>
    </r>
    <r>
      <rPr>
        <b/>
        <sz val="9"/>
        <color theme="1"/>
        <rFont val="ＭＳ Ｐゴシック"/>
        <family val="3"/>
        <charset val="128"/>
        <scheme val="minor"/>
      </rPr>
      <t>【データサイエンス入門第１５回】</t>
    </r>
    <r>
      <rPr>
        <sz val="9"/>
        <color theme="1"/>
        <rFont val="ＭＳ Ｐゴシック"/>
        <family val="3"/>
        <charset val="128"/>
        <scheme val="minor"/>
      </rPr>
      <t xml:space="preserve">
・情報セキュリティの3要素（機密性、完全性、可用性）
・匿名加工情報、暗号化と復号、ユーザ認証と、パスワード、アクセス制御、悪意ある情報搾取
・情報漏洩等によるセキュリティ事故の事例紹介およびサイバーセキュリティ</t>
    </r>
    <r>
      <rPr>
        <b/>
        <sz val="9"/>
        <color theme="1"/>
        <rFont val="ＭＳ Ｐゴシック"/>
        <family val="3"/>
        <charset val="128"/>
        <scheme val="minor"/>
      </rPr>
      <t>【コンピューターリテラシー第１４回】</t>
    </r>
    <rPh sb="151" eb="152">
      <t>ダイ</t>
    </rPh>
    <rPh sb="154" eb="155">
      <t>カイ</t>
    </rPh>
    <phoneticPr fontId="1"/>
  </si>
  <si>
    <r>
      <t>＜データ・AIを扱う上での留意事項＞</t>
    </r>
    <r>
      <rPr>
        <b/>
        <sz val="9"/>
        <color theme="1"/>
        <rFont val="ＭＳ Ｐゴシック"/>
        <family val="3"/>
        <charset val="128"/>
        <scheme val="minor"/>
      </rPr>
      <t>【データサイエンス入門第１４回】</t>
    </r>
    <r>
      <rPr>
        <sz val="9"/>
        <color theme="1"/>
        <rFont val="ＭＳ Ｐゴシック"/>
        <family val="3"/>
        <charset val="128"/>
        <scheme val="minor"/>
      </rPr>
      <t xml:space="preserve">
データ・AIを利活用する上で知っておくべきこと
・倫理的・法的・社会的課題（ELSI：Ethical, Legal and Social Issues）
・個人情報保護、EU一般データ保護規則(GDPR)、忘れられる権利、オプトアウト
・データ倫理：データのねつ造、改ざん、盗用、プライバシー保護</t>
    </r>
    <r>
      <rPr>
        <b/>
        <sz val="9"/>
        <color theme="1"/>
        <rFont val="ＭＳ Ｐゴシック"/>
        <family val="3"/>
        <charset val="128"/>
        <scheme val="minor"/>
      </rPr>
      <t>【コンピューターリテラシー第１４回】</t>
    </r>
    <r>
      <rPr>
        <sz val="9"/>
        <color theme="1"/>
        <rFont val="ＭＳ Ｐゴシック"/>
        <family val="3"/>
        <charset val="128"/>
        <scheme val="minor"/>
      </rPr>
      <t xml:space="preserve">
・AIサービスの責任論
・生成AIの留意事項（ハルシネーションによる誤情報の生成、偽情報や有害コンテンツの生成・氾濫など）</t>
    </r>
    <rPh sb="196" eb="197">
      <t>ダイ</t>
    </rPh>
    <rPh sb="199" eb="200">
      <t>カイ</t>
    </rPh>
    <phoneticPr fontId="1"/>
  </si>
  <si>
    <r>
      <t>＜データ・AI利活用のための技術＞</t>
    </r>
    <r>
      <rPr>
        <b/>
        <sz val="9"/>
        <color theme="1"/>
        <rFont val="ＭＳ Ｐゴシック"/>
        <family val="3"/>
        <charset val="128"/>
        <scheme val="minor"/>
      </rPr>
      <t>【データサイエンス入門第５回】</t>
    </r>
    <r>
      <rPr>
        <sz val="9"/>
        <color theme="1"/>
        <rFont val="ＭＳ Ｐゴシック"/>
        <family val="3"/>
        <charset val="128"/>
        <scheme val="minor"/>
      </rPr>
      <t xml:space="preserve">
データ・AIを活用するために使われている技術の概要を知る
・データ解析：予測、グルーピング、パターン発見、最適化、モデル化とシミュレーション・データ同化など
・データ可視化：複合グラフ、2軸グラフ、多次元の可視化、関係性の可視化など
・非構造化データ処理：言語処理、画像/動画処理、音声/音楽処理など
・特化型AIと汎用AI、今のAIで出来ることと出来ないこと、AIとビッグデータ</t>
    </r>
    <r>
      <rPr>
        <b/>
        <sz val="9"/>
        <color theme="1"/>
        <rFont val="ＭＳ Ｐゴシック"/>
        <family val="3"/>
        <charset val="128"/>
        <scheme val="minor"/>
      </rPr>
      <t>【コンピューターリテラシー第１５回】</t>
    </r>
    <rPh sb="26" eb="28">
      <t>ニュウモン</t>
    </rPh>
    <rPh sb="28" eb="29">
      <t>ダイ</t>
    </rPh>
    <rPh sb="30" eb="31">
      <t>カイ</t>
    </rPh>
    <rPh sb="236" eb="237">
      <t>ダイ</t>
    </rPh>
    <rPh sb="239" eb="240">
      <t>カイ</t>
    </rPh>
    <phoneticPr fontId="1"/>
  </si>
  <si>
    <r>
      <t>＜データ・AIの活用領域＞</t>
    </r>
    <r>
      <rPr>
        <b/>
        <sz val="9"/>
        <color theme="1"/>
        <rFont val="ＭＳ Ｐゴシック"/>
        <family val="3"/>
        <charset val="128"/>
        <scheme val="minor"/>
      </rPr>
      <t>【コンピューターリテラシー第１４回】【データサイエンス入門第４回】</t>
    </r>
    <r>
      <rPr>
        <sz val="9"/>
        <color theme="1"/>
        <rFont val="ＭＳ Ｐゴシック"/>
        <family val="3"/>
        <charset val="128"/>
        <scheme val="minor"/>
      </rPr>
      <t xml:space="preserve">
さまざまな領域でデータ・AIが活用されていることを知る
・データ・AI活用領域の広がり(生産、消費、文化活動など)
・研究開発、調達、製造、物流、販売、マーケティング、サービスなど
・仮説検証、知識発見、原因究明、計画策定、判断支援、活動代替、新規生成など</t>
    </r>
    <rPh sb="26" eb="27">
      <t>ダイ</t>
    </rPh>
    <rPh sb="29" eb="30">
      <t>カイ</t>
    </rPh>
    <phoneticPr fontId="1"/>
  </si>
  <si>
    <r>
      <t>＜社会で活用されているデータ＞</t>
    </r>
    <r>
      <rPr>
        <b/>
        <sz val="9"/>
        <color theme="1"/>
        <rFont val="ＭＳ Ｐゴシック"/>
        <family val="3"/>
        <charset val="128"/>
        <scheme val="minor"/>
      </rPr>
      <t>【コンピューターリテラシー第１４回】【データサイエンス入門第３回】</t>
    </r>
    <r>
      <rPr>
        <sz val="9"/>
        <color theme="1"/>
        <rFont val="ＭＳ Ｐゴシック"/>
        <family val="3"/>
        <charset val="128"/>
        <scheme val="minor"/>
      </rPr>
      <t xml:space="preserve">
どんなデータが集められ、どう活用されているかを知る
・調査データ、実験データ、人の行動ログデータ、機械の稼働ログデータなど
・1次データ、2次データ、データのメタ化
・構造化データ、非構造化データ（文章、画像/動画、音声/音楽など）</t>
    </r>
    <rPh sb="28" eb="29">
      <t>ダイ</t>
    </rPh>
    <rPh sb="31" eb="32">
      <t>カイ</t>
    </rPh>
    <rPh sb="42" eb="44">
      <t>ニュウモン</t>
    </rPh>
    <rPh sb="44" eb="45">
      <t>ダイ</t>
    </rPh>
    <rPh sb="46" eb="47">
      <t>カイ</t>
    </rPh>
    <phoneticPr fontId="1"/>
  </si>
  <si>
    <r>
      <t>＜データ・AI利活用の最新動向＞</t>
    </r>
    <r>
      <rPr>
        <b/>
        <sz val="9"/>
        <color theme="1"/>
        <rFont val="ＭＳ Ｐゴシック"/>
        <family val="3"/>
        <charset val="128"/>
        <scheme val="minor"/>
      </rPr>
      <t>【データサイエンス入門第７回】</t>
    </r>
    <r>
      <rPr>
        <sz val="9"/>
        <color theme="1"/>
        <rFont val="ＭＳ Ｐゴシック"/>
        <family val="3"/>
        <charset val="128"/>
        <scheme val="minor"/>
      </rPr>
      <t xml:space="preserve">
データ・AI利活用における最新動向（ビジネスモデル、テクノロジー）を知る
</t>
    </r>
    <r>
      <rPr>
        <sz val="9"/>
        <rFont val="ＭＳ Ｐゴシック"/>
        <family val="3"/>
        <charset val="128"/>
        <scheme val="minor"/>
      </rPr>
      <t>・AI最新技術の活用例（深層生成モデル、強化学習、転移学習、生成AIなど）</t>
    </r>
    <r>
      <rPr>
        <sz val="9"/>
        <color theme="1"/>
        <rFont val="ＭＳ Ｐゴシック"/>
        <family val="3"/>
        <charset val="128"/>
        <scheme val="minor"/>
      </rPr>
      <t xml:space="preserve">
・AI等を活用した新しいビジネスモデル(シェアリングエコノミー、商品のレコメンデーションなど)</t>
    </r>
    <rPh sb="25" eb="27">
      <t>ニュウモン</t>
    </rPh>
    <rPh sb="27" eb="28">
      <t>ダイ</t>
    </rPh>
    <rPh sb="29" eb="30">
      <t>カイ</t>
    </rPh>
    <phoneticPr fontId="1"/>
  </si>
  <si>
    <r>
      <t>＜社会で起きている変化＞</t>
    </r>
    <r>
      <rPr>
        <b/>
        <sz val="9"/>
        <color theme="1"/>
        <rFont val="ＭＳ Ｐゴシック"/>
        <family val="3"/>
        <charset val="128"/>
        <scheme val="minor"/>
      </rPr>
      <t>【データサイエンス入門第２回】</t>
    </r>
    <r>
      <rPr>
        <sz val="9"/>
        <color theme="1"/>
        <rFont val="ＭＳ Ｐゴシック"/>
        <family val="3"/>
        <charset val="128"/>
        <scheme val="minor"/>
      </rPr>
      <t xml:space="preserve">
社会で起きている変化を知り、数理・データサイエンス・AIを学ぶことの意義を理解し、AIを活用した新しいビジネス/サービスを知る
・ビッグデータ、IoT、AI、生成AI、ロボット
・データ量の増加、計算機の処理性能の向上、AIの非連続的進化
・第4次産業革命、Society 5.0、データ駆動型社会
・人間の知的活動とAIの関係性</t>
    </r>
    <rPh sb="21" eb="23">
      <t>ニュウモン</t>
    </rPh>
    <rPh sb="23" eb="24">
      <t>ダイ</t>
    </rPh>
    <rPh sb="25" eb="26">
      <t>カイ</t>
    </rPh>
    <phoneticPr fontId="1"/>
  </si>
  <si>
    <r>
      <t>＜データ・AI利活用の現場＞</t>
    </r>
    <r>
      <rPr>
        <b/>
        <sz val="9"/>
        <color theme="1"/>
        <rFont val="ＭＳ Ｐゴシック"/>
        <family val="3"/>
        <charset val="128"/>
        <scheme val="minor"/>
      </rPr>
      <t>【データサイエンス入門第６回】</t>
    </r>
    <r>
      <rPr>
        <sz val="9"/>
        <color theme="1"/>
        <rFont val="ＭＳ Ｐゴシック"/>
        <family val="3"/>
        <charset val="128"/>
        <scheme val="minor"/>
      </rPr>
      <t xml:space="preserve">
データ・AIを活用することによって、どのような価値が生まれているかを知る
・データサイエンスのサイクル（課題抽出、データの取得・管理・加工、データ解析と推論、課題解決に向けた提案）
・教育、芸術、流通、製造、金融、サービス、インフラ、公共、ヘルスケア等におけるデータ・AI利活用事例紹介</t>
    </r>
    <rPh sb="23" eb="25">
      <t>ニュウモン</t>
    </rPh>
    <rPh sb="25" eb="26">
      <t>ダイ</t>
    </rPh>
    <rPh sb="27" eb="28">
      <t>カイ</t>
    </rPh>
    <phoneticPr fontId="1"/>
  </si>
  <si>
    <t>敬和学園大学 数理・データサイエンス・AI教育プログラム</t>
    <rPh sb="0" eb="6">
      <t>ケイワガクエンダイガク</t>
    </rPh>
    <rPh sb="7" eb="9">
      <t>スウリ</t>
    </rPh>
    <rPh sb="21" eb="23">
      <t>キョウイク</t>
    </rPh>
    <phoneticPr fontId="1"/>
  </si>
  <si>
    <t>本プログラムは、１年次から開講される「コンピューターリテラシー」と、２年次よりその上位講座として設置された「データサイエンス入門」の２科目の単位取得を目的とする。「コンピューターリテラシー」では、学内の情報ネットワークの操作方法、コンピューターの基礎知識、Officeの使い方、メール送受信のマナー、情報セキュリティについて、全学科１年次の必修科目として実施。「データサイエンス入門」は、「”教養としてのデータサイエンス　改訂第2版” 北川源四郎／竹村彰通・編　内田誠一他・著　2024/12/10」をメインの教科書として用いる他、コンソーシアムで提唱される資料も利用し、全国の大学と同等レベルの教育内容にする。
入学後に実施されるガイダンスにて、本プログラムのシラバスを周知し、スムーズに導入・履修されるような体制を構築している。
具体的には、数理・データサイエンス・AI教育プログラムの履修要件と関連する科目の概要や、履修することで求める人物像などの説明を行う。また、本プログラムを履修するための動機づけとして、就職活動で使用できるよう、プログラムの修了者には履修証明書を発行する。</t>
    <rPh sb="13" eb="15">
      <t>カイコウ</t>
    </rPh>
    <rPh sb="41" eb="45">
      <t>ジョウイコウザ</t>
    </rPh>
    <rPh sb="48" eb="50">
      <t>セッチ</t>
    </rPh>
    <rPh sb="62" eb="64">
      <t>ニュウモン</t>
    </rPh>
    <rPh sb="67" eb="69">
      <t>カモク</t>
    </rPh>
    <rPh sb="70" eb="74">
      <t>タンイシュトク</t>
    </rPh>
    <rPh sb="75" eb="77">
      <t>モクテキ</t>
    </rPh>
    <rPh sb="98" eb="100">
      <t>ガクナイ</t>
    </rPh>
    <rPh sb="101" eb="103">
      <t>ジョウホウ</t>
    </rPh>
    <rPh sb="110" eb="114">
      <t>ソウサホウホウ</t>
    </rPh>
    <rPh sb="123" eb="127">
      <t>キソチシキ</t>
    </rPh>
    <rPh sb="135" eb="136">
      <t>ツカ</t>
    </rPh>
    <rPh sb="137" eb="138">
      <t>カタ</t>
    </rPh>
    <rPh sb="142" eb="145">
      <t>ソウジュシン</t>
    </rPh>
    <rPh sb="168" eb="169">
      <t>ジ</t>
    </rPh>
    <rPh sb="189" eb="191">
      <t>ニュウモン</t>
    </rPh>
    <rPh sb="235" eb="236">
      <t>ホカ</t>
    </rPh>
    <rPh sb="255" eb="258">
      <t>キョウカショ</t>
    </rPh>
    <rPh sb="261" eb="262">
      <t>モチ</t>
    </rPh>
    <rPh sb="264" eb="265">
      <t>ホカ</t>
    </rPh>
    <rPh sb="274" eb="276">
      <t>テイショウ</t>
    </rPh>
    <rPh sb="279" eb="281">
      <t>シリョウ</t>
    </rPh>
    <rPh sb="282" eb="284">
      <t>リヨウ</t>
    </rPh>
    <rPh sb="286" eb="288">
      <t>ゼンコク</t>
    </rPh>
    <rPh sb="289" eb="291">
      <t>ダイガク</t>
    </rPh>
    <rPh sb="292" eb="294">
      <t>ドウトウ</t>
    </rPh>
    <rPh sb="298" eb="302">
      <t>キョウイクナイヨウ</t>
    </rPh>
    <rPh sb="386" eb="388">
      <t>キョウイク</t>
    </rPh>
    <rPh sb="394" eb="398">
      <t>リシュウヨウケン</t>
    </rPh>
    <rPh sb="399" eb="401">
      <t>カンレン</t>
    </rPh>
    <rPh sb="403" eb="405">
      <t>カモク</t>
    </rPh>
    <rPh sb="406" eb="408">
      <t>ガイヨウ</t>
    </rPh>
    <rPh sb="410" eb="412">
      <t>リシュウ</t>
    </rPh>
    <rPh sb="417" eb="418">
      <t>モト</t>
    </rPh>
    <rPh sb="420" eb="423">
      <t>ジンブツゾウ</t>
    </rPh>
    <rPh sb="426" eb="428">
      <t>セツメイ</t>
    </rPh>
    <rPh sb="429" eb="430">
      <t>オコナ</t>
    </rPh>
    <phoneticPr fontId="1"/>
  </si>
  <si>
    <t>「コンピューターリテラシー」
本プログラムの学修成果は、当学のポータルサイトである“Universal Passport”にて確認できるようになっている。成績評価のつけ方は、以下のとおりである。
全体の講義回数の７０％以上の出席（１１回以上）が単位取得の条件となり、出席点１０点となる。また、課題点は、ビジネスメール、ビジネス文書、表計算などWordやExcelを用いての課題提出が３回あり、それぞれ１０点。グループワークとして、それぞれの課題に対する検討とPowerPointでの資料作成と発表をについて６０点を付与する。これらの点数が最大点となるため、ここから減点しその合計が評価となる。
「データサイエンス入門」
「コンピューターリテラシー」同様に、学修成果は、当学のポータルサイトである“Universal Passport”にて確認できるようになっている。成績評価のつけ方は、以下のとおりである。
全体の講義回数の７０％以上の出席（１１回以上）が単位取得の条件となり、出席点１０点となる。各章ごとに理解度を確認するための小テストを３回実施し、それぞれ３０点を最大点として付与する。本講義のカリキュラムは、”数理・データサイエンス・AI(リテラシーレベル)モデルカリキュラム　〜データ思考の涵養〜　(2024年2月22日改訂)”に準じて作成されている。
上記２科目の取得にて敬和学園大学 数理・データサイエンス・AI教育プログラム（リテラシーレベル）を認定する。</t>
    <rPh sb="587" eb="589">
      <t>シュトク</t>
    </rPh>
    <rPh sb="612" eb="614">
      <t>キョウイク</t>
    </rPh>
    <phoneticPr fontId="1"/>
  </si>
  <si>
    <t>敬和学園大学ネットワーク委員会規程（2025.2.26更新）</t>
    <rPh sb="0" eb="6">
      <t>ケイワガクエンダイガク</t>
    </rPh>
    <rPh sb="12" eb="15">
      <t>イインカイ</t>
    </rPh>
    <phoneticPr fontId="1"/>
  </si>
  <si>
    <t>「コンピューターリテラシー」
１年次における講義であるため、インターネットとコンピュータを大学在学中に活用するためのテクニックや、就職時に必要になる実用的な利用法を学ぶことを大目標としている。履修者スキルを見きわめながら、ビジネスメール、ビジネス文書、プレゼンテーションなど、１人１台PCを用いて、電子ファイルによる小テストを通じてレベルを上げていく。また、グループワークを取りながら課題発表に向けた作業に取り組んでもらう。さらに、著作権、セキュリティ、AIによる社会変化やビックデータの活用事例（数理・データサイエンス・AIの学習における“リテラシーレベル”の項目に該当）について解説を行う。
「データサイエンス入門」
２年次より受講可能となる本講義は、前期「コンピューターリテラシー」の上位科目となる。“数理・データサイエンス・AI教育プログラム”を活用することを通じ、実データや実課題を用いた演習など、社会での実例を題材に、現実の課題と適切な活用法を学ぶことをカリキュラムに取り入れる。本講義は、“数理・データサイエンス・AI”のリテラシーレベルに該当し、「分かりやすさ」や「社会での活用」、「幅広い視野」を重視した教育を実施する。具体的には、導入：社会におけるデータ・AI利活用、基礎：データリテラシー、心得：データ・AI利活用における留意事項の範囲を網羅し、講義やPCでの演習を行う。</t>
    <rPh sb="369" eb="371">
      <t>キョウイク</t>
    </rPh>
    <phoneticPr fontId="1"/>
  </si>
  <si>
    <t>「コンピューターリテラシー」は、PCに関わる一般常識の講座であるため、1年次から履修可能としており、共通基礎科目の必修科目となっている。また、不合格となった場合でも再履修が可能である。「データサイエンス入門」に関しては、２年次より受講可能な科目であり、「コンピューターリテラシー」の上位講座として実施する。本学における“敬和学園大学 数理・データサイエンス・AI教育プログラム（リテラシーレベル）”は、令和６年度より行っているため、「データサイエンス入門」は令和７年度が初めての受講者となる。これら、学生の履修状況や習得状況は、当学のポータルサイトである“Universal Passport”にて確認できるようになっている。
令和６年度の「コンピューターリテラシー」/「データサイエンス入門」の履修状況は次のとおりである。
「コンピューターリテラシー」：履修者126名、単位認定者116名、合格率92.1％
「データサイエンス入門」：（令和７年度より開講中）</t>
    <rPh sb="160" eb="166">
      <t>ケイワガクエンダイガク</t>
    </rPh>
    <rPh sb="181" eb="183">
      <t>キョウイク</t>
    </rPh>
    <rPh sb="426" eb="429">
      <t>カイコウチュウ</t>
    </rPh>
    <phoneticPr fontId="1"/>
  </si>
  <si>
    <t>本体制は、敬和学園大学における情報系の教育及び学内運営に関わる議論検討を行っている。ここでは、AI・データサイエンスに関する正しい知識を持ち、それを日常や仕事の場で使いこなすための基礎的なリテラシーを習得することを目標とした、「敬和学園大学 数理・データサイエンス・AI教育プログラム（リテラシーレベル）」に関して、プログラム内容の立案・改善、プログラムの運営・普及、プログラムの自己点検・評価ならびに情報公開を担う組織として担当している。プログラムそのものを立案・改善・運営するほか、会議内に置かれた自己点検・評価部会で自己点検・評価を行う。</t>
    <rPh sb="5" eb="11">
      <t>ケイワガクエンダイガク</t>
    </rPh>
    <rPh sb="15" eb="17">
      <t>ジョウホウ</t>
    </rPh>
    <rPh sb="17" eb="18">
      <t>ケイ</t>
    </rPh>
    <rPh sb="19" eb="21">
      <t>キョウイク</t>
    </rPh>
    <rPh sb="21" eb="22">
      <t>オヨ</t>
    </rPh>
    <rPh sb="23" eb="27">
      <t>ガクナイウンエイ</t>
    </rPh>
    <rPh sb="28" eb="29">
      <t>カカ</t>
    </rPh>
    <rPh sb="31" eb="35">
      <t>ギロンケントウ</t>
    </rPh>
    <rPh sb="36" eb="37">
      <t>オコナ</t>
    </rPh>
    <rPh sb="114" eb="120">
      <t>ケイワガクエンダイガク</t>
    </rPh>
    <rPh sb="213" eb="215">
      <t>タントウ</t>
    </rPh>
    <phoneticPr fontId="1"/>
  </si>
  <si>
    <t>数理・データサイエンス・AI教育プログラムは、全学科共通の共通基礎科目として位置づけられ、本学の学生は、全員受講可能である。
今後の活動として、全学FD・SD研修会において「敬和学園大学 数理・データサイエンス・AI教育カリキュラム（リテラシーレベル）の概要と社会ニーズ、本学における取り組みについて」などの説明会を行い、全教職員に数理・データサイエンス・AI教育の必要性と重要性の理解を深めてもらう機会を持つ。教学担当・学科長・ネットワーク委員会など、担当教員および関連部署（教務課・入試広報課・総務課）の事務職員からなる全学的な会議を行い、学修状況の調査、本プログラムへの提言、学内外にむけた広報等を行う。</t>
    <rPh sb="0" eb="2">
      <t>スウリ</t>
    </rPh>
    <rPh sb="14" eb="16">
      <t>キョウイク</t>
    </rPh>
    <rPh sb="23" eb="28">
      <t>ゼンガッカキョウツウ</t>
    </rPh>
    <rPh sb="29" eb="35">
      <t>キョウツウキソカモク</t>
    </rPh>
    <rPh sb="38" eb="40">
      <t>イチ</t>
    </rPh>
    <rPh sb="48" eb="50">
      <t>ガクセイ</t>
    </rPh>
    <rPh sb="52" eb="58">
      <t>ゼンインジュコウカノウ</t>
    </rPh>
    <rPh sb="63" eb="65">
      <t>コンゴ</t>
    </rPh>
    <rPh sb="66" eb="68">
      <t>カツドウ</t>
    </rPh>
    <rPh sb="87" eb="93">
      <t>ケイワガクエンダイガク</t>
    </rPh>
    <rPh sb="94" eb="96">
      <t>スウリ</t>
    </rPh>
    <rPh sb="108" eb="110">
      <t>キョウイク</t>
    </rPh>
    <rPh sb="127" eb="129">
      <t>ガイヨウ</t>
    </rPh>
    <rPh sb="130" eb="132">
      <t>シャカイ</t>
    </rPh>
    <rPh sb="203" eb="204">
      <t>モ</t>
    </rPh>
    <rPh sb="211" eb="213">
      <t>ガッカ</t>
    </rPh>
    <rPh sb="221" eb="224">
      <t>イインカイ</t>
    </rPh>
    <rPh sb="247" eb="248">
      <t>カ</t>
    </rPh>
    <rPh sb="249" eb="252">
      <t>ソウムカ</t>
    </rPh>
    <rPh sb="269" eb="270">
      <t>オコナ</t>
    </rPh>
    <rPh sb="302" eb="303">
      <t>オコナ</t>
    </rPh>
    <phoneticPr fontId="1"/>
  </si>
  <si>
    <t>本学は、人文学部として国際文化学科・英語文化コミュニケーション学科・共生社会学会を設置しているため、このプログラムは誰でも受講可能な共通基礎科目として運用している。
さらに、プログラム認定の履修要件などを入学時ガイダンス及びキャンパスガイドなど、多くの手法を用い周知していく。
また、授業科目のシラバスは、文部科学省”数理・データサイエンス・AI教育プログラム（リテラシーレベル）”に即した授業内容で組み立てている。
「敬和学園大学 数理・データサイエンス・AI教育プログラム（リテラシーレベル）」（申請中）
紹介ホームページ　https://www.keiwa-c.ac.jp/academic/datascience/</t>
    <rPh sb="4" eb="8">
      <t>ジンブンガクブ</t>
    </rPh>
    <rPh sb="11" eb="17">
      <t>コクサイブンカガッカ</t>
    </rPh>
    <rPh sb="18" eb="22">
      <t>エイゴブンカ</t>
    </rPh>
    <rPh sb="31" eb="33">
      <t>ガッカ</t>
    </rPh>
    <rPh sb="34" eb="40">
      <t>キョウセイシャカイガッカイ</t>
    </rPh>
    <rPh sb="41" eb="43">
      <t>セッチ</t>
    </rPh>
    <rPh sb="58" eb="59">
      <t>ダレ</t>
    </rPh>
    <rPh sb="61" eb="65">
      <t>ジュコウカノウ</t>
    </rPh>
    <rPh sb="66" eb="72">
      <t>キョウツウキソカモク</t>
    </rPh>
    <rPh sb="75" eb="77">
      <t>ウンヨウ</t>
    </rPh>
    <rPh sb="92" eb="94">
      <t>ニンテイ</t>
    </rPh>
    <rPh sb="95" eb="99">
      <t>リシュウヨウケン</t>
    </rPh>
    <rPh sb="102" eb="104">
      <t>ニュウガク</t>
    </rPh>
    <rPh sb="123" eb="124">
      <t>オオ</t>
    </rPh>
    <rPh sb="126" eb="128">
      <t>シュホウ</t>
    </rPh>
    <rPh sb="129" eb="130">
      <t>モチ</t>
    </rPh>
    <rPh sb="153" eb="158">
      <t>モンブカガクショウ</t>
    </rPh>
    <rPh sb="173" eb="175">
      <t>キョウイク</t>
    </rPh>
    <rPh sb="215" eb="217">
      <t>ダイガク</t>
    </rPh>
    <phoneticPr fontId="1"/>
  </si>
  <si>
    <t>「コンピューターリテラシー」２単位および「データサイエンス入門」２単位の４単位を取得すること。
「敬和学園大学 数理・データサイエンス・AI教育プログラム（リテラシーレベル）」（申請中）
紹介ホームページ　https://www.keiwa-c.ac.jp/academic/datascience/</t>
    <rPh sb="57" eb="59">
      <t>スウリ</t>
    </rPh>
    <rPh sb="71" eb="73">
      <t>キョウイク</t>
    </rPh>
    <rPh sb="90" eb="93">
      <t>シンセイチュウ</t>
    </rPh>
    <rPh sb="95" eb="97">
      <t>ショウカイ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</si>
</sst>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scheme val="minor"/>
    </font>
    <font>
      <sz val="12"/>
      <color rgb="FFC00000"/>
      <name val="ＭＳ Ｐゴシック"/>
      <family val="3"/>
      <charset val="128"/>
      <scheme val="minor"/>
    </font>
    <font>
      <b/>
      <sz val="9"/>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9" fontId="2" fillId="0" borderId="1" xfId="0" applyNumberFormat="1"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11" fillId="0" borderId="18" xfId="0" applyFont="1" applyBorder="1" applyAlignment="1">
      <alignment vertical="top" wrapText="1" shrinkToFit="1"/>
    </xf>
    <xf numFmtId="0" fontId="11" fillId="0" borderId="19" xfId="0" applyFont="1" applyBorder="1" applyAlignment="1">
      <alignment vertical="top" wrapText="1" shrinkToFit="1"/>
    </xf>
    <xf numFmtId="0" fontId="11"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4" fillId="0" borderId="19" xfId="0" applyFont="1" applyBorder="1" applyAlignment="1">
      <alignment vertical="top" wrapText="1" shrinkToFit="1"/>
    </xf>
    <xf numFmtId="0" fontId="14" fillId="0" borderId="17"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11" fillId="0" borderId="32" xfId="0" applyFont="1" applyBorder="1" applyAlignment="1">
      <alignment vertical="top" wrapText="1" shrinkToFit="1"/>
    </xf>
    <xf numFmtId="0" fontId="11" fillId="0" borderId="33" xfId="0" applyFont="1" applyBorder="1" applyAlignment="1">
      <alignment vertical="top" wrapText="1" shrinkToFit="1"/>
    </xf>
    <xf numFmtId="0" fontId="11"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1" fillId="0" borderId="37" xfId="0" applyFont="1" applyBorder="1" applyAlignment="1">
      <alignment vertical="top" wrapText="1" shrinkToFit="1"/>
    </xf>
    <xf numFmtId="0" fontId="11"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97" zoomScale="70" zoomScaleNormal="100" zoomScaleSheetLayoutView="70" workbookViewId="0">
      <selection activeCell="V24" sqref="V23:V24"/>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26" width="9" style="1"/>
    <col min="27" max="27" width="9" style="1" hidden="1" customWidth="1"/>
    <col min="28" max="16384" width="9" style="1"/>
  </cols>
  <sheetData>
    <row r="1" spans="1:24" ht="18.649999999999999" customHeight="1" x14ac:dyDescent="0.2">
      <c r="T1" s="129" t="s">
        <v>12</v>
      </c>
      <c r="U1" s="129"/>
      <c r="V1" s="2" t="s">
        <v>94</v>
      </c>
    </row>
    <row r="2" spans="1:24" ht="18.75" customHeight="1" x14ac:dyDescent="0.2">
      <c r="B2" s="17" t="s">
        <v>93</v>
      </c>
      <c r="C2" s="96" t="s">
        <v>143</v>
      </c>
      <c r="D2" s="97"/>
      <c r="E2" s="97"/>
      <c r="F2" s="97"/>
      <c r="G2" s="97"/>
      <c r="H2" s="97"/>
      <c r="I2" s="97"/>
      <c r="J2" s="98"/>
      <c r="K2" s="18"/>
      <c r="L2" s="6"/>
      <c r="M2" s="6"/>
      <c r="N2" s="6"/>
      <c r="O2" s="6"/>
      <c r="P2" s="6"/>
      <c r="Q2" s="6"/>
      <c r="R2" s="6"/>
      <c r="S2" s="6"/>
      <c r="T2" s="6"/>
      <c r="U2" s="6"/>
    </row>
    <row r="3" spans="1:24" ht="18.75" customHeight="1" x14ac:dyDescent="0.2">
      <c r="B3" s="17" t="s">
        <v>88</v>
      </c>
      <c r="C3" s="130" t="s">
        <v>182</v>
      </c>
      <c r="D3" s="131"/>
      <c r="E3" s="131"/>
      <c r="F3" s="131"/>
      <c r="G3" s="131"/>
      <c r="H3" s="131"/>
      <c r="I3" s="131"/>
      <c r="J3" s="132"/>
      <c r="K3" s="18"/>
      <c r="L3" s="6"/>
      <c r="M3" s="6"/>
      <c r="N3" s="6"/>
      <c r="O3" s="6"/>
      <c r="P3" s="6"/>
      <c r="Q3" s="6"/>
      <c r="R3" s="6"/>
      <c r="S3" s="6"/>
      <c r="T3" s="6"/>
      <c r="U3" s="6"/>
    </row>
    <row r="4" spans="1:24" ht="15" customHeight="1" x14ac:dyDescent="0.2">
      <c r="L4" s="18"/>
      <c r="M4" s="72"/>
      <c r="N4" s="72"/>
      <c r="O4" s="72"/>
      <c r="P4" s="72"/>
      <c r="Q4" s="72"/>
      <c r="R4" s="72"/>
      <c r="S4" s="72"/>
      <c r="T4" s="72"/>
      <c r="U4" s="72"/>
    </row>
    <row r="5" spans="1:24" ht="18" customHeight="1" x14ac:dyDescent="0.2">
      <c r="A5" s="110" t="s">
        <v>141</v>
      </c>
      <c r="B5" s="110"/>
      <c r="C5" s="110"/>
      <c r="D5" s="110"/>
      <c r="E5" s="110"/>
      <c r="F5" s="110"/>
      <c r="G5" s="110"/>
      <c r="H5" s="110"/>
      <c r="I5" s="110"/>
      <c r="J5" s="110"/>
      <c r="K5" s="110"/>
      <c r="L5" s="110"/>
      <c r="M5" s="110"/>
      <c r="N5" s="110"/>
      <c r="O5" s="110"/>
      <c r="P5" s="110"/>
      <c r="Q5" s="110"/>
      <c r="R5" s="110"/>
      <c r="S5" s="110"/>
      <c r="T5" s="110"/>
      <c r="U5" s="110"/>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45" t="s">
        <v>144</v>
      </c>
      <c r="M7" s="146"/>
      <c r="N7" s="146"/>
      <c r="O7" s="146"/>
      <c r="P7" s="146"/>
      <c r="Q7" s="146"/>
      <c r="R7" s="146"/>
      <c r="S7" s="146"/>
      <c r="T7" s="146"/>
      <c r="U7" s="147"/>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48"/>
      <c r="C11" s="149"/>
      <c r="D11" s="149"/>
      <c r="E11" s="149"/>
      <c r="F11" s="149"/>
      <c r="G11" s="149"/>
      <c r="H11" s="149"/>
      <c r="I11" s="149"/>
      <c r="J11" s="149"/>
      <c r="K11" s="149"/>
      <c r="L11" s="149"/>
      <c r="M11" s="149"/>
      <c r="N11" s="149"/>
      <c r="O11" s="149"/>
      <c r="P11" s="149"/>
      <c r="Q11" s="149"/>
      <c r="R11" s="149"/>
      <c r="S11" s="149"/>
      <c r="T11" s="149"/>
      <c r="U11" s="150"/>
    </row>
    <row r="12" spans="1:24" ht="18" customHeight="1" x14ac:dyDescent="0.2">
      <c r="B12" s="151"/>
      <c r="C12" s="152"/>
      <c r="D12" s="152"/>
      <c r="E12" s="152"/>
      <c r="F12" s="152"/>
      <c r="G12" s="152"/>
      <c r="H12" s="152"/>
      <c r="I12" s="152"/>
      <c r="J12" s="152"/>
      <c r="K12" s="152"/>
      <c r="L12" s="152"/>
      <c r="M12" s="152"/>
      <c r="N12" s="152"/>
      <c r="O12" s="152"/>
      <c r="P12" s="152"/>
      <c r="Q12" s="152"/>
      <c r="R12" s="152"/>
      <c r="S12" s="152"/>
      <c r="T12" s="152"/>
      <c r="U12" s="153"/>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95</v>
      </c>
      <c r="B14" s="3"/>
      <c r="C14" s="3"/>
      <c r="D14" s="3"/>
      <c r="E14" s="18"/>
      <c r="F14" s="18"/>
      <c r="G14" s="18"/>
      <c r="H14" s="18"/>
      <c r="I14" s="18"/>
      <c r="J14" s="18"/>
      <c r="K14" s="18"/>
      <c r="L14" s="73"/>
      <c r="M14" s="73"/>
      <c r="N14" s="73"/>
      <c r="O14" s="73"/>
      <c r="P14" s="73"/>
      <c r="Q14" s="73"/>
      <c r="R14" s="73"/>
      <c r="S14" s="73"/>
      <c r="T14" s="73"/>
      <c r="U14" s="73"/>
    </row>
    <row r="15" spans="1:24" ht="18" customHeight="1" x14ac:dyDescent="0.2">
      <c r="B15" s="111" t="s">
        <v>191</v>
      </c>
      <c r="C15" s="112"/>
      <c r="D15" s="112"/>
      <c r="E15" s="112"/>
      <c r="F15" s="112"/>
      <c r="G15" s="112"/>
      <c r="H15" s="112"/>
      <c r="I15" s="112"/>
      <c r="J15" s="112"/>
      <c r="K15" s="112"/>
      <c r="L15" s="112"/>
      <c r="M15" s="112"/>
      <c r="N15" s="112"/>
      <c r="O15" s="112"/>
      <c r="P15" s="112"/>
      <c r="Q15" s="112"/>
      <c r="R15" s="112"/>
      <c r="S15" s="112"/>
      <c r="T15" s="112"/>
      <c r="U15" s="113"/>
      <c r="X15" s="1" t="s">
        <v>89</v>
      </c>
    </row>
    <row r="16" spans="1:24" ht="18" customHeight="1" x14ac:dyDescent="0.2">
      <c r="B16" s="114"/>
      <c r="C16" s="115"/>
      <c r="D16" s="115"/>
      <c r="E16" s="115"/>
      <c r="F16" s="115"/>
      <c r="G16" s="115"/>
      <c r="H16" s="115"/>
      <c r="I16" s="115"/>
      <c r="J16" s="115"/>
      <c r="K16" s="115"/>
      <c r="L16" s="115"/>
      <c r="M16" s="115"/>
      <c r="N16" s="115"/>
      <c r="O16" s="115"/>
      <c r="P16" s="115"/>
      <c r="Q16" s="115"/>
      <c r="R16" s="115"/>
      <c r="S16" s="115"/>
      <c r="T16" s="115"/>
      <c r="U16" s="116"/>
      <c r="X16" s="1" t="s">
        <v>122</v>
      </c>
    </row>
    <row r="17" spans="1:24" ht="18" customHeight="1" x14ac:dyDescent="0.2">
      <c r="B17" s="114"/>
      <c r="C17" s="115"/>
      <c r="D17" s="115"/>
      <c r="E17" s="115"/>
      <c r="F17" s="115"/>
      <c r="G17" s="115"/>
      <c r="H17" s="115"/>
      <c r="I17" s="115"/>
      <c r="J17" s="115"/>
      <c r="K17" s="115"/>
      <c r="L17" s="115"/>
      <c r="M17" s="115"/>
      <c r="N17" s="115"/>
      <c r="O17" s="115"/>
      <c r="P17" s="115"/>
      <c r="Q17" s="115"/>
      <c r="R17" s="115"/>
      <c r="S17" s="115"/>
      <c r="T17" s="115"/>
      <c r="U17" s="116"/>
      <c r="X17" s="1" t="s">
        <v>123</v>
      </c>
    </row>
    <row r="18" spans="1:24" ht="18" customHeight="1" x14ac:dyDescent="0.2">
      <c r="B18" s="114"/>
      <c r="C18" s="115"/>
      <c r="D18" s="115"/>
      <c r="E18" s="115"/>
      <c r="F18" s="115"/>
      <c r="G18" s="115"/>
      <c r="H18" s="115"/>
      <c r="I18" s="115"/>
      <c r="J18" s="115"/>
      <c r="K18" s="115"/>
      <c r="L18" s="115"/>
      <c r="M18" s="115"/>
      <c r="N18" s="115"/>
      <c r="O18" s="115"/>
      <c r="P18" s="115"/>
      <c r="Q18" s="115"/>
      <c r="R18" s="115"/>
      <c r="S18" s="115"/>
      <c r="T18" s="115"/>
      <c r="U18" s="116"/>
      <c r="X18" s="1" t="s">
        <v>124</v>
      </c>
    </row>
    <row r="19" spans="1:24" ht="18" customHeight="1" x14ac:dyDescent="0.2">
      <c r="B19" s="114"/>
      <c r="C19" s="115"/>
      <c r="D19" s="115"/>
      <c r="E19" s="115"/>
      <c r="F19" s="115"/>
      <c r="G19" s="115"/>
      <c r="H19" s="115"/>
      <c r="I19" s="115"/>
      <c r="J19" s="115"/>
      <c r="K19" s="115"/>
      <c r="L19" s="115"/>
      <c r="M19" s="115"/>
      <c r="N19" s="115"/>
      <c r="O19" s="115"/>
      <c r="P19" s="115"/>
      <c r="Q19" s="115"/>
      <c r="R19" s="115"/>
      <c r="S19" s="115"/>
      <c r="T19" s="115"/>
      <c r="U19" s="116"/>
    </row>
    <row r="20" spans="1:24" ht="18" customHeight="1" x14ac:dyDescent="0.2">
      <c r="B20" s="117"/>
      <c r="C20" s="118"/>
      <c r="D20" s="118"/>
      <c r="E20" s="118"/>
      <c r="F20" s="118"/>
      <c r="G20" s="118"/>
      <c r="H20" s="118"/>
      <c r="I20" s="118"/>
      <c r="J20" s="118"/>
      <c r="K20" s="118"/>
      <c r="L20" s="118"/>
      <c r="M20" s="118"/>
      <c r="N20" s="118"/>
      <c r="O20" s="118"/>
      <c r="P20" s="118"/>
      <c r="Q20" s="118"/>
      <c r="R20" s="118"/>
      <c r="S20" s="118"/>
      <c r="T20" s="118"/>
      <c r="U20" s="119"/>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20" customHeight="1" x14ac:dyDescent="0.2">
      <c r="B22" s="1" t="s">
        <v>119</v>
      </c>
      <c r="E22" s="74">
        <v>2</v>
      </c>
      <c r="F22" s="1" t="s">
        <v>107</v>
      </c>
      <c r="H22" s="19">
        <v>4</v>
      </c>
      <c r="I22" s="3" t="s">
        <v>108</v>
      </c>
      <c r="J22" s="3"/>
      <c r="K22" s="18"/>
      <c r="M22" s="18" t="s">
        <v>104</v>
      </c>
      <c r="N22" s="142" t="s">
        <v>124</v>
      </c>
      <c r="O22" s="143"/>
      <c r="P22" s="143"/>
      <c r="Q22" s="143"/>
      <c r="R22" s="143"/>
      <c r="S22" s="143"/>
      <c r="T22" s="143"/>
      <c r="U22" s="144"/>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89" t="s">
        <v>96</v>
      </c>
      <c r="B24" s="89"/>
      <c r="C24" s="89"/>
      <c r="D24" s="89"/>
      <c r="E24" s="89"/>
      <c r="F24" s="89"/>
      <c r="G24" s="89"/>
      <c r="H24" s="89"/>
      <c r="I24" s="89"/>
      <c r="J24" s="89"/>
      <c r="K24" s="89"/>
      <c r="L24" s="89"/>
      <c r="M24" s="89"/>
      <c r="N24" s="89"/>
      <c r="O24" s="89"/>
      <c r="P24" s="89"/>
      <c r="Q24" s="89"/>
      <c r="R24" s="89"/>
      <c r="S24" s="89"/>
      <c r="T24" s="89"/>
      <c r="U24" s="89"/>
    </row>
    <row r="25" spans="1:24" ht="18" customHeight="1" x14ac:dyDescent="0.2">
      <c r="A25" s="89"/>
      <c r="B25" s="89"/>
      <c r="C25" s="89"/>
      <c r="D25" s="89"/>
      <c r="E25" s="89"/>
      <c r="F25" s="89"/>
      <c r="G25" s="89"/>
      <c r="H25" s="89"/>
      <c r="I25" s="89"/>
      <c r="J25" s="89"/>
      <c r="K25" s="89"/>
      <c r="L25" s="89"/>
      <c r="M25" s="89"/>
      <c r="N25" s="89"/>
      <c r="O25" s="89"/>
      <c r="P25" s="89"/>
      <c r="Q25" s="89"/>
      <c r="R25" s="89"/>
      <c r="S25" s="89"/>
      <c r="T25" s="89"/>
      <c r="U25" s="89"/>
    </row>
    <row r="26" spans="1:24" ht="18" customHeight="1" x14ac:dyDescent="0.2">
      <c r="B26" s="96" t="s">
        <v>48</v>
      </c>
      <c r="C26" s="97"/>
      <c r="D26" s="97"/>
      <c r="E26" s="97"/>
      <c r="F26" s="98"/>
      <c r="G26" s="58" t="s">
        <v>73</v>
      </c>
      <c r="H26" s="59" t="s">
        <v>76</v>
      </c>
      <c r="I26" s="60" t="s">
        <v>51</v>
      </c>
      <c r="J26" s="60" t="s">
        <v>54</v>
      </c>
      <c r="K26" s="96" t="s">
        <v>48</v>
      </c>
      <c r="L26" s="97"/>
      <c r="M26" s="97"/>
      <c r="N26" s="97"/>
      <c r="O26" s="97"/>
      <c r="P26" s="97"/>
      <c r="Q26" s="98"/>
      <c r="R26" s="58" t="s">
        <v>73</v>
      </c>
      <c r="S26" s="59" t="s">
        <v>76</v>
      </c>
      <c r="T26" s="60" t="s">
        <v>51</v>
      </c>
      <c r="U26" s="60" t="s">
        <v>54</v>
      </c>
    </row>
    <row r="27" spans="1:24" ht="18" customHeight="1" x14ac:dyDescent="0.2">
      <c r="B27" s="90" t="s">
        <v>145</v>
      </c>
      <c r="C27" s="91"/>
      <c r="D27" s="91"/>
      <c r="E27" s="91"/>
      <c r="F27" s="92"/>
      <c r="G27" s="61">
        <v>2</v>
      </c>
      <c r="H27" s="61" t="s">
        <v>146</v>
      </c>
      <c r="I27" s="61" t="s">
        <v>146</v>
      </c>
      <c r="J27" s="61" t="s">
        <v>146</v>
      </c>
      <c r="K27" s="90"/>
      <c r="L27" s="91"/>
      <c r="M27" s="91"/>
      <c r="N27" s="91"/>
      <c r="O27" s="91"/>
      <c r="P27" s="91"/>
      <c r="Q27" s="92"/>
      <c r="R27" s="61"/>
      <c r="S27" s="61"/>
      <c r="T27" s="61"/>
      <c r="U27" s="61"/>
    </row>
    <row r="28" spans="1:24" ht="18" customHeight="1" x14ac:dyDescent="0.2">
      <c r="B28" s="83"/>
      <c r="C28" s="84"/>
      <c r="D28" s="84"/>
      <c r="E28" s="84"/>
      <c r="F28" s="85"/>
      <c r="G28" s="62"/>
      <c r="H28" s="62"/>
      <c r="I28" s="62"/>
      <c r="J28" s="62"/>
      <c r="K28" s="83"/>
      <c r="L28" s="84"/>
      <c r="M28" s="84"/>
      <c r="N28" s="84"/>
      <c r="O28" s="84"/>
      <c r="P28" s="84"/>
      <c r="Q28" s="85"/>
      <c r="R28" s="62"/>
      <c r="S28" s="62"/>
      <c r="T28" s="62"/>
      <c r="U28" s="62"/>
    </row>
    <row r="29" spans="1:24" ht="18" customHeight="1" x14ac:dyDescent="0.2">
      <c r="B29" s="83"/>
      <c r="C29" s="84"/>
      <c r="D29" s="84"/>
      <c r="E29" s="84"/>
      <c r="F29" s="85"/>
      <c r="G29" s="62"/>
      <c r="H29" s="62"/>
      <c r="I29" s="62"/>
      <c r="J29" s="62"/>
      <c r="K29" s="83"/>
      <c r="L29" s="84"/>
      <c r="M29" s="84"/>
      <c r="N29" s="84"/>
      <c r="O29" s="84"/>
      <c r="P29" s="84"/>
      <c r="Q29" s="85"/>
      <c r="R29" s="62"/>
      <c r="S29" s="62"/>
      <c r="T29" s="62"/>
      <c r="U29" s="62"/>
    </row>
    <row r="30" spans="1:24" ht="18" customHeight="1" x14ac:dyDescent="0.2">
      <c r="B30" s="83"/>
      <c r="C30" s="84"/>
      <c r="D30" s="84"/>
      <c r="E30" s="84"/>
      <c r="F30" s="85"/>
      <c r="G30" s="62"/>
      <c r="H30" s="62"/>
      <c r="I30" s="62"/>
      <c r="J30" s="62"/>
      <c r="K30" s="83"/>
      <c r="L30" s="84"/>
      <c r="M30" s="84"/>
      <c r="N30" s="84"/>
      <c r="O30" s="84"/>
      <c r="P30" s="84"/>
      <c r="Q30" s="85"/>
      <c r="R30" s="62"/>
      <c r="S30" s="62"/>
      <c r="T30" s="62"/>
      <c r="U30" s="62"/>
    </row>
    <row r="31" spans="1:24" ht="18" customHeight="1" x14ac:dyDescent="0.2">
      <c r="B31" s="83"/>
      <c r="C31" s="84"/>
      <c r="D31" s="84"/>
      <c r="E31" s="84"/>
      <c r="F31" s="85"/>
      <c r="G31" s="62"/>
      <c r="H31" s="62"/>
      <c r="I31" s="62"/>
      <c r="J31" s="62"/>
      <c r="K31" s="83"/>
      <c r="L31" s="84"/>
      <c r="M31" s="84"/>
      <c r="N31" s="84"/>
      <c r="O31" s="84"/>
      <c r="P31" s="84"/>
      <c r="Q31" s="85"/>
      <c r="R31" s="62"/>
      <c r="S31" s="62"/>
      <c r="T31" s="62"/>
      <c r="U31" s="62"/>
    </row>
    <row r="32" spans="1:24" ht="18" customHeight="1" x14ac:dyDescent="0.2">
      <c r="A32" s="3"/>
      <c r="B32" s="83"/>
      <c r="C32" s="84"/>
      <c r="D32" s="84"/>
      <c r="E32" s="84"/>
      <c r="F32" s="85"/>
      <c r="G32" s="62"/>
      <c r="H32" s="62"/>
      <c r="I32" s="62"/>
      <c r="J32" s="62"/>
      <c r="K32" s="83"/>
      <c r="L32" s="84"/>
      <c r="M32" s="84"/>
      <c r="N32" s="84"/>
      <c r="O32" s="84"/>
      <c r="P32" s="84"/>
      <c r="Q32" s="85"/>
      <c r="R32" s="62"/>
      <c r="S32" s="62"/>
      <c r="T32" s="62"/>
      <c r="U32" s="62"/>
    </row>
    <row r="33" spans="1:21" ht="18" customHeight="1" x14ac:dyDescent="0.2">
      <c r="A33" s="3"/>
      <c r="B33" s="86"/>
      <c r="C33" s="87"/>
      <c r="D33" s="87"/>
      <c r="E33" s="87"/>
      <c r="F33" s="88"/>
      <c r="G33" s="63"/>
      <c r="H33" s="63"/>
      <c r="I33" s="64"/>
      <c r="J33" s="64"/>
      <c r="K33" s="86"/>
      <c r="L33" s="87"/>
      <c r="M33" s="87"/>
      <c r="N33" s="87"/>
      <c r="O33" s="87"/>
      <c r="P33" s="87"/>
      <c r="Q33" s="88"/>
      <c r="R33" s="63"/>
      <c r="S33" s="63"/>
      <c r="T33" s="64"/>
      <c r="U33" s="64"/>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89" t="s">
        <v>97</v>
      </c>
      <c r="B35" s="89"/>
      <c r="C35" s="89"/>
      <c r="D35" s="89"/>
      <c r="E35" s="89"/>
      <c r="F35" s="89"/>
      <c r="G35" s="89"/>
      <c r="H35" s="89"/>
      <c r="I35" s="89"/>
      <c r="J35" s="89"/>
      <c r="K35" s="89"/>
      <c r="L35" s="89"/>
      <c r="M35" s="89"/>
      <c r="N35" s="89"/>
      <c r="O35" s="89"/>
      <c r="P35" s="89"/>
      <c r="Q35" s="89"/>
      <c r="R35" s="89"/>
      <c r="S35" s="89"/>
      <c r="T35" s="89"/>
      <c r="U35" s="89"/>
    </row>
    <row r="36" spans="1:21" ht="18" customHeight="1" x14ac:dyDescent="0.2">
      <c r="A36" s="89"/>
      <c r="B36" s="89"/>
      <c r="C36" s="89"/>
      <c r="D36" s="89"/>
      <c r="E36" s="89"/>
      <c r="F36" s="89"/>
      <c r="G36" s="89"/>
      <c r="H36" s="89"/>
      <c r="I36" s="89"/>
      <c r="J36" s="89"/>
      <c r="K36" s="89"/>
      <c r="L36" s="89"/>
      <c r="M36" s="89"/>
      <c r="N36" s="89"/>
      <c r="O36" s="89"/>
      <c r="P36" s="89"/>
      <c r="Q36" s="89"/>
      <c r="R36" s="89"/>
      <c r="S36" s="89"/>
      <c r="T36" s="89"/>
      <c r="U36" s="89"/>
    </row>
    <row r="37" spans="1:21" ht="18" customHeight="1" x14ac:dyDescent="0.2">
      <c r="B37" s="96" t="s">
        <v>48</v>
      </c>
      <c r="C37" s="97"/>
      <c r="D37" s="97"/>
      <c r="E37" s="97"/>
      <c r="F37" s="98"/>
      <c r="G37" s="58" t="s">
        <v>73</v>
      </c>
      <c r="H37" s="59" t="s">
        <v>76</v>
      </c>
      <c r="I37" s="60" t="s">
        <v>64</v>
      </c>
      <c r="J37" s="60" t="s">
        <v>65</v>
      </c>
      <c r="K37" s="96" t="s">
        <v>48</v>
      </c>
      <c r="L37" s="97"/>
      <c r="M37" s="97"/>
      <c r="N37" s="97"/>
      <c r="O37" s="97"/>
      <c r="P37" s="97"/>
      <c r="Q37" s="98"/>
      <c r="R37" s="58" t="s">
        <v>73</v>
      </c>
      <c r="S37" s="59" t="s">
        <v>76</v>
      </c>
      <c r="T37" s="60" t="s">
        <v>64</v>
      </c>
      <c r="U37" s="60" t="s">
        <v>65</v>
      </c>
    </row>
    <row r="38" spans="1:21" ht="18" customHeight="1" x14ac:dyDescent="0.2">
      <c r="B38" s="90" t="s">
        <v>145</v>
      </c>
      <c r="C38" s="91"/>
      <c r="D38" s="91"/>
      <c r="E38" s="91"/>
      <c r="F38" s="92"/>
      <c r="G38" s="61">
        <v>2</v>
      </c>
      <c r="H38" s="61" t="s">
        <v>146</v>
      </c>
      <c r="I38" s="61" t="s">
        <v>146</v>
      </c>
      <c r="J38" s="61" t="s">
        <v>146</v>
      </c>
      <c r="K38" s="90"/>
      <c r="L38" s="91"/>
      <c r="M38" s="91"/>
      <c r="N38" s="91"/>
      <c r="O38" s="91"/>
      <c r="P38" s="91"/>
      <c r="Q38" s="92"/>
      <c r="R38" s="61"/>
      <c r="S38" s="61"/>
      <c r="T38" s="61"/>
      <c r="U38" s="61"/>
    </row>
    <row r="39" spans="1:21" ht="18" customHeight="1" x14ac:dyDescent="0.2">
      <c r="B39" s="83" t="s">
        <v>147</v>
      </c>
      <c r="C39" s="84"/>
      <c r="D39" s="84"/>
      <c r="E39" s="84"/>
      <c r="F39" s="85"/>
      <c r="G39" s="62">
        <v>2</v>
      </c>
      <c r="H39" s="62" t="s">
        <v>146</v>
      </c>
      <c r="I39" s="62" t="s">
        <v>146</v>
      </c>
      <c r="J39" s="62" t="s">
        <v>146</v>
      </c>
      <c r="K39" s="83"/>
      <c r="L39" s="84"/>
      <c r="M39" s="84"/>
      <c r="N39" s="84"/>
      <c r="O39" s="84"/>
      <c r="P39" s="84"/>
      <c r="Q39" s="85"/>
      <c r="R39" s="62"/>
      <c r="S39" s="62"/>
      <c r="T39" s="62"/>
      <c r="U39" s="62"/>
    </row>
    <row r="40" spans="1:21" ht="18" customHeight="1" x14ac:dyDescent="0.2">
      <c r="B40" s="83"/>
      <c r="C40" s="84"/>
      <c r="D40" s="84"/>
      <c r="E40" s="84"/>
      <c r="F40" s="85"/>
      <c r="G40" s="62"/>
      <c r="H40" s="62"/>
      <c r="I40" s="62"/>
      <c r="J40" s="62"/>
      <c r="K40" s="83"/>
      <c r="L40" s="84"/>
      <c r="M40" s="84"/>
      <c r="N40" s="84"/>
      <c r="O40" s="84"/>
      <c r="P40" s="84"/>
      <c r="Q40" s="85"/>
      <c r="R40" s="62"/>
      <c r="S40" s="62"/>
      <c r="T40" s="62"/>
      <c r="U40" s="62"/>
    </row>
    <row r="41" spans="1:21" ht="18" customHeight="1" x14ac:dyDescent="0.2">
      <c r="B41" s="83"/>
      <c r="C41" s="84"/>
      <c r="D41" s="84"/>
      <c r="E41" s="84"/>
      <c r="F41" s="85"/>
      <c r="G41" s="62"/>
      <c r="H41" s="62"/>
      <c r="I41" s="62"/>
      <c r="J41" s="62"/>
      <c r="K41" s="83"/>
      <c r="L41" s="84"/>
      <c r="M41" s="84"/>
      <c r="N41" s="84"/>
      <c r="O41" s="84"/>
      <c r="P41" s="84"/>
      <c r="Q41" s="85"/>
      <c r="R41" s="62"/>
      <c r="S41" s="62"/>
      <c r="T41" s="62"/>
      <c r="U41" s="62"/>
    </row>
    <row r="42" spans="1:21" ht="18" customHeight="1" x14ac:dyDescent="0.2">
      <c r="B42" s="83"/>
      <c r="C42" s="84"/>
      <c r="D42" s="84"/>
      <c r="E42" s="84"/>
      <c r="F42" s="85"/>
      <c r="G42" s="62"/>
      <c r="H42" s="62"/>
      <c r="I42" s="62"/>
      <c r="J42" s="62"/>
      <c r="K42" s="83"/>
      <c r="L42" s="84"/>
      <c r="M42" s="84"/>
      <c r="N42" s="84"/>
      <c r="O42" s="84"/>
      <c r="P42" s="84"/>
      <c r="Q42" s="85"/>
      <c r="R42" s="62"/>
      <c r="S42" s="62"/>
      <c r="T42" s="62"/>
      <c r="U42" s="62"/>
    </row>
    <row r="43" spans="1:21" ht="18" customHeight="1" x14ac:dyDescent="0.2">
      <c r="B43" s="83"/>
      <c r="C43" s="84"/>
      <c r="D43" s="84"/>
      <c r="E43" s="84"/>
      <c r="F43" s="85"/>
      <c r="G43" s="62"/>
      <c r="H43" s="62"/>
      <c r="I43" s="62"/>
      <c r="J43" s="62"/>
      <c r="K43" s="83"/>
      <c r="L43" s="84"/>
      <c r="M43" s="84"/>
      <c r="N43" s="84"/>
      <c r="O43" s="84"/>
      <c r="P43" s="84"/>
      <c r="Q43" s="85"/>
      <c r="R43" s="62"/>
      <c r="S43" s="62"/>
      <c r="T43" s="62"/>
      <c r="U43" s="62"/>
    </row>
    <row r="44" spans="1:21" ht="18" customHeight="1" x14ac:dyDescent="0.2">
      <c r="B44" s="86"/>
      <c r="C44" s="87"/>
      <c r="D44" s="87"/>
      <c r="E44" s="87"/>
      <c r="F44" s="88"/>
      <c r="G44" s="63"/>
      <c r="H44" s="63"/>
      <c r="I44" s="64"/>
      <c r="J44" s="64"/>
      <c r="K44" s="86"/>
      <c r="L44" s="87"/>
      <c r="M44" s="87"/>
      <c r="N44" s="87"/>
      <c r="O44" s="87"/>
      <c r="P44" s="87"/>
      <c r="Q44" s="88"/>
      <c r="R44" s="63"/>
      <c r="S44" s="63"/>
      <c r="T44" s="64"/>
      <c r="U44" s="64"/>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89" t="s">
        <v>98</v>
      </c>
      <c r="B46" s="89"/>
      <c r="C46" s="89"/>
      <c r="D46" s="89"/>
      <c r="E46" s="89"/>
      <c r="F46" s="89"/>
      <c r="G46" s="89"/>
      <c r="H46" s="89"/>
      <c r="I46" s="89"/>
      <c r="J46" s="89"/>
      <c r="K46" s="89"/>
      <c r="L46" s="89"/>
      <c r="M46" s="89"/>
      <c r="N46" s="89"/>
      <c r="O46" s="89"/>
      <c r="P46" s="89"/>
      <c r="Q46" s="89"/>
      <c r="R46" s="89"/>
      <c r="S46" s="89"/>
      <c r="T46" s="89"/>
      <c r="U46" s="89"/>
    </row>
    <row r="47" spans="1:21" ht="18" customHeight="1" x14ac:dyDescent="0.2">
      <c r="A47" s="89"/>
      <c r="B47" s="89"/>
      <c r="C47" s="89"/>
      <c r="D47" s="89"/>
      <c r="E47" s="89"/>
      <c r="F47" s="89"/>
      <c r="G47" s="89"/>
      <c r="H47" s="89"/>
      <c r="I47" s="89"/>
      <c r="J47" s="89"/>
      <c r="K47" s="89"/>
      <c r="L47" s="89"/>
      <c r="M47" s="89"/>
      <c r="N47" s="89"/>
      <c r="O47" s="89"/>
      <c r="P47" s="89"/>
      <c r="Q47" s="89"/>
      <c r="R47" s="89"/>
      <c r="S47" s="89"/>
      <c r="T47" s="89"/>
      <c r="U47" s="89"/>
    </row>
    <row r="48" spans="1:21" ht="18" customHeight="1" x14ac:dyDescent="0.2">
      <c r="B48" s="96" t="s">
        <v>48</v>
      </c>
      <c r="C48" s="97"/>
      <c r="D48" s="97"/>
      <c r="E48" s="97"/>
      <c r="F48" s="98"/>
      <c r="G48" s="58" t="s">
        <v>73</v>
      </c>
      <c r="H48" s="59" t="s">
        <v>76</v>
      </c>
      <c r="I48" s="60" t="s">
        <v>66</v>
      </c>
      <c r="J48" s="60" t="s">
        <v>67</v>
      </c>
      <c r="K48" s="96" t="s">
        <v>48</v>
      </c>
      <c r="L48" s="97"/>
      <c r="M48" s="97"/>
      <c r="N48" s="97"/>
      <c r="O48" s="97"/>
      <c r="P48" s="97"/>
      <c r="Q48" s="98"/>
      <c r="R48" s="58" t="s">
        <v>73</v>
      </c>
      <c r="S48" s="59" t="s">
        <v>76</v>
      </c>
      <c r="T48" s="60" t="s">
        <v>66</v>
      </c>
      <c r="U48" s="60" t="s">
        <v>67</v>
      </c>
    </row>
    <row r="49" spans="1:21" ht="18" customHeight="1" x14ac:dyDescent="0.2">
      <c r="A49" s="3"/>
      <c r="B49" s="90" t="s">
        <v>145</v>
      </c>
      <c r="C49" s="91"/>
      <c r="D49" s="91"/>
      <c r="E49" s="91"/>
      <c r="F49" s="92"/>
      <c r="G49" s="61">
        <v>2</v>
      </c>
      <c r="H49" s="61" t="s">
        <v>146</v>
      </c>
      <c r="I49" s="61" t="s">
        <v>146</v>
      </c>
      <c r="J49" s="61" t="s">
        <v>146</v>
      </c>
      <c r="K49" s="90"/>
      <c r="L49" s="91"/>
      <c r="M49" s="91"/>
      <c r="N49" s="91"/>
      <c r="O49" s="91"/>
      <c r="P49" s="91"/>
      <c r="Q49" s="92"/>
      <c r="R49" s="61"/>
      <c r="S49" s="61"/>
      <c r="T49" s="61"/>
      <c r="U49" s="61"/>
    </row>
    <row r="50" spans="1:21" ht="18" customHeight="1" x14ac:dyDescent="0.2">
      <c r="A50" s="3"/>
      <c r="B50" s="83" t="s">
        <v>147</v>
      </c>
      <c r="C50" s="84"/>
      <c r="D50" s="84"/>
      <c r="E50" s="84"/>
      <c r="F50" s="85"/>
      <c r="G50" s="62">
        <v>2</v>
      </c>
      <c r="H50" s="62" t="s">
        <v>146</v>
      </c>
      <c r="I50" s="62" t="s">
        <v>146</v>
      </c>
      <c r="J50" s="62"/>
      <c r="K50" s="83"/>
      <c r="L50" s="84"/>
      <c r="M50" s="84"/>
      <c r="N50" s="84"/>
      <c r="O50" s="84"/>
      <c r="P50" s="84"/>
      <c r="Q50" s="85"/>
      <c r="R50" s="62"/>
      <c r="S50" s="62"/>
      <c r="T50" s="62"/>
      <c r="U50" s="62"/>
    </row>
    <row r="51" spans="1:21" ht="18" customHeight="1" x14ac:dyDescent="0.2">
      <c r="A51" s="3"/>
      <c r="B51" s="83"/>
      <c r="C51" s="84"/>
      <c r="D51" s="84"/>
      <c r="E51" s="84"/>
      <c r="F51" s="85"/>
      <c r="G51" s="62"/>
      <c r="H51" s="62"/>
      <c r="I51" s="62"/>
      <c r="J51" s="62"/>
      <c r="K51" s="83"/>
      <c r="L51" s="84"/>
      <c r="M51" s="84"/>
      <c r="N51" s="84"/>
      <c r="O51" s="84"/>
      <c r="P51" s="84"/>
      <c r="Q51" s="85"/>
      <c r="R51" s="62"/>
      <c r="S51" s="62"/>
      <c r="T51" s="62"/>
      <c r="U51" s="62"/>
    </row>
    <row r="52" spans="1:21" ht="18" customHeight="1" x14ac:dyDescent="0.2">
      <c r="A52" s="3"/>
      <c r="B52" s="83"/>
      <c r="C52" s="84"/>
      <c r="D52" s="84"/>
      <c r="E52" s="84"/>
      <c r="F52" s="85"/>
      <c r="G52" s="62"/>
      <c r="H52" s="62"/>
      <c r="I52" s="62"/>
      <c r="J52" s="62"/>
      <c r="K52" s="83"/>
      <c r="L52" s="84"/>
      <c r="M52" s="84"/>
      <c r="N52" s="84"/>
      <c r="O52" s="84"/>
      <c r="P52" s="84"/>
      <c r="Q52" s="85"/>
      <c r="R52" s="62"/>
      <c r="S52" s="62"/>
      <c r="T52" s="62"/>
      <c r="U52" s="62"/>
    </row>
    <row r="53" spans="1:21" ht="18" customHeight="1" x14ac:dyDescent="0.2">
      <c r="A53" s="3"/>
      <c r="B53" s="83"/>
      <c r="C53" s="84"/>
      <c r="D53" s="84"/>
      <c r="E53" s="84"/>
      <c r="F53" s="85"/>
      <c r="G53" s="62"/>
      <c r="H53" s="62"/>
      <c r="I53" s="62"/>
      <c r="J53" s="62"/>
      <c r="K53" s="83"/>
      <c r="L53" s="84"/>
      <c r="M53" s="84"/>
      <c r="N53" s="84"/>
      <c r="O53" s="84"/>
      <c r="P53" s="84"/>
      <c r="Q53" s="85"/>
      <c r="R53" s="62"/>
      <c r="S53" s="62"/>
      <c r="T53" s="62"/>
      <c r="U53" s="62"/>
    </row>
    <row r="54" spans="1:21" ht="18" customHeight="1" x14ac:dyDescent="0.2">
      <c r="A54" s="3"/>
      <c r="B54" s="83"/>
      <c r="C54" s="84"/>
      <c r="D54" s="84"/>
      <c r="E54" s="84"/>
      <c r="F54" s="85"/>
      <c r="G54" s="62"/>
      <c r="H54" s="62"/>
      <c r="I54" s="62"/>
      <c r="J54" s="62"/>
      <c r="K54" s="83"/>
      <c r="L54" s="84"/>
      <c r="M54" s="84"/>
      <c r="N54" s="84"/>
      <c r="O54" s="84"/>
      <c r="P54" s="84"/>
      <c r="Q54" s="85"/>
      <c r="R54" s="62"/>
      <c r="S54" s="62"/>
      <c r="T54" s="62"/>
      <c r="U54" s="62"/>
    </row>
    <row r="55" spans="1:21" ht="18" customHeight="1" x14ac:dyDescent="0.2">
      <c r="A55" s="3"/>
      <c r="B55" s="86"/>
      <c r="C55" s="87"/>
      <c r="D55" s="87"/>
      <c r="E55" s="87"/>
      <c r="F55" s="88"/>
      <c r="G55" s="63"/>
      <c r="H55" s="63"/>
      <c r="I55" s="64"/>
      <c r="J55" s="64"/>
      <c r="K55" s="86"/>
      <c r="L55" s="87"/>
      <c r="M55" s="87"/>
      <c r="N55" s="87"/>
      <c r="O55" s="87"/>
      <c r="P55" s="87"/>
      <c r="Q55" s="88"/>
      <c r="R55" s="63"/>
      <c r="S55" s="63"/>
      <c r="T55" s="64"/>
      <c r="U55" s="64"/>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89" t="s">
        <v>99</v>
      </c>
      <c r="B57" s="89"/>
      <c r="C57" s="89"/>
      <c r="D57" s="89"/>
      <c r="E57" s="89"/>
      <c r="F57" s="89"/>
      <c r="G57" s="89"/>
      <c r="H57" s="89"/>
      <c r="I57" s="89"/>
      <c r="J57" s="89"/>
      <c r="K57" s="89"/>
      <c r="L57" s="89"/>
      <c r="M57" s="89"/>
      <c r="N57" s="89"/>
      <c r="O57" s="89"/>
      <c r="P57" s="89"/>
      <c r="Q57" s="89"/>
      <c r="R57" s="89"/>
      <c r="S57" s="89"/>
      <c r="T57" s="89"/>
      <c r="U57" s="89"/>
    </row>
    <row r="58" spans="1:21" ht="18" customHeight="1" x14ac:dyDescent="0.2">
      <c r="A58" s="89"/>
      <c r="B58" s="89"/>
      <c r="C58" s="89"/>
      <c r="D58" s="89"/>
      <c r="E58" s="89"/>
      <c r="F58" s="89"/>
      <c r="G58" s="89"/>
      <c r="H58" s="89"/>
      <c r="I58" s="89"/>
      <c r="J58" s="89"/>
      <c r="K58" s="89"/>
      <c r="L58" s="89"/>
      <c r="M58" s="89"/>
      <c r="N58" s="89"/>
      <c r="O58" s="89"/>
      <c r="P58" s="89"/>
      <c r="Q58" s="89"/>
      <c r="R58" s="89"/>
      <c r="S58" s="89"/>
      <c r="T58" s="89"/>
      <c r="U58" s="89"/>
    </row>
    <row r="59" spans="1:21" ht="18" customHeight="1" x14ac:dyDescent="0.2">
      <c r="B59" s="96" t="s">
        <v>48</v>
      </c>
      <c r="C59" s="97"/>
      <c r="D59" s="97"/>
      <c r="E59" s="97"/>
      <c r="F59" s="98"/>
      <c r="G59" s="58" t="s">
        <v>73</v>
      </c>
      <c r="H59" s="59" t="s">
        <v>76</v>
      </c>
      <c r="I59" s="60" t="s">
        <v>53</v>
      </c>
      <c r="J59" s="60" t="s">
        <v>55</v>
      </c>
      <c r="K59" s="96" t="s">
        <v>48</v>
      </c>
      <c r="L59" s="97"/>
      <c r="M59" s="97"/>
      <c r="N59" s="97"/>
      <c r="O59" s="97"/>
      <c r="P59" s="97"/>
      <c r="Q59" s="98"/>
      <c r="R59" s="58" t="s">
        <v>73</v>
      </c>
      <c r="S59" s="59" t="s">
        <v>76</v>
      </c>
      <c r="T59" s="60" t="s">
        <v>53</v>
      </c>
      <c r="U59" s="60" t="s">
        <v>55</v>
      </c>
    </row>
    <row r="60" spans="1:21" ht="18" customHeight="1" x14ac:dyDescent="0.2">
      <c r="A60" s="3"/>
      <c r="B60" s="90" t="s">
        <v>145</v>
      </c>
      <c r="C60" s="91"/>
      <c r="D60" s="91"/>
      <c r="E60" s="91"/>
      <c r="F60" s="92"/>
      <c r="G60" s="61">
        <v>2</v>
      </c>
      <c r="H60" s="61" t="s">
        <v>146</v>
      </c>
      <c r="I60" s="61" t="s">
        <v>146</v>
      </c>
      <c r="J60" s="61" t="s">
        <v>146</v>
      </c>
      <c r="K60" s="90"/>
      <c r="L60" s="91"/>
      <c r="M60" s="91"/>
      <c r="N60" s="91"/>
      <c r="O60" s="91"/>
      <c r="P60" s="91"/>
      <c r="Q60" s="92"/>
      <c r="R60" s="61"/>
      <c r="S60" s="61"/>
      <c r="T60" s="61"/>
      <c r="U60" s="61"/>
    </row>
    <row r="61" spans="1:21" ht="18" customHeight="1" x14ac:dyDescent="0.2">
      <c r="A61" s="3"/>
      <c r="B61" s="83" t="s">
        <v>147</v>
      </c>
      <c r="C61" s="84"/>
      <c r="D61" s="84"/>
      <c r="E61" s="84"/>
      <c r="F61" s="85"/>
      <c r="G61" s="62">
        <v>2</v>
      </c>
      <c r="H61" s="62" t="s">
        <v>146</v>
      </c>
      <c r="I61" s="62" t="s">
        <v>146</v>
      </c>
      <c r="J61" s="62" t="s">
        <v>146</v>
      </c>
      <c r="K61" s="83"/>
      <c r="L61" s="84"/>
      <c r="M61" s="84"/>
      <c r="N61" s="84"/>
      <c r="O61" s="84"/>
      <c r="P61" s="84"/>
      <c r="Q61" s="85"/>
      <c r="R61" s="62"/>
      <c r="S61" s="62"/>
      <c r="T61" s="62"/>
      <c r="U61" s="62"/>
    </row>
    <row r="62" spans="1:21" ht="18" customHeight="1" x14ac:dyDescent="0.2">
      <c r="A62" s="3"/>
      <c r="B62" s="83"/>
      <c r="C62" s="84"/>
      <c r="D62" s="84"/>
      <c r="E62" s="84"/>
      <c r="F62" s="85"/>
      <c r="G62" s="62"/>
      <c r="H62" s="62"/>
      <c r="I62" s="62"/>
      <c r="J62" s="62"/>
      <c r="K62" s="83"/>
      <c r="L62" s="84"/>
      <c r="M62" s="84"/>
      <c r="N62" s="84"/>
      <c r="O62" s="84"/>
      <c r="P62" s="84"/>
      <c r="Q62" s="85"/>
      <c r="R62" s="62"/>
      <c r="S62" s="62"/>
      <c r="T62" s="62"/>
      <c r="U62" s="62"/>
    </row>
    <row r="63" spans="1:21" ht="18" customHeight="1" x14ac:dyDescent="0.2">
      <c r="A63" s="3"/>
      <c r="B63" s="83"/>
      <c r="C63" s="84"/>
      <c r="D63" s="84"/>
      <c r="E63" s="84"/>
      <c r="F63" s="85"/>
      <c r="G63" s="62"/>
      <c r="H63" s="62"/>
      <c r="I63" s="62"/>
      <c r="J63" s="62"/>
      <c r="K63" s="83"/>
      <c r="L63" s="84"/>
      <c r="M63" s="84"/>
      <c r="N63" s="84"/>
      <c r="O63" s="84"/>
      <c r="P63" s="84"/>
      <c r="Q63" s="85"/>
      <c r="R63" s="62"/>
      <c r="S63" s="62"/>
      <c r="T63" s="62"/>
      <c r="U63" s="62"/>
    </row>
    <row r="64" spans="1:21" ht="18" customHeight="1" x14ac:dyDescent="0.2">
      <c r="A64" s="3"/>
      <c r="B64" s="83"/>
      <c r="C64" s="84"/>
      <c r="D64" s="84"/>
      <c r="E64" s="84"/>
      <c r="F64" s="85"/>
      <c r="G64" s="62"/>
      <c r="H64" s="62"/>
      <c r="I64" s="62"/>
      <c r="J64" s="62"/>
      <c r="K64" s="83"/>
      <c r="L64" s="84"/>
      <c r="M64" s="84"/>
      <c r="N64" s="84"/>
      <c r="O64" s="84"/>
      <c r="P64" s="84"/>
      <c r="Q64" s="85"/>
      <c r="R64" s="62"/>
      <c r="S64" s="62"/>
      <c r="T64" s="62"/>
      <c r="U64" s="62"/>
    </row>
    <row r="65" spans="1:27" ht="18" customHeight="1" x14ac:dyDescent="0.2">
      <c r="A65" s="3"/>
      <c r="B65" s="83"/>
      <c r="C65" s="84"/>
      <c r="D65" s="84"/>
      <c r="E65" s="84"/>
      <c r="F65" s="85"/>
      <c r="G65" s="62"/>
      <c r="H65" s="62"/>
      <c r="I65" s="62"/>
      <c r="J65" s="62"/>
      <c r="K65" s="83"/>
      <c r="L65" s="84"/>
      <c r="M65" s="84"/>
      <c r="N65" s="84"/>
      <c r="O65" s="84"/>
      <c r="P65" s="84"/>
      <c r="Q65" s="85"/>
      <c r="R65" s="62"/>
      <c r="S65" s="62"/>
      <c r="T65" s="62"/>
      <c r="U65" s="62"/>
    </row>
    <row r="66" spans="1:27" ht="18" customHeight="1" x14ac:dyDescent="0.2">
      <c r="A66" s="3"/>
      <c r="B66" s="86"/>
      <c r="C66" s="87"/>
      <c r="D66" s="87"/>
      <c r="E66" s="87"/>
      <c r="F66" s="88"/>
      <c r="G66" s="63"/>
      <c r="H66" s="63"/>
      <c r="I66" s="64"/>
      <c r="J66" s="64"/>
      <c r="K66" s="86"/>
      <c r="L66" s="87"/>
      <c r="M66" s="87"/>
      <c r="N66" s="87"/>
      <c r="O66" s="87"/>
      <c r="P66" s="87"/>
      <c r="Q66" s="88"/>
      <c r="R66" s="63"/>
      <c r="S66" s="63"/>
      <c r="T66" s="64"/>
      <c r="U66" s="64"/>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89" t="s">
        <v>100</v>
      </c>
      <c r="B68" s="89"/>
      <c r="C68" s="89"/>
      <c r="D68" s="89"/>
      <c r="E68" s="89"/>
      <c r="F68" s="89"/>
      <c r="G68" s="89"/>
      <c r="H68" s="89"/>
      <c r="I68" s="89"/>
      <c r="J68" s="89"/>
      <c r="K68" s="89"/>
      <c r="L68" s="89"/>
      <c r="M68" s="89"/>
      <c r="N68" s="89"/>
      <c r="O68" s="89"/>
      <c r="P68" s="89"/>
      <c r="Q68" s="89"/>
      <c r="R68" s="89"/>
      <c r="S68" s="89"/>
      <c r="T68" s="89"/>
      <c r="U68" s="89"/>
    </row>
    <row r="69" spans="1:27" ht="18" customHeight="1" x14ac:dyDescent="0.2">
      <c r="A69" s="89"/>
      <c r="B69" s="89"/>
      <c r="C69" s="89"/>
      <c r="D69" s="89"/>
      <c r="E69" s="89"/>
      <c r="F69" s="89"/>
      <c r="G69" s="89"/>
      <c r="H69" s="89"/>
      <c r="I69" s="89"/>
      <c r="J69" s="89"/>
      <c r="K69" s="89"/>
      <c r="L69" s="89"/>
      <c r="M69" s="89"/>
      <c r="N69" s="89"/>
      <c r="O69" s="89"/>
      <c r="P69" s="89"/>
      <c r="Q69" s="89"/>
      <c r="R69" s="89"/>
      <c r="S69" s="89"/>
      <c r="T69" s="89"/>
      <c r="U69" s="89"/>
    </row>
    <row r="70" spans="1:27" ht="18" customHeight="1" x14ac:dyDescent="0.2">
      <c r="B70" s="96" t="s">
        <v>48</v>
      </c>
      <c r="C70" s="97"/>
      <c r="D70" s="97"/>
      <c r="E70" s="97"/>
      <c r="F70" s="58" t="s">
        <v>73</v>
      </c>
      <c r="G70" s="59" t="s">
        <v>76</v>
      </c>
      <c r="H70" s="60" t="s">
        <v>87</v>
      </c>
      <c r="I70" s="60" t="s">
        <v>68</v>
      </c>
      <c r="J70" s="60" t="s">
        <v>69</v>
      </c>
      <c r="K70" s="96" t="s">
        <v>48</v>
      </c>
      <c r="L70" s="97"/>
      <c r="M70" s="97"/>
      <c r="N70" s="97"/>
      <c r="O70" s="97"/>
      <c r="P70" s="98"/>
      <c r="Q70" s="58" t="s">
        <v>73</v>
      </c>
      <c r="R70" s="59" t="s">
        <v>76</v>
      </c>
      <c r="S70" s="60" t="s">
        <v>87</v>
      </c>
      <c r="T70" s="60" t="s">
        <v>68</v>
      </c>
      <c r="U70" s="60" t="s">
        <v>69</v>
      </c>
    </row>
    <row r="71" spans="1:27" ht="18" customHeight="1" x14ac:dyDescent="0.2">
      <c r="A71" s="3"/>
      <c r="B71" s="90" t="s">
        <v>145</v>
      </c>
      <c r="C71" s="91"/>
      <c r="D71" s="91"/>
      <c r="E71" s="91"/>
      <c r="F71" s="61">
        <v>2</v>
      </c>
      <c r="G71" s="61" t="s">
        <v>146</v>
      </c>
      <c r="H71" s="61" t="s">
        <v>146</v>
      </c>
      <c r="I71" s="61" t="s">
        <v>146</v>
      </c>
      <c r="J71" s="61" t="s">
        <v>146</v>
      </c>
      <c r="K71" s="90"/>
      <c r="L71" s="91"/>
      <c r="M71" s="91"/>
      <c r="N71" s="91"/>
      <c r="O71" s="91"/>
      <c r="P71" s="92"/>
      <c r="Q71" s="61"/>
      <c r="R71" s="61"/>
      <c r="S71" s="61"/>
      <c r="T71" s="61"/>
      <c r="U71" s="61"/>
    </row>
    <row r="72" spans="1:27" ht="18" customHeight="1" x14ac:dyDescent="0.2">
      <c r="A72" s="3"/>
      <c r="B72" s="83" t="s">
        <v>147</v>
      </c>
      <c r="C72" s="84"/>
      <c r="D72" s="84"/>
      <c r="E72" s="84"/>
      <c r="F72" s="62">
        <v>2</v>
      </c>
      <c r="G72" s="62" t="s">
        <v>146</v>
      </c>
      <c r="H72" s="62"/>
      <c r="I72" s="62" t="s">
        <v>146</v>
      </c>
      <c r="J72" s="62"/>
      <c r="K72" s="83"/>
      <c r="L72" s="84"/>
      <c r="M72" s="84"/>
      <c r="N72" s="84"/>
      <c r="O72" s="84"/>
      <c r="P72" s="85"/>
      <c r="Q72" s="62"/>
      <c r="R72" s="62"/>
      <c r="S72" s="62"/>
      <c r="T72" s="62"/>
      <c r="U72" s="62"/>
    </row>
    <row r="73" spans="1:27" ht="18" customHeight="1" x14ac:dyDescent="0.2">
      <c r="A73" s="3"/>
      <c r="B73" s="83"/>
      <c r="C73" s="84"/>
      <c r="D73" s="84"/>
      <c r="E73" s="84"/>
      <c r="F73" s="62"/>
      <c r="G73" s="62"/>
      <c r="H73" s="62"/>
      <c r="I73" s="62"/>
      <c r="J73" s="62"/>
      <c r="K73" s="83"/>
      <c r="L73" s="84"/>
      <c r="M73" s="84"/>
      <c r="N73" s="84"/>
      <c r="O73" s="84"/>
      <c r="P73" s="85"/>
      <c r="Q73" s="62"/>
      <c r="R73" s="62"/>
      <c r="S73" s="62"/>
      <c r="T73" s="62"/>
      <c r="U73" s="62"/>
    </row>
    <row r="74" spans="1:27" ht="18" customHeight="1" x14ac:dyDescent="0.2">
      <c r="A74" s="3"/>
      <c r="B74" s="83"/>
      <c r="C74" s="84"/>
      <c r="D74" s="84"/>
      <c r="E74" s="84"/>
      <c r="F74" s="62"/>
      <c r="G74" s="62"/>
      <c r="H74" s="62"/>
      <c r="I74" s="62"/>
      <c r="J74" s="62"/>
      <c r="K74" s="83"/>
      <c r="L74" s="84"/>
      <c r="M74" s="84"/>
      <c r="N74" s="84"/>
      <c r="O74" s="84"/>
      <c r="P74" s="85"/>
      <c r="Q74" s="62"/>
      <c r="R74" s="62"/>
      <c r="S74" s="62"/>
      <c r="T74" s="62"/>
      <c r="U74" s="62"/>
    </row>
    <row r="75" spans="1:27" ht="18" customHeight="1" x14ac:dyDescent="0.2">
      <c r="A75" s="3"/>
      <c r="B75" s="83"/>
      <c r="C75" s="84"/>
      <c r="D75" s="84"/>
      <c r="E75" s="84"/>
      <c r="F75" s="62"/>
      <c r="G75" s="62"/>
      <c r="H75" s="62"/>
      <c r="I75" s="62"/>
      <c r="J75" s="62"/>
      <c r="K75" s="83"/>
      <c r="L75" s="84"/>
      <c r="M75" s="84"/>
      <c r="N75" s="84"/>
      <c r="O75" s="84"/>
      <c r="P75" s="85"/>
      <c r="Q75" s="62"/>
      <c r="R75" s="62"/>
      <c r="S75" s="62"/>
      <c r="T75" s="62"/>
      <c r="U75" s="62"/>
    </row>
    <row r="76" spans="1:27" ht="18" customHeight="1" x14ac:dyDescent="0.2">
      <c r="A76" s="3"/>
      <c r="B76" s="83"/>
      <c r="C76" s="84"/>
      <c r="D76" s="84"/>
      <c r="E76" s="84"/>
      <c r="F76" s="62"/>
      <c r="G76" s="62"/>
      <c r="H76" s="62"/>
      <c r="I76" s="62"/>
      <c r="J76" s="62"/>
      <c r="K76" s="83"/>
      <c r="L76" s="84"/>
      <c r="M76" s="84"/>
      <c r="N76" s="84"/>
      <c r="O76" s="84"/>
      <c r="P76" s="85"/>
      <c r="Q76" s="62"/>
      <c r="R76" s="62"/>
      <c r="S76" s="62"/>
      <c r="T76" s="62"/>
      <c r="U76" s="62"/>
    </row>
    <row r="77" spans="1:27" ht="18" customHeight="1" x14ac:dyDescent="0.2">
      <c r="A77" s="3"/>
      <c r="B77" s="86"/>
      <c r="C77" s="87"/>
      <c r="D77" s="87"/>
      <c r="E77" s="87"/>
      <c r="F77" s="63"/>
      <c r="G77" s="63"/>
      <c r="H77" s="64"/>
      <c r="I77" s="64"/>
      <c r="J77" s="64"/>
      <c r="K77" s="86"/>
      <c r="L77" s="87"/>
      <c r="M77" s="87"/>
      <c r="N77" s="87"/>
      <c r="O77" s="87"/>
      <c r="P77" s="88"/>
      <c r="Q77" s="63"/>
      <c r="R77" s="63"/>
      <c r="S77" s="64"/>
      <c r="T77" s="64"/>
      <c r="U77" s="64"/>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101</v>
      </c>
      <c r="I79" s="3"/>
      <c r="J79" s="3"/>
      <c r="K79" s="3"/>
      <c r="L79" s="3"/>
      <c r="M79" s="3"/>
      <c r="N79" s="3"/>
      <c r="O79" s="3"/>
      <c r="P79" s="3"/>
      <c r="Q79" s="3"/>
      <c r="R79" s="3"/>
      <c r="S79" s="3"/>
      <c r="T79" s="3"/>
      <c r="U79" s="3"/>
    </row>
    <row r="80" spans="1:27" ht="18" customHeight="1" x14ac:dyDescent="0.2">
      <c r="B80" s="96" t="s">
        <v>48</v>
      </c>
      <c r="C80" s="97"/>
      <c r="D80" s="97"/>
      <c r="E80" s="97"/>
      <c r="F80" s="98"/>
      <c r="G80" s="96" t="s">
        <v>74</v>
      </c>
      <c r="H80" s="97"/>
      <c r="I80" s="97"/>
      <c r="J80" s="98"/>
      <c r="K80" s="107" t="s">
        <v>48</v>
      </c>
      <c r="L80" s="108"/>
      <c r="M80" s="108"/>
      <c r="N80" s="108"/>
      <c r="O80" s="108"/>
      <c r="P80" s="108"/>
      <c r="Q80" s="109"/>
      <c r="R80" s="96" t="s">
        <v>74</v>
      </c>
      <c r="S80" s="97"/>
      <c r="T80" s="97"/>
      <c r="U80" s="98"/>
      <c r="AA80" s="1" t="s">
        <v>138</v>
      </c>
    </row>
    <row r="81" spans="1:27" ht="18" customHeight="1" x14ac:dyDescent="0.2">
      <c r="A81" s="3"/>
      <c r="B81" s="90" t="s">
        <v>148</v>
      </c>
      <c r="C81" s="91"/>
      <c r="D81" s="91"/>
      <c r="E81" s="91"/>
      <c r="F81" s="92"/>
      <c r="G81" s="99" t="s">
        <v>149</v>
      </c>
      <c r="H81" s="100"/>
      <c r="I81" s="100"/>
      <c r="J81" s="101"/>
      <c r="K81" s="90"/>
      <c r="L81" s="91"/>
      <c r="M81" s="91"/>
      <c r="N81" s="91"/>
      <c r="O81" s="91"/>
      <c r="P81" s="91"/>
      <c r="Q81" s="92"/>
      <c r="R81" s="93"/>
      <c r="S81" s="94"/>
      <c r="T81" s="94"/>
      <c r="U81" s="95"/>
      <c r="AA81" s="1" t="s">
        <v>131</v>
      </c>
    </row>
    <row r="82" spans="1:27" ht="18" customHeight="1" x14ac:dyDescent="0.2">
      <c r="A82" s="3"/>
      <c r="B82" s="83"/>
      <c r="C82" s="84"/>
      <c r="D82" s="84"/>
      <c r="E82" s="84"/>
      <c r="F82" s="85"/>
      <c r="G82" s="104"/>
      <c r="H82" s="105"/>
      <c r="I82" s="105"/>
      <c r="J82" s="106"/>
      <c r="K82" s="83"/>
      <c r="L82" s="84"/>
      <c r="M82" s="84"/>
      <c r="N82" s="84"/>
      <c r="O82" s="84"/>
      <c r="P82" s="84"/>
      <c r="Q82" s="85"/>
      <c r="R82" s="104"/>
      <c r="S82" s="105"/>
      <c r="T82" s="105"/>
      <c r="U82" s="106"/>
      <c r="AA82" s="1" t="s">
        <v>132</v>
      </c>
    </row>
    <row r="83" spans="1:27" ht="18" customHeight="1" x14ac:dyDescent="0.2">
      <c r="A83" s="3"/>
      <c r="B83" s="83"/>
      <c r="C83" s="84"/>
      <c r="D83" s="84"/>
      <c r="E83" s="84"/>
      <c r="F83" s="85"/>
      <c r="G83" s="104"/>
      <c r="H83" s="105"/>
      <c r="I83" s="105"/>
      <c r="J83" s="106"/>
      <c r="K83" s="83"/>
      <c r="L83" s="84"/>
      <c r="M83" s="84"/>
      <c r="N83" s="84"/>
      <c r="O83" s="84"/>
      <c r="P83" s="84"/>
      <c r="Q83" s="85"/>
      <c r="R83" s="104"/>
      <c r="S83" s="105"/>
      <c r="T83" s="105"/>
      <c r="U83" s="106"/>
      <c r="AA83" s="1" t="s">
        <v>133</v>
      </c>
    </row>
    <row r="84" spans="1:27" ht="18" customHeight="1" x14ac:dyDescent="0.2">
      <c r="A84" s="3"/>
      <c r="B84" s="83"/>
      <c r="C84" s="84"/>
      <c r="D84" s="84"/>
      <c r="E84" s="84"/>
      <c r="F84" s="85"/>
      <c r="G84" s="104"/>
      <c r="H84" s="105"/>
      <c r="I84" s="105"/>
      <c r="J84" s="106"/>
      <c r="K84" s="83"/>
      <c r="L84" s="84"/>
      <c r="M84" s="84"/>
      <c r="N84" s="84"/>
      <c r="O84" s="84"/>
      <c r="P84" s="84"/>
      <c r="Q84" s="85"/>
      <c r="R84" s="104"/>
      <c r="S84" s="105"/>
      <c r="T84" s="105"/>
      <c r="U84" s="106"/>
      <c r="AA84" s="1" t="s">
        <v>139</v>
      </c>
    </row>
    <row r="85" spans="1:27" ht="18" customHeight="1" x14ac:dyDescent="0.2">
      <c r="A85" s="3"/>
      <c r="B85" s="83"/>
      <c r="C85" s="84"/>
      <c r="D85" s="84"/>
      <c r="E85" s="84"/>
      <c r="F85" s="85"/>
      <c r="G85" s="104"/>
      <c r="H85" s="105"/>
      <c r="I85" s="105"/>
      <c r="J85" s="106"/>
      <c r="K85" s="83"/>
      <c r="L85" s="84"/>
      <c r="M85" s="84"/>
      <c r="N85" s="84"/>
      <c r="O85" s="84"/>
      <c r="P85" s="84"/>
      <c r="Q85" s="85"/>
      <c r="R85" s="104"/>
      <c r="S85" s="105"/>
      <c r="T85" s="105"/>
      <c r="U85" s="106"/>
      <c r="AA85" s="1" t="s">
        <v>140</v>
      </c>
    </row>
    <row r="86" spans="1:27" ht="18" customHeight="1" x14ac:dyDescent="0.2">
      <c r="A86" s="3"/>
      <c r="B86" s="83"/>
      <c r="C86" s="84"/>
      <c r="D86" s="84"/>
      <c r="E86" s="84"/>
      <c r="F86" s="85"/>
      <c r="G86" s="104"/>
      <c r="H86" s="105"/>
      <c r="I86" s="105"/>
      <c r="J86" s="106"/>
      <c r="K86" s="83"/>
      <c r="L86" s="84"/>
      <c r="M86" s="84"/>
      <c r="N86" s="84"/>
      <c r="O86" s="84"/>
      <c r="P86" s="84"/>
      <c r="Q86" s="85"/>
      <c r="R86" s="104"/>
      <c r="S86" s="105"/>
      <c r="T86" s="105"/>
      <c r="U86" s="106"/>
      <c r="AA86" s="1" t="s">
        <v>134</v>
      </c>
    </row>
    <row r="87" spans="1:27" ht="18" customHeight="1" x14ac:dyDescent="0.2">
      <c r="A87" s="3"/>
      <c r="B87" s="86"/>
      <c r="C87" s="87"/>
      <c r="D87" s="87"/>
      <c r="E87" s="87"/>
      <c r="F87" s="88"/>
      <c r="G87" s="123"/>
      <c r="H87" s="124"/>
      <c r="I87" s="124"/>
      <c r="J87" s="125"/>
      <c r="K87" s="86"/>
      <c r="L87" s="87"/>
      <c r="M87" s="87"/>
      <c r="N87" s="87"/>
      <c r="O87" s="87"/>
      <c r="P87" s="87"/>
      <c r="Q87" s="88"/>
      <c r="R87" s="123"/>
      <c r="S87" s="124"/>
      <c r="T87" s="124"/>
      <c r="U87" s="125"/>
      <c r="AA87" s="1" t="s">
        <v>135</v>
      </c>
    </row>
    <row r="88" spans="1:27" ht="18" customHeight="1" x14ac:dyDescent="0.2">
      <c r="A88" s="3"/>
      <c r="B88" s="6"/>
      <c r="C88" s="6"/>
      <c r="D88" s="6"/>
      <c r="E88" s="6"/>
      <c r="F88" s="6"/>
      <c r="G88" s="65"/>
      <c r="H88" s="65"/>
      <c r="I88" s="65"/>
      <c r="J88" s="65"/>
      <c r="K88" s="6"/>
      <c r="L88" s="6"/>
      <c r="M88" s="6"/>
      <c r="N88" s="6"/>
      <c r="O88" s="6"/>
      <c r="P88" s="6"/>
      <c r="Q88" s="6"/>
      <c r="R88" s="65"/>
      <c r="S88" s="65"/>
      <c r="T88" s="65"/>
      <c r="U88" s="65"/>
      <c r="AA88" s="1" t="s">
        <v>136</v>
      </c>
    </row>
    <row r="89" spans="1:27" ht="18.75" customHeight="1" x14ac:dyDescent="0.2">
      <c r="A89" s="1" t="s">
        <v>102</v>
      </c>
      <c r="AA89" s="1" t="s">
        <v>137</v>
      </c>
    </row>
    <row r="90" spans="1:27" ht="18.75" customHeight="1" x14ac:dyDescent="0.2">
      <c r="B90" s="127" t="s">
        <v>49</v>
      </c>
      <c r="C90" s="128"/>
      <c r="D90" s="96" t="s">
        <v>50</v>
      </c>
      <c r="E90" s="97"/>
      <c r="F90" s="97"/>
      <c r="G90" s="97"/>
      <c r="H90" s="97"/>
      <c r="I90" s="97"/>
      <c r="J90" s="97"/>
      <c r="K90" s="97"/>
      <c r="L90" s="97"/>
      <c r="M90" s="97"/>
      <c r="N90" s="97"/>
      <c r="O90" s="97"/>
      <c r="P90" s="97"/>
      <c r="Q90" s="97"/>
      <c r="R90" s="97"/>
      <c r="S90" s="97"/>
      <c r="T90" s="97"/>
      <c r="U90" s="98"/>
    </row>
    <row r="91" spans="1:27" ht="97.5" customHeight="1" x14ac:dyDescent="0.2">
      <c r="B91" s="102" t="s">
        <v>56</v>
      </c>
      <c r="C91" s="66" t="s">
        <v>51</v>
      </c>
      <c r="D91" s="136" t="s">
        <v>180</v>
      </c>
      <c r="E91" s="137"/>
      <c r="F91" s="137"/>
      <c r="G91" s="137"/>
      <c r="H91" s="137"/>
      <c r="I91" s="137"/>
      <c r="J91" s="137"/>
      <c r="K91" s="137"/>
      <c r="L91" s="137"/>
      <c r="M91" s="137"/>
      <c r="N91" s="137"/>
      <c r="O91" s="137"/>
      <c r="P91" s="137"/>
      <c r="Q91" s="137"/>
      <c r="R91" s="137"/>
      <c r="S91" s="137"/>
      <c r="T91" s="137"/>
      <c r="U91" s="138"/>
    </row>
    <row r="92" spans="1:27" ht="97.5" customHeight="1" x14ac:dyDescent="0.2">
      <c r="B92" s="126"/>
      <c r="C92" s="67" t="s">
        <v>70</v>
      </c>
      <c r="D92" s="133" t="s">
        <v>179</v>
      </c>
      <c r="E92" s="134"/>
      <c r="F92" s="134"/>
      <c r="G92" s="134"/>
      <c r="H92" s="134"/>
      <c r="I92" s="134"/>
      <c r="J92" s="134"/>
      <c r="K92" s="134"/>
      <c r="L92" s="134"/>
      <c r="M92" s="134"/>
      <c r="N92" s="134"/>
      <c r="O92" s="134"/>
      <c r="P92" s="134"/>
      <c r="Q92" s="134"/>
      <c r="R92" s="134"/>
      <c r="S92" s="134"/>
      <c r="T92" s="134"/>
      <c r="U92" s="135"/>
    </row>
    <row r="93" spans="1:27" ht="97.5" customHeight="1" x14ac:dyDescent="0.2">
      <c r="B93" s="102" t="s">
        <v>57</v>
      </c>
      <c r="C93" s="68" t="s">
        <v>64</v>
      </c>
      <c r="D93" s="136" t="s">
        <v>178</v>
      </c>
      <c r="E93" s="137"/>
      <c r="F93" s="137"/>
      <c r="G93" s="137"/>
      <c r="H93" s="137"/>
      <c r="I93" s="137"/>
      <c r="J93" s="137"/>
      <c r="K93" s="137"/>
      <c r="L93" s="137"/>
      <c r="M93" s="137"/>
      <c r="N93" s="137"/>
      <c r="O93" s="137"/>
      <c r="P93" s="137"/>
      <c r="Q93" s="137"/>
      <c r="R93" s="137"/>
      <c r="S93" s="137"/>
      <c r="T93" s="137"/>
      <c r="U93" s="138"/>
    </row>
    <row r="94" spans="1:27" ht="97.5" customHeight="1" x14ac:dyDescent="0.2">
      <c r="B94" s="103"/>
      <c r="C94" s="69" t="s">
        <v>65</v>
      </c>
      <c r="D94" s="133" t="s">
        <v>177</v>
      </c>
      <c r="E94" s="134"/>
      <c r="F94" s="134"/>
      <c r="G94" s="134"/>
      <c r="H94" s="134"/>
      <c r="I94" s="134"/>
      <c r="J94" s="134"/>
      <c r="K94" s="134"/>
      <c r="L94" s="134"/>
      <c r="M94" s="134"/>
      <c r="N94" s="134"/>
      <c r="O94" s="134"/>
      <c r="P94" s="134"/>
      <c r="Q94" s="134"/>
      <c r="R94" s="134"/>
      <c r="S94" s="134"/>
      <c r="T94" s="134"/>
      <c r="U94" s="135"/>
    </row>
    <row r="95" spans="1:27" ht="97.5" customHeight="1" x14ac:dyDescent="0.2">
      <c r="B95" s="102" t="s">
        <v>58</v>
      </c>
      <c r="C95" s="68" t="s">
        <v>66</v>
      </c>
      <c r="D95" s="136" t="s">
        <v>176</v>
      </c>
      <c r="E95" s="137"/>
      <c r="F95" s="137"/>
      <c r="G95" s="137"/>
      <c r="H95" s="137"/>
      <c r="I95" s="137"/>
      <c r="J95" s="137"/>
      <c r="K95" s="137"/>
      <c r="L95" s="137"/>
      <c r="M95" s="137"/>
      <c r="N95" s="137"/>
      <c r="O95" s="137"/>
      <c r="P95" s="137"/>
      <c r="Q95" s="137"/>
      <c r="R95" s="137"/>
      <c r="S95" s="137"/>
      <c r="T95" s="137"/>
      <c r="U95" s="138"/>
    </row>
    <row r="96" spans="1:27" ht="97.5" customHeight="1" x14ac:dyDescent="0.2">
      <c r="B96" s="103"/>
      <c r="C96" s="70" t="s">
        <v>67</v>
      </c>
      <c r="D96" s="133" t="s">
        <v>181</v>
      </c>
      <c r="E96" s="134"/>
      <c r="F96" s="134"/>
      <c r="G96" s="134"/>
      <c r="H96" s="134"/>
      <c r="I96" s="134"/>
      <c r="J96" s="134"/>
      <c r="K96" s="134"/>
      <c r="L96" s="134"/>
      <c r="M96" s="134"/>
      <c r="N96" s="134"/>
      <c r="O96" s="134"/>
      <c r="P96" s="134"/>
      <c r="Q96" s="134"/>
      <c r="R96" s="134"/>
      <c r="S96" s="134"/>
      <c r="T96" s="134"/>
      <c r="U96" s="135"/>
    </row>
    <row r="97" spans="1:21" ht="97.5" customHeight="1" x14ac:dyDescent="0.2">
      <c r="B97" s="102" t="s">
        <v>71</v>
      </c>
      <c r="C97" s="66" t="s">
        <v>53</v>
      </c>
      <c r="D97" s="136" t="s">
        <v>175</v>
      </c>
      <c r="E97" s="137"/>
      <c r="F97" s="137"/>
      <c r="G97" s="137"/>
      <c r="H97" s="137"/>
      <c r="I97" s="137"/>
      <c r="J97" s="137"/>
      <c r="K97" s="137"/>
      <c r="L97" s="137"/>
      <c r="M97" s="137"/>
      <c r="N97" s="137"/>
      <c r="O97" s="137"/>
      <c r="P97" s="137"/>
      <c r="Q97" s="137"/>
      <c r="R97" s="137"/>
      <c r="S97" s="137"/>
      <c r="T97" s="137"/>
      <c r="U97" s="138"/>
    </row>
    <row r="98" spans="1:21" ht="97.5" customHeight="1" x14ac:dyDescent="0.2">
      <c r="B98" s="103"/>
      <c r="C98" s="69" t="s">
        <v>55</v>
      </c>
      <c r="D98" s="133" t="s">
        <v>174</v>
      </c>
      <c r="E98" s="134"/>
      <c r="F98" s="134"/>
      <c r="G98" s="134"/>
      <c r="H98" s="134"/>
      <c r="I98" s="134"/>
      <c r="J98" s="134"/>
      <c r="K98" s="134"/>
      <c r="L98" s="134"/>
      <c r="M98" s="134"/>
      <c r="N98" s="134"/>
      <c r="O98" s="134"/>
      <c r="P98" s="134"/>
      <c r="Q98" s="134"/>
      <c r="R98" s="134"/>
      <c r="S98" s="134"/>
      <c r="T98" s="134"/>
      <c r="U98" s="135"/>
    </row>
    <row r="99" spans="1:21" ht="97.5" customHeight="1" x14ac:dyDescent="0.2">
      <c r="B99" s="102" t="s">
        <v>72</v>
      </c>
      <c r="C99" s="68" t="s">
        <v>52</v>
      </c>
      <c r="D99" s="136" t="s">
        <v>173</v>
      </c>
      <c r="E99" s="137"/>
      <c r="F99" s="137"/>
      <c r="G99" s="137"/>
      <c r="H99" s="137"/>
      <c r="I99" s="137"/>
      <c r="J99" s="137"/>
      <c r="K99" s="137"/>
      <c r="L99" s="137"/>
      <c r="M99" s="137"/>
      <c r="N99" s="137"/>
      <c r="O99" s="137"/>
      <c r="P99" s="137"/>
      <c r="Q99" s="137"/>
      <c r="R99" s="137"/>
      <c r="S99" s="137"/>
      <c r="T99" s="137"/>
      <c r="U99" s="138"/>
    </row>
    <row r="100" spans="1:21" ht="97.5" customHeight="1" x14ac:dyDescent="0.2">
      <c r="B100" s="126"/>
      <c r="C100" s="71" t="s">
        <v>68</v>
      </c>
      <c r="D100" s="139" t="s">
        <v>172</v>
      </c>
      <c r="E100" s="140"/>
      <c r="F100" s="140"/>
      <c r="G100" s="140"/>
      <c r="H100" s="140"/>
      <c r="I100" s="140"/>
      <c r="J100" s="140"/>
      <c r="K100" s="140"/>
      <c r="L100" s="140"/>
      <c r="M100" s="140"/>
      <c r="N100" s="140"/>
      <c r="O100" s="140"/>
      <c r="P100" s="140"/>
      <c r="Q100" s="140"/>
      <c r="R100" s="140"/>
      <c r="S100" s="140"/>
      <c r="T100" s="140"/>
      <c r="U100" s="141"/>
    </row>
    <row r="101" spans="1:21" ht="97.5" customHeight="1" x14ac:dyDescent="0.2">
      <c r="B101" s="103"/>
      <c r="C101" s="70" t="s">
        <v>69</v>
      </c>
      <c r="D101" s="133" t="s">
        <v>171</v>
      </c>
      <c r="E101" s="134"/>
      <c r="F101" s="134"/>
      <c r="G101" s="134"/>
      <c r="H101" s="134"/>
      <c r="I101" s="134"/>
      <c r="J101" s="134"/>
      <c r="K101" s="134"/>
      <c r="L101" s="134"/>
      <c r="M101" s="134"/>
      <c r="N101" s="134"/>
      <c r="O101" s="134"/>
      <c r="P101" s="134"/>
      <c r="Q101" s="134"/>
      <c r="R101" s="134"/>
      <c r="S101" s="134"/>
      <c r="T101" s="134"/>
      <c r="U101" s="135"/>
    </row>
    <row r="102" spans="1:21" ht="6" customHeight="1" x14ac:dyDescent="0.2"/>
    <row r="103" spans="1:21" ht="18.75" customHeight="1" x14ac:dyDescent="0.2">
      <c r="A103" s="1" t="s">
        <v>103</v>
      </c>
    </row>
    <row r="104" spans="1:21" ht="81.75" customHeight="1" x14ac:dyDescent="0.2">
      <c r="B104" s="120" t="s">
        <v>150</v>
      </c>
      <c r="C104" s="121"/>
      <c r="D104" s="121"/>
      <c r="E104" s="121"/>
      <c r="F104" s="121"/>
      <c r="G104" s="121"/>
      <c r="H104" s="121"/>
      <c r="I104" s="121"/>
      <c r="J104" s="121"/>
      <c r="K104" s="121"/>
      <c r="L104" s="121"/>
      <c r="M104" s="121"/>
      <c r="N104" s="121"/>
      <c r="O104" s="121"/>
      <c r="P104" s="121"/>
      <c r="Q104" s="121"/>
      <c r="R104" s="121"/>
      <c r="S104" s="121"/>
      <c r="T104" s="121"/>
      <c r="U104" s="122"/>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G81:J81"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R81:U87 G82:J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tabSelected="1" view="pageBreakPreview" topLeftCell="B1" zoomScaleNormal="100" zoomScaleSheetLayoutView="100" workbookViewId="0">
      <selection activeCell="L18" sqref="L18"/>
    </sheetView>
  </sheetViews>
  <sheetFormatPr defaultColWidth="9" defaultRowHeight="18.75" customHeight="1" x14ac:dyDescent="0.2"/>
  <cols>
    <col min="1" max="1" width="2.81640625" style="1" customWidth="1"/>
    <col min="2" max="2" width="27.90625" style="1" customWidth="1"/>
    <col min="3" max="18" width="6.08984375" style="1" customWidth="1"/>
    <col min="19" max="19" width="6.6328125" style="1" customWidth="1"/>
    <col min="20" max="16384" width="9" style="1"/>
  </cols>
  <sheetData>
    <row r="1" spans="1:21" ht="18" customHeight="1" x14ac:dyDescent="0.2">
      <c r="A1" s="52"/>
      <c r="B1" s="52"/>
      <c r="C1" s="52"/>
      <c r="D1" s="52"/>
      <c r="E1" s="52"/>
      <c r="F1" s="52"/>
      <c r="G1" s="52"/>
      <c r="H1" s="52"/>
      <c r="I1" s="52"/>
      <c r="J1" s="52"/>
      <c r="K1" s="52"/>
      <c r="L1" s="52"/>
      <c r="M1" s="52"/>
      <c r="N1" s="52"/>
      <c r="O1" s="52"/>
      <c r="P1" s="52"/>
      <c r="Q1" s="52"/>
      <c r="R1" s="52"/>
      <c r="S1" s="52" t="s">
        <v>92</v>
      </c>
    </row>
    <row r="2" spans="1:21" ht="18" customHeight="1" x14ac:dyDescent="0.2">
      <c r="A2" s="52"/>
      <c r="B2" s="52"/>
      <c r="C2" s="52"/>
      <c r="D2" s="52"/>
      <c r="E2" s="52"/>
      <c r="F2" s="52"/>
      <c r="G2" s="52"/>
      <c r="H2" s="52"/>
      <c r="I2" s="52"/>
      <c r="J2" s="52"/>
      <c r="K2" s="52"/>
      <c r="L2" s="52"/>
      <c r="M2" s="52"/>
      <c r="N2" s="52"/>
      <c r="O2" s="52"/>
      <c r="P2" s="52"/>
      <c r="Q2" s="155" t="str">
        <f>'様式１　プログラムを構成する授業科目'!C2</f>
        <v>敬和学園大学</v>
      </c>
      <c r="R2" s="155"/>
      <c r="S2" s="155"/>
    </row>
    <row r="3" spans="1:21" ht="18" customHeight="1" x14ac:dyDescent="0.2">
      <c r="A3" s="110" t="s">
        <v>142</v>
      </c>
      <c r="B3" s="110"/>
      <c r="C3" s="110"/>
      <c r="D3" s="110"/>
      <c r="E3" s="110"/>
      <c r="F3" s="110"/>
      <c r="G3" s="110"/>
      <c r="H3" s="110"/>
      <c r="I3" s="110"/>
      <c r="J3" s="110"/>
      <c r="K3" s="110"/>
      <c r="L3" s="110"/>
      <c r="M3" s="110"/>
      <c r="N3" s="110"/>
      <c r="O3" s="110"/>
      <c r="P3" s="110"/>
      <c r="Q3" s="110"/>
      <c r="R3" s="110"/>
      <c r="S3" s="110"/>
    </row>
    <row r="4" spans="1:21" ht="7.5" customHeight="1" x14ac:dyDescent="0.2">
      <c r="A4" s="54"/>
      <c r="B4" s="54"/>
      <c r="C4" s="54"/>
      <c r="D4" s="54"/>
      <c r="E4" s="54"/>
      <c r="F4" s="54"/>
      <c r="G4" s="54"/>
      <c r="H4" s="54"/>
      <c r="I4" s="54"/>
      <c r="J4" s="54"/>
      <c r="K4" s="54"/>
      <c r="L4" s="54"/>
      <c r="M4" s="54"/>
      <c r="N4" s="54"/>
      <c r="O4" s="54"/>
      <c r="P4" s="54"/>
      <c r="Q4" s="54"/>
      <c r="R4" s="54"/>
      <c r="S4" s="54"/>
    </row>
    <row r="5" spans="1:21" ht="18" customHeight="1" x14ac:dyDescent="0.2">
      <c r="A5" s="52" t="s">
        <v>75</v>
      </c>
      <c r="B5" s="52"/>
      <c r="C5" s="156" t="s">
        <v>151</v>
      </c>
      <c r="D5" s="157"/>
      <c r="E5" s="56" t="s">
        <v>125</v>
      </c>
      <c r="F5" s="54"/>
      <c r="G5" s="54"/>
      <c r="H5" s="54"/>
      <c r="I5" s="54"/>
      <c r="J5" s="54"/>
      <c r="K5" s="54"/>
      <c r="L5" s="54"/>
      <c r="M5" s="54"/>
      <c r="N5" s="54"/>
      <c r="O5" s="54"/>
      <c r="P5" s="54"/>
      <c r="Q5" s="54"/>
      <c r="R5" s="53"/>
      <c r="S5" s="53"/>
    </row>
    <row r="6" spans="1:21" ht="7.25" customHeight="1" x14ac:dyDescent="0.2">
      <c r="A6" s="52"/>
      <c r="B6" s="52"/>
      <c r="C6" s="75"/>
      <c r="D6" s="75"/>
      <c r="E6" s="54"/>
      <c r="F6" s="54"/>
      <c r="G6" s="54"/>
      <c r="H6" s="54"/>
      <c r="I6" s="54"/>
      <c r="J6" s="54"/>
      <c r="K6" s="54"/>
      <c r="L6" s="54"/>
      <c r="M6" s="54"/>
      <c r="N6" s="54"/>
      <c r="O6" s="54"/>
      <c r="P6" s="54"/>
      <c r="Q6" s="54"/>
      <c r="R6" s="53"/>
      <c r="S6" s="53"/>
    </row>
    <row r="7" spans="1:21" ht="18" customHeight="1" x14ac:dyDescent="0.2">
      <c r="A7" s="52" t="s">
        <v>109</v>
      </c>
      <c r="B7" s="52"/>
      <c r="C7" s="75"/>
      <c r="D7" s="75"/>
      <c r="E7" s="54" t="s">
        <v>110</v>
      </c>
      <c r="F7" s="57">
        <v>370</v>
      </c>
      <c r="G7" s="56" t="s">
        <v>111</v>
      </c>
      <c r="H7" s="54" t="s">
        <v>112</v>
      </c>
      <c r="I7" s="57">
        <v>260</v>
      </c>
      <c r="J7" s="56" t="s">
        <v>111</v>
      </c>
      <c r="K7" s="55" t="s">
        <v>113</v>
      </c>
      <c r="L7" s="54" t="s">
        <v>114</v>
      </c>
      <c r="M7" s="57">
        <f>F7+I7</f>
        <v>630</v>
      </c>
      <c r="N7" s="54" t="s">
        <v>1</v>
      </c>
      <c r="O7" s="56" t="s">
        <v>115</v>
      </c>
      <c r="P7" s="54"/>
      <c r="Q7" s="54"/>
      <c r="R7" s="53"/>
      <c r="S7" s="53"/>
    </row>
    <row r="8" spans="1:21" ht="17.399999999999999" customHeight="1" x14ac:dyDescent="0.2">
      <c r="A8" s="54"/>
      <c r="B8" s="76" t="s">
        <v>128</v>
      </c>
      <c r="C8" s="54"/>
      <c r="D8" s="54"/>
      <c r="E8" s="54"/>
      <c r="F8" s="54"/>
      <c r="G8" s="54"/>
      <c r="H8" s="54"/>
      <c r="I8" s="54"/>
      <c r="J8" s="54"/>
      <c r="K8" s="54"/>
      <c r="L8" s="54"/>
      <c r="M8" s="54"/>
      <c r="N8" s="54"/>
      <c r="O8" s="54"/>
      <c r="P8" s="54"/>
      <c r="Q8" s="54"/>
      <c r="R8" s="54"/>
      <c r="S8" s="54"/>
    </row>
    <row r="9" spans="1:21" ht="18" customHeight="1" x14ac:dyDescent="0.2">
      <c r="A9" s="52" t="s">
        <v>120</v>
      </c>
      <c r="B9" s="54"/>
      <c r="C9" s="54"/>
      <c r="D9" s="54"/>
      <c r="E9" s="54"/>
      <c r="F9" s="54"/>
      <c r="G9" s="54"/>
      <c r="H9" s="54"/>
      <c r="I9" s="54"/>
      <c r="J9" s="54"/>
      <c r="K9" s="54"/>
      <c r="L9" s="54"/>
      <c r="M9" s="54"/>
      <c r="N9" s="54"/>
      <c r="O9" s="54"/>
      <c r="P9" s="54"/>
      <c r="Q9" s="54"/>
      <c r="R9" s="54"/>
      <c r="S9" s="54"/>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58" t="s">
        <v>43</v>
      </c>
      <c r="C11" s="168" t="s">
        <v>78</v>
      </c>
      <c r="D11" s="160" t="s">
        <v>45</v>
      </c>
      <c r="E11" s="162" t="s">
        <v>38</v>
      </c>
      <c r="F11" s="154" t="s">
        <v>126</v>
      </c>
      <c r="G11" s="154"/>
      <c r="H11" s="154" t="s">
        <v>106</v>
      </c>
      <c r="I11" s="154"/>
      <c r="J11" s="154" t="s">
        <v>77</v>
      </c>
      <c r="K11" s="154"/>
      <c r="L11" s="154" t="s">
        <v>46</v>
      </c>
      <c r="M11" s="154"/>
      <c r="N11" s="154" t="s">
        <v>47</v>
      </c>
      <c r="O11" s="154"/>
      <c r="P11" s="154" t="s">
        <v>127</v>
      </c>
      <c r="Q11" s="154"/>
      <c r="R11" s="164" t="s">
        <v>35</v>
      </c>
      <c r="S11" s="166" t="s">
        <v>32</v>
      </c>
      <c r="U11" s="2"/>
    </row>
    <row r="12" spans="1:21" ht="17" customHeight="1" x14ac:dyDescent="0.2">
      <c r="B12" s="159"/>
      <c r="C12" s="169"/>
      <c r="D12" s="161"/>
      <c r="E12" s="163"/>
      <c r="F12" s="77" t="s">
        <v>86</v>
      </c>
      <c r="G12" s="77" t="s">
        <v>29</v>
      </c>
      <c r="H12" s="77" t="s">
        <v>86</v>
      </c>
      <c r="I12" s="77" t="s">
        <v>29</v>
      </c>
      <c r="J12" s="77" t="s">
        <v>86</v>
      </c>
      <c r="K12" s="77" t="s">
        <v>29</v>
      </c>
      <c r="L12" s="77" t="s">
        <v>86</v>
      </c>
      <c r="M12" s="77" t="s">
        <v>29</v>
      </c>
      <c r="N12" s="77" t="s">
        <v>86</v>
      </c>
      <c r="O12" s="77" t="s">
        <v>29</v>
      </c>
      <c r="P12" s="77" t="s">
        <v>86</v>
      </c>
      <c r="Q12" s="78" t="s">
        <v>29</v>
      </c>
      <c r="R12" s="165"/>
      <c r="S12" s="167"/>
      <c r="U12" s="2"/>
    </row>
    <row r="13" spans="1:21" ht="18" customHeight="1" x14ac:dyDescent="0.2">
      <c r="A13" s="6"/>
      <c r="B13" s="46" t="s">
        <v>168</v>
      </c>
      <c r="C13" s="34">
        <v>382</v>
      </c>
      <c r="D13" s="35">
        <v>80</v>
      </c>
      <c r="E13" s="36">
        <v>320</v>
      </c>
      <c r="F13" s="36">
        <v>75</v>
      </c>
      <c r="G13" s="36">
        <v>0</v>
      </c>
      <c r="H13" s="36"/>
      <c r="I13" s="36"/>
      <c r="J13" s="36"/>
      <c r="K13" s="36"/>
      <c r="L13" s="36"/>
      <c r="M13" s="36"/>
      <c r="N13" s="36"/>
      <c r="O13" s="36"/>
      <c r="P13" s="36"/>
      <c r="Q13" s="47"/>
      <c r="R13" s="35">
        <f t="shared" ref="R13:R32" si="0">F13+H13+J13+L13+N13+P13</f>
        <v>75</v>
      </c>
      <c r="S13" s="48">
        <f t="shared" ref="S13:S33" si="1">R13/E13</f>
        <v>0.234375</v>
      </c>
    </row>
    <row r="14" spans="1:21" ht="18" customHeight="1" x14ac:dyDescent="0.2">
      <c r="A14" s="6"/>
      <c r="B14" s="11" t="s">
        <v>169</v>
      </c>
      <c r="C14" s="37">
        <v>142</v>
      </c>
      <c r="D14" s="38">
        <v>60</v>
      </c>
      <c r="E14" s="39">
        <v>240</v>
      </c>
      <c r="F14" s="40">
        <v>34</v>
      </c>
      <c r="G14" s="40">
        <v>0</v>
      </c>
      <c r="H14" s="40"/>
      <c r="I14" s="40"/>
      <c r="J14" s="40"/>
      <c r="K14" s="40"/>
      <c r="L14" s="40"/>
      <c r="M14" s="40"/>
      <c r="N14" s="40"/>
      <c r="O14" s="40"/>
      <c r="P14" s="40"/>
      <c r="Q14" s="37"/>
      <c r="R14" s="38">
        <f t="shared" si="0"/>
        <v>34</v>
      </c>
      <c r="S14" s="16">
        <f t="shared" si="1"/>
        <v>0.14166666666666666</v>
      </c>
    </row>
    <row r="15" spans="1:21" ht="18" customHeight="1" x14ac:dyDescent="0.2">
      <c r="A15" s="6"/>
      <c r="B15" s="11" t="s">
        <v>170</v>
      </c>
      <c r="C15" s="37">
        <v>106</v>
      </c>
      <c r="D15" s="38">
        <v>40</v>
      </c>
      <c r="E15" s="39">
        <v>160</v>
      </c>
      <c r="F15" s="40">
        <v>17</v>
      </c>
      <c r="G15" s="40">
        <v>0</v>
      </c>
      <c r="H15" s="40"/>
      <c r="I15" s="40"/>
      <c r="J15" s="40"/>
      <c r="K15" s="40"/>
      <c r="L15" s="40"/>
      <c r="M15" s="40"/>
      <c r="N15" s="40"/>
      <c r="O15" s="40"/>
      <c r="P15" s="40"/>
      <c r="Q15" s="37"/>
      <c r="R15" s="38">
        <f t="shared" si="0"/>
        <v>17</v>
      </c>
      <c r="S15" s="8">
        <f t="shared" si="1"/>
        <v>0.10625</v>
      </c>
    </row>
    <row r="16" spans="1:21" ht="18" customHeight="1" x14ac:dyDescent="0.2">
      <c r="A16" s="6"/>
      <c r="B16" s="11"/>
      <c r="C16" s="37"/>
      <c r="D16" s="38"/>
      <c r="E16" s="39"/>
      <c r="F16" s="40"/>
      <c r="G16" s="40"/>
      <c r="H16" s="40"/>
      <c r="I16" s="40"/>
      <c r="J16" s="40"/>
      <c r="K16" s="40"/>
      <c r="L16" s="40"/>
      <c r="M16" s="40"/>
      <c r="N16" s="40"/>
      <c r="O16" s="40"/>
      <c r="P16" s="40"/>
      <c r="Q16" s="37"/>
      <c r="R16" s="38">
        <f t="shared" si="0"/>
        <v>0</v>
      </c>
      <c r="S16" s="8" t="e">
        <f t="shared" si="1"/>
        <v>#DIV/0!</v>
      </c>
    </row>
    <row r="17" spans="1:19" ht="18" customHeight="1" x14ac:dyDescent="0.2">
      <c r="A17" s="6"/>
      <c r="B17" s="11"/>
      <c r="C17" s="37"/>
      <c r="D17" s="38"/>
      <c r="E17" s="39"/>
      <c r="F17" s="40"/>
      <c r="G17" s="40"/>
      <c r="H17" s="40"/>
      <c r="I17" s="40"/>
      <c r="J17" s="40"/>
      <c r="K17" s="40"/>
      <c r="L17" s="40"/>
      <c r="M17" s="40"/>
      <c r="N17" s="40"/>
      <c r="O17" s="40"/>
      <c r="P17" s="40"/>
      <c r="Q17" s="37"/>
      <c r="R17" s="38">
        <f t="shared" si="0"/>
        <v>0</v>
      </c>
      <c r="S17" s="8" t="e">
        <f t="shared" si="1"/>
        <v>#DIV/0!</v>
      </c>
    </row>
    <row r="18" spans="1:19" ht="18" customHeight="1" x14ac:dyDescent="0.2">
      <c r="A18" s="6"/>
      <c r="B18" s="11"/>
      <c r="C18" s="37"/>
      <c r="D18" s="38"/>
      <c r="E18" s="39"/>
      <c r="F18" s="40"/>
      <c r="G18" s="40"/>
      <c r="H18" s="40"/>
      <c r="I18" s="40"/>
      <c r="J18" s="40"/>
      <c r="K18" s="40"/>
      <c r="L18" s="40"/>
      <c r="M18" s="40"/>
      <c r="N18" s="40"/>
      <c r="O18" s="40"/>
      <c r="P18" s="40"/>
      <c r="Q18" s="37"/>
      <c r="R18" s="38">
        <f t="shared" si="0"/>
        <v>0</v>
      </c>
      <c r="S18" s="8" t="e">
        <f t="shared" si="1"/>
        <v>#DIV/0!</v>
      </c>
    </row>
    <row r="19" spans="1:19" ht="18" customHeight="1" x14ac:dyDescent="0.2">
      <c r="A19" s="6"/>
      <c r="B19" s="11"/>
      <c r="C19" s="37"/>
      <c r="D19" s="38"/>
      <c r="E19" s="39"/>
      <c r="F19" s="40"/>
      <c r="G19" s="40"/>
      <c r="H19" s="40"/>
      <c r="I19" s="40"/>
      <c r="J19" s="40"/>
      <c r="K19" s="40"/>
      <c r="L19" s="40"/>
      <c r="M19" s="40"/>
      <c r="N19" s="40"/>
      <c r="O19" s="40"/>
      <c r="P19" s="40"/>
      <c r="Q19" s="37"/>
      <c r="R19" s="38">
        <f t="shared" si="0"/>
        <v>0</v>
      </c>
      <c r="S19" s="8" t="e">
        <f t="shared" si="1"/>
        <v>#DIV/0!</v>
      </c>
    </row>
    <row r="20" spans="1:19" ht="18" customHeight="1" x14ac:dyDescent="0.2">
      <c r="A20" s="6"/>
      <c r="B20" s="11"/>
      <c r="C20" s="37"/>
      <c r="D20" s="38"/>
      <c r="E20" s="39"/>
      <c r="F20" s="40"/>
      <c r="G20" s="40"/>
      <c r="H20" s="40"/>
      <c r="I20" s="40"/>
      <c r="J20" s="40"/>
      <c r="K20" s="40"/>
      <c r="L20" s="40"/>
      <c r="M20" s="40"/>
      <c r="N20" s="40"/>
      <c r="O20" s="40"/>
      <c r="P20" s="40"/>
      <c r="Q20" s="37"/>
      <c r="R20" s="38">
        <f t="shared" si="0"/>
        <v>0</v>
      </c>
      <c r="S20" s="8" t="e">
        <f t="shared" si="1"/>
        <v>#DIV/0!</v>
      </c>
    </row>
    <row r="21" spans="1:19" ht="18" customHeight="1" x14ac:dyDescent="0.2">
      <c r="A21" s="6"/>
      <c r="B21" s="11"/>
      <c r="C21" s="37"/>
      <c r="D21" s="38"/>
      <c r="E21" s="39"/>
      <c r="F21" s="40"/>
      <c r="G21" s="40"/>
      <c r="H21" s="40"/>
      <c r="I21" s="40"/>
      <c r="J21" s="40"/>
      <c r="K21" s="40"/>
      <c r="L21" s="40"/>
      <c r="M21" s="40"/>
      <c r="N21" s="40"/>
      <c r="O21" s="40"/>
      <c r="P21" s="40"/>
      <c r="Q21" s="37"/>
      <c r="R21" s="38">
        <f t="shared" si="0"/>
        <v>0</v>
      </c>
      <c r="S21" s="8" t="e">
        <f t="shared" si="1"/>
        <v>#DIV/0!</v>
      </c>
    </row>
    <row r="22" spans="1:19" ht="18" customHeight="1" x14ac:dyDescent="0.2">
      <c r="A22" s="6"/>
      <c r="B22" s="11"/>
      <c r="C22" s="37"/>
      <c r="D22" s="38"/>
      <c r="E22" s="39"/>
      <c r="F22" s="40"/>
      <c r="G22" s="40"/>
      <c r="H22" s="40"/>
      <c r="I22" s="40"/>
      <c r="J22" s="40"/>
      <c r="K22" s="40"/>
      <c r="L22" s="40"/>
      <c r="M22" s="40"/>
      <c r="N22" s="40"/>
      <c r="O22" s="40"/>
      <c r="P22" s="40"/>
      <c r="Q22" s="37"/>
      <c r="R22" s="38">
        <f t="shared" si="0"/>
        <v>0</v>
      </c>
      <c r="S22" s="8" t="e">
        <f t="shared" si="1"/>
        <v>#DIV/0!</v>
      </c>
    </row>
    <row r="23" spans="1:19" ht="18" customHeight="1" x14ac:dyDescent="0.2">
      <c r="A23" s="6"/>
      <c r="B23" s="11"/>
      <c r="C23" s="37"/>
      <c r="D23" s="38"/>
      <c r="E23" s="39"/>
      <c r="F23" s="40"/>
      <c r="G23" s="40"/>
      <c r="H23" s="40"/>
      <c r="I23" s="40"/>
      <c r="J23" s="40"/>
      <c r="K23" s="40"/>
      <c r="L23" s="40"/>
      <c r="M23" s="40"/>
      <c r="N23" s="40"/>
      <c r="O23" s="40"/>
      <c r="P23" s="40"/>
      <c r="Q23" s="37"/>
      <c r="R23" s="38">
        <f t="shared" si="0"/>
        <v>0</v>
      </c>
      <c r="S23" s="8" t="e">
        <f t="shared" si="1"/>
        <v>#DIV/0!</v>
      </c>
    </row>
    <row r="24" spans="1:19" ht="18" customHeight="1" x14ac:dyDescent="0.2">
      <c r="A24" s="6"/>
      <c r="B24" s="11"/>
      <c r="C24" s="37"/>
      <c r="D24" s="38"/>
      <c r="E24" s="39"/>
      <c r="F24" s="40"/>
      <c r="G24" s="40"/>
      <c r="H24" s="40"/>
      <c r="I24" s="40"/>
      <c r="J24" s="40"/>
      <c r="K24" s="40"/>
      <c r="L24" s="40"/>
      <c r="M24" s="40"/>
      <c r="N24" s="40"/>
      <c r="O24" s="40"/>
      <c r="P24" s="40"/>
      <c r="Q24" s="37"/>
      <c r="R24" s="38">
        <f t="shared" si="0"/>
        <v>0</v>
      </c>
      <c r="S24" s="8" t="e">
        <f t="shared" si="1"/>
        <v>#DIV/0!</v>
      </c>
    </row>
    <row r="25" spans="1:19" ht="18" customHeight="1" x14ac:dyDescent="0.2">
      <c r="A25" s="6"/>
      <c r="B25" s="11"/>
      <c r="C25" s="37"/>
      <c r="D25" s="38"/>
      <c r="E25" s="39"/>
      <c r="F25" s="40"/>
      <c r="G25" s="40"/>
      <c r="H25" s="40"/>
      <c r="I25" s="40"/>
      <c r="J25" s="40"/>
      <c r="K25" s="40"/>
      <c r="L25" s="40"/>
      <c r="M25" s="40"/>
      <c r="N25" s="40"/>
      <c r="O25" s="40"/>
      <c r="P25" s="40"/>
      <c r="Q25" s="37"/>
      <c r="R25" s="38">
        <f t="shared" si="0"/>
        <v>0</v>
      </c>
      <c r="S25" s="8" t="e">
        <f t="shared" si="1"/>
        <v>#DIV/0!</v>
      </c>
    </row>
    <row r="26" spans="1:19" ht="18" customHeight="1" x14ac:dyDescent="0.2">
      <c r="A26" s="6"/>
      <c r="B26" s="11"/>
      <c r="C26" s="37"/>
      <c r="D26" s="38"/>
      <c r="E26" s="39"/>
      <c r="F26" s="40"/>
      <c r="G26" s="40"/>
      <c r="H26" s="40"/>
      <c r="I26" s="40"/>
      <c r="J26" s="40"/>
      <c r="K26" s="40"/>
      <c r="L26" s="40"/>
      <c r="M26" s="40"/>
      <c r="N26" s="40"/>
      <c r="O26" s="40"/>
      <c r="P26" s="40"/>
      <c r="Q26" s="37"/>
      <c r="R26" s="38">
        <f t="shared" si="0"/>
        <v>0</v>
      </c>
      <c r="S26" s="8" t="e">
        <f t="shared" si="1"/>
        <v>#DIV/0!</v>
      </c>
    </row>
    <row r="27" spans="1:19" ht="18" customHeight="1" x14ac:dyDescent="0.2">
      <c r="A27" s="6"/>
      <c r="B27" s="11"/>
      <c r="C27" s="37"/>
      <c r="D27" s="38"/>
      <c r="E27" s="39"/>
      <c r="F27" s="40"/>
      <c r="G27" s="40"/>
      <c r="H27" s="40"/>
      <c r="I27" s="40"/>
      <c r="J27" s="40"/>
      <c r="K27" s="40"/>
      <c r="L27" s="40"/>
      <c r="M27" s="40"/>
      <c r="N27" s="40"/>
      <c r="O27" s="40"/>
      <c r="P27" s="40"/>
      <c r="Q27" s="37"/>
      <c r="R27" s="38">
        <f t="shared" si="0"/>
        <v>0</v>
      </c>
      <c r="S27" s="8" t="e">
        <f t="shared" si="1"/>
        <v>#DIV/0!</v>
      </c>
    </row>
    <row r="28" spans="1:19" ht="18" customHeight="1" x14ac:dyDescent="0.2">
      <c r="A28" s="6"/>
      <c r="B28" s="11"/>
      <c r="C28" s="37"/>
      <c r="D28" s="38"/>
      <c r="E28" s="39"/>
      <c r="F28" s="40"/>
      <c r="G28" s="40"/>
      <c r="H28" s="40"/>
      <c r="I28" s="40"/>
      <c r="J28" s="40"/>
      <c r="K28" s="40"/>
      <c r="L28" s="40"/>
      <c r="M28" s="40"/>
      <c r="N28" s="40"/>
      <c r="O28" s="40"/>
      <c r="P28" s="40"/>
      <c r="Q28" s="37"/>
      <c r="R28" s="38">
        <f t="shared" si="0"/>
        <v>0</v>
      </c>
      <c r="S28" s="8" t="e">
        <f t="shared" si="1"/>
        <v>#DIV/0!</v>
      </c>
    </row>
    <row r="29" spans="1:19" ht="18" customHeight="1" x14ac:dyDescent="0.2">
      <c r="A29" s="6"/>
      <c r="B29" s="11"/>
      <c r="C29" s="37"/>
      <c r="D29" s="38"/>
      <c r="E29" s="39"/>
      <c r="F29" s="40"/>
      <c r="G29" s="40"/>
      <c r="H29" s="40"/>
      <c r="I29" s="40"/>
      <c r="J29" s="40"/>
      <c r="K29" s="40"/>
      <c r="L29" s="40"/>
      <c r="M29" s="40"/>
      <c r="N29" s="40"/>
      <c r="O29" s="40"/>
      <c r="P29" s="40"/>
      <c r="Q29" s="37"/>
      <c r="R29" s="38">
        <f t="shared" si="0"/>
        <v>0</v>
      </c>
      <c r="S29" s="8" t="e">
        <f t="shared" si="1"/>
        <v>#DIV/0!</v>
      </c>
    </row>
    <row r="30" spans="1:19" ht="18" customHeight="1" x14ac:dyDescent="0.2">
      <c r="A30" s="6"/>
      <c r="B30" s="11"/>
      <c r="C30" s="37"/>
      <c r="D30" s="41"/>
      <c r="E30" s="39"/>
      <c r="F30" s="40"/>
      <c r="G30" s="40"/>
      <c r="H30" s="40"/>
      <c r="I30" s="40"/>
      <c r="J30" s="40"/>
      <c r="K30" s="40"/>
      <c r="L30" s="40"/>
      <c r="M30" s="40"/>
      <c r="N30" s="40"/>
      <c r="O30" s="40"/>
      <c r="P30" s="40"/>
      <c r="Q30" s="37"/>
      <c r="R30" s="41">
        <f t="shared" si="0"/>
        <v>0</v>
      </c>
      <c r="S30" s="8" t="e">
        <f t="shared" si="1"/>
        <v>#DIV/0!</v>
      </c>
    </row>
    <row r="31" spans="1:19" ht="18" customHeight="1" x14ac:dyDescent="0.2">
      <c r="A31" s="6"/>
      <c r="B31" s="11"/>
      <c r="C31" s="37"/>
      <c r="D31" s="41"/>
      <c r="E31" s="39"/>
      <c r="F31" s="40"/>
      <c r="G31" s="40"/>
      <c r="H31" s="40"/>
      <c r="I31" s="40"/>
      <c r="J31" s="40"/>
      <c r="K31" s="40"/>
      <c r="L31" s="40"/>
      <c r="M31" s="40"/>
      <c r="N31" s="40"/>
      <c r="O31" s="40"/>
      <c r="P31" s="40"/>
      <c r="Q31" s="37"/>
      <c r="R31" s="41">
        <f t="shared" si="0"/>
        <v>0</v>
      </c>
      <c r="S31" s="8" t="e">
        <f t="shared" si="1"/>
        <v>#DIV/0!</v>
      </c>
    </row>
    <row r="32" spans="1:19" ht="18" customHeight="1" thickBot="1" x14ac:dyDescent="0.25">
      <c r="A32" s="6"/>
      <c r="B32" s="12"/>
      <c r="C32" s="34"/>
      <c r="D32" s="42"/>
      <c r="E32" s="36"/>
      <c r="F32" s="36"/>
      <c r="G32" s="36"/>
      <c r="H32" s="36"/>
      <c r="I32" s="36"/>
      <c r="J32" s="36"/>
      <c r="K32" s="36"/>
      <c r="L32" s="36"/>
      <c r="M32" s="36"/>
      <c r="N32" s="36"/>
      <c r="O32" s="36"/>
      <c r="P32" s="36"/>
      <c r="Q32" s="37"/>
      <c r="R32" s="42">
        <f t="shared" si="0"/>
        <v>0</v>
      </c>
      <c r="S32" s="7" t="e">
        <f t="shared" si="1"/>
        <v>#DIV/0!</v>
      </c>
    </row>
    <row r="33" spans="2:19" ht="18" customHeight="1" thickTop="1" x14ac:dyDescent="0.2">
      <c r="B33" s="13" t="s">
        <v>33</v>
      </c>
      <c r="C33" s="43">
        <f t="shared" ref="C33" si="2">SUM(C13:C32)</f>
        <v>630</v>
      </c>
      <c r="D33" s="44">
        <f t="shared" ref="D33:R33" si="3">SUM(D13:D32)</f>
        <v>180</v>
      </c>
      <c r="E33" s="45">
        <f t="shared" si="3"/>
        <v>720</v>
      </c>
      <c r="F33" s="45">
        <f t="shared" si="3"/>
        <v>126</v>
      </c>
      <c r="G33" s="45">
        <f t="shared" ref="G33:H33" si="4">SUM(G13:G32)</f>
        <v>0</v>
      </c>
      <c r="H33" s="45">
        <f t="shared" si="4"/>
        <v>0</v>
      </c>
      <c r="I33" s="45">
        <f t="shared" ref="I33:J33" si="5">SUM(I13:I32)</f>
        <v>0</v>
      </c>
      <c r="J33" s="45">
        <f t="shared" si="5"/>
        <v>0</v>
      </c>
      <c r="K33" s="45">
        <f t="shared" ref="K33:O33" si="6">SUM(K13:K32)</f>
        <v>0</v>
      </c>
      <c r="L33" s="45">
        <f t="shared" si="6"/>
        <v>0</v>
      </c>
      <c r="M33" s="45">
        <f t="shared" si="6"/>
        <v>0</v>
      </c>
      <c r="N33" s="45">
        <f t="shared" si="6"/>
        <v>0</v>
      </c>
      <c r="O33" s="45">
        <f t="shared" si="6"/>
        <v>0</v>
      </c>
      <c r="P33" s="45">
        <f t="shared" ref="P33:Q33" si="7">SUM(P13:P32)</f>
        <v>0</v>
      </c>
      <c r="Q33" s="43">
        <f t="shared" si="7"/>
        <v>0</v>
      </c>
      <c r="R33" s="44">
        <f t="shared" si="3"/>
        <v>126</v>
      </c>
      <c r="S33" s="9">
        <f t="shared" si="1"/>
        <v>0.17499999999999999</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3"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M10" sqref="M10"/>
    </sheetView>
  </sheetViews>
  <sheetFormatPr defaultColWidth="11.36328125" defaultRowHeight="18.75" customHeight="1" x14ac:dyDescent="0.2"/>
  <cols>
    <col min="1" max="1" width="2.81640625" style="20" customWidth="1"/>
    <col min="2" max="2" width="16.6328125" style="1" customWidth="1"/>
    <col min="3" max="3" width="8.90625" style="1" customWidth="1"/>
    <col min="4" max="4" width="2.17968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20" t="s">
        <v>59</v>
      </c>
      <c r="I1" s="18" t="s">
        <v>91</v>
      </c>
    </row>
    <row r="2" spans="1:9" ht="18.75" customHeight="1" x14ac:dyDescent="0.2">
      <c r="G2" s="18" t="s">
        <v>93</v>
      </c>
      <c r="H2" s="96" t="str">
        <f>'様式１　プログラムを構成する授業科目'!C2</f>
        <v>敬和学園大学</v>
      </c>
      <c r="I2" s="98"/>
    </row>
    <row r="3" spans="1:9" ht="18.75" customHeight="1" x14ac:dyDescent="0.2">
      <c r="G3" s="18"/>
      <c r="H3" s="10"/>
      <c r="I3" s="10"/>
    </row>
    <row r="4" spans="1:9" ht="18.649999999999999" customHeight="1" x14ac:dyDescent="0.2">
      <c r="A4" s="110" t="s">
        <v>36</v>
      </c>
      <c r="B4" s="110"/>
      <c r="C4" s="110"/>
      <c r="D4" s="110"/>
      <c r="E4" s="110"/>
      <c r="F4" s="110"/>
      <c r="G4" s="110"/>
      <c r="H4" s="110"/>
      <c r="I4" s="110"/>
    </row>
    <row r="5" spans="1:9" ht="13.25" customHeight="1" x14ac:dyDescent="0.2">
      <c r="B5" s="3"/>
      <c r="C5" s="3"/>
      <c r="D5" s="3"/>
      <c r="E5" s="3"/>
      <c r="F5" s="3"/>
      <c r="G5" s="3"/>
      <c r="H5" s="3"/>
      <c r="I5" s="3"/>
    </row>
    <row r="6" spans="1:9" ht="18" customHeight="1" x14ac:dyDescent="0.2">
      <c r="A6" s="1" t="s">
        <v>0</v>
      </c>
      <c r="B6" s="10" t="s">
        <v>81</v>
      </c>
      <c r="C6" s="190" t="s">
        <v>82</v>
      </c>
      <c r="D6" s="190"/>
      <c r="E6" s="17">
        <v>28</v>
      </c>
      <c r="F6" s="3" t="s">
        <v>1</v>
      </c>
      <c r="G6" s="3" t="s">
        <v>2</v>
      </c>
      <c r="H6" s="17">
        <v>53</v>
      </c>
      <c r="I6" s="10" t="s">
        <v>1</v>
      </c>
    </row>
    <row r="7" spans="1:9" ht="12" customHeight="1" x14ac:dyDescent="0.2">
      <c r="C7" s="2"/>
      <c r="D7" s="2"/>
      <c r="E7" s="2"/>
      <c r="F7" s="2"/>
      <c r="G7" s="2"/>
      <c r="H7" s="2"/>
      <c r="I7" s="21"/>
    </row>
    <row r="8" spans="1:9" ht="18" customHeight="1" x14ac:dyDescent="0.2">
      <c r="A8" s="1" t="s">
        <v>3</v>
      </c>
      <c r="B8" s="10" t="s">
        <v>83</v>
      </c>
      <c r="E8" s="3"/>
      <c r="F8" s="3"/>
      <c r="G8" s="3"/>
      <c r="H8" s="17">
        <v>2</v>
      </c>
      <c r="I8" s="10" t="s">
        <v>1</v>
      </c>
    </row>
    <row r="9" spans="1:9" ht="9" customHeight="1" x14ac:dyDescent="0.2">
      <c r="B9" s="3"/>
      <c r="C9" s="3"/>
      <c r="D9" s="3"/>
      <c r="E9" s="3"/>
      <c r="F9" s="3"/>
      <c r="G9" s="3"/>
      <c r="H9" s="3"/>
      <c r="I9" s="3"/>
    </row>
    <row r="10" spans="1:9" ht="18" customHeight="1" x14ac:dyDescent="0.2">
      <c r="A10" s="1" t="s">
        <v>4</v>
      </c>
      <c r="B10" s="10" t="s">
        <v>84</v>
      </c>
      <c r="C10" s="3"/>
      <c r="D10" s="3"/>
      <c r="E10" s="3"/>
      <c r="F10" s="3"/>
      <c r="G10" s="3"/>
      <c r="H10" s="3"/>
      <c r="I10" s="3"/>
    </row>
    <row r="11" spans="1:9" ht="18" customHeight="1" x14ac:dyDescent="0.2">
      <c r="B11" s="18" t="s">
        <v>41</v>
      </c>
      <c r="C11" s="185" t="s">
        <v>152</v>
      </c>
      <c r="D11" s="188"/>
      <c r="E11" s="189"/>
      <c r="F11" s="21"/>
      <c r="G11" s="18" t="s">
        <v>10</v>
      </c>
      <c r="H11" s="185" t="s">
        <v>153</v>
      </c>
      <c r="I11" s="189"/>
    </row>
    <row r="12" spans="1:9" ht="10.25" customHeight="1" x14ac:dyDescent="0.2">
      <c r="B12" s="18"/>
      <c r="C12" s="10"/>
      <c r="D12" s="21"/>
      <c r="E12" s="21"/>
      <c r="F12" s="21"/>
      <c r="G12" s="18"/>
      <c r="H12" s="10"/>
      <c r="I12" s="21"/>
    </row>
    <row r="13" spans="1:9" ht="18" customHeight="1" x14ac:dyDescent="0.2">
      <c r="A13" s="1" t="s">
        <v>7</v>
      </c>
      <c r="B13" s="10" t="s">
        <v>79</v>
      </c>
      <c r="C13" s="3"/>
      <c r="D13" s="3"/>
      <c r="E13" s="3"/>
      <c r="F13" s="3"/>
      <c r="G13" s="3"/>
      <c r="H13" s="3"/>
      <c r="I13" s="3"/>
    </row>
    <row r="14" spans="1:9" ht="18" customHeight="1" x14ac:dyDescent="0.2">
      <c r="B14" s="185" t="s">
        <v>154</v>
      </c>
      <c r="C14" s="186"/>
      <c r="D14" s="186"/>
      <c r="E14" s="186"/>
      <c r="F14" s="186"/>
      <c r="G14" s="186"/>
      <c r="H14" s="186"/>
      <c r="I14" s="187"/>
    </row>
    <row r="15" spans="1:9" ht="9" customHeight="1" x14ac:dyDescent="0.2">
      <c r="B15" s="3"/>
      <c r="C15" s="3"/>
      <c r="D15" s="3"/>
      <c r="E15" s="3"/>
      <c r="F15" s="3"/>
      <c r="G15" s="3"/>
      <c r="H15" s="3"/>
      <c r="I15" s="3"/>
    </row>
    <row r="16" spans="1:9" ht="18" customHeight="1" x14ac:dyDescent="0.2">
      <c r="B16" s="18" t="s">
        <v>41</v>
      </c>
      <c r="C16" s="185" t="s">
        <v>152</v>
      </c>
      <c r="D16" s="188"/>
      <c r="E16" s="189"/>
      <c r="F16" s="21"/>
      <c r="G16" s="18" t="s">
        <v>10</v>
      </c>
      <c r="H16" s="185" t="s">
        <v>155</v>
      </c>
      <c r="I16" s="189"/>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171" t="s">
        <v>185</v>
      </c>
      <c r="C19" s="172"/>
      <c r="D19" s="172"/>
      <c r="E19" s="172"/>
      <c r="F19" s="172"/>
      <c r="G19" s="172"/>
      <c r="H19" s="172"/>
      <c r="I19" s="173"/>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74" t="s">
        <v>188</v>
      </c>
      <c r="C22" s="175"/>
      <c r="D22" s="175"/>
      <c r="E22" s="175"/>
      <c r="F22" s="175"/>
      <c r="G22" s="175"/>
      <c r="H22" s="175"/>
      <c r="I22" s="176"/>
    </row>
    <row r="23" spans="1:9" ht="18.75" customHeight="1" x14ac:dyDescent="0.2">
      <c r="A23" s="14"/>
      <c r="B23" s="177"/>
      <c r="C23" s="178"/>
      <c r="D23" s="178"/>
      <c r="E23" s="178"/>
      <c r="F23" s="178"/>
      <c r="G23" s="178"/>
      <c r="H23" s="178"/>
      <c r="I23" s="179"/>
    </row>
    <row r="24" spans="1:9" ht="18.75" customHeight="1" x14ac:dyDescent="0.2">
      <c r="A24" s="14"/>
      <c r="B24" s="177"/>
      <c r="C24" s="178"/>
      <c r="D24" s="178"/>
      <c r="E24" s="178"/>
      <c r="F24" s="178"/>
      <c r="G24" s="178"/>
      <c r="H24" s="178"/>
      <c r="I24" s="179"/>
    </row>
    <row r="25" spans="1:9" ht="18.75" customHeight="1" x14ac:dyDescent="0.2">
      <c r="A25" s="14"/>
      <c r="B25" s="177"/>
      <c r="C25" s="178"/>
      <c r="D25" s="178"/>
      <c r="E25" s="178"/>
      <c r="F25" s="178"/>
      <c r="G25" s="178"/>
      <c r="H25" s="178"/>
      <c r="I25" s="179"/>
    </row>
    <row r="26" spans="1:9" ht="18.75" customHeight="1" x14ac:dyDescent="0.2">
      <c r="A26" s="14"/>
      <c r="B26" s="177"/>
      <c r="C26" s="178"/>
      <c r="D26" s="178"/>
      <c r="E26" s="178"/>
      <c r="F26" s="178"/>
      <c r="G26" s="178"/>
      <c r="H26" s="178"/>
      <c r="I26" s="179"/>
    </row>
    <row r="27" spans="1:9" ht="18.75" customHeight="1" x14ac:dyDescent="0.2">
      <c r="A27" s="14"/>
      <c r="B27" s="177"/>
      <c r="C27" s="178"/>
      <c r="D27" s="178"/>
      <c r="E27" s="178"/>
      <c r="F27" s="178"/>
      <c r="G27" s="178"/>
      <c r="H27" s="178"/>
      <c r="I27" s="179"/>
    </row>
    <row r="28" spans="1:9" ht="18.75" customHeight="1" x14ac:dyDescent="0.2">
      <c r="A28" s="14"/>
      <c r="B28" s="177"/>
      <c r="C28" s="178"/>
      <c r="D28" s="178"/>
      <c r="E28" s="178"/>
      <c r="F28" s="178"/>
      <c r="G28" s="178"/>
      <c r="H28" s="178"/>
      <c r="I28" s="179"/>
    </row>
    <row r="29" spans="1:9" ht="18.75" customHeight="1" x14ac:dyDescent="0.2">
      <c r="A29" s="14"/>
      <c r="B29" s="177"/>
      <c r="C29" s="178"/>
      <c r="D29" s="178"/>
      <c r="E29" s="178"/>
      <c r="F29" s="178"/>
      <c r="G29" s="178"/>
      <c r="H29" s="178"/>
      <c r="I29" s="179"/>
    </row>
    <row r="30" spans="1:9" ht="18.75" customHeight="1" x14ac:dyDescent="0.2">
      <c r="A30" s="14"/>
      <c r="B30" s="180"/>
      <c r="C30" s="181"/>
      <c r="D30" s="181"/>
      <c r="E30" s="181"/>
      <c r="F30" s="181"/>
      <c r="G30" s="181"/>
      <c r="H30" s="181"/>
      <c r="I30" s="179"/>
    </row>
    <row r="31" spans="1:9" ht="18.75" customHeight="1" x14ac:dyDescent="0.2">
      <c r="A31" s="14"/>
      <c r="B31" s="180"/>
      <c r="C31" s="181"/>
      <c r="D31" s="181"/>
      <c r="E31" s="181"/>
      <c r="F31" s="181"/>
      <c r="G31" s="181"/>
      <c r="H31" s="181"/>
      <c r="I31" s="179"/>
    </row>
    <row r="32" spans="1:9" ht="18.75" customHeight="1" x14ac:dyDescent="0.2">
      <c r="A32" s="14"/>
      <c r="B32" s="182"/>
      <c r="C32" s="183"/>
      <c r="D32" s="183"/>
      <c r="E32" s="183"/>
      <c r="F32" s="183"/>
      <c r="G32" s="183"/>
      <c r="H32" s="183"/>
      <c r="I32" s="184"/>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74" t="s">
        <v>156</v>
      </c>
      <c r="C35" s="175"/>
      <c r="D35" s="175"/>
      <c r="E35" s="175"/>
      <c r="F35" s="175"/>
      <c r="G35" s="175"/>
      <c r="H35" s="175"/>
      <c r="I35" s="176"/>
    </row>
    <row r="36" spans="1:9" ht="18.75" customHeight="1" x14ac:dyDescent="0.2">
      <c r="A36" s="14"/>
      <c r="B36" s="180"/>
      <c r="C36" s="181"/>
      <c r="D36" s="181"/>
      <c r="E36" s="181"/>
      <c r="F36" s="181"/>
      <c r="G36" s="181"/>
      <c r="H36" s="181"/>
      <c r="I36" s="179"/>
    </row>
    <row r="37" spans="1:9" ht="18.75" customHeight="1" x14ac:dyDescent="0.2">
      <c r="A37" s="14"/>
      <c r="B37" s="180"/>
      <c r="C37" s="181"/>
      <c r="D37" s="181"/>
      <c r="E37" s="181"/>
      <c r="F37" s="181"/>
      <c r="G37" s="181"/>
      <c r="H37" s="181"/>
      <c r="I37" s="179"/>
    </row>
    <row r="38" spans="1:9" ht="18.75" customHeight="1" x14ac:dyDescent="0.2">
      <c r="A38" s="14"/>
      <c r="B38" s="180"/>
      <c r="C38" s="181"/>
      <c r="D38" s="181"/>
      <c r="E38" s="181"/>
      <c r="F38" s="181"/>
      <c r="G38" s="181"/>
      <c r="H38" s="181"/>
      <c r="I38" s="179"/>
    </row>
    <row r="39" spans="1:9" ht="18.75" customHeight="1" x14ac:dyDescent="0.2">
      <c r="A39" s="14"/>
      <c r="B39" s="180"/>
      <c r="C39" s="181"/>
      <c r="D39" s="181"/>
      <c r="E39" s="181"/>
      <c r="F39" s="181"/>
      <c r="G39" s="181"/>
      <c r="H39" s="181"/>
      <c r="I39" s="179"/>
    </row>
    <row r="40" spans="1:9" ht="18.75" customHeight="1" x14ac:dyDescent="0.2">
      <c r="A40" s="14"/>
      <c r="B40" s="180"/>
      <c r="C40" s="181"/>
      <c r="D40" s="181"/>
      <c r="E40" s="181"/>
      <c r="F40" s="181"/>
      <c r="G40" s="181"/>
      <c r="H40" s="181"/>
      <c r="I40" s="179"/>
    </row>
    <row r="41" spans="1:9" ht="18.75" customHeight="1" x14ac:dyDescent="0.2">
      <c r="A41" s="14"/>
      <c r="B41" s="180"/>
      <c r="C41" s="181"/>
      <c r="D41" s="181"/>
      <c r="E41" s="181"/>
      <c r="F41" s="181"/>
      <c r="G41" s="181"/>
      <c r="H41" s="181"/>
      <c r="I41" s="179"/>
    </row>
    <row r="42" spans="1:9" ht="18.75" customHeight="1" x14ac:dyDescent="0.2">
      <c r="A42" s="14"/>
      <c r="B42" s="180"/>
      <c r="C42" s="181"/>
      <c r="D42" s="181"/>
      <c r="E42" s="181"/>
      <c r="F42" s="181"/>
      <c r="G42" s="181"/>
      <c r="H42" s="181"/>
      <c r="I42" s="179"/>
    </row>
    <row r="43" spans="1:9" ht="18.75" customHeight="1" x14ac:dyDescent="0.2">
      <c r="A43" s="14"/>
      <c r="B43" s="180"/>
      <c r="C43" s="181"/>
      <c r="D43" s="181"/>
      <c r="E43" s="181"/>
      <c r="F43" s="181"/>
      <c r="G43" s="181"/>
      <c r="H43" s="181"/>
      <c r="I43" s="179"/>
    </row>
    <row r="44" spans="1:9" ht="18.75" customHeight="1" x14ac:dyDescent="0.2">
      <c r="A44" s="14"/>
      <c r="B44" s="180"/>
      <c r="C44" s="181"/>
      <c r="D44" s="181"/>
      <c r="E44" s="181"/>
      <c r="F44" s="181"/>
      <c r="G44" s="181"/>
      <c r="H44" s="181"/>
      <c r="I44" s="179"/>
    </row>
    <row r="45" spans="1:9" ht="18.75" customHeight="1" x14ac:dyDescent="0.2">
      <c r="A45" s="14"/>
      <c r="B45" s="180"/>
      <c r="C45" s="181"/>
      <c r="D45" s="181"/>
      <c r="E45" s="181"/>
      <c r="F45" s="181"/>
      <c r="G45" s="181"/>
      <c r="H45" s="181"/>
      <c r="I45" s="179"/>
    </row>
    <row r="46" spans="1:9" ht="18.75" customHeight="1" x14ac:dyDescent="0.2">
      <c r="A46" s="14"/>
      <c r="B46" s="182"/>
      <c r="C46" s="183"/>
      <c r="D46" s="183"/>
      <c r="E46" s="183"/>
      <c r="F46" s="183"/>
      <c r="G46" s="183"/>
      <c r="H46" s="183"/>
      <c r="I46" s="184"/>
    </row>
    <row r="47" spans="1:9" ht="7.5" customHeight="1" x14ac:dyDescent="0.2">
      <c r="A47" s="4"/>
      <c r="B47" s="4"/>
      <c r="C47" s="4"/>
      <c r="D47" s="4"/>
      <c r="E47" s="4"/>
      <c r="F47" s="4"/>
      <c r="G47" s="4"/>
      <c r="H47" s="4"/>
      <c r="I47" s="4"/>
    </row>
    <row r="48" spans="1:9" ht="18.75" customHeight="1" x14ac:dyDescent="0.2">
      <c r="A48" s="1" t="s">
        <v>31</v>
      </c>
      <c r="B48" s="1" t="s">
        <v>105</v>
      </c>
    </row>
    <row r="49" spans="1:15" s="3" customFormat="1" ht="18.75" customHeight="1" x14ac:dyDescent="0.2">
      <c r="B49" s="79" t="s">
        <v>129</v>
      </c>
      <c r="C49" s="221">
        <f>'様式２ 履修者等数の実績'!S33</f>
        <v>0.17499999999999999</v>
      </c>
      <c r="D49" s="221"/>
      <c r="E49" s="79" t="s">
        <v>60</v>
      </c>
      <c r="F49" s="221">
        <v>0.3</v>
      </c>
      <c r="G49" s="221"/>
      <c r="H49" s="79" t="s">
        <v>80</v>
      </c>
      <c r="I49" s="81">
        <v>0.5</v>
      </c>
      <c r="J49" s="1"/>
      <c r="M49" s="1"/>
      <c r="N49" s="22"/>
    </row>
    <row r="50" spans="1:15" s="3" customFormat="1" ht="18.75" customHeight="1" x14ac:dyDescent="0.2">
      <c r="B50" s="80" t="s">
        <v>116</v>
      </c>
      <c r="C50" s="204">
        <v>0.7</v>
      </c>
      <c r="D50" s="204"/>
      <c r="E50" s="80" t="s">
        <v>130</v>
      </c>
      <c r="F50" s="204">
        <v>0.9</v>
      </c>
      <c r="G50" s="204"/>
      <c r="H50" s="80" t="s">
        <v>61</v>
      </c>
      <c r="I50" s="82">
        <f>'様式２ 履修者等数の実績'!E33</f>
        <v>720</v>
      </c>
      <c r="J50" s="1"/>
      <c r="M50" s="1"/>
      <c r="N50" s="22"/>
    </row>
    <row r="51" spans="1:15" ht="18.75" customHeight="1" x14ac:dyDescent="0.2">
      <c r="A51" s="1"/>
      <c r="B51" s="201" t="s">
        <v>62</v>
      </c>
      <c r="C51" s="202"/>
      <c r="D51" s="202"/>
      <c r="E51" s="202"/>
      <c r="F51" s="202"/>
      <c r="G51" s="202"/>
      <c r="H51" s="202"/>
      <c r="I51" s="203"/>
      <c r="N51" s="22"/>
      <c r="O51" s="3"/>
    </row>
    <row r="52" spans="1:15" ht="18.75" customHeight="1" x14ac:dyDescent="0.2">
      <c r="A52" s="1"/>
      <c r="B52" s="222" t="s">
        <v>183</v>
      </c>
      <c r="C52" s="223"/>
      <c r="D52" s="223"/>
      <c r="E52" s="223"/>
      <c r="F52" s="223"/>
      <c r="G52" s="223"/>
      <c r="H52" s="223"/>
      <c r="I52" s="224"/>
      <c r="N52" s="22"/>
      <c r="O52" s="3"/>
    </row>
    <row r="53" spans="1:15" ht="18.75" customHeight="1" x14ac:dyDescent="0.2">
      <c r="A53" s="1"/>
      <c r="B53" s="225"/>
      <c r="C53" s="226"/>
      <c r="D53" s="226"/>
      <c r="E53" s="226"/>
      <c r="F53" s="226"/>
      <c r="G53" s="226"/>
      <c r="H53" s="226"/>
      <c r="I53" s="227"/>
      <c r="N53" s="22"/>
      <c r="O53" s="3"/>
    </row>
    <row r="54" spans="1:15" ht="18.75" customHeight="1" x14ac:dyDescent="0.2">
      <c r="A54" s="1"/>
      <c r="B54" s="225"/>
      <c r="C54" s="226"/>
      <c r="D54" s="226"/>
      <c r="E54" s="226"/>
      <c r="F54" s="226"/>
      <c r="G54" s="226"/>
      <c r="H54" s="226"/>
      <c r="I54" s="227"/>
    </row>
    <row r="55" spans="1:15" ht="18.75" customHeight="1" x14ac:dyDescent="0.2">
      <c r="A55" s="1"/>
      <c r="B55" s="225"/>
      <c r="C55" s="226"/>
      <c r="D55" s="226"/>
      <c r="E55" s="226"/>
      <c r="F55" s="226"/>
      <c r="G55" s="226"/>
      <c r="H55" s="226"/>
      <c r="I55" s="227"/>
    </row>
    <row r="56" spans="1:15" ht="18.75" customHeight="1" x14ac:dyDescent="0.2">
      <c r="A56" s="1"/>
      <c r="B56" s="225"/>
      <c r="C56" s="226"/>
      <c r="D56" s="226"/>
      <c r="E56" s="226"/>
      <c r="F56" s="226"/>
      <c r="G56" s="226"/>
      <c r="H56" s="226"/>
      <c r="I56" s="227"/>
    </row>
    <row r="57" spans="1:15" ht="18.75" customHeight="1" x14ac:dyDescent="0.2">
      <c r="A57" s="1"/>
      <c r="B57" s="225"/>
      <c r="C57" s="226"/>
      <c r="D57" s="226"/>
      <c r="E57" s="226"/>
      <c r="F57" s="226"/>
      <c r="G57" s="226"/>
      <c r="H57" s="226"/>
      <c r="I57" s="227"/>
    </row>
    <row r="58" spans="1:15" ht="18.75" customHeight="1" x14ac:dyDescent="0.2">
      <c r="A58" s="1"/>
      <c r="B58" s="225"/>
      <c r="C58" s="226"/>
      <c r="D58" s="226"/>
      <c r="E58" s="226"/>
      <c r="F58" s="226"/>
      <c r="G58" s="226"/>
      <c r="H58" s="226"/>
      <c r="I58" s="227"/>
    </row>
    <row r="59" spans="1:15" ht="18.75" customHeight="1" x14ac:dyDescent="0.2">
      <c r="A59" s="1"/>
      <c r="B59" s="225"/>
      <c r="C59" s="226"/>
      <c r="D59" s="226"/>
      <c r="E59" s="226"/>
      <c r="F59" s="226"/>
      <c r="G59" s="226"/>
      <c r="H59" s="226"/>
      <c r="I59" s="227"/>
    </row>
    <row r="60" spans="1:15" ht="18.75" customHeight="1" x14ac:dyDescent="0.2">
      <c r="A60" s="1"/>
      <c r="B60" s="225"/>
      <c r="C60" s="226"/>
      <c r="D60" s="226"/>
      <c r="E60" s="226"/>
      <c r="F60" s="226"/>
      <c r="G60" s="226"/>
      <c r="H60" s="226"/>
      <c r="I60" s="227"/>
    </row>
    <row r="61" spans="1:15" ht="18.75" customHeight="1" x14ac:dyDescent="0.2">
      <c r="A61" s="1"/>
      <c r="B61" s="225"/>
      <c r="C61" s="226"/>
      <c r="D61" s="226"/>
      <c r="E61" s="226"/>
      <c r="F61" s="226"/>
      <c r="G61" s="226"/>
      <c r="H61" s="226"/>
      <c r="I61" s="227"/>
    </row>
    <row r="62" spans="1:15" ht="18.75" customHeight="1" x14ac:dyDescent="0.2">
      <c r="A62" s="1"/>
      <c r="B62" s="225"/>
      <c r="C62" s="226"/>
      <c r="D62" s="226"/>
      <c r="E62" s="226"/>
      <c r="F62" s="226"/>
      <c r="G62" s="226"/>
      <c r="H62" s="226"/>
      <c r="I62" s="227"/>
    </row>
    <row r="63" spans="1:15" ht="18.75" customHeight="1" x14ac:dyDescent="0.2">
      <c r="A63" s="1"/>
      <c r="B63" s="228"/>
      <c r="C63" s="229"/>
      <c r="D63" s="229"/>
      <c r="E63" s="229"/>
      <c r="F63" s="229"/>
      <c r="G63" s="229"/>
      <c r="H63" s="229"/>
      <c r="I63" s="230"/>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205" t="s">
        <v>189</v>
      </c>
      <c r="C66" s="206"/>
      <c r="D66" s="206"/>
      <c r="E66" s="206"/>
      <c r="F66" s="206"/>
      <c r="G66" s="206"/>
      <c r="H66" s="206"/>
      <c r="I66" s="207"/>
    </row>
    <row r="67" spans="1:9" ht="18.75" customHeight="1" x14ac:dyDescent="0.2">
      <c r="A67" s="4"/>
      <c r="B67" s="208"/>
      <c r="C67" s="209"/>
      <c r="D67" s="209"/>
      <c r="E67" s="209"/>
      <c r="F67" s="209"/>
      <c r="G67" s="209"/>
      <c r="H67" s="209"/>
      <c r="I67" s="210"/>
    </row>
    <row r="68" spans="1:9" ht="18.75" customHeight="1" x14ac:dyDescent="0.2">
      <c r="A68" s="4"/>
      <c r="B68" s="208"/>
      <c r="C68" s="209"/>
      <c r="D68" s="209"/>
      <c r="E68" s="209"/>
      <c r="F68" s="209"/>
      <c r="G68" s="209"/>
      <c r="H68" s="209"/>
      <c r="I68" s="210"/>
    </row>
    <row r="69" spans="1:9" ht="18.75" customHeight="1" x14ac:dyDescent="0.2">
      <c r="A69" s="4"/>
      <c r="B69" s="208"/>
      <c r="C69" s="209"/>
      <c r="D69" s="209"/>
      <c r="E69" s="209"/>
      <c r="F69" s="209"/>
      <c r="G69" s="209"/>
      <c r="H69" s="209"/>
      <c r="I69" s="210"/>
    </row>
    <row r="70" spans="1:9" ht="18.75" customHeight="1" x14ac:dyDescent="0.2">
      <c r="A70" s="4"/>
      <c r="B70" s="208"/>
      <c r="C70" s="209"/>
      <c r="D70" s="209"/>
      <c r="E70" s="209"/>
      <c r="F70" s="209"/>
      <c r="G70" s="209"/>
      <c r="H70" s="209"/>
      <c r="I70" s="210"/>
    </row>
    <row r="71" spans="1:9" ht="18.75" customHeight="1" x14ac:dyDescent="0.2">
      <c r="A71" s="4"/>
      <c r="B71" s="208"/>
      <c r="C71" s="209"/>
      <c r="D71" s="209"/>
      <c r="E71" s="209"/>
      <c r="F71" s="209"/>
      <c r="G71" s="209"/>
      <c r="H71" s="209"/>
      <c r="I71" s="210"/>
    </row>
    <row r="72" spans="1:9" ht="18.75" customHeight="1" x14ac:dyDescent="0.2">
      <c r="A72" s="4"/>
      <c r="B72" s="208"/>
      <c r="C72" s="209"/>
      <c r="D72" s="209"/>
      <c r="E72" s="209"/>
      <c r="F72" s="209"/>
      <c r="G72" s="209"/>
      <c r="H72" s="209"/>
      <c r="I72" s="210"/>
    </row>
    <row r="73" spans="1:9" ht="18.75" customHeight="1" x14ac:dyDescent="0.2">
      <c r="A73" s="4"/>
      <c r="B73" s="208"/>
      <c r="C73" s="209"/>
      <c r="D73" s="209"/>
      <c r="E73" s="209"/>
      <c r="F73" s="209"/>
      <c r="G73" s="209"/>
      <c r="H73" s="209"/>
      <c r="I73" s="210"/>
    </row>
    <row r="74" spans="1:9" ht="18.75" customHeight="1" x14ac:dyDescent="0.2">
      <c r="A74" s="4"/>
      <c r="B74" s="208"/>
      <c r="C74" s="209"/>
      <c r="D74" s="209"/>
      <c r="E74" s="209"/>
      <c r="F74" s="209"/>
      <c r="G74" s="209"/>
      <c r="H74" s="209"/>
      <c r="I74" s="210"/>
    </row>
    <row r="75" spans="1:9" ht="18.75" customHeight="1" x14ac:dyDescent="0.2">
      <c r="A75" s="4"/>
      <c r="B75" s="208"/>
      <c r="C75" s="209"/>
      <c r="D75" s="209"/>
      <c r="E75" s="209"/>
      <c r="F75" s="209"/>
      <c r="G75" s="209"/>
      <c r="H75" s="209"/>
      <c r="I75" s="210"/>
    </row>
    <row r="76" spans="1:9" ht="18.75" customHeight="1" x14ac:dyDescent="0.2">
      <c r="A76" s="4"/>
      <c r="B76" s="208"/>
      <c r="C76" s="209"/>
      <c r="D76" s="209"/>
      <c r="E76" s="209"/>
      <c r="F76" s="209"/>
      <c r="G76" s="209"/>
      <c r="H76" s="209"/>
      <c r="I76" s="210"/>
    </row>
    <row r="77" spans="1:9" ht="18.75" customHeight="1" x14ac:dyDescent="0.2">
      <c r="A77" s="4"/>
      <c r="B77" s="211"/>
      <c r="C77" s="212"/>
      <c r="D77" s="212"/>
      <c r="E77" s="212"/>
      <c r="F77" s="212"/>
      <c r="G77" s="212"/>
      <c r="H77" s="212"/>
      <c r="I77" s="213"/>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205" t="s">
        <v>190</v>
      </c>
      <c r="C80" s="206"/>
      <c r="D80" s="206"/>
      <c r="E80" s="206"/>
      <c r="F80" s="206"/>
      <c r="G80" s="206"/>
      <c r="H80" s="206"/>
      <c r="I80" s="214"/>
    </row>
    <row r="81" spans="1:9" ht="18.75" customHeight="1" x14ac:dyDescent="0.2">
      <c r="A81" s="1"/>
      <c r="B81" s="215"/>
      <c r="C81" s="216"/>
      <c r="D81" s="216"/>
      <c r="E81" s="216"/>
      <c r="F81" s="216"/>
      <c r="G81" s="216"/>
      <c r="H81" s="216"/>
      <c r="I81" s="217"/>
    </row>
    <row r="82" spans="1:9" ht="18.75" customHeight="1" x14ac:dyDescent="0.2">
      <c r="A82" s="1"/>
      <c r="B82" s="215"/>
      <c r="C82" s="216"/>
      <c r="D82" s="216"/>
      <c r="E82" s="216"/>
      <c r="F82" s="216"/>
      <c r="G82" s="216"/>
      <c r="H82" s="216"/>
      <c r="I82" s="217"/>
    </row>
    <row r="83" spans="1:9" ht="18.75" customHeight="1" x14ac:dyDescent="0.2">
      <c r="A83" s="1"/>
      <c r="B83" s="215"/>
      <c r="C83" s="216"/>
      <c r="D83" s="216"/>
      <c r="E83" s="216"/>
      <c r="F83" s="216"/>
      <c r="G83" s="216"/>
      <c r="H83" s="216"/>
      <c r="I83" s="217"/>
    </row>
    <row r="84" spans="1:9" ht="18.75" customHeight="1" x14ac:dyDescent="0.2">
      <c r="A84" s="1"/>
      <c r="B84" s="215"/>
      <c r="C84" s="216"/>
      <c r="D84" s="216"/>
      <c r="E84" s="216"/>
      <c r="F84" s="216"/>
      <c r="G84" s="216"/>
      <c r="H84" s="216"/>
      <c r="I84" s="217"/>
    </row>
    <row r="85" spans="1:9" ht="18.75" customHeight="1" x14ac:dyDescent="0.2">
      <c r="A85" s="1"/>
      <c r="B85" s="215"/>
      <c r="C85" s="216"/>
      <c r="D85" s="216"/>
      <c r="E85" s="216"/>
      <c r="F85" s="216"/>
      <c r="G85" s="216"/>
      <c r="H85" s="216"/>
      <c r="I85" s="217"/>
    </row>
    <row r="86" spans="1:9" ht="18.75" customHeight="1" x14ac:dyDescent="0.2">
      <c r="A86" s="1"/>
      <c r="B86" s="215"/>
      <c r="C86" s="216"/>
      <c r="D86" s="216"/>
      <c r="E86" s="216"/>
      <c r="F86" s="216"/>
      <c r="G86" s="216"/>
      <c r="H86" s="216"/>
      <c r="I86" s="217"/>
    </row>
    <row r="87" spans="1:9" ht="18.75" customHeight="1" x14ac:dyDescent="0.2">
      <c r="A87" s="1"/>
      <c r="B87" s="215"/>
      <c r="C87" s="216"/>
      <c r="D87" s="216"/>
      <c r="E87" s="216"/>
      <c r="F87" s="216"/>
      <c r="G87" s="216"/>
      <c r="H87" s="216"/>
      <c r="I87" s="217"/>
    </row>
    <row r="88" spans="1:9" ht="18.75" customHeight="1" x14ac:dyDescent="0.2">
      <c r="A88" s="1"/>
      <c r="B88" s="215"/>
      <c r="C88" s="216"/>
      <c r="D88" s="216"/>
      <c r="E88" s="216"/>
      <c r="F88" s="216"/>
      <c r="G88" s="216"/>
      <c r="H88" s="216"/>
      <c r="I88" s="217"/>
    </row>
    <row r="89" spans="1:9" ht="18.75" customHeight="1" x14ac:dyDescent="0.2">
      <c r="A89" s="1"/>
      <c r="B89" s="215"/>
      <c r="C89" s="216"/>
      <c r="D89" s="216"/>
      <c r="E89" s="216"/>
      <c r="F89" s="216"/>
      <c r="G89" s="216"/>
      <c r="H89" s="216"/>
      <c r="I89" s="217"/>
    </row>
    <row r="90" spans="1:9" ht="18.75" customHeight="1" x14ac:dyDescent="0.2">
      <c r="A90" s="4"/>
      <c r="B90" s="215"/>
      <c r="C90" s="216"/>
      <c r="D90" s="216"/>
      <c r="E90" s="216"/>
      <c r="F90" s="216"/>
      <c r="G90" s="216"/>
      <c r="H90" s="216"/>
      <c r="I90" s="217"/>
    </row>
    <row r="91" spans="1:9" ht="18.75" customHeight="1" x14ac:dyDescent="0.2">
      <c r="A91" s="4"/>
      <c r="B91" s="218"/>
      <c r="C91" s="219"/>
      <c r="D91" s="219"/>
      <c r="E91" s="219"/>
      <c r="F91" s="219"/>
      <c r="G91" s="219"/>
      <c r="H91" s="219"/>
      <c r="I91" s="220"/>
    </row>
    <row r="92" spans="1:9" ht="7.5" customHeight="1" x14ac:dyDescent="0.2">
      <c r="A92" s="4"/>
      <c r="B92" s="4"/>
      <c r="C92" s="4"/>
      <c r="D92" s="4"/>
      <c r="E92" s="4"/>
      <c r="F92" s="4"/>
      <c r="G92" s="4"/>
      <c r="H92" s="4"/>
      <c r="I92" s="4"/>
    </row>
    <row r="93" spans="1:9" ht="18.75" customHeight="1" x14ac:dyDescent="0.2">
      <c r="A93" s="1" t="s">
        <v>42</v>
      </c>
      <c r="B93" s="1" t="s">
        <v>13</v>
      </c>
    </row>
    <row r="94" spans="1:9" ht="18.75" customHeight="1" x14ac:dyDescent="0.2">
      <c r="A94" s="1"/>
      <c r="B94" s="191" t="s">
        <v>157</v>
      </c>
      <c r="C94" s="192"/>
      <c r="D94" s="192"/>
      <c r="E94" s="192"/>
      <c r="F94" s="192"/>
      <c r="G94" s="192"/>
      <c r="H94" s="192"/>
      <c r="I94" s="193"/>
    </row>
    <row r="95" spans="1:9" ht="18.75" customHeight="1" x14ac:dyDescent="0.2">
      <c r="A95" s="1"/>
      <c r="B95" s="194"/>
      <c r="C95" s="195"/>
      <c r="D95" s="195"/>
      <c r="E95" s="195"/>
      <c r="F95" s="195"/>
      <c r="G95" s="195"/>
      <c r="H95" s="195"/>
      <c r="I95" s="196"/>
    </row>
    <row r="96" spans="1:9" ht="18.75" customHeight="1" x14ac:dyDescent="0.2">
      <c r="A96" s="1"/>
      <c r="B96" s="194"/>
      <c r="C96" s="195"/>
      <c r="D96" s="195"/>
      <c r="E96" s="195"/>
      <c r="F96" s="195"/>
      <c r="G96" s="195"/>
      <c r="H96" s="195"/>
      <c r="I96" s="196"/>
    </row>
    <row r="97" spans="1:9" ht="18.75" customHeight="1" x14ac:dyDescent="0.2">
      <c r="A97" s="1"/>
      <c r="B97" s="194"/>
      <c r="C97" s="195"/>
      <c r="D97" s="195"/>
      <c r="E97" s="195"/>
      <c r="F97" s="195"/>
      <c r="G97" s="195"/>
      <c r="H97" s="195"/>
      <c r="I97" s="196"/>
    </row>
    <row r="98" spans="1:9" ht="18.75" customHeight="1" x14ac:dyDescent="0.2">
      <c r="A98" s="1"/>
      <c r="B98" s="194"/>
      <c r="C98" s="195"/>
      <c r="D98" s="195"/>
      <c r="E98" s="195"/>
      <c r="F98" s="195"/>
      <c r="G98" s="195"/>
      <c r="H98" s="195"/>
      <c r="I98" s="196"/>
    </row>
    <row r="99" spans="1:9" ht="18.75" customHeight="1" x14ac:dyDescent="0.2">
      <c r="A99" s="1"/>
      <c r="B99" s="194"/>
      <c r="C99" s="195"/>
      <c r="D99" s="195"/>
      <c r="E99" s="195"/>
      <c r="F99" s="195"/>
      <c r="G99" s="195"/>
      <c r="H99" s="195"/>
      <c r="I99" s="196"/>
    </row>
    <row r="100" spans="1:9" ht="18.75" customHeight="1" x14ac:dyDescent="0.2">
      <c r="A100" s="1"/>
      <c r="B100" s="194"/>
      <c r="C100" s="195"/>
      <c r="D100" s="195"/>
      <c r="E100" s="195"/>
      <c r="F100" s="195"/>
      <c r="G100" s="195"/>
      <c r="H100" s="195"/>
      <c r="I100" s="196"/>
    </row>
    <row r="101" spans="1:9" ht="18.75" customHeight="1" x14ac:dyDescent="0.2">
      <c r="A101" s="1"/>
      <c r="B101" s="194"/>
      <c r="C101" s="195"/>
      <c r="D101" s="195"/>
      <c r="E101" s="195"/>
      <c r="F101" s="195"/>
      <c r="G101" s="195"/>
      <c r="H101" s="195"/>
      <c r="I101" s="196"/>
    </row>
    <row r="102" spans="1:9" ht="18.75" customHeight="1" x14ac:dyDescent="0.2">
      <c r="A102" s="1"/>
      <c r="B102" s="194"/>
      <c r="C102" s="195"/>
      <c r="D102" s="195"/>
      <c r="E102" s="195"/>
      <c r="F102" s="195"/>
      <c r="G102" s="195"/>
      <c r="H102" s="195"/>
      <c r="I102" s="196"/>
    </row>
    <row r="103" spans="1:9" ht="18.75" customHeight="1" x14ac:dyDescent="0.2">
      <c r="A103" s="1"/>
      <c r="B103" s="194"/>
      <c r="C103" s="195"/>
      <c r="D103" s="195"/>
      <c r="E103" s="195"/>
      <c r="F103" s="195"/>
      <c r="G103" s="195"/>
      <c r="H103" s="195"/>
      <c r="I103" s="196"/>
    </row>
    <row r="104" spans="1:9" ht="18.75" customHeight="1" x14ac:dyDescent="0.2">
      <c r="A104" s="1"/>
      <c r="B104" s="194"/>
      <c r="C104" s="195"/>
      <c r="D104" s="195"/>
      <c r="E104" s="195"/>
      <c r="F104" s="195"/>
      <c r="G104" s="195"/>
      <c r="H104" s="195"/>
      <c r="I104" s="196"/>
    </row>
    <row r="105" spans="1:9" ht="18.75" customHeight="1" x14ac:dyDescent="0.2">
      <c r="A105" s="4"/>
      <c r="B105" s="197"/>
      <c r="C105" s="198"/>
      <c r="D105" s="198"/>
      <c r="E105" s="198"/>
      <c r="F105" s="198"/>
      <c r="G105" s="198"/>
      <c r="H105" s="198"/>
      <c r="I105" s="199"/>
    </row>
    <row r="106" spans="1:9" ht="7.5" customHeight="1" x14ac:dyDescent="0.2">
      <c r="A106" s="4"/>
      <c r="B106" s="4"/>
      <c r="C106" s="4"/>
      <c r="D106" s="4"/>
      <c r="E106" s="4"/>
      <c r="F106" s="4"/>
      <c r="G106" s="4"/>
      <c r="H106" s="4"/>
      <c r="I106" s="4"/>
    </row>
    <row r="107" spans="1:9" ht="18.75" customHeight="1" x14ac:dyDescent="0.2">
      <c r="A107" s="1" t="s">
        <v>30</v>
      </c>
      <c r="B107" s="200" t="s">
        <v>44</v>
      </c>
      <c r="C107" s="200"/>
      <c r="D107" s="200"/>
      <c r="E107" s="200"/>
      <c r="F107" s="200"/>
      <c r="G107" s="200"/>
      <c r="H107" s="200"/>
      <c r="I107" s="200"/>
    </row>
    <row r="108" spans="1:9" ht="18.75" customHeight="1" x14ac:dyDescent="0.2">
      <c r="A108" s="4"/>
      <c r="B108" s="174" t="s">
        <v>158</v>
      </c>
      <c r="C108" s="175"/>
      <c r="D108" s="175"/>
      <c r="E108" s="175"/>
      <c r="F108" s="175"/>
      <c r="G108" s="175"/>
      <c r="H108" s="175"/>
      <c r="I108" s="176"/>
    </row>
    <row r="109" spans="1:9" ht="18.75" customHeight="1" x14ac:dyDescent="0.2">
      <c r="A109" s="4"/>
      <c r="B109" s="180"/>
      <c r="C109" s="181"/>
      <c r="D109" s="181"/>
      <c r="E109" s="181"/>
      <c r="F109" s="181"/>
      <c r="G109" s="181"/>
      <c r="H109" s="181"/>
      <c r="I109" s="179"/>
    </row>
    <row r="110" spans="1:9" ht="18.75" customHeight="1" x14ac:dyDescent="0.2">
      <c r="A110" s="4"/>
      <c r="B110" s="180"/>
      <c r="C110" s="181"/>
      <c r="D110" s="181"/>
      <c r="E110" s="181"/>
      <c r="F110" s="181"/>
      <c r="G110" s="181"/>
      <c r="H110" s="181"/>
      <c r="I110" s="179"/>
    </row>
    <row r="111" spans="1:9" ht="18.75" customHeight="1" x14ac:dyDescent="0.2">
      <c r="A111" s="4"/>
      <c r="B111" s="180"/>
      <c r="C111" s="181"/>
      <c r="D111" s="181"/>
      <c r="E111" s="181"/>
      <c r="F111" s="181"/>
      <c r="G111" s="181"/>
      <c r="H111" s="181"/>
      <c r="I111" s="179"/>
    </row>
    <row r="112" spans="1:9" ht="18.75" customHeight="1" x14ac:dyDescent="0.2">
      <c r="A112" s="4"/>
      <c r="B112" s="180"/>
      <c r="C112" s="181"/>
      <c r="D112" s="181"/>
      <c r="E112" s="181"/>
      <c r="F112" s="181"/>
      <c r="G112" s="181"/>
      <c r="H112" s="181"/>
      <c r="I112" s="179"/>
    </row>
    <row r="113" spans="1:9" ht="18.75" customHeight="1" x14ac:dyDescent="0.2">
      <c r="A113" s="4"/>
      <c r="B113" s="180"/>
      <c r="C113" s="181"/>
      <c r="D113" s="181"/>
      <c r="E113" s="181"/>
      <c r="F113" s="181"/>
      <c r="G113" s="181"/>
      <c r="H113" s="181"/>
      <c r="I113" s="179"/>
    </row>
    <row r="114" spans="1:9" ht="18.75" customHeight="1" x14ac:dyDescent="0.2">
      <c r="A114" s="4"/>
      <c r="B114" s="180"/>
      <c r="C114" s="181"/>
      <c r="D114" s="181"/>
      <c r="E114" s="181"/>
      <c r="F114" s="181"/>
      <c r="G114" s="181"/>
      <c r="H114" s="181"/>
      <c r="I114" s="179"/>
    </row>
    <row r="115" spans="1:9" ht="18.75" customHeight="1" x14ac:dyDescent="0.2">
      <c r="A115" s="4"/>
      <c r="B115" s="180"/>
      <c r="C115" s="181"/>
      <c r="D115" s="181"/>
      <c r="E115" s="181"/>
      <c r="F115" s="181"/>
      <c r="G115" s="181"/>
      <c r="H115" s="181"/>
      <c r="I115" s="179"/>
    </row>
    <row r="116" spans="1:9" ht="18.75" customHeight="1" x14ac:dyDescent="0.2">
      <c r="A116" s="4"/>
      <c r="B116" s="180"/>
      <c r="C116" s="181"/>
      <c r="D116" s="181"/>
      <c r="E116" s="181"/>
      <c r="F116" s="181"/>
      <c r="G116" s="181"/>
      <c r="H116" s="181"/>
      <c r="I116" s="179"/>
    </row>
    <row r="117" spans="1:9" ht="18.75" customHeight="1" x14ac:dyDescent="0.2">
      <c r="A117" s="4"/>
      <c r="B117" s="180"/>
      <c r="C117" s="181"/>
      <c r="D117" s="181"/>
      <c r="E117" s="181"/>
      <c r="F117" s="181"/>
      <c r="G117" s="181"/>
      <c r="H117" s="181"/>
      <c r="I117" s="179"/>
    </row>
    <row r="118" spans="1:9" ht="18.75" customHeight="1" x14ac:dyDescent="0.2">
      <c r="A118" s="4"/>
      <c r="B118" s="180"/>
      <c r="C118" s="181"/>
      <c r="D118" s="181"/>
      <c r="E118" s="181"/>
      <c r="F118" s="181"/>
      <c r="G118" s="181"/>
      <c r="H118" s="181"/>
      <c r="I118" s="179"/>
    </row>
    <row r="119" spans="1:9" ht="18.75" customHeight="1" x14ac:dyDescent="0.2">
      <c r="A119" s="4"/>
      <c r="B119" s="182"/>
      <c r="C119" s="183"/>
      <c r="D119" s="183"/>
      <c r="E119" s="183"/>
      <c r="F119" s="183"/>
      <c r="G119" s="183"/>
      <c r="H119" s="183"/>
      <c r="I119" s="184"/>
    </row>
    <row r="120" spans="1:9" ht="7.5" customHeight="1" x14ac:dyDescent="0.2">
      <c r="A120" s="4"/>
      <c r="B120" s="23"/>
      <c r="C120" s="23"/>
      <c r="D120" s="23"/>
      <c r="E120" s="23"/>
      <c r="F120" s="23"/>
      <c r="G120" s="23"/>
      <c r="H120" s="23"/>
      <c r="I120" s="23"/>
    </row>
    <row r="121" spans="1:9" ht="18.75" customHeight="1" x14ac:dyDescent="0.2">
      <c r="A121" s="49"/>
      <c r="B121" s="170"/>
      <c r="C121" s="170"/>
      <c r="D121" s="170"/>
      <c r="E121" s="170"/>
      <c r="F121" s="170"/>
      <c r="G121" s="170"/>
      <c r="H121" s="170"/>
      <c r="I121" s="170"/>
    </row>
    <row r="122" spans="1:9" ht="18.75" customHeight="1" x14ac:dyDescent="0.2">
      <c r="A122" s="49"/>
      <c r="B122" s="170"/>
      <c r="C122" s="170"/>
      <c r="D122" s="170"/>
      <c r="E122" s="170"/>
      <c r="F122" s="170"/>
      <c r="G122" s="170"/>
      <c r="H122" s="170"/>
      <c r="I122" s="170"/>
    </row>
    <row r="123" spans="1:9" ht="18.75" customHeight="1" x14ac:dyDescent="0.2">
      <c r="A123" s="4"/>
      <c r="B123" s="50"/>
      <c r="C123" s="50"/>
      <c r="D123" s="50"/>
      <c r="E123" s="50"/>
      <c r="F123" s="50"/>
      <c r="G123" s="50"/>
      <c r="H123" s="50"/>
      <c r="I123" s="51"/>
    </row>
    <row r="124" spans="1:9" ht="18.75" customHeight="1" x14ac:dyDescent="0.2">
      <c r="A124" s="4"/>
      <c r="B124" s="51"/>
      <c r="C124" s="51"/>
      <c r="D124" s="51"/>
      <c r="E124" s="51"/>
      <c r="F124" s="51"/>
      <c r="G124" s="51"/>
      <c r="H124" s="51"/>
      <c r="I124" s="51"/>
    </row>
    <row r="125" spans="1:9" ht="18.75" customHeight="1" x14ac:dyDescent="0.2">
      <c r="A125" s="4"/>
      <c r="B125" s="51"/>
      <c r="C125" s="51"/>
      <c r="D125" s="51"/>
      <c r="E125" s="51"/>
      <c r="F125" s="51"/>
      <c r="G125" s="51"/>
      <c r="H125" s="51"/>
      <c r="I125" s="51"/>
    </row>
    <row r="126" spans="1:9" ht="18.75" customHeight="1" x14ac:dyDescent="0.2">
      <c r="A126" s="4"/>
      <c r="B126" s="51"/>
      <c r="C126" s="51"/>
      <c r="D126" s="51"/>
      <c r="E126" s="51"/>
      <c r="F126" s="51"/>
      <c r="G126" s="51"/>
      <c r="H126" s="51"/>
      <c r="I126" s="51"/>
    </row>
    <row r="127" spans="1:9" ht="18.75" customHeight="1" x14ac:dyDescent="0.2">
      <c r="A127" s="4"/>
      <c r="B127" s="51"/>
      <c r="C127" s="51"/>
      <c r="D127" s="51"/>
      <c r="E127" s="51"/>
      <c r="F127" s="51"/>
      <c r="G127" s="51"/>
      <c r="H127" s="51"/>
      <c r="I127" s="51"/>
    </row>
    <row r="128" spans="1:9" ht="18.75" customHeight="1" x14ac:dyDescent="0.2">
      <c r="A128" s="4"/>
      <c r="B128" s="51"/>
      <c r="C128" s="51"/>
      <c r="D128" s="51"/>
      <c r="E128" s="51"/>
      <c r="F128" s="51"/>
      <c r="G128" s="51"/>
      <c r="H128" s="51"/>
      <c r="I128" s="51"/>
    </row>
    <row r="129" spans="1:9" ht="18.75" customHeight="1" x14ac:dyDescent="0.2">
      <c r="A129" s="4"/>
      <c r="B129" s="51"/>
      <c r="C129" s="51"/>
      <c r="D129" s="51"/>
      <c r="E129" s="51"/>
      <c r="F129" s="51"/>
      <c r="G129" s="51"/>
      <c r="H129" s="51"/>
      <c r="I129" s="51"/>
    </row>
    <row r="130" spans="1:9" ht="18.75" customHeight="1" x14ac:dyDescent="0.2">
      <c r="A130" s="4"/>
      <c r="B130" s="51"/>
      <c r="C130" s="51"/>
      <c r="D130" s="51"/>
      <c r="E130" s="51"/>
      <c r="F130" s="51"/>
      <c r="G130" s="51"/>
      <c r="H130" s="51"/>
      <c r="I130" s="51"/>
    </row>
    <row r="131" spans="1:9" ht="18.75" customHeight="1" x14ac:dyDescent="0.2">
      <c r="A131" s="4"/>
      <c r="B131" s="51"/>
      <c r="C131" s="51"/>
      <c r="D131" s="51"/>
      <c r="E131" s="51"/>
      <c r="F131" s="51"/>
      <c r="G131" s="51"/>
      <c r="H131" s="51"/>
      <c r="I131" s="51"/>
    </row>
    <row r="132" spans="1:9" ht="18.75" customHeight="1" x14ac:dyDescent="0.2">
      <c r="A132" s="4"/>
      <c r="B132" s="51"/>
      <c r="C132" s="51"/>
      <c r="D132" s="51"/>
      <c r="E132" s="51"/>
      <c r="F132" s="51"/>
      <c r="G132" s="51"/>
      <c r="H132" s="51"/>
      <c r="I132" s="51"/>
    </row>
    <row r="133" spans="1:9" ht="14" x14ac:dyDescent="0.2">
      <c r="A133" s="4"/>
      <c r="B133" s="51"/>
      <c r="C133" s="51"/>
      <c r="D133" s="51"/>
      <c r="E133" s="51"/>
      <c r="F133" s="51"/>
      <c r="G133" s="51"/>
      <c r="H133" s="51"/>
      <c r="I133" s="51"/>
    </row>
    <row r="134" spans="1:9" ht="7.5" customHeight="1" x14ac:dyDescent="0.2">
      <c r="A134" s="4"/>
      <c r="B134" s="51"/>
      <c r="C134" s="51"/>
      <c r="D134" s="51"/>
      <c r="E134" s="51"/>
      <c r="F134" s="51"/>
      <c r="G134" s="51"/>
      <c r="H134" s="51"/>
      <c r="I134" s="51"/>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22" zoomScale="90" zoomScaleNormal="100" zoomScaleSheetLayoutView="90" workbookViewId="0">
      <selection activeCell="E13" sqref="E13:I13"/>
    </sheetView>
  </sheetViews>
  <sheetFormatPr defaultColWidth="11.36328125" defaultRowHeight="22.5" customHeight="1" x14ac:dyDescent="0.2"/>
  <cols>
    <col min="1" max="3" width="2.81640625" style="1" customWidth="1"/>
    <col min="4" max="4" width="22.1796875" style="1" customWidth="1"/>
    <col min="5" max="5" width="30.81640625" style="1" customWidth="1"/>
    <col min="6" max="7" width="7.81640625" style="1" customWidth="1"/>
    <col min="8" max="9" width="30.81640625" style="1" customWidth="1"/>
    <col min="10" max="10" width="4.08984375" style="1" customWidth="1"/>
    <col min="11" max="16384" width="11.36328125" style="1"/>
  </cols>
  <sheetData>
    <row r="1" spans="1:9" ht="18.75" customHeight="1" x14ac:dyDescent="0.2">
      <c r="A1" s="1" t="s">
        <v>63</v>
      </c>
      <c r="I1" s="18" t="s">
        <v>90</v>
      </c>
    </row>
    <row r="2" spans="1:9" ht="18.75" customHeight="1" x14ac:dyDescent="0.2">
      <c r="H2" s="18" t="s">
        <v>93</v>
      </c>
      <c r="I2" s="17" t="str">
        <f>'様式１　プログラムを構成する授業科目'!C2</f>
        <v>敬和学園大学</v>
      </c>
    </row>
    <row r="3" spans="1:9" ht="18.75" customHeight="1" x14ac:dyDescent="0.2">
      <c r="A3" s="110" t="s">
        <v>28</v>
      </c>
      <c r="B3" s="110"/>
      <c r="C3" s="110"/>
      <c r="D3" s="110"/>
      <c r="E3" s="110"/>
      <c r="F3" s="110"/>
      <c r="G3" s="110"/>
      <c r="H3" s="110"/>
      <c r="I3" s="110"/>
    </row>
    <row r="4" spans="1:9" ht="18.75" customHeight="1" x14ac:dyDescent="0.2">
      <c r="A4" s="5"/>
      <c r="B4" s="5"/>
      <c r="C4" s="5"/>
      <c r="D4" s="5"/>
      <c r="E4" s="5"/>
      <c r="F4" s="5"/>
      <c r="G4" s="5"/>
      <c r="H4" s="5"/>
      <c r="I4" s="5"/>
    </row>
    <row r="5" spans="1:9" ht="18.75" customHeight="1" x14ac:dyDescent="0.2">
      <c r="A5" s="1" t="s">
        <v>0</v>
      </c>
      <c r="B5" s="10" t="s">
        <v>85</v>
      </c>
      <c r="C5" s="5"/>
      <c r="D5" s="5"/>
      <c r="E5" s="5"/>
      <c r="F5" s="5"/>
      <c r="G5" s="5"/>
      <c r="H5" s="5"/>
      <c r="I5" s="5"/>
    </row>
    <row r="6" spans="1:9" ht="26.25" customHeight="1" x14ac:dyDescent="0.2">
      <c r="A6" s="5"/>
      <c r="B6" s="185" t="s">
        <v>159</v>
      </c>
      <c r="C6" s="240"/>
      <c r="D6" s="240"/>
      <c r="E6" s="240"/>
      <c r="F6" s="240"/>
      <c r="G6" s="240"/>
      <c r="H6" s="241"/>
      <c r="I6" s="3"/>
    </row>
    <row r="7" spans="1:9" ht="9" customHeight="1" x14ac:dyDescent="0.2">
      <c r="A7" s="5"/>
      <c r="B7" s="10"/>
      <c r="C7" s="10"/>
      <c r="D7" s="10"/>
      <c r="E7" s="10"/>
      <c r="F7" s="10"/>
      <c r="G7" s="10"/>
      <c r="H7" s="10"/>
      <c r="I7" s="3"/>
    </row>
    <row r="8" spans="1:9" ht="18.75" customHeight="1" x14ac:dyDescent="0.2">
      <c r="A8" s="5"/>
      <c r="B8" s="3"/>
      <c r="C8" s="3"/>
      <c r="D8" s="18" t="s">
        <v>41</v>
      </c>
      <c r="E8" s="19" t="s">
        <v>160</v>
      </c>
      <c r="F8" s="3"/>
      <c r="G8" s="18" t="s">
        <v>10</v>
      </c>
      <c r="H8" s="19" t="s">
        <v>161</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6" t="s">
        <v>24</v>
      </c>
      <c r="C11" s="97"/>
      <c r="D11" s="98"/>
      <c r="E11" s="97" t="s">
        <v>26</v>
      </c>
      <c r="F11" s="97"/>
      <c r="G11" s="97"/>
      <c r="H11" s="97"/>
      <c r="I11" s="98"/>
    </row>
    <row r="12" spans="1:9" ht="26.25" customHeight="1" x14ac:dyDescent="0.2">
      <c r="B12" s="24" t="s">
        <v>14</v>
      </c>
      <c r="C12" s="31"/>
      <c r="D12" s="25"/>
      <c r="E12" s="32"/>
      <c r="F12" s="32"/>
      <c r="G12" s="32"/>
      <c r="H12" s="32"/>
      <c r="I12" s="25"/>
    </row>
    <row r="13" spans="1:9" ht="210.75" customHeight="1" x14ac:dyDescent="0.2">
      <c r="B13" s="26"/>
      <c r="C13" s="236" t="s">
        <v>15</v>
      </c>
      <c r="D13" s="237"/>
      <c r="E13" s="233" t="s">
        <v>187</v>
      </c>
      <c r="F13" s="238"/>
      <c r="G13" s="238"/>
      <c r="H13" s="238"/>
      <c r="I13" s="239"/>
    </row>
    <row r="14" spans="1:9" ht="210.75" customHeight="1" x14ac:dyDescent="0.2">
      <c r="B14" s="26"/>
      <c r="C14" s="231" t="s">
        <v>16</v>
      </c>
      <c r="D14" s="232"/>
      <c r="E14" s="233" t="s">
        <v>184</v>
      </c>
      <c r="F14" s="234"/>
      <c r="G14" s="234"/>
      <c r="H14" s="234"/>
      <c r="I14" s="235"/>
    </row>
    <row r="15" spans="1:9" ht="210.75" customHeight="1" x14ac:dyDescent="0.2">
      <c r="B15" s="26"/>
      <c r="C15" s="236" t="s">
        <v>17</v>
      </c>
      <c r="D15" s="237"/>
      <c r="E15" s="233" t="s">
        <v>162</v>
      </c>
      <c r="F15" s="234"/>
      <c r="G15" s="234"/>
      <c r="H15" s="234"/>
      <c r="I15" s="235"/>
    </row>
    <row r="16" spans="1:9" ht="210.75" customHeight="1" x14ac:dyDescent="0.2">
      <c r="B16" s="26"/>
      <c r="C16" s="236" t="s">
        <v>18</v>
      </c>
      <c r="D16" s="237"/>
      <c r="E16" s="233" t="s">
        <v>163</v>
      </c>
      <c r="F16" s="234"/>
      <c r="G16" s="234"/>
      <c r="H16" s="234"/>
      <c r="I16" s="235"/>
    </row>
    <row r="17" spans="2:9" ht="210.75" customHeight="1" x14ac:dyDescent="0.2">
      <c r="B17" s="27"/>
      <c r="C17" s="242" t="s">
        <v>19</v>
      </c>
      <c r="D17" s="243"/>
      <c r="E17" s="244" t="s">
        <v>164</v>
      </c>
      <c r="F17" s="245"/>
      <c r="G17" s="245"/>
      <c r="H17" s="245"/>
      <c r="I17" s="246"/>
    </row>
    <row r="18" spans="2:9" ht="24" customHeight="1" x14ac:dyDescent="0.2">
      <c r="B18" s="24" t="s">
        <v>20</v>
      </c>
      <c r="C18" s="28"/>
      <c r="D18" s="29"/>
      <c r="E18" s="30"/>
      <c r="F18" s="30"/>
      <c r="G18" s="30"/>
      <c r="H18" s="30"/>
      <c r="I18" s="33"/>
    </row>
    <row r="19" spans="2:9" ht="218.25" customHeight="1" x14ac:dyDescent="0.2">
      <c r="B19" s="26"/>
      <c r="C19" s="236" t="s">
        <v>21</v>
      </c>
      <c r="D19" s="237"/>
      <c r="E19" s="234" t="s">
        <v>165</v>
      </c>
      <c r="F19" s="234"/>
      <c r="G19" s="234"/>
      <c r="H19" s="234"/>
      <c r="I19" s="235"/>
    </row>
    <row r="20" spans="2:9" ht="218.25" customHeight="1" x14ac:dyDescent="0.2">
      <c r="B20" s="27"/>
      <c r="C20" s="242" t="s">
        <v>22</v>
      </c>
      <c r="D20" s="243"/>
      <c r="E20" s="245" t="s">
        <v>166</v>
      </c>
      <c r="F20" s="245"/>
      <c r="G20" s="245"/>
      <c r="H20" s="245"/>
      <c r="I20" s="246"/>
    </row>
    <row r="21" spans="2:9" ht="218.25" customHeight="1" x14ac:dyDescent="0.2">
      <c r="B21" s="252" t="s">
        <v>23</v>
      </c>
      <c r="C21" s="253"/>
      <c r="D21" s="254"/>
      <c r="E21" s="255" t="s">
        <v>186</v>
      </c>
      <c r="F21" s="255"/>
      <c r="G21" s="255"/>
      <c r="H21" s="255"/>
      <c r="I21" s="256"/>
    </row>
    <row r="22" spans="2:9" ht="218.25" customHeight="1" x14ac:dyDescent="0.2">
      <c r="B22" s="247" t="s">
        <v>121</v>
      </c>
      <c r="C22" s="248"/>
      <c r="D22" s="249"/>
      <c r="E22" s="250" t="s">
        <v>167</v>
      </c>
      <c r="F22" s="250"/>
      <c r="G22" s="250"/>
      <c r="H22" s="250"/>
      <c r="I22" s="251"/>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 ITO</dc:creator>
  <cp:lastModifiedBy>user</cp:lastModifiedBy>
  <cp:lastPrinted>2025-04-28T05:49:12Z</cp:lastPrinted>
  <dcterms:created xsi:type="dcterms:W3CDTF">2011-06-14T05:32:50Z</dcterms:created>
  <dcterms:modified xsi:type="dcterms:W3CDTF">2025-07-10T00:24:16Z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