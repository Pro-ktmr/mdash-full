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defaultThemeVersion="124226"/>
  <mc:AlternateContent xmlns:mc="http://schemas.openxmlformats.org/markup-compatibility/2006">
    <mc:Choice Requires="x15">
      <x15ac:absPath xmlns:x15ac="http://schemas.microsoft.com/office/spreadsheetml/2010/11/ac" url="https://nomata.sharepoint.com/sites/msteams_8291b4/Shared Documents/事務共通/数理・データサイエンス・AI教育プログラム運営務委員会/リテラシーレベル申請用書類/申請書類/函館大学/01_函館大学_リテラシー/"/>
    </mc:Choice>
  </mc:AlternateContent>
  <xr:revisionPtr revIDLastSave="14" documentId="13_ncr:1_{AA9AB27D-B5CC-45B6-84B6-CD20C3B8905D}" xr6:coauthVersionLast="47" xr6:coauthVersionMax="47" xr10:uidLastSave="{71C1854B-4E87-4DF2-90FD-68B74BFA123E}"/>
  <bookViews>
    <workbookView xWindow="-120" yWindow="-120" windowWidth="20730" windowHeight="1116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50" i="41" l="1"/>
  <c r="M7" i="40"/>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<sst xmlns="http://schemas.openxmlformats.org/spreadsheetml/2006/main" count="297" uniqueCount="191">
  <si>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</si>
  <si>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</si>
  <si>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</si>
  <si>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</si>
  <si>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</si>
  <si>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</si>
  <si>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</si>
  <si>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</si>
  <si>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</si>
  <si>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</si>
  <si>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</si>
  <si>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</si>
  <si>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</si>
  <si>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</si>
  <si>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</si>
  <si>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</si>
  <si>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</si>
  <si>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</si>
  <si>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</si>
  <si>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</si>
  <si>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</si>
  <si>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</si>
  <si>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</si>
  <si>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</si>
  <si>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</si>
  <si>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</si>
  <si>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</si>
  <si>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</si>
  <si>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</si>
  <si>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</si>
  <si>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</si>
  <si>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</si>
  <si>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</si>
  <si>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</si>
  <si>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</si>
  <si>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</si>
  <si>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</si>
  <si>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</si>
  <si>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</si>
  <si>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</si>
  <si>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</si>
  <si>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</si>
  <si>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</si>
  <si>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</si>
  <si>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</si>
  <si>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</si>
  <si>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</si>
  <si>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</si>
  <si>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</si>
  <si>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</si>
  <si>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</si>
  <si>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</si>
  <si>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</si>
  <si>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</si>
  <si>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</si>
  <si>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</si>
  <si>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</si>
  <si>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</si>
  <si>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</si>
  <si>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</si>
  <si>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</si>
  <si>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</si>
  <si>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</si>
  <si>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</si>
  <si>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</si>
  <si>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</si>
  <si>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</si>
  <si>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</si>
  <si>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</si>
  <si>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</si>
  <si>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</si>
  <si>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</si>
  <si>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</si>
  <si>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</si>
  <si>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</si>
  <si>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</si>
  <si>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</si>
  <si>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</si>
  <si>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</si>
  <si>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</si>
  <si>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</si>
  <si>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</si>
  <si>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</si>
  <si>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</si>
  <si>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</si>
  <si>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</si>
  <si>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</si>
  <si>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</si>
  <si>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</si>
  <si>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</si>
  <si>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</si>
  <si>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</si>
  <si>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</si>
  <si>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</si>
  <si>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</si>
  <si>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</si>
  <si>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</si>
  <si>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</si>
  <si>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</si>
  <si>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</si>
  <si>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</si>
  <si>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</si>
  <si>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</si>
  <si>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</si>
  <si>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</si>
  <si>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</si>
  <si>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</si>
  <si>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</si>
  <si>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</si>
  <si>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</si>
  <si>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</si>
  <si>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</si>
  <si>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</si>
  <si>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</si>
  <si>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</si>
  <si>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</si>
  <si>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</si>
  <si>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</si>
  <si>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</si>
  <si>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</si>
  <si>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</si>
  <si>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</si>
  <si>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</si>
  <si>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</si>
  <si>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</si>
  <si>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</si>
  <si>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</si>
  <si>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</si>
  <si>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</si>
  <si>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</si>
  <si>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</si>
  <si>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</si>
  <si>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</si>
  <si>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</si>
  <si>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</si>
  <si>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</si>
  <si>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</si>
  <si>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</si>
  <si>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</si>
  <si>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</si>
  <si>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</si>
  <si>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</si>
  <si>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</si>
  <si>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学部・学科によって、修了要件は相違しない</t>
  </si>
  <si>
    <t>函館大学</t>
    <rPh sb="0" eb="2">
      <t>ハコダテ</t>
    </rPh>
    <rPh sb="2" eb="4">
      <t>ダイガク</t>
    </rPh>
    <phoneticPr fontId="1"/>
  </si>
  <si>
    <t>函館大学数理・データサイエンス・AI教育プログラム</t>
    <rPh sb="0" eb="2">
      <t>ハコダテ</t>
    </rPh>
    <rPh sb="2" eb="4">
      <t>ダイガク</t>
    </rPh>
    <rPh sb="4" eb="6">
      <t>スウリ</t>
    </rPh>
    <rPh sb="18" eb="20">
      <t>キョウイク</t>
    </rPh>
    <phoneticPr fontId="1"/>
  </si>
  <si>
    <t>社会とデータサイエンス</t>
    <rPh sb="0" eb="2">
      <t>シャカイ</t>
    </rPh>
    <phoneticPr fontId="1"/>
  </si>
  <si>
    <t>○</t>
  </si>
  <si>
    <t>情報リテラシー</t>
    <rPh sb="0" eb="2">
      <t>ジョウホウ</t>
    </rPh>
    <phoneticPr fontId="1"/>
  </si>
  <si>
    <t>統計学</t>
    <phoneticPr fontId="1"/>
  </si>
  <si>
    <t>4-1統計および数理基礎</t>
  </si>
  <si>
    <t>微分積分</t>
    <phoneticPr fontId="1"/>
  </si>
  <si>
    <t>地域経済論Ⅰ</t>
    <rPh sb="0" eb="5">
      <t>チイキケイザイロン</t>
    </rPh>
    <phoneticPr fontId="1"/>
  </si>
  <si>
    <t>4‐8データ活用実践（教師あり学習）</t>
  </si>
  <si>
    <t>地域経済論Ⅱ</t>
    <rPh sb="0" eb="5">
      <t>チイキケイザイロン</t>
    </rPh>
    <phoneticPr fontId="1"/>
  </si>
  <si>
    <t>・社会で起きているデータ・AIの活用の最新動向を理解することができる。
・社会の実データ、実課題を適切に読み解き、判断する力を身に付けることができる。
・データ・AIを扱う上での注意点やデータを守る上での必要事項などを理解することができる。
・AIが社会でどのように活用され、新たな価値を生んでいるのかを理解することができる。
・AIの得意なところ、苦手なところを理解し、適切に判断する力を身に付けることができる。
・デジタル社会において、数理・データサイエンス・AIを日常の生活、仕事等の場で使いこなすことができる。</t>
    <rPh sb="91" eb="92">
      <t>テン</t>
    </rPh>
    <rPh sb="102" eb="104">
      <t>ヒツヨウ</t>
    </rPh>
    <phoneticPr fontId="1"/>
  </si>
  <si>
    <t>商学部・商学科</t>
    <rPh sb="0" eb="2">
      <t>ショウガク</t>
    </rPh>
    <rPh sb="2" eb="3">
      <t>ブ</t>
    </rPh>
    <rPh sb="4" eb="6">
      <t>ショウガク</t>
    </rPh>
    <rPh sb="6" eb="7">
      <t>カ</t>
    </rPh>
    <phoneticPr fontId="1"/>
  </si>
  <si>
    <t>田中　浩司</t>
    <rPh sb="0" eb="2">
      <t>タナカ</t>
    </rPh>
    <rPh sb="3" eb="4">
      <t>ヒロシ</t>
    </rPh>
    <rPh sb="4" eb="5">
      <t>ツカサ</t>
    </rPh>
    <phoneticPr fontId="1"/>
  </si>
  <si>
    <t>教授</t>
    <rPh sb="0" eb="2">
      <t>キョウジュ</t>
    </rPh>
    <phoneticPr fontId="1"/>
  </si>
  <si>
    <t>西村　淳</t>
    <rPh sb="0" eb="2">
      <t>ニシムラ</t>
    </rPh>
    <rPh sb="3" eb="4">
      <t>ジュン</t>
    </rPh>
    <phoneticPr fontId="1"/>
  </si>
  <si>
    <t>数理・データサイエンス・AI教育プログラム運営委員会規程</t>
    <phoneticPr fontId="1"/>
  </si>
  <si>
    <t>　本プログラムは令和6年度から運用を開始しており、プログラムを構成する必修2科目は令和6年度以降の入学生から全て全学必修としている。また、修了認定の要件とはしていない選択科目についても、学内ポータルサイト等さまざまな手段で積極的に履修するよう周知し、履修者増に努めている。
　また、授業評価アンケートをもとに、学生が本プログラム関連科目を履修しやすい時間割の検討に務める。最終的には令和10年度を目途に履修率100％を目標とし、卒業時に交付する「ディプロマサプリメント」への記載により、第三者に対して当該プログラム修了の事実を明示する予定である。
　2023年度以前の入学者については、カリキュラムが異なるため当該科目を履修できないが、過年度生向けに開講した別プログラム「函館大学数理データサイエンスプログラム」において、既存の数理・データサイエンス関連科目の履修を促している。</t>
    <rPh sb="8" eb="10">
      <t>レイワ</t>
    </rPh>
    <rPh sb="11" eb="13">
      <t>ネンド</t>
    </rPh>
    <rPh sb="35" eb="37">
      <t>ヒッシュウ</t>
    </rPh>
    <rPh sb="41" eb="43">
      <t>レイワ</t>
    </rPh>
    <rPh sb="125" eb="129">
      <t>リシュウシャゾウ</t>
    </rPh>
    <rPh sb="130" eb="131">
      <t>ツト</t>
    </rPh>
    <rPh sb="143" eb="145">
      <t>ヒョウカ</t>
    </rPh>
    <rPh sb="182" eb="183">
      <t>ツト</t>
    </rPh>
    <rPh sb="214" eb="216">
      <t>ソツギョウ</t>
    </rPh>
    <rPh sb="216" eb="217">
      <t>ジ</t>
    </rPh>
    <rPh sb="218" eb="220">
      <t>コウフ</t>
    </rPh>
    <phoneticPr fontId="1"/>
  </si>
  <si>
    <t>　2024年度以降入学者については、プログラムを構成する授業科目のうちの必修科目を全学における必修科目としている。また、プログラムを構成するその他選択科目である「統計学」、「微分・積分」、「地域経済論Ⅰ」、「地域経済論Ⅱ」についても、全学生が等しく受講できるよう時間割設計がなされている。ガイダンスやオリエンテーション、学内Webポータルサイトを通じて、学生に周知を行い、受講促進を図っている。</t>
    <rPh sb="36" eb="40">
      <t>ヒッシュウカモク</t>
    </rPh>
    <rPh sb="72" eb="73">
      <t>タ</t>
    </rPh>
    <rPh sb="81" eb="84">
      <t>トウケイガク</t>
    </rPh>
    <rPh sb="87" eb="89">
      <t>ビブン</t>
    </rPh>
    <rPh sb="90" eb="92">
      <t>セキブン</t>
    </rPh>
    <rPh sb="95" eb="100">
      <t>チイキケイザイロン</t>
    </rPh>
    <rPh sb="104" eb="109">
      <t>チイキケイザイロン</t>
    </rPh>
    <rPh sb="131" eb="134">
      <t>ジカンワリ</t>
    </rPh>
    <phoneticPr fontId="1"/>
  </si>
  <si>
    <t>　学務課においていつでも履修相談に応じられる体制を整備している。その他、数学が苦手な学生に対して正課外のリメディアル教育を実施し、サポートする体制を整えている。</t>
    <phoneticPr fontId="1"/>
  </si>
  <si>
    <t>　事務局窓口において学務課員へ直接相談できるようにしている他、メールやMicrosoft Teams等を活用し、授業担当教員や学務課へ常時質問できる体制を整えている。また、担当教員と対面でのコンタクトを取るための各種情報（オフィスアワー、研究室情報等）を学生に周知し、随時質問を受けられる体制を整備している。</t>
    <rPh sb="1" eb="6">
      <t>ジムキョクマドグチ</t>
    </rPh>
    <rPh sb="15" eb="17">
      <t>チョクセツ</t>
    </rPh>
    <rPh sb="17" eb="19">
      <t>ソウダン</t>
    </rPh>
    <rPh sb="29" eb="30">
      <t>ホカ</t>
    </rPh>
    <rPh sb="50" eb="51">
      <t>トウ</t>
    </rPh>
    <rPh sb="52" eb="54">
      <t>カツヨウ</t>
    </rPh>
    <rPh sb="63" eb="66">
      <t>ガクムカ</t>
    </rPh>
    <rPh sb="67" eb="69">
      <t>ジョウジ</t>
    </rPh>
    <rPh sb="122" eb="124">
      <t>ジョウホウ</t>
    </rPh>
    <rPh sb="124" eb="125">
      <t>トウ</t>
    </rPh>
    <phoneticPr fontId="1"/>
  </si>
  <si>
    <t>　本学では令和6年度に数理・データサイエンス・AI教育の全学的な普及と、データ等を活用して社会の諸問題を解決できる人材を育成することを目的に「数理・データサイエンス・AI教育プログラム運営委員会を設置した。本委員会は、プログラムの企画・運営に関する事項 、及び自己点検・評価に関する事項について所管し、商学を構成する５分野である経済、経営、会計、法律、マーケティングの科目担当教員及び教学担当の職員で構成され、教職協働で数理・データサイエンス・AI教育の推進及び向上に取り組んでいる。またプログラムを円滑に運営するため定期的に会議を行い、課題の共有化と解決、学生の能力向上などプログラムのブラッシュアップに取り組んでいる。</t>
    <rPh sb="1" eb="3">
      <t>ホンガク</t>
    </rPh>
    <rPh sb="5" eb="7">
      <t>レイワ</t>
    </rPh>
    <rPh sb="8" eb="10">
      <t>ネンド</t>
    </rPh>
    <rPh sb="39" eb="40">
      <t>トウ</t>
    </rPh>
    <rPh sb="48" eb="51">
      <t>ショモンダイ</t>
    </rPh>
    <rPh sb="71" eb="73">
      <t>スウリ</t>
    </rPh>
    <rPh sb="85" eb="87">
      <t>キョウイク</t>
    </rPh>
    <rPh sb="92" eb="97">
      <t>ウンエイイインカイ</t>
    </rPh>
    <rPh sb="128" eb="129">
      <t>オヨ</t>
    </rPh>
    <rPh sb="147" eb="149">
      <t>ショカン</t>
    </rPh>
    <rPh sb="151" eb="153">
      <t>ショウガク</t>
    </rPh>
    <rPh sb="154" eb="156">
      <t>コウセイ</t>
    </rPh>
    <rPh sb="159" eb="161">
      <t>ブンヤ</t>
    </rPh>
    <rPh sb="164" eb="166">
      <t>ケイザイ</t>
    </rPh>
    <rPh sb="167" eb="169">
      <t>ケイエイ</t>
    </rPh>
    <rPh sb="170" eb="172">
      <t>カイケイ</t>
    </rPh>
    <rPh sb="173" eb="175">
      <t>ホウリツ</t>
    </rPh>
    <phoneticPr fontId="1"/>
  </si>
  <si>
    <t>プログラムを構成する科目のうち、下記の必修2科目4単位を取得すること。
【必修科目】
・情報リテラシー(2単位）
・社会とデータサイエンス（2単位）
また、修了要件に含めないが、 選択「４．オプション」の内容を含む下記選択科目の履修を推奨する。
【選択科目】
・統計学（2単位）、微分・積分（2単位）、地域経済論Ⅰ（2単位）、地域経済論Ⅱ（2単位）</t>
    <rPh sb="10" eb="12">
      <t>カモク</t>
    </rPh>
    <rPh sb="16" eb="18">
      <t>カキ</t>
    </rPh>
    <rPh sb="37" eb="41">
      <t>ヒッシュウカモク</t>
    </rPh>
    <rPh sb="44" eb="46">
      <t>ジョウホウ</t>
    </rPh>
    <rPh sb="58" eb="60">
      <t>シャカイ</t>
    </rPh>
    <rPh sb="107" eb="109">
      <t>カキ</t>
    </rPh>
    <rPh sb="109" eb="113">
      <t>センタクカモク</t>
    </rPh>
    <rPh sb="124" eb="128">
      <t>センタクカモク</t>
    </rPh>
    <rPh sb="131" eb="134">
      <t>トウケイガク</t>
    </rPh>
    <rPh sb="136" eb="138">
      <t>タンイ</t>
    </rPh>
    <rPh sb="140" eb="142">
      <t>ビブン</t>
    </rPh>
    <rPh sb="143" eb="145">
      <t>セキブン</t>
    </rPh>
    <rPh sb="147" eb="149">
      <t>タンイ</t>
    </rPh>
    <rPh sb="151" eb="156">
      <t>チイキケイザイロン</t>
    </rPh>
    <rPh sb="159" eb="161">
      <t>タンイ</t>
    </rPh>
    <phoneticPr fontId="1"/>
  </si>
  <si>
    <t>　本プログラムの修了認定要件としている2科目「情報リテラシー」と「社会とデータサイエンス」は両科目とも必修科目のため、履修に関して特に周知は要しないが、プログラムを構成するその他選択科目については、説明資料を掲示するとともに、入学後のガイダンス、ポータルサイトでの周知に努め、学生が情報を受け取りやすい環境を整備している。学生の履修登録時には、学務課から補足説明などを実施し、できる限り多くの学生が関連科目を履修できるようサポート体制を敷いている他、後期の履修変更期間においても再度本プログラムについて周知し、学期途中からの選択科目の追加履修登録を促している。</t>
    <rPh sb="1" eb="2">
      <t>ホン</t>
    </rPh>
    <rPh sb="8" eb="14">
      <t>シュウリョウニンテイヨウケン</t>
    </rPh>
    <rPh sb="20" eb="22">
      <t>カモク</t>
    </rPh>
    <rPh sb="23" eb="25">
      <t>ジョウホウ</t>
    </rPh>
    <rPh sb="33" eb="35">
      <t>シャカイ</t>
    </rPh>
    <rPh sb="46" eb="49">
      <t>リョウカモク</t>
    </rPh>
    <rPh sb="51" eb="53">
      <t>ヒッシュウ</t>
    </rPh>
    <rPh sb="53" eb="55">
      <t>カモク</t>
    </rPh>
    <rPh sb="59" eb="61">
      <t>リシュウ</t>
    </rPh>
    <rPh sb="62" eb="63">
      <t>カン</t>
    </rPh>
    <rPh sb="65" eb="66">
      <t>トク</t>
    </rPh>
    <rPh sb="67" eb="69">
      <t>シュウチ</t>
    </rPh>
    <rPh sb="70" eb="71">
      <t>ヨウ</t>
    </rPh>
    <rPh sb="82" eb="84">
      <t>コウセイ</t>
    </rPh>
    <rPh sb="88" eb="89">
      <t>タ</t>
    </rPh>
    <rPh sb="89" eb="93">
      <t>センタクカモク</t>
    </rPh>
    <rPh sb="99" eb="103">
      <t>セツメイシリョウ</t>
    </rPh>
    <rPh sb="104" eb="106">
      <t>ケイジ</t>
    </rPh>
    <rPh sb="135" eb="136">
      <t>ツト</t>
    </rPh>
    <rPh sb="168" eb="169">
      <t>トキ</t>
    </rPh>
    <rPh sb="172" eb="175">
      <t>ガクムカ</t>
    </rPh>
    <rPh sb="199" eb="203">
      <t>カンレンカモク</t>
    </rPh>
    <rPh sb="204" eb="206">
      <t>リシュウ</t>
    </rPh>
    <rPh sb="223" eb="224">
      <t>ホカ</t>
    </rPh>
    <rPh sb="228" eb="234">
      <t>リシュウヘンコウキカン</t>
    </rPh>
    <rPh sb="251" eb="253">
      <t>シュウチ</t>
    </rPh>
    <rPh sb="262" eb="266">
      <t>センタクカモク</t>
    </rPh>
    <rPh sb="271" eb="273">
      <t>トウロク</t>
    </rPh>
    <phoneticPr fontId="1"/>
  </si>
  <si>
    <t>「情報リテラシー」においては、本学の学生WebシステムやＭＳ－Ｔｅａｍｓ等複数のアプリ等を活用し、事前・事後課題を課す反転学習を義務付け、知識の定着を図っている。「社会とデータサイエンス」においては、商学5分野の主要科目を担当する専任教員がオムニバスで対応し、各授業回で事前、事後テストを課すことにより、どの程度理解が深まったか確認することで学修成果の把握を行っている。事前、事後テストを実施した結果、令和6年度においては、平均50.92％の点数の増加がみられたことから、ある程度の学修成果が得られたと考えている。また、授業評価アンケートにおける「この授業を受けて良かったか」、「この科目の分野に興味を持ったか」等の質問項目や自由意見記載欄のコメントをFD委員会が分析することで、評点には表れてこない学生の学修成果度を把握している。</t>
    <rPh sb="1" eb="3">
      <t>ジョウホウ</t>
    </rPh>
    <rPh sb="15" eb="17">
      <t>ホンガク</t>
    </rPh>
    <rPh sb="18" eb="20">
      <t>ガクセイ</t>
    </rPh>
    <rPh sb="36" eb="37">
      <t>トウ</t>
    </rPh>
    <rPh sb="37" eb="39">
      <t>フクスウ</t>
    </rPh>
    <rPh sb="43" eb="44">
      <t>トウ</t>
    </rPh>
    <rPh sb="45" eb="47">
      <t>カツヨウ</t>
    </rPh>
    <rPh sb="49" eb="51">
      <t>ジゼン</t>
    </rPh>
    <rPh sb="52" eb="56">
      <t>ジゴカダイ</t>
    </rPh>
    <rPh sb="57" eb="58">
      <t>カ</t>
    </rPh>
    <rPh sb="59" eb="63">
      <t>ハンテンガクシュウ</t>
    </rPh>
    <rPh sb="64" eb="67">
      <t>ギムヅ</t>
    </rPh>
    <rPh sb="69" eb="71">
      <t>チシキ</t>
    </rPh>
    <rPh sb="72" eb="74">
      <t>テイチャク</t>
    </rPh>
    <rPh sb="75" eb="76">
      <t>ハカ</t>
    </rPh>
    <rPh sb="82" eb="84">
      <t>シャカイ</t>
    </rPh>
    <rPh sb="103" eb="105">
      <t>ブンヤ</t>
    </rPh>
    <rPh sb="106" eb="110">
      <t>シュヨウカモク</t>
    </rPh>
    <rPh sb="111" eb="113">
      <t>タントウ</t>
    </rPh>
    <rPh sb="115" eb="119">
      <t>センニンキョウイン</t>
    </rPh>
    <rPh sb="126" eb="128">
      <t>タイオウ</t>
    </rPh>
    <rPh sb="130" eb="134">
      <t>カクジュギョウカイ</t>
    </rPh>
    <rPh sb="135" eb="137">
      <t>ジゼン</t>
    </rPh>
    <rPh sb="138" eb="140">
      <t>ジゴ</t>
    </rPh>
    <rPh sb="144" eb="145">
      <t>カ</t>
    </rPh>
    <rPh sb="154" eb="156">
      <t>テイド</t>
    </rPh>
    <rPh sb="156" eb="158">
      <t>リカイ</t>
    </rPh>
    <rPh sb="159" eb="160">
      <t>フカ</t>
    </rPh>
    <rPh sb="164" eb="166">
      <t>カクニン</t>
    </rPh>
    <rPh sb="262" eb="264">
      <t>ヒョウカ</t>
    </rPh>
    <rPh sb="306" eb="307">
      <t>ナド</t>
    </rPh>
    <rPh sb="308" eb="310">
      <t>シツモン</t>
    </rPh>
    <phoneticPr fontId="1"/>
  </si>
  <si>
    <t>授業評価アンケートにおいて「身近な例をあげるなどして、わかりやすく説明していた」や「発表などによって、理解したことを学生が自らの言葉で説明する機会が設けられていた」、「問いかけや小テストなどによって、学生の理解度を確認しながら授業が進められていた」等の追加設問や、自由意見記載欄を設けることで学生の学修理解度を把握している。また、上記の通り「社会とデータサイエンス」においては、各授業回で事前、事後テストを課すことにより、学生の理解度がどの程度深まったかを確認している。</t>
    <rPh sb="126" eb="128">
      <t>ツイカ</t>
    </rPh>
    <rPh sb="128" eb="130">
      <t>セツモン</t>
    </rPh>
    <rPh sb="140" eb="141">
      <t>モウ</t>
    </rPh>
    <rPh sb="151" eb="153">
      <t>リカイ</t>
    </rPh>
    <rPh sb="211" eb="213">
      <t>ガクセイ</t>
    </rPh>
    <rPh sb="214" eb="217">
      <t>リカイド</t>
    </rPh>
    <phoneticPr fontId="1"/>
  </si>
  <si>
    <t>選択科目の履修者増を目指した時間割、周知方法の改善を実施している。また、プログラム面での改善として、次年度以降、データサイエンスに関する学修成果をより詳細に可視化するため、選択科目の履修単位数に応しレベル別に分けて修了認定するなどの制度改正を計画している。
また、令和3年度より、数学を苦手とする学生に対して教職協働でリメディアル教育を正課外で実施しているが、対象学生以外であっても、学生の求めに応じて数学を得意とする教職員が正課外で指導を行っている。</t>
    <rPh sb="0" eb="2">
      <t>センタク</t>
    </rPh>
    <rPh sb="2" eb="4">
      <t>カモク</t>
    </rPh>
    <rPh sb="50" eb="55">
      <t>ジネンドイコウ</t>
    </rPh>
    <rPh sb="75" eb="77">
      <t>ショウサイ</t>
    </rPh>
    <rPh sb="78" eb="81">
      <t>カシカ</t>
    </rPh>
    <rPh sb="86" eb="90">
      <t>センタクカモク</t>
    </rPh>
    <rPh sb="91" eb="96">
      <t>リシュウタンイスウ</t>
    </rPh>
    <rPh sb="97" eb="98">
      <t>オウ</t>
    </rPh>
    <rPh sb="102" eb="103">
      <t>ベツ</t>
    </rPh>
    <rPh sb="104" eb="105">
      <t>ワ</t>
    </rPh>
    <rPh sb="107" eb="109">
      <t>シュウリョウ</t>
    </rPh>
    <rPh sb="109" eb="111">
      <t>ニンテイ</t>
    </rPh>
    <rPh sb="116" eb="118">
      <t>セイド</t>
    </rPh>
    <rPh sb="118" eb="120">
      <t>カイセイ</t>
    </rPh>
    <rPh sb="121" eb="123">
      <t>ケイカク</t>
    </rPh>
    <rPh sb="132" eb="134">
      <t>レイワ</t>
    </rPh>
    <rPh sb="135" eb="137">
      <t>ネンド</t>
    </rPh>
    <rPh sb="140" eb="142">
      <t>スウガク</t>
    </rPh>
    <rPh sb="143" eb="145">
      <t>ニガテ</t>
    </rPh>
    <rPh sb="148" eb="150">
      <t>ガクセイ</t>
    </rPh>
    <rPh sb="151" eb="152">
      <t>タイ</t>
    </rPh>
    <rPh sb="154" eb="156">
      <t>キョウショク</t>
    </rPh>
    <rPh sb="156" eb="158">
      <t>キョウドウ</t>
    </rPh>
    <rPh sb="165" eb="167">
      <t>キョウイク</t>
    </rPh>
    <rPh sb="168" eb="171">
      <t>セイカガイ</t>
    </rPh>
    <rPh sb="172" eb="174">
      <t>ジッシ</t>
    </rPh>
    <rPh sb="180" eb="186">
      <t>タイショウガクセイイガイ</t>
    </rPh>
    <rPh sb="192" eb="194">
      <t>ガクセイ</t>
    </rPh>
    <rPh sb="195" eb="196">
      <t>モト</t>
    </rPh>
    <rPh sb="198" eb="199">
      <t>オウ</t>
    </rPh>
    <rPh sb="201" eb="203">
      <t>スウガク</t>
    </rPh>
    <rPh sb="204" eb="206">
      <t>トクイ</t>
    </rPh>
    <rPh sb="209" eb="212">
      <t>キョウショクイン</t>
    </rPh>
    <rPh sb="213" eb="216">
      <t>セイカガイ</t>
    </rPh>
    <rPh sb="217" eb="219">
      <t>シドウ</t>
    </rPh>
    <rPh sb="220" eb="221">
      <t>オコナ</t>
    </rPh>
    <phoneticPr fontId="1"/>
  </si>
  <si>
    <t>修了者（卒業者）が現場に即応できるようなプログラム内容となるよう、本プログラム修了生の就職先を筆頭とした関係各所から本プログラムに対する要望等を把握する体制構築の準備を進めている。また、本学が所属する高等教育プラットフォームに参画している産業界（市役所、商工会議所等）と意見交換の場を設け、いただいた意見を授業内容に反映させていく予定である。</t>
    <rPh sb="0" eb="3">
      <t>シュウリョウシャ</t>
    </rPh>
    <rPh sb="4" eb="7">
      <t>ソツギョウシャ</t>
    </rPh>
    <rPh sb="76" eb="80">
      <t>タイセイコウチク</t>
    </rPh>
    <rPh sb="93" eb="95">
      <t>ホンガク</t>
    </rPh>
    <rPh sb="96" eb="98">
      <t>ショゾク</t>
    </rPh>
    <rPh sb="100" eb="104">
      <t>コウトウキョウイク</t>
    </rPh>
    <rPh sb="113" eb="115">
      <t>サンカク</t>
    </rPh>
    <rPh sb="119" eb="122">
      <t>サンギョウカイ</t>
    </rPh>
    <rPh sb="123" eb="126">
      <t>シヤクショ</t>
    </rPh>
    <rPh sb="127" eb="132">
      <t>ショウコウカイギショ</t>
    </rPh>
    <rPh sb="132" eb="133">
      <t>トウ</t>
    </rPh>
    <rPh sb="135" eb="142">
      <t>イケンコウカン</t>
    </rPh>
    <rPh sb="142" eb="143">
      <t>モウ</t>
    </rPh>
    <rPh sb="150" eb="152">
      <t>イケン</t>
    </rPh>
    <rPh sb="153" eb="157">
      <t>ジュギョウナイヨウ</t>
    </rPh>
    <rPh sb="158" eb="160">
      <t>ハンエイ</t>
    </rPh>
    <rPh sb="165" eb="167">
      <t>ヨテイ</t>
    </rPh>
    <phoneticPr fontId="1"/>
  </si>
  <si>
    <t>　本プログラムはまだ開始されたばかりであり、内容・水準の維持・向上に関する改善等は数理・データサイエンス・AI教育プログラム運営委員会にて検討を予定している。具体的には、プログラムを進行していく中で問題となる点を当該委員会が中心となって収集しながら、科目内容や教育手法の検討・改善につなげていく仕組みを構築している他、分野の流行りすたりを考慮し、年度毎に講義内容の見直しを行い、講義内容の陳腐化を防ぐよう努めている。また、本プログラムに対する期待や要望については、産業界からヒアリング調査を実施するための仕組みづくりについても検討している。</t>
    <rPh sb="62" eb="67">
      <t>ウンエイイインカイ</t>
    </rPh>
    <rPh sb="106" eb="108">
      <t>トウガイ</t>
    </rPh>
    <rPh sb="108" eb="111">
      <t>イインカイ</t>
    </rPh>
    <rPh sb="112" eb="114">
      <t>チュウシン</t>
    </rPh>
    <rPh sb="157" eb="158">
      <t>ホカ</t>
    </rPh>
    <rPh sb="232" eb="235">
      <t>サンギョウカイ</t>
    </rPh>
    <rPh sb="242" eb="244">
      <t>チョウサ</t>
    </rPh>
    <rPh sb="245" eb="247">
      <t>ジッシ</t>
    </rPh>
    <rPh sb="252" eb="254">
      <t>シク</t>
    </rPh>
    <rPh sb="263" eb="265">
      <t>ケントウ</t>
    </rPh>
    <phoneticPr fontId="1"/>
  </si>
  <si>
    <t>　本プログラムは令和6年度より開始されたものであり、開始年度のプログラム修了者は1年次生48名である。修了者の全員が就業開始年度に達していないため、活躍状況や企業等の評価は得られていない。修了者の進路や活躍状況の把握・活用については、今後の課題となっている。本学は卒業生対象調査を卒業3年後に実施しているため、将来的に本教育プログラムを修了した卒業生の進路先や活躍状況の把握をすることを想定している。</t>
    <rPh sb="41" eb="43">
      <t>ネンジ</t>
    </rPh>
    <rPh sb="43" eb="44">
      <t>ナマ</t>
    </rPh>
    <rPh sb="55" eb="57">
      <t>ゼンイン</t>
    </rPh>
    <rPh sb="65" eb="66">
      <t>タッ</t>
    </rPh>
    <rPh sb="155" eb="158">
      <t>ショウライテキ</t>
    </rPh>
    <phoneticPr fontId="1"/>
  </si>
  <si>
    <t xml:space="preserve">本プログラムを構成する必修科目である「社会とデータサイエンス」について、事前事後アンケート（5段階評価）を実施し、その教育効果について検証を行ったところ、全ての質問に関して、レベル3以上の回答が87.62％を占めた。また、講義ごとに学習内容について事前と事後に10点満点の小テストを実施した結果、平均50.92％の点数の増加がみられたことから、ある程度の学修成果が得られたと考えている。なお、アンケート質問項目の一つ「実際にデータ分析を行い、課題解決に役立ててみたいと思ったか」という質問に対しては、およそ9割の学生から前向きな回答が得られており、後輩への推奨度は高いことが推察される。
</t>
    <phoneticPr fontId="1"/>
  </si>
  <si>
    <r>
      <t>プログラムの必須科目である「情報リテラシー」では、アカデミックスキルの修得に重きを置いた内容ではあるが、情報倫理やデータ分析手法の教授において身近な例を題材に取り上げ、抵抗感なく学べるよう授業展開を工夫している。また、教職員の他、専門知識を有する外部講師も授業を担当するオムニバス授業で開講しており、様々な分野に興味関心を持てるように工夫している。
「社会とデータサイエンス」では、商学5分野（経済、経営、会計、法律、マーケティング）及び語学国際分野を担当する専任教員がそれぞれの専門分野における活用事例や最新情報についてオムニバスで講義を実施し、文系学生の理数系科目に対する苦手</t>
    </r>
    <r>
      <rPr>
        <sz val="12"/>
        <rFont val="ＭＳ Ｐゴシック"/>
        <family val="3"/>
        <charset val="128"/>
        <scheme val="minor"/>
      </rPr>
      <t>意識を考慮した授業展開を実施している。
「学ぶことの楽しさ」については、前述の「学生アンケート等を通じた後輩等他の学生への推奨度」に記載した事前事後アンケートにおいて、アンケート質問項目の一つ「実際にデータ分析を行い、課題解決に役立ててみたいと思ったか」という質問に対して、およそ9割の学生から前向きな回答が得られていることから、「数理・データサイエンス・AIを『学ぶ楽しさ』『学ぶことの意義』の理解」は十分に得られていると判断できる。</t>
    </r>
    <rPh sb="6" eb="8">
      <t>ヒッシュ</t>
    </rPh>
    <rPh sb="35" eb="37">
      <t>シュウトク</t>
    </rPh>
    <rPh sb="38" eb="39">
      <t>オモ</t>
    </rPh>
    <rPh sb="41" eb="42">
      <t>オ</t>
    </rPh>
    <rPh sb="44" eb="46">
      <t>ナイヨウ</t>
    </rPh>
    <rPh sb="52" eb="54">
      <t>ジョウホウ</t>
    </rPh>
    <rPh sb="54" eb="56">
      <t>リンリ</t>
    </rPh>
    <rPh sb="60" eb="64">
      <t>ブンセキシュホウ</t>
    </rPh>
    <rPh sb="65" eb="67">
      <t>キョウジュ</t>
    </rPh>
    <rPh sb="71" eb="73">
      <t>ミヂカ</t>
    </rPh>
    <rPh sb="74" eb="75">
      <t>レイ</t>
    </rPh>
    <rPh sb="76" eb="78">
      <t>ダイザイ</t>
    </rPh>
    <rPh sb="79" eb="80">
      <t>ト</t>
    </rPh>
    <rPh sb="81" eb="82">
      <t>ア</t>
    </rPh>
    <rPh sb="84" eb="87">
      <t>テイコウカン</t>
    </rPh>
    <rPh sb="89" eb="90">
      <t>マナ</t>
    </rPh>
    <rPh sb="128" eb="130">
      <t>ジュギョウ</t>
    </rPh>
    <rPh sb="131" eb="133">
      <t>タントウ</t>
    </rPh>
    <rPh sb="140" eb="142">
      <t>ジュギョウ</t>
    </rPh>
    <rPh sb="143" eb="145">
      <t>カイコウ</t>
    </rPh>
    <rPh sb="150" eb="155">
      <t>サマザマナブンヤ</t>
    </rPh>
    <rPh sb="156" eb="160">
      <t>キョウミカンシン</t>
    </rPh>
    <rPh sb="161" eb="162">
      <t>モ</t>
    </rPh>
    <rPh sb="167" eb="169">
      <t>クフウ</t>
    </rPh>
    <rPh sb="191" eb="193">
      <t>ショウガク</t>
    </rPh>
    <rPh sb="194" eb="196">
      <t>ブンヤ</t>
    </rPh>
    <rPh sb="197" eb="199">
      <t>ケイザイ</t>
    </rPh>
    <rPh sb="200" eb="202">
      <t>ケイエイ</t>
    </rPh>
    <rPh sb="203" eb="205">
      <t>カイケイ</t>
    </rPh>
    <rPh sb="206" eb="208">
      <t>ホウリツ</t>
    </rPh>
    <rPh sb="217" eb="218">
      <t>オヨ</t>
    </rPh>
    <rPh sb="219" eb="223">
      <t>ゴガクコクサイ</t>
    </rPh>
    <rPh sb="223" eb="225">
      <t>ブンヤ</t>
    </rPh>
    <rPh sb="226" eb="228">
      <t>タントウ</t>
    </rPh>
    <rPh sb="230" eb="234">
      <t>センニンキョウイン</t>
    </rPh>
    <rPh sb="240" eb="244">
      <t>センモンブンヤ</t>
    </rPh>
    <rPh sb="248" eb="252">
      <t>カツヨウジレイ</t>
    </rPh>
    <rPh sb="253" eb="257">
      <t>サイシンジョウホウ</t>
    </rPh>
    <rPh sb="297" eb="299">
      <t>ジュギョウ</t>
    </rPh>
    <rPh sb="299" eb="301">
      <t>テンカイ</t>
    </rPh>
    <rPh sb="302" eb="304">
      <t>ジッシ</t>
    </rPh>
    <rPh sb="326" eb="328">
      <t>ゼンジュツ</t>
    </rPh>
    <rPh sb="356" eb="358">
      <t>キサイ</t>
    </rPh>
    <rPh sb="360" eb="364">
      <t>ジゼンジゴ</t>
    </rPh>
    <phoneticPr fontId="1"/>
  </si>
  <si>
    <t>・データ・AI活用領域の広がり（生産、消費、文化活動など）　：「社会とデータサイエンス」（第3回目）、（第9回目）
・研究開発、調達、製造、物流、販売、マーケティング、サービスなど　：「社会とデータサイエンス」（第3回目～5回目）</t>
    <rPh sb="7" eb="11">
      <t>カツヨウリョウイキ</t>
    </rPh>
    <rPh sb="12" eb="13">
      <t>ヒロ</t>
    </rPh>
    <rPh sb="16" eb="18">
      <t>セイサン</t>
    </rPh>
    <rPh sb="19" eb="21">
      <t>ショウヒ</t>
    </rPh>
    <rPh sb="22" eb="26">
      <t>ブンカカツドウ</t>
    </rPh>
    <rPh sb="52" eb="53">
      <t>ダイ</t>
    </rPh>
    <rPh sb="54" eb="56">
      <t>カイメ</t>
    </rPh>
    <rPh sb="59" eb="63">
      <t>ケンキュウカイハツ</t>
    </rPh>
    <rPh sb="64" eb="66">
      <t>チョウタツ</t>
    </rPh>
    <rPh sb="67" eb="69">
      <t>セイゾウ</t>
    </rPh>
    <rPh sb="70" eb="72">
      <t>ブツリュウ</t>
    </rPh>
    <rPh sb="73" eb="75">
      <t>ハンバイ</t>
    </rPh>
    <rPh sb="109" eb="110">
      <t>メ</t>
    </rPh>
    <rPh sb="112" eb="114">
      <t>カイメ</t>
    </rPh>
    <phoneticPr fontId="1"/>
  </si>
  <si>
    <t>・個人情報保護、EU一般データ保護規則(GDPR)、忘れられる権利、オプトアウト：「社会とデータサイエンス」（第1回目）、（第10回目）
・データバイアス、アルゴリズムバイアス：「情報リテラシー」（第7回目）、「社会とデータサイエンス」（第６回目)、（第８回目）
・データ倫理：データのねつ造、改ざん、盗用、プライバシー保護：「社会とデータサイエンス」（第1回目）（第6回目）（第9回目）（第１０回目）
・AI社会原則（公平性、説明責任、透明性、人間中心の判断）：「社会とデータサイエンス」（第6回目）（第8回目）
・AIサービスの責任論：「社会とデータサイエンス」（第6回目）</t>
    <rPh sb="42" eb="44">
      <t>シャカイ</t>
    </rPh>
    <rPh sb="55" eb="56">
      <t>ダイ</t>
    </rPh>
    <rPh sb="57" eb="59">
      <t>カイメ</t>
    </rPh>
    <rPh sb="62" eb="63">
      <t>ダイ</t>
    </rPh>
    <rPh sb="65" eb="67">
      <t>カイメ</t>
    </rPh>
    <rPh sb="90" eb="92">
      <t>ジョウホウ</t>
    </rPh>
    <rPh sb="99" eb="100">
      <t>ダイ</t>
    </rPh>
    <rPh sb="101" eb="102">
      <t>カイ</t>
    </rPh>
    <rPh sb="102" eb="103">
      <t>メ</t>
    </rPh>
    <rPh sb="183" eb="184">
      <t>ダイ</t>
    </rPh>
    <rPh sb="185" eb="187">
      <t>カイメ</t>
    </rPh>
    <rPh sb="205" eb="209">
      <t>シャカイゲンソク</t>
    </rPh>
    <rPh sb="210" eb="213">
      <t>コウヘイセイ</t>
    </rPh>
    <rPh sb="214" eb="218">
      <t>セツメイセキニン</t>
    </rPh>
    <rPh sb="219" eb="222">
      <t>トウメイセイ</t>
    </rPh>
    <rPh sb="223" eb="227">
      <t>ニンゲンチュウシン</t>
    </rPh>
    <rPh sb="228" eb="230">
      <t>ハンダン</t>
    </rPh>
    <rPh sb="233" eb="235">
      <t>シャカイ</t>
    </rPh>
    <rPh sb="246" eb="247">
      <t>ダイ</t>
    </rPh>
    <rPh sb="248" eb="250">
      <t>カイメ</t>
    </rPh>
    <rPh sb="252" eb="253">
      <t>ダイ</t>
    </rPh>
    <rPh sb="254" eb="256">
      <t>カイメ</t>
    </rPh>
    <rPh sb="266" eb="269">
      <t>セキニンロン</t>
    </rPh>
    <rPh sb="271" eb="273">
      <t>シャカイ</t>
    </rPh>
    <rPh sb="284" eb="285">
      <t>ダイ</t>
    </rPh>
    <rPh sb="286" eb="288">
      <t>カイメ</t>
    </rPh>
    <phoneticPr fontId="1"/>
  </si>
  <si>
    <t>・情報セキュリティの3要素（機密性、完全性、可用性）：「情報リテラシー」（第7回目）、「社会とデータサイエンス」（第1回目）
・サイバーセキュリティ：「社会とデータサイエンス」（第1回目）</t>
    <rPh sb="11" eb="13">
      <t>ヨウソ</t>
    </rPh>
    <rPh sb="76" eb="78">
      <t>シャカイ</t>
    </rPh>
    <rPh sb="89" eb="90">
      <t>ダイ</t>
    </rPh>
    <rPh sb="91" eb="93">
      <t>カイメ</t>
    </rPh>
    <phoneticPr fontId="1"/>
  </si>
  <si>
    <t>令和6</t>
    <rPh sb="0" eb="2">
      <t>レイワ</t>
    </rPh>
    <phoneticPr fontId="1"/>
  </si>
  <si>
    <t>オンライン上の教務システムである「Campusmate-J」、及びMS-Teamsのクラスを利用することで、学生の出欠、履修状況、レポート等の課題提出状況などのデータを随時取得することができるようになっている。
また、本プログラム開始初年度では、必修科目すなわち修了要件である「情報リテラシー」および「社会とデータサイエンス」両科目の合格率が75％とやや低い結果となった。これについては、新科目である「社会とデータサイエンス」において、教員側も試行錯誤しながら授業運営を行わざるを得なかった他、ＩＣＴを活用した事前事後テストへの取り組み方について、学生に十分な説明を行うことができなかったことが主な原因と考えられる。令和7年度からはこれら問題を改善するため、プログラムの趣旨説明やＩＣＴの操作方法等を履修登録前に丁寧に説明する機会を設け、合格率が上昇するよう努めていく予定である。</t>
    <rPh sb="31" eb="32">
      <t>オヨ</t>
    </rPh>
    <rPh sb="86" eb="88">
      <t>シュトク</t>
    </rPh>
    <rPh sb="119" eb="120">
      <t>ド</t>
    </rPh>
    <rPh sb="131" eb="135">
      <t>シュウリョウヨウケン</t>
    </rPh>
    <rPh sb="139" eb="141">
      <t>ジョウホウ</t>
    </rPh>
    <rPh sb="151" eb="153">
      <t>シャカイ</t>
    </rPh>
    <rPh sb="163" eb="166">
      <t>リョウカモク</t>
    </rPh>
    <rPh sb="194" eb="197">
      <t>シンカモク</t>
    </rPh>
    <rPh sb="201" eb="203">
      <t>シャカイ</t>
    </rPh>
    <rPh sb="218" eb="222">
      <t>キョウイ</t>
    </rPh>
    <rPh sb="222" eb="226">
      <t>シコウサクゴ</t>
    </rPh>
    <rPh sb="230" eb="234">
      <t>ジュギョウウンエイ</t>
    </rPh>
    <rPh sb="235" eb="236">
      <t>オコナ</t>
    </rPh>
    <rPh sb="240" eb="241">
      <t>エ</t>
    </rPh>
    <rPh sb="245" eb="246">
      <t>ホカ</t>
    </rPh>
    <rPh sb="251" eb="253">
      <t>カツヨウ</t>
    </rPh>
    <rPh sb="255" eb="259">
      <t>ジゼンジゴ</t>
    </rPh>
    <rPh sb="264" eb="265">
      <t>ト</t>
    </rPh>
    <rPh sb="266" eb="267">
      <t>ク</t>
    </rPh>
    <rPh sb="268" eb="269">
      <t>カタ</t>
    </rPh>
    <rPh sb="274" eb="276">
      <t>ガクセイ</t>
    </rPh>
    <rPh sb="280" eb="282">
      <t>セツメイ</t>
    </rPh>
    <rPh sb="308" eb="310">
      <t>レイワ</t>
    </rPh>
    <rPh sb="311" eb="313">
      <t>ネンド</t>
    </rPh>
    <rPh sb="319" eb="321">
      <t>モンダイ</t>
    </rPh>
    <rPh sb="322" eb="324">
      <t>カイゼン</t>
    </rPh>
    <rPh sb="335" eb="337">
      <t>シュシ</t>
    </rPh>
    <rPh sb="337" eb="339">
      <t>セツメイ</t>
    </rPh>
    <rPh sb="344" eb="348">
      <t>ソウサホウホウ</t>
    </rPh>
    <rPh sb="348" eb="349">
      <t>トウ</t>
    </rPh>
    <rPh sb="369" eb="372">
      <t>ゴウカクリツ</t>
    </rPh>
    <rPh sb="373" eb="375">
      <t>ジョウショウ</t>
    </rPh>
    <rPh sb="379" eb="380">
      <t>ツト</t>
    </rPh>
    <rPh sb="384" eb="386">
      <t>ヨテイ</t>
    </rPh>
    <phoneticPr fontId="1"/>
  </si>
  <si>
    <t>数理・データサイエンス・AI教育プログラム運営委員会委員長　商学部　教授　西村　淳
学部長　田中　浩司
商学部　教授　永盛　恒男
商学部　教授　若松　裕之
商学部　教授　安木　新一郎
商学部　准教授　佐藤　浩史
商学部　准教授　鈴木　知花
商学部　准教授　トーマス　ジョン　ニコラス
事務局　入試事務部長　小原　拓也</t>
    <rPh sb="21" eb="23">
      <t>ウンエイ</t>
    </rPh>
    <rPh sb="23" eb="26">
      <t>イインカイ</t>
    </rPh>
    <rPh sb="30" eb="33">
      <t>ショウガクブ</t>
    </rPh>
    <rPh sb="34" eb="36">
      <t>キョウジュ</t>
    </rPh>
    <rPh sb="37" eb="39">
      <t>ニシムラ</t>
    </rPh>
    <rPh sb="40" eb="41">
      <t>ジュン</t>
    </rPh>
    <rPh sb="43" eb="44">
      <t>ブ</t>
    </rPh>
    <rPh sb="46" eb="48">
      <t>タナカ</t>
    </rPh>
    <rPh sb="49" eb="50">
      <t>ヒロシ</t>
    </rPh>
    <rPh sb="50" eb="51">
      <t>ツカサ</t>
    </rPh>
    <rPh sb="52" eb="55">
      <t>ショウガクブ</t>
    </rPh>
    <rPh sb="56" eb="58">
      <t>キョウジュ</t>
    </rPh>
    <rPh sb="59" eb="61">
      <t>ナガモリ</t>
    </rPh>
    <rPh sb="65" eb="67">
      <t>ショウガク</t>
    </rPh>
    <rPh sb="67" eb="68">
      <t>ブ</t>
    </rPh>
    <rPh sb="69" eb="71">
      <t>キョウジュ</t>
    </rPh>
    <rPh sb="72" eb="74">
      <t>ワカマツ</t>
    </rPh>
    <rPh sb="75" eb="77">
      <t>ヒロユキ</t>
    </rPh>
    <rPh sb="92" eb="94">
      <t>ショウガク</t>
    </rPh>
    <rPh sb="94" eb="95">
      <t>ブ</t>
    </rPh>
    <rPh sb="96" eb="99">
      <t>ジュンキョウジュ</t>
    </rPh>
    <rPh sb="100" eb="102">
      <t>サトウ</t>
    </rPh>
    <rPh sb="103" eb="104">
      <t>ヒロシ</t>
    </rPh>
    <rPh sb="104" eb="105">
      <t>フミ</t>
    </rPh>
    <rPh sb="106" eb="108">
      <t>ショウガク</t>
    </rPh>
    <rPh sb="108" eb="109">
      <t>ブ</t>
    </rPh>
    <rPh sb="110" eb="113">
      <t>ジュンキョウジュ</t>
    </rPh>
    <rPh sb="114" eb="116">
      <t>スズキ</t>
    </rPh>
    <rPh sb="120" eb="123">
      <t>ショウガクブ</t>
    </rPh>
    <rPh sb="146" eb="150">
      <t>ニュウシジム</t>
    </rPh>
    <rPh sb="150" eb="151">
      <t>ブ</t>
    </rPh>
    <phoneticPr fontId="1"/>
  </si>
  <si>
    <t>・ビッグデータ、AI、IoT、生成AI、ロボット：「社会とデータサイエンス」（第１回目)、(第３回目)、(第７回目）
・第4次産業革命、Society5.0、データ駆動型社会：　「社会とデータサイエンス」（第3回目）</t>
    <rPh sb="15" eb="17">
      <t>セイセイ</t>
    </rPh>
    <rPh sb="25" eb="27">
      <t>シャカイ</t>
    </rPh>
    <rPh sb="38" eb="39">
      <t>ダイ</t>
    </rPh>
    <rPh sb="40" eb="41">
      <t>カイ</t>
    </rPh>
    <rPh sb="41" eb="42">
      <t>メ</t>
    </rPh>
    <rPh sb="45" eb="46">
      <t>ダイ</t>
    </rPh>
    <rPh sb="47" eb="48">
      <t>カイ</t>
    </rPh>
    <rPh sb="48" eb="49">
      <t>メ</t>
    </rPh>
    <rPh sb="52" eb="53">
      <t>ダイ</t>
    </rPh>
    <rPh sb="54" eb="56">
      <t>カイメ</t>
    </rPh>
    <rPh sb="81" eb="86">
      <t>クドウガタシャカイ</t>
    </rPh>
    <phoneticPr fontId="1"/>
  </si>
  <si>
    <t>・1次データ、2次データ、データのメタ化：「社会とデータサイエンス」（第1回目)、(第３回目)、(第10回目～15回目）
・調査データ、実験データ、人の行動ログデータ、機械の稼働ログデータなど：「社会とデータサイエンス」（第３回目)、(第５回目)、(第10回目～15回目）
・データ作成（ビッグデータとアノテーション）：「社会とデータサイエンス」（第10回目～15回目）</t>
    <rPh sb="2" eb="3">
      <t>ジ</t>
    </rPh>
    <rPh sb="8" eb="9">
      <t>ジ</t>
    </rPh>
    <rPh sb="19" eb="20">
      <t>カ</t>
    </rPh>
    <rPh sb="42" eb="43">
      <t>ダイ</t>
    </rPh>
    <rPh sb="44" eb="46">
      <t>カイメ</t>
    </rPh>
    <rPh sb="62" eb="64">
      <t>チョウサ</t>
    </rPh>
    <rPh sb="68" eb="70">
      <t>ジッケン</t>
    </rPh>
    <rPh sb="74" eb="75">
      <t>ヒト</t>
    </rPh>
    <rPh sb="76" eb="78">
      <t>コウドウ</t>
    </rPh>
    <rPh sb="84" eb="86">
      <t>キカイ</t>
    </rPh>
    <rPh sb="87" eb="89">
      <t>カドウ</t>
    </rPh>
    <rPh sb="111" eb="112">
      <t>ダイ</t>
    </rPh>
    <rPh sb="113" eb="115">
      <t>カイメ</t>
    </rPh>
    <rPh sb="118" eb="119">
      <t>ダイ</t>
    </rPh>
    <rPh sb="120" eb="122">
      <t>カイメ</t>
    </rPh>
    <rPh sb="141" eb="143">
      <t>サクセイ</t>
    </rPh>
    <rPh sb="182" eb="184">
      <t>カイメ</t>
    </rPh>
    <phoneticPr fontId="1"/>
  </si>
  <si>
    <t>・データ可視化：複合グラフ、2軸グラフ、多次元の可視化、関係性の可視化、地図上の可視化：「情報リテラシー」（第8回目)、「社会とデータサイエンス」（第11回目)、(第15回目）
・非構造化データ処理：言語処理、画像/動画処理、音声/音楽処理など：「社会とデータサイエンス」（第7回目）
・マルチモーダル（言語、音声）：「社会とデータサイエンス」（第7回目）
・データ解析：予測、グルーピング、パターン発見、最適化、モデル化とシミュレーション・データ同化など ：「社会とデータサイエンス」（第3回目)、(第4回目)、(第10回目～15回目）</t>
    <rPh sb="4" eb="7">
      <t>カシカ</t>
    </rPh>
    <rPh sb="8" eb="10">
      <t>フクゴウ</t>
    </rPh>
    <rPh sb="15" eb="16">
      <t>ジク</t>
    </rPh>
    <rPh sb="20" eb="23">
      <t>タジゲン</t>
    </rPh>
    <rPh sb="24" eb="27">
      <t>カシカ</t>
    </rPh>
    <rPh sb="28" eb="31">
      <t>カンケイセイ</t>
    </rPh>
    <rPh sb="32" eb="35">
      <t>カシカ</t>
    </rPh>
    <rPh sb="36" eb="39">
      <t>チズジョウ</t>
    </rPh>
    <rPh sb="40" eb="43">
      <t>カシカ</t>
    </rPh>
    <rPh sb="45" eb="47">
      <t>ジョウホウ</t>
    </rPh>
    <rPh sb="74" eb="75">
      <t>ダイ</t>
    </rPh>
    <rPh sb="77" eb="79">
      <t>カイメ</t>
    </rPh>
    <rPh sb="82" eb="83">
      <t>ダイ</t>
    </rPh>
    <rPh sb="85" eb="87">
      <t>カイメ</t>
    </rPh>
    <rPh sb="90" eb="91">
      <t>ヒ</t>
    </rPh>
    <rPh sb="91" eb="94">
      <t>コウゾウカ</t>
    </rPh>
    <rPh sb="97" eb="99">
      <t>ショリ</t>
    </rPh>
    <rPh sb="100" eb="104">
      <t>ゲンゴショリ</t>
    </rPh>
    <rPh sb="105" eb="107">
      <t>ガゾウ</t>
    </rPh>
    <rPh sb="108" eb="112">
      <t>ドウガショリ</t>
    </rPh>
    <rPh sb="113" eb="115">
      <t>オンセイ</t>
    </rPh>
    <rPh sb="116" eb="118">
      <t>オンガク</t>
    </rPh>
    <rPh sb="118" eb="120">
      <t>ショリ</t>
    </rPh>
    <rPh sb="124" eb="126">
      <t>シャカイ</t>
    </rPh>
    <rPh sb="137" eb="138">
      <t>ダイ</t>
    </rPh>
    <rPh sb="139" eb="141">
      <t>カイメ</t>
    </rPh>
    <rPh sb="152" eb="154">
      <t>ゲンゴ</t>
    </rPh>
    <rPh sb="155" eb="157">
      <t>オンセイ</t>
    </rPh>
    <rPh sb="183" eb="185">
      <t>カイセキ</t>
    </rPh>
    <rPh sb="186" eb="188">
      <t>ヨソク</t>
    </rPh>
    <rPh sb="200" eb="202">
      <t>ハッケン</t>
    </rPh>
    <rPh sb="203" eb="206">
      <t>サイテキカ</t>
    </rPh>
    <rPh sb="210" eb="211">
      <t>カ</t>
    </rPh>
    <rPh sb="224" eb="226">
      <t>ドウカ</t>
    </rPh>
    <rPh sb="231" eb="233">
      <t>シャカイ</t>
    </rPh>
    <rPh sb="244" eb="245">
      <t>ダイ</t>
    </rPh>
    <rPh sb="246" eb="247">
      <t>カイ</t>
    </rPh>
    <rPh sb="247" eb="248">
      <t>メ</t>
    </rPh>
    <rPh sb="251" eb="252">
      <t>ダイ</t>
    </rPh>
    <rPh sb="253" eb="255">
      <t>カイメ</t>
    </rPh>
    <rPh sb="258" eb="259">
      <t>ダイ</t>
    </rPh>
    <rPh sb="261" eb="263">
      <t>カイメ</t>
    </rPh>
    <rPh sb="266" eb="268">
      <t>カイメ</t>
    </rPh>
    <phoneticPr fontId="1"/>
  </si>
  <si>
    <t>・教育、芸術、流通、製造、金融、サービス、インフラ、公共、ヘルスケア等におけるデータ・AI利活用事例紹介：「社会とデータサイエンス」（第5回目）
・データサイエンスのサイクル（課題抽出と定式化、データの取得・管理・加工、探索的データ解析、データ解析と推論、結果の共有・伝達、課題解決に向けた提案）：「社会とデータサイエンス」（第10回目～15回目）</t>
    <rPh sb="1" eb="3">
      <t>キョウイク</t>
    </rPh>
    <rPh sb="4" eb="6">
      <t>ゲイジュツ</t>
    </rPh>
    <rPh sb="150" eb="152">
      <t>シャカイ</t>
    </rPh>
    <rPh sb="163" eb="164">
      <t>ダイ</t>
    </rPh>
    <rPh sb="166" eb="168">
      <t>カイメ</t>
    </rPh>
    <rPh sb="171" eb="173">
      <t>カイメ</t>
    </rPh>
    <phoneticPr fontId="1"/>
  </si>
  <si>
    <t>・データの種類（量的変数、質的変数）：「情報リテラシー」（第8回目）、「社会とデータサイエンス」（第10回目～11回目）
・データの分布（ヒストグラム）と代表値（平均値、中央値、最頻値）：「情報リテラシー」（第8回目）、「社会とデータサイエンス」（第11回目）
・代表値の性質の違い（実社会では平均値＝最頻値でないことが多い）：「情報リテラシー」（第8回目）、「社会とデータサイエンス」（第11回目～12回目）
・データのばらつき（分散、標準偏差、偏差値）、外れ値：「情報リテラシー」（第8回目）、「社会とデータサイエンス」（第11回目～13回目）
・相関と因果（相関係数、疑似相関、交絡）：「社会とデータサイエンス」（第15回目）</t>
    <rPh sb="5" eb="7">
      <t>シュルイ</t>
    </rPh>
    <rPh sb="8" eb="12">
      <t>リョウテキヘンスウ</t>
    </rPh>
    <rPh sb="13" eb="17">
      <t>シツテキヘンスウ</t>
    </rPh>
    <rPh sb="20" eb="22">
      <t>ジョウホウ</t>
    </rPh>
    <rPh sb="29" eb="30">
      <t>ダイ</t>
    </rPh>
    <rPh sb="31" eb="33">
      <t>カイメ</t>
    </rPh>
    <rPh sb="81" eb="84">
      <t>ヘイキンチ</t>
    </rPh>
    <rPh sb="85" eb="88">
      <t>チュウオウチ</t>
    </rPh>
    <rPh sb="89" eb="92">
      <t>サイヒンチ</t>
    </rPh>
    <rPh sb="95" eb="97">
      <t>ジョウホウ</t>
    </rPh>
    <rPh sb="104" eb="105">
      <t>ダイ</t>
    </rPh>
    <rPh sb="106" eb="108">
      <t>カイメ</t>
    </rPh>
    <rPh sb="111" eb="113">
      <t>シャカイ</t>
    </rPh>
    <rPh sb="124" eb="125">
      <t>ダイ</t>
    </rPh>
    <rPh sb="127" eb="129">
      <t>カイメ</t>
    </rPh>
    <rPh sb="142" eb="145">
      <t>ジツシャカイ</t>
    </rPh>
    <rPh sb="147" eb="150">
      <t>ヘイキンチ</t>
    </rPh>
    <rPh sb="151" eb="154">
      <t>サイヒンチ</t>
    </rPh>
    <rPh sb="160" eb="161">
      <t>オオ</t>
    </rPh>
    <rPh sb="282" eb="286">
      <t>ソウカンケイスウ</t>
    </rPh>
    <rPh sb="287" eb="291">
      <t>ギジソウカン</t>
    </rPh>
    <rPh sb="292" eb="294">
      <t>コウラク</t>
    </rPh>
    <rPh sb="297" eb="299">
      <t>シャカイ</t>
    </rPh>
    <rPh sb="310" eb="311">
      <t>ダイ</t>
    </rPh>
    <rPh sb="313" eb="315">
      <t>カイメ</t>
    </rPh>
    <phoneticPr fontId="1"/>
  </si>
  <si>
    <t>・データ表現（棒グラフ、折線グラフ、散布図、ヒートマップ、箱ひげ図）： 「社会とデータサイエンス」（第11回目)、(第15回目）
・データの比較（条件をそろえた比較、処理の前後での比較、A/Bテスト）：「社会とデータサイエンス」（第14回目)、(第15回目）</t>
    <rPh sb="7" eb="8">
      <t>ボウ</t>
    </rPh>
    <rPh sb="12" eb="14">
      <t>オレセン</t>
    </rPh>
    <rPh sb="18" eb="21">
      <t>サンプズ</t>
    </rPh>
    <rPh sb="29" eb="30">
      <t>ハコ</t>
    </rPh>
    <rPh sb="32" eb="33">
      <t>ズ</t>
    </rPh>
    <rPh sb="50" eb="51">
      <t>ダイ</t>
    </rPh>
    <rPh sb="53" eb="55">
      <t>カイメ</t>
    </rPh>
    <rPh sb="70" eb="72">
      <t>ヒカク</t>
    </rPh>
    <rPh sb="73" eb="75">
      <t>ジョウケン</t>
    </rPh>
    <rPh sb="80" eb="82">
      <t>ヒカク</t>
    </rPh>
    <rPh sb="83" eb="85">
      <t>ショリ</t>
    </rPh>
    <rPh sb="86" eb="88">
      <t>ゼンゴ</t>
    </rPh>
    <rPh sb="90" eb="92">
      <t>ヒカク</t>
    </rPh>
    <rPh sb="102" eb="104">
      <t>シャカイ</t>
    </rPh>
    <rPh sb="115" eb="116">
      <t>ダイ</t>
    </rPh>
    <rPh sb="118" eb="120">
      <t>カイメ</t>
    </rPh>
    <rPh sb="123" eb="124">
      <t>ダイ</t>
    </rPh>
    <rPh sb="126" eb="128">
      <t>カイメ</t>
    </rPh>
    <phoneticPr fontId="1"/>
  </si>
  <si>
    <t>・データの集計（和、平均）：「社会とデータサイエンス」（第10回目)、(第11回目）
・データの並び替え、ランキング：「社会とデータサイエンス」（第10回目)、(第11回目)、(第12回目)、(第14回目）</t>
    <rPh sb="5" eb="7">
      <t>シュウケイ</t>
    </rPh>
    <rPh sb="8" eb="9">
      <t>ワ</t>
    </rPh>
    <rPh sb="10" eb="12">
      <t>ヘイキン</t>
    </rPh>
    <rPh sb="15" eb="17">
      <t>シャカイ</t>
    </rPh>
    <rPh sb="28" eb="29">
      <t>ダイ</t>
    </rPh>
    <rPh sb="31" eb="33">
      <t>カイメ</t>
    </rPh>
    <rPh sb="48" eb="49">
      <t>ナラ</t>
    </rPh>
    <rPh sb="50" eb="51">
      <t>カ</t>
    </rPh>
    <rPh sb="97" eb="98">
      <t>ダイ</t>
    </rPh>
    <rPh sb="100" eb="102">
      <t>カイメ</t>
    </rPh>
    <phoneticPr fontId="1"/>
  </si>
  <si>
    <t>・AI等を活用した新しいビジネスモデル（シェリングエコノミー、商品のレコメンデーションなど）：「社会とデータサイエンス」（第3回目）、（第5回目）
・AI最新技術の活用例（深層生成モデル、強化学習、転移学習、生成AIなど）：「社会とデータサイエンス」（第１回目）</t>
    <rPh sb="3" eb="4">
      <t>トウ</t>
    </rPh>
    <rPh sb="5" eb="7">
      <t>カツヨウ</t>
    </rPh>
    <rPh sb="9" eb="10">
      <t>アタラ</t>
    </rPh>
    <rPh sb="31" eb="33">
      <t>ショウヒン</t>
    </rPh>
    <rPh sb="61" eb="62">
      <t>ダイ</t>
    </rPh>
    <rPh sb="63" eb="64">
      <t>カイ</t>
    </rPh>
    <rPh sb="64" eb="65">
      <t>メ</t>
    </rPh>
    <rPh sb="77" eb="81">
      <t>サイシンギジュツ</t>
    </rPh>
    <rPh sb="82" eb="85">
      <t>カツヨウレイ</t>
    </rPh>
    <rPh sb="86" eb="90">
      <t>シンソウセイセイ</t>
    </rPh>
    <rPh sb="94" eb="98">
      <t>キョウカガクシュウ</t>
    </rPh>
    <rPh sb="99" eb="101">
      <t>テンイ</t>
    </rPh>
    <rPh sb="101" eb="103">
      <t>ガクシュウ</t>
    </rPh>
    <rPh sb="104" eb="106">
      <t>セイセイ</t>
    </rPh>
    <rPh sb="113" eb="115">
      <t>シャカイ</t>
    </rPh>
    <phoneticPr fontId="1"/>
  </si>
  <si>
    <t>数理・データサイエンス・AI教育プログラム運営委員会</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</si>
</sst>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6"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1"/>
      <name val="ＭＳ Ｐゴシック"/>
      <family val="3"/>
      <charset val="128"/>
      <scheme val="minor"/>
    </font>
    <font>
      <sz val="14"/>
      <name val="ＭＳ Ｐゴシック"/>
      <family val="3"/>
      <charset val="128"/>
      <scheme val="minor"/>
    </font>
    <font>
      <sz val="9"/>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5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11" fillId="0" borderId="1" xfId="0" applyFont="1" applyBorder="1" applyAlignment="1">
      <alignment horizontal="center" vertical="center"/>
    </xf>
    <xf numFmtId="0" fontId="13" fillId="0" borderId="0" xfId="0" applyFont="1">
      <alignment vertical="center"/>
    </xf>
    <xf numFmtId="0" fontId="11" fillId="0" borderId="0" xfId="0" applyFont="1" applyAlignment="1">
      <alignment horizontal="left" vertical="center" shrinkToFit="1"/>
    </xf>
    <xf numFmtId="0" fontId="13" fillId="0" borderId="0" xfId="0" applyFont="1" applyAlignment="1">
      <alignment horizontal="center" vertical="center"/>
    </xf>
    <xf numFmtId="0" fontId="15" fillId="0" borderId="1" xfId="0" applyFont="1" applyBorder="1" applyAlignment="1">
      <alignment horizontal="center" vertical="center" shrinkToFit="1"/>
    </xf>
    <xf numFmtId="0" fontId="15" fillId="0" borderId="4" xfId="0" applyFont="1" applyBorder="1" applyAlignment="1">
      <alignment horizontal="center" vertical="center" shrinkToFit="1"/>
    </xf>
    <xf numFmtId="49" fontId="15" fillId="0" borderId="1" xfId="0" applyNumberFormat="1" applyFont="1" applyBorder="1" applyAlignment="1">
      <alignment horizontal="center" vertical="center"/>
    </xf>
    <xf numFmtId="0" fontId="11" fillId="0" borderId="14" xfId="0" applyFont="1" applyBorder="1" applyAlignment="1">
      <alignment horizontal="center" vertical="center" shrinkToFit="1"/>
    </xf>
    <xf numFmtId="0" fontId="11" fillId="0" borderId="20" xfId="0" applyFont="1" applyBorder="1" applyAlignment="1">
      <alignment horizontal="center" vertical="center" shrinkToFit="1"/>
    </xf>
    <xf numFmtId="0" fontId="11" fillId="0" borderId="13" xfId="0" applyFont="1" applyBorder="1" applyAlignment="1">
      <alignment horizontal="center" vertical="center" shrinkToFit="1"/>
    </xf>
    <xf numFmtId="0" fontId="11" fillId="0" borderId="35" xfId="0" applyFont="1" applyBorder="1" applyAlignment="1">
      <alignment horizontal="center" vertical="center" shrinkToFit="1"/>
    </xf>
    <xf numFmtId="0" fontId="11" fillId="0" borderId="0" xfId="0" applyFont="1" applyAlignment="1">
      <alignment vertical="top" wrapText="1"/>
    </xf>
    <xf numFmtId="49" fontId="15" fillId="0" borderId="43" xfId="0" applyNumberFormat="1" applyFont="1" applyBorder="1" applyAlignment="1">
      <alignment horizontal="center" vertical="center"/>
    </xf>
    <xf numFmtId="49" fontId="15" fillId="0" borderId="44" xfId="0" applyNumberFormat="1" applyFont="1" applyBorder="1" applyAlignment="1">
      <alignment horizontal="center" vertical="center"/>
    </xf>
    <xf numFmtId="49" fontId="15" fillId="0" borderId="39" xfId="0" applyNumberFormat="1" applyFont="1" applyBorder="1" applyAlignment="1">
      <alignment horizontal="center" vertical="center"/>
    </xf>
    <xf numFmtId="49" fontId="15" fillId="0" borderId="26" xfId="0" applyNumberFormat="1" applyFont="1" applyBorder="1" applyAlignment="1">
      <alignment horizontal="center" vertical="center"/>
    </xf>
    <xf numFmtId="49" fontId="15" fillId="0" borderId="42" xfId="0" applyNumberFormat="1" applyFont="1" applyBorder="1" applyAlignment="1">
      <alignment horizontal="center" vertical="center"/>
    </xf>
    <xf numFmtId="49" fontId="15" fillId="0" borderId="28" xfId="0" applyNumberFormat="1" applyFont="1" applyBorder="1" applyAlignment="1">
      <alignment horizontal="center" vertical="center"/>
    </xf>
    <xf numFmtId="0" fontId="11" fillId="0" borderId="18" xfId="0" applyFont="1" applyBorder="1" applyAlignment="1">
      <alignment vertical="center" shrinkToFit="1"/>
    </xf>
    <xf numFmtId="0" fontId="11" fillId="0" borderId="19" xfId="0" applyFont="1" applyBorder="1" applyAlignment="1">
      <alignment vertical="center" shrinkToFit="1"/>
    </xf>
    <xf numFmtId="0" fontId="11" fillId="0" borderId="17" xfId="0" applyFont="1" applyBorder="1" applyAlignment="1">
      <alignment vertical="center" shrinkToFit="1"/>
    </xf>
    <xf numFmtId="0" fontId="11" fillId="0" borderId="32" xfId="0" applyFont="1" applyBorder="1" applyAlignment="1">
      <alignment vertical="center" shrinkToFit="1"/>
    </xf>
    <xf numFmtId="0" fontId="11" fillId="0" borderId="33" xfId="0" applyFont="1" applyBorder="1" applyAlignment="1">
      <alignment vertical="center" shrinkToFit="1"/>
    </xf>
    <xf numFmtId="0" fontId="11" fillId="0" borderId="34" xfId="0" applyFont="1" applyBorder="1" applyAlignment="1">
      <alignment vertical="center" shrinkToFit="1"/>
    </xf>
    <xf numFmtId="0" fontId="11" fillId="0" borderId="0" xfId="0" applyFont="1" applyAlignment="1">
      <alignment vertical="center" wrapText="1"/>
    </xf>
    <xf numFmtId="0" fontId="11" fillId="0" borderId="29" xfId="0" applyFont="1" applyBorder="1" applyAlignment="1">
      <alignment vertical="center" shrinkToFit="1"/>
    </xf>
    <xf numFmtId="0" fontId="11" fillId="0" borderId="31" xfId="0" applyFont="1" applyBorder="1" applyAlignment="1">
      <alignment vertical="center" shrinkToFit="1"/>
    </xf>
    <xf numFmtId="0" fontId="11" fillId="0" borderId="30" xfId="0" applyFont="1" applyBorder="1" applyAlignment="1">
      <alignment vertical="center" shrinkToFit="1"/>
    </xf>
    <xf numFmtId="0" fontId="11" fillId="0" borderId="7" xfId="0" applyFont="1" applyBorder="1" applyAlignment="1">
      <alignment horizontal="center" vertical="center" shrinkToFit="1"/>
    </xf>
    <xf numFmtId="0" fontId="11" fillId="0" borderId="8" xfId="0" applyFont="1" applyBorder="1" applyAlignment="1">
      <alignment horizontal="center" vertical="center" shrinkToFit="1"/>
    </xf>
    <xf numFmtId="0" fontId="11" fillId="0" borderId="9" xfId="0" applyFont="1" applyBorder="1" applyAlignment="1">
      <alignment horizontal="center" vertical="center" shrinkToFi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0" borderId="29" xfId="0" applyFont="1" applyBorder="1" applyAlignment="1">
      <alignment horizontal="center" vertical="center" shrinkToFit="1"/>
    </xf>
    <xf numFmtId="0" fontId="11" fillId="0" borderId="31" xfId="0" applyFont="1" applyBorder="1" applyAlignment="1">
      <alignment horizontal="center" vertical="center" shrinkToFit="1"/>
    </xf>
    <xf numFmtId="0" fontId="11" fillId="0" borderId="30" xfId="0" applyFont="1" applyBorder="1" applyAlignment="1">
      <alignment horizontal="center" vertical="center" shrinkToFit="1"/>
    </xf>
    <xf numFmtId="0" fontId="15" fillId="0" borderId="40" xfId="0" applyFont="1" applyBorder="1" applyAlignment="1">
      <alignment vertical="center" wrapText="1"/>
    </xf>
    <xf numFmtId="0" fontId="15" fillId="0" borderId="41" xfId="0" applyFont="1" applyBorder="1" applyAlignment="1">
      <alignment vertical="center" wrapText="1"/>
    </xf>
    <xf numFmtId="0" fontId="11" fillId="0" borderId="18" xfId="0" applyFont="1" applyBorder="1" applyAlignment="1">
      <alignment horizontal="center" vertical="center" shrinkToFit="1"/>
    </xf>
    <xf numFmtId="0" fontId="11" fillId="0" borderId="19" xfId="0" applyFont="1" applyBorder="1" applyAlignment="1">
      <alignment horizontal="center" vertical="center" shrinkToFit="1"/>
    </xf>
    <xf numFmtId="0" fontId="11" fillId="0" borderId="17" xfId="0" applyFont="1" applyBorder="1" applyAlignment="1">
      <alignment horizontal="center" vertical="center" shrinkToFit="1"/>
    </xf>
    <xf numFmtId="0" fontId="11" fillId="0" borderId="7" xfId="0" applyFont="1" applyBorder="1" applyAlignment="1">
      <alignment horizontal="center" vertical="center"/>
    </xf>
    <xf numFmtId="0" fontId="11" fillId="0" borderId="8" xfId="0" applyFont="1" applyBorder="1" applyAlignment="1">
      <alignment horizontal="center" vertical="center"/>
    </xf>
    <xf numFmtId="0" fontId="11" fillId="0" borderId="9" xfId="0" applyFont="1" applyBorder="1" applyAlignment="1">
      <alignment horizontal="center" vertical="center"/>
    </xf>
    <xf numFmtId="0" fontId="14"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11" fillId="0" borderId="2" xfId="0" applyFont="1" applyBorder="1" applyAlignment="1">
      <alignment vertical="center" wrapText="1" shrinkToFit="1"/>
    </xf>
    <xf numFmtId="0" fontId="11" fillId="0" borderId="3" xfId="0" applyFont="1" applyBorder="1" applyAlignment="1">
      <alignment vertical="center" wrapText="1" shrinkToFit="1"/>
    </xf>
    <xf numFmtId="0" fontId="11" fillId="0" borderId="4" xfId="0" applyFont="1" applyBorder="1" applyAlignment="1">
      <alignment vertical="center" wrapText="1" shrinkToFit="1"/>
    </xf>
    <xf numFmtId="0" fontId="11" fillId="0" borderId="11" xfId="0" applyFont="1" applyBorder="1" applyAlignment="1">
      <alignment horizontal="center" vertical="center" shrinkToFit="1"/>
    </xf>
    <xf numFmtId="0" fontId="11" fillId="0" borderId="6" xfId="0" applyFont="1" applyBorder="1" applyAlignment="1">
      <alignment horizontal="center" vertical="center" shrinkToFit="1"/>
    </xf>
    <xf numFmtId="0" fontId="11" fillId="0" borderId="12" xfId="0" applyFont="1" applyBorder="1" applyAlignment="1">
      <alignment horizontal="center" vertical="center" shrinkToFit="1"/>
    </xf>
    <xf numFmtId="0" fontId="15" fillId="0" borderId="27" xfId="0" applyFont="1" applyBorder="1" applyAlignment="1">
      <alignment vertical="center" wrapText="1"/>
    </xf>
    <xf numFmtId="0" fontId="12" fillId="0" borderId="2" xfId="0" applyFont="1" applyBorder="1" applyAlignment="1">
      <alignment horizontal="center" vertical="center" shrinkToFit="1"/>
    </xf>
    <xf numFmtId="0" fontId="12" fillId="0" borderId="4" xfId="0" applyFont="1" applyBorder="1" applyAlignment="1">
      <alignment horizontal="center" vertical="center" shrinkToFit="1"/>
    </xf>
    <xf numFmtId="0" fontId="11" fillId="0" borderId="0" xfId="0" applyFont="1" applyAlignment="1">
      <alignment horizontal="right" vertical="center"/>
    </xf>
    <xf numFmtId="0" fontId="11" fillId="0" borderId="2" xfId="0" applyFont="1" applyBorder="1" applyAlignment="1">
      <alignment horizontal="center" vertical="center" shrinkToFit="1"/>
    </xf>
    <xf numFmtId="0" fontId="11" fillId="0" borderId="3" xfId="0" applyFont="1" applyBorder="1" applyAlignment="1">
      <alignment horizontal="center" vertical="center" shrinkToFit="1"/>
    </xf>
    <xf numFmtId="0" fontId="11" fillId="0" borderId="4" xfId="0" applyFont="1" applyBorder="1" applyAlignment="1">
      <alignment horizontal="center" vertical="center" shrinkToFit="1"/>
    </xf>
    <xf numFmtId="49" fontId="15" fillId="0" borderId="32" xfId="0" applyNumberFormat="1" applyFont="1" applyBorder="1" applyAlignment="1">
      <alignment horizontal="left" vertical="center" wrapText="1"/>
    </xf>
    <xf numFmtId="49" fontId="15" fillId="0" borderId="33" xfId="0" applyNumberFormat="1" applyFont="1" applyBorder="1" applyAlignment="1">
      <alignment horizontal="left" vertical="center"/>
    </xf>
    <xf numFmtId="49" fontId="15" fillId="0" borderId="34" xfId="0" applyNumberFormat="1" applyFont="1" applyBorder="1" applyAlignment="1">
      <alignment horizontal="left" vertical="center"/>
    </xf>
    <xf numFmtId="49" fontId="15" fillId="0" borderId="29" xfId="0" applyNumberFormat="1" applyFont="1" applyBorder="1" applyAlignment="1">
      <alignment horizontal="left" vertical="center" wrapText="1"/>
    </xf>
    <xf numFmtId="49" fontId="15" fillId="0" borderId="31" xfId="0" applyNumberFormat="1" applyFont="1" applyBorder="1" applyAlignment="1">
      <alignment horizontal="left" vertical="center"/>
    </xf>
    <xf numFmtId="49" fontId="15" fillId="0" borderId="30" xfId="0" applyNumberFormat="1" applyFont="1" applyBorder="1" applyAlignment="1">
      <alignment horizontal="left" vertical="center"/>
    </xf>
    <xf numFmtId="49" fontId="15" fillId="0" borderId="18" xfId="0" applyNumberFormat="1" applyFont="1" applyBorder="1" applyAlignment="1">
      <alignment horizontal="left" vertical="center" wrapText="1"/>
    </xf>
    <xf numFmtId="49" fontId="15" fillId="0" borderId="19" xfId="0" applyNumberFormat="1" applyFont="1" applyBorder="1" applyAlignment="1">
      <alignment horizontal="left" vertical="center" wrapText="1"/>
    </xf>
    <xf numFmtId="49" fontId="15" fillId="0" borderId="17" xfId="0" applyNumberFormat="1" applyFont="1" applyBorder="1" applyAlignment="1">
      <alignment horizontal="left" vertical="center" wrapText="1"/>
    </xf>
    <xf numFmtId="49" fontId="15" fillId="0" borderId="33" xfId="0" applyNumberFormat="1" applyFont="1" applyBorder="1" applyAlignment="1">
      <alignment horizontal="left" vertical="center" wrapText="1"/>
    </xf>
    <xf numFmtId="49" fontId="15" fillId="0" borderId="34" xfId="0" applyNumberFormat="1" applyFont="1" applyBorder="1" applyAlignment="1">
      <alignment horizontal="left" vertical="center" wrapTex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1" fillId="0" borderId="7" xfId="0" applyFont="1" applyBorder="1" applyAlignment="1">
      <alignment horizontal="left" vertical="center" wrapText="1"/>
    </xf>
    <xf numFmtId="0" fontId="11" fillId="0" borderId="8" xfId="0" applyFont="1" applyBorder="1" applyAlignment="1">
      <alignment horizontal="left" vertical="center" wrapText="1"/>
    </xf>
    <xf numFmtId="0" fontId="11" fillId="0" borderId="9" xfId="0" applyFont="1" applyBorder="1" applyAlignment="1">
      <alignment horizontal="left" vertical="center" wrapText="1"/>
    </xf>
    <xf numFmtId="0" fontId="11" fillId="0" borderId="11" xfId="0" applyFont="1" applyBorder="1" applyAlignment="1">
      <alignment horizontal="left" vertical="center" wrapText="1"/>
    </xf>
    <xf numFmtId="0" fontId="11" fillId="0" borderId="6" xfId="0" applyFont="1" applyBorder="1" applyAlignment="1">
      <alignment horizontal="left" vertical="center" wrapText="1"/>
    </xf>
    <xf numFmtId="0" fontId="11"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6" fillId="0" borderId="0" xfId="0" applyFont="1" applyAlignment="1">
      <alignment horizontal="center" vertical="center"/>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horizontal="center" vertical="center"/>
    </xf>
    <xf numFmtId="0" fontId="2" fillId="0" borderId="4" xfId="0" applyFont="1" applyBorder="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3" xfId="0" applyFont="1" applyBorder="1" applyAlignment="1">
      <alignment horizontal="center" vertical="center"/>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18" xfId="0" applyFont="1" applyBorder="1" applyAlignment="1">
      <alignment horizontal="left" vertical="top" wrapText="1" shrinkToFit="1"/>
    </xf>
    <xf numFmtId="0" fontId="2" fillId="0" borderId="19" xfId="0" applyFont="1" applyBorder="1" applyAlignment="1">
      <alignment horizontal="left" vertical="top" wrapText="1" shrinkToFit="1"/>
    </xf>
    <xf numFmtId="0" fontId="2" fillId="0" borderId="17" xfId="0" applyFont="1" applyBorder="1" applyAlignment="1">
      <alignment horizontal="lef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Normal="100" zoomScaleSheetLayoutView="100" workbookViewId="0">
      <selection activeCell="D92" sqref="D92:U92"/>
    </sheetView>
  </sheetViews>
  <sheetFormatPr defaultColWidth="9" defaultRowHeight="18.75" customHeight="1" x14ac:dyDescent="0.15"/>
  <cols>
    <col min="1" max="1" width="2.5" style="54" customWidth="1"/>
    <col min="2" max="2" width="16.5" style="54" customWidth="1"/>
    <col min="3" max="21" width="5.625" style="54" customWidth="1"/>
    <col min="22" max="22" width="9" style="54"/>
    <col min="23" max="23" width="3.625" style="54" customWidth="1"/>
    <col min="24" max="24" width="48.625" style="54" hidden="1" customWidth="1"/>
    <col min="25" max="26" width="9" style="54"/>
    <col min="27" max="27" width="9" style="54" hidden="1" customWidth="1"/>
    <col min="28" max="16384" width="9" style="54"/>
  </cols>
  <sheetData>
    <row r="1" spans="1:24" ht="18.600000000000001" customHeight="1" x14ac:dyDescent="0.15">
      <c r="T1" s="130" t="s">
        <v>12</v>
      </c>
      <c r="U1" s="130"/>
      <c r="V1" s="67" t="s">
        <v>94</v>
      </c>
    </row>
    <row r="2" spans="1:24" ht="18.75" customHeight="1" x14ac:dyDescent="0.15">
      <c r="B2" s="66" t="s">
        <v>93</v>
      </c>
      <c r="C2" s="97" t="s">
        <v>144</v>
      </c>
      <c r="D2" s="98"/>
      <c r="E2" s="98"/>
      <c r="F2" s="98"/>
      <c r="G2" s="98"/>
      <c r="H2" s="98"/>
      <c r="I2" s="98"/>
      <c r="J2" s="99"/>
      <c r="K2" s="57"/>
      <c r="L2" s="55"/>
      <c r="M2" s="55"/>
      <c r="N2" s="55"/>
      <c r="O2" s="55"/>
      <c r="P2" s="55"/>
      <c r="Q2" s="55"/>
      <c r="R2" s="55"/>
      <c r="S2" s="55"/>
      <c r="T2" s="55"/>
      <c r="U2" s="55"/>
    </row>
    <row r="3" spans="1:24" ht="18.75" customHeight="1" x14ac:dyDescent="0.15">
      <c r="B3" s="66" t="s">
        <v>88</v>
      </c>
      <c r="C3" s="131" t="s">
        <v>145</v>
      </c>
      <c r="D3" s="132"/>
      <c r="E3" s="132"/>
      <c r="F3" s="132"/>
      <c r="G3" s="132"/>
      <c r="H3" s="132"/>
      <c r="I3" s="132"/>
      <c r="J3" s="133"/>
      <c r="K3" s="57"/>
      <c r="L3" s="55"/>
      <c r="M3" s="55"/>
      <c r="N3" s="55"/>
      <c r="O3" s="55"/>
      <c r="P3" s="55"/>
      <c r="Q3" s="55"/>
      <c r="R3" s="55"/>
      <c r="S3" s="55"/>
      <c r="T3" s="55"/>
      <c r="U3" s="55"/>
    </row>
    <row r="4" spans="1:24" ht="15" customHeight="1" x14ac:dyDescent="0.15">
      <c r="L4" s="57"/>
      <c r="M4" s="68"/>
      <c r="N4" s="68"/>
      <c r="O4" s="68"/>
      <c r="P4" s="68"/>
      <c r="Q4" s="68"/>
      <c r="R4" s="68"/>
      <c r="S4" s="68"/>
      <c r="T4" s="68"/>
      <c r="U4" s="68"/>
    </row>
    <row r="5" spans="1:24" ht="18" customHeight="1" x14ac:dyDescent="0.15">
      <c r="A5" s="111" t="s">
        <v>141</v>
      </c>
      <c r="B5" s="111"/>
      <c r="C5" s="111"/>
      <c r="D5" s="111"/>
      <c r="E5" s="111"/>
      <c r="F5" s="111"/>
      <c r="G5" s="111"/>
      <c r="H5" s="111"/>
      <c r="I5" s="111"/>
      <c r="J5" s="111"/>
      <c r="K5" s="111"/>
      <c r="L5" s="111"/>
      <c r="M5" s="111"/>
      <c r="N5" s="111"/>
      <c r="O5" s="111"/>
      <c r="P5" s="111"/>
      <c r="Q5" s="111"/>
      <c r="R5" s="111"/>
      <c r="S5" s="111"/>
      <c r="T5" s="111"/>
      <c r="U5" s="111"/>
    </row>
    <row r="6" spans="1:24" ht="15" customHeight="1" x14ac:dyDescent="0.15">
      <c r="B6" s="56"/>
      <c r="C6" s="56"/>
      <c r="D6" s="56"/>
      <c r="E6" s="56"/>
      <c r="F6" s="56"/>
      <c r="G6" s="56"/>
      <c r="H6" s="56"/>
      <c r="I6" s="56"/>
      <c r="J6" s="56"/>
      <c r="K6" s="56"/>
      <c r="L6" s="56"/>
      <c r="M6" s="56"/>
      <c r="N6" s="56"/>
      <c r="O6" s="56"/>
      <c r="P6" s="56"/>
      <c r="Q6" s="56"/>
      <c r="R6" s="56"/>
      <c r="S6" s="56"/>
      <c r="T6" s="56"/>
      <c r="U6" s="56"/>
    </row>
    <row r="7" spans="1:24" ht="15" customHeight="1" x14ac:dyDescent="0.15">
      <c r="A7" s="54" t="s">
        <v>117</v>
      </c>
      <c r="B7" s="56"/>
      <c r="C7" s="56"/>
      <c r="D7" s="56"/>
      <c r="E7" s="56"/>
      <c r="F7" s="67"/>
      <c r="G7" s="67"/>
      <c r="H7" s="67"/>
      <c r="I7" s="67"/>
      <c r="J7" s="67"/>
      <c r="K7" s="67"/>
      <c r="L7" s="148" t="s">
        <v>143</v>
      </c>
      <c r="M7" s="149"/>
      <c r="N7" s="149"/>
      <c r="O7" s="149"/>
      <c r="P7" s="149"/>
      <c r="Q7" s="149"/>
      <c r="R7" s="149"/>
      <c r="S7" s="149"/>
      <c r="T7" s="149"/>
      <c r="U7" s="150"/>
    </row>
    <row r="8" spans="1:24" ht="6" customHeight="1" x14ac:dyDescent="0.15">
      <c r="B8" s="56"/>
      <c r="C8" s="56"/>
      <c r="D8" s="56"/>
      <c r="E8" s="56"/>
      <c r="F8" s="56"/>
      <c r="G8" s="56"/>
      <c r="H8" s="56"/>
      <c r="I8" s="56"/>
      <c r="J8" s="56"/>
      <c r="K8" s="56"/>
      <c r="L8" s="56"/>
      <c r="M8" s="56"/>
      <c r="N8" s="56"/>
      <c r="O8" s="56"/>
      <c r="P8" s="56"/>
      <c r="Q8" s="56"/>
      <c r="R8" s="56"/>
      <c r="S8" s="56"/>
      <c r="T8" s="56"/>
      <c r="U8" s="56"/>
    </row>
    <row r="9" spans="1:24" ht="18" customHeight="1" x14ac:dyDescent="0.15">
      <c r="A9" s="54" t="s">
        <v>118</v>
      </c>
      <c r="C9" s="56"/>
      <c r="D9" s="56"/>
      <c r="K9" s="57"/>
      <c r="L9" s="67"/>
      <c r="M9" s="67"/>
      <c r="N9" s="67"/>
      <c r="O9" s="67"/>
      <c r="P9" s="67"/>
      <c r="Q9" s="67"/>
      <c r="R9" s="67"/>
      <c r="S9" s="67"/>
      <c r="T9" s="67"/>
      <c r="U9" s="67"/>
    </row>
    <row r="10" spans="1:24" ht="6" customHeight="1" x14ac:dyDescent="0.15">
      <c r="B10" s="56"/>
      <c r="C10" s="56"/>
      <c r="D10" s="56"/>
      <c r="E10" s="56"/>
      <c r="F10" s="56"/>
      <c r="G10" s="56"/>
      <c r="H10" s="56"/>
      <c r="I10" s="56"/>
      <c r="J10" s="56"/>
      <c r="K10" s="56"/>
      <c r="L10" s="58"/>
      <c r="M10" s="56"/>
      <c r="N10" s="56"/>
      <c r="O10" s="56"/>
      <c r="P10" s="56"/>
      <c r="Q10" s="56"/>
      <c r="R10" s="56"/>
      <c r="S10" s="56"/>
      <c r="T10" s="56"/>
      <c r="U10" s="56"/>
    </row>
    <row r="11" spans="1:24" ht="18" customHeight="1" x14ac:dyDescent="0.15">
      <c r="B11" s="151"/>
      <c r="C11" s="152"/>
      <c r="D11" s="152"/>
      <c r="E11" s="152"/>
      <c r="F11" s="152"/>
      <c r="G11" s="152"/>
      <c r="H11" s="152"/>
      <c r="I11" s="152"/>
      <c r="J11" s="152"/>
      <c r="K11" s="152"/>
      <c r="L11" s="152"/>
      <c r="M11" s="152"/>
      <c r="N11" s="152"/>
      <c r="O11" s="152"/>
      <c r="P11" s="152"/>
      <c r="Q11" s="152"/>
      <c r="R11" s="152"/>
      <c r="S11" s="152"/>
      <c r="T11" s="152"/>
      <c r="U11" s="153"/>
    </row>
    <row r="12" spans="1:24" ht="18" customHeight="1" x14ac:dyDescent="0.15">
      <c r="B12" s="154"/>
      <c r="C12" s="155"/>
      <c r="D12" s="155"/>
      <c r="E12" s="155"/>
      <c r="F12" s="155"/>
      <c r="G12" s="155"/>
      <c r="H12" s="155"/>
      <c r="I12" s="155"/>
      <c r="J12" s="155"/>
      <c r="K12" s="155"/>
      <c r="L12" s="155"/>
      <c r="M12" s="155"/>
      <c r="N12" s="155"/>
      <c r="O12" s="155"/>
      <c r="P12" s="155"/>
      <c r="Q12" s="155"/>
      <c r="R12" s="155"/>
      <c r="S12" s="155"/>
      <c r="T12" s="155"/>
      <c r="U12" s="156"/>
    </row>
    <row r="13" spans="1:24" ht="6" customHeight="1" x14ac:dyDescent="0.15">
      <c r="B13" s="56"/>
      <c r="C13" s="56"/>
      <c r="D13" s="56"/>
      <c r="E13" s="56"/>
      <c r="F13" s="56"/>
      <c r="G13" s="56"/>
      <c r="H13" s="56"/>
      <c r="I13" s="56"/>
      <c r="J13" s="56"/>
      <c r="K13" s="56"/>
      <c r="L13" s="58"/>
      <c r="M13" s="56"/>
      <c r="N13" s="56"/>
      <c r="O13" s="56"/>
      <c r="P13" s="56"/>
      <c r="Q13" s="56"/>
      <c r="R13" s="56"/>
      <c r="S13" s="56"/>
      <c r="T13" s="56"/>
      <c r="U13" s="56"/>
    </row>
    <row r="14" spans="1:24" ht="18" customHeight="1" x14ac:dyDescent="0.15">
      <c r="A14" s="54" t="s">
        <v>95</v>
      </c>
      <c r="B14" s="56"/>
      <c r="C14" s="56"/>
      <c r="D14" s="56"/>
      <c r="E14" s="57"/>
      <c r="F14" s="57"/>
      <c r="G14" s="57"/>
      <c r="H14" s="57"/>
      <c r="I14" s="57"/>
      <c r="J14" s="57"/>
      <c r="K14" s="57"/>
      <c r="L14" s="69"/>
      <c r="M14" s="69"/>
      <c r="N14" s="69"/>
      <c r="O14" s="69"/>
      <c r="P14" s="69"/>
      <c r="Q14" s="69"/>
      <c r="R14" s="69"/>
      <c r="S14" s="69"/>
      <c r="T14" s="69"/>
      <c r="U14" s="69"/>
    </row>
    <row r="15" spans="1:24" ht="18" customHeight="1" x14ac:dyDescent="0.15">
      <c r="B15" s="112" t="s">
        <v>166</v>
      </c>
      <c r="C15" s="113"/>
      <c r="D15" s="113"/>
      <c r="E15" s="113"/>
      <c r="F15" s="113"/>
      <c r="G15" s="113"/>
      <c r="H15" s="113"/>
      <c r="I15" s="113"/>
      <c r="J15" s="113"/>
      <c r="K15" s="113"/>
      <c r="L15" s="113"/>
      <c r="M15" s="113"/>
      <c r="N15" s="113"/>
      <c r="O15" s="113"/>
      <c r="P15" s="113"/>
      <c r="Q15" s="113"/>
      <c r="R15" s="113"/>
      <c r="S15" s="113"/>
      <c r="T15" s="113"/>
      <c r="U15" s="114"/>
      <c r="X15" s="54" t="s">
        <v>89</v>
      </c>
    </row>
    <row r="16" spans="1:24" ht="18" customHeight="1" x14ac:dyDescent="0.15">
      <c r="B16" s="115"/>
      <c r="C16" s="116"/>
      <c r="D16" s="116"/>
      <c r="E16" s="116"/>
      <c r="F16" s="116"/>
      <c r="G16" s="116"/>
      <c r="H16" s="116"/>
      <c r="I16" s="116"/>
      <c r="J16" s="116"/>
      <c r="K16" s="116"/>
      <c r="L16" s="116"/>
      <c r="M16" s="116"/>
      <c r="N16" s="116"/>
      <c r="O16" s="116"/>
      <c r="P16" s="116"/>
      <c r="Q16" s="116"/>
      <c r="R16" s="116"/>
      <c r="S16" s="116"/>
      <c r="T16" s="116"/>
      <c r="U16" s="117"/>
      <c r="X16" s="54" t="s">
        <v>122</v>
      </c>
    </row>
    <row r="17" spans="1:24" ht="18" customHeight="1" x14ac:dyDescent="0.15">
      <c r="B17" s="115"/>
      <c r="C17" s="116"/>
      <c r="D17" s="116"/>
      <c r="E17" s="116"/>
      <c r="F17" s="116"/>
      <c r="G17" s="116"/>
      <c r="H17" s="116"/>
      <c r="I17" s="116"/>
      <c r="J17" s="116"/>
      <c r="K17" s="116"/>
      <c r="L17" s="116"/>
      <c r="M17" s="116"/>
      <c r="N17" s="116"/>
      <c r="O17" s="116"/>
      <c r="P17" s="116"/>
      <c r="Q17" s="116"/>
      <c r="R17" s="116"/>
      <c r="S17" s="116"/>
      <c r="T17" s="116"/>
      <c r="U17" s="117"/>
      <c r="X17" s="54" t="s">
        <v>123</v>
      </c>
    </row>
    <row r="18" spans="1:24" ht="18" customHeight="1" x14ac:dyDescent="0.15">
      <c r="B18" s="115"/>
      <c r="C18" s="116"/>
      <c r="D18" s="116"/>
      <c r="E18" s="116"/>
      <c r="F18" s="116"/>
      <c r="G18" s="116"/>
      <c r="H18" s="116"/>
      <c r="I18" s="116"/>
      <c r="J18" s="116"/>
      <c r="K18" s="116"/>
      <c r="L18" s="116"/>
      <c r="M18" s="116"/>
      <c r="N18" s="116"/>
      <c r="O18" s="116"/>
      <c r="P18" s="116"/>
      <c r="Q18" s="116"/>
      <c r="R18" s="116"/>
      <c r="S18" s="116"/>
      <c r="T18" s="116"/>
      <c r="U18" s="117"/>
      <c r="X18" s="54" t="s">
        <v>124</v>
      </c>
    </row>
    <row r="19" spans="1:24" ht="18" customHeight="1" x14ac:dyDescent="0.15">
      <c r="B19" s="115"/>
      <c r="C19" s="116"/>
      <c r="D19" s="116"/>
      <c r="E19" s="116"/>
      <c r="F19" s="116"/>
      <c r="G19" s="116"/>
      <c r="H19" s="116"/>
      <c r="I19" s="116"/>
      <c r="J19" s="116"/>
      <c r="K19" s="116"/>
      <c r="L19" s="116"/>
      <c r="M19" s="116"/>
      <c r="N19" s="116"/>
      <c r="O19" s="116"/>
      <c r="P19" s="116"/>
      <c r="Q19" s="116"/>
      <c r="R19" s="116"/>
      <c r="S19" s="116"/>
      <c r="T19" s="116"/>
      <c r="U19" s="117"/>
    </row>
    <row r="20" spans="1:24" ht="18" customHeight="1" x14ac:dyDescent="0.15">
      <c r="B20" s="118"/>
      <c r="C20" s="119"/>
      <c r="D20" s="119"/>
      <c r="E20" s="119"/>
      <c r="F20" s="119"/>
      <c r="G20" s="119"/>
      <c r="H20" s="119"/>
      <c r="I20" s="119"/>
      <c r="J20" s="119"/>
      <c r="K20" s="119"/>
      <c r="L20" s="119"/>
      <c r="M20" s="119"/>
      <c r="N20" s="119"/>
      <c r="O20" s="119"/>
      <c r="P20" s="119"/>
      <c r="Q20" s="119"/>
      <c r="R20" s="119"/>
      <c r="S20" s="119"/>
      <c r="T20" s="119"/>
      <c r="U20" s="120"/>
    </row>
    <row r="21" spans="1:24" ht="7.5" customHeight="1" x14ac:dyDescent="0.15">
      <c r="B21" s="56"/>
      <c r="C21" s="56"/>
      <c r="D21" s="56"/>
      <c r="E21" s="56"/>
      <c r="F21" s="56"/>
      <c r="G21" s="56"/>
      <c r="H21" s="56"/>
      <c r="I21" s="56"/>
      <c r="J21" s="56"/>
      <c r="K21" s="56"/>
      <c r="L21" s="56"/>
      <c r="M21" s="56"/>
      <c r="N21" s="56"/>
      <c r="O21" s="56"/>
      <c r="P21" s="56"/>
      <c r="Q21" s="56"/>
      <c r="R21" s="56"/>
      <c r="S21" s="56"/>
      <c r="T21" s="56"/>
      <c r="U21" s="56"/>
    </row>
    <row r="22" spans="1:24" ht="19.899999999999999" customHeight="1" x14ac:dyDescent="0.15">
      <c r="B22" s="54" t="s">
        <v>119</v>
      </c>
      <c r="E22" s="66">
        <v>2</v>
      </c>
      <c r="F22" s="54" t="s">
        <v>107</v>
      </c>
      <c r="H22" s="66">
        <v>4</v>
      </c>
      <c r="I22" s="56" t="s">
        <v>108</v>
      </c>
      <c r="J22" s="56"/>
      <c r="K22" s="57"/>
      <c r="M22" s="57" t="s">
        <v>104</v>
      </c>
      <c r="N22" s="145" t="s">
        <v>122</v>
      </c>
      <c r="O22" s="146"/>
      <c r="P22" s="146"/>
      <c r="Q22" s="146"/>
      <c r="R22" s="146"/>
      <c r="S22" s="146"/>
      <c r="T22" s="146"/>
      <c r="U22" s="147"/>
    </row>
    <row r="23" spans="1:24" ht="7.5" customHeight="1" x14ac:dyDescent="0.15">
      <c r="B23" s="56"/>
      <c r="C23" s="56"/>
      <c r="D23" s="56"/>
      <c r="E23" s="56"/>
      <c r="F23" s="56"/>
      <c r="G23" s="56"/>
      <c r="H23" s="56"/>
      <c r="I23" s="56"/>
      <c r="J23" s="56"/>
      <c r="K23" s="56"/>
      <c r="L23" s="56"/>
      <c r="M23" s="56"/>
      <c r="N23" s="56"/>
      <c r="O23" s="56"/>
      <c r="P23" s="56"/>
      <c r="Q23" s="56"/>
      <c r="R23" s="56"/>
      <c r="S23" s="56"/>
      <c r="T23" s="56"/>
      <c r="U23" s="56"/>
    </row>
    <row r="24" spans="1:24" ht="18" customHeight="1" x14ac:dyDescent="0.15">
      <c r="A24" s="90" t="s">
        <v>96</v>
      </c>
      <c r="B24" s="90"/>
      <c r="C24" s="90"/>
      <c r="D24" s="90"/>
      <c r="E24" s="90"/>
      <c r="F24" s="90"/>
      <c r="G24" s="90"/>
      <c r="H24" s="90"/>
      <c r="I24" s="90"/>
      <c r="J24" s="90"/>
      <c r="K24" s="90"/>
      <c r="L24" s="90"/>
      <c r="M24" s="90"/>
      <c r="N24" s="90"/>
      <c r="O24" s="90"/>
      <c r="P24" s="90"/>
      <c r="Q24" s="90"/>
      <c r="R24" s="90"/>
      <c r="S24" s="90"/>
      <c r="T24" s="90"/>
      <c r="U24" s="90"/>
    </row>
    <row r="25" spans="1:24" ht="18" customHeight="1" x14ac:dyDescent="0.15">
      <c r="A25" s="90"/>
      <c r="B25" s="90"/>
      <c r="C25" s="90"/>
      <c r="D25" s="90"/>
      <c r="E25" s="90"/>
      <c r="F25" s="90"/>
      <c r="G25" s="90"/>
      <c r="H25" s="90"/>
      <c r="I25" s="90"/>
      <c r="J25" s="90"/>
      <c r="K25" s="90"/>
      <c r="L25" s="90"/>
      <c r="M25" s="90"/>
      <c r="N25" s="90"/>
      <c r="O25" s="90"/>
      <c r="P25" s="90"/>
      <c r="Q25" s="90"/>
      <c r="R25" s="90"/>
      <c r="S25" s="90"/>
      <c r="T25" s="90"/>
      <c r="U25" s="90"/>
    </row>
    <row r="26" spans="1:24" ht="18" customHeight="1" x14ac:dyDescent="0.15">
      <c r="B26" s="97" t="s">
        <v>48</v>
      </c>
      <c r="C26" s="98"/>
      <c r="D26" s="98"/>
      <c r="E26" s="98"/>
      <c r="F26" s="99"/>
      <c r="G26" s="70" t="s">
        <v>73</v>
      </c>
      <c r="H26" s="71" t="s">
        <v>76</v>
      </c>
      <c r="I26" s="72" t="s">
        <v>51</v>
      </c>
      <c r="J26" s="72" t="s">
        <v>54</v>
      </c>
      <c r="K26" s="97" t="s">
        <v>48</v>
      </c>
      <c r="L26" s="98"/>
      <c r="M26" s="98"/>
      <c r="N26" s="98"/>
      <c r="O26" s="98"/>
      <c r="P26" s="98"/>
      <c r="Q26" s="99"/>
      <c r="R26" s="70" t="s">
        <v>73</v>
      </c>
      <c r="S26" s="71" t="s">
        <v>76</v>
      </c>
      <c r="T26" s="72" t="s">
        <v>51</v>
      </c>
      <c r="U26" s="72" t="s">
        <v>54</v>
      </c>
    </row>
    <row r="27" spans="1:24" ht="18" customHeight="1" x14ac:dyDescent="0.15">
      <c r="B27" s="91" t="s">
        <v>146</v>
      </c>
      <c r="C27" s="92"/>
      <c r="D27" s="92"/>
      <c r="E27" s="92"/>
      <c r="F27" s="93"/>
      <c r="G27" s="73">
        <v>2</v>
      </c>
      <c r="H27" s="73" t="s">
        <v>147</v>
      </c>
      <c r="I27" s="73" t="s">
        <v>147</v>
      </c>
      <c r="J27" s="73" t="s">
        <v>147</v>
      </c>
      <c r="K27" s="91"/>
      <c r="L27" s="92"/>
      <c r="M27" s="92"/>
      <c r="N27" s="92"/>
      <c r="O27" s="92"/>
      <c r="P27" s="92"/>
      <c r="Q27" s="93"/>
      <c r="R27" s="73"/>
      <c r="S27" s="73"/>
      <c r="T27" s="73"/>
      <c r="U27" s="73"/>
    </row>
    <row r="28" spans="1:24" ht="18" customHeight="1" x14ac:dyDescent="0.15">
      <c r="B28" s="84"/>
      <c r="C28" s="85"/>
      <c r="D28" s="85"/>
      <c r="E28" s="85"/>
      <c r="F28" s="86"/>
      <c r="G28" s="74"/>
      <c r="H28" s="74"/>
      <c r="I28" s="74"/>
      <c r="J28" s="74"/>
      <c r="K28" s="84"/>
      <c r="L28" s="85"/>
      <c r="M28" s="85"/>
      <c r="N28" s="85"/>
      <c r="O28" s="85"/>
      <c r="P28" s="85"/>
      <c r="Q28" s="86"/>
      <c r="R28" s="74"/>
      <c r="S28" s="74"/>
      <c r="T28" s="74"/>
      <c r="U28" s="74"/>
    </row>
    <row r="29" spans="1:24" ht="18" customHeight="1" x14ac:dyDescent="0.15">
      <c r="B29" s="84"/>
      <c r="C29" s="85"/>
      <c r="D29" s="85"/>
      <c r="E29" s="85"/>
      <c r="F29" s="86"/>
      <c r="G29" s="74"/>
      <c r="H29" s="74"/>
      <c r="I29" s="74"/>
      <c r="J29" s="74"/>
      <c r="K29" s="84"/>
      <c r="L29" s="85"/>
      <c r="M29" s="85"/>
      <c r="N29" s="85"/>
      <c r="O29" s="85"/>
      <c r="P29" s="85"/>
      <c r="Q29" s="86"/>
      <c r="R29" s="74"/>
      <c r="S29" s="74"/>
      <c r="T29" s="74"/>
      <c r="U29" s="74"/>
    </row>
    <row r="30" spans="1:24" ht="18" customHeight="1" x14ac:dyDescent="0.15">
      <c r="B30" s="84"/>
      <c r="C30" s="85"/>
      <c r="D30" s="85"/>
      <c r="E30" s="85"/>
      <c r="F30" s="86"/>
      <c r="G30" s="74"/>
      <c r="H30" s="74"/>
      <c r="I30" s="74"/>
      <c r="J30" s="74"/>
      <c r="K30" s="84"/>
      <c r="L30" s="85"/>
      <c r="M30" s="85"/>
      <c r="N30" s="85"/>
      <c r="O30" s="85"/>
      <c r="P30" s="85"/>
      <c r="Q30" s="86"/>
      <c r="R30" s="74"/>
      <c r="S30" s="74"/>
      <c r="T30" s="74"/>
      <c r="U30" s="74"/>
    </row>
    <row r="31" spans="1:24" ht="18" customHeight="1" x14ac:dyDescent="0.15">
      <c r="B31" s="84"/>
      <c r="C31" s="85"/>
      <c r="D31" s="85"/>
      <c r="E31" s="85"/>
      <c r="F31" s="86"/>
      <c r="G31" s="74"/>
      <c r="H31" s="74"/>
      <c r="I31" s="74"/>
      <c r="J31" s="74"/>
      <c r="K31" s="84"/>
      <c r="L31" s="85"/>
      <c r="M31" s="85"/>
      <c r="N31" s="85"/>
      <c r="O31" s="85"/>
      <c r="P31" s="85"/>
      <c r="Q31" s="86"/>
      <c r="R31" s="74"/>
      <c r="S31" s="74"/>
      <c r="T31" s="74"/>
      <c r="U31" s="74"/>
    </row>
    <row r="32" spans="1:24" ht="18" customHeight="1" x14ac:dyDescent="0.15">
      <c r="A32" s="56"/>
      <c r="B32" s="84"/>
      <c r="C32" s="85"/>
      <c r="D32" s="85"/>
      <c r="E32" s="85"/>
      <c r="F32" s="86"/>
      <c r="G32" s="74"/>
      <c r="H32" s="74"/>
      <c r="I32" s="74"/>
      <c r="J32" s="74"/>
      <c r="K32" s="84"/>
      <c r="L32" s="85"/>
      <c r="M32" s="85"/>
      <c r="N32" s="85"/>
      <c r="O32" s="85"/>
      <c r="P32" s="85"/>
      <c r="Q32" s="86"/>
      <c r="R32" s="74"/>
      <c r="S32" s="74"/>
      <c r="T32" s="74"/>
      <c r="U32" s="74"/>
    </row>
    <row r="33" spans="1:21" ht="18" customHeight="1" x14ac:dyDescent="0.15">
      <c r="A33" s="56"/>
      <c r="B33" s="87"/>
      <c r="C33" s="88"/>
      <c r="D33" s="88"/>
      <c r="E33" s="88"/>
      <c r="F33" s="89"/>
      <c r="G33" s="75"/>
      <c r="H33" s="75"/>
      <c r="I33" s="76"/>
      <c r="J33" s="76"/>
      <c r="K33" s="87"/>
      <c r="L33" s="88"/>
      <c r="M33" s="88"/>
      <c r="N33" s="88"/>
      <c r="O33" s="88"/>
      <c r="P33" s="88"/>
      <c r="Q33" s="89"/>
      <c r="R33" s="75"/>
      <c r="S33" s="75"/>
      <c r="T33" s="76"/>
      <c r="U33" s="76"/>
    </row>
    <row r="34" spans="1:21" ht="7.5" customHeight="1" x14ac:dyDescent="0.15">
      <c r="A34" s="56"/>
      <c r="B34" s="55"/>
      <c r="C34" s="55"/>
      <c r="D34" s="55"/>
      <c r="E34" s="56"/>
      <c r="F34" s="56"/>
      <c r="G34" s="56"/>
      <c r="H34" s="56"/>
      <c r="I34" s="55"/>
      <c r="J34" s="55"/>
      <c r="K34" s="55"/>
      <c r="L34" s="55"/>
      <c r="M34" s="55"/>
      <c r="N34" s="55"/>
      <c r="O34" s="55"/>
      <c r="P34" s="55"/>
      <c r="Q34" s="55"/>
      <c r="R34" s="55"/>
      <c r="S34" s="55"/>
      <c r="T34" s="55"/>
      <c r="U34" s="56"/>
    </row>
    <row r="35" spans="1:21" ht="18" customHeight="1" x14ac:dyDescent="0.15">
      <c r="A35" s="90" t="s">
        <v>97</v>
      </c>
      <c r="B35" s="90"/>
      <c r="C35" s="90"/>
      <c r="D35" s="90"/>
      <c r="E35" s="90"/>
      <c r="F35" s="90"/>
      <c r="G35" s="90"/>
      <c r="H35" s="90"/>
      <c r="I35" s="90"/>
      <c r="J35" s="90"/>
      <c r="K35" s="90"/>
      <c r="L35" s="90"/>
      <c r="M35" s="90"/>
      <c r="N35" s="90"/>
      <c r="O35" s="90"/>
      <c r="P35" s="90"/>
      <c r="Q35" s="90"/>
      <c r="R35" s="90"/>
      <c r="S35" s="90"/>
      <c r="T35" s="90"/>
      <c r="U35" s="90"/>
    </row>
    <row r="36" spans="1:21" ht="18" customHeight="1" x14ac:dyDescent="0.15">
      <c r="A36" s="90"/>
      <c r="B36" s="90"/>
      <c r="C36" s="90"/>
      <c r="D36" s="90"/>
      <c r="E36" s="90"/>
      <c r="F36" s="90"/>
      <c r="G36" s="90"/>
      <c r="H36" s="90"/>
      <c r="I36" s="90"/>
      <c r="J36" s="90"/>
      <c r="K36" s="90"/>
      <c r="L36" s="90"/>
      <c r="M36" s="90"/>
      <c r="N36" s="90"/>
      <c r="O36" s="90"/>
      <c r="P36" s="90"/>
      <c r="Q36" s="90"/>
      <c r="R36" s="90"/>
      <c r="S36" s="90"/>
      <c r="T36" s="90"/>
      <c r="U36" s="90"/>
    </row>
    <row r="37" spans="1:21" ht="18" customHeight="1" x14ac:dyDescent="0.15">
      <c r="B37" s="97" t="s">
        <v>48</v>
      </c>
      <c r="C37" s="98"/>
      <c r="D37" s="98"/>
      <c r="E37" s="98"/>
      <c r="F37" s="99"/>
      <c r="G37" s="70" t="s">
        <v>73</v>
      </c>
      <c r="H37" s="71" t="s">
        <v>76</v>
      </c>
      <c r="I37" s="72" t="s">
        <v>64</v>
      </c>
      <c r="J37" s="72" t="s">
        <v>65</v>
      </c>
      <c r="K37" s="97" t="s">
        <v>48</v>
      </c>
      <c r="L37" s="98"/>
      <c r="M37" s="98"/>
      <c r="N37" s="98"/>
      <c r="O37" s="98"/>
      <c r="P37" s="98"/>
      <c r="Q37" s="99"/>
      <c r="R37" s="70" t="s">
        <v>73</v>
      </c>
      <c r="S37" s="71" t="s">
        <v>76</v>
      </c>
      <c r="T37" s="72" t="s">
        <v>64</v>
      </c>
      <c r="U37" s="72" t="s">
        <v>65</v>
      </c>
    </row>
    <row r="38" spans="1:21" ht="18" customHeight="1" x14ac:dyDescent="0.15">
      <c r="B38" s="91" t="s">
        <v>146</v>
      </c>
      <c r="C38" s="92"/>
      <c r="D38" s="92"/>
      <c r="E38" s="92"/>
      <c r="F38" s="93"/>
      <c r="G38" s="73">
        <v>2</v>
      </c>
      <c r="H38" s="73" t="s">
        <v>147</v>
      </c>
      <c r="I38" s="73" t="s">
        <v>147</v>
      </c>
      <c r="J38" s="73" t="s">
        <v>147</v>
      </c>
      <c r="K38" s="91"/>
      <c r="L38" s="92"/>
      <c r="M38" s="92"/>
      <c r="N38" s="92"/>
      <c r="O38" s="92"/>
      <c r="P38" s="92"/>
      <c r="Q38" s="93"/>
      <c r="R38" s="73"/>
      <c r="S38" s="73"/>
      <c r="T38" s="73"/>
      <c r="U38" s="73"/>
    </row>
    <row r="39" spans="1:21" ht="18" customHeight="1" x14ac:dyDescent="0.15">
      <c r="B39" s="84"/>
      <c r="C39" s="85"/>
      <c r="D39" s="85"/>
      <c r="E39" s="85"/>
      <c r="F39" s="86"/>
      <c r="G39" s="74"/>
      <c r="H39" s="74"/>
      <c r="I39" s="74"/>
      <c r="J39" s="74"/>
      <c r="K39" s="84"/>
      <c r="L39" s="85"/>
      <c r="M39" s="85"/>
      <c r="N39" s="85"/>
      <c r="O39" s="85"/>
      <c r="P39" s="85"/>
      <c r="Q39" s="86"/>
      <c r="R39" s="74"/>
      <c r="S39" s="74"/>
      <c r="T39" s="74"/>
      <c r="U39" s="74"/>
    </row>
    <row r="40" spans="1:21" ht="18" customHeight="1" x14ac:dyDescent="0.15">
      <c r="B40" s="84"/>
      <c r="C40" s="85"/>
      <c r="D40" s="85"/>
      <c r="E40" s="85"/>
      <c r="F40" s="86"/>
      <c r="G40" s="74"/>
      <c r="H40" s="74"/>
      <c r="I40" s="74"/>
      <c r="J40" s="74"/>
      <c r="K40" s="84"/>
      <c r="L40" s="85"/>
      <c r="M40" s="85"/>
      <c r="N40" s="85"/>
      <c r="O40" s="85"/>
      <c r="P40" s="85"/>
      <c r="Q40" s="86"/>
      <c r="R40" s="74"/>
      <c r="S40" s="74"/>
      <c r="T40" s="74"/>
      <c r="U40" s="74"/>
    </row>
    <row r="41" spans="1:21" ht="18" customHeight="1" x14ac:dyDescent="0.15">
      <c r="B41" s="84"/>
      <c r="C41" s="85"/>
      <c r="D41" s="85"/>
      <c r="E41" s="85"/>
      <c r="F41" s="86"/>
      <c r="G41" s="74"/>
      <c r="H41" s="74"/>
      <c r="I41" s="74"/>
      <c r="J41" s="74"/>
      <c r="K41" s="84"/>
      <c r="L41" s="85"/>
      <c r="M41" s="85"/>
      <c r="N41" s="85"/>
      <c r="O41" s="85"/>
      <c r="P41" s="85"/>
      <c r="Q41" s="86"/>
      <c r="R41" s="74"/>
      <c r="S41" s="74"/>
      <c r="T41" s="74"/>
      <c r="U41" s="74"/>
    </row>
    <row r="42" spans="1:21" ht="18" customHeight="1" x14ac:dyDescent="0.15">
      <c r="B42" s="84"/>
      <c r="C42" s="85"/>
      <c r="D42" s="85"/>
      <c r="E42" s="85"/>
      <c r="F42" s="86"/>
      <c r="G42" s="74"/>
      <c r="H42" s="74"/>
      <c r="I42" s="74"/>
      <c r="J42" s="74"/>
      <c r="K42" s="84"/>
      <c r="L42" s="85"/>
      <c r="M42" s="85"/>
      <c r="N42" s="85"/>
      <c r="O42" s="85"/>
      <c r="P42" s="85"/>
      <c r="Q42" s="86"/>
      <c r="R42" s="74"/>
      <c r="S42" s="74"/>
      <c r="T42" s="74"/>
      <c r="U42" s="74"/>
    </row>
    <row r="43" spans="1:21" ht="18" customHeight="1" x14ac:dyDescent="0.15">
      <c r="B43" s="84"/>
      <c r="C43" s="85"/>
      <c r="D43" s="85"/>
      <c r="E43" s="85"/>
      <c r="F43" s="86"/>
      <c r="G43" s="74"/>
      <c r="H43" s="74"/>
      <c r="I43" s="74"/>
      <c r="J43" s="74"/>
      <c r="K43" s="84"/>
      <c r="L43" s="85"/>
      <c r="M43" s="85"/>
      <c r="N43" s="85"/>
      <c r="O43" s="85"/>
      <c r="P43" s="85"/>
      <c r="Q43" s="86"/>
      <c r="R43" s="74"/>
      <c r="S43" s="74"/>
      <c r="T43" s="74"/>
      <c r="U43" s="74"/>
    </row>
    <row r="44" spans="1:21" ht="18" customHeight="1" x14ac:dyDescent="0.15">
      <c r="B44" s="87"/>
      <c r="C44" s="88"/>
      <c r="D44" s="88"/>
      <c r="E44" s="88"/>
      <c r="F44" s="89"/>
      <c r="G44" s="75"/>
      <c r="H44" s="75"/>
      <c r="I44" s="76"/>
      <c r="J44" s="76"/>
      <c r="K44" s="87"/>
      <c r="L44" s="88"/>
      <c r="M44" s="88"/>
      <c r="N44" s="88"/>
      <c r="O44" s="88"/>
      <c r="P44" s="88"/>
      <c r="Q44" s="89"/>
      <c r="R44" s="75"/>
      <c r="S44" s="75"/>
      <c r="T44" s="76"/>
      <c r="U44" s="76"/>
    </row>
    <row r="45" spans="1:21" ht="7.5" customHeight="1" x14ac:dyDescent="0.15">
      <c r="A45" s="56"/>
      <c r="B45" s="55"/>
      <c r="C45" s="55"/>
      <c r="D45" s="55"/>
      <c r="E45" s="56"/>
      <c r="F45" s="56"/>
      <c r="G45" s="56"/>
      <c r="H45" s="56"/>
      <c r="I45" s="55"/>
      <c r="J45" s="55"/>
      <c r="K45" s="55"/>
      <c r="L45" s="55"/>
      <c r="M45" s="55"/>
      <c r="N45" s="55"/>
      <c r="O45" s="55"/>
      <c r="P45" s="55"/>
      <c r="Q45" s="55"/>
      <c r="R45" s="55"/>
      <c r="S45" s="55"/>
      <c r="T45" s="55"/>
      <c r="U45" s="56"/>
    </row>
    <row r="46" spans="1:21" ht="18" customHeight="1" x14ac:dyDescent="0.15">
      <c r="A46" s="90" t="s">
        <v>98</v>
      </c>
      <c r="B46" s="90"/>
      <c r="C46" s="90"/>
      <c r="D46" s="90"/>
      <c r="E46" s="90"/>
      <c r="F46" s="90"/>
      <c r="G46" s="90"/>
      <c r="H46" s="90"/>
      <c r="I46" s="90"/>
      <c r="J46" s="90"/>
      <c r="K46" s="90"/>
      <c r="L46" s="90"/>
      <c r="M46" s="90"/>
      <c r="N46" s="90"/>
      <c r="O46" s="90"/>
      <c r="P46" s="90"/>
      <c r="Q46" s="90"/>
      <c r="R46" s="90"/>
      <c r="S46" s="90"/>
      <c r="T46" s="90"/>
      <c r="U46" s="90"/>
    </row>
    <row r="47" spans="1:21" ht="18" customHeight="1" x14ac:dyDescent="0.15">
      <c r="A47" s="90"/>
      <c r="B47" s="90"/>
      <c r="C47" s="90"/>
      <c r="D47" s="90"/>
      <c r="E47" s="90"/>
      <c r="F47" s="90"/>
      <c r="G47" s="90"/>
      <c r="H47" s="90"/>
      <c r="I47" s="90"/>
      <c r="J47" s="90"/>
      <c r="K47" s="90"/>
      <c r="L47" s="90"/>
      <c r="M47" s="90"/>
      <c r="N47" s="90"/>
      <c r="O47" s="90"/>
      <c r="P47" s="90"/>
      <c r="Q47" s="90"/>
      <c r="R47" s="90"/>
      <c r="S47" s="90"/>
      <c r="T47" s="90"/>
      <c r="U47" s="90"/>
    </row>
    <row r="48" spans="1:21" ht="18" customHeight="1" x14ac:dyDescent="0.15">
      <c r="B48" s="97" t="s">
        <v>48</v>
      </c>
      <c r="C48" s="98"/>
      <c r="D48" s="98"/>
      <c r="E48" s="98"/>
      <c r="F48" s="99"/>
      <c r="G48" s="70" t="s">
        <v>73</v>
      </c>
      <c r="H48" s="71" t="s">
        <v>76</v>
      </c>
      <c r="I48" s="72" t="s">
        <v>66</v>
      </c>
      <c r="J48" s="72" t="s">
        <v>67</v>
      </c>
      <c r="K48" s="97" t="s">
        <v>48</v>
      </c>
      <c r="L48" s="98"/>
      <c r="M48" s="98"/>
      <c r="N48" s="98"/>
      <c r="O48" s="98"/>
      <c r="P48" s="98"/>
      <c r="Q48" s="99"/>
      <c r="R48" s="70" t="s">
        <v>73</v>
      </c>
      <c r="S48" s="71" t="s">
        <v>76</v>
      </c>
      <c r="T48" s="72" t="s">
        <v>66</v>
      </c>
      <c r="U48" s="72" t="s">
        <v>67</v>
      </c>
    </row>
    <row r="49" spans="1:21" ht="18" customHeight="1" x14ac:dyDescent="0.15">
      <c r="A49" s="56"/>
      <c r="B49" s="91" t="s">
        <v>148</v>
      </c>
      <c r="C49" s="92"/>
      <c r="D49" s="92"/>
      <c r="E49" s="92"/>
      <c r="F49" s="93"/>
      <c r="G49" s="73">
        <v>2</v>
      </c>
      <c r="H49" s="73" t="s">
        <v>147</v>
      </c>
      <c r="I49" s="73" t="s">
        <v>147</v>
      </c>
      <c r="J49" s="73"/>
      <c r="K49" s="91"/>
      <c r="L49" s="92"/>
      <c r="M49" s="92"/>
      <c r="N49" s="92"/>
      <c r="O49" s="92"/>
      <c r="P49" s="92"/>
      <c r="Q49" s="93"/>
      <c r="R49" s="73"/>
      <c r="S49" s="73"/>
      <c r="T49" s="73"/>
      <c r="U49" s="73"/>
    </row>
    <row r="50" spans="1:21" ht="18" customHeight="1" x14ac:dyDescent="0.15">
      <c r="A50" s="56"/>
      <c r="B50" s="84" t="s">
        <v>146</v>
      </c>
      <c r="C50" s="85"/>
      <c r="D50" s="85"/>
      <c r="E50" s="85"/>
      <c r="F50" s="86"/>
      <c r="G50" s="74">
        <v>2</v>
      </c>
      <c r="H50" s="74" t="s">
        <v>147</v>
      </c>
      <c r="I50" s="74" t="s">
        <v>147</v>
      </c>
      <c r="J50" s="74" t="s">
        <v>147</v>
      </c>
      <c r="K50" s="84"/>
      <c r="L50" s="85"/>
      <c r="M50" s="85"/>
      <c r="N50" s="85"/>
      <c r="O50" s="85"/>
      <c r="P50" s="85"/>
      <c r="Q50" s="86"/>
      <c r="R50" s="74"/>
      <c r="S50" s="74"/>
      <c r="T50" s="74"/>
      <c r="U50" s="74"/>
    </row>
    <row r="51" spans="1:21" ht="18" customHeight="1" x14ac:dyDescent="0.15">
      <c r="A51" s="56"/>
      <c r="B51" s="84"/>
      <c r="C51" s="85"/>
      <c r="D51" s="85"/>
      <c r="E51" s="85"/>
      <c r="F51" s="86"/>
      <c r="G51" s="74"/>
      <c r="H51" s="74"/>
      <c r="I51" s="74"/>
      <c r="J51" s="74"/>
      <c r="K51" s="84"/>
      <c r="L51" s="85"/>
      <c r="M51" s="85"/>
      <c r="N51" s="85"/>
      <c r="O51" s="85"/>
      <c r="P51" s="85"/>
      <c r="Q51" s="86"/>
      <c r="R51" s="74"/>
      <c r="S51" s="74"/>
      <c r="T51" s="74"/>
      <c r="U51" s="74"/>
    </row>
    <row r="52" spans="1:21" ht="18" customHeight="1" x14ac:dyDescent="0.15">
      <c r="A52" s="56"/>
      <c r="B52" s="84"/>
      <c r="C52" s="85"/>
      <c r="D52" s="85"/>
      <c r="E52" s="85"/>
      <c r="F52" s="86"/>
      <c r="G52" s="74"/>
      <c r="H52" s="74"/>
      <c r="I52" s="74"/>
      <c r="J52" s="74"/>
      <c r="K52" s="84"/>
      <c r="L52" s="85"/>
      <c r="M52" s="85"/>
      <c r="N52" s="85"/>
      <c r="O52" s="85"/>
      <c r="P52" s="85"/>
      <c r="Q52" s="86"/>
      <c r="R52" s="74"/>
      <c r="S52" s="74"/>
      <c r="T52" s="74"/>
      <c r="U52" s="74"/>
    </row>
    <row r="53" spans="1:21" ht="18" customHeight="1" x14ac:dyDescent="0.15">
      <c r="A53" s="56"/>
      <c r="B53" s="84"/>
      <c r="C53" s="85"/>
      <c r="D53" s="85"/>
      <c r="E53" s="85"/>
      <c r="F53" s="86"/>
      <c r="G53" s="74"/>
      <c r="H53" s="74"/>
      <c r="I53" s="74"/>
      <c r="J53" s="74"/>
      <c r="K53" s="84"/>
      <c r="L53" s="85"/>
      <c r="M53" s="85"/>
      <c r="N53" s="85"/>
      <c r="O53" s="85"/>
      <c r="P53" s="85"/>
      <c r="Q53" s="86"/>
      <c r="R53" s="74"/>
      <c r="S53" s="74"/>
      <c r="T53" s="74"/>
      <c r="U53" s="74"/>
    </row>
    <row r="54" spans="1:21" ht="18" customHeight="1" x14ac:dyDescent="0.15">
      <c r="A54" s="56"/>
      <c r="B54" s="84"/>
      <c r="C54" s="85"/>
      <c r="D54" s="85"/>
      <c r="E54" s="85"/>
      <c r="F54" s="86"/>
      <c r="G54" s="74"/>
      <c r="H54" s="74"/>
      <c r="I54" s="74"/>
      <c r="J54" s="74"/>
      <c r="K54" s="84"/>
      <c r="L54" s="85"/>
      <c r="M54" s="85"/>
      <c r="N54" s="85"/>
      <c r="O54" s="85"/>
      <c r="P54" s="85"/>
      <c r="Q54" s="86"/>
      <c r="R54" s="74"/>
      <c r="S54" s="74"/>
      <c r="T54" s="74"/>
      <c r="U54" s="74"/>
    </row>
    <row r="55" spans="1:21" ht="18" customHeight="1" x14ac:dyDescent="0.15">
      <c r="A55" s="56"/>
      <c r="B55" s="87"/>
      <c r="C55" s="88"/>
      <c r="D55" s="88"/>
      <c r="E55" s="88"/>
      <c r="F55" s="89"/>
      <c r="G55" s="75"/>
      <c r="H55" s="75"/>
      <c r="I55" s="76"/>
      <c r="J55" s="76"/>
      <c r="K55" s="87"/>
      <c r="L55" s="88"/>
      <c r="M55" s="88"/>
      <c r="N55" s="88"/>
      <c r="O55" s="88"/>
      <c r="P55" s="88"/>
      <c r="Q55" s="89"/>
      <c r="R55" s="75"/>
      <c r="S55" s="75"/>
      <c r="T55" s="76"/>
      <c r="U55" s="76"/>
    </row>
    <row r="56" spans="1:21" ht="7.5" customHeight="1" x14ac:dyDescent="0.15">
      <c r="B56" s="77"/>
      <c r="C56" s="77"/>
      <c r="D56" s="77"/>
      <c r="E56" s="77"/>
      <c r="F56" s="77"/>
      <c r="G56" s="77"/>
      <c r="H56" s="77"/>
      <c r="I56" s="77"/>
      <c r="J56" s="77"/>
      <c r="K56" s="77"/>
      <c r="L56" s="77"/>
      <c r="M56" s="77"/>
      <c r="N56" s="77"/>
      <c r="O56" s="77"/>
      <c r="P56" s="77"/>
      <c r="Q56" s="77"/>
      <c r="R56" s="77"/>
      <c r="S56" s="77"/>
      <c r="T56" s="77"/>
    </row>
    <row r="57" spans="1:21" ht="18" customHeight="1" x14ac:dyDescent="0.15">
      <c r="A57" s="90" t="s">
        <v>99</v>
      </c>
      <c r="B57" s="90"/>
      <c r="C57" s="90"/>
      <c r="D57" s="90"/>
      <c r="E57" s="90"/>
      <c r="F57" s="90"/>
      <c r="G57" s="90"/>
      <c r="H57" s="90"/>
      <c r="I57" s="90"/>
      <c r="J57" s="90"/>
      <c r="K57" s="90"/>
      <c r="L57" s="90"/>
      <c r="M57" s="90"/>
      <c r="N57" s="90"/>
      <c r="O57" s="90"/>
      <c r="P57" s="90"/>
      <c r="Q57" s="90"/>
      <c r="R57" s="90"/>
      <c r="S57" s="90"/>
      <c r="T57" s="90"/>
      <c r="U57" s="90"/>
    </row>
    <row r="58" spans="1:21" ht="18" customHeight="1" x14ac:dyDescent="0.15">
      <c r="A58" s="90"/>
      <c r="B58" s="90"/>
      <c r="C58" s="90"/>
      <c r="D58" s="90"/>
      <c r="E58" s="90"/>
      <c r="F58" s="90"/>
      <c r="G58" s="90"/>
      <c r="H58" s="90"/>
      <c r="I58" s="90"/>
      <c r="J58" s="90"/>
      <c r="K58" s="90"/>
      <c r="L58" s="90"/>
      <c r="M58" s="90"/>
      <c r="N58" s="90"/>
      <c r="O58" s="90"/>
      <c r="P58" s="90"/>
      <c r="Q58" s="90"/>
      <c r="R58" s="90"/>
      <c r="S58" s="90"/>
      <c r="T58" s="90"/>
      <c r="U58" s="90"/>
    </row>
    <row r="59" spans="1:21" ht="18" customHeight="1" x14ac:dyDescent="0.15">
      <c r="B59" s="97" t="s">
        <v>48</v>
      </c>
      <c r="C59" s="98"/>
      <c r="D59" s="98"/>
      <c r="E59" s="98"/>
      <c r="F59" s="99"/>
      <c r="G59" s="70" t="s">
        <v>73</v>
      </c>
      <c r="H59" s="71" t="s">
        <v>76</v>
      </c>
      <c r="I59" s="72" t="s">
        <v>53</v>
      </c>
      <c r="J59" s="72" t="s">
        <v>55</v>
      </c>
      <c r="K59" s="97" t="s">
        <v>48</v>
      </c>
      <c r="L59" s="98"/>
      <c r="M59" s="98"/>
      <c r="N59" s="98"/>
      <c r="O59" s="98"/>
      <c r="P59" s="98"/>
      <c r="Q59" s="99"/>
      <c r="R59" s="70" t="s">
        <v>73</v>
      </c>
      <c r="S59" s="71" t="s">
        <v>76</v>
      </c>
      <c r="T59" s="72" t="s">
        <v>53</v>
      </c>
      <c r="U59" s="72" t="s">
        <v>55</v>
      </c>
    </row>
    <row r="60" spans="1:21" ht="18" customHeight="1" x14ac:dyDescent="0.15">
      <c r="A60" s="56"/>
      <c r="B60" s="91" t="s">
        <v>148</v>
      </c>
      <c r="C60" s="92"/>
      <c r="D60" s="92"/>
      <c r="E60" s="92"/>
      <c r="F60" s="93"/>
      <c r="G60" s="73">
        <v>2</v>
      </c>
      <c r="H60" s="73" t="s">
        <v>147</v>
      </c>
      <c r="I60" s="73"/>
      <c r="J60" s="73" t="s">
        <v>147</v>
      </c>
      <c r="K60" s="91"/>
      <c r="L60" s="92"/>
      <c r="M60" s="92"/>
      <c r="N60" s="92"/>
      <c r="O60" s="92"/>
      <c r="P60" s="92"/>
      <c r="Q60" s="93"/>
      <c r="R60" s="73"/>
      <c r="S60" s="73"/>
      <c r="T60" s="73"/>
      <c r="U60" s="73"/>
    </row>
    <row r="61" spans="1:21" ht="18" customHeight="1" x14ac:dyDescent="0.15">
      <c r="A61" s="56"/>
      <c r="B61" s="84" t="s">
        <v>146</v>
      </c>
      <c r="C61" s="85"/>
      <c r="D61" s="85"/>
      <c r="E61" s="85"/>
      <c r="F61" s="86"/>
      <c r="G61" s="74">
        <v>2</v>
      </c>
      <c r="H61" s="74" t="s">
        <v>147</v>
      </c>
      <c r="I61" s="74" t="s">
        <v>147</v>
      </c>
      <c r="J61" s="74" t="s">
        <v>147</v>
      </c>
      <c r="K61" s="84"/>
      <c r="L61" s="85"/>
      <c r="M61" s="85"/>
      <c r="N61" s="85"/>
      <c r="O61" s="85"/>
      <c r="P61" s="85"/>
      <c r="Q61" s="86"/>
      <c r="R61" s="74"/>
      <c r="S61" s="74"/>
      <c r="T61" s="74"/>
      <c r="U61" s="74"/>
    </row>
    <row r="62" spans="1:21" ht="18" customHeight="1" x14ac:dyDescent="0.15">
      <c r="A62" s="56"/>
      <c r="B62" s="84"/>
      <c r="C62" s="85"/>
      <c r="D62" s="85"/>
      <c r="E62" s="85"/>
      <c r="F62" s="86"/>
      <c r="G62" s="74"/>
      <c r="H62" s="74"/>
      <c r="I62" s="74"/>
      <c r="J62" s="74"/>
      <c r="K62" s="84"/>
      <c r="L62" s="85"/>
      <c r="M62" s="85"/>
      <c r="N62" s="85"/>
      <c r="O62" s="85"/>
      <c r="P62" s="85"/>
      <c r="Q62" s="86"/>
      <c r="R62" s="74"/>
      <c r="S62" s="74"/>
      <c r="T62" s="74"/>
      <c r="U62" s="74"/>
    </row>
    <row r="63" spans="1:21" ht="18" customHeight="1" x14ac:dyDescent="0.15">
      <c r="A63" s="56"/>
      <c r="B63" s="84"/>
      <c r="C63" s="85"/>
      <c r="D63" s="85"/>
      <c r="E63" s="85"/>
      <c r="F63" s="86"/>
      <c r="G63" s="74"/>
      <c r="H63" s="74"/>
      <c r="I63" s="74"/>
      <c r="J63" s="74"/>
      <c r="K63" s="84"/>
      <c r="L63" s="85"/>
      <c r="M63" s="85"/>
      <c r="N63" s="85"/>
      <c r="O63" s="85"/>
      <c r="P63" s="85"/>
      <c r="Q63" s="86"/>
      <c r="R63" s="74"/>
      <c r="S63" s="74"/>
      <c r="T63" s="74"/>
      <c r="U63" s="74"/>
    </row>
    <row r="64" spans="1:21" ht="18" customHeight="1" x14ac:dyDescent="0.15">
      <c r="A64" s="56"/>
      <c r="B64" s="84"/>
      <c r="C64" s="85"/>
      <c r="D64" s="85"/>
      <c r="E64" s="85"/>
      <c r="F64" s="86"/>
      <c r="G64" s="74"/>
      <c r="H64" s="74"/>
      <c r="I64" s="74"/>
      <c r="J64" s="74"/>
      <c r="K64" s="84"/>
      <c r="L64" s="85"/>
      <c r="M64" s="85"/>
      <c r="N64" s="85"/>
      <c r="O64" s="85"/>
      <c r="P64" s="85"/>
      <c r="Q64" s="86"/>
      <c r="R64" s="74"/>
      <c r="S64" s="74"/>
      <c r="T64" s="74"/>
      <c r="U64" s="74"/>
    </row>
    <row r="65" spans="1:27" ht="18" customHeight="1" x14ac:dyDescent="0.15">
      <c r="A65" s="56"/>
      <c r="B65" s="84"/>
      <c r="C65" s="85"/>
      <c r="D65" s="85"/>
      <c r="E65" s="85"/>
      <c r="F65" s="86"/>
      <c r="G65" s="74"/>
      <c r="H65" s="74"/>
      <c r="I65" s="74"/>
      <c r="J65" s="74"/>
      <c r="K65" s="84"/>
      <c r="L65" s="85"/>
      <c r="M65" s="85"/>
      <c r="N65" s="85"/>
      <c r="O65" s="85"/>
      <c r="P65" s="85"/>
      <c r="Q65" s="86"/>
      <c r="R65" s="74"/>
      <c r="S65" s="74"/>
      <c r="T65" s="74"/>
      <c r="U65" s="74"/>
    </row>
    <row r="66" spans="1:27" ht="18" customHeight="1" x14ac:dyDescent="0.15">
      <c r="A66" s="56"/>
      <c r="B66" s="87"/>
      <c r="C66" s="88"/>
      <c r="D66" s="88"/>
      <c r="E66" s="88"/>
      <c r="F66" s="89"/>
      <c r="G66" s="75"/>
      <c r="H66" s="75"/>
      <c r="I66" s="76"/>
      <c r="J66" s="76"/>
      <c r="K66" s="87"/>
      <c r="L66" s="88"/>
      <c r="M66" s="88"/>
      <c r="N66" s="88"/>
      <c r="O66" s="88"/>
      <c r="P66" s="88"/>
      <c r="Q66" s="89"/>
      <c r="R66" s="75"/>
      <c r="S66" s="75"/>
      <c r="T66" s="76"/>
      <c r="U66" s="76"/>
    </row>
    <row r="67" spans="1:27" ht="7.5" customHeight="1" x14ac:dyDescent="0.15">
      <c r="B67" s="77"/>
      <c r="C67" s="77"/>
      <c r="D67" s="77"/>
      <c r="E67" s="77"/>
      <c r="F67" s="77"/>
      <c r="G67" s="77"/>
      <c r="H67" s="77"/>
      <c r="I67" s="77"/>
      <c r="J67" s="77"/>
      <c r="K67" s="77"/>
      <c r="L67" s="77"/>
      <c r="M67" s="77"/>
      <c r="N67" s="77"/>
      <c r="O67" s="77"/>
      <c r="P67" s="77"/>
      <c r="Q67" s="77"/>
      <c r="R67" s="77"/>
      <c r="S67" s="77"/>
      <c r="T67" s="77"/>
    </row>
    <row r="68" spans="1:27" ht="18" customHeight="1" x14ac:dyDescent="0.15">
      <c r="A68" s="90" t="s">
        <v>100</v>
      </c>
      <c r="B68" s="90"/>
      <c r="C68" s="90"/>
      <c r="D68" s="90"/>
      <c r="E68" s="90"/>
      <c r="F68" s="90"/>
      <c r="G68" s="90"/>
      <c r="H68" s="90"/>
      <c r="I68" s="90"/>
      <c r="J68" s="90"/>
      <c r="K68" s="90"/>
      <c r="L68" s="90"/>
      <c r="M68" s="90"/>
      <c r="N68" s="90"/>
      <c r="O68" s="90"/>
      <c r="P68" s="90"/>
      <c r="Q68" s="90"/>
      <c r="R68" s="90"/>
      <c r="S68" s="90"/>
      <c r="T68" s="90"/>
      <c r="U68" s="90"/>
    </row>
    <row r="69" spans="1:27" ht="18" customHeight="1" x14ac:dyDescent="0.15">
      <c r="A69" s="90"/>
      <c r="B69" s="90"/>
      <c r="C69" s="90"/>
      <c r="D69" s="90"/>
      <c r="E69" s="90"/>
      <c r="F69" s="90"/>
      <c r="G69" s="90"/>
      <c r="H69" s="90"/>
      <c r="I69" s="90"/>
      <c r="J69" s="90"/>
      <c r="K69" s="90"/>
      <c r="L69" s="90"/>
      <c r="M69" s="90"/>
      <c r="N69" s="90"/>
      <c r="O69" s="90"/>
      <c r="P69" s="90"/>
      <c r="Q69" s="90"/>
      <c r="R69" s="90"/>
      <c r="S69" s="90"/>
      <c r="T69" s="90"/>
      <c r="U69" s="90"/>
    </row>
    <row r="70" spans="1:27" ht="18" customHeight="1" x14ac:dyDescent="0.15">
      <c r="B70" s="97" t="s">
        <v>48</v>
      </c>
      <c r="C70" s="98"/>
      <c r="D70" s="98"/>
      <c r="E70" s="98"/>
      <c r="F70" s="70" t="s">
        <v>73</v>
      </c>
      <c r="G70" s="71" t="s">
        <v>76</v>
      </c>
      <c r="H70" s="72" t="s">
        <v>87</v>
      </c>
      <c r="I70" s="72" t="s">
        <v>68</v>
      </c>
      <c r="J70" s="72" t="s">
        <v>69</v>
      </c>
      <c r="K70" s="97" t="s">
        <v>48</v>
      </c>
      <c r="L70" s="98"/>
      <c r="M70" s="98"/>
      <c r="N70" s="98"/>
      <c r="O70" s="98"/>
      <c r="P70" s="99"/>
      <c r="Q70" s="70" t="s">
        <v>73</v>
      </c>
      <c r="R70" s="71" t="s">
        <v>76</v>
      </c>
      <c r="S70" s="72" t="s">
        <v>87</v>
      </c>
      <c r="T70" s="72" t="s">
        <v>68</v>
      </c>
      <c r="U70" s="72" t="s">
        <v>69</v>
      </c>
    </row>
    <row r="71" spans="1:27" ht="18" customHeight="1" x14ac:dyDescent="0.15">
      <c r="A71" s="56"/>
      <c r="B71" s="91" t="s">
        <v>148</v>
      </c>
      <c r="C71" s="92"/>
      <c r="D71" s="92"/>
      <c r="E71" s="93"/>
      <c r="F71" s="73">
        <v>2</v>
      </c>
      <c r="G71" s="73" t="s">
        <v>147</v>
      </c>
      <c r="H71" s="73" t="s">
        <v>147</v>
      </c>
      <c r="I71" s="73"/>
      <c r="J71" s="73"/>
      <c r="K71" s="91"/>
      <c r="L71" s="92"/>
      <c r="M71" s="92"/>
      <c r="N71" s="92"/>
      <c r="O71" s="92"/>
      <c r="P71" s="93"/>
      <c r="Q71" s="73"/>
      <c r="R71" s="73"/>
      <c r="S71" s="73"/>
      <c r="T71" s="73"/>
      <c r="U71" s="73"/>
    </row>
    <row r="72" spans="1:27" ht="18" customHeight="1" x14ac:dyDescent="0.15">
      <c r="A72" s="56"/>
      <c r="B72" s="84" t="s">
        <v>146</v>
      </c>
      <c r="C72" s="85"/>
      <c r="D72" s="85"/>
      <c r="E72" s="85"/>
      <c r="F72" s="74">
        <v>2</v>
      </c>
      <c r="G72" s="74" t="s">
        <v>147</v>
      </c>
      <c r="H72" s="74" t="s">
        <v>147</v>
      </c>
      <c r="I72" s="74" t="s">
        <v>147</v>
      </c>
      <c r="J72" s="74" t="s">
        <v>147</v>
      </c>
      <c r="K72" s="84"/>
      <c r="L72" s="85"/>
      <c r="M72" s="85"/>
      <c r="N72" s="85"/>
      <c r="O72" s="85"/>
      <c r="P72" s="86"/>
      <c r="Q72" s="74"/>
      <c r="R72" s="74"/>
      <c r="S72" s="74"/>
      <c r="T72" s="74"/>
      <c r="U72" s="74"/>
    </row>
    <row r="73" spans="1:27" ht="18" customHeight="1" x14ac:dyDescent="0.15">
      <c r="A73" s="56"/>
      <c r="B73" s="84"/>
      <c r="C73" s="85"/>
      <c r="D73" s="85"/>
      <c r="E73" s="85"/>
      <c r="F73" s="74"/>
      <c r="G73" s="74"/>
      <c r="H73" s="74"/>
      <c r="I73" s="74"/>
      <c r="J73" s="74"/>
      <c r="K73" s="84"/>
      <c r="L73" s="85"/>
      <c r="M73" s="85"/>
      <c r="N73" s="85"/>
      <c r="O73" s="85"/>
      <c r="P73" s="86"/>
      <c r="Q73" s="74"/>
      <c r="R73" s="74"/>
      <c r="S73" s="74"/>
      <c r="T73" s="74"/>
      <c r="U73" s="74"/>
    </row>
    <row r="74" spans="1:27" ht="18" customHeight="1" x14ac:dyDescent="0.15">
      <c r="A74" s="56"/>
      <c r="B74" s="84"/>
      <c r="C74" s="85"/>
      <c r="D74" s="85"/>
      <c r="E74" s="85"/>
      <c r="F74" s="74"/>
      <c r="G74" s="74"/>
      <c r="H74" s="74"/>
      <c r="I74" s="74"/>
      <c r="J74" s="74"/>
      <c r="K74" s="84"/>
      <c r="L74" s="85"/>
      <c r="M74" s="85"/>
      <c r="N74" s="85"/>
      <c r="O74" s="85"/>
      <c r="P74" s="86"/>
      <c r="Q74" s="74"/>
      <c r="R74" s="74"/>
      <c r="S74" s="74"/>
      <c r="T74" s="74"/>
      <c r="U74" s="74"/>
    </row>
    <row r="75" spans="1:27" ht="18" customHeight="1" x14ac:dyDescent="0.15">
      <c r="A75" s="56"/>
      <c r="B75" s="84"/>
      <c r="C75" s="85"/>
      <c r="D75" s="85"/>
      <c r="E75" s="85"/>
      <c r="F75" s="74"/>
      <c r="G75" s="74"/>
      <c r="H75" s="74"/>
      <c r="I75" s="74"/>
      <c r="J75" s="74"/>
      <c r="K75" s="84"/>
      <c r="L75" s="85"/>
      <c r="M75" s="85"/>
      <c r="N75" s="85"/>
      <c r="O75" s="85"/>
      <c r="P75" s="86"/>
      <c r="Q75" s="74"/>
      <c r="R75" s="74"/>
      <c r="S75" s="74"/>
      <c r="T75" s="74"/>
      <c r="U75" s="74"/>
    </row>
    <row r="76" spans="1:27" ht="18" customHeight="1" x14ac:dyDescent="0.15">
      <c r="A76" s="56"/>
      <c r="B76" s="84"/>
      <c r="C76" s="85"/>
      <c r="D76" s="85"/>
      <c r="E76" s="85"/>
      <c r="F76" s="74"/>
      <c r="G76" s="74"/>
      <c r="H76" s="74"/>
      <c r="I76" s="74"/>
      <c r="J76" s="74"/>
      <c r="K76" s="84"/>
      <c r="L76" s="85"/>
      <c r="M76" s="85"/>
      <c r="N76" s="85"/>
      <c r="O76" s="85"/>
      <c r="P76" s="86"/>
      <c r="Q76" s="74"/>
      <c r="R76" s="74"/>
      <c r="S76" s="74"/>
      <c r="T76" s="74"/>
      <c r="U76" s="74"/>
    </row>
    <row r="77" spans="1:27" ht="18" customHeight="1" x14ac:dyDescent="0.15">
      <c r="A77" s="56"/>
      <c r="B77" s="87"/>
      <c r="C77" s="88"/>
      <c r="D77" s="88"/>
      <c r="E77" s="88"/>
      <c r="F77" s="75"/>
      <c r="G77" s="75"/>
      <c r="H77" s="76"/>
      <c r="I77" s="76"/>
      <c r="J77" s="76"/>
      <c r="K77" s="87"/>
      <c r="L77" s="88"/>
      <c r="M77" s="88"/>
      <c r="N77" s="88"/>
      <c r="O77" s="88"/>
      <c r="P77" s="89"/>
      <c r="Q77" s="75"/>
      <c r="R77" s="75"/>
      <c r="S77" s="76"/>
      <c r="T77" s="76"/>
      <c r="U77" s="76"/>
    </row>
    <row r="78" spans="1:27" ht="7.5" customHeight="1" x14ac:dyDescent="0.15">
      <c r="B78" s="77"/>
      <c r="C78" s="77"/>
      <c r="D78" s="77"/>
      <c r="E78" s="77"/>
      <c r="F78" s="77"/>
      <c r="G78" s="77"/>
      <c r="H78" s="77"/>
      <c r="I78" s="77"/>
      <c r="J78" s="77"/>
      <c r="K78" s="77"/>
      <c r="L78" s="77"/>
      <c r="M78" s="77"/>
      <c r="N78" s="77"/>
      <c r="O78" s="77"/>
      <c r="P78" s="77"/>
      <c r="Q78" s="77"/>
      <c r="R78" s="77"/>
      <c r="S78" s="77"/>
      <c r="T78" s="77"/>
    </row>
    <row r="79" spans="1:27" ht="18" customHeight="1" x14ac:dyDescent="0.15">
      <c r="A79" s="54" t="s">
        <v>101</v>
      </c>
      <c r="I79" s="56"/>
      <c r="J79" s="56"/>
      <c r="K79" s="56"/>
      <c r="L79" s="56"/>
      <c r="M79" s="56"/>
      <c r="N79" s="56"/>
      <c r="O79" s="56"/>
      <c r="P79" s="56"/>
      <c r="Q79" s="56"/>
      <c r="R79" s="56"/>
      <c r="S79" s="56"/>
      <c r="T79" s="56"/>
      <c r="U79" s="56"/>
    </row>
    <row r="80" spans="1:27" ht="18" customHeight="1" x14ac:dyDescent="0.15">
      <c r="B80" s="97" t="s">
        <v>48</v>
      </c>
      <c r="C80" s="98"/>
      <c r="D80" s="98"/>
      <c r="E80" s="98"/>
      <c r="F80" s="99"/>
      <c r="G80" s="97" t="s">
        <v>74</v>
      </c>
      <c r="H80" s="98"/>
      <c r="I80" s="98"/>
      <c r="J80" s="99"/>
      <c r="K80" s="108" t="s">
        <v>48</v>
      </c>
      <c r="L80" s="109"/>
      <c r="M80" s="109"/>
      <c r="N80" s="109"/>
      <c r="O80" s="109"/>
      <c r="P80" s="109"/>
      <c r="Q80" s="110"/>
      <c r="R80" s="97" t="s">
        <v>74</v>
      </c>
      <c r="S80" s="98"/>
      <c r="T80" s="98"/>
      <c r="U80" s="99"/>
      <c r="AA80" s="54" t="s">
        <v>138</v>
      </c>
    </row>
    <row r="81" spans="1:27" ht="18" customHeight="1" x14ac:dyDescent="0.15">
      <c r="A81" s="56"/>
      <c r="B81" s="91" t="s">
        <v>149</v>
      </c>
      <c r="C81" s="92"/>
      <c r="D81" s="92"/>
      <c r="E81" s="92"/>
      <c r="F81" s="93"/>
      <c r="G81" s="100" t="s">
        <v>150</v>
      </c>
      <c r="H81" s="101"/>
      <c r="I81" s="101"/>
      <c r="J81" s="102"/>
      <c r="K81" s="91"/>
      <c r="L81" s="92"/>
      <c r="M81" s="92"/>
      <c r="N81" s="92"/>
      <c r="O81" s="92"/>
      <c r="P81" s="92"/>
      <c r="Q81" s="93"/>
      <c r="R81" s="94"/>
      <c r="S81" s="95"/>
      <c r="T81" s="95"/>
      <c r="U81" s="96"/>
      <c r="AA81" s="54" t="s">
        <v>131</v>
      </c>
    </row>
    <row r="82" spans="1:27" ht="18" customHeight="1" x14ac:dyDescent="0.15">
      <c r="A82" s="56"/>
      <c r="B82" s="84" t="s">
        <v>151</v>
      </c>
      <c r="C82" s="85"/>
      <c r="D82" s="85"/>
      <c r="E82" s="85"/>
      <c r="F82" s="86"/>
      <c r="G82" s="105" t="s">
        <v>150</v>
      </c>
      <c r="H82" s="106"/>
      <c r="I82" s="106"/>
      <c r="J82" s="107"/>
      <c r="K82" s="84"/>
      <c r="L82" s="85"/>
      <c r="M82" s="85"/>
      <c r="N82" s="85"/>
      <c r="O82" s="85"/>
      <c r="P82" s="85"/>
      <c r="Q82" s="86"/>
      <c r="R82" s="105"/>
      <c r="S82" s="106"/>
      <c r="T82" s="106"/>
      <c r="U82" s="107"/>
      <c r="AA82" s="54" t="s">
        <v>132</v>
      </c>
    </row>
    <row r="83" spans="1:27" ht="18" customHeight="1" x14ac:dyDescent="0.15">
      <c r="A83" s="56"/>
      <c r="B83" s="84" t="s">
        <v>152</v>
      </c>
      <c r="C83" s="85"/>
      <c r="D83" s="85"/>
      <c r="E83" s="85"/>
      <c r="F83" s="86"/>
      <c r="G83" s="105" t="s">
        <v>153</v>
      </c>
      <c r="H83" s="106"/>
      <c r="I83" s="106"/>
      <c r="J83" s="107"/>
      <c r="K83" s="84"/>
      <c r="L83" s="85"/>
      <c r="M83" s="85"/>
      <c r="N83" s="85"/>
      <c r="O83" s="85"/>
      <c r="P83" s="85"/>
      <c r="Q83" s="86"/>
      <c r="R83" s="105"/>
      <c r="S83" s="106"/>
      <c r="T83" s="106"/>
      <c r="U83" s="107"/>
      <c r="AA83" s="54" t="s">
        <v>133</v>
      </c>
    </row>
    <row r="84" spans="1:27" ht="18" customHeight="1" x14ac:dyDescent="0.15">
      <c r="A84" s="56"/>
      <c r="B84" s="84" t="s">
        <v>154</v>
      </c>
      <c r="C84" s="85"/>
      <c r="D84" s="85"/>
      <c r="E84" s="85"/>
      <c r="F84" s="86"/>
      <c r="G84" s="105" t="s">
        <v>153</v>
      </c>
      <c r="H84" s="106"/>
      <c r="I84" s="106"/>
      <c r="J84" s="107"/>
      <c r="K84" s="84"/>
      <c r="L84" s="85"/>
      <c r="M84" s="85"/>
      <c r="N84" s="85"/>
      <c r="O84" s="85"/>
      <c r="P84" s="85"/>
      <c r="Q84" s="86"/>
      <c r="R84" s="105"/>
      <c r="S84" s="106"/>
      <c r="T84" s="106"/>
      <c r="U84" s="107"/>
      <c r="AA84" s="54" t="s">
        <v>139</v>
      </c>
    </row>
    <row r="85" spans="1:27" ht="18" customHeight="1" x14ac:dyDescent="0.15">
      <c r="A85" s="56"/>
      <c r="B85" s="84"/>
      <c r="C85" s="85"/>
      <c r="D85" s="85"/>
      <c r="E85" s="85"/>
      <c r="F85" s="86"/>
      <c r="G85" s="105"/>
      <c r="H85" s="106"/>
      <c r="I85" s="106"/>
      <c r="J85" s="107"/>
      <c r="K85" s="84"/>
      <c r="L85" s="85"/>
      <c r="M85" s="85"/>
      <c r="N85" s="85"/>
      <c r="O85" s="85"/>
      <c r="P85" s="85"/>
      <c r="Q85" s="86"/>
      <c r="R85" s="105"/>
      <c r="S85" s="106"/>
      <c r="T85" s="106"/>
      <c r="U85" s="107"/>
      <c r="AA85" s="54" t="s">
        <v>140</v>
      </c>
    </row>
    <row r="86" spans="1:27" ht="18" customHeight="1" x14ac:dyDescent="0.15">
      <c r="A86" s="56"/>
      <c r="B86" s="84"/>
      <c r="C86" s="85"/>
      <c r="D86" s="85"/>
      <c r="E86" s="85"/>
      <c r="F86" s="86"/>
      <c r="G86" s="105"/>
      <c r="H86" s="106"/>
      <c r="I86" s="106"/>
      <c r="J86" s="107"/>
      <c r="K86" s="84"/>
      <c r="L86" s="85"/>
      <c r="M86" s="85"/>
      <c r="N86" s="85"/>
      <c r="O86" s="85"/>
      <c r="P86" s="85"/>
      <c r="Q86" s="86"/>
      <c r="R86" s="105"/>
      <c r="S86" s="106"/>
      <c r="T86" s="106"/>
      <c r="U86" s="107"/>
      <c r="AA86" s="54" t="s">
        <v>134</v>
      </c>
    </row>
    <row r="87" spans="1:27" ht="18" customHeight="1" x14ac:dyDescent="0.15">
      <c r="A87" s="56"/>
      <c r="B87" s="87"/>
      <c r="C87" s="88"/>
      <c r="D87" s="88"/>
      <c r="E87" s="88"/>
      <c r="F87" s="89"/>
      <c r="G87" s="124"/>
      <c r="H87" s="125"/>
      <c r="I87" s="125"/>
      <c r="J87" s="126"/>
      <c r="K87" s="87"/>
      <c r="L87" s="88"/>
      <c r="M87" s="88"/>
      <c r="N87" s="88"/>
      <c r="O87" s="88"/>
      <c r="P87" s="88"/>
      <c r="Q87" s="89"/>
      <c r="R87" s="124"/>
      <c r="S87" s="125"/>
      <c r="T87" s="125"/>
      <c r="U87" s="126"/>
      <c r="AA87" s="54" t="s">
        <v>135</v>
      </c>
    </row>
    <row r="88" spans="1:27" ht="18" customHeight="1" x14ac:dyDescent="0.15">
      <c r="A88" s="56"/>
      <c r="B88" s="55"/>
      <c r="C88" s="55"/>
      <c r="D88" s="55"/>
      <c r="E88" s="55"/>
      <c r="F88" s="55"/>
      <c r="G88" s="60"/>
      <c r="H88" s="60"/>
      <c r="I88" s="60"/>
      <c r="J88" s="60"/>
      <c r="K88" s="55"/>
      <c r="L88" s="55"/>
      <c r="M88" s="55"/>
      <c r="N88" s="55"/>
      <c r="O88" s="55"/>
      <c r="P88" s="55"/>
      <c r="Q88" s="55"/>
      <c r="R88" s="60"/>
      <c r="S88" s="60"/>
      <c r="T88" s="60"/>
      <c r="U88" s="60"/>
      <c r="AA88" s="54" t="s">
        <v>136</v>
      </c>
    </row>
    <row r="89" spans="1:27" ht="18.75" customHeight="1" x14ac:dyDescent="0.15">
      <c r="A89" s="54" t="s">
        <v>102</v>
      </c>
      <c r="AA89" s="54" t="s">
        <v>137</v>
      </c>
    </row>
    <row r="90" spans="1:27" ht="18.75" customHeight="1" x14ac:dyDescent="0.15">
      <c r="B90" s="128" t="s">
        <v>49</v>
      </c>
      <c r="C90" s="129"/>
      <c r="D90" s="97" t="s">
        <v>50</v>
      </c>
      <c r="E90" s="98"/>
      <c r="F90" s="98"/>
      <c r="G90" s="98"/>
      <c r="H90" s="98"/>
      <c r="I90" s="98"/>
      <c r="J90" s="98"/>
      <c r="K90" s="98"/>
      <c r="L90" s="98"/>
      <c r="M90" s="98"/>
      <c r="N90" s="98"/>
      <c r="O90" s="98"/>
      <c r="P90" s="98"/>
      <c r="Q90" s="98"/>
      <c r="R90" s="98"/>
      <c r="S90" s="98"/>
      <c r="T90" s="98"/>
      <c r="U90" s="99"/>
    </row>
    <row r="91" spans="1:27" ht="97.5" customHeight="1" x14ac:dyDescent="0.15">
      <c r="B91" s="103" t="s">
        <v>56</v>
      </c>
      <c r="C91" s="78" t="s">
        <v>51</v>
      </c>
      <c r="D91" s="137" t="s">
        <v>182</v>
      </c>
      <c r="E91" s="138"/>
      <c r="F91" s="138"/>
      <c r="G91" s="138"/>
      <c r="H91" s="138"/>
      <c r="I91" s="138"/>
      <c r="J91" s="138"/>
      <c r="K91" s="138"/>
      <c r="L91" s="138"/>
      <c r="M91" s="138"/>
      <c r="N91" s="138"/>
      <c r="O91" s="138"/>
      <c r="P91" s="138"/>
      <c r="Q91" s="138"/>
      <c r="R91" s="138"/>
      <c r="S91" s="138"/>
      <c r="T91" s="138"/>
      <c r="U91" s="139"/>
    </row>
    <row r="92" spans="1:27" ht="97.5" customHeight="1" x14ac:dyDescent="0.15">
      <c r="B92" s="127"/>
      <c r="C92" s="79" t="s">
        <v>70</v>
      </c>
      <c r="D92" s="137" t="s">
        <v>189</v>
      </c>
      <c r="E92" s="138"/>
      <c r="F92" s="138"/>
      <c r="G92" s="138"/>
      <c r="H92" s="138"/>
      <c r="I92" s="138"/>
      <c r="J92" s="138"/>
      <c r="K92" s="138"/>
      <c r="L92" s="138"/>
      <c r="M92" s="138"/>
      <c r="N92" s="138"/>
      <c r="O92" s="138"/>
      <c r="P92" s="138"/>
      <c r="Q92" s="138"/>
      <c r="R92" s="138"/>
      <c r="S92" s="138"/>
      <c r="T92" s="138"/>
      <c r="U92" s="139"/>
    </row>
    <row r="93" spans="1:27" ht="97.5" customHeight="1" x14ac:dyDescent="0.15">
      <c r="B93" s="103" t="s">
        <v>57</v>
      </c>
      <c r="C93" s="80" t="s">
        <v>64</v>
      </c>
      <c r="D93" s="137" t="s">
        <v>183</v>
      </c>
      <c r="E93" s="138"/>
      <c r="F93" s="138"/>
      <c r="G93" s="138"/>
      <c r="H93" s="138"/>
      <c r="I93" s="138"/>
      <c r="J93" s="138"/>
      <c r="K93" s="138"/>
      <c r="L93" s="138"/>
      <c r="M93" s="138"/>
      <c r="N93" s="138"/>
      <c r="O93" s="138"/>
      <c r="P93" s="138"/>
      <c r="Q93" s="138"/>
      <c r="R93" s="138"/>
      <c r="S93" s="138"/>
      <c r="T93" s="138"/>
      <c r="U93" s="139"/>
    </row>
    <row r="94" spans="1:27" ht="97.5" customHeight="1" x14ac:dyDescent="0.15">
      <c r="B94" s="104"/>
      <c r="C94" s="81" t="s">
        <v>65</v>
      </c>
      <c r="D94" s="137" t="s">
        <v>176</v>
      </c>
      <c r="E94" s="138"/>
      <c r="F94" s="138"/>
      <c r="G94" s="138"/>
      <c r="H94" s="138"/>
      <c r="I94" s="138"/>
      <c r="J94" s="138"/>
      <c r="K94" s="138"/>
      <c r="L94" s="138"/>
      <c r="M94" s="138"/>
      <c r="N94" s="138"/>
      <c r="O94" s="138"/>
      <c r="P94" s="138"/>
      <c r="Q94" s="138"/>
      <c r="R94" s="138"/>
      <c r="S94" s="138"/>
      <c r="T94" s="138"/>
      <c r="U94" s="139"/>
    </row>
    <row r="95" spans="1:27" ht="97.5" customHeight="1" x14ac:dyDescent="0.15">
      <c r="B95" s="103" t="s">
        <v>58</v>
      </c>
      <c r="C95" s="80" t="s">
        <v>66</v>
      </c>
      <c r="D95" s="137" t="s">
        <v>184</v>
      </c>
      <c r="E95" s="138"/>
      <c r="F95" s="138"/>
      <c r="G95" s="138"/>
      <c r="H95" s="138"/>
      <c r="I95" s="138"/>
      <c r="J95" s="138"/>
      <c r="K95" s="138"/>
      <c r="L95" s="138"/>
      <c r="M95" s="138"/>
      <c r="N95" s="138"/>
      <c r="O95" s="138"/>
      <c r="P95" s="138"/>
      <c r="Q95" s="138"/>
      <c r="R95" s="138"/>
      <c r="S95" s="138"/>
      <c r="T95" s="138"/>
      <c r="U95" s="139"/>
    </row>
    <row r="96" spans="1:27" ht="97.5" customHeight="1" x14ac:dyDescent="0.15">
      <c r="B96" s="104"/>
      <c r="C96" s="82" t="s">
        <v>67</v>
      </c>
      <c r="D96" s="134" t="s">
        <v>185</v>
      </c>
      <c r="E96" s="135"/>
      <c r="F96" s="135"/>
      <c r="G96" s="135"/>
      <c r="H96" s="135"/>
      <c r="I96" s="135"/>
      <c r="J96" s="135"/>
      <c r="K96" s="135"/>
      <c r="L96" s="135"/>
      <c r="M96" s="135"/>
      <c r="N96" s="135"/>
      <c r="O96" s="135"/>
      <c r="P96" s="135"/>
      <c r="Q96" s="135"/>
      <c r="R96" s="135"/>
      <c r="S96" s="135"/>
      <c r="T96" s="135"/>
      <c r="U96" s="136"/>
    </row>
    <row r="97" spans="1:21" ht="97.5" customHeight="1" x14ac:dyDescent="0.15">
      <c r="B97" s="103" t="s">
        <v>71</v>
      </c>
      <c r="C97" s="78" t="s">
        <v>53</v>
      </c>
      <c r="D97" s="137" t="s">
        <v>177</v>
      </c>
      <c r="E97" s="138"/>
      <c r="F97" s="138"/>
      <c r="G97" s="138"/>
      <c r="H97" s="138"/>
      <c r="I97" s="138"/>
      <c r="J97" s="138"/>
      <c r="K97" s="138"/>
      <c r="L97" s="138"/>
      <c r="M97" s="138"/>
      <c r="N97" s="138"/>
      <c r="O97" s="138"/>
      <c r="P97" s="138"/>
      <c r="Q97" s="138"/>
      <c r="R97" s="138"/>
      <c r="S97" s="138"/>
      <c r="T97" s="138"/>
      <c r="U97" s="139"/>
    </row>
    <row r="98" spans="1:21" ht="97.5" customHeight="1" x14ac:dyDescent="0.15">
      <c r="B98" s="104"/>
      <c r="C98" s="81" t="s">
        <v>55</v>
      </c>
      <c r="D98" s="134" t="s">
        <v>178</v>
      </c>
      <c r="E98" s="135"/>
      <c r="F98" s="135"/>
      <c r="G98" s="135"/>
      <c r="H98" s="135"/>
      <c r="I98" s="135"/>
      <c r="J98" s="135"/>
      <c r="K98" s="135"/>
      <c r="L98" s="135"/>
      <c r="M98" s="135"/>
      <c r="N98" s="135"/>
      <c r="O98" s="135"/>
      <c r="P98" s="135"/>
      <c r="Q98" s="135"/>
      <c r="R98" s="135"/>
      <c r="S98" s="135"/>
      <c r="T98" s="135"/>
      <c r="U98" s="136"/>
    </row>
    <row r="99" spans="1:21" ht="97.5" customHeight="1" x14ac:dyDescent="0.15">
      <c r="B99" s="103" t="s">
        <v>72</v>
      </c>
      <c r="C99" s="80" t="s">
        <v>52</v>
      </c>
      <c r="D99" s="137" t="s">
        <v>186</v>
      </c>
      <c r="E99" s="138"/>
      <c r="F99" s="138"/>
      <c r="G99" s="138"/>
      <c r="H99" s="138"/>
      <c r="I99" s="138"/>
      <c r="J99" s="138"/>
      <c r="K99" s="138"/>
      <c r="L99" s="138"/>
      <c r="M99" s="138"/>
      <c r="N99" s="138"/>
      <c r="O99" s="138"/>
      <c r="P99" s="138"/>
      <c r="Q99" s="138"/>
      <c r="R99" s="138"/>
      <c r="S99" s="138"/>
      <c r="T99" s="138"/>
      <c r="U99" s="139"/>
    </row>
    <row r="100" spans="1:21" ht="97.5" customHeight="1" x14ac:dyDescent="0.15">
      <c r="B100" s="127"/>
      <c r="C100" s="83" t="s">
        <v>68</v>
      </c>
      <c r="D100" s="140" t="s">
        <v>187</v>
      </c>
      <c r="E100" s="141"/>
      <c r="F100" s="141"/>
      <c r="G100" s="141"/>
      <c r="H100" s="141"/>
      <c r="I100" s="141"/>
      <c r="J100" s="141"/>
      <c r="K100" s="141"/>
      <c r="L100" s="141"/>
      <c r="M100" s="141"/>
      <c r="N100" s="141"/>
      <c r="O100" s="141"/>
      <c r="P100" s="141"/>
      <c r="Q100" s="141"/>
      <c r="R100" s="141"/>
      <c r="S100" s="141"/>
      <c r="T100" s="141"/>
      <c r="U100" s="142"/>
    </row>
    <row r="101" spans="1:21" ht="97.5" customHeight="1" x14ac:dyDescent="0.15">
      <c r="B101" s="104"/>
      <c r="C101" s="82" t="s">
        <v>69</v>
      </c>
      <c r="D101" s="134" t="s">
        <v>188</v>
      </c>
      <c r="E101" s="143"/>
      <c r="F101" s="143"/>
      <c r="G101" s="143"/>
      <c r="H101" s="143"/>
      <c r="I101" s="143"/>
      <c r="J101" s="143"/>
      <c r="K101" s="143"/>
      <c r="L101" s="143"/>
      <c r="M101" s="143"/>
      <c r="N101" s="143"/>
      <c r="O101" s="143"/>
      <c r="P101" s="143"/>
      <c r="Q101" s="143"/>
      <c r="R101" s="143"/>
      <c r="S101" s="143"/>
      <c r="T101" s="143"/>
      <c r="U101" s="144"/>
    </row>
    <row r="102" spans="1:21" ht="6" customHeight="1" x14ac:dyDescent="0.15"/>
    <row r="103" spans="1:21" ht="18.75" customHeight="1" x14ac:dyDescent="0.15">
      <c r="A103" s="54" t="s">
        <v>103</v>
      </c>
    </row>
    <row r="104" spans="1:21" ht="103.5" customHeight="1" x14ac:dyDescent="0.15">
      <c r="B104" s="121" t="s">
        <v>155</v>
      </c>
      <c r="C104" s="122"/>
      <c r="D104" s="122"/>
      <c r="E104" s="122"/>
      <c r="F104" s="122"/>
      <c r="G104" s="122"/>
      <c r="H104" s="122"/>
      <c r="I104" s="122"/>
      <c r="J104" s="122"/>
      <c r="K104" s="122"/>
      <c r="L104" s="122"/>
      <c r="M104" s="122"/>
      <c r="N104" s="122"/>
      <c r="O104" s="122"/>
      <c r="P104" s="122"/>
      <c r="Q104" s="122"/>
      <c r="R104" s="122"/>
      <c r="S104" s="122"/>
      <c r="T104" s="122"/>
      <c r="U104" s="123"/>
    </row>
    <row r="107" spans="1:21" ht="18" customHeight="1" x14ac:dyDescent="0.15"/>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G81:G84 H81:J82"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R81:U87 G85:J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80" zoomScaleNormal="100" zoomScaleSheetLayoutView="80" workbookViewId="0">
      <selection activeCell="C6" sqref="C6"/>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4"/>
      <c r="B1" s="54"/>
      <c r="C1" s="54"/>
      <c r="D1" s="54"/>
      <c r="E1" s="54"/>
      <c r="F1" s="54"/>
      <c r="G1" s="54"/>
      <c r="H1" s="54"/>
      <c r="I1" s="54"/>
      <c r="J1" s="54"/>
      <c r="K1" s="54"/>
      <c r="L1" s="54"/>
      <c r="M1" s="54"/>
      <c r="N1" s="54"/>
      <c r="O1" s="54"/>
      <c r="P1" s="54"/>
      <c r="Q1" s="54"/>
      <c r="R1" s="54"/>
      <c r="S1" s="54" t="s">
        <v>92</v>
      </c>
    </row>
    <row r="2" spans="1:21" ht="18" customHeight="1" x14ac:dyDescent="0.15">
      <c r="A2" s="54"/>
      <c r="B2" s="54"/>
      <c r="C2" s="54"/>
      <c r="D2" s="54"/>
      <c r="E2" s="54"/>
      <c r="F2" s="54"/>
      <c r="G2" s="54"/>
      <c r="H2" s="54"/>
      <c r="I2" s="54"/>
      <c r="J2" s="54"/>
      <c r="K2" s="54"/>
      <c r="L2" s="54"/>
      <c r="M2" s="54"/>
      <c r="N2" s="54"/>
      <c r="O2" s="54"/>
      <c r="P2" s="54"/>
      <c r="Q2" s="158" t="str">
        <f>'様式１　プログラムを構成する授業科目'!C2</f>
        <v>函館大学</v>
      </c>
      <c r="R2" s="158"/>
      <c r="S2" s="158"/>
    </row>
    <row r="3" spans="1:21" ht="18" customHeight="1" x14ac:dyDescent="0.15">
      <c r="A3" s="159" t="s">
        <v>142</v>
      </c>
      <c r="B3" s="159"/>
      <c r="C3" s="159"/>
      <c r="D3" s="159"/>
      <c r="E3" s="159"/>
      <c r="F3" s="159"/>
      <c r="G3" s="159"/>
      <c r="H3" s="159"/>
      <c r="I3" s="159"/>
      <c r="J3" s="159"/>
      <c r="K3" s="159"/>
      <c r="L3" s="159"/>
      <c r="M3" s="159"/>
      <c r="N3" s="159"/>
      <c r="O3" s="159"/>
      <c r="P3" s="159"/>
      <c r="Q3" s="159"/>
      <c r="R3" s="159"/>
      <c r="S3" s="159"/>
    </row>
    <row r="4" spans="1:21" ht="7.5" customHeight="1" x14ac:dyDescent="0.15">
      <c r="A4" s="56"/>
      <c r="B4" s="56"/>
      <c r="C4" s="56"/>
      <c r="D4" s="56"/>
      <c r="E4" s="56"/>
      <c r="F4" s="56"/>
      <c r="G4" s="56"/>
      <c r="H4" s="56"/>
      <c r="I4" s="56"/>
      <c r="J4" s="56"/>
      <c r="K4" s="56"/>
      <c r="L4" s="56"/>
      <c r="M4" s="56"/>
      <c r="N4" s="56"/>
      <c r="O4" s="56"/>
      <c r="P4" s="56"/>
      <c r="Q4" s="56"/>
      <c r="R4" s="56"/>
      <c r="S4" s="56"/>
    </row>
    <row r="5" spans="1:21" ht="18" customHeight="1" x14ac:dyDescent="0.15">
      <c r="A5" s="54" t="s">
        <v>75</v>
      </c>
      <c r="B5" s="54"/>
      <c r="C5" s="131" t="s">
        <v>179</v>
      </c>
      <c r="D5" s="133"/>
      <c r="E5" s="58" t="s">
        <v>125</v>
      </c>
      <c r="F5" s="56"/>
      <c r="G5" s="56"/>
      <c r="H5" s="56"/>
      <c r="I5" s="56"/>
      <c r="J5" s="56"/>
      <c r="K5" s="56"/>
      <c r="L5" s="56"/>
      <c r="M5" s="56"/>
      <c r="N5" s="56"/>
      <c r="O5" s="56"/>
      <c r="P5" s="56"/>
      <c r="Q5" s="56"/>
      <c r="R5" s="55"/>
      <c r="S5" s="55"/>
    </row>
    <row r="6" spans="1:21" ht="7.15" customHeight="1" x14ac:dyDescent="0.15">
      <c r="A6" s="54"/>
      <c r="B6" s="54"/>
      <c r="C6" s="60"/>
      <c r="D6" s="60"/>
      <c r="E6" s="56"/>
      <c r="F6" s="56"/>
      <c r="G6" s="56"/>
      <c r="H6" s="56"/>
      <c r="I6" s="56"/>
      <c r="J6" s="56"/>
      <c r="K6" s="56"/>
      <c r="L6" s="56"/>
      <c r="M6" s="56"/>
      <c r="N6" s="56"/>
      <c r="O6" s="56"/>
      <c r="P6" s="56"/>
      <c r="Q6" s="56"/>
      <c r="R6" s="55"/>
      <c r="S6" s="55"/>
    </row>
    <row r="7" spans="1:21" ht="18" customHeight="1" x14ac:dyDescent="0.15">
      <c r="A7" s="54" t="s">
        <v>109</v>
      </c>
      <c r="B7" s="54"/>
      <c r="C7" s="60"/>
      <c r="D7" s="60"/>
      <c r="E7" s="56" t="s">
        <v>110</v>
      </c>
      <c r="F7" s="59">
        <v>236</v>
      </c>
      <c r="G7" s="58" t="s">
        <v>111</v>
      </c>
      <c r="H7" s="56" t="s">
        <v>112</v>
      </c>
      <c r="I7" s="59">
        <v>65</v>
      </c>
      <c r="J7" s="58" t="s">
        <v>111</v>
      </c>
      <c r="K7" s="57" t="s">
        <v>113</v>
      </c>
      <c r="L7" s="56" t="s">
        <v>114</v>
      </c>
      <c r="M7" s="59">
        <f>F7+I7</f>
        <v>301</v>
      </c>
      <c r="N7" s="56" t="s">
        <v>1</v>
      </c>
      <c r="O7" s="58" t="s">
        <v>115</v>
      </c>
      <c r="P7" s="56"/>
      <c r="Q7" s="56"/>
      <c r="R7" s="55"/>
      <c r="S7" s="55"/>
    </row>
    <row r="8" spans="1:21" ht="17.45" customHeight="1" x14ac:dyDescent="0.15">
      <c r="A8" s="56"/>
      <c r="B8" s="61" t="s">
        <v>128</v>
      </c>
      <c r="C8" s="56"/>
      <c r="D8" s="56"/>
      <c r="E8" s="56"/>
      <c r="F8" s="56"/>
      <c r="G8" s="56"/>
      <c r="H8" s="56"/>
      <c r="I8" s="56"/>
      <c r="J8" s="56"/>
      <c r="K8" s="56"/>
      <c r="L8" s="56"/>
      <c r="M8" s="56"/>
      <c r="N8" s="56"/>
      <c r="O8" s="56"/>
      <c r="P8" s="56"/>
      <c r="Q8" s="56"/>
      <c r="R8" s="56"/>
      <c r="S8" s="56"/>
    </row>
    <row r="9" spans="1:21" ht="18" customHeight="1" x14ac:dyDescent="0.15">
      <c r="A9" s="54" t="s">
        <v>120</v>
      </c>
      <c r="B9" s="56"/>
      <c r="C9" s="56"/>
      <c r="D9" s="56"/>
      <c r="E9" s="56"/>
      <c r="F9" s="56"/>
      <c r="G9" s="56"/>
      <c r="H9" s="56"/>
      <c r="I9" s="56"/>
      <c r="J9" s="56"/>
      <c r="K9" s="56"/>
      <c r="L9" s="56"/>
      <c r="M9" s="56"/>
      <c r="N9" s="56"/>
      <c r="O9" s="56"/>
      <c r="P9" s="56"/>
      <c r="Q9" s="56"/>
      <c r="R9" s="56"/>
      <c r="S9" s="5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60" t="s">
        <v>43</v>
      </c>
      <c r="C11" s="170" t="s">
        <v>78</v>
      </c>
      <c r="D11" s="162" t="s">
        <v>45</v>
      </c>
      <c r="E11" s="164" t="s">
        <v>38</v>
      </c>
      <c r="F11" s="157" t="s">
        <v>126</v>
      </c>
      <c r="G11" s="157"/>
      <c r="H11" s="157" t="s">
        <v>106</v>
      </c>
      <c r="I11" s="157"/>
      <c r="J11" s="157" t="s">
        <v>77</v>
      </c>
      <c r="K11" s="157"/>
      <c r="L11" s="157" t="s">
        <v>46</v>
      </c>
      <c r="M11" s="157"/>
      <c r="N11" s="157" t="s">
        <v>47</v>
      </c>
      <c r="O11" s="157"/>
      <c r="P11" s="157" t="s">
        <v>127</v>
      </c>
      <c r="Q11" s="157"/>
      <c r="R11" s="166" t="s">
        <v>35</v>
      </c>
      <c r="S11" s="168" t="s">
        <v>32</v>
      </c>
      <c r="U11" s="2"/>
    </row>
    <row r="12" spans="1:21" ht="16.899999999999999" customHeight="1" x14ac:dyDescent="0.15">
      <c r="B12" s="161"/>
      <c r="C12" s="171"/>
      <c r="D12" s="163"/>
      <c r="E12" s="165"/>
      <c r="F12" s="62" t="s">
        <v>86</v>
      </c>
      <c r="G12" s="62" t="s">
        <v>29</v>
      </c>
      <c r="H12" s="62" t="s">
        <v>86</v>
      </c>
      <c r="I12" s="62" t="s">
        <v>29</v>
      </c>
      <c r="J12" s="62" t="s">
        <v>86</v>
      </c>
      <c r="K12" s="62" t="s">
        <v>29</v>
      </c>
      <c r="L12" s="62" t="s">
        <v>86</v>
      </c>
      <c r="M12" s="62" t="s">
        <v>29</v>
      </c>
      <c r="N12" s="62" t="s">
        <v>86</v>
      </c>
      <c r="O12" s="62" t="s">
        <v>29</v>
      </c>
      <c r="P12" s="62" t="s">
        <v>86</v>
      </c>
      <c r="Q12" s="63" t="s">
        <v>29</v>
      </c>
      <c r="R12" s="167"/>
      <c r="S12" s="169"/>
      <c r="U12" s="2"/>
    </row>
    <row r="13" spans="1:21" ht="18" customHeight="1" x14ac:dyDescent="0.15">
      <c r="A13" s="6"/>
      <c r="B13" s="48" t="s">
        <v>156</v>
      </c>
      <c r="C13" s="36">
        <v>301</v>
      </c>
      <c r="D13" s="37">
        <v>100</v>
      </c>
      <c r="E13" s="38">
        <v>400</v>
      </c>
      <c r="F13" s="38">
        <v>64</v>
      </c>
      <c r="G13" s="38">
        <v>48</v>
      </c>
      <c r="H13" s="38">
        <v>0</v>
      </c>
      <c r="I13" s="38">
        <v>0</v>
      </c>
      <c r="J13" s="38">
        <v>0</v>
      </c>
      <c r="K13" s="38">
        <v>0</v>
      </c>
      <c r="L13" s="38">
        <v>0</v>
      </c>
      <c r="M13" s="38">
        <v>0</v>
      </c>
      <c r="N13" s="38">
        <v>0</v>
      </c>
      <c r="O13" s="38">
        <v>0</v>
      </c>
      <c r="P13" s="38">
        <v>0</v>
      </c>
      <c r="Q13" s="49">
        <v>0</v>
      </c>
      <c r="R13" s="37">
        <f t="shared" ref="R13:R32" si="0">F13+H13+J13+L13+N13+P13</f>
        <v>64</v>
      </c>
      <c r="S13" s="50">
        <f t="shared" ref="S13:S33" si="1">R13/E13</f>
        <v>0.16</v>
      </c>
    </row>
    <row r="14" spans="1:21" ht="18" customHeight="1" x14ac:dyDescent="0.15">
      <c r="A14" s="6"/>
      <c r="B14" s="11"/>
      <c r="C14" s="39"/>
      <c r="D14" s="40"/>
      <c r="E14" s="41"/>
      <c r="F14" s="42"/>
      <c r="G14" s="42"/>
      <c r="H14" s="42"/>
      <c r="I14" s="42"/>
      <c r="J14" s="42"/>
      <c r="K14" s="42"/>
      <c r="L14" s="42"/>
      <c r="M14" s="42"/>
      <c r="N14" s="42"/>
      <c r="O14" s="42"/>
      <c r="P14" s="42"/>
      <c r="Q14" s="39"/>
      <c r="R14" s="40">
        <f t="shared" si="0"/>
        <v>0</v>
      </c>
      <c r="S14" s="16" t="e">
        <f t="shared" si="1"/>
        <v>#DIV/0!</v>
      </c>
    </row>
    <row r="15" spans="1:21" ht="18" customHeight="1" x14ac:dyDescent="0.15">
      <c r="A15" s="6"/>
      <c r="B15" s="11"/>
      <c r="C15" s="39"/>
      <c r="D15" s="40"/>
      <c r="E15" s="41"/>
      <c r="F15" s="42"/>
      <c r="G15" s="42"/>
      <c r="H15" s="42"/>
      <c r="I15" s="42"/>
      <c r="J15" s="42"/>
      <c r="K15" s="42"/>
      <c r="L15" s="42"/>
      <c r="M15" s="42"/>
      <c r="N15" s="42"/>
      <c r="O15" s="42"/>
      <c r="P15" s="42"/>
      <c r="Q15" s="39"/>
      <c r="R15" s="40">
        <f t="shared" si="0"/>
        <v>0</v>
      </c>
      <c r="S15" s="8" t="e">
        <f t="shared" si="1"/>
        <v>#DIV/0!</v>
      </c>
    </row>
    <row r="16" spans="1:21" ht="18" customHeight="1" x14ac:dyDescent="0.15">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15">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15">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15">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 si="2">SUM(C13:C32)</f>
        <v>301</v>
      </c>
      <c r="D33" s="46">
        <f t="shared" ref="D33:R33" si="3">SUM(D13:D32)</f>
        <v>100</v>
      </c>
      <c r="E33" s="47">
        <f t="shared" si="3"/>
        <v>400</v>
      </c>
      <c r="F33" s="47">
        <f t="shared" si="3"/>
        <v>64</v>
      </c>
      <c r="G33" s="47">
        <f t="shared" ref="G33:H33" si="4">SUM(G13:G32)</f>
        <v>48</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64</v>
      </c>
      <c r="S33" s="9">
        <f t="shared" si="1"/>
        <v>0.16</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7"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14" sqref="B14:I14"/>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173" t="str">
        <f>'様式１　プログラムを構成する授業科目'!C2</f>
        <v>函館大学</v>
      </c>
      <c r="I2" s="174"/>
    </row>
    <row r="3" spans="1:9" ht="18.75" customHeight="1" x14ac:dyDescent="0.15">
      <c r="G3" s="18"/>
      <c r="H3" s="10"/>
      <c r="I3" s="10"/>
    </row>
    <row r="4" spans="1:9" ht="18.600000000000001" customHeight="1" x14ac:dyDescent="0.15">
      <c r="A4" s="159" t="s">
        <v>36</v>
      </c>
      <c r="B4" s="159"/>
      <c r="C4" s="159"/>
      <c r="D4" s="159"/>
      <c r="E4" s="159"/>
      <c r="F4" s="159"/>
      <c r="G4" s="159"/>
      <c r="H4" s="159"/>
      <c r="I4" s="159"/>
    </row>
    <row r="5" spans="1:9" ht="13.15" customHeight="1" x14ac:dyDescent="0.15">
      <c r="B5" s="3"/>
      <c r="C5" s="3"/>
      <c r="D5" s="3"/>
      <c r="E5" s="3"/>
      <c r="F5" s="3"/>
      <c r="G5" s="3"/>
      <c r="H5" s="3"/>
      <c r="I5" s="3"/>
    </row>
    <row r="6" spans="1:9" ht="18" customHeight="1" x14ac:dyDescent="0.15">
      <c r="A6" s="1" t="s">
        <v>0</v>
      </c>
      <c r="B6" s="10" t="s">
        <v>81</v>
      </c>
      <c r="C6" s="194" t="s">
        <v>82</v>
      </c>
      <c r="D6" s="194"/>
      <c r="E6" s="17">
        <v>27</v>
      </c>
      <c r="F6" s="3" t="s">
        <v>1</v>
      </c>
      <c r="G6" s="3" t="s">
        <v>2</v>
      </c>
      <c r="H6" s="17">
        <v>17</v>
      </c>
      <c r="I6" s="10" t="s">
        <v>1</v>
      </c>
    </row>
    <row r="7" spans="1:9" ht="12" customHeight="1" x14ac:dyDescent="0.15">
      <c r="C7" s="2"/>
      <c r="D7" s="2"/>
      <c r="E7" s="2"/>
      <c r="F7" s="2"/>
      <c r="G7" s="2"/>
      <c r="H7" s="2"/>
      <c r="I7" s="21"/>
    </row>
    <row r="8" spans="1:9" ht="18" customHeight="1" x14ac:dyDescent="0.15">
      <c r="A8" s="1" t="s">
        <v>3</v>
      </c>
      <c r="B8" s="10" t="s">
        <v>83</v>
      </c>
      <c r="E8" s="3"/>
      <c r="F8" s="3"/>
      <c r="G8" s="3"/>
      <c r="H8" s="17">
        <v>8</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189" t="s">
        <v>157</v>
      </c>
      <c r="D11" s="192"/>
      <c r="E11" s="193"/>
      <c r="F11" s="21"/>
      <c r="G11" s="18" t="s">
        <v>10</v>
      </c>
      <c r="H11" s="189" t="s">
        <v>158</v>
      </c>
      <c r="I11" s="193"/>
    </row>
    <row r="12" spans="1:9" ht="10.1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189" t="s">
        <v>190</v>
      </c>
      <c r="C14" s="190"/>
      <c r="D14" s="190"/>
      <c r="E14" s="190"/>
      <c r="F14" s="190"/>
      <c r="G14" s="190"/>
      <c r="H14" s="190"/>
      <c r="I14" s="191"/>
    </row>
    <row r="15" spans="1:9" ht="9" customHeight="1" x14ac:dyDescent="0.15">
      <c r="B15" s="3"/>
      <c r="C15" s="3"/>
      <c r="D15" s="3"/>
      <c r="E15" s="3"/>
      <c r="F15" s="3"/>
      <c r="G15" s="3"/>
      <c r="H15" s="3"/>
      <c r="I15" s="3"/>
    </row>
    <row r="16" spans="1:9" ht="18" customHeight="1" x14ac:dyDescent="0.15">
      <c r="B16" s="18" t="s">
        <v>41</v>
      </c>
      <c r="C16" s="189" t="s">
        <v>159</v>
      </c>
      <c r="D16" s="192"/>
      <c r="E16" s="193"/>
      <c r="F16" s="21"/>
      <c r="G16" s="18" t="s">
        <v>10</v>
      </c>
      <c r="H16" s="189" t="s">
        <v>158</v>
      </c>
      <c r="I16" s="193"/>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175" t="s">
        <v>160</v>
      </c>
      <c r="C19" s="176"/>
      <c r="D19" s="176"/>
      <c r="E19" s="176"/>
      <c r="F19" s="176"/>
      <c r="G19" s="176"/>
      <c r="H19" s="176"/>
      <c r="I19" s="177"/>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78" t="s">
        <v>165</v>
      </c>
      <c r="C22" s="179"/>
      <c r="D22" s="179"/>
      <c r="E22" s="179"/>
      <c r="F22" s="179"/>
      <c r="G22" s="179"/>
      <c r="H22" s="179"/>
      <c r="I22" s="180"/>
    </row>
    <row r="23" spans="1:9" ht="18.75" customHeight="1" x14ac:dyDescent="0.15">
      <c r="A23" s="14"/>
      <c r="B23" s="181"/>
      <c r="C23" s="182"/>
      <c r="D23" s="182"/>
      <c r="E23" s="182"/>
      <c r="F23" s="182"/>
      <c r="G23" s="182"/>
      <c r="H23" s="182"/>
      <c r="I23" s="183"/>
    </row>
    <row r="24" spans="1:9" ht="18.75" customHeight="1" x14ac:dyDescent="0.15">
      <c r="A24" s="14"/>
      <c r="B24" s="181"/>
      <c r="C24" s="182"/>
      <c r="D24" s="182"/>
      <c r="E24" s="182"/>
      <c r="F24" s="182"/>
      <c r="G24" s="182"/>
      <c r="H24" s="182"/>
      <c r="I24" s="183"/>
    </row>
    <row r="25" spans="1:9" ht="18.75" customHeight="1" x14ac:dyDescent="0.15">
      <c r="A25" s="14"/>
      <c r="B25" s="181"/>
      <c r="C25" s="182"/>
      <c r="D25" s="182"/>
      <c r="E25" s="182"/>
      <c r="F25" s="182"/>
      <c r="G25" s="182"/>
      <c r="H25" s="182"/>
      <c r="I25" s="183"/>
    </row>
    <row r="26" spans="1:9" ht="18.75" customHeight="1" x14ac:dyDescent="0.15">
      <c r="A26" s="14"/>
      <c r="B26" s="181"/>
      <c r="C26" s="182"/>
      <c r="D26" s="182"/>
      <c r="E26" s="182"/>
      <c r="F26" s="182"/>
      <c r="G26" s="182"/>
      <c r="H26" s="182"/>
      <c r="I26" s="183"/>
    </row>
    <row r="27" spans="1:9" ht="18.75" customHeight="1" x14ac:dyDescent="0.15">
      <c r="A27" s="14"/>
      <c r="B27" s="181"/>
      <c r="C27" s="182"/>
      <c r="D27" s="182"/>
      <c r="E27" s="182"/>
      <c r="F27" s="182"/>
      <c r="G27" s="182"/>
      <c r="H27" s="182"/>
      <c r="I27" s="183"/>
    </row>
    <row r="28" spans="1:9" ht="18.75" customHeight="1" x14ac:dyDescent="0.15">
      <c r="A28" s="14"/>
      <c r="B28" s="181"/>
      <c r="C28" s="182"/>
      <c r="D28" s="182"/>
      <c r="E28" s="182"/>
      <c r="F28" s="182"/>
      <c r="G28" s="182"/>
      <c r="H28" s="182"/>
      <c r="I28" s="183"/>
    </row>
    <row r="29" spans="1:9" ht="18.75" customHeight="1" x14ac:dyDescent="0.15">
      <c r="A29" s="14"/>
      <c r="B29" s="181"/>
      <c r="C29" s="182"/>
      <c r="D29" s="182"/>
      <c r="E29" s="182"/>
      <c r="F29" s="182"/>
      <c r="G29" s="182"/>
      <c r="H29" s="182"/>
      <c r="I29" s="183"/>
    </row>
    <row r="30" spans="1:9" ht="18.75" customHeight="1" x14ac:dyDescent="0.15">
      <c r="A30" s="14"/>
      <c r="B30" s="184"/>
      <c r="C30" s="185"/>
      <c r="D30" s="185"/>
      <c r="E30" s="185"/>
      <c r="F30" s="185"/>
      <c r="G30" s="185"/>
      <c r="H30" s="185"/>
      <c r="I30" s="183"/>
    </row>
    <row r="31" spans="1:9" ht="18.75" customHeight="1" x14ac:dyDescent="0.15">
      <c r="A31" s="14"/>
      <c r="B31" s="184"/>
      <c r="C31" s="185"/>
      <c r="D31" s="185"/>
      <c r="E31" s="185"/>
      <c r="F31" s="185"/>
      <c r="G31" s="185"/>
      <c r="H31" s="185"/>
      <c r="I31" s="183"/>
    </row>
    <row r="32" spans="1:9" ht="18.75" customHeight="1" x14ac:dyDescent="0.15">
      <c r="A32" s="14"/>
      <c r="B32" s="186"/>
      <c r="C32" s="187"/>
      <c r="D32" s="187"/>
      <c r="E32" s="187"/>
      <c r="F32" s="187"/>
      <c r="G32" s="187"/>
      <c r="H32" s="187"/>
      <c r="I32" s="188"/>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8.75" customHeight="1" x14ac:dyDescent="0.15">
      <c r="A35" s="14"/>
      <c r="B35" s="178" t="s">
        <v>181</v>
      </c>
      <c r="C35" s="179"/>
      <c r="D35" s="179"/>
      <c r="E35" s="179"/>
      <c r="F35" s="179"/>
      <c r="G35" s="179"/>
      <c r="H35" s="179"/>
      <c r="I35" s="180"/>
    </row>
    <row r="36" spans="1:9" ht="18.75" customHeight="1" x14ac:dyDescent="0.15">
      <c r="A36" s="14"/>
      <c r="B36" s="184"/>
      <c r="C36" s="185"/>
      <c r="D36" s="185"/>
      <c r="E36" s="185"/>
      <c r="F36" s="185"/>
      <c r="G36" s="185"/>
      <c r="H36" s="185"/>
      <c r="I36" s="183"/>
    </row>
    <row r="37" spans="1:9" ht="18.75" customHeight="1" x14ac:dyDescent="0.15">
      <c r="A37" s="14"/>
      <c r="B37" s="184"/>
      <c r="C37" s="185"/>
      <c r="D37" s="185"/>
      <c r="E37" s="185"/>
      <c r="F37" s="185"/>
      <c r="G37" s="185"/>
      <c r="H37" s="185"/>
      <c r="I37" s="183"/>
    </row>
    <row r="38" spans="1:9" ht="18.75" customHeight="1" x14ac:dyDescent="0.15">
      <c r="A38" s="14"/>
      <c r="B38" s="184"/>
      <c r="C38" s="185"/>
      <c r="D38" s="185"/>
      <c r="E38" s="185"/>
      <c r="F38" s="185"/>
      <c r="G38" s="185"/>
      <c r="H38" s="185"/>
      <c r="I38" s="183"/>
    </row>
    <row r="39" spans="1:9" ht="18.75" customHeight="1" x14ac:dyDescent="0.15">
      <c r="A39" s="14"/>
      <c r="B39" s="184"/>
      <c r="C39" s="185"/>
      <c r="D39" s="185"/>
      <c r="E39" s="185"/>
      <c r="F39" s="185"/>
      <c r="G39" s="185"/>
      <c r="H39" s="185"/>
      <c r="I39" s="183"/>
    </row>
    <row r="40" spans="1:9" ht="18.75" customHeight="1" x14ac:dyDescent="0.15">
      <c r="A40" s="14"/>
      <c r="B40" s="184"/>
      <c r="C40" s="185"/>
      <c r="D40" s="185"/>
      <c r="E40" s="185"/>
      <c r="F40" s="185"/>
      <c r="G40" s="185"/>
      <c r="H40" s="185"/>
      <c r="I40" s="183"/>
    </row>
    <row r="41" spans="1:9" ht="18.75" customHeight="1" x14ac:dyDescent="0.15">
      <c r="A41" s="14"/>
      <c r="B41" s="184"/>
      <c r="C41" s="185"/>
      <c r="D41" s="185"/>
      <c r="E41" s="185"/>
      <c r="F41" s="185"/>
      <c r="G41" s="185"/>
      <c r="H41" s="185"/>
      <c r="I41" s="183"/>
    </row>
    <row r="42" spans="1:9" ht="18.75" customHeight="1" x14ac:dyDescent="0.15">
      <c r="A42" s="14"/>
      <c r="B42" s="184"/>
      <c r="C42" s="185"/>
      <c r="D42" s="185"/>
      <c r="E42" s="185"/>
      <c r="F42" s="185"/>
      <c r="G42" s="185"/>
      <c r="H42" s="185"/>
      <c r="I42" s="183"/>
    </row>
    <row r="43" spans="1:9" ht="18.75" customHeight="1" x14ac:dyDescent="0.15">
      <c r="A43" s="14"/>
      <c r="B43" s="184"/>
      <c r="C43" s="185"/>
      <c r="D43" s="185"/>
      <c r="E43" s="185"/>
      <c r="F43" s="185"/>
      <c r="G43" s="185"/>
      <c r="H43" s="185"/>
      <c r="I43" s="183"/>
    </row>
    <row r="44" spans="1:9" ht="18.75" customHeight="1" x14ac:dyDescent="0.15">
      <c r="A44" s="14"/>
      <c r="B44" s="184"/>
      <c r="C44" s="185"/>
      <c r="D44" s="185"/>
      <c r="E44" s="185"/>
      <c r="F44" s="185"/>
      <c r="G44" s="185"/>
      <c r="H44" s="185"/>
      <c r="I44" s="183"/>
    </row>
    <row r="45" spans="1:9" ht="18.75" customHeight="1" x14ac:dyDescent="0.15">
      <c r="A45" s="14"/>
      <c r="B45" s="184"/>
      <c r="C45" s="185"/>
      <c r="D45" s="185"/>
      <c r="E45" s="185"/>
      <c r="F45" s="185"/>
      <c r="G45" s="185"/>
      <c r="H45" s="185"/>
      <c r="I45" s="183"/>
    </row>
    <row r="46" spans="1:9" ht="18.75" customHeight="1" x14ac:dyDescent="0.15">
      <c r="A46" s="14"/>
      <c r="B46" s="186"/>
      <c r="C46" s="187"/>
      <c r="D46" s="187"/>
      <c r="E46" s="187"/>
      <c r="F46" s="187"/>
      <c r="G46" s="187"/>
      <c r="H46" s="187"/>
      <c r="I46" s="188"/>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64" t="s">
        <v>129</v>
      </c>
      <c r="C49" s="216">
        <f>'様式２ 履修者等数の実績'!S33</f>
        <v>0.16</v>
      </c>
      <c r="D49" s="216"/>
      <c r="E49" s="64" t="s">
        <v>60</v>
      </c>
      <c r="F49" s="216">
        <v>0.3</v>
      </c>
      <c r="G49" s="216"/>
      <c r="H49" s="64" t="s">
        <v>80</v>
      </c>
      <c r="I49" s="22">
        <v>0.6</v>
      </c>
      <c r="J49" s="1"/>
      <c r="M49" s="1"/>
      <c r="N49" s="23"/>
    </row>
    <row r="50" spans="1:15" s="3" customFormat="1" ht="18.75" customHeight="1" x14ac:dyDescent="0.15">
      <c r="B50" s="65" t="s">
        <v>116</v>
      </c>
      <c r="C50" s="199">
        <v>0.8</v>
      </c>
      <c r="D50" s="199"/>
      <c r="E50" s="65" t="s">
        <v>130</v>
      </c>
      <c r="F50" s="199">
        <v>1</v>
      </c>
      <c r="G50" s="199"/>
      <c r="H50" s="65" t="s">
        <v>61</v>
      </c>
      <c r="I50" s="24">
        <f>'様式２ 履修者等数の実績'!E13</f>
        <v>400</v>
      </c>
      <c r="J50" s="1"/>
      <c r="M50" s="1"/>
      <c r="N50" s="23"/>
    </row>
    <row r="51" spans="1:15" ht="18.75" customHeight="1" x14ac:dyDescent="0.15">
      <c r="A51" s="1"/>
      <c r="B51" s="196" t="s">
        <v>62</v>
      </c>
      <c r="C51" s="197"/>
      <c r="D51" s="197"/>
      <c r="E51" s="197"/>
      <c r="F51" s="197"/>
      <c r="G51" s="197"/>
      <c r="H51" s="197"/>
      <c r="I51" s="198"/>
      <c r="N51" s="23"/>
      <c r="O51" s="3"/>
    </row>
    <row r="52" spans="1:15" ht="18.75" customHeight="1" x14ac:dyDescent="0.15">
      <c r="A52" s="1"/>
      <c r="B52" s="217" t="s">
        <v>161</v>
      </c>
      <c r="C52" s="218"/>
      <c r="D52" s="218"/>
      <c r="E52" s="218"/>
      <c r="F52" s="218"/>
      <c r="G52" s="218"/>
      <c r="H52" s="218"/>
      <c r="I52" s="219"/>
      <c r="N52" s="23"/>
      <c r="O52" s="3"/>
    </row>
    <row r="53" spans="1:15" ht="18.75" customHeight="1" x14ac:dyDescent="0.15">
      <c r="A53" s="1"/>
      <c r="B53" s="220"/>
      <c r="C53" s="221"/>
      <c r="D53" s="221"/>
      <c r="E53" s="221"/>
      <c r="F53" s="221"/>
      <c r="G53" s="221"/>
      <c r="H53" s="221"/>
      <c r="I53" s="222"/>
      <c r="N53" s="23"/>
      <c r="O53" s="3"/>
    </row>
    <row r="54" spans="1:15" ht="18.75" customHeight="1" x14ac:dyDescent="0.15">
      <c r="A54" s="1"/>
      <c r="B54" s="220"/>
      <c r="C54" s="221"/>
      <c r="D54" s="221"/>
      <c r="E54" s="221"/>
      <c r="F54" s="221"/>
      <c r="G54" s="221"/>
      <c r="H54" s="221"/>
      <c r="I54" s="222"/>
    </row>
    <row r="55" spans="1:15" ht="18.75" customHeight="1" x14ac:dyDescent="0.15">
      <c r="A55" s="1"/>
      <c r="B55" s="220"/>
      <c r="C55" s="221"/>
      <c r="D55" s="221"/>
      <c r="E55" s="221"/>
      <c r="F55" s="221"/>
      <c r="G55" s="221"/>
      <c r="H55" s="221"/>
      <c r="I55" s="222"/>
    </row>
    <row r="56" spans="1:15" ht="18.75" customHeight="1" x14ac:dyDescent="0.15">
      <c r="A56" s="1"/>
      <c r="B56" s="220"/>
      <c r="C56" s="221"/>
      <c r="D56" s="221"/>
      <c r="E56" s="221"/>
      <c r="F56" s="221"/>
      <c r="G56" s="221"/>
      <c r="H56" s="221"/>
      <c r="I56" s="222"/>
    </row>
    <row r="57" spans="1:15" ht="18.75" customHeight="1" x14ac:dyDescent="0.15">
      <c r="A57" s="1"/>
      <c r="B57" s="220"/>
      <c r="C57" s="221"/>
      <c r="D57" s="221"/>
      <c r="E57" s="221"/>
      <c r="F57" s="221"/>
      <c r="G57" s="221"/>
      <c r="H57" s="221"/>
      <c r="I57" s="222"/>
    </row>
    <row r="58" spans="1:15" ht="18.75" customHeight="1" x14ac:dyDescent="0.15">
      <c r="A58" s="1"/>
      <c r="B58" s="220"/>
      <c r="C58" s="221"/>
      <c r="D58" s="221"/>
      <c r="E58" s="221"/>
      <c r="F58" s="221"/>
      <c r="G58" s="221"/>
      <c r="H58" s="221"/>
      <c r="I58" s="222"/>
    </row>
    <row r="59" spans="1:15" ht="18.75" customHeight="1" x14ac:dyDescent="0.15">
      <c r="A59" s="1"/>
      <c r="B59" s="220"/>
      <c r="C59" s="221"/>
      <c r="D59" s="221"/>
      <c r="E59" s="221"/>
      <c r="F59" s="221"/>
      <c r="G59" s="221"/>
      <c r="H59" s="221"/>
      <c r="I59" s="222"/>
    </row>
    <row r="60" spans="1:15" ht="18.75" customHeight="1" x14ac:dyDescent="0.15">
      <c r="A60" s="1"/>
      <c r="B60" s="220"/>
      <c r="C60" s="221"/>
      <c r="D60" s="221"/>
      <c r="E60" s="221"/>
      <c r="F60" s="221"/>
      <c r="G60" s="221"/>
      <c r="H60" s="221"/>
      <c r="I60" s="222"/>
    </row>
    <row r="61" spans="1:15" ht="18.75" customHeight="1" x14ac:dyDescent="0.15">
      <c r="A61" s="1"/>
      <c r="B61" s="220"/>
      <c r="C61" s="221"/>
      <c r="D61" s="221"/>
      <c r="E61" s="221"/>
      <c r="F61" s="221"/>
      <c r="G61" s="221"/>
      <c r="H61" s="221"/>
      <c r="I61" s="222"/>
    </row>
    <row r="62" spans="1:15" ht="18.75" customHeight="1" x14ac:dyDescent="0.15">
      <c r="A62" s="1"/>
      <c r="B62" s="220"/>
      <c r="C62" s="221"/>
      <c r="D62" s="221"/>
      <c r="E62" s="221"/>
      <c r="F62" s="221"/>
      <c r="G62" s="221"/>
      <c r="H62" s="221"/>
      <c r="I62" s="222"/>
    </row>
    <row r="63" spans="1:15" ht="18.75" customHeight="1" x14ac:dyDescent="0.15">
      <c r="A63" s="1"/>
      <c r="B63" s="223"/>
      <c r="C63" s="224"/>
      <c r="D63" s="224"/>
      <c r="E63" s="224"/>
      <c r="F63" s="224"/>
      <c r="G63" s="224"/>
      <c r="H63" s="224"/>
      <c r="I63" s="225"/>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00" t="s">
        <v>162</v>
      </c>
      <c r="C66" s="201"/>
      <c r="D66" s="201"/>
      <c r="E66" s="201"/>
      <c r="F66" s="201"/>
      <c r="G66" s="201"/>
      <c r="H66" s="201"/>
      <c r="I66" s="202"/>
    </row>
    <row r="67" spans="1:9" ht="18.75" customHeight="1" x14ac:dyDescent="0.15">
      <c r="A67" s="4"/>
      <c r="B67" s="203"/>
      <c r="C67" s="204"/>
      <c r="D67" s="204"/>
      <c r="E67" s="204"/>
      <c r="F67" s="204"/>
      <c r="G67" s="204"/>
      <c r="H67" s="204"/>
      <c r="I67" s="205"/>
    </row>
    <row r="68" spans="1:9" ht="18.75" customHeight="1" x14ac:dyDescent="0.15">
      <c r="A68" s="4"/>
      <c r="B68" s="203"/>
      <c r="C68" s="204"/>
      <c r="D68" s="204"/>
      <c r="E68" s="204"/>
      <c r="F68" s="204"/>
      <c r="G68" s="204"/>
      <c r="H68" s="204"/>
      <c r="I68" s="205"/>
    </row>
    <row r="69" spans="1:9" ht="18.75" customHeight="1" x14ac:dyDescent="0.15">
      <c r="A69" s="4"/>
      <c r="B69" s="203"/>
      <c r="C69" s="204"/>
      <c r="D69" s="204"/>
      <c r="E69" s="204"/>
      <c r="F69" s="204"/>
      <c r="G69" s="204"/>
      <c r="H69" s="204"/>
      <c r="I69" s="205"/>
    </row>
    <row r="70" spans="1:9" ht="18.75" customHeight="1" x14ac:dyDescent="0.15">
      <c r="A70" s="4"/>
      <c r="B70" s="203"/>
      <c r="C70" s="204"/>
      <c r="D70" s="204"/>
      <c r="E70" s="204"/>
      <c r="F70" s="204"/>
      <c r="G70" s="204"/>
      <c r="H70" s="204"/>
      <c r="I70" s="205"/>
    </row>
    <row r="71" spans="1:9" ht="18.75" customHeight="1" x14ac:dyDescent="0.15">
      <c r="A71" s="4"/>
      <c r="B71" s="203"/>
      <c r="C71" s="204"/>
      <c r="D71" s="204"/>
      <c r="E71" s="204"/>
      <c r="F71" s="204"/>
      <c r="G71" s="204"/>
      <c r="H71" s="204"/>
      <c r="I71" s="205"/>
    </row>
    <row r="72" spans="1:9" ht="18.75" customHeight="1" x14ac:dyDescent="0.15">
      <c r="A72" s="4"/>
      <c r="B72" s="203"/>
      <c r="C72" s="204"/>
      <c r="D72" s="204"/>
      <c r="E72" s="204"/>
      <c r="F72" s="204"/>
      <c r="G72" s="204"/>
      <c r="H72" s="204"/>
      <c r="I72" s="205"/>
    </row>
    <row r="73" spans="1:9" ht="18.75" customHeight="1" x14ac:dyDescent="0.15">
      <c r="A73" s="4"/>
      <c r="B73" s="203"/>
      <c r="C73" s="204"/>
      <c r="D73" s="204"/>
      <c r="E73" s="204"/>
      <c r="F73" s="204"/>
      <c r="G73" s="204"/>
      <c r="H73" s="204"/>
      <c r="I73" s="205"/>
    </row>
    <row r="74" spans="1:9" ht="18.75" customHeight="1" x14ac:dyDescent="0.15">
      <c r="A74" s="4"/>
      <c r="B74" s="203"/>
      <c r="C74" s="204"/>
      <c r="D74" s="204"/>
      <c r="E74" s="204"/>
      <c r="F74" s="204"/>
      <c r="G74" s="204"/>
      <c r="H74" s="204"/>
      <c r="I74" s="205"/>
    </row>
    <row r="75" spans="1:9" ht="18.75" customHeight="1" x14ac:dyDescent="0.15">
      <c r="A75" s="4"/>
      <c r="B75" s="203"/>
      <c r="C75" s="204"/>
      <c r="D75" s="204"/>
      <c r="E75" s="204"/>
      <c r="F75" s="204"/>
      <c r="G75" s="204"/>
      <c r="H75" s="204"/>
      <c r="I75" s="205"/>
    </row>
    <row r="76" spans="1:9" ht="18.75" customHeight="1" x14ac:dyDescent="0.15">
      <c r="A76" s="4"/>
      <c r="B76" s="203"/>
      <c r="C76" s="204"/>
      <c r="D76" s="204"/>
      <c r="E76" s="204"/>
      <c r="F76" s="204"/>
      <c r="G76" s="204"/>
      <c r="H76" s="204"/>
      <c r="I76" s="205"/>
    </row>
    <row r="77" spans="1:9" ht="18.75" customHeight="1" x14ac:dyDescent="0.15">
      <c r="A77" s="4"/>
      <c r="B77" s="206"/>
      <c r="C77" s="207"/>
      <c r="D77" s="207"/>
      <c r="E77" s="207"/>
      <c r="F77" s="207"/>
      <c r="G77" s="207"/>
      <c r="H77" s="207"/>
      <c r="I77" s="208"/>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200" t="s">
        <v>167</v>
      </c>
      <c r="C80" s="201"/>
      <c r="D80" s="201"/>
      <c r="E80" s="201"/>
      <c r="F80" s="201"/>
      <c r="G80" s="201"/>
      <c r="H80" s="201"/>
      <c r="I80" s="209"/>
    </row>
    <row r="81" spans="1:9" ht="18.75" customHeight="1" x14ac:dyDescent="0.15">
      <c r="A81" s="1"/>
      <c r="B81" s="210"/>
      <c r="C81" s="211"/>
      <c r="D81" s="211"/>
      <c r="E81" s="211"/>
      <c r="F81" s="211"/>
      <c r="G81" s="211"/>
      <c r="H81" s="211"/>
      <c r="I81" s="212"/>
    </row>
    <row r="82" spans="1:9" ht="18.75" customHeight="1" x14ac:dyDescent="0.15">
      <c r="A82" s="1"/>
      <c r="B82" s="210"/>
      <c r="C82" s="211"/>
      <c r="D82" s="211"/>
      <c r="E82" s="211"/>
      <c r="F82" s="211"/>
      <c r="G82" s="211"/>
      <c r="H82" s="211"/>
      <c r="I82" s="212"/>
    </row>
    <row r="83" spans="1:9" ht="18.75" customHeight="1" x14ac:dyDescent="0.15">
      <c r="A83" s="1"/>
      <c r="B83" s="210"/>
      <c r="C83" s="211"/>
      <c r="D83" s="211"/>
      <c r="E83" s="211"/>
      <c r="F83" s="211"/>
      <c r="G83" s="211"/>
      <c r="H83" s="211"/>
      <c r="I83" s="212"/>
    </row>
    <row r="84" spans="1:9" ht="18.75" customHeight="1" x14ac:dyDescent="0.15">
      <c r="A84" s="1"/>
      <c r="B84" s="210"/>
      <c r="C84" s="211"/>
      <c r="D84" s="211"/>
      <c r="E84" s="211"/>
      <c r="F84" s="211"/>
      <c r="G84" s="211"/>
      <c r="H84" s="211"/>
      <c r="I84" s="212"/>
    </row>
    <row r="85" spans="1:9" ht="18.75" customHeight="1" x14ac:dyDescent="0.15">
      <c r="A85" s="1"/>
      <c r="B85" s="210"/>
      <c r="C85" s="211"/>
      <c r="D85" s="211"/>
      <c r="E85" s="211"/>
      <c r="F85" s="211"/>
      <c r="G85" s="211"/>
      <c r="H85" s="211"/>
      <c r="I85" s="212"/>
    </row>
    <row r="86" spans="1:9" ht="18.75" customHeight="1" x14ac:dyDescent="0.15">
      <c r="A86" s="1"/>
      <c r="B86" s="210"/>
      <c r="C86" s="211"/>
      <c r="D86" s="211"/>
      <c r="E86" s="211"/>
      <c r="F86" s="211"/>
      <c r="G86" s="211"/>
      <c r="H86" s="211"/>
      <c r="I86" s="212"/>
    </row>
    <row r="87" spans="1:9" ht="18.75" customHeight="1" x14ac:dyDescent="0.15">
      <c r="A87" s="1"/>
      <c r="B87" s="210"/>
      <c r="C87" s="211"/>
      <c r="D87" s="211"/>
      <c r="E87" s="211"/>
      <c r="F87" s="211"/>
      <c r="G87" s="211"/>
      <c r="H87" s="211"/>
      <c r="I87" s="212"/>
    </row>
    <row r="88" spans="1:9" ht="18.75" customHeight="1" x14ac:dyDescent="0.15">
      <c r="A88" s="1"/>
      <c r="B88" s="210"/>
      <c r="C88" s="211"/>
      <c r="D88" s="211"/>
      <c r="E88" s="211"/>
      <c r="F88" s="211"/>
      <c r="G88" s="211"/>
      <c r="H88" s="211"/>
      <c r="I88" s="212"/>
    </row>
    <row r="89" spans="1:9" ht="18.75" customHeight="1" x14ac:dyDescent="0.15">
      <c r="A89" s="1"/>
      <c r="B89" s="210"/>
      <c r="C89" s="211"/>
      <c r="D89" s="211"/>
      <c r="E89" s="211"/>
      <c r="F89" s="211"/>
      <c r="G89" s="211"/>
      <c r="H89" s="211"/>
      <c r="I89" s="212"/>
    </row>
    <row r="90" spans="1:9" ht="18.75" customHeight="1" x14ac:dyDescent="0.15">
      <c r="A90" s="4"/>
      <c r="B90" s="210"/>
      <c r="C90" s="211"/>
      <c r="D90" s="211"/>
      <c r="E90" s="211"/>
      <c r="F90" s="211"/>
      <c r="G90" s="211"/>
      <c r="H90" s="211"/>
      <c r="I90" s="212"/>
    </row>
    <row r="91" spans="1:9" ht="18.75" customHeight="1" x14ac:dyDescent="0.15">
      <c r="A91" s="4"/>
      <c r="B91" s="213"/>
      <c r="C91" s="214"/>
      <c r="D91" s="214"/>
      <c r="E91" s="214"/>
      <c r="F91" s="214"/>
      <c r="G91" s="214"/>
      <c r="H91" s="214"/>
      <c r="I91" s="215"/>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78" t="s">
        <v>163</v>
      </c>
      <c r="C94" s="179"/>
      <c r="D94" s="179"/>
      <c r="E94" s="179"/>
      <c r="F94" s="179"/>
      <c r="G94" s="179"/>
      <c r="H94" s="179"/>
      <c r="I94" s="180"/>
    </row>
    <row r="95" spans="1:9" ht="18.75" customHeight="1" x14ac:dyDescent="0.15">
      <c r="A95" s="1"/>
      <c r="B95" s="184"/>
      <c r="C95" s="185"/>
      <c r="D95" s="185"/>
      <c r="E95" s="185"/>
      <c r="F95" s="185"/>
      <c r="G95" s="185"/>
      <c r="H95" s="185"/>
      <c r="I95" s="183"/>
    </row>
    <row r="96" spans="1:9" ht="18.75" customHeight="1" x14ac:dyDescent="0.15">
      <c r="A96" s="1"/>
      <c r="B96" s="184"/>
      <c r="C96" s="185"/>
      <c r="D96" s="185"/>
      <c r="E96" s="185"/>
      <c r="F96" s="185"/>
      <c r="G96" s="185"/>
      <c r="H96" s="185"/>
      <c r="I96" s="183"/>
    </row>
    <row r="97" spans="1:9" ht="18.75" customHeight="1" x14ac:dyDescent="0.15">
      <c r="A97" s="1"/>
      <c r="B97" s="184"/>
      <c r="C97" s="185"/>
      <c r="D97" s="185"/>
      <c r="E97" s="185"/>
      <c r="F97" s="185"/>
      <c r="G97" s="185"/>
      <c r="H97" s="185"/>
      <c r="I97" s="183"/>
    </row>
    <row r="98" spans="1:9" ht="18.75" customHeight="1" x14ac:dyDescent="0.15">
      <c r="A98" s="1"/>
      <c r="B98" s="184"/>
      <c r="C98" s="185"/>
      <c r="D98" s="185"/>
      <c r="E98" s="185"/>
      <c r="F98" s="185"/>
      <c r="G98" s="185"/>
      <c r="H98" s="185"/>
      <c r="I98" s="183"/>
    </row>
    <row r="99" spans="1:9" ht="18.75" customHeight="1" x14ac:dyDescent="0.15">
      <c r="A99" s="1"/>
      <c r="B99" s="184"/>
      <c r="C99" s="185"/>
      <c r="D99" s="185"/>
      <c r="E99" s="185"/>
      <c r="F99" s="185"/>
      <c r="G99" s="185"/>
      <c r="H99" s="185"/>
      <c r="I99" s="183"/>
    </row>
    <row r="100" spans="1:9" ht="18.75" customHeight="1" x14ac:dyDescent="0.15">
      <c r="A100" s="1"/>
      <c r="B100" s="184"/>
      <c r="C100" s="185"/>
      <c r="D100" s="185"/>
      <c r="E100" s="185"/>
      <c r="F100" s="185"/>
      <c r="G100" s="185"/>
      <c r="H100" s="185"/>
      <c r="I100" s="183"/>
    </row>
    <row r="101" spans="1:9" ht="18.75" customHeight="1" x14ac:dyDescent="0.15">
      <c r="A101" s="1"/>
      <c r="B101" s="184"/>
      <c r="C101" s="185"/>
      <c r="D101" s="185"/>
      <c r="E101" s="185"/>
      <c r="F101" s="185"/>
      <c r="G101" s="185"/>
      <c r="H101" s="185"/>
      <c r="I101" s="183"/>
    </row>
    <row r="102" spans="1:9" ht="18.75" customHeight="1" x14ac:dyDescent="0.15">
      <c r="A102" s="1"/>
      <c r="B102" s="184"/>
      <c r="C102" s="185"/>
      <c r="D102" s="185"/>
      <c r="E102" s="185"/>
      <c r="F102" s="185"/>
      <c r="G102" s="185"/>
      <c r="H102" s="185"/>
      <c r="I102" s="183"/>
    </row>
    <row r="103" spans="1:9" ht="18.75" customHeight="1" x14ac:dyDescent="0.15">
      <c r="A103" s="1"/>
      <c r="B103" s="184"/>
      <c r="C103" s="185"/>
      <c r="D103" s="185"/>
      <c r="E103" s="185"/>
      <c r="F103" s="185"/>
      <c r="G103" s="185"/>
      <c r="H103" s="185"/>
      <c r="I103" s="183"/>
    </row>
    <row r="104" spans="1:9" ht="18.75" customHeight="1" x14ac:dyDescent="0.15">
      <c r="A104" s="1"/>
      <c r="B104" s="184"/>
      <c r="C104" s="185"/>
      <c r="D104" s="185"/>
      <c r="E104" s="185"/>
      <c r="F104" s="185"/>
      <c r="G104" s="185"/>
      <c r="H104" s="185"/>
      <c r="I104" s="183"/>
    </row>
    <row r="105" spans="1:9" ht="18.75" customHeight="1" x14ac:dyDescent="0.15">
      <c r="A105" s="4"/>
      <c r="B105" s="186"/>
      <c r="C105" s="187"/>
      <c r="D105" s="187"/>
      <c r="E105" s="187"/>
      <c r="F105" s="187"/>
      <c r="G105" s="187"/>
      <c r="H105" s="187"/>
      <c r="I105" s="188"/>
    </row>
    <row r="106" spans="1:9" ht="7.5" customHeight="1" x14ac:dyDescent="0.15">
      <c r="A106" s="4"/>
      <c r="B106" s="4"/>
      <c r="C106" s="4"/>
      <c r="D106" s="4"/>
      <c r="E106" s="4"/>
      <c r="F106" s="4"/>
      <c r="G106" s="4"/>
      <c r="H106" s="4"/>
      <c r="I106" s="4"/>
    </row>
    <row r="107" spans="1:9" ht="18.75" customHeight="1" x14ac:dyDescent="0.15">
      <c r="A107" s="1" t="s">
        <v>30</v>
      </c>
      <c r="B107" s="195" t="s">
        <v>44</v>
      </c>
      <c r="C107" s="195"/>
      <c r="D107" s="195"/>
      <c r="E107" s="195"/>
      <c r="F107" s="195"/>
      <c r="G107" s="195"/>
      <c r="H107" s="195"/>
      <c r="I107" s="195"/>
    </row>
    <row r="108" spans="1:9" ht="18.75" customHeight="1" x14ac:dyDescent="0.15">
      <c r="A108" s="4"/>
      <c r="B108" s="178" t="s">
        <v>164</v>
      </c>
      <c r="C108" s="179"/>
      <c r="D108" s="179"/>
      <c r="E108" s="179"/>
      <c r="F108" s="179"/>
      <c r="G108" s="179"/>
      <c r="H108" s="179"/>
      <c r="I108" s="180"/>
    </row>
    <row r="109" spans="1:9" ht="18.75" customHeight="1" x14ac:dyDescent="0.15">
      <c r="A109" s="4"/>
      <c r="B109" s="184"/>
      <c r="C109" s="185"/>
      <c r="D109" s="185"/>
      <c r="E109" s="185"/>
      <c r="F109" s="185"/>
      <c r="G109" s="185"/>
      <c r="H109" s="185"/>
      <c r="I109" s="183"/>
    </row>
    <row r="110" spans="1:9" ht="18.75" customHeight="1" x14ac:dyDescent="0.15">
      <c r="A110" s="4"/>
      <c r="B110" s="184"/>
      <c r="C110" s="185"/>
      <c r="D110" s="185"/>
      <c r="E110" s="185"/>
      <c r="F110" s="185"/>
      <c r="G110" s="185"/>
      <c r="H110" s="185"/>
      <c r="I110" s="183"/>
    </row>
    <row r="111" spans="1:9" ht="18.75" customHeight="1" x14ac:dyDescent="0.15">
      <c r="A111" s="4"/>
      <c r="B111" s="184"/>
      <c r="C111" s="185"/>
      <c r="D111" s="185"/>
      <c r="E111" s="185"/>
      <c r="F111" s="185"/>
      <c r="G111" s="185"/>
      <c r="H111" s="185"/>
      <c r="I111" s="183"/>
    </row>
    <row r="112" spans="1:9" ht="18.75" customHeight="1" x14ac:dyDescent="0.15">
      <c r="A112" s="4"/>
      <c r="B112" s="184"/>
      <c r="C112" s="185"/>
      <c r="D112" s="185"/>
      <c r="E112" s="185"/>
      <c r="F112" s="185"/>
      <c r="G112" s="185"/>
      <c r="H112" s="185"/>
      <c r="I112" s="183"/>
    </row>
    <row r="113" spans="1:9" ht="18.75" customHeight="1" x14ac:dyDescent="0.15">
      <c r="A113" s="4"/>
      <c r="B113" s="184"/>
      <c r="C113" s="185"/>
      <c r="D113" s="185"/>
      <c r="E113" s="185"/>
      <c r="F113" s="185"/>
      <c r="G113" s="185"/>
      <c r="H113" s="185"/>
      <c r="I113" s="183"/>
    </row>
    <row r="114" spans="1:9" ht="18.75" customHeight="1" x14ac:dyDescent="0.15">
      <c r="A114" s="4"/>
      <c r="B114" s="184"/>
      <c r="C114" s="185"/>
      <c r="D114" s="185"/>
      <c r="E114" s="185"/>
      <c r="F114" s="185"/>
      <c r="G114" s="185"/>
      <c r="H114" s="185"/>
      <c r="I114" s="183"/>
    </row>
    <row r="115" spans="1:9" ht="18.75" customHeight="1" x14ac:dyDescent="0.15">
      <c r="A115" s="4"/>
      <c r="B115" s="184"/>
      <c r="C115" s="185"/>
      <c r="D115" s="185"/>
      <c r="E115" s="185"/>
      <c r="F115" s="185"/>
      <c r="G115" s="185"/>
      <c r="H115" s="185"/>
      <c r="I115" s="183"/>
    </row>
    <row r="116" spans="1:9" ht="18.75" customHeight="1" x14ac:dyDescent="0.15">
      <c r="A116" s="4"/>
      <c r="B116" s="184"/>
      <c r="C116" s="185"/>
      <c r="D116" s="185"/>
      <c r="E116" s="185"/>
      <c r="F116" s="185"/>
      <c r="G116" s="185"/>
      <c r="H116" s="185"/>
      <c r="I116" s="183"/>
    </row>
    <row r="117" spans="1:9" ht="18.75" customHeight="1" x14ac:dyDescent="0.15">
      <c r="A117" s="4"/>
      <c r="B117" s="184"/>
      <c r="C117" s="185"/>
      <c r="D117" s="185"/>
      <c r="E117" s="185"/>
      <c r="F117" s="185"/>
      <c r="G117" s="185"/>
      <c r="H117" s="185"/>
      <c r="I117" s="183"/>
    </row>
    <row r="118" spans="1:9" ht="18.75" customHeight="1" x14ac:dyDescent="0.15">
      <c r="A118" s="4"/>
      <c r="B118" s="184"/>
      <c r="C118" s="185"/>
      <c r="D118" s="185"/>
      <c r="E118" s="185"/>
      <c r="F118" s="185"/>
      <c r="G118" s="185"/>
      <c r="H118" s="185"/>
      <c r="I118" s="183"/>
    </row>
    <row r="119" spans="1:9" ht="18.75" customHeight="1" x14ac:dyDescent="0.15">
      <c r="A119" s="4"/>
      <c r="B119" s="186"/>
      <c r="C119" s="187"/>
      <c r="D119" s="187"/>
      <c r="E119" s="187"/>
      <c r="F119" s="187"/>
      <c r="G119" s="187"/>
      <c r="H119" s="187"/>
      <c r="I119" s="188"/>
    </row>
    <row r="120" spans="1:9" ht="7.5" customHeight="1" x14ac:dyDescent="0.15">
      <c r="A120" s="4"/>
      <c r="B120" s="25"/>
      <c r="C120" s="25"/>
      <c r="D120" s="25"/>
      <c r="E120" s="25"/>
      <c r="F120" s="25"/>
      <c r="G120" s="25"/>
      <c r="H120" s="25"/>
      <c r="I120" s="25"/>
    </row>
    <row r="121" spans="1:9" ht="18.75" customHeight="1" x14ac:dyDescent="0.15">
      <c r="A121" s="51"/>
      <c r="B121" s="172"/>
      <c r="C121" s="172"/>
      <c r="D121" s="172"/>
      <c r="E121" s="172"/>
      <c r="F121" s="172"/>
      <c r="G121" s="172"/>
      <c r="H121" s="172"/>
      <c r="I121" s="172"/>
    </row>
    <row r="122" spans="1:9" ht="18.75" customHeight="1" x14ac:dyDescent="0.15">
      <c r="A122" s="51"/>
      <c r="B122" s="172"/>
      <c r="C122" s="172"/>
      <c r="D122" s="172"/>
      <c r="E122" s="172"/>
      <c r="F122" s="172"/>
      <c r="G122" s="172"/>
      <c r="H122" s="172"/>
      <c r="I122" s="172"/>
    </row>
    <row r="123" spans="1:9" ht="18.75" customHeight="1" x14ac:dyDescent="0.15">
      <c r="A123" s="4"/>
      <c r="B123" s="52"/>
      <c r="C123" s="52"/>
      <c r="D123" s="52"/>
      <c r="E123" s="52"/>
      <c r="F123" s="52"/>
      <c r="G123" s="52"/>
      <c r="H123" s="52"/>
      <c r="I123" s="53"/>
    </row>
    <row r="124" spans="1:9" ht="18.75" customHeight="1" x14ac:dyDescent="0.15">
      <c r="A124" s="4"/>
      <c r="B124" s="53"/>
      <c r="C124" s="53"/>
      <c r="D124" s="53"/>
      <c r="E124" s="53"/>
      <c r="F124" s="53"/>
      <c r="G124" s="53"/>
      <c r="H124" s="53"/>
      <c r="I124" s="53"/>
    </row>
    <row r="125" spans="1:9" ht="18.75" customHeight="1" x14ac:dyDescent="0.15">
      <c r="A125" s="4"/>
      <c r="B125" s="53"/>
      <c r="C125" s="53"/>
      <c r="D125" s="53"/>
      <c r="E125" s="53"/>
      <c r="F125" s="53"/>
      <c r="G125" s="53"/>
      <c r="H125" s="53"/>
      <c r="I125" s="53"/>
    </row>
    <row r="126" spans="1:9" ht="18.75" customHeight="1" x14ac:dyDescent="0.15">
      <c r="A126" s="4"/>
      <c r="B126" s="53"/>
      <c r="C126" s="53"/>
      <c r="D126" s="53"/>
      <c r="E126" s="53"/>
      <c r="F126" s="53"/>
      <c r="G126" s="53"/>
      <c r="H126" s="53"/>
      <c r="I126" s="53"/>
    </row>
    <row r="127" spans="1:9" ht="18.75" customHeight="1" x14ac:dyDescent="0.15">
      <c r="A127" s="4"/>
      <c r="B127" s="53"/>
      <c r="C127" s="53"/>
      <c r="D127" s="53"/>
      <c r="E127" s="53"/>
      <c r="F127" s="53"/>
      <c r="G127" s="53"/>
      <c r="H127" s="53"/>
      <c r="I127" s="53"/>
    </row>
    <row r="128" spans="1:9" ht="18.75" customHeight="1" x14ac:dyDescent="0.15">
      <c r="A128" s="4"/>
      <c r="B128" s="53"/>
      <c r="C128" s="53"/>
      <c r="D128" s="53"/>
      <c r="E128" s="53"/>
      <c r="F128" s="53"/>
      <c r="G128" s="53"/>
      <c r="H128" s="53"/>
      <c r="I128" s="53"/>
    </row>
    <row r="129" spans="1:9" ht="18.75" customHeight="1" x14ac:dyDescent="0.15">
      <c r="A129" s="4"/>
      <c r="B129" s="53"/>
      <c r="C129" s="53"/>
      <c r="D129" s="53"/>
      <c r="E129" s="53"/>
      <c r="F129" s="53"/>
      <c r="G129" s="53"/>
      <c r="H129" s="53"/>
      <c r="I129" s="53"/>
    </row>
    <row r="130" spans="1:9" ht="18.75" customHeight="1" x14ac:dyDescent="0.15">
      <c r="A130" s="4"/>
      <c r="B130" s="53"/>
      <c r="C130" s="53"/>
      <c r="D130" s="53"/>
      <c r="E130" s="53"/>
      <c r="F130" s="53"/>
      <c r="G130" s="53"/>
      <c r="H130" s="53"/>
      <c r="I130" s="53"/>
    </row>
    <row r="131" spans="1:9" ht="18.75" customHeight="1" x14ac:dyDescent="0.15">
      <c r="A131" s="4"/>
      <c r="B131" s="53"/>
      <c r="C131" s="53"/>
      <c r="D131" s="53"/>
      <c r="E131" s="53"/>
      <c r="F131" s="53"/>
      <c r="G131" s="53"/>
      <c r="H131" s="53"/>
      <c r="I131" s="53"/>
    </row>
    <row r="132" spans="1:9" ht="18.75" customHeight="1" x14ac:dyDescent="0.15">
      <c r="A132" s="4"/>
      <c r="B132" s="53"/>
      <c r="C132" s="53"/>
      <c r="D132" s="53"/>
      <c r="E132" s="53"/>
      <c r="F132" s="53"/>
      <c r="G132" s="53"/>
      <c r="H132" s="53"/>
      <c r="I132" s="53"/>
    </row>
    <row r="133" spans="1:9" ht="14.25" x14ac:dyDescent="0.15">
      <c r="A133" s="4"/>
      <c r="B133" s="53"/>
      <c r="C133" s="53"/>
      <c r="D133" s="53"/>
      <c r="E133" s="53"/>
      <c r="F133" s="53"/>
      <c r="G133" s="53"/>
      <c r="H133" s="53"/>
      <c r="I133" s="53"/>
    </row>
    <row r="134" spans="1:9" ht="7.5" customHeight="1" x14ac:dyDescent="0.15">
      <c r="A134" s="4"/>
      <c r="B134" s="53"/>
      <c r="C134" s="53"/>
      <c r="D134" s="53"/>
      <c r="E134" s="53"/>
      <c r="F134" s="53"/>
      <c r="G134" s="53"/>
      <c r="H134" s="53"/>
      <c r="I134" s="5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4" zoomScaleNormal="100" zoomScaleSheetLayoutView="100" workbookViewId="0">
      <selection activeCell="A3" sqref="A3:I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プログラムを構成する授業科目'!C2</f>
        <v>函館大学</v>
      </c>
    </row>
    <row r="3" spans="1:9" ht="18.75" customHeight="1" x14ac:dyDescent="0.15">
      <c r="A3" s="159" t="s">
        <v>28</v>
      </c>
      <c r="B3" s="159"/>
      <c r="C3" s="159"/>
      <c r="D3" s="159"/>
      <c r="E3" s="159"/>
      <c r="F3" s="159"/>
      <c r="G3" s="159"/>
      <c r="H3" s="159"/>
      <c r="I3" s="159"/>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189" t="s">
        <v>190</v>
      </c>
      <c r="C6" s="234"/>
      <c r="D6" s="234"/>
      <c r="E6" s="234"/>
      <c r="F6" s="234"/>
      <c r="G6" s="234"/>
      <c r="H6" s="235"/>
      <c r="I6" s="3"/>
    </row>
    <row r="7" spans="1:9" ht="9" customHeight="1" x14ac:dyDescent="0.15">
      <c r="A7" s="5"/>
      <c r="B7" s="10"/>
      <c r="C7" s="10"/>
      <c r="D7" s="10"/>
      <c r="E7" s="10"/>
      <c r="F7" s="10"/>
      <c r="G7" s="10"/>
      <c r="H7" s="10"/>
      <c r="I7" s="3"/>
    </row>
    <row r="8" spans="1:9" ht="18.75" customHeight="1" x14ac:dyDescent="0.15">
      <c r="A8" s="5"/>
      <c r="B8" s="3"/>
      <c r="C8" s="3"/>
      <c r="D8" s="18" t="s">
        <v>41</v>
      </c>
      <c r="E8" s="19" t="s">
        <v>159</v>
      </c>
      <c r="F8" s="3"/>
      <c r="G8" s="18" t="s">
        <v>10</v>
      </c>
      <c r="H8" s="19" t="s">
        <v>158</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173" t="s">
        <v>24</v>
      </c>
      <c r="C11" s="231"/>
      <c r="D11" s="174"/>
      <c r="E11" s="231" t="s">
        <v>26</v>
      </c>
      <c r="F11" s="231"/>
      <c r="G11" s="231"/>
      <c r="H11" s="231"/>
      <c r="I11" s="174"/>
    </row>
    <row r="12" spans="1:9" ht="26.25" customHeight="1" x14ac:dyDescent="0.15">
      <c r="B12" s="26" t="s">
        <v>14</v>
      </c>
      <c r="C12" s="33"/>
      <c r="D12" s="27"/>
      <c r="E12" s="34"/>
      <c r="F12" s="34"/>
      <c r="G12" s="34"/>
      <c r="H12" s="34"/>
      <c r="I12" s="27"/>
    </row>
    <row r="13" spans="1:9" ht="210.75" customHeight="1" x14ac:dyDescent="0.15">
      <c r="B13" s="28"/>
      <c r="C13" s="232" t="s">
        <v>15</v>
      </c>
      <c r="D13" s="233"/>
      <c r="E13" s="228" t="s">
        <v>180</v>
      </c>
      <c r="F13" s="229"/>
      <c r="G13" s="229"/>
      <c r="H13" s="229"/>
      <c r="I13" s="230"/>
    </row>
    <row r="14" spans="1:9" ht="210.75" customHeight="1" x14ac:dyDescent="0.15">
      <c r="B14" s="28"/>
      <c r="C14" s="226" t="s">
        <v>16</v>
      </c>
      <c r="D14" s="227"/>
      <c r="E14" s="228" t="s">
        <v>168</v>
      </c>
      <c r="F14" s="229"/>
      <c r="G14" s="229"/>
      <c r="H14" s="229"/>
      <c r="I14" s="230"/>
    </row>
    <row r="15" spans="1:9" ht="210.75" customHeight="1" x14ac:dyDescent="0.15">
      <c r="B15" s="28"/>
      <c r="C15" s="232" t="s">
        <v>17</v>
      </c>
      <c r="D15" s="233"/>
      <c r="E15" s="228" t="s">
        <v>169</v>
      </c>
      <c r="F15" s="229"/>
      <c r="G15" s="229"/>
      <c r="H15" s="229"/>
      <c r="I15" s="230"/>
    </row>
    <row r="16" spans="1:9" ht="210.75" customHeight="1" x14ac:dyDescent="0.15">
      <c r="B16" s="28"/>
      <c r="C16" s="232" t="s">
        <v>18</v>
      </c>
      <c r="D16" s="233"/>
      <c r="E16" s="236" t="s">
        <v>174</v>
      </c>
      <c r="F16" s="237"/>
      <c r="G16" s="237"/>
      <c r="H16" s="237"/>
      <c r="I16" s="238"/>
    </row>
    <row r="17" spans="2:9" ht="210.75" customHeight="1" x14ac:dyDescent="0.15">
      <c r="B17" s="29"/>
      <c r="C17" s="239" t="s">
        <v>19</v>
      </c>
      <c r="D17" s="240"/>
      <c r="E17" s="241" t="s">
        <v>170</v>
      </c>
      <c r="F17" s="242"/>
      <c r="G17" s="242"/>
      <c r="H17" s="242"/>
      <c r="I17" s="243"/>
    </row>
    <row r="18" spans="2:9" ht="24" customHeight="1" x14ac:dyDescent="0.15">
      <c r="B18" s="26" t="s">
        <v>20</v>
      </c>
      <c r="C18" s="30"/>
      <c r="D18" s="31"/>
      <c r="E18" s="32"/>
      <c r="F18" s="32"/>
      <c r="G18" s="32"/>
      <c r="H18" s="32"/>
      <c r="I18" s="35"/>
    </row>
    <row r="19" spans="2:9" ht="218.25" customHeight="1" x14ac:dyDescent="0.15">
      <c r="B19" s="28"/>
      <c r="C19" s="232" t="s">
        <v>21</v>
      </c>
      <c r="D19" s="233"/>
      <c r="E19" s="229" t="s">
        <v>173</v>
      </c>
      <c r="F19" s="229"/>
      <c r="G19" s="229"/>
      <c r="H19" s="229"/>
      <c r="I19" s="230"/>
    </row>
    <row r="20" spans="2:9" ht="218.25" customHeight="1" x14ac:dyDescent="0.15">
      <c r="B20" s="29"/>
      <c r="C20" s="239" t="s">
        <v>22</v>
      </c>
      <c r="D20" s="240"/>
      <c r="E20" s="242" t="s">
        <v>171</v>
      </c>
      <c r="F20" s="242"/>
      <c r="G20" s="242"/>
      <c r="H20" s="242"/>
      <c r="I20" s="243"/>
    </row>
    <row r="21" spans="2:9" ht="218.25" customHeight="1" x14ac:dyDescent="0.15">
      <c r="B21" s="249" t="s">
        <v>23</v>
      </c>
      <c r="C21" s="250"/>
      <c r="D21" s="251"/>
      <c r="E21" s="252" t="s">
        <v>175</v>
      </c>
      <c r="F21" s="252"/>
      <c r="G21" s="252"/>
      <c r="H21" s="252"/>
      <c r="I21" s="253"/>
    </row>
    <row r="22" spans="2:9" ht="218.25" customHeight="1" x14ac:dyDescent="0.15">
      <c r="B22" s="244" t="s">
        <v>121</v>
      </c>
      <c r="C22" s="245"/>
      <c r="D22" s="246"/>
      <c r="E22" s="247" t="s">
        <v>172</v>
      </c>
      <c r="F22" s="247"/>
      <c r="G22" s="247"/>
      <c r="H22" s="247"/>
      <c r="I22" s="248"/>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ED2B9CB878BA3B4598FF78A98C9F982E" ma:contentTypeVersion="15" ma:contentTypeDescription="新しいドキュメントを作成します。" ma:contentTypeScope="" ma:versionID="a22a0eea368ece3948d4c718f9160e57">
  <xsd:schema xmlns:xsd="http://www.w3.org/2001/XMLSchema" xmlns:xs="http://www.w3.org/2001/XMLSchema" xmlns:p="http://schemas.microsoft.com/office/2006/metadata/properties" xmlns:ns2="df87e7ea-c1c5-4f58-87f2-7494491be3d6" xmlns:ns3="92887361-8845-4050-bb0d-b497edd495cb" targetNamespace="http://schemas.microsoft.com/office/2006/metadata/properties" ma:root="true" ma:fieldsID="0bde3835f8ea7cf9b5e6e2b6a4b9c41e" ns2:_="" ns3:_="">
    <xsd:import namespace="df87e7ea-c1c5-4f58-87f2-7494491be3d6"/>
    <xsd:import namespace="92887361-8845-4050-bb0d-b497edd495c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MediaServiceDateTaken" minOccurs="0"/>
                <xsd:element ref="ns2:MediaServiceLocation" minOccurs="0"/>
                <xsd:element ref="ns2:lcf76f155ced4ddcb4097134ff3c332f" minOccurs="0"/>
                <xsd:element ref="ns3:TaxCatchAll" minOccurs="0"/>
                <xsd:element ref="ns2:MediaServiceOCR"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87e7ea-c1c5-4f58-87f2-7494491be3d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Location" ma:index="15" nillable="true" ma:displayName="Loca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画像タグ" ma:readOnly="false" ma:fieldId="{5cf76f15-5ced-4ddc-b409-7134ff3c332f}" ma:taxonomyMulti="true" ma:sspId="74254d24-bf90-466e-84ac-f18b04d7ae4f"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2887361-8845-4050-bb0d-b497edd495c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f24934d1-e70f-4c26-bd7b-60186ea4862a}" ma:internalName="TaxCatchAll" ma:showField="CatchAllData" ma:web="92887361-8845-4050-bb0d-b497edd495cb">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f87e7ea-c1c5-4f58-87f2-7494491be3d6">
      <Terms xmlns="http://schemas.microsoft.com/office/infopath/2007/PartnerControls"/>
    </lcf76f155ced4ddcb4097134ff3c332f>
    <TaxCatchAll xmlns="92887361-8845-4050-bb0d-b497edd495cb" xsi:nil="true"/>
  </documentManagement>
</p:properties>
</file>

<file path=customXml/itemProps1.xml><?xml version="1.0" encoding="utf-8"?>
<ds:datastoreItem xmlns:ds="http://schemas.openxmlformats.org/officeDocument/2006/customXml" ds:itemID="{8420B51B-A8CF-4739-A049-9933FE5E294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87e7ea-c1c5-4f58-87f2-7494491be3d6"/>
    <ds:schemaRef ds:uri="92887361-8845-4050-bb0d-b497edd495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F28D857-5897-4336-97D1-DE4998346E03}">
  <ds:schemaRefs>
    <ds:schemaRef ds:uri="http://schemas.microsoft.com/sharepoint/v3/contenttype/forms"/>
  </ds:schemaRefs>
</ds:datastoreItem>
</file>

<file path=customXml/itemProps3.xml><?xml version="1.0" encoding="utf-8"?>
<ds:datastoreItem xmlns:ds="http://schemas.openxmlformats.org/officeDocument/2006/customXml" ds:itemID="{C4D3CA85-8181-486D-B413-BC7325FF7D92}">
  <ds:schemaRefs>
    <ds:schemaRef ds:uri="http://schemas.microsoft.com/office/2006/metadata/properties"/>
    <ds:schemaRef ds:uri="http://schemas.microsoft.com/office/infopath/2007/PartnerControls"/>
    <ds:schemaRef ds:uri="df87e7ea-c1c5-4f58-87f2-7494491be3d6"/>
    <ds:schemaRef ds:uri="92887361-8845-4050-bb0d-b497edd495c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小原　拓也</dc:creator>
  <cp:lastModifiedBy>小原　拓也</cp:lastModifiedBy>
  <cp:lastPrinted>2025-04-21T02:05:04Z</cp:lastPrinted>
  <dcterms:created xsi:type="dcterms:W3CDTF">2011-06-14T05:32:50Z</dcterms:created>
  <dcterms:modified xsi:type="dcterms:W3CDTF">2025-06-26T05:51:46Z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0x010100ED2B9CB878BA3B4598FF78A98C9F982E</vt:lpwstr>
  </property>
  <property fmtid="{D5CDD505-2E9C-101B-9397-08002B2CF9AE}" pid="10" name="MediaServiceImageTags">
    <vt:lpwstr/>
  </property>
</Properties>
</file>