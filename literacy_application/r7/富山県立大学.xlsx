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JIMUSERVER2018\share\教務課\◇データサイエンス\R6\R7年度申請様式（R7.３.10公開）\富山県立大学_リテラシー\02_文科省から再提出依頼\"/>
    </mc:Choice>
  </mc:AlternateContent>
  <xr:revisionPtr revIDLastSave="0" documentId="13_ncr:1_{6895E210-CD77-46B8-8676-93B99C7EB4F6}" xr6:coauthVersionLast="47" xr6:coauthVersionMax="47" xr10:uidLastSave="{00000000-0000-0000-0000-000000000000}"/>
  <bookViews>
    <workbookView xWindow="-110" yWindow="-110" windowWidth="19420" windowHeight="11500" tabRatio="885" firstSheet="1"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<sst xmlns="http://schemas.openxmlformats.org/spreadsheetml/2006/main" count="281" uniqueCount="189">
  <si>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</si>
  <si>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</si>
  <si>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</si>
  <si>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</si>
  <si>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</si>
  <si>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</si>
  <si>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</si>
  <si>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</si>
  <si>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</si>
  <si>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</si>
  <si>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</si>
  <si>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</si>
  <si>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</si>
  <si>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</si>
  <si>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</si>
  <si>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</si>
  <si>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</si>
  <si>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</si>
  <si>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</si>
  <si>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</si>
  <si>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</si>
  <si>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</si>
  <si>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</si>
  <si>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</si>
  <si>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</si>
  <si>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</si>
  <si>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</si>
  <si>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</si>
  <si>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</si>
  <si>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</si>
  <si>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</si>
  <si>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</si>
  <si>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</si>
  <si>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</si>
  <si>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</si>
  <si>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</si>
  <si>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</si>
  <si>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</si>
  <si>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</si>
  <si>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</si>
  <si>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</si>
  <si>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</si>
  <si>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</si>
  <si>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</si>
  <si>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</si>
  <si>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</si>
  <si>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</si>
  <si>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</si>
  <si>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</si>
  <si>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</si>
  <si>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</si>
  <si>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</si>
  <si>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</si>
  <si>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</si>
  <si>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</si>
  <si>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</si>
  <si>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</si>
  <si>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</si>
  <si>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</si>
  <si>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</si>
  <si>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</si>
  <si>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</si>
  <si>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</si>
  <si>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</si>
  <si>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</si>
  <si>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</si>
  <si>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</si>
  <si>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</si>
  <si>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</si>
  <si>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</si>
  <si>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</si>
  <si>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</si>
  <si>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</si>
  <si>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</si>
  <si>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</si>
  <si>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</si>
  <si>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</si>
  <si>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</si>
  <si>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</si>
  <si>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</si>
  <si>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</si>
  <si>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</si>
  <si>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</si>
  <si>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</si>
  <si>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</si>
  <si>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</si>
  <si>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</si>
  <si>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</si>
  <si>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</si>
  <si>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</si>
  <si>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</si>
  <si>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</si>
  <si>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</si>
  <si>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</si>
  <si>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</si>
  <si>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</si>
  <si>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</si>
  <si>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</si>
  <si>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</si>
  <si>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</si>
  <si>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</si>
  <si>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</si>
  <si>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</si>
  <si>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</si>
  <si>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</si>
  <si>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</si>
  <si>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</si>
  <si>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</si>
  <si>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</si>
  <si>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</si>
  <si>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</si>
  <si>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</si>
  <si>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</si>
  <si>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</si>
  <si>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</si>
  <si>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</si>
  <si>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</si>
  <si>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</si>
  <si>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</si>
  <si>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</si>
  <si>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</si>
  <si>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</si>
  <si>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</si>
  <si>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</si>
  <si>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</si>
  <si>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</si>
  <si>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</si>
  <si>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</si>
  <si>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</si>
  <si>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</si>
  <si>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</si>
  <si>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</si>
  <si>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</si>
  <si>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</si>
  <si>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</si>
  <si>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</si>
  <si>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</si>
  <si>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</si>
  <si>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</si>
  <si>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</si>
  <si>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</si>
  <si>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</si>
  <si>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</si>
  <si>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富山県立大学</t>
    <rPh sb="0" eb="3">
      <t>トヤマケン</t>
    </rPh>
    <rPh sb="3" eb="6">
      <t>リツダイガク</t>
    </rPh>
    <phoneticPr fontId="1"/>
  </si>
  <si>
    <t>データサイエンスリテラシー</t>
  </si>
  <si>
    <t>科目「データサイエンスリテラシー」について、授業時間の３分の２以上出席し、試験及びレポート等の点数または内容が、60点以上であること。</t>
    <rPh sb="0" eb="2">
      <t>カモク</t>
    </rPh>
    <phoneticPr fontId="1"/>
  </si>
  <si>
    <t>データサイエンスリテラシー</t>
    <phoneticPr fontId="1"/>
  </si>
  <si>
    <t>○</t>
  </si>
  <si>
    <t>データ・AI利活用の最新動向（キーワード「AI等を活用した新しいビジネスモデル（シェアリングエコノミー、商品のレコメンデーションなど）、AI最新技術の活用例（深層生成モデル、敵対的生成ネットワーク、強化学習、転移学習など）」）「データサイエンスリテラシー」（データサイエンス学科５回目等）</t>
    <rPh sb="6" eb="9">
      <t>リカツヨウ</t>
    </rPh>
    <rPh sb="10" eb="14">
      <t>サイシンドウコウ</t>
    </rPh>
    <rPh sb="23" eb="24">
      <t>トウ</t>
    </rPh>
    <rPh sb="25" eb="27">
      <t>カツヨウ</t>
    </rPh>
    <rPh sb="29" eb="30">
      <t>アタラ</t>
    </rPh>
    <rPh sb="52" eb="54">
      <t>ショウヒン</t>
    </rPh>
    <rPh sb="70" eb="74">
      <t>サイシンギジュツ</t>
    </rPh>
    <rPh sb="75" eb="78">
      <t>カツヨウレイ</t>
    </rPh>
    <rPh sb="79" eb="83">
      <t>シンソウセイセイ</t>
    </rPh>
    <rPh sb="87" eb="90">
      <t>テキタイテキ</t>
    </rPh>
    <rPh sb="90" eb="92">
      <t>セイセイ</t>
    </rPh>
    <rPh sb="99" eb="103">
      <t>キョウカガクシュウ</t>
    </rPh>
    <rPh sb="104" eb="108">
      <t>テンイガクシュウ</t>
    </rPh>
    <rPh sb="137" eb="139">
      <t>ガッカ</t>
    </rPh>
    <rPh sb="140" eb="142">
      <t>カイメ</t>
    </rPh>
    <rPh sb="142" eb="143">
      <t>トウ</t>
    </rPh>
    <phoneticPr fontId="1"/>
  </si>
  <si>
    <t>データ・AIの活用領域（キーワード「データ・AI活用領域の広がり(生産、消費、文化活動など)、研究開発、調達、製造、物流、販売、マーケティング、サービスなど、仮説検証、知識発見、原因究明、計画策定、判断支援、活動代替、新規生成など」）「データサイエンスリテラシー」（データサイエンス学科３回目等）</t>
    <rPh sb="7" eb="11">
      <t>カツヨウリョウイキ</t>
    </rPh>
    <rPh sb="141" eb="143">
      <t>ガッカ</t>
    </rPh>
    <rPh sb="144" eb="146">
      <t>カイメ</t>
    </rPh>
    <rPh sb="146" eb="147">
      <t>トウ</t>
    </rPh>
    <phoneticPr fontId="1"/>
  </si>
  <si>
    <t>データ・AI利活用のための技術（キーワード「データ解析：予測、グルーピング、パターン発見、最適化、シミュレーション・データ同化など、データ可視化：複合グラフ、2軸グラフ、多次元の可視化、関係性の可視化、地図上の可視化、挙動・軌跡の可視化、リアルタイム可視化など、非構造化データ処理：言語処理、画像/動画処理、音声/音楽処理など、特化型AIと汎用AI、今のAIで出来ることと出来ないこと、AIとビッグデータ、認識技術、ルールベース、自動化技術」）「データサイエンスリテラシー」（データサイエンス学科４回目等）</t>
    <rPh sb="6" eb="9">
      <t>リカツヨウ</t>
    </rPh>
    <rPh sb="13" eb="15">
      <t>ギジュツガッカカイメトウ</t>
    </rPh>
    <phoneticPr fontId="1"/>
  </si>
  <si>
    <t>データ・AI利活用の現場（キーワード「データサイエンスのサイクル（課題抽出と定式化、データの取得・管理・加工、探索的データ解析、データ解析と推論、結果の共有・伝達、課題解決に向けた提案）、流通、製造、金融、サービス、インフラ、公共、ヘルスケア等におけるデータ・AI利活用事例紹介」）「データサイエンスリテラシー」（データサイエンス学科５回目等）</t>
    <rPh sb="6" eb="9">
      <t>リカツヨウ</t>
    </rPh>
    <rPh sb="10" eb="12">
      <t>ゲンバ</t>
    </rPh>
    <rPh sb="165" eb="167">
      <t>ガッカ</t>
    </rPh>
    <rPh sb="168" eb="171">
      <t>カイメトウ</t>
    </rPh>
    <phoneticPr fontId="1"/>
  </si>
  <si>
    <t>データ・AIを扱う上での留意事項（キーワード「ELSI（Ethical, Legal and Social Issues）、個人情報保護、EU一般データ保護規則(GDPR)、忘れられる権利、オプトアウト、データ倫理：データのねつ造、改ざん、盗用、プライバシー保護、AI社会原則（公平性、説明責任、透明性、人間中心の判断）、データバイアス、アルゴリズムバイアス、AIサービスの責任論、データ・AI活用における負の事例紹介」）「データサイエンスリテラシー」（データサイエンス学科11，12回目等）</t>
    <rPh sb="7" eb="8">
      <t>アツカ</t>
    </rPh>
    <rPh sb="9" eb="10">
      <t>ウエ</t>
    </rPh>
    <rPh sb="12" eb="16">
      <t>リュウイジコウ</t>
    </rPh>
    <rPh sb="235" eb="237">
      <t>ガッカ</t>
    </rPh>
    <rPh sb="242" eb="244">
      <t>カイメ</t>
    </rPh>
    <rPh sb="244" eb="245">
      <t>トウ</t>
    </rPh>
    <phoneticPr fontId="1"/>
  </si>
  <si>
    <t>データを守るうえでの留意事項（キーワード「情報セキュリティ：機密性、完全性、可用性、匿名加工情報、暗号化、パスワード、悪意ある情報搾取、情報漏洩等によるセキュリティ事故の事例紹介」）「データサイエンスリテラシー」（データサイエンス学科13，14回目等）</t>
    <rPh sb="4" eb="5">
      <t>マモ</t>
    </rPh>
    <rPh sb="10" eb="14">
      <t>リュウイジコウ</t>
    </rPh>
    <rPh sb="115" eb="117">
      <t>ガッカ</t>
    </rPh>
    <rPh sb="122" eb="124">
      <t>カイメ</t>
    </rPh>
    <rPh sb="124" eb="125">
      <t>トウ</t>
    </rPh>
    <phoneticPr fontId="1"/>
  </si>
  <si>
    <t>データを説明する（キーワード「データ表現（棒グラフ、折線グラフ、散布図、ヒートマップ）、データの図表表現（チャート化）、データの比較（条件をそろえた比較、処理の前後での比較、A/Bテスト)、不適切なグラフ表現（チャートジャンク、不必要な視覚的要素）、優れた可視化事例の紹介（可視化することによって新たな気づきがあった事例など）」）「データサイエンスリテラシー」（データサイエンス学科７回目等）</t>
    <rPh sb="4" eb="6">
      <t>セツメイ</t>
    </rPh>
    <rPh sb="189" eb="191">
      <t>ガッカ</t>
    </rPh>
    <rPh sb="192" eb="194">
      <t>カイメ</t>
    </rPh>
    <rPh sb="194" eb="195">
      <t>トウ</t>
    </rPh>
    <phoneticPr fontId="1"/>
  </si>
  <si>
    <t>データを扱う（キーワード「データの集計（和、平均）、データの並び替え、ランキング、データ解析ツール（スプレッドシート）、表形式のデータ（csv）」）「データサイエンスリテラシー」（データサイエンス学科8，9，10回目等）</t>
    <rPh sb="4" eb="5">
      <t>アツカ</t>
    </rPh>
    <rPh sb="98" eb="100">
      <t>ガッカ</t>
    </rPh>
    <rPh sb="106" eb="109">
      <t>カイメトウ</t>
    </rPh>
    <phoneticPr fontId="1"/>
  </si>
  <si>
    <t>1. 社会におけるデータ・AIの利活用事例を理解する
2. データを読む，データを説明する，データを扱う方法について理解する
3. データ・AIを扱い，またデータを守る上での留意事項を理解する</t>
    <phoneticPr fontId="1"/>
  </si>
  <si>
    <t>工学部</t>
    <rPh sb="0" eb="3">
      <t>コウガクブ</t>
    </rPh>
    <phoneticPr fontId="1"/>
  </si>
  <si>
    <t>情報工学部</t>
    <rPh sb="0" eb="5">
      <t>ジョウホウコウガクブ</t>
    </rPh>
    <phoneticPr fontId="1"/>
  </si>
  <si>
    <t>看護学部</t>
    <rPh sb="0" eb="4">
      <t>カンゴガクブ</t>
    </rPh>
    <phoneticPr fontId="1"/>
  </si>
  <si>
    <t>中島　範行</t>
    <phoneticPr fontId="1"/>
  </si>
  <si>
    <t>教務委員会（全学）委員長</t>
    <rPh sb="0" eb="5">
      <t>キョウムイインカイ</t>
    </rPh>
    <rPh sb="6" eb="8">
      <t>ゼンガク</t>
    </rPh>
    <rPh sb="9" eb="12">
      <t>イインチョウ</t>
    </rPh>
    <phoneticPr fontId="1"/>
  </si>
  <si>
    <t>データサイエンスリテラシー科目ワーキンググループ</t>
    <rPh sb="13" eb="15">
      <t>カモク</t>
    </rPh>
    <phoneticPr fontId="1"/>
  </si>
  <si>
    <t>榊原　一紀</t>
    <rPh sb="0" eb="2">
      <t>サカキバラ</t>
    </rPh>
    <phoneticPr fontId="1"/>
  </si>
  <si>
    <t>座長</t>
    <rPh sb="0" eb="2">
      <t>ザチョウ</t>
    </rPh>
    <phoneticPr fontId="1"/>
  </si>
  <si>
    <t>データサイエンスリテラシー科目ワーキンググループ設置要綱</t>
    <rPh sb="13" eb="15">
      <t>カモク</t>
    </rPh>
    <rPh sb="24" eb="28">
      <t>セッチヨウコウ</t>
    </rPh>
    <phoneticPr fontId="1"/>
  </si>
  <si>
    <t>データサイエンスリテラシー科目に係る改善の検討及びその実行</t>
  </si>
  <si>
    <t>令和６年度より「データサイエンスリテラシー」を全学部の１年生必修科目として開講した。また、令和７年度以降は再履修クラスを設ける予定である。これにより、令和10年度には、全学生の履修率及び卒業時のデータサイエンスリテラシーレベルの修得率が100％となる。</t>
  </si>
  <si>
    <t>全学部の１年次生必修科目としている。</t>
    <rPh sb="0" eb="3">
      <t>ゼンガクブ</t>
    </rPh>
    <rPh sb="5" eb="8">
      <t>ネンジセイ</t>
    </rPh>
    <rPh sb="8" eb="12">
      <t>ヒッシュウカモク</t>
    </rPh>
    <phoneticPr fontId="1"/>
  </si>
  <si>
    <t>全学部の１年次生必修科目としている。</t>
    <phoneticPr fontId="1"/>
  </si>
  <si>
    <t>全学部の１年次生必修科目としており、全ての学生が履修・修得しなければならない体制をとっている。</t>
    <phoneticPr fontId="1"/>
  </si>
  <si>
    <t>　授業は原則対面で実施しているため、授業中や授業後において教員へ直接質問することが可能である。また、オフィスアワー（教員があらかじめ研究室等に常駐する時間を定め、学生が確実に教員に質問・相談できる時間）のほか、全学生にオンラインのグループウェアツールであるMicrosoft Teamsをインストールさせ、Teams内にデータサイエンスリテラシー科目のチームを学科ごとに作成している。これにより、学生は、授業時間以外にインターネット上でも相談できる環境となっている。</t>
    <phoneticPr fontId="1"/>
  </si>
  <si>
    <t>教務委員会（全学）</t>
    <rPh sb="0" eb="2">
      <t>キョウム</t>
    </rPh>
    <rPh sb="2" eb="5">
      <t>イインカイ</t>
    </rPh>
    <rPh sb="6" eb="8">
      <t>ゼンガク</t>
    </rPh>
    <phoneticPr fontId="1"/>
  </si>
  <si>
    <t>中島　範行</t>
    <rPh sb="0" eb="2">
      <t>ナカジマ</t>
    </rPh>
    <phoneticPr fontId="1"/>
  </si>
  <si>
    <t>教務委員会（全学）委員長</t>
    <rPh sb="0" eb="2">
      <t>キョウム</t>
    </rPh>
    <rPh sb="2" eb="5">
      <t>イインカイ</t>
    </rPh>
    <rPh sb="6" eb="8">
      <t>ゼンガク</t>
    </rPh>
    <rPh sb="9" eb="12">
      <t>イインチョウ</t>
    </rPh>
    <phoneticPr fontId="1"/>
  </si>
  <si>
    <t>　令和６年度より「データサイエンスリテラシー」を全学部の１年生必修科目として開講した。令和６年度では１年次生550名全員が本教育プログラムの科目を履修し、修得率は96.4％であり、ほぼ全ての学生が修得している状況である。
令和６年度に未修得となった学生に対しては令和７年度に再履修クラスを設ける予定である。</t>
    <rPh sb="43" eb="45">
      <t>レイワ</t>
    </rPh>
    <rPh sb="46" eb="48">
      <t>ネンド</t>
    </rPh>
    <rPh sb="51" eb="54">
      <t>ネンジセイ</t>
    </rPh>
    <rPh sb="57" eb="58">
      <t>メイ</t>
    </rPh>
    <rPh sb="58" eb="60">
      <t>ゼンイン</t>
    </rPh>
    <rPh sb="61" eb="64">
      <t>ホンキョウイク</t>
    </rPh>
    <rPh sb="70" eb="72">
      <t>カモク</t>
    </rPh>
    <rPh sb="73" eb="75">
      <t>リシュウ</t>
    </rPh>
    <rPh sb="77" eb="80">
      <t>シュウトクリツ</t>
    </rPh>
    <rPh sb="147" eb="149">
      <t>ヨテイ</t>
    </rPh>
    <phoneticPr fontId="1"/>
  </si>
  <si>
    <t>　本教育プログラム（データサイエンスリテラシー科目）受講者全員に対して実施している授業アンケートを分析することによって、学生の理解度を把握している。アンケート結果については次の項目に記載のとおり。
また、ワーキンググループにおいても、内容の理解度や独自教材の改善点等、授業の振り返りを実施しており、教員、学生双方の視点から学修成果を分析している。</t>
    <rPh sb="29" eb="31">
      <t>ゼンイン</t>
    </rPh>
    <rPh sb="79" eb="81">
      <t>ケッカ</t>
    </rPh>
    <rPh sb="86" eb="87">
      <t>ツギ</t>
    </rPh>
    <rPh sb="88" eb="90">
      <t>コウモク</t>
    </rPh>
    <rPh sb="91" eb="93">
      <t>キサイ</t>
    </rPh>
    <rPh sb="117" eb="119">
      <t>ナイヨウ</t>
    </rPh>
    <rPh sb="120" eb="123">
      <t>リカイド</t>
    </rPh>
    <rPh sb="124" eb="126">
      <t>ドクジ</t>
    </rPh>
    <rPh sb="126" eb="128">
      <t>キョウザイ</t>
    </rPh>
    <rPh sb="129" eb="132">
      <t>カイゼンテン</t>
    </rPh>
    <rPh sb="132" eb="133">
      <t>トウ</t>
    </rPh>
    <rPh sb="134" eb="136">
      <t>ジュギョウ</t>
    </rPh>
    <rPh sb="137" eb="138">
      <t>フ</t>
    </rPh>
    <rPh sb="139" eb="140">
      <t>カエ</t>
    </rPh>
    <rPh sb="142" eb="144">
      <t>ジッシ</t>
    </rPh>
    <rPh sb="149" eb="151">
      <t>キョウイン</t>
    </rPh>
    <rPh sb="152" eb="154">
      <t>ガクセイ</t>
    </rPh>
    <rPh sb="154" eb="156">
      <t>ソウホウ</t>
    </rPh>
    <rPh sb="157" eb="159">
      <t>シテン</t>
    </rPh>
    <rPh sb="166" eb="168">
      <t>ブンセキ</t>
    </rPh>
    <phoneticPr fontId="1"/>
  </si>
  <si>
    <t>　本教育プログラム（データサイエンスリテラシー科目）受講者全員に対して実施した授業アンケートのうち、理解度の目安に関する設問「授業科目の内容は理解できましたか」では、78.7％の学生が「よく理解できた」または「ある程度理解できた」と回答していることから、各学科の専門性の都合上、学科ごとの理解度には多少の差はあるものの、全体として一定程度の理解は得られたものと評価できる。</t>
    <rPh sb="1" eb="4">
      <t>ホンキョウイク</t>
    </rPh>
    <rPh sb="23" eb="25">
      <t>カモク</t>
    </rPh>
    <rPh sb="26" eb="29">
      <t>ジュコウシャ</t>
    </rPh>
    <rPh sb="29" eb="31">
      <t>ゼンイン</t>
    </rPh>
    <rPh sb="32" eb="33">
      <t>タイ</t>
    </rPh>
    <rPh sb="35" eb="37">
      <t>ジッシ</t>
    </rPh>
    <rPh sb="54" eb="56">
      <t>ブンセキ</t>
    </rPh>
    <rPh sb="63" eb="67">
      <t>ジュギョウカモク</t>
    </rPh>
    <rPh sb="68" eb="70">
      <t>ナイヨウ</t>
    </rPh>
    <rPh sb="71" eb="73">
      <t>リカイ</t>
    </rPh>
    <rPh sb="80" eb="83">
      <t>リカイドメヤス</t>
    </rPh>
    <rPh sb="87" eb="88">
      <t>カン</t>
    </rPh>
    <rPh sb="90" eb="92">
      <t>セツモン</t>
    </rPh>
    <rPh sb="101" eb="103">
      <t>ガクセイ</t>
    </rPh>
    <rPh sb="107" eb="109">
      <t>リカイ</t>
    </rPh>
    <rPh sb="127" eb="130">
      <t>カクガッカ</t>
    </rPh>
    <rPh sb="131" eb="134">
      <t>センモンセイ</t>
    </rPh>
    <rPh sb="135" eb="138">
      <t>ツゴウジョウ</t>
    </rPh>
    <rPh sb="139" eb="141">
      <t>ガッカ</t>
    </rPh>
    <rPh sb="144" eb="147">
      <t>リカイド</t>
    </rPh>
    <rPh sb="149" eb="151">
      <t>タショウ</t>
    </rPh>
    <rPh sb="152" eb="153">
      <t>サ</t>
    </rPh>
    <rPh sb="160" eb="162">
      <t>ゼンタイ</t>
    </rPh>
    <rPh sb="165" eb="167">
      <t>イッテイ</t>
    </rPh>
    <rPh sb="170" eb="172">
      <t>リカイ</t>
    </rPh>
    <rPh sb="173" eb="174">
      <t>エ</t>
    </rPh>
    <rPh sb="180" eb="182">
      <t>ヒョウカ</t>
    </rPh>
    <phoneticPr fontId="1"/>
  </si>
  <si>
    <t>　本教育プログラム（データサイエンスリテラシー科目）受講者全員に対して実施した授業アンケートのうち、興味の度合いに関する設問「授業科目に関連する分野について興味がわきましたか」という問に対し、興味がわいたと回答をした学生が全体の 72.4%であった。このことからも学科を問わず多くの学生がデータサイエンス分野への興味・関心については一定程度の好評を得たと考えられ、今後、後輩等への評判を通じた興味・関心の高まりも期待できる。</t>
    <rPh sb="29" eb="31">
      <t>ゼンイン</t>
    </rPh>
    <rPh sb="50" eb="52">
      <t>キョウミ</t>
    </rPh>
    <rPh sb="53" eb="55">
      <t>ドア</t>
    </rPh>
    <rPh sb="57" eb="58">
      <t>カン</t>
    </rPh>
    <rPh sb="60" eb="62">
      <t>セツモン</t>
    </rPh>
    <rPh sb="103" eb="105">
      <t>カイトウ</t>
    </rPh>
    <rPh sb="108" eb="110">
      <t>ガクセイ</t>
    </rPh>
    <rPh sb="111" eb="113">
      <t>ゼンタイ</t>
    </rPh>
    <rPh sb="132" eb="134">
      <t>ガッカ</t>
    </rPh>
    <rPh sb="135" eb="136">
      <t>ト</t>
    </rPh>
    <rPh sb="138" eb="139">
      <t>オオ</t>
    </rPh>
    <rPh sb="141" eb="143">
      <t>ガクセイ</t>
    </rPh>
    <rPh sb="171" eb="173">
      <t>コウヒョウ</t>
    </rPh>
    <phoneticPr fontId="1"/>
  </si>
  <si>
    <t>　前述のとおり、令和６年度より「データサイエンスリテラシー」を全学部の１年生必修科目として開講した。令和６年度では１年次生550名全員が本教育プログラムの科目を履修し、修得率は96.4％であり、ほぼ全ての学生が修得している状況である。
未修得の学生に対しては令和７年度以降、再履修クラスを設ける予定であり、令和10年度には、全学生の履修率及び卒業時のデータサイエンスリテラシーレベルの修得率は100％となる。</t>
    <rPh sb="1" eb="3">
      <t>ゼンジュツ</t>
    </rPh>
    <rPh sb="134" eb="136">
      <t>イコウ</t>
    </rPh>
    <phoneticPr fontId="1"/>
  </si>
  <si>
    <t>　本教育プログラムは令和６年度より導入しているため、修了者の評価は令和10年度以降に可能となる。学生のキャリア形成を支援する富山県立大学キャリアセンターと連携し、本学の卒業生に係る進路状況を把握しているため、本教育プログラムの修了者が出た後は、進路等の把握・分析をすることができると考えている。</t>
    <phoneticPr fontId="1"/>
  </si>
  <si>
    <t>　本学では、県内企業が会員となり、産学連携を推進している「富山県立大学研究協力会」や、ＤＸ推進を目的とし県内企業等が会員となる「富山県立大学ＤＸ教育研究センターアソシエイト会員」制度を設けており、企業の意見を伺う機会が多くある。また、情報工学部データサイエンス学科では、公益財団法人 環日本海環境協力センター(NPEC)から講師を招いて行う連携授業を実施しており、より実践的で効果的な内容となるよう工夫のうえ実施した。</t>
    <rPh sb="116" eb="117">
      <t>ホン</t>
    </rPh>
    <rPh sb="117" eb="122">
      <t>ジョウホウコウガクブ</t>
    </rPh>
    <rPh sb="130" eb="132">
      <t>ガッカ</t>
    </rPh>
    <rPh sb="175" eb="177">
      <t>ジッシ</t>
    </rPh>
    <rPh sb="184" eb="187">
      <t>ジッセンテキ</t>
    </rPh>
    <rPh sb="188" eb="191">
      <t>コウカテキ</t>
    </rPh>
    <rPh sb="192" eb="194">
      <t>ナイヨウ</t>
    </rPh>
    <rPh sb="199" eb="201">
      <t>クフウ</t>
    </rPh>
    <rPh sb="204" eb="206">
      <t>ジッシ</t>
    </rPh>
    <phoneticPr fontId="1"/>
  </si>
  <si>
    <t>　授業アンケート設問『授業科目に関連する分野について、自ら進んで調べる意欲や自主的に学習する意欲が高まりましたか。』について、「かなり高まった」、「ある程度高まった」と回答した学生が全体の60.2％であったことから、「学ぶ楽しさ」「学ぶことの意義」を理解させるという観点において一定程度の効果を得られたと評価できる。
　ワーキンググループでは、授業の振り返りを踏まえ、学科の専門性に適した内容の追加や、動画の見せ方についても、より興味を引くような形にするようイントロを行う等、来年度以降は、より「学ぶ楽しさ」「学ぶことの意義」を理解させられるような改善を検討している。</t>
    <rPh sb="84" eb="86">
      <t>カイトウ</t>
    </rPh>
    <rPh sb="88" eb="90">
      <t>ガクセイ</t>
    </rPh>
    <rPh sb="91" eb="93">
      <t>ゼンタイ</t>
    </rPh>
    <rPh sb="139" eb="143">
      <t>イッテイテイド</t>
    </rPh>
    <rPh sb="144" eb="146">
      <t>コウカ</t>
    </rPh>
    <rPh sb="147" eb="148">
      <t>エ</t>
    </rPh>
    <rPh sb="172" eb="174">
      <t>ジュギョウ</t>
    </rPh>
    <rPh sb="175" eb="176">
      <t>フ</t>
    </rPh>
    <rPh sb="177" eb="178">
      <t>カエ</t>
    </rPh>
    <rPh sb="180" eb="181">
      <t>フ</t>
    </rPh>
    <rPh sb="184" eb="186">
      <t>ガッカ</t>
    </rPh>
    <rPh sb="187" eb="190">
      <t>センモンセイ</t>
    </rPh>
    <rPh sb="191" eb="192">
      <t>テキ</t>
    </rPh>
    <rPh sb="194" eb="196">
      <t>ナイヨウ</t>
    </rPh>
    <rPh sb="197" eb="199">
      <t>ツイカ</t>
    </rPh>
    <rPh sb="248" eb="249">
      <t>マナ</t>
    </rPh>
    <rPh sb="250" eb="251">
      <t>タノ</t>
    </rPh>
    <rPh sb="255" eb="256">
      <t>マナ</t>
    </rPh>
    <rPh sb="260" eb="262">
      <t>イギ</t>
    </rPh>
    <rPh sb="264" eb="266">
      <t>リカイ</t>
    </rPh>
    <phoneticPr fontId="1"/>
  </si>
  <si>
    <t>　授業アンケート設問『授業科目の内容は理解できましたか。』について、「あまり理解できなかった」、「ほとんど理解できなかった」と回答した学生が全体の21.3％いることから、その要因を分析し、分析結果を踏まえたより「分かりやすい」授業となるような改善を検討する。
　ワーキンググループでは、授業の振り返りを踏まえ、講義スライドの導入や講義順序の入れ替え、excelを使う時間を増やす、学生と教員間のやり取りの機会を増やす等、来年度以降は、内容・水準を維持・向上しつつ、より「分かりやすい」授業とするような改善を検討している。</t>
    <rPh sb="38" eb="40">
      <t>リカイ</t>
    </rPh>
    <rPh sb="53" eb="55">
      <t>リカイ</t>
    </rPh>
    <rPh sb="63" eb="65">
      <t>カイトウ</t>
    </rPh>
    <rPh sb="67" eb="69">
      <t>ガクセイ</t>
    </rPh>
    <rPh sb="70" eb="72">
      <t>ゼンタイ</t>
    </rPh>
    <rPh sb="124" eb="126">
      <t>ケントウ</t>
    </rPh>
    <rPh sb="143" eb="145">
      <t>ジュギョウ</t>
    </rPh>
    <rPh sb="146" eb="147">
      <t>フ</t>
    </rPh>
    <rPh sb="148" eb="149">
      <t>カエ</t>
    </rPh>
    <rPh sb="151" eb="152">
      <t>フ</t>
    </rPh>
    <rPh sb="162" eb="164">
      <t>ドウニュウ</t>
    </rPh>
    <rPh sb="208" eb="209">
      <t>トウ</t>
    </rPh>
    <rPh sb="217" eb="219">
      <t>ナイヨウ</t>
    </rPh>
    <rPh sb="220" eb="222">
      <t>スイジュン</t>
    </rPh>
    <rPh sb="223" eb="225">
      <t>イジ</t>
    </rPh>
    <rPh sb="226" eb="228">
      <t>コウジョウ</t>
    </rPh>
    <rPh sb="235" eb="236">
      <t>ワ</t>
    </rPh>
    <rPh sb="242" eb="244">
      <t>ジュギョウ</t>
    </rPh>
    <phoneticPr fontId="1"/>
  </si>
  <si>
    <t>学部・学科によって、修了要件は相違しない</t>
  </si>
  <si>
    <t>社会で起きている変化（キーワード「ビッグデータ、IoT、AI、ロボット、データ量の増加、計算機の処理性能の向上、AIの非連続的進化、第4次産業革命、Society5.0、データ駆動型社会、複数技術を組み合わせたAIサービス、人間の知的活動とAIの関係性、データを起点としたものの見方、人間の知的活動を起点としたものの見方」）「データサイエンスリテラシー」（データサイエンス学科１回目等）</t>
    <rPh sb="0" eb="2">
      <t>シャカイ</t>
    </rPh>
    <rPh sb="3" eb="4">
      <t>オ</t>
    </rPh>
    <rPh sb="8" eb="10">
      <t>ヘンカ</t>
    </rPh>
    <rPh sb="39" eb="40">
      <t>リョウ</t>
    </rPh>
    <rPh sb="41" eb="43">
      <t>ゾウカ</t>
    </rPh>
    <rPh sb="44" eb="47">
      <t>ケイサンキ</t>
    </rPh>
    <rPh sb="48" eb="50">
      <t>ショリ</t>
    </rPh>
    <rPh sb="50" eb="52">
      <t>セイノウ</t>
    </rPh>
    <rPh sb="53" eb="55">
      <t>コウジョウ</t>
    </rPh>
    <rPh sb="71" eb="73">
      <t>カクメイ</t>
    </rPh>
    <rPh sb="186" eb="188">
      <t>ガッカ</t>
    </rPh>
    <rPh sb="189" eb="191">
      <t>カイメ</t>
    </rPh>
    <rPh sb="191" eb="192">
      <t>トウ</t>
    </rPh>
    <phoneticPr fontId="1"/>
  </si>
  <si>
    <t>社会で活用されているデータ（キーワード「調査データ、実験データ、人の行動ログデータ、機械の稼働ログデータなど、1次データ、2次データ、データのメタ化、構造化データ、非構造化データ（文章、画像/動画、音声/音楽など）、データ作成（ビッグデータとアノテーション）、データのオープン化（オープンデータ）」）「データサイエンスリテラシー」（データサイエンス学科２回目等）</t>
    <rPh sb="0" eb="2">
      <t>シャカイ</t>
    </rPh>
    <rPh sb="3" eb="5">
      <t>カツヨウガッカカイメトウ</t>
    </rPh>
    <phoneticPr fontId="1"/>
  </si>
  <si>
    <t>データを読む（キーワード「データの種類（量的変数、質的変数）、データの分布(ヒストグラム)と代表値（平均値、中央値、最頻値）、代表値の性質の違い（実社会では平均値＝最頻値でないことが多い）、データのばらつき（分散、標準偏差、偏差値）、観測データに含まれる誤差の扱い、打ち切りや脱落を含むデータ、層別の必要なデータ、相関と因果（相関係数、擬似相関、交絡）、母集団と標本抽出（国勢調査、アンケート調査、全数調査、単純無作為抽出、層別抽出、多段抽出）、クロス集計表、分割表、相関係数行列、散布図行列、統計情報の正しい理解（誇張表現に惑わされない）」）「データサイエンスリテラシー」（データサイエンス学科６回目等）</t>
    <rPh sb="4" eb="5">
      <t>ヨ</t>
    </rPh>
    <rPh sb="17" eb="19">
      <t>シュルイ</t>
    </rPh>
    <rPh sb="20" eb="22">
      <t>リョウテキ</t>
    </rPh>
    <rPh sb="22" eb="24">
      <t>ヘンスウ</t>
    </rPh>
    <rPh sb="25" eb="29">
      <t>シツテキヘンスウ</t>
    </rPh>
    <rPh sb="296" eb="298">
      <t>ガッカ</t>
    </rPh>
    <rPh sb="299" eb="300">
      <t>カイ</t>
    </rPh>
    <rPh sb="300" eb="301">
      <t>メ</t>
    </rPh>
    <rPh sb="301" eb="302">
      <t>ナド</t>
    </rPh>
    <phoneticPr fontId="1"/>
  </si>
  <si>
    <t>教授　　川端　繁樹
准教授　畠山　友行
講師　　小林　香
講師　　吉見　和紘
教授　　大島　拓
准教授　大坂　一生
教授　　榊原　一紀（座長）
教授　　大山　英明
准教授　森重　健一
准教授　村田 美代子</t>
    <rPh sb="68" eb="70">
      <t>ザチョウ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</si>
</sst>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4"/>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34998626667073579"/>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6" xfId="2" applyFont="1" applyFill="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wrapText="1"/>
    </xf>
    <xf numFmtId="49" fontId="3" fillId="0" borderId="30" xfId="0" applyNumberFormat="1" applyFont="1" applyBorder="1" applyAlignment="1">
      <alignment horizontal="lef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wrapText="1"/>
    </xf>
    <xf numFmtId="49" fontId="3" fillId="0" borderId="17" xfId="0" applyNumberFormat="1" applyFont="1" applyBorder="1" applyAlignment="1">
      <alignment horizontal="left" vertical="center"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6" fillId="0" borderId="18" xfId="0" applyFont="1" applyBorder="1" applyAlignment="1">
      <alignment vertical="top" wrapText="1" shrinkToFit="1"/>
    </xf>
    <xf numFmtId="0" fontId="6" fillId="0" borderId="19" xfId="0" applyFont="1" applyBorder="1" applyAlignment="1">
      <alignment vertical="top" wrapText="1" shrinkToFit="1"/>
    </xf>
    <xf numFmtId="0" fontId="6"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6" fillId="0" borderId="32" xfId="0" applyFont="1" applyBorder="1" applyAlignment="1">
      <alignment vertical="top" wrapText="1" shrinkToFit="1"/>
    </xf>
    <xf numFmtId="0" fontId="6" fillId="0" borderId="33" xfId="0" applyFont="1" applyBorder="1" applyAlignment="1">
      <alignment vertical="top" wrapText="1" shrinkToFit="1"/>
    </xf>
    <xf numFmtId="0" fontId="6"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3" fillId="0" borderId="32" xfId="0" applyFont="1" applyBorder="1" applyAlignment="1">
      <alignment vertical="top" wrapText="1" shrinkToFit="1"/>
    </xf>
    <xf numFmtId="0" fontId="13" fillId="0" borderId="33" xfId="0" applyFont="1" applyBorder="1" applyAlignment="1">
      <alignment vertical="top" wrapText="1" shrinkToFit="1"/>
    </xf>
    <xf numFmtId="0" fontId="13" fillId="0" borderId="34" xfId="0" applyFont="1" applyBorder="1" applyAlignment="1">
      <alignment vertical="top" wrapText="1" shrinkToFit="1"/>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6" fillId="0" borderId="29" xfId="0" applyFont="1" applyBorder="1" applyAlignment="1">
      <alignment vertical="top" wrapText="1" shrinkToFit="1"/>
    </xf>
    <xf numFmtId="0" fontId="6" fillId="0" borderId="31" xfId="0" applyFont="1" applyBorder="1" applyAlignment="1">
      <alignment vertical="top" wrapText="1" shrinkToFit="1"/>
    </xf>
    <xf numFmtId="0" fontId="6" fillId="0" borderId="30"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zoomScale="80" zoomScaleNormal="100" zoomScaleSheetLayoutView="80" workbookViewId="0">
      <selection activeCell="D100" sqref="D100:U100"/>
    </sheetView>
  </sheetViews>
  <sheetFormatPr defaultColWidth="9" defaultRowHeight="18.75" customHeight="1" x14ac:dyDescent="0.2"/>
  <cols>
    <col min="1" max="1" width="2.453125" style="1" customWidth="1"/>
    <col min="2" max="2" width="16.453125" style="1" customWidth="1"/>
    <col min="3" max="21" width="5.6328125" style="1" customWidth="1"/>
    <col min="22" max="22" width="9" style="1"/>
    <col min="23" max="23" width="3.6328125" style="1" customWidth="1"/>
    <col min="24" max="24" width="48.6328125" style="1" hidden="1" customWidth="1"/>
    <col min="25" max="26" width="9" style="1"/>
    <col min="27" max="27" width="9" style="1" hidden="1" customWidth="1"/>
    <col min="28" max="16384" width="9" style="1"/>
  </cols>
  <sheetData>
    <row r="1" spans="1:24" ht="18.649999999999999" customHeight="1" x14ac:dyDescent="0.2">
      <c r="T1" s="133" t="s">
        <v>12</v>
      </c>
      <c r="U1" s="133"/>
      <c r="V1" s="2" t="s">
        <v>94</v>
      </c>
    </row>
    <row r="2" spans="1:24" ht="18.75" customHeight="1" x14ac:dyDescent="0.2">
      <c r="B2" s="17" t="s">
        <v>93</v>
      </c>
      <c r="C2" s="103" t="s">
        <v>143</v>
      </c>
      <c r="D2" s="104"/>
      <c r="E2" s="104"/>
      <c r="F2" s="104"/>
      <c r="G2" s="104"/>
      <c r="H2" s="104"/>
      <c r="I2" s="104"/>
      <c r="J2" s="105"/>
      <c r="K2" s="18"/>
      <c r="L2" s="6"/>
      <c r="M2" s="6"/>
      <c r="N2" s="6"/>
      <c r="O2" s="6"/>
      <c r="P2" s="6"/>
      <c r="Q2" s="6"/>
      <c r="R2" s="6"/>
      <c r="S2" s="6"/>
      <c r="T2" s="6"/>
      <c r="U2" s="6"/>
    </row>
    <row r="3" spans="1:24" ht="18.75" customHeight="1" x14ac:dyDescent="0.2">
      <c r="B3" s="17" t="s">
        <v>88</v>
      </c>
      <c r="C3" s="103" t="s">
        <v>144</v>
      </c>
      <c r="D3" s="104"/>
      <c r="E3" s="104"/>
      <c r="F3" s="104"/>
      <c r="G3" s="104"/>
      <c r="H3" s="104"/>
      <c r="I3" s="104"/>
      <c r="J3" s="105"/>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14" t="s">
        <v>141</v>
      </c>
      <c r="B5" s="114"/>
      <c r="C5" s="114"/>
      <c r="D5" s="114"/>
      <c r="E5" s="114"/>
      <c r="F5" s="114"/>
      <c r="G5" s="114"/>
      <c r="H5" s="114"/>
      <c r="I5" s="114"/>
      <c r="J5" s="114"/>
      <c r="K5" s="114"/>
      <c r="L5" s="114"/>
      <c r="M5" s="114"/>
      <c r="N5" s="114"/>
      <c r="O5" s="114"/>
      <c r="P5" s="114"/>
      <c r="Q5" s="114"/>
      <c r="R5" s="114"/>
      <c r="S5" s="114"/>
      <c r="T5" s="114"/>
      <c r="U5" s="114"/>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46" t="s">
        <v>184</v>
      </c>
      <c r="M7" s="147"/>
      <c r="N7" s="147"/>
      <c r="O7" s="147"/>
      <c r="P7" s="147"/>
      <c r="Q7" s="147"/>
      <c r="R7" s="147"/>
      <c r="S7" s="147"/>
      <c r="T7" s="147"/>
      <c r="U7" s="148"/>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9"/>
      <c r="C11" s="150"/>
      <c r="D11" s="150"/>
      <c r="E11" s="150"/>
      <c r="F11" s="150"/>
      <c r="G11" s="150"/>
      <c r="H11" s="150"/>
      <c r="I11" s="150"/>
      <c r="J11" s="150"/>
      <c r="K11" s="150"/>
      <c r="L11" s="150"/>
      <c r="M11" s="150"/>
      <c r="N11" s="150"/>
      <c r="O11" s="150"/>
      <c r="P11" s="150"/>
      <c r="Q11" s="150"/>
      <c r="R11" s="150"/>
      <c r="S11" s="150"/>
      <c r="T11" s="150"/>
      <c r="U11" s="151"/>
    </row>
    <row r="12" spans="1:24" ht="18" customHeight="1" x14ac:dyDescent="0.2">
      <c r="B12" s="152"/>
      <c r="C12" s="153"/>
      <c r="D12" s="153"/>
      <c r="E12" s="153"/>
      <c r="F12" s="153"/>
      <c r="G12" s="153"/>
      <c r="H12" s="153"/>
      <c r="I12" s="153"/>
      <c r="J12" s="153"/>
      <c r="K12" s="153"/>
      <c r="L12" s="153"/>
      <c r="M12" s="153"/>
      <c r="N12" s="153"/>
      <c r="O12" s="153"/>
      <c r="P12" s="153"/>
      <c r="Q12" s="153"/>
      <c r="R12" s="153"/>
      <c r="S12" s="153"/>
      <c r="T12" s="153"/>
      <c r="U12" s="154"/>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15" t="s">
        <v>145</v>
      </c>
      <c r="C15" s="116"/>
      <c r="D15" s="116"/>
      <c r="E15" s="116"/>
      <c r="F15" s="116"/>
      <c r="G15" s="116"/>
      <c r="H15" s="116"/>
      <c r="I15" s="116"/>
      <c r="J15" s="116"/>
      <c r="K15" s="116"/>
      <c r="L15" s="116"/>
      <c r="M15" s="116"/>
      <c r="N15" s="116"/>
      <c r="O15" s="116"/>
      <c r="P15" s="116"/>
      <c r="Q15" s="116"/>
      <c r="R15" s="116"/>
      <c r="S15" s="116"/>
      <c r="T15" s="116"/>
      <c r="U15" s="117"/>
      <c r="X15" s="1" t="s">
        <v>89</v>
      </c>
    </row>
    <row r="16" spans="1:24" ht="18" customHeight="1" x14ac:dyDescent="0.2">
      <c r="B16" s="118"/>
      <c r="C16" s="119"/>
      <c r="D16" s="119"/>
      <c r="E16" s="119"/>
      <c r="F16" s="119"/>
      <c r="G16" s="119"/>
      <c r="H16" s="119"/>
      <c r="I16" s="119"/>
      <c r="J16" s="119"/>
      <c r="K16" s="119"/>
      <c r="L16" s="119"/>
      <c r="M16" s="119"/>
      <c r="N16" s="119"/>
      <c r="O16" s="119"/>
      <c r="P16" s="119"/>
      <c r="Q16" s="119"/>
      <c r="R16" s="119"/>
      <c r="S16" s="119"/>
      <c r="T16" s="119"/>
      <c r="U16" s="120"/>
      <c r="X16" s="1" t="s">
        <v>122</v>
      </c>
    </row>
    <row r="17" spans="1:24" ht="18" customHeight="1" x14ac:dyDescent="0.2">
      <c r="B17" s="118"/>
      <c r="C17" s="119"/>
      <c r="D17" s="119"/>
      <c r="E17" s="119"/>
      <c r="F17" s="119"/>
      <c r="G17" s="119"/>
      <c r="H17" s="119"/>
      <c r="I17" s="119"/>
      <c r="J17" s="119"/>
      <c r="K17" s="119"/>
      <c r="L17" s="119"/>
      <c r="M17" s="119"/>
      <c r="N17" s="119"/>
      <c r="O17" s="119"/>
      <c r="P17" s="119"/>
      <c r="Q17" s="119"/>
      <c r="R17" s="119"/>
      <c r="S17" s="119"/>
      <c r="T17" s="119"/>
      <c r="U17" s="120"/>
      <c r="X17" s="1" t="s">
        <v>123</v>
      </c>
    </row>
    <row r="18" spans="1:24" ht="18" customHeight="1" x14ac:dyDescent="0.2">
      <c r="B18" s="118"/>
      <c r="C18" s="119"/>
      <c r="D18" s="119"/>
      <c r="E18" s="119"/>
      <c r="F18" s="119"/>
      <c r="G18" s="119"/>
      <c r="H18" s="119"/>
      <c r="I18" s="119"/>
      <c r="J18" s="119"/>
      <c r="K18" s="119"/>
      <c r="L18" s="119"/>
      <c r="M18" s="119"/>
      <c r="N18" s="119"/>
      <c r="O18" s="119"/>
      <c r="P18" s="119"/>
      <c r="Q18" s="119"/>
      <c r="R18" s="119"/>
      <c r="S18" s="119"/>
      <c r="T18" s="119"/>
      <c r="U18" s="120"/>
      <c r="X18" s="1" t="s">
        <v>124</v>
      </c>
    </row>
    <row r="19" spans="1:24" ht="18" customHeight="1" x14ac:dyDescent="0.2">
      <c r="B19" s="118"/>
      <c r="C19" s="119"/>
      <c r="D19" s="119"/>
      <c r="E19" s="119"/>
      <c r="F19" s="119"/>
      <c r="G19" s="119"/>
      <c r="H19" s="119"/>
      <c r="I19" s="119"/>
      <c r="J19" s="119"/>
      <c r="K19" s="119"/>
      <c r="L19" s="119"/>
      <c r="M19" s="119"/>
      <c r="N19" s="119"/>
      <c r="O19" s="119"/>
      <c r="P19" s="119"/>
      <c r="Q19" s="119"/>
      <c r="R19" s="119"/>
      <c r="S19" s="119"/>
      <c r="T19" s="119"/>
      <c r="U19" s="120"/>
    </row>
    <row r="20" spans="1:24" ht="18" customHeight="1" x14ac:dyDescent="0.2">
      <c r="B20" s="121"/>
      <c r="C20" s="122"/>
      <c r="D20" s="122"/>
      <c r="E20" s="122"/>
      <c r="F20" s="122"/>
      <c r="G20" s="122"/>
      <c r="H20" s="122"/>
      <c r="I20" s="122"/>
      <c r="J20" s="122"/>
      <c r="K20" s="122"/>
      <c r="L20" s="122"/>
      <c r="M20" s="122"/>
      <c r="N20" s="122"/>
      <c r="O20" s="122"/>
      <c r="P20" s="122"/>
      <c r="Q20" s="122"/>
      <c r="R20" s="122"/>
      <c r="S20" s="122"/>
      <c r="T20" s="122"/>
      <c r="U20" s="123"/>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 customHeight="1" x14ac:dyDescent="0.2">
      <c r="B22" s="1" t="s">
        <v>119</v>
      </c>
      <c r="E22" s="76">
        <v>1</v>
      </c>
      <c r="F22" s="1" t="s">
        <v>107</v>
      </c>
      <c r="H22" s="19">
        <v>2</v>
      </c>
      <c r="I22" s="3" t="s">
        <v>108</v>
      </c>
      <c r="J22" s="3"/>
      <c r="K22" s="18"/>
      <c r="M22" s="18" t="s">
        <v>104</v>
      </c>
      <c r="N22" s="143" t="s">
        <v>122</v>
      </c>
      <c r="O22" s="144"/>
      <c r="P22" s="144"/>
      <c r="Q22" s="144"/>
      <c r="R22" s="144"/>
      <c r="S22" s="144"/>
      <c r="T22" s="144"/>
      <c r="U22" s="145"/>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96" t="s">
        <v>96</v>
      </c>
      <c r="B24" s="96"/>
      <c r="C24" s="96"/>
      <c r="D24" s="96"/>
      <c r="E24" s="96"/>
      <c r="F24" s="96"/>
      <c r="G24" s="96"/>
      <c r="H24" s="96"/>
      <c r="I24" s="96"/>
      <c r="J24" s="96"/>
      <c r="K24" s="96"/>
      <c r="L24" s="96"/>
      <c r="M24" s="96"/>
      <c r="N24" s="96"/>
      <c r="O24" s="96"/>
      <c r="P24" s="96"/>
      <c r="Q24" s="96"/>
      <c r="R24" s="96"/>
      <c r="S24" s="96"/>
      <c r="T24" s="96"/>
      <c r="U24" s="96"/>
    </row>
    <row r="25" spans="1:24" ht="18" customHeight="1" x14ac:dyDescent="0.2">
      <c r="A25" s="96"/>
      <c r="B25" s="96"/>
      <c r="C25" s="96"/>
      <c r="D25" s="96"/>
      <c r="E25" s="96"/>
      <c r="F25" s="96"/>
      <c r="G25" s="96"/>
      <c r="H25" s="96"/>
      <c r="I25" s="96"/>
      <c r="J25" s="96"/>
      <c r="K25" s="96"/>
      <c r="L25" s="96"/>
      <c r="M25" s="96"/>
      <c r="N25" s="96"/>
      <c r="O25" s="96"/>
      <c r="P25" s="96"/>
      <c r="Q25" s="96"/>
      <c r="R25" s="96"/>
      <c r="S25" s="96"/>
      <c r="T25" s="96"/>
      <c r="U25" s="96"/>
    </row>
    <row r="26" spans="1:24" ht="18" customHeight="1" x14ac:dyDescent="0.2">
      <c r="B26" s="103" t="s">
        <v>48</v>
      </c>
      <c r="C26" s="104"/>
      <c r="D26" s="104"/>
      <c r="E26" s="104"/>
      <c r="F26" s="105"/>
      <c r="G26" s="60" t="s">
        <v>73</v>
      </c>
      <c r="H26" s="61" t="s">
        <v>76</v>
      </c>
      <c r="I26" s="62" t="s">
        <v>51</v>
      </c>
      <c r="J26" s="62" t="s">
        <v>54</v>
      </c>
      <c r="K26" s="103" t="s">
        <v>48</v>
      </c>
      <c r="L26" s="104"/>
      <c r="M26" s="104"/>
      <c r="N26" s="104"/>
      <c r="O26" s="104"/>
      <c r="P26" s="104"/>
      <c r="Q26" s="105"/>
      <c r="R26" s="60" t="s">
        <v>73</v>
      </c>
      <c r="S26" s="61" t="s">
        <v>76</v>
      </c>
      <c r="T26" s="62" t="s">
        <v>51</v>
      </c>
      <c r="U26" s="62" t="s">
        <v>54</v>
      </c>
    </row>
    <row r="27" spans="1:24" ht="18" customHeight="1" x14ac:dyDescent="0.2">
      <c r="B27" s="97" t="s">
        <v>146</v>
      </c>
      <c r="C27" s="98"/>
      <c r="D27" s="98"/>
      <c r="E27" s="98"/>
      <c r="F27" s="99"/>
      <c r="G27" s="63">
        <v>2</v>
      </c>
      <c r="H27" s="63" t="s">
        <v>147</v>
      </c>
      <c r="I27" s="63" t="s">
        <v>147</v>
      </c>
      <c r="J27" s="63" t="s">
        <v>147</v>
      </c>
      <c r="K27" s="97"/>
      <c r="L27" s="98"/>
      <c r="M27" s="98"/>
      <c r="N27" s="98"/>
      <c r="O27" s="98"/>
      <c r="P27" s="98"/>
      <c r="Q27" s="99"/>
      <c r="R27" s="63"/>
      <c r="S27" s="63"/>
      <c r="T27" s="63"/>
      <c r="U27" s="63"/>
    </row>
    <row r="28" spans="1:24" ht="18" customHeight="1" x14ac:dyDescent="0.2">
      <c r="B28" s="90"/>
      <c r="C28" s="91"/>
      <c r="D28" s="91"/>
      <c r="E28" s="91"/>
      <c r="F28" s="92"/>
      <c r="G28" s="64"/>
      <c r="H28" s="64"/>
      <c r="I28" s="64"/>
      <c r="J28" s="64"/>
      <c r="K28" s="90"/>
      <c r="L28" s="91"/>
      <c r="M28" s="91"/>
      <c r="N28" s="91"/>
      <c r="O28" s="91"/>
      <c r="P28" s="91"/>
      <c r="Q28" s="92"/>
      <c r="R28" s="64"/>
      <c r="S28" s="64"/>
      <c r="T28" s="64"/>
      <c r="U28" s="64"/>
    </row>
    <row r="29" spans="1:24" ht="18" customHeight="1" x14ac:dyDescent="0.2">
      <c r="B29" s="90"/>
      <c r="C29" s="91"/>
      <c r="D29" s="91"/>
      <c r="E29" s="91"/>
      <c r="F29" s="92"/>
      <c r="G29" s="64"/>
      <c r="H29" s="64"/>
      <c r="I29" s="64"/>
      <c r="J29" s="64"/>
      <c r="K29" s="90"/>
      <c r="L29" s="91"/>
      <c r="M29" s="91"/>
      <c r="N29" s="91"/>
      <c r="O29" s="91"/>
      <c r="P29" s="91"/>
      <c r="Q29" s="92"/>
      <c r="R29" s="64"/>
      <c r="S29" s="64"/>
      <c r="T29" s="64"/>
      <c r="U29" s="64"/>
    </row>
    <row r="30" spans="1:24" ht="18" customHeight="1" x14ac:dyDescent="0.2">
      <c r="B30" s="90"/>
      <c r="C30" s="91"/>
      <c r="D30" s="91"/>
      <c r="E30" s="91"/>
      <c r="F30" s="92"/>
      <c r="G30" s="64"/>
      <c r="H30" s="64"/>
      <c r="I30" s="64"/>
      <c r="J30" s="64"/>
      <c r="K30" s="90"/>
      <c r="L30" s="91"/>
      <c r="M30" s="91"/>
      <c r="N30" s="91"/>
      <c r="O30" s="91"/>
      <c r="P30" s="91"/>
      <c r="Q30" s="92"/>
      <c r="R30" s="64"/>
      <c r="S30" s="64"/>
      <c r="T30" s="64"/>
      <c r="U30" s="64"/>
    </row>
    <row r="31" spans="1:24" ht="18" customHeight="1" x14ac:dyDescent="0.2">
      <c r="B31" s="90"/>
      <c r="C31" s="91"/>
      <c r="D31" s="91"/>
      <c r="E31" s="91"/>
      <c r="F31" s="92"/>
      <c r="G31" s="64"/>
      <c r="H31" s="64"/>
      <c r="I31" s="64"/>
      <c r="J31" s="64"/>
      <c r="K31" s="90"/>
      <c r="L31" s="91"/>
      <c r="M31" s="91"/>
      <c r="N31" s="91"/>
      <c r="O31" s="91"/>
      <c r="P31" s="91"/>
      <c r="Q31" s="92"/>
      <c r="R31" s="64"/>
      <c r="S31" s="64"/>
      <c r="T31" s="64"/>
      <c r="U31" s="64"/>
    </row>
    <row r="32" spans="1:24" ht="18" customHeight="1" x14ac:dyDescent="0.2">
      <c r="A32" s="3"/>
      <c r="B32" s="90"/>
      <c r="C32" s="91"/>
      <c r="D32" s="91"/>
      <c r="E32" s="91"/>
      <c r="F32" s="92"/>
      <c r="G32" s="64"/>
      <c r="H32" s="64"/>
      <c r="I32" s="64"/>
      <c r="J32" s="64"/>
      <c r="K32" s="90"/>
      <c r="L32" s="91"/>
      <c r="M32" s="91"/>
      <c r="N32" s="91"/>
      <c r="O32" s="91"/>
      <c r="P32" s="91"/>
      <c r="Q32" s="92"/>
      <c r="R32" s="64"/>
      <c r="S32" s="64"/>
      <c r="T32" s="64"/>
      <c r="U32" s="64"/>
    </row>
    <row r="33" spans="1:21" ht="18" customHeight="1" x14ac:dyDescent="0.2">
      <c r="A33" s="3"/>
      <c r="B33" s="93"/>
      <c r="C33" s="94"/>
      <c r="D33" s="94"/>
      <c r="E33" s="94"/>
      <c r="F33" s="95"/>
      <c r="G33" s="65"/>
      <c r="H33" s="65"/>
      <c r="I33" s="66"/>
      <c r="J33" s="66"/>
      <c r="K33" s="93"/>
      <c r="L33" s="94"/>
      <c r="M33" s="94"/>
      <c r="N33" s="94"/>
      <c r="O33" s="94"/>
      <c r="P33" s="94"/>
      <c r="Q33" s="95"/>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96" t="s">
        <v>97</v>
      </c>
      <c r="B35" s="96"/>
      <c r="C35" s="96"/>
      <c r="D35" s="96"/>
      <c r="E35" s="96"/>
      <c r="F35" s="96"/>
      <c r="G35" s="96"/>
      <c r="H35" s="96"/>
      <c r="I35" s="96"/>
      <c r="J35" s="96"/>
      <c r="K35" s="96"/>
      <c r="L35" s="96"/>
      <c r="M35" s="96"/>
      <c r="N35" s="96"/>
      <c r="O35" s="96"/>
      <c r="P35" s="96"/>
      <c r="Q35" s="96"/>
      <c r="R35" s="96"/>
      <c r="S35" s="96"/>
      <c r="T35" s="96"/>
      <c r="U35" s="96"/>
    </row>
    <row r="36" spans="1:21" ht="18" customHeight="1" x14ac:dyDescent="0.2">
      <c r="A36" s="96"/>
      <c r="B36" s="96"/>
      <c r="C36" s="96"/>
      <c r="D36" s="96"/>
      <c r="E36" s="96"/>
      <c r="F36" s="96"/>
      <c r="G36" s="96"/>
      <c r="H36" s="96"/>
      <c r="I36" s="96"/>
      <c r="J36" s="96"/>
      <c r="K36" s="96"/>
      <c r="L36" s="96"/>
      <c r="M36" s="96"/>
      <c r="N36" s="96"/>
      <c r="O36" s="96"/>
      <c r="P36" s="96"/>
      <c r="Q36" s="96"/>
      <c r="R36" s="96"/>
      <c r="S36" s="96"/>
      <c r="T36" s="96"/>
      <c r="U36" s="96"/>
    </row>
    <row r="37" spans="1:21" ht="18" customHeight="1" x14ac:dyDescent="0.2">
      <c r="B37" s="103" t="s">
        <v>48</v>
      </c>
      <c r="C37" s="104"/>
      <c r="D37" s="104"/>
      <c r="E37" s="104"/>
      <c r="F37" s="105"/>
      <c r="G37" s="60" t="s">
        <v>73</v>
      </c>
      <c r="H37" s="61" t="s">
        <v>76</v>
      </c>
      <c r="I37" s="62" t="s">
        <v>64</v>
      </c>
      <c r="J37" s="62" t="s">
        <v>65</v>
      </c>
      <c r="K37" s="103" t="s">
        <v>48</v>
      </c>
      <c r="L37" s="104"/>
      <c r="M37" s="104"/>
      <c r="N37" s="104"/>
      <c r="O37" s="104"/>
      <c r="P37" s="104"/>
      <c r="Q37" s="105"/>
      <c r="R37" s="60" t="s">
        <v>73</v>
      </c>
      <c r="S37" s="61" t="s">
        <v>76</v>
      </c>
      <c r="T37" s="62" t="s">
        <v>64</v>
      </c>
      <c r="U37" s="62" t="s">
        <v>65</v>
      </c>
    </row>
    <row r="38" spans="1:21" ht="18" customHeight="1" x14ac:dyDescent="0.2">
      <c r="B38" s="97" t="s">
        <v>146</v>
      </c>
      <c r="C38" s="98"/>
      <c r="D38" s="98"/>
      <c r="E38" s="98"/>
      <c r="F38" s="99"/>
      <c r="G38" s="63">
        <v>2</v>
      </c>
      <c r="H38" s="63" t="s">
        <v>147</v>
      </c>
      <c r="I38" s="63" t="s">
        <v>147</v>
      </c>
      <c r="J38" s="63" t="s">
        <v>147</v>
      </c>
      <c r="K38" s="97"/>
      <c r="L38" s="98"/>
      <c r="M38" s="98"/>
      <c r="N38" s="98"/>
      <c r="O38" s="98"/>
      <c r="P38" s="98"/>
      <c r="Q38" s="99"/>
      <c r="R38" s="63"/>
      <c r="S38" s="63"/>
      <c r="T38" s="63"/>
      <c r="U38" s="63"/>
    </row>
    <row r="39" spans="1:21" ht="18" customHeight="1" x14ac:dyDescent="0.2">
      <c r="B39" s="90"/>
      <c r="C39" s="91"/>
      <c r="D39" s="91"/>
      <c r="E39" s="91"/>
      <c r="F39" s="92"/>
      <c r="G39" s="64"/>
      <c r="H39" s="64"/>
      <c r="I39" s="64"/>
      <c r="J39" s="64"/>
      <c r="K39" s="90"/>
      <c r="L39" s="91"/>
      <c r="M39" s="91"/>
      <c r="N39" s="91"/>
      <c r="O39" s="91"/>
      <c r="P39" s="91"/>
      <c r="Q39" s="92"/>
      <c r="R39" s="64"/>
      <c r="S39" s="64"/>
      <c r="T39" s="64"/>
      <c r="U39" s="64"/>
    </row>
    <row r="40" spans="1:21" ht="18" customHeight="1" x14ac:dyDescent="0.2">
      <c r="B40" s="90"/>
      <c r="C40" s="91"/>
      <c r="D40" s="91"/>
      <c r="E40" s="91"/>
      <c r="F40" s="92"/>
      <c r="G40" s="64"/>
      <c r="H40" s="64"/>
      <c r="I40" s="64"/>
      <c r="J40" s="64"/>
      <c r="K40" s="90"/>
      <c r="L40" s="91"/>
      <c r="M40" s="91"/>
      <c r="N40" s="91"/>
      <c r="O40" s="91"/>
      <c r="P40" s="91"/>
      <c r="Q40" s="92"/>
      <c r="R40" s="64"/>
      <c r="S40" s="64"/>
      <c r="T40" s="64"/>
      <c r="U40" s="64"/>
    </row>
    <row r="41" spans="1:21" ht="18" customHeight="1" x14ac:dyDescent="0.2">
      <c r="B41" s="90"/>
      <c r="C41" s="91"/>
      <c r="D41" s="91"/>
      <c r="E41" s="91"/>
      <c r="F41" s="92"/>
      <c r="G41" s="64"/>
      <c r="H41" s="64"/>
      <c r="I41" s="64"/>
      <c r="J41" s="64"/>
      <c r="K41" s="90"/>
      <c r="L41" s="91"/>
      <c r="M41" s="91"/>
      <c r="N41" s="91"/>
      <c r="O41" s="91"/>
      <c r="P41" s="91"/>
      <c r="Q41" s="92"/>
      <c r="R41" s="64"/>
      <c r="S41" s="64"/>
      <c r="T41" s="64"/>
      <c r="U41" s="64"/>
    </row>
    <row r="42" spans="1:21" ht="18" customHeight="1" x14ac:dyDescent="0.2">
      <c r="B42" s="90"/>
      <c r="C42" s="91"/>
      <c r="D42" s="91"/>
      <c r="E42" s="91"/>
      <c r="F42" s="92"/>
      <c r="G42" s="64"/>
      <c r="H42" s="64"/>
      <c r="I42" s="64"/>
      <c r="J42" s="64"/>
      <c r="K42" s="90"/>
      <c r="L42" s="91"/>
      <c r="M42" s="91"/>
      <c r="N42" s="91"/>
      <c r="O42" s="91"/>
      <c r="P42" s="91"/>
      <c r="Q42" s="92"/>
      <c r="R42" s="64"/>
      <c r="S42" s="64"/>
      <c r="T42" s="64"/>
      <c r="U42" s="64"/>
    </row>
    <row r="43" spans="1:21" ht="18" customHeight="1" x14ac:dyDescent="0.2">
      <c r="B43" s="90"/>
      <c r="C43" s="91"/>
      <c r="D43" s="91"/>
      <c r="E43" s="91"/>
      <c r="F43" s="92"/>
      <c r="G43" s="64"/>
      <c r="H43" s="64"/>
      <c r="I43" s="64"/>
      <c r="J43" s="64"/>
      <c r="K43" s="90"/>
      <c r="L43" s="91"/>
      <c r="M43" s="91"/>
      <c r="N43" s="91"/>
      <c r="O43" s="91"/>
      <c r="P43" s="91"/>
      <c r="Q43" s="92"/>
      <c r="R43" s="64"/>
      <c r="S43" s="64"/>
      <c r="T43" s="64"/>
      <c r="U43" s="64"/>
    </row>
    <row r="44" spans="1:21" ht="18" customHeight="1" x14ac:dyDescent="0.2">
      <c r="B44" s="93"/>
      <c r="C44" s="94"/>
      <c r="D44" s="94"/>
      <c r="E44" s="94"/>
      <c r="F44" s="95"/>
      <c r="G44" s="65"/>
      <c r="H44" s="65"/>
      <c r="I44" s="66"/>
      <c r="J44" s="66"/>
      <c r="K44" s="93"/>
      <c r="L44" s="94"/>
      <c r="M44" s="94"/>
      <c r="N44" s="94"/>
      <c r="O44" s="94"/>
      <c r="P44" s="94"/>
      <c r="Q44" s="95"/>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96" t="s">
        <v>98</v>
      </c>
      <c r="B46" s="96"/>
      <c r="C46" s="96"/>
      <c r="D46" s="96"/>
      <c r="E46" s="96"/>
      <c r="F46" s="96"/>
      <c r="G46" s="96"/>
      <c r="H46" s="96"/>
      <c r="I46" s="96"/>
      <c r="J46" s="96"/>
      <c r="K46" s="96"/>
      <c r="L46" s="96"/>
      <c r="M46" s="96"/>
      <c r="N46" s="96"/>
      <c r="O46" s="96"/>
      <c r="P46" s="96"/>
      <c r="Q46" s="96"/>
      <c r="R46" s="96"/>
      <c r="S46" s="96"/>
      <c r="T46" s="96"/>
      <c r="U46" s="96"/>
    </row>
    <row r="47" spans="1:21" ht="18" customHeight="1" x14ac:dyDescent="0.2">
      <c r="A47" s="96"/>
      <c r="B47" s="96"/>
      <c r="C47" s="96"/>
      <c r="D47" s="96"/>
      <c r="E47" s="96"/>
      <c r="F47" s="96"/>
      <c r="G47" s="96"/>
      <c r="H47" s="96"/>
      <c r="I47" s="96"/>
      <c r="J47" s="96"/>
      <c r="K47" s="96"/>
      <c r="L47" s="96"/>
      <c r="M47" s="96"/>
      <c r="N47" s="96"/>
      <c r="O47" s="96"/>
      <c r="P47" s="96"/>
      <c r="Q47" s="96"/>
      <c r="R47" s="96"/>
      <c r="S47" s="96"/>
      <c r="T47" s="96"/>
      <c r="U47" s="96"/>
    </row>
    <row r="48" spans="1:21" ht="18" customHeight="1" x14ac:dyDescent="0.2">
      <c r="B48" s="103" t="s">
        <v>48</v>
      </c>
      <c r="C48" s="104"/>
      <c r="D48" s="104"/>
      <c r="E48" s="104"/>
      <c r="F48" s="105"/>
      <c r="G48" s="60" t="s">
        <v>73</v>
      </c>
      <c r="H48" s="61" t="s">
        <v>76</v>
      </c>
      <c r="I48" s="62" t="s">
        <v>66</v>
      </c>
      <c r="J48" s="62" t="s">
        <v>67</v>
      </c>
      <c r="K48" s="103" t="s">
        <v>48</v>
      </c>
      <c r="L48" s="104"/>
      <c r="M48" s="104"/>
      <c r="N48" s="104"/>
      <c r="O48" s="104"/>
      <c r="P48" s="104"/>
      <c r="Q48" s="105"/>
      <c r="R48" s="60" t="s">
        <v>73</v>
      </c>
      <c r="S48" s="61" t="s">
        <v>76</v>
      </c>
      <c r="T48" s="62" t="s">
        <v>66</v>
      </c>
      <c r="U48" s="62" t="s">
        <v>67</v>
      </c>
    </row>
    <row r="49" spans="1:21" ht="18" customHeight="1" x14ac:dyDescent="0.2">
      <c r="A49" s="3"/>
      <c r="B49" s="97" t="s">
        <v>146</v>
      </c>
      <c r="C49" s="98"/>
      <c r="D49" s="98"/>
      <c r="E49" s="98"/>
      <c r="F49" s="99"/>
      <c r="G49" s="63">
        <v>2</v>
      </c>
      <c r="H49" s="63" t="s">
        <v>147</v>
      </c>
      <c r="I49" s="63" t="s">
        <v>147</v>
      </c>
      <c r="J49" s="63" t="s">
        <v>147</v>
      </c>
      <c r="K49" s="97"/>
      <c r="L49" s="98"/>
      <c r="M49" s="98"/>
      <c r="N49" s="98"/>
      <c r="O49" s="98"/>
      <c r="P49" s="98"/>
      <c r="Q49" s="99"/>
      <c r="R49" s="63"/>
      <c r="S49" s="63"/>
      <c r="T49" s="63"/>
      <c r="U49" s="63"/>
    </row>
    <row r="50" spans="1:21" ht="18" customHeight="1" x14ac:dyDescent="0.2">
      <c r="A50" s="3"/>
      <c r="B50" s="90"/>
      <c r="C50" s="91"/>
      <c r="D50" s="91"/>
      <c r="E50" s="91"/>
      <c r="F50" s="92"/>
      <c r="G50" s="64"/>
      <c r="H50" s="64"/>
      <c r="I50" s="64"/>
      <c r="J50" s="64"/>
      <c r="K50" s="90"/>
      <c r="L50" s="91"/>
      <c r="M50" s="91"/>
      <c r="N50" s="91"/>
      <c r="O50" s="91"/>
      <c r="P50" s="91"/>
      <c r="Q50" s="92"/>
      <c r="R50" s="64"/>
      <c r="S50" s="64"/>
      <c r="T50" s="64"/>
      <c r="U50" s="64"/>
    </row>
    <row r="51" spans="1:21" ht="18" customHeight="1" x14ac:dyDescent="0.2">
      <c r="A51" s="3"/>
      <c r="B51" s="90"/>
      <c r="C51" s="91"/>
      <c r="D51" s="91"/>
      <c r="E51" s="91"/>
      <c r="F51" s="92"/>
      <c r="G51" s="64"/>
      <c r="H51" s="64"/>
      <c r="I51" s="64"/>
      <c r="J51" s="64"/>
      <c r="K51" s="90"/>
      <c r="L51" s="91"/>
      <c r="M51" s="91"/>
      <c r="N51" s="91"/>
      <c r="O51" s="91"/>
      <c r="P51" s="91"/>
      <c r="Q51" s="92"/>
      <c r="R51" s="64"/>
      <c r="S51" s="64"/>
      <c r="T51" s="64"/>
      <c r="U51" s="64"/>
    </row>
    <row r="52" spans="1:21" ht="18" customHeight="1" x14ac:dyDescent="0.2">
      <c r="A52" s="3"/>
      <c r="B52" s="90"/>
      <c r="C52" s="91"/>
      <c r="D52" s="91"/>
      <c r="E52" s="91"/>
      <c r="F52" s="92"/>
      <c r="G52" s="64"/>
      <c r="H52" s="64"/>
      <c r="I52" s="64"/>
      <c r="J52" s="64"/>
      <c r="K52" s="90"/>
      <c r="L52" s="91"/>
      <c r="M52" s="91"/>
      <c r="N52" s="91"/>
      <c r="O52" s="91"/>
      <c r="P52" s="91"/>
      <c r="Q52" s="92"/>
      <c r="R52" s="64"/>
      <c r="S52" s="64"/>
      <c r="T52" s="64"/>
      <c r="U52" s="64"/>
    </row>
    <row r="53" spans="1:21" ht="18" customHeight="1" x14ac:dyDescent="0.2">
      <c r="A53" s="3"/>
      <c r="B53" s="90"/>
      <c r="C53" s="91"/>
      <c r="D53" s="91"/>
      <c r="E53" s="91"/>
      <c r="F53" s="92"/>
      <c r="G53" s="64"/>
      <c r="H53" s="64"/>
      <c r="I53" s="64"/>
      <c r="J53" s="64"/>
      <c r="K53" s="90"/>
      <c r="L53" s="91"/>
      <c r="M53" s="91"/>
      <c r="N53" s="91"/>
      <c r="O53" s="91"/>
      <c r="P53" s="91"/>
      <c r="Q53" s="92"/>
      <c r="R53" s="64"/>
      <c r="S53" s="64"/>
      <c r="T53" s="64"/>
      <c r="U53" s="64"/>
    </row>
    <row r="54" spans="1:21" ht="18" customHeight="1" x14ac:dyDescent="0.2">
      <c r="A54" s="3"/>
      <c r="B54" s="90"/>
      <c r="C54" s="91"/>
      <c r="D54" s="91"/>
      <c r="E54" s="91"/>
      <c r="F54" s="92"/>
      <c r="G54" s="64"/>
      <c r="H54" s="64"/>
      <c r="I54" s="64"/>
      <c r="J54" s="64"/>
      <c r="K54" s="90"/>
      <c r="L54" s="91"/>
      <c r="M54" s="91"/>
      <c r="N54" s="91"/>
      <c r="O54" s="91"/>
      <c r="P54" s="91"/>
      <c r="Q54" s="92"/>
      <c r="R54" s="64"/>
      <c r="S54" s="64"/>
      <c r="T54" s="64"/>
      <c r="U54" s="64"/>
    </row>
    <row r="55" spans="1:21" ht="18" customHeight="1" x14ac:dyDescent="0.2">
      <c r="A55" s="3"/>
      <c r="B55" s="93"/>
      <c r="C55" s="94"/>
      <c r="D55" s="94"/>
      <c r="E55" s="94"/>
      <c r="F55" s="95"/>
      <c r="G55" s="65"/>
      <c r="H55" s="65"/>
      <c r="I55" s="66"/>
      <c r="J55" s="66"/>
      <c r="K55" s="93"/>
      <c r="L55" s="94"/>
      <c r="M55" s="94"/>
      <c r="N55" s="94"/>
      <c r="O55" s="94"/>
      <c r="P55" s="94"/>
      <c r="Q55" s="95"/>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96" t="s">
        <v>99</v>
      </c>
      <c r="B57" s="96"/>
      <c r="C57" s="96"/>
      <c r="D57" s="96"/>
      <c r="E57" s="96"/>
      <c r="F57" s="96"/>
      <c r="G57" s="96"/>
      <c r="H57" s="96"/>
      <c r="I57" s="96"/>
      <c r="J57" s="96"/>
      <c r="K57" s="96"/>
      <c r="L57" s="96"/>
      <c r="M57" s="96"/>
      <c r="N57" s="96"/>
      <c r="O57" s="96"/>
      <c r="P57" s="96"/>
      <c r="Q57" s="96"/>
      <c r="R57" s="96"/>
      <c r="S57" s="96"/>
      <c r="T57" s="96"/>
      <c r="U57" s="96"/>
    </row>
    <row r="58" spans="1:21" ht="18" customHeight="1" x14ac:dyDescent="0.2">
      <c r="A58" s="96"/>
      <c r="B58" s="96"/>
      <c r="C58" s="96"/>
      <c r="D58" s="96"/>
      <c r="E58" s="96"/>
      <c r="F58" s="96"/>
      <c r="G58" s="96"/>
      <c r="H58" s="96"/>
      <c r="I58" s="96"/>
      <c r="J58" s="96"/>
      <c r="K58" s="96"/>
      <c r="L58" s="96"/>
      <c r="M58" s="96"/>
      <c r="N58" s="96"/>
      <c r="O58" s="96"/>
      <c r="P58" s="96"/>
      <c r="Q58" s="96"/>
      <c r="R58" s="96"/>
      <c r="S58" s="96"/>
      <c r="T58" s="96"/>
      <c r="U58" s="96"/>
    </row>
    <row r="59" spans="1:21" ht="18" customHeight="1" x14ac:dyDescent="0.2">
      <c r="B59" s="103" t="s">
        <v>48</v>
      </c>
      <c r="C59" s="104"/>
      <c r="D59" s="104"/>
      <c r="E59" s="104"/>
      <c r="F59" s="105"/>
      <c r="G59" s="60" t="s">
        <v>73</v>
      </c>
      <c r="H59" s="61" t="s">
        <v>76</v>
      </c>
      <c r="I59" s="62" t="s">
        <v>53</v>
      </c>
      <c r="J59" s="62" t="s">
        <v>55</v>
      </c>
      <c r="K59" s="103" t="s">
        <v>48</v>
      </c>
      <c r="L59" s="104"/>
      <c r="M59" s="104"/>
      <c r="N59" s="104"/>
      <c r="O59" s="104"/>
      <c r="P59" s="104"/>
      <c r="Q59" s="105"/>
      <c r="R59" s="60" t="s">
        <v>73</v>
      </c>
      <c r="S59" s="61" t="s">
        <v>76</v>
      </c>
      <c r="T59" s="62" t="s">
        <v>53</v>
      </c>
      <c r="U59" s="62" t="s">
        <v>55</v>
      </c>
    </row>
    <row r="60" spans="1:21" ht="18" customHeight="1" x14ac:dyDescent="0.2">
      <c r="A60" s="3"/>
      <c r="B60" s="97" t="s">
        <v>146</v>
      </c>
      <c r="C60" s="98"/>
      <c r="D60" s="98"/>
      <c r="E60" s="98"/>
      <c r="F60" s="99"/>
      <c r="G60" s="63">
        <v>2</v>
      </c>
      <c r="H60" s="63" t="s">
        <v>147</v>
      </c>
      <c r="I60" s="63" t="s">
        <v>147</v>
      </c>
      <c r="J60" s="63" t="s">
        <v>147</v>
      </c>
      <c r="K60" s="97"/>
      <c r="L60" s="98"/>
      <c r="M60" s="98"/>
      <c r="N60" s="98"/>
      <c r="O60" s="98"/>
      <c r="P60" s="98"/>
      <c r="Q60" s="99"/>
      <c r="R60" s="63"/>
      <c r="S60" s="63"/>
      <c r="T60" s="63"/>
      <c r="U60" s="63"/>
    </row>
    <row r="61" spans="1:21" ht="18" customHeight="1" x14ac:dyDescent="0.2">
      <c r="A61" s="3"/>
      <c r="B61" s="90"/>
      <c r="C61" s="91"/>
      <c r="D61" s="91"/>
      <c r="E61" s="91"/>
      <c r="F61" s="92"/>
      <c r="G61" s="64"/>
      <c r="H61" s="64"/>
      <c r="I61" s="64"/>
      <c r="J61" s="64"/>
      <c r="K61" s="90"/>
      <c r="L61" s="91"/>
      <c r="M61" s="91"/>
      <c r="N61" s="91"/>
      <c r="O61" s="91"/>
      <c r="P61" s="91"/>
      <c r="Q61" s="92"/>
      <c r="R61" s="64"/>
      <c r="S61" s="64"/>
      <c r="T61" s="64"/>
      <c r="U61" s="64"/>
    </row>
    <row r="62" spans="1:21" ht="18" customHeight="1" x14ac:dyDescent="0.2">
      <c r="A62" s="3"/>
      <c r="B62" s="90"/>
      <c r="C62" s="91"/>
      <c r="D62" s="91"/>
      <c r="E62" s="91"/>
      <c r="F62" s="92"/>
      <c r="G62" s="64"/>
      <c r="H62" s="64"/>
      <c r="I62" s="64"/>
      <c r="J62" s="64"/>
      <c r="K62" s="90"/>
      <c r="L62" s="91"/>
      <c r="M62" s="91"/>
      <c r="N62" s="91"/>
      <c r="O62" s="91"/>
      <c r="P62" s="91"/>
      <c r="Q62" s="92"/>
      <c r="R62" s="64"/>
      <c r="S62" s="64"/>
      <c r="T62" s="64"/>
      <c r="U62" s="64"/>
    </row>
    <row r="63" spans="1:21" ht="18" customHeight="1" x14ac:dyDescent="0.2">
      <c r="A63" s="3"/>
      <c r="B63" s="90"/>
      <c r="C63" s="91"/>
      <c r="D63" s="91"/>
      <c r="E63" s="91"/>
      <c r="F63" s="92"/>
      <c r="G63" s="64"/>
      <c r="H63" s="64"/>
      <c r="I63" s="64"/>
      <c r="J63" s="64"/>
      <c r="K63" s="90"/>
      <c r="L63" s="91"/>
      <c r="M63" s="91"/>
      <c r="N63" s="91"/>
      <c r="O63" s="91"/>
      <c r="P63" s="91"/>
      <c r="Q63" s="92"/>
      <c r="R63" s="64"/>
      <c r="S63" s="64"/>
      <c r="T63" s="64"/>
      <c r="U63" s="64"/>
    </row>
    <row r="64" spans="1:21" ht="18" customHeight="1" x14ac:dyDescent="0.2">
      <c r="A64" s="3"/>
      <c r="B64" s="90"/>
      <c r="C64" s="91"/>
      <c r="D64" s="91"/>
      <c r="E64" s="91"/>
      <c r="F64" s="92"/>
      <c r="G64" s="64"/>
      <c r="H64" s="64"/>
      <c r="I64" s="64"/>
      <c r="J64" s="64"/>
      <c r="K64" s="90"/>
      <c r="L64" s="91"/>
      <c r="M64" s="91"/>
      <c r="N64" s="91"/>
      <c r="O64" s="91"/>
      <c r="P64" s="91"/>
      <c r="Q64" s="92"/>
      <c r="R64" s="64"/>
      <c r="S64" s="64"/>
      <c r="T64" s="64"/>
      <c r="U64" s="64"/>
    </row>
    <row r="65" spans="1:27" ht="18" customHeight="1" x14ac:dyDescent="0.2">
      <c r="A65" s="3"/>
      <c r="B65" s="90"/>
      <c r="C65" s="91"/>
      <c r="D65" s="91"/>
      <c r="E65" s="91"/>
      <c r="F65" s="92"/>
      <c r="G65" s="64"/>
      <c r="H65" s="64"/>
      <c r="I65" s="64"/>
      <c r="J65" s="64"/>
      <c r="K65" s="90"/>
      <c r="L65" s="91"/>
      <c r="M65" s="91"/>
      <c r="N65" s="91"/>
      <c r="O65" s="91"/>
      <c r="P65" s="91"/>
      <c r="Q65" s="92"/>
      <c r="R65" s="64"/>
      <c r="S65" s="64"/>
      <c r="T65" s="64"/>
      <c r="U65" s="64"/>
    </row>
    <row r="66" spans="1:27" ht="18" customHeight="1" x14ac:dyDescent="0.2">
      <c r="A66" s="3"/>
      <c r="B66" s="93"/>
      <c r="C66" s="94"/>
      <c r="D66" s="94"/>
      <c r="E66" s="94"/>
      <c r="F66" s="95"/>
      <c r="G66" s="65"/>
      <c r="H66" s="65"/>
      <c r="I66" s="66"/>
      <c r="J66" s="66"/>
      <c r="K66" s="93"/>
      <c r="L66" s="94"/>
      <c r="M66" s="94"/>
      <c r="N66" s="94"/>
      <c r="O66" s="94"/>
      <c r="P66" s="94"/>
      <c r="Q66" s="95"/>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96" t="s">
        <v>100</v>
      </c>
      <c r="B68" s="96"/>
      <c r="C68" s="96"/>
      <c r="D68" s="96"/>
      <c r="E68" s="96"/>
      <c r="F68" s="96"/>
      <c r="G68" s="96"/>
      <c r="H68" s="96"/>
      <c r="I68" s="96"/>
      <c r="J68" s="96"/>
      <c r="K68" s="96"/>
      <c r="L68" s="96"/>
      <c r="M68" s="96"/>
      <c r="N68" s="96"/>
      <c r="O68" s="96"/>
      <c r="P68" s="96"/>
      <c r="Q68" s="96"/>
      <c r="R68" s="96"/>
      <c r="S68" s="96"/>
      <c r="T68" s="96"/>
      <c r="U68" s="96"/>
    </row>
    <row r="69" spans="1:27" ht="18" customHeight="1" x14ac:dyDescent="0.2">
      <c r="A69" s="96"/>
      <c r="B69" s="96"/>
      <c r="C69" s="96"/>
      <c r="D69" s="96"/>
      <c r="E69" s="96"/>
      <c r="F69" s="96"/>
      <c r="G69" s="96"/>
      <c r="H69" s="96"/>
      <c r="I69" s="96"/>
      <c r="J69" s="96"/>
      <c r="K69" s="96"/>
      <c r="L69" s="96"/>
      <c r="M69" s="96"/>
      <c r="N69" s="96"/>
      <c r="O69" s="96"/>
      <c r="P69" s="96"/>
      <c r="Q69" s="96"/>
      <c r="R69" s="96"/>
      <c r="S69" s="96"/>
      <c r="T69" s="96"/>
      <c r="U69" s="96"/>
    </row>
    <row r="70" spans="1:27" ht="18" customHeight="1" x14ac:dyDescent="0.2">
      <c r="B70" s="103" t="s">
        <v>48</v>
      </c>
      <c r="C70" s="104"/>
      <c r="D70" s="104"/>
      <c r="E70" s="104"/>
      <c r="F70" s="60" t="s">
        <v>73</v>
      </c>
      <c r="G70" s="61" t="s">
        <v>76</v>
      </c>
      <c r="H70" s="62" t="s">
        <v>87</v>
      </c>
      <c r="I70" s="62" t="s">
        <v>68</v>
      </c>
      <c r="J70" s="62" t="s">
        <v>69</v>
      </c>
      <c r="K70" s="103" t="s">
        <v>48</v>
      </c>
      <c r="L70" s="104"/>
      <c r="M70" s="104"/>
      <c r="N70" s="104"/>
      <c r="O70" s="104"/>
      <c r="P70" s="105"/>
      <c r="Q70" s="60" t="s">
        <v>73</v>
      </c>
      <c r="R70" s="61" t="s">
        <v>76</v>
      </c>
      <c r="S70" s="62" t="s">
        <v>87</v>
      </c>
      <c r="T70" s="62" t="s">
        <v>68</v>
      </c>
      <c r="U70" s="62" t="s">
        <v>69</v>
      </c>
    </row>
    <row r="71" spans="1:27" ht="18" customHeight="1" x14ac:dyDescent="0.2">
      <c r="A71" s="3"/>
      <c r="B71" s="97" t="s">
        <v>146</v>
      </c>
      <c r="C71" s="98"/>
      <c r="D71" s="98"/>
      <c r="E71" s="98"/>
      <c r="F71" s="63">
        <v>2</v>
      </c>
      <c r="G71" s="63" t="s">
        <v>147</v>
      </c>
      <c r="H71" s="63" t="s">
        <v>147</v>
      </c>
      <c r="I71" s="63" t="s">
        <v>147</v>
      </c>
      <c r="J71" s="63" t="s">
        <v>147</v>
      </c>
      <c r="K71" s="97"/>
      <c r="L71" s="98"/>
      <c r="M71" s="98"/>
      <c r="N71" s="98"/>
      <c r="O71" s="98"/>
      <c r="P71" s="99"/>
      <c r="Q71" s="63"/>
      <c r="R71" s="63"/>
      <c r="S71" s="63"/>
      <c r="T71" s="63"/>
      <c r="U71" s="63"/>
    </row>
    <row r="72" spans="1:27" ht="18" customHeight="1" x14ac:dyDescent="0.2">
      <c r="A72" s="3"/>
      <c r="B72" s="90"/>
      <c r="C72" s="91"/>
      <c r="D72" s="91"/>
      <c r="E72" s="91"/>
      <c r="F72" s="64"/>
      <c r="G72" s="64"/>
      <c r="H72" s="64"/>
      <c r="I72" s="64"/>
      <c r="J72" s="64"/>
      <c r="K72" s="90"/>
      <c r="L72" s="91"/>
      <c r="M72" s="91"/>
      <c r="N72" s="91"/>
      <c r="O72" s="91"/>
      <c r="P72" s="92"/>
      <c r="Q72" s="64"/>
      <c r="R72" s="64"/>
      <c r="S72" s="64"/>
      <c r="T72" s="64"/>
      <c r="U72" s="64"/>
    </row>
    <row r="73" spans="1:27" ht="18" customHeight="1" x14ac:dyDescent="0.2">
      <c r="A73" s="3"/>
      <c r="B73" s="90"/>
      <c r="C73" s="91"/>
      <c r="D73" s="91"/>
      <c r="E73" s="91"/>
      <c r="F73" s="64"/>
      <c r="G73" s="64"/>
      <c r="H73" s="64"/>
      <c r="I73" s="64"/>
      <c r="J73" s="64"/>
      <c r="K73" s="90"/>
      <c r="L73" s="91"/>
      <c r="M73" s="91"/>
      <c r="N73" s="91"/>
      <c r="O73" s="91"/>
      <c r="P73" s="92"/>
      <c r="Q73" s="64"/>
      <c r="R73" s="64"/>
      <c r="S73" s="64"/>
      <c r="T73" s="64"/>
      <c r="U73" s="64"/>
    </row>
    <row r="74" spans="1:27" ht="18" customHeight="1" x14ac:dyDescent="0.2">
      <c r="A74" s="3"/>
      <c r="B74" s="90"/>
      <c r="C74" s="91"/>
      <c r="D74" s="91"/>
      <c r="E74" s="91"/>
      <c r="F74" s="64"/>
      <c r="G74" s="64"/>
      <c r="H74" s="64"/>
      <c r="I74" s="64"/>
      <c r="J74" s="64"/>
      <c r="K74" s="90"/>
      <c r="L74" s="91"/>
      <c r="M74" s="91"/>
      <c r="N74" s="91"/>
      <c r="O74" s="91"/>
      <c r="P74" s="92"/>
      <c r="Q74" s="64"/>
      <c r="R74" s="64"/>
      <c r="S74" s="64"/>
      <c r="T74" s="64"/>
      <c r="U74" s="64"/>
    </row>
    <row r="75" spans="1:27" ht="18" customHeight="1" x14ac:dyDescent="0.2">
      <c r="A75" s="3"/>
      <c r="B75" s="90"/>
      <c r="C75" s="91"/>
      <c r="D75" s="91"/>
      <c r="E75" s="91"/>
      <c r="F75" s="64"/>
      <c r="G75" s="64"/>
      <c r="H75" s="64"/>
      <c r="I75" s="64"/>
      <c r="J75" s="64"/>
      <c r="K75" s="90"/>
      <c r="L75" s="91"/>
      <c r="M75" s="91"/>
      <c r="N75" s="91"/>
      <c r="O75" s="91"/>
      <c r="P75" s="92"/>
      <c r="Q75" s="64"/>
      <c r="R75" s="64"/>
      <c r="S75" s="64"/>
      <c r="T75" s="64"/>
      <c r="U75" s="64"/>
    </row>
    <row r="76" spans="1:27" ht="18" customHeight="1" x14ac:dyDescent="0.2">
      <c r="A76" s="3"/>
      <c r="B76" s="90"/>
      <c r="C76" s="91"/>
      <c r="D76" s="91"/>
      <c r="E76" s="91"/>
      <c r="F76" s="64"/>
      <c r="G76" s="64"/>
      <c r="H76" s="64"/>
      <c r="I76" s="64"/>
      <c r="J76" s="64"/>
      <c r="K76" s="90"/>
      <c r="L76" s="91"/>
      <c r="M76" s="91"/>
      <c r="N76" s="91"/>
      <c r="O76" s="91"/>
      <c r="P76" s="92"/>
      <c r="Q76" s="64"/>
      <c r="R76" s="64"/>
      <c r="S76" s="64"/>
      <c r="T76" s="64"/>
      <c r="U76" s="64"/>
    </row>
    <row r="77" spans="1:27" ht="18" customHeight="1" x14ac:dyDescent="0.2">
      <c r="A77" s="3"/>
      <c r="B77" s="93"/>
      <c r="C77" s="94"/>
      <c r="D77" s="94"/>
      <c r="E77" s="94"/>
      <c r="F77" s="65"/>
      <c r="G77" s="65"/>
      <c r="H77" s="66"/>
      <c r="I77" s="66"/>
      <c r="J77" s="66"/>
      <c r="K77" s="93"/>
      <c r="L77" s="94"/>
      <c r="M77" s="94"/>
      <c r="N77" s="94"/>
      <c r="O77" s="94"/>
      <c r="P77" s="95"/>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103" t="s">
        <v>48</v>
      </c>
      <c r="C80" s="104"/>
      <c r="D80" s="104"/>
      <c r="E80" s="104"/>
      <c r="F80" s="105"/>
      <c r="G80" s="103" t="s">
        <v>74</v>
      </c>
      <c r="H80" s="104"/>
      <c r="I80" s="104"/>
      <c r="J80" s="105"/>
      <c r="K80" s="111" t="s">
        <v>48</v>
      </c>
      <c r="L80" s="112"/>
      <c r="M80" s="112"/>
      <c r="N80" s="112"/>
      <c r="O80" s="112"/>
      <c r="P80" s="112"/>
      <c r="Q80" s="113"/>
      <c r="R80" s="103" t="s">
        <v>74</v>
      </c>
      <c r="S80" s="104"/>
      <c r="T80" s="104"/>
      <c r="U80" s="105"/>
      <c r="AA80" s="1" t="s">
        <v>138</v>
      </c>
    </row>
    <row r="81" spans="1:27" ht="18" customHeight="1" x14ac:dyDescent="0.2">
      <c r="A81" s="3"/>
      <c r="B81" s="97"/>
      <c r="C81" s="98"/>
      <c r="D81" s="98"/>
      <c r="E81" s="98"/>
      <c r="F81" s="99"/>
      <c r="G81" s="100"/>
      <c r="H81" s="101"/>
      <c r="I81" s="101"/>
      <c r="J81" s="102"/>
      <c r="K81" s="97"/>
      <c r="L81" s="98"/>
      <c r="M81" s="98"/>
      <c r="N81" s="98"/>
      <c r="O81" s="98"/>
      <c r="P81" s="98"/>
      <c r="Q81" s="99"/>
      <c r="R81" s="100"/>
      <c r="S81" s="101"/>
      <c r="T81" s="101"/>
      <c r="U81" s="102"/>
      <c r="AA81" s="1" t="s">
        <v>131</v>
      </c>
    </row>
    <row r="82" spans="1:27" ht="18" customHeight="1" x14ac:dyDescent="0.2">
      <c r="A82" s="3"/>
      <c r="B82" s="90"/>
      <c r="C82" s="91"/>
      <c r="D82" s="91"/>
      <c r="E82" s="91"/>
      <c r="F82" s="92"/>
      <c r="G82" s="108"/>
      <c r="H82" s="109"/>
      <c r="I82" s="109"/>
      <c r="J82" s="110"/>
      <c r="K82" s="90"/>
      <c r="L82" s="91"/>
      <c r="M82" s="91"/>
      <c r="N82" s="91"/>
      <c r="O82" s="91"/>
      <c r="P82" s="91"/>
      <c r="Q82" s="92"/>
      <c r="R82" s="108"/>
      <c r="S82" s="109"/>
      <c r="T82" s="109"/>
      <c r="U82" s="110"/>
      <c r="AA82" s="1" t="s">
        <v>132</v>
      </c>
    </row>
    <row r="83" spans="1:27" ht="18" customHeight="1" x14ac:dyDescent="0.2">
      <c r="A83" s="3"/>
      <c r="B83" s="90"/>
      <c r="C83" s="91"/>
      <c r="D83" s="91"/>
      <c r="E83" s="91"/>
      <c r="F83" s="92"/>
      <c r="G83" s="108"/>
      <c r="H83" s="109"/>
      <c r="I83" s="109"/>
      <c r="J83" s="110"/>
      <c r="K83" s="90"/>
      <c r="L83" s="91"/>
      <c r="M83" s="91"/>
      <c r="N83" s="91"/>
      <c r="O83" s="91"/>
      <c r="P83" s="91"/>
      <c r="Q83" s="92"/>
      <c r="R83" s="108"/>
      <c r="S83" s="109"/>
      <c r="T83" s="109"/>
      <c r="U83" s="110"/>
      <c r="AA83" s="1" t="s">
        <v>133</v>
      </c>
    </row>
    <row r="84" spans="1:27" ht="18" customHeight="1" x14ac:dyDescent="0.2">
      <c r="A84" s="3"/>
      <c r="B84" s="90"/>
      <c r="C84" s="91"/>
      <c r="D84" s="91"/>
      <c r="E84" s="91"/>
      <c r="F84" s="92"/>
      <c r="G84" s="108"/>
      <c r="H84" s="109"/>
      <c r="I84" s="109"/>
      <c r="J84" s="110"/>
      <c r="K84" s="90"/>
      <c r="L84" s="91"/>
      <c r="M84" s="91"/>
      <c r="N84" s="91"/>
      <c r="O84" s="91"/>
      <c r="P84" s="91"/>
      <c r="Q84" s="92"/>
      <c r="R84" s="108"/>
      <c r="S84" s="109"/>
      <c r="T84" s="109"/>
      <c r="U84" s="110"/>
      <c r="AA84" s="1" t="s">
        <v>139</v>
      </c>
    </row>
    <row r="85" spans="1:27" ht="18" customHeight="1" x14ac:dyDescent="0.2">
      <c r="A85" s="3"/>
      <c r="B85" s="90"/>
      <c r="C85" s="91"/>
      <c r="D85" s="91"/>
      <c r="E85" s="91"/>
      <c r="F85" s="92"/>
      <c r="G85" s="108"/>
      <c r="H85" s="109"/>
      <c r="I85" s="109"/>
      <c r="J85" s="110"/>
      <c r="K85" s="90"/>
      <c r="L85" s="91"/>
      <c r="M85" s="91"/>
      <c r="N85" s="91"/>
      <c r="O85" s="91"/>
      <c r="P85" s="91"/>
      <c r="Q85" s="92"/>
      <c r="R85" s="108"/>
      <c r="S85" s="109"/>
      <c r="T85" s="109"/>
      <c r="U85" s="110"/>
      <c r="AA85" s="1" t="s">
        <v>140</v>
      </c>
    </row>
    <row r="86" spans="1:27" ht="18" customHeight="1" x14ac:dyDescent="0.2">
      <c r="A86" s="3"/>
      <c r="B86" s="90"/>
      <c r="C86" s="91"/>
      <c r="D86" s="91"/>
      <c r="E86" s="91"/>
      <c r="F86" s="92"/>
      <c r="G86" s="108"/>
      <c r="H86" s="109"/>
      <c r="I86" s="109"/>
      <c r="J86" s="110"/>
      <c r="K86" s="90"/>
      <c r="L86" s="91"/>
      <c r="M86" s="91"/>
      <c r="N86" s="91"/>
      <c r="O86" s="91"/>
      <c r="P86" s="91"/>
      <c r="Q86" s="92"/>
      <c r="R86" s="108"/>
      <c r="S86" s="109"/>
      <c r="T86" s="109"/>
      <c r="U86" s="110"/>
      <c r="AA86" s="1" t="s">
        <v>134</v>
      </c>
    </row>
    <row r="87" spans="1:27" ht="18" customHeight="1" x14ac:dyDescent="0.2">
      <c r="A87" s="3"/>
      <c r="B87" s="93"/>
      <c r="C87" s="94"/>
      <c r="D87" s="94"/>
      <c r="E87" s="94"/>
      <c r="F87" s="95"/>
      <c r="G87" s="127"/>
      <c r="H87" s="128"/>
      <c r="I87" s="128"/>
      <c r="J87" s="129"/>
      <c r="K87" s="93"/>
      <c r="L87" s="94"/>
      <c r="M87" s="94"/>
      <c r="N87" s="94"/>
      <c r="O87" s="94"/>
      <c r="P87" s="94"/>
      <c r="Q87" s="95"/>
      <c r="R87" s="127"/>
      <c r="S87" s="128"/>
      <c r="T87" s="128"/>
      <c r="U87" s="129"/>
      <c r="AA87" s="1" t="s">
        <v>135</v>
      </c>
    </row>
    <row r="88" spans="1:27" ht="18" customHeight="1" x14ac:dyDescent="0.2">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2">
      <c r="A89" s="1" t="s">
        <v>102</v>
      </c>
      <c r="AA89" s="1" t="s">
        <v>137</v>
      </c>
    </row>
    <row r="90" spans="1:27" ht="18.75" customHeight="1" x14ac:dyDescent="0.2">
      <c r="B90" s="131" t="s">
        <v>49</v>
      </c>
      <c r="C90" s="132"/>
      <c r="D90" s="103" t="s">
        <v>50</v>
      </c>
      <c r="E90" s="104"/>
      <c r="F90" s="104"/>
      <c r="G90" s="104"/>
      <c r="H90" s="104"/>
      <c r="I90" s="104"/>
      <c r="J90" s="104"/>
      <c r="K90" s="104"/>
      <c r="L90" s="104"/>
      <c r="M90" s="104"/>
      <c r="N90" s="104"/>
      <c r="O90" s="104"/>
      <c r="P90" s="104"/>
      <c r="Q90" s="104"/>
      <c r="R90" s="104"/>
      <c r="S90" s="104"/>
      <c r="T90" s="104"/>
      <c r="U90" s="105"/>
    </row>
    <row r="91" spans="1:27" ht="97.5" customHeight="1" x14ac:dyDescent="0.2">
      <c r="B91" s="106" t="s">
        <v>56</v>
      </c>
      <c r="C91" s="68" t="s">
        <v>51</v>
      </c>
      <c r="D91" s="137" t="s">
        <v>185</v>
      </c>
      <c r="E91" s="138"/>
      <c r="F91" s="138"/>
      <c r="G91" s="138"/>
      <c r="H91" s="138"/>
      <c r="I91" s="138"/>
      <c r="J91" s="138"/>
      <c r="K91" s="138"/>
      <c r="L91" s="138"/>
      <c r="M91" s="138"/>
      <c r="N91" s="138"/>
      <c r="O91" s="138"/>
      <c r="P91" s="138"/>
      <c r="Q91" s="138"/>
      <c r="R91" s="138"/>
      <c r="S91" s="138"/>
      <c r="T91" s="138"/>
      <c r="U91" s="139"/>
    </row>
    <row r="92" spans="1:27" ht="97.5" customHeight="1" x14ac:dyDescent="0.2">
      <c r="B92" s="130"/>
      <c r="C92" s="69" t="s">
        <v>70</v>
      </c>
      <c r="D92" s="134" t="s">
        <v>148</v>
      </c>
      <c r="E92" s="135"/>
      <c r="F92" s="135"/>
      <c r="G92" s="135"/>
      <c r="H92" s="135"/>
      <c r="I92" s="135"/>
      <c r="J92" s="135"/>
      <c r="K92" s="135"/>
      <c r="L92" s="135"/>
      <c r="M92" s="135"/>
      <c r="N92" s="135"/>
      <c r="O92" s="135"/>
      <c r="P92" s="135"/>
      <c r="Q92" s="135"/>
      <c r="R92" s="135"/>
      <c r="S92" s="135"/>
      <c r="T92" s="135"/>
      <c r="U92" s="136"/>
    </row>
    <row r="93" spans="1:27" ht="97.5" customHeight="1" x14ac:dyDescent="0.2">
      <c r="B93" s="106" t="s">
        <v>57</v>
      </c>
      <c r="C93" s="70" t="s">
        <v>64</v>
      </c>
      <c r="D93" s="137" t="s">
        <v>186</v>
      </c>
      <c r="E93" s="138"/>
      <c r="F93" s="138"/>
      <c r="G93" s="138"/>
      <c r="H93" s="138"/>
      <c r="I93" s="138"/>
      <c r="J93" s="138"/>
      <c r="K93" s="138"/>
      <c r="L93" s="138"/>
      <c r="M93" s="138"/>
      <c r="N93" s="138"/>
      <c r="O93" s="138"/>
      <c r="P93" s="138"/>
      <c r="Q93" s="138"/>
      <c r="R93" s="138"/>
      <c r="S93" s="138"/>
      <c r="T93" s="138"/>
      <c r="U93" s="139"/>
    </row>
    <row r="94" spans="1:27" ht="97.5" customHeight="1" x14ac:dyDescent="0.2">
      <c r="B94" s="107"/>
      <c r="C94" s="71" t="s">
        <v>65</v>
      </c>
      <c r="D94" s="134" t="s">
        <v>149</v>
      </c>
      <c r="E94" s="135"/>
      <c r="F94" s="135"/>
      <c r="G94" s="135"/>
      <c r="H94" s="135"/>
      <c r="I94" s="135"/>
      <c r="J94" s="135"/>
      <c r="K94" s="135"/>
      <c r="L94" s="135"/>
      <c r="M94" s="135"/>
      <c r="N94" s="135"/>
      <c r="O94" s="135"/>
      <c r="P94" s="135"/>
      <c r="Q94" s="135"/>
      <c r="R94" s="135"/>
      <c r="S94" s="135"/>
      <c r="T94" s="135"/>
      <c r="U94" s="136"/>
    </row>
    <row r="95" spans="1:27" ht="97.5" customHeight="1" x14ac:dyDescent="0.2">
      <c r="B95" s="106" t="s">
        <v>58</v>
      </c>
      <c r="C95" s="70" t="s">
        <v>66</v>
      </c>
      <c r="D95" s="137" t="s">
        <v>150</v>
      </c>
      <c r="E95" s="138"/>
      <c r="F95" s="138"/>
      <c r="G95" s="138"/>
      <c r="H95" s="138"/>
      <c r="I95" s="138"/>
      <c r="J95" s="138"/>
      <c r="K95" s="138"/>
      <c r="L95" s="138"/>
      <c r="M95" s="138"/>
      <c r="N95" s="138"/>
      <c r="O95" s="138"/>
      <c r="P95" s="138"/>
      <c r="Q95" s="138"/>
      <c r="R95" s="138"/>
      <c r="S95" s="138"/>
      <c r="T95" s="138"/>
      <c r="U95" s="139"/>
    </row>
    <row r="96" spans="1:27" ht="97.5" customHeight="1" x14ac:dyDescent="0.2">
      <c r="B96" s="107"/>
      <c r="C96" s="72" t="s">
        <v>67</v>
      </c>
      <c r="D96" s="134" t="s">
        <v>151</v>
      </c>
      <c r="E96" s="135"/>
      <c r="F96" s="135"/>
      <c r="G96" s="135"/>
      <c r="H96" s="135"/>
      <c r="I96" s="135"/>
      <c r="J96" s="135"/>
      <c r="K96" s="135"/>
      <c r="L96" s="135"/>
      <c r="M96" s="135"/>
      <c r="N96" s="135"/>
      <c r="O96" s="135"/>
      <c r="P96" s="135"/>
      <c r="Q96" s="135"/>
      <c r="R96" s="135"/>
      <c r="S96" s="135"/>
      <c r="T96" s="135"/>
      <c r="U96" s="136"/>
    </row>
    <row r="97" spans="1:21" ht="97.5" customHeight="1" x14ac:dyDescent="0.2">
      <c r="B97" s="106" t="s">
        <v>71</v>
      </c>
      <c r="C97" s="68" t="s">
        <v>53</v>
      </c>
      <c r="D97" s="137" t="s">
        <v>152</v>
      </c>
      <c r="E97" s="138"/>
      <c r="F97" s="138"/>
      <c r="G97" s="138"/>
      <c r="H97" s="138"/>
      <c r="I97" s="138"/>
      <c r="J97" s="138"/>
      <c r="K97" s="138"/>
      <c r="L97" s="138"/>
      <c r="M97" s="138"/>
      <c r="N97" s="138"/>
      <c r="O97" s="138"/>
      <c r="P97" s="138"/>
      <c r="Q97" s="138"/>
      <c r="R97" s="138"/>
      <c r="S97" s="138"/>
      <c r="T97" s="138"/>
      <c r="U97" s="139"/>
    </row>
    <row r="98" spans="1:21" ht="97.5" customHeight="1" x14ac:dyDescent="0.2">
      <c r="B98" s="107"/>
      <c r="C98" s="71" t="s">
        <v>55</v>
      </c>
      <c r="D98" s="134" t="s">
        <v>153</v>
      </c>
      <c r="E98" s="135"/>
      <c r="F98" s="135"/>
      <c r="G98" s="135"/>
      <c r="H98" s="135"/>
      <c r="I98" s="135"/>
      <c r="J98" s="135"/>
      <c r="K98" s="135"/>
      <c r="L98" s="135"/>
      <c r="M98" s="135"/>
      <c r="N98" s="135"/>
      <c r="O98" s="135"/>
      <c r="P98" s="135"/>
      <c r="Q98" s="135"/>
      <c r="R98" s="135"/>
      <c r="S98" s="135"/>
      <c r="T98" s="135"/>
      <c r="U98" s="136"/>
    </row>
    <row r="99" spans="1:21" ht="97.5" customHeight="1" x14ac:dyDescent="0.2">
      <c r="B99" s="106" t="s">
        <v>72</v>
      </c>
      <c r="C99" s="70" t="s">
        <v>52</v>
      </c>
      <c r="D99" s="137" t="s">
        <v>187</v>
      </c>
      <c r="E99" s="138"/>
      <c r="F99" s="138"/>
      <c r="G99" s="138"/>
      <c r="H99" s="138"/>
      <c r="I99" s="138"/>
      <c r="J99" s="138"/>
      <c r="K99" s="138"/>
      <c r="L99" s="138"/>
      <c r="M99" s="138"/>
      <c r="N99" s="138"/>
      <c r="O99" s="138"/>
      <c r="P99" s="138"/>
      <c r="Q99" s="138"/>
      <c r="R99" s="138"/>
      <c r="S99" s="138"/>
      <c r="T99" s="138"/>
      <c r="U99" s="139"/>
    </row>
    <row r="100" spans="1:21" ht="97.5" customHeight="1" x14ac:dyDescent="0.2">
      <c r="B100" s="130"/>
      <c r="C100" s="73" t="s">
        <v>68</v>
      </c>
      <c r="D100" s="140" t="s">
        <v>154</v>
      </c>
      <c r="E100" s="141"/>
      <c r="F100" s="141"/>
      <c r="G100" s="141"/>
      <c r="H100" s="141"/>
      <c r="I100" s="141"/>
      <c r="J100" s="141"/>
      <c r="K100" s="141"/>
      <c r="L100" s="141"/>
      <c r="M100" s="141"/>
      <c r="N100" s="141"/>
      <c r="O100" s="141"/>
      <c r="P100" s="141"/>
      <c r="Q100" s="141"/>
      <c r="R100" s="141"/>
      <c r="S100" s="141"/>
      <c r="T100" s="141"/>
      <c r="U100" s="142"/>
    </row>
    <row r="101" spans="1:21" ht="97.5" customHeight="1" x14ac:dyDescent="0.2">
      <c r="B101" s="107"/>
      <c r="C101" s="72" t="s">
        <v>69</v>
      </c>
      <c r="D101" s="134" t="s">
        <v>155</v>
      </c>
      <c r="E101" s="135"/>
      <c r="F101" s="135"/>
      <c r="G101" s="135"/>
      <c r="H101" s="135"/>
      <c r="I101" s="135"/>
      <c r="J101" s="135"/>
      <c r="K101" s="135"/>
      <c r="L101" s="135"/>
      <c r="M101" s="135"/>
      <c r="N101" s="135"/>
      <c r="O101" s="135"/>
      <c r="P101" s="135"/>
      <c r="Q101" s="135"/>
      <c r="R101" s="135"/>
      <c r="S101" s="135"/>
      <c r="T101" s="135"/>
      <c r="U101" s="136"/>
    </row>
    <row r="102" spans="1:21" ht="6" customHeight="1" x14ac:dyDescent="0.2"/>
    <row r="103" spans="1:21" ht="18.75" customHeight="1" x14ac:dyDescent="0.2">
      <c r="A103" s="1" t="s">
        <v>103</v>
      </c>
    </row>
    <row r="104" spans="1:21" ht="81.75" customHeight="1" x14ac:dyDescent="0.2">
      <c r="B104" s="124" t="s">
        <v>156</v>
      </c>
      <c r="C104" s="125"/>
      <c r="D104" s="125"/>
      <c r="E104" s="125"/>
      <c r="F104" s="125"/>
      <c r="G104" s="125"/>
      <c r="H104" s="125"/>
      <c r="I104" s="125"/>
      <c r="J104" s="125"/>
      <c r="K104" s="125"/>
      <c r="L104" s="125"/>
      <c r="M104" s="125"/>
      <c r="N104" s="125"/>
      <c r="O104" s="125"/>
      <c r="P104" s="125"/>
      <c r="Q104" s="125"/>
      <c r="R104" s="125"/>
      <c r="S104" s="125"/>
      <c r="T104" s="125"/>
      <c r="U104" s="126"/>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F51A935-A286-4B77-A508-37EEB5E57070}">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80" zoomScaleNormal="100" zoomScaleSheetLayoutView="100" workbookViewId="0">
      <selection activeCell="C5" sqref="C5:D5"/>
    </sheetView>
  </sheetViews>
  <sheetFormatPr defaultColWidth="9" defaultRowHeight="18.75" customHeight="1" x14ac:dyDescent="0.2"/>
  <cols>
    <col min="1" max="1" width="2.81640625" style="1" customWidth="1"/>
    <col min="2" max="2" width="27.90625" style="1" customWidth="1"/>
    <col min="3" max="18" width="6.08984375" style="1" customWidth="1"/>
    <col min="19" max="19" width="6.63281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92</v>
      </c>
    </row>
    <row r="2" spans="1:21" ht="18" customHeight="1" x14ac:dyDescent="0.2">
      <c r="A2" s="54"/>
      <c r="B2" s="54"/>
      <c r="C2" s="54"/>
      <c r="D2" s="54"/>
      <c r="E2" s="54"/>
      <c r="F2" s="54"/>
      <c r="G2" s="54"/>
      <c r="H2" s="54"/>
      <c r="I2" s="54"/>
      <c r="J2" s="54"/>
      <c r="K2" s="54"/>
      <c r="L2" s="54"/>
      <c r="M2" s="54"/>
      <c r="N2" s="54"/>
      <c r="O2" s="54"/>
      <c r="P2" s="54"/>
      <c r="Q2" s="156" t="str">
        <f>'様式１　プログラムを構成する授業科目'!C2</f>
        <v>富山県立大学</v>
      </c>
      <c r="R2" s="156"/>
      <c r="S2" s="156"/>
    </row>
    <row r="3" spans="1:21" ht="18" customHeight="1" x14ac:dyDescent="0.2">
      <c r="A3" s="114" t="s">
        <v>142</v>
      </c>
      <c r="B3" s="114"/>
      <c r="C3" s="114"/>
      <c r="D3" s="114"/>
      <c r="E3" s="114"/>
      <c r="F3" s="114"/>
      <c r="G3" s="114"/>
      <c r="H3" s="114"/>
      <c r="I3" s="114"/>
      <c r="J3" s="114"/>
      <c r="K3" s="114"/>
      <c r="L3" s="114"/>
      <c r="M3" s="114"/>
      <c r="N3" s="114"/>
      <c r="O3" s="114"/>
      <c r="P3" s="114"/>
      <c r="Q3" s="114"/>
      <c r="R3" s="114"/>
      <c r="S3" s="114"/>
    </row>
    <row r="4" spans="1:21" ht="7.5" customHeight="1" x14ac:dyDescent="0.2">
      <c r="A4" s="56"/>
      <c r="B4" s="56"/>
      <c r="C4" s="56"/>
      <c r="D4" s="56"/>
      <c r="E4" s="56"/>
      <c r="F4" s="56"/>
      <c r="G4" s="56"/>
      <c r="H4" s="56"/>
      <c r="I4" s="56"/>
      <c r="J4" s="56"/>
      <c r="K4" s="56"/>
      <c r="L4" s="56"/>
      <c r="M4" s="56"/>
      <c r="N4" s="56"/>
      <c r="O4" s="56"/>
      <c r="P4" s="56"/>
      <c r="Q4" s="56"/>
      <c r="R4" s="56"/>
      <c r="S4" s="56"/>
    </row>
    <row r="5" spans="1:21" ht="18" customHeight="1" x14ac:dyDescent="0.2">
      <c r="A5" s="54" t="s">
        <v>75</v>
      </c>
      <c r="B5" s="54"/>
      <c r="C5" s="157">
        <v>6</v>
      </c>
      <c r="D5" s="158"/>
      <c r="E5" s="58" t="s">
        <v>125</v>
      </c>
      <c r="F5" s="56"/>
      <c r="G5" s="56"/>
      <c r="H5" s="56"/>
      <c r="I5" s="56"/>
      <c r="J5" s="56"/>
      <c r="K5" s="56"/>
      <c r="L5" s="56"/>
      <c r="M5" s="56"/>
      <c r="N5" s="56"/>
      <c r="O5" s="56"/>
      <c r="P5" s="56"/>
      <c r="Q5" s="56"/>
      <c r="R5" s="55"/>
      <c r="S5" s="55"/>
    </row>
    <row r="6" spans="1:21" ht="7.25" customHeight="1" x14ac:dyDescent="0.2">
      <c r="A6" s="54"/>
      <c r="B6" s="54"/>
      <c r="C6" s="77"/>
      <c r="D6" s="77"/>
      <c r="E6" s="56"/>
      <c r="F6" s="56"/>
      <c r="G6" s="56"/>
      <c r="H6" s="56"/>
      <c r="I6" s="56"/>
      <c r="J6" s="56"/>
      <c r="K6" s="56"/>
      <c r="L6" s="56"/>
      <c r="M6" s="56"/>
      <c r="N6" s="56"/>
      <c r="O6" s="56"/>
      <c r="P6" s="56"/>
      <c r="Q6" s="56"/>
      <c r="R6" s="55"/>
      <c r="S6" s="55"/>
    </row>
    <row r="7" spans="1:21" ht="18" customHeight="1" x14ac:dyDescent="0.2">
      <c r="A7" s="54" t="s">
        <v>109</v>
      </c>
      <c r="B7" s="54"/>
      <c r="C7" s="77"/>
      <c r="D7" s="77"/>
      <c r="E7" s="56" t="s">
        <v>110</v>
      </c>
      <c r="F7" s="59">
        <v>1293</v>
      </c>
      <c r="G7" s="58" t="s">
        <v>111</v>
      </c>
      <c r="H7" s="56" t="s">
        <v>112</v>
      </c>
      <c r="I7" s="59">
        <v>777</v>
      </c>
      <c r="J7" s="58" t="s">
        <v>111</v>
      </c>
      <c r="K7" s="57" t="s">
        <v>113</v>
      </c>
      <c r="L7" s="56" t="s">
        <v>114</v>
      </c>
      <c r="M7" s="59">
        <f>F7+I7</f>
        <v>2070</v>
      </c>
      <c r="N7" s="56" t="s">
        <v>1</v>
      </c>
      <c r="O7" s="58" t="s">
        <v>115</v>
      </c>
      <c r="P7" s="56"/>
      <c r="Q7" s="56"/>
      <c r="R7" s="55"/>
      <c r="S7" s="55"/>
    </row>
    <row r="8" spans="1:21" ht="17.399999999999999" customHeight="1" x14ac:dyDescent="0.2">
      <c r="A8" s="56"/>
      <c r="B8" s="78" t="s">
        <v>128</v>
      </c>
      <c r="C8" s="56"/>
      <c r="D8" s="56"/>
      <c r="E8" s="56"/>
      <c r="F8" s="56"/>
      <c r="G8" s="56"/>
      <c r="H8" s="56"/>
      <c r="I8" s="56"/>
      <c r="J8" s="56"/>
      <c r="K8" s="56"/>
      <c r="L8" s="56"/>
      <c r="M8" s="56"/>
      <c r="N8" s="56"/>
      <c r="O8" s="56"/>
      <c r="P8" s="56"/>
      <c r="Q8" s="56"/>
      <c r="R8" s="56"/>
      <c r="S8" s="56"/>
    </row>
    <row r="9" spans="1:21" ht="18" customHeight="1" x14ac:dyDescent="0.2">
      <c r="A9" s="54" t="s">
        <v>120</v>
      </c>
      <c r="B9" s="56"/>
      <c r="C9" s="56"/>
      <c r="D9" s="56"/>
      <c r="E9" s="56"/>
      <c r="F9" s="56"/>
      <c r="G9" s="56"/>
      <c r="H9" s="56"/>
      <c r="I9" s="56"/>
      <c r="J9" s="56"/>
      <c r="K9" s="56"/>
      <c r="L9" s="56"/>
      <c r="M9" s="56"/>
      <c r="N9" s="56"/>
      <c r="O9" s="56"/>
      <c r="P9" s="56"/>
      <c r="Q9" s="56"/>
      <c r="R9" s="56"/>
      <c r="S9" s="5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9" t="s">
        <v>43</v>
      </c>
      <c r="C11" s="169" t="s">
        <v>78</v>
      </c>
      <c r="D11" s="161" t="s">
        <v>45</v>
      </c>
      <c r="E11" s="163" t="s">
        <v>38</v>
      </c>
      <c r="F11" s="155" t="s">
        <v>126</v>
      </c>
      <c r="G11" s="155"/>
      <c r="H11" s="155" t="s">
        <v>106</v>
      </c>
      <c r="I11" s="155"/>
      <c r="J11" s="155" t="s">
        <v>77</v>
      </c>
      <c r="K11" s="155"/>
      <c r="L11" s="155" t="s">
        <v>46</v>
      </c>
      <c r="M11" s="155"/>
      <c r="N11" s="155" t="s">
        <v>47</v>
      </c>
      <c r="O11" s="155"/>
      <c r="P11" s="155" t="s">
        <v>127</v>
      </c>
      <c r="Q11" s="155"/>
      <c r="R11" s="165" t="s">
        <v>35</v>
      </c>
      <c r="S11" s="167" t="s">
        <v>32</v>
      </c>
      <c r="U11" s="2"/>
    </row>
    <row r="12" spans="1:21" ht="17" customHeight="1" x14ac:dyDescent="0.2">
      <c r="B12" s="160"/>
      <c r="C12" s="170"/>
      <c r="D12" s="162"/>
      <c r="E12" s="164"/>
      <c r="F12" s="79" t="s">
        <v>86</v>
      </c>
      <c r="G12" s="79" t="s">
        <v>29</v>
      </c>
      <c r="H12" s="79" t="s">
        <v>86</v>
      </c>
      <c r="I12" s="79" t="s">
        <v>29</v>
      </c>
      <c r="J12" s="79" t="s">
        <v>86</v>
      </c>
      <c r="K12" s="79" t="s">
        <v>29</v>
      </c>
      <c r="L12" s="79" t="s">
        <v>86</v>
      </c>
      <c r="M12" s="79" t="s">
        <v>29</v>
      </c>
      <c r="N12" s="79" t="s">
        <v>86</v>
      </c>
      <c r="O12" s="79" t="s">
        <v>29</v>
      </c>
      <c r="P12" s="79" t="s">
        <v>86</v>
      </c>
      <c r="Q12" s="80" t="s">
        <v>29</v>
      </c>
      <c r="R12" s="166"/>
      <c r="S12" s="168"/>
      <c r="U12" s="2"/>
    </row>
    <row r="13" spans="1:21" ht="18" customHeight="1" x14ac:dyDescent="0.2">
      <c r="A13" s="6"/>
      <c r="B13" s="48" t="s">
        <v>157</v>
      </c>
      <c r="C13" s="83">
        <v>1419</v>
      </c>
      <c r="D13" s="84">
        <v>235</v>
      </c>
      <c r="E13" s="85">
        <v>1325</v>
      </c>
      <c r="F13" s="85">
        <v>258</v>
      </c>
      <c r="G13" s="85">
        <v>246</v>
      </c>
      <c r="H13" s="38"/>
      <c r="I13" s="38"/>
      <c r="J13" s="38"/>
      <c r="K13" s="38"/>
      <c r="L13" s="38"/>
      <c r="M13" s="38"/>
      <c r="N13" s="38"/>
      <c r="O13" s="38"/>
      <c r="P13" s="38"/>
      <c r="Q13" s="49"/>
      <c r="R13" s="37">
        <f t="shared" ref="R13:R32" si="0">F13+H13+J13+L13+N13+P13</f>
        <v>258</v>
      </c>
      <c r="S13" s="50">
        <f t="shared" ref="S13:S33" si="1">R13/E13</f>
        <v>0.19471698113207547</v>
      </c>
    </row>
    <row r="14" spans="1:21" ht="18" customHeight="1" x14ac:dyDescent="0.2">
      <c r="A14" s="6"/>
      <c r="B14" s="11" t="s">
        <v>158</v>
      </c>
      <c r="C14" s="86">
        <v>171</v>
      </c>
      <c r="D14" s="87">
        <v>160</v>
      </c>
      <c r="E14" s="88">
        <v>640</v>
      </c>
      <c r="F14" s="89">
        <v>171</v>
      </c>
      <c r="G14" s="89">
        <v>164</v>
      </c>
      <c r="H14" s="42"/>
      <c r="I14" s="42"/>
      <c r="J14" s="42"/>
      <c r="K14" s="42"/>
      <c r="L14" s="42"/>
      <c r="M14" s="42"/>
      <c r="N14" s="42"/>
      <c r="O14" s="42"/>
      <c r="P14" s="42"/>
      <c r="Q14" s="39"/>
      <c r="R14" s="40">
        <f t="shared" si="0"/>
        <v>171</v>
      </c>
      <c r="S14" s="16">
        <f t="shared" si="1"/>
        <v>0.26718750000000002</v>
      </c>
    </row>
    <row r="15" spans="1:21" ht="18" customHeight="1" x14ac:dyDescent="0.2">
      <c r="A15" s="6"/>
      <c r="B15" s="11" t="s">
        <v>159</v>
      </c>
      <c r="C15" s="86">
        <v>480</v>
      </c>
      <c r="D15" s="87">
        <v>120</v>
      </c>
      <c r="E15" s="88">
        <v>480</v>
      </c>
      <c r="F15" s="89">
        <v>121</v>
      </c>
      <c r="G15" s="89">
        <v>120</v>
      </c>
      <c r="H15" s="42"/>
      <c r="I15" s="42"/>
      <c r="J15" s="42"/>
      <c r="K15" s="42"/>
      <c r="L15" s="42"/>
      <c r="M15" s="42"/>
      <c r="N15" s="42"/>
      <c r="O15" s="42"/>
      <c r="P15" s="42"/>
      <c r="Q15" s="39"/>
      <c r="R15" s="40">
        <f t="shared" si="0"/>
        <v>121</v>
      </c>
      <c r="S15" s="8">
        <f t="shared" si="1"/>
        <v>0.25208333333333333</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33</v>
      </c>
      <c r="C33" s="45">
        <f t="shared" ref="C33" si="2">SUM(C13:C32)</f>
        <v>2070</v>
      </c>
      <c r="D33" s="46">
        <f t="shared" ref="D33:R33" si="3">SUM(D13:D32)</f>
        <v>515</v>
      </c>
      <c r="E33" s="47">
        <f t="shared" si="3"/>
        <v>2445</v>
      </c>
      <c r="F33" s="47">
        <f t="shared" si="3"/>
        <v>550</v>
      </c>
      <c r="G33" s="47">
        <f t="shared" ref="G33:H33" si="4">SUM(G13:G32)</f>
        <v>530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550</v>
      </c>
      <c r="S33" s="9">
        <f t="shared" si="1"/>
        <v>0.22494887525562371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4"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topLeftCell="A25" zoomScaleNormal="100" zoomScaleSheetLayoutView="100" workbookViewId="0">
      <selection activeCell="B22" sqref="B22:I32"/>
    </sheetView>
  </sheetViews>
  <sheetFormatPr defaultColWidth="11.36328125" defaultRowHeight="18.75" customHeight="1" x14ac:dyDescent="0.2"/>
  <cols>
    <col min="1" max="1" width="2.81640625" style="20" customWidth="1"/>
    <col min="2" max="2" width="16.6328125" style="1" customWidth="1"/>
    <col min="3" max="3" width="8.90625" style="1" customWidth="1"/>
    <col min="4" max="4" width="2.1796875" style="1" customWidth="1"/>
    <col min="5" max="5" width="16.6328125" style="1" customWidth="1"/>
    <col min="6" max="6" width="4.36328125" style="1" customWidth="1"/>
    <col min="7" max="7" width="9" style="1" customWidth="1"/>
    <col min="8" max="8" width="16.6328125" style="1" customWidth="1"/>
    <col min="9" max="9" width="12.08984375" style="1" customWidth="1"/>
    <col min="10" max="16384" width="11.36328125" style="1"/>
  </cols>
  <sheetData>
    <row r="1" spans="1:9" ht="18.75" customHeight="1" x14ac:dyDescent="0.2">
      <c r="A1" s="20" t="s">
        <v>59</v>
      </c>
      <c r="I1" s="18" t="s">
        <v>91</v>
      </c>
    </row>
    <row r="2" spans="1:9" ht="18.75" customHeight="1" x14ac:dyDescent="0.2">
      <c r="G2" s="18" t="s">
        <v>93</v>
      </c>
      <c r="H2" s="103" t="str">
        <f>'様式１　プログラムを構成する授業科目'!C2</f>
        <v>富山県立大学</v>
      </c>
      <c r="I2" s="105"/>
    </row>
    <row r="3" spans="1:9" ht="18.75" customHeight="1" x14ac:dyDescent="0.2">
      <c r="G3" s="18"/>
      <c r="H3" s="10"/>
      <c r="I3" s="10"/>
    </row>
    <row r="4" spans="1:9" ht="18.649999999999999" customHeight="1" x14ac:dyDescent="0.2">
      <c r="A4" s="114" t="s">
        <v>36</v>
      </c>
      <c r="B4" s="114"/>
      <c r="C4" s="114"/>
      <c r="D4" s="114"/>
      <c r="E4" s="114"/>
      <c r="F4" s="114"/>
      <c r="G4" s="114"/>
      <c r="H4" s="114"/>
      <c r="I4" s="114"/>
    </row>
    <row r="5" spans="1:9" ht="13.25" customHeight="1" x14ac:dyDescent="0.2">
      <c r="B5" s="3"/>
      <c r="C5" s="3"/>
      <c r="D5" s="3"/>
      <c r="E5" s="3"/>
      <c r="F5" s="3"/>
      <c r="G5" s="3"/>
      <c r="H5" s="3"/>
      <c r="I5" s="3"/>
    </row>
    <row r="6" spans="1:9" ht="18" customHeight="1" x14ac:dyDescent="0.2">
      <c r="A6" s="1" t="s">
        <v>0</v>
      </c>
      <c r="B6" s="10" t="s">
        <v>81</v>
      </c>
      <c r="C6" s="192" t="s">
        <v>82</v>
      </c>
      <c r="D6" s="192"/>
      <c r="E6" s="17">
        <v>221</v>
      </c>
      <c r="F6" s="3" t="s">
        <v>1</v>
      </c>
      <c r="G6" s="3" t="s">
        <v>2</v>
      </c>
      <c r="H6" s="17">
        <v>188</v>
      </c>
      <c r="I6" s="10" t="s">
        <v>1</v>
      </c>
    </row>
    <row r="7" spans="1:9" ht="12" customHeight="1" x14ac:dyDescent="0.2">
      <c r="C7" s="2"/>
      <c r="D7" s="2"/>
      <c r="E7" s="2"/>
      <c r="F7" s="2"/>
      <c r="G7" s="2"/>
      <c r="H7" s="2"/>
      <c r="I7" s="21"/>
    </row>
    <row r="8" spans="1:9" ht="18" customHeight="1" x14ac:dyDescent="0.2">
      <c r="A8" s="1" t="s">
        <v>3</v>
      </c>
      <c r="B8" s="10" t="s">
        <v>83</v>
      </c>
      <c r="E8" s="3"/>
      <c r="F8" s="3"/>
      <c r="G8" s="3"/>
      <c r="H8" s="17">
        <v>10</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86" t="s">
        <v>160</v>
      </c>
      <c r="D11" s="189"/>
      <c r="E11" s="190"/>
      <c r="F11" s="21"/>
      <c r="G11" s="18" t="s">
        <v>10</v>
      </c>
      <c r="H11" s="186" t="s">
        <v>161</v>
      </c>
      <c r="I11" s="191"/>
    </row>
    <row r="12" spans="1:9" ht="10.25"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86" t="s">
        <v>162</v>
      </c>
      <c r="C14" s="187"/>
      <c r="D14" s="187"/>
      <c r="E14" s="187"/>
      <c r="F14" s="187"/>
      <c r="G14" s="187"/>
      <c r="H14" s="187"/>
      <c r="I14" s="188"/>
    </row>
    <row r="15" spans="1:9" ht="9" customHeight="1" x14ac:dyDescent="0.2">
      <c r="B15" s="3"/>
      <c r="C15" s="3"/>
      <c r="D15" s="3"/>
      <c r="E15" s="3"/>
      <c r="F15" s="3"/>
      <c r="G15" s="3"/>
      <c r="H15" s="3"/>
      <c r="I15" s="3"/>
    </row>
    <row r="16" spans="1:9" ht="18" customHeight="1" x14ac:dyDescent="0.2">
      <c r="B16" s="18" t="s">
        <v>41</v>
      </c>
      <c r="C16" s="186" t="s">
        <v>163</v>
      </c>
      <c r="D16" s="189"/>
      <c r="E16" s="190"/>
      <c r="F16" s="21"/>
      <c r="G16" s="18" t="s">
        <v>10</v>
      </c>
      <c r="H16" s="186" t="s">
        <v>164</v>
      </c>
      <c r="I16" s="190"/>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72" t="s">
        <v>165</v>
      </c>
      <c r="C19" s="173"/>
      <c r="D19" s="173"/>
      <c r="E19" s="173"/>
      <c r="F19" s="173"/>
      <c r="G19" s="173"/>
      <c r="H19" s="173"/>
      <c r="I19" s="174"/>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75" t="s">
        <v>166</v>
      </c>
      <c r="C22" s="176"/>
      <c r="D22" s="176"/>
      <c r="E22" s="176"/>
      <c r="F22" s="176"/>
      <c r="G22" s="176"/>
      <c r="H22" s="176"/>
      <c r="I22" s="177"/>
    </row>
    <row r="23" spans="1:9" ht="18.75" customHeight="1" x14ac:dyDescent="0.2">
      <c r="A23" s="14"/>
      <c r="B23" s="178"/>
      <c r="C23" s="179"/>
      <c r="D23" s="179"/>
      <c r="E23" s="179"/>
      <c r="F23" s="179"/>
      <c r="G23" s="179"/>
      <c r="H23" s="179"/>
      <c r="I23" s="180"/>
    </row>
    <row r="24" spans="1:9" ht="18.75" customHeight="1" x14ac:dyDescent="0.2">
      <c r="A24" s="14"/>
      <c r="B24" s="178"/>
      <c r="C24" s="179"/>
      <c r="D24" s="179"/>
      <c r="E24" s="179"/>
      <c r="F24" s="179"/>
      <c r="G24" s="179"/>
      <c r="H24" s="179"/>
      <c r="I24" s="180"/>
    </row>
    <row r="25" spans="1:9" ht="18.75" customHeight="1" x14ac:dyDescent="0.2">
      <c r="A25" s="14"/>
      <c r="B25" s="178"/>
      <c r="C25" s="179"/>
      <c r="D25" s="179"/>
      <c r="E25" s="179"/>
      <c r="F25" s="179"/>
      <c r="G25" s="179"/>
      <c r="H25" s="179"/>
      <c r="I25" s="180"/>
    </row>
    <row r="26" spans="1:9" ht="18.75" customHeight="1" x14ac:dyDescent="0.2">
      <c r="A26" s="14"/>
      <c r="B26" s="178"/>
      <c r="C26" s="179"/>
      <c r="D26" s="179"/>
      <c r="E26" s="179"/>
      <c r="F26" s="179"/>
      <c r="G26" s="179"/>
      <c r="H26" s="179"/>
      <c r="I26" s="180"/>
    </row>
    <row r="27" spans="1:9" ht="18.75" customHeight="1" x14ac:dyDescent="0.2">
      <c r="A27" s="14"/>
      <c r="B27" s="178"/>
      <c r="C27" s="179"/>
      <c r="D27" s="179"/>
      <c r="E27" s="179"/>
      <c r="F27" s="179"/>
      <c r="G27" s="179"/>
      <c r="H27" s="179"/>
      <c r="I27" s="180"/>
    </row>
    <row r="28" spans="1:9" ht="18.75" customHeight="1" x14ac:dyDescent="0.2">
      <c r="A28" s="14"/>
      <c r="B28" s="178"/>
      <c r="C28" s="179"/>
      <c r="D28" s="179"/>
      <c r="E28" s="179"/>
      <c r="F28" s="179"/>
      <c r="G28" s="179"/>
      <c r="H28" s="179"/>
      <c r="I28" s="180"/>
    </row>
    <row r="29" spans="1:9" ht="18.75" customHeight="1" x14ac:dyDescent="0.2">
      <c r="A29" s="14"/>
      <c r="B29" s="178"/>
      <c r="C29" s="179"/>
      <c r="D29" s="179"/>
      <c r="E29" s="179"/>
      <c r="F29" s="179"/>
      <c r="G29" s="179"/>
      <c r="H29" s="179"/>
      <c r="I29" s="180"/>
    </row>
    <row r="30" spans="1:9" ht="18.75" customHeight="1" x14ac:dyDescent="0.2">
      <c r="A30" s="14"/>
      <c r="B30" s="181"/>
      <c r="C30" s="182"/>
      <c r="D30" s="182"/>
      <c r="E30" s="182"/>
      <c r="F30" s="182"/>
      <c r="G30" s="182"/>
      <c r="H30" s="182"/>
      <c r="I30" s="180"/>
    </row>
    <row r="31" spans="1:9" ht="18.75" customHeight="1" x14ac:dyDescent="0.2">
      <c r="A31" s="14"/>
      <c r="B31" s="181"/>
      <c r="C31" s="182"/>
      <c r="D31" s="182"/>
      <c r="E31" s="182"/>
      <c r="F31" s="182"/>
      <c r="G31" s="182"/>
      <c r="H31" s="182"/>
      <c r="I31" s="180"/>
    </row>
    <row r="32" spans="1:9" ht="18.75" customHeight="1" x14ac:dyDescent="0.2">
      <c r="A32" s="14"/>
      <c r="B32" s="183"/>
      <c r="C32" s="184"/>
      <c r="D32" s="184"/>
      <c r="E32" s="184"/>
      <c r="F32" s="184"/>
      <c r="G32" s="184"/>
      <c r="H32" s="184"/>
      <c r="I32" s="185"/>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75" t="s">
        <v>188</v>
      </c>
      <c r="C35" s="176"/>
      <c r="D35" s="176"/>
      <c r="E35" s="176"/>
      <c r="F35" s="176"/>
      <c r="G35" s="176"/>
      <c r="H35" s="176"/>
      <c r="I35" s="177"/>
    </row>
    <row r="36" spans="1:9" ht="18.75" customHeight="1" x14ac:dyDescent="0.2">
      <c r="A36" s="14"/>
      <c r="B36" s="181"/>
      <c r="C36" s="182"/>
      <c r="D36" s="182"/>
      <c r="E36" s="182"/>
      <c r="F36" s="182"/>
      <c r="G36" s="182"/>
      <c r="H36" s="182"/>
      <c r="I36" s="180"/>
    </row>
    <row r="37" spans="1:9" ht="18.75" customHeight="1" x14ac:dyDescent="0.2">
      <c r="A37" s="14"/>
      <c r="B37" s="181"/>
      <c r="C37" s="182"/>
      <c r="D37" s="182"/>
      <c r="E37" s="182"/>
      <c r="F37" s="182"/>
      <c r="G37" s="182"/>
      <c r="H37" s="182"/>
      <c r="I37" s="180"/>
    </row>
    <row r="38" spans="1:9" ht="18.75" customHeight="1" x14ac:dyDescent="0.2">
      <c r="A38" s="14"/>
      <c r="B38" s="181"/>
      <c r="C38" s="182"/>
      <c r="D38" s="182"/>
      <c r="E38" s="182"/>
      <c r="F38" s="182"/>
      <c r="G38" s="182"/>
      <c r="H38" s="182"/>
      <c r="I38" s="180"/>
    </row>
    <row r="39" spans="1:9" ht="18.75" customHeight="1" x14ac:dyDescent="0.2">
      <c r="A39" s="14"/>
      <c r="B39" s="181"/>
      <c r="C39" s="182"/>
      <c r="D39" s="182"/>
      <c r="E39" s="182"/>
      <c r="F39" s="182"/>
      <c r="G39" s="182"/>
      <c r="H39" s="182"/>
      <c r="I39" s="180"/>
    </row>
    <row r="40" spans="1:9" ht="18.75" customHeight="1" x14ac:dyDescent="0.2">
      <c r="A40" s="14"/>
      <c r="B40" s="181"/>
      <c r="C40" s="182"/>
      <c r="D40" s="182"/>
      <c r="E40" s="182"/>
      <c r="F40" s="182"/>
      <c r="G40" s="182"/>
      <c r="H40" s="182"/>
      <c r="I40" s="180"/>
    </row>
    <row r="41" spans="1:9" ht="18.75" customHeight="1" x14ac:dyDescent="0.2">
      <c r="A41" s="14"/>
      <c r="B41" s="181"/>
      <c r="C41" s="182"/>
      <c r="D41" s="182"/>
      <c r="E41" s="182"/>
      <c r="F41" s="182"/>
      <c r="G41" s="182"/>
      <c r="H41" s="182"/>
      <c r="I41" s="180"/>
    </row>
    <row r="42" spans="1:9" ht="18.75" customHeight="1" x14ac:dyDescent="0.2">
      <c r="A42" s="14"/>
      <c r="B42" s="181"/>
      <c r="C42" s="182"/>
      <c r="D42" s="182"/>
      <c r="E42" s="182"/>
      <c r="F42" s="182"/>
      <c r="G42" s="182"/>
      <c r="H42" s="182"/>
      <c r="I42" s="180"/>
    </row>
    <row r="43" spans="1:9" ht="18.75" customHeight="1" x14ac:dyDescent="0.2">
      <c r="A43" s="14"/>
      <c r="B43" s="181"/>
      <c r="C43" s="182"/>
      <c r="D43" s="182"/>
      <c r="E43" s="182"/>
      <c r="F43" s="182"/>
      <c r="G43" s="182"/>
      <c r="H43" s="182"/>
      <c r="I43" s="180"/>
    </row>
    <row r="44" spans="1:9" ht="18.75" customHeight="1" x14ac:dyDescent="0.2">
      <c r="A44" s="14"/>
      <c r="B44" s="181"/>
      <c r="C44" s="182"/>
      <c r="D44" s="182"/>
      <c r="E44" s="182"/>
      <c r="F44" s="182"/>
      <c r="G44" s="182"/>
      <c r="H44" s="182"/>
      <c r="I44" s="180"/>
    </row>
    <row r="45" spans="1:9" ht="18.75" customHeight="1" x14ac:dyDescent="0.2">
      <c r="A45" s="14"/>
      <c r="B45" s="181"/>
      <c r="C45" s="182"/>
      <c r="D45" s="182"/>
      <c r="E45" s="182"/>
      <c r="F45" s="182"/>
      <c r="G45" s="182"/>
      <c r="H45" s="182"/>
      <c r="I45" s="180"/>
    </row>
    <row r="46" spans="1:9" ht="18.75" customHeight="1" x14ac:dyDescent="0.2">
      <c r="A46" s="14"/>
      <c r="B46" s="183"/>
      <c r="C46" s="184"/>
      <c r="D46" s="184"/>
      <c r="E46" s="184"/>
      <c r="F46" s="184"/>
      <c r="G46" s="184"/>
      <c r="H46" s="184"/>
      <c r="I46" s="185"/>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81" t="s">
        <v>129</v>
      </c>
      <c r="C49" s="214">
        <f>'様式２ 履修者等数の実績'!S33</f>
        <v>0.22494887525562371</v>
      </c>
      <c r="D49" s="214"/>
      <c r="E49" s="81" t="s">
        <v>60</v>
      </c>
      <c r="F49" s="214">
        <v>0.5</v>
      </c>
      <c r="G49" s="214"/>
      <c r="H49" s="81" t="s">
        <v>80</v>
      </c>
      <c r="I49" s="22">
        <v>0.75</v>
      </c>
      <c r="J49" s="1"/>
      <c r="M49" s="1"/>
      <c r="N49" s="23"/>
    </row>
    <row r="50" spans="1:15" s="3" customFormat="1" ht="18.75" customHeight="1" x14ac:dyDescent="0.2">
      <c r="B50" s="82" t="s">
        <v>116</v>
      </c>
      <c r="C50" s="197">
        <v>1</v>
      </c>
      <c r="D50" s="197"/>
      <c r="E50" s="82" t="s">
        <v>130</v>
      </c>
      <c r="F50" s="197">
        <v>1</v>
      </c>
      <c r="G50" s="197"/>
      <c r="H50" s="82" t="s">
        <v>61</v>
      </c>
      <c r="I50" s="24">
        <f>'様式２ 履修者等数の実績'!E33</f>
        <v>2445</v>
      </c>
      <c r="J50" s="1"/>
      <c r="M50" s="1"/>
      <c r="N50" s="23"/>
    </row>
    <row r="51" spans="1:15" ht="18.75" customHeight="1" x14ac:dyDescent="0.2">
      <c r="A51" s="1"/>
      <c r="B51" s="194" t="s">
        <v>62</v>
      </c>
      <c r="C51" s="195"/>
      <c r="D51" s="195"/>
      <c r="E51" s="195"/>
      <c r="F51" s="195"/>
      <c r="G51" s="195"/>
      <c r="H51" s="195"/>
      <c r="I51" s="196"/>
      <c r="N51" s="23"/>
      <c r="O51" s="3"/>
    </row>
    <row r="52" spans="1:15" ht="18.75" customHeight="1" x14ac:dyDescent="0.2">
      <c r="A52" s="1"/>
      <c r="B52" s="215" t="s">
        <v>167</v>
      </c>
      <c r="C52" s="216"/>
      <c r="D52" s="216"/>
      <c r="E52" s="216"/>
      <c r="F52" s="216"/>
      <c r="G52" s="216"/>
      <c r="H52" s="216"/>
      <c r="I52" s="217"/>
      <c r="N52" s="23"/>
      <c r="O52" s="3"/>
    </row>
    <row r="53" spans="1:15" ht="18.75" customHeight="1" x14ac:dyDescent="0.2">
      <c r="A53" s="1"/>
      <c r="B53" s="218"/>
      <c r="C53" s="219"/>
      <c r="D53" s="219"/>
      <c r="E53" s="219"/>
      <c r="F53" s="219"/>
      <c r="G53" s="219"/>
      <c r="H53" s="219"/>
      <c r="I53" s="220"/>
      <c r="N53" s="23"/>
      <c r="O53" s="3"/>
    </row>
    <row r="54" spans="1:15" ht="18.75" customHeight="1" x14ac:dyDescent="0.2">
      <c r="A54" s="1"/>
      <c r="B54" s="218"/>
      <c r="C54" s="219"/>
      <c r="D54" s="219"/>
      <c r="E54" s="219"/>
      <c r="F54" s="219"/>
      <c r="G54" s="219"/>
      <c r="H54" s="219"/>
      <c r="I54" s="220"/>
    </row>
    <row r="55" spans="1:15" ht="18.75" customHeight="1" x14ac:dyDescent="0.2">
      <c r="A55" s="1"/>
      <c r="B55" s="218"/>
      <c r="C55" s="219"/>
      <c r="D55" s="219"/>
      <c r="E55" s="219"/>
      <c r="F55" s="219"/>
      <c r="G55" s="219"/>
      <c r="H55" s="219"/>
      <c r="I55" s="220"/>
    </row>
    <row r="56" spans="1:15" ht="18.75" customHeight="1" x14ac:dyDescent="0.2">
      <c r="A56" s="1"/>
      <c r="B56" s="218"/>
      <c r="C56" s="219"/>
      <c r="D56" s="219"/>
      <c r="E56" s="219"/>
      <c r="F56" s="219"/>
      <c r="G56" s="219"/>
      <c r="H56" s="219"/>
      <c r="I56" s="220"/>
    </row>
    <row r="57" spans="1:15" ht="18.75" customHeight="1" x14ac:dyDescent="0.2">
      <c r="A57" s="1"/>
      <c r="B57" s="218"/>
      <c r="C57" s="219"/>
      <c r="D57" s="219"/>
      <c r="E57" s="219"/>
      <c r="F57" s="219"/>
      <c r="G57" s="219"/>
      <c r="H57" s="219"/>
      <c r="I57" s="220"/>
    </row>
    <row r="58" spans="1:15" ht="18.75" customHeight="1" x14ac:dyDescent="0.2">
      <c r="A58" s="1"/>
      <c r="B58" s="218"/>
      <c r="C58" s="219"/>
      <c r="D58" s="219"/>
      <c r="E58" s="219"/>
      <c r="F58" s="219"/>
      <c r="G58" s="219"/>
      <c r="H58" s="219"/>
      <c r="I58" s="220"/>
    </row>
    <row r="59" spans="1:15" ht="18.75" customHeight="1" x14ac:dyDescent="0.2">
      <c r="A59" s="1"/>
      <c r="B59" s="218"/>
      <c r="C59" s="219"/>
      <c r="D59" s="219"/>
      <c r="E59" s="219"/>
      <c r="F59" s="219"/>
      <c r="G59" s="219"/>
      <c r="H59" s="219"/>
      <c r="I59" s="220"/>
    </row>
    <row r="60" spans="1:15" ht="18.75" customHeight="1" x14ac:dyDescent="0.2">
      <c r="A60" s="1"/>
      <c r="B60" s="218"/>
      <c r="C60" s="219"/>
      <c r="D60" s="219"/>
      <c r="E60" s="219"/>
      <c r="F60" s="219"/>
      <c r="G60" s="219"/>
      <c r="H60" s="219"/>
      <c r="I60" s="220"/>
    </row>
    <row r="61" spans="1:15" ht="18.75" customHeight="1" x14ac:dyDescent="0.2">
      <c r="A61" s="1"/>
      <c r="B61" s="218"/>
      <c r="C61" s="219"/>
      <c r="D61" s="219"/>
      <c r="E61" s="219"/>
      <c r="F61" s="219"/>
      <c r="G61" s="219"/>
      <c r="H61" s="219"/>
      <c r="I61" s="220"/>
    </row>
    <row r="62" spans="1:15" ht="18.75" customHeight="1" x14ac:dyDescent="0.2">
      <c r="A62" s="1"/>
      <c r="B62" s="218"/>
      <c r="C62" s="219"/>
      <c r="D62" s="219"/>
      <c r="E62" s="219"/>
      <c r="F62" s="219"/>
      <c r="G62" s="219"/>
      <c r="H62" s="219"/>
      <c r="I62" s="220"/>
    </row>
    <row r="63" spans="1:15" ht="18.75" customHeight="1" x14ac:dyDescent="0.2">
      <c r="A63" s="1"/>
      <c r="B63" s="221"/>
      <c r="C63" s="222"/>
      <c r="D63" s="222"/>
      <c r="E63" s="222"/>
      <c r="F63" s="222"/>
      <c r="G63" s="222"/>
      <c r="H63" s="222"/>
      <c r="I63" s="223"/>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98" t="s">
        <v>168</v>
      </c>
      <c r="C66" s="199"/>
      <c r="D66" s="199"/>
      <c r="E66" s="199"/>
      <c r="F66" s="199"/>
      <c r="G66" s="199"/>
      <c r="H66" s="199"/>
      <c r="I66" s="200"/>
    </row>
    <row r="67" spans="1:9" ht="18.75" customHeight="1" x14ac:dyDescent="0.2">
      <c r="A67" s="4"/>
      <c r="B67" s="201"/>
      <c r="C67" s="202"/>
      <c r="D67" s="202"/>
      <c r="E67" s="202"/>
      <c r="F67" s="202"/>
      <c r="G67" s="202"/>
      <c r="H67" s="202"/>
      <c r="I67" s="203"/>
    </row>
    <row r="68" spans="1:9" ht="18.75" customHeight="1" x14ac:dyDescent="0.2">
      <c r="A68" s="4"/>
      <c r="B68" s="201"/>
      <c r="C68" s="202"/>
      <c r="D68" s="202"/>
      <c r="E68" s="202"/>
      <c r="F68" s="202"/>
      <c r="G68" s="202"/>
      <c r="H68" s="202"/>
      <c r="I68" s="203"/>
    </row>
    <row r="69" spans="1:9" ht="18.75" customHeight="1" x14ac:dyDescent="0.2">
      <c r="A69" s="4"/>
      <c r="B69" s="201"/>
      <c r="C69" s="202"/>
      <c r="D69" s="202"/>
      <c r="E69" s="202"/>
      <c r="F69" s="202"/>
      <c r="G69" s="202"/>
      <c r="H69" s="202"/>
      <c r="I69" s="203"/>
    </row>
    <row r="70" spans="1:9" ht="18.75" customHeight="1" x14ac:dyDescent="0.2">
      <c r="A70" s="4"/>
      <c r="B70" s="201"/>
      <c r="C70" s="202"/>
      <c r="D70" s="202"/>
      <c r="E70" s="202"/>
      <c r="F70" s="202"/>
      <c r="G70" s="202"/>
      <c r="H70" s="202"/>
      <c r="I70" s="203"/>
    </row>
    <row r="71" spans="1:9" ht="18.75" customHeight="1" x14ac:dyDescent="0.2">
      <c r="A71" s="4"/>
      <c r="B71" s="201"/>
      <c r="C71" s="202"/>
      <c r="D71" s="202"/>
      <c r="E71" s="202"/>
      <c r="F71" s="202"/>
      <c r="G71" s="202"/>
      <c r="H71" s="202"/>
      <c r="I71" s="203"/>
    </row>
    <row r="72" spans="1:9" ht="18.75" customHeight="1" x14ac:dyDescent="0.2">
      <c r="A72" s="4"/>
      <c r="B72" s="201"/>
      <c r="C72" s="202"/>
      <c r="D72" s="202"/>
      <c r="E72" s="202"/>
      <c r="F72" s="202"/>
      <c r="G72" s="202"/>
      <c r="H72" s="202"/>
      <c r="I72" s="203"/>
    </row>
    <row r="73" spans="1:9" ht="18.75" customHeight="1" x14ac:dyDescent="0.2">
      <c r="A73" s="4"/>
      <c r="B73" s="201"/>
      <c r="C73" s="202"/>
      <c r="D73" s="202"/>
      <c r="E73" s="202"/>
      <c r="F73" s="202"/>
      <c r="G73" s="202"/>
      <c r="H73" s="202"/>
      <c r="I73" s="203"/>
    </row>
    <row r="74" spans="1:9" ht="18.75" customHeight="1" x14ac:dyDescent="0.2">
      <c r="A74" s="4"/>
      <c r="B74" s="201"/>
      <c r="C74" s="202"/>
      <c r="D74" s="202"/>
      <c r="E74" s="202"/>
      <c r="F74" s="202"/>
      <c r="G74" s="202"/>
      <c r="H74" s="202"/>
      <c r="I74" s="203"/>
    </row>
    <row r="75" spans="1:9" ht="18.75" customHeight="1" x14ac:dyDescent="0.2">
      <c r="A75" s="4"/>
      <c r="B75" s="201"/>
      <c r="C75" s="202"/>
      <c r="D75" s="202"/>
      <c r="E75" s="202"/>
      <c r="F75" s="202"/>
      <c r="G75" s="202"/>
      <c r="H75" s="202"/>
      <c r="I75" s="203"/>
    </row>
    <row r="76" spans="1:9" ht="18.75" customHeight="1" x14ac:dyDescent="0.2">
      <c r="A76" s="4"/>
      <c r="B76" s="201"/>
      <c r="C76" s="202"/>
      <c r="D76" s="202"/>
      <c r="E76" s="202"/>
      <c r="F76" s="202"/>
      <c r="G76" s="202"/>
      <c r="H76" s="202"/>
      <c r="I76" s="203"/>
    </row>
    <row r="77" spans="1:9" ht="18.75" customHeight="1" x14ac:dyDescent="0.2">
      <c r="A77" s="4"/>
      <c r="B77" s="204"/>
      <c r="C77" s="205"/>
      <c r="D77" s="205"/>
      <c r="E77" s="205"/>
      <c r="F77" s="205"/>
      <c r="G77" s="205"/>
      <c r="H77" s="205"/>
      <c r="I77" s="206"/>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98" t="s">
        <v>169</v>
      </c>
      <c r="C80" s="199"/>
      <c r="D80" s="199"/>
      <c r="E80" s="199"/>
      <c r="F80" s="199"/>
      <c r="G80" s="199"/>
      <c r="H80" s="199"/>
      <c r="I80" s="207"/>
    </row>
    <row r="81" spans="1:9" ht="18.75" customHeight="1" x14ac:dyDescent="0.2">
      <c r="A81" s="1"/>
      <c r="B81" s="208"/>
      <c r="C81" s="209"/>
      <c r="D81" s="209"/>
      <c r="E81" s="209"/>
      <c r="F81" s="209"/>
      <c r="G81" s="209"/>
      <c r="H81" s="209"/>
      <c r="I81" s="210"/>
    </row>
    <row r="82" spans="1:9" ht="18.75" customHeight="1" x14ac:dyDescent="0.2">
      <c r="A82" s="1"/>
      <c r="B82" s="208"/>
      <c r="C82" s="209"/>
      <c r="D82" s="209"/>
      <c r="E82" s="209"/>
      <c r="F82" s="209"/>
      <c r="G82" s="209"/>
      <c r="H82" s="209"/>
      <c r="I82" s="210"/>
    </row>
    <row r="83" spans="1:9" ht="18.75" customHeight="1" x14ac:dyDescent="0.2">
      <c r="A83" s="1"/>
      <c r="B83" s="208"/>
      <c r="C83" s="209"/>
      <c r="D83" s="209"/>
      <c r="E83" s="209"/>
      <c r="F83" s="209"/>
      <c r="G83" s="209"/>
      <c r="H83" s="209"/>
      <c r="I83" s="210"/>
    </row>
    <row r="84" spans="1:9" ht="18.75" customHeight="1" x14ac:dyDescent="0.2">
      <c r="A84" s="1"/>
      <c r="B84" s="208"/>
      <c r="C84" s="209"/>
      <c r="D84" s="209"/>
      <c r="E84" s="209"/>
      <c r="F84" s="209"/>
      <c r="G84" s="209"/>
      <c r="H84" s="209"/>
      <c r="I84" s="210"/>
    </row>
    <row r="85" spans="1:9" ht="18.75" customHeight="1" x14ac:dyDescent="0.2">
      <c r="A85" s="1"/>
      <c r="B85" s="208"/>
      <c r="C85" s="209"/>
      <c r="D85" s="209"/>
      <c r="E85" s="209"/>
      <c r="F85" s="209"/>
      <c r="G85" s="209"/>
      <c r="H85" s="209"/>
      <c r="I85" s="210"/>
    </row>
    <row r="86" spans="1:9" ht="18.75" customHeight="1" x14ac:dyDescent="0.2">
      <c r="A86" s="1"/>
      <c r="B86" s="208"/>
      <c r="C86" s="209"/>
      <c r="D86" s="209"/>
      <c r="E86" s="209"/>
      <c r="F86" s="209"/>
      <c r="G86" s="209"/>
      <c r="H86" s="209"/>
      <c r="I86" s="210"/>
    </row>
    <row r="87" spans="1:9" ht="18.75" customHeight="1" x14ac:dyDescent="0.2">
      <c r="A87" s="1"/>
      <c r="B87" s="208"/>
      <c r="C87" s="209"/>
      <c r="D87" s="209"/>
      <c r="E87" s="209"/>
      <c r="F87" s="209"/>
      <c r="G87" s="209"/>
      <c r="H87" s="209"/>
      <c r="I87" s="210"/>
    </row>
    <row r="88" spans="1:9" ht="18.75" customHeight="1" x14ac:dyDescent="0.2">
      <c r="A88" s="1"/>
      <c r="B88" s="208"/>
      <c r="C88" s="209"/>
      <c r="D88" s="209"/>
      <c r="E88" s="209"/>
      <c r="F88" s="209"/>
      <c r="G88" s="209"/>
      <c r="H88" s="209"/>
      <c r="I88" s="210"/>
    </row>
    <row r="89" spans="1:9" ht="18.75" customHeight="1" x14ac:dyDescent="0.2">
      <c r="A89" s="1"/>
      <c r="B89" s="208"/>
      <c r="C89" s="209"/>
      <c r="D89" s="209"/>
      <c r="E89" s="209"/>
      <c r="F89" s="209"/>
      <c r="G89" s="209"/>
      <c r="H89" s="209"/>
      <c r="I89" s="210"/>
    </row>
    <row r="90" spans="1:9" ht="18.75" customHeight="1" x14ac:dyDescent="0.2">
      <c r="A90" s="4"/>
      <c r="B90" s="208"/>
      <c r="C90" s="209"/>
      <c r="D90" s="209"/>
      <c r="E90" s="209"/>
      <c r="F90" s="209"/>
      <c r="G90" s="209"/>
      <c r="H90" s="209"/>
      <c r="I90" s="210"/>
    </row>
    <row r="91" spans="1:9" ht="9" customHeight="1" x14ac:dyDescent="0.2">
      <c r="A91" s="4"/>
      <c r="B91" s="211"/>
      <c r="C91" s="212"/>
      <c r="D91" s="212"/>
      <c r="E91" s="212"/>
      <c r="F91" s="212"/>
      <c r="G91" s="212"/>
      <c r="H91" s="212"/>
      <c r="I91" s="213"/>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75" t="s">
        <v>170</v>
      </c>
      <c r="C94" s="176"/>
      <c r="D94" s="176"/>
      <c r="E94" s="176"/>
      <c r="F94" s="176"/>
      <c r="G94" s="176"/>
      <c r="H94" s="176"/>
      <c r="I94" s="177"/>
    </row>
    <row r="95" spans="1:9" ht="18.75" customHeight="1" x14ac:dyDescent="0.2">
      <c r="A95" s="1"/>
      <c r="B95" s="181"/>
      <c r="C95" s="182"/>
      <c r="D95" s="182"/>
      <c r="E95" s="182"/>
      <c r="F95" s="182"/>
      <c r="G95" s="182"/>
      <c r="H95" s="182"/>
      <c r="I95" s="180"/>
    </row>
    <row r="96" spans="1:9" ht="18.75" customHeight="1" x14ac:dyDescent="0.2">
      <c r="A96" s="1"/>
      <c r="B96" s="181"/>
      <c r="C96" s="182"/>
      <c r="D96" s="182"/>
      <c r="E96" s="182"/>
      <c r="F96" s="182"/>
      <c r="G96" s="182"/>
      <c r="H96" s="182"/>
      <c r="I96" s="180"/>
    </row>
    <row r="97" spans="1:9" ht="18.75" customHeight="1" x14ac:dyDescent="0.2">
      <c r="A97" s="1"/>
      <c r="B97" s="181"/>
      <c r="C97" s="182"/>
      <c r="D97" s="182"/>
      <c r="E97" s="182"/>
      <c r="F97" s="182"/>
      <c r="G97" s="182"/>
      <c r="H97" s="182"/>
      <c r="I97" s="180"/>
    </row>
    <row r="98" spans="1:9" ht="18.75" customHeight="1" x14ac:dyDescent="0.2">
      <c r="A98" s="1"/>
      <c r="B98" s="181"/>
      <c r="C98" s="182"/>
      <c r="D98" s="182"/>
      <c r="E98" s="182"/>
      <c r="F98" s="182"/>
      <c r="G98" s="182"/>
      <c r="H98" s="182"/>
      <c r="I98" s="180"/>
    </row>
    <row r="99" spans="1:9" ht="18.75" customHeight="1" x14ac:dyDescent="0.2">
      <c r="A99" s="1"/>
      <c r="B99" s="181"/>
      <c r="C99" s="182"/>
      <c r="D99" s="182"/>
      <c r="E99" s="182"/>
      <c r="F99" s="182"/>
      <c r="G99" s="182"/>
      <c r="H99" s="182"/>
      <c r="I99" s="180"/>
    </row>
    <row r="100" spans="1:9" ht="18.75" customHeight="1" x14ac:dyDescent="0.2">
      <c r="A100" s="1"/>
      <c r="B100" s="181"/>
      <c r="C100" s="182"/>
      <c r="D100" s="182"/>
      <c r="E100" s="182"/>
      <c r="F100" s="182"/>
      <c r="G100" s="182"/>
      <c r="H100" s="182"/>
      <c r="I100" s="180"/>
    </row>
    <row r="101" spans="1:9" ht="18.75" customHeight="1" x14ac:dyDescent="0.2">
      <c r="A101" s="1"/>
      <c r="B101" s="181"/>
      <c r="C101" s="182"/>
      <c r="D101" s="182"/>
      <c r="E101" s="182"/>
      <c r="F101" s="182"/>
      <c r="G101" s="182"/>
      <c r="H101" s="182"/>
      <c r="I101" s="180"/>
    </row>
    <row r="102" spans="1:9" ht="18.75" customHeight="1" x14ac:dyDescent="0.2">
      <c r="A102" s="1"/>
      <c r="B102" s="181"/>
      <c r="C102" s="182"/>
      <c r="D102" s="182"/>
      <c r="E102" s="182"/>
      <c r="F102" s="182"/>
      <c r="G102" s="182"/>
      <c r="H102" s="182"/>
      <c r="I102" s="180"/>
    </row>
    <row r="103" spans="1:9" ht="18.75" customHeight="1" x14ac:dyDescent="0.2">
      <c r="A103" s="1"/>
      <c r="B103" s="181"/>
      <c r="C103" s="182"/>
      <c r="D103" s="182"/>
      <c r="E103" s="182"/>
      <c r="F103" s="182"/>
      <c r="G103" s="182"/>
      <c r="H103" s="182"/>
      <c r="I103" s="180"/>
    </row>
    <row r="104" spans="1:9" ht="18.75" customHeight="1" x14ac:dyDescent="0.2">
      <c r="A104" s="1"/>
      <c r="B104" s="181"/>
      <c r="C104" s="182"/>
      <c r="D104" s="182"/>
      <c r="E104" s="182"/>
      <c r="F104" s="182"/>
      <c r="G104" s="182"/>
      <c r="H104" s="182"/>
      <c r="I104" s="180"/>
    </row>
    <row r="105" spans="1:9" ht="18.75" customHeight="1" x14ac:dyDescent="0.2">
      <c r="A105" s="4"/>
      <c r="B105" s="183"/>
      <c r="C105" s="184"/>
      <c r="D105" s="184"/>
      <c r="E105" s="184"/>
      <c r="F105" s="184"/>
      <c r="G105" s="184"/>
      <c r="H105" s="184"/>
      <c r="I105" s="185"/>
    </row>
    <row r="106" spans="1:9" ht="7.5" customHeight="1" x14ac:dyDescent="0.2">
      <c r="A106" s="4"/>
      <c r="B106" s="4"/>
      <c r="C106" s="4"/>
      <c r="D106" s="4"/>
      <c r="E106" s="4"/>
      <c r="F106" s="4"/>
      <c r="G106" s="4"/>
      <c r="H106" s="4"/>
      <c r="I106" s="4"/>
    </row>
    <row r="107" spans="1:9" ht="18.75" customHeight="1" x14ac:dyDescent="0.2">
      <c r="A107" s="1" t="s">
        <v>30</v>
      </c>
      <c r="B107" s="193" t="s">
        <v>44</v>
      </c>
      <c r="C107" s="193"/>
      <c r="D107" s="193"/>
      <c r="E107" s="193"/>
      <c r="F107" s="193"/>
      <c r="G107" s="193"/>
      <c r="H107" s="193"/>
      <c r="I107" s="193"/>
    </row>
    <row r="108" spans="1:9" ht="18.75" customHeight="1" x14ac:dyDescent="0.2">
      <c r="A108" s="4"/>
      <c r="B108" s="175" t="s">
        <v>171</v>
      </c>
      <c r="C108" s="176"/>
      <c r="D108" s="176"/>
      <c r="E108" s="176"/>
      <c r="F108" s="176"/>
      <c r="G108" s="176"/>
      <c r="H108" s="176"/>
      <c r="I108" s="177"/>
    </row>
    <row r="109" spans="1:9" ht="18.75" customHeight="1" x14ac:dyDescent="0.2">
      <c r="A109" s="4"/>
      <c r="B109" s="181"/>
      <c r="C109" s="182"/>
      <c r="D109" s="182"/>
      <c r="E109" s="182"/>
      <c r="F109" s="182"/>
      <c r="G109" s="182"/>
      <c r="H109" s="182"/>
      <c r="I109" s="180"/>
    </row>
    <row r="110" spans="1:9" ht="18.75" customHeight="1" x14ac:dyDescent="0.2">
      <c r="A110" s="4"/>
      <c r="B110" s="181"/>
      <c r="C110" s="182"/>
      <c r="D110" s="182"/>
      <c r="E110" s="182"/>
      <c r="F110" s="182"/>
      <c r="G110" s="182"/>
      <c r="H110" s="182"/>
      <c r="I110" s="180"/>
    </row>
    <row r="111" spans="1:9" ht="18.75" customHeight="1" x14ac:dyDescent="0.2">
      <c r="A111" s="4"/>
      <c r="B111" s="181"/>
      <c r="C111" s="182"/>
      <c r="D111" s="182"/>
      <c r="E111" s="182"/>
      <c r="F111" s="182"/>
      <c r="G111" s="182"/>
      <c r="H111" s="182"/>
      <c r="I111" s="180"/>
    </row>
    <row r="112" spans="1:9" ht="18.75" customHeight="1" x14ac:dyDescent="0.2">
      <c r="A112" s="4"/>
      <c r="B112" s="181"/>
      <c r="C112" s="182"/>
      <c r="D112" s="182"/>
      <c r="E112" s="182"/>
      <c r="F112" s="182"/>
      <c r="G112" s="182"/>
      <c r="H112" s="182"/>
      <c r="I112" s="180"/>
    </row>
    <row r="113" spans="1:9" ht="18.75" customHeight="1" x14ac:dyDescent="0.2">
      <c r="A113" s="4"/>
      <c r="B113" s="181"/>
      <c r="C113" s="182"/>
      <c r="D113" s="182"/>
      <c r="E113" s="182"/>
      <c r="F113" s="182"/>
      <c r="G113" s="182"/>
      <c r="H113" s="182"/>
      <c r="I113" s="180"/>
    </row>
    <row r="114" spans="1:9" ht="18.75" customHeight="1" x14ac:dyDescent="0.2">
      <c r="A114" s="4"/>
      <c r="B114" s="181"/>
      <c r="C114" s="182"/>
      <c r="D114" s="182"/>
      <c r="E114" s="182"/>
      <c r="F114" s="182"/>
      <c r="G114" s="182"/>
      <c r="H114" s="182"/>
      <c r="I114" s="180"/>
    </row>
    <row r="115" spans="1:9" ht="18.75" customHeight="1" x14ac:dyDescent="0.2">
      <c r="A115" s="4"/>
      <c r="B115" s="181"/>
      <c r="C115" s="182"/>
      <c r="D115" s="182"/>
      <c r="E115" s="182"/>
      <c r="F115" s="182"/>
      <c r="G115" s="182"/>
      <c r="H115" s="182"/>
      <c r="I115" s="180"/>
    </row>
    <row r="116" spans="1:9" ht="18.75" customHeight="1" x14ac:dyDescent="0.2">
      <c r="A116" s="4"/>
      <c r="B116" s="181"/>
      <c r="C116" s="182"/>
      <c r="D116" s="182"/>
      <c r="E116" s="182"/>
      <c r="F116" s="182"/>
      <c r="G116" s="182"/>
      <c r="H116" s="182"/>
      <c r="I116" s="180"/>
    </row>
    <row r="117" spans="1:9" ht="18.75" customHeight="1" x14ac:dyDescent="0.2">
      <c r="A117" s="4"/>
      <c r="B117" s="181"/>
      <c r="C117" s="182"/>
      <c r="D117" s="182"/>
      <c r="E117" s="182"/>
      <c r="F117" s="182"/>
      <c r="G117" s="182"/>
      <c r="H117" s="182"/>
      <c r="I117" s="180"/>
    </row>
    <row r="118" spans="1:9" ht="18.75" customHeight="1" x14ac:dyDescent="0.2">
      <c r="A118" s="4"/>
      <c r="B118" s="181"/>
      <c r="C118" s="182"/>
      <c r="D118" s="182"/>
      <c r="E118" s="182"/>
      <c r="F118" s="182"/>
      <c r="G118" s="182"/>
      <c r="H118" s="182"/>
      <c r="I118" s="180"/>
    </row>
    <row r="119" spans="1:9" ht="18.75" customHeight="1" x14ac:dyDescent="0.2">
      <c r="A119" s="4"/>
      <c r="B119" s="183"/>
      <c r="C119" s="184"/>
      <c r="D119" s="184"/>
      <c r="E119" s="184"/>
      <c r="F119" s="184"/>
      <c r="G119" s="184"/>
      <c r="H119" s="184"/>
      <c r="I119" s="185"/>
    </row>
    <row r="120" spans="1:9" ht="7.5" customHeight="1" x14ac:dyDescent="0.2">
      <c r="A120" s="4"/>
      <c r="B120" s="25"/>
      <c r="C120" s="25"/>
      <c r="D120" s="25"/>
      <c r="E120" s="25"/>
      <c r="F120" s="25"/>
      <c r="G120" s="25"/>
      <c r="H120" s="25"/>
      <c r="I120" s="25"/>
    </row>
    <row r="121" spans="1:9" ht="18.75" customHeight="1" x14ac:dyDescent="0.2">
      <c r="A121" s="51"/>
      <c r="B121" s="171"/>
      <c r="C121" s="171"/>
      <c r="D121" s="171"/>
      <c r="E121" s="171"/>
      <c r="F121" s="171"/>
      <c r="G121" s="171"/>
      <c r="H121" s="171"/>
      <c r="I121" s="171"/>
    </row>
    <row r="122" spans="1:9" ht="18.75" customHeight="1" x14ac:dyDescent="0.2">
      <c r="A122" s="51"/>
      <c r="B122" s="171"/>
      <c r="C122" s="171"/>
      <c r="D122" s="171"/>
      <c r="E122" s="171"/>
      <c r="F122" s="171"/>
      <c r="G122" s="171"/>
      <c r="H122" s="171"/>
      <c r="I122" s="171"/>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21" zoomScale="90" zoomScaleNormal="100" zoomScaleSheetLayoutView="90" workbookViewId="0">
      <selection activeCell="E22" sqref="E22:I22"/>
    </sheetView>
  </sheetViews>
  <sheetFormatPr defaultColWidth="11.36328125" defaultRowHeight="22.5" customHeight="1" x14ac:dyDescent="0.2"/>
  <cols>
    <col min="1" max="3" width="2.81640625" style="1" customWidth="1"/>
    <col min="4" max="4" width="22.1796875" style="1" customWidth="1"/>
    <col min="5" max="5" width="30.81640625" style="1" customWidth="1"/>
    <col min="6" max="7" width="7.81640625" style="1" customWidth="1"/>
    <col min="8" max="9" width="30.81640625" style="1" customWidth="1"/>
    <col min="10" max="10" width="4.08984375" style="1" customWidth="1"/>
    <col min="11" max="16384" width="11.36328125" style="1"/>
  </cols>
  <sheetData>
    <row r="1" spans="1:9" ht="18.75" customHeight="1" x14ac:dyDescent="0.2">
      <c r="A1" s="1" t="s">
        <v>63</v>
      </c>
      <c r="I1" s="18" t="s">
        <v>90</v>
      </c>
    </row>
    <row r="2" spans="1:9" ht="18.75" customHeight="1" x14ac:dyDescent="0.2">
      <c r="H2" s="18" t="s">
        <v>93</v>
      </c>
      <c r="I2" s="17" t="str">
        <f>'様式１　プログラムを構成する授業科目'!C2</f>
        <v>富山県立大学</v>
      </c>
    </row>
    <row r="3" spans="1:9" ht="18.75" customHeight="1" x14ac:dyDescent="0.2">
      <c r="A3" s="114" t="s">
        <v>28</v>
      </c>
      <c r="B3" s="114"/>
      <c r="C3" s="114"/>
      <c r="D3" s="114"/>
      <c r="E3" s="114"/>
      <c r="F3" s="114"/>
      <c r="G3" s="114"/>
      <c r="H3" s="114"/>
      <c r="I3" s="114"/>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86" t="s">
        <v>172</v>
      </c>
      <c r="C6" s="231"/>
      <c r="D6" s="231"/>
      <c r="E6" s="231"/>
      <c r="F6" s="231"/>
      <c r="G6" s="231"/>
      <c r="H6" s="191"/>
      <c r="I6" s="3"/>
    </row>
    <row r="7" spans="1:9" ht="9" customHeight="1" x14ac:dyDescent="0.2">
      <c r="A7" s="5"/>
      <c r="B7" s="10"/>
      <c r="C7" s="10"/>
      <c r="D7" s="10"/>
      <c r="E7" s="10"/>
      <c r="F7" s="10"/>
      <c r="G7" s="10"/>
      <c r="H7" s="10"/>
      <c r="I7" s="3"/>
    </row>
    <row r="8" spans="1:9" ht="18.75" customHeight="1" x14ac:dyDescent="0.2">
      <c r="A8" s="5"/>
      <c r="B8" s="3"/>
      <c r="C8" s="3"/>
      <c r="D8" s="18" t="s">
        <v>41</v>
      </c>
      <c r="E8" s="19" t="s">
        <v>173</v>
      </c>
      <c r="F8" s="3"/>
      <c r="G8" s="18" t="s">
        <v>10</v>
      </c>
      <c r="H8" s="19" t="s">
        <v>174</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103" t="s">
        <v>24</v>
      </c>
      <c r="C11" s="104"/>
      <c r="D11" s="105"/>
      <c r="E11" s="104" t="s">
        <v>26</v>
      </c>
      <c r="F11" s="104"/>
      <c r="G11" s="104"/>
      <c r="H11" s="104"/>
      <c r="I11" s="105"/>
    </row>
    <row r="12" spans="1:9" ht="26.25" customHeight="1" x14ac:dyDescent="0.2">
      <c r="B12" s="26" t="s">
        <v>14</v>
      </c>
      <c r="C12" s="33"/>
      <c r="D12" s="27"/>
      <c r="E12" s="34"/>
      <c r="F12" s="34"/>
      <c r="G12" s="34"/>
      <c r="H12" s="34"/>
      <c r="I12" s="27"/>
    </row>
    <row r="13" spans="1:9" ht="78" customHeight="1" x14ac:dyDescent="0.2">
      <c r="B13" s="28"/>
      <c r="C13" s="229" t="s">
        <v>15</v>
      </c>
      <c r="D13" s="230"/>
      <c r="E13" s="226" t="s">
        <v>175</v>
      </c>
      <c r="F13" s="227"/>
      <c r="G13" s="227"/>
      <c r="H13" s="227"/>
      <c r="I13" s="228"/>
    </row>
    <row r="14" spans="1:9" ht="97.5" customHeight="1" x14ac:dyDescent="0.2">
      <c r="B14" s="28"/>
      <c r="C14" s="224" t="s">
        <v>16</v>
      </c>
      <c r="D14" s="225"/>
      <c r="E14" s="226" t="s">
        <v>176</v>
      </c>
      <c r="F14" s="227"/>
      <c r="G14" s="227"/>
      <c r="H14" s="227"/>
      <c r="I14" s="228"/>
    </row>
    <row r="15" spans="1:9" ht="84" customHeight="1" x14ac:dyDescent="0.2">
      <c r="B15" s="28"/>
      <c r="C15" s="229" t="s">
        <v>17</v>
      </c>
      <c r="D15" s="230"/>
      <c r="E15" s="226" t="s">
        <v>177</v>
      </c>
      <c r="F15" s="227"/>
      <c r="G15" s="227"/>
      <c r="H15" s="227"/>
      <c r="I15" s="228"/>
    </row>
    <row r="16" spans="1:9" ht="96.5" customHeight="1" x14ac:dyDescent="0.2">
      <c r="B16" s="28"/>
      <c r="C16" s="229" t="s">
        <v>18</v>
      </c>
      <c r="D16" s="230"/>
      <c r="E16" s="226" t="s">
        <v>178</v>
      </c>
      <c r="F16" s="227"/>
      <c r="G16" s="227"/>
      <c r="H16" s="227"/>
      <c r="I16" s="228"/>
    </row>
    <row r="17" spans="2:9" ht="102" customHeight="1" x14ac:dyDescent="0.2">
      <c r="B17" s="29"/>
      <c r="C17" s="232" t="s">
        <v>19</v>
      </c>
      <c r="D17" s="233"/>
      <c r="E17" s="234" t="s">
        <v>179</v>
      </c>
      <c r="F17" s="235"/>
      <c r="G17" s="235"/>
      <c r="H17" s="235"/>
      <c r="I17" s="236"/>
    </row>
    <row r="18" spans="2:9" ht="24" customHeight="1" x14ac:dyDescent="0.2">
      <c r="B18" s="26" t="s">
        <v>20</v>
      </c>
      <c r="C18" s="30"/>
      <c r="D18" s="31"/>
      <c r="E18" s="32"/>
      <c r="F18" s="32"/>
      <c r="G18" s="32"/>
      <c r="H18" s="32"/>
      <c r="I18" s="35"/>
    </row>
    <row r="19" spans="2:9" ht="80.5" customHeight="1" x14ac:dyDescent="0.2">
      <c r="B19" s="28"/>
      <c r="C19" s="229" t="s">
        <v>21</v>
      </c>
      <c r="D19" s="230"/>
      <c r="E19" s="243" t="s">
        <v>180</v>
      </c>
      <c r="F19" s="244"/>
      <c r="G19" s="244"/>
      <c r="H19" s="244"/>
      <c r="I19" s="245"/>
    </row>
    <row r="20" spans="2:9" ht="98" customHeight="1" x14ac:dyDescent="0.2">
      <c r="B20" s="29"/>
      <c r="C20" s="232" t="s">
        <v>22</v>
      </c>
      <c r="D20" s="233"/>
      <c r="E20" s="240" t="s">
        <v>181</v>
      </c>
      <c r="F20" s="241"/>
      <c r="G20" s="241"/>
      <c r="H20" s="241"/>
      <c r="I20" s="242"/>
    </row>
    <row r="21" spans="2:9" ht="130" customHeight="1" x14ac:dyDescent="0.2">
      <c r="B21" s="246" t="s">
        <v>23</v>
      </c>
      <c r="C21" s="247"/>
      <c r="D21" s="248"/>
      <c r="E21" s="249" t="s">
        <v>182</v>
      </c>
      <c r="F21" s="250"/>
      <c r="G21" s="250"/>
      <c r="H21" s="250"/>
      <c r="I21" s="251"/>
    </row>
    <row r="22" spans="2:9" ht="190" customHeight="1" x14ac:dyDescent="0.2">
      <c r="B22" s="237" t="s">
        <v>121</v>
      </c>
      <c r="C22" s="238"/>
      <c r="D22" s="239"/>
      <c r="E22" s="240" t="s">
        <v>183</v>
      </c>
      <c r="F22" s="241"/>
      <c r="G22" s="241"/>
      <c r="H22" s="241"/>
      <c r="I22" s="242"/>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教務係　関</dc:creator>
  <cp:lastModifiedBy>関　佑矩</cp:lastModifiedBy>
  <cp:lastPrinted>2025-06-05T01:17:50Z</cp:lastPrinted>
  <dcterms:created xsi:type="dcterms:W3CDTF">2011-06-14T05:32:50Z</dcterms:created>
  <dcterms:modified xsi:type="dcterms:W3CDTF">2025-06-05T02:28:01Z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