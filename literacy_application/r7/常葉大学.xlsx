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Users\YAMADA Masatoshi\Documents\02学務\02教務委員会\★数理データサイエンス・AI教育（文部科学省）\★（令和7年度）申請書類について\★★★★（再提出）MDASH（最終提出バージョン）\常葉大学（再提出）\常葉大学_再提出_0703\"/>
    </mc:Choice>
  </mc:AlternateContent>
  <xr:revisionPtr revIDLastSave="0" documentId="13_ncr:1_{33275EAA-98B1-492D-82AF-335F914AFD82}" xr6:coauthVersionLast="47" xr6:coauthVersionMax="47" xr10:uidLastSave="{00000000-0000-0000-0000-000000000000}"/>
  <bookViews>
    <workbookView xWindow="-110" yWindow="-110" windowWidth="21820" windowHeight="139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<sst xmlns="http://schemas.openxmlformats.org/spreadsheetml/2006/main" count="299" uniqueCount="193">
  <si>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</si>
  <si>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</si>
  <si>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</si>
  <si>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常葉大学</t>
    <rPh sb="0" eb="4">
      <t>トコハダイガク</t>
    </rPh>
    <phoneticPr fontId="1"/>
  </si>
  <si>
    <t>プログラム名</t>
    <rPh sb="5" eb="6">
      <t>メイ</t>
    </rPh>
    <phoneticPr fontId="1"/>
  </si>
  <si>
    <t>常葉大学 数理・データサイエンス・AI教育プログラム</t>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</si>
  <si>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</si>
  <si>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</si>
  <si>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</si>
  <si>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</si>
  <si>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</si>
  <si>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全学必修科目の「情報リテラシーⅠ（前期1単位） 」および「情報リテラシーⅡ（後期1単位）」の2単位を履修し修得すること。</t>
  </si>
  <si>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</si>
  <si>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</si>
  <si>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</si>
  <si>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</si>
  <si>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</si>
  <si>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</si>
  <si>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</si>
  <si>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</si>
  <si>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</si>
  <si>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</si>
  <si>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</si>
  <si>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</si>
  <si>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</si>
  <si>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</si>
  <si>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情報リテラシーⅠ</t>
  </si>
  <si>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</si>
  <si>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</si>
  <si>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</si>
  <si>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</si>
  <si>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情報リテラシーⅡ</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</si>
  <si>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</si>
  <si>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</si>
  <si>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</si>
  <si>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</si>
  <si>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</si>
  <si>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</si>
  <si>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</si>
  <si>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</si>
  <si>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</si>
  <si>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</si>
  <si>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</si>
  <si>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</si>
  <si>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</si>
  <si>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</si>
  <si>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</si>
  <si>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</si>
  <si>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</si>
  <si>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</si>
  <si>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</si>
  <si>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</si>
  <si>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</si>
  <si>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</si>
  <si>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</si>
  <si>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</si>
  <si>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</si>
  <si>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</si>
  <si>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</si>
  <si>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</si>
  <si>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</si>
  <si>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</si>
  <si>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</si>
  <si>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</si>
  <si>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</si>
  <si>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ICTを利活用した課題解決のための基礎的素養と、数理・データサイエンス・AIに関する基礎的な理解力を修得すること</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</si>
  <si>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</si>
  <si>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</si>
  <si>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</si>
  <si>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令和6</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</si>
  <si>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</si>
  <si>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</si>
  <si>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</si>
  <si>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</si>
  <si>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</si>
  <si>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</si>
  <si>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</si>
  <si>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</si>
  <si>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</si>
  <si>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</si>
  <si>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</si>
  <si>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</si>
  <si>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</si>
  <si>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</si>
  <si>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</si>
  <si>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</si>
  <si>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</si>
  <si>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</si>
  <si>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</si>
  <si>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</si>
  <si>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</si>
  <si>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</si>
  <si>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</si>
  <si>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</si>
  <si>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</si>
  <si>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教育学部</t>
    <rPh sb="0" eb="4">
      <t>キョウイクガクブ</t>
    </rPh>
    <phoneticPr fontId="1"/>
  </si>
  <si>
    <t>外国語学部</t>
    <rPh sb="0" eb="5">
      <t>ガイコクゴガクブ</t>
    </rPh>
    <phoneticPr fontId="1"/>
  </si>
  <si>
    <t>経営学部</t>
    <rPh sb="0" eb="4">
      <t>ケイエイガクブ</t>
    </rPh>
    <phoneticPr fontId="1"/>
  </si>
  <si>
    <t>社会環境学部</t>
    <rPh sb="0" eb="6">
      <t>シャカイカンキョウガクブ</t>
    </rPh>
    <phoneticPr fontId="1"/>
  </si>
  <si>
    <t>保育学部</t>
    <rPh sb="0" eb="4">
      <t>ホイクガクブ</t>
    </rPh>
    <phoneticPr fontId="1"/>
  </si>
  <si>
    <t>造形学部</t>
    <rPh sb="0" eb="4">
      <t>ゾウケイガクブ</t>
    </rPh>
    <phoneticPr fontId="1"/>
  </si>
  <si>
    <t>法学部</t>
    <rPh sb="0" eb="3">
      <t>ホウガクブ</t>
    </rPh>
    <phoneticPr fontId="1"/>
  </si>
  <si>
    <t>健康科学部</t>
    <rPh sb="0" eb="5">
      <t>ケンコウカガクブ</t>
    </rPh>
    <phoneticPr fontId="1"/>
  </si>
  <si>
    <t>健康プロデュース学部</t>
    <rPh sb="0" eb="2">
      <t>ケンコウ</t>
    </rPh>
    <rPh sb="8" eb="10">
      <t>ガクブ</t>
    </rPh>
    <phoneticPr fontId="1"/>
  </si>
  <si>
    <t>保健医療学部</t>
    <rPh sb="0" eb="6">
      <t>ホケンイリョウガクブ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</si>
  <si>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</si>
  <si>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</si>
  <si>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</si>
  <si>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</si>
  <si>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</si>
  <si>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</si>
  <si>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</si>
  <si>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</si>
  <si>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</si>
  <si>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</si>
  <si>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</si>
  <si>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</si>
  <si>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</si>
  <si>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安藤　雅之</t>
  </si>
  <si>
    <t>（役職名）</t>
    <rPh sb="1" eb="4">
      <t>ヤクショクメイ</t>
    </rPh>
    <phoneticPr fontId="1"/>
  </si>
  <si>
    <t>副学長・委員長</t>
  </si>
  <si>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</si>
  <si>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</si>
  <si>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</si>
  <si>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</si>
  <si>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</si>
  <si>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</si>
  <si>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本プログラムは、常葉大学の教養教育科目において必修科目として学生に提供されている。教養教育科目のプログラムの自己点検・評価についての責任は、教養教育運営委員会規程のもと、同委員会が実施する。次に、本プログラムの所掌についても、教養教育運営委員会が責任をもって教育プログラムの自己点検・評価の責任を持つ。さらに、数理・データサイエンス・AI教育の専門性の観点から、本教育プログラムの改善・進化については、教養教育運営委員会で検討することに加えて、文部科学省事業「大学の数理及びデータサイエンス教育の全国展開」の協力校として採択を受けた国立大学法人静岡大学大学教育センターと契約を交わし、密に情報の交換を行いながら学生に対して質を保証した当該授業の提供を行っている。</t>
    <phoneticPr fontId="1"/>
  </si>
  <si>
    <t>⑦</t>
    <phoneticPr fontId="1"/>
  </si>
  <si>
    <t>具体的な構成員</t>
    <rPh sb="0" eb="3">
      <t>グタイテキ</t>
    </rPh>
    <rPh sb="4" eb="7">
      <t>コウセイイン</t>
    </rPh>
    <phoneticPr fontId="1"/>
  </si>
  <si>
    <t>教養教育運営委員会
・運営委員長　副学長（教学実施推進）　安藤　雅之
・副運営委員長　教務部長　笛木　茂雄
・副運営委員長　教務部課長　栗田　真典
・運営委員（外国語関係）　英米語学科長　新妻　明子
・運営委員（情報関係）　WG（数理・データサイエンス・AI）長　出口　憲
・運営委員（体育関係）　教育学部　木宮　敬信
・運営委員（キャリア関係）　キャリアサポートセンター長　土村　宜明
・運営委員（その他の科目）　副教務部長（静岡水落）　千葉　のり子
・運営委員（その他の科目）　副教務部長（静岡草薙・静岡瀬名）　鈴木　和正
・運営委員（その他の科目）　副教務部長（浜松）　池谷　昌枝
・運営委員（時間割関係）　草薙教務課主任　中村　紘衣
・運営委員（時間割関係）　水落教務課主任　杉本　智美
・運営委員（時間割関係）　浜松教務課　塩﨑　稜</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</si>
  <si>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</si>
  <si>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</si>
  <si>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</si>
  <si>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</si>
  <si>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</si>
  <si>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</si>
  <si>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</si>
  <si>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</si>
  <si>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</si>
  <si>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各年度（5年間）の履修者数の実績、および目標は以下の通り。
・令和6年度　1,993名（令和6年度履修者実績）
・令和7年度　1,962名（令和7年度入学者数）
・令和8年度　1,995名（令和8年度入学定員数、予定）
・令和9年度　1,995名（令和9年度入学定員数、予定）
・令和10年度　1,995名（令和10年度入学定員数、予定）
目標を実現するために、プログラムを構成する授業科目に1年次全学必修科目の「情報リテラシーⅠ」と「情報リテラシーⅡ」を設定し、学生のプログラム履修を促進している。したがって、各年度の履修者数予定については入学者ベースとなる。必修科目のため、基礎教育センターにおける当該授業のサポートや、授業内外での質問対応の受付、静岡大学と契約して関連する動画の視聴機会を設けるなど、大学生の学修サポート体制についての取組みを行ってい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</si>
  <si>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</si>
  <si>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</si>
  <si>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は、全学生が1年次の必修科目として履修する科目であり、学部・学科に関わらず全員が受講できる体制と取組を行っている。また、静岡大学大学教育センターと契約して関連する動画の視聴機会を設けるなど、大学生の学修サポート体制についての取組を行っ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</si>
  <si>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</si>
  <si>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</si>
  <si>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教育プログラムは、全学生が1年次の必修科目として履修する科目であり、学部・学科に関わらず全員が履修できる体制と取組を行っている。前期と後期に実施されるガイダンスにおいて履修についての周知徹底を図り、ポータルサイトやMicrosoft365（全学生が利用可能）により、当該授業に関連する情報の配信や教材等を閲覧できるような取組を行う。</t>
    <rPh sb="146" eb="148">
      <t>ハイシン</t>
    </rPh>
    <rPh sb="151" eb="152">
      <t>ナド</t>
    </rPh>
    <phoneticPr fontId="1"/>
  </si>
  <si>
    <t>⑪</t>
    <phoneticPr fontId="1"/>
  </si>
  <si>
    <t>できる限り多くの学生が履修・修得できるようなサポート体制</t>
    <rPh sb="26" eb="28">
      <t>タイセイ</t>
    </rPh>
    <phoneticPr fontId="1"/>
  </si>
  <si>
    <t>本学の基礎教育センターでの指導や学生ピアサポートなどの体制を整備し、学生が当該プログラムを修得できるような体制を整えている。また、静岡大学大学教育センターと契約を結び、同大学が制作した数理・データサイエンス・AIに関する動画を視聴できるサポート体制を構築し、当該授業に関する理解・修得を目指す。</t>
    <rPh sb="125" eb="127">
      <t>コウチク</t>
    </rPh>
    <phoneticPr fontId="1"/>
  </si>
  <si>
    <t>⑫</t>
    <phoneticPr fontId="1"/>
  </si>
  <si>
    <t>授業時間内外で学習指導、質問を受け付ける具体的な仕組み</t>
    <rPh sb="20" eb="23">
      <t>グタイテキ</t>
    </rPh>
    <phoneticPr fontId="1"/>
  </si>
  <si>
    <t>本学では週2コマのオフィスアワーをすべての教員が設定し、授業時間外の学習指導や質問を受け付ける仕組みを構築している。また、基礎教育センターでの指導や学生ピアサポートの体制も整備している。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</si>
  <si>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</si>
  <si>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</si>
  <si>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</si>
  <si>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</si>
  <si>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</si>
  <si>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</si>
  <si>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</si>
  <si>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</si>
  <si>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</si>
  <si>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受講生のプログラムの履修・修得状況については、教養教育委員会が履修データ、成績分布などを用いた分析と点検を実施し、問題点を抽出・把握、および改善案を策定し、実行する。当該授業は全学必修科目のため、履修状況については考慮する必要は発生しないが、修得状況（単位取得状況）については、同委員会において状況を把握し、定期的に各学部に状況を報告し、学生の単位取得につなげる。</t>
    <phoneticPr fontId="1"/>
  </si>
  <si>
    <t>学修成果</t>
    <rPh sb="0" eb="2">
      <t>ガクシュウ</t>
    </rPh>
    <rPh sb="2" eb="4">
      <t>セイカ</t>
    </rPh>
    <phoneticPr fontId="1"/>
  </si>
  <si>
    <t>本教育プログラムの学修成果を把握する仕組みとして、当該授業の単位取得の状況および成績評価の分布を本学使用のポータルサイトシステムを用いて取得する。また、学生アンケートを実施し、どのような学修が行われたかをアンケート調査を用いて定量的・定性的に分析するためのデータを得る。これらのデータについては、教養教育委員会および数理・データサイエンス・AIワーキンググループを中心に分析を行い、プログラムの学修成果を評価する。令和6年度の修得率はそれぞれ96.6%及び94.3%であり、シラバスに記載の到達目標は概ね達成しているといえ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</si>
  <si>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</si>
  <si>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受講者対象の学生アンケート（5段階評価）において、「情報リテラシーで扱われる内容は全体として理解できましたか」は平均4.01、「数理（Excel等による統計処理（合計・平均を求めるなど）に関する内容を理解できましたか」は3.87、「データサイエンス（コンピュータを用いた情報処理、Excel等によるデータのグラフ化や視覚化）に関する内容を理解できましたか」は平均3.83、「AIの活用に関する内容を理解できましたか」は平均3.76という結果が示されたことから、当該授業に関する内容は概ね理解されたと考えられる。</t>
    <rPh sb="218" eb="220">
      <t>ケッカ</t>
    </rPh>
    <rPh sb="241" eb="242">
      <t>オオム</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</si>
  <si>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</si>
  <si>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アンケートにより「後輩等他の学生に情報リテラシーの履修を推奨したいと思いますか。（5段階評価）」の設問を確認したところ、評価の平均値は4.09が示されたことから、後輩等他の学生へ当該授業を推奨したい考えがあることが示された。</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</si>
  <si>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</si>
  <si>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全学的な履修者数と履修率向上に関して、情報リテラシーⅠと情報リテラシーⅡは1年次の開講科目として必修科目であり、文系理系問わずすべての学部・学科の学生が履修するため、履修率は100%である。今後の計画として、教養教育運営委員会において定期的に授業内容について見直し等を検討し、当該授業の改善と向上を図っていく。</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</si>
  <si>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</si>
  <si>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</si>
  <si>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6年度に1年生対象の科目として開講したため履修者が卒業しておらず、現時点での詳細な評価はできないが、定期的に全学的な卒業生調査を実施しており、数理・データサイエンス・AI教育プログラム開始後と開始前を比較することで、本教育プログラムの評価を行う。また、学生の就職先、地域・企業・公共団体等への調査も全学的に実施し、本プログラムを修了した卒業生の採用状況、企業評価を把握している。</t>
    <rPh sb="40" eb="42">
      <t>ショウサイ</t>
    </rPh>
    <rPh sb="52" eb="55">
      <t>テイキテキ</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</si>
  <si>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</si>
  <si>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r>
      <t>本学では毎年度、商工会及び企業等の有識者を構成員に含む外部の委員が教育等に関する評価及び検証を行う「外部評価委員会」を実施している。令和5年度に実施した外部評価委員会では、本学の教育改革の一つとして「全学教育科目」の再構築及び「数理・データサイエンス・AI教育プログラム認定制度」への申請も含めたデータサイエンス教育の充実についての取組みを報告し意見を求め</t>
    </r>
    <r>
      <rPr>
        <sz val="12"/>
        <color rgb="FF000000"/>
        <rFont val="MS UI Gothic"/>
        <family val="3"/>
        <charset val="128"/>
      </rPr>
      <t>、県内の当該教育の充実化を図った</t>
    </r>
    <r>
      <rPr>
        <sz val="12"/>
        <color rgb="FF000000"/>
        <rFont val="ＭＳ Ｐゴシック "/>
        <family val="3"/>
        <charset val="128"/>
      </rPr>
      <t>。今後も継続してデータサイエンスに関わる定期的な意見収集を行い、教育プログラムの改善に活用する予定である。</t>
    </r>
    <rPh sb="179" eb="181">
      <t>ケンナイ</t>
    </rPh>
    <rPh sb="187" eb="190">
      <t>ジュウジツカ</t>
    </rPh>
    <rPh sb="191" eb="192">
      <t>ハカ</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</si>
  <si>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</si>
  <si>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当該教育プログラムでは、理系の学生はもとより文系の学生においても数理データサイエンスAIを学ぶために必要かつ興味を持つようなシラバスを策定し、授業を実践している。また静岡大学大学教育センターの協力を得て、当該授業に関連する動画を配信し、履修生は視聴できる環境にある。この動画では、数理データサイエンスAIの必要性など学生への期待を説明しているとともに、授業の全般において数理データサイエンスの実際の最先端事例を紹介し、学ぶ楽しさとその意義について理解できる動画となっている。
</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</si>
  <si>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</si>
  <si>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当該授業に関する授業アンケートの分析結果や、昨今の数理データサイエンスAIの社会的背景を参考に新たな教育内容の導入を検討するとともに、既存の教育内容についての見直しも検討する。また学部での専門教育との連携を行っていくために、学部教員と連携を図りながら本学の教養教育委員会を中心にシラバスチェックなどの点検を行い、4年間の学びを踏まえた教育活動を行う体制を整えている。</t>
    <phoneticPr fontId="1"/>
  </si>
  <si>
    <t>常葉大学　教養教育運営委員会</t>
    <phoneticPr fontId="1"/>
  </si>
  <si>
    <t>・AI最新技術の活用例（生成AIなど） 「情報リテラシーⅠ」（5～6回目）
・AI等を活用した新しいビジネスモデル(シェアリングエコノミー、商品のレコメンデーションなど) 「情報リテラシーⅠ」（5～6回目）</t>
    <phoneticPr fontId="1"/>
  </si>
  <si>
    <t>・ビッグデータ、IoT、AI、生成AI、ロボット 「情報リテラシーⅠ」（5～6回目）
・第4次産業革命、Society 5.0、データ駆動型社会 「情報リテラシーⅠ」（5～6回目）
・複数技術を組み合わせたAIサービス 「情報リテラシーⅠ」（5～6回目）
・人間の知的活動とAIの関係性 「情報リテラシーⅠ」（5～6回目）
・データを起点としたものの見方、人間の知的活動を起点としたものの見方 「情報リテラシーⅠ」（5～6回目）</t>
    <rPh sb="26" eb="28">
      <t>ジョウホウ</t>
    </rPh>
    <phoneticPr fontId="1"/>
  </si>
  <si>
    <t>・データの種類（量的変数、質的変数） 「情報リテラシーⅡ」（1～2回目）
・データの分布(ヒストグラム)と代表値（平均値、中央値、最頻値） 「情報リテラシーⅡ」（2～4回目）
・代表値の性質の違い「情報リテラシーⅡ」（2～4回目）
・データのばらつき（分散、標準偏差、偏差値）、外れ値「情報リテラシーⅡ」（2～4回目）
・相関と因果（相関係数、擬似相関、交絡）「情報リテラシーⅡ」（2～4回目）
・観測データに含まれる誤差の扱い「情報リテラシーⅡ」（2～4回目）
・クロス集計表、分割表、相関係数行列、散布図行列「情報リテラシーⅡ」（2～4回目）</t>
    <phoneticPr fontId="1"/>
  </si>
  <si>
    <t>・データの取得「情報リテラシーⅡ」（2～4回目）
・データの集計（和、平均）「情報リテラシーⅡ」（2～4回目）
・データの並び替え、ランキング「情報リテラシーⅡ」（2～4回目）
・表形式のデータ（csv）「情報リテラシーⅡ」（2～4回目）</t>
    <phoneticPr fontId="1"/>
  </si>
  <si>
    <t>常葉大学　教養教育運営委員会規程</t>
    <phoneticPr fontId="1"/>
  </si>
  <si>
    <t>・データ表現（棒グラフ、折線グラフ、散布図、ヒートマップ、箱ひげ図） 「情報リテラシーⅡ」（5～8回目）
・データの比較 「情報リテラシーⅡ」（5～8回目）
・データの図表表現（チャート化） 「情報リテラシーⅡ」（6回目、8回目、14回目）
・相手に的確かつ正確に情報を伝える技術や考え方（スライド作成，プレゼンテーションなど） 「情報リテラシーⅡ」（9～14回目）</t>
    <rPh sb="108" eb="110">
      <t>カイメ</t>
    </rPh>
    <rPh sb="112" eb="114">
      <t>カイメ</t>
    </rPh>
    <phoneticPr fontId="1"/>
  </si>
  <si>
    <t>・調査データ、実験データ 「情報リテラシーⅡ」（2～8回目）
・1次データ、2次データ、データのメタ化 「情報リテラシーⅡ」（2～8回目）</t>
    <phoneticPr fontId="1"/>
  </si>
  <si>
    <t>・データ解析：予測、グルーピング、パターン発見　「情報リテラシーⅡ」（4回目）
・データ可視化：複合グラフ、2軸グラフ、関係性の可視化　「情報リテラシーⅡ」（6回目、8回目）
・今のAIで出来ることと出来ないこと、AIとビッグデータ 「情報リテラシーⅠ」（5～6回目）
・マルチモーダル（言語、画像、音声 など）、生成AIの活用（プロンプトエンジニアリング） 「情報リテラシーⅠ」（5～6回目）</t>
    <rPh sb="80" eb="82">
      <t>カイメ</t>
    </rPh>
    <phoneticPr fontId="1"/>
  </si>
  <si>
    <t>・データ・AI活用領域の広がり(生産、消費、文化活動など) 「情報リテラシーⅠ」（5～6回目）
・研究開発、調達、製造、物流、販売、マーケティング、サービスなど　「情報リテラシーⅡ」（4回目、8回目、11～14回目）
・仮説検証、知識発見、原因究明、計画策定、判断支援、活動代替、新規生成など　「情報リテラシーⅡ」（4回目、8回目、11～14回目）
・対話、コンテンツ生成、翻訳・要約・執筆支援、コーディング支援など生成AIの応用 「情報リテラシーⅠ」（5～6回目）</t>
    <rPh sb="146" eb="148">
      <t>カイメ</t>
    </rPh>
    <phoneticPr fontId="1"/>
  </si>
  <si>
    <t>・データサイエンスのサイクル（データの取得・管理・加工、結果の共有・伝達、課題解決に向けた提案） 「情報リテラシーⅡ」（4回目、8回目、11～14回目）
・ビジネス、教育、芸術、流通、製造、金融、サービス、インフラ、公共、ヘルスケア等におけるデータ・AI利活用,事例紹介 「情報リテラシーⅠ」（5～6回目）</t>
    <phoneticPr fontId="1"/>
  </si>
  <si>
    <t>・情報セキュリティの3要素「情報リテラシーⅠ」（12回目）
・匿名加工情報、暗号化と復号、ユーザ認証とパスワード、アクセス制御、悪意ある情報搾取・情報漏洩等によるセキュリティ事故の事例紹介・サイバーセキュリティ「情報リテラシーⅠ」（12～14回目）、「情報リテラシーⅡ」（第14回）</t>
    <rPh sb="126" eb="128">
      <t>ジョウホウ</t>
    </rPh>
    <rPh sb="136" eb="137">
      <t>ダイ</t>
    </rPh>
    <rPh sb="139" eb="140">
      <t>カイ</t>
    </rPh>
    <phoneticPr fontId="1"/>
  </si>
  <si>
    <t>・倫理的・法的・社会的課題	 「情報リテラシーⅠ」（11回目）
・個人情報保護、忘れられる権利「情報リテラシーⅠ」（11回目）
・データ倫理：データのねつ造、改ざん、盗用、プライバシー保護「情報リテラシーⅠ」（12回目、14回目）
・AI社会原則（公平性、説明責任、透明性、人間中心の判断）「情報リテラシーⅠ」（12回目）
・データバイアス「情報リテラシーⅠ」（14回目）
・AIサービスの責任論「情報リテラシーⅠ」（5～6回目）
・データガバナンス「情報リテラシーⅠ」（14回目）
・データ・AI活用における負の事例紹介「情報リテラシーⅠ」（5～6回目）
・生成AIの留意事項（ハルシネーションによる誤情報の生成、偽情報や有害コンテンツの生成・氾濫など）「情報リテラシーⅠ」（5～6回目）</t>
    <rPh sb="106" eb="108">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</si>
</sst>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color theme="1"/>
      <name val="ＭＳ Ｐゴシック "/>
      <family val="3"/>
      <charset val="128"/>
    </font>
    <font>
      <sz val="11"/>
      <color theme="1"/>
      <name val="ＭＳ Ｐゴシック "/>
      <family val="3"/>
      <charset val="128"/>
    </font>
    <font>
      <sz val="12"/>
      <color rgb="FF000000"/>
      <name val="ＭＳ Ｐゴシック "/>
      <family val="3"/>
      <charset val="128"/>
    </font>
    <font>
      <sz val="12"/>
      <color rgb="FF000000"/>
      <name val="MS UI Gothic"/>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3" fillId="0" borderId="0" xfId="0" applyFont="1">
      <alignment vertical="center"/>
    </xf>
    <xf numFmtId="0" fontId="13" fillId="0" borderId="1" xfId="0" applyFont="1" applyBorder="1">
      <alignment vertical="center"/>
    </xf>
    <xf numFmtId="0" fontId="13" fillId="0" borderId="1" xfId="0" applyFont="1" applyBorder="1" applyAlignment="1">
      <alignment horizontal="right" vertical="center"/>
    </xf>
    <xf numFmtId="0" fontId="13" fillId="0" borderId="0" xfId="0" applyFont="1" applyAlignment="1">
      <alignment horizontal="center" vertical="center"/>
    </xf>
    <xf numFmtId="0" fontId="13" fillId="0" borderId="0" xfId="0" applyFont="1" applyAlignment="1">
      <alignment horizontal="right" vertical="center"/>
    </xf>
    <xf numFmtId="0" fontId="13" fillId="0" borderId="14" xfId="0" applyFont="1" applyBorder="1" applyAlignment="1">
      <alignment horizontal="center" vertical="center" shrinkToFit="1"/>
    </xf>
    <xf numFmtId="0" fontId="13" fillId="0" borderId="20" xfId="0" applyFont="1" applyBorder="1" applyAlignment="1">
      <alignment horizontal="center"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9" fontId="13" fillId="0" borderId="1" xfId="0" applyNumberFormat="1" applyFont="1" applyBorder="1" applyAlignment="1">
      <alignment horizontal="center" vertical="center" shrinkToFit="1"/>
    </xf>
    <xf numFmtId="0" fontId="13" fillId="0" borderId="1" xfId="0" applyFont="1" applyBorder="1" applyAlignment="1">
      <alignment horizontal="left" vertical="center"/>
    </xf>
    <xf numFmtId="0" fontId="13" fillId="0" borderId="1" xfId="0" applyFont="1" applyBorder="1" applyAlignment="1">
      <alignment horizontal="lef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3" fillId="0" borderId="18" xfId="0" applyFont="1" applyBorder="1" applyAlignment="1">
      <alignment vertical="center" shrinkToFit="1"/>
    </xf>
    <xf numFmtId="0" fontId="13" fillId="0" borderId="19" xfId="0" applyFont="1" applyBorder="1" applyAlignment="1">
      <alignment vertical="center" shrinkToFit="1"/>
    </xf>
    <xf numFmtId="0" fontId="13" fillId="0" borderId="17" xfId="0" applyFont="1" applyBorder="1" applyAlignment="1">
      <alignment vertical="center" shrinkToFit="1"/>
    </xf>
    <xf numFmtId="0" fontId="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2" xfId="0" applyFont="1"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29" xfId="0" applyFont="1" applyBorder="1" applyAlignment="1">
      <alignment vertical="center" shrinkToFit="1"/>
    </xf>
    <xf numFmtId="0" fontId="13" fillId="0" borderId="31" xfId="0" applyFont="1" applyBorder="1" applyAlignment="1">
      <alignment vertical="center" shrinkToFit="1"/>
    </xf>
    <xf numFmtId="0" fontId="13" fillId="0" borderId="30" xfId="0" applyFont="1" applyBorder="1" applyAlignment="1">
      <alignment vertical="center" shrinkToFit="1"/>
    </xf>
    <xf numFmtId="0" fontId="2"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15"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15" fillId="0" borderId="8" xfId="0" applyFont="1" applyBorder="1" applyAlignment="1">
      <alignment vertical="top" wrapText="1" shrinkToFit="1"/>
    </xf>
    <xf numFmtId="0" fontId="15" fillId="0" borderId="9" xfId="0" applyFont="1" applyBorder="1" applyAlignment="1">
      <alignment vertical="top" shrinkToFit="1"/>
    </xf>
    <xf numFmtId="0" fontId="15" fillId="0" borderId="5" xfId="0" applyFont="1" applyBorder="1" applyAlignment="1">
      <alignment vertical="top" shrinkToFit="1"/>
    </xf>
    <xf numFmtId="0" fontId="15" fillId="0" borderId="0" xfId="0" applyFont="1" applyAlignment="1">
      <alignment vertical="top" shrinkToFit="1"/>
    </xf>
    <xf numFmtId="0" fontId="15" fillId="0" borderId="10" xfId="0" applyFont="1" applyBorder="1" applyAlignment="1">
      <alignment vertical="top" shrinkToFit="1"/>
    </xf>
    <xf numFmtId="0" fontId="15" fillId="0" borderId="11" xfId="0" applyFont="1" applyBorder="1" applyAlignment="1">
      <alignment vertical="top" shrinkToFit="1"/>
    </xf>
    <xf numFmtId="0" fontId="15" fillId="0" borderId="6" xfId="0" applyFont="1" applyBorder="1" applyAlignment="1">
      <alignment vertical="top" shrinkToFit="1"/>
    </xf>
    <xf numFmtId="0" fontId="15" fillId="0" borderId="12" xfId="0" applyFont="1" applyBorder="1" applyAlignment="1">
      <alignment vertical="top" shrinkToFit="1"/>
    </xf>
    <xf numFmtId="0" fontId="13" fillId="0" borderId="2" xfId="0" applyFont="1" applyBorder="1" applyAlignment="1">
      <alignment horizontal="left" vertical="center"/>
    </xf>
    <xf numFmtId="0" fontId="14" fillId="0" borderId="3" xfId="0" applyFont="1" applyBorder="1">
      <alignment vertical="center"/>
    </xf>
    <xf numFmtId="0" fontId="14" fillId="0" borderId="4" xfId="0" applyFont="1" applyBorder="1">
      <alignment vertical="center"/>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2" fillId="0" borderId="0" xfId="0" applyFont="1" applyAlignment="1">
      <alignment horizontal="center" vertical="center"/>
    </xf>
    <xf numFmtId="0" fontId="13" fillId="0" borderId="7" xfId="0" applyFont="1" applyBorder="1" applyAlignment="1">
      <alignment vertical="top" wrapText="1" shrinkToFit="1"/>
    </xf>
    <xf numFmtId="0" fontId="2" fillId="0" borderId="0" xfId="0" applyFont="1">
      <alignment vertical="center"/>
    </xf>
    <xf numFmtId="0" fontId="13" fillId="0" borderId="9"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13" fillId="0" borderId="1" xfId="0" applyNumberFormat="1" applyFont="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13"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5" fillId="0" borderId="18" xfId="0" applyFont="1" applyBorder="1" applyAlignment="1">
      <alignment vertical="top" wrapText="1" shrinkToFit="1"/>
    </xf>
    <xf numFmtId="0" fontId="15" fillId="0" borderId="19" xfId="0" applyFont="1" applyBorder="1" applyAlignment="1">
      <alignment vertical="top" wrapText="1" shrinkToFit="1"/>
    </xf>
    <xf numFmtId="0" fontId="15"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15" fillId="0" borderId="32" xfId="0" applyFont="1" applyBorder="1" applyAlignment="1">
      <alignment vertical="top" wrapText="1" shrinkToFit="1"/>
    </xf>
    <xf numFmtId="0" fontId="15" fillId="0" borderId="33" xfId="0" applyFont="1" applyBorder="1" applyAlignment="1">
      <alignment vertical="top" wrapText="1" shrinkToFit="1"/>
    </xf>
    <xf numFmtId="0" fontId="15"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Border="1" applyAlignment="1">
      <alignment vertical="top" wrapText="1" shrinkToFit="1"/>
    </xf>
    <xf numFmtId="0" fontId="13"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topLeftCell="A87" zoomScaleNormal="100" zoomScaleSheetLayoutView="100" workbookViewId="0">
      <selection activeCell="Y91" sqref="Y91"/>
    </sheetView>
  </sheetViews>
  <sheetFormatPr defaultColWidth="9" defaultRowHeight="18.75" customHeight="1"/>
  <cols>
    <col min="1" max="1" width="2.453125" style="1" customWidth="1"/>
    <col min="2" max="2" width="16.453125" style="1" customWidth="1"/>
    <col min="3" max="21" width="5.7265625" style="1" customWidth="1"/>
    <col min="22" max="22" width="9" style="1"/>
    <col min="23" max="23" width="3.7265625" style="1" customWidth="1"/>
    <col min="24" max="24" width="48.7265625" style="1" hidden="1" customWidth="1"/>
    <col min="25" max="26" width="9" style="1"/>
    <col min="27" max="27" width="9" style="1" hidden="1" customWidth="1"/>
    <col min="28" max="16384" width="9" style="1"/>
  </cols>
  <sheetData>
    <row r="1" spans="1:24" ht="18.649999999999999" customHeight="1">
      <c r="T1" s="148" t="s">
        <v>0</v>
      </c>
      <c r="U1" s="148"/>
      <c r="V1" s="2" t="s">
        <v>1</v>
      </c>
    </row>
    <row r="2" spans="1:24" ht="18.75" customHeight="1">
      <c r="B2" s="17" t="s">
        <v>2</v>
      </c>
      <c r="C2" s="149" t="s">
        <v>3</v>
      </c>
      <c r="D2" s="150"/>
      <c r="E2" s="150"/>
      <c r="F2" s="150"/>
      <c r="G2" s="150"/>
      <c r="H2" s="150"/>
      <c r="I2" s="150"/>
      <c r="J2" s="151"/>
      <c r="K2" s="18"/>
      <c r="L2" s="6"/>
      <c r="M2" s="6"/>
      <c r="N2" s="6"/>
      <c r="O2" s="6"/>
      <c r="P2" s="6"/>
      <c r="Q2" s="6"/>
      <c r="R2" s="6"/>
      <c r="S2" s="6"/>
      <c r="T2" s="6"/>
      <c r="U2" s="6"/>
    </row>
    <row r="3" spans="1:24" ht="18.75" customHeight="1">
      <c r="B3" s="17" t="s">
        <v>4</v>
      </c>
      <c r="C3" s="152" t="s">
        <v>5</v>
      </c>
      <c r="D3" s="153"/>
      <c r="E3" s="153"/>
      <c r="F3" s="153"/>
      <c r="G3" s="153"/>
      <c r="H3" s="153"/>
      <c r="I3" s="153"/>
      <c r="J3" s="154"/>
      <c r="K3" s="18"/>
      <c r="L3" s="6"/>
      <c r="M3" s="6"/>
      <c r="N3" s="6"/>
      <c r="O3" s="6"/>
      <c r="P3" s="6"/>
      <c r="Q3" s="6"/>
      <c r="R3" s="6"/>
      <c r="S3" s="6"/>
      <c r="T3" s="6"/>
      <c r="U3" s="6"/>
    </row>
    <row r="4" spans="1:24" ht="15" customHeight="1">
      <c r="L4" s="18"/>
      <c r="M4" s="72"/>
      <c r="N4" s="72"/>
      <c r="O4" s="72"/>
      <c r="P4" s="72"/>
      <c r="Q4" s="72"/>
      <c r="R4" s="72"/>
      <c r="S4" s="72"/>
      <c r="T4" s="72"/>
      <c r="U4" s="72"/>
    </row>
    <row r="5" spans="1:24" ht="18" customHeight="1">
      <c r="A5" s="126" t="s">
        <v>6</v>
      </c>
      <c r="B5" s="126"/>
      <c r="C5" s="126"/>
      <c r="D5" s="126"/>
      <c r="E5" s="126"/>
      <c r="F5" s="126"/>
      <c r="G5" s="126"/>
      <c r="H5" s="126"/>
      <c r="I5" s="126"/>
      <c r="J5" s="126"/>
      <c r="K5" s="126"/>
      <c r="L5" s="126"/>
      <c r="M5" s="126"/>
      <c r="N5" s="126"/>
      <c r="O5" s="126"/>
      <c r="P5" s="126"/>
      <c r="Q5" s="126"/>
      <c r="R5" s="126"/>
      <c r="S5" s="126"/>
      <c r="T5" s="126"/>
      <c r="U5" s="126"/>
    </row>
    <row r="6" spans="1:24" ht="15" customHeight="1">
      <c r="B6" s="3"/>
      <c r="C6" s="3"/>
      <c r="D6" s="3"/>
      <c r="E6" s="3"/>
      <c r="F6" s="3"/>
      <c r="G6" s="3"/>
      <c r="H6" s="3"/>
      <c r="I6" s="3"/>
      <c r="J6" s="3"/>
      <c r="K6" s="3"/>
      <c r="L6" s="3"/>
      <c r="M6" s="3"/>
      <c r="N6" s="3"/>
      <c r="O6" s="3"/>
      <c r="P6" s="3"/>
      <c r="Q6" s="3"/>
      <c r="R6" s="3"/>
      <c r="S6" s="3"/>
      <c r="T6" s="3"/>
      <c r="U6" s="3"/>
    </row>
    <row r="7" spans="1:24" ht="15" customHeight="1">
      <c r="A7" s="1" t="s">
        <v>7</v>
      </c>
      <c r="B7" s="3"/>
      <c r="C7" s="3"/>
      <c r="D7" s="3"/>
      <c r="E7" s="3"/>
      <c r="F7" s="2"/>
      <c r="G7" s="2"/>
      <c r="H7" s="2"/>
      <c r="I7" s="2"/>
      <c r="J7" s="2"/>
      <c r="K7" s="2"/>
      <c r="L7" s="167" t="s">
        <v>8</v>
      </c>
      <c r="M7" s="168"/>
      <c r="N7" s="168"/>
      <c r="O7" s="168"/>
      <c r="P7" s="168"/>
      <c r="Q7" s="168"/>
      <c r="R7" s="168"/>
      <c r="S7" s="168"/>
      <c r="T7" s="168"/>
      <c r="U7" s="169"/>
    </row>
    <row r="8" spans="1:24" ht="6" customHeight="1">
      <c r="B8" s="3"/>
      <c r="C8" s="3"/>
      <c r="D8" s="3"/>
      <c r="E8" s="3"/>
      <c r="F8" s="3"/>
      <c r="G8" s="3"/>
      <c r="H8" s="3"/>
      <c r="I8" s="3"/>
      <c r="J8" s="3"/>
      <c r="K8" s="3"/>
      <c r="L8" s="3"/>
      <c r="M8" s="3"/>
      <c r="N8" s="3"/>
      <c r="O8" s="3"/>
      <c r="P8" s="3"/>
      <c r="Q8" s="3"/>
      <c r="R8" s="3"/>
      <c r="S8" s="3"/>
      <c r="T8" s="3"/>
      <c r="U8" s="3"/>
    </row>
    <row r="9" spans="1:24" ht="18" customHeight="1">
      <c r="A9" s="1" t="s">
        <v>9</v>
      </c>
      <c r="C9" s="3"/>
      <c r="D9" s="3"/>
      <c r="K9" s="18"/>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170"/>
      <c r="C11" s="171"/>
      <c r="D11" s="171"/>
      <c r="E11" s="171"/>
      <c r="F11" s="171"/>
      <c r="G11" s="171"/>
      <c r="H11" s="171"/>
      <c r="I11" s="171"/>
      <c r="J11" s="171"/>
      <c r="K11" s="171"/>
      <c r="L11" s="171"/>
      <c r="M11" s="171"/>
      <c r="N11" s="171"/>
      <c r="O11" s="171"/>
      <c r="P11" s="171"/>
      <c r="Q11" s="171"/>
      <c r="R11" s="171"/>
      <c r="S11" s="171"/>
      <c r="T11" s="171"/>
      <c r="U11" s="172"/>
    </row>
    <row r="12" spans="1:24" ht="18" customHeight="1">
      <c r="B12" s="173"/>
      <c r="C12" s="174"/>
      <c r="D12" s="174"/>
      <c r="E12" s="174"/>
      <c r="F12" s="174"/>
      <c r="G12" s="174"/>
      <c r="H12" s="174"/>
      <c r="I12" s="174"/>
      <c r="J12" s="174"/>
      <c r="K12" s="174"/>
      <c r="L12" s="174"/>
      <c r="M12" s="174"/>
      <c r="N12" s="174"/>
      <c r="O12" s="174"/>
      <c r="P12" s="174"/>
      <c r="Q12" s="174"/>
      <c r="R12" s="174"/>
      <c r="S12" s="174"/>
      <c r="T12" s="174"/>
      <c r="U12" s="175"/>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10</v>
      </c>
      <c r="B14" s="3"/>
      <c r="C14" s="3"/>
      <c r="D14" s="3"/>
      <c r="E14" s="18"/>
      <c r="F14" s="18"/>
      <c r="G14" s="18"/>
      <c r="H14" s="18"/>
      <c r="I14" s="18"/>
      <c r="J14" s="18"/>
      <c r="K14" s="18"/>
      <c r="L14" s="73"/>
      <c r="M14" s="73"/>
      <c r="N14" s="73"/>
      <c r="O14" s="73"/>
      <c r="P14" s="73"/>
      <c r="Q14" s="73"/>
      <c r="R14" s="73"/>
      <c r="S14" s="73"/>
      <c r="T14" s="73"/>
      <c r="U14" s="73"/>
    </row>
    <row r="15" spans="1:24" ht="18" customHeight="1">
      <c r="B15" s="127" t="s">
        <v>11</v>
      </c>
      <c r="C15" s="128"/>
      <c r="D15" s="128"/>
      <c r="E15" s="128"/>
      <c r="F15" s="128"/>
      <c r="G15" s="128"/>
      <c r="H15" s="128"/>
      <c r="I15" s="128"/>
      <c r="J15" s="128"/>
      <c r="K15" s="128"/>
      <c r="L15" s="128"/>
      <c r="M15" s="128"/>
      <c r="N15" s="128"/>
      <c r="O15" s="128"/>
      <c r="P15" s="128"/>
      <c r="Q15" s="128"/>
      <c r="R15" s="128"/>
      <c r="S15" s="128"/>
      <c r="T15" s="128"/>
      <c r="U15" s="129"/>
      <c r="X15" s="1" t="s">
        <v>12</v>
      </c>
    </row>
    <row r="16" spans="1:24" ht="18" customHeight="1">
      <c r="B16" s="130"/>
      <c r="C16" s="131"/>
      <c r="D16" s="131"/>
      <c r="E16" s="131"/>
      <c r="F16" s="131"/>
      <c r="G16" s="131"/>
      <c r="H16" s="131"/>
      <c r="I16" s="131"/>
      <c r="J16" s="131"/>
      <c r="K16" s="131"/>
      <c r="L16" s="131"/>
      <c r="M16" s="131"/>
      <c r="N16" s="131"/>
      <c r="O16" s="131"/>
      <c r="P16" s="131"/>
      <c r="Q16" s="131"/>
      <c r="R16" s="131"/>
      <c r="S16" s="131"/>
      <c r="T16" s="131"/>
      <c r="U16" s="132"/>
      <c r="X16" s="1" t="s">
        <v>13</v>
      </c>
    </row>
    <row r="17" spans="1:24" ht="18" customHeight="1">
      <c r="B17" s="130"/>
      <c r="C17" s="131"/>
      <c r="D17" s="131"/>
      <c r="E17" s="131"/>
      <c r="F17" s="131"/>
      <c r="G17" s="131"/>
      <c r="H17" s="131"/>
      <c r="I17" s="131"/>
      <c r="J17" s="131"/>
      <c r="K17" s="131"/>
      <c r="L17" s="131"/>
      <c r="M17" s="131"/>
      <c r="N17" s="131"/>
      <c r="O17" s="131"/>
      <c r="P17" s="131"/>
      <c r="Q17" s="131"/>
      <c r="R17" s="131"/>
      <c r="S17" s="131"/>
      <c r="T17" s="131"/>
      <c r="U17" s="132"/>
      <c r="X17" s="1" t="s">
        <v>14</v>
      </c>
    </row>
    <row r="18" spans="1:24" ht="18" customHeight="1">
      <c r="B18" s="130"/>
      <c r="C18" s="131"/>
      <c r="D18" s="131"/>
      <c r="E18" s="131"/>
      <c r="F18" s="131"/>
      <c r="G18" s="131"/>
      <c r="H18" s="131"/>
      <c r="I18" s="131"/>
      <c r="J18" s="131"/>
      <c r="K18" s="131"/>
      <c r="L18" s="131"/>
      <c r="M18" s="131"/>
      <c r="N18" s="131"/>
      <c r="O18" s="131"/>
      <c r="P18" s="131"/>
      <c r="Q18" s="131"/>
      <c r="R18" s="131"/>
      <c r="S18" s="131"/>
      <c r="T18" s="131"/>
      <c r="U18" s="132"/>
      <c r="X18" s="1" t="s">
        <v>15</v>
      </c>
    </row>
    <row r="19" spans="1:24" ht="18" customHeight="1">
      <c r="B19" s="130"/>
      <c r="C19" s="131"/>
      <c r="D19" s="131"/>
      <c r="E19" s="131"/>
      <c r="F19" s="131"/>
      <c r="G19" s="131"/>
      <c r="H19" s="131"/>
      <c r="I19" s="131"/>
      <c r="J19" s="131"/>
      <c r="K19" s="131"/>
      <c r="L19" s="131"/>
      <c r="M19" s="131"/>
      <c r="N19" s="131"/>
      <c r="O19" s="131"/>
      <c r="P19" s="131"/>
      <c r="Q19" s="131"/>
      <c r="R19" s="131"/>
      <c r="S19" s="131"/>
      <c r="T19" s="131"/>
      <c r="U19" s="132"/>
    </row>
    <row r="20" spans="1:24" ht="18" customHeight="1">
      <c r="B20" s="133"/>
      <c r="C20" s="134"/>
      <c r="D20" s="134"/>
      <c r="E20" s="134"/>
      <c r="F20" s="134"/>
      <c r="G20" s="134"/>
      <c r="H20" s="134"/>
      <c r="I20" s="134"/>
      <c r="J20" s="134"/>
      <c r="K20" s="134"/>
      <c r="L20" s="134"/>
      <c r="M20" s="134"/>
      <c r="N20" s="134"/>
      <c r="O20" s="134"/>
      <c r="P20" s="134"/>
      <c r="Q20" s="134"/>
      <c r="R20" s="134"/>
      <c r="S20" s="134"/>
      <c r="T20" s="134"/>
      <c r="U20" s="135"/>
    </row>
    <row r="21" spans="1:24" ht="7.5" customHeight="1">
      <c r="B21" s="3"/>
      <c r="C21" s="3"/>
      <c r="D21" s="3"/>
      <c r="E21" s="3"/>
      <c r="F21" s="3"/>
      <c r="G21" s="3"/>
      <c r="H21" s="3"/>
      <c r="I21" s="3"/>
      <c r="J21" s="3"/>
      <c r="K21" s="3"/>
      <c r="L21" s="3"/>
      <c r="M21" s="3"/>
      <c r="N21" s="3"/>
      <c r="O21" s="3"/>
      <c r="P21" s="3"/>
      <c r="Q21" s="3"/>
      <c r="R21" s="3"/>
      <c r="S21" s="3"/>
      <c r="T21" s="3"/>
      <c r="U21" s="3"/>
    </row>
    <row r="22" spans="1:24" ht="19.899999999999999" customHeight="1">
      <c r="B22" s="80" t="s">
        <v>16</v>
      </c>
      <c r="C22" s="80"/>
      <c r="D22" s="80"/>
      <c r="E22" s="81">
        <v>2</v>
      </c>
      <c r="F22" s="80" t="s">
        <v>17</v>
      </c>
      <c r="G22" s="80"/>
      <c r="H22" s="82">
        <v>2</v>
      </c>
      <c r="I22" s="83" t="s">
        <v>18</v>
      </c>
      <c r="J22" s="83"/>
      <c r="K22" s="84"/>
      <c r="L22" s="80"/>
      <c r="M22" s="84" t="s">
        <v>19</v>
      </c>
      <c r="N22" s="164" t="s">
        <v>13</v>
      </c>
      <c r="O22" s="165"/>
      <c r="P22" s="165"/>
      <c r="Q22" s="165"/>
      <c r="R22" s="165"/>
      <c r="S22" s="165"/>
      <c r="T22" s="165"/>
      <c r="U22" s="166"/>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05" t="s">
        <v>20</v>
      </c>
      <c r="B24" s="105"/>
      <c r="C24" s="105"/>
      <c r="D24" s="105"/>
      <c r="E24" s="105"/>
      <c r="F24" s="105"/>
      <c r="G24" s="105"/>
      <c r="H24" s="105"/>
      <c r="I24" s="105"/>
      <c r="J24" s="105"/>
      <c r="K24" s="105"/>
      <c r="L24" s="105"/>
      <c r="M24" s="105"/>
      <c r="N24" s="105"/>
      <c r="O24" s="105"/>
      <c r="P24" s="105"/>
      <c r="Q24" s="105"/>
      <c r="R24" s="105"/>
      <c r="S24" s="105"/>
      <c r="T24" s="105"/>
      <c r="U24" s="105"/>
    </row>
    <row r="25" spans="1:24" ht="18" customHeight="1">
      <c r="A25" s="105"/>
      <c r="B25" s="105"/>
      <c r="C25" s="105"/>
      <c r="D25" s="105"/>
      <c r="E25" s="105"/>
      <c r="F25" s="105"/>
      <c r="G25" s="105"/>
      <c r="H25" s="105"/>
      <c r="I25" s="105"/>
      <c r="J25" s="105"/>
      <c r="K25" s="105"/>
      <c r="L25" s="105"/>
      <c r="M25" s="105"/>
      <c r="N25" s="105"/>
      <c r="O25" s="105"/>
      <c r="P25" s="105"/>
      <c r="Q25" s="105"/>
      <c r="R25" s="105"/>
      <c r="S25" s="105"/>
      <c r="T25" s="105"/>
      <c r="U25" s="105"/>
    </row>
    <row r="26" spans="1:24" ht="18" customHeight="1">
      <c r="B26" s="112" t="s">
        <v>21</v>
      </c>
      <c r="C26" s="113"/>
      <c r="D26" s="113"/>
      <c r="E26" s="113"/>
      <c r="F26" s="114"/>
      <c r="G26" s="58" t="s">
        <v>22</v>
      </c>
      <c r="H26" s="59" t="s">
        <v>23</v>
      </c>
      <c r="I26" s="60" t="s">
        <v>24</v>
      </c>
      <c r="J26" s="60" t="s">
        <v>25</v>
      </c>
      <c r="K26" s="112" t="s">
        <v>21</v>
      </c>
      <c r="L26" s="113"/>
      <c r="M26" s="113"/>
      <c r="N26" s="113"/>
      <c r="O26" s="113"/>
      <c r="P26" s="113"/>
      <c r="Q26" s="114"/>
      <c r="R26" s="58" t="s">
        <v>22</v>
      </c>
      <c r="S26" s="59" t="s">
        <v>23</v>
      </c>
      <c r="T26" s="60" t="s">
        <v>24</v>
      </c>
      <c r="U26" s="60" t="s">
        <v>25</v>
      </c>
    </row>
    <row r="27" spans="1:24" ht="18" customHeight="1">
      <c r="B27" s="145" t="s">
        <v>26</v>
      </c>
      <c r="C27" s="146"/>
      <c r="D27" s="146"/>
      <c r="E27" s="146"/>
      <c r="F27" s="147"/>
      <c r="G27" s="85">
        <v>1</v>
      </c>
      <c r="H27" s="85" t="s">
        <v>27</v>
      </c>
      <c r="I27" s="85" t="s">
        <v>27</v>
      </c>
      <c r="J27" s="85" t="s">
        <v>27</v>
      </c>
      <c r="K27" s="106"/>
      <c r="L27" s="107"/>
      <c r="M27" s="107"/>
      <c r="N27" s="107"/>
      <c r="O27" s="107"/>
      <c r="P27" s="107"/>
      <c r="Q27" s="108"/>
      <c r="R27" s="61"/>
      <c r="S27" s="61"/>
      <c r="T27" s="61"/>
      <c r="U27" s="61"/>
    </row>
    <row r="28" spans="1:24" ht="18" customHeight="1">
      <c r="B28" s="99"/>
      <c r="C28" s="100"/>
      <c r="D28" s="100"/>
      <c r="E28" s="100"/>
      <c r="F28" s="101"/>
      <c r="G28" s="62"/>
      <c r="H28" s="62"/>
      <c r="I28" s="62"/>
      <c r="J28" s="62"/>
      <c r="K28" s="99"/>
      <c r="L28" s="100"/>
      <c r="M28" s="100"/>
      <c r="N28" s="100"/>
      <c r="O28" s="100"/>
      <c r="P28" s="100"/>
      <c r="Q28" s="101"/>
      <c r="R28" s="62"/>
      <c r="S28" s="62"/>
      <c r="T28" s="62"/>
      <c r="U28" s="62"/>
    </row>
    <row r="29" spans="1:24" ht="18" customHeight="1">
      <c r="B29" s="99"/>
      <c r="C29" s="100"/>
      <c r="D29" s="100"/>
      <c r="E29" s="100"/>
      <c r="F29" s="101"/>
      <c r="G29" s="62"/>
      <c r="H29" s="62"/>
      <c r="I29" s="62"/>
      <c r="J29" s="62"/>
      <c r="K29" s="99"/>
      <c r="L29" s="100"/>
      <c r="M29" s="100"/>
      <c r="N29" s="100"/>
      <c r="O29" s="100"/>
      <c r="P29" s="100"/>
      <c r="Q29" s="101"/>
      <c r="R29" s="62"/>
      <c r="S29" s="62"/>
      <c r="T29" s="62"/>
      <c r="U29" s="62"/>
    </row>
    <row r="30" spans="1:24" ht="18" customHeight="1">
      <c r="B30" s="99"/>
      <c r="C30" s="100"/>
      <c r="D30" s="100"/>
      <c r="E30" s="100"/>
      <c r="F30" s="101"/>
      <c r="G30" s="62"/>
      <c r="H30" s="62"/>
      <c r="I30" s="62"/>
      <c r="J30" s="62"/>
      <c r="K30" s="99"/>
      <c r="L30" s="100"/>
      <c r="M30" s="100"/>
      <c r="N30" s="100"/>
      <c r="O30" s="100"/>
      <c r="P30" s="100"/>
      <c r="Q30" s="101"/>
      <c r="R30" s="62"/>
      <c r="S30" s="62"/>
      <c r="T30" s="62"/>
      <c r="U30" s="62"/>
    </row>
    <row r="31" spans="1:24" ht="18" customHeight="1">
      <c r="B31" s="99"/>
      <c r="C31" s="100"/>
      <c r="D31" s="100"/>
      <c r="E31" s="100"/>
      <c r="F31" s="101"/>
      <c r="G31" s="62"/>
      <c r="H31" s="62"/>
      <c r="I31" s="62"/>
      <c r="J31" s="62"/>
      <c r="K31" s="99"/>
      <c r="L31" s="100"/>
      <c r="M31" s="100"/>
      <c r="N31" s="100"/>
      <c r="O31" s="100"/>
      <c r="P31" s="100"/>
      <c r="Q31" s="101"/>
      <c r="R31" s="62"/>
      <c r="S31" s="62"/>
      <c r="T31" s="62"/>
      <c r="U31" s="62"/>
    </row>
    <row r="32" spans="1:24" ht="18" customHeight="1">
      <c r="A32" s="3"/>
      <c r="B32" s="99"/>
      <c r="C32" s="100"/>
      <c r="D32" s="100"/>
      <c r="E32" s="100"/>
      <c r="F32" s="101"/>
      <c r="G32" s="62"/>
      <c r="H32" s="62"/>
      <c r="I32" s="62"/>
      <c r="J32" s="62"/>
      <c r="K32" s="99"/>
      <c r="L32" s="100"/>
      <c r="M32" s="100"/>
      <c r="N32" s="100"/>
      <c r="O32" s="100"/>
      <c r="P32" s="100"/>
      <c r="Q32" s="101"/>
      <c r="R32" s="62"/>
      <c r="S32" s="62"/>
      <c r="T32" s="62"/>
      <c r="U32" s="62"/>
    </row>
    <row r="33" spans="1:21" ht="18" customHeight="1">
      <c r="A33" s="3"/>
      <c r="B33" s="102"/>
      <c r="C33" s="103"/>
      <c r="D33" s="103"/>
      <c r="E33" s="103"/>
      <c r="F33" s="104"/>
      <c r="G33" s="63"/>
      <c r="H33" s="63"/>
      <c r="I33" s="64"/>
      <c r="J33" s="64"/>
      <c r="K33" s="102"/>
      <c r="L33" s="103"/>
      <c r="M33" s="103"/>
      <c r="N33" s="103"/>
      <c r="O33" s="103"/>
      <c r="P33" s="103"/>
      <c r="Q33" s="104"/>
      <c r="R33" s="63"/>
      <c r="S33" s="63"/>
      <c r="T33" s="64"/>
      <c r="U33" s="64"/>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05" t="s">
        <v>28</v>
      </c>
      <c r="B35" s="105"/>
      <c r="C35" s="105"/>
      <c r="D35" s="105"/>
      <c r="E35" s="105"/>
      <c r="F35" s="105"/>
      <c r="G35" s="105"/>
      <c r="H35" s="105"/>
      <c r="I35" s="105"/>
      <c r="J35" s="105"/>
      <c r="K35" s="105"/>
      <c r="L35" s="105"/>
      <c r="M35" s="105"/>
      <c r="N35" s="105"/>
      <c r="O35" s="105"/>
      <c r="P35" s="105"/>
      <c r="Q35" s="105"/>
      <c r="R35" s="105"/>
      <c r="S35" s="105"/>
      <c r="T35" s="105"/>
      <c r="U35" s="105"/>
    </row>
    <row r="36" spans="1:21" ht="18" customHeight="1">
      <c r="A36" s="105"/>
      <c r="B36" s="105"/>
      <c r="C36" s="105"/>
      <c r="D36" s="105"/>
      <c r="E36" s="105"/>
      <c r="F36" s="105"/>
      <c r="G36" s="105"/>
      <c r="H36" s="105"/>
      <c r="I36" s="105"/>
      <c r="J36" s="105"/>
      <c r="K36" s="105"/>
      <c r="L36" s="105"/>
      <c r="M36" s="105"/>
      <c r="N36" s="105"/>
      <c r="O36" s="105"/>
      <c r="P36" s="105"/>
      <c r="Q36" s="105"/>
      <c r="R36" s="105"/>
      <c r="S36" s="105"/>
      <c r="T36" s="105"/>
      <c r="U36" s="105"/>
    </row>
    <row r="37" spans="1:21" ht="18" customHeight="1">
      <c r="B37" s="112" t="s">
        <v>21</v>
      </c>
      <c r="C37" s="113"/>
      <c r="D37" s="113"/>
      <c r="E37" s="113"/>
      <c r="F37" s="114"/>
      <c r="G37" s="58" t="s">
        <v>22</v>
      </c>
      <c r="H37" s="59" t="s">
        <v>23</v>
      </c>
      <c r="I37" s="60" t="s">
        <v>29</v>
      </c>
      <c r="J37" s="60" t="s">
        <v>30</v>
      </c>
      <c r="K37" s="112" t="s">
        <v>21</v>
      </c>
      <c r="L37" s="113"/>
      <c r="M37" s="113"/>
      <c r="N37" s="113"/>
      <c r="O37" s="113"/>
      <c r="P37" s="113"/>
      <c r="Q37" s="114"/>
      <c r="R37" s="58" t="s">
        <v>22</v>
      </c>
      <c r="S37" s="59" t="s">
        <v>23</v>
      </c>
      <c r="T37" s="60" t="s">
        <v>29</v>
      </c>
      <c r="U37" s="60" t="s">
        <v>30</v>
      </c>
    </row>
    <row r="38" spans="1:21" ht="18" customHeight="1">
      <c r="B38" s="145" t="s">
        <v>26</v>
      </c>
      <c r="C38" s="146"/>
      <c r="D38" s="146"/>
      <c r="E38" s="146"/>
      <c r="F38" s="147"/>
      <c r="G38" s="85">
        <v>1</v>
      </c>
      <c r="H38" s="85" t="s">
        <v>27</v>
      </c>
      <c r="I38" s="85"/>
      <c r="J38" s="85" t="s">
        <v>27</v>
      </c>
      <c r="K38" s="106"/>
      <c r="L38" s="107"/>
      <c r="M38" s="107"/>
      <c r="N38" s="107"/>
      <c r="O38" s="107"/>
      <c r="P38" s="107"/>
      <c r="Q38" s="108"/>
      <c r="R38" s="61"/>
      <c r="S38" s="61"/>
      <c r="T38" s="61"/>
      <c r="U38" s="61"/>
    </row>
    <row r="39" spans="1:21" ht="18" customHeight="1">
      <c r="B39" s="123" t="s">
        <v>31</v>
      </c>
      <c r="C39" s="124"/>
      <c r="D39" s="124"/>
      <c r="E39" s="124"/>
      <c r="F39" s="125"/>
      <c r="G39" s="86">
        <v>1</v>
      </c>
      <c r="H39" s="86" t="s">
        <v>27</v>
      </c>
      <c r="I39" s="86" t="s">
        <v>27</v>
      </c>
      <c r="J39" s="86" t="s">
        <v>27</v>
      </c>
      <c r="K39" s="99"/>
      <c r="L39" s="100"/>
      <c r="M39" s="100"/>
      <c r="N39" s="100"/>
      <c r="O39" s="100"/>
      <c r="P39" s="100"/>
      <c r="Q39" s="101"/>
      <c r="R39" s="62"/>
      <c r="S39" s="62"/>
      <c r="T39" s="62"/>
      <c r="U39" s="62"/>
    </row>
    <row r="40" spans="1:21" ht="18" customHeight="1">
      <c r="B40" s="99"/>
      <c r="C40" s="100"/>
      <c r="D40" s="100"/>
      <c r="E40" s="100"/>
      <c r="F40" s="101"/>
      <c r="G40" s="62"/>
      <c r="H40" s="62"/>
      <c r="I40" s="62"/>
      <c r="J40" s="62"/>
      <c r="K40" s="99"/>
      <c r="L40" s="100"/>
      <c r="M40" s="100"/>
      <c r="N40" s="100"/>
      <c r="O40" s="100"/>
      <c r="P40" s="100"/>
      <c r="Q40" s="101"/>
      <c r="R40" s="62"/>
      <c r="S40" s="62"/>
      <c r="T40" s="62"/>
      <c r="U40" s="62"/>
    </row>
    <row r="41" spans="1:21" ht="18" customHeight="1">
      <c r="B41" s="99"/>
      <c r="C41" s="100"/>
      <c r="D41" s="100"/>
      <c r="E41" s="100"/>
      <c r="F41" s="101"/>
      <c r="G41" s="62"/>
      <c r="H41" s="62"/>
      <c r="I41" s="62"/>
      <c r="J41" s="62"/>
      <c r="K41" s="99"/>
      <c r="L41" s="100"/>
      <c r="M41" s="100"/>
      <c r="N41" s="100"/>
      <c r="O41" s="100"/>
      <c r="P41" s="100"/>
      <c r="Q41" s="101"/>
      <c r="R41" s="62"/>
      <c r="S41" s="62"/>
      <c r="T41" s="62"/>
      <c r="U41" s="62"/>
    </row>
    <row r="42" spans="1:21" ht="18" customHeight="1">
      <c r="B42" s="99"/>
      <c r="C42" s="100"/>
      <c r="D42" s="100"/>
      <c r="E42" s="100"/>
      <c r="F42" s="101"/>
      <c r="G42" s="62"/>
      <c r="H42" s="62"/>
      <c r="I42" s="62"/>
      <c r="J42" s="62"/>
      <c r="K42" s="99"/>
      <c r="L42" s="100"/>
      <c r="M42" s="100"/>
      <c r="N42" s="100"/>
      <c r="O42" s="100"/>
      <c r="P42" s="100"/>
      <c r="Q42" s="101"/>
      <c r="R42" s="62"/>
      <c r="S42" s="62"/>
      <c r="T42" s="62"/>
      <c r="U42" s="62"/>
    </row>
    <row r="43" spans="1:21" ht="18" customHeight="1">
      <c r="B43" s="99"/>
      <c r="C43" s="100"/>
      <c r="D43" s="100"/>
      <c r="E43" s="100"/>
      <c r="F43" s="101"/>
      <c r="G43" s="62"/>
      <c r="H43" s="62"/>
      <c r="I43" s="62"/>
      <c r="J43" s="62"/>
      <c r="K43" s="99"/>
      <c r="L43" s="100"/>
      <c r="M43" s="100"/>
      <c r="N43" s="100"/>
      <c r="O43" s="100"/>
      <c r="P43" s="100"/>
      <c r="Q43" s="101"/>
      <c r="R43" s="62"/>
      <c r="S43" s="62"/>
      <c r="T43" s="62"/>
      <c r="U43" s="62"/>
    </row>
    <row r="44" spans="1:21" ht="18" customHeight="1">
      <c r="B44" s="102"/>
      <c r="C44" s="103"/>
      <c r="D44" s="103"/>
      <c r="E44" s="103"/>
      <c r="F44" s="104"/>
      <c r="G44" s="63"/>
      <c r="H44" s="63"/>
      <c r="I44" s="64"/>
      <c r="J44" s="64"/>
      <c r="K44" s="102"/>
      <c r="L44" s="103"/>
      <c r="M44" s="103"/>
      <c r="N44" s="103"/>
      <c r="O44" s="103"/>
      <c r="P44" s="103"/>
      <c r="Q44" s="104"/>
      <c r="R44" s="63"/>
      <c r="S44" s="63"/>
      <c r="T44" s="64"/>
      <c r="U44" s="64"/>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05" t="s">
        <v>32</v>
      </c>
      <c r="B46" s="105"/>
      <c r="C46" s="105"/>
      <c r="D46" s="105"/>
      <c r="E46" s="105"/>
      <c r="F46" s="105"/>
      <c r="G46" s="105"/>
      <c r="H46" s="105"/>
      <c r="I46" s="105"/>
      <c r="J46" s="105"/>
      <c r="K46" s="105"/>
      <c r="L46" s="105"/>
      <c r="M46" s="105"/>
      <c r="N46" s="105"/>
      <c r="O46" s="105"/>
      <c r="P46" s="105"/>
      <c r="Q46" s="105"/>
      <c r="R46" s="105"/>
      <c r="S46" s="105"/>
      <c r="T46" s="105"/>
      <c r="U46" s="105"/>
    </row>
    <row r="47" spans="1:21" ht="18" customHeight="1">
      <c r="A47" s="105"/>
      <c r="B47" s="105"/>
      <c r="C47" s="105"/>
      <c r="D47" s="105"/>
      <c r="E47" s="105"/>
      <c r="F47" s="105"/>
      <c r="G47" s="105"/>
      <c r="H47" s="105"/>
      <c r="I47" s="105"/>
      <c r="J47" s="105"/>
      <c r="K47" s="105"/>
      <c r="L47" s="105"/>
      <c r="M47" s="105"/>
      <c r="N47" s="105"/>
      <c r="O47" s="105"/>
      <c r="P47" s="105"/>
      <c r="Q47" s="105"/>
      <c r="R47" s="105"/>
      <c r="S47" s="105"/>
      <c r="T47" s="105"/>
      <c r="U47" s="105"/>
    </row>
    <row r="48" spans="1:21" ht="18" customHeight="1">
      <c r="B48" s="112" t="s">
        <v>21</v>
      </c>
      <c r="C48" s="113"/>
      <c r="D48" s="113"/>
      <c r="E48" s="113"/>
      <c r="F48" s="114"/>
      <c r="G48" s="58" t="s">
        <v>22</v>
      </c>
      <c r="H48" s="59" t="s">
        <v>23</v>
      </c>
      <c r="I48" s="60" t="s">
        <v>33</v>
      </c>
      <c r="J48" s="60" t="s">
        <v>34</v>
      </c>
      <c r="K48" s="112" t="s">
        <v>21</v>
      </c>
      <c r="L48" s="113"/>
      <c r="M48" s="113"/>
      <c r="N48" s="113"/>
      <c r="O48" s="113"/>
      <c r="P48" s="113"/>
      <c r="Q48" s="114"/>
      <c r="R48" s="58" t="s">
        <v>22</v>
      </c>
      <c r="S48" s="59" t="s">
        <v>23</v>
      </c>
      <c r="T48" s="60" t="s">
        <v>33</v>
      </c>
      <c r="U48" s="60" t="s">
        <v>34</v>
      </c>
    </row>
    <row r="49" spans="1:21" ht="18" customHeight="1">
      <c r="A49" s="3"/>
      <c r="B49" s="145" t="s">
        <v>26</v>
      </c>
      <c r="C49" s="146"/>
      <c r="D49" s="146"/>
      <c r="E49" s="146"/>
      <c r="F49" s="147"/>
      <c r="G49" s="85">
        <v>1</v>
      </c>
      <c r="H49" s="85" t="s">
        <v>27</v>
      </c>
      <c r="I49" s="85" t="s">
        <v>27</v>
      </c>
      <c r="J49" s="85" t="s">
        <v>27</v>
      </c>
      <c r="K49" s="106"/>
      <c r="L49" s="107"/>
      <c r="M49" s="107"/>
      <c r="N49" s="107"/>
      <c r="O49" s="107"/>
      <c r="P49" s="107"/>
      <c r="Q49" s="108"/>
      <c r="R49" s="61"/>
      <c r="S49" s="61"/>
      <c r="T49" s="61"/>
      <c r="U49" s="61"/>
    </row>
    <row r="50" spans="1:21" ht="18" customHeight="1">
      <c r="A50" s="3"/>
      <c r="B50" s="123" t="s">
        <v>31</v>
      </c>
      <c r="C50" s="124"/>
      <c r="D50" s="124"/>
      <c r="E50" s="124"/>
      <c r="F50" s="125"/>
      <c r="G50" s="86">
        <v>1</v>
      </c>
      <c r="H50" s="86" t="s">
        <v>27</v>
      </c>
      <c r="I50" s="86" t="s">
        <v>27</v>
      </c>
      <c r="J50" s="86" t="s">
        <v>27</v>
      </c>
      <c r="K50" s="99"/>
      <c r="L50" s="100"/>
      <c r="M50" s="100"/>
      <c r="N50" s="100"/>
      <c r="O50" s="100"/>
      <c r="P50" s="100"/>
      <c r="Q50" s="101"/>
      <c r="R50" s="62"/>
      <c r="S50" s="62"/>
      <c r="T50" s="62"/>
      <c r="U50" s="62"/>
    </row>
    <row r="51" spans="1:21" ht="18" customHeight="1">
      <c r="A51" s="3"/>
      <c r="B51" s="99"/>
      <c r="C51" s="100"/>
      <c r="D51" s="100"/>
      <c r="E51" s="100"/>
      <c r="F51" s="101"/>
      <c r="G51" s="62"/>
      <c r="H51" s="62"/>
      <c r="I51" s="62"/>
      <c r="J51" s="62"/>
      <c r="K51" s="99"/>
      <c r="L51" s="100"/>
      <c r="M51" s="100"/>
      <c r="N51" s="100"/>
      <c r="O51" s="100"/>
      <c r="P51" s="100"/>
      <c r="Q51" s="101"/>
      <c r="R51" s="62"/>
      <c r="S51" s="62"/>
      <c r="T51" s="62"/>
      <c r="U51" s="62"/>
    </row>
    <row r="52" spans="1:21" ht="18" customHeight="1">
      <c r="A52" s="3"/>
      <c r="B52" s="99"/>
      <c r="C52" s="100"/>
      <c r="D52" s="100"/>
      <c r="E52" s="100"/>
      <c r="F52" s="101"/>
      <c r="G52" s="62"/>
      <c r="H52" s="62"/>
      <c r="I52" s="62"/>
      <c r="J52" s="62"/>
      <c r="K52" s="99"/>
      <c r="L52" s="100"/>
      <c r="M52" s="100"/>
      <c r="N52" s="100"/>
      <c r="O52" s="100"/>
      <c r="P52" s="100"/>
      <c r="Q52" s="101"/>
      <c r="R52" s="62"/>
      <c r="S52" s="62"/>
      <c r="T52" s="62"/>
      <c r="U52" s="62"/>
    </row>
    <row r="53" spans="1:21" ht="18" customHeight="1">
      <c r="A53" s="3"/>
      <c r="B53" s="99"/>
      <c r="C53" s="100"/>
      <c r="D53" s="100"/>
      <c r="E53" s="100"/>
      <c r="F53" s="101"/>
      <c r="G53" s="62"/>
      <c r="H53" s="62"/>
      <c r="I53" s="62"/>
      <c r="J53" s="62"/>
      <c r="K53" s="99"/>
      <c r="L53" s="100"/>
      <c r="M53" s="100"/>
      <c r="N53" s="100"/>
      <c r="O53" s="100"/>
      <c r="P53" s="100"/>
      <c r="Q53" s="101"/>
      <c r="R53" s="62"/>
      <c r="S53" s="62"/>
      <c r="T53" s="62"/>
      <c r="U53" s="62"/>
    </row>
    <row r="54" spans="1:21" ht="18" customHeight="1">
      <c r="A54" s="3"/>
      <c r="B54" s="99"/>
      <c r="C54" s="100"/>
      <c r="D54" s="100"/>
      <c r="E54" s="100"/>
      <c r="F54" s="101"/>
      <c r="G54" s="62"/>
      <c r="H54" s="62"/>
      <c r="I54" s="62"/>
      <c r="J54" s="62"/>
      <c r="K54" s="99"/>
      <c r="L54" s="100"/>
      <c r="M54" s="100"/>
      <c r="N54" s="100"/>
      <c r="O54" s="100"/>
      <c r="P54" s="100"/>
      <c r="Q54" s="101"/>
      <c r="R54" s="62"/>
      <c r="S54" s="62"/>
      <c r="T54" s="62"/>
      <c r="U54" s="62"/>
    </row>
    <row r="55" spans="1:21" ht="18" customHeight="1">
      <c r="A55" s="3"/>
      <c r="B55" s="102"/>
      <c r="C55" s="103"/>
      <c r="D55" s="103"/>
      <c r="E55" s="103"/>
      <c r="F55" s="104"/>
      <c r="G55" s="63"/>
      <c r="H55" s="63"/>
      <c r="I55" s="64"/>
      <c r="J55" s="64"/>
      <c r="K55" s="102"/>
      <c r="L55" s="103"/>
      <c r="M55" s="103"/>
      <c r="N55" s="103"/>
      <c r="O55" s="103"/>
      <c r="P55" s="103"/>
      <c r="Q55" s="104"/>
      <c r="R55" s="63"/>
      <c r="S55" s="63"/>
      <c r="T55" s="64"/>
      <c r="U55" s="64"/>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05" t="s">
        <v>35</v>
      </c>
      <c r="B57" s="105"/>
      <c r="C57" s="105"/>
      <c r="D57" s="105"/>
      <c r="E57" s="105"/>
      <c r="F57" s="105"/>
      <c r="G57" s="105"/>
      <c r="H57" s="105"/>
      <c r="I57" s="105"/>
      <c r="J57" s="105"/>
      <c r="K57" s="105"/>
      <c r="L57" s="105"/>
      <c r="M57" s="105"/>
      <c r="N57" s="105"/>
      <c r="O57" s="105"/>
      <c r="P57" s="105"/>
      <c r="Q57" s="105"/>
      <c r="R57" s="105"/>
      <c r="S57" s="105"/>
      <c r="T57" s="105"/>
      <c r="U57" s="105"/>
    </row>
    <row r="58" spans="1:21" ht="18" customHeight="1">
      <c r="A58" s="105"/>
      <c r="B58" s="105"/>
      <c r="C58" s="105"/>
      <c r="D58" s="105"/>
      <c r="E58" s="105"/>
      <c r="F58" s="105"/>
      <c r="G58" s="105"/>
      <c r="H58" s="105"/>
      <c r="I58" s="105"/>
      <c r="J58" s="105"/>
      <c r="K58" s="105"/>
      <c r="L58" s="105"/>
      <c r="M58" s="105"/>
      <c r="N58" s="105"/>
      <c r="O58" s="105"/>
      <c r="P58" s="105"/>
      <c r="Q58" s="105"/>
      <c r="R58" s="105"/>
      <c r="S58" s="105"/>
      <c r="T58" s="105"/>
      <c r="U58" s="105"/>
    </row>
    <row r="59" spans="1:21" ht="18" customHeight="1">
      <c r="B59" s="112" t="s">
        <v>21</v>
      </c>
      <c r="C59" s="113"/>
      <c r="D59" s="113"/>
      <c r="E59" s="113"/>
      <c r="F59" s="114"/>
      <c r="G59" s="58" t="s">
        <v>22</v>
      </c>
      <c r="H59" s="59" t="s">
        <v>23</v>
      </c>
      <c r="I59" s="60" t="s">
        <v>36</v>
      </c>
      <c r="J59" s="60" t="s">
        <v>37</v>
      </c>
      <c r="K59" s="112" t="s">
        <v>21</v>
      </c>
      <c r="L59" s="113"/>
      <c r="M59" s="113"/>
      <c r="N59" s="113"/>
      <c r="O59" s="113"/>
      <c r="P59" s="113"/>
      <c r="Q59" s="114"/>
      <c r="R59" s="58" t="s">
        <v>22</v>
      </c>
      <c r="S59" s="59" t="s">
        <v>23</v>
      </c>
      <c r="T59" s="60" t="s">
        <v>36</v>
      </c>
      <c r="U59" s="60" t="s">
        <v>37</v>
      </c>
    </row>
    <row r="60" spans="1:21" ht="18" customHeight="1">
      <c r="A60" s="3"/>
      <c r="B60" s="145" t="s">
        <v>26</v>
      </c>
      <c r="C60" s="146"/>
      <c r="D60" s="146"/>
      <c r="E60" s="146"/>
      <c r="F60" s="147"/>
      <c r="G60" s="85">
        <v>1</v>
      </c>
      <c r="H60" s="85" t="s">
        <v>27</v>
      </c>
      <c r="I60" s="85" t="s">
        <v>27</v>
      </c>
      <c r="J60" s="85" t="s">
        <v>27</v>
      </c>
      <c r="K60" s="106"/>
      <c r="L60" s="107"/>
      <c r="M60" s="107"/>
      <c r="N60" s="107"/>
      <c r="O60" s="107"/>
      <c r="P60" s="107"/>
      <c r="Q60" s="108"/>
      <c r="R60" s="61"/>
      <c r="S60" s="61"/>
      <c r="T60" s="61"/>
      <c r="U60" s="61"/>
    </row>
    <row r="61" spans="1:21" ht="18" customHeight="1">
      <c r="A61" s="3"/>
      <c r="B61" s="123" t="s">
        <v>31</v>
      </c>
      <c r="C61" s="124"/>
      <c r="D61" s="124"/>
      <c r="E61" s="124"/>
      <c r="F61" s="125"/>
      <c r="G61" s="86">
        <v>1</v>
      </c>
      <c r="H61" s="86" t="s">
        <v>27</v>
      </c>
      <c r="I61" s="86"/>
      <c r="J61" s="86" t="s">
        <v>27</v>
      </c>
      <c r="K61" s="99"/>
      <c r="L61" s="100"/>
      <c r="M61" s="100"/>
      <c r="N61" s="100"/>
      <c r="O61" s="100"/>
      <c r="P61" s="100"/>
      <c r="Q61" s="101"/>
      <c r="R61" s="62"/>
      <c r="S61" s="62"/>
      <c r="T61" s="62"/>
      <c r="U61" s="62"/>
    </row>
    <row r="62" spans="1:21" ht="18" customHeight="1">
      <c r="A62" s="3"/>
      <c r="B62" s="99"/>
      <c r="C62" s="100"/>
      <c r="D62" s="100"/>
      <c r="E62" s="100"/>
      <c r="F62" s="101"/>
      <c r="G62" s="62"/>
      <c r="H62" s="62"/>
      <c r="I62" s="62"/>
      <c r="J62" s="62"/>
      <c r="K62" s="99"/>
      <c r="L62" s="100"/>
      <c r="M62" s="100"/>
      <c r="N62" s="100"/>
      <c r="O62" s="100"/>
      <c r="P62" s="100"/>
      <c r="Q62" s="101"/>
      <c r="R62" s="62"/>
      <c r="S62" s="62"/>
      <c r="T62" s="62"/>
      <c r="U62" s="62"/>
    </row>
    <row r="63" spans="1:21" ht="18" customHeight="1">
      <c r="A63" s="3"/>
      <c r="B63" s="99"/>
      <c r="C63" s="100"/>
      <c r="D63" s="100"/>
      <c r="E63" s="100"/>
      <c r="F63" s="101"/>
      <c r="G63" s="62"/>
      <c r="H63" s="62"/>
      <c r="I63" s="62"/>
      <c r="J63" s="62"/>
      <c r="K63" s="99"/>
      <c r="L63" s="100"/>
      <c r="M63" s="100"/>
      <c r="N63" s="100"/>
      <c r="O63" s="100"/>
      <c r="P63" s="100"/>
      <c r="Q63" s="101"/>
      <c r="R63" s="62"/>
      <c r="S63" s="62"/>
      <c r="T63" s="62"/>
      <c r="U63" s="62"/>
    </row>
    <row r="64" spans="1:21" ht="18" customHeight="1">
      <c r="A64" s="3"/>
      <c r="B64" s="99"/>
      <c r="C64" s="100"/>
      <c r="D64" s="100"/>
      <c r="E64" s="100"/>
      <c r="F64" s="101"/>
      <c r="G64" s="62"/>
      <c r="H64" s="62"/>
      <c r="I64" s="62"/>
      <c r="J64" s="62"/>
      <c r="K64" s="99"/>
      <c r="L64" s="100"/>
      <c r="M64" s="100"/>
      <c r="N64" s="100"/>
      <c r="O64" s="100"/>
      <c r="P64" s="100"/>
      <c r="Q64" s="101"/>
      <c r="R64" s="62"/>
      <c r="S64" s="62"/>
      <c r="T64" s="62"/>
      <c r="U64" s="62"/>
    </row>
    <row r="65" spans="1:27" ht="18" customHeight="1">
      <c r="A65" s="3"/>
      <c r="B65" s="99"/>
      <c r="C65" s="100"/>
      <c r="D65" s="100"/>
      <c r="E65" s="100"/>
      <c r="F65" s="101"/>
      <c r="G65" s="62"/>
      <c r="H65" s="62"/>
      <c r="I65" s="62"/>
      <c r="J65" s="62"/>
      <c r="K65" s="99"/>
      <c r="L65" s="100"/>
      <c r="M65" s="100"/>
      <c r="N65" s="100"/>
      <c r="O65" s="100"/>
      <c r="P65" s="100"/>
      <c r="Q65" s="101"/>
      <c r="R65" s="62"/>
      <c r="S65" s="62"/>
      <c r="T65" s="62"/>
      <c r="U65" s="62"/>
    </row>
    <row r="66" spans="1:27" ht="18" customHeight="1">
      <c r="A66" s="3"/>
      <c r="B66" s="102"/>
      <c r="C66" s="103"/>
      <c r="D66" s="103"/>
      <c r="E66" s="103"/>
      <c r="F66" s="104"/>
      <c r="G66" s="63"/>
      <c r="H66" s="63"/>
      <c r="I66" s="64"/>
      <c r="J66" s="64"/>
      <c r="K66" s="102"/>
      <c r="L66" s="103"/>
      <c r="M66" s="103"/>
      <c r="N66" s="103"/>
      <c r="O66" s="103"/>
      <c r="P66" s="103"/>
      <c r="Q66" s="104"/>
      <c r="R66" s="63"/>
      <c r="S66" s="63"/>
      <c r="T66" s="64"/>
      <c r="U66" s="64"/>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105" t="s">
        <v>38</v>
      </c>
      <c r="B68" s="105"/>
      <c r="C68" s="105"/>
      <c r="D68" s="105"/>
      <c r="E68" s="105"/>
      <c r="F68" s="105"/>
      <c r="G68" s="105"/>
      <c r="H68" s="105"/>
      <c r="I68" s="105"/>
      <c r="J68" s="105"/>
      <c r="K68" s="105"/>
      <c r="L68" s="105"/>
      <c r="M68" s="105"/>
      <c r="N68" s="105"/>
      <c r="O68" s="105"/>
      <c r="P68" s="105"/>
      <c r="Q68" s="105"/>
      <c r="R68" s="105"/>
      <c r="S68" s="105"/>
      <c r="T68" s="105"/>
      <c r="U68" s="105"/>
    </row>
    <row r="69" spans="1:27" ht="18" customHeight="1">
      <c r="A69" s="105"/>
      <c r="B69" s="105"/>
      <c r="C69" s="105"/>
      <c r="D69" s="105"/>
      <c r="E69" s="105"/>
      <c r="F69" s="105"/>
      <c r="G69" s="105"/>
      <c r="H69" s="105"/>
      <c r="I69" s="105"/>
      <c r="J69" s="105"/>
      <c r="K69" s="105"/>
      <c r="L69" s="105"/>
      <c r="M69" s="105"/>
      <c r="N69" s="105"/>
      <c r="O69" s="105"/>
      <c r="P69" s="105"/>
      <c r="Q69" s="105"/>
      <c r="R69" s="105"/>
      <c r="S69" s="105"/>
      <c r="T69" s="105"/>
      <c r="U69" s="105"/>
    </row>
    <row r="70" spans="1:27" ht="18" customHeight="1">
      <c r="B70" s="112" t="s">
        <v>21</v>
      </c>
      <c r="C70" s="113"/>
      <c r="D70" s="113"/>
      <c r="E70" s="113"/>
      <c r="F70" s="58" t="s">
        <v>22</v>
      </c>
      <c r="G70" s="59" t="s">
        <v>23</v>
      </c>
      <c r="H70" s="60" t="s">
        <v>39</v>
      </c>
      <c r="I70" s="60" t="s">
        <v>40</v>
      </c>
      <c r="J70" s="60" t="s">
        <v>41</v>
      </c>
      <c r="K70" s="112" t="s">
        <v>21</v>
      </c>
      <c r="L70" s="113"/>
      <c r="M70" s="113"/>
      <c r="N70" s="113"/>
      <c r="O70" s="113"/>
      <c r="P70" s="114"/>
      <c r="Q70" s="58" t="s">
        <v>22</v>
      </c>
      <c r="R70" s="59" t="s">
        <v>23</v>
      </c>
      <c r="S70" s="60" t="s">
        <v>39</v>
      </c>
      <c r="T70" s="60" t="s">
        <v>40</v>
      </c>
      <c r="U70" s="60" t="s">
        <v>41</v>
      </c>
    </row>
    <row r="71" spans="1:27" ht="18" customHeight="1">
      <c r="A71" s="3"/>
      <c r="B71" s="123" t="s">
        <v>31</v>
      </c>
      <c r="C71" s="124"/>
      <c r="D71" s="124"/>
      <c r="E71" s="125"/>
      <c r="F71" s="86">
        <v>1</v>
      </c>
      <c r="G71" s="86" t="s">
        <v>27</v>
      </c>
      <c r="H71" s="86" t="s">
        <v>27</v>
      </c>
      <c r="I71" s="86" t="s">
        <v>27</v>
      </c>
      <c r="J71" s="86" t="s">
        <v>27</v>
      </c>
      <c r="K71" s="106"/>
      <c r="L71" s="107"/>
      <c r="M71" s="107"/>
      <c r="N71" s="107"/>
      <c r="O71" s="107"/>
      <c r="P71" s="108"/>
      <c r="Q71" s="61"/>
      <c r="R71" s="61"/>
      <c r="S71" s="61"/>
      <c r="T71" s="61"/>
      <c r="U71" s="61"/>
    </row>
    <row r="72" spans="1:27" ht="18" customHeight="1">
      <c r="A72" s="3"/>
      <c r="B72" s="99"/>
      <c r="C72" s="100"/>
      <c r="D72" s="100"/>
      <c r="E72" s="100"/>
      <c r="F72" s="62"/>
      <c r="G72" s="62"/>
      <c r="H72" s="62"/>
      <c r="I72" s="62"/>
      <c r="J72" s="62"/>
      <c r="K72" s="99"/>
      <c r="L72" s="100"/>
      <c r="M72" s="100"/>
      <c r="N72" s="100"/>
      <c r="O72" s="100"/>
      <c r="P72" s="101"/>
      <c r="Q72" s="62"/>
      <c r="R72" s="62"/>
      <c r="S72" s="62"/>
      <c r="T72" s="62"/>
      <c r="U72" s="62"/>
    </row>
    <row r="73" spans="1:27" ht="18" customHeight="1">
      <c r="A73" s="3"/>
      <c r="B73" s="99"/>
      <c r="C73" s="100"/>
      <c r="D73" s="100"/>
      <c r="E73" s="100"/>
      <c r="F73" s="62"/>
      <c r="G73" s="62"/>
      <c r="H73" s="62"/>
      <c r="I73" s="62"/>
      <c r="J73" s="62"/>
      <c r="K73" s="99"/>
      <c r="L73" s="100"/>
      <c r="M73" s="100"/>
      <c r="N73" s="100"/>
      <c r="O73" s="100"/>
      <c r="P73" s="101"/>
      <c r="Q73" s="62"/>
      <c r="R73" s="62"/>
      <c r="S73" s="62"/>
      <c r="T73" s="62"/>
      <c r="U73" s="62"/>
    </row>
    <row r="74" spans="1:27" ht="18" customHeight="1">
      <c r="A74" s="3"/>
      <c r="B74" s="99"/>
      <c r="C74" s="100"/>
      <c r="D74" s="100"/>
      <c r="E74" s="100"/>
      <c r="F74" s="62"/>
      <c r="G74" s="62"/>
      <c r="H74" s="62"/>
      <c r="I74" s="62"/>
      <c r="J74" s="62"/>
      <c r="K74" s="99"/>
      <c r="L74" s="100"/>
      <c r="M74" s="100"/>
      <c r="N74" s="100"/>
      <c r="O74" s="100"/>
      <c r="P74" s="101"/>
      <c r="Q74" s="62"/>
      <c r="R74" s="62"/>
      <c r="S74" s="62"/>
      <c r="T74" s="62"/>
      <c r="U74" s="62"/>
    </row>
    <row r="75" spans="1:27" ht="18" customHeight="1">
      <c r="A75" s="3"/>
      <c r="B75" s="99"/>
      <c r="C75" s="100"/>
      <c r="D75" s="100"/>
      <c r="E75" s="100"/>
      <c r="F75" s="62"/>
      <c r="G75" s="62"/>
      <c r="H75" s="62"/>
      <c r="I75" s="62"/>
      <c r="J75" s="62"/>
      <c r="K75" s="99"/>
      <c r="L75" s="100"/>
      <c r="M75" s="100"/>
      <c r="N75" s="100"/>
      <c r="O75" s="100"/>
      <c r="P75" s="101"/>
      <c r="Q75" s="62"/>
      <c r="R75" s="62"/>
      <c r="S75" s="62"/>
      <c r="T75" s="62"/>
      <c r="U75" s="62"/>
    </row>
    <row r="76" spans="1:27" ht="18" customHeight="1">
      <c r="A76" s="3"/>
      <c r="B76" s="99"/>
      <c r="C76" s="100"/>
      <c r="D76" s="100"/>
      <c r="E76" s="100"/>
      <c r="F76" s="62"/>
      <c r="G76" s="62"/>
      <c r="H76" s="62"/>
      <c r="I76" s="62"/>
      <c r="J76" s="62"/>
      <c r="K76" s="99"/>
      <c r="L76" s="100"/>
      <c r="M76" s="100"/>
      <c r="N76" s="100"/>
      <c r="O76" s="100"/>
      <c r="P76" s="101"/>
      <c r="Q76" s="62"/>
      <c r="R76" s="62"/>
      <c r="S76" s="62"/>
      <c r="T76" s="62"/>
      <c r="U76" s="62"/>
    </row>
    <row r="77" spans="1:27" ht="18" customHeight="1">
      <c r="A77" s="3"/>
      <c r="B77" s="102"/>
      <c r="C77" s="103"/>
      <c r="D77" s="103"/>
      <c r="E77" s="103"/>
      <c r="F77" s="63"/>
      <c r="G77" s="63"/>
      <c r="H77" s="64"/>
      <c r="I77" s="64"/>
      <c r="J77" s="64"/>
      <c r="K77" s="102"/>
      <c r="L77" s="103"/>
      <c r="M77" s="103"/>
      <c r="N77" s="103"/>
      <c r="O77" s="103"/>
      <c r="P77" s="104"/>
      <c r="Q77" s="63"/>
      <c r="R77" s="63"/>
      <c r="S77" s="64"/>
      <c r="T77" s="64"/>
      <c r="U77" s="64"/>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42</v>
      </c>
      <c r="I79" s="3"/>
      <c r="J79" s="3"/>
      <c r="K79" s="3"/>
      <c r="L79" s="3"/>
      <c r="M79" s="3"/>
      <c r="N79" s="3"/>
      <c r="O79" s="3"/>
      <c r="P79" s="3"/>
      <c r="Q79" s="3"/>
      <c r="R79" s="3"/>
      <c r="S79" s="3"/>
      <c r="T79" s="3"/>
      <c r="U79" s="3"/>
    </row>
    <row r="80" spans="1:27" ht="18" customHeight="1">
      <c r="B80" s="112" t="s">
        <v>21</v>
      </c>
      <c r="C80" s="113"/>
      <c r="D80" s="113"/>
      <c r="E80" s="113"/>
      <c r="F80" s="114"/>
      <c r="G80" s="112" t="s">
        <v>43</v>
      </c>
      <c r="H80" s="113"/>
      <c r="I80" s="113"/>
      <c r="J80" s="114"/>
      <c r="K80" s="120" t="s">
        <v>21</v>
      </c>
      <c r="L80" s="121"/>
      <c r="M80" s="121"/>
      <c r="N80" s="121"/>
      <c r="O80" s="121"/>
      <c r="P80" s="121"/>
      <c r="Q80" s="122"/>
      <c r="R80" s="112" t="s">
        <v>43</v>
      </c>
      <c r="S80" s="113"/>
      <c r="T80" s="113"/>
      <c r="U80" s="114"/>
      <c r="AA80" s="1" t="s">
        <v>44</v>
      </c>
    </row>
    <row r="81" spans="1:27" ht="18" customHeight="1">
      <c r="A81" s="3"/>
      <c r="B81" s="106"/>
      <c r="C81" s="107"/>
      <c r="D81" s="107"/>
      <c r="E81" s="107"/>
      <c r="F81" s="108"/>
      <c r="G81" s="109"/>
      <c r="H81" s="110"/>
      <c r="I81" s="110"/>
      <c r="J81" s="111"/>
      <c r="K81" s="106"/>
      <c r="L81" s="107"/>
      <c r="M81" s="107"/>
      <c r="N81" s="107"/>
      <c r="O81" s="107"/>
      <c r="P81" s="107"/>
      <c r="Q81" s="108"/>
      <c r="R81" s="109"/>
      <c r="S81" s="110"/>
      <c r="T81" s="110"/>
      <c r="U81" s="111"/>
      <c r="AA81" s="1" t="s">
        <v>45</v>
      </c>
    </row>
    <row r="82" spans="1:27" ht="18" customHeight="1">
      <c r="A82" s="3"/>
      <c r="B82" s="99"/>
      <c r="C82" s="100"/>
      <c r="D82" s="100"/>
      <c r="E82" s="100"/>
      <c r="F82" s="101"/>
      <c r="G82" s="117"/>
      <c r="H82" s="118"/>
      <c r="I82" s="118"/>
      <c r="J82" s="119"/>
      <c r="K82" s="99"/>
      <c r="L82" s="100"/>
      <c r="M82" s="100"/>
      <c r="N82" s="100"/>
      <c r="O82" s="100"/>
      <c r="P82" s="100"/>
      <c r="Q82" s="101"/>
      <c r="R82" s="117"/>
      <c r="S82" s="118"/>
      <c r="T82" s="118"/>
      <c r="U82" s="119"/>
      <c r="AA82" s="1" t="s">
        <v>46</v>
      </c>
    </row>
    <row r="83" spans="1:27" ht="18" customHeight="1">
      <c r="A83" s="3"/>
      <c r="B83" s="99"/>
      <c r="C83" s="100"/>
      <c r="D83" s="100"/>
      <c r="E83" s="100"/>
      <c r="F83" s="101"/>
      <c r="G83" s="117"/>
      <c r="H83" s="118"/>
      <c r="I83" s="118"/>
      <c r="J83" s="119"/>
      <c r="K83" s="99"/>
      <c r="L83" s="100"/>
      <c r="M83" s="100"/>
      <c r="N83" s="100"/>
      <c r="O83" s="100"/>
      <c r="P83" s="100"/>
      <c r="Q83" s="101"/>
      <c r="R83" s="117"/>
      <c r="S83" s="118"/>
      <c r="T83" s="118"/>
      <c r="U83" s="119"/>
      <c r="AA83" s="1" t="s">
        <v>47</v>
      </c>
    </row>
    <row r="84" spans="1:27" ht="18" customHeight="1">
      <c r="A84" s="3"/>
      <c r="B84" s="99"/>
      <c r="C84" s="100"/>
      <c r="D84" s="100"/>
      <c r="E84" s="100"/>
      <c r="F84" s="101"/>
      <c r="G84" s="117"/>
      <c r="H84" s="118"/>
      <c r="I84" s="118"/>
      <c r="J84" s="119"/>
      <c r="K84" s="99"/>
      <c r="L84" s="100"/>
      <c r="M84" s="100"/>
      <c r="N84" s="100"/>
      <c r="O84" s="100"/>
      <c r="P84" s="100"/>
      <c r="Q84" s="101"/>
      <c r="R84" s="117"/>
      <c r="S84" s="118"/>
      <c r="T84" s="118"/>
      <c r="U84" s="119"/>
      <c r="AA84" s="1" t="s">
        <v>48</v>
      </c>
    </row>
    <row r="85" spans="1:27" ht="18" customHeight="1">
      <c r="A85" s="3"/>
      <c r="B85" s="99"/>
      <c r="C85" s="100"/>
      <c r="D85" s="100"/>
      <c r="E85" s="100"/>
      <c r="F85" s="101"/>
      <c r="G85" s="117"/>
      <c r="H85" s="118"/>
      <c r="I85" s="118"/>
      <c r="J85" s="119"/>
      <c r="K85" s="99"/>
      <c r="L85" s="100"/>
      <c r="M85" s="100"/>
      <c r="N85" s="100"/>
      <c r="O85" s="100"/>
      <c r="P85" s="100"/>
      <c r="Q85" s="101"/>
      <c r="R85" s="117"/>
      <c r="S85" s="118"/>
      <c r="T85" s="118"/>
      <c r="U85" s="119"/>
      <c r="AA85" s="1" t="s">
        <v>49</v>
      </c>
    </row>
    <row r="86" spans="1:27" ht="18" customHeight="1">
      <c r="A86" s="3"/>
      <c r="B86" s="99"/>
      <c r="C86" s="100"/>
      <c r="D86" s="100"/>
      <c r="E86" s="100"/>
      <c r="F86" s="101"/>
      <c r="G86" s="117"/>
      <c r="H86" s="118"/>
      <c r="I86" s="118"/>
      <c r="J86" s="119"/>
      <c r="K86" s="99"/>
      <c r="L86" s="100"/>
      <c r="M86" s="100"/>
      <c r="N86" s="100"/>
      <c r="O86" s="100"/>
      <c r="P86" s="100"/>
      <c r="Q86" s="101"/>
      <c r="R86" s="117"/>
      <c r="S86" s="118"/>
      <c r="T86" s="118"/>
      <c r="U86" s="119"/>
      <c r="AA86" s="1" t="s">
        <v>50</v>
      </c>
    </row>
    <row r="87" spans="1:27" ht="18" customHeight="1">
      <c r="A87" s="3"/>
      <c r="B87" s="102"/>
      <c r="C87" s="103"/>
      <c r="D87" s="103"/>
      <c r="E87" s="103"/>
      <c r="F87" s="104"/>
      <c r="G87" s="139"/>
      <c r="H87" s="140"/>
      <c r="I87" s="140"/>
      <c r="J87" s="141"/>
      <c r="K87" s="102"/>
      <c r="L87" s="103"/>
      <c r="M87" s="103"/>
      <c r="N87" s="103"/>
      <c r="O87" s="103"/>
      <c r="P87" s="103"/>
      <c r="Q87" s="104"/>
      <c r="R87" s="139"/>
      <c r="S87" s="140"/>
      <c r="T87" s="140"/>
      <c r="U87" s="141"/>
      <c r="AA87" s="1" t="s">
        <v>51</v>
      </c>
    </row>
    <row r="88" spans="1:27" ht="18" customHeight="1">
      <c r="A88" s="3"/>
      <c r="B88" s="6"/>
      <c r="C88" s="6"/>
      <c r="D88" s="6"/>
      <c r="E88" s="6"/>
      <c r="F88" s="6"/>
      <c r="G88" s="65"/>
      <c r="H88" s="65"/>
      <c r="I88" s="65"/>
      <c r="J88" s="65"/>
      <c r="K88" s="6"/>
      <c r="L88" s="6"/>
      <c r="M88" s="6"/>
      <c r="N88" s="6"/>
      <c r="O88" s="6"/>
      <c r="P88" s="6"/>
      <c r="Q88" s="6"/>
      <c r="R88" s="65"/>
      <c r="S88" s="65"/>
      <c r="T88" s="65"/>
      <c r="U88" s="65"/>
      <c r="AA88" s="1" t="s">
        <v>52</v>
      </c>
    </row>
    <row r="89" spans="1:27" ht="18.75" customHeight="1">
      <c r="A89" s="1" t="s">
        <v>53</v>
      </c>
      <c r="AA89" s="1" t="s">
        <v>54</v>
      </c>
    </row>
    <row r="90" spans="1:27" ht="18.75" customHeight="1">
      <c r="B90" s="143" t="s">
        <v>55</v>
      </c>
      <c r="C90" s="144"/>
      <c r="D90" s="112" t="s">
        <v>56</v>
      </c>
      <c r="E90" s="113"/>
      <c r="F90" s="113"/>
      <c r="G90" s="113"/>
      <c r="H90" s="113"/>
      <c r="I90" s="113"/>
      <c r="J90" s="113"/>
      <c r="K90" s="113"/>
      <c r="L90" s="113"/>
      <c r="M90" s="113"/>
      <c r="N90" s="113"/>
      <c r="O90" s="113"/>
      <c r="P90" s="113"/>
      <c r="Q90" s="113"/>
      <c r="R90" s="113"/>
      <c r="S90" s="113"/>
      <c r="T90" s="113"/>
      <c r="U90" s="114"/>
    </row>
    <row r="91" spans="1:27" ht="97.5" customHeight="1">
      <c r="B91" s="115" t="s">
        <v>57</v>
      </c>
      <c r="C91" s="66" t="s">
        <v>24</v>
      </c>
      <c r="D91" s="158" t="s">
        <v>182</v>
      </c>
      <c r="E91" s="159"/>
      <c r="F91" s="159"/>
      <c r="G91" s="159"/>
      <c r="H91" s="159"/>
      <c r="I91" s="159"/>
      <c r="J91" s="159"/>
      <c r="K91" s="159"/>
      <c r="L91" s="159"/>
      <c r="M91" s="159"/>
      <c r="N91" s="159"/>
      <c r="O91" s="159"/>
      <c r="P91" s="159"/>
      <c r="Q91" s="159"/>
      <c r="R91" s="159"/>
      <c r="S91" s="159"/>
      <c r="T91" s="159"/>
      <c r="U91" s="160"/>
    </row>
    <row r="92" spans="1:27" ht="97.5" customHeight="1">
      <c r="B92" s="142"/>
      <c r="C92" s="67" t="s">
        <v>58</v>
      </c>
      <c r="D92" s="155" t="s">
        <v>181</v>
      </c>
      <c r="E92" s="156"/>
      <c r="F92" s="156"/>
      <c r="G92" s="156"/>
      <c r="H92" s="156"/>
      <c r="I92" s="156"/>
      <c r="J92" s="156"/>
      <c r="K92" s="156"/>
      <c r="L92" s="156"/>
      <c r="M92" s="156"/>
      <c r="N92" s="156"/>
      <c r="O92" s="156"/>
      <c r="P92" s="156"/>
      <c r="Q92" s="156"/>
      <c r="R92" s="156"/>
      <c r="S92" s="156"/>
      <c r="T92" s="156"/>
      <c r="U92" s="157"/>
    </row>
    <row r="93" spans="1:27" ht="97.5" customHeight="1">
      <c r="B93" s="115" t="s">
        <v>59</v>
      </c>
      <c r="C93" s="68" t="s">
        <v>29</v>
      </c>
      <c r="D93" s="158" t="s">
        <v>187</v>
      </c>
      <c r="E93" s="159"/>
      <c r="F93" s="159"/>
      <c r="G93" s="159"/>
      <c r="H93" s="159"/>
      <c r="I93" s="159"/>
      <c r="J93" s="159"/>
      <c r="K93" s="159"/>
      <c r="L93" s="159"/>
      <c r="M93" s="159"/>
      <c r="N93" s="159"/>
      <c r="O93" s="159"/>
      <c r="P93" s="159"/>
      <c r="Q93" s="159"/>
      <c r="R93" s="159"/>
      <c r="S93" s="159"/>
      <c r="T93" s="159"/>
      <c r="U93" s="160"/>
    </row>
    <row r="94" spans="1:27" ht="97.5" customHeight="1">
      <c r="B94" s="116"/>
      <c r="C94" s="69" t="s">
        <v>30</v>
      </c>
      <c r="D94" s="155" t="s">
        <v>189</v>
      </c>
      <c r="E94" s="156"/>
      <c r="F94" s="156"/>
      <c r="G94" s="156"/>
      <c r="H94" s="156"/>
      <c r="I94" s="156"/>
      <c r="J94" s="156"/>
      <c r="K94" s="156"/>
      <c r="L94" s="156"/>
      <c r="M94" s="156"/>
      <c r="N94" s="156"/>
      <c r="O94" s="156"/>
      <c r="P94" s="156"/>
      <c r="Q94" s="156"/>
      <c r="R94" s="156"/>
      <c r="S94" s="156"/>
      <c r="T94" s="156"/>
      <c r="U94" s="157"/>
    </row>
    <row r="95" spans="1:27" ht="97.5" customHeight="1">
      <c r="B95" s="115" t="s">
        <v>60</v>
      </c>
      <c r="C95" s="68" t="s">
        <v>33</v>
      </c>
      <c r="D95" s="158" t="s">
        <v>188</v>
      </c>
      <c r="E95" s="159"/>
      <c r="F95" s="159"/>
      <c r="G95" s="159"/>
      <c r="H95" s="159"/>
      <c r="I95" s="159"/>
      <c r="J95" s="159"/>
      <c r="K95" s="159"/>
      <c r="L95" s="159"/>
      <c r="M95" s="159"/>
      <c r="N95" s="159"/>
      <c r="O95" s="159"/>
      <c r="P95" s="159"/>
      <c r="Q95" s="159"/>
      <c r="R95" s="159"/>
      <c r="S95" s="159"/>
      <c r="T95" s="159"/>
      <c r="U95" s="160"/>
    </row>
    <row r="96" spans="1:27" ht="97.5" customHeight="1">
      <c r="B96" s="116"/>
      <c r="C96" s="70" t="s">
        <v>34</v>
      </c>
      <c r="D96" s="155" t="s">
        <v>190</v>
      </c>
      <c r="E96" s="156"/>
      <c r="F96" s="156"/>
      <c r="G96" s="156"/>
      <c r="H96" s="156"/>
      <c r="I96" s="156"/>
      <c r="J96" s="156"/>
      <c r="K96" s="156"/>
      <c r="L96" s="156"/>
      <c r="M96" s="156"/>
      <c r="N96" s="156"/>
      <c r="O96" s="156"/>
      <c r="P96" s="156"/>
      <c r="Q96" s="156"/>
      <c r="R96" s="156"/>
      <c r="S96" s="156"/>
      <c r="T96" s="156"/>
      <c r="U96" s="157"/>
    </row>
    <row r="97" spans="1:21" ht="113.5" customHeight="1">
      <c r="B97" s="115" t="s">
        <v>61</v>
      </c>
      <c r="C97" s="66" t="s">
        <v>36</v>
      </c>
      <c r="D97" s="158" t="s">
        <v>192</v>
      </c>
      <c r="E97" s="159"/>
      <c r="F97" s="159"/>
      <c r="G97" s="159"/>
      <c r="H97" s="159"/>
      <c r="I97" s="159"/>
      <c r="J97" s="159"/>
      <c r="K97" s="159"/>
      <c r="L97" s="159"/>
      <c r="M97" s="159"/>
      <c r="N97" s="159"/>
      <c r="O97" s="159"/>
      <c r="P97" s="159"/>
      <c r="Q97" s="159"/>
      <c r="R97" s="159"/>
      <c r="S97" s="159"/>
      <c r="T97" s="159"/>
      <c r="U97" s="160"/>
    </row>
    <row r="98" spans="1:21" ht="81" customHeight="1">
      <c r="B98" s="116"/>
      <c r="C98" s="69" t="s">
        <v>37</v>
      </c>
      <c r="D98" s="155" t="s">
        <v>191</v>
      </c>
      <c r="E98" s="156"/>
      <c r="F98" s="156"/>
      <c r="G98" s="156"/>
      <c r="H98" s="156"/>
      <c r="I98" s="156"/>
      <c r="J98" s="156"/>
      <c r="K98" s="156"/>
      <c r="L98" s="156"/>
      <c r="M98" s="156"/>
      <c r="N98" s="156"/>
      <c r="O98" s="156"/>
      <c r="P98" s="156"/>
      <c r="Q98" s="156"/>
      <c r="R98" s="156"/>
      <c r="S98" s="156"/>
      <c r="T98" s="156"/>
      <c r="U98" s="157"/>
    </row>
    <row r="99" spans="1:21" ht="97.5" customHeight="1">
      <c r="B99" s="115" t="s">
        <v>62</v>
      </c>
      <c r="C99" s="68" t="s">
        <v>63</v>
      </c>
      <c r="D99" s="158" t="s">
        <v>183</v>
      </c>
      <c r="E99" s="159"/>
      <c r="F99" s="159"/>
      <c r="G99" s="159"/>
      <c r="H99" s="159"/>
      <c r="I99" s="159"/>
      <c r="J99" s="159"/>
      <c r="K99" s="159"/>
      <c r="L99" s="159"/>
      <c r="M99" s="159"/>
      <c r="N99" s="159"/>
      <c r="O99" s="159"/>
      <c r="P99" s="159"/>
      <c r="Q99" s="159"/>
      <c r="R99" s="159"/>
      <c r="S99" s="159"/>
      <c r="T99" s="159"/>
      <c r="U99" s="160"/>
    </row>
    <row r="100" spans="1:21" ht="97.5" customHeight="1">
      <c r="B100" s="142"/>
      <c r="C100" s="71" t="s">
        <v>40</v>
      </c>
      <c r="D100" s="161" t="s">
        <v>186</v>
      </c>
      <c r="E100" s="162"/>
      <c r="F100" s="162"/>
      <c r="G100" s="162"/>
      <c r="H100" s="162"/>
      <c r="I100" s="162"/>
      <c r="J100" s="162"/>
      <c r="K100" s="162"/>
      <c r="L100" s="162"/>
      <c r="M100" s="162"/>
      <c r="N100" s="162"/>
      <c r="O100" s="162"/>
      <c r="P100" s="162"/>
      <c r="Q100" s="162"/>
      <c r="R100" s="162"/>
      <c r="S100" s="162"/>
      <c r="T100" s="162"/>
      <c r="U100" s="163"/>
    </row>
    <row r="101" spans="1:21" ht="97.5" customHeight="1">
      <c r="B101" s="116"/>
      <c r="C101" s="70" t="s">
        <v>41</v>
      </c>
      <c r="D101" s="155" t="s">
        <v>184</v>
      </c>
      <c r="E101" s="156"/>
      <c r="F101" s="156"/>
      <c r="G101" s="156"/>
      <c r="H101" s="156"/>
      <c r="I101" s="156"/>
      <c r="J101" s="156"/>
      <c r="K101" s="156"/>
      <c r="L101" s="156"/>
      <c r="M101" s="156"/>
      <c r="N101" s="156"/>
      <c r="O101" s="156"/>
      <c r="P101" s="156"/>
      <c r="Q101" s="156"/>
      <c r="R101" s="156"/>
      <c r="S101" s="156"/>
      <c r="T101" s="156"/>
      <c r="U101" s="157"/>
    </row>
    <row r="102" spans="1:21" ht="6" customHeight="1"/>
    <row r="103" spans="1:21" ht="18.75" customHeight="1">
      <c r="A103" s="1" t="s">
        <v>64</v>
      </c>
    </row>
    <row r="104" spans="1:21" ht="81.75" customHeight="1">
      <c r="B104" s="136" t="s">
        <v>65</v>
      </c>
      <c r="C104" s="137"/>
      <c r="D104" s="137"/>
      <c r="E104" s="137"/>
      <c r="F104" s="137"/>
      <c r="G104" s="137"/>
      <c r="H104" s="137"/>
      <c r="I104" s="137"/>
      <c r="J104" s="137"/>
      <c r="K104" s="137"/>
      <c r="L104" s="137"/>
      <c r="M104" s="137"/>
      <c r="N104" s="137"/>
      <c r="O104" s="137"/>
      <c r="P104" s="137"/>
      <c r="Q104" s="137"/>
      <c r="R104" s="137"/>
      <c r="S104" s="137"/>
      <c r="T104" s="137"/>
      <c r="U104" s="138"/>
    </row>
    <row r="107" spans="1:21" ht="18" customHeight="1"/>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3FEC58FF-F42B-49BC-A1DD-B88CEEA2499C}">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zoomScaleNormal="100" zoomScaleSheetLayoutView="100" workbookViewId="0">
      <selection activeCell="K19" sqref="J19:K19"/>
    </sheetView>
  </sheetViews>
  <sheetFormatPr defaultColWidth="9" defaultRowHeight="18.75" customHeight="1"/>
  <cols>
    <col min="1" max="1" width="2.7265625" style="1" customWidth="1"/>
    <col min="2" max="2" width="27.81640625" style="1" customWidth="1"/>
    <col min="3" max="18" width="6.1796875" style="1" customWidth="1"/>
    <col min="19" max="19" width="6.7265625" style="1" customWidth="1"/>
    <col min="20" max="16384" width="9" style="1"/>
  </cols>
  <sheetData>
    <row r="1" spans="1:21" ht="18" customHeight="1">
      <c r="A1" s="52"/>
      <c r="B1" s="52"/>
      <c r="C1" s="52"/>
      <c r="D1" s="52"/>
      <c r="E1" s="52"/>
      <c r="F1" s="52"/>
      <c r="G1" s="52"/>
      <c r="H1" s="52"/>
      <c r="I1" s="52"/>
      <c r="J1" s="52"/>
      <c r="K1" s="52"/>
      <c r="L1" s="52"/>
      <c r="M1" s="52"/>
      <c r="N1" s="52"/>
      <c r="O1" s="52"/>
      <c r="P1" s="52"/>
      <c r="Q1" s="52"/>
      <c r="R1" s="52"/>
      <c r="S1" s="52" t="s">
        <v>66</v>
      </c>
    </row>
    <row r="2" spans="1:21" ht="18" customHeight="1">
      <c r="A2" s="52"/>
      <c r="B2" s="52"/>
      <c r="C2" s="52"/>
      <c r="D2" s="52"/>
      <c r="E2" s="52"/>
      <c r="F2" s="52"/>
      <c r="G2" s="52"/>
      <c r="H2" s="52"/>
      <c r="I2" s="52"/>
      <c r="J2" s="52"/>
      <c r="K2" s="52"/>
      <c r="L2" s="52"/>
      <c r="M2" s="52"/>
      <c r="N2" s="52"/>
      <c r="O2" s="52"/>
      <c r="P2" s="52"/>
      <c r="Q2" s="177" t="str">
        <f>'様式１　プログラムを構成する授業科目'!C2</f>
        <v>常葉大学</v>
      </c>
      <c r="R2" s="177"/>
      <c r="S2" s="177"/>
    </row>
    <row r="3" spans="1:21" ht="18" customHeight="1">
      <c r="A3" s="126" t="s">
        <v>67</v>
      </c>
      <c r="B3" s="126"/>
      <c r="C3" s="126"/>
      <c r="D3" s="126"/>
      <c r="E3" s="126"/>
      <c r="F3" s="126"/>
      <c r="G3" s="126"/>
      <c r="H3" s="126"/>
      <c r="I3" s="126"/>
      <c r="J3" s="126"/>
      <c r="K3" s="126"/>
      <c r="L3" s="126"/>
      <c r="M3" s="126"/>
      <c r="N3" s="126"/>
      <c r="O3" s="126"/>
      <c r="P3" s="126"/>
      <c r="Q3" s="126"/>
      <c r="R3" s="126"/>
      <c r="S3" s="126"/>
    </row>
    <row r="4" spans="1:21" ht="7.5" customHeight="1">
      <c r="A4" s="54"/>
      <c r="B4" s="54"/>
      <c r="C4" s="54"/>
      <c r="D4" s="54"/>
      <c r="E4" s="54"/>
      <c r="F4" s="54"/>
      <c r="G4" s="54"/>
      <c r="H4" s="54"/>
      <c r="I4" s="54"/>
      <c r="J4" s="54"/>
      <c r="K4" s="54"/>
      <c r="L4" s="54"/>
      <c r="M4" s="54"/>
      <c r="N4" s="54"/>
      <c r="O4" s="54"/>
      <c r="P4" s="54"/>
      <c r="Q4" s="54"/>
      <c r="R4" s="54"/>
      <c r="S4" s="54"/>
    </row>
    <row r="5" spans="1:21" ht="18" customHeight="1">
      <c r="A5" s="52" t="s">
        <v>68</v>
      </c>
      <c r="B5" s="52"/>
      <c r="C5" s="178" t="s">
        <v>69</v>
      </c>
      <c r="D5" s="179"/>
      <c r="E5" s="56" t="s">
        <v>70</v>
      </c>
      <c r="F5" s="54"/>
      <c r="G5" s="54"/>
      <c r="H5" s="54"/>
      <c r="I5" s="54"/>
      <c r="J5" s="54"/>
      <c r="K5" s="54"/>
      <c r="L5" s="54"/>
      <c r="M5" s="54"/>
      <c r="N5" s="54"/>
      <c r="O5" s="54"/>
      <c r="P5" s="54"/>
      <c r="Q5" s="54"/>
      <c r="R5" s="53"/>
      <c r="S5" s="53"/>
    </row>
    <row r="6" spans="1:21" ht="7.15" customHeight="1">
      <c r="A6" s="52"/>
      <c r="B6" s="52"/>
      <c r="C6" s="74"/>
      <c r="D6" s="74"/>
      <c r="E6" s="54"/>
      <c r="F6" s="54"/>
      <c r="G6" s="54"/>
      <c r="H6" s="54"/>
      <c r="I6" s="54"/>
      <c r="J6" s="54"/>
      <c r="K6" s="54"/>
      <c r="L6" s="54"/>
      <c r="M6" s="54"/>
      <c r="N6" s="54"/>
      <c r="O6" s="54"/>
      <c r="P6" s="54"/>
      <c r="Q6" s="54"/>
      <c r="R6" s="53"/>
      <c r="S6" s="53"/>
    </row>
    <row r="7" spans="1:21" ht="18" customHeight="1">
      <c r="A7" s="52" t="s">
        <v>71</v>
      </c>
      <c r="B7" s="52"/>
      <c r="C7" s="74"/>
      <c r="D7" s="74"/>
      <c r="E7" s="54" t="s">
        <v>72</v>
      </c>
      <c r="F7" s="57">
        <v>3774</v>
      </c>
      <c r="G7" s="56" t="s">
        <v>73</v>
      </c>
      <c r="H7" s="54" t="s">
        <v>74</v>
      </c>
      <c r="I7" s="57">
        <v>3624</v>
      </c>
      <c r="J7" s="56" t="s">
        <v>73</v>
      </c>
      <c r="K7" s="55" t="s">
        <v>75</v>
      </c>
      <c r="L7" s="54" t="s">
        <v>76</v>
      </c>
      <c r="M7" s="57">
        <f>F7+I7</f>
        <v>7398</v>
      </c>
      <c r="N7" s="54" t="s">
        <v>77</v>
      </c>
      <c r="O7" s="56" t="s">
        <v>78</v>
      </c>
      <c r="P7" s="54"/>
      <c r="Q7" s="54"/>
      <c r="R7" s="53"/>
      <c r="S7" s="53"/>
    </row>
    <row r="8" spans="1:21" ht="17.5" customHeight="1">
      <c r="A8" s="54"/>
      <c r="B8" s="75" t="s">
        <v>79</v>
      </c>
      <c r="C8" s="54"/>
      <c r="D8" s="54"/>
      <c r="E8" s="54"/>
      <c r="F8" s="54"/>
      <c r="G8" s="54"/>
      <c r="H8" s="54"/>
      <c r="I8" s="54"/>
      <c r="J8" s="54"/>
      <c r="K8" s="54"/>
      <c r="L8" s="54"/>
      <c r="M8" s="54"/>
      <c r="N8" s="54"/>
      <c r="O8" s="54"/>
      <c r="P8" s="54"/>
      <c r="Q8" s="54"/>
      <c r="R8" s="54"/>
      <c r="S8" s="54"/>
    </row>
    <row r="9" spans="1:21" ht="18" customHeight="1">
      <c r="A9" s="52" t="s">
        <v>80</v>
      </c>
      <c r="B9" s="54"/>
      <c r="C9" s="54"/>
      <c r="D9" s="54"/>
      <c r="E9" s="54"/>
      <c r="F9" s="54"/>
      <c r="G9" s="54"/>
      <c r="H9" s="54"/>
      <c r="I9" s="54"/>
      <c r="J9" s="54"/>
      <c r="K9" s="54"/>
      <c r="L9" s="54"/>
      <c r="M9" s="54"/>
      <c r="N9" s="54"/>
      <c r="O9" s="54"/>
      <c r="P9" s="54"/>
      <c r="Q9" s="54"/>
      <c r="R9" s="54"/>
      <c r="S9" s="54"/>
    </row>
    <row r="10" spans="1:21" ht="6" customHeight="1">
      <c r="B10" s="3"/>
      <c r="C10" s="3"/>
      <c r="D10" s="3"/>
      <c r="E10" s="3"/>
      <c r="F10" s="3"/>
      <c r="G10" s="3"/>
      <c r="H10" s="3"/>
      <c r="I10" s="3"/>
      <c r="J10" s="3"/>
      <c r="K10" s="3"/>
      <c r="L10" s="3"/>
      <c r="M10" s="3"/>
      <c r="N10" s="3"/>
      <c r="O10" s="3"/>
      <c r="P10" s="3"/>
      <c r="Q10" s="3"/>
      <c r="R10" s="3"/>
      <c r="S10" s="3"/>
    </row>
    <row r="11" spans="1:21" ht="18" customHeight="1">
      <c r="B11" s="180" t="s">
        <v>81</v>
      </c>
      <c r="C11" s="190" t="s">
        <v>82</v>
      </c>
      <c r="D11" s="182" t="s">
        <v>83</v>
      </c>
      <c r="E11" s="184" t="s">
        <v>84</v>
      </c>
      <c r="F11" s="176" t="s">
        <v>85</v>
      </c>
      <c r="G11" s="176"/>
      <c r="H11" s="176" t="s">
        <v>86</v>
      </c>
      <c r="I11" s="176"/>
      <c r="J11" s="176" t="s">
        <v>87</v>
      </c>
      <c r="K11" s="176"/>
      <c r="L11" s="176" t="s">
        <v>88</v>
      </c>
      <c r="M11" s="176"/>
      <c r="N11" s="176" t="s">
        <v>89</v>
      </c>
      <c r="O11" s="176"/>
      <c r="P11" s="176" t="s">
        <v>90</v>
      </c>
      <c r="Q11" s="176"/>
      <c r="R11" s="186" t="s">
        <v>91</v>
      </c>
      <c r="S11" s="188" t="s">
        <v>92</v>
      </c>
      <c r="U11" s="2"/>
    </row>
    <row r="12" spans="1:21" ht="16.899999999999999" customHeight="1">
      <c r="B12" s="181"/>
      <c r="C12" s="191"/>
      <c r="D12" s="183"/>
      <c r="E12" s="185"/>
      <c r="F12" s="76" t="s">
        <v>93</v>
      </c>
      <c r="G12" s="76" t="s">
        <v>94</v>
      </c>
      <c r="H12" s="76" t="s">
        <v>93</v>
      </c>
      <c r="I12" s="76" t="s">
        <v>94</v>
      </c>
      <c r="J12" s="76" t="s">
        <v>93</v>
      </c>
      <c r="K12" s="76" t="s">
        <v>94</v>
      </c>
      <c r="L12" s="76" t="s">
        <v>93</v>
      </c>
      <c r="M12" s="76" t="s">
        <v>94</v>
      </c>
      <c r="N12" s="76" t="s">
        <v>93</v>
      </c>
      <c r="O12" s="76" t="s">
        <v>94</v>
      </c>
      <c r="P12" s="76" t="s">
        <v>93</v>
      </c>
      <c r="Q12" s="77" t="s">
        <v>94</v>
      </c>
      <c r="R12" s="187"/>
      <c r="S12" s="189"/>
      <c r="U12" s="2"/>
    </row>
    <row r="13" spans="1:21" ht="18" customHeight="1">
      <c r="A13" s="6"/>
      <c r="B13" s="46" t="s">
        <v>95</v>
      </c>
      <c r="C13" s="87">
        <v>1360</v>
      </c>
      <c r="D13" s="88">
        <v>330</v>
      </c>
      <c r="E13" s="89">
        <v>1200</v>
      </c>
      <c r="F13" s="89">
        <v>411</v>
      </c>
      <c r="G13" s="89">
        <v>399</v>
      </c>
      <c r="H13" s="36"/>
      <c r="I13" s="36"/>
      <c r="J13" s="36"/>
      <c r="K13" s="36"/>
      <c r="L13" s="36"/>
      <c r="M13" s="36"/>
      <c r="N13" s="36"/>
      <c r="O13" s="36"/>
      <c r="P13" s="36"/>
      <c r="Q13" s="47"/>
      <c r="R13" s="35">
        <f t="shared" ref="R13:R32" si="0">F13+H13+J13+L13+N13+P13</f>
        <v>411</v>
      </c>
      <c r="S13" s="48">
        <f t="shared" ref="S13:S33" si="1">R13/E13</f>
        <v>0.34250000000000003</v>
      </c>
    </row>
    <row r="14" spans="1:21" ht="18" customHeight="1">
      <c r="A14" s="6"/>
      <c r="B14" s="11" t="s">
        <v>96</v>
      </c>
      <c r="C14" s="90">
        <v>618</v>
      </c>
      <c r="D14" s="91">
        <v>220</v>
      </c>
      <c r="E14" s="92">
        <v>780</v>
      </c>
      <c r="F14" s="93">
        <v>167</v>
      </c>
      <c r="G14" s="93">
        <v>156</v>
      </c>
      <c r="H14" s="40"/>
      <c r="I14" s="40"/>
      <c r="J14" s="40"/>
      <c r="K14" s="40"/>
      <c r="L14" s="40"/>
      <c r="M14" s="40"/>
      <c r="N14" s="40"/>
      <c r="O14" s="40"/>
      <c r="P14" s="40"/>
      <c r="Q14" s="37"/>
      <c r="R14" s="38">
        <f t="shared" si="0"/>
        <v>167</v>
      </c>
      <c r="S14" s="16">
        <f t="shared" si="1"/>
        <v>0.21410256410256409</v>
      </c>
    </row>
    <row r="15" spans="1:21" ht="18" customHeight="1">
      <c r="A15" s="6"/>
      <c r="B15" s="11" t="s">
        <v>97</v>
      </c>
      <c r="C15" s="90">
        <v>1475</v>
      </c>
      <c r="D15" s="91">
        <v>345</v>
      </c>
      <c r="E15" s="92">
        <v>1290</v>
      </c>
      <c r="F15" s="93">
        <v>446</v>
      </c>
      <c r="G15" s="93">
        <v>420</v>
      </c>
      <c r="H15" s="40"/>
      <c r="I15" s="40"/>
      <c r="J15" s="40"/>
      <c r="K15" s="40"/>
      <c r="L15" s="40"/>
      <c r="M15" s="40"/>
      <c r="N15" s="40"/>
      <c r="O15" s="40"/>
      <c r="P15" s="40"/>
      <c r="Q15" s="37"/>
      <c r="R15" s="38">
        <f t="shared" si="0"/>
        <v>446</v>
      </c>
      <c r="S15" s="8">
        <f t="shared" si="1"/>
        <v>0.34573643410852711</v>
      </c>
    </row>
    <row r="16" spans="1:21" ht="18" customHeight="1">
      <c r="A16" s="6"/>
      <c r="B16" s="11" t="s">
        <v>98</v>
      </c>
      <c r="C16" s="90">
        <v>451</v>
      </c>
      <c r="D16" s="91">
        <v>120</v>
      </c>
      <c r="E16" s="92">
        <v>440</v>
      </c>
      <c r="F16" s="93">
        <v>122</v>
      </c>
      <c r="G16" s="93">
        <v>87</v>
      </c>
      <c r="H16" s="40"/>
      <c r="I16" s="40"/>
      <c r="J16" s="40"/>
      <c r="K16" s="40"/>
      <c r="L16" s="40"/>
      <c r="M16" s="40"/>
      <c r="N16" s="40"/>
      <c r="O16" s="40"/>
      <c r="P16" s="40"/>
      <c r="Q16" s="37"/>
      <c r="R16" s="38">
        <f t="shared" si="0"/>
        <v>122</v>
      </c>
      <c r="S16" s="8">
        <f t="shared" si="1"/>
        <v>0.27727272727272728</v>
      </c>
    </row>
    <row r="17" spans="1:19" ht="18" customHeight="1">
      <c r="A17" s="6"/>
      <c r="B17" s="11" t="s">
        <v>99</v>
      </c>
      <c r="C17" s="90">
        <v>621</v>
      </c>
      <c r="D17" s="91">
        <v>160</v>
      </c>
      <c r="E17" s="92">
        <v>640</v>
      </c>
      <c r="F17" s="93">
        <v>150</v>
      </c>
      <c r="G17" s="93">
        <v>147</v>
      </c>
      <c r="H17" s="40"/>
      <c r="I17" s="40"/>
      <c r="J17" s="40"/>
      <c r="K17" s="40"/>
      <c r="L17" s="40"/>
      <c r="M17" s="40"/>
      <c r="N17" s="40"/>
      <c r="O17" s="40"/>
      <c r="P17" s="40"/>
      <c r="Q17" s="37"/>
      <c r="R17" s="38">
        <f t="shared" si="0"/>
        <v>150</v>
      </c>
      <c r="S17" s="8">
        <f t="shared" si="1"/>
        <v>0.234375</v>
      </c>
    </row>
    <row r="18" spans="1:19" ht="18" customHeight="1">
      <c r="A18" s="6"/>
      <c r="B18" s="11" t="s">
        <v>100</v>
      </c>
      <c r="C18" s="90">
        <v>382</v>
      </c>
      <c r="D18" s="91">
        <v>100</v>
      </c>
      <c r="E18" s="92">
        <v>400</v>
      </c>
      <c r="F18" s="93">
        <v>101</v>
      </c>
      <c r="G18" s="93">
        <v>98</v>
      </c>
      <c r="H18" s="40"/>
      <c r="I18" s="40"/>
      <c r="J18" s="40"/>
      <c r="K18" s="40"/>
      <c r="L18" s="40"/>
      <c r="M18" s="40"/>
      <c r="N18" s="40"/>
      <c r="O18" s="40"/>
      <c r="P18" s="40"/>
      <c r="Q18" s="37"/>
      <c r="R18" s="38">
        <f t="shared" si="0"/>
        <v>101</v>
      </c>
      <c r="S18" s="8">
        <f t="shared" si="1"/>
        <v>0.2525</v>
      </c>
    </row>
    <row r="19" spans="1:19" ht="18" customHeight="1">
      <c r="A19" s="6"/>
      <c r="B19" s="11" t="s">
        <v>101</v>
      </c>
      <c r="C19" s="90">
        <v>606</v>
      </c>
      <c r="D19" s="91">
        <v>200</v>
      </c>
      <c r="E19" s="92">
        <v>720</v>
      </c>
      <c r="F19" s="93">
        <v>137</v>
      </c>
      <c r="G19" s="93">
        <v>118</v>
      </c>
      <c r="H19" s="40"/>
      <c r="I19" s="40"/>
      <c r="J19" s="40"/>
      <c r="K19" s="40"/>
      <c r="L19" s="40"/>
      <c r="M19" s="40"/>
      <c r="N19" s="40"/>
      <c r="O19" s="40"/>
      <c r="P19" s="40"/>
      <c r="Q19" s="37"/>
      <c r="R19" s="38">
        <f t="shared" si="0"/>
        <v>137</v>
      </c>
      <c r="S19" s="8">
        <f t="shared" si="1"/>
        <v>0.19027777777777777</v>
      </c>
    </row>
    <row r="20" spans="1:19" ht="18" customHeight="1">
      <c r="A20" s="6"/>
      <c r="B20" s="11" t="s">
        <v>102</v>
      </c>
      <c r="C20" s="90">
        <v>586</v>
      </c>
      <c r="D20" s="91">
        <v>140</v>
      </c>
      <c r="E20" s="92">
        <v>560</v>
      </c>
      <c r="F20" s="93">
        <v>160</v>
      </c>
      <c r="G20" s="93">
        <v>156</v>
      </c>
      <c r="H20" s="40"/>
      <c r="I20" s="40"/>
      <c r="J20" s="40"/>
      <c r="K20" s="40"/>
      <c r="L20" s="40"/>
      <c r="M20" s="40"/>
      <c r="N20" s="40"/>
      <c r="O20" s="40"/>
      <c r="P20" s="40"/>
      <c r="Q20" s="37"/>
      <c r="R20" s="38">
        <f t="shared" si="0"/>
        <v>160</v>
      </c>
      <c r="S20" s="8">
        <f t="shared" si="1"/>
        <v>0.2857142857142857</v>
      </c>
    </row>
    <row r="21" spans="1:19" ht="18" customHeight="1">
      <c r="A21" s="6"/>
      <c r="B21" s="11" t="s">
        <v>103</v>
      </c>
      <c r="C21" s="90">
        <v>1003</v>
      </c>
      <c r="D21" s="91">
        <v>300</v>
      </c>
      <c r="E21" s="92">
        <v>1200</v>
      </c>
      <c r="F21" s="93">
        <v>234</v>
      </c>
      <c r="G21" s="93">
        <v>228</v>
      </c>
      <c r="H21" s="40"/>
      <c r="I21" s="40"/>
      <c r="J21" s="40"/>
      <c r="K21" s="40"/>
      <c r="L21" s="40"/>
      <c r="M21" s="40"/>
      <c r="N21" s="40"/>
      <c r="O21" s="40"/>
      <c r="P21" s="40"/>
      <c r="Q21" s="37"/>
      <c r="R21" s="38">
        <f t="shared" si="0"/>
        <v>234</v>
      </c>
      <c r="S21" s="8">
        <f t="shared" si="1"/>
        <v>0.19500000000000001</v>
      </c>
    </row>
    <row r="22" spans="1:19" ht="18" customHeight="1">
      <c r="A22" s="6"/>
      <c r="B22" s="11" t="s">
        <v>104</v>
      </c>
      <c r="C22" s="90">
        <v>296</v>
      </c>
      <c r="D22" s="91">
        <v>80</v>
      </c>
      <c r="E22" s="92">
        <v>320</v>
      </c>
      <c r="F22" s="93">
        <v>65</v>
      </c>
      <c r="G22" s="93">
        <v>62</v>
      </c>
      <c r="H22" s="40"/>
      <c r="I22" s="40"/>
      <c r="J22" s="40"/>
      <c r="K22" s="40"/>
      <c r="L22" s="40"/>
      <c r="M22" s="40"/>
      <c r="N22" s="40"/>
      <c r="O22" s="40"/>
      <c r="P22" s="40"/>
      <c r="Q22" s="37"/>
      <c r="R22" s="38">
        <f t="shared" si="0"/>
        <v>65</v>
      </c>
      <c r="S22" s="8">
        <f t="shared" si="1"/>
        <v>0.203125</v>
      </c>
    </row>
    <row r="23" spans="1:19" ht="18" customHeight="1">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c r="B33" s="13" t="s">
        <v>105</v>
      </c>
      <c r="C33" s="43">
        <f t="shared" ref="C33" si="2">SUM(C13:C32)</f>
        <v>7398</v>
      </c>
      <c r="D33" s="44">
        <f t="shared" ref="D33:R33" si="3">SUM(D13:D32)</f>
        <v>1995</v>
      </c>
      <c r="E33" s="45">
        <f t="shared" si="3"/>
        <v>7550</v>
      </c>
      <c r="F33" s="45">
        <f t="shared" si="3"/>
        <v>1993</v>
      </c>
      <c r="G33" s="45">
        <f t="shared" ref="G33:H33" si="4">SUM(G13:G32)</f>
        <v>1871</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1993</v>
      </c>
      <c r="S33" s="9">
        <f t="shared" si="1"/>
        <v>0.26397350993377483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2"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zoomScaleNormal="100" zoomScaleSheetLayoutView="100" workbookViewId="0">
      <selection activeCell="L16" sqref="L16"/>
    </sheetView>
  </sheetViews>
  <sheetFormatPr defaultColWidth="11.26953125" defaultRowHeight="18.75" customHeight="1"/>
  <cols>
    <col min="1" max="1" width="2.7265625" style="19" customWidth="1"/>
    <col min="2" max="2" width="16.7265625" style="1" customWidth="1"/>
    <col min="3" max="3" width="8.81640625" style="1" customWidth="1"/>
    <col min="4" max="4" width="2.26953125" style="1" customWidth="1"/>
    <col min="5" max="5" width="16.7265625" style="1" customWidth="1"/>
    <col min="6" max="6" width="4.26953125" style="1" customWidth="1"/>
    <col min="7" max="7" width="9" style="1" customWidth="1"/>
    <col min="8" max="8" width="16.7265625" style="1" customWidth="1"/>
    <col min="9" max="9" width="12.1796875" style="1" customWidth="1"/>
    <col min="10" max="16384" width="11.26953125" style="1"/>
  </cols>
  <sheetData>
    <row r="1" spans="1:9" ht="18.75" customHeight="1">
      <c r="A1" s="19" t="s">
        <v>106</v>
      </c>
      <c r="I1" s="18" t="s">
        <v>107</v>
      </c>
    </row>
    <row r="2" spans="1:9" ht="18.75" customHeight="1">
      <c r="G2" s="18" t="s">
        <v>2</v>
      </c>
      <c r="H2" s="112" t="str">
        <f>'様式１　プログラムを構成する授業科目'!C2</f>
        <v>常葉大学</v>
      </c>
      <c r="I2" s="114"/>
    </row>
    <row r="3" spans="1:9" ht="18.75" customHeight="1">
      <c r="G3" s="18"/>
      <c r="H3" s="10"/>
      <c r="I3" s="10"/>
    </row>
    <row r="4" spans="1:9" ht="18.649999999999999" customHeight="1">
      <c r="A4" s="126" t="s">
        <v>108</v>
      </c>
      <c r="B4" s="126"/>
      <c r="C4" s="126"/>
      <c r="D4" s="126"/>
      <c r="E4" s="126"/>
      <c r="F4" s="126"/>
      <c r="G4" s="126"/>
      <c r="H4" s="126"/>
      <c r="I4" s="126"/>
    </row>
    <row r="5" spans="1:9" ht="13.15" customHeight="1">
      <c r="B5" s="3"/>
      <c r="C5" s="3"/>
      <c r="D5" s="3"/>
      <c r="E5" s="3"/>
      <c r="F5" s="3"/>
      <c r="G5" s="3"/>
      <c r="H5" s="3"/>
      <c r="I5" s="3"/>
    </row>
    <row r="6" spans="1:9" ht="18" customHeight="1">
      <c r="A6" s="1" t="s">
        <v>109</v>
      </c>
      <c r="B6" s="10" t="s">
        <v>110</v>
      </c>
      <c r="C6" s="220" t="s">
        <v>111</v>
      </c>
      <c r="D6" s="220"/>
      <c r="E6" s="94">
        <v>314</v>
      </c>
      <c r="F6" s="83" t="s">
        <v>77</v>
      </c>
      <c r="G6" s="83" t="s">
        <v>112</v>
      </c>
      <c r="H6" s="94">
        <v>419</v>
      </c>
      <c r="I6" s="10" t="s">
        <v>77</v>
      </c>
    </row>
    <row r="7" spans="1:9" ht="12" customHeight="1">
      <c r="C7" s="2"/>
      <c r="D7" s="2"/>
      <c r="E7" s="2"/>
      <c r="F7" s="2"/>
      <c r="G7" s="2"/>
      <c r="H7" s="2"/>
      <c r="I7" s="20"/>
    </row>
    <row r="8" spans="1:9" ht="18" customHeight="1">
      <c r="A8" s="1" t="s">
        <v>113</v>
      </c>
      <c r="B8" s="10" t="s">
        <v>114</v>
      </c>
      <c r="E8" s="3"/>
      <c r="F8" s="3"/>
      <c r="G8" s="3"/>
      <c r="H8" s="95">
        <v>31</v>
      </c>
      <c r="I8" s="10" t="s">
        <v>77</v>
      </c>
    </row>
    <row r="9" spans="1:9" ht="9" customHeight="1">
      <c r="B9" s="3"/>
      <c r="C9" s="3"/>
      <c r="D9" s="3"/>
      <c r="E9" s="3"/>
      <c r="F9" s="3"/>
      <c r="G9" s="3"/>
      <c r="H9" s="3"/>
      <c r="I9" s="3"/>
    </row>
    <row r="10" spans="1:9" ht="18" customHeight="1">
      <c r="A10" s="1" t="s">
        <v>115</v>
      </c>
      <c r="B10" s="10" t="s">
        <v>116</v>
      </c>
      <c r="C10" s="3"/>
      <c r="D10" s="3"/>
      <c r="E10" s="3"/>
      <c r="F10" s="3"/>
      <c r="G10" s="3"/>
      <c r="H10" s="3"/>
      <c r="I10" s="3"/>
    </row>
    <row r="11" spans="1:9" ht="18" customHeight="1">
      <c r="B11" s="18" t="s">
        <v>117</v>
      </c>
      <c r="C11" s="215" t="s">
        <v>118</v>
      </c>
      <c r="D11" s="218"/>
      <c r="E11" s="219"/>
      <c r="F11" s="20"/>
      <c r="G11" s="18" t="s">
        <v>119</v>
      </c>
      <c r="H11" s="215" t="s">
        <v>120</v>
      </c>
      <c r="I11" s="219"/>
    </row>
    <row r="12" spans="1:9" ht="10.15" customHeight="1">
      <c r="B12" s="18"/>
      <c r="C12" s="10"/>
      <c r="D12" s="20"/>
      <c r="E12" s="20"/>
      <c r="F12" s="20"/>
      <c r="G12" s="18"/>
      <c r="H12" s="10"/>
      <c r="I12" s="20"/>
    </row>
    <row r="13" spans="1:9" ht="18" customHeight="1">
      <c r="A13" s="1" t="s">
        <v>121</v>
      </c>
      <c r="B13" s="10" t="s">
        <v>122</v>
      </c>
      <c r="C13" s="3"/>
      <c r="D13" s="3"/>
      <c r="E13" s="3"/>
      <c r="F13" s="3"/>
      <c r="G13" s="3"/>
      <c r="H13" s="3"/>
      <c r="I13" s="3"/>
    </row>
    <row r="14" spans="1:9" ht="18" customHeight="1">
      <c r="B14" s="215" t="s">
        <v>180</v>
      </c>
      <c r="C14" s="216"/>
      <c r="D14" s="216"/>
      <c r="E14" s="216"/>
      <c r="F14" s="216"/>
      <c r="G14" s="216"/>
      <c r="H14" s="216"/>
      <c r="I14" s="217"/>
    </row>
    <row r="15" spans="1:9" ht="9" customHeight="1">
      <c r="B15" s="3"/>
      <c r="C15" s="3"/>
      <c r="D15" s="3"/>
      <c r="E15" s="3"/>
      <c r="F15" s="3"/>
      <c r="G15" s="3"/>
      <c r="H15" s="3"/>
      <c r="I15" s="3"/>
    </row>
    <row r="16" spans="1:9" ht="18" customHeight="1">
      <c r="B16" s="18" t="s">
        <v>117</v>
      </c>
      <c r="C16" s="215" t="s">
        <v>118</v>
      </c>
      <c r="D16" s="218"/>
      <c r="E16" s="219"/>
      <c r="F16" s="20"/>
      <c r="G16" s="18" t="s">
        <v>119</v>
      </c>
      <c r="H16" s="215" t="s">
        <v>120</v>
      </c>
      <c r="I16" s="218"/>
    </row>
    <row r="17" spans="1:9" ht="18" customHeight="1">
      <c r="B17" s="3"/>
      <c r="C17" s="3"/>
      <c r="D17" s="3"/>
      <c r="E17" s="3"/>
      <c r="F17" s="3"/>
      <c r="G17" s="3"/>
      <c r="H17" s="3"/>
      <c r="I17" s="3"/>
    </row>
    <row r="18" spans="1:9" ht="18.75" customHeight="1">
      <c r="A18" s="1" t="s">
        <v>123</v>
      </c>
      <c r="B18" s="1" t="s">
        <v>124</v>
      </c>
      <c r="I18" s="3"/>
    </row>
    <row r="19" spans="1:9" ht="18.75" customHeight="1">
      <c r="A19" s="1"/>
      <c r="B19" s="193" t="s">
        <v>185</v>
      </c>
      <c r="C19" s="194"/>
      <c r="D19" s="194"/>
      <c r="E19" s="194"/>
      <c r="F19" s="194"/>
      <c r="G19" s="194"/>
      <c r="H19" s="194"/>
      <c r="I19" s="195"/>
    </row>
    <row r="20" spans="1:9" ht="7.5" customHeight="1">
      <c r="B20" s="3"/>
      <c r="C20" s="3"/>
      <c r="D20" s="3"/>
      <c r="E20" s="3"/>
      <c r="F20" s="3"/>
      <c r="G20" s="3"/>
      <c r="H20" s="3"/>
      <c r="I20" s="3"/>
    </row>
    <row r="21" spans="1:9" ht="18.75" customHeight="1">
      <c r="A21" s="1" t="s">
        <v>125</v>
      </c>
      <c r="B21" s="1" t="s">
        <v>126</v>
      </c>
    </row>
    <row r="22" spans="1:9" ht="18.75" customHeight="1">
      <c r="A22" s="14"/>
      <c r="B22" s="196" t="s">
        <v>127</v>
      </c>
      <c r="C22" s="197"/>
      <c r="D22" s="197"/>
      <c r="E22" s="197"/>
      <c r="F22" s="197"/>
      <c r="G22" s="197"/>
      <c r="H22" s="197"/>
      <c r="I22" s="198"/>
    </row>
    <row r="23" spans="1:9" ht="18.75" customHeight="1">
      <c r="A23" s="14"/>
      <c r="B23" s="199"/>
      <c r="C23" s="200"/>
      <c r="D23" s="200"/>
      <c r="E23" s="200"/>
      <c r="F23" s="200"/>
      <c r="G23" s="200"/>
      <c r="H23" s="200"/>
      <c r="I23" s="201"/>
    </row>
    <row r="24" spans="1:9" ht="18.75" customHeight="1">
      <c r="A24" s="14"/>
      <c r="B24" s="199"/>
      <c r="C24" s="200"/>
      <c r="D24" s="200"/>
      <c r="E24" s="200"/>
      <c r="F24" s="200"/>
      <c r="G24" s="200"/>
      <c r="H24" s="200"/>
      <c r="I24" s="201"/>
    </row>
    <row r="25" spans="1:9" ht="18.75" customHeight="1">
      <c r="A25" s="14"/>
      <c r="B25" s="199"/>
      <c r="C25" s="200"/>
      <c r="D25" s="200"/>
      <c r="E25" s="200"/>
      <c r="F25" s="200"/>
      <c r="G25" s="200"/>
      <c r="H25" s="200"/>
      <c r="I25" s="201"/>
    </row>
    <row r="26" spans="1:9" ht="18.75" customHeight="1">
      <c r="A26" s="14"/>
      <c r="B26" s="199"/>
      <c r="C26" s="200"/>
      <c r="D26" s="200"/>
      <c r="E26" s="200"/>
      <c r="F26" s="200"/>
      <c r="G26" s="200"/>
      <c r="H26" s="200"/>
      <c r="I26" s="201"/>
    </row>
    <row r="27" spans="1:9" ht="18.75" customHeight="1">
      <c r="A27" s="14"/>
      <c r="B27" s="199"/>
      <c r="C27" s="200"/>
      <c r="D27" s="200"/>
      <c r="E27" s="200"/>
      <c r="F27" s="200"/>
      <c r="G27" s="200"/>
      <c r="H27" s="200"/>
      <c r="I27" s="201"/>
    </row>
    <row r="28" spans="1:9" ht="18.75" customHeight="1">
      <c r="A28" s="14"/>
      <c r="B28" s="199"/>
      <c r="C28" s="200"/>
      <c r="D28" s="200"/>
      <c r="E28" s="200"/>
      <c r="F28" s="200"/>
      <c r="G28" s="200"/>
      <c r="H28" s="200"/>
      <c r="I28" s="201"/>
    </row>
    <row r="29" spans="1:9" ht="18.75" customHeight="1">
      <c r="A29" s="14"/>
      <c r="B29" s="199"/>
      <c r="C29" s="200"/>
      <c r="D29" s="200"/>
      <c r="E29" s="200"/>
      <c r="F29" s="200"/>
      <c r="G29" s="200"/>
      <c r="H29" s="200"/>
      <c r="I29" s="201"/>
    </row>
    <row r="30" spans="1:9" ht="18.75" customHeight="1">
      <c r="A30" s="14"/>
      <c r="B30" s="202"/>
      <c r="C30" s="203"/>
      <c r="D30" s="203"/>
      <c r="E30" s="203"/>
      <c r="F30" s="203"/>
      <c r="G30" s="203"/>
      <c r="H30" s="203"/>
      <c r="I30" s="201"/>
    </row>
    <row r="31" spans="1:9" ht="18.75" hidden="1" customHeight="1">
      <c r="A31" s="14"/>
      <c r="B31" s="202"/>
      <c r="C31" s="203"/>
      <c r="D31" s="203"/>
      <c r="E31" s="203"/>
      <c r="F31" s="203"/>
      <c r="G31" s="203"/>
      <c r="H31" s="203"/>
      <c r="I31" s="201"/>
    </row>
    <row r="32" spans="1:9" ht="18.75" customHeight="1">
      <c r="A32" s="14"/>
      <c r="B32" s="204"/>
      <c r="C32" s="205"/>
      <c r="D32" s="205"/>
      <c r="E32" s="205"/>
      <c r="F32" s="205"/>
      <c r="G32" s="205"/>
      <c r="H32" s="205"/>
      <c r="I32" s="206"/>
    </row>
    <row r="33" spans="1:9" ht="7.5" customHeight="1">
      <c r="A33" s="14"/>
      <c r="B33" s="14"/>
      <c r="C33" s="14"/>
      <c r="D33" s="14"/>
      <c r="E33" s="14"/>
      <c r="F33" s="14"/>
      <c r="G33" s="14"/>
      <c r="H33" s="14"/>
      <c r="I33" s="14"/>
    </row>
    <row r="34" spans="1:9" ht="18.75" customHeight="1">
      <c r="A34" s="15" t="s">
        <v>128</v>
      </c>
      <c r="B34" s="15" t="s">
        <v>129</v>
      </c>
      <c r="C34" s="10"/>
      <c r="D34" s="15"/>
      <c r="E34" s="15"/>
      <c r="F34" s="15"/>
      <c r="G34" s="15"/>
      <c r="H34" s="15"/>
      <c r="I34" s="15"/>
    </row>
    <row r="35" spans="1:9" ht="18.75" customHeight="1">
      <c r="A35" s="14"/>
      <c r="B35" s="196" t="s">
        <v>130</v>
      </c>
      <c r="C35" s="207"/>
      <c r="D35" s="207"/>
      <c r="E35" s="207"/>
      <c r="F35" s="207"/>
      <c r="G35" s="207"/>
      <c r="H35" s="207"/>
      <c r="I35" s="208"/>
    </row>
    <row r="36" spans="1:9" ht="18.75" customHeight="1">
      <c r="A36" s="14"/>
      <c r="B36" s="209"/>
      <c r="C36" s="210"/>
      <c r="D36" s="210"/>
      <c r="E36" s="210"/>
      <c r="F36" s="210"/>
      <c r="G36" s="210"/>
      <c r="H36" s="210"/>
      <c r="I36" s="211"/>
    </row>
    <row r="37" spans="1:9" ht="18.75" customHeight="1">
      <c r="A37" s="14"/>
      <c r="B37" s="209"/>
      <c r="C37" s="210"/>
      <c r="D37" s="210"/>
      <c r="E37" s="210"/>
      <c r="F37" s="210"/>
      <c r="G37" s="210"/>
      <c r="H37" s="210"/>
      <c r="I37" s="211"/>
    </row>
    <row r="38" spans="1:9" ht="18.75" customHeight="1">
      <c r="A38" s="14"/>
      <c r="B38" s="209"/>
      <c r="C38" s="210"/>
      <c r="D38" s="210"/>
      <c r="E38" s="210"/>
      <c r="F38" s="210"/>
      <c r="G38" s="210"/>
      <c r="H38" s="210"/>
      <c r="I38" s="211"/>
    </row>
    <row r="39" spans="1:9" ht="18.75" customHeight="1">
      <c r="A39" s="14"/>
      <c r="B39" s="209"/>
      <c r="C39" s="210"/>
      <c r="D39" s="210"/>
      <c r="E39" s="210"/>
      <c r="F39" s="210"/>
      <c r="G39" s="210"/>
      <c r="H39" s="210"/>
      <c r="I39" s="211"/>
    </row>
    <row r="40" spans="1:9" ht="18.75" customHeight="1">
      <c r="A40" s="14"/>
      <c r="B40" s="209"/>
      <c r="C40" s="210"/>
      <c r="D40" s="210"/>
      <c r="E40" s="210"/>
      <c r="F40" s="210"/>
      <c r="G40" s="210"/>
      <c r="H40" s="210"/>
      <c r="I40" s="211"/>
    </row>
    <row r="41" spans="1:9" ht="18.75" customHeight="1">
      <c r="A41" s="14"/>
      <c r="B41" s="209"/>
      <c r="C41" s="210"/>
      <c r="D41" s="210"/>
      <c r="E41" s="210"/>
      <c r="F41" s="210"/>
      <c r="G41" s="210"/>
      <c r="H41" s="210"/>
      <c r="I41" s="211"/>
    </row>
    <row r="42" spans="1:9" ht="18.75" customHeight="1">
      <c r="A42" s="14"/>
      <c r="B42" s="209"/>
      <c r="C42" s="210"/>
      <c r="D42" s="210"/>
      <c r="E42" s="210"/>
      <c r="F42" s="210"/>
      <c r="G42" s="210"/>
      <c r="H42" s="210"/>
      <c r="I42" s="211"/>
    </row>
    <row r="43" spans="1:9" ht="18.75" customHeight="1">
      <c r="A43" s="14"/>
      <c r="B43" s="209"/>
      <c r="C43" s="210"/>
      <c r="D43" s="210"/>
      <c r="E43" s="210"/>
      <c r="F43" s="210"/>
      <c r="G43" s="210"/>
      <c r="H43" s="210"/>
      <c r="I43" s="211"/>
    </row>
    <row r="44" spans="1:9" ht="18.75" customHeight="1">
      <c r="A44" s="14"/>
      <c r="B44" s="209"/>
      <c r="C44" s="210"/>
      <c r="D44" s="210"/>
      <c r="E44" s="210"/>
      <c r="F44" s="210"/>
      <c r="G44" s="210"/>
      <c r="H44" s="210"/>
      <c r="I44" s="211"/>
    </row>
    <row r="45" spans="1:9" ht="18.75" customHeight="1">
      <c r="A45" s="14"/>
      <c r="B45" s="209"/>
      <c r="C45" s="210"/>
      <c r="D45" s="210"/>
      <c r="E45" s="210"/>
      <c r="F45" s="210"/>
      <c r="G45" s="210"/>
      <c r="H45" s="210"/>
      <c r="I45" s="211"/>
    </row>
    <row r="46" spans="1:9" ht="18.75" customHeight="1">
      <c r="A46" s="14"/>
      <c r="B46" s="212"/>
      <c r="C46" s="213"/>
      <c r="D46" s="213"/>
      <c r="E46" s="213"/>
      <c r="F46" s="213"/>
      <c r="G46" s="213"/>
      <c r="H46" s="213"/>
      <c r="I46" s="214"/>
    </row>
    <row r="47" spans="1:9" ht="7.5" customHeight="1">
      <c r="A47" s="4"/>
      <c r="B47" s="4"/>
      <c r="C47" s="4"/>
      <c r="D47" s="4"/>
      <c r="E47" s="4"/>
      <c r="F47" s="4"/>
      <c r="G47" s="4"/>
      <c r="H47" s="4"/>
      <c r="I47" s="4"/>
    </row>
    <row r="48" spans="1:9" ht="18.75" customHeight="1">
      <c r="A48" s="1" t="s">
        <v>131</v>
      </c>
      <c r="B48" s="1" t="s">
        <v>132</v>
      </c>
    </row>
    <row r="49" spans="1:15" s="3" customFormat="1" ht="18.75" customHeight="1">
      <c r="B49" s="78" t="s">
        <v>133</v>
      </c>
      <c r="C49" s="248">
        <f>'様式２ 履修者等数の実績'!S33</f>
        <v>0.26397350993377483</v>
      </c>
      <c r="D49" s="248"/>
      <c r="E49" s="78" t="s">
        <v>134</v>
      </c>
      <c r="F49" s="249">
        <v>0.5</v>
      </c>
      <c r="G49" s="249"/>
      <c r="H49" s="78" t="s">
        <v>135</v>
      </c>
      <c r="I49" s="96">
        <v>0.75</v>
      </c>
      <c r="J49" s="1"/>
      <c r="M49" s="1"/>
      <c r="N49" s="21"/>
    </row>
    <row r="50" spans="1:15" s="3" customFormat="1" ht="18.75" customHeight="1">
      <c r="B50" s="79" t="s">
        <v>136</v>
      </c>
      <c r="C50" s="231">
        <v>1</v>
      </c>
      <c r="D50" s="231"/>
      <c r="E50" s="79" t="s">
        <v>137</v>
      </c>
      <c r="F50" s="231">
        <v>1</v>
      </c>
      <c r="G50" s="231"/>
      <c r="H50" s="79" t="s">
        <v>138</v>
      </c>
      <c r="I50" s="22">
        <f>'様式２ 履修者等数の実績'!E33</f>
        <v>7550</v>
      </c>
      <c r="J50" s="1"/>
      <c r="M50" s="1"/>
      <c r="N50" s="21"/>
    </row>
    <row r="51" spans="1:15" ht="18.75" customHeight="1">
      <c r="A51" s="1"/>
      <c r="B51" s="228" t="s">
        <v>139</v>
      </c>
      <c r="C51" s="229"/>
      <c r="D51" s="229"/>
      <c r="E51" s="229"/>
      <c r="F51" s="229"/>
      <c r="G51" s="229"/>
      <c r="H51" s="229"/>
      <c r="I51" s="230"/>
      <c r="N51" s="21"/>
      <c r="O51" s="3"/>
    </row>
    <row r="52" spans="1:15" ht="18.75" customHeight="1">
      <c r="A52" s="1"/>
      <c r="B52" s="250" t="s">
        <v>140</v>
      </c>
      <c r="C52" s="251"/>
      <c r="D52" s="251"/>
      <c r="E52" s="251"/>
      <c r="F52" s="251"/>
      <c r="G52" s="251"/>
      <c r="H52" s="251"/>
      <c r="I52" s="252"/>
      <c r="N52" s="21"/>
      <c r="O52" s="3"/>
    </row>
    <row r="53" spans="1:15" ht="18.75" customHeight="1">
      <c r="A53" s="1"/>
      <c r="B53" s="253"/>
      <c r="C53" s="254"/>
      <c r="D53" s="254"/>
      <c r="E53" s="254"/>
      <c r="F53" s="254"/>
      <c r="G53" s="254"/>
      <c r="H53" s="254"/>
      <c r="I53" s="255"/>
      <c r="N53" s="21"/>
      <c r="O53" s="3"/>
    </row>
    <row r="54" spans="1:15" ht="18.75" customHeight="1">
      <c r="A54" s="1"/>
      <c r="B54" s="253"/>
      <c r="C54" s="254"/>
      <c r="D54" s="254"/>
      <c r="E54" s="254"/>
      <c r="F54" s="254"/>
      <c r="G54" s="254"/>
      <c r="H54" s="254"/>
      <c r="I54" s="255"/>
    </row>
    <row r="55" spans="1:15" ht="18.75" customHeight="1">
      <c r="A55" s="1"/>
      <c r="B55" s="253"/>
      <c r="C55" s="254"/>
      <c r="D55" s="254"/>
      <c r="E55" s="254"/>
      <c r="F55" s="254"/>
      <c r="G55" s="254"/>
      <c r="H55" s="254"/>
      <c r="I55" s="255"/>
    </row>
    <row r="56" spans="1:15" ht="18.75" customHeight="1">
      <c r="A56" s="1"/>
      <c r="B56" s="253"/>
      <c r="C56" s="254"/>
      <c r="D56" s="254"/>
      <c r="E56" s="254"/>
      <c r="F56" s="254"/>
      <c r="G56" s="254"/>
      <c r="H56" s="254"/>
      <c r="I56" s="255"/>
    </row>
    <row r="57" spans="1:15" ht="18.75" customHeight="1">
      <c r="A57" s="1"/>
      <c r="B57" s="253"/>
      <c r="C57" s="254"/>
      <c r="D57" s="254"/>
      <c r="E57" s="254"/>
      <c r="F57" s="254"/>
      <c r="G57" s="254"/>
      <c r="H57" s="254"/>
      <c r="I57" s="255"/>
    </row>
    <row r="58" spans="1:15" ht="18.75" customHeight="1">
      <c r="A58" s="1"/>
      <c r="B58" s="253"/>
      <c r="C58" s="254"/>
      <c r="D58" s="254"/>
      <c r="E58" s="254"/>
      <c r="F58" s="254"/>
      <c r="G58" s="254"/>
      <c r="H58" s="254"/>
      <c r="I58" s="255"/>
    </row>
    <row r="59" spans="1:15" ht="18.75" customHeight="1">
      <c r="A59" s="1"/>
      <c r="B59" s="253"/>
      <c r="C59" s="254"/>
      <c r="D59" s="254"/>
      <c r="E59" s="254"/>
      <c r="F59" s="254"/>
      <c r="G59" s="254"/>
      <c r="H59" s="254"/>
      <c r="I59" s="255"/>
    </row>
    <row r="60" spans="1:15" ht="18.75" customHeight="1">
      <c r="A60" s="1"/>
      <c r="B60" s="253"/>
      <c r="C60" s="254"/>
      <c r="D60" s="254"/>
      <c r="E60" s="254"/>
      <c r="F60" s="254"/>
      <c r="G60" s="254"/>
      <c r="H60" s="254"/>
      <c r="I60" s="255"/>
    </row>
    <row r="61" spans="1:15" ht="18.75" customHeight="1">
      <c r="A61" s="1"/>
      <c r="B61" s="253"/>
      <c r="C61" s="254"/>
      <c r="D61" s="254"/>
      <c r="E61" s="254"/>
      <c r="F61" s="254"/>
      <c r="G61" s="254"/>
      <c r="H61" s="254"/>
      <c r="I61" s="255"/>
    </row>
    <row r="62" spans="1:15" ht="18.75" customHeight="1">
      <c r="A62" s="1"/>
      <c r="B62" s="253"/>
      <c r="C62" s="254"/>
      <c r="D62" s="254"/>
      <c r="E62" s="254"/>
      <c r="F62" s="254"/>
      <c r="G62" s="254"/>
      <c r="H62" s="254"/>
      <c r="I62" s="255"/>
    </row>
    <row r="63" spans="1:15" ht="18.75" customHeight="1">
      <c r="A63" s="1"/>
      <c r="B63" s="256"/>
      <c r="C63" s="257"/>
      <c r="D63" s="257"/>
      <c r="E63" s="257"/>
      <c r="F63" s="257"/>
      <c r="G63" s="257"/>
      <c r="H63" s="257"/>
      <c r="I63" s="258"/>
    </row>
    <row r="64" spans="1:15" ht="7.5" customHeight="1">
      <c r="A64" s="14"/>
      <c r="B64" s="14"/>
      <c r="C64" s="14"/>
      <c r="D64" s="14"/>
      <c r="E64" s="14"/>
      <c r="F64" s="14"/>
      <c r="G64" s="14"/>
      <c r="H64" s="14"/>
      <c r="I64" s="14"/>
    </row>
    <row r="65" spans="1:9" ht="18.75" customHeight="1">
      <c r="A65" s="15" t="s">
        <v>141</v>
      </c>
      <c r="B65" s="1" t="s">
        <v>142</v>
      </c>
      <c r="I65" s="15"/>
    </row>
    <row r="66" spans="1:9" ht="18.75" customHeight="1">
      <c r="A66" s="4"/>
      <c r="B66" s="232" t="s">
        <v>143</v>
      </c>
      <c r="C66" s="233"/>
      <c r="D66" s="233"/>
      <c r="E66" s="233"/>
      <c r="F66" s="233"/>
      <c r="G66" s="233"/>
      <c r="H66" s="233"/>
      <c r="I66" s="234"/>
    </row>
    <row r="67" spans="1:9" ht="18.75" customHeight="1">
      <c r="A67" s="4"/>
      <c r="B67" s="235"/>
      <c r="C67" s="236"/>
      <c r="D67" s="236"/>
      <c r="E67" s="236"/>
      <c r="F67" s="236"/>
      <c r="G67" s="236"/>
      <c r="H67" s="236"/>
      <c r="I67" s="237"/>
    </row>
    <row r="68" spans="1:9" ht="18.75" customHeight="1">
      <c r="A68" s="4"/>
      <c r="B68" s="235"/>
      <c r="C68" s="236"/>
      <c r="D68" s="236"/>
      <c r="E68" s="236"/>
      <c r="F68" s="236"/>
      <c r="G68" s="236"/>
      <c r="H68" s="236"/>
      <c r="I68" s="237"/>
    </row>
    <row r="69" spans="1:9" ht="18.75" customHeight="1">
      <c r="A69" s="4"/>
      <c r="B69" s="235"/>
      <c r="C69" s="236"/>
      <c r="D69" s="236"/>
      <c r="E69" s="236"/>
      <c r="F69" s="236"/>
      <c r="G69" s="236"/>
      <c r="H69" s="236"/>
      <c r="I69" s="237"/>
    </row>
    <row r="70" spans="1:9" ht="18.75" customHeight="1">
      <c r="A70" s="4"/>
      <c r="B70" s="235"/>
      <c r="C70" s="236"/>
      <c r="D70" s="236"/>
      <c r="E70" s="236"/>
      <c r="F70" s="236"/>
      <c r="G70" s="236"/>
      <c r="H70" s="236"/>
      <c r="I70" s="237"/>
    </row>
    <row r="71" spans="1:9" ht="18.75" customHeight="1">
      <c r="A71" s="4"/>
      <c r="B71" s="235"/>
      <c r="C71" s="236"/>
      <c r="D71" s="236"/>
      <c r="E71" s="236"/>
      <c r="F71" s="236"/>
      <c r="G71" s="236"/>
      <c r="H71" s="236"/>
      <c r="I71" s="237"/>
    </row>
    <row r="72" spans="1:9" ht="18.75" customHeight="1">
      <c r="A72" s="4"/>
      <c r="B72" s="235"/>
      <c r="C72" s="236"/>
      <c r="D72" s="236"/>
      <c r="E72" s="236"/>
      <c r="F72" s="236"/>
      <c r="G72" s="236"/>
      <c r="H72" s="236"/>
      <c r="I72" s="237"/>
    </row>
    <row r="73" spans="1:9" ht="18.75" customHeight="1">
      <c r="A73" s="4"/>
      <c r="B73" s="235"/>
      <c r="C73" s="236"/>
      <c r="D73" s="236"/>
      <c r="E73" s="236"/>
      <c r="F73" s="236"/>
      <c r="G73" s="236"/>
      <c r="H73" s="236"/>
      <c r="I73" s="237"/>
    </row>
    <row r="74" spans="1:9" ht="18.75" customHeight="1">
      <c r="A74" s="4"/>
      <c r="B74" s="235"/>
      <c r="C74" s="236"/>
      <c r="D74" s="236"/>
      <c r="E74" s="236"/>
      <c r="F74" s="236"/>
      <c r="G74" s="236"/>
      <c r="H74" s="236"/>
      <c r="I74" s="237"/>
    </row>
    <row r="75" spans="1:9" ht="18.75" customHeight="1">
      <c r="A75" s="4"/>
      <c r="B75" s="235"/>
      <c r="C75" s="236"/>
      <c r="D75" s="236"/>
      <c r="E75" s="236"/>
      <c r="F75" s="236"/>
      <c r="G75" s="236"/>
      <c r="H75" s="236"/>
      <c r="I75" s="237"/>
    </row>
    <row r="76" spans="1:9" ht="18.75" customHeight="1">
      <c r="A76" s="4"/>
      <c r="B76" s="235"/>
      <c r="C76" s="236"/>
      <c r="D76" s="236"/>
      <c r="E76" s="236"/>
      <c r="F76" s="236"/>
      <c r="G76" s="236"/>
      <c r="H76" s="236"/>
      <c r="I76" s="237"/>
    </row>
    <row r="77" spans="1:9" ht="18.75" customHeight="1">
      <c r="A77" s="4"/>
      <c r="B77" s="238"/>
      <c r="C77" s="239"/>
      <c r="D77" s="239"/>
      <c r="E77" s="239"/>
      <c r="F77" s="239"/>
      <c r="G77" s="239"/>
      <c r="H77" s="239"/>
      <c r="I77" s="240"/>
    </row>
    <row r="78" spans="1:9" ht="7.5" customHeight="1">
      <c r="A78" s="4"/>
      <c r="B78" s="4"/>
      <c r="C78" s="4"/>
      <c r="D78" s="4"/>
      <c r="E78" s="4"/>
      <c r="F78" s="4"/>
      <c r="G78" s="4"/>
      <c r="H78" s="4"/>
      <c r="I78" s="4"/>
    </row>
    <row r="79" spans="1:9" ht="18.75" customHeight="1">
      <c r="A79" s="1" t="s">
        <v>144</v>
      </c>
      <c r="B79" s="1" t="s">
        <v>145</v>
      </c>
    </row>
    <row r="80" spans="1:9" ht="18.75" customHeight="1">
      <c r="A80" s="1"/>
      <c r="B80" s="232" t="s">
        <v>146</v>
      </c>
      <c r="C80" s="233"/>
      <c r="D80" s="233"/>
      <c r="E80" s="233"/>
      <c r="F80" s="233"/>
      <c r="G80" s="233"/>
      <c r="H80" s="233"/>
      <c r="I80" s="241"/>
    </row>
    <row r="81" spans="1:9" ht="18.75" customHeight="1">
      <c r="A81" s="1"/>
      <c r="B81" s="242"/>
      <c r="C81" s="243"/>
      <c r="D81" s="243"/>
      <c r="E81" s="243"/>
      <c r="F81" s="243"/>
      <c r="G81" s="243"/>
      <c r="H81" s="243"/>
      <c r="I81" s="244"/>
    </row>
    <row r="82" spans="1:9" ht="18.75" customHeight="1">
      <c r="A82" s="1"/>
      <c r="B82" s="242"/>
      <c r="C82" s="243"/>
      <c r="D82" s="243"/>
      <c r="E82" s="243"/>
      <c r="F82" s="243"/>
      <c r="G82" s="243"/>
      <c r="H82" s="243"/>
      <c r="I82" s="244"/>
    </row>
    <row r="83" spans="1:9" ht="18.75" customHeight="1">
      <c r="A83" s="1"/>
      <c r="B83" s="242"/>
      <c r="C83" s="243"/>
      <c r="D83" s="243"/>
      <c r="E83" s="243"/>
      <c r="F83" s="243"/>
      <c r="G83" s="243"/>
      <c r="H83" s="243"/>
      <c r="I83" s="244"/>
    </row>
    <row r="84" spans="1:9" ht="18.75" customHeight="1">
      <c r="A84" s="1"/>
      <c r="B84" s="242"/>
      <c r="C84" s="243"/>
      <c r="D84" s="243"/>
      <c r="E84" s="243"/>
      <c r="F84" s="243"/>
      <c r="G84" s="243"/>
      <c r="H84" s="243"/>
      <c r="I84" s="244"/>
    </row>
    <row r="85" spans="1:9" ht="18.75" customHeight="1">
      <c r="A85" s="1"/>
      <c r="B85" s="242"/>
      <c r="C85" s="243"/>
      <c r="D85" s="243"/>
      <c r="E85" s="243"/>
      <c r="F85" s="243"/>
      <c r="G85" s="243"/>
      <c r="H85" s="243"/>
      <c r="I85" s="244"/>
    </row>
    <row r="86" spans="1:9" ht="18.75" customHeight="1">
      <c r="A86" s="1"/>
      <c r="B86" s="242"/>
      <c r="C86" s="243"/>
      <c r="D86" s="243"/>
      <c r="E86" s="243"/>
      <c r="F86" s="243"/>
      <c r="G86" s="243"/>
      <c r="H86" s="243"/>
      <c r="I86" s="244"/>
    </row>
    <row r="87" spans="1:9" ht="18.75" customHeight="1">
      <c r="A87" s="1"/>
      <c r="B87" s="242"/>
      <c r="C87" s="243"/>
      <c r="D87" s="243"/>
      <c r="E87" s="243"/>
      <c r="F87" s="243"/>
      <c r="G87" s="243"/>
      <c r="H87" s="243"/>
      <c r="I87" s="244"/>
    </row>
    <row r="88" spans="1:9" ht="18.75" hidden="1" customHeight="1">
      <c r="A88" s="1"/>
      <c r="B88" s="242"/>
      <c r="C88" s="243"/>
      <c r="D88" s="243"/>
      <c r="E88" s="243"/>
      <c r="F88" s="243"/>
      <c r="G88" s="243"/>
      <c r="H88" s="243"/>
      <c r="I88" s="244"/>
    </row>
    <row r="89" spans="1:9" ht="18.75" customHeight="1">
      <c r="A89" s="1"/>
      <c r="B89" s="242"/>
      <c r="C89" s="243"/>
      <c r="D89" s="243"/>
      <c r="E89" s="243"/>
      <c r="F89" s="243"/>
      <c r="G89" s="243"/>
      <c r="H89" s="243"/>
      <c r="I89" s="244"/>
    </row>
    <row r="90" spans="1:9" ht="6" customHeight="1">
      <c r="A90" s="4"/>
      <c r="B90" s="242"/>
      <c r="C90" s="243"/>
      <c r="D90" s="243"/>
      <c r="E90" s="243"/>
      <c r="F90" s="243"/>
      <c r="G90" s="243"/>
      <c r="H90" s="243"/>
      <c r="I90" s="244"/>
    </row>
    <row r="91" spans="1:9" ht="14">
      <c r="A91" s="4"/>
      <c r="B91" s="245"/>
      <c r="C91" s="246"/>
      <c r="D91" s="246"/>
      <c r="E91" s="246"/>
      <c r="F91" s="246"/>
      <c r="G91" s="246"/>
      <c r="H91" s="246"/>
      <c r="I91" s="247"/>
    </row>
    <row r="92" spans="1:9" ht="7.5" customHeight="1">
      <c r="A92" s="4"/>
      <c r="B92" s="4"/>
      <c r="C92" s="4"/>
      <c r="D92" s="4"/>
      <c r="E92" s="4"/>
      <c r="F92" s="4"/>
      <c r="G92" s="4"/>
      <c r="H92" s="4"/>
      <c r="I92" s="4"/>
    </row>
    <row r="93" spans="1:9" ht="18.75" customHeight="1">
      <c r="A93" s="1" t="s">
        <v>147</v>
      </c>
      <c r="B93" s="1" t="s">
        <v>148</v>
      </c>
    </row>
    <row r="94" spans="1:9" ht="18.75" customHeight="1">
      <c r="A94" s="1"/>
      <c r="B94" s="221" t="s">
        <v>149</v>
      </c>
      <c r="C94" s="197"/>
      <c r="D94" s="197"/>
      <c r="E94" s="197"/>
      <c r="F94" s="197"/>
      <c r="G94" s="197"/>
      <c r="H94" s="197"/>
      <c r="I94" s="198"/>
    </row>
    <row r="95" spans="1:9" ht="18.75" customHeight="1">
      <c r="A95" s="1"/>
      <c r="B95" s="202"/>
      <c r="C95" s="203"/>
      <c r="D95" s="203"/>
      <c r="E95" s="203"/>
      <c r="F95" s="203"/>
      <c r="G95" s="203"/>
      <c r="H95" s="203"/>
      <c r="I95" s="201"/>
    </row>
    <row r="96" spans="1:9" ht="18.75" customHeight="1">
      <c r="A96" s="1"/>
      <c r="B96" s="202"/>
      <c r="C96" s="203"/>
      <c r="D96" s="203"/>
      <c r="E96" s="203"/>
      <c r="F96" s="203"/>
      <c r="G96" s="203"/>
      <c r="H96" s="203"/>
      <c r="I96" s="201"/>
    </row>
    <row r="97" spans="1:9" ht="18.75" customHeight="1">
      <c r="A97" s="1"/>
      <c r="B97" s="202"/>
      <c r="C97" s="203"/>
      <c r="D97" s="203"/>
      <c r="E97" s="203"/>
      <c r="F97" s="203"/>
      <c r="G97" s="203"/>
      <c r="H97" s="203"/>
      <c r="I97" s="201"/>
    </row>
    <row r="98" spans="1:9" ht="18.75" customHeight="1">
      <c r="A98" s="1"/>
      <c r="B98" s="202"/>
      <c r="C98" s="203"/>
      <c r="D98" s="203"/>
      <c r="E98" s="203"/>
      <c r="F98" s="203"/>
      <c r="G98" s="203"/>
      <c r="H98" s="203"/>
      <c r="I98" s="201"/>
    </row>
    <row r="99" spans="1:9" ht="18.75" customHeight="1">
      <c r="A99" s="1"/>
      <c r="B99" s="202"/>
      <c r="C99" s="203"/>
      <c r="D99" s="203"/>
      <c r="E99" s="203"/>
      <c r="F99" s="203"/>
      <c r="G99" s="203"/>
      <c r="H99" s="203"/>
      <c r="I99" s="201"/>
    </row>
    <row r="100" spans="1:9" ht="18.75" customHeight="1">
      <c r="A100" s="1"/>
      <c r="B100" s="202"/>
      <c r="C100" s="203"/>
      <c r="D100" s="203"/>
      <c r="E100" s="203"/>
      <c r="F100" s="203"/>
      <c r="G100" s="203"/>
      <c r="H100" s="203"/>
      <c r="I100" s="201"/>
    </row>
    <row r="101" spans="1:9" ht="18.75" customHeight="1">
      <c r="A101" s="1"/>
      <c r="B101" s="202"/>
      <c r="C101" s="203"/>
      <c r="D101" s="203"/>
      <c r="E101" s="203"/>
      <c r="F101" s="203"/>
      <c r="G101" s="203"/>
      <c r="H101" s="203"/>
      <c r="I101" s="201"/>
    </row>
    <row r="102" spans="1:9" ht="18.75" customHeight="1">
      <c r="A102" s="1"/>
      <c r="B102" s="202"/>
      <c r="C102" s="203"/>
      <c r="D102" s="203"/>
      <c r="E102" s="203"/>
      <c r="F102" s="203"/>
      <c r="G102" s="203"/>
      <c r="H102" s="203"/>
      <c r="I102" s="201"/>
    </row>
    <row r="103" spans="1:9" ht="18.75" customHeight="1">
      <c r="A103" s="1"/>
      <c r="B103" s="202"/>
      <c r="C103" s="203"/>
      <c r="D103" s="203"/>
      <c r="E103" s="203"/>
      <c r="F103" s="203"/>
      <c r="G103" s="203"/>
      <c r="H103" s="203"/>
      <c r="I103" s="201"/>
    </row>
    <row r="104" spans="1:9" ht="18.75" customHeight="1">
      <c r="A104" s="1"/>
      <c r="B104" s="202"/>
      <c r="C104" s="203"/>
      <c r="D104" s="203"/>
      <c r="E104" s="203"/>
      <c r="F104" s="203"/>
      <c r="G104" s="203"/>
      <c r="H104" s="203"/>
      <c r="I104" s="201"/>
    </row>
    <row r="105" spans="1:9" ht="18.75" customHeight="1">
      <c r="A105" s="4"/>
      <c r="B105" s="204"/>
      <c r="C105" s="205"/>
      <c r="D105" s="205"/>
      <c r="E105" s="205"/>
      <c r="F105" s="205"/>
      <c r="G105" s="205"/>
      <c r="H105" s="205"/>
      <c r="I105" s="206"/>
    </row>
    <row r="106" spans="1:9" ht="7.5" customHeight="1">
      <c r="A106" s="4"/>
      <c r="B106" s="4"/>
      <c r="C106" s="4"/>
      <c r="D106" s="4"/>
      <c r="E106" s="4"/>
      <c r="F106" s="4"/>
      <c r="G106" s="4"/>
      <c r="H106" s="4"/>
      <c r="I106" s="4"/>
    </row>
    <row r="107" spans="1:9" ht="18.75" customHeight="1">
      <c r="A107" s="1" t="s">
        <v>150</v>
      </c>
      <c r="B107" s="222" t="s">
        <v>151</v>
      </c>
      <c r="C107" s="222"/>
      <c r="D107" s="222"/>
      <c r="E107" s="222"/>
      <c r="F107" s="222"/>
      <c r="G107" s="222"/>
      <c r="H107" s="222"/>
      <c r="I107" s="222"/>
    </row>
    <row r="108" spans="1:9" ht="18.75" customHeight="1">
      <c r="A108" s="4"/>
      <c r="B108" s="221" t="s">
        <v>152</v>
      </c>
      <c r="C108" s="197"/>
      <c r="D108" s="197"/>
      <c r="E108" s="197"/>
      <c r="F108" s="197"/>
      <c r="G108" s="197"/>
      <c r="H108" s="197"/>
      <c r="I108" s="223"/>
    </row>
    <row r="109" spans="1:9" ht="18.75" customHeight="1">
      <c r="A109" s="4"/>
      <c r="B109" s="199"/>
      <c r="C109" s="200"/>
      <c r="D109" s="200"/>
      <c r="E109" s="200"/>
      <c r="F109" s="200"/>
      <c r="G109" s="200"/>
      <c r="H109" s="200"/>
      <c r="I109" s="224"/>
    </row>
    <row r="110" spans="1:9" ht="18.75" customHeight="1">
      <c r="A110" s="4"/>
      <c r="B110" s="199"/>
      <c r="C110" s="200"/>
      <c r="D110" s="200"/>
      <c r="E110" s="200"/>
      <c r="F110" s="200"/>
      <c r="G110" s="200"/>
      <c r="H110" s="200"/>
      <c r="I110" s="224"/>
    </row>
    <row r="111" spans="1:9" ht="18.75" customHeight="1">
      <c r="A111" s="4"/>
      <c r="B111" s="199"/>
      <c r="C111" s="200"/>
      <c r="D111" s="200"/>
      <c r="E111" s="200"/>
      <c r="F111" s="200"/>
      <c r="G111" s="200"/>
      <c r="H111" s="200"/>
      <c r="I111" s="224"/>
    </row>
    <row r="112" spans="1:9" ht="18.75" customHeight="1">
      <c r="A112" s="4"/>
      <c r="B112" s="199"/>
      <c r="C112" s="200"/>
      <c r="D112" s="200"/>
      <c r="E112" s="200"/>
      <c r="F112" s="200"/>
      <c r="G112" s="200"/>
      <c r="H112" s="200"/>
      <c r="I112" s="224"/>
    </row>
    <row r="113" spans="1:9" ht="18.75" customHeight="1">
      <c r="A113" s="4"/>
      <c r="B113" s="199"/>
      <c r="C113" s="200"/>
      <c r="D113" s="200"/>
      <c r="E113" s="200"/>
      <c r="F113" s="200"/>
      <c r="G113" s="200"/>
      <c r="H113" s="200"/>
      <c r="I113" s="224"/>
    </row>
    <row r="114" spans="1:9" ht="18.75" customHeight="1">
      <c r="A114" s="4"/>
      <c r="B114" s="199"/>
      <c r="C114" s="200"/>
      <c r="D114" s="200"/>
      <c r="E114" s="200"/>
      <c r="F114" s="200"/>
      <c r="G114" s="200"/>
      <c r="H114" s="200"/>
      <c r="I114" s="224"/>
    </row>
    <row r="115" spans="1:9" ht="18.75" customHeight="1">
      <c r="A115" s="4"/>
      <c r="B115" s="199"/>
      <c r="C115" s="200"/>
      <c r="D115" s="200"/>
      <c r="E115" s="200"/>
      <c r="F115" s="200"/>
      <c r="G115" s="200"/>
      <c r="H115" s="200"/>
      <c r="I115" s="224"/>
    </row>
    <row r="116" spans="1:9" ht="18.75" customHeight="1">
      <c r="A116" s="4"/>
      <c r="B116" s="199"/>
      <c r="C116" s="200"/>
      <c r="D116" s="200"/>
      <c r="E116" s="200"/>
      <c r="F116" s="200"/>
      <c r="G116" s="200"/>
      <c r="H116" s="200"/>
      <c r="I116" s="224"/>
    </row>
    <row r="117" spans="1:9" ht="18.75" customHeight="1">
      <c r="A117" s="4"/>
      <c r="B117" s="199"/>
      <c r="C117" s="200"/>
      <c r="D117" s="200"/>
      <c r="E117" s="200"/>
      <c r="F117" s="200"/>
      <c r="G117" s="200"/>
      <c r="H117" s="200"/>
      <c r="I117" s="224"/>
    </row>
    <row r="118" spans="1:9" ht="18.75" customHeight="1">
      <c r="A118" s="4"/>
      <c r="B118" s="199"/>
      <c r="C118" s="200"/>
      <c r="D118" s="200"/>
      <c r="E118" s="200"/>
      <c r="F118" s="200"/>
      <c r="G118" s="200"/>
      <c r="H118" s="200"/>
      <c r="I118" s="224"/>
    </row>
    <row r="119" spans="1:9" ht="18.75" customHeight="1">
      <c r="A119" s="4"/>
      <c r="B119" s="225"/>
      <c r="C119" s="226"/>
      <c r="D119" s="226"/>
      <c r="E119" s="226"/>
      <c r="F119" s="226"/>
      <c r="G119" s="226"/>
      <c r="H119" s="226"/>
      <c r="I119" s="227"/>
    </row>
    <row r="120" spans="1:9" ht="7.5" customHeight="1">
      <c r="A120" s="4"/>
      <c r="B120" s="23"/>
      <c r="C120" s="23"/>
      <c r="D120" s="23"/>
      <c r="E120" s="23"/>
      <c r="F120" s="23"/>
      <c r="G120" s="23"/>
      <c r="H120" s="23"/>
      <c r="I120" s="23"/>
    </row>
    <row r="121" spans="1:9" ht="18.75" customHeight="1">
      <c r="A121" s="49"/>
      <c r="B121" s="192"/>
      <c r="C121" s="192"/>
      <c r="D121" s="192"/>
      <c r="E121" s="192"/>
      <c r="F121" s="192"/>
      <c r="G121" s="192"/>
      <c r="H121" s="192"/>
      <c r="I121" s="192"/>
    </row>
    <row r="122" spans="1:9" ht="18.75" customHeight="1">
      <c r="A122" s="49"/>
      <c r="B122" s="192"/>
      <c r="C122" s="192"/>
      <c r="D122" s="192"/>
      <c r="E122" s="192"/>
      <c r="F122" s="192"/>
      <c r="G122" s="192"/>
      <c r="H122" s="192"/>
      <c r="I122" s="192"/>
    </row>
    <row r="123" spans="1:9" ht="18.75" customHeight="1">
      <c r="A123" s="4"/>
      <c r="B123" s="50"/>
      <c r="C123" s="50"/>
      <c r="D123" s="50"/>
      <c r="E123" s="50"/>
      <c r="F123" s="50"/>
      <c r="G123" s="50"/>
      <c r="H123" s="50"/>
      <c r="I123" s="51"/>
    </row>
    <row r="124" spans="1:9" ht="18.75" customHeight="1">
      <c r="A124" s="4"/>
      <c r="B124" s="51"/>
      <c r="C124" s="51"/>
      <c r="D124" s="51"/>
      <c r="E124" s="51"/>
      <c r="F124" s="51"/>
      <c r="G124" s="51"/>
      <c r="H124" s="51"/>
      <c r="I124" s="51"/>
    </row>
    <row r="125" spans="1:9" ht="18.75" customHeight="1">
      <c r="A125" s="4"/>
      <c r="B125" s="51"/>
      <c r="C125" s="51"/>
      <c r="D125" s="51"/>
      <c r="E125" s="51"/>
      <c r="F125" s="51"/>
      <c r="G125" s="51"/>
      <c r="H125" s="51"/>
      <c r="I125" s="51"/>
    </row>
    <row r="126" spans="1:9" ht="18.75" customHeight="1">
      <c r="A126" s="4"/>
      <c r="B126" s="51"/>
      <c r="C126" s="51"/>
      <c r="D126" s="51"/>
      <c r="E126" s="51"/>
      <c r="F126" s="51"/>
      <c r="G126" s="51"/>
      <c r="H126" s="51"/>
      <c r="I126" s="51"/>
    </row>
    <row r="127" spans="1:9" ht="18.75" customHeight="1">
      <c r="A127" s="4"/>
      <c r="B127" s="51"/>
      <c r="C127" s="51"/>
      <c r="D127" s="51"/>
      <c r="E127" s="51"/>
      <c r="F127" s="51"/>
      <c r="G127" s="51"/>
      <c r="H127" s="51"/>
      <c r="I127" s="51"/>
    </row>
    <row r="128" spans="1:9" ht="18.75" customHeight="1">
      <c r="A128" s="4"/>
      <c r="B128" s="51"/>
      <c r="C128" s="51"/>
      <c r="D128" s="51"/>
      <c r="E128" s="51"/>
      <c r="F128" s="51"/>
      <c r="G128" s="51"/>
      <c r="H128" s="51"/>
      <c r="I128" s="51"/>
    </row>
    <row r="129" spans="1:9" ht="18.75" customHeight="1">
      <c r="A129" s="4"/>
      <c r="B129" s="51"/>
      <c r="C129" s="51"/>
      <c r="D129" s="51"/>
      <c r="E129" s="51"/>
      <c r="F129" s="51"/>
      <c r="G129" s="51"/>
      <c r="H129" s="51"/>
      <c r="I129" s="51"/>
    </row>
    <row r="130" spans="1:9" ht="18.75" customHeight="1">
      <c r="A130" s="4"/>
      <c r="B130" s="51"/>
      <c r="C130" s="51"/>
      <c r="D130" s="51"/>
      <c r="E130" s="51"/>
      <c r="F130" s="51"/>
      <c r="G130" s="51"/>
      <c r="H130" s="51"/>
      <c r="I130" s="51"/>
    </row>
    <row r="131" spans="1:9" ht="18.75" customHeight="1">
      <c r="A131" s="4"/>
      <c r="B131" s="51"/>
      <c r="C131" s="51"/>
      <c r="D131" s="51"/>
      <c r="E131" s="51"/>
      <c r="F131" s="51"/>
      <c r="G131" s="51"/>
      <c r="H131" s="51"/>
      <c r="I131" s="51"/>
    </row>
    <row r="132" spans="1:9" ht="18.75" customHeight="1">
      <c r="A132" s="4"/>
      <c r="B132" s="51"/>
      <c r="C132" s="51"/>
      <c r="D132" s="51"/>
      <c r="E132" s="51"/>
      <c r="F132" s="51"/>
      <c r="G132" s="51"/>
      <c r="H132" s="51"/>
      <c r="I132" s="51"/>
    </row>
    <row r="133" spans="1:9" ht="14">
      <c r="A133" s="4"/>
      <c r="B133" s="51"/>
      <c r="C133" s="51"/>
      <c r="D133" s="51"/>
      <c r="E133" s="51"/>
      <c r="F133" s="51"/>
      <c r="G133" s="51"/>
      <c r="H133" s="51"/>
      <c r="I133" s="51"/>
    </row>
    <row r="134" spans="1:9" ht="7.5" customHeight="1">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opLeftCell="A21" zoomScaleNormal="100" zoomScaleSheetLayoutView="90" workbookViewId="0">
      <selection activeCell="L12" sqref="L12"/>
    </sheetView>
  </sheetViews>
  <sheetFormatPr defaultColWidth="11.26953125" defaultRowHeight="22.5" customHeight="1"/>
  <cols>
    <col min="1" max="3" width="2.7265625" style="1" customWidth="1"/>
    <col min="4" max="4" width="22.26953125" style="1" customWidth="1"/>
    <col min="5" max="5" width="30.7265625" style="1" customWidth="1"/>
    <col min="6" max="7" width="7.7265625" style="1" customWidth="1"/>
    <col min="8" max="9" width="30.7265625" style="1" customWidth="1"/>
    <col min="10" max="10" width="4.1796875" style="1" customWidth="1"/>
    <col min="11" max="16384" width="11.26953125" style="1"/>
  </cols>
  <sheetData>
    <row r="1" spans="1:9" ht="18.75" customHeight="1">
      <c r="A1" s="1" t="s">
        <v>153</v>
      </c>
      <c r="I1" s="18" t="s">
        <v>154</v>
      </c>
    </row>
    <row r="2" spans="1:9" ht="18.75" customHeight="1">
      <c r="H2" s="18" t="s">
        <v>2</v>
      </c>
      <c r="I2" s="17" t="str">
        <f>'様式１　プログラムを構成する授業科目'!C2</f>
        <v>常葉大学</v>
      </c>
    </row>
    <row r="3" spans="1:9" ht="18.75" customHeight="1">
      <c r="A3" s="126" t="s">
        <v>155</v>
      </c>
      <c r="B3" s="126"/>
      <c r="C3" s="126"/>
      <c r="D3" s="126"/>
      <c r="E3" s="126"/>
      <c r="F3" s="126"/>
      <c r="G3" s="126"/>
      <c r="H3" s="126"/>
      <c r="I3" s="126"/>
    </row>
    <row r="4" spans="1:9" ht="18.75" customHeight="1">
      <c r="A4" s="5"/>
      <c r="B4" s="5"/>
      <c r="C4" s="5"/>
      <c r="D4" s="5"/>
      <c r="E4" s="5"/>
      <c r="F4" s="5"/>
      <c r="G4" s="5"/>
      <c r="H4" s="5"/>
      <c r="I4" s="5"/>
    </row>
    <row r="5" spans="1:9" ht="18.75" customHeight="1">
      <c r="A5" s="1" t="s">
        <v>109</v>
      </c>
      <c r="B5" s="10" t="s">
        <v>156</v>
      </c>
      <c r="C5" s="5"/>
      <c r="D5" s="5"/>
      <c r="E5" s="5"/>
      <c r="F5" s="5"/>
      <c r="G5" s="5"/>
      <c r="H5" s="5"/>
      <c r="I5" s="5"/>
    </row>
    <row r="6" spans="1:9" ht="26.25" customHeight="1">
      <c r="A6" s="5"/>
      <c r="B6" s="215" t="s">
        <v>180</v>
      </c>
      <c r="C6" s="269"/>
      <c r="D6" s="269"/>
      <c r="E6" s="269"/>
      <c r="F6" s="269"/>
      <c r="G6" s="269"/>
      <c r="H6" s="270"/>
      <c r="I6" s="3"/>
    </row>
    <row r="7" spans="1:9" ht="9" customHeight="1">
      <c r="A7" s="5"/>
      <c r="B7" s="10"/>
      <c r="C7" s="10"/>
      <c r="D7" s="10"/>
      <c r="E7" s="10"/>
      <c r="F7" s="10"/>
      <c r="G7" s="10"/>
      <c r="H7" s="10"/>
      <c r="I7" s="3"/>
    </row>
    <row r="8" spans="1:9" ht="18.75" customHeight="1">
      <c r="A8" s="5"/>
      <c r="B8" s="3"/>
      <c r="C8" s="3"/>
      <c r="D8" s="18" t="s">
        <v>117</v>
      </c>
      <c r="E8" s="97" t="s">
        <v>118</v>
      </c>
      <c r="F8" s="3"/>
      <c r="G8" s="18" t="s">
        <v>119</v>
      </c>
      <c r="H8" s="98" t="s">
        <v>120</v>
      </c>
      <c r="I8" s="3"/>
    </row>
    <row r="9" spans="1:9" ht="7.5" customHeight="1">
      <c r="A9" s="5"/>
      <c r="B9" s="5"/>
      <c r="C9" s="5"/>
      <c r="D9" s="5"/>
      <c r="E9" s="5"/>
      <c r="F9" s="5"/>
      <c r="G9" s="5"/>
      <c r="H9" s="5"/>
      <c r="I9" s="5"/>
    </row>
    <row r="10" spans="1:9" ht="18.75" customHeight="1">
      <c r="A10" s="1" t="s">
        <v>113</v>
      </c>
      <c r="B10" s="1" t="s">
        <v>157</v>
      </c>
      <c r="C10" s="4"/>
      <c r="D10" s="4"/>
      <c r="E10" s="4"/>
      <c r="F10" s="4"/>
      <c r="G10" s="4"/>
      <c r="H10" s="4"/>
      <c r="I10" s="4"/>
    </row>
    <row r="11" spans="1:9" ht="18.75" customHeight="1">
      <c r="B11" s="112" t="s">
        <v>158</v>
      </c>
      <c r="C11" s="113"/>
      <c r="D11" s="114"/>
      <c r="E11" s="113" t="s">
        <v>159</v>
      </c>
      <c r="F11" s="113"/>
      <c r="G11" s="113"/>
      <c r="H11" s="113"/>
      <c r="I11" s="114"/>
    </row>
    <row r="12" spans="1:9" ht="26.25" customHeight="1">
      <c r="B12" s="24" t="s">
        <v>160</v>
      </c>
      <c r="C12" s="31"/>
      <c r="D12" s="25"/>
      <c r="E12" s="32"/>
      <c r="F12" s="32"/>
      <c r="G12" s="32"/>
      <c r="H12" s="32"/>
      <c r="I12" s="25"/>
    </row>
    <row r="13" spans="1:9" ht="210.75" customHeight="1">
      <c r="B13" s="26"/>
      <c r="C13" s="264" t="s">
        <v>161</v>
      </c>
      <c r="D13" s="265"/>
      <c r="E13" s="266" t="s">
        <v>162</v>
      </c>
      <c r="F13" s="267"/>
      <c r="G13" s="267"/>
      <c r="H13" s="267"/>
      <c r="I13" s="268"/>
    </row>
    <row r="14" spans="1:9" ht="210.75" customHeight="1">
      <c r="B14" s="26"/>
      <c r="C14" s="259" t="s">
        <v>163</v>
      </c>
      <c r="D14" s="260"/>
      <c r="E14" s="261" t="s">
        <v>164</v>
      </c>
      <c r="F14" s="262"/>
      <c r="G14" s="262"/>
      <c r="H14" s="262"/>
      <c r="I14" s="263"/>
    </row>
    <row r="15" spans="1:9" ht="210.75" customHeight="1">
      <c r="B15" s="26"/>
      <c r="C15" s="264" t="s">
        <v>165</v>
      </c>
      <c r="D15" s="265"/>
      <c r="E15" s="261" t="s">
        <v>166</v>
      </c>
      <c r="F15" s="262"/>
      <c r="G15" s="262"/>
      <c r="H15" s="262"/>
      <c r="I15" s="263"/>
    </row>
    <row r="16" spans="1:9" ht="210.75" customHeight="1">
      <c r="B16" s="26"/>
      <c r="C16" s="264" t="s">
        <v>167</v>
      </c>
      <c r="D16" s="265"/>
      <c r="E16" s="261" t="s">
        <v>168</v>
      </c>
      <c r="F16" s="262"/>
      <c r="G16" s="262"/>
      <c r="H16" s="262"/>
      <c r="I16" s="263"/>
    </row>
    <row r="17" spans="2:9" ht="210.75" customHeight="1">
      <c r="B17" s="27"/>
      <c r="C17" s="271" t="s">
        <v>169</v>
      </c>
      <c r="D17" s="272"/>
      <c r="E17" s="273" t="s">
        <v>170</v>
      </c>
      <c r="F17" s="274"/>
      <c r="G17" s="274"/>
      <c r="H17" s="274"/>
      <c r="I17" s="275"/>
    </row>
    <row r="18" spans="2:9" ht="24" customHeight="1">
      <c r="B18" s="24" t="s">
        <v>171</v>
      </c>
      <c r="C18" s="28"/>
      <c r="D18" s="29"/>
      <c r="E18" s="30"/>
      <c r="F18" s="30"/>
      <c r="G18" s="30"/>
      <c r="H18" s="30"/>
      <c r="I18" s="33"/>
    </row>
    <row r="19" spans="2:9" ht="218.25" customHeight="1">
      <c r="B19" s="26"/>
      <c r="C19" s="264" t="s">
        <v>172</v>
      </c>
      <c r="D19" s="265"/>
      <c r="E19" s="262" t="s">
        <v>173</v>
      </c>
      <c r="F19" s="262"/>
      <c r="G19" s="262"/>
      <c r="H19" s="262"/>
      <c r="I19" s="263"/>
    </row>
    <row r="20" spans="2:9" ht="218.25" customHeight="1">
      <c r="B20" s="27"/>
      <c r="C20" s="271" t="s">
        <v>174</v>
      </c>
      <c r="D20" s="272"/>
      <c r="E20" s="274" t="s">
        <v>175</v>
      </c>
      <c r="F20" s="274"/>
      <c r="G20" s="274"/>
      <c r="H20" s="274"/>
      <c r="I20" s="275"/>
    </row>
    <row r="21" spans="2:9" ht="218.25" customHeight="1">
      <c r="B21" s="279" t="s">
        <v>176</v>
      </c>
      <c r="C21" s="280"/>
      <c r="D21" s="281"/>
      <c r="E21" s="282" t="s">
        <v>177</v>
      </c>
      <c r="F21" s="282"/>
      <c r="G21" s="282"/>
      <c r="H21" s="282"/>
      <c r="I21" s="283"/>
    </row>
    <row r="22" spans="2:9" ht="218.25" customHeight="1">
      <c r="B22" s="276" t="s">
        <v>178</v>
      </c>
      <c r="C22" s="277"/>
      <c r="D22" s="278"/>
      <c r="E22" s="226" t="s">
        <v>179</v>
      </c>
      <c r="F22" s="226"/>
      <c r="G22" s="226"/>
      <c r="H22" s="226"/>
      <c r="I22" s="227"/>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6" max="8"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1130204-4b0d-4f14-8e73-30e3d2ae769e">
      <Terms xmlns="http://schemas.microsoft.com/office/infopath/2007/PartnerControls"/>
    </lcf76f155ced4ddcb4097134ff3c332f>
    <TaxCatchAll xmlns="ff0d5998-a980-4c33-938f-e28db71a178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6BA1669149AB14B8C846E5C2EB08811" ma:contentTypeVersion="12" ma:contentTypeDescription="新しいドキュメントを作成します。" ma:contentTypeScope="" ma:versionID="1c5c68db8568ef64d5d5a0a7038a96eb">
  <xsd:schema xmlns:xsd="http://www.w3.org/2001/XMLSchema" xmlns:xs="http://www.w3.org/2001/XMLSchema" xmlns:p="http://schemas.microsoft.com/office/2006/metadata/properties" xmlns:ns2="11130204-4b0d-4f14-8e73-30e3d2ae769e" xmlns:ns3="ff0d5998-a980-4c33-938f-e28db71a178c" targetNamespace="http://schemas.microsoft.com/office/2006/metadata/properties" ma:root="true" ma:fieldsID="b6acf8e9a19471610cd99ab5b7904dab" ns2:_="" ns3:_="">
    <xsd:import namespace="11130204-4b0d-4f14-8e73-30e3d2ae769e"/>
    <xsd:import namespace="ff0d5998-a980-4c33-938f-e28db71a17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130204-4b0d-4f14-8e73-30e3d2ae76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7637b7c8-da6a-4ffb-b4f6-1a44b0549b0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0d5998-a980-4c33-938f-e28db71a178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fead00a-2bf6-401b-b4d1-062f9a3ff682}" ma:internalName="TaxCatchAll" ma:showField="CatchAllData" ma:web="ff0d5998-a980-4c33-938f-e28db71a17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87A5DF-0279-4335-B7D2-42FB7EC51034}">
  <ds:schemaRefs>
    <ds:schemaRef ds:uri="http://schemas.microsoft.com/sharepoint/v3/contenttype/forms"/>
  </ds:schemaRefs>
</ds:datastoreItem>
</file>

<file path=customXml/itemProps2.xml><?xml version="1.0" encoding="utf-8"?>
<ds:datastoreItem xmlns:ds="http://schemas.openxmlformats.org/officeDocument/2006/customXml" ds:itemID="{D0B26637-0F60-4411-88A9-4D60E00AA3AB}">
  <ds:schemaRefs>
    <ds:schemaRef ds:uri="http://schemas.microsoft.com/office/2006/metadata/properties"/>
    <ds:schemaRef ds:uri="http://schemas.microsoft.com/office/infopath/2007/PartnerControls"/>
    <ds:schemaRef ds:uri="11130204-4b0d-4f14-8e73-30e3d2ae769e"/>
    <ds:schemaRef ds:uri="ff0d5998-a980-4c33-938f-e28db71a178c"/>
  </ds:schemaRefs>
</ds:datastoreItem>
</file>

<file path=customXml/itemProps3.xml><?xml version="1.0" encoding="utf-8"?>
<ds:datastoreItem xmlns:ds="http://schemas.openxmlformats.org/officeDocument/2006/customXml" ds:itemID="{CB0BD635-488C-4996-924B-D91F9A2263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130204-4b0d-4f14-8e73-30e3d2ae769e"/>
    <ds:schemaRef ds:uri="ff0d5998-a980-4c33-938f-e28db71a17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山田　雅敏</cp:lastModifiedBy>
  <cp:revision/>
  <cp:lastPrinted>2025-06-27T00:48:09Z</cp:lastPrinted>
  <dcterms:created xsi:type="dcterms:W3CDTF">2011-06-14T05:32:50Z</dcterms:created>
  <dcterms:modified xsi:type="dcterms:W3CDTF">2025-07-03T03:22:20Z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MediaServiceImageTags">
    <vt:lpwstr/>
  </property>
  <property fmtid="{D5CDD505-2E9C-101B-9397-08002B2CF9AE}" pid="10" name="ContentTypeId">
    <vt:lpwstr>0x010100C6BA1669149AB14B8C846E5C2EB08811</vt:lpwstr>
  </property>
</Properties>
</file>