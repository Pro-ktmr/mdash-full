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Y:\01 新共有フォルダ\13_データサイエンス認定制度\申請書類_再提出用\九州共立大学\01_九州共立大学_リテラシー\"/>
    </mc:Choice>
  </mc:AlternateContent>
  <xr:revisionPtr revIDLastSave="0" documentId="13_ncr:1_{C9B374A3-5438-4663-B2DE-BB7DFCE8E446}" xr6:coauthVersionLast="36" xr6:coauthVersionMax="47" xr10:uidLastSave="{00000000-0000-0000-0000-000000000000}"/>
  <bookViews>
    <workbookView xWindow="0" yWindow="0" windowWidth="28800" windowHeight="1176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<sst xmlns="http://schemas.openxmlformats.org/spreadsheetml/2006/main" count="281" uniqueCount="187">
  <si>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</si>
  <si>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</si>
  <si>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</si>
  <si>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</si>
  <si>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</si>
  <si>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</si>
  <si>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</si>
  <si>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</si>
  <si>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</si>
  <si>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</si>
  <si>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</si>
  <si>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</si>
  <si>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</si>
  <si>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</si>
  <si>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</si>
  <si>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</si>
  <si>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</si>
  <si>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</si>
  <si>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</si>
  <si>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</si>
  <si>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</si>
  <si>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</si>
  <si>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</si>
  <si>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</si>
  <si>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</si>
  <si>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</si>
  <si>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</si>
  <si>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</si>
  <si>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</si>
  <si>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</si>
  <si>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</si>
  <si>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</si>
  <si>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</si>
  <si>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</si>
  <si>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</si>
  <si>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</si>
  <si>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</si>
  <si>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</si>
  <si>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</si>
  <si>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</si>
  <si>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</si>
  <si>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</si>
  <si>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</si>
  <si>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</si>
  <si>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</si>
  <si>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</si>
  <si>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</si>
  <si>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</si>
  <si>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</si>
  <si>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</si>
  <si>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</si>
  <si>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</si>
  <si>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</si>
  <si>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</si>
  <si>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</si>
  <si>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</si>
  <si>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</si>
  <si>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</si>
  <si>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</si>
  <si>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</si>
  <si>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</si>
  <si>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</si>
  <si>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</si>
  <si>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</si>
  <si>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</si>
  <si>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</si>
  <si>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</si>
  <si>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</si>
  <si>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</si>
  <si>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</si>
  <si>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</si>
  <si>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</si>
  <si>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</si>
  <si>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</si>
  <si>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</si>
  <si>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</si>
  <si>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</si>
  <si>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</si>
  <si>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</si>
  <si>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</si>
  <si>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</si>
  <si>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</si>
  <si>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</si>
  <si>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</si>
  <si>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</si>
  <si>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</si>
  <si>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</si>
  <si>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</si>
  <si>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</si>
  <si>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</si>
  <si>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</si>
  <si>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</si>
  <si>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</si>
  <si>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</si>
  <si>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</si>
  <si>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</si>
  <si>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</si>
  <si>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</si>
  <si>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</si>
  <si>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</si>
  <si>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</si>
  <si>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</si>
  <si>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</si>
  <si>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</si>
  <si>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</si>
  <si>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</si>
  <si>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</si>
  <si>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</si>
  <si>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</si>
  <si>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</si>
  <si>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</si>
  <si>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</si>
  <si>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</si>
  <si>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</si>
  <si>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</si>
  <si>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</si>
  <si>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</si>
  <si>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</si>
  <si>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</si>
  <si>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</si>
  <si>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</si>
  <si>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</si>
  <si>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</si>
  <si>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</si>
  <si>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</si>
  <si>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</si>
  <si>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</si>
  <si>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</si>
  <si>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</si>
  <si>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</si>
  <si>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</si>
  <si>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</si>
  <si>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</si>
  <si>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</si>
  <si>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</si>
  <si>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</si>
  <si>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</si>
  <si>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</si>
  <si>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</si>
  <si>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</si>
  <si>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</si>
  <si>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</si>
  <si>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九州共立大学</t>
    <phoneticPr fontId="1"/>
  </si>
  <si>
    <t>データサイエンス基礎教育プログラム</t>
    <phoneticPr fontId="1"/>
  </si>
  <si>
    <t>総合共通科目「データサイエンス入門」1単位を修得すること。</t>
    <phoneticPr fontId="1"/>
  </si>
  <si>
    <t>データサイエンス入門</t>
    <rPh sb="8" eb="10">
      <t>ニュウモン</t>
    </rPh>
    <phoneticPr fontId="1"/>
  </si>
  <si>
    <t>○</t>
  </si>
  <si>
    <t>データサイエンス入門</t>
    <phoneticPr fontId="1"/>
  </si>
  <si>
    <t>・ビッグデータ、IoT、AI、生成AI、ロボット（6回目）
・第4次産業革命、Society 5.0、データ駆動型社会（2回目）
・複数技術を組み合わせたAIサービス（3回目）
・人間の知的活動とAIの関係性（3回目）
・データを起点としたものの見方、人間の知的活動を起点としたものの見方（3回目）</t>
    <phoneticPr fontId="1"/>
  </si>
  <si>
    <t>・AI最新技術の活用例（深層生成モデル、強化学習、転移学習、生成AIなど）（6回目）
・AI等を活用した新しいビジネスモデル(シェアリングエコノミー、商品のレコメンデーションなど)（2回目）</t>
    <phoneticPr fontId="1"/>
  </si>
  <si>
    <t>・構造化データ、非構造化データ（文章、画像/動画、音声/音楽など）（2回目）</t>
    <phoneticPr fontId="1"/>
  </si>
  <si>
    <t>・データ・AI活用領域の広がり(生産、消費、文化活動など)（2回目）
・対話、コンテンツ生成、翻訳・要約・執筆支援、コーディング支援など生成AIの応用（6回目）</t>
    <phoneticPr fontId="1"/>
  </si>
  <si>
    <t>・データ可視化：複合グラフ、2軸グラフ、多次元の可視化、関係性の可視化、地図上の可視化、挙動・軌跡の可視化、リアルタイム可視化など（8回目）</t>
    <phoneticPr fontId="1"/>
  </si>
  <si>
    <t>・データサイエンスのサイクル（課題抽出と定式化、データの取得・管理・加工、探索的データ解析、データ解析と推論、結果の共有・伝達、課題解決に向けた提案）（2回目、7回目、8回目、9回目）</t>
    <phoneticPr fontId="1"/>
  </si>
  <si>
    <t>・データ倫理：データのねつ造、改ざん、盗用、プライバシー保護（14回目）
・生成AIの留意事項（ハルシネーションによる誤情報の生成、偽情報や有害コンテンツの生成・氾濫など）（6回目）</t>
    <phoneticPr fontId="1"/>
  </si>
  <si>
    <t>・情報漏洩等によるセキュリティ事故の事例紹介（1回目）</t>
    <phoneticPr fontId="1"/>
  </si>
  <si>
    <t>・データの分布(ヒストグラム)と代表値（平均値、中央値、最頻値）（9回目）
・データのばらつき（分散、標準偏差、偏差値）、外れ値（9回目）</t>
    <phoneticPr fontId="1"/>
  </si>
  <si>
    <t>・データ表現（棒グラフ、折線グラフ、散布図、ヒートマップ、箱ひげ図）（8回目）
・不適切なグラフ表現（チャートジャンク、不必要な視覚的要素）（2回目）
・優れた可視化事例の紹介（可視化することによって新たな気づきがあった事例など）（2回目）
・相手に的確かつ正確に情報を伝える技術や考え方（スライド作成、プレゼンテーションなど）（11回目、12回目、13回目）</t>
    <phoneticPr fontId="1"/>
  </si>
  <si>
    <t>・データの取得（機械判読可能なデータの作成・表記方法）（7回目）
・データの集計（和、平均）（7回目）</t>
    <phoneticPr fontId="1"/>
  </si>
  <si>
    <t>・コンピュータの基礎用語を理解し、基本的な利用方法を習得し、説明できる。
・簡単なレポート作成とそのプレゼンテーションができる。
・データサイエンスが社会でどのように活用され新たな価値を生んでいるかを説明できる。
・AIの得意なところ、苦手なところを理解し、人間中心の適切な判断ができる。
・社会の実データ、実課題を適切に読み解き、判断ができる。</t>
    <phoneticPr fontId="1"/>
  </si>
  <si>
    <t>令和6</t>
    <rPh sb="0" eb="2">
      <t>レイワ</t>
    </rPh>
    <phoneticPr fontId="1"/>
  </si>
  <si>
    <t>島尻芳人</t>
    <phoneticPr fontId="1"/>
  </si>
  <si>
    <t>九州共立大学教務委員会</t>
    <phoneticPr fontId="1"/>
  </si>
  <si>
    <t>船津京太郎</t>
    <phoneticPr fontId="1"/>
  </si>
  <si>
    <t>教務部長</t>
    <phoneticPr fontId="1"/>
  </si>
  <si>
    <t>九州共立大学教務委員会規程</t>
    <phoneticPr fontId="1"/>
  </si>
  <si>
    <t>（目的） 
委員会は、本学の教務に関する全学的事項の審議並びに各学部、各研究科及び共通教育センター（以下「学部等」という。）間の連絡・調整を図ることを目的とする。
（審議事項）
委員会は、次の各号に掲げる事項を審議する
　(１) カリキュラムの編成に関する事項
　(２) 学部等間における教務の連絡及び調整に関する事項
　(３) 学部等間における学年暦の調整に関する事項
　(４) 学部等間における時間割編成及び調整に関する事項
　(５) その他教務に関する全学的事項</t>
    <phoneticPr fontId="1"/>
  </si>
  <si>
    <t>本プログラムを構成する授業科目「データサイエンス入門」は、令和6年度の入学者以降、全学必修科目であるため、入学者全員が1年次に履修することになる。</t>
    <phoneticPr fontId="1"/>
  </si>
  <si>
    <t>本プログラムの授業科目「データサイエンス入門」は、上述のとおり必修科目であるため、大人数の学生が履修する。このことから、「データサイエンス入門」は、教育効果を高めるため、クラスサイズに上限を設け、全16クラスに分けて運用している。履修については、予めクラスを分けをしたうえで学生に周知し、学生自身が該当するクラスの時間割に履修登録を行っている。</t>
    <phoneticPr fontId="1"/>
  </si>
  <si>
    <t>本学では、学生ポータルサイト（ＵＮＩＰＡ）を通じて、学生が授業担当教員にいつでも質問や相談することとができる。このことに加え、専任教員については、各学期15回のオフィスアワーを実施することとしているため、対面で学生の質問や相談を受ける体制も整えている。</t>
    <phoneticPr fontId="1"/>
  </si>
  <si>
    <t>本プログラムの学修成果について、各授業回において課題を設け、学修した内容を文章でまとめさせることや、練習問題を解かせることにより、知識の定着を図った。また、最後の授業回においては、学修のまとめとして、レポート（1,500－1,800字）の提出を履修者へ求めた。</t>
    <phoneticPr fontId="1"/>
  </si>
  <si>
    <t>本プログラムの内容の理解度について、履修者全員を対象に「授業評価アンケート」を実施した。授業理解度については、「非常に理解できた」「かなり理解できた」と回答した割合が、全体の88％であった。今後は、より授業理解度の向上を図るべく、継続的に授業内容を検証していく。</t>
    <phoneticPr fontId="1"/>
  </si>
  <si>
    <t>本プログラムの後輩等他の学生への推奨度について、履修者全員を対象とした「授業評価アンケート」の結果では、授業満足度に関し、「非常に満足している」「ある程度満足している」と回答した割合が、全体の87％であったため、後輩等への推奨度は、非常に高いと考えられる。しかし、本プログラムは、必修科目で構成しているため、令和6年度以降の入学者は、全員履修することとなる。</t>
    <phoneticPr fontId="1"/>
  </si>
  <si>
    <t>本プログラムは、前述のとおり、必修科目で構成しているため、全学生の履修が見込まれる。</t>
    <phoneticPr fontId="1"/>
  </si>
  <si>
    <t>本プログラムは、令和6年度の入学者から開設したプログラムであるため、修了して卒業した学生は現時点ではいない。ただし、本学では既に、卒業生の進路状況に関するアンケート、および進路先に対する意見聴取アンケートを全学的に実施しているため、継続してアンケート結果を検証していく。</t>
    <phoneticPr fontId="1"/>
  </si>
  <si>
    <t>AIやデータサイエンスに関する最新の技術動向や社会実装の事例を授業に取り入れることで、その重要性や有用性を学生に理解させている。特に、EXCELを用いたデータ処理の授業では、生成AIを活用しながら課題に取り組ませることで、AIがどのように業務を効率化し、実務に役立つのかを体験的に学べるようにしている。これにより、数理・データサイエンスの知識が現実社会でどのように応用できるかを実感できるようになっている。</t>
    <phoneticPr fontId="1"/>
  </si>
  <si>
    <t>授業スライドを共有（事前配布・授業後の復習用）するとともに、授業評価アンケート（学期中1回）や、UNIPAの機能を活用した毎授業のアンケートを通じて、授業の難易度や理解度を把握し、学生の反応に基づいて適宜調整を行っている。例えば、難易度が高いと感じる学生が多い場合には、補足資料を追加したり、具体的な操作手順を実演する時間を増やすなどの工夫をしている。さらに、生成AIのメリット・デメリットを説明した上で、EXCELのデータ処理や分析を行う際に生成AIを活用しながら演習を取り組んでもらい、学生がAIの活用スキルを身につけられるようにしている。これにより、授業の内容や水準を維持しつつ、より分かりやすく、実務に直結する学びを提供している。</t>
    <phoneticPr fontId="1"/>
  </si>
  <si>
    <t>経済学部教授</t>
    <rPh sb="0" eb="2">
      <t>ケイザイ</t>
    </rPh>
    <rPh sb="2" eb="4">
      <t>ガクブ</t>
    </rPh>
    <rPh sb="4" eb="6">
      <t>キョウジュ</t>
    </rPh>
    <phoneticPr fontId="1"/>
  </si>
  <si>
    <t>①教務部長、スポーツ学部長　船津京太郎（委員長）
②教務副部長　辰見康剛
③経済学部長、経済･経営学研究科長　甘長青
④スポーツ学部長、スポーツ学研究科長　長谷川伸
⑤共通教育センター所長　西尾恵里子
⑥経済学部教務委員、経済・経営学研究科教務委員　入江雅仁
⑦スポーツ学部教務委員　山田明
⑧スポーツ学研究科教務委員、スポーツ学科長、こどもスポーツ教育学科長　森誠護
⑨教職課程委員　重枝武司
⑩教務課長　石倉康代
⑪学長特別補佐　島尻芳人
⑫経済･経営学科長　末木将史
⑬地域創造学科長　貝掛祥広
⑭経済学部教務員　尾上百合加　</t>
    <rPh sb="10" eb="12">
      <t>ガクブ</t>
    </rPh>
    <rPh sb="12" eb="13">
      <t>チョウ</t>
    </rPh>
    <rPh sb="38" eb="40">
      <t>ケイザイ</t>
    </rPh>
    <rPh sb="40" eb="42">
      <t>ガクブ</t>
    </rPh>
    <rPh sb="42" eb="43">
      <t>チョウ</t>
    </rPh>
    <rPh sb="64" eb="66">
      <t>ガクブ</t>
    </rPh>
    <rPh sb="66" eb="67">
      <t>チョウ</t>
    </rPh>
    <rPh sb="175" eb="177">
      <t>キョウイク</t>
    </rPh>
    <rPh sb="177" eb="179">
      <t>ガッカ</t>
    </rPh>
    <rPh sb="179" eb="180">
      <t>チョウ</t>
    </rPh>
    <rPh sb="210" eb="212">
      <t>ガクチョウ</t>
    </rPh>
    <rPh sb="212" eb="214">
      <t>トクベツ</t>
    </rPh>
    <rPh sb="214" eb="216">
      <t>ホサ</t>
    </rPh>
    <rPh sb="217" eb="219">
      <t>シマジリ</t>
    </rPh>
    <rPh sb="219" eb="221">
      <t>ヨシト</t>
    </rPh>
    <rPh sb="232" eb="234">
      <t>スエキ</t>
    </rPh>
    <rPh sb="234" eb="235">
      <t>ショウ</t>
    </rPh>
    <rPh sb="235" eb="236">
      <t>シ</t>
    </rPh>
    <rPh sb="252" eb="254">
      <t>ケイザイ</t>
    </rPh>
    <rPh sb="254" eb="256">
      <t>ガクブ</t>
    </rPh>
    <rPh sb="256" eb="258">
      <t>キョウム</t>
    </rPh>
    <rPh sb="258" eb="259">
      <t>イン</t>
    </rPh>
    <rPh sb="260" eb="262">
      <t>オノウエ</t>
    </rPh>
    <rPh sb="262" eb="264">
      <t>ユリ</t>
    </rPh>
    <rPh sb="264" eb="265">
      <t>カ</t>
    </rPh>
    <phoneticPr fontId="1"/>
  </si>
  <si>
    <t>学部・学科に関係なく全学生が受講可能となるよう、上述したとおり、本プログラムを構成する授業科目「データサイエンス入門」は必修科目としている。</t>
    <rPh sb="39" eb="41">
      <t>コウセイ</t>
    </rPh>
    <phoneticPr fontId="1"/>
  </si>
  <si>
    <t>できる限り多くの学生が履修・修得できるようなサポート体制について、上述のとおり、令和6年度の入学者以降、本プログラムを構成する授業科目「データサイエンス入門」は、必修科目であるため、全学生が履修・修得する教育課程としている。</t>
    <rPh sb="40" eb="42">
      <t>レイワ</t>
    </rPh>
    <rPh sb="43" eb="45">
      <t>ネンド</t>
    </rPh>
    <rPh sb="46" eb="49">
      <t>ニュウガクシャ</t>
    </rPh>
    <rPh sb="49" eb="51">
      <t>イコウ</t>
    </rPh>
    <rPh sb="59" eb="61">
      <t>コウセイ</t>
    </rPh>
    <phoneticPr fontId="1"/>
  </si>
  <si>
    <t>本プログラムの履修・修得状況について、本学の全学科（経済・経営学科、地域創造学科、スポーツ学科、こどもスポーツ教育学科）の1年生724名の内、720名が履修し、688名が修了した。</t>
    <rPh sb="67" eb="68">
      <t>メイ</t>
    </rPh>
    <phoneticPr fontId="1"/>
  </si>
  <si>
    <t>本学と連携している産業界から、本プログラムは、データの正しい解釈と活用に関する体系的な学修に加え、具体的な事例を用いたグループワークやプレゼンテーションをカリキュラムに盛り込んでいる点は、学生が実践的なスキルを習得する上で非常に有効であると高い評価を得た。また、同産業界から、本プログラムにおいて、データリテラシーの深化と倫理観の醸成、 実践的な学びの強化、および 継続的な学習とキャリアパスを追加することについて提案がなされた。今後は、本プログラムを発展させるため、産業界の提案等を踏まえつつ、検討していく。</t>
    <rPh sb="0" eb="2">
      <t>ホンガク</t>
    </rPh>
    <rPh sb="3" eb="5">
      <t>レンケイ</t>
    </rPh>
    <rPh sb="9" eb="12">
      <t>サンギョウカイ</t>
    </rPh>
    <rPh sb="15" eb="16">
      <t>ホン</t>
    </rPh>
    <rPh sb="125" eb="126">
      <t>エ</t>
    </rPh>
    <rPh sb="131" eb="132">
      <t>ドウ</t>
    </rPh>
    <rPh sb="132" eb="134">
      <t>サンギョウ</t>
    </rPh>
    <rPh sb="134" eb="135">
      <t>カイ</t>
    </rPh>
    <rPh sb="138" eb="139">
      <t>ホン</t>
    </rPh>
    <rPh sb="207" eb="209">
      <t>テイアン</t>
    </rPh>
    <rPh sb="238" eb="240">
      <t>テイアン</t>
    </rPh>
    <phoneticPr fontId="1"/>
  </si>
  <si>
    <t>学部・学科によって、修了要件は相違しない</t>
  </si>
  <si>
    <t>経済学部　</t>
    <rPh sb="0" eb="2">
      <t>ケイザイ</t>
    </rPh>
    <rPh sb="2" eb="4">
      <t>ガクブ</t>
    </rPh>
    <phoneticPr fontId="1"/>
  </si>
  <si>
    <t>スポーツ学部</t>
    <rPh sb="4" eb="6">
      <t>ガクブ</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</si>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</sst>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12"/>
      <name val="ＭＳ Ｐゴシック"/>
      <family val="3"/>
      <charset val="128"/>
      <scheme val="minor"/>
    </font>
    <font>
      <sz val="10"/>
      <name val="ＭＳ Ｐゴシック"/>
      <family val="3"/>
      <charset val="128"/>
      <scheme val="minor"/>
    </font>
    <font>
      <sz val="14"/>
      <name val="ＭＳ Ｐゴシック"/>
      <family val="3"/>
      <charset val="128"/>
      <scheme val="minor"/>
    </font>
    <font>
      <sz val="7"/>
      <name val="ＭＳ Ｐゴシック"/>
      <family val="3"/>
      <charset val="128"/>
      <scheme val="minor"/>
    </font>
    <font>
      <sz val="11"/>
      <name val="ＭＳ Ｐゴシック"/>
      <family val="3"/>
      <charset val="128"/>
      <scheme val="minor"/>
    </font>
    <font>
      <sz val="9"/>
      <name val="ＭＳ Ｐゴシック"/>
      <family val="3"/>
      <charset val="128"/>
      <scheme val="minor"/>
    </font>
    <font>
      <sz val="6"/>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0" fontId="2" fillId="0" borderId="0" xfId="0" applyFont="1" applyAlignment="1">
      <alignment horizontal="left" vertical="center"/>
    </xf>
    <xf numFmtId="0" fontId="2" fillId="0" borderId="0" xfId="0" applyFont="1" applyAlignment="1">
      <alignment vertical="top"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8" fillId="0" borderId="0" xfId="0" applyFont="1">
      <alignment vertical="center"/>
    </xf>
    <xf numFmtId="0" fontId="8" fillId="0" borderId="0" xfId="0" applyFont="1" applyAlignment="1">
      <alignment vertical="center" shrinkToFit="1"/>
    </xf>
    <xf numFmtId="0" fontId="8" fillId="0" borderId="0" xfId="0" applyFont="1" applyAlignment="1">
      <alignment horizontal="center"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8" fillId="0" borderId="0" xfId="0" applyFont="1" applyAlignment="1">
      <alignment horizontal="center" vertical="center" shrinkToFit="1"/>
    </xf>
    <xf numFmtId="0" fontId="9" fillId="0" borderId="0" xfId="0" applyFont="1" applyAlignment="1">
      <alignment horizontal="center" vertical="center"/>
    </xf>
    <xf numFmtId="0" fontId="8" fillId="0" borderId="1" xfId="0" applyFont="1" applyBorder="1" applyAlignment="1">
      <alignment horizontal="center" vertical="center"/>
    </xf>
    <xf numFmtId="0" fontId="12" fillId="0" borderId="0" xfId="0" applyFont="1">
      <alignment vertical="center"/>
    </xf>
    <xf numFmtId="0" fontId="11" fillId="0" borderId="32" xfId="0" applyFont="1" applyBorder="1" applyAlignment="1">
      <alignment horizontal="center" vertical="center"/>
    </xf>
    <xf numFmtId="0" fontId="11" fillId="0" borderId="35" xfId="0" applyFont="1" applyBorder="1" applyAlignment="1">
      <alignment horizontal="center" vertical="center"/>
    </xf>
    <xf numFmtId="0" fontId="8" fillId="0" borderId="48" xfId="0" applyFont="1" applyBorder="1" applyAlignment="1">
      <alignment horizontal="left" vertical="center" shrinkToFit="1"/>
    </xf>
    <xf numFmtId="38" fontId="8" fillId="0" borderId="45" xfId="2" applyFont="1" applyBorder="1" applyAlignment="1">
      <alignment vertical="center" shrinkToFit="1"/>
    </xf>
    <xf numFmtId="38" fontId="8" fillId="0" borderId="0" xfId="2" applyFont="1" applyAlignment="1">
      <alignment vertical="center" shrinkToFit="1"/>
    </xf>
    <xf numFmtId="38" fontId="8" fillId="0" borderId="5" xfId="2" applyFont="1" applyBorder="1" applyAlignment="1">
      <alignment vertical="center" shrinkToFit="1"/>
    </xf>
    <xf numFmtId="38" fontId="8" fillId="0" borderId="48" xfId="2" applyFont="1" applyBorder="1" applyAlignment="1">
      <alignment vertical="center" shrinkToFit="1"/>
    </xf>
    <xf numFmtId="9" fontId="8" fillId="0" borderId="13" xfId="0" applyNumberFormat="1" applyFont="1" applyBorder="1" applyAlignment="1">
      <alignment vertical="center" shrinkToFit="1"/>
    </xf>
    <xf numFmtId="0" fontId="8" fillId="0" borderId="20" xfId="0" applyFont="1" applyBorder="1" applyAlignment="1">
      <alignment horizontal="left" vertical="center" shrinkToFit="1"/>
    </xf>
    <xf numFmtId="38" fontId="8" fillId="0" borderId="20" xfId="2" applyFont="1" applyBorder="1" applyAlignment="1">
      <alignment vertical="center" shrinkToFit="1"/>
    </xf>
    <xf numFmtId="38" fontId="8" fillId="0" borderId="19" xfId="2" applyFont="1" applyBorder="1" applyAlignment="1">
      <alignment vertical="center" shrinkToFit="1"/>
    </xf>
    <xf numFmtId="38" fontId="8" fillId="0" borderId="18" xfId="2" applyFont="1" applyBorder="1" applyAlignment="1">
      <alignment vertical="center" shrinkToFit="1"/>
    </xf>
    <xf numFmtId="38" fontId="8" fillId="0" borderId="46" xfId="2" applyFont="1" applyBorder="1" applyAlignment="1">
      <alignment vertical="center" shrinkToFit="1"/>
    </xf>
    <xf numFmtId="9" fontId="8" fillId="0" borderId="48" xfId="0" applyNumberFormat="1" applyFont="1" applyBorder="1" applyAlignment="1">
      <alignment vertical="center" shrinkToFit="1"/>
    </xf>
    <xf numFmtId="9" fontId="8" fillId="0" borderId="20" xfId="0" applyNumberFormat="1" applyFont="1" applyBorder="1" applyAlignment="1">
      <alignment vertical="center" shrinkToFit="1"/>
    </xf>
    <xf numFmtId="38" fontId="8" fillId="0" borderId="17" xfId="2" applyFont="1" applyBorder="1" applyAlignment="1">
      <alignment vertical="center" shrinkToFit="1"/>
    </xf>
    <xf numFmtId="0" fontId="8" fillId="0" borderId="21" xfId="0" applyFont="1" applyBorder="1" applyAlignment="1">
      <alignment horizontal="left" vertical="center" shrinkToFit="1"/>
    </xf>
    <xf numFmtId="38" fontId="8" fillId="0" borderId="10" xfId="2" applyFont="1" applyBorder="1" applyAlignment="1">
      <alignment vertical="center" shrinkToFit="1"/>
    </xf>
    <xf numFmtId="9" fontId="8" fillId="0" borderId="10" xfId="0" applyNumberFormat="1" applyFont="1" applyBorder="1" applyAlignment="1">
      <alignment vertical="center" shrinkToFit="1"/>
    </xf>
    <xf numFmtId="0" fontId="8" fillId="0" borderId="25" xfId="0" applyFont="1" applyBorder="1" applyAlignment="1">
      <alignment horizontal="center" vertical="center" shrinkToFit="1"/>
    </xf>
    <xf numFmtId="38" fontId="8" fillId="0" borderId="25" xfId="2" applyFont="1" applyBorder="1" applyAlignment="1">
      <alignment vertical="center" shrinkToFit="1"/>
    </xf>
    <xf numFmtId="38" fontId="8" fillId="0" borderId="23" xfId="2" applyFont="1" applyBorder="1" applyAlignment="1">
      <alignment vertical="center" shrinkToFit="1"/>
    </xf>
    <xf numFmtId="38" fontId="8" fillId="0" borderId="22" xfId="2" applyFont="1" applyBorder="1" applyAlignment="1">
      <alignment vertical="center" shrinkToFit="1"/>
    </xf>
    <xf numFmtId="9" fontId="8" fillId="0" borderId="24" xfId="0" applyNumberFormat="1" applyFont="1" applyBorder="1" applyAlignment="1">
      <alignment vertical="center" shrinkToFit="1"/>
    </xf>
    <xf numFmtId="0" fontId="13" fillId="0" borderId="0" xfId="0" applyFont="1">
      <alignment vertical="center"/>
    </xf>
    <xf numFmtId="0" fontId="12" fillId="0" borderId="0" xfId="0" applyFont="1" applyAlignment="1">
      <alignment horizontal="left" vertical="center"/>
    </xf>
    <xf numFmtId="0" fontId="8" fillId="0" borderId="0" xfId="0" applyFont="1" applyAlignment="1">
      <alignment vertical="top" wrapText="1"/>
    </xf>
    <xf numFmtId="0" fontId="8" fillId="0" borderId="0" xfId="0" applyFont="1" applyAlignment="1">
      <alignment vertical="center" wrapText="1"/>
    </xf>
    <xf numFmtId="0" fontId="13" fillId="0" borderId="0" xfId="0" applyFont="1" applyAlignment="1">
      <alignment vertical="top" wrapText="1"/>
    </xf>
    <xf numFmtId="0" fontId="8" fillId="0" borderId="1" xfId="0" applyFont="1" applyBorder="1" applyAlignment="1">
      <alignment horizontal="center" vertical="center" wrapText="1" shrinkToFit="1"/>
    </xf>
    <xf numFmtId="9" fontId="8" fillId="0" borderId="1" xfId="0" applyNumberFormat="1" applyFont="1" applyBorder="1" applyAlignment="1">
      <alignment horizontal="center" vertical="center" shrinkToFit="1"/>
    </xf>
    <xf numFmtId="9" fontId="8" fillId="0" borderId="0" xfId="1" applyFont="1" applyAlignment="1">
      <alignment horizontal="center" vertical="center"/>
    </xf>
    <xf numFmtId="0" fontId="8" fillId="0" borderId="1" xfId="0" applyFont="1" applyBorder="1" applyAlignment="1">
      <alignment horizontal="center" vertical="center" shrinkToFit="1"/>
    </xf>
    <xf numFmtId="176" fontId="8" fillId="0" borderId="1" xfId="0" applyNumberFormat="1" applyFont="1" applyBorder="1" applyAlignment="1">
      <alignment horizontal="center" vertical="center" shrinkToFit="1"/>
    </xf>
    <xf numFmtId="0" fontId="13" fillId="0" borderId="0" xfId="0" applyFont="1" applyAlignment="1">
      <alignment vertical="top" shrinkToFit="1"/>
    </xf>
    <xf numFmtId="0" fontId="8" fillId="0" borderId="0" xfId="0" applyFont="1" applyAlignment="1">
      <alignment vertical="top" wrapText="1" shrinkToFit="1"/>
    </xf>
    <xf numFmtId="0" fontId="8" fillId="0" borderId="0" xfId="0" applyFont="1" applyAlignment="1">
      <alignment vertical="top"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3" fillId="0" borderId="29"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8" fillId="0" borderId="14" xfId="0" applyFont="1" applyBorder="1" applyAlignment="1">
      <alignment horizontal="center" vertical="center"/>
    </xf>
    <xf numFmtId="0" fontId="8" fillId="0" borderId="1" xfId="0" applyFont="1" applyBorder="1" applyAlignment="1">
      <alignment horizontal="center" vertical="center"/>
    </xf>
    <xf numFmtId="0" fontId="10" fillId="0" borderId="0" xfId="0" applyFont="1" applyAlignment="1">
      <alignment horizontal="center" vertical="center"/>
    </xf>
    <xf numFmtId="0" fontId="8"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15" xfId="0" applyFont="1" applyBorder="1" applyAlignment="1">
      <alignment horizontal="center" vertical="center"/>
    </xf>
    <xf numFmtId="0" fontId="8" fillId="0" borderId="13"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11"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2" xfId="0" applyFont="1" applyBorder="1" applyAlignment="1">
      <alignment horizontal="center" vertical="center" wrapText="1"/>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9" fillId="0" borderId="15" xfId="0" applyFont="1" applyBorder="1" applyAlignment="1">
      <alignment horizontal="center" vertical="center" wrapText="1"/>
    </xf>
    <xf numFmtId="0" fontId="9" fillId="0" borderId="13" xfId="0" applyFont="1" applyBorder="1" applyAlignment="1">
      <alignment horizontal="center" vertical="center" wrapText="1"/>
    </xf>
    <xf numFmtId="0" fontId="8" fillId="0" borderId="0" xfId="0" applyFont="1" applyAlignment="1">
      <alignment horizontal="left" vertical="center" wrapText="1"/>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2" xfId="0" applyFont="1" applyBorder="1" applyAlignment="1">
      <alignment horizontal="left" vertical="center"/>
    </xf>
    <xf numFmtId="0" fontId="12" fillId="0" borderId="3" xfId="0" applyFont="1" applyBorder="1">
      <alignment vertical="center"/>
    </xf>
    <xf numFmtId="0" fontId="12" fillId="0" borderId="4" xfId="0" applyFont="1" applyBorder="1">
      <alignmen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8" fillId="0" borderId="0" xfId="0" applyFont="1" applyAlignment="1">
      <alignment horizontal="center" vertical="center"/>
    </xf>
    <xf numFmtId="0" fontId="8" fillId="0" borderId="0" xfId="0" applyFont="1">
      <alignment vertical="center"/>
    </xf>
    <xf numFmtId="0" fontId="8" fillId="2" borderId="5" xfId="0" applyFont="1" applyFill="1" applyBorder="1" applyAlignment="1">
      <alignment horizontal="center" vertical="center" shrinkToFit="1"/>
    </xf>
    <xf numFmtId="0" fontId="8" fillId="2" borderId="0" xfId="0" applyFont="1" applyFill="1" applyAlignment="1">
      <alignment horizontal="center" vertical="center" shrinkToFit="1"/>
    </xf>
    <xf numFmtId="0" fontId="8" fillId="2" borderId="10" xfId="0" applyFont="1" applyFill="1" applyBorder="1" applyAlignment="1">
      <alignment horizontal="center" vertical="center" shrinkToFit="1"/>
    </xf>
    <xf numFmtId="9" fontId="8" fillId="0" borderId="1" xfId="0" applyNumberFormat="1" applyFont="1" applyBorder="1" applyAlignment="1">
      <alignment horizontal="center" vertical="center" shrinkToFi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8" fillId="0" borderId="0" xfId="0" applyFont="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8" fillId="0" borderId="9" xfId="0" applyFont="1" applyBorder="1" applyAlignment="1">
      <alignment vertical="top"/>
    </xf>
    <xf numFmtId="0" fontId="8" fillId="0" borderId="5" xfId="0" applyFont="1" applyBorder="1" applyAlignment="1">
      <alignment vertical="top"/>
    </xf>
    <xf numFmtId="0" fontId="8" fillId="0" borderId="0" xfId="0" applyFont="1" applyAlignment="1">
      <alignment vertical="top"/>
    </xf>
    <xf numFmtId="0" fontId="8" fillId="0" borderId="10" xfId="0" applyFont="1" applyBorder="1" applyAlignment="1">
      <alignment vertical="top"/>
    </xf>
    <xf numFmtId="0" fontId="8" fillId="0" borderId="11" xfId="0" applyFont="1" applyBorder="1" applyAlignment="1">
      <alignment vertical="top"/>
    </xf>
    <xf numFmtId="0" fontId="8" fillId="0" borderId="6" xfId="0" applyFont="1" applyBorder="1" applyAlignment="1">
      <alignment vertical="top"/>
    </xf>
    <xf numFmtId="0" fontId="8" fillId="0" borderId="12" xfId="0" applyFont="1" applyBorder="1" applyAlignment="1">
      <alignment vertical="top"/>
    </xf>
    <xf numFmtId="9" fontId="8" fillId="0" borderId="1" xfId="0" applyNumberFormat="1" applyFont="1" applyBorder="1" applyAlignment="1">
      <alignment horizontal="center" vertical="center" wrapText="1" shrinkToFi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zoomScaleNormal="100" zoomScaleSheetLayoutView="100" workbookViewId="0">
      <selection activeCell="Z26" sqref="Z26"/>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9" t="s">
        <v>12</v>
      </c>
      <c r="U1" s="129"/>
      <c r="V1" s="2" t="s">
        <v>94</v>
      </c>
    </row>
    <row r="2" spans="1:24" ht="18.75" customHeight="1" x14ac:dyDescent="0.15">
      <c r="B2" s="9" t="s">
        <v>93</v>
      </c>
      <c r="C2" s="99" t="s">
        <v>142</v>
      </c>
      <c r="D2" s="100"/>
      <c r="E2" s="100"/>
      <c r="F2" s="100"/>
      <c r="G2" s="100"/>
      <c r="H2" s="100"/>
      <c r="I2" s="100"/>
      <c r="J2" s="101"/>
      <c r="K2" s="10"/>
      <c r="L2" s="6"/>
      <c r="M2" s="6"/>
      <c r="N2" s="6"/>
      <c r="O2" s="6"/>
      <c r="P2" s="6"/>
      <c r="Q2" s="6"/>
      <c r="R2" s="6"/>
      <c r="S2" s="6"/>
      <c r="T2" s="6"/>
      <c r="U2" s="6"/>
    </row>
    <row r="3" spans="1:24" ht="18.75" customHeight="1" x14ac:dyDescent="0.15">
      <c r="B3" s="9" t="s">
        <v>88</v>
      </c>
      <c r="C3" s="99" t="s">
        <v>143</v>
      </c>
      <c r="D3" s="100"/>
      <c r="E3" s="100"/>
      <c r="F3" s="100"/>
      <c r="G3" s="100"/>
      <c r="H3" s="100"/>
      <c r="I3" s="100"/>
      <c r="J3" s="101"/>
      <c r="K3" s="10"/>
      <c r="L3" s="6"/>
      <c r="M3" s="6"/>
      <c r="N3" s="6"/>
      <c r="O3" s="6"/>
      <c r="P3" s="6"/>
      <c r="Q3" s="6"/>
      <c r="R3" s="6"/>
      <c r="S3" s="6"/>
      <c r="T3" s="6"/>
      <c r="U3" s="6"/>
    </row>
    <row r="4" spans="1:24" ht="15" customHeight="1" x14ac:dyDescent="0.15">
      <c r="L4" s="10"/>
      <c r="M4" s="42"/>
      <c r="N4" s="42"/>
      <c r="O4" s="42"/>
      <c r="P4" s="42"/>
      <c r="Q4" s="42"/>
      <c r="R4" s="42"/>
      <c r="S4" s="42"/>
      <c r="T4" s="42"/>
      <c r="U4" s="42"/>
    </row>
    <row r="5" spans="1:24" ht="18" customHeight="1" x14ac:dyDescent="0.15">
      <c r="A5" s="110" t="s">
        <v>140</v>
      </c>
      <c r="B5" s="110"/>
      <c r="C5" s="110"/>
      <c r="D5" s="110"/>
      <c r="E5" s="110"/>
      <c r="F5" s="110"/>
      <c r="G5" s="110"/>
      <c r="H5" s="110"/>
      <c r="I5" s="110"/>
      <c r="J5" s="110"/>
      <c r="K5" s="110"/>
      <c r="L5" s="110"/>
      <c r="M5" s="110"/>
      <c r="N5" s="110"/>
      <c r="O5" s="110"/>
      <c r="P5" s="110"/>
      <c r="Q5" s="110"/>
      <c r="R5" s="110"/>
      <c r="S5" s="110"/>
      <c r="T5" s="110"/>
      <c r="U5" s="110"/>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116</v>
      </c>
      <c r="B7" s="3"/>
      <c r="C7" s="3"/>
      <c r="D7" s="3"/>
      <c r="E7" s="3"/>
      <c r="F7" s="2"/>
      <c r="G7" s="2"/>
      <c r="H7" s="2"/>
      <c r="I7" s="2"/>
      <c r="J7" s="2"/>
      <c r="K7" s="2"/>
      <c r="L7" s="143" t="s">
        <v>183</v>
      </c>
      <c r="M7" s="144"/>
      <c r="N7" s="144"/>
      <c r="O7" s="144"/>
      <c r="P7" s="144"/>
      <c r="Q7" s="144"/>
      <c r="R7" s="144"/>
      <c r="S7" s="144"/>
      <c r="T7" s="144"/>
      <c r="U7" s="145"/>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117</v>
      </c>
      <c r="C9" s="3"/>
      <c r="D9" s="3"/>
      <c r="K9" s="10"/>
      <c r="L9" s="2"/>
      <c r="M9" s="2"/>
      <c r="N9" s="2"/>
      <c r="O9" s="2"/>
      <c r="P9" s="2"/>
      <c r="Q9" s="2"/>
      <c r="R9" s="2"/>
      <c r="S9" s="2"/>
      <c r="T9" s="2"/>
      <c r="U9" s="2"/>
    </row>
    <row r="10" spans="1:24" ht="6" customHeight="1" x14ac:dyDescent="0.15">
      <c r="B10" s="3"/>
      <c r="C10" s="3"/>
      <c r="D10" s="3"/>
      <c r="E10" s="3"/>
      <c r="F10" s="3"/>
      <c r="G10" s="3"/>
      <c r="H10" s="3"/>
      <c r="I10" s="3"/>
      <c r="J10" s="3"/>
      <c r="K10" s="3"/>
      <c r="L10" s="7"/>
      <c r="M10" s="3"/>
      <c r="N10" s="3"/>
      <c r="O10" s="3"/>
      <c r="P10" s="3"/>
      <c r="Q10" s="3"/>
      <c r="R10" s="3"/>
      <c r="S10" s="3"/>
      <c r="T10" s="3"/>
      <c r="U10" s="3"/>
    </row>
    <row r="11" spans="1:24" ht="18" customHeight="1" x14ac:dyDescent="0.15">
      <c r="B11" s="147"/>
      <c r="C11" s="148"/>
      <c r="D11" s="148"/>
      <c r="E11" s="148"/>
      <c r="F11" s="148"/>
      <c r="G11" s="148"/>
      <c r="H11" s="148"/>
      <c r="I11" s="148"/>
      <c r="J11" s="148"/>
      <c r="K11" s="148"/>
      <c r="L11" s="148"/>
      <c r="M11" s="148"/>
      <c r="N11" s="148"/>
      <c r="O11" s="148"/>
      <c r="P11" s="148"/>
      <c r="Q11" s="148"/>
      <c r="R11" s="148"/>
      <c r="S11" s="148"/>
      <c r="T11" s="148"/>
      <c r="U11" s="149"/>
    </row>
    <row r="12" spans="1:24" ht="18" customHeight="1" x14ac:dyDescent="0.15">
      <c r="B12" s="150"/>
      <c r="C12" s="151"/>
      <c r="D12" s="151"/>
      <c r="E12" s="151"/>
      <c r="F12" s="151"/>
      <c r="G12" s="151"/>
      <c r="H12" s="151"/>
      <c r="I12" s="151"/>
      <c r="J12" s="151"/>
      <c r="K12" s="151"/>
      <c r="L12" s="151"/>
      <c r="M12" s="151"/>
      <c r="N12" s="151"/>
      <c r="O12" s="151"/>
      <c r="P12" s="151"/>
      <c r="Q12" s="151"/>
      <c r="R12" s="151"/>
      <c r="S12" s="151"/>
      <c r="T12" s="151"/>
      <c r="U12" s="152"/>
    </row>
    <row r="13" spans="1:24" ht="6" customHeight="1" x14ac:dyDescent="0.15">
      <c r="B13" s="3"/>
      <c r="C13" s="3"/>
      <c r="D13" s="3"/>
      <c r="E13" s="3"/>
      <c r="F13" s="3"/>
      <c r="G13" s="3"/>
      <c r="H13" s="3"/>
      <c r="I13" s="3"/>
      <c r="J13" s="3"/>
      <c r="K13" s="3"/>
      <c r="L13" s="7"/>
      <c r="M13" s="3"/>
      <c r="N13" s="3"/>
      <c r="O13" s="3"/>
      <c r="P13" s="3"/>
      <c r="Q13" s="3"/>
      <c r="R13" s="3"/>
      <c r="S13" s="3"/>
      <c r="T13" s="3"/>
      <c r="U13" s="3"/>
    </row>
    <row r="14" spans="1:24" ht="18" customHeight="1" x14ac:dyDescent="0.15">
      <c r="A14" s="1" t="s">
        <v>95</v>
      </c>
      <c r="B14" s="3"/>
      <c r="C14" s="3"/>
      <c r="D14" s="3"/>
      <c r="E14" s="10"/>
      <c r="F14" s="10"/>
      <c r="G14" s="10"/>
      <c r="H14" s="10"/>
      <c r="I14" s="10"/>
      <c r="J14" s="10"/>
      <c r="K14" s="10"/>
      <c r="L14" s="43"/>
      <c r="M14" s="43"/>
      <c r="N14" s="43"/>
      <c r="O14" s="43"/>
      <c r="P14" s="43"/>
      <c r="Q14" s="43"/>
      <c r="R14" s="43"/>
      <c r="S14" s="43"/>
      <c r="T14" s="43"/>
      <c r="U14" s="43"/>
    </row>
    <row r="15" spans="1:24" ht="18" customHeight="1" x14ac:dyDescent="0.15">
      <c r="B15" s="111" t="s">
        <v>144</v>
      </c>
      <c r="C15" s="112"/>
      <c r="D15" s="112"/>
      <c r="E15" s="112"/>
      <c r="F15" s="112"/>
      <c r="G15" s="112"/>
      <c r="H15" s="112"/>
      <c r="I15" s="112"/>
      <c r="J15" s="112"/>
      <c r="K15" s="112"/>
      <c r="L15" s="112"/>
      <c r="M15" s="112"/>
      <c r="N15" s="112"/>
      <c r="O15" s="112"/>
      <c r="P15" s="112"/>
      <c r="Q15" s="112"/>
      <c r="R15" s="112"/>
      <c r="S15" s="112"/>
      <c r="T15" s="112"/>
      <c r="U15" s="113"/>
      <c r="X15" s="1" t="s">
        <v>89</v>
      </c>
    </row>
    <row r="16" spans="1:24" ht="18" customHeight="1" x14ac:dyDescent="0.15">
      <c r="B16" s="114"/>
      <c r="C16" s="115"/>
      <c r="D16" s="115"/>
      <c r="E16" s="115"/>
      <c r="F16" s="115"/>
      <c r="G16" s="115"/>
      <c r="H16" s="115"/>
      <c r="I16" s="115"/>
      <c r="J16" s="115"/>
      <c r="K16" s="115"/>
      <c r="L16" s="115"/>
      <c r="M16" s="115"/>
      <c r="N16" s="115"/>
      <c r="O16" s="115"/>
      <c r="P16" s="115"/>
      <c r="Q16" s="115"/>
      <c r="R16" s="115"/>
      <c r="S16" s="115"/>
      <c r="T16" s="115"/>
      <c r="U16" s="116"/>
      <c r="X16" s="1" t="s">
        <v>121</v>
      </c>
    </row>
    <row r="17" spans="1:24" ht="18" customHeight="1" x14ac:dyDescent="0.15">
      <c r="B17" s="114"/>
      <c r="C17" s="115"/>
      <c r="D17" s="115"/>
      <c r="E17" s="115"/>
      <c r="F17" s="115"/>
      <c r="G17" s="115"/>
      <c r="H17" s="115"/>
      <c r="I17" s="115"/>
      <c r="J17" s="115"/>
      <c r="K17" s="115"/>
      <c r="L17" s="115"/>
      <c r="M17" s="115"/>
      <c r="N17" s="115"/>
      <c r="O17" s="115"/>
      <c r="P17" s="115"/>
      <c r="Q17" s="115"/>
      <c r="R17" s="115"/>
      <c r="S17" s="115"/>
      <c r="T17" s="115"/>
      <c r="U17" s="116"/>
      <c r="X17" s="1" t="s">
        <v>122</v>
      </c>
    </row>
    <row r="18" spans="1:24" ht="18" customHeight="1" x14ac:dyDescent="0.15">
      <c r="B18" s="114"/>
      <c r="C18" s="115"/>
      <c r="D18" s="115"/>
      <c r="E18" s="115"/>
      <c r="F18" s="115"/>
      <c r="G18" s="115"/>
      <c r="H18" s="115"/>
      <c r="I18" s="115"/>
      <c r="J18" s="115"/>
      <c r="K18" s="115"/>
      <c r="L18" s="115"/>
      <c r="M18" s="115"/>
      <c r="N18" s="115"/>
      <c r="O18" s="115"/>
      <c r="P18" s="115"/>
      <c r="Q18" s="115"/>
      <c r="R18" s="115"/>
      <c r="S18" s="115"/>
      <c r="T18" s="115"/>
      <c r="U18" s="116"/>
      <c r="X18" s="1" t="s">
        <v>123</v>
      </c>
    </row>
    <row r="19" spans="1:24" ht="18" customHeight="1" x14ac:dyDescent="0.15">
      <c r="B19" s="114"/>
      <c r="C19" s="115"/>
      <c r="D19" s="115"/>
      <c r="E19" s="115"/>
      <c r="F19" s="115"/>
      <c r="G19" s="115"/>
      <c r="H19" s="115"/>
      <c r="I19" s="115"/>
      <c r="J19" s="115"/>
      <c r="K19" s="115"/>
      <c r="L19" s="115"/>
      <c r="M19" s="115"/>
      <c r="N19" s="115"/>
      <c r="O19" s="115"/>
      <c r="P19" s="115"/>
      <c r="Q19" s="115"/>
      <c r="R19" s="115"/>
      <c r="S19" s="115"/>
      <c r="T19" s="115"/>
      <c r="U19" s="116"/>
    </row>
    <row r="20" spans="1:24" ht="18" customHeight="1" x14ac:dyDescent="0.15">
      <c r="B20" s="117"/>
      <c r="C20" s="118"/>
      <c r="D20" s="118"/>
      <c r="E20" s="118"/>
      <c r="F20" s="118"/>
      <c r="G20" s="118"/>
      <c r="H20" s="118"/>
      <c r="I20" s="118"/>
      <c r="J20" s="118"/>
      <c r="K20" s="118"/>
      <c r="L20" s="118"/>
      <c r="M20" s="118"/>
      <c r="N20" s="118"/>
      <c r="O20" s="118"/>
      <c r="P20" s="118"/>
      <c r="Q20" s="118"/>
      <c r="R20" s="118"/>
      <c r="S20" s="118"/>
      <c r="T20" s="118"/>
      <c r="U20" s="119"/>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118</v>
      </c>
      <c r="E22" s="44">
        <v>1</v>
      </c>
      <c r="F22" s="1" t="s">
        <v>106</v>
      </c>
      <c r="H22" s="11">
        <v>1</v>
      </c>
      <c r="I22" s="3" t="s">
        <v>107</v>
      </c>
      <c r="J22" s="3"/>
      <c r="K22" s="10"/>
      <c r="M22" s="10" t="s">
        <v>104</v>
      </c>
      <c r="N22" s="140" t="s">
        <v>121</v>
      </c>
      <c r="O22" s="141"/>
      <c r="P22" s="141"/>
      <c r="Q22" s="141"/>
      <c r="R22" s="141"/>
      <c r="S22" s="141"/>
      <c r="T22" s="141"/>
      <c r="U22" s="142"/>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2" t="s">
        <v>96</v>
      </c>
      <c r="B24" s="92"/>
      <c r="C24" s="92"/>
      <c r="D24" s="92"/>
      <c r="E24" s="92"/>
      <c r="F24" s="92"/>
      <c r="G24" s="92"/>
      <c r="H24" s="92"/>
      <c r="I24" s="92"/>
      <c r="J24" s="92"/>
      <c r="K24" s="92"/>
      <c r="L24" s="92"/>
      <c r="M24" s="92"/>
      <c r="N24" s="92"/>
      <c r="O24" s="92"/>
      <c r="P24" s="92"/>
      <c r="Q24" s="92"/>
      <c r="R24" s="92"/>
      <c r="S24" s="92"/>
      <c r="T24" s="92"/>
      <c r="U24" s="92"/>
    </row>
    <row r="25" spans="1:24" ht="18" customHeight="1" x14ac:dyDescent="0.15">
      <c r="A25" s="92"/>
      <c r="B25" s="92"/>
      <c r="C25" s="92"/>
      <c r="D25" s="92"/>
      <c r="E25" s="92"/>
      <c r="F25" s="92"/>
      <c r="G25" s="92"/>
      <c r="H25" s="92"/>
      <c r="I25" s="92"/>
      <c r="J25" s="92"/>
      <c r="K25" s="92"/>
      <c r="L25" s="92"/>
      <c r="M25" s="92"/>
      <c r="N25" s="92"/>
      <c r="O25" s="92"/>
      <c r="P25" s="92"/>
      <c r="Q25" s="92"/>
      <c r="R25" s="92"/>
      <c r="S25" s="92"/>
      <c r="T25" s="92"/>
      <c r="U25" s="92"/>
    </row>
    <row r="26" spans="1:24" ht="18" customHeight="1" x14ac:dyDescent="0.15">
      <c r="B26" s="99" t="s">
        <v>48</v>
      </c>
      <c r="C26" s="100"/>
      <c r="D26" s="100"/>
      <c r="E26" s="100"/>
      <c r="F26" s="101"/>
      <c r="G26" s="28" t="s">
        <v>73</v>
      </c>
      <c r="H26" s="29" t="s">
        <v>76</v>
      </c>
      <c r="I26" s="30" t="s">
        <v>51</v>
      </c>
      <c r="J26" s="30" t="s">
        <v>54</v>
      </c>
      <c r="K26" s="99" t="s">
        <v>48</v>
      </c>
      <c r="L26" s="100"/>
      <c r="M26" s="100"/>
      <c r="N26" s="100"/>
      <c r="O26" s="100"/>
      <c r="P26" s="100"/>
      <c r="Q26" s="101"/>
      <c r="R26" s="28" t="s">
        <v>73</v>
      </c>
      <c r="S26" s="29" t="s">
        <v>76</v>
      </c>
      <c r="T26" s="30" t="s">
        <v>51</v>
      </c>
      <c r="U26" s="30" t="s">
        <v>54</v>
      </c>
    </row>
    <row r="27" spans="1:24" ht="18" customHeight="1" x14ac:dyDescent="0.15">
      <c r="B27" s="93" t="s">
        <v>145</v>
      </c>
      <c r="C27" s="94"/>
      <c r="D27" s="94"/>
      <c r="E27" s="94"/>
      <c r="F27" s="95"/>
      <c r="G27" s="31">
        <v>1</v>
      </c>
      <c r="H27" s="31" t="s">
        <v>146</v>
      </c>
      <c r="I27" s="31" t="s">
        <v>146</v>
      </c>
      <c r="J27" s="31" t="s">
        <v>146</v>
      </c>
      <c r="K27" s="93"/>
      <c r="L27" s="94"/>
      <c r="M27" s="94"/>
      <c r="N27" s="94"/>
      <c r="O27" s="94"/>
      <c r="P27" s="94"/>
      <c r="Q27" s="95"/>
      <c r="R27" s="31"/>
      <c r="S27" s="31"/>
      <c r="T27" s="31"/>
      <c r="U27" s="31"/>
    </row>
    <row r="28" spans="1:24" ht="18" customHeight="1" x14ac:dyDescent="0.15">
      <c r="B28" s="86"/>
      <c r="C28" s="87"/>
      <c r="D28" s="87"/>
      <c r="E28" s="87"/>
      <c r="F28" s="88"/>
      <c r="G28" s="32"/>
      <c r="H28" s="32"/>
      <c r="I28" s="32"/>
      <c r="J28" s="32"/>
      <c r="K28" s="86"/>
      <c r="L28" s="87"/>
      <c r="M28" s="87"/>
      <c r="N28" s="87"/>
      <c r="O28" s="87"/>
      <c r="P28" s="87"/>
      <c r="Q28" s="88"/>
      <c r="R28" s="32"/>
      <c r="S28" s="32"/>
      <c r="T28" s="32"/>
      <c r="U28" s="32"/>
    </row>
    <row r="29" spans="1:24" ht="18" customHeight="1" x14ac:dyDescent="0.15">
      <c r="B29" s="86"/>
      <c r="C29" s="87"/>
      <c r="D29" s="87"/>
      <c r="E29" s="87"/>
      <c r="F29" s="88"/>
      <c r="G29" s="32"/>
      <c r="H29" s="32"/>
      <c r="I29" s="32"/>
      <c r="J29" s="32"/>
      <c r="K29" s="86"/>
      <c r="L29" s="87"/>
      <c r="M29" s="87"/>
      <c r="N29" s="87"/>
      <c r="O29" s="87"/>
      <c r="P29" s="87"/>
      <c r="Q29" s="88"/>
      <c r="R29" s="32"/>
      <c r="S29" s="32"/>
      <c r="T29" s="32"/>
      <c r="U29" s="32"/>
    </row>
    <row r="30" spans="1:24" ht="18" customHeight="1" x14ac:dyDescent="0.15">
      <c r="B30" s="86"/>
      <c r="C30" s="87"/>
      <c r="D30" s="87"/>
      <c r="E30" s="87"/>
      <c r="F30" s="88"/>
      <c r="G30" s="32"/>
      <c r="H30" s="32"/>
      <c r="I30" s="32"/>
      <c r="J30" s="32"/>
      <c r="K30" s="86"/>
      <c r="L30" s="87"/>
      <c r="M30" s="87"/>
      <c r="N30" s="87"/>
      <c r="O30" s="87"/>
      <c r="P30" s="87"/>
      <c r="Q30" s="88"/>
      <c r="R30" s="32"/>
      <c r="S30" s="32"/>
      <c r="T30" s="32"/>
      <c r="U30" s="32"/>
    </row>
    <row r="31" spans="1:24" ht="18" customHeight="1" x14ac:dyDescent="0.15">
      <c r="B31" s="86"/>
      <c r="C31" s="87"/>
      <c r="D31" s="87"/>
      <c r="E31" s="87"/>
      <c r="F31" s="88"/>
      <c r="G31" s="32"/>
      <c r="H31" s="32"/>
      <c r="I31" s="32"/>
      <c r="J31" s="32"/>
      <c r="K31" s="86"/>
      <c r="L31" s="87"/>
      <c r="M31" s="87"/>
      <c r="N31" s="87"/>
      <c r="O31" s="87"/>
      <c r="P31" s="87"/>
      <c r="Q31" s="88"/>
      <c r="R31" s="32"/>
      <c r="S31" s="32"/>
      <c r="T31" s="32"/>
      <c r="U31" s="32"/>
    </row>
    <row r="32" spans="1:24" ht="18" customHeight="1" x14ac:dyDescent="0.15">
      <c r="A32" s="3"/>
      <c r="B32" s="86"/>
      <c r="C32" s="87"/>
      <c r="D32" s="87"/>
      <c r="E32" s="87"/>
      <c r="F32" s="88"/>
      <c r="G32" s="32"/>
      <c r="H32" s="32"/>
      <c r="I32" s="32"/>
      <c r="J32" s="32"/>
      <c r="K32" s="86"/>
      <c r="L32" s="87"/>
      <c r="M32" s="87"/>
      <c r="N32" s="87"/>
      <c r="O32" s="87"/>
      <c r="P32" s="87"/>
      <c r="Q32" s="88"/>
      <c r="R32" s="32"/>
      <c r="S32" s="32"/>
      <c r="T32" s="32"/>
      <c r="U32" s="32"/>
    </row>
    <row r="33" spans="1:21" ht="18" customHeight="1" x14ac:dyDescent="0.15">
      <c r="A33" s="3"/>
      <c r="B33" s="89"/>
      <c r="C33" s="90"/>
      <c r="D33" s="90"/>
      <c r="E33" s="90"/>
      <c r="F33" s="91"/>
      <c r="G33" s="33"/>
      <c r="H33" s="33"/>
      <c r="I33" s="34"/>
      <c r="J33" s="34"/>
      <c r="K33" s="89"/>
      <c r="L33" s="90"/>
      <c r="M33" s="90"/>
      <c r="N33" s="90"/>
      <c r="O33" s="90"/>
      <c r="P33" s="90"/>
      <c r="Q33" s="91"/>
      <c r="R33" s="33"/>
      <c r="S33" s="33"/>
      <c r="T33" s="34"/>
      <c r="U33" s="3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2" t="s">
        <v>97</v>
      </c>
      <c r="B35" s="92"/>
      <c r="C35" s="92"/>
      <c r="D35" s="92"/>
      <c r="E35" s="92"/>
      <c r="F35" s="92"/>
      <c r="G35" s="92"/>
      <c r="H35" s="92"/>
      <c r="I35" s="92"/>
      <c r="J35" s="92"/>
      <c r="K35" s="92"/>
      <c r="L35" s="92"/>
      <c r="M35" s="92"/>
      <c r="N35" s="92"/>
      <c r="O35" s="92"/>
      <c r="P35" s="92"/>
      <c r="Q35" s="92"/>
      <c r="R35" s="92"/>
      <c r="S35" s="92"/>
      <c r="T35" s="92"/>
      <c r="U35" s="92"/>
    </row>
    <row r="36" spans="1:21" ht="18" customHeight="1" x14ac:dyDescent="0.15">
      <c r="A36" s="92"/>
      <c r="B36" s="92"/>
      <c r="C36" s="92"/>
      <c r="D36" s="92"/>
      <c r="E36" s="92"/>
      <c r="F36" s="92"/>
      <c r="G36" s="92"/>
      <c r="H36" s="92"/>
      <c r="I36" s="92"/>
      <c r="J36" s="92"/>
      <c r="K36" s="92"/>
      <c r="L36" s="92"/>
      <c r="M36" s="92"/>
      <c r="N36" s="92"/>
      <c r="O36" s="92"/>
      <c r="P36" s="92"/>
      <c r="Q36" s="92"/>
      <c r="R36" s="92"/>
      <c r="S36" s="92"/>
      <c r="T36" s="92"/>
      <c r="U36" s="92"/>
    </row>
    <row r="37" spans="1:21" ht="18" customHeight="1" x14ac:dyDescent="0.15">
      <c r="B37" s="99" t="s">
        <v>48</v>
      </c>
      <c r="C37" s="100"/>
      <c r="D37" s="100"/>
      <c r="E37" s="100"/>
      <c r="F37" s="101"/>
      <c r="G37" s="28" t="s">
        <v>73</v>
      </c>
      <c r="H37" s="29" t="s">
        <v>76</v>
      </c>
      <c r="I37" s="30" t="s">
        <v>64</v>
      </c>
      <c r="J37" s="30" t="s">
        <v>65</v>
      </c>
      <c r="K37" s="99" t="s">
        <v>48</v>
      </c>
      <c r="L37" s="100"/>
      <c r="M37" s="100"/>
      <c r="N37" s="100"/>
      <c r="O37" s="100"/>
      <c r="P37" s="100"/>
      <c r="Q37" s="101"/>
      <c r="R37" s="28" t="s">
        <v>73</v>
      </c>
      <c r="S37" s="29" t="s">
        <v>76</v>
      </c>
      <c r="T37" s="30" t="s">
        <v>64</v>
      </c>
      <c r="U37" s="30" t="s">
        <v>65</v>
      </c>
    </row>
    <row r="38" spans="1:21" ht="18" customHeight="1" x14ac:dyDescent="0.15">
      <c r="B38" s="93" t="s">
        <v>147</v>
      </c>
      <c r="C38" s="94"/>
      <c r="D38" s="94"/>
      <c r="E38" s="94"/>
      <c r="F38" s="95"/>
      <c r="G38" s="31">
        <v>1</v>
      </c>
      <c r="H38" s="31" t="s">
        <v>146</v>
      </c>
      <c r="I38" s="31" t="s">
        <v>146</v>
      </c>
      <c r="J38" s="31" t="s">
        <v>146</v>
      </c>
      <c r="K38" s="93"/>
      <c r="L38" s="94"/>
      <c r="M38" s="94"/>
      <c r="N38" s="94"/>
      <c r="O38" s="94"/>
      <c r="P38" s="94"/>
      <c r="Q38" s="95"/>
      <c r="R38" s="31"/>
      <c r="S38" s="31"/>
      <c r="T38" s="31"/>
      <c r="U38" s="31"/>
    </row>
    <row r="39" spans="1:21" ht="18" customHeight="1" x14ac:dyDescent="0.15">
      <c r="B39" s="86"/>
      <c r="C39" s="87"/>
      <c r="D39" s="87"/>
      <c r="E39" s="87"/>
      <c r="F39" s="88"/>
      <c r="G39" s="32"/>
      <c r="H39" s="32"/>
      <c r="I39" s="32"/>
      <c r="J39" s="32"/>
      <c r="K39" s="86"/>
      <c r="L39" s="87"/>
      <c r="M39" s="87"/>
      <c r="N39" s="87"/>
      <c r="O39" s="87"/>
      <c r="P39" s="87"/>
      <c r="Q39" s="88"/>
      <c r="R39" s="32"/>
      <c r="S39" s="32"/>
      <c r="T39" s="32"/>
      <c r="U39" s="32"/>
    </row>
    <row r="40" spans="1:21" ht="18" customHeight="1" x14ac:dyDescent="0.15">
      <c r="B40" s="86"/>
      <c r="C40" s="87"/>
      <c r="D40" s="87"/>
      <c r="E40" s="87"/>
      <c r="F40" s="88"/>
      <c r="G40" s="32"/>
      <c r="H40" s="32"/>
      <c r="I40" s="32"/>
      <c r="J40" s="32"/>
      <c r="K40" s="86"/>
      <c r="L40" s="87"/>
      <c r="M40" s="87"/>
      <c r="N40" s="87"/>
      <c r="O40" s="87"/>
      <c r="P40" s="87"/>
      <c r="Q40" s="88"/>
      <c r="R40" s="32"/>
      <c r="S40" s="32"/>
      <c r="T40" s="32"/>
      <c r="U40" s="32"/>
    </row>
    <row r="41" spans="1:21" ht="18" customHeight="1" x14ac:dyDescent="0.15">
      <c r="B41" s="86"/>
      <c r="C41" s="87"/>
      <c r="D41" s="87"/>
      <c r="E41" s="87"/>
      <c r="F41" s="88"/>
      <c r="G41" s="32"/>
      <c r="H41" s="32"/>
      <c r="I41" s="32"/>
      <c r="J41" s="32"/>
      <c r="K41" s="86"/>
      <c r="L41" s="87"/>
      <c r="M41" s="87"/>
      <c r="N41" s="87"/>
      <c r="O41" s="87"/>
      <c r="P41" s="87"/>
      <c r="Q41" s="88"/>
      <c r="R41" s="32"/>
      <c r="S41" s="32"/>
      <c r="T41" s="32"/>
      <c r="U41" s="32"/>
    </row>
    <row r="42" spans="1:21" ht="18" customHeight="1" x14ac:dyDescent="0.15">
      <c r="B42" s="86"/>
      <c r="C42" s="87"/>
      <c r="D42" s="87"/>
      <c r="E42" s="87"/>
      <c r="F42" s="88"/>
      <c r="G42" s="32"/>
      <c r="H42" s="32"/>
      <c r="I42" s="32"/>
      <c r="J42" s="32"/>
      <c r="K42" s="86"/>
      <c r="L42" s="87"/>
      <c r="M42" s="87"/>
      <c r="N42" s="87"/>
      <c r="O42" s="87"/>
      <c r="P42" s="87"/>
      <c r="Q42" s="88"/>
      <c r="R42" s="32"/>
      <c r="S42" s="32"/>
      <c r="T42" s="32"/>
      <c r="U42" s="32"/>
    </row>
    <row r="43" spans="1:21" ht="18" customHeight="1" x14ac:dyDescent="0.15">
      <c r="B43" s="86"/>
      <c r="C43" s="87"/>
      <c r="D43" s="87"/>
      <c r="E43" s="87"/>
      <c r="F43" s="88"/>
      <c r="G43" s="32"/>
      <c r="H43" s="32"/>
      <c r="I43" s="32"/>
      <c r="J43" s="32"/>
      <c r="K43" s="86"/>
      <c r="L43" s="87"/>
      <c r="M43" s="87"/>
      <c r="N43" s="87"/>
      <c r="O43" s="87"/>
      <c r="P43" s="87"/>
      <c r="Q43" s="88"/>
      <c r="R43" s="32"/>
      <c r="S43" s="32"/>
      <c r="T43" s="32"/>
      <c r="U43" s="32"/>
    </row>
    <row r="44" spans="1:21" ht="18" customHeight="1" x14ac:dyDescent="0.15">
      <c r="B44" s="89"/>
      <c r="C44" s="90"/>
      <c r="D44" s="90"/>
      <c r="E44" s="90"/>
      <c r="F44" s="91"/>
      <c r="G44" s="33"/>
      <c r="H44" s="33"/>
      <c r="I44" s="34"/>
      <c r="J44" s="34"/>
      <c r="K44" s="89"/>
      <c r="L44" s="90"/>
      <c r="M44" s="90"/>
      <c r="N44" s="90"/>
      <c r="O44" s="90"/>
      <c r="P44" s="90"/>
      <c r="Q44" s="91"/>
      <c r="R44" s="33"/>
      <c r="S44" s="33"/>
      <c r="T44" s="34"/>
      <c r="U44" s="3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2" t="s">
        <v>98</v>
      </c>
      <c r="B46" s="92"/>
      <c r="C46" s="92"/>
      <c r="D46" s="92"/>
      <c r="E46" s="92"/>
      <c r="F46" s="92"/>
      <c r="G46" s="92"/>
      <c r="H46" s="92"/>
      <c r="I46" s="92"/>
      <c r="J46" s="92"/>
      <c r="K46" s="92"/>
      <c r="L46" s="92"/>
      <c r="M46" s="92"/>
      <c r="N46" s="92"/>
      <c r="O46" s="92"/>
      <c r="P46" s="92"/>
      <c r="Q46" s="92"/>
      <c r="R46" s="92"/>
      <c r="S46" s="92"/>
      <c r="T46" s="92"/>
      <c r="U46" s="92"/>
    </row>
    <row r="47" spans="1:21" ht="18" customHeight="1" x14ac:dyDescent="0.15">
      <c r="A47" s="92"/>
      <c r="B47" s="92"/>
      <c r="C47" s="92"/>
      <c r="D47" s="92"/>
      <c r="E47" s="92"/>
      <c r="F47" s="92"/>
      <c r="G47" s="92"/>
      <c r="H47" s="92"/>
      <c r="I47" s="92"/>
      <c r="J47" s="92"/>
      <c r="K47" s="92"/>
      <c r="L47" s="92"/>
      <c r="M47" s="92"/>
      <c r="N47" s="92"/>
      <c r="O47" s="92"/>
      <c r="P47" s="92"/>
      <c r="Q47" s="92"/>
      <c r="R47" s="92"/>
      <c r="S47" s="92"/>
      <c r="T47" s="92"/>
      <c r="U47" s="92"/>
    </row>
    <row r="48" spans="1:21" ht="18" customHeight="1" x14ac:dyDescent="0.15">
      <c r="B48" s="99" t="s">
        <v>48</v>
      </c>
      <c r="C48" s="100"/>
      <c r="D48" s="100"/>
      <c r="E48" s="100"/>
      <c r="F48" s="101"/>
      <c r="G48" s="28" t="s">
        <v>73</v>
      </c>
      <c r="H48" s="29" t="s">
        <v>76</v>
      </c>
      <c r="I48" s="30" t="s">
        <v>66</v>
      </c>
      <c r="J48" s="30" t="s">
        <v>67</v>
      </c>
      <c r="K48" s="99" t="s">
        <v>48</v>
      </c>
      <c r="L48" s="100"/>
      <c r="M48" s="100"/>
      <c r="N48" s="100"/>
      <c r="O48" s="100"/>
      <c r="P48" s="100"/>
      <c r="Q48" s="101"/>
      <c r="R48" s="28" t="s">
        <v>73</v>
      </c>
      <c r="S48" s="29" t="s">
        <v>76</v>
      </c>
      <c r="T48" s="30" t="s">
        <v>66</v>
      </c>
      <c r="U48" s="30" t="s">
        <v>67</v>
      </c>
    </row>
    <row r="49" spans="1:21" ht="18" customHeight="1" x14ac:dyDescent="0.15">
      <c r="A49" s="3"/>
      <c r="B49" s="93" t="s">
        <v>147</v>
      </c>
      <c r="C49" s="94"/>
      <c r="D49" s="94"/>
      <c r="E49" s="94"/>
      <c r="F49" s="95"/>
      <c r="G49" s="31">
        <v>1</v>
      </c>
      <c r="H49" s="31" t="s">
        <v>146</v>
      </c>
      <c r="I49" s="31" t="s">
        <v>146</v>
      </c>
      <c r="J49" s="31" t="s">
        <v>146</v>
      </c>
      <c r="K49" s="93"/>
      <c r="L49" s="94"/>
      <c r="M49" s="94"/>
      <c r="N49" s="94"/>
      <c r="O49" s="94"/>
      <c r="P49" s="94"/>
      <c r="Q49" s="95"/>
      <c r="R49" s="31"/>
      <c r="S49" s="31"/>
      <c r="T49" s="31"/>
      <c r="U49" s="31"/>
    </row>
    <row r="50" spans="1:21" ht="18" customHeight="1" x14ac:dyDescent="0.15">
      <c r="A50" s="3"/>
      <c r="B50" s="86"/>
      <c r="C50" s="87"/>
      <c r="D50" s="87"/>
      <c r="E50" s="87"/>
      <c r="F50" s="88"/>
      <c r="G50" s="32"/>
      <c r="H50" s="32"/>
      <c r="I50" s="32"/>
      <c r="J50" s="32"/>
      <c r="K50" s="86"/>
      <c r="L50" s="87"/>
      <c r="M50" s="87"/>
      <c r="N50" s="87"/>
      <c r="O50" s="87"/>
      <c r="P50" s="87"/>
      <c r="Q50" s="88"/>
      <c r="R50" s="32"/>
      <c r="S50" s="32"/>
      <c r="T50" s="32"/>
      <c r="U50" s="32"/>
    </row>
    <row r="51" spans="1:21" ht="18" customHeight="1" x14ac:dyDescent="0.15">
      <c r="A51" s="3"/>
      <c r="B51" s="86"/>
      <c r="C51" s="87"/>
      <c r="D51" s="87"/>
      <c r="E51" s="87"/>
      <c r="F51" s="88"/>
      <c r="G51" s="32"/>
      <c r="H51" s="32"/>
      <c r="I51" s="32"/>
      <c r="J51" s="32"/>
      <c r="K51" s="86"/>
      <c r="L51" s="87"/>
      <c r="M51" s="87"/>
      <c r="N51" s="87"/>
      <c r="O51" s="87"/>
      <c r="P51" s="87"/>
      <c r="Q51" s="88"/>
      <c r="R51" s="32"/>
      <c r="S51" s="32"/>
      <c r="T51" s="32"/>
      <c r="U51" s="32"/>
    </row>
    <row r="52" spans="1:21" ht="18" customHeight="1" x14ac:dyDescent="0.15">
      <c r="A52" s="3"/>
      <c r="B52" s="86"/>
      <c r="C52" s="87"/>
      <c r="D52" s="87"/>
      <c r="E52" s="87"/>
      <c r="F52" s="88"/>
      <c r="G52" s="32"/>
      <c r="H52" s="32"/>
      <c r="I52" s="32"/>
      <c r="J52" s="32"/>
      <c r="K52" s="86"/>
      <c r="L52" s="87"/>
      <c r="M52" s="87"/>
      <c r="N52" s="87"/>
      <c r="O52" s="87"/>
      <c r="P52" s="87"/>
      <c r="Q52" s="88"/>
      <c r="R52" s="32"/>
      <c r="S52" s="32"/>
      <c r="T52" s="32"/>
      <c r="U52" s="32"/>
    </row>
    <row r="53" spans="1:21" ht="18" customHeight="1" x14ac:dyDescent="0.15">
      <c r="A53" s="3"/>
      <c r="B53" s="86"/>
      <c r="C53" s="87"/>
      <c r="D53" s="87"/>
      <c r="E53" s="87"/>
      <c r="F53" s="88"/>
      <c r="G53" s="32"/>
      <c r="H53" s="32"/>
      <c r="I53" s="32"/>
      <c r="J53" s="32"/>
      <c r="K53" s="86"/>
      <c r="L53" s="87"/>
      <c r="M53" s="87"/>
      <c r="N53" s="87"/>
      <c r="O53" s="87"/>
      <c r="P53" s="87"/>
      <c r="Q53" s="88"/>
      <c r="R53" s="32"/>
      <c r="S53" s="32"/>
      <c r="T53" s="32"/>
      <c r="U53" s="32"/>
    </row>
    <row r="54" spans="1:21" ht="18" customHeight="1" x14ac:dyDescent="0.15">
      <c r="A54" s="3"/>
      <c r="B54" s="86"/>
      <c r="C54" s="87"/>
      <c r="D54" s="87"/>
      <c r="E54" s="87"/>
      <c r="F54" s="88"/>
      <c r="G54" s="32"/>
      <c r="H54" s="32"/>
      <c r="I54" s="32"/>
      <c r="J54" s="32"/>
      <c r="K54" s="86"/>
      <c r="L54" s="87"/>
      <c r="M54" s="87"/>
      <c r="N54" s="87"/>
      <c r="O54" s="87"/>
      <c r="P54" s="87"/>
      <c r="Q54" s="88"/>
      <c r="R54" s="32"/>
      <c r="S54" s="32"/>
      <c r="T54" s="32"/>
      <c r="U54" s="32"/>
    </row>
    <row r="55" spans="1:21" ht="18" customHeight="1" x14ac:dyDescent="0.15">
      <c r="A55" s="3"/>
      <c r="B55" s="89"/>
      <c r="C55" s="90"/>
      <c r="D55" s="90"/>
      <c r="E55" s="90"/>
      <c r="F55" s="91"/>
      <c r="G55" s="33"/>
      <c r="H55" s="33"/>
      <c r="I55" s="34"/>
      <c r="J55" s="34"/>
      <c r="K55" s="89"/>
      <c r="L55" s="90"/>
      <c r="M55" s="90"/>
      <c r="N55" s="90"/>
      <c r="O55" s="90"/>
      <c r="P55" s="90"/>
      <c r="Q55" s="91"/>
      <c r="R55" s="33"/>
      <c r="S55" s="33"/>
      <c r="T55" s="34"/>
      <c r="U55" s="34"/>
    </row>
    <row r="56" spans="1:21" ht="7.5" customHeight="1" x14ac:dyDescent="0.15">
      <c r="B56" s="8"/>
      <c r="C56" s="8"/>
      <c r="D56" s="8"/>
      <c r="E56" s="8"/>
      <c r="F56" s="8"/>
      <c r="G56" s="8"/>
      <c r="H56" s="8"/>
      <c r="I56" s="8"/>
      <c r="J56" s="8"/>
      <c r="K56" s="8"/>
      <c r="L56" s="8"/>
      <c r="M56" s="8"/>
      <c r="N56" s="8"/>
      <c r="O56" s="8"/>
      <c r="P56" s="8"/>
      <c r="Q56" s="8"/>
      <c r="R56" s="8"/>
      <c r="S56" s="8"/>
      <c r="T56" s="8"/>
    </row>
    <row r="57" spans="1:21" ht="18" customHeight="1" x14ac:dyDescent="0.15">
      <c r="A57" s="92" t="s">
        <v>99</v>
      </c>
      <c r="B57" s="92"/>
      <c r="C57" s="92"/>
      <c r="D57" s="92"/>
      <c r="E57" s="92"/>
      <c r="F57" s="92"/>
      <c r="G57" s="92"/>
      <c r="H57" s="92"/>
      <c r="I57" s="92"/>
      <c r="J57" s="92"/>
      <c r="K57" s="92"/>
      <c r="L57" s="92"/>
      <c r="M57" s="92"/>
      <c r="N57" s="92"/>
      <c r="O57" s="92"/>
      <c r="P57" s="92"/>
      <c r="Q57" s="92"/>
      <c r="R57" s="92"/>
      <c r="S57" s="92"/>
      <c r="T57" s="92"/>
      <c r="U57" s="92"/>
    </row>
    <row r="58" spans="1:21" ht="18" customHeight="1" x14ac:dyDescent="0.15">
      <c r="A58" s="92"/>
      <c r="B58" s="92"/>
      <c r="C58" s="92"/>
      <c r="D58" s="92"/>
      <c r="E58" s="92"/>
      <c r="F58" s="92"/>
      <c r="G58" s="92"/>
      <c r="H58" s="92"/>
      <c r="I58" s="92"/>
      <c r="J58" s="92"/>
      <c r="K58" s="92"/>
      <c r="L58" s="92"/>
      <c r="M58" s="92"/>
      <c r="N58" s="92"/>
      <c r="O58" s="92"/>
      <c r="P58" s="92"/>
      <c r="Q58" s="92"/>
      <c r="R58" s="92"/>
      <c r="S58" s="92"/>
      <c r="T58" s="92"/>
      <c r="U58" s="92"/>
    </row>
    <row r="59" spans="1:21" ht="18" customHeight="1" x14ac:dyDescent="0.15">
      <c r="B59" s="99" t="s">
        <v>48</v>
      </c>
      <c r="C59" s="100"/>
      <c r="D59" s="100"/>
      <c r="E59" s="100"/>
      <c r="F59" s="101"/>
      <c r="G59" s="28" t="s">
        <v>73</v>
      </c>
      <c r="H59" s="29" t="s">
        <v>76</v>
      </c>
      <c r="I59" s="30" t="s">
        <v>53</v>
      </c>
      <c r="J59" s="30" t="s">
        <v>55</v>
      </c>
      <c r="K59" s="99" t="s">
        <v>48</v>
      </c>
      <c r="L59" s="100"/>
      <c r="M59" s="100"/>
      <c r="N59" s="100"/>
      <c r="O59" s="100"/>
      <c r="P59" s="100"/>
      <c r="Q59" s="101"/>
      <c r="R59" s="28" t="s">
        <v>73</v>
      </c>
      <c r="S59" s="29" t="s">
        <v>76</v>
      </c>
      <c r="T59" s="30" t="s">
        <v>53</v>
      </c>
      <c r="U59" s="30" t="s">
        <v>55</v>
      </c>
    </row>
    <row r="60" spans="1:21" ht="18" customHeight="1" x14ac:dyDescent="0.15">
      <c r="A60" s="3"/>
      <c r="B60" s="93" t="s">
        <v>145</v>
      </c>
      <c r="C60" s="94"/>
      <c r="D60" s="94"/>
      <c r="E60" s="94"/>
      <c r="F60" s="95"/>
      <c r="G60" s="31">
        <v>1</v>
      </c>
      <c r="H60" s="31" t="s">
        <v>146</v>
      </c>
      <c r="I60" s="31" t="s">
        <v>146</v>
      </c>
      <c r="J60" s="31" t="s">
        <v>146</v>
      </c>
      <c r="K60" s="93"/>
      <c r="L60" s="94"/>
      <c r="M60" s="94"/>
      <c r="N60" s="94"/>
      <c r="O60" s="94"/>
      <c r="P60" s="94"/>
      <c r="Q60" s="95"/>
      <c r="R60" s="31"/>
      <c r="S60" s="31"/>
      <c r="T60" s="31"/>
      <c r="U60" s="31"/>
    </row>
    <row r="61" spans="1:21" ht="18" customHeight="1" x14ac:dyDescent="0.15">
      <c r="A61" s="3"/>
      <c r="B61" s="86"/>
      <c r="C61" s="87"/>
      <c r="D61" s="87"/>
      <c r="E61" s="87"/>
      <c r="F61" s="88"/>
      <c r="G61" s="32"/>
      <c r="H61" s="32"/>
      <c r="I61" s="32"/>
      <c r="J61" s="32"/>
      <c r="K61" s="86"/>
      <c r="L61" s="87"/>
      <c r="M61" s="87"/>
      <c r="N61" s="87"/>
      <c r="O61" s="87"/>
      <c r="P61" s="87"/>
      <c r="Q61" s="88"/>
      <c r="R61" s="32"/>
      <c r="S61" s="32"/>
      <c r="T61" s="32"/>
      <c r="U61" s="32"/>
    </row>
    <row r="62" spans="1:21" ht="18" customHeight="1" x14ac:dyDescent="0.15">
      <c r="A62" s="3"/>
      <c r="B62" s="86"/>
      <c r="C62" s="87"/>
      <c r="D62" s="87"/>
      <c r="E62" s="87"/>
      <c r="F62" s="88"/>
      <c r="G62" s="32"/>
      <c r="H62" s="32"/>
      <c r="I62" s="32"/>
      <c r="J62" s="32"/>
      <c r="K62" s="86"/>
      <c r="L62" s="87"/>
      <c r="M62" s="87"/>
      <c r="N62" s="87"/>
      <c r="O62" s="87"/>
      <c r="P62" s="87"/>
      <c r="Q62" s="88"/>
      <c r="R62" s="32"/>
      <c r="S62" s="32"/>
      <c r="T62" s="32"/>
      <c r="U62" s="32"/>
    </row>
    <row r="63" spans="1:21" ht="18" customHeight="1" x14ac:dyDescent="0.15">
      <c r="A63" s="3"/>
      <c r="B63" s="86"/>
      <c r="C63" s="87"/>
      <c r="D63" s="87"/>
      <c r="E63" s="87"/>
      <c r="F63" s="88"/>
      <c r="G63" s="32"/>
      <c r="H63" s="32"/>
      <c r="I63" s="32"/>
      <c r="J63" s="32"/>
      <c r="K63" s="86"/>
      <c r="L63" s="87"/>
      <c r="M63" s="87"/>
      <c r="N63" s="87"/>
      <c r="O63" s="87"/>
      <c r="P63" s="87"/>
      <c r="Q63" s="88"/>
      <c r="R63" s="32"/>
      <c r="S63" s="32"/>
      <c r="T63" s="32"/>
      <c r="U63" s="32"/>
    </row>
    <row r="64" spans="1:21" ht="18" customHeight="1" x14ac:dyDescent="0.15">
      <c r="A64" s="3"/>
      <c r="B64" s="86"/>
      <c r="C64" s="87"/>
      <c r="D64" s="87"/>
      <c r="E64" s="87"/>
      <c r="F64" s="88"/>
      <c r="G64" s="32"/>
      <c r="H64" s="32"/>
      <c r="I64" s="32"/>
      <c r="J64" s="32"/>
      <c r="K64" s="86"/>
      <c r="L64" s="87"/>
      <c r="M64" s="87"/>
      <c r="N64" s="87"/>
      <c r="O64" s="87"/>
      <c r="P64" s="87"/>
      <c r="Q64" s="88"/>
      <c r="R64" s="32"/>
      <c r="S64" s="32"/>
      <c r="T64" s="32"/>
      <c r="U64" s="32"/>
    </row>
    <row r="65" spans="1:27" ht="18" customHeight="1" x14ac:dyDescent="0.15">
      <c r="A65" s="3"/>
      <c r="B65" s="86"/>
      <c r="C65" s="87"/>
      <c r="D65" s="87"/>
      <c r="E65" s="87"/>
      <c r="F65" s="88"/>
      <c r="G65" s="32"/>
      <c r="H65" s="32"/>
      <c r="I65" s="32"/>
      <c r="J65" s="32"/>
      <c r="K65" s="86"/>
      <c r="L65" s="87"/>
      <c r="M65" s="87"/>
      <c r="N65" s="87"/>
      <c r="O65" s="87"/>
      <c r="P65" s="87"/>
      <c r="Q65" s="88"/>
      <c r="R65" s="32"/>
      <c r="S65" s="32"/>
      <c r="T65" s="32"/>
      <c r="U65" s="32"/>
    </row>
    <row r="66" spans="1:27" ht="18" customHeight="1" x14ac:dyDescent="0.15">
      <c r="A66" s="3"/>
      <c r="B66" s="89"/>
      <c r="C66" s="90"/>
      <c r="D66" s="90"/>
      <c r="E66" s="90"/>
      <c r="F66" s="91"/>
      <c r="G66" s="33"/>
      <c r="H66" s="33"/>
      <c r="I66" s="34"/>
      <c r="J66" s="34"/>
      <c r="K66" s="89"/>
      <c r="L66" s="90"/>
      <c r="M66" s="90"/>
      <c r="N66" s="90"/>
      <c r="O66" s="90"/>
      <c r="P66" s="90"/>
      <c r="Q66" s="91"/>
      <c r="R66" s="33"/>
      <c r="S66" s="33"/>
      <c r="T66" s="34"/>
      <c r="U66" s="34"/>
    </row>
    <row r="67" spans="1:27" ht="7.5" customHeight="1" x14ac:dyDescent="0.15">
      <c r="B67" s="8"/>
      <c r="C67" s="8"/>
      <c r="D67" s="8"/>
      <c r="E67" s="8"/>
      <c r="F67" s="8"/>
      <c r="G67" s="8"/>
      <c r="H67" s="8"/>
      <c r="I67" s="8"/>
      <c r="J67" s="8"/>
      <c r="K67" s="8"/>
      <c r="L67" s="8"/>
      <c r="M67" s="8"/>
      <c r="N67" s="8"/>
      <c r="O67" s="8"/>
      <c r="P67" s="8"/>
      <c r="Q67" s="8"/>
      <c r="R67" s="8"/>
      <c r="S67" s="8"/>
      <c r="T67" s="8"/>
    </row>
    <row r="68" spans="1:27" ht="18" customHeight="1" x14ac:dyDescent="0.15">
      <c r="A68" s="92" t="s">
        <v>100</v>
      </c>
      <c r="B68" s="92"/>
      <c r="C68" s="92"/>
      <c r="D68" s="92"/>
      <c r="E68" s="92"/>
      <c r="F68" s="92"/>
      <c r="G68" s="92"/>
      <c r="H68" s="92"/>
      <c r="I68" s="92"/>
      <c r="J68" s="92"/>
      <c r="K68" s="92"/>
      <c r="L68" s="92"/>
      <c r="M68" s="92"/>
      <c r="N68" s="92"/>
      <c r="O68" s="92"/>
      <c r="P68" s="92"/>
      <c r="Q68" s="92"/>
      <c r="R68" s="92"/>
      <c r="S68" s="92"/>
      <c r="T68" s="92"/>
      <c r="U68" s="92"/>
    </row>
    <row r="69" spans="1:27" ht="18" customHeight="1" x14ac:dyDescent="0.15">
      <c r="A69" s="92"/>
      <c r="B69" s="92"/>
      <c r="C69" s="92"/>
      <c r="D69" s="92"/>
      <c r="E69" s="92"/>
      <c r="F69" s="92"/>
      <c r="G69" s="92"/>
      <c r="H69" s="92"/>
      <c r="I69" s="92"/>
      <c r="J69" s="92"/>
      <c r="K69" s="92"/>
      <c r="L69" s="92"/>
      <c r="M69" s="92"/>
      <c r="N69" s="92"/>
      <c r="O69" s="92"/>
      <c r="P69" s="92"/>
      <c r="Q69" s="92"/>
      <c r="R69" s="92"/>
      <c r="S69" s="92"/>
      <c r="T69" s="92"/>
      <c r="U69" s="92"/>
    </row>
    <row r="70" spans="1:27" ht="18" customHeight="1" x14ac:dyDescent="0.15">
      <c r="B70" s="99" t="s">
        <v>48</v>
      </c>
      <c r="C70" s="100"/>
      <c r="D70" s="100"/>
      <c r="E70" s="100"/>
      <c r="F70" s="28" t="s">
        <v>73</v>
      </c>
      <c r="G70" s="29" t="s">
        <v>76</v>
      </c>
      <c r="H70" s="30" t="s">
        <v>87</v>
      </c>
      <c r="I70" s="30" t="s">
        <v>68</v>
      </c>
      <c r="J70" s="30" t="s">
        <v>69</v>
      </c>
      <c r="K70" s="99" t="s">
        <v>48</v>
      </c>
      <c r="L70" s="100"/>
      <c r="M70" s="100"/>
      <c r="N70" s="100"/>
      <c r="O70" s="100"/>
      <c r="P70" s="101"/>
      <c r="Q70" s="28" t="s">
        <v>73</v>
      </c>
      <c r="R70" s="29" t="s">
        <v>76</v>
      </c>
      <c r="S70" s="30" t="s">
        <v>87</v>
      </c>
      <c r="T70" s="30" t="s">
        <v>68</v>
      </c>
      <c r="U70" s="30" t="s">
        <v>69</v>
      </c>
    </row>
    <row r="71" spans="1:27" ht="18" customHeight="1" x14ac:dyDescent="0.15">
      <c r="A71" s="3"/>
      <c r="B71" s="93" t="s">
        <v>145</v>
      </c>
      <c r="C71" s="94"/>
      <c r="D71" s="94"/>
      <c r="E71" s="94"/>
      <c r="F71" s="31">
        <v>1</v>
      </c>
      <c r="G71" s="31" t="s">
        <v>146</v>
      </c>
      <c r="H71" s="31" t="s">
        <v>146</v>
      </c>
      <c r="I71" s="31" t="s">
        <v>146</v>
      </c>
      <c r="J71" s="31" t="s">
        <v>146</v>
      </c>
      <c r="K71" s="93"/>
      <c r="L71" s="94"/>
      <c r="M71" s="94"/>
      <c r="N71" s="94"/>
      <c r="O71" s="94"/>
      <c r="P71" s="95"/>
      <c r="Q71" s="31"/>
      <c r="R71" s="31"/>
      <c r="S71" s="31"/>
      <c r="T71" s="31"/>
      <c r="U71" s="31"/>
    </row>
    <row r="72" spans="1:27" ht="18" customHeight="1" x14ac:dyDescent="0.15">
      <c r="A72" s="3"/>
      <c r="B72" s="86"/>
      <c r="C72" s="87"/>
      <c r="D72" s="87"/>
      <c r="E72" s="87"/>
      <c r="F72" s="32"/>
      <c r="G72" s="32"/>
      <c r="H72" s="32"/>
      <c r="I72" s="32"/>
      <c r="J72" s="32"/>
      <c r="K72" s="86"/>
      <c r="L72" s="87"/>
      <c r="M72" s="87"/>
      <c r="N72" s="87"/>
      <c r="O72" s="87"/>
      <c r="P72" s="88"/>
      <c r="Q72" s="32"/>
      <c r="R72" s="32"/>
      <c r="S72" s="32"/>
      <c r="T72" s="32"/>
      <c r="U72" s="32"/>
    </row>
    <row r="73" spans="1:27" ht="18" customHeight="1" x14ac:dyDescent="0.15">
      <c r="A73" s="3"/>
      <c r="B73" s="86"/>
      <c r="C73" s="87"/>
      <c r="D73" s="87"/>
      <c r="E73" s="87"/>
      <c r="F73" s="32"/>
      <c r="G73" s="32"/>
      <c r="H73" s="32"/>
      <c r="I73" s="32"/>
      <c r="J73" s="32"/>
      <c r="K73" s="86"/>
      <c r="L73" s="87"/>
      <c r="M73" s="87"/>
      <c r="N73" s="87"/>
      <c r="O73" s="87"/>
      <c r="P73" s="88"/>
      <c r="Q73" s="32"/>
      <c r="R73" s="32"/>
      <c r="S73" s="32"/>
      <c r="T73" s="32"/>
      <c r="U73" s="32"/>
    </row>
    <row r="74" spans="1:27" ht="18" customHeight="1" x14ac:dyDescent="0.15">
      <c r="A74" s="3"/>
      <c r="B74" s="86"/>
      <c r="C74" s="87"/>
      <c r="D74" s="87"/>
      <c r="E74" s="87"/>
      <c r="F74" s="32"/>
      <c r="G74" s="32"/>
      <c r="H74" s="32"/>
      <c r="I74" s="32"/>
      <c r="J74" s="32"/>
      <c r="K74" s="86"/>
      <c r="L74" s="87"/>
      <c r="M74" s="87"/>
      <c r="N74" s="87"/>
      <c r="O74" s="87"/>
      <c r="P74" s="88"/>
      <c r="Q74" s="32"/>
      <c r="R74" s="32"/>
      <c r="S74" s="32"/>
      <c r="T74" s="32"/>
      <c r="U74" s="32"/>
    </row>
    <row r="75" spans="1:27" ht="18" customHeight="1" x14ac:dyDescent="0.15">
      <c r="A75" s="3"/>
      <c r="B75" s="86"/>
      <c r="C75" s="87"/>
      <c r="D75" s="87"/>
      <c r="E75" s="87"/>
      <c r="F75" s="32"/>
      <c r="G75" s="32"/>
      <c r="H75" s="32"/>
      <c r="I75" s="32"/>
      <c r="J75" s="32"/>
      <c r="K75" s="86"/>
      <c r="L75" s="87"/>
      <c r="M75" s="87"/>
      <c r="N75" s="87"/>
      <c r="O75" s="87"/>
      <c r="P75" s="88"/>
      <c r="Q75" s="32"/>
      <c r="R75" s="32"/>
      <c r="S75" s="32"/>
      <c r="T75" s="32"/>
      <c r="U75" s="32"/>
    </row>
    <row r="76" spans="1:27" ht="18" customHeight="1" x14ac:dyDescent="0.15">
      <c r="A76" s="3"/>
      <c r="B76" s="86"/>
      <c r="C76" s="87"/>
      <c r="D76" s="87"/>
      <c r="E76" s="87"/>
      <c r="F76" s="32"/>
      <c r="G76" s="32"/>
      <c r="H76" s="32"/>
      <c r="I76" s="32"/>
      <c r="J76" s="32"/>
      <c r="K76" s="86"/>
      <c r="L76" s="87"/>
      <c r="M76" s="87"/>
      <c r="N76" s="87"/>
      <c r="O76" s="87"/>
      <c r="P76" s="88"/>
      <c r="Q76" s="32"/>
      <c r="R76" s="32"/>
      <c r="S76" s="32"/>
      <c r="T76" s="32"/>
      <c r="U76" s="32"/>
    </row>
    <row r="77" spans="1:27" ht="18" customHeight="1" x14ac:dyDescent="0.15">
      <c r="A77" s="3"/>
      <c r="B77" s="89"/>
      <c r="C77" s="90"/>
      <c r="D77" s="90"/>
      <c r="E77" s="90"/>
      <c r="F77" s="33"/>
      <c r="G77" s="33"/>
      <c r="H77" s="34"/>
      <c r="I77" s="34"/>
      <c r="J77" s="34"/>
      <c r="K77" s="89"/>
      <c r="L77" s="90"/>
      <c r="M77" s="90"/>
      <c r="N77" s="90"/>
      <c r="O77" s="90"/>
      <c r="P77" s="91"/>
      <c r="Q77" s="33"/>
      <c r="R77" s="33"/>
      <c r="S77" s="34"/>
      <c r="T77" s="34"/>
      <c r="U77" s="34"/>
    </row>
    <row r="78" spans="1:27" ht="7.5" customHeight="1" x14ac:dyDescent="0.15">
      <c r="B78" s="8"/>
      <c r="C78" s="8"/>
      <c r="D78" s="8"/>
      <c r="E78" s="8"/>
      <c r="F78" s="8"/>
      <c r="G78" s="8"/>
      <c r="H78" s="8"/>
      <c r="I78" s="8"/>
      <c r="J78" s="8"/>
      <c r="K78" s="8"/>
      <c r="L78" s="8"/>
      <c r="M78" s="8"/>
      <c r="N78" s="8"/>
      <c r="O78" s="8"/>
      <c r="P78" s="8"/>
      <c r="Q78" s="8"/>
      <c r="R78" s="8"/>
      <c r="S78" s="8"/>
      <c r="T78" s="8"/>
    </row>
    <row r="79" spans="1:27" ht="18" customHeight="1" x14ac:dyDescent="0.15">
      <c r="A79" s="1" t="s">
        <v>101</v>
      </c>
      <c r="I79" s="3"/>
      <c r="J79" s="3"/>
      <c r="K79" s="3"/>
      <c r="L79" s="3"/>
      <c r="M79" s="3"/>
      <c r="N79" s="3"/>
      <c r="O79" s="3"/>
      <c r="P79" s="3"/>
      <c r="Q79" s="3"/>
      <c r="R79" s="3"/>
      <c r="S79" s="3"/>
      <c r="T79" s="3"/>
      <c r="U79" s="3"/>
    </row>
    <row r="80" spans="1:27" ht="18" customHeight="1" x14ac:dyDescent="0.15">
      <c r="B80" s="99" t="s">
        <v>48</v>
      </c>
      <c r="C80" s="100"/>
      <c r="D80" s="100"/>
      <c r="E80" s="100"/>
      <c r="F80" s="101"/>
      <c r="G80" s="99" t="s">
        <v>74</v>
      </c>
      <c r="H80" s="100"/>
      <c r="I80" s="100"/>
      <c r="J80" s="101"/>
      <c r="K80" s="107" t="s">
        <v>48</v>
      </c>
      <c r="L80" s="108"/>
      <c r="M80" s="108"/>
      <c r="N80" s="108"/>
      <c r="O80" s="108"/>
      <c r="P80" s="108"/>
      <c r="Q80" s="109"/>
      <c r="R80" s="99" t="s">
        <v>74</v>
      </c>
      <c r="S80" s="100"/>
      <c r="T80" s="100"/>
      <c r="U80" s="101"/>
      <c r="AA80" s="1" t="s">
        <v>137</v>
      </c>
    </row>
    <row r="81" spans="1:27" ht="18" customHeight="1" x14ac:dyDescent="0.15">
      <c r="A81" s="3"/>
      <c r="B81" s="93"/>
      <c r="C81" s="94"/>
      <c r="D81" s="94"/>
      <c r="E81" s="94"/>
      <c r="F81" s="95"/>
      <c r="G81" s="96"/>
      <c r="H81" s="97"/>
      <c r="I81" s="97"/>
      <c r="J81" s="98"/>
      <c r="K81" s="93"/>
      <c r="L81" s="94"/>
      <c r="M81" s="94"/>
      <c r="N81" s="94"/>
      <c r="O81" s="94"/>
      <c r="P81" s="94"/>
      <c r="Q81" s="95"/>
      <c r="R81" s="96"/>
      <c r="S81" s="97"/>
      <c r="T81" s="97"/>
      <c r="U81" s="98"/>
      <c r="AA81" s="1" t="s">
        <v>130</v>
      </c>
    </row>
    <row r="82" spans="1:27" ht="18" customHeight="1" x14ac:dyDescent="0.15">
      <c r="A82" s="3"/>
      <c r="B82" s="86"/>
      <c r="C82" s="87"/>
      <c r="D82" s="87"/>
      <c r="E82" s="87"/>
      <c r="F82" s="88"/>
      <c r="G82" s="104"/>
      <c r="H82" s="105"/>
      <c r="I82" s="105"/>
      <c r="J82" s="106"/>
      <c r="K82" s="86"/>
      <c r="L82" s="87"/>
      <c r="M82" s="87"/>
      <c r="N82" s="87"/>
      <c r="O82" s="87"/>
      <c r="P82" s="87"/>
      <c r="Q82" s="88"/>
      <c r="R82" s="104"/>
      <c r="S82" s="105"/>
      <c r="T82" s="105"/>
      <c r="U82" s="106"/>
      <c r="AA82" s="1" t="s">
        <v>131</v>
      </c>
    </row>
    <row r="83" spans="1:27" ht="18" customHeight="1" x14ac:dyDescent="0.15">
      <c r="A83" s="3"/>
      <c r="B83" s="86"/>
      <c r="C83" s="87"/>
      <c r="D83" s="87"/>
      <c r="E83" s="87"/>
      <c r="F83" s="88"/>
      <c r="G83" s="104"/>
      <c r="H83" s="105"/>
      <c r="I83" s="105"/>
      <c r="J83" s="106"/>
      <c r="K83" s="86"/>
      <c r="L83" s="87"/>
      <c r="M83" s="87"/>
      <c r="N83" s="87"/>
      <c r="O83" s="87"/>
      <c r="P83" s="87"/>
      <c r="Q83" s="88"/>
      <c r="R83" s="104"/>
      <c r="S83" s="105"/>
      <c r="T83" s="105"/>
      <c r="U83" s="106"/>
      <c r="AA83" s="1" t="s">
        <v>132</v>
      </c>
    </row>
    <row r="84" spans="1:27" ht="18" customHeight="1" x14ac:dyDescent="0.15">
      <c r="A84" s="3"/>
      <c r="B84" s="86"/>
      <c r="C84" s="87"/>
      <c r="D84" s="87"/>
      <c r="E84" s="87"/>
      <c r="F84" s="88"/>
      <c r="G84" s="104"/>
      <c r="H84" s="105"/>
      <c r="I84" s="105"/>
      <c r="J84" s="106"/>
      <c r="K84" s="86"/>
      <c r="L84" s="87"/>
      <c r="M84" s="87"/>
      <c r="N84" s="87"/>
      <c r="O84" s="87"/>
      <c r="P84" s="87"/>
      <c r="Q84" s="88"/>
      <c r="R84" s="104"/>
      <c r="S84" s="105"/>
      <c r="T84" s="105"/>
      <c r="U84" s="106"/>
      <c r="AA84" s="1" t="s">
        <v>138</v>
      </c>
    </row>
    <row r="85" spans="1:27" ht="18" customHeight="1" x14ac:dyDescent="0.15">
      <c r="A85" s="3"/>
      <c r="B85" s="86"/>
      <c r="C85" s="87"/>
      <c r="D85" s="87"/>
      <c r="E85" s="87"/>
      <c r="F85" s="88"/>
      <c r="G85" s="104"/>
      <c r="H85" s="105"/>
      <c r="I85" s="105"/>
      <c r="J85" s="106"/>
      <c r="K85" s="86"/>
      <c r="L85" s="87"/>
      <c r="M85" s="87"/>
      <c r="N85" s="87"/>
      <c r="O85" s="87"/>
      <c r="P85" s="87"/>
      <c r="Q85" s="88"/>
      <c r="R85" s="104"/>
      <c r="S85" s="105"/>
      <c r="T85" s="105"/>
      <c r="U85" s="106"/>
      <c r="AA85" s="1" t="s">
        <v>139</v>
      </c>
    </row>
    <row r="86" spans="1:27" ht="18" customHeight="1" x14ac:dyDescent="0.15">
      <c r="A86" s="3"/>
      <c r="B86" s="86"/>
      <c r="C86" s="87"/>
      <c r="D86" s="87"/>
      <c r="E86" s="87"/>
      <c r="F86" s="88"/>
      <c r="G86" s="104"/>
      <c r="H86" s="105"/>
      <c r="I86" s="105"/>
      <c r="J86" s="106"/>
      <c r="K86" s="86"/>
      <c r="L86" s="87"/>
      <c r="M86" s="87"/>
      <c r="N86" s="87"/>
      <c r="O86" s="87"/>
      <c r="P86" s="87"/>
      <c r="Q86" s="88"/>
      <c r="R86" s="104"/>
      <c r="S86" s="105"/>
      <c r="T86" s="105"/>
      <c r="U86" s="106"/>
      <c r="AA86" s="1" t="s">
        <v>133</v>
      </c>
    </row>
    <row r="87" spans="1:27" ht="18" customHeight="1" x14ac:dyDescent="0.15">
      <c r="A87" s="3"/>
      <c r="B87" s="89"/>
      <c r="C87" s="90"/>
      <c r="D87" s="90"/>
      <c r="E87" s="90"/>
      <c r="F87" s="91"/>
      <c r="G87" s="123"/>
      <c r="H87" s="124"/>
      <c r="I87" s="124"/>
      <c r="J87" s="125"/>
      <c r="K87" s="89"/>
      <c r="L87" s="90"/>
      <c r="M87" s="90"/>
      <c r="N87" s="90"/>
      <c r="O87" s="90"/>
      <c r="P87" s="90"/>
      <c r="Q87" s="91"/>
      <c r="R87" s="123"/>
      <c r="S87" s="124"/>
      <c r="T87" s="124"/>
      <c r="U87" s="125"/>
      <c r="AA87" s="1" t="s">
        <v>134</v>
      </c>
    </row>
    <row r="88" spans="1:27" ht="18" customHeight="1" x14ac:dyDescent="0.15">
      <c r="A88" s="3"/>
      <c r="B88" s="6"/>
      <c r="C88" s="6"/>
      <c r="D88" s="6"/>
      <c r="E88" s="6"/>
      <c r="F88" s="6"/>
      <c r="G88" s="35"/>
      <c r="H88" s="35"/>
      <c r="I88" s="35"/>
      <c r="J88" s="35"/>
      <c r="K88" s="6"/>
      <c r="L88" s="6"/>
      <c r="M88" s="6"/>
      <c r="N88" s="6"/>
      <c r="O88" s="6"/>
      <c r="P88" s="6"/>
      <c r="Q88" s="6"/>
      <c r="R88" s="35"/>
      <c r="S88" s="35"/>
      <c r="T88" s="35"/>
      <c r="U88" s="35"/>
      <c r="AA88" s="1" t="s">
        <v>135</v>
      </c>
    </row>
    <row r="89" spans="1:27" ht="18.75" customHeight="1" x14ac:dyDescent="0.15">
      <c r="A89" s="1" t="s">
        <v>102</v>
      </c>
      <c r="AA89" s="1" t="s">
        <v>136</v>
      </c>
    </row>
    <row r="90" spans="1:27" ht="18.75" customHeight="1" x14ac:dyDescent="0.15">
      <c r="B90" s="127" t="s">
        <v>49</v>
      </c>
      <c r="C90" s="128"/>
      <c r="D90" s="99" t="s">
        <v>50</v>
      </c>
      <c r="E90" s="100"/>
      <c r="F90" s="100"/>
      <c r="G90" s="100"/>
      <c r="H90" s="100"/>
      <c r="I90" s="100"/>
      <c r="J90" s="100"/>
      <c r="K90" s="100"/>
      <c r="L90" s="100"/>
      <c r="M90" s="100"/>
      <c r="N90" s="100"/>
      <c r="O90" s="100"/>
      <c r="P90" s="100"/>
      <c r="Q90" s="100"/>
      <c r="R90" s="100"/>
      <c r="S90" s="100"/>
      <c r="T90" s="100"/>
      <c r="U90" s="101"/>
    </row>
    <row r="91" spans="1:27" ht="97.5" customHeight="1" x14ac:dyDescent="0.15">
      <c r="B91" s="102" t="s">
        <v>56</v>
      </c>
      <c r="C91" s="36" t="s">
        <v>51</v>
      </c>
      <c r="D91" s="133" t="s">
        <v>148</v>
      </c>
      <c r="E91" s="134"/>
      <c r="F91" s="134"/>
      <c r="G91" s="134"/>
      <c r="H91" s="134"/>
      <c r="I91" s="134"/>
      <c r="J91" s="134"/>
      <c r="K91" s="134"/>
      <c r="L91" s="134"/>
      <c r="M91" s="134"/>
      <c r="N91" s="134"/>
      <c r="O91" s="134"/>
      <c r="P91" s="134"/>
      <c r="Q91" s="134"/>
      <c r="R91" s="134"/>
      <c r="S91" s="134"/>
      <c r="T91" s="134"/>
      <c r="U91" s="135"/>
    </row>
    <row r="92" spans="1:27" ht="97.5" customHeight="1" x14ac:dyDescent="0.15">
      <c r="B92" s="126"/>
      <c r="C92" s="37" t="s">
        <v>70</v>
      </c>
      <c r="D92" s="139" t="s">
        <v>149</v>
      </c>
      <c r="E92" s="131"/>
      <c r="F92" s="131"/>
      <c r="G92" s="131"/>
      <c r="H92" s="131"/>
      <c r="I92" s="131"/>
      <c r="J92" s="131"/>
      <c r="K92" s="131"/>
      <c r="L92" s="131"/>
      <c r="M92" s="131"/>
      <c r="N92" s="131"/>
      <c r="O92" s="131"/>
      <c r="P92" s="131"/>
      <c r="Q92" s="131"/>
      <c r="R92" s="131"/>
      <c r="S92" s="131"/>
      <c r="T92" s="131"/>
      <c r="U92" s="132"/>
    </row>
    <row r="93" spans="1:27" ht="97.5" customHeight="1" x14ac:dyDescent="0.15">
      <c r="B93" s="102" t="s">
        <v>57</v>
      </c>
      <c r="C93" s="38" t="s">
        <v>64</v>
      </c>
      <c r="D93" s="146" t="s">
        <v>150</v>
      </c>
      <c r="E93" s="134"/>
      <c r="F93" s="134"/>
      <c r="G93" s="134"/>
      <c r="H93" s="134"/>
      <c r="I93" s="134"/>
      <c r="J93" s="134"/>
      <c r="K93" s="134"/>
      <c r="L93" s="134"/>
      <c r="M93" s="134"/>
      <c r="N93" s="134"/>
      <c r="O93" s="134"/>
      <c r="P93" s="134"/>
      <c r="Q93" s="134"/>
      <c r="R93" s="134"/>
      <c r="S93" s="134"/>
      <c r="T93" s="134"/>
      <c r="U93" s="135"/>
    </row>
    <row r="94" spans="1:27" ht="97.5" customHeight="1" x14ac:dyDescent="0.15">
      <c r="B94" s="103"/>
      <c r="C94" s="39" t="s">
        <v>65</v>
      </c>
      <c r="D94" s="139" t="s">
        <v>151</v>
      </c>
      <c r="E94" s="131"/>
      <c r="F94" s="131"/>
      <c r="G94" s="131"/>
      <c r="H94" s="131"/>
      <c r="I94" s="131"/>
      <c r="J94" s="131"/>
      <c r="K94" s="131"/>
      <c r="L94" s="131"/>
      <c r="M94" s="131"/>
      <c r="N94" s="131"/>
      <c r="O94" s="131"/>
      <c r="P94" s="131"/>
      <c r="Q94" s="131"/>
      <c r="R94" s="131"/>
      <c r="S94" s="131"/>
      <c r="T94" s="131"/>
      <c r="U94" s="132"/>
    </row>
    <row r="95" spans="1:27" ht="97.5" customHeight="1" x14ac:dyDescent="0.15">
      <c r="B95" s="102" t="s">
        <v>58</v>
      </c>
      <c r="C95" s="38" t="s">
        <v>66</v>
      </c>
      <c r="D95" s="146" t="s">
        <v>152</v>
      </c>
      <c r="E95" s="134"/>
      <c r="F95" s="134"/>
      <c r="G95" s="134"/>
      <c r="H95" s="134"/>
      <c r="I95" s="134"/>
      <c r="J95" s="134"/>
      <c r="K95" s="134"/>
      <c r="L95" s="134"/>
      <c r="M95" s="134"/>
      <c r="N95" s="134"/>
      <c r="O95" s="134"/>
      <c r="P95" s="134"/>
      <c r="Q95" s="134"/>
      <c r="R95" s="134"/>
      <c r="S95" s="134"/>
      <c r="T95" s="134"/>
      <c r="U95" s="135"/>
    </row>
    <row r="96" spans="1:27" ht="97.5" customHeight="1" x14ac:dyDescent="0.15">
      <c r="B96" s="103"/>
      <c r="C96" s="40" t="s">
        <v>67</v>
      </c>
      <c r="D96" s="130" t="s">
        <v>153</v>
      </c>
      <c r="E96" s="131"/>
      <c r="F96" s="131"/>
      <c r="G96" s="131"/>
      <c r="H96" s="131"/>
      <c r="I96" s="131"/>
      <c r="J96" s="131"/>
      <c r="K96" s="131"/>
      <c r="L96" s="131"/>
      <c r="M96" s="131"/>
      <c r="N96" s="131"/>
      <c r="O96" s="131"/>
      <c r="P96" s="131"/>
      <c r="Q96" s="131"/>
      <c r="R96" s="131"/>
      <c r="S96" s="131"/>
      <c r="T96" s="131"/>
      <c r="U96" s="132"/>
    </row>
    <row r="97" spans="1:21" ht="97.5" customHeight="1" x14ac:dyDescent="0.15">
      <c r="B97" s="102" t="s">
        <v>71</v>
      </c>
      <c r="C97" s="36" t="s">
        <v>53</v>
      </c>
      <c r="D97" s="133" t="s">
        <v>154</v>
      </c>
      <c r="E97" s="134"/>
      <c r="F97" s="134"/>
      <c r="G97" s="134"/>
      <c r="H97" s="134"/>
      <c r="I97" s="134"/>
      <c r="J97" s="134"/>
      <c r="K97" s="134"/>
      <c r="L97" s="134"/>
      <c r="M97" s="134"/>
      <c r="N97" s="134"/>
      <c r="O97" s="134"/>
      <c r="P97" s="134"/>
      <c r="Q97" s="134"/>
      <c r="R97" s="134"/>
      <c r="S97" s="134"/>
      <c r="T97" s="134"/>
      <c r="U97" s="135"/>
    </row>
    <row r="98" spans="1:21" ht="97.5" customHeight="1" x14ac:dyDescent="0.15">
      <c r="B98" s="103"/>
      <c r="C98" s="39" t="s">
        <v>55</v>
      </c>
      <c r="D98" s="130" t="s">
        <v>155</v>
      </c>
      <c r="E98" s="131"/>
      <c r="F98" s="131"/>
      <c r="G98" s="131"/>
      <c r="H98" s="131"/>
      <c r="I98" s="131"/>
      <c r="J98" s="131"/>
      <c r="K98" s="131"/>
      <c r="L98" s="131"/>
      <c r="M98" s="131"/>
      <c r="N98" s="131"/>
      <c r="O98" s="131"/>
      <c r="P98" s="131"/>
      <c r="Q98" s="131"/>
      <c r="R98" s="131"/>
      <c r="S98" s="131"/>
      <c r="T98" s="131"/>
      <c r="U98" s="132"/>
    </row>
    <row r="99" spans="1:21" ht="97.5" customHeight="1" x14ac:dyDescent="0.15">
      <c r="B99" s="102" t="s">
        <v>72</v>
      </c>
      <c r="C99" s="38" t="s">
        <v>52</v>
      </c>
      <c r="D99" s="133" t="s">
        <v>156</v>
      </c>
      <c r="E99" s="134"/>
      <c r="F99" s="134"/>
      <c r="G99" s="134"/>
      <c r="H99" s="134"/>
      <c r="I99" s="134"/>
      <c r="J99" s="134"/>
      <c r="K99" s="134"/>
      <c r="L99" s="134"/>
      <c r="M99" s="134"/>
      <c r="N99" s="134"/>
      <c r="O99" s="134"/>
      <c r="P99" s="134"/>
      <c r="Q99" s="134"/>
      <c r="R99" s="134"/>
      <c r="S99" s="134"/>
      <c r="T99" s="134"/>
      <c r="U99" s="135"/>
    </row>
    <row r="100" spans="1:21" ht="97.5" customHeight="1" x14ac:dyDescent="0.15">
      <c r="B100" s="126"/>
      <c r="C100" s="41" t="s">
        <v>68</v>
      </c>
      <c r="D100" s="136" t="s">
        <v>157</v>
      </c>
      <c r="E100" s="137"/>
      <c r="F100" s="137"/>
      <c r="G100" s="137"/>
      <c r="H100" s="137"/>
      <c r="I100" s="137"/>
      <c r="J100" s="137"/>
      <c r="K100" s="137"/>
      <c r="L100" s="137"/>
      <c r="M100" s="137"/>
      <c r="N100" s="137"/>
      <c r="O100" s="137"/>
      <c r="P100" s="137"/>
      <c r="Q100" s="137"/>
      <c r="R100" s="137"/>
      <c r="S100" s="137"/>
      <c r="T100" s="137"/>
      <c r="U100" s="138"/>
    </row>
    <row r="101" spans="1:21" ht="97.5" customHeight="1" x14ac:dyDescent="0.15">
      <c r="B101" s="103"/>
      <c r="C101" s="40" t="s">
        <v>69</v>
      </c>
      <c r="D101" s="139" t="s">
        <v>158</v>
      </c>
      <c r="E101" s="131"/>
      <c r="F101" s="131"/>
      <c r="G101" s="131"/>
      <c r="H101" s="131"/>
      <c r="I101" s="131"/>
      <c r="J101" s="131"/>
      <c r="K101" s="131"/>
      <c r="L101" s="131"/>
      <c r="M101" s="131"/>
      <c r="N101" s="131"/>
      <c r="O101" s="131"/>
      <c r="P101" s="131"/>
      <c r="Q101" s="131"/>
      <c r="R101" s="131"/>
      <c r="S101" s="131"/>
      <c r="T101" s="131"/>
      <c r="U101" s="132"/>
    </row>
    <row r="102" spans="1:21" ht="6" customHeight="1" x14ac:dyDescent="0.15"/>
    <row r="103" spans="1:21" ht="18.75" customHeight="1" x14ac:dyDescent="0.15">
      <c r="A103" s="1" t="s">
        <v>103</v>
      </c>
    </row>
    <row r="104" spans="1:21" ht="81.75" customHeight="1" x14ac:dyDescent="0.15">
      <c r="B104" s="120" t="s">
        <v>159</v>
      </c>
      <c r="C104" s="121"/>
      <c r="D104" s="121"/>
      <c r="E104" s="121"/>
      <c r="F104" s="121"/>
      <c r="G104" s="121"/>
      <c r="H104" s="121"/>
      <c r="I104" s="121"/>
      <c r="J104" s="121"/>
      <c r="K104" s="121"/>
      <c r="L104" s="121"/>
      <c r="M104" s="121"/>
      <c r="N104" s="121"/>
      <c r="O104" s="121"/>
      <c r="P104" s="121"/>
      <c r="Q104" s="121"/>
      <c r="R104" s="121"/>
      <c r="S104" s="121"/>
      <c r="T104" s="121"/>
      <c r="U104" s="122"/>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Z26" sqref="Z26"/>
    </sheetView>
  </sheetViews>
  <sheetFormatPr defaultColWidth="9" defaultRowHeight="18.75" customHeight="1" x14ac:dyDescent="0.15"/>
  <cols>
    <col min="1" max="1" width="2.75" style="22" customWidth="1"/>
    <col min="2" max="2" width="27.875" style="22" customWidth="1"/>
    <col min="3" max="18" width="6.125" style="22" customWidth="1"/>
    <col min="19" max="19" width="6.625" style="22" customWidth="1"/>
    <col min="20" max="16384" width="9" style="22"/>
  </cols>
  <sheetData>
    <row r="1" spans="1:21" ht="18" customHeight="1" x14ac:dyDescent="0.15">
      <c r="S1" s="22" t="s">
        <v>92</v>
      </c>
    </row>
    <row r="2" spans="1:21" ht="18" customHeight="1" x14ac:dyDescent="0.15">
      <c r="Q2" s="154" t="str">
        <f>'様式１　プログラムを構成する授業科目'!C2</f>
        <v>九州共立大学</v>
      </c>
      <c r="R2" s="154"/>
      <c r="S2" s="154"/>
    </row>
    <row r="3" spans="1:21" ht="18" customHeight="1" x14ac:dyDescent="0.15">
      <c r="A3" s="155" t="s">
        <v>141</v>
      </c>
      <c r="B3" s="155"/>
      <c r="C3" s="155"/>
      <c r="D3" s="155"/>
      <c r="E3" s="155"/>
      <c r="F3" s="155"/>
      <c r="G3" s="155"/>
      <c r="H3" s="155"/>
      <c r="I3" s="155"/>
      <c r="J3" s="155"/>
      <c r="K3" s="155"/>
      <c r="L3" s="155"/>
      <c r="M3" s="155"/>
      <c r="N3" s="155"/>
      <c r="O3" s="155"/>
      <c r="P3" s="155"/>
      <c r="Q3" s="155"/>
      <c r="R3" s="155"/>
      <c r="S3" s="155"/>
    </row>
    <row r="4" spans="1:21" ht="7.5" customHeight="1" x14ac:dyDescent="0.15">
      <c r="A4" s="24"/>
      <c r="B4" s="24"/>
      <c r="C4" s="24"/>
      <c r="D4" s="24"/>
      <c r="E4" s="24"/>
      <c r="F4" s="24"/>
      <c r="G4" s="24"/>
      <c r="H4" s="24"/>
      <c r="I4" s="24"/>
      <c r="J4" s="24"/>
      <c r="K4" s="24"/>
      <c r="L4" s="24"/>
      <c r="M4" s="24"/>
      <c r="N4" s="24"/>
      <c r="O4" s="24"/>
      <c r="P4" s="24"/>
      <c r="Q4" s="24"/>
      <c r="R4" s="24"/>
      <c r="S4" s="24"/>
    </row>
    <row r="5" spans="1:21" ht="18" customHeight="1" x14ac:dyDescent="0.15">
      <c r="A5" s="22" t="s">
        <v>75</v>
      </c>
      <c r="C5" s="156" t="s">
        <v>160</v>
      </c>
      <c r="D5" s="157"/>
      <c r="E5" s="26" t="s">
        <v>124</v>
      </c>
      <c r="F5" s="24"/>
      <c r="G5" s="24"/>
      <c r="H5" s="24"/>
      <c r="I5" s="24"/>
      <c r="J5" s="24"/>
      <c r="K5" s="24"/>
      <c r="L5" s="24"/>
      <c r="M5" s="24"/>
      <c r="N5" s="24"/>
      <c r="O5" s="24"/>
      <c r="P5" s="24"/>
      <c r="Q5" s="24"/>
      <c r="R5" s="23"/>
      <c r="S5" s="23"/>
    </row>
    <row r="6" spans="1:21" ht="7.15" customHeight="1" x14ac:dyDescent="0.15">
      <c r="C6" s="45"/>
      <c r="D6" s="45"/>
      <c r="E6" s="24"/>
      <c r="F6" s="24"/>
      <c r="G6" s="24"/>
      <c r="H6" s="24"/>
      <c r="I6" s="24"/>
      <c r="J6" s="24"/>
      <c r="K6" s="24"/>
      <c r="L6" s="24"/>
      <c r="M6" s="24"/>
      <c r="N6" s="24"/>
      <c r="O6" s="24"/>
      <c r="P6" s="24"/>
      <c r="Q6" s="24"/>
      <c r="R6" s="23"/>
      <c r="S6" s="23"/>
    </row>
    <row r="7" spans="1:21" ht="18" customHeight="1" x14ac:dyDescent="0.15">
      <c r="A7" s="22" t="s">
        <v>108</v>
      </c>
      <c r="C7" s="45"/>
      <c r="D7" s="45"/>
      <c r="E7" s="24" t="s">
        <v>109</v>
      </c>
      <c r="F7" s="27">
        <v>2384</v>
      </c>
      <c r="G7" s="26" t="s">
        <v>110</v>
      </c>
      <c r="H7" s="24" t="s">
        <v>111</v>
      </c>
      <c r="I7" s="27">
        <v>548</v>
      </c>
      <c r="J7" s="26" t="s">
        <v>110</v>
      </c>
      <c r="K7" s="25" t="s">
        <v>112</v>
      </c>
      <c r="L7" s="24" t="s">
        <v>113</v>
      </c>
      <c r="M7" s="27">
        <f>F7+I7</f>
        <v>2932</v>
      </c>
      <c r="N7" s="24" t="s">
        <v>1</v>
      </c>
      <c r="O7" s="26" t="s">
        <v>114</v>
      </c>
      <c r="P7" s="24"/>
      <c r="Q7" s="24"/>
      <c r="R7" s="23"/>
      <c r="S7" s="23"/>
    </row>
    <row r="8" spans="1:21" ht="17.45" customHeight="1" x14ac:dyDescent="0.15">
      <c r="A8" s="24"/>
      <c r="B8" s="46" t="s">
        <v>127</v>
      </c>
      <c r="C8" s="24"/>
      <c r="D8" s="24"/>
      <c r="E8" s="24"/>
      <c r="F8" s="24"/>
      <c r="G8" s="24"/>
      <c r="H8" s="24"/>
      <c r="I8" s="24"/>
      <c r="J8" s="24"/>
      <c r="K8" s="24"/>
      <c r="L8" s="24"/>
      <c r="M8" s="24"/>
      <c r="N8" s="24"/>
      <c r="O8" s="24"/>
      <c r="P8" s="24"/>
      <c r="Q8" s="24"/>
      <c r="R8" s="24"/>
      <c r="S8" s="24"/>
    </row>
    <row r="9" spans="1:21" ht="18" customHeight="1" x14ac:dyDescent="0.15">
      <c r="A9" s="22" t="s">
        <v>119</v>
      </c>
      <c r="B9" s="24"/>
      <c r="C9" s="24"/>
      <c r="D9" s="24"/>
      <c r="E9" s="24"/>
      <c r="F9" s="24"/>
      <c r="G9" s="24"/>
      <c r="H9" s="24"/>
      <c r="I9" s="24"/>
      <c r="J9" s="24"/>
      <c r="K9" s="24"/>
      <c r="L9" s="24"/>
      <c r="M9" s="24"/>
      <c r="N9" s="24"/>
      <c r="O9" s="24"/>
      <c r="P9" s="24"/>
      <c r="Q9" s="24"/>
      <c r="R9" s="24"/>
      <c r="S9" s="24"/>
    </row>
    <row r="10" spans="1:21" ht="6" customHeight="1" x14ac:dyDescent="0.15">
      <c r="B10" s="24"/>
      <c r="C10" s="24"/>
      <c r="D10" s="24"/>
      <c r="E10" s="24"/>
      <c r="F10" s="24"/>
      <c r="G10" s="24"/>
      <c r="H10" s="24"/>
      <c r="I10" s="24"/>
      <c r="J10" s="24"/>
      <c r="K10" s="24"/>
      <c r="L10" s="24"/>
      <c r="M10" s="24"/>
      <c r="N10" s="24"/>
      <c r="O10" s="24"/>
      <c r="P10" s="24"/>
      <c r="Q10" s="24"/>
      <c r="R10" s="24"/>
      <c r="S10" s="24"/>
    </row>
    <row r="11" spans="1:21" ht="18" customHeight="1" x14ac:dyDescent="0.15">
      <c r="B11" s="158" t="s">
        <v>43</v>
      </c>
      <c r="C11" s="168" t="s">
        <v>78</v>
      </c>
      <c r="D11" s="160" t="s">
        <v>45</v>
      </c>
      <c r="E11" s="162" t="s">
        <v>38</v>
      </c>
      <c r="F11" s="153" t="s">
        <v>125</v>
      </c>
      <c r="G11" s="153"/>
      <c r="H11" s="153" t="s">
        <v>105</v>
      </c>
      <c r="I11" s="153"/>
      <c r="J11" s="153" t="s">
        <v>77</v>
      </c>
      <c r="K11" s="153"/>
      <c r="L11" s="153" t="s">
        <v>46</v>
      </c>
      <c r="M11" s="153"/>
      <c r="N11" s="153" t="s">
        <v>47</v>
      </c>
      <c r="O11" s="153"/>
      <c r="P11" s="153" t="s">
        <v>126</v>
      </c>
      <c r="Q11" s="153"/>
      <c r="R11" s="164" t="s">
        <v>35</v>
      </c>
      <c r="S11" s="166" t="s">
        <v>32</v>
      </c>
      <c r="U11" s="48"/>
    </row>
    <row r="12" spans="1:21" ht="16.899999999999999" customHeight="1" x14ac:dyDescent="0.15">
      <c r="B12" s="159"/>
      <c r="C12" s="169"/>
      <c r="D12" s="161"/>
      <c r="E12" s="163"/>
      <c r="F12" s="49" t="s">
        <v>86</v>
      </c>
      <c r="G12" s="49" t="s">
        <v>29</v>
      </c>
      <c r="H12" s="49" t="s">
        <v>86</v>
      </c>
      <c r="I12" s="49" t="s">
        <v>29</v>
      </c>
      <c r="J12" s="49" t="s">
        <v>86</v>
      </c>
      <c r="K12" s="49" t="s">
        <v>29</v>
      </c>
      <c r="L12" s="49" t="s">
        <v>86</v>
      </c>
      <c r="M12" s="49" t="s">
        <v>29</v>
      </c>
      <c r="N12" s="49" t="s">
        <v>86</v>
      </c>
      <c r="O12" s="49" t="s">
        <v>29</v>
      </c>
      <c r="P12" s="49" t="s">
        <v>86</v>
      </c>
      <c r="Q12" s="50" t="s">
        <v>29</v>
      </c>
      <c r="R12" s="165"/>
      <c r="S12" s="167"/>
      <c r="U12" s="48"/>
    </row>
    <row r="13" spans="1:21" ht="18" customHeight="1" x14ac:dyDescent="0.15">
      <c r="A13" s="23"/>
      <c r="B13" s="51" t="s">
        <v>184</v>
      </c>
      <c r="C13" s="52">
        <v>1759</v>
      </c>
      <c r="D13" s="53">
        <v>410</v>
      </c>
      <c r="E13" s="54">
        <v>1700</v>
      </c>
      <c r="F13" s="54">
        <v>390</v>
      </c>
      <c r="G13" s="54">
        <v>365</v>
      </c>
      <c r="H13" s="54"/>
      <c r="I13" s="54"/>
      <c r="J13" s="54"/>
      <c r="K13" s="54"/>
      <c r="L13" s="54"/>
      <c r="M13" s="54"/>
      <c r="N13" s="54"/>
      <c r="O13" s="54"/>
      <c r="P13" s="54"/>
      <c r="Q13" s="55"/>
      <c r="R13" s="53">
        <f t="shared" ref="R13:R32" si="0">F13+H13+J13+L13+N13+P13</f>
        <v>390</v>
      </c>
      <c r="S13" s="56">
        <f t="shared" ref="S13:S33" si="1">R13/E13</f>
        <v>0.22941176470588234</v>
      </c>
    </row>
    <row r="14" spans="1:21" ht="18" customHeight="1" x14ac:dyDescent="0.15">
      <c r="A14" s="23"/>
      <c r="B14" s="57" t="s">
        <v>185</v>
      </c>
      <c r="C14" s="58">
        <v>1173</v>
      </c>
      <c r="D14" s="59">
        <v>270</v>
      </c>
      <c r="E14" s="60">
        <v>1020</v>
      </c>
      <c r="F14" s="61">
        <v>330</v>
      </c>
      <c r="G14" s="61">
        <v>323</v>
      </c>
      <c r="H14" s="61"/>
      <c r="I14" s="61"/>
      <c r="J14" s="61"/>
      <c r="K14" s="61"/>
      <c r="L14" s="61"/>
      <c r="M14" s="61"/>
      <c r="N14" s="61"/>
      <c r="O14" s="61"/>
      <c r="P14" s="61"/>
      <c r="Q14" s="58"/>
      <c r="R14" s="59">
        <f t="shared" si="0"/>
        <v>330</v>
      </c>
      <c r="S14" s="62">
        <f t="shared" si="1"/>
        <v>0.3235294117647059</v>
      </c>
    </row>
    <row r="15" spans="1:21" ht="18" customHeight="1" x14ac:dyDescent="0.15">
      <c r="A15" s="23"/>
      <c r="B15" s="57"/>
      <c r="C15" s="58"/>
      <c r="D15" s="59"/>
      <c r="E15" s="60"/>
      <c r="F15" s="61"/>
      <c r="G15" s="61"/>
      <c r="H15" s="61"/>
      <c r="I15" s="61"/>
      <c r="J15" s="61"/>
      <c r="K15" s="61"/>
      <c r="L15" s="61"/>
      <c r="M15" s="61"/>
      <c r="N15" s="61"/>
      <c r="O15" s="61"/>
      <c r="P15" s="61"/>
      <c r="Q15" s="58"/>
      <c r="R15" s="59">
        <f t="shared" si="0"/>
        <v>0</v>
      </c>
      <c r="S15" s="63" t="e">
        <f t="shared" si="1"/>
        <v>#DIV/0!</v>
      </c>
    </row>
    <row r="16" spans="1:21" ht="18" customHeight="1" x14ac:dyDescent="0.15">
      <c r="A16" s="23"/>
      <c r="B16" s="57"/>
      <c r="C16" s="58"/>
      <c r="D16" s="59"/>
      <c r="E16" s="60"/>
      <c r="F16" s="61"/>
      <c r="G16" s="61"/>
      <c r="H16" s="61"/>
      <c r="I16" s="61"/>
      <c r="J16" s="61"/>
      <c r="K16" s="61"/>
      <c r="L16" s="61"/>
      <c r="M16" s="61"/>
      <c r="N16" s="61"/>
      <c r="O16" s="61"/>
      <c r="P16" s="61"/>
      <c r="Q16" s="58"/>
      <c r="R16" s="59">
        <f t="shared" si="0"/>
        <v>0</v>
      </c>
      <c r="S16" s="63" t="e">
        <f t="shared" si="1"/>
        <v>#DIV/0!</v>
      </c>
    </row>
    <row r="17" spans="1:19" ht="18" customHeight="1" x14ac:dyDescent="0.15">
      <c r="A17" s="23"/>
      <c r="B17" s="57"/>
      <c r="C17" s="58"/>
      <c r="D17" s="59"/>
      <c r="E17" s="60"/>
      <c r="F17" s="61"/>
      <c r="G17" s="61"/>
      <c r="H17" s="61"/>
      <c r="I17" s="61"/>
      <c r="J17" s="61"/>
      <c r="K17" s="61"/>
      <c r="L17" s="61"/>
      <c r="M17" s="61"/>
      <c r="N17" s="61"/>
      <c r="O17" s="61"/>
      <c r="P17" s="61"/>
      <c r="Q17" s="58"/>
      <c r="R17" s="59">
        <f t="shared" si="0"/>
        <v>0</v>
      </c>
      <c r="S17" s="63" t="e">
        <f t="shared" si="1"/>
        <v>#DIV/0!</v>
      </c>
    </row>
    <row r="18" spans="1:19" ht="18" customHeight="1" x14ac:dyDescent="0.15">
      <c r="A18" s="23"/>
      <c r="B18" s="57"/>
      <c r="C18" s="58"/>
      <c r="D18" s="59"/>
      <c r="E18" s="60"/>
      <c r="F18" s="61"/>
      <c r="G18" s="61"/>
      <c r="H18" s="61"/>
      <c r="I18" s="61"/>
      <c r="J18" s="61"/>
      <c r="K18" s="61"/>
      <c r="L18" s="61"/>
      <c r="M18" s="61"/>
      <c r="N18" s="61"/>
      <c r="O18" s="61"/>
      <c r="P18" s="61"/>
      <c r="Q18" s="58"/>
      <c r="R18" s="59">
        <f t="shared" si="0"/>
        <v>0</v>
      </c>
      <c r="S18" s="63" t="e">
        <f t="shared" si="1"/>
        <v>#DIV/0!</v>
      </c>
    </row>
    <row r="19" spans="1:19" ht="18" customHeight="1" x14ac:dyDescent="0.15">
      <c r="A19" s="23"/>
      <c r="B19" s="57"/>
      <c r="C19" s="58"/>
      <c r="D19" s="59"/>
      <c r="E19" s="60"/>
      <c r="F19" s="61"/>
      <c r="G19" s="61"/>
      <c r="H19" s="61"/>
      <c r="I19" s="61"/>
      <c r="J19" s="61"/>
      <c r="K19" s="61"/>
      <c r="L19" s="61"/>
      <c r="M19" s="61"/>
      <c r="N19" s="61"/>
      <c r="O19" s="61"/>
      <c r="P19" s="61"/>
      <c r="Q19" s="58"/>
      <c r="R19" s="59">
        <f t="shared" si="0"/>
        <v>0</v>
      </c>
      <c r="S19" s="63" t="e">
        <f t="shared" si="1"/>
        <v>#DIV/0!</v>
      </c>
    </row>
    <row r="20" spans="1:19" ht="18" customHeight="1" x14ac:dyDescent="0.15">
      <c r="A20" s="23"/>
      <c r="B20" s="57"/>
      <c r="C20" s="58"/>
      <c r="D20" s="59"/>
      <c r="E20" s="60"/>
      <c r="F20" s="61"/>
      <c r="G20" s="61"/>
      <c r="H20" s="61"/>
      <c r="I20" s="61"/>
      <c r="J20" s="61"/>
      <c r="K20" s="61"/>
      <c r="L20" s="61"/>
      <c r="M20" s="61"/>
      <c r="N20" s="61"/>
      <c r="O20" s="61"/>
      <c r="P20" s="61"/>
      <c r="Q20" s="58"/>
      <c r="R20" s="59">
        <f t="shared" si="0"/>
        <v>0</v>
      </c>
      <c r="S20" s="63" t="e">
        <f t="shared" si="1"/>
        <v>#DIV/0!</v>
      </c>
    </row>
    <row r="21" spans="1:19" ht="18" customHeight="1" x14ac:dyDescent="0.15">
      <c r="A21" s="23"/>
      <c r="B21" s="57"/>
      <c r="C21" s="58"/>
      <c r="D21" s="59"/>
      <c r="E21" s="60"/>
      <c r="F21" s="61"/>
      <c r="G21" s="61"/>
      <c r="H21" s="61"/>
      <c r="I21" s="61"/>
      <c r="J21" s="61"/>
      <c r="K21" s="61"/>
      <c r="L21" s="61"/>
      <c r="M21" s="61"/>
      <c r="N21" s="61"/>
      <c r="O21" s="61"/>
      <c r="P21" s="61"/>
      <c r="Q21" s="58"/>
      <c r="R21" s="59">
        <f t="shared" si="0"/>
        <v>0</v>
      </c>
      <c r="S21" s="63" t="e">
        <f t="shared" si="1"/>
        <v>#DIV/0!</v>
      </c>
    </row>
    <row r="22" spans="1:19" ht="18" customHeight="1" x14ac:dyDescent="0.15">
      <c r="A22" s="23"/>
      <c r="B22" s="57"/>
      <c r="C22" s="58"/>
      <c r="D22" s="59"/>
      <c r="E22" s="60"/>
      <c r="F22" s="61"/>
      <c r="G22" s="61"/>
      <c r="H22" s="61"/>
      <c r="I22" s="61"/>
      <c r="J22" s="61"/>
      <c r="K22" s="61"/>
      <c r="L22" s="61"/>
      <c r="M22" s="61"/>
      <c r="N22" s="61"/>
      <c r="O22" s="61"/>
      <c r="P22" s="61"/>
      <c r="Q22" s="58"/>
      <c r="R22" s="59">
        <f t="shared" si="0"/>
        <v>0</v>
      </c>
      <c r="S22" s="63" t="e">
        <f t="shared" si="1"/>
        <v>#DIV/0!</v>
      </c>
    </row>
    <row r="23" spans="1:19" ht="18" customHeight="1" x14ac:dyDescent="0.15">
      <c r="A23" s="23"/>
      <c r="B23" s="57"/>
      <c r="C23" s="58"/>
      <c r="D23" s="59"/>
      <c r="E23" s="60"/>
      <c r="F23" s="61"/>
      <c r="G23" s="61"/>
      <c r="H23" s="61"/>
      <c r="I23" s="61"/>
      <c r="J23" s="61"/>
      <c r="K23" s="61"/>
      <c r="L23" s="61"/>
      <c r="M23" s="61"/>
      <c r="N23" s="61"/>
      <c r="O23" s="61"/>
      <c r="P23" s="61"/>
      <c r="Q23" s="58"/>
      <c r="R23" s="59">
        <f t="shared" si="0"/>
        <v>0</v>
      </c>
      <c r="S23" s="63" t="e">
        <f t="shared" si="1"/>
        <v>#DIV/0!</v>
      </c>
    </row>
    <row r="24" spans="1:19" ht="18" customHeight="1" x14ac:dyDescent="0.15">
      <c r="A24" s="23"/>
      <c r="B24" s="57"/>
      <c r="C24" s="58"/>
      <c r="D24" s="59"/>
      <c r="E24" s="60"/>
      <c r="F24" s="61"/>
      <c r="G24" s="61"/>
      <c r="H24" s="61"/>
      <c r="I24" s="61"/>
      <c r="J24" s="61"/>
      <c r="K24" s="61"/>
      <c r="L24" s="61"/>
      <c r="M24" s="61"/>
      <c r="N24" s="61"/>
      <c r="O24" s="61"/>
      <c r="P24" s="61"/>
      <c r="Q24" s="58"/>
      <c r="R24" s="59">
        <f t="shared" si="0"/>
        <v>0</v>
      </c>
      <c r="S24" s="63" t="e">
        <f t="shared" si="1"/>
        <v>#DIV/0!</v>
      </c>
    </row>
    <row r="25" spans="1:19" ht="18" customHeight="1" x14ac:dyDescent="0.15">
      <c r="A25" s="23"/>
      <c r="B25" s="57"/>
      <c r="C25" s="58"/>
      <c r="D25" s="59"/>
      <c r="E25" s="60"/>
      <c r="F25" s="61"/>
      <c r="G25" s="61"/>
      <c r="H25" s="61"/>
      <c r="I25" s="61"/>
      <c r="J25" s="61"/>
      <c r="K25" s="61"/>
      <c r="L25" s="61"/>
      <c r="M25" s="61"/>
      <c r="N25" s="61"/>
      <c r="O25" s="61"/>
      <c r="P25" s="61"/>
      <c r="Q25" s="58"/>
      <c r="R25" s="59">
        <f t="shared" si="0"/>
        <v>0</v>
      </c>
      <c r="S25" s="63" t="e">
        <f t="shared" si="1"/>
        <v>#DIV/0!</v>
      </c>
    </row>
    <row r="26" spans="1:19" ht="18" customHeight="1" x14ac:dyDescent="0.15">
      <c r="A26" s="23"/>
      <c r="B26" s="57"/>
      <c r="C26" s="58"/>
      <c r="D26" s="59"/>
      <c r="E26" s="60"/>
      <c r="F26" s="61"/>
      <c r="G26" s="61"/>
      <c r="H26" s="61"/>
      <c r="I26" s="61"/>
      <c r="J26" s="61"/>
      <c r="K26" s="61"/>
      <c r="L26" s="61"/>
      <c r="M26" s="61"/>
      <c r="N26" s="61"/>
      <c r="O26" s="61"/>
      <c r="P26" s="61"/>
      <c r="Q26" s="58"/>
      <c r="R26" s="59">
        <f t="shared" si="0"/>
        <v>0</v>
      </c>
      <c r="S26" s="63" t="e">
        <f t="shared" si="1"/>
        <v>#DIV/0!</v>
      </c>
    </row>
    <row r="27" spans="1:19" ht="18" customHeight="1" x14ac:dyDescent="0.15">
      <c r="A27" s="23"/>
      <c r="B27" s="57"/>
      <c r="C27" s="58"/>
      <c r="D27" s="59"/>
      <c r="E27" s="60"/>
      <c r="F27" s="61"/>
      <c r="G27" s="61"/>
      <c r="H27" s="61"/>
      <c r="I27" s="61"/>
      <c r="J27" s="61"/>
      <c r="K27" s="61"/>
      <c r="L27" s="61"/>
      <c r="M27" s="61"/>
      <c r="N27" s="61"/>
      <c r="O27" s="61"/>
      <c r="P27" s="61"/>
      <c r="Q27" s="58"/>
      <c r="R27" s="59">
        <f t="shared" si="0"/>
        <v>0</v>
      </c>
      <c r="S27" s="63" t="e">
        <f t="shared" si="1"/>
        <v>#DIV/0!</v>
      </c>
    </row>
    <row r="28" spans="1:19" ht="18" customHeight="1" x14ac:dyDescent="0.15">
      <c r="A28" s="23"/>
      <c r="B28" s="57"/>
      <c r="C28" s="58"/>
      <c r="D28" s="59"/>
      <c r="E28" s="60"/>
      <c r="F28" s="61"/>
      <c r="G28" s="61"/>
      <c r="H28" s="61"/>
      <c r="I28" s="61"/>
      <c r="J28" s="61"/>
      <c r="K28" s="61"/>
      <c r="L28" s="61"/>
      <c r="M28" s="61"/>
      <c r="N28" s="61"/>
      <c r="O28" s="61"/>
      <c r="P28" s="61"/>
      <c r="Q28" s="58"/>
      <c r="R28" s="59">
        <f t="shared" si="0"/>
        <v>0</v>
      </c>
      <c r="S28" s="63" t="e">
        <f t="shared" si="1"/>
        <v>#DIV/0!</v>
      </c>
    </row>
    <row r="29" spans="1:19" ht="18" customHeight="1" x14ac:dyDescent="0.15">
      <c r="A29" s="23"/>
      <c r="B29" s="57"/>
      <c r="C29" s="58"/>
      <c r="D29" s="59"/>
      <c r="E29" s="60"/>
      <c r="F29" s="61"/>
      <c r="G29" s="61"/>
      <c r="H29" s="61"/>
      <c r="I29" s="61"/>
      <c r="J29" s="61"/>
      <c r="K29" s="61"/>
      <c r="L29" s="61"/>
      <c r="M29" s="61"/>
      <c r="N29" s="61"/>
      <c r="O29" s="61"/>
      <c r="P29" s="61"/>
      <c r="Q29" s="58"/>
      <c r="R29" s="59">
        <f t="shared" si="0"/>
        <v>0</v>
      </c>
      <c r="S29" s="63" t="e">
        <f t="shared" si="1"/>
        <v>#DIV/0!</v>
      </c>
    </row>
    <row r="30" spans="1:19" ht="18" customHeight="1" x14ac:dyDescent="0.15">
      <c r="A30" s="23"/>
      <c r="B30" s="57"/>
      <c r="C30" s="58"/>
      <c r="D30" s="64"/>
      <c r="E30" s="60"/>
      <c r="F30" s="61"/>
      <c r="G30" s="61"/>
      <c r="H30" s="61"/>
      <c r="I30" s="61"/>
      <c r="J30" s="61"/>
      <c r="K30" s="61"/>
      <c r="L30" s="61"/>
      <c r="M30" s="61"/>
      <c r="N30" s="61"/>
      <c r="O30" s="61"/>
      <c r="P30" s="61"/>
      <c r="Q30" s="58"/>
      <c r="R30" s="64">
        <f t="shared" si="0"/>
        <v>0</v>
      </c>
      <c r="S30" s="63" t="e">
        <f t="shared" si="1"/>
        <v>#DIV/0!</v>
      </c>
    </row>
    <row r="31" spans="1:19" ht="18" customHeight="1" x14ac:dyDescent="0.15">
      <c r="A31" s="23"/>
      <c r="B31" s="57"/>
      <c r="C31" s="58"/>
      <c r="D31" s="64"/>
      <c r="E31" s="60"/>
      <c r="F31" s="61"/>
      <c r="G31" s="61"/>
      <c r="H31" s="61"/>
      <c r="I31" s="61"/>
      <c r="J31" s="61"/>
      <c r="K31" s="61"/>
      <c r="L31" s="61"/>
      <c r="M31" s="61"/>
      <c r="N31" s="61"/>
      <c r="O31" s="61"/>
      <c r="P31" s="61"/>
      <c r="Q31" s="58"/>
      <c r="R31" s="64">
        <f t="shared" si="0"/>
        <v>0</v>
      </c>
      <c r="S31" s="63" t="e">
        <f t="shared" si="1"/>
        <v>#DIV/0!</v>
      </c>
    </row>
    <row r="32" spans="1:19" ht="18" customHeight="1" thickBot="1" x14ac:dyDescent="0.2">
      <c r="A32" s="23"/>
      <c r="B32" s="65"/>
      <c r="C32" s="52"/>
      <c r="D32" s="66"/>
      <c r="E32" s="54"/>
      <c r="F32" s="54"/>
      <c r="G32" s="54"/>
      <c r="H32" s="54"/>
      <c r="I32" s="54"/>
      <c r="J32" s="54"/>
      <c r="K32" s="54"/>
      <c r="L32" s="54"/>
      <c r="M32" s="54"/>
      <c r="N32" s="54"/>
      <c r="O32" s="54"/>
      <c r="P32" s="54"/>
      <c r="Q32" s="58"/>
      <c r="R32" s="66">
        <f t="shared" si="0"/>
        <v>0</v>
      </c>
      <c r="S32" s="67" t="e">
        <f t="shared" si="1"/>
        <v>#DIV/0!</v>
      </c>
    </row>
    <row r="33" spans="2:19" ht="18" customHeight="1" thickTop="1" x14ac:dyDescent="0.15">
      <c r="B33" s="68" t="s">
        <v>33</v>
      </c>
      <c r="C33" s="69">
        <f t="shared" ref="C33" si="2">SUM(C13:C32)</f>
        <v>2932</v>
      </c>
      <c r="D33" s="70">
        <f t="shared" ref="D33:R33" si="3">SUM(D13:D32)</f>
        <v>680</v>
      </c>
      <c r="E33" s="71">
        <f t="shared" si="3"/>
        <v>2720</v>
      </c>
      <c r="F33" s="71">
        <f t="shared" si="3"/>
        <v>720</v>
      </c>
      <c r="G33" s="71">
        <f t="shared" ref="G33:H33" si="4">SUM(G13:G32)</f>
        <v>688</v>
      </c>
      <c r="H33" s="71">
        <f t="shared" si="4"/>
        <v>0</v>
      </c>
      <c r="I33" s="71">
        <f t="shared" ref="I33:J33" si="5">SUM(I13:I32)</f>
        <v>0</v>
      </c>
      <c r="J33" s="71">
        <f t="shared" si="5"/>
        <v>0</v>
      </c>
      <c r="K33" s="71">
        <f t="shared" ref="K33:O33" si="6">SUM(K13:K32)</f>
        <v>0</v>
      </c>
      <c r="L33" s="71">
        <f t="shared" si="6"/>
        <v>0</v>
      </c>
      <c r="M33" s="71">
        <f t="shared" si="6"/>
        <v>0</v>
      </c>
      <c r="N33" s="71">
        <f t="shared" si="6"/>
        <v>0</v>
      </c>
      <c r="O33" s="71">
        <f t="shared" si="6"/>
        <v>0</v>
      </c>
      <c r="P33" s="71">
        <f t="shared" ref="P33:Q33" si="7">SUM(P13:P32)</f>
        <v>0</v>
      </c>
      <c r="Q33" s="69">
        <f t="shared" si="7"/>
        <v>0</v>
      </c>
      <c r="R33" s="70">
        <f t="shared" si="3"/>
        <v>720</v>
      </c>
      <c r="S33" s="72">
        <f t="shared" si="1"/>
        <v>0.26470588235294118</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Z26" sqref="Z26"/>
    </sheetView>
  </sheetViews>
  <sheetFormatPr defaultColWidth="11.375" defaultRowHeight="18.75" customHeight="1" x14ac:dyDescent="0.15"/>
  <cols>
    <col min="1" max="1" width="2.75" style="73" customWidth="1"/>
    <col min="2" max="2" width="16.625" style="22" customWidth="1"/>
    <col min="3" max="3" width="8.875" style="22" customWidth="1"/>
    <col min="4" max="4" width="2.25" style="22" customWidth="1"/>
    <col min="5" max="5" width="16.625" style="22" customWidth="1"/>
    <col min="6" max="6" width="4.375" style="22" customWidth="1"/>
    <col min="7" max="7" width="9" style="22" customWidth="1"/>
    <col min="8" max="8" width="16.625" style="22" customWidth="1"/>
    <col min="9" max="9" width="12.125" style="22" customWidth="1"/>
    <col min="10" max="16384" width="11.375" style="22"/>
  </cols>
  <sheetData>
    <row r="1" spans="1:9" ht="18.75" customHeight="1" x14ac:dyDescent="0.15">
      <c r="A1" s="73" t="s">
        <v>59</v>
      </c>
      <c r="I1" s="25" t="s">
        <v>91</v>
      </c>
    </row>
    <row r="2" spans="1:9" ht="18.75" customHeight="1" x14ac:dyDescent="0.15">
      <c r="G2" s="25" t="s">
        <v>93</v>
      </c>
      <c r="H2" s="171" t="str">
        <f>'様式１　プログラムを構成する授業科目'!C2</f>
        <v>九州共立大学</v>
      </c>
      <c r="I2" s="172"/>
    </row>
    <row r="3" spans="1:9" ht="18.75" customHeight="1" x14ac:dyDescent="0.15">
      <c r="G3" s="25"/>
      <c r="H3" s="26"/>
      <c r="I3" s="26"/>
    </row>
    <row r="4" spans="1:9" ht="18.600000000000001" customHeight="1" x14ac:dyDescent="0.15">
      <c r="A4" s="155" t="s">
        <v>36</v>
      </c>
      <c r="B4" s="155"/>
      <c r="C4" s="155"/>
      <c r="D4" s="155"/>
      <c r="E4" s="155"/>
      <c r="F4" s="155"/>
      <c r="G4" s="155"/>
      <c r="H4" s="155"/>
      <c r="I4" s="155"/>
    </row>
    <row r="5" spans="1:9" ht="13.15" customHeight="1" x14ac:dyDescent="0.15">
      <c r="B5" s="24"/>
      <c r="C5" s="24"/>
      <c r="D5" s="24"/>
      <c r="E5" s="24"/>
      <c r="F5" s="24"/>
      <c r="G5" s="24"/>
      <c r="H5" s="24"/>
      <c r="I5" s="24"/>
    </row>
    <row r="6" spans="1:9" ht="18" customHeight="1" x14ac:dyDescent="0.15">
      <c r="A6" s="22" t="s">
        <v>0</v>
      </c>
      <c r="B6" s="26" t="s">
        <v>81</v>
      </c>
      <c r="C6" s="192" t="s">
        <v>82</v>
      </c>
      <c r="D6" s="192"/>
      <c r="E6" s="47">
        <v>93</v>
      </c>
      <c r="F6" s="24" t="s">
        <v>1</v>
      </c>
      <c r="G6" s="24" t="s">
        <v>2</v>
      </c>
      <c r="H6" s="47">
        <v>101</v>
      </c>
      <c r="I6" s="26" t="s">
        <v>1</v>
      </c>
    </row>
    <row r="7" spans="1:9" ht="12" customHeight="1" x14ac:dyDescent="0.15">
      <c r="C7" s="48"/>
      <c r="D7" s="48"/>
      <c r="E7" s="48"/>
      <c r="F7" s="48"/>
      <c r="G7" s="48"/>
      <c r="H7" s="48"/>
      <c r="I7" s="74"/>
    </row>
    <row r="8" spans="1:9" ht="18" customHeight="1" x14ac:dyDescent="0.15">
      <c r="A8" s="22" t="s">
        <v>3</v>
      </c>
      <c r="B8" s="26" t="s">
        <v>83</v>
      </c>
      <c r="E8" s="24"/>
      <c r="F8" s="24"/>
      <c r="G8" s="24"/>
      <c r="H8" s="47">
        <v>7</v>
      </c>
      <c r="I8" s="26" t="s">
        <v>1</v>
      </c>
    </row>
    <row r="9" spans="1:9" ht="9" customHeight="1" x14ac:dyDescent="0.15">
      <c r="B9" s="24"/>
      <c r="C9" s="24"/>
      <c r="D9" s="24"/>
      <c r="E9" s="24"/>
      <c r="F9" s="24"/>
      <c r="G9" s="24"/>
      <c r="H9" s="24"/>
      <c r="I9" s="24"/>
    </row>
    <row r="10" spans="1:9" ht="18" customHeight="1" x14ac:dyDescent="0.15">
      <c r="A10" s="22" t="s">
        <v>4</v>
      </c>
      <c r="B10" s="26" t="s">
        <v>84</v>
      </c>
      <c r="C10" s="24"/>
      <c r="D10" s="24"/>
      <c r="E10" s="24"/>
      <c r="F10" s="24"/>
      <c r="G10" s="24"/>
      <c r="H10" s="24"/>
      <c r="I10" s="24"/>
    </row>
    <row r="11" spans="1:9" ht="18" customHeight="1" x14ac:dyDescent="0.15">
      <c r="B11" s="25" t="s">
        <v>41</v>
      </c>
      <c r="C11" s="187" t="s">
        <v>161</v>
      </c>
      <c r="D11" s="190"/>
      <c r="E11" s="191"/>
      <c r="F11" s="74"/>
      <c r="G11" s="25" t="s">
        <v>10</v>
      </c>
      <c r="H11" s="187" t="s">
        <v>177</v>
      </c>
      <c r="I11" s="191"/>
    </row>
    <row r="12" spans="1:9" ht="10.15" customHeight="1" x14ac:dyDescent="0.15">
      <c r="B12" s="25"/>
      <c r="C12" s="26"/>
      <c r="D12" s="74"/>
      <c r="E12" s="74"/>
      <c r="F12" s="74"/>
      <c r="G12" s="25"/>
      <c r="H12" s="26"/>
      <c r="I12" s="74"/>
    </row>
    <row r="13" spans="1:9" ht="18" customHeight="1" x14ac:dyDescent="0.15">
      <c r="A13" s="22" t="s">
        <v>7</v>
      </c>
      <c r="B13" s="26" t="s">
        <v>79</v>
      </c>
      <c r="C13" s="24"/>
      <c r="D13" s="24"/>
      <c r="E13" s="24"/>
      <c r="F13" s="24"/>
      <c r="G13" s="24"/>
      <c r="H13" s="24"/>
      <c r="I13" s="24"/>
    </row>
    <row r="14" spans="1:9" ht="18" customHeight="1" x14ac:dyDescent="0.15">
      <c r="B14" s="187" t="s">
        <v>162</v>
      </c>
      <c r="C14" s="188"/>
      <c r="D14" s="188"/>
      <c r="E14" s="188"/>
      <c r="F14" s="188"/>
      <c r="G14" s="188"/>
      <c r="H14" s="188"/>
      <c r="I14" s="189"/>
    </row>
    <row r="15" spans="1:9" ht="9" customHeight="1" x14ac:dyDescent="0.15">
      <c r="B15" s="24"/>
      <c r="C15" s="24"/>
      <c r="D15" s="24"/>
      <c r="E15" s="24"/>
      <c r="F15" s="24"/>
      <c r="G15" s="24"/>
      <c r="H15" s="24"/>
      <c r="I15" s="24"/>
    </row>
    <row r="16" spans="1:9" ht="18" customHeight="1" x14ac:dyDescent="0.15">
      <c r="B16" s="25" t="s">
        <v>41</v>
      </c>
      <c r="C16" s="187" t="s">
        <v>163</v>
      </c>
      <c r="D16" s="190"/>
      <c r="E16" s="191"/>
      <c r="F16" s="74"/>
      <c r="G16" s="25" t="s">
        <v>10</v>
      </c>
      <c r="H16" s="187" t="s">
        <v>164</v>
      </c>
      <c r="I16" s="191"/>
    </row>
    <row r="17" spans="1:9" ht="18" customHeight="1" x14ac:dyDescent="0.15">
      <c r="B17" s="24"/>
      <c r="C17" s="24"/>
      <c r="D17" s="24"/>
      <c r="E17" s="24"/>
      <c r="F17" s="24"/>
      <c r="G17" s="24"/>
      <c r="H17" s="24"/>
      <c r="I17" s="24"/>
    </row>
    <row r="18" spans="1:9" ht="18.75" customHeight="1" x14ac:dyDescent="0.15">
      <c r="A18" s="22" t="s">
        <v>5</v>
      </c>
      <c r="B18" s="22" t="s">
        <v>40</v>
      </c>
      <c r="I18" s="24"/>
    </row>
    <row r="19" spans="1:9" ht="18.75" customHeight="1" x14ac:dyDescent="0.15">
      <c r="A19" s="22"/>
      <c r="B19" s="173" t="s">
        <v>165</v>
      </c>
      <c r="C19" s="174"/>
      <c r="D19" s="174"/>
      <c r="E19" s="174"/>
      <c r="F19" s="174"/>
      <c r="G19" s="174"/>
      <c r="H19" s="174"/>
      <c r="I19" s="175"/>
    </row>
    <row r="20" spans="1:9" ht="7.5" customHeight="1" x14ac:dyDescent="0.15">
      <c r="B20" s="24"/>
      <c r="C20" s="24"/>
      <c r="D20" s="24"/>
      <c r="E20" s="24"/>
      <c r="F20" s="24"/>
      <c r="G20" s="24"/>
      <c r="H20" s="24"/>
      <c r="I20" s="24"/>
    </row>
    <row r="21" spans="1:9" ht="18.75" customHeight="1" x14ac:dyDescent="0.15">
      <c r="A21" s="22" t="s">
        <v>8</v>
      </c>
      <c r="B21" s="22" t="s">
        <v>25</v>
      </c>
    </row>
    <row r="22" spans="1:9" ht="18.75" customHeight="1" x14ac:dyDescent="0.15">
      <c r="A22" s="75"/>
      <c r="B22" s="176" t="s">
        <v>166</v>
      </c>
      <c r="C22" s="177"/>
      <c r="D22" s="177"/>
      <c r="E22" s="177"/>
      <c r="F22" s="177"/>
      <c r="G22" s="177"/>
      <c r="H22" s="177"/>
      <c r="I22" s="178"/>
    </row>
    <row r="23" spans="1:9" ht="18.75" customHeight="1" x14ac:dyDescent="0.15">
      <c r="A23" s="75"/>
      <c r="B23" s="179"/>
      <c r="C23" s="180"/>
      <c r="D23" s="180"/>
      <c r="E23" s="180"/>
      <c r="F23" s="180"/>
      <c r="G23" s="180"/>
      <c r="H23" s="180"/>
      <c r="I23" s="181"/>
    </row>
    <row r="24" spans="1:9" ht="18.75" customHeight="1" x14ac:dyDescent="0.15">
      <c r="A24" s="75"/>
      <c r="B24" s="179"/>
      <c r="C24" s="180"/>
      <c r="D24" s="180"/>
      <c r="E24" s="180"/>
      <c r="F24" s="180"/>
      <c r="G24" s="180"/>
      <c r="H24" s="180"/>
      <c r="I24" s="181"/>
    </row>
    <row r="25" spans="1:9" ht="18.75" customHeight="1" x14ac:dyDescent="0.15">
      <c r="A25" s="75"/>
      <c r="B25" s="179"/>
      <c r="C25" s="180"/>
      <c r="D25" s="180"/>
      <c r="E25" s="180"/>
      <c r="F25" s="180"/>
      <c r="G25" s="180"/>
      <c r="H25" s="180"/>
      <c r="I25" s="181"/>
    </row>
    <row r="26" spans="1:9" ht="18.75" customHeight="1" x14ac:dyDescent="0.15">
      <c r="A26" s="75"/>
      <c r="B26" s="179"/>
      <c r="C26" s="180"/>
      <c r="D26" s="180"/>
      <c r="E26" s="180"/>
      <c r="F26" s="180"/>
      <c r="G26" s="180"/>
      <c r="H26" s="180"/>
      <c r="I26" s="181"/>
    </row>
    <row r="27" spans="1:9" ht="18.75" customHeight="1" x14ac:dyDescent="0.15">
      <c r="A27" s="75"/>
      <c r="B27" s="179"/>
      <c r="C27" s="180"/>
      <c r="D27" s="180"/>
      <c r="E27" s="180"/>
      <c r="F27" s="180"/>
      <c r="G27" s="180"/>
      <c r="H27" s="180"/>
      <c r="I27" s="181"/>
    </row>
    <row r="28" spans="1:9" ht="18.75" customHeight="1" x14ac:dyDescent="0.15">
      <c r="A28" s="75"/>
      <c r="B28" s="179"/>
      <c r="C28" s="180"/>
      <c r="D28" s="180"/>
      <c r="E28" s="180"/>
      <c r="F28" s="180"/>
      <c r="G28" s="180"/>
      <c r="H28" s="180"/>
      <c r="I28" s="181"/>
    </row>
    <row r="29" spans="1:9" ht="18.75" customHeight="1" x14ac:dyDescent="0.15">
      <c r="A29" s="75"/>
      <c r="B29" s="179"/>
      <c r="C29" s="180"/>
      <c r="D29" s="180"/>
      <c r="E29" s="180"/>
      <c r="F29" s="180"/>
      <c r="G29" s="180"/>
      <c r="H29" s="180"/>
      <c r="I29" s="181"/>
    </row>
    <row r="30" spans="1:9" ht="18.75" customHeight="1" x14ac:dyDescent="0.15">
      <c r="A30" s="75"/>
      <c r="B30" s="182"/>
      <c r="C30" s="183"/>
      <c r="D30" s="183"/>
      <c r="E30" s="183"/>
      <c r="F30" s="183"/>
      <c r="G30" s="183"/>
      <c r="H30" s="183"/>
      <c r="I30" s="181"/>
    </row>
    <row r="31" spans="1:9" ht="18.75" customHeight="1" x14ac:dyDescent="0.15">
      <c r="A31" s="75"/>
      <c r="B31" s="182"/>
      <c r="C31" s="183"/>
      <c r="D31" s="183"/>
      <c r="E31" s="183"/>
      <c r="F31" s="183"/>
      <c r="G31" s="183"/>
      <c r="H31" s="183"/>
      <c r="I31" s="181"/>
    </row>
    <row r="32" spans="1:9" ht="18.75" customHeight="1" x14ac:dyDescent="0.15">
      <c r="A32" s="75"/>
      <c r="B32" s="184"/>
      <c r="C32" s="185"/>
      <c r="D32" s="185"/>
      <c r="E32" s="185"/>
      <c r="F32" s="185"/>
      <c r="G32" s="185"/>
      <c r="H32" s="185"/>
      <c r="I32" s="186"/>
    </row>
    <row r="33" spans="1:9" ht="7.5" customHeight="1" x14ac:dyDescent="0.15">
      <c r="A33" s="75"/>
      <c r="B33" s="75"/>
      <c r="C33" s="75"/>
      <c r="D33" s="75"/>
      <c r="E33" s="75"/>
      <c r="F33" s="75"/>
      <c r="G33" s="75"/>
      <c r="H33" s="75"/>
      <c r="I33" s="75"/>
    </row>
    <row r="34" spans="1:9" ht="18.75" customHeight="1" x14ac:dyDescent="0.15">
      <c r="A34" s="76" t="s">
        <v>6</v>
      </c>
      <c r="B34" s="76" t="s">
        <v>9</v>
      </c>
      <c r="C34" s="26"/>
      <c r="D34" s="76"/>
      <c r="E34" s="76"/>
      <c r="F34" s="76"/>
      <c r="G34" s="76"/>
      <c r="H34" s="76"/>
      <c r="I34" s="76"/>
    </row>
    <row r="35" spans="1:9" ht="18.75" customHeight="1" x14ac:dyDescent="0.15">
      <c r="A35" s="75"/>
      <c r="B35" s="176" t="s">
        <v>178</v>
      </c>
      <c r="C35" s="177"/>
      <c r="D35" s="177"/>
      <c r="E35" s="177"/>
      <c r="F35" s="177"/>
      <c r="G35" s="177"/>
      <c r="H35" s="177"/>
      <c r="I35" s="178"/>
    </row>
    <row r="36" spans="1:9" ht="18.75" customHeight="1" x14ac:dyDescent="0.15">
      <c r="A36" s="75"/>
      <c r="B36" s="182"/>
      <c r="C36" s="183"/>
      <c r="D36" s="183"/>
      <c r="E36" s="183"/>
      <c r="F36" s="183"/>
      <c r="G36" s="183"/>
      <c r="H36" s="183"/>
      <c r="I36" s="181"/>
    </row>
    <row r="37" spans="1:9" ht="18.75" customHeight="1" x14ac:dyDescent="0.15">
      <c r="A37" s="75"/>
      <c r="B37" s="182"/>
      <c r="C37" s="183"/>
      <c r="D37" s="183"/>
      <c r="E37" s="183"/>
      <c r="F37" s="183"/>
      <c r="G37" s="183"/>
      <c r="H37" s="183"/>
      <c r="I37" s="181"/>
    </row>
    <row r="38" spans="1:9" ht="18.75" customHeight="1" x14ac:dyDescent="0.15">
      <c r="A38" s="75"/>
      <c r="B38" s="182"/>
      <c r="C38" s="183"/>
      <c r="D38" s="183"/>
      <c r="E38" s="183"/>
      <c r="F38" s="183"/>
      <c r="G38" s="183"/>
      <c r="H38" s="183"/>
      <c r="I38" s="181"/>
    </row>
    <row r="39" spans="1:9" ht="18.75" customHeight="1" x14ac:dyDescent="0.15">
      <c r="A39" s="75"/>
      <c r="B39" s="182"/>
      <c r="C39" s="183"/>
      <c r="D39" s="183"/>
      <c r="E39" s="183"/>
      <c r="F39" s="183"/>
      <c r="G39" s="183"/>
      <c r="H39" s="183"/>
      <c r="I39" s="181"/>
    </row>
    <row r="40" spans="1:9" ht="18.75" customHeight="1" x14ac:dyDescent="0.15">
      <c r="A40" s="75"/>
      <c r="B40" s="182"/>
      <c r="C40" s="183"/>
      <c r="D40" s="183"/>
      <c r="E40" s="183"/>
      <c r="F40" s="183"/>
      <c r="G40" s="183"/>
      <c r="H40" s="183"/>
      <c r="I40" s="181"/>
    </row>
    <row r="41" spans="1:9" ht="18.75" customHeight="1" x14ac:dyDescent="0.15">
      <c r="A41" s="75"/>
      <c r="B41" s="182"/>
      <c r="C41" s="183"/>
      <c r="D41" s="183"/>
      <c r="E41" s="183"/>
      <c r="F41" s="183"/>
      <c r="G41" s="183"/>
      <c r="H41" s="183"/>
      <c r="I41" s="181"/>
    </row>
    <row r="42" spans="1:9" ht="18.75" customHeight="1" x14ac:dyDescent="0.15">
      <c r="A42" s="75"/>
      <c r="B42" s="182"/>
      <c r="C42" s="183"/>
      <c r="D42" s="183"/>
      <c r="E42" s="183"/>
      <c r="F42" s="183"/>
      <c r="G42" s="183"/>
      <c r="H42" s="183"/>
      <c r="I42" s="181"/>
    </row>
    <row r="43" spans="1:9" ht="18.75" customHeight="1" x14ac:dyDescent="0.15">
      <c r="A43" s="75"/>
      <c r="B43" s="182"/>
      <c r="C43" s="183"/>
      <c r="D43" s="183"/>
      <c r="E43" s="183"/>
      <c r="F43" s="183"/>
      <c r="G43" s="183"/>
      <c r="H43" s="183"/>
      <c r="I43" s="181"/>
    </row>
    <row r="44" spans="1:9" ht="18.75" customHeight="1" x14ac:dyDescent="0.15">
      <c r="A44" s="75"/>
      <c r="B44" s="182"/>
      <c r="C44" s="183"/>
      <c r="D44" s="183"/>
      <c r="E44" s="183"/>
      <c r="F44" s="183"/>
      <c r="G44" s="183"/>
      <c r="H44" s="183"/>
      <c r="I44" s="181"/>
    </row>
    <row r="45" spans="1:9" ht="18.75" customHeight="1" x14ac:dyDescent="0.15">
      <c r="A45" s="75"/>
      <c r="B45" s="182"/>
      <c r="C45" s="183"/>
      <c r="D45" s="183"/>
      <c r="E45" s="183"/>
      <c r="F45" s="183"/>
      <c r="G45" s="183"/>
      <c r="H45" s="183"/>
      <c r="I45" s="181"/>
    </row>
    <row r="46" spans="1:9" ht="18.75" customHeight="1" x14ac:dyDescent="0.15">
      <c r="A46" s="75"/>
      <c r="B46" s="184"/>
      <c r="C46" s="185"/>
      <c r="D46" s="185"/>
      <c r="E46" s="185"/>
      <c r="F46" s="185"/>
      <c r="G46" s="185"/>
      <c r="H46" s="185"/>
      <c r="I46" s="186"/>
    </row>
    <row r="47" spans="1:9" ht="7.5" customHeight="1" x14ac:dyDescent="0.15">
      <c r="A47" s="77"/>
      <c r="B47" s="77"/>
      <c r="C47" s="77"/>
      <c r="D47" s="77"/>
      <c r="E47" s="77"/>
      <c r="F47" s="77"/>
      <c r="G47" s="77"/>
      <c r="H47" s="77"/>
      <c r="I47" s="77"/>
    </row>
    <row r="48" spans="1:9" ht="18.75" customHeight="1" x14ac:dyDescent="0.15">
      <c r="A48" s="22" t="s">
        <v>31</v>
      </c>
      <c r="B48" s="22" t="s">
        <v>186</v>
      </c>
    </row>
    <row r="49" spans="1:15" s="24" customFormat="1" ht="18.75" customHeight="1" x14ac:dyDescent="0.15">
      <c r="B49" s="78" t="s">
        <v>128</v>
      </c>
      <c r="C49" s="214">
        <f>'様式２ 履修者等数の実績'!S33</f>
        <v>0.26470588235294118</v>
      </c>
      <c r="D49" s="214"/>
      <c r="E49" s="78" t="s">
        <v>60</v>
      </c>
      <c r="F49" s="214">
        <v>0.5</v>
      </c>
      <c r="G49" s="214"/>
      <c r="H49" s="78" t="s">
        <v>80</v>
      </c>
      <c r="I49" s="79">
        <v>0.75</v>
      </c>
      <c r="J49" s="22"/>
      <c r="M49" s="22"/>
      <c r="N49" s="80"/>
    </row>
    <row r="50" spans="1:15" s="24" customFormat="1" ht="18.75" customHeight="1" x14ac:dyDescent="0.15">
      <c r="B50" s="81" t="s">
        <v>115</v>
      </c>
      <c r="C50" s="197">
        <v>1</v>
      </c>
      <c r="D50" s="197"/>
      <c r="E50" s="81" t="s">
        <v>129</v>
      </c>
      <c r="F50" s="197">
        <v>1</v>
      </c>
      <c r="G50" s="197"/>
      <c r="H50" s="81" t="s">
        <v>61</v>
      </c>
      <c r="I50" s="82">
        <f>'様式２ 履修者等数の実績'!E33</f>
        <v>2720</v>
      </c>
      <c r="J50" s="22"/>
      <c r="M50" s="22"/>
      <c r="N50" s="80"/>
    </row>
    <row r="51" spans="1:15" ht="18.75" customHeight="1" x14ac:dyDescent="0.15">
      <c r="A51" s="22"/>
      <c r="B51" s="194" t="s">
        <v>62</v>
      </c>
      <c r="C51" s="195"/>
      <c r="D51" s="195"/>
      <c r="E51" s="195"/>
      <c r="F51" s="195"/>
      <c r="G51" s="195"/>
      <c r="H51" s="195"/>
      <c r="I51" s="196"/>
      <c r="N51" s="80"/>
      <c r="O51" s="24"/>
    </row>
    <row r="52" spans="1:15" ht="18.75" customHeight="1" x14ac:dyDescent="0.15">
      <c r="A52" s="22"/>
      <c r="B52" s="215" t="s">
        <v>167</v>
      </c>
      <c r="C52" s="216"/>
      <c r="D52" s="216"/>
      <c r="E52" s="216"/>
      <c r="F52" s="216"/>
      <c r="G52" s="216"/>
      <c r="H52" s="216"/>
      <c r="I52" s="217"/>
      <c r="N52" s="80"/>
      <c r="O52" s="24"/>
    </row>
    <row r="53" spans="1:15" ht="18.75" customHeight="1" x14ac:dyDescent="0.15">
      <c r="A53" s="22"/>
      <c r="B53" s="218"/>
      <c r="C53" s="219"/>
      <c r="D53" s="219"/>
      <c r="E53" s="219"/>
      <c r="F53" s="219"/>
      <c r="G53" s="219"/>
      <c r="H53" s="219"/>
      <c r="I53" s="220"/>
      <c r="N53" s="80"/>
      <c r="O53" s="24"/>
    </row>
    <row r="54" spans="1:15" ht="18.75" customHeight="1" x14ac:dyDescent="0.15">
      <c r="A54" s="22"/>
      <c r="B54" s="218"/>
      <c r="C54" s="219"/>
      <c r="D54" s="219"/>
      <c r="E54" s="219"/>
      <c r="F54" s="219"/>
      <c r="G54" s="219"/>
      <c r="H54" s="219"/>
      <c r="I54" s="220"/>
    </row>
    <row r="55" spans="1:15" ht="18.75" customHeight="1" x14ac:dyDescent="0.15">
      <c r="A55" s="22"/>
      <c r="B55" s="218"/>
      <c r="C55" s="219"/>
      <c r="D55" s="219"/>
      <c r="E55" s="219"/>
      <c r="F55" s="219"/>
      <c r="G55" s="219"/>
      <c r="H55" s="219"/>
      <c r="I55" s="220"/>
    </row>
    <row r="56" spans="1:15" ht="18.75" customHeight="1" x14ac:dyDescent="0.15">
      <c r="A56" s="22"/>
      <c r="B56" s="218"/>
      <c r="C56" s="219"/>
      <c r="D56" s="219"/>
      <c r="E56" s="219"/>
      <c r="F56" s="219"/>
      <c r="G56" s="219"/>
      <c r="H56" s="219"/>
      <c r="I56" s="220"/>
    </row>
    <row r="57" spans="1:15" ht="18.75" customHeight="1" x14ac:dyDescent="0.15">
      <c r="A57" s="22"/>
      <c r="B57" s="218"/>
      <c r="C57" s="219"/>
      <c r="D57" s="219"/>
      <c r="E57" s="219"/>
      <c r="F57" s="219"/>
      <c r="G57" s="219"/>
      <c r="H57" s="219"/>
      <c r="I57" s="220"/>
    </row>
    <row r="58" spans="1:15" ht="18.75" customHeight="1" x14ac:dyDescent="0.15">
      <c r="A58" s="22"/>
      <c r="B58" s="218"/>
      <c r="C58" s="219"/>
      <c r="D58" s="219"/>
      <c r="E58" s="219"/>
      <c r="F58" s="219"/>
      <c r="G58" s="219"/>
      <c r="H58" s="219"/>
      <c r="I58" s="220"/>
    </row>
    <row r="59" spans="1:15" ht="18.75" customHeight="1" x14ac:dyDescent="0.15">
      <c r="A59" s="22"/>
      <c r="B59" s="218"/>
      <c r="C59" s="219"/>
      <c r="D59" s="219"/>
      <c r="E59" s="219"/>
      <c r="F59" s="219"/>
      <c r="G59" s="219"/>
      <c r="H59" s="219"/>
      <c r="I59" s="220"/>
    </row>
    <row r="60" spans="1:15" ht="18.75" customHeight="1" x14ac:dyDescent="0.15">
      <c r="A60" s="22"/>
      <c r="B60" s="218"/>
      <c r="C60" s="219"/>
      <c r="D60" s="219"/>
      <c r="E60" s="219"/>
      <c r="F60" s="219"/>
      <c r="G60" s="219"/>
      <c r="H60" s="219"/>
      <c r="I60" s="220"/>
    </row>
    <row r="61" spans="1:15" ht="18.75" customHeight="1" x14ac:dyDescent="0.15">
      <c r="A61" s="22"/>
      <c r="B61" s="218"/>
      <c r="C61" s="219"/>
      <c r="D61" s="219"/>
      <c r="E61" s="219"/>
      <c r="F61" s="219"/>
      <c r="G61" s="219"/>
      <c r="H61" s="219"/>
      <c r="I61" s="220"/>
    </row>
    <row r="62" spans="1:15" ht="18.75" customHeight="1" x14ac:dyDescent="0.15">
      <c r="A62" s="22"/>
      <c r="B62" s="218"/>
      <c r="C62" s="219"/>
      <c r="D62" s="219"/>
      <c r="E62" s="219"/>
      <c r="F62" s="219"/>
      <c r="G62" s="219"/>
      <c r="H62" s="219"/>
      <c r="I62" s="220"/>
    </row>
    <row r="63" spans="1:15" ht="18.75" customHeight="1" x14ac:dyDescent="0.15">
      <c r="A63" s="22"/>
      <c r="B63" s="221"/>
      <c r="C63" s="222"/>
      <c r="D63" s="222"/>
      <c r="E63" s="222"/>
      <c r="F63" s="222"/>
      <c r="G63" s="222"/>
      <c r="H63" s="222"/>
      <c r="I63" s="223"/>
    </row>
    <row r="64" spans="1:15" ht="7.5" customHeight="1" x14ac:dyDescent="0.15">
      <c r="A64" s="75"/>
      <c r="B64" s="75"/>
      <c r="C64" s="75"/>
      <c r="D64" s="75"/>
      <c r="E64" s="75"/>
      <c r="F64" s="75"/>
      <c r="G64" s="75"/>
      <c r="H64" s="75"/>
      <c r="I64" s="75"/>
    </row>
    <row r="65" spans="1:9" ht="18.75" customHeight="1" x14ac:dyDescent="0.15">
      <c r="A65" s="76" t="s">
        <v>34</v>
      </c>
      <c r="B65" s="22" t="s">
        <v>37</v>
      </c>
      <c r="I65" s="76"/>
    </row>
    <row r="66" spans="1:9" ht="18.75" customHeight="1" x14ac:dyDescent="0.15">
      <c r="A66" s="77"/>
      <c r="B66" s="198" t="s">
        <v>179</v>
      </c>
      <c r="C66" s="199"/>
      <c r="D66" s="199"/>
      <c r="E66" s="199"/>
      <c r="F66" s="199"/>
      <c r="G66" s="199"/>
      <c r="H66" s="199"/>
      <c r="I66" s="200"/>
    </row>
    <row r="67" spans="1:9" ht="18.75" customHeight="1" x14ac:dyDescent="0.15">
      <c r="A67" s="77"/>
      <c r="B67" s="201"/>
      <c r="C67" s="202"/>
      <c r="D67" s="202"/>
      <c r="E67" s="202"/>
      <c r="F67" s="202"/>
      <c r="G67" s="202"/>
      <c r="H67" s="202"/>
      <c r="I67" s="203"/>
    </row>
    <row r="68" spans="1:9" ht="18.75" customHeight="1" x14ac:dyDescent="0.15">
      <c r="A68" s="77"/>
      <c r="B68" s="201"/>
      <c r="C68" s="202"/>
      <c r="D68" s="202"/>
      <c r="E68" s="202"/>
      <c r="F68" s="202"/>
      <c r="G68" s="202"/>
      <c r="H68" s="202"/>
      <c r="I68" s="203"/>
    </row>
    <row r="69" spans="1:9" ht="18.75" customHeight="1" x14ac:dyDescent="0.15">
      <c r="A69" s="77"/>
      <c r="B69" s="201"/>
      <c r="C69" s="202"/>
      <c r="D69" s="202"/>
      <c r="E69" s="202"/>
      <c r="F69" s="202"/>
      <c r="G69" s="202"/>
      <c r="H69" s="202"/>
      <c r="I69" s="203"/>
    </row>
    <row r="70" spans="1:9" ht="18.75" customHeight="1" x14ac:dyDescent="0.15">
      <c r="A70" s="77"/>
      <c r="B70" s="201"/>
      <c r="C70" s="202"/>
      <c r="D70" s="202"/>
      <c r="E70" s="202"/>
      <c r="F70" s="202"/>
      <c r="G70" s="202"/>
      <c r="H70" s="202"/>
      <c r="I70" s="203"/>
    </row>
    <row r="71" spans="1:9" ht="18.75" customHeight="1" x14ac:dyDescent="0.15">
      <c r="A71" s="77"/>
      <c r="B71" s="201"/>
      <c r="C71" s="202"/>
      <c r="D71" s="202"/>
      <c r="E71" s="202"/>
      <c r="F71" s="202"/>
      <c r="G71" s="202"/>
      <c r="H71" s="202"/>
      <c r="I71" s="203"/>
    </row>
    <row r="72" spans="1:9" ht="18.75" customHeight="1" x14ac:dyDescent="0.15">
      <c r="A72" s="77"/>
      <c r="B72" s="201"/>
      <c r="C72" s="202"/>
      <c r="D72" s="202"/>
      <c r="E72" s="202"/>
      <c r="F72" s="202"/>
      <c r="G72" s="202"/>
      <c r="H72" s="202"/>
      <c r="I72" s="203"/>
    </row>
    <row r="73" spans="1:9" ht="18.75" customHeight="1" x14ac:dyDescent="0.15">
      <c r="A73" s="77"/>
      <c r="B73" s="201"/>
      <c r="C73" s="202"/>
      <c r="D73" s="202"/>
      <c r="E73" s="202"/>
      <c r="F73" s="202"/>
      <c r="G73" s="202"/>
      <c r="H73" s="202"/>
      <c r="I73" s="203"/>
    </row>
    <row r="74" spans="1:9" ht="18.75" customHeight="1" x14ac:dyDescent="0.15">
      <c r="A74" s="77"/>
      <c r="B74" s="201"/>
      <c r="C74" s="202"/>
      <c r="D74" s="202"/>
      <c r="E74" s="202"/>
      <c r="F74" s="202"/>
      <c r="G74" s="202"/>
      <c r="H74" s="202"/>
      <c r="I74" s="203"/>
    </row>
    <row r="75" spans="1:9" ht="18.75" customHeight="1" x14ac:dyDescent="0.15">
      <c r="A75" s="77"/>
      <c r="B75" s="201"/>
      <c r="C75" s="202"/>
      <c r="D75" s="202"/>
      <c r="E75" s="202"/>
      <c r="F75" s="202"/>
      <c r="G75" s="202"/>
      <c r="H75" s="202"/>
      <c r="I75" s="203"/>
    </row>
    <row r="76" spans="1:9" ht="18.75" customHeight="1" x14ac:dyDescent="0.15">
      <c r="A76" s="77"/>
      <c r="B76" s="201"/>
      <c r="C76" s="202"/>
      <c r="D76" s="202"/>
      <c r="E76" s="202"/>
      <c r="F76" s="202"/>
      <c r="G76" s="202"/>
      <c r="H76" s="202"/>
      <c r="I76" s="203"/>
    </row>
    <row r="77" spans="1:9" ht="18.75" customHeight="1" x14ac:dyDescent="0.15">
      <c r="A77" s="77"/>
      <c r="B77" s="204"/>
      <c r="C77" s="205"/>
      <c r="D77" s="205"/>
      <c r="E77" s="205"/>
      <c r="F77" s="205"/>
      <c r="G77" s="205"/>
      <c r="H77" s="205"/>
      <c r="I77" s="206"/>
    </row>
    <row r="78" spans="1:9" ht="7.5" customHeight="1" x14ac:dyDescent="0.15">
      <c r="A78" s="77"/>
      <c r="B78" s="77"/>
      <c r="C78" s="77"/>
      <c r="D78" s="77"/>
      <c r="E78" s="77"/>
      <c r="F78" s="77"/>
      <c r="G78" s="77"/>
      <c r="H78" s="77"/>
      <c r="I78" s="77"/>
    </row>
    <row r="79" spans="1:9" ht="18.75" customHeight="1" x14ac:dyDescent="0.15">
      <c r="A79" s="22" t="s">
        <v>11</v>
      </c>
      <c r="B79" s="22" t="s">
        <v>39</v>
      </c>
    </row>
    <row r="80" spans="1:9" ht="18.75" customHeight="1" x14ac:dyDescent="0.15">
      <c r="A80" s="22"/>
      <c r="B80" s="198" t="s">
        <v>168</v>
      </c>
      <c r="C80" s="199"/>
      <c r="D80" s="199"/>
      <c r="E80" s="199"/>
      <c r="F80" s="199"/>
      <c r="G80" s="199"/>
      <c r="H80" s="199"/>
      <c r="I80" s="207"/>
    </row>
    <row r="81" spans="1:9" ht="18.75" customHeight="1" x14ac:dyDescent="0.15">
      <c r="A81" s="22"/>
      <c r="B81" s="208"/>
      <c r="C81" s="209"/>
      <c r="D81" s="209"/>
      <c r="E81" s="209"/>
      <c r="F81" s="209"/>
      <c r="G81" s="209"/>
      <c r="H81" s="209"/>
      <c r="I81" s="210"/>
    </row>
    <row r="82" spans="1:9" ht="18.75" customHeight="1" x14ac:dyDescent="0.15">
      <c r="A82" s="22"/>
      <c r="B82" s="208"/>
      <c r="C82" s="209"/>
      <c r="D82" s="209"/>
      <c r="E82" s="209"/>
      <c r="F82" s="209"/>
      <c r="G82" s="209"/>
      <c r="H82" s="209"/>
      <c r="I82" s="210"/>
    </row>
    <row r="83" spans="1:9" ht="18.75" customHeight="1" x14ac:dyDescent="0.15">
      <c r="A83" s="22"/>
      <c r="B83" s="208"/>
      <c r="C83" s="209"/>
      <c r="D83" s="209"/>
      <c r="E83" s="209"/>
      <c r="F83" s="209"/>
      <c r="G83" s="209"/>
      <c r="H83" s="209"/>
      <c r="I83" s="210"/>
    </row>
    <row r="84" spans="1:9" ht="18.75" customHeight="1" x14ac:dyDescent="0.15">
      <c r="A84" s="22"/>
      <c r="B84" s="208"/>
      <c r="C84" s="209"/>
      <c r="D84" s="209"/>
      <c r="E84" s="209"/>
      <c r="F84" s="209"/>
      <c r="G84" s="209"/>
      <c r="H84" s="209"/>
      <c r="I84" s="210"/>
    </row>
    <row r="85" spans="1:9" ht="18.75" customHeight="1" x14ac:dyDescent="0.15">
      <c r="A85" s="22"/>
      <c r="B85" s="208"/>
      <c r="C85" s="209"/>
      <c r="D85" s="209"/>
      <c r="E85" s="209"/>
      <c r="F85" s="209"/>
      <c r="G85" s="209"/>
      <c r="H85" s="209"/>
      <c r="I85" s="210"/>
    </row>
    <row r="86" spans="1:9" ht="18.75" customHeight="1" x14ac:dyDescent="0.15">
      <c r="A86" s="22"/>
      <c r="B86" s="208"/>
      <c r="C86" s="209"/>
      <c r="D86" s="209"/>
      <c r="E86" s="209"/>
      <c r="F86" s="209"/>
      <c r="G86" s="209"/>
      <c r="H86" s="209"/>
      <c r="I86" s="210"/>
    </row>
    <row r="87" spans="1:9" ht="18.75" customHeight="1" x14ac:dyDescent="0.15">
      <c r="A87" s="22"/>
      <c r="B87" s="208"/>
      <c r="C87" s="209"/>
      <c r="D87" s="209"/>
      <c r="E87" s="209"/>
      <c r="F87" s="209"/>
      <c r="G87" s="209"/>
      <c r="H87" s="209"/>
      <c r="I87" s="210"/>
    </row>
    <row r="88" spans="1:9" ht="18.75" customHeight="1" x14ac:dyDescent="0.15">
      <c r="A88" s="22"/>
      <c r="B88" s="208"/>
      <c r="C88" s="209"/>
      <c r="D88" s="209"/>
      <c r="E88" s="209"/>
      <c r="F88" s="209"/>
      <c r="G88" s="209"/>
      <c r="H88" s="209"/>
      <c r="I88" s="210"/>
    </row>
    <row r="89" spans="1:9" ht="18.75" customHeight="1" x14ac:dyDescent="0.15">
      <c r="A89" s="22"/>
      <c r="B89" s="208"/>
      <c r="C89" s="209"/>
      <c r="D89" s="209"/>
      <c r="E89" s="209"/>
      <c r="F89" s="209"/>
      <c r="G89" s="209"/>
      <c r="H89" s="209"/>
      <c r="I89" s="210"/>
    </row>
    <row r="90" spans="1:9" ht="18.75" customHeight="1" x14ac:dyDescent="0.15">
      <c r="A90" s="77"/>
      <c r="B90" s="208"/>
      <c r="C90" s="209"/>
      <c r="D90" s="209"/>
      <c r="E90" s="209"/>
      <c r="F90" s="209"/>
      <c r="G90" s="209"/>
      <c r="H90" s="209"/>
      <c r="I90" s="210"/>
    </row>
    <row r="91" spans="1:9" ht="18.75" customHeight="1" x14ac:dyDescent="0.15">
      <c r="A91" s="77"/>
      <c r="B91" s="211"/>
      <c r="C91" s="212"/>
      <c r="D91" s="212"/>
      <c r="E91" s="212"/>
      <c r="F91" s="212"/>
      <c r="G91" s="212"/>
      <c r="H91" s="212"/>
      <c r="I91" s="213"/>
    </row>
    <row r="92" spans="1:9" ht="7.5" customHeight="1" x14ac:dyDescent="0.15">
      <c r="A92" s="77"/>
      <c r="B92" s="77"/>
      <c r="C92" s="77"/>
      <c r="D92" s="77"/>
      <c r="E92" s="77"/>
      <c r="F92" s="77"/>
      <c r="G92" s="77"/>
      <c r="H92" s="77"/>
      <c r="I92" s="77"/>
    </row>
    <row r="93" spans="1:9" ht="18.75" customHeight="1" x14ac:dyDescent="0.15">
      <c r="A93" s="22" t="s">
        <v>42</v>
      </c>
      <c r="B93" s="22" t="s">
        <v>13</v>
      </c>
    </row>
    <row r="94" spans="1:9" ht="18.75" customHeight="1" x14ac:dyDescent="0.15">
      <c r="A94" s="22"/>
      <c r="B94" s="176" t="s">
        <v>180</v>
      </c>
      <c r="C94" s="177"/>
      <c r="D94" s="177"/>
      <c r="E94" s="177"/>
      <c r="F94" s="177"/>
      <c r="G94" s="177"/>
      <c r="H94" s="177"/>
      <c r="I94" s="178"/>
    </row>
    <row r="95" spans="1:9" ht="18.75" customHeight="1" x14ac:dyDescent="0.15">
      <c r="A95" s="22"/>
      <c r="B95" s="182"/>
      <c r="C95" s="183"/>
      <c r="D95" s="183"/>
      <c r="E95" s="183"/>
      <c r="F95" s="183"/>
      <c r="G95" s="183"/>
      <c r="H95" s="183"/>
      <c r="I95" s="181"/>
    </row>
    <row r="96" spans="1:9" ht="18.75" customHeight="1" x14ac:dyDescent="0.15">
      <c r="A96" s="22"/>
      <c r="B96" s="182"/>
      <c r="C96" s="183"/>
      <c r="D96" s="183"/>
      <c r="E96" s="183"/>
      <c r="F96" s="183"/>
      <c r="G96" s="183"/>
      <c r="H96" s="183"/>
      <c r="I96" s="181"/>
    </row>
    <row r="97" spans="1:9" ht="18.75" customHeight="1" x14ac:dyDescent="0.15">
      <c r="A97" s="22"/>
      <c r="B97" s="182"/>
      <c r="C97" s="183"/>
      <c r="D97" s="183"/>
      <c r="E97" s="183"/>
      <c r="F97" s="183"/>
      <c r="G97" s="183"/>
      <c r="H97" s="183"/>
      <c r="I97" s="181"/>
    </row>
    <row r="98" spans="1:9" ht="18.75" customHeight="1" x14ac:dyDescent="0.15">
      <c r="A98" s="22"/>
      <c r="B98" s="182"/>
      <c r="C98" s="183"/>
      <c r="D98" s="183"/>
      <c r="E98" s="183"/>
      <c r="F98" s="183"/>
      <c r="G98" s="183"/>
      <c r="H98" s="183"/>
      <c r="I98" s="181"/>
    </row>
    <row r="99" spans="1:9" ht="18.75" customHeight="1" x14ac:dyDescent="0.15">
      <c r="A99" s="22"/>
      <c r="B99" s="182"/>
      <c r="C99" s="183"/>
      <c r="D99" s="183"/>
      <c r="E99" s="183"/>
      <c r="F99" s="183"/>
      <c r="G99" s="183"/>
      <c r="H99" s="183"/>
      <c r="I99" s="181"/>
    </row>
    <row r="100" spans="1:9" ht="18.75" customHeight="1" x14ac:dyDescent="0.15">
      <c r="A100" s="22"/>
      <c r="B100" s="182"/>
      <c r="C100" s="183"/>
      <c r="D100" s="183"/>
      <c r="E100" s="183"/>
      <c r="F100" s="183"/>
      <c r="G100" s="183"/>
      <c r="H100" s="183"/>
      <c r="I100" s="181"/>
    </row>
    <row r="101" spans="1:9" ht="18.75" customHeight="1" x14ac:dyDescent="0.15">
      <c r="A101" s="22"/>
      <c r="B101" s="182"/>
      <c r="C101" s="183"/>
      <c r="D101" s="183"/>
      <c r="E101" s="183"/>
      <c r="F101" s="183"/>
      <c r="G101" s="183"/>
      <c r="H101" s="183"/>
      <c r="I101" s="181"/>
    </row>
    <row r="102" spans="1:9" ht="18.75" customHeight="1" x14ac:dyDescent="0.15">
      <c r="A102" s="22"/>
      <c r="B102" s="182"/>
      <c r="C102" s="183"/>
      <c r="D102" s="183"/>
      <c r="E102" s="183"/>
      <c r="F102" s="183"/>
      <c r="G102" s="183"/>
      <c r="H102" s="183"/>
      <c r="I102" s="181"/>
    </row>
    <row r="103" spans="1:9" ht="18.75" customHeight="1" x14ac:dyDescent="0.15">
      <c r="A103" s="22"/>
      <c r="B103" s="182"/>
      <c r="C103" s="183"/>
      <c r="D103" s="183"/>
      <c r="E103" s="183"/>
      <c r="F103" s="183"/>
      <c r="G103" s="183"/>
      <c r="H103" s="183"/>
      <c r="I103" s="181"/>
    </row>
    <row r="104" spans="1:9" ht="18.75" customHeight="1" x14ac:dyDescent="0.15">
      <c r="A104" s="22"/>
      <c r="B104" s="182"/>
      <c r="C104" s="183"/>
      <c r="D104" s="183"/>
      <c r="E104" s="183"/>
      <c r="F104" s="183"/>
      <c r="G104" s="183"/>
      <c r="H104" s="183"/>
      <c r="I104" s="181"/>
    </row>
    <row r="105" spans="1:9" ht="18.75" customHeight="1" x14ac:dyDescent="0.15">
      <c r="A105" s="77"/>
      <c r="B105" s="184"/>
      <c r="C105" s="185"/>
      <c r="D105" s="185"/>
      <c r="E105" s="185"/>
      <c r="F105" s="185"/>
      <c r="G105" s="185"/>
      <c r="H105" s="185"/>
      <c r="I105" s="186"/>
    </row>
    <row r="106" spans="1:9" ht="7.5" customHeight="1" x14ac:dyDescent="0.15">
      <c r="A106" s="77"/>
      <c r="B106" s="77"/>
      <c r="C106" s="77"/>
      <c r="D106" s="77"/>
      <c r="E106" s="77"/>
      <c r="F106" s="77"/>
      <c r="G106" s="77"/>
      <c r="H106" s="77"/>
      <c r="I106" s="77"/>
    </row>
    <row r="107" spans="1:9" ht="18.75" customHeight="1" x14ac:dyDescent="0.15">
      <c r="A107" s="22" t="s">
        <v>30</v>
      </c>
      <c r="B107" s="193" t="s">
        <v>44</v>
      </c>
      <c r="C107" s="193"/>
      <c r="D107" s="193"/>
      <c r="E107" s="193"/>
      <c r="F107" s="193"/>
      <c r="G107" s="193"/>
      <c r="H107" s="193"/>
      <c r="I107" s="193"/>
    </row>
    <row r="108" spans="1:9" ht="18.75" customHeight="1" x14ac:dyDescent="0.15">
      <c r="A108" s="77"/>
      <c r="B108" s="176" t="s">
        <v>169</v>
      </c>
      <c r="C108" s="177"/>
      <c r="D108" s="177"/>
      <c r="E108" s="177"/>
      <c r="F108" s="177"/>
      <c r="G108" s="177"/>
      <c r="H108" s="177"/>
      <c r="I108" s="178"/>
    </row>
    <row r="109" spans="1:9" ht="18.75" customHeight="1" x14ac:dyDescent="0.15">
      <c r="A109" s="77"/>
      <c r="B109" s="182"/>
      <c r="C109" s="183"/>
      <c r="D109" s="183"/>
      <c r="E109" s="183"/>
      <c r="F109" s="183"/>
      <c r="G109" s="183"/>
      <c r="H109" s="183"/>
      <c r="I109" s="181"/>
    </row>
    <row r="110" spans="1:9" ht="18.75" customHeight="1" x14ac:dyDescent="0.15">
      <c r="A110" s="77"/>
      <c r="B110" s="182"/>
      <c r="C110" s="183"/>
      <c r="D110" s="183"/>
      <c r="E110" s="183"/>
      <c r="F110" s="183"/>
      <c r="G110" s="183"/>
      <c r="H110" s="183"/>
      <c r="I110" s="181"/>
    </row>
    <row r="111" spans="1:9" ht="18.75" customHeight="1" x14ac:dyDescent="0.15">
      <c r="A111" s="77"/>
      <c r="B111" s="182"/>
      <c r="C111" s="183"/>
      <c r="D111" s="183"/>
      <c r="E111" s="183"/>
      <c r="F111" s="183"/>
      <c r="G111" s="183"/>
      <c r="H111" s="183"/>
      <c r="I111" s="181"/>
    </row>
    <row r="112" spans="1:9" ht="18.75" customHeight="1" x14ac:dyDescent="0.15">
      <c r="A112" s="77"/>
      <c r="B112" s="182"/>
      <c r="C112" s="183"/>
      <c r="D112" s="183"/>
      <c r="E112" s="183"/>
      <c r="F112" s="183"/>
      <c r="G112" s="183"/>
      <c r="H112" s="183"/>
      <c r="I112" s="181"/>
    </row>
    <row r="113" spans="1:9" ht="18.75" customHeight="1" x14ac:dyDescent="0.15">
      <c r="A113" s="77"/>
      <c r="B113" s="182"/>
      <c r="C113" s="183"/>
      <c r="D113" s="183"/>
      <c r="E113" s="183"/>
      <c r="F113" s="183"/>
      <c r="G113" s="183"/>
      <c r="H113" s="183"/>
      <c r="I113" s="181"/>
    </row>
    <row r="114" spans="1:9" ht="18.75" customHeight="1" x14ac:dyDescent="0.15">
      <c r="A114" s="77"/>
      <c r="B114" s="182"/>
      <c r="C114" s="183"/>
      <c r="D114" s="183"/>
      <c r="E114" s="183"/>
      <c r="F114" s="183"/>
      <c r="G114" s="183"/>
      <c r="H114" s="183"/>
      <c r="I114" s="181"/>
    </row>
    <row r="115" spans="1:9" ht="18.75" customHeight="1" x14ac:dyDescent="0.15">
      <c r="A115" s="77"/>
      <c r="B115" s="182"/>
      <c r="C115" s="183"/>
      <c r="D115" s="183"/>
      <c r="E115" s="183"/>
      <c r="F115" s="183"/>
      <c r="G115" s="183"/>
      <c r="H115" s="183"/>
      <c r="I115" s="181"/>
    </row>
    <row r="116" spans="1:9" ht="18.75" customHeight="1" x14ac:dyDescent="0.15">
      <c r="A116" s="77"/>
      <c r="B116" s="182"/>
      <c r="C116" s="183"/>
      <c r="D116" s="183"/>
      <c r="E116" s="183"/>
      <c r="F116" s="183"/>
      <c r="G116" s="183"/>
      <c r="H116" s="183"/>
      <c r="I116" s="181"/>
    </row>
    <row r="117" spans="1:9" ht="18.75" customHeight="1" x14ac:dyDescent="0.15">
      <c r="A117" s="77"/>
      <c r="B117" s="182"/>
      <c r="C117" s="183"/>
      <c r="D117" s="183"/>
      <c r="E117" s="183"/>
      <c r="F117" s="183"/>
      <c r="G117" s="183"/>
      <c r="H117" s="183"/>
      <c r="I117" s="181"/>
    </row>
    <row r="118" spans="1:9" ht="18.75" customHeight="1" x14ac:dyDescent="0.15">
      <c r="A118" s="77"/>
      <c r="B118" s="182"/>
      <c r="C118" s="183"/>
      <c r="D118" s="183"/>
      <c r="E118" s="183"/>
      <c r="F118" s="183"/>
      <c r="G118" s="183"/>
      <c r="H118" s="183"/>
      <c r="I118" s="181"/>
    </row>
    <row r="119" spans="1:9" ht="18.75" customHeight="1" x14ac:dyDescent="0.15">
      <c r="A119" s="77"/>
      <c r="B119" s="184"/>
      <c r="C119" s="185"/>
      <c r="D119" s="185"/>
      <c r="E119" s="185"/>
      <c r="F119" s="185"/>
      <c r="G119" s="185"/>
      <c r="H119" s="185"/>
      <c r="I119" s="186"/>
    </row>
    <row r="120" spans="1:9" ht="7.5" customHeight="1" x14ac:dyDescent="0.15">
      <c r="A120" s="77"/>
      <c r="B120" s="83"/>
      <c r="C120" s="83"/>
      <c r="D120" s="83"/>
      <c r="E120" s="83"/>
      <c r="F120" s="83"/>
      <c r="G120" s="83"/>
      <c r="H120" s="83"/>
      <c r="I120" s="83"/>
    </row>
    <row r="121" spans="1:9" ht="18.75" customHeight="1" x14ac:dyDescent="0.15">
      <c r="A121" s="22"/>
      <c r="B121" s="170"/>
      <c r="C121" s="170"/>
      <c r="D121" s="170"/>
      <c r="E121" s="170"/>
      <c r="F121" s="170"/>
      <c r="G121" s="170"/>
      <c r="H121" s="170"/>
      <c r="I121" s="170"/>
    </row>
    <row r="122" spans="1:9" ht="18.75" customHeight="1" x14ac:dyDescent="0.15">
      <c r="A122" s="22"/>
      <c r="B122" s="170"/>
      <c r="C122" s="170"/>
      <c r="D122" s="170"/>
      <c r="E122" s="170"/>
      <c r="F122" s="170"/>
      <c r="G122" s="170"/>
      <c r="H122" s="170"/>
      <c r="I122" s="170"/>
    </row>
    <row r="123" spans="1:9" ht="18.75" customHeight="1" x14ac:dyDescent="0.15">
      <c r="A123" s="77"/>
      <c r="B123" s="84"/>
      <c r="C123" s="84"/>
      <c r="D123" s="84"/>
      <c r="E123" s="84"/>
      <c r="F123" s="84"/>
      <c r="G123" s="84"/>
      <c r="H123" s="84"/>
      <c r="I123" s="85"/>
    </row>
    <row r="124" spans="1:9" ht="18.75" customHeight="1" x14ac:dyDescent="0.15">
      <c r="A124" s="77"/>
      <c r="B124" s="85"/>
      <c r="C124" s="85"/>
      <c r="D124" s="85"/>
      <c r="E124" s="85"/>
      <c r="F124" s="85"/>
      <c r="G124" s="85"/>
      <c r="H124" s="85"/>
      <c r="I124" s="85"/>
    </row>
    <row r="125" spans="1:9" ht="18.75" customHeight="1" x14ac:dyDescent="0.15">
      <c r="A125" s="77"/>
      <c r="B125" s="85"/>
      <c r="C125" s="85"/>
      <c r="D125" s="85"/>
      <c r="E125" s="85"/>
      <c r="F125" s="85"/>
      <c r="G125" s="85"/>
      <c r="H125" s="85"/>
      <c r="I125" s="85"/>
    </row>
    <row r="126" spans="1:9" ht="18.75" customHeight="1" x14ac:dyDescent="0.15">
      <c r="A126" s="77"/>
      <c r="B126" s="85"/>
      <c r="C126" s="85"/>
      <c r="D126" s="85"/>
      <c r="E126" s="85"/>
      <c r="F126" s="85"/>
      <c r="G126" s="85"/>
      <c r="H126" s="85"/>
      <c r="I126" s="85"/>
    </row>
    <row r="127" spans="1:9" ht="18.75" customHeight="1" x14ac:dyDescent="0.15">
      <c r="A127" s="77"/>
      <c r="B127" s="85"/>
      <c r="C127" s="85"/>
      <c r="D127" s="85"/>
      <c r="E127" s="85"/>
      <c r="F127" s="85"/>
      <c r="G127" s="85"/>
      <c r="H127" s="85"/>
      <c r="I127" s="85"/>
    </row>
    <row r="128" spans="1:9" ht="18.75" customHeight="1" x14ac:dyDescent="0.15">
      <c r="A128" s="77"/>
      <c r="B128" s="85"/>
      <c r="C128" s="85"/>
      <c r="D128" s="85"/>
      <c r="E128" s="85"/>
      <c r="F128" s="85"/>
      <c r="G128" s="85"/>
      <c r="H128" s="85"/>
      <c r="I128" s="85"/>
    </row>
    <row r="129" spans="1:9" ht="18.75" customHeight="1" x14ac:dyDescent="0.15">
      <c r="A129" s="77"/>
      <c r="B129" s="85"/>
      <c r="C129" s="85"/>
      <c r="D129" s="85"/>
      <c r="E129" s="85"/>
      <c r="F129" s="85"/>
      <c r="G129" s="85"/>
      <c r="H129" s="85"/>
      <c r="I129" s="85"/>
    </row>
    <row r="130" spans="1:9" ht="18.75" customHeight="1" x14ac:dyDescent="0.15">
      <c r="A130" s="77"/>
      <c r="B130" s="85"/>
      <c r="C130" s="85"/>
      <c r="D130" s="85"/>
      <c r="E130" s="85"/>
      <c r="F130" s="85"/>
      <c r="G130" s="85"/>
      <c r="H130" s="85"/>
      <c r="I130" s="85"/>
    </row>
    <row r="131" spans="1:9" ht="18.75" customHeight="1" x14ac:dyDescent="0.15">
      <c r="A131" s="77"/>
      <c r="B131" s="85"/>
      <c r="C131" s="85"/>
      <c r="D131" s="85"/>
      <c r="E131" s="85"/>
      <c r="F131" s="85"/>
      <c r="G131" s="85"/>
      <c r="H131" s="85"/>
      <c r="I131" s="85"/>
    </row>
    <row r="132" spans="1:9" ht="18.75" customHeight="1" x14ac:dyDescent="0.15">
      <c r="A132" s="77"/>
      <c r="B132" s="85"/>
      <c r="C132" s="85"/>
      <c r="D132" s="85"/>
      <c r="E132" s="85"/>
      <c r="F132" s="85"/>
      <c r="G132" s="85"/>
      <c r="H132" s="85"/>
      <c r="I132" s="85"/>
    </row>
    <row r="133" spans="1:9" ht="14.25" x14ac:dyDescent="0.15">
      <c r="A133" s="77"/>
      <c r="B133" s="85"/>
      <c r="C133" s="85"/>
      <c r="D133" s="85"/>
      <c r="E133" s="85"/>
      <c r="F133" s="85"/>
      <c r="G133" s="85"/>
      <c r="H133" s="85"/>
      <c r="I133" s="85"/>
    </row>
    <row r="134" spans="1:9" ht="7.5" customHeight="1" x14ac:dyDescent="0.15">
      <c r="A134" s="77"/>
      <c r="B134" s="85"/>
      <c r="C134" s="85"/>
      <c r="D134" s="85"/>
      <c r="E134" s="85"/>
      <c r="F134" s="85"/>
      <c r="G134" s="85"/>
      <c r="H134" s="85"/>
      <c r="I134" s="85"/>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6" zoomScaleNormal="100" zoomScaleSheetLayoutView="100" workbookViewId="0">
      <selection activeCell="Z26" sqref="Z2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0" t="s">
        <v>90</v>
      </c>
    </row>
    <row r="2" spans="1:9" ht="18.75" customHeight="1" x14ac:dyDescent="0.15">
      <c r="H2" s="10" t="s">
        <v>93</v>
      </c>
      <c r="I2" s="9" t="str">
        <f>'様式１　プログラムを構成する授業科目'!C2</f>
        <v>九州共立大学</v>
      </c>
    </row>
    <row r="3" spans="1:9" ht="18.75" customHeight="1" x14ac:dyDescent="0.15">
      <c r="A3" s="110" t="s">
        <v>28</v>
      </c>
      <c r="B3" s="110"/>
      <c r="C3" s="110"/>
      <c r="D3" s="110"/>
      <c r="E3" s="110"/>
      <c r="F3" s="110"/>
      <c r="G3" s="110"/>
      <c r="H3" s="110"/>
      <c r="I3" s="110"/>
    </row>
    <row r="4" spans="1:9" ht="18.75" customHeight="1" x14ac:dyDescent="0.15">
      <c r="A4" s="5"/>
      <c r="B4" s="5"/>
      <c r="C4" s="5"/>
      <c r="D4" s="5"/>
      <c r="E4" s="5"/>
      <c r="F4" s="5"/>
      <c r="G4" s="5"/>
      <c r="H4" s="5"/>
      <c r="I4" s="5"/>
    </row>
    <row r="5" spans="1:9" ht="18.75" customHeight="1" x14ac:dyDescent="0.15">
      <c r="A5" s="1" t="s">
        <v>0</v>
      </c>
      <c r="B5" s="7" t="s">
        <v>85</v>
      </c>
      <c r="C5" s="5"/>
      <c r="D5" s="5"/>
      <c r="E5" s="5"/>
      <c r="F5" s="5"/>
      <c r="G5" s="5"/>
      <c r="H5" s="5"/>
      <c r="I5" s="5"/>
    </row>
    <row r="6" spans="1:9" ht="26.25" customHeight="1" x14ac:dyDescent="0.15">
      <c r="A6" s="5"/>
      <c r="B6" s="231" t="s">
        <v>162</v>
      </c>
      <c r="C6" s="232"/>
      <c r="D6" s="232"/>
      <c r="E6" s="232"/>
      <c r="F6" s="232"/>
      <c r="G6" s="232"/>
      <c r="H6" s="233"/>
      <c r="I6" s="3"/>
    </row>
    <row r="7" spans="1:9" ht="9" customHeight="1" x14ac:dyDescent="0.15">
      <c r="A7" s="5"/>
      <c r="B7" s="7"/>
      <c r="C7" s="7"/>
      <c r="D7" s="7"/>
      <c r="E7" s="7"/>
      <c r="F7" s="7"/>
      <c r="G7" s="7"/>
      <c r="H7" s="7"/>
      <c r="I7" s="3"/>
    </row>
    <row r="8" spans="1:9" ht="18.75" customHeight="1" x14ac:dyDescent="0.15">
      <c r="A8" s="5"/>
      <c r="B8" s="3"/>
      <c r="C8" s="3"/>
      <c r="D8" s="10" t="s">
        <v>41</v>
      </c>
      <c r="E8" s="11" t="s">
        <v>163</v>
      </c>
      <c r="F8" s="3"/>
      <c r="G8" s="10" t="s">
        <v>10</v>
      </c>
      <c r="H8" s="11" t="s">
        <v>164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9" t="s">
        <v>24</v>
      </c>
      <c r="C11" s="100"/>
      <c r="D11" s="101"/>
      <c r="E11" s="100" t="s">
        <v>26</v>
      </c>
      <c r="F11" s="100"/>
      <c r="G11" s="100"/>
      <c r="H11" s="100"/>
      <c r="I11" s="101"/>
    </row>
    <row r="12" spans="1:9" ht="26.25" customHeight="1" x14ac:dyDescent="0.15">
      <c r="B12" s="12" t="s">
        <v>14</v>
      </c>
      <c r="C12" s="19"/>
      <c r="D12" s="13"/>
      <c r="E12" s="20"/>
      <c r="F12" s="20"/>
      <c r="G12" s="20"/>
      <c r="H12" s="20"/>
      <c r="I12" s="13"/>
    </row>
    <row r="13" spans="1:9" ht="210.75" customHeight="1" x14ac:dyDescent="0.15">
      <c r="B13" s="14"/>
      <c r="C13" s="229" t="s">
        <v>15</v>
      </c>
      <c r="D13" s="230"/>
      <c r="E13" s="226" t="s">
        <v>181</v>
      </c>
      <c r="F13" s="227"/>
      <c r="G13" s="227"/>
      <c r="H13" s="227"/>
      <c r="I13" s="228"/>
    </row>
    <row r="14" spans="1:9" ht="210.75" customHeight="1" x14ac:dyDescent="0.15">
      <c r="B14" s="14"/>
      <c r="C14" s="224" t="s">
        <v>16</v>
      </c>
      <c r="D14" s="225"/>
      <c r="E14" s="226" t="s">
        <v>170</v>
      </c>
      <c r="F14" s="227"/>
      <c r="G14" s="227"/>
      <c r="H14" s="227"/>
      <c r="I14" s="228"/>
    </row>
    <row r="15" spans="1:9" ht="210.75" customHeight="1" x14ac:dyDescent="0.15">
      <c r="B15" s="14"/>
      <c r="C15" s="229" t="s">
        <v>17</v>
      </c>
      <c r="D15" s="230"/>
      <c r="E15" s="226" t="s">
        <v>171</v>
      </c>
      <c r="F15" s="227"/>
      <c r="G15" s="227"/>
      <c r="H15" s="227"/>
      <c r="I15" s="228"/>
    </row>
    <row r="16" spans="1:9" ht="210.75" customHeight="1" x14ac:dyDescent="0.15">
      <c r="B16" s="14"/>
      <c r="C16" s="229" t="s">
        <v>18</v>
      </c>
      <c r="D16" s="230"/>
      <c r="E16" s="226" t="s">
        <v>172</v>
      </c>
      <c r="F16" s="227"/>
      <c r="G16" s="227"/>
      <c r="H16" s="227"/>
      <c r="I16" s="228"/>
    </row>
    <row r="17" spans="2:9" ht="210.75" customHeight="1" x14ac:dyDescent="0.15">
      <c r="B17" s="15"/>
      <c r="C17" s="234" t="s">
        <v>19</v>
      </c>
      <c r="D17" s="235"/>
      <c r="E17" s="236" t="s">
        <v>173</v>
      </c>
      <c r="F17" s="237"/>
      <c r="G17" s="237"/>
      <c r="H17" s="237"/>
      <c r="I17" s="238"/>
    </row>
    <row r="18" spans="2:9" ht="24" customHeight="1" x14ac:dyDescent="0.15">
      <c r="B18" s="12" t="s">
        <v>20</v>
      </c>
      <c r="C18" s="16"/>
      <c r="D18" s="17"/>
      <c r="E18" s="18"/>
      <c r="F18" s="18"/>
      <c r="G18" s="18"/>
      <c r="H18" s="18"/>
      <c r="I18" s="21"/>
    </row>
    <row r="19" spans="2:9" ht="218.25" customHeight="1" x14ac:dyDescent="0.15">
      <c r="B19" s="14"/>
      <c r="C19" s="229" t="s">
        <v>21</v>
      </c>
      <c r="D19" s="230"/>
      <c r="E19" s="227" t="s">
        <v>174</v>
      </c>
      <c r="F19" s="227"/>
      <c r="G19" s="227"/>
      <c r="H19" s="227"/>
      <c r="I19" s="228"/>
    </row>
    <row r="20" spans="2:9" ht="218.25" customHeight="1" x14ac:dyDescent="0.15">
      <c r="B20" s="15"/>
      <c r="C20" s="234" t="s">
        <v>22</v>
      </c>
      <c r="D20" s="235"/>
      <c r="E20" s="237" t="s">
        <v>182</v>
      </c>
      <c r="F20" s="237"/>
      <c r="G20" s="237"/>
      <c r="H20" s="237"/>
      <c r="I20" s="238"/>
    </row>
    <row r="21" spans="2:9" ht="218.25" customHeight="1" x14ac:dyDescent="0.15">
      <c r="B21" s="244" t="s">
        <v>23</v>
      </c>
      <c r="C21" s="245"/>
      <c r="D21" s="246"/>
      <c r="E21" s="247" t="s">
        <v>175</v>
      </c>
      <c r="F21" s="247"/>
      <c r="G21" s="247"/>
      <c r="H21" s="247"/>
      <c r="I21" s="248"/>
    </row>
    <row r="22" spans="2:9" ht="218.25" customHeight="1" x14ac:dyDescent="0.15">
      <c r="B22" s="239" t="s">
        <v>120</v>
      </c>
      <c r="C22" s="240"/>
      <c r="D22" s="241"/>
      <c r="E22" s="242" t="s">
        <v>176</v>
      </c>
      <c r="F22" s="242"/>
      <c r="G22" s="242"/>
      <c r="H22" s="242"/>
      <c r="I22" s="24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8"/>
      <c r="C28" s="8"/>
      <c r="D28" s="8"/>
      <c r="E28" s="8"/>
      <c r="F28" s="8"/>
      <c r="G28" s="8"/>
      <c r="H28" s="8"/>
      <c r="I28" s="8"/>
    </row>
    <row r="29" spans="2:9" ht="22.5" customHeight="1" x14ac:dyDescent="0.15">
      <c r="B29" s="8"/>
      <c r="C29" s="8"/>
      <c r="D29" s="8"/>
      <c r="E29" s="8"/>
      <c r="F29" s="8"/>
      <c r="G29" s="8"/>
      <c r="H29" s="8"/>
      <c r="I29" s="8"/>
    </row>
    <row r="30" spans="2:9" ht="22.5" customHeight="1" x14ac:dyDescent="0.15">
      <c r="B30" s="8"/>
      <c r="C30" s="8"/>
      <c r="D30" s="8"/>
      <c r="E30" s="8"/>
      <c r="F30" s="8"/>
      <c r="G30" s="8"/>
      <c r="H30" s="8"/>
      <c r="I30" s="8"/>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松田  裕次郎</dc:creator>
  <cp:lastModifiedBy>松田  裕次郎</cp:lastModifiedBy>
  <cp:lastPrinted>2025-07-11T00:01:48Z</cp:lastPrinted>
  <dcterms:created xsi:type="dcterms:W3CDTF">2011-06-14T05:32:50Z</dcterms:created>
  <dcterms:modified xsi:type="dcterms:W3CDTF">2025-07-11T00:07:16Z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