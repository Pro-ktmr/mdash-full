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172.16.1.4\共有フォルダ\● WEBバインダー ●\④ 学内委員会・専門部会\㉑IR・データサイエンス教育推進委員会\R7(2025)年度\2025年度_MDASH申請\250711_修正申請\沖縄県立看護大学\"/>
    </mc:Choice>
  </mc:AlternateContent>
  <xr:revisionPtr revIDLastSave="0" documentId="13_ncr:1_{AC4E6E3F-E94A-42FD-AB3A-BF02F906016A}" xr6:coauthVersionLast="47" xr6:coauthVersionMax="47" xr10:uidLastSave="{00000000-0000-0000-0000-000000000000}"/>
  <bookViews>
    <workbookView xWindow="-28920" yWindow="-4785" windowWidth="29040" windowHeight="1572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3" i="40" l="1"/>
  <c r="S13" i="40" s="1"/>
  <c r="C33" i="40"/>
  <c r="G33" i="40" l="1"/>
  <c r="F33" i="40" l="1"/>
  <c r="E33" i="40"/>
  <c r="I50" i="41" s="1"/>
  <c r="D33" i="40"/>
  <c r="R33" i="40" l="1"/>
  <c r="S33" i="40" s="1"/>
  <c r="C49" i="41" s="1"/>
</calcChain>
</file>

<file path=xl/sharedStrings.xml><?xml version="1.0" encoding="utf-8"?>
<sst xmlns="http://schemas.openxmlformats.org/spreadsheetml/2006/main" count="280" uniqueCount="186">
  <si>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</si>
  <si>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</si>
  <si>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</si>
  <si>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</si>
  <si>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</si>
  <si>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</si>
  <si>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</si>
  <si>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</si>
  <si>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</si>
  <si>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</si>
  <si>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</si>
  <si>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</si>
  <si>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</si>
  <si>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</si>
  <si>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</si>
  <si>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</si>
  <si>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</si>
  <si>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</si>
  <si>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</si>
  <si>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</si>
  <si>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</si>
  <si>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</si>
  <si>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</si>
  <si>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</si>
  <si>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</si>
  <si>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</si>
  <si>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</si>
  <si>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</si>
  <si>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</si>
  <si>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</si>
  <si>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</si>
  <si>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</si>
  <si>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</si>
  <si>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</si>
  <si>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</si>
  <si>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</si>
  <si>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</si>
  <si>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</si>
  <si>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</si>
  <si>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</si>
  <si>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</si>
  <si>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</si>
  <si>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</si>
  <si>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</si>
  <si>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</si>
  <si>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</si>
  <si>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</si>
  <si>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</si>
  <si>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</si>
  <si>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</si>
  <si>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</si>
  <si>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</si>
  <si>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</si>
  <si>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</si>
  <si>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</si>
  <si>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</si>
  <si>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</si>
  <si>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</si>
  <si>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</si>
  <si>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</si>
  <si>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</si>
  <si>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</si>
  <si>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</si>
  <si>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</si>
  <si>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</si>
  <si>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</si>
  <si>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</si>
  <si>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</si>
  <si>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</si>
  <si>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</si>
  <si>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</si>
  <si>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</si>
  <si>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</si>
  <si>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</si>
  <si>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</si>
  <si>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</si>
  <si>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</si>
  <si>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</si>
  <si>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</si>
  <si>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</si>
  <si>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</si>
  <si>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</si>
  <si>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</si>
  <si>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</si>
  <si>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</si>
  <si>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</si>
  <si>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</si>
  <si>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</si>
  <si>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</si>
  <si>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</si>
  <si>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</si>
  <si>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</si>
  <si>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</si>
  <si>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</si>
  <si>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</si>
  <si>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</si>
  <si>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</si>
  <si>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</si>
  <si>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</si>
  <si>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</si>
  <si>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</si>
  <si>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</si>
  <si>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</si>
  <si>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</si>
  <si>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</si>
  <si>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</si>
  <si>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</si>
  <si>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</si>
  <si>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</si>
  <si>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</si>
  <si>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</si>
  <si>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</si>
  <si>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</si>
  <si>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</si>
  <si>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</si>
  <si>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</si>
  <si>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</si>
  <si>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</si>
  <si>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</si>
  <si>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</si>
  <si>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</si>
  <si>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</si>
  <si>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</si>
  <si>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</si>
  <si>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</si>
  <si>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</si>
  <si>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</si>
  <si>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</si>
  <si>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</si>
  <si>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</si>
  <si>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</si>
  <si>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</si>
  <si>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</si>
  <si>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</si>
  <si>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</si>
  <si>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</si>
  <si>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</si>
  <si>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</si>
  <si>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</si>
  <si>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</si>
  <si>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</si>
  <si>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</si>
  <si>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</si>
  <si>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沖縄県立看護大学</t>
    <phoneticPr fontId="1"/>
  </si>
  <si>
    <t>沖縄県立看護大学 数理・データサイエンス・AI教育プログラム</t>
    <phoneticPr fontId="1"/>
  </si>
  <si>
    <t>学部・学科によって、修了要件は相違しない</t>
  </si>
  <si>
    <t>2年次「情報学（選択：2単位）」を取得すること。</t>
    <phoneticPr fontId="1"/>
  </si>
  <si>
    <t>情報学</t>
    <phoneticPr fontId="1"/>
  </si>
  <si>
    <t>○</t>
  </si>
  <si>
    <t>・ビッグデータ、IoT、AI「情報学」（2回目）
・生成AI、ロボット「情報学」（3回目）
・データ量の増加、計算機の処理性能の向上、AIの非連続的進化「情報学」（2回目）
・第4次産業革命、Society 5.0、データ駆動型社会「情報学」（2回目）</t>
    <phoneticPr fontId="1"/>
  </si>
  <si>
    <t>・AI最新技術の活用例（深層生成モデル、強化学習、転移学習、生成AIなど）「情報学」（3回目）
・AI等を活用した新しいビジネスモデル(シェアリングエコノミー、商品のレコメンデーションなど)「情報学」（2回目）</t>
    <phoneticPr fontId="1"/>
  </si>
  <si>
    <t>・調査データ、実験データ、人の行動ログデータ、機械の稼働ログデータなど「情報学」（2回目）</t>
    <phoneticPr fontId="1"/>
  </si>
  <si>
    <t>・データ・AI活用領域の広がり(生産、消費、文化活動など)「情報学」（3回目）
・研究開発、調達、製造、物流、販売、マーケティング、サービスなど「情報学」（2回目）
・対話、コンテンツ生成、翻訳・要約・執筆支援、コーディング支援など生成AIの応用「情報学」（3回目）</t>
    <phoneticPr fontId="1"/>
  </si>
  <si>
    <t>・データ解析：予測、グルーピング、最適化「情報学」（3回目）
・今のAIで出来ることと出来ないこと「情報学」（3回目）
・AIとビッグデータ「情報学」（2回目）
・認識技術、ルールベース、自動化技術「情報学」（3回目）
・マルチモーダル（言語、画像、音声 など）、生成AIの活用（プロンプトエンジニアリング）「情報学」（3回目）</t>
    <phoneticPr fontId="1"/>
  </si>
  <si>
    <t>・データサイエンスのサイクル（探索的データ解析、データ解析と推論、結果の共有・伝達、課題解決に向けた提案）「情報学」（2回目）
・教育、芸術、流通、製造、金融、サービス、インフラ、公共、ヘルスケア等におけるデータ・AI利活用事例紹介「情報学」（3回目）</t>
    <phoneticPr fontId="1"/>
  </si>
  <si>
    <t>・倫理的・法的・社会的課題（ELSI：Ethical, Legal and Social Issues）「情報学」（3回目）
・個人情報保護、EU一般データ保護規則(GDPR)「情報学」（3回目）
・AIサービスの責任論「情報学」（3回目）</t>
    <phoneticPr fontId="1"/>
  </si>
  <si>
    <t>・匿名加工情報、ユーザ認証とパスワード、アクセス制御、悪意ある情報搾取「情報学」（5回目）
・情報漏洩等によるセキュリティ事故の事例紹介「情報学」（5回目）
・サイバーセキュリティ「情報学」（5回目）</t>
    <phoneticPr fontId="1"/>
  </si>
  <si>
    <t>・データの種類（量的変数、質的変数）、データの分布（ヒストグラム）と代表値（平均値、中央値、最頻値）「情報学」（10回目）
・相関と因果（相関係数）「情報学」（12回目）</t>
    <phoneticPr fontId="1"/>
  </si>
  <si>
    <t>・データ表現（棒グラフ、折線グラフ、散布図、箱ひげ図）「情報学」（11回目）
・相手に的確かつ正確に情報を伝える技術や考え方（スライド作成，プレゼンテーションなど）「情報学」（7回目）</t>
    <phoneticPr fontId="1"/>
  </si>
  <si>
    <t>・データの集計（和、平均）、データ解析ツール（スプレッドシート）「情報学」（13回目）</t>
    <phoneticPr fontId="1"/>
  </si>
  <si>
    <t>令和6</t>
    <rPh sb="0" eb="2">
      <t>レイワ</t>
    </rPh>
    <phoneticPr fontId="1"/>
  </si>
  <si>
    <t>看護学部看護学科</t>
    <phoneticPr fontId="1"/>
  </si>
  <si>
    <t>栗島一博</t>
    <phoneticPr fontId="1"/>
  </si>
  <si>
    <t>准教授</t>
    <rPh sb="0" eb="3">
      <t xml:space="preserve">ジュンキョウジュ </t>
    </rPh>
    <phoneticPr fontId="1"/>
  </si>
  <si>
    <t>IRデータサイエンス教育推進委員会</t>
    <phoneticPr fontId="1"/>
  </si>
  <si>
    <t>佐伯宣久</t>
    <phoneticPr fontId="1"/>
  </si>
  <si>
    <t>教授</t>
    <phoneticPr fontId="1"/>
  </si>
  <si>
    <t>教授　佐伯宣久
准教授　栗島一博
准教授　眞浦有希
学務課長　与那嶺隆
学務課主査 比嘉和之</t>
    <rPh sb="21" eb="23">
      <t xml:space="preserve">マウラ </t>
    </rPh>
    <rPh sb="23" eb="24">
      <t>yuki</t>
    </rPh>
    <rPh sb="24" eb="25">
      <t xml:space="preserve">キボウ </t>
    </rPh>
    <rPh sb="36" eb="39">
      <t xml:space="preserve">ガクムカ </t>
    </rPh>
    <rPh sb="39" eb="41">
      <t xml:space="preserve">シュサ </t>
    </rPh>
    <rPh sb="42" eb="44">
      <t xml:space="preserve">ヒガ </t>
    </rPh>
    <rPh sb="44" eb="46">
      <t xml:space="preserve">カズユキ </t>
    </rPh>
    <phoneticPr fontId="1"/>
  </si>
  <si>
    <t>本プログラムを構成する情報学は選択科目であるが、令和9年度を目処に必修科目とする計画である。</t>
    <phoneticPr fontId="1"/>
  </si>
  <si>
    <t>本プログラムを構成する情報学は選択科目であるが、履修学生の人数制限を設けないことで、受講を希望する学生は全員が受講できるような体制としている。</t>
    <phoneticPr fontId="1"/>
  </si>
  <si>
    <t>令和8年度までは選択科目とする計画であるため、新入生や在学生に対する新年度ガイダンスや学生向けメール、関連授業科目などで、今後の社会において必要となる「データサイエンス」を学ぶプログラムを設置していることについての呼びかけを行い、当該科目を積極的に履修することの動機づけを行う。</t>
    <rPh sb="86" eb="87">
      <t xml:space="preserve">マナブ </t>
    </rPh>
    <phoneticPr fontId="1"/>
  </si>
  <si>
    <t>授業で取り扱う資料やデータは学生が学内外からアクセスできるクラウドに保存し、いつでも復習が行える環境としている。本学は在学中の全学生にPCを無償貸与しており、また全館においてWi-Fiの利用が可能であり、時間や場所を選ばずにクラウドにアクセスできる環境を整えている。</t>
    <rPh sb="7" eb="9">
      <t xml:space="preserve">シリョウヤ </t>
    </rPh>
    <phoneticPr fontId="1"/>
  </si>
  <si>
    <t>授業内容に関する質問は、授業中にも受け付けている。授業時間外においては、科目のシラバスに明記しているオフィスアワーや、学内メールを使用して質問を受け付けている。</t>
    <rPh sb="12" eb="14">
      <t xml:space="preserve">ズイジ </t>
    </rPh>
    <phoneticPr fontId="1"/>
  </si>
  <si>
    <t>令和6年度において、情報学の履修者は29名であり、28名が単位を取得した。1名は休学のため未修得となった。開講学年における情報学の科目の選択率は35.8%であった。令和8年度までは選択科目とする計画であり、科目の選択率を高めるために、新入生や在学生に対する新年度ガイダンスや学生向けメール、関連授業科目などで、今後の社会において必要となる「データサイエンス」を教授するプログラムを設置していることについての呼びかけを行い、当該科目を積極的に履修することの動機づけを行う。</t>
    <phoneticPr fontId="1"/>
  </si>
  <si>
    <t>授業後アンケートの質問項目「本コースの参加前後を比較して、あなたの中で変わったこと」の記入内容として、「情報に対しての考え方が変わった」「Excelなどの技術を知り、データや数値などを分かりやすく表示することができるようになった」「情報収集や分析の仕方、情報学や統計学の歴史など学ぶ前は全く知識がなかったが、授業を通して、知識を身に着ける事ができ、チーム力のことや、論文の書き方なども学ぶことが出来た」といった回答が得られ、データサイエンスやその知識の活用についての学修成果が得られたことが確認できた。</t>
    <phoneticPr fontId="1"/>
  </si>
  <si>
    <t>授業後アンケートの質問項目「本コースで学んだ内容を、これからの自分の活動（勉強や仕事、研究など）に活用したいですか？」に対して、「活用したい」と回答した学生が100%であった。一方で、「本コースで学んだ内容を、これからの自分の活動（勉強や仕事、研究など）に活用できる自信がありますか？」に対しては「自信がある」と回答した学生は53.8%、「どちらともいえない」と回答した学生は46.2%であった。活用する自信について「どちらともいえない」と回答した学生の回答理由として「理解することが難しかったものがあったり、看護の現場でいかせそうなものがあるかはわからなかったから」「自分のキャリア、学業に活かせるか実用的なイメージがまだ沸いていないため」などがあった。改善に向けた取り組みとして、今後の学生生活とのつながりや、医療職とデータサイエンスのつながりをより具体的にイメージできるように授業内容や演習課題を設定する予定である。</t>
    <phoneticPr fontId="1"/>
  </si>
  <si>
    <t>授業評価アンケートにおける満足度調査（４件法、1=全く当てはまらない、4=非常に当てはまる）の結果、「授業の要点がわかりやすい展開であった」は3.57、「私は、授業から知的刺激を受けた」は3.57、「教員の説明は具体的でわかりやすかった」は3.57、「教員は、学生の理解度を考慮しながら授業を進めていた」は3.71、「教員は、質問の機会・方法を設定し、質問に適切に回答した」は3.71と、授業に対して肯定的な評価が得られたことから、推奨度の高い講義であることが伺える。</t>
    <phoneticPr fontId="1"/>
  </si>
  <si>
    <t>令和6年度は、2年次の選択科目として開講したため、2年次の履修者は34%(学生82名中28名）に留まった。令和7、8年度も選択科目として開講するが、履修率を向上させるためにガイダンス等で履修の推奨を行う予定である。令和9年度以降は必修科目とすることを検討しており、履修率100%となることを目指す。</t>
    <phoneticPr fontId="1"/>
  </si>
  <si>
    <t>現時点では修了者の評価は行えていないが、プログラム修了者の卒業後の調査を実施し、その活躍状況を評価するものとする。</t>
    <phoneticPr fontId="1"/>
  </si>
  <si>
    <t>学生の主な就職先は医療機関の看護師であり、本プログラムの内容・手法等に関する意見を医療機関から直接的に得ることは難しい。プログラム修了者の卒業後の調査において履修生本人からの意見を収集するとともに、医療業界の動向を注視し、両視点から教育プログラムの改善に繋げる予定である。</t>
    <phoneticPr fontId="1"/>
  </si>
  <si>
    <t>データサイエンスやAIの産業界での活用例だけでなく、学生にとってイメージしやすい医療現場での活用例を多く取り入れることや、他の看護系の講義で学んだ知識を活かせるような演習を用意することで、数理・データサイエンス・ＡIが看護や保健の実践に役立つことが実感できるようにし、学ぶ楽しさや意義が感じられるよう工夫をしている。</t>
    <phoneticPr fontId="1"/>
  </si>
  <si>
    <t>健康データを分析する演習において、使用する分析ツールや手法を毎年度見直し、技術の発展を反映した授業内容となるよう毎年改善している。</t>
    <phoneticPr fontId="1"/>
  </si>
  <si>
    <t>IR・データサイエンス教育推進委員会</t>
    <phoneticPr fontId="1"/>
  </si>
  <si>
    <t>・データサイエンス・ AIの必要性を説明できる。
・情報の持つ意味や情報に対する態度・倫理観を理解し、情報を適切に扱うことができる。
・目的に沿った学術文献やオープンデータを入手することができる。
・調査データを用いた統計解析を行うことができる。</t>
    <phoneticPr fontId="1"/>
  </si>
  <si>
    <t>IR・データサイエンス教育推進委員会規程</t>
    <rPh sb="18" eb="20">
      <t>キテイ</t>
    </rPh>
    <phoneticPr fontId="1"/>
  </si>
  <si>
    <t>IR・データサイエンス教育推進委員会は、本学のIR(インスティチュートナルリサーチ)活動およびデータサイエンス教育の推進に資することを設置目的としている（規程第1条）。主な所轄事項は次のとおりである。
（１） 教育改革の成果に関すること
（２） 教育・研究に関する学内の諸情報の収集・分析に関すること
（３） 教育改善に関すること
（４） その他ＩＲ推進に関すること</t>
    <rPh sb="77" eb="79">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</si>
</sst>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0"/>
      <color theme="1"/>
      <name val="ＭＳ Ｐゴシック"/>
      <family val="2"/>
      <charset val="128"/>
      <scheme val="minor"/>
    </font>
    <font>
      <sz val="14"/>
      <color theme="1"/>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lignment vertical="center"/>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4" fillId="0" borderId="6" xfId="0" applyFont="1" applyBorder="1" applyAlignment="1">
      <alignment vertical="top" wrapText="1" shrinkToFit="1"/>
    </xf>
    <xf numFmtId="0" fontId="14"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6" fillId="0" borderId="19" xfId="0" applyFont="1" applyBorder="1" applyAlignment="1">
      <alignment vertical="top" wrapText="1" shrinkToFit="1"/>
    </xf>
    <xf numFmtId="0" fontId="14"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4" fillId="0" borderId="33" xfId="0" applyFont="1" applyBorder="1" applyAlignment="1">
      <alignment vertical="top" wrapText="1" shrinkToFit="1"/>
    </xf>
    <xf numFmtId="0" fontId="14"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4" fillId="0" borderId="37" xfId="0" applyFont="1" applyBorder="1" applyAlignment="1">
      <alignment vertical="top" wrapText="1" shrinkToFit="1"/>
    </xf>
    <xf numFmtId="0" fontId="14" fillId="0" borderId="38" xfId="0" applyFont="1" applyBorder="1" applyAlignment="1">
      <alignment vertical="top" wrapText="1" shrinkToFit="1"/>
    </xf>
    <xf numFmtId="0" fontId="6" fillId="0" borderId="18" xfId="0" applyFont="1" applyBorder="1" applyAlignment="1">
      <alignment vertical="top" wrapText="1" shrinkToFit="1"/>
    </xf>
    <xf numFmtId="0" fontId="14" fillId="0" borderId="19" xfId="0" applyFont="1" applyBorder="1" applyAlignment="1">
      <alignment vertical="top" wrapText="1" shrinkToFit="1"/>
    </xf>
    <xf numFmtId="0" fontId="14"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97"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5" t="s">
        <v>12</v>
      </c>
      <c r="U1" s="125"/>
      <c r="V1" s="2" t="s">
        <v>94</v>
      </c>
    </row>
    <row r="2" spans="1:24" ht="18.75" customHeight="1" x14ac:dyDescent="0.15">
      <c r="B2" s="17" t="s">
        <v>93</v>
      </c>
      <c r="C2" s="92" t="s">
        <v>143</v>
      </c>
      <c r="D2" s="93"/>
      <c r="E2" s="93"/>
      <c r="F2" s="93"/>
      <c r="G2" s="93"/>
      <c r="H2" s="93"/>
      <c r="I2" s="93"/>
      <c r="J2" s="94"/>
      <c r="K2" s="18"/>
      <c r="L2" s="6"/>
      <c r="M2" s="6"/>
      <c r="N2" s="6"/>
      <c r="O2" s="6"/>
      <c r="P2" s="6"/>
      <c r="Q2" s="6"/>
      <c r="R2" s="6"/>
      <c r="S2" s="6"/>
      <c r="T2" s="6"/>
      <c r="U2" s="6"/>
    </row>
    <row r="3" spans="1:24" ht="18.75" customHeight="1" x14ac:dyDescent="0.15">
      <c r="B3" s="17" t="s">
        <v>88</v>
      </c>
      <c r="C3" s="126" t="s">
        <v>144</v>
      </c>
      <c r="D3" s="127"/>
      <c r="E3" s="127"/>
      <c r="F3" s="127"/>
      <c r="G3" s="127"/>
      <c r="H3" s="127"/>
      <c r="I3" s="127"/>
      <c r="J3" s="128"/>
      <c r="K3" s="18"/>
      <c r="L3" s="6"/>
      <c r="M3" s="6"/>
      <c r="N3" s="6"/>
      <c r="O3" s="6"/>
      <c r="P3" s="6"/>
      <c r="Q3" s="6"/>
      <c r="R3" s="6"/>
      <c r="S3" s="6"/>
      <c r="T3" s="6"/>
      <c r="U3" s="6"/>
    </row>
    <row r="4" spans="1:24" ht="15" customHeight="1" x14ac:dyDescent="0.15">
      <c r="L4" s="18"/>
      <c r="M4" s="73"/>
      <c r="N4" s="73"/>
      <c r="O4" s="73"/>
      <c r="P4" s="73"/>
      <c r="Q4" s="73"/>
      <c r="R4" s="73"/>
      <c r="S4" s="73"/>
      <c r="T4" s="73"/>
      <c r="U4" s="73"/>
    </row>
    <row r="5" spans="1:24" ht="18" customHeight="1" x14ac:dyDescent="0.15">
      <c r="A5" s="129" t="s">
        <v>141</v>
      </c>
      <c r="B5" s="129"/>
      <c r="C5" s="129"/>
      <c r="D5" s="129"/>
      <c r="E5" s="129"/>
      <c r="F5" s="129"/>
      <c r="G5" s="129"/>
      <c r="H5" s="129"/>
      <c r="I5" s="129"/>
      <c r="J5" s="129"/>
      <c r="K5" s="129"/>
      <c r="L5" s="129"/>
      <c r="M5" s="129"/>
      <c r="N5" s="129"/>
      <c r="O5" s="129"/>
      <c r="P5" s="129"/>
      <c r="Q5" s="129"/>
      <c r="R5" s="129"/>
      <c r="S5" s="129"/>
      <c r="T5" s="129"/>
      <c r="U5" s="12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9" t="s">
        <v>145</v>
      </c>
      <c r="M7" s="90"/>
      <c r="N7" s="90"/>
      <c r="O7" s="90"/>
      <c r="P7" s="90"/>
      <c r="Q7" s="90"/>
      <c r="R7" s="90"/>
      <c r="S7" s="90"/>
      <c r="T7" s="90"/>
      <c r="U7" s="91"/>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2"/>
      <c r="C11" s="103"/>
      <c r="D11" s="103"/>
      <c r="E11" s="103"/>
      <c r="F11" s="103"/>
      <c r="G11" s="103"/>
      <c r="H11" s="103"/>
      <c r="I11" s="103"/>
      <c r="J11" s="103"/>
      <c r="K11" s="103"/>
      <c r="L11" s="103"/>
      <c r="M11" s="103"/>
      <c r="N11" s="103"/>
      <c r="O11" s="103"/>
      <c r="P11" s="103"/>
      <c r="Q11" s="103"/>
      <c r="R11" s="103"/>
      <c r="S11" s="103"/>
      <c r="T11" s="103"/>
      <c r="U11" s="104"/>
    </row>
    <row r="12" spans="1:24" ht="18" customHeight="1" x14ac:dyDescent="0.15">
      <c r="B12" s="105"/>
      <c r="C12" s="106"/>
      <c r="D12" s="106"/>
      <c r="E12" s="106"/>
      <c r="F12" s="106"/>
      <c r="G12" s="106"/>
      <c r="H12" s="106"/>
      <c r="I12" s="106"/>
      <c r="J12" s="106"/>
      <c r="K12" s="106"/>
      <c r="L12" s="106"/>
      <c r="M12" s="106"/>
      <c r="N12" s="106"/>
      <c r="O12" s="106"/>
      <c r="P12" s="106"/>
      <c r="Q12" s="106"/>
      <c r="R12" s="106"/>
      <c r="S12" s="106"/>
      <c r="T12" s="106"/>
      <c r="U12" s="107"/>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4"/>
      <c r="M14" s="74"/>
      <c r="N14" s="74"/>
      <c r="O14" s="74"/>
      <c r="P14" s="74"/>
      <c r="Q14" s="74"/>
      <c r="R14" s="74"/>
      <c r="S14" s="74"/>
      <c r="T14" s="74"/>
      <c r="U14" s="74"/>
    </row>
    <row r="15" spans="1:24" ht="18" customHeight="1" x14ac:dyDescent="0.15">
      <c r="B15" s="130" t="s">
        <v>146</v>
      </c>
      <c r="C15" s="131"/>
      <c r="D15" s="131"/>
      <c r="E15" s="131"/>
      <c r="F15" s="131"/>
      <c r="G15" s="131"/>
      <c r="H15" s="131"/>
      <c r="I15" s="131"/>
      <c r="J15" s="131"/>
      <c r="K15" s="131"/>
      <c r="L15" s="131"/>
      <c r="M15" s="131"/>
      <c r="N15" s="131"/>
      <c r="O15" s="131"/>
      <c r="P15" s="131"/>
      <c r="Q15" s="131"/>
      <c r="R15" s="131"/>
      <c r="S15" s="131"/>
      <c r="T15" s="131"/>
      <c r="U15" s="132"/>
      <c r="X15" s="1" t="s">
        <v>89</v>
      </c>
    </row>
    <row r="16" spans="1:24" ht="18" customHeight="1" x14ac:dyDescent="0.15">
      <c r="B16" s="133"/>
      <c r="C16" s="134"/>
      <c r="D16" s="134"/>
      <c r="E16" s="134"/>
      <c r="F16" s="134"/>
      <c r="G16" s="134"/>
      <c r="H16" s="134"/>
      <c r="I16" s="134"/>
      <c r="J16" s="134"/>
      <c r="K16" s="134"/>
      <c r="L16" s="134"/>
      <c r="M16" s="134"/>
      <c r="N16" s="134"/>
      <c r="O16" s="134"/>
      <c r="P16" s="134"/>
      <c r="Q16" s="134"/>
      <c r="R16" s="134"/>
      <c r="S16" s="134"/>
      <c r="T16" s="134"/>
      <c r="U16" s="135"/>
      <c r="X16" s="1" t="s">
        <v>122</v>
      </c>
    </row>
    <row r="17" spans="1:24" ht="18" customHeight="1" x14ac:dyDescent="0.15">
      <c r="B17" s="133"/>
      <c r="C17" s="134"/>
      <c r="D17" s="134"/>
      <c r="E17" s="134"/>
      <c r="F17" s="134"/>
      <c r="G17" s="134"/>
      <c r="H17" s="134"/>
      <c r="I17" s="134"/>
      <c r="J17" s="134"/>
      <c r="K17" s="134"/>
      <c r="L17" s="134"/>
      <c r="M17" s="134"/>
      <c r="N17" s="134"/>
      <c r="O17" s="134"/>
      <c r="P17" s="134"/>
      <c r="Q17" s="134"/>
      <c r="R17" s="134"/>
      <c r="S17" s="134"/>
      <c r="T17" s="134"/>
      <c r="U17" s="135"/>
      <c r="X17" s="1" t="s">
        <v>123</v>
      </c>
    </row>
    <row r="18" spans="1:24" ht="18" customHeight="1" x14ac:dyDescent="0.15">
      <c r="B18" s="133"/>
      <c r="C18" s="134"/>
      <c r="D18" s="134"/>
      <c r="E18" s="134"/>
      <c r="F18" s="134"/>
      <c r="G18" s="134"/>
      <c r="H18" s="134"/>
      <c r="I18" s="134"/>
      <c r="J18" s="134"/>
      <c r="K18" s="134"/>
      <c r="L18" s="134"/>
      <c r="M18" s="134"/>
      <c r="N18" s="134"/>
      <c r="O18" s="134"/>
      <c r="P18" s="134"/>
      <c r="Q18" s="134"/>
      <c r="R18" s="134"/>
      <c r="S18" s="134"/>
      <c r="T18" s="134"/>
      <c r="U18" s="135"/>
      <c r="X18" s="1" t="s">
        <v>124</v>
      </c>
    </row>
    <row r="19" spans="1:24" ht="18" customHeight="1" x14ac:dyDescent="0.15">
      <c r="B19" s="133"/>
      <c r="C19" s="134"/>
      <c r="D19" s="134"/>
      <c r="E19" s="134"/>
      <c r="F19" s="134"/>
      <c r="G19" s="134"/>
      <c r="H19" s="134"/>
      <c r="I19" s="134"/>
      <c r="J19" s="134"/>
      <c r="K19" s="134"/>
      <c r="L19" s="134"/>
      <c r="M19" s="134"/>
      <c r="N19" s="134"/>
      <c r="O19" s="134"/>
      <c r="P19" s="134"/>
      <c r="Q19" s="134"/>
      <c r="R19" s="134"/>
      <c r="S19" s="134"/>
      <c r="T19" s="134"/>
      <c r="U19" s="135"/>
    </row>
    <row r="20" spans="1:24" ht="18" customHeight="1" x14ac:dyDescent="0.15">
      <c r="B20" s="136"/>
      <c r="C20" s="137"/>
      <c r="D20" s="137"/>
      <c r="E20" s="137"/>
      <c r="F20" s="137"/>
      <c r="G20" s="137"/>
      <c r="H20" s="137"/>
      <c r="I20" s="137"/>
      <c r="J20" s="137"/>
      <c r="K20" s="137"/>
      <c r="L20" s="137"/>
      <c r="M20" s="137"/>
      <c r="N20" s="137"/>
      <c r="O20" s="137"/>
      <c r="P20" s="137"/>
      <c r="Q20" s="137"/>
      <c r="R20" s="137"/>
      <c r="S20" s="137"/>
      <c r="T20" s="137"/>
      <c r="U20" s="13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119</v>
      </c>
      <c r="E22" s="75">
        <v>1</v>
      </c>
      <c r="F22" s="1" t="s">
        <v>107</v>
      </c>
      <c r="H22" s="19">
        <v>2</v>
      </c>
      <c r="I22" s="3" t="s">
        <v>108</v>
      </c>
      <c r="J22" s="3"/>
      <c r="K22" s="18"/>
      <c r="M22" s="18" t="s">
        <v>104</v>
      </c>
      <c r="N22" s="86" t="s">
        <v>123</v>
      </c>
      <c r="O22" s="87"/>
      <c r="P22" s="87"/>
      <c r="Q22" s="87"/>
      <c r="R22" s="87"/>
      <c r="S22" s="87"/>
      <c r="T22" s="87"/>
      <c r="U22" s="88"/>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7" t="s">
        <v>96</v>
      </c>
      <c r="B24" s="117"/>
      <c r="C24" s="117"/>
      <c r="D24" s="117"/>
      <c r="E24" s="117"/>
      <c r="F24" s="117"/>
      <c r="G24" s="117"/>
      <c r="H24" s="117"/>
      <c r="I24" s="117"/>
      <c r="J24" s="117"/>
      <c r="K24" s="117"/>
      <c r="L24" s="117"/>
      <c r="M24" s="117"/>
      <c r="N24" s="117"/>
      <c r="O24" s="117"/>
      <c r="P24" s="117"/>
      <c r="Q24" s="117"/>
      <c r="R24" s="117"/>
      <c r="S24" s="117"/>
      <c r="T24" s="117"/>
      <c r="U24" s="117"/>
    </row>
    <row r="25" spans="1:24" ht="18" customHeight="1" x14ac:dyDescent="0.15">
      <c r="A25" s="117"/>
      <c r="B25" s="117"/>
      <c r="C25" s="117"/>
      <c r="D25" s="117"/>
      <c r="E25" s="117"/>
      <c r="F25" s="117"/>
      <c r="G25" s="117"/>
      <c r="H25" s="117"/>
      <c r="I25" s="117"/>
      <c r="J25" s="117"/>
      <c r="K25" s="117"/>
      <c r="L25" s="117"/>
      <c r="M25" s="117"/>
      <c r="N25" s="117"/>
      <c r="O25" s="117"/>
      <c r="P25" s="117"/>
      <c r="Q25" s="117"/>
      <c r="R25" s="117"/>
      <c r="S25" s="117"/>
      <c r="T25" s="117"/>
      <c r="U25" s="117"/>
    </row>
    <row r="26" spans="1:24" ht="18" customHeight="1" x14ac:dyDescent="0.15">
      <c r="B26" s="92" t="s">
        <v>48</v>
      </c>
      <c r="C26" s="93"/>
      <c r="D26" s="93"/>
      <c r="E26" s="93"/>
      <c r="F26" s="94"/>
      <c r="G26" s="59" t="s">
        <v>73</v>
      </c>
      <c r="H26" s="60" t="s">
        <v>76</v>
      </c>
      <c r="I26" s="61" t="s">
        <v>51</v>
      </c>
      <c r="J26" s="61" t="s">
        <v>54</v>
      </c>
      <c r="K26" s="92" t="s">
        <v>48</v>
      </c>
      <c r="L26" s="93"/>
      <c r="M26" s="93"/>
      <c r="N26" s="93"/>
      <c r="O26" s="93"/>
      <c r="P26" s="93"/>
      <c r="Q26" s="94"/>
      <c r="R26" s="59" t="s">
        <v>73</v>
      </c>
      <c r="S26" s="60" t="s">
        <v>76</v>
      </c>
      <c r="T26" s="61" t="s">
        <v>51</v>
      </c>
      <c r="U26" s="61" t="s">
        <v>54</v>
      </c>
    </row>
    <row r="27" spans="1:24" ht="18" customHeight="1" x14ac:dyDescent="0.15">
      <c r="B27" s="114" t="s">
        <v>147</v>
      </c>
      <c r="C27" s="115"/>
      <c r="D27" s="115"/>
      <c r="E27" s="115"/>
      <c r="F27" s="116"/>
      <c r="G27" s="62">
        <v>2</v>
      </c>
      <c r="H27" s="62" t="s">
        <v>148</v>
      </c>
      <c r="I27" s="62" t="s">
        <v>148</v>
      </c>
      <c r="J27" s="62" t="s">
        <v>148</v>
      </c>
      <c r="K27" s="114"/>
      <c r="L27" s="115"/>
      <c r="M27" s="115"/>
      <c r="N27" s="115"/>
      <c r="O27" s="115"/>
      <c r="P27" s="115"/>
      <c r="Q27" s="116"/>
      <c r="R27" s="62"/>
      <c r="S27" s="62"/>
      <c r="T27" s="62"/>
      <c r="U27" s="62"/>
    </row>
    <row r="28" spans="1:24" ht="18" customHeight="1" x14ac:dyDescent="0.15">
      <c r="B28" s="108"/>
      <c r="C28" s="109"/>
      <c r="D28" s="109"/>
      <c r="E28" s="109"/>
      <c r="F28" s="110"/>
      <c r="G28" s="63"/>
      <c r="H28" s="63"/>
      <c r="I28" s="63"/>
      <c r="J28" s="63"/>
      <c r="K28" s="108"/>
      <c r="L28" s="109"/>
      <c r="M28" s="109"/>
      <c r="N28" s="109"/>
      <c r="O28" s="109"/>
      <c r="P28" s="109"/>
      <c r="Q28" s="110"/>
      <c r="R28" s="63"/>
      <c r="S28" s="63"/>
      <c r="T28" s="63"/>
      <c r="U28" s="63"/>
    </row>
    <row r="29" spans="1:24" ht="18" customHeight="1" x14ac:dyDescent="0.15">
      <c r="B29" s="108"/>
      <c r="C29" s="109"/>
      <c r="D29" s="109"/>
      <c r="E29" s="109"/>
      <c r="F29" s="110"/>
      <c r="G29" s="63"/>
      <c r="H29" s="63"/>
      <c r="I29" s="63"/>
      <c r="J29" s="63"/>
      <c r="K29" s="108"/>
      <c r="L29" s="109"/>
      <c r="M29" s="109"/>
      <c r="N29" s="109"/>
      <c r="O29" s="109"/>
      <c r="P29" s="109"/>
      <c r="Q29" s="110"/>
      <c r="R29" s="63"/>
      <c r="S29" s="63"/>
      <c r="T29" s="63"/>
      <c r="U29" s="63"/>
    </row>
    <row r="30" spans="1:24" ht="18" customHeight="1" x14ac:dyDescent="0.15">
      <c r="B30" s="108"/>
      <c r="C30" s="109"/>
      <c r="D30" s="109"/>
      <c r="E30" s="109"/>
      <c r="F30" s="110"/>
      <c r="G30" s="63"/>
      <c r="H30" s="63"/>
      <c r="I30" s="63"/>
      <c r="J30" s="63"/>
      <c r="K30" s="108"/>
      <c r="L30" s="109"/>
      <c r="M30" s="109"/>
      <c r="N30" s="109"/>
      <c r="O30" s="109"/>
      <c r="P30" s="109"/>
      <c r="Q30" s="110"/>
      <c r="R30" s="63"/>
      <c r="S30" s="63"/>
      <c r="T30" s="63"/>
      <c r="U30" s="63"/>
    </row>
    <row r="31" spans="1:24" ht="18" customHeight="1" x14ac:dyDescent="0.15">
      <c r="B31" s="108"/>
      <c r="C31" s="109"/>
      <c r="D31" s="109"/>
      <c r="E31" s="109"/>
      <c r="F31" s="110"/>
      <c r="G31" s="63"/>
      <c r="H31" s="63"/>
      <c r="I31" s="63"/>
      <c r="J31" s="63"/>
      <c r="K31" s="108"/>
      <c r="L31" s="109"/>
      <c r="M31" s="109"/>
      <c r="N31" s="109"/>
      <c r="O31" s="109"/>
      <c r="P31" s="109"/>
      <c r="Q31" s="110"/>
      <c r="R31" s="63"/>
      <c r="S31" s="63"/>
      <c r="T31" s="63"/>
      <c r="U31" s="63"/>
    </row>
    <row r="32" spans="1:24" ht="18" customHeight="1" x14ac:dyDescent="0.15">
      <c r="A32" s="3"/>
      <c r="B32" s="108"/>
      <c r="C32" s="109"/>
      <c r="D32" s="109"/>
      <c r="E32" s="109"/>
      <c r="F32" s="110"/>
      <c r="G32" s="63"/>
      <c r="H32" s="63"/>
      <c r="I32" s="63"/>
      <c r="J32" s="63"/>
      <c r="K32" s="108"/>
      <c r="L32" s="109"/>
      <c r="M32" s="109"/>
      <c r="N32" s="109"/>
      <c r="O32" s="109"/>
      <c r="P32" s="109"/>
      <c r="Q32" s="110"/>
      <c r="R32" s="63"/>
      <c r="S32" s="63"/>
      <c r="T32" s="63"/>
      <c r="U32" s="63"/>
    </row>
    <row r="33" spans="1:21" ht="18" customHeight="1" x14ac:dyDescent="0.15">
      <c r="A33" s="3"/>
      <c r="B33" s="111"/>
      <c r="C33" s="112"/>
      <c r="D33" s="112"/>
      <c r="E33" s="112"/>
      <c r="F33" s="113"/>
      <c r="G33" s="64"/>
      <c r="H33" s="64"/>
      <c r="I33" s="65"/>
      <c r="J33" s="65"/>
      <c r="K33" s="111"/>
      <c r="L33" s="112"/>
      <c r="M33" s="112"/>
      <c r="N33" s="112"/>
      <c r="O33" s="112"/>
      <c r="P33" s="112"/>
      <c r="Q33" s="113"/>
      <c r="R33" s="64"/>
      <c r="S33" s="64"/>
      <c r="T33" s="65"/>
      <c r="U33" s="65"/>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7" t="s">
        <v>97</v>
      </c>
      <c r="B35" s="117"/>
      <c r="C35" s="117"/>
      <c r="D35" s="117"/>
      <c r="E35" s="117"/>
      <c r="F35" s="117"/>
      <c r="G35" s="117"/>
      <c r="H35" s="117"/>
      <c r="I35" s="117"/>
      <c r="J35" s="117"/>
      <c r="K35" s="117"/>
      <c r="L35" s="117"/>
      <c r="M35" s="117"/>
      <c r="N35" s="117"/>
      <c r="O35" s="117"/>
      <c r="P35" s="117"/>
      <c r="Q35" s="117"/>
      <c r="R35" s="117"/>
      <c r="S35" s="117"/>
      <c r="T35" s="117"/>
      <c r="U35" s="117"/>
    </row>
    <row r="36" spans="1:21" ht="18" customHeight="1" x14ac:dyDescent="0.15">
      <c r="A36" s="117"/>
      <c r="B36" s="117"/>
      <c r="C36" s="117"/>
      <c r="D36" s="117"/>
      <c r="E36" s="117"/>
      <c r="F36" s="117"/>
      <c r="G36" s="117"/>
      <c r="H36" s="117"/>
      <c r="I36" s="117"/>
      <c r="J36" s="117"/>
      <c r="K36" s="117"/>
      <c r="L36" s="117"/>
      <c r="M36" s="117"/>
      <c r="N36" s="117"/>
      <c r="O36" s="117"/>
      <c r="P36" s="117"/>
      <c r="Q36" s="117"/>
      <c r="R36" s="117"/>
      <c r="S36" s="117"/>
      <c r="T36" s="117"/>
      <c r="U36" s="117"/>
    </row>
    <row r="37" spans="1:21" ht="18" customHeight="1" x14ac:dyDescent="0.15">
      <c r="B37" s="92" t="s">
        <v>48</v>
      </c>
      <c r="C37" s="93"/>
      <c r="D37" s="93"/>
      <c r="E37" s="93"/>
      <c r="F37" s="94"/>
      <c r="G37" s="59" t="s">
        <v>73</v>
      </c>
      <c r="H37" s="60" t="s">
        <v>76</v>
      </c>
      <c r="I37" s="61" t="s">
        <v>64</v>
      </c>
      <c r="J37" s="61" t="s">
        <v>65</v>
      </c>
      <c r="K37" s="92" t="s">
        <v>48</v>
      </c>
      <c r="L37" s="93"/>
      <c r="M37" s="93"/>
      <c r="N37" s="93"/>
      <c r="O37" s="93"/>
      <c r="P37" s="93"/>
      <c r="Q37" s="94"/>
      <c r="R37" s="59" t="s">
        <v>73</v>
      </c>
      <c r="S37" s="60" t="s">
        <v>76</v>
      </c>
      <c r="T37" s="61" t="s">
        <v>64</v>
      </c>
      <c r="U37" s="61" t="s">
        <v>65</v>
      </c>
    </row>
    <row r="38" spans="1:21" ht="18" customHeight="1" x14ac:dyDescent="0.15">
      <c r="B38" s="114" t="s">
        <v>147</v>
      </c>
      <c r="C38" s="115"/>
      <c r="D38" s="115"/>
      <c r="E38" s="115"/>
      <c r="F38" s="116"/>
      <c r="G38" s="62">
        <v>2</v>
      </c>
      <c r="H38" s="62" t="s">
        <v>148</v>
      </c>
      <c r="I38" s="62" t="s">
        <v>148</v>
      </c>
      <c r="J38" s="62" t="s">
        <v>148</v>
      </c>
      <c r="K38" s="114"/>
      <c r="L38" s="115"/>
      <c r="M38" s="115"/>
      <c r="N38" s="115"/>
      <c r="O38" s="115"/>
      <c r="P38" s="115"/>
      <c r="Q38" s="116"/>
      <c r="R38" s="62"/>
      <c r="S38" s="62"/>
      <c r="T38" s="62"/>
      <c r="U38" s="62"/>
    </row>
    <row r="39" spans="1:21" ht="18" customHeight="1" x14ac:dyDescent="0.15">
      <c r="B39" s="108"/>
      <c r="C39" s="109"/>
      <c r="D39" s="109"/>
      <c r="E39" s="109"/>
      <c r="F39" s="110"/>
      <c r="G39" s="63"/>
      <c r="H39" s="63"/>
      <c r="I39" s="63"/>
      <c r="J39" s="63"/>
      <c r="K39" s="108"/>
      <c r="L39" s="109"/>
      <c r="M39" s="109"/>
      <c r="N39" s="109"/>
      <c r="O39" s="109"/>
      <c r="P39" s="109"/>
      <c r="Q39" s="110"/>
      <c r="R39" s="63"/>
      <c r="S39" s="63"/>
      <c r="T39" s="63"/>
      <c r="U39" s="63"/>
    </row>
    <row r="40" spans="1:21" ht="18" customHeight="1" x14ac:dyDescent="0.15">
      <c r="B40" s="108"/>
      <c r="C40" s="109"/>
      <c r="D40" s="109"/>
      <c r="E40" s="109"/>
      <c r="F40" s="110"/>
      <c r="G40" s="63"/>
      <c r="H40" s="63"/>
      <c r="I40" s="63"/>
      <c r="J40" s="63"/>
      <c r="K40" s="108"/>
      <c r="L40" s="109"/>
      <c r="M40" s="109"/>
      <c r="N40" s="109"/>
      <c r="O40" s="109"/>
      <c r="P40" s="109"/>
      <c r="Q40" s="110"/>
      <c r="R40" s="63"/>
      <c r="S40" s="63"/>
      <c r="T40" s="63"/>
      <c r="U40" s="63"/>
    </row>
    <row r="41" spans="1:21" ht="18" customHeight="1" x14ac:dyDescent="0.15">
      <c r="B41" s="108"/>
      <c r="C41" s="109"/>
      <c r="D41" s="109"/>
      <c r="E41" s="109"/>
      <c r="F41" s="110"/>
      <c r="G41" s="63"/>
      <c r="H41" s="63"/>
      <c r="I41" s="63"/>
      <c r="J41" s="63"/>
      <c r="K41" s="108"/>
      <c r="L41" s="109"/>
      <c r="M41" s="109"/>
      <c r="N41" s="109"/>
      <c r="O41" s="109"/>
      <c r="P41" s="109"/>
      <c r="Q41" s="110"/>
      <c r="R41" s="63"/>
      <c r="S41" s="63"/>
      <c r="T41" s="63"/>
      <c r="U41" s="63"/>
    </row>
    <row r="42" spans="1:21" ht="18" customHeight="1" x14ac:dyDescent="0.15">
      <c r="B42" s="108"/>
      <c r="C42" s="109"/>
      <c r="D42" s="109"/>
      <c r="E42" s="109"/>
      <c r="F42" s="110"/>
      <c r="G42" s="63"/>
      <c r="H42" s="63"/>
      <c r="I42" s="63"/>
      <c r="J42" s="63"/>
      <c r="K42" s="108"/>
      <c r="L42" s="109"/>
      <c r="M42" s="109"/>
      <c r="N42" s="109"/>
      <c r="O42" s="109"/>
      <c r="P42" s="109"/>
      <c r="Q42" s="110"/>
      <c r="R42" s="63"/>
      <c r="S42" s="63"/>
      <c r="T42" s="63"/>
      <c r="U42" s="63"/>
    </row>
    <row r="43" spans="1:21" ht="18" customHeight="1" x14ac:dyDescent="0.15">
      <c r="B43" s="108"/>
      <c r="C43" s="109"/>
      <c r="D43" s="109"/>
      <c r="E43" s="109"/>
      <c r="F43" s="110"/>
      <c r="G43" s="63"/>
      <c r="H43" s="63"/>
      <c r="I43" s="63"/>
      <c r="J43" s="63"/>
      <c r="K43" s="108"/>
      <c r="L43" s="109"/>
      <c r="M43" s="109"/>
      <c r="N43" s="109"/>
      <c r="O43" s="109"/>
      <c r="P43" s="109"/>
      <c r="Q43" s="110"/>
      <c r="R43" s="63"/>
      <c r="S43" s="63"/>
      <c r="T43" s="63"/>
      <c r="U43" s="63"/>
    </row>
    <row r="44" spans="1:21" ht="18" customHeight="1" x14ac:dyDescent="0.15">
      <c r="B44" s="111"/>
      <c r="C44" s="112"/>
      <c r="D44" s="112"/>
      <c r="E44" s="112"/>
      <c r="F44" s="113"/>
      <c r="G44" s="64"/>
      <c r="H44" s="64"/>
      <c r="I44" s="65"/>
      <c r="J44" s="65"/>
      <c r="K44" s="111"/>
      <c r="L44" s="112"/>
      <c r="M44" s="112"/>
      <c r="N44" s="112"/>
      <c r="O44" s="112"/>
      <c r="P44" s="112"/>
      <c r="Q44" s="113"/>
      <c r="R44" s="64"/>
      <c r="S44" s="64"/>
      <c r="T44" s="65"/>
      <c r="U44" s="65"/>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7" t="s">
        <v>98</v>
      </c>
      <c r="B46" s="117"/>
      <c r="C46" s="117"/>
      <c r="D46" s="117"/>
      <c r="E46" s="117"/>
      <c r="F46" s="117"/>
      <c r="G46" s="117"/>
      <c r="H46" s="117"/>
      <c r="I46" s="117"/>
      <c r="J46" s="117"/>
      <c r="K46" s="117"/>
      <c r="L46" s="117"/>
      <c r="M46" s="117"/>
      <c r="N46" s="117"/>
      <c r="O46" s="117"/>
      <c r="P46" s="117"/>
      <c r="Q46" s="117"/>
      <c r="R46" s="117"/>
      <c r="S46" s="117"/>
      <c r="T46" s="117"/>
      <c r="U46" s="117"/>
    </row>
    <row r="47" spans="1:21" ht="18" customHeight="1" x14ac:dyDescent="0.15">
      <c r="A47" s="117"/>
      <c r="B47" s="117"/>
      <c r="C47" s="117"/>
      <c r="D47" s="117"/>
      <c r="E47" s="117"/>
      <c r="F47" s="117"/>
      <c r="G47" s="117"/>
      <c r="H47" s="117"/>
      <c r="I47" s="117"/>
      <c r="J47" s="117"/>
      <c r="K47" s="117"/>
      <c r="L47" s="117"/>
      <c r="M47" s="117"/>
      <c r="N47" s="117"/>
      <c r="O47" s="117"/>
      <c r="P47" s="117"/>
      <c r="Q47" s="117"/>
      <c r="R47" s="117"/>
      <c r="S47" s="117"/>
      <c r="T47" s="117"/>
      <c r="U47" s="117"/>
    </row>
    <row r="48" spans="1:21" ht="18" customHeight="1" x14ac:dyDescent="0.15">
      <c r="B48" s="92" t="s">
        <v>48</v>
      </c>
      <c r="C48" s="93"/>
      <c r="D48" s="93"/>
      <c r="E48" s="93"/>
      <c r="F48" s="94"/>
      <c r="G48" s="59" t="s">
        <v>73</v>
      </c>
      <c r="H48" s="60" t="s">
        <v>76</v>
      </c>
      <c r="I48" s="61" t="s">
        <v>66</v>
      </c>
      <c r="J48" s="61" t="s">
        <v>67</v>
      </c>
      <c r="K48" s="92" t="s">
        <v>48</v>
      </c>
      <c r="L48" s="93"/>
      <c r="M48" s="93"/>
      <c r="N48" s="93"/>
      <c r="O48" s="93"/>
      <c r="P48" s="93"/>
      <c r="Q48" s="94"/>
      <c r="R48" s="59" t="s">
        <v>73</v>
      </c>
      <c r="S48" s="60" t="s">
        <v>76</v>
      </c>
      <c r="T48" s="61" t="s">
        <v>66</v>
      </c>
      <c r="U48" s="61" t="s">
        <v>67</v>
      </c>
    </row>
    <row r="49" spans="1:21" ht="18" customHeight="1" x14ac:dyDescent="0.15">
      <c r="A49" s="3"/>
      <c r="B49" s="114" t="s">
        <v>147</v>
      </c>
      <c r="C49" s="115"/>
      <c r="D49" s="115"/>
      <c r="E49" s="115"/>
      <c r="F49" s="116"/>
      <c r="G49" s="62">
        <v>2</v>
      </c>
      <c r="H49" s="62" t="s">
        <v>148</v>
      </c>
      <c r="I49" s="62" t="s">
        <v>148</v>
      </c>
      <c r="J49" s="62" t="s">
        <v>148</v>
      </c>
      <c r="K49" s="114"/>
      <c r="L49" s="115"/>
      <c r="M49" s="115"/>
      <c r="N49" s="115"/>
      <c r="O49" s="115"/>
      <c r="P49" s="115"/>
      <c r="Q49" s="116"/>
      <c r="R49" s="62"/>
      <c r="S49" s="62"/>
      <c r="T49" s="62"/>
      <c r="U49" s="62"/>
    </row>
    <row r="50" spans="1:21" ht="18" customHeight="1" x14ac:dyDescent="0.15">
      <c r="A50" s="3"/>
      <c r="B50" s="108"/>
      <c r="C50" s="109"/>
      <c r="D50" s="109"/>
      <c r="E50" s="109"/>
      <c r="F50" s="110"/>
      <c r="G50" s="63"/>
      <c r="H50" s="63"/>
      <c r="I50" s="63"/>
      <c r="J50" s="63"/>
      <c r="K50" s="108"/>
      <c r="L50" s="109"/>
      <c r="M50" s="109"/>
      <c r="N50" s="109"/>
      <c r="O50" s="109"/>
      <c r="P50" s="109"/>
      <c r="Q50" s="110"/>
      <c r="R50" s="63"/>
      <c r="S50" s="63"/>
      <c r="T50" s="63"/>
      <c r="U50" s="63"/>
    </row>
    <row r="51" spans="1:21" ht="18" customHeight="1" x14ac:dyDescent="0.15">
      <c r="A51" s="3"/>
      <c r="B51" s="108"/>
      <c r="C51" s="109"/>
      <c r="D51" s="109"/>
      <c r="E51" s="109"/>
      <c r="F51" s="110"/>
      <c r="G51" s="63"/>
      <c r="H51" s="63"/>
      <c r="I51" s="63"/>
      <c r="J51" s="63"/>
      <c r="K51" s="108"/>
      <c r="L51" s="109"/>
      <c r="M51" s="109"/>
      <c r="N51" s="109"/>
      <c r="O51" s="109"/>
      <c r="P51" s="109"/>
      <c r="Q51" s="110"/>
      <c r="R51" s="63"/>
      <c r="S51" s="63"/>
      <c r="T51" s="63"/>
      <c r="U51" s="63"/>
    </row>
    <row r="52" spans="1:21" ht="18" customHeight="1" x14ac:dyDescent="0.15">
      <c r="A52" s="3"/>
      <c r="B52" s="108"/>
      <c r="C52" s="109"/>
      <c r="D52" s="109"/>
      <c r="E52" s="109"/>
      <c r="F52" s="110"/>
      <c r="G52" s="63"/>
      <c r="H52" s="63"/>
      <c r="I52" s="63"/>
      <c r="J52" s="63"/>
      <c r="K52" s="108"/>
      <c r="L52" s="109"/>
      <c r="M52" s="109"/>
      <c r="N52" s="109"/>
      <c r="O52" s="109"/>
      <c r="P52" s="109"/>
      <c r="Q52" s="110"/>
      <c r="R52" s="63"/>
      <c r="S52" s="63"/>
      <c r="T52" s="63"/>
      <c r="U52" s="63"/>
    </row>
    <row r="53" spans="1:21" ht="18" customHeight="1" x14ac:dyDescent="0.15">
      <c r="A53" s="3"/>
      <c r="B53" s="108"/>
      <c r="C53" s="109"/>
      <c r="D53" s="109"/>
      <c r="E53" s="109"/>
      <c r="F53" s="110"/>
      <c r="G53" s="63"/>
      <c r="H53" s="63"/>
      <c r="I53" s="63"/>
      <c r="J53" s="63"/>
      <c r="K53" s="108"/>
      <c r="L53" s="109"/>
      <c r="M53" s="109"/>
      <c r="N53" s="109"/>
      <c r="O53" s="109"/>
      <c r="P53" s="109"/>
      <c r="Q53" s="110"/>
      <c r="R53" s="63"/>
      <c r="S53" s="63"/>
      <c r="T53" s="63"/>
      <c r="U53" s="63"/>
    </row>
    <row r="54" spans="1:21" ht="18" customHeight="1" x14ac:dyDescent="0.15">
      <c r="A54" s="3"/>
      <c r="B54" s="108"/>
      <c r="C54" s="109"/>
      <c r="D54" s="109"/>
      <c r="E54" s="109"/>
      <c r="F54" s="110"/>
      <c r="G54" s="63"/>
      <c r="H54" s="63"/>
      <c r="I54" s="63"/>
      <c r="J54" s="63"/>
      <c r="K54" s="108"/>
      <c r="L54" s="109"/>
      <c r="M54" s="109"/>
      <c r="N54" s="109"/>
      <c r="O54" s="109"/>
      <c r="P54" s="109"/>
      <c r="Q54" s="110"/>
      <c r="R54" s="63"/>
      <c r="S54" s="63"/>
      <c r="T54" s="63"/>
      <c r="U54" s="63"/>
    </row>
    <row r="55" spans="1:21" ht="18" customHeight="1" x14ac:dyDescent="0.15">
      <c r="A55" s="3"/>
      <c r="B55" s="111"/>
      <c r="C55" s="112"/>
      <c r="D55" s="112"/>
      <c r="E55" s="112"/>
      <c r="F55" s="113"/>
      <c r="G55" s="64"/>
      <c r="H55" s="64"/>
      <c r="I55" s="65"/>
      <c r="J55" s="65"/>
      <c r="K55" s="111"/>
      <c r="L55" s="112"/>
      <c r="M55" s="112"/>
      <c r="N55" s="112"/>
      <c r="O55" s="112"/>
      <c r="P55" s="112"/>
      <c r="Q55" s="113"/>
      <c r="R55" s="64"/>
      <c r="S55" s="64"/>
      <c r="T55" s="65"/>
      <c r="U55" s="65"/>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7" t="s">
        <v>99</v>
      </c>
      <c r="B57" s="117"/>
      <c r="C57" s="117"/>
      <c r="D57" s="117"/>
      <c r="E57" s="117"/>
      <c r="F57" s="117"/>
      <c r="G57" s="117"/>
      <c r="H57" s="117"/>
      <c r="I57" s="117"/>
      <c r="J57" s="117"/>
      <c r="K57" s="117"/>
      <c r="L57" s="117"/>
      <c r="M57" s="117"/>
      <c r="N57" s="117"/>
      <c r="O57" s="117"/>
      <c r="P57" s="117"/>
      <c r="Q57" s="117"/>
      <c r="R57" s="117"/>
      <c r="S57" s="117"/>
      <c r="T57" s="117"/>
      <c r="U57" s="117"/>
    </row>
    <row r="58" spans="1:21" ht="18" customHeight="1" x14ac:dyDescent="0.15">
      <c r="A58" s="117"/>
      <c r="B58" s="117"/>
      <c r="C58" s="117"/>
      <c r="D58" s="117"/>
      <c r="E58" s="117"/>
      <c r="F58" s="117"/>
      <c r="G58" s="117"/>
      <c r="H58" s="117"/>
      <c r="I58" s="117"/>
      <c r="J58" s="117"/>
      <c r="K58" s="117"/>
      <c r="L58" s="117"/>
      <c r="M58" s="117"/>
      <c r="N58" s="117"/>
      <c r="O58" s="117"/>
      <c r="P58" s="117"/>
      <c r="Q58" s="117"/>
      <c r="R58" s="117"/>
      <c r="S58" s="117"/>
      <c r="T58" s="117"/>
      <c r="U58" s="117"/>
    </row>
    <row r="59" spans="1:21" ht="18" customHeight="1" x14ac:dyDescent="0.15">
      <c r="B59" s="92" t="s">
        <v>48</v>
      </c>
      <c r="C59" s="93"/>
      <c r="D59" s="93"/>
      <c r="E59" s="93"/>
      <c r="F59" s="94"/>
      <c r="G59" s="59" t="s">
        <v>73</v>
      </c>
      <c r="H59" s="60" t="s">
        <v>76</v>
      </c>
      <c r="I59" s="61" t="s">
        <v>53</v>
      </c>
      <c r="J59" s="61" t="s">
        <v>55</v>
      </c>
      <c r="K59" s="92" t="s">
        <v>48</v>
      </c>
      <c r="L59" s="93"/>
      <c r="M59" s="93"/>
      <c r="N59" s="93"/>
      <c r="O59" s="93"/>
      <c r="P59" s="93"/>
      <c r="Q59" s="94"/>
      <c r="R59" s="59" t="s">
        <v>73</v>
      </c>
      <c r="S59" s="60" t="s">
        <v>76</v>
      </c>
      <c r="T59" s="61" t="s">
        <v>53</v>
      </c>
      <c r="U59" s="61" t="s">
        <v>55</v>
      </c>
    </row>
    <row r="60" spans="1:21" ht="18" customHeight="1" x14ac:dyDescent="0.15">
      <c r="A60" s="3"/>
      <c r="B60" s="114" t="s">
        <v>147</v>
      </c>
      <c r="C60" s="115"/>
      <c r="D60" s="115"/>
      <c r="E60" s="115"/>
      <c r="F60" s="116"/>
      <c r="G60" s="62">
        <v>2</v>
      </c>
      <c r="H60" s="62" t="s">
        <v>148</v>
      </c>
      <c r="I60" s="62" t="s">
        <v>148</v>
      </c>
      <c r="J60" s="62" t="s">
        <v>148</v>
      </c>
      <c r="K60" s="114"/>
      <c r="L60" s="115"/>
      <c r="M60" s="115"/>
      <c r="N60" s="115"/>
      <c r="O60" s="115"/>
      <c r="P60" s="115"/>
      <c r="Q60" s="116"/>
      <c r="R60" s="62"/>
      <c r="S60" s="62"/>
      <c r="T60" s="62"/>
      <c r="U60" s="62"/>
    </row>
    <row r="61" spans="1:21" ht="18" customHeight="1" x14ac:dyDescent="0.15">
      <c r="A61" s="3"/>
      <c r="B61" s="108"/>
      <c r="C61" s="109"/>
      <c r="D61" s="109"/>
      <c r="E61" s="109"/>
      <c r="F61" s="110"/>
      <c r="G61" s="63"/>
      <c r="H61" s="63"/>
      <c r="I61" s="63"/>
      <c r="J61" s="63"/>
      <c r="K61" s="108"/>
      <c r="L61" s="109"/>
      <c r="M61" s="109"/>
      <c r="N61" s="109"/>
      <c r="O61" s="109"/>
      <c r="P61" s="109"/>
      <c r="Q61" s="110"/>
      <c r="R61" s="63"/>
      <c r="S61" s="63"/>
      <c r="T61" s="63"/>
      <c r="U61" s="63"/>
    </row>
    <row r="62" spans="1:21" ht="18" customHeight="1" x14ac:dyDescent="0.15">
      <c r="A62" s="3"/>
      <c r="B62" s="108"/>
      <c r="C62" s="109"/>
      <c r="D62" s="109"/>
      <c r="E62" s="109"/>
      <c r="F62" s="110"/>
      <c r="G62" s="63"/>
      <c r="H62" s="63"/>
      <c r="I62" s="63"/>
      <c r="J62" s="63"/>
      <c r="K62" s="108"/>
      <c r="L62" s="109"/>
      <c r="M62" s="109"/>
      <c r="N62" s="109"/>
      <c r="O62" s="109"/>
      <c r="P62" s="109"/>
      <c r="Q62" s="110"/>
      <c r="R62" s="63"/>
      <c r="S62" s="63"/>
      <c r="T62" s="63"/>
      <c r="U62" s="63"/>
    </row>
    <row r="63" spans="1:21" ht="18" customHeight="1" x14ac:dyDescent="0.15">
      <c r="A63" s="3"/>
      <c r="B63" s="108"/>
      <c r="C63" s="109"/>
      <c r="D63" s="109"/>
      <c r="E63" s="109"/>
      <c r="F63" s="110"/>
      <c r="G63" s="63"/>
      <c r="H63" s="63"/>
      <c r="I63" s="63"/>
      <c r="J63" s="63"/>
      <c r="K63" s="108"/>
      <c r="L63" s="109"/>
      <c r="M63" s="109"/>
      <c r="N63" s="109"/>
      <c r="O63" s="109"/>
      <c r="P63" s="109"/>
      <c r="Q63" s="110"/>
      <c r="R63" s="63"/>
      <c r="S63" s="63"/>
      <c r="T63" s="63"/>
      <c r="U63" s="63"/>
    </row>
    <row r="64" spans="1:21" ht="18" customHeight="1" x14ac:dyDescent="0.15">
      <c r="A64" s="3"/>
      <c r="B64" s="108"/>
      <c r="C64" s="109"/>
      <c r="D64" s="109"/>
      <c r="E64" s="109"/>
      <c r="F64" s="110"/>
      <c r="G64" s="63"/>
      <c r="H64" s="63"/>
      <c r="I64" s="63"/>
      <c r="J64" s="63"/>
      <c r="K64" s="108"/>
      <c r="L64" s="109"/>
      <c r="M64" s="109"/>
      <c r="N64" s="109"/>
      <c r="O64" s="109"/>
      <c r="P64" s="109"/>
      <c r="Q64" s="110"/>
      <c r="R64" s="63"/>
      <c r="S64" s="63"/>
      <c r="T64" s="63"/>
      <c r="U64" s="63"/>
    </row>
    <row r="65" spans="1:27" ht="18" customHeight="1" x14ac:dyDescent="0.15">
      <c r="A65" s="3"/>
      <c r="B65" s="108"/>
      <c r="C65" s="109"/>
      <c r="D65" s="109"/>
      <c r="E65" s="109"/>
      <c r="F65" s="110"/>
      <c r="G65" s="63"/>
      <c r="H65" s="63"/>
      <c r="I65" s="63"/>
      <c r="J65" s="63"/>
      <c r="K65" s="108"/>
      <c r="L65" s="109"/>
      <c r="M65" s="109"/>
      <c r="N65" s="109"/>
      <c r="O65" s="109"/>
      <c r="P65" s="109"/>
      <c r="Q65" s="110"/>
      <c r="R65" s="63"/>
      <c r="S65" s="63"/>
      <c r="T65" s="63"/>
      <c r="U65" s="63"/>
    </row>
    <row r="66" spans="1:27" ht="18" customHeight="1" x14ac:dyDescent="0.15">
      <c r="A66" s="3"/>
      <c r="B66" s="111"/>
      <c r="C66" s="112"/>
      <c r="D66" s="112"/>
      <c r="E66" s="112"/>
      <c r="F66" s="113"/>
      <c r="G66" s="64"/>
      <c r="H66" s="64"/>
      <c r="I66" s="65"/>
      <c r="J66" s="65"/>
      <c r="K66" s="111"/>
      <c r="L66" s="112"/>
      <c r="M66" s="112"/>
      <c r="N66" s="112"/>
      <c r="O66" s="112"/>
      <c r="P66" s="112"/>
      <c r="Q66" s="113"/>
      <c r="R66" s="64"/>
      <c r="S66" s="64"/>
      <c r="T66" s="65"/>
      <c r="U66" s="65"/>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7" t="s">
        <v>100</v>
      </c>
      <c r="B68" s="117"/>
      <c r="C68" s="117"/>
      <c r="D68" s="117"/>
      <c r="E68" s="117"/>
      <c r="F68" s="117"/>
      <c r="G68" s="117"/>
      <c r="H68" s="117"/>
      <c r="I68" s="117"/>
      <c r="J68" s="117"/>
      <c r="K68" s="117"/>
      <c r="L68" s="117"/>
      <c r="M68" s="117"/>
      <c r="N68" s="117"/>
      <c r="O68" s="117"/>
      <c r="P68" s="117"/>
      <c r="Q68" s="117"/>
      <c r="R68" s="117"/>
      <c r="S68" s="117"/>
      <c r="T68" s="117"/>
      <c r="U68" s="117"/>
    </row>
    <row r="69" spans="1:27" ht="18" customHeight="1" x14ac:dyDescent="0.15">
      <c r="A69" s="117"/>
      <c r="B69" s="117"/>
      <c r="C69" s="117"/>
      <c r="D69" s="117"/>
      <c r="E69" s="117"/>
      <c r="F69" s="117"/>
      <c r="G69" s="117"/>
      <c r="H69" s="117"/>
      <c r="I69" s="117"/>
      <c r="J69" s="117"/>
      <c r="K69" s="117"/>
      <c r="L69" s="117"/>
      <c r="M69" s="117"/>
      <c r="N69" s="117"/>
      <c r="O69" s="117"/>
      <c r="P69" s="117"/>
      <c r="Q69" s="117"/>
      <c r="R69" s="117"/>
      <c r="S69" s="117"/>
      <c r="T69" s="117"/>
      <c r="U69" s="117"/>
    </row>
    <row r="70" spans="1:27" ht="18" customHeight="1" x14ac:dyDescent="0.15">
      <c r="B70" s="92" t="s">
        <v>48</v>
      </c>
      <c r="C70" s="93"/>
      <c r="D70" s="93"/>
      <c r="E70" s="93"/>
      <c r="F70" s="59" t="s">
        <v>73</v>
      </c>
      <c r="G70" s="60" t="s">
        <v>76</v>
      </c>
      <c r="H70" s="61" t="s">
        <v>87</v>
      </c>
      <c r="I70" s="61" t="s">
        <v>68</v>
      </c>
      <c r="J70" s="61" t="s">
        <v>69</v>
      </c>
      <c r="K70" s="92" t="s">
        <v>48</v>
      </c>
      <c r="L70" s="93"/>
      <c r="M70" s="93"/>
      <c r="N70" s="93"/>
      <c r="O70" s="93"/>
      <c r="P70" s="94"/>
      <c r="Q70" s="59" t="s">
        <v>73</v>
      </c>
      <c r="R70" s="60" t="s">
        <v>76</v>
      </c>
      <c r="S70" s="61" t="s">
        <v>87</v>
      </c>
      <c r="T70" s="61" t="s">
        <v>68</v>
      </c>
      <c r="U70" s="61" t="s">
        <v>69</v>
      </c>
    </row>
    <row r="71" spans="1:27" ht="18" customHeight="1" x14ac:dyDescent="0.15">
      <c r="A71" s="3"/>
      <c r="B71" s="114" t="s">
        <v>147</v>
      </c>
      <c r="C71" s="115"/>
      <c r="D71" s="115"/>
      <c r="E71" s="115"/>
      <c r="F71" s="62">
        <v>2</v>
      </c>
      <c r="G71" s="62" t="s">
        <v>148</v>
      </c>
      <c r="H71" s="62" t="s">
        <v>148</v>
      </c>
      <c r="I71" s="62" t="s">
        <v>148</v>
      </c>
      <c r="J71" s="62" t="s">
        <v>148</v>
      </c>
      <c r="K71" s="114"/>
      <c r="L71" s="115"/>
      <c r="M71" s="115"/>
      <c r="N71" s="115"/>
      <c r="O71" s="115"/>
      <c r="P71" s="116"/>
      <c r="Q71" s="62"/>
      <c r="R71" s="62"/>
      <c r="S71" s="62"/>
      <c r="T71" s="62"/>
      <c r="U71" s="62"/>
    </row>
    <row r="72" spans="1:27" ht="18" customHeight="1" x14ac:dyDescent="0.15">
      <c r="A72" s="3"/>
      <c r="B72" s="108"/>
      <c r="C72" s="109"/>
      <c r="D72" s="109"/>
      <c r="E72" s="109"/>
      <c r="F72" s="63"/>
      <c r="G72" s="63"/>
      <c r="H72" s="63"/>
      <c r="I72" s="63"/>
      <c r="J72" s="63"/>
      <c r="K72" s="108"/>
      <c r="L72" s="109"/>
      <c r="M72" s="109"/>
      <c r="N72" s="109"/>
      <c r="O72" s="109"/>
      <c r="P72" s="110"/>
      <c r="Q72" s="63"/>
      <c r="R72" s="63"/>
      <c r="S72" s="63"/>
      <c r="T72" s="63"/>
      <c r="U72" s="63"/>
    </row>
    <row r="73" spans="1:27" ht="18" customHeight="1" x14ac:dyDescent="0.15">
      <c r="A73" s="3"/>
      <c r="B73" s="108"/>
      <c r="C73" s="109"/>
      <c r="D73" s="109"/>
      <c r="E73" s="109"/>
      <c r="F73" s="63"/>
      <c r="G73" s="63"/>
      <c r="H73" s="63"/>
      <c r="I73" s="63"/>
      <c r="J73" s="63"/>
      <c r="K73" s="108"/>
      <c r="L73" s="109"/>
      <c r="M73" s="109"/>
      <c r="N73" s="109"/>
      <c r="O73" s="109"/>
      <c r="P73" s="110"/>
      <c r="Q73" s="63"/>
      <c r="R73" s="63"/>
      <c r="S73" s="63"/>
      <c r="T73" s="63"/>
      <c r="U73" s="63"/>
    </row>
    <row r="74" spans="1:27" ht="18" customHeight="1" x14ac:dyDescent="0.15">
      <c r="A74" s="3"/>
      <c r="B74" s="108"/>
      <c r="C74" s="109"/>
      <c r="D74" s="109"/>
      <c r="E74" s="109"/>
      <c r="F74" s="63"/>
      <c r="G74" s="63"/>
      <c r="H74" s="63"/>
      <c r="I74" s="63"/>
      <c r="J74" s="63"/>
      <c r="K74" s="108"/>
      <c r="L74" s="109"/>
      <c r="M74" s="109"/>
      <c r="N74" s="109"/>
      <c r="O74" s="109"/>
      <c r="P74" s="110"/>
      <c r="Q74" s="63"/>
      <c r="R74" s="63"/>
      <c r="S74" s="63"/>
      <c r="T74" s="63"/>
      <c r="U74" s="63"/>
    </row>
    <row r="75" spans="1:27" ht="18" customHeight="1" x14ac:dyDescent="0.15">
      <c r="A75" s="3"/>
      <c r="B75" s="108"/>
      <c r="C75" s="109"/>
      <c r="D75" s="109"/>
      <c r="E75" s="109"/>
      <c r="F75" s="63"/>
      <c r="G75" s="63"/>
      <c r="H75" s="63"/>
      <c r="I75" s="63"/>
      <c r="J75" s="63"/>
      <c r="K75" s="108"/>
      <c r="L75" s="109"/>
      <c r="M75" s="109"/>
      <c r="N75" s="109"/>
      <c r="O75" s="109"/>
      <c r="P75" s="110"/>
      <c r="Q75" s="63"/>
      <c r="R75" s="63"/>
      <c r="S75" s="63"/>
      <c r="T75" s="63"/>
      <c r="U75" s="63"/>
    </row>
    <row r="76" spans="1:27" ht="18" customHeight="1" x14ac:dyDescent="0.15">
      <c r="A76" s="3"/>
      <c r="B76" s="108"/>
      <c r="C76" s="109"/>
      <c r="D76" s="109"/>
      <c r="E76" s="109"/>
      <c r="F76" s="63"/>
      <c r="G76" s="63"/>
      <c r="H76" s="63"/>
      <c r="I76" s="63"/>
      <c r="J76" s="63"/>
      <c r="K76" s="108"/>
      <c r="L76" s="109"/>
      <c r="M76" s="109"/>
      <c r="N76" s="109"/>
      <c r="O76" s="109"/>
      <c r="P76" s="110"/>
      <c r="Q76" s="63"/>
      <c r="R76" s="63"/>
      <c r="S76" s="63"/>
      <c r="T76" s="63"/>
      <c r="U76" s="63"/>
    </row>
    <row r="77" spans="1:27" ht="18" customHeight="1" x14ac:dyDescent="0.15">
      <c r="A77" s="3"/>
      <c r="B77" s="111"/>
      <c r="C77" s="112"/>
      <c r="D77" s="112"/>
      <c r="E77" s="112"/>
      <c r="F77" s="64"/>
      <c r="G77" s="64"/>
      <c r="H77" s="65"/>
      <c r="I77" s="65"/>
      <c r="J77" s="65"/>
      <c r="K77" s="111"/>
      <c r="L77" s="112"/>
      <c r="M77" s="112"/>
      <c r="N77" s="112"/>
      <c r="O77" s="112"/>
      <c r="P77" s="113"/>
      <c r="Q77" s="64"/>
      <c r="R77" s="64"/>
      <c r="S77" s="65"/>
      <c r="T77" s="65"/>
      <c r="U77" s="65"/>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2" t="s">
        <v>48</v>
      </c>
      <c r="C80" s="93"/>
      <c r="D80" s="93"/>
      <c r="E80" s="93"/>
      <c r="F80" s="94"/>
      <c r="G80" s="92" t="s">
        <v>74</v>
      </c>
      <c r="H80" s="93"/>
      <c r="I80" s="93"/>
      <c r="J80" s="94"/>
      <c r="K80" s="150" t="s">
        <v>48</v>
      </c>
      <c r="L80" s="151"/>
      <c r="M80" s="151"/>
      <c r="N80" s="151"/>
      <c r="O80" s="151"/>
      <c r="P80" s="151"/>
      <c r="Q80" s="152"/>
      <c r="R80" s="92" t="s">
        <v>74</v>
      </c>
      <c r="S80" s="93"/>
      <c r="T80" s="93"/>
      <c r="U80" s="94"/>
      <c r="AA80" s="1" t="s">
        <v>138</v>
      </c>
    </row>
    <row r="81" spans="1:27" ht="18" customHeight="1" x14ac:dyDescent="0.15">
      <c r="A81" s="3"/>
      <c r="B81" s="114"/>
      <c r="C81" s="115"/>
      <c r="D81" s="115"/>
      <c r="E81" s="115"/>
      <c r="F81" s="116"/>
      <c r="G81" s="153"/>
      <c r="H81" s="154"/>
      <c r="I81" s="154"/>
      <c r="J81" s="155"/>
      <c r="K81" s="114"/>
      <c r="L81" s="115"/>
      <c r="M81" s="115"/>
      <c r="N81" s="115"/>
      <c r="O81" s="115"/>
      <c r="P81" s="115"/>
      <c r="Q81" s="116"/>
      <c r="R81" s="153"/>
      <c r="S81" s="154"/>
      <c r="T81" s="154"/>
      <c r="U81" s="155"/>
      <c r="AA81" s="1" t="s">
        <v>131</v>
      </c>
    </row>
    <row r="82" spans="1:27" ht="18" customHeight="1" x14ac:dyDescent="0.15">
      <c r="A82" s="3"/>
      <c r="B82" s="108"/>
      <c r="C82" s="109"/>
      <c r="D82" s="109"/>
      <c r="E82" s="109"/>
      <c r="F82" s="110"/>
      <c r="G82" s="145"/>
      <c r="H82" s="146"/>
      <c r="I82" s="146"/>
      <c r="J82" s="147"/>
      <c r="K82" s="108"/>
      <c r="L82" s="109"/>
      <c r="M82" s="109"/>
      <c r="N82" s="109"/>
      <c r="O82" s="109"/>
      <c r="P82" s="109"/>
      <c r="Q82" s="110"/>
      <c r="R82" s="145"/>
      <c r="S82" s="146"/>
      <c r="T82" s="146"/>
      <c r="U82" s="147"/>
      <c r="AA82" s="1" t="s">
        <v>132</v>
      </c>
    </row>
    <row r="83" spans="1:27" ht="18" customHeight="1" x14ac:dyDescent="0.15">
      <c r="A83" s="3"/>
      <c r="B83" s="108"/>
      <c r="C83" s="109"/>
      <c r="D83" s="109"/>
      <c r="E83" s="109"/>
      <c r="F83" s="110"/>
      <c r="G83" s="145"/>
      <c r="H83" s="146"/>
      <c r="I83" s="146"/>
      <c r="J83" s="147"/>
      <c r="K83" s="108"/>
      <c r="L83" s="109"/>
      <c r="M83" s="109"/>
      <c r="N83" s="109"/>
      <c r="O83" s="109"/>
      <c r="P83" s="109"/>
      <c r="Q83" s="110"/>
      <c r="R83" s="145"/>
      <c r="S83" s="146"/>
      <c r="T83" s="146"/>
      <c r="U83" s="147"/>
      <c r="AA83" s="1" t="s">
        <v>133</v>
      </c>
    </row>
    <row r="84" spans="1:27" ht="18" customHeight="1" x14ac:dyDescent="0.15">
      <c r="A84" s="3"/>
      <c r="B84" s="108"/>
      <c r="C84" s="109"/>
      <c r="D84" s="109"/>
      <c r="E84" s="109"/>
      <c r="F84" s="110"/>
      <c r="G84" s="145"/>
      <c r="H84" s="146"/>
      <c r="I84" s="146"/>
      <c r="J84" s="147"/>
      <c r="K84" s="108"/>
      <c r="L84" s="109"/>
      <c r="M84" s="109"/>
      <c r="N84" s="109"/>
      <c r="O84" s="109"/>
      <c r="P84" s="109"/>
      <c r="Q84" s="110"/>
      <c r="R84" s="145"/>
      <c r="S84" s="146"/>
      <c r="T84" s="146"/>
      <c r="U84" s="147"/>
      <c r="AA84" s="1" t="s">
        <v>139</v>
      </c>
    </row>
    <row r="85" spans="1:27" ht="18" customHeight="1" x14ac:dyDescent="0.15">
      <c r="A85" s="3"/>
      <c r="B85" s="108"/>
      <c r="C85" s="109"/>
      <c r="D85" s="109"/>
      <c r="E85" s="109"/>
      <c r="F85" s="110"/>
      <c r="G85" s="145"/>
      <c r="H85" s="146"/>
      <c r="I85" s="146"/>
      <c r="J85" s="147"/>
      <c r="K85" s="108"/>
      <c r="L85" s="109"/>
      <c r="M85" s="109"/>
      <c r="N85" s="109"/>
      <c r="O85" s="109"/>
      <c r="P85" s="109"/>
      <c r="Q85" s="110"/>
      <c r="R85" s="145"/>
      <c r="S85" s="146"/>
      <c r="T85" s="146"/>
      <c r="U85" s="147"/>
      <c r="AA85" s="1" t="s">
        <v>140</v>
      </c>
    </row>
    <row r="86" spans="1:27" ht="18" customHeight="1" x14ac:dyDescent="0.15">
      <c r="A86" s="3"/>
      <c r="B86" s="108"/>
      <c r="C86" s="109"/>
      <c r="D86" s="109"/>
      <c r="E86" s="109"/>
      <c r="F86" s="110"/>
      <c r="G86" s="145"/>
      <c r="H86" s="146"/>
      <c r="I86" s="146"/>
      <c r="J86" s="147"/>
      <c r="K86" s="108"/>
      <c r="L86" s="109"/>
      <c r="M86" s="109"/>
      <c r="N86" s="109"/>
      <c r="O86" s="109"/>
      <c r="P86" s="109"/>
      <c r="Q86" s="110"/>
      <c r="R86" s="145"/>
      <c r="S86" s="146"/>
      <c r="T86" s="146"/>
      <c r="U86" s="147"/>
      <c r="AA86" s="1" t="s">
        <v>134</v>
      </c>
    </row>
    <row r="87" spans="1:27" ht="18" customHeight="1" x14ac:dyDescent="0.15">
      <c r="A87" s="3"/>
      <c r="B87" s="111"/>
      <c r="C87" s="112"/>
      <c r="D87" s="112"/>
      <c r="E87" s="112"/>
      <c r="F87" s="113"/>
      <c r="G87" s="142"/>
      <c r="H87" s="143"/>
      <c r="I87" s="143"/>
      <c r="J87" s="144"/>
      <c r="K87" s="111"/>
      <c r="L87" s="112"/>
      <c r="M87" s="112"/>
      <c r="N87" s="112"/>
      <c r="O87" s="112"/>
      <c r="P87" s="112"/>
      <c r="Q87" s="113"/>
      <c r="R87" s="142"/>
      <c r="S87" s="143"/>
      <c r="T87" s="143"/>
      <c r="U87" s="144"/>
      <c r="AA87" s="1" t="s">
        <v>135</v>
      </c>
    </row>
    <row r="88" spans="1:27" ht="18" customHeight="1" x14ac:dyDescent="0.15">
      <c r="A88" s="3"/>
      <c r="B88" s="6"/>
      <c r="C88" s="6"/>
      <c r="D88" s="6"/>
      <c r="E88" s="6"/>
      <c r="F88" s="6"/>
      <c r="G88" s="66"/>
      <c r="H88" s="66"/>
      <c r="I88" s="66"/>
      <c r="J88" s="66"/>
      <c r="K88" s="6"/>
      <c r="L88" s="6"/>
      <c r="M88" s="6"/>
      <c r="N88" s="6"/>
      <c r="O88" s="6"/>
      <c r="P88" s="6"/>
      <c r="Q88" s="6"/>
      <c r="R88" s="66"/>
      <c r="S88" s="66"/>
      <c r="T88" s="66"/>
      <c r="U88" s="66"/>
      <c r="AA88" s="1" t="s">
        <v>136</v>
      </c>
    </row>
    <row r="89" spans="1:27" ht="18.75" customHeight="1" x14ac:dyDescent="0.15">
      <c r="A89" s="1" t="s">
        <v>102</v>
      </c>
      <c r="AA89" s="1" t="s">
        <v>137</v>
      </c>
    </row>
    <row r="90" spans="1:27" ht="18.75" customHeight="1" x14ac:dyDescent="0.15">
      <c r="B90" s="148" t="s">
        <v>49</v>
      </c>
      <c r="C90" s="149"/>
      <c r="D90" s="92" t="s">
        <v>50</v>
      </c>
      <c r="E90" s="93"/>
      <c r="F90" s="93"/>
      <c r="G90" s="93"/>
      <c r="H90" s="93"/>
      <c r="I90" s="93"/>
      <c r="J90" s="93"/>
      <c r="K90" s="93"/>
      <c r="L90" s="93"/>
      <c r="M90" s="93"/>
      <c r="N90" s="93"/>
      <c r="O90" s="93"/>
      <c r="P90" s="93"/>
      <c r="Q90" s="93"/>
      <c r="R90" s="93"/>
      <c r="S90" s="93"/>
      <c r="T90" s="93"/>
      <c r="U90" s="94"/>
    </row>
    <row r="91" spans="1:27" ht="97.5" customHeight="1" x14ac:dyDescent="0.15">
      <c r="B91" s="122" t="s">
        <v>56</v>
      </c>
      <c r="C91" s="67" t="s">
        <v>51</v>
      </c>
      <c r="D91" s="95" t="s">
        <v>149</v>
      </c>
      <c r="E91" s="96"/>
      <c r="F91" s="96"/>
      <c r="G91" s="96"/>
      <c r="H91" s="96"/>
      <c r="I91" s="96"/>
      <c r="J91" s="96"/>
      <c r="K91" s="96"/>
      <c r="L91" s="96"/>
      <c r="M91" s="96"/>
      <c r="N91" s="96"/>
      <c r="O91" s="96"/>
      <c r="P91" s="96"/>
      <c r="Q91" s="96"/>
      <c r="R91" s="96"/>
      <c r="S91" s="96"/>
      <c r="T91" s="96"/>
      <c r="U91" s="97"/>
    </row>
    <row r="92" spans="1:27" ht="97.5" customHeight="1" x14ac:dyDescent="0.15">
      <c r="B92" s="124"/>
      <c r="C92" s="68" t="s">
        <v>70</v>
      </c>
      <c r="D92" s="98" t="s">
        <v>150</v>
      </c>
      <c r="E92" s="99"/>
      <c r="F92" s="99"/>
      <c r="G92" s="99"/>
      <c r="H92" s="99"/>
      <c r="I92" s="99"/>
      <c r="J92" s="99"/>
      <c r="K92" s="99"/>
      <c r="L92" s="99"/>
      <c r="M92" s="99"/>
      <c r="N92" s="99"/>
      <c r="O92" s="99"/>
      <c r="P92" s="99"/>
      <c r="Q92" s="99"/>
      <c r="R92" s="99"/>
      <c r="S92" s="99"/>
      <c r="T92" s="99"/>
      <c r="U92" s="100"/>
    </row>
    <row r="93" spans="1:27" ht="97.5" customHeight="1" x14ac:dyDescent="0.15">
      <c r="B93" s="122" t="s">
        <v>57</v>
      </c>
      <c r="C93" s="69" t="s">
        <v>64</v>
      </c>
      <c r="D93" s="101" t="s">
        <v>151</v>
      </c>
      <c r="E93" s="96"/>
      <c r="F93" s="96"/>
      <c r="G93" s="96"/>
      <c r="H93" s="96"/>
      <c r="I93" s="96"/>
      <c r="J93" s="96"/>
      <c r="K93" s="96"/>
      <c r="L93" s="96"/>
      <c r="M93" s="96"/>
      <c r="N93" s="96"/>
      <c r="O93" s="96"/>
      <c r="P93" s="96"/>
      <c r="Q93" s="96"/>
      <c r="R93" s="96"/>
      <c r="S93" s="96"/>
      <c r="T93" s="96"/>
      <c r="U93" s="97"/>
    </row>
    <row r="94" spans="1:27" ht="97.5" customHeight="1" x14ac:dyDescent="0.15">
      <c r="B94" s="123"/>
      <c r="C94" s="70" t="s">
        <v>65</v>
      </c>
      <c r="D94" s="98" t="s">
        <v>152</v>
      </c>
      <c r="E94" s="99"/>
      <c r="F94" s="99"/>
      <c r="G94" s="99"/>
      <c r="H94" s="99"/>
      <c r="I94" s="99"/>
      <c r="J94" s="99"/>
      <c r="K94" s="99"/>
      <c r="L94" s="99"/>
      <c r="M94" s="99"/>
      <c r="N94" s="99"/>
      <c r="O94" s="99"/>
      <c r="P94" s="99"/>
      <c r="Q94" s="99"/>
      <c r="R94" s="99"/>
      <c r="S94" s="99"/>
      <c r="T94" s="99"/>
      <c r="U94" s="100"/>
    </row>
    <row r="95" spans="1:27" ht="97.5" customHeight="1" x14ac:dyDescent="0.15">
      <c r="B95" s="122" t="s">
        <v>58</v>
      </c>
      <c r="C95" s="69" t="s">
        <v>66</v>
      </c>
      <c r="D95" s="95" t="s">
        <v>153</v>
      </c>
      <c r="E95" s="96"/>
      <c r="F95" s="96"/>
      <c r="G95" s="96"/>
      <c r="H95" s="96"/>
      <c r="I95" s="96"/>
      <c r="J95" s="96"/>
      <c r="K95" s="96"/>
      <c r="L95" s="96"/>
      <c r="M95" s="96"/>
      <c r="N95" s="96"/>
      <c r="O95" s="96"/>
      <c r="P95" s="96"/>
      <c r="Q95" s="96"/>
      <c r="R95" s="96"/>
      <c r="S95" s="96"/>
      <c r="T95" s="96"/>
      <c r="U95" s="97"/>
    </row>
    <row r="96" spans="1:27" ht="97.5" customHeight="1" x14ac:dyDescent="0.15">
      <c r="B96" s="123"/>
      <c r="C96" s="71" t="s">
        <v>67</v>
      </c>
      <c r="D96" s="98" t="s">
        <v>154</v>
      </c>
      <c r="E96" s="99"/>
      <c r="F96" s="99"/>
      <c r="G96" s="99"/>
      <c r="H96" s="99"/>
      <c r="I96" s="99"/>
      <c r="J96" s="99"/>
      <c r="K96" s="99"/>
      <c r="L96" s="99"/>
      <c r="M96" s="99"/>
      <c r="N96" s="99"/>
      <c r="O96" s="99"/>
      <c r="P96" s="99"/>
      <c r="Q96" s="99"/>
      <c r="R96" s="99"/>
      <c r="S96" s="99"/>
      <c r="T96" s="99"/>
      <c r="U96" s="100"/>
    </row>
    <row r="97" spans="1:21" ht="97.5" customHeight="1" x14ac:dyDescent="0.15">
      <c r="B97" s="122" t="s">
        <v>71</v>
      </c>
      <c r="C97" s="67" t="s">
        <v>53</v>
      </c>
      <c r="D97" s="95" t="s">
        <v>155</v>
      </c>
      <c r="E97" s="96"/>
      <c r="F97" s="96"/>
      <c r="G97" s="96"/>
      <c r="H97" s="96"/>
      <c r="I97" s="96"/>
      <c r="J97" s="96"/>
      <c r="K97" s="96"/>
      <c r="L97" s="96"/>
      <c r="M97" s="96"/>
      <c r="N97" s="96"/>
      <c r="O97" s="96"/>
      <c r="P97" s="96"/>
      <c r="Q97" s="96"/>
      <c r="R97" s="96"/>
      <c r="S97" s="96"/>
      <c r="T97" s="96"/>
      <c r="U97" s="97"/>
    </row>
    <row r="98" spans="1:21" ht="97.5" customHeight="1" x14ac:dyDescent="0.15">
      <c r="B98" s="123"/>
      <c r="C98" s="70" t="s">
        <v>55</v>
      </c>
      <c r="D98" s="98" t="s">
        <v>156</v>
      </c>
      <c r="E98" s="99"/>
      <c r="F98" s="99"/>
      <c r="G98" s="99"/>
      <c r="H98" s="99"/>
      <c r="I98" s="99"/>
      <c r="J98" s="99"/>
      <c r="K98" s="99"/>
      <c r="L98" s="99"/>
      <c r="M98" s="99"/>
      <c r="N98" s="99"/>
      <c r="O98" s="99"/>
      <c r="P98" s="99"/>
      <c r="Q98" s="99"/>
      <c r="R98" s="99"/>
      <c r="S98" s="99"/>
      <c r="T98" s="99"/>
      <c r="U98" s="100"/>
    </row>
    <row r="99" spans="1:21" ht="97.5" customHeight="1" x14ac:dyDescent="0.15">
      <c r="B99" s="122" t="s">
        <v>72</v>
      </c>
      <c r="C99" s="69" t="s">
        <v>52</v>
      </c>
      <c r="D99" s="95" t="s">
        <v>157</v>
      </c>
      <c r="E99" s="96"/>
      <c r="F99" s="96"/>
      <c r="G99" s="96"/>
      <c r="H99" s="96"/>
      <c r="I99" s="96"/>
      <c r="J99" s="96"/>
      <c r="K99" s="96"/>
      <c r="L99" s="96"/>
      <c r="M99" s="96"/>
      <c r="N99" s="96"/>
      <c r="O99" s="96"/>
      <c r="P99" s="96"/>
      <c r="Q99" s="96"/>
      <c r="R99" s="96"/>
      <c r="S99" s="96"/>
      <c r="T99" s="96"/>
      <c r="U99" s="97"/>
    </row>
    <row r="100" spans="1:21" ht="97.5" customHeight="1" x14ac:dyDescent="0.15">
      <c r="B100" s="124"/>
      <c r="C100" s="72" t="s">
        <v>68</v>
      </c>
      <c r="D100" s="118" t="s">
        <v>158</v>
      </c>
      <c r="E100" s="119"/>
      <c r="F100" s="119"/>
      <c r="G100" s="119"/>
      <c r="H100" s="119"/>
      <c r="I100" s="119"/>
      <c r="J100" s="119"/>
      <c r="K100" s="119"/>
      <c r="L100" s="119"/>
      <c r="M100" s="119"/>
      <c r="N100" s="119"/>
      <c r="O100" s="119"/>
      <c r="P100" s="119"/>
      <c r="Q100" s="119"/>
      <c r="R100" s="119"/>
      <c r="S100" s="119"/>
      <c r="T100" s="119"/>
      <c r="U100" s="120"/>
    </row>
    <row r="101" spans="1:21" ht="97.5" customHeight="1" x14ac:dyDescent="0.15">
      <c r="B101" s="123"/>
      <c r="C101" s="71" t="s">
        <v>69</v>
      </c>
      <c r="D101" s="121" t="s">
        <v>159</v>
      </c>
      <c r="E101" s="99"/>
      <c r="F101" s="99"/>
      <c r="G101" s="99"/>
      <c r="H101" s="99"/>
      <c r="I101" s="99"/>
      <c r="J101" s="99"/>
      <c r="K101" s="99"/>
      <c r="L101" s="99"/>
      <c r="M101" s="99"/>
      <c r="N101" s="99"/>
      <c r="O101" s="99"/>
      <c r="P101" s="99"/>
      <c r="Q101" s="99"/>
      <c r="R101" s="99"/>
      <c r="S101" s="99"/>
      <c r="T101" s="99"/>
      <c r="U101" s="100"/>
    </row>
    <row r="102" spans="1:21" ht="6" customHeight="1" x14ac:dyDescent="0.15"/>
    <row r="103" spans="1:21" ht="18.75" customHeight="1" x14ac:dyDescent="0.15">
      <c r="A103" s="1" t="s">
        <v>103</v>
      </c>
    </row>
    <row r="104" spans="1:21" ht="81.75" customHeight="1" x14ac:dyDescent="0.15">
      <c r="B104" s="139" t="s">
        <v>183</v>
      </c>
      <c r="C104" s="140"/>
      <c r="D104" s="140"/>
      <c r="E104" s="140"/>
      <c r="F104" s="140"/>
      <c r="G104" s="140"/>
      <c r="H104" s="140"/>
      <c r="I104" s="140"/>
      <c r="J104" s="140"/>
      <c r="K104" s="140"/>
      <c r="L104" s="140"/>
      <c r="M104" s="140"/>
      <c r="N104" s="140"/>
      <c r="O104" s="140"/>
      <c r="P104" s="140"/>
      <c r="Q104" s="140"/>
      <c r="R104" s="140"/>
      <c r="S104" s="140"/>
      <c r="T104" s="140"/>
      <c r="U104" s="141"/>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D13" sqref="D13"/>
    </sheetView>
  </sheetViews>
  <sheetFormatPr defaultColWidth="9" defaultRowHeight="18.75" customHeight="1" x14ac:dyDescent="0.15"/>
  <cols>
    <col min="1" max="1" width="2.8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7" t="str">
        <f>'様式１　プログラムを構成する授業科目'!C2</f>
        <v>沖縄県立看護大学</v>
      </c>
      <c r="R2" s="157"/>
      <c r="S2" s="157"/>
    </row>
    <row r="3" spans="1:21" ht="18" customHeight="1" x14ac:dyDescent="0.15">
      <c r="A3" s="129" t="s">
        <v>142</v>
      </c>
      <c r="B3" s="129"/>
      <c r="C3" s="129"/>
      <c r="D3" s="129"/>
      <c r="E3" s="129"/>
      <c r="F3" s="129"/>
      <c r="G3" s="129"/>
      <c r="H3" s="129"/>
      <c r="I3" s="129"/>
      <c r="J3" s="129"/>
      <c r="K3" s="129"/>
      <c r="L3" s="129"/>
      <c r="M3" s="129"/>
      <c r="N3" s="129"/>
      <c r="O3" s="129"/>
      <c r="P3" s="129"/>
      <c r="Q3" s="129"/>
      <c r="R3" s="129"/>
      <c r="S3" s="129"/>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8" t="s">
        <v>160</v>
      </c>
      <c r="D5" s="159"/>
      <c r="E5" s="58" t="s">
        <v>125</v>
      </c>
      <c r="F5" s="56"/>
      <c r="G5" s="56"/>
      <c r="H5" s="56"/>
      <c r="I5" s="56"/>
      <c r="J5" s="56"/>
      <c r="K5" s="56"/>
      <c r="L5" s="56"/>
      <c r="M5" s="56"/>
      <c r="N5" s="56"/>
      <c r="O5" s="56"/>
      <c r="P5" s="56"/>
      <c r="Q5" s="56"/>
      <c r="R5" s="55"/>
      <c r="S5" s="55"/>
    </row>
    <row r="6" spans="1:21" ht="7.35" customHeight="1" x14ac:dyDescent="0.15">
      <c r="A6" s="54"/>
      <c r="B6" s="54"/>
      <c r="C6" s="76"/>
      <c r="D6" s="76"/>
      <c r="E6" s="56"/>
      <c r="F6" s="56"/>
      <c r="G6" s="56"/>
      <c r="H6" s="56"/>
      <c r="I6" s="56"/>
      <c r="J6" s="56"/>
      <c r="K6" s="56"/>
      <c r="L6" s="56"/>
      <c r="M6" s="56"/>
      <c r="N6" s="56"/>
      <c r="O6" s="56"/>
      <c r="P6" s="56"/>
      <c r="Q6" s="56"/>
      <c r="R6" s="55"/>
      <c r="S6" s="55"/>
    </row>
    <row r="7" spans="1:21" ht="18" customHeight="1" x14ac:dyDescent="0.15">
      <c r="A7" s="54" t="s">
        <v>109</v>
      </c>
      <c r="B7" s="54"/>
      <c r="C7" s="76"/>
      <c r="D7" s="76"/>
      <c r="E7" s="56" t="s">
        <v>110</v>
      </c>
      <c r="F7" s="82">
        <v>27</v>
      </c>
      <c r="G7" s="58" t="s">
        <v>111</v>
      </c>
      <c r="H7" s="56" t="s">
        <v>112</v>
      </c>
      <c r="I7" s="82">
        <v>297</v>
      </c>
      <c r="J7" s="58" t="s">
        <v>111</v>
      </c>
      <c r="K7" s="57" t="s">
        <v>113</v>
      </c>
      <c r="L7" s="56" t="s">
        <v>114</v>
      </c>
      <c r="M7" s="82">
        <f>F7+I7</f>
        <v>324</v>
      </c>
      <c r="N7" s="56" t="s">
        <v>1</v>
      </c>
      <c r="O7" s="58" t="s">
        <v>115</v>
      </c>
      <c r="P7" s="56"/>
      <c r="Q7" s="56"/>
      <c r="R7" s="55"/>
      <c r="S7" s="55"/>
    </row>
    <row r="8" spans="1:21" ht="17.45" customHeight="1" x14ac:dyDescent="0.15">
      <c r="A8" s="56"/>
      <c r="B8" s="77"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0" t="s">
        <v>43</v>
      </c>
      <c r="C11" s="170" t="s">
        <v>78</v>
      </c>
      <c r="D11" s="162" t="s">
        <v>45</v>
      </c>
      <c r="E11" s="164" t="s">
        <v>38</v>
      </c>
      <c r="F11" s="156" t="s">
        <v>126</v>
      </c>
      <c r="G11" s="156"/>
      <c r="H11" s="156" t="s">
        <v>106</v>
      </c>
      <c r="I11" s="156"/>
      <c r="J11" s="156" t="s">
        <v>77</v>
      </c>
      <c r="K11" s="156"/>
      <c r="L11" s="156" t="s">
        <v>46</v>
      </c>
      <c r="M11" s="156"/>
      <c r="N11" s="156" t="s">
        <v>47</v>
      </c>
      <c r="O11" s="156"/>
      <c r="P11" s="156" t="s">
        <v>127</v>
      </c>
      <c r="Q11" s="156"/>
      <c r="R11" s="166" t="s">
        <v>35</v>
      </c>
      <c r="S11" s="168" t="s">
        <v>32</v>
      </c>
      <c r="U11" s="2"/>
    </row>
    <row r="12" spans="1:21" ht="17.100000000000001" customHeight="1" x14ac:dyDescent="0.15">
      <c r="B12" s="161"/>
      <c r="C12" s="171"/>
      <c r="D12" s="163"/>
      <c r="E12" s="165"/>
      <c r="F12" s="78" t="s">
        <v>86</v>
      </c>
      <c r="G12" s="78" t="s">
        <v>29</v>
      </c>
      <c r="H12" s="78" t="s">
        <v>86</v>
      </c>
      <c r="I12" s="78" t="s">
        <v>29</v>
      </c>
      <c r="J12" s="78" t="s">
        <v>86</v>
      </c>
      <c r="K12" s="78" t="s">
        <v>29</v>
      </c>
      <c r="L12" s="78" t="s">
        <v>86</v>
      </c>
      <c r="M12" s="78" t="s">
        <v>29</v>
      </c>
      <c r="N12" s="78" t="s">
        <v>86</v>
      </c>
      <c r="O12" s="78" t="s">
        <v>29</v>
      </c>
      <c r="P12" s="78" t="s">
        <v>86</v>
      </c>
      <c r="Q12" s="79" t="s">
        <v>29</v>
      </c>
      <c r="R12" s="167"/>
      <c r="S12" s="169"/>
      <c r="U12" s="2"/>
    </row>
    <row r="13" spans="1:21" ht="18" customHeight="1" x14ac:dyDescent="0.15">
      <c r="A13" s="6"/>
      <c r="B13" s="48" t="s">
        <v>161</v>
      </c>
      <c r="C13" s="83">
        <v>324</v>
      </c>
      <c r="D13" s="84">
        <v>80</v>
      </c>
      <c r="E13" s="85">
        <v>320</v>
      </c>
      <c r="F13" s="38">
        <v>29</v>
      </c>
      <c r="G13" s="38">
        <v>28</v>
      </c>
      <c r="H13" s="38"/>
      <c r="I13" s="38"/>
      <c r="J13" s="38"/>
      <c r="K13" s="38"/>
      <c r="L13" s="38"/>
      <c r="M13" s="38"/>
      <c r="N13" s="38"/>
      <c r="O13" s="38"/>
      <c r="P13" s="38"/>
      <c r="Q13" s="49"/>
      <c r="R13" s="37">
        <f t="shared" ref="R13" si="0">F13+H13+J13+L13+N13+P13</f>
        <v>29</v>
      </c>
      <c r="S13" s="50">
        <f t="shared" ref="S13:S33" si="1">R13/E13</f>
        <v>9.0624999999999997E-2</v>
      </c>
    </row>
    <row r="14" spans="1:21" ht="18" customHeight="1" x14ac:dyDescent="0.15">
      <c r="A14" s="6"/>
      <c r="B14" s="11"/>
      <c r="C14" s="39"/>
      <c r="D14" s="40"/>
      <c r="E14" s="41"/>
      <c r="F14" s="42"/>
      <c r="G14" s="42"/>
      <c r="H14" s="42"/>
      <c r="I14" s="42"/>
      <c r="J14" s="42"/>
      <c r="K14" s="42"/>
      <c r="L14" s="42"/>
      <c r="M14" s="42"/>
      <c r="N14" s="42"/>
      <c r="O14" s="42"/>
      <c r="P14" s="42"/>
      <c r="Q14" s="39"/>
      <c r="R14" s="40"/>
      <c r="S14" s="16"/>
    </row>
    <row r="15" spans="1:21" ht="18" customHeight="1" x14ac:dyDescent="0.15">
      <c r="A15" s="6"/>
      <c r="B15" s="11"/>
      <c r="C15" s="39"/>
      <c r="D15" s="40"/>
      <c r="E15" s="41"/>
      <c r="F15" s="42"/>
      <c r="G15" s="42"/>
      <c r="H15" s="42"/>
      <c r="I15" s="42"/>
      <c r="J15" s="42"/>
      <c r="K15" s="42"/>
      <c r="L15" s="42"/>
      <c r="M15" s="42"/>
      <c r="N15" s="42"/>
      <c r="O15" s="42"/>
      <c r="P15" s="42"/>
      <c r="Q15" s="39"/>
      <c r="R15" s="40"/>
      <c r="S15" s="8"/>
    </row>
    <row r="16" spans="1:21" ht="18" customHeight="1" x14ac:dyDescent="0.15">
      <c r="A16" s="6"/>
      <c r="B16" s="11"/>
      <c r="C16" s="39"/>
      <c r="D16" s="40"/>
      <c r="E16" s="41"/>
      <c r="F16" s="42"/>
      <c r="G16" s="42"/>
      <c r="H16" s="42"/>
      <c r="I16" s="42"/>
      <c r="J16" s="42"/>
      <c r="K16" s="42"/>
      <c r="L16" s="42"/>
      <c r="M16" s="42"/>
      <c r="N16" s="42"/>
      <c r="O16" s="42"/>
      <c r="P16" s="42"/>
      <c r="Q16" s="39"/>
      <c r="R16" s="40"/>
      <c r="S16" s="8"/>
    </row>
    <row r="17" spans="1:19" ht="18" customHeight="1" x14ac:dyDescent="0.15">
      <c r="A17" s="6"/>
      <c r="B17" s="11"/>
      <c r="C17" s="39"/>
      <c r="D17" s="40"/>
      <c r="E17" s="41"/>
      <c r="F17" s="42"/>
      <c r="G17" s="42"/>
      <c r="H17" s="42"/>
      <c r="I17" s="42"/>
      <c r="J17" s="42"/>
      <c r="K17" s="42"/>
      <c r="L17" s="42"/>
      <c r="M17" s="42"/>
      <c r="N17" s="42"/>
      <c r="O17" s="42"/>
      <c r="P17" s="42"/>
      <c r="Q17" s="39"/>
      <c r="R17" s="40"/>
      <c r="S17" s="8"/>
    </row>
    <row r="18" spans="1:19" ht="18" customHeight="1" x14ac:dyDescent="0.15">
      <c r="A18" s="6"/>
      <c r="B18" s="11"/>
      <c r="C18" s="39"/>
      <c r="D18" s="40"/>
      <c r="E18" s="41"/>
      <c r="F18" s="42"/>
      <c r="G18" s="42"/>
      <c r="H18" s="42"/>
      <c r="I18" s="42"/>
      <c r="J18" s="42"/>
      <c r="K18" s="42"/>
      <c r="L18" s="42"/>
      <c r="M18" s="42"/>
      <c r="N18" s="42"/>
      <c r="O18" s="42"/>
      <c r="P18" s="42"/>
      <c r="Q18" s="39"/>
      <c r="R18" s="40"/>
      <c r="S18" s="8"/>
    </row>
    <row r="19" spans="1:19" ht="18" customHeight="1" x14ac:dyDescent="0.15">
      <c r="A19" s="6"/>
      <c r="B19" s="11"/>
      <c r="C19" s="39"/>
      <c r="D19" s="40"/>
      <c r="E19" s="41"/>
      <c r="F19" s="42"/>
      <c r="G19" s="42"/>
      <c r="H19" s="42"/>
      <c r="I19" s="42"/>
      <c r="J19" s="42"/>
      <c r="K19" s="42"/>
      <c r="L19" s="42"/>
      <c r="M19" s="42"/>
      <c r="N19" s="42"/>
      <c r="O19" s="42"/>
      <c r="P19" s="42"/>
      <c r="Q19" s="39"/>
      <c r="R19" s="40"/>
      <c r="S19" s="8"/>
    </row>
    <row r="20" spans="1:19" ht="18" customHeight="1" x14ac:dyDescent="0.15">
      <c r="A20" s="6"/>
      <c r="B20" s="11"/>
      <c r="C20" s="39"/>
      <c r="D20" s="40"/>
      <c r="E20" s="41"/>
      <c r="F20" s="42"/>
      <c r="G20" s="42"/>
      <c r="H20" s="42"/>
      <c r="I20" s="42"/>
      <c r="J20" s="42"/>
      <c r="K20" s="42"/>
      <c r="L20" s="42"/>
      <c r="M20" s="42"/>
      <c r="N20" s="42"/>
      <c r="O20" s="42"/>
      <c r="P20" s="42"/>
      <c r="Q20" s="39"/>
      <c r="R20" s="40"/>
      <c r="S20" s="8"/>
    </row>
    <row r="21" spans="1:19" ht="18" customHeight="1" x14ac:dyDescent="0.15">
      <c r="A21" s="6"/>
      <c r="B21" s="11"/>
      <c r="C21" s="39"/>
      <c r="D21" s="40"/>
      <c r="E21" s="41"/>
      <c r="F21" s="42"/>
      <c r="G21" s="42"/>
      <c r="H21" s="42"/>
      <c r="I21" s="42"/>
      <c r="J21" s="42"/>
      <c r="K21" s="42"/>
      <c r="L21" s="42"/>
      <c r="M21" s="42"/>
      <c r="N21" s="42"/>
      <c r="O21" s="42"/>
      <c r="P21" s="42"/>
      <c r="Q21" s="39"/>
      <c r="R21" s="40"/>
      <c r="S21" s="8"/>
    </row>
    <row r="22" spans="1:19" ht="18" customHeight="1" x14ac:dyDescent="0.15">
      <c r="A22" s="6"/>
      <c r="B22" s="11"/>
      <c r="C22" s="39"/>
      <c r="D22" s="40"/>
      <c r="E22" s="41"/>
      <c r="F22" s="42"/>
      <c r="G22" s="42"/>
      <c r="H22" s="42"/>
      <c r="I22" s="42"/>
      <c r="J22" s="42"/>
      <c r="K22" s="42"/>
      <c r="L22" s="42"/>
      <c r="M22" s="42"/>
      <c r="N22" s="42"/>
      <c r="O22" s="42"/>
      <c r="P22" s="42"/>
      <c r="Q22" s="39"/>
      <c r="R22" s="40"/>
      <c r="S22" s="8"/>
    </row>
    <row r="23" spans="1:19" ht="18" customHeight="1" x14ac:dyDescent="0.15">
      <c r="A23" s="6"/>
      <c r="B23" s="11"/>
      <c r="C23" s="39"/>
      <c r="D23" s="40"/>
      <c r="E23" s="41"/>
      <c r="F23" s="42"/>
      <c r="G23" s="42"/>
      <c r="H23" s="42"/>
      <c r="I23" s="42"/>
      <c r="J23" s="42"/>
      <c r="K23" s="42"/>
      <c r="L23" s="42"/>
      <c r="M23" s="42"/>
      <c r="N23" s="42"/>
      <c r="O23" s="42"/>
      <c r="P23" s="42"/>
      <c r="Q23" s="39"/>
      <c r="R23" s="40"/>
      <c r="S23" s="8"/>
    </row>
    <row r="24" spans="1:19" ht="18" customHeight="1" x14ac:dyDescent="0.15">
      <c r="A24" s="6"/>
      <c r="B24" s="11"/>
      <c r="C24" s="39"/>
      <c r="D24" s="40"/>
      <c r="E24" s="41"/>
      <c r="F24" s="42"/>
      <c r="G24" s="42"/>
      <c r="H24" s="42"/>
      <c r="I24" s="42"/>
      <c r="J24" s="42"/>
      <c r="K24" s="42"/>
      <c r="L24" s="42"/>
      <c r="M24" s="42"/>
      <c r="N24" s="42"/>
      <c r="O24" s="42"/>
      <c r="P24" s="42"/>
      <c r="Q24" s="39"/>
      <c r="R24" s="40"/>
      <c r="S24" s="8"/>
    </row>
    <row r="25" spans="1:19" ht="18" customHeight="1" x14ac:dyDescent="0.15">
      <c r="A25" s="6"/>
      <c r="B25" s="11"/>
      <c r="C25" s="39"/>
      <c r="D25" s="40"/>
      <c r="E25" s="41"/>
      <c r="F25" s="42"/>
      <c r="G25" s="42"/>
      <c r="H25" s="42"/>
      <c r="I25" s="42"/>
      <c r="J25" s="42"/>
      <c r="K25" s="42"/>
      <c r="L25" s="42"/>
      <c r="M25" s="42"/>
      <c r="N25" s="42"/>
      <c r="O25" s="42"/>
      <c r="P25" s="42"/>
      <c r="Q25" s="39"/>
      <c r="R25" s="40"/>
      <c r="S25" s="8"/>
    </row>
    <row r="26" spans="1:19" ht="18" customHeight="1" x14ac:dyDescent="0.15">
      <c r="A26" s="6"/>
      <c r="B26" s="11"/>
      <c r="C26" s="39"/>
      <c r="D26" s="40"/>
      <c r="E26" s="41"/>
      <c r="F26" s="42"/>
      <c r="G26" s="42"/>
      <c r="H26" s="42"/>
      <c r="I26" s="42"/>
      <c r="J26" s="42"/>
      <c r="K26" s="42"/>
      <c r="L26" s="42"/>
      <c r="M26" s="42"/>
      <c r="N26" s="42"/>
      <c r="O26" s="42"/>
      <c r="P26" s="42"/>
      <c r="Q26" s="39"/>
      <c r="R26" s="40"/>
      <c r="S26" s="8"/>
    </row>
    <row r="27" spans="1:19" ht="18" customHeight="1" x14ac:dyDescent="0.15">
      <c r="A27" s="6"/>
      <c r="B27" s="11"/>
      <c r="C27" s="39"/>
      <c r="D27" s="40"/>
      <c r="E27" s="41"/>
      <c r="F27" s="42"/>
      <c r="G27" s="42"/>
      <c r="H27" s="42"/>
      <c r="I27" s="42"/>
      <c r="J27" s="42"/>
      <c r="K27" s="42"/>
      <c r="L27" s="42"/>
      <c r="M27" s="42"/>
      <c r="N27" s="42"/>
      <c r="O27" s="42"/>
      <c r="P27" s="42"/>
      <c r="Q27" s="39"/>
      <c r="R27" s="40"/>
      <c r="S27" s="8"/>
    </row>
    <row r="28" spans="1:19" ht="18" customHeight="1" x14ac:dyDescent="0.15">
      <c r="A28" s="6"/>
      <c r="B28" s="11"/>
      <c r="C28" s="39"/>
      <c r="D28" s="40"/>
      <c r="E28" s="41"/>
      <c r="F28" s="42"/>
      <c r="G28" s="42"/>
      <c r="H28" s="42"/>
      <c r="I28" s="42"/>
      <c r="J28" s="42"/>
      <c r="K28" s="42"/>
      <c r="L28" s="42"/>
      <c r="M28" s="42"/>
      <c r="N28" s="42"/>
      <c r="O28" s="42"/>
      <c r="P28" s="42"/>
      <c r="Q28" s="39"/>
      <c r="R28" s="40"/>
      <c r="S28" s="8"/>
    </row>
    <row r="29" spans="1:19" ht="18" customHeight="1" x14ac:dyDescent="0.15">
      <c r="A29" s="6"/>
      <c r="B29" s="11"/>
      <c r="C29" s="39"/>
      <c r="D29" s="40"/>
      <c r="E29" s="41"/>
      <c r="F29" s="42"/>
      <c r="G29" s="42"/>
      <c r="H29" s="42"/>
      <c r="I29" s="42"/>
      <c r="J29" s="42"/>
      <c r="K29" s="42"/>
      <c r="L29" s="42"/>
      <c r="M29" s="42"/>
      <c r="N29" s="42"/>
      <c r="O29" s="42"/>
      <c r="P29" s="42"/>
      <c r="Q29" s="39"/>
      <c r="R29" s="40"/>
      <c r="S29" s="8"/>
    </row>
    <row r="30" spans="1:19" ht="18" customHeight="1" x14ac:dyDescent="0.15">
      <c r="A30" s="6"/>
      <c r="B30" s="11"/>
      <c r="C30" s="39"/>
      <c r="D30" s="43"/>
      <c r="E30" s="41"/>
      <c r="F30" s="42"/>
      <c r="G30" s="42"/>
      <c r="H30" s="42"/>
      <c r="I30" s="42"/>
      <c r="J30" s="42"/>
      <c r="K30" s="42"/>
      <c r="L30" s="42"/>
      <c r="M30" s="42"/>
      <c r="N30" s="42"/>
      <c r="O30" s="42"/>
      <c r="P30" s="42"/>
      <c r="Q30" s="39"/>
      <c r="R30" s="43"/>
      <c r="S30" s="8"/>
    </row>
    <row r="31" spans="1:19" ht="18" customHeight="1" x14ac:dyDescent="0.15">
      <c r="A31" s="6"/>
      <c r="B31" s="11"/>
      <c r="C31" s="39"/>
      <c r="D31" s="43"/>
      <c r="E31" s="41"/>
      <c r="F31" s="42"/>
      <c r="G31" s="42"/>
      <c r="H31" s="42"/>
      <c r="I31" s="42"/>
      <c r="J31" s="42"/>
      <c r="K31" s="42"/>
      <c r="L31" s="42"/>
      <c r="M31" s="42"/>
      <c r="N31" s="42"/>
      <c r="O31" s="42"/>
      <c r="P31" s="42"/>
      <c r="Q31" s="39"/>
      <c r="R31" s="43"/>
      <c r="S31" s="8"/>
    </row>
    <row r="32" spans="1:19" ht="18" customHeight="1" thickBot="1" x14ac:dyDescent="0.2">
      <c r="A32" s="6"/>
      <c r="B32" s="12"/>
      <c r="C32" s="36"/>
      <c r="D32" s="44"/>
      <c r="E32" s="38"/>
      <c r="F32" s="38"/>
      <c r="G32" s="38"/>
      <c r="H32" s="38"/>
      <c r="I32" s="38"/>
      <c r="J32" s="38"/>
      <c r="K32" s="38"/>
      <c r="L32" s="38"/>
      <c r="M32" s="38"/>
      <c r="N32" s="38"/>
      <c r="O32" s="38"/>
      <c r="P32" s="38"/>
      <c r="Q32" s="39"/>
      <c r="R32" s="44"/>
      <c r="S32" s="7"/>
    </row>
    <row r="33" spans="2:19" ht="18" customHeight="1" thickTop="1" x14ac:dyDescent="0.15">
      <c r="B33" s="13" t="s">
        <v>33</v>
      </c>
      <c r="C33" s="45">
        <f t="shared" ref="C33" si="2">SUM(C13:C32)</f>
        <v>324</v>
      </c>
      <c r="D33" s="46">
        <f t="shared" ref="D33:R33" si="3">SUM(D13:D32)</f>
        <v>80</v>
      </c>
      <c r="E33" s="47">
        <f t="shared" si="3"/>
        <v>320</v>
      </c>
      <c r="F33" s="47">
        <f t="shared" si="3"/>
        <v>29</v>
      </c>
      <c r="G33" s="47">
        <f t="shared" ref="G33:H33" si="4">SUM(G13:G32)</f>
        <v>28</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29</v>
      </c>
      <c r="S33" s="9">
        <f t="shared" si="1"/>
        <v>9.0624999999999997E-2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0" zoomScaleNormal="100" zoomScaleSheetLayoutView="100" workbookViewId="0">
      <selection activeCell="B14" sqref="B14:I14"/>
    </sheetView>
  </sheetViews>
  <sheetFormatPr defaultColWidth="11.375" defaultRowHeight="18.75" customHeight="1" x14ac:dyDescent="0.15"/>
  <cols>
    <col min="1" max="1" width="2.87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2" t="str">
        <f>'様式１　プログラムを構成する授業科目'!C2</f>
        <v>沖縄県立看護大学</v>
      </c>
      <c r="I2" s="94"/>
    </row>
    <row r="3" spans="1:9" ht="18.75" customHeight="1" x14ac:dyDescent="0.15">
      <c r="G3" s="18"/>
      <c r="H3" s="10"/>
      <c r="I3" s="10"/>
    </row>
    <row r="4" spans="1:9" ht="18.600000000000001" customHeight="1" x14ac:dyDescent="0.15">
      <c r="A4" s="129" t="s">
        <v>36</v>
      </c>
      <c r="B4" s="129"/>
      <c r="C4" s="129"/>
      <c r="D4" s="129"/>
      <c r="E4" s="129"/>
      <c r="F4" s="129"/>
      <c r="G4" s="129"/>
      <c r="H4" s="129"/>
      <c r="I4" s="129"/>
    </row>
    <row r="5" spans="1:9" ht="13.35" customHeight="1" x14ac:dyDescent="0.15">
      <c r="B5" s="3"/>
      <c r="C5" s="3"/>
      <c r="D5" s="3"/>
      <c r="E5" s="3"/>
      <c r="F5" s="3"/>
      <c r="G5" s="3"/>
      <c r="H5" s="3"/>
      <c r="I5" s="3"/>
    </row>
    <row r="6" spans="1:9" ht="18" customHeight="1" x14ac:dyDescent="0.15">
      <c r="A6" s="1" t="s">
        <v>0</v>
      </c>
      <c r="B6" s="10" t="s">
        <v>81</v>
      </c>
      <c r="C6" s="219" t="s">
        <v>82</v>
      </c>
      <c r="D6" s="219"/>
      <c r="E6" s="17">
        <v>47</v>
      </c>
      <c r="F6" s="3" t="s">
        <v>1</v>
      </c>
      <c r="G6" s="3" t="s">
        <v>2</v>
      </c>
      <c r="H6" s="17">
        <v>239</v>
      </c>
      <c r="I6" s="10" t="s">
        <v>1</v>
      </c>
    </row>
    <row r="7" spans="1:9" ht="12" customHeight="1" x14ac:dyDescent="0.15">
      <c r="C7" s="2"/>
      <c r="D7" s="2"/>
      <c r="E7" s="2"/>
      <c r="F7" s="2"/>
      <c r="G7" s="2"/>
      <c r="H7" s="2"/>
      <c r="I7" s="21"/>
    </row>
    <row r="8" spans="1:9" ht="18" customHeight="1" x14ac:dyDescent="0.15">
      <c r="A8" s="1" t="s">
        <v>3</v>
      </c>
      <c r="B8" s="10" t="s">
        <v>83</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14" t="s">
        <v>162</v>
      </c>
      <c r="D11" s="217"/>
      <c r="E11" s="218"/>
      <c r="F11" s="21"/>
      <c r="G11" s="18" t="s">
        <v>10</v>
      </c>
      <c r="H11" s="214" t="s">
        <v>163</v>
      </c>
      <c r="I11" s="218"/>
    </row>
    <row r="12" spans="1:9" ht="10.3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14" t="s">
        <v>164</v>
      </c>
      <c r="C14" s="215"/>
      <c r="D14" s="215"/>
      <c r="E14" s="215"/>
      <c r="F14" s="215"/>
      <c r="G14" s="215"/>
      <c r="H14" s="215"/>
      <c r="I14" s="216"/>
    </row>
    <row r="15" spans="1:9" ht="9" customHeight="1" x14ac:dyDescent="0.15">
      <c r="B15" s="3"/>
      <c r="C15" s="3"/>
      <c r="D15" s="3"/>
      <c r="E15" s="3"/>
      <c r="F15" s="3"/>
      <c r="G15" s="3"/>
      <c r="H15" s="3"/>
      <c r="I15" s="3"/>
    </row>
    <row r="16" spans="1:9" ht="18" customHeight="1" x14ac:dyDescent="0.15">
      <c r="B16" s="18" t="s">
        <v>41</v>
      </c>
      <c r="C16" s="214" t="s">
        <v>165</v>
      </c>
      <c r="D16" s="217"/>
      <c r="E16" s="218"/>
      <c r="F16" s="21"/>
      <c r="G16" s="18" t="s">
        <v>10</v>
      </c>
      <c r="H16" s="214" t="s">
        <v>166</v>
      </c>
      <c r="I16" s="218"/>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00" t="s">
        <v>184</v>
      </c>
      <c r="C19" s="201"/>
      <c r="D19" s="201"/>
      <c r="E19" s="201"/>
      <c r="F19" s="201"/>
      <c r="G19" s="201"/>
      <c r="H19" s="201"/>
      <c r="I19" s="20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3" t="s">
        <v>185</v>
      </c>
      <c r="C22" s="204"/>
      <c r="D22" s="204"/>
      <c r="E22" s="204"/>
      <c r="F22" s="204"/>
      <c r="G22" s="204"/>
      <c r="H22" s="204"/>
      <c r="I22" s="205"/>
    </row>
    <row r="23" spans="1:9" ht="18.75" customHeight="1" x14ac:dyDescent="0.15">
      <c r="A23" s="14"/>
      <c r="B23" s="206"/>
      <c r="C23" s="207"/>
      <c r="D23" s="207"/>
      <c r="E23" s="207"/>
      <c r="F23" s="207"/>
      <c r="G23" s="207"/>
      <c r="H23" s="207"/>
      <c r="I23" s="208"/>
    </row>
    <row r="24" spans="1:9" ht="18.75" customHeight="1" x14ac:dyDescent="0.15">
      <c r="A24" s="14"/>
      <c r="B24" s="206"/>
      <c r="C24" s="207"/>
      <c r="D24" s="207"/>
      <c r="E24" s="207"/>
      <c r="F24" s="207"/>
      <c r="G24" s="207"/>
      <c r="H24" s="207"/>
      <c r="I24" s="208"/>
    </row>
    <row r="25" spans="1:9" ht="18.75" customHeight="1" x14ac:dyDescent="0.15">
      <c r="A25" s="14"/>
      <c r="B25" s="206"/>
      <c r="C25" s="207"/>
      <c r="D25" s="207"/>
      <c r="E25" s="207"/>
      <c r="F25" s="207"/>
      <c r="G25" s="207"/>
      <c r="H25" s="207"/>
      <c r="I25" s="208"/>
    </row>
    <row r="26" spans="1:9" ht="18.75" customHeight="1" x14ac:dyDescent="0.15">
      <c r="A26" s="14"/>
      <c r="B26" s="206"/>
      <c r="C26" s="207"/>
      <c r="D26" s="207"/>
      <c r="E26" s="207"/>
      <c r="F26" s="207"/>
      <c r="G26" s="207"/>
      <c r="H26" s="207"/>
      <c r="I26" s="208"/>
    </row>
    <row r="27" spans="1:9" ht="18.75" customHeight="1" x14ac:dyDescent="0.15">
      <c r="A27" s="14"/>
      <c r="B27" s="206"/>
      <c r="C27" s="207"/>
      <c r="D27" s="207"/>
      <c r="E27" s="207"/>
      <c r="F27" s="207"/>
      <c r="G27" s="207"/>
      <c r="H27" s="207"/>
      <c r="I27" s="208"/>
    </row>
    <row r="28" spans="1:9" ht="18.75" customHeight="1" x14ac:dyDescent="0.15">
      <c r="A28" s="14"/>
      <c r="B28" s="206"/>
      <c r="C28" s="207"/>
      <c r="D28" s="207"/>
      <c r="E28" s="207"/>
      <c r="F28" s="207"/>
      <c r="G28" s="207"/>
      <c r="H28" s="207"/>
      <c r="I28" s="208"/>
    </row>
    <row r="29" spans="1:9" ht="18.75" customHeight="1" x14ac:dyDescent="0.15">
      <c r="A29" s="14"/>
      <c r="B29" s="206"/>
      <c r="C29" s="207"/>
      <c r="D29" s="207"/>
      <c r="E29" s="207"/>
      <c r="F29" s="207"/>
      <c r="G29" s="207"/>
      <c r="H29" s="207"/>
      <c r="I29" s="208"/>
    </row>
    <row r="30" spans="1:9" ht="18.75" customHeight="1" x14ac:dyDescent="0.15">
      <c r="A30" s="14"/>
      <c r="B30" s="209"/>
      <c r="C30" s="210"/>
      <c r="D30" s="210"/>
      <c r="E30" s="210"/>
      <c r="F30" s="210"/>
      <c r="G30" s="210"/>
      <c r="H30" s="210"/>
      <c r="I30" s="208"/>
    </row>
    <row r="31" spans="1:9" ht="18.75" customHeight="1" x14ac:dyDescent="0.15">
      <c r="A31" s="14"/>
      <c r="B31" s="209"/>
      <c r="C31" s="210"/>
      <c r="D31" s="210"/>
      <c r="E31" s="210"/>
      <c r="F31" s="210"/>
      <c r="G31" s="210"/>
      <c r="H31" s="210"/>
      <c r="I31" s="208"/>
    </row>
    <row r="32" spans="1:9" ht="18.75" customHeight="1" x14ac:dyDescent="0.15">
      <c r="A32" s="14"/>
      <c r="B32" s="211"/>
      <c r="C32" s="212"/>
      <c r="D32" s="212"/>
      <c r="E32" s="212"/>
      <c r="F32" s="212"/>
      <c r="G32" s="212"/>
      <c r="H32" s="212"/>
      <c r="I32" s="213"/>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3" t="s">
        <v>167</v>
      </c>
      <c r="C35" s="204"/>
      <c r="D35" s="204"/>
      <c r="E35" s="204"/>
      <c r="F35" s="204"/>
      <c r="G35" s="204"/>
      <c r="H35" s="204"/>
      <c r="I35" s="205"/>
    </row>
    <row r="36" spans="1:9" ht="18.75" customHeight="1" x14ac:dyDescent="0.15">
      <c r="A36" s="14"/>
      <c r="B36" s="209"/>
      <c r="C36" s="210"/>
      <c r="D36" s="210"/>
      <c r="E36" s="210"/>
      <c r="F36" s="210"/>
      <c r="G36" s="210"/>
      <c r="H36" s="210"/>
      <c r="I36" s="208"/>
    </row>
    <row r="37" spans="1:9" ht="18.75" customHeight="1" x14ac:dyDescent="0.15">
      <c r="A37" s="14"/>
      <c r="B37" s="209"/>
      <c r="C37" s="210"/>
      <c r="D37" s="210"/>
      <c r="E37" s="210"/>
      <c r="F37" s="210"/>
      <c r="G37" s="210"/>
      <c r="H37" s="210"/>
      <c r="I37" s="208"/>
    </row>
    <row r="38" spans="1:9" ht="18.75" customHeight="1" x14ac:dyDescent="0.15">
      <c r="A38" s="14"/>
      <c r="B38" s="209"/>
      <c r="C38" s="210"/>
      <c r="D38" s="210"/>
      <c r="E38" s="210"/>
      <c r="F38" s="210"/>
      <c r="G38" s="210"/>
      <c r="H38" s="210"/>
      <c r="I38" s="208"/>
    </row>
    <row r="39" spans="1:9" ht="18.75" customHeight="1" x14ac:dyDescent="0.15">
      <c r="A39" s="14"/>
      <c r="B39" s="209"/>
      <c r="C39" s="210"/>
      <c r="D39" s="210"/>
      <c r="E39" s="210"/>
      <c r="F39" s="210"/>
      <c r="G39" s="210"/>
      <c r="H39" s="210"/>
      <c r="I39" s="208"/>
    </row>
    <row r="40" spans="1:9" ht="18.75" customHeight="1" x14ac:dyDescent="0.15">
      <c r="A40" s="14"/>
      <c r="B40" s="209"/>
      <c r="C40" s="210"/>
      <c r="D40" s="210"/>
      <c r="E40" s="210"/>
      <c r="F40" s="210"/>
      <c r="G40" s="210"/>
      <c r="H40" s="210"/>
      <c r="I40" s="208"/>
    </row>
    <row r="41" spans="1:9" ht="18.75" customHeight="1" x14ac:dyDescent="0.15">
      <c r="A41" s="14"/>
      <c r="B41" s="209"/>
      <c r="C41" s="210"/>
      <c r="D41" s="210"/>
      <c r="E41" s="210"/>
      <c r="F41" s="210"/>
      <c r="G41" s="210"/>
      <c r="H41" s="210"/>
      <c r="I41" s="208"/>
    </row>
    <row r="42" spans="1:9" ht="18.75" customHeight="1" x14ac:dyDescent="0.15">
      <c r="A42" s="14"/>
      <c r="B42" s="209"/>
      <c r="C42" s="210"/>
      <c r="D42" s="210"/>
      <c r="E42" s="210"/>
      <c r="F42" s="210"/>
      <c r="G42" s="210"/>
      <c r="H42" s="210"/>
      <c r="I42" s="208"/>
    </row>
    <row r="43" spans="1:9" ht="18.75" customHeight="1" x14ac:dyDescent="0.15">
      <c r="A43" s="14"/>
      <c r="B43" s="209"/>
      <c r="C43" s="210"/>
      <c r="D43" s="210"/>
      <c r="E43" s="210"/>
      <c r="F43" s="210"/>
      <c r="G43" s="210"/>
      <c r="H43" s="210"/>
      <c r="I43" s="208"/>
    </row>
    <row r="44" spans="1:9" ht="18.75" customHeight="1" x14ac:dyDescent="0.15">
      <c r="A44" s="14"/>
      <c r="B44" s="209"/>
      <c r="C44" s="210"/>
      <c r="D44" s="210"/>
      <c r="E44" s="210"/>
      <c r="F44" s="210"/>
      <c r="G44" s="210"/>
      <c r="H44" s="210"/>
      <c r="I44" s="208"/>
    </row>
    <row r="45" spans="1:9" ht="18.75" customHeight="1" x14ac:dyDescent="0.15">
      <c r="A45" s="14"/>
      <c r="B45" s="209"/>
      <c r="C45" s="210"/>
      <c r="D45" s="210"/>
      <c r="E45" s="210"/>
      <c r="F45" s="210"/>
      <c r="G45" s="210"/>
      <c r="H45" s="210"/>
      <c r="I45" s="208"/>
    </row>
    <row r="46" spans="1:9" ht="18.75" customHeight="1" x14ac:dyDescent="0.15">
      <c r="A46" s="14"/>
      <c r="B46" s="211"/>
      <c r="C46" s="212"/>
      <c r="D46" s="212"/>
      <c r="E46" s="212"/>
      <c r="F46" s="212"/>
      <c r="G46" s="212"/>
      <c r="H46" s="212"/>
      <c r="I46" s="213"/>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0" t="s">
        <v>129</v>
      </c>
      <c r="C49" s="189">
        <f>'様式２ 履修者等数の実績'!S33</f>
        <v>9.0624999999999997E-2</v>
      </c>
      <c r="D49" s="189"/>
      <c r="E49" s="80" t="s">
        <v>60</v>
      </c>
      <c r="F49" s="189">
        <v>0.1</v>
      </c>
      <c r="G49" s="189"/>
      <c r="H49" s="80" t="s">
        <v>80</v>
      </c>
      <c r="I49" s="22">
        <v>0.2</v>
      </c>
      <c r="J49" s="1"/>
      <c r="M49" s="1"/>
      <c r="N49" s="23"/>
    </row>
    <row r="50" spans="1:15" s="3" customFormat="1" ht="18.75" customHeight="1" x14ac:dyDescent="0.15">
      <c r="B50" s="81" t="s">
        <v>116</v>
      </c>
      <c r="C50" s="172">
        <v>1</v>
      </c>
      <c r="D50" s="172"/>
      <c r="E50" s="81" t="s">
        <v>130</v>
      </c>
      <c r="F50" s="172">
        <v>1</v>
      </c>
      <c r="G50" s="172"/>
      <c r="H50" s="81" t="s">
        <v>61</v>
      </c>
      <c r="I50" s="24">
        <f>'様式２ 履修者等数の実績'!E33</f>
        <v>320</v>
      </c>
      <c r="J50" s="1"/>
      <c r="M50" s="1"/>
      <c r="N50" s="23"/>
    </row>
    <row r="51" spans="1:15" ht="18.75" customHeight="1" x14ac:dyDescent="0.15">
      <c r="A51" s="1"/>
      <c r="B51" s="221" t="s">
        <v>62</v>
      </c>
      <c r="C51" s="222"/>
      <c r="D51" s="222"/>
      <c r="E51" s="222"/>
      <c r="F51" s="222"/>
      <c r="G51" s="222"/>
      <c r="H51" s="222"/>
      <c r="I51" s="223"/>
      <c r="N51" s="23"/>
      <c r="O51" s="3"/>
    </row>
    <row r="52" spans="1:15" ht="18.75" customHeight="1" x14ac:dyDescent="0.15">
      <c r="A52" s="1"/>
      <c r="B52" s="190" t="s">
        <v>168</v>
      </c>
      <c r="C52" s="191"/>
      <c r="D52" s="191"/>
      <c r="E52" s="191"/>
      <c r="F52" s="191"/>
      <c r="G52" s="191"/>
      <c r="H52" s="191"/>
      <c r="I52" s="192"/>
      <c r="N52" s="23"/>
      <c r="O52" s="3"/>
    </row>
    <row r="53" spans="1:15" ht="18.75" customHeight="1" x14ac:dyDescent="0.15">
      <c r="A53" s="1"/>
      <c r="B53" s="193"/>
      <c r="C53" s="194"/>
      <c r="D53" s="194"/>
      <c r="E53" s="194"/>
      <c r="F53" s="194"/>
      <c r="G53" s="194"/>
      <c r="H53" s="194"/>
      <c r="I53" s="195"/>
      <c r="N53" s="23"/>
      <c r="O53" s="3"/>
    </row>
    <row r="54" spans="1:15" ht="18.75" customHeight="1" x14ac:dyDescent="0.15">
      <c r="A54" s="1"/>
      <c r="B54" s="193"/>
      <c r="C54" s="194"/>
      <c r="D54" s="194"/>
      <c r="E54" s="194"/>
      <c r="F54" s="194"/>
      <c r="G54" s="194"/>
      <c r="H54" s="194"/>
      <c r="I54" s="195"/>
    </row>
    <row r="55" spans="1:15" ht="18.75" customHeight="1" x14ac:dyDescent="0.15">
      <c r="A55" s="1"/>
      <c r="B55" s="193"/>
      <c r="C55" s="194"/>
      <c r="D55" s="194"/>
      <c r="E55" s="194"/>
      <c r="F55" s="194"/>
      <c r="G55" s="194"/>
      <c r="H55" s="194"/>
      <c r="I55" s="195"/>
    </row>
    <row r="56" spans="1:15" ht="18.75" customHeight="1" x14ac:dyDescent="0.15">
      <c r="A56" s="1"/>
      <c r="B56" s="193"/>
      <c r="C56" s="194"/>
      <c r="D56" s="194"/>
      <c r="E56" s="194"/>
      <c r="F56" s="194"/>
      <c r="G56" s="194"/>
      <c r="H56" s="194"/>
      <c r="I56" s="195"/>
    </row>
    <row r="57" spans="1:15" ht="18.75" customHeight="1" x14ac:dyDescent="0.15">
      <c r="A57" s="1"/>
      <c r="B57" s="193"/>
      <c r="C57" s="194"/>
      <c r="D57" s="194"/>
      <c r="E57" s="194"/>
      <c r="F57" s="194"/>
      <c r="G57" s="194"/>
      <c r="H57" s="194"/>
      <c r="I57" s="195"/>
    </row>
    <row r="58" spans="1:15" ht="18.75" customHeight="1" x14ac:dyDescent="0.15">
      <c r="A58" s="1"/>
      <c r="B58" s="193"/>
      <c r="C58" s="194"/>
      <c r="D58" s="194"/>
      <c r="E58" s="194"/>
      <c r="F58" s="194"/>
      <c r="G58" s="194"/>
      <c r="H58" s="194"/>
      <c r="I58" s="195"/>
    </row>
    <row r="59" spans="1:15" ht="18.75" customHeight="1" x14ac:dyDescent="0.15">
      <c r="A59" s="1"/>
      <c r="B59" s="193"/>
      <c r="C59" s="194"/>
      <c r="D59" s="194"/>
      <c r="E59" s="194"/>
      <c r="F59" s="194"/>
      <c r="G59" s="194"/>
      <c r="H59" s="194"/>
      <c r="I59" s="195"/>
    </row>
    <row r="60" spans="1:15" ht="18.75" customHeight="1" x14ac:dyDescent="0.15">
      <c r="A60" s="1"/>
      <c r="B60" s="193"/>
      <c r="C60" s="194"/>
      <c r="D60" s="194"/>
      <c r="E60" s="194"/>
      <c r="F60" s="194"/>
      <c r="G60" s="194"/>
      <c r="H60" s="194"/>
      <c r="I60" s="195"/>
    </row>
    <row r="61" spans="1:15" ht="18.75" customHeight="1" x14ac:dyDescent="0.15">
      <c r="A61" s="1"/>
      <c r="B61" s="193"/>
      <c r="C61" s="194"/>
      <c r="D61" s="194"/>
      <c r="E61" s="194"/>
      <c r="F61" s="194"/>
      <c r="G61" s="194"/>
      <c r="H61" s="194"/>
      <c r="I61" s="195"/>
    </row>
    <row r="62" spans="1:15" ht="18.75" customHeight="1" x14ac:dyDescent="0.15">
      <c r="A62" s="1"/>
      <c r="B62" s="193"/>
      <c r="C62" s="194"/>
      <c r="D62" s="194"/>
      <c r="E62" s="194"/>
      <c r="F62" s="194"/>
      <c r="G62" s="194"/>
      <c r="H62" s="194"/>
      <c r="I62" s="195"/>
    </row>
    <row r="63" spans="1:15" ht="18.75" customHeight="1" x14ac:dyDescent="0.15">
      <c r="A63" s="1"/>
      <c r="B63" s="196"/>
      <c r="C63" s="197"/>
      <c r="D63" s="197"/>
      <c r="E63" s="197"/>
      <c r="F63" s="197"/>
      <c r="G63" s="197"/>
      <c r="H63" s="197"/>
      <c r="I63" s="19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3" t="s">
        <v>169</v>
      </c>
      <c r="C66" s="174"/>
      <c r="D66" s="174"/>
      <c r="E66" s="174"/>
      <c r="F66" s="174"/>
      <c r="G66" s="174"/>
      <c r="H66" s="174"/>
      <c r="I66" s="175"/>
    </row>
    <row r="67" spans="1:9" ht="18.75" customHeight="1" x14ac:dyDescent="0.15">
      <c r="A67" s="4"/>
      <c r="B67" s="176"/>
      <c r="C67" s="177"/>
      <c r="D67" s="177"/>
      <c r="E67" s="177"/>
      <c r="F67" s="177"/>
      <c r="G67" s="177"/>
      <c r="H67" s="177"/>
      <c r="I67" s="178"/>
    </row>
    <row r="68" spans="1:9" ht="18.75" customHeight="1" x14ac:dyDescent="0.15">
      <c r="A68" s="4"/>
      <c r="B68" s="176"/>
      <c r="C68" s="177"/>
      <c r="D68" s="177"/>
      <c r="E68" s="177"/>
      <c r="F68" s="177"/>
      <c r="G68" s="177"/>
      <c r="H68" s="177"/>
      <c r="I68" s="178"/>
    </row>
    <row r="69" spans="1:9" ht="18.75" customHeight="1" x14ac:dyDescent="0.15">
      <c r="A69" s="4"/>
      <c r="B69" s="176"/>
      <c r="C69" s="177"/>
      <c r="D69" s="177"/>
      <c r="E69" s="177"/>
      <c r="F69" s="177"/>
      <c r="G69" s="177"/>
      <c r="H69" s="177"/>
      <c r="I69" s="178"/>
    </row>
    <row r="70" spans="1:9" ht="18.75" customHeight="1" x14ac:dyDescent="0.15">
      <c r="A70" s="4"/>
      <c r="B70" s="176"/>
      <c r="C70" s="177"/>
      <c r="D70" s="177"/>
      <c r="E70" s="177"/>
      <c r="F70" s="177"/>
      <c r="G70" s="177"/>
      <c r="H70" s="177"/>
      <c r="I70" s="178"/>
    </row>
    <row r="71" spans="1:9" ht="18.75" customHeight="1" x14ac:dyDescent="0.15">
      <c r="A71" s="4"/>
      <c r="B71" s="176"/>
      <c r="C71" s="177"/>
      <c r="D71" s="177"/>
      <c r="E71" s="177"/>
      <c r="F71" s="177"/>
      <c r="G71" s="177"/>
      <c r="H71" s="177"/>
      <c r="I71" s="178"/>
    </row>
    <row r="72" spans="1:9" ht="18.75" customHeight="1" x14ac:dyDescent="0.15">
      <c r="A72" s="4"/>
      <c r="B72" s="176"/>
      <c r="C72" s="177"/>
      <c r="D72" s="177"/>
      <c r="E72" s="177"/>
      <c r="F72" s="177"/>
      <c r="G72" s="177"/>
      <c r="H72" s="177"/>
      <c r="I72" s="178"/>
    </row>
    <row r="73" spans="1:9" ht="18.75" customHeight="1" x14ac:dyDescent="0.15">
      <c r="A73" s="4"/>
      <c r="B73" s="176"/>
      <c r="C73" s="177"/>
      <c r="D73" s="177"/>
      <c r="E73" s="177"/>
      <c r="F73" s="177"/>
      <c r="G73" s="177"/>
      <c r="H73" s="177"/>
      <c r="I73" s="178"/>
    </row>
    <row r="74" spans="1:9" ht="18.75" customHeight="1" x14ac:dyDescent="0.15">
      <c r="A74" s="4"/>
      <c r="B74" s="176"/>
      <c r="C74" s="177"/>
      <c r="D74" s="177"/>
      <c r="E74" s="177"/>
      <c r="F74" s="177"/>
      <c r="G74" s="177"/>
      <c r="H74" s="177"/>
      <c r="I74" s="178"/>
    </row>
    <row r="75" spans="1:9" ht="18.75" customHeight="1" x14ac:dyDescent="0.15">
      <c r="A75" s="4"/>
      <c r="B75" s="176"/>
      <c r="C75" s="177"/>
      <c r="D75" s="177"/>
      <c r="E75" s="177"/>
      <c r="F75" s="177"/>
      <c r="G75" s="177"/>
      <c r="H75" s="177"/>
      <c r="I75" s="178"/>
    </row>
    <row r="76" spans="1:9" ht="18.75" customHeight="1" x14ac:dyDescent="0.15">
      <c r="A76" s="4"/>
      <c r="B76" s="176"/>
      <c r="C76" s="177"/>
      <c r="D76" s="177"/>
      <c r="E76" s="177"/>
      <c r="F76" s="177"/>
      <c r="G76" s="177"/>
      <c r="H76" s="177"/>
      <c r="I76" s="178"/>
    </row>
    <row r="77" spans="1:9" ht="18.75" customHeight="1" x14ac:dyDescent="0.15">
      <c r="A77" s="4"/>
      <c r="B77" s="179"/>
      <c r="C77" s="180"/>
      <c r="D77" s="180"/>
      <c r="E77" s="180"/>
      <c r="F77" s="180"/>
      <c r="G77" s="180"/>
      <c r="H77" s="180"/>
      <c r="I77" s="18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73" t="s">
        <v>170</v>
      </c>
      <c r="C80" s="174"/>
      <c r="D80" s="174"/>
      <c r="E80" s="174"/>
      <c r="F80" s="174"/>
      <c r="G80" s="174"/>
      <c r="H80" s="174"/>
      <c r="I80" s="182"/>
    </row>
    <row r="81" spans="1:9" ht="18.75" customHeight="1" x14ac:dyDescent="0.15">
      <c r="A81" s="1"/>
      <c r="B81" s="183"/>
      <c r="C81" s="184"/>
      <c r="D81" s="184"/>
      <c r="E81" s="184"/>
      <c r="F81" s="184"/>
      <c r="G81" s="184"/>
      <c r="H81" s="184"/>
      <c r="I81" s="185"/>
    </row>
    <row r="82" spans="1:9" ht="18.75" customHeight="1" x14ac:dyDescent="0.15">
      <c r="A82" s="1"/>
      <c r="B82" s="183"/>
      <c r="C82" s="184"/>
      <c r="D82" s="184"/>
      <c r="E82" s="184"/>
      <c r="F82" s="184"/>
      <c r="G82" s="184"/>
      <c r="H82" s="184"/>
      <c r="I82" s="185"/>
    </row>
    <row r="83" spans="1:9" ht="18.75" customHeight="1" x14ac:dyDescent="0.15">
      <c r="A83" s="1"/>
      <c r="B83" s="183"/>
      <c r="C83" s="184"/>
      <c r="D83" s="184"/>
      <c r="E83" s="184"/>
      <c r="F83" s="184"/>
      <c r="G83" s="184"/>
      <c r="H83" s="184"/>
      <c r="I83" s="185"/>
    </row>
    <row r="84" spans="1:9" ht="18.75" customHeight="1" x14ac:dyDescent="0.15">
      <c r="A84" s="1"/>
      <c r="B84" s="183"/>
      <c r="C84" s="184"/>
      <c r="D84" s="184"/>
      <c r="E84" s="184"/>
      <c r="F84" s="184"/>
      <c r="G84" s="184"/>
      <c r="H84" s="184"/>
      <c r="I84" s="185"/>
    </row>
    <row r="85" spans="1:9" ht="18.75" customHeight="1" x14ac:dyDescent="0.15">
      <c r="A85" s="1"/>
      <c r="B85" s="183"/>
      <c r="C85" s="184"/>
      <c r="D85" s="184"/>
      <c r="E85" s="184"/>
      <c r="F85" s="184"/>
      <c r="G85" s="184"/>
      <c r="H85" s="184"/>
      <c r="I85" s="185"/>
    </row>
    <row r="86" spans="1:9" ht="18.75" customHeight="1" x14ac:dyDescent="0.15">
      <c r="A86" s="1"/>
      <c r="B86" s="183"/>
      <c r="C86" s="184"/>
      <c r="D86" s="184"/>
      <c r="E86" s="184"/>
      <c r="F86" s="184"/>
      <c r="G86" s="184"/>
      <c r="H86" s="184"/>
      <c r="I86" s="185"/>
    </row>
    <row r="87" spans="1:9" ht="18.75" customHeight="1" x14ac:dyDescent="0.15">
      <c r="A87" s="1"/>
      <c r="B87" s="183"/>
      <c r="C87" s="184"/>
      <c r="D87" s="184"/>
      <c r="E87" s="184"/>
      <c r="F87" s="184"/>
      <c r="G87" s="184"/>
      <c r="H87" s="184"/>
      <c r="I87" s="185"/>
    </row>
    <row r="88" spans="1:9" ht="18.75" customHeight="1" x14ac:dyDescent="0.15">
      <c r="A88" s="1"/>
      <c r="B88" s="183"/>
      <c r="C88" s="184"/>
      <c r="D88" s="184"/>
      <c r="E88" s="184"/>
      <c r="F88" s="184"/>
      <c r="G88" s="184"/>
      <c r="H88" s="184"/>
      <c r="I88" s="185"/>
    </row>
    <row r="89" spans="1:9" ht="18.75" customHeight="1" x14ac:dyDescent="0.15">
      <c r="A89" s="1"/>
      <c r="B89" s="183"/>
      <c r="C89" s="184"/>
      <c r="D89" s="184"/>
      <c r="E89" s="184"/>
      <c r="F89" s="184"/>
      <c r="G89" s="184"/>
      <c r="H89" s="184"/>
      <c r="I89" s="185"/>
    </row>
    <row r="90" spans="1:9" ht="18.75" customHeight="1" x14ac:dyDescent="0.15">
      <c r="A90" s="4"/>
      <c r="B90" s="183"/>
      <c r="C90" s="184"/>
      <c r="D90" s="184"/>
      <c r="E90" s="184"/>
      <c r="F90" s="184"/>
      <c r="G90" s="184"/>
      <c r="H90" s="184"/>
      <c r="I90" s="185"/>
    </row>
    <row r="91" spans="1:9" ht="18.75" customHeight="1" x14ac:dyDescent="0.15">
      <c r="A91" s="4"/>
      <c r="B91" s="186"/>
      <c r="C91" s="187"/>
      <c r="D91" s="187"/>
      <c r="E91" s="187"/>
      <c r="F91" s="187"/>
      <c r="G91" s="187"/>
      <c r="H91" s="187"/>
      <c r="I91" s="188"/>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03" t="s">
        <v>171</v>
      </c>
      <c r="C94" s="204"/>
      <c r="D94" s="204"/>
      <c r="E94" s="204"/>
      <c r="F94" s="204"/>
      <c r="G94" s="204"/>
      <c r="H94" s="204"/>
      <c r="I94" s="205"/>
    </row>
    <row r="95" spans="1:9" ht="18.75" customHeight="1" x14ac:dyDescent="0.15">
      <c r="A95" s="1"/>
      <c r="B95" s="209"/>
      <c r="C95" s="210"/>
      <c r="D95" s="210"/>
      <c r="E95" s="210"/>
      <c r="F95" s="210"/>
      <c r="G95" s="210"/>
      <c r="H95" s="210"/>
      <c r="I95" s="208"/>
    </row>
    <row r="96" spans="1:9" ht="18.75" customHeight="1" x14ac:dyDescent="0.15">
      <c r="A96" s="1"/>
      <c r="B96" s="209"/>
      <c r="C96" s="210"/>
      <c r="D96" s="210"/>
      <c r="E96" s="210"/>
      <c r="F96" s="210"/>
      <c r="G96" s="210"/>
      <c r="H96" s="210"/>
      <c r="I96" s="208"/>
    </row>
    <row r="97" spans="1:9" ht="18.75" customHeight="1" x14ac:dyDescent="0.15">
      <c r="A97" s="1"/>
      <c r="B97" s="209"/>
      <c r="C97" s="210"/>
      <c r="D97" s="210"/>
      <c r="E97" s="210"/>
      <c r="F97" s="210"/>
      <c r="G97" s="210"/>
      <c r="H97" s="210"/>
      <c r="I97" s="208"/>
    </row>
    <row r="98" spans="1:9" ht="18.75" customHeight="1" x14ac:dyDescent="0.15">
      <c r="A98" s="1"/>
      <c r="B98" s="209"/>
      <c r="C98" s="210"/>
      <c r="D98" s="210"/>
      <c r="E98" s="210"/>
      <c r="F98" s="210"/>
      <c r="G98" s="210"/>
      <c r="H98" s="210"/>
      <c r="I98" s="208"/>
    </row>
    <row r="99" spans="1:9" ht="18.75" customHeight="1" x14ac:dyDescent="0.15">
      <c r="A99" s="1"/>
      <c r="B99" s="209"/>
      <c r="C99" s="210"/>
      <c r="D99" s="210"/>
      <c r="E99" s="210"/>
      <c r="F99" s="210"/>
      <c r="G99" s="210"/>
      <c r="H99" s="210"/>
      <c r="I99" s="208"/>
    </row>
    <row r="100" spans="1:9" ht="18.75" customHeight="1" x14ac:dyDescent="0.15">
      <c r="A100" s="1"/>
      <c r="B100" s="209"/>
      <c r="C100" s="210"/>
      <c r="D100" s="210"/>
      <c r="E100" s="210"/>
      <c r="F100" s="210"/>
      <c r="G100" s="210"/>
      <c r="H100" s="210"/>
      <c r="I100" s="208"/>
    </row>
    <row r="101" spans="1:9" ht="18.75" customHeight="1" x14ac:dyDescent="0.15">
      <c r="A101" s="1"/>
      <c r="B101" s="209"/>
      <c r="C101" s="210"/>
      <c r="D101" s="210"/>
      <c r="E101" s="210"/>
      <c r="F101" s="210"/>
      <c r="G101" s="210"/>
      <c r="H101" s="210"/>
      <c r="I101" s="208"/>
    </row>
    <row r="102" spans="1:9" ht="18.75" customHeight="1" x14ac:dyDescent="0.15">
      <c r="A102" s="1"/>
      <c r="B102" s="209"/>
      <c r="C102" s="210"/>
      <c r="D102" s="210"/>
      <c r="E102" s="210"/>
      <c r="F102" s="210"/>
      <c r="G102" s="210"/>
      <c r="H102" s="210"/>
      <c r="I102" s="208"/>
    </row>
    <row r="103" spans="1:9" ht="18.75" customHeight="1" x14ac:dyDescent="0.15">
      <c r="A103" s="1"/>
      <c r="B103" s="209"/>
      <c r="C103" s="210"/>
      <c r="D103" s="210"/>
      <c r="E103" s="210"/>
      <c r="F103" s="210"/>
      <c r="G103" s="210"/>
      <c r="H103" s="210"/>
      <c r="I103" s="208"/>
    </row>
    <row r="104" spans="1:9" ht="18.75" customHeight="1" x14ac:dyDescent="0.15">
      <c r="A104" s="1"/>
      <c r="B104" s="209"/>
      <c r="C104" s="210"/>
      <c r="D104" s="210"/>
      <c r="E104" s="210"/>
      <c r="F104" s="210"/>
      <c r="G104" s="210"/>
      <c r="H104" s="210"/>
      <c r="I104" s="208"/>
    </row>
    <row r="105" spans="1:9" ht="18.75" customHeight="1" x14ac:dyDescent="0.15">
      <c r="A105" s="4"/>
      <c r="B105" s="211"/>
      <c r="C105" s="212"/>
      <c r="D105" s="212"/>
      <c r="E105" s="212"/>
      <c r="F105" s="212"/>
      <c r="G105" s="212"/>
      <c r="H105" s="212"/>
      <c r="I105" s="213"/>
    </row>
    <row r="106" spans="1:9" ht="7.5" customHeight="1" x14ac:dyDescent="0.15">
      <c r="A106" s="4"/>
      <c r="B106" s="4"/>
      <c r="C106" s="4"/>
      <c r="D106" s="4"/>
      <c r="E106" s="4"/>
      <c r="F106" s="4"/>
      <c r="G106" s="4"/>
      <c r="H106" s="4"/>
      <c r="I106" s="4"/>
    </row>
    <row r="107" spans="1:9" ht="18.75" customHeight="1" x14ac:dyDescent="0.15">
      <c r="A107" s="1" t="s">
        <v>30</v>
      </c>
      <c r="B107" s="220" t="s">
        <v>44</v>
      </c>
      <c r="C107" s="220"/>
      <c r="D107" s="220"/>
      <c r="E107" s="220"/>
      <c r="F107" s="220"/>
      <c r="G107" s="220"/>
      <c r="H107" s="220"/>
      <c r="I107" s="220"/>
    </row>
    <row r="108" spans="1:9" ht="18.75" customHeight="1" x14ac:dyDescent="0.15">
      <c r="A108" s="4"/>
      <c r="B108" s="203" t="s">
        <v>172</v>
      </c>
      <c r="C108" s="204"/>
      <c r="D108" s="204"/>
      <c r="E108" s="204"/>
      <c r="F108" s="204"/>
      <c r="G108" s="204"/>
      <c r="H108" s="204"/>
      <c r="I108" s="205"/>
    </row>
    <row r="109" spans="1:9" ht="18.75" customHeight="1" x14ac:dyDescent="0.15">
      <c r="A109" s="4"/>
      <c r="B109" s="209"/>
      <c r="C109" s="210"/>
      <c r="D109" s="210"/>
      <c r="E109" s="210"/>
      <c r="F109" s="210"/>
      <c r="G109" s="210"/>
      <c r="H109" s="210"/>
      <c r="I109" s="208"/>
    </row>
    <row r="110" spans="1:9" ht="18.75" customHeight="1" x14ac:dyDescent="0.15">
      <c r="A110" s="4"/>
      <c r="B110" s="209"/>
      <c r="C110" s="210"/>
      <c r="D110" s="210"/>
      <c r="E110" s="210"/>
      <c r="F110" s="210"/>
      <c r="G110" s="210"/>
      <c r="H110" s="210"/>
      <c r="I110" s="208"/>
    </row>
    <row r="111" spans="1:9" ht="18.75" customHeight="1" x14ac:dyDescent="0.15">
      <c r="A111" s="4"/>
      <c r="B111" s="209"/>
      <c r="C111" s="210"/>
      <c r="D111" s="210"/>
      <c r="E111" s="210"/>
      <c r="F111" s="210"/>
      <c r="G111" s="210"/>
      <c r="H111" s="210"/>
      <c r="I111" s="208"/>
    </row>
    <row r="112" spans="1:9" ht="18.75" customHeight="1" x14ac:dyDescent="0.15">
      <c r="A112" s="4"/>
      <c r="B112" s="209"/>
      <c r="C112" s="210"/>
      <c r="D112" s="210"/>
      <c r="E112" s="210"/>
      <c r="F112" s="210"/>
      <c r="G112" s="210"/>
      <c r="H112" s="210"/>
      <c r="I112" s="208"/>
    </row>
    <row r="113" spans="1:9" ht="18.75" customHeight="1" x14ac:dyDescent="0.15">
      <c r="A113" s="4"/>
      <c r="B113" s="209"/>
      <c r="C113" s="210"/>
      <c r="D113" s="210"/>
      <c r="E113" s="210"/>
      <c r="F113" s="210"/>
      <c r="G113" s="210"/>
      <c r="H113" s="210"/>
      <c r="I113" s="208"/>
    </row>
    <row r="114" spans="1:9" ht="18.75" customHeight="1" x14ac:dyDescent="0.15">
      <c r="A114" s="4"/>
      <c r="B114" s="209"/>
      <c r="C114" s="210"/>
      <c r="D114" s="210"/>
      <c r="E114" s="210"/>
      <c r="F114" s="210"/>
      <c r="G114" s="210"/>
      <c r="H114" s="210"/>
      <c r="I114" s="208"/>
    </row>
    <row r="115" spans="1:9" ht="18.75" customHeight="1" x14ac:dyDescent="0.15">
      <c r="A115" s="4"/>
      <c r="B115" s="209"/>
      <c r="C115" s="210"/>
      <c r="D115" s="210"/>
      <c r="E115" s="210"/>
      <c r="F115" s="210"/>
      <c r="G115" s="210"/>
      <c r="H115" s="210"/>
      <c r="I115" s="208"/>
    </row>
    <row r="116" spans="1:9" ht="18.75" customHeight="1" x14ac:dyDescent="0.15">
      <c r="A116" s="4"/>
      <c r="B116" s="209"/>
      <c r="C116" s="210"/>
      <c r="D116" s="210"/>
      <c r="E116" s="210"/>
      <c r="F116" s="210"/>
      <c r="G116" s="210"/>
      <c r="H116" s="210"/>
      <c r="I116" s="208"/>
    </row>
    <row r="117" spans="1:9" ht="18.75" customHeight="1" x14ac:dyDescent="0.15">
      <c r="A117" s="4"/>
      <c r="B117" s="209"/>
      <c r="C117" s="210"/>
      <c r="D117" s="210"/>
      <c r="E117" s="210"/>
      <c r="F117" s="210"/>
      <c r="G117" s="210"/>
      <c r="H117" s="210"/>
      <c r="I117" s="208"/>
    </row>
    <row r="118" spans="1:9" ht="18.75" customHeight="1" x14ac:dyDescent="0.15">
      <c r="A118" s="4"/>
      <c r="B118" s="209"/>
      <c r="C118" s="210"/>
      <c r="D118" s="210"/>
      <c r="E118" s="210"/>
      <c r="F118" s="210"/>
      <c r="G118" s="210"/>
      <c r="H118" s="210"/>
      <c r="I118" s="208"/>
    </row>
    <row r="119" spans="1:9" ht="18.75" customHeight="1" x14ac:dyDescent="0.15">
      <c r="A119" s="4"/>
      <c r="B119" s="211"/>
      <c r="C119" s="212"/>
      <c r="D119" s="212"/>
      <c r="E119" s="212"/>
      <c r="F119" s="212"/>
      <c r="G119" s="212"/>
      <c r="H119" s="212"/>
      <c r="I119" s="213"/>
    </row>
    <row r="120" spans="1:9" ht="7.5" customHeight="1" x14ac:dyDescent="0.15">
      <c r="A120" s="4"/>
      <c r="B120" s="25"/>
      <c r="C120" s="25"/>
      <c r="D120" s="25"/>
      <c r="E120" s="25"/>
      <c r="F120" s="25"/>
      <c r="G120" s="25"/>
      <c r="H120" s="25"/>
      <c r="I120" s="25"/>
    </row>
    <row r="121" spans="1:9" ht="18.75" customHeight="1" x14ac:dyDescent="0.15">
      <c r="A121" s="51"/>
      <c r="B121" s="199"/>
      <c r="C121" s="199"/>
      <c r="D121" s="199"/>
      <c r="E121" s="199"/>
      <c r="F121" s="199"/>
      <c r="G121" s="199"/>
      <c r="H121" s="199"/>
      <c r="I121" s="199"/>
    </row>
    <row r="122" spans="1:9" ht="18.75" customHeight="1" x14ac:dyDescent="0.15">
      <c r="A122" s="51"/>
      <c r="B122" s="199"/>
      <c r="C122" s="199"/>
      <c r="D122" s="199"/>
      <c r="E122" s="199"/>
      <c r="F122" s="199"/>
      <c r="G122" s="199"/>
      <c r="H122" s="199"/>
      <c r="I122" s="199"/>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B6" sqref="B6:H6"/>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沖縄県立看護大学</v>
      </c>
    </row>
    <row r="3" spans="1:9" ht="18.75" customHeight="1" x14ac:dyDescent="0.15">
      <c r="A3" s="129" t="s">
        <v>28</v>
      </c>
      <c r="B3" s="129"/>
      <c r="C3" s="129"/>
      <c r="D3" s="129"/>
      <c r="E3" s="129"/>
      <c r="F3" s="129"/>
      <c r="G3" s="129"/>
      <c r="H3" s="129"/>
      <c r="I3" s="129"/>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14" t="s">
        <v>182</v>
      </c>
      <c r="C6" s="247"/>
      <c r="D6" s="247"/>
      <c r="E6" s="247"/>
      <c r="F6" s="247"/>
      <c r="G6" s="247"/>
      <c r="H6" s="248"/>
      <c r="I6" s="3"/>
    </row>
    <row r="7" spans="1:9" ht="9" customHeight="1" x14ac:dyDescent="0.15">
      <c r="A7" s="5"/>
      <c r="B7" s="10"/>
      <c r="C7" s="10"/>
      <c r="D7" s="10"/>
      <c r="E7" s="10"/>
      <c r="F7" s="10"/>
      <c r="G7" s="10"/>
      <c r="H7" s="10"/>
      <c r="I7" s="3"/>
    </row>
    <row r="8" spans="1:9" ht="18.75" customHeight="1" x14ac:dyDescent="0.15">
      <c r="A8" s="5"/>
      <c r="B8" s="3"/>
      <c r="C8" s="3"/>
      <c r="D8" s="18" t="s">
        <v>41</v>
      </c>
      <c r="E8" s="19" t="s">
        <v>165</v>
      </c>
      <c r="F8" s="3"/>
      <c r="G8" s="18" t="s">
        <v>10</v>
      </c>
      <c r="H8" s="19" t="s">
        <v>166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2" t="s">
        <v>24</v>
      </c>
      <c r="C11" s="93"/>
      <c r="D11" s="94"/>
      <c r="E11" s="93" t="s">
        <v>26</v>
      </c>
      <c r="F11" s="93"/>
      <c r="G11" s="93"/>
      <c r="H11" s="93"/>
      <c r="I11" s="94"/>
    </row>
    <row r="12" spans="1:9" ht="26.25" customHeight="1" x14ac:dyDescent="0.15">
      <c r="B12" s="26" t="s">
        <v>14</v>
      </c>
      <c r="C12" s="33"/>
      <c r="D12" s="27"/>
      <c r="E12" s="34"/>
      <c r="F12" s="34"/>
      <c r="G12" s="34"/>
      <c r="H12" s="34"/>
      <c r="I12" s="27"/>
    </row>
    <row r="13" spans="1:9" ht="210.75" customHeight="1" x14ac:dyDescent="0.15">
      <c r="B13" s="28"/>
      <c r="C13" s="229" t="s">
        <v>15</v>
      </c>
      <c r="D13" s="230"/>
      <c r="E13" s="242" t="s">
        <v>173</v>
      </c>
      <c r="F13" s="243"/>
      <c r="G13" s="243"/>
      <c r="H13" s="243"/>
      <c r="I13" s="232"/>
    </row>
    <row r="14" spans="1:9" ht="210.75" customHeight="1" x14ac:dyDescent="0.15">
      <c r="B14" s="28"/>
      <c r="C14" s="245" t="s">
        <v>16</v>
      </c>
      <c r="D14" s="246"/>
      <c r="E14" s="242" t="s">
        <v>174</v>
      </c>
      <c r="F14" s="243"/>
      <c r="G14" s="243"/>
      <c r="H14" s="243"/>
      <c r="I14" s="232"/>
    </row>
    <row r="15" spans="1:9" ht="210.75" customHeight="1" x14ac:dyDescent="0.15">
      <c r="B15" s="28"/>
      <c r="C15" s="229" t="s">
        <v>17</v>
      </c>
      <c r="D15" s="230"/>
      <c r="E15" s="242" t="s">
        <v>175</v>
      </c>
      <c r="F15" s="243"/>
      <c r="G15" s="243"/>
      <c r="H15" s="243"/>
      <c r="I15" s="232"/>
    </row>
    <row r="16" spans="1:9" ht="210.75" customHeight="1" x14ac:dyDescent="0.15">
      <c r="B16" s="28"/>
      <c r="C16" s="229" t="s">
        <v>18</v>
      </c>
      <c r="D16" s="230"/>
      <c r="E16" s="242" t="s">
        <v>176</v>
      </c>
      <c r="F16" s="243"/>
      <c r="G16" s="243"/>
      <c r="H16" s="243"/>
      <c r="I16" s="232"/>
    </row>
    <row r="17" spans="2:9" ht="210.75" customHeight="1" x14ac:dyDescent="0.15">
      <c r="B17" s="29"/>
      <c r="C17" s="233" t="s">
        <v>19</v>
      </c>
      <c r="D17" s="234"/>
      <c r="E17" s="244" t="s">
        <v>177</v>
      </c>
      <c r="F17" s="235"/>
      <c r="G17" s="235"/>
      <c r="H17" s="235"/>
      <c r="I17" s="236"/>
    </row>
    <row r="18" spans="2:9" ht="24" customHeight="1" x14ac:dyDescent="0.15">
      <c r="B18" s="26" t="s">
        <v>20</v>
      </c>
      <c r="C18" s="30"/>
      <c r="D18" s="31"/>
      <c r="E18" s="32"/>
      <c r="F18" s="32"/>
      <c r="G18" s="32"/>
      <c r="H18" s="32"/>
      <c r="I18" s="35"/>
    </row>
    <row r="19" spans="2:9" ht="218.25" customHeight="1" x14ac:dyDescent="0.15">
      <c r="B19" s="28"/>
      <c r="C19" s="229" t="s">
        <v>21</v>
      </c>
      <c r="D19" s="230"/>
      <c r="E19" s="231" t="s">
        <v>178</v>
      </c>
      <c r="F19" s="231"/>
      <c r="G19" s="231"/>
      <c r="H19" s="231"/>
      <c r="I19" s="232"/>
    </row>
    <row r="20" spans="2:9" ht="218.25" customHeight="1" x14ac:dyDescent="0.15">
      <c r="B20" s="29"/>
      <c r="C20" s="233" t="s">
        <v>22</v>
      </c>
      <c r="D20" s="234"/>
      <c r="E20" s="235" t="s">
        <v>179</v>
      </c>
      <c r="F20" s="235"/>
      <c r="G20" s="235"/>
      <c r="H20" s="235"/>
      <c r="I20" s="236"/>
    </row>
    <row r="21" spans="2:9" ht="218.25" customHeight="1" x14ac:dyDescent="0.15">
      <c r="B21" s="237" t="s">
        <v>23</v>
      </c>
      <c r="C21" s="238"/>
      <c r="D21" s="239"/>
      <c r="E21" s="240" t="s">
        <v>180</v>
      </c>
      <c r="F21" s="240"/>
      <c r="G21" s="240"/>
      <c r="H21" s="240"/>
      <c r="I21" s="241"/>
    </row>
    <row r="22" spans="2:9" ht="218.25" customHeight="1" x14ac:dyDescent="0.15">
      <c r="B22" s="224" t="s">
        <v>121</v>
      </c>
      <c r="C22" s="225"/>
      <c r="D22" s="226"/>
      <c r="E22" s="227" t="s">
        <v>181</v>
      </c>
      <c r="F22" s="227"/>
      <c r="G22" s="227"/>
      <c r="H22" s="227"/>
      <c r="I22" s="22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比嘉　和之</cp:lastModifiedBy>
  <cp:lastPrinted>2025-04-28T08:23:36Z</cp:lastPrinted>
  <dcterms:created xsi:type="dcterms:W3CDTF">2011-06-14T05:32:50Z</dcterms:created>
  <dcterms:modified xsi:type="dcterms:W3CDTF">2025-07-04T08:18:30Z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