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C:\Users\uchiyamayhi\OneDrive - 公立大学法人旭川市立大学\教務課 - ドキュメント\【2025年度】\04 委員会\数理・データサイエンス・AI運営委員会\再提出\大学\"/>
    </mc:Choice>
  </mc:AlternateContent>
  <xr:revisionPtr revIDLastSave="1" documentId="13_ncr:1_{D7ECEAC3-24A7-4C90-9BB9-F866B94566E6}" xr6:coauthVersionLast="36" xr6:coauthVersionMax="47" xr10:uidLastSave="{6D22C8EA-5996-4AE4-86FE-A070453D8F18}"/>
  <bookViews>
    <workbookView xWindow="-105" yWindow="-105" windowWidth="18645" windowHeight="11790" tabRatio="885" activeTab="1" xr2:uid="{00000000-000D-0000-FFFF-FFFF00000000}"/>
  </bookViews>
  <sheets>
    <sheet name="様式１-1　プログラムを構成する授業科目" sheetId="43" r:id="rId1"/>
    <sheet name="様式１-2　プログラムを構成する授業科目" sheetId="39"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プログラムを構成する授業科目'!$X$16:$X$18</definedName>
    <definedName name="_xlnm._FilterDatabase" localSheetId="1" hidden="1">'様式１-2　プログラムを構成する授業科目'!$X$16:$X$18</definedName>
    <definedName name="_xlnm._FilterDatabase" localSheetId="2" hidden="1">'様式２ 履修者等数の実績'!#REF!</definedName>
    <definedName name="_xlnm.Print_Area" localSheetId="0">'様式１-1　プログラムを構成する授業科目'!$A$1:$U$105</definedName>
    <definedName name="_xlnm.Print_Area" localSheetId="1">'様式１-2　プログラムを構成する授業科目'!$A$1:$U$105</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S14" i="40" s="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R33" i="40" l="1"/>
  <c r="S33" i="40" s="1"/>
  <c r="C49" i="41" s="1"/>
</calcChain>
</file>

<file path=xl/sharedStrings.xml><?xml version="1.0" encoding="utf-8"?>
<sst xmlns="http://schemas.openxmlformats.org/spreadsheetml/2006/main" count="450" uniqueCount="204">
  <si>
    <t>様式１ー１</t>
  </si>
  <si>
    <t>「学部・学科によって、修了要件は相違する」場合は、本シートを複製の上＜様式１－〇＞と枝番号を付してください</t>
  </si>
  <si>
    <t>大学等名</t>
    <rPh sb="0" eb="2">
      <t>ダイガク</t>
    </rPh>
    <rPh sb="2" eb="3">
      <t>トウ</t>
    </rPh>
    <rPh sb="3" eb="4">
      <t>メイ</t>
    </rPh>
    <phoneticPr fontId="1"/>
  </si>
  <si>
    <t>旭川市立大学</t>
    <rPh sb="0" eb="4">
      <t>アサヒカワシリツ</t>
    </rPh>
    <rPh sb="4" eb="6">
      <t>ダイガク</t>
    </rPh>
    <phoneticPr fontId="1"/>
  </si>
  <si>
    <t>プログラム名</t>
    <rPh sb="5" eb="6">
      <t>メイ</t>
    </rPh>
    <phoneticPr fontId="1"/>
  </si>
  <si>
    <t>ACU数理・データサイエンス・AI教育プログラム</t>
  </si>
  <si>
    <t>リテラシーレベルのプログラムを構成する授業科目について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</si>
  <si>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</si>
  <si>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学部・学科によって、修了要件は相違する</t>
  </si>
  <si>
    <t>② 対象となる学部・学科名称</t>
    <phoneticPr fontId="1"/>
  </si>
  <si>
    <t>③ 修了要件</t>
    <phoneticPr fontId="1"/>
  </si>
  <si>
    <t>「情報処理Ⅱ」の2単位を修得すること。</t>
    <rPh sb="1" eb="3">
      <t>ジョウホウ</t>
    </rPh>
    <rPh sb="3" eb="5">
      <t>ショリ</t>
    </rPh>
    <rPh sb="9" eb="11">
      <t>タンイ</t>
    </rPh>
    <rPh sb="12" eb="14">
      <t>シュウトク</t>
    </rPh>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</si>
  <si>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</si>
  <si>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</si>
  <si>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</si>
  <si>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</si>
  <si>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</si>
  <si>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</si>
  <si>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</si>
  <si>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</si>
  <si>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</si>
  <si>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</si>
  <si>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</si>
  <si>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</si>
  <si>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</si>
  <si>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</si>
  <si>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情報処理Ⅱ</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</si>
  <si>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</si>
  <si>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</si>
  <si>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</si>
  <si>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</si>
  <si>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</si>
  <si>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</si>
  <si>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</si>
  <si>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</si>
  <si>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</si>
  <si>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</si>
  <si>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</si>
  <si>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</si>
  <si>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</si>
  <si>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</si>
  <si>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</si>
  <si>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</si>
  <si>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</si>
  <si>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</si>
  <si>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</si>
  <si>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</si>
  <si>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</si>
  <si>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</si>
  <si>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</si>
  <si>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</si>
  <si>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</si>
  <si>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</si>
  <si>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</si>
  <si>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</si>
  <si>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</si>
  <si>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</si>
  <si>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・ビッグデータ、IoT、AI、生成AI、ロボット「情報処理Ⅱ」（１回目）
・第4次産業革命、Society 5.0、データ駆動型社会「情報処理Ⅱ」（１回目）</t>
  </si>
  <si>
    <t>1-6</t>
    <phoneticPr fontId="1"/>
  </si>
  <si>
    <t>・AI最新技術の活用例（深層生成モデル、強化学習、転移学習、生成AIなど）「情報処理Ⅱ」（１回目）</t>
  </si>
  <si>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</si>
  <si>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・調査データ、実験データ、人の行動ログデータ、機械の稼働ログデータなど「情報処理Ⅱ」（１回目）</t>
  </si>
  <si>
    <t>・データ・AI活用領域の広がり(生産、消費、文化活動など)「情報処理Ⅱ」（１回目）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</si>
  <si>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</si>
  <si>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・データ解析：予測、グルーピング、パターン発見、最適化、モデル化とシミュレーション・データ同化など「情報処理Ⅱ」（１回目）</t>
  </si>
  <si>
    <t>・教育、芸術、流通、製造、金融、サービス、インフラ、公共、ヘルスケア等におけるデータ・AI利活用事例紹介「情報処理Ⅱ」（１回目）</t>
  </si>
  <si>
    <t>（４）活用に当たっての様々な留意事項（ELSI、個人情報、データ倫理、ＡＩ社会原則等）を考慮し、情報セキュリティや情報漏洩等、データを守る上での留意事項への理解をする</t>
    <phoneticPr fontId="1"/>
  </si>
  <si>
    <t>・データ倫理：データのねつ造、改ざん、盗用、プライバシー保護「情報処理Ⅱ」（2回目）
・AI社会原則（公平性、説明責任、透明性、人間中心の判断）「情報処理Ⅱ」（１回目）</t>
  </si>
  <si>
    <t>・情報セキュリティの3要素（機密性、完全性、可用性）「情報処理Ⅱ」（2回目）
・情報漏洩等によるセキュリティ事故の事例紹介「情報処理Ⅱ」（2回目）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</si>
  <si>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</si>
  <si>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</si>
  <si>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・データの種類（量的変数、質的変数）「情報処理Ⅱ」（3、8回目）
・データの分布(ヒストグラム)と代表値（平均値、中央値、最頻値）「情報処理Ⅱ」（8回目）
・代表値の性質の違い（実社会では平均値＝最頻値でないことが多い）「情報処理Ⅱ」（8回目）
・データのばらつき（分散、標準偏差、偏差値）、外れ値「情報処理Ⅱ」（8回目）
・相関と因果（相関係数、擬似相関、交絡）「情報処理Ⅱ」（11回目）
・母集団と標本抽出（国勢調査、アンケート調査、全数調査、単純無作為抽出、層別抽出、多段抽出）「情報処理Ⅱ」（13回目）
・クロス集計表、分割表、相関係数行列、散布図行列「情報処理Ⅱ」（11回目）
・統計情報の正しい理解（誇張表現に惑わされない）「情報処理Ⅱ」（15回目）</t>
    <phoneticPr fontId="1"/>
  </si>
  <si>
    <t>・データ表現（棒グラフ、折線グラフ、散布図、ヒートマップ、箱ひげ図）「情報処理Ⅱ」（4、9、10回目）
・データの比較（条件をそろえた比較、処理の前後での比較、A/Bテスト)「情報処理Ⅱ」（13回目）
・不適切なグラフ表現（チャートジャンク、不必要な視覚的要素）「情報処理Ⅱ」（9、10回目）
・優れた可視化事例の紹介（可視化することによって新たな気づきがあった事例など）「情報処理Ⅱ」（4回目）</t>
    <phoneticPr fontId="1"/>
  </si>
  <si>
    <t>・データの集計（和、平均）「情報処理Ⅱ」（5、6回目）
・データの並び替え、ランキング「情報処理Ⅱ」（7回目）
・表形式のデータ（csv）「情報処理Ⅱ」（3回目）</t>
    <phoneticPr fontId="1"/>
  </si>
  <si>
    <t>⑪ プログラムの学修成果（学生等が身に付けられる能力等）</t>
    <phoneticPr fontId="1"/>
  </si>
  <si>
    <t>①数理・データサイエンス・AIに関する基礎知識を身につけ、②情報リテラシーを涵養し、③表計算ソフトを使用してデータを分析する方法を学ぶ。簡単な作表やグラフの作成から、統計分析や対象をモデル化してシミュレーションを行う法など、基礎から応用を身に付ける。簡単な表形式データベースも扱い、汎用的技能、ＩＯＴ能力を活用し、課題の発見、情報の収集・分析、解決策を見出す能力を修得する。</t>
  </si>
  <si>
    <t>様式１－２</t>
  </si>
  <si>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</si>
  <si>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</si>
  <si>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</si>
  <si>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</si>
  <si>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</si>
  <si>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令和６</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</si>
  <si>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</si>
  <si>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</si>
  <si>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</si>
  <si>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</si>
  <si>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</si>
  <si>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</si>
  <si>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</si>
  <si>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</si>
  <si>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</si>
  <si>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</si>
  <si>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</si>
  <si>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</si>
  <si>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</si>
  <si>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</si>
  <si>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</si>
  <si>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</si>
  <si>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</si>
  <si>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</si>
  <si>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</si>
  <si>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</si>
  <si>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</si>
  <si>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</si>
  <si>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</si>
  <si>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</si>
  <si>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</si>
  <si>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</si>
  <si>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</si>
  <si>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</si>
  <si>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</si>
  <si>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</si>
  <si>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</si>
  <si>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</si>
  <si>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</si>
  <si>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</si>
  <si>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</si>
  <si>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</si>
  <si>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</si>
  <si>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</si>
  <si>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西口　規彦</t>
  </si>
  <si>
    <t>（役職名）</t>
    <rPh sb="1" eb="4">
      <t>ヤクショクメイ</t>
    </rPh>
    <phoneticPr fontId="1"/>
  </si>
  <si>
    <t>副学長</t>
  </si>
  <si>
    <t>④</t>
    <phoneticPr fontId="1"/>
  </si>
  <si>
    <t>プログラムを改善・進化させるための体制（委員会・組織等）</t>
    <phoneticPr fontId="1"/>
  </si>
  <si>
    <t>西口　規彦</t>
    <phoneticPr fontId="1"/>
  </si>
  <si>
    <t>⑤</t>
    <phoneticPr fontId="1"/>
  </si>
  <si>
    <t>プログラムを改善・進化させるための体制を定める規則名称</t>
  </si>
  <si>
    <t>⑥</t>
    <phoneticPr fontId="1"/>
  </si>
  <si>
    <t>体制の目的</t>
    <rPh sb="0" eb="2">
      <t>タイセイ</t>
    </rPh>
    <rPh sb="3" eb="5">
      <t>モクテキ</t>
    </rPh>
    <phoneticPr fontId="1"/>
  </si>
  <si>
    <t>旭川市立大学における数理、データサイエンス及びAIに関する教育プログラムの計画・策
定を行い適正に運用すること。</t>
    <rPh sb="0" eb="2">
      <t>アサヒカワ</t>
    </rPh>
    <rPh sb="2" eb="4">
      <t>シリツ</t>
    </rPh>
    <rPh sb="4" eb="6">
      <t>ダイガク</t>
    </rPh>
    <phoneticPr fontId="1"/>
  </si>
  <si>
    <t>⑦</t>
    <phoneticPr fontId="1"/>
  </si>
  <si>
    <t>具体的な構成員</t>
    <rPh sb="0" eb="3">
      <t>グタイテキ</t>
    </rPh>
    <rPh sb="4" eb="7">
      <t>コウセイイン</t>
    </rPh>
    <phoneticPr fontId="1"/>
  </si>
  <si>
    <t>委員会は 、学長が指名する副学長、大学の各学部から1名、短期大学部から1名、授業科目担当教員、教務課長、その他学長が必要と認めた者をもって組織する。
現状の構成員は以下の通り。
委員長：西口規彦　（副学長）
委員：佐藤直飛　（経済学部　准教授）
委員：廣岡憲造　（保健福祉学部　教授）
委員：藤本愉　（短期大学部　教授）
委員：浅水仁　（新学部設置準備室　教授（情報教育センター　所長））
委員：小川春菜　（教務課課長）
委員：須田孝徳（新学部設置準備室　教授）</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</si>
  <si>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</si>
  <si>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</si>
  <si>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</si>
  <si>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</si>
  <si>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</si>
  <si>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</si>
  <si>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</si>
  <si>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</si>
  <si>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</si>
  <si>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本学は学部・学科ごとに異なるカリキュラムで情報教育を行っているため、全学科共通の科目ではなく学科ごとの教養科目の中に数理・データサイエンス・AI教育のリテラシーレベルに相当する科目を開講している。
経済学部、保健福祉学部保健看護学科においては必修科目として配置している。保健福祉学部コミュニティ福祉学科ではカリキュラムの開講科目数やCAP制の制限があり選択科目としているが、積極的に履修するよう指導しており、令和６年度においては配当学年の学生のうち9割以上が履修した。
令和８年度からはカリキュラム改定により、教養科目を共通化することが決定し、全学共通科目として、1年次に必修科目として開講する予定である。</t>
    <rPh sb="255" eb="261">
      <t>ゼンガクキョウツウカモク</t>
    </rPh>
    <rPh sb="272" eb="274">
      <t>ゼンガク</t>
    </rPh>
    <rPh sb="274" eb="278">
      <t>キョウツウカモク</t>
    </rPh>
    <rPh sb="283" eb="285">
      <t>ネンジ</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</si>
  <si>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</si>
  <si>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</si>
  <si>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本プログラムの科目は、学部学科によって科目名や単位数に違いはあるが、全学部の学生が履修可能なカリキュラムとなっている。プログラムを進める上で明らかになった問題点等については、数理・データサイエンス・AI教育運営委員会において改善を進めていく。
令和８年度からはカリキュラム改定により、全学共通教育科目の中に全学生が必修科目として学修するACUコア科目という科目群を置き、その中にリテラシーレベルに相当する「数理・データサイエンス」（1年生に配当）を置く。
</t>
    <rPh sb="0" eb="1">
      <t>ホン</t>
    </rPh>
    <rPh sb="11" eb="15">
      <t>ガクブガッカ</t>
    </rPh>
    <rPh sb="19" eb="22">
      <t>カモクメイ</t>
    </rPh>
    <rPh sb="23" eb="26">
      <t>タンイスウ</t>
    </rPh>
    <rPh sb="27" eb="28">
      <t>チガ</t>
    </rPh>
    <rPh sb="35" eb="37">
      <t>ガクブ</t>
    </rPh>
    <rPh sb="38" eb="40">
      <t>ガクセイ</t>
    </rPh>
    <rPh sb="122" eb="124">
      <t>レイワ</t>
    </rPh>
    <rPh sb="125" eb="127">
      <t>ネンド</t>
    </rPh>
    <rPh sb="136" eb="138">
      <t>カイテイ</t>
    </rPh>
    <rPh sb="217" eb="219">
      <t>ネンセイ</t>
    </rPh>
    <rPh sb="220" eb="222">
      <t>ハイトウ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</si>
  <si>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</si>
  <si>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</si>
  <si>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対象科目が選択科目となっている保健福祉学部コミュニティ福祉学科においては、年度当初のオリエンテーションの中で、本プログラムに関する周知及び履修促進を行っている。</t>
    <phoneticPr fontId="1"/>
  </si>
  <si>
    <t>⑪</t>
    <phoneticPr fontId="1"/>
  </si>
  <si>
    <t>できる限り多くの学生が履修・修得できるようなサポート体制</t>
    <rPh sb="26" eb="28">
      <t>タイセイ</t>
    </rPh>
    <phoneticPr fontId="1"/>
  </si>
  <si>
    <t>本プログラムの科目は、学部学科によって科目名や単位数に違いはあるが、全学部の学生が履修可能なカリキュラムとなっている。
令和8年からのカリキュラム改定により、1年生対象の科目として、全学生が必修科目となる。</t>
    <rPh sb="60" eb="62">
      <t>レイワ</t>
    </rPh>
    <rPh sb="63" eb="64">
      <t>ネン</t>
    </rPh>
    <rPh sb="73" eb="75">
      <t>カイテイ</t>
    </rPh>
    <rPh sb="85" eb="87">
      <t>カモク</t>
    </rPh>
    <rPh sb="91" eb="94">
      <t>ゼンガクセイ</t>
    </rPh>
    <rPh sb="95" eb="99">
      <t>ヒッシュ</t>
    </rPh>
    <phoneticPr fontId="1"/>
  </si>
  <si>
    <t>⑫</t>
    <phoneticPr fontId="1"/>
  </si>
  <si>
    <t>授業時間内外で学習指導、質問を受け付ける具体的な仕組み</t>
    <rPh sb="20" eb="23">
      <t>グタイテキ</t>
    </rPh>
    <phoneticPr fontId="1"/>
  </si>
  <si>
    <t>ポータルサイトでオフィスアワーを公開し、質問を受け付けたり、指導を行う環境を整えている。Teamsやメールで学生が担当教員に質問することも可能となっている。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</si>
  <si>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</si>
  <si>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</si>
  <si>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</si>
  <si>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</si>
  <si>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</si>
  <si>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</si>
  <si>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</si>
  <si>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</si>
  <si>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</si>
  <si>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学において数理・データサイエンス・AI教育（リテラシーレベル）にかかわる科目は、経済学部では1年次後期開講科目の「情報処理Ⅱ」、コミュニティ福祉学科では1年次後期開講科目の「情報処理Ⅱ」、保健看護学科では2年次後期開講科目の「統計学演習」である。
（1）履修状況：経済学部「情報処理Ⅱ」は必修科目なので、令和6年度入学生について履修率は100％であった。コミュニティ福祉学科「情報処理Ⅱ」は選択科目であるが、積極的な履修の呼びかけによって1年生52人のうち45人（87％）が履修した。
（2）修得状況：令和6年度において、経済学部「情報処理Ⅱ」履修者100人のうち、単位修得者は99人（99％）であった。コミュニティ福祉学科「情報処理Ⅱ」履修者45人のうち、単位修得者は41人（91％）であった。保健看護学科「統計学演習」履修者57人のうち、単位修得者は57人（100％）であった。</t>
    <phoneticPr fontId="1"/>
  </si>
  <si>
    <t>学修成果</t>
    <rPh sb="0" eb="2">
      <t>ガクシュウ</t>
    </rPh>
    <rPh sb="2" eb="4">
      <t>セイカ</t>
    </rPh>
    <phoneticPr fontId="1"/>
  </si>
  <si>
    <t>（1）経済学部「情報処理Ⅱ」の単位修得者99人のうち、評価がS（90点以上）である者は43人（43％）であり、A（89-80点）が13人（13％）であり、B（79-70点）が11人（11％）であった。B以上が67％であったことから、過半数の学生が、本科目の目標である「データサイエンスを理解し、実践できる能力」を身につけたと考える。
（2）コミュニティ福祉学科「情報処理Ⅱ」の単位修得者41人のうち、評価がS（90点以上）である者は23人（56％）であり、A（89-80点）が6人（15％）であり、B（79-70点）が3人（7％）であった。B以上が78％であったことから、大部分の学生が、本科目の目標である「データサイエンスを理解し、実践できる能力」を身につけたと考える。
（3）保健看護学科「統計学演習」」の単位修得者57人のうち、評価がS（90点以上）である者は14人（25％）であり、A（89-80点）が12人（21％）であり、B（79-70点）が8人（14％）であった。B以上が60％であったことから、過半数の学生が、本科目の目標である「データサイエンスを理解し、実践できる能力」を身につけたと考え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</si>
  <si>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</si>
  <si>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本学共通の学生による授業評価のアンケートで、経済学部「情報処理Ⅱ」・コミュニティ福祉学科「情報処理Ⅱ」・保健看護学科「統計学演習」の理解度にかかわる質問項目の集計結果を、以下に示す。
（1）「授業の資料は、授業内容を理解しやすいよう工夫されていたか」という質問に対して、74％の履修者が「とても、そう思う」「おおむね、そう思う」と回答した。
（2）「授業の方法は、授業内容を理解しやすいよう工夫されていたか」という質問に対して、74％の履修者が「とても、そう思う」「おおむね、そう思う」と回答した。
（3）「教員の口頭による説明は、授業内容を理解しやすいよう工夫されていたか」という質問に対して、68％の履修者が「とても、そう思う」「おおむね、そう思う」と回答した。
（4）「教員は、学生の理解度を確認しながら授業を進めていたか」という質問に対して、57％の履修者が「とても、そう思う」「おおむね、そう思う」と回答した。
以上の結果から、授業では学生の理解を促す取り組みが行われており、過半数の学生が授業内容を十分に理解して必要な知識を身につけ、最終的な成績ではB判定以上を取得したと考える。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</si>
  <si>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</si>
  <si>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本学共通の学生による授業評価のアンケートで「後輩等、他の学生への推奨度」にかかわる質問項目では、「この授業を履修して、興味を持った内容はありますか」という項目が挙げられる。
上記質問項目について、63％の履修者が「たくさん、あった」「少し、あった」と回答した。
現在のところ、アンケートの自由記述式回答は一般には公表していないが、今後後輩にとって参考になる回答は，HPなどを通じた後輩学生に対するフィードバックも検討する予定である。</t>
    <rPh sb="22" eb="24">
      <t>コウハイ</t>
    </rPh>
    <rPh sb="24" eb="25">
      <t>トウ</t>
    </rPh>
    <rPh sb="26" eb="27">
      <t>タ</t>
    </rPh>
    <rPh sb="28" eb="30">
      <t>ガクセイ</t>
    </rPh>
    <rPh sb="32" eb="34">
      <t>スイショウ</t>
    </rPh>
    <rPh sb="34" eb="35">
      <t>ド</t>
    </rPh>
    <rPh sb="41" eb="43">
      <t>シツモン</t>
    </rPh>
    <rPh sb="43" eb="45">
      <t>コウモク</t>
    </rPh>
    <rPh sb="77" eb="79">
      <t>コウモク</t>
    </rPh>
    <rPh sb="80" eb="81">
      <t>ア</t>
    </rPh>
    <rPh sb="88" eb="90">
      <t>ジョウキ</t>
    </rPh>
    <rPh sb="90" eb="92">
      <t>シツモン</t>
    </rPh>
    <rPh sb="92" eb="94">
      <t>コウモク</t>
    </rPh>
    <rPh sb="103" eb="106">
      <t>リシュウシャ</t>
    </rPh>
    <rPh sb="118" eb="119">
      <t>スコ</t>
    </rPh>
    <rPh sb="126" eb="128">
      <t>カイトウ</t>
    </rPh>
    <rPh sb="133" eb="135">
      <t>ゲンザイ</t>
    </rPh>
    <rPh sb="146" eb="148">
      <t>ジユウ</t>
    </rPh>
    <rPh sb="148" eb="150">
      <t>キジュツ</t>
    </rPh>
    <rPh sb="150" eb="151">
      <t>シキ</t>
    </rPh>
    <rPh sb="151" eb="153">
      <t>カイトウ</t>
    </rPh>
    <rPh sb="154" eb="156">
      <t>イッパン</t>
    </rPh>
    <rPh sb="158" eb="160">
      <t>コウヒョウ</t>
    </rPh>
    <rPh sb="167" eb="169">
      <t>コンゴ</t>
    </rPh>
    <rPh sb="169" eb="171">
      <t>コウハイ</t>
    </rPh>
    <rPh sb="175" eb="177">
      <t>サンコウ</t>
    </rPh>
    <rPh sb="180" eb="182">
      <t>カイトウ</t>
    </rPh>
    <rPh sb="189" eb="190">
      <t>ツウ</t>
    </rPh>
    <rPh sb="192" eb="194">
      <t>コウハイ</t>
    </rPh>
    <rPh sb="194" eb="196">
      <t>ガクセイ</t>
    </rPh>
    <rPh sb="197" eb="198">
      <t>タイ</t>
    </rPh>
    <rPh sb="208" eb="210">
      <t>ケントウ</t>
    </rPh>
    <rPh sb="212" eb="214">
      <t>ヨテイ</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</si>
  <si>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</si>
  <si>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経済学部1年「情報処理Ⅱ」と保健看護学科2年「統計学演習」は必修科目であり、全学生が履修する。これまでコミュニティ福祉学科1年「情報処理Ⅱ」は選択科目であったが、令和7年度入学生から必修科目になった。したがって今後、全学的に本科目の履修率は100％になる予定であ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</si>
  <si>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</si>
  <si>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</si>
  <si>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卒業生の進路状況については、本学キャリア支援課が郵送によって質問紙調査を行っている。本調査では、卒業生本人には就業の状況を調査し、卒業生が入職した事業所の担当者には、本学卒業生に求める能力の種類と、就業している卒業生の能力に対する評価について質問している。
　数理・データサイエンス・AI教育（リテラシーレベル）にかかわる科目は令和6年度の1年生または2年生から開始されたために、本教育プログラム修了者の活躍状況を検討するのは令和9年以降になる、その際には、本学キャリア支援課による調査結果を用いて、評価を行うことになる。</t>
    <rPh sb="0" eb="3">
      <t>ソツギョウセイ</t>
    </rPh>
    <rPh sb="20" eb="23">
      <t>シエンカ</t>
    </rPh>
    <rPh sb="24" eb="26">
      <t>ユウソウ</t>
    </rPh>
    <rPh sb="30" eb="33">
      <t>シツモンシ</t>
    </rPh>
    <rPh sb="36" eb="37">
      <t>オコナ</t>
    </rPh>
    <rPh sb="42" eb="45">
      <t>ホンチョウサ</t>
    </rPh>
    <rPh sb="48" eb="51">
      <t>ソツギョウセイ</t>
    </rPh>
    <rPh sb="51" eb="53">
      <t>ホンニン</t>
    </rPh>
    <rPh sb="55" eb="57">
      <t>シュウギョウ</t>
    </rPh>
    <rPh sb="58" eb="60">
      <t>ジョウキョウ</t>
    </rPh>
    <rPh sb="61" eb="63">
      <t>チョウサ</t>
    </rPh>
    <rPh sb="65" eb="68">
      <t>ソツギョウセイ</t>
    </rPh>
    <rPh sb="69" eb="71">
      <t>ニュウショク</t>
    </rPh>
    <rPh sb="73" eb="76">
      <t>ジギョウショ</t>
    </rPh>
    <rPh sb="77" eb="80">
      <t>タントウシャ</t>
    </rPh>
    <rPh sb="83" eb="85">
      <t>ホンガク</t>
    </rPh>
    <rPh sb="85" eb="88">
      <t>ソツギョウセイ</t>
    </rPh>
    <rPh sb="89" eb="90">
      <t>モト</t>
    </rPh>
    <rPh sb="92" eb="94">
      <t>ノウリョク</t>
    </rPh>
    <rPh sb="95" eb="97">
      <t>シュルイ</t>
    </rPh>
    <rPh sb="105" eb="108">
      <t>ソツギョウセイ</t>
    </rPh>
    <rPh sb="109" eb="111">
      <t>ノウリョク</t>
    </rPh>
    <rPh sb="112" eb="113">
      <t>タイ</t>
    </rPh>
    <rPh sb="115" eb="117">
      <t>ヒョウカ</t>
    </rPh>
    <rPh sb="121" eb="123">
      <t>シツモン</t>
    </rPh>
    <rPh sb="164" eb="166">
      <t>レイワ</t>
    </rPh>
    <rPh sb="167" eb="169">
      <t>ネンド</t>
    </rPh>
    <rPh sb="171" eb="173">
      <t>ネンセイ</t>
    </rPh>
    <rPh sb="177" eb="179">
      <t>ネンセイ</t>
    </rPh>
    <rPh sb="181" eb="183">
      <t>カイシ</t>
    </rPh>
    <rPh sb="190" eb="191">
      <t>ホン</t>
    </rPh>
    <rPh sb="191" eb="193">
      <t>キョウイク</t>
    </rPh>
    <rPh sb="198" eb="201">
      <t>シュウリョウシャ</t>
    </rPh>
    <rPh sb="202" eb="204">
      <t>カツヤク</t>
    </rPh>
    <rPh sb="204" eb="206">
      <t>ジョウキョウ</t>
    </rPh>
    <rPh sb="207" eb="209">
      <t>ケントウ</t>
    </rPh>
    <rPh sb="213" eb="215">
      <t>レイワ</t>
    </rPh>
    <rPh sb="216" eb="219">
      <t>ネンイコウ</t>
    </rPh>
    <rPh sb="225" eb="226">
      <t>サイ</t>
    </rPh>
    <rPh sb="229" eb="231">
      <t>ホンガク</t>
    </rPh>
    <rPh sb="235" eb="238">
      <t>シエンカ</t>
    </rPh>
    <rPh sb="241" eb="243">
      <t>チョウサ</t>
    </rPh>
    <rPh sb="243" eb="245">
      <t>ケッカ</t>
    </rPh>
    <rPh sb="246" eb="247">
      <t>モチ</t>
    </rPh>
    <rPh sb="250" eb="252">
      <t>ヒョウカ</t>
    </rPh>
    <rPh sb="253" eb="254">
      <t>オコナ</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</si>
  <si>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</si>
  <si>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大卒者に求められるデータサイエンス、DXなどに関する知識を本教育プログラムに反映させることについて、現状では全国的な傾向にもとづいて授業内容を検討するに留まる。
　今後、キャリア支援課を中心に、卒業生が就業する地元企業に対する聞き取り調査や、卒業生の進路状況に関する質問紙調査の項目にデータサイエンスに関する項目を設けるなどの方法を検討する予定である。</t>
    <rPh sb="0" eb="3">
      <t>ダイソツシャ</t>
    </rPh>
    <rPh sb="4" eb="5">
      <t>モト</t>
    </rPh>
    <rPh sb="23" eb="24">
      <t>カン</t>
    </rPh>
    <rPh sb="26" eb="28">
      <t>チシキ</t>
    </rPh>
    <rPh sb="29" eb="32">
      <t>ホンキョウイク</t>
    </rPh>
    <rPh sb="38" eb="40">
      <t>ハンエイ</t>
    </rPh>
    <rPh sb="50" eb="52">
      <t>ゲンジョウ</t>
    </rPh>
    <rPh sb="54" eb="57">
      <t>ゼンコクテキ</t>
    </rPh>
    <rPh sb="58" eb="60">
      <t>ケイコウ</t>
    </rPh>
    <rPh sb="66" eb="68">
      <t>ジュギョウ</t>
    </rPh>
    <rPh sb="68" eb="70">
      <t>ナイヨウ</t>
    </rPh>
    <rPh sb="71" eb="73">
      <t>ケントウ</t>
    </rPh>
    <rPh sb="76" eb="77">
      <t>トド</t>
    </rPh>
    <rPh sb="82" eb="84">
      <t>コンゴ</t>
    </rPh>
    <rPh sb="89" eb="91">
      <t>シエン</t>
    </rPh>
    <rPh sb="91" eb="92">
      <t>カ</t>
    </rPh>
    <rPh sb="93" eb="95">
      <t>チュウシン</t>
    </rPh>
    <rPh sb="97" eb="100">
      <t>ソツギョウセイ</t>
    </rPh>
    <rPh sb="101" eb="103">
      <t>シュウギョウ</t>
    </rPh>
    <rPh sb="105" eb="107">
      <t>ジモト</t>
    </rPh>
    <rPh sb="107" eb="109">
      <t>キギョウ</t>
    </rPh>
    <rPh sb="110" eb="111">
      <t>タイ</t>
    </rPh>
    <rPh sb="113" eb="114">
      <t>キ</t>
    </rPh>
    <rPh sb="115" eb="116">
      <t>ト</t>
    </rPh>
    <rPh sb="117" eb="119">
      <t>チョウサ</t>
    </rPh>
    <rPh sb="121" eb="124">
      <t>ソツギョウセイ</t>
    </rPh>
    <rPh sb="125" eb="127">
      <t>シンロ</t>
    </rPh>
    <rPh sb="127" eb="129">
      <t>ジョウキョウ</t>
    </rPh>
    <rPh sb="130" eb="131">
      <t>カン</t>
    </rPh>
    <rPh sb="133" eb="136">
      <t>シツモンシ</t>
    </rPh>
    <rPh sb="136" eb="138">
      <t>チョウサ</t>
    </rPh>
    <rPh sb="139" eb="141">
      <t>コウモク</t>
    </rPh>
    <rPh sb="151" eb="152">
      <t>カン</t>
    </rPh>
    <rPh sb="154" eb="156">
      <t>コウモク</t>
    </rPh>
    <rPh sb="157" eb="158">
      <t>モウ</t>
    </rPh>
    <rPh sb="163" eb="165">
      <t>ホウホウ</t>
    </rPh>
    <rPh sb="166" eb="168">
      <t>ケントウ</t>
    </rPh>
    <rPh sb="170" eb="172">
      <t>ヨテイ</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</si>
  <si>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</si>
  <si>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学共通の学生による授業評価のアンケートで、数理・データサイエンス・AIを学ぶ「楽しさ」「意義」に関する質問として、「この授業を履修して、興味を持った内容はありますか」という項目が挙げられる。この質問に対して、63％の履修者が「たくさん、あった」「少し、あった」と回答した（前掲）。この結果から、過半数の学生が、本教育プログラムを通じてデータサイエンス等に関する学修の意義を理解していたと考える。
　その一方で、授業の難易度に関する質問「あなたにとって、授業内容は難しいと思いましたか」という項目に対しては、77％の履修者が「難しかった」「とても難しかった」と回答した。授業の難易度が、ただちに学生の興味関心に影響をおよぼすとは言えないが、今後、学生の理解度に合わせた授業の進展によって、興味を持つ内容があったと回答する学生割合を向上させる努力が必要と考える。</t>
    <rPh sb="52" eb="54">
      <t>シツモン</t>
    </rPh>
    <rPh sb="98" eb="100">
      <t>シツモン</t>
    </rPh>
    <rPh sb="101" eb="102">
      <t>タイ</t>
    </rPh>
    <rPh sb="137" eb="139">
      <t>ゼンケイ</t>
    </rPh>
    <rPh sb="143" eb="145">
      <t>ケッカ</t>
    </rPh>
    <rPh sb="148" eb="151">
      <t>カハンスウ</t>
    </rPh>
    <rPh sb="152" eb="154">
      <t>ガクセイ</t>
    </rPh>
    <rPh sb="156" eb="159">
      <t>ホンキョウイク</t>
    </rPh>
    <rPh sb="165" eb="166">
      <t>ツウ</t>
    </rPh>
    <rPh sb="176" eb="177">
      <t>トウ</t>
    </rPh>
    <rPh sb="178" eb="179">
      <t>カン</t>
    </rPh>
    <rPh sb="181" eb="183">
      <t>ガクシュウ</t>
    </rPh>
    <rPh sb="184" eb="186">
      <t>イギ</t>
    </rPh>
    <rPh sb="187" eb="189">
      <t>リカイ</t>
    </rPh>
    <rPh sb="194" eb="195">
      <t>カンガ</t>
    </rPh>
    <rPh sb="202" eb="204">
      <t>イッポウ</t>
    </rPh>
    <rPh sb="206" eb="208">
      <t>ジュギョウ</t>
    </rPh>
    <rPh sb="209" eb="212">
      <t>ナンイド</t>
    </rPh>
    <rPh sb="213" eb="214">
      <t>カン</t>
    </rPh>
    <rPh sb="216" eb="218">
      <t>シツモン</t>
    </rPh>
    <rPh sb="246" eb="248">
      <t>コウモク</t>
    </rPh>
    <rPh sb="249" eb="250">
      <t>タイ</t>
    </rPh>
    <rPh sb="258" eb="261">
      <t>リシュウシャ</t>
    </rPh>
    <rPh sb="263" eb="264">
      <t>ムズカ</t>
    </rPh>
    <rPh sb="273" eb="274">
      <t>ムズカ</t>
    </rPh>
    <rPh sb="280" eb="282">
      <t>カイトウ</t>
    </rPh>
    <rPh sb="285" eb="287">
      <t>ジュギョウ</t>
    </rPh>
    <rPh sb="288" eb="291">
      <t>ナンイド</t>
    </rPh>
    <rPh sb="297" eb="299">
      <t>ガクセイ</t>
    </rPh>
    <rPh sb="300" eb="302">
      <t>キョウミ</t>
    </rPh>
    <rPh sb="302" eb="304">
      <t>カンシン</t>
    </rPh>
    <rPh sb="305" eb="307">
      <t>エイキョウ</t>
    </rPh>
    <rPh sb="314" eb="315">
      <t>イ</t>
    </rPh>
    <rPh sb="320" eb="322">
      <t>コンゴ</t>
    </rPh>
    <rPh sb="323" eb="325">
      <t>ガクセイ</t>
    </rPh>
    <rPh sb="326" eb="329">
      <t>リカイド</t>
    </rPh>
    <rPh sb="330" eb="331">
      <t>ア</t>
    </rPh>
    <rPh sb="334" eb="336">
      <t>ジュギョウ</t>
    </rPh>
    <rPh sb="337" eb="339">
      <t>シンテン</t>
    </rPh>
    <rPh sb="344" eb="346">
      <t>キョウミ</t>
    </rPh>
    <rPh sb="347" eb="348">
      <t>モ</t>
    </rPh>
    <rPh sb="349" eb="351">
      <t>ナイヨウ</t>
    </rPh>
    <rPh sb="356" eb="358">
      <t>カイトウ</t>
    </rPh>
    <rPh sb="360" eb="362">
      <t>ガクセイ</t>
    </rPh>
    <rPh sb="362" eb="364">
      <t>ワリアイ</t>
    </rPh>
    <rPh sb="365" eb="367">
      <t>コウジョウ</t>
    </rPh>
    <rPh sb="370" eb="372">
      <t>ドリョク</t>
    </rPh>
    <rPh sb="373" eb="375">
      <t>ヒツヨウ</t>
    </rPh>
    <rPh sb="376" eb="377">
      <t>カンガ</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</si>
  <si>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</si>
  <si>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学生による授業評価のアンケート結果は、すべて担当教員にフィードバックされている。</t>
    <rPh sb="5" eb="7">
      <t>ジュギョウ</t>
    </rPh>
    <rPh sb="7" eb="9">
      <t>ヒョウカ</t>
    </rPh>
    <rPh sb="15" eb="17">
      <t>ケッカ</t>
    </rPh>
    <phoneticPr fontId="1"/>
  </si>
  <si>
    <t>経済学部</t>
    <phoneticPr fontId="1"/>
  </si>
  <si>
    <t>保健福祉学部</t>
    <rPh sb="0" eb="2">
      <t>ホケン</t>
    </rPh>
    <rPh sb="2" eb="4">
      <t>フクシ</t>
    </rPh>
    <rPh sb="4" eb="6">
      <t>ガクブ</t>
    </rPh>
    <phoneticPr fontId="1"/>
  </si>
  <si>
    <t>コミュニティ福祉学科：「情報処理Ⅱ」の1単位を修得すること。
保健看護学科：「統計学演習」の1単位を修得すること。</t>
    <rPh sb="6" eb="10">
      <t>フクシガッカ</t>
    </rPh>
    <rPh sb="31" eb="37">
      <t>ホケンカンゴガッカ</t>
    </rPh>
    <phoneticPr fontId="1"/>
  </si>
  <si>
    <t>統計学演習</t>
    <rPh sb="0" eb="3">
      <t>トウケイガク</t>
    </rPh>
    <rPh sb="3" eb="5">
      <t>エンシュウ</t>
    </rPh>
    <phoneticPr fontId="1"/>
  </si>
  <si>
    <t>統計学演習</t>
    <rPh sb="0" eb="5">
      <t>トウケイガクエンシュウ</t>
    </rPh>
    <phoneticPr fontId="1"/>
  </si>
  <si>
    <t>経済学部</t>
    <rPh sb="0" eb="2">
      <t>ケイザイ</t>
    </rPh>
    <rPh sb="2" eb="4">
      <t>ガクブ</t>
    </rPh>
    <phoneticPr fontId="1"/>
  </si>
  <si>
    <t>旭川市立大学数理・データサイエンス・AI教育運営委員会要綱</t>
    <rPh sb="0" eb="4">
      <t>アサヒカワシリツ</t>
    </rPh>
    <rPh sb="4" eb="6">
      <t>ダイガク</t>
    </rPh>
    <rPh sb="27" eb="29">
      <t>ヨウコウ</t>
    </rPh>
    <phoneticPr fontId="1"/>
  </si>
  <si>
    <t>旭川市立大学数理・データサイエンス・AI教育運営委員会</t>
    <phoneticPr fontId="1"/>
  </si>
  <si>
    <t>旭川市立大学数理・データサイエンス・AI教育運営委員会</t>
    <rPh sb="0" eb="4">
      <t>アサヒカワシリツ</t>
    </rPh>
    <rPh sb="4" eb="6">
      <t>ダイガク</t>
    </rPh>
    <phoneticPr fontId="1"/>
  </si>
  <si>
    <t>・ビッグデータ、IoT、AI、生成AI、ロボット「情報処理Ⅱ」（１回目）「統計学演習」（１回目）
・第4次産業革命、Society 5.0、データ駆動型社会「情報処理Ⅱ」（１回目）「統計学演習」（１回目）</t>
    <rPh sb="37" eb="40">
      <t>トウケイガク</t>
    </rPh>
    <rPh sb="40" eb="42">
      <t>エンシュウ</t>
    </rPh>
    <phoneticPr fontId="1"/>
  </si>
  <si>
    <t>・AI最新技術の活用例（深層生成モデル、強化学習、転移学習、生成AIなど）「情報処理Ⅱ」（１回目）「統計学演習」（１回目）</t>
    <phoneticPr fontId="1"/>
  </si>
  <si>
    <t>・調査データ、実験データ、人の行動ログデータ、機械の稼働ログデータなど「情報処理Ⅱ」（１回目）「統計学演習」（１回目）</t>
    <phoneticPr fontId="1"/>
  </si>
  <si>
    <t>・データ・AI活用領域の広がり(生産、消費、文化活動など)「情報処理Ⅱ」（１回目）「統計学演習」（１回目）</t>
    <phoneticPr fontId="1"/>
  </si>
  <si>
    <t>・データ解析：予測、グルーピング、パターン発見、最適化、モデル化とシミュレーション・データ同化など「情報処理Ⅱ」（１回目）「統計学演習」（１回目）</t>
    <phoneticPr fontId="1"/>
  </si>
  <si>
    <t>・教育、芸術、流通、製造、金融、サービス、インフラ、公共、ヘルスケア等におけるデータ・AI利活用事例紹介「情報処理Ⅱ」（１回目）「統計学演習」（１回目）</t>
    <phoneticPr fontId="1"/>
  </si>
  <si>
    <t>・データ倫理：データのねつ造、改ざん、盗用、プライバシー保護「情報処理Ⅱ」（2回目）「統計学演習」（2回目）
・AI社会原則（公平性、説明責任、透明性、人間中心の判断）「情報処理Ⅱ」（１回目）「統計学演習」（１回目）</t>
    <rPh sb="43" eb="48">
      <t>トウケイガクエンシュウ</t>
    </rPh>
    <rPh sb="51" eb="53">
      <t>カイメ</t>
    </rPh>
    <phoneticPr fontId="1"/>
  </si>
  <si>
    <t>・情報セキュリティの3要素（機密性、完全性、可用性）「情報処理Ⅱ」（2回目）「統計学演習」（2回目）
・情報漏洩等によるセキュリティ事故の事例紹介「情報処理Ⅱ」（2回目）「統計学演習」（2回目）</t>
    <phoneticPr fontId="1"/>
  </si>
  <si>
    <t>・データの集計（和、平均）「情報処理Ⅱ」（5、6回目）「統計学演習」（5、6回目）
・データの並び替え、ランキング「情報処理Ⅱ」（7回目）「統計学演習」（7回目）
・表形式のデータ（csv）「情報処理Ⅱ」（3回目）「統計学演習」（3回目）</t>
    <phoneticPr fontId="1"/>
  </si>
  <si>
    <t>・データ表現（棒グラフ、折線グラフ、散布図、ヒートマップ、箱ひげ図）「情報処理Ⅱ」（4、9、10回目）「統計学演習」（4、9、10回目）
・データの比較（条件をそろえた比較、処理の前後での比較、A/Bテスト)「情報処理Ⅱ」（13回目）「統計学演習」（13回目）
・不適切なグラフ表現（チャートジャンク、不必要な視覚的要素）「情報処理Ⅱ」（9、10回目）「統計学演習」（9、10回目）
・優れた可視化事例の紹介（可視化することによって新たな気づきがあった事例など）「情報処理Ⅱ」（4回目）「統計学演習」（4回目）</t>
    <phoneticPr fontId="1"/>
  </si>
  <si>
    <t>・データの種類（量的変数、質的変数）「情報処理Ⅱ」（3、8回目）「統計学演習」（3、8回目）
・データの分布(ヒストグラム)と代表値（平均値、中央値、最頻値）「情報処理Ⅱ」（8回目）「統計学演習」（8回目）
・代表値の性質の違い（実社会では平均値＝最頻値でないことが多い）「情報処理Ⅱ」（8回目）「統計学演習」（8回目）
・データのばらつき（分散、標準偏差、偏差値）、外れ値「情報処理Ⅱ」（8回目）「統計学演習」（8回目）
・相関と因果（相関係数、擬似相関、交絡）「情報処理Ⅱ」（11回目）「統計学演習」（11回目）
・母集団と標本抽出（国勢調査、アンケート調査、全数調査、単純無作為抽出、層別抽出、多段抽出）「情報処理Ⅱ」（13回目）「統計学演習」（13回目）
・クロス集計表、分割表、相関係数行列、散布図行列「情報処理Ⅱ」（11回目）「統計学演習」（11回目）
・統計情報の正しい理解（誇張表現に惑わされない）「情報処理Ⅱ」（15回目）「統計学演習」（15回目）</t>
    <rPh sb="92" eb="95">
      <t>トウケイガク</t>
    </rPh>
    <rPh sb="95" eb="97">
      <t>エンシュウ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</si>
</sst>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5" fillId="0" borderId="0" xfId="0" applyFont="1" applyAlignment="1">
      <alignment vertical="center" wrapTex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49" fontId="7" fillId="0" borderId="29" xfId="0" applyNumberFormat="1" applyFont="1" applyBorder="1" applyAlignment="1">
      <alignment horizontal="left" vertical="center" wrapText="1"/>
    </xf>
    <xf numFmtId="49" fontId="7" fillId="0" borderId="31" xfId="0" applyNumberFormat="1" applyFont="1" applyBorder="1" applyAlignment="1">
      <alignment horizontal="left" vertical="center"/>
    </xf>
    <xf numFmtId="49" fontId="7" fillId="0" borderId="30" xfId="0" applyNumberFormat="1" applyFont="1" applyBorder="1" applyAlignment="1">
      <alignment horizontal="left" vertical="center"/>
    </xf>
    <xf numFmtId="49" fontId="7" fillId="0" borderId="18" xfId="0" applyNumberFormat="1" applyFont="1" applyBorder="1" applyAlignment="1">
      <alignment horizontal="left" vertical="center" wrapText="1"/>
    </xf>
    <xf numFmtId="49" fontId="7" fillId="0" borderId="19" xfId="0" applyNumberFormat="1" applyFont="1" applyBorder="1" applyAlignment="1">
      <alignment horizontal="left" vertical="center"/>
    </xf>
    <xf numFmtId="49" fontId="7" fillId="0" borderId="17" xfId="0" applyNumberFormat="1" applyFont="1" applyBorder="1" applyAlignment="1">
      <alignment horizontal="left" vertical="center"/>
    </xf>
    <xf numFmtId="49" fontId="7" fillId="0" borderId="32" xfId="0" applyNumberFormat="1" applyFont="1" applyBorder="1" applyAlignment="1">
      <alignment horizontal="left" vertical="center" wrapText="1"/>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49" fontId="7" fillId="0" borderId="29" xfId="0" applyNumberFormat="1" applyFont="1" applyBorder="1" applyAlignment="1">
      <alignment horizontal="left" vertical="center"/>
    </xf>
    <xf numFmtId="49" fontId="7" fillId="0" borderId="32" xfId="0" applyNumberFormat="1" applyFont="1" applyBorder="1" applyAlignment="1">
      <alignment horizontal="left" vertical="center"/>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49" fontId="7" fillId="0" borderId="33" xfId="0" applyNumberFormat="1" applyFont="1" applyBorder="1" applyAlignment="1">
      <alignment horizontal="left" vertical="center" wrapText="1"/>
    </xf>
    <xf numFmtId="49" fontId="7" fillId="0" borderId="34" xfId="0" applyNumberFormat="1"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49" fontId="7" fillId="0" borderId="31" xfId="0" applyNumberFormat="1" applyFont="1" applyBorder="1" applyAlignment="1">
      <alignment horizontal="left" vertical="center" wrapText="1"/>
    </xf>
    <xf numFmtId="49" fontId="7" fillId="0" borderId="30" xfId="0" applyNumberFormat="1" applyFont="1" applyBorder="1" applyAlignment="1">
      <alignment horizontal="left" vertical="center" wrapTex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BD979-1F78-4628-B1B2-09974A98E463}">
  <sheetPr>
    <pageSetUpPr fitToPage="1"/>
  </sheetPr>
  <dimension ref="A1:AA107"/>
  <sheetViews>
    <sheetView showZeros="0" view="pageBreakPreview" topLeftCell="A16" zoomScale="70" zoomScaleNormal="100" zoomScaleSheetLayoutView="70" workbookViewId="0">
      <selection activeCell="Z29" sqref="Z29"/>
    </sheetView>
  </sheetViews>
  <sheetFormatPr defaultColWidth="9" defaultRowHeight="18.75" customHeight="1" x14ac:dyDescent="0.15"/>
  <cols>
    <col min="1" max="1" width="2.375" style="1" customWidth="1"/>
    <col min="2" max="2" width="16.375" style="1" customWidth="1"/>
    <col min="3" max="21" width="5.625" style="1" customWidth="1"/>
    <col min="22" max="22" width="36.625" style="1" bestFit="1" customWidth="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40" t="s">
        <v>0</v>
      </c>
      <c r="U1" s="140"/>
      <c r="V1" s="83" t="s">
        <v>1</v>
      </c>
    </row>
    <row r="2" spans="1:24" ht="18.75" customHeight="1" x14ac:dyDescent="0.15">
      <c r="B2" s="17" t="s">
        <v>2</v>
      </c>
      <c r="C2" s="109" t="s">
        <v>3</v>
      </c>
      <c r="D2" s="110"/>
      <c r="E2" s="110"/>
      <c r="F2" s="110"/>
      <c r="G2" s="110"/>
      <c r="H2" s="110"/>
      <c r="I2" s="110"/>
      <c r="J2" s="111"/>
      <c r="K2" s="18"/>
      <c r="L2" s="6"/>
      <c r="M2" s="6"/>
      <c r="N2" s="6"/>
      <c r="O2" s="6"/>
      <c r="P2" s="6"/>
      <c r="Q2" s="6"/>
      <c r="R2" s="6"/>
      <c r="S2" s="6"/>
      <c r="T2" s="6"/>
      <c r="U2" s="6"/>
    </row>
    <row r="3" spans="1:24" ht="18.75" customHeight="1" x14ac:dyDescent="0.15">
      <c r="B3" s="17" t="s">
        <v>4</v>
      </c>
      <c r="C3" s="109" t="s">
        <v>5</v>
      </c>
      <c r="D3" s="110"/>
      <c r="E3" s="110"/>
      <c r="F3" s="110"/>
      <c r="G3" s="110"/>
      <c r="H3" s="110"/>
      <c r="I3" s="110"/>
      <c r="J3" s="111"/>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41" t="s">
        <v>6</v>
      </c>
      <c r="B5" s="141"/>
      <c r="C5" s="141"/>
      <c r="D5" s="141"/>
      <c r="E5" s="141"/>
      <c r="F5" s="141"/>
      <c r="G5" s="141"/>
      <c r="H5" s="141"/>
      <c r="I5" s="141"/>
      <c r="J5" s="141"/>
      <c r="K5" s="141"/>
      <c r="L5" s="141"/>
      <c r="M5" s="141"/>
      <c r="N5" s="141"/>
      <c r="O5" s="141"/>
      <c r="P5" s="141"/>
      <c r="Q5" s="141"/>
      <c r="R5" s="141"/>
      <c r="S5" s="141"/>
      <c r="T5" s="141"/>
      <c r="U5" s="141"/>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7</v>
      </c>
      <c r="B7" s="3"/>
      <c r="C7" s="3"/>
      <c r="D7" s="3"/>
      <c r="E7" s="3"/>
      <c r="F7" s="2"/>
      <c r="G7" s="2"/>
      <c r="H7" s="2"/>
      <c r="I7" s="2"/>
      <c r="J7" s="2"/>
      <c r="K7" s="2"/>
      <c r="L7" s="142" t="s">
        <v>8</v>
      </c>
      <c r="M7" s="143"/>
      <c r="N7" s="143"/>
      <c r="O7" s="143"/>
      <c r="P7" s="143"/>
      <c r="Q7" s="143"/>
      <c r="R7" s="143"/>
      <c r="S7" s="143"/>
      <c r="T7" s="143"/>
      <c r="U7" s="144"/>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9</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5" t="s">
        <v>184</v>
      </c>
      <c r="C11" s="146"/>
      <c r="D11" s="146"/>
      <c r="E11" s="146"/>
      <c r="F11" s="146"/>
      <c r="G11" s="146"/>
      <c r="H11" s="146"/>
      <c r="I11" s="146"/>
      <c r="J11" s="146"/>
      <c r="K11" s="146"/>
      <c r="L11" s="146"/>
      <c r="M11" s="146"/>
      <c r="N11" s="146"/>
      <c r="O11" s="146"/>
      <c r="P11" s="146"/>
      <c r="Q11" s="146"/>
      <c r="R11" s="146"/>
      <c r="S11" s="146"/>
      <c r="T11" s="146"/>
      <c r="U11" s="147"/>
    </row>
    <row r="12" spans="1:24" ht="18" customHeight="1" x14ac:dyDescent="0.15">
      <c r="B12" s="148"/>
      <c r="C12" s="149"/>
      <c r="D12" s="149"/>
      <c r="E12" s="149"/>
      <c r="F12" s="149"/>
      <c r="G12" s="149"/>
      <c r="H12" s="149"/>
      <c r="I12" s="149"/>
      <c r="J12" s="149"/>
      <c r="K12" s="149"/>
      <c r="L12" s="149"/>
      <c r="M12" s="149"/>
      <c r="N12" s="149"/>
      <c r="O12" s="149"/>
      <c r="P12" s="149"/>
      <c r="Q12" s="149"/>
      <c r="R12" s="149"/>
      <c r="S12" s="149"/>
      <c r="T12" s="149"/>
      <c r="U12" s="150"/>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10</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28" t="s">
        <v>11</v>
      </c>
      <c r="C15" s="129"/>
      <c r="D15" s="129"/>
      <c r="E15" s="129"/>
      <c r="F15" s="129"/>
      <c r="G15" s="129"/>
      <c r="H15" s="129"/>
      <c r="I15" s="129"/>
      <c r="J15" s="129"/>
      <c r="K15" s="129"/>
      <c r="L15" s="129"/>
      <c r="M15" s="129"/>
      <c r="N15" s="129"/>
      <c r="O15" s="129"/>
      <c r="P15" s="129"/>
      <c r="Q15" s="129"/>
      <c r="R15" s="129"/>
      <c r="S15" s="129"/>
      <c r="T15" s="129"/>
      <c r="U15" s="130"/>
      <c r="X15" s="1" t="s">
        <v>12</v>
      </c>
    </row>
    <row r="16" spans="1:24" ht="18" customHeight="1" x14ac:dyDescent="0.15">
      <c r="B16" s="131"/>
      <c r="C16" s="132"/>
      <c r="D16" s="132"/>
      <c r="E16" s="132"/>
      <c r="F16" s="132"/>
      <c r="G16" s="132"/>
      <c r="H16" s="132"/>
      <c r="I16" s="132"/>
      <c r="J16" s="132"/>
      <c r="K16" s="132"/>
      <c r="L16" s="132"/>
      <c r="M16" s="132"/>
      <c r="N16" s="132"/>
      <c r="O16" s="132"/>
      <c r="P16" s="132"/>
      <c r="Q16" s="132"/>
      <c r="R16" s="132"/>
      <c r="S16" s="132"/>
      <c r="T16" s="132"/>
      <c r="U16" s="133"/>
      <c r="X16" s="1" t="s">
        <v>13</v>
      </c>
    </row>
    <row r="17" spans="1:24" ht="18" customHeight="1" x14ac:dyDescent="0.15">
      <c r="B17" s="131"/>
      <c r="C17" s="132"/>
      <c r="D17" s="132"/>
      <c r="E17" s="132"/>
      <c r="F17" s="132"/>
      <c r="G17" s="132"/>
      <c r="H17" s="132"/>
      <c r="I17" s="132"/>
      <c r="J17" s="132"/>
      <c r="K17" s="132"/>
      <c r="L17" s="132"/>
      <c r="M17" s="132"/>
      <c r="N17" s="132"/>
      <c r="O17" s="132"/>
      <c r="P17" s="132"/>
      <c r="Q17" s="132"/>
      <c r="R17" s="132"/>
      <c r="S17" s="132"/>
      <c r="T17" s="132"/>
      <c r="U17" s="133"/>
      <c r="X17" s="1" t="s">
        <v>14</v>
      </c>
    </row>
    <row r="18" spans="1:24" ht="18" customHeight="1" x14ac:dyDescent="0.15">
      <c r="B18" s="131"/>
      <c r="C18" s="132"/>
      <c r="D18" s="132"/>
      <c r="E18" s="132"/>
      <c r="F18" s="132"/>
      <c r="G18" s="132"/>
      <c r="H18" s="132"/>
      <c r="I18" s="132"/>
      <c r="J18" s="132"/>
      <c r="K18" s="132"/>
      <c r="L18" s="132"/>
      <c r="M18" s="132"/>
      <c r="N18" s="132"/>
      <c r="O18" s="132"/>
      <c r="P18" s="132"/>
      <c r="Q18" s="132"/>
      <c r="R18" s="132"/>
      <c r="S18" s="132"/>
      <c r="T18" s="132"/>
      <c r="U18" s="133"/>
      <c r="X18" s="1" t="s">
        <v>15</v>
      </c>
    </row>
    <row r="19" spans="1:24" ht="18" customHeight="1" x14ac:dyDescent="0.15">
      <c r="B19" s="131"/>
      <c r="C19" s="132"/>
      <c r="D19" s="132"/>
      <c r="E19" s="132"/>
      <c r="F19" s="132"/>
      <c r="G19" s="132"/>
      <c r="H19" s="132"/>
      <c r="I19" s="132"/>
      <c r="J19" s="132"/>
      <c r="K19" s="132"/>
      <c r="L19" s="132"/>
      <c r="M19" s="132"/>
      <c r="N19" s="132"/>
      <c r="O19" s="132"/>
      <c r="P19" s="132"/>
      <c r="Q19" s="132"/>
      <c r="R19" s="132"/>
      <c r="S19" s="132"/>
      <c r="T19" s="132"/>
      <c r="U19" s="133"/>
    </row>
    <row r="20" spans="1:24" ht="18" customHeight="1" x14ac:dyDescent="0.15">
      <c r="B20" s="134"/>
      <c r="C20" s="135"/>
      <c r="D20" s="135"/>
      <c r="E20" s="135"/>
      <c r="F20" s="135"/>
      <c r="G20" s="135"/>
      <c r="H20" s="135"/>
      <c r="I20" s="135"/>
      <c r="J20" s="135"/>
      <c r="K20" s="135"/>
      <c r="L20" s="135"/>
      <c r="M20" s="135"/>
      <c r="N20" s="135"/>
      <c r="O20" s="135"/>
      <c r="P20" s="135"/>
      <c r="Q20" s="135"/>
      <c r="R20" s="135"/>
      <c r="S20" s="135"/>
      <c r="T20" s="135"/>
      <c r="U20" s="136"/>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16</v>
      </c>
      <c r="E22" s="76">
        <v>1</v>
      </c>
      <c r="F22" s="1" t="s">
        <v>17</v>
      </c>
      <c r="H22" s="19">
        <v>2</v>
      </c>
      <c r="I22" s="3" t="s">
        <v>18</v>
      </c>
      <c r="J22" s="3"/>
      <c r="K22" s="18"/>
      <c r="M22" s="18" t="s">
        <v>19</v>
      </c>
      <c r="N22" s="137" t="s">
        <v>13</v>
      </c>
      <c r="O22" s="138"/>
      <c r="P22" s="138"/>
      <c r="Q22" s="138"/>
      <c r="R22" s="138"/>
      <c r="S22" s="138"/>
      <c r="T22" s="138"/>
      <c r="U22" s="139"/>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7" t="s">
        <v>20</v>
      </c>
      <c r="B24" s="127"/>
      <c r="C24" s="127"/>
      <c r="D24" s="127"/>
      <c r="E24" s="127"/>
      <c r="F24" s="127"/>
      <c r="G24" s="127"/>
      <c r="H24" s="127"/>
      <c r="I24" s="127"/>
      <c r="J24" s="127"/>
      <c r="K24" s="127"/>
      <c r="L24" s="127"/>
      <c r="M24" s="127"/>
      <c r="N24" s="127"/>
      <c r="O24" s="127"/>
      <c r="P24" s="127"/>
      <c r="Q24" s="127"/>
      <c r="R24" s="127"/>
      <c r="S24" s="127"/>
      <c r="T24" s="127"/>
      <c r="U24" s="127"/>
    </row>
    <row r="25" spans="1:24" ht="18" customHeight="1" x14ac:dyDescent="0.15">
      <c r="A25" s="127"/>
      <c r="B25" s="127"/>
      <c r="C25" s="127"/>
      <c r="D25" s="127"/>
      <c r="E25" s="127"/>
      <c r="F25" s="127"/>
      <c r="G25" s="127"/>
      <c r="H25" s="127"/>
      <c r="I25" s="127"/>
      <c r="J25" s="127"/>
      <c r="K25" s="127"/>
      <c r="L25" s="127"/>
      <c r="M25" s="127"/>
      <c r="N25" s="127"/>
      <c r="O25" s="127"/>
      <c r="P25" s="127"/>
      <c r="Q25" s="127"/>
      <c r="R25" s="127"/>
      <c r="S25" s="127"/>
      <c r="T25" s="127"/>
      <c r="U25" s="127"/>
    </row>
    <row r="26" spans="1:24" ht="18" customHeight="1" x14ac:dyDescent="0.15">
      <c r="B26" s="109" t="s">
        <v>21</v>
      </c>
      <c r="C26" s="110"/>
      <c r="D26" s="110"/>
      <c r="E26" s="110"/>
      <c r="F26" s="111"/>
      <c r="G26" s="60" t="s">
        <v>22</v>
      </c>
      <c r="H26" s="61" t="s">
        <v>23</v>
      </c>
      <c r="I26" s="62" t="s">
        <v>24</v>
      </c>
      <c r="J26" s="62" t="s">
        <v>25</v>
      </c>
      <c r="K26" s="109" t="s">
        <v>21</v>
      </c>
      <c r="L26" s="110"/>
      <c r="M26" s="110"/>
      <c r="N26" s="110"/>
      <c r="O26" s="110"/>
      <c r="P26" s="110"/>
      <c r="Q26" s="111"/>
      <c r="R26" s="60" t="s">
        <v>22</v>
      </c>
      <c r="S26" s="61" t="s">
        <v>23</v>
      </c>
      <c r="T26" s="62" t="s">
        <v>24</v>
      </c>
      <c r="U26" s="62" t="s">
        <v>25</v>
      </c>
    </row>
    <row r="27" spans="1:24" ht="18" customHeight="1" x14ac:dyDescent="0.15">
      <c r="B27" s="118" t="s">
        <v>26</v>
      </c>
      <c r="C27" s="119"/>
      <c r="D27" s="119"/>
      <c r="E27" s="119"/>
      <c r="F27" s="120"/>
      <c r="G27" s="63">
        <v>2</v>
      </c>
      <c r="H27" s="63" t="s">
        <v>27</v>
      </c>
      <c r="I27" s="63" t="s">
        <v>27</v>
      </c>
      <c r="J27" s="63" t="s">
        <v>27</v>
      </c>
      <c r="K27" s="118"/>
      <c r="L27" s="119"/>
      <c r="M27" s="119"/>
      <c r="N27" s="119"/>
      <c r="O27" s="119"/>
      <c r="P27" s="119"/>
      <c r="Q27" s="120"/>
      <c r="R27" s="63"/>
      <c r="S27" s="63"/>
      <c r="T27" s="63"/>
      <c r="U27" s="63"/>
    </row>
    <row r="28" spans="1:24" ht="18" customHeight="1" x14ac:dyDescent="0.15">
      <c r="B28" s="112"/>
      <c r="C28" s="113"/>
      <c r="D28" s="113"/>
      <c r="E28" s="113"/>
      <c r="F28" s="114"/>
      <c r="G28" s="64"/>
      <c r="H28" s="64"/>
      <c r="I28" s="64"/>
      <c r="J28" s="64"/>
      <c r="K28" s="112"/>
      <c r="L28" s="113"/>
      <c r="M28" s="113"/>
      <c r="N28" s="113"/>
      <c r="O28" s="113"/>
      <c r="P28" s="113"/>
      <c r="Q28" s="114"/>
      <c r="R28" s="64"/>
      <c r="S28" s="64"/>
      <c r="T28" s="64"/>
      <c r="U28" s="64"/>
    </row>
    <row r="29" spans="1:24" ht="18" customHeight="1" x14ac:dyDescent="0.15">
      <c r="B29" s="112"/>
      <c r="C29" s="113"/>
      <c r="D29" s="113"/>
      <c r="E29" s="113"/>
      <c r="F29" s="114"/>
      <c r="G29" s="64"/>
      <c r="H29" s="64"/>
      <c r="I29" s="64"/>
      <c r="J29" s="64"/>
      <c r="K29" s="112"/>
      <c r="L29" s="113"/>
      <c r="M29" s="113"/>
      <c r="N29" s="113"/>
      <c r="O29" s="113"/>
      <c r="P29" s="113"/>
      <c r="Q29" s="114"/>
      <c r="R29" s="64"/>
      <c r="S29" s="64"/>
      <c r="T29" s="64"/>
      <c r="U29" s="64"/>
    </row>
    <row r="30" spans="1:24" ht="18" customHeight="1" x14ac:dyDescent="0.15">
      <c r="B30" s="112"/>
      <c r="C30" s="113"/>
      <c r="D30" s="113"/>
      <c r="E30" s="113"/>
      <c r="F30" s="114"/>
      <c r="G30" s="64"/>
      <c r="H30" s="64"/>
      <c r="I30" s="64"/>
      <c r="J30" s="64"/>
      <c r="K30" s="112"/>
      <c r="L30" s="113"/>
      <c r="M30" s="113"/>
      <c r="N30" s="113"/>
      <c r="O30" s="113"/>
      <c r="P30" s="113"/>
      <c r="Q30" s="114"/>
      <c r="R30" s="64"/>
      <c r="S30" s="64"/>
      <c r="T30" s="64"/>
      <c r="U30" s="64"/>
    </row>
    <row r="31" spans="1:24" ht="18" customHeight="1" x14ac:dyDescent="0.15">
      <c r="B31" s="112"/>
      <c r="C31" s="113"/>
      <c r="D31" s="113"/>
      <c r="E31" s="113"/>
      <c r="F31" s="114"/>
      <c r="G31" s="64"/>
      <c r="H31" s="64"/>
      <c r="I31" s="64"/>
      <c r="J31" s="64"/>
      <c r="K31" s="112"/>
      <c r="L31" s="113"/>
      <c r="M31" s="113"/>
      <c r="N31" s="113"/>
      <c r="O31" s="113"/>
      <c r="P31" s="113"/>
      <c r="Q31" s="114"/>
      <c r="R31" s="64"/>
      <c r="S31" s="64"/>
      <c r="T31" s="64"/>
      <c r="U31" s="64"/>
    </row>
    <row r="32" spans="1:24" ht="18" customHeight="1" x14ac:dyDescent="0.15">
      <c r="A32" s="3"/>
      <c r="B32" s="112"/>
      <c r="C32" s="113"/>
      <c r="D32" s="113"/>
      <c r="E32" s="113"/>
      <c r="F32" s="114"/>
      <c r="G32" s="64"/>
      <c r="H32" s="64"/>
      <c r="I32" s="64"/>
      <c r="J32" s="64"/>
      <c r="K32" s="112"/>
      <c r="L32" s="113"/>
      <c r="M32" s="113"/>
      <c r="N32" s="113"/>
      <c r="O32" s="113"/>
      <c r="P32" s="113"/>
      <c r="Q32" s="114"/>
      <c r="R32" s="64"/>
      <c r="S32" s="64"/>
      <c r="T32" s="64"/>
      <c r="U32" s="64"/>
    </row>
    <row r="33" spans="1:21" ht="18" customHeight="1" x14ac:dyDescent="0.15">
      <c r="A33" s="3"/>
      <c r="B33" s="101"/>
      <c r="C33" s="102"/>
      <c r="D33" s="102"/>
      <c r="E33" s="102"/>
      <c r="F33" s="103"/>
      <c r="G33" s="65"/>
      <c r="H33" s="65"/>
      <c r="I33" s="66"/>
      <c r="J33" s="66"/>
      <c r="K33" s="101"/>
      <c r="L33" s="102"/>
      <c r="M33" s="102"/>
      <c r="N33" s="102"/>
      <c r="O33" s="102"/>
      <c r="P33" s="102"/>
      <c r="Q33" s="103"/>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28</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9" t="s">
        <v>21</v>
      </c>
      <c r="C37" s="110"/>
      <c r="D37" s="110"/>
      <c r="E37" s="110"/>
      <c r="F37" s="111"/>
      <c r="G37" s="60" t="s">
        <v>22</v>
      </c>
      <c r="H37" s="61" t="s">
        <v>23</v>
      </c>
      <c r="I37" s="62" t="s">
        <v>29</v>
      </c>
      <c r="J37" s="62" t="s">
        <v>30</v>
      </c>
      <c r="K37" s="109" t="s">
        <v>21</v>
      </c>
      <c r="L37" s="110"/>
      <c r="M37" s="110"/>
      <c r="N37" s="110"/>
      <c r="O37" s="110"/>
      <c r="P37" s="110"/>
      <c r="Q37" s="111"/>
      <c r="R37" s="60" t="s">
        <v>22</v>
      </c>
      <c r="S37" s="61" t="s">
        <v>23</v>
      </c>
      <c r="T37" s="62" t="s">
        <v>29</v>
      </c>
      <c r="U37" s="62" t="s">
        <v>30</v>
      </c>
    </row>
    <row r="38" spans="1:21" ht="18" customHeight="1" x14ac:dyDescent="0.15">
      <c r="B38" s="118" t="s">
        <v>26</v>
      </c>
      <c r="C38" s="119"/>
      <c r="D38" s="119"/>
      <c r="E38" s="119"/>
      <c r="F38" s="120"/>
      <c r="G38" s="63">
        <v>2</v>
      </c>
      <c r="H38" s="63" t="s">
        <v>27</v>
      </c>
      <c r="I38" s="63" t="s">
        <v>27</v>
      </c>
      <c r="J38" s="63" t="s">
        <v>27</v>
      </c>
      <c r="K38" s="118"/>
      <c r="L38" s="119"/>
      <c r="M38" s="119"/>
      <c r="N38" s="119"/>
      <c r="O38" s="119"/>
      <c r="P38" s="119"/>
      <c r="Q38" s="120"/>
      <c r="R38" s="63"/>
      <c r="S38" s="63"/>
      <c r="T38" s="63"/>
      <c r="U38" s="63"/>
    </row>
    <row r="39" spans="1:21" ht="18" customHeight="1" x14ac:dyDescent="0.15">
      <c r="B39" s="112"/>
      <c r="C39" s="113"/>
      <c r="D39" s="113"/>
      <c r="E39" s="113"/>
      <c r="F39" s="114"/>
      <c r="G39" s="64"/>
      <c r="H39" s="64"/>
      <c r="I39" s="64"/>
      <c r="J39" s="64"/>
      <c r="K39" s="112"/>
      <c r="L39" s="113"/>
      <c r="M39" s="113"/>
      <c r="N39" s="113"/>
      <c r="O39" s="113"/>
      <c r="P39" s="113"/>
      <c r="Q39" s="114"/>
      <c r="R39" s="64"/>
      <c r="S39" s="64"/>
      <c r="T39" s="64"/>
      <c r="U39" s="64"/>
    </row>
    <row r="40" spans="1:21" ht="18" customHeight="1" x14ac:dyDescent="0.15">
      <c r="B40" s="112"/>
      <c r="C40" s="113"/>
      <c r="D40" s="113"/>
      <c r="E40" s="113"/>
      <c r="F40" s="114"/>
      <c r="G40" s="64"/>
      <c r="H40" s="64"/>
      <c r="I40" s="64"/>
      <c r="J40" s="64"/>
      <c r="K40" s="112"/>
      <c r="L40" s="113"/>
      <c r="M40" s="113"/>
      <c r="N40" s="113"/>
      <c r="O40" s="113"/>
      <c r="P40" s="113"/>
      <c r="Q40" s="114"/>
      <c r="R40" s="64"/>
      <c r="S40" s="64"/>
      <c r="T40" s="64"/>
      <c r="U40" s="64"/>
    </row>
    <row r="41" spans="1:21" ht="18" customHeight="1" x14ac:dyDescent="0.15">
      <c r="B41" s="112"/>
      <c r="C41" s="113"/>
      <c r="D41" s="113"/>
      <c r="E41" s="113"/>
      <c r="F41" s="114"/>
      <c r="G41" s="64"/>
      <c r="H41" s="64"/>
      <c r="I41" s="64"/>
      <c r="J41" s="64"/>
      <c r="K41" s="112"/>
      <c r="L41" s="113"/>
      <c r="M41" s="113"/>
      <c r="N41" s="113"/>
      <c r="O41" s="113"/>
      <c r="P41" s="113"/>
      <c r="Q41" s="114"/>
      <c r="R41" s="64"/>
      <c r="S41" s="64"/>
      <c r="T41" s="64"/>
      <c r="U41" s="64"/>
    </row>
    <row r="42" spans="1:21" ht="18" customHeight="1" x14ac:dyDescent="0.15">
      <c r="B42" s="112"/>
      <c r="C42" s="113"/>
      <c r="D42" s="113"/>
      <c r="E42" s="113"/>
      <c r="F42" s="114"/>
      <c r="G42" s="64"/>
      <c r="H42" s="64"/>
      <c r="I42" s="64"/>
      <c r="J42" s="64"/>
      <c r="K42" s="112"/>
      <c r="L42" s="113"/>
      <c r="M42" s="113"/>
      <c r="N42" s="113"/>
      <c r="O42" s="113"/>
      <c r="P42" s="113"/>
      <c r="Q42" s="114"/>
      <c r="R42" s="64"/>
      <c r="S42" s="64"/>
      <c r="T42" s="64"/>
      <c r="U42" s="64"/>
    </row>
    <row r="43" spans="1:21" ht="18" customHeight="1" x14ac:dyDescent="0.15">
      <c r="B43" s="112"/>
      <c r="C43" s="113"/>
      <c r="D43" s="113"/>
      <c r="E43" s="113"/>
      <c r="F43" s="114"/>
      <c r="G43" s="64"/>
      <c r="H43" s="64"/>
      <c r="I43" s="64"/>
      <c r="J43" s="64"/>
      <c r="K43" s="112"/>
      <c r="L43" s="113"/>
      <c r="M43" s="113"/>
      <c r="N43" s="113"/>
      <c r="O43" s="113"/>
      <c r="P43" s="113"/>
      <c r="Q43" s="114"/>
      <c r="R43" s="64"/>
      <c r="S43" s="64"/>
      <c r="T43" s="64"/>
      <c r="U43" s="64"/>
    </row>
    <row r="44" spans="1:21" ht="18" customHeight="1" x14ac:dyDescent="0.15">
      <c r="B44" s="101"/>
      <c r="C44" s="102"/>
      <c r="D44" s="102"/>
      <c r="E44" s="102"/>
      <c r="F44" s="103"/>
      <c r="G44" s="65"/>
      <c r="H44" s="65"/>
      <c r="I44" s="66"/>
      <c r="J44" s="66"/>
      <c r="K44" s="101"/>
      <c r="L44" s="102"/>
      <c r="M44" s="102"/>
      <c r="N44" s="102"/>
      <c r="O44" s="102"/>
      <c r="P44" s="102"/>
      <c r="Q44" s="103"/>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31</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9" t="s">
        <v>21</v>
      </c>
      <c r="C48" s="110"/>
      <c r="D48" s="110"/>
      <c r="E48" s="110"/>
      <c r="F48" s="111"/>
      <c r="G48" s="60" t="s">
        <v>22</v>
      </c>
      <c r="H48" s="61" t="s">
        <v>23</v>
      </c>
      <c r="I48" s="62" t="s">
        <v>32</v>
      </c>
      <c r="J48" s="62" t="s">
        <v>33</v>
      </c>
      <c r="K48" s="109" t="s">
        <v>21</v>
      </c>
      <c r="L48" s="110"/>
      <c r="M48" s="110"/>
      <c r="N48" s="110"/>
      <c r="O48" s="110"/>
      <c r="P48" s="110"/>
      <c r="Q48" s="111"/>
      <c r="R48" s="60" t="s">
        <v>22</v>
      </c>
      <c r="S48" s="61" t="s">
        <v>23</v>
      </c>
      <c r="T48" s="62" t="s">
        <v>32</v>
      </c>
      <c r="U48" s="62" t="s">
        <v>33</v>
      </c>
    </row>
    <row r="49" spans="1:21" ht="18" customHeight="1" x14ac:dyDescent="0.15">
      <c r="A49" s="3"/>
      <c r="B49" s="118" t="s">
        <v>26</v>
      </c>
      <c r="C49" s="119"/>
      <c r="D49" s="119"/>
      <c r="E49" s="119"/>
      <c r="F49" s="120"/>
      <c r="G49" s="63">
        <v>2</v>
      </c>
      <c r="H49" s="63" t="s">
        <v>27</v>
      </c>
      <c r="I49" s="63" t="s">
        <v>27</v>
      </c>
      <c r="J49" s="63" t="s">
        <v>27</v>
      </c>
      <c r="K49" s="118"/>
      <c r="L49" s="119"/>
      <c r="M49" s="119"/>
      <c r="N49" s="119"/>
      <c r="O49" s="119"/>
      <c r="P49" s="119"/>
      <c r="Q49" s="120"/>
      <c r="R49" s="63"/>
      <c r="S49" s="63"/>
      <c r="T49" s="63"/>
      <c r="U49" s="63"/>
    </row>
    <row r="50" spans="1:21" ht="18" customHeight="1" x14ac:dyDescent="0.15">
      <c r="A50" s="3"/>
      <c r="B50" s="112"/>
      <c r="C50" s="113"/>
      <c r="D50" s="113"/>
      <c r="E50" s="113"/>
      <c r="F50" s="114"/>
      <c r="G50" s="64"/>
      <c r="H50" s="64"/>
      <c r="I50" s="64"/>
      <c r="J50" s="64"/>
      <c r="K50" s="112"/>
      <c r="L50" s="113"/>
      <c r="M50" s="113"/>
      <c r="N50" s="113"/>
      <c r="O50" s="113"/>
      <c r="P50" s="113"/>
      <c r="Q50" s="114"/>
      <c r="R50" s="64"/>
      <c r="S50" s="64"/>
      <c r="T50" s="64"/>
      <c r="U50" s="64"/>
    </row>
    <row r="51" spans="1:21" ht="18" customHeight="1" x14ac:dyDescent="0.15">
      <c r="A51" s="3"/>
      <c r="B51" s="112"/>
      <c r="C51" s="113"/>
      <c r="D51" s="113"/>
      <c r="E51" s="113"/>
      <c r="F51" s="114"/>
      <c r="G51" s="64"/>
      <c r="H51" s="64"/>
      <c r="I51" s="64"/>
      <c r="J51" s="64"/>
      <c r="K51" s="112"/>
      <c r="L51" s="113"/>
      <c r="M51" s="113"/>
      <c r="N51" s="113"/>
      <c r="O51" s="113"/>
      <c r="P51" s="113"/>
      <c r="Q51" s="114"/>
      <c r="R51" s="64"/>
      <c r="S51" s="64"/>
      <c r="T51" s="64"/>
      <c r="U51" s="64"/>
    </row>
    <row r="52" spans="1:21" ht="18" customHeight="1" x14ac:dyDescent="0.15">
      <c r="A52" s="3"/>
      <c r="B52" s="112"/>
      <c r="C52" s="113"/>
      <c r="D52" s="113"/>
      <c r="E52" s="113"/>
      <c r="F52" s="114"/>
      <c r="G52" s="64"/>
      <c r="H52" s="64"/>
      <c r="I52" s="64"/>
      <c r="J52" s="64"/>
      <c r="K52" s="112"/>
      <c r="L52" s="113"/>
      <c r="M52" s="113"/>
      <c r="N52" s="113"/>
      <c r="O52" s="113"/>
      <c r="P52" s="113"/>
      <c r="Q52" s="114"/>
      <c r="R52" s="64"/>
      <c r="S52" s="64"/>
      <c r="T52" s="64"/>
      <c r="U52" s="64"/>
    </row>
    <row r="53" spans="1:21" ht="18" customHeight="1" x14ac:dyDescent="0.15">
      <c r="A53" s="3"/>
      <c r="B53" s="112"/>
      <c r="C53" s="113"/>
      <c r="D53" s="113"/>
      <c r="E53" s="113"/>
      <c r="F53" s="114"/>
      <c r="G53" s="64"/>
      <c r="H53" s="64"/>
      <c r="I53" s="64"/>
      <c r="J53" s="64"/>
      <c r="K53" s="112"/>
      <c r="L53" s="113"/>
      <c r="M53" s="113"/>
      <c r="N53" s="113"/>
      <c r="O53" s="113"/>
      <c r="P53" s="113"/>
      <c r="Q53" s="114"/>
      <c r="R53" s="64"/>
      <c r="S53" s="64"/>
      <c r="T53" s="64"/>
      <c r="U53" s="64"/>
    </row>
    <row r="54" spans="1:21" ht="18" customHeight="1" x14ac:dyDescent="0.15">
      <c r="A54" s="3"/>
      <c r="B54" s="112"/>
      <c r="C54" s="113"/>
      <c r="D54" s="113"/>
      <c r="E54" s="113"/>
      <c r="F54" s="114"/>
      <c r="G54" s="64"/>
      <c r="H54" s="64"/>
      <c r="I54" s="64"/>
      <c r="J54" s="64"/>
      <c r="K54" s="112"/>
      <c r="L54" s="113"/>
      <c r="M54" s="113"/>
      <c r="N54" s="113"/>
      <c r="O54" s="113"/>
      <c r="P54" s="113"/>
      <c r="Q54" s="114"/>
      <c r="R54" s="64"/>
      <c r="S54" s="64"/>
      <c r="T54" s="64"/>
      <c r="U54" s="64"/>
    </row>
    <row r="55" spans="1:21" ht="18" customHeight="1" x14ac:dyDescent="0.15">
      <c r="A55" s="3"/>
      <c r="B55" s="101"/>
      <c r="C55" s="102"/>
      <c r="D55" s="102"/>
      <c r="E55" s="102"/>
      <c r="F55" s="103"/>
      <c r="G55" s="65"/>
      <c r="H55" s="65"/>
      <c r="I55" s="66"/>
      <c r="J55" s="66"/>
      <c r="K55" s="101"/>
      <c r="L55" s="102"/>
      <c r="M55" s="102"/>
      <c r="N55" s="102"/>
      <c r="O55" s="102"/>
      <c r="P55" s="102"/>
      <c r="Q55" s="103"/>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34</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9" t="s">
        <v>21</v>
      </c>
      <c r="C59" s="110"/>
      <c r="D59" s="110"/>
      <c r="E59" s="110"/>
      <c r="F59" s="111"/>
      <c r="G59" s="60" t="s">
        <v>22</v>
      </c>
      <c r="H59" s="61" t="s">
        <v>23</v>
      </c>
      <c r="I59" s="62" t="s">
        <v>35</v>
      </c>
      <c r="J59" s="62" t="s">
        <v>36</v>
      </c>
      <c r="K59" s="109" t="s">
        <v>21</v>
      </c>
      <c r="L59" s="110"/>
      <c r="M59" s="110"/>
      <c r="N59" s="110"/>
      <c r="O59" s="110"/>
      <c r="P59" s="110"/>
      <c r="Q59" s="111"/>
      <c r="R59" s="60" t="s">
        <v>22</v>
      </c>
      <c r="S59" s="61" t="s">
        <v>23</v>
      </c>
      <c r="T59" s="62" t="s">
        <v>35</v>
      </c>
      <c r="U59" s="62" t="s">
        <v>36</v>
      </c>
    </row>
    <row r="60" spans="1:21" ht="18" customHeight="1" x14ac:dyDescent="0.15">
      <c r="A60" s="3"/>
      <c r="B60" s="118" t="s">
        <v>26</v>
      </c>
      <c r="C60" s="119"/>
      <c r="D60" s="119"/>
      <c r="E60" s="119"/>
      <c r="F60" s="120"/>
      <c r="G60" s="63">
        <v>2</v>
      </c>
      <c r="H60" s="63" t="s">
        <v>27</v>
      </c>
      <c r="I60" s="63" t="s">
        <v>27</v>
      </c>
      <c r="J60" s="63" t="s">
        <v>27</v>
      </c>
      <c r="K60" s="118"/>
      <c r="L60" s="119"/>
      <c r="M60" s="119"/>
      <c r="N60" s="119"/>
      <c r="O60" s="119"/>
      <c r="P60" s="119"/>
      <c r="Q60" s="120"/>
      <c r="R60" s="63"/>
      <c r="S60" s="63"/>
      <c r="T60" s="63"/>
      <c r="U60" s="63"/>
    </row>
    <row r="61" spans="1:21" ht="18" customHeight="1" x14ac:dyDescent="0.15">
      <c r="A61" s="3"/>
      <c r="B61" s="112"/>
      <c r="C61" s="113"/>
      <c r="D61" s="113"/>
      <c r="E61" s="113"/>
      <c r="F61" s="114"/>
      <c r="G61" s="64"/>
      <c r="H61" s="64"/>
      <c r="I61" s="64"/>
      <c r="J61" s="64"/>
      <c r="K61" s="112"/>
      <c r="L61" s="113"/>
      <c r="M61" s="113"/>
      <c r="N61" s="113"/>
      <c r="O61" s="113"/>
      <c r="P61" s="113"/>
      <c r="Q61" s="114"/>
      <c r="R61" s="64"/>
      <c r="S61" s="64"/>
      <c r="T61" s="64"/>
      <c r="U61" s="64"/>
    </row>
    <row r="62" spans="1:21" ht="18" customHeight="1" x14ac:dyDescent="0.15">
      <c r="A62" s="3"/>
      <c r="B62" s="112"/>
      <c r="C62" s="113"/>
      <c r="D62" s="113"/>
      <c r="E62" s="113"/>
      <c r="F62" s="114"/>
      <c r="G62" s="64"/>
      <c r="H62" s="64"/>
      <c r="I62" s="64"/>
      <c r="J62" s="64"/>
      <c r="K62" s="112"/>
      <c r="L62" s="113"/>
      <c r="M62" s="113"/>
      <c r="N62" s="113"/>
      <c r="O62" s="113"/>
      <c r="P62" s="113"/>
      <c r="Q62" s="114"/>
      <c r="R62" s="64"/>
      <c r="S62" s="64"/>
      <c r="T62" s="64"/>
      <c r="U62" s="64"/>
    </row>
    <row r="63" spans="1:21" ht="18" customHeight="1" x14ac:dyDescent="0.15">
      <c r="A63" s="3"/>
      <c r="B63" s="112"/>
      <c r="C63" s="113"/>
      <c r="D63" s="113"/>
      <c r="E63" s="113"/>
      <c r="F63" s="114"/>
      <c r="G63" s="64"/>
      <c r="H63" s="64"/>
      <c r="I63" s="64"/>
      <c r="J63" s="64"/>
      <c r="K63" s="112"/>
      <c r="L63" s="113"/>
      <c r="M63" s="113"/>
      <c r="N63" s="113"/>
      <c r="O63" s="113"/>
      <c r="P63" s="113"/>
      <c r="Q63" s="114"/>
      <c r="R63" s="64"/>
      <c r="S63" s="64"/>
      <c r="T63" s="64"/>
      <c r="U63" s="64"/>
    </row>
    <row r="64" spans="1:21" ht="18" customHeight="1" x14ac:dyDescent="0.15">
      <c r="A64" s="3"/>
      <c r="B64" s="112"/>
      <c r="C64" s="113"/>
      <c r="D64" s="113"/>
      <c r="E64" s="113"/>
      <c r="F64" s="114"/>
      <c r="G64" s="64"/>
      <c r="H64" s="64"/>
      <c r="I64" s="64"/>
      <c r="J64" s="64"/>
      <c r="K64" s="112"/>
      <c r="L64" s="113"/>
      <c r="M64" s="113"/>
      <c r="N64" s="113"/>
      <c r="O64" s="113"/>
      <c r="P64" s="113"/>
      <c r="Q64" s="114"/>
      <c r="R64" s="64"/>
      <c r="S64" s="64"/>
      <c r="T64" s="64"/>
      <c r="U64" s="64"/>
    </row>
    <row r="65" spans="1:27" ht="18" customHeight="1" x14ac:dyDescent="0.15">
      <c r="A65" s="3"/>
      <c r="B65" s="112"/>
      <c r="C65" s="113"/>
      <c r="D65" s="113"/>
      <c r="E65" s="113"/>
      <c r="F65" s="114"/>
      <c r="G65" s="64"/>
      <c r="H65" s="64"/>
      <c r="I65" s="64"/>
      <c r="J65" s="64"/>
      <c r="K65" s="112"/>
      <c r="L65" s="113"/>
      <c r="M65" s="113"/>
      <c r="N65" s="113"/>
      <c r="O65" s="113"/>
      <c r="P65" s="113"/>
      <c r="Q65" s="114"/>
      <c r="R65" s="64"/>
      <c r="S65" s="64"/>
      <c r="T65" s="64"/>
      <c r="U65" s="64"/>
    </row>
    <row r="66" spans="1:27" ht="18" customHeight="1" x14ac:dyDescent="0.15">
      <c r="A66" s="3"/>
      <c r="B66" s="101"/>
      <c r="C66" s="102"/>
      <c r="D66" s="102"/>
      <c r="E66" s="102"/>
      <c r="F66" s="103"/>
      <c r="G66" s="65"/>
      <c r="H66" s="65"/>
      <c r="I66" s="66"/>
      <c r="J66" s="66"/>
      <c r="K66" s="101"/>
      <c r="L66" s="102"/>
      <c r="M66" s="102"/>
      <c r="N66" s="102"/>
      <c r="O66" s="102"/>
      <c r="P66" s="102"/>
      <c r="Q66" s="103"/>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27" t="s">
        <v>37</v>
      </c>
      <c r="B68" s="127"/>
      <c r="C68" s="127"/>
      <c r="D68" s="127"/>
      <c r="E68" s="127"/>
      <c r="F68" s="127"/>
      <c r="G68" s="127"/>
      <c r="H68" s="127"/>
      <c r="I68" s="127"/>
      <c r="J68" s="127"/>
      <c r="K68" s="127"/>
      <c r="L68" s="127"/>
      <c r="M68" s="127"/>
      <c r="N68" s="127"/>
      <c r="O68" s="127"/>
      <c r="P68" s="127"/>
      <c r="Q68" s="127"/>
      <c r="R68" s="127"/>
      <c r="S68" s="127"/>
      <c r="T68" s="127"/>
      <c r="U68" s="127"/>
    </row>
    <row r="69" spans="1:27"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7" ht="18" customHeight="1" x14ac:dyDescent="0.15">
      <c r="B70" s="109" t="s">
        <v>21</v>
      </c>
      <c r="C70" s="110"/>
      <c r="D70" s="110"/>
      <c r="E70" s="110"/>
      <c r="F70" s="60" t="s">
        <v>22</v>
      </c>
      <c r="G70" s="61" t="s">
        <v>23</v>
      </c>
      <c r="H70" s="62" t="s">
        <v>38</v>
      </c>
      <c r="I70" s="62" t="s">
        <v>39</v>
      </c>
      <c r="J70" s="62" t="s">
        <v>40</v>
      </c>
      <c r="K70" s="109" t="s">
        <v>21</v>
      </c>
      <c r="L70" s="110"/>
      <c r="M70" s="110"/>
      <c r="N70" s="110"/>
      <c r="O70" s="110"/>
      <c r="P70" s="111"/>
      <c r="Q70" s="60" t="s">
        <v>22</v>
      </c>
      <c r="R70" s="61" t="s">
        <v>23</v>
      </c>
      <c r="S70" s="62" t="s">
        <v>38</v>
      </c>
      <c r="T70" s="62" t="s">
        <v>39</v>
      </c>
      <c r="U70" s="62" t="s">
        <v>40</v>
      </c>
    </row>
    <row r="71" spans="1:27" ht="18" customHeight="1" x14ac:dyDescent="0.15">
      <c r="A71" s="3"/>
      <c r="B71" s="118" t="s">
        <v>26</v>
      </c>
      <c r="C71" s="119"/>
      <c r="D71" s="119"/>
      <c r="E71" s="119"/>
      <c r="F71" s="63">
        <v>2</v>
      </c>
      <c r="G71" s="63" t="s">
        <v>27</v>
      </c>
      <c r="H71" s="63" t="s">
        <v>27</v>
      </c>
      <c r="I71" s="63" t="s">
        <v>27</v>
      </c>
      <c r="J71" s="63" t="s">
        <v>27</v>
      </c>
      <c r="K71" s="118"/>
      <c r="L71" s="119"/>
      <c r="M71" s="119"/>
      <c r="N71" s="119"/>
      <c r="O71" s="119"/>
      <c r="P71" s="120"/>
      <c r="Q71" s="63"/>
      <c r="R71" s="63"/>
      <c r="S71" s="63"/>
      <c r="T71" s="63"/>
      <c r="U71" s="63"/>
    </row>
    <row r="72" spans="1:27" ht="18" customHeight="1" x14ac:dyDescent="0.15">
      <c r="A72" s="3"/>
      <c r="B72" s="112"/>
      <c r="C72" s="113"/>
      <c r="D72" s="113"/>
      <c r="E72" s="113"/>
      <c r="F72" s="64"/>
      <c r="G72" s="64"/>
      <c r="H72" s="64"/>
      <c r="I72" s="64"/>
      <c r="J72" s="64"/>
      <c r="K72" s="112"/>
      <c r="L72" s="113"/>
      <c r="M72" s="113"/>
      <c r="N72" s="113"/>
      <c r="O72" s="113"/>
      <c r="P72" s="114"/>
      <c r="Q72" s="64"/>
      <c r="R72" s="64"/>
      <c r="S72" s="64"/>
      <c r="T72" s="64"/>
      <c r="U72" s="64"/>
    </row>
    <row r="73" spans="1:27" ht="18" customHeight="1" x14ac:dyDescent="0.15">
      <c r="A73" s="3"/>
      <c r="B73" s="112"/>
      <c r="C73" s="113"/>
      <c r="D73" s="113"/>
      <c r="E73" s="113"/>
      <c r="F73" s="64"/>
      <c r="G73" s="64"/>
      <c r="H73" s="64"/>
      <c r="I73" s="64"/>
      <c r="J73" s="64"/>
      <c r="K73" s="112"/>
      <c r="L73" s="113"/>
      <c r="M73" s="113"/>
      <c r="N73" s="113"/>
      <c r="O73" s="113"/>
      <c r="P73" s="114"/>
      <c r="Q73" s="64"/>
      <c r="R73" s="64"/>
      <c r="S73" s="64"/>
      <c r="T73" s="64"/>
      <c r="U73" s="64"/>
    </row>
    <row r="74" spans="1:27" ht="18" customHeight="1" x14ac:dyDescent="0.15">
      <c r="A74" s="3"/>
      <c r="B74" s="112"/>
      <c r="C74" s="113"/>
      <c r="D74" s="113"/>
      <c r="E74" s="113"/>
      <c r="F74" s="64"/>
      <c r="G74" s="64"/>
      <c r="H74" s="64"/>
      <c r="I74" s="64"/>
      <c r="J74" s="64"/>
      <c r="K74" s="112"/>
      <c r="L74" s="113"/>
      <c r="M74" s="113"/>
      <c r="N74" s="113"/>
      <c r="O74" s="113"/>
      <c r="P74" s="114"/>
      <c r="Q74" s="64"/>
      <c r="R74" s="64"/>
      <c r="S74" s="64"/>
      <c r="T74" s="64"/>
      <c r="U74" s="64"/>
    </row>
    <row r="75" spans="1:27" ht="18" customHeight="1" x14ac:dyDescent="0.15">
      <c r="A75" s="3"/>
      <c r="B75" s="112"/>
      <c r="C75" s="113"/>
      <c r="D75" s="113"/>
      <c r="E75" s="113"/>
      <c r="F75" s="64"/>
      <c r="G75" s="64"/>
      <c r="H75" s="64"/>
      <c r="I75" s="64"/>
      <c r="J75" s="64"/>
      <c r="K75" s="112"/>
      <c r="L75" s="113"/>
      <c r="M75" s="113"/>
      <c r="N75" s="113"/>
      <c r="O75" s="113"/>
      <c r="P75" s="114"/>
      <c r="Q75" s="64"/>
      <c r="R75" s="64"/>
      <c r="S75" s="64"/>
      <c r="T75" s="64"/>
      <c r="U75" s="64"/>
    </row>
    <row r="76" spans="1:27" ht="18" customHeight="1" x14ac:dyDescent="0.15">
      <c r="A76" s="3"/>
      <c r="B76" s="112"/>
      <c r="C76" s="113"/>
      <c r="D76" s="113"/>
      <c r="E76" s="113"/>
      <c r="F76" s="64"/>
      <c r="G76" s="64"/>
      <c r="H76" s="64"/>
      <c r="I76" s="64"/>
      <c r="J76" s="64"/>
      <c r="K76" s="112"/>
      <c r="L76" s="113"/>
      <c r="M76" s="113"/>
      <c r="N76" s="113"/>
      <c r="O76" s="113"/>
      <c r="P76" s="114"/>
      <c r="Q76" s="64"/>
      <c r="R76" s="64"/>
      <c r="S76" s="64"/>
      <c r="T76" s="64"/>
      <c r="U76" s="64"/>
    </row>
    <row r="77" spans="1:27" ht="18" customHeight="1" x14ac:dyDescent="0.15">
      <c r="A77" s="3"/>
      <c r="B77" s="101"/>
      <c r="C77" s="102"/>
      <c r="D77" s="102"/>
      <c r="E77" s="102"/>
      <c r="F77" s="65"/>
      <c r="G77" s="65"/>
      <c r="H77" s="66"/>
      <c r="I77" s="66"/>
      <c r="J77" s="66"/>
      <c r="K77" s="101"/>
      <c r="L77" s="102"/>
      <c r="M77" s="102"/>
      <c r="N77" s="102"/>
      <c r="O77" s="102"/>
      <c r="P77" s="103"/>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41</v>
      </c>
      <c r="I79" s="3"/>
      <c r="J79" s="3"/>
      <c r="K79" s="3"/>
      <c r="L79" s="3"/>
      <c r="M79" s="3"/>
      <c r="N79" s="3"/>
      <c r="O79" s="3"/>
      <c r="P79" s="3"/>
      <c r="Q79" s="3"/>
      <c r="R79" s="3"/>
      <c r="S79" s="3"/>
      <c r="T79" s="3"/>
      <c r="U79" s="3"/>
    </row>
    <row r="80" spans="1:27" ht="18" customHeight="1" x14ac:dyDescent="0.15">
      <c r="B80" s="109" t="s">
        <v>21</v>
      </c>
      <c r="C80" s="110"/>
      <c r="D80" s="110"/>
      <c r="E80" s="110"/>
      <c r="F80" s="111"/>
      <c r="G80" s="109" t="s">
        <v>42</v>
      </c>
      <c r="H80" s="110"/>
      <c r="I80" s="110"/>
      <c r="J80" s="111"/>
      <c r="K80" s="124" t="s">
        <v>21</v>
      </c>
      <c r="L80" s="125"/>
      <c r="M80" s="125"/>
      <c r="N80" s="125"/>
      <c r="O80" s="125"/>
      <c r="P80" s="125"/>
      <c r="Q80" s="126"/>
      <c r="R80" s="109" t="s">
        <v>42</v>
      </c>
      <c r="S80" s="110"/>
      <c r="T80" s="110"/>
      <c r="U80" s="111"/>
      <c r="AA80" s="1" t="s">
        <v>43</v>
      </c>
    </row>
    <row r="81" spans="1:27" ht="18" customHeight="1" x14ac:dyDescent="0.15">
      <c r="A81" s="3"/>
      <c r="B81" s="118"/>
      <c r="C81" s="119"/>
      <c r="D81" s="119"/>
      <c r="E81" s="119"/>
      <c r="F81" s="120"/>
      <c r="G81" s="121"/>
      <c r="H81" s="122"/>
      <c r="I81" s="122"/>
      <c r="J81" s="123"/>
      <c r="K81" s="118"/>
      <c r="L81" s="119"/>
      <c r="M81" s="119"/>
      <c r="N81" s="119"/>
      <c r="O81" s="119"/>
      <c r="P81" s="119"/>
      <c r="Q81" s="120"/>
      <c r="R81" s="121"/>
      <c r="S81" s="122"/>
      <c r="T81" s="122"/>
      <c r="U81" s="123"/>
      <c r="AA81" s="1" t="s">
        <v>44</v>
      </c>
    </row>
    <row r="82" spans="1:27" ht="18" customHeight="1" x14ac:dyDescent="0.15">
      <c r="A82" s="3"/>
      <c r="B82" s="112"/>
      <c r="C82" s="113"/>
      <c r="D82" s="113"/>
      <c r="E82" s="113"/>
      <c r="F82" s="114"/>
      <c r="G82" s="115"/>
      <c r="H82" s="116"/>
      <c r="I82" s="116"/>
      <c r="J82" s="117"/>
      <c r="K82" s="112"/>
      <c r="L82" s="113"/>
      <c r="M82" s="113"/>
      <c r="N82" s="113"/>
      <c r="O82" s="113"/>
      <c r="P82" s="113"/>
      <c r="Q82" s="114"/>
      <c r="R82" s="115"/>
      <c r="S82" s="116"/>
      <c r="T82" s="116"/>
      <c r="U82" s="117"/>
      <c r="AA82" s="1" t="s">
        <v>45</v>
      </c>
    </row>
    <row r="83" spans="1:27" ht="18" customHeight="1" x14ac:dyDescent="0.15">
      <c r="A83" s="3"/>
      <c r="B83" s="112"/>
      <c r="C83" s="113"/>
      <c r="D83" s="113"/>
      <c r="E83" s="113"/>
      <c r="F83" s="114"/>
      <c r="G83" s="115"/>
      <c r="H83" s="116"/>
      <c r="I83" s="116"/>
      <c r="J83" s="117"/>
      <c r="K83" s="112"/>
      <c r="L83" s="113"/>
      <c r="M83" s="113"/>
      <c r="N83" s="113"/>
      <c r="O83" s="113"/>
      <c r="P83" s="113"/>
      <c r="Q83" s="114"/>
      <c r="R83" s="115"/>
      <c r="S83" s="116"/>
      <c r="T83" s="116"/>
      <c r="U83" s="117"/>
      <c r="AA83" s="1" t="s">
        <v>46</v>
      </c>
    </row>
    <row r="84" spans="1:27" ht="18" customHeight="1" x14ac:dyDescent="0.15">
      <c r="A84" s="3"/>
      <c r="B84" s="112"/>
      <c r="C84" s="113"/>
      <c r="D84" s="113"/>
      <c r="E84" s="113"/>
      <c r="F84" s="114"/>
      <c r="G84" s="115"/>
      <c r="H84" s="116"/>
      <c r="I84" s="116"/>
      <c r="J84" s="117"/>
      <c r="K84" s="112"/>
      <c r="L84" s="113"/>
      <c r="M84" s="113"/>
      <c r="N84" s="113"/>
      <c r="O84" s="113"/>
      <c r="P84" s="113"/>
      <c r="Q84" s="114"/>
      <c r="R84" s="115"/>
      <c r="S84" s="116"/>
      <c r="T84" s="116"/>
      <c r="U84" s="117"/>
      <c r="AA84" s="1" t="s">
        <v>47</v>
      </c>
    </row>
    <row r="85" spans="1:27" ht="18" customHeight="1" x14ac:dyDescent="0.15">
      <c r="A85" s="3"/>
      <c r="B85" s="112"/>
      <c r="C85" s="113"/>
      <c r="D85" s="113"/>
      <c r="E85" s="113"/>
      <c r="F85" s="114"/>
      <c r="G85" s="115"/>
      <c r="H85" s="116"/>
      <c r="I85" s="116"/>
      <c r="J85" s="117"/>
      <c r="K85" s="112"/>
      <c r="L85" s="113"/>
      <c r="M85" s="113"/>
      <c r="N85" s="113"/>
      <c r="O85" s="113"/>
      <c r="P85" s="113"/>
      <c r="Q85" s="114"/>
      <c r="R85" s="115"/>
      <c r="S85" s="116"/>
      <c r="T85" s="116"/>
      <c r="U85" s="117"/>
      <c r="AA85" s="1" t="s">
        <v>48</v>
      </c>
    </row>
    <row r="86" spans="1:27" ht="18" customHeight="1" x14ac:dyDescent="0.15">
      <c r="A86" s="3"/>
      <c r="B86" s="112"/>
      <c r="C86" s="113"/>
      <c r="D86" s="113"/>
      <c r="E86" s="113"/>
      <c r="F86" s="114"/>
      <c r="G86" s="115"/>
      <c r="H86" s="116"/>
      <c r="I86" s="116"/>
      <c r="J86" s="117"/>
      <c r="K86" s="112"/>
      <c r="L86" s="113"/>
      <c r="M86" s="113"/>
      <c r="N86" s="113"/>
      <c r="O86" s="113"/>
      <c r="P86" s="113"/>
      <c r="Q86" s="114"/>
      <c r="R86" s="115"/>
      <c r="S86" s="116"/>
      <c r="T86" s="116"/>
      <c r="U86" s="117"/>
      <c r="AA86" s="1" t="s">
        <v>49</v>
      </c>
    </row>
    <row r="87" spans="1:27" ht="18" customHeight="1" x14ac:dyDescent="0.15">
      <c r="A87" s="3"/>
      <c r="B87" s="101"/>
      <c r="C87" s="102"/>
      <c r="D87" s="102"/>
      <c r="E87" s="102"/>
      <c r="F87" s="103"/>
      <c r="G87" s="104"/>
      <c r="H87" s="105"/>
      <c r="I87" s="105"/>
      <c r="J87" s="106"/>
      <c r="K87" s="101"/>
      <c r="L87" s="102"/>
      <c r="M87" s="102"/>
      <c r="N87" s="102"/>
      <c r="O87" s="102"/>
      <c r="P87" s="102"/>
      <c r="Q87" s="103"/>
      <c r="R87" s="104"/>
      <c r="S87" s="105"/>
      <c r="T87" s="105"/>
      <c r="U87" s="106"/>
      <c r="AA87" s="1" t="s">
        <v>50</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51</v>
      </c>
    </row>
    <row r="89" spans="1:27" ht="18.75" customHeight="1" x14ac:dyDescent="0.15">
      <c r="A89" s="1" t="s">
        <v>52</v>
      </c>
      <c r="AA89" s="1" t="s">
        <v>53</v>
      </c>
    </row>
    <row r="90" spans="1:27" ht="18.75" customHeight="1" x14ac:dyDescent="0.15">
      <c r="B90" s="107" t="s">
        <v>54</v>
      </c>
      <c r="C90" s="108"/>
      <c r="D90" s="109" t="s">
        <v>55</v>
      </c>
      <c r="E90" s="110"/>
      <c r="F90" s="110"/>
      <c r="G90" s="110"/>
      <c r="H90" s="110"/>
      <c r="I90" s="110"/>
      <c r="J90" s="110"/>
      <c r="K90" s="110"/>
      <c r="L90" s="110"/>
      <c r="M90" s="110"/>
      <c r="N90" s="110"/>
      <c r="O90" s="110"/>
      <c r="P90" s="110"/>
      <c r="Q90" s="110"/>
      <c r="R90" s="110"/>
      <c r="S90" s="110"/>
      <c r="T90" s="110"/>
      <c r="U90" s="111"/>
    </row>
    <row r="91" spans="1:27" ht="97.5" customHeight="1" x14ac:dyDescent="0.15">
      <c r="B91" s="84" t="s">
        <v>56</v>
      </c>
      <c r="C91" s="68" t="s">
        <v>24</v>
      </c>
      <c r="D91" s="87" t="s">
        <v>57</v>
      </c>
      <c r="E91" s="88"/>
      <c r="F91" s="88"/>
      <c r="G91" s="88"/>
      <c r="H91" s="88"/>
      <c r="I91" s="88"/>
      <c r="J91" s="88"/>
      <c r="K91" s="88"/>
      <c r="L91" s="88"/>
      <c r="M91" s="88"/>
      <c r="N91" s="88"/>
      <c r="O91" s="88"/>
      <c r="P91" s="88"/>
      <c r="Q91" s="88"/>
      <c r="R91" s="88"/>
      <c r="S91" s="88"/>
      <c r="T91" s="88"/>
      <c r="U91" s="89"/>
    </row>
    <row r="92" spans="1:27" ht="97.5" customHeight="1" x14ac:dyDescent="0.15">
      <c r="B92" s="85"/>
      <c r="C92" s="69" t="s">
        <v>58</v>
      </c>
      <c r="D92" s="100" t="s">
        <v>59</v>
      </c>
      <c r="E92" s="94"/>
      <c r="F92" s="94"/>
      <c r="G92" s="94"/>
      <c r="H92" s="94"/>
      <c r="I92" s="94"/>
      <c r="J92" s="94"/>
      <c r="K92" s="94"/>
      <c r="L92" s="94"/>
      <c r="M92" s="94"/>
      <c r="N92" s="94"/>
      <c r="O92" s="94"/>
      <c r="P92" s="94"/>
      <c r="Q92" s="94"/>
      <c r="R92" s="94"/>
      <c r="S92" s="94"/>
      <c r="T92" s="94"/>
      <c r="U92" s="95"/>
    </row>
    <row r="93" spans="1:27" ht="97.5" customHeight="1" x14ac:dyDescent="0.15">
      <c r="B93" s="84" t="s">
        <v>60</v>
      </c>
      <c r="C93" s="70" t="s">
        <v>29</v>
      </c>
      <c r="D93" s="99" t="s">
        <v>61</v>
      </c>
      <c r="E93" s="88"/>
      <c r="F93" s="88"/>
      <c r="G93" s="88"/>
      <c r="H93" s="88"/>
      <c r="I93" s="88"/>
      <c r="J93" s="88"/>
      <c r="K93" s="88"/>
      <c r="L93" s="88"/>
      <c r="M93" s="88"/>
      <c r="N93" s="88"/>
      <c r="O93" s="88"/>
      <c r="P93" s="88"/>
      <c r="Q93" s="88"/>
      <c r="R93" s="88"/>
      <c r="S93" s="88"/>
      <c r="T93" s="88"/>
      <c r="U93" s="89"/>
    </row>
    <row r="94" spans="1:27" ht="97.5" customHeight="1" x14ac:dyDescent="0.15">
      <c r="B94" s="86"/>
      <c r="C94" s="71" t="s">
        <v>30</v>
      </c>
      <c r="D94" s="100" t="s">
        <v>62</v>
      </c>
      <c r="E94" s="94"/>
      <c r="F94" s="94"/>
      <c r="G94" s="94"/>
      <c r="H94" s="94"/>
      <c r="I94" s="94"/>
      <c r="J94" s="94"/>
      <c r="K94" s="94"/>
      <c r="L94" s="94"/>
      <c r="M94" s="94"/>
      <c r="N94" s="94"/>
      <c r="O94" s="94"/>
      <c r="P94" s="94"/>
      <c r="Q94" s="94"/>
      <c r="R94" s="94"/>
      <c r="S94" s="94"/>
      <c r="T94" s="94"/>
      <c r="U94" s="95"/>
    </row>
    <row r="95" spans="1:27" ht="97.5" customHeight="1" x14ac:dyDescent="0.15">
      <c r="B95" s="84" t="s">
        <v>63</v>
      </c>
      <c r="C95" s="70" t="s">
        <v>32</v>
      </c>
      <c r="D95" s="99" t="s">
        <v>64</v>
      </c>
      <c r="E95" s="88"/>
      <c r="F95" s="88"/>
      <c r="G95" s="88"/>
      <c r="H95" s="88"/>
      <c r="I95" s="88"/>
      <c r="J95" s="88"/>
      <c r="K95" s="88"/>
      <c r="L95" s="88"/>
      <c r="M95" s="88"/>
      <c r="N95" s="88"/>
      <c r="O95" s="88"/>
      <c r="P95" s="88"/>
      <c r="Q95" s="88"/>
      <c r="R95" s="88"/>
      <c r="S95" s="88"/>
      <c r="T95" s="88"/>
      <c r="U95" s="89"/>
    </row>
    <row r="96" spans="1:27" ht="97.5" customHeight="1" x14ac:dyDescent="0.15">
      <c r="B96" s="86"/>
      <c r="C96" s="72" t="s">
        <v>33</v>
      </c>
      <c r="D96" s="100" t="s">
        <v>65</v>
      </c>
      <c r="E96" s="94"/>
      <c r="F96" s="94"/>
      <c r="G96" s="94"/>
      <c r="H96" s="94"/>
      <c r="I96" s="94"/>
      <c r="J96" s="94"/>
      <c r="K96" s="94"/>
      <c r="L96" s="94"/>
      <c r="M96" s="94"/>
      <c r="N96" s="94"/>
      <c r="O96" s="94"/>
      <c r="P96" s="94"/>
      <c r="Q96" s="94"/>
      <c r="R96" s="94"/>
      <c r="S96" s="94"/>
      <c r="T96" s="94"/>
      <c r="U96" s="95"/>
    </row>
    <row r="97" spans="1:21" ht="97.5" customHeight="1" x14ac:dyDescent="0.15">
      <c r="B97" s="84" t="s">
        <v>66</v>
      </c>
      <c r="C97" s="68" t="s">
        <v>35</v>
      </c>
      <c r="D97" s="87" t="s">
        <v>67</v>
      </c>
      <c r="E97" s="88"/>
      <c r="F97" s="88"/>
      <c r="G97" s="88"/>
      <c r="H97" s="88"/>
      <c r="I97" s="88"/>
      <c r="J97" s="88"/>
      <c r="K97" s="88"/>
      <c r="L97" s="88"/>
      <c r="M97" s="88"/>
      <c r="N97" s="88"/>
      <c r="O97" s="88"/>
      <c r="P97" s="88"/>
      <c r="Q97" s="88"/>
      <c r="R97" s="88"/>
      <c r="S97" s="88"/>
      <c r="T97" s="88"/>
      <c r="U97" s="89"/>
    </row>
    <row r="98" spans="1:21" ht="97.5" customHeight="1" x14ac:dyDescent="0.15">
      <c r="B98" s="86"/>
      <c r="C98" s="71" t="s">
        <v>36</v>
      </c>
      <c r="D98" s="93" t="s">
        <v>68</v>
      </c>
      <c r="E98" s="94"/>
      <c r="F98" s="94"/>
      <c r="G98" s="94"/>
      <c r="H98" s="94"/>
      <c r="I98" s="94"/>
      <c r="J98" s="94"/>
      <c r="K98" s="94"/>
      <c r="L98" s="94"/>
      <c r="M98" s="94"/>
      <c r="N98" s="94"/>
      <c r="O98" s="94"/>
      <c r="P98" s="94"/>
      <c r="Q98" s="94"/>
      <c r="R98" s="94"/>
      <c r="S98" s="94"/>
      <c r="T98" s="94"/>
      <c r="U98" s="95"/>
    </row>
    <row r="99" spans="1:21" ht="114" customHeight="1" x14ac:dyDescent="0.15">
      <c r="B99" s="84" t="s">
        <v>69</v>
      </c>
      <c r="C99" s="70" t="s">
        <v>70</v>
      </c>
      <c r="D99" s="87" t="s">
        <v>71</v>
      </c>
      <c r="E99" s="88"/>
      <c r="F99" s="88"/>
      <c r="G99" s="88"/>
      <c r="H99" s="88"/>
      <c r="I99" s="88"/>
      <c r="J99" s="88"/>
      <c r="K99" s="88"/>
      <c r="L99" s="88"/>
      <c r="M99" s="88"/>
      <c r="N99" s="88"/>
      <c r="O99" s="88"/>
      <c r="P99" s="88"/>
      <c r="Q99" s="88"/>
      <c r="R99" s="88"/>
      <c r="S99" s="88"/>
      <c r="T99" s="88"/>
      <c r="U99" s="89"/>
    </row>
    <row r="100" spans="1:21" ht="97.5" customHeight="1" x14ac:dyDescent="0.15">
      <c r="B100" s="85"/>
      <c r="C100" s="73" t="s">
        <v>39</v>
      </c>
      <c r="D100" s="90" t="s">
        <v>72</v>
      </c>
      <c r="E100" s="91"/>
      <c r="F100" s="91"/>
      <c r="G100" s="91"/>
      <c r="H100" s="91"/>
      <c r="I100" s="91"/>
      <c r="J100" s="91"/>
      <c r="K100" s="91"/>
      <c r="L100" s="91"/>
      <c r="M100" s="91"/>
      <c r="N100" s="91"/>
      <c r="O100" s="91"/>
      <c r="P100" s="91"/>
      <c r="Q100" s="91"/>
      <c r="R100" s="91"/>
      <c r="S100" s="91"/>
      <c r="T100" s="91"/>
      <c r="U100" s="92"/>
    </row>
    <row r="101" spans="1:21" ht="97.5" customHeight="1" x14ac:dyDescent="0.15">
      <c r="B101" s="86"/>
      <c r="C101" s="72" t="s">
        <v>40</v>
      </c>
      <c r="D101" s="93" t="s">
        <v>73</v>
      </c>
      <c r="E101" s="94"/>
      <c r="F101" s="94"/>
      <c r="G101" s="94"/>
      <c r="H101" s="94"/>
      <c r="I101" s="94"/>
      <c r="J101" s="94"/>
      <c r="K101" s="94"/>
      <c r="L101" s="94"/>
      <c r="M101" s="94"/>
      <c r="N101" s="94"/>
      <c r="O101" s="94"/>
      <c r="P101" s="94"/>
      <c r="Q101" s="94"/>
      <c r="R101" s="94"/>
      <c r="S101" s="94"/>
      <c r="T101" s="94"/>
      <c r="U101" s="95"/>
    </row>
    <row r="102" spans="1:21" ht="6" customHeight="1" x14ac:dyDescent="0.15"/>
    <row r="103" spans="1:21" ht="18.75" customHeight="1" x14ac:dyDescent="0.15">
      <c r="A103" s="1" t="s">
        <v>74</v>
      </c>
    </row>
    <row r="104" spans="1:21" ht="81.75" customHeight="1" x14ac:dyDescent="0.15">
      <c r="B104" s="96" t="s">
        <v>75</v>
      </c>
      <c r="C104" s="97"/>
      <c r="D104" s="97"/>
      <c r="E104" s="97"/>
      <c r="F104" s="97"/>
      <c r="G104" s="97"/>
      <c r="H104" s="97"/>
      <c r="I104" s="97"/>
      <c r="J104" s="97"/>
      <c r="K104" s="97"/>
      <c r="L104" s="97"/>
      <c r="M104" s="97"/>
      <c r="N104" s="97"/>
      <c r="O104" s="97"/>
      <c r="P104" s="97"/>
      <c r="Q104" s="97"/>
      <c r="R104" s="97"/>
      <c r="S104" s="97"/>
      <c r="T104" s="97"/>
      <c r="U104" s="98"/>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G81:J87 R81:U87" xr:uid="{5CE6D95A-CD4A-4464-BCDC-B394B02B5E39}">
      <formula1>$AA$80:$AA$89</formula1>
    </dataValidation>
    <dataValidation type="list" allowBlank="1" showInputMessage="1" showErrorMessage="1" sqref="N22:U22" xr:uid="{2C188B7E-8279-4B76-B3BB-DD2F1C5C64FA}">
      <formula1>$X$16:$X$18</formula1>
    </dataValidation>
    <dataValidation type="list" allowBlank="1" showInputMessage="1" showErrorMessage="1" sqref="G88:J88 R88:U88" xr:uid="{833F8E1E-D40B-4BC1-A01B-E3B53DCF116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D312775F-A938-41DF-B37E-C517F716EAD4}">
      <formula1>"学部・学科によって、修了要件は相違する,学部・学科によって、修了要件は相違しない"</formula1>
    </dataValidation>
    <dataValidation type="list" allowBlank="1" showInputMessage="1" showErrorMessage="1" sqref="U34 U45 E34:H34 E45:H45" xr:uid="{4DB9B483-2BD7-4022-9C42-AD8D37B89BC9}">
      <formula1>"全学開講,一部開講"</formula1>
    </dataValidation>
    <dataValidation type="list" allowBlank="1" showInputMessage="1" showErrorMessage="1" sqref="H27:J33 S27:U33 R71:U77 S38:U44 H38:J44 S49:U55 H49:J55 S60:U66 G71:J77 H60:J66" xr:uid="{7E209F07-2B7C-4D03-B823-7BFCAE5A7979}">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topLeftCell="A100" zoomScaleNormal="100" zoomScaleSheetLayoutView="100" workbookViewId="0">
      <selection activeCell="D94" sqref="D94:U94"/>
    </sheetView>
  </sheetViews>
  <sheetFormatPr defaultColWidth="9" defaultRowHeight="18.75" customHeight="1" x14ac:dyDescent="0.15"/>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40" t="s">
        <v>76</v>
      </c>
      <c r="U1" s="140"/>
      <c r="V1" s="2" t="s">
        <v>77</v>
      </c>
    </row>
    <row r="2" spans="1:24" ht="18.75" customHeight="1" x14ac:dyDescent="0.15">
      <c r="B2" s="17" t="s">
        <v>2</v>
      </c>
      <c r="C2" s="109" t="s">
        <v>3</v>
      </c>
      <c r="D2" s="110"/>
      <c r="E2" s="110"/>
      <c r="F2" s="110"/>
      <c r="G2" s="110"/>
      <c r="H2" s="110"/>
      <c r="I2" s="110"/>
      <c r="J2" s="111"/>
      <c r="K2" s="18"/>
      <c r="L2" s="6"/>
      <c r="M2" s="6"/>
      <c r="N2" s="6"/>
      <c r="O2" s="6"/>
      <c r="P2" s="6"/>
      <c r="Q2" s="6"/>
      <c r="R2" s="6"/>
      <c r="S2" s="6"/>
      <c r="T2" s="6"/>
      <c r="U2" s="6"/>
    </row>
    <row r="3" spans="1:24" ht="18.75" customHeight="1" x14ac:dyDescent="0.15">
      <c r="B3" s="17" t="s">
        <v>4</v>
      </c>
      <c r="C3" s="109" t="s">
        <v>5</v>
      </c>
      <c r="D3" s="110"/>
      <c r="E3" s="110"/>
      <c r="F3" s="110"/>
      <c r="G3" s="110"/>
      <c r="H3" s="110"/>
      <c r="I3" s="110"/>
      <c r="J3" s="111"/>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41" t="s">
        <v>6</v>
      </c>
      <c r="B5" s="141"/>
      <c r="C5" s="141"/>
      <c r="D5" s="141"/>
      <c r="E5" s="141"/>
      <c r="F5" s="141"/>
      <c r="G5" s="141"/>
      <c r="H5" s="141"/>
      <c r="I5" s="141"/>
      <c r="J5" s="141"/>
      <c r="K5" s="141"/>
      <c r="L5" s="141"/>
      <c r="M5" s="141"/>
      <c r="N5" s="141"/>
      <c r="O5" s="141"/>
      <c r="P5" s="141"/>
      <c r="Q5" s="141"/>
      <c r="R5" s="141"/>
      <c r="S5" s="141"/>
      <c r="T5" s="141"/>
      <c r="U5" s="141"/>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7</v>
      </c>
      <c r="B7" s="3"/>
      <c r="C7" s="3"/>
      <c r="D7" s="3"/>
      <c r="E7" s="3"/>
      <c r="F7" s="2"/>
      <c r="G7" s="2"/>
      <c r="H7" s="2"/>
      <c r="I7" s="2"/>
      <c r="J7" s="2"/>
      <c r="K7" s="2"/>
      <c r="L7" s="142" t="s">
        <v>8</v>
      </c>
      <c r="M7" s="143"/>
      <c r="N7" s="143"/>
      <c r="O7" s="143"/>
      <c r="P7" s="143"/>
      <c r="Q7" s="143"/>
      <c r="R7" s="143"/>
      <c r="S7" s="143"/>
      <c r="T7" s="143"/>
      <c r="U7" s="144"/>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9</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5" t="s">
        <v>185</v>
      </c>
      <c r="C11" s="146"/>
      <c r="D11" s="146"/>
      <c r="E11" s="146"/>
      <c r="F11" s="146"/>
      <c r="G11" s="146"/>
      <c r="H11" s="146"/>
      <c r="I11" s="146"/>
      <c r="J11" s="146"/>
      <c r="K11" s="146"/>
      <c r="L11" s="146"/>
      <c r="M11" s="146"/>
      <c r="N11" s="146"/>
      <c r="O11" s="146"/>
      <c r="P11" s="146"/>
      <c r="Q11" s="146"/>
      <c r="R11" s="146"/>
      <c r="S11" s="146"/>
      <c r="T11" s="146"/>
      <c r="U11" s="147"/>
    </row>
    <row r="12" spans="1:24" ht="18" customHeight="1" x14ac:dyDescent="0.15">
      <c r="B12" s="148"/>
      <c r="C12" s="149"/>
      <c r="D12" s="149"/>
      <c r="E12" s="149"/>
      <c r="F12" s="149"/>
      <c r="G12" s="149"/>
      <c r="H12" s="149"/>
      <c r="I12" s="149"/>
      <c r="J12" s="149"/>
      <c r="K12" s="149"/>
      <c r="L12" s="149"/>
      <c r="M12" s="149"/>
      <c r="N12" s="149"/>
      <c r="O12" s="149"/>
      <c r="P12" s="149"/>
      <c r="Q12" s="149"/>
      <c r="R12" s="149"/>
      <c r="S12" s="149"/>
      <c r="T12" s="149"/>
      <c r="U12" s="150"/>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10</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28" t="s">
        <v>186</v>
      </c>
      <c r="C15" s="129"/>
      <c r="D15" s="129"/>
      <c r="E15" s="129"/>
      <c r="F15" s="129"/>
      <c r="G15" s="129"/>
      <c r="H15" s="129"/>
      <c r="I15" s="129"/>
      <c r="J15" s="129"/>
      <c r="K15" s="129"/>
      <c r="L15" s="129"/>
      <c r="M15" s="129"/>
      <c r="N15" s="129"/>
      <c r="O15" s="129"/>
      <c r="P15" s="129"/>
      <c r="Q15" s="129"/>
      <c r="R15" s="129"/>
      <c r="S15" s="129"/>
      <c r="T15" s="129"/>
      <c r="U15" s="130"/>
      <c r="X15" s="1" t="s">
        <v>12</v>
      </c>
    </row>
    <row r="16" spans="1:24" ht="18" customHeight="1" x14ac:dyDescent="0.15">
      <c r="B16" s="131"/>
      <c r="C16" s="132"/>
      <c r="D16" s="132"/>
      <c r="E16" s="132"/>
      <c r="F16" s="132"/>
      <c r="G16" s="132"/>
      <c r="H16" s="132"/>
      <c r="I16" s="132"/>
      <c r="J16" s="132"/>
      <c r="K16" s="132"/>
      <c r="L16" s="132"/>
      <c r="M16" s="132"/>
      <c r="N16" s="132"/>
      <c r="O16" s="132"/>
      <c r="P16" s="132"/>
      <c r="Q16" s="132"/>
      <c r="R16" s="132"/>
      <c r="S16" s="132"/>
      <c r="T16" s="132"/>
      <c r="U16" s="133"/>
      <c r="X16" s="1" t="s">
        <v>13</v>
      </c>
    </row>
    <row r="17" spans="1:24" ht="18" customHeight="1" x14ac:dyDescent="0.15">
      <c r="B17" s="131"/>
      <c r="C17" s="132"/>
      <c r="D17" s="132"/>
      <c r="E17" s="132"/>
      <c r="F17" s="132"/>
      <c r="G17" s="132"/>
      <c r="H17" s="132"/>
      <c r="I17" s="132"/>
      <c r="J17" s="132"/>
      <c r="K17" s="132"/>
      <c r="L17" s="132"/>
      <c r="M17" s="132"/>
      <c r="N17" s="132"/>
      <c r="O17" s="132"/>
      <c r="P17" s="132"/>
      <c r="Q17" s="132"/>
      <c r="R17" s="132"/>
      <c r="S17" s="132"/>
      <c r="T17" s="132"/>
      <c r="U17" s="133"/>
      <c r="X17" s="1" t="s">
        <v>14</v>
      </c>
    </row>
    <row r="18" spans="1:24" ht="18" customHeight="1" x14ac:dyDescent="0.15">
      <c r="B18" s="131"/>
      <c r="C18" s="132"/>
      <c r="D18" s="132"/>
      <c r="E18" s="132"/>
      <c r="F18" s="132"/>
      <c r="G18" s="132"/>
      <c r="H18" s="132"/>
      <c r="I18" s="132"/>
      <c r="J18" s="132"/>
      <c r="K18" s="132"/>
      <c r="L18" s="132"/>
      <c r="M18" s="132"/>
      <c r="N18" s="132"/>
      <c r="O18" s="132"/>
      <c r="P18" s="132"/>
      <c r="Q18" s="132"/>
      <c r="R18" s="132"/>
      <c r="S18" s="132"/>
      <c r="T18" s="132"/>
      <c r="U18" s="133"/>
      <c r="X18" s="1" t="s">
        <v>15</v>
      </c>
    </row>
    <row r="19" spans="1:24" ht="18" customHeight="1" x14ac:dyDescent="0.15">
      <c r="B19" s="131"/>
      <c r="C19" s="132"/>
      <c r="D19" s="132"/>
      <c r="E19" s="132"/>
      <c r="F19" s="132"/>
      <c r="G19" s="132"/>
      <c r="H19" s="132"/>
      <c r="I19" s="132"/>
      <c r="J19" s="132"/>
      <c r="K19" s="132"/>
      <c r="L19" s="132"/>
      <c r="M19" s="132"/>
      <c r="N19" s="132"/>
      <c r="O19" s="132"/>
      <c r="P19" s="132"/>
      <c r="Q19" s="132"/>
      <c r="R19" s="132"/>
      <c r="S19" s="132"/>
      <c r="T19" s="132"/>
      <c r="U19" s="133"/>
    </row>
    <row r="20" spans="1:24" ht="18" customHeight="1" x14ac:dyDescent="0.15">
      <c r="B20" s="134"/>
      <c r="C20" s="135"/>
      <c r="D20" s="135"/>
      <c r="E20" s="135"/>
      <c r="F20" s="135"/>
      <c r="G20" s="135"/>
      <c r="H20" s="135"/>
      <c r="I20" s="135"/>
      <c r="J20" s="135"/>
      <c r="K20" s="135"/>
      <c r="L20" s="135"/>
      <c r="M20" s="135"/>
      <c r="N20" s="135"/>
      <c r="O20" s="135"/>
      <c r="P20" s="135"/>
      <c r="Q20" s="135"/>
      <c r="R20" s="135"/>
      <c r="S20" s="135"/>
      <c r="T20" s="135"/>
      <c r="U20" s="136"/>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16</v>
      </c>
      <c r="E22" s="76">
        <v>1</v>
      </c>
      <c r="F22" s="1" t="s">
        <v>17</v>
      </c>
      <c r="H22" s="19">
        <v>1</v>
      </c>
      <c r="I22" s="3" t="s">
        <v>18</v>
      </c>
      <c r="J22" s="3"/>
      <c r="K22" s="18"/>
      <c r="M22" s="18" t="s">
        <v>19</v>
      </c>
      <c r="N22" s="137" t="s">
        <v>14</v>
      </c>
      <c r="O22" s="138"/>
      <c r="P22" s="138"/>
      <c r="Q22" s="138"/>
      <c r="R22" s="138"/>
      <c r="S22" s="138"/>
      <c r="T22" s="138"/>
      <c r="U22" s="139"/>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7" t="s">
        <v>20</v>
      </c>
      <c r="B24" s="127"/>
      <c r="C24" s="127"/>
      <c r="D24" s="127"/>
      <c r="E24" s="127"/>
      <c r="F24" s="127"/>
      <c r="G24" s="127"/>
      <c r="H24" s="127"/>
      <c r="I24" s="127"/>
      <c r="J24" s="127"/>
      <c r="K24" s="127"/>
      <c r="L24" s="127"/>
      <c r="M24" s="127"/>
      <c r="N24" s="127"/>
      <c r="O24" s="127"/>
      <c r="P24" s="127"/>
      <c r="Q24" s="127"/>
      <c r="R24" s="127"/>
      <c r="S24" s="127"/>
      <c r="T24" s="127"/>
      <c r="U24" s="127"/>
    </row>
    <row r="25" spans="1:24" ht="18" customHeight="1" x14ac:dyDescent="0.15">
      <c r="A25" s="127"/>
      <c r="B25" s="127"/>
      <c r="C25" s="127"/>
      <c r="D25" s="127"/>
      <c r="E25" s="127"/>
      <c r="F25" s="127"/>
      <c r="G25" s="127"/>
      <c r="H25" s="127"/>
      <c r="I25" s="127"/>
      <c r="J25" s="127"/>
      <c r="K25" s="127"/>
      <c r="L25" s="127"/>
      <c r="M25" s="127"/>
      <c r="N25" s="127"/>
      <c r="O25" s="127"/>
      <c r="P25" s="127"/>
      <c r="Q25" s="127"/>
      <c r="R25" s="127"/>
      <c r="S25" s="127"/>
      <c r="T25" s="127"/>
      <c r="U25" s="127"/>
    </row>
    <row r="26" spans="1:24" ht="18" customHeight="1" x14ac:dyDescent="0.15">
      <c r="B26" s="109" t="s">
        <v>21</v>
      </c>
      <c r="C26" s="110"/>
      <c r="D26" s="110"/>
      <c r="E26" s="110"/>
      <c r="F26" s="111"/>
      <c r="G26" s="60" t="s">
        <v>22</v>
      </c>
      <c r="H26" s="61" t="s">
        <v>23</v>
      </c>
      <c r="I26" s="62" t="s">
        <v>24</v>
      </c>
      <c r="J26" s="62" t="s">
        <v>25</v>
      </c>
      <c r="K26" s="109" t="s">
        <v>21</v>
      </c>
      <c r="L26" s="110"/>
      <c r="M26" s="110"/>
      <c r="N26" s="110"/>
      <c r="O26" s="110"/>
      <c r="P26" s="110"/>
      <c r="Q26" s="111"/>
      <c r="R26" s="60" t="s">
        <v>22</v>
      </c>
      <c r="S26" s="61" t="s">
        <v>23</v>
      </c>
      <c r="T26" s="62" t="s">
        <v>24</v>
      </c>
      <c r="U26" s="62" t="s">
        <v>25</v>
      </c>
    </row>
    <row r="27" spans="1:24" ht="18" customHeight="1" x14ac:dyDescent="0.15">
      <c r="B27" s="118" t="s">
        <v>26</v>
      </c>
      <c r="C27" s="119"/>
      <c r="D27" s="119"/>
      <c r="E27" s="119"/>
      <c r="F27" s="120"/>
      <c r="G27" s="63">
        <v>1</v>
      </c>
      <c r="H27" s="63" t="s">
        <v>27</v>
      </c>
      <c r="I27" s="63" t="s">
        <v>27</v>
      </c>
      <c r="J27" s="63" t="s">
        <v>27</v>
      </c>
      <c r="K27" s="118"/>
      <c r="L27" s="119"/>
      <c r="M27" s="119"/>
      <c r="N27" s="119"/>
      <c r="O27" s="119"/>
      <c r="P27" s="119"/>
      <c r="Q27" s="120"/>
      <c r="R27" s="63"/>
      <c r="S27" s="63"/>
      <c r="T27" s="63"/>
      <c r="U27" s="63"/>
    </row>
    <row r="28" spans="1:24" ht="18" customHeight="1" x14ac:dyDescent="0.15">
      <c r="B28" s="112" t="s">
        <v>187</v>
      </c>
      <c r="C28" s="113"/>
      <c r="D28" s="113"/>
      <c r="E28" s="113"/>
      <c r="F28" s="114"/>
      <c r="G28" s="64">
        <v>1</v>
      </c>
      <c r="H28" s="64" t="s">
        <v>27</v>
      </c>
      <c r="I28" s="64" t="s">
        <v>27</v>
      </c>
      <c r="J28" s="64" t="s">
        <v>27</v>
      </c>
      <c r="K28" s="112"/>
      <c r="L28" s="113"/>
      <c r="M28" s="113"/>
      <c r="N28" s="113"/>
      <c r="O28" s="113"/>
      <c r="P28" s="113"/>
      <c r="Q28" s="114"/>
      <c r="R28" s="64"/>
      <c r="S28" s="64"/>
      <c r="T28" s="64"/>
      <c r="U28" s="64"/>
    </row>
    <row r="29" spans="1:24" ht="18" customHeight="1" x14ac:dyDescent="0.15">
      <c r="B29" s="112"/>
      <c r="C29" s="113"/>
      <c r="D29" s="113"/>
      <c r="E29" s="113"/>
      <c r="F29" s="114"/>
      <c r="G29" s="64"/>
      <c r="H29" s="64"/>
      <c r="I29" s="64"/>
      <c r="J29" s="64"/>
      <c r="K29" s="112"/>
      <c r="L29" s="113"/>
      <c r="M29" s="113"/>
      <c r="N29" s="113"/>
      <c r="O29" s="113"/>
      <c r="P29" s="113"/>
      <c r="Q29" s="114"/>
      <c r="R29" s="64"/>
      <c r="S29" s="64"/>
      <c r="T29" s="64"/>
      <c r="U29" s="64"/>
    </row>
    <row r="30" spans="1:24" ht="18" customHeight="1" x14ac:dyDescent="0.15">
      <c r="B30" s="112"/>
      <c r="C30" s="113"/>
      <c r="D30" s="113"/>
      <c r="E30" s="113"/>
      <c r="F30" s="114"/>
      <c r="G30" s="64"/>
      <c r="H30" s="64"/>
      <c r="I30" s="64"/>
      <c r="J30" s="64"/>
      <c r="K30" s="112"/>
      <c r="L30" s="113"/>
      <c r="M30" s="113"/>
      <c r="N30" s="113"/>
      <c r="O30" s="113"/>
      <c r="P30" s="113"/>
      <c r="Q30" s="114"/>
      <c r="R30" s="64"/>
      <c r="S30" s="64"/>
      <c r="T30" s="64"/>
      <c r="U30" s="64"/>
    </row>
    <row r="31" spans="1:24" ht="18" customHeight="1" x14ac:dyDescent="0.15">
      <c r="B31" s="112"/>
      <c r="C31" s="113"/>
      <c r="D31" s="113"/>
      <c r="E31" s="113"/>
      <c r="F31" s="114"/>
      <c r="G31" s="64"/>
      <c r="H31" s="64"/>
      <c r="I31" s="64"/>
      <c r="J31" s="64"/>
      <c r="K31" s="112"/>
      <c r="L31" s="113"/>
      <c r="M31" s="113"/>
      <c r="N31" s="113"/>
      <c r="O31" s="113"/>
      <c r="P31" s="113"/>
      <c r="Q31" s="114"/>
      <c r="R31" s="64"/>
      <c r="S31" s="64"/>
      <c r="T31" s="64"/>
      <c r="U31" s="64"/>
    </row>
    <row r="32" spans="1:24" ht="18" customHeight="1" x14ac:dyDescent="0.15">
      <c r="A32" s="3"/>
      <c r="B32" s="112"/>
      <c r="C32" s="113"/>
      <c r="D32" s="113"/>
      <c r="E32" s="113"/>
      <c r="F32" s="114"/>
      <c r="G32" s="64"/>
      <c r="H32" s="64"/>
      <c r="I32" s="64"/>
      <c r="J32" s="64"/>
      <c r="K32" s="112"/>
      <c r="L32" s="113"/>
      <c r="M32" s="113"/>
      <c r="N32" s="113"/>
      <c r="O32" s="113"/>
      <c r="P32" s="113"/>
      <c r="Q32" s="114"/>
      <c r="R32" s="64"/>
      <c r="S32" s="64"/>
      <c r="T32" s="64"/>
      <c r="U32" s="64"/>
    </row>
    <row r="33" spans="1:21" ht="18" customHeight="1" x14ac:dyDescent="0.15">
      <c r="A33" s="3"/>
      <c r="B33" s="101"/>
      <c r="C33" s="102"/>
      <c r="D33" s="102"/>
      <c r="E33" s="102"/>
      <c r="F33" s="103"/>
      <c r="G33" s="65"/>
      <c r="H33" s="65"/>
      <c r="I33" s="66"/>
      <c r="J33" s="66"/>
      <c r="K33" s="101"/>
      <c r="L33" s="102"/>
      <c r="M33" s="102"/>
      <c r="N33" s="102"/>
      <c r="O33" s="102"/>
      <c r="P33" s="102"/>
      <c r="Q33" s="103"/>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28</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9" t="s">
        <v>21</v>
      </c>
      <c r="C37" s="110"/>
      <c r="D37" s="110"/>
      <c r="E37" s="110"/>
      <c r="F37" s="111"/>
      <c r="G37" s="60" t="s">
        <v>22</v>
      </c>
      <c r="H37" s="61" t="s">
        <v>23</v>
      </c>
      <c r="I37" s="62" t="s">
        <v>29</v>
      </c>
      <c r="J37" s="62" t="s">
        <v>30</v>
      </c>
      <c r="K37" s="109" t="s">
        <v>21</v>
      </c>
      <c r="L37" s="110"/>
      <c r="M37" s="110"/>
      <c r="N37" s="110"/>
      <c r="O37" s="110"/>
      <c r="P37" s="110"/>
      <c r="Q37" s="111"/>
      <c r="R37" s="60" t="s">
        <v>22</v>
      </c>
      <c r="S37" s="61" t="s">
        <v>23</v>
      </c>
      <c r="T37" s="62" t="s">
        <v>29</v>
      </c>
      <c r="U37" s="62" t="s">
        <v>30</v>
      </c>
    </row>
    <row r="38" spans="1:21" ht="18" customHeight="1" x14ac:dyDescent="0.15">
      <c r="B38" s="118" t="s">
        <v>26</v>
      </c>
      <c r="C38" s="119"/>
      <c r="D38" s="119"/>
      <c r="E38" s="119"/>
      <c r="F38" s="120"/>
      <c r="G38" s="63">
        <v>1</v>
      </c>
      <c r="H38" s="63" t="s">
        <v>27</v>
      </c>
      <c r="I38" s="63" t="s">
        <v>27</v>
      </c>
      <c r="J38" s="63" t="s">
        <v>27</v>
      </c>
      <c r="K38" s="118"/>
      <c r="L38" s="119"/>
      <c r="M38" s="119"/>
      <c r="N38" s="119"/>
      <c r="O38" s="119"/>
      <c r="P38" s="119"/>
      <c r="Q38" s="120"/>
      <c r="R38" s="63"/>
      <c r="S38" s="63"/>
      <c r="T38" s="63"/>
      <c r="U38" s="63"/>
    </row>
    <row r="39" spans="1:21" ht="18" customHeight="1" x14ac:dyDescent="0.15">
      <c r="B39" s="112" t="s">
        <v>187</v>
      </c>
      <c r="C39" s="113"/>
      <c r="D39" s="113"/>
      <c r="E39" s="113"/>
      <c r="F39" s="114"/>
      <c r="G39" s="64">
        <v>1</v>
      </c>
      <c r="H39" s="64" t="s">
        <v>27</v>
      </c>
      <c r="I39" s="64" t="s">
        <v>27</v>
      </c>
      <c r="J39" s="64" t="s">
        <v>27</v>
      </c>
      <c r="K39" s="112"/>
      <c r="L39" s="113"/>
      <c r="M39" s="113"/>
      <c r="N39" s="113"/>
      <c r="O39" s="113"/>
      <c r="P39" s="113"/>
      <c r="Q39" s="114"/>
      <c r="R39" s="64"/>
      <c r="S39" s="64"/>
      <c r="T39" s="64"/>
      <c r="U39" s="64"/>
    </row>
    <row r="40" spans="1:21" ht="18" customHeight="1" x14ac:dyDescent="0.15">
      <c r="B40" s="112"/>
      <c r="C40" s="113"/>
      <c r="D40" s="113"/>
      <c r="E40" s="113"/>
      <c r="F40" s="114"/>
      <c r="G40" s="64"/>
      <c r="H40" s="64"/>
      <c r="I40" s="64"/>
      <c r="J40" s="64"/>
      <c r="K40" s="112"/>
      <c r="L40" s="113"/>
      <c r="M40" s="113"/>
      <c r="N40" s="113"/>
      <c r="O40" s="113"/>
      <c r="P40" s="113"/>
      <c r="Q40" s="114"/>
      <c r="R40" s="64"/>
      <c r="S40" s="64"/>
      <c r="T40" s="64"/>
      <c r="U40" s="64"/>
    </row>
    <row r="41" spans="1:21" ht="18" customHeight="1" x14ac:dyDescent="0.15">
      <c r="B41" s="112"/>
      <c r="C41" s="113"/>
      <c r="D41" s="113"/>
      <c r="E41" s="113"/>
      <c r="F41" s="114"/>
      <c r="G41" s="64"/>
      <c r="H41" s="64"/>
      <c r="I41" s="64"/>
      <c r="J41" s="64"/>
      <c r="K41" s="112"/>
      <c r="L41" s="113"/>
      <c r="M41" s="113"/>
      <c r="N41" s="113"/>
      <c r="O41" s="113"/>
      <c r="P41" s="113"/>
      <c r="Q41" s="114"/>
      <c r="R41" s="64"/>
      <c r="S41" s="64"/>
      <c r="T41" s="64"/>
      <c r="U41" s="64"/>
    </row>
    <row r="42" spans="1:21" ht="18" customHeight="1" x14ac:dyDescent="0.15">
      <c r="B42" s="112"/>
      <c r="C42" s="113"/>
      <c r="D42" s="113"/>
      <c r="E42" s="113"/>
      <c r="F42" s="114"/>
      <c r="G42" s="64"/>
      <c r="H42" s="64"/>
      <c r="I42" s="64"/>
      <c r="J42" s="64"/>
      <c r="K42" s="112"/>
      <c r="L42" s="113"/>
      <c r="M42" s="113"/>
      <c r="N42" s="113"/>
      <c r="O42" s="113"/>
      <c r="P42" s="113"/>
      <c r="Q42" s="114"/>
      <c r="R42" s="64"/>
      <c r="S42" s="64"/>
      <c r="T42" s="64"/>
      <c r="U42" s="64"/>
    </row>
    <row r="43" spans="1:21" ht="18" customHeight="1" x14ac:dyDescent="0.15">
      <c r="B43" s="112"/>
      <c r="C43" s="113"/>
      <c r="D43" s="113"/>
      <c r="E43" s="113"/>
      <c r="F43" s="114"/>
      <c r="G43" s="64"/>
      <c r="H43" s="64"/>
      <c r="I43" s="64"/>
      <c r="J43" s="64"/>
      <c r="K43" s="112"/>
      <c r="L43" s="113"/>
      <c r="M43" s="113"/>
      <c r="N43" s="113"/>
      <c r="O43" s="113"/>
      <c r="P43" s="113"/>
      <c r="Q43" s="114"/>
      <c r="R43" s="64"/>
      <c r="S43" s="64"/>
      <c r="T43" s="64"/>
      <c r="U43" s="64"/>
    </row>
    <row r="44" spans="1:21" ht="18" customHeight="1" x14ac:dyDescent="0.15">
      <c r="B44" s="101"/>
      <c r="C44" s="102"/>
      <c r="D44" s="102"/>
      <c r="E44" s="102"/>
      <c r="F44" s="103"/>
      <c r="G44" s="65"/>
      <c r="H44" s="65"/>
      <c r="I44" s="66"/>
      <c r="J44" s="66"/>
      <c r="K44" s="101"/>
      <c r="L44" s="102"/>
      <c r="M44" s="102"/>
      <c r="N44" s="102"/>
      <c r="O44" s="102"/>
      <c r="P44" s="102"/>
      <c r="Q44" s="103"/>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31</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9" t="s">
        <v>21</v>
      </c>
      <c r="C48" s="110"/>
      <c r="D48" s="110"/>
      <c r="E48" s="110"/>
      <c r="F48" s="111"/>
      <c r="G48" s="60" t="s">
        <v>22</v>
      </c>
      <c r="H48" s="61" t="s">
        <v>23</v>
      </c>
      <c r="I48" s="62" t="s">
        <v>32</v>
      </c>
      <c r="J48" s="62" t="s">
        <v>33</v>
      </c>
      <c r="K48" s="109" t="s">
        <v>21</v>
      </c>
      <c r="L48" s="110"/>
      <c r="M48" s="110"/>
      <c r="N48" s="110"/>
      <c r="O48" s="110"/>
      <c r="P48" s="110"/>
      <c r="Q48" s="111"/>
      <c r="R48" s="60" t="s">
        <v>22</v>
      </c>
      <c r="S48" s="61" t="s">
        <v>23</v>
      </c>
      <c r="T48" s="62" t="s">
        <v>32</v>
      </c>
      <c r="U48" s="62" t="s">
        <v>33</v>
      </c>
    </row>
    <row r="49" spans="1:21" ht="18" customHeight="1" x14ac:dyDescent="0.15">
      <c r="A49" s="3"/>
      <c r="B49" s="118" t="s">
        <v>26</v>
      </c>
      <c r="C49" s="119"/>
      <c r="D49" s="119"/>
      <c r="E49" s="119"/>
      <c r="F49" s="120"/>
      <c r="G49" s="63">
        <v>1</v>
      </c>
      <c r="H49" s="63" t="s">
        <v>27</v>
      </c>
      <c r="I49" s="63" t="s">
        <v>27</v>
      </c>
      <c r="J49" s="63" t="s">
        <v>27</v>
      </c>
      <c r="K49" s="118"/>
      <c r="L49" s="119"/>
      <c r="M49" s="119"/>
      <c r="N49" s="119"/>
      <c r="O49" s="119"/>
      <c r="P49" s="119"/>
      <c r="Q49" s="120"/>
      <c r="R49" s="63"/>
      <c r="S49" s="63"/>
      <c r="T49" s="63"/>
      <c r="U49" s="63"/>
    </row>
    <row r="50" spans="1:21" ht="18" customHeight="1" x14ac:dyDescent="0.15">
      <c r="A50" s="3"/>
      <c r="B50" s="112" t="s">
        <v>187</v>
      </c>
      <c r="C50" s="113"/>
      <c r="D50" s="113"/>
      <c r="E50" s="113"/>
      <c r="F50" s="114"/>
      <c r="G50" s="64">
        <v>1</v>
      </c>
      <c r="H50" s="64" t="s">
        <v>27</v>
      </c>
      <c r="I50" s="64" t="s">
        <v>27</v>
      </c>
      <c r="J50" s="64" t="s">
        <v>27</v>
      </c>
      <c r="K50" s="112"/>
      <c r="L50" s="113"/>
      <c r="M50" s="113"/>
      <c r="N50" s="113"/>
      <c r="O50" s="113"/>
      <c r="P50" s="113"/>
      <c r="Q50" s="114"/>
      <c r="R50" s="64"/>
      <c r="S50" s="64"/>
      <c r="T50" s="64"/>
      <c r="U50" s="64"/>
    </row>
    <row r="51" spans="1:21" ht="18" customHeight="1" x14ac:dyDescent="0.15">
      <c r="A51" s="3"/>
      <c r="B51" s="112"/>
      <c r="C51" s="113"/>
      <c r="D51" s="113"/>
      <c r="E51" s="113"/>
      <c r="F51" s="114"/>
      <c r="G51" s="64"/>
      <c r="H51" s="64"/>
      <c r="I51" s="64"/>
      <c r="J51" s="64"/>
      <c r="K51" s="112"/>
      <c r="L51" s="113"/>
      <c r="M51" s="113"/>
      <c r="N51" s="113"/>
      <c r="O51" s="113"/>
      <c r="P51" s="113"/>
      <c r="Q51" s="114"/>
      <c r="R51" s="64"/>
      <c r="S51" s="64"/>
      <c r="T51" s="64"/>
      <c r="U51" s="64"/>
    </row>
    <row r="52" spans="1:21" ht="18" customHeight="1" x14ac:dyDescent="0.15">
      <c r="A52" s="3"/>
      <c r="B52" s="112"/>
      <c r="C52" s="113"/>
      <c r="D52" s="113"/>
      <c r="E52" s="113"/>
      <c r="F52" s="114"/>
      <c r="G52" s="64"/>
      <c r="H52" s="64"/>
      <c r="I52" s="64"/>
      <c r="J52" s="64"/>
      <c r="K52" s="112"/>
      <c r="L52" s="113"/>
      <c r="M52" s="113"/>
      <c r="N52" s="113"/>
      <c r="O52" s="113"/>
      <c r="P52" s="113"/>
      <c r="Q52" s="114"/>
      <c r="R52" s="64"/>
      <c r="S52" s="64"/>
      <c r="T52" s="64"/>
      <c r="U52" s="64"/>
    </row>
    <row r="53" spans="1:21" ht="18" customHeight="1" x14ac:dyDescent="0.15">
      <c r="A53" s="3"/>
      <c r="B53" s="112"/>
      <c r="C53" s="113"/>
      <c r="D53" s="113"/>
      <c r="E53" s="113"/>
      <c r="F53" s="114"/>
      <c r="G53" s="64"/>
      <c r="H53" s="64"/>
      <c r="I53" s="64"/>
      <c r="J53" s="64"/>
      <c r="K53" s="112"/>
      <c r="L53" s="113"/>
      <c r="M53" s="113"/>
      <c r="N53" s="113"/>
      <c r="O53" s="113"/>
      <c r="P53" s="113"/>
      <c r="Q53" s="114"/>
      <c r="R53" s="64"/>
      <c r="S53" s="64"/>
      <c r="T53" s="64"/>
      <c r="U53" s="64"/>
    </row>
    <row r="54" spans="1:21" ht="18" customHeight="1" x14ac:dyDescent="0.15">
      <c r="A54" s="3"/>
      <c r="B54" s="112"/>
      <c r="C54" s="113"/>
      <c r="D54" s="113"/>
      <c r="E54" s="113"/>
      <c r="F54" s="114"/>
      <c r="G54" s="64"/>
      <c r="H54" s="64"/>
      <c r="I54" s="64"/>
      <c r="J54" s="64"/>
      <c r="K54" s="112"/>
      <c r="L54" s="113"/>
      <c r="M54" s="113"/>
      <c r="N54" s="113"/>
      <c r="O54" s="113"/>
      <c r="P54" s="113"/>
      <c r="Q54" s="114"/>
      <c r="R54" s="64"/>
      <c r="S54" s="64"/>
      <c r="T54" s="64"/>
      <c r="U54" s="64"/>
    </row>
    <row r="55" spans="1:21" ht="18" customHeight="1" x14ac:dyDescent="0.15">
      <c r="A55" s="3"/>
      <c r="B55" s="101"/>
      <c r="C55" s="102"/>
      <c r="D55" s="102"/>
      <c r="E55" s="102"/>
      <c r="F55" s="103"/>
      <c r="G55" s="65"/>
      <c r="H55" s="65"/>
      <c r="I55" s="66"/>
      <c r="J55" s="66"/>
      <c r="K55" s="101"/>
      <c r="L55" s="102"/>
      <c r="M55" s="102"/>
      <c r="N55" s="102"/>
      <c r="O55" s="102"/>
      <c r="P55" s="102"/>
      <c r="Q55" s="103"/>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34</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9" t="s">
        <v>21</v>
      </c>
      <c r="C59" s="110"/>
      <c r="D59" s="110"/>
      <c r="E59" s="110"/>
      <c r="F59" s="111"/>
      <c r="G59" s="60" t="s">
        <v>22</v>
      </c>
      <c r="H59" s="61" t="s">
        <v>23</v>
      </c>
      <c r="I59" s="62" t="s">
        <v>35</v>
      </c>
      <c r="J59" s="62" t="s">
        <v>36</v>
      </c>
      <c r="K59" s="109" t="s">
        <v>21</v>
      </c>
      <c r="L59" s="110"/>
      <c r="M59" s="110"/>
      <c r="N59" s="110"/>
      <c r="O59" s="110"/>
      <c r="P59" s="110"/>
      <c r="Q59" s="111"/>
      <c r="R59" s="60" t="s">
        <v>22</v>
      </c>
      <c r="S59" s="61" t="s">
        <v>23</v>
      </c>
      <c r="T59" s="62" t="s">
        <v>35</v>
      </c>
      <c r="U59" s="62" t="s">
        <v>36</v>
      </c>
    </row>
    <row r="60" spans="1:21" ht="18" customHeight="1" x14ac:dyDescent="0.15">
      <c r="A60" s="3"/>
      <c r="B60" s="118" t="s">
        <v>26</v>
      </c>
      <c r="C60" s="119"/>
      <c r="D60" s="119"/>
      <c r="E60" s="119"/>
      <c r="F60" s="120"/>
      <c r="G60" s="63">
        <v>1</v>
      </c>
      <c r="H60" s="63" t="s">
        <v>27</v>
      </c>
      <c r="I60" s="63" t="s">
        <v>27</v>
      </c>
      <c r="J60" s="63" t="s">
        <v>27</v>
      </c>
      <c r="K60" s="118"/>
      <c r="L60" s="119"/>
      <c r="M60" s="119"/>
      <c r="N60" s="119"/>
      <c r="O60" s="119"/>
      <c r="P60" s="119"/>
      <c r="Q60" s="120"/>
      <c r="R60" s="63"/>
      <c r="S60" s="63"/>
      <c r="T60" s="63"/>
      <c r="U60" s="63"/>
    </row>
    <row r="61" spans="1:21" ht="18" customHeight="1" x14ac:dyDescent="0.15">
      <c r="A61" s="3"/>
      <c r="B61" s="112" t="s">
        <v>188</v>
      </c>
      <c r="C61" s="113"/>
      <c r="D61" s="113"/>
      <c r="E61" s="113"/>
      <c r="F61" s="114"/>
      <c r="G61" s="64">
        <v>1</v>
      </c>
      <c r="H61" s="64" t="s">
        <v>27</v>
      </c>
      <c r="I61" s="64" t="s">
        <v>27</v>
      </c>
      <c r="J61" s="64" t="s">
        <v>27</v>
      </c>
      <c r="K61" s="112"/>
      <c r="L61" s="113"/>
      <c r="M61" s="113"/>
      <c r="N61" s="113"/>
      <c r="O61" s="113"/>
      <c r="P61" s="113"/>
      <c r="Q61" s="114"/>
      <c r="R61" s="64"/>
      <c r="S61" s="64"/>
      <c r="T61" s="64"/>
      <c r="U61" s="64"/>
    </row>
    <row r="62" spans="1:21" ht="18" customHeight="1" x14ac:dyDescent="0.15">
      <c r="A62" s="3"/>
      <c r="B62" s="112"/>
      <c r="C62" s="113"/>
      <c r="D62" s="113"/>
      <c r="E62" s="113"/>
      <c r="F62" s="114"/>
      <c r="G62" s="64"/>
      <c r="H62" s="64"/>
      <c r="I62" s="64"/>
      <c r="J62" s="64"/>
      <c r="K62" s="112"/>
      <c r="L62" s="113"/>
      <c r="M62" s="113"/>
      <c r="N62" s="113"/>
      <c r="O62" s="113"/>
      <c r="P62" s="113"/>
      <c r="Q62" s="114"/>
      <c r="R62" s="64"/>
      <c r="S62" s="64"/>
      <c r="T62" s="64"/>
      <c r="U62" s="64"/>
    </row>
    <row r="63" spans="1:21" ht="18" customHeight="1" x14ac:dyDescent="0.15">
      <c r="A63" s="3"/>
      <c r="B63" s="112"/>
      <c r="C63" s="113"/>
      <c r="D63" s="113"/>
      <c r="E63" s="113"/>
      <c r="F63" s="114"/>
      <c r="G63" s="64"/>
      <c r="H63" s="64"/>
      <c r="I63" s="64"/>
      <c r="J63" s="64"/>
      <c r="K63" s="112"/>
      <c r="L63" s="113"/>
      <c r="M63" s="113"/>
      <c r="N63" s="113"/>
      <c r="O63" s="113"/>
      <c r="P63" s="113"/>
      <c r="Q63" s="114"/>
      <c r="R63" s="64"/>
      <c r="S63" s="64"/>
      <c r="T63" s="64"/>
      <c r="U63" s="64"/>
    </row>
    <row r="64" spans="1:21" ht="18" customHeight="1" x14ac:dyDescent="0.15">
      <c r="A64" s="3"/>
      <c r="B64" s="112"/>
      <c r="C64" s="113"/>
      <c r="D64" s="113"/>
      <c r="E64" s="113"/>
      <c r="F64" s="114"/>
      <c r="G64" s="64"/>
      <c r="H64" s="64"/>
      <c r="I64" s="64"/>
      <c r="J64" s="64"/>
      <c r="K64" s="112"/>
      <c r="L64" s="113"/>
      <c r="M64" s="113"/>
      <c r="N64" s="113"/>
      <c r="O64" s="113"/>
      <c r="P64" s="113"/>
      <c r="Q64" s="114"/>
      <c r="R64" s="64"/>
      <c r="S64" s="64"/>
      <c r="T64" s="64"/>
      <c r="U64" s="64"/>
    </row>
    <row r="65" spans="1:27" ht="18" customHeight="1" x14ac:dyDescent="0.15">
      <c r="A65" s="3"/>
      <c r="B65" s="112"/>
      <c r="C65" s="113"/>
      <c r="D65" s="113"/>
      <c r="E65" s="113"/>
      <c r="F65" s="114"/>
      <c r="G65" s="64"/>
      <c r="H65" s="64"/>
      <c r="I65" s="64"/>
      <c r="J65" s="64"/>
      <c r="K65" s="112"/>
      <c r="L65" s="113"/>
      <c r="M65" s="113"/>
      <c r="N65" s="113"/>
      <c r="O65" s="113"/>
      <c r="P65" s="113"/>
      <c r="Q65" s="114"/>
      <c r="R65" s="64"/>
      <c r="S65" s="64"/>
      <c r="T65" s="64"/>
      <c r="U65" s="64"/>
    </row>
    <row r="66" spans="1:27" ht="18" customHeight="1" x14ac:dyDescent="0.15">
      <c r="A66" s="3"/>
      <c r="B66" s="101"/>
      <c r="C66" s="102"/>
      <c r="D66" s="102"/>
      <c r="E66" s="102"/>
      <c r="F66" s="103"/>
      <c r="G66" s="65"/>
      <c r="H66" s="65"/>
      <c r="I66" s="66"/>
      <c r="J66" s="66"/>
      <c r="K66" s="101"/>
      <c r="L66" s="102"/>
      <c r="M66" s="102"/>
      <c r="N66" s="102"/>
      <c r="O66" s="102"/>
      <c r="P66" s="102"/>
      <c r="Q66" s="103"/>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27" t="s">
        <v>37</v>
      </c>
      <c r="B68" s="127"/>
      <c r="C68" s="127"/>
      <c r="D68" s="127"/>
      <c r="E68" s="127"/>
      <c r="F68" s="127"/>
      <c r="G68" s="127"/>
      <c r="H68" s="127"/>
      <c r="I68" s="127"/>
      <c r="J68" s="127"/>
      <c r="K68" s="127"/>
      <c r="L68" s="127"/>
      <c r="M68" s="127"/>
      <c r="N68" s="127"/>
      <c r="O68" s="127"/>
      <c r="P68" s="127"/>
      <c r="Q68" s="127"/>
      <c r="R68" s="127"/>
      <c r="S68" s="127"/>
      <c r="T68" s="127"/>
      <c r="U68" s="127"/>
    </row>
    <row r="69" spans="1:27"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7" ht="18" customHeight="1" x14ac:dyDescent="0.15">
      <c r="B70" s="109" t="s">
        <v>21</v>
      </c>
      <c r="C70" s="110"/>
      <c r="D70" s="110"/>
      <c r="E70" s="110"/>
      <c r="F70" s="60" t="s">
        <v>22</v>
      </c>
      <c r="G70" s="61" t="s">
        <v>23</v>
      </c>
      <c r="H70" s="62" t="s">
        <v>38</v>
      </c>
      <c r="I70" s="62" t="s">
        <v>39</v>
      </c>
      <c r="J70" s="62" t="s">
        <v>40</v>
      </c>
      <c r="K70" s="109" t="s">
        <v>21</v>
      </c>
      <c r="L70" s="110"/>
      <c r="M70" s="110"/>
      <c r="N70" s="110"/>
      <c r="O70" s="110"/>
      <c r="P70" s="111"/>
      <c r="Q70" s="60" t="s">
        <v>22</v>
      </c>
      <c r="R70" s="61" t="s">
        <v>23</v>
      </c>
      <c r="S70" s="62" t="s">
        <v>38</v>
      </c>
      <c r="T70" s="62" t="s">
        <v>39</v>
      </c>
      <c r="U70" s="62" t="s">
        <v>40</v>
      </c>
    </row>
    <row r="71" spans="1:27" ht="18" customHeight="1" x14ac:dyDescent="0.15">
      <c r="A71" s="3"/>
      <c r="B71" s="118" t="s">
        <v>26</v>
      </c>
      <c r="C71" s="119"/>
      <c r="D71" s="119"/>
      <c r="E71" s="119"/>
      <c r="F71" s="63">
        <v>1</v>
      </c>
      <c r="G71" s="63" t="s">
        <v>27</v>
      </c>
      <c r="H71" s="63" t="s">
        <v>78</v>
      </c>
      <c r="I71" s="63" t="s">
        <v>27</v>
      </c>
      <c r="J71" s="63" t="s">
        <v>27</v>
      </c>
      <c r="K71" s="118"/>
      <c r="L71" s="119"/>
      <c r="M71" s="119"/>
      <c r="N71" s="119"/>
      <c r="O71" s="119"/>
      <c r="P71" s="120"/>
      <c r="Q71" s="63"/>
      <c r="R71" s="63"/>
      <c r="S71" s="63"/>
      <c r="T71" s="63"/>
      <c r="U71" s="63"/>
    </row>
    <row r="72" spans="1:27" ht="18" customHeight="1" x14ac:dyDescent="0.15">
      <c r="A72" s="3"/>
      <c r="B72" s="112" t="s">
        <v>188</v>
      </c>
      <c r="C72" s="113"/>
      <c r="D72" s="113"/>
      <c r="E72" s="113"/>
      <c r="F72" s="64">
        <v>1</v>
      </c>
      <c r="G72" s="64" t="s">
        <v>27</v>
      </c>
      <c r="H72" s="64" t="s">
        <v>27</v>
      </c>
      <c r="I72" s="64" t="s">
        <v>27</v>
      </c>
      <c r="J72" s="64" t="s">
        <v>27</v>
      </c>
      <c r="K72" s="112"/>
      <c r="L72" s="113"/>
      <c r="M72" s="113"/>
      <c r="N72" s="113"/>
      <c r="O72" s="113"/>
      <c r="P72" s="114"/>
      <c r="Q72" s="64"/>
      <c r="R72" s="64"/>
      <c r="S72" s="64"/>
      <c r="T72" s="64"/>
      <c r="U72" s="64"/>
    </row>
    <row r="73" spans="1:27" ht="18" customHeight="1" x14ac:dyDescent="0.15">
      <c r="A73" s="3"/>
      <c r="B73" s="112"/>
      <c r="C73" s="113"/>
      <c r="D73" s="113"/>
      <c r="E73" s="113"/>
      <c r="F73" s="64"/>
      <c r="G73" s="64"/>
      <c r="H73" s="64"/>
      <c r="I73" s="64"/>
      <c r="J73" s="64"/>
      <c r="K73" s="112"/>
      <c r="L73" s="113"/>
      <c r="M73" s="113"/>
      <c r="N73" s="113"/>
      <c r="O73" s="113"/>
      <c r="P73" s="114"/>
      <c r="Q73" s="64"/>
      <c r="R73" s="64"/>
      <c r="S73" s="64"/>
      <c r="T73" s="64"/>
      <c r="U73" s="64"/>
    </row>
    <row r="74" spans="1:27" ht="18" customHeight="1" x14ac:dyDescent="0.15">
      <c r="A74" s="3"/>
      <c r="B74" s="112"/>
      <c r="C74" s="113"/>
      <c r="D74" s="113"/>
      <c r="E74" s="113"/>
      <c r="F74" s="64"/>
      <c r="G74" s="64"/>
      <c r="H74" s="64"/>
      <c r="I74" s="64"/>
      <c r="J74" s="64"/>
      <c r="K74" s="112"/>
      <c r="L74" s="113"/>
      <c r="M74" s="113"/>
      <c r="N74" s="113"/>
      <c r="O74" s="113"/>
      <c r="P74" s="114"/>
      <c r="Q74" s="64"/>
      <c r="R74" s="64"/>
      <c r="S74" s="64"/>
      <c r="T74" s="64"/>
      <c r="U74" s="64"/>
    </row>
    <row r="75" spans="1:27" ht="18" customHeight="1" x14ac:dyDescent="0.15">
      <c r="A75" s="3"/>
      <c r="B75" s="112"/>
      <c r="C75" s="113"/>
      <c r="D75" s="113"/>
      <c r="E75" s="113"/>
      <c r="F75" s="64"/>
      <c r="G75" s="64"/>
      <c r="H75" s="64"/>
      <c r="I75" s="64"/>
      <c r="J75" s="64"/>
      <c r="K75" s="112"/>
      <c r="L75" s="113"/>
      <c r="M75" s="113"/>
      <c r="N75" s="113"/>
      <c r="O75" s="113"/>
      <c r="P75" s="114"/>
      <c r="Q75" s="64"/>
      <c r="R75" s="64"/>
      <c r="S75" s="64"/>
      <c r="T75" s="64"/>
      <c r="U75" s="64"/>
    </row>
    <row r="76" spans="1:27" ht="18" customHeight="1" x14ac:dyDescent="0.15">
      <c r="A76" s="3"/>
      <c r="B76" s="112"/>
      <c r="C76" s="113"/>
      <c r="D76" s="113"/>
      <c r="E76" s="113"/>
      <c r="F76" s="64"/>
      <c r="G76" s="64"/>
      <c r="H76" s="64"/>
      <c r="I76" s="64"/>
      <c r="J76" s="64"/>
      <c r="K76" s="112"/>
      <c r="L76" s="113"/>
      <c r="M76" s="113"/>
      <c r="N76" s="113"/>
      <c r="O76" s="113"/>
      <c r="P76" s="114"/>
      <c r="Q76" s="64"/>
      <c r="R76" s="64"/>
      <c r="S76" s="64"/>
      <c r="T76" s="64"/>
      <c r="U76" s="64"/>
    </row>
    <row r="77" spans="1:27" ht="18" customHeight="1" x14ac:dyDescent="0.15">
      <c r="A77" s="3"/>
      <c r="B77" s="101"/>
      <c r="C77" s="102"/>
      <c r="D77" s="102"/>
      <c r="E77" s="102"/>
      <c r="F77" s="65"/>
      <c r="G77" s="65"/>
      <c r="H77" s="66"/>
      <c r="I77" s="66"/>
      <c r="J77" s="66"/>
      <c r="K77" s="101"/>
      <c r="L77" s="102"/>
      <c r="M77" s="102"/>
      <c r="N77" s="102"/>
      <c r="O77" s="102"/>
      <c r="P77" s="103"/>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41</v>
      </c>
      <c r="I79" s="3"/>
      <c r="J79" s="3"/>
      <c r="K79" s="3"/>
      <c r="L79" s="3"/>
      <c r="M79" s="3"/>
      <c r="N79" s="3"/>
      <c r="O79" s="3"/>
      <c r="P79" s="3"/>
      <c r="Q79" s="3"/>
      <c r="R79" s="3"/>
      <c r="S79" s="3"/>
      <c r="T79" s="3"/>
      <c r="U79" s="3"/>
    </row>
    <row r="80" spans="1:27" ht="18" customHeight="1" x14ac:dyDescent="0.15">
      <c r="B80" s="109" t="s">
        <v>21</v>
      </c>
      <c r="C80" s="110"/>
      <c r="D80" s="110"/>
      <c r="E80" s="110"/>
      <c r="F80" s="111"/>
      <c r="G80" s="109" t="s">
        <v>42</v>
      </c>
      <c r="H80" s="110"/>
      <c r="I80" s="110"/>
      <c r="J80" s="111"/>
      <c r="K80" s="124" t="s">
        <v>21</v>
      </c>
      <c r="L80" s="125"/>
      <c r="M80" s="125"/>
      <c r="N80" s="125"/>
      <c r="O80" s="125"/>
      <c r="P80" s="125"/>
      <c r="Q80" s="126"/>
      <c r="R80" s="109" t="s">
        <v>42</v>
      </c>
      <c r="S80" s="110"/>
      <c r="T80" s="110"/>
      <c r="U80" s="111"/>
      <c r="AA80" s="1" t="s">
        <v>43</v>
      </c>
    </row>
    <row r="81" spans="1:27" ht="18" customHeight="1" x14ac:dyDescent="0.15">
      <c r="A81" s="3"/>
      <c r="B81" s="118"/>
      <c r="C81" s="119"/>
      <c r="D81" s="119"/>
      <c r="E81" s="119"/>
      <c r="F81" s="120"/>
      <c r="G81" s="121"/>
      <c r="H81" s="122"/>
      <c r="I81" s="122"/>
      <c r="J81" s="123"/>
      <c r="K81" s="118"/>
      <c r="L81" s="119"/>
      <c r="M81" s="119"/>
      <c r="N81" s="119"/>
      <c r="O81" s="119"/>
      <c r="P81" s="119"/>
      <c r="Q81" s="120"/>
      <c r="R81" s="121"/>
      <c r="S81" s="122"/>
      <c r="T81" s="122"/>
      <c r="U81" s="123"/>
      <c r="AA81" s="1" t="s">
        <v>44</v>
      </c>
    </row>
    <row r="82" spans="1:27" ht="18" customHeight="1" x14ac:dyDescent="0.15">
      <c r="A82" s="3"/>
      <c r="B82" s="112"/>
      <c r="C82" s="113"/>
      <c r="D82" s="113"/>
      <c r="E82" s="113"/>
      <c r="F82" s="114"/>
      <c r="G82" s="115"/>
      <c r="H82" s="116"/>
      <c r="I82" s="116"/>
      <c r="J82" s="117"/>
      <c r="K82" s="112"/>
      <c r="L82" s="113"/>
      <c r="M82" s="113"/>
      <c r="N82" s="113"/>
      <c r="O82" s="113"/>
      <c r="P82" s="113"/>
      <c r="Q82" s="114"/>
      <c r="R82" s="115"/>
      <c r="S82" s="116"/>
      <c r="T82" s="116"/>
      <c r="U82" s="117"/>
      <c r="AA82" s="1" t="s">
        <v>45</v>
      </c>
    </row>
    <row r="83" spans="1:27" ht="18" customHeight="1" x14ac:dyDescent="0.15">
      <c r="A83" s="3"/>
      <c r="B83" s="112"/>
      <c r="C83" s="113"/>
      <c r="D83" s="113"/>
      <c r="E83" s="113"/>
      <c r="F83" s="114"/>
      <c r="G83" s="115"/>
      <c r="H83" s="116"/>
      <c r="I83" s="116"/>
      <c r="J83" s="117"/>
      <c r="K83" s="112"/>
      <c r="L83" s="113"/>
      <c r="M83" s="113"/>
      <c r="N83" s="113"/>
      <c r="O83" s="113"/>
      <c r="P83" s="113"/>
      <c r="Q83" s="114"/>
      <c r="R83" s="115"/>
      <c r="S83" s="116"/>
      <c r="T83" s="116"/>
      <c r="U83" s="117"/>
      <c r="AA83" s="1" t="s">
        <v>46</v>
      </c>
    </row>
    <row r="84" spans="1:27" ht="18" customHeight="1" x14ac:dyDescent="0.15">
      <c r="A84" s="3"/>
      <c r="B84" s="112"/>
      <c r="C84" s="113"/>
      <c r="D84" s="113"/>
      <c r="E84" s="113"/>
      <c r="F84" s="114"/>
      <c r="G84" s="115"/>
      <c r="H84" s="116"/>
      <c r="I84" s="116"/>
      <c r="J84" s="117"/>
      <c r="K84" s="112"/>
      <c r="L84" s="113"/>
      <c r="M84" s="113"/>
      <c r="N84" s="113"/>
      <c r="O84" s="113"/>
      <c r="P84" s="113"/>
      <c r="Q84" s="114"/>
      <c r="R84" s="115"/>
      <c r="S84" s="116"/>
      <c r="T84" s="116"/>
      <c r="U84" s="117"/>
      <c r="AA84" s="1" t="s">
        <v>47</v>
      </c>
    </row>
    <row r="85" spans="1:27" ht="18" customHeight="1" x14ac:dyDescent="0.15">
      <c r="A85" s="3"/>
      <c r="B85" s="112"/>
      <c r="C85" s="113"/>
      <c r="D85" s="113"/>
      <c r="E85" s="113"/>
      <c r="F85" s="114"/>
      <c r="G85" s="115"/>
      <c r="H85" s="116"/>
      <c r="I85" s="116"/>
      <c r="J85" s="117"/>
      <c r="K85" s="112"/>
      <c r="L85" s="113"/>
      <c r="M85" s="113"/>
      <c r="N85" s="113"/>
      <c r="O85" s="113"/>
      <c r="P85" s="113"/>
      <c r="Q85" s="114"/>
      <c r="R85" s="115"/>
      <c r="S85" s="116"/>
      <c r="T85" s="116"/>
      <c r="U85" s="117"/>
      <c r="AA85" s="1" t="s">
        <v>48</v>
      </c>
    </row>
    <row r="86" spans="1:27" ht="18" customHeight="1" x14ac:dyDescent="0.15">
      <c r="A86" s="3"/>
      <c r="B86" s="112"/>
      <c r="C86" s="113"/>
      <c r="D86" s="113"/>
      <c r="E86" s="113"/>
      <c r="F86" s="114"/>
      <c r="G86" s="115"/>
      <c r="H86" s="116"/>
      <c r="I86" s="116"/>
      <c r="J86" s="117"/>
      <c r="K86" s="112"/>
      <c r="L86" s="113"/>
      <c r="M86" s="113"/>
      <c r="N86" s="113"/>
      <c r="O86" s="113"/>
      <c r="P86" s="113"/>
      <c r="Q86" s="114"/>
      <c r="R86" s="115"/>
      <c r="S86" s="116"/>
      <c r="T86" s="116"/>
      <c r="U86" s="117"/>
      <c r="AA86" s="1" t="s">
        <v>49</v>
      </c>
    </row>
    <row r="87" spans="1:27" ht="18" customHeight="1" x14ac:dyDescent="0.15">
      <c r="A87" s="3"/>
      <c r="B87" s="101"/>
      <c r="C87" s="102"/>
      <c r="D87" s="102"/>
      <c r="E87" s="102"/>
      <c r="F87" s="103"/>
      <c r="G87" s="104"/>
      <c r="H87" s="105"/>
      <c r="I87" s="105"/>
      <c r="J87" s="106"/>
      <c r="K87" s="101"/>
      <c r="L87" s="102"/>
      <c r="M87" s="102"/>
      <c r="N87" s="102"/>
      <c r="O87" s="102"/>
      <c r="P87" s="102"/>
      <c r="Q87" s="103"/>
      <c r="R87" s="104"/>
      <c r="S87" s="105"/>
      <c r="T87" s="105"/>
      <c r="U87" s="106"/>
      <c r="AA87" s="1" t="s">
        <v>50</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51</v>
      </c>
    </row>
    <row r="89" spans="1:27" ht="18.75" customHeight="1" x14ac:dyDescent="0.15">
      <c r="A89" s="1" t="s">
        <v>52</v>
      </c>
      <c r="AA89" s="1" t="s">
        <v>53</v>
      </c>
    </row>
    <row r="90" spans="1:27" ht="18.75" customHeight="1" x14ac:dyDescent="0.15">
      <c r="B90" s="107" t="s">
        <v>54</v>
      </c>
      <c r="C90" s="108"/>
      <c r="D90" s="109" t="s">
        <v>55</v>
      </c>
      <c r="E90" s="110"/>
      <c r="F90" s="110"/>
      <c r="G90" s="110"/>
      <c r="H90" s="110"/>
      <c r="I90" s="110"/>
      <c r="J90" s="110"/>
      <c r="K90" s="110"/>
      <c r="L90" s="110"/>
      <c r="M90" s="110"/>
      <c r="N90" s="110"/>
      <c r="O90" s="110"/>
      <c r="P90" s="110"/>
      <c r="Q90" s="110"/>
      <c r="R90" s="110"/>
      <c r="S90" s="110"/>
      <c r="T90" s="110"/>
      <c r="U90" s="111"/>
    </row>
    <row r="91" spans="1:27" ht="97.5" customHeight="1" x14ac:dyDescent="0.15">
      <c r="B91" s="84" t="s">
        <v>56</v>
      </c>
      <c r="C91" s="68" t="s">
        <v>24</v>
      </c>
      <c r="D91" s="87" t="s">
        <v>193</v>
      </c>
      <c r="E91" s="88"/>
      <c r="F91" s="88"/>
      <c r="G91" s="88"/>
      <c r="H91" s="88"/>
      <c r="I91" s="88"/>
      <c r="J91" s="88"/>
      <c r="K91" s="88"/>
      <c r="L91" s="88"/>
      <c r="M91" s="88"/>
      <c r="N91" s="88"/>
      <c r="O91" s="88"/>
      <c r="P91" s="88"/>
      <c r="Q91" s="88"/>
      <c r="R91" s="88"/>
      <c r="S91" s="88"/>
      <c r="T91" s="88"/>
      <c r="U91" s="89"/>
    </row>
    <row r="92" spans="1:27" ht="97.5" customHeight="1" x14ac:dyDescent="0.15">
      <c r="B92" s="85"/>
      <c r="C92" s="69" t="s">
        <v>58</v>
      </c>
      <c r="D92" s="100" t="s">
        <v>194</v>
      </c>
      <c r="E92" s="94"/>
      <c r="F92" s="94"/>
      <c r="G92" s="94"/>
      <c r="H92" s="94"/>
      <c r="I92" s="94"/>
      <c r="J92" s="94"/>
      <c r="K92" s="94"/>
      <c r="L92" s="94"/>
      <c r="M92" s="94"/>
      <c r="N92" s="94"/>
      <c r="O92" s="94"/>
      <c r="P92" s="94"/>
      <c r="Q92" s="94"/>
      <c r="R92" s="94"/>
      <c r="S92" s="94"/>
      <c r="T92" s="94"/>
      <c r="U92" s="95"/>
    </row>
    <row r="93" spans="1:27" ht="97.5" customHeight="1" x14ac:dyDescent="0.15">
      <c r="B93" s="84" t="s">
        <v>60</v>
      </c>
      <c r="C93" s="70" t="s">
        <v>29</v>
      </c>
      <c r="D93" s="99" t="s">
        <v>195</v>
      </c>
      <c r="E93" s="88"/>
      <c r="F93" s="88"/>
      <c r="G93" s="88"/>
      <c r="H93" s="88"/>
      <c r="I93" s="88"/>
      <c r="J93" s="88"/>
      <c r="K93" s="88"/>
      <c r="L93" s="88"/>
      <c r="M93" s="88"/>
      <c r="N93" s="88"/>
      <c r="O93" s="88"/>
      <c r="P93" s="88"/>
      <c r="Q93" s="88"/>
      <c r="R93" s="88"/>
      <c r="S93" s="88"/>
      <c r="T93" s="88"/>
      <c r="U93" s="89"/>
    </row>
    <row r="94" spans="1:27" ht="97.5" customHeight="1" x14ac:dyDescent="0.15">
      <c r="B94" s="86"/>
      <c r="C94" s="71" t="s">
        <v>30</v>
      </c>
      <c r="D94" s="100" t="s">
        <v>196</v>
      </c>
      <c r="E94" s="94"/>
      <c r="F94" s="94"/>
      <c r="G94" s="94"/>
      <c r="H94" s="94"/>
      <c r="I94" s="94"/>
      <c r="J94" s="94"/>
      <c r="K94" s="94"/>
      <c r="L94" s="94"/>
      <c r="M94" s="94"/>
      <c r="N94" s="94"/>
      <c r="O94" s="94"/>
      <c r="P94" s="94"/>
      <c r="Q94" s="94"/>
      <c r="R94" s="94"/>
      <c r="S94" s="94"/>
      <c r="T94" s="94"/>
      <c r="U94" s="95"/>
    </row>
    <row r="95" spans="1:27" ht="97.5" customHeight="1" x14ac:dyDescent="0.15">
      <c r="B95" s="84" t="s">
        <v>63</v>
      </c>
      <c r="C95" s="70" t="s">
        <v>32</v>
      </c>
      <c r="D95" s="87" t="s">
        <v>197</v>
      </c>
      <c r="E95" s="245"/>
      <c r="F95" s="245"/>
      <c r="G95" s="245"/>
      <c r="H95" s="245"/>
      <c r="I95" s="245"/>
      <c r="J95" s="245"/>
      <c r="K95" s="245"/>
      <c r="L95" s="245"/>
      <c r="M95" s="245"/>
      <c r="N95" s="245"/>
      <c r="O95" s="245"/>
      <c r="P95" s="245"/>
      <c r="Q95" s="245"/>
      <c r="R95" s="245"/>
      <c r="S95" s="245"/>
      <c r="T95" s="245"/>
      <c r="U95" s="246"/>
    </row>
    <row r="96" spans="1:27" ht="97.5" customHeight="1" x14ac:dyDescent="0.15">
      <c r="B96" s="86"/>
      <c r="C96" s="72" t="s">
        <v>33</v>
      </c>
      <c r="D96" s="93" t="s">
        <v>198</v>
      </c>
      <c r="E96" s="151"/>
      <c r="F96" s="151"/>
      <c r="G96" s="151"/>
      <c r="H96" s="151"/>
      <c r="I96" s="151"/>
      <c r="J96" s="151"/>
      <c r="K96" s="151"/>
      <c r="L96" s="151"/>
      <c r="M96" s="151"/>
      <c r="N96" s="151"/>
      <c r="O96" s="151"/>
      <c r="P96" s="151"/>
      <c r="Q96" s="151"/>
      <c r="R96" s="151"/>
      <c r="S96" s="151"/>
      <c r="T96" s="151"/>
      <c r="U96" s="152"/>
    </row>
    <row r="97" spans="1:21" ht="97.5" customHeight="1" x14ac:dyDescent="0.15">
      <c r="B97" s="84" t="s">
        <v>66</v>
      </c>
      <c r="C97" s="68" t="s">
        <v>35</v>
      </c>
      <c r="D97" s="87" t="s">
        <v>199</v>
      </c>
      <c r="E97" s="88"/>
      <c r="F97" s="88"/>
      <c r="G97" s="88"/>
      <c r="H97" s="88"/>
      <c r="I97" s="88"/>
      <c r="J97" s="88"/>
      <c r="K97" s="88"/>
      <c r="L97" s="88"/>
      <c r="M97" s="88"/>
      <c r="N97" s="88"/>
      <c r="O97" s="88"/>
      <c r="P97" s="88"/>
      <c r="Q97" s="88"/>
      <c r="R97" s="88"/>
      <c r="S97" s="88"/>
      <c r="T97" s="88"/>
      <c r="U97" s="89"/>
    </row>
    <row r="98" spans="1:21" ht="97.5" customHeight="1" x14ac:dyDescent="0.15">
      <c r="B98" s="86"/>
      <c r="C98" s="71" t="s">
        <v>36</v>
      </c>
      <c r="D98" s="93" t="s">
        <v>200</v>
      </c>
      <c r="E98" s="94"/>
      <c r="F98" s="94"/>
      <c r="G98" s="94"/>
      <c r="H98" s="94"/>
      <c r="I98" s="94"/>
      <c r="J98" s="94"/>
      <c r="K98" s="94"/>
      <c r="L98" s="94"/>
      <c r="M98" s="94"/>
      <c r="N98" s="94"/>
      <c r="O98" s="94"/>
      <c r="P98" s="94"/>
      <c r="Q98" s="94"/>
      <c r="R98" s="94"/>
      <c r="S98" s="94"/>
      <c r="T98" s="94"/>
      <c r="U98" s="95"/>
    </row>
    <row r="99" spans="1:21" ht="129" customHeight="1" x14ac:dyDescent="0.15">
      <c r="B99" s="84" t="s">
        <v>69</v>
      </c>
      <c r="C99" s="70" t="s">
        <v>70</v>
      </c>
      <c r="D99" s="87" t="s">
        <v>203</v>
      </c>
      <c r="E99" s="88"/>
      <c r="F99" s="88"/>
      <c r="G99" s="88"/>
      <c r="H99" s="88"/>
      <c r="I99" s="88"/>
      <c r="J99" s="88"/>
      <c r="K99" s="88"/>
      <c r="L99" s="88"/>
      <c r="M99" s="88"/>
      <c r="N99" s="88"/>
      <c r="O99" s="88"/>
      <c r="P99" s="88"/>
      <c r="Q99" s="88"/>
      <c r="R99" s="88"/>
      <c r="S99" s="88"/>
      <c r="T99" s="88"/>
      <c r="U99" s="89"/>
    </row>
    <row r="100" spans="1:21" ht="97.5" customHeight="1" x14ac:dyDescent="0.15">
      <c r="B100" s="85"/>
      <c r="C100" s="73" t="s">
        <v>39</v>
      </c>
      <c r="D100" s="90" t="s">
        <v>202</v>
      </c>
      <c r="E100" s="91"/>
      <c r="F100" s="91"/>
      <c r="G100" s="91"/>
      <c r="H100" s="91"/>
      <c r="I100" s="91"/>
      <c r="J100" s="91"/>
      <c r="K100" s="91"/>
      <c r="L100" s="91"/>
      <c r="M100" s="91"/>
      <c r="N100" s="91"/>
      <c r="O100" s="91"/>
      <c r="P100" s="91"/>
      <c r="Q100" s="91"/>
      <c r="R100" s="91"/>
      <c r="S100" s="91"/>
      <c r="T100" s="91"/>
      <c r="U100" s="92"/>
    </row>
    <row r="101" spans="1:21" ht="97.5" customHeight="1" x14ac:dyDescent="0.15">
      <c r="B101" s="86"/>
      <c r="C101" s="72" t="s">
        <v>40</v>
      </c>
      <c r="D101" s="93" t="s">
        <v>201</v>
      </c>
      <c r="E101" s="94"/>
      <c r="F101" s="94"/>
      <c r="G101" s="94"/>
      <c r="H101" s="94"/>
      <c r="I101" s="94"/>
      <c r="J101" s="94"/>
      <c r="K101" s="94"/>
      <c r="L101" s="94"/>
      <c r="M101" s="94"/>
      <c r="N101" s="94"/>
      <c r="O101" s="94"/>
      <c r="P101" s="94"/>
      <c r="Q101" s="94"/>
      <c r="R101" s="94"/>
      <c r="S101" s="94"/>
      <c r="T101" s="94"/>
      <c r="U101" s="95"/>
    </row>
    <row r="102" spans="1:21" ht="6" customHeight="1" x14ac:dyDescent="0.15"/>
    <row r="103" spans="1:21" ht="18.75" customHeight="1" x14ac:dyDescent="0.15">
      <c r="A103" s="1" t="s">
        <v>74</v>
      </c>
    </row>
    <row r="104" spans="1:21" ht="81.75" customHeight="1" x14ac:dyDescent="0.15">
      <c r="B104" s="96" t="s">
        <v>75</v>
      </c>
      <c r="C104" s="97"/>
      <c r="D104" s="97"/>
      <c r="E104" s="97"/>
      <c r="F104" s="97"/>
      <c r="G104" s="97"/>
      <c r="H104" s="97"/>
      <c r="I104" s="97"/>
      <c r="J104" s="97"/>
      <c r="K104" s="97"/>
      <c r="L104" s="97"/>
      <c r="M104" s="97"/>
      <c r="N104" s="97"/>
      <c r="O104" s="97"/>
      <c r="P104" s="97"/>
      <c r="Q104" s="97"/>
      <c r="R104" s="97"/>
      <c r="S104" s="97"/>
      <c r="T104" s="97"/>
      <c r="U104" s="98"/>
    </row>
    <row r="107" spans="1:21" ht="18" customHeight="1" x14ac:dyDescent="0.15"/>
  </sheetData>
  <mergeCells count="144">
    <mergeCell ref="K50:Q50"/>
    <mergeCell ref="K51:Q51"/>
    <mergeCell ref="K52:Q52"/>
    <mergeCell ref="K48:Q48"/>
    <mergeCell ref="B51:F51"/>
    <mergeCell ref="A57:U58"/>
    <mergeCell ref="K59:Q59"/>
    <mergeCell ref="K60:Q60"/>
    <mergeCell ref="R81:U81"/>
    <mergeCell ref="R80:U80"/>
    <mergeCell ref="B81:F81"/>
    <mergeCell ref="K61:Q61"/>
    <mergeCell ref="B80:F80"/>
    <mergeCell ref="G81:J81"/>
    <mergeCell ref="B62:F62"/>
    <mergeCell ref="B63:F63"/>
    <mergeCell ref="B64:F64"/>
    <mergeCell ref="R84:U84"/>
    <mergeCell ref="G80:J80"/>
    <mergeCell ref="K80:Q80"/>
    <mergeCell ref="B72:E72"/>
    <mergeCell ref="R83:U83"/>
    <mergeCell ref="K70:P70"/>
    <mergeCell ref="B65:F65"/>
    <mergeCell ref="B66:F66"/>
    <mergeCell ref="K77:P77"/>
    <mergeCell ref="K81:Q81"/>
    <mergeCell ref="B73:E73"/>
    <mergeCell ref="B74:E74"/>
    <mergeCell ref="A68:U69"/>
    <mergeCell ref="B71:E71"/>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B93:B94"/>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K39:Q39"/>
    <mergeCell ref="K40:Q40"/>
    <mergeCell ref="K53:Q53"/>
    <mergeCell ref="K54:Q54"/>
    <mergeCell ref="B40:F40"/>
    <mergeCell ref="B41:F41"/>
    <mergeCell ref="B42:F42"/>
    <mergeCell ref="B43:F43"/>
    <mergeCell ref="B44:F44"/>
    <mergeCell ref="K49:Q4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19" sqref="B19"/>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79</v>
      </c>
    </row>
    <row r="2" spans="1:21" ht="18" customHeight="1" x14ac:dyDescent="0.15">
      <c r="A2" s="54"/>
      <c r="B2" s="54"/>
      <c r="C2" s="54"/>
      <c r="D2" s="54"/>
      <c r="E2" s="54"/>
      <c r="F2" s="54"/>
      <c r="G2" s="54"/>
      <c r="H2" s="54"/>
      <c r="I2" s="54"/>
      <c r="J2" s="54"/>
      <c r="K2" s="54"/>
      <c r="L2" s="54"/>
      <c r="M2" s="54"/>
      <c r="N2" s="54"/>
      <c r="O2" s="54"/>
      <c r="P2" s="54"/>
      <c r="Q2" s="154" t="str">
        <f>'様式１-2　プログラムを構成する授業科目'!C2</f>
        <v>旭川市立大学</v>
      </c>
      <c r="R2" s="154"/>
      <c r="S2" s="154"/>
    </row>
    <row r="3" spans="1:21" ht="18" customHeight="1" x14ac:dyDescent="0.15">
      <c r="A3" s="141" t="s">
        <v>80</v>
      </c>
      <c r="B3" s="141"/>
      <c r="C3" s="141"/>
      <c r="D3" s="141"/>
      <c r="E3" s="141"/>
      <c r="F3" s="141"/>
      <c r="G3" s="141"/>
      <c r="H3" s="141"/>
      <c r="I3" s="141"/>
      <c r="J3" s="141"/>
      <c r="K3" s="141"/>
      <c r="L3" s="141"/>
      <c r="M3" s="141"/>
      <c r="N3" s="141"/>
      <c r="O3" s="141"/>
      <c r="P3" s="141"/>
      <c r="Q3" s="141"/>
      <c r="R3" s="141"/>
      <c r="S3" s="141"/>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81</v>
      </c>
      <c r="B5" s="54"/>
      <c r="C5" s="155" t="s">
        <v>82</v>
      </c>
      <c r="D5" s="156"/>
      <c r="E5" s="58" t="s">
        <v>83</v>
      </c>
      <c r="F5" s="56"/>
      <c r="G5" s="56"/>
      <c r="H5" s="56"/>
      <c r="I5" s="56"/>
      <c r="J5" s="56"/>
      <c r="K5" s="56"/>
      <c r="L5" s="56"/>
      <c r="M5" s="56"/>
      <c r="N5" s="56"/>
      <c r="O5" s="56"/>
      <c r="P5" s="56"/>
      <c r="Q5" s="56"/>
      <c r="R5" s="55"/>
      <c r="S5" s="55"/>
    </row>
    <row r="6" spans="1:21" ht="7.1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84</v>
      </c>
      <c r="B7" s="54"/>
      <c r="C7" s="77"/>
      <c r="D7" s="77"/>
      <c r="E7" s="56" t="s">
        <v>85</v>
      </c>
      <c r="F7" s="59">
        <v>426</v>
      </c>
      <c r="G7" s="58" t="s">
        <v>86</v>
      </c>
      <c r="H7" s="56" t="s">
        <v>87</v>
      </c>
      <c r="I7" s="59">
        <v>416</v>
      </c>
      <c r="J7" s="58" t="s">
        <v>86</v>
      </c>
      <c r="K7" s="57" t="s">
        <v>88</v>
      </c>
      <c r="L7" s="56" t="s">
        <v>89</v>
      </c>
      <c r="M7" s="59">
        <f>F7+I7</f>
        <v>842</v>
      </c>
      <c r="N7" s="56" t="s">
        <v>90</v>
      </c>
      <c r="O7" s="58" t="s">
        <v>91</v>
      </c>
      <c r="P7" s="56"/>
      <c r="Q7" s="56"/>
      <c r="R7" s="55"/>
      <c r="S7" s="55"/>
    </row>
    <row r="8" spans="1:21" ht="17.45" customHeight="1" x14ac:dyDescent="0.15">
      <c r="A8" s="56"/>
      <c r="B8" s="78" t="s">
        <v>92</v>
      </c>
      <c r="C8" s="56"/>
      <c r="D8" s="56"/>
      <c r="E8" s="56"/>
      <c r="F8" s="56"/>
      <c r="G8" s="56"/>
      <c r="H8" s="56"/>
      <c r="I8" s="56"/>
      <c r="J8" s="56"/>
      <c r="K8" s="56"/>
      <c r="L8" s="56"/>
      <c r="M8" s="56"/>
      <c r="N8" s="56"/>
      <c r="O8" s="56"/>
      <c r="P8" s="56"/>
      <c r="Q8" s="56"/>
      <c r="R8" s="56"/>
      <c r="S8" s="56"/>
    </row>
    <row r="9" spans="1:21" ht="18" customHeight="1" x14ac:dyDescent="0.15">
      <c r="A9" s="54" t="s">
        <v>93</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7" t="s">
        <v>94</v>
      </c>
      <c r="C11" s="167" t="s">
        <v>95</v>
      </c>
      <c r="D11" s="159" t="s">
        <v>96</v>
      </c>
      <c r="E11" s="161" t="s">
        <v>97</v>
      </c>
      <c r="F11" s="153" t="s">
        <v>98</v>
      </c>
      <c r="G11" s="153"/>
      <c r="H11" s="153" t="s">
        <v>99</v>
      </c>
      <c r="I11" s="153"/>
      <c r="J11" s="153" t="s">
        <v>100</v>
      </c>
      <c r="K11" s="153"/>
      <c r="L11" s="153" t="s">
        <v>101</v>
      </c>
      <c r="M11" s="153"/>
      <c r="N11" s="153" t="s">
        <v>102</v>
      </c>
      <c r="O11" s="153"/>
      <c r="P11" s="153" t="s">
        <v>103</v>
      </c>
      <c r="Q11" s="153"/>
      <c r="R11" s="163" t="s">
        <v>104</v>
      </c>
      <c r="S11" s="165" t="s">
        <v>105</v>
      </c>
      <c r="U11" s="2"/>
    </row>
    <row r="12" spans="1:21" ht="16.899999999999999" customHeight="1" x14ac:dyDescent="0.15">
      <c r="B12" s="158"/>
      <c r="C12" s="168"/>
      <c r="D12" s="160"/>
      <c r="E12" s="162"/>
      <c r="F12" s="79" t="s">
        <v>106</v>
      </c>
      <c r="G12" s="79" t="s">
        <v>107</v>
      </c>
      <c r="H12" s="79" t="s">
        <v>106</v>
      </c>
      <c r="I12" s="79" t="s">
        <v>107</v>
      </c>
      <c r="J12" s="79" t="s">
        <v>106</v>
      </c>
      <c r="K12" s="79" t="s">
        <v>107</v>
      </c>
      <c r="L12" s="79" t="s">
        <v>106</v>
      </c>
      <c r="M12" s="79" t="s">
        <v>107</v>
      </c>
      <c r="N12" s="79" t="s">
        <v>106</v>
      </c>
      <c r="O12" s="79" t="s">
        <v>107</v>
      </c>
      <c r="P12" s="79" t="s">
        <v>106</v>
      </c>
      <c r="Q12" s="80" t="s">
        <v>107</v>
      </c>
      <c r="R12" s="164"/>
      <c r="S12" s="166"/>
      <c r="U12" s="2"/>
    </row>
    <row r="13" spans="1:21" ht="18" customHeight="1" x14ac:dyDescent="0.15">
      <c r="A13" s="6"/>
      <c r="B13" s="48" t="s">
        <v>189</v>
      </c>
      <c r="C13" s="36">
        <v>440</v>
      </c>
      <c r="D13" s="37">
        <v>100</v>
      </c>
      <c r="E13" s="38">
        <v>400</v>
      </c>
      <c r="F13" s="38">
        <v>100</v>
      </c>
      <c r="G13" s="38">
        <v>99</v>
      </c>
      <c r="H13" s="38"/>
      <c r="I13" s="38"/>
      <c r="J13" s="38"/>
      <c r="K13" s="38"/>
      <c r="L13" s="38"/>
      <c r="M13" s="38"/>
      <c r="N13" s="38"/>
      <c r="O13" s="38"/>
      <c r="P13" s="38"/>
      <c r="Q13" s="49"/>
      <c r="R13" s="37">
        <f t="shared" ref="R13:R32" si="0">F13+H13+J13+L13+N13+P13</f>
        <v>100</v>
      </c>
      <c r="S13" s="50">
        <f>R13/E13</f>
        <v>0.25</v>
      </c>
    </row>
    <row r="14" spans="1:21" ht="18" customHeight="1" x14ac:dyDescent="0.15">
      <c r="A14" s="6"/>
      <c r="B14" s="11" t="s">
        <v>185</v>
      </c>
      <c r="C14" s="39">
        <v>402</v>
      </c>
      <c r="D14" s="40">
        <v>100</v>
      </c>
      <c r="E14" s="41">
        <v>400</v>
      </c>
      <c r="F14" s="42">
        <v>102</v>
      </c>
      <c r="G14" s="42">
        <v>98</v>
      </c>
      <c r="H14" s="42"/>
      <c r="I14" s="42"/>
      <c r="J14" s="42"/>
      <c r="K14" s="42"/>
      <c r="L14" s="42"/>
      <c r="M14" s="42"/>
      <c r="N14" s="42"/>
      <c r="O14" s="42"/>
      <c r="P14" s="42"/>
      <c r="Q14" s="39"/>
      <c r="R14" s="40">
        <f t="shared" si="0"/>
        <v>102</v>
      </c>
      <c r="S14" s="16">
        <f>R14/E14</f>
        <v>0.255</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ref="S15:S33" si="1">R15/E15</f>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108</v>
      </c>
      <c r="C33" s="45">
        <f t="shared" ref="C33" si="2">SUM(C13:C32)</f>
        <v>842</v>
      </c>
      <c r="D33" s="46">
        <f t="shared" ref="D33:R33" si="3">SUM(D13:D32)</f>
        <v>200</v>
      </c>
      <c r="E33" s="47">
        <f t="shared" si="3"/>
        <v>800</v>
      </c>
      <c r="F33" s="47">
        <f t="shared" si="3"/>
        <v>202</v>
      </c>
      <c r="G33" s="47">
        <f t="shared" ref="G33:H33" si="4">SUM(G13:G32)</f>
        <v>197</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202</v>
      </c>
      <c r="S33" s="9">
        <f t="shared" si="1"/>
        <v>0.2525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B85" zoomScaleNormal="100" zoomScaleSheetLayoutView="100" workbookViewId="0">
      <selection activeCell="B22" sqref="B22:I32"/>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109</v>
      </c>
      <c r="I1" s="18" t="s">
        <v>110</v>
      </c>
    </row>
    <row r="2" spans="1:9" ht="18.75" customHeight="1" x14ac:dyDescent="0.15">
      <c r="G2" s="18" t="s">
        <v>2</v>
      </c>
      <c r="H2" s="109" t="str">
        <f>'様式１-2　プログラムを構成する授業科目'!C2</f>
        <v>旭川市立大学</v>
      </c>
      <c r="I2" s="111"/>
    </row>
    <row r="3" spans="1:9" ht="18.75" customHeight="1" x14ac:dyDescent="0.15">
      <c r="G3" s="18"/>
      <c r="H3" s="10"/>
      <c r="I3" s="10"/>
    </row>
    <row r="4" spans="1:9" ht="18.600000000000001" customHeight="1" x14ac:dyDescent="0.15">
      <c r="A4" s="141" t="s">
        <v>111</v>
      </c>
      <c r="B4" s="141"/>
      <c r="C4" s="141"/>
      <c r="D4" s="141"/>
      <c r="E4" s="141"/>
      <c r="F4" s="141"/>
      <c r="G4" s="141"/>
      <c r="H4" s="141"/>
      <c r="I4" s="141"/>
    </row>
    <row r="5" spans="1:9" ht="13.15" customHeight="1" x14ac:dyDescent="0.15">
      <c r="B5" s="3"/>
      <c r="C5" s="3"/>
      <c r="D5" s="3"/>
      <c r="E5" s="3"/>
      <c r="F5" s="3"/>
      <c r="G5" s="3"/>
      <c r="H5" s="3"/>
      <c r="I5" s="3"/>
    </row>
    <row r="6" spans="1:9" ht="18" customHeight="1" x14ac:dyDescent="0.15">
      <c r="A6" s="1" t="s">
        <v>112</v>
      </c>
      <c r="B6" s="10" t="s">
        <v>113</v>
      </c>
      <c r="C6" s="216" t="s">
        <v>114</v>
      </c>
      <c r="D6" s="216"/>
      <c r="E6" s="17">
        <v>61</v>
      </c>
      <c r="F6" s="3" t="s">
        <v>90</v>
      </c>
      <c r="G6" s="3" t="s">
        <v>115</v>
      </c>
      <c r="H6" s="17">
        <v>69</v>
      </c>
      <c r="I6" s="10" t="s">
        <v>90</v>
      </c>
    </row>
    <row r="7" spans="1:9" ht="12" customHeight="1" x14ac:dyDescent="0.15">
      <c r="C7" s="2"/>
      <c r="D7" s="2"/>
      <c r="E7" s="2"/>
      <c r="F7" s="2"/>
      <c r="G7" s="2"/>
      <c r="H7" s="2"/>
      <c r="I7" s="21"/>
    </row>
    <row r="8" spans="1:9" ht="18" customHeight="1" x14ac:dyDescent="0.15">
      <c r="A8" s="1" t="s">
        <v>116</v>
      </c>
      <c r="B8" s="10" t="s">
        <v>117</v>
      </c>
      <c r="E8" s="3"/>
      <c r="F8" s="3"/>
      <c r="G8" s="3"/>
      <c r="H8" s="17">
        <v>2</v>
      </c>
      <c r="I8" s="10" t="s">
        <v>90</v>
      </c>
    </row>
    <row r="9" spans="1:9" ht="9" customHeight="1" x14ac:dyDescent="0.15">
      <c r="B9" s="3"/>
      <c r="C9" s="3"/>
      <c r="D9" s="3"/>
      <c r="E9" s="3"/>
      <c r="F9" s="3"/>
      <c r="G9" s="3"/>
      <c r="H9" s="3"/>
      <c r="I9" s="3"/>
    </row>
    <row r="10" spans="1:9" ht="18" customHeight="1" x14ac:dyDescent="0.15">
      <c r="A10" s="1" t="s">
        <v>118</v>
      </c>
      <c r="B10" s="10" t="s">
        <v>119</v>
      </c>
      <c r="C10" s="3"/>
      <c r="D10" s="3"/>
      <c r="E10" s="3"/>
      <c r="F10" s="3"/>
      <c r="G10" s="3"/>
      <c r="H10" s="3"/>
      <c r="I10" s="3"/>
    </row>
    <row r="11" spans="1:9" ht="18" customHeight="1" x14ac:dyDescent="0.15">
      <c r="B11" s="18" t="s">
        <v>120</v>
      </c>
      <c r="C11" s="211" t="s">
        <v>121</v>
      </c>
      <c r="D11" s="214"/>
      <c r="E11" s="215"/>
      <c r="F11" s="21"/>
      <c r="G11" s="18" t="s">
        <v>122</v>
      </c>
      <c r="H11" s="211" t="s">
        <v>123</v>
      </c>
      <c r="I11" s="215"/>
    </row>
    <row r="12" spans="1:9" ht="10.15" customHeight="1" x14ac:dyDescent="0.15">
      <c r="B12" s="18"/>
      <c r="C12" s="10"/>
      <c r="D12" s="21"/>
      <c r="E12" s="21"/>
      <c r="F12" s="21"/>
      <c r="G12" s="18"/>
      <c r="H12" s="10"/>
      <c r="I12" s="21"/>
    </row>
    <row r="13" spans="1:9" ht="18" customHeight="1" x14ac:dyDescent="0.15">
      <c r="A13" s="1" t="s">
        <v>124</v>
      </c>
      <c r="B13" s="10" t="s">
        <v>125</v>
      </c>
      <c r="C13" s="3"/>
      <c r="D13" s="3"/>
      <c r="E13" s="3"/>
      <c r="F13" s="3"/>
      <c r="G13" s="3"/>
      <c r="H13" s="3"/>
      <c r="I13" s="3"/>
    </row>
    <row r="14" spans="1:9" ht="18" customHeight="1" x14ac:dyDescent="0.15">
      <c r="B14" s="211" t="s">
        <v>191</v>
      </c>
      <c r="C14" s="212"/>
      <c r="D14" s="212"/>
      <c r="E14" s="212"/>
      <c r="F14" s="212"/>
      <c r="G14" s="212"/>
      <c r="H14" s="212"/>
      <c r="I14" s="213"/>
    </row>
    <row r="15" spans="1:9" ht="9" customHeight="1" x14ac:dyDescent="0.15">
      <c r="B15" s="3"/>
      <c r="C15" s="3"/>
      <c r="D15" s="3"/>
      <c r="E15" s="3"/>
      <c r="F15" s="3"/>
      <c r="G15" s="3"/>
      <c r="H15" s="3"/>
      <c r="I15" s="3"/>
    </row>
    <row r="16" spans="1:9" ht="18" customHeight="1" x14ac:dyDescent="0.15">
      <c r="B16" s="18" t="s">
        <v>120</v>
      </c>
      <c r="C16" s="211" t="s">
        <v>126</v>
      </c>
      <c r="D16" s="214"/>
      <c r="E16" s="215"/>
      <c r="F16" s="21"/>
      <c r="G16" s="18" t="s">
        <v>122</v>
      </c>
      <c r="H16" s="211" t="s">
        <v>123</v>
      </c>
      <c r="I16" s="215"/>
    </row>
    <row r="17" spans="1:9" ht="18" customHeight="1" x14ac:dyDescent="0.15">
      <c r="B17" s="3"/>
      <c r="C17" s="3"/>
      <c r="D17" s="3"/>
      <c r="E17" s="3"/>
      <c r="F17" s="3"/>
      <c r="G17" s="3"/>
      <c r="H17" s="3"/>
      <c r="I17" s="3"/>
    </row>
    <row r="18" spans="1:9" ht="18.75" customHeight="1" x14ac:dyDescent="0.15">
      <c r="A18" s="1" t="s">
        <v>127</v>
      </c>
      <c r="B18" s="1" t="s">
        <v>128</v>
      </c>
      <c r="I18" s="3"/>
    </row>
    <row r="19" spans="1:9" ht="18.75" customHeight="1" x14ac:dyDescent="0.15">
      <c r="A19" s="1"/>
      <c r="B19" s="197" t="s">
        <v>190</v>
      </c>
      <c r="C19" s="198"/>
      <c r="D19" s="198"/>
      <c r="E19" s="198"/>
      <c r="F19" s="198"/>
      <c r="G19" s="198"/>
      <c r="H19" s="198"/>
      <c r="I19" s="199"/>
    </row>
    <row r="20" spans="1:9" ht="7.5" customHeight="1" x14ac:dyDescent="0.15">
      <c r="B20" s="3"/>
      <c r="C20" s="3"/>
      <c r="D20" s="3"/>
      <c r="E20" s="3"/>
      <c r="F20" s="3"/>
      <c r="G20" s="3"/>
      <c r="H20" s="3"/>
      <c r="I20" s="3"/>
    </row>
    <row r="21" spans="1:9" ht="18.75" customHeight="1" x14ac:dyDescent="0.15">
      <c r="A21" s="1" t="s">
        <v>129</v>
      </c>
      <c r="B21" s="1" t="s">
        <v>130</v>
      </c>
    </row>
    <row r="22" spans="1:9" ht="18.75" customHeight="1" x14ac:dyDescent="0.15">
      <c r="A22" s="14"/>
      <c r="B22" s="200" t="s">
        <v>131</v>
      </c>
      <c r="C22" s="201"/>
      <c r="D22" s="201"/>
      <c r="E22" s="201"/>
      <c r="F22" s="201"/>
      <c r="G22" s="201"/>
      <c r="H22" s="201"/>
      <c r="I22" s="202"/>
    </row>
    <row r="23" spans="1:9" ht="18.75" customHeight="1" x14ac:dyDescent="0.15">
      <c r="A23" s="14"/>
      <c r="B23" s="203"/>
      <c r="C23" s="204"/>
      <c r="D23" s="204"/>
      <c r="E23" s="204"/>
      <c r="F23" s="204"/>
      <c r="G23" s="204"/>
      <c r="H23" s="204"/>
      <c r="I23" s="205"/>
    </row>
    <row r="24" spans="1:9" ht="18.75" customHeight="1" x14ac:dyDescent="0.15">
      <c r="A24" s="14"/>
      <c r="B24" s="203"/>
      <c r="C24" s="204"/>
      <c r="D24" s="204"/>
      <c r="E24" s="204"/>
      <c r="F24" s="204"/>
      <c r="G24" s="204"/>
      <c r="H24" s="204"/>
      <c r="I24" s="205"/>
    </row>
    <row r="25" spans="1:9" ht="18.75" customHeight="1" x14ac:dyDescent="0.15">
      <c r="A25" s="14"/>
      <c r="B25" s="203"/>
      <c r="C25" s="204"/>
      <c r="D25" s="204"/>
      <c r="E25" s="204"/>
      <c r="F25" s="204"/>
      <c r="G25" s="204"/>
      <c r="H25" s="204"/>
      <c r="I25" s="205"/>
    </row>
    <row r="26" spans="1:9" ht="18.75" customHeight="1" x14ac:dyDescent="0.15">
      <c r="A26" s="14"/>
      <c r="B26" s="203"/>
      <c r="C26" s="204"/>
      <c r="D26" s="204"/>
      <c r="E26" s="204"/>
      <c r="F26" s="204"/>
      <c r="G26" s="204"/>
      <c r="H26" s="204"/>
      <c r="I26" s="205"/>
    </row>
    <row r="27" spans="1:9" ht="18.75" customHeight="1" x14ac:dyDescent="0.15">
      <c r="A27" s="14"/>
      <c r="B27" s="203"/>
      <c r="C27" s="204"/>
      <c r="D27" s="204"/>
      <c r="E27" s="204"/>
      <c r="F27" s="204"/>
      <c r="G27" s="204"/>
      <c r="H27" s="204"/>
      <c r="I27" s="205"/>
    </row>
    <row r="28" spans="1:9" ht="18.75" customHeight="1" x14ac:dyDescent="0.15">
      <c r="A28" s="14"/>
      <c r="B28" s="203"/>
      <c r="C28" s="204"/>
      <c r="D28" s="204"/>
      <c r="E28" s="204"/>
      <c r="F28" s="204"/>
      <c r="G28" s="204"/>
      <c r="H28" s="204"/>
      <c r="I28" s="205"/>
    </row>
    <row r="29" spans="1:9" ht="18.75" customHeight="1" x14ac:dyDescent="0.15">
      <c r="A29" s="14"/>
      <c r="B29" s="203"/>
      <c r="C29" s="204"/>
      <c r="D29" s="204"/>
      <c r="E29" s="204"/>
      <c r="F29" s="204"/>
      <c r="G29" s="204"/>
      <c r="H29" s="204"/>
      <c r="I29" s="205"/>
    </row>
    <row r="30" spans="1:9" ht="18.75" customHeight="1" x14ac:dyDescent="0.15">
      <c r="A30" s="14"/>
      <c r="B30" s="206"/>
      <c r="C30" s="207"/>
      <c r="D30" s="207"/>
      <c r="E30" s="207"/>
      <c r="F30" s="207"/>
      <c r="G30" s="207"/>
      <c r="H30" s="207"/>
      <c r="I30" s="205"/>
    </row>
    <row r="31" spans="1:9" ht="18.75" customHeight="1" x14ac:dyDescent="0.15">
      <c r="A31" s="14"/>
      <c r="B31" s="206"/>
      <c r="C31" s="207"/>
      <c r="D31" s="207"/>
      <c r="E31" s="207"/>
      <c r="F31" s="207"/>
      <c r="G31" s="207"/>
      <c r="H31" s="207"/>
      <c r="I31" s="205"/>
    </row>
    <row r="32" spans="1:9" ht="18.75" customHeight="1" x14ac:dyDescent="0.15">
      <c r="A32" s="14"/>
      <c r="B32" s="208"/>
      <c r="C32" s="209"/>
      <c r="D32" s="209"/>
      <c r="E32" s="209"/>
      <c r="F32" s="209"/>
      <c r="G32" s="209"/>
      <c r="H32" s="209"/>
      <c r="I32" s="210"/>
    </row>
    <row r="33" spans="1:9" ht="7.5" customHeight="1" x14ac:dyDescent="0.15">
      <c r="A33" s="14"/>
      <c r="B33" s="14"/>
      <c r="C33" s="14"/>
      <c r="D33" s="14"/>
      <c r="E33" s="14"/>
      <c r="F33" s="14"/>
      <c r="G33" s="14"/>
      <c r="H33" s="14"/>
      <c r="I33" s="14"/>
    </row>
    <row r="34" spans="1:9" ht="18.75" customHeight="1" x14ac:dyDescent="0.15">
      <c r="A34" s="15" t="s">
        <v>132</v>
      </c>
      <c r="B34" s="15" t="s">
        <v>133</v>
      </c>
      <c r="C34" s="10"/>
      <c r="D34" s="15"/>
      <c r="E34" s="15"/>
      <c r="F34" s="15"/>
      <c r="G34" s="15"/>
      <c r="H34" s="15"/>
      <c r="I34" s="15"/>
    </row>
    <row r="35" spans="1:9" ht="18.75" customHeight="1" x14ac:dyDescent="0.15">
      <c r="A35" s="14"/>
      <c r="B35" s="200" t="s">
        <v>134</v>
      </c>
      <c r="C35" s="201"/>
      <c r="D35" s="201"/>
      <c r="E35" s="201"/>
      <c r="F35" s="201"/>
      <c r="G35" s="201"/>
      <c r="H35" s="201"/>
      <c r="I35" s="202"/>
    </row>
    <row r="36" spans="1:9" ht="18.75" customHeight="1" x14ac:dyDescent="0.15">
      <c r="A36" s="14"/>
      <c r="B36" s="206"/>
      <c r="C36" s="207"/>
      <c r="D36" s="207"/>
      <c r="E36" s="207"/>
      <c r="F36" s="207"/>
      <c r="G36" s="207"/>
      <c r="H36" s="207"/>
      <c r="I36" s="205"/>
    </row>
    <row r="37" spans="1:9" ht="18.75" customHeight="1" x14ac:dyDescent="0.15">
      <c r="A37" s="14"/>
      <c r="B37" s="206"/>
      <c r="C37" s="207"/>
      <c r="D37" s="207"/>
      <c r="E37" s="207"/>
      <c r="F37" s="207"/>
      <c r="G37" s="207"/>
      <c r="H37" s="207"/>
      <c r="I37" s="205"/>
    </row>
    <row r="38" spans="1:9" ht="18.75" customHeight="1" x14ac:dyDescent="0.15">
      <c r="A38" s="14"/>
      <c r="B38" s="206"/>
      <c r="C38" s="207"/>
      <c r="D38" s="207"/>
      <c r="E38" s="207"/>
      <c r="F38" s="207"/>
      <c r="G38" s="207"/>
      <c r="H38" s="207"/>
      <c r="I38" s="205"/>
    </row>
    <row r="39" spans="1:9" ht="18.75" customHeight="1" x14ac:dyDescent="0.15">
      <c r="A39" s="14"/>
      <c r="B39" s="206"/>
      <c r="C39" s="207"/>
      <c r="D39" s="207"/>
      <c r="E39" s="207"/>
      <c r="F39" s="207"/>
      <c r="G39" s="207"/>
      <c r="H39" s="207"/>
      <c r="I39" s="205"/>
    </row>
    <row r="40" spans="1:9" ht="18.75" customHeight="1" x14ac:dyDescent="0.15">
      <c r="A40" s="14"/>
      <c r="B40" s="206"/>
      <c r="C40" s="207"/>
      <c r="D40" s="207"/>
      <c r="E40" s="207"/>
      <c r="F40" s="207"/>
      <c r="G40" s="207"/>
      <c r="H40" s="207"/>
      <c r="I40" s="205"/>
    </row>
    <row r="41" spans="1:9" ht="18.75" customHeight="1" x14ac:dyDescent="0.15">
      <c r="A41" s="14"/>
      <c r="B41" s="206"/>
      <c r="C41" s="207"/>
      <c r="D41" s="207"/>
      <c r="E41" s="207"/>
      <c r="F41" s="207"/>
      <c r="G41" s="207"/>
      <c r="H41" s="207"/>
      <c r="I41" s="205"/>
    </row>
    <row r="42" spans="1:9" ht="18.75" customHeight="1" x14ac:dyDescent="0.15">
      <c r="A42" s="14"/>
      <c r="B42" s="206"/>
      <c r="C42" s="207"/>
      <c r="D42" s="207"/>
      <c r="E42" s="207"/>
      <c r="F42" s="207"/>
      <c r="G42" s="207"/>
      <c r="H42" s="207"/>
      <c r="I42" s="205"/>
    </row>
    <row r="43" spans="1:9" ht="18.75" customHeight="1" x14ac:dyDescent="0.15">
      <c r="A43" s="14"/>
      <c r="B43" s="206"/>
      <c r="C43" s="207"/>
      <c r="D43" s="207"/>
      <c r="E43" s="207"/>
      <c r="F43" s="207"/>
      <c r="G43" s="207"/>
      <c r="H43" s="207"/>
      <c r="I43" s="205"/>
    </row>
    <row r="44" spans="1:9" ht="18.75" customHeight="1" x14ac:dyDescent="0.15">
      <c r="A44" s="14"/>
      <c r="B44" s="206"/>
      <c r="C44" s="207"/>
      <c r="D44" s="207"/>
      <c r="E44" s="207"/>
      <c r="F44" s="207"/>
      <c r="G44" s="207"/>
      <c r="H44" s="207"/>
      <c r="I44" s="205"/>
    </row>
    <row r="45" spans="1:9" ht="18.75" customHeight="1" x14ac:dyDescent="0.15">
      <c r="A45" s="14"/>
      <c r="B45" s="206"/>
      <c r="C45" s="207"/>
      <c r="D45" s="207"/>
      <c r="E45" s="207"/>
      <c r="F45" s="207"/>
      <c r="G45" s="207"/>
      <c r="H45" s="207"/>
      <c r="I45" s="205"/>
    </row>
    <row r="46" spans="1:9" ht="18.75" customHeight="1" x14ac:dyDescent="0.15">
      <c r="A46" s="14"/>
      <c r="B46" s="208"/>
      <c r="C46" s="209"/>
      <c r="D46" s="209"/>
      <c r="E46" s="209"/>
      <c r="F46" s="209"/>
      <c r="G46" s="209"/>
      <c r="H46" s="209"/>
      <c r="I46" s="210"/>
    </row>
    <row r="47" spans="1:9" ht="7.5" customHeight="1" x14ac:dyDescent="0.15">
      <c r="A47" s="4"/>
      <c r="B47" s="4"/>
      <c r="C47" s="4"/>
      <c r="D47" s="4"/>
      <c r="E47" s="4"/>
      <c r="F47" s="4"/>
      <c r="G47" s="4"/>
      <c r="H47" s="4"/>
      <c r="I47" s="4"/>
    </row>
    <row r="48" spans="1:9" ht="18.75" customHeight="1" x14ac:dyDescent="0.15">
      <c r="A48" s="1" t="s">
        <v>135</v>
      </c>
      <c r="B48" s="1" t="s">
        <v>136</v>
      </c>
    </row>
    <row r="49" spans="1:15" s="3" customFormat="1" ht="18.75" customHeight="1" x14ac:dyDescent="0.15">
      <c r="B49" s="81" t="s">
        <v>137</v>
      </c>
      <c r="C49" s="186">
        <f>'様式２ 履修者等数の実績'!S33</f>
        <v>0.2525</v>
      </c>
      <c r="D49" s="186"/>
      <c r="E49" s="81" t="s">
        <v>138</v>
      </c>
      <c r="F49" s="186">
        <v>0.52</v>
      </c>
      <c r="G49" s="186"/>
      <c r="H49" s="81" t="s">
        <v>139</v>
      </c>
      <c r="I49" s="22">
        <v>0.77</v>
      </c>
      <c r="J49" s="1"/>
      <c r="M49" s="1"/>
      <c r="N49" s="23"/>
    </row>
    <row r="50" spans="1:15" s="3" customFormat="1" ht="18.75" customHeight="1" x14ac:dyDescent="0.15">
      <c r="B50" s="82" t="s">
        <v>140</v>
      </c>
      <c r="C50" s="169">
        <v>1</v>
      </c>
      <c r="D50" s="169"/>
      <c r="E50" s="82" t="s">
        <v>141</v>
      </c>
      <c r="F50" s="169">
        <v>1</v>
      </c>
      <c r="G50" s="169"/>
      <c r="H50" s="82" t="s">
        <v>142</v>
      </c>
      <c r="I50" s="24">
        <f>'様式２ 履修者等数の実績'!E33</f>
        <v>800</v>
      </c>
      <c r="J50" s="1"/>
      <c r="M50" s="1"/>
      <c r="N50" s="23"/>
    </row>
    <row r="51" spans="1:15" ht="18.75" customHeight="1" x14ac:dyDescent="0.15">
      <c r="A51" s="1"/>
      <c r="B51" s="218" t="s">
        <v>143</v>
      </c>
      <c r="C51" s="219"/>
      <c r="D51" s="219"/>
      <c r="E51" s="219"/>
      <c r="F51" s="219"/>
      <c r="G51" s="219"/>
      <c r="H51" s="219"/>
      <c r="I51" s="220"/>
      <c r="N51" s="23"/>
      <c r="O51" s="3"/>
    </row>
    <row r="52" spans="1:15" ht="18.75" customHeight="1" x14ac:dyDescent="0.15">
      <c r="A52" s="1"/>
      <c r="B52" s="187" t="s">
        <v>144</v>
      </c>
      <c r="C52" s="188"/>
      <c r="D52" s="188"/>
      <c r="E52" s="188"/>
      <c r="F52" s="188"/>
      <c r="G52" s="188"/>
      <c r="H52" s="188"/>
      <c r="I52" s="189"/>
      <c r="N52" s="23"/>
      <c r="O52" s="3"/>
    </row>
    <row r="53" spans="1:15" ht="18.75" customHeight="1" x14ac:dyDescent="0.15">
      <c r="A53" s="1"/>
      <c r="B53" s="190"/>
      <c r="C53" s="191"/>
      <c r="D53" s="191"/>
      <c r="E53" s="191"/>
      <c r="F53" s="191"/>
      <c r="G53" s="191"/>
      <c r="H53" s="191"/>
      <c r="I53" s="192"/>
      <c r="N53" s="23"/>
      <c r="O53" s="3"/>
    </row>
    <row r="54" spans="1:15" ht="18.75" customHeight="1" x14ac:dyDescent="0.15">
      <c r="A54" s="1"/>
      <c r="B54" s="190"/>
      <c r="C54" s="191"/>
      <c r="D54" s="191"/>
      <c r="E54" s="191"/>
      <c r="F54" s="191"/>
      <c r="G54" s="191"/>
      <c r="H54" s="191"/>
      <c r="I54" s="192"/>
    </row>
    <row r="55" spans="1:15" ht="18.75" customHeight="1" x14ac:dyDescent="0.15">
      <c r="A55" s="1"/>
      <c r="B55" s="190"/>
      <c r="C55" s="191"/>
      <c r="D55" s="191"/>
      <c r="E55" s="191"/>
      <c r="F55" s="191"/>
      <c r="G55" s="191"/>
      <c r="H55" s="191"/>
      <c r="I55" s="192"/>
    </row>
    <row r="56" spans="1:15" ht="18.75" customHeight="1" x14ac:dyDescent="0.15">
      <c r="A56" s="1"/>
      <c r="B56" s="190"/>
      <c r="C56" s="191"/>
      <c r="D56" s="191"/>
      <c r="E56" s="191"/>
      <c r="F56" s="191"/>
      <c r="G56" s="191"/>
      <c r="H56" s="191"/>
      <c r="I56" s="192"/>
    </row>
    <row r="57" spans="1:15" ht="18.75" customHeight="1" x14ac:dyDescent="0.15">
      <c r="A57" s="1"/>
      <c r="B57" s="190"/>
      <c r="C57" s="191"/>
      <c r="D57" s="191"/>
      <c r="E57" s="191"/>
      <c r="F57" s="191"/>
      <c r="G57" s="191"/>
      <c r="H57" s="191"/>
      <c r="I57" s="192"/>
    </row>
    <row r="58" spans="1:15" ht="18.75" customHeight="1" x14ac:dyDescent="0.15">
      <c r="A58" s="1"/>
      <c r="B58" s="190"/>
      <c r="C58" s="191"/>
      <c r="D58" s="191"/>
      <c r="E58" s="191"/>
      <c r="F58" s="191"/>
      <c r="G58" s="191"/>
      <c r="H58" s="191"/>
      <c r="I58" s="192"/>
    </row>
    <row r="59" spans="1:15" ht="18.75" customHeight="1" x14ac:dyDescent="0.15">
      <c r="A59" s="1"/>
      <c r="B59" s="190"/>
      <c r="C59" s="191"/>
      <c r="D59" s="191"/>
      <c r="E59" s="191"/>
      <c r="F59" s="191"/>
      <c r="G59" s="191"/>
      <c r="H59" s="191"/>
      <c r="I59" s="192"/>
    </row>
    <row r="60" spans="1:15" ht="18.75" customHeight="1" x14ac:dyDescent="0.15">
      <c r="A60" s="1"/>
      <c r="B60" s="190"/>
      <c r="C60" s="191"/>
      <c r="D60" s="191"/>
      <c r="E60" s="191"/>
      <c r="F60" s="191"/>
      <c r="G60" s="191"/>
      <c r="H60" s="191"/>
      <c r="I60" s="192"/>
    </row>
    <row r="61" spans="1:15" ht="18.75" customHeight="1" x14ac:dyDescent="0.15">
      <c r="A61" s="1"/>
      <c r="B61" s="190"/>
      <c r="C61" s="191"/>
      <c r="D61" s="191"/>
      <c r="E61" s="191"/>
      <c r="F61" s="191"/>
      <c r="G61" s="191"/>
      <c r="H61" s="191"/>
      <c r="I61" s="192"/>
    </row>
    <row r="62" spans="1:15" ht="18.75" customHeight="1" x14ac:dyDescent="0.15">
      <c r="A62" s="1"/>
      <c r="B62" s="190"/>
      <c r="C62" s="191"/>
      <c r="D62" s="191"/>
      <c r="E62" s="191"/>
      <c r="F62" s="191"/>
      <c r="G62" s="191"/>
      <c r="H62" s="191"/>
      <c r="I62" s="192"/>
    </row>
    <row r="63" spans="1:15" ht="18.75" customHeight="1" x14ac:dyDescent="0.15">
      <c r="A63" s="1"/>
      <c r="B63" s="193"/>
      <c r="C63" s="194"/>
      <c r="D63" s="194"/>
      <c r="E63" s="194"/>
      <c r="F63" s="194"/>
      <c r="G63" s="194"/>
      <c r="H63" s="194"/>
      <c r="I63" s="195"/>
    </row>
    <row r="64" spans="1:15" ht="7.5" customHeight="1" x14ac:dyDescent="0.15">
      <c r="A64" s="14"/>
      <c r="B64" s="14"/>
      <c r="C64" s="14"/>
      <c r="D64" s="14"/>
      <c r="E64" s="14"/>
      <c r="F64" s="14"/>
      <c r="G64" s="14"/>
      <c r="H64" s="14"/>
      <c r="I64" s="14"/>
    </row>
    <row r="65" spans="1:9" ht="18.75" customHeight="1" x14ac:dyDescent="0.15">
      <c r="A65" s="15" t="s">
        <v>145</v>
      </c>
      <c r="B65" s="1" t="s">
        <v>146</v>
      </c>
      <c r="I65" s="15"/>
    </row>
    <row r="66" spans="1:9" ht="18.75" customHeight="1" x14ac:dyDescent="0.15">
      <c r="A66" s="4"/>
      <c r="B66" s="170" t="s">
        <v>147</v>
      </c>
      <c r="C66" s="171"/>
      <c r="D66" s="171"/>
      <c r="E66" s="171"/>
      <c r="F66" s="171"/>
      <c r="G66" s="171"/>
      <c r="H66" s="171"/>
      <c r="I66" s="172"/>
    </row>
    <row r="67" spans="1:9" ht="18.75" customHeight="1" x14ac:dyDescent="0.15">
      <c r="A67" s="4"/>
      <c r="B67" s="173"/>
      <c r="C67" s="174"/>
      <c r="D67" s="174"/>
      <c r="E67" s="174"/>
      <c r="F67" s="174"/>
      <c r="G67" s="174"/>
      <c r="H67" s="174"/>
      <c r="I67" s="175"/>
    </row>
    <row r="68" spans="1:9" ht="18.75" customHeight="1" x14ac:dyDescent="0.15">
      <c r="A68" s="4"/>
      <c r="B68" s="173"/>
      <c r="C68" s="174"/>
      <c r="D68" s="174"/>
      <c r="E68" s="174"/>
      <c r="F68" s="174"/>
      <c r="G68" s="174"/>
      <c r="H68" s="174"/>
      <c r="I68" s="175"/>
    </row>
    <row r="69" spans="1:9" ht="18.75" customHeight="1" x14ac:dyDescent="0.15">
      <c r="A69" s="4"/>
      <c r="B69" s="173"/>
      <c r="C69" s="174"/>
      <c r="D69" s="174"/>
      <c r="E69" s="174"/>
      <c r="F69" s="174"/>
      <c r="G69" s="174"/>
      <c r="H69" s="174"/>
      <c r="I69" s="175"/>
    </row>
    <row r="70" spans="1:9" ht="18.75" customHeight="1" x14ac:dyDescent="0.15">
      <c r="A70" s="4"/>
      <c r="B70" s="173"/>
      <c r="C70" s="174"/>
      <c r="D70" s="174"/>
      <c r="E70" s="174"/>
      <c r="F70" s="174"/>
      <c r="G70" s="174"/>
      <c r="H70" s="174"/>
      <c r="I70" s="175"/>
    </row>
    <row r="71" spans="1:9" ht="18.75" customHeight="1" x14ac:dyDescent="0.15">
      <c r="A71" s="4"/>
      <c r="B71" s="173"/>
      <c r="C71" s="174"/>
      <c r="D71" s="174"/>
      <c r="E71" s="174"/>
      <c r="F71" s="174"/>
      <c r="G71" s="174"/>
      <c r="H71" s="174"/>
      <c r="I71" s="175"/>
    </row>
    <row r="72" spans="1:9" ht="18.75" customHeight="1" x14ac:dyDescent="0.15">
      <c r="A72" s="4"/>
      <c r="B72" s="173"/>
      <c r="C72" s="174"/>
      <c r="D72" s="174"/>
      <c r="E72" s="174"/>
      <c r="F72" s="174"/>
      <c r="G72" s="174"/>
      <c r="H72" s="174"/>
      <c r="I72" s="175"/>
    </row>
    <row r="73" spans="1:9" ht="18.75" customHeight="1" x14ac:dyDescent="0.15">
      <c r="A73" s="4"/>
      <c r="B73" s="173"/>
      <c r="C73" s="174"/>
      <c r="D73" s="174"/>
      <c r="E73" s="174"/>
      <c r="F73" s="174"/>
      <c r="G73" s="174"/>
      <c r="H73" s="174"/>
      <c r="I73" s="175"/>
    </row>
    <row r="74" spans="1:9" ht="18.75" customHeight="1" x14ac:dyDescent="0.15">
      <c r="A74" s="4"/>
      <c r="B74" s="173"/>
      <c r="C74" s="174"/>
      <c r="D74" s="174"/>
      <c r="E74" s="174"/>
      <c r="F74" s="174"/>
      <c r="G74" s="174"/>
      <c r="H74" s="174"/>
      <c r="I74" s="175"/>
    </row>
    <row r="75" spans="1:9" ht="18.75" customHeight="1" x14ac:dyDescent="0.15">
      <c r="A75" s="4"/>
      <c r="B75" s="173"/>
      <c r="C75" s="174"/>
      <c r="D75" s="174"/>
      <c r="E75" s="174"/>
      <c r="F75" s="174"/>
      <c r="G75" s="174"/>
      <c r="H75" s="174"/>
      <c r="I75" s="175"/>
    </row>
    <row r="76" spans="1:9" ht="18.75" customHeight="1" x14ac:dyDescent="0.15">
      <c r="A76" s="4"/>
      <c r="B76" s="173"/>
      <c r="C76" s="174"/>
      <c r="D76" s="174"/>
      <c r="E76" s="174"/>
      <c r="F76" s="174"/>
      <c r="G76" s="174"/>
      <c r="H76" s="174"/>
      <c r="I76" s="175"/>
    </row>
    <row r="77" spans="1:9" ht="18.75" customHeight="1" x14ac:dyDescent="0.15">
      <c r="A77" s="4"/>
      <c r="B77" s="176"/>
      <c r="C77" s="177"/>
      <c r="D77" s="177"/>
      <c r="E77" s="177"/>
      <c r="F77" s="177"/>
      <c r="G77" s="177"/>
      <c r="H77" s="177"/>
      <c r="I77" s="178"/>
    </row>
    <row r="78" spans="1:9" ht="7.5" customHeight="1" x14ac:dyDescent="0.15">
      <c r="A78" s="4"/>
      <c r="B78" s="4"/>
      <c r="C78" s="4"/>
      <c r="D78" s="4"/>
      <c r="E78" s="4"/>
      <c r="F78" s="4"/>
      <c r="G78" s="4"/>
      <c r="H78" s="4"/>
      <c r="I78" s="4"/>
    </row>
    <row r="79" spans="1:9" ht="18.75" customHeight="1" x14ac:dyDescent="0.15">
      <c r="A79" s="1" t="s">
        <v>148</v>
      </c>
      <c r="B79" s="1" t="s">
        <v>149</v>
      </c>
    </row>
    <row r="80" spans="1:9" ht="18.75" customHeight="1" x14ac:dyDescent="0.15">
      <c r="A80" s="1"/>
      <c r="B80" s="170" t="s">
        <v>150</v>
      </c>
      <c r="C80" s="171"/>
      <c r="D80" s="171"/>
      <c r="E80" s="171"/>
      <c r="F80" s="171"/>
      <c r="G80" s="171"/>
      <c r="H80" s="171"/>
      <c r="I80" s="179"/>
    </row>
    <row r="81" spans="1:9" ht="18.75" customHeight="1" x14ac:dyDescent="0.15">
      <c r="A81" s="1"/>
      <c r="B81" s="180"/>
      <c r="C81" s="181"/>
      <c r="D81" s="181"/>
      <c r="E81" s="181"/>
      <c r="F81" s="181"/>
      <c r="G81" s="181"/>
      <c r="H81" s="181"/>
      <c r="I81" s="182"/>
    </row>
    <row r="82" spans="1:9" ht="18.75" customHeight="1" x14ac:dyDescent="0.15">
      <c r="A82" s="1"/>
      <c r="B82" s="180"/>
      <c r="C82" s="181"/>
      <c r="D82" s="181"/>
      <c r="E82" s="181"/>
      <c r="F82" s="181"/>
      <c r="G82" s="181"/>
      <c r="H82" s="181"/>
      <c r="I82" s="182"/>
    </row>
    <row r="83" spans="1:9" ht="18.75" customHeight="1" x14ac:dyDescent="0.15">
      <c r="A83" s="1"/>
      <c r="B83" s="180"/>
      <c r="C83" s="181"/>
      <c r="D83" s="181"/>
      <c r="E83" s="181"/>
      <c r="F83" s="181"/>
      <c r="G83" s="181"/>
      <c r="H83" s="181"/>
      <c r="I83" s="182"/>
    </row>
    <row r="84" spans="1:9" ht="18.75" customHeight="1" x14ac:dyDescent="0.15">
      <c r="A84" s="1"/>
      <c r="B84" s="180"/>
      <c r="C84" s="181"/>
      <c r="D84" s="181"/>
      <c r="E84" s="181"/>
      <c r="F84" s="181"/>
      <c r="G84" s="181"/>
      <c r="H84" s="181"/>
      <c r="I84" s="182"/>
    </row>
    <row r="85" spans="1:9" ht="18.75" customHeight="1" x14ac:dyDescent="0.15">
      <c r="A85" s="1"/>
      <c r="B85" s="180"/>
      <c r="C85" s="181"/>
      <c r="D85" s="181"/>
      <c r="E85" s="181"/>
      <c r="F85" s="181"/>
      <c r="G85" s="181"/>
      <c r="H85" s="181"/>
      <c r="I85" s="182"/>
    </row>
    <row r="86" spans="1:9" ht="18.75" customHeight="1" x14ac:dyDescent="0.15">
      <c r="A86" s="1"/>
      <c r="B86" s="180"/>
      <c r="C86" s="181"/>
      <c r="D86" s="181"/>
      <c r="E86" s="181"/>
      <c r="F86" s="181"/>
      <c r="G86" s="181"/>
      <c r="H86" s="181"/>
      <c r="I86" s="182"/>
    </row>
    <row r="87" spans="1:9" ht="18.75" customHeight="1" x14ac:dyDescent="0.15">
      <c r="A87" s="1"/>
      <c r="B87" s="180"/>
      <c r="C87" s="181"/>
      <c r="D87" s="181"/>
      <c r="E87" s="181"/>
      <c r="F87" s="181"/>
      <c r="G87" s="181"/>
      <c r="H87" s="181"/>
      <c r="I87" s="182"/>
    </row>
    <row r="88" spans="1:9" ht="18.75" customHeight="1" x14ac:dyDescent="0.15">
      <c r="A88" s="1"/>
      <c r="B88" s="180"/>
      <c r="C88" s="181"/>
      <c r="D88" s="181"/>
      <c r="E88" s="181"/>
      <c r="F88" s="181"/>
      <c r="G88" s="181"/>
      <c r="H88" s="181"/>
      <c r="I88" s="182"/>
    </row>
    <row r="89" spans="1:9" ht="18.75" customHeight="1" x14ac:dyDescent="0.15">
      <c r="A89" s="1"/>
      <c r="B89" s="180"/>
      <c r="C89" s="181"/>
      <c r="D89" s="181"/>
      <c r="E89" s="181"/>
      <c r="F89" s="181"/>
      <c r="G89" s="181"/>
      <c r="H89" s="181"/>
      <c r="I89" s="182"/>
    </row>
    <row r="90" spans="1:9" ht="18.75" customHeight="1" x14ac:dyDescent="0.15">
      <c r="A90" s="4"/>
      <c r="B90" s="180"/>
      <c r="C90" s="181"/>
      <c r="D90" s="181"/>
      <c r="E90" s="181"/>
      <c r="F90" s="181"/>
      <c r="G90" s="181"/>
      <c r="H90" s="181"/>
      <c r="I90" s="182"/>
    </row>
    <row r="91" spans="1:9" ht="18.75" customHeight="1" x14ac:dyDescent="0.15">
      <c r="A91" s="4"/>
      <c r="B91" s="183"/>
      <c r="C91" s="184"/>
      <c r="D91" s="184"/>
      <c r="E91" s="184"/>
      <c r="F91" s="184"/>
      <c r="G91" s="184"/>
      <c r="H91" s="184"/>
      <c r="I91" s="185"/>
    </row>
    <row r="92" spans="1:9" ht="7.5" customHeight="1" x14ac:dyDescent="0.15">
      <c r="A92" s="4"/>
      <c r="B92" s="4"/>
      <c r="C92" s="4"/>
      <c r="D92" s="4"/>
      <c r="E92" s="4"/>
      <c r="F92" s="4"/>
      <c r="G92" s="4"/>
      <c r="H92" s="4"/>
      <c r="I92" s="4"/>
    </row>
    <row r="93" spans="1:9" ht="18.75" customHeight="1" x14ac:dyDescent="0.15">
      <c r="A93" s="1" t="s">
        <v>151</v>
      </c>
      <c r="B93" s="1" t="s">
        <v>152</v>
      </c>
    </row>
    <row r="94" spans="1:9" ht="18.75" customHeight="1" x14ac:dyDescent="0.15">
      <c r="A94" s="1"/>
      <c r="B94" s="200" t="s">
        <v>153</v>
      </c>
      <c r="C94" s="201"/>
      <c r="D94" s="201"/>
      <c r="E94" s="201"/>
      <c r="F94" s="201"/>
      <c r="G94" s="201"/>
      <c r="H94" s="201"/>
      <c r="I94" s="202"/>
    </row>
    <row r="95" spans="1:9" ht="18.75" customHeight="1" x14ac:dyDescent="0.15">
      <c r="A95" s="1"/>
      <c r="B95" s="206"/>
      <c r="C95" s="207"/>
      <c r="D95" s="207"/>
      <c r="E95" s="207"/>
      <c r="F95" s="207"/>
      <c r="G95" s="207"/>
      <c r="H95" s="207"/>
      <c r="I95" s="205"/>
    </row>
    <row r="96" spans="1:9" ht="18.75" customHeight="1" x14ac:dyDescent="0.15">
      <c r="A96" s="1"/>
      <c r="B96" s="206"/>
      <c r="C96" s="207"/>
      <c r="D96" s="207"/>
      <c r="E96" s="207"/>
      <c r="F96" s="207"/>
      <c r="G96" s="207"/>
      <c r="H96" s="207"/>
      <c r="I96" s="205"/>
    </row>
    <row r="97" spans="1:9" ht="18.75" customHeight="1" x14ac:dyDescent="0.15">
      <c r="A97" s="1"/>
      <c r="B97" s="206"/>
      <c r="C97" s="207"/>
      <c r="D97" s="207"/>
      <c r="E97" s="207"/>
      <c r="F97" s="207"/>
      <c r="G97" s="207"/>
      <c r="H97" s="207"/>
      <c r="I97" s="205"/>
    </row>
    <row r="98" spans="1:9" ht="18.75" customHeight="1" x14ac:dyDescent="0.15">
      <c r="A98" s="1"/>
      <c r="B98" s="206"/>
      <c r="C98" s="207"/>
      <c r="D98" s="207"/>
      <c r="E98" s="207"/>
      <c r="F98" s="207"/>
      <c r="G98" s="207"/>
      <c r="H98" s="207"/>
      <c r="I98" s="205"/>
    </row>
    <row r="99" spans="1:9" ht="18.75" customHeight="1" x14ac:dyDescent="0.15">
      <c r="A99" s="1"/>
      <c r="B99" s="206"/>
      <c r="C99" s="207"/>
      <c r="D99" s="207"/>
      <c r="E99" s="207"/>
      <c r="F99" s="207"/>
      <c r="G99" s="207"/>
      <c r="H99" s="207"/>
      <c r="I99" s="205"/>
    </row>
    <row r="100" spans="1:9" ht="18.75" customHeight="1" x14ac:dyDescent="0.15">
      <c r="A100" s="1"/>
      <c r="B100" s="206"/>
      <c r="C100" s="207"/>
      <c r="D100" s="207"/>
      <c r="E100" s="207"/>
      <c r="F100" s="207"/>
      <c r="G100" s="207"/>
      <c r="H100" s="207"/>
      <c r="I100" s="205"/>
    </row>
    <row r="101" spans="1:9" ht="18.75" customHeight="1" x14ac:dyDescent="0.15">
      <c r="A101" s="1"/>
      <c r="B101" s="206"/>
      <c r="C101" s="207"/>
      <c r="D101" s="207"/>
      <c r="E101" s="207"/>
      <c r="F101" s="207"/>
      <c r="G101" s="207"/>
      <c r="H101" s="207"/>
      <c r="I101" s="205"/>
    </row>
    <row r="102" spans="1:9" ht="18.75" customHeight="1" x14ac:dyDescent="0.15">
      <c r="A102" s="1"/>
      <c r="B102" s="206"/>
      <c r="C102" s="207"/>
      <c r="D102" s="207"/>
      <c r="E102" s="207"/>
      <c r="F102" s="207"/>
      <c r="G102" s="207"/>
      <c r="H102" s="207"/>
      <c r="I102" s="205"/>
    </row>
    <row r="103" spans="1:9" ht="18.75" customHeight="1" x14ac:dyDescent="0.15">
      <c r="A103" s="1"/>
      <c r="B103" s="206"/>
      <c r="C103" s="207"/>
      <c r="D103" s="207"/>
      <c r="E103" s="207"/>
      <c r="F103" s="207"/>
      <c r="G103" s="207"/>
      <c r="H103" s="207"/>
      <c r="I103" s="205"/>
    </row>
    <row r="104" spans="1:9" ht="18.75" customHeight="1" x14ac:dyDescent="0.15">
      <c r="A104" s="1"/>
      <c r="B104" s="206"/>
      <c r="C104" s="207"/>
      <c r="D104" s="207"/>
      <c r="E104" s="207"/>
      <c r="F104" s="207"/>
      <c r="G104" s="207"/>
      <c r="H104" s="207"/>
      <c r="I104" s="205"/>
    </row>
    <row r="105" spans="1:9" ht="18.75" customHeight="1" x14ac:dyDescent="0.15">
      <c r="A105" s="4"/>
      <c r="B105" s="208"/>
      <c r="C105" s="209"/>
      <c r="D105" s="209"/>
      <c r="E105" s="209"/>
      <c r="F105" s="209"/>
      <c r="G105" s="209"/>
      <c r="H105" s="209"/>
      <c r="I105" s="210"/>
    </row>
    <row r="106" spans="1:9" ht="7.5" customHeight="1" x14ac:dyDescent="0.15">
      <c r="A106" s="4"/>
      <c r="B106" s="4"/>
      <c r="C106" s="4"/>
      <c r="D106" s="4"/>
      <c r="E106" s="4"/>
      <c r="F106" s="4"/>
      <c r="G106" s="4"/>
      <c r="H106" s="4"/>
      <c r="I106" s="4"/>
    </row>
    <row r="107" spans="1:9" ht="18.75" customHeight="1" x14ac:dyDescent="0.15">
      <c r="A107" s="1" t="s">
        <v>154</v>
      </c>
      <c r="B107" s="217" t="s">
        <v>155</v>
      </c>
      <c r="C107" s="217"/>
      <c r="D107" s="217"/>
      <c r="E107" s="217"/>
      <c r="F107" s="217"/>
      <c r="G107" s="217"/>
      <c r="H107" s="217"/>
      <c r="I107" s="217"/>
    </row>
    <row r="108" spans="1:9" ht="18.75" customHeight="1" x14ac:dyDescent="0.15">
      <c r="A108" s="4"/>
      <c r="B108" s="200" t="s">
        <v>156</v>
      </c>
      <c r="C108" s="201"/>
      <c r="D108" s="201"/>
      <c r="E108" s="201"/>
      <c r="F108" s="201"/>
      <c r="G108" s="201"/>
      <c r="H108" s="201"/>
      <c r="I108" s="202"/>
    </row>
    <row r="109" spans="1:9" ht="18.75" customHeight="1" x14ac:dyDescent="0.15">
      <c r="A109" s="4"/>
      <c r="B109" s="206"/>
      <c r="C109" s="207"/>
      <c r="D109" s="207"/>
      <c r="E109" s="207"/>
      <c r="F109" s="207"/>
      <c r="G109" s="207"/>
      <c r="H109" s="207"/>
      <c r="I109" s="205"/>
    </row>
    <row r="110" spans="1:9" ht="18.75" customHeight="1" x14ac:dyDescent="0.15">
      <c r="A110" s="4"/>
      <c r="B110" s="206"/>
      <c r="C110" s="207"/>
      <c r="D110" s="207"/>
      <c r="E110" s="207"/>
      <c r="F110" s="207"/>
      <c r="G110" s="207"/>
      <c r="H110" s="207"/>
      <c r="I110" s="205"/>
    </row>
    <row r="111" spans="1:9" ht="18.75" customHeight="1" x14ac:dyDescent="0.15">
      <c r="A111" s="4"/>
      <c r="B111" s="206"/>
      <c r="C111" s="207"/>
      <c r="D111" s="207"/>
      <c r="E111" s="207"/>
      <c r="F111" s="207"/>
      <c r="G111" s="207"/>
      <c r="H111" s="207"/>
      <c r="I111" s="205"/>
    </row>
    <row r="112" spans="1:9" ht="18.75" customHeight="1" x14ac:dyDescent="0.15">
      <c r="A112" s="4"/>
      <c r="B112" s="206"/>
      <c r="C112" s="207"/>
      <c r="D112" s="207"/>
      <c r="E112" s="207"/>
      <c r="F112" s="207"/>
      <c r="G112" s="207"/>
      <c r="H112" s="207"/>
      <c r="I112" s="205"/>
    </row>
    <row r="113" spans="1:9" ht="18.75" customHeight="1" x14ac:dyDescent="0.15">
      <c r="A113" s="4"/>
      <c r="B113" s="206"/>
      <c r="C113" s="207"/>
      <c r="D113" s="207"/>
      <c r="E113" s="207"/>
      <c r="F113" s="207"/>
      <c r="G113" s="207"/>
      <c r="H113" s="207"/>
      <c r="I113" s="205"/>
    </row>
    <row r="114" spans="1:9" ht="18.75" customHeight="1" x14ac:dyDescent="0.15">
      <c r="A114" s="4"/>
      <c r="B114" s="206"/>
      <c r="C114" s="207"/>
      <c r="D114" s="207"/>
      <c r="E114" s="207"/>
      <c r="F114" s="207"/>
      <c r="G114" s="207"/>
      <c r="H114" s="207"/>
      <c r="I114" s="205"/>
    </row>
    <row r="115" spans="1:9" ht="18.75" customHeight="1" x14ac:dyDescent="0.15">
      <c r="A115" s="4"/>
      <c r="B115" s="206"/>
      <c r="C115" s="207"/>
      <c r="D115" s="207"/>
      <c r="E115" s="207"/>
      <c r="F115" s="207"/>
      <c r="G115" s="207"/>
      <c r="H115" s="207"/>
      <c r="I115" s="205"/>
    </row>
    <row r="116" spans="1:9" ht="18.75" customHeight="1" x14ac:dyDescent="0.15">
      <c r="A116" s="4"/>
      <c r="B116" s="206"/>
      <c r="C116" s="207"/>
      <c r="D116" s="207"/>
      <c r="E116" s="207"/>
      <c r="F116" s="207"/>
      <c r="G116" s="207"/>
      <c r="H116" s="207"/>
      <c r="I116" s="205"/>
    </row>
    <row r="117" spans="1:9" ht="18.75" customHeight="1" x14ac:dyDescent="0.15">
      <c r="A117" s="4"/>
      <c r="B117" s="206"/>
      <c r="C117" s="207"/>
      <c r="D117" s="207"/>
      <c r="E117" s="207"/>
      <c r="F117" s="207"/>
      <c r="G117" s="207"/>
      <c r="H117" s="207"/>
      <c r="I117" s="205"/>
    </row>
    <row r="118" spans="1:9" ht="18.75" customHeight="1" x14ac:dyDescent="0.15">
      <c r="A118" s="4"/>
      <c r="B118" s="206"/>
      <c r="C118" s="207"/>
      <c r="D118" s="207"/>
      <c r="E118" s="207"/>
      <c r="F118" s="207"/>
      <c r="G118" s="207"/>
      <c r="H118" s="207"/>
      <c r="I118" s="205"/>
    </row>
    <row r="119" spans="1:9" ht="18.75" customHeight="1" x14ac:dyDescent="0.15">
      <c r="A119" s="4"/>
      <c r="B119" s="208"/>
      <c r="C119" s="209"/>
      <c r="D119" s="209"/>
      <c r="E119" s="209"/>
      <c r="F119" s="209"/>
      <c r="G119" s="209"/>
      <c r="H119" s="209"/>
      <c r="I119" s="210"/>
    </row>
    <row r="120" spans="1:9" ht="7.5" customHeight="1" x14ac:dyDescent="0.15">
      <c r="A120" s="4"/>
      <c r="B120" s="25"/>
      <c r="C120" s="25"/>
      <c r="D120" s="25"/>
      <c r="E120" s="25"/>
      <c r="F120" s="25"/>
      <c r="G120" s="25"/>
      <c r="H120" s="25"/>
      <c r="I120" s="25"/>
    </row>
    <row r="121" spans="1:9" ht="18.75" customHeight="1" x14ac:dyDescent="0.15">
      <c r="A121" s="51"/>
      <c r="B121" s="196"/>
      <c r="C121" s="196"/>
      <c r="D121" s="196"/>
      <c r="E121" s="196"/>
      <c r="F121" s="196"/>
      <c r="G121" s="196"/>
      <c r="H121" s="196"/>
      <c r="I121" s="196"/>
    </row>
    <row r="122" spans="1:9" ht="18.75" customHeight="1" x14ac:dyDescent="0.15">
      <c r="A122" s="51"/>
      <c r="B122" s="196"/>
      <c r="C122" s="196"/>
      <c r="D122" s="196"/>
      <c r="E122" s="196"/>
      <c r="F122" s="196"/>
      <c r="G122" s="196"/>
      <c r="H122" s="196"/>
      <c r="I122" s="196"/>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M13" sqref="M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157</v>
      </c>
      <c r="I1" s="18" t="s">
        <v>158</v>
      </c>
    </row>
    <row r="2" spans="1:9" ht="18.75" customHeight="1" x14ac:dyDescent="0.15">
      <c r="H2" s="18" t="s">
        <v>2</v>
      </c>
      <c r="I2" s="17" t="str">
        <f>'様式１-2　プログラムを構成する授業科目'!C2</f>
        <v>旭川市立大学</v>
      </c>
    </row>
    <row r="3" spans="1:9" ht="18.75" customHeight="1" x14ac:dyDescent="0.15">
      <c r="A3" s="141" t="s">
        <v>159</v>
      </c>
      <c r="B3" s="141"/>
      <c r="C3" s="141"/>
      <c r="D3" s="141"/>
      <c r="E3" s="141"/>
      <c r="F3" s="141"/>
      <c r="G3" s="141"/>
      <c r="H3" s="141"/>
      <c r="I3" s="141"/>
    </row>
    <row r="4" spans="1:9" ht="18.75" customHeight="1" x14ac:dyDescent="0.15">
      <c r="A4" s="5"/>
      <c r="B4" s="5"/>
      <c r="C4" s="5"/>
      <c r="D4" s="5"/>
      <c r="E4" s="5"/>
      <c r="F4" s="5"/>
      <c r="G4" s="5"/>
      <c r="H4" s="5"/>
      <c r="I4" s="5"/>
    </row>
    <row r="5" spans="1:9" ht="18.75" customHeight="1" x14ac:dyDescent="0.15">
      <c r="A5" s="1" t="s">
        <v>112</v>
      </c>
      <c r="B5" s="10" t="s">
        <v>160</v>
      </c>
      <c r="C5" s="5"/>
      <c r="D5" s="5"/>
      <c r="E5" s="5"/>
      <c r="F5" s="5"/>
      <c r="G5" s="5"/>
      <c r="H5" s="5"/>
      <c r="I5" s="5"/>
    </row>
    <row r="6" spans="1:9" ht="26.25" customHeight="1" x14ac:dyDescent="0.15">
      <c r="A6" s="5"/>
      <c r="B6" s="211" t="s">
        <v>192</v>
      </c>
      <c r="C6" s="243"/>
      <c r="D6" s="243"/>
      <c r="E6" s="243"/>
      <c r="F6" s="243"/>
      <c r="G6" s="243"/>
      <c r="H6" s="244"/>
      <c r="I6" s="3"/>
    </row>
    <row r="7" spans="1:9" ht="9" customHeight="1" x14ac:dyDescent="0.15">
      <c r="A7" s="5"/>
      <c r="B7" s="10"/>
      <c r="C7" s="10"/>
      <c r="D7" s="10"/>
      <c r="E7" s="10"/>
      <c r="F7" s="10"/>
      <c r="G7" s="10"/>
      <c r="H7" s="10"/>
      <c r="I7" s="3"/>
    </row>
    <row r="8" spans="1:9" ht="18.75" customHeight="1" x14ac:dyDescent="0.15">
      <c r="A8" s="5"/>
      <c r="B8" s="3"/>
      <c r="C8" s="3"/>
      <c r="D8" s="18" t="s">
        <v>120</v>
      </c>
      <c r="E8" s="19" t="s">
        <v>121</v>
      </c>
      <c r="F8" s="3"/>
      <c r="G8" s="18" t="s">
        <v>122</v>
      </c>
      <c r="H8" s="19" t="s">
        <v>123</v>
      </c>
      <c r="I8" s="3"/>
    </row>
    <row r="9" spans="1:9" ht="7.5" customHeight="1" x14ac:dyDescent="0.15">
      <c r="A9" s="5"/>
      <c r="B9" s="5"/>
      <c r="C9" s="5"/>
      <c r="D9" s="5"/>
      <c r="E9" s="5"/>
      <c r="F9" s="5"/>
      <c r="G9" s="5"/>
      <c r="H9" s="5"/>
      <c r="I9" s="5"/>
    </row>
    <row r="10" spans="1:9" ht="18.75" customHeight="1" x14ac:dyDescent="0.15">
      <c r="A10" s="1" t="s">
        <v>116</v>
      </c>
      <c r="B10" s="1" t="s">
        <v>161</v>
      </c>
      <c r="C10" s="4"/>
      <c r="D10" s="4"/>
      <c r="E10" s="4"/>
      <c r="F10" s="4"/>
      <c r="G10" s="4"/>
      <c r="H10" s="4"/>
      <c r="I10" s="4"/>
    </row>
    <row r="11" spans="1:9" ht="18.75" customHeight="1" x14ac:dyDescent="0.15">
      <c r="B11" s="109" t="s">
        <v>162</v>
      </c>
      <c r="C11" s="110"/>
      <c r="D11" s="111"/>
      <c r="E11" s="110" t="s">
        <v>163</v>
      </c>
      <c r="F11" s="110"/>
      <c r="G11" s="110"/>
      <c r="H11" s="110"/>
      <c r="I11" s="111"/>
    </row>
    <row r="12" spans="1:9" ht="26.25" customHeight="1" x14ac:dyDescent="0.15">
      <c r="B12" s="26" t="s">
        <v>164</v>
      </c>
      <c r="C12" s="33"/>
      <c r="D12" s="27"/>
      <c r="E12" s="34"/>
      <c r="F12" s="34"/>
      <c r="G12" s="34"/>
      <c r="H12" s="34"/>
      <c r="I12" s="27"/>
    </row>
    <row r="13" spans="1:9" ht="210.75" customHeight="1" x14ac:dyDescent="0.15">
      <c r="B13" s="28"/>
      <c r="C13" s="226" t="s">
        <v>165</v>
      </c>
      <c r="D13" s="227"/>
      <c r="E13" s="239" t="s">
        <v>166</v>
      </c>
      <c r="F13" s="228"/>
      <c r="G13" s="228"/>
      <c r="H13" s="228"/>
      <c r="I13" s="229"/>
    </row>
    <row r="14" spans="1:9" ht="210.75" customHeight="1" x14ac:dyDescent="0.15">
      <c r="B14" s="28"/>
      <c r="C14" s="241" t="s">
        <v>167</v>
      </c>
      <c r="D14" s="242"/>
      <c r="E14" s="239" t="s">
        <v>168</v>
      </c>
      <c r="F14" s="228"/>
      <c r="G14" s="228"/>
      <c r="H14" s="228"/>
      <c r="I14" s="229"/>
    </row>
    <row r="15" spans="1:9" ht="210.75" customHeight="1" x14ac:dyDescent="0.15">
      <c r="B15" s="28"/>
      <c r="C15" s="226" t="s">
        <v>169</v>
      </c>
      <c r="D15" s="227"/>
      <c r="E15" s="239" t="s">
        <v>170</v>
      </c>
      <c r="F15" s="228"/>
      <c r="G15" s="228"/>
      <c r="H15" s="228"/>
      <c r="I15" s="229"/>
    </row>
    <row r="16" spans="1:9" ht="210.75" customHeight="1" x14ac:dyDescent="0.15">
      <c r="B16" s="28"/>
      <c r="C16" s="226" t="s">
        <v>171</v>
      </c>
      <c r="D16" s="227"/>
      <c r="E16" s="239" t="s">
        <v>172</v>
      </c>
      <c r="F16" s="228"/>
      <c r="G16" s="228"/>
      <c r="H16" s="228"/>
      <c r="I16" s="229"/>
    </row>
    <row r="17" spans="2:9" ht="210.75" customHeight="1" x14ac:dyDescent="0.15">
      <c r="B17" s="29"/>
      <c r="C17" s="230" t="s">
        <v>173</v>
      </c>
      <c r="D17" s="231"/>
      <c r="E17" s="240" t="s">
        <v>174</v>
      </c>
      <c r="F17" s="232"/>
      <c r="G17" s="232"/>
      <c r="H17" s="232"/>
      <c r="I17" s="233"/>
    </row>
    <row r="18" spans="2:9" ht="24" customHeight="1" x14ac:dyDescent="0.15">
      <c r="B18" s="26" t="s">
        <v>175</v>
      </c>
      <c r="C18" s="30"/>
      <c r="D18" s="31"/>
      <c r="E18" s="32"/>
      <c r="F18" s="32"/>
      <c r="G18" s="32"/>
      <c r="H18" s="32"/>
      <c r="I18" s="35"/>
    </row>
    <row r="19" spans="2:9" ht="218.25" customHeight="1" x14ac:dyDescent="0.15">
      <c r="B19" s="28"/>
      <c r="C19" s="226" t="s">
        <v>176</v>
      </c>
      <c r="D19" s="227"/>
      <c r="E19" s="228" t="s">
        <v>177</v>
      </c>
      <c r="F19" s="228"/>
      <c r="G19" s="228"/>
      <c r="H19" s="228"/>
      <c r="I19" s="229"/>
    </row>
    <row r="20" spans="2:9" ht="218.25" customHeight="1" x14ac:dyDescent="0.15">
      <c r="B20" s="29"/>
      <c r="C20" s="230" t="s">
        <v>178</v>
      </c>
      <c r="D20" s="231"/>
      <c r="E20" s="232" t="s">
        <v>179</v>
      </c>
      <c r="F20" s="232"/>
      <c r="G20" s="232"/>
      <c r="H20" s="232"/>
      <c r="I20" s="233"/>
    </row>
    <row r="21" spans="2:9" ht="218.25" customHeight="1" x14ac:dyDescent="0.15">
      <c r="B21" s="234" t="s">
        <v>180</v>
      </c>
      <c r="C21" s="235"/>
      <c r="D21" s="236"/>
      <c r="E21" s="237" t="s">
        <v>181</v>
      </c>
      <c r="F21" s="237"/>
      <c r="G21" s="237"/>
      <c r="H21" s="237"/>
      <c r="I21" s="238"/>
    </row>
    <row r="22" spans="2:9" ht="218.25" customHeight="1" x14ac:dyDescent="0.15">
      <c r="B22" s="221" t="s">
        <v>182</v>
      </c>
      <c r="C22" s="222"/>
      <c r="D22" s="223"/>
      <c r="E22" s="224" t="s">
        <v>183</v>
      </c>
      <c r="F22" s="224"/>
      <c r="G22" s="224"/>
      <c r="H22" s="224"/>
      <c r="I22" s="22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54CCE42E5B8F940A97E89C0721940BF" ma:contentTypeVersion="13" ma:contentTypeDescription="新しいドキュメントを作成します。" ma:contentTypeScope="" ma:versionID="a8965000707fcac93fd7ede3ebbf9c48">
  <xsd:schema xmlns:xsd="http://www.w3.org/2001/XMLSchema" xmlns:xs="http://www.w3.org/2001/XMLSchema" xmlns:p="http://schemas.microsoft.com/office/2006/metadata/properties" xmlns:ns2="2b4aae45-4866-4b5b-870f-f6e7160cd90e" xmlns:ns3="7b724cbf-2477-4d67-b30c-b4ceb496ac0d" targetNamespace="http://schemas.microsoft.com/office/2006/metadata/properties" ma:root="true" ma:fieldsID="d5a71b5bf57b17435d9b9c20da81ab4f" ns2:_="" ns3:_="">
    <xsd:import namespace="2b4aae45-4866-4b5b-870f-f6e7160cd90e"/>
    <xsd:import namespace="7b724cbf-2477-4d67-b30c-b4ceb496ac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aae45-4866-4b5b-870f-f6e7160cd9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49879009-d439-4e88-a6d0-d70e3ab1057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724cbf-2477-4d67-b30c-b4ceb496ac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243dfc5-8ca4-4799-81d7-e113694c3e2e}" ma:internalName="TaxCatchAll" ma:showField="CatchAllData" ma:web="7b724cbf-2477-4d67-b30c-b4ceb496ac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b724cbf-2477-4d67-b30c-b4ceb496ac0d" xsi:nil="true"/>
    <lcf76f155ced4ddcb4097134ff3c332f xmlns="2b4aae45-4866-4b5b-870f-f6e7160cd90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1671A7-7FFC-41FA-9B19-AD7846237F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4aae45-4866-4b5b-870f-f6e7160cd90e"/>
    <ds:schemaRef ds:uri="7b724cbf-2477-4d67-b30c-b4ceb496ac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51FC59-B8C0-40DF-A833-DFF8DC5C1FC2}">
  <ds:schemaRefs>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2b4aae45-4866-4b5b-870f-f6e7160cd90e"/>
    <ds:schemaRef ds:uri="http://purl.org/dc/terms/"/>
    <ds:schemaRef ds:uri="http://purl.org/dc/elements/1.1/"/>
    <ds:schemaRef ds:uri="http://schemas.microsoft.com/office/infopath/2007/PartnerControls"/>
    <ds:schemaRef ds:uri="7b724cbf-2477-4d67-b30c-b4ceb496ac0d"/>
    <ds:schemaRef ds:uri="http://purl.org/dc/dcmitype/"/>
  </ds:schemaRefs>
</ds:datastoreItem>
</file>

<file path=customXml/itemProps3.xml><?xml version="1.0" encoding="utf-8"?>
<ds:datastoreItem xmlns:ds="http://schemas.openxmlformats.org/officeDocument/2006/customXml" ds:itemID="{5304A8A5-2599-497E-9713-EC56FA01EB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様式１-2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小川 春菜</dc:creator>
  <cp:keywords/>
  <dc:description/>
  <cp:lastModifiedBy>内山 優平</cp:lastModifiedBy>
  <cp:revision/>
  <cp:lastPrinted>2025-07-07T10:58:07Z</cp:lastPrinted>
  <dcterms:created xsi:type="dcterms:W3CDTF">2011-06-14T05:32:50Z</dcterms:created>
  <dcterms:modified xsi:type="dcterms:W3CDTF">2025-07-07T10:58:33Z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0x010100D54CCE42E5B8F940A97E89C0721940BF</vt:lpwstr>
  </property>
  <property fmtid="{D5CDD505-2E9C-101B-9397-08002B2CF9AE}" pid="10" name="MediaServiceImageTags">
    <vt:lpwstr/>
  </property>
</Properties>
</file>