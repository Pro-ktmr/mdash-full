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160.237.20.30\kyoumu\23_MDASH(数理・データサイエンス・AI教育プログラム認定制度)\14_文科省本申請書類\07_提出用ファイル\2025年7月再々提出\■再々提出_リテラシー052_多摩大学\"/>
    </mc:Choice>
  </mc:AlternateContent>
  <xr:revisionPtr revIDLastSave="0" documentId="13_ncr:1_{913C2C1A-7F2A-4DEB-9015-EFDA8A7A02EB}" xr6:coauthVersionLast="47" xr6:coauthVersionMax="47" xr10:uidLastSave="{00000000-0000-0000-0000-000000000000}"/>
  <bookViews>
    <workbookView xWindow="-120" yWindow="-120" windowWidth="29040" windowHeight="15720" tabRatio="885" activeTab="3" xr2:uid="{00000000-000D-0000-FFFF-FFFF00000000}"/>
  </bookViews>
  <sheets>
    <sheet name="様式１-1　プログラムを構成する授業科目 (SMIS)" sheetId="43" r:id="rId1"/>
    <sheet name="様式１-2　プログラムを構成する授業科目(SGS)" sheetId="39" r:id="rId2"/>
    <sheet name="様式２ 履修者等数の実績" sheetId="40" r:id="rId3"/>
    <sheet name="様式３教育の質・履修者数を向上のための体制(SMIS・SGS)" sheetId="41" r:id="rId4"/>
    <sheet name="様式４　自己点検・評価" sheetId="42" r:id="rId5"/>
  </sheets>
  <definedNames>
    <definedName name="_xlnm._FilterDatabase" localSheetId="0" hidden="1">'様式１-1　プログラムを構成する授業科目 (SMIS)'!$X$16:$X$18</definedName>
    <definedName name="_xlnm._FilterDatabase" localSheetId="1" hidden="1">'様式１-2　プログラムを構成する授業科目(SGS)'!$X$16:$X$18</definedName>
    <definedName name="_xlnm._FilterDatabase" localSheetId="2" hidden="1">'様式２ 履修者等数の実績'!#REF!</definedName>
    <definedName name="_xlnm.Print_Area" localSheetId="0">'様式１-1　プログラムを構成する授業科目 (SMIS)'!$A$1:$U$105</definedName>
    <definedName name="_xlnm.Print_Area" localSheetId="1">'様式１-2　プログラムを構成する授業科目(SGS)'!$A$1:$U$105</definedName>
    <definedName name="_xlnm.Print_Area" localSheetId="2">'様式２ 履修者等数の実績'!$A$1:$S$33</definedName>
    <definedName name="_xlnm.Print_Area" localSheetId="3">'様式３教育の質・履修者数を向上のための体制(SMIS・SGS)'!$A$1:$I$105</definedName>
    <definedName name="_xlnm.Print_Area" localSheetId="4">'様式４　自己点検・評価'!$A$1:$I$22</definedName>
    <definedName name="_xlnm.Print_Titles" localSheetId="4">'様式４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4" i="41" l="1"/>
  <c r="E33" i="40"/>
  <c r="I45" i="41" s="1"/>
  <c r="S13" i="40" l="1"/>
  <c r="R13" i="40"/>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C33" i="40"/>
  <c r="G33" i="40" l="1"/>
  <c r="F33" i="40" l="1"/>
  <c r="D33" i="40"/>
  <c r="S31" i="40"/>
  <c r="S30" i="40"/>
  <c r="S29" i="40"/>
  <c r="S28" i="40"/>
  <c r="S27" i="40"/>
  <c r="S26" i="40"/>
  <c r="S25" i="40"/>
  <c r="S24" i="40"/>
  <c r="S23" i="40"/>
  <c r="S22" i="40"/>
  <c r="S21" i="40"/>
  <c r="S20" i="40"/>
  <c r="S19" i="40"/>
  <c r="S18" i="40"/>
  <c r="S17" i="40"/>
  <c r="S16" i="40"/>
  <c r="S15" i="40"/>
  <c r="S14" i="40"/>
  <c r="R33" i="40" l="1"/>
  <c r="S33" i="40" s="1"/>
</calcChain>
</file>

<file path=xl/sharedStrings.xml><?xml version="1.0" encoding="utf-8"?>
<sst xmlns="http://schemas.openxmlformats.org/spreadsheetml/2006/main" count="447" uniqueCount="205">
  <si>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</si>
  <si>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</si>
  <si>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</si>
  <si>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</si>
  <si>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</si>
  <si>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</si>
  <si>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</si>
  <si>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</si>
  <si>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</si>
  <si>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</si>
  <si>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</si>
  <si>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</si>
  <si>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</si>
  <si>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</si>
  <si>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</si>
  <si>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</si>
  <si>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</si>
  <si>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</si>
  <si>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</si>
  <si>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</si>
  <si>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</si>
  <si>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</si>
  <si>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</si>
  <si>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</si>
  <si>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</si>
  <si>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</si>
  <si>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</si>
  <si>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</si>
  <si>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</si>
  <si>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</si>
  <si>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</si>
  <si>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</si>
  <si>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</si>
  <si>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</si>
  <si>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</si>
  <si>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</si>
  <si>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</si>
  <si>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</si>
  <si>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</si>
  <si>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</si>
  <si>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</si>
  <si>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</si>
  <si>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</si>
  <si>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</si>
  <si>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</si>
  <si>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</si>
  <si>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</si>
  <si>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</si>
  <si>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</si>
  <si>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</si>
  <si>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</si>
  <si>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</si>
  <si>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</si>
  <si>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</si>
  <si>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</si>
  <si>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</si>
  <si>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</si>
  <si>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</si>
  <si>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</si>
  <si>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</si>
  <si>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</si>
  <si>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</si>
  <si>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</si>
  <si>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</si>
  <si>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</si>
  <si>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</si>
  <si>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</si>
  <si>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</si>
  <si>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</si>
  <si>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</si>
  <si>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</si>
  <si>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</si>
  <si>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</si>
  <si>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</si>
  <si>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</si>
  <si>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</si>
  <si>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</si>
  <si>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</si>
  <si>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</si>
  <si>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</si>
  <si>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</si>
  <si>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</si>
  <si>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</si>
  <si>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</si>
  <si>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</si>
  <si>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</si>
  <si>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</si>
  <si>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</si>
  <si>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</si>
  <si>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</si>
  <si>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</si>
  <si>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</si>
  <si>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</si>
  <si>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</si>
  <si>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</si>
  <si>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</si>
  <si>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</si>
  <si>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</si>
  <si>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</si>
  <si>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</si>
  <si>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</si>
  <si>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</si>
  <si>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</si>
  <si>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</si>
  <si>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</si>
  <si>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</si>
  <si>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</si>
  <si>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</si>
  <si>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</si>
  <si>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</si>
  <si>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</si>
  <si>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</si>
  <si>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</si>
  <si>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</si>
  <si>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</si>
  <si>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学部・学科によって、修了要件は相違する</t>
  </si>
  <si>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</si>
  <si>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</si>
  <si>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</si>
  <si>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</si>
  <si>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</si>
  <si>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</si>
  <si>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</si>
  <si>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</si>
  <si>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</si>
  <si>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</si>
  <si>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</si>
  <si>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</si>
  <si>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</si>
  <si>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</si>
  <si>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</si>
  <si>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</si>
  <si>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</si>
  <si>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</si>
  <si>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</si>
  <si>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</si>
  <si>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</si>
  <si>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</si>
  <si>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</si>
  <si>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</si>
  <si>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</si>
  <si>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</si>
  <si>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多摩大学</t>
    <phoneticPr fontId="1"/>
  </si>
  <si>
    <t>多摩大学 数理・データサイエンス・AI教育基礎プログラム</t>
    <rPh sb="5" eb="7">
      <t>スウリ</t>
    </rPh>
    <rPh sb="19" eb="21">
      <t>キョウイク</t>
    </rPh>
    <rPh sb="21" eb="23">
      <t>キソ</t>
    </rPh>
    <phoneticPr fontId="1"/>
  </si>
  <si>
    <t>AIの活用基礎</t>
    <phoneticPr fontId="1"/>
  </si>
  <si>
    <t>○</t>
  </si>
  <si>
    <t>ICTコミュニケーション入門</t>
    <phoneticPr fontId="1"/>
  </si>
  <si>
    <t>経営情報学部</t>
    <rPh sb="0" eb="2">
      <t>ケイエイ</t>
    </rPh>
    <rPh sb="2" eb="6">
      <t>ジョウホウガクブ</t>
    </rPh>
    <phoneticPr fontId="1"/>
  </si>
  <si>
    <t>グローバルスタディーズ学部</t>
    <rPh sb="11" eb="13">
      <t>ガクブ</t>
    </rPh>
    <phoneticPr fontId="1"/>
  </si>
  <si>
    <t>プログラムを構成する科目すべて、下記２科目合計４単位を修得すること。
１．AIの活用基礎、２．ICTコミュニケーション入門</t>
    <phoneticPr fontId="1"/>
  </si>
  <si>
    <t>AI・ゲーム・デジタル産業</t>
    <phoneticPr fontId="1"/>
  </si>
  <si>
    <t>杉田　文章</t>
    <phoneticPr fontId="1"/>
  </si>
  <si>
    <t>教授(副学長)</t>
    <phoneticPr fontId="1"/>
  </si>
  <si>
    <t>多摩大学教学マネジメント会議規程</t>
    <phoneticPr fontId="1"/>
  </si>
  <si>
    <t>小西　英行</t>
    <phoneticPr fontId="1"/>
  </si>
  <si>
    <t>・社会におけるデータ・ＡＩ利活用に関する知識やデータを適切に読み解く能力</t>
    <phoneticPr fontId="1"/>
  </si>
  <si>
    <t>【経営情報学部】
本プログラムは2024年度以降入学生を対象としていることから、1年生のみを対象とした場合、365名中188名が履修し、修了者数は137名という結果になった。これは1年生の半分以上が本プログラムを履修し、且つ、70％を超える履修者がリテラシーレベルを修了したこととなるため、良好な結果であると評価できる。
【グローバルスタディーズ学部】
グローバルスタディーズ学部の本プログラムを構成する2つの授業において履修者は「AI・ゲームデジタル産業」が30名、「調査法入門：量的」が4名であった。両科目を修了した者は1名なので、ガイダンス等で履修者数を上げる改善が必要である。</t>
    <phoneticPr fontId="1"/>
  </si>
  <si>
    <t>【経営情報学部】
・本プログラムを構成する｢AIの活用基礎｣では、毎回の授業で課題提出を課しており、各回の講義における学生ごとの習熟度を確認する上で活用されている。
・2024年度より本プログラムを構成する｢ICTコミュニケーション入門｣では、Excel表計算処理技能認定試験3級のCBT方式による試験を学内で実施することを通して、学修成果の測定を実施した。今後、デジタル教材の有効活用により、試験の合格率の向上にも努めていく予定である。
【グローバルスタディーズ学部】
・「AI・ゲーム・デジタル産業」では、課題及び発表、復習テスト、期末テストを実施し、データサイエンス・AIへの理解と基礎的な能力を身につけることができている。
・「調査法入門：量的」では、中間レポート及び期末レポートを実施し、量的データの集計方法の理解を深めている。</t>
    <phoneticPr fontId="1"/>
  </si>
  <si>
    <t>【経営情報学部】
項番1で示したとおり、2024年度の履修者数については良好な結果がえられている。
また、当該プログラムを構成する科目である｢AIの活用基礎｣を、2025年度より1クラスから2クラス編成に見直すことで、履修者の増加を図っていく。
【グローバルスタディーズ学部】
「AI・ゲームデジタル産業」が30名、「調査法入門：量的」が4名であることから、特に「調査法入門：量的」の履修者増に向けた取り組みを行う。</t>
    <phoneticPr fontId="1"/>
  </si>
  <si>
    <t>【経営情報学部】
2024年度は小田急不動産株式会社と多摩市にご協力頂き、アンケート及び情報交換会を実施した。今回は、DXの重要性に関する意見があり、具体的にはAIを活用できる人材の育成が求められていることについて情報共有した。今後、本プログラムに関しても、産業界からの具体的な意見を確認していきたい。</t>
    <phoneticPr fontId="1"/>
  </si>
  <si>
    <t>【経営情報学部】
本プログラムを修了した学生が企業等に就職するのは、令和10年以降となる。
なお、当学では、卒業生の就職先に対し、卒業後アンケートを毎年実施している。当該アンケートを用いて、今後、リテラシーレベルの修了者の状況の把握と分析を行っていく予定である。
【グローバルスタディーズ学部】
当該プログラムが開設されたのが、令和6(2024)年度であり、まだ卒業生はなく、今後の取り組みとなる。今後、卒業時には可能な範囲で進路等の評価を実践する予定である。卒業後の企業等に調査をし効果の検証を実施していく。</t>
    <phoneticPr fontId="1"/>
  </si>
  <si>
    <t>当学では教学マネジメントに関わる方針の策定・検証・評価を行うことを目的とし、平成30年4月から組織され、現在に至るまで運営している。具体的には、教育プログラムの構築・改善・進化に関する事項等を審議する役割を担っている。なお、本プログラムについての改善・進化に伴う施策の策定は教務委員会が行い、自己点検・評価は教育・研究推進センター運営委員会にて実施する。各委員会の施策及び点検・評価の結果は、当該教学マネジメント会議に上程され、最終的な審議・決定を行うこととなっている。</t>
    <phoneticPr fontId="1"/>
  </si>
  <si>
    <t>様式１-２</t>
    <rPh sb="0" eb="2">
      <t>ヨウシキ</t>
    </rPh>
    <phoneticPr fontId="1"/>
  </si>
  <si>
    <t>様式１-１</t>
    <rPh sb="0" eb="2">
      <t>ヨウシキ</t>
    </rPh>
    <phoneticPr fontId="1"/>
  </si>
  <si>
    <t>・ビッグデータ、IoT、AI、生成AI、ロボット｢AIの活用基礎｣(第1回)
・データ量の増加、計算機の処理性能の向上、AIの非連続的進化｢AIの活用基礎｣(第1回)
・第4次産業革命、Society 5.0、データ駆動型社会｢AIの活用基礎｣(第1回)
・複数技術を組み合わせたAIサービス｢AIの活用基礎｣(第1回)
・人間の知的活動とAIの関係性｢AIの活用基礎｣(第1回)
・データを起点としたものの見方、人間の知的活動を起点としたものの見方｢AIの活用基礎｣(第1回)</t>
    <rPh sb="15" eb="17">
      <t>セイセイ</t>
    </rPh>
    <phoneticPr fontId="1"/>
  </si>
  <si>
    <t xml:space="preserve">・AI最新技術の活用例（深層生成モデル、強化学習、転移学習、生成AIなど）｢AIの活用基礎｣(第5回)
・AI等を活用した新しいビジネスモデル(シェアリングエコノミー、商品のレコメンデーションなど)｢AIの活用基礎｣(第5回)
</t>
    <rPh sb="30" eb="32">
      <t>セイセイ</t>
    </rPh>
    <phoneticPr fontId="1"/>
  </si>
  <si>
    <t>・調査データ、実験データ、人の行動ログデータ、機械の稼働ログデータなど｢AIの活用基礎｣(第1回)
・1次データ、2次データ、データのメタ化｢AIの活用基礎｣(第1回)
・構造化データ、非構造化データ（文章、画像/動画、音声/音楽など）｢AIの活用基礎｣(第1回)
・データ作成（ビッグデータとアノテーション）｢AIの活用基礎｣(第1回)
・データのオープン化（オープンデータ）｢AIの活用基礎｣(第1回)</t>
    <phoneticPr fontId="1"/>
  </si>
  <si>
    <t>・データ・AI活用領域の広がり(生産、消費、文化活動など)｢AIの活用基礎｣(第2回)
・研究開発、調達、製造、物流、販売、マーケティング、サービスなど｢AIの活用基礎｣(第2回)
・仮説検証、知識発見、原因究明、計画策定、判断支援、活動代替、新規生成など｢AIの活用基礎｣(第2回)</t>
    <phoneticPr fontId="1"/>
  </si>
  <si>
    <t>・データ解析：予測、グルーピング、パターン発見、最適化、モデル化とシミュレーション・データ同化など｢AIの活用基礎｣(第3回)
・データ可視化：複合グラフ、2軸グラフ、多次元の可視化、関係性の可視化、地図上の可視化、挙動・軌跡の可視化、リアルタイム可視化など｢AIの活用基礎｣(第3回)
・非構造化データ処理：言語処理、画像/動画処理、音声/音楽処理など｢AIの活用基礎｣(第3回)
・特化型AIと汎用AI、今のAIで出来ることと出来ないこと、AIとビッグデータ｢AIの活用基礎｣(第3回)
・認識技術、ルールベース、自動化技術」｢AIの活用基礎｣(第3回)</t>
    <phoneticPr fontId="1"/>
  </si>
  <si>
    <t>・データサイエンスのサイクル（課題抽出と定式化、データの取得・管理・加工、探索的データ解析、データ解析と推論、結果の共有・伝達、課題解決に向けた提案）｢AIの活用基礎｣(第4回)
・教育、芸術、流通、製造、金融、サービス、インフラ、公共、ヘルスケア等におけるデータ・AI利活用事例紹介」｢AIの活用基礎｣(第4回)</t>
    <rPh sb="91" eb="93">
      <t>キョウイク</t>
    </rPh>
    <rPh sb="94" eb="96">
      <t>ゲイジュツ</t>
    </rPh>
    <phoneticPr fontId="1"/>
  </si>
  <si>
    <t>・倫理的・法的・社会的課題（ELSI：Ethical, Legal and Social Issues）｢AIの活用基礎｣(第8回)
・個人情報保護、EU一般データ保護規則(GDPR)、忘れられる権利、オプトアウト｢AIの活用基礎｣(第8回)
・データ倫理：データのねつ造、改ざん、盗用、プライバシー保護｢AIの活用基礎｣(第8回)
・AI社会原則（公平性、説明責任、透明性、人間中心の判断）｢AIの活用基礎｣(第8回)
・データバイアス、アルゴリズムバイアス｢AIの活用基礎｣(第8回)
・AIサービスの責任論｢AIの活用基礎｣(第8回)
・データ・AI活用における負の事例紹介」｢AIの活用基礎｣(第8回)</t>
    <rPh sb="1" eb="4">
      <t>リンリテキ</t>
    </rPh>
    <rPh sb="5" eb="7">
      <t>ホウテキ</t>
    </rPh>
    <rPh sb="8" eb="11">
      <t>シャカイテキ</t>
    </rPh>
    <rPh sb="11" eb="13">
      <t>カダイ</t>
    </rPh>
    <phoneticPr fontId="1"/>
  </si>
  <si>
    <t>・情報セキュリティの3要素(機密性、完全性、可用性)｢AIの活用基礎｣(第9回)
・匿名加工情報、暗号化と複合、ユーザ認証、パスワード、アクセス制御、悪意ある情報搾取｢AIの活用基礎｣(第9回)
・情報漏洩等によるセキュリティ事故の事例紹介｢AIの活用基礎｣(第9回)</t>
    <rPh sb="11" eb="13">
      <t>ヨウソ</t>
    </rPh>
    <rPh sb="53" eb="55">
      <t>フクゴウ</t>
    </rPh>
    <rPh sb="59" eb="61">
      <t>ニンショウ</t>
    </rPh>
    <rPh sb="72" eb="74">
      <t>セイギョ</t>
    </rPh>
    <phoneticPr fontId="1"/>
  </si>
  <si>
    <t>・データの種類(量的変数・質的変数)｢ICTコミュニケーション入門｣(第9回)</t>
    <phoneticPr fontId="1"/>
  </si>
  <si>
    <t>・データ表現（棒グラフ、折線グラフ、散布図、ヒートマップ、箱ひげ図）｢ICTコミュニケーション入門｣(第5回)</t>
    <rPh sb="29" eb="30">
      <t>ハコ</t>
    </rPh>
    <rPh sb="32" eb="33">
      <t>ズ</t>
    </rPh>
    <phoneticPr fontId="1"/>
  </si>
  <si>
    <t>・データの集計（和、平均）｢ICTコミュニケーション入門｣(第2回)</t>
    <phoneticPr fontId="1"/>
  </si>
  <si>
    <t>・AI等を活用した新しいビジネスモデル(シェアリングエコノミー、商品のレコメンデーション等)｢AI・ゲームデジタル産業｣(第3回目)
・AI最新技術の活用例(深層生成モデル、強化学習、転移学習、生成AIなど)｢AI・ゲームデジタル産業｣(第3回目)</t>
    <rPh sb="32" eb="34">
      <t>ショウヒン</t>
    </rPh>
    <rPh sb="44" eb="45">
      <t>ナド</t>
    </rPh>
    <rPh sb="61" eb="62">
      <t>ダイ</t>
    </rPh>
    <rPh sb="79" eb="81">
      <t>シンソウ</t>
    </rPh>
    <rPh sb="81" eb="83">
      <t>セイセイ</t>
    </rPh>
    <rPh sb="87" eb="89">
      <t>キョウカ</t>
    </rPh>
    <rPh sb="89" eb="91">
      <t>ガクシュウ</t>
    </rPh>
    <rPh sb="92" eb="94">
      <t>テンイ</t>
    </rPh>
    <rPh sb="94" eb="96">
      <t>ガクシュウ</t>
    </rPh>
    <rPh sb="97" eb="99">
      <t>セイセイ</t>
    </rPh>
    <phoneticPr fontId="1"/>
  </si>
  <si>
    <t>・調査データ、実験データ、人の行動ログデータ、機械の稼働ログデータ等「AI・ゲームデジタル産業」(第3回目、第4回目、第5回目)
・データのオープン化(オープンデータ)「調査法入門：量的」(第1回目)</t>
    <rPh sb="7" eb="9">
      <t>ジッケン</t>
    </rPh>
    <rPh sb="13" eb="14">
      <t>ヒト</t>
    </rPh>
    <rPh sb="15" eb="17">
      <t>コウドウ</t>
    </rPh>
    <rPh sb="23" eb="25">
      <t>キカイ</t>
    </rPh>
    <rPh sb="26" eb="28">
      <t>カドウ</t>
    </rPh>
    <rPh sb="33" eb="34">
      <t>ナド</t>
    </rPh>
    <rPh sb="49" eb="50">
      <t>ダイ</t>
    </rPh>
    <rPh sb="51" eb="53">
      <t>カイメ</t>
    </rPh>
    <rPh sb="54" eb="55">
      <t>ダイ</t>
    </rPh>
    <rPh sb="56" eb="58">
      <t>カイメ</t>
    </rPh>
    <rPh sb="59" eb="60">
      <t>ダイ</t>
    </rPh>
    <rPh sb="95" eb="96">
      <t>ダイ</t>
    </rPh>
    <phoneticPr fontId="1"/>
  </si>
  <si>
    <t>・データ解析：予測、グルーピング、パターン発見、最適化、モデルとシミュレーション・データ同化など「AI・ゲームデジタル産業」(第6回目）</t>
    <rPh sb="7" eb="9">
      <t>ヨソク</t>
    </rPh>
    <rPh sb="21" eb="23">
      <t>ハッケン</t>
    </rPh>
    <rPh sb="24" eb="27">
      <t>サイテキカ</t>
    </rPh>
    <rPh sb="44" eb="46">
      <t>ドウカ</t>
    </rPh>
    <rPh sb="63" eb="64">
      <t>ダイ</t>
    </rPh>
    <phoneticPr fontId="1"/>
  </si>
  <si>
    <t>・教育、芸術、流通、製造、金融、サービス、インフラ、公共、ヘルスケア等におけるデータ・AI利活用事例紹介「AI・ゲームデジタル産業」(第5回目）</t>
    <rPh sb="67" eb="68">
      <t>ダイ</t>
    </rPh>
    <phoneticPr fontId="1"/>
  </si>
  <si>
    <t>セキュリティの3要素（機密性、完全性、可用性）「AI・ゲームデジタル産業」(第7回目）</t>
    <rPh sb="38" eb="39">
      <t>ダイ</t>
    </rPh>
    <phoneticPr fontId="1"/>
  </si>
  <si>
    <t>・データの種類（量的変数、質的変数）「調査法入門：量的」(第3回目）
・観測データに含まれる誤差の扱い「調査法入門：量的」(第4回目）
・母集団と標本抽出（国勢調査、アンケート調査、全数調査、単純無作為抽出、層別抽出、多段抽出）「調査法入門：量的」(第4回目、第7回目）
・データの分布(ヒストグラム)と代表値（平均値、中央値、最頻値）「調査法入門：量的」(第7回目)
・データのばらつき（分散、標準偏差、偏差値）、外れ値「調査法入門：量的」(第7回目)</t>
    <rPh sb="29" eb="30">
      <t>ダイ</t>
    </rPh>
    <rPh sb="130" eb="131">
      <t>ダイ</t>
    </rPh>
    <rPh sb="132" eb="134">
      <t>カイメ</t>
    </rPh>
    <rPh sb="179" eb="180">
      <t>ダイ</t>
    </rPh>
    <phoneticPr fontId="1"/>
  </si>
  <si>
    <t>・データ表現（棒グラフ、折線グラフ、散布図、ヒートマップ、箱ひげ図）｢調査法入門：量的｣(第10回目)</t>
    <rPh sb="45" eb="46">
      <t>ダイ</t>
    </rPh>
    <phoneticPr fontId="1"/>
  </si>
  <si>
    <t>・データ解析ツール（スプレッドシート、BIツール）｢調査法入門：量的｣(第2回目)
・データの集計（和、平均）｢調査法入門：量的｣(第7回目)
・表形式のデータ（csv）｢調査法入門：量的｣(第10回目)</t>
    <rPh sb="36" eb="37">
      <t>ダイ</t>
    </rPh>
    <rPh sb="38" eb="40">
      <t>カイメ</t>
    </rPh>
    <phoneticPr fontId="1"/>
  </si>
  <si>
    <t>〇</t>
    <phoneticPr fontId="1"/>
  </si>
  <si>
    <t>・データ・AI活用領域の広がり(生産、消費、文化活動など)「AI・ゲームデジタル産業」(第4回目、第5回目)
・仮説検証、知識発見、原因究明、計画策定、判断支援、活動代替、新規生成など「調査法入門：量的」(第5回目)</t>
    <rPh sb="16" eb="18">
      <t>セイサン</t>
    </rPh>
    <rPh sb="19" eb="21">
      <t>ショウヒ</t>
    </rPh>
    <rPh sb="22" eb="24">
      <t>ブンカ</t>
    </rPh>
    <rPh sb="24" eb="26">
      <t>カツドウ</t>
    </rPh>
    <rPh sb="44" eb="45">
      <t>ダイ</t>
    </rPh>
    <rPh sb="49" eb="50">
      <t>ダイ</t>
    </rPh>
    <rPh sb="103" eb="104">
      <t>ダイ</t>
    </rPh>
    <phoneticPr fontId="1"/>
  </si>
  <si>
    <t>・ビッグデータ、IoT、AI、生成AI、ロボット「AI・ゲームデジタル産業」(第1回目)/｢調査法入門：量的」(第1回目)</t>
    <rPh sb="15" eb="17">
      <t>セイセイ</t>
    </rPh>
    <rPh sb="39" eb="40">
      <t>ダイ</t>
    </rPh>
    <phoneticPr fontId="1"/>
  </si>
  <si>
    <t>・個人情報保護、EU一般データ保護規則(GDPR)、忘れられる権利、オプトアウト「AI・ゲームデジタル産業」(第7回目）</t>
    <rPh sb="55" eb="56">
      <t>ダイ</t>
    </rPh>
    <phoneticPr fontId="1"/>
  </si>
  <si>
    <t>令和6</t>
    <phoneticPr fontId="1"/>
  </si>
  <si>
    <t>教育・研究推進センター長</t>
    <phoneticPr fontId="1"/>
  </si>
  <si>
    <t>学生による授業評価(VOICE)結果のうち、｢学生（院生）の理解水準を踏まえた説明をする｣の項目について、プログラム構成科目の状況は概ね4.00に近い評価数値となったことから、概ね達成できたと考えている。
＜評価結果＞
｢AIの活用基礎｣　　　　　　　　 ：3.91(5段階評価)
｢ICTコミュニケーション入門｣　：4.07(5段階評価、※クラス平均値)
また、担当科目報告書から、2025年度は以下の改善の取組みを検討中であることを確認した。
＜改善取組検討内容＞
｢AIの活用基礎｣　　　　　　　　：復習に効果的な動画教材を提供できるように準備する。
｢ICTコミュニケーション入門｣ ：Windowsパソコンを前提とした授業であるため、Macパソコンの利用は不可
　　　　　　　　　　　　　　　　　　　とする対応を徹底したい。
【グローバルスタディーズ学部】
｢AI・ゲーム・デジタル産業｣    ：3.76(5段階評価)
｢調査法入門：量的｣　：5(5段階評価)
＜改善取組検討内容＞
｢AI・ゲーム・デジタル産業｣　：アクティブ・ラーニング手法を用い、授業内容について学生が自ら調べ、考えたうえで、授業内で発表することにより、AI・データの利活用に対する理解をさらに深め、より高い教育効果を目指している。
「調査法入門：量的」　：計量経済学の手法を学習する上で前提となる推測統計学に関する教材を準備し、講義における学習の入り口とする。</t>
    <phoneticPr fontId="1"/>
  </si>
  <si>
    <t>【経営情報学部】
学生による授業評価(VOICE)結果のうち、｢授業内容が興味深く触発されることが多い｣の項目について、プログラム構成科目の状況は概ね4.00に近い評価数値となったことから、概ね達成できたと考えている。
＜評価結果＞
｢AIの活用基礎｣　　　　　　　　 ：4.00(5段階評価)
｢ICTコミュニケーション入門｣　：3.96(5段階評価、※クラス平均値)
【グローバルスタディーズ学部】
｢AI・ゲーム・デジタル産業｣    ：4.10(5段階評価)
｢調査法入門：量的｣　：5(5段階評価)</t>
    <phoneticPr fontId="1"/>
  </si>
  <si>
    <t>【経営情報学部】
学生による授業評価(VOICE)結果のうち、｢授業は有益(効果的)でしたか｣の項目について、プログラム構成科目の状況は以下のとおり4.00以上の高い評価数値となったことから、履修済の学生が他の学生に推奨できる授業内容であったと評価できる。
＜評価結果＞
｢AIの活用基礎｣　　　　　　　　 ：4.00(5段階評価)
｢ICTコミュニケーション入門｣　：4.38(5段階評価、※クラス平均値)
【グローバルスタディーズ学部】
｢AI・ゲーム・デジタル産業｣    ：4.24(5段階評価)
｢調査法入門：量的｣　　　　　　：5(5段階評価)</t>
    <phoneticPr fontId="1"/>
  </si>
  <si>
    <t>【経営情報学部】
学生による授業評価(VOICE)結果のうち、｢授業は有益(効果的)でしたか｣の項目について、プログラム構成科目の状況は以下のとおり4.00以上の高い評価数値となったことから、ある程度の理解度が身についたものと考えている。
＜評価結果＞
｢AIの活用基礎｣　　　　　　　　 ：4.00(5段階評価)
｢ICTコミュニケーション入門｣　：4.38(5段階評価、※クラス平均値)
【グローバルスタディーズ学部】
｢AI・ゲーム・デジタル産業｣    ：4.24(5段階評価)
｢調査法入門：量的｣　　　　　　：5(5段階評価)</t>
    <phoneticPr fontId="1"/>
  </si>
  <si>
    <t>議長 副学長 教授 杉田　文章
委員 副学長 兼 グローバルスタディーズ学部長　教授　新美　潤
委員 経営情報学部長 教授 小林　英夫
委員 経営情報学研究科長 教授 河野　龍太
委員 教育・研究推進センター長 教授 小西　英行
委員 IR推進室係長 満岡　直之
委員 経営情報学科長 教授 出原　至道
委員 事業構想学科長 教授 下井　直毅　
委員 グローバルスタディーズ学科長 教授　太田 哲 
委員 経営情報学部教務委員長 教授　落合　孝彦　
委員 グローバルスタディーズ学部教務委員長 准教授　田中 孝枝
委員 経営情報学研究科教務委員長　教授　 川田　英樹
委員 多摩キャンパス教務課長 中澤　和臣
委員 湘南キャンパス教務課長 杉本　次郎太
委員 大学院事務課長 瀧川　浩人</t>
    <phoneticPr fontId="1"/>
  </si>
  <si>
    <t>【経営情報学部】
計画した履修者を実現させるため、以下の取り組みを実施する。
・修了証の活用例等をホームページに掲載し、就職活動での利用価値をアピールすることで学生への認知度を高めることを検討する。
・1～2年生を対象としたオリエンテーションの場を活用し、数理・AI・データサイエンスの重要性と当該プログラムのカリキュラムを案内することを通して、学生の履修意欲を促進させる。
・本プログラムを構成する｢AIの活用基礎｣について、2025年度から開講を1クラス編成から2クラス編成に変更し、より多くの学生が履修できる機会を設ける。
・本プログラム用の担当科目報告書を作成し、反省点や改善すべき点を洗い出した上で、履修率向上に向けた施策に反映させる。
【グローバルスタディーズ学部】
プログラムを構成する2つの授業において履修者は「AI・ゲームデジタル産業」が30名、「調査法入門：量的」が4名であった。オリエンテーション等を通して本授業の重要性を説明し履修者率向上を目指す。</t>
    <rPh sb="1" eb="3">
      <t>ケイエイ</t>
    </rPh>
    <rPh sb="3" eb="7">
      <t>ジョウホウガクブ</t>
    </rPh>
    <phoneticPr fontId="1"/>
  </si>
  <si>
    <t>【経営情報学部】
・プログラムは学部ごとに科目を設置しており、経営情報学部では｢AIの活用基礎｣と｢ICTコミュニケーション入門｣が対象となる。また、グローバルスタディーズ学部では｢AI・ゲーム・デジタル産業｣と｢調査方法入門：量的｣を対象の科目としている。よって、学生が希望するれば受講できる体制が構築されている。また、学則の中で他学部科目の履修を認めることを定めている。
【グローバルスタディーズ学部】
グローバルスタディーズ学部では｢AI・ゲーム・デジタル産業｣と｢調査方法入門：量的｣を対象の科目としている。</t>
    <phoneticPr fontId="1"/>
  </si>
  <si>
    <t>【経営情報学部】
・多くの入学生に対し履修することを推奨するため、初年次教育の科目として位置づけている。
・大学の公式サイトで情報公開し、修了要件等を公開している。
・学内における複数の箇所にチラシを掲示することで、周知を図っている。
・大学のキャンパスシステムであるT-NEXTを用いて、初回授業前に入学生宛に案内の連絡を行っている。
【グローバルスタディーズ学部】
・大学の公式サイトで情報公開し、修了要件等を公開している。
・学内における複数の箇所にチラシを掲示することで、周知を行っている。</t>
    <phoneticPr fontId="1"/>
  </si>
  <si>
    <t>【経営情報学部】
･本プログラムの受講にあたっては、エクセル等のOfficeソフトを利用することが必須となる。
当学では在籍中に学生からの申請を以って、Microsoft 365ライセンスを提供する体制が構築されている。
・本プログラムを構成する｢ICTコミュニケーション入門｣では、授業内でExcel表計算処理技能認定試験を行うにあたり、受験申込のサポートを教務課窓口で行っている。
・学生自身が保有するパソコンに異常が発生した場合等を想定し、メディアサービスの窓口にてノートパソコンや周辺機器の貸出を行っている。
・GoogleClassroomの機能を用いて、講義資料のアーカイブや学修に役立つ参考資料の閲覧が可能となっている。
【グローバルスタディーズ学部】
･学部・学科に関係なく学生全員が受講可能となる制度としている。単位修得に向けたサポートについては、教員・チューター・SAにより、授業内外における学修支援体制を整備している。</t>
    <phoneticPr fontId="1"/>
  </si>
  <si>
    <t>【経営情報学部】
・オフィスアワー制度の採用により、授業科目の担当教員への直接質問等を受付ける時間を1週間の間で90分以上設定している。なお、本プログラムを構成する｢AI活用基礎｣と｢ICTコミュニケーション入門｣も当該オフィスアワー制度の適用対象となる。
･総合的な学修支援として、学修サポート室を図書館内に設置している。
【グローバルスタディーズ学部】
本教育プログラムについての履修をT-NEXT（授業支援システム）にて管理し、学生とのコミュニケーションはメール等を通じて行っているため、学生は授業時間以外に不明点等確認できる体制となっている。</t>
    <phoneticPr fontId="1"/>
  </si>
  <si>
    <t>様式３</t>
    <phoneticPr fontId="1"/>
  </si>
  <si>
    <t>プログラムを構成する科目すべて、下記２科目合計８単位を修得すること。
１．AI・ゲーム・デジタル産業、２．調査法入門：量的</t>
    <phoneticPr fontId="1"/>
  </si>
  <si>
    <t>調査法入門：量的</t>
    <phoneticPr fontId="1"/>
  </si>
  <si>
    <t>調査法入門：量的</t>
    <rPh sb="0" eb="2">
      <t>チョウサ</t>
    </rPh>
    <rPh sb="2" eb="3">
      <t>ホウ</t>
    </rPh>
    <rPh sb="3" eb="5">
      <t>ニュウモン</t>
    </rPh>
    <rPh sb="6" eb="7">
      <t>リョウ</t>
    </rPh>
    <rPh sb="7" eb="8">
      <t>テキ</t>
    </rPh>
    <phoneticPr fontId="1"/>
  </si>
  <si>
    <t>多摩大学教育・研究推進センター運営委員会</t>
    <rPh sb="0" eb="4">
      <t>タマダイガク</t>
    </rPh>
    <phoneticPr fontId="1"/>
  </si>
  <si>
    <t>多摩大学教学マネジメント会議</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</si>
</sst>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0%"/>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1.5"/>
      <color theme="1"/>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0" xfId="0" applyFont="1" applyAlignment="1">
      <alignment horizontal="right" vertical="center"/>
    </xf>
    <xf numFmtId="0" fontId="2" fillId="0" borderId="0" xfId="0" applyFont="1" applyAlignment="1">
      <alignment vertical="top" wrapText="1"/>
    </xf>
    <xf numFmtId="0" fontId="2" fillId="0" borderId="0" xfId="0" applyFont="1" applyAlignment="1">
      <alignment horizontal="center" vertical="center"/>
    </xf>
    <xf numFmtId="0" fontId="2" fillId="0" borderId="0" xfId="0" applyFont="1">
      <alignment vertical="center"/>
    </xf>
    <xf numFmtId="0" fontId="2" fillId="0" borderId="1" xfId="0" applyFont="1" applyBorder="1" applyAlignment="1">
      <alignment horizontal="right" vertical="center"/>
    </xf>
    <xf numFmtId="0" fontId="2" fillId="0" borderId="0" xfId="0" applyFont="1">
      <alignment vertical="center"/>
    </xf>
    <xf numFmtId="9" fontId="2" fillId="0" borderId="14" xfId="0" applyNumberFormat="1" applyFont="1" applyBorder="1" applyAlignment="1">
      <alignment vertical="center" shrinkToFit="1"/>
    </xf>
    <xf numFmtId="0" fontId="2" fillId="3" borderId="1" xfId="0" applyFont="1" applyFill="1" applyBorder="1" applyAlignment="1">
      <alignment horizontal="center" vertical="center"/>
    </xf>
    <xf numFmtId="38" fontId="2" fillId="3" borderId="0" xfId="2" applyFont="1" applyFill="1" applyAlignment="1">
      <alignment vertical="center" shrinkToFit="1"/>
    </xf>
    <xf numFmtId="38" fontId="2" fillId="3" borderId="19" xfId="2" applyFont="1" applyFill="1" applyBorder="1" applyAlignment="1">
      <alignment vertical="center" shrinkToFit="1"/>
    </xf>
    <xf numFmtId="0" fontId="11" fillId="3" borderId="1" xfId="0" applyFont="1" applyFill="1" applyBorder="1">
      <alignment vertical="center"/>
    </xf>
    <xf numFmtId="38" fontId="2" fillId="3" borderId="45" xfId="2" applyFont="1" applyFill="1" applyBorder="1" applyAlignment="1">
      <alignment vertical="center" shrinkToFit="1"/>
    </xf>
    <xf numFmtId="38" fontId="2" fillId="3" borderId="20" xfId="2" applyFont="1" applyFill="1" applyBorder="1" applyAlignment="1">
      <alignment vertical="center" shrinkToFit="1"/>
    </xf>
    <xf numFmtId="0" fontId="2" fillId="0" borderId="0" xfId="0" applyFont="1">
      <alignment vertical="center"/>
    </xf>
    <xf numFmtId="0" fontId="2" fillId="0" borderId="0" xfId="0" applyFont="1">
      <alignment vertical="center"/>
    </xf>
    <xf numFmtId="177" fontId="2" fillId="0" borderId="0" xfId="1" applyNumberFormat="1" applyFont="1">
      <alignment vertical="center"/>
    </xf>
    <xf numFmtId="0" fontId="11" fillId="3" borderId="0" xfId="0" applyFont="1" applyFill="1" applyBorder="1" applyAlignment="1">
      <alignment vertical="top" shrinkToFit="1"/>
    </xf>
    <xf numFmtId="0" fontId="2" fillId="0" borderId="0" xfId="0" applyFont="1" applyAlignment="1">
      <alignment horizontal="righ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49" fontId="3" fillId="3" borderId="29" xfId="0" applyNumberFormat="1" applyFont="1" applyFill="1" applyBorder="1" applyAlignment="1">
      <alignment horizontal="left" vertical="top" wrapText="1"/>
    </xf>
    <xf numFmtId="49" fontId="3" fillId="3" borderId="31" xfId="0" applyNumberFormat="1" applyFont="1" applyFill="1" applyBorder="1" applyAlignment="1">
      <alignment horizontal="left" vertical="top"/>
    </xf>
    <xf numFmtId="49" fontId="3" fillId="3" borderId="30" xfId="0" applyNumberFormat="1" applyFont="1" applyFill="1" applyBorder="1" applyAlignment="1">
      <alignment horizontal="left" vertical="top"/>
    </xf>
    <xf numFmtId="49" fontId="3" fillId="3" borderId="32" xfId="0" applyNumberFormat="1" applyFont="1" applyFill="1" applyBorder="1" applyAlignment="1">
      <alignment horizontal="left" vertical="top" wrapText="1"/>
    </xf>
    <xf numFmtId="49" fontId="3" fillId="3" borderId="33" xfId="0" applyNumberFormat="1" applyFont="1" applyFill="1" applyBorder="1" applyAlignment="1">
      <alignment horizontal="left" vertical="top"/>
    </xf>
    <xf numFmtId="49" fontId="3" fillId="3" borderId="34" xfId="0" applyNumberFormat="1" applyFont="1" applyFill="1" applyBorder="1" applyAlignment="1">
      <alignment horizontal="left" vertical="top"/>
    </xf>
    <xf numFmtId="0" fontId="3" fillId="0" borderId="41" xfId="0" applyFont="1" applyBorder="1" applyAlignment="1">
      <alignment vertical="center" wrapTex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49" fontId="3" fillId="3" borderId="18" xfId="0" applyNumberFormat="1" applyFont="1" applyFill="1" applyBorder="1" applyAlignment="1">
      <alignment horizontal="left" vertical="top" wrapText="1"/>
    </xf>
    <xf numFmtId="49" fontId="3" fillId="3" borderId="19" xfId="0" applyNumberFormat="1" applyFont="1" applyFill="1" applyBorder="1" applyAlignment="1">
      <alignment horizontal="left" vertical="top"/>
    </xf>
    <xf numFmtId="49" fontId="3" fillId="3" borderId="17" xfId="0" applyNumberFormat="1" applyFont="1" applyFill="1" applyBorder="1" applyAlignment="1">
      <alignment horizontal="left" vertical="top"/>
    </xf>
    <xf numFmtId="0" fontId="2" fillId="0" borderId="2" xfId="0" applyFont="1" applyBorder="1" applyAlignment="1">
      <alignment vertical="top" wrapText="1" shrinkToFit="1"/>
    </xf>
    <xf numFmtId="0" fontId="2" fillId="0" borderId="3" xfId="0" applyFont="1" applyBorder="1" applyAlignment="1">
      <alignment vertical="top" wrapText="1" shrinkToFit="1"/>
    </xf>
    <xf numFmtId="0" fontId="2" fillId="0" borderId="4" xfId="0" applyFont="1" applyBorder="1" applyAlignment="1">
      <alignment vertical="top" wrapText="1" shrinkToFit="1"/>
    </xf>
    <xf numFmtId="49" fontId="3" fillId="3" borderId="32" xfId="0" applyNumberFormat="1" applyFont="1" applyFill="1" applyBorder="1" applyAlignment="1">
      <alignment horizontal="left" vertical="top"/>
    </xf>
    <xf numFmtId="49" fontId="3" fillId="3" borderId="29" xfId="0" applyNumberFormat="1" applyFont="1" applyFill="1" applyBorder="1" applyAlignment="1">
      <alignment horizontal="left" vertical="top"/>
    </xf>
    <xf numFmtId="49" fontId="3" fillId="3" borderId="31" xfId="0" applyNumberFormat="1" applyFont="1" applyFill="1" applyBorder="1" applyAlignment="1">
      <alignment horizontal="left" vertical="top" wrapText="1"/>
    </xf>
    <xf numFmtId="49" fontId="3" fillId="3" borderId="30" xfId="0" applyNumberFormat="1" applyFont="1" applyFill="1" applyBorder="1" applyAlignment="1">
      <alignment horizontal="left" vertical="top"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13" fillId="3" borderId="7" xfId="0" applyFont="1" applyFill="1" applyBorder="1" applyAlignment="1">
      <alignment vertical="top" wrapText="1" shrinkToFit="1"/>
    </xf>
    <xf numFmtId="0" fontId="13" fillId="3" borderId="8" xfId="0" applyFont="1" applyFill="1" applyBorder="1" applyAlignment="1">
      <alignment vertical="top" wrapText="1" shrinkToFit="1"/>
    </xf>
    <xf numFmtId="0" fontId="13" fillId="3" borderId="9" xfId="0" applyFont="1" applyFill="1" applyBorder="1" applyAlignment="1">
      <alignment vertical="top" shrinkToFit="1"/>
    </xf>
    <xf numFmtId="0" fontId="13" fillId="3" borderId="5" xfId="0" applyFont="1" applyFill="1" applyBorder="1" applyAlignment="1">
      <alignment vertical="top" shrinkToFit="1"/>
    </xf>
    <xf numFmtId="0" fontId="13" fillId="3" borderId="0" xfId="0" applyFont="1" applyFill="1" applyAlignment="1">
      <alignment vertical="top" shrinkToFit="1"/>
    </xf>
    <xf numFmtId="0" fontId="13" fillId="3" borderId="10" xfId="0" applyFont="1" applyFill="1" applyBorder="1" applyAlignment="1">
      <alignment vertical="top" shrinkToFit="1"/>
    </xf>
    <xf numFmtId="0" fontId="13" fillId="3" borderId="11" xfId="0" applyFont="1" applyFill="1" applyBorder="1" applyAlignment="1">
      <alignment vertical="top" shrinkToFit="1"/>
    </xf>
    <xf numFmtId="0" fontId="13" fillId="3" borderId="6" xfId="0" applyFont="1" applyFill="1" applyBorder="1" applyAlignment="1">
      <alignment vertical="top" shrinkToFit="1"/>
    </xf>
    <xf numFmtId="0" fontId="13" fillId="3" borderId="12" xfId="0" applyFont="1" applyFill="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5" xfId="0" applyFont="1" applyBorder="1" applyAlignment="1">
      <alignment vertical="top" shrinkToFit="1"/>
    </xf>
    <xf numFmtId="0" fontId="2" fillId="0" borderId="0" xfId="0" applyFont="1" applyAlignment="1">
      <alignment vertical="top" shrinkToFit="1"/>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Border="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Border="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3" borderId="18" xfId="0" applyFont="1" applyFill="1" applyBorder="1" applyAlignment="1">
      <alignment vertical="top" wrapText="1" shrinkToFit="1"/>
    </xf>
    <xf numFmtId="0" fontId="2" fillId="3" borderId="19" xfId="0" applyFont="1" applyFill="1" applyBorder="1" applyAlignment="1">
      <alignment vertical="top" wrapText="1" shrinkToFit="1"/>
    </xf>
    <xf numFmtId="0" fontId="2" fillId="3" borderId="17" xfId="0" applyFont="1" applyFill="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3" borderId="6" xfId="0" applyFont="1" applyFill="1" applyBorder="1" applyAlignment="1">
      <alignment vertical="top" wrapText="1" shrinkToFit="1"/>
    </xf>
    <xf numFmtId="0" fontId="2" fillId="3" borderId="12" xfId="0" applyFont="1" applyFill="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3" borderId="37" xfId="0" applyFont="1" applyFill="1" applyBorder="1" applyAlignment="1">
      <alignment vertical="top" wrapText="1" shrinkToFit="1"/>
    </xf>
    <xf numFmtId="0" fontId="2" fillId="3" borderId="38" xfId="0" applyFont="1" applyFill="1" applyBorder="1" applyAlignment="1">
      <alignment vertical="top" wrapText="1" shrinkToFit="1"/>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21</xdr:col>
      <xdr:colOff>312594</xdr:colOff>
      <xdr:row>38</xdr:row>
      <xdr:rowOff>195695</xdr:rowOff>
    </xdr:from>
    <xdr:to>
      <xdr:col>28</xdr:col>
      <xdr:colOff>845128</xdr:colOff>
      <xdr:row>40</xdr:row>
      <xdr:rowOff>205220</xdr:rowOff>
    </xdr:to>
    <xdr:pic>
      <xdr:nvPicPr>
        <xdr:cNvPr id="2" name="図 1">
          <a:extLst>
            <a:ext uri="{FF2B5EF4-FFF2-40B4-BE49-F238E27FC236}">
              <a16:creationId xmlns:a16="http://schemas.microsoft.com/office/drawing/2014/main" id="{93729BC6-F6E2-AE02-DD8A-A951BB9AFA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92230" y="8439150"/>
          <a:ext cx="6593898" cy="4944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678873</xdr:colOff>
      <xdr:row>44</xdr:row>
      <xdr:rowOff>68407</xdr:rowOff>
    </xdr:from>
    <xdr:to>
      <xdr:col>29</xdr:col>
      <xdr:colOff>335973</xdr:colOff>
      <xdr:row>46</xdr:row>
      <xdr:rowOff>77932</xdr:rowOff>
    </xdr:to>
    <xdr:pic>
      <xdr:nvPicPr>
        <xdr:cNvPr id="3" name="図 2">
          <a:extLst>
            <a:ext uri="{FF2B5EF4-FFF2-40B4-BE49-F238E27FC236}">
              <a16:creationId xmlns:a16="http://schemas.microsoft.com/office/drawing/2014/main" id="{DE995BB6-F01B-042A-B63F-958B69C0B9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858509" y="9628043"/>
          <a:ext cx="6584373" cy="4944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1ED65-78CE-4518-87DD-82D8A5F1A2A7}">
  <sheetPr>
    <pageSetUpPr fitToPage="1"/>
  </sheetPr>
  <dimension ref="A1:AA107"/>
  <sheetViews>
    <sheetView showZeros="0" view="pageBreakPreview" zoomScaleNormal="100" zoomScaleSheetLayoutView="100" workbookViewId="0">
      <selection activeCell="Z20" sqref="Z20"/>
    </sheetView>
  </sheetViews>
  <sheetFormatPr defaultColWidth="9" defaultRowHeight="18.75" customHeight="1" x14ac:dyDescent="0.15"/>
  <cols>
    <col min="1" max="1" width="2.5" style="82" customWidth="1"/>
    <col min="2" max="2" width="16.5" style="82" customWidth="1"/>
    <col min="3" max="21" width="5.625" style="82" customWidth="1"/>
    <col min="22" max="22" width="9" style="82"/>
    <col min="23" max="23" width="3.625" style="82" customWidth="1"/>
    <col min="24" max="24" width="48.625" style="82" hidden="1" customWidth="1"/>
    <col min="25" max="26" width="9" style="82"/>
    <col min="27" max="27" width="9" style="82" hidden="1" customWidth="1"/>
    <col min="28" max="16384" width="9" style="82"/>
  </cols>
  <sheetData>
    <row r="1" spans="1:24" ht="18.600000000000001" customHeight="1" x14ac:dyDescent="0.15">
      <c r="T1" s="96" t="s">
        <v>163</v>
      </c>
      <c r="U1" s="96"/>
      <c r="V1" s="2" t="s">
        <v>92</v>
      </c>
    </row>
    <row r="2" spans="1:24" ht="18.75" customHeight="1" x14ac:dyDescent="0.15">
      <c r="B2" s="16" t="s">
        <v>91</v>
      </c>
      <c r="C2" s="97" t="s">
        <v>142</v>
      </c>
      <c r="D2" s="98"/>
      <c r="E2" s="98"/>
      <c r="F2" s="98"/>
      <c r="G2" s="98"/>
      <c r="H2" s="98"/>
      <c r="I2" s="98"/>
      <c r="J2" s="99"/>
      <c r="K2" s="79"/>
      <c r="L2" s="6"/>
      <c r="M2" s="6"/>
      <c r="N2" s="6"/>
      <c r="O2" s="6"/>
      <c r="P2" s="6"/>
      <c r="Q2" s="6"/>
      <c r="R2" s="6"/>
      <c r="S2" s="6"/>
      <c r="T2" s="6"/>
      <c r="U2" s="6"/>
    </row>
    <row r="3" spans="1:24" ht="18.75" customHeight="1" x14ac:dyDescent="0.15">
      <c r="B3" s="16" t="s">
        <v>87</v>
      </c>
      <c r="C3" s="100" t="s">
        <v>143</v>
      </c>
      <c r="D3" s="101"/>
      <c r="E3" s="101"/>
      <c r="F3" s="101"/>
      <c r="G3" s="101"/>
      <c r="H3" s="101"/>
      <c r="I3" s="101"/>
      <c r="J3" s="102"/>
      <c r="K3" s="79"/>
      <c r="L3" s="6"/>
      <c r="M3" s="6"/>
      <c r="N3" s="6"/>
      <c r="O3" s="6"/>
      <c r="P3" s="6"/>
      <c r="Q3" s="6"/>
      <c r="R3" s="6"/>
      <c r="S3" s="6"/>
      <c r="T3" s="6"/>
      <c r="U3" s="6"/>
    </row>
    <row r="4" spans="1:24" ht="15" customHeight="1" x14ac:dyDescent="0.15">
      <c r="L4" s="79"/>
      <c r="M4" s="70"/>
      <c r="N4" s="70"/>
      <c r="O4" s="70"/>
      <c r="P4" s="70"/>
      <c r="Q4" s="70"/>
      <c r="R4" s="70"/>
      <c r="S4" s="70"/>
      <c r="T4" s="70"/>
      <c r="U4" s="70"/>
    </row>
    <row r="5" spans="1:24" ht="18" customHeight="1" x14ac:dyDescent="0.15">
      <c r="A5" s="103" t="s">
        <v>140</v>
      </c>
      <c r="B5" s="103"/>
      <c r="C5" s="103"/>
      <c r="D5" s="103"/>
      <c r="E5" s="103"/>
      <c r="F5" s="103"/>
      <c r="G5" s="103"/>
      <c r="H5" s="103"/>
      <c r="I5" s="103"/>
      <c r="J5" s="103"/>
      <c r="K5" s="103"/>
      <c r="L5" s="103"/>
      <c r="M5" s="103"/>
      <c r="N5" s="103"/>
      <c r="O5" s="103"/>
      <c r="P5" s="103"/>
      <c r="Q5" s="103"/>
      <c r="R5" s="103"/>
      <c r="S5" s="103"/>
      <c r="T5" s="103"/>
      <c r="U5" s="103"/>
    </row>
    <row r="6" spans="1:24" ht="15" customHeight="1" x14ac:dyDescent="0.15">
      <c r="B6" s="81"/>
      <c r="C6" s="81"/>
      <c r="D6" s="81"/>
      <c r="E6" s="81"/>
      <c r="F6" s="81"/>
      <c r="G6" s="81"/>
      <c r="H6" s="81"/>
      <c r="I6" s="81"/>
      <c r="J6" s="81"/>
      <c r="K6" s="81"/>
      <c r="L6" s="81"/>
      <c r="M6" s="81"/>
      <c r="N6" s="81"/>
      <c r="O6" s="81"/>
      <c r="P6" s="81"/>
      <c r="Q6" s="81"/>
      <c r="R6" s="81"/>
      <c r="S6" s="81"/>
      <c r="T6" s="81"/>
      <c r="U6" s="81"/>
    </row>
    <row r="7" spans="1:24" ht="15" customHeight="1" x14ac:dyDescent="0.15">
      <c r="A7" s="82" t="s">
        <v>116</v>
      </c>
      <c r="B7" s="81"/>
      <c r="C7" s="81"/>
      <c r="D7" s="81"/>
      <c r="E7" s="81"/>
      <c r="F7" s="2"/>
      <c r="G7" s="2"/>
      <c r="H7" s="2"/>
      <c r="I7" s="2"/>
      <c r="J7" s="2"/>
      <c r="K7" s="2"/>
      <c r="L7" s="104" t="s">
        <v>115</v>
      </c>
      <c r="M7" s="105"/>
      <c r="N7" s="105"/>
      <c r="O7" s="105"/>
      <c r="P7" s="105"/>
      <c r="Q7" s="105"/>
      <c r="R7" s="105"/>
      <c r="S7" s="105"/>
      <c r="T7" s="105"/>
      <c r="U7" s="106"/>
    </row>
    <row r="8" spans="1:24" ht="6" customHeight="1" x14ac:dyDescent="0.15">
      <c r="B8" s="81"/>
      <c r="C8" s="81"/>
      <c r="D8" s="81"/>
      <c r="E8" s="81"/>
      <c r="F8" s="81"/>
      <c r="G8" s="81"/>
      <c r="H8" s="81"/>
      <c r="I8" s="81"/>
      <c r="J8" s="81"/>
      <c r="K8" s="81"/>
      <c r="L8" s="81"/>
      <c r="M8" s="81"/>
      <c r="N8" s="81"/>
      <c r="O8" s="81"/>
      <c r="P8" s="81"/>
      <c r="Q8" s="81"/>
      <c r="R8" s="81"/>
      <c r="S8" s="81"/>
      <c r="T8" s="81"/>
      <c r="U8" s="81"/>
    </row>
    <row r="9" spans="1:24" ht="18" customHeight="1" x14ac:dyDescent="0.15">
      <c r="A9" s="82" t="s">
        <v>117</v>
      </c>
      <c r="C9" s="81"/>
      <c r="D9" s="81"/>
      <c r="K9" s="79"/>
      <c r="L9" s="2"/>
      <c r="M9" s="2"/>
      <c r="N9" s="2"/>
      <c r="O9" s="2"/>
      <c r="P9" s="2"/>
      <c r="Q9" s="2"/>
      <c r="R9" s="2"/>
      <c r="S9" s="2"/>
      <c r="T9" s="2"/>
      <c r="U9" s="2"/>
    </row>
    <row r="10" spans="1:24" ht="6" customHeight="1" x14ac:dyDescent="0.15">
      <c r="B10" s="81"/>
      <c r="C10" s="81"/>
      <c r="D10" s="81"/>
      <c r="E10" s="81"/>
      <c r="F10" s="81"/>
      <c r="G10" s="81"/>
      <c r="H10" s="81"/>
      <c r="I10" s="81"/>
      <c r="J10" s="81"/>
      <c r="K10" s="81"/>
      <c r="L10" s="10"/>
      <c r="M10" s="81"/>
      <c r="N10" s="81"/>
      <c r="O10" s="81"/>
      <c r="P10" s="81"/>
      <c r="Q10" s="81"/>
      <c r="R10" s="81"/>
      <c r="S10" s="81"/>
      <c r="T10" s="81"/>
      <c r="U10" s="81"/>
    </row>
    <row r="11" spans="1:24" ht="18" customHeight="1" x14ac:dyDescent="0.15">
      <c r="B11" s="107" t="s">
        <v>147</v>
      </c>
      <c r="C11" s="108"/>
      <c r="D11" s="108"/>
      <c r="E11" s="108"/>
      <c r="F11" s="108"/>
      <c r="G11" s="108"/>
      <c r="H11" s="108"/>
      <c r="I11" s="108"/>
      <c r="J11" s="108"/>
      <c r="K11" s="108"/>
      <c r="L11" s="108"/>
      <c r="M11" s="108"/>
      <c r="N11" s="108"/>
      <c r="O11" s="108"/>
      <c r="P11" s="108"/>
      <c r="Q11" s="108"/>
      <c r="R11" s="108"/>
      <c r="S11" s="108"/>
      <c r="T11" s="108"/>
      <c r="U11" s="109"/>
    </row>
    <row r="12" spans="1:24" ht="18" customHeight="1" x14ac:dyDescent="0.15">
      <c r="B12" s="110"/>
      <c r="C12" s="111"/>
      <c r="D12" s="111"/>
      <c r="E12" s="111"/>
      <c r="F12" s="111"/>
      <c r="G12" s="111"/>
      <c r="H12" s="111"/>
      <c r="I12" s="111"/>
      <c r="J12" s="111"/>
      <c r="K12" s="111"/>
      <c r="L12" s="111"/>
      <c r="M12" s="111"/>
      <c r="N12" s="111"/>
      <c r="O12" s="111"/>
      <c r="P12" s="111"/>
      <c r="Q12" s="111"/>
      <c r="R12" s="111"/>
      <c r="S12" s="111"/>
      <c r="T12" s="111"/>
      <c r="U12" s="112"/>
    </row>
    <row r="13" spans="1:24" ht="6" customHeight="1" x14ac:dyDescent="0.15">
      <c r="B13" s="81"/>
      <c r="C13" s="81"/>
      <c r="D13" s="81"/>
      <c r="E13" s="81"/>
      <c r="F13" s="81"/>
      <c r="G13" s="81"/>
      <c r="H13" s="81"/>
      <c r="I13" s="81"/>
      <c r="J13" s="81"/>
      <c r="K13" s="81"/>
      <c r="L13" s="10"/>
      <c r="M13" s="81"/>
      <c r="N13" s="81"/>
      <c r="O13" s="81"/>
      <c r="P13" s="81"/>
      <c r="Q13" s="81"/>
      <c r="R13" s="81"/>
      <c r="S13" s="81"/>
      <c r="T13" s="81"/>
      <c r="U13" s="81"/>
    </row>
    <row r="14" spans="1:24" ht="18" customHeight="1" x14ac:dyDescent="0.15">
      <c r="A14" s="82" t="s">
        <v>93</v>
      </c>
      <c r="B14" s="81"/>
      <c r="C14" s="81"/>
      <c r="D14" s="81"/>
      <c r="E14" s="79"/>
      <c r="F14" s="79"/>
      <c r="G14" s="79"/>
      <c r="H14" s="79"/>
      <c r="I14" s="79"/>
      <c r="J14" s="79"/>
      <c r="K14" s="79"/>
      <c r="L14" s="71"/>
      <c r="M14" s="71"/>
      <c r="N14" s="71"/>
      <c r="O14" s="71"/>
      <c r="P14" s="71"/>
      <c r="Q14" s="71"/>
      <c r="R14" s="71"/>
      <c r="S14" s="71"/>
      <c r="T14" s="71"/>
      <c r="U14" s="71"/>
    </row>
    <row r="15" spans="1:24" ht="18" customHeight="1" x14ac:dyDescent="0.15">
      <c r="B15" s="116" t="s">
        <v>149</v>
      </c>
      <c r="C15" s="117"/>
      <c r="D15" s="117"/>
      <c r="E15" s="117"/>
      <c r="F15" s="117"/>
      <c r="G15" s="117"/>
      <c r="H15" s="117"/>
      <c r="I15" s="117"/>
      <c r="J15" s="117"/>
      <c r="K15" s="117"/>
      <c r="L15" s="117"/>
      <c r="M15" s="117"/>
      <c r="N15" s="117"/>
      <c r="O15" s="117"/>
      <c r="P15" s="117"/>
      <c r="Q15" s="117"/>
      <c r="R15" s="117"/>
      <c r="S15" s="117"/>
      <c r="T15" s="117"/>
      <c r="U15" s="118"/>
      <c r="X15" s="82" t="s">
        <v>88</v>
      </c>
    </row>
    <row r="16" spans="1:24" ht="18" customHeight="1" x14ac:dyDescent="0.15">
      <c r="B16" s="119"/>
      <c r="C16" s="120"/>
      <c r="D16" s="120"/>
      <c r="E16" s="120"/>
      <c r="F16" s="120"/>
      <c r="G16" s="120"/>
      <c r="H16" s="120"/>
      <c r="I16" s="120"/>
      <c r="J16" s="120"/>
      <c r="K16" s="120"/>
      <c r="L16" s="120"/>
      <c r="M16" s="120"/>
      <c r="N16" s="120"/>
      <c r="O16" s="120"/>
      <c r="P16" s="120"/>
      <c r="Q16" s="120"/>
      <c r="R16" s="120"/>
      <c r="S16" s="120"/>
      <c r="T16" s="120"/>
      <c r="U16" s="121"/>
      <c r="X16" s="82" t="s">
        <v>121</v>
      </c>
    </row>
    <row r="17" spans="1:24" ht="18" customHeight="1" x14ac:dyDescent="0.15">
      <c r="B17" s="119"/>
      <c r="C17" s="120"/>
      <c r="D17" s="120"/>
      <c r="E17" s="120"/>
      <c r="F17" s="120"/>
      <c r="G17" s="120"/>
      <c r="H17" s="120"/>
      <c r="I17" s="120"/>
      <c r="J17" s="120"/>
      <c r="K17" s="120"/>
      <c r="L17" s="120"/>
      <c r="M17" s="120"/>
      <c r="N17" s="120"/>
      <c r="O17" s="120"/>
      <c r="P17" s="120"/>
      <c r="Q17" s="120"/>
      <c r="R17" s="120"/>
      <c r="S17" s="120"/>
      <c r="T17" s="120"/>
      <c r="U17" s="121"/>
      <c r="X17" s="82" t="s">
        <v>122</v>
      </c>
    </row>
    <row r="18" spans="1:24" ht="18" customHeight="1" x14ac:dyDescent="0.15">
      <c r="B18" s="119"/>
      <c r="C18" s="120"/>
      <c r="D18" s="120"/>
      <c r="E18" s="120"/>
      <c r="F18" s="120"/>
      <c r="G18" s="120"/>
      <c r="H18" s="120"/>
      <c r="I18" s="120"/>
      <c r="J18" s="120"/>
      <c r="K18" s="120"/>
      <c r="L18" s="120"/>
      <c r="M18" s="120"/>
      <c r="N18" s="120"/>
      <c r="O18" s="120"/>
      <c r="P18" s="120"/>
      <c r="Q18" s="120"/>
      <c r="R18" s="120"/>
      <c r="S18" s="120"/>
      <c r="T18" s="120"/>
      <c r="U18" s="121"/>
      <c r="X18" s="82" t="s">
        <v>123</v>
      </c>
    </row>
    <row r="19" spans="1:24" ht="18" customHeight="1" x14ac:dyDescent="0.15">
      <c r="B19" s="119"/>
      <c r="C19" s="120"/>
      <c r="D19" s="120"/>
      <c r="E19" s="120"/>
      <c r="F19" s="120"/>
      <c r="G19" s="120"/>
      <c r="H19" s="120"/>
      <c r="I19" s="120"/>
      <c r="J19" s="120"/>
      <c r="K19" s="120"/>
      <c r="L19" s="120"/>
      <c r="M19" s="120"/>
      <c r="N19" s="120"/>
      <c r="O19" s="120"/>
      <c r="P19" s="120"/>
      <c r="Q19" s="120"/>
      <c r="R19" s="120"/>
      <c r="S19" s="120"/>
      <c r="T19" s="120"/>
      <c r="U19" s="121"/>
    </row>
    <row r="20" spans="1:24" ht="18" customHeight="1" x14ac:dyDescent="0.15">
      <c r="B20" s="122"/>
      <c r="C20" s="123"/>
      <c r="D20" s="123"/>
      <c r="E20" s="123"/>
      <c r="F20" s="123"/>
      <c r="G20" s="123"/>
      <c r="H20" s="123"/>
      <c r="I20" s="123"/>
      <c r="J20" s="123"/>
      <c r="K20" s="123"/>
      <c r="L20" s="123"/>
      <c r="M20" s="123"/>
      <c r="N20" s="123"/>
      <c r="O20" s="123"/>
      <c r="P20" s="123"/>
      <c r="Q20" s="123"/>
      <c r="R20" s="123"/>
      <c r="S20" s="123"/>
      <c r="T20" s="123"/>
      <c r="U20" s="124"/>
    </row>
    <row r="21" spans="1:24" ht="7.5" customHeight="1" x14ac:dyDescent="0.15">
      <c r="B21" s="81"/>
      <c r="C21" s="81"/>
      <c r="D21" s="81"/>
      <c r="E21" s="81"/>
      <c r="F21" s="81"/>
      <c r="G21" s="81"/>
      <c r="H21" s="81"/>
      <c r="I21" s="81"/>
      <c r="J21" s="81"/>
      <c r="K21" s="81"/>
      <c r="L21" s="81"/>
      <c r="M21" s="81"/>
      <c r="N21" s="81"/>
      <c r="O21" s="81"/>
      <c r="P21" s="81"/>
      <c r="Q21" s="81"/>
      <c r="R21" s="81"/>
      <c r="S21" s="81"/>
      <c r="T21" s="81"/>
      <c r="U21" s="81"/>
    </row>
    <row r="22" spans="1:24" ht="20.100000000000001" customHeight="1" x14ac:dyDescent="0.15">
      <c r="B22" s="82" t="s">
        <v>118</v>
      </c>
      <c r="E22" s="72">
        <v>2</v>
      </c>
      <c r="F22" s="82" t="s">
        <v>105</v>
      </c>
      <c r="H22" s="83">
        <v>4</v>
      </c>
      <c r="I22" s="81" t="s">
        <v>106</v>
      </c>
      <c r="J22" s="81"/>
      <c r="K22" s="79"/>
      <c r="M22" s="79" t="s">
        <v>102</v>
      </c>
      <c r="N22" s="125" t="s">
        <v>123</v>
      </c>
      <c r="O22" s="126"/>
      <c r="P22" s="126"/>
      <c r="Q22" s="126"/>
      <c r="R22" s="126"/>
      <c r="S22" s="126"/>
      <c r="T22" s="126"/>
      <c r="U22" s="127"/>
    </row>
    <row r="23" spans="1:24" ht="7.5" customHeight="1" x14ac:dyDescent="0.15">
      <c r="B23" s="81"/>
      <c r="C23" s="81"/>
      <c r="D23" s="81"/>
      <c r="E23" s="81"/>
      <c r="F23" s="81"/>
      <c r="G23" s="81"/>
      <c r="H23" s="81"/>
      <c r="I23" s="81"/>
      <c r="J23" s="81"/>
      <c r="K23" s="81"/>
      <c r="L23" s="81"/>
      <c r="M23" s="81"/>
      <c r="N23" s="81"/>
      <c r="O23" s="81"/>
      <c r="P23" s="81"/>
      <c r="Q23" s="81"/>
      <c r="R23" s="81"/>
      <c r="S23" s="81"/>
      <c r="T23" s="81"/>
      <c r="U23" s="81"/>
    </row>
    <row r="24" spans="1:24" ht="18" customHeight="1" x14ac:dyDescent="0.15">
      <c r="A24" s="128" t="s">
        <v>94</v>
      </c>
      <c r="B24" s="128"/>
      <c r="C24" s="128"/>
      <c r="D24" s="128"/>
      <c r="E24" s="128"/>
      <c r="F24" s="128"/>
      <c r="G24" s="128"/>
      <c r="H24" s="128"/>
      <c r="I24" s="128"/>
      <c r="J24" s="128"/>
      <c r="K24" s="128"/>
      <c r="L24" s="128"/>
      <c r="M24" s="128"/>
      <c r="N24" s="128"/>
      <c r="O24" s="128"/>
      <c r="P24" s="128"/>
      <c r="Q24" s="128"/>
      <c r="R24" s="128"/>
      <c r="S24" s="128"/>
      <c r="T24" s="128"/>
      <c r="U24" s="128"/>
    </row>
    <row r="25" spans="1:24" ht="18" customHeight="1" x14ac:dyDescent="0.15">
      <c r="A25" s="128"/>
      <c r="B25" s="128"/>
      <c r="C25" s="128"/>
      <c r="D25" s="128"/>
      <c r="E25" s="128"/>
      <c r="F25" s="128"/>
      <c r="G25" s="128"/>
      <c r="H25" s="128"/>
      <c r="I25" s="128"/>
      <c r="J25" s="128"/>
      <c r="K25" s="128"/>
      <c r="L25" s="128"/>
      <c r="M25" s="128"/>
      <c r="N25" s="128"/>
      <c r="O25" s="128"/>
      <c r="P25" s="128"/>
      <c r="Q25" s="128"/>
      <c r="R25" s="128"/>
      <c r="S25" s="128"/>
      <c r="T25" s="128"/>
      <c r="U25" s="128"/>
    </row>
    <row r="26" spans="1:24" ht="18" customHeight="1" x14ac:dyDescent="0.15">
      <c r="B26" s="97" t="s">
        <v>47</v>
      </c>
      <c r="C26" s="98"/>
      <c r="D26" s="98"/>
      <c r="E26" s="98"/>
      <c r="F26" s="99"/>
      <c r="G26" s="56" t="s">
        <v>72</v>
      </c>
      <c r="H26" s="57" t="s">
        <v>75</v>
      </c>
      <c r="I26" s="58" t="s">
        <v>50</v>
      </c>
      <c r="J26" s="58" t="s">
        <v>53</v>
      </c>
      <c r="K26" s="97" t="s">
        <v>47</v>
      </c>
      <c r="L26" s="98"/>
      <c r="M26" s="98"/>
      <c r="N26" s="98"/>
      <c r="O26" s="98"/>
      <c r="P26" s="98"/>
      <c r="Q26" s="99"/>
      <c r="R26" s="56" t="s">
        <v>72</v>
      </c>
      <c r="S26" s="57" t="s">
        <v>75</v>
      </c>
      <c r="T26" s="58" t="s">
        <v>50</v>
      </c>
      <c r="U26" s="58" t="s">
        <v>53</v>
      </c>
    </row>
    <row r="27" spans="1:24" ht="18" customHeight="1" x14ac:dyDescent="0.15">
      <c r="B27" s="129" t="s">
        <v>144</v>
      </c>
      <c r="C27" s="130"/>
      <c r="D27" s="130"/>
      <c r="E27" s="130"/>
      <c r="F27" s="131"/>
      <c r="G27" s="59">
        <v>2</v>
      </c>
      <c r="H27" s="59" t="s">
        <v>145</v>
      </c>
      <c r="I27" s="59" t="s">
        <v>145</v>
      </c>
      <c r="J27" s="59" t="s">
        <v>145</v>
      </c>
      <c r="K27" s="129"/>
      <c r="L27" s="130"/>
      <c r="M27" s="130"/>
      <c r="N27" s="130"/>
      <c r="O27" s="130"/>
      <c r="P27" s="130"/>
      <c r="Q27" s="131"/>
      <c r="R27" s="59"/>
      <c r="S27" s="59"/>
      <c r="T27" s="59"/>
      <c r="U27" s="59"/>
    </row>
    <row r="28" spans="1:24" ht="18" customHeight="1" x14ac:dyDescent="0.15">
      <c r="B28" s="113"/>
      <c r="C28" s="114"/>
      <c r="D28" s="114"/>
      <c r="E28" s="114"/>
      <c r="F28" s="115"/>
      <c r="G28" s="60"/>
      <c r="H28" s="60"/>
      <c r="I28" s="60"/>
      <c r="J28" s="60"/>
      <c r="K28" s="113"/>
      <c r="L28" s="114"/>
      <c r="M28" s="114"/>
      <c r="N28" s="114"/>
      <c r="O28" s="114"/>
      <c r="P28" s="114"/>
      <c r="Q28" s="115"/>
      <c r="R28" s="60"/>
      <c r="S28" s="60"/>
      <c r="T28" s="60"/>
      <c r="U28" s="60"/>
    </row>
    <row r="29" spans="1:24" ht="18" customHeight="1" x14ac:dyDescent="0.15">
      <c r="B29" s="113"/>
      <c r="C29" s="114"/>
      <c r="D29" s="114"/>
      <c r="E29" s="114"/>
      <c r="F29" s="115"/>
      <c r="G29" s="60"/>
      <c r="H29" s="60"/>
      <c r="I29" s="60"/>
      <c r="J29" s="60"/>
      <c r="K29" s="113"/>
      <c r="L29" s="114"/>
      <c r="M29" s="114"/>
      <c r="N29" s="114"/>
      <c r="O29" s="114"/>
      <c r="P29" s="114"/>
      <c r="Q29" s="115"/>
      <c r="R29" s="60"/>
      <c r="S29" s="60"/>
      <c r="T29" s="60"/>
      <c r="U29" s="60"/>
    </row>
    <row r="30" spans="1:24" ht="18" customHeight="1" x14ac:dyDescent="0.15">
      <c r="B30" s="113"/>
      <c r="C30" s="114"/>
      <c r="D30" s="114"/>
      <c r="E30" s="114"/>
      <c r="F30" s="115"/>
      <c r="G30" s="60"/>
      <c r="H30" s="60"/>
      <c r="I30" s="60"/>
      <c r="J30" s="60"/>
      <c r="K30" s="113"/>
      <c r="L30" s="114"/>
      <c r="M30" s="114"/>
      <c r="N30" s="114"/>
      <c r="O30" s="114"/>
      <c r="P30" s="114"/>
      <c r="Q30" s="115"/>
      <c r="R30" s="60"/>
      <c r="S30" s="60"/>
      <c r="T30" s="60"/>
      <c r="U30" s="60"/>
    </row>
    <row r="31" spans="1:24" ht="18" customHeight="1" x14ac:dyDescent="0.15">
      <c r="B31" s="113"/>
      <c r="C31" s="114"/>
      <c r="D31" s="114"/>
      <c r="E31" s="114"/>
      <c r="F31" s="115"/>
      <c r="G31" s="60"/>
      <c r="H31" s="60"/>
      <c r="I31" s="60"/>
      <c r="J31" s="60"/>
      <c r="K31" s="113"/>
      <c r="L31" s="114"/>
      <c r="M31" s="114"/>
      <c r="N31" s="114"/>
      <c r="O31" s="114"/>
      <c r="P31" s="114"/>
      <c r="Q31" s="115"/>
      <c r="R31" s="60"/>
      <c r="S31" s="60"/>
      <c r="T31" s="60"/>
      <c r="U31" s="60"/>
    </row>
    <row r="32" spans="1:24" ht="18" customHeight="1" x14ac:dyDescent="0.15">
      <c r="A32" s="81"/>
      <c r="B32" s="113"/>
      <c r="C32" s="114"/>
      <c r="D32" s="114"/>
      <c r="E32" s="114"/>
      <c r="F32" s="115"/>
      <c r="G32" s="60"/>
      <c r="H32" s="60"/>
      <c r="I32" s="60"/>
      <c r="J32" s="60"/>
      <c r="K32" s="113"/>
      <c r="L32" s="114"/>
      <c r="M32" s="114"/>
      <c r="N32" s="114"/>
      <c r="O32" s="114"/>
      <c r="P32" s="114"/>
      <c r="Q32" s="115"/>
      <c r="R32" s="60"/>
      <c r="S32" s="60"/>
      <c r="T32" s="60"/>
      <c r="U32" s="60"/>
    </row>
    <row r="33" spans="1:21" ht="18" customHeight="1" x14ac:dyDescent="0.15">
      <c r="A33" s="81"/>
      <c r="B33" s="132"/>
      <c r="C33" s="133"/>
      <c r="D33" s="133"/>
      <c r="E33" s="133"/>
      <c r="F33" s="134"/>
      <c r="G33" s="61"/>
      <c r="H33" s="61"/>
      <c r="I33" s="62"/>
      <c r="J33" s="62"/>
      <c r="K33" s="132"/>
      <c r="L33" s="133"/>
      <c r="M33" s="133"/>
      <c r="N33" s="133"/>
      <c r="O33" s="133"/>
      <c r="P33" s="133"/>
      <c r="Q33" s="134"/>
      <c r="R33" s="61"/>
      <c r="S33" s="61"/>
      <c r="T33" s="62"/>
      <c r="U33" s="62"/>
    </row>
    <row r="34" spans="1:21" ht="7.5" customHeight="1" x14ac:dyDescent="0.15">
      <c r="A34" s="81"/>
      <c r="B34" s="6"/>
      <c r="C34" s="6"/>
      <c r="D34" s="6"/>
      <c r="E34" s="81"/>
      <c r="F34" s="81"/>
      <c r="G34" s="81"/>
      <c r="H34" s="81"/>
      <c r="I34" s="6"/>
      <c r="J34" s="6"/>
      <c r="K34" s="6"/>
      <c r="L34" s="6"/>
      <c r="M34" s="6"/>
      <c r="N34" s="6"/>
      <c r="O34" s="6"/>
      <c r="P34" s="6"/>
      <c r="Q34" s="6"/>
      <c r="R34" s="6"/>
      <c r="S34" s="6"/>
      <c r="T34" s="6"/>
      <c r="U34" s="81"/>
    </row>
    <row r="35" spans="1:21" ht="18" customHeight="1" x14ac:dyDescent="0.15">
      <c r="A35" s="128" t="s">
        <v>95</v>
      </c>
      <c r="B35" s="128"/>
      <c r="C35" s="128"/>
      <c r="D35" s="128"/>
      <c r="E35" s="128"/>
      <c r="F35" s="128"/>
      <c r="G35" s="128"/>
      <c r="H35" s="128"/>
      <c r="I35" s="128"/>
      <c r="J35" s="128"/>
      <c r="K35" s="128"/>
      <c r="L35" s="128"/>
      <c r="M35" s="128"/>
      <c r="N35" s="128"/>
      <c r="O35" s="128"/>
      <c r="P35" s="128"/>
      <c r="Q35" s="128"/>
      <c r="R35" s="128"/>
      <c r="S35" s="128"/>
      <c r="T35" s="128"/>
      <c r="U35" s="128"/>
    </row>
    <row r="36" spans="1:21" ht="18" customHeight="1" x14ac:dyDescent="0.15">
      <c r="A36" s="128"/>
      <c r="B36" s="128"/>
      <c r="C36" s="128"/>
      <c r="D36" s="128"/>
      <c r="E36" s="128"/>
      <c r="F36" s="128"/>
      <c r="G36" s="128"/>
      <c r="H36" s="128"/>
      <c r="I36" s="128"/>
      <c r="J36" s="128"/>
      <c r="K36" s="128"/>
      <c r="L36" s="128"/>
      <c r="M36" s="128"/>
      <c r="N36" s="128"/>
      <c r="O36" s="128"/>
      <c r="P36" s="128"/>
      <c r="Q36" s="128"/>
      <c r="R36" s="128"/>
      <c r="S36" s="128"/>
      <c r="T36" s="128"/>
      <c r="U36" s="128"/>
    </row>
    <row r="37" spans="1:21" ht="18" customHeight="1" x14ac:dyDescent="0.15">
      <c r="B37" s="97" t="s">
        <v>47</v>
      </c>
      <c r="C37" s="98"/>
      <c r="D37" s="98"/>
      <c r="E37" s="98"/>
      <c r="F37" s="99"/>
      <c r="G37" s="56" t="s">
        <v>72</v>
      </c>
      <c r="H37" s="57" t="s">
        <v>75</v>
      </c>
      <c r="I37" s="58" t="s">
        <v>63</v>
      </c>
      <c r="J37" s="58" t="s">
        <v>64</v>
      </c>
      <c r="K37" s="97" t="s">
        <v>47</v>
      </c>
      <c r="L37" s="98"/>
      <c r="M37" s="98"/>
      <c r="N37" s="98"/>
      <c r="O37" s="98"/>
      <c r="P37" s="98"/>
      <c r="Q37" s="99"/>
      <c r="R37" s="56" t="s">
        <v>72</v>
      </c>
      <c r="S37" s="57" t="s">
        <v>75</v>
      </c>
      <c r="T37" s="58" t="s">
        <v>63</v>
      </c>
      <c r="U37" s="58" t="s">
        <v>64</v>
      </c>
    </row>
    <row r="38" spans="1:21" ht="18" customHeight="1" x14ac:dyDescent="0.15">
      <c r="B38" s="129" t="s">
        <v>144</v>
      </c>
      <c r="C38" s="130"/>
      <c r="D38" s="130"/>
      <c r="E38" s="130"/>
      <c r="F38" s="131"/>
      <c r="G38" s="59">
        <v>2</v>
      </c>
      <c r="H38" s="59" t="s">
        <v>145</v>
      </c>
      <c r="I38" s="59" t="s">
        <v>145</v>
      </c>
      <c r="J38" s="59" t="s">
        <v>145</v>
      </c>
      <c r="K38" s="129"/>
      <c r="L38" s="130"/>
      <c r="M38" s="130"/>
      <c r="N38" s="130"/>
      <c r="O38" s="130"/>
      <c r="P38" s="130"/>
      <c r="Q38" s="131"/>
      <c r="R38" s="59"/>
      <c r="S38" s="59"/>
      <c r="T38" s="59"/>
      <c r="U38" s="59"/>
    </row>
    <row r="39" spans="1:21" ht="18" customHeight="1" x14ac:dyDescent="0.15">
      <c r="B39" s="113"/>
      <c r="C39" s="114"/>
      <c r="D39" s="114"/>
      <c r="E39" s="114"/>
      <c r="F39" s="115"/>
      <c r="G39" s="60"/>
      <c r="H39" s="60"/>
      <c r="I39" s="60"/>
      <c r="J39" s="60"/>
      <c r="K39" s="113"/>
      <c r="L39" s="114"/>
      <c r="M39" s="114"/>
      <c r="N39" s="114"/>
      <c r="O39" s="114"/>
      <c r="P39" s="114"/>
      <c r="Q39" s="115"/>
      <c r="R39" s="60"/>
      <c r="S39" s="60"/>
      <c r="T39" s="60"/>
      <c r="U39" s="60"/>
    </row>
    <row r="40" spans="1:21" ht="18" customHeight="1" x14ac:dyDescent="0.15">
      <c r="B40" s="113"/>
      <c r="C40" s="114"/>
      <c r="D40" s="114"/>
      <c r="E40" s="114"/>
      <c r="F40" s="115"/>
      <c r="G40" s="60"/>
      <c r="H40" s="60"/>
      <c r="I40" s="60"/>
      <c r="J40" s="60"/>
      <c r="K40" s="113"/>
      <c r="L40" s="114"/>
      <c r="M40" s="114"/>
      <c r="N40" s="114"/>
      <c r="O40" s="114"/>
      <c r="P40" s="114"/>
      <c r="Q40" s="115"/>
      <c r="R40" s="60"/>
      <c r="S40" s="60"/>
      <c r="T40" s="60"/>
      <c r="U40" s="60"/>
    </row>
    <row r="41" spans="1:21" ht="18" customHeight="1" x14ac:dyDescent="0.15">
      <c r="B41" s="113"/>
      <c r="C41" s="114"/>
      <c r="D41" s="114"/>
      <c r="E41" s="114"/>
      <c r="F41" s="115"/>
      <c r="G41" s="60"/>
      <c r="H41" s="60"/>
      <c r="I41" s="60"/>
      <c r="J41" s="60"/>
      <c r="K41" s="113"/>
      <c r="L41" s="114"/>
      <c r="M41" s="114"/>
      <c r="N41" s="114"/>
      <c r="O41" s="114"/>
      <c r="P41" s="114"/>
      <c r="Q41" s="115"/>
      <c r="R41" s="60"/>
      <c r="S41" s="60"/>
      <c r="T41" s="60"/>
      <c r="U41" s="60"/>
    </row>
    <row r="42" spans="1:21" ht="18" customHeight="1" x14ac:dyDescent="0.15">
      <c r="B42" s="113"/>
      <c r="C42" s="114"/>
      <c r="D42" s="114"/>
      <c r="E42" s="114"/>
      <c r="F42" s="115"/>
      <c r="G42" s="60"/>
      <c r="H42" s="60"/>
      <c r="I42" s="60"/>
      <c r="J42" s="60"/>
      <c r="K42" s="113"/>
      <c r="L42" s="114"/>
      <c r="M42" s="114"/>
      <c r="N42" s="114"/>
      <c r="O42" s="114"/>
      <c r="P42" s="114"/>
      <c r="Q42" s="115"/>
      <c r="R42" s="60"/>
      <c r="S42" s="60"/>
      <c r="T42" s="60"/>
      <c r="U42" s="60"/>
    </row>
    <row r="43" spans="1:21" ht="18" customHeight="1" x14ac:dyDescent="0.15">
      <c r="B43" s="113"/>
      <c r="C43" s="114"/>
      <c r="D43" s="114"/>
      <c r="E43" s="114"/>
      <c r="F43" s="115"/>
      <c r="G43" s="60"/>
      <c r="H43" s="60"/>
      <c r="I43" s="60"/>
      <c r="J43" s="60"/>
      <c r="K43" s="113"/>
      <c r="L43" s="114"/>
      <c r="M43" s="114"/>
      <c r="N43" s="114"/>
      <c r="O43" s="114"/>
      <c r="P43" s="114"/>
      <c r="Q43" s="115"/>
      <c r="R43" s="60"/>
      <c r="S43" s="60"/>
      <c r="T43" s="60"/>
      <c r="U43" s="60"/>
    </row>
    <row r="44" spans="1:21" ht="18" customHeight="1" x14ac:dyDescent="0.15">
      <c r="B44" s="132"/>
      <c r="C44" s="133"/>
      <c r="D44" s="133"/>
      <c r="E44" s="133"/>
      <c r="F44" s="134"/>
      <c r="G44" s="61"/>
      <c r="H44" s="61"/>
      <c r="I44" s="62"/>
      <c r="J44" s="62"/>
      <c r="K44" s="132"/>
      <c r="L44" s="133"/>
      <c r="M44" s="133"/>
      <c r="N44" s="133"/>
      <c r="O44" s="133"/>
      <c r="P44" s="133"/>
      <c r="Q44" s="134"/>
      <c r="R44" s="61"/>
      <c r="S44" s="61"/>
      <c r="T44" s="62"/>
      <c r="U44" s="62"/>
    </row>
    <row r="45" spans="1:21" ht="7.5" customHeight="1" x14ac:dyDescent="0.15">
      <c r="A45" s="81"/>
      <c r="B45" s="6"/>
      <c r="C45" s="6"/>
      <c r="D45" s="6"/>
      <c r="E45" s="81"/>
      <c r="F45" s="81"/>
      <c r="G45" s="81"/>
      <c r="H45" s="81"/>
      <c r="I45" s="6"/>
      <c r="J45" s="6"/>
      <c r="K45" s="6"/>
      <c r="L45" s="6"/>
      <c r="M45" s="6"/>
      <c r="N45" s="6"/>
      <c r="O45" s="6"/>
      <c r="P45" s="6"/>
      <c r="Q45" s="6"/>
      <c r="R45" s="6"/>
      <c r="S45" s="6"/>
      <c r="T45" s="6"/>
      <c r="U45" s="81"/>
    </row>
    <row r="46" spans="1:21" ht="18" customHeight="1" x14ac:dyDescent="0.15">
      <c r="A46" s="128" t="s">
        <v>96</v>
      </c>
      <c r="B46" s="128"/>
      <c r="C46" s="128"/>
      <c r="D46" s="128"/>
      <c r="E46" s="128"/>
      <c r="F46" s="128"/>
      <c r="G46" s="128"/>
      <c r="H46" s="128"/>
      <c r="I46" s="128"/>
      <c r="J46" s="128"/>
      <c r="K46" s="128"/>
      <c r="L46" s="128"/>
      <c r="M46" s="128"/>
      <c r="N46" s="128"/>
      <c r="O46" s="128"/>
      <c r="P46" s="128"/>
      <c r="Q46" s="128"/>
      <c r="R46" s="128"/>
      <c r="S46" s="128"/>
      <c r="T46" s="128"/>
      <c r="U46" s="128"/>
    </row>
    <row r="47" spans="1:21" ht="18" customHeight="1" x14ac:dyDescent="0.15">
      <c r="A47" s="128"/>
      <c r="B47" s="128"/>
      <c r="C47" s="128"/>
      <c r="D47" s="128"/>
      <c r="E47" s="128"/>
      <c r="F47" s="128"/>
      <c r="G47" s="128"/>
      <c r="H47" s="128"/>
      <c r="I47" s="128"/>
      <c r="J47" s="128"/>
      <c r="K47" s="128"/>
      <c r="L47" s="128"/>
      <c r="M47" s="128"/>
      <c r="N47" s="128"/>
      <c r="O47" s="128"/>
      <c r="P47" s="128"/>
      <c r="Q47" s="128"/>
      <c r="R47" s="128"/>
      <c r="S47" s="128"/>
      <c r="T47" s="128"/>
      <c r="U47" s="128"/>
    </row>
    <row r="48" spans="1:21" ht="18" customHeight="1" x14ac:dyDescent="0.15">
      <c r="B48" s="97" t="s">
        <v>47</v>
      </c>
      <c r="C48" s="98"/>
      <c r="D48" s="98"/>
      <c r="E48" s="98"/>
      <c r="F48" s="99"/>
      <c r="G48" s="56" t="s">
        <v>72</v>
      </c>
      <c r="H48" s="57" t="s">
        <v>75</v>
      </c>
      <c r="I48" s="58" t="s">
        <v>65</v>
      </c>
      <c r="J48" s="58" t="s">
        <v>66</v>
      </c>
      <c r="K48" s="97" t="s">
        <v>47</v>
      </c>
      <c r="L48" s="98"/>
      <c r="M48" s="98"/>
      <c r="N48" s="98"/>
      <c r="O48" s="98"/>
      <c r="P48" s="98"/>
      <c r="Q48" s="99"/>
      <c r="R48" s="56" t="s">
        <v>72</v>
      </c>
      <c r="S48" s="57" t="s">
        <v>75</v>
      </c>
      <c r="T48" s="58" t="s">
        <v>65</v>
      </c>
      <c r="U48" s="58" t="s">
        <v>66</v>
      </c>
    </row>
    <row r="49" spans="1:21" ht="18" customHeight="1" x14ac:dyDescent="0.15">
      <c r="A49" s="81"/>
      <c r="B49" s="129" t="s">
        <v>144</v>
      </c>
      <c r="C49" s="130"/>
      <c r="D49" s="130"/>
      <c r="E49" s="130"/>
      <c r="F49" s="131"/>
      <c r="G49" s="59">
        <v>2</v>
      </c>
      <c r="H49" s="59" t="s">
        <v>145</v>
      </c>
      <c r="I49" s="59" t="s">
        <v>145</v>
      </c>
      <c r="J49" s="59" t="s">
        <v>145</v>
      </c>
      <c r="K49" s="129"/>
      <c r="L49" s="130"/>
      <c r="M49" s="130"/>
      <c r="N49" s="130"/>
      <c r="O49" s="130"/>
      <c r="P49" s="130"/>
      <c r="Q49" s="131"/>
      <c r="R49" s="59"/>
      <c r="S49" s="59"/>
      <c r="T49" s="59"/>
      <c r="U49" s="59"/>
    </row>
    <row r="50" spans="1:21" ht="18" customHeight="1" x14ac:dyDescent="0.15">
      <c r="A50" s="81"/>
      <c r="B50" s="113"/>
      <c r="C50" s="114"/>
      <c r="D50" s="114"/>
      <c r="E50" s="114"/>
      <c r="F50" s="115"/>
      <c r="G50" s="60"/>
      <c r="H50" s="60"/>
      <c r="I50" s="60"/>
      <c r="J50" s="60"/>
      <c r="K50" s="113"/>
      <c r="L50" s="114"/>
      <c r="M50" s="114"/>
      <c r="N50" s="114"/>
      <c r="O50" s="114"/>
      <c r="P50" s="114"/>
      <c r="Q50" s="115"/>
      <c r="R50" s="60"/>
      <c r="S50" s="60"/>
      <c r="T50" s="60"/>
      <c r="U50" s="60"/>
    </row>
    <row r="51" spans="1:21" ht="18" customHeight="1" x14ac:dyDescent="0.15">
      <c r="A51" s="81"/>
      <c r="B51" s="113"/>
      <c r="C51" s="114"/>
      <c r="D51" s="114"/>
      <c r="E51" s="114"/>
      <c r="F51" s="115"/>
      <c r="G51" s="60"/>
      <c r="H51" s="60"/>
      <c r="I51" s="60"/>
      <c r="J51" s="60"/>
      <c r="K51" s="113"/>
      <c r="L51" s="114"/>
      <c r="M51" s="114"/>
      <c r="N51" s="114"/>
      <c r="O51" s="114"/>
      <c r="P51" s="114"/>
      <c r="Q51" s="115"/>
      <c r="R51" s="60"/>
      <c r="S51" s="60"/>
      <c r="T51" s="60"/>
      <c r="U51" s="60"/>
    </row>
    <row r="52" spans="1:21" ht="18" customHeight="1" x14ac:dyDescent="0.15">
      <c r="A52" s="81"/>
      <c r="B52" s="113"/>
      <c r="C52" s="114"/>
      <c r="D52" s="114"/>
      <c r="E52" s="114"/>
      <c r="F52" s="115"/>
      <c r="G52" s="60"/>
      <c r="H52" s="60"/>
      <c r="I52" s="60"/>
      <c r="J52" s="60"/>
      <c r="K52" s="113"/>
      <c r="L52" s="114"/>
      <c r="M52" s="114"/>
      <c r="N52" s="114"/>
      <c r="O52" s="114"/>
      <c r="P52" s="114"/>
      <c r="Q52" s="115"/>
      <c r="R52" s="60"/>
      <c r="S52" s="60"/>
      <c r="T52" s="60"/>
      <c r="U52" s="60"/>
    </row>
    <row r="53" spans="1:21" ht="18" customHeight="1" x14ac:dyDescent="0.15">
      <c r="A53" s="81"/>
      <c r="B53" s="113"/>
      <c r="C53" s="114"/>
      <c r="D53" s="114"/>
      <c r="E53" s="114"/>
      <c r="F53" s="115"/>
      <c r="G53" s="60"/>
      <c r="H53" s="60"/>
      <c r="I53" s="60"/>
      <c r="J53" s="60"/>
      <c r="K53" s="113"/>
      <c r="L53" s="114"/>
      <c r="M53" s="114"/>
      <c r="N53" s="114"/>
      <c r="O53" s="114"/>
      <c r="P53" s="114"/>
      <c r="Q53" s="115"/>
      <c r="R53" s="60"/>
      <c r="S53" s="60"/>
      <c r="T53" s="60"/>
      <c r="U53" s="60"/>
    </row>
    <row r="54" spans="1:21" ht="18" customHeight="1" x14ac:dyDescent="0.15">
      <c r="A54" s="81"/>
      <c r="B54" s="113"/>
      <c r="C54" s="114"/>
      <c r="D54" s="114"/>
      <c r="E54" s="114"/>
      <c r="F54" s="115"/>
      <c r="G54" s="60"/>
      <c r="H54" s="60"/>
      <c r="I54" s="60"/>
      <c r="J54" s="60"/>
      <c r="K54" s="113"/>
      <c r="L54" s="114"/>
      <c r="M54" s="114"/>
      <c r="N54" s="114"/>
      <c r="O54" s="114"/>
      <c r="P54" s="114"/>
      <c r="Q54" s="115"/>
      <c r="R54" s="60"/>
      <c r="S54" s="60"/>
      <c r="T54" s="60"/>
      <c r="U54" s="60"/>
    </row>
    <row r="55" spans="1:21" ht="18" customHeight="1" x14ac:dyDescent="0.15">
      <c r="A55" s="81"/>
      <c r="B55" s="132"/>
      <c r="C55" s="133"/>
      <c r="D55" s="133"/>
      <c r="E55" s="133"/>
      <c r="F55" s="134"/>
      <c r="G55" s="61"/>
      <c r="H55" s="61"/>
      <c r="I55" s="62"/>
      <c r="J55" s="62"/>
      <c r="K55" s="132"/>
      <c r="L55" s="133"/>
      <c r="M55" s="133"/>
      <c r="N55" s="133"/>
      <c r="O55" s="133"/>
      <c r="P55" s="133"/>
      <c r="Q55" s="134"/>
      <c r="R55" s="61"/>
      <c r="S55" s="61"/>
      <c r="T55" s="62"/>
      <c r="U55" s="62"/>
    </row>
    <row r="56" spans="1:21" ht="7.5" customHeight="1" x14ac:dyDescent="0.15">
      <c r="B56" s="80"/>
      <c r="C56" s="80"/>
      <c r="D56" s="80"/>
      <c r="E56" s="80"/>
      <c r="F56" s="80"/>
      <c r="G56" s="80"/>
      <c r="H56" s="80"/>
      <c r="I56" s="80"/>
      <c r="J56" s="80"/>
      <c r="K56" s="80"/>
      <c r="L56" s="80"/>
      <c r="M56" s="80"/>
      <c r="N56" s="80"/>
      <c r="O56" s="80"/>
      <c r="P56" s="80"/>
      <c r="Q56" s="80"/>
      <c r="R56" s="80"/>
      <c r="S56" s="80"/>
      <c r="T56" s="80"/>
    </row>
    <row r="57" spans="1:21" ht="18" customHeight="1" x14ac:dyDescent="0.15">
      <c r="A57" s="128" t="s">
        <v>97</v>
      </c>
      <c r="B57" s="128"/>
      <c r="C57" s="128"/>
      <c r="D57" s="128"/>
      <c r="E57" s="128"/>
      <c r="F57" s="128"/>
      <c r="G57" s="128"/>
      <c r="H57" s="128"/>
      <c r="I57" s="128"/>
      <c r="J57" s="128"/>
      <c r="K57" s="128"/>
      <c r="L57" s="128"/>
      <c r="M57" s="128"/>
      <c r="N57" s="128"/>
      <c r="O57" s="128"/>
      <c r="P57" s="128"/>
      <c r="Q57" s="128"/>
      <c r="R57" s="128"/>
      <c r="S57" s="128"/>
      <c r="T57" s="128"/>
      <c r="U57" s="128"/>
    </row>
    <row r="58" spans="1:21" ht="18" customHeight="1" x14ac:dyDescent="0.15">
      <c r="A58" s="128"/>
      <c r="B58" s="128"/>
      <c r="C58" s="128"/>
      <c r="D58" s="128"/>
      <c r="E58" s="128"/>
      <c r="F58" s="128"/>
      <c r="G58" s="128"/>
      <c r="H58" s="128"/>
      <c r="I58" s="128"/>
      <c r="J58" s="128"/>
      <c r="K58" s="128"/>
      <c r="L58" s="128"/>
      <c r="M58" s="128"/>
      <c r="N58" s="128"/>
      <c r="O58" s="128"/>
      <c r="P58" s="128"/>
      <c r="Q58" s="128"/>
      <c r="R58" s="128"/>
      <c r="S58" s="128"/>
      <c r="T58" s="128"/>
      <c r="U58" s="128"/>
    </row>
    <row r="59" spans="1:21" ht="18" customHeight="1" x14ac:dyDescent="0.15">
      <c r="B59" s="97" t="s">
        <v>47</v>
      </c>
      <c r="C59" s="98"/>
      <c r="D59" s="98"/>
      <c r="E59" s="98"/>
      <c r="F59" s="99"/>
      <c r="G59" s="56" t="s">
        <v>72</v>
      </c>
      <c r="H59" s="57" t="s">
        <v>75</v>
      </c>
      <c r="I59" s="58" t="s">
        <v>52</v>
      </c>
      <c r="J59" s="58" t="s">
        <v>54</v>
      </c>
      <c r="K59" s="97" t="s">
        <v>47</v>
      </c>
      <c r="L59" s="98"/>
      <c r="M59" s="98"/>
      <c r="N59" s="98"/>
      <c r="O59" s="98"/>
      <c r="P59" s="98"/>
      <c r="Q59" s="99"/>
      <c r="R59" s="56" t="s">
        <v>72</v>
      </c>
      <c r="S59" s="57" t="s">
        <v>75</v>
      </c>
      <c r="T59" s="58" t="s">
        <v>52</v>
      </c>
      <c r="U59" s="58" t="s">
        <v>54</v>
      </c>
    </row>
    <row r="60" spans="1:21" ht="18" customHeight="1" x14ac:dyDescent="0.15">
      <c r="A60" s="81"/>
      <c r="B60" s="129" t="s">
        <v>144</v>
      </c>
      <c r="C60" s="130"/>
      <c r="D60" s="130"/>
      <c r="E60" s="130"/>
      <c r="F60" s="131"/>
      <c r="G60" s="59">
        <v>2</v>
      </c>
      <c r="H60" s="59" t="s">
        <v>145</v>
      </c>
      <c r="I60" s="59" t="s">
        <v>145</v>
      </c>
      <c r="J60" s="59" t="s">
        <v>145</v>
      </c>
      <c r="K60" s="129"/>
      <c r="L60" s="130"/>
      <c r="M60" s="130"/>
      <c r="N60" s="130"/>
      <c r="O60" s="130"/>
      <c r="P60" s="130"/>
      <c r="Q60" s="131"/>
      <c r="R60" s="59"/>
      <c r="S60" s="59"/>
      <c r="T60" s="59"/>
      <c r="U60" s="59"/>
    </row>
    <row r="61" spans="1:21" ht="18" customHeight="1" x14ac:dyDescent="0.15">
      <c r="A61" s="81"/>
      <c r="B61" s="113"/>
      <c r="C61" s="114"/>
      <c r="D61" s="114"/>
      <c r="E61" s="114"/>
      <c r="F61" s="115"/>
      <c r="G61" s="60"/>
      <c r="H61" s="60"/>
      <c r="I61" s="60"/>
      <c r="J61" s="60"/>
      <c r="K61" s="113"/>
      <c r="L61" s="114"/>
      <c r="M61" s="114"/>
      <c r="N61" s="114"/>
      <c r="O61" s="114"/>
      <c r="P61" s="114"/>
      <c r="Q61" s="115"/>
      <c r="R61" s="60"/>
      <c r="S61" s="60"/>
      <c r="T61" s="60"/>
      <c r="U61" s="60"/>
    </row>
    <row r="62" spans="1:21" ht="18" customHeight="1" x14ac:dyDescent="0.15">
      <c r="A62" s="81"/>
      <c r="B62" s="113"/>
      <c r="C62" s="114"/>
      <c r="D62" s="114"/>
      <c r="E62" s="114"/>
      <c r="F62" s="115"/>
      <c r="G62" s="60"/>
      <c r="H62" s="60"/>
      <c r="I62" s="60"/>
      <c r="J62" s="60"/>
      <c r="K62" s="113"/>
      <c r="L62" s="114"/>
      <c r="M62" s="114"/>
      <c r="N62" s="114"/>
      <c r="O62" s="114"/>
      <c r="P62" s="114"/>
      <c r="Q62" s="115"/>
      <c r="R62" s="60"/>
      <c r="S62" s="60"/>
      <c r="T62" s="60"/>
      <c r="U62" s="60"/>
    </row>
    <row r="63" spans="1:21" ht="18" customHeight="1" x14ac:dyDescent="0.15">
      <c r="A63" s="81"/>
      <c r="B63" s="113"/>
      <c r="C63" s="114"/>
      <c r="D63" s="114"/>
      <c r="E63" s="114"/>
      <c r="F63" s="115"/>
      <c r="G63" s="60"/>
      <c r="H63" s="60"/>
      <c r="I63" s="60"/>
      <c r="J63" s="60"/>
      <c r="K63" s="113"/>
      <c r="L63" s="114"/>
      <c r="M63" s="114"/>
      <c r="N63" s="114"/>
      <c r="O63" s="114"/>
      <c r="P63" s="114"/>
      <c r="Q63" s="115"/>
      <c r="R63" s="60"/>
      <c r="S63" s="60"/>
      <c r="T63" s="60"/>
      <c r="U63" s="60"/>
    </row>
    <row r="64" spans="1:21" ht="18" customHeight="1" x14ac:dyDescent="0.15">
      <c r="A64" s="81"/>
      <c r="B64" s="113"/>
      <c r="C64" s="114"/>
      <c r="D64" s="114"/>
      <c r="E64" s="114"/>
      <c r="F64" s="115"/>
      <c r="G64" s="60"/>
      <c r="H64" s="60"/>
      <c r="I64" s="60"/>
      <c r="J64" s="60"/>
      <c r="K64" s="113"/>
      <c r="L64" s="114"/>
      <c r="M64" s="114"/>
      <c r="N64" s="114"/>
      <c r="O64" s="114"/>
      <c r="P64" s="114"/>
      <c r="Q64" s="115"/>
      <c r="R64" s="60"/>
      <c r="S64" s="60"/>
      <c r="T64" s="60"/>
      <c r="U64" s="60"/>
    </row>
    <row r="65" spans="1:27" ht="18" customHeight="1" x14ac:dyDescent="0.15">
      <c r="A65" s="81"/>
      <c r="B65" s="113"/>
      <c r="C65" s="114"/>
      <c r="D65" s="114"/>
      <c r="E65" s="114"/>
      <c r="F65" s="115"/>
      <c r="G65" s="60"/>
      <c r="H65" s="60"/>
      <c r="I65" s="60"/>
      <c r="J65" s="60"/>
      <c r="K65" s="113"/>
      <c r="L65" s="114"/>
      <c r="M65" s="114"/>
      <c r="N65" s="114"/>
      <c r="O65" s="114"/>
      <c r="P65" s="114"/>
      <c r="Q65" s="115"/>
      <c r="R65" s="60"/>
      <c r="S65" s="60"/>
      <c r="T65" s="60"/>
      <c r="U65" s="60"/>
    </row>
    <row r="66" spans="1:27" ht="18" customHeight="1" x14ac:dyDescent="0.15">
      <c r="A66" s="81"/>
      <c r="B66" s="132"/>
      <c r="C66" s="133"/>
      <c r="D66" s="133"/>
      <c r="E66" s="133"/>
      <c r="F66" s="134"/>
      <c r="G66" s="61"/>
      <c r="H66" s="61"/>
      <c r="I66" s="62"/>
      <c r="J66" s="62"/>
      <c r="K66" s="132"/>
      <c r="L66" s="133"/>
      <c r="M66" s="133"/>
      <c r="N66" s="133"/>
      <c r="O66" s="133"/>
      <c r="P66" s="133"/>
      <c r="Q66" s="134"/>
      <c r="R66" s="61"/>
      <c r="S66" s="61"/>
      <c r="T66" s="62"/>
      <c r="U66" s="62"/>
    </row>
    <row r="67" spans="1:27" ht="7.5" customHeight="1" x14ac:dyDescent="0.15">
      <c r="B67" s="80"/>
      <c r="C67" s="80"/>
      <c r="D67" s="80"/>
      <c r="E67" s="80"/>
      <c r="F67" s="80"/>
      <c r="G67" s="80"/>
      <c r="H67" s="80"/>
      <c r="I67" s="80"/>
      <c r="J67" s="80"/>
      <c r="K67" s="80"/>
      <c r="L67" s="80"/>
      <c r="M67" s="80"/>
      <c r="N67" s="80"/>
      <c r="O67" s="80"/>
      <c r="P67" s="80"/>
      <c r="Q67" s="80"/>
      <c r="R67" s="80"/>
      <c r="S67" s="80"/>
      <c r="T67" s="80"/>
    </row>
    <row r="68" spans="1:27" ht="18" customHeight="1" x14ac:dyDescent="0.15">
      <c r="A68" s="128" t="s">
        <v>98</v>
      </c>
      <c r="B68" s="128"/>
      <c r="C68" s="128"/>
      <c r="D68" s="128"/>
      <c r="E68" s="128"/>
      <c r="F68" s="128"/>
      <c r="G68" s="128"/>
      <c r="H68" s="128"/>
      <c r="I68" s="128"/>
      <c r="J68" s="128"/>
      <c r="K68" s="128"/>
      <c r="L68" s="128"/>
      <c r="M68" s="128"/>
      <c r="N68" s="128"/>
      <c r="O68" s="128"/>
      <c r="P68" s="128"/>
      <c r="Q68" s="128"/>
      <c r="R68" s="128"/>
      <c r="S68" s="128"/>
      <c r="T68" s="128"/>
      <c r="U68" s="128"/>
    </row>
    <row r="69" spans="1:27" ht="18" customHeight="1" x14ac:dyDescent="0.15">
      <c r="A69" s="128"/>
      <c r="B69" s="128"/>
      <c r="C69" s="128"/>
      <c r="D69" s="128"/>
      <c r="E69" s="128"/>
      <c r="F69" s="128"/>
      <c r="G69" s="128"/>
      <c r="H69" s="128"/>
      <c r="I69" s="128"/>
      <c r="J69" s="128"/>
      <c r="K69" s="128"/>
      <c r="L69" s="128"/>
      <c r="M69" s="128"/>
      <c r="N69" s="128"/>
      <c r="O69" s="128"/>
      <c r="P69" s="128"/>
      <c r="Q69" s="128"/>
      <c r="R69" s="128"/>
      <c r="S69" s="128"/>
      <c r="T69" s="128"/>
      <c r="U69" s="128"/>
    </row>
    <row r="70" spans="1:27" ht="18" customHeight="1" x14ac:dyDescent="0.15">
      <c r="B70" s="97" t="s">
        <v>47</v>
      </c>
      <c r="C70" s="98"/>
      <c r="D70" s="98"/>
      <c r="E70" s="98"/>
      <c r="F70" s="56" t="s">
        <v>72</v>
      </c>
      <c r="G70" s="57" t="s">
        <v>75</v>
      </c>
      <c r="H70" s="58" t="s">
        <v>86</v>
      </c>
      <c r="I70" s="58" t="s">
        <v>67</v>
      </c>
      <c r="J70" s="58" t="s">
        <v>68</v>
      </c>
      <c r="K70" s="97" t="s">
        <v>47</v>
      </c>
      <c r="L70" s="98"/>
      <c r="M70" s="98"/>
      <c r="N70" s="98"/>
      <c r="O70" s="98"/>
      <c r="P70" s="99"/>
      <c r="Q70" s="56" t="s">
        <v>72</v>
      </c>
      <c r="R70" s="57" t="s">
        <v>75</v>
      </c>
      <c r="S70" s="58" t="s">
        <v>86</v>
      </c>
      <c r="T70" s="58" t="s">
        <v>67</v>
      </c>
      <c r="U70" s="58" t="s">
        <v>68</v>
      </c>
    </row>
    <row r="71" spans="1:27" ht="18" customHeight="1" x14ac:dyDescent="0.15">
      <c r="A71" s="81"/>
      <c r="B71" s="129" t="s">
        <v>146</v>
      </c>
      <c r="C71" s="130"/>
      <c r="D71" s="130"/>
      <c r="E71" s="131"/>
      <c r="F71" s="59">
        <v>2</v>
      </c>
      <c r="G71" s="59" t="s">
        <v>145</v>
      </c>
      <c r="H71" s="59" t="s">
        <v>145</v>
      </c>
      <c r="I71" s="59" t="s">
        <v>145</v>
      </c>
      <c r="J71" s="59" t="s">
        <v>145</v>
      </c>
      <c r="K71" s="129"/>
      <c r="L71" s="130"/>
      <c r="M71" s="130"/>
      <c r="N71" s="130"/>
      <c r="O71" s="130"/>
      <c r="P71" s="131"/>
      <c r="Q71" s="59"/>
      <c r="R71" s="59"/>
      <c r="S71" s="59"/>
      <c r="T71" s="59"/>
      <c r="U71" s="59"/>
    </row>
    <row r="72" spans="1:27" ht="18" customHeight="1" x14ac:dyDescent="0.15">
      <c r="A72" s="81"/>
      <c r="B72" s="113"/>
      <c r="C72" s="114"/>
      <c r="D72" s="114"/>
      <c r="E72" s="114"/>
      <c r="F72" s="60"/>
      <c r="G72" s="60"/>
      <c r="H72" s="60"/>
      <c r="I72" s="60"/>
      <c r="J72" s="60"/>
      <c r="K72" s="113"/>
      <c r="L72" s="114"/>
      <c r="M72" s="114"/>
      <c r="N72" s="114"/>
      <c r="O72" s="114"/>
      <c r="P72" s="115"/>
      <c r="Q72" s="60"/>
      <c r="R72" s="60"/>
      <c r="S72" s="60"/>
      <c r="T72" s="60"/>
      <c r="U72" s="60"/>
    </row>
    <row r="73" spans="1:27" ht="18" customHeight="1" x14ac:dyDescent="0.15">
      <c r="A73" s="81"/>
      <c r="B73" s="113"/>
      <c r="C73" s="114"/>
      <c r="D73" s="114"/>
      <c r="E73" s="114"/>
      <c r="F73" s="60"/>
      <c r="G73" s="60"/>
      <c r="H73" s="60"/>
      <c r="I73" s="60"/>
      <c r="J73" s="60"/>
      <c r="K73" s="113"/>
      <c r="L73" s="114"/>
      <c r="M73" s="114"/>
      <c r="N73" s="114"/>
      <c r="O73" s="114"/>
      <c r="P73" s="115"/>
      <c r="Q73" s="60"/>
      <c r="R73" s="60"/>
      <c r="S73" s="60"/>
      <c r="T73" s="60"/>
      <c r="U73" s="60"/>
    </row>
    <row r="74" spans="1:27" ht="18" customHeight="1" x14ac:dyDescent="0.15">
      <c r="A74" s="81"/>
      <c r="B74" s="113"/>
      <c r="C74" s="114"/>
      <c r="D74" s="114"/>
      <c r="E74" s="114"/>
      <c r="F74" s="60"/>
      <c r="G74" s="60"/>
      <c r="H74" s="60"/>
      <c r="I74" s="60"/>
      <c r="J74" s="60"/>
      <c r="K74" s="113"/>
      <c r="L74" s="114"/>
      <c r="M74" s="114"/>
      <c r="N74" s="114"/>
      <c r="O74" s="114"/>
      <c r="P74" s="115"/>
      <c r="Q74" s="60"/>
      <c r="R74" s="60"/>
      <c r="S74" s="60"/>
      <c r="T74" s="60"/>
      <c r="U74" s="60"/>
    </row>
    <row r="75" spans="1:27" ht="18" customHeight="1" x14ac:dyDescent="0.15">
      <c r="A75" s="81"/>
      <c r="B75" s="113"/>
      <c r="C75" s="114"/>
      <c r="D75" s="114"/>
      <c r="E75" s="114"/>
      <c r="F75" s="60"/>
      <c r="G75" s="60"/>
      <c r="H75" s="60"/>
      <c r="I75" s="60"/>
      <c r="J75" s="60"/>
      <c r="K75" s="113"/>
      <c r="L75" s="114"/>
      <c r="M75" s="114"/>
      <c r="N75" s="114"/>
      <c r="O75" s="114"/>
      <c r="P75" s="115"/>
      <c r="Q75" s="60"/>
      <c r="R75" s="60"/>
      <c r="S75" s="60"/>
      <c r="T75" s="60"/>
      <c r="U75" s="60"/>
    </row>
    <row r="76" spans="1:27" ht="18" customHeight="1" x14ac:dyDescent="0.15">
      <c r="A76" s="81"/>
      <c r="B76" s="113"/>
      <c r="C76" s="114"/>
      <c r="D76" s="114"/>
      <c r="E76" s="114"/>
      <c r="F76" s="60"/>
      <c r="G76" s="60"/>
      <c r="H76" s="60"/>
      <c r="I76" s="60"/>
      <c r="J76" s="60"/>
      <c r="K76" s="113"/>
      <c r="L76" s="114"/>
      <c r="M76" s="114"/>
      <c r="N76" s="114"/>
      <c r="O76" s="114"/>
      <c r="P76" s="115"/>
      <c r="Q76" s="60"/>
      <c r="R76" s="60"/>
      <c r="S76" s="60"/>
      <c r="T76" s="60"/>
      <c r="U76" s="60"/>
    </row>
    <row r="77" spans="1:27" ht="18" customHeight="1" x14ac:dyDescent="0.15">
      <c r="A77" s="81"/>
      <c r="B77" s="132"/>
      <c r="C77" s="133"/>
      <c r="D77" s="133"/>
      <c r="E77" s="133"/>
      <c r="F77" s="61"/>
      <c r="G77" s="61"/>
      <c r="H77" s="62"/>
      <c r="I77" s="62"/>
      <c r="J77" s="62"/>
      <c r="K77" s="132"/>
      <c r="L77" s="133"/>
      <c r="M77" s="133"/>
      <c r="N77" s="133"/>
      <c r="O77" s="133"/>
      <c r="P77" s="134"/>
      <c r="Q77" s="61"/>
      <c r="R77" s="61"/>
      <c r="S77" s="62"/>
      <c r="T77" s="62"/>
      <c r="U77" s="62"/>
    </row>
    <row r="78" spans="1:27" ht="7.5" customHeight="1" x14ac:dyDescent="0.15">
      <c r="B78" s="80"/>
      <c r="C78" s="80"/>
      <c r="D78" s="80"/>
      <c r="E78" s="80"/>
      <c r="F78" s="80"/>
      <c r="G78" s="80"/>
      <c r="H78" s="80"/>
      <c r="I78" s="80"/>
      <c r="J78" s="80"/>
      <c r="K78" s="80"/>
      <c r="L78" s="80"/>
      <c r="M78" s="80"/>
      <c r="N78" s="80"/>
      <c r="O78" s="80"/>
      <c r="P78" s="80"/>
      <c r="Q78" s="80"/>
      <c r="R78" s="80"/>
      <c r="S78" s="80"/>
      <c r="T78" s="80"/>
    </row>
    <row r="79" spans="1:27" ht="18" customHeight="1" x14ac:dyDescent="0.15">
      <c r="A79" s="82" t="s">
        <v>99</v>
      </c>
      <c r="I79" s="81"/>
      <c r="J79" s="81"/>
      <c r="K79" s="81"/>
      <c r="L79" s="81"/>
      <c r="M79" s="81"/>
      <c r="N79" s="81"/>
      <c r="O79" s="81"/>
      <c r="P79" s="81"/>
      <c r="Q79" s="81"/>
      <c r="R79" s="81"/>
      <c r="S79" s="81"/>
      <c r="T79" s="81"/>
      <c r="U79" s="81"/>
    </row>
    <row r="80" spans="1:27" ht="18" customHeight="1" x14ac:dyDescent="0.15">
      <c r="B80" s="97" t="s">
        <v>47</v>
      </c>
      <c r="C80" s="98"/>
      <c r="D80" s="98"/>
      <c r="E80" s="98"/>
      <c r="F80" s="99"/>
      <c r="G80" s="97" t="s">
        <v>73</v>
      </c>
      <c r="H80" s="98"/>
      <c r="I80" s="98"/>
      <c r="J80" s="99"/>
      <c r="K80" s="135" t="s">
        <v>47</v>
      </c>
      <c r="L80" s="136"/>
      <c r="M80" s="136"/>
      <c r="N80" s="136"/>
      <c r="O80" s="136"/>
      <c r="P80" s="136"/>
      <c r="Q80" s="137"/>
      <c r="R80" s="97" t="s">
        <v>73</v>
      </c>
      <c r="S80" s="98"/>
      <c r="T80" s="98"/>
      <c r="U80" s="99"/>
      <c r="AA80" s="82" t="s">
        <v>137</v>
      </c>
    </row>
    <row r="81" spans="1:27" ht="18" customHeight="1" x14ac:dyDescent="0.15">
      <c r="A81" s="81"/>
      <c r="B81" s="129"/>
      <c r="C81" s="130"/>
      <c r="D81" s="130"/>
      <c r="E81" s="130"/>
      <c r="F81" s="131"/>
      <c r="G81" s="138"/>
      <c r="H81" s="139"/>
      <c r="I81" s="139"/>
      <c r="J81" s="140"/>
      <c r="K81" s="129"/>
      <c r="L81" s="130"/>
      <c r="M81" s="130"/>
      <c r="N81" s="130"/>
      <c r="O81" s="130"/>
      <c r="P81" s="130"/>
      <c r="Q81" s="131"/>
      <c r="R81" s="138"/>
      <c r="S81" s="139"/>
      <c r="T81" s="139"/>
      <c r="U81" s="140"/>
      <c r="AA81" s="82" t="s">
        <v>130</v>
      </c>
    </row>
    <row r="82" spans="1:27" ht="18" customHeight="1" x14ac:dyDescent="0.15">
      <c r="A82" s="81"/>
      <c r="B82" s="113"/>
      <c r="C82" s="114"/>
      <c r="D82" s="114"/>
      <c r="E82" s="114"/>
      <c r="F82" s="115"/>
      <c r="G82" s="141"/>
      <c r="H82" s="142"/>
      <c r="I82" s="142"/>
      <c r="J82" s="143"/>
      <c r="K82" s="113"/>
      <c r="L82" s="114"/>
      <c r="M82" s="114"/>
      <c r="N82" s="114"/>
      <c r="O82" s="114"/>
      <c r="P82" s="114"/>
      <c r="Q82" s="115"/>
      <c r="R82" s="141"/>
      <c r="S82" s="142"/>
      <c r="T82" s="142"/>
      <c r="U82" s="143"/>
      <c r="AA82" s="82" t="s">
        <v>131</v>
      </c>
    </row>
    <row r="83" spans="1:27" ht="18" customHeight="1" x14ac:dyDescent="0.15">
      <c r="A83" s="81"/>
      <c r="B83" s="113"/>
      <c r="C83" s="114"/>
      <c r="D83" s="114"/>
      <c r="E83" s="114"/>
      <c r="F83" s="115"/>
      <c r="G83" s="141"/>
      <c r="H83" s="142"/>
      <c r="I83" s="142"/>
      <c r="J83" s="143"/>
      <c r="K83" s="113"/>
      <c r="L83" s="114"/>
      <c r="M83" s="114"/>
      <c r="N83" s="114"/>
      <c r="O83" s="114"/>
      <c r="P83" s="114"/>
      <c r="Q83" s="115"/>
      <c r="R83" s="141"/>
      <c r="S83" s="142"/>
      <c r="T83" s="142"/>
      <c r="U83" s="143"/>
      <c r="AA83" s="82" t="s">
        <v>132</v>
      </c>
    </row>
    <row r="84" spans="1:27" ht="18" customHeight="1" x14ac:dyDescent="0.15">
      <c r="A84" s="81"/>
      <c r="B84" s="113"/>
      <c r="C84" s="114"/>
      <c r="D84" s="114"/>
      <c r="E84" s="114"/>
      <c r="F84" s="115"/>
      <c r="G84" s="141"/>
      <c r="H84" s="142"/>
      <c r="I84" s="142"/>
      <c r="J84" s="143"/>
      <c r="K84" s="113"/>
      <c r="L84" s="114"/>
      <c r="M84" s="114"/>
      <c r="N84" s="114"/>
      <c r="O84" s="114"/>
      <c r="P84" s="114"/>
      <c r="Q84" s="115"/>
      <c r="R84" s="141"/>
      <c r="S84" s="142"/>
      <c r="T84" s="142"/>
      <c r="U84" s="143"/>
      <c r="AA84" s="82" t="s">
        <v>138</v>
      </c>
    </row>
    <row r="85" spans="1:27" ht="18" customHeight="1" x14ac:dyDescent="0.15">
      <c r="A85" s="81"/>
      <c r="B85" s="113"/>
      <c r="C85" s="114"/>
      <c r="D85" s="114"/>
      <c r="E85" s="114"/>
      <c r="F85" s="115"/>
      <c r="G85" s="141"/>
      <c r="H85" s="142"/>
      <c r="I85" s="142"/>
      <c r="J85" s="143"/>
      <c r="K85" s="113"/>
      <c r="L85" s="114"/>
      <c r="M85" s="114"/>
      <c r="N85" s="114"/>
      <c r="O85" s="114"/>
      <c r="P85" s="114"/>
      <c r="Q85" s="115"/>
      <c r="R85" s="141"/>
      <c r="S85" s="142"/>
      <c r="T85" s="142"/>
      <c r="U85" s="143"/>
      <c r="AA85" s="82" t="s">
        <v>139</v>
      </c>
    </row>
    <row r="86" spans="1:27" ht="18" customHeight="1" x14ac:dyDescent="0.15">
      <c r="A86" s="81"/>
      <c r="B86" s="113"/>
      <c r="C86" s="114"/>
      <c r="D86" s="114"/>
      <c r="E86" s="114"/>
      <c r="F86" s="115"/>
      <c r="G86" s="141"/>
      <c r="H86" s="142"/>
      <c r="I86" s="142"/>
      <c r="J86" s="143"/>
      <c r="K86" s="113"/>
      <c r="L86" s="114"/>
      <c r="M86" s="114"/>
      <c r="N86" s="114"/>
      <c r="O86" s="114"/>
      <c r="P86" s="114"/>
      <c r="Q86" s="115"/>
      <c r="R86" s="141"/>
      <c r="S86" s="142"/>
      <c r="T86" s="142"/>
      <c r="U86" s="143"/>
      <c r="AA86" s="82" t="s">
        <v>133</v>
      </c>
    </row>
    <row r="87" spans="1:27" ht="18" customHeight="1" x14ac:dyDescent="0.15">
      <c r="A87" s="81"/>
      <c r="B87" s="132"/>
      <c r="C87" s="133"/>
      <c r="D87" s="133"/>
      <c r="E87" s="133"/>
      <c r="F87" s="134"/>
      <c r="G87" s="153"/>
      <c r="H87" s="154"/>
      <c r="I87" s="154"/>
      <c r="J87" s="155"/>
      <c r="K87" s="132"/>
      <c r="L87" s="133"/>
      <c r="M87" s="133"/>
      <c r="N87" s="133"/>
      <c r="O87" s="133"/>
      <c r="P87" s="133"/>
      <c r="Q87" s="134"/>
      <c r="R87" s="153"/>
      <c r="S87" s="154"/>
      <c r="T87" s="154"/>
      <c r="U87" s="155"/>
      <c r="AA87" s="82" t="s">
        <v>134</v>
      </c>
    </row>
    <row r="88" spans="1:27" ht="18" customHeight="1" x14ac:dyDescent="0.15">
      <c r="A88" s="81"/>
      <c r="B88" s="6"/>
      <c r="C88" s="6"/>
      <c r="D88" s="6"/>
      <c r="E88" s="6"/>
      <c r="F88" s="6"/>
      <c r="G88" s="63"/>
      <c r="H88" s="63"/>
      <c r="I88" s="63"/>
      <c r="J88" s="63"/>
      <c r="K88" s="6"/>
      <c r="L88" s="6"/>
      <c r="M88" s="6"/>
      <c r="N88" s="6"/>
      <c r="O88" s="6"/>
      <c r="P88" s="6"/>
      <c r="Q88" s="6"/>
      <c r="R88" s="63"/>
      <c r="S88" s="63"/>
      <c r="T88" s="63"/>
      <c r="U88" s="63"/>
      <c r="AA88" s="82" t="s">
        <v>135</v>
      </c>
    </row>
    <row r="89" spans="1:27" ht="18.75" customHeight="1" x14ac:dyDescent="0.15">
      <c r="A89" s="82" t="s">
        <v>100</v>
      </c>
      <c r="AA89" s="82" t="s">
        <v>136</v>
      </c>
    </row>
    <row r="90" spans="1:27" ht="18.75" customHeight="1" x14ac:dyDescent="0.15">
      <c r="B90" s="156" t="s">
        <v>48</v>
      </c>
      <c r="C90" s="157"/>
      <c r="D90" s="97" t="s">
        <v>49</v>
      </c>
      <c r="E90" s="98"/>
      <c r="F90" s="98"/>
      <c r="G90" s="98"/>
      <c r="H90" s="98"/>
      <c r="I90" s="98"/>
      <c r="J90" s="98"/>
      <c r="K90" s="98"/>
      <c r="L90" s="98"/>
      <c r="M90" s="98"/>
      <c r="N90" s="98"/>
      <c r="O90" s="98"/>
      <c r="P90" s="98"/>
      <c r="Q90" s="98"/>
      <c r="R90" s="98"/>
      <c r="S90" s="98"/>
      <c r="T90" s="98"/>
      <c r="U90" s="99"/>
    </row>
    <row r="91" spans="1:27" ht="93" customHeight="1" x14ac:dyDescent="0.15">
      <c r="B91" s="144" t="s">
        <v>55</v>
      </c>
      <c r="C91" s="64" t="s">
        <v>50</v>
      </c>
      <c r="D91" s="146" t="s">
        <v>164</v>
      </c>
      <c r="E91" s="147"/>
      <c r="F91" s="147"/>
      <c r="G91" s="147"/>
      <c r="H91" s="147"/>
      <c r="I91" s="147"/>
      <c r="J91" s="147"/>
      <c r="K91" s="147"/>
      <c r="L91" s="147"/>
      <c r="M91" s="147"/>
      <c r="N91" s="147"/>
      <c r="O91" s="147"/>
      <c r="P91" s="147"/>
      <c r="Q91" s="147"/>
      <c r="R91" s="147"/>
      <c r="S91" s="147"/>
      <c r="T91" s="147"/>
      <c r="U91" s="148"/>
    </row>
    <row r="92" spans="1:27" ht="97.5" customHeight="1" x14ac:dyDescent="0.15">
      <c r="B92" s="145"/>
      <c r="C92" s="65" t="s">
        <v>69</v>
      </c>
      <c r="D92" s="149" t="s">
        <v>165</v>
      </c>
      <c r="E92" s="150"/>
      <c r="F92" s="150"/>
      <c r="G92" s="150"/>
      <c r="H92" s="150"/>
      <c r="I92" s="150"/>
      <c r="J92" s="150"/>
      <c r="K92" s="150"/>
      <c r="L92" s="150"/>
      <c r="M92" s="150"/>
      <c r="N92" s="150"/>
      <c r="O92" s="150"/>
      <c r="P92" s="150"/>
      <c r="Q92" s="150"/>
      <c r="R92" s="150"/>
      <c r="S92" s="150"/>
      <c r="T92" s="150"/>
      <c r="U92" s="151"/>
      <c r="V92" s="84"/>
    </row>
    <row r="93" spans="1:27" ht="93.75" customHeight="1" x14ac:dyDescent="0.15">
      <c r="B93" s="144" t="s">
        <v>56</v>
      </c>
      <c r="C93" s="66" t="s">
        <v>63</v>
      </c>
      <c r="D93" s="146" t="s">
        <v>166</v>
      </c>
      <c r="E93" s="147"/>
      <c r="F93" s="147"/>
      <c r="G93" s="147"/>
      <c r="H93" s="147"/>
      <c r="I93" s="147"/>
      <c r="J93" s="147"/>
      <c r="K93" s="147"/>
      <c r="L93" s="147"/>
      <c r="M93" s="147"/>
      <c r="N93" s="147"/>
      <c r="O93" s="147"/>
      <c r="P93" s="147"/>
      <c r="Q93" s="147"/>
      <c r="R93" s="147"/>
      <c r="S93" s="147"/>
      <c r="T93" s="147"/>
      <c r="U93" s="148"/>
      <c r="V93" s="84"/>
    </row>
    <row r="94" spans="1:27" ht="61.5" customHeight="1" x14ac:dyDescent="0.15">
      <c r="B94" s="152"/>
      <c r="C94" s="67" t="s">
        <v>64</v>
      </c>
      <c r="D94" s="149" t="s">
        <v>167</v>
      </c>
      <c r="E94" s="150"/>
      <c r="F94" s="150"/>
      <c r="G94" s="150"/>
      <c r="H94" s="150"/>
      <c r="I94" s="150"/>
      <c r="J94" s="150"/>
      <c r="K94" s="150"/>
      <c r="L94" s="150"/>
      <c r="M94" s="150"/>
      <c r="N94" s="150"/>
      <c r="O94" s="150"/>
      <c r="P94" s="150"/>
      <c r="Q94" s="150"/>
      <c r="R94" s="150"/>
      <c r="S94" s="150"/>
      <c r="T94" s="150"/>
      <c r="U94" s="151"/>
      <c r="V94" s="84"/>
    </row>
    <row r="95" spans="1:27" ht="100.5" customHeight="1" x14ac:dyDescent="0.15">
      <c r="B95" s="144" t="s">
        <v>57</v>
      </c>
      <c r="C95" s="66" t="s">
        <v>65</v>
      </c>
      <c r="D95" s="146" t="s">
        <v>168</v>
      </c>
      <c r="E95" s="147"/>
      <c r="F95" s="147"/>
      <c r="G95" s="147"/>
      <c r="H95" s="147"/>
      <c r="I95" s="147"/>
      <c r="J95" s="147"/>
      <c r="K95" s="147"/>
      <c r="L95" s="147"/>
      <c r="M95" s="147"/>
      <c r="N95" s="147"/>
      <c r="O95" s="147"/>
      <c r="P95" s="147"/>
      <c r="Q95" s="147"/>
      <c r="R95" s="147"/>
      <c r="S95" s="147"/>
      <c r="T95" s="147"/>
      <c r="U95" s="148"/>
      <c r="V95" s="84"/>
    </row>
    <row r="96" spans="1:27" ht="97.5" customHeight="1" x14ac:dyDescent="0.15">
      <c r="B96" s="152"/>
      <c r="C96" s="68" t="s">
        <v>66</v>
      </c>
      <c r="D96" s="149" t="s">
        <v>169</v>
      </c>
      <c r="E96" s="150"/>
      <c r="F96" s="150"/>
      <c r="G96" s="150"/>
      <c r="H96" s="150"/>
      <c r="I96" s="150"/>
      <c r="J96" s="150"/>
      <c r="K96" s="150"/>
      <c r="L96" s="150"/>
      <c r="M96" s="150"/>
      <c r="N96" s="150"/>
      <c r="O96" s="150"/>
      <c r="P96" s="150"/>
      <c r="Q96" s="150"/>
      <c r="R96" s="150"/>
      <c r="S96" s="150"/>
      <c r="T96" s="150"/>
      <c r="U96" s="151"/>
      <c r="V96" s="84"/>
    </row>
    <row r="97" spans="1:22" ht="124.5" customHeight="1" x14ac:dyDescent="0.15">
      <c r="B97" s="144" t="s">
        <v>70</v>
      </c>
      <c r="C97" s="64" t="s">
        <v>52</v>
      </c>
      <c r="D97" s="146" t="s">
        <v>170</v>
      </c>
      <c r="E97" s="147"/>
      <c r="F97" s="147"/>
      <c r="G97" s="147"/>
      <c r="H97" s="147"/>
      <c r="I97" s="147"/>
      <c r="J97" s="147"/>
      <c r="K97" s="147"/>
      <c r="L97" s="147"/>
      <c r="M97" s="147"/>
      <c r="N97" s="147"/>
      <c r="O97" s="147"/>
      <c r="P97" s="147"/>
      <c r="Q97" s="147"/>
      <c r="R97" s="147"/>
      <c r="S97" s="147"/>
      <c r="T97" s="147"/>
      <c r="U97" s="148"/>
      <c r="V97" s="84"/>
    </row>
    <row r="98" spans="1:22" ht="97.5" customHeight="1" x14ac:dyDescent="0.15">
      <c r="B98" s="152"/>
      <c r="C98" s="67" t="s">
        <v>54</v>
      </c>
      <c r="D98" s="149" t="s">
        <v>171</v>
      </c>
      <c r="E98" s="150"/>
      <c r="F98" s="150"/>
      <c r="G98" s="150"/>
      <c r="H98" s="150"/>
      <c r="I98" s="150"/>
      <c r="J98" s="150"/>
      <c r="K98" s="150"/>
      <c r="L98" s="150"/>
      <c r="M98" s="150"/>
      <c r="N98" s="150"/>
      <c r="O98" s="150"/>
      <c r="P98" s="150"/>
      <c r="Q98" s="150"/>
      <c r="R98" s="150"/>
      <c r="S98" s="150"/>
      <c r="T98" s="150"/>
      <c r="U98" s="151"/>
      <c r="V98" s="84"/>
    </row>
    <row r="99" spans="1:22" ht="64.5" customHeight="1" x14ac:dyDescent="0.15">
      <c r="B99" s="144" t="s">
        <v>71</v>
      </c>
      <c r="C99" s="66" t="s">
        <v>51</v>
      </c>
      <c r="D99" s="146" t="s">
        <v>172</v>
      </c>
      <c r="E99" s="147"/>
      <c r="F99" s="147"/>
      <c r="G99" s="147"/>
      <c r="H99" s="147"/>
      <c r="I99" s="147"/>
      <c r="J99" s="147"/>
      <c r="K99" s="147"/>
      <c r="L99" s="147"/>
      <c r="M99" s="147"/>
      <c r="N99" s="147"/>
      <c r="O99" s="147"/>
      <c r="P99" s="147"/>
      <c r="Q99" s="147"/>
      <c r="R99" s="147"/>
      <c r="S99" s="147"/>
      <c r="T99" s="147"/>
      <c r="U99" s="148"/>
      <c r="V99" s="84"/>
    </row>
    <row r="100" spans="1:22" ht="60" customHeight="1" x14ac:dyDescent="0.15">
      <c r="B100" s="145"/>
      <c r="C100" s="69" t="s">
        <v>67</v>
      </c>
      <c r="D100" s="158" t="s">
        <v>173</v>
      </c>
      <c r="E100" s="159"/>
      <c r="F100" s="159"/>
      <c r="G100" s="159"/>
      <c r="H100" s="159"/>
      <c r="I100" s="159"/>
      <c r="J100" s="159"/>
      <c r="K100" s="159"/>
      <c r="L100" s="159"/>
      <c r="M100" s="159"/>
      <c r="N100" s="159"/>
      <c r="O100" s="159"/>
      <c r="P100" s="159"/>
      <c r="Q100" s="159"/>
      <c r="R100" s="159"/>
      <c r="S100" s="159"/>
      <c r="T100" s="159"/>
      <c r="U100" s="160"/>
      <c r="V100" s="84"/>
    </row>
    <row r="101" spans="1:22" ht="57.75" customHeight="1" x14ac:dyDescent="0.15">
      <c r="B101" s="152"/>
      <c r="C101" s="68" t="s">
        <v>68</v>
      </c>
      <c r="D101" s="149" t="s">
        <v>174</v>
      </c>
      <c r="E101" s="150"/>
      <c r="F101" s="150"/>
      <c r="G101" s="150"/>
      <c r="H101" s="150"/>
      <c r="I101" s="150"/>
      <c r="J101" s="150"/>
      <c r="K101" s="150"/>
      <c r="L101" s="150"/>
      <c r="M101" s="150"/>
      <c r="N101" s="150"/>
      <c r="O101" s="150"/>
      <c r="P101" s="150"/>
      <c r="Q101" s="150"/>
      <c r="R101" s="150"/>
      <c r="S101" s="150"/>
      <c r="T101" s="150"/>
      <c r="U101" s="151"/>
      <c r="V101" s="84"/>
    </row>
    <row r="102" spans="1:22" ht="6" customHeight="1" x14ac:dyDescent="0.15"/>
    <row r="103" spans="1:22" ht="18.75" customHeight="1" x14ac:dyDescent="0.15">
      <c r="A103" s="82" t="s">
        <v>101</v>
      </c>
    </row>
    <row r="104" spans="1:22" ht="81.75" customHeight="1" x14ac:dyDescent="0.15">
      <c r="B104" s="161" t="s">
        <v>155</v>
      </c>
      <c r="C104" s="162"/>
      <c r="D104" s="162"/>
      <c r="E104" s="162"/>
      <c r="F104" s="162"/>
      <c r="G104" s="162"/>
      <c r="H104" s="162"/>
      <c r="I104" s="162"/>
      <c r="J104" s="162"/>
      <c r="K104" s="162"/>
      <c r="L104" s="162"/>
      <c r="M104" s="162"/>
      <c r="N104" s="162"/>
      <c r="O104" s="162"/>
      <c r="P104" s="162"/>
      <c r="Q104" s="162"/>
      <c r="R104" s="162"/>
      <c r="S104" s="162"/>
      <c r="T104" s="162"/>
      <c r="U104" s="163"/>
    </row>
    <row r="107" spans="1:22" ht="18" customHeight="1" x14ac:dyDescent="0.15"/>
  </sheetData>
  <mergeCells count="144">
    <mergeCell ref="B99:B101"/>
    <mergeCell ref="D99:U99"/>
    <mergeCell ref="D100:U100"/>
    <mergeCell ref="D101:U101"/>
    <mergeCell ref="B104:U104"/>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6">
    <dataValidation type="list" allowBlank="1" showInputMessage="1" showErrorMessage="1" sqref="G81:J87 R81:U87" xr:uid="{C750AC2C-3741-4202-9304-396C3766A571}">
      <formula1>$AA$80:$AA$89</formula1>
    </dataValidation>
    <dataValidation type="list" allowBlank="1" showInputMessage="1" showErrorMessage="1" sqref="N22:U22" xr:uid="{23787131-A3D8-4B0F-954E-CA0431BF7D07}">
      <formula1>$X$16:$X$18</formula1>
    </dataValidation>
    <dataValidation type="list" allowBlank="1" showInputMessage="1" showErrorMessage="1" sqref="G88:J88 R88:U88" xr:uid="{63297004-9F55-48F4-A252-25E78D4EC5F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9D50EB81-8E49-416E-9691-D0407B64C6BB}">
      <formula1>"学部・学科によって、修了要件は相違する,学部・学科によって、修了要件は相違しない"</formula1>
    </dataValidation>
    <dataValidation type="list" allowBlank="1" showInputMessage="1" showErrorMessage="1" sqref="U34 U45 E34:H34 E45:H45" xr:uid="{51E7F8A1-2DDB-4C48-89AD-0FE5C2055F47}">
      <formula1>"全学開講,一部開講"</formula1>
    </dataValidation>
    <dataValidation type="list" allowBlank="1" showInputMessage="1" showErrorMessage="1" sqref="R71:U77 S27:U33 H27:J33 S38:U44 H38:J44 S49:U55 H49:J55 S60:U66 H60:J66 G71:J77" xr:uid="{9F52CE59-015B-4273-B755-B5554951DBD2}">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topLeftCell="A49" zoomScaleNormal="100" zoomScaleSheetLayoutView="100" workbookViewId="0">
      <selection activeCell="S73" sqref="S73"/>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96" t="s">
        <v>162</v>
      </c>
      <c r="U1" s="96"/>
      <c r="V1" s="2" t="s">
        <v>92</v>
      </c>
    </row>
    <row r="2" spans="1:24" ht="18.75" customHeight="1" x14ac:dyDescent="0.15">
      <c r="B2" s="16" t="s">
        <v>91</v>
      </c>
      <c r="C2" s="97" t="s">
        <v>142</v>
      </c>
      <c r="D2" s="98"/>
      <c r="E2" s="98"/>
      <c r="F2" s="98"/>
      <c r="G2" s="98"/>
      <c r="H2" s="98"/>
      <c r="I2" s="98"/>
      <c r="J2" s="99"/>
      <c r="K2" s="17"/>
      <c r="L2" s="6"/>
      <c r="M2" s="6"/>
      <c r="N2" s="6"/>
      <c r="O2" s="6"/>
      <c r="P2" s="6"/>
      <c r="Q2" s="6"/>
      <c r="R2" s="6"/>
      <c r="S2" s="6"/>
      <c r="T2" s="6"/>
      <c r="U2" s="6"/>
    </row>
    <row r="3" spans="1:24" ht="18.75" customHeight="1" x14ac:dyDescent="0.15">
      <c r="B3" s="16" t="s">
        <v>87</v>
      </c>
      <c r="C3" s="100" t="s">
        <v>143</v>
      </c>
      <c r="D3" s="101"/>
      <c r="E3" s="101"/>
      <c r="F3" s="101"/>
      <c r="G3" s="101"/>
      <c r="H3" s="101"/>
      <c r="I3" s="101"/>
      <c r="J3" s="102"/>
      <c r="K3" s="17"/>
      <c r="L3" s="6"/>
      <c r="M3" s="6"/>
      <c r="N3" s="6"/>
      <c r="O3" s="6"/>
      <c r="P3" s="6"/>
      <c r="Q3" s="6"/>
      <c r="R3" s="6"/>
      <c r="S3" s="6"/>
      <c r="T3" s="6"/>
      <c r="U3" s="6"/>
    </row>
    <row r="4" spans="1:24" ht="15" customHeight="1" x14ac:dyDescent="0.15">
      <c r="L4" s="17"/>
      <c r="M4" s="70"/>
      <c r="N4" s="70"/>
      <c r="O4" s="70"/>
      <c r="P4" s="70"/>
      <c r="Q4" s="70"/>
      <c r="R4" s="70"/>
      <c r="S4" s="70"/>
      <c r="T4" s="70"/>
      <c r="U4" s="70"/>
    </row>
    <row r="5" spans="1:24" ht="18" customHeight="1" x14ac:dyDescent="0.15">
      <c r="A5" s="103" t="s">
        <v>140</v>
      </c>
      <c r="B5" s="103"/>
      <c r="C5" s="103"/>
      <c r="D5" s="103"/>
      <c r="E5" s="103"/>
      <c r="F5" s="103"/>
      <c r="G5" s="103"/>
      <c r="H5" s="103"/>
      <c r="I5" s="103"/>
      <c r="J5" s="103"/>
      <c r="K5" s="103"/>
      <c r="L5" s="103"/>
      <c r="M5" s="103"/>
      <c r="N5" s="103"/>
      <c r="O5" s="103"/>
      <c r="P5" s="103"/>
      <c r="Q5" s="103"/>
      <c r="R5" s="103"/>
      <c r="S5" s="103"/>
      <c r="T5" s="103"/>
      <c r="U5" s="103"/>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116</v>
      </c>
      <c r="B7" s="3"/>
      <c r="C7" s="3"/>
      <c r="D7" s="3"/>
      <c r="E7" s="3"/>
      <c r="F7" s="2"/>
      <c r="G7" s="2"/>
      <c r="H7" s="2"/>
      <c r="I7" s="2"/>
      <c r="J7" s="2"/>
      <c r="K7" s="2"/>
      <c r="L7" s="104" t="s">
        <v>115</v>
      </c>
      <c r="M7" s="105"/>
      <c r="N7" s="105"/>
      <c r="O7" s="105"/>
      <c r="P7" s="105"/>
      <c r="Q7" s="105"/>
      <c r="R7" s="105"/>
      <c r="S7" s="105"/>
      <c r="T7" s="105"/>
      <c r="U7" s="106"/>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117</v>
      </c>
      <c r="C9" s="3"/>
      <c r="D9" s="3"/>
      <c r="K9" s="17"/>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07" t="s">
        <v>148</v>
      </c>
      <c r="C11" s="108"/>
      <c r="D11" s="108"/>
      <c r="E11" s="108"/>
      <c r="F11" s="108"/>
      <c r="G11" s="108"/>
      <c r="H11" s="108"/>
      <c r="I11" s="108"/>
      <c r="J11" s="108"/>
      <c r="K11" s="108"/>
      <c r="L11" s="108"/>
      <c r="M11" s="108"/>
      <c r="N11" s="108"/>
      <c r="O11" s="108"/>
      <c r="P11" s="108"/>
      <c r="Q11" s="108"/>
      <c r="R11" s="108"/>
      <c r="S11" s="108"/>
      <c r="T11" s="108"/>
      <c r="U11" s="109"/>
    </row>
    <row r="12" spans="1:24" ht="18" customHeight="1" x14ac:dyDescent="0.15">
      <c r="B12" s="110"/>
      <c r="C12" s="111"/>
      <c r="D12" s="111"/>
      <c r="E12" s="111"/>
      <c r="F12" s="111"/>
      <c r="G12" s="111"/>
      <c r="H12" s="111"/>
      <c r="I12" s="111"/>
      <c r="J12" s="111"/>
      <c r="K12" s="111"/>
      <c r="L12" s="111"/>
      <c r="M12" s="111"/>
      <c r="N12" s="111"/>
      <c r="O12" s="111"/>
      <c r="P12" s="111"/>
      <c r="Q12" s="111"/>
      <c r="R12" s="111"/>
      <c r="S12" s="111"/>
      <c r="T12" s="111"/>
      <c r="U12" s="112"/>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93</v>
      </c>
      <c r="B14" s="3"/>
      <c r="C14" s="3"/>
      <c r="D14" s="3"/>
      <c r="E14" s="17"/>
      <c r="F14" s="17"/>
      <c r="G14" s="17"/>
      <c r="H14" s="17"/>
      <c r="I14" s="17"/>
      <c r="J14" s="17"/>
      <c r="K14" s="17"/>
      <c r="L14" s="71"/>
      <c r="M14" s="71"/>
      <c r="N14" s="71"/>
      <c r="O14" s="71"/>
      <c r="P14" s="71"/>
      <c r="Q14" s="71"/>
      <c r="R14" s="71"/>
      <c r="S14" s="71"/>
      <c r="T14" s="71"/>
      <c r="U14" s="71"/>
    </row>
    <row r="15" spans="1:24" ht="18" customHeight="1" x14ac:dyDescent="0.15">
      <c r="B15" s="116" t="s">
        <v>200</v>
      </c>
      <c r="C15" s="117"/>
      <c r="D15" s="117"/>
      <c r="E15" s="117"/>
      <c r="F15" s="117"/>
      <c r="G15" s="117"/>
      <c r="H15" s="117"/>
      <c r="I15" s="117"/>
      <c r="J15" s="117"/>
      <c r="K15" s="117"/>
      <c r="L15" s="117"/>
      <c r="M15" s="117"/>
      <c r="N15" s="117"/>
      <c r="O15" s="117"/>
      <c r="P15" s="117"/>
      <c r="Q15" s="117"/>
      <c r="R15" s="117"/>
      <c r="S15" s="117"/>
      <c r="T15" s="117"/>
      <c r="U15" s="118"/>
      <c r="X15" s="1" t="s">
        <v>88</v>
      </c>
    </row>
    <row r="16" spans="1:24" ht="18" customHeight="1" x14ac:dyDescent="0.15">
      <c r="B16" s="119"/>
      <c r="C16" s="120"/>
      <c r="D16" s="120"/>
      <c r="E16" s="120"/>
      <c r="F16" s="120"/>
      <c r="G16" s="120"/>
      <c r="H16" s="120"/>
      <c r="I16" s="120"/>
      <c r="J16" s="120"/>
      <c r="K16" s="120"/>
      <c r="L16" s="120"/>
      <c r="M16" s="120"/>
      <c r="N16" s="120"/>
      <c r="O16" s="120"/>
      <c r="P16" s="120"/>
      <c r="Q16" s="120"/>
      <c r="R16" s="120"/>
      <c r="S16" s="120"/>
      <c r="T16" s="120"/>
      <c r="U16" s="121"/>
      <c r="X16" s="1" t="s">
        <v>121</v>
      </c>
    </row>
    <row r="17" spans="1:24" ht="18" customHeight="1" x14ac:dyDescent="0.15">
      <c r="B17" s="119"/>
      <c r="C17" s="120"/>
      <c r="D17" s="120"/>
      <c r="E17" s="120"/>
      <c r="F17" s="120"/>
      <c r="G17" s="120"/>
      <c r="H17" s="120"/>
      <c r="I17" s="120"/>
      <c r="J17" s="120"/>
      <c r="K17" s="120"/>
      <c r="L17" s="120"/>
      <c r="M17" s="120"/>
      <c r="N17" s="120"/>
      <c r="O17" s="120"/>
      <c r="P17" s="120"/>
      <c r="Q17" s="120"/>
      <c r="R17" s="120"/>
      <c r="S17" s="120"/>
      <c r="T17" s="120"/>
      <c r="U17" s="121"/>
      <c r="X17" s="1" t="s">
        <v>122</v>
      </c>
    </row>
    <row r="18" spans="1:24" ht="18" customHeight="1" x14ac:dyDescent="0.15">
      <c r="B18" s="119"/>
      <c r="C18" s="120"/>
      <c r="D18" s="120"/>
      <c r="E18" s="120"/>
      <c r="F18" s="120"/>
      <c r="G18" s="120"/>
      <c r="H18" s="120"/>
      <c r="I18" s="120"/>
      <c r="J18" s="120"/>
      <c r="K18" s="120"/>
      <c r="L18" s="120"/>
      <c r="M18" s="120"/>
      <c r="N18" s="120"/>
      <c r="O18" s="120"/>
      <c r="P18" s="120"/>
      <c r="Q18" s="120"/>
      <c r="R18" s="120"/>
      <c r="S18" s="120"/>
      <c r="T18" s="120"/>
      <c r="U18" s="121"/>
      <c r="X18" s="1" t="s">
        <v>123</v>
      </c>
    </row>
    <row r="19" spans="1:24" ht="18" customHeight="1" x14ac:dyDescent="0.15">
      <c r="B19" s="119"/>
      <c r="C19" s="120"/>
      <c r="D19" s="120"/>
      <c r="E19" s="120"/>
      <c r="F19" s="120"/>
      <c r="G19" s="120"/>
      <c r="H19" s="120"/>
      <c r="I19" s="120"/>
      <c r="J19" s="120"/>
      <c r="K19" s="120"/>
      <c r="L19" s="120"/>
      <c r="M19" s="120"/>
      <c r="N19" s="120"/>
      <c r="O19" s="120"/>
      <c r="P19" s="120"/>
      <c r="Q19" s="120"/>
      <c r="R19" s="120"/>
      <c r="S19" s="120"/>
      <c r="T19" s="120"/>
      <c r="U19" s="121"/>
    </row>
    <row r="20" spans="1:24" ht="18" customHeight="1" x14ac:dyDescent="0.15">
      <c r="B20" s="122"/>
      <c r="C20" s="123"/>
      <c r="D20" s="123"/>
      <c r="E20" s="123"/>
      <c r="F20" s="123"/>
      <c r="G20" s="123"/>
      <c r="H20" s="123"/>
      <c r="I20" s="123"/>
      <c r="J20" s="123"/>
      <c r="K20" s="123"/>
      <c r="L20" s="123"/>
      <c r="M20" s="123"/>
      <c r="N20" s="123"/>
      <c r="O20" s="123"/>
      <c r="P20" s="123"/>
      <c r="Q20" s="123"/>
      <c r="R20" s="123"/>
      <c r="S20" s="123"/>
      <c r="T20" s="123"/>
      <c r="U20" s="124"/>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20.100000000000001" customHeight="1" x14ac:dyDescent="0.15">
      <c r="B22" s="1" t="s">
        <v>118</v>
      </c>
      <c r="E22" s="72">
        <v>2</v>
      </c>
      <c r="F22" s="1" t="s">
        <v>105</v>
      </c>
      <c r="H22" s="83">
        <v>8</v>
      </c>
      <c r="I22" s="3" t="s">
        <v>106</v>
      </c>
      <c r="J22" s="3"/>
      <c r="K22" s="17"/>
      <c r="M22" s="17" t="s">
        <v>102</v>
      </c>
      <c r="N22" s="125" t="s">
        <v>123</v>
      </c>
      <c r="O22" s="126"/>
      <c r="P22" s="126"/>
      <c r="Q22" s="126"/>
      <c r="R22" s="126"/>
      <c r="S22" s="126"/>
      <c r="T22" s="126"/>
      <c r="U22" s="127"/>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28" t="s">
        <v>94</v>
      </c>
      <c r="B24" s="128"/>
      <c r="C24" s="128"/>
      <c r="D24" s="128"/>
      <c r="E24" s="128"/>
      <c r="F24" s="128"/>
      <c r="G24" s="128"/>
      <c r="H24" s="128"/>
      <c r="I24" s="128"/>
      <c r="J24" s="128"/>
      <c r="K24" s="128"/>
      <c r="L24" s="128"/>
      <c r="M24" s="128"/>
      <c r="N24" s="128"/>
      <c r="O24" s="128"/>
      <c r="P24" s="128"/>
      <c r="Q24" s="128"/>
      <c r="R24" s="128"/>
      <c r="S24" s="128"/>
      <c r="T24" s="128"/>
      <c r="U24" s="128"/>
    </row>
    <row r="25" spans="1:24" ht="18" customHeight="1" x14ac:dyDescent="0.15">
      <c r="A25" s="128"/>
      <c r="B25" s="128"/>
      <c r="C25" s="128"/>
      <c r="D25" s="128"/>
      <c r="E25" s="128"/>
      <c r="F25" s="128"/>
      <c r="G25" s="128"/>
      <c r="H25" s="128"/>
      <c r="I25" s="128"/>
      <c r="J25" s="128"/>
      <c r="K25" s="128"/>
      <c r="L25" s="128"/>
      <c r="M25" s="128"/>
      <c r="N25" s="128"/>
      <c r="O25" s="128"/>
      <c r="P25" s="128"/>
      <c r="Q25" s="128"/>
      <c r="R25" s="128"/>
      <c r="S25" s="128"/>
      <c r="T25" s="128"/>
      <c r="U25" s="128"/>
    </row>
    <row r="26" spans="1:24" ht="18" customHeight="1" x14ac:dyDescent="0.15">
      <c r="B26" s="97" t="s">
        <v>47</v>
      </c>
      <c r="C26" s="98"/>
      <c r="D26" s="98"/>
      <c r="E26" s="98"/>
      <c r="F26" s="99"/>
      <c r="G26" s="56" t="s">
        <v>72</v>
      </c>
      <c r="H26" s="57" t="s">
        <v>75</v>
      </c>
      <c r="I26" s="58" t="s">
        <v>50</v>
      </c>
      <c r="J26" s="58" t="s">
        <v>53</v>
      </c>
      <c r="K26" s="97" t="s">
        <v>47</v>
      </c>
      <c r="L26" s="98"/>
      <c r="M26" s="98"/>
      <c r="N26" s="98"/>
      <c r="O26" s="98"/>
      <c r="P26" s="98"/>
      <c r="Q26" s="99"/>
      <c r="R26" s="56" t="s">
        <v>72</v>
      </c>
      <c r="S26" s="57" t="s">
        <v>75</v>
      </c>
      <c r="T26" s="58" t="s">
        <v>50</v>
      </c>
      <c r="U26" s="58" t="s">
        <v>53</v>
      </c>
    </row>
    <row r="27" spans="1:24" ht="18" customHeight="1" x14ac:dyDescent="0.15">
      <c r="B27" s="129" t="s">
        <v>150</v>
      </c>
      <c r="C27" s="130"/>
      <c r="D27" s="130"/>
      <c r="E27" s="130"/>
      <c r="F27" s="131"/>
      <c r="G27" s="59">
        <v>4</v>
      </c>
      <c r="H27" s="59" t="s">
        <v>145</v>
      </c>
      <c r="I27" s="59" t="s">
        <v>145</v>
      </c>
      <c r="J27" s="59" t="s">
        <v>145</v>
      </c>
      <c r="K27" s="129"/>
      <c r="L27" s="130"/>
      <c r="M27" s="130"/>
      <c r="N27" s="130"/>
      <c r="O27" s="130"/>
      <c r="P27" s="130"/>
      <c r="Q27" s="131"/>
      <c r="R27" s="59"/>
      <c r="S27" s="59"/>
      <c r="T27" s="59"/>
      <c r="U27" s="59"/>
    </row>
    <row r="28" spans="1:24" ht="18" customHeight="1" x14ac:dyDescent="0.15">
      <c r="B28" s="113" t="s">
        <v>201</v>
      </c>
      <c r="C28" s="114"/>
      <c r="D28" s="114"/>
      <c r="E28" s="114"/>
      <c r="F28" s="115"/>
      <c r="G28" s="60">
        <v>4</v>
      </c>
      <c r="H28" s="60" t="s">
        <v>145</v>
      </c>
      <c r="I28" s="60" t="s">
        <v>145</v>
      </c>
      <c r="J28" s="60"/>
      <c r="K28" s="113"/>
      <c r="L28" s="114"/>
      <c r="M28" s="114"/>
      <c r="N28" s="114"/>
      <c r="O28" s="114"/>
      <c r="P28" s="114"/>
      <c r="Q28" s="115"/>
      <c r="R28" s="60"/>
      <c r="S28" s="60"/>
      <c r="T28" s="60"/>
      <c r="U28" s="60"/>
    </row>
    <row r="29" spans="1:24" ht="18" customHeight="1" x14ac:dyDescent="0.15">
      <c r="B29" s="113"/>
      <c r="C29" s="114"/>
      <c r="D29" s="114"/>
      <c r="E29" s="114"/>
      <c r="F29" s="115"/>
      <c r="G29" s="60"/>
      <c r="H29" s="60"/>
      <c r="I29" s="60"/>
      <c r="J29" s="60"/>
      <c r="K29" s="113"/>
      <c r="L29" s="114"/>
      <c r="M29" s="114"/>
      <c r="N29" s="114"/>
      <c r="O29" s="114"/>
      <c r="P29" s="114"/>
      <c r="Q29" s="115"/>
      <c r="R29" s="60"/>
      <c r="S29" s="60"/>
      <c r="T29" s="60"/>
      <c r="U29" s="60"/>
    </row>
    <row r="30" spans="1:24" ht="18" customHeight="1" x14ac:dyDescent="0.15">
      <c r="B30" s="113"/>
      <c r="C30" s="114"/>
      <c r="D30" s="114"/>
      <c r="E30" s="114"/>
      <c r="F30" s="115"/>
      <c r="G30" s="60"/>
      <c r="H30" s="60"/>
      <c r="I30" s="60"/>
      <c r="J30" s="60"/>
      <c r="K30" s="113"/>
      <c r="L30" s="114"/>
      <c r="M30" s="114"/>
      <c r="N30" s="114"/>
      <c r="O30" s="114"/>
      <c r="P30" s="114"/>
      <c r="Q30" s="115"/>
      <c r="R30" s="60"/>
      <c r="S30" s="60"/>
      <c r="T30" s="60"/>
      <c r="U30" s="60"/>
    </row>
    <row r="31" spans="1:24" ht="18" customHeight="1" x14ac:dyDescent="0.15">
      <c r="B31" s="113"/>
      <c r="C31" s="114"/>
      <c r="D31" s="114"/>
      <c r="E31" s="114"/>
      <c r="F31" s="115"/>
      <c r="G31" s="60"/>
      <c r="H31" s="60"/>
      <c r="I31" s="60"/>
      <c r="J31" s="60"/>
      <c r="K31" s="113"/>
      <c r="L31" s="114"/>
      <c r="M31" s="114"/>
      <c r="N31" s="114"/>
      <c r="O31" s="114"/>
      <c r="P31" s="114"/>
      <c r="Q31" s="115"/>
      <c r="R31" s="60"/>
      <c r="S31" s="60"/>
      <c r="T31" s="60"/>
      <c r="U31" s="60"/>
    </row>
    <row r="32" spans="1:24" ht="18" customHeight="1" x14ac:dyDescent="0.15">
      <c r="A32" s="3"/>
      <c r="B32" s="113"/>
      <c r="C32" s="114"/>
      <c r="D32" s="114"/>
      <c r="E32" s="114"/>
      <c r="F32" s="115"/>
      <c r="G32" s="60"/>
      <c r="H32" s="60"/>
      <c r="I32" s="60"/>
      <c r="J32" s="60"/>
      <c r="K32" s="113"/>
      <c r="L32" s="114"/>
      <c r="M32" s="114"/>
      <c r="N32" s="114"/>
      <c r="O32" s="114"/>
      <c r="P32" s="114"/>
      <c r="Q32" s="115"/>
      <c r="R32" s="60"/>
      <c r="S32" s="60"/>
      <c r="T32" s="60"/>
      <c r="U32" s="60"/>
    </row>
    <row r="33" spans="1:21" ht="18" customHeight="1" x14ac:dyDescent="0.15">
      <c r="A33" s="3"/>
      <c r="B33" s="132"/>
      <c r="C33" s="133"/>
      <c r="D33" s="133"/>
      <c r="E33" s="133"/>
      <c r="F33" s="134"/>
      <c r="G33" s="61"/>
      <c r="H33" s="61"/>
      <c r="I33" s="62"/>
      <c r="J33" s="62"/>
      <c r="K33" s="132"/>
      <c r="L33" s="133"/>
      <c r="M33" s="133"/>
      <c r="N33" s="133"/>
      <c r="O33" s="133"/>
      <c r="P33" s="133"/>
      <c r="Q33" s="134"/>
      <c r="R33" s="61"/>
      <c r="S33" s="61"/>
      <c r="T33" s="62"/>
      <c r="U33" s="62"/>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8" t="s">
        <v>95</v>
      </c>
      <c r="B35" s="128"/>
      <c r="C35" s="128"/>
      <c r="D35" s="128"/>
      <c r="E35" s="128"/>
      <c r="F35" s="128"/>
      <c r="G35" s="128"/>
      <c r="H35" s="128"/>
      <c r="I35" s="128"/>
      <c r="J35" s="128"/>
      <c r="K35" s="128"/>
      <c r="L35" s="128"/>
      <c r="M35" s="128"/>
      <c r="N35" s="128"/>
      <c r="O35" s="128"/>
      <c r="P35" s="128"/>
      <c r="Q35" s="128"/>
      <c r="R35" s="128"/>
      <c r="S35" s="128"/>
      <c r="T35" s="128"/>
      <c r="U35" s="128"/>
    </row>
    <row r="36" spans="1:21" ht="18" customHeight="1" x14ac:dyDescent="0.15">
      <c r="A36" s="128"/>
      <c r="B36" s="128"/>
      <c r="C36" s="128"/>
      <c r="D36" s="128"/>
      <c r="E36" s="128"/>
      <c r="F36" s="128"/>
      <c r="G36" s="128"/>
      <c r="H36" s="128"/>
      <c r="I36" s="128"/>
      <c r="J36" s="128"/>
      <c r="K36" s="128"/>
      <c r="L36" s="128"/>
      <c r="M36" s="128"/>
      <c r="N36" s="128"/>
      <c r="O36" s="128"/>
      <c r="P36" s="128"/>
      <c r="Q36" s="128"/>
      <c r="R36" s="128"/>
      <c r="S36" s="128"/>
      <c r="T36" s="128"/>
      <c r="U36" s="128"/>
    </row>
    <row r="37" spans="1:21" ht="18" customHeight="1" x14ac:dyDescent="0.15">
      <c r="B37" s="97" t="s">
        <v>47</v>
      </c>
      <c r="C37" s="98"/>
      <c r="D37" s="98"/>
      <c r="E37" s="98"/>
      <c r="F37" s="99"/>
      <c r="G37" s="56" t="s">
        <v>72</v>
      </c>
      <c r="H37" s="57" t="s">
        <v>75</v>
      </c>
      <c r="I37" s="58" t="s">
        <v>63</v>
      </c>
      <c r="J37" s="58" t="s">
        <v>64</v>
      </c>
      <c r="K37" s="97" t="s">
        <v>47</v>
      </c>
      <c r="L37" s="98"/>
      <c r="M37" s="98"/>
      <c r="N37" s="98"/>
      <c r="O37" s="98"/>
      <c r="P37" s="98"/>
      <c r="Q37" s="99"/>
      <c r="R37" s="56" t="s">
        <v>72</v>
      </c>
      <c r="S37" s="57" t="s">
        <v>75</v>
      </c>
      <c r="T37" s="58" t="s">
        <v>63</v>
      </c>
      <c r="U37" s="58" t="s">
        <v>64</v>
      </c>
    </row>
    <row r="38" spans="1:21" ht="18" customHeight="1" x14ac:dyDescent="0.15">
      <c r="B38" s="129" t="s">
        <v>150</v>
      </c>
      <c r="C38" s="130"/>
      <c r="D38" s="130"/>
      <c r="E38" s="130"/>
      <c r="F38" s="131"/>
      <c r="G38" s="59">
        <v>4</v>
      </c>
      <c r="H38" s="59" t="s">
        <v>145</v>
      </c>
      <c r="I38" s="59" t="s">
        <v>145</v>
      </c>
      <c r="J38" s="59" t="s">
        <v>145</v>
      </c>
      <c r="K38" s="129"/>
      <c r="L38" s="130"/>
      <c r="M38" s="130"/>
      <c r="N38" s="130"/>
      <c r="O38" s="130"/>
      <c r="P38" s="130"/>
      <c r="Q38" s="131"/>
      <c r="R38" s="59"/>
      <c r="S38" s="59"/>
      <c r="T38" s="59"/>
      <c r="U38" s="59"/>
    </row>
    <row r="39" spans="1:21" ht="18" customHeight="1" x14ac:dyDescent="0.15">
      <c r="B39" s="113" t="s">
        <v>202</v>
      </c>
      <c r="C39" s="114"/>
      <c r="D39" s="114"/>
      <c r="E39" s="114"/>
      <c r="F39" s="115"/>
      <c r="G39" s="60">
        <v>4</v>
      </c>
      <c r="H39" s="60" t="s">
        <v>145</v>
      </c>
      <c r="I39" s="60" t="s">
        <v>145</v>
      </c>
      <c r="J39" s="60" t="s">
        <v>145</v>
      </c>
      <c r="K39" s="113"/>
      <c r="L39" s="114"/>
      <c r="M39" s="114"/>
      <c r="N39" s="114"/>
      <c r="O39" s="114"/>
      <c r="P39" s="114"/>
      <c r="Q39" s="115"/>
      <c r="R39" s="60"/>
      <c r="S39" s="60"/>
      <c r="T39" s="60"/>
      <c r="U39" s="60"/>
    </row>
    <row r="40" spans="1:21" ht="18" customHeight="1" x14ac:dyDescent="0.15">
      <c r="B40" s="113"/>
      <c r="C40" s="114"/>
      <c r="D40" s="114"/>
      <c r="E40" s="114"/>
      <c r="F40" s="115"/>
      <c r="G40" s="60"/>
      <c r="H40" s="60"/>
      <c r="I40" s="60"/>
      <c r="J40" s="60"/>
      <c r="K40" s="113"/>
      <c r="L40" s="114"/>
      <c r="M40" s="114"/>
      <c r="N40" s="114"/>
      <c r="O40" s="114"/>
      <c r="P40" s="114"/>
      <c r="Q40" s="115"/>
      <c r="R40" s="60"/>
      <c r="S40" s="60"/>
      <c r="T40" s="60"/>
      <c r="U40" s="60"/>
    </row>
    <row r="41" spans="1:21" ht="18" customHeight="1" x14ac:dyDescent="0.15">
      <c r="B41" s="113"/>
      <c r="C41" s="114"/>
      <c r="D41" s="114"/>
      <c r="E41" s="114"/>
      <c r="F41" s="115"/>
      <c r="G41" s="60"/>
      <c r="H41" s="60"/>
      <c r="I41" s="60"/>
      <c r="J41" s="60"/>
      <c r="K41" s="113"/>
      <c r="L41" s="114"/>
      <c r="M41" s="114"/>
      <c r="N41" s="114"/>
      <c r="O41" s="114"/>
      <c r="P41" s="114"/>
      <c r="Q41" s="115"/>
      <c r="R41" s="60"/>
      <c r="S41" s="60"/>
      <c r="T41" s="60"/>
      <c r="U41" s="60"/>
    </row>
    <row r="42" spans="1:21" ht="18" customHeight="1" x14ac:dyDescent="0.15">
      <c r="B42" s="113"/>
      <c r="C42" s="114"/>
      <c r="D42" s="114"/>
      <c r="E42" s="114"/>
      <c r="F42" s="115"/>
      <c r="G42" s="60"/>
      <c r="H42" s="60"/>
      <c r="I42" s="60"/>
      <c r="J42" s="60"/>
      <c r="K42" s="113"/>
      <c r="L42" s="114"/>
      <c r="M42" s="114"/>
      <c r="N42" s="114"/>
      <c r="O42" s="114"/>
      <c r="P42" s="114"/>
      <c r="Q42" s="115"/>
      <c r="R42" s="60"/>
      <c r="S42" s="60"/>
      <c r="T42" s="60"/>
      <c r="U42" s="60"/>
    </row>
    <row r="43" spans="1:21" ht="18" customHeight="1" x14ac:dyDescent="0.15">
      <c r="B43" s="113"/>
      <c r="C43" s="114"/>
      <c r="D43" s="114"/>
      <c r="E43" s="114"/>
      <c r="F43" s="115"/>
      <c r="G43" s="60"/>
      <c r="H43" s="60"/>
      <c r="I43" s="60"/>
      <c r="J43" s="60"/>
      <c r="K43" s="113"/>
      <c r="L43" s="114"/>
      <c r="M43" s="114"/>
      <c r="N43" s="114"/>
      <c r="O43" s="114"/>
      <c r="P43" s="114"/>
      <c r="Q43" s="115"/>
      <c r="R43" s="60"/>
      <c r="S43" s="60"/>
      <c r="T43" s="60"/>
      <c r="U43" s="60"/>
    </row>
    <row r="44" spans="1:21" ht="18" customHeight="1" x14ac:dyDescent="0.15">
      <c r="B44" s="132"/>
      <c r="C44" s="133"/>
      <c r="D44" s="133"/>
      <c r="E44" s="133"/>
      <c r="F44" s="134"/>
      <c r="G44" s="61"/>
      <c r="H44" s="61"/>
      <c r="I44" s="62"/>
      <c r="J44" s="62"/>
      <c r="K44" s="132"/>
      <c r="L44" s="133"/>
      <c r="M44" s="133"/>
      <c r="N44" s="133"/>
      <c r="O44" s="133"/>
      <c r="P44" s="133"/>
      <c r="Q44" s="134"/>
      <c r="R44" s="61"/>
      <c r="S44" s="61"/>
      <c r="T44" s="62"/>
      <c r="U44" s="62"/>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8" t="s">
        <v>96</v>
      </c>
      <c r="B46" s="128"/>
      <c r="C46" s="128"/>
      <c r="D46" s="128"/>
      <c r="E46" s="128"/>
      <c r="F46" s="128"/>
      <c r="G46" s="128"/>
      <c r="H46" s="128"/>
      <c r="I46" s="128"/>
      <c r="J46" s="128"/>
      <c r="K46" s="128"/>
      <c r="L46" s="128"/>
      <c r="M46" s="128"/>
      <c r="N46" s="128"/>
      <c r="O46" s="128"/>
      <c r="P46" s="128"/>
      <c r="Q46" s="128"/>
      <c r="R46" s="128"/>
      <c r="S46" s="128"/>
      <c r="T46" s="128"/>
      <c r="U46" s="128"/>
    </row>
    <row r="47" spans="1:21" ht="18" customHeight="1" x14ac:dyDescent="0.15">
      <c r="A47" s="128"/>
      <c r="B47" s="128"/>
      <c r="C47" s="128"/>
      <c r="D47" s="128"/>
      <c r="E47" s="128"/>
      <c r="F47" s="128"/>
      <c r="G47" s="128"/>
      <c r="H47" s="128"/>
      <c r="I47" s="128"/>
      <c r="J47" s="128"/>
      <c r="K47" s="128"/>
      <c r="L47" s="128"/>
      <c r="M47" s="128"/>
      <c r="N47" s="128"/>
      <c r="O47" s="128"/>
      <c r="P47" s="128"/>
      <c r="Q47" s="128"/>
      <c r="R47" s="128"/>
      <c r="S47" s="128"/>
      <c r="T47" s="128"/>
      <c r="U47" s="128"/>
    </row>
    <row r="48" spans="1:21" ht="18" customHeight="1" x14ac:dyDescent="0.15">
      <c r="B48" s="97" t="s">
        <v>47</v>
      </c>
      <c r="C48" s="98"/>
      <c r="D48" s="98"/>
      <c r="E48" s="98"/>
      <c r="F48" s="99"/>
      <c r="G48" s="56" t="s">
        <v>72</v>
      </c>
      <c r="H48" s="57" t="s">
        <v>75</v>
      </c>
      <c r="I48" s="58" t="s">
        <v>65</v>
      </c>
      <c r="J48" s="58" t="s">
        <v>66</v>
      </c>
      <c r="K48" s="97" t="s">
        <v>47</v>
      </c>
      <c r="L48" s="98"/>
      <c r="M48" s="98"/>
      <c r="N48" s="98"/>
      <c r="O48" s="98"/>
      <c r="P48" s="98"/>
      <c r="Q48" s="99"/>
      <c r="R48" s="56" t="s">
        <v>72</v>
      </c>
      <c r="S48" s="57" t="s">
        <v>75</v>
      </c>
      <c r="T48" s="58" t="s">
        <v>65</v>
      </c>
      <c r="U48" s="58" t="s">
        <v>66</v>
      </c>
    </row>
    <row r="49" spans="1:21" ht="18" customHeight="1" x14ac:dyDescent="0.15">
      <c r="A49" s="3"/>
      <c r="B49" s="129" t="s">
        <v>150</v>
      </c>
      <c r="C49" s="130"/>
      <c r="D49" s="130"/>
      <c r="E49" s="130"/>
      <c r="F49" s="131"/>
      <c r="G49" s="59">
        <v>4</v>
      </c>
      <c r="H49" s="59" t="s">
        <v>145</v>
      </c>
      <c r="I49" s="59" t="s">
        <v>145</v>
      </c>
      <c r="J49" s="59" t="s">
        <v>145</v>
      </c>
      <c r="K49" s="129"/>
      <c r="L49" s="130"/>
      <c r="M49" s="130"/>
      <c r="N49" s="130"/>
      <c r="O49" s="130"/>
      <c r="P49" s="130"/>
      <c r="Q49" s="131"/>
      <c r="R49" s="59"/>
      <c r="S49" s="59"/>
      <c r="T49" s="59"/>
      <c r="U49" s="59"/>
    </row>
    <row r="50" spans="1:21" ht="18" customHeight="1" x14ac:dyDescent="0.15">
      <c r="A50" s="3"/>
      <c r="B50" s="113"/>
      <c r="C50" s="114"/>
      <c r="D50" s="114"/>
      <c r="E50" s="114"/>
      <c r="F50" s="115"/>
      <c r="G50" s="60"/>
      <c r="H50" s="60"/>
      <c r="I50" s="60"/>
      <c r="J50" s="60"/>
      <c r="K50" s="113"/>
      <c r="L50" s="114"/>
      <c r="M50" s="114"/>
      <c r="N50" s="114"/>
      <c r="O50" s="114"/>
      <c r="P50" s="114"/>
      <c r="Q50" s="115"/>
      <c r="R50" s="60"/>
      <c r="S50" s="60"/>
      <c r="T50" s="60"/>
      <c r="U50" s="60"/>
    </row>
    <row r="51" spans="1:21" ht="18" customHeight="1" x14ac:dyDescent="0.15">
      <c r="A51" s="3"/>
      <c r="B51" s="113"/>
      <c r="C51" s="114"/>
      <c r="D51" s="114"/>
      <c r="E51" s="114"/>
      <c r="F51" s="115"/>
      <c r="G51" s="60"/>
      <c r="H51" s="60"/>
      <c r="I51" s="60"/>
      <c r="J51" s="60"/>
      <c r="K51" s="113"/>
      <c r="L51" s="114"/>
      <c r="M51" s="114"/>
      <c r="N51" s="114"/>
      <c r="O51" s="114"/>
      <c r="P51" s="114"/>
      <c r="Q51" s="115"/>
      <c r="R51" s="60"/>
      <c r="S51" s="60"/>
      <c r="T51" s="60"/>
      <c r="U51" s="60"/>
    </row>
    <row r="52" spans="1:21" ht="18" customHeight="1" x14ac:dyDescent="0.15">
      <c r="A52" s="3"/>
      <c r="B52" s="113"/>
      <c r="C52" s="114"/>
      <c r="D52" s="114"/>
      <c r="E52" s="114"/>
      <c r="F52" s="115"/>
      <c r="G52" s="60"/>
      <c r="H52" s="60"/>
      <c r="I52" s="60"/>
      <c r="J52" s="60"/>
      <c r="K52" s="113"/>
      <c r="L52" s="114"/>
      <c r="M52" s="114"/>
      <c r="N52" s="114"/>
      <c r="O52" s="114"/>
      <c r="P52" s="114"/>
      <c r="Q52" s="115"/>
      <c r="R52" s="60"/>
      <c r="S52" s="60"/>
      <c r="T52" s="60"/>
      <c r="U52" s="60"/>
    </row>
    <row r="53" spans="1:21" ht="18" customHeight="1" x14ac:dyDescent="0.15">
      <c r="A53" s="3"/>
      <c r="B53" s="113"/>
      <c r="C53" s="114"/>
      <c r="D53" s="114"/>
      <c r="E53" s="114"/>
      <c r="F53" s="115"/>
      <c r="G53" s="60"/>
      <c r="H53" s="60"/>
      <c r="I53" s="60"/>
      <c r="J53" s="60"/>
      <c r="K53" s="113"/>
      <c r="L53" s="114"/>
      <c r="M53" s="114"/>
      <c r="N53" s="114"/>
      <c r="O53" s="114"/>
      <c r="P53" s="114"/>
      <c r="Q53" s="115"/>
      <c r="R53" s="60"/>
      <c r="S53" s="60"/>
      <c r="T53" s="60"/>
      <c r="U53" s="60"/>
    </row>
    <row r="54" spans="1:21" ht="18" customHeight="1" x14ac:dyDescent="0.15">
      <c r="A54" s="3"/>
      <c r="B54" s="113"/>
      <c r="C54" s="114"/>
      <c r="D54" s="114"/>
      <c r="E54" s="114"/>
      <c r="F54" s="115"/>
      <c r="G54" s="60"/>
      <c r="H54" s="60"/>
      <c r="I54" s="60"/>
      <c r="J54" s="60"/>
      <c r="K54" s="113"/>
      <c r="L54" s="114"/>
      <c r="M54" s="114"/>
      <c r="N54" s="114"/>
      <c r="O54" s="114"/>
      <c r="P54" s="114"/>
      <c r="Q54" s="115"/>
      <c r="R54" s="60"/>
      <c r="S54" s="60"/>
      <c r="T54" s="60"/>
      <c r="U54" s="60"/>
    </row>
    <row r="55" spans="1:21" ht="18" customHeight="1" x14ac:dyDescent="0.15">
      <c r="A55" s="3"/>
      <c r="B55" s="132"/>
      <c r="C55" s="133"/>
      <c r="D55" s="133"/>
      <c r="E55" s="133"/>
      <c r="F55" s="134"/>
      <c r="G55" s="61"/>
      <c r="H55" s="61"/>
      <c r="I55" s="62"/>
      <c r="J55" s="62"/>
      <c r="K55" s="132"/>
      <c r="L55" s="133"/>
      <c r="M55" s="133"/>
      <c r="N55" s="133"/>
      <c r="O55" s="133"/>
      <c r="P55" s="133"/>
      <c r="Q55" s="134"/>
      <c r="R55" s="61"/>
      <c r="S55" s="61"/>
      <c r="T55" s="62"/>
      <c r="U55" s="62"/>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28" t="s">
        <v>97</v>
      </c>
      <c r="B57" s="128"/>
      <c r="C57" s="128"/>
      <c r="D57" s="128"/>
      <c r="E57" s="128"/>
      <c r="F57" s="128"/>
      <c r="G57" s="128"/>
      <c r="H57" s="128"/>
      <c r="I57" s="128"/>
      <c r="J57" s="128"/>
      <c r="K57" s="128"/>
      <c r="L57" s="128"/>
      <c r="M57" s="128"/>
      <c r="N57" s="128"/>
      <c r="O57" s="128"/>
      <c r="P57" s="128"/>
      <c r="Q57" s="128"/>
      <c r="R57" s="128"/>
      <c r="S57" s="128"/>
      <c r="T57" s="128"/>
      <c r="U57" s="128"/>
    </row>
    <row r="58" spans="1:21" ht="18" customHeight="1" x14ac:dyDescent="0.15">
      <c r="A58" s="128"/>
      <c r="B58" s="128"/>
      <c r="C58" s="128"/>
      <c r="D58" s="128"/>
      <c r="E58" s="128"/>
      <c r="F58" s="128"/>
      <c r="G58" s="128"/>
      <c r="H58" s="128"/>
      <c r="I58" s="128"/>
      <c r="J58" s="128"/>
      <c r="K58" s="128"/>
      <c r="L58" s="128"/>
      <c r="M58" s="128"/>
      <c r="N58" s="128"/>
      <c r="O58" s="128"/>
      <c r="P58" s="128"/>
      <c r="Q58" s="128"/>
      <c r="R58" s="128"/>
      <c r="S58" s="128"/>
      <c r="T58" s="128"/>
      <c r="U58" s="128"/>
    </row>
    <row r="59" spans="1:21" ht="18" customHeight="1" x14ac:dyDescent="0.15">
      <c r="B59" s="97" t="s">
        <v>47</v>
      </c>
      <c r="C59" s="98"/>
      <c r="D59" s="98"/>
      <c r="E59" s="98"/>
      <c r="F59" s="99"/>
      <c r="G59" s="56" t="s">
        <v>72</v>
      </c>
      <c r="H59" s="57" t="s">
        <v>75</v>
      </c>
      <c r="I59" s="58" t="s">
        <v>52</v>
      </c>
      <c r="J59" s="58" t="s">
        <v>54</v>
      </c>
      <c r="K59" s="97" t="s">
        <v>47</v>
      </c>
      <c r="L59" s="98"/>
      <c r="M59" s="98"/>
      <c r="N59" s="98"/>
      <c r="O59" s="98"/>
      <c r="P59" s="98"/>
      <c r="Q59" s="99"/>
      <c r="R59" s="56" t="s">
        <v>72</v>
      </c>
      <c r="S59" s="57" t="s">
        <v>75</v>
      </c>
      <c r="T59" s="58" t="s">
        <v>52</v>
      </c>
      <c r="U59" s="58" t="s">
        <v>54</v>
      </c>
    </row>
    <row r="60" spans="1:21" ht="18" customHeight="1" x14ac:dyDescent="0.15">
      <c r="A60" s="3"/>
      <c r="B60" s="129" t="s">
        <v>150</v>
      </c>
      <c r="C60" s="130"/>
      <c r="D60" s="130"/>
      <c r="E60" s="130"/>
      <c r="F60" s="131"/>
      <c r="G60" s="59">
        <v>4</v>
      </c>
      <c r="H60" s="59" t="s">
        <v>145</v>
      </c>
      <c r="I60" s="59" t="s">
        <v>145</v>
      </c>
      <c r="J60" s="59" t="s">
        <v>145</v>
      </c>
      <c r="K60" s="129"/>
      <c r="L60" s="130"/>
      <c r="M60" s="130"/>
      <c r="N60" s="130"/>
      <c r="O60" s="130"/>
      <c r="P60" s="130"/>
      <c r="Q60" s="131"/>
      <c r="R60" s="59"/>
      <c r="S60" s="59"/>
      <c r="T60" s="59"/>
      <c r="U60" s="59"/>
    </row>
    <row r="61" spans="1:21" ht="18" customHeight="1" x14ac:dyDescent="0.15">
      <c r="A61" s="3"/>
      <c r="B61" s="113"/>
      <c r="C61" s="114"/>
      <c r="D61" s="114"/>
      <c r="E61" s="114"/>
      <c r="F61" s="115"/>
      <c r="G61" s="60"/>
      <c r="H61" s="60"/>
      <c r="I61" s="60"/>
      <c r="J61" s="60"/>
      <c r="K61" s="113"/>
      <c r="L61" s="114"/>
      <c r="M61" s="114"/>
      <c r="N61" s="114"/>
      <c r="O61" s="114"/>
      <c r="P61" s="114"/>
      <c r="Q61" s="115"/>
      <c r="R61" s="60"/>
      <c r="S61" s="60"/>
      <c r="T61" s="60"/>
      <c r="U61" s="60"/>
    </row>
    <row r="62" spans="1:21" ht="18" customHeight="1" x14ac:dyDescent="0.15">
      <c r="A62" s="3"/>
      <c r="B62" s="113"/>
      <c r="C62" s="114"/>
      <c r="D62" s="114"/>
      <c r="E62" s="114"/>
      <c r="F62" s="115"/>
      <c r="G62" s="60"/>
      <c r="H62" s="60"/>
      <c r="I62" s="60"/>
      <c r="J62" s="60"/>
      <c r="K62" s="113"/>
      <c r="L62" s="114"/>
      <c r="M62" s="114"/>
      <c r="N62" s="114"/>
      <c r="O62" s="114"/>
      <c r="P62" s="114"/>
      <c r="Q62" s="115"/>
      <c r="R62" s="60"/>
      <c r="S62" s="60"/>
      <c r="T62" s="60"/>
      <c r="U62" s="60"/>
    </row>
    <row r="63" spans="1:21" ht="18" customHeight="1" x14ac:dyDescent="0.15">
      <c r="A63" s="3"/>
      <c r="B63" s="113"/>
      <c r="C63" s="114"/>
      <c r="D63" s="114"/>
      <c r="E63" s="114"/>
      <c r="F63" s="115"/>
      <c r="G63" s="60"/>
      <c r="H63" s="60"/>
      <c r="I63" s="60"/>
      <c r="J63" s="60"/>
      <c r="K63" s="113"/>
      <c r="L63" s="114"/>
      <c r="M63" s="114"/>
      <c r="N63" s="114"/>
      <c r="O63" s="114"/>
      <c r="P63" s="114"/>
      <c r="Q63" s="115"/>
      <c r="R63" s="60"/>
      <c r="S63" s="60"/>
      <c r="T63" s="60"/>
      <c r="U63" s="60"/>
    </row>
    <row r="64" spans="1:21" ht="18" customHeight="1" x14ac:dyDescent="0.15">
      <c r="A64" s="3"/>
      <c r="B64" s="113"/>
      <c r="C64" s="114"/>
      <c r="D64" s="114"/>
      <c r="E64" s="114"/>
      <c r="F64" s="115"/>
      <c r="G64" s="60"/>
      <c r="H64" s="60"/>
      <c r="I64" s="60"/>
      <c r="J64" s="60"/>
      <c r="K64" s="113"/>
      <c r="L64" s="114"/>
      <c r="M64" s="114"/>
      <c r="N64" s="114"/>
      <c r="O64" s="114"/>
      <c r="P64" s="114"/>
      <c r="Q64" s="115"/>
      <c r="R64" s="60"/>
      <c r="S64" s="60"/>
      <c r="T64" s="60"/>
      <c r="U64" s="60"/>
    </row>
    <row r="65" spans="1:27" ht="18" customHeight="1" x14ac:dyDescent="0.15">
      <c r="A65" s="3"/>
      <c r="B65" s="113"/>
      <c r="C65" s="114"/>
      <c r="D65" s="114"/>
      <c r="E65" s="114"/>
      <c r="F65" s="115"/>
      <c r="G65" s="60"/>
      <c r="H65" s="60"/>
      <c r="I65" s="60"/>
      <c r="J65" s="60"/>
      <c r="K65" s="113"/>
      <c r="L65" s="114"/>
      <c r="M65" s="114"/>
      <c r="N65" s="114"/>
      <c r="O65" s="114"/>
      <c r="P65" s="114"/>
      <c r="Q65" s="115"/>
      <c r="R65" s="60"/>
      <c r="S65" s="60"/>
      <c r="T65" s="60"/>
      <c r="U65" s="60"/>
    </row>
    <row r="66" spans="1:27" ht="18" customHeight="1" x14ac:dyDescent="0.15">
      <c r="A66" s="3"/>
      <c r="B66" s="132"/>
      <c r="C66" s="133"/>
      <c r="D66" s="133"/>
      <c r="E66" s="133"/>
      <c r="F66" s="134"/>
      <c r="G66" s="61"/>
      <c r="H66" s="61"/>
      <c r="I66" s="62"/>
      <c r="J66" s="62"/>
      <c r="K66" s="132"/>
      <c r="L66" s="133"/>
      <c r="M66" s="133"/>
      <c r="N66" s="133"/>
      <c r="O66" s="133"/>
      <c r="P66" s="133"/>
      <c r="Q66" s="134"/>
      <c r="R66" s="61"/>
      <c r="S66" s="61"/>
      <c r="T66" s="62"/>
      <c r="U66" s="62"/>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28" t="s">
        <v>98</v>
      </c>
      <c r="B68" s="128"/>
      <c r="C68" s="128"/>
      <c r="D68" s="128"/>
      <c r="E68" s="128"/>
      <c r="F68" s="128"/>
      <c r="G68" s="128"/>
      <c r="H68" s="128"/>
      <c r="I68" s="128"/>
      <c r="J68" s="128"/>
      <c r="K68" s="128"/>
      <c r="L68" s="128"/>
      <c r="M68" s="128"/>
      <c r="N68" s="128"/>
      <c r="O68" s="128"/>
      <c r="P68" s="128"/>
      <c r="Q68" s="128"/>
      <c r="R68" s="128"/>
      <c r="S68" s="128"/>
      <c r="T68" s="128"/>
      <c r="U68" s="128"/>
    </row>
    <row r="69" spans="1:27" ht="18" customHeight="1" x14ac:dyDescent="0.15">
      <c r="A69" s="128"/>
      <c r="B69" s="128"/>
      <c r="C69" s="128"/>
      <c r="D69" s="128"/>
      <c r="E69" s="128"/>
      <c r="F69" s="128"/>
      <c r="G69" s="128"/>
      <c r="H69" s="128"/>
      <c r="I69" s="128"/>
      <c r="J69" s="128"/>
      <c r="K69" s="128"/>
      <c r="L69" s="128"/>
      <c r="M69" s="128"/>
      <c r="N69" s="128"/>
      <c r="O69" s="128"/>
      <c r="P69" s="128"/>
      <c r="Q69" s="128"/>
      <c r="R69" s="128"/>
      <c r="S69" s="128"/>
      <c r="T69" s="128"/>
      <c r="U69" s="128"/>
    </row>
    <row r="70" spans="1:27" ht="18" customHeight="1" x14ac:dyDescent="0.15">
      <c r="B70" s="97" t="s">
        <v>47</v>
      </c>
      <c r="C70" s="98"/>
      <c r="D70" s="98"/>
      <c r="E70" s="98"/>
      <c r="F70" s="56" t="s">
        <v>72</v>
      </c>
      <c r="G70" s="57" t="s">
        <v>75</v>
      </c>
      <c r="H70" s="58" t="s">
        <v>86</v>
      </c>
      <c r="I70" s="58" t="s">
        <v>67</v>
      </c>
      <c r="J70" s="58" t="s">
        <v>68</v>
      </c>
      <c r="K70" s="97" t="s">
        <v>47</v>
      </c>
      <c r="L70" s="98"/>
      <c r="M70" s="98"/>
      <c r="N70" s="98"/>
      <c r="O70" s="98"/>
      <c r="P70" s="99"/>
      <c r="Q70" s="56" t="s">
        <v>72</v>
      </c>
      <c r="R70" s="57" t="s">
        <v>75</v>
      </c>
      <c r="S70" s="58" t="s">
        <v>86</v>
      </c>
      <c r="T70" s="58" t="s">
        <v>67</v>
      </c>
      <c r="U70" s="58" t="s">
        <v>68</v>
      </c>
    </row>
    <row r="71" spans="1:27" ht="18" customHeight="1" x14ac:dyDescent="0.15">
      <c r="A71" s="3"/>
      <c r="B71" s="129" t="s">
        <v>201</v>
      </c>
      <c r="C71" s="130"/>
      <c r="D71" s="130"/>
      <c r="E71" s="131"/>
      <c r="F71" s="59">
        <v>4</v>
      </c>
      <c r="G71" s="59" t="s">
        <v>145</v>
      </c>
      <c r="H71" s="59" t="s">
        <v>145</v>
      </c>
      <c r="I71" s="59" t="s">
        <v>145</v>
      </c>
      <c r="J71" s="59" t="s">
        <v>145</v>
      </c>
      <c r="K71" s="129"/>
      <c r="L71" s="130"/>
      <c r="M71" s="130"/>
      <c r="N71" s="130"/>
      <c r="O71" s="130"/>
      <c r="P71" s="131"/>
      <c r="Q71" s="59"/>
      <c r="R71" s="59"/>
      <c r="S71" s="59"/>
      <c r="T71" s="59"/>
      <c r="U71" s="59"/>
    </row>
    <row r="72" spans="1:27" ht="18" customHeight="1" x14ac:dyDescent="0.15">
      <c r="A72" s="3"/>
      <c r="B72" s="113"/>
      <c r="C72" s="114"/>
      <c r="D72" s="114"/>
      <c r="E72" s="114"/>
      <c r="F72" s="60"/>
      <c r="G72" s="60"/>
      <c r="H72" s="60"/>
      <c r="I72" s="60"/>
      <c r="J72" s="60"/>
      <c r="K72" s="113"/>
      <c r="L72" s="114"/>
      <c r="M72" s="114"/>
      <c r="N72" s="114"/>
      <c r="O72" s="114"/>
      <c r="P72" s="115"/>
      <c r="Q72" s="60"/>
      <c r="R72" s="60"/>
      <c r="S72" s="60"/>
      <c r="T72" s="60"/>
      <c r="U72" s="60"/>
    </row>
    <row r="73" spans="1:27" ht="18" customHeight="1" x14ac:dyDescent="0.15">
      <c r="A73" s="3"/>
      <c r="B73" s="113"/>
      <c r="C73" s="114"/>
      <c r="D73" s="114"/>
      <c r="E73" s="114"/>
      <c r="F73" s="60"/>
      <c r="G73" s="60"/>
      <c r="H73" s="60"/>
      <c r="I73" s="60"/>
      <c r="J73" s="60"/>
      <c r="K73" s="113"/>
      <c r="L73" s="114"/>
      <c r="M73" s="114"/>
      <c r="N73" s="114"/>
      <c r="O73" s="114"/>
      <c r="P73" s="115"/>
      <c r="Q73" s="60"/>
      <c r="R73" s="60"/>
      <c r="S73" s="60"/>
      <c r="T73" s="60"/>
      <c r="U73" s="60"/>
    </row>
    <row r="74" spans="1:27" ht="18" customHeight="1" x14ac:dyDescent="0.15">
      <c r="A74" s="3"/>
      <c r="B74" s="113"/>
      <c r="C74" s="114"/>
      <c r="D74" s="114"/>
      <c r="E74" s="114"/>
      <c r="F74" s="60"/>
      <c r="G74" s="60"/>
      <c r="H74" s="60"/>
      <c r="I74" s="60"/>
      <c r="J74" s="60"/>
      <c r="K74" s="113"/>
      <c r="L74" s="114"/>
      <c r="M74" s="114"/>
      <c r="N74" s="114"/>
      <c r="O74" s="114"/>
      <c r="P74" s="115"/>
      <c r="Q74" s="60"/>
      <c r="R74" s="60"/>
      <c r="S74" s="60"/>
      <c r="T74" s="60"/>
      <c r="U74" s="60"/>
    </row>
    <row r="75" spans="1:27" ht="18" customHeight="1" x14ac:dyDescent="0.15">
      <c r="A75" s="3"/>
      <c r="B75" s="113"/>
      <c r="C75" s="114"/>
      <c r="D75" s="114"/>
      <c r="E75" s="114"/>
      <c r="F75" s="60"/>
      <c r="G75" s="60"/>
      <c r="H75" s="60"/>
      <c r="I75" s="60"/>
      <c r="J75" s="60"/>
      <c r="K75" s="113"/>
      <c r="L75" s="114"/>
      <c r="M75" s="114"/>
      <c r="N75" s="114"/>
      <c r="O75" s="114"/>
      <c r="P75" s="115"/>
      <c r="Q75" s="60"/>
      <c r="R75" s="60"/>
      <c r="S75" s="60"/>
      <c r="T75" s="60"/>
      <c r="U75" s="60"/>
    </row>
    <row r="76" spans="1:27" ht="18" customHeight="1" x14ac:dyDescent="0.15">
      <c r="A76" s="3"/>
      <c r="B76" s="113"/>
      <c r="C76" s="114"/>
      <c r="D76" s="114"/>
      <c r="E76" s="114"/>
      <c r="F76" s="60"/>
      <c r="G76" s="60"/>
      <c r="H76" s="60"/>
      <c r="I76" s="60"/>
      <c r="J76" s="60"/>
      <c r="K76" s="113"/>
      <c r="L76" s="114"/>
      <c r="M76" s="114"/>
      <c r="N76" s="114"/>
      <c r="O76" s="114"/>
      <c r="P76" s="115"/>
      <c r="Q76" s="60"/>
      <c r="R76" s="60"/>
      <c r="S76" s="60"/>
      <c r="T76" s="60"/>
      <c r="U76" s="60"/>
    </row>
    <row r="77" spans="1:27" ht="18" customHeight="1" x14ac:dyDescent="0.15">
      <c r="A77" s="3"/>
      <c r="B77" s="132"/>
      <c r="C77" s="133"/>
      <c r="D77" s="133"/>
      <c r="E77" s="133"/>
      <c r="F77" s="61"/>
      <c r="G77" s="61"/>
      <c r="H77" s="62"/>
      <c r="I77" s="62"/>
      <c r="J77" s="62"/>
      <c r="K77" s="132"/>
      <c r="L77" s="133"/>
      <c r="M77" s="133"/>
      <c r="N77" s="133"/>
      <c r="O77" s="133"/>
      <c r="P77" s="134"/>
      <c r="Q77" s="61"/>
      <c r="R77" s="61"/>
      <c r="S77" s="62"/>
      <c r="T77" s="62"/>
      <c r="U77" s="62"/>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99</v>
      </c>
      <c r="I79" s="3"/>
      <c r="J79" s="3"/>
      <c r="K79" s="3"/>
      <c r="L79" s="3"/>
      <c r="M79" s="3"/>
      <c r="N79" s="3"/>
      <c r="O79" s="3"/>
      <c r="P79" s="3"/>
      <c r="Q79" s="3"/>
      <c r="R79" s="3"/>
      <c r="S79" s="3"/>
      <c r="T79" s="3"/>
      <c r="U79" s="3"/>
    </row>
    <row r="80" spans="1:27" ht="18" customHeight="1" x14ac:dyDescent="0.15">
      <c r="B80" s="97" t="s">
        <v>47</v>
      </c>
      <c r="C80" s="98"/>
      <c r="D80" s="98"/>
      <c r="E80" s="98"/>
      <c r="F80" s="99"/>
      <c r="G80" s="97" t="s">
        <v>73</v>
      </c>
      <c r="H80" s="98"/>
      <c r="I80" s="98"/>
      <c r="J80" s="99"/>
      <c r="K80" s="135" t="s">
        <v>47</v>
      </c>
      <c r="L80" s="136"/>
      <c r="M80" s="136"/>
      <c r="N80" s="136"/>
      <c r="O80" s="136"/>
      <c r="P80" s="136"/>
      <c r="Q80" s="137"/>
      <c r="R80" s="97" t="s">
        <v>73</v>
      </c>
      <c r="S80" s="98"/>
      <c r="T80" s="98"/>
      <c r="U80" s="99"/>
      <c r="AA80" s="1" t="s">
        <v>137</v>
      </c>
    </row>
    <row r="81" spans="1:27" ht="18" customHeight="1" x14ac:dyDescent="0.15">
      <c r="A81" s="3"/>
      <c r="B81" s="129"/>
      <c r="C81" s="130"/>
      <c r="D81" s="130"/>
      <c r="E81" s="130"/>
      <c r="F81" s="131"/>
      <c r="G81" s="138"/>
      <c r="H81" s="139"/>
      <c r="I81" s="139"/>
      <c r="J81" s="140"/>
      <c r="K81" s="129"/>
      <c r="L81" s="130"/>
      <c r="M81" s="130"/>
      <c r="N81" s="130"/>
      <c r="O81" s="130"/>
      <c r="P81" s="130"/>
      <c r="Q81" s="131"/>
      <c r="R81" s="138"/>
      <c r="S81" s="139"/>
      <c r="T81" s="139"/>
      <c r="U81" s="140"/>
      <c r="AA81" s="1" t="s">
        <v>130</v>
      </c>
    </row>
    <row r="82" spans="1:27" ht="18" customHeight="1" x14ac:dyDescent="0.15">
      <c r="A82" s="3"/>
      <c r="B82" s="113"/>
      <c r="C82" s="114"/>
      <c r="D82" s="114"/>
      <c r="E82" s="114"/>
      <c r="F82" s="115"/>
      <c r="G82" s="141"/>
      <c r="H82" s="142"/>
      <c r="I82" s="142"/>
      <c r="J82" s="143"/>
      <c r="K82" s="113"/>
      <c r="L82" s="114"/>
      <c r="M82" s="114"/>
      <c r="N82" s="114"/>
      <c r="O82" s="114"/>
      <c r="P82" s="114"/>
      <c r="Q82" s="115"/>
      <c r="R82" s="141"/>
      <c r="S82" s="142"/>
      <c r="T82" s="142"/>
      <c r="U82" s="143"/>
      <c r="AA82" s="1" t="s">
        <v>131</v>
      </c>
    </row>
    <row r="83" spans="1:27" ht="18" customHeight="1" x14ac:dyDescent="0.15">
      <c r="A83" s="3"/>
      <c r="B83" s="113"/>
      <c r="C83" s="114"/>
      <c r="D83" s="114"/>
      <c r="E83" s="114"/>
      <c r="F83" s="115"/>
      <c r="G83" s="141"/>
      <c r="H83" s="142"/>
      <c r="I83" s="142"/>
      <c r="J83" s="143"/>
      <c r="K83" s="113"/>
      <c r="L83" s="114"/>
      <c r="M83" s="114"/>
      <c r="N83" s="114"/>
      <c r="O83" s="114"/>
      <c r="P83" s="114"/>
      <c r="Q83" s="115"/>
      <c r="R83" s="141"/>
      <c r="S83" s="142"/>
      <c r="T83" s="142"/>
      <c r="U83" s="143"/>
      <c r="AA83" s="1" t="s">
        <v>132</v>
      </c>
    </row>
    <row r="84" spans="1:27" ht="18" customHeight="1" x14ac:dyDescent="0.15">
      <c r="A84" s="3"/>
      <c r="B84" s="113"/>
      <c r="C84" s="114"/>
      <c r="D84" s="114"/>
      <c r="E84" s="114"/>
      <c r="F84" s="115"/>
      <c r="G84" s="141"/>
      <c r="H84" s="142"/>
      <c r="I84" s="142"/>
      <c r="J84" s="143"/>
      <c r="K84" s="113"/>
      <c r="L84" s="114"/>
      <c r="M84" s="114"/>
      <c r="N84" s="114"/>
      <c r="O84" s="114"/>
      <c r="P84" s="114"/>
      <c r="Q84" s="115"/>
      <c r="R84" s="141"/>
      <c r="S84" s="142"/>
      <c r="T84" s="142"/>
      <c r="U84" s="143"/>
      <c r="AA84" s="1" t="s">
        <v>138</v>
      </c>
    </row>
    <row r="85" spans="1:27" ht="18" customHeight="1" x14ac:dyDescent="0.15">
      <c r="A85" s="3"/>
      <c r="B85" s="113"/>
      <c r="C85" s="114"/>
      <c r="D85" s="114"/>
      <c r="E85" s="114"/>
      <c r="F85" s="115"/>
      <c r="G85" s="141"/>
      <c r="H85" s="142"/>
      <c r="I85" s="142"/>
      <c r="J85" s="143"/>
      <c r="K85" s="113"/>
      <c r="L85" s="114"/>
      <c r="M85" s="114"/>
      <c r="N85" s="114"/>
      <c r="O85" s="114"/>
      <c r="P85" s="114"/>
      <c r="Q85" s="115"/>
      <c r="R85" s="141"/>
      <c r="S85" s="142"/>
      <c r="T85" s="142"/>
      <c r="U85" s="143"/>
      <c r="AA85" s="1" t="s">
        <v>139</v>
      </c>
    </row>
    <row r="86" spans="1:27" ht="18" customHeight="1" x14ac:dyDescent="0.15">
      <c r="A86" s="3"/>
      <c r="B86" s="113"/>
      <c r="C86" s="114"/>
      <c r="D86" s="114"/>
      <c r="E86" s="114"/>
      <c r="F86" s="115"/>
      <c r="G86" s="141"/>
      <c r="H86" s="142"/>
      <c r="I86" s="142"/>
      <c r="J86" s="143"/>
      <c r="K86" s="113"/>
      <c r="L86" s="114"/>
      <c r="M86" s="114"/>
      <c r="N86" s="114"/>
      <c r="O86" s="114"/>
      <c r="P86" s="114"/>
      <c r="Q86" s="115"/>
      <c r="R86" s="141"/>
      <c r="S86" s="142"/>
      <c r="T86" s="142"/>
      <c r="U86" s="143"/>
      <c r="AA86" s="1" t="s">
        <v>133</v>
      </c>
    </row>
    <row r="87" spans="1:27" ht="18" customHeight="1" x14ac:dyDescent="0.15">
      <c r="A87" s="3"/>
      <c r="B87" s="132"/>
      <c r="C87" s="133"/>
      <c r="D87" s="133"/>
      <c r="E87" s="133"/>
      <c r="F87" s="134"/>
      <c r="G87" s="153"/>
      <c r="H87" s="154"/>
      <c r="I87" s="154"/>
      <c r="J87" s="155"/>
      <c r="K87" s="132"/>
      <c r="L87" s="133"/>
      <c r="M87" s="133"/>
      <c r="N87" s="133"/>
      <c r="O87" s="133"/>
      <c r="P87" s="133"/>
      <c r="Q87" s="134"/>
      <c r="R87" s="153"/>
      <c r="S87" s="154"/>
      <c r="T87" s="154"/>
      <c r="U87" s="155"/>
      <c r="AA87" s="1" t="s">
        <v>134</v>
      </c>
    </row>
    <row r="88" spans="1:27" ht="18" customHeight="1" x14ac:dyDescent="0.15">
      <c r="A88" s="3"/>
      <c r="B88" s="6"/>
      <c r="C88" s="6"/>
      <c r="D88" s="6"/>
      <c r="E88" s="6"/>
      <c r="F88" s="6"/>
      <c r="G88" s="63"/>
      <c r="H88" s="63"/>
      <c r="I88" s="63"/>
      <c r="J88" s="63"/>
      <c r="K88" s="6"/>
      <c r="L88" s="6"/>
      <c r="M88" s="6"/>
      <c r="N88" s="6"/>
      <c r="O88" s="6"/>
      <c r="P88" s="6"/>
      <c r="Q88" s="6"/>
      <c r="R88" s="63"/>
      <c r="S88" s="63"/>
      <c r="T88" s="63"/>
      <c r="U88" s="63"/>
      <c r="AA88" s="1" t="s">
        <v>135</v>
      </c>
    </row>
    <row r="89" spans="1:27" ht="18.75" customHeight="1" x14ac:dyDescent="0.15">
      <c r="A89" s="1" t="s">
        <v>100</v>
      </c>
      <c r="AA89" s="1" t="s">
        <v>136</v>
      </c>
    </row>
    <row r="90" spans="1:27" ht="18.75" customHeight="1" x14ac:dyDescent="0.15">
      <c r="B90" s="156" t="s">
        <v>48</v>
      </c>
      <c r="C90" s="157"/>
      <c r="D90" s="97" t="s">
        <v>49</v>
      </c>
      <c r="E90" s="98"/>
      <c r="F90" s="98"/>
      <c r="G90" s="98"/>
      <c r="H90" s="98"/>
      <c r="I90" s="98"/>
      <c r="J90" s="98"/>
      <c r="K90" s="98"/>
      <c r="L90" s="98"/>
      <c r="M90" s="98"/>
      <c r="N90" s="98"/>
      <c r="O90" s="98"/>
      <c r="P90" s="98"/>
      <c r="Q90" s="98"/>
      <c r="R90" s="98"/>
      <c r="S90" s="98"/>
      <c r="T90" s="98"/>
      <c r="U90" s="99"/>
    </row>
    <row r="91" spans="1:27" ht="42.75" customHeight="1" x14ac:dyDescent="0.15">
      <c r="B91" s="144" t="s">
        <v>55</v>
      </c>
      <c r="C91" s="64" t="s">
        <v>50</v>
      </c>
      <c r="D91" s="146" t="s">
        <v>185</v>
      </c>
      <c r="E91" s="147"/>
      <c r="F91" s="147"/>
      <c r="G91" s="147"/>
      <c r="H91" s="147"/>
      <c r="I91" s="147"/>
      <c r="J91" s="147"/>
      <c r="K91" s="147"/>
      <c r="L91" s="147"/>
      <c r="M91" s="147"/>
      <c r="N91" s="147"/>
      <c r="O91" s="147"/>
      <c r="P91" s="147"/>
      <c r="Q91" s="147"/>
      <c r="R91" s="147"/>
      <c r="S91" s="147"/>
      <c r="T91" s="147"/>
      <c r="U91" s="148"/>
      <c r="V91" s="84" t="s">
        <v>183</v>
      </c>
    </row>
    <row r="92" spans="1:27" ht="66" customHeight="1" x14ac:dyDescent="0.15">
      <c r="B92" s="145"/>
      <c r="C92" s="65" t="s">
        <v>69</v>
      </c>
      <c r="D92" s="149" t="s">
        <v>175</v>
      </c>
      <c r="E92" s="150"/>
      <c r="F92" s="150"/>
      <c r="G92" s="150"/>
      <c r="H92" s="150"/>
      <c r="I92" s="150"/>
      <c r="J92" s="150"/>
      <c r="K92" s="150"/>
      <c r="L92" s="150"/>
      <c r="M92" s="150"/>
      <c r="N92" s="150"/>
      <c r="O92" s="150"/>
      <c r="P92" s="150"/>
      <c r="Q92" s="150"/>
      <c r="R92" s="150"/>
      <c r="S92" s="150"/>
      <c r="T92" s="150"/>
      <c r="U92" s="151"/>
      <c r="V92" s="1" t="s">
        <v>183</v>
      </c>
    </row>
    <row r="93" spans="1:27" ht="48.75" customHeight="1" x14ac:dyDescent="0.15">
      <c r="B93" s="144" t="s">
        <v>56</v>
      </c>
      <c r="C93" s="66" t="s">
        <v>63</v>
      </c>
      <c r="D93" s="146" t="s">
        <v>176</v>
      </c>
      <c r="E93" s="166"/>
      <c r="F93" s="166"/>
      <c r="G93" s="166"/>
      <c r="H93" s="166"/>
      <c r="I93" s="166"/>
      <c r="J93" s="166"/>
      <c r="K93" s="166"/>
      <c r="L93" s="166"/>
      <c r="M93" s="166"/>
      <c r="N93" s="166"/>
      <c r="O93" s="166"/>
      <c r="P93" s="166"/>
      <c r="Q93" s="166"/>
      <c r="R93" s="166"/>
      <c r="S93" s="166"/>
      <c r="T93" s="166"/>
      <c r="U93" s="167"/>
      <c r="V93" s="84" t="s">
        <v>183</v>
      </c>
    </row>
    <row r="94" spans="1:27" ht="97.5" customHeight="1" x14ac:dyDescent="0.15">
      <c r="B94" s="152"/>
      <c r="C94" s="67" t="s">
        <v>64</v>
      </c>
      <c r="D94" s="149" t="s">
        <v>184</v>
      </c>
      <c r="E94" s="150"/>
      <c r="F94" s="150"/>
      <c r="G94" s="150"/>
      <c r="H94" s="150"/>
      <c r="I94" s="150"/>
      <c r="J94" s="150"/>
      <c r="K94" s="150"/>
      <c r="L94" s="150"/>
      <c r="M94" s="150"/>
      <c r="N94" s="150"/>
      <c r="O94" s="150"/>
      <c r="P94" s="150"/>
      <c r="Q94" s="150"/>
      <c r="R94" s="150"/>
      <c r="S94" s="150"/>
      <c r="T94" s="150"/>
      <c r="U94" s="151"/>
      <c r="V94" s="84" t="s">
        <v>183</v>
      </c>
    </row>
    <row r="95" spans="1:27" ht="97.5" customHeight="1" x14ac:dyDescent="0.15">
      <c r="B95" s="144" t="s">
        <v>57</v>
      </c>
      <c r="C95" s="66" t="s">
        <v>65</v>
      </c>
      <c r="D95" s="146" t="s">
        <v>177</v>
      </c>
      <c r="E95" s="147"/>
      <c r="F95" s="147"/>
      <c r="G95" s="147"/>
      <c r="H95" s="147"/>
      <c r="I95" s="147"/>
      <c r="J95" s="147"/>
      <c r="K95" s="147"/>
      <c r="L95" s="147"/>
      <c r="M95" s="147"/>
      <c r="N95" s="147"/>
      <c r="O95" s="147"/>
      <c r="P95" s="147"/>
      <c r="Q95" s="147"/>
      <c r="R95" s="147"/>
      <c r="S95" s="147"/>
      <c r="T95" s="147"/>
      <c r="U95" s="148"/>
      <c r="V95" s="84" t="s">
        <v>183</v>
      </c>
    </row>
    <row r="96" spans="1:27" ht="97.5" customHeight="1" x14ac:dyDescent="0.15">
      <c r="B96" s="152"/>
      <c r="C96" s="68" t="s">
        <v>66</v>
      </c>
      <c r="D96" s="164" t="s">
        <v>178</v>
      </c>
      <c r="E96" s="150"/>
      <c r="F96" s="150"/>
      <c r="G96" s="150"/>
      <c r="H96" s="150"/>
      <c r="I96" s="150"/>
      <c r="J96" s="150"/>
      <c r="K96" s="150"/>
      <c r="L96" s="150"/>
      <c r="M96" s="150"/>
      <c r="N96" s="150"/>
      <c r="O96" s="150"/>
      <c r="P96" s="150"/>
      <c r="Q96" s="150"/>
      <c r="R96" s="150"/>
      <c r="S96" s="150"/>
      <c r="T96" s="150"/>
      <c r="U96" s="151"/>
      <c r="V96" s="84" t="s">
        <v>183</v>
      </c>
    </row>
    <row r="97" spans="1:22" ht="97.5" customHeight="1" x14ac:dyDescent="0.15">
      <c r="B97" s="144" t="s">
        <v>70</v>
      </c>
      <c r="C97" s="64" t="s">
        <v>52</v>
      </c>
      <c r="D97" s="165" t="s">
        <v>186</v>
      </c>
      <c r="E97" s="147"/>
      <c r="F97" s="147"/>
      <c r="G97" s="147"/>
      <c r="H97" s="147"/>
      <c r="I97" s="147"/>
      <c r="J97" s="147"/>
      <c r="K97" s="147"/>
      <c r="L97" s="147"/>
      <c r="M97" s="147"/>
      <c r="N97" s="147"/>
      <c r="O97" s="147"/>
      <c r="P97" s="147"/>
      <c r="Q97" s="147"/>
      <c r="R97" s="147"/>
      <c r="S97" s="147"/>
      <c r="T97" s="147"/>
      <c r="U97" s="148"/>
      <c r="V97" s="84" t="s">
        <v>183</v>
      </c>
    </row>
    <row r="98" spans="1:22" ht="97.5" customHeight="1" x14ac:dyDescent="0.15">
      <c r="B98" s="152"/>
      <c r="C98" s="67" t="s">
        <v>54</v>
      </c>
      <c r="D98" s="164" t="s">
        <v>179</v>
      </c>
      <c r="E98" s="150"/>
      <c r="F98" s="150"/>
      <c r="G98" s="150"/>
      <c r="H98" s="150"/>
      <c r="I98" s="150"/>
      <c r="J98" s="150"/>
      <c r="K98" s="150"/>
      <c r="L98" s="150"/>
      <c r="M98" s="150"/>
      <c r="N98" s="150"/>
      <c r="O98" s="150"/>
      <c r="P98" s="150"/>
      <c r="Q98" s="150"/>
      <c r="R98" s="150"/>
      <c r="S98" s="150"/>
      <c r="T98" s="150"/>
      <c r="U98" s="151"/>
      <c r="V98" s="84" t="s">
        <v>183</v>
      </c>
    </row>
    <row r="99" spans="1:22" ht="97.5" customHeight="1" x14ac:dyDescent="0.15">
      <c r="B99" s="144" t="s">
        <v>71</v>
      </c>
      <c r="C99" s="66" t="s">
        <v>51</v>
      </c>
      <c r="D99" s="146" t="s">
        <v>180</v>
      </c>
      <c r="E99" s="147"/>
      <c r="F99" s="147"/>
      <c r="G99" s="147"/>
      <c r="H99" s="147"/>
      <c r="I99" s="147"/>
      <c r="J99" s="147"/>
      <c r="K99" s="147"/>
      <c r="L99" s="147"/>
      <c r="M99" s="147"/>
      <c r="N99" s="147"/>
      <c r="O99" s="147"/>
      <c r="P99" s="147"/>
      <c r="Q99" s="147"/>
      <c r="R99" s="147"/>
      <c r="S99" s="147"/>
      <c r="T99" s="147"/>
      <c r="U99" s="148"/>
      <c r="V99" s="84" t="s">
        <v>183</v>
      </c>
    </row>
    <row r="100" spans="1:22" ht="97.5" customHeight="1" x14ac:dyDescent="0.15">
      <c r="B100" s="145"/>
      <c r="C100" s="69" t="s">
        <v>67</v>
      </c>
      <c r="D100" s="158" t="s">
        <v>181</v>
      </c>
      <c r="E100" s="159"/>
      <c r="F100" s="159"/>
      <c r="G100" s="159"/>
      <c r="H100" s="159"/>
      <c r="I100" s="159"/>
      <c r="J100" s="159"/>
      <c r="K100" s="159"/>
      <c r="L100" s="159"/>
      <c r="M100" s="159"/>
      <c r="N100" s="159"/>
      <c r="O100" s="159"/>
      <c r="P100" s="159"/>
      <c r="Q100" s="159"/>
      <c r="R100" s="159"/>
      <c r="S100" s="159"/>
      <c r="T100" s="159"/>
      <c r="U100" s="160"/>
      <c r="V100" s="84" t="s">
        <v>183</v>
      </c>
    </row>
    <row r="101" spans="1:22" ht="97.5" customHeight="1" x14ac:dyDescent="0.15">
      <c r="B101" s="152"/>
      <c r="C101" s="68" t="s">
        <v>68</v>
      </c>
      <c r="D101" s="149" t="s">
        <v>182</v>
      </c>
      <c r="E101" s="150"/>
      <c r="F101" s="150"/>
      <c r="G101" s="150"/>
      <c r="H101" s="150"/>
      <c r="I101" s="150"/>
      <c r="J101" s="150"/>
      <c r="K101" s="150"/>
      <c r="L101" s="150"/>
      <c r="M101" s="150"/>
      <c r="N101" s="150"/>
      <c r="O101" s="150"/>
      <c r="P101" s="150"/>
      <c r="Q101" s="150"/>
      <c r="R101" s="150"/>
      <c r="S101" s="150"/>
      <c r="T101" s="150"/>
      <c r="U101" s="151"/>
      <c r="V101" s="84" t="s">
        <v>183</v>
      </c>
    </row>
    <row r="102" spans="1:22" ht="6" customHeight="1" x14ac:dyDescent="0.15"/>
    <row r="103" spans="1:22" ht="18.75" customHeight="1" x14ac:dyDescent="0.15">
      <c r="A103" s="1" t="s">
        <v>101</v>
      </c>
    </row>
    <row r="104" spans="1:22" ht="81.75" customHeight="1" x14ac:dyDescent="0.15">
      <c r="B104" s="161" t="s">
        <v>155</v>
      </c>
      <c r="C104" s="162"/>
      <c r="D104" s="162"/>
      <c r="E104" s="162"/>
      <c r="F104" s="162"/>
      <c r="G104" s="162"/>
      <c r="H104" s="162"/>
      <c r="I104" s="162"/>
      <c r="J104" s="162"/>
      <c r="K104" s="162"/>
      <c r="L104" s="162"/>
      <c r="M104" s="162"/>
      <c r="N104" s="162"/>
      <c r="O104" s="162"/>
      <c r="P104" s="162"/>
      <c r="Q104" s="162"/>
      <c r="R104" s="162"/>
      <c r="S104" s="162"/>
      <c r="T104" s="162"/>
      <c r="U104" s="163"/>
    </row>
    <row r="107" spans="1:22" ht="18" customHeight="1" x14ac:dyDescent="0.15"/>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7.874015748031496E-2"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8"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43"/>
  <sheetViews>
    <sheetView view="pageBreakPreview" zoomScaleNormal="100" zoomScaleSheetLayoutView="100" workbookViewId="0">
      <selection activeCell="E34" sqref="E34"/>
    </sheetView>
  </sheetViews>
  <sheetFormatPr defaultColWidth="9" defaultRowHeight="18.75" customHeight="1" outlineLevelRow="1" x14ac:dyDescent="0.15"/>
  <cols>
    <col min="1" max="1" width="2.875" style="1" customWidth="1"/>
    <col min="2" max="2" width="27.875" style="1" customWidth="1"/>
    <col min="3" max="18" width="6.125" style="1" customWidth="1"/>
    <col min="19" max="19" width="6.625" style="1" customWidth="1"/>
    <col min="20" max="16384" width="9" style="1"/>
  </cols>
  <sheetData>
    <row r="1" spans="1:21" ht="18" customHeight="1" x14ac:dyDescent="0.15">
      <c r="A1" s="51"/>
      <c r="B1" s="51"/>
      <c r="C1" s="51"/>
      <c r="D1" s="51"/>
      <c r="E1" s="51"/>
      <c r="F1" s="51"/>
      <c r="G1" s="51"/>
      <c r="H1" s="51"/>
      <c r="I1" s="51"/>
      <c r="J1" s="51"/>
      <c r="K1" s="51"/>
      <c r="L1" s="51"/>
      <c r="M1" s="51"/>
      <c r="N1" s="51"/>
      <c r="O1" s="51"/>
      <c r="P1" s="51"/>
      <c r="Q1" s="51"/>
      <c r="R1" s="51"/>
      <c r="S1" s="51" t="s">
        <v>90</v>
      </c>
    </row>
    <row r="2" spans="1:21" ht="18" customHeight="1" x14ac:dyDescent="0.15">
      <c r="A2" s="51"/>
      <c r="B2" s="51"/>
      <c r="C2" s="51"/>
      <c r="D2" s="51"/>
      <c r="E2" s="51"/>
      <c r="F2" s="51"/>
      <c r="G2" s="51"/>
      <c r="H2" s="51"/>
      <c r="I2" s="51"/>
      <c r="J2" s="51"/>
      <c r="K2" s="51"/>
      <c r="L2" s="51"/>
      <c r="M2" s="51"/>
      <c r="N2" s="51"/>
      <c r="O2" s="51"/>
      <c r="P2" s="51"/>
      <c r="Q2" s="169" t="str">
        <f>'様式１-2　プログラムを構成する授業科目(SGS)'!C2</f>
        <v>多摩大学</v>
      </c>
      <c r="R2" s="169"/>
      <c r="S2" s="169"/>
    </row>
    <row r="3" spans="1:21" ht="18" customHeight="1" x14ac:dyDescent="0.15">
      <c r="A3" s="103" t="s">
        <v>141</v>
      </c>
      <c r="B3" s="103"/>
      <c r="C3" s="103"/>
      <c r="D3" s="103"/>
      <c r="E3" s="103"/>
      <c r="F3" s="103"/>
      <c r="G3" s="103"/>
      <c r="H3" s="103"/>
      <c r="I3" s="103"/>
      <c r="J3" s="103"/>
      <c r="K3" s="103"/>
      <c r="L3" s="103"/>
      <c r="M3" s="103"/>
      <c r="N3" s="103"/>
      <c r="O3" s="103"/>
      <c r="P3" s="103"/>
      <c r="Q3" s="103"/>
      <c r="R3" s="103"/>
      <c r="S3" s="103"/>
    </row>
    <row r="4" spans="1:21" ht="7.5" customHeight="1" x14ac:dyDescent="0.15">
      <c r="A4" s="53"/>
      <c r="B4" s="53"/>
      <c r="C4" s="53"/>
      <c r="D4" s="53"/>
      <c r="E4" s="53"/>
      <c r="F4" s="53"/>
      <c r="G4" s="53"/>
      <c r="H4" s="53"/>
      <c r="I4" s="53"/>
      <c r="J4" s="53"/>
      <c r="K4" s="53"/>
      <c r="L4" s="53"/>
      <c r="M4" s="53"/>
      <c r="N4" s="53"/>
      <c r="O4" s="53"/>
      <c r="P4" s="53"/>
      <c r="Q4" s="53"/>
      <c r="R4" s="53"/>
      <c r="S4" s="53"/>
    </row>
    <row r="5" spans="1:21" ht="18" customHeight="1" x14ac:dyDescent="0.15">
      <c r="A5" s="51" t="s">
        <v>74</v>
      </c>
      <c r="B5" s="51"/>
      <c r="C5" s="170" t="s">
        <v>187</v>
      </c>
      <c r="D5" s="171"/>
      <c r="E5" s="55" t="s">
        <v>124</v>
      </c>
      <c r="F5" s="53"/>
      <c r="G5" s="53"/>
      <c r="H5" s="53"/>
      <c r="I5" s="53"/>
      <c r="J5" s="53"/>
      <c r="K5" s="53"/>
      <c r="L5" s="53"/>
      <c r="M5" s="53"/>
      <c r="N5" s="53"/>
      <c r="O5" s="53"/>
      <c r="P5" s="53"/>
      <c r="Q5" s="53"/>
      <c r="R5" s="52"/>
      <c r="S5" s="52"/>
    </row>
    <row r="6" spans="1:21" ht="7.35" customHeight="1" x14ac:dyDescent="0.15">
      <c r="A6" s="51"/>
      <c r="B6" s="51"/>
      <c r="C6" s="73"/>
      <c r="D6" s="73"/>
      <c r="E6" s="53"/>
      <c r="F6" s="53"/>
      <c r="G6" s="53"/>
      <c r="H6" s="53"/>
      <c r="I6" s="53"/>
      <c r="J6" s="53"/>
      <c r="K6" s="53"/>
      <c r="L6" s="53"/>
      <c r="M6" s="53"/>
      <c r="N6" s="53"/>
      <c r="O6" s="53"/>
      <c r="P6" s="53"/>
      <c r="Q6" s="53"/>
      <c r="R6" s="52"/>
      <c r="S6" s="52"/>
    </row>
    <row r="7" spans="1:21" ht="18" customHeight="1" x14ac:dyDescent="0.15">
      <c r="A7" s="51" t="s">
        <v>107</v>
      </c>
      <c r="B7" s="51"/>
      <c r="C7" s="73"/>
      <c r="D7" s="73"/>
      <c r="E7" s="53" t="s">
        <v>108</v>
      </c>
      <c r="F7" s="89">
        <v>1445</v>
      </c>
      <c r="G7" s="55" t="s">
        <v>109</v>
      </c>
      <c r="H7" s="53" t="s">
        <v>110</v>
      </c>
      <c r="I7" s="89">
        <v>474</v>
      </c>
      <c r="J7" s="55" t="s">
        <v>109</v>
      </c>
      <c r="K7" s="54" t="s">
        <v>111</v>
      </c>
      <c r="L7" s="53" t="s">
        <v>112</v>
      </c>
      <c r="M7" s="89">
        <f>F7+I7</f>
        <v>1919</v>
      </c>
      <c r="N7" s="53" t="s">
        <v>1</v>
      </c>
      <c r="O7" s="55" t="s">
        <v>113</v>
      </c>
      <c r="P7" s="53"/>
      <c r="Q7" s="53"/>
      <c r="R7" s="52"/>
      <c r="S7" s="52"/>
    </row>
    <row r="8" spans="1:21" ht="17.45" customHeight="1" x14ac:dyDescent="0.15">
      <c r="A8" s="53"/>
      <c r="B8" s="74" t="s">
        <v>127</v>
      </c>
      <c r="C8" s="53"/>
      <c r="D8" s="53"/>
      <c r="E8" s="53"/>
      <c r="F8" s="53"/>
      <c r="G8" s="53"/>
      <c r="H8" s="53"/>
      <c r="I8" s="53"/>
      <c r="J8" s="53"/>
      <c r="K8" s="53"/>
      <c r="L8" s="53"/>
      <c r="M8" s="53"/>
      <c r="N8" s="53"/>
      <c r="O8" s="53"/>
      <c r="P8" s="53"/>
      <c r="Q8" s="53"/>
      <c r="R8" s="53"/>
      <c r="S8" s="53"/>
    </row>
    <row r="9" spans="1:21" ht="18" customHeight="1" x14ac:dyDescent="0.15">
      <c r="A9" s="51" t="s">
        <v>119</v>
      </c>
      <c r="B9" s="53"/>
      <c r="C9" s="53"/>
      <c r="D9" s="53"/>
      <c r="E9" s="53"/>
      <c r="F9" s="53"/>
      <c r="G9" s="53"/>
      <c r="H9" s="53"/>
      <c r="I9" s="53"/>
      <c r="J9" s="53"/>
      <c r="K9" s="53"/>
      <c r="L9" s="53"/>
      <c r="M9" s="53"/>
      <c r="N9" s="53"/>
      <c r="O9" s="53"/>
      <c r="P9" s="53"/>
      <c r="Q9" s="53"/>
      <c r="R9" s="53"/>
      <c r="S9" s="53"/>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72" t="s">
        <v>42</v>
      </c>
      <c r="C11" s="182" t="s">
        <v>77</v>
      </c>
      <c r="D11" s="174" t="s">
        <v>44</v>
      </c>
      <c r="E11" s="176" t="s">
        <v>37</v>
      </c>
      <c r="F11" s="168" t="s">
        <v>125</v>
      </c>
      <c r="G11" s="168"/>
      <c r="H11" s="168" t="s">
        <v>104</v>
      </c>
      <c r="I11" s="168"/>
      <c r="J11" s="168" t="s">
        <v>76</v>
      </c>
      <c r="K11" s="168"/>
      <c r="L11" s="168" t="s">
        <v>45</v>
      </c>
      <c r="M11" s="168"/>
      <c r="N11" s="168" t="s">
        <v>46</v>
      </c>
      <c r="O11" s="168"/>
      <c r="P11" s="168" t="s">
        <v>126</v>
      </c>
      <c r="Q11" s="168"/>
      <c r="R11" s="178" t="s">
        <v>34</v>
      </c>
      <c r="S11" s="180" t="s">
        <v>31</v>
      </c>
      <c r="U11" s="2"/>
    </row>
    <row r="12" spans="1:21" ht="17.100000000000001" customHeight="1" x14ac:dyDescent="0.15">
      <c r="B12" s="173"/>
      <c r="C12" s="183"/>
      <c r="D12" s="175"/>
      <c r="E12" s="177"/>
      <c r="F12" s="75" t="s">
        <v>85</v>
      </c>
      <c r="G12" s="75" t="s">
        <v>28</v>
      </c>
      <c r="H12" s="75" t="s">
        <v>85</v>
      </c>
      <c r="I12" s="75" t="s">
        <v>28</v>
      </c>
      <c r="J12" s="75" t="s">
        <v>85</v>
      </c>
      <c r="K12" s="75" t="s">
        <v>28</v>
      </c>
      <c r="L12" s="75" t="s">
        <v>85</v>
      </c>
      <c r="M12" s="75" t="s">
        <v>28</v>
      </c>
      <c r="N12" s="75" t="s">
        <v>85</v>
      </c>
      <c r="O12" s="75" t="s">
        <v>28</v>
      </c>
      <c r="P12" s="75" t="s">
        <v>85</v>
      </c>
      <c r="Q12" s="76" t="s">
        <v>28</v>
      </c>
      <c r="R12" s="179"/>
      <c r="S12" s="181"/>
      <c r="U12" s="2"/>
    </row>
    <row r="13" spans="1:21" ht="18" customHeight="1" x14ac:dyDescent="0.15">
      <c r="A13" s="6"/>
      <c r="B13" s="46" t="s">
        <v>147</v>
      </c>
      <c r="C13" s="90">
        <v>1324</v>
      </c>
      <c r="D13" s="87">
        <v>317</v>
      </c>
      <c r="E13" s="36">
        <v>1280</v>
      </c>
      <c r="F13" s="36">
        <v>188</v>
      </c>
      <c r="G13" s="36">
        <v>137</v>
      </c>
      <c r="H13" s="36"/>
      <c r="I13" s="36"/>
      <c r="J13" s="36"/>
      <c r="K13" s="36"/>
      <c r="L13" s="36"/>
      <c r="M13" s="36"/>
      <c r="N13" s="36"/>
      <c r="O13" s="36"/>
      <c r="P13" s="36"/>
      <c r="Q13" s="47"/>
      <c r="R13" s="35">
        <f>F13+H13+J13+L13+N13+P13</f>
        <v>188</v>
      </c>
      <c r="S13" s="85">
        <f>R13/E13</f>
        <v>0.14687500000000001</v>
      </c>
    </row>
    <row r="14" spans="1:21" ht="18" customHeight="1" x14ac:dyDescent="0.15">
      <c r="A14" s="6"/>
      <c r="B14" s="11" t="s">
        <v>148</v>
      </c>
      <c r="C14" s="91">
        <v>595</v>
      </c>
      <c r="D14" s="88">
        <v>147</v>
      </c>
      <c r="E14" s="39">
        <v>600</v>
      </c>
      <c r="F14" s="40">
        <v>1</v>
      </c>
      <c r="G14" s="40">
        <v>1</v>
      </c>
      <c r="H14" s="40"/>
      <c r="I14" s="40"/>
      <c r="J14" s="40"/>
      <c r="K14" s="40"/>
      <c r="L14" s="40"/>
      <c r="M14" s="40"/>
      <c r="N14" s="40"/>
      <c r="O14" s="40"/>
      <c r="P14" s="40"/>
      <c r="Q14" s="37"/>
      <c r="R14" s="38">
        <f t="shared" ref="R14:R31" si="0">F14+H14+J14+L14+N14+P14</f>
        <v>1</v>
      </c>
      <c r="S14" s="8">
        <f t="shared" ref="S14:S33" si="1">R14/E14</f>
        <v>1.6666666666666668E-3</v>
      </c>
    </row>
    <row r="15" spans="1:21" ht="18" hidden="1" customHeight="1" outlineLevel="1" x14ac:dyDescent="0.15">
      <c r="A15" s="6"/>
      <c r="B15" s="11"/>
      <c r="C15" s="37"/>
      <c r="D15" s="38"/>
      <c r="E15" s="39"/>
      <c r="F15" s="40"/>
      <c r="G15" s="40"/>
      <c r="H15" s="40"/>
      <c r="I15" s="40"/>
      <c r="J15" s="40"/>
      <c r="K15" s="40"/>
      <c r="L15" s="40"/>
      <c r="M15" s="40"/>
      <c r="N15" s="40"/>
      <c r="O15" s="40"/>
      <c r="P15" s="40"/>
      <c r="Q15" s="37"/>
      <c r="R15" s="38">
        <f t="shared" si="0"/>
        <v>0</v>
      </c>
      <c r="S15" s="8" t="e">
        <f t="shared" si="1"/>
        <v>#DIV/0!</v>
      </c>
    </row>
    <row r="16" spans="1:21" ht="18" hidden="1" customHeight="1" outlineLevel="1" x14ac:dyDescent="0.15">
      <c r="A16" s="6"/>
      <c r="B16" s="11"/>
      <c r="C16" s="37"/>
      <c r="D16" s="38"/>
      <c r="E16" s="39"/>
      <c r="F16" s="40"/>
      <c r="G16" s="40"/>
      <c r="H16" s="40"/>
      <c r="I16" s="40"/>
      <c r="J16" s="40"/>
      <c r="K16" s="40"/>
      <c r="L16" s="40"/>
      <c r="M16" s="40"/>
      <c r="N16" s="40"/>
      <c r="O16" s="40"/>
      <c r="P16" s="40"/>
      <c r="Q16" s="37"/>
      <c r="R16" s="38">
        <f t="shared" si="0"/>
        <v>0</v>
      </c>
      <c r="S16" s="8" t="e">
        <f t="shared" si="1"/>
        <v>#DIV/0!</v>
      </c>
    </row>
    <row r="17" spans="1:19" ht="18" hidden="1" customHeight="1" outlineLevel="1" x14ac:dyDescent="0.15">
      <c r="A17" s="6"/>
      <c r="B17" s="11"/>
      <c r="C17" s="37"/>
      <c r="D17" s="38"/>
      <c r="E17" s="39"/>
      <c r="F17" s="40"/>
      <c r="G17" s="40"/>
      <c r="H17" s="40"/>
      <c r="I17" s="40"/>
      <c r="J17" s="40"/>
      <c r="K17" s="40"/>
      <c r="L17" s="40"/>
      <c r="M17" s="40"/>
      <c r="N17" s="40"/>
      <c r="O17" s="40"/>
      <c r="P17" s="40"/>
      <c r="Q17" s="37"/>
      <c r="R17" s="38">
        <f t="shared" si="0"/>
        <v>0</v>
      </c>
      <c r="S17" s="8" t="e">
        <f t="shared" si="1"/>
        <v>#DIV/0!</v>
      </c>
    </row>
    <row r="18" spans="1:19" ht="18" hidden="1" customHeight="1" outlineLevel="1" x14ac:dyDescent="0.15">
      <c r="A18" s="6"/>
      <c r="B18" s="11"/>
      <c r="C18" s="37"/>
      <c r="D18" s="38"/>
      <c r="E18" s="39"/>
      <c r="F18" s="40"/>
      <c r="G18" s="40"/>
      <c r="H18" s="40"/>
      <c r="I18" s="40"/>
      <c r="J18" s="40"/>
      <c r="K18" s="40"/>
      <c r="L18" s="40"/>
      <c r="M18" s="40"/>
      <c r="N18" s="40"/>
      <c r="O18" s="40"/>
      <c r="P18" s="40"/>
      <c r="Q18" s="37"/>
      <c r="R18" s="38">
        <f t="shared" si="0"/>
        <v>0</v>
      </c>
      <c r="S18" s="8" t="e">
        <f t="shared" si="1"/>
        <v>#DIV/0!</v>
      </c>
    </row>
    <row r="19" spans="1:19" ht="18" hidden="1" customHeight="1" outlineLevel="1" x14ac:dyDescent="0.15">
      <c r="A19" s="6"/>
      <c r="B19" s="11"/>
      <c r="C19" s="37"/>
      <c r="D19" s="38"/>
      <c r="E19" s="39"/>
      <c r="F19" s="40"/>
      <c r="G19" s="40"/>
      <c r="H19" s="40"/>
      <c r="I19" s="40"/>
      <c r="J19" s="40"/>
      <c r="K19" s="40"/>
      <c r="L19" s="40"/>
      <c r="M19" s="40"/>
      <c r="N19" s="40"/>
      <c r="O19" s="40"/>
      <c r="P19" s="40"/>
      <c r="Q19" s="37"/>
      <c r="R19" s="38">
        <f t="shared" si="0"/>
        <v>0</v>
      </c>
      <c r="S19" s="8" t="e">
        <f t="shared" si="1"/>
        <v>#DIV/0!</v>
      </c>
    </row>
    <row r="20" spans="1:19" ht="18" hidden="1" customHeight="1" outlineLevel="1" x14ac:dyDescent="0.15">
      <c r="A20" s="6"/>
      <c r="B20" s="11"/>
      <c r="C20" s="37"/>
      <c r="D20" s="38"/>
      <c r="E20" s="39"/>
      <c r="F20" s="40"/>
      <c r="G20" s="40"/>
      <c r="H20" s="40"/>
      <c r="I20" s="40"/>
      <c r="J20" s="40"/>
      <c r="K20" s="40"/>
      <c r="L20" s="40"/>
      <c r="M20" s="40"/>
      <c r="N20" s="40"/>
      <c r="O20" s="40"/>
      <c r="P20" s="40"/>
      <c r="Q20" s="37"/>
      <c r="R20" s="38">
        <f t="shared" si="0"/>
        <v>0</v>
      </c>
      <c r="S20" s="8" t="e">
        <f t="shared" si="1"/>
        <v>#DIV/0!</v>
      </c>
    </row>
    <row r="21" spans="1:19" ht="18" hidden="1" customHeight="1" outlineLevel="1" x14ac:dyDescent="0.15">
      <c r="A21" s="6"/>
      <c r="B21" s="11"/>
      <c r="C21" s="37"/>
      <c r="D21" s="38"/>
      <c r="E21" s="39"/>
      <c r="F21" s="40"/>
      <c r="G21" s="40"/>
      <c r="H21" s="40"/>
      <c r="I21" s="40"/>
      <c r="J21" s="40"/>
      <c r="K21" s="40"/>
      <c r="L21" s="40"/>
      <c r="M21" s="40"/>
      <c r="N21" s="40"/>
      <c r="O21" s="40"/>
      <c r="P21" s="40"/>
      <c r="Q21" s="37"/>
      <c r="R21" s="38">
        <f t="shared" si="0"/>
        <v>0</v>
      </c>
      <c r="S21" s="8" t="e">
        <f t="shared" si="1"/>
        <v>#DIV/0!</v>
      </c>
    </row>
    <row r="22" spans="1:19" ht="18" hidden="1" customHeight="1" outlineLevel="1" x14ac:dyDescent="0.15">
      <c r="A22" s="6"/>
      <c r="B22" s="11"/>
      <c r="C22" s="37"/>
      <c r="D22" s="38"/>
      <c r="E22" s="39"/>
      <c r="F22" s="40"/>
      <c r="G22" s="40"/>
      <c r="H22" s="40"/>
      <c r="I22" s="40"/>
      <c r="J22" s="40"/>
      <c r="K22" s="40"/>
      <c r="L22" s="40"/>
      <c r="M22" s="40"/>
      <c r="N22" s="40"/>
      <c r="O22" s="40"/>
      <c r="P22" s="40"/>
      <c r="Q22" s="37"/>
      <c r="R22" s="38">
        <f t="shared" si="0"/>
        <v>0</v>
      </c>
      <c r="S22" s="8" t="e">
        <f t="shared" si="1"/>
        <v>#DIV/0!</v>
      </c>
    </row>
    <row r="23" spans="1:19" ht="18" hidden="1" customHeight="1" outlineLevel="1" x14ac:dyDescent="0.15">
      <c r="A23" s="6"/>
      <c r="B23" s="11"/>
      <c r="C23" s="37"/>
      <c r="D23" s="38"/>
      <c r="E23" s="39"/>
      <c r="F23" s="40"/>
      <c r="G23" s="40"/>
      <c r="H23" s="40"/>
      <c r="I23" s="40"/>
      <c r="J23" s="40"/>
      <c r="K23" s="40"/>
      <c r="L23" s="40"/>
      <c r="M23" s="40"/>
      <c r="N23" s="40"/>
      <c r="O23" s="40"/>
      <c r="P23" s="40"/>
      <c r="Q23" s="37"/>
      <c r="R23" s="38">
        <f t="shared" si="0"/>
        <v>0</v>
      </c>
      <c r="S23" s="8" t="e">
        <f t="shared" si="1"/>
        <v>#DIV/0!</v>
      </c>
    </row>
    <row r="24" spans="1:19" ht="18" hidden="1" customHeight="1" outlineLevel="1" x14ac:dyDescent="0.15">
      <c r="A24" s="6"/>
      <c r="B24" s="11"/>
      <c r="C24" s="37"/>
      <c r="D24" s="38"/>
      <c r="E24" s="39"/>
      <c r="F24" s="40"/>
      <c r="G24" s="40"/>
      <c r="H24" s="40"/>
      <c r="I24" s="40"/>
      <c r="J24" s="40"/>
      <c r="K24" s="40"/>
      <c r="L24" s="40"/>
      <c r="M24" s="40"/>
      <c r="N24" s="40"/>
      <c r="O24" s="40"/>
      <c r="P24" s="40"/>
      <c r="Q24" s="37"/>
      <c r="R24" s="38">
        <f t="shared" si="0"/>
        <v>0</v>
      </c>
      <c r="S24" s="8" t="e">
        <f t="shared" si="1"/>
        <v>#DIV/0!</v>
      </c>
    </row>
    <row r="25" spans="1:19" ht="18" hidden="1" customHeight="1" outlineLevel="1" x14ac:dyDescent="0.15">
      <c r="A25" s="6"/>
      <c r="B25" s="11"/>
      <c r="C25" s="37"/>
      <c r="D25" s="38"/>
      <c r="E25" s="39"/>
      <c r="F25" s="40"/>
      <c r="G25" s="40"/>
      <c r="H25" s="40"/>
      <c r="I25" s="40"/>
      <c r="J25" s="40"/>
      <c r="K25" s="40"/>
      <c r="L25" s="40"/>
      <c r="M25" s="40"/>
      <c r="N25" s="40"/>
      <c r="O25" s="40"/>
      <c r="P25" s="40"/>
      <c r="Q25" s="37"/>
      <c r="R25" s="38">
        <f t="shared" si="0"/>
        <v>0</v>
      </c>
      <c r="S25" s="8" t="e">
        <f t="shared" si="1"/>
        <v>#DIV/0!</v>
      </c>
    </row>
    <row r="26" spans="1:19" ht="18" hidden="1" customHeight="1" outlineLevel="1" x14ac:dyDescent="0.15">
      <c r="A26" s="6"/>
      <c r="B26" s="11"/>
      <c r="C26" s="37"/>
      <c r="D26" s="38"/>
      <c r="E26" s="39"/>
      <c r="F26" s="40"/>
      <c r="G26" s="40"/>
      <c r="H26" s="40"/>
      <c r="I26" s="40"/>
      <c r="J26" s="40"/>
      <c r="K26" s="40"/>
      <c r="L26" s="40"/>
      <c r="M26" s="40"/>
      <c r="N26" s="40"/>
      <c r="O26" s="40"/>
      <c r="P26" s="40"/>
      <c r="Q26" s="37"/>
      <c r="R26" s="38">
        <f t="shared" si="0"/>
        <v>0</v>
      </c>
      <c r="S26" s="8" t="e">
        <f t="shared" si="1"/>
        <v>#DIV/0!</v>
      </c>
    </row>
    <row r="27" spans="1:19" ht="18" hidden="1" customHeight="1" outlineLevel="1" x14ac:dyDescent="0.15">
      <c r="A27" s="6"/>
      <c r="B27" s="11"/>
      <c r="C27" s="37"/>
      <c r="D27" s="38"/>
      <c r="E27" s="39"/>
      <c r="F27" s="40"/>
      <c r="G27" s="40"/>
      <c r="H27" s="40"/>
      <c r="I27" s="40"/>
      <c r="J27" s="40"/>
      <c r="K27" s="40"/>
      <c r="L27" s="40"/>
      <c r="M27" s="40"/>
      <c r="N27" s="40"/>
      <c r="O27" s="40"/>
      <c r="P27" s="40"/>
      <c r="Q27" s="37"/>
      <c r="R27" s="38">
        <f t="shared" si="0"/>
        <v>0</v>
      </c>
      <c r="S27" s="8" t="e">
        <f t="shared" si="1"/>
        <v>#DIV/0!</v>
      </c>
    </row>
    <row r="28" spans="1:19" ht="18" hidden="1" customHeight="1" outlineLevel="1" x14ac:dyDescent="0.15">
      <c r="A28" s="6"/>
      <c r="B28" s="11"/>
      <c r="C28" s="37"/>
      <c r="D28" s="38"/>
      <c r="E28" s="39"/>
      <c r="F28" s="40"/>
      <c r="G28" s="40"/>
      <c r="H28" s="40"/>
      <c r="I28" s="40"/>
      <c r="J28" s="40"/>
      <c r="K28" s="40"/>
      <c r="L28" s="40"/>
      <c r="M28" s="40"/>
      <c r="N28" s="40"/>
      <c r="O28" s="40"/>
      <c r="P28" s="40"/>
      <c r="Q28" s="37"/>
      <c r="R28" s="38">
        <f t="shared" si="0"/>
        <v>0</v>
      </c>
      <c r="S28" s="8" t="e">
        <f t="shared" si="1"/>
        <v>#DIV/0!</v>
      </c>
    </row>
    <row r="29" spans="1:19" ht="18" hidden="1" customHeight="1" outlineLevel="1" x14ac:dyDescent="0.15">
      <c r="A29" s="6"/>
      <c r="B29" s="11"/>
      <c r="C29" s="37"/>
      <c r="D29" s="38"/>
      <c r="E29" s="39"/>
      <c r="F29" s="40"/>
      <c r="G29" s="40"/>
      <c r="H29" s="40"/>
      <c r="I29" s="40"/>
      <c r="J29" s="40"/>
      <c r="K29" s="40"/>
      <c r="L29" s="40"/>
      <c r="M29" s="40"/>
      <c r="N29" s="40"/>
      <c r="O29" s="40"/>
      <c r="P29" s="40"/>
      <c r="Q29" s="37"/>
      <c r="R29" s="38">
        <f t="shared" si="0"/>
        <v>0</v>
      </c>
      <c r="S29" s="8" t="e">
        <f t="shared" si="1"/>
        <v>#DIV/0!</v>
      </c>
    </row>
    <row r="30" spans="1:19" ht="18" hidden="1" customHeight="1" outlineLevel="1" x14ac:dyDescent="0.15">
      <c r="A30" s="6"/>
      <c r="B30" s="11"/>
      <c r="C30" s="37"/>
      <c r="D30" s="41"/>
      <c r="E30" s="39"/>
      <c r="F30" s="40"/>
      <c r="G30" s="40"/>
      <c r="H30" s="40"/>
      <c r="I30" s="40"/>
      <c r="J30" s="40"/>
      <c r="K30" s="40"/>
      <c r="L30" s="40"/>
      <c r="M30" s="40"/>
      <c r="N30" s="40"/>
      <c r="O30" s="40"/>
      <c r="P30" s="40"/>
      <c r="Q30" s="37"/>
      <c r="R30" s="41">
        <f t="shared" si="0"/>
        <v>0</v>
      </c>
      <c r="S30" s="8" t="e">
        <f t="shared" si="1"/>
        <v>#DIV/0!</v>
      </c>
    </row>
    <row r="31" spans="1:19" ht="18" hidden="1" customHeight="1" outlineLevel="1" x14ac:dyDescent="0.15">
      <c r="A31" s="6"/>
      <c r="B31" s="11"/>
      <c r="C31" s="37"/>
      <c r="D31" s="41"/>
      <c r="E31" s="39"/>
      <c r="F31" s="40"/>
      <c r="G31" s="40"/>
      <c r="H31" s="40"/>
      <c r="I31" s="40"/>
      <c r="J31" s="40"/>
      <c r="K31" s="40"/>
      <c r="L31" s="40"/>
      <c r="M31" s="40"/>
      <c r="N31" s="40"/>
      <c r="O31" s="40"/>
      <c r="P31" s="40"/>
      <c r="Q31" s="37"/>
      <c r="R31" s="41">
        <f t="shared" si="0"/>
        <v>0</v>
      </c>
      <c r="S31" s="8" t="e">
        <f t="shared" si="1"/>
        <v>#DIV/0!</v>
      </c>
    </row>
    <row r="32" spans="1:19" ht="18" customHeight="1" collapsed="1" thickBot="1" x14ac:dyDescent="0.2">
      <c r="A32" s="6"/>
      <c r="B32" s="12"/>
      <c r="C32" s="34"/>
      <c r="D32" s="42"/>
      <c r="E32" s="36"/>
      <c r="F32" s="36"/>
      <c r="G32" s="36"/>
      <c r="H32" s="36"/>
      <c r="I32" s="36"/>
      <c r="J32" s="36"/>
      <c r="K32" s="36"/>
      <c r="L32" s="36"/>
      <c r="M32" s="36"/>
      <c r="N32" s="36"/>
      <c r="O32" s="36"/>
      <c r="P32" s="36"/>
      <c r="Q32" s="37"/>
      <c r="R32" s="42"/>
      <c r="S32" s="7"/>
    </row>
    <row r="33" spans="2:19" ht="18" customHeight="1" thickTop="1" x14ac:dyDescent="0.15">
      <c r="B33" s="13" t="s">
        <v>32</v>
      </c>
      <c r="C33" s="43">
        <f t="shared" ref="C33" si="2">SUM(C13:C32)</f>
        <v>1919</v>
      </c>
      <c r="D33" s="44">
        <f t="shared" ref="D33:R33" si="3">SUM(D13:D32)</f>
        <v>464</v>
      </c>
      <c r="E33" s="45">
        <f>SUM(E13:E32)</f>
        <v>1880</v>
      </c>
      <c r="F33" s="45">
        <f t="shared" si="3"/>
        <v>189</v>
      </c>
      <c r="G33" s="45">
        <f t="shared" ref="G33:H33" si="4">SUM(G13:G32)</f>
        <v>138</v>
      </c>
      <c r="H33" s="45">
        <f t="shared" si="4"/>
        <v>0</v>
      </c>
      <c r="I33" s="45">
        <f t="shared" ref="I33:J33" si="5">SUM(I13:I32)</f>
        <v>0</v>
      </c>
      <c r="J33" s="45">
        <f t="shared" si="5"/>
        <v>0</v>
      </c>
      <c r="K33" s="45">
        <f t="shared" ref="K33:O33" si="6">SUM(K13:K32)</f>
        <v>0</v>
      </c>
      <c r="L33" s="45">
        <f t="shared" si="6"/>
        <v>0</v>
      </c>
      <c r="M33" s="45">
        <f t="shared" si="6"/>
        <v>0</v>
      </c>
      <c r="N33" s="45">
        <f t="shared" si="6"/>
        <v>0</v>
      </c>
      <c r="O33" s="45">
        <f t="shared" si="6"/>
        <v>0</v>
      </c>
      <c r="P33" s="45">
        <f t="shared" ref="P33:Q33" si="7">SUM(P13:P32)</f>
        <v>0</v>
      </c>
      <c r="Q33" s="43">
        <f t="shared" si="7"/>
        <v>0</v>
      </c>
      <c r="R33" s="43">
        <f t="shared" si="3"/>
        <v>189</v>
      </c>
      <c r="S33" s="9">
        <f t="shared" si="1"/>
        <v>0.10053191489361703</v>
      </c>
    </row>
    <row r="40" spans="2:19" ht="18.75" customHeight="1" x14ac:dyDescent="0.15">
      <c r="F40" s="93"/>
      <c r="G40" s="93"/>
      <c r="H40" s="93"/>
      <c r="I40" s="93"/>
    </row>
    <row r="41" spans="2:19" ht="18.75" customHeight="1" x14ac:dyDescent="0.15">
      <c r="F41" s="93"/>
      <c r="G41" s="93"/>
      <c r="H41" s="93"/>
      <c r="I41" s="93"/>
    </row>
    <row r="42" spans="2:19" ht="18.75" customHeight="1" x14ac:dyDescent="0.15">
      <c r="F42" s="93"/>
      <c r="G42" s="93"/>
      <c r="H42" s="93"/>
      <c r="I42" s="93"/>
    </row>
    <row r="43" spans="2:19" ht="18.75" customHeight="1" x14ac:dyDescent="0.15">
      <c r="F43" s="93"/>
      <c r="G43" s="93"/>
      <c r="I43" s="93"/>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AA120"/>
  <sheetViews>
    <sheetView showZeros="0" tabSelected="1" view="pageBreakPreview" topLeftCell="A31" zoomScaleNormal="100" zoomScaleSheetLayoutView="100" workbookViewId="0">
      <selection activeCell="F45" sqref="F45:G45"/>
    </sheetView>
  </sheetViews>
  <sheetFormatPr defaultColWidth="11.375" defaultRowHeight="18.75" customHeight="1" x14ac:dyDescent="0.15"/>
  <cols>
    <col min="1" max="1" width="2.875" style="19"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13" ht="18.75" customHeight="1" x14ac:dyDescent="0.15">
      <c r="A1" s="19" t="s">
        <v>58</v>
      </c>
      <c r="I1" s="17" t="s">
        <v>199</v>
      </c>
    </row>
    <row r="2" spans="1:13" ht="18.75" customHeight="1" x14ac:dyDescent="0.15">
      <c r="G2" s="17" t="s">
        <v>91</v>
      </c>
      <c r="H2" s="97" t="str">
        <f>'様式１-2　プログラムを構成する授業科目(SGS)'!C2</f>
        <v>多摩大学</v>
      </c>
      <c r="I2" s="99"/>
    </row>
    <row r="3" spans="1:13" ht="18.75" customHeight="1" x14ac:dyDescent="0.15">
      <c r="G3" s="17"/>
      <c r="H3" s="10"/>
      <c r="I3" s="10"/>
    </row>
    <row r="4" spans="1:13" ht="18.600000000000001" customHeight="1" x14ac:dyDescent="0.15">
      <c r="A4" s="103" t="s">
        <v>35</v>
      </c>
      <c r="B4" s="103"/>
      <c r="C4" s="103"/>
      <c r="D4" s="103"/>
      <c r="E4" s="103"/>
      <c r="F4" s="103"/>
      <c r="G4" s="103"/>
      <c r="H4" s="103"/>
      <c r="I4" s="103"/>
    </row>
    <row r="5" spans="1:13" ht="13.35" customHeight="1" x14ac:dyDescent="0.15">
      <c r="B5" s="3"/>
      <c r="C5" s="3"/>
      <c r="D5" s="3"/>
      <c r="E5" s="3"/>
      <c r="F5" s="3"/>
      <c r="G5" s="3"/>
      <c r="H5" s="3"/>
      <c r="I5" s="3"/>
    </row>
    <row r="6" spans="1:13" ht="18" customHeight="1" x14ac:dyDescent="0.15">
      <c r="A6" s="1" t="s">
        <v>0</v>
      </c>
      <c r="B6" s="10" t="s">
        <v>80</v>
      </c>
      <c r="C6" s="211" t="s">
        <v>81</v>
      </c>
      <c r="D6" s="211"/>
      <c r="E6" s="16">
        <v>57</v>
      </c>
      <c r="F6" s="3" t="s">
        <v>1</v>
      </c>
      <c r="G6" s="3" t="s">
        <v>2</v>
      </c>
      <c r="H6" s="86">
        <v>90</v>
      </c>
      <c r="I6" s="10" t="s">
        <v>1</v>
      </c>
      <c r="K6" s="1">
        <v>21</v>
      </c>
      <c r="M6" s="1">
        <v>45</v>
      </c>
    </row>
    <row r="7" spans="1:13" ht="12" customHeight="1" x14ac:dyDescent="0.15">
      <c r="C7" s="2"/>
      <c r="D7" s="2"/>
      <c r="E7" s="2"/>
      <c r="F7" s="2"/>
      <c r="G7" s="2"/>
      <c r="H7" s="2"/>
      <c r="I7" s="20"/>
    </row>
    <row r="8" spans="1:13" ht="18" customHeight="1" x14ac:dyDescent="0.15">
      <c r="A8" s="1" t="s">
        <v>3</v>
      </c>
      <c r="B8" s="10" t="s">
        <v>82</v>
      </c>
      <c r="E8" s="3"/>
      <c r="F8" s="3"/>
      <c r="G8" s="3"/>
      <c r="H8" s="86">
        <v>11</v>
      </c>
      <c r="I8" s="10" t="s">
        <v>1</v>
      </c>
    </row>
    <row r="9" spans="1:13" ht="9" customHeight="1" x14ac:dyDescent="0.15">
      <c r="B9" s="3"/>
      <c r="C9" s="3"/>
      <c r="D9" s="3"/>
      <c r="E9" s="3"/>
      <c r="F9" s="3"/>
      <c r="G9" s="3"/>
      <c r="H9" s="3"/>
      <c r="I9" s="3"/>
    </row>
    <row r="10" spans="1:13" ht="18" customHeight="1" x14ac:dyDescent="0.15">
      <c r="A10" s="1" t="s">
        <v>4</v>
      </c>
      <c r="B10" s="10" t="s">
        <v>83</v>
      </c>
      <c r="C10" s="3"/>
      <c r="D10" s="3"/>
      <c r="E10" s="3"/>
      <c r="F10" s="3"/>
      <c r="G10" s="3"/>
      <c r="H10" s="3"/>
      <c r="I10" s="3"/>
    </row>
    <row r="11" spans="1:13" ht="18" customHeight="1" x14ac:dyDescent="0.15">
      <c r="B11" s="17" t="s">
        <v>40</v>
      </c>
      <c r="C11" s="206" t="s">
        <v>151</v>
      </c>
      <c r="D11" s="209"/>
      <c r="E11" s="210"/>
      <c r="F11" s="20"/>
      <c r="G11" s="17" t="s">
        <v>10</v>
      </c>
      <c r="H11" s="206" t="s">
        <v>152</v>
      </c>
      <c r="I11" s="210"/>
    </row>
    <row r="12" spans="1:13" ht="10.35" customHeight="1" x14ac:dyDescent="0.15">
      <c r="B12" s="17"/>
      <c r="C12" s="10"/>
      <c r="D12" s="20"/>
      <c r="E12" s="20"/>
      <c r="F12" s="20"/>
      <c r="G12" s="17"/>
      <c r="H12" s="10"/>
      <c r="I12" s="20"/>
    </row>
    <row r="13" spans="1:13" ht="18" customHeight="1" x14ac:dyDescent="0.15">
      <c r="A13" s="1" t="s">
        <v>7</v>
      </c>
      <c r="B13" s="10" t="s">
        <v>78</v>
      </c>
      <c r="C13" s="3"/>
      <c r="D13" s="3"/>
      <c r="E13" s="3"/>
      <c r="F13" s="3"/>
      <c r="G13" s="3"/>
      <c r="H13" s="3"/>
      <c r="I13" s="3"/>
    </row>
    <row r="14" spans="1:13" ht="18" customHeight="1" x14ac:dyDescent="0.15">
      <c r="B14" s="206" t="s">
        <v>204</v>
      </c>
      <c r="C14" s="207"/>
      <c r="D14" s="207"/>
      <c r="E14" s="207"/>
      <c r="F14" s="207"/>
      <c r="G14" s="207"/>
      <c r="H14" s="207"/>
      <c r="I14" s="208"/>
    </row>
    <row r="15" spans="1:13" ht="9" customHeight="1" x14ac:dyDescent="0.15">
      <c r="B15" s="3"/>
      <c r="C15" s="3"/>
      <c r="D15" s="3"/>
      <c r="E15" s="3"/>
      <c r="F15" s="3"/>
      <c r="G15" s="3"/>
      <c r="H15" s="3"/>
      <c r="I15" s="3"/>
    </row>
    <row r="16" spans="1:13" ht="18" customHeight="1" x14ac:dyDescent="0.15">
      <c r="B16" s="17" t="s">
        <v>40</v>
      </c>
      <c r="C16" s="206" t="s">
        <v>151</v>
      </c>
      <c r="D16" s="209"/>
      <c r="E16" s="210"/>
      <c r="F16" s="20"/>
      <c r="G16" s="17" t="s">
        <v>10</v>
      </c>
      <c r="H16" s="206" t="s">
        <v>152</v>
      </c>
      <c r="I16" s="210"/>
    </row>
    <row r="17" spans="1:9" ht="18" customHeight="1" x14ac:dyDescent="0.15">
      <c r="B17" s="3"/>
      <c r="C17" s="3"/>
      <c r="D17" s="3"/>
      <c r="E17" s="3"/>
      <c r="F17" s="3"/>
      <c r="G17" s="3"/>
      <c r="H17" s="3"/>
      <c r="I17" s="3"/>
    </row>
    <row r="18" spans="1:9" ht="18.75" customHeight="1" x14ac:dyDescent="0.15">
      <c r="A18" s="1" t="s">
        <v>5</v>
      </c>
      <c r="B18" s="1" t="s">
        <v>39</v>
      </c>
      <c r="I18" s="3"/>
    </row>
    <row r="19" spans="1:9" ht="18.75" customHeight="1" x14ac:dyDescent="0.15">
      <c r="A19" s="1"/>
      <c r="B19" s="185" t="s">
        <v>153</v>
      </c>
      <c r="C19" s="186"/>
      <c r="D19" s="186"/>
      <c r="E19" s="186"/>
      <c r="F19" s="186"/>
      <c r="G19" s="186"/>
      <c r="H19" s="186"/>
      <c r="I19" s="187"/>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4"/>
      <c r="B22" s="188" t="s">
        <v>161</v>
      </c>
      <c r="C22" s="189"/>
      <c r="D22" s="189"/>
      <c r="E22" s="189"/>
      <c r="F22" s="189"/>
      <c r="G22" s="189"/>
      <c r="H22" s="189"/>
      <c r="I22" s="190"/>
    </row>
    <row r="23" spans="1:9" ht="18.75" customHeight="1" x14ac:dyDescent="0.15">
      <c r="A23" s="14"/>
      <c r="B23" s="191"/>
      <c r="C23" s="192"/>
      <c r="D23" s="192"/>
      <c r="E23" s="192"/>
      <c r="F23" s="192"/>
      <c r="G23" s="192"/>
      <c r="H23" s="192"/>
      <c r="I23" s="193"/>
    </row>
    <row r="24" spans="1:9" ht="18.75" customHeight="1" x14ac:dyDescent="0.15">
      <c r="A24" s="14"/>
      <c r="B24" s="191"/>
      <c r="C24" s="192"/>
      <c r="D24" s="192"/>
      <c r="E24" s="192"/>
      <c r="F24" s="192"/>
      <c r="G24" s="192"/>
      <c r="H24" s="192"/>
      <c r="I24" s="193"/>
    </row>
    <row r="25" spans="1:9" ht="18.75" customHeight="1" x14ac:dyDescent="0.15">
      <c r="A25" s="14"/>
      <c r="B25" s="191"/>
      <c r="C25" s="192"/>
      <c r="D25" s="192"/>
      <c r="E25" s="192"/>
      <c r="F25" s="192"/>
      <c r="G25" s="192"/>
      <c r="H25" s="192"/>
      <c r="I25" s="193"/>
    </row>
    <row r="26" spans="1:9" ht="18.75" customHeight="1" x14ac:dyDescent="0.15">
      <c r="A26" s="14"/>
      <c r="B26" s="191"/>
      <c r="C26" s="192"/>
      <c r="D26" s="192"/>
      <c r="E26" s="192"/>
      <c r="F26" s="192"/>
      <c r="G26" s="192"/>
      <c r="H26" s="192"/>
      <c r="I26" s="193"/>
    </row>
    <row r="27" spans="1:9" ht="18.75" customHeight="1" x14ac:dyDescent="0.15">
      <c r="A27" s="14"/>
      <c r="B27" s="194"/>
      <c r="C27" s="195"/>
      <c r="D27" s="195"/>
      <c r="E27" s="195"/>
      <c r="F27" s="195"/>
      <c r="G27" s="195"/>
      <c r="H27" s="195"/>
      <c r="I27" s="196"/>
    </row>
    <row r="28" spans="1:9" ht="7.5" customHeight="1" x14ac:dyDescent="0.15">
      <c r="A28" s="14"/>
      <c r="B28" s="14"/>
      <c r="C28" s="14"/>
      <c r="D28" s="14"/>
      <c r="E28" s="14"/>
      <c r="F28" s="14"/>
      <c r="G28" s="14"/>
      <c r="H28" s="14"/>
      <c r="I28" s="14"/>
    </row>
    <row r="29" spans="1:9" ht="18.75" customHeight="1" x14ac:dyDescent="0.15">
      <c r="A29" s="15" t="s">
        <v>6</v>
      </c>
      <c r="B29" s="15" t="s">
        <v>9</v>
      </c>
      <c r="C29" s="10"/>
      <c r="D29" s="15"/>
      <c r="E29" s="15"/>
      <c r="F29" s="15"/>
      <c r="G29" s="15"/>
      <c r="H29" s="15"/>
      <c r="I29" s="15"/>
    </row>
    <row r="30" spans="1:9" ht="18.75" customHeight="1" x14ac:dyDescent="0.15">
      <c r="A30" s="14"/>
      <c r="B30" s="197" t="s">
        <v>193</v>
      </c>
      <c r="C30" s="198"/>
      <c r="D30" s="198"/>
      <c r="E30" s="198"/>
      <c r="F30" s="198"/>
      <c r="G30" s="198"/>
      <c r="H30" s="198"/>
      <c r="I30" s="199"/>
    </row>
    <row r="31" spans="1:9" ht="18.75" customHeight="1" x14ac:dyDescent="0.15">
      <c r="A31" s="14"/>
      <c r="B31" s="200"/>
      <c r="C31" s="201"/>
      <c r="D31" s="201"/>
      <c r="E31" s="201"/>
      <c r="F31" s="201"/>
      <c r="G31" s="201"/>
      <c r="H31" s="201"/>
      <c r="I31" s="202"/>
    </row>
    <row r="32" spans="1:9" ht="18.75" customHeight="1" x14ac:dyDescent="0.15">
      <c r="A32" s="14"/>
      <c r="B32" s="200"/>
      <c r="C32" s="201"/>
      <c r="D32" s="201"/>
      <c r="E32" s="201"/>
      <c r="F32" s="201"/>
      <c r="G32" s="201"/>
      <c r="H32" s="201"/>
      <c r="I32" s="202"/>
    </row>
    <row r="33" spans="1:27" ht="18.75" customHeight="1" x14ac:dyDescent="0.15">
      <c r="A33" s="14"/>
      <c r="B33" s="200"/>
      <c r="C33" s="201"/>
      <c r="D33" s="201"/>
      <c r="E33" s="201"/>
      <c r="F33" s="201"/>
      <c r="G33" s="201"/>
      <c r="H33" s="201"/>
      <c r="I33" s="202"/>
      <c r="Y33" s="1">
        <v>384</v>
      </c>
      <c r="AA33" s="1">
        <v>0.20425531914893616</v>
      </c>
    </row>
    <row r="34" spans="1:27" ht="18.75" customHeight="1" x14ac:dyDescent="0.15">
      <c r="A34" s="14"/>
      <c r="B34" s="200"/>
      <c r="C34" s="201"/>
      <c r="D34" s="201"/>
      <c r="E34" s="201"/>
      <c r="F34" s="201"/>
      <c r="G34" s="201"/>
      <c r="H34" s="201"/>
      <c r="I34" s="202"/>
      <c r="M34" s="92"/>
      <c r="O34" s="94"/>
      <c r="Y34" s="1">
        <v>576</v>
      </c>
      <c r="Z34" s="1">
        <v>30</v>
      </c>
      <c r="AA34" s="1">
        <v>0.32234042553191489</v>
      </c>
    </row>
    <row r="35" spans="1:27" ht="18.75" customHeight="1" x14ac:dyDescent="0.15">
      <c r="A35" s="14"/>
      <c r="B35" s="200"/>
      <c r="C35" s="201"/>
      <c r="D35" s="201"/>
      <c r="E35" s="201"/>
      <c r="F35" s="201"/>
      <c r="G35" s="201"/>
      <c r="H35" s="201"/>
      <c r="I35" s="202"/>
      <c r="M35" s="92"/>
      <c r="O35" s="94"/>
      <c r="Y35" s="1">
        <v>768</v>
      </c>
      <c r="Z35" s="1">
        <v>60</v>
      </c>
      <c r="AA35" s="1">
        <v>0.44042553191489364</v>
      </c>
    </row>
    <row r="36" spans="1:27" ht="18.75" customHeight="1" x14ac:dyDescent="0.15">
      <c r="A36" s="14"/>
      <c r="B36" s="200"/>
      <c r="C36" s="201"/>
      <c r="D36" s="201"/>
      <c r="E36" s="201"/>
      <c r="F36" s="201"/>
      <c r="G36" s="201"/>
      <c r="H36" s="201"/>
      <c r="I36" s="202"/>
      <c r="O36" s="94"/>
      <c r="Y36" s="1">
        <v>1024</v>
      </c>
      <c r="Z36" s="1">
        <v>120</v>
      </c>
      <c r="AA36" s="1">
        <v>0.60851063829787233</v>
      </c>
    </row>
    <row r="37" spans="1:27" ht="18.75" customHeight="1" x14ac:dyDescent="0.15">
      <c r="A37" s="14"/>
      <c r="B37" s="200"/>
      <c r="C37" s="201"/>
      <c r="D37" s="201"/>
      <c r="E37" s="201"/>
      <c r="F37" s="201"/>
      <c r="G37" s="201"/>
      <c r="H37" s="201"/>
      <c r="I37" s="202"/>
      <c r="O37" s="94"/>
    </row>
    <row r="38" spans="1:27" ht="18.75" customHeight="1" x14ac:dyDescent="0.15">
      <c r="A38" s="14"/>
      <c r="B38" s="200"/>
      <c r="C38" s="201"/>
      <c r="D38" s="201"/>
      <c r="E38" s="201"/>
      <c r="F38" s="201"/>
      <c r="G38" s="201"/>
      <c r="H38" s="201"/>
      <c r="I38" s="202"/>
    </row>
    <row r="39" spans="1:27" ht="18.75" customHeight="1" x14ac:dyDescent="0.15">
      <c r="A39" s="14"/>
      <c r="B39" s="200"/>
      <c r="C39" s="201"/>
      <c r="D39" s="201"/>
      <c r="E39" s="201"/>
      <c r="F39" s="201"/>
      <c r="G39" s="201"/>
      <c r="H39" s="201"/>
      <c r="I39" s="202"/>
    </row>
    <row r="40" spans="1:27" ht="18.75" customHeight="1" x14ac:dyDescent="0.15">
      <c r="A40" s="14"/>
      <c r="B40" s="200"/>
      <c r="C40" s="201"/>
      <c r="D40" s="201"/>
      <c r="E40" s="201"/>
      <c r="F40" s="201"/>
      <c r="G40" s="201"/>
      <c r="H40" s="201"/>
      <c r="I40" s="202"/>
      <c r="L40" s="92"/>
      <c r="M40" s="92"/>
      <c r="N40" s="92"/>
      <c r="O40" s="92"/>
      <c r="P40" s="92"/>
      <c r="Q40" s="92"/>
      <c r="R40" s="92"/>
      <c r="S40" s="92"/>
      <c r="T40" s="92"/>
    </row>
    <row r="41" spans="1:27" ht="18.75" customHeight="1" x14ac:dyDescent="0.15">
      <c r="A41" s="14"/>
      <c r="B41" s="203"/>
      <c r="C41" s="204"/>
      <c r="D41" s="204"/>
      <c r="E41" s="204"/>
      <c r="F41" s="204"/>
      <c r="G41" s="204"/>
      <c r="H41" s="204"/>
      <c r="I41" s="205"/>
      <c r="L41" s="92"/>
      <c r="M41" s="92"/>
      <c r="N41" s="92"/>
      <c r="O41" s="92"/>
      <c r="P41" s="92"/>
      <c r="Q41" s="92"/>
      <c r="R41" s="92"/>
      <c r="S41" s="92"/>
      <c r="T41" s="92"/>
    </row>
    <row r="42" spans="1:27" ht="7.5" customHeight="1" x14ac:dyDescent="0.15">
      <c r="A42" s="4"/>
      <c r="B42" s="4"/>
      <c r="C42" s="4"/>
      <c r="D42" s="4"/>
      <c r="E42" s="4"/>
      <c r="F42" s="4"/>
      <c r="G42" s="4"/>
      <c r="H42" s="4"/>
      <c r="I42" s="4"/>
      <c r="L42" s="92"/>
      <c r="M42" s="92"/>
      <c r="N42" s="92"/>
      <c r="O42" s="92"/>
      <c r="P42" s="92"/>
      <c r="Q42" s="92"/>
      <c r="R42" s="92"/>
      <c r="S42" s="92"/>
      <c r="T42" s="92"/>
    </row>
    <row r="43" spans="1:27" ht="18.75" customHeight="1" x14ac:dyDescent="0.15">
      <c r="A43" s="1" t="s">
        <v>30</v>
      </c>
      <c r="B43" s="1" t="s">
        <v>103</v>
      </c>
      <c r="L43" s="92"/>
      <c r="M43" s="92"/>
      <c r="N43" s="92"/>
      <c r="O43" s="92"/>
      <c r="P43" s="92"/>
      <c r="Q43" s="92"/>
      <c r="R43" s="92"/>
      <c r="S43" s="92"/>
      <c r="T43" s="92"/>
    </row>
    <row r="44" spans="1:27" s="3" customFormat="1" ht="18.75" customHeight="1" x14ac:dyDescent="0.15">
      <c r="B44" s="77" t="s">
        <v>128</v>
      </c>
      <c r="C44" s="235">
        <f>'様式２ 履修者等数の実績'!S33</f>
        <v>0.10053191489361703</v>
      </c>
      <c r="D44" s="235"/>
      <c r="E44" s="77" t="s">
        <v>59</v>
      </c>
      <c r="F44" s="235">
        <v>0.20426</v>
      </c>
      <c r="G44" s="235"/>
      <c r="H44" s="77" t="s">
        <v>79</v>
      </c>
      <c r="I44" s="21">
        <v>0.32234000000000002</v>
      </c>
      <c r="J44" s="1"/>
      <c r="L44" s="92"/>
      <c r="M44" s="92"/>
      <c r="N44" s="92"/>
      <c r="O44" s="92"/>
      <c r="P44" s="92"/>
      <c r="Q44" s="92"/>
      <c r="R44" s="92"/>
      <c r="S44" s="92"/>
      <c r="T44" s="92"/>
    </row>
    <row r="45" spans="1:27" s="3" customFormat="1" ht="18.75" customHeight="1" x14ac:dyDescent="0.15">
      <c r="B45" s="78" t="s">
        <v>114</v>
      </c>
      <c r="C45" s="218">
        <v>0.44042999999999999</v>
      </c>
      <c r="D45" s="218"/>
      <c r="E45" s="78" t="s">
        <v>129</v>
      </c>
      <c r="F45" s="218">
        <v>0.60851</v>
      </c>
      <c r="G45" s="218"/>
      <c r="H45" s="78" t="s">
        <v>60</v>
      </c>
      <c r="I45" s="22">
        <f>'様式２ 履修者等数の実績'!E33</f>
        <v>1880</v>
      </c>
      <c r="J45" s="1"/>
      <c r="L45" s="92"/>
      <c r="M45" s="92"/>
      <c r="N45" s="92"/>
      <c r="O45" s="92"/>
      <c r="P45" s="92"/>
      <c r="Q45" s="92"/>
      <c r="R45" s="92"/>
      <c r="S45" s="92"/>
      <c r="T45" s="92"/>
    </row>
    <row r="46" spans="1:27" ht="18.75" customHeight="1" x14ac:dyDescent="0.15">
      <c r="A46" s="1"/>
      <c r="B46" s="215" t="s">
        <v>61</v>
      </c>
      <c r="C46" s="216"/>
      <c r="D46" s="216"/>
      <c r="E46" s="216"/>
      <c r="F46" s="216"/>
      <c r="G46" s="216"/>
      <c r="H46" s="216"/>
      <c r="I46" s="217"/>
      <c r="L46" s="92"/>
      <c r="M46" s="92"/>
      <c r="N46" s="92"/>
      <c r="O46" s="92"/>
      <c r="P46" s="92"/>
      <c r="Q46" s="92"/>
      <c r="R46" s="92"/>
      <c r="S46" s="92"/>
      <c r="T46" s="92"/>
    </row>
    <row r="47" spans="1:27" ht="18.75" customHeight="1" x14ac:dyDescent="0.15">
      <c r="A47" s="1"/>
      <c r="B47" s="236" t="s">
        <v>194</v>
      </c>
      <c r="C47" s="237"/>
      <c r="D47" s="237"/>
      <c r="E47" s="237"/>
      <c r="F47" s="237"/>
      <c r="G47" s="237"/>
      <c r="H47" s="237"/>
      <c r="I47" s="238"/>
      <c r="L47" s="92"/>
      <c r="M47" s="92"/>
      <c r="N47" s="92"/>
      <c r="O47" s="92"/>
      <c r="P47" s="92"/>
      <c r="Q47" s="92"/>
      <c r="R47" s="92"/>
      <c r="S47" s="92"/>
      <c r="T47" s="92"/>
    </row>
    <row r="48" spans="1:27" ht="18.75" customHeight="1" x14ac:dyDescent="0.15">
      <c r="A48" s="1"/>
      <c r="B48" s="239"/>
      <c r="C48" s="240"/>
      <c r="D48" s="240"/>
      <c r="E48" s="240"/>
      <c r="F48" s="240"/>
      <c r="G48" s="240"/>
      <c r="H48" s="240"/>
      <c r="I48" s="241"/>
      <c r="L48" s="92"/>
      <c r="M48" s="92"/>
      <c r="N48" s="92"/>
      <c r="O48" s="92"/>
      <c r="P48" s="92"/>
      <c r="Q48" s="92"/>
      <c r="R48" s="92"/>
      <c r="S48" s="92"/>
      <c r="T48" s="92"/>
    </row>
    <row r="49" spans="1:23" ht="18.75" customHeight="1" x14ac:dyDescent="0.15">
      <c r="A49" s="1"/>
      <c r="B49" s="239"/>
      <c r="C49" s="240"/>
      <c r="D49" s="240"/>
      <c r="E49" s="240"/>
      <c r="F49" s="240"/>
      <c r="G49" s="240"/>
      <c r="H49" s="240"/>
      <c r="I49" s="241"/>
      <c r="L49" s="92"/>
      <c r="M49" s="92"/>
      <c r="N49" s="92"/>
      <c r="O49" s="92"/>
      <c r="P49" s="92"/>
      <c r="Q49" s="92"/>
      <c r="R49" s="92"/>
      <c r="S49" s="92"/>
      <c r="T49" s="92"/>
    </row>
    <row r="50" spans="1:23" ht="18.75" customHeight="1" x14ac:dyDescent="0.15">
      <c r="A50" s="1"/>
      <c r="B50" s="239"/>
      <c r="C50" s="240"/>
      <c r="D50" s="240"/>
      <c r="E50" s="240"/>
      <c r="F50" s="240"/>
      <c r="G50" s="240"/>
      <c r="H50" s="240"/>
      <c r="I50" s="241"/>
      <c r="L50" s="92"/>
      <c r="M50" s="92"/>
      <c r="N50" s="92"/>
      <c r="O50" s="92"/>
      <c r="P50" s="92"/>
      <c r="Q50" s="92"/>
      <c r="R50" s="92"/>
      <c r="S50" s="92"/>
      <c r="T50" s="92"/>
      <c r="U50" s="92"/>
    </row>
    <row r="51" spans="1:23" ht="18.75" customHeight="1" x14ac:dyDescent="0.15">
      <c r="A51" s="1"/>
      <c r="B51" s="239"/>
      <c r="C51" s="240"/>
      <c r="D51" s="240"/>
      <c r="E51" s="240"/>
      <c r="F51" s="240"/>
      <c r="G51" s="240"/>
      <c r="H51" s="240"/>
      <c r="I51" s="241"/>
      <c r="L51" s="92"/>
      <c r="M51" s="92"/>
      <c r="N51" s="92"/>
      <c r="O51" s="92"/>
      <c r="P51" s="92"/>
      <c r="Q51" s="92"/>
      <c r="R51" s="92"/>
      <c r="S51" s="92"/>
      <c r="T51" s="92"/>
      <c r="U51" s="92"/>
    </row>
    <row r="52" spans="1:23" ht="18.75" customHeight="1" x14ac:dyDescent="0.15">
      <c r="A52" s="1"/>
      <c r="B52" s="239"/>
      <c r="C52" s="240"/>
      <c r="D52" s="240"/>
      <c r="E52" s="240"/>
      <c r="F52" s="240"/>
      <c r="G52" s="240"/>
      <c r="H52" s="240"/>
      <c r="I52" s="241"/>
      <c r="L52" s="92"/>
      <c r="M52" s="92"/>
      <c r="N52" s="92"/>
      <c r="O52" s="92"/>
      <c r="P52" s="92"/>
      <c r="Q52" s="92"/>
      <c r="R52" s="92"/>
      <c r="S52" s="92"/>
      <c r="T52" s="92"/>
      <c r="U52" s="92"/>
    </row>
    <row r="53" spans="1:23" ht="18.75" customHeight="1" x14ac:dyDescent="0.15">
      <c r="A53" s="1"/>
      <c r="B53" s="239"/>
      <c r="C53" s="240"/>
      <c r="D53" s="240"/>
      <c r="E53" s="240"/>
      <c r="F53" s="240"/>
      <c r="G53" s="240"/>
      <c r="H53" s="240"/>
      <c r="I53" s="241"/>
      <c r="L53" s="92"/>
      <c r="M53" s="92"/>
      <c r="N53" s="92"/>
      <c r="O53" s="92"/>
      <c r="P53" s="92"/>
      <c r="Q53" s="92"/>
      <c r="R53" s="92"/>
      <c r="S53" s="92"/>
      <c r="T53" s="92"/>
      <c r="U53" s="92"/>
    </row>
    <row r="54" spans="1:23" s="92" customFormat="1" ht="18.75" customHeight="1" x14ac:dyDescent="0.15">
      <c r="B54" s="239"/>
      <c r="C54" s="240"/>
      <c r="D54" s="240"/>
      <c r="E54" s="240"/>
      <c r="F54" s="240"/>
      <c r="G54" s="240"/>
      <c r="H54" s="240"/>
      <c r="I54" s="241"/>
    </row>
    <row r="55" spans="1:23" s="92" customFormat="1" ht="18.75" customHeight="1" x14ac:dyDescent="0.15">
      <c r="B55" s="239"/>
      <c r="C55" s="240"/>
      <c r="D55" s="240"/>
      <c r="E55" s="240"/>
      <c r="F55" s="240"/>
      <c r="G55" s="240"/>
      <c r="H55" s="240"/>
      <c r="I55" s="241"/>
    </row>
    <row r="56" spans="1:23" s="92" customFormat="1" ht="18.75" customHeight="1" x14ac:dyDescent="0.15">
      <c r="B56" s="239"/>
      <c r="C56" s="240"/>
      <c r="D56" s="240"/>
      <c r="E56" s="240"/>
      <c r="F56" s="240"/>
      <c r="G56" s="240"/>
      <c r="H56" s="240"/>
      <c r="I56" s="241"/>
    </row>
    <row r="57" spans="1:23" s="92" customFormat="1" ht="18.75" customHeight="1" x14ac:dyDescent="0.15">
      <c r="B57" s="239"/>
      <c r="C57" s="240"/>
      <c r="D57" s="240"/>
      <c r="E57" s="240"/>
      <c r="F57" s="240"/>
      <c r="G57" s="240"/>
      <c r="H57" s="240"/>
      <c r="I57" s="241"/>
    </row>
    <row r="58" spans="1:23" ht="18.75" customHeight="1" x14ac:dyDescent="0.15">
      <c r="A58" s="1"/>
      <c r="B58" s="242"/>
      <c r="C58" s="243"/>
      <c r="D58" s="243"/>
      <c r="E58" s="243"/>
      <c r="F58" s="243"/>
      <c r="G58" s="243"/>
      <c r="H58" s="243"/>
      <c r="I58" s="244"/>
      <c r="K58" s="92"/>
      <c r="L58" s="92"/>
      <c r="M58" s="92"/>
      <c r="N58" s="92"/>
      <c r="O58" s="92"/>
      <c r="P58" s="92"/>
      <c r="Q58" s="92"/>
      <c r="R58" s="92"/>
      <c r="S58" s="92"/>
      <c r="T58" s="92"/>
      <c r="U58" s="92"/>
      <c r="V58" s="92"/>
    </row>
    <row r="59" spans="1:23" ht="7.5" customHeight="1" x14ac:dyDescent="0.15">
      <c r="A59" s="14"/>
      <c r="B59" s="14"/>
      <c r="C59" s="14"/>
      <c r="D59" s="14"/>
      <c r="E59" s="14"/>
      <c r="F59" s="14"/>
      <c r="G59" s="14"/>
      <c r="H59" s="14"/>
      <c r="I59" s="14"/>
      <c r="K59" s="92"/>
      <c r="L59" s="92"/>
      <c r="M59" s="92"/>
      <c r="N59" s="92"/>
      <c r="O59" s="92"/>
      <c r="P59" s="92"/>
      <c r="Q59" s="92"/>
      <c r="R59" s="92"/>
      <c r="S59" s="92"/>
      <c r="T59" s="92"/>
      <c r="U59" s="92"/>
      <c r="V59" s="92"/>
      <c r="W59" s="92"/>
    </row>
    <row r="60" spans="1:23" ht="18.75" customHeight="1" x14ac:dyDescent="0.15">
      <c r="A60" s="15" t="s">
        <v>33</v>
      </c>
      <c r="B60" s="1" t="s">
        <v>36</v>
      </c>
      <c r="I60" s="15"/>
      <c r="K60" s="92"/>
      <c r="L60" s="92"/>
      <c r="M60" s="92"/>
      <c r="N60" s="92"/>
      <c r="O60" s="92"/>
      <c r="P60" s="92"/>
      <c r="Q60" s="92"/>
      <c r="R60" s="92"/>
      <c r="S60" s="92"/>
      <c r="T60" s="92"/>
      <c r="U60" s="92"/>
      <c r="V60" s="92"/>
      <c r="W60" s="92"/>
    </row>
    <row r="61" spans="1:23" ht="18.75" customHeight="1" x14ac:dyDescent="0.15">
      <c r="A61" s="4"/>
      <c r="B61" s="219" t="s">
        <v>195</v>
      </c>
      <c r="C61" s="220"/>
      <c r="D61" s="220"/>
      <c r="E61" s="220"/>
      <c r="F61" s="220"/>
      <c r="G61" s="220"/>
      <c r="H61" s="220"/>
      <c r="I61" s="221"/>
      <c r="K61" s="92"/>
      <c r="L61" s="92"/>
      <c r="M61" s="92"/>
      <c r="N61" s="92"/>
      <c r="O61" s="92"/>
      <c r="P61" s="92"/>
      <c r="Q61" s="92"/>
      <c r="R61" s="92"/>
      <c r="S61" s="92"/>
      <c r="T61" s="92"/>
      <c r="U61" s="92"/>
      <c r="V61" s="92"/>
      <c r="W61" s="92"/>
    </row>
    <row r="62" spans="1:23" ht="18.75" customHeight="1" x14ac:dyDescent="0.15">
      <c r="A62" s="4"/>
      <c r="B62" s="222"/>
      <c r="C62" s="223"/>
      <c r="D62" s="223"/>
      <c r="E62" s="223"/>
      <c r="F62" s="223"/>
      <c r="G62" s="223"/>
      <c r="H62" s="223"/>
      <c r="I62" s="224"/>
      <c r="K62" s="92"/>
      <c r="L62" s="92"/>
      <c r="M62" s="92"/>
      <c r="N62" s="92"/>
      <c r="O62" s="92"/>
      <c r="P62" s="92"/>
      <c r="Q62" s="92"/>
      <c r="R62" s="92"/>
      <c r="S62" s="92"/>
      <c r="T62" s="92"/>
      <c r="U62" s="92"/>
      <c r="V62" s="92"/>
      <c r="W62" s="92"/>
    </row>
    <row r="63" spans="1:23" ht="18.75" customHeight="1" x14ac:dyDescent="0.15">
      <c r="A63" s="4"/>
      <c r="B63" s="222"/>
      <c r="C63" s="223"/>
      <c r="D63" s="223"/>
      <c r="E63" s="223"/>
      <c r="F63" s="223"/>
      <c r="G63" s="223"/>
      <c r="H63" s="223"/>
      <c r="I63" s="224"/>
      <c r="K63" s="92"/>
      <c r="L63" s="92"/>
      <c r="M63" s="92"/>
      <c r="N63" s="92"/>
      <c r="O63" s="92"/>
      <c r="P63" s="92"/>
      <c r="Q63" s="92"/>
      <c r="R63" s="92"/>
      <c r="S63" s="92"/>
      <c r="T63" s="92"/>
      <c r="U63" s="92"/>
      <c r="V63" s="92"/>
      <c r="W63" s="92"/>
    </row>
    <row r="64" spans="1:23" s="92" customFormat="1" ht="18.75" customHeight="1" x14ac:dyDescent="0.15">
      <c r="A64" s="4"/>
      <c r="B64" s="222"/>
      <c r="C64" s="223"/>
      <c r="D64" s="223"/>
      <c r="E64" s="223"/>
      <c r="F64" s="223"/>
      <c r="G64" s="223"/>
      <c r="H64" s="223"/>
      <c r="I64" s="224"/>
    </row>
    <row r="65" spans="1:23" s="92" customFormat="1" ht="18.75" customHeight="1" x14ac:dyDescent="0.15">
      <c r="A65" s="4"/>
      <c r="B65" s="222"/>
      <c r="C65" s="223"/>
      <c r="D65" s="223"/>
      <c r="E65" s="223"/>
      <c r="F65" s="223"/>
      <c r="G65" s="223"/>
      <c r="H65" s="223"/>
      <c r="I65" s="224"/>
    </row>
    <row r="66" spans="1:23" s="92" customFormat="1" ht="18.75" customHeight="1" x14ac:dyDescent="0.15">
      <c r="A66" s="4"/>
      <c r="B66" s="222"/>
      <c r="C66" s="223"/>
      <c r="D66" s="223"/>
      <c r="E66" s="223"/>
      <c r="F66" s="223"/>
      <c r="G66" s="223"/>
      <c r="H66" s="223"/>
      <c r="I66" s="224"/>
    </row>
    <row r="67" spans="1:23" s="92" customFormat="1" ht="18.75" customHeight="1" x14ac:dyDescent="0.15">
      <c r="A67" s="4"/>
      <c r="B67" s="222"/>
      <c r="C67" s="223"/>
      <c r="D67" s="223"/>
      <c r="E67" s="223"/>
      <c r="F67" s="223"/>
      <c r="G67" s="223"/>
      <c r="H67" s="223"/>
      <c r="I67" s="224"/>
    </row>
    <row r="68" spans="1:23" ht="18.75" customHeight="1" x14ac:dyDescent="0.15">
      <c r="A68" s="4"/>
      <c r="B68" s="225"/>
      <c r="C68" s="226"/>
      <c r="D68" s="226"/>
      <c r="E68" s="226"/>
      <c r="F68" s="226"/>
      <c r="G68" s="226"/>
      <c r="H68" s="226"/>
      <c r="I68" s="227"/>
      <c r="K68" s="92"/>
      <c r="L68" s="92"/>
      <c r="M68" s="92"/>
      <c r="N68" s="92"/>
      <c r="O68" s="92"/>
      <c r="P68" s="92"/>
      <c r="Q68" s="92"/>
      <c r="R68" s="92"/>
      <c r="S68" s="92"/>
      <c r="T68" s="92"/>
      <c r="U68" s="92"/>
      <c r="V68" s="92"/>
      <c r="W68" s="92"/>
    </row>
    <row r="69" spans="1:23" ht="7.5" customHeight="1" x14ac:dyDescent="0.15">
      <c r="A69" s="4"/>
      <c r="B69" s="4"/>
      <c r="C69" s="4"/>
      <c r="D69" s="4"/>
      <c r="E69" s="4"/>
      <c r="F69" s="4"/>
      <c r="G69" s="4"/>
      <c r="H69" s="4"/>
      <c r="I69" s="4"/>
      <c r="K69" s="92"/>
      <c r="L69" s="92"/>
      <c r="M69" s="92"/>
      <c r="N69" s="92"/>
      <c r="O69" s="92"/>
      <c r="P69" s="92"/>
      <c r="Q69" s="92"/>
      <c r="R69" s="92"/>
      <c r="S69" s="92"/>
      <c r="T69" s="92"/>
      <c r="U69" s="92"/>
      <c r="V69" s="92"/>
      <c r="W69" s="92"/>
    </row>
    <row r="70" spans="1:23" ht="18.75" customHeight="1" x14ac:dyDescent="0.15">
      <c r="A70" s="1" t="s">
        <v>11</v>
      </c>
      <c r="B70" s="1" t="s">
        <v>38</v>
      </c>
      <c r="K70" s="92"/>
      <c r="L70" s="92"/>
      <c r="M70" s="92"/>
      <c r="N70" s="92"/>
      <c r="O70" s="92"/>
      <c r="P70" s="92"/>
      <c r="Q70" s="92"/>
      <c r="R70" s="92"/>
      <c r="S70" s="92"/>
      <c r="T70" s="92"/>
      <c r="U70" s="92"/>
      <c r="V70" s="92"/>
      <c r="W70" s="92"/>
    </row>
    <row r="71" spans="1:23" ht="18.75" customHeight="1" x14ac:dyDescent="0.15">
      <c r="A71" s="1"/>
      <c r="B71" s="219" t="s">
        <v>196</v>
      </c>
      <c r="C71" s="220"/>
      <c r="D71" s="220"/>
      <c r="E71" s="220"/>
      <c r="F71" s="220"/>
      <c r="G71" s="220"/>
      <c r="H71" s="220"/>
      <c r="I71" s="228"/>
      <c r="K71" s="92"/>
      <c r="L71" s="92"/>
      <c r="M71" s="92"/>
      <c r="N71" s="92"/>
      <c r="O71" s="92"/>
      <c r="P71" s="92"/>
      <c r="Q71" s="92"/>
      <c r="R71" s="92"/>
      <c r="S71" s="92"/>
      <c r="T71" s="92"/>
      <c r="U71" s="92"/>
      <c r="V71" s="92"/>
      <c r="W71" s="92"/>
    </row>
    <row r="72" spans="1:23" ht="18.75" customHeight="1" x14ac:dyDescent="0.15">
      <c r="A72" s="1"/>
      <c r="B72" s="229"/>
      <c r="C72" s="230"/>
      <c r="D72" s="230"/>
      <c r="E72" s="230"/>
      <c r="F72" s="230"/>
      <c r="G72" s="230"/>
      <c r="H72" s="230"/>
      <c r="I72" s="231"/>
      <c r="K72" s="92"/>
      <c r="L72" s="92"/>
      <c r="M72" s="92"/>
      <c r="N72" s="92"/>
      <c r="O72" s="92"/>
      <c r="P72" s="92"/>
      <c r="Q72" s="92"/>
      <c r="R72" s="92"/>
      <c r="S72" s="92"/>
      <c r="T72" s="92"/>
      <c r="U72" s="92"/>
      <c r="V72" s="92"/>
      <c r="W72" s="92"/>
    </row>
    <row r="73" spans="1:23" ht="18.75" customHeight="1" x14ac:dyDescent="0.15">
      <c r="A73" s="1"/>
      <c r="B73" s="229"/>
      <c r="C73" s="230"/>
      <c r="D73" s="230"/>
      <c r="E73" s="230"/>
      <c r="F73" s="230"/>
      <c r="G73" s="230"/>
      <c r="H73" s="230"/>
      <c r="I73" s="231"/>
      <c r="K73" s="92"/>
      <c r="L73" s="92"/>
      <c r="M73" s="92"/>
      <c r="N73" s="92"/>
      <c r="O73" s="92"/>
      <c r="P73" s="92"/>
      <c r="Q73" s="92"/>
      <c r="R73" s="92"/>
      <c r="S73" s="92"/>
      <c r="T73" s="92"/>
      <c r="U73" s="92"/>
      <c r="V73" s="92"/>
      <c r="W73" s="92"/>
    </row>
    <row r="74" spans="1:23" ht="18.75" customHeight="1" x14ac:dyDescent="0.15">
      <c r="A74" s="1"/>
      <c r="B74" s="229"/>
      <c r="C74" s="230"/>
      <c r="D74" s="230"/>
      <c r="E74" s="230"/>
      <c r="F74" s="230"/>
      <c r="G74" s="230"/>
      <c r="H74" s="230"/>
      <c r="I74" s="231"/>
      <c r="K74" s="92"/>
      <c r="L74" s="92"/>
      <c r="M74" s="92"/>
      <c r="N74" s="92"/>
      <c r="O74" s="92"/>
      <c r="P74" s="92"/>
      <c r="Q74" s="92"/>
      <c r="R74" s="92"/>
      <c r="S74" s="92"/>
      <c r="T74" s="92"/>
      <c r="U74" s="92"/>
      <c r="V74" s="92"/>
      <c r="W74" s="92"/>
    </row>
    <row r="75" spans="1:23" s="92" customFormat="1" ht="18.75" customHeight="1" x14ac:dyDescent="0.15">
      <c r="B75" s="229"/>
      <c r="C75" s="230"/>
      <c r="D75" s="230"/>
      <c r="E75" s="230"/>
      <c r="F75" s="230"/>
      <c r="G75" s="230"/>
      <c r="H75" s="230"/>
      <c r="I75" s="231"/>
      <c r="L75" s="4"/>
      <c r="M75" s="95"/>
      <c r="N75" s="95"/>
      <c r="O75" s="95"/>
      <c r="P75" s="95"/>
      <c r="Q75" s="95"/>
      <c r="R75" s="95"/>
      <c r="S75" s="95"/>
      <c r="T75" s="95"/>
    </row>
    <row r="76" spans="1:23" s="92" customFormat="1" ht="18.75" customHeight="1" x14ac:dyDescent="0.15">
      <c r="B76" s="229"/>
      <c r="C76" s="230"/>
      <c r="D76" s="230"/>
      <c r="E76" s="230"/>
      <c r="F76" s="230"/>
      <c r="G76" s="230"/>
      <c r="H76" s="230"/>
      <c r="I76" s="231"/>
      <c r="L76" s="4"/>
      <c r="M76" s="95"/>
      <c r="N76" s="95"/>
      <c r="O76" s="95"/>
      <c r="P76" s="95"/>
      <c r="Q76" s="95"/>
      <c r="R76" s="95"/>
      <c r="S76" s="95"/>
      <c r="T76" s="95"/>
    </row>
    <row r="77" spans="1:23" s="92" customFormat="1" ht="18.75" customHeight="1" x14ac:dyDescent="0.15">
      <c r="B77" s="229"/>
      <c r="C77" s="230"/>
      <c r="D77" s="230"/>
      <c r="E77" s="230"/>
      <c r="F77" s="230"/>
      <c r="G77" s="230"/>
      <c r="H77" s="230"/>
      <c r="I77" s="231"/>
      <c r="L77" s="4"/>
      <c r="M77" s="95"/>
      <c r="N77" s="95"/>
      <c r="O77" s="95"/>
      <c r="P77" s="95"/>
      <c r="Q77" s="95"/>
      <c r="R77" s="95"/>
      <c r="S77" s="95"/>
      <c r="T77" s="95"/>
    </row>
    <row r="78" spans="1:23" s="92" customFormat="1" ht="18.75" customHeight="1" x14ac:dyDescent="0.15">
      <c r="B78" s="229"/>
      <c r="C78" s="230"/>
      <c r="D78" s="230"/>
      <c r="E78" s="230"/>
      <c r="F78" s="230"/>
      <c r="G78" s="230"/>
      <c r="H78" s="230"/>
      <c r="I78" s="231"/>
      <c r="L78" s="4"/>
      <c r="M78" s="95"/>
      <c r="N78" s="95"/>
      <c r="O78" s="95"/>
      <c r="P78" s="95"/>
      <c r="Q78" s="95"/>
      <c r="R78" s="95"/>
      <c r="S78" s="95"/>
      <c r="T78" s="95"/>
    </row>
    <row r="79" spans="1:23" ht="18.75" customHeight="1" x14ac:dyDescent="0.15">
      <c r="A79" s="4"/>
      <c r="B79" s="229"/>
      <c r="C79" s="230"/>
      <c r="D79" s="230"/>
      <c r="E79" s="230"/>
      <c r="F79" s="230"/>
      <c r="G79" s="230"/>
      <c r="H79" s="230"/>
      <c r="I79" s="231"/>
    </row>
    <row r="80" spans="1:23" ht="18.75" customHeight="1" x14ac:dyDescent="0.15">
      <c r="A80" s="4"/>
      <c r="B80" s="232"/>
      <c r="C80" s="233"/>
      <c r="D80" s="233"/>
      <c r="E80" s="233"/>
      <c r="F80" s="233"/>
      <c r="G80" s="233"/>
      <c r="H80" s="233"/>
      <c r="I80" s="234"/>
    </row>
    <row r="81" spans="1:9" ht="7.5" customHeight="1" x14ac:dyDescent="0.15">
      <c r="A81" s="4"/>
      <c r="B81" s="4"/>
      <c r="C81" s="4"/>
      <c r="D81" s="4"/>
      <c r="E81" s="4"/>
      <c r="F81" s="4"/>
      <c r="G81" s="4"/>
      <c r="H81" s="4"/>
      <c r="I81" s="4"/>
    </row>
    <row r="82" spans="1:9" ht="18.75" customHeight="1" x14ac:dyDescent="0.15">
      <c r="A82" s="1" t="s">
        <v>41</v>
      </c>
      <c r="B82" s="1" t="s">
        <v>12</v>
      </c>
    </row>
    <row r="83" spans="1:9" ht="18.75" customHeight="1" x14ac:dyDescent="0.15">
      <c r="A83" s="1"/>
      <c r="B83" s="188" t="s">
        <v>197</v>
      </c>
      <c r="C83" s="189"/>
      <c r="D83" s="189"/>
      <c r="E83" s="189"/>
      <c r="F83" s="189"/>
      <c r="G83" s="189"/>
      <c r="H83" s="189"/>
      <c r="I83" s="190"/>
    </row>
    <row r="84" spans="1:9" ht="18.75" customHeight="1" x14ac:dyDescent="0.15">
      <c r="A84" s="1"/>
      <c r="B84" s="212"/>
      <c r="C84" s="213"/>
      <c r="D84" s="213"/>
      <c r="E84" s="213"/>
      <c r="F84" s="213"/>
      <c r="G84" s="213"/>
      <c r="H84" s="213"/>
      <c r="I84" s="193"/>
    </row>
    <row r="85" spans="1:9" ht="18.75" customHeight="1" x14ac:dyDescent="0.15">
      <c r="A85" s="1"/>
      <c r="B85" s="212"/>
      <c r="C85" s="213"/>
      <c r="D85" s="213"/>
      <c r="E85" s="213"/>
      <c r="F85" s="213"/>
      <c r="G85" s="213"/>
      <c r="H85" s="213"/>
      <c r="I85" s="193"/>
    </row>
    <row r="86" spans="1:9" ht="18.75" customHeight="1" x14ac:dyDescent="0.15">
      <c r="A86" s="1"/>
      <c r="B86" s="212"/>
      <c r="C86" s="213"/>
      <c r="D86" s="213"/>
      <c r="E86" s="213"/>
      <c r="F86" s="213"/>
      <c r="G86" s="213"/>
      <c r="H86" s="213"/>
      <c r="I86" s="193"/>
    </row>
    <row r="87" spans="1:9" ht="18.75" customHeight="1" x14ac:dyDescent="0.15">
      <c r="A87" s="1"/>
      <c r="B87" s="212"/>
      <c r="C87" s="213"/>
      <c r="D87" s="213"/>
      <c r="E87" s="213"/>
      <c r="F87" s="213"/>
      <c r="G87" s="213"/>
      <c r="H87" s="213"/>
      <c r="I87" s="193"/>
    </row>
    <row r="88" spans="1:9" ht="18.75" customHeight="1" x14ac:dyDescent="0.15">
      <c r="A88" s="1"/>
      <c r="B88" s="212"/>
      <c r="C88" s="213"/>
      <c r="D88" s="213"/>
      <c r="E88" s="213"/>
      <c r="F88" s="213"/>
      <c r="G88" s="213"/>
      <c r="H88" s="213"/>
      <c r="I88" s="193"/>
    </row>
    <row r="89" spans="1:9" ht="18.75" customHeight="1" x14ac:dyDescent="0.15">
      <c r="A89" s="1"/>
      <c r="B89" s="212"/>
      <c r="C89" s="213"/>
      <c r="D89" s="213"/>
      <c r="E89" s="213"/>
      <c r="F89" s="213"/>
      <c r="G89" s="213"/>
      <c r="H89" s="213"/>
      <c r="I89" s="193"/>
    </row>
    <row r="90" spans="1:9" s="92" customFormat="1" ht="18.75" customHeight="1" x14ac:dyDescent="0.15">
      <c r="B90" s="212"/>
      <c r="C90" s="213"/>
      <c r="D90" s="213"/>
      <c r="E90" s="213"/>
      <c r="F90" s="213"/>
      <c r="G90" s="213"/>
      <c r="H90" s="213"/>
      <c r="I90" s="193"/>
    </row>
    <row r="91" spans="1:9" s="92" customFormat="1" ht="18.75" customHeight="1" x14ac:dyDescent="0.15">
      <c r="B91" s="212"/>
      <c r="C91" s="213"/>
      <c r="D91" s="213"/>
      <c r="E91" s="213"/>
      <c r="F91" s="213"/>
      <c r="G91" s="213"/>
      <c r="H91" s="213"/>
      <c r="I91" s="193"/>
    </row>
    <row r="92" spans="1:9" s="92" customFormat="1" ht="18.75" customHeight="1" x14ac:dyDescent="0.15">
      <c r="B92" s="212"/>
      <c r="C92" s="213"/>
      <c r="D92" s="213"/>
      <c r="E92" s="213"/>
      <c r="F92" s="213"/>
      <c r="G92" s="213"/>
      <c r="H92" s="213"/>
      <c r="I92" s="193"/>
    </row>
    <row r="93" spans="1:9" s="92" customFormat="1" ht="18.75" customHeight="1" x14ac:dyDescent="0.15">
      <c r="B93" s="212"/>
      <c r="C93" s="213"/>
      <c r="D93" s="213"/>
      <c r="E93" s="213"/>
      <c r="F93" s="213"/>
      <c r="G93" s="213"/>
      <c r="H93" s="213"/>
      <c r="I93" s="193"/>
    </row>
    <row r="94" spans="1:9" ht="18.75" customHeight="1" x14ac:dyDescent="0.15">
      <c r="A94" s="1"/>
      <c r="B94" s="212"/>
      <c r="C94" s="213"/>
      <c r="D94" s="213"/>
      <c r="E94" s="213"/>
      <c r="F94" s="213"/>
      <c r="G94" s="213"/>
      <c r="H94" s="213"/>
      <c r="I94" s="193"/>
    </row>
    <row r="95" spans="1:9" ht="18.75" customHeight="1" x14ac:dyDescent="0.15">
      <c r="A95" s="4"/>
      <c r="B95" s="194"/>
      <c r="C95" s="195"/>
      <c r="D95" s="195"/>
      <c r="E95" s="195"/>
      <c r="F95" s="195"/>
      <c r="G95" s="195"/>
      <c r="H95" s="195"/>
      <c r="I95" s="196"/>
    </row>
    <row r="96" spans="1:9" ht="7.5" customHeight="1" x14ac:dyDescent="0.15">
      <c r="A96" s="4"/>
      <c r="B96" s="4"/>
      <c r="C96" s="4"/>
      <c r="D96" s="4"/>
      <c r="E96" s="4"/>
      <c r="F96" s="4"/>
      <c r="G96" s="4"/>
      <c r="H96" s="4"/>
      <c r="I96" s="4"/>
    </row>
    <row r="97" spans="1:9" ht="18.75" customHeight="1" x14ac:dyDescent="0.15">
      <c r="A97" s="1" t="s">
        <v>29</v>
      </c>
      <c r="B97" s="214" t="s">
        <v>43</v>
      </c>
      <c r="C97" s="214"/>
      <c r="D97" s="214"/>
      <c r="E97" s="214"/>
      <c r="F97" s="214"/>
      <c r="G97" s="214"/>
      <c r="H97" s="214"/>
      <c r="I97" s="214"/>
    </row>
    <row r="98" spans="1:9" ht="18.75" customHeight="1" x14ac:dyDescent="0.15">
      <c r="A98" s="4"/>
      <c r="B98" s="188" t="s">
        <v>198</v>
      </c>
      <c r="C98" s="189"/>
      <c r="D98" s="189"/>
      <c r="E98" s="189"/>
      <c r="F98" s="189"/>
      <c r="G98" s="189"/>
      <c r="H98" s="189"/>
      <c r="I98" s="190"/>
    </row>
    <row r="99" spans="1:9" ht="18.75" customHeight="1" x14ac:dyDescent="0.15">
      <c r="A99" s="4"/>
      <c r="B99" s="212"/>
      <c r="C99" s="213"/>
      <c r="D99" s="213"/>
      <c r="E99" s="213"/>
      <c r="F99" s="213"/>
      <c r="G99" s="213"/>
      <c r="H99" s="213"/>
      <c r="I99" s="193"/>
    </row>
    <row r="100" spans="1:9" ht="18.75" customHeight="1" x14ac:dyDescent="0.15">
      <c r="A100" s="4"/>
      <c r="B100" s="212"/>
      <c r="C100" s="213"/>
      <c r="D100" s="213"/>
      <c r="E100" s="213"/>
      <c r="F100" s="213"/>
      <c r="G100" s="213"/>
      <c r="H100" s="213"/>
      <c r="I100" s="193"/>
    </row>
    <row r="101" spans="1:9" s="92" customFormat="1" ht="18.75" customHeight="1" x14ac:dyDescent="0.15">
      <c r="A101" s="4"/>
      <c r="B101" s="212"/>
      <c r="C101" s="213"/>
      <c r="D101" s="213"/>
      <c r="E101" s="213"/>
      <c r="F101" s="213"/>
      <c r="G101" s="213"/>
      <c r="H101" s="213"/>
      <c r="I101" s="193"/>
    </row>
    <row r="102" spans="1:9" s="92" customFormat="1" ht="18.75" customHeight="1" x14ac:dyDescent="0.15">
      <c r="A102" s="4"/>
      <c r="B102" s="212"/>
      <c r="C102" s="213"/>
      <c r="D102" s="213"/>
      <c r="E102" s="213"/>
      <c r="F102" s="213"/>
      <c r="G102" s="213"/>
      <c r="H102" s="213"/>
      <c r="I102" s="193"/>
    </row>
    <row r="103" spans="1:9" s="92" customFormat="1" ht="18.75" customHeight="1" x14ac:dyDescent="0.15">
      <c r="A103" s="4"/>
      <c r="B103" s="212"/>
      <c r="C103" s="213"/>
      <c r="D103" s="213"/>
      <c r="E103" s="213"/>
      <c r="F103" s="213"/>
      <c r="G103" s="213"/>
      <c r="H103" s="213"/>
      <c r="I103" s="193"/>
    </row>
    <row r="104" spans="1:9" s="92" customFormat="1" ht="18.75" customHeight="1" x14ac:dyDescent="0.15">
      <c r="A104" s="4"/>
      <c r="B104" s="212"/>
      <c r="C104" s="213"/>
      <c r="D104" s="213"/>
      <c r="E104" s="213"/>
      <c r="F104" s="213"/>
      <c r="G104" s="213"/>
      <c r="H104" s="213"/>
      <c r="I104" s="193"/>
    </row>
    <row r="105" spans="1:9" ht="18.75" customHeight="1" x14ac:dyDescent="0.15">
      <c r="A105" s="4"/>
      <c r="B105" s="194"/>
      <c r="C105" s="195"/>
      <c r="D105" s="195"/>
      <c r="E105" s="195"/>
      <c r="F105" s="195"/>
      <c r="G105" s="195"/>
      <c r="H105" s="195"/>
      <c r="I105" s="196"/>
    </row>
    <row r="106" spans="1:9" ht="7.5" customHeight="1" x14ac:dyDescent="0.15">
      <c r="A106" s="4"/>
      <c r="B106" s="23"/>
      <c r="C106" s="23"/>
      <c r="D106" s="23"/>
      <c r="E106" s="23"/>
      <c r="F106" s="23"/>
      <c r="G106" s="23"/>
      <c r="H106" s="23"/>
      <c r="I106" s="23"/>
    </row>
    <row r="107" spans="1:9" ht="18.75" customHeight="1" x14ac:dyDescent="0.15">
      <c r="A107" s="48"/>
      <c r="B107" s="184"/>
      <c r="C107" s="184"/>
      <c r="D107" s="184"/>
      <c r="E107" s="184"/>
      <c r="F107" s="184"/>
      <c r="G107" s="184"/>
      <c r="H107" s="184"/>
      <c r="I107" s="184"/>
    </row>
    <row r="108" spans="1:9" ht="18.75" customHeight="1" x14ac:dyDescent="0.15">
      <c r="A108" s="48"/>
      <c r="B108" s="184"/>
      <c r="C108" s="184"/>
      <c r="D108" s="184"/>
      <c r="E108" s="184"/>
      <c r="F108" s="184"/>
      <c r="G108" s="184"/>
      <c r="H108" s="184"/>
      <c r="I108" s="184"/>
    </row>
    <row r="109" spans="1:9" ht="18.75" customHeight="1" x14ac:dyDescent="0.15">
      <c r="A109" s="4"/>
      <c r="B109" s="49"/>
      <c r="C109" s="49"/>
      <c r="D109" s="49"/>
      <c r="E109" s="49"/>
      <c r="F109" s="49"/>
      <c r="G109" s="49"/>
      <c r="H109" s="49"/>
      <c r="I109" s="50"/>
    </row>
    <row r="110" spans="1:9" ht="18.75" customHeight="1" x14ac:dyDescent="0.15">
      <c r="A110" s="4"/>
      <c r="B110" s="50"/>
      <c r="C110" s="50"/>
      <c r="D110" s="50"/>
      <c r="E110" s="50"/>
      <c r="F110" s="50"/>
      <c r="G110" s="50"/>
      <c r="H110" s="50"/>
      <c r="I110" s="50"/>
    </row>
    <row r="111" spans="1:9" ht="18.75" customHeight="1" x14ac:dyDescent="0.15">
      <c r="A111" s="4"/>
      <c r="B111" s="50"/>
      <c r="C111" s="50"/>
      <c r="D111" s="50"/>
      <c r="E111" s="50"/>
      <c r="F111" s="50"/>
      <c r="G111" s="50"/>
      <c r="H111" s="50"/>
      <c r="I111" s="50"/>
    </row>
    <row r="112" spans="1:9" ht="18.75" customHeight="1" x14ac:dyDescent="0.15">
      <c r="A112" s="4"/>
      <c r="B112" s="50"/>
      <c r="C112" s="50"/>
      <c r="D112" s="50"/>
      <c r="E112" s="50"/>
      <c r="F112" s="50"/>
      <c r="G112" s="50"/>
      <c r="H112" s="50"/>
      <c r="I112" s="50"/>
    </row>
    <row r="113" spans="1:9" ht="18.75" customHeight="1" x14ac:dyDescent="0.15">
      <c r="A113" s="4"/>
      <c r="B113" s="50"/>
      <c r="C113" s="50"/>
      <c r="D113" s="50"/>
      <c r="E113" s="50"/>
      <c r="F113" s="50"/>
      <c r="G113" s="50"/>
      <c r="H113" s="50"/>
      <c r="I113" s="50"/>
    </row>
    <row r="114" spans="1:9" ht="18.75" customHeight="1" x14ac:dyDescent="0.15">
      <c r="A114" s="4"/>
      <c r="B114" s="50"/>
      <c r="C114" s="50"/>
      <c r="D114" s="50"/>
      <c r="E114" s="50"/>
      <c r="F114" s="50"/>
      <c r="G114" s="50"/>
      <c r="H114" s="50"/>
      <c r="I114" s="50"/>
    </row>
    <row r="115" spans="1:9" ht="18.75" customHeight="1" x14ac:dyDescent="0.15">
      <c r="A115" s="4"/>
      <c r="B115" s="50"/>
      <c r="C115" s="50"/>
      <c r="D115" s="50"/>
      <c r="E115" s="50"/>
      <c r="F115" s="50"/>
      <c r="G115" s="50"/>
      <c r="H115" s="50"/>
      <c r="I115" s="50"/>
    </row>
    <row r="116" spans="1:9" ht="18.75" customHeight="1" x14ac:dyDescent="0.15">
      <c r="A116" s="4"/>
      <c r="B116" s="50"/>
      <c r="C116" s="50"/>
      <c r="D116" s="50"/>
      <c r="E116" s="50"/>
      <c r="F116" s="50"/>
      <c r="G116" s="50"/>
      <c r="H116" s="50"/>
      <c r="I116" s="50"/>
    </row>
    <row r="117" spans="1:9" ht="18.75" customHeight="1" x14ac:dyDescent="0.15">
      <c r="A117" s="4"/>
      <c r="B117" s="50"/>
      <c r="C117" s="50"/>
      <c r="D117" s="50"/>
      <c r="E117" s="50"/>
      <c r="F117" s="50"/>
      <c r="G117" s="50"/>
      <c r="H117" s="50"/>
      <c r="I117" s="50"/>
    </row>
    <row r="118" spans="1:9" ht="18.75" customHeight="1" x14ac:dyDescent="0.15">
      <c r="A118" s="4"/>
      <c r="B118" s="50"/>
      <c r="C118" s="50"/>
      <c r="D118" s="50"/>
      <c r="E118" s="50"/>
      <c r="F118" s="50"/>
      <c r="G118" s="50"/>
      <c r="H118" s="50"/>
      <c r="I118" s="50"/>
    </row>
    <row r="119" spans="1:9" ht="14.25" x14ac:dyDescent="0.15">
      <c r="A119" s="4"/>
      <c r="B119" s="50"/>
      <c r="C119" s="50"/>
      <c r="D119" s="50"/>
      <c r="E119" s="50"/>
      <c r="F119" s="50"/>
      <c r="G119" s="50"/>
      <c r="H119" s="50"/>
      <c r="I119" s="50"/>
    </row>
    <row r="120" spans="1:9" ht="7.5" customHeight="1" x14ac:dyDescent="0.15">
      <c r="A120" s="4"/>
      <c r="B120" s="50"/>
      <c r="C120" s="50"/>
      <c r="D120" s="50"/>
      <c r="E120" s="50"/>
      <c r="F120" s="50"/>
      <c r="G120" s="50"/>
      <c r="H120" s="50"/>
      <c r="I120" s="50"/>
    </row>
  </sheetData>
  <mergeCells count="23">
    <mergeCell ref="F45:G45"/>
    <mergeCell ref="B61:I68"/>
    <mergeCell ref="B71:I80"/>
    <mergeCell ref="C44:D44"/>
    <mergeCell ref="C45:D45"/>
    <mergeCell ref="F44:G44"/>
    <mergeCell ref="B47:I58"/>
    <mergeCell ref="B107:I108"/>
    <mergeCell ref="H2:I2"/>
    <mergeCell ref="A4:I4"/>
    <mergeCell ref="B19:I19"/>
    <mergeCell ref="B22:I27"/>
    <mergeCell ref="B30:I41"/>
    <mergeCell ref="B14:I14"/>
    <mergeCell ref="C16:E16"/>
    <mergeCell ref="H16:I16"/>
    <mergeCell ref="C11:E11"/>
    <mergeCell ref="H11:I11"/>
    <mergeCell ref="C6:D6"/>
    <mergeCell ref="B83:I95"/>
    <mergeCell ref="B97:I97"/>
    <mergeCell ref="B98:I105"/>
    <mergeCell ref="B46:I46"/>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2" max="8" man="1"/>
    <brk id="80" max="8"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20" zoomScaleNormal="100" zoomScaleSheetLayoutView="100" workbookViewId="0">
      <selection activeCell="B6" sqref="B6:H6"/>
    </sheetView>
  </sheetViews>
  <sheetFormatPr defaultColWidth="11.375" defaultRowHeight="22.5" customHeight="1" x14ac:dyDescent="0.15"/>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x14ac:dyDescent="0.15">
      <c r="A1" s="1" t="s">
        <v>62</v>
      </c>
      <c r="I1" s="17" t="s">
        <v>89</v>
      </c>
    </row>
    <row r="2" spans="1:9" ht="18.75" customHeight="1" x14ac:dyDescent="0.15">
      <c r="H2" s="17" t="s">
        <v>91</v>
      </c>
      <c r="I2" s="16" t="str">
        <f>'様式１-2　プログラムを構成する授業科目(SGS)'!C2</f>
        <v>多摩大学</v>
      </c>
    </row>
    <row r="3" spans="1:9" ht="18.75" customHeight="1" x14ac:dyDescent="0.15">
      <c r="A3" s="103" t="s">
        <v>27</v>
      </c>
      <c r="B3" s="103"/>
      <c r="C3" s="103"/>
      <c r="D3" s="103"/>
      <c r="E3" s="103"/>
      <c r="F3" s="103"/>
      <c r="G3" s="103"/>
      <c r="H3" s="103"/>
      <c r="I3" s="103"/>
    </row>
    <row r="4" spans="1:9" ht="18.75" customHeight="1" x14ac:dyDescent="0.15">
      <c r="A4" s="5"/>
      <c r="B4" s="5"/>
      <c r="C4" s="5"/>
      <c r="D4" s="5"/>
      <c r="E4" s="5"/>
      <c r="F4" s="5"/>
      <c r="G4" s="5"/>
      <c r="H4" s="5"/>
      <c r="I4" s="5"/>
    </row>
    <row r="5" spans="1:9" ht="18.75" customHeight="1" x14ac:dyDescent="0.15">
      <c r="A5" s="1" t="s">
        <v>0</v>
      </c>
      <c r="B5" s="10" t="s">
        <v>84</v>
      </c>
      <c r="C5" s="5"/>
      <c r="D5" s="5"/>
      <c r="E5" s="5"/>
      <c r="F5" s="5"/>
      <c r="G5" s="5"/>
      <c r="H5" s="5"/>
      <c r="I5" s="5"/>
    </row>
    <row r="6" spans="1:9" ht="26.25" customHeight="1" x14ac:dyDescent="0.15">
      <c r="A6" s="5"/>
      <c r="B6" s="206" t="s">
        <v>203</v>
      </c>
      <c r="C6" s="252"/>
      <c r="D6" s="252"/>
      <c r="E6" s="252"/>
      <c r="F6" s="252"/>
      <c r="G6" s="252"/>
      <c r="H6" s="253"/>
      <c r="I6" s="3"/>
    </row>
    <row r="7" spans="1:9" ht="9" customHeight="1" x14ac:dyDescent="0.15">
      <c r="A7" s="5"/>
      <c r="B7" s="10"/>
      <c r="C7" s="10"/>
      <c r="D7" s="10"/>
      <c r="E7" s="10"/>
      <c r="F7" s="10"/>
      <c r="G7" s="10"/>
      <c r="H7" s="10"/>
      <c r="I7" s="3"/>
    </row>
    <row r="8" spans="1:9" ht="18.75" customHeight="1" x14ac:dyDescent="0.15">
      <c r="A8" s="5"/>
      <c r="B8" s="3"/>
      <c r="C8" s="3"/>
      <c r="D8" s="17" t="s">
        <v>40</v>
      </c>
      <c r="E8" s="18" t="s">
        <v>154</v>
      </c>
      <c r="F8" s="3"/>
      <c r="G8" s="17" t="s">
        <v>10</v>
      </c>
      <c r="H8" s="18" t="s">
        <v>188</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97" t="s">
        <v>23</v>
      </c>
      <c r="C11" s="98"/>
      <c r="D11" s="99"/>
      <c r="E11" s="98" t="s">
        <v>25</v>
      </c>
      <c r="F11" s="98"/>
      <c r="G11" s="98"/>
      <c r="H11" s="98"/>
      <c r="I11" s="99"/>
    </row>
    <row r="12" spans="1:9" ht="26.25" customHeight="1" x14ac:dyDescent="0.15">
      <c r="B12" s="24" t="s">
        <v>13</v>
      </c>
      <c r="C12" s="31"/>
      <c r="D12" s="25"/>
      <c r="E12" s="32"/>
      <c r="F12" s="32"/>
      <c r="G12" s="32"/>
      <c r="H12" s="32"/>
      <c r="I12" s="25"/>
    </row>
    <row r="13" spans="1:9" ht="168.6" customHeight="1" x14ac:dyDescent="0.15">
      <c r="B13" s="26"/>
      <c r="C13" s="250" t="s">
        <v>14</v>
      </c>
      <c r="D13" s="251"/>
      <c r="E13" s="247" t="s">
        <v>156</v>
      </c>
      <c r="F13" s="248"/>
      <c r="G13" s="248"/>
      <c r="H13" s="248"/>
      <c r="I13" s="249"/>
    </row>
    <row r="14" spans="1:9" ht="210.75" customHeight="1" x14ac:dyDescent="0.15">
      <c r="B14" s="26"/>
      <c r="C14" s="245" t="s">
        <v>15</v>
      </c>
      <c r="D14" s="246"/>
      <c r="E14" s="247" t="s">
        <v>157</v>
      </c>
      <c r="F14" s="248"/>
      <c r="G14" s="248"/>
      <c r="H14" s="248"/>
      <c r="I14" s="249"/>
    </row>
    <row r="15" spans="1:9" ht="210.75" customHeight="1" x14ac:dyDescent="0.15">
      <c r="B15" s="26"/>
      <c r="C15" s="250" t="s">
        <v>16</v>
      </c>
      <c r="D15" s="251"/>
      <c r="E15" s="254" t="s">
        <v>192</v>
      </c>
      <c r="F15" s="255"/>
      <c r="G15" s="255"/>
      <c r="H15" s="255"/>
      <c r="I15" s="256"/>
    </row>
    <row r="16" spans="1:9" ht="210.75" customHeight="1" x14ac:dyDescent="0.15">
      <c r="B16" s="26"/>
      <c r="C16" s="250" t="s">
        <v>17</v>
      </c>
      <c r="D16" s="251"/>
      <c r="E16" s="254" t="s">
        <v>191</v>
      </c>
      <c r="F16" s="255"/>
      <c r="G16" s="255"/>
      <c r="H16" s="255"/>
      <c r="I16" s="256"/>
    </row>
    <row r="17" spans="2:9" ht="210.75" customHeight="1" x14ac:dyDescent="0.15">
      <c r="B17" s="27"/>
      <c r="C17" s="257" t="s">
        <v>18</v>
      </c>
      <c r="D17" s="258"/>
      <c r="E17" s="259" t="s">
        <v>158</v>
      </c>
      <c r="F17" s="260"/>
      <c r="G17" s="260"/>
      <c r="H17" s="260"/>
      <c r="I17" s="261"/>
    </row>
    <row r="18" spans="2:9" ht="24" customHeight="1" x14ac:dyDescent="0.15">
      <c r="B18" s="24" t="s">
        <v>19</v>
      </c>
      <c r="C18" s="28"/>
      <c r="D18" s="29"/>
      <c r="E18" s="30"/>
      <c r="F18" s="30"/>
      <c r="G18" s="30"/>
      <c r="H18" s="30"/>
      <c r="I18" s="33"/>
    </row>
    <row r="19" spans="2:9" ht="218.25" customHeight="1" x14ac:dyDescent="0.15">
      <c r="B19" s="26"/>
      <c r="C19" s="250" t="s">
        <v>20</v>
      </c>
      <c r="D19" s="251"/>
      <c r="E19" s="248" t="s">
        <v>160</v>
      </c>
      <c r="F19" s="248"/>
      <c r="G19" s="248"/>
      <c r="H19" s="248"/>
      <c r="I19" s="249"/>
    </row>
    <row r="20" spans="2:9" ht="218.25" customHeight="1" x14ac:dyDescent="0.15">
      <c r="B20" s="27"/>
      <c r="C20" s="257" t="s">
        <v>21</v>
      </c>
      <c r="D20" s="258"/>
      <c r="E20" s="260" t="s">
        <v>159</v>
      </c>
      <c r="F20" s="260"/>
      <c r="G20" s="260"/>
      <c r="H20" s="260"/>
      <c r="I20" s="261"/>
    </row>
    <row r="21" spans="2:9" ht="218.25" customHeight="1" x14ac:dyDescent="0.15">
      <c r="B21" s="267" t="s">
        <v>22</v>
      </c>
      <c r="C21" s="268"/>
      <c r="D21" s="269"/>
      <c r="E21" s="270" t="s">
        <v>190</v>
      </c>
      <c r="F21" s="270"/>
      <c r="G21" s="270"/>
      <c r="H21" s="270"/>
      <c r="I21" s="271"/>
    </row>
    <row r="22" spans="2:9" ht="408.6" customHeight="1" x14ac:dyDescent="0.15">
      <c r="B22" s="262" t="s">
        <v>120</v>
      </c>
      <c r="C22" s="263"/>
      <c r="D22" s="264"/>
      <c r="E22" s="265" t="s">
        <v>189</v>
      </c>
      <c r="F22" s="265"/>
      <c r="G22" s="265"/>
      <c r="H22" s="265"/>
      <c r="I22" s="266"/>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様式１-1　プログラムを構成する授業科目 (SMIS)</vt:lpstr>
      <vt:lpstr>様式１-2　プログラムを構成する授業科目(SGS)</vt:lpstr>
      <vt:lpstr>様式２ 履修者等数の実績</vt:lpstr>
      <vt:lpstr>様式３教育の質・履修者数を向上のための体制(SMIS・SGS)</vt:lpstr>
      <vt:lpstr>様式４　自己点検・評価</vt:lpstr>
      <vt:lpstr>'様式１-1　プログラムを構成する授業科目 (SMIS)'!Print_Area</vt:lpstr>
      <vt:lpstr>'様式１-2　プログラムを構成する授業科目(SGS)'!Print_Area</vt:lpstr>
      <vt:lpstr>'様式２ 履修者等数の実績'!Print_Area</vt:lpstr>
      <vt:lpstr>'様式３教育の質・履修者数を向上のための体制(SMIS・SGS)'!Print_Area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kinoshita-y</cp:lastModifiedBy>
  <cp:lastPrinted>2025-07-10T02:48:54Z</cp:lastPrinted>
  <dcterms:created xsi:type="dcterms:W3CDTF">2011-06-14T05:32:50Z</dcterms:created>
  <dcterms:modified xsi:type="dcterms:W3CDTF">2025-07-24T09:52:48Z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