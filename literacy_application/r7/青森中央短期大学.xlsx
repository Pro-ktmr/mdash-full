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defaultThemeVersion="124226"/>
  <mc:AlternateContent xmlns:mc="http://schemas.openxmlformats.org/markup-compatibility/2006">
    <mc:Choice Requires="x15">
      <x15ac:absPath xmlns:x15ac="http://schemas.microsoft.com/office/spreadsheetml/2010/11/ac" url="https://aomoritnk.sharepoint.com/sites/msteams_7ca1a1/Shared Documents/General/2025年度/2505_数理・データサイエンス・AI教育プログラム認定制度（リテラシーレベル）申請/申請書類/青森中央短期大学/再提出データ/青森中央短期大学/01_青森中央短期大学_リテラシー/"/>
    </mc:Choice>
  </mc:AlternateContent>
  <xr:revisionPtr revIDLastSave="9" documentId="13_ncr:1_{F430A5D9-97C6-4167-A263-7A3AF020CC37}" xr6:coauthVersionLast="45" xr6:coauthVersionMax="47" xr10:uidLastSave="{B4CF6B4A-1185-4E6A-8B91-E77E5109E2E3}"/>
  <bookViews>
    <workbookView xWindow="0" yWindow="0" windowWidth="28800" windowHeight="15600" tabRatio="885" firstSheet="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3"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13" i="40" l="1"/>
  <c r="C49" i="41"/>
  <c r="I2" i="43" l="1"/>
  <c r="C14" i="40"/>
  <c r="C13" i="40"/>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<sst xmlns="http://schemas.openxmlformats.org/spreadsheetml/2006/main" count="281" uniqueCount="186">
  <si>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</si>
  <si>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</si>
  <si>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</si>
  <si>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</si>
  <si>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</si>
  <si>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</si>
  <si>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</si>
  <si>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</si>
  <si>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データサイエンス・AI基礎の2単位を取得すること</t>
    <rPh sb="9" eb="13">
      <t>エーアイキソ</t>
    </rPh>
    <rPh sb="15" eb="17">
      <t>タンイ</t>
    </rPh>
    <rPh sb="18" eb="20">
      <t>シュトク</t>
    </rPh>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</si>
  <si>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</si>
  <si>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</si>
  <si>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</si>
  <si>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</si>
  <si>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</si>
  <si>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</si>
  <si>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</si>
  <si>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</si>
  <si>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</si>
  <si>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</si>
  <si>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</si>
  <si>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</si>
  <si>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</si>
  <si>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</si>
  <si>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データサイエンス・AI基礎</t>
    <rPh sb="9" eb="13">
      <t>エーアイキソ</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</si>
  <si>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</si>
  <si>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</si>
  <si>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</si>
  <si>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</si>
  <si>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</si>
  <si>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</si>
  <si>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</si>
  <si>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</si>
  <si>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</si>
  <si>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</si>
  <si>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</si>
  <si>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</si>
  <si>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</si>
  <si>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</si>
  <si>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</si>
  <si>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</si>
  <si>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</si>
  <si>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</si>
  <si>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</si>
  <si>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</si>
  <si>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</si>
  <si>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</si>
  <si>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</si>
  <si>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</si>
  <si>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</si>
  <si>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</si>
  <si>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</si>
  <si>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</si>
  <si>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</si>
  <si>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</si>
  <si>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ビッグデータ、AI「データサイエンス・AI基礎」（1回目）
IoT、知能革命、第４次産業革命、Society5.0、人間の知的活動とAIの関係性、データ駆動型社会「データサイエンス・AI基礎」（2回目）</t>
    <rPh sb="34" eb="36">
      <t>チノウ</t>
    </rPh>
    <rPh sb="36" eb="38">
      <t>カクメイ</t>
    </rPh>
    <rPh sb="39" eb="40">
      <t>ダイ</t>
    </rPh>
    <rPh sb="41" eb="46">
      <t>ジサンギョウカクメイ</t>
    </rPh>
    <rPh sb="58" eb="60">
      <t>ニンゲン</t>
    </rPh>
    <rPh sb="61" eb="63">
      <t>チテキ</t>
    </rPh>
    <rPh sb="63" eb="65">
      <t>カツドウ</t>
    </rPh>
    <rPh sb="69" eb="72">
      <t>カンケイセイ</t>
    </rPh>
    <rPh sb="76" eb="79">
      <t>クドウガタ</t>
    </rPh>
    <rPh sb="79" eb="81">
      <t>シャカイ</t>
    </rPh>
    <rPh sb="91" eb="95">
      <t>エーアイキソ</t>
    </rPh>
    <rPh sb="98" eb="100">
      <t>カイメ</t>
    </rPh>
    <phoneticPr fontId="1"/>
  </si>
  <si>
    <t>1-6</t>
    <phoneticPr fontId="1"/>
  </si>
  <si>
    <t>AI等を活用した新しいビジネスモデル、AI最新技術の活用例「データサイエンス・AI基礎」（8回目）</t>
    <rPh sb="2" eb="3">
      <t>ナド</t>
    </rPh>
    <rPh sb="4" eb="6">
      <t>カツヨウ</t>
    </rPh>
    <rPh sb="8" eb="9">
      <t>アタラ</t>
    </rPh>
    <rPh sb="21" eb="23">
      <t>サイシン</t>
    </rPh>
    <rPh sb="23" eb="25">
      <t>ギジュツ</t>
    </rPh>
    <rPh sb="26" eb="29">
      <t>カツヨウレイ</t>
    </rPh>
    <phoneticPr fontId="1"/>
  </si>
  <si>
    <t>（２）「社会で活用されているデータ」や「データの活用領域」は非常に広範囲であって、日常生活や社会の課題を解決する有用なツールになり得るもの</t>
    <phoneticPr fontId="1"/>
  </si>
  <si>
    <t>調査データ、実験データ、１次データ、２次データ、構造化データ、非構造化データ「データサイエンス・AI基礎」（3回目）</t>
    <rPh sb="0" eb="2">
      <t>チョウサ</t>
    </rPh>
    <rPh sb="6" eb="8">
      <t>ジッケン</t>
    </rPh>
    <rPh sb="13" eb="14">
      <t>ツギ</t>
    </rPh>
    <rPh sb="19" eb="20">
      <t>ツギ</t>
    </rPh>
    <rPh sb="24" eb="27">
      <t>コウゾウカ</t>
    </rPh>
    <rPh sb="31" eb="32">
      <t>ヒ</t>
    </rPh>
    <rPh sb="32" eb="35">
      <t>コウゾウカ</t>
    </rPh>
    <phoneticPr fontId="1"/>
  </si>
  <si>
    <t>データ・AI活用領域の広がり、研究開発、調達、製造、物流、販売、マーケティング、
仮説検証、知識発見、原因究明、計画策定、判断支援「データサイエンス・AI基礎」（4回目）</t>
    <rPh sb="6" eb="8">
      <t>カツヨウ</t>
    </rPh>
    <rPh sb="8" eb="10">
      <t>リョウイキ</t>
    </rPh>
    <rPh sb="11" eb="12">
      <t>ヒロ</t>
    </rPh>
    <rPh sb="15" eb="17">
      <t>ケンキュウ</t>
    </rPh>
    <rPh sb="17" eb="19">
      <t>カイハツ</t>
    </rPh>
    <rPh sb="20" eb="22">
      <t>チョウタツ</t>
    </rPh>
    <rPh sb="23" eb="25">
      <t>セイゾウ</t>
    </rPh>
    <rPh sb="26" eb="28">
      <t>ブツリュウ</t>
    </rPh>
    <rPh sb="29" eb="31">
      <t>ハンバイ</t>
    </rPh>
    <rPh sb="41" eb="43">
      <t>カセツ</t>
    </rPh>
    <rPh sb="43" eb="45">
      <t>ケンショウ</t>
    </rPh>
    <rPh sb="46" eb="48">
      <t>チシキ</t>
    </rPh>
    <rPh sb="48" eb="50">
      <t>ハッケン</t>
    </rPh>
    <rPh sb="51" eb="53">
      <t>ゲンイン</t>
    </rPh>
    <rPh sb="53" eb="55">
      <t>キュウメイ</t>
    </rPh>
    <rPh sb="56" eb="58">
      <t>ケイカク</t>
    </rPh>
    <rPh sb="58" eb="60">
      <t>サクテイ</t>
    </rPh>
    <rPh sb="61" eb="63">
      <t>ハンダン</t>
    </rPh>
    <rPh sb="63" eb="65">
      <t>シエン</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</si>
  <si>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</si>
  <si>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データサイエンスのサイクル「データサイエンス・AI基礎」（7回目）</t>
    <phoneticPr fontId="1"/>
  </si>
  <si>
    <t>（４）活用に当たっての様々な留意事項（ELSI、個人情報、データ倫理、ＡＩ社会原則等）を考慮し、情報セキュリティや情報漏洩等、データを守る上での留意事項への理解をする</t>
    <phoneticPr fontId="1"/>
  </si>
  <si>
    <t>ELSI、個人情報保護、GDPR、忘れられる権利、オプトアウト、データ倫理、AI社会原則、AIサービスの責任論「データサイエンス・AI基礎」（14回目）</t>
    <rPh sb="5" eb="7">
      <t>コジン</t>
    </rPh>
    <rPh sb="7" eb="9">
      <t>ジョウホウ</t>
    </rPh>
    <rPh sb="9" eb="11">
      <t>ホゴ</t>
    </rPh>
    <rPh sb="17" eb="18">
      <t>ワス</t>
    </rPh>
    <rPh sb="22" eb="24">
      <t>ケンリ</t>
    </rPh>
    <rPh sb="35" eb="37">
      <t>リンリ</t>
    </rPh>
    <rPh sb="40" eb="42">
      <t>シャカイ</t>
    </rPh>
    <rPh sb="42" eb="44">
      <t>ゲンソク</t>
    </rPh>
    <rPh sb="52" eb="55">
      <t>セキニンロン</t>
    </rPh>
    <phoneticPr fontId="1"/>
  </si>
  <si>
    <t>情報セキュリティ、匿名加工情報、暗号化、パスワード、悪意ある情報搾取「データサイエンス・AI基礎」（15回目）</t>
    <rPh sb="0" eb="2">
      <t>ジョウホウ</t>
    </rPh>
    <rPh sb="9" eb="11">
      <t>トクメイ</t>
    </rPh>
    <rPh sb="11" eb="13">
      <t>カコウ</t>
    </rPh>
    <rPh sb="13" eb="15">
      <t>ジョウホウ</t>
    </rPh>
    <rPh sb="16" eb="19">
      <t>アンゴウカ</t>
    </rPh>
    <rPh sb="26" eb="28">
      <t>アクイ</t>
    </rPh>
    <rPh sb="30" eb="32">
      <t>ジョウホウ</t>
    </rPh>
    <rPh sb="32" eb="34">
      <t>サクシュ</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</si>
  <si>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</si>
  <si>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</si>
  <si>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データの種類、データの分布と代表値、代表値の性質の違い、データのばらつき「データサイエンス・AI基礎」（9回目）
相関と因果、クロス集計表、分割表、相関係数行列、散布図行列「データサイエンス・AI基礎」（10回目）</t>
    <rPh sb="4" eb="6">
      <t>シュルイ</t>
    </rPh>
    <rPh sb="11" eb="13">
      <t>ブンプ</t>
    </rPh>
    <rPh sb="14" eb="17">
      <t>ダイヒョウチ</t>
    </rPh>
    <rPh sb="18" eb="21">
      <t>ダイヒョウチ</t>
    </rPh>
    <rPh sb="22" eb="24">
      <t>セイシツ</t>
    </rPh>
    <rPh sb="25" eb="26">
      <t>チガ</t>
    </rPh>
    <rPh sb="57" eb="59">
      <t>ソウカン</t>
    </rPh>
    <rPh sb="60" eb="62">
      <t>インガ</t>
    </rPh>
    <rPh sb="66" eb="69">
      <t>シュウケイヒョウ</t>
    </rPh>
    <rPh sb="70" eb="72">
      <t>ブンカツ</t>
    </rPh>
    <rPh sb="72" eb="73">
      <t>ヒョウ</t>
    </rPh>
    <rPh sb="74" eb="76">
      <t>ソウカン</t>
    </rPh>
    <rPh sb="76" eb="78">
      <t>ケイスウ</t>
    </rPh>
    <rPh sb="78" eb="80">
      <t>ギョウレツ</t>
    </rPh>
    <rPh sb="81" eb="84">
      <t>サンプズ</t>
    </rPh>
    <rPh sb="84" eb="86">
      <t>ギョウレツ</t>
    </rPh>
    <phoneticPr fontId="1"/>
  </si>
  <si>
    <t>データ表現、データの図表表現、データの比較、不適切なグラフ表現、優れた可視化事例の紹介「データサイエンス・AI基礎」（11回目）</t>
    <rPh sb="3" eb="5">
      <t>ヒョウゲン</t>
    </rPh>
    <rPh sb="10" eb="12">
      <t>ズヒョウ</t>
    </rPh>
    <rPh sb="12" eb="14">
      <t>ヒョウゲン</t>
    </rPh>
    <rPh sb="19" eb="21">
      <t>ヒカク</t>
    </rPh>
    <rPh sb="22" eb="25">
      <t>フテキセツ</t>
    </rPh>
    <rPh sb="29" eb="31">
      <t>ヒョウゲン</t>
    </rPh>
    <rPh sb="32" eb="33">
      <t>スグ</t>
    </rPh>
    <rPh sb="35" eb="38">
      <t>カシカ</t>
    </rPh>
    <rPh sb="38" eb="40">
      <t>ジレイ</t>
    </rPh>
    <rPh sb="41" eb="43">
      <t>ショウカイ</t>
    </rPh>
    <phoneticPr fontId="1"/>
  </si>
  <si>
    <t>データの集計、データの並び替え「データサイエンス・AI基礎」（12回目）
データ解析ツール、表形式のデータ「データサイエンス・AI基礎」（13回目）</t>
    <rPh sb="4" eb="6">
      <t>シュウケイ</t>
    </rPh>
    <rPh sb="11" eb="12">
      <t>ナラ</t>
    </rPh>
    <rPh sb="13" eb="14">
      <t>カ</t>
    </rPh>
    <rPh sb="40" eb="42">
      <t>カイセキ</t>
    </rPh>
    <rPh sb="46" eb="49">
      <t>ヒョウケイシキ</t>
    </rPh>
    <phoneticPr fontId="1"/>
  </si>
  <si>
    <t>⑪ プログラムの学修成果（学生等が身に付けられる能力等）</t>
    <phoneticPr fontId="1"/>
  </si>
  <si>
    <t>データサイエンスの基礎知識を修得できる。
社会におけるデータ・AIの利活用について説明できる。
データリテラシーを修得できる。
データ・AI利活用における留意事項を説明できる。　</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</si>
  <si>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</si>
  <si>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</si>
  <si>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</si>
  <si>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令和6</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</si>
  <si>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</si>
  <si>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</si>
  <si>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</si>
  <si>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</si>
  <si>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</si>
  <si>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</si>
  <si>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</si>
  <si>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</si>
  <si>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</si>
  <si>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</si>
  <si>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</si>
  <si>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</si>
  <si>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</si>
  <si>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</si>
  <si>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</si>
  <si>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</si>
  <si>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</si>
  <si>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</si>
  <si>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</si>
  <si>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</si>
  <si>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</si>
  <si>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</si>
  <si>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</si>
  <si>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</si>
  <si>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</si>
  <si>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食物栄養学科</t>
    <rPh sb="0" eb="2">
      <t>ショクモツ</t>
    </rPh>
    <rPh sb="2" eb="4">
      <t>エイヨウ</t>
    </rPh>
    <rPh sb="4" eb="6">
      <t>ガッカ</t>
    </rPh>
    <phoneticPr fontId="1"/>
  </si>
  <si>
    <t>幼児保育学科</t>
    <rPh sb="0" eb="2">
      <t>ヨウジ</t>
    </rPh>
    <rPh sb="2" eb="4">
      <t>ホイク</t>
    </rPh>
    <rPh sb="4" eb="6">
      <t>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</si>
  <si>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</si>
  <si>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</si>
  <si>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</si>
  <si>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</si>
  <si>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</si>
  <si>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</si>
  <si>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</si>
  <si>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</si>
  <si>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</si>
  <si>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</si>
  <si>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</si>
  <si>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</si>
  <si>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</si>
  <si>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大泉　常長</t>
    <rPh sb="0" eb="2">
      <t>オオイズミ</t>
    </rPh>
    <rPh sb="3" eb="5">
      <t>ツネナガ</t>
    </rPh>
    <phoneticPr fontId="1"/>
  </si>
  <si>
    <t>（役職名）</t>
    <rPh sb="1" eb="4">
      <t>ヤクショクメイ</t>
    </rPh>
    <phoneticPr fontId="1"/>
  </si>
  <si>
    <t>基幹教育センター長</t>
    <rPh sb="0" eb="2">
      <t>キカン</t>
    </rPh>
    <rPh sb="2" eb="4">
      <t>キョウイク</t>
    </rPh>
    <rPh sb="8" eb="9">
      <t>チョウ</t>
    </rPh>
    <phoneticPr fontId="1"/>
  </si>
  <si>
    <t>④</t>
    <phoneticPr fontId="1"/>
  </si>
  <si>
    <t>プログラムを改善・進化させるための体制（委員会・組織等）</t>
    <phoneticPr fontId="1"/>
  </si>
  <si>
    <t>基幹教育センター</t>
    <rPh sb="0" eb="2">
      <t>キカン</t>
    </rPh>
    <rPh sb="2" eb="4">
      <t>キョウイク</t>
    </rPh>
    <phoneticPr fontId="1"/>
  </si>
  <si>
    <t>基幹教育センター長</t>
    <rPh sb="0" eb="4">
      <t>キカンキョウイク</t>
    </rPh>
    <rPh sb="8" eb="9">
      <t>チョウ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</si>
  <si>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</si>
  <si>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</si>
  <si>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</si>
  <si>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</si>
  <si>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学校法人青森田中学園各設置校における、今後必要となる教育内容、および、答申等に示された求められる教育内容について、本学への導入に向けた情報収集と課題の整理をおこなうための共同利用機関として基幹教育センターを置く。センターは、これらの目的を達成するために、次の事業を行う。（１）学園設置校における数理、データサイエンス、ＡＩ教育の導入に関すること。（２）設置校・学部を横断する教育の導入に関すること。（３）ICTを活用した教育の導入に関すること。</t>
    <phoneticPr fontId="1"/>
  </si>
  <si>
    <t>⑦</t>
    <phoneticPr fontId="1"/>
  </si>
  <si>
    <t>具体的な構成員</t>
    <rPh sb="0" eb="3">
      <t>グタイテキ</t>
    </rPh>
    <rPh sb="4" eb="7">
      <t>コウセイイン</t>
    </rPh>
    <phoneticPr fontId="1"/>
  </si>
  <si>
    <t>基幹教育センター長（経営法学部　教授）　大泉　常長
経営法学部　准教授　木村　隆雄
経営法学部　准教授　山本　俊
経営法学部　准教授　楠山　大暁
経営法学部　准教授　中村　智行
経営法学部　講師　新免　圭介
経営法学部　講師　畠山　光史
看護学部　教授　玉熊　和子
看護学部　准教授　藤澤　珠織
食物栄養学科　教授　棟方　秀和
幼児保育学科　教授　鈴木　寛康
事務局　局長　石田　壮平
事務局　次長（学事担当）　石田　智久
事務局　学務課リーダー　坂本　貴行
事務局　企画課長　石田　光
事務局　企画課情報システム部門リーダー　石山　直敬
事務局　企画課情報システム部門　柿﨑　雄希</t>
    <rPh sb="0" eb="4">
      <t>キカンキョウイク</t>
    </rPh>
    <rPh sb="8" eb="9">
      <t>チョウ</t>
    </rPh>
    <rPh sb="10" eb="12">
      <t>ケイエイ</t>
    </rPh>
    <rPh sb="12" eb="15">
      <t>ホウガクブ</t>
    </rPh>
    <rPh sb="16" eb="18">
      <t>キョウジュ</t>
    </rPh>
    <rPh sb="20" eb="22">
      <t>オオイズミ</t>
    </rPh>
    <rPh sb="23" eb="25">
      <t>ツネナガ</t>
    </rPh>
    <rPh sb="26" eb="28">
      <t>ケイエイ</t>
    </rPh>
    <rPh sb="28" eb="31">
      <t>ホウガクブ</t>
    </rPh>
    <rPh sb="32" eb="35">
      <t>ジュンキョウジュ</t>
    </rPh>
    <rPh sb="36" eb="38">
      <t>キムラ</t>
    </rPh>
    <rPh sb="39" eb="41">
      <t>タカオ</t>
    </rPh>
    <rPh sb="42" eb="44">
      <t>ケイエイ</t>
    </rPh>
    <rPh sb="44" eb="47">
      <t>ホウガクブ</t>
    </rPh>
    <rPh sb="48" eb="51">
      <t>ジュンキョウジュ</t>
    </rPh>
    <rPh sb="52" eb="54">
      <t>ヤマモト</t>
    </rPh>
    <rPh sb="55" eb="56">
      <t>シュン</t>
    </rPh>
    <rPh sb="57" eb="59">
      <t>ケイエイ</t>
    </rPh>
    <rPh sb="59" eb="62">
      <t>ホウガクブ</t>
    </rPh>
    <rPh sb="63" eb="66">
      <t>ジュンキョウジュ</t>
    </rPh>
    <rPh sb="67" eb="69">
      <t>クスヤマ</t>
    </rPh>
    <rPh sb="70" eb="71">
      <t>ダイ</t>
    </rPh>
    <rPh sb="71" eb="72">
      <t>アカツキ</t>
    </rPh>
    <rPh sb="73" eb="75">
      <t>ケイエイ</t>
    </rPh>
    <rPh sb="75" eb="78">
      <t>ホウガクブ</t>
    </rPh>
    <rPh sb="79" eb="82">
      <t>ジュンキョウジュ</t>
    </rPh>
    <rPh sb="83" eb="85">
      <t>ナカムラ</t>
    </rPh>
    <rPh sb="86" eb="88">
      <t>トモユキ</t>
    </rPh>
    <rPh sb="89" eb="91">
      <t>ケイエイ</t>
    </rPh>
    <rPh sb="91" eb="94">
      <t>ホウガクブ</t>
    </rPh>
    <rPh sb="95" eb="97">
      <t>コウシ</t>
    </rPh>
    <rPh sb="98" eb="100">
      <t>シンメン</t>
    </rPh>
    <rPh sb="101" eb="103">
      <t>ケイスケ</t>
    </rPh>
    <rPh sb="119" eb="121">
      <t>カンゴ</t>
    </rPh>
    <rPh sb="121" eb="123">
      <t>ガクブ</t>
    </rPh>
    <rPh sb="124" eb="126">
      <t>キョウジュ</t>
    </rPh>
    <rPh sb="127" eb="129">
      <t>タマクマ</t>
    </rPh>
    <rPh sb="130" eb="132">
      <t>カズコ</t>
    </rPh>
    <rPh sb="133" eb="135">
      <t>カンゴ</t>
    </rPh>
    <rPh sb="135" eb="137">
      <t>ガクブ</t>
    </rPh>
    <rPh sb="138" eb="141">
      <t>ジュンキョウジュ</t>
    </rPh>
    <rPh sb="148" eb="150">
      <t>ショクモツ</t>
    </rPh>
    <rPh sb="150" eb="152">
      <t>エイヨウ</t>
    </rPh>
    <rPh sb="152" eb="154">
      <t>ガッカ</t>
    </rPh>
    <rPh sb="155" eb="157">
      <t>キョウジュ</t>
    </rPh>
    <rPh sb="164" eb="166">
      <t>ヨウジ</t>
    </rPh>
    <rPh sb="166" eb="168">
      <t>ホイク</t>
    </rPh>
    <rPh sb="168" eb="170">
      <t>ガッカ</t>
    </rPh>
    <rPh sb="171" eb="173">
      <t>キョウジュ</t>
    </rPh>
    <rPh sb="180" eb="182">
      <t>ジム</t>
    </rPh>
    <rPh sb="184" eb="186">
      <t>キョクチョウ</t>
    </rPh>
    <rPh sb="187" eb="189">
      <t>イシダ</t>
    </rPh>
    <rPh sb="190" eb="192">
      <t>ソウヘイ</t>
    </rPh>
    <rPh sb="230" eb="233">
      <t>ジムキョク</t>
    </rPh>
    <rPh sb="234" eb="236">
      <t>キカク</t>
    </rPh>
    <rPh sb="236" eb="238">
      <t>カチョウ</t>
    </rPh>
    <rPh sb="239" eb="241">
      <t>イシダ</t>
    </rPh>
    <rPh sb="242" eb="243">
      <t>ヒカル</t>
    </rPh>
    <rPh sb="244" eb="247">
      <t>ジムキョク</t>
    </rPh>
    <rPh sb="264" eb="266">
      <t>イシヤマ</t>
    </rPh>
    <rPh sb="267" eb="268">
      <t>チョク</t>
    </rPh>
    <phoneticPr fontId="1"/>
  </si>
  <si>
    <t>⑧</t>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</si>
  <si>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</si>
  <si>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</si>
  <si>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</si>
  <si>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</si>
  <si>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</si>
  <si>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</si>
  <si>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</si>
  <si>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</si>
  <si>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</si>
  <si>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</si>
  <si>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</si>
  <si>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オリエンテーション、在学生の始業ガイダンス、大学ホームページなどで、学生にプログラムを受講することの意義を周知している。学生便覧に本プログラムに属する科目のカリキュラムマップおよびカリキュラムツリーなどを掲載して、学生が情報を受け取りやすい環境を整備している。</t>
    <rPh sb="0" eb="3">
      <t>ニュウガクゴ</t>
    </rPh>
    <rPh sb="14" eb="17">
      <t>ザイガクセイ</t>
    </rPh>
    <rPh sb="18" eb="20">
      <t>シギョウ</t>
    </rPh>
    <rPh sb="26" eb="28">
      <t>ダイガク</t>
    </rPh>
    <rPh sb="38" eb="40">
      <t>ガクセイ</t>
    </rPh>
    <rPh sb="47" eb="49">
      <t>ジュコウ</t>
    </rPh>
    <rPh sb="54" eb="56">
      <t>イギ</t>
    </rPh>
    <rPh sb="57" eb="59">
      <t>シュウチ</t>
    </rPh>
    <rPh sb="64" eb="66">
      <t>ガクセイ</t>
    </rPh>
    <rPh sb="66" eb="68">
      <t>ビンラン</t>
    </rPh>
    <rPh sb="69" eb="70">
      <t>ホン</t>
    </rPh>
    <rPh sb="76" eb="77">
      <t>ゾク</t>
    </rPh>
    <rPh sb="79" eb="81">
      <t>カモク</t>
    </rPh>
    <rPh sb="106" eb="108">
      <t>ケイサイ</t>
    </rPh>
    <rPh sb="111" eb="113">
      <t>ガクセイ</t>
    </rPh>
    <rPh sb="114" eb="116">
      <t>ジョウホウ</t>
    </rPh>
    <rPh sb="117" eb="118">
      <t>ウ</t>
    </rPh>
    <rPh sb="119" eb="120">
      <t>ト</t>
    </rPh>
    <rPh sb="124" eb="126">
      <t>カンキョウ</t>
    </rPh>
    <rPh sb="127" eb="129">
      <t>セイビ</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</si>
  <si>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</si>
  <si>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</si>
  <si>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</si>
  <si>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</si>
  <si>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本教育プログラムの授業についての履修を本学ポータルサイトにて管理し、学生は授業時間以外に不明点などをTeamsのチャット機能を通じて確認することができ、質問は主として授業担当教員を通じて返答する体制を整備している。</t>
    <rPh sb="0" eb="1">
      <t>ホン</t>
    </rPh>
    <rPh sb="1" eb="3">
      <t>キョウイク</t>
    </rPh>
    <rPh sb="9" eb="11">
      <t>ジュギョウ</t>
    </rPh>
    <rPh sb="16" eb="18">
      <t>リシュウ</t>
    </rPh>
    <rPh sb="19" eb="21">
      <t>ホンガク</t>
    </rPh>
    <rPh sb="30" eb="32">
      <t>カンリ</t>
    </rPh>
    <rPh sb="34" eb="36">
      <t>ガクセイ</t>
    </rPh>
    <rPh sb="37" eb="39">
      <t>ジュギョウ</t>
    </rPh>
    <rPh sb="39" eb="41">
      <t>ジカン</t>
    </rPh>
    <rPh sb="41" eb="43">
      <t>イガイ</t>
    </rPh>
    <rPh sb="44" eb="47">
      <t>フメイテン</t>
    </rPh>
    <rPh sb="60" eb="62">
      <t>キノウ</t>
    </rPh>
    <rPh sb="63" eb="64">
      <t>ツウ</t>
    </rPh>
    <rPh sb="66" eb="68">
      <t>カクニン</t>
    </rPh>
    <rPh sb="76" eb="78">
      <t>シツモン</t>
    </rPh>
    <rPh sb="79" eb="80">
      <t>シュ</t>
    </rPh>
    <rPh sb="83" eb="85">
      <t>ジュギョウ</t>
    </rPh>
    <rPh sb="85" eb="87">
      <t>タントウ</t>
    </rPh>
    <rPh sb="87" eb="89">
      <t>キョウイン</t>
    </rPh>
    <rPh sb="90" eb="91">
      <t>ツウ</t>
    </rPh>
    <rPh sb="93" eb="95">
      <t>ヘントウ</t>
    </rPh>
    <rPh sb="97" eb="99">
      <t>タイセイ</t>
    </rPh>
    <rPh sb="100" eb="102">
      <t>セイビ</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</si>
  <si>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</si>
  <si>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</si>
  <si>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</si>
  <si>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</si>
  <si>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基幹教育センター</t>
    <rPh sb="0" eb="4">
      <t>キカンキョウイク</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</si>
  <si>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</si>
  <si>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</si>
  <si>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</si>
  <si>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</si>
  <si>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</si>
  <si>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</si>
  <si>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</si>
  <si>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</si>
  <si>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</si>
  <si>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</si>
  <si>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</si>
  <si>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本教育プログラムの修了者が今後本学を卒業した後に、卒業生アンケートなどを通じて進路、活躍状況、企業などの評価を把握する予定である。</t>
    <rPh sb="0" eb="1">
      <t>ホン</t>
    </rPh>
    <rPh sb="1" eb="3">
      <t>キョウイク</t>
    </rPh>
    <rPh sb="9" eb="12">
      <t>シュウリョウシャ</t>
    </rPh>
    <rPh sb="13" eb="15">
      <t>コンゴ</t>
    </rPh>
    <rPh sb="15" eb="17">
      <t>ホンガク</t>
    </rPh>
    <rPh sb="18" eb="20">
      <t>ソツギョウ</t>
    </rPh>
    <rPh sb="22" eb="23">
      <t>アト</t>
    </rPh>
    <rPh sb="25" eb="28">
      <t>ソツギョウセイ</t>
    </rPh>
    <rPh sb="36" eb="37">
      <t>ツウ</t>
    </rPh>
    <rPh sb="39" eb="41">
      <t>シンロ</t>
    </rPh>
    <rPh sb="42" eb="44">
      <t>カツヤク</t>
    </rPh>
    <rPh sb="44" eb="46">
      <t>ジョウキョウ</t>
    </rPh>
    <rPh sb="47" eb="49">
      <t>キギョウ</t>
    </rPh>
    <rPh sb="52" eb="54">
      <t>ヒョウカ</t>
    </rPh>
    <rPh sb="55" eb="57">
      <t>ハアク</t>
    </rPh>
    <rPh sb="59" eb="61">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</si>
  <si>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</si>
  <si>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</si>
  <si>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</si>
  <si>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基幹教育センターにて、授業改善アンケートの意見を参考に、学生の「分かりやすさ」の観点から講義の内容・実施方法の見直しを行っている。例えば、令和7年度からはクラスサイズを調整し「データサイエンス・AI基礎」については2クラス開講とすることで学修効果の向上を図っている。</t>
    <rPh sb="0" eb="2">
      <t>キカン</t>
    </rPh>
    <rPh sb="2" eb="4">
      <t>キョウイク</t>
    </rPh>
    <rPh sb="11" eb="13">
      <t>ジュギョウ</t>
    </rPh>
    <rPh sb="13" eb="15">
      <t>カイゼン</t>
    </rPh>
    <rPh sb="21" eb="23">
      <t>イケン</t>
    </rPh>
    <rPh sb="24" eb="26">
      <t>サンコウ</t>
    </rPh>
    <rPh sb="28" eb="30">
      <t>ガクセイ</t>
    </rPh>
    <rPh sb="32" eb="33">
      <t>ワ</t>
    </rPh>
    <rPh sb="40" eb="42">
      <t>カンテン</t>
    </rPh>
    <rPh sb="44" eb="46">
      <t>コウギ</t>
    </rPh>
    <rPh sb="47" eb="49">
      <t>ナイヨウ</t>
    </rPh>
    <rPh sb="50" eb="52">
      <t>ジッシ</t>
    </rPh>
    <rPh sb="52" eb="54">
      <t>ホウホウ</t>
    </rPh>
    <rPh sb="55" eb="57">
      <t>ミナオ</t>
    </rPh>
    <rPh sb="59" eb="60">
      <t>オコナ</t>
    </rPh>
    <rPh sb="65" eb="66">
      <t>タト</t>
    </rPh>
    <rPh sb="69" eb="71">
      <t>レイワ</t>
    </rPh>
    <rPh sb="72" eb="74">
      <t>ネンド</t>
    </rPh>
    <rPh sb="84" eb="86">
      <t>チョウセイ</t>
    </rPh>
    <rPh sb="97" eb="101">
      <t>エーアイキソ</t>
    </rPh>
    <rPh sb="111" eb="113">
      <t>カイコウ</t>
    </rPh>
    <rPh sb="119" eb="121">
      <t>ガクシュウ</t>
    </rPh>
    <rPh sb="121" eb="123">
      <t>コウカ</t>
    </rPh>
    <rPh sb="124" eb="126">
      <t>コウジョウ</t>
    </rPh>
    <rPh sb="127" eb="128">
      <t>ハカ</t>
    </rPh>
    <phoneticPr fontId="1"/>
  </si>
  <si>
    <t>青森中央短期大学</t>
    <rPh sb="0" eb="2">
      <t>アオモリ</t>
    </rPh>
    <rPh sb="2" eb="4">
      <t>チュウオウ</t>
    </rPh>
    <rPh sb="4" eb="6">
      <t>タンキ</t>
    </rPh>
    <rPh sb="6" eb="8">
      <t>ダイガク</t>
    </rPh>
    <phoneticPr fontId="1"/>
  </si>
  <si>
    <t>本教育プログラムを構成する科目「データサイエンス・AI基礎」については令和6年度から必修としており、履修者数、履修率の向上を推進している。</t>
    <rPh sb="0" eb="1">
      <t>ホン</t>
    </rPh>
    <rPh sb="1" eb="3">
      <t>キョウイク</t>
    </rPh>
    <rPh sb="9" eb="11">
      <t>コウセイ</t>
    </rPh>
    <rPh sb="13" eb="15">
      <t>カモク</t>
    </rPh>
    <rPh sb="25" eb="29">
      <t>エーアイキソ</t>
    </rPh>
    <rPh sb="35" eb="37">
      <t>レイワ</t>
    </rPh>
    <rPh sb="38" eb="40">
      <t>ネンド</t>
    </rPh>
    <rPh sb="42" eb="44">
      <t>ヒッシュウ</t>
    </rPh>
    <rPh sb="50" eb="53">
      <t>リシュウシャ</t>
    </rPh>
    <rPh sb="53" eb="54">
      <t>スウ</t>
    </rPh>
    <rPh sb="55" eb="57">
      <t>リシュウ</t>
    </rPh>
    <rPh sb="57" eb="58">
      <t>リツ</t>
    </rPh>
    <rPh sb="59" eb="61">
      <t>コウジョウ</t>
    </rPh>
    <rPh sb="62" eb="64">
      <t>スイシン</t>
    </rPh>
    <phoneticPr fontId="1"/>
  </si>
  <si>
    <t>学部・学科によって、修了要件は相違しない</t>
  </si>
  <si>
    <t>データサイエンス・AI基礎プログラム</t>
  </si>
  <si>
    <t>センターの設置により、全学的な教育コンテンツ作成を支援し、プログラムの基礎部分である「データサイエンス・AI基礎」は全学生が受講できるように必修科目としている。</t>
  </si>
  <si>
    <t>本教育プログラムの授業について、「データサイエンス・AI基礎」の授業用Teams上で授業資料をPDFファイルで学生に共有し、また演習課題についても問題文・課題データなどをTeamsを通じて情報共有し、多くの学生がいつでも講義資料などの閲覧が可能な環境を構築している。</t>
  </si>
  <si>
    <t>本学では、全学必修科目として実施しているため、推奨の度合いによって履修者に変化はないが、授業改善アンケートの結果を基幹教育センターで分析し、後輩学生の授業時に修得に対するモチベーション向上の観点からも授業改善を検討している。</t>
    <phoneticPr fontId="1"/>
  </si>
  <si>
    <t>全学必修科目として実施し、単位修得率は94.9％となった。
また、演習課題の回答状況については、一部学生において遅れがあったものの、最終的には単位修得学生においてはすべての演習課題を回答した。</t>
    <rPh sb="0" eb="2">
      <t xml:space="preserve">ゼンガク </t>
    </rPh>
    <rPh sb="2" eb="6">
      <t xml:space="preserve">ゼンガクヒッシュウカモク </t>
    </rPh>
    <rPh sb="9" eb="11">
      <t xml:space="preserve">ジッシ </t>
    </rPh>
    <rPh sb="13" eb="15">
      <t xml:space="preserve">タンイ </t>
    </rPh>
    <rPh sb="15" eb="17">
      <t xml:space="preserve">シュウトク </t>
    </rPh>
    <rPh sb="17" eb="18">
      <t xml:space="preserve">リツ </t>
    </rPh>
    <rPh sb="29" eb="30">
      <t>キカン</t>
    </rPh>
    <rPh sb="33" eb="37">
      <t xml:space="preserve">エンシュウカダイ </t>
    </rPh>
    <rPh sb="38" eb="42">
      <t xml:space="preserve">カイトウジョウキョウ </t>
    </rPh>
    <rPh sb="48" eb="50">
      <t xml:space="preserve">イチブ </t>
    </rPh>
    <rPh sb="50" eb="52">
      <t xml:space="preserve">ガクセイ </t>
    </rPh>
    <rPh sb="56" eb="57">
      <t xml:space="preserve">オクレガ </t>
    </rPh>
    <rPh sb="66" eb="69">
      <t xml:space="preserve">サイシュウテキニハ </t>
    </rPh>
    <rPh sb="71" eb="75">
      <t xml:space="preserve">タンイシュウトク </t>
    </rPh>
    <rPh sb="75" eb="77">
      <t xml:space="preserve">ガクセイ </t>
    </rPh>
    <rPh sb="86" eb="88">
      <t xml:space="preserve">エンシュウ </t>
    </rPh>
    <rPh sb="88" eb="90">
      <t xml:space="preserve">カダイ </t>
    </rPh>
    <rPh sb="91" eb="93">
      <t xml:space="preserve">カイトウ </t>
    </rPh>
    <phoneticPr fontId="1"/>
  </si>
  <si>
    <t>令和6年12月7日（土）に、青森中央学院大学・青森中央短期大学主催令和6年度「数理・データサイエンス・AI教育に関する取り組み事例研究会」を実施し、教育プログラムの講義内容および実データを活用した演習などの手法について意見を収集した。
・学生は、授業・課題等でデータ分析等を手順通りに作業として実施することはできるが、今この作業が何のための分析なのか、何を明らかにできるのかなどを理解できていない場合がある。仮説を考えてもらったり、その結論に導くためにどんな分析が必要かを考えてもらうことで、作業にならない工夫が必要である。
・アプリケーションの機能を用いればボタン一つで分析結果がわかるが、結果を導く計算式までを理解するのは難しい。どこまでを教えるのが適切なのかは悩むところである。初めは手計算で行わせるなどアプリケーションに頼らないやり方もありえるが、その分時間がかかってしまう。一方で社会で役立つ能力と割り切ると、リテラシーレベルということも鑑みると、アプリケーションはあるのだから、数式などの説明は割愛するという考え方もありえる。
基幹教育センターにおいて上記の意見等を踏まえ、プログラムの改善に活用している。</t>
    <rPh sb="0" eb="2">
      <t>レイワ</t>
    </rPh>
    <rPh sb="3" eb="4">
      <t>ネン</t>
    </rPh>
    <rPh sb="6" eb="7">
      <t>ガツ</t>
    </rPh>
    <rPh sb="8" eb="9">
      <t>ニチ</t>
    </rPh>
    <rPh sb="10" eb="11">
      <t>ド</t>
    </rPh>
    <rPh sb="70" eb="72">
      <t>ジッシ</t>
    </rPh>
    <rPh sb="74" eb="76">
      <t>キョウイク</t>
    </rPh>
    <rPh sb="82" eb="84">
      <t>コウギ</t>
    </rPh>
    <rPh sb="84" eb="86">
      <t>ナイヨウ</t>
    </rPh>
    <rPh sb="89" eb="90">
      <t>ジツ</t>
    </rPh>
    <rPh sb="94" eb="96">
      <t>カツヨウ</t>
    </rPh>
    <rPh sb="98" eb="100">
      <t>エンシュウ</t>
    </rPh>
    <rPh sb="103" eb="105">
      <t>シュホウ</t>
    </rPh>
    <rPh sb="109" eb="111">
      <t>イケン</t>
    </rPh>
    <rPh sb="112" eb="114">
      <t>シュウシュウ</t>
    </rPh>
    <rPh sb="120" eb="122">
      <t>ガクセイ</t>
    </rPh>
    <rPh sb="124" eb="126">
      <t>ジュギョウ</t>
    </rPh>
    <rPh sb="127" eb="129">
      <t>カダイ</t>
    </rPh>
    <rPh sb="129" eb="130">
      <t>トウ</t>
    </rPh>
    <rPh sb="134" eb="136">
      <t>ブンセキ</t>
    </rPh>
    <rPh sb="136" eb="137">
      <t>トウ</t>
    </rPh>
    <rPh sb="138" eb="141">
      <t>テジュンドオ</t>
    </rPh>
    <rPh sb="143" eb="145">
      <t>サギョウ</t>
    </rPh>
    <rPh sb="148" eb="150">
      <t>ジッシ</t>
    </rPh>
    <rPh sb="160" eb="161">
      <t>イマ</t>
    </rPh>
    <rPh sb="163" eb="165">
      <t>サギョウ</t>
    </rPh>
    <rPh sb="166" eb="167">
      <t>ナン</t>
    </rPh>
    <rPh sb="171" eb="173">
      <t>ブンセキ</t>
    </rPh>
    <rPh sb="177" eb="178">
      <t>ナニ</t>
    </rPh>
    <rPh sb="179" eb="180">
      <t>アキ</t>
    </rPh>
    <rPh sb="191" eb="193">
      <t>リカイ</t>
    </rPh>
    <rPh sb="199" eb="201">
      <t>バアイ</t>
    </rPh>
    <rPh sb="205" eb="207">
      <t>カセツ</t>
    </rPh>
    <rPh sb="208" eb="209">
      <t>カンガ</t>
    </rPh>
    <rPh sb="219" eb="221">
      <t>ケツロン</t>
    </rPh>
    <rPh sb="222" eb="223">
      <t>ミチビ</t>
    </rPh>
    <rPh sb="230" eb="232">
      <t>ブンセキ</t>
    </rPh>
    <rPh sb="233" eb="235">
      <t>ヒツヨウ</t>
    </rPh>
    <rPh sb="237" eb="238">
      <t>カンガ</t>
    </rPh>
    <rPh sb="247" eb="249">
      <t>サギョウ</t>
    </rPh>
    <rPh sb="254" eb="256">
      <t>クフウ</t>
    </rPh>
    <rPh sb="257" eb="259">
      <t>ヒツヨウ</t>
    </rPh>
    <rPh sb="274" eb="276">
      <t>キノウ</t>
    </rPh>
    <rPh sb="277" eb="278">
      <t>モチ</t>
    </rPh>
    <rPh sb="284" eb="285">
      <t>ヒト</t>
    </rPh>
    <rPh sb="287" eb="289">
      <t>ブンセキ</t>
    </rPh>
    <rPh sb="289" eb="291">
      <t>ケッカ</t>
    </rPh>
    <rPh sb="297" eb="299">
      <t>ケッカ</t>
    </rPh>
    <rPh sb="300" eb="301">
      <t>ミチビ</t>
    </rPh>
    <rPh sb="302" eb="304">
      <t>ケイサン</t>
    </rPh>
    <rPh sb="304" eb="305">
      <t>シキ</t>
    </rPh>
    <rPh sb="308" eb="310">
      <t>リカイ</t>
    </rPh>
    <rPh sb="314" eb="315">
      <t>ムズカ</t>
    </rPh>
    <rPh sb="323" eb="324">
      <t>オシ</t>
    </rPh>
    <rPh sb="328" eb="330">
      <t>テキセツ</t>
    </rPh>
    <rPh sb="334" eb="335">
      <t>ナヤ</t>
    </rPh>
    <rPh sb="343" eb="344">
      <t>ハジ</t>
    </rPh>
    <rPh sb="346" eb="349">
      <t>テケイサン</t>
    </rPh>
    <rPh sb="350" eb="351">
      <t>オコナ</t>
    </rPh>
    <rPh sb="365" eb="366">
      <t>タヨ</t>
    </rPh>
    <rPh sb="371" eb="372">
      <t>カタ</t>
    </rPh>
    <rPh sb="381" eb="382">
      <t>ブン</t>
    </rPh>
    <rPh sb="382" eb="384">
      <t>ジカン</t>
    </rPh>
    <rPh sb="393" eb="395">
      <t>イッポウ</t>
    </rPh>
    <rPh sb="396" eb="398">
      <t>シャカイ</t>
    </rPh>
    <rPh sb="399" eb="401">
      <t>ヤクダ</t>
    </rPh>
    <rPh sb="402" eb="404">
      <t>ノウリョク</t>
    </rPh>
    <rPh sb="405" eb="406">
      <t>ワ</t>
    </rPh>
    <rPh sb="407" eb="408">
      <t>キ</t>
    </rPh>
    <rPh sb="425" eb="426">
      <t>カンガ</t>
    </rPh>
    <rPh sb="446" eb="448">
      <t>スウシキ</t>
    </rPh>
    <rPh sb="451" eb="453">
      <t>セツメイ</t>
    </rPh>
    <rPh sb="454" eb="456">
      <t>カツアイ</t>
    </rPh>
    <rPh sb="461" eb="462">
      <t>カンガ</t>
    </rPh>
    <rPh sb="463" eb="464">
      <t>カタ</t>
    </rPh>
    <rPh sb="472" eb="474">
      <t>キカン</t>
    </rPh>
    <rPh sb="474" eb="476">
      <t>キョウイク</t>
    </rPh>
    <rPh sb="484" eb="486">
      <t>ジョウキ</t>
    </rPh>
    <rPh sb="487" eb="489">
      <t>イケン</t>
    </rPh>
    <rPh sb="489" eb="490">
      <t>トウ</t>
    </rPh>
    <rPh sb="491" eb="492">
      <t>フ</t>
    </rPh>
    <rPh sb="501" eb="503">
      <t>カイゼン</t>
    </rPh>
    <rPh sb="504" eb="506">
      <t>カツヨウ</t>
    </rPh>
    <phoneticPr fontId="1"/>
  </si>
  <si>
    <t>モデルカリキュラムリテラシーレベルの導入・基礎・心得に準じた内容を展開し、時事やトレンドなど社会での実例をもとにAIなどがどのような活用をされているのかを中心に、受講生の専門分野である栄養学、教育学等とも関連付けながら、好奇心を促す講義内容としている。取りあげる実例については、授業改善アンケートなどを活用し、その内容について評価を実施し改善に活かしている。</t>
    <rPh sb="96" eb="99">
      <t>キョウイクガク</t>
    </rPh>
    <rPh sb="99" eb="100">
      <t>トウ</t>
    </rPh>
    <phoneticPr fontId="1"/>
  </si>
  <si>
    <t>授業改善アンケートの「この授業の内容を理解しましたか。」について、
はい・まあそうである（全選択肢：はい・まあそうである・どちらとも言えない・あまりそうとは言えない・いいえ）	の割合が53.4%であった。
同セメスターの全科目の平均値と比較して低い状況であり、数理・データサイエンス・AI教育の授業における難易度設定について改善が必要であることを確認した。
またアンケートの自由記述をみると、「結構面白いと思えた」「今の時代に合ったAIの解説やネット社会で使える技術と知識を知ることができた」など、一部の学生においては、本プログラムの受講により、数理・データサイエンス・AIに興味をもったという意見もあった。全学必修科目として実施していることにより、初めは興味がなくとも本プログラムが興味を持つきっかけになった学生がいたという点で、有意義な取り組みだと評価できる。</t>
    <rPh sb="16" eb="19">
      <t>ジュコウシャ</t>
    </rPh>
    <rPh sb="20" eb="21">
      <t>タイ</t>
    </rPh>
    <rPh sb="24" eb="26">
      <t>ジュギョウ</t>
    </rPh>
    <rPh sb="26" eb="34">
      <t>カイゼン</t>
    </rPh>
    <rPh sb="103" eb="104">
      <t xml:space="preserve">ドウセメスター </t>
    </rPh>
    <rPh sb="110" eb="113">
      <t xml:space="preserve">ゼンカモク </t>
    </rPh>
    <rPh sb="114" eb="116">
      <t xml:space="preserve">ヘイキン </t>
    </rPh>
    <rPh sb="116" eb="117">
      <t xml:space="preserve">チ </t>
    </rPh>
    <rPh sb="118" eb="120">
      <t xml:space="preserve">ヒカクシテ </t>
    </rPh>
    <rPh sb="122" eb="123">
      <t xml:space="preserve">ヒクイジョウキョウ </t>
    </rPh>
    <rPh sb="130" eb="132">
      <t xml:space="preserve">スウリ </t>
    </rPh>
    <rPh sb="144" eb="146">
      <t xml:space="preserve">キョウイク </t>
    </rPh>
    <rPh sb="147" eb="149">
      <t xml:space="preserve">ジュギョウ </t>
    </rPh>
    <rPh sb="153" eb="156">
      <t xml:space="preserve">ナンイド </t>
    </rPh>
    <rPh sb="156" eb="158">
      <t xml:space="preserve">セッテイ </t>
    </rPh>
    <rPh sb="162" eb="164">
      <t xml:space="preserve">カイゼン </t>
    </rPh>
    <rPh sb="165" eb="167">
      <t xml:space="preserve">ヒツヨウデウ </t>
    </rPh>
    <rPh sb="173" eb="175">
      <t xml:space="preserve">カクニン </t>
    </rPh>
    <phoneticPr fontId="1"/>
  </si>
  <si>
    <t>データ解析「データサイエンス・AI基礎」（5回目）
データの可視化「データサイエンス・AI基礎」（6回目）</t>
    <rPh sb="3" eb="5">
      <t>カイセキ</t>
    </rPh>
    <phoneticPr fontId="1"/>
  </si>
  <si>
    <t>令和６年度より、履修することが必須のプログラムとして実施している。</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</si>
  <si>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</si>
  <si>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成長実感満足度調査を見ると、
全17項目のうち、本プログラムに関連する「情報を収集し、収集した情報を分析する技術」は8番目、「自ら問題を発見し、その問題を解決する能力」は9番目、「主体的に取り組む能力」は12番目、「自らの社会的責任を自覚し、高い倫理観を持って行動する力」は10番目という結果になった。
数理・データサイエンス・AIに関する知識の必要性についてはある程度理解が進んだものの、自身のスキルや科学的思考に関しては自信がない状況であることが読み取れ、この結果を踏まえ改善を行っていく必要があることを確認した。</t>
    <rPh sb="0" eb="2">
      <t>セイチョウ</t>
    </rPh>
    <rPh sb="2" eb="4">
      <t>ジッカン</t>
    </rPh>
    <rPh sb="4" eb="7">
      <t>マンゾクド</t>
    </rPh>
    <rPh sb="7" eb="9">
      <t>チョウサ</t>
    </rPh>
    <rPh sb="10" eb="11">
      <t>ミ</t>
    </rPh>
    <rPh sb="24" eb="25">
      <t>ホン</t>
    </rPh>
    <rPh sb="31" eb="33">
      <t>カンレン</t>
    </rPh>
    <rPh sb="36" eb="38">
      <t>ジョウホウ</t>
    </rPh>
    <rPh sb="39" eb="41">
      <t>シュウシュウ</t>
    </rPh>
    <rPh sb="43" eb="45">
      <t>シュウシュウ</t>
    </rPh>
    <rPh sb="47" eb="49">
      <t>ジョウホウ</t>
    </rPh>
    <rPh sb="50" eb="52">
      <t>ブンセキ</t>
    </rPh>
    <rPh sb="54" eb="56">
      <t>ギジュツ</t>
    </rPh>
    <rPh sb="59" eb="61">
      <t>バンメ</t>
    </rPh>
    <rPh sb="63" eb="64">
      <t>ミズカ</t>
    </rPh>
    <rPh sb="65" eb="67">
      <t>モンダイ</t>
    </rPh>
    <rPh sb="68" eb="70">
      <t>ハッケン</t>
    </rPh>
    <rPh sb="74" eb="76">
      <t>モンダイ</t>
    </rPh>
    <rPh sb="77" eb="79">
      <t>カイケツ</t>
    </rPh>
    <rPh sb="81" eb="83">
      <t>ノウリョク</t>
    </rPh>
    <rPh sb="86" eb="88">
      <t>バンメ</t>
    </rPh>
    <rPh sb="90" eb="93">
      <t>シュタイテキ</t>
    </rPh>
    <rPh sb="94" eb="95">
      <t>ト</t>
    </rPh>
    <rPh sb="96" eb="97">
      <t>ク</t>
    </rPh>
    <rPh sb="139" eb="141">
      <t>バンメ</t>
    </rPh>
    <rPh sb="144" eb="146">
      <t>ケッカ</t>
    </rPh>
    <phoneticPr fontId="1"/>
  </si>
  <si>
    <t>学校法人青森田中学園　基幹教育センター規程</t>
    <rPh sb="0" eb="4">
      <t>ガッコウホウジン</t>
    </rPh>
    <rPh sb="4" eb="10">
      <t>アオモリタナカガクエン</t>
    </rPh>
    <rPh sb="11" eb="13">
      <t>キカン</t>
    </rPh>
    <rPh sb="13" eb="15">
      <t>キョウイク</t>
    </rPh>
    <rPh sb="19" eb="21">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</si>
</sst>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14"/>
      <name val="ＭＳ Ｐゴシック"/>
      <family val="3"/>
      <charset val="128"/>
      <scheme val="minor"/>
    </font>
    <font>
      <sz val="11"/>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9" fontId="2" fillId="0" borderId="13" xfId="0" applyNumberFormat="1" applyFont="1" applyBorder="1" applyAlignment="1">
      <alignment vertical="center" shrinkToFit="1"/>
    </xf>
    <xf numFmtId="0" fontId="9" fillId="0" borderId="0" xfId="0" applyFont="1">
      <alignment vertical="center"/>
    </xf>
    <xf numFmtId="0" fontId="9" fillId="0" borderId="0" xfId="0" applyFont="1" applyAlignment="1">
      <alignment vertical="center" shrinkToFit="1"/>
    </xf>
    <xf numFmtId="0" fontId="9" fillId="0" borderId="0" xfId="0" applyFont="1" applyAlignment="1">
      <alignment horizontal="center" vertical="center"/>
    </xf>
    <xf numFmtId="0" fontId="9"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9" fillId="0" borderId="0" xfId="0" applyFont="1" applyAlignment="1">
      <alignment horizontal="center"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9" fillId="0" borderId="1" xfId="0" applyFont="1" applyBorder="1">
      <alignment vertical="center"/>
    </xf>
    <xf numFmtId="0" fontId="9" fillId="0" borderId="0" xfId="0" applyFont="1" applyAlignment="1">
      <alignment horizontal="right" vertical="center"/>
    </xf>
    <xf numFmtId="0" fontId="10" fillId="0" borderId="0" xfId="0" applyFont="1" applyAlignment="1">
      <alignment horizontal="center" vertical="center"/>
    </xf>
    <xf numFmtId="38" fontId="2" fillId="0" borderId="5" xfId="2" applyFont="1" applyFill="1" applyBorder="1" applyAlignment="1">
      <alignment vertical="center" shrinkToFit="1"/>
    </xf>
    <xf numFmtId="38" fontId="2" fillId="0" borderId="48" xfId="2" applyFont="1" applyFill="1" applyBorder="1" applyAlignment="1">
      <alignment vertical="center" shrinkToFit="1"/>
    </xf>
    <xf numFmtId="38" fontId="2" fillId="0" borderId="46" xfId="2" applyFont="1" applyFill="1" applyBorder="1" applyAlignment="1">
      <alignment vertical="center" shrinkToFit="1"/>
    </xf>
    <xf numFmtId="38" fontId="2" fillId="0" borderId="20" xfId="2" applyFont="1" applyFill="1" applyBorder="1" applyAlignment="1">
      <alignment vertical="center" shrinkToFit="1"/>
    </xf>
    <xf numFmtId="0" fontId="9" fillId="0" borderId="1" xfId="0" applyFont="1" applyBorder="1" applyAlignment="1">
      <alignment horizontal="center" vertical="center"/>
    </xf>
    <xf numFmtId="0" fontId="11" fillId="0" borderId="0" xfId="0" applyFont="1">
      <alignment vertical="center"/>
    </xf>
    <xf numFmtId="0" fontId="13" fillId="0" borderId="0" xfId="0" applyFont="1">
      <alignment vertical="center"/>
    </xf>
    <xf numFmtId="0" fontId="13" fillId="0" borderId="0" xfId="0" applyFont="1" applyAlignment="1">
      <alignment horizontal="left" vertical="center"/>
    </xf>
    <xf numFmtId="0" fontId="9" fillId="0" borderId="0" xfId="0" applyFont="1" applyAlignment="1">
      <alignment vertical="top" wrapText="1"/>
    </xf>
    <xf numFmtId="0" fontId="9" fillId="0" borderId="0" xfId="0" applyFont="1" applyAlignment="1">
      <alignment vertical="center" wrapText="1"/>
    </xf>
    <xf numFmtId="0" fontId="11" fillId="0" borderId="0" xfId="0" applyFont="1" applyAlignment="1">
      <alignment vertical="top" wrapText="1"/>
    </xf>
    <xf numFmtId="0" fontId="9" fillId="0" borderId="1" xfId="0" applyFont="1" applyBorder="1" applyAlignment="1">
      <alignment horizontal="center" vertical="center" wrapText="1" shrinkToFit="1"/>
    </xf>
    <xf numFmtId="9" fontId="9" fillId="0" borderId="1" xfId="0" applyNumberFormat="1" applyFont="1" applyBorder="1" applyAlignment="1">
      <alignment horizontal="center" vertical="center" shrinkToFit="1"/>
    </xf>
    <xf numFmtId="9" fontId="9" fillId="0" borderId="0" xfId="1" applyFont="1" applyAlignment="1">
      <alignment horizontal="center" vertical="center"/>
    </xf>
    <xf numFmtId="0" fontId="9" fillId="0" borderId="1" xfId="0" applyFont="1" applyBorder="1" applyAlignment="1">
      <alignment horizontal="center" vertical="center" shrinkToFit="1"/>
    </xf>
    <xf numFmtId="176" fontId="9" fillId="0" borderId="1" xfId="0" applyNumberFormat="1" applyFont="1" applyBorder="1" applyAlignment="1">
      <alignment horizontal="center" vertical="center" shrinkToFit="1"/>
    </xf>
    <xf numFmtId="0" fontId="11" fillId="0" borderId="0" xfId="0" applyFont="1" applyAlignment="1">
      <alignment vertical="top" shrinkToFit="1"/>
    </xf>
    <xf numFmtId="0" fontId="9" fillId="0" borderId="0" xfId="0" applyFont="1" applyAlignment="1">
      <alignment vertical="top" wrapText="1" shrinkToFit="1"/>
    </xf>
    <xf numFmtId="0" fontId="9" fillId="0" borderId="0" xfId="0" applyFont="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29"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32" xfId="0" applyNumberFormat="1" applyFont="1" applyBorder="1" applyAlignment="1">
      <alignment vertical="center" wrapText="1"/>
    </xf>
    <xf numFmtId="49" fontId="3" fillId="0" borderId="33" xfId="0" applyNumberFormat="1" applyFont="1" applyBorder="1">
      <alignment vertical="center"/>
    </xf>
    <xf numFmtId="49" fontId="3" fillId="0" borderId="34" xfId="0" applyNumberFormat="1" applyFont="1" applyBorder="1">
      <alignment vertical="center"/>
    </xf>
    <xf numFmtId="49" fontId="11" fillId="0" borderId="29" xfId="0" applyNumberFormat="1" applyFont="1" applyBorder="1" applyAlignment="1">
      <alignment horizontal="left" vertical="center" wrapText="1"/>
    </xf>
    <xf numFmtId="49" fontId="11" fillId="0" borderId="31" xfId="0" applyNumberFormat="1" applyFont="1" applyBorder="1" applyAlignment="1">
      <alignment horizontal="left" vertical="center"/>
    </xf>
    <xf numFmtId="49" fontId="11" fillId="0" borderId="30"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shrinkToFit="1"/>
    </xf>
    <xf numFmtId="0" fontId="9"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9" fillId="0" borderId="0" xfId="0" applyFont="1" applyAlignment="1">
      <alignment horizontal="left"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2"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0" borderId="10"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10" fillId="0" borderId="7" xfId="0" applyFont="1" applyBorder="1" applyAlignment="1">
      <alignment vertical="top" wrapText="1" shrinkToFit="1"/>
    </xf>
    <xf numFmtId="0" fontId="9"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9" fillId="0" borderId="0" xfId="0" applyFont="1" applyAlignment="1">
      <alignment horizontal="center" vertical="center"/>
    </xf>
    <xf numFmtId="0" fontId="9" fillId="0" borderId="0" xfId="0" applyFont="1">
      <alignment vertical="center"/>
    </xf>
    <xf numFmtId="0" fontId="9" fillId="2" borderId="5" xfId="0" applyFont="1" applyFill="1" applyBorder="1" applyAlignment="1">
      <alignment horizontal="center" vertical="center" shrinkToFit="1"/>
    </xf>
    <xf numFmtId="0" fontId="9" fillId="2" borderId="0" xfId="0" applyFont="1" applyFill="1" applyAlignment="1">
      <alignment horizontal="center" vertical="center" shrinkToFit="1"/>
    </xf>
    <xf numFmtId="0" fontId="9" fillId="2" borderId="10" xfId="0" applyFont="1" applyFill="1" applyBorder="1" applyAlignment="1">
      <alignment horizontal="center" vertical="center" shrinkToFit="1"/>
    </xf>
    <xf numFmtId="9" fontId="9" fillId="0" borderId="1" xfId="0" applyNumberFormat="1" applyFont="1" applyBorder="1" applyAlignment="1">
      <alignment horizontal="center"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12" xfId="0" applyFont="1" applyBorder="1" applyAlignment="1">
      <alignment vertical="top" wrapText="1"/>
    </xf>
    <xf numFmtId="0" fontId="9" fillId="0" borderId="9" xfId="0" applyFont="1" applyBorder="1" applyAlignment="1">
      <alignment vertical="top"/>
    </xf>
    <xf numFmtId="0" fontId="9" fillId="0" borderId="5" xfId="0" applyFont="1" applyBorder="1" applyAlignment="1">
      <alignment vertical="top"/>
    </xf>
    <xf numFmtId="0" fontId="9" fillId="0" borderId="0" xfId="0" applyFont="1" applyAlignment="1">
      <alignment vertical="top"/>
    </xf>
    <xf numFmtId="0" fontId="9" fillId="0" borderId="10" xfId="0" applyFont="1" applyBorder="1" applyAlignment="1">
      <alignment vertical="top"/>
    </xf>
    <xf numFmtId="0" fontId="9" fillId="0" borderId="11" xfId="0" applyFont="1" applyBorder="1" applyAlignment="1">
      <alignment vertical="top"/>
    </xf>
    <xf numFmtId="0" fontId="9" fillId="0" borderId="6" xfId="0" applyFont="1" applyBorder="1" applyAlignment="1">
      <alignment vertical="top"/>
    </xf>
    <xf numFmtId="0" fontId="9" fillId="0" borderId="12" xfId="0" applyFont="1" applyBorder="1" applyAlignment="1">
      <alignment vertical="top"/>
    </xf>
    <xf numFmtId="9" fontId="9" fillId="0" borderId="1" xfId="0" applyNumberFormat="1" applyFont="1" applyBorder="1" applyAlignment="1">
      <alignment horizontal="center" vertical="center" wrapText="1"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9" fillId="0" borderId="18" xfId="0" applyFont="1" applyBorder="1" applyAlignment="1">
      <alignment vertical="top" wrapText="1" shrinkToFit="1"/>
    </xf>
    <xf numFmtId="0" fontId="9" fillId="0" borderId="19" xfId="0" applyFont="1" applyBorder="1" applyAlignment="1">
      <alignment vertical="top" wrapText="1" shrinkToFit="1"/>
    </xf>
    <xf numFmtId="0" fontId="9" fillId="0" borderId="17"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9" fillId="0" borderId="37" xfId="0" applyFont="1" applyBorder="1" applyAlignment="1">
      <alignment vertical="top" wrapText="1" shrinkToFit="1"/>
    </xf>
    <xf numFmtId="0" fontId="9" fillId="0" borderId="38" xfId="0" applyFont="1" applyBorder="1" applyAlignment="1">
      <alignment vertical="top" wrapText="1" shrinkToFit="1"/>
    </xf>
    <xf numFmtId="0" fontId="9" fillId="0" borderId="11"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82" zoomScale="85" zoomScaleNormal="100" zoomScaleSheetLayoutView="85" workbookViewId="0">
      <selection activeCell="D99" sqref="D99:U99"/>
    </sheetView>
  </sheetViews>
  <sheetFormatPr defaultColWidth="9" defaultRowHeight="18.75" customHeight="1" x14ac:dyDescent="0.15"/>
  <cols>
    <col min="1" max="1" width="2.375" style="1" customWidth="1"/>
    <col min="2" max="2" width="16.37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1" t="s">
        <v>0</v>
      </c>
      <c r="U1" s="131"/>
      <c r="V1" s="2" t="s">
        <v>1</v>
      </c>
    </row>
    <row r="2" spans="1:24" ht="18.75" customHeight="1" x14ac:dyDescent="0.15">
      <c r="B2" s="16" t="s">
        <v>2</v>
      </c>
      <c r="C2" s="101" t="s">
        <v>170</v>
      </c>
      <c r="D2" s="102"/>
      <c r="E2" s="102"/>
      <c r="F2" s="102"/>
      <c r="G2" s="102"/>
      <c r="H2" s="102"/>
      <c r="I2" s="102"/>
      <c r="J2" s="103"/>
      <c r="K2" s="17"/>
      <c r="L2" s="6"/>
      <c r="M2" s="6"/>
      <c r="N2" s="6"/>
      <c r="O2" s="6"/>
      <c r="P2" s="6"/>
      <c r="Q2" s="6"/>
      <c r="R2" s="6"/>
      <c r="S2" s="6"/>
      <c r="T2" s="6"/>
      <c r="U2" s="6"/>
    </row>
    <row r="3" spans="1:24" ht="18.75" customHeight="1" x14ac:dyDescent="0.15">
      <c r="B3" s="16" t="s">
        <v>3</v>
      </c>
      <c r="C3" s="101" t="s">
        <v>173</v>
      </c>
      <c r="D3" s="102"/>
      <c r="E3" s="102"/>
      <c r="F3" s="102"/>
      <c r="G3" s="102"/>
      <c r="H3" s="102"/>
      <c r="I3" s="102"/>
      <c r="J3" s="103"/>
      <c r="K3" s="17"/>
      <c r="L3" s="6"/>
      <c r="M3" s="6"/>
      <c r="N3" s="6"/>
      <c r="O3" s="6"/>
      <c r="P3" s="6"/>
      <c r="Q3" s="6"/>
      <c r="R3" s="6"/>
      <c r="S3" s="6"/>
      <c r="T3" s="6"/>
      <c r="U3" s="6"/>
    </row>
    <row r="4" spans="1:24" ht="15" customHeight="1" x14ac:dyDescent="0.15">
      <c r="L4" s="17"/>
      <c r="M4" s="60"/>
      <c r="N4" s="60"/>
      <c r="O4" s="60"/>
      <c r="P4" s="60"/>
      <c r="Q4" s="60"/>
      <c r="R4" s="60"/>
      <c r="S4" s="60"/>
      <c r="T4" s="60"/>
      <c r="U4" s="60"/>
    </row>
    <row r="5" spans="1:24" ht="18" customHeight="1" x14ac:dyDescent="0.15">
      <c r="A5" s="112" t="s">
        <v>4</v>
      </c>
      <c r="B5" s="112"/>
      <c r="C5" s="112"/>
      <c r="D5" s="112"/>
      <c r="E5" s="112"/>
      <c r="F5" s="112"/>
      <c r="G5" s="112"/>
      <c r="H5" s="112"/>
      <c r="I5" s="112"/>
      <c r="J5" s="112"/>
      <c r="K5" s="112"/>
      <c r="L5" s="112"/>
      <c r="M5" s="112"/>
      <c r="N5" s="112"/>
      <c r="O5" s="112"/>
      <c r="P5" s="112"/>
      <c r="Q5" s="112"/>
      <c r="R5" s="112"/>
      <c r="S5" s="112"/>
      <c r="T5" s="112"/>
      <c r="U5" s="11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5</v>
      </c>
      <c r="B7" s="3"/>
      <c r="C7" s="3"/>
      <c r="D7" s="3"/>
      <c r="E7" s="3"/>
      <c r="F7" s="2"/>
      <c r="G7" s="2"/>
      <c r="H7" s="2"/>
      <c r="I7" s="2"/>
      <c r="J7" s="2"/>
      <c r="K7" s="2"/>
      <c r="L7" s="146" t="s">
        <v>172</v>
      </c>
      <c r="M7" s="147"/>
      <c r="N7" s="147"/>
      <c r="O7" s="147"/>
      <c r="P7" s="147"/>
      <c r="Q7" s="147"/>
      <c r="R7" s="147"/>
      <c r="S7" s="147"/>
      <c r="T7" s="147"/>
      <c r="U7" s="14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6</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55"/>
      <c r="C11" s="156"/>
      <c r="D11" s="156"/>
      <c r="E11" s="156"/>
      <c r="F11" s="156"/>
      <c r="G11" s="156"/>
      <c r="H11" s="156"/>
      <c r="I11" s="156"/>
      <c r="J11" s="156"/>
      <c r="K11" s="156"/>
      <c r="L11" s="156"/>
      <c r="M11" s="156"/>
      <c r="N11" s="156"/>
      <c r="O11" s="156"/>
      <c r="P11" s="156"/>
      <c r="Q11" s="156"/>
      <c r="R11" s="156"/>
      <c r="S11" s="156"/>
      <c r="T11" s="156"/>
      <c r="U11" s="157"/>
    </row>
    <row r="12" spans="1:24" ht="18" customHeight="1" x14ac:dyDescent="0.15">
      <c r="B12" s="158"/>
      <c r="C12" s="159"/>
      <c r="D12" s="159"/>
      <c r="E12" s="159"/>
      <c r="F12" s="159"/>
      <c r="G12" s="159"/>
      <c r="H12" s="159"/>
      <c r="I12" s="159"/>
      <c r="J12" s="159"/>
      <c r="K12" s="159"/>
      <c r="L12" s="159"/>
      <c r="M12" s="159"/>
      <c r="N12" s="159"/>
      <c r="O12" s="159"/>
      <c r="P12" s="159"/>
      <c r="Q12" s="159"/>
      <c r="R12" s="159"/>
      <c r="S12" s="159"/>
      <c r="T12" s="159"/>
      <c r="U12" s="160"/>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7</v>
      </c>
      <c r="B14" s="3"/>
      <c r="C14" s="3"/>
      <c r="D14" s="3"/>
      <c r="E14" s="17"/>
      <c r="F14" s="17"/>
      <c r="G14" s="17"/>
      <c r="H14" s="17"/>
      <c r="I14" s="17"/>
      <c r="J14" s="17"/>
      <c r="K14" s="17"/>
      <c r="L14" s="61"/>
      <c r="M14" s="61"/>
      <c r="N14" s="61"/>
      <c r="O14" s="61"/>
      <c r="P14" s="61"/>
      <c r="Q14" s="61"/>
      <c r="R14" s="61"/>
      <c r="S14" s="61"/>
      <c r="T14" s="61"/>
      <c r="U14" s="61"/>
    </row>
    <row r="15" spans="1:24" ht="18" customHeight="1" x14ac:dyDescent="0.15">
      <c r="B15" s="113" t="s">
        <v>8</v>
      </c>
      <c r="C15" s="114"/>
      <c r="D15" s="114"/>
      <c r="E15" s="114"/>
      <c r="F15" s="114"/>
      <c r="G15" s="114"/>
      <c r="H15" s="114"/>
      <c r="I15" s="114"/>
      <c r="J15" s="114"/>
      <c r="K15" s="114"/>
      <c r="L15" s="114"/>
      <c r="M15" s="114"/>
      <c r="N15" s="114"/>
      <c r="O15" s="114"/>
      <c r="P15" s="114"/>
      <c r="Q15" s="114"/>
      <c r="R15" s="114"/>
      <c r="S15" s="114"/>
      <c r="T15" s="114"/>
      <c r="U15" s="115"/>
      <c r="X15" s="1" t="s">
        <v>9</v>
      </c>
    </row>
    <row r="16" spans="1:24" ht="18" customHeight="1" x14ac:dyDescent="0.15">
      <c r="B16" s="116"/>
      <c r="C16" s="117"/>
      <c r="D16" s="117"/>
      <c r="E16" s="117"/>
      <c r="F16" s="117"/>
      <c r="G16" s="117"/>
      <c r="H16" s="117"/>
      <c r="I16" s="117"/>
      <c r="J16" s="117"/>
      <c r="K16" s="117"/>
      <c r="L16" s="117"/>
      <c r="M16" s="117"/>
      <c r="N16" s="117"/>
      <c r="O16" s="117"/>
      <c r="P16" s="117"/>
      <c r="Q16" s="117"/>
      <c r="R16" s="117"/>
      <c r="S16" s="117"/>
      <c r="T16" s="117"/>
      <c r="U16" s="118"/>
      <c r="X16" s="1" t="s">
        <v>10</v>
      </c>
    </row>
    <row r="17" spans="1:24" ht="18" customHeight="1" x14ac:dyDescent="0.15">
      <c r="B17" s="116"/>
      <c r="C17" s="117"/>
      <c r="D17" s="117"/>
      <c r="E17" s="117"/>
      <c r="F17" s="117"/>
      <c r="G17" s="117"/>
      <c r="H17" s="117"/>
      <c r="I17" s="117"/>
      <c r="J17" s="117"/>
      <c r="K17" s="117"/>
      <c r="L17" s="117"/>
      <c r="M17" s="117"/>
      <c r="N17" s="117"/>
      <c r="O17" s="117"/>
      <c r="P17" s="117"/>
      <c r="Q17" s="117"/>
      <c r="R17" s="117"/>
      <c r="S17" s="117"/>
      <c r="T17" s="117"/>
      <c r="U17" s="118"/>
      <c r="X17" s="1" t="s">
        <v>11</v>
      </c>
    </row>
    <row r="18" spans="1:24" ht="18" customHeight="1" x14ac:dyDescent="0.15">
      <c r="B18" s="116"/>
      <c r="C18" s="117"/>
      <c r="D18" s="117"/>
      <c r="E18" s="117"/>
      <c r="F18" s="117"/>
      <c r="G18" s="117"/>
      <c r="H18" s="117"/>
      <c r="I18" s="117"/>
      <c r="J18" s="117"/>
      <c r="K18" s="117"/>
      <c r="L18" s="117"/>
      <c r="M18" s="117"/>
      <c r="N18" s="117"/>
      <c r="O18" s="117"/>
      <c r="P18" s="117"/>
      <c r="Q18" s="117"/>
      <c r="R18" s="117"/>
      <c r="S18" s="117"/>
      <c r="T18" s="117"/>
      <c r="U18" s="118"/>
      <c r="X18" s="1" t="s">
        <v>12</v>
      </c>
    </row>
    <row r="19" spans="1:24" ht="18" customHeight="1" x14ac:dyDescent="0.15">
      <c r="B19" s="116"/>
      <c r="C19" s="117"/>
      <c r="D19" s="117"/>
      <c r="E19" s="117"/>
      <c r="F19" s="117"/>
      <c r="G19" s="117"/>
      <c r="H19" s="117"/>
      <c r="I19" s="117"/>
      <c r="J19" s="117"/>
      <c r="K19" s="117"/>
      <c r="L19" s="117"/>
      <c r="M19" s="117"/>
      <c r="N19" s="117"/>
      <c r="O19" s="117"/>
      <c r="P19" s="117"/>
      <c r="Q19" s="117"/>
      <c r="R19" s="117"/>
      <c r="S19" s="117"/>
      <c r="T19" s="117"/>
      <c r="U19" s="118"/>
    </row>
    <row r="20" spans="1:24" ht="18" customHeight="1" x14ac:dyDescent="0.15">
      <c r="B20" s="119"/>
      <c r="C20" s="120"/>
      <c r="D20" s="120"/>
      <c r="E20" s="120"/>
      <c r="F20" s="120"/>
      <c r="G20" s="120"/>
      <c r="H20" s="120"/>
      <c r="I20" s="120"/>
      <c r="J20" s="120"/>
      <c r="K20" s="120"/>
      <c r="L20" s="120"/>
      <c r="M20" s="120"/>
      <c r="N20" s="120"/>
      <c r="O20" s="120"/>
      <c r="P20" s="120"/>
      <c r="Q20" s="120"/>
      <c r="R20" s="120"/>
      <c r="S20" s="120"/>
      <c r="T20" s="120"/>
      <c r="U20" s="12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13</v>
      </c>
      <c r="E22" s="62">
        <v>1</v>
      </c>
      <c r="F22" s="1" t="s">
        <v>14</v>
      </c>
      <c r="H22" s="18">
        <v>2</v>
      </c>
      <c r="I22" s="3" t="s">
        <v>15</v>
      </c>
      <c r="J22" s="3"/>
      <c r="K22" s="17"/>
      <c r="M22" s="17" t="s">
        <v>16</v>
      </c>
      <c r="N22" s="143" t="s">
        <v>10</v>
      </c>
      <c r="O22" s="144"/>
      <c r="P22" s="144"/>
      <c r="Q22" s="144"/>
      <c r="R22" s="144"/>
      <c r="S22" s="144"/>
      <c r="T22" s="144"/>
      <c r="U22" s="14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4" t="s">
        <v>17</v>
      </c>
      <c r="B24" s="94"/>
      <c r="C24" s="94"/>
      <c r="D24" s="94"/>
      <c r="E24" s="94"/>
      <c r="F24" s="94"/>
      <c r="G24" s="94"/>
      <c r="H24" s="94"/>
      <c r="I24" s="94"/>
      <c r="J24" s="94"/>
      <c r="K24" s="94"/>
      <c r="L24" s="94"/>
      <c r="M24" s="94"/>
      <c r="N24" s="94"/>
      <c r="O24" s="94"/>
      <c r="P24" s="94"/>
      <c r="Q24" s="94"/>
      <c r="R24" s="94"/>
      <c r="S24" s="94"/>
      <c r="T24" s="94"/>
      <c r="U24" s="94"/>
    </row>
    <row r="25" spans="1:24" ht="18" customHeight="1" x14ac:dyDescent="0.15">
      <c r="A25" s="94"/>
      <c r="B25" s="94"/>
      <c r="C25" s="94"/>
      <c r="D25" s="94"/>
      <c r="E25" s="94"/>
      <c r="F25" s="94"/>
      <c r="G25" s="94"/>
      <c r="H25" s="94"/>
      <c r="I25" s="94"/>
      <c r="J25" s="94"/>
      <c r="K25" s="94"/>
      <c r="L25" s="94"/>
      <c r="M25" s="94"/>
      <c r="N25" s="94"/>
      <c r="O25" s="94"/>
      <c r="P25" s="94"/>
      <c r="Q25" s="94"/>
      <c r="R25" s="94"/>
      <c r="S25" s="94"/>
      <c r="T25" s="94"/>
      <c r="U25" s="94"/>
    </row>
    <row r="26" spans="1:24" ht="18" customHeight="1" x14ac:dyDescent="0.15">
      <c r="B26" s="101" t="s">
        <v>18</v>
      </c>
      <c r="C26" s="102"/>
      <c r="D26" s="102"/>
      <c r="E26" s="102"/>
      <c r="F26" s="103"/>
      <c r="G26" s="46" t="s">
        <v>19</v>
      </c>
      <c r="H26" s="47" t="s">
        <v>20</v>
      </c>
      <c r="I26" s="48" t="s">
        <v>21</v>
      </c>
      <c r="J26" s="48" t="s">
        <v>22</v>
      </c>
      <c r="K26" s="101" t="s">
        <v>18</v>
      </c>
      <c r="L26" s="102"/>
      <c r="M26" s="102"/>
      <c r="N26" s="102"/>
      <c r="O26" s="102"/>
      <c r="P26" s="102"/>
      <c r="Q26" s="103"/>
      <c r="R26" s="46" t="s">
        <v>19</v>
      </c>
      <c r="S26" s="47" t="s">
        <v>20</v>
      </c>
      <c r="T26" s="48" t="s">
        <v>21</v>
      </c>
      <c r="U26" s="48" t="s">
        <v>22</v>
      </c>
    </row>
    <row r="27" spans="1:24" ht="18" customHeight="1" x14ac:dyDescent="0.15">
      <c r="B27" s="95" t="s">
        <v>23</v>
      </c>
      <c r="C27" s="96"/>
      <c r="D27" s="96"/>
      <c r="E27" s="96"/>
      <c r="F27" s="97"/>
      <c r="G27" s="49">
        <v>2</v>
      </c>
      <c r="H27" s="49" t="s">
        <v>24</v>
      </c>
      <c r="I27" s="49" t="s">
        <v>24</v>
      </c>
      <c r="J27" s="49" t="s">
        <v>24</v>
      </c>
      <c r="K27" s="95"/>
      <c r="L27" s="96"/>
      <c r="M27" s="96"/>
      <c r="N27" s="96"/>
      <c r="O27" s="96"/>
      <c r="P27" s="96"/>
      <c r="Q27" s="97"/>
      <c r="R27" s="49"/>
      <c r="S27" s="49"/>
      <c r="T27" s="49"/>
      <c r="U27" s="49"/>
    </row>
    <row r="28" spans="1:24" ht="18" customHeight="1" x14ac:dyDescent="0.15">
      <c r="B28" s="88"/>
      <c r="C28" s="89"/>
      <c r="D28" s="89"/>
      <c r="E28" s="89"/>
      <c r="F28" s="90"/>
      <c r="G28" s="50"/>
      <c r="H28" s="50"/>
      <c r="I28" s="50"/>
      <c r="J28" s="50"/>
      <c r="K28" s="88"/>
      <c r="L28" s="89"/>
      <c r="M28" s="89"/>
      <c r="N28" s="89"/>
      <c r="O28" s="89"/>
      <c r="P28" s="89"/>
      <c r="Q28" s="90"/>
      <c r="R28" s="50"/>
      <c r="S28" s="50"/>
      <c r="T28" s="50"/>
      <c r="U28" s="50"/>
    </row>
    <row r="29" spans="1:24" ht="18" customHeight="1" x14ac:dyDescent="0.15">
      <c r="B29" s="88"/>
      <c r="C29" s="89"/>
      <c r="D29" s="89"/>
      <c r="E29" s="89"/>
      <c r="F29" s="90"/>
      <c r="G29" s="50"/>
      <c r="H29" s="50"/>
      <c r="I29" s="50"/>
      <c r="J29" s="50"/>
      <c r="K29" s="88"/>
      <c r="L29" s="89"/>
      <c r="M29" s="89"/>
      <c r="N29" s="89"/>
      <c r="O29" s="89"/>
      <c r="P29" s="89"/>
      <c r="Q29" s="90"/>
      <c r="R29" s="50"/>
      <c r="S29" s="50"/>
      <c r="T29" s="50"/>
      <c r="U29" s="50"/>
    </row>
    <row r="30" spans="1:24" ht="18" customHeight="1" x14ac:dyDescent="0.15">
      <c r="B30" s="88"/>
      <c r="C30" s="89"/>
      <c r="D30" s="89"/>
      <c r="E30" s="89"/>
      <c r="F30" s="90"/>
      <c r="G30" s="50"/>
      <c r="H30" s="50"/>
      <c r="I30" s="50"/>
      <c r="J30" s="50"/>
      <c r="K30" s="88"/>
      <c r="L30" s="89"/>
      <c r="M30" s="89"/>
      <c r="N30" s="89"/>
      <c r="O30" s="89"/>
      <c r="P30" s="89"/>
      <c r="Q30" s="90"/>
      <c r="R30" s="50"/>
      <c r="S30" s="50"/>
      <c r="T30" s="50"/>
      <c r="U30" s="50"/>
    </row>
    <row r="31" spans="1:24" ht="18" customHeight="1" x14ac:dyDescent="0.15">
      <c r="B31" s="88"/>
      <c r="C31" s="89"/>
      <c r="D31" s="89"/>
      <c r="E31" s="89"/>
      <c r="F31" s="90"/>
      <c r="G31" s="50"/>
      <c r="H31" s="50"/>
      <c r="I31" s="50"/>
      <c r="J31" s="50"/>
      <c r="K31" s="88"/>
      <c r="L31" s="89"/>
      <c r="M31" s="89"/>
      <c r="N31" s="89"/>
      <c r="O31" s="89"/>
      <c r="P31" s="89"/>
      <c r="Q31" s="90"/>
      <c r="R31" s="50"/>
      <c r="S31" s="50"/>
      <c r="T31" s="50"/>
      <c r="U31" s="50"/>
    </row>
    <row r="32" spans="1:24" ht="18" customHeight="1" x14ac:dyDescent="0.15">
      <c r="A32" s="3"/>
      <c r="B32" s="88"/>
      <c r="C32" s="89"/>
      <c r="D32" s="89"/>
      <c r="E32" s="89"/>
      <c r="F32" s="90"/>
      <c r="G32" s="50"/>
      <c r="H32" s="50"/>
      <c r="I32" s="50"/>
      <c r="J32" s="50"/>
      <c r="K32" s="88"/>
      <c r="L32" s="89"/>
      <c r="M32" s="89"/>
      <c r="N32" s="89"/>
      <c r="O32" s="89"/>
      <c r="P32" s="89"/>
      <c r="Q32" s="90"/>
      <c r="R32" s="50"/>
      <c r="S32" s="50"/>
      <c r="T32" s="50"/>
      <c r="U32" s="50"/>
    </row>
    <row r="33" spans="1:21" ht="18" customHeight="1" x14ac:dyDescent="0.15">
      <c r="A33" s="3"/>
      <c r="B33" s="91"/>
      <c r="C33" s="92"/>
      <c r="D33" s="92"/>
      <c r="E33" s="92"/>
      <c r="F33" s="93"/>
      <c r="G33" s="51"/>
      <c r="H33" s="51"/>
      <c r="I33" s="52"/>
      <c r="J33" s="52"/>
      <c r="K33" s="91"/>
      <c r="L33" s="92"/>
      <c r="M33" s="92"/>
      <c r="N33" s="92"/>
      <c r="O33" s="92"/>
      <c r="P33" s="92"/>
      <c r="Q33" s="93"/>
      <c r="R33" s="51"/>
      <c r="S33" s="51"/>
      <c r="T33" s="52"/>
      <c r="U33" s="52"/>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4" t="s">
        <v>25</v>
      </c>
      <c r="B35" s="94"/>
      <c r="C35" s="94"/>
      <c r="D35" s="94"/>
      <c r="E35" s="94"/>
      <c r="F35" s="94"/>
      <c r="G35" s="94"/>
      <c r="H35" s="94"/>
      <c r="I35" s="94"/>
      <c r="J35" s="94"/>
      <c r="K35" s="94"/>
      <c r="L35" s="94"/>
      <c r="M35" s="94"/>
      <c r="N35" s="94"/>
      <c r="O35" s="94"/>
      <c r="P35" s="94"/>
      <c r="Q35" s="94"/>
      <c r="R35" s="94"/>
      <c r="S35" s="94"/>
      <c r="T35" s="94"/>
      <c r="U35" s="94"/>
    </row>
    <row r="36" spans="1:21" ht="18" customHeight="1" x14ac:dyDescent="0.15">
      <c r="A36" s="94"/>
      <c r="B36" s="94"/>
      <c r="C36" s="94"/>
      <c r="D36" s="94"/>
      <c r="E36" s="94"/>
      <c r="F36" s="94"/>
      <c r="G36" s="94"/>
      <c r="H36" s="94"/>
      <c r="I36" s="94"/>
      <c r="J36" s="94"/>
      <c r="K36" s="94"/>
      <c r="L36" s="94"/>
      <c r="M36" s="94"/>
      <c r="N36" s="94"/>
      <c r="O36" s="94"/>
      <c r="P36" s="94"/>
      <c r="Q36" s="94"/>
      <c r="R36" s="94"/>
      <c r="S36" s="94"/>
      <c r="T36" s="94"/>
      <c r="U36" s="94"/>
    </row>
    <row r="37" spans="1:21" ht="18" customHeight="1" x14ac:dyDescent="0.15">
      <c r="B37" s="101" t="s">
        <v>18</v>
      </c>
      <c r="C37" s="102"/>
      <c r="D37" s="102"/>
      <c r="E37" s="102"/>
      <c r="F37" s="103"/>
      <c r="G37" s="46" t="s">
        <v>19</v>
      </c>
      <c r="H37" s="47" t="s">
        <v>20</v>
      </c>
      <c r="I37" s="48" t="s">
        <v>26</v>
      </c>
      <c r="J37" s="48" t="s">
        <v>27</v>
      </c>
      <c r="K37" s="101" t="s">
        <v>18</v>
      </c>
      <c r="L37" s="102"/>
      <c r="M37" s="102"/>
      <c r="N37" s="102"/>
      <c r="O37" s="102"/>
      <c r="P37" s="102"/>
      <c r="Q37" s="103"/>
      <c r="R37" s="46" t="s">
        <v>19</v>
      </c>
      <c r="S37" s="47" t="s">
        <v>20</v>
      </c>
      <c r="T37" s="48" t="s">
        <v>26</v>
      </c>
      <c r="U37" s="48" t="s">
        <v>27</v>
      </c>
    </row>
    <row r="38" spans="1:21" ht="18" customHeight="1" x14ac:dyDescent="0.15">
      <c r="B38" s="95" t="s">
        <v>23</v>
      </c>
      <c r="C38" s="96"/>
      <c r="D38" s="96"/>
      <c r="E38" s="96"/>
      <c r="F38" s="97"/>
      <c r="G38" s="49">
        <v>2</v>
      </c>
      <c r="H38" s="49" t="s">
        <v>24</v>
      </c>
      <c r="I38" s="49" t="s">
        <v>24</v>
      </c>
      <c r="J38" s="49" t="s">
        <v>24</v>
      </c>
      <c r="K38" s="95"/>
      <c r="L38" s="96"/>
      <c r="M38" s="96"/>
      <c r="N38" s="96"/>
      <c r="O38" s="96"/>
      <c r="P38" s="96"/>
      <c r="Q38" s="97"/>
      <c r="R38" s="49"/>
      <c r="S38" s="49"/>
      <c r="T38" s="49"/>
      <c r="U38" s="49"/>
    </row>
    <row r="39" spans="1:21" ht="18" customHeight="1" x14ac:dyDescent="0.15">
      <c r="B39" s="88"/>
      <c r="C39" s="89"/>
      <c r="D39" s="89"/>
      <c r="E39" s="89"/>
      <c r="F39" s="90"/>
      <c r="G39" s="50"/>
      <c r="H39" s="50"/>
      <c r="I39" s="50"/>
      <c r="J39" s="50"/>
      <c r="K39" s="88"/>
      <c r="L39" s="89"/>
      <c r="M39" s="89"/>
      <c r="N39" s="89"/>
      <c r="O39" s="89"/>
      <c r="P39" s="89"/>
      <c r="Q39" s="90"/>
      <c r="R39" s="50"/>
      <c r="S39" s="50"/>
      <c r="T39" s="50"/>
      <c r="U39" s="50"/>
    </row>
    <row r="40" spans="1:21" ht="18" customHeight="1" x14ac:dyDescent="0.15">
      <c r="B40" s="88"/>
      <c r="C40" s="89"/>
      <c r="D40" s="89"/>
      <c r="E40" s="89"/>
      <c r="F40" s="90"/>
      <c r="G40" s="50"/>
      <c r="H40" s="50"/>
      <c r="I40" s="50"/>
      <c r="J40" s="50"/>
      <c r="K40" s="88"/>
      <c r="L40" s="89"/>
      <c r="M40" s="89"/>
      <c r="N40" s="89"/>
      <c r="O40" s="89"/>
      <c r="P40" s="89"/>
      <c r="Q40" s="90"/>
      <c r="R40" s="50"/>
      <c r="S40" s="50"/>
      <c r="T40" s="50"/>
      <c r="U40" s="50"/>
    </row>
    <row r="41" spans="1:21" ht="18" customHeight="1" x14ac:dyDescent="0.15">
      <c r="B41" s="88"/>
      <c r="C41" s="89"/>
      <c r="D41" s="89"/>
      <c r="E41" s="89"/>
      <c r="F41" s="90"/>
      <c r="G41" s="50"/>
      <c r="H41" s="50"/>
      <c r="I41" s="50"/>
      <c r="J41" s="50"/>
      <c r="K41" s="88"/>
      <c r="L41" s="89"/>
      <c r="M41" s="89"/>
      <c r="N41" s="89"/>
      <c r="O41" s="89"/>
      <c r="P41" s="89"/>
      <c r="Q41" s="90"/>
      <c r="R41" s="50"/>
      <c r="S41" s="50"/>
      <c r="T41" s="50"/>
      <c r="U41" s="50"/>
    </row>
    <row r="42" spans="1:21" ht="18" customHeight="1" x14ac:dyDescent="0.15">
      <c r="B42" s="88"/>
      <c r="C42" s="89"/>
      <c r="D42" s="89"/>
      <c r="E42" s="89"/>
      <c r="F42" s="90"/>
      <c r="G42" s="50"/>
      <c r="H42" s="50"/>
      <c r="I42" s="50"/>
      <c r="J42" s="50"/>
      <c r="K42" s="88"/>
      <c r="L42" s="89"/>
      <c r="M42" s="89"/>
      <c r="N42" s="89"/>
      <c r="O42" s="89"/>
      <c r="P42" s="89"/>
      <c r="Q42" s="90"/>
      <c r="R42" s="50"/>
      <c r="S42" s="50"/>
      <c r="T42" s="50"/>
      <c r="U42" s="50"/>
    </row>
    <row r="43" spans="1:21" ht="18" customHeight="1" x14ac:dyDescent="0.15">
      <c r="B43" s="88"/>
      <c r="C43" s="89"/>
      <c r="D43" s="89"/>
      <c r="E43" s="89"/>
      <c r="F43" s="90"/>
      <c r="G43" s="50"/>
      <c r="H43" s="50"/>
      <c r="I43" s="50"/>
      <c r="J43" s="50"/>
      <c r="K43" s="88"/>
      <c r="L43" s="89"/>
      <c r="M43" s="89"/>
      <c r="N43" s="89"/>
      <c r="O43" s="89"/>
      <c r="P43" s="89"/>
      <c r="Q43" s="90"/>
      <c r="R43" s="50"/>
      <c r="S43" s="50"/>
      <c r="T43" s="50"/>
      <c r="U43" s="50"/>
    </row>
    <row r="44" spans="1:21" ht="18" customHeight="1" x14ac:dyDescent="0.15">
      <c r="B44" s="91"/>
      <c r="C44" s="92"/>
      <c r="D44" s="92"/>
      <c r="E44" s="92"/>
      <c r="F44" s="93"/>
      <c r="G44" s="51"/>
      <c r="H44" s="51"/>
      <c r="I44" s="52"/>
      <c r="J44" s="52"/>
      <c r="K44" s="91"/>
      <c r="L44" s="92"/>
      <c r="M44" s="92"/>
      <c r="N44" s="92"/>
      <c r="O44" s="92"/>
      <c r="P44" s="92"/>
      <c r="Q44" s="93"/>
      <c r="R44" s="51"/>
      <c r="S44" s="51"/>
      <c r="T44" s="52"/>
      <c r="U44" s="52"/>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4" t="s">
        <v>28</v>
      </c>
      <c r="B46" s="94"/>
      <c r="C46" s="94"/>
      <c r="D46" s="94"/>
      <c r="E46" s="94"/>
      <c r="F46" s="94"/>
      <c r="G46" s="94"/>
      <c r="H46" s="94"/>
      <c r="I46" s="94"/>
      <c r="J46" s="94"/>
      <c r="K46" s="94"/>
      <c r="L46" s="94"/>
      <c r="M46" s="94"/>
      <c r="N46" s="94"/>
      <c r="O46" s="94"/>
      <c r="P46" s="94"/>
      <c r="Q46" s="94"/>
      <c r="R46" s="94"/>
      <c r="S46" s="94"/>
      <c r="T46" s="94"/>
      <c r="U46" s="94"/>
    </row>
    <row r="47" spans="1:21" ht="18" customHeight="1" x14ac:dyDescent="0.15">
      <c r="A47" s="94"/>
      <c r="B47" s="94"/>
      <c r="C47" s="94"/>
      <c r="D47" s="94"/>
      <c r="E47" s="94"/>
      <c r="F47" s="94"/>
      <c r="G47" s="94"/>
      <c r="H47" s="94"/>
      <c r="I47" s="94"/>
      <c r="J47" s="94"/>
      <c r="K47" s="94"/>
      <c r="L47" s="94"/>
      <c r="M47" s="94"/>
      <c r="N47" s="94"/>
      <c r="O47" s="94"/>
      <c r="P47" s="94"/>
      <c r="Q47" s="94"/>
      <c r="R47" s="94"/>
      <c r="S47" s="94"/>
      <c r="T47" s="94"/>
      <c r="U47" s="94"/>
    </row>
    <row r="48" spans="1:21" ht="18" customHeight="1" x14ac:dyDescent="0.15">
      <c r="B48" s="101" t="s">
        <v>18</v>
      </c>
      <c r="C48" s="102"/>
      <c r="D48" s="102"/>
      <c r="E48" s="102"/>
      <c r="F48" s="103"/>
      <c r="G48" s="46" t="s">
        <v>19</v>
      </c>
      <c r="H48" s="47" t="s">
        <v>20</v>
      </c>
      <c r="I48" s="48" t="s">
        <v>29</v>
      </c>
      <c r="J48" s="48" t="s">
        <v>30</v>
      </c>
      <c r="K48" s="101" t="s">
        <v>18</v>
      </c>
      <c r="L48" s="102"/>
      <c r="M48" s="102"/>
      <c r="N48" s="102"/>
      <c r="O48" s="102"/>
      <c r="P48" s="102"/>
      <c r="Q48" s="103"/>
      <c r="R48" s="46" t="s">
        <v>19</v>
      </c>
      <c r="S48" s="47" t="s">
        <v>20</v>
      </c>
      <c r="T48" s="48" t="s">
        <v>29</v>
      </c>
      <c r="U48" s="48" t="s">
        <v>30</v>
      </c>
    </row>
    <row r="49" spans="1:21" ht="18" customHeight="1" x14ac:dyDescent="0.15">
      <c r="A49" s="3"/>
      <c r="B49" s="95" t="s">
        <v>23</v>
      </c>
      <c r="C49" s="96"/>
      <c r="D49" s="96"/>
      <c r="E49" s="96"/>
      <c r="F49" s="97"/>
      <c r="G49" s="49">
        <v>2</v>
      </c>
      <c r="H49" s="49" t="s">
        <v>24</v>
      </c>
      <c r="I49" s="49" t="s">
        <v>24</v>
      </c>
      <c r="J49" s="49" t="s">
        <v>24</v>
      </c>
      <c r="K49" s="95"/>
      <c r="L49" s="96"/>
      <c r="M49" s="96"/>
      <c r="N49" s="96"/>
      <c r="O49" s="96"/>
      <c r="P49" s="96"/>
      <c r="Q49" s="97"/>
      <c r="R49" s="49"/>
      <c r="S49" s="49"/>
      <c r="T49" s="49"/>
      <c r="U49" s="49"/>
    </row>
    <row r="50" spans="1:21" ht="18" customHeight="1" x14ac:dyDescent="0.15">
      <c r="A50" s="3"/>
      <c r="B50" s="88"/>
      <c r="C50" s="89"/>
      <c r="D50" s="89"/>
      <c r="E50" s="89"/>
      <c r="F50" s="90"/>
      <c r="G50" s="50"/>
      <c r="H50" s="50"/>
      <c r="I50" s="50"/>
      <c r="J50" s="50"/>
      <c r="K50" s="88"/>
      <c r="L50" s="89"/>
      <c r="M50" s="89"/>
      <c r="N50" s="89"/>
      <c r="O50" s="89"/>
      <c r="P50" s="89"/>
      <c r="Q50" s="90"/>
      <c r="R50" s="50"/>
      <c r="S50" s="50"/>
      <c r="T50" s="50"/>
      <c r="U50" s="50"/>
    </row>
    <row r="51" spans="1:21" ht="18" customHeight="1" x14ac:dyDescent="0.15">
      <c r="A51" s="3"/>
      <c r="B51" s="88"/>
      <c r="C51" s="89"/>
      <c r="D51" s="89"/>
      <c r="E51" s="89"/>
      <c r="F51" s="90"/>
      <c r="G51" s="50"/>
      <c r="H51" s="50"/>
      <c r="I51" s="50"/>
      <c r="J51" s="50"/>
      <c r="K51" s="88"/>
      <c r="L51" s="89"/>
      <c r="M51" s="89"/>
      <c r="N51" s="89"/>
      <c r="O51" s="89"/>
      <c r="P51" s="89"/>
      <c r="Q51" s="90"/>
      <c r="R51" s="50"/>
      <c r="S51" s="50"/>
      <c r="T51" s="50"/>
      <c r="U51" s="50"/>
    </row>
    <row r="52" spans="1:21" ht="18" customHeight="1" x14ac:dyDescent="0.15">
      <c r="A52" s="3"/>
      <c r="B52" s="88"/>
      <c r="C52" s="89"/>
      <c r="D52" s="89"/>
      <c r="E52" s="89"/>
      <c r="F52" s="90"/>
      <c r="G52" s="50"/>
      <c r="H52" s="50"/>
      <c r="I52" s="50"/>
      <c r="J52" s="50"/>
      <c r="K52" s="88"/>
      <c r="L52" s="89"/>
      <c r="M52" s="89"/>
      <c r="N52" s="89"/>
      <c r="O52" s="89"/>
      <c r="P52" s="89"/>
      <c r="Q52" s="90"/>
      <c r="R52" s="50"/>
      <c r="S52" s="50"/>
      <c r="T52" s="50"/>
      <c r="U52" s="50"/>
    </row>
    <row r="53" spans="1:21" ht="18" customHeight="1" x14ac:dyDescent="0.15">
      <c r="A53" s="3"/>
      <c r="B53" s="88"/>
      <c r="C53" s="89"/>
      <c r="D53" s="89"/>
      <c r="E53" s="89"/>
      <c r="F53" s="90"/>
      <c r="G53" s="50"/>
      <c r="H53" s="50"/>
      <c r="I53" s="50"/>
      <c r="J53" s="50"/>
      <c r="K53" s="88"/>
      <c r="L53" s="89"/>
      <c r="M53" s="89"/>
      <c r="N53" s="89"/>
      <c r="O53" s="89"/>
      <c r="P53" s="89"/>
      <c r="Q53" s="90"/>
      <c r="R53" s="50"/>
      <c r="S53" s="50"/>
      <c r="T53" s="50"/>
      <c r="U53" s="50"/>
    </row>
    <row r="54" spans="1:21" ht="18" customHeight="1" x14ac:dyDescent="0.15">
      <c r="A54" s="3"/>
      <c r="B54" s="88"/>
      <c r="C54" s="89"/>
      <c r="D54" s="89"/>
      <c r="E54" s="89"/>
      <c r="F54" s="90"/>
      <c r="G54" s="50"/>
      <c r="H54" s="50"/>
      <c r="I54" s="50"/>
      <c r="J54" s="50"/>
      <c r="K54" s="88"/>
      <c r="L54" s="89"/>
      <c r="M54" s="89"/>
      <c r="N54" s="89"/>
      <c r="O54" s="89"/>
      <c r="P54" s="89"/>
      <c r="Q54" s="90"/>
      <c r="R54" s="50"/>
      <c r="S54" s="50"/>
      <c r="T54" s="50"/>
      <c r="U54" s="50"/>
    </row>
    <row r="55" spans="1:21" ht="18" customHeight="1" x14ac:dyDescent="0.15">
      <c r="A55" s="3"/>
      <c r="B55" s="91"/>
      <c r="C55" s="92"/>
      <c r="D55" s="92"/>
      <c r="E55" s="92"/>
      <c r="F55" s="93"/>
      <c r="G55" s="51"/>
      <c r="H55" s="51"/>
      <c r="I55" s="52"/>
      <c r="J55" s="52"/>
      <c r="K55" s="91"/>
      <c r="L55" s="92"/>
      <c r="M55" s="92"/>
      <c r="N55" s="92"/>
      <c r="O55" s="92"/>
      <c r="P55" s="92"/>
      <c r="Q55" s="93"/>
      <c r="R55" s="51"/>
      <c r="S55" s="51"/>
      <c r="T55" s="52"/>
      <c r="U55" s="52"/>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4" t="s">
        <v>31</v>
      </c>
      <c r="B57" s="94"/>
      <c r="C57" s="94"/>
      <c r="D57" s="94"/>
      <c r="E57" s="94"/>
      <c r="F57" s="94"/>
      <c r="G57" s="94"/>
      <c r="H57" s="94"/>
      <c r="I57" s="94"/>
      <c r="J57" s="94"/>
      <c r="K57" s="94"/>
      <c r="L57" s="94"/>
      <c r="M57" s="94"/>
      <c r="N57" s="94"/>
      <c r="O57" s="94"/>
      <c r="P57" s="94"/>
      <c r="Q57" s="94"/>
      <c r="R57" s="94"/>
      <c r="S57" s="94"/>
      <c r="T57" s="94"/>
      <c r="U57" s="94"/>
    </row>
    <row r="58" spans="1:21" ht="18" customHeight="1" x14ac:dyDescent="0.15">
      <c r="A58" s="94"/>
      <c r="B58" s="94"/>
      <c r="C58" s="94"/>
      <c r="D58" s="94"/>
      <c r="E58" s="94"/>
      <c r="F58" s="94"/>
      <c r="G58" s="94"/>
      <c r="H58" s="94"/>
      <c r="I58" s="94"/>
      <c r="J58" s="94"/>
      <c r="K58" s="94"/>
      <c r="L58" s="94"/>
      <c r="M58" s="94"/>
      <c r="N58" s="94"/>
      <c r="O58" s="94"/>
      <c r="P58" s="94"/>
      <c r="Q58" s="94"/>
      <c r="R58" s="94"/>
      <c r="S58" s="94"/>
      <c r="T58" s="94"/>
      <c r="U58" s="94"/>
    </row>
    <row r="59" spans="1:21" ht="18" customHeight="1" x14ac:dyDescent="0.15">
      <c r="B59" s="101" t="s">
        <v>18</v>
      </c>
      <c r="C59" s="102"/>
      <c r="D59" s="102"/>
      <c r="E59" s="102"/>
      <c r="F59" s="103"/>
      <c r="G59" s="46" t="s">
        <v>19</v>
      </c>
      <c r="H59" s="47" t="s">
        <v>20</v>
      </c>
      <c r="I59" s="48" t="s">
        <v>32</v>
      </c>
      <c r="J59" s="48" t="s">
        <v>33</v>
      </c>
      <c r="K59" s="101" t="s">
        <v>18</v>
      </c>
      <c r="L59" s="102"/>
      <c r="M59" s="102"/>
      <c r="N59" s="102"/>
      <c r="O59" s="102"/>
      <c r="P59" s="102"/>
      <c r="Q59" s="103"/>
      <c r="R59" s="46" t="s">
        <v>19</v>
      </c>
      <c r="S59" s="47" t="s">
        <v>20</v>
      </c>
      <c r="T59" s="48" t="s">
        <v>32</v>
      </c>
      <c r="U59" s="48" t="s">
        <v>33</v>
      </c>
    </row>
    <row r="60" spans="1:21" ht="18" customHeight="1" x14ac:dyDescent="0.15">
      <c r="A60" s="3"/>
      <c r="B60" s="95" t="s">
        <v>23</v>
      </c>
      <c r="C60" s="96"/>
      <c r="D60" s="96"/>
      <c r="E60" s="96"/>
      <c r="F60" s="97"/>
      <c r="G60" s="49">
        <v>2</v>
      </c>
      <c r="H60" s="49" t="s">
        <v>24</v>
      </c>
      <c r="I60" s="49" t="s">
        <v>24</v>
      </c>
      <c r="J60" s="49" t="s">
        <v>24</v>
      </c>
      <c r="K60" s="95"/>
      <c r="L60" s="96"/>
      <c r="M60" s="96"/>
      <c r="N60" s="96"/>
      <c r="O60" s="96"/>
      <c r="P60" s="96"/>
      <c r="Q60" s="97"/>
      <c r="R60" s="49"/>
      <c r="S60" s="49"/>
      <c r="T60" s="49"/>
      <c r="U60" s="49"/>
    </row>
    <row r="61" spans="1:21" ht="18" customHeight="1" x14ac:dyDescent="0.15">
      <c r="A61" s="3"/>
      <c r="B61" s="88"/>
      <c r="C61" s="89"/>
      <c r="D61" s="89"/>
      <c r="E61" s="89"/>
      <c r="F61" s="90"/>
      <c r="G61" s="50"/>
      <c r="H61" s="50"/>
      <c r="I61" s="50"/>
      <c r="J61" s="50"/>
      <c r="K61" s="88"/>
      <c r="L61" s="89"/>
      <c r="M61" s="89"/>
      <c r="N61" s="89"/>
      <c r="O61" s="89"/>
      <c r="P61" s="89"/>
      <c r="Q61" s="90"/>
      <c r="R61" s="50"/>
      <c r="S61" s="50"/>
      <c r="T61" s="50"/>
      <c r="U61" s="50"/>
    </row>
    <row r="62" spans="1:21" ht="18" customHeight="1" x14ac:dyDescent="0.15">
      <c r="A62" s="3"/>
      <c r="B62" s="88"/>
      <c r="C62" s="89"/>
      <c r="D62" s="89"/>
      <c r="E62" s="89"/>
      <c r="F62" s="90"/>
      <c r="G62" s="50"/>
      <c r="H62" s="50"/>
      <c r="I62" s="50"/>
      <c r="J62" s="50"/>
      <c r="K62" s="88"/>
      <c r="L62" s="89"/>
      <c r="M62" s="89"/>
      <c r="N62" s="89"/>
      <c r="O62" s="89"/>
      <c r="P62" s="89"/>
      <c r="Q62" s="90"/>
      <c r="R62" s="50"/>
      <c r="S62" s="50"/>
      <c r="T62" s="50"/>
      <c r="U62" s="50"/>
    </row>
    <row r="63" spans="1:21" ht="18" customHeight="1" x14ac:dyDescent="0.15">
      <c r="A63" s="3"/>
      <c r="B63" s="88"/>
      <c r="C63" s="89"/>
      <c r="D63" s="89"/>
      <c r="E63" s="89"/>
      <c r="F63" s="90"/>
      <c r="G63" s="50"/>
      <c r="H63" s="50"/>
      <c r="I63" s="50"/>
      <c r="J63" s="50"/>
      <c r="K63" s="88"/>
      <c r="L63" s="89"/>
      <c r="M63" s="89"/>
      <c r="N63" s="89"/>
      <c r="O63" s="89"/>
      <c r="P63" s="89"/>
      <c r="Q63" s="90"/>
      <c r="R63" s="50"/>
      <c r="S63" s="50"/>
      <c r="T63" s="50"/>
      <c r="U63" s="50"/>
    </row>
    <row r="64" spans="1:21" ht="18" customHeight="1" x14ac:dyDescent="0.15">
      <c r="A64" s="3"/>
      <c r="B64" s="88"/>
      <c r="C64" s="89"/>
      <c r="D64" s="89"/>
      <c r="E64" s="89"/>
      <c r="F64" s="90"/>
      <c r="G64" s="50"/>
      <c r="H64" s="50"/>
      <c r="I64" s="50"/>
      <c r="J64" s="50"/>
      <c r="K64" s="88"/>
      <c r="L64" s="89"/>
      <c r="M64" s="89"/>
      <c r="N64" s="89"/>
      <c r="O64" s="89"/>
      <c r="P64" s="89"/>
      <c r="Q64" s="90"/>
      <c r="R64" s="50"/>
      <c r="S64" s="50"/>
      <c r="T64" s="50"/>
      <c r="U64" s="50"/>
    </row>
    <row r="65" spans="1:27" ht="18" customHeight="1" x14ac:dyDescent="0.15">
      <c r="A65" s="3"/>
      <c r="B65" s="88"/>
      <c r="C65" s="89"/>
      <c r="D65" s="89"/>
      <c r="E65" s="89"/>
      <c r="F65" s="90"/>
      <c r="G65" s="50"/>
      <c r="H65" s="50"/>
      <c r="I65" s="50"/>
      <c r="J65" s="50"/>
      <c r="K65" s="88"/>
      <c r="L65" s="89"/>
      <c r="M65" s="89"/>
      <c r="N65" s="89"/>
      <c r="O65" s="89"/>
      <c r="P65" s="89"/>
      <c r="Q65" s="90"/>
      <c r="R65" s="50"/>
      <c r="S65" s="50"/>
      <c r="T65" s="50"/>
      <c r="U65" s="50"/>
    </row>
    <row r="66" spans="1:27" ht="18" customHeight="1" x14ac:dyDescent="0.15">
      <c r="A66" s="3"/>
      <c r="B66" s="91"/>
      <c r="C66" s="92"/>
      <c r="D66" s="92"/>
      <c r="E66" s="92"/>
      <c r="F66" s="93"/>
      <c r="G66" s="51"/>
      <c r="H66" s="51"/>
      <c r="I66" s="52"/>
      <c r="J66" s="52"/>
      <c r="K66" s="91"/>
      <c r="L66" s="92"/>
      <c r="M66" s="92"/>
      <c r="N66" s="92"/>
      <c r="O66" s="92"/>
      <c r="P66" s="92"/>
      <c r="Q66" s="93"/>
      <c r="R66" s="51"/>
      <c r="S66" s="51"/>
      <c r="T66" s="52"/>
      <c r="U66" s="52"/>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4" t="s">
        <v>34</v>
      </c>
      <c r="B68" s="94"/>
      <c r="C68" s="94"/>
      <c r="D68" s="94"/>
      <c r="E68" s="94"/>
      <c r="F68" s="94"/>
      <c r="G68" s="94"/>
      <c r="H68" s="94"/>
      <c r="I68" s="94"/>
      <c r="J68" s="94"/>
      <c r="K68" s="94"/>
      <c r="L68" s="94"/>
      <c r="M68" s="94"/>
      <c r="N68" s="94"/>
      <c r="O68" s="94"/>
      <c r="P68" s="94"/>
      <c r="Q68" s="94"/>
      <c r="R68" s="94"/>
      <c r="S68" s="94"/>
      <c r="T68" s="94"/>
      <c r="U68" s="94"/>
    </row>
    <row r="69" spans="1:27" ht="18" customHeight="1" x14ac:dyDescent="0.15">
      <c r="A69" s="94"/>
      <c r="B69" s="94"/>
      <c r="C69" s="94"/>
      <c r="D69" s="94"/>
      <c r="E69" s="94"/>
      <c r="F69" s="94"/>
      <c r="G69" s="94"/>
      <c r="H69" s="94"/>
      <c r="I69" s="94"/>
      <c r="J69" s="94"/>
      <c r="K69" s="94"/>
      <c r="L69" s="94"/>
      <c r="M69" s="94"/>
      <c r="N69" s="94"/>
      <c r="O69" s="94"/>
      <c r="P69" s="94"/>
      <c r="Q69" s="94"/>
      <c r="R69" s="94"/>
      <c r="S69" s="94"/>
      <c r="T69" s="94"/>
      <c r="U69" s="94"/>
    </row>
    <row r="70" spans="1:27" ht="18" customHeight="1" x14ac:dyDescent="0.15">
      <c r="B70" s="101" t="s">
        <v>18</v>
      </c>
      <c r="C70" s="102"/>
      <c r="D70" s="102"/>
      <c r="E70" s="102"/>
      <c r="F70" s="46" t="s">
        <v>19</v>
      </c>
      <c r="G70" s="47" t="s">
        <v>20</v>
      </c>
      <c r="H70" s="48" t="s">
        <v>35</v>
      </c>
      <c r="I70" s="48" t="s">
        <v>36</v>
      </c>
      <c r="J70" s="48" t="s">
        <v>37</v>
      </c>
      <c r="K70" s="101" t="s">
        <v>18</v>
      </c>
      <c r="L70" s="102"/>
      <c r="M70" s="102"/>
      <c r="N70" s="102"/>
      <c r="O70" s="102"/>
      <c r="P70" s="103"/>
      <c r="Q70" s="46" t="s">
        <v>19</v>
      </c>
      <c r="R70" s="47" t="s">
        <v>20</v>
      </c>
      <c r="S70" s="48" t="s">
        <v>35</v>
      </c>
      <c r="T70" s="48" t="s">
        <v>36</v>
      </c>
      <c r="U70" s="48" t="s">
        <v>37</v>
      </c>
    </row>
    <row r="71" spans="1:27" ht="18" customHeight="1" x14ac:dyDescent="0.15">
      <c r="A71" s="3"/>
      <c r="B71" s="95" t="s">
        <v>23</v>
      </c>
      <c r="C71" s="96"/>
      <c r="D71" s="96"/>
      <c r="E71" s="96"/>
      <c r="F71" s="49">
        <v>2</v>
      </c>
      <c r="G71" s="49" t="s">
        <v>24</v>
      </c>
      <c r="H71" s="49" t="s">
        <v>24</v>
      </c>
      <c r="I71" s="49" t="s">
        <v>24</v>
      </c>
      <c r="J71" s="49" t="s">
        <v>24</v>
      </c>
      <c r="K71" s="95"/>
      <c r="L71" s="96"/>
      <c r="M71" s="96"/>
      <c r="N71" s="96"/>
      <c r="O71" s="96"/>
      <c r="P71" s="97"/>
      <c r="Q71" s="49"/>
      <c r="R71" s="49"/>
      <c r="S71" s="49"/>
      <c r="T71" s="49"/>
      <c r="U71" s="49"/>
    </row>
    <row r="72" spans="1:27" ht="18" customHeight="1" x14ac:dyDescent="0.15">
      <c r="A72" s="3"/>
      <c r="B72" s="88"/>
      <c r="C72" s="89"/>
      <c r="D72" s="89"/>
      <c r="E72" s="89"/>
      <c r="F72" s="50"/>
      <c r="G72" s="50"/>
      <c r="H72" s="50"/>
      <c r="I72" s="50"/>
      <c r="J72" s="50"/>
      <c r="K72" s="88"/>
      <c r="L72" s="89"/>
      <c r="M72" s="89"/>
      <c r="N72" s="89"/>
      <c r="O72" s="89"/>
      <c r="P72" s="90"/>
      <c r="Q72" s="50"/>
      <c r="R72" s="50"/>
      <c r="S72" s="50"/>
      <c r="T72" s="50"/>
      <c r="U72" s="50"/>
    </row>
    <row r="73" spans="1:27" ht="18" customHeight="1" x14ac:dyDescent="0.15">
      <c r="A73" s="3"/>
      <c r="B73" s="88"/>
      <c r="C73" s="89"/>
      <c r="D73" s="89"/>
      <c r="E73" s="89"/>
      <c r="F73" s="50"/>
      <c r="G73" s="50"/>
      <c r="H73" s="50"/>
      <c r="I73" s="50"/>
      <c r="J73" s="50"/>
      <c r="K73" s="88"/>
      <c r="L73" s="89"/>
      <c r="M73" s="89"/>
      <c r="N73" s="89"/>
      <c r="O73" s="89"/>
      <c r="P73" s="90"/>
      <c r="Q73" s="50"/>
      <c r="R73" s="50"/>
      <c r="S73" s="50"/>
      <c r="T73" s="50"/>
      <c r="U73" s="50"/>
    </row>
    <row r="74" spans="1:27" ht="18" customHeight="1" x14ac:dyDescent="0.15">
      <c r="A74" s="3"/>
      <c r="B74" s="88"/>
      <c r="C74" s="89"/>
      <c r="D74" s="89"/>
      <c r="E74" s="89"/>
      <c r="F74" s="50"/>
      <c r="G74" s="50"/>
      <c r="H74" s="50"/>
      <c r="I74" s="50"/>
      <c r="J74" s="50"/>
      <c r="K74" s="88"/>
      <c r="L74" s="89"/>
      <c r="M74" s="89"/>
      <c r="N74" s="89"/>
      <c r="O74" s="89"/>
      <c r="P74" s="90"/>
      <c r="Q74" s="50"/>
      <c r="R74" s="50"/>
      <c r="S74" s="50"/>
      <c r="T74" s="50"/>
      <c r="U74" s="50"/>
    </row>
    <row r="75" spans="1:27" ht="18" customHeight="1" x14ac:dyDescent="0.15">
      <c r="A75" s="3"/>
      <c r="B75" s="88"/>
      <c r="C75" s="89"/>
      <c r="D75" s="89"/>
      <c r="E75" s="89"/>
      <c r="F75" s="50"/>
      <c r="G75" s="50"/>
      <c r="H75" s="50"/>
      <c r="I75" s="50"/>
      <c r="J75" s="50"/>
      <c r="K75" s="88"/>
      <c r="L75" s="89"/>
      <c r="M75" s="89"/>
      <c r="N75" s="89"/>
      <c r="O75" s="89"/>
      <c r="P75" s="90"/>
      <c r="Q75" s="50"/>
      <c r="R75" s="50"/>
      <c r="S75" s="50"/>
      <c r="T75" s="50"/>
      <c r="U75" s="50"/>
    </row>
    <row r="76" spans="1:27" ht="18" customHeight="1" x14ac:dyDescent="0.15">
      <c r="A76" s="3"/>
      <c r="B76" s="88"/>
      <c r="C76" s="89"/>
      <c r="D76" s="89"/>
      <c r="E76" s="89"/>
      <c r="F76" s="50"/>
      <c r="G76" s="50"/>
      <c r="H76" s="50"/>
      <c r="I76" s="50"/>
      <c r="J76" s="50"/>
      <c r="K76" s="88"/>
      <c r="L76" s="89"/>
      <c r="M76" s="89"/>
      <c r="N76" s="89"/>
      <c r="O76" s="89"/>
      <c r="P76" s="90"/>
      <c r="Q76" s="50"/>
      <c r="R76" s="50"/>
      <c r="S76" s="50"/>
      <c r="T76" s="50"/>
      <c r="U76" s="50"/>
    </row>
    <row r="77" spans="1:27" ht="18" customHeight="1" x14ac:dyDescent="0.15">
      <c r="A77" s="3"/>
      <c r="B77" s="91"/>
      <c r="C77" s="92"/>
      <c r="D77" s="92"/>
      <c r="E77" s="92"/>
      <c r="F77" s="51"/>
      <c r="G77" s="51"/>
      <c r="H77" s="52"/>
      <c r="I77" s="52"/>
      <c r="J77" s="52"/>
      <c r="K77" s="91"/>
      <c r="L77" s="92"/>
      <c r="M77" s="92"/>
      <c r="N77" s="92"/>
      <c r="O77" s="92"/>
      <c r="P77" s="93"/>
      <c r="Q77" s="51"/>
      <c r="R77" s="51"/>
      <c r="S77" s="52"/>
      <c r="T77" s="52"/>
      <c r="U77" s="52"/>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38</v>
      </c>
      <c r="I79" s="3"/>
      <c r="J79" s="3"/>
      <c r="K79" s="3"/>
      <c r="L79" s="3"/>
      <c r="M79" s="3"/>
      <c r="N79" s="3"/>
      <c r="O79" s="3"/>
      <c r="P79" s="3"/>
      <c r="Q79" s="3"/>
      <c r="R79" s="3"/>
      <c r="S79" s="3"/>
      <c r="T79" s="3"/>
      <c r="U79" s="3"/>
    </row>
    <row r="80" spans="1:27" ht="18" customHeight="1" x14ac:dyDescent="0.15">
      <c r="B80" s="101" t="s">
        <v>18</v>
      </c>
      <c r="C80" s="102"/>
      <c r="D80" s="102"/>
      <c r="E80" s="102"/>
      <c r="F80" s="103"/>
      <c r="G80" s="101" t="s">
        <v>39</v>
      </c>
      <c r="H80" s="102"/>
      <c r="I80" s="102"/>
      <c r="J80" s="103"/>
      <c r="K80" s="109" t="s">
        <v>18</v>
      </c>
      <c r="L80" s="110"/>
      <c r="M80" s="110"/>
      <c r="N80" s="110"/>
      <c r="O80" s="110"/>
      <c r="P80" s="110"/>
      <c r="Q80" s="111"/>
      <c r="R80" s="101" t="s">
        <v>39</v>
      </c>
      <c r="S80" s="102"/>
      <c r="T80" s="102"/>
      <c r="U80" s="103"/>
      <c r="AA80" s="1" t="s">
        <v>40</v>
      </c>
    </row>
    <row r="81" spans="1:27" ht="18" customHeight="1" x14ac:dyDescent="0.15">
      <c r="A81" s="3"/>
      <c r="B81" s="95"/>
      <c r="C81" s="96"/>
      <c r="D81" s="96"/>
      <c r="E81" s="96"/>
      <c r="F81" s="97"/>
      <c r="G81" s="98"/>
      <c r="H81" s="99"/>
      <c r="I81" s="99"/>
      <c r="J81" s="100"/>
      <c r="K81" s="95"/>
      <c r="L81" s="96"/>
      <c r="M81" s="96"/>
      <c r="N81" s="96"/>
      <c r="O81" s="96"/>
      <c r="P81" s="96"/>
      <c r="Q81" s="97"/>
      <c r="R81" s="98"/>
      <c r="S81" s="99"/>
      <c r="T81" s="99"/>
      <c r="U81" s="100"/>
      <c r="AA81" s="1" t="s">
        <v>41</v>
      </c>
    </row>
    <row r="82" spans="1:27" ht="18" customHeight="1" x14ac:dyDescent="0.15">
      <c r="A82" s="3"/>
      <c r="B82" s="88"/>
      <c r="C82" s="89"/>
      <c r="D82" s="89"/>
      <c r="E82" s="89"/>
      <c r="F82" s="90"/>
      <c r="G82" s="106"/>
      <c r="H82" s="107"/>
      <c r="I82" s="107"/>
      <c r="J82" s="108"/>
      <c r="K82" s="88"/>
      <c r="L82" s="89"/>
      <c r="M82" s="89"/>
      <c r="N82" s="89"/>
      <c r="O82" s="89"/>
      <c r="P82" s="89"/>
      <c r="Q82" s="90"/>
      <c r="R82" s="106"/>
      <c r="S82" s="107"/>
      <c r="T82" s="107"/>
      <c r="U82" s="108"/>
      <c r="AA82" s="1" t="s">
        <v>42</v>
      </c>
    </row>
    <row r="83" spans="1:27" ht="18" customHeight="1" x14ac:dyDescent="0.15">
      <c r="A83" s="3"/>
      <c r="B83" s="88"/>
      <c r="C83" s="89"/>
      <c r="D83" s="89"/>
      <c r="E83" s="89"/>
      <c r="F83" s="90"/>
      <c r="G83" s="106"/>
      <c r="H83" s="107"/>
      <c r="I83" s="107"/>
      <c r="J83" s="108"/>
      <c r="K83" s="88"/>
      <c r="L83" s="89"/>
      <c r="M83" s="89"/>
      <c r="N83" s="89"/>
      <c r="O83" s="89"/>
      <c r="P83" s="89"/>
      <c r="Q83" s="90"/>
      <c r="R83" s="106"/>
      <c r="S83" s="107"/>
      <c r="T83" s="107"/>
      <c r="U83" s="108"/>
      <c r="AA83" s="1" t="s">
        <v>43</v>
      </c>
    </row>
    <row r="84" spans="1:27" ht="18" customHeight="1" x14ac:dyDescent="0.15">
      <c r="A84" s="3"/>
      <c r="B84" s="88"/>
      <c r="C84" s="89"/>
      <c r="D84" s="89"/>
      <c r="E84" s="89"/>
      <c r="F84" s="90"/>
      <c r="G84" s="106"/>
      <c r="H84" s="107"/>
      <c r="I84" s="107"/>
      <c r="J84" s="108"/>
      <c r="K84" s="88"/>
      <c r="L84" s="89"/>
      <c r="M84" s="89"/>
      <c r="N84" s="89"/>
      <c r="O84" s="89"/>
      <c r="P84" s="89"/>
      <c r="Q84" s="90"/>
      <c r="R84" s="106"/>
      <c r="S84" s="107"/>
      <c r="T84" s="107"/>
      <c r="U84" s="108"/>
      <c r="AA84" s="1" t="s">
        <v>44</v>
      </c>
    </row>
    <row r="85" spans="1:27" ht="18" customHeight="1" x14ac:dyDescent="0.15">
      <c r="A85" s="3"/>
      <c r="B85" s="88"/>
      <c r="C85" s="89"/>
      <c r="D85" s="89"/>
      <c r="E85" s="89"/>
      <c r="F85" s="90"/>
      <c r="G85" s="106"/>
      <c r="H85" s="107"/>
      <c r="I85" s="107"/>
      <c r="J85" s="108"/>
      <c r="K85" s="88"/>
      <c r="L85" s="89"/>
      <c r="M85" s="89"/>
      <c r="N85" s="89"/>
      <c r="O85" s="89"/>
      <c r="P85" s="89"/>
      <c r="Q85" s="90"/>
      <c r="R85" s="106"/>
      <c r="S85" s="107"/>
      <c r="T85" s="107"/>
      <c r="U85" s="108"/>
      <c r="AA85" s="1" t="s">
        <v>45</v>
      </c>
    </row>
    <row r="86" spans="1:27" ht="18" customHeight="1" x14ac:dyDescent="0.15">
      <c r="A86" s="3"/>
      <c r="B86" s="88"/>
      <c r="C86" s="89"/>
      <c r="D86" s="89"/>
      <c r="E86" s="89"/>
      <c r="F86" s="90"/>
      <c r="G86" s="106"/>
      <c r="H86" s="107"/>
      <c r="I86" s="107"/>
      <c r="J86" s="108"/>
      <c r="K86" s="88"/>
      <c r="L86" s="89"/>
      <c r="M86" s="89"/>
      <c r="N86" s="89"/>
      <c r="O86" s="89"/>
      <c r="P86" s="89"/>
      <c r="Q86" s="90"/>
      <c r="R86" s="106"/>
      <c r="S86" s="107"/>
      <c r="T86" s="107"/>
      <c r="U86" s="108"/>
      <c r="AA86" s="1" t="s">
        <v>46</v>
      </c>
    </row>
    <row r="87" spans="1:27" ht="18" customHeight="1" x14ac:dyDescent="0.15">
      <c r="A87" s="3"/>
      <c r="B87" s="91"/>
      <c r="C87" s="92"/>
      <c r="D87" s="92"/>
      <c r="E87" s="92"/>
      <c r="F87" s="93"/>
      <c r="G87" s="125"/>
      <c r="H87" s="126"/>
      <c r="I87" s="126"/>
      <c r="J87" s="127"/>
      <c r="K87" s="91"/>
      <c r="L87" s="92"/>
      <c r="M87" s="92"/>
      <c r="N87" s="92"/>
      <c r="O87" s="92"/>
      <c r="P87" s="92"/>
      <c r="Q87" s="93"/>
      <c r="R87" s="125"/>
      <c r="S87" s="126"/>
      <c r="T87" s="126"/>
      <c r="U87" s="127"/>
      <c r="AA87" s="1" t="s">
        <v>47</v>
      </c>
    </row>
    <row r="88" spans="1:27" ht="18" customHeight="1" x14ac:dyDescent="0.15">
      <c r="A88" s="3"/>
      <c r="B88" s="6"/>
      <c r="C88" s="6"/>
      <c r="D88" s="6"/>
      <c r="E88" s="6"/>
      <c r="F88" s="6"/>
      <c r="G88" s="53"/>
      <c r="H88" s="53"/>
      <c r="I88" s="53"/>
      <c r="J88" s="53"/>
      <c r="K88" s="6"/>
      <c r="L88" s="6"/>
      <c r="M88" s="6"/>
      <c r="N88" s="6"/>
      <c r="O88" s="6"/>
      <c r="P88" s="6"/>
      <c r="Q88" s="6"/>
      <c r="R88" s="53"/>
      <c r="S88" s="53"/>
      <c r="T88" s="53"/>
      <c r="U88" s="53"/>
      <c r="AA88" s="1" t="s">
        <v>48</v>
      </c>
    </row>
    <row r="89" spans="1:27" ht="18.75" customHeight="1" x14ac:dyDescent="0.15">
      <c r="A89" s="1" t="s">
        <v>49</v>
      </c>
      <c r="AA89" s="1" t="s">
        <v>50</v>
      </c>
    </row>
    <row r="90" spans="1:27" ht="18.75" customHeight="1" x14ac:dyDescent="0.15">
      <c r="B90" s="129" t="s">
        <v>51</v>
      </c>
      <c r="C90" s="130"/>
      <c r="D90" s="101" t="s">
        <v>52</v>
      </c>
      <c r="E90" s="102"/>
      <c r="F90" s="102"/>
      <c r="G90" s="102"/>
      <c r="H90" s="102"/>
      <c r="I90" s="102"/>
      <c r="J90" s="102"/>
      <c r="K90" s="102"/>
      <c r="L90" s="102"/>
      <c r="M90" s="102"/>
      <c r="N90" s="102"/>
      <c r="O90" s="102"/>
      <c r="P90" s="102"/>
      <c r="Q90" s="102"/>
      <c r="R90" s="102"/>
      <c r="S90" s="102"/>
      <c r="T90" s="102"/>
      <c r="U90" s="103"/>
    </row>
    <row r="91" spans="1:27" ht="97.5" customHeight="1" x14ac:dyDescent="0.15">
      <c r="B91" s="104" t="s">
        <v>53</v>
      </c>
      <c r="C91" s="54" t="s">
        <v>21</v>
      </c>
      <c r="D91" s="135" t="s">
        <v>54</v>
      </c>
      <c r="E91" s="136"/>
      <c r="F91" s="136"/>
      <c r="G91" s="136"/>
      <c r="H91" s="136"/>
      <c r="I91" s="136"/>
      <c r="J91" s="136"/>
      <c r="K91" s="136"/>
      <c r="L91" s="136"/>
      <c r="M91" s="136"/>
      <c r="N91" s="136"/>
      <c r="O91" s="136"/>
      <c r="P91" s="136"/>
      <c r="Q91" s="136"/>
      <c r="R91" s="136"/>
      <c r="S91" s="136"/>
      <c r="T91" s="136"/>
      <c r="U91" s="137"/>
    </row>
    <row r="92" spans="1:27" ht="97.5" customHeight="1" x14ac:dyDescent="0.15">
      <c r="B92" s="128"/>
      <c r="C92" s="55" t="s">
        <v>55</v>
      </c>
      <c r="D92" s="149" t="s">
        <v>56</v>
      </c>
      <c r="E92" s="150"/>
      <c r="F92" s="150"/>
      <c r="G92" s="150"/>
      <c r="H92" s="150"/>
      <c r="I92" s="150"/>
      <c r="J92" s="150"/>
      <c r="K92" s="150"/>
      <c r="L92" s="150"/>
      <c r="M92" s="150"/>
      <c r="N92" s="150"/>
      <c r="O92" s="150"/>
      <c r="P92" s="150"/>
      <c r="Q92" s="150"/>
      <c r="R92" s="150"/>
      <c r="S92" s="150"/>
      <c r="T92" s="150"/>
      <c r="U92" s="151"/>
    </row>
    <row r="93" spans="1:27" ht="97.5" customHeight="1" x14ac:dyDescent="0.15">
      <c r="B93" s="104" t="s">
        <v>57</v>
      </c>
      <c r="C93" s="56" t="s">
        <v>26</v>
      </c>
      <c r="D93" s="142" t="s">
        <v>58</v>
      </c>
      <c r="E93" s="136"/>
      <c r="F93" s="136"/>
      <c r="G93" s="136"/>
      <c r="H93" s="136"/>
      <c r="I93" s="136"/>
      <c r="J93" s="136"/>
      <c r="K93" s="136"/>
      <c r="L93" s="136"/>
      <c r="M93" s="136"/>
      <c r="N93" s="136"/>
      <c r="O93" s="136"/>
      <c r="P93" s="136"/>
      <c r="Q93" s="136"/>
      <c r="R93" s="136"/>
      <c r="S93" s="136"/>
      <c r="T93" s="136"/>
      <c r="U93" s="137"/>
    </row>
    <row r="94" spans="1:27" ht="97.5" customHeight="1" x14ac:dyDescent="0.15">
      <c r="B94" s="105"/>
      <c r="C94" s="57" t="s">
        <v>27</v>
      </c>
      <c r="D94" s="141" t="s">
        <v>59</v>
      </c>
      <c r="E94" s="133"/>
      <c r="F94" s="133"/>
      <c r="G94" s="133"/>
      <c r="H94" s="133"/>
      <c r="I94" s="133"/>
      <c r="J94" s="133"/>
      <c r="K94" s="133"/>
      <c r="L94" s="133"/>
      <c r="M94" s="133"/>
      <c r="N94" s="133"/>
      <c r="O94" s="133"/>
      <c r="P94" s="133"/>
      <c r="Q94" s="133"/>
      <c r="R94" s="133"/>
      <c r="S94" s="133"/>
      <c r="T94" s="133"/>
      <c r="U94" s="134"/>
    </row>
    <row r="95" spans="1:27" ht="97.5" customHeight="1" x14ac:dyDescent="0.15">
      <c r="B95" s="104" t="s">
        <v>60</v>
      </c>
      <c r="C95" s="56" t="s">
        <v>29</v>
      </c>
      <c r="D95" s="152" t="s">
        <v>181</v>
      </c>
      <c r="E95" s="153"/>
      <c r="F95" s="153"/>
      <c r="G95" s="153"/>
      <c r="H95" s="153"/>
      <c r="I95" s="153"/>
      <c r="J95" s="153"/>
      <c r="K95" s="153"/>
      <c r="L95" s="153"/>
      <c r="M95" s="153"/>
      <c r="N95" s="153"/>
      <c r="O95" s="153"/>
      <c r="P95" s="153"/>
      <c r="Q95" s="153"/>
      <c r="R95" s="153"/>
      <c r="S95" s="153"/>
      <c r="T95" s="153"/>
      <c r="U95" s="154"/>
    </row>
    <row r="96" spans="1:27" ht="97.5" customHeight="1" x14ac:dyDescent="0.15">
      <c r="B96" s="105"/>
      <c r="C96" s="58" t="s">
        <v>30</v>
      </c>
      <c r="D96" s="141" t="s">
        <v>61</v>
      </c>
      <c r="E96" s="133"/>
      <c r="F96" s="133"/>
      <c r="G96" s="133"/>
      <c r="H96" s="133"/>
      <c r="I96" s="133"/>
      <c r="J96" s="133"/>
      <c r="K96" s="133"/>
      <c r="L96" s="133"/>
      <c r="M96" s="133"/>
      <c r="N96" s="133"/>
      <c r="O96" s="133"/>
      <c r="P96" s="133"/>
      <c r="Q96" s="133"/>
      <c r="R96" s="133"/>
      <c r="S96" s="133"/>
      <c r="T96" s="133"/>
      <c r="U96" s="134"/>
    </row>
    <row r="97" spans="1:21" ht="97.5" customHeight="1" x14ac:dyDescent="0.15">
      <c r="B97" s="104" t="s">
        <v>62</v>
      </c>
      <c r="C97" s="54" t="s">
        <v>32</v>
      </c>
      <c r="D97" s="142" t="s">
        <v>63</v>
      </c>
      <c r="E97" s="136"/>
      <c r="F97" s="136"/>
      <c r="G97" s="136"/>
      <c r="H97" s="136"/>
      <c r="I97" s="136"/>
      <c r="J97" s="136"/>
      <c r="K97" s="136"/>
      <c r="L97" s="136"/>
      <c r="M97" s="136"/>
      <c r="N97" s="136"/>
      <c r="O97" s="136"/>
      <c r="P97" s="136"/>
      <c r="Q97" s="136"/>
      <c r="R97" s="136"/>
      <c r="S97" s="136"/>
      <c r="T97" s="136"/>
      <c r="U97" s="137"/>
    </row>
    <row r="98" spans="1:21" ht="97.5" customHeight="1" x14ac:dyDescent="0.15">
      <c r="B98" s="105"/>
      <c r="C98" s="57" t="s">
        <v>33</v>
      </c>
      <c r="D98" s="132" t="s">
        <v>64</v>
      </c>
      <c r="E98" s="133"/>
      <c r="F98" s="133"/>
      <c r="G98" s="133"/>
      <c r="H98" s="133"/>
      <c r="I98" s="133"/>
      <c r="J98" s="133"/>
      <c r="K98" s="133"/>
      <c r="L98" s="133"/>
      <c r="M98" s="133"/>
      <c r="N98" s="133"/>
      <c r="O98" s="133"/>
      <c r="P98" s="133"/>
      <c r="Q98" s="133"/>
      <c r="R98" s="133"/>
      <c r="S98" s="133"/>
      <c r="T98" s="133"/>
      <c r="U98" s="134"/>
    </row>
    <row r="99" spans="1:21" ht="97.5" customHeight="1" x14ac:dyDescent="0.15">
      <c r="B99" s="104" t="s">
        <v>65</v>
      </c>
      <c r="C99" s="56" t="s">
        <v>66</v>
      </c>
      <c r="D99" s="135" t="s">
        <v>67</v>
      </c>
      <c r="E99" s="136"/>
      <c r="F99" s="136"/>
      <c r="G99" s="136"/>
      <c r="H99" s="136"/>
      <c r="I99" s="136"/>
      <c r="J99" s="136"/>
      <c r="K99" s="136"/>
      <c r="L99" s="136"/>
      <c r="M99" s="136"/>
      <c r="N99" s="136"/>
      <c r="O99" s="136"/>
      <c r="P99" s="136"/>
      <c r="Q99" s="136"/>
      <c r="R99" s="136"/>
      <c r="S99" s="136"/>
      <c r="T99" s="136"/>
      <c r="U99" s="137"/>
    </row>
    <row r="100" spans="1:21" ht="97.5" customHeight="1" x14ac:dyDescent="0.15">
      <c r="B100" s="128"/>
      <c r="C100" s="59" t="s">
        <v>36</v>
      </c>
      <c r="D100" s="138" t="s">
        <v>68</v>
      </c>
      <c r="E100" s="139"/>
      <c r="F100" s="139"/>
      <c r="G100" s="139"/>
      <c r="H100" s="139"/>
      <c r="I100" s="139"/>
      <c r="J100" s="139"/>
      <c r="K100" s="139"/>
      <c r="L100" s="139"/>
      <c r="M100" s="139"/>
      <c r="N100" s="139"/>
      <c r="O100" s="139"/>
      <c r="P100" s="139"/>
      <c r="Q100" s="139"/>
      <c r="R100" s="139"/>
      <c r="S100" s="139"/>
      <c r="T100" s="139"/>
      <c r="U100" s="140"/>
    </row>
    <row r="101" spans="1:21" ht="97.5" customHeight="1" x14ac:dyDescent="0.15">
      <c r="B101" s="105"/>
      <c r="C101" s="58" t="s">
        <v>37</v>
      </c>
      <c r="D101" s="141" t="s">
        <v>69</v>
      </c>
      <c r="E101" s="133"/>
      <c r="F101" s="133"/>
      <c r="G101" s="133"/>
      <c r="H101" s="133"/>
      <c r="I101" s="133"/>
      <c r="J101" s="133"/>
      <c r="K101" s="133"/>
      <c r="L101" s="133"/>
      <c r="M101" s="133"/>
      <c r="N101" s="133"/>
      <c r="O101" s="133"/>
      <c r="P101" s="133"/>
      <c r="Q101" s="133"/>
      <c r="R101" s="133"/>
      <c r="S101" s="133"/>
      <c r="T101" s="133"/>
      <c r="U101" s="134"/>
    </row>
    <row r="102" spans="1:21" ht="6" customHeight="1" x14ac:dyDescent="0.15"/>
    <row r="103" spans="1:21" ht="18.75" customHeight="1" x14ac:dyDescent="0.15">
      <c r="A103" s="1" t="s">
        <v>70</v>
      </c>
    </row>
    <row r="104" spans="1:21" ht="81.75" customHeight="1" x14ac:dyDescent="0.15">
      <c r="B104" s="122" t="s">
        <v>71</v>
      </c>
      <c r="C104" s="123"/>
      <c r="D104" s="123"/>
      <c r="E104" s="123"/>
      <c r="F104" s="123"/>
      <c r="G104" s="123"/>
      <c r="H104" s="123"/>
      <c r="I104" s="123"/>
      <c r="J104" s="123"/>
      <c r="K104" s="123"/>
      <c r="L104" s="123"/>
      <c r="M104" s="123"/>
      <c r="N104" s="123"/>
      <c r="O104" s="123"/>
      <c r="P104" s="123"/>
      <c r="Q104" s="123"/>
      <c r="R104" s="123"/>
      <c r="S104" s="123"/>
      <c r="T104" s="123"/>
      <c r="U104" s="124"/>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S13" sqref="S13"/>
    </sheetView>
  </sheetViews>
  <sheetFormatPr defaultColWidth="9" defaultRowHeight="18.75" customHeight="1" x14ac:dyDescent="0.15"/>
  <cols>
    <col min="1" max="1" width="2.875" style="1" customWidth="1"/>
    <col min="2" max="2" width="27.875" style="1" customWidth="1"/>
    <col min="3" max="18" width="6.125" style="1" customWidth="1"/>
    <col min="19" max="19" width="6.625" style="1" customWidth="1"/>
    <col min="20" max="16384" width="9" style="1"/>
  </cols>
  <sheetData>
    <row r="1" spans="1:21" ht="18" customHeight="1" x14ac:dyDescent="0.15">
      <c r="A1" s="42"/>
      <c r="B1" s="42"/>
      <c r="C1" s="42"/>
      <c r="D1" s="42"/>
      <c r="E1" s="42"/>
      <c r="F1" s="42"/>
      <c r="G1" s="42"/>
      <c r="H1" s="42"/>
      <c r="I1" s="42"/>
      <c r="J1" s="42"/>
      <c r="K1" s="42"/>
      <c r="L1" s="42"/>
      <c r="M1" s="42"/>
      <c r="N1" s="42"/>
      <c r="O1" s="42"/>
      <c r="P1" s="42"/>
      <c r="Q1" s="42"/>
      <c r="R1" s="42"/>
      <c r="S1" s="42" t="s">
        <v>72</v>
      </c>
    </row>
    <row r="2" spans="1:21" ht="18" customHeight="1" x14ac:dyDescent="0.15">
      <c r="A2" s="42"/>
      <c r="B2" s="42"/>
      <c r="C2" s="42"/>
      <c r="D2" s="42"/>
      <c r="E2" s="42"/>
      <c r="F2" s="42"/>
      <c r="G2" s="42"/>
      <c r="H2" s="42"/>
      <c r="I2" s="42"/>
      <c r="J2" s="42"/>
      <c r="K2" s="42"/>
      <c r="L2" s="42"/>
      <c r="M2" s="42"/>
      <c r="N2" s="42"/>
      <c r="O2" s="42"/>
      <c r="P2" s="42"/>
      <c r="Q2" s="162" t="str">
        <f>'様式１　プログラムを構成する授業科目'!C2</f>
        <v>青森中央短期大学</v>
      </c>
      <c r="R2" s="162"/>
      <c r="S2" s="162"/>
    </row>
    <row r="3" spans="1:21" ht="18" customHeight="1" x14ac:dyDescent="0.15">
      <c r="A3" s="112" t="s">
        <v>73</v>
      </c>
      <c r="B3" s="112"/>
      <c r="C3" s="112"/>
      <c r="D3" s="112"/>
      <c r="E3" s="112"/>
      <c r="F3" s="112"/>
      <c r="G3" s="112"/>
      <c r="H3" s="112"/>
      <c r="I3" s="112"/>
      <c r="J3" s="112"/>
      <c r="K3" s="112"/>
      <c r="L3" s="112"/>
      <c r="M3" s="112"/>
      <c r="N3" s="112"/>
      <c r="O3" s="112"/>
      <c r="P3" s="112"/>
      <c r="Q3" s="112"/>
      <c r="R3" s="112"/>
      <c r="S3" s="112"/>
    </row>
    <row r="4" spans="1:21" ht="7.5" customHeight="1" x14ac:dyDescent="0.15">
      <c r="A4" s="44"/>
      <c r="B4" s="44"/>
      <c r="C4" s="44"/>
      <c r="D4" s="44"/>
      <c r="E4" s="44"/>
      <c r="F4" s="44"/>
      <c r="G4" s="44"/>
      <c r="H4" s="44"/>
      <c r="I4" s="44"/>
      <c r="J4" s="44"/>
      <c r="K4" s="44"/>
      <c r="L4" s="44"/>
      <c r="M4" s="44"/>
      <c r="N4" s="44"/>
      <c r="O4" s="44"/>
      <c r="P4" s="44"/>
      <c r="Q4" s="44"/>
      <c r="R4" s="44"/>
      <c r="S4" s="44"/>
    </row>
    <row r="5" spans="1:21" ht="18" customHeight="1" x14ac:dyDescent="0.15">
      <c r="A5" s="42" t="s">
        <v>74</v>
      </c>
      <c r="B5" s="42"/>
      <c r="C5" s="163" t="s">
        <v>75</v>
      </c>
      <c r="D5" s="164"/>
      <c r="E5" s="45" t="s">
        <v>76</v>
      </c>
      <c r="F5" s="44"/>
      <c r="G5" s="44"/>
      <c r="H5" s="44"/>
      <c r="I5" s="44"/>
      <c r="J5" s="44"/>
      <c r="K5" s="44"/>
      <c r="L5" s="44"/>
      <c r="M5" s="44"/>
      <c r="N5" s="44"/>
      <c r="O5" s="44"/>
      <c r="P5" s="44"/>
      <c r="Q5" s="44"/>
      <c r="R5" s="43"/>
      <c r="S5" s="43"/>
    </row>
    <row r="6" spans="1:21" ht="7.35" customHeight="1" x14ac:dyDescent="0.15">
      <c r="A6" s="42"/>
      <c r="B6" s="42"/>
      <c r="C6" s="63"/>
      <c r="D6" s="63"/>
      <c r="E6" s="44"/>
      <c r="F6" s="44"/>
      <c r="G6" s="44"/>
      <c r="H6" s="44"/>
      <c r="I6" s="44"/>
      <c r="J6" s="44"/>
      <c r="K6" s="44"/>
      <c r="L6" s="44"/>
      <c r="M6" s="44"/>
      <c r="N6" s="44"/>
      <c r="O6" s="44"/>
      <c r="P6" s="44"/>
      <c r="Q6" s="44"/>
      <c r="R6" s="43"/>
      <c r="S6" s="43"/>
    </row>
    <row r="7" spans="1:21" ht="18" customHeight="1" x14ac:dyDescent="0.15">
      <c r="A7" s="42" t="s">
        <v>77</v>
      </c>
      <c r="B7" s="42"/>
      <c r="C7" s="63"/>
      <c r="D7" s="63"/>
      <c r="E7" s="44" t="s">
        <v>78</v>
      </c>
      <c r="F7" s="66">
        <v>15</v>
      </c>
      <c r="G7" s="45" t="s">
        <v>79</v>
      </c>
      <c r="H7" s="44" t="s">
        <v>80</v>
      </c>
      <c r="I7" s="66">
        <v>150</v>
      </c>
      <c r="J7" s="45" t="s">
        <v>79</v>
      </c>
      <c r="K7" s="67" t="s">
        <v>81</v>
      </c>
      <c r="L7" s="44" t="s">
        <v>82</v>
      </c>
      <c r="M7" s="66">
        <f>F7+I7</f>
        <v>165</v>
      </c>
      <c r="N7" s="44" t="s">
        <v>83</v>
      </c>
      <c r="O7" s="45" t="s">
        <v>84</v>
      </c>
      <c r="P7" s="44"/>
      <c r="Q7" s="44"/>
      <c r="R7" s="43"/>
      <c r="S7" s="43"/>
    </row>
    <row r="8" spans="1:21" ht="17.45" customHeight="1" x14ac:dyDescent="0.15">
      <c r="A8" s="44"/>
      <c r="B8" s="68" t="s">
        <v>85</v>
      </c>
      <c r="C8" s="44"/>
      <c r="D8" s="44"/>
      <c r="E8" s="44"/>
      <c r="F8" s="44"/>
      <c r="G8" s="44"/>
      <c r="H8" s="44"/>
      <c r="I8" s="44"/>
      <c r="J8" s="44"/>
      <c r="K8" s="44"/>
      <c r="L8" s="44"/>
      <c r="M8" s="44"/>
      <c r="N8" s="44"/>
      <c r="O8" s="44"/>
      <c r="P8" s="44"/>
      <c r="Q8" s="44"/>
      <c r="R8" s="44"/>
      <c r="S8" s="44"/>
    </row>
    <row r="9" spans="1:21" ht="18" customHeight="1" x14ac:dyDescent="0.15">
      <c r="A9" s="42" t="s">
        <v>86</v>
      </c>
      <c r="B9" s="44"/>
      <c r="C9" s="44"/>
      <c r="D9" s="44"/>
      <c r="E9" s="44"/>
      <c r="F9" s="44"/>
      <c r="G9" s="44"/>
      <c r="H9" s="44"/>
      <c r="I9" s="44"/>
      <c r="J9" s="44"/>
      <c r="K9" s="44"/>
      <c r="L9" s="44"/>
      <c r="M9" s="44"/>
      <c r="N9" s="44"/>
      <c r="O9" s="44"/>
      <c r="P9" s="44"/>
      <c r="Q9" s="44"/>
      <c r="R9" s="44"/>
      <c r="S9" s="4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5" t="s">
        <v>87</v>
      </c>
      <c r="C11" s="175" t="s">
        <v>88</v>
      </c>
      <c r="D11" s="167" t="s">
        <v>89</v>
      </c>
      <c r="E11" s="169" t="s">
        <v>90</v>
      </c>
      <c r="F11" s="161" t="s">
        <v>91</v>
      </c>
      <c r="G11" s="161"/>
      <c r="H11" s="161" t="s">
        <v>92</v>
      </c>
      <c r="I11" s="161"/>
      <c r="J11" s="161" t="s">
        <v>93</v>
      </c>
      <c r="K11" s="161"/>
      <c r="L11" s="161" t="s">
        <v>94</v>
      </c>
      <c r="M11" s="161"/>
      <c r="N11" s="161" t="s">
        <v>95</v>
      </c>
      <c r="O11" s="161"/>
      <c r="P11" s="161" t="s">
        <v>96</v>
      </c>
      <c r="Q11" s="161"/>
      <c r="R11" s="171" t="s">
        <v>97</v>
      </c>
      <c r="S11" s="173" t="s">
        <v>98</v>
      </c>
      <c r="U11" s="2"/>
    </row>
    <row r="12" spans="1:21" ht="17.100000000000001" customHeight="1" x14ac:dyDescent="0.15">
      <c r="B12" s="166"/>
      <c r="C12" s="176"/>
      <c r="D12" s="168"/>
      <c r="E12" s="170"/>
      <c r="F12" s="64" t="s">
        <v>99</v>
      </c>
      <c r="G12" s="64" t="s">
        <v>100</v>
      </c>
      <c r="H12" s="64" t="s">
        <v>99</v>
      </c>
      <c r="I12" s="64" t="s">
        <v>100</v>
      </c>
      <c r="J12" s="64" t="s">
        <v>99</v>
      </c>
      <c r="K12" s="64" t="s">
        <v>100</v>
      </c>
      <c r="L12" s="64" t="s">
        <v>99</v>
      </c>
      <c r="M12" s="64" t="s">
        <v>100</v>
      </c>
      <c r="N12" s="64" t="s">
        <v>99</v>
      </c>
      <c r="O12" s="64" t="s">
        <v>100</v>
      </c>
      <c r="P12" s="64" t="s">
        <v>99</v>
      </c>
      <c r="Q12" s="65" t="s">
        <v>100</v>
      </c>
      <c r="R12" s="172"/>
      <c r="S12" s="174"/>
      <c r="U12" s="2"/>
    </row>
    <row r="13" spans="1:21" ht="18" customHeight="1" x14ac:dyDescent="0.15">
      <c r="A13" s="6"/>
      <c r="B13" s="11" t="s">
        <v>101</v>
      </c>
      <c r="C13" s="32">
        <f>10+83</f>
        <v>93</v>
      </c>
      <c r="D13" s="33">
        <v>60</v>
      </c>
      <c r="E13" s="34">
        <v>120</v>
      </c>
      <c r="F13" s="31">
        <v>46</v>
      </c>
      <c r="G13" s="31">
        <v>44</v>
      </c>
      <c r="H13" s="69"/>
      <c r="I13" s="69"/>
      <c r="J13" s="69"/>
      <c r="K13" s="69"/>
      <c r="L13" s="69"/>
      <c r="M13" s="69"/>
      <c r="N13" s="69"/>
      <c r="O13" s="69"/>
      <c r="P13" s="69"/>
      <c r="Q13" s="70"/>
      <c r="R13" s="30">
        <f t="shared" ref="R13:R32" si="0">F13+H13+J13+L13+N13+P13</f>
        <v>46</v>
      </c>
      <c r="S13" s="41">
        <f>R13/E13</f>
        <v>0.38333333333333336</v>
      </c>
    </row>
    <row r="14" spans="1:21" ht="18" customHeight="1" x14ac:dyDescent="0.15">
      <c r="A14" s="6"/>
      <c r="B14" s="11" t="s">
        <v>102</v>
      </c>
      <c r="C14" s="32">
        <f>5+67</f>
        <v>72</v>
      </c>
      <c r="D14" s="33">
        <v>70</v>
      </c>
      <c r="E14" s="34">
        <v>140</v>
      </c>
      <c r="F14" s="35">
        <v>32</v>
      </c>
      <c r="G14" s="35">
        <v>30</v>
      </c>
      <c r="H14" s="71"/>
      <c r="I14" s="71"/>
      <c r="J14" s="71"/>
      <c r="K14" s="71"/>
      <c r="L14" s="71"/>
      <c r="M14" s="71"/>
      <c r="N14" s="71"/>
      <c r="O14" s="71"/>
      <c r="P14" s="71"/>
      <c r="Q14" s="72"/>
      <c r="R14" s="33">
        <f t="shared" si="0"/>
        <v>32</v>
      </c>
      <c r="S14" s="15">
        <f t="shared" ref="S14:S33" si="1">R14/E14</f>
        <v>0.22857142857142856</v>
      </c>
    </row>
    <row r="15" spans="1:21" ht="18" customHeight="1" x14ac:dyDescent="0.15">
      <c r="A15" s="6"/>
      <c r="B15" s="11"/>
      <c r="C15" s="32"/>
      <c r="D15" s="33"/>
      <c r="E15" s="34"/>
      <c r="F15" s="35"/>
      <c r="G15" s="35"/>
      <c r="H15" s="35"/>
      <c r="I15" s="35"/>
      <c r="J15" s="35"/>
      <c r="K15" s="35"/>
      <c r="L15" s="35"/>
      <c r="M15" s="35"/>
      <c r="N15" s="35"/>
      <c r="O15" s="35"/>
      <c r="P15" s="35"/>
      <c r="Q15" s="32"/>
      <c r="R15" s="33">
        <f t="shared" si="0"/>
        <v>0</v>
      </c>
      <c r="S15" s="8" t="e">
        <f t="shared" si="1"/>
        <v>#DIV/0!</v>
      </c>
    </row>
    <row r="16" spans="1:21" ht="18" customHeight="1" x14ac:dyDescent="0.15">
      <c r="A16" s="6"/>
      <c r="B16" s="11"/>
      <c r="C16" s="32"/>
      <c r="D16" s="33"/>
      <c r="E16" s="34"/>
      <c r="F16" s="35"/>
      <c r="G16" s="35"/>
      <c r="H16" s="35"/>
      <c r="I16" s="35"/>
      <c r="J16" s="35"/>
      <c r="K16" s="35"/>
      <c r="L16" s="35"/>
      <c r="M16" s="35"/>
      <c r="N16" s="35"/>
      <c r="O16" s="35"/>
      <c r="P16" s="35"/>
      <c r="Q16" s="32"/>
      <c r="R16" s="33">
        <f t="shared" si="0"/>
        <v>0</v>
      </c>
      <c r="S16" s="8" t="e">
        <f t="shared" si="1"/>
        <v>#DIV/0!</v>
      </c>
    </row>
    <row r="17" spans="1:19" ht="18" customHeight="1" x14ac:dyDescent="0.15">
      <c r="A17" s="6"/>
      <c r="B17" s="11"/>
      <c r="C17" s="32"/>
      <c r="D17" s="33"/>
      <c r="E17" s="34"/>
      <c r="F17" s="35"/>
      <c r="G17" s="35"/>
      <c r="H17" s="35"/>
      <c r="I17" s="35"/>
      <c r="J17" s="35"/>
      <c r="K17" s="35"/>
      <c r="L17" s="35"/>
      <c r="M17" s="35"/>
      <c r="N17" s="35"/>
      <c r="O17" s="35"/>
      <c r="P17" s="35"/>
      <c r="Q17" s="32"/>
      <c r="R17" s="33">
        <f t="shared" si="0"/>
        <v>0</v>
      </c>
      <c r="S17" s="8" t="e">
        <f t="shared" si="1"/>
        <v>#DIV/0!</v>
      </c>
    </row>
    <row r="18" spans="1:19" ht="18" customHeight="1" x14ac:dyDescent="0.15">
      <c r="A18" s="6"/>
      <c r="B18" s="11"/>
      <c r="C18" s="32"/>
      <c r="D18" s="33"/>
      <c r="E18" s="34"/>
      <c r="F18" s="35"/>
      <c r="G18" s="35"/>
      <c r="H18" s="35"/>
      <c r="I18" s="35"/>
      <c r="J18" s="35"/>
      <c r="K18" s="35"/>
      <c r="L18" s="35"/>
      <c r="M18" s="35"/>
      <c r="N18" s="35"/>
      <c r="O18" s="35"/>
      <c r="P18" s="35"/>
      <c r="Q18" s="32"/>
      <c r="R18" s="33">
        <f t="shared" si="0"/>
        <v>0</v>
      </c>
      <c r="S18" s="8" t="e">
        <f t="shared" si="1"/>
        <v>#DIV/0!</v>
      </c>
    </row>
    <row r="19" spans="1:19" ht="18" customHeight="1" x14ac:dyDescent="0.15">
      <c r="A19" s="6"/>
      <c r="B19" s="11"/>
      <c r="C19" s="32"/>
      <c r="D19" s="33"/>
      <c r="E19" s="34"/>
      <c r="F19" s="35"/>
      <c r="G19" s="35"/>
      <c r="H19" s="35"/>
      <c r="I19" s="35"/>
      <c r="J19" s="35"/>
      <c r="K19" s="35"/>
      <c r="L19" s="35"/>
      <c r="M19" s="35"/>
      <c r="N19" s="35"/>
      <c r="O19" s="35"/>
      <c r="P19" s="35"/>
      <c r="Q19" s="32"/>
      <c r="R19" s="33">
        <f t="shared" si="0"/>
        <v>0</v>
      </c>
      <c r="S19" s="8" t="e">
        <f t="shared" si="1"/>
        <v>#DIV/0!</v>
      </c>
    </row>
    <row r="20" spans="1:19" ht="18" customHeight="1" x14ac:dyDescent="0.15">
      <c r="A20" s="6"/>
      <c r="B20" s="11"/>
      <c r="C20" s="32"/>
      <c r="D20" s="33"/>
      <c r="E20" s="34"/>
      <c r="F20" s="35"/>
      <c r="G20" s="35"/>
      <c r="H20" s="35"/>
      <c r="I20" s="35"/>
      <c r="J20" s="35"/>
      <c r="K20" s="35"/>
      <c r="L20" s="35"/>
      <c r="M20" s="35"/>
      <c r="N20" s="35"/>
      <c r="O20" s="35"/>
      <c r="P20" s="35"/>
      <c r="Q20" s="32"/>
      <c r="R20" s="33">
        <f t="shared" si="0"/>
        <v>0</v>
      </c>
      <c r="S20" s="8" t="e">
        <f t="shared" si="1"/>
        <v>#DIV/0!</v>
      </c>
    </row>
    <row r="21" spans="1:19" ht="18" customHeight="1" x14ac:dyDescent="0.15">
      <c r="A21" s="6"/>
      <c r="B21" s="11"/>
      <c r="C21" s="32"/>
      <c r="D21" s="33"/>
      <c r="E21" s="34"/>
      <c r="F21" s="35"/>
      <c r="G21" s="35"/>
      <c r="H21" s="35"/>
      <c r="I21" s="35"/>
      <c r="J21" s="35"/>
      <c r="K21" s="35"/>
      <c r="L21" s="35"/>
      <c r="M21" s="35"/>
      <c r="N21" s="35"/>
      <c r="O21" s="35"/>
      <c r="P21" s="35"/>
      <c r="Q21" s="32"/>
      <c r="R21" s="33">
        <f t="shared" si="0"/>
        <v>0</v>
      </c>
      <c r="S21" s="8" t="e">
        <f t="shared" si="1"/>
        <v>#DIV/0!</v>
      </c>
    </row>
    <row r="22" spans="1:19" ht="18" customHeight="1" x14ac:dyDescent="0.15">
      <c r="A22" s="6"/>
      <c r="B22" s="11"/>
      <c r="C22" s="32"/>
      <c r="D22" s="33"/>
      <c r="E22" s="34"/>
      <c r="F22" s="35"/>
      <c r="G22" s="35"/>
      <c r="H22" s="35"/>
      <c r="I22" s="35"/>
      <c r="J22" s="35"/>
      <c r="K22" s="35"/>
      <c r="L22" s="35"/>
      <c r="M22" s="35"/>
      <c r="N22" s="35"/>
      <c r="O22" s="35"/>
      <c r="P22" s="35"/>
      <c r="Q22" s="32"/>
      <c r="R22" s="33">
        <f t="shared" si="0"/>
        <v>0</v>
      </c>
      <c r="S22" s="8" t="e">
        <f t="shared" si="1"/>
        <v>#DIV/0!</v>
      </c>
    </row>
    <row r="23" spans="1:19" ht="18" customHeight="1" x14ac:dyDescent="0.15">
      <c r="A23" s="6"/>
      <c r="B23" s="11"/>
      <c r="C23" s="32"/>
      <c r="D23" s="33"/>
      <c r="E23" s="34"/>
      <c r="F23" s="35"/>
      <c r="G23" s="35"/>
      <c r="H23" s="35"/>
      <c r="I23" s="35"/>
      <c r="J23" s="35"/>
      <c r="K23" s="35"/>
      <c r="L23" s="35"/>
      <c r="M23" s="35"/>
      <c r="N23" s="35"/>
      <c r="O23" s="35"/>
      <c r="P23" s="35"/>
      <c r="Q23" s="32"/>
      <c r="R23" s="33">
        <f t="shared" si="0"/>
        <v>0</v>
      </c>
      <c r="S23" s="8" t="e">
        <f t="shared" si="1"/>
        <v>#DIV/0!</v>
      </c>
    </row>
    <row r="24" spans="1:19" ht="18" customHeight="1" x14ac:dyDescent="0.15">
      <c r="A24" s="6"/>
      <c r="B24" s="11"/>
      <c r="C24" s="32"/>
      <c r="D24" s="33"/>
      <c r="E24" s="34"/>
      <c r="F24" s="35"/>
      <c r="G24" s="35"/>
      <c r="H24" s="35"/>
      <c r="I24" s="35"/>
      <c r="J24" s="35"/>
      <c r="K24" s="35"/>
      <c r="L24" s="35"/>
      <c r="M24" s="35"/>
      <c r="N24" s="35"/>
      <c r="O24" s="35"/>
      <c r="P24" s="35"/>
      <c r="Q24" s="32"/>
      <c r="R24" s="33">
        <f t="shared" si="0"/>
        <v>0</v>
      </c>
      <c r="S24" s="8" t="e">
        <f t="shared" si="1"/>
        <v>#DIV/0!</v>
      </c>
    </row>
    <row r="25" spans="1:19" ht="18" customHeight="1" x14ac:dyDescent="0.15">
      <c r="A25" s="6"/>
      <c r="B25" s="11"/>
      <c r="C25" s="32"/>
      <c r="D25" s="33"/>
      <c r="E25" s="34"/>
      <c r="F25" s="35"/>
      <c r="G25" s="35"/>
      <c r="H25" s="35"/>
      <c r="I25" s="35"/>
      <c r="J25" s="35"/>
      <c r="K25" s="35"/>
      <c r="L25" s="35"/>
      <c r="M25" s="35"/>
      <c r="N25" s="35"/>
      <c r="O25" s="35"/>
      <c r="P25" s="35"/>
      <c r="Q25" s="32"/>
      <c r="R25" s="33">
        <f t="shared" si="0"/>
        <v>0</v>
      </c>
      <c r="S25" s="8" t="e">
        <f t="shared" si="1"/>
        <v>#DIV/0!</v>
      </c>
    </row>
    <row r="26" spans="1:19" ht="18" customHeight="1" x14ac:dyDescent="0.15">
      <c r="A26" s="6"/>
      <c r="B26" s="11"/>
      <c r="C26" s="32"/>
      <c r="D26" s="33"/>
      <c r="E26" s="34"/>
      <c r="F26" s="35"/>
      <c r="G26" s="35"/>
      <c r="H26" s="35"/>
      <c r="I26" s="35"/>
      <c r="J26" s="35"/>
      <c r="K26" s="35"/>
      <c r="L26" s="35"/>
      <c r="M26" s="35"/>
      <c r="N26" s="35"/>
      <c r="O26" s="35"/>
      <c r="P26" s="35"/>
      <c r="Q26" s="32"/>
      <c r="R26" s="33">
        <f t="shared" si="0"/>
        <v>0</v>
      </c>
      <c r="S26" s="8" t="e">
        <f t="shared" si="1"/>
        <v>#DIV/0!</v>
      </c>
    </row>
    <row r="27" spans="1:19" ht="18" customHeight="1" x14ac:dyDescent="0.15">
      <c r="A27" s="6"/>
      <c r="B27" s="11"/>
      <c r="C27" s="32"/>
      <c r="D27" s="33"/>
      <c r="E27" s="34"/>
      <c r="F27" s="35"/>
      <c r="G27" s="35"/>
      <c r="H27" s="35"/>
      <c r="I27" s="35"/>
      <c r="J27" s="35"/>
      <c r="K27" s="35"/>
      <c r="L27" s="35"/>
      <c r="M27" s="35"/>
      <c r="N27" s="35"/>
      <c r="O27" s="35"/>
      <c r="P27" s="35"/>
      <c r="Q27" s="32"/>
      <c r="R27" s="33">
        <f t="shared" si="0"/>
        <v>0</v>
      </c>
      <c r="S27" s="8" t="e">
        <f t="shared" si="1"/>
        <v>#DIV/0!</v>
      </c>
    </row>
    <row r="28" spans="1:19" ht="18" customHeight="1" x14ac:dyDescent="0.15">
      <c r="A28" s="6"/>
      <c r="B28" s="11"/>
      <c r="C28" s="32"/>
      <c r="D28" s="33"/>
      <c r="E28" s="34"/>
      <c r="F28" s="35"/>
      <c r="G28" s="35"/>
      <c r="H28" s="35"/>
      <c r="I28" s="35"/>
      <c r="J28" s="35"/>
      <c r="K28" s="35"/>
      <c r="L28" s="35"/>
      <c r="M28" s="35"/>
      <c r="N28" s="35"/>
      <c r="O28" s="35"/>
      <c r="P28" s="35"/>
      <c r="Q28" s="32"/>
      <c r="R28" s="33">
        <f t="shared" si="0"/>
        <v>0</v>
      </c>
      <c r="S28" s="8" t="e">
        <f t="shared" si="1"/>
        <v>#DIV/0!</v>
      </c>
    </row>
    <row r="29" spans="1:19" ht="18" customHeight="1" x14ac:dyDescent="0.15">
      <c r="A29" s="6"/>
      <c r="B29" s="11"/>
      <c r="C29" s="32"/>
      <c r="D29" s="33"/>
      <c r="E29" s="34"/>
      <c r="F29" s="35"/>
      <c r="G29" s="35"/>
      <c r="H29" s="35"/>
      <c r="I29" s="35"/>
      <c r="J29" s="35"/>
      <c r="K29" s="35"/>
      <c r="L29" s="35"/>
      <c r="M29" s="35"/>
      <c r="N29" s="35"/>
      <c r="O29" s="35"/>
      <c r="P29" s="35"/>
      <c r="Q29" s="32"/>
      <c r="R29" s="33">
        <f t="shared" si="0"/>
        <v>0</v>
      </c>
      <c r="S29" s="8" t="e">
        <f t="shared" si="1"/>
        <v>#DIV/0!</v>
      </c>
    </row>
    <row r="30" spans="1:19" ht="18" customHeight="1" x14ac:dyDescent="0.15">
      <c r="A30" s="6"/>
      <c r="B30" s="11"/>
      <c r="C30" s="32"/>
      <c r="D30" s="36"/>
      <c r="E30" s="34"/>
      <c r="F30" s="35"/>
      <c r="G30" s="35"/>
      <c r="H30" s="35"/>
      <c r="I30" s="35"/>
      <c r="J30" s="35"/>
      <c r="K30" s="35"/>
      <c r="L30" s="35"/>
      <c r="M30" s="35"/>
      <c r="N30" s="35"/>
      <c r="O30" s="35"/>
      <c r="P30" s="35"/>
      <c r="Q30" s="32"/>
      <c r="R30" s="36">
        <f t="shared" si="0"/>
        <v>0</v>
      </c>
      <c r="S30" s="8" t="e">
        <f t="shared" si="1"/>
        <v>#DIV/0!</v>
      </c>
    </row>
    <row r="31" spans="1:19" ht="18" customHeight="1" x14ac:dyDescent="0.15">
      <c r="A31" s="6"/>
      <c r="B31" s="11"/>
      <c r="C31" s="32"/>
      <c r="D31" s="36"/>
      <c r="E31" s="34"/>
      <c r="F31" s="35"/>
      <c r="G31" s="35"/>
      <c r="H31" s="35"/>
      <c r="I31" s="35"/>
      <c r="J31" s="35"/>
      <c r="K31" s="35"/>
      <c r="L31" s="35"/>
      <c r="M31" s="35"/>
      <c r="N31" s="35"/>
      <c r="O31" s="35"/>
      <c r="P31" s="35"/>
      <c r="Q31" s="32"/>
      <c r="R31" s="36">
        <f t="shared" si="0"/>
        <v>0</v>
      </c>
      <c r="S31" s="8" t="e">
        <f t="shared" si="1"/>
        <v>#DIV/0!</v>
      </c>
    </row>
    <row r="32" spans="1:19" ht="18" customHeight="1" thickBot="1" x14ac:dyDescent="0.2">
      <c r="A32" s="6"/>
      <c r="B32" s="12"/>
      <c r="C32" s="29"/>
      <c r="D32" s="37"/>
      <c r="E32" s="31"/>
      <c r="F32" s="31"/>
      <c r="G32" s="31"/>
      <c r="H32" s="31"/>
      <c r="I32" s="31"/>
      <c r="J32" s="31"/>
      <c r="K32" s="31"/>
      <c r="L32" s="31"/>
      <c r="M32" s="31"/>
      <c r="N32" s="31"/>
      <c r="O32" s="31"/>
      <c r="P32" s="31"/>
      <c r="Q32" s="32"/>
      <c r="R32" s="37">
        <f t="shared" si="0"/>
        <v>0</v>
      </c>
      <c r="S32" s="7" t="e">
        <f t="shared" si="1"/>
        <v>#DIV/0!</v>
      </c>
    </row>
    <row r="33" spans="2:19" ht="18" customHeight="1" thickTop="1" x14ac:dyDescent="0.15">
      <c r="B33" s="13" t="s">
        <v>103</v>
      </c>
      <c r="C33" s="38">
        <f t="shared" ref="C33" si="2">SUM(C13:C32)</f>
        <v>165</v>
      </c>
      <c r="D33" s="39">
        <f t="shared" ref="D33:R33" si="3">SUM(D13:D32)</f>
        <v>130</v>
      </c>
      <c r="E33" s="40">
        <f t="shared" si="3"/>
        <v>260</v>
      </c>
      <c r="F33" s="40">
        <f t="shared" si="3"/>
        <v>78</v>
      </c>
      <c r="G33" s="40">
        <f t="shared" ref="G33:H33" si="4">SUM(G13:G32)</f>
        <v>74</v>
      </c>
      <c r="H33" s="40">
        <f t="shared" si="4"/>
        <v>0</v>
      </c>
      <c r="I33" s="40">
        <f t="shared" ref="I33:J33" si="5">SUM(I13:I32)</f>
        <v>0</v>
      </c>
      <c r="J33" s="40">
        <f t="shared" si="5"/>
        <v>0</v>
      </c>
      <c r="K33" s="40">
        <f t="shared" ref="K33:O33" si="6">SUM(K13:K32)</f>
        <v>0</v>
      </c>
      <c r="L33" s="40">
        <f t="shared" si="6"/>
        <v>0</v>
      </c>
      <c r="M33" s="40">
        <f t="shared" si="6"/>
        <v>0</v>
      </c>
      <c r="N33" s="40">
        <f t="shared" si="6"/>
        <v>0</v>
      </c>
      <c r="O33" s="40">
        <f t="shared" si="6"/>
        <v>0</v>
      </c>
      <c r="P33" s="40">
        <f t="shared" ref="P33:Q33" si="7">SUM(P13:P32)</f>
        <v>0</v>
      </c>
      <c r="Q33" s="38">
        <f t="shared" si="7"/>
        <v>0</v>
      </c>
      <c r="R33" s="39">
        <f t="shared" si="3"/>
        <v>78</v>
      </c>
      <c r="S33" s="9">
        <f t="shared" si="1"/>
        <v>0.3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7" zoomScaleNormal="100" zoomScaleSheetLayoutView="100" workbookViewId="0">
      <selection activeCell="B20" sqref="B20"/>
    </sheetView>
  </sheetViews>
  <sheetFormatPr defaultColWidth="11.375" defaultRowHeight="18.75" customHeight="1" x14ac:dyDescent="0.15"/>
  <cols>
    <col min="1" max="1" width="2.875" style="74" customWidth="1"/>
    <col min="2" max="2" width="16.625" style="42" customWidth="1"/>
    <col min="3" max="3" width="8.875" style="42" customWidth="1"/>
    <col min="4" max="4" width="2.125" style="42" customWidth="1"/>
    <col min="5" max="5" width="16.625" style="42" customWidth="1"/>
    <col min="6" max="6" width="4.375" style="42" customWidth="1"/>
    <col min="7" max="7" width="9" style="42" customWidth="1"/>
    <col min="8" max="8" width="16.625" style="42" customWidth="1"/>
    <col min="9" max="9" width="12.125" style="42" customWidth="1"/>
    <col min="10" max="16384" width="11.375" style="42"/>
  </cols>
  <sheetData>
    <row r="1" spans="1:9" ht="18.75" customHeight="1" x14ac:dyDescent="0.15">
      <c r="A1" s="74" t="s">
        <v>104</v>
      </c>
      <c r="I1" s="67" t="s">
        <v>105</v>
      </c>
    </row>
    <row r="2" spans="1:9" ht="18.75" customHeight="1" x14ac:dyDescent="0.15">
      <c r="G2" s="67" t="s">
        <v>2</v>
      </c>
      <c r="H2" s="178" t="str">
        <f>'様式１　プログラムを構成する授業科目'!C2</f>
        <v>青森中央短期大学</v>
      </c>
      <c r="I2" s="179"/>
    </row>
    <row r="3" spans="1:9" ht="18.75" customHeight="1" x14ac:dyDescent="0.15">
      <c r="G3" s="67"/>
      <c r="H3" s="45"/>
      <c r="I3" s="45"/>
    </row>
    <row r="4" spans="1:9" ht="18.600000000000001" customHeight="1" x14ac:dyDescent="0.15">
      <c r="A4" s="180" t="s">
        <v>106</v>
      </c>
      <c r="B4" s="180"/>
      <c r="C4" s="180"/>
      <c r="D4" s="180"/>
      <c r="E4" s="180"/>
      <c r="F4" s="180"/>
      <c r="G4" s="180"/>
      <c r="H4" s="180"/>
      <c r="I4" s="180"/>
    </row>
    <row r="5" spans="1:9" ht="13.35" customHeight="1" x14ac:dyDescent="0.15">
      <c r="B5" s="44"/>
      <c r="C5" s="44"/>
      <c r="D5" s="44"/>
      <c r="E5" s="44"/>
      <c r="F5" s="44"/>
      <c r="G5" s="44"/>
      <c r="H5" s="44"/>
      <c r="I5" s="44"/>
    </row>
    <row r="6" spans="1:9" ht="18" customHeight="1" x14ac:dyDescent="0.15">
      <c r="A6" s="42" t="s">
        <v>107</v>
      </c>
      <c r="B6" s="45" t="s">
        <v>108</v>
      </c>
      <c r="C6" s="201" t="s">
        <v>109</v>
      </c>
      <c r="D6" s="201"/>
      <c r="E6" s="73">
        <v>28</v>
      </c>
      <c r="F6" s="44" t="s">
        <v>83</v>
      </c>
      <c r="G6" s="44" t="s">
        <v>110</v>
      </c>
      <c r="H6" s="73">
        <v>48</v>
      </c>
      <c r="I6" s="45" t="s">
        <v>83</v>
      </c>
    </row>
    <row r="7" spans="1:9" ht="12" customHeight="1" x14ac:dyDescent="0.15">
      <c r="C7" s="75"/>
      <c r="D7" s="75"/>
      <c r="E7" s="75"/>
      <c r="F7" s="75"/>
      <c r="G7" s="75"/>
      <c r="H7" s="75"/>
      <c r="I7" s="76"/>
    </row>
    <row r="8" spans="1:9" ht="18" customHeight="1" x14ac:dyDescent="0.15">
      <c r="A8" s="42" t="s">
        <v>111</v>
      </c>
      <c r="B8" s="45" t="s">
        <v>112</v>
      </c>
      <c r="E8" s="44"/>
      <c r="F8" s="44"/>
      <c r="G8" s="44"/>
      <c r="H8" s="73">
        <v>2</v>
      </c>
      <c r="I8" s="45" t="s">
        <v>83</v>
      </c>
    </row>
    <row r="9" spans="1:9" ht="9" customHeight="1" x14ac:dyDescent="0.15">
      <c r="B9" s="44"/>
      <c r="C9" s="44"/>
      <c r="D9" s="44"/>
      <c r="E9" s="44"/>
      <c r="F9" s="44"/>
      <c r="G9" s="44"/>
      <c r="H9" s="44"/>
      <c r="I9" s="44"/>
    </row>
    <row r="10" spans="1:9" ht="18" customHeight="1" x14ac:dyDescent="0.15">
      <c r="A10" s="42" t="s">
        <v>113</v>
      </c>
      <c r="B10" s="45" t="s">
        <v>114</v>
      </c>
      <c r="C10" s="44"/>
      <c r="D10" s="44"/>
      <c r="E10" s="44"/>
      <c r="F10" s="44"/>
      <c r="G10" s="44"/>
      <c r="H10" s="44"/>
      <c r="I10" s="44"/>
    </row>
    <row r="11" spans="1:9" ht="18" customHeight="1" x14ac:dyDescent="0.15">
      <c r="B11" s="67" t="s">
        <v>115</v>
      </c>
      <c r="C11" s="196" t="s">
        <v>116</v>
      </c>
      <c r="D11" s="199"/>
      <c r="E11" s="200"/>
      <c r="F11" s="76"/>
      <c r="G11" s="67" t="s">
        <v>117</v>
      </c>
      <c r="H11" s="196" t="s">
        <v>118</v>
      </c>
      <c r="I11" s="200"/>
    </row>
    <row r="12" spans="1:9" ht="10.35" customHeight="1" x14ac:dyDescent="0.15">
      <c r="B12" s="67"/>
      <c r="C12" s="45"/>
      <c r="D12" s="76"/>
      <c r="E12" s="76"/>
      <c r="F12" s="76"/>
      <c r="G12" s="67"/>
      <c r="H12" s="45"/>
      <c r="I12" s="76"/>
    </row>
    <row r="13" spans="1:9" ht="18" customHeight="1" x14ac:dyDescent="0.15">
      <c r="A13" s="42" t="s">
        <v>119</v>
      </c>
      <c r="B13" s="45" t="s">
        <v>120</v>
      </c>
      <c r="C13" s="44"/>
      <c r="D13" s="44"/>
      <c r="E13" s="44"/>
      <c r="F13" s="44"/>
      <c r="G13" s="44"/>
      <c r="H13" s="44"/>
      <c r="I13" s="44"/>
    </row>
    <row r="14" spans="1:9" ht="18" customHeight="1" x14ac:dyDescent="0.15">
      <c r="B14" s="196" t="s">
        <v>121</v>
      </c>
      <c r="C14" s="197"/>
      <c r="D14" s="197"/>
      <c r="E14" s="197"/>
      <c r="F14" s="197"/>
      <c r="G14" s="197"/>
      <c r="H14" s="197"/>
      <c r="I14" s="198"/>
    </row>
    <row r="15" spans="1:9" ht="9" customHeight="1" x14ac:dyDescent="0.15">
      <c r="B15" s="44"/>
      <c r="C15" s="44"/>
      <c r="D15" s="44"/>
      <c r="E15" s="44"/>
      <c r="F15" s="44"/>
      <c r="G15" s="44"/>
      <c r="H15" s="44"/>
      <c r="I15" s="44"/>
    </row>
    <row r="16" spans="1:9" ht="18" customHeight="1" x14ac:dyDescent="0.15">
      <c r="B16" s="67" t="s">
        <v>115</v>
      </c>
      <c r="C16" s="196" t="s">
        <v>116</v>
      </c>
      <c r="D16" s="199"/>
      <c r="E16" s="200"/>
      <c r="F16" s="76"/>
      <c r="G16" s="67" t="s">
        <v>117</v>
      </c>
      <c r="H16" s="196" t="s">
        <v>122</v>
      </c>
      <c r="I16" s="200"/>
    </row>
    <row r="17" spans="1:9" ht="18" customHeight="1" x14ac:dyDescent="0.15">
      <c r="B17" s="44"/>
      <c r="C17" s="44"/>
      <c r="D17" s="44"/>
      <c r="E17" s="44"/>
      <c r="F17" s="44"/>
      <c r="G17" s="44"/>
      <c r="H17" s="44"/>
      <c r="I17" s="44"/>
    </row>
    <row r="18" spans="1:9" ht="18.75" customHeight="1" x14ac:dyDescent="0.15">
      <c r="A18" s="42" t="s">
        <v>123</v>
      </c>
      <c r="B18" s="42" t="s">
        <v>124</v>
      </c>
      <c r="I18" s="44"/>
    </row>
    <row r="19" spans="1:9" ht="18.75" customHeight="1" x14ac:dyDescent="0.15">
      <c r="A19" s="42"/>
      <c r="B19" s="181" t="s">
        <v>185</v>
      </c>
      <c r="C19" s="182"/>
      <c r="D19" s="182"/>
      <c r="E19" s="182"/>
      <c r="F19" s="182"/>
      <c r="G19" s="182"/>
      <c r="H19" s="182"/>
      <c r="I19" s="183"/>
    </row>
    <row r="20" spans="1:9" ht="7.5" customHeight="1" x14ac:dyDescent="0.15">
      <c r="B20" s="44"/>
      <c r="C20" s="44"/>
      <c r="D20" s="44"/>
      <c r="E20" s="44"/>
      <c r="F20" s="44"/>
      <c r="G20" s="44"/>
      <c r="H20" s="44"/>
      <c r="I20" s="44"/>
    </row>
    <row r="21" spans="1:9" ht="18.75" customHeight="1" x14ac:dyDescent="0.15">
      <c r="A21" s="42" t="s">
        <v>125</v>
      </c>
      <c r="B21" s="42" t="s">
        <v>126</v>
      </c>
    </row>
    <row r="22" spans="1:9" ht="18.75" customHeight="1" x14ac:dyDescent="0.15">
      <c r="A22" s="77"/>
      <c r="B22" s="184" t="s">
        <v>127</v>
      </c>
      <c r="C22" s="185"/>
      <c r="D22" s="185"/>
      <c r="E22" s="185"/>
      <c r="F22" s="185"/>
      <c r="G22" s="185"/>
      <c r="H22" s="185"/>
      <c r="I22" s="186"/>
    </row>
    <row r="23" spans="1:9" ht="18.75" customHeight="1" x14ac:dyDescent="0.15">
      <c r="A23" s="77"/>
      <c r="B23" s="187"/>
      <c r="C23" s="188"/>
      <c r="D23" s="188"/>
      <c r="E23" s="188"/>
      <c r="F23" s="188"/>
      <c r="G23" s="188"/>
      <c r="H23" s="188"/>
      <c r="I23" s="189"/>
    </row>
    <row r="24" spans="1:9" ht="18.75" customHeight="1" x14ac:dyDescent="0.15">
      <c r="A24" s="77"/>
      <c r="B24" s="187"/>
      <c r="C24" s="188"/>
      <c r="D24" s="188"/>
      <c r="E24" s="188"/>
      <c r="F24" s="188"/>
      <c r="G24" s="188"/>
      <c r="H24" s="188"/>
      <c r="I24" s="189"/>
    </row>
    <row r="25" spans="1:9" ht="18.75" customHeight="1" x14ac:dyDescent="0.15">
      <c r="A25" s="77"/>
      <c r="B25" s="187"/>
      <c r="C25" s="188"/>
      <c r="D25" s="188"/>
      <c r="E25" s="188"/>
      <c r="F25" s="188"/>
      <c r="G25" s="188"/>
      <c r="H25" s="188"/>
      <c r="I25" s="189"/>
    </row>
    <row r="26" spans="1:9" ht="18.75" customHeight="1" x14ac:dyDescent="0.15">
      <c r="A26" s="77"/>
      <c r="B26" s="187"/>
      <c r="C26" s="188"/>
      <c r="D26" s="188"/>
      <c r="E26" s="188"/>
      <c r="F26" s="188"/>
      <c r="G26" s="188"/>
      <c r="H26" s="188"/>
      <c r="I26" s="189"/>
    </row>
    <row r="27" spans="1:9" ht="18.75" customHeight="1" x14ac:dyDescent="0.15">
      <c r="A27" s="77"/>
      <c r="B27" s="187"/>
      <c r="C27" s="188"/>
      <c r="D27" s="188"/>
      <c r="E27" s="188"/>
      <c r="F27" s="188"/>
      <c r="G27" s="188"/>
      <c r="H27" s="188"/>
      <c r="I27" s="189"/>
    </row>
    <row r="28" spans="1:9" ht="18.75" customHeight="1" x14ac:dyDescent="0.15">
      <c r="A28" s="77"/>
      <c r="B28" s="187"/>
      <c r="C28" s="188"/>
      <c r="D28" s="188"/>
      <c r="E28" s="188"/>
      <c r="F28" s="188"/>
      <c r="G28" s="188"/>
      <c r="H28" s="188"/>
      <c r="I28" s="189"/>
    </row>
    <row r="29" spans="1:9" ht="18.75" customHeight="1" x14ac:dyDescent="0.15">
      <c r="A29" s="77"/>
      <c r="B29" s="187"/>
      <c r="C29" s="188"/>
      <c r="D29" s="188"/>
      <c r="E29" s="188"/>
      <c r="F29" s="188"/>
      <c r="G29" s="188"/>
      <c r="H29" s="188"/>
      <c r="I29" s="189"/>
    </row>
    <row r="30" spans="1:9" ht="18.75" customHeight="1" x14ac:dyDescent="0.15">
      <c r="A30" s="77"/>
      <c r="B30" s="190"/>
      <c r="C30" s="191"/>
      <c r="D30" s="191"/>
      <c r="E30" s="191"/>
      <c r="F30" s="191"/>
      <c r="G30" s="191"/>
      <c r="H30" s="191"/>
      <c r="I30" s="189"/>
    </row>
    <row r="31" spans="1:9" ht="18.75" customHeight="1" x14ac:dyDescent="0.15">
      <c r="A31" s="77"/>
      <c r="B31" s="190"/>
      <c r="C31" s="191"/>
      <c r="D31" s="191"/>
      <c r="E31" s="191"/>
      <c r="F31" s="191"/>
      <c r="G31" s="191"/>
      <c r="H31" s="191"/>
      <c r="I31" s="189"/>
    </row>
    <row r="32" spans="1:9" ht="18.75" customHeight="1" x14ac:dyDescent="0.15">
      <c r="A32" s="77"/>
      <c r="B32" s="192"/>
      <c r="C32" s="193"/>
      <c r="D32" s="193"/>
      <c r="E32" s="193"/>
      <c r="F32" s="193"/>
      <c r="G32" s="193"/>
      <c r="H32" s="193"/>
      <c r="I32" s="194"/>
    </row>
    <row r="33" spans="1:9" ht="7.5" customHeight="1" x14ac:dyDescent="0.15">
      <c r="A33" s="77"/>
      <c r="B33" s="77"/>
      <c r="C33" s="77"/>
      <c r="D33" s="77"/>
      <c r="E33" s="77"/>
      <c r="F33" s="77"/>
      <c r="G33" s="77"/>
      <c r="H33" s="77"/>
      <c r="I33" s="77"/>
    </row>
    <row r="34" spans="1:9" ht="18.75" customHeight="1" x14ac:dyDescent="0.15">
      <c r="A34" s="78" t="s">
        <v>128</v>
      </c>
      <c r="B34" s="78" t="s">
        <v>129</v>
      </c>
      <c r="C34" s="45"/>
      <c r="D34" s="78"/>
      <c r="E34" s="78"/>
      <c r="F34" s="78"/>
      <c r="G34" s="78"/>
      <c r="H34" s="78"/>
      <c r="I34" s="78"/>
    </row>
    <row r="35" spans="1:9" ht="18.75" customHeight="1" x14ac:dyDescent="0.15">
      <c r="A35" s="77"/>
      <c r="B35" s="195" t="s">
        <v>130</v>
      </c>
      <c r="C35" s="185"/>
      <c r="D35" s="185"/>
      <c r="E35" s="185"/>
      <c r="F35" s="185"/>
      <c r="G35" s="185"/>
      <c r="H35" s="185"/>
      <c r="I35" s="186"/>
    </row>
    <row r="36" spans="1:9" ht="18.75" customHeight="1" x14ac:dyDescent="0.15">
      <c r="A36" s="77"/>
      <c r="B36" s="190"/>
      <c r="C36" s="191"/>
      <c r="D36" s="191"/>
      <c r="E36" s="191"/>
      <c r="F36" s="191"/>
      <c r="G36" s="191"/>
      <c r="H36" s="191"/>
      <c r="I36" s="189"/>
    </row>
    <row r="37" spans="1:9" ht="18.75" customHeight="1" x14ac:dyDescent="0.15">
      <c r="A37" s="77"/>
      <c r="B37" s="190"/>
      <c r="C37" s="191"/>
      <c r="D37" s="191"/>
      <c r="E37" s="191"/>
      <c r="F37" s="191"/>
      <c r="G37" s="191"/>
      <c r="H37" s="191"/>
      <c r="I37" s="189"/>
    </row>
    <row r="38" spans="1:9" ht="18.75" customHeight="1" x14ac:dyDescent="0.15">
      <c r="A38" s="77"/>
      <c r="B38" s="190"/>
      <c r="C38" s="191"/>
      <c r="D38" s="191"/>
      <c r="E38" s="191"/>
      <c r="F38" s="191"/>
      <c r="G38" s="191"/>
      <c r="H38" s="191"/>
      <c r="I38" s="189"/>
    </row>
    <row r="39" spans="1:9" ht="18.75" customHeight="1" x14ac:dyDescent="0.15">
      <c r="A39" s="77"/>
      <c r="B39" s="190"/>
      <c r="C39" s="191"/>
      <c r="D39" s="191"/>
      <c r="E39" s="191"/>
      <c r="F39" s="191"/>
      <c r="G39" s="191"/>
      <c r="H39" s="191"/>
      <c r="I39" s="189"/>
    </row>
    <row r="40" spans="1:9" ht="18.75" customHeight="1" x14ac:dyDescent="0.15">
      <c r="A40" s="77"/>
      <c r="B40" s="190"/>
      <c r="C40" s="191"/>
      <c r="D40" s="191"/>
      <c r="E40" s="191"/>
      <c r="F40" s="191"/>
      <c r="G40" s="191"/>
      <c r="H40" s="191"/>
      <c r="I40" s="189"/>
    </row>
    <row r="41" spans="1:9" ht="18.75" customHeight="1" x14ac:dyDescent="0.15">
      <c r="A41" s="77"/>
      <c r="B41" s="190"/>
      <c r="C41" s="191"/>
      <c r="D41" s="191"/>
      <c r="E41" s="191"/>
      <c r="F41" s="191"/>
      <c r="G41" s="191"/>
      <c r="H41" s="191"/>
      <c r="I41" s="189"/>
    </row>
    <row r="42" spans="1:9" ht="18.75" customHeight="1" x14ac:dyDescent="0.15">
      <c r="A42" s="77"/>
      <c r="B42" s="190"/>
      <c r="C42" s="191"/>
      <c r="D42" s="191"/>
      <c r="E42" s="191"/>
      <c r="F42" s="191"/>
      <c r="G42" s="191"/>
      <c r="H42" s="191"/>
      <c r="I42" s="189"/>
    </row>
    <row r="43" spans="1:9" ht="18.75" customHeight="1" x14ac:dyDescent="0.15">
      <c r="A43" s="77"/>
      <c r="B43" s="190"/>
      <c r="C43" s="191"/>
      <c r="D43" s="191"/>
      <c r="E43" s="191"/>
      <c r="F43" s="191"/>
      <c r="G43" s="191"/>
      <c r="H43" s="191"/>
      <c r="I43" s="189"/>
    </row>
    <row r="44" spans="1:9" ht="18.75" customHeight="1" x14ac:dyDescent="0.15">
      <c r="A44" s="77"/>
      <c r="B44" s="190"/>
      <c r="C44" s="191"/>
      <c r="D44" s="191"/>
      <c r="E44" s="191"/>
      <c r="F44" s="191"/>
      <c r="G44" s="191"/>
      <c r="H44" s="191"/>
      <c r="I44" s="189"/>
    </row>
    <row r="45" spans="1:9" ht="18.75" customHeight="1" x14ac:dyDescent="0.15">
      <c r="A45" s="77"/>
      <c r="B45" s="190"/>
      <c r="C45" s="191"/>
      <c r="D45" s="191"/>
      <c r="E45" s="191"/>
      <c r="F45" s="191"/>
      <c r="G45" s="191"/>
      <c r="H45" s="191"/>
      <c r="I45" s="189"/>
    </row>
    <row r="46" spans="1:9" ht="18.75" customHeight="1" x14ac:dyDescent="0.15">
      <c r="A46" s="77"/>
      <c r="B46" s="192"/>
      <c r="C46" s="193"/>
      <c r="D46" s="193"/>
      <c r="E46" s="193"/>
      <c r="F46" s="193"/>
      <c r="G46" s="193"/>
      <c r="H46" s="193"/>
      <c r="I46" s="194"/>
    </row>
    <row r="47" spans="1:9" ht="7.5" customHeight="1" x14ac:dyDescent="0.15">
      <c r="A47" s="79"/>
      <c r="B47" s="79"/>
      <c r="C47" s="79"/>
      <c r="D47" s="79"/>
      <c r="E47" s="79"/>
      <c r="F47" s="79"/>
      <c r="G47" s="79"/>
      <c r="H47" s="79"/>
      <c r="I47" s="79"/>
    </row>
    <row r="48" spans="1:9" ht="18.75" customHeight="1" x14ac:dyDescent="0.15">
      <c r="A48" s="42" t="s">
        <v>131</v>
      </c>
      <c r="B48" s="42" t="s">
        <v>183</v>
      </c>
    </row>
    <row r="49" spans="1:15" s="44" customFormat="1" ht="18.75" customHeight="1" x14ac:dyDescent="0.15">
      <c r="B49" s="80" t="s">
        <v>132</v>
      </c>
      <c r="C49" s="223">
        <f>'様式２ 履修者等数の実績'!S33</f>
        <v>0.3</v>
      </c>
      <c r="D49" s="223"/>
      <c r="E49" s="80" t="s">
        <v>133</v>
      </c>
      <c r="F49" s="223">
        <v>1</v>
      </c>
      <c r="G49" s="223"/>
      <c r="H49" s="80" t="s">
        <v>134</v>
      </c>
      <c r="I49" s="81">
        <v>1</v>
      </c>
      <c r="J49" s="42"/>
      <c r="M49" s="42"/>
      <c r="N49" s="82"/>
    </row>
    <row r="50" spans="1:15" s="44" customFormat="1" ht="18.75" customHeight="1" x14ac:dyDescent="0.15">
      <c r="B50" s="83" t="s">
        <v>135</v>
      </c>
      <c r="C50" s="206">
        <v>1</v>
      </c>
      <c r="D50" s="206"/>
      <c r="E50" s="83" t="s">
        <v>136</v>
      </c>
      <c r="F50" s="206">
        <v>1</v>
      </c>
      <c r="G50" s="206"/>
      <c r="H50" s="83" t="s">
        <v>137</v>
      </c>
      <c r="I50" s="84">
        <f>'様式２ 履修者等数の実績'!E33</f>
        <v>260</v>
      </c>
      <c r="J50" s="42"/>
      <c r="M50" s="42"/>
      <c r="N50" s="82"/>
    </row>
    <row r="51" spans="1:15" ht="18.75" customHeight="1" x14ac:dyDescent="0.15">
      <c r="A51" s="42"/>
      <c r="B51" s="203" t="s">
        <v>138</v>
      </c>
      <c r="C51" s="204"/>
      <c r="D51" s="204"/>
      <c r="E51" s="204"/>
      <c r="F51" s="204"/>
      <c r="G51" s="204"/>
      <c r="H51" s="204"/>
      <c r="I51" s="205"/>
      <c r="N51" s="82"/>
      <c r="O51" s="44"/>
    </row>
    <row r="52" spans="1:15" ht="18.75" customHeight="1" x14ac:dyDescent="0.15">
      <c r="A52" s="42"/>
      <c r="B52" s="224" t="s">
        <v>182</v>
      </c>
      <c r="C52" s="225"/>
      <c r="D52" s="225"/>
      <c r="E52" s="225"/>
      <c r="F52" s="225"/>
      <c r="G52" s="225"/>
      <c r="H52" s="225"/>
      <c r="I52" s="226"/>
      <c r="N52" s="82"/>
      <c r="O52" s="44"/>
    </row>
    <row r="53" spans="1:15" ht="18.75" customHeight="1" x14ac:dyDescent="0.15">
      <c r="A53" s="42"/>
      <c r="B53" s="227"/>
      <c r="C53" s="228"/>
      <c r="D53" s="228"/>
      <c r="E53" s="228"/>
      <c r="F53" s="228"/>
      <c r="G53" s="228"/>
      <c r="H53" s="228"/>
      <c r="I53" s="229"/>
      <c r="N53" s="82"/>
      <c r="O53" s="44"/>
    </row>
    <row r="54" spans="1:15" ht="18.75" customHeight="1" x14ac:dyDescent="0.15">
      <c r="A54" s="42"/>
      <c r="B54" s="227"/>
      <c r="C54" s="228"/>
      <c r="D54" s="228"/>
      <c r="E54" s="228"/>
      <c r="F54" s="228"/>
      <c r="G54" s="228"/>
      <c r="H54" s="228"/>
      <c r="I54" s="229"/>
    </row>
    <row r="55" spans="1:15" ht="18.75" customHeight="1" x14ac:dyDescent="0.15">
      <c r="A55" s="42"/>
      <c r="B55" s="227"/>
      <c r="C55" s="228"/>
      <c r="D55" s="228"/>
      <c r="E55" s="228"/>
      <c r="F55" s="228"/>
      <c r="G55" s="228"/>
      <c r="H55" s="228"/>
      <c r="I55" s="229"/>
    </row>
    <row r="56" spans="1:15" ht="18.75" customHeight="1" x14ac:dyDescent="0.15">
      <c r="A56" s="42"/>
      <c r="B56" s="227"/>
      <c r="C56" s="228"/>
      <c r="D56" s="228"/>
      <c r="E56" s="228"/>
      <c r="F56" s="228"/>
      <c r="G56" s="228"/>
      <c r="H56" s="228"/>
      <c r="I56" s="229"/>
    </row>
    <row r="57" spans="1:15" ht="18.75" customHeight="1" x14ac:dyDescent="0.15">
      <c r="A57" s="42"/>
      <c r="B57" s="227"/>
      <c r="C57" s="228"/>
      <c r="D57" s="228"/>
      <c r="E57" s="228"/>
      <c r="F57" s="228"/>
      <c r="G57" s="228"/>
      <c r="H57" s="228"/>
      <c r="I57" s="229"/>
    </row>
    <row r="58" spans="1:15" ht="18.75" customHeight="1" x14ac:dyDescent="0.15">
      <c r="A58" s="42"/>
      <c r="B58" s="227"/>
      <c r="C58" s="228"/>
      <c r="D58" s="228"/>
      <c r="E58" s="228"/>
      <c r="F58" s="228"/>
      <c r="G58" s="228"/>
      <c r="H58" s="228"/>
      <c r="I58" s="229"/>
    </row>
    <row r="59" spans="1:15" ht="18.75" customHeight="1" x14ac:dyDescent="0.15">
      <c r="A59" s="42"/>
      <c r="B59" s="227"/>
      <c r="C59" s="228"/>
      <c r="D59" s="228"/>
      <c r="E59" s="228"/>
      <c r="F59" s="228"/>
      <c r="G59" s="228"/>
      <c r="H59" s="228"/>
      <c r="I59" s="229"/>
    </row>
    <row r="60" spans="1:15" ht="18.75" customHeight="1" x14ac:dyDescent="0.15">
      <c r="A60" s="42"/>
      <c r="B60" s="227"/>
      <c r="C60" s="228"/>
      <c r="D60" s="228"/>
      <c r="E60" s="228"/>
      <c r="F60" s="228"/>
      <c r="G60" s="228"/>
      <c r="H60" s="228"/>
      <c r="I60" s="229"/>
    </row>
    <row r="61" spans="1:15" ht="18.75" customHeight="1" x14ac:dyDescent="0.15">
      <c r="A61" s="42"/>
      <c r="B61" s="227"/>
      <c r="C61" s="228"/>
      <c r="D61" s="228"/>
      <c r="E61" s="228"/>
      <c r="F61" s="228"/>
      <c r="G61" s="228"/>
      <c r="H61" s="228"/>
      <c r="I61" s="229"/>
    </row>
    <row r="62" spans="1:15" ht="18.75" customHeight="1" x14ac:dyDescent="0.15">
      <c r="A62" s="42"/>
      <c r="B62" s="227"/>
      <c r="C62" s="228"/>
      <c r="D62" s="228"/>
      <c r="E62" s="228"/>
      <c r="F62" s="228"/>
      <c r="G62" s="228"/>
      <c r="H62" s="228"/>
      <c r="I62" s="229"/>
    </row>
    <row r="63" spans="1:15" ht="18.75" customHeight="1" x14ac:dyDescent="0.15">
      <c r="A63" s="42"/>
      <c r="B63" s="230"/>
      <c r="C63" s="231"/>
      <c r="D63" s="231"/>
      <c r="E63" s="231"/>
      <c r="F63" s="231"/>
      <c r="G63" s="231"/>
      <c r="H63" s="231"/>
      <c r="I63" s="232"/>
    </row>
    <row r="64" spans="1:15" ht="7.5" customHeight="1" x14ac:dyDescent="0.15">
      <c r="A64" s="77"/>
      <c r="B64" s="77"/>
      <c r="C64" s="77"/>
      <c r="D64" s="77"/>
      <c r="E64" s="77"/>
      <c r="F64" s="77"/>
      <c r="G64" s="77"/>
      <c r="H64" s="77"/>
      <c r="I64" s="77"/>
    </row>
    <row r="65" spans="1:9" ht="18.75" customHeight="1" x14ac:dyDescent="0.15">
      <c r="A65" s="78" t="s">
        <v>139</v>
      </c>
      <c r="B65" s="42" t="s">
        <v>140</v>
      </c>
      <c r="I65" s="78"/>
    </row>
    <row r="66" spans="1:9" ht="18.75" customHeight="1" x14ac:dyDescent="0.15">
      <c r="A66" s="79"/>
      <c r="B66" s="207" t="s">
        <v>174</v>
      </c>
      <c r="C66" s="208"/>
      <c r="D66" s="208"/>
      <c r="E66" s="208"/>
      <c r="F66" s="208"/>
      <c r="G66" s="208"/>
      <c r="H66" s="208"/>
      <c r="I66" s="209"/>
    </row>
    <row r="67" spans="1:9" ht="18.75" customHeight="1" x14ac:dyDescent="0.15">
      <c r="A67" s="79"/>
      <c r="B67" s="210"/>
      <c r="C67" s="211"/>
      <c r="D67" s="211"/>
      <c r="E67" s="211"/>
      <c r="F67" s="211"/>
      <c r="G67" s="211"/>
      <c r="H67" s="211"/>
      <c r="I67" s="212"/>
    </row>
    <row r="68" spans="1:9" ht="18.75" customHeight="1" x14ac:dyDescent="0.15">
      <c r="A68" s="79"/>
      <c r="B68" s="210"/>
      <c r="C68" s="211"/>
      <c r="D68" s="211"/>
      <c r="E68" s="211"/>
      <c r="F68" s="211"/>
      <c r="G68" s="211"/>
      <c r="H68" s="211"/>
      <c r="I68" s="212"/>
    </row>
    <row r="69" spans="1:9" ht="18.75" customHeight="1" x14ac:dyDescent="0.15">
      <c r="A69" s="79"/>
      <c r="B69" s="210"/>
      <c r="C69" s="211"/>
      <c r="D69" s="211"/>
      <c r="E69" s="211"/>
      <c r="F69" s="211"/>
      <c r="G69" s="211"/>
      <c r="H69" s="211"/>
      <c r="I69" s="212"/>
    </row>
    <row r="70" spans="1:9" ht="18.75" customHeight="1" x14ac:dyDescent="0.15">
      <c r="A70" s="79"/>
      <c r="B70" s="210"/>
      <c r="C70" s="211"/>
      <c r="D70" s="211"/>
      <c r="E70" s="211"/>
      <c r="F70" s="211"/>
      <c r="G70" s="211"/>
      <c r="H70" s="211"/>
      <c r="I70" s="212"/>
    </row>
    <row r="71" spans="1:9" ht="18.75" customHeight="1" x14ac:dyDescent="0.15">
      <c r="A71" s="79"/>
      <c r="B71" s="210"/>
      <c r="C71" s="211"/>
      <c r="D71" s="211"/>
      <c r="E71" s="211"/>
      <c r="F71" s="211"/>
      <c r="G71" s="211"/>
      <c r="H71" s="211"/>
      <c r="I71" s="212"/>
    </row>
    <row r="72" spans="1:9" ht="18.75" customHeight="1" x14ac:dyDescent="0.15">
      <c r="A72" s="79"/>
      <c r="B72" s="210"/>
      <c r="C72" s="211"/>
      <c r="D72" s="211"/>
      <c r="E72" s="211"/>
      <c r="F72" s="211"/>
      <c r="G72" s="211"/>
      <c r="H72" s="211"/>
      <c r="I72" s="212"/>
    </row>
    <row r="73" spans="1:9" ht="18.75" customHeight="1" x14ac:dyDescent="0.15">
      <c r="A73" s="79"/>
      <c r="B73" s="210"/>
      <c r="C73" s="211"/>
      <c r="D73" s="211"/>
      <c r="E73" s="211"/>
      <c r="F73" s="211"/>
      <c r="G73" s="211"/>
      <c r="H73" s="211"/>
      <c r="I73" s="212"/>
    </row>
    <row r="74" spans="1:9" ht="18.75" customHeight="1" x14ac:dyDescent="0.15">
      <c r="A74" s="79"/>
      <c r="B74" s="210"/>
      <c r="C74" s="211"/>
      <c r="D74" s="211"/>
      <c r="E74" s="211"/>
      <c r="F74" s="211"/>
      <c r="G74" s="211"/>
      <c r="H74" s="211"/>
      <c r="I74" s="212"/>
    </row>
    <row r="75" spans="1:9" ht="18.75" customHeight="1" x14ac:dyDescent="0.15">
      <c r="A75" s="79"/>
      <c r="B75" s="210"/>
      <c r="C75" s="211"/>
      <c r="D75" s="211"/>
      <c r="E75" s="211"/>
      <c r="F75" s="211"/>
      <c r="G75" s="211"/>
      <c r="H75" s="211"/>
      <c r="I75" s="212"/>
    </row>
    <row r="76" spans="1:9" ht="18.75" customHeight="1" x14ac:dyDescent="0.15">
      <c r="A76" s="79"/>
      <c r="B76" s="210"/>
      <c r="C76" s="211"/>
      <c r="D76" s="211"/>
      <c r="E76" s="211"/>
      <c r="F76" s="211"/>
      <c r="G76" s="211"/>
      <c r="H76" s="211"/>
      <c r="I76" s="212"/>
    </row>
    <row r="77" spans="1:9" ht="18.75" customHeight="1" x14ac:dyDescent="0.15">
      <c r="A77" s="79"/>
      <c r="B77" s="213"/>
      <c r="C77" s="214"/>
      <c r="D77" s="214"/>
      <c r="E77" s="214"/>
      <c r="F77" s="214"/>
      <c r="G77" s="214"/>
      <c r="H77" s="214"/>
      <c r="I77" s="215"/>
    </row>
    <row r="78" spans="1:9" ht="7.5" customHeight="1" x14ac:dyDescent="0.15">
      <c r="A78" s="79"/>
      <c r="B78" s="79"/>
      <c r="C78" s="79"/>
      <c r="D78" s="79"/>
      <c r="E78" s="79"/>
      <c r="F78" s="79"/>
      <c r="G78" s="79"/>
      <c r="H78" s="79"/>
      <c r="I78" s="79"/>
    </row>
    <row r="79" spans="1:9" ht="18.75" customHeight="1" x14ac:dyDescent="0.15">
      <c r="A79" s="42" t="s">
        <v>141</v>
      </c>
      <c r="B79" s="42" t="s">
        <v>142</v>
      </c>
    </row>
    <row r="80" spans="1:9" ht="18.75" customHeight="1" x14ac:dyDescent="0.15">
      <c r="A80" s="42"/>
      <c r="B80" s="207" t="s">
        <v>143</v>
      </c>
      <c r="C80" s="208"/>
      <c r="D80" s="208"/>
      <c r="E80" s="208"/>
      <c r="F80" s="208"/>
      <c r="G80" s="208"/>
      <c r="H80" s="208"/>
      <c r="I80" s="216"/>
    </row>
    <row r="81" spans="1:9" ht="18.75" customHeight="1" x14ac:dyDescent="0.15">
      <c r="A81" s="42"/>
      <c r="B81" s="217"/>
      <c r="C81" s="218"/>
      <c r="D81" s="218"/>
      <c r="E81" s="218"/>
      <c r="F81" s="218"/>
      <c r="G81" s="218"/>
      <c r="H81" s="218"/>
      <c r="I81" s="219"/>
    </row>
    <row r="82" spans="1:9" ht="18.75" customHeight="1" x14ac:dyDescent="0.15">
      <c r="A82" s="42"/>
      <c r="B82" s="217"/>
      <c r="C82" s="218"/>
      <c r="D82" s="218"/>
      <c r="E82" s="218"/>
      <c r="F82" s="218"/>
      <c r="G82" s="218"/>
      <c r="H82" s="218"/>
      <c r="I82" s="219"/>
    </row>
    <row r="83" spans="1:9" ht="18.75" customHeight="1" x14ac:dyDescent="0.15">
      <c r="A83" s="42"/>
      <c r="B83" s="217"/>
      <c r="C83" s="218"/>
      <c r="D83" s="218"/>
      <c r="E83" s="218"/>
      <c r="F83" s="218"/>
      <c r="G83" s="218"/>
      <c r="H83" s="218"/>
      <c r="I83" s="219"/>
    </row>
    <row r="84" spans="1:9" ht="18.75" customHeight="1" x14ac:dyDescent="0.15">
      <c r="A84" s="42"/>
      <c r="B84" s="217"/>
      <c r="C84" s="218"/>
      <c r="D84" s="218"/>
      <c r="E84" s="218"/>
      <c r="F84" s="218"/>
      <c r="G84" s="218"/>
      <c r="H84" s="218"/>
      <c r="I84" s="219"/>
    </row>
    <row r="85" spans="1:9" ht="18.75" customHeight="1" x14ac:dyDescent="0.15">
      <c r="A85" s="42"/>
      <c r="B85" s="217"/>
      <c r="C85" s="218"/>
      <c r="D85" s="218"/>
      <c r="E85" s="218"/>
      <c r="F85" s="218"/>
      <c r="G85" s="218"/>
      <c r="H85" s="218"/>
      <c r="I85" s="219"/>
    </row>
    <row r="86" spans="1:9" ht="18.75" customHeight="1" x14ac:dyDescent="0.15">
      <c r="A86" s="42"/>
      <c r="B86" s="217"/>
      <c r="C86" s="218"/>
      <c r="D86" s="218"/>
      <c r="E86" s="218"/>
      <c r="F86" s="218"/>
      <c r="G86" s="218"/>
      <c r="H86" s="218"/>
      <c r="I86" s="219"/>
    </row>
    <row r="87" spans="1:9" ht="18.75" customHeight="1" x14ac:dyDescent="0.15">
      <c r="A87" s="42"/>
      <c r="B87" s="217"/>
      <c r="C87" s="218"/>
      <c r="D87" s="218"/>
      <c r="E87" s="218"/>
      <c r="F87" s="218"/>
      <c r="G87" s="218"/>
      <c r="H87" s="218"/>
      <c r="I87" s="219"/>
    </row>
    <row r="88" spans="1:9" ht="18.75" customHeight="1" x14ac:dyDescent="0.15">
      <c r="A88" s="42"/>
      <c r="B88" s="217"/>
      <c r="C88" s="218"/>
      <c r="D88" s="218"/>
      <c r="E88" s="218"/>
      <c r="F88" s="218"/>
      <c r="G88" s="218"/>
      <c r="H88" s="218"/>
      <c r="I88" s="219"/>
    </row>
    <row r="89" spans="1:9" ht="18.75" customHeight="1" x14ac:dyDescent="0.15">
      <c r="A89" s="42"/>
      <c r="B89" s="217"/>
      <c r="C89" s="218"/>
      <c r="D89" s="218"/>
      <c r="E89" s="218"/>
      <c r="F89" s="218"/>
      <c r="G89" s="218"/>
      <c r="H89" s="218"/>
      <c r="I89" s="219"/>
    </row>
    <row r="90" spans="1:9" ht="18.75" customHeight="1" x14ac:dyDescent="0.15">
      <c r="A90" s="79"/>
      <c r="B90" s="217"/>
      <c r="C90" s="218"/>
      <c r="D90" s="218"/>
      <c r="E90" s="218"/>
      <c r="F90" s="218"/>
      <c r="G90" s="218"/>
      <c r="H90" s="218"/>
      <c r="I90" s="219"/>
    </row>
    <row r="91" spans="1:9" ht="18.75" customHeight="1" x14ac:dyDescent="0.15">
      <c r="A91" s="79"/>
      <c r="B91" s="220"/>
      <c r="C91" s="221"/>
      <c r="D91" s="221"/>
      <c r="E91" s="221"/>
      <c r="F91" s="221"/>
      <c r="G91" s="221"/>
      <c r="H91" s="221"/>
      <c r="I91" s="222"/>
    </row>
    <row r="92" spans="1:9" ht="7.5" customHeight="1" x14ac:dyDescent="0.15">
      <c r="A92" s="79"/>
      <c r="B92" s="79"/>
      <c r="C92" s="79"/>
      <c r="D92" s="79"/>
      <c r="E92" s="79"/>
      <c r="F92" s="79"/>
      <c r="G92" s="79"/>
      <c r="H92" s="79"/>
      <c r="I92" s="79"/>
    </row>
    <row r="93" spans="1:9" ht="18.75" customHeight="1" x14ac:dyDescent="0.15">
      <c r="A93" s="42" t="s">
        <v>144</v>
      </c>
      <c r="B93" s="42" t="s">
        <v>145</v>
      </c>
    </row>
    <row r="94" spans="1:9" ht="18.75" customHeight="1" x14ac:dyDescent="0.15">
      <c r="A94" s="42"/>
      <c r="B94" s="184" t="s">
        <v>175</v>
      </c>
      <c r="C94" s="185"/>
      <c r="D94" s="185"/>
      <c r="E94" s="185"/>
      <c r="F94" s="185"/>
      <c r="G94" s="185"/>
      <c r="H94" s="185"/>
      <c r="I94" s="186"/>
    </row>
    <row r="95" spans="1:9" ht="18.75" customHeight="1" x14ac:dyDescent="0.15">
      <c r="A95" s="42"/>
      <c r="B95" s="190"/>
      <c r="C95" s="191"/>
      <c r="D95" s="191"/>
      <c r="E95" s="191"/>
      <c r="F95" s="191"/>
      <c r="G95" s="191"/>
      <c r="H95" s="191"/>
      <c r="I95" s="189"/>
    </row>
    <row r="96" spans="1:9" ht="18.75" customHeight="1" x14ac:dyDescent="0.15">
      <c r="A96" s="42"/>
      <c r="B96" s="190"/>
      <c r="C96" s="191"/>
      <c r="D96" s="191"/>
      <c r="E96" s="191"/>
      <c r="F96" s="191"/>
      <c r="G96" s="191"/>
      <c r="H96" s="191"/>
      <c r="I96" s="189"/>
    </row>
    <row r="97" spans="1:9" ht="18.75" customHeight="1" x14ac:dyDescent="0.15">
      <c r="A97" s="42"/>
      <c r="B97" s="190"/>
      <c r="C97" s="191"/>
      <c r="D97" s="191"/>
      <c r="E97" s="191"/>
      <c r="F97" s="191"/>
      <c r="G97" s="191"/>
      <c r="H97" s="191"/>
      <c r="I97" s="189"/>
    </row>
    <row r="98" spans="1:9" ht="18.75" customHeight="1" x14ac:dyDescent="0.15">
      <c r="A98" s="42"/>
      <c r="B98" s="190"/>
      <c r="C98" s="191"/>
      <c r="D98" s="191"/>
      <c r="E98" s="191"/>
      <c r="F98" s="191"/>
      <c r="G98" s="191"/>
      <c r="H98" s="191"/>
      <c r="I98" s="189"/>
    </row>
    <row r="99" spans="1:9" ht="18.75" customHeight="1" x14ac:dyDescent="0.15">
      <c r="A99" s="42"/>
      <c r="B99" s="190"/>
      <c r="C99" s="191"/>
      <c r="D99" s="191"/>
      <c r="E99" s="191"/>
      <c r="F99" s="191"/>
      <c r="G99" s="191"/>
      <c r="H99" s="191"/>
      <c r="I99" s="189"/>
    </row>
    <row r="100" spans="1:9" ht="18.75" customHeight="1" x14ac:dyDescent="0.15">
      <c r="A100" s="42"/>
      <c r="B100" s="190"/>
      <c r="C100" s="191"/>
      <c r="D100" s="191"/>
      <c r="E100" s="191"/>
      <c r="F100" s="191"/>
      <c r="G100" s="191"/>
      <c r="H100" s="191"/>
      <c r="I100" s="189"/>
    </row>
    <row r="101" spans="1:9" ht="18.75" customHeight="1" x14ac:dyDescent="0.15">
      <c r="A101" s="42"/>
      <c r="B101" s="190"/>
      <c r="C101" s="191"/>
      <c r="D101" s="191"/>
      <c r="E101" s="191"/>
      <c r="F101" s="191"/>
      <c r="G101" s="191"/>
      <c r="H101" s="191"/>
      <c r="I101" s="189"/>
    </row>
    <row r="102" spans="1:9" ht="18.75" customHeight="1" x14ac:dyDescent="0.15">
      <c r="A102" s="42"/>
      <c r="B102" s="190"/>
      <c r="C102" s="191"/>
      <c r="D102" s="191"/>
      <c r="E102" s="191"/>
      <c r="F102" s="191"/>
      <c r="G102" s="191"/>
      <c r="H102" s="191"/>
      <c r="I102" s="189"/>
    </row>
    <row r="103" spans="1:9" ht="18.75" customHeight="1" x14ac:dyDescent="0.15">
      <c r="A103" s="42"/>
      <c r="B103" s="190"/>
      <c r="C103" s="191"/>
      <c r="D103" s="191"/>
      <c r="E103" s="191"/>
      <c r="F103" s="191"/>
      <c r="G103" s="191"/>
      <c r="H103" s="191"/>
      <c r="I103" s="189"/>
    </row>
    <row r="104" spans="1:9" ht="18.75" customHeight="1" x14ac:dyDescent="0.15">
      <c r="A104" s="42"/>
      <c r="B104" s="190"/>
      <c r="C104" s="191"/>
      <c r="D104" s="191"/>
      <c r="E104" s="191"/>
      <c r="F104" s="191"/>
      <c r="G104" s="191"/>
      <c r="H104" s="191"/>
      <c r="I104" s="189"/>
    </row>
    <row r="105" spans="1:9" ht="18.75" customHeight="1" x14ac:dyDescent="0.15">
      <c r="A105" s="79"/>
      <c r="B105" s="192"/>
      <c r="C105" s="193"/>
      <c r="D105" s="193"/>
      <c r="E105" s="193"/>
      <c r="F105" s="193"/>
      <c r="G105" s="193"/>
      <c r="H105" s="193"/>
      <c r="I105" s="194"/>
    </row>
    <row r="106" spans="1:9" ht="7.5" customHeight="1" x14ac:dyDescent="0.15">
      <c r="A106" s="79"/>
      <c r="B106" s="79"/>
      <c r="C106" s="79"/>
      <c r="D106" s="79"/>
      <c r="E106" s="79"/>
      <c r="F106" s="79"/>
      <c r="G106" s="79"/>
      <c r="H106" s="79"/>
      <c r="I106" s="79"/>
    </row>
    <row r="107" spans="1:9" ht="18.75" customHeight="1" x14ac:dyDescent="0.15">
      <c r="A107" s="42" t="s">
        <v>146</v>
      </c>
      <c r="B107" s="202" t="s">
        <v>147</v>
      </c>
      <c r="C107" s="202"/>
      <c r="D107" s="202"/>
      <c r="E107" s="202"/>
      <c r="F107" s="202"/>
      <c r="G107" s="202"/>
      <c r="H107" s="202"/>
      <c r="I107" s="202"/>
    </row>
    <row r="108" spans="1:9" ht="18.75" customHeight="1" x14ac:dyDescent="0.15">
      <c r="A108" s="79"/>
      <c r="B108" s="184" t="s">
        <v>148</v>
      </c>
      <c r="C108" s="185"/>
      <c r="D108" s="185"/>
      <c r="E108" s="185"/>
      <c r="F108" s="185"/>
      <c r="G108" s="185"/>
      <c r="H108" s="185"/>
      <c r="I108" s="186"/>
    </row>
    <row r="109" spans="1:9" ht="18.75" customHeight="1" x14ac:dyDescent="0.15">
      <c r="A109" s="79"/>
      <c r="B109" s="190"/>
      <c r="C109" s="191"/>
      <c r="D109" s="191"/>
      <c r="E109" s="191"/>
      <c r="F109" s="191"/>
      <c r="G109" s="191"/>
      <c r="H109" s="191"/>
      <c r="I109" s="189"/>
    </row>
    <row r="110" spans="1:9" ht="18.75" customHeight="1" x14ac:dyDescent="0.15">
      <c r="A110" s="79"/>
      <c r="B110" s="190"/>
      <c r="C110" s="191"/>
      <c r="D110" s="191"/>
      <c r="E110" s="191"/>
      <c r="F110" s="191"/>
      <c r="G110" s="191"/>
      <c r="H110" s="191"/>
      <c r="I110" s="189"/>
    </row>
    <row r="111" spans="1:9" ht="18.75" customHeight="1" x14ac:dyDescent="0.15">
      <c r="A111" s="79"/>
      <c r="B111" s="190"/>
      <c r="C111" s="191"/>
      <c r="D111" s="191"/>
      <c r="E111" s="191"/>
      <c r="F111" s="191"/>
      <c r="G111" s="191"/>
      <c r="H111" s="191"/>
      <c r="I111" s="189"/>
    </row>
    <row r="112" spans="1:9" ht="18.75" customHeight="1" x14ac:dyDescent="0.15">
      <c r="A112" s="79"/>
      <c r="B112" s="190"/>
      <c r="C112" s="191"/>
      <c r="D112" s="191"/>
      <c r="E112" s="191"/>
      <c r="F112" s="191"/>
      <c r="G112" s="191"/>
      <c r="H112" s="191"/>
      <c r="I112" s="189"/>
    </row>
    <row r="113" spans="1:9" ht="18.75" customHeight="1" x14ac:dyDescent="0.15">
      <c r="A113" s="79"/>
      <c r="B113" s="190"/>
      <c r="C113" s="191"/>
      <c r="D113" s="191"/>
      <c r="E113" s="191"/>
      <c r="F113" s="191"/>
      <c r="G113" s="191"/>
      <c r="H113" s="191"/>
      <c r="I113" s="189"/>
    </row>
    <row r="114" spans="1:9" ht="18.75" customHeight="1" x14ac:dyDescent="0.15">
      <c r="A114" s="79"/>
      <c r="B114" s="190"/>
      <c r="C114" s="191"/>
      <c r="D114" s="191"/>
      <c r="E114" s="191"/>
      <c r="F114" s="191"/>
      <c r="G114" s="191"/>
      <c r="H114" s="191"/>
      <c r="I114" s="189"/>
    </row>
    <row r="115" spans="1:9" ht="18.75" customHeight="1" x14ac:dyDescent="0.15">
      <c r="A115" s="79"/>
      <c r="B115" s="190"/>
      <c r="C115" s="191"/>
      <c r="D115" s="191"/>
      <c r="E115" s="191"/>
      <c r="F115" s="191"/>
      <c r="G115" s="191"/>
      <c r="H115" s="191"/>
      <c r="I115" s="189"/>
    </row>
    <row r="116" spans="1:9" ht="18.75" customHeight="1" x14ac:dyDescent="0.15">
      <c r="A116" s="79"/>
      <c r="B116" s="190"/>
      <c r="C116" s="191"/>
      <c r="D116" s="191"/>
      <c r="E116" s="191"/>
      <c r="F116" s="191"/>
      <c r="G116" s="191"/>
      <c r="H116" s="191"/>
      <c r="I116" s="189"/>
    </row>
    <row r="117" spans="1:9" ht="18.75" customHeight="1" x14ac:dyDescent="0.15">
      <c r="A117" s="79"/>
      <c r="B117" s="190"/>
      <c r="C117" s="191"/>
      <c r="D117" s="191"/>
      <c r="E117" s="191"/>
      <c r="F117" s="191"/>
      <c r="G117" s="191"/>
      <c r="H117" s="191"/>
      <c r="I117" s="189"/>
    </row>
    <row r="118" spans="1:9" ht="18.75" customHeight="1" x14ac:dyDescent="0.15">
      <c r="A118" s="79"/>
      <c r="B118" s="190"/>
      <c r="C118" s="191"/>
      <c r="D118" s="191"/>
      <c r="E118" s="191"/>
      <c r="F118" s="191"/>
      <c r="G118" s="191"/>
      <c r="H118" s="191"/>
      <c r="I118" s="189"/>
    </row>
    <row r="119" spans="1:9" ht="18.75" customHeight="1" x14ac:dyDescent="0.15">
      <c r="A119" s="79"/>
      <c r="B119" s="192"/>
      <c r="C119" s="193"/>
      <c r="D119" s="193"/>
      <c r="E119" s="193"/>
      <c r="F119" s="193"/>
      <c r="G119" s="193"/>
      <c r="H119" s="193"/>
      <c r="I119" s="194"/>
    </row>
    <row r="120" spans="1:9" ht="7.5" customHeight="1" x14ac:dyDescent="0.15">
      <c r="A120" s="79"/>
      <c r="B120" s="85"/>
      <c r="C120" s="85"/>
      <c r="D120" s="85"/>
      <c r="E120" s="85"/>
      <c r="F120" s="85"/>
      <c r="G120" s="85"/>
      <c r="H120" s="85"/>
      <c r="I120" s="85"/>
    </row>
    <row r="121" spans="1:9" ht="18.75" customHeight="1" x14ac:dyDescent="0.15">
      <c r="A121" s="42"/>
      <c r="B121" s="177"/>
      <c r="C121" s="177"/>
      <c r="D121" s="177"/>
      <c r="E121" s="177"/>
      <c r="F121" s="177"/>
      <c r="G121" s="177"/>
      <c r="H121" s="177"/>
      <c r="I121" s="177"/>
    </row>
    <row r="122" spans="1:9" ht="18.75" customHeight="1" x14ac:dyDescent="0.15">
      <c r="A122" s="42"/>
      <c r="B122" s="177"/>
      <c r="C122" s="177"/>
      <c r="D122" s="177"/>
      <c r="E122" s="177"/>
      <c r="F122" s="177"/>
      <c r="G122" s="177"/>
      <c r="H122" s="177"/>
      <c r="I122" s="177"/>
    </row>
    <row r="123" spans="1:9" ht="18.75" customHeight="1" x14ac:dyDescent="0.15">
      <c r="A123" s="79"/>
      <c r="B123" s="86"/>
      <c r="C123" s="86"/>
      <c r="D123" s="86"/>
      <c r="E123" s="86"/>
      <c r="F123" s="86"/>
      <c r="G123" s="86"/>
      <c r="H123" s="86"/>
      <c r="I123" s="87"/>
    </row>
    <row r="124" spans="1:9" ht="18.75" customHeight="1" x14ac:dyDescent="0.15">
      <c r="A124" s="79"/>
      <c r="B124" s="87"/>
      <c r="C124" s="87"/>
      <c r="D124" s="87"/>
      <c r="E124" s="87"/>
      <c r="F124" s="87"/>
      <c r="G124" s="87"/>
      <c r="H124" s="87"/>
      <c r="I124" s="87"/>
    </row>
    <row r="125" spans="1:9" ht="18.75" customHeight="1" x14ac:dyDescent="0.15">
      <c r="A125" s="79"/>
      <c r="B125" s="87"/>
      <c r="C125" s="87"/>
      <c r="D125" s="87"/>
      <c r="E125" s="87"/>
      <c r="F125" s="87"/>
      <c r="G125" s="87"/>
      <c r="H125" s="87"/>
      <c r="I125" s="87"/>
    </row>
    <row r="126" spans="1:9" ht="18.75" customHeight="1" x14ac:dyDescent="0.15">
      <c r="A126" s="79"/>
      <c r="B126" s="87"/>
      <c r="C126" s="87"/>
      <c r="D126" s="87"/>
      <c r="E126" s="87"/>
      <c r="F126" s="87"/>
      <c r="G126" s="87"/>
      <c r="H126" s="87"/>
      <c r="I126" s="87"/>
    </row>
    <row r="127" spans="1:9" ht="18.75" customHeight="1" x14ac:dyDescent="0.15">
      <c r="A127" s="79"/>
      <c r="B127" s="87"/>
      <c r="C127" s="87"/>
      <c r="D127" s="87"/>
      <c r="E127" s="87"/>
      <c r="F127" s="87"/>
      <c r="G127" s="87"/>
      <c r="H127" s="87"/>
      <c r="I127" s="87"/>
    </row>
    <row r="128" spans="1:9" ht="18.75" customHeight="1" x14ac:dyDescent="0.15">
      <c r="A128" s="79"/>
      <c r="B128" s="87"/>
      <c r="C128" s="87"/>
      <c r="D128" s="87"/>
      <c r="E128" s="87"/>
      <c r="F128" s="87"/>
      <c r="G128" s="87"/>
      <c r="H128" s="87"/>
      <c r="I128" s="87"/>
    </row>
    <row r="129" spans="1:9" ht="18.75" customHeight="1" x14ac:dyDescent="0.15">
      <c r="A129" s="79"/>
      <c r="B129" s="87"/>
      <c r="C129" s="87"/>
      <c r="D129" s="87"/>
      <c r="E129" s="87"/>
      <c r="F129" s="87"/>
      <c r="G129" s="87"/>
      <c r="H129" s="87"/>
      <c r="I129" s="87"/>
    </row>
    <row r="130" spans="1:9" ht="18.75" customHeight="1" x14ac:dyDescent="0.15">
      <c r="A130" s="79"/>
      <c r="B130" s="87"/>
      <c r="C130" s="87"/>
      <c r="D130" s="87"/>
      <c r="E130" s="87"/>
      <c r="F130" s="87"/>
      <c r="G130" s="87"/>
      <c r="H130" s="87"/>
      <c r="I130" s="87"/>
    </row>
    <row r="131" spans="1:9" ht="18.75" customHeight="1" x14ac:dyDescent="0.15">
      <c r="A131" s="79"/>
      <c r="B131" s="87"/>
      <c r="C131" s="87"/>
      <c r="D131" s="87"/>
      <c r="E131" s="87"/>
      <c r="F131" s="87"/>
      <c r="G131" s="87"/>
      <c r="H131" s="87"/>
      <c r="I131" s="87"/>
    </row>
    <row r="132" spans="1:9" ht="18.75" customHeight="1" x14ac:dyDescent="0.15">
      <c r="A132" s="79"/>
      <c r="B132" s="87"/>
      <c r="C132" s="87"/>
      <c r="D132" s="87"/>
      <c r="E132" s="87"/>
      <c r="F132" s="87"/>
      <c r="G132" s="87"/>
      <c r="H132" s="87"/>
      <c r="I132" s="87"/>
    </row>
    <row r="133" spans="1:9" ht="14.25" x14ac:dyDescent="0.15">
      <c r="A133" s="79"/>
      <c r="B133" s="87"/>
      <c r="C133" s="87"/>
      <c r="D133" s="87"/>
      <c r="E133" s="87"/>
      <c r="F133" s="87"/>
      <c r="G133" s="87"/>
      <c r="H133" s="87"/>
      <c r="I133" s="87"/>
    </row>
    <row r="134" spans="1:9" ht="7.5" customHeight="1" x14ac:dyDescent="0.15">
      <c r="A134" s="79"/>
      <c r="B134" s="87"/>
      <c r="C134" s="87"/>
      <c r="D134" s="87"/>
      <c r="E134" s="87"/>
      <c r="F134" s="87"/>
      <c r="G134" s="87"/>
      <c r="H134" s="87"/>
      <c r="I134" s="87"/>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AFB3-6919-F541-9BC8-2D066E6F8FFA}">
  <sheetPr>
    <pageSetUpPr fitToPage="1"/>
  </sheetPr>
  <dimension ref="A1:I30"/>
  <sheetViews>
    <sheetView showZeros="0" view="pageBreakPreview" topLeftCell="A7" zoomScale="70" zoomScaleNormal="100" zoomScaleSheetLayoutView="70" workbookViewId="0">
      <selection activeCell="E15" sqref="E15:I15"/>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149</v>
      </c>
      <c r="I1" s="17" t="s">
        <v>150</v>
      </c>
    </row>
    <row r="2" spans="1:9" ht="18.75" customHeight="1" x14ac:dyDescent="0.15">
      <c r="H2" s="17" t="s">
        <v>2</v>
      </c>
      <c r="I2" s="16" t="str">
        <f>'様式１　プログラムを構成する授業科目'!C2</f>
        <v>青森中央短期大学</v>
      </c>
    </row>
    <row r="3" spans="1:9" ht="18.75" customHeight="1" x14ac:dyDescent="0.15">
      <c r="A3" s="112" t="s">
        <v>151</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107</v>
      </c>
      <c r="B5" s="10" t="s">
        <v>152</v>
      </c>
      <c r="C5" s="5"/>
      <c r="D5" s="5"/>
      <c r="E5" s="5"/>
      <c r="F5" s="5"/>
      <c r="G5" s="5"/>
      <c r="H5" s="5"/>
      <c r="I5" s="5"/>
    </row>
    <row r="6" spans="1:9" ht="26.25" customHeight="1" x14ac:dyDescent="0.15">
      <c r="A6" s="5"/>
      <c r="B6" s="233" t="s">
        <v>153</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17" t="s">
        <v>115</v>
      </c>
      <c r="E8" s="18" t="s">
        <v>116</v>
      </c>
      <c r="F8" s="3"/>
      <c r="G8" s="17" t="s">
        <v>117</v>
      </c>
      <c r="H8" s="18" t="s">
        <v>122</v>
      </c>
      <c r="I8" s="3"/>
    </row>
    <row r="9" spans="1:9" ht="7.5" customHeight="1" x14ac:dyDescent="0.15">
      <c r="A9" s="5"/>
      <c r="B9" s="5"/>
      <c r="C9" s="5"/>
      <c r="D9" s="5"/>
      <c r="E9" s="5"/>
      <c r="F9" s="5"/>
      <c r="G9" s="5"/>
      <c r="H9" s="5"/>
      <c r="I9" s="5"/>
    </row>
    <row r="10" spans="1:9" ht="18.75" customHeight="1" x14ac:dyDescent="0.15">
      <c r="A10" s="1" t="s">
        <v>111</v>
      </c>
      <c r="B10" s="1" t="s">
        <v>154</v>
      </c>
      <c r="C10" s="4"/>
      <c r="D10" s="4"/>
      <c r="E10" s="4"/>
      <c r="F10" s="4"/>
      <c r="G10" s="4"/>
      <c r="H10" s="4"/>
      <c r="I10" s="4"/>
    </row>
    <row r="11" spans="1:9" ht="18.75" customHeight="1" x14ac:dyDescent="0.15">
      <c r="B11" s="101" t="s">
        <v>155</v>
      </c>
      <c r="C11" s="102"/>
      <c r="D11" s="103"/>
      <c r="E11" s="102" t="s">
        <v>156</v>
      </c>
      <c r="F11" s="102"/>
      <c r="G11" s="102"/>
      <c r="H11" s="102"/>
      <c r="I11" s="103"/>
    </row>
    <row r="12" spans="1:9" ht="26.25" customHeight="1" x14ac:dyDescent="0.15">
      <c r="B12" s="19" t="s">
        <v>157</v>
      </c>
      <c r="C12" s="26"/>
      <c r="D12" s="20"/>
      <c r="E12" s="27"/>
      <c r="F12" s="27"/>
      <c r="G12" s="27"/>
      <c r="H12" s="27"/>
      <c r="I12" s="20"/>
    </row>
    <row r="13" spans="1:9" ht="210.75" customHeight="1" x14ac:dyDescent="0.15">
      <c r="B13" s="21"/>
      <c r="C13" s="236" t="s">
        <v>158</v>
      </c>
      <c r="D13" s="237"/>
      <c r="E13" s="238" t="s">
        <v>177</v>
      </c>
      <c r="F13" s="239"/>
      <c r="G13" s="239"/>
      <c r="H13" s="239"/>
      <c r="I13" s="240"/>
    </row>
    <row r="14" spans="1:9" ht="210.75" customHeight="1" x14ac:dyDescent="0.15">
      <c r="B14" s="21"/>
      <c r="C14" s="241" t="s">
        <v>159</v>
      </c>
      <c r="D14" s="242"/>
      <c r="E14" s="238" t="s">
        <v>184</v>
      </c>
      <c r="F14" s="239"/>
      <c r="G14" s="239"/>
      <c r="H14" s="239"/>
      <c r="I14" s="240"/>
    </row>
    <row r="15" spans="1:9" ht="210.75" customHeight="1" x14ac:dyDescent="0.15">
      <c r="B15" s="21"/>
      <c r="C15" s="236" t="s">
        <v>160</v>
      </c>
      <c r="D15" s="237"/>
      <c r="E15" s="238" t="s">
        <v>180</v>
      </c>
      <c r="F15" s="239"/>
      <c r="G15" s="239"/>
      <c r="H15" s="239"/>
      <c r="I15" s="240"/>
    </row>
    <row r="16" spans="1:9" ht="210.75" customHeight="1" x14ac:dyDescent="0.15">
      <c r="B16" s="21"/>
      <c r="C16" s="236" t="s">
        <v>161</v>
      </c>
      <c r="D16" s="237"/>
      <c r="E16" s="243" t="s">
        <v>176</v>
      </c>
      <c r="F16" s="244"/>
      <c r="G16" s="244"/>
      <c r="H16" s="244"/>
      <c r="I16" s="245"/>
    </row>
    <row r="17" spans="2:9" ht="210.75" customHeight="1" x14ac:dyDescent="0.15">
      <c r="B17" s="22"/>
      <c r="C17" s="256" t="s">
        <v>162</v>
      </c>
      <c r="D17" s="257"/>
      <c r="E17" s="258" t="s">
        <v>171</v>
      </c>
      <c r="F17" s="259"/>
      <c r="G17" s="259"/>
      <c r="H17" s="259"/>
      <c r="I17" s="260"/>
    </row>
    <row r="18" spans="2:9" ht="24" customHeight="1" x14ac:dyDescent="0.15">
      <c r="B18" s="19" t="s">
        <v>163</v>
      </c>
      <c r="C18" s="23"/>
      <c r="D18" s="24"/>
      <c r="E18" s="25"/>
      <c r="F18" s="25"/>
      <c r="G18" s="25"/>
      <c r="H18" s="25"/>
      <c r="I18" s="28"/>
    </row>
    <row r="19" spans="2:9" ht="218.25" customHeight="1" x14ac:dyDescent="0.15">
      <c r="B19" s="21"/>
      <c r="C19" s="236" t="s">
        <v>164</v>
      </c>
      <c r="D19" s="237"/>
      <c r="E19" s="239" t="s">
        <v>165</v>
      </c>
      <c r="F19" s="239"/>
      <c r="G19" s="239"/>
      <c r="H19" s="239"/>
      <c r="I19" s="240"/>
    </row>
    <row r="20" spans="2:9" ht="218.25" customHeight="1" x14ac:dyDescent="0.15">
      <c r="B20" s="22"/>
      <c r="C20" s="256" t="s">
        <v>166</v>
      </c>
      <c r="D20" s="257"/>
      <c r="E20" s="259" t="s">
        <v>178</v>
      </c>
      <c r="F20" s="259"/>
      <c r="G20" s="259"/>
      <c r="H20" s="259"/>
      <c r="I20" s="260"/>
    </row>
    <row r="21" spans="2:9" ht="218.25" customHeight="1" x14ac:dyDescent="0.15">
      <c r="B21" s="246" t="s">
        <v>167</v>
      </c>
      <c r="C21" s="247"/>
      <c r="D21" s="248"/>
      <c r="E21" s="249" t="s">
        <v>179</v>
      </c>
      <c r="F21" s="249"/>
      <c r="G21" s="249"/>
      <c r="H21" s="249"/>
      <c r="I21" s="250"/>
    </row>
    <row r="22" spans="2:9" ht="218.25" customHeight="1" x14ac:dyDescent="0.15">
      <c r="B22" s="251" t="s">
        <v>168</v>
      </c>
      <c r="C22" s="252"/>
      <c r="D22" s="253"/>
      <c r="E22" s="254" t="s">
        <v>169</v>
      </c>
      <c r="F22" s="254"/>
      <c r="G22" s="254"/>
      <c r="H22" s="254"/>
      <c r="I22" s="25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ECD90E7DE958D48A28EC110CC2A4B30" ma:contentTypeVersion="14" ma:contentTypeDescription="新しいドキュメントを作成します。" ma:contentTypeScope="" ma:versionID="e94b45c72cb62ac4bf25e5f57c9f721f">
  <xsd:schema xmlns:xsd="http://www.w3.org/2001/XMLSchema" xmlns:xs="http://www.w3.org/2001/XMLSchema" xmlns:p="http://schemas.microsoft.com/office/2006/metadata/properties" xmlns:ns2="88b5d61f-4299-4b06-97b9-cc0fd287495d" xmlns:ns3="b212ee61-127d-4c8f-b8c2-108185e5b5d8" targetNamespace="http://schemas.microsoft.com/office/2006/metadata/properties" ma:root="true" ma:fieldsID="32ff4a8f25f8f8c8d3fddd52cb84e2f6" ns2:_="" ns3:_="">
    <xsd:import namespace="88b5d61f-4299-4b06-97b9-cc0fd287495d"/>
    <xsd:import namespace="b212ee61-127d-4c8f-b8c2-108185e5b5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b5d61f-4299-4b06-97b9-cc0fd28749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8b8bc3db-6a81-47c3-9380-98f7c11c96f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2ee61-127d-4c8f-b8c2-108185e5b5d8"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385c5f66-8142-44e2-8992-dce6f3bbd20e}" ma:internalName="TaxCatchAll" ma:showField="CatchAllData" ma:web="b212ee61-127d-4c8f-b8c2-108185e5b5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212ee61-127d-4c8f-b8c2-108185e5b5d8" xsi:nil="true"/>
    <lcf76f155ced4ddcb4097134ff3c332f xmlns="88b5d61f-4299-4b06-97b9-cc0fd28749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5C4D5D-14C6-4162-8B97-F3B0C9ACFFDD}">
  <ds:schemaRefs>
    <ds:schemaRef ds:uri="http://schemas.microsoft.com/sharepoint/v3/contenttype/forms"/>
  </ds:schemaRefs>
</ds:datastoreItem>
</file>

<file path=customXml/itemProps2.xml><?xml version="1.0" encoding="utf-8"?>
<ds:datastoreItem xmlns:ds="http://schemas.openxmlformats.org/officeDocument/2006/customXml" ds:itemID="{7A0CACE3-F816-4855-8E62-933A78BAD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b5d61f-4299-4b06-97b9-cc0fd287495d"/>
    <ds:schemaRef ds:uri="b212ee61-127d-4c8f-b8c2-108185e5b5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C1D666-1154-4BEC-A35F-80A885BA2CD2}">
  <ds:schemaRefs>
    <ds:schemaRef ds:uri="http://schemas.microsoft.com/office/2006/documentManagement/types"/>
    <ds:schemaRef ds:uri="http://schemas.microsoft.com/office/2006/metadata/properties"/>
    <ds:schemaRef ds:uri="88b5d61f-4299-4b06-97b9-cc0fd287495d"/>
    <ds:schemaRef ds:uri="http://purl.org/dc/dcmitype/"/>
    <ds:schemaRef ds:uri="http://purl.org/dc/terms/"/>
    <ds:schemaRef ds:uri="b212ee61-127d-4c8f-b8c2-108185e5b5d8"/>
    <ds:schemaRef ds:uri="http://schemas.openxmlformats.org/package/2006/metadata/core-properties"/>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石田 壮平</cp:lastModifiedBy>
  <cp:revision/>
  <cp:lastPrinted>2025-04-21T09:51:47Z</cp:lastPrinted>
  <dcterms:created xsi:type="dcterms:W3CDTF">2011-06-14T05:32:50Z</dcterms:created>
  <dcterms:modified xsi:type="dcterms:W3CDTF">2025-07-10T09:15:43Z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0x0101006ECD90E7DE958D48A28EC110CC2A4B30</vt:lpwstr>
  </property>
  <property fmtid="{D5CDD505-2E9C-101B-9397-08002B2CF9AE}" pid="10" name="MediaServiceImageTags">
    <vt:lpwstr/>
  </property>
</Properties>
</file>