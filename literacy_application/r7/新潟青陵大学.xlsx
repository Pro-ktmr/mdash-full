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C:\Users\MAKOTO\Desktop\数理・データサイエンス・ＡＩ教育プログラム認定制度\申請書類\再提出20250705\"/>
    </mc:Choice>
  </mc:AlternateContent>
  <xr:revisionPtr revIDLastSave="0" documentId="8_{3556C9AB-D375-454F-A0A0-9C3E6B57562E}" xr6:coauthVersionLast="47" xr6:coauthVersionMax="47" xr10:uidLastSave="{00000000-0000-0000-0000-000000000000}"/>
  <bookViews>
    <workbookView xWindow="-120" yWindow="-120" windowWidth="38640" windowHeight="212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<sst xmlns="http://schemas.openxmlformats.org/spreadsheetml/2006/main" count="286" uniqueCount="188">
  <si>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</si>
  <si>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</si>
  <si>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</si>
  <si>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</si>
  <si>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</si>
  <si>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</si>
  <si>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</si>
  <si>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</si>
  <si>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</si>
  <si>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</si>
  <si>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</si>
  <si>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</si>
  <si>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</si>
  <si>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</si>
  <si>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</si>
  <si>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</si>
  <si>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</si>
  <si>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</si>
  <si>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</si>
  <si>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</si>
  <si>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</si>
  <si>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</si>
  <si>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</si>
  <si>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</si>
  <si>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</si>
  <si>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</si>
  <si>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</si>
  <si>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</si>
  <si>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</si>
  <si>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</si>
  <si>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</si>
  <si>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</si>
  <si>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</si>
  <si>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</si>
  <si>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</si>
  <si>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</si>
  <si>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</si>
  <si>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</si>
  <si>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</si>
  <si>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</si>
  <si>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</si>
  <si>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</si>
  <si>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</si>
  <si>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</si>
  <si>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</si>
  <si>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</si>
  <si>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</si>
  <si>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</si>
  <si>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</si>
  <si>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</si>
  <si>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</si>
  <si>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</si>
  <si>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</si>
  <si>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</si>
  <si>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</si>
  <si>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</si>
  <si>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</si>
  <si>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</si>
  <si>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</si>
  <si>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</si>
  <si>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</si>
  <si>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</si>
  <si>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</si>
  <si>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</si>
  <si>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</si>
  <si>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</si>
  <si>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</si>
  <si>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</si>
  <si>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</si>
  <si>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</si>
  <si>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</si>
  <si>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</si>
  <si>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</si>
  <si>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</si>
  <si>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</si>
  <si>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</si>
  <si>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</si>
  <si>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</si>
  <si>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</si>
  <si>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</si>
  <si>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</si>
  <si>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</si>
  <si>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</si>
  <si>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</si>
  <si>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</si>
  <si>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</si>
  <si>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</si>
  <si>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</si>
  <si>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</si>
  <si>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</si>
  <si>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</si>
  <si>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</si>
  <si>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</si>
  <si>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</si>
  <si>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</si>
  <si>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</si>
  <si>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</si>
  <si>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</si>
  <si>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</si>
  <si>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</si>
  <si>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</si>
  <si>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</si>
  <si>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</si>
  <si>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</si>
  <si>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</si>
  <si>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</si>
  <si>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</si>
  <si>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</si>
  <si>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</si>
  <si>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</si>
  <si>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</si>
  <si>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</si>
  <si>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</si>
  <si>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</si>
  <si>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</si>
  <si>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</si>
  <si>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</si>
  <si>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</si>
  <si>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</si>
  <si>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</si>
  <si>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</si>
  <si>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</si>
  <si>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</si>
  <si>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</si>
  <si>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</si>
  <si>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</si>
  <si>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</si>
  <si>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</si>
  <si>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</si>
  <si>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</si>
  <si>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</si>
  <si>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</si>
  <si>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</si>
  <si>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</si>
  <si>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</si>
  <si>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</si>
  <si>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</si>
  <si>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</si>
  <si>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</si>
  <si>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</si>
  <si>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</si>
  <si>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新潟青陵大学</t>
    <rPh sb="0" eb="2">
      <t>ニイガタ</t>
    </rPh>
    <rPh sb="2" eb="4">
      <t>セイリョウ</t>
    </rPh>
    <rPh sb="4" eb="6">
      <t>ダイガク</t>
    </rPh>
    <phoneticPr fontId="1"/>
  </si>
  <si>
    <t>SEIRYOデータサイエンス・AI教育プログラム</t>
    <rPh sb="17" eb="19">
      <t>キョウイク</t>
    </rPh>
    <phoneticPr fontId="1"/>
  </si>
  <si>
    <t>データ活用演習Ⅰ</t>
    <rPh sb="3" eb="5">
      <t>カツヨウ</t>
    </rPh>
    <rPh sb="5" eb="7">
      <t>エンシュウ</t>
    </rPh>
    <phoneticPr fontId="1"/>
  </si>
  <si>
    <t>データ活用演習Ⅱ</t>
    <rPh sb="3" eb="5">
      <t>カツヨウ</t>
    </rPh>
    <rPh sb="5" eb="7">
      <t>エンシュウ</t>
    </rPh>
    <phoneticPr fontId="1"/>
  </si>
  <si>
    <t>○</t>
  </si>
  <si>
    <t>・ビッグデータ、IoT、AI、生成AI、ロボット「データ活用演習Ⅰ」（1回目）
・データ量の増加、計算機の処理性能の向上、AIの非連続的進化「データ活用演習Ⅰ」（1回目）
・第4次産業革命、Society 5.0、データ駆動型社会「データ活用演習Ⅰ」（1回目）
・複数技術を組み合わせたAIサービス「データ活用演習Ⅰ」（1回目）
・人間の知的活動とAIの関係性「データ活用演習Ⅰ」（1回目）
・データを起点としたものの見方、人間の知的活動を起点としたものの見方「データ活用演習Ⅰ」（1回目）</t>
    <rPh sb="28" eb="30">
      <t>カツヨウ</t>
    </rPh>
    <rPh sb="30" eb="32">
      <t>エンシュウ</t>
    </rPh>
    <rPh sb="36" eb="38">
      <t>カイメ</t>
    </rPh>
    <phoneticPr fontId="1"/>
  </si>
  <si>
    <t>・AI最新技術の活用例（深層生成モデル、強化学習、転移学習、生成AIなど）「データ活用演習Ⅰ」（2回目、6回目）
・AI等を活用した新しいビジネスモデル(シェアリングエコノミー、商品のレコメンデーションなど)「データ活用演習Ⅰ」（15回目）
・基盤モデル、大規模言語モデル、拡散モデル「データ活用演習Ⅰ」（3回目）</t>
    <rPh sb="49" eb="50">
      <t>カイ</t>
    </rPh>
    <rPh sb="50" eb="51">
      <t>メ</t>
    </rPh>
    <phoneticPr fontId="1"/>
  </si>
  <si>
    <t>プログラムを構成するデータ活用演習Ⅰ～Ⅱ（各1単位）を必修として合計2単位を取得すること。</t>
    <rPh sb="13" eb="15">
      <t>カツヨウ</t>
    </rPh>
    <rPh sb="15" eb="17">
      <t>エンシュウ</t>
    </rPh>
    <phoneticPr fontId="1"/>
  </si>
  <si>
    <t>・データ・AI活用領域の広がり(生産、消費、文化活動など)「データ活用演習Ⅰ」（1回目）
・研究開発、調達、製造、物流、販売、マーケティング、サービスなど「データ活用演習Ⅰ」（2回目）
・仮説検証、知識発見、原因究明、計画策定、判断支援、活動代替、新規生成など「データ活用演習Ⅰ」（4回目）
・対話、コンテンツ生成、翻訳・要約・執筆支援、コーディング支援など生成AIの応用「データ活用演習Ⅰ」（2回目）</t>
    <phoneticPr fontId="1"/>
  </si>
  <si>
    <t>・データ解析：予測、グルーピング、パターン発見、最適化、モデル化とシミュレーション・データ同化など「データ活用演習Ⅰ」（2回目）
・データ可視化：複合グラフ、2軸グラフ、多次元の可視化、関係性の可視化、地図上の可視化、挙動・軌跡の可視化、リアルタイム可視化など「データ活用演習Ⅰ」（4回目）
・非構造化データ処理：言語処理、画像/動画処理、音声/音楽処理など「データ活用演習Ⅰ」（5回目）
・特化型AIと汎用AI、今のAIで出来ることと出来ないこと、AIとビッグデータ「データ活用演習Ⅰ」（1回目）
・認識技術、ルールベース、自動化技術「データ活用演習Ⅰ」（2回目）
・マルチモーダル（言語、画像、音声 など）、生成AIの活用（プロンプトエンジニアリング）「データ活用演習Ⅰ」（15回目）</t>
    <rPh sb="280" eb="281">
      <t>カイ</t>
    </rPh>
    <phoneticPr fontId="1"/>
  </si>
  <si>
    <t>・データサイエンスのサイクル（課題抽出と定式化、データの取得・管理・加工、探索的データ解析、データ解析と推論、結果の共有・伝達、課題解決に向けた提案）「データ活用演習Ⅰ」（1回目）
・教育、芸術、流通、製造、金融、サービス、インフラ、公共、ヘルスケア等におけるデータ・AI利活用「データ活用演習Ⅰ」（2回目）</t>
    <phoneticPr fontId="1"/>
  </si>
  <si>
    <t>・倫理的・法的・社会的課題（ELSI：Ethical, Legal and Social Issues）「データ活用演習Ⅰ」（9回目）
・個人情報保護、EU一般データ保護規則(GDPR)、忘れられる権利、オプトアウト「データ活用演習Ⅰ」（9回目）
・データ倫理：データのねつ造、改ざん、盗用、プライバシー保護「データ活用演習Ⅰ」（9回目）
・AI社会原則（公平性、説明責任、透明性、人間中心の判断）「データ活用演習Ⅰ」（9回目）
・データバイアス、アルゴリズムバイアス「データ活用演習Ⅰ」（9回目）
・AIサービスの責任論「データ活用演習Ⅰ」（9回目）
・データガバナンス「データ活用演習Ⅰ」（9回目）
・データ・AI活用における負の事例紹介「データ活用演習Ⅰ」（15回目）
・生成AIの留意事項（ハルシネーションによる誤情報の生成、偽情報や有害コンテンツの生成・氾濫 など）「データ活用演習Ⅰ」（15回目）</t>
    <phoneticPr fontId="1"/>
  </si>
  <si>
    <t>・情報セキュリティの3要素（機密性、完全性、可用性）「データ活用演習Ⅰ」（9回目）
・匿名加工情報、暗号化と復号、ユーザ認証と、パスワード、アクセス制御、悪意ある情報搾取「データ活用演習Ⅰ」（9回目）
・情報漏洩等によるセキュリティ事故の事例紹介「データ活用演習Ⅰ」（9回目）
・サイバーセキュリティ「データ活用演習Ⅰ」（9回目）</t>
    <phoneticPr fontId="1"/>
  </si>
  <si>
    <t>・調査データ、実験データ、人の行動ログデータ、機械の稼働ログデータなど「データ活用演習Ⅰ」（4回目、11回目）
・1次データ、2次データ、データのメタ化「データ活用演習Ⅰ」（4回目、11回目）
・構造化データ、非構造化データ（文章、画像/動画、音声/音楽など）「データ活用演習Ⅰ」（5回目）
・データ作成（ビッグデータとアノテーション）「データ活用演習Ⅰ」（1回目、11回目）
・データのオープン化（オープンデータ）「データ活用演習Ⅰ」（7回目、8回目）</t>
    <rPh sb="52" eb="54">
      <t>カイメ</t>
    </rPh>
    <rPh sb="93" eb="95">
      <t>カイメ</t>
    </rPh>
    <rPh sb="185" eb="187">
      <t>カイメ</t>
    </rPh>
    <rPh sb="224" eb="226">
      <t>カイメ</t>
    </rPh>
    <phoneticPr fontId="1"/>
  </si>
  <si>
    <t>・データの種類（量的変数、質的変数）「データ活用演習Ⅰ」（4回目、5回目、11回目）「データ活用演習Ⅱ」（1回目～15回目）
・データの分布(ヒストグラム)と代表値（平均値、中央値、最頻値）「データ活用演習Ⅰ」（4回目、5回目、11回目）「データ活用演習Ⅱ」（1回目～15回目）
・代表値の性質の違い（実社会では平均値＝最頻値でないことが多い）「データ活用演習Ⅰ」（4回目、5回目、11回目）「データ活用演習Ⅱ」（1回目～15回目）
・データのばらつき（分散、標準偏差、偏差値）、外れ値「データ活用演習Ⅰ」（4回目、5回目、11回目）「データ活用演習Ⅱ」（1回目～15回目）
・相関と因果（相関係数、擬似相関、交絡）「データ活用演習Ⅰ」（4回目、5回目、11回目）「データ活用演習Ⅱ」（1回目～15回目）
・観測データに含まれる誤差の扱い「データ活用演習Ⅰ」（4回目、5回目、11回目）「データ活用演習Ⅱ」（1回目～15回目）
・打ち切りや欠測を含むデータ、層別の必要なデータ「データ活用演習Ⅰ」（4回目、5回目、11回目）「データ活用演習Ⅱ」（1回目～15回目）
・母集団と標本抽出（国勢調査、アンケート調査、全数調査、単純無作為抽出、層別抽出、多段抽出）「データ活用演習Ⅰ」（4回目、5回目、11回目）「データ活用演習Ⅱ」（1回目～15回目）
・クロス集計表、分割表、相関係数行列、散布図行列「データ活用演習Ⅰ」（4回目、5回目、11回目）「データ活用演習Ⅱ」（1回目～15回目）
・統計情報の正しい理解（誇張表現に惑わされない）「データ活用演習Ⅰ」（4回目、5回目、11回目）「データ活用演習Ⅱ」（1回目～15回目）</t>
    <rPh sb="34" eb="36">
      <t>カイメ</t>
    </rPh>
    <rPh sb="39" eb="41">
      <t>カイメ</t>
    </rPh>
    <rPh sb="116" eb="118">
      <t>カイメ</t>
    </rPh>
    <rPh sb="193" eb="195">
      <t>カイメ</t>
    </rPh>
    <rPh sb="264" eb="266">
      <t>カイメ</t>
    </rPh>
    <rPh sb="329" eb="331">
      <t>カイメ</t>
    </rPh>
    <rPh sb="459" eb="461">
      <t>カイメ</t>
    </rPh>
    <rPh sb="550" eb="552">
      <t>カイメ</t>
    </rPh>
    <rPh sb="619" eb="621">
      <t>カイメ</t>
    </rPh>
    <rPh sb="688" eb="690">
      <t>カイメ</t>
    </rPh>
    <phoneticPr fontId="1"/>
  </si>
  <si>
    <t>・データ表現（棒グラフ、折線グラフ、散布図、ヒートマップ、箱ひげ図）「データ活用演習Ⅰ」（4回目、5回目、11回目）「データ活用演習Ⅱ」（1回目～15回目）
・データの比較（条件をそろえた比較、処理の前後での比較、A/Bテスト)「データ活用演習Ⅰ」（4回目、5回目、11回目）「データ活用演習Ⅱ」（1回目～15回目）
・不適切なグラフ表現（チャートジャンク、不必要な視覚的要素）「データ活用演習Ⅰ」（4回目、5回目、11回目）「データ活用演習Ⅱ」（1回目～15回目）
・優れた可視化事例の紹介（可視化することによって新たな気づきがあった事例など）「データ活用演習Ⅰ」（4回目、5回目、11回目）「データ活用演習Ⅱ」（1回目～15回目）
・相手に的確かつ正確に情報を伝える技術や考え方（スライド作成，プレゼンテーションなど）「データ活用演習Ⅰ」（15回目）「データ活用演習Ⅱ」（1回目～15回目）</t>
    <rPh sb="55" eb="57">
      <t>カイメ</t>
    </rPh>
    <rPh sb="135" eb="137">
      <t>カイメ</t>
    </rPh>
    <rPh sb="210" eb="212">
      <t>カイメ</t>
    </rPh>
    <phoneticPr fontId="1"/>
  </si>
  <si>
    <t>・データの取得（機械判読可能なデータの作成・表記方法）「データ活用演習Ⅰ」（4回目）「データ活用演習Ⅱ」（1回目～15回目）
・データの集計（和、平均）「データ活用演習Ⅰ」（4回目）「データ活用演習Ⅱ」（1回目～15回目）
・データの並び替え、ランキング「データ活用演習Ⅰ」（4回目）「データ活用演習Ⅱ」（1回目～15回目）
・データ解析ツール（スプレッドシート、BIツール）「データ活用演習Ⅰ」（4回目）「データ活用演習Ⅱ」（1回目～15回目）
・表形式のデータ（csv）「データ活用演習Ⅰ」（4回目）</t>
    <rPh sb="207" eb="209">
      <t>カツヨウ</t>
    </rPh>
    <rPh sb="209" eb="211">
      <t>エンシュウ</t>
    </rPh>
    <rPh sb="215" eb="217">
      <t>カイメ</t>
    </rPh>
    <rPh sb="220" eb="222">
      <t>カイメ</t>
    </rPh>
    <phoneticPr fontId="1"/>
  </si>
  <si>
    <t>令和6</t>
    <rPh sb="0" eb="2">
      <t>レイワ</t>
    </rPh>
    <phoneticPr fontId="1"/>
  </si>
  <si>
    <t>看護学部</t>
    <rPh sb="0" eb="4">
      <t>カンゴガクブ</t>
    </rPh>
    <phoneticPr fontId="1"/>
  </si>
  <si>
    <t>福祉心理子ども学部</t>
    <rPh sb="0" eb="2">
      <t>フクシ</t>
    </rPh>
    <rPh sb="2" eb="4">
      <t>シンリ</t>
    </rPh>
    <rPh sb="4" eb="5">
      <t>コ</t>
    </rPh>
    <rPh sb="7" eb="9">
      <t>ガクブ</t>
    </rPh>
    <phoneticPr fontId="1"/>
  </si>
  <si>
    <t>中野　充</t>
    <rPh sb="0" eb="2">
      <t>ナカノ</t>
    </rPh>
    <rPh sb="3" eb="4">
      <t>ミツル</t>
    </rPh>
    <phoneticPr fontId="1"/>
  </si>
  <si>
    <t>DX・IR室長</t>
    <rPh sb="5" eb="7">
      <t>シツチョウ</t>
    </rPh>
    <phoneticPr fontId="1"/>
  </si>
  <si>
    <t>学部・学科に関係なく希望する学生全員が受講可能となるような必要な体制・取組等</t>
    <phoneticPr fontId="1"/>
  </si>
  <si>
    <t>本プログラムの中核をなす科目は全学共通科目（ITとデータサイエンス科目）に位置づけているので、履修指導を徹底し、全学100%の履修を目指している。
なお、本プログラムの質向上や教材整備、学生の自習支援、学生からの質問対応などのために、DX・IR室にコンピューター・ヘルプデスクを設置している。</t>
    <rPh sb="0" eb="1">
      <t>ホン</t>
    </rPh>
    <rPh sb="7" eb="9">
      <t>チュウカク</t>
    </rPh>
    <rPh sb="12" eb="14">
      <t>カモク</t>
    </rPh>
    <rPh sb="15" eb="19">
      <t>ゼンガクキョウツウ</t>
    </rPh>
    <rPh sb="19" eb="21">
      <t>カモク</t>
    </rPh>
    <rPh sb="33" eb="35">
      <t>カモク</t>
    </rPh>
    <rPh sb="37" eb="39">
      <t>イチ</t>
    </rPh>
    <rPh sb="66" eb="68">
      <t>メザ</t>
    </rPh>
    <rPh sb="122" eb="123">
      <t>シツ</t>
    </rPh>
    <phoneticPr fontId="1"/>
  </si>
  <si>
    <t>学部・学科に関係なく学生全員が受講可能となる制度としている。オリエンテーション等でデータサイエンス科目の概要等についての説明を実施している。</t>
    <phoneticPr fontId="1"/>
  </si>
  <si>
    <t>できる限り多くの学生が履修・修得できるようなサポート体制</t>
    <phoneticPr fontId="1"/>
  </si>
  <si>
    <t>本プログラムの質向上や教材整備（学内e-Learningシステムに授業のアーカイブも蓄積など）、学生の自習支援、学生からの質問対応などのために、DX・IR室にコンピューター・ヘルプデスクを設置している。
また、図書館を中心に参考図書や参考資料を整備し、教職員のデジタル人材育成（SEIRYO DX人材育成プログラム）も並行して実施しているため、教職員に学生がいつでも質問できるサポート体制も整備している。</t>
    <rPh sb="33" eb="35">
      <t>ジュギョウ</t>
    </rPh>
    <rPh sb="42" eb="44">
      <t>チクセキ</t>
    </rPh>
    <rPh sb="105" eb="108">
      <t>トショカン</t>
    </rPh>
    <rPh sb="109" eb="111">
      <t>チュウシン</t>
    </rPh>
    <rPh sb="126" eb="129">
      <t>キョウショクイン</t>
    </rPh>
    <rPh sb="134" eb="136">
      <t>ジンザイ</t>
    </rPh>
    <rPh sb="136" eb="138">
      <t>イクセイ</t>
    </rPh>
    <rPh sb="148" eb="150">
      <t>ジンザイ</t>
    </rPh>
    <rPh sb="150" eb="152">
      <t>イクセイ</t>
    </rPh>
    <rPh sb="159" eb="161">
      <t>ヘイコウ</t>
    </rPh>
    <rPh sb="163" eb="165">
      <t>ジッシ</t>
    </rPh>
    <rPh sb="172" eb="175">
      <t>キョウショクイン</t>
    </rPh>
    <phoneticPr fontId="1"/>
  </si>
  <si>
    <t>学内e-Learningシステムに毎回の授業の資料等を掲載し、復習に活用できるようにしている。また、質問等については、同システム上やメールあるいはオフィスアワーを利用できるようにしている。</t>
    <phoneticPr fontId="1"/>
  </si>
  <si>
    <t>単位取得状況や、小テストなど結果を分析することにより、授業の難易度に問題が無いかを確認している。「データ活用演習Ⅰ」、「データ活用演習Ⅱ」の履修者全員が単位を取得していることから、十分な学修成果が得られていると考えられる。</t>
    <rPh sb="8" eb="10">
      <t>カダイ</t>
    </rPh>
    <rPh sb="10" eb="11">
      <t>トウ</t>
    </rPh>
    <rPh sb="52" eb="56">
      <t>カツヨウエンシュウ</t>
    </rPh>
    <rPh sb="63" eb="67">
      <t>カツヨウエンシュウ</t>
    </rPh>
    <phoneticPr fontId="1"/>
  </si>
  <si>
    <t>最終授業に行われる授業評価アンケート、定期的に開催される学生FDや教員との面談、単位取得状況や、小テスト、期末テストの結果を分析した。ほぼ全ての学生が単位を取得でき、分析結果からも授業の理解度に問題が無いことを確認している。</t>
    <phoneticPr fontId="1"/>
  </si>
  <si>
    <t>授業評価アンケートから、プログラムの講義が学生のAI・数理データサイエンスへの関心を高めることに貢献していることを確認している。後輩への推奨度は明示的には調査していないが、授業評価アンケートに授業の推奨度を尋ねる質問項目を盛り込むなどの対策を検討している。</t>
    <phoneticPr fontId="1"/>
  </si>
  <si>
    <t>本学では、令和4年度以降の入学者を対象としたカリキュラムにおいて、数理・データサイエンス・AI教育プログラムの導入準備を進めてきた。本プログラムは3年次科目に「データ活用演習Ⅰ、Ⅱ」を設定していた為、令和6年度時点では履修者数が限定的だった。
この状況を踏まえ、令和7年度入学生からは、1年次科目「IT活用演習Ⅰ、Ⅱ」においても本プログラムの履修を可能とするカリキュラム改定を計画している。これにより、段階的に対象学生を拡大し、令和10年度には看護学部および福祉心理子ども学部のほぼ全ての学生が本プログラムを履修することを見込んでいる。
将来的には、全卒業生が数理・データサイエンス・AIに関するリテラシーレベルの知識・スキルを修得することを目標に掲げ、その達成率100%を目指していく。
この取り組みを学内外に広く周知するため、大学ホームページにデータサイエンス教育に関する情報を掲載するほか、大学案内パンフレット等においても関連科目の紹介を行い、積極的な情報発信に努めていく予定である。</t>
    <rPh sb="5" eb="7">
      <t>レイワ</t>
    </rPh>
    <rPh sb="8" eb="9">
      <t>ネン</t>
    </rPh>
    <rPh sb="442" eb="444">
      <t>ヨテイ</t>
    </rPh>
    <phoneticPr fontId="1"/>
  </si>
  <si>
    <t>本教育プログラムは令和6年度開設であるため、現時点では3学年のみである。今後年次進行に伴い、履修者数は向上する見込みである。また、プログラムにおける科目はほぼ１年−2年次に取得する必修カリキュラムとなっているため、卒業までに無理なく修得できる。</t>
    <phoneticPr fontId="1"/>
  </si>
  <si>
    <t>本プログラムは令和6年度開設であり、まだ卒業者はいない。本教育プログラムを修了した卒業者が出た後は学修成果の自己評価や所属機関からの評価を行うことができると思われる。</t>
    <rPh sb="0" eb="1">
      <t>ホン</t>
    </rPh>
    <phoneticPr fontId="1"/>
  </si>
  <si>
    <t>本プログラムを含めた学部の正規の教育課程の編成にあたり、外部評価委員等から意見を聴取している。 また、学園理事会、評議員会においても意見を収集する重要な一つの場であり、引き続き議論いただく予定である。</t>
    <rPh sb="28" eb="32">
      <t>ガイブヒョウカ</t>
    </rPh>
    <rPh sb="32" eb="34">
      <t>イイン</t>
    </rPh>
    <rPh sb="51" eb="53">
      <t>ガクエン</t>
    </rPh>
    <rPh sb="53" eb="56">
      <t>リジカイ</t>
    </rPh>
    <rPh sb="57" eb="59">
      <t>ヒョウギ</t>
    </rPh>
    <rPh sb="59" eb="60">
      <t>イン</t>
    </rPh>
    <rPh sb="60" eb="61">
      <t>カイ</t>
    </rPh>
    <rPh sb="66" eb="68">
      <t>イケン</t>
    </rPh>
    <phoneticPr fontId="1"/>
  </si>
  <si>
    <t>「数理・データサイエンス・AI リテラシーレベルのモデルカリキュラム」の「導入」領域を充実させることで、学ぶ楽しさや学ぶ意義を理解させる工夫をしている。身近な社会での実例を紹介することや、今後のSociety5.0が実現した社会を予想・議論する活動を通して学生の興味関心を高めている。</t>
    <phoneticPr fontId="1"/>
  </si>
  <si>
    <t>内容・水準の維持・向上については、「数理・データサイエンス・AI リテラシーレベルのモデルカリキュラム」に基づきリテラシーレベルの内容の確実な修得を計画するとともに、学生が実際に手を動かしながら実感できる演習を充実させることで、分かりやすい授業となるよう改善を進める。</t>
    <phoneticPr fontId="1"/>
  </si>
  <si>
    <t>学部・学科によって、修了要件は相違しない</t>
  </si>
  <si>
    <t>・デジタル情報およびAIの基本的な仕組み、特性、可能性と限界を理解し、他者に説明できる。
・実社会の様々な分野におけるデータやAIの具体的な活用事例とその意義を説明できる。
・目的に応じて基本的なツールを選択し、データの収集・整形・可視化・基本的な分析を行うことができる。
・データ分析から得られた結果やインサイト（示唆）を、根拠を示しながら論理的かつ分かりやすく他者に伝えることができる。
・データやAIの利活用に伴うプライバシー、セキュリティ、バイアス等のリスクや、倫理的・法的・社会的な課題および留意点を理解し、説明できる。</t>
    <phoneticPr fontId="1"/>
  </si>
  <si>
    <t>内部質保証委員会、FD・SD委員会、教務委員会、DX・IR室</t>
    <rPh sb="0" eb="2">
      <t>ナイブ</t>
    </rPh>
    <rPh sb="2" eb="3">
      <t>シツ</t>
    </rPh>
    <rPh sb="3" eb="8">
      <t>ホショウイインカイ</t>
    </rPh>
    <rPh sb="14" eb="17">
      <t>イインカイ</t>
    </rPh>
    <rPh sb="18" eb="20">
      <t>キョウム</t>
    </rPh>
    <rPh sb="20" eb="23">
      <t>イインカイ</t>
    </rPh>
    <rPh sb="29" eb="30">
      <t>シツ</t>
    </rPh>
    <phoneticPr fontId="1"/>
  </si>
  <si>
    <t>新潟青陵大学委員会規程、新潟青陵大学内部質保証に関する規程、新潟青陵大学・新潟青陵大学短期大学部DX・IR室規程</t>
    <rPh sb="12" eb="14">
      <t>ニイガタ</t>
    </rPh>
    <rPh sb="14" eb="16">
      <t>セイリョウ</t>
    </rPh>
    <rPh sb="16" eb="18">
      <t>ダイガク</t>
    </rPh>
    <rPh sb="18" eb="21">
      <t>ナイブシツ</t>
    </rPh>
    <rPh sb="21" eb="23">
      <t>ホショウ</t>
    </rPh>
    <rPh sb="24" eb="25">
      <t>カン</t>
    </rPh>
    <rPh sb="27" eb="29">
      <t>キテイ</t>
    </rPh>
    <phoneticPr fontId="1"/>
  </si>
  <si>
    <t>渡邊　典子</t>
    <rPh sb="0" eb="2">
      <t>ワタナベ</t>
    </rPh>
    <rPh sb="3" eb="5">
      <t>ノリコ</t>
    </rPh>
    <phoneticPr fontId="1"/>
  </si>
  <si>
    <t>副学長</t>
    <rPh sb="0" eb="3">
      <t>フクガクチョウ</t>
    </rPh>
    <phoneticPr fontId="1"/>
  </si>
  <si>
    <t xml:space="preserve">本学の教育に関する目標を達成するため、PDCAサイクルによる継続的なカリキュラムの点検と改善を目的として設置。月１回の頻度で開催される当該委員会において、本プログラムの状況を常に確認し、プログラムの授業を担う担当教員との連携により、本プログラムの運営を推進、点検・評価、改善・進化に関することを検討・実施する。
</t>
    <rPh sb="52" eb="54">
      <t>セッチ</t>
    </rPh>
    <rPh sb="54" eb="56">
      <t>セッチ</t>
    </rPh>
    <rPh sb="77" eb="78">
      <t>ホン</t>
    </rPh>
    <phoneticPr fontId="1"/>
  </si>
  <si>
    <t>委員長　渡邊 典子（副学長）
副委員長　佐藤 朗子（福祉心理子ども学部　教授）
中根 薫（看護学研究科長　教授）
伊藤真理子（臨床心理学研究科長　教授）
坪川トモ子（看護学部長　教授）
中野 啓明（福祉心理子ども学部長　教授）
菅原真優美（看護学科長　教授）
李 在檍（社会福祉学科長　教授）
浅田 剛正（臨床心理学科長　教授）
藤瀬 竜子（子ども発達学科長　教授）
柄澤 清美（学部教務委員長　教授）
塚原加寿子（学部学生委員長　教授）
佐々木祐子（学部入学試験委員長　教授）</t>
    <phoneticPr fontId="1"/>
  </si>
  <si>
    <t>内部質保証委員会、FD・SD委員会、教務委員会、外部評価委員会</t>
    <rPh sb="24" eb="26">
      <t>ガイブ</t>
    </rPh>
    <rPh sb="26" eb="28">
      <t>ヒョウカ</t>
    </rPh>
    <rPh sb="28" eb="31">
      <t>イインカイ</t>
    </rPh>
    <phoneticPr fontId="1"/>
  </si>
  <si>
    <t xml:space="preserve">内部質保証委員会にて授業科目の履修状況・単位取得状況を分析している。また本プログラムの全学共通科目（ITとデータサイエンス科目）については、新潟青陵大学・新潟青陵大学短期大学部DX・IR室がこれを担当し、分析結果は共有されている。
令和6年度においては該当科目を履修した者が本プログラムの履修者数であり、令和6度の履修状況および修了状況は以下のようになる。 
福祉心理子ども学部：履修者数 21名   修了者数3名（令和6度現在） </t>
    <rPh sb="36" eb="37">
      <t>ホン</t>
    </rPh>
    <rPh sb="70" eb="72">
      <t>ニイガタ</t>
    </rPh>
    <rPh sb="72" eb="74">
      <t>セイリョウ</t>
    </rPh>
    <rPh sb="74" eb="76">
      <t>ダイガク</t>
    </rPh>
    <rPh sb="77" eb="83">
      <t>ニイガタセイリョウダイガク</t>
    </rPh>
    <rPh sb="83" eb="88">
      <t>タンキダイガクブ</t>
    </rPh>
    <rPh sb="93" eb="94">
      <t>シツ</t>
    </rPh>
    <rPh sb="117" eb="119">
      <t>レイワ</t>
    </rPh>
    <rPh sb="120" eb="122">
      <t>ネンド</t>
    </rPh>
    <rPh sb="153" eb="155">
      <t>レイワ</t>
    </rPh>
    <rPh sb="207" eb="208">
      <t>メイ</t>
    </rPh>
    <rPh sb="209" eb="211">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</si>
</sst>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48"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1" t="s">
        <v>12</v>
      </c>
      <c r="U1" s="121"/>
      <c r="V1" s="2" t="s">
        <v>92</v>
      </c>
    </row>
    <row r="2" spans="1:24" ht="18.75" customHeight="1" x14ac:dyDescent="0.15">
      <c r="B2" s="17" t="s">
        <v>91</v>
      </c>
      <c r="C2" s="90" t="s">
        <v>141</v>
      </c>
      <c r="D2" s="91"/>
      <c r="E2" s="91"/>
      <c r="F2" s="91"/>
      <c r="G2" s="91"/>
      <c r="H2" s="91"/>
      <c r="I2" s="91"/>
      <c r="J2" s="92"/>
      <c r="K2" s="18"/>
      <c r="L2" s="6"/>
      <c r="M2" s="6"/>
      <c r="N2" s="6"/>
      <c r="O2" s="6"/>
      <c r="P2" s="6"/>
      <c r="Q2" s="6"/>
      <c r="R2" s="6"/>
      <c r="S2" s="6"/>
      <c r="T2" s="6"/>
      <c r="U2" s="6"/>
    </row>
    <row r="3" spans="1:24" ht="18.75" customHeight="1" x14ac:dyDescent="0.15">
      <c r="B3" s="17" t="s">
        <v>86</v>
      </c>
      <c r="C3" s="90" t="s">
        <v>142</v>
      </c>
      <c r="D3" s="91"/>
      <c r="E3" s="91"/>
      <c r="F3" s="91"/>
      <c r="G3" s="91"/>
      <c r="H3" s="91"/>
      <c r="I3" s="91"/>
      <c r="J3" s="92"/>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22" t="s">
        <v>139</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115</v>
      </c>
      <c r="B7" s="3"/>
      <c r="C7" s="3"/>
      <c r="D7" s="3"/>
      <c r="E7" s="3"/>
      <c r="F7" s="2"/>
      <c r="G7" s="2"/>
      <c r="H7" s="2"/>
      <c r="I7" s="2"/>
      <c r="J7" s="2"/>
      <c r="K7" s="2"/>
      <c r="L7" s="87" t="s">
        <v>178</v>
      </c>
      <c r="M7" s="88"/>
      <c r="N7" s="88"/>
      <c r="O7" s="88"/>
      <c r="P7" s="88"/>
      <c r="Q7" s="88"/>
      <c r="R7" s="88"/>
      <c r="S7" s="88"/>
      <c r="T7" s="88"/>
      <c r="U7" s="8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116</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9"/>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15">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93</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3" t="s">
        <v>148</v>
      </c>
      <c r="C15" s="124"/>
      <c r="D15" s="124"/>
      <c r="E15" s="124"/>
      <c r="F15" s="124"/>
      <c r="G15" s="124"/>
      <c r="H15" s="124"/>
      <c r="I15" s="124"/>
      <c r="J15" s="124"/>
      <c r="K15" s="124"/>
      <c r="L15" s="124"/>
      <c r="M15" s="124"/>
      <c r="N15" s="124"/>
      <c r="O15" s="124"/>
      <c r="P15" s="124"/>
      <c r="Q15" s="124"/>
      <c r="R15" s="124"/>
      <c r="S15" s="124"/>
      <c r="T15" s="124"/>
      <c r="U15" s="125"/>
      <c r="X15" s="1" t="s">
        <v>87</v>
      </c>
    </row>
    <row r="16" spans="1:24" ht="18" customHeight="1" x14ac:dyDescent="0.15">
      <c r="B16" s="126"/>
      <c r="C16" s="127"/>
      <c r="D16" s="127"/>
      <c r="E16" s="127"/>
      <c r="F16" s="127"/>
      <c r="G16" s="127"/>
      <c r="H16" s="127"/>
      <c r="I16" s="127"/>
      <c r="J16" s="127"/>
      <c r="K16" s="127"/>
      <c r="L16" s="127"/>
      <c r="M16" s="127"/>
      <c r="N16" s="127"/>
      <c r="O16" s="127"/>
      <c r="P16" s="127"/>
      <c r="Q16" s="127"/>
      <c r="R16" s="127"/>
      <c r="S16" s="127"/>
      <c r="T16" s="127"/>
      <c r="U16" s="128"/>
      <c r="X16" s="1" t="s">
        <v>120</v>
      </c>
    </row>
    <row r="17" spans="1:24" ht="18" customHeight="1" x14ac:dyDescent="0.15">
      <c r="B17" s="126"/>
      <c r="C17" s="127"/>
      <c r="D17" s="127"/>
      <c r="E17" s="127"/>
      <c r="F17" s="127"/>
      <c r="G17" s="127"/>
      <c r="H17" s="127"/>
      <c r="I17" s="127"/>
      <c r="J17" s="127"/>
      <c r="K17" s="127"/>
      <c r="L17" s="127"/>
      <c r="M17" s="127"/>
      <c r="N17" s="127"/>
      <c r="O17" s="127"/>
      <c r="P17" s="127"/>
      <c r="Q17" s="127"/>
      <c r="R17" s="127"/>
      <c r="S17" s="127"/>
      <c r="T17" s="127"/>
      <c r="U17" s="128"/>
      <c r="X17" s="1" t="s">
        <v>121</v>
      </c>
    </row>
    <row r="18" spans="1:24" ht="18" customHeight="1" x14ac:dyDescent="0.15">
      <c r="B18" s="126"/>
      <c r="C18" s="127"/>
      <c r="D18" s="127"/>
      <c r="E18" s="127"/>
      <c r="F18" s="127"/>
      <c r="G18" s="127"/>
      <c r="H18" s="127"/>
      <c r="I18" s="127"/>
      <c r="J18" s="127"/>
      <c r="K18" s="127"/>
      <c r="L18" s="127"/>
      <c r="M18" s="127"/>
      <c r="N18" s="127"/>
      <c r="O18" s="127"/>
      <c r="P18" s="127"/>
      <c r="Q18" s="127"/>
      <c r="R18" s="127"/>
      <c r="S18" s="127"/>
      <c r="T18" s="127"/>
      <c r="U18" s="128"/>
      <c r="X18" s="1" t="s">
        <v>122</v>
      </c>
    </row>
    <row r="19" spans="1:24" ht="18" customHeight="1" x14ac:dyDescent="0.15">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117</v>
      </c>
      <c r="E22" s="76">
        <v>2</v>
      </c>
      <c r="F22" s="1" t="s">
        <v>105</v>
      </c>
      <c r="H22" s="19">
        <v>2</v>
      </c>
      <c r="I22" s="3" t="s">
        <v>106</v>
      </c>
      <c r="J22" s="3"/>
      <c r="K22" s="18"/>
      <c r="M22" s="18" t="s">
        <v>102</v>
      </c>
      <c r="N22" s="84" t="s">
        <v>122</v>
      </c>
      <c r="O22" s="85"/>
      <c r="P22" s="85"/>
      <c r="Q22" s="85"/>
      <c r="R22" s="85"/>
      <c r="S22" s="85"/>
      <c r="T22" s="85"/>
      <c r="U22" s="8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4" t="s">
        <v>94</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0" t="s">
        <v>46</v>
      </c>
      <c r="C26" s="91"/>
      <c r="D26" s="91"/>
      <c r="E26" s="91"/>
      <c r="F26" s="92"/>
      <c r="G26" s="60" t="s">
        <v>71</v>
      </c>
      <c r="H26" s="61" t="s">
        <v>74</v>
      </c>
      <c r="I26" s="62" t="s">
        <v>49</v>
      </c>
      <c r="J26" s="62" t="s">
        <v>52</v>
      </c>
      <c r="K26" s="90" t="s">
        <v>46</v>
      </c>
      <c r="L26" s="91"/>
      <c r="M26" s="91"/>
      <c r="N26" s="91"/>
      <c r="O26" s="91"/>
      <c r="P26" s="91"/>
      <c r="Q26" s="92"/>
      <c r="R26" s="60" t="s">
        <v>71</v>
      </c>
      <c r="S26" s="61" t="s">
        <v>74</v>
      </c>
      <c r="T26" s="62" t="s">
        <v>49</v>
      </c>
      <c r="U26" s="62" t="s">
        <v>52</v>
      </c>
    </row>
    <row r="27" spans="1:24" ht="18" customHeight="1" x14ac:dyDescent="0.15">
      <c r="B27" s="111" t="s">
        <v>143</v>
      </c>
      <c r="C27" s="112"/>
      <c r="D27" s="112"/>
      <c r="E27" s="112"/>
      <c r="F27" s="113"/>
      <c r="G27" s="63">
        <v>1</v>
      </c>
      <c r="H27" s="63" t="s">
        <v>145</v>
      </c>
      <c r="I27" s="63" t="s">
        <v>145</v>
      </c>
      <c r="J27" s="63" t="s">
        <v>145</v>
      </c>
      <c r="K27" s="111"/>
      <c r="L27" s="112"/>
      <c r="M27" s="112"/>
      <c r="N27" s="112"/>
      <c r="O27" s="112"/>
      <c r="P27" s="112"/>
      <c r="Q27" s="113"/>
      <c r="R27" s="63"/>
      <c r="S27" s="63"/>
      <c r="T27" s="63"/>
      <c r="U27" s="63"/>
    </row>
    <row r="28" spans="1:24" ht="18" customHeight="1" x14ac:dyDescent="0.15">
      <c r="B28" s="105"/>
      <c r="C28" s="106"/>
      <c r="D28" s="106"/>
      <c r="E28" s="106"/>
      <c r="F28" s="107"/>
      <c r="G28" s="64"/>
      <c r="H28" s="64"/>
      <c r="I28" s="64"/>
      <c r="J28" s="64"/>
      <c r="K28" s="105"/>
      <c r="L28" s="106"/>
      <c r="M28" s="106"/>
      <c r="N28" s="106"/>
      <c r="O28" s="106"/>
      <c r="P28" s="106"/>
      <c r="Q28" s="107"/>
      <c r="R28" s="64"/>
      <c r="S28" s="64"/>
      <c r="T28" s="64"/>
      <c r="U28" s="64"/>
    </row>
    <row r="29" spans="1:24" ht="18" customHeight="1" x14ac:dyDescent="0.15">
      <c r="B29" s="105"/>
      <c r="C29" s="106"/>
      <c r="D29" s="106"/>
      <c r="E29" s="106"/>
      <c r="F29" s="107"/>
      <c r="G29" s="64"/>
      <c r="H29" s="64"/>
      <c r="I29" s="64"/>
      <c r="J29" s="64"/>
      <c r="K29" s="105"/>
      <c r="L29" s="106"/>
      <c r="M29" s="106"/>
      <c r="N29" s="106"/>
      <c r="O29" s="106"/>
      <c r="P29" s="106"/>
      <c r="Q29" s="107"/>
      <c r="R29" s="64"/>
      <c r="S29" s="64"/>
      <c r="T29" s="64"/>
      <c r="U29" s="64"/>
    </row>
    <row r="30" spans="1:24" ht="18" customHeight="1" x14ac:dyDescent="0.15">
      <c r="B30" s="105"/>
      <c r="C30" s="106"/>
      <c r="D30" s="106"/>
      <c r="E30" s="106"/>
      <c r="F30" s="107"/>
      <c r="G30" s="64"/>
      <c r="H30" s="64"/>
      <c r="I30" s="64"/>
      <c r="J30" s="64"/>
      <c r="K30" s="105"/>
      <c r="L30" s="106"/>
      <c r="M30" s="106"/>
      <c r="N30" s="106"/>
      <c r="O30" s="106"/>
      <c r="P30" s="106"/>
      <c r="Q30" s="107"/>
      <c r="R30" s="64"/>
      <c r="S30" s="64"/>
      <c r="T30" s="64"/>
      <c r="U30" s="64"/>
    </row>
    <row r="31" spans="1:24" ht="18" customHeight="1" x14ac:dyDescent="0.15">
      <c r="B31" s="105"/>
      <c r="C31" s="106"/>
      <c r="D31" s="106"/>
      <c r="E31" s="106"/>
      <c r="F31" s="107"/>
      <c r="G31" s="64"/>
      <c r="H31" s="64"/>
      <c r="I31" s="64"/>
      <c r="J31" s="64"/>
      <c r="K31" s="105"/>
      <c r="L31" s="106"/>
      <c r="M31" s="106"/>
      <c r="N31" s="106"/>
      <c r="O31" s="106"/>
      <c r="P31" s="106"/>
      <c r="Q31" s="107"/>
      <c r="R31" s="64"/>
      <c r="S31" s="64"/>
      <c r="T31" s="64"/>
      <c r="U31" s="64"/>
    </row>
    <row r="32" spans="1:24" ht="18" customHeight="1" x14ac:dyDescent="0.15">
      <c r="A32" s="3"/>
      <c r="B32" s="105"/>
      <c r="C32" s="106"/>
      <c r="D32" s="106"/>
      <c r="E32" s="106"/>
      <c r="F32" s="107"/>
      <c r="G32" s="64"/>
      <c r="H32" s="64"/>
      <c r="I32" s="64"/>
      <c r="J32" s="64"/>
      <c r="K32" s="105"/>
      <c r="L32" s="106"/>
      <c r="M32" s="106"/>
      <c r="N32" s="106"/>
      <c r="O32" s="106"/>
      <c r="P32" s="106"/>
      <c r="Q32" s="107"/>
      <c r="R32" s="64"/>
      <c r="S32" s="64"/>
      <c r="T32" s="64"/>
      <c r="U32" s="64"/>
    </row>
    <row r="33" spans="1:21" ht="18" customHeight="1" x14ac:dyDescent="0.15">
      <c r="A33" s="3"/>
      <c r="B33" s="108"/>
      <c r="C33" s="109"/>
      <c r="D33" s="109"/>
      <c r="E33" s="109"/>
      <c r="F33" s="110"/>
      <c r="G33" s="65"/>
      <c r="H33" s="65"/>
      <c r="I33" s="66"/>
      <c r="J33" s="66"/>
      <c r="K33" s="108"/>
      <c r="L33" s="109"/>
      <c r="M33" s="109"/>
      <c r="N33" s="109"/>
      <c r="O33" s="109"/>
      <c r="P33" s="109"/>
      <c r="Q33" s="110"/>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4" t="s">
        <v>95</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0" t="s">
        <v>46</v>
      </c>
      <c r="C37" s="91"/>
      <c r="D37" s="91"/>
      <c r="E37" s="91"/>
      <c r="F37" s="92"/>
      <c r="G37" s="60" t="s">
        <v>71</v>
      </c>
      <c r="H37" s="61" t="s">
        <v>74</v>
      </c>
      <c r="I37" s="62" t="s">
        <v>62</v>
      </c>
      <c r="J37" s="62" t="s">
        <v>63</v>
      </c>
      <c r="K37" s="90" t="s">
        <v>46</v>
      </c>
      <c r="L37" s="91"/>
      <c r="M37" s="91"/>
      <c r="N37" s="91"/>
      <c r="O37" s="91"/>
      <c r="P37" s="91"/>
      <c r="Q37" s="92"/>
      <c r="R37" s="60" t="s">
        <v>71</v>
      </c>
      <c r="S37" s="61" t="s">
        <v>74</v>
      </c>
      <c r="T37" s="62" t="s">
        <v>62</v>
      </c>
      <c r="U37" s="62" t="s">
        <v>63</v>
      </c>
    </row>
    <row r="38" spans="1:21" ht="18" customHeight="1" x14ac:dyDescent="0.15">
      <c r="B38" s="111" t="s">
        <v>143</v>
      </c>
      <c r="C38" s="112"/>
      <c r="D38" s="112"/>
      <c r="E38" s="112"/>
      <c r="F38" s="113"/>
      <c r="G38" s="63">
        <v>1</v>
      </c>
      <c r="H38" s="63" t="s">
        <v>145</v>
      </c>
      <c r="I38" s="63" t="s">
        <v>145</v>
      </c>
      <c r="J38" s="63" t="s">
        <v>145</v>
      </c>
      <c r="K38" s="111"/>
      <c r="L38" s="112"/>
      <c r="M38" s="112"/>
      <c r="N38" s="112"/>
      <c r="O38" s="112"/>
      <c r="P38" s="112"/>
      <c r="Q38" s="113"/>
      <c r="R38" s="63"/>
      <c r="S38" s="63"/>
      <c r="T38" s="63"/>
      <c r="U38" s="63"/>
    </row>
    <row r="39" spans="1:21" ht="18" customHeight="1" x14ac:dyDescent="0.15">
      <c r="B39" s="105"/>
      <c r="C39" s="106"/>
      <c r="D39" s="106"/>
      <c r="E39" s="106"/>
      <c r="F39" s="107"/>
      <c r="G39" s="64"/>
      <c r="H39" s="64"/>
      <c r="I39" s="64"/>
      <c r="J39" s="64"/>
      <c r="K39" s="105"/>
      <c r="L39" s="106"/>
      <c r="M39" s="106"/>
      <c r="N39" s="106"/>
      <c r="O39" s="106"/>
      <c r="P39" s="106"/>
      <c r="Q39" s="107"/>
      <c r="R39" s="64"/>
      <c r="S39" s="64"/>
      <c r="T39" s="64"/>
      <c r="U39" s="64"/>
    </row>
    <row r="40" spans="1:21" ht="18" customHeight="1" x14ac:dyDescent="0.15">
      <c r="B40" s="105"/>
      <c r="C40" s="106"/>
      <c r="D40" s="106"/>
      <c r="E40" s="106"/>
      <c r="F40" s="107"/>
      <c r="G40" s="64"/>
      <c r="H40" s="64"/>
      <c r="I40" s="64"/>
      <c r="J40" s="64"/>
      <c r="K40" s="105"/>
      <c r="L40" s="106"/>
      <c r="M40" s="106"/>
      <c r="N40" s="106"/>
      <c r="O40" s="106"/>
      <c r="P40" s="106"/>
      <c r="Q40" s="107"/>
      <c r="R40" s="64"/>
      <c r="S40" s="64"/>
      <c r="T40" s="64"/>
      <c r="U40" s="64"/>
    </row>
    <row r="41" spans="1:21" ht="18" customHeight="1" x14ac:dyDescent="0.15">
      <c r="B41" s="105"/>
      <c r="C41" s="106"/>
      <c r="D41" s="106"/>
      <c r="E41" s="106"/>
      <c r="F41" s="107"/>
      <c r="G41" s="64"/>
      <c r="H41" s="64"/>
      <c r="I41" s="64"/>
      <c r="J41" s="64"/>
      <c r="K41" s="105"/>
      <c r="L41" s="106"/>
      <c r="M41" s="106"/>
      <c r="N41" s="106"/>
      <c r="O41" s="106"/>
      <c r="P41" s="106"/>
      <c r="Q41" s="107"/>
      <c r="R41" s="64"/>
      <c r="S41" s="64"/>
      <c r="T41" s="64"/>
      <c r="U41" s="64"/>
    </row>
    <row r="42" spans="1:21" ht="18" customHeight="1" x14ac:dyDescent="0.15">
      <c r="B42" s="105"/>
      <c r="C42" s="106"/>
      <c r="D42" s="106"/>
      <c r="E42" s="106"/>
      <c r="F42" s="107"/>
      <c r="G42" s="64"/>
      <c r="H42" s="64"/>
      <c r="I42" s="64"/>
      <c r="J42" s="64"/>
      <c r="K42" s="105"/>
      <c r="L42" s="106"/>
      <c r="M42" s="106"/>
      <c r="N42" s="106"/>
      <c r="O42" s="106"/>
      <c r="P42" s="106"/>
      <c r="Q42" s="107"/>
      <c r="R42" s="64"/>
      <c r="S42" s="64"/>
      <c r="T42" s="64"/>
      <c r="U42" s="64"/>
    </row>
    <row r="43" spans="1:21" ht="18" customHeight="1" x14ac:dyDescent="0.15">
      <c r="B43" s="105"/>
      <c r="C43" s="106"/>
      <c r="D43" s="106"/>
      <c r="E43" s="106"/>
      <c r="F43" s="107"/>
      <c r="G43" s="64"/>
      <c r="H43" s="64"/>
      <c r="I43" s="64"/>
      <c r="J43" s="64"/>
      <c r="K43" s="105"/>
      <c r="L43" s="106"/>
      <c r="M43" s="106"/>
      <c r="N43" s="106"/>
      <c r="O43" s="106"/>
      <c r="P43" s="106"/>
      <c r="Q43" s="107"/>
      <c r="R43" s="64"/>
      <c r="S43" s="64"/>
      <c r="T43" s="64"/>
      <c r="U43" s="64"/>
    </row>
    <row r="44" spans="1:21" ht="18" customHeight="1" x14ac:dyDescent="0.15">
      <c r="B44" s="108"/>
      <c r="C44" s="109"/>
      <c r="D44" s="109"/>
      <c r="E44" s="109"/>
      <c r="F44" s="110"/>
      <c r="G44" s="65"/>
      <c r="H44" s="65"/>
      <c r="I44" s="66"/>
      <c r="J44" s="66"/>
      <c r="K44" s="108"/>
      <c r="L44" s="109"/>
      <c r="M44" s="109"/>
      <c r="N44" s="109"/>
      <c r="O44" s="109"/>
      <c r="P44" s="109"/>
      <c r="Q44" s="110"/>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4" t="s">
        <v>96</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0" t="s">
        <v>46</v>
      </c>
      <c r="C48" s="91"/>
      <c r="D48" s="91"/>
      <c r="E48" s="91"/>
      <c r="F48" s="92"/>
      <c r="G48" s="60" t="s">
        <v>71</v>
      </c>
      <c r="H48" s="61" t="s">
        <v>74</v>
      </c>
      <c r="I48" s="62" t="s">
        <v>64</v>
      </c>
      <c r="J48" s="62" t="s">
        <v>65</v>
      </c>
      <c r="K48" s="90" t="s">
        <v>46</v>
      </c>
      <c r="L48" s="91"/>
      <c r="M48" s="91"/>
      <c r="N48" s="91"/>
      <c r="O48" s="91"/>
      <c r="P48" s="91"/>
      <c r="Q48" s="92"/>
      <c r="R48" s="60" t="s">
        <v>71</v>
      </c>
      <c r="S48" s="61" t="s">
        <v>74</v>
      </c>
      <c r="T48" s="62" t="s">
        <v>64</v>
      </c>
      <c r="U48" s="62" t="s">
        <v>65</v>
      </c>
    </row>
    <row r="49" spans="1:21" ht="18" customHeight="1" x14ac:dyDescent="0.15">
      <c r="A49" s="3"/>
      <c r="B49" s="111" t="s">
        <v>143</v>
      </c>
      <c r="C49" s="112"/>
      <c r="D49" s="112"/>
      <c r="E49" s="112"/>
      <c r="F49" s="113"/>
      <c r="G49" s="63">
        <v>1</v>
      </c>
      <c r="H49" s="63" t="s">
        <v>145</v>
      </c>
      <c r="I49" s="63" t="s">
        <v>145</v>
      </c>
      <c r="J49" s="63" t="s">
        <v>145</v>
      </c>
      <c r="K49" s="111"/>
      <c r="L49" s="112"/>
      <c r="M49" s="112"/>
      <c r="N49" s="112"/>
      <c r="O49" s="112"/>
      <c r="P49" s="112"/>
      <c r="Q49" s="113"/>
      <c r="R49" s="63"/>
      <c r="S49" s="63"/>
      <c r="T49" s="63"/>
      <c r="U49" s="63"/>
    </row>
    <row r="50" spans="1:21" ht="18" customHeight="1" x14ac:dyDescent="0.15">
      <c r="A50" s="3"/>
      <c r="B50" s="105"/>
      <c r="C50" s="106"/>
      <c r="D50" s="106"/>
      <c r="E50" s="106"/>
      <c r="F50" s="107"/>
      <c r="G50" s="64"/>
      <c r="H50" s="64"/>
      <c r="I50" s="64"/>
      <c r="J50" s="64"/>
      <c r="K50" s="105"/>
      <c r="L50" s="106"/>
      <c r="M50" s="106"/>
      <c r="N50" s="106"/>
      <c r="O50" s="106"/>
      <c r="P50" s="106"/>
      <c r="Q50" s="107"/>
      <c r="R50" s="64"/>
      <c r="S50" s="64"/>
      <c r="T50" s="64"/>
      <c r="U50" s="64"/>
    </row>
    <row r="51" spans="1:21" ht="18" customHeight="1" x14ac:dyDescent="0.15">
      <c r="A51" s="3"/>
      <c r="B51" s="105"/>
      <c r="C51" s="106"/>
      <c r="D51" s="106"/>
      <c r="E51" s="106"/>
      <c r="F51" s="107"/>
      <c r="G51" s="64"/>
      <c r="H51" s="64"/>
      <c r="I51" s="64"/>
      <c r="J51" s="64"/>
      <c r="K51" s="105"/>
      <c r="L51" s="106"/>
      <c r="M51" s="106"/>
      <c r="N51" s="106"/>
      <c r="O51" s="106"/>
      <c r="P51" s="106"/>
      <c r="Q51" s="107"/>
      <c r="R51" s="64"/>
      <c r="S51" s="64"/>
      <c r="T51" s="64"/>
      <c r="U51" s="64"/>
    </row>
    <row r="52" spans="1:21" ht="18" customHeight="1" x14ac:dyDescent="0.15">
      <c r="A52" s="3"/>
      <c r="B52" s="105"/>
      <c r="C52" s="106"/>
      <c r="D52" s="106"/>
      <c r="E52" s="106"/>
      <c r="F52" s="107"/>
      <c r="G52" s="64"/>
      <c r="H52" s="64"/>
      <c r="I52" s="64"/>
      <c r="J52" s="64"/>
      <c r="K52" s="105"/>
      <c r="L52" s="106"/>
      <c r="M52" s="106"/>
      <c r="N52" s="106"/>
      <c r="O52" s="106"/>
      <c r="P52" s="106"/>
      <c r="Q52" s="107"/>
      <c r="R52" s="64"/>
      <c r="S52" s="64"/>
      <c r="T52" s="64"/>
      <c r="U52" s="64"/>
    </row>
    <row r="53" spans="1:21" ht="18" customHeight="1" x14ac:dyDescent="0.15">
      <c r="A53" s="3"/>
      <c r="B53" s="105"/>
      <c r="C53" s="106"/>
      <c r="D53" s="106"/>
      <c r="E53" s="106"/>
      <c r="F53" s="107"/>
      <c r="G53" s="64"/>
      <c r="H53" s="64"/>
      <c r="I53" s="64"/>
      <c r="J53" s="64"/>
      <c r="K53" s="105"/>
      <c r="L53" s="106"/>
      <c r="M53" s="106"/>
      <c r="N53" s="106"/>
      <c r="O53" s="106"/>
      <c r="P53" s="106"/>
      <c r="Q53" s="107"/>
      <c r="R53" s="64"/>
      <c r="S53" s="64"/>
      <c r="T53" s="64"/>
      <c r="U53" s="64"/>
    </row>
    <row r="54" spans="1:21" ht="18" customHeight="1" x14ac:dyDescent="0.15">
      <c r="A54" s="3"/>
      <c r="B54" s="105"/>
      <c r="C54" s="106"/>
      <c r="D54" s="106"/>
      <c r="E54" s="106"/>
      <c r="F54" s="107"/>
      <c r="G54" s="64"/>
      <c r="H54" s="64"/>
      <c r="I54" s="64"/>
      <c r="J54" s="64"/>
      <c r="K54" s="105"/>
      <c r="L54" s="106"/>
      <c r="M54" s="106"/>
      <c r="N54" s="106"/>
      <c r="O54" s="106"/>
      <c r="P54" s="106"/>
      <c r="Q54" s="107"/>
      <c r="R54" s="64"/>
      <c r="S54" s="64"/>
      <c r="T54" s="64"/>
      <c r="U54" s="64"/>
    </row>
    <row r="55" spans="1:21" ht="18" customHeight="1" x14ac:dyDescent="0.15">
      <c r="A55" s="3"/>
      <c r="B55" s="108"/>
      <c r="C55" s="109"/>
      <c r="D55" s="109"/>
      <c r="E55" s="109"/>
      <c r="F55" s="110"/>
      <c r="G55" s="65"/>
      <c r="H55" s="65"/>
      <c r="I55" s="66"/>
      <c r="J55" s="66"/>
      <c r="K55" s="108"/>
      <c r="L55" s="109"/>
      <c r="M55" s="109"/>
      <c r="N55" s="109"/>
      <c r="O55" s="109"/>
      <c r="P55" s="109"/>
      <c r="Q55" s="110"/>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4" t="s">
        <v>97</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0" t="s">
        <v>46</v>
      </c>
      <c r="C59" s="91"/>
      <c r="D59" s="91"/>
      <c r="E59" s="91"/>
      <c r="F59" s="92"/>
      <c r="G59" s="60" t="s">
        <v>71</v>
      </c>
      <c r="H59" s="61" t="s">
        <v>74</v>
      </c>
      <c r="I59" s="62" t="s">
        <v>51</v>
      </c>
      <c r="J59" s="62" t="s">
        <v>53</v>
      </c>
      <c r="K59" s="90" t="s">
        <v>46</v>
      </c>
      <c r="L59" s="91"/>
      <c r="M59" s="91"/>
      <c r="N59" s="91"/>
      <c r="O59" s="91"/>
      <c r="P59" s="91"/>
      <c r="Q59" s="92"/>
      <c r="R59" s="60" t="s">
        <v>71</v>
      </c>
      <c r="S59" s="61" t="s">
        <v>74</v>
      </c>
      <c r="T59" s="62" t="s">
        <v>51</v>
      </c>
      <c r="U59" s="62" t="s">
        <v>53</v>
      </c>
    </row>
    <row r="60" spans="1:21" ht="18" customHeight="1" x14ac:dyDescent="0.15">
      <c r="A60" s="3"/>
      <c r="B60" s="111" t="s">
        <v>143</v>
      </c>
      <c r="C60" s="112"/>
      <c r="D60" s="112"/>
      <c r="E60" s="112"/>
      <c r="F60" s="113"/>
      <c r="G60" s="63">
        <v>1</v>
      </c>
      <c r="H60" s="63" t="s">
        <v>145</v>
      </c>
      <c r="I60" s="63" t="s">
        <v>145</v>
      </c>
      <c r="J60" s="63" t="s">
        <v>145</v>
      </c>
      <c r="K60" s="111"/>
      <c r="L60" s="112"/>
      <c r="M60" s="112"/>
      <c r="N60" s="112"/>
      <c r="O60" s="112"/>
      <c r="P60" s="112"/>
      <c r="Q60" s="113"/>
      <c r="R60" s="63"/>
      <c r="S60" s="63"/>
      <c r="T60" s="63"/>
      <c r="U60" s="63"/>
    </row>
    <row r="61" spans="1:21" ht="18" customHeight="1" x14ac:dyDescent="0.15">
      <c r="A61" s="3"/>
      <c r="B61" s="105"/>
      <c r="C61" s="106"/>
      <c r="D61" s="106"/>
      <c r="E61" s="106"/>
      <c r="F61" s="107"/>
      <c r="G61" s="64"/>
      <c r="H61" s="64"/>
      <c r="I61" s="64"/>
      <c r="J61" s="64"/>
      <c r="K61" s="105"/>
      <c r="L61" s="106"/>
      <c r="M61" s="106"/>
      <c r="N61" s="106"/>
      <c r="O61" s="106"/>
      <c r="P61" s="106"/>
      <c r="Q61" s="107"/>
      <c r="R61" s="64"/>
      <c r="S61" s="64"/>
      <c r="T61" s="64"/>
      <c r="U61" s="64"/>
    </row>
    <row r="62" spans="1:21" ht="18" customHeight="1" x14ac:dyDescent="0.15">
      <c r="A62" s="3"/>
      <c r="B62" s="105"/>
      <c r="C62" s="106"/>
      <c r="D62" s="106"/>
      <c r="E62" s="106"/>
      <c r="F62" s="107"/>
      <c r="G62" s="64"/>
      <c r="H62" s="64"/>
      <c r="I62" s="64"/>
      <c r="J62" s="64"/>
      <c r="K62" s="105"/>
      <c r="L62" s="106"/>
      <c r="M62" s="106"/>
      <c r="N62" s="106"/>
      <c r="O62" s="106"/>
      <c r="P62" s="106"/>
      <c r="Q62" s="107"/>
      <c r="R62" s="64"/>
      <c r="S62" s="64"/>
      <c r="T62" s="64"/>
      <c r="U62" s="64"/>
    </row>
    <row r="63" spans="1:21" ht="18" customHeight="1" x14ac:dyDescent="0.15">
      <c r="A63" s="3"/>
      <c r="B63" s="105"/>
      <c r="C63" s="106"/>
      <c r="D63" s="106"/>
      <c r="E63" s="106"/>
      <c r="F63" s="107"/>
      <c r="G63" s="64"/>
      <c r="H63" s="64"/>
      <c r="I63" s="64"/>
      <c r="J63" s="64"/>
      <c r="K63" s="105"/>
      <c r="L63" s="106"/>
      <c r="M63" s="106"/>
      <c r="N63" s="106"/>
      <c r="O63" s="106"/>
      <c r="P63" s="106"/>
      <c r="Q63" s="107"/>
      <c r="R63" s="64"/>
      <c r="S63" s="64"/>
      <c r="T63" s="64"/>
      <c r="U63" s="64"/>
    </row>
    <row r="64" spans="1:21" ht="18" customHeight="1" x14ac:dyDescent="0.15">
      <c r="A64" s="3"/>
      <c r="B64" s="105"/>
      <c r="C64" s="106"/>
      <c r="D64" s="106"/>
      <c r="E64" s="106"/>
      <c r="F64" s="107"/>
      <c r="G64" s="64"/>
      <c r="H64" s="64"/>
      <c r="I64" s="64"/>
      <c r="J64" s="64"/>
      <c r="K64" s="105"/>
      <c r="L64" s="106"/>
      <c r="M64" s="106"/>
      <c r="N64" s="106"/>
      <c r="O64" s="106"/>
      <c r="P64" s="106"/>
      <c r="Q64" s="107"/>
      <c r="R64" s="64"/>
      <c r="S64" s="64"/>
      <c r="T64" s="64"/>
      <c r="U64" s="64"/>
    </row>
    <row r="65" spans="1:27" ht="18" customHeight="1" x14ac:dyDescent="0.15">
      <c r="A65" s="3"/>
      <c r="B65" s="105"/>
      <c r="C65" s="106"/>
      <c r="D65" s="106"/>
      <c r="E65" s="106"/>
      <c r="F65" s="107"/>
      <c r="G65" s="64"/>
      <c r="H65" s="64"/>
      <c r="I65" s="64"/>
      <c r="J65" s="64"/>
      <c r="K65" s="105"/>
      <c r="L65" s="106"/>
      <c r="M65" s="106"/>
      <c r="N65" s="106"/>
      <c r="O65" s="106"/>
      <c r="P65" s="106"/>
      <c r="Q65" s="107"/>
      <c r="R65" s="64"/>
      <c r="S65" s="64"/>
      <c r="T65" s="64"/>
      <c r="U65" s="64"/>
    </row>
    <row r="66" spans="1:27" ht="18" customHeight="1" x14ac:dyDescent="0.15">
      <c r="A66" s="3"/>
      <c r="B66" s="108"/>
      <c r="C66" s="109"/>
      <c r="D66" s="109"/>
      <c r="E66" s="109"/>
      <c r="F66" s="110"/>
      <c r="G66" s="65"/>
      <c r="H66" s="65"/>
      <c r="I66" s="66"/>
      <c r="J66" s="66"/>
      <c r="K66" s="108"/>
      <c r="L66" s="109"/>
      <c r="M66" s="109"/>
      <c r="N66" s="109"/>
      <c r="O66" s="109"/>
      <c r="P66" s="109"/>
      <c r="Q66" s="110"/>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4" t="s">
        <v>98</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x14ac:dyDescent="0.15">
      <c r="B70" s="90" t="s">
        <v>46</v>
      </c>
      <c r="C70" s="91"/>
      <c r="D70" s="91"/>
      <c r="E70" s="91"/>
      <c r="F70" s="60" t="s">
        <v>71</v>
      </c>
      <c r="G70" s="61" t="s">
        <v>74</v>
      </c>
      <c r="H70" s="62" t="s">
        <v>85</v>
      </c>
      <c r="I70" s="62" t="s">
        <v>66</v>
      </c>
      <c r="J70" s="62" t="s">
        <v>67</v>
      </c>
      <c r="K70" s="90" t="s">
        <v>46</v>
      </c>
      <c r="L70" s="91"/>
      <c r="M70" s="91"/>
      <c r="N70" s="91"/>
      <c r="O70" s="91"/>
      <c r="P70" s="92"/>
      <c r="Q70" s="60" t="s">
        <v>71</v>
      </c>
      <c r="R70" s="61" t="s">
        <v>74</v>
      </c>
      <c r="S70" s="62" t="s">
        <v>85</v>
      </c>
      <c r="T70" s="62" t="s">
        <v>66</v>
      </c>
      <c r="U70" s="62" t="s">
        <v>67</v>
      </c>
    </row>
    <row r="71" spans="1:27" ht="18" customHeight="1" x14ac:dyDescent="0.15">
      <c r="A71" s="3"/>
      <c r="B71" s="111" t="s">
        <v>143</v>
      </c>
      <c r="C71" s="112"/>
      <c r="D71" s="112"/>
      <c r="E71" s="112"/>
      <c r="F71" s="63">
        <v>1</v>
      </c>
      <c r="G71" s="63" t="s">
        <v>145</v>
      </c>
      <c r="H71" s="63" t="s">
        <v>145</v>
      </c>
      <c r="I71" s="63" t="s">
        <v>145</v>
      </c>
      <c r="J71" s="63" t="s">
        <v>145</v>
      </c>
      <c r="K71" s="111"/>
      <c r="L71" s="112"/>
      <c r="M71" s="112"/>
      <c r="N71" s="112"/>
      <c r="O71" s="112"/>
      <c r="P71" s="113"/>
      <c r="Q71" s="63"/>
      <c r="R71" s="63"/>
      <c r="S71" s="63"/>
      <c r="T71" s="63"/>
      <c r="U71" s="63"/>
    </row>
    <row r="72" spans="1:27" ht="18" customHeight="1" x14ac:dyDescent="0.15">
      <c r="A72" s="3"/>
      <c r="B72" s="105" t="s">
        <v>144</v>
      </c>
      <c r="C72" s="106"/>
      <c r="D72" s="106"/>
      <c r="E72" s="106"/>
      <c r="F72" s="64">
        <v>1</v>
      </c>
      <c r="G72" s="83" t="s">
        <v>145</v>
      </c>
      <c r="H72" s="83" t="s">
        <v>145</v>
      </c>
      <c r="I72" s="83" t="s">
        <v>145</v>
      </c>
      <c r="J72" s="83" t="s">
        <v>145</v>
      </c>
      <c r="K72" s="105"/>
      <c r="L72" s="106"/>
      <c r="M72" s="106"/>
      <c r="N72" s="106"/>
      <c r="O72" s="106"/>
      <c r="P72" s="107"/>
      <c r="Q72" s="64"/>
      <c r="R72" s="64"/>
      <c r="S72" s="64"/>
      <c r="T72" s="64"/>
      <c r="U72" s="64"/>
    </row>
    <row r="73" spans="1:27" ht="18" customHeight="1" x14ac:dyDescent="0.15">
      <c r="A73" s="3"/>
      <c r="B73" s="105"/>
      <c r="C73" s="106"/>
      <c r="D73" s="106"/>
      <c r="E73" s="106"/>
      <c r="F73" s="64"/>
      <c r="G73" s="64"/>
      <c r="H73" s="64"/>
      <c r="I73" s="64"/>
      <c r="J73" s="64"/>
      <c r="K73" s="105"/>
      <c r="L73" s="106"/>
      <c r="M73" s="106"/>
      <c r="N73" s="106"/>
      <c r="O73" s="106"/>
      <c r="P73" s="107"/>
      <c r="Q73" s="64"/>
      <c r="R73" s="64"/>
      <c r="S73" s="64"/>
      <c r="T73" s="64"/>
      <c r="U73" s="64"/>
    </row>
    <row r="74" spans="1:27" ht="18" customHeight="1" x14ac:dyDescent="0.15">
      <c r="A74" s="3"/>
      <c r="B74" s="105"/>
      <c r="C74" s="106"/>
      <c r="D74" s="106"/>
      <c r="E74" s="106"/>
      <c r="F74" s="64"/>
      <c r="G74" s="64"/>
      <c r="H74" s="64"/>
      <c r="I74" s="64"/>
      <c r="J74" s="64"/>
      <c r="K74" s="105"/>
      <c r="L74" s="106"/>
      <c r="M74" s="106"/>
      <c r="N74" s="106"/>
      <c r="O74" s="106"/>
      <c r="P74" s="107"/>
      <c r="Q74" s="64"/>
      <c r="R74" s="64"/>
      <c r="S74" s="64"/>
      <c r="T74" s="64"/>
      <c r="U74" s="64"/>
    </row>
    <row r="75" spans="1:27" ht="18" customHeight="1" x14ac:dyDescent="0.15">
      <c r="A75" s="3"/>
      <c r="B75" s="105"/>
      <c r="C75" s="106"/>
      <c r="D75" s="106"/>
      <c r="E75" s="106"/>
      <c r="F75" s="64"/>
      <c r="G75" s="64"/>
      <c r="H75" s="64"/>
      <c r="I75" s="64"/>
      <c r="J75" s="64"/>
      <c r="K75" s="105"/>
      <c r="L75" s="106"/>
      <c r="M75" s="106"/>
      <c r="N75" s="106"/>
      <c r="O75" s="106"/>
      <c r="P75" s="107"/>
      <c r="Q75" s="64"/>
      <c r="R75" s="64"/>
      <c r="S75" s="64"/>
      <c r="T75" s="64"/>
      <c r="U75" s="64"/>
    </row>
    <row r="76" spans="1:27" ht="18" customHeight="1" x14ac:dyDescent="0.15">
      <c r="A76" s="3"/>
      <c r="B76" s="105"/>
      <c r="C76" s="106"/>
      <c r="D76" s="106"/>
      <c r="E76" s="106"/>
      <c r="F76" s="64"/>
      <c r="G76" s="64"/>
      <c r="H76" s="64"/>
      <c r="I76" s="64"/>
      <c r="J76" s="64"/>
      <c r="K76" s="105"/>
      <c r="L76" s="106"/>
      <c r="M76" s="106"/>
      <c r="N76" s="106"/>
      <c r="O76" s="106"/>
      <c r="P76" s="107"/>
      <c r="Q76" s="64"/>
      <c r="R76" s="64"/>
      <c r="S76" s="64"/>
      <c r="T76" s="64"/>
      <c r="U76" s="64"/>
    </row>
    <row r="77" spans="1:27" ht="18" customHeight="1" x14ac:dyDescent="0.15">
      <c r="A77" s="3"/>
      <c r="B77" s="108"/>
      <c r="C77" s="109"/>
      <c r="D77" s="109"/>
      <c r="E77" s="109"/>
      <c r="F77" s="65"/>
      <c r="G77" s="65"/>
      <c r="H77" s="66"/>
      <c r="I77" s="66"/>
      <c r="J77" s="66"/>
      <c r="K77" s="108"/>
      <c r="L77" s="109"/>
      <c r="M77" s="109"/>
      <c r="N77" s="109"/>
      <c r="O77" s="109"/>
      <c r="P77" s="110"/>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99</v>
      </c>
      <c r="I79" s="3"/>
      <c r="J79" s="3"/>
      <c r="K79" s="3"/>
      <c r="L79" s="3"/>
      <c r="M79" s="3"/>
      <c r="N79" s="3"/>
      <c r="O79" s="3"/>
      <c r="P79" s="3"/>
      <c r="Q79" s="3"/>
      <c r="R79" s="3"/>
      <c r="S79" s="3"/>
      <c r="T79" s="3"/>
      <c r="U79" s="3"/>
    </row>
    <row r="80" spans="1:27" ht="18" customHeight="1" x14ac:dyDescent="0.15">
      <c r="B80" s="90" t="s">
        <v>46</v>
      </c>
      <c r="C80" s="91"/>
      <c r="D80" s="91"/>
      <c r="E80" s="91"/>
      <c r="F80" s="92"/>
      <c r="G80" s="90" t="s">
        <v>72</v>
      </c>
      <c r="H80" s="91"/>
      <c r="I80" s="91"/>
      <c r="J80" s="92"/>
      <c r="K80" s="143" t="s">
        <v>46</v>
      </c>
      <c r="L80" s="144"/>
      <c r="M80" s="144"/>
      <c r="N80" s="144"/>
      <c r="O80" s="144"/>
      <c r="P80" s="144"/>
      <c r="Q80" s="145"/>
      <c r="R80" s="90" t="s">
        <v>72</v>
      </c>
      <c r="S80" s="91"/>
      <c r="T80" s="91"/>
      <c r="U80" s="92"/>
      <c r="AA80" s="1" t="s">
        <v>136</v>
      </c>
    </row>
    <row r="81" spans="1:27" ht="18" customHeight="1" x14ac:dyDescent="0.15">
      <c r="A81" s="3"/>
      <c r="B81" s="111"/>
      <c r="C81" s="112"/>
      <c r="D81" s="112"/>
      <c r="E81" s="112"/>
      <c r="F81" s="113"/>
      <c r="G81" s="146"/>
      <c r="H81" s="147"/>
      <c r="I81" s="147"/>
      <c r="J81" s="148"/>
      <c r="K81" s="111"/>
      <c r="L81" s="112"/>
      <c r="M81" s="112"/>
      <c r="N81" s="112"/>
      <c r="O81" s="112"/>
      <c r="P81" s="112"/>
      <c r="Q81" s="113"/>
      <c r="R81" s="146"/>
      <c r="S81" s="147"/>
      <c r="T81" s="147"/>
      <c r="U81" s="148"/>
      <c r="AA81" s="1" t="s">
        <v>129</v>
      </c>
    </row>
    <row r="82" spans="1:27" ht="18" customHeight="1" x14ac:dyDescent="0.15">
      <c r="A82" s="3"/>
      <c r="B82" s="105"/>
      <c r="C82" s="106"/>
      <c r="D82" s="106"/>
      <c r="E82" s="106"/>
      <c r="F82" s="107"/>
      <c r="G82" s="138"/>
      <c r="H82" s="139"/>
      <c r="I82" s="139"/>
      <c r="J82" s="140"/>
      <c r="K82" s="105"/>
      <c r="L82" s="106"/>
      <c r="M82" s="106"/>
      <c r="N82" s="106"/>
      <c r="O82" s="106"/>
      <c r="P82" s="106"/>
      <c r="Q82" s="107"/>
      <c r="R82" s="138"/>
      <c r="S82" s="139"/>
      <c r="T82" s="139"/>
      <c r="U82" s="140"/>
      <c r="AA82" s="1" t="s">
        <v>130</v>
      </c>
    </row>
    <row r="83" spans="1:27" ht="18" customHeight="1" x14ac:dyDescent="0.15">
      <c r="A83" s="3"/>
      <c r="B83" s="105"/>
      <c r="C83" s="106"/>
      <c r="D83" s="106"/>
      <c r="E83" s="106"/>
      <c r="F83" s="107"/>
      <c r="G83" s="138"/>
      <c r="H83" s="139"/>
      <c r="I83" s="139"/>
      <c r="J83" s="140"/>
      <c r="K83" s="105"/>
      <c r="L83" s="106"/>
      <c r="M83" s="106"/>
      <c r="N83" s="106"/>
      <c r="O83" s="106"/>
      <c r="P83" s="106"/>
      <c r="Q83" s="107"/>
      <c r="R83" s="138"/>
      <c r="S83" s="139"/>
      <c r="T83" s="139"/>
      <c r="U83" s="140"/>
      <c r="AA83" s="1" t="s">
        <v>131</v>
      </c>
    </row>
    <row r="84" spans="1:27" ht="18" customHeight="1" x14ac:dyDescent="0.15">
      <c r="A84" s="3"/>
      <c r="B84" s="105"/>
      <c r="C84" s="106"/>
      <c r="D84" s="106"/>
      <c r="E84" s="106"/>
      <c r="F84" s="107"/>
      <c r="G84" s="138"/>
      <c r="H84" s="139"/>
      <c r="I84" s="139"/>
      <c r="J84" s="140"/>
      <c r="K84" s="105"/>
      <c r="L84" s="106"/>
      <c r="M84" s="106"/>
      <c r="N84" s="106"/>
      <c r="O84" s="106"/>
      <c r="P84" s="106"/>
      <c r="Q84" s="107"/>
      <c r="R84" s="138"/>
      <c r="S84" s="139"/>
      <c r="T84" s="139"/>
      <c r="U84" s="140"/>
      <c r="AA84" s="1" t="s">
        <v>137</v>
      </c>
    </row>
    <row r="85" spans="1:27" ht="18" customHeight="1" x14ac:dyDescent="0.15">
      <c r="A85" s="3"/>
      <c r="B85" s="105"/>
      <c r="C85" s="106"/>
      <c r="D85" s="106"/>
      <c r="E85" s="106"/>
      <c r="F85" s="107"/>
      <c r="G85" s="138"/>
      <c r="H85" s="139"/>
      <c r="I85" s="139"/>
      <c r="J85" s="140"/>
      <c r="K85" s="105"/>
      <c r="L85" s="106"/>
      <c r="M85" s="106"/>
      <c r="N85" s="106"/>
      <c r="O85" s="106"/>
      <c r="P85" s="106"/>
      <c r="Q85" s="107"/>
      <c r="R85" s="138"/>
      <c r="S85" s="139"/>
      <c r="T85" s="139"/>
      <c r="U85" s="140"/>
      <c r="AA85" s="1" t="s">
        <v>138</v>
      </c>
    </row>
    <row r="86" spans="1:27" ht="18" customHeight="1" x14ac:dyDescent="0.15">
      <c r="A86" s="3"/>
      <c r="B86" s="105"/>
      <c r="C86" s="106"/>
      <c r="D86" s="106"/>
      <c r="E86" s="106"/>
      <c r="F86" s="107"/>
      <c r="G86" s="138"/>
      <c r="H86" s="139"/>
      <c r="I86" s="139"/>
      <c r="J86" s="140"/>
      <c r="K86" s="105"/>
      <c r="L86" s="106"/>
      <c r="M86" s="106"/>
      <c r="N86" s="106"/>
      <c r="O86" s="106"/>
      <c r="P86" s="106"/>
      <c r="Q86" s="107"/>
      <c r="R86" s="138"/>
      <c r="S86" s="139"/>
      <c r="T86" s="139"/>
      <c r="U86" s="140"/>
      <c r="AA86" s="1" t="s">
        <v>132</v>
      </c>
    </row>
    <row r="87" spans="1:27" ht="18" customHeight="1" x14ac:dyDescent="0.15">
      <c r="A87" s="3"/>
      <c r="B87" s="108"/>
      <c r="C87" s="109"/>
      <c r="D87" s="109"/>
      <c r="E87" s="109"/>
      <c r="F87" s="110"/>
      <c r="G87" s="135"/>
      <c r="H87" s="136"/>
      <c r="I87" s="136"/>
      <c r="J87" s="137"/>
      <c r="K87" s="108"/>
      <c r="L87" s="109"/>
      <c r="M87" s="109"/>
      <c r="N87" s="109"/>
      <c r="O87" s="109"/>
      <c r="P87" s="109"/>
      <c r="Q87" s="110"/>
      <c r="R87" s="135"/>
      <c r="S87" s="136"/>
      <c r="T87" s="136"/>
      <c r="U87" s="137"/>
      <c r="AA87" s="1" t="s">
        <v>133</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134</v>
      </c>
    </row>
    <row r="89" spans="1:27" ht="18.75" customHeight="1" x14ac:dyDescent="0.15">
      <c r="A89" s="1" t="s">
        <v>100</v>
      </c>
      <c r="AA89" s="1" t="s">
        <v>135</v>
      </c>
    </row>
    <row r="90" spans="1:27" ht="18.75" customHeight="1" x14ac:dyDescent="0.15">
      <c r="B90" s="141" t="s">
        <v>47</v>
      </c>
      <c r="C90" s="142"/>
      <c r="D90" s="90" t="s">
        <v>48</v>
      </c>
      <c r="E90" s="91"/>
      <c r="F90" s="91"/>
      <c r="G90" s="91"/>
      <c r="H90" s="91"/>
      <c r="I90" s="91"/>
      <c r="J90" s="91"/>
      <c r="K90" s="91"/>
      <c r="L90" s="91"/>
      <c r="M90" s="91"/>
      <c r="N90" s="91"/>
      <c r="O90" s="91"/>
      <c r="P90" s="91"/>
      <c r="Q90" s="91"/>
      <c r="R90" s="91"/>
      <c r="S90" s="91"/>
      <c r="T90" s="91"/>
      <c r="U90" s="92"/>
    </row>
    <row r="91" spans="1:27" ht="97.5" customHeight="1" x14ac:dyDescent="0.15">
      <c r="B91" s="118" t="s">
        <v>54</v>
      </c>
      <c r="C91" s="68" t="s">
        <v>49</v>
      </c>
      <c r="D91" s="93" t="s">
        <v>146</v>
      </c>
      <c r="E91" s="94"/>
      <c r="F91" s="94"/>
      <c r="G91" s="94"/>
      <c r="H91" s="94"/>
      <c r="I91" s="94"/>
      <c r="J91" s="94"/>
      <c r="K91" s="94"/>
      <c r="L91" s="94"/>
      <c r="M91" s="94"/>
      <c r="N91" s="94"/>
      <c r="O91" s="94"/>
      <c r="P91" s="94"/>
      <c r="Q91" s="94"/>
      <c r="R91" s="94"/>
      <c r="S91" s="94"/>
      <c r="T91" s="94"/>
      <c r="U91" s="95"/>
    </row>
    <row r="92" spans="1:27" ht="97.5" customHeight="1" x14ac:dyDescent="0.15">
      <c r="B92" s="120"/>
      <c r="C92" s="69" t="s">
        <v>68</v>
      </c>
      <c r="D92" s="96" t="s">
        <v>147</v>
      </c>
      <c r="E92" s="97"/>
      <c r="F92" s="97"/>
      <c r="G92" s="97"/>
      <c r="H92" s="97"/>
      <c r="I92" s="97"/>
      <c r="J92" s="97"/>
      <c r="K92" s="97"/>
      <c r="L92" s="97"/>
      <c r="M92" s="97"/>
      <c r="N92" s="97"/>
      <c r="O92" s="97"/>
      <c r="P92" s="97"/>
      <c r="Q92" s="97"/>
      <c r="R92" s="97"/>
      <c r="S92" s="97"/>
      <c r="T92" s="97"/>
      <c r="U92" s="98"/>
    </row>
    <row r="93" spans="1:27" ht="97.5" customHeight="1" x14ac:dyDescent="0.15">
      <c r="B93" s="118" t="s">
        <v>55</v>
      </c>
      <c r="C93" s="70" t="s">
        <v>62</v>
      </c>
      <c r="D93" s="93" t="s">
        <v>154</v>
      </c>
      <c r="E93" s="94"/>
      <c r="F93" s="94"/>
      <c r="G93" s="94"/>
      <c r="H93" s="94"/>
      <c r="I93" s="94"/>
      <c r="J93" s="94"/>
      <c r="K93" s="94"/>
      <c r="L93" s="94"/>
      <c r="M93" s="94"/>
      <c r="N93" s="94"/>
      <c r="O93" s="94"/>
      <c r="P93" s="94"/>
      <c r="Q93" s="94"/>
      <c r="R93" s="94"/>
      <c r="S93" s="94"/>
      <c r="T93" s="94"/>
      <c r="U93" s="95"/>
    </row>
    <row r="94" spans="1:27" ht="97.5" customHeight="1" x14ac:dyDescent="0.15">
      <c r="B94" s="119"/>
      <c r="C94" s="71" t="s">
        <v>63</v>
      </c>
      <c r="D94" s="96" t="s">
        <v>149</v>
      </c>
      <c r="E94" s="97"/>
      <c r="F94" s="97"/>
      <c r="G94" s="97"/>
      <c r="H94" s="97"/>
      <c r="I94" s="97"/>
      <c r="J94" s="97"/>
      <c r="K94" s="97"/>
      <c r="L94" s="97"/>
      <c r="M94" s="97"/>
      <c r="N94" s="97"/>
      <c r="O94" s="97"/>
      <c r="P94" s="97"/>
      <c r="Q94" s="97"/>
      <c r="R94" s="97"/>
      <c r="S94" s="97"/>
      <c r="T94" s="97"/>
      <c r="U94" s="98"/>
    </row>
    <row r="95" spans="1:27" ht="97.5" customHeight="1" x14ac:dyDescent="0.15">
      <c r="B95" s="118" t="s">
        <v>56</v>
      </c>
      <c r="C95" s="70" t="s">
        <v>64</v>
      </c>
      <c r="D95" s="93" t="s">
        <v>150</v>
      </c>
      <c r="E95" s="94"/>
      <c r="F95" s="94"/>
      <c r="G95" s="94"/>
      <c r="H95" s="94"/>
      <c r="I95" s="94"/>
      <c r="J95" s="94"/>
      <c r="K95" s="94"/>
      <c r="L95" s="94"/>
      <c r="M95" s="94"/>
      <c r="N95" s="94"/>
      <c r="O95" s="94"/>
      <c r="P95" s="94"/>
      <c r="Q95" s="94"/>
      <c r="R95" s="94"/>
      <c r="S95" s="94"/>
      <c r="T95" s="94"/>
      <c r="U95" s="95"/>
    </row>
    <row r="96" spans="1:27" ht="97.5" customHeight="1" x14ac:dyDescent="0.15">
      <c r="B96" s="119"/>
      <c r="C96" s="72" t="s">
        <v>65</v>
      </c>
      <c r="D96" s="96" t="s">
        <v>151</v>
      </c>
      <c r="E96" s="97"/>
      <c r="F96" s="97"/>
      <c r="G96" s="97"/>
      <c r="H96" s="97"/>
      <c r="I96" s="97"/>
      <c r="J96" s="97"/>
      <c r="K96" s="97"/>
      <c r="L96" s="97"/>
      <c r="M96" s="97"/>
      <c r="N96" s="97"/>
      <c r="O96" s="97"/>
      <c r="P96" s="97"/>
      <c r="Q96" s="97"/>
      <c r="R96" s="97"/>
      <c r="S96" s="97"/>
      <c r="T96" s="97"/>
      <c r="U96" s="98"/>
    </row>
    <row r="97" spans="1:21" ht="105.75" customHeight="1" x14ac:dyDescent="0.15">
      <c r="B97" s="118" t="s">
        <v>69</v>
      </c>
      <c r="C97" s="68" t="s">
        <v>51</v>
      </c>
      <c r="D97" s="93" t="s">
        <v>152</v>
      </c>
      <c r="E97" s="94"/>
      <c r="F97" s="94"/>
      <c r="G97" s="94"/>
      <c r="H97" s="94"/>
      <c r="I97" s="94"/>
      <c r="J97" s="94"/>
      <c r="K97" s="94"/>
      <c r="L97" s="94"/>
      <c r="M97" s="94"/>
      <c r="N97" s="94"/>
      <c r="O97" s="94"/>
      <c r="P97" s="94"/>
      <c r="Q97" s="94"/>
      <c r="R97" s="94"/>
      <c r="S97" s="94"/>
      <c r="T97" s="94"/>
      <c r="U97" s="95"/>
    </row>
    <row r="98" spans="1:21" ht="97.5" customHeight="1" x14ac:dyDescent="0.15">
      <c r="B98" s="119"/>
      <c r="C98" s="71" t="s">
        <v>53</v>
      </c>
      <c r="D98" s="96" t="s">
        <v>153</v>
      </c>
      <c r="E98" s="97"/>
      <c r="F98" s="97"/>
      <c r="G98" s="97"/>
      <c r="H98" s="97"/>
      <c r="I98" s="97"/>
      <c r="J98" s="97"/>
      <c r="K98" s="97"/>
      <c r="L98" s="97"/>
      <c r="M98" s="97"/>
      <c r="N98" s="97"/>
      <c r="O98" s="97"/>
      <c r="P98" s="97"/>
      <c r="Q98" s="97"/>
      <c r="R98" s="97"/>
      <c r="S98" s="97"/>
      <c r="T98" s="97"/>
      <c r="U98" s="98"/>
    </row>
    <row r="99" spans="1:21" ht="134.25" customHeight="1" x14ac:dyDescent="0.15">
      <c r="B99" s="118" t="s">
        <v>70</v>
      </c>
      <c r="C99" s="70" t="s">
        <v>50</v>
      </c>
      <c r="D99" s="93" t="s">
        <v>155</v>
      </c>
      <c r="E99" s="94"/>
      <c r="F99" s="94"/>
      <c r="G99" s="94"/>
      <c r="H99" s="94"/>
      <c r="I99" s="94"/>
      <c r="J99" s="94"/>
      <c r="K99" s="94"/>
      <c r="L99" s="94"/>
      <c r="M99" s="94"/>
      <c r="N99" s="94"/>
      <c r="O99" s="94"/>
      <c r="P99" s="94"/>
      <c r="Q99" s="94"/>
      <c r="R99" s="94"/>
      <c r="S99" s="94"/>
      <c r="T99" s="94"/>
      <c r="U99" s="95"/>
    </row>
    <row r="100" spans="1:21" ht="97.5" customHeight="1" x14ac:dyDescent="0.15">
      <c r="B100" s="120"/>
      <c r="C100" s="73" t="s">
        <v>66</v>
      </c>
      <c r="D100" s="115" t="s">
        <v>156</v>
      </c>
      <c r="E100" s="116"/>
      <c r="F100" s="116"/>
      <c r="G100" s="116"/>
      <c r="H100" s="116"/>
      <c r="I100" s="116"/>
      <c r="J100" s="116"/>
      <c r="K100" s="116"/>
      <c r="L100" s="116"/>
      <c r="M100" s="116"/>
      <c r="N100" s="116"/>
      <c r="O100" s="116"/>
      <c r="P100" s="116"/>
      <c r="Q100" s="116"/>
      <c r="R100" s="116"/>
      <c r="S100" s="116"/>
      <c r="T100" s="116"/>
      <c r="U100" s="117"/>
    </row>
    <row r="101" spans="1:21" ht="97.5" customHeight="1" x14ac:dyDescent="0.15">
      <c r="B101" s="119"/>
      <c r="C101" s="72" t="s">
        <v>67</v>
      </c>
      <c r="D101" s="96" t="s">
        <v>157</v>
      </c>
      <c r="E101" s="97"/>
      <c r="F101" s="97"/>
      <c r="G101" s="97"/>
      <c r="H101" s="97"/>
      <c r="I101" s="97"/>
      <c r="J101" s="97"/>
      <c r="K101" s="97"/>
      <c r="L101" s="97"/>
      <c r="M101" s="97"/>
      <c r="N101" s="97"/>
      <c r="O101" s="97"/>
      <c r="P101" s="97"/>
      <c r="Q101" s="97"/>
      <c r="R101" s="97"/>
      <c r="S101" s="97"/>
      <c r="T101" s="97"/>
      <c r="U101" s="98"/>
    </row>
    <row r="102" spans="1:21" ht="6" customHeight="1" x14ac:dyDescent="0.15"/>
    <row r="103" spans="1:21" ht="18.75" customHeight="1" x14ac:dyDescent="0.15">
      <c r="A103" s="1" t="s">
        <v>101</v>
      </c>
    </row>
    <row r="104" spans="1:21" ht="81.75" customHeight="1" x14ac:dyDescent="0.15">
      <c r="B104" s="132" t="s">
        <v>179</v>
      </c>
      <c r="C104" s="133"/>
      <c r="D104" s="133"/>
      <c r="E104" s="133"/>
      <c r="F104" s="133"/>
      <c r="G104" s="133"/>
      <c r="H104" s="133"/>
      <c r="I104" s="133"/>
      <c r="J104" s="133"/>
      <c r="K104" s="133"/>
      <c r="L104" s="133"/>
      <c r="M104" s="133"/>
      <c r="N104" s="133"/>
      <c r="O104" s="133"/>
      <c r="P104" s="133"/>
      <c r="Q104" s="133"/>
      <c r="R104" s="133"/>
      <c r="S104" s="133"/>
      <c r="T104" s="133"/>
      <c r="U104" s="134"/>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R71:U77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S33" sqref="S33"/>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90</v>
      </c>
    </row>
    <row r="2" spans="1:21" ht="18" customHeight="1" x14ac:dyDescent="0.15">
      <c r="A2" s="54"/>
      <c r="B2" s="54"/>
      <c r="C2" s="54"/>
      <c r="D2" s="54"/>
      <c r="E2" s="54"/>
      <c r="F2" s="54"/>
      <c r="G2" s="54"/>
      <c r="H2" s="54"/>
      <c r="I2" s="54"/>
      <c r="J2" s="54"/>
      <c r="K2" s="54"/>
      <c r="L2" s="54"/>
      <c r="M2" s="54"/>
      <c r="N2" s="54"/>
      <c r="O2" s="54"/>
      <c r="P2" s="54"/>
      <c r="Q2" s="150" t="str">
        <f>'様式１　プログラムを構成する授業科目'!C2</f>
        <v>新潟青陵大学</v>
      </c>
      <c r="R2" s="150"/>
      <c r="S2" s="150"/>
    </row>
    <row r="3" spans="1:21" ht="18" customHeight="1" x14ac:dyDescent="0.15">
      <c r="A3" s="122" t="s">
        <v>140</v>
      </c>
      <c r="B3" s="122"/>
      <c r="C3" s="122"/>
      <c r="D3" s="122"/>
      <c r="E3" s="122"/>
      <c r="F3" s="122"/>
      <c r="G3" s="122"/>
      <c r="H3" s="122"/>
      <c r="I3" s="122"/>
      <c r="J3" s="122"/>
      <c r="K3" s="122"/>
      <c r="L3" s="122"/>
      <c r="M3" s="122"/>
      <c r="N3" s="122"/>
      <c r="O3" s="122"/>
      <c r="P3" s="122"/>
      <c r="Q3" s="122"/>
      <c r="R3" s="122"/>
      <c r="S3" s="122"/>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73</v>
      </c>
      <c r="B5" s="54"/>
      <c r="C5" s="151" t="s">
        <v>158</v>
      </c>
      <c r="D5" s="152"/>
      <c r="E5" s="58" t="s">
        <v>123</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107</v>
      </c>
      <c r="B7" s="54"/>
      <c r="C7" s="77"/>
      <c r="D7" s="77"/>
      <c r="E7" s="56" t="s">
        <v>108</v>
      </c>
      <c r="F7" s="59">
        <v>121</v>
      </c>
      <c r="G7" s="58" t="s">
        <v>109</v>
      </c>
      <c r="H7" s="56" t="s">
        <v>110</v>
      </c>
      <c r="I7" s="59">
        <v>908</v>
      </c>
      <c r="J7" s="58" t="s">
        <v>109</v>
      </c>
      <c r="K7" s="57" t="s">
        <v>111</v>
      </c>
      <c r="L7" s="56" t="s">
        <v>112</v>
      </c>
      <c r="M7" s="59">
        <f>F7+I7</f>
        <v>1029</v>
      </c>
      <c r="N7" s="56" t="s">
        <v>1</v>
      </c>
      <c r="O7" s="58" t="s">
        <v>113</v>
      </c>
      <c r="P7" s="56"/>
      <c r="Q7" s="56"/>
      <c r="R7" s="55"/>
      <c r="S7" s="55"/>
    </row>
    <row r="8" spans="1:21" ht="17.45" customHeight="1" x14ac:dyDescent="0.15">
      <c r="A8" s="56"/>
      <c r="B8" s="78" t="s">
        <v>126</v>
      </c>
      <c r="C8" s="56"/>
      <c r="D8" s="56"/>
      <c r="E8" s="56"/>
      <c r="F8" s="56"/>
      <c r="G8" s="56"/>
      <c r="H8" s="56"/>
      <c r="I8" s="56"/>
      <c r="J8" s="56"/>
      <c r="K8" s="56"/>
      <c r="L8" s="56"/>
      <c r="M8" s="56"/>
      <c r="N8" s="56"/>
      <c r="O8" s="56"/>
      <c r="P8" s="56"/>
      <c r="Q8" s="56"/>
      <c r="R8" s="56"/>
      <c r="S8" s="56"/>
    </row>
    <row r="9" spans="1:21" ht="18" customHeight="1" x14ac:dyDescent="0.15">
      <c r="A9" s="54" t="s">
        <v>118</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3" t="s">
        <v>41</v>
      </c>
      <c r="C11" s="163" t="s">
        <v>76</v>
      </c>
      <c r="D11" s="155" t="s">
        <v>43</v>
      </c>
      <c r="E11" s="157" t="s">
        <v>36</v>
      </c>
      <c r="F11" s="149" t="s">
        <v>124</v>
      </c>
      <c r="G11" s="149"/>
      <c r="H11" s="149" t="s">
        <v>104</v>
      </c>
      <c r="I11" s="149"/>
      <c r="J11" s="149" t="s">
        <v>75</v>
      </c>
      <c r="K11" s="149"/>
      <c r="L11" s="149" t="s">
        <v>44</v>
      </c>
      <c r="M11" s="149"/>
      <c r="N11" s="149" t="s">
        <v>45</v>
      </c>
      <c r="O11" s="149"/>
      <c r="P11" s="149" t="s">
        <v>125</v>
      </c>
      <c r="Q11" s="149"/>
      <c r="R11" s="159" t="s">
        <v>34</v>
      </c>
      <c r="S11" s="161" t="s">
        <v>31</v>
      </c>
      <c r="U11" s="2"/>
    </row>
    <row r="12" spans="1:21" ht="16.899999999999999" customHeight="1" x14ac:dyDescent="0.15">
      <c r="B12" s="154"/>
      <c r="C12" s="164"/>
      <c r="D12" s="156"/>
      <c r="E12" s="158"/>
      <c r="F12" s="79" t="s">
        <v>84</v>
      </c>
      <c r="G12" s="79" t="s">
        <v>28</v>
      </c>
      <c r="H12" s="79" t="s">
        <v>84</v>
      </c>
      <c r="I12" s="79" t="s">
        <v>28</v>
      </c>
      <c r="J12" s="79" t="s">
        <v>84</v>
      </c>
      <c r="K12" s="79" t="s">
        <v>28</v>
      </c>
      <c r="L12" s="79" t="s">
        <v>84</v>
      </c>
      <c r="M12" s="79" t="s">
        <v>28</v>
      </c>
      <c r="N12" s="79" t="s">
        <v>84</v>
      </c>
      <c r="O12" s="79" t="s">
        <v>28</v>
      </c>
      <c r="P12" s="79" t="s">
        <v>84</v>
      </c>
      <c r="Q12" s="80" t="s">
        <v>28</v>
      </c>
      <c r="R12" s="160"/>
      <c r="S12" s="162"/>
      <c r="U12" s="2"/>
    </row>
    <row r="13" spans="1:21" ht="18" customHeight="1" x14ac:dyDescent="0.15">
      <c r="A13" s="6"/>
      <c r="B13" s="48" t="s">
        <v>159</v>
      </c>
      <c r="C13" s="36">
        <v>381</v>
      </c>
      <c r="D13" s="37">
        <v>90</v>
      </c>
      <c r="E13" s="38">
        <v>360</v>
      </c>
      <c r="F13" s="38">
        <v>0</v>
      </c>
      <c r="G13" s="38">
        <v>0</v>
      </c>
      <c r="H13" s="38"/>
      <c r="I13" s="38"/>
      <c r="J13" s="38"/>
      <c r="K13" s="38"/>
      <c r="L13" s="38"/>
      <c r="M13" s="38"/>
      <c r="N13" s="38"/>
      <c r="O13" s="38"/>
      <c r="P13" s="38"/>
      <c r="Q13" s="49"/>
      <c r="R13" s="37">
        <f t="shared" ref="R13:R32" si="0">F13+H13+J13+L13+N13+P13</f>
        <v>0</v>
      </c>
      <c r="S13" s="50">
        <f t="shared" ref="S13:S33" si="1">R13/E13</f>
        <v>0</v>
      </c>
    </row>
    <row r="14" spans="1:21" ht="18" customHeight="1" x14ac:dyDescent="0.15">
      <c r="A14" s="6"/>
      <c r="B14" s="11" t="s">
        <v>160</v>
      </c>
      <c r="C14" s="39">
        <v>638</v>
      </c>
      <c r="D14" s="40">
        <v>140</v>
      </c>
      <c r="E14" s="41">
        <v>590</v>
      </c>
      <c r="F14" s="42">
        <v>21</v>
      </c>
      <c r="G14" s="42">
        <v>3</v>
      </c>
      <c r="H14" s="42"/>
      <c r="I14" s="42"/>
      <c r="J14" s="42"/>
      <c r="K14" s="42"/>
      <c r="L14" s="42"/>
      <c r="M14" s="42"/>
      <c r="N14" s="42"/>
      <c r="O14" s="42"/>
      <c r="P14" s="42"/>
      <c r="Q14" s="39"/>
      <c r="R14" s="40">
        <f t="shared" si="0"/>
        <v>21</v>
      </c>
      <c r="S14" s="16">
        <f t="shared" si="1"/>
        <v>3.5593220338983052E-2</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32</v>
      </c>
      <c r="C33" s="45">
        <f t="shared" ref="C33" si="2">SUM(C13:C32)</f>
        <v>1019</v>
      </c>
      <c r="D33" s="46">
        <f t="shared" ref="D33:R33" si="3">SUM(D13:D32)</f>
        <v>230</v>
      </c>
      <c r="E33" s="47">
        <f t="shared" si="3"/>
        <v>950</v>
      </c>
      <c r="F33" s="47">
        <f t="shared" si="3"/>
        <v>21</v>
      </c>
      <c r="G33" s="47">
        <f t="shared" ref="G33:H33" si="4">SUM(G13:G32)</f>
        <v>3</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21</v>
      </c>
      <c r="S33" s="9">
        <f t="shared" si="1"/>
        <v>2.2105263157894735E-2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7" zoomScaleNormal="100" zoomScaleSheetLayoutView="100" workbookViewId="0">
      <selection activeCell="C50" sqref="C50:D50"/>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57</v>
      </c>
      <c r="I1" s="18" t="s">
        <v>89</v>
      </c>
    </row>
    <row r="2" spans="1:9" ht="18.75" customHeight="1" x14ac:dyDescent="0.15">
      <c r="G2" s="18" t="s">
        <v>91</v>
      </c>
      <c r="H2" s="90" t="str">
        <f>'様式１　プログラムを構成する授業科目'!C2</f>
        <v>新潟青陵大学</v>
      </c>
      <c r="I2" s="92"/>
    </row>
    <row r="3" spans="1:9" ht="18.75" customHeight="1" x14ac:dyDescent="0.15">
      <c r="G3" s="18"/>
      <c r="H3" s="10"/>
      <c r="I3" s="10"/>
    </row>
    <row r="4" spans="1:9" ht="18.600000000000001" customHeight="1" x14ac:dyDescent="0.15">
      <c r="A4" s="122" t="s">
        <v>35</v>
      </c>
      <c r="B4" s="122"/>
      <c r="C4" s="122"/>
      <c r="D4" s="122"/>
      <c r="E4" s="122"/>
      <c r="F4" s="122"/>
      <c r="G4" s="122"/>
      <c r="H4" s="122"/>
      <c r="I4" s="122"/>
    </row>
    <row r="5" spans="1:9" ht="13.15" customHeight="1" x14ac:dyDescent="0.15">
      <c r="B5" s="3"/>
      <c r="C5" s="3"/>
      <c r="D5" s="3"/>
      <c r="E5" s="3"/>
      <c r="F5" s="3"/>
      <c r="G5" s="3"/>
      <c r="H5" s="3"/>
      <c r="I5" s="3"/>
    </row>
    <row r="6" spans="1:9" ht="18" customHeight="1" x14ac:dyDescent="0.15">
      <c r="A6" s="1" t="s">
        <v>0</v>
      </c>
      <c r="B6" s="10" t="s">
        <v>79</v>
      </c>
      <c r="C6" s="212" t="s">
        <v>80</v>
      </c>
      <c r="D6" s="212"/>
      <c r="E6" s="17">
        <v>78</v>
      </c>
      <c r="F6" s="3" t="s">
        <v>1</v>
      </c>
      <c r="G6" s="3" t="s">
        <v>2</v>
      </c>
      <c r="H6" s="17">
        <v>82</v>
      </c>
      <c r="I6" s="10" t="s">
        <v>1</v>
      </c>
    </row>
    <row r="7" spans="1:9" ht="12" customHeight="1" x14ac:dyDescent="0.15">
      <c r="C7" s="2"/>
      <c r="D7" s="2"/>
      <c r="E7" s="2"/>
      <c r="F7" s="2"/>
      <c r="G7" s="2"/>
      <c r="H7" s="2"/>
      <c r="I7" s="21"/>
    </row>
    <row r="8" spans="1:9" ht="18" customHeight="1" x14ac:dyDescent="0.15">
      <c r="A8" s="1" t="s">
        <v>3</v>
      </c>
      <c r="B8" s="10" t="s">
        <v>81</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82</v>
      </c>
      <c r="C10" s="3"/>
      <c r="D10" s="3"/>
      <c r="E10" s="3"/>
      <c r="F10" s="3"/>
      <c r="G10" s="3"/>
      <c r="H10" s="3"/>
      <c r="I10" s="3"/>
    </row>
    <row r="11" spans="1:9" ht="18" customHeight="1" x14ac:dyDescent="0.15">
      <c r="B11" s="18" t="s">
        <v>39</v>
      </c>
      <c r="C11" s="207" t="s">
        <v>161</v>
      </c>
      <c r="D11" s="210"/>
      <c r="E11" s="211"/>
      <c r="F11" s="21"/>
      <c r="G11" s="18" t="s">
        <v>10</v>
      </c>
      <c r="H11" s="207" t="s">
        <v>162</v>
      </c>
      <c r="I11" s="211"/>
    </row>
    <row r="12" spans="1:9" ht="10.15" customHeight="1" x14ac:dyDescent="0.15">
      <c r="B12" s="18"/>
      <c r="C12" s="10"/>
      <c r="D12" s="21"/>
      <c r="E12" s="21"/>
      <c r="F12" s="21"/>
      <c r="G12" s="18"/>
      <c r="H12" s="10"/>
      <c r="I12" s="21"/>
    </row>
    <row r="13" spans="1:9" ht="18" customHeight="1" x14ac:dyDescent="0.15">
      <c r="A13" s="1" t="s">
        <v>7</v>
      </c>
      <c r="B13" s="10" t="s">
        <v>77</v>
      </c>
      <c r="C13" s="3"/>
      <c r="D13" s="3"/>
      <c r="E13" s="3"/>
      <c r="F13" s="3"/>
      <c r="G13" s="3"/>
      <c r="H13" s="3"/>
      <c r="I13" s="3"/>
    </row>
    <row r="14" spans="1:9" ht="18" customHeight="1" x14ac:dyDescent="0.15">
      <c r="B14" s="207" t="s">
        <v>180</v>
      </c>
      <c r="C14" s="208"/>
      <c r="D14" s="208"/>
      <c r="E14" s="208"/>
      <c r="F14" s="208"/>
      <c r="G14" s="208"/>
      <c r="H14" s="208"/>
      <c r="I14" s="209"/>
    </row>
    <row r="15" spans="1:9" ht="9" customHeight="1" x14ac:dyDescent="0.15">
      <c r="B15" s="3"/>
      <c r="C15" s="3"/>
      <c r="D15" s="3"/>
      <c r="E15" s="3"/>
      <c r="F15" s="3"/>
      <c r="G15" s="3"/>
      <c r="H15" s="3"/>
      <c r="I15" s="3"/>
    </row>
    <row r="16" spans="1:9" ht="18" customHeight="1" x14ac:dyDescent="0.15">
      <c r="B16" s="18" t="s">
        <v>39</v>
      </c>
      <c r="C16" s="207" t="s">
        <v>182</v>
      </c>
      <c r="D16" s="210"/>
      <c r="E16" s="211"/>
      <c r="F16" s="21"/>
      <c r="G16" s="18" t="s">
        <v>10</v>
      </c>
      <c r="H16" s="207" t="s">
        <v>183</v>
      </c>
      <c r="I16" s="211"/>
    </row>
    <row r="17" spans="1:9" ht="18" customHeight="1" x14ac:dyDescent="0.15">
      <c r="B17" s="3"/>
      <c r="C17" s="3"/>
      <c r="D17" s="3"/>
      <c r="E17" s="3"/>
      <c r="F17" s="3"/>
      <c r="G17" s="3"/>
      <c r="H17" s="3"/>
      <c r="I17" s="3"/>
    </row>
    <row r="18" spans="1:9" ht="18.75" customHeight="1" x14ac:dyDescent="0.15">
      <c r="A18" s="1" t="s">
        <v>5</v>
      </c>
      <c r="B18" s="1" t="s">
        <v>38</v>
      </c>
      <c r="I18" s="3"/>
    </row>
    <row r="19" spans="1:9" ht="18.75" customHeight="1" x14ac:dyDescent="0.15">
      <c r="A19" s="1"/>
      <c r="B19" s="193" t="s">
        <v>181</v>
      </c>
      <c r="C19" s="194"/>
      <c r="D19" s="194"/>
      <c r="E19" s="194"/>
      <c r="F19" s="194"/>
      <c r="G19" s="194"/>
      <c r="H19" s="194"/>
      <c r="I19" s="195"/>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96" t="s">
        <v>184</v>
      </c>
      <c r="C22" s="197"/>
      <c r="D22" s="197"/>
      <c r="E22" s="197"/>
      <c r="F22" s="197"/>
      <c r="G22" s="197"/>
      <c r="H22" s="197"/>
      <c r="I22" s="198"/>
    </row>
    <row r="23" spans="1:9" ht="18.75" customHeight="1" x14ac:dyDescent="0.15">
      <c r="A23" s="14"/>
      <c r="B23" s="199"/>
      <c r="C23" s="200"/>
      <c r="D23" s="200"/>
      <c r="E23" s="200"/>
      <c r="F23" s="200"/>
      <c r="G23" s="200"/>
      <c r="H23" s="200"/>
      <c r="I23" s="201"/>
    </row>
    <row r="24" spans="1:9" ht="18.75" customHeight="1" x14ac:dyDescent="0.15">
      <c r="A24" s="14"/>
      <c r="B24" s="199"/>
      <c r="C24" s="200"/>
      <c r="D24" s="200"/>
      <c r="E24" s="200"/>
      <c r="F24" s="200"/>
      <c r="G24" s="200"/>
      <c r="H24" s="200"/>
      <c r="I24" s="201"/>
    </row>
    <row r="25" spans="1:9" ht="18.75" customHeight="1" x14ac:dyDescent="0.15">
      <c r="A25" s="14"/>
      <c r="B25" s="199"/>
      <c r="C25" s="200"/>
      <c r="D25" s="200"/>
      <c r="E25" s="200"/>
      <c r="F25" s="200"/>
      <c r="G25" s="200"/>
      <c r="H25" s="200"/>
      <c r="I25" s="201"/>
    </row>
    <row r="26" spans="1:9" ht="18.75" customHeight="1" x14ac:dyDescent="0.15">
      <c r="A26" s="14"/>
      <c r="B26" s="199"/>
      <c r="C26" s="200"/>
      <c r="D26" s="200"/>
      <c r="E26" s="200"/>
      <c r="F26" s="200"/>
      <c r="G26" s="200"/>
      <c r="H26" s="200"/>
      <c r="I26" s="201"/>
    </row>
    <row r="27" spans="1:9" ht="18.75" customHeight="1" x14ac:dyDescent="0.15">
      <c r="A27" s="14"/>
      <c r="B27" s="199"/>
      <c r="C27" s="200"/>
      <c r="D27" s="200"/>
      <c r="E27" s="200"/>
      <c r="F27" s="200"/>
      <c r="G27" s="200"/>
      <c r="H27" s="200"/>
      <c r="I27" s="201"/>
    </row>
    <row r="28" spans="1:9" ht="18.75" customHeight="1" x14ac:dyDescent="0.15">
      <c r="A28" s="14"/>
      <c r="B28" s="199"/>
      <c r="C28" s="200"/>
      <c r="D28" s="200"/>
      <c r="E28" s="200"/>
      <c r="F28" s="200"/>
      <c r="G28" s="200"/>
      <c r="H28" s="200"/>
      <c r="I28" s="201"/>
    </row>
    <row r="29" spans="1:9" ht="18.75" customHeight="1" x14ac:dyDescent="0.15">
      <c r="A29" s="14"/>
      <c r="B29" s="199"/>
      <c r="C29" s="200"/>
      <c r="D29" s="200"/>
      <c r="E29" s="200"/>
      <c r="F29" s="200"/>
      <c r="G29" s="200"/>
      <c r="H29" s="200"/>
      <c r="I29" s="201"/>
    </row>
    <row r="30" spans="1:9" ht="18.75" customHeight="1" x14ac:dyDescent="0.15">
      <c r="A30" s="14"/>
      <c r="B30" s="202"/>
      <c r="C30" s="203"/>
      <c r="D30" s="203"/>
      <c r="E30" s="203"/>
      <c r="F30" s="203"/>
      <c r="G30" s="203"/>
      <c r="H30" s="203"/>
      <c r="I30" s="201"/>
    </row>
    <row r="31" spans="1:9" ht="18.75" customHeight="1" x14ac:dyDescent="0.15">
      <c r="A31" s="14"/>
      <c r="B31" s="202"/>
      <c r="C31" s="203"/>
      <c r="D31" s="203"/>
      <c r="E31" s="203"/>
      <c r="F31" s="203"/>
      <c r="G31" s="203"/>
      <c r="H31" s="203"/>
      <c r="I31" s="201"/>
    </row>
    <row r="32" spans="1:9" ht="18.75" customHeight="1" x14ac:dyDescent="0.15">
      <c r="A32" s="14"/>
      <c r="B32" s="204"/>
      <c r="C32" s="205"/>
      <c r="D32" s="205"/>
      <c r="E32" s="205"/>
      <c r="F32" s="205"/>
      <c r="G32" s="205"/>
      <c r="H32" s="205"/>
      <c r="I32" s="20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6" t="s">
        <v>185</v>
      </c>
      <c r="C35" s="197"/>
      <c r="D35" s="197"/>
      <c r="E35" s="197"/>
      <c r="F35" s="197"/>
      <c r="G35" s="197"/>
      <c r="H35" s="197"/>
      <c r="I35" s="198"/>
    </row>
    <row r="36" spans="1:9" ht="18.75" customHeight="1" x14ac:dyDescent="0.15">
      <c r="A36" s="14"/>
      <c r="B36" s="202"/>
      <c r="C36" s="203"/>
      <c r="D36" s="203"/>
      <c r="E36" s="203"/>
      <c r="F36" s="203"/>
      <c r="G36" s="203"/>
      <c r="H36" s="203"/>
      <c r="I36" s="201"/>
    </row>
    <row r="37" spans="1:9" ht="18.75" customHeight="1" x14ac:dyDescent="0.15">
      <c r="A37" s="14"/>
      <c r="B37" s="202"/>
      <c r="C37" s="203"/>
      <c r="D37" s="203"/>
      <c r="E37" s="203"/>
      <c r="F37" s="203"/>
      <c r="G37" s="203"/>
      <c r="H37" s="203"/>
      <c r="I37" s="201"/>
    </row>
    <row r="38" spans="1:9" ht="18.75" customHeight="1" x14ac:dyDescent="0.15">
      <c r="A38" s="14"/>
      <c r="B38" s="202"/>
      <c r="C38" s="203"/>
      <c r="D38" s="203"/>
      <c r="E38" s="203"/>
      <c r="F38" s="203"/>
      <c r="G38" s="203"/>
      <c r="H38" s="203"/>
      <c r="I38" s="201"/>
    </row>
    <row r="39" spans="1:9" ht="18.75" customHeight="1" x14ac:dyDescent="0.15">
      <c r="A39" s="14"/>
      <c r="B39" s="202"/>
      <c r="C39" s="203"/>
      <c r="D39" s="203"/>
      <c r="E39" s="203"/>
      <c r="F39" s="203"/>
      <c r="G39" s="203"/>
      <c r="H39" s="203"/>
      <c r="I39" s="201"/>
    </row>
    <row r="40" spans="1:9" ht="18.75" customHeight="1" x14ac:dyDescent="0.15">
      <c r="A40" s="14"/>
      <c r="B40" s="202"/>
      <c r="C40" s="203"/>
      <c r="D40" s="203"/>
      <c r="E40" s="203"/>
      <c r="F40" s="203"/>
      <c r="G40" s="203"/>
      <c r="H40" s="203"/>
      <c r="I40" s="201"/>
    </row>
    <row r="41" spans="1:9" ht="18.75" customHeight="1" x14ac:dyDescent="0.15">
      <c r="A41" s="14"/>
      <c r="B41" s="202"/>
      <c r="C41" s="203"/>
      <c r="D41" s="203"/>
      <c r="E41" s="203"/>
      <c r="F41" s="203"/>
      <c r="G41" s="203"/>
      <c r="H41" s="203"/>
      <c r="I41" s="201"/>
    </row>
    <row r="42" spans="1:9" ht="18.75" customHeight="1" x14ac:dyDescent="0.15">
      <c r="A42" s="14"/>
      <c r="B42" s="202"/>
      <c r="C42" s="203"/>
      <c r="D42" s="203"/>
      <c r="E42" s="203"/>
      <c r="F42" s="203"/>
      <c r="G42" s="203"/>
      <c r="H42" s="203"/>
      <c r="I42" s="201"/>
    </row>
    <row r="43" spans="1:9" ht="18.75" customHeight="1" x14ac:dyDescent="0.15">
      <c r="A43" s="14"/>
      <c r="B43" s="202"/>
      <c r="C43" s="203"/>
      <c r="D43" s="203"/>
      <c r="E43" s="203"/>
      <c r="F43" s="203"/>
      <c r="G43" s="203"/>
      <c r="H43" s="203"/>
      <c r="I43" s="201"/>
    </row>
    <row r="44" spans="1:9" ht="18.75" customHeight="1" x14ac:dyDescent="0.15">
      <c r="A44" s="14"/>
      <c r="B44" s="202"/>
      <c r="C44" s="203"/>
      <c r="D44" s="203"/>
      <c r="E44" s="203"/>
      <c r="F44" s="203"/>
      <c r="G44" s="203"/>
      <c r="H44" s="203"/>
      <c r="I44" s="201"/>
    </row>
    <row r="45" spans="1:9" ht="18.75" customHeight="1" x14ac:dyDescent="0.15">
      <c r="A45" s="14"/>
      <c r="B45" s="202"/>
      <c r="C45" s="203"/>
      <c r="D45" s="203"/>
      <c r="E45" s="203"/>
      <c r="F45" s="203"/>
      <c r="G45" s="203"/>
      <c r="H45" s="203"/>
      <c r="I45" s="201"/>
    </row>
    <row r="46" spans="1:9" ht="18.75" customHeight="1" x14ac:dyDescent="0.15">
      <c r="A46" s="14"/>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30</v>
      </c>
      <c r="B48" s="1" t="s">
        <v>103</v>
      </c>
    </row>
    <row r="49" spans="1:15" s="3" customFormat="1" ht="18.75" customHeight="1" x14ac:dyDescent="0.15">
      <c r="B49" s="81" t="s">
        <v>127</v>
      </c>
      <c r="C49" s="182">
        <f>'様式２ 履修者等数の実績'!S33</f>
        <v>2.2105263157894735E-2</v>
      </c>
      <c r="D49" s="182"/>
      <c r="E49" s="81" t="s">
        <v>58</v>
      </c>
      <c r="F49" s="182">
        <v>0.25</v>
      </c>
      <c r="G49" s="182"/>
      <c r="H49" s="81" t="s">
        <v>78</v>
      </c>
      <c r="I49" s="22">
        <v>0.5</v>
      </c>
      <c r="J49" s="1"/>
      <c r="M49" s="1"/>
      <c r="N49" s="23"/>
    </row>
    <row r="50" spans="1:15" s="3" customFormat="1" ht="18.75" customHeight="1" x14ac:dyDescent="0.15">
      <c r="B50" s="82" t="s">
        <v>114</v>
      </c>
      <c r="C50" s="165">
        <v>0.75</v>
      </c>
      <c r="D50" s="165"/>
      <c r="E50" s="82" t="s">
        <v>128</v>
      </c>
      <c r="F50" s="165">
        <v>1</v>
      </c>
      <c r="G50" s="165"/>
      <c r="H50" s="82" t="s">
        <v>59</v>
      </c>
      <c r="I50" s="24">
        <f>'様式２ 履修者等数の実績'!E33</f>
        <v>950</v>
      </c>
      <c r="J50" s="1"/>
      <c r="M50" s="1"/>
      <c r="N50" s="23"/>
    </row>
    <row r="51" spans="1:15" ht="18.75" customHeight="1" x14ac:dyDescent="0.15">
      <c r="A51" s="1"/>
      <c r="B51" s="214" t="s">
        <v>60</v>
      </c>
      <c r="C51" s="215"/>
      <c r="D51" s="215"/>
      <c r="E51" s="215"/>
      <c r="F51" s="215"/>
      <c r="G51" s="215"/>
      <c r="H51" s="215"/>
      <c r="I51" s="216"/>
      <c r="N51" s="23"/>
      <c r="O51" s="3"/>
    </row>
    <row r="52" spans="1:15" ht="18.75" customHeight="1" x14ac:dyDescent="0.15">
      <c r="A52" s="1"/>
      <c r="B52" s="183" t="s">
        <v>172</v>
      </c>
      <c r="C52" s="184"/>
      <c r="D52" s="184"/>
      <c r="E52" s="184"/>
      <c r="F52" s="184"/>
      <c r="G52" s="184"/>
      <c r="H52" s="184"/>
      <c r="I52" s="185"/>
      <c r="N52" s="23"/>
      <c r="O52" s="3"/>
    </row>
    <row r="53" spans="1:15" ht="18.75" customHeight="1" x14ac:dyDescent="0.15">
      <c r="A53" s="1"/>
      <c r="B53" s="186"/>
      <c r="C53" s="187"/>
      <c r="D53" s="187"/>
      <c r="E53" s="187"/>
      <c r="F53" s="187"/>
      <c r="G53" s="187"/>
      <c r="H53" s="187"/>
      <c r="I53" s="188"/>
      <c r="N53" s="23"/>
      <c r="O53" s="3"/>
    </row>
    <row r="54" spans="1:15" ht="18.75" customHeight="1" x14ac:dyDescent="0.15">
      <c r="A54" s="1"/>
      <c r="B54" s="186"/>
      <c r="C54" s="187"/>
      <c r="D54" s="187"/>
      <c r="E54" s="187"/>
      <c r="F54" s="187"/>
      <c r="G54" s="187"/>
      <c r="H54" s="187"/>
      <c r="I54" s="188"/>
    </row>
    <row r="55" spans="1:15" ht="18.75" customHeight="1" x14ac:dyDescent="0.15">
      <c r="A55" s="1"/>
      <c r="B55" s="186"/>
      <c r="C55" s="187"/>
      <c r="D55" s="187"/>
      <c r="E55" s="187"/>
      <c r="F55" s="187"/>
      <c r="G55" s="187"/>
      <c r="H55" s="187"/>
      <c r="I55" s="188"/>
    </row>
    <row r="56" spans="1:15" ht="18.75" customHeight="1" x14ac:dyDescent="0.15">
      <c r="A56" s="1"/>
      <c r="B56" s="186"/>
      <c r="C56" s="187"/>
      <c r="D56" s="187"/>
      <c r="E56" s="187"/>
      <c r="F56" s="187"/>
      <c r="G56" s="187"/>
      <c r="H56" s="187"/>
      <c r="I56" s="188"/>
    </row>
    <row r="57" spans="1:15" ht="18.75" customHeight="1" x14ac:dyDescent="0.15">
      <c r="A57" s="1"/>
      <c r="B57" s="186"/>
      <c r="C57" s="187"/>
      <c r="D57" s="187"/>
      <c r="E57" s="187"/>
      <c r="F57" s="187"/>
      <c r="G57" s="187"/>
      <c r="H57" s="187"/>
      <c r="I57" s="188"/>
    </row>
    <row r="58" spans="1:15" ht="18.75" customHeight="1" x14ac:dyDescent="0.15">
      <c r="A58" s="1"/>
      <c r="B58" s="186"/>
      <c r="C58" s="187"/>
      <c r="D58" s="187"/>
      <c r="E58" s="187"/>
      <c r="F58" s="187"/>
      <c r="G58" s="187"/>
      <c r="H58" s="187"/>
      <c r="I58" s="188"/>
    </row>
    <row r="59" spans="1:15" ht="18.75" customHeight="1" x14ac:dyDescent="0.15">
      <c r="A59" s="1"/>
      <c r="B59" s="186"/>
      <c r="C59" s="187"/>
      <c r="D59" s="187"/>
      <c r="E59" s="187"/>
      <c r="F59" s="187"/>
      <c r="G59" s="187"/>
      <c r="H59" s="187"/>
      <c r="I59" s="188"/>
    </row>
    <row r="60" spans="1:15" ht="18.75" customHeight="1" x14ac:dyDescent="0.15">
      <c r="A60" s="1"/>
      <c r="B60" s="186"/>
      <c r="C60" s="187"/>
      <c r="D60" s="187"/>
      <c r="E60" s="187"/>
      <c r="F60" s="187"/>
      <c r="G60" s="187"/>
      <c r="H60" s="187"/>
      <c r="I60" s="188"/>
    </row>
    <row r="61" spans="1:15" ht="18.75" customHeight="1" x14ac:dyDescent="0.15">
      <c r="A61" s="1"/>
      <c r="B61" s="186"/>
      <c r="C61" s="187"/>
      <c r="D61" s="187"/>
      <c r="E61" s="187"/>
      <c r="F61" s="187"/>
      <c r="G61" s="187"/>
      <c r="H61" s="187"/>
      <c r="I61" s="188"/>
    </row>
    <row r="62" spans="1:15" ht="18.75" customHeight="1" x14ac:dyDescent="0.15">
      <c r="A62" s="1"/>
      <c r="B62" s="186"/>
      <c r="C62" s="187"/>
      <c r="D62" s="187"/>
      <c r="E62" s="187"/>
      <c r="F62" s="187"/>
      <c r="G62" s="187"/>
      <c r="H62" s="187"/>
      <c r="I62" s="188"/>
    </row>
    <row r="63" spans="1:15" ht="18.75" customHeight="1" x14ac:dyDescent="0.15">
      <c r="A63" s="1"/>
      <c r="B63" s="189"/>
      <c r="C63" s="190"/>
      <c r="D63" s="190"/>
      <c r="E63" s="190"/>
      <c r="F63" s="190"/>
      <c r="G63" s="190"/>
      <c r="H63" s="190"/>
      <c r="I63" s="191"/>
    </row>
    <row r="64" spans="1:15" ht="7.5" customHeight="1" x14ac:dyDescent="0.15">
      <c r="A64" s="14"/>
      <c r="B64" s="14"/>
      <c r="C64" s="14"/>
      <c r="D64" s="14"/>
      <c r="E64" s="14"/>
      <c r="F64" s="14"/>
      <c r="G64" s="14"/>
      <c r="H64" s="14"/>
      <c r="I64" s="14"/>
    </row>
    <row r="65" spans="1:9" ht="18.75" customHeight="1" x14ac:dyDescent="0.15">
      <c r="A65" s="15" t="s">
        <v>33</v>
      </c>
      <c r="B65" s="1" t="s">
        <v>163</v>
      </c>
      <c r="I65" s="15"/>
    </row>
    <row r="66" spans="1:9" ht="18.75" customHeight="1" x14ac:dyDescent="0.15">
      <c r="A66" s="4"/>
      <c r="B66" s="166" t="s">
        <v>164</v>
      </c>
      <c r="C66" s="167"/>
      <c r="D66" s="167"/>
      <c r="E66" s="167"/>
      <c r="F66" s="167"/>
      <c r="G66" s="167"/>
      <c r="H66" s="167"/>
      <c r="I66" s="168"/>
    </row>
    <row r="67" spans="1:9" ht="18.75" customHeight="1" x14ac:dyDescent="0.15">
      <c r="A67" s="4"/>
      <c r="B67" s="169"/>
      <c r="C67" s="170"/>
      <c r="D67" s="170"/>
      <c r="E67" s="170"/>
      <c r="F67" s="170"/>
      <c r="G67" s="170"/>
      <c r="H67" s="170"/>
      <c r="I67" s="171"/>
    </row>
    <row r="68" spans="1:9" ht="18.75" customHeight="1" x14ac:dyDescent="0.15">
      <c r="A68" s="4"/>
      <c r="B68" s="169"/>
      <c r="C68" s="170"/>
      <c r="D68" s="170"/>
      <c r="E68" s="170"/>
      <c r="F68" s="170"/>
      <c r="G68" s="170"/>
      <c r="H68" s="170"/>
      <c r="I68" s="171"/>
    </row>
    <row r="69" spans="1:9" ht="18.75" customHeight="1" x14ac:dyDescent="0.15">
      <c r="A69" s="4"/>
      <c r="B69" s="169"/>
      <c r="C69" s="170"/>
      <c r="D69" s="170"/>
      <c r="E69" s="170"/>
      <c r="F69" s="170"/>
      <c r="G69" s="170"/>
      <c r="H69" s="170"/>
      <c r="I69" s="171"/>
    </row>
    <row r="70" spans="1:9" ht="18.75" customHeight="1" x14ac:dyDescent="0.15">
      <c r="A70" s="4"/>
      <c r="B70" s="169"/>
      <c r="C70" s="170"/>
      <c r="D70" s="170"/>
      <c r="E70" s="170"/>
      <c r="F70" s="170"/>
      <c r="G70" s="170"/>
      <c r="H70" s="170"/>
      <c r="I70" s="171"/>
    </row>
    <row r="71" spans="1:9" ht="18.75" customHeight="1" x14ac:dyDescent="0.15">
      <c r="A71" s="4"/>
      <c r="B71" s="169"/>
      <c r="C71" s="170"/>
      <c r="D71" s="170"/>
      <c r="E71" s="170"/>
      <c r="F71" s="170"/>
      <c r="G71" s="170"/>
      <c r="H71" s="170"/>
      <c r="I71" s="171"/>
    </row>
    <row r="72" spans="1:9" ht="18.75" customHeight="1" x14ac:dyDescent="0.15">
      <c r="A72" s="4"/>
      <c r="B72" s="169"/>
      <c r="C72" s="170"/>
      <c r="D72" s="170"/>
      <c r="E72" s="170"/>
      <c r="F72" s="170"/>
      <c r="G72" s="170"/>
      <c r="H72" s="170"/>
      <c r="I72" s="171"/>
    </row>
    <row r="73" spans="1:9" ht="18.75" customHeight="1" x14ac:dyDescent="0.15">
      <c r="A73" s="4"/>
      <c r="B73" s="169"/>
      <c r="C73" s="170"/>
      <c r="D73" s="170"/>
      <c r="E73" s="170"/>
      <c r="F73" s="170"/>
      <c r="G73" s="170"/>
      <c r="H73" s="170"/>
      <c r="I73" s="171"/>
    </row>
    <row r="74" spans="1:9" ht="18.75" customHeight="1" x14ac:dyDescent="0.15">
      <c r="A74" s="4"/>
      <c r="B74" s="169"/>
      <c r="C74" s="170"/>
      <c r="D74" s="170"/>
      <c r="E74" s="170"/>
      <c r="F74" s="170"/>
      <c r="G74" s="170"/>
      <c r="H74" s="170"/>
      <c r="I74" s="171"/>
    </row>
    <row r="75" spans="1:9" ht="18.75" customHeight="1" x14ac:dyDescent="0.15">
      <c r="A75" s="4"/>
      <c r="B75" s="169"/>
      <c r="C75" s="170"/>
      <c r="D75" s="170"/>
      <c r="E75" s="170"/>
      <c r="F75" s="170"/>
      <c r="G75" s="170"/>
      <c r="H75" s="170"/>
      <c r="I75" s="171"/>
    </row>
    <row r="76" spans="1:9" ht="18.75" customHeight="1" x14ac:dyDescent="0.15">
      <c r="A76" s="4"/>
      <c r="B76" s="169"/>
      <c r="C76" s="170"/>
      <c r="D76" s="170"/>
      <c r="E76" s="170"/>
      <c r="F76" s="170"/>
      <c r="G76" s="170"/>
      <c r="H76" s="170"/>
      <c r="I76" s="171"/>
    </row>
    <row r="77" spans="1:9" ht="18.75" customHeight="1" x14ac:dyDescent="0.15">
      <c r="A77" s="4"/>
      <c r="B77" s="172"/>
      <c r="C77" s="173"/>
      <c r="D77" s="173"/>
      <c r="E77" s="173"/>
      <c r="F77" s="173"/>
      <c r="G77" s="173"/>
      <c r="H77" s="173"/>
      <c r="I77" s="174"/>
    </row>
    <row r="78" spans="1:9" ht="7.5" customHeight="1" x14ac:dyDescent="0.15">
      <c r="A78" s="4"/>
      <c r="B78" s="4"/>
      <c r="C78" s="4"/>
      <c r="D78" s="4"/>
      <c r="E78" s="4"/>
      <c r="F78" s="4"/>
      <c r="G78" s="4"/>
      <c r="H78" s="4"/>
      <c r="I78" s="4"/>
    </row>
    <row r="79" spans="1:9" ht="18.75" customHeight="1" x14ac:dyDescent="0.15">
      <c r="A79" s="1" t="s">
        <v>11</v>
      </c>
      <c r="B79" s="1" t="s">
        <v>37</v>
      </c>
    </row>
    <row r="80" spans="1:9" ht="18.75" customHeight="1" x14ac:dyDescent="0.15">
      <c r="A80" s="1"/>
      <c r="B80" s="166" t="s">
        <v>165</v>
      </c>
      <c r="C80" s="167"/>
      <c r="D80" s="167"/>
      <c r="E80" s="167"/>
      <c r="F80" s="167"/>
      <c r="G80" s="167"/>
      <c r="H80" s="167"/>
      <c r="I80" s="175"/>
    </row>
    <row r="81" spans="1:9" ht="18.75" customHeight="1" x14ac:dyDescent="0.15">
      <c r="A81" s="1"/>
      <c r="B81" s="176"/>
      <c r="C81" s="177"/>
      <c r="D81" s="177"/>
      <c r="E81" s="177"/>
      <c r="F81" s="177"/>
      <c r="G81" s="177"/>
      <c r="H81" s="177"/>
      <c r="I81" s="178"/>
    </row>
    <row r="82" spans="1:9" ht="18.75" customHeight="1" x14ac:dyDescent="0.15">
      <c r="A82" s="1"/>
      <c r="B82" s="176"/>
      <c r="C82" s="177"/>
      <c r="D82" s="177"/>
      <c r="E82" s="177"/>
      <c r="F82" s="177"/>
      <c r="G82" s="177"/>
      <c r="H82" s="177"/>
      <c r="I82" s="178"/>
    </row>
    <row r="83" spans="1:9" ht="18.75" customHeight="1" x14ac:dyDescent="0.15">
      <c r="A83" s="1"/>
      <c r="B83" s="176"/>
      <c r="C83" s="177"/>
      <c r="D83" s="177"/>
      <c r="E83" s="177"/>
      <c r="F83" s="177"/>
      <c r="G83" s="177"/>
      <c r="H83" s="177"/>
      <c r="I83" s="178"/>
    </row>
    <row r="84" spans="1:9" ht="18.75" customHeight="1" x14ac:dyDescent="0.15">
      <c r="A84" s="1"/>
      <c r="B84" s="176"/>
      <c r="C84" s="177"/>
      <c r="D84" s="177"/>
      <c r="E84" s="177"/>
      <c r="F84" s="177"/>
      <c r="G84" s="177"/>
      <c r="H84" s="177"/>
      <c r="I84" s="178"/>
    </row>
    <row r="85" spans="1:9" ht="18.75" customHeight="1" x14ac:dyDescent="0.15">
      <c r="A85" s="1"/>
      <c r="B85" s="176"/>
      <c r="C85" s="177"/>
      <c r="D85" s="177"/>
      <c r="E85" s="177"/>
      <c r="F85" s="177"/>
      <c r="G85" s="177"/>
      <c r="H85" s="177"/>
      <c r="I85" s="178"/>
    </row>
    <row r="86" spans="1:9" ht="18.75" customHeight="1" x14ac:dyDescent="0.15">
      <c r="A86" s="1"/>
      <c r="B86" s="176"/>
      <c r="C86" s="177"/>
      <c r="D86" s="177"/>
      <c r="E86" s="177"/>
      <c r="F86" s="177"/>
      <c r="G86" s="177"/>
      <c r="H86" s="177"/>
      <c r="I86" s="178"/>
    </row>
    <row r="87" spans="1:9" ht="18.75" customHeight="1" x14ac:dyDescent="0.15">
      <c r="A87" s="1"/>
      <c r="B87" s="176"/>
      <c r="C87" s="177"/>
      <c r="D87" s="177"/>
      <c r="E87" s="177"/>
      <c r="F87" s="177"/>
      <c r="G87" s="177"/>
      <c r="H87" s="177"/>
      <c r="I87" s="178"/>
    </row>
    <row r="88" spans="1:9" ht="18.75" customHeight="1" x14ac:dyDescent="0.15">
      <c r="A88" s="1"/>
      <c r="B88" s="176"/>
      <c r="C88" s="177"/>
      <c r="D88" s="177"/>
      <c r="E88" s="177"/>
      <c r="F88" s="177"/>
      <c r="G88" s="177"/>
      <c r="H88" s="177"/>
      <c r="I88" s="178"/>
    </row>
    <row r="89" spans="1:9" ht="18.75" customHeight="1" x14ac:dyDescent="0.15">
      <c r="A89" s="1"/>
      <c r="B89" s="176"/>
      <c r="C89" s="177"/>
      <c r="D89" s="177"/>
      <c r="E89" s="177"/>
      <c r="F89" s="177"/>
      <c r="G89" s="177"/>
      <c r="H89" s="177"/>
      <c r="I89" s="178"/>
    </row>
    <row r="90" spans="1:9" ht="18.75" customHeight="1" x14ac:dyDescent="0.15">
      <c r="A90" s="4"/>
      <c r="B90" s="176"/>
      <c r="C90" s="177"/>
      <c r="D90" s="177"/>
      <c r="E90" s="177"/>
      <c r="F90" s="177"/>
      <c r="G90" s="177"/>
      <c r="H90" s="177"/>
      <c r="I90" s="178"/>
    </row>
    <row r="91" spans="1:9" ht="18.75" customHeight="1" x14ac:dyDescent="0.15">
      <c r="A91" s="4"/>
      <c r="B91" s="179"/>
      <c r="C91" s="180"/>
      <c r="D91" s="180"/>
      <c r="E91" s="180"/>
      <c r="F91" s="180"/>
      <c r="G91" s="180"/>
      <c r="H91" s="180"/>
      <c r="I91" s="181"/>
    </row>
    <row r="92" spans="1:9" ht="7.5" customHeight="1" x14ac:dyDescent="0.15">
      <c r="A92" s="4"/>
      <c r="B92" s="4"/>
      <c r="C92" s="4"/>
      <c r="D92" s="4"/>
      <c r="E92" s="4"/>
      <c r="F92" s="4"/>
      <c r="G92" s="4"/>
      <c r="H92" s="4"/>
      <c r="I92" s="4"/>
    </row>
    <row r="93" spans="1:9" ht="18.75" customHeight="1" x14ac:dyDescent="0.15">
      <c r="A93" s="1" t="s">
        <v>40</v>
      </c>
      <c r="B93" s="1" t="s">
        <v>166</v>
      </c>
    </row>
    <row r="94" spans="1:9" ht="18.75" customHeight="1" x14ac:dyDescent="0.15">
      <c r="A94" s="1"/>
      <c r="B94" s="196" t="s">
        <v>167</v>
      </c>
      <c r="C94" s="197"/>
      <c r="D94" s="197"/>
      <c r="E94" s="197"/>
      <c r="F94" s="197"/>
      <c r="G94" s="197"/>
      <c r="H94" s="197"/>
      <c r="I94" s="198"/>
    </row>
    <row r="95" spans="1:9" ht="18.75" customHeight="1" x14ac:dyDescent="0.15">
      <c r="A95" s="1"/>
      <c r="B95" s="202"/>
      <c r="C95" s="203"/>
      <c r="D95" s="203"/>
      <c r="E95" s="203"/>
      <c r="F95" s="203"/>
      <c r="G95" s="203"/>
      <c r="H95" s="203"/>
      <c r="I95" s="201"/>
    </row>
    <row r="96" spans="1:9" ht="18.75" customHeight="1" x14ac:dyDescent="0.15">
      <c r="A96" s="1"/>
      <c r="B96" s="202"/>
      <c r="C96" s="203"/>
      <c r="D96" s="203"/>
      <c r="E96" s="203"/>
      <c r="F96" s="203"/>
      <c r="G96" s="203"/>
      <c r="H96" s="203"/>
      <c r="I96" s="201"/>
    </row>
    <row r="97" spans="1:9" ht="18.75" customHeight="1" x14ac:dyDescent="0.15">
      <c r="A97" s="1"/>
      <c r="B97" s="202"/>
      <c r="C97" s="203"/>
      <c r="D97" s="203"/>
      <c r="E97" s="203"/>
      <c r="F97" s="203"/>
      <c r="G97" s="203"/>
      <c r="H97" s="203"/>
      <c r="I97" s="201"/>
    </row>
    <row r="98" spans="1:9" ht="18.75" customHeight="1" x14ac:dyDescent="0.15">
      <c r="A98" s="1"/>
      <c r="B98" s="202"/>
      <c r="C98" s="203"/>
      <c r="D98" s="203"/>
      <c r="E98" s="203"/>
      <c r="F98" s="203"/>
      <c r="G98" s="203"/>
      <c r="H98" s="203"/>
      <c r="I98" s="201"/>
    </row>
    <row r="99" spans="1:9" ht="18.75" customHeight="1" x14ac:dyDescent="0.15">
      <c r="A99" s="1"/>
      <c r="B99" s="202"/>
      <c r="C99" s="203"/>
      <c r="D99" s="203"/>
      <c r="E99" s="203"/>
      <c r="F99" s="203"/>
      <c r="G99" s="203"/>
      <c r="H99" s="203"/>
      <c r="I99" s="201"/>
    </row>
    <row r="100" spans="1:9" ht="18.75" customHeight="1" x14ac:dyDescent="0.15">
      <c r="A100" s="1"/>
      <c r="B100" s="202"/>
      <c r="C100" s="203"/>
      <c r="D100" s="203"/>
      <c r="E100" s="203"/>
      <c r="F100" s="203"/>
      <c r="G100" s="203"/>
      <c r="H100" s="203"/>
      <c r="I100" s="201"/>
    </row>
    <row r="101" spans="1:9" ht="18.75" customHeight="1" x14ac:dyDescent="0.15">
      <c r="A101" s="1"/>
      <c r="B101" s="202"/>
      <c r="C101" s="203"/>
      <c r="D101" s="203"/>
      <c r="E101" s="203"/>
      <c r="F101" s="203"/>
      <c r="G101" s="203"/>
      <c r="H101" s="203"/>
      <c r="I101" s="201"/>
    </row>
    <row r="102" spans="1:9" ht="18.75" customHeight="1" x14ac:dyDescent="0.15">
      <c r="A102" s="1"/>
      <c r="B102" s="202"/>
      <c r="C102" s="203"/>
      <c r="D102" s="203"/>
      <c r="E102" s="203"/>
      <c r="F102" s="203"/>
      <c r="G102" s="203"/>
      <c r="H102" s="203"/>
      <c r="I102" s="201"/>
    </row>
    <row r="103" spans="1:9" ht="18.75" customHeight="1" x14ac:dyDescent="0.15">
      <c r="A103" s="1"/>
      <c r="B103" s="202"/>
      <c r="C103" s="203"/>
      <c r="D103" s="203"/>
      <c r="E103" s="203"/>
      <c r="F103" s="203"/>
      <c r="G103" s="203"/>
      <c r="H103" s="203"/>
      <c r="I103" s="201"/>
    </row>
    <row r="104" spans="1:9" ht="18.75" customHeight="1" x14ac:dyDescent="0.15">
      <c r="A104" s="1"/>
      <c r="B104" s="202"/>
      <c r="C104" s="203"/>
      <c r="D104" s="203"/>
      <c r="E104" s="203"/>
      <c r="F104" s="203"/>
      <c r="G104" s="203"/>
      <c r="H104" s="203"/>
      <c r="I104" s="201"/>
    </row>
    <row r="105" spans="1:9" ht="18.75" customHeight="1" x14ac:dyDescent="0.15">
      <c r="A105" s="4"/>
      <c r="B105" s="204"/>
      <c r="C105" s="205"/>
      <c r="D105" s="205"/>
      <c r="E105" s="205"/>
      <c r="F105" s="205"/>
      <c r="G105" s="205"/>
      <c r="H105" s="205"/>
      <c r="I105" s="206"/>
    </row>
    <row r="106" spans="1:9" ht="7.5" customHeight="1" x14ac:dyDescent="0.15">
      <c r="A106" s="4"/>
      <c r="B106" s="4"/>
      <c r="C106" s="4"/>
      <c r="D106" s="4"/>
      <c r="E106" s="4"/>
      <c r="F106" s="4"/>
      <c r="G106" s="4"/>
      <c r="H106" s="4"/>
      <c r="I106" s="4"/>
    </row>
    <row r="107" spans="1:9" ht="18.75" customHeight="1" x14ac:dyDescent="0.15">
      <c r="A107" s="1" t="s">
        <v>29</v>
      </c>
      <c r="B107" s="213" t="s">
        <v>42</v>
      </c>
      <c r="C107" s="213"/>
      <c r="D107" s="213"/>
      <c r="E107" s="213"/>
      <c r="F107" s="213"/>
      <c r="G107" s="213"/>
      <c r="H107" s="213"/>
      <c r="I107" s="213"/>
    </row>
    <row r="108" spans="1:9" ht="18.75" customHeight="1" x14ac:dyDescent="0.15">
      <c r="A108" s="4"/>
      <c r="B108" s="196" t="s">
        <v>168</v>
      </c>
      <c r="C108" s="197"/>
      <c r="D108" s="197"/>
      <c r="E108" s="197"/>
      <c r="F108" s="197"/>
      <c r="G108" s="197"/>
      <c r="H108" s="197"/>
      <c r="I108" s="198"/>
    </row>
    <row r="109" spans="1:9" ht="18.75" customHeight="1" x14ac:dyDescent="0.15">
      <c r="A109" s="4"/>
      <c r="B109" s="202"/>
      <c r="C109" s="203"/>
      <c r="D109" s="203"/>
      <c r="E109" s="203"/>
      <c r="F109" s="203"/>
      <c r="G109" s="203"/>
      <c r="H109" s="203"/>
      <c r="I109" s="201"/>
    </row>
    <row r="110" spans="1:9" ht="18.75" customHeight="1" x14ac:dyDescent="0.15">
      <c r="A110" s="4"/>
      <c r="B110" s="202"/>
      <c r="C110" s="203"/>
      <c r="D110" s="203"/>
      <c r="E110" s="203"/>
      <c r="F110" s="203"/>
      <c r="G110" s="203"/>
      <c r="H110" s="203"/>
      <c r="I110" s="201"/>
    </row>
    <row r="111" spans="1:9" ht="18.75" customHeight="1" x14ac:dyDescent="0.15">
      <c r="A111" s="4"/>
      <c r="B111" s="202"/>
      <c r="C111" s="203"/>
      <c r="D111" s="203"/>
      <c r="E111" s="203"/>
      <c r="F111" s="203"/>
      <c r="G111" s="203"/>
      <c r="H111" s="203"/>
      <c r="I111" s="201"/>
    </row>
    <row r="112" spans="1:9" ht="18.75" customHeight="1" x14ac:dyDescent="0.15">
      <c r="A112" s="4"/>
      <c r="B112" s="202"/>
      <c r="C112" s="203"/>
      <c r="D112" s="203"/>
      <c r="E112" s="203"/>
      <c r="F112" s="203"/>
      <c r="G112" s="203"/>
      <c r="H112" s="203"/>
      <c r="I112" s="201"/>
    </row>
    <row r="113" spans="1:9" ht="18.75" customHeight="1" x14ac:dyDescent="0.15">
      <c r="A113" s="4"/>
      <c r="B113" s="202"/>
      <c r="C113" s="203"/>
      <c r="D113" s="203"/>
      <c r="E113" s="203"/>
      <c r="F113" s="203"/>
      <c r="G113" s="203"/>
      <c r="H113" s="203"/>
      <c r="I113" s="201"/>
    </row>
    <row r="114" spans="1:9" ht="18.75" customHeight="1" x14ac:dyDescent="0.15">
      <c r="A114" s="4"/>
      <c r="B114" s="202"/>
      <c r="C114" s="203"/>
      <c r="D114" s="203"/>
      <c r="E114" s="203"/>
      <c r="F114" s="203"/>
      <c r="G114" s="203"/>
      <c r="H114" s="203"/>
      <c r="I114" s="201"/>
    </row>
    <row r="115" spans="1:9" ht="18.75" customHeight="1" x14ac:dyDescent="0.15">
      <c r="A115" s="4"/>
      <c r="B115" s="202"/>
      <c r="C115" s="203"/>
      <c r="D115" s="203"/>
      <c r="E115" s="203"/>
      <c r="F115" s="203"/>
      <c r="G115" s="203"/>
      <c r="H115" s="203"/>
      <c r="I115" s="201"/>
    </row>
    <row r="116" spans="1:9" ht="18.75" customHeight="1" x14ac:dyDescent="0.15">
      <c r="A116" s="4"/>
      <c r="B116" s="202"/>
      <c r="C116" s="203"/>
      <c r="D116" s="203"/>
      <c r="E116" s="203"/>
      <c r="F116" s="203"/>
      <c r="G116" s="203"/>
      <c r="H116" s="203"/>
      <c r="I116" s="201"/>
    </row>
    <row r="117" spans="1:9" ht="18.75" customHeight="1" x14ac:dyDescent="0.15">
      <c r="A117" s="4"/>
      <c r="B117" s="202"/>
      <c r="C117" s="203"/>
      <c r="D117" s="203"/>
      <c r="E117" s="203"/>
      <c r="F117" s="203"/>
      <c r="G117" s="203"/>
      <c r="H117" s="203"/>
      <c r="I117" s="201"/>
    </row>
    <row r="118" spans="1:9" ht="18.75" customHeight="1" x14ac:dyDescent="0.15">
      <c r="A118" s="4"/>
      <c r="B118" s="202"/>
      <c r="C118" s="203"/>
      <c r="D118" s="203"/>
      <c r="E118" s="203"/>
      <c r="F118" s="203"/>
      <c r="G118" s="203"/>
      <c r="H118" s="203"/>
      <c r="I118" s="201"/>
    </row>
    <row r="119" spans="1:9" ht="18.75" customHeight="1" x14ac:dyDescent="0.15">
      <c r="A119" s="4"/>
      <c r="B119" s="204"/>
      <c r="C119" s="205"/>
      <c r="D119" s="205"/>
      <c r="E119" s="205"/>
      <c r="F119" s="205"/>
      <c r="G119" s="205"/>
      <c r="H119" s="205"/>
      <c r="I119" s="206"/>
    </row>
    <row r="120" spans="1:9" ht="7.5" customHeight="1" x14ac:dyDescent="0.15">
      <c r="A120" s="4"/>
      <c r="B120" s="25"/>
      <c r="C120" s="25"/>
      <c r="D120" s="25"/>
      <c r="E120" s="25"/>
      <c r="F120" s="25"/>
      <c r="G120" s="25"/>
      <c r="H120" s="25"/>
      <c r="I120" s="25"/>
    </row>
    <row r="121" spans="1:9" ht="18.75" customHeight="1" x14ac:dyDescent="0.15">
      <c r="A121" s="51"/>
      <c r="B121" s="192"/>
      <c r="C121" s="192"/>
      <c r="D121" s="192"/>
      <c r="E121" s="192"/>
      <c r="F121" s="192"/>
      <c r="G121" s="192"/>
      <c r="H121" s="192"/>
      <c r="I121" s="192"/>
    </row>
    <row r="122" spans="1:9" ht="18.75" customHeight="1" x14ac:dyDescent="0.15">
      <c r="A122" s="51"/>
      <c r="B122" s="192"/>
      <c r="C122" s="192"/>
      <c r="D122" s="192"/>
      <c r="E122" s="192"/>
      <c r="F122" s="192"/>
      <c r="G122" s="192"/>
      <c r="H122" s="192"/>
      <c r="I122" s="192"/>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61</v>
      </c>
      <c r="I1" s="18" t="s">
        <v>88</v>
      </c>
    </row>
    <row r="2" spans="1:9" ht="18.75" customHeight="1" x14ac:dyDescent="0.15">
      <c r="H2" s="18" t="s">
        <v>91</v>
      </c>
      <c r="I2" s="17" t="str">
        <f>'様式１　プログラムを構成する授業科目'!C2</f>
        <v>新潟青陵大学</v>
      </c>
    </row>
    <row r="3" spans="1:9" ht="18.75" customHeight="1" x14ac:dyDescent="0.15">
      <c r="A3" s="122" t="s">
        <v>27</v>
      </c>
      <c r="B3" s="122"/>
      <c r="C3" s="122"/>
      <c r="D3" s="122"/>
      <c r="E3" s="122"/>
      <c r="F3" s="122"/>
      <c r="G3" s="122"/>
      <c r="H3" s="122"/>
      <c r="I3" s="122"/>
    </row>
    <row r="4" spans="1:9" ht="18.75" customHeight="1" x14ac:dyDescent="0.15">
      <c r="A4" s="5"/>
      <c r="B4" s="5"/>
      <c r="C4" s="5"/>
      <c r="D4" s="5"/>
      <c r="E4" s="5"/>
      <c r="F4" s="5"/>
      <c r="G4" s="5"/>
      <c r="H4" s="5"/>
      <c r="I4" s="5"/>
    </row>
    <row r="5" spans="1:9" ht="18.75" customHeight="1" x14ac:dyDescent="0.15">
      <c r="A5" s="1" t="s">
        <v>0</v>
      </c>
      <c r="B5" s="10" t="s">
        <v>83</v>
      </c>
      <c r="C5" s="5"/>
      <c r="D5" s="5"/>
      <c r="E5" s="5"/>
      <c r="F5" s="5"/>
      <c r="G5" s="5"/>
      <c r="H5" s="5"/>
      <c r="I5" s="5"/>
    </row>
    <row r="6" spans="1:9" ht="26.25" customHeight="1" x14ac:dyDescent="0.15">
      <c r="A6" s="5"/>
      <c r="B6" s="207" t="s">
        <v>186</v>
      </c>
      <c r="C6" s="239"/>
      <c r="D6" s="239"/>
      <c r="E6" s="239"/>
      <c r="F6" s="239"/>
      <c r="G6" s="239"/>
      <c r="H6" s="240"/>
      <c r="I6" s="3"/>
    </row>
    <row r="7" spans="1:9" ht="9" customHeight="1" x14ac:dyDescent="0.15">
      <c r="A7" s="5"/>
      <c r="B7" s="10"/>
      <c r="C7" s="10"/>
      <c r="D7" s="10"/>
      <c r="E7" s="10"/>
      <c r="F7" s="10"/>
      <c r="G7" s="10"/>
      <c r="H7" s="10"/>
      <c r="I7" s="3"/>
    </row>
    <row r="8" spans="1:9" ht="18.75" customHeight="1" x14ac:dyDescent="0.15">
      <c r="A8" s="5"/>
      <c r="B8" s="3"/>
      <c r="C8" s="3"/>
      <c r="D8" s="18" t="s">
        <v>39</v>
      </c>
      <c r="E8" s="19" t="s">
        <v>182</v>
      </c>
      <c r="F8" s="3"/>
      <c r="G8" s="18" t="s">
        <v>10</v>
      </c>
      <c r="H8" s="19" t="s">
        <v>183</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0" t="s">
        <v>23</v>
      </c>
      <c r="C11" s="91"/>
      <c r="D11" s="92"/>
      <c r="E11" s="91" t="s">
        <v>25</v>
      </c>
      <c r="F11" s="91"/>
      <c r="G11" s="91"/>
      <c r="H11" s="91"/>
      <c r="I11" s="92"/>
    </row>
    <row r="12" spans="1:9" ht="26.25" customHeight="1" x14ac:dyDescent="0.15">
      <c r="B12" s="26" t="s">
        <v>13</v>
      </c>
      <c r="C12" s="33"/>
      <c r="D12" s="27"/>
      <c r="E12" s="34"/>
      <c r="F12" s="34"/>
      <c r="G12" s="34"/>
      <c r="H12" s="34"/>
      <c r="I12" s="27"/>
    </row>
    <row r="13" spans="1:9" ht="210.75" customHeight="1" x14ac:dyDescent="0.15">
      <c r="B13" s="28"/>
      <c r="C13" s="222" t="s">
        <v>14</v>
      </c>
      <c r="D13" s="223"/>
      <c r="E13" s="235" t="s">
        <v>187</v>
      </c>
      <c r="F13" s="224"/>
      <c r="G13" s="224"/>
      <c r="H13" s="224"/>
      <c r="I13" s="225"/>
    </row>
    <row r="14" spans="1:9" ht="210.75" customHeight="1" x14ac:dyDescent="0.15">
      <c r="B14" s="28"/>
      <c r="C14" s="237" t="s">
        <v>15</v>
      </c>
      <c r="D14" s="238"/>
      <c r="E14" s="235" t="s">
        <v>169</v>
      </c>
      <c r="F14" s="224"/>
      <c r="G14" s="224"/>
      <c r="H14" s="224"/>
      <c r="I14" s="225"/>
    </row>
    <row r="15" spans="1:9" ht="210.75" customHeight="1" x14ac:dyDescent="0.15">
      <c r="B15" s="28"/>
      <c r="C15" s="222" t="s">
        <v>16</v>
      </c>
      <c r="D15" s="223"/>
      <c r="E15" s="235" t="s">
        <v>170</v>
      </c>
      <c r="F15" s="224"/>
      <c r="G15" s="224"/>
      <c r="H15" s="224"/>
      <c r="I15" s="225"/>
    </row>
    <row r="16" spans="1:9" ht="210.75" customHeight="1" x14ac:dyDescent="0.15">
      <c r="B16" s="28"/>
      <c r="C16" s="222" t="s">
        <v>17</v>
      </c>
      <c r="D16" s="223"/>
      <c r="E16" s="235" t="s">
        <v>171</v>
      </c>
      <c r="F16" s="224"/>
      <c r="G16" s="224"/>
      <c r="H16" s="224"/>
      <c r="I16" s="225"/>
    </row>
    <row r="17" spans="2:9" ht="210.75" customHeight="1" x14ac:dyDescent="0.15">
      <c r="B17" s="29"/>
      <c r="C17" s="226" t="s">
        <v>18</v>
      </c>
      <c r="D17" s="227"/>
      <c r="E17" s="236" t="s">
        <v>173</v>
      </c>
      <c r="F17" s="228"/>
      <c r="G17" s="228"/>
      <c r="H17" s="228"/>
      <c r="I17" s="229"/>
    </row>
    <row r="18" spans="2:9" ht="24" customHeight="1" x14ac:dyDescent="0.15">
      <c r="B18" s="26" t="s">
        <v>19</v>
      </c>
      <c r="C18" s="30"/>
      <c r="D18" s="31"/>
      <c r="E18" s="32"/>
      <c r="F18" s="32"/>
      <c r="G18" s="32"/>
      <c r="H18" s="32"/>
      <c r="I18" s="35"/>
    </row>
    <row r="19" spans="2:9" ht="218.25" customHeight="1" x14ac:dyDescent="0.15">
      <c r="B19" s="28"/>
      <c r="C19" s="222" t="s">
        <v>20</v>
      </c>
      <c r="D19" s="223"/>
      <c r="E19" s="224" t="s">
        <v>174</v>
      </c>
      <c r="F19" s="224"/>
      <c r="G19" s="224"/>
      <c r="H19" s="224"/>
      <c r="I19" s="225"/>
    </row>
    <row r="20" spans="2:9" ht="218.25" customHeight="1" x14ac:dyDescent="0.15">
      <c r="B20" s="29"/>
      <c r="C20" s="226" t="s">
        <v>21</v>
      </c>
      <c r="D20" s="227"/>
      <c r="E20" s="228" t="s">
        <v>175</v>
      </c>
      <c r="F20" s="228"/>
      <c r="G20" s="228"/>
      <c r="H20" s="228"/>
      <c r="I20" s="229"/>
    </row>
    <row r="21" spans="2:9" ht="218.25" customHeight="1" x14ac:dyDescent="0.15">
      <c r="B21" s="230" t="s">
        <v>22</v>
      </c>
      <c r="C21" s="231"/>
      <c r="D21" s="232"/>
      <c r="E21" s="233" t="s">
        <v>176</v>
      </c>
      <c r="F21" s="233"/>
      <c r="G21" s="233"/>
      <c r="H21" s="233"/>
      <c r="I21" s="234"/>
    </row>
    <row r="22" spans="2:9" ht="218.25" customHeight="1" x14ac:dyDescent="0.15">
      <c r="B22" s="217" t="s">
        <v>119</v>
      </c>
      <c r="C22" s="218"/>
      <c r="D22" s="219"/>
      <c r="E22" s="220" t="s">
        <v>177</v>
      </c>
      <c r="F22" s="220"/>
      <c r="G22" s="220"/>
      <c r="H22" s="220"/>
      <c r="I22" s="22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dc:creator>
  <cp:lastModifiedBy>中野　充</cp:lastModifiedBy>
  <cp:lastPrinted>2025-05-04T02:22:37Z</cp:lastPrinted>
  <dcterms:created xsi:type="dcterms:W3CDTF">2011-06-14T05:32:50Z</dcterms:created>
  <dcterms:modified xsi:type="dcterms:W3CDTF">2025-07-05T05:56:53Z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