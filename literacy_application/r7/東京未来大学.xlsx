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defaultThemeVersion="124226"/>
  <mc:AlternateContent xmlns:mc="http://schemas.openxmlformats.org/markup-compatibility/2006">
    <mc:Choice Requires="x15">
      <x15ac:absPath xmlns:x15ac="http://schemas.microsoft.com/office/spreadsheetml/2010/11/ac" url="I:\04）センター等\05.情報教育センター\共有資料等\数理・AI・データサイエンス関連事項\DSAI制度申請書\R7年度（申請年度）\提出物\東京未来大学\01_東京未来大学_リテラシー\"/>
    </mc:Choice>
  </mc:AlternateContent>
  <xr:revisionPtr revIDLastSave="0" documentId="13_ncr:1_{D52F8C3B-98F4-4386-B514-6F489DB44B7E}" xr6:coauthVersionLast="36" xr6:coauthVersionMax="47" xr10:uidLastSave="{00000000-0000-0000-0000-000000000000}"/>
  <bookViews>
    <workbookView xWindow="0" yWindow="0" windowWidth="23040" windowHeight="8964"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externalReferences>
    <externalReference r:id="rId5"/>
  </externalReference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プログラムを構成する授業科目'!$A$1:$U$105</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workbook>
</file>

<file path=xl/calcChain.xml><?xml version="1.0" encoding="utf-8"?>
<calcChain xmlns="http://schemas.openxmlformats.org/spreadsheetml/2006/main">
  <c r="C49" i="41" l="1"/>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D33" i="40"/>
  <c r="S32" i="40"/>
  <c r="S31" i="40"/>
  <c r="S30" i="40"/>
  <c r="S29" i="40"/>
  <c r="S28" i="40"/>
  <c r="S27" i="40"/>
  <c r="S26" i="40"/>
  <c r="S25" i="40"/>
  <c r="S24" i="40"/>
  <c r="S23" i="40"/>
  <c r="S22" i="40"/>
  <c r="S21" i="40"/>
  <c r="S20" i="40"/>
  <c r="S19" i="40"/>
  <c r="S18" i="40"/>
  <c r="S17" i="40"/>
  <c r="S16" i="40"/>
  <c r="S15" i="40"/>
  <c r="S14" i="40"/>
  <c r="R33" i="40" l="1"/>
  <c r="S33" i="40" s="1"/>
</calcChain>
</file>

<file path=xl/sharedStrings.xml><?xml version="1.0" encoding="utf-8"?>
<sst xmlns="http://schemas.openxmlformats.org/spreadsheetml/2006/main" count="280" uniqueCount="186">
  <si>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</si>
  <si>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</si>
  <si>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</si>
  <si>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</si>
  <si>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</si>
  <si>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</si>
  <si>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</si>
  <si>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</si>
  <si>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</si>
  <si>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</si>
  <si>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</si>
  <si>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</si>
  <si>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</si>
  <si>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</si>
  <si>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</si>
  <si>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</si>
  <si>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</si>
  <si>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</si>
  <si>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</si>
  <si>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</si>
  <si>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</si>
  <si>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</si>
  <si>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</si>
  <si>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</si>
  <si>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</si>
  <si>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</si>
  <si>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</si>
  <si>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</si>
  <si>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</si>
  <si>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</si>
  <si>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</si>
  <si>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</si>
  <si>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</si>
  <si>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</si>
  <si>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</si>
  <si>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</si>
  <si>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</si>
  <si>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</si>
  <si>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</si>
  <si>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</si>
  <si>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</si>
  <si>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</si>
  <si>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</si>
  <si>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</si>
  <si>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</si>
  <si>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</si>
  <si>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</si>
  <si>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</si>
  <si>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</si>
  <si>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</si>
  <si>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</si>
  <si>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</si>
  <si>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</si>
  <si>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</si>
  <si>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</si>
  <si>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</si>
  <si>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</si>
  <si>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</si>
  <si>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</si>
  <si>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</si>
  <si>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</si>
  <si>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</si>
  <si>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</si>
  <si>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</si>
  <si>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</si>
  <si>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</si>
  <si>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</si>
  <si>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</si>
  <si>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</si>
  <si>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</si>
  <si>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</si>
  <si>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</si>
  <si>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</si>
  <si>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</si>
  <si>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</si>
  <si>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</si>
  <si>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</si>
  <si>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</si>
  <si>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</si>
  <si>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</si>
  <si>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</si>
  <si>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</si>
  <si>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</si>
  <si>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</si>
  <si>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</si>
  <si>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</si>
  <si>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</si>
  <si>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</si>
  <si>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</si>
  <si>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</si>
  <si>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</si>
  <si>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</si>
  <si>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</si>
  <si>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</si>
  <si>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</si>
  <si>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</si>
  <si>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</si>
  <si>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</si>
  <si>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</si>
  <si>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</si>
  <si>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</si>
  <si>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</si>
  <si>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</si>
  <si>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</si>
  <si>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</si>
  <si>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</si>
  <si>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</si>
  <si>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</si>
  <si>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</si>
  <si>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</si>
  <si>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</si>
  <si>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</si>
  <si>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</si>
  <si>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</si>
  <si>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</si>
  <si>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</si>
  <si>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</si>
  <si>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</si>
  <si>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</si>
  <si>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</si>
  <si>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</si>
  <si>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</si>
  <si>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</si>
  <si>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</si>
  <si>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</si>
  <si>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</si>
  <si>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</si>
  <si>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</si>
  <si>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</si>
  <si>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</si>
  <si>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</si>
  <si>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</si>
  <si>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</si>
  <si>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</si>
  <si>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</si>
  <si>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</si>
  <si>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</si>
  <si>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</si>
  <si>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</si>
  <si>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</si>
  <si>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</si>
  <si>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</si>
  <si>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</si>
  <si>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東京未来大学</t>
    <rPh sb="0" eb="2">
      <t>トウキョウ</t>
    </rPh>
    <rPh sb="2" eb="4">
      <t>ミライ</t>
    </rPh>
    <rPh sb="4" eb="6">
      <t>ダイガク</t>
    </rPh>
    <phoneticPr fontId="1"/>
  </si>
  <si>
    <t>東京未来大学リテラシープログラム</t>
    <rPh sb="0" eb="2">
      <t>トウキョウ</t>
    </rPh>
    <rPh sb="2" eb="4">
      <t>ミライ</t>
    </rPh>
    <rPh sb="4" eb="6">
      <t>ダイガク</t>
    </rPh>
    <phoneticPr fontId="1"/>
  </si>
  <si>
    <t>学部・学科によって、修了要件は相違しない</t>
  </si>
  <si>
    <t>プログラムを構成する授業科目「データサイエンス基礎」（2単位）を修得すること。</t>
    <rPh sb="32" eb="34">
      <t>シュウトク</t>
    </rPh>
    <phoneticPr fontId="1"/>
  </si>
  <si>
    <t>データサイエンス基礎</t>
    <rPh sb="8" eb="10">
      <t>キソ</t>
    </rPh>
    <phoneticPr fontId="1"/>
  </si>
  <si>
    <t>○</t>
  </si>
  <si>
    <t>データサイエンス基礎</t>
    <phoneticPr fontId="1"/>
  </si>
  <si>
    <t xml:space="preserve">・ビッグデータ、IoT、AI、生成AI、ロボット「データサイエンス基礎」(1回目、12回目)
・データ量の増加、計算機の処理性能の向上、AIの非連続的進化「データサイエンス基礎」(1回目、12回目)
・第4次産業革命、Society 5.0、データ駆動型社会「データサイエンス基礎」(1回目)
・複数技術を組み合わせたAIサービス「データサイエンス基礎」(1回目)
・人間の知的活動とAIの関係性「データサイエンス基礎」(1回目)
・データを起点としたものの見方、人間の知的活動を起点としたものの見方「データサイエンス基礎」(1回目、14回目) </t>
    <rPh sb="33" eb="35">
      <t>キソ</t>
    </rPh>
    <rPh sb="38" eb="39">
      <t>カイ</t>
    </rPh>
    <rPh sb="39" eb="40">
      <t>メ</t>
    </rPh>
    <rPh sb="43" eb="44">
      <t>カイ</t>
    </rPh>
    <rPh sb="44" eb="45">
      <t>メ</t>
    </rPh>
    <rPh sb="92" eb="93">
      <t>メ</t>
    </rPh>
    <rPh sb="97" eb="98">
      <t>メ</t>
    </rPh>
    <rPh sb="144" eb="145">
      <t>メ</t>
    </rPh>
    <rPh sb="180" eb="181">
      <t>メ</t>
    </rPh>
    <rPh sb="213" eb="214">
      <t>メ</t>
    </rPh>
    <rPh sb="265" eb="266">
      <t>メ</t>
    </rPh>
    <rPh sb="269" eb="270">
      <t>カイ</t>
    </rPh>
    <rPh sb="270" eb="271">
      <t>メ</t>
    </rPh>
    <phoneticPr fontId="1"/>
  </si>
  <si>
    <t xml:space="preserve">・AI最新技術の活用例（深層生成モデル、強化学習、転移学習、生成AIなど）「データサイエンス基礎」(1回目)
・AI等を活用した新しいビジネスモデル(シェアリングエコノミー、商品のレコメンデーションなど)「データサイエンス基礎」(1回目)
・基盤モデル、大規模言語モデル、拡散モデル「データサイエンス基礎」(1回目、12～13回目) </t>
    <rPh sb="52" eb="53">
      <t>メ</t>
    </rPh>
    <rPh sb="117" eb="118">
      <t>メ</t>
    </rPh>
    <rPh sb="156" eb="157">
      <t>メ</t>
    </rPh>
    <rPh sb="164" eb="165">
      <t>メ</t>
    </rPh>
    <phoneticPr fontId="1"/>
  </si>
  <si>
    <t>・調査データ、実験データ、人の行動ログデータ、機械の稼働ログデータなど「データサイエンス基礎」(2回目)
・1次データ、2次データ、データのメタ化「データサイエンス基礎」(2回目)
・構造化データ、非構造化データ（文章、画像/動画、音声/音楽など）「データサイエンス基礎」(2回目、11回～13回目)
・データ作成（ビッグデータとアノテーション）「データサイエンス基礎」(2回目)
・データのオープン化（オープンデータ）「データサイエンス基礎」(2回目)</t>
    <rPh sb="50" eb="51">
      <t>メ</t>
    </rPh>
    <rPh sb="82" eb="84">
      <t>キソ</t>
    </rPh>
    <rPh sb="88" eb="89">
      <t>メ</t>
    </rPh>
    <rPh sb="147" eb="149">
      <t>カイメ</t>
    </rPh>
    <phoneticPr fontId="1"/>
  </si>
  <si>
    <r>
      <t xml:space="preserve">・データ・AI活用領域の広がり(生産、消費、文化活動など)「データサイエンス基礎」(1回目)
・研究開発、調達、製造、物流、販売、マーケティング、サービスなど「データサイエンス基礎」(1回目)
</t>
    </r>
    <r>
      <rPr>
        <sz val="9"/>
        <rFont val="ＭＳ Ｐゴシック"/>
        <family val="3"/>
        <charset val="128"/>
        <scheme val="minor"/>
      </rPr>
      <t>・仮説検証、知識発見、原因究明、計画策定、判断支援、活動代替、新規生成など「データサイエンス基礎」(1回目、9～10回目)
・対話、コンテンツ生成、翻訳・要約・執筆支援、コーディング支援など生成AIの応用「データサイエンス基礎」(2回目、5～6回目)</t>
    </r>
    <rPh sb="219" eb="221">
      <t>カイメ</t>
    </rPh>
    <phoneticPr fontId="1"/>
  </si>
  <si>
    <t xml:space="preserve">・データ解析：予測、グルーピング、パターン発見、最適化、モデル化とシミュレーション・データ同化など「データサイエンス基礎」(9～10回目)
・データ可視化：複合グラフ、2軸グラフ、多次元の可視化、関係性の可視化、地図上の可視化、挙動・軌跡の可視化、リアルタイム可視化など「データサイエンス基礎」(4回目)
・非構造化データ処理：言語処理、画像/動画処理、音声/音楽処理など「データサイエンス基礎」(12回目)
・特化型AIと汎用AI、今のAIで出来ることと出来ないこと、AIとビッグデータ「データサイエンス基礎」(1回目)
・認識技術、ルールベース、自動化技術「データサイエンス基礎」(1回目)
・マルチモーダル（言語、画像、音声 など）、生成AIの活用（プロンプトエンジニアリング）「データサイエンス基礎」(2回～3回目、12回目)
</t>
    <rPh sb="66" eb="68">
      <t>カイメ</t>
    </rPh>
    <rPh sb="149" eb="150">
      <t>カイ</t>
    </rPh>
    <rPh sb="150" eb="151">
      <t>メ</t>
    </rPh>
    <rPh sb="356" eb="357">
      <t>カイ</t>
    </rPh>
    <rPh sb="359" eb="360">
      <t>カイ</t>
    </rPh>
    <rPh sb="360" eb="361">
      <t>メ</t>
    </rPh>
    <rPh sb="364" eb="365">
      <t>カイ</t>
    </rPh>
    <rPh sb="365" eb="366">
      <t>メ</t>
    </rPh>
    <phoneticPr fontId="1"/>
  </si>
  <si>
    <t>・データサイエンスのサイクル（課題抽出と定式化、データの取得・管理・加工「データサイエンス基礎」(4回目)
探索的データ解析、データ解析と推論、結果の共有・伝達、課題解決に向けた提案）「データサイエンス基礎」(4回目)
・教育、芸術、流通、製造、金融、サービス、インフラ、公共、ヘルスケア等におけるデータ・AI利活用事例紹介「データサイエンス基礎」(2回目)</t>
    <phoneticPr fontId="1"/>
  </si>
  <si>
    <t>・倫理的・法的・社会的課題（ELSI：Ethical, Legal and Social Issues）「データサイエンス基礎」(3回目)
・個人情報保護、EU一般データ保護規則(GDPR)、忘れられる権利、オプトアウト「データサイエンス基礎」(3回目)
・データ倫理：データのねつ造、改ざん、盗用、プライバシー保護「データサイエンス基礎」(3回目)
・AI社会原則（公平性、説明責任、透明性、人間中心の判断）「データサイエンス基礎」(3回目)
・データバイアス、アルゴリズムバイアス「データサイエンス基礎」(3回目)
・AIサービスの責任論「データサイエンス基礎」(3回目)
・データガバナンス「データサイエンス基礎」(3回目)
・データ・AI活用における負の事例紹介「データサイエンス基礎」(1回目、3回目)
・生成AIの留意事項（ハルシネーションによる誤情報の生成、偽情報や有害コンテンツの生成・氾濫 など）「データサイエンス基礎」(1回目、3回目)</t>
    <rPh sb="349" eb="351">
      <t>カイメ</t>
    </rPh>
    <phoneticPr fontId="1"/>
  </si>
  <si>
    <t>・情報セキュリティの3要素（機密性、完全性、可用性）「データサイエンス基礎」(3回目)
・匿名加工情報、暗号化と復号、ユーザ認証と、パスワード、アクセス制御、悪意ある情報搾取「データサイエンス基礎」(3回目)
・情報漏洩等によるセキュリティ事故の事例紹介「データサイエンス基礎」(3回目)
・サイバーセキュリティ「データサイエンス基礎」(3回目)</t>
    <phoneticPr fontId="1"/>
  </si>
  <si>
    <t>・データの種類（量的変数、質的変数）「データサイエンス基礎」(2回目、7回目）
・データの分布(ヒストグラム)と代表値（平均値、中央値、最頻値）「データサイエンス基礎」(7回目）
・代表値の性質の違い（実社会では平均値＝最頻値でないことが多い）「データサイエンス基礎」(7回目）
・データのばらつき（分散、標準偏差、偏差値）、外れ値「データサイエンス基礎」(8回目）
・相関と因果（相関係数、擬似相関、交絡）「データサイエンス基礎」(7回目、8回目）
・観測データに含まれる誤差の扱い「データサイエンス基礎」(8回目）
・打ち切りや欠測を含むデータ、層別の必要なデータ「データサイエンス基礎」(2回目）
・母集団と標本抽出（国勢調査、アンケート調査、全数調査、単純無作為抽出、層別抽出、多段抽出）「データサイエンス基礎」(7回目）
・クロス集計表、分割表、相関係数行列、散布図行列「データサイエンス基礎」(5～6回目）
・統計情報の正しい理解（誇張表現に惑わされない）「データサイエンス基礎」(7回目）</t>
    <rPh sb="36" eb="38">
      <t>カイメ</t>
    </rPh>
    <rPh sb="222" eb="224">
      <t>カイメ</t>
    </rPh>
    <rPh sb="406" eb="408">
      <t>カイメ</t>
    </rPh>
    <phoneticPr fontId="1"/>
  </si>
  <si>
    <t>・データ表現（棒グラフ、折線グラフ、散布図、ヒートマップ、箱ひげ図）「データサイエンス基礎」(4～6回目）
・データの比較（条件をそろえた比較、処理の前後での比較、A/Bテスト)「データサイエンス基礎」(5～6回目）
・不適切なグラフ表現（チャートジャンク、不必要な視覚的要素）「データサイエンス基礎」(4～6回目）
・優れた可視化事例の紹介（可視化することによって新たな気づきがあった事例など）「データサイエンス基礎」(4～6回目、14回目)
・相手に的確かつ正確に情報を伝える技術や考え方（スライド作成、プレゼンテーションなど）「データサイエンス基礎」(4～6回目、14回目)</t>
    <rPh sb="50" eb="52">
      <t>カイメ</t>
    </rPh>
    <rPh sb="219" eb="221">
      <t>カイメ</t>
    </rPh>
    <phoneticPr fontId="1"/>
  </si>
  <si>
    <t>・データの取得（機械判読可能なデータの作成・表記方法）「データサイエンス基礎」(2回目、5回目、7回目)
・データの集計（和、平均）「データサイエンス基礎」(2回目、5回目、7～8回目)
・データの並び替え、ランキング「データサイエンス基礎」(2回目、5回目、7～8回目)
・データ解析ツール（スプレッドシート、BIツール）「データサイエンス基礎」(2回目、5～6回目)
・表形式のデータ（csv）「データサイエンス基礎」(2回目、5～6回目)</t>
    <rPh sb="45" eb="47">
      <t>カイメ</t>
    </rPh>
    <rPh sb="49" eb="51">
      <t>カイメ</t>
    </rPh>
    <phoneticPr fontId="1"/>
  </si>
  <si>
    <t>令和6</t>
    <rPh sb="0" eb="2">
      <t>レイワ</t>
    </rPh>
    <phoneticPr fontId="1"/>
  </si>
  <si>
    <t>こども心理学部</t>
    <rPh sb="3" eb="5">
      <t>シンリ</t>
    </rPh>
    <rPh sb="5" eb="7">
      <t>ガクブ</t>
    </rPh>
    <phoneticPr fontId="1"/>
  </si>
  <si>
    <t>モチベーション行動科学部</t>
    <rPh sb="7" eb="9">
      <t>コウドウ</t>
    </rPh>
    <rPh sb="9" eb="11">
      <t>カガク</t>
    </rPh>
    <rPh sb="11" eb="12">
      <t>ブ</t>
    </rPh>
    <phoneticPr fontId="1"/>
  </si>
  <si>
    <t>杉本　雅彦</t>
    <rPh sb="0" eb="2">
      <t>スギモト</t>
    </rPh>
    <rPh sb="3" eb="4">
      <t>マサ</t>
    </rPh>
    <rPh sb="4" eb="5">
      <t>ヒコ</t>
    </rPh>
    <phoneticPr fontId="1"/>
  </si>
  <si>
    <t>情報教育センター長</t>
    <rPh sb="0" eb="2">
      <t>ジョウホウ</t>
    </rPh>
    <rPh sb="2" eb="4">
      <t>キョウイク</t>
    </rPh>
    <rPh sb="8" eb="9">
      <t>チョウ</t>
    </rPh>
    <phoneticPr fontId="1"/>
  </si>
  <si>
    <t>東京未来大学情報教育センター規程</t>
    <phoneticPr fontId="1"/>
  </si>
  <si>
    <t>情報教育センターでは、本学における教育及び学術研究に係る情報ネットワークシステムの効率的活用に関する事項、情報教育システムの構築及び管理運用に関する事項、東京未来大学リテラシープログラム（以下「プログラム」という）の実施体制に関する事項、学生に対するプログラムの履修を促す取り組みに関する事項、プログラムについての自己点検・評価に関する事項、その他情報教育・プログラムの実施に際し必要な事項などを所管している。特に、本件（データサイエンス・AI基礎）については、全学的なリテラシー科目のカリキュラム編成の提案、普及促進、情報リテラシー教育の質保証に向けた検討を行っている。</t>
    <phoneticPr fontId="1"/>
  </si>
  <si>
    <t>【情報教育センター】
＜委員＞　
モチベーション行動科学部　教授　杉本　雅彦（センター長）
モチベーション行動科学部　講師　岩崎　智史
こども心理学部　講師　紙本　裕一
モチベーション行動科学部　特任講師　木川　明彦
＜オブザーバー＞
エンロールメント・マネジメント局　大磯　貴晃</t>
    <rPh sb="1" eb="3">
      <t>ジョウホウ</t>
    </rPh>
    <rPh sb="3" eb="5">
      <t>キョウイク</t>
    </rPh>
    <rPh sb="12" eb="14">
      <t>イイン</t>
    </rPh>
    <rPh sb="30" eb="32">
      <t>キョウジュ</t>
    </rPh>
    <rPh sb="33" eb="35">
      <t>スギモト</t>
    </rPh>
    <rPh sb="36" eb="37">
      <t>マサ</t>
    </rPh>
    <rPh sb="37" eb="38">
      <t>ヒコ</t>
    </rPh>
    <rPh sb="43" eb="44">
      <t>チョウ</t>
    </rPh>
    <rPh sb="53" eb="55">
      <t>コウドウ</t>
    </rPh>
    <rPh sb="55" eb="57">
      <t>カガク</t>
    </rPh>
    <rPh sb="59" eb="61">
      <t>コウシ</t>
    </rPh>
    <rPh sb="62" eb="64">
      <t>イワサキ</t>
    </rPh>
    <rPh sb="71" eb="73">
      <t>シンリ</t>
    </rPh>
    <rPh sb="73" eb="75">
      <t>ガクブ</t>
    </rPh>
    <rPh sb="76" eb="78">
      <t>コウシ</t>
    </rPh>
    <rPh sb="79" eb="81">
      <t>カミモト</t>
    </rPh>
    <rPh sb="82" eb="84">
      <t>ユウイチ</t>
    </rPh>
    <rPh sb="92" eb="96">
      <t>コウドウカガク</t>
    </rPh>
    <rPh sb="96" eb="97">
      <t>ブ</t>
    </rPh>
    <rPh sb="98" eb="100">
      <t>トクニン</t>
    </rPh>
    <rPh sb="100" eb="102">
      <t>コウシ</t>
    </rPh>
    <rPh sb="103" eb="105">
      <t>キガワ</t>
    </rPh>
    <rPh sb="106" eb="108">
      <t>アキヒコ</t>
    </rPh>
    <rPh sb="134" eb="135">
      <t>キョク</t>
    </rPh>
    <rPh sb="136" eb="138">
      <t>オオイソ</t>
    </rPh>
    <rPh sb="139" eb="140">
      <t>タカ</t>
    </rPh>
    <rPh sb="140" eb="141">
      <t>アキラ</t>
    </rPh>
    <phoneticPr fontId="1"/>
  </si>
  <si>
    <t>令和6年度よりデータサイエンス科目群の基幹科目としてこれから更に必要となる知識と技術を学び、それを活用する基礎的な能力を獲得することを目的とし、「データサイエンス基礎」を開講した。本科目は全学部・全学科の1年次学生から秋学期に受講できる選択科目であるため、新1年生向けガイダンス等で周知を行い、認知度向上と履修希望者数増を図っている。また、ホームページ等を活用した広報活動も予定している。</t>
    <phoneticPr fontId="1"/>
  </si>
  <si>
    <t>「データサイエンス基礎」は、大学共通科目として開講しているため、全学部の学生が履修可能である。今後は、学生が受講しやすい時間帯に開講する等で履修者を増やしていくことを予定している。</t>
    <rPh sb="47" eb="49">
      <t>コンゴ</t>
    </rPh>
    <rPh sb="51" eb="53">
      <t>ガクセイ</t>
    </rPh>
    <rPh sb="54" eb="56">
      <t>ジュコウ</t>
    </rPh>
    <rPh sb="60" eb="63">
      <t>ジカンタイ</t>
    </rPh>
    <rPh sb="64" eb="66">
      <t>カイコウ</t>
    </rPh>
    <rPh sb="68" eb="69">
      <t>ナド</t>
    </rPh>
    <rPh sb="70" eb="72">
      <t>リシュウ</t>
    </rPh>
    <rPh sb="72" eb="73">
      <t>シャ</t>
    </rPh>
    <rPh sb="74" eb="75">
      <t>フ</t>
    </rPh>
    <rPh sb="83" eb="85">
      <t>ヨテイ</t>
    </rPh>
    <phoneticPr fontId="1"/>
  </si>
  <si>
    <t>本学では、毎年度、全学生に対し履修に関するガイダンスを行い、卒業要件だけでなく、各種資格課程についての履修方法についても、周知を行ってきた。 「データサイエンス基礎」に関しても、新1年生向けのガイダンスにて説明を実施し、「プログラム」の周知を行っている。また、本学のウェブサイトや学習管理システム（LMS）を通じて、本プログラムに関する情報を掲載するとともに、適宜情報発信をしている。</t>
    <phoneticPr fontId="1"/>
  </si>
  <si>
    <t>PC使用が前提と科目であるが、本学では入学時に学生1人1台にPCを配布しているため、学修形式は対応している。また、忘れてしまった学生に対しても図書館や事務室で貸出の用意をしており、学生のPCサポートを行っている。
授業で使用した資料・データはLMSに保管し、いつでも学生が閲覧可能な環境を用意している。
また、授業に関する質問・相談等は授業前後の時間だけでなく随時メールで受け付けており、学生サポートの体制を構築している。</t>
    <phoneticPr fontId="1"/>
  </si>
  <si>
    <t>オフィスアワー制度を設けて、担当教員が各種質問に回答する体制が整備されている。対面のみでなく、メールでの個別対応も行っているため、時間や場所の制約なしに質問を受け付けることが出来るため、今後も同様の仕組みを継続したい。</t>
    <rPh sb="7" eb="9">
      <t>セイド</t>
    </rPh>
    <rPh sb="10" eb="11">
      <t>モウ</t>
    </rPh>
    <rPh sb="14" eb="16">
      <t>タントウ</t>
    </rPh>
    <rPh sb="16" eb="18">
      <t>キョウイン</t>
    </rPh>
    <rPh sb="19" eb="21">
      <t>カクシュ</t>
    </rPh>
    <rPh sb="21" eb="23">
      <t>シツモン</t>
    </rPh>
    <rPh sb="24" eb="26">
      <t>カイトウ</t>
    </rPh>
    <rPh sb="28" eb="30">
      <t>タイセイ</t>
    </rPh>
    <rPh sb="31" eb="33">
      <t>セイビ</t>
    </rPh>
    <rPh sb="39" eb="41">
      <t>タイメン</t>
    </rPh>
    <rPh sb="52" eb="54">
      <t>コベツ</t>
    </rPh>
    <rPh sb="54" eb="56">
      <t>タイオウ</t>
    </rPh>
    <rPh sb="57" eb="58">
      <t>オコナ</t>
    </rPh>
    <rPh sb="65" eb="67">
      <t>ジカン</t>
    </rPh>
    <rPh sb="68" eb="70">
      <t>バショ</t>
    </rPh>
    <rPh sb="71" eb="73">
      <t>セイヤク</t>
    </rPh>
    <rPh sb="76" eb="78">
      <t>シツモン</t>
    </rPh>
    <rPh sb="79" eb="80">
      <t>ウ</t>
    </rPh>
    <rPh sb="81" eb="82">
      <t>ツ</t>
    </rPh>
    <rPh sb="87" eb="89">
      <t>デキ</t>
    </rPh>
    <rPh sb="93" eb="95">
      <t>コンゴ</t>
    </rPh>
    <rPh sb="96" eb="98">
      <t>ドウヨウ</t>
    </rPh>
    <rPh sb="99" eb="101">
      <t>シク</t>
    </rPh>
    <rPh sb="103" eb="105">
      <t>ケイゾク</t>
    </rPh>
    <phoneticPr fontId="1"/>
  </si>
  <si>
    <t>杉本　雅彦</t>
  </si>
  <si>
    <t>センター長</t>
    <rPh sb="4" eb="5">
      <t>チョウ</t>
    </rPh>
    <phoneticPr fontId="1"/>
  </si>
  <si>
    <t>2024年度における本教育プログラムの履修者数は、こども心理学部1人、モチベーション行動科学部7人であった。履修者における単位修得は6人である。履修者における単位修得率の割合は75％である。教務委員会を通じて、各学部ごとにおける単位修得状況を管理し、情報教育センターで確認している。今年度は、1年生のみを対象科目としていたため、少ない人数であった。次年度は対象が1・2年生となるので、受講者人数は増加するものと予想される。</t>
    <rPh sb="63" eb="65">
      <t>シュウトク</t>
    </rPh>
    <rPh sb="67" eb="68">
      <t>ニン</t>
    </rPh>
    <rPh sb="72" eb="74">
      <t>リシュウ</t>
    </rPh>
    <rPh sb="74" eb="75">
      <t>シャ</t>
    </rPh>
    <rPh sb="79" eb="81">
      <t>タンイ</t>
    </rPh>
    <rPh sb="81" eb="83">
      <t>シュウトク</t>
    </rPh>
    <rPh sb="83" eb="84">
      <t>リツ</t>
    </rPh>
    <rPh sb="85" eb="87">
      <t>ワリアイ</t>
    </rPh>
    <rPh sb="141" eb="144">
      <t>コンネンド</t>
    </rPh>
    <rPh sb="147" eb="149">
      <t>ネンセイ</t>
    </rPh>
    <rPh sb="152" eb="154">
      <t>タイショウ</t>
    </rPh>
    <rPh sb="154" eb="156">
      <t>カモク</t>
    </rPh>
    <rPh sb="164" eb="165">
      <t>スク</t>
    </rPh>
    <rPh sb="167" eb="169">
      <t>ニンズウ</t>
    </rPh>
    <rPh sb="174" eb="177">
      <t>ジネンド</t>
    </rPh>
    <rPh sb="178" eb="180">
      <t>タイショウ</t>
    </rPh>
    <rPh sb="184" eb="186">
      <t>ネンセイ</t>
    </rPh>
    <rPh sb="192" eb="195">
      <t>ジュコウシャ</t>
    </rPh>
    <rPh sb="195" eb="197">
      <t>ニンズウ</t>
    </rPh>
    <rPh sb="198" eb="200">
      <t>ゾウカ</t>
    </rPh>
    <rPh sb="205" eb="207">
      <t>ヨソウ</t>
    </rPh>
    <phoneticPr fontId="1"/>
  </si>
  <si>
    <t>シラバスで科目のテーマと到達目標を明示しており、授業の内容に関連した課題やレポートやプレゼンテーション等を課すことで、学生の理解度を図りながら到達目標を達成できるよう取り組んでいる。プログラムの学修成果は、教務委員会を通じて単位修得率及び平均GPA並びに成績分布状況を確認することで点検・評価が可能である。これらの結果を基にして情報教育センターと科目担当教員との話し合いを通じて、学修成果の評価・改善を行っている。</t>
    <rPh sb="5" eb="7">
      <t>カモク</t>
    </rPh>
    <rPh sb="34" eb="36">
      <t>カダイ</t>
    </rPh>
    <phoneticPr fontId="1"/>
  </si>
  <si>
    <t>履修後の授業評価アンケートの質問項目「あなたは、授業中に関心をもった内容について深く考えましたか。」において、8名からの回答の平均が約3.9であった（「そう思う」が5、「ややそう思う」が4、「どちらともいえない」が3、「あまりそう思わない」が2、「そう思わない」が1）。平均点が約3.9であることから、全体として受講者の満足度は「ややそう思う」に傾向が見られたたと言える。受講者が授業内容について深く考えられたということは、授業の構成や説明が理解しやすく、思考を深めるための適切な情報や刺激が提供されていたことを示唆している。今後は、授業内容の具体例を増やしたり、より多様な意見交換の機会を設けることで、より多くの受講者が深い思考を促せるような工夫ができ得ると考えられる。</t>
    <rPh sb="0" eb="2">
      <t>リシュウ</t>
    </rPh>
    <rPh sb="2" eb="3">
      <t>ゴ</t>
    </rPh>
    <rPh sb="4" eb="6">
      <t>ジュギョウ</t>
    </rPh>
    <rPh sb="6" eb="8">
      <t>ヒョウカ</t>
    </rPh>
    <rPh sb="14" eb="18">
      <t>シツモンコウモク</t>
    </rPh>
    <rPh sb="56" eb="57">
      <t>メイ</t>
    </rPh>
    <rPh sb="60" eb="62">
      <t>カイトウ</t>
    </rPh>
    <rPh sb="66" eb="67">
      <t>ヤク</t>
    </rPh>
    <rPh sb="169" eb="170">
      <t>オモ</t>
    </rPh>
    <rPh sb="173" eb="175">
      <t>ケイコウ</t>
    </rPh>
    <rPh sb="176" eb="177">
      <t>ミ</t>
    </rPh>
    <rPh sb="182" eb="183">
      <t>イ</t>
    </rPh>
    <rPh sb="263" eb="265">
      <t>コンゴ</t>
    </rPh>
    <rPh sb="327" eb="328">
      <t>ウ</t>
    </rPh>
    <rPh sb="330" eb="331">
      <t>カンガ</t>
    </rPh>
    <phoneticPr fontId="1"/>
  </si>
  <si>
    <t>履修後の授業評価アンケートの質問項目「あなたは、この授業を受けたことがない人に薦めたいと思いますか。」において、8名からの回答の平均が約3.1（「そう思う」が5、「ややそう思う」が4、「どちらともいえない」が3、「あまりそう思わない」が2、「そう思わない」が1）。平均点が約3.1であることから、全体として「どちらともいえない」に傾向が見られたといえる。平均点が3程度であるため、授業の目的や到達目標を明確に伝え、受講者が授業を通して何を得られるのかを理解できるように周知することが課題として考えられる。また、受講者に対しては、受講者同士の交流を促進する機会をより積極的に設けることで、学習効果を高め、授業への満足度向上に繋げていきたい。</t>
    <rPh sb="14" eb="18">
      <t>シツモンコウモク</t>
    </rPh>
    <rPh sb="61" eb="63">
      <t>カイトウ</t>
    </rPh>
    <rPh sb="64" eb="66">
      <t>ヘイキン</t>
    </rPh>
    <rPh sb="67" eb="68">
      <t>ヤク</t>
    </rPh>
    <rPh sb="136" eb="137">
      <t>ヤク</t>
    </rPh>
    <rPh sb="182" eb="184">
      <t>テイド</t>
    </rPh>
    <rPh sb="234" eb="236">
      <t>シュウチ</t>
    </rPh>
    <rPh sb="241" eb="243">
      <t>カダイ</t>
    </rPh>
    <rPh sb="246" eb="247">
      <t>カンガ</t>
    </rPh>
    <rPh sb="255" eb="258">
      <t>ジュコウシャ</t>
    </rPh>
    <rPh sb="259" eb="260">
      <t>タイ</t>
    </rPh>
    <rPh sb="282" eb="285">
      <t>セッキョクテキ</t>
    </rPh>
    <phoneticPr fontId="1"/>
  </si>
  <si>
    <t>1年次より履修可能な選択科目として新規に開講された科目であり、計画段階では履修希望者数の予測が難しかったが、結果として8名の受講希望者がおり科目開講を行った。履修後の授業評価アンケートの質問項目「教員は、具体例を挙げる、まとめを行うなどの工夫をし、わかりやすく説明していたと思いますか。」について、平均が約3.6（「そう思う」が5、「ややそう思う」が4、「どちらともいえない」が3、「あまりそう思わない」が2、「そう思わない」が1）という結果であり、多くの学生が教員の説明をわかりやすいと感じていると考えられる。履修後の授業評価アンケートの質問項目「準備されていた教材（配布資料、動画、スライドなど）は十分だったと思いますか。」について、平均が約4.8（「そう思う」が5、「ややそう思う」が4、「どちらともいえない」が3、「あまりそう思わない」が2、「そう思わない」が1）という結果だったことから、用意された教材は充分な量であったと考えられる。その一方で、他の学生への推奨が約3.1点（「どちらともいえない」）との結果であることから、より積極的に他の科目との関連や実社会でのニーズといった事例を交えて学生に周知を行い、シラバスだけではなく、授業内容や魅力を具体的に伝えていくことで、履修率の向上を図りたい。</t>
    <rPh sb="31" eb="33">
      <t>ケイカク</t>
    </rPh>
    <rPh sb="33" eb="35">
      <t>ダンカイ</t>
    </rPh>
    <rPh sb="37" eb="39">
      <t>リシュウ</t>
    </rPh>
    <rPh sb="39" eb="42">
      <t>キボウシャ</t>
    </rPh>
    <rPh sb="42" eb="43">
      <t>スウ</t>
    </rPh>
    <rPh sb="44" eb="46">
      <t>ヨソク</t>
    </rPh>
    <rPh sb="47" eb="48">
      <t>ムズカ</t>
    </rPh>
    <rPh sb="54" eb="56">
      <t>ケッカ</t>
    </rPh>
    <rPh sb="60" eb="61">
      <t>メイ</t>
    </rPh>
    <rPh sb="62" eb="64">
      <t>ジュコウ</t>
    </rPh>
    <rPh sb="64" eb="67">
      <t>キボウシャ</t>
    </rPh>
    <rPh sb="70" eb="72">
      <t>カモク</t>
    </rPh>
    <rPh sb="72" eb="74">
      <t>カイコウ</t>
    </rPh>
    <rPh sb="75" eb="76">
      <t>オコナ</t>
    </rPh>
    <rPh sb="79" eb="82">
      <t>リシュウゴ</t>
    </rPh>
    <rPh sb="83" eb="87">
      <t>ジュギョウヒョウカ</t>
    </rPh>
    <rPh sb="93" eb="97">
      <t>シツモンコウモク</t>
    </rPh>
    <rPh sb="149" eb="151">
      <t>ヘイキン</t>
    </rPh>
    <rPh sb="152" eb="153">
      <t>ヤク</t>
    </rPh>
    <rPh sb="219" eb="221">
      <t>ケッカ</t>
    </rPh>
    <rPh sb="318" eb="319">
      <t>ヤク</t>
    </rPh>
    <rPh sb="395" eb="397">
      <t>ヨウイ</t>
    </rPh>
    <rPh sb="400" eb="402">
      <t>キョウザイ</t>
    </rPh>
    <rPh sb="403" eb="405">
      <t>ジュウブン</t>
    </rPh>
    <rPh sb="406" eb="407">
      <t>リョウ</t>
    </rPh>
    <rPh sb="412" eb="413">
      <t>カンガ</t>
    </rPh>
    <rPh sb="420" eb="422">
      <t>イッポウ</t>
    </rPh>
    <rPh sb="424" eb="425">
      <t>タ</t>
    </rPh>
    <rPh sb="426" eb="428">
      <t>ガクセイ</t>
    </rPh>
    <rPh sb="430" eb="432">
      <t>スイショウ</t>
    </rPh>
    <rPh sb="434" eb="435">
      <t>テン</t>
    </rPh>
    <rPh sb="437" eb="438">
      <t>ヤク</t>
    </rPh>
    <rPh sb="453" eb="455">
      <t>ケッカ</t>
    </rPh>
    <rPh sb="465" eb="468">
      <t>セッキョクテキ</t>
    </rPh>
    <rPh sb="475" eb="477">
      <t>カモク</t>
    </rPh>
    <rPh sb="478" eb="481">
      <t>ジッシャカイ</t>
    </rPh>
    <rPh sb="494" eb="496">
      <t>ジレイ</t>
    </rPh>
    <rPh sb="497" eb="498">
      <t>マジ</t>
    </rPh>
    <rPh sb="506" eb="507">
      <t>オコナ</t>
    </rPh>
    <rPh sb="516" eb="520">
      <t>ダイガクゼンタイ</t>
    </rPh>
    <phoneticPr fontId="1"/>
  </si>
  <si>
    <t>「データサイエンス基礎」は令和6年度より1年次より履修可能な選択科目として新規に開講された為、本科目を履修、単位を修得して卒業した学生はまだいない。本プログラムは1年目であることと、リテラシーレベルであるため、修了者の進路先での活躍状況、企業等での評価は得られていない。本学では毎年、卒業生と就職先にアンケートを実施している。今後、本プログラムの成果を評価する項目を追加することを検討する。</t>
    <rPh sb="9" eb="11">
      <t>キソ</t>
    </rPh>
    <rPh sb="13" eb="15">
      <t>レイワ</t>
    </rPh>
    <rPh sb="16" eb="18">
      <t>ネンド</t>
    </rPh>
    <rPh sb="21" eb="23">
      <t>ネンジ</t>
    </rPh>
    <rPh sb="25" eb="27">
      <t>リシュウ</t>
    </rPh>
    <rPh sb="27" eb="29">
      <t>カノウ</t>
    </rPh>
    <rPh sb="30" eb="32">
      <t>センタク</t>
    </rPh>
    <rPh sb="32" eb="34">
      <t>カモク</t>
    </rPh>
    <rPh sb="37" eb="39">
      <t>シンキ</t>
    </rPh>
    <rPh sb="40" eb="42">
      <t>カイコウ</t>
    </rPh>
    <rPh sb="45" eb="46">
      <t>タメ</t>
    </rPh>
    <rPh sb="47" eb="48">
      <t>ホン</t>
    </rPh>
    <rPh sb="48" eb="50">
      <t>カモク</t>
    </rPh>
    <rPh sb="51" eb="53">
      <t>リシュウ</t>
    </rPh>
    <rPh sb="54" eb="56">
      <t>タンイ</t>
    </rPh>
    <rPh sb="57" eb="59">
      <t>シュウトク</t>
    </rPh>
    <rPh sb="61" eb="63">
      <t>ソツギョウ</t>
    </rPh>
    <rPh sb="65" eb="67">
      <t>ガクセイ</t>
    </rPh>
    <phoneticPr fontId="1"/>
  </si>
  <si>
    <t>本プログラムは実施したばかりであり、また調査が不十分の段階にある。修了者の進路・活躍状況・企業等の評価はいずれも未確定の状況にある。修了者、実習先や採用企業等へのヒアリングが必要と思われるが、まだ検討段階である。一般企業、保育士、小学校・中学校の現場に即応できるようなプログラム内容となるよう、本プログラム修了生の就職先を主とした関係各所から本プログラムに対する要望等をヒアリングする準備を進めている。</t>
    <rPh sb="0" eb="1">
      <t>ホン</t>
    </rPh>
    <rPh sb="27" eb="29">
      <t>ダンカイ</t>
    </rPh>
    <rPh sb="106" eb="108">
      <t>イッパン</t>
    </rPh>
    <rPh sb="108" eb="110">
      <t>キギョウ</t>
    </rPh>
    <rPh sb="115" eb="118">
      <t>ショウガッコウ</t>
    </rPh>
    <rPh sb="119" eb="122">
      <t>チュウガッコウ</t>
    </rPh>
    <phoneticPr fontId="1"/>
  </si>
  <si>
    <t>履修後の授業評価アンケートの質問項目「あなたは、この授業の内容について身についたと思いますか。」において、8名からの回答の平均が約3.6（「そう思う」が5、「ややそう思う」が4、「どちらともいえない」が3、「あまりそう思わない」が2、「そう思わない」が1）となった。数値自体については概ね、良好な評価が得られていると考えられる。この結果を踏まえて、授業開始時に、具体的な学習目標を提示し、学生が何を習得すべきかを明確にすることや各回の授業で、その日の学習目標を再確認し、目標達成に向けた学習を促すことなどが課題として挙げられる。</t>
    <rPh sb="14" eb="18">
      <t>シツモンコウモク</t>
    </rPh>
    <rPh sb="64" eb="65">
      <t>ヤク</t>
    </rPh>
    <rPh sb="133" eb="135">
      <t>スウチ</t>
    </rPh>
    <rPh sb="135" eb="137">
      <t>ジタイ</t>
    </rPh>
    <rPh sb="142" eb="143">
      <t>オオム</t>
    </rPh>
    <rPh sb="166" eb="168">
      <t>ケッカ</t>
    </rPh>
    <rPh sb="169" eb="170">
      <t>フ</t>
    </rPh>
    <rPh sb="253" eb="255">
      <t>カダイ</t>
    </rPh>
    <rPh sb="258" eb="259">
      <t>ア</t>
    </rPh>
    <phoneticPr fontId="1"/>
  </si>
  <si>
    <t>履修後の授業評価アンケートの質問項目「授業の難しさ・易しさ」についての回答項目は平均が約4.5（「難しい」が5、「やや難しい」が4、「ちょうどよい」が3、「やや易しい」が2、「易しい」が1）となった。この結果からも推定されるように、授業で扱う内容が難しいと学生には感じられていたことが背景にあったと考えられる。このような状況を改善するためには、社会の変化や私生活に溶け込んでいる技術をテーマにあげて指導内容の平易化や、学生にとって馴染みやすい（理解しやすい）ことを意識する必要があると考える。</t>
    <rPh sb="43" eb="44">
      <t>ヤク</t>
    </rPh>
    <rPh sb="49" eb="50">
      <t>ムズカ</t>
    </rPh>
    <rPh sb="59" eb="60">
      <t>ムズカ</t>
    </rPh>
    <rPh sb="80" eb="81">
      <t>ヤサ</t>
    </rPh>
    <rPh sb="88" eb="89">
      <t>ヤサ</t>
    </rPh>
    <rPh sb="172" eb="174">
      <t>シャカイ</t>
    </rPh>
    <rPh sb="175" eb="177">
      <t>ヘンカ</t>
    </rPh>
    <rPh sb="178" eb="181">
      <t>シセイカツ</t>
    </rPh>
    <rPh sb="182" eb="183">
      <t>ト</t>
    </rPh>
    <rPh sb="184" eb="185">
      <t>コ</t>
    </rPh>
    <rPh sb="189" eb="191">
      <t>ギジュツ</t>
    </rPh>
    <rPh sb="209" eb="211">
      <t>ガクセイ</t>
    </rPh>
    <rPh sb="215" eb="217">
      <t>ナジ</t>
    </rPh>
    <rPh sb="222" eb="224">
      <t>リカイ</t>
    </rPh>
    <rPh sb="232" eb="234">
      <t>イシキ</t>
    </rPh>
    <rPh sb="236" eb="238">
      <t>ヒツヨウ</t>
    </rPh>
    <rPh sb="242" eb="243">
      <t>カンガ</t>
    </rPh>
    <phoneticPr fontId="1"/>
  </si>
  <si>
    <t>東京未来大学情報教育センター</t>
    <rPh sb="0" eb="6">
      <t>トウキョウミライダイガク</t>
    </rPh>
    <rPh sb="6" eb="8">
      <t>ジョウホウ</t>
    </rPh>
    <rPh sb="8" eb="10">
      <t>キョウイク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</si>
</sst>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4"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
      <sz val="9"/>
      <name val="ＭＳ Ｐゴシック"/>
      <family val="3"/>
      <charset val="128"/>
      <scheme val="minor"/>
    </font>
  </fonts>
  <fills count="5">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2F2F2"/>
        <bgColor indexed="64"/>
      </patternFill>
    </fill>
  </fills>
  <borders count="4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7">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7"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6" xfId="0" applyFont="1" applyFill="1" applyBorder="1" applyAlignment="1">
      <alignment vertical="top" wrapText="1"/>
    </xf>
    <xf numFmtId="0" fontId="3" fillId="2" borderId="0" xfId="0" applyFont="1" applyFill="1" applyAlignment="1">
      <alignment vertical="top" wrapText="1"/>
    </xf>
    <xf numFmtId="0" fontId="2" fillId="2" borderId="0" xfId="0" applyFont="1" applyFill="1">
      <alignment vertical="center"/>
    </xf>
    <xf numFmtId="38" fontId="2" fillId="0" borderId="44"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5"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7" xfId="0" applyFont="1" applyBorder="1" applyAlignment="1">
      <alignment horizontal="left" vertical="center" shrinkToFit="1"/>
    </xf>
    <xf numFmtId="38" fontId="2" fillId="0" borderId="47"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1" xfId="0" applyFont="1" applyBorder="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2" xfId="0" applyNumberFormat="1" applyFont="1" applyBorder="1" applyAlignment="1">
      <alignment horizontal="center" vertical="center"/>
    </xf>
    <xf numFmtId="49" fontId="3" fillId="0" borderId="43" xfId="0" applyNumberFormat="1" applyFont="1" applyBorder="1" applyAlignment="1">
      <alignment horizontal="center" vertical="center"/>
    </xf>
    <xf numFmtId="49" fontId="3" fillId="0" borderId="38"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1"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2" fillId="0" borderId="1" xfId="0" applyFont="1" applyBorder="1">
      <alignment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0" fontId="2" fillId="0" borderId="0" xfId="0" applyFont="1" applyAlignment="1">
      <alignment vertical="center" wrapText="1"/>
    </xf>
    <xf numFmtId="0" fontId="2" fillId="0" borderId="0" xfId="0" applyFont="1" applyAlignment="1">
      <alignment horizontal="right" vertical="center"/>
    </xf>
    <xf numFmtId="0" fontId="6" fillId="0" borderId="0" xfId="0" applyFont="1" applyAlignment="1">
      <alignment horizontal="center" vertical="center"/>
    </xf>
    <xf numFmtId="9" fontId="2" fillId="0" borderId="1" xfId="0" applyNumberFormat="1"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horizontal="center" vertical="center"/>
    </xf>
    <xf numFmtId="0" fontId="2" fillId="0" borderId="0" xfId="0" applyFont="1">
      <alignment vertical="center"/>
    </xf>
    <xf numFmtId="0" fontId="3" fillId="4" borderId="37" xfId="0" applyFont="1" applyFill="1" applyBorder="1" applyAlignment="1">
      <alignment vertical="top" wrapText="1"/>
    </xf>
    <xf numFmtId="0" fontId="3" fillId="4" borderId="36" xfId="0" applyFont="1" applyFill="1" applyBorder="1" applyAlignment="1">
      <alignment vertical="top" shrinkToFit="1"/>
    </xf>
    <xf numFmtId="0" fontId="3" fillId="4" borderId="37" xfId="0" applyFont="1" applyFill="1" applyBorder="1" applyAlignment="1">
      <alignment vertical="top" shrinkToFi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0" xfId="0" applyFont="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9" xfId="0" applyFont="1" applyBorder="1" applyAlignment="1">
      <alignment vertical="center" wrapText="1"/>
    </xf>
    <xf numFmtId="0" fontId="3" fillId="0" borderId="40" xfId="0" applyFont="1" applyBorder="1" applyAlignment="1">
      <alignmen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6" fillId="0" borderId="0" xfId="0" applyFont="1" applyAlignment="1">
      <alignment horizontal="center" vertical="center"/>
    </xf>
    <xf numFmtId="0" fontId="11" fillId="0" borderId="7" xfId="0" applyFont="1" applyBorder="1" applyAlignment="1">
      <alignment horizontal="left" vertical="top" wrapText="1" shrinkToFit="1"/>
    </xf>
    <xf numFmtId="0" fontId="11" fillId="0" borderId="8" xfId="0" applyFont="1" applyBorder="1" applyAlignment="1">
      <alignment horizontal="left" vertical="top" wrapText="1" shrinkToFit="1"/>
    </xf>
    <xf numFmtId="0" fontId="11" fillId="0" borderId="9" xfId="0" applyFont="1" applyBorder="1" applyAlignment="1">
      <alignment horizontal="left" vertical="top" wrapText="1" shrinkToFit="1"/>
    </xf>
    <xf numFmtId="0" fontId="11" fillId="0" borderId="5" xfId="0" applyFont="1" applyBorder="1" applyAlignment="1">
      <alignment horizontal="left" vertical="top" wrapText="1" shrinkToFit="1"/>
    </xf>
    <xf numFmtId="0" fontId="11" fillId="0" borderId="0" xfId="0" applyFont="1" applyAlignment="1">
      <alignment horizontal="left" vertical="top" wrapText="1" shrinkToFit="1"/>
    </xf>
    <xf numFmtId="0" fontId="11" fillId="0" borderId="10" xfId="0" applyFont="1" applyBorder="1" applyAlignment="1">
      <alignment horizontal="left" vertical="top" wrapText="1" shrinkToFit="1"/>
    </xf>
    <xf numFmtId="0" fontId="11" fillId="0" borderId="11" xfId="0" applyFont="1" applyBorder="1" applyAlignment="1">
      <alignment horizontal="left" vertical="top" wrapText="1" shrinkToFit="1"/>
    </xf>
    <xf numFmtId="0" fontId="11" fillId="0" borderId="6" xfId="0" applyFont="1" applyBorder="1" applyAlignment="1">
      <alignment horizontal="left" vertical="top" wrapText="1" shrinkToFit="1"/>
    </xf>
    <xf numFmtId="0" fontId="11" fillId="0" borderId="12" xfId="0" applyFont="1" applyBorder="1" applyAlignment="1">
      <alignment horizontal="left" vertical="top" wrapText="1"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3" fillId="0" borderId="27"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0" xfId="0" applyFont="1" applyAlignment="1">
      <alignment horizontal="right"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1" fillId="3" borderId="2" xfId="0" applyFont="1" applyFill="1" applyBorder="1" applyAlignment="1">
      <alignment horizontal="center" vertical="center"/>
    </xf>
    <xf numFmtId="0" fontId="11" fillId="3" borderId="3" xfId="0" applyFont="1" applyFill="1" applyBorder="1" applyAlignment="1">
      <alignment horizontal="center" vertical="center"/>
    </xf>
    <xf numFmtId="0" fontId="11" fillId="3" borderId="4" xfId="0" applyFont="1" applyFill="1" applyBorder="1" applyAlignment="1">
      <alignment horizontal="center" vertical="center"/>
    </xf>
    <xf numFmtId="49" fontId="3" fillId="0" borderId="32" xfId="0" applyNumberFormat="1" applyFont="1" applyFill="1" applyBorder="1" applyAlignment="1">
      <alignment horizontal="left" vertical="center" wrapText="1"/>
    </xf>
    <xf numFmtId="49" fontId="3" fillId="0" borderId="33" xfId="0" applyNumberFormat="1" applyFont="1" applyFill="1" applyBorder="1" applyAlignment="1">
      <alignment horizontal="left" vertical="center"/>
    </xf>
    <xf numFmtId="49" fontId="3" fillId="0" borderId="34" xfId="0" applyNumberFormat="1" applyFont="1" applyFill="1" applyBorder="1" applyAlignment="1">
      <alignment horizontal="left" vertical="center"/>
    </xf>
    <xf numFmtId="49" fontId="3" fillId="0" borderId="29" xfId="0" applyNumberFormat="1" applyFont="1" applyFill="1" applyBorder="1" applyAlignment="1">
      <alignment horizontal="left" vertical="center" wrapText="1"/>
    </xf>
    <xf numFmtId="49" fontId="3" fillId="0" borderId="31" xfId="0" applyNumberFormat="1" applyFont="1" applyFill="1" applyBorder="1" applyAlignment="1">
      <alignment horizontal="left" vertical="center"/>
    </xf>
    <xf numFmtId="49" fontId="3" fillId="0" borderId="30" xfId="0" applyNumberFormat="1" applyFont="1" applyFill="1" applyBorder="1" applyAlignment="1">
      <alignment horizontal="left" vertical="center"/>
    </xf>
    <xf numFmtId="49" fontId="3" fillId="0" borderId="18" xfId="0" applyNumberFormat="1" applyFont="1" applyFill="1" applyBorder="1" applyAlignment="1">
      <alignment horizontal="left" vertical="center" wrapText="1"/>
    </xf>
    <xf numFmtId="49" fontId="3" fillId="0" borderId="19" xfId="0" applyNumberFormat="1" applyFont="1" applyFill="1" applyBorder="1" applyAlignment="1">
      <alignment horizontal="left" vertical="center"/>
    </xf>
    <xf numFmtId="49" fontId="3" fillId="0" borderId="17" xfId="0" applyNumberFormat="1" applyFont="1" applyFill="1" applyBorder="1" applyAlignment="1">
      <alignment horizontal="lef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7" xfId="0" applyFont="1" applyFill="1" applyBorder="1" applyAlignment="1">
      <alignment vertical="top" wrapText="1" shrinkToFit="1"/>
    </xf>
    <xf numFmtId="0" fontId="2" fillId="0" borderId="8" xfId="0" applyFont="1" applyFill="1" applyBorder="1" applyAlignment="1">
      <alignment vertical="top" wrapText="1" shrinkToFit="1"/>
    </xf>
    <xf numFmtId="0" fontId="2" fillId="0" borderId="9" xfId="0" applyFont="1" applyFill="1" applyBorder="1" applyAlignment="1">
      <alignment vertical="top" shrinkToFit="1"/>
    </xf>
    <xf numFmtId="0" fontId="2" fillId="0" borderId="5" xfId="0" applyFont="1" applyFill="1" applyBorder="1" applyAlignment="1">
      <alignment vertical="top" shrinkToFit="1"/>
    </xf>
    <xf numFmtId="0" fontId="2" fillId="0" borderId="0" xfId="0" applyFont="1" applyFill="1" applyAlignment="1">
      <alignment vertical="top" shrinkToFit="1"/>
    </xf>
    <xf numFmtId="0" fontId="2" fillId="0" borderId="10" xfId="0" applyFont="1" applyFill="1" applyBorder="1" applyAlignment="1">
      <alignment vertical="top" shrinkToFit="1"/>
    </xf>
    <xf numFmtId="0" fontId="2" fillId="0" borderId="11" xfId="0" applyFont="1" applyFill="1" applyBorder="1" applyAlignment="1">
      <alignment vertical="top" shrinkToFit="1"/>
    </xf>
    <xf numFmtId="0" fontId="2" fillId="0" borderId="6" xfId="0" applyFont="1" applyFill="1" applyBorder="1" applyAlignment="1">
      <alignment vertical="top" shrinkToFit="1"/>
    </xf>
    <xf numFmtId="0" fontId="2" fillId="0" borderId="12" xfId="0" applyFont="1" applyFill="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9" xfId="0" applyFont="1" applyBorder="1" applyAlignment="1">
      <alignment vertical="top" wrapText="1" shrinkToFit="1"/>
    </xf>
    <xf numFmtId="0" fontId="2" fillId="0" borderId="0" xfId="0" applyFont="1" applyBorder="1" applyAlignment="1">
      <alignment vertical="top" wrapText="1" shrinkToFit="1"/>
    </xf>
    <xf numFmtId="0" fontId="2" fillId="0" borderId="10" xfId="0" applyFont="1" applyBorder="1" applyAlignment="1">
      <alignment vertical="top" wrapText="1" shrinkToFit="1"/>
    </xf>
    <xf numFmtId="0" fontId="2" fillId="0" borderId="11" xfId="0" applyFont="1" applyBorder="1" applyAlignment="1">
      <alignment vertical="top" wrapText="1" shrinkToFi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6" xfId="0" applyFont="1" applyBorder="1">
      <alignment vertical="center"/>
    </xf>
    <xf numFmtId="0" fontId="2" fillId="2" borderId="2" xfId="0" applyFont="1" applyFill="1" applyBorder="1" applyAlignment="1">
      <alignment horizontal="center" vertical="center" shrinkToFit="1"/>
    </xf>
    <xf numFmtId="0" fontId="2" fillId="2" borderId="3" xfId="0" applyFont="1" applyFill="1" applyBorder="1" applyAlignment="1">
      <alignment horizontal="center" vertical="center" shrinkToFit="1"/>
    </xf>
    <xf numFmtId="0" fontId="2" fillId="2" borderId="4" xfId="0" applyFont="1" applyFill="1" applyBorder="1" applyAlignment="1">
      <alignment horizontal="center" vertical="center" shrinkToFit="1"/>
    </xf>
    <xf numFmtId="9" fontId="2" fillId="0" borderId="2" xfId="0" applyNumberFormat="1" applyFont="1" applyBorder="1" applyAlignment="1">
      <alignment horizontal="center" vertical="center" shrinkToFit="1"/>
    </xf>
    <xf numFmtId="9" fontId="2" fillId="0" borderId="4"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Border="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9" fontId="2" fillId="0" borderId="2" xfId="0" applyNumberFormat="1" applyFont="1" applyBorder="1" applyAlignment="1">
      <alignment horizontal="center" vertical="center" wrapText="1" shrinkToFit="1"/>
    </xf>
    <xf numFmtId="9" fontId="2" fillId="0" borderId="4"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Border="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lignment vertical="center"/>
    </xf>
    <xf numFmtId="0" fontId="2"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11" fillId="0" borderId="18" xfId="0" applyFont="1" applyFill="1" applyBorder="1" applyAlignment="1">
      <alignment vertical="top" wrapText="1" shrinkToFit="1"/>
    </xf>
    <xf numFmtId="0" fontId="11" fillId="0" borderId="19" xfId="0" applyFont="1" applyFill="1" applyBorder="1" applyAlignment="1">
      <alignment vertical="top" wrapText="1" shrinkToFit="1"/>
    </xf>
    <xf numFmtId="0" fontId="11" fillId="0" borderId="17" xfId="0" applyFont="1" applyFill="1" applyBorder="1" applyAlignment="1">
      <alignment vertical="top" wrapText="1" shrinkToFi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18" xfId="0" applyFont="1" applyFill="1" applyBorder="1" applyAlignment="1">
      <alignment vertical="top" wrapText="1" shrinkToFit="1"/>
    </xf>
    <xf numFmtId="0" fontId="2" fillId="0" borderId="19" xfId="0" applyFont="1" applyFill="1" applyBorder="1" applyAlignment="1">
      <alignment vertical="top" wrapText="1" shrinkToFit="1"/>
    </xf>
    <xf numFmtId="0" fontId="2" fillId="0" borderId="17" xfId="0" applyFont="1" applyFill="1" applyBorder="1" applyAlignment="1">
      <alignment vertical="top" wrapText="1" shrinkToFit="1"/>
    </xf>
    <xf numFmtId="0" fontId="2" fillId="0" borderId="46" xfId="0" applyFont="1" applyBorder="1" applyAlignment="1">
      <alignment vertical="center" wrapText="1"/>
    </xf>
    <xf numFmtId="0" fontId="2" fillId="0" borderId="34" xfId="0" applyFont="1" applyBorder="1" applyAlignment="1">
      <alignment vertical="center" wrapText="1"/>
    </xf>
    <xf numFmtId="0" fontId="11" fillId="0" borderId="32" xfId="0" applyFont="1" applyFill="1" applyBorder="1" applyAlignment="1">
      <alignment vertical="top" wrapText="1" shrinkToFit="1"/>
    </xf>
    <xf numFmtId="0" fontId="11" fillId="0" borderId="33" xfId="0" applyFont="1" applyFill="1" applyBorder="1" applyAlignment="1">
      <alignment vertical="top" wrapText="1" shrinkToFit="1"/>
    </xf>
    <xf numFmtId="0" fontId="11" fillId="0" borderId="34" xfId="0" applyFont="1" applyFill="1" applyBorder="1" applyAlignment="1">
      <alignment vertical="top" wrapText="1" shrinkToFit="1"/>
    </xf>
    <xf numFmtId="0" fontId="11" fillId="0" borderId="32" xfId="0" applyFont="1" applyBorder="1" applyAlignment="1">
      <alignment vertical="center" wrapText="1"/>
    </xf>
    <xf numFmtId="0" fontId="11" fillId="0" borderId="33" xfId="0" applyFont="1" applyBorder="1" applyAlignment="1">
      <alignment vertical="center" wrapText="1"/>
    </xf>
    <xf numFmtId="0" fontId="11" fillId="0" borderId="34" xfId="0" applyFont="1" applyBorder="1" applyAlignment="1">
      <alignment vertical="center" wrapText="1"/>
    </xf>
    <xf numFmtId="0" fontId="2" fillId="0" borderId="29" xfId="0" applyFont="1" applyBorder="1" applyAlignment="1">
      <alignment vertical="center" wrapText="1"/>
    </xf>
    <xf numFmtId="0" fontId="2" fillId="0" borderId="31" xfId="0" applyFont="1" applyBorder="1" applyAlignment="1">
      <alignment vertical="center" wrapText="1"/>
    </xf>
    <xf numFmtId="0" fontId="2" fillId="0" borderId="30" xfId="0" applyFont="1" applyBorder="1" applyAlignment="1">
      <alignment vertical="center" wrapText="1"/>
    </xf>
    <xf numFmtId="0" fontId="2" fillId="0" borderId="29" xfId="0" applyFont="1" applyFill="1" applyBorder="1" applyAlignment="1">
      <alignment vertical="top" wrapText="1" shrinkToFit="1"/>
    </xf>
    <xf numFmtId="0" fontId="2" fillId="0" borderId="31" xfId="0" applyFont="1" applyFill="1" applyBorder="1" applyAlignment="1">
      <alignment vertical="top" wrapText="1" shrinkToFit="1"/>
    </xf>
    <xf numFmtId="0" fontId="2" fillId="0" borderId="30" xfId="0" applyFont="1" applyFill="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colors>
    <mruColors>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04&#65289;&#12475;&#12531;&#12479;&#12540;&#31561;/05.&#24773;&#22577;&#25945;&#32946;&#12475;&#12531;&#12479;&#12540;/&#20849;&#26377;&#36039;&#26009;&#31561;/&#25968;&#29702;&#12539;AI&#12539;&#12487;&#12540;&#12479;&#12469;&#12452;&#12456;&#12531;&#12473;&#38306;&#36899;&#20107;&#38917;/%23&#20196;&#21644;7&#24180;&#24230;&#30003;&#35531;&#12395;&#21521;&#12369;&#12390;&#12398;&#28310;&#20633;/&#25552;&#20986;&#29289;/&#9312;&#30003;&#35531;&#29992;&#32025;1-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様式１　プログラムを構成する授業科目"/>
      <sheetName val="様式２ 履修者等数の実績"/>
      <sheetName val="様式３ 教育の質・履修者数を向上させるための体制・計画"/>
      <sheetName val="様式４　自己点検・評価"/>
    </sheetNames>
    <sheetDataSet>
      <sheetData sheetId="0"/>
      <sheetData sheetId="1">
        <row r="33">
          <cell r="S33">
            <v>5.8823529411764705E-3</v>
          </cell>
        </row>
      </sheetData>
      <sheetData sheetId="2"/>
      <sheetData sheetId="3"/>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A107"/>
  <sheetViews>
    <sheetView showZeros="0" tabSelected="1" view="pageBreakPreview" zoomScaleNormal="100" zoomScaleSheetLayoutView="100" workbookViewId="0">
      <selection activeCell="B90" sqref="B90:C90"/>
    </sheetView>
  </sheetViews>
  <sheetFormatPr defaultColWidth="9" defaultRowHeight="18.75" customHeight="1" x14ac:dyDescent="0.2"/>
  <cols>
    <col min="1" max="1" width="2.44140625" style="1" customWidth="1"/>
    <col min="2" max="2" width="16.44140625" style="1" customWidth="1"/>
    <col min="3" max="21" width="5.6640625" style="1" customWidth="1"/>
    <col min="22" max="22" width="9" style="1"/>
    <col min="23" max="23" width="3.6640625" style="1" customWidth="1"/>
    <col min="24" max="24" width="48.6640625" style="1" hidden="1" customWidth="1"/>
    <col min="25" max="26" width="9" style="1"/>
    <col min="27" max="27" width="9" style="1" hidden="1" customWidth="1"/>
    <col min="28" max="16384" width="9" style="1"/>
  </cols>
  <sheetData>
    <row r="1" spans="1:24" ht="18.600000000000001" customHeight="1" x14ac:dyDescent="0.2">
      <c r="T1" s="132" t="s">
        <v>12</v>
      </c>
      <c r="U1" s="132"/>
      <c r="V1" s="2" t="s">
        <v>94</v>
      </c>
    </row>
    <row r="2" spans="1:24" ht="18.75" customHeight="1" x14ac:dyDescent="0.2">
      <c r="B2" s="17" t="s">
        <v>93</v>
      </c>
      <c r="C2" s="133" t="s">
        <v>143</v>
      </c>
      <c r="D2" s="134"/>
      <c r="E2" s="134"/>
      <c r="F2" s="134"/>
      <c r="G2" s="134"/>
      <c r="H2" s="134"/>
      <c r="I2" s="134"/>
      <c r="J2" s="135"/>
      <c r="K2" s="18"/>
      <c r="L2" s="6"/>
      <c r="M2" s="6"/>
      <c r="N2" s="6"/>
      <c r="O2" s="6"/>
      <c r="P2" s="6"/>
      <c r="Q2" s="6"/>
      <c r="R2" s="6"/>
      <c r="S2" s="6"/>
      <c r="T2" s="6"/>
      <c r="U2" s="6"/>
    </row>
    <row r="3" spans="1:24" ht="18.75" customHeight="1" x14ac:dyDescent="0.2">
      <c r="B3" s="17" t="s">
        <v>88</v>
      </c>
      <c r="C3" s="136" t="s">
        <v>144</v>
      </c>
      <c r="D3" s="137"/>
      <c r="E3" s="137"/>
      <c r="F3" s="137"/>
      <c r="G3" s="137"/>
      <c r="H3" s="137"/>
      <c r="I3" s="137"/>
      <c r="J3" s="138"/>
      <c r="K3" s="18"/>
      <c r="L3" s="6"/>
      <c r="M3" s="6"/>
      <c r="N3" s="6"/>
      <c r="O3" s="6"/>
      <c r="P3" s="6"/>
      <c r="Q3" s="6"/>
      <c r="R3" s="6"/>
      <c r="S3" s="6"/>
      <c r="T3" s="6"/>
      <c r="U3" s="6"/>
    </row>
    <row r="4" spans="1:24" ht="15" customHeight="1" x14ac:dyDescent="0.2">
      <c r="L4" s="18"/>
      <c r="M4" s="70"/>
      <c r="N4" s="70"/>
      <c r="O4" s="70"/>
      <c r="P4" s="70"/>
      <c r="Q4" s="70"/>
      <c r="R4" s="70"/>
      <c r="S4" s="70"/>
      <c r="T4" s="70"/>
      <c r="U4" s="70"/>
    </row>
    <row r="5" spans="1:24" ht="18" customHeight="1" x14ac:dyDescent="0.2">
      <c r="A5" s="113" t="s">
        <v>141</v>
      </c>
      <c r="B5" s="113"/>
      <c r="C5" s="113"/>
      <c r="D5" s="113"/>
      <c r="E5" s="113"/>
      <c r="F5" s="113"/>
      <c r="G5" s="113"/>
      <c r="H5" s="113"/>
      <c r="I5" s="113"/>
      <c r="J5" s="113"/>
      <c r="K5" s="113"/>
      <c r="L5" s="113"/>
      <c r="M5" s="113"/>
      <c r="N5" s="113"/>
      <c r="O5" s="113"/>
      <c r="P5" s="113"/>
      <c r="Q5" s="113"/>
      <c r="R5" s="113"/>
      <c r="S5" s="113"/>
      <c r="T5" s="113"/>
      <c r="U5" s="113"/>
    </row>
    <row r="6" spans="1:24" ht="15" customHeight="1" x14ac:dyDescent="0.2">
      <c r="B6" s="3"/>
      <c r="C6" s="3"/>
      <c r="D6" s="3"/>
      <c r="E6" s="3"/>
      <c r="F6" s="3"/>
      <c r="G6" s="3"/>
      <c r="H6" s="3"/>
      <c r="I6" s="3"/>
      <c r="J6" s="3"/>
      <c r="K6" s="3"/>
      <c r="L6" s="3"/>
      <c r="M6" s="3"/>
      <c r="N6" s="3"/>
      <c r="O6" s="3"/>
      <c r="P6" s="3"/>
      <c r="Q6" s="3"/>
      <c r="R6" s="3"/>
      <c r="S6" s="3"/>
      <c r="T6" s="3"/>
      <c r="U6" s="3"/>
    </row>
    <row r="7" spans="1:24" ht="15" customHeight="1" x14ac:dyDescent="0.2">
      <c r="A7" s="1" t="s">
        <v>117</v>
      </c>
      <c r="B7" s="3"/>
      <c r="C7" s="3"/>
      <c r="D7" s="3"/>
      <c r="E7" s="3"/>
      <c r="F7" s="2"/>
      <c r="G7" s="2"/>
      <c r="H7" s="2"/>
      <c r="I7" s="2"/>
      <c r="J7" s="2"/>
      <c r="K7" s="2"/>
      <c r="L7" s="151" t="s">
        <v>145</v>
      </c>
      <c r="M7" s="152"/>
      <c r="N7" s="152"/>
      <c r="O7" s="152"/>
      <c r="P7" s="152"/>
      <c r="Q7" s="152"/>
      <c r="R7" s="152"/>
      <c r="S7" s="152"/>
      <c r="T7" s="152"/>
      <c r="U7" s="153"/>
    </row>
    <row r="8" spans="1:24" ht="6" customHeight="1" x14ac:dyDescent="0.2">
      <c r="B8" s="3"/>
      <c r="C8" s="3"/>
      <c r="D8" s="3"/>
      <c r="E8" s="3"/>
      <c r="F8" s="3"/>
      <c r="G8" s="3"/>
      <c r="H8" s="3"/>
      <c r="I8" s="3"/>
      <c r="J8" s="3"/>
      <c r="K8" s="3"/>
      <c r="L8" s="3"/>
      <c r="M8" s="3"/>
      <c r="N8" s="3"/>
      <c r="O8" s="3"/>
      <c r="P8" s="3"/>
      <c r="Q8" s="3"/>
      <c r="R8" s="3"/>
      <c r="S8" s="3"/>
      <c r="T8" s="3"/>
      <c r="U8" s="3"/>
    </row>
    <row r="9" spans="1:24" ht="18" customHeight="1" x14ac:dyDescent="0.2">
      <c r="A9" s="1" t="s">
        <v>118</v>
      </c>
      <c r="C9" s="3"/>
      <c r="D9" s="3"/>
      <c r="K9" s="18"/>
      <c r="L9" s="2"/>
      <c r="M9" s="2"/>
      <c r="N9" s="2"/>
      <c r="O9" s="2"/>
      <c r="P9" s="2"/>
      <c r="Q9" s="2"/>
      <c r="R9" s="2"/>
      <c r="S9" s="2"/>
      <c r="T9" s="2"/>
      <c r="U9" s="2"/>
    </row>
    <row r="10" spans="1:24" ht="6" customHeight="1" x14ac:dyDescent="0.2">
      <c r="B10" s="3"/>
      <c r="C10" s="3"/>
      <c r="D10" s="3"/>
      <c r="E10" s="3"/>
      <c r="F10" s="3"/>
      <c r="G10" s="3"/>
      <c r="H10" s="3"/>
      <c r="I10" s="3"/>
      <c r="J10" s="3"/>
      <c r="K10" s="3"/>
      <c r="L10" s="10"/>
      <c r="M10" s="3"/>
      <c r="N10" s="3"/>
      <c r="O10" s="3"/>
      <c r="P10" s="3"/>
      <c r="Q10" s="3"/>
      <c r="R10" s="3"/>
      <c r="S10" s="3"/>
      <c r="T10" s="3"/>
      <c r="U10" s="3"/>
    </row>
    <row r="11" spans="1:24" ht="18" customHeight="1" x14ac:dyDescent="0.2">
      <c r="B11" s="154"/>
      <c r="C11" s="155"/>
      <c r="D11" s="155"/>
      <c r="E11" s="155"/>
      <c r="F11" s="155"/>
      <c r="G11" s="155"/>
      <c r="H11" s="155"/>
      <c r="I11" s="155"/>
      <c r="J11" s="155"/>
      <c r="K11" s="155"/>
      <c r="L11" s="155"/>
      <c r="M11" s="155"/>
      <c r="N11" s="155"/>
      <c r="O11" s="155"/>
      <c r="P11" s="155"/>
      <c r="Q11" s="155"/>
      <c r="R11" s="155"/>
      <c r="S11" s="155"/>
      <c r="T11" s="155"/>
      <c r="U11" s="156"/>
    </row>
    <row r="12" spans="1:24" ht="18" customHeight="1" x14ac:dyDescent="0.2">
      <c r="B12" s="157"/>
      <c r="C12" s="158"/>
      <c r="D12" s="158"/>
      <c r="E12" s="158"/>
      <c r="F12" s="158"/>
      <c r="G12" s="158"/>
      <c r="H12" s="158"/>
      <c r="I12" s="158"/>
      <c r="J12" s="158"/>
      <c r="K12" s="158"/>
      <c r="L12" s="158"/>
      <c r="M12" s="158"/>
      <c r="N12" s="158"/>
      <c r="O12" s="158"/>
      <c r="P12" s="158"/>
      <c r="Q12" s="158"/>
      <c r="R12" s="158"/>
      <c r="S12" s="158"/>
      <c r="T12" s="158"/>
      <c r="U12" s="159"/>
    </row>
    <row r="13" spans="1:24" ht="6" customHeight="1" x14ac:dyDescent="0.2">
      <c r="B13" s="3"/>
      <c r="C13" s="3"/>
      <c r="D13" s="3"/>
      <c r="E13" s="3"/>
      <c r="F13" s="3"/>
      <c r="G13" s="3"/>
      <c r="H13" s="3"/>
      <c r="I13" s="3"/>
      <c r="J13" s="3"/>
      <c r="K13" s="3"/>
      <c r="L13" s="10"/>
      <c r="M13" s="3"/>
      <c r="N13" s="3"/>
      <c r="O13" s="3"/>
      <c r="P13" s="3"/>
      <c r="Q13" s="3"/>
      <c r="R13" s="3"/>
      <c r="S13" s="3"/>
      <c r="T13" s="3"/>
      <c r="U13" s="3"/>
    </row>
    <row r="14" spans="1:24" ht="18" customHeight="1" x14ac:dyDescent="0.2">
      <c r="A14" s="1" t="s">
        <v>95</v>
      </c>
      <c r="B14" s="3"/>
      <c r="C14" s="3"/>
      <c r="D14" s="3"/>
      <c r="E14" s="18"/>
      <c r="F14" s="18"/>
      <c r="G14" s="18"/>
      <c r="H14" s="18"/>
      <c r="I14" s="18"/>
      <c r="J14" s="18"/>
      <c r="K14" s="18"/>
      <c r="L14" s="71"/>
      <c r="M14" s="71"/>
      <c r="N14" s="71"/>
      <c r="O14" s="71"/>
      <c r="P14" s="71"/>
      <c r="Q14" s="71"/>
      <c r="R14" s="71"/>
      <c r="S14" s="71"/>
      <c r="T14" s="71"/>
      <c r="U14" s="71"/>
    </row>
    <row r="15" spans="1:24" ht="18" customHeight="1" x14ac:dyDescent="0.2">
      <c r="B15" s="114" t="s">
        <v>146</v>
      </c>
      <c r="C15" s="115"/>
      <c r="D15" s="115"/>
      <c r="E15" s="115"/>
      <c r="F15" s="115"/>
      <c r="G15" s="115"/>
      <c r="H15" s="115"/>
      <c r="I15" s="115"/>
      <c r="J15" s="115"/>
      <c r="K15" s="115"/>
      <c r="L15" s="115"/>
      <c r="M15" s="115"/>
      <c r="N15" s="115"/>
      <c r="O15" s="115"/>
      <c r="P15" s="115"/>
      <c r="Q15" s="115"/>
      <c r="R15" s="115"/>
      <c r="S15" s="115"/>
      <c r="T15" s="115"/>
      <c r="U15" s="116"/>
      <c r="X15" s="1" t="s">
        <v>89</v>
      </c>
    </row>
    <row r="16" spans="1:24" ht="18" customHeight="1" x14ac:dyDescent="0.2">
      <c r="B16" s="117"/>
      <c r="C16" s="118"/>
      <c r="D16" s="118"/>
      <c r="E16" s="118"/>
      <c r="F16" s="118"/>
      <c r="G16" s="118"/>
      <c r="H16" s="118"/>
      <c r="I16" s="118"/>
      <c r="J16" s="118"/>
      <c r="K16" s="118"/>
      <c r="L16" s="118"/>
      <c r="M16" s="118"/>
      <c r="N16" s="118"/>
      <c r="O16" s="118"/>
      <c r="P16" s="118"/>
      <c r="Q16" s="118"/>
      <c r="R16" s="118"/>
      <c r="S16" s="118"/>
      <c r="T16" s="118"/>
      <c r="U16" s="119"/>
      <c r="X16" s="1" t="s">
        <v>122</v>
      </c>
    </row>
    <row r="17" spans="1:24" ht="18" customHeight="1" x14ac:dyDescent="0.2">
      <c r="B17" s="117"/>
      <c r="C17" s="118"/>
      <c r="D17" s="118"/>
      <c r="E17" s="118"/>
      <c r="F17" s="118"/>
      <c r="G17" s="118"/>
      <c r="H17" s="118"/>
      <c r="I17" s="118"/>
      <c r="J17" s="118"/>
      <c r="K17" s="118"/>
      <c r="L17" s="118"/>
      <c r="M17" s="118"/>
      <c r="N17" s="118"/>
      <c r="O17" s="118"/>
      <c r="P17" s="118"/>
      <c r="Q17" s="118"/>
      <c r="R17" s="118"/>
      <c r="S17" s="118"/>
      <c r="T17" s="118"/>
      <c r="U17" s="119"/>
      <c r="X17" s="1" t="s">
        <v>123</v>
      </c>
    </row>
    <row r="18" spans="1:24" ht="18" customHeight="1" x14ac:dyDescent="0.2">
      <c r="B18" s="117"/>
      <c r="C18" s="118"/>
      <c r="D18" s="118"/>
      <c r="E18" s="118"/>
      <c r="F18" s="118"/>
      <c r="G18" s="118"/>
      <c r="H18" s="118"/>
      <c r="I18" s="118"/>
      <c r="J18" s="118"/>
      <c r="K18" s="118"/>
      <c r="L18" s="118"/>
      <c r="M18" s="118"/>
      <c r="N18" s="118"/>
      <c r="O18" s="118"/>
      <c r="P18" s="118"/>
      <c r="Q18" s="118"/>
      <c r="R18" s="118"/>
      <c r="S18" s="118"/>
      <c r="T18" s="118"/>
      <c r="U18" s="119"/>
      <c r="X18" s="1" t="s">
        <v>124</v>
      </c>
    </row>
    <row r="19" spans="1:24" ht="18" customHeight="1" x14ac:dyDescent="0.2">
      <c r="B19" s="117"/>
      <c r="C19" s="118"/>
      <c r="D19" s="118"/>
      <c r="E19" s="118"/>
      <c r="F19" s="118"/>
      <c r="G19" s="118"/>
      <c r="H19" s="118"/>
      <c r="I19" s="118"/>
      <c r="J19" s="118"/>
      <c r="K19" s="118"/>
      <c r="L19" s="118"/>
      <c r="M19" s="118"/>
      <c r="N19" s="118"/>
      <c r="O19" s="118"/>
      <c r="P19" s="118"/>
      <c r="Q19" s="118"/>
      <c r="R19" s="118"/>
      <c r="S19" s="118"/>
      <c r="T19" s="118"/>
      <c r="U19" s="119"/>
    </row>
    <row r="20" spans="1:24" ht="18" customHeight="1" x14ac:dyDescent="0.2">
      <c r="B20" s="120"/>
      <c r="C20" s="121"/>
      <c r="D20" s="121"/>
      <c r="E20" s="121"/>
      <c r="F20" s="121"/>
      <c r="G20" s="121"/>
      <c r="H20" s="121"/>
      <c r="I20" s="121"/>
      <c r="J20" s="121"/>
      <c r="K20" s="121"/>
      <c r="L20" s="121"/>
      <c r="M20" s="121"/>
      <c r="N20" s="121"/>
      <c r="O20" s="121"/>
      <c r="P20" s="121"/>
      <c r="Q20" s="121"/>
      <c r="R20" s="121"/>
      <c r="S20" s="121"/>
      <c r="T20" s="121"/>
      <c r="U20" s="122"/>
    </row>
    <row r="21" spans="1:24" ht="7.5" customHeight="1" x14ac:dyDescent="0.2">
      <c r="B21" s="3"/>
      <c r="C21" s="3"/>
      <c r="D21" s="3"/>
      <c r="E21" s="3"/>
      <c r="F21" s="3"/>
      <c r="G21" s="3"/>
      <c r="H21" s="3"/>
      <c r="I21" s="3"/>
      <c r="J21" s="3"/>
      <c r="K21" s="3"/>
      <c r="L21" s="3"/>
      <c r="M21" s="3"/>
      <c r="N21" s="3"/>
      <c r="O21" s="3"/>
      <c r="P21" s="3"/>
      <c r="Q21" s="3"/>
      <c r="R21" s="3"/>
      <c r="S21" s="3"/>
      <c r="T21" s="3"/>
      <c r="U21" s="3"/>
    </row>
    <row r="22" spans="1:24" ht="19.95" customHeight="1" x14ac:dyDescent="0.2">
      <c r="B22" s="1" t="s">
        <v>119</v>
      </c>
      <c r="E22" s="72">
        <v>1</v>
      </c>
      <c r="F22" s="1" t="s">
        <v>107</v>
      </c>
      <c r="H22" s="19">
        <v>2</v>
      </c>
      <c r="I22" s="3" t="s">
        <v>108</v>
      </c>
      <c r="J22" s="3"/>
      <c r="K22" s="18"/>
      <c r="M22" s="18" t="s">
        <v>104</v>
      </c>
      <c r="N22" s="148" t="s">
        <v>124</v>
      </c>
      <c r="O22" s="149"/>
      <c r="P22" s="149"/>
      <c r="Q22" s="149"/>
      <c r="R22" s="149"/>
      <c r="S22" s="149"/>
      <c r="T22" s="149"/>
      <c r="U22" s="150"/>
    </row>
    <row r="23" spans="1:24" ht="7.5" customHeight="1" x14ac:dyDescent="0.2">
      <c r="B23" s="3"/>
      <c r="C23" s="3"/>
      <c r="D23" s="3"/>
      <c r="E23" s="3"/>
      <c r="F23" s="3"/>
      <c r="G23" s="3"/>
      <c r="H23" s="3"/>
      <c r="I23" s="3"/>
      <c r="J23" s="3"/>
      <c r="K23" s="3"/>
      <c r="L23" s="3"/>
      <c r="M23" s="3"/>
      <c r="N23" s="3"/>
      <c r="O23" s="3"/>
      <c r="P23" s="3"/>
      <c r="Q23" s="3"/>
      <c r="R23" s="3"/>
      <c r="S23" s="3"/>
      <c r="T23" s="3"/>
      <c r="U23" s="3"/>
    </row>
    <row r="24" spans="1:24" ht="18" customHeight="1" x14ac:dyDescent="0.2">
      <c r="A24" s="95" t="s">
        <v>96</v>
      </c>
      <c r="B24" s="95"/>
      <c r="C24" s="95"/>
      <c r="D24" s="95"/>
      <c r="E24" s="95"/>
      <c r="F24" s="95"/>
      <c r="G24" s="95"/>
      <c r="H24" s="95"/>
      <c r="I24" s="95"/>
      <c r="J24" s="95"/>
      <c r="K24" s="95"/>
      <c r="L24" s="95"/>
      <c r="M24" s="95"/>
      <c r="N24" s="95"/>
      <c r="O24" s="95"/>
      <c r="P24" s="95"/>
      <c r="Q24" s="95"/>
      <c r="R24" s="95"/>
      <c r="S24" s="95"/>
      <c r="T24" s="95"/>
      <c r="U24" s="95"/>
    </row>
    <row r="25" spans="1:24" ht="18" customHeight="1" x14ac:dyDescent="0.2">
      <c r="A25" s="95"/>
      <c r="B25" s="95"/>
      <c r="C25" s="95"/>
      <c r="D25" s="95"/>
      <c r="E25" s="95"/>
      <c r="F25" s="95"/>
      <c r="G25" s="95"/>
      <c r="H25" s="95"/>
      <c r="I25" s="95"/>
      <c r="J25" s="95"/>
      <c r="K25" s="95"/>
      <c r="L25" s="95"/>
      <c r="M25" s="95"/>
      <c r="N25" s="95"/>
      <c r="O25" s="95"/>
      <c r="P25" s="95"/>
      <c r="Q25" s="95"/>
      <c r="R25" s="95"/>
      <c r="S25" s="95"/>
      <c r="T25" s="95"/>
      <c r="U25" s="95"/>
    </row>
    <row r="26" spans="1:24" ht="18" customHeight="1" x14ac:dyDescent="0.2">
      <c r="B26" s="102" t="s">
        <v>48</v>
      </c>
      <c r="C26" s="103"/>
      <c r="D26" s="103"/>
      <c r="E26" s="103"/>
      <c r="F26" s="104"/>
      <c r="G26" s="56" t="s">
        <v>73</v>
      </c>
      <c r="H26" s="57" t="s">
        <v>76</v>
      </c>
      <c r="I26" s="58" t="s">
        <v>51</v>
      </c>
      <c r="J26" s="58" t="s">
        <v>54</v>
      </c>
      <c r="K26" s="102" t="s">
        <v>48</v>
      </c>
      <c r="L26" s="103"/>
      <c r="M26" s="103"/>
      <c r="N26" s="103"/>
      <c r="O26" s="103"/>
      <c r="P26" s="103"/>
      <c r="Q26" s="104"/>
      <c r="R26" s="56" t="s">
        <v>73</v>
      </c>
      <c r="S26" s="57" t="s">
        <v>76</v>
      </c>
      <c r="T26" s="58" t="s">
        <v>51</v>
      </c>
      <c r="U26" s="58" t="s">
        <v>54</v>
      </c>
    </row>
    <row r="27" spans="1:24" ht="18" customHeight="1" x14ac:dyDescent="0.2">
      <c r="B27" s="96" t="s">
        <v>147</v>
      </c>
      <c r="C27" s="97"/>
      <c r="D27" s="97"/>
      <c r="E27" s="97"/>
      <c r="F27" s="98"/>
      <c r="G27" s="59">
        <v>2</v>
      </c>
      <c r="H27" s="59" t="s">
        <v>148</v>
      </c>
      <c r="I27" s="59" t="s">
        <v>148</v>
      </c>
      <c r="J27" s="59" t="s">
        <v>148</v>
      </c>
      <c r="K27" s="96"/>
      <c r="L27" s="97"/>
      <c r="M27" s="97"/>
      <c r="N27" s="97"/>
      <c r="O27" s="97"/>
      <c r="P27" s="97"/>
      <c r="Q27" s="98"/>
      <c r="R27" s="59"/>
      <c r="S27" s="59"/>
      <c r="T27" s="59"/>
      <c r="U27" s="59"/>
    </row>
    <row r="28" spans="1:24" ht="18" customHeight="1" x14ac:dyDescent="0.2">
      <c r="B28" s="89"/>
      <c r="C28" s="90"/>
      <c r="D28" s="90"/>
      <c r="E28" s="90"/>
      <c r="F28" s="91"/>
      <c r="G28" s="60"/>
      <c r="H28" s="60"/>
      <c r="I28" s="60"/>
      <c r="J28" s="60"/>
      <c r="K28" s="89"/>
      <c r="L28" s="90"/>
      <c r="M28" s="90"/>
      <c r="N28" s="90"/>
      <c r="O28" s="90"/>
      <c r="P28" s="90"/>
      <c r="Q28" s="91"/>
      <c r="R28" s="60"/>
      <c r="S28" s="60"/>
      <c r="T28" s="60"/>
      <c r="U28" s="60"/>
    </row>
    <row r="29" spans="1:24" ht="18" customHeight="1" x14ac:dyDescent="0.2">
      <c r="B29" s="89"/>
      <c r="C29" s="90"/>
      <c r="D29" s="90"/>
      <c r="E29" s="90"/>
      <c r="F29" s="91"/>
      <c r="G29" s="60"/>
      <c r="H29" s="60"/>
      <c r="I29" s="60"/>
      <c r="J29" s="60"/>
      <c r="K29" s="89"/>
      <c r="L29" s="90"/>
      <c r="M29" s="90"/>
      <c r="N29" s="90"/>
      <c r="O29" s="90"/>
      <c r="P29" s="90"/>
      <c r="Q29" s="91"/>
      <c r="R29" s="60"/>
      <c r="S29" s="60"/>
      <c r="T29" s="60"/>
      <c r="U29" s="60"/>
    </row>
    <row r="30" spans="1:24" ht="18" customHeight="1" x14ac:dyDescent="0.2">
      <c r="B30" s="89"/>
      <c r="C30" s="90"/>
      <c r="D30" s="90"/>
      <c r="E30" s="90"/>
      <c r="F30" s="91"/>
      <c r="G30" s="60"/>
      <c r="H30" s="60"/>
      <c r="I30" s="60"/>
      <c r="J30" s="60"/>
      <c r="K30" s="89"/>
      <c r="L30" s="90"/>
      <c r="M30" s="90"/>
      <c r="N30" s="90"/>
      <c r="O30" s="90"/>
      <c r="P30" s="90"/>
      <c r="Q30" s="91"/>
      <c r="R30" s="60"/>
      <c r="S30" s="60"/>
      <c r="T30" s="60"/>
      <c r="U30" s="60"/>
    </row>
    <row r="31" spans="1:24" ht="18" customHeight="1" x14ac:dyDescent="0.2">
      <c r="B31" s="89"/>
      <c r="C31" s="90"/>
      <c r="D31" s="90"/>
      <c r="E31" s="90"/>
      <c r="F31" s="91"/>
      <c r="G31" s="60"/>
      <c r="H31" s="60"/>
      <c r="I31" s="60"/>
      <c r="J31" s="60"/>
      <c r="K31" s="89"/>
      <c r="L31" s="90"/>
      <c r="M31" s="90"/>
      <c r="N31" s="90"/>
      <c r="O31" s="90"/>
      <c r="P31" s="90"/>
      <c r="Q31" s="91"/>
      <c r="R31" s="60"/>
      <c r="S31" s="60"/>
      <c r="T31" s="60"/>
      <c r="U31" s="60"/>
    </row>
    <row r="32" spans="1:24" ht="18" customHeight="1" x14ac:dyDescent="0.2">
      <c r="A32" s="3"/>
      <c r="B32" s="89"/>
      <c r="C32" s="90"/>
      <c r="D32" s="90"/>
      <c r="E32" s="90"/>
      <c r="F32" s="91"/>
      <c r="G32" s="60"/>
      <c r="H32" s="60"/>
      <c r="I32" s="60"/>
      <c r="J32" s="60"/>
      <c r="K32" s="89"/>
      <c r="L32" s="90"/>
      <c r="M32" s="90"/>
      <c r="N32" s="90"/>
      <c r="O32" s="90"/>
      <c r="P32" s="90"/>
      <c r="Q32" s="91"/>
      <c r="R32" s="60"/>
      <c r="S32" s="60"/>
      <c r="T32" s="60"/>
      <c r="U32" s="60"/>
    </row>
    <row r="33" spans="1:21" ht="18" customHeight="1" x14ac:dyDescent="0.2">
      <c r="A33" s="3"/>
      <c r="B33" s="92"/>
      <c r="C33" s="93"/>
      <c r="D33" s="93"/>
      <c r="E33" s="93"/>
      <c r="F33" s="94"/>
      <c r="G33" s="61"/>
      <c r="H33" s="61"/>
      <c r="I33" s="62"/>
      <c r="J33" s="62"/>
      <c r="K33" s="92"/>
      <c r="L33" s="93"/>
      <c r="M33" s="93"/>
      <c r="N33" s="93"/>
      <c r="O33" s="93"/>
      <c r="P33" s="93"/>
      <c r="Q33" s="94"/>
      <c r="R33" s="61"/>
      <c r="S33" s="61"/>
      <c r="T33" s="62"/>
      <c r="U33" s="62"/>
    </row>
    <row r="34" spans="1:21" ht="7.5" customHeight="1" x14ac:dyDescent="0.2">
      <c r="A34" s="3"/>
      <c r="B34" s="6"/>
      <c r="C34" s="6"/>
      <c r="D34" s="6"/>
      <c r="E34" s="3"/>
      <c r="F34" s="3"/>
      <c r="G34" s="3"/>
      <c r="H34" s="3"/>
      <c r="I34" s="6"/>
      <c r="J34" s="6"/>
      <c r="K34" s="6"/>
      <c r="L34" s="6"/>
      <c r="M34" s="6"/>
      <c r="N34" s="6"/>
      <c r="O34" s="6"/>
      <c r="P34" s="6"/>
      <c r="Q34" s="6"/>
      <c r="R34" s="6"/>
      <c r="S34" s="6"/>
      <c r="T34" s="6"/>
      <c r="U34" s="3"/>
    </row>
    <row r="35" spans="1:21" ht="18" customHeight="1" x14ac:dyDescent="0.2">
      <c r="A35" s="95" t="s">
        <v>97</v>
      </c>
      <c r="B35" s="95"/>
      <c r="C35" s="95"/>
      <c r="D35" s="95"/>
      <c r="E35" s="95"/>
      <c r="F35" s="95"/>
      <c r="G35" s="95"/>
      <c r="H35" s="95"/>
      <c r="I35" s="95"/>
      <c r="J35" s="95"/>
      <c r="K35" s="95"/>
      <c r="L35" s="95"/>
      <c r="M35" s="95"/>
      <c r="N35" s="95"/>
      <c r="O35" s="95"/>
      <c r="P35" s="95"/>
      <c r="Q35" s="95"/>
      <c r="R35" s="95"/>
      <c r="S35" s="95"/>
      <c r="T35" s="95"/>
      <c r="U35" s="95"/>
    </row>
    <row r="36" spans="1:21" ht="18" customHeight="1" x14ac:dyDescent="0.2">
      <c r="A36" s="95"/>
      <c r="B36" s="95"/>
      <c r="C36" s="95"/>
      <c r="D36" s="95"/>
      <c r="E36" s="95"/>
      <c r="F36" s="95"/>
      <c r="G36" s="95"/>
      <c r="H36" s="95"/>
      <c r="I36" s="95"/>
      <c r="J36" s="95"/>
      <c r="K36" s="95"/>
      <c r="L36" s="95"/>
      <c r="M36" s="95"/>
      <c r="N36" s="95"/>
      <c r="O36" s="95"/>
      <c r="P36" s="95"/>
      <c r="Q36" s="95"/>
      <c r="R36" s="95"/>
      <c r="S36" s="95"/>
      <c r="T36" s="95"/>
      <c r="U36" s="95"/>
    </row>
    <row r="37" spans="1:21" ht="18" customHeight="1" x14ac:dyDescent="0.2">
      <c r="B37" s="102" t="s">
        <v>48</v>
      </c>
      <c r="C37" s="103"/>
      <c r="D37" s="103"/>
      <c r="E37" s="103"/>
      <c r="F37" s="104"/>
      <c r="G37" s="56" t="s">
        <v>73</v>
      </c>
      <c r="H37" s="57" t="s">
        <v>76</v>
      </c>
      <c r="I37" s="58" t="s">
        <v>64</v>
      </c>
      <c r="J37" s="58" t="s">
        <v>65</v>
      </c>
      <c r="K37" s="102" t="s">
        <v>48</v>
      </c>
      <c r="L37" s="103"/>
      <c r="M37" s="103"/>
      <c r="N37" s="103"/>
      <c r="O37" s="103"/>
      <c r="P37" s="103"/>
      <c r="Q37" s="104"/>
      <c r="R37" s="56" t="s">
        <v>73</v>
      </c>
      <c r="S37" s="57" t="s">
        <v>76</v>
      </c>
      <c r="T37" s="58" t="s">
        <v>64</v>
      </c>
      <c r="U37" s="58" t="s">
        <v>65</v>
      </c>
    </row>
    <row r="38" spans="1:21" ht="18" customHeight="1" x14ac:dyDescent="0.2">
      <c r="B38" s="96" t="s">
        <v>147</v>
      </c>
      <c r="C38" s="97"/>
      <c r="D38" s="97"/>
      <c r="E38" s="97"/>
      <c r="F38" s="98"/>
      <c r="G38" s="59">
        <v>2</v>
      </c>
      <c r="H38" s="59" t="s">
        <v>148</v>
      </c>
      <c r="I38" s="59" t="s">
        <v>148</v>
      </c>
      <c r="J38" s="59" t="s">
        <v>148</v>
      </c>
      <c r="K38" s="96"/>
      <c r="L38" s="97"/>
      <c r="M38" s="97"/>
      <c r="N38" s="97"/>
      <c r="O38" s="97"/>
      <c r="P38" s="97"/>
      <c r="Q38" s="98"/>
      <c r="R38" s="59"/>
      <c r="S38" s="59"/>
      <c r="T38" s="59"/>
      <c r="U38" s="59"/>
    </row>
    <row r="39" spans="1:21" ht="18" customHeight="1" x14ac:dyDescent="0.2">
      <c r="B39" s="89"/>
      <c r="C39" s="90"/>
      <c r="D39" s="90"/>
      <c r="E39" s="90"/>
      <c r="F39" s="91"/>
      <c r="G39" s="60"/>
      <c r="H39" s="60"/>
      <c r="I39" s="60"/>
      <c r="J39" s="60"/>
      <c r="K39" s="89"/>
      <c r="L39" s="90"/>
      <c r="M39" s="90"/>
      <c r="N39" s="90"/>
      <c r="O39" s="90"/>
      <c r="P39" s="90"/>
      <c r="Q39" s="91"/>
      <c r="R39" s="60"/>
      <c r="S39" s="60"/>
      <c r="T39" s="60"/>
      <c r="U39" s="60"/>
    </row>
    <row r="40" spans="1:21" ht="18" customHeight="1" x14ac:dyDescent="0.2">
      <c r="B40" s="89"/>
      <c r="C40" s="90"/>
      <c r="D40" s="90"/>
      <c r="E40" s="90"/>
      <c r="F40" s="91"/>
      <c r="G40" s="60"/>
      <c r="H40" s="60"/>
      <c r="I40" s="60"/>
      <c r="J40" s="60"/>
      <c r="K40" s="89"/>
      <c r="L40" s="90"/>
      <c r="M40" s="90"/>
      <c r="N40" s="90"/>
      <c r="O40" s="90"/>
      <c r="P40" s="90"/>
      <c r="Q40" s="91"/>
      <c r="R40" s="60"/>
      <c r="S40" s="60"/>
      <c r="T40" s="60"/>
      <c r="U40" s="60"/>
    </row>
    <row r="41" spans="1:21" ht="18" customHeight="1" x14ac:dyDescent="0.2">
      <c r="B41" s="89"/>
      <c r="C41" s="90"/>
      <c r="D41" s="90"/>
      <c r="E41" s="90"/>
      <c r="F41" s="91"/>
      <c r="G41" s="60"/>
      <c r="H41" s="60"/>
      <c r="I41" s="60"/>
      <c r="J41" s="60"/>
      <c r="K41" s="89"/>
      <c r="L41" s="90"/>
      <c r="M41" s="90"/>
      <c r="N41" s="90"/>
      <c r="O41" s="90"/>
      <c r="P41" s="90"/>
      <c r="Q41" s="91"/>
      <c r="R41" s="60"/>
      <c r="S41" s="60"/>
      <c r="T41" s="60"/>
      <c r="U41" s="60"/>
    </row>
    <row r="42" spans="1:21" ht="18" customHeight="1" x14ac:dyDescent="0.2">
      <c r="B42" s="89"/>
      <c r="C42" s="90"/>
      <c r="D42" s="90"/>
      <c r="E42" s="90"/>
      <c r="F42" s="91"/>
      <c r="G42" s="60"/>
      <c r="H42" s="60"/>
      <c r="I42" s="60"/>
      <c r="J42" s="60"/>
      <c r="K42" s="89"/>
      <c r="L42" s="90"/>
      <c r="M42" s="90"/>
      <c r="N42" s="90"/>
      <c r="O42" s="90"/>
      <c r="P42" s="90"/>
      <c r="Q42" s="91"/>
      <c r="R42" s="60"/>
      <c r="S42" s="60"/>
      <c r="T42" s="60"/>
      <c r="U42" s="60"/>
    </row>
    <row r="43" spans="1:21" ht="18" customHeight="1" x14ac:dyDescent="0.2">
      <c r="B43" s="89"/>
      <c r="C43" s="90"/>
      <c r="D43" s="90"/>
      <c r="E43" s="90"/>
      <c r="F43" s="91"/>
      <c r="G43" s="60"/>
      <c r="H43" s="60"/>
      <c r="I43" s="60"/>
      <c r="J43" s="60"/>
      <c r="K43" s="89"/>
      <c r="L43" s="90"/>
      <c r="M43" s="90"/>
      <c r="N43" s="90"/>
      <c r="O43" s="90"/>
      <c r="P43" s="90"/>
      <c r="Q43" s="91"/>
      <c r="R43" s="60"/>
      <c r="S43" s="60"/>
      <c r="T43" s="60"/>
      <c r="U43" s="60"/>
    </row>
    <row r="44" spans="1:21" ht="18" customHeight="1" x14ac:dyDescent="0.2">
      <c r="B44" s="92"/>
      <c r="C44" s="93"/>
      <c r="D44" s="93"/>
      <c r="E44" s="93"/>
      <c r="F44" s="94"/>
      <c r="G44" s="61"/>
      <c r="H44" s="61"/>
      <c r="I44" s="62"/>
      <c r="J44" s="62"/>
      <c r="K44" s="92"/>
      <c r="L44" s="93"/>
      <c r="M44" s="93"/>
      <c r="N44" s="93"/>
      <c r="O44" s="93"/>
      <c r="P44" s="93"/>
      <c r="Q44" s="94"/>
      <c r="R44" s="61"/>
      <c r="S44" s="61"/>
      <c r="T44" s="62"/>
      <c r="U44" s="62"/>
    </row>
    <row r="45" spans="1:21" ht="7.5" customHeight="1" x14ac:dyDescent="0.2">
      <c r="A45" s="3"/>
      <c r="B45" s="6"/>
      <c r="C45" s="6"/>
      <c r="D45" s="6"/>
      <c r="E45" s="3"/>
      <c r="F45" s="3"/>
      <c r="G45" s="3"/>
      <c r="H45" s="3"/>
      <c r="I45" s="6"/>
      <c r="J45" s="6"/>
      <c r="K45" s="6"/>
      <c r="L45" s="6"/>
      <c r="M45" s="6"/>
      <c r="N45" s="6"/>
      <c r="O45" s="6"/>
      <c r="P45" s="6"/>
      <c r="Q45" s="6"/>
      <c r="R45" s="6"/>
      <c r="S45" s="6"/>
      <c r="T45" s="6"/>
      <c r="U45" s="3"/>
    </row>
    <row r="46" spans="1:21" ht="18" customHeight="1" x14ac:dyDescent="0.2">
      <c r="A46" s="95" t="s">
        <v>98</v>
      </c>
      <c r="B46" s="95"/>
      <c r="C46" s="95"/>
      <c r="D46" s="95"/>
      <c r="E46" s="95"/>
      <c r="F46" s="95"/>
      <c r="G46" s="95"/>
      <c r="H46" s="95"/>
      <c r="I46" s="95"/>
      <c r="J46" s="95"/>
      <c r="K46" s="95"/>
      <c r="L46" s="95"/>
      <c r="M46" s="95"/>
      <c r="N46" s="95"/>
      <c r="O46" s="95"/>
      <c r="P46" s="95"/>
      <c r="Q46" s="95"/>
      <c r="R46" s="95"/>
      <c r="S46" s="95"/>
      <c r="T46" s="95"/>
      <c r="U46" s="95"/>
    </row>
    <row r="47" spans="1:21" ht="18" customHeight="1" x14ac:dyDescent="0.2">
      <c r="A47" s="95"/>
      <c r="B47" s="95"/>
      <c r="C47" s="95"/>
      <c r="D47" s="95"/>
      <c r="E47" s="95"/>
      <c r="F47" s="95"/>
      <c r="G47" s="95"/>
      <c r="H47" s="95"/>
      <c r="I47" s="95"/>
      <c r="J47" s="95"/>
      <c r="K47" s="95"/>
      <c r="L47" s="95"/>
      <c r="M47" s="95"/>
      <c r="N47" s="95"/>
      <c r="O47" s="95"/>
      <c r="P47" s="95"/>
      <c r="Q47" s="95"/>
      <c r="R47" s="95"/>
      <c r="S47" s="95"/>
      <c r="T47" s="95"/>
      <c r="U47" s="95"/>
    </row>
    <row r="48" spans="1:21" ht="18" customHeight="1" x14ac:dyDescent="0.2">
      <c r="B48" s="102" t="s">
        <v>48</v>
      </c>
      <c r="C48" s="103"/>
      <c r="D48" s="103"/>
      <c r="E48" s="103"/>
      <c r="F48" s="104"/>
      <c r="G48" s="56" t="s">
        <v>73</v>
      </c>
      <c r="H48" s="57" t="s">
        <v>76</v>
      </c>
      <c r="I48" s="58" t="s">
        <v>66</v>
      </c>
      <c r="J48" s="58" t="s">
        <v>67</v>
      </c>
      <c r="K48" s="102" t="s">
        <v>48</v>
      </c>
      <c r="L48" s="103"/>
      <c r="M48" s="103"/>
      <c r="N48" s="103"/>
      <c r="O48" s="103"/>
      <c r="P48" s="103"/>
      <c r="Q48" s="104"/>
      <c r="R48" s="56" t="s">
        <v>73</v>
      </c>
      <c r="S48" s="57" t="s">
        <v>76</v>
      </c>
      <c r="T48" s="58" t="s">
        <v>66</v>
      </c>
      <c r="U48" s="58" t="s">
        <v>67</v>
      </c>
    </row>
    <row r="49" spans="1:21" ht="18" customHeight="1" x14ac:dyDescent="0.2">
      <c r="A49" s="3"/>
      <c r="B49" s="96" t="s">
        <v>147</v>
      </c>
      <c r="C49" s="97"/>
      <c r="D49" s="97"/>
      <c r="E49" s="97"/>
      <c r="F49" s="98"/>
      <c r="G49" s="59">
        <v>2</v>
      </c>
      <c r="H49" s="59" t="s">
        <v>148</v>
      </c>
      <c r="I49" s="59" t="s">
        <v>148</v>
      </c>
      <c r="J49" s="59" t="s">
        <v>148</v>
      </c>
      <c r="K49" s="96"/>
      <c r="L49" s="97"/>
      <c r="M49" s="97"/>
      <c r="N49" s="97"/>
      <c r="O49" s="97"/>
      <c r="P49" s="97"/>
      <c r="Q49" s="98"/>
      <c r="R49" s="59"/>
      <c r="S49" s="59"/>
      <c r="T49" s="59"/>
      <c r="U49" s="59"/>
    </row>
    <row r="50" spans="1:21" ht="18" customHeight="1" x14ac:dyDescent="0.2">
      <c r="A50" s="3"/>
      <c r="B50" s="89"/>
      <c r="C50" s="90"/>
      <c r="D50" s="90"/>
      <c r="E50" s="90"/>
      <c r="F50" s="91"/>
      <c r="G50" s="60"/>
      <c r="H50" s="60"/>
      <c r="I50" s="60"/>
      <c r="J50" s="60"/>
      <c r="K50" s="89"/>
      <c r="L50" s="90"/>
      <c r="M50" s="90"/>
      <c r="N50" s="90"/>
      <c r="O50" s="90"/>
      <c r="P50" s="90"/>
      <c r="Q50" s="91"/>
      <c r="R50" s="60"/>
      <c r="S50" s="60"/>
      <c r="T50" s="60"/>
      <c r="U50" s="60"/>
    </row>
    <row r="51" spans="1:21" ht="18" customHeight="1" x14ac:dyDescent="0.2">
      <c r="A51" s="3"/>
      <c r="B51" s="89"/>
      <c r="C51" s="90"/>
      <c r="D51" s="90"/>
      <c r="E51" s="90"/>
      <c r="F51" s="91"/>
      <c r="G51" s="60"/>
      <c r="H51" s="60"/>
      <c r="I51" s="60"/>
      <c r="J51" s="60"/>
      <c r="K51" s="89"/>
      <c r="L51" s="90"/>
      <c r="M51" s="90"/>
      <c r="N51" s="90"/>
      <c r="O51" s="90"/>
      <c r="P51" s="90"/>
      <c r="Q51" s="91"/>
      <c r="R51" s="60"/>
      <c r="S51" s="60"/>
      <c r="T51" s="60"/>
      <c r="U51" s="60"/>
    </row>
    <row r="52" spans="1:21" ht="18" customHeight="1" x14ac:dyDescent="0.2">
      <c r="A52" s="3"/>
      <c r="B52" s="89"/>
      <c r="C52" s="90"/>
      <c r="D52" s="90"/>
      <c r="E52" s="90"/>
      <c r="F52" s="91"/>
      <c r="G52" s="60"/>
      <c r="H52" s="60"/>
      <c r="I52" s="60"/>
      <c r="J52" s="60"/>
      <c r="K52" s="89"/>
      <c r="L52" s="90"/>
      <c r="M52" s="90"/>
      <c r="N52" s="90"/>
      <c r="O52" s="90"/>
      <c r="P52" s="90"/>
      <c r="Q52" s="91"/>
      <c r="R52" s="60"/>
      <c r="S52" s="60"/>
      <c r="T52" s="60"/>
      <c r="U52" s="60"/>
    </row>
    <row r="53" spans="1:21" ht="18" customHeight="1" x14ac:dyDescent="0.2">
      <c r="A53" s="3"/>
      <c r="B53" s="89"/>
      <c r="C53" s="90"/>
      <c r="D53" s="90"/>
      <c r="E53" s="90"/>
      <c r="F53" s="91"/>
      <c r="G53" s="60"/>
      <c r="H53" s="60"/>
      <c r="I53" s="60"/>
      <c r="J53" s="60"/>
      <c r="K53" s="89"/>
      <c r="L53" s="90"/>
      <c r="M53" s="90"/>
      <c r="N53" s="90"/>
      <c r="O53" s="90"/>
      <c r="P53" s="90"/>
      <c r="Q53" s="91"/>
      <c r="R53" s="60"/>
      <c r="S53" s="60"/>
      <c r="T53" s="60"/>
      <c r="U53" s="60"/>
    </row>
    <row r="54" spans="1:21" ht="18" customHeight="1" x14ac:dyDescent="0.2">
      <c r="A54" s="3"/>
      <c r="B54" s="89"/>
      <c r="C54" s="90"/>
      <c r="D54" s="90"/>
      <c r="E54" s="90"/>
      <c r="F54" s="91"/>
      <c r="G54" s="60"/>
      <c r="H54" s="60"/>
      <c r="I54" s="60"/>
      <c r="J54" s="60"/>
      <c r="K54" s="89"/>
      <c r="L54" s="90"/>
      <c r="M54" s="90"/>
      <c r="N54" s="90"/>
      <c r="O54" s="90"/>
      <c r="P54" s="90"/>
      <c r="Q54" s="91"/>
      <c r="R54" s="60"/>
      <c r="S54" s="60"/>
      <c r="T54" s="60"/>
      <c r="U54" s="60"/>
    </row>
    <row r="55" spans="1:21" ht="18" customHeight="1" x14ac:dyDescent="0.2">
      <c r="A55" s="3"/>
      <c r="B55" s="92"/>
      <c r="C55" s="93"/>
      <c r="D55" s="93"/>
      <c r="E55" s="93"/>
      <c r="F55" s="94"/>
      <c r="G55" s="61"/>
      <c r="H55" s="61"/>
      <c r="I55" s="62"/>
      <c r="J55" s="62"/>
      <c r="K55" s="92"/>
      <c r="L55" s="93"/>
      <c r="M55" s="93"/>
      <c r="N55" s="93"/>
      <c r="O55" s="93"/>
      <c r="P55" s="93"/>
      <c r="Q55" s="94"/>
      <c r="R55" s="61"/>
      <c r="S55" s="61"/>
      <c r="T55" s="62"/>
      <c r="U55" s="62"/>
    </row>
    <row r="56" spans="1:21" ht="7.5" customHeight="1" x14ac:dyDescent="0.2">
      <c r="B56" s="14"/>
      <c r="C56" s="14"/>
      <c r="D56" s="14"/>
      <c r="E56" s="14"/>
      <c r="F56" s="14"/>
      <c r="G56" s="14"/>
      <c r="H56" s="14"/>
      <c r="I56" s="14"/>
      <c r="J56" s="14"/>
      <c r="K56" s="14"/>
      <c r="L56" s="14"/>
      <c r="M56" s="14"/>
      <c r="N56" s="14"/>
      <c r="O56" s="14"/>
      <c r="P56" s="14"/>
      <c r="Q56" s="14"/>
      <c r="R56" s="14"/>
      <c r="S56" s="14"/>
      <c r="T56" s="14"/>
    </row>
    <row r="57" spans="1:21" ht="18" customHeight="1" x14ac:dyDescent="0.2">
      <c r="A57" s="95" t="s">
        <v>99</v>
      </c>
      <c r="B57" s="95"/>
      <c r="C57" s="95"/>
      <c r="D57" s="95"/>
      <c r="E57" s="95"/>
      <c r="F57" s="95"/>
      <c r="G57" s="95"/>
      <c r="H57" s="95"/>
      <c r="I57" s="95"/>
      <c r="J57" s="95"/>
      <c r="K57" s="95"/>
      <c r="L57" s="95"/>
      <c r="M57" s="95"/>
      <c r="N57" s="95"/>
      <c r="O57" s="95"/>
      <c r="P57" s="95"/>
      <c r="Q57" s="95"/>
      <c r="R57" s="95"/>
      <c r="S57" s="95"/>
      <c r="T57" s="95"/>
      <c r="U57" s="95"/>
    </row>
    <row r="58" spans="1:21" ht="18" customHeight="1" x14ac:dyDescent="0.2">
      <c r="A58" s="95"/>
      <c r="B58" s="95"/>
      <c r="C58" s="95"/>
      <c r="D58" s="95"/>
      <c r="E58" s="95"/>
      <c r="F58" s="95"/>
      <c r="G58" s="95"/>
      <c r="H58" s="95"/>
      <c r="I58" s="95"/>
      <c r="J58" s="95"/>
      <c r="K58" s="95"/>
      <c r="L58" s="95"/>
      <c r="M58" s="95"/>
      <c r="N58" s="95"/>
      <c r="O58" s="95"/>
      <c r="P58" s="95"/>
      <c r="Q58" s="95"/>
      <c r="R58" s="95"/>
      <c r="S58" s="95"/>
      <c r="T58" s="95"/>
      <c r="U58" s="95"/>
    </row>
    <row r="59" spans="1:21" ht="18" customHeight="1" x14ac:dyDescent="0.2">
      <c r="B59" s="102" t="s">
        <v>48</v>
      </c>
      <c r="C59" s="103"/>
      <c r="D59" s="103"/>
      <c r="E59" s="103"/>
      <c r="F59" s="104"/>
      <c r="G59" s="56" t="s">
        <v>73</v>
      </c>
      <c r="H59" s="57" t="s">
        <v>76</v>
      </c>
      <c r="I59" s="58" t="s">
        <v>53</v>
      </c>
      <c r="J59" s="58" t="s">
        <v>55</v>
      </c>
      <c r="K59" s="102" t="s">
        <v>48</v>
      </c>
      <c r="L59" s="103"/>
      <c r="M59" s="103"/>
      <c r="N59" s="103"/>
      <c r="O59" s="103"/>
      <c r="P59" s="103"/>
      <c r="Q59" s="104"/>
      <c r="R59" s="56" t="s">
        <v>73</v>
      </c>
      <c r="S59" s="57" t="s">
        <v>76</v>
      </c>
      <c r="T59" s="58" t="s">
        <v>53</v>
      </c>
      <c r="U59" s="58" t="s">
        <v>55</v>
      </c>
    </row>
    <row r="60" spans="1:21" ht="18" customHeight="1" x14ac:dyDescent="0.2">
      <c r="A60" s="3"/>
      <c r="B60" s="96" t="s">
        <v>147</v>
      </c>
      <c r="C60" s="97"/>
      <c r="D60" s="97"/>
      <c r="E60" s="97"/>
      <c r="F60" s="98"/>
      <c r="G60" s="59">
        <v>2</v>
      </c>
      <c r="H60" s="59" t="s">
        <v>148</v>
      </c>
      <c r="I60" s="59" t="s">
        <v>148</v>
      </c>
      <c r="J60" s="59" t="s">
        <v>148</v>
      </c>
      <c r="K60" s="96"/>
      <c r="L60" s="97"/>
      <c r="M60" s="97"/>
      <c r="N60" s="97"/>
      <c r="O60" s="97"/>
      <c r="P60" s="97"/>
      <c r="Q60" s="98"/>
      <c r="R60" s="59"/>
      <c r="S60" s="59"/>
      <c r="T60" s="59"/>
      <c r="U60" s="59"/>
    </row>
    <row r="61" spans="1:21" ht="18" customHeight="1" x14ac:dyDescent="0.2">
      <c r="A61" s="3"/>
      <c r="B61" s="89"/>
      <c r="C61" s="90"/>
      <c r="D61" s="90"/>
      <c r="E61" s="90"/>
      <c r="F61" s="91"/>
      <c r="G61" s="60"/>
      <c r="H61" s="60"/>
      <c r="I61" s="60"/>
      <c r="J61" s="60"/>
      <c r="K61" s="89"/>
      <c r="L61" s="90"/>
      <c r="M61" s="90"/>
      <c r="N61" s="90"/>
      <c r="O61" s="90"/>
      <c r="P61" s="90"/>
      <c r="Q61" s="91"/>
      <c r="R61" s="60"/>
      <c r="S61" s="60"/>
      <c r="T61" s="60"/>
      <c r="U61" s="60"/>
    </row>
    <row r="62" spans="1:21" ht="18" customHeight="1" x14ac:dyDescent="0.2">
      <c r="A62" s="3"/>
      <c r="B62" s="89"/>
      <c r="C62" s="90"/>
      <c r="D62" s="90"/>
      <c r="E62" s="90"/>
      <c r="F62" s="91"/>
      <c r="G62" s="60"/>
      <c r="H62" s="60"/>
      <c r="I62" s="60"/>
      <c r="J62" s="60"/>
      <c r="K62" s="89"/>
      <c r="L62" s="90"/>
      <c r="M62" s="90"/>
      <c r="N62" s="90"/>
      <c r="O62" s="90"/>
      <c r="P62" s="90"/>
      <c r="Q62" s="91"/>
      <c r="R62" s="60"/>
      <c r="S62" s="60"/>
      <c r="T62" s="60"/>
      <c r="U62" s="60"/>
    </row>
    <row r="63" spans="1:21" ht="18" customHeight="1" x14ac:dyDescent="0.2">
      <c r="A63" s="3"/>
      <c r="B63" s="89"/>
      <c r="C63" s="90"/>
      <c r="D63" s="90"/>
      <c r="E63" s="90"/>
      <c r="F63" s="91"/>
      <c r="G63" s="60"/>
      <c r="H63" s="60"/>
      <c r="I63" s="60"/>
      <c r="J63" s="60"/>
      <c r="K63" s="89"/>
      <c r="L63" s="90"/>
      <c r="M63" s="90"/>
      <c r="N63" s="90"/>
      <c r="O63" s="90"/>
      <c r="P63" s="90"/>
      <c r="Q63" s="91"/>
      <c r="R63" s="60"/>
      <c r="S63" s="60"/>
      <c r="T63" s="60"/>
      <c r="U63" s="60"/>
    </row>
    <row r="64" spans="1:21" ht="18" customHeight="1" x14ac:dyDescent="0.2">
      <c r="A64" s="3"/>
      <c r="B64" s="89"/>
      <c r="C64" s="90"/>
      <c r="D64" s="90"/>
      <c r="E64" s="90"/>
      <c r="F64" s="91"/>
      <c r="G64" s="60"/>
      <c r="H64" s="60"/>
      <c r="I64" s="60"/>
      <c r="J64" s="60"/>
      <c r="K64" s="89"/>
      <c r="L64" s="90"/>
      <c r="M64" s="90"/>
      <c r="N64" s="90"/>
      <c r="O64" s="90"/>
      <c r="P64" s="90"/>
      <c r="Q64" s="91"/>
      <c r="R64" s="60"/>
      <c r="S64" s="60"/>
      <c r="T64" s="60"/>
      <c r="U64" s="60"/>
    </row>
    <row r="65" spans="1:27" ht="18" customHeight="1" x14ac:dyDescent="0.2">
      <c r="A65" s="3"/>
      <c r="B65" s="89"/>
      <c r="C65" s="90"/>
      <c r="D65" s="90"/>
      <c r="E65" s="90"/>
      <c r="F65" s="91"/>
      <c r="G65" s="60"/>
      <c r="H65" s="60"/>
      <c r="I65" s="60"/>
      <c r="J65" s="60"/>
      <c r="K65" s="89"/>
      <c r="L65" s="90"/>
      <c r="M65" s="90"/>
      <c r="N65" s="90"/>
      <c r="O65" s="90"/>
      <c r="P65" s="90"/>
      <c r="Q65" s="91"/>
      <c r="R65" s="60"/>
      <c r="S65" s="60"/>
      <c r="T65" s="60"/>
      <c r="U65" s="60"/>
    </row>
    <row r="66" spans="1:27" ht="18" customHeight="1" x14ac:dyDescent="0.2">
      <c r="A66" s="3"/>
      <c r="B66" s="92"/>
      <c r="C66" s="93"/>
      <c r="D66" s="93"/>
      <c r="E66" s="93"/>
      <c r="F66" s="94"/>
      <c r="G66" s="61"/>
      <c r="H66" s="61"/>
      <c r="I66" s="62"/>
      <c r="J66" s="62"/>
      <c r="K66" s="92"/>
      <c r="L66" s="93"/>
      <c r="M66" s="93"/>
      <c r="N66" s="93"/>
      <c r="O66" s="93"/>
      <c r="P66" s="93"/>
      <c r="Q66" s="94"/>
      <c r="R66" s="61"/>
      <c r="S66" s="61"/>
      <c r="T66" s="62"/>
      <c r="U66" s="62"/>
    </row>
    <row r="67" spans="1:27" ht="7.5" customHeight="1" x14ac:dyDescent="0.2">
      <c r="B67" s="14"/>
      <c r="C67" s="14"/>
      <c r="D67" s="14"/>
      <c r="E67" s="14"/>
      <c r="F67" s="14"/>
      <c r="G67" s="14"/>
      <c r="H67" s="14"/>
      <c r="I67" s="14"/>
      <c r="J67" s="14"/>
      <c r="K67" s="14"/>
      <c r="L67" s="14"/>
      <c r="M67" s="14"/>
      <c r="N67" s="14"/>
      <c r="O67" s="14"/>
      <c r="P67" s="14"/>
      <c r="Q67" s="14"/>
      <c r="R67" s="14"/>
      <c r="S67" s="14"/>
      <c r="T67" s="14"/>
    </row>
    <row r="68" spans="1:27" ht="18" customHeight="1" x14ac:dyDescent="0.2">
      <c r="A68" s="95" t="s">
        <v>100</v>
      </c>
      <c r="B68" s="95"/>
      <c r="C68" s="95"/>
      <c r="D68" s="95"/>
      <c r="E68" s="95"/>
      <c r="F68" s="95"/>
      <c r="G68" s="95"/>
      <c r="H68" s="95"/>
      <c r="I68" s="95"/>
      <c r="J68" s="95"/>
      <c r="K68" s="95"/>
      <c r="L68" s="95"/>
      <c r="M68" s="95"/>
      <c r="N68" s="95"/>
      <c r="O68" s="95"/>
      <c r="P68" s="95"/>
      <c r="Q68" s="95"/>
      <c r="R68" s="95"/>
      <c r="S68" s="95"/>
      <c r="T68" s="95"/>
      <c r="U68" s="95"/>
    </row>
    <row r="69" spans="1:27" ht="18" customHeight="1" x14ac:dyDescent="0.2">
      <c r="A69" s="95"/>
      <c r="B69" s="95"/>
      <c r="C69" s="95"/>
      <c r="D69" s="95"/>
      <c r="E69" s="95"/>
      <c r="F69" s="95"/>
      <c r="G69" s="95"/>
      <c r="H69" s="95"/>
      <c r="I69" s="95"/>
      <c r="J69" s="95"/>
      <c r="K69" s="95"/>
      <c r="L69" s="95"/>
      <c r="M69" s="95"/>
      <c r="N69" s="95"/>
      <c r="O69" s="95"/>
      <c r="P69" s="95"/>
      <c r="Q69" s="95"/>
      <c r="R69" s="95"/>
      <c r="S69" s="95"/>
      <c r="T69" s="95"/>
      <c r="U69" s="95"/>
    </row>
    <row r="70" spans="1:27" ht="18" customHeight="1" x14ac:dyDescent="0.2">
      <c r="B70" s="102" t="s">
        <v>48</v>
      </c>
      <c r="C70" s="103"/>
      <c r="D70" s="103"/>
      <c r="E70" s="103"/>
      <c r="F70" s="56" t="s">
        <v>73</v>
      </c>
      <c r="G70" s="57" t="s">
        <v>76</v>
      </c>
      <c r="H70" s="58" t="s">
        <v>87</v>
      </c>
      <c r="I70" s="58" t="s">
        <v>68</v>
      </c>
      <c r="J70" s="58" t="s">
        <v>69</v>
      </c>
      <c r="K70" s="102" t="s">
        <v>48</v>
      </c>
      <c r="L70" s="103"/>
      <c r="M70" s="103"/>
      <c r="N70" s="103"/>
      <c r="O70" s="103"/>
      <c r="P70" s="104"/>
      <c r="Q70" s="56" t="s">
        <v>73</v>
      </c>
      <c r="R70" s="57" t="s">
        <v>76</v>
      </c>
      <c r="S70" s="58" t="s">
        <v>87</v>
      </c>
      <c r="T70" s="58" t="s">
        <v>68</v>
      </c>
      <c r="U70" s="58" t="s">
        <v>69</v>
      </c>
    </row>
    <row r="71" spans="1:27" ht="18" customHeight="1" x14ac:dyDescent="0.2">
      <c r="A71" s="3"/>
      <c r="B71" s="96" t="s">
        <v>149</v>
      </c>
      <c r="C71" s="97"/>
      <c r="D71" s="97"/>
      <c r="E71" s="98"/>
      <c r="F71" s="59">
        <v>2</v>
      </c>
      <c r="G71" s="59" t="s">
        <v>148</v>
      </c>
      <c r="H71" s="59" t="s">
        <v>148</v>
      </c>
      <c r="I71" s="59" t="s">
        <v>148</v>
      </c>
      <c r="J71" s="59" t="s">
        <v>148</v>
      </c>
      <c r="K71" s="96"/>
      <c r="L71" s="97"/>
      <c r="M71" s="97"/>
      <c r="N71" s="97"/>
      <c r="O71" s="97"/>
      <c r="P71" s="98"/>
      <c r="Q71" s="59"/>
      <c r="R71" s="59"/>
      <c r="S71" s="59"/>
      <c r="T71" s="59"/>
      <c r="U71" s="59"/>
    </row>
    <row r="72" spans="1:27" ht="18" customHeight="1" x14ac:dyDescent="0.2">
      <c r="A72" s="3"/>
      <c r="B72" s="89"/>
      <c r="C72" s="90"/>
      <c r="D72" s="90"/>
      <c r="E72" s="90"/>
      <c r="F72" s="60"/>
      <c r="G72" s="60"/>
      <c r="H72" s="60"/>
      <c r="I72" s="60"/>
      <c r="J72" s="60"/>
      <c r="K72" s="89"/>
      <c r="L72" s="90"/>
      <c r="M72" s="90"/>
      <c r="N72" s="90"/>
      <c r="O72" s="90"/>
      <c r="P72" s="91"/>
      <c r="Q72" s="60"/>
      <c r="R72" s="60"/>
      <c r="S72" s="60"/>
      <c r="T72" s="60"/>
      <c r="U72" s="60"/>
    </row>
    <row r="73" spans="1:27" ht="18" customHeight="1" x14ac:dyDescent="0.2">
      <c r="A73" s="3"/>
      <c r="B73" s="89"/>
      <c r="C73" s="90"/>
      <c r="D73" s="90"/>
      <c r="E73" s="90"/>
      <c r="F73" s="60"/>
      <c r="G73" s="60"/>
      <c r="H73" s="60"/>
      <c r="I73" s="60"/>
      <c r="J73" s="60"/>
      <c r="K73" s="89"/>
      <c r="L73" s="90"/>
      <c r="M73" s="90"/>
      <c r="N73" s="90"/>
      <c r="O73" s="90"/>
      <c r="P73" s="91"/>
      <c r="Q73" s="60"/>
      <c r="R73" s="60"/>
      <c r="S73" s="60"/>
      <c r="T73" s="60"/>
      <c r="U73" s="60"/>
    </row>
    <row r="74" spans="1:27" ht="18" customHeight="1" x14ac:dyDescent="0.2">
      <c r="A74" s="3"/>
      <c r="B74" s="89"/>
      <c r="C74" s="90"/>
      <c r="D74" s="90"/>
      <c r="E74" s="90"/>
      <c r="F74" s="60"/>
      <c r="G74" s="60"/>
      <c r="H74" s="60"/>
      <c r="I74" s="60"/>
      <c r="J74" s="60"/>
      <c r="K74" s="89"/>
      <c r="L74" s="90"/>
      <c r="M74" s="90"/>
      <c r="N74" s="90"/>
      <c r="O74" s="90"/>
      <c r="P74" s="91"/>
      <c r="Q74" s="60"/>
      <c r="R74" s="60"/>
      <c r="S74" s="60"/>
      <c r="T74" s="60"/>
      <c r="U74" s="60"/>
    </row>
    <row r="75" spans="1:27" ht="18" customHeight="1" x14ac:dyDescent="0.2">
      <c r="A75" s="3"/>
      <c r="B75" s="89"/>
      <c r="C75" s="90"/>
      <c r="D75" s="90"/>
      <c r="E75" s="90"/>
      <c r="F75" s="60"/>
      <c r="G75" s="60"/>
      <c r="H75" s="60"/>
      <c r="I75" s="60"/>
      <c r="J75" s="60"/>
      <c r="K75" s="89"/>
      <c r="L75" s="90"/>
      <c r="M75" s="90"/>
      <c r="N75" s="90"/>
      <c r="O75" s="90"/>
      <c r="P75" s="91"/>
      <c r="Q75" s="60"/>
      <c r="R75" s="60"/>
      <c r="S75" s="60"/>
      <c r="T75" s="60"/>
      <c r="U75" s="60"/>
    </row>
    <row r="76" spans="1:27" ht="18" customHeight="1" x14ac:dyDescent="0.2">
      <c r="A76" s="3"/>
      <c r="B76" s="89"/>
      <c r="C76" s="90"/>
      <c r="D76" s="90"/>
      <c r="E76" s="90"/>
      <c r="F76" s="60"/>
      <c r="G76" s="60"/>
      <c r="H76" s="60"/>
      <c r="I76" s="60"/>
      <c r="J76" s="60"/>
      <c r="K76" s="89"/>
      <c r="L76" s="90"/>
      <c r="M76" s="90"/>
      <c r="N76" s="90"/>
      <c r="O76" s="90"/>
      <c r="P76" s="91"/>
      <c r="Q76" s="60"/>
      <c r="R76" s="60"/>
      <c r="S76" s="60"/>
      <c r="T76" s="60"/>
      <c r="U76" s="60"/>
    </row>
    <row r="77" spans="1:27" ht="18" customHeight="1" x14ac:dyDescent="0.2">
      <c r="A77" s="3"/>
      <c r="B77" s="92"/>
      <c r="C77" s="93"/>
      <c r="D77" s="93"/>
      <c r="E77" s="93"/>
      <c r="F77" s="61"/>
      <c r="G77" s="61"/>
      <c r="H77" s="62"/>
      <c r="I77" s="62"/>
      <c r="J77" s="62"/>
      <c r="K77" s="92"/>
      <c r="L77" s="93"/>
      <c r="M77" s="93"/>
      <c r="N77" s="93"/>
      <c r="O77" s="93"/>
      <c r="P77" s="94"/>
      <c r="Q77" s="61"/>
      <c r="R77" s="61"/>
      <c r="S77" s="62"/>
      <c r="T77" s="62"/>
      <c r="U77" s="62"/>
    </row>
    <row r="78" spans="1:27" ht="7.5" customHeight="1" x14ac:dyDescent="0.2">
      <c r="B78" s="14"/>
      <c r="C78" s="14"/>
      <c r="D78" s="14"/>
      <c r="E78" s="14"/>
      <c r="F78" s="14"/>
      <c r="G78" s="14"/>
      <c r="H78" s="14"/>
      <c r="I78" s="14"/>
      <c r="J78" s="14"/>
      <c r="K78" s="14"/>
      <c r="L78" s="14"/>
      <c r="M78" s="14"/>
      <c r="N78" s="14"/>
      <c r="O78" s="14"/>
      <c r="P78" s="14"/>
      <c r="Q78" s="14"/>
      <c r="R78" s="14"/>
      <c r="S78" s="14"/>
      <c r="T78" s="14"/>
    </row>
    <row r="79" spans="1:27" ht="18" customHeight="1" x14ac:dyDescent="0.2">
      <c r="A79" s="1" t="s">
        <v>101</v>
      </c>
      <c r="I79" s="3"/>
      <c r="J79" s="3"/>
      <c r="K79" s="3"/>
      <c r="L79" s="3"/>
      <c r="M79" s="3"/>
      <c r="N79" s="3"/>
      <c r="O79" s="3"/>
      <c r="P79" s="3"/>
      <c r="Q79" s="3"/>
      <c r="R79" s="3"/>
      <c r="S79" s="3"/>
      <c r="T79" s="3"/>
      <c r="U79" s="3"/>
    </row>
    <row r="80" spans="1:27" ht="18" customHeight="1" x14ac:dyDescent="0.2">
      <c r="B80" s="102" t="s">
        <v>48</v>
      </c>
      <c r="C80" s="103"/>
      <c r="D80" s="103"/>
      <c r="E80" s="103"/>
      <c r="F80" s="104"/>
      <c r="G80" s="102" t="s">
        <v>74</v>
      </c>
      <c r="H80" s="103"/>
      <c r="I80" s="103"/>
      <c r="J80" s="104"/>
      <c r="K80" s="110" t="s">
        <v>48</v>
      </c>
      <c r="L80" s="111"/>
      <c r="M80" s="111"/>
      <c r="N80" s="111"/>
      <c r="O80" s="111"/>
      <c r="P80" s="111"/>
      <c r="Q80" s="112"/>
      <c r="R80" s="102" t="s">
        <v>74</v>
      </c>
      <c r="S80" s="103"/>
      <c r="T80" s="103"/>
      <c r="U80" s="104"/>
      <c r="AA80" s="1" t="s">
        <v>138</v>
      </c>
    </row>
    <row r="81" spans="1:27" ht="18" customHeight="1" x14ac:dyDescent="0.2">
      <c r="A81" s="3"/>
      <c r="B81" s="96"/>
      <c r="C81" s="97"/>
      <c r="D81" s="97"/>
      <c r="E81" s="97"/>
      <c r="F81" s="98"/>
      <c r="G81" s="99"/>
      <c r="H81" s="100"/>
      <c r="I81" s="100"/>
      <c r="J81" s="101"/>
      <c r="K81" s="96"/>
      <c r="L81" s="97"/>
      <c r="M81" s="97"/>
      <c r="N81" s="97"/>
      <c r="O81" s="97"/>
      <c r="P81" s="97"/>
      <c r="Q81" s="98"/>
      <c r="R81" s="99"/>
      <c r="S81" s="100"/>
      <c r="T81" s="100"/>
      <c r="U81" s="101"/>
      <c r="AA81" s="1" t="s">
        <v>131</v>
      </c>
    </row>
    <row r="82" spans="1:27" ht="18" customHeight="1" x14ac:dyDescent="0.2">
      <c r="A82" s="3"/>
      <c r="B82" s="89"/>
      <c r="C82" s="90"/>
      <c r="D82" s="90"/>
      <c r="E82" s="90"/>
      <c r="F82" s="91"/>
      <c r="G82" s="107"/>
      <c r="H82" s="108"/>
      <c r="I82" s="108"/>
      <c r="J82" s="109"/>
      <c r="K82" s="89"/>
      <c r="L82" s="90"/>
      <c r="M82" s="90"/>
      <c r="N82" s="90"/>
      <c r="O82" s="90"/>
      <c r="P82" s="90"/>
      <c r="Q82" s="91"/>
      <c r="R82" s="107"/>
      <c r="S82" s="108"/>
      <c r="T82" s="108"/>
      <c r="U82" s="109"/>
      <c r="AA82" s="1" t="s">
        <v>132</v>
      </c>
    </row>
    <row r="83" spans="1:27" ht="18" customHeight="1" x14ac:dyDescent="0.2">
      <c r="A83" s="3"/>
      <c r="B83" s="89"/>
      <c r="C83" s="90"/>
      <c r="D83" s="90"/>
      <c r="E83" s="90"/>
      <c r="F83" s="91"/>
      <c r="G83" s="107"/>
      <c r="H83" s="108"/>
      <c r="I83" s="108"/>
      <c r="J83" s="109"/>
      <c r="K83" s="89"/>
      <c r="L83" s="90"/>
      <c r="M83" s="90"/>
      <c r="N83" s="90"/>
      <c r="O83" s="90"/>
      <c r="P83" s="90"/>
      <c r="Q83" s="91"/>
      <c r="R83" s="107"/>
      <c r="S83" s="108"/>
      <c r="T83" s="108"/>
      <c r="U83" s="109"/>
      <c r="AA83" s="1" t="s">
        <v>133</v>
      </c>
    </row>
    <row r="84" spans="1:27" ht="18" customHeight="1" x14ac:dyDescent="0.2">
      <c r="A84" s="3"/>
      <c r="B84" s="89"/>
      <c r="C84" s="90"/>
      <c r="D84" s="90"/>
      <c r="E84" s="90"/>
      <c r="F84" s="91"/>
      <c r="G84" s="107"/>
      <c r="H84" s="108"/>
      <c r="I84" s="108"/>
      <c r="J84" s="109"/>
      <c r="K84" s="89"/>
      <c r="L84" s="90"/>
      <c r="M84" s="90"/>
      <c r="N84" s="90"/>
      <c r="O84" s="90"/>
      <c r="P84" s="90"/>
      <c r="Q84" s="91"/>
      <c r="R84" s="107"/>
      <c r="S84" s="108"/>
      <c r="T84" s="108"/>
      <c r="U84" s="109"/>
      <c r="AA84" s="1" t="s">
        <v>139</v>
      </c>
    </row>
    <row r="85" spans="1:27" ht="18" customHeight="1" x14ac:dyDescent="0.2">
      <c r="A85" s="3"/>
      <c r="B85" s="89"/>
      <c r="C85" s="90"/>
      <c r="D85" s="90"/>
      <c r="E85" s="90"/>
      <c r="F85" s="91"/>
      <c r="G85" s="107"/>
      <c r="H85" s="108"/>
      <c r="I85" s="108"/>
      <c r="J85" s="109"/>
      <c r="K85" s="89"/>
      <c r="L85" s="90"/>
      <c r="M85" s="90"/>
      <c r="N85" s="90"/>
      <c r="O85" s="90"/>
      <c r="P85" s="90"/>
      <c r="Q85" s="91"/>
      <c r="R85" s="107"/>
      <c r="S85" s="108"/>
      <c r="T85" s="108"/>
      <c r="U85" s="109"/>
      <c r="AA85" s="1" t="s">
        <v>140</v>
      </c>
    </row>
    <row r="86" spans="1:27" ht="18" customHeight="1" x14ac:dyDescent="0.2">
      <c r="A86" s="3"/>
      <c r="B86" s="89"/>
      <c r="C86" s="90"/>
      <c r="D86" s="90"/>
      <c r="E86" s="90"/>
      <c r="F86" s="91"/>
      <c r="G86" s="107"/>
      <c r="H86" s="108"/>
      <c r="I86" s="108"/>
      <c r="J86" s="109"/>
      <c r="K86" s="89"/>
      <c r="L86" s="90"/>
      <c r="M86" s="90"/>
      <c r="N86" s="90"/>
      <c r="O86" s="90"/>
      <c r="P86" s="90"/>
      <c r="Q86" s="91"/>
      <c r="R86" s="107"/>
      <c r="S86" s="108"/>
      <c r="T86" s="108"/>
      <c r="U86" s="109"/>
      <c r="AA86" s="1" t="s">
        <v>134</v>
      </c>
    </row>
    <row r="87" spans="1:27" ht="18" customHeight="1" x14ac:dyDescent="0.2">
      <c r="A87" s="3"/>
      <c r="B87" s="92"/>
      <c r="C87" s="93"/>
      <c r="D87" s="93"/>
      <c r="E87" s="93"/>
      <c r="F87" s="94"/>
      <c r="G87" s="126"/>
      <c r="H87" s="127"/>
      <c r="I87" s="127"/>
      <c r="J87" s="128"/>
      <c r="K87" s="92"/>
      <c r="L87" s="93"/>
      <c r="M87" s="93"/>
      <c r="N87" s="93"/>
      <c r="O87" s="93"/>
      <c r="P87" s="93"/>
      <c r="Q87" s="94"/>
      <c r="R87" s="126"/>
      <c r="S87" s="127"/>
      <c r="T87" s="127"/>
      <c r="U87" s="128"/>
      <c r="AA87" s="1" t="s">
        <v>135</v>
      </c>
    </row>
    <row r="88" spans="1:27" ht="18" customHeight="1" x14ac:dyDescent="0.2">
      <c r="A88" s="3"/>
      <c r="B88" s="6"/>
      <c r="C88" s="6"/>
      <c r="D88" s="6"/>
      <c r="E88" s="6"/>
      <c r="F88" s="6"/>
      <c r="G88" s="63"/>
      <c r="H88" s="63"/>
      <c r="I88" s="63"/>
      <c r="J88" s="63"/>
      <c r="K88" s="6"/>
      <c r="L88" s="6"/>
      <c r="M88" s="6"/>
      <c r="N88" s="6"/>
      <c r="O88" s="6"/>
      <c r="P88" s="6"/>
      <c r="Q88" s="6"/>
      <c r="R88" s="63"/>
      <c r="S88" s="63"/>
      <c r="T88" s="63"/>
      <c r="U88" s="63"/>
      <c r="AA88" s="1" t="s">
        <v>136</v>
      </c>
    </row>
    <row r="89" spans="1:27" ht="18.75" customHeight="1" x14ac:dyDescent="0.2">
      <c r="A89" s="1" t="s">
        <v>102</v>
      </c>
      <c r="AA89" s="1" t="s">
        <v>137</v>
      </c>
    </row>
    <row r="90" spans="1:27" ht="18.75" customHeight="1" x14ac:dyDescent="0.2">
      <c r="B90" s="130" t="s">
        <v>49</v>
      </c>
      <c r="C90" s="131"/>
      <c r="D90" s="102" t="s">
        <v>50</v>
      </c>
      <c r="E90" s="103"/>
      <c r="F90" s="103"/>
      <c r="G90" s="103"/>
      <c r="H90" s="103"/>
      <c r="I90" s="103"/>
      <c r="J90" s="103"/>
      <c r="K90" s="103"/>
      <c r="L90" s="103"/>
      <c r="M90" s="103"/>
      <c r="N90" s="103"/>
      <c r="O90" s="103"/>
      <c r="P90" s="103"/>
      <c r="Q90" s="103"/>
      <c r="R90" s="103"/>
      <c r="S90" s="103"/>
      <c r="T90" s="103"/>
      <c r="U90" s="104"/>
    </row>
    <row r="91" spans="1:27" ht="97.5" customHeight="1" x14ac:dyDescent="0.2">
      <c r="B91" s="105" t="s">
        <v>56</v>
      </c>
      <c r="C91" s="64" t="s">
        <v>51</v>
      </c>
      <c r="D91" s="142" t="s">
        <v>150</v>
      </c>
      <c r="E91" s="143"/>
      <c r="F91" s="143"/>
      <c r="G91" s="143"/>
      <c r="H91" s="143"/>
      <c r="I91" s="143"/>
      <c r="J91" s="143"/>
      <c r="K91" s="143"/>
      <c r="L91" s="143"/>
      <c r="M91" s="143"/>
      <c r="N91" s="143"/>
      <c r="O91" s="143"/>
      <c r="P91" s="143"/>
      <c r="Q91" s="143"/>
      <c r="R91" s="143"/>
      <c r="S91" s="143"/>
      <c r="T91" s="143"/>
      <c r="U91" s="144"/>
    </row>
    <row r="92" spans="1:27" ht="97.5" customHeight="1" x14ac:dyDescent="0.2">
      <c r="B92" s="129"/>
      <c r="C92" s="65" t="s">
        <v>70</v>
      </c>
      <c r="D92" s="139" t="s">
        <v>151</v>
      </c>
      <c r="E92" s="140"/>
      <c r="F92" s="140"/>
      <c r="G92" s="140"/>
      <c r="H92" s="140"/>
      <c r="I92" s="140"/>
      <c r="J92" s="140"/>
      <c r="K92" s="140"/>
      <c r="L92" s="140"/>
      <c r="M92" s="140"/>
      <c r="N92" s="140"/>
      <c r="O92" s="140"/>
      <c r="P92" s="140"/>
      <c r="Q92" s="140"/>
      <c r="R92" s="140"/>
      <c r="S92" s="140"/>
      <c r="T92" s="140"/>
      <c r="U92" s="141"/>
    </row>
    <row r="93" spans="1:27" ht="97.5" customHeight="1" x14ac:dyDescent="0.2">
      <c r="B93" s="105" t="s">
        <v>57</v>
      </c>
      <c r="C93" s="66" t="s">
        <v>64</v>
      </c>
      <c r="D93" s="142" t="s">
        <v>152</v>
      </c>
      <c r="E93" s="143"/>
      <c r="F93" s="143"/>
      <c r="G93" s="143"/>
      <c r="H93" s="143"/>
      <c r="I93" s="143"/>
      <c r="J93" s="143"/>
      <c r="K93" s="143"/>
      <c r="L93" s="143"/>
      <c r="M93" s="143"/>
      <c r="N93" s="143"/>
      <c r="O93" s="143"/>
      <c r="P93" s="143"/>
      <c r="Q93" s="143"/>
      <c r="R93" s="143"/>
      <c r="S93" s="143"/>
      <c r="T93" s="143"/>
      <c r="U93" s="144"/>
    </row>
    <row r="94" spans="1:27" ht="97.5" customHeight="1" x14ac:dyDescent="0.2">
      <c r="B94" s="106"/>
      <c r="C94" s="67" t="s">
        <v>65</v>
      </c>
      <c r="D94" s="139" t="s">
        <v>153</v>
      </c>
      <c r="E94" s="140"/>
      <c r="F94" s="140"/>
      <c r="G94" s="140"/>
      <c r="H94" s="140"/>
      <c r="I94" s="140"/>
      <c r="J94" s="140"/>
      <c r="K94" s="140"/>
      <c r="L94" s="140"/>
      <c r="M94" s="140"/>
      <c r="N94" s="140"/>
      <c r="O94" s="140"/>
      <c r="P94" s="140"/>
      <c r="Q94" s="140"/>
      <c r="R94" s="140"/>
      <c r="S94" s="140"/>
      <c r="T94" s="140"/>
      <c r="U94" s="141"/>
    </row>
    <row r="95" spans="1:27" ht="97.5" customHeight="1" x14ac:dyDescent="0.2">
      <c r="B95" s="105" t="s">
        <v>58</v>
      </c>
      <c r="C95" s="66" t="s">
        <v>66</v>
      </c>
      <c r="D95" s="142" t="s">
        <v>154</v>
      </c>
      <c r="E95" s="143"/>
      <c r="F95" s="143"/>
      <c r="G95" s="143"/>
      <c r="H95" s="143"/>
      <c r="I95" s="143"/>
      <c r="J95" s="143"/>
      <c r="K95" s="143"/>
      <c r="L95" s="143"/>
      <c r="M95" s="143"/>
      <c r="N95" s="143"/>
      <c r="O95" s="143"/>
      <c r="P95" s="143"/>
      <c r="Q95" s="143"/>
      <c r="R95" s="143"/>
      <c r="S95" s="143"/>
      <c r="T95" s="143"/>
      <c r="U95" s="144"/>
    </row>
    <row r="96" spans="1:27" ht="97.5" customHeight="1" x14ac:dyDescent="0.2">
      <c r="B96" s="106"/>
      <c r="C96" s="68" t="s">
        <v>67</v>
      </c>
      <c r="D96" s="139" t="s">
        <v>155</v>
      </c>
      <c r="E96" s="140"/>
      <c r="F96" s="140"/>
      <c r="G96" s="140"/>
      <c r="H96" s="140"/>
      <c r="I96" s="140"/>
      <c r="J96" s="140"/>
      <c r="K96" s="140"/>
      <c r="L96" s="140"/>
      <c r="M96" s="140"/>
      <c r="N96" s="140"/>
      <c r="O96" s="140"/>
      <c r="P96" s="140"/>
      <c r="Q96" s="140"/>
      <c r="R96" s="140"/>
      <c r="S96" s="140"/>
      <c r="T96" s="140"/>
      <c r="U96" s="141"/>
    </row>
    <row r="97" spans="1:21" ht="112.2" customHeight="1" x14ac:dyDescent="0.2">
      <c r="B97" s="105" t="s">
        <v>71</v>
      </c>
      <c r="C97" s="64" t="s">
        <v>53</v>
      </c>
      <c r="D97" s="142" t="s">
        <v>156</v>
      </c>
      <c r="E97" s="143"/>
      <c r="F97" s="143"/>
      <c r="G97" s="143"/>
      <c r="H97" s="143"/>
      <c r="I97" s="143"/>
      <c r="J97" s="143"/>
      <c r="K97" s="143"/>
      <c r="L97" s="143"/>
      <c r="M97" s="143"/>
      <c r="N97" s="143"/>
      <c r="O97" s="143"/>
      <c r="P97" s="143"/>
      <c r="Q97" s="143"/>
      <c r="R97" s="143"/>
      <c r="S97" s="143"/>
      <c r="T97" s="143"/>
      <c r="U97" s="144"/>
    </row>
    <row r="98" spans="1:21" ht="97.5" customHeight="1" x14ac:dyDescent="0.2">
      <c r="B98" s="106"/>
      <c r="C98" s="67" t="s">
        <v>55</v>
      </c>
      <c r="D98" s="139" t="s">
        <v>157</v>
      </c>
      <c r="E98" s="140"/>
      <c r="F98" s="140"/>
      <c r="G98" s="140"/>
      <c r="H98" s="140"/>
      <c r="I98" s="140"/>
      <c r="J98" s="140"/>
      <c r="K98" s="140"/>
      <c r="L98" s="140"/>
      <c r="M98" s="140"/>
      <c r="N98" s="140"/>
      <c r="O98" s="140"/>
      <c r="P98" s="140"/>
      <c r="Q98" s="140"/>
      <c r="R98" s="140"/>
      <c r="S98" s="140"/>
      <c r="T98" s="140"/>
      <c r="U98" s="141"/>
    </row>
    <row r="99" spans="1:21" ht="124.2" customHeight="1" x14ac:dyDescent="0.2">
      <c r="B99" s="105" t="s">
        <v>72</v>
      </c>
      <c r="C99" s="66" t="s">
        <v>52</v>
      </c>
      <c r="D99" s="142" t="s">
        <v>158</v>
      </c>
      <c r="E99" s="143"/>
      <c r="F99" s="143"/>
      <c r="G99" s="143"/>
      <c r="H99" s="143"/>
      <c r="I99" s="143"/>
      <c r="J99" s="143"/>
      <c r="K99" s="143"/>
      <c r="L99" s="143"/>
      <c r="M99" s="143"/>
      <c r="N99" s="143"/>
      <c r="O99" s="143"/>
      <c r="P99" s="143"/>
      <c r="Q99" s="143"/>
      <c r="R99" s="143"/>
      <c r="S99" s="143"/>
      <c r="T99" s="143"/>
      <c r="U99" s="144"/>
    </row>
    <row r="100" spans="1:21" ht="97.5" customHeight="1" x14ac:dyDescent="0.2">
      <c r="B100" s="129"/>
      <c r="C100" s="69" t="s">
        <v>68</v>
      </c>
      <c r="D100" s="145" t="s">
        <v>159</v>
      </c>
      <c r="E100" s="146"/>
      <c r="F100" s="146"/>
      <c r="G100" s="146"/>
      <c r="H100" s="146"/>
      <c r="I100" s="146"/>
      <c r="J100" s="146"/>
      <c r="K100" s="146"/>
      <c r="L100" s="146"/>
      <c r="M100" s="146"/>
      <c r="N100" s="146"/>
      <c r="O100" s="146"/>
      <c r="P100" s="146"/>
      <c r="Q100" s="146"/>
      <c r="R100" s="146"/>
      <c r="S100" s="146"/>
      <c r="T100" s="146"/>
      <c r="U100" s="147"/>
    </row>
    <row r="101" spans="1:21" ht="97.5" customHeight="1" x14ac:dyDescent="0.2">
      <c r="B101" s="106"/>
      <c r="C101" s="68" t="s">
        <v>69</v>
      </c>
      <c r="D101" s="139" t="s">
        <v>160</v>
      </c>
      <c r="E101" s="140"/>
      <c r="F101" s="140"/>
      <c r="G101" s="140"/>
      <c r="H101" s="140"/>
      <c r="I101" s="140"/>
      <c r="J101" s="140"/>
      <c r="K101" s="140"/>
      <c r="L101" s="140"/>
      <c r="M101" s="140"/>
      <c r="N101" s="140"/>
      <c r="O101" s="140"/>
      <c r="P101" s="140"/>
      <c r="Q101" s="140"/>
      <c r="R101" s="140"/>
      <c r="S101" s="140"/>
      <c r="T101" s="140"/>
      <c r="U101" s="141"/>
    </row>
    <row r="102" spans="1:21" ht="6" customHeight="1" x14ac:dyDescent="0.2"/>
    <row r="103" spans="1:21" ht="18.75" customHeight="1" x14ac:dyDescent="0.2">
      <c r="A103" s="1" t="s">
        <v>103</v>
      </c>
    </row>
    <row r="104" spans="1:21" ht="81.75" customHeight="1" x14ac:dyDescent="0.2">
      <c r="B104" s="123"/>
      <c r="C104" s="124"/>
      <c r="D104" s="124"/>
      <c r="E104" s="124"/>
      <c r="F104" s="124"/>
      <c r="G104" s="124"/>
      <c r="H104" s="124"/>
      <c r="I104" s="124"/>
      <c r="J104" s="124"/>
      <c r="K104" s="124"/>
      <c r="L104" s="124"/>
      <c r="M104" s="124"/>
      <c r="N104" s="124"/>
      <c r="O104" s="124"/>
      <c r="P104" s="124"/>
      <c r="Q104" s="124"/>
      <c r="R104" s="124"/>
      <c r="S104" s="124"/>
      <c r="T104" s="124"/>
      <c r="U104" s="125"/>
    </row>
    <row r="107" spans="1:21" ht="18" customHeight="1" x14ac:dyDescent="0.2"/>
  </sheetData>
  <mergeCells count="144">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R71:U77 S27:U33 H27:J33 S38:U44 H38:J44 S49:U55 H49:J55 S60:U66 H60:J66 G71:J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8:J88 R88:U88"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 type="list" allowBlank="1" showInputMessage="1" showErrorMessage="1" sqref="G81:J87 R81:U87" xr:uid="{E61772BF-11EE-43E8-BC0C-EDDA1761D40A}">
      <formula1>$AA$80:$AA$89</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Normal="100" zoomScaleSheetLayoutView="100" workbookViewId="0">
      <selection activeCell="I25" sqref="I25"/>
    </sheetView>
  </sheetViews>
  <sheetFormatPr defaultColWidth="9" defaultRowHeight="18.75" customHeight="1" x14ac:dyDescent="0.2"/>
  <cols>
    <col min="1" max="1" width="2.77734375" style="1" customWidth="1"/>
    <col min="2" max="2" width="27.88671875" style="1" customWidth="1"/>
    <col min="3" max="18" width="6.109375" style="1" customWidth="1"/>
    <col min="19" max="19" width="6.6640625" style="1" customWidth="1"/>
    <col min="20" max="16384" width="9" style="1"/>
  </cols>
  <sheetData>
    <row r="1" spans="1:21" ht="18" customHeight="1" x14ac:dyDescent="0.2">
      <c r="A1" s="50"/>
      <c r="B1" s="50"/>
      <c r="C1" s="50"/>
      <c r="D1" s="50"/>
      <c r="E1" s="50"/>
      <c r="F1" s="50"/>
      <c r="G1" s="50"/>
      <c r="H1" s="50"/>
      <c r="I1" s="50"/>
      <c r="J1" s="50"/>
      <c r="K1" s="50"/>
      <c r="L1" s="50"/>
      <c r="M1" s="50"/>
      <c r="N1" s="50"/>
      <c r="O1" s="50"/>
      <c r="P1" s="50"/>
      <c r="Q1" s="50"/>
      <c r="R1" s="50"/>
      <c r="S1" s="50" t="s">
        <v>92</v>
      </c>
    </row>
    <row r="2" spans="1:21" ht="18" customHeight="1" x14ac:dyDescent="0.2">
      <c r="A2" s="50"/>
      <c r="B2" s="50"/>
      <c r="C2" s="50"/>
      <c r="D2" s="50"/>
      <c r="E2" s="50"/>
      <c r="F2" s="50"/>
      <c r="G2" s="50"/>
      <c r="H2" s="50"/>
      <c r="I2" s="50"/>
      <c r="J2" s="50"/>
      <c r="K2" s="50"/>
      <c r="L2" s="50"/>
      <c r="M2" s="50"/>
      <c r="N2" s="50"/>
      <c r="O2" s="50"/>
      <c r="P2" s="50"/>
      <c r="Q2" s="161" t="str">
        <f>'様式１　プログラムを構成する授業科目'!C2</f>
        <v>東京未来大学</v>
      </c>
      <c r="R2" s="161"/>
      <c r="S2" s="161"/>
    </row>
    <row r="3" spans="1:21" ht="18" customHeight="1" x14ac:dyDescent="0.2">
      <c r="A3" s="113" t="s">
        <v>142</v>
      </c>
      <c r="B3" s="113"/>
      <c r="C3" s="113"/>
      <c r="D3" s="113"/>
      <c r="E3" s="113"/>
      <c r="F3" s="113"/>
      <c r="G3" s="113"/>
      <c r="H3" s="113"/>
      <c r="I3" s="113"/>
      <c r="J3" s="113"/>
      <c r="K3" s="113"/>
      <c r="L3" s="113"/>
      <c r="M3" s="113"/>
      <c r="N3" s="113"/>
      <c r="O3" s="113"/>
      <c r="P3" s="113"/>
      <c r="Q3" s="113"/>
      <c r="R3" s="113"/>
      <c r="S3" s="113"/>
    </row>
    <row r="4" spans="1:21" ht="7.5" customHeight="1" x14ac:dyDescent="0.2">
      <c r="A4" s="52"/>
      <c r="B4" s="52"/>
      <c r="C4" s="52"/>
      <c r="D4" s="52"/>
      <c r="E4" s="52"/>
      <c r="F4" s="52"/>
      <c r="G4" s="52"/>
      <c r="H4" s="52"/>
      <c r="I4" s="52"/>
      <c r="J4" s="52"/>
      <c r="K4" s="52"/>
      <c r="L4" s="52"/>
      <c r="M4" s="52"/>
      <c r="N4" s="52"/>
      <c r="O4" s="52"/>
      <c r="P4" s="52"/>
      <c r="Q4" s="52"/>
      <c r="R4" s="52"/>
      <c r="S4" s="52"/>
    </row>
    <row r="5" spans="1:21" ht="18" customHeight="1" x14ac:dyDescent="0.2">
      <c r="A5" s="50" t="s">
        <v>75</v>
      </c>
      <c r="B5" s="50"/>
      <c r="C5" s="162" t="s">
        <v>161</v>
      </c>
      <c r="D5" s="163"/>
      <c r="E5" s="54" t="s">
        <v>125</v>
      </c>
      <c r="F5" s="52"/>
      <c r="G5" s="52"/>
      <c r="H5" s="52"/>
      <c r="I5" s="52"/>
      <c r="J5" s="52"/>
      <c r="K5" s="52"/>
      <c r="L5" s="52"/>
      <c r="M5" s="52"/>
      <c r="N5" s="52"/>
      <c r="O5" s="52"/>
      <c r="P5" s="52"/>
      <c r="Q5" s="52"/>
      <c r="R5" s="51"/>
      <c r="S5" s="51"/>
    </row>
    <row r="6" spans="1:21" ht="7.2" customHeight="1" x14ac:dyDescent="0.2">
      <c r="A6" s="50"/>
      <c r="B6" s="50"/>
      <c r="C6" s="73"/>
      <c r="D6" s="73"/>
      <c r="E6" s="52"/>
      <c r="F6" s="52"/>
      <c r="G6" s="52"/>
      <c r="H6" s="52"/>
      <c r="I6" s="52"/>
      <c r="J6" s="52"/>
      <c r="K6" s="52"/>
      <c r="L6" s="52"/>
      <c r="M6" s="52"/>
      <c r="N6" s="52"/>
      <c r="O6" s="52"/>
      <c r="P6" s="52"/>
      <c r="Q6" s="52"/>
      <c r="R6" s="51"/>
      <c r="S6" s="51"/>
    </row>
    <row r="7" spans="1:21" ht="18" customHeight="1" x14ac:dyDescent="0.2">
      <c r="A7" s="50" t="s">
        <v>109</v>
      </c>
      <c r="B7" s="50"/>
      <c r="C7" s="73"/>
      <c r="D7" s="73"/>
      <c r="E7" s="52" t="s">
        <v>110</v>
      </c>
      <c r="F7" s="55">
        <v>397</v>
      </c>
      <c r="G7" s="54" t="s">
        <v>111</v>
      </c>
      <c r="H7" s="52" t="s">
        <v>112</v>
      </c>
      <c r="I7" s="55">
        <v>1142</v>
      </c>
      <c r="J7" s="54" t="s">
        <v>111</v>
      </c>
      <c r="K7" s="53" t="s">
        <v>113</v>
      </c>
      <c r="L7" s="52" t="s">
        <v>114</v>
      </c>
      <c r="M7" s="55">
        <f>F7+I7</f>
        <v>1539</v>
      </c>
      <c r="N7" s="52" t="s">
        <v>1</v>
      </c>
      <c r="O7" s="54" t="s">
        <v>115</v>
      </c>
      <c r="P7" s="52"/>
      <c r="Q7" s="52"/>
      <c r="R7" s="51"/>
      <c r="S7" s="51"/>
    </row>
    <row r="8" spans="1:21" ht="17.399999999999999" customHeight="1" x14ac:dyDescent="0.2">
      <c r="A8" s="52"/>
      <c r="B8" s="74" t="s">
        <v>128</v>
      </c>
      <c r="C8" s="52"/>
      <c r="D8" s="52"/>
      <c r="E8" s="52"/>
      <c r="F8" s="52"/>
      <c r="G8" s="52"/>
      <c r="H8" s="52"/>
      <c r="I8" s="52"/>
      <c r="J8" s="52"/>
      <c r="K8" s="52"/>
      <c r="L8" s="52"/>
      <c r="M8" s="52"/>
      <c r="N8" s="52"/>
      <c r="O8" s="52"/>
      <c r="P8" s="52"/>
      <c r="Q8" s="52"/>
      <c r="R8" s="52"/>
      <c r="S8" s="52"/>
    </row>
    <row r="9" spans="1:21" ht="18" customHeight="1" x14ac:dyDescent="0.2">
      <c r="A9" s="50" t="s">
        <v>120</v>
      </c>
      <c r="B9" s="52"/>
      <c r="C9" s="52"/>
      <c r="D9" s="52"/>
      <c r="E9" s="52"/>
      <c r="F9" s="52"/>
      <c r="G9" s="52"/>
      <c r="H9" s="52"/>
      <c r="I9" s="52"/>
      <c r="J9" s="52"/>
      <c r="K9" s="52"/>
      <c r="L9" s="52"/>
      <c r="M9" s="52"/>
      <c r="N9" s="52"/>
      <c r="O9" s="52"/>
      <c r="P9" s="52"/>
      <c r="Q9" s="52"/>
      <c r="R9" s="52"/>
      <c r="S9" s="52"/>
    </row>
    <row r="10" spans="1:21" ht="6" customHeight="1" x14ac:dyDescent="0.2">
      <c r="B10" s="3"/>
      <c r="C10" s="3"/>
      <c r="D10" s="3"/>
      <c r="E10" s="3"/>
      <c r="F10" s="3"/>
      <c r="G10" s="3"/>
      <c r="H10" s="3"/>
      <c r="I10" s="3"/>
      <c r="J10" s="3"/>
      <c r="K10" s="3"/>
      <c r="L10" s="3"/>
      <c r="M10" s="3"/>
      <c r="N10" s="3"/>
      <c r="O10" s="3"/>
      <c r="P10" s="3"/>
      <c r="Q10" s="3"/>
      <c r="R10" s="3"/>
      <c r="S10" s="3"/>
    </row>
    <row r="11" spans="1:21" ht="18" customHeight="1" x14ac:dyDescent="0.2">
      <c r="B11" s="164" t="s">
        <v>43</v>
      </c>
      <c r="C11" s="174" t="s">
        <v>78</v>
      </c>
      <c r="D11" s="166" t="s">
        <v>45</v>
      </c>
      <c r="E11" s="168" t="s">
        <v>38</v>
      </c>
      <c r="F11" s="160" t="s">
        <v>126</v>
      </c>
      <c r="G11" s="160"/>
      <c r="H11" s="160" t="s">
        <v>106</v>
      </c>
      <c r="I11" s="160"/>
      <c r="J11" s="160" t="s">
        <v>77</v>
      </c>
      <c r="K11" s="160"/>
      <c r="L11" s="160" t="s">
        <v>46</v>
      </c>
      <c r="M11" s="160"/>
      <c r="N11" s="160" t="s">
        <v>47</v>
      </c>
      <c r="O11" s="160"/>
      <c r="P11" s="160" t="s">
        <v>127</v>
      </c>
      <c r="Q11" s="160"/>
      <c r="R11" s="170" t="s">
        <v>35</v>
      </c>
      <c r="S11" s="172" t="s">
        <v>32</v>
      </c>
      <c r="U11" s="2"/>
    </row>
    <row r="12" spans="1:21" ht="16.95" customHeight="1" x14ac:dyDescent="0.2">
      <c r="B12" s="165"/>
      <c r="C12" s="175"/>
      <c r="D12" s="167"/>
      <c r="E12" s="169"/>
      <c r="F12" s="75" t="s">
        <v>86</v>
      </c>
      <c r="G12" s="75" t="s">
        <v>29</v>
      </c>
      <c r="H12" s="75" t="s">
        <v>86</v>
      </c>
      <c r="I12" s="75" t="s">
        <v>29</v>
      </c>
      <c r="J12" s="75" t="s">
        <v>86</v>
      </c>
      <c r="K12" s="75" t="s">
        <v>29</v>
      </c>
      <c r="L12" s="75" t="s">
        <v>86</v>
      </c>
      <c r="M12" s="75" t="s">
        <v>29</v>
      </c>
      <c r="N12" s="75" t="s">
        <v>86</v>
      </c>
      <c r="O12" s="75" t="s">
        <v>29</v>
      </c>
      <c r="P12" s="75" t="s">
        <v>86</v>
      </c>
      <c r="Q12" s="76" t="s">
        <v>29</v>
      </c>
      <c r="R12" s="171"/>
      <c r="S12" s="173"/>
      <c r="U12" s="2"/>
    </row>
    <row r="13" spans="1:21" ht="18" customHeight="1" x14ac:dyDescent="0.2">
      <c r="A13" s="6"/>
      <c r="B13" s="44" t="s">
        <v>162</v>
      </c>
      <c r="C13" s="32">
        <v>1249</v>
      </c>
      <c r="D13" s="33">
        <v>280</v>
      </c>
      <c r="E13" s="34">
        <v>1120</v>
      </c>
      <c r="F13" s="34">
        <v>1</v>
      </c>
      <c r="G13" s="34">
        <v>1</v>
      </c>
      <c r="H13" s="34"/>
      <c r="I13" s="34"/>
      <c r="J13" s="34"/>
      <c r="K13" s="34"/>
      <c r="L13" s="34"/>
      <c r="M13" s="34"/>
      <c r="N13" s="34"/>
      <c r="O13" s="34"/>
      <c r="P13" s="34"/>
      <c r="Q13" s="45"/>
      <c r="R13" s="33">
        <f t="shared" ref="R13:R32" si="0">F13+H13+J13+L13+N13+P13</f>
        <v>1</v>
      </c>
      <c r="S13" s="46">
        <f t="shared" ref="S13:S33" si="1">R13/E13</f>
        <v>8.9285714285714283E-4</v>
      </c>
    </row>
    <row r="14" spans="1:21" ht="18" customHeight="1" x14ac:dyDescent="0.2">
      <c r="A14" s="6"/>
      <c r="B14" s="11" t="s">
        <v>163</v>
      </c>
      <c r="C14" s="35">
        <v>290</v>
      </c>
      <c r="D14" s="36">
        <v>60</v>
      </c>
      <c r="E14" s="37">
        <v>240</v>
      </c>
      <c r="F14" s="38">
        <v>7</v>
      </c>
      <c r="G14" s="38">
        <v>5</v>
      </c>
      <c r="H14" s="38"/>
      <c r="I14" s="38"/>
      <c r="J14" s="38"/>
      <c r="K14" s="38"/>
      <c r="L14" s="38"/>
      <c r="M14" s="38"/>
      <c r="N14" s="38"/>
      <c r="O14" s="38"/>
      <c r="P14" s="38"/>
      <c r="Q14" s="35"/>
      <c r="R14" s="36">
        <f t="shared" si="0"/>
        <v>7</v>
      </c>
      <c r="S14" s="16">
        <f t="shared" si="1"/>
        <v>2.9166666666666667E-2</v>
      </c>
    </row>
    <row r="15" spans="1:21" ht="18" customHeight="1" x14ac:dyDescent="0.2">
      <c r="A15" s="6"/>
      <c r="B15" s="11"/>
      <c r="C15" s="35"/>
      <c r="D15" s="36"/>
      <c r="E15" s="37"/>
      <c r="F15" s="38"/>
      <c r="G15" s="38"/>
      <c r="H15" s="38"/>
      <c r="I15" s="38"/>
      <c r="J15" s="38"/>
      <c r="K15" s="38"/>
      <c r="L15" s="38"/>
      <c r="M15" s="38"/>
      <c r="N15" s="38"/>
      <c r="O15" s="38"/>
      <c r="P15" s="38"/>
      <c r="Q15" s="35"/>
      <c r="R15" s="36">
        <f t="shared" si="0"/>
        <v>0</v>
      </c>
      <c r="S15" s="8" t="e">
        <f t="shared" si="1"/>
        <v>#DIV/0!</v>
      </c>
    </row>
    <row r="16" spans="1:21" ht="18" customHeight="1" x14ac:dyDescent="0.2">
      <c r="A16" s="6"/>
      <c r="B16" s="11"/>
      <c r="C16" s="35"/>
      <c r="D16" s="36"/>
      <c r="E16" s="37"/>
      <c r="F16" s="38"/>
      <c r="G16" s="38"/>
      <c r="H16" s="38"/>
      <c r="I16" s="38"/>
      <c r="J16" s="38"/>
      <c r="K16" s="38"/>
      <c r="L16" s="38"/>
      <c r="M16" s="38"/>
      <c r="N16" s="38"/>
      <c r="O16" s="38"/>
      <c r="P16" s="38"/>
      <c r="Q16" s="35"/>
      <c r="R16" s="36">
        <f t="shared" si="0"/>
        <v>0</v>
      </c>
      <c r="S16" s="8" t="e">
        <f t="shared" si="1"/>
        <v>#DIV/0!</v>
      </c>
    </row>
    <row r="17" spans="1:19" ht="18" customHeight="1" x14ac:dyDescent="0.2">
      <c r="A17" s="6"/>
      <c r="B17" s="11"/>
      <c r="C17" s="35"/>
      <c r="D17" s="36"/>
      <c r="E17" s="37"/>
      <c r="F17" s="38"/>
      <c r="G17" s="38"/>
      <c r="H17" s="38"/>
      <c r="I17" s="38"/>
      <c r="J17" s="38"/>
      <c r="K17" s="38"/>
      <c r="L17" s="38"/>
      <c r="M17" s="38"/>
      <c r="N17" s="38"/>
      <c r="O17" s="38"/>
      <c r="P17" s="38"/>
      <c r="Q17" s="35"/>
      <c r="R17" s="36">
        <f t="shared" si="0"/>
        <v>0</v>
      </c>
      <c r="S17" s="8" t="e">
        <f t="shared" si="1"/>
        <v>#DIV/0!</v>
      </c>
    </row>
    <row r="18" spans="1:19" ht="18" customHeight="1" x14ac:dyDescent="0.2">
      <c r="A18" s="6"/>
      <c r="B18" s="11"/>
      <c r="C18" s="35"/>
      <c r="D18" s="36"/>
      <c r="E18" s="37"/>
      <c r="F18" s="38"/>
      <c r="G18" s="38"/>
      <c r="H18" s="38"/>
      <c r="I18" s="38"/>
      <c r="J18" s="38"/>
      <c r="K18" s="38"/>
      <c r="L18" s="38"/>
      <c r="M18" s="38"/>
      <c r="N18" s="38"/>
      <c r="O18" s="38"/>
      <c r="P18" s="38"/>
      <c r="Q18" s="35"/>
      <c r="R18" s="36">
        <f t="shared" si="0"/>
        <v>0</v>
      </c>
      <c r="S18" s="8" t="e">
        <f t="shared" si="1"/>
        <v>#DIV/0!</v>
      </c>
    </row>
    <row r="19" spans="1:19" ht="18" customHeight="1" x14ac:dyDescent="0.2">
      <c r="A19" s="6"/>
      <c r="B19" s="11"/>
      <c r="C19" s="35"/>
      <c r="D19" s="36"/>
      <c r="E19" s="37"/>
      <c r="F19" s="38"/>
      <c r="G19" s="38"/>
      <c r="H19" s="38"/>
      <c r="I19" s="38"/>
      <c r="J19" s="38"/>
      <c r="K19" s="38"/>
      <c r="L19" s="38"/>
      <c r="M19" s="38"/>
      <c r="N19" s="38"/>
      <c r="O19" s="38"/>
      <c r="P19" s="38"/>
      <c r="Q19" s="35"/>
      <c r="R19" s="36">
        <f t="shared" si="0"/>
        <v>0</v>
      </c>
      <c r="S19" s="8" t="e">
        <f t="shared" si="1"/>
        <v>#DIV/0!</v>
      </c>
    </row>
    <row r="20" spans="1:19" ht="18" customHeight="1" x14ac:dyDescent="0.2">
      <c r="A20" s="6"/>
      <c r="B20" s="11"/>
      <c r="C20" s="35"/>
      <c r="D20" s="36"/>
      <c r="E20" s="37"/>
      <c r="F20" s="38"/>
      <c r="G20" s="38"/>
      <c r="H20" s="38"/>
      <c r="I20" s="38"/>
      <c r="J20" s="38"/>
      <c r="K20" s="38"/>
      <c r="L20" s="38"/>
      <c r="M20" s="38"/>
      <c r="N20" s="38"/>
      <c r="O20" s="38"/>
      <c r="P20" s="38"/>
      <c r="Q20" s="35"/>
      <c r="R20" s="36">
        <f t="shared" si="0"/>
        <v>0</v>
      </c>
      <c r="S20" s="8" t="e">
        <f t="shared" si="1"/>
        <v>#DIV/0!</v>
      </c>
    </row>
    <row r="21" spans="1:19" ht="18" customHeight="1" x14ac:dyDescent="0.2">
      <c r="A21" s="6"/>
      <c r="B21" s="11"/>
      <c r="C21" s="35"/>
      <c r="D21" s="36"/>
      <c r="E21" s="37"/>
      <c r="F21" s="38"/>
      <c r="G21" s="38"/>
      <c r="H21" s="38"/>
      <c r="I21" s="38"/>
      <c r="J21" s="38"/>
      <c r="K21" s="38"/>
      <c r="L21" s="38"/>
      <c r="M21" s="38"/>
      <c r="N21" s="38"/>
      <c r="O21" s="38"/>
      <c r="P21" s="38"/>
      <c r="Q21" s="35"/>
      <c r="R21" s="36">
        <f t="shared" si="0"/>
        <v>0</v>
      </c>
      <c r="S21" s="8" t="e">
        <f t="shared" si="1"/>
        <v>#DIV/0!</v>
      </c>
    </row>
    <row r="22" spans="1:19" ht="18" customHeight="1" x14ac:dyDescent="0.2">
      <c r="A22" s="6"/>
      <c r="B22" s="11"/>
      <c r="C22" s="35"/>
      <c r="D22" s="36"/>
      <c r="E22" s="37"/>
      <c r="F22" s="38"/>
      <c r="G22" s="38"/>
      <c r="H22" s="38"/>
      <c r="I22" s="38"/>
      <c r="J22" s="38"/>
      <c r="K22" s="38"/>
      <c r="L22" s="38"/>
      <c r="M22" s="38"/>
      <c r="N22" s="38"/>
      <c r="O22" s="38"/>
      <c r="P22" s="38"/>
      <c r="Q22" s="35"/>
      <c r="R22" s="36">
        <f t="shared" si="0"/>
        <v>0</v>
      </c>
      <c r="S22" s="8" t="e">
        <f t="shared" si="1"/>
        <v>#DIV/0!</v>
      </c>
    </row>
    <row r="23" spans="1:19" ht="18" customHeight="1" x14ac:dyDescent="0.2">
      <c r="A23" s="6"/>
      <c r="B23" s="11"/>
      <c r="C23" s="35"/>
      <c r="D23" s="36"/>
      <c r="E23" s="37"/>
      <c r="F23" s="38"/>
      <c r="G23" s="38"/>
      <c r="H23" s="38"/>
      <c r="I23" s="38"/>
      <c r="J23" s="38"/>
      <c r="K23" s="38"/>
      <c r="L23" s="38"/>
      <c r="M23" s="38"/>
      <c r="N23" s="38"/>
      <c r="O23" s="38"/>
      <c r="P23" s="38"/>
      <c r="Q23" s="35"/>
      <c r="R23" s="36">
        <f t="shared" si="0"/>
        <v>0</v>
      </c>
      <c r="S23" s="8" t="e">
        <f t="shared" si="1"/>
        <v>#DIV/0!</v>
      </c>
    </row>
    <row r="24" spans="1:19" ht="18" customHeight="1" x14ac:dyDescent="0.2">
      <c r="A24" s="6"/>
      <c r="B24" s="11"/>
      <c r="C24" s="35"/>
      <c r="D24" s="36"/>
      <c r="E24" s="37"/>
      <c r="F24" s="38"/>
      <c r="G24" s="38"/>
      <c r="H24" s="38"/>
      <c r="I24" s="38"/>
      <c r="J24" s="38"/>
      <c r="K24" s="38"/>
      <c r="L24" s="38"/>
      <c r="M24" s="38"/>
      <c r="N24" s="38"/>
      <c r="O24" s="38"/>
      <c r="P24" s="38"/>
      <c r="Q24" s="35"/>
      <c r="R24" s="36">
        <f t="shared" si="0"/>
        <v>0</v>
      </c>
      <c r="S24" s="8" t="e">
        <f t="shared" si="1"/>
        <v>#DIV/0!</v>
      </c>
    </row>
    <row r="25" spans="1:19" ht="18" customHeight="1" x14ac:dyDescent="0.2">
      <c r="A25" s="6"/>
      <c r="B25" s="11"/>
      <c r="C25" s="35"/>
      <c r="D25" s="36"/>
      <c r="E25" s="37"/>
      <c r="F25" s="38"/>
      <c r="G25" s="38"/>
      <c r="H25" s="38"/>
      <c r="I25" s="38"/>
      <c r="J25" s="38"/>
      <c r="K25" s="38"/>
      <c r="L25" s="38"/>
      <c r="M25" s="38"/>
      <c r="N25" s="38"/>
      <c r="O25" s="38"/>
      <c r="P25" s="38"/>
      <c r="Q25" s="35"/>
      <c r="R25" s="36">
        <f t="shared" si="0"/>
        <v>0</v>
      </c>
      <c r="S25" s="8" t="e">
        <f t="shared" si="1"/>
        <v>#DIV/0!</v>
      </c>
    </row>
    <row r="26" spans="1:19" ht="18" customHeight="1" x14ac:dyDescent="0.2">
      <c r="A26" s="6"/>
      <c r="B26" s="11"/>
      <c r="C26" s="35"/>
      <c r="D26" s="36"/>
      <c r="E26" s="37"/>
      <c r="F26" s="38"/>
      <c r="G26" s="38"/>
      <c r="H26" s="38"/>
      <c r="I26" s="38"/>
      <c r="J26" s="38"/>
      <c r="K26" s="38"/>
      <c r="L26" s="38"/>
      <c r="M26" s="38"/>
      <c r="N26" s="38"/>
      <c r="O26" s="38"/>
      <c r="P26" s="38"/>
      <c r="Q26" s="35"/>
      <c r="R26" s="36">
        <f t="shared" si="0"/>
        <v>0</v>
      </c>
      <c r="S26" s="8" t="e">
        <f t="shared" si="1"/>
        <v>#DIV/0!</v>
      </c>
    </row>
    <row r="27" spans="1:19" ht="18" customHeight="1" x14ac:dyDescent="0.2">
      <c r="A27" s="6"/>
      <c r="B27" s="11"/>
      <c r="C27" s="35"/>
      <c r="D27" s="36"/>
      <c r="E27" s="37"/>
      <c r="F27" s="38"/>
      <c r="G27" s="38"/>
      <c r="H27" s="38"/>
      <c r="I27" s="38"/>
      <c r="J27" s="38"/>
      <c r="K27" s="38"/>
      <c r="L27" s="38"/>
      <c r="M27" s="38"/>
      <c r="N27" s="38"/>
      <c r="O27" s="38"/>
      <c r="P27" s="38"/>
      <c r="Q27" s="35"/>
      <c r="R27" s="36">
        <f t="shared" si="0"/>
        <v>0</v>
      </c>
      <c r="S27" s="8" t="e">
        <f t="shared" si="1"/>
        <v>#DIV/0!</v>
      </c>
    </row>
    <row r="28" spans="1:19" ht="18" customHeight="1" x14ac:dyDescent="0.2">
      <c r="A28" s="6"/>
      <c r="B28" s="11"/>
      <c r="C28" s="35"/>
      <c r="D28" s="36"/>
      <c r="E28" s="37"/>
      <c r="F28" s="38"/>
      <c r="G28" s="38"/>
      <c r="H28" s="38"/>
      <c r="I28" s="38"/>
      <c r="J28" s="38"/>
      <c r="K28" s="38"/>
      <c r="L28" s="38"/>
      <c r="M28" s="38"/>
      <c r="N28" s="38"/>
      <c r="O28" s="38"/>
      <c r="P28" s="38"/>
      <c r="Q28" s="35"/>
      <c r="R28" s="36">
        <f t="shared" si="0"/>
        <v>0</v>
      </c>
      <c r="S28" s="8" t="e">
        <f t="shared" si="1"/>
        <v>#DIV/0!</v>
      </c>
    </row>
    <row r="29" spans="1:19" ht="18" customHeight="1" x14ac:dyDescent="0.2">
      <c r="A29" s="6"/>
      <c r="B29" s="11"/>
      <c r="C29" s="35"/>
      <c r="D29" s="36"/>
      <c r="E29" s="37"/>
      <c r="F29" s="38"/>
      <c r="G29" s="38"/>
      <c r="H29" s="38"/>
      <c r="I29" s="38"/>
      <c r="J29" s="38"/>
      <c r="K29" s="38"/>
      <c r="L29" s="38"/>
      <c r="M29" s="38"/>
      <c r="N29" s="38"/>
      <c r="O29" s="38"/>
      <c r="P29" s="38"/>
      <c r="Q29" s="35"/>
      <c r="R29" s="36">
        <f t="shared" si="0"/>
        <v>0</v>
      </c>
      <c r="S29" s="8" t="e">
        <f t="shared" si="1"/>
        <v>#DIV/0!</v>
      </c>
    </row>
    <row r="30" spans="1:19" ht="18" customHeight="1" x14ac:dyDescent="0.2">
      <c r="A30" s="6"/>
      <c r="B30" s="11"/>
      <c r="C30" s="35"/>
      <c r="D30" s="39"/>
      <c r="E30" s="37"/>
      <c r="F30" s="38"/>
      <c r="G30" s="38"/>
      <c r="H30" s="38"/>
      <c r="I30" s="38"/>
      <c r="J30" s="38"/>
      <c r="K30" s="38"/>
      <c r="L30" s="38"/>
      <c r="M30" s="38"/>
      <c r="N30" s="38"/>
      <c r="O30" s="38"/>
      <c r="P30" s="38"/>
      <c r="Q30" s="35"/>
      <c r="R30" s="39">
        <f t="shared" si="0"/>
        <v>0</v>
      </c>
      <c r="S30" s="8" t="e">
        <f t="shared" si="1"/>
        <v>#DIV/0!</v>
      </c>
    </row>
    <row r="31" spans="1:19" ht="18" customHeight="1" x14ac:dyDescent="0.2">
      <c r="A31" s="6"/>
      <c r="B31" s="11"/>
      <c r="C31" s="35"/>
      <c r="D31" s="39"/>
      <c r="E31" s="37"/>
      <c r="F31" s="38"/>
      <c r="G31" s="38"/>
      <c r="H31" s="38"/>
      <c r="I31" s="38"/>
      <c r="J31" s="38"/>
      <c r="K31" s="38"/>
      <c r="L31" s="38"/>
      <c r="M31" s="38"/>
      <c r="N31" s="38"/>
      <c r="O31" s="38"/>
      <c r="P31" s="38"/>
      <c r="Q31" s="35"/>
      <c r="R31" s="39">
        <f t="shared" si="0"/>
        <v>0</v>
      </c>
      <c r="S31" s="8" t="e">
        <f t="shared" si="1"/>
        <v>#DIV/0!</v>
      </c>
    </row>
    <row r="32" spans="1:19" ht="18" customHeight="1" thickBot="1" x14ac:dyDescent="0.25">
      <c r="A32" s="6"/>
      <c r="B32" s="12"/>
      <c r="C32" s="32"/>
      <c r="D32" s="40"/>
      <c r="E32" s="34"/>
      <c r="F32" s="34"/>
      <c r="G32" s="34"/>
      <c r="H32" s="34"/>
      <c r="I32" s="34"/>
      <c r="J32" s="34"/>
      <c r="K32" s="34"/>
      <c r="L32" s="34"/>
      <c r="M32" s="34"/>
      <c r="N32" s="34"/>
      <c r="O32" s="34"/>
      <c r="P32" s="34"/>
      <c r="Q32" s="35"/>
      <c r="R32" s="40">
        <f t="shared" si="0"/>
        <v>0</v>
      </c>
      <c r="S32" s="7" t="e">
        <f t="shared" si="1"/>
        <v>#DIV/0!</v>
      </c>
    </row>
    <row r="33" spans="2:19" ht="18" customHeight="1" thickTop="1" x14ac:dyDescent="0.2">
      <c r="B33" s="13" t="s">
        <v>33</v>
      </c>
      <c r="C33" s="41">
        <f t="shared" ref="C33" si="2">SUM(C13:C32)</f>
        <v>1539</v>
      </c>
      <c r="D33" s="42">
        <f t="shared" ref="D33:R33" si="3">SUM(D13:D32)</f>
        <v>340</v>
      </c>
      <c r="E33" s="43">
        <f t="shared" si="3"/>
        <v>1360</v>
      </c>
      <c r="F33" s="43">
        <f t="shared" si="3"/>
        <v>8</v>
      </c>
      <c r="G33" s="43">
        <f t="shared" ref="G33:H33" si="4">SUM(G13:G32)</f>
        <v>6</v>
      </c>
      <c r="H33" s="43">
        <f t="shared" si="4"/>
        <v>0</v>
      </c>
      <c r="I33" s="43">
        <f t="shared" ref="I33:J33" si="5">SUM(I13:I32)</f>
        <v>0</v>
      </c>
      <c r="J33" s="43">
        <f t="shared" si="5"/>
        <v>0</v>
      </c>
      <c r="K33" s="43">
        <f t="shared" ref="K33:O33" si="6">SUM(K13:K32)</f>
        <v>0</v>
      </c>
      <c r="L33" s="43">
        <f t="shared" si="6"/>
        <v>0</v>
      </c>
      <c r="M33" s="43">
        <f t="shared" si="6"/>
        <v>0</v>
      </c>
      <c r="N33" s="43">
        <f t="shared" si="6"/>
        <v>0</v>
      </c>
      <c r="O33" s="43">
        <f t="shared" si="6"/>
        <v>0</v>
      </c>
      <c r="P33" s="43">
        <f t="shared" ref="P33:Q33" si="7">SUM(P13:P32)</f>
        <v>0</v>
      </c>
      <c r="Q33" s="41">
        <f t="shared" si="7"/>
        <v>0</v>
      </c>
      <c r="R33" s="42">
        <f t="shared" si="3"/>
        <v>8</v>
      </c>
      <c r="S33" s="9">
        <f t="shared" si="1"/>
        <v>5.8823529411764705E-3</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5"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election activeCell="G16" sqref="G16"/>
    </sheetView>
  </sheetViews>
  <sheetFormatPr defaultColWidth="11.33203125" defaultRowHeight="18.75" customHeight="1" x14ac:dyDescent="0.2"/>
  <cols>
    <col min="1" max="1" width="2.77734375" style="20" customWidth="1"/>
    <col min="2" max="2" width="16.6640625" style="1" customWidth="1"/>
    <col min="3" max="3" width="8.88671875" style="1" customWidth="1"/>
    <col min="4" max="4" width="2.21875" style="1" customWidth="1"/>
    <col min="5" max="5" width="16.6640625" style="1" customWidth="1"/>
    <col min="6" max="6" width="4.33203125" style="1" customWidth="1"/>
    <col min="7" max="7" width="9" style="1" customWidth="1"/>
    <col min="8" max="8" width="16.6640625" style="1" customWidth="1"/>
    <col min="9" max="9" width="12.109375" style="1" customWidth="1"/>
    <col min="10" max="16384" width="11.33203125" style="1"/>
  </cols>
  <sheetData>
    <row r="1" spans="1:9" ht="18.75" customHeight="1" x14ac:dyDescent="0.2">
      <c r="A1" s="20" t="s">
        <v>59</v>
      </c>
      <c r="I1" s="18" t="s">
        <v>91</v>
      </c>
    </row>
    <row r="2" spans="1:9" ht="18.75" customHeight="1" x14ac:dyDescent="0.2">
      <c r="G2" s="18" t="s">
        <v>93</v>
      </c>
      <c r="H2" s="102" t="str">
        <f>'様式１　プログラムを構成する授業科目'!C2</f>
        <v>東京未来大学</v>
      </c>
      <c r="I2" s="104"/>
    </row>
    <row r="3" spans="1:9" ht="18.75" customHeight="1" x14ac:dyDescent="0.2">
      <c r="G3" s="18"/>
      <c r="H3" s="10"/>
      <c r="I3" s="10"/>
    </row>
    <row r="4" spans="1:9" ht="18.600000000000001" customHeight="1" x14ac:dyDescent="0.2">
      <c r="A4" s="113" t="s">
        <v>36</v>
      </c>
      <c r="B4" s="113"/>
      <c r="C4" s="113"/>
      <c r="D4" s="113"/>
      <c r="E4" s="113"/>
      <c r="F4" s="113"/>
      <c r="G4" s="113"/>
      <c r="H4" s="113"/>
      <c r="I4" s="113"/>
    </row>
    <row r="5" spans="1:9" ht="13.2" customHeight="1" x14ac:dyDescent="0.2">
      <c r="B5" s="3"/>
      <c r="C5" s="3"/>
      <c r="D5" s="3"/>
      <c r="E5" s="3"/>
      <c r="F5" s="3"/>
      <c r="G5" s="3"/>
      <c r="H5" s="3"/>
      <c r="I5" s="3"/>
    </row>
    <row r="6" spans="1:9" ht="18" customHeight="1" x14ac:dyDescent="0.2">
      <c r="A6" s="1" t="s">
        <v>0</v>
      </c>
      <c r="B6" s="10" t="s">
        <v>81</v>
      </c>
      <c r="C6" s="205" t="s">
        <v>82</v>
      </c>
      <c r="D6" s="205"/>
      <c r="E6" s="17">
        <v>78</v>
      </c>
      <c r="F6" s="84" t="s">
        <v>1</v>
      </c>
      <c r="G6" s="84" t="s">
        <v>2</v>
      </c>
      <c r="H6" s="17">
        <v>147</v>
      </c>
      <c r="I6" s="10" t="s">
        <v>1</v>
      </c>
    </row>
    <row r="7" spans="1:9" ht="12" customHeight="1" x14ac:dyDescent="0.2">
      <c r="C7" s="2"/>
      <c r="D7" s="2"/>
      <c r="E7" s="2"/>
      <c r="F7" s="2"/>
      <c r="G7" s="2"/>
      <c r="H7" s="2"/>
      <c r="I7" s="21"/>
    </row>
    <row r="8" spans="1:9" ht="18" customHeight="1" x14ac:dyDescent="0.2">
      <c r="A8" s="1" t="s">
        <v>3</v>
      </c>
      <c r="B8" s="10" t="s">
        <v>83</v>
      </c>
      <c r="E8" s="84"/>
      <c r="F8" s="84"/>
      <c r="G8" s="84"/>
      <c r="H8" s="17">
        <v>1</v>
      </c>
      <c r="I8" s="10" t="s">
        <v>1</v>
      </c>
    </row>
    <row r="9" spans="1:9" ht="9" customHeight="1" x14ac:dyDescent="0.2">
      <c r="B9" s="3"/>
      <c r="C9" s="3"/>
      <c r="D9" s="3"/>
      <c r="E9" s="3"/>
      <c r="F9" s="3"/>
      <c r="G9" s="3"/>
      <c r="H9" s="3"/>
      <c r="I9" s="3"/>
    </row>
    <row r="10" spans="1:9" ht="18" customHeight="1" x14ac:dyDescent="0.2">
      <c r="A10" s="85" t="s">
        <v>4</v>
      </c>
      <c r="B10" s="10" t="s">
        <v>84</v>
      </c>
      <c r="C10" s="84"/>
      <c r="D10" s="84"/>
      <c r="E10" s="84"/>
      <c r="F10" s="84"/>
      <c r="G10" s="84"/>
      <c r="H10" s="84"/>
      <c r="I10" s="84"/>
    </row>
    <row r="11" spans="1:9" ht="18" customHeight="1" x14ac:dyDescent="0.2">
      <c r="B11" s="80" t="s">
        <v>41</v>
      </c>
      <c r="C11" s="200" t="s">
        <v>164</v>
      </c>
      <c r="D11" s="203"/>
      <c r="E11" s="204"/>
      <c r="F11" s="21"/>
      <c r="G11" s="80" t="s">
        <v>10</v>
      </c>
      <c r="H11" s="200" t="s">
        <v>165</v>
      </c>
      <c r="I11" s="204"/>
    </row>
    <row r="12" spans="1:9" ht="10.199999999999999" customHeight="1" x14ac:dyDescent="0.2">
      <c r="B12" s="80"/>
      <c r="C12" s="10"/>
      <c r="D12" s="21"/>
      <c r="E12" s="21"/>
      <c r="F12" s="21"/>
      <c r="G12" s="80"/>
      <c r="H12" s="10"/>
      <c r="I12" s="21"/>
    </row>
    <row r="13" spans="1:9" ht="18" customHeight="1" x14ac:dyDescent="0.2">
      <c r="A13" s="85" t="s">
        <v>7</v>
      </c>
      <c r="B13" s="10" t="s">
        <v>79</v>
      </c>
      <c r="C13" s="84"/>
      <c r="D13" s="84"/>
      <c r="E13" s="84"/>
      <c r="F13" s="84"/>
      <c r="G13" s="84"/>
      <c r="H13" s="84"/>
      <c r="I13" s="84"/>
    </row>
    <row r="14" spans="1:9" ht="18" customHeight="1" x14ac:dyDescent="0.2">
      <c r="B14" s="200" t="s">
        <v>185</v>
      </c>
      <c r="C14" s="201"/>
      <c r="D14" s="201"/>
      <c r="E14" s="201"/>
      <c r="F14" s="201"/>
      <c r="G14" s="201"/>
      <c r="H14" s="201"/>
      <c r="I14" s="202"/>
    </row>
    <row r="15" spans="1:9" ht="9" customHeight="1" x14ac:dyDescent="0.2">
      <c r="B15" s="84"/>
      <c r="C15" s="84"/>
      <c r="D15" s="84"/>
      <c r="E15" s="84"/>
      <c r="F15" s="84"/>
      <c r="G15" s="84"/>
      <c r="H15" s="84"/>
      <c r="I15" s="84"/>
    </row>
    <row r="16" spans="1:9" ht="18" customHeight="1" x14ac:dyDescent="0.2">
      <c r="B16" s="80" t="s">
        <v>41</v>
      </c>
      <c r="C16" s="200" t="s">
        <v>164</v>
      </c>
      <c r="D16" s="203"/>
      <c r="E16" s="204"/>
      <c r="F16" s="21"/>
      <c r="G16" s="80" t="s">
        <v>10</v>
      </c>
      <c r="H16" s="200" t="s">
        <v>165</v>
      </c>
      <c r="I16" s="204"/>
    </row>
    <row r="17" spans="1:9" ht="18" customHeight="1" x14ac:dyDescent="0.2">
      <c r="B17" s="84"/>
      <c r="C17" s="84"/>
      <c r="D17" s="84"/>
      <c r="E17" s="84"/>
      <c r="F17" s="84"/>
      <c r="G17" s="84"/>
      <c r="H17" s="84"/>
      <c r="I17" s="84"/>
    </row>
    <row r="18" spans="1:9" ht="18.75" customHeight="1" x14ac:dyDescent="0.2">
      <c r="A18" s="85" t="s">
        <v>5</v>
      </c>
      <c r="B18" s="85" t="s">
        <v>40</v>
      </c>
      <c r="C18" s="85"/>
      <c r="D18" s="85"/>
      <c r="E18" s="85"/>
      <c r="F18" s="85"/>
      <c r="G18" s="85"/>
      <c r="H18" s="85"/>
      <c r="I18" s="84"/>
    </row>
    <row r="19" spans="1:9" ht="18.75" customHeight="1" x14ac:dyDescent="0.2">
      <c r="A19" s="85"/>
      <c r="B19" s="177" t="s">
        <v>166</v>
      </c>
      <c r="C19" s="178"/>
      <c r="D19" s="178"/>
      <c r="E19" s="178"/>
      <c r="F19" s="178"/>
      <c r="G19" s="178"/>
      <c r="H19" s="178"/>
      <c r="I19" s="179"/>
    </row>
    <row r="20" spans="1:9" ht="7.5" customHeight="1" x14ac:dyDescent="0.2">
      <c r="B20" s="84"/>
      <c r="C20" s="84"/>
      <c r="D20" s="84"/>
      <c r="E20" s="84"/>
      <c r="F20" s="84"/>
      <c r="G20" s="84"/>
      <c r="H20" s="84"/>
      <c r="I20" s="84"/>
    </row>
    <row r="21" spans="1:9" ht="18.75" customHeight="1" x14ac:dyDescent="0.2">
      <c r="A21" s="85" t="s">
        <v>8</v>
      </c>
      <c r="B21" s="85" t="s">
        <v>25</v>
      </c>
      <c r="C21" s="85"/>
      <c r="D21" s="85"/>
      <c r="E21" s="85"/>
      <c r="F21" s="85"/>
      <c r="G21" s="85"/>
      <c r="H21" s="85"/>
      <c r="I21" s="85"/>
    </row>
    <row r="22" spans="1:9" ht="18.75" customHeight="1" x14ac:dyDescent="0.2">
      <c r="A22" s="83"/>
      <c r="B22" s="180" t="s">
        <v>167</v>
      </c>
      <c r="C22" s="181"/>
      <c r="D22" s="181"/>
      <c r="E22" s="181"/>
      <c r="F22" s="181"/>
      <c r="G22" s="181"/>
      <c r="H22" s="181"/>
      <c r="I22" s="182"/>
    </row>
    <row r="23" spans="1:9" ht="18.75" customHeight="1" x14ac:dyDescent="0.2">
      <c r="A23" s="83"/>
      <c r="B23" s="183"/>
      <c r="C23" s="184"/>
      <c r="D23" s="184"/>
      <c r="E23" s="184"/>
      <c r="F23" s="184"/>
      <c r="G23" s="184"/>
      <c r="H23" s="184"/>
      <c r="I23" s="185"/>
    </row>
    <row r="24" spans="1:9" ht="18.75" customHeight="1" x14ac:dyDescent="0.2">
      <c r="A24" s="83"/>
      <c r="B24" s="183"/>
      <c r="C24" s="184"/>
      <c r="D24" s="184"/>
      <c r="E24" s="184"/>
      <c r="F24" s="184"/>
      <c r="G24" s="184"/>
      <c r="H24" s="184"/>
      <c r="I24" s="185"/>
    </row>
    <row r="25" spans="1:9" ht="18.75" customHeight="1" x14ac:dyDescent="0.2">
      <c r="A25" s="83"/>
      <c r="B25" s="183"/>
      <c r="C25" s="184"/>
      <c r="D25" s="184"/>
      <c r="E25" s="184"/>
      <c r="F25" s="184"/>
      <c r="G25" s="184"/>
      <c r="H25" s="184"/>
      <c r="I25" s="185"/>
    </row>
    <row r="26" spans="1:9" ht="18.75" customHeight="1" x14ac:dyDescent="0.2">
      <c r="A26" s="83"/>
      <c r="B26" s="183"/>
      <c r="C26" s="184"/>
      <c r="D26" s="184"/>
      <c r="E26" s="184"/>
      <c r="F26" s="184"/>
      <c r="G26" s="184"/>
      <c r="H26" s="184"/>
      <c r="I26" s="185"/>
    </row>
    <row r="27" spans="1:9" ht="18.75" customHeight="1" x14ac:dyDescent="0.2">
      <c r="A27" s="83"/>
      <c r="B27" s="183"/>
      <c r="C27" s="184"/>
      <c r="D27" s="184"/>
      <c r="E27" s="184"/>
      <c r="F27" s="184"/>
      <c r="G27" s="184"/>
      <c r="H27" s="184"/>
      <c r="I27" s="185"/>
    </row>
    <row r="28" spans="1:9" ht="18.75" customHeight="1" x14ac:dyDescent="0.2">
      <c r="A28" s="83"/>
      <c r="B28" s="183"/>
      <c r="C28" s="184"/>
      <c r="D28" s="184"/>
      <c r="E28" s="184"/>
      <c r="F28" s="184"/>
      <c r="G28" s="184"/>
      <c r="H28" s="184"/>
      <c r="I28" s="185"/>
    </row>
    <row r="29" spans="1:9" ht="18.75" customHeight="1" x14ac:dyDescent="0.2">
      <c r="A29" s="83"/>
      <c r="B29" s="183"/>
      <c r="C29" s="184"/>
      <c r="D29" s="184"/>
      <c r="E29" s="184"/>
      <c r="F29" s="184"/>
      <c r="G29" s="184"/>
      <c r="H29" s="184"/>
      <c r="I29" s="185"/>
    </row>
    <row r="30" spans="1:9" ht="18.75" customHeight="1" x14ac:dyDescent="0.2">
      <c r="A30" s="83"/>
      <c r="B30" s="186"/>
      <c r="C30" s="187"/>
      <c r="D30" s="187"/>
      <c r="E30" s="187"/>
      <c r="F30" s="187"/>
      <c r="G30" s="187"/>
      <c r="H30" s="187"/>
      <c r="I30" s="185"/>
    </row>
    <row r="31" spans="1:9" ht="18.75" customHeight="1" x14ac:dyDescent="0.2">
      <c r="A31" s="83"/>
      <c r="B31" s="186"/>
      <c r="C31" s="187"/>
      <c r="D31" s="187"/>
      <c r="E31" s="187"/>
      <c r="F31" s="187"/>
      <c r="G31" s="187"/>
      <c r="H31" s="187"/>
      <c r="I31" s="185"/>
    </row>
    <row r="32" spans="1:9" ht="18.75" customHeight="1" x14ac:dyDescent="0.2">
      <c r="A32" s="83"/>
      <c r="B32" s="188"/>
      <c r="C32" s="189"/>
      <c r="D32" s="189"/>
      <c r="E32" s="189"/>
      <c r="F32" s="189"/>
      <c r="G32" s="189"/>
      <c r="H32" s="189"/>
      <c r="I32" s="190"/>
    </row>
    <row r="33" spans="1:9" ht="7.5" customHeight="1" x14ac:dyDescent="0.2">
      <c r="A33" s="83"/>
      <c r="B33" s="83"/>
      <c r="C33" s="83"/>
      <c r="D33" s="83"/>
      <c r="E33" s="83"/>
      <c r="F33" s="83"/>
      <c r="G33" s="83"/>
      <c r="H33" s="83"/>
      <c r="I33" s="83"/>
    </row>
    <row r="34" spans="1:9" ht="18.75" customHeight="1" x14ac:dyDescent="0.2">
      <c r="A34" s="79" t="s">
        <v>6</v>
      </c>
      <c r="B34" s="79" t="s">
        <v>9</v>
      </c>
      <c r="C34" s="10"/>
      <c r="D34" s="79"/>
      <c r="E34" s="79"/>
      <c r="F34" s="79"/>
      <c r="G34" s="79"/>
      <c r="H34" s="79"/>
      <c r="I34" s="79"/>
    </row>
    <row r="35" spans="1:9" ht="18.75" customHeight="1" x14ac:dyDescent="0.2">
      <c r="A35" s="83"/>
      <c r="B35" s="191" t="s">
        <v>168</v>
      </c>
      <c r="C35" s="192"/>
      <c r="D35" s="192"/>
      <c r="E35" s="192"/>
      <c r="F35" s="192"/>
      <c r="G35" s="192"/>
      <c r="H35" s="192"/>
      <c r="I35" s="193"/>
    </row>
    <row r="36" spans="1:9" ht="18.75" customHeight="1" x14ac:dyDescent="0.2">
      <c r="A36" s="83"/>
      <c r="B36" s="194"/>
      <c r="C36" s="195"/>
      <c r="D36" s="195"/>
      <c r="E36" s="195"/>
      <c r="F36" s="195"/>
      <c r="G36" s="195"/>
      <c r="H36" s="195"/>
      <c r="I36" s="196"/>
    </row>
    <row r="37" spans="1:9" ht="18.75" customHeight="1" x14ac:dyDescent="0.2">
      <c r="A37" s="83"/>
      <c r="B37" s="194"/>
      <c r="C37" s="195"/>
      <c r="D37" s="195"/>
      <c r="E37" s="195"/>
      <c r="F37" s="195"/>
      <c r="G37" s="195"/>
      <c r="H37" s="195"/>
      <c r="I37" s="196"/>
    </row>
    <row r="38" spans="1:9" ht="18.75" customHeight="1" x14ac:dyDescent="0.2">
      <c r="A38" s="83"/>
      <c r="B38" s="194"/>
      <c r="C38" s="195"/>
      <c r="D38" s="195"/>
      <c r="E38" s="195"/>
      <c r="F38" s="195"/>
      <c r="G38" s="195"/>
      <c r="H38" s="195"/>
      <c r="I38" s="196"/>
    </row>
    <row r="39" spans="1:9" ht="18.75" customHeight="1" x14ac:dyDescent="0.2">
      <c r="A39" s="83"/>
      <c r="B39" s="194"/>
      <c r="C39" s="195"/>
      <c r="D39" s="195"/>
      <c r="E39" s="195"/>
      <c r="F39" s="195"/>
      <c r="G39" s="195"/>
      <c r="H39" s="195"/>
      <c r="I39" s="196"/>
    </row>
    <row r="40" spans="1:9" ht="18.75" customHeight="1" x14ac:dyDescent="0.2">
      <c r="A40" s="83"/>
      <c r="B40" s="194"/>
      <c r="C40" s="195"/>
      <c r="D40" s="195"/>
      <c r="E40" s="195"/>
      <c r="F40" s="195"/>
      <c r="G40" s="195"/>
      <c r="H40" s="195"/>
      <c r="I40" s="196"/>
    </row>
    <row r="41" spans="1:9" ht="18.75" customHeight="1" x14ac:dyDescent="0.2">
      <c r="A41" s="83"/>
      <c r="B41" s="194"/>
      <c r="C41" s="195"/>
      <c r="D41" s="195"/>
      <c r="E41" s="195"/>
      <c r="F41" s="195"/>
      <c r="G41" s="195"/>
      <c r="H41" s="195"/>
      <c r="I41" s="196"/>
    </row>
    <row r="42" spans="1:9" ht="18.75" customHeight="1" x14ac:dyDescent="0.2">
      <c r="A42" s="83"/>
      <c r="B42" s="194"/>
      <c r="C42" s="195"/>
      <c r="D42" s="195"/>
      <c r="E42" s="195"/>
      <c r="F42" s="195"/>
      <c r="G42" s="195"/>
      <c r="H42" s="195"/>
      <c r="I42" s="196"/>
    </row>
    <row r="43" spans="1:9" ht="18.75" customHeight="1" x14ac:dyDescent="0.2">
      <c r="A43" s="83"/>
      <c r="B43" s="194"/>
      <c r="C43" s="195"/>
      <c r="D43" s="195"/>
      <c r="E43" s="195"/>
      <c r="F43" s="195"/>
      <c r="G43" s="195"/>
      <c r="H43" s="195"/>
      <c r="I43" s="196"/>
    </row>
    <row r="44" spans="1:9" ht="18.75" customHeight="1" x14ac:dyDescent="0.2">
      <c r="A44" s="83"/>
      <c r="B44" s="194"/>
      <c r="C44" s="195"/>
      <c r="D44" s="195"/>
      <c r="E44" s="195"/>
      <c r="F44" s="195"/>
      <c r="G44" s="195"/>
      <c r="H44" s="195"/>
      <c r="I44" s="196"/>
    </row>
    <row r="45" spans="1:9" ht="18.75" customHeight="1" x14ac:dyDescent="0.2">
      <c r="A45" s="83"/>
      <c r="B45" s="194"/>
      <c r="C45" s="195"/>
      <c r="D45" s="195"/>
      <c r="E45" s="195"/>
      <c r="F45" s="195"/>
      <c r="G45" s="195"/>
      <c r="H45" s="195"/>
      <c r="I45" s="196"/>
    </row>
    <row r="46" spans="1:9" ht="18.75" customHeight="1" x14ac:dyDescent="0.2">
      <c r="A46" s="83"/>
      <c r="B46" s="197"/>
      <c r="C46" s="198"/>
      <c r="D46" s="198"/>
      <c r="E46" s="198"/>
      <c r="F46" s="198"/>
      <c r="G46" s="198"/>
      <c r="H46" s="198"/>
      <c r="I46" s="199"/>
    </row>
    <row r="47" spans="1:9" ht="7.5" customHeight="1" x14ac:dyDescent="0.2">
      <c r="A47" s="4"/>
      <c r="B47" s="4"/>
      <c r="C47" s="4"/>
      <c r="D47" s="4"/>
      <c r="E47" s="4"/>
      <c r="F47" s="4"/>
      <c r="G47" s="4"/>
      <c r="H47" s="4"/>
      <c r="I47" s="4"/>
    </row>
    <row r="48" spans="1:9" ht="18.75" customHeight="1" x14ac:dyDescent="0.2">
      <c r="A48" s="1" t="s">
        <v>31</v>
      </c>
      <c r="B48" s="1" t="s">
        <v>105</v>
      </c>
    </row>
    <row r="49" spans="1:15" s="3" customFormat="1" ht="18.75" customHeight="1" x14ac:dyDescent="0.2">
      <c r="B49" s="77" t="s">
        <v>129</v>
      </c>
      <c r="C49" s="227">
        <f>'[1]様式２ 履修者等数の実績'!S33</f>
        <v>5.8823529411764705E-3</v>
      </c>
      <c r="D49" s="228"/>
      <c r="E49" s="77" t="s">
        <v>60</v>
      </c>
      <c r="F49" s="227">
        <v>0.04</v>
      </c>
      <c r="G49" s="228"/>
      <c r="H49" s="77" t="s">
        <v>80</v>
      </c>
      <c r="I49" s="82">
        <v>0.1</v>
      </c>
      <c r="J49" s="1"/>
      <c r="M49" s="1"/>
      <c r="N49" s="22"/>
    </row>
    <row r="50" spans="1:15" s="3" customFormat="1" ht="18.75" customHeight="1" x14ac:dyDescent="0.2">
      <c r="B50" s="78" t="s">
        <v>116</v>
      </c>
      <c r="C50" s="216">
        <v>0.25</v>
      </c>
      <c r="D50" s="217"/>
      <c r="E50" s="78" t="s">
        <v>130</v>
      </c>
      <c r="F50" s="216">
        <v>0.5</v>
      </c>
      <c r="G50" s="217"/>
      <c r="H50" s="78" t="s">
        <v>61</v>
      </c>
      <c r="I50" s="23">
        <v>1360</v>
      </c>
      <c r="J50" s="1"/>
      <c r="M50" s="1"/>
      <c r="N50" s="22"/>
    </row>
    <row r="51" spans="1:15" ht="18.75" customHeight="1" x14ac:dyDescent="0.2">
      <c r="A51" s="1"/>
      <c r="B51" s="213" t="s">
        <v>62</v>
      </c>
      <c r="C51" s="214"/>
      <c r="D51" s="214"/>
      <c r="E51" s="214"/>
      <c r="F51" s="214"/>
      <c r="G51" s="214"/>
      <c r="H51" s="214"/>
      <c r="I51" s="215"/>
      <c r="N51" s="22"/>
      <c r="O51" s="3"/>
    </row>
    <row r="52" spans="1:15" ht="18.75" customHeight="1" x14ac:dyDescent="0.2">
      <c r="A52" s="1"/>
      <c r="B52" s="229" t="s">
        <v>169</v>
      </c>
      <c r="C52" s="230"/>
      <c r="D52" s="230"/>
      <c r="E52" s="230"/>
      <c r="F52" s="230"/>
      <c r="G52" s="230"/>
      <c r="H52" s="230"/>
      <c r="I52" s="231"/>
      <c r="N52" s="22"/>
      <c r="O52" s="3"/>
    </row>
    <row r="53" spans="1:15" ht="18.75" customHeight="1" x14ac:dyDescent="0.2">
      <c r="A53" s="1"/>
      <c r="B53" s="232"/>
      <c r="C53" s="233"/>
      <c r="D53" s="233"/>
      <c r="E53" s="233"/>
      <c r="F53" s="233"/>
      <c r="G53" s="233"/>
      <c r="H53" s="233"/>
      <c r="I53" s="234"/>
      <c r="N53" s="22"/>
      <c r="O53" s="3"/>
    </row>
    <row r="54" spans="1:15" ht="18.75" customHeight="1" x14ac:dyDescent="0.2">
      <c r="A54" s="1"/>
      <c r="B54" s="232"/>
      <c r="C54" s="233"/>
      <c r="D54" s="233"/>
      <c r="E54" s="233"/>
      <c r="F54" s="233"/>
      <c r="G54" s="233"/>
      <c r="H54" s="233"/>
      <c r="I54" s="234"/>
    </row>
    <row r="55" spans="1:15" ht="18.75" customHeight="1" x14ac:dyDescent="0.2">
      <c r="A55" s="1"/>
      <c r="B55" s="232"/>
      <c r="C55" s="233"/>
      <c r="D55" s="233"/>
      <c r="E55" s="233"/>
      <c r="F55" s="233"/>
      <c r="G55" s="233"/>
      <c r="H55" s="233"/>
      <c r="I55" s="234"/>
    </row>
    <row r="56" spans="1:15" ht="18.75" customHeight="1" x14ac:dyDescent="0.2">
      <c r="A56" s="1"/>
      <c r="B56" s="232"/>
      <c r="C56" s="233"/>
      <c r="D56" s="233"/>
      <c r="E56" s="233"/>
      <c r="F56" s="233"/>
      <c r="G56" s="233"/>
      <c r="H56" s="233"/>
      <c r="I56" s="234"/>
    </row>
    <row r="57" spans="1:15" ht="18.75" customHeight="1" x14ac:dyDescent="0.2">
      <c r="A57" s="1"/>
      <c r="B57" s="232"/>
      <c r="C57" s="233"/>
      <c r="D57" s="233"/>
      <c r="E57" s="233"/>
      <c r="F57" s="233"/>
      <c r="G57" s="233"/>
      <c r="H57" s="233"/>
      <c r="I57" s="234"/>
    </row>
    <row r="58" spans="1:15" ht="18.75" customHeight="1" x14ac:dyDescent="0.2">
      <c r="A58" s="1"/>
      <c r="B58" s="232"/>
      <c r="C58" s="233"/>
      <c r="D58" s="233"/>
      <c r="E58" s="233"/>
      <c r="F58" s="233"/>
      <c r="G58" s="233"/>
      <c r="H58" s="233"/>
      <c r="I58" s="234"/>
    </row>
    <row r="59" spans="1:15" ht="18.75" customHeight="1" x14ac:dyDescent="0.2">
      <c r="A59" s="1"/>
      <c r="B59" s="232"/>
      <c r="C59" s="233"/>
      <c r="D59" s="233"/>
      <c r="E59" s="233"/>
      <c r="F59" s="233"/>
      <c r="G59" s="233"/>
      <c r="H59" s="233"/>
      <c r="I59" s="234"/>
    </row>
    <row r="60" spans="1:15" ht="18.75" customHeight="1" x14ac:dyDescent="0.2">
      <c r="A60" s="1"/>
      <c r="B60" s="232"/>
      <c r="C60" s="233"/>
      <c r="D60" s="233"/>
      <c r="E60" s="233"/>
      <c r="F60" s="233"/>
      <c r="G60" s="233"/>
      <c r="H60" s="233"/>
      <c r="I60" s="234"/>
    </row>
    <row r="61" spans="1:15" ht="18.75" customHeight="1" x14ac:dyDescent="0.2">
      <c r="A61" s="1"/>
      <c r="B61" s="232"/>
      <c r="C61" s="233"/>
      <c r="D61" s="233"/>
      <c r="E61" s="233"/>
      <c r="F61" s="233"/>
      <c r="G61" s="233"/>
      <c r="H61" s="233"/>
      <c r="I61" s="234"/>
    </row>
    <row r="62" spans="1:15" ht="18.75" customHeight="1" x14ac:dyDescent="0.2">
      <c r="A62" s="1"/>
      <c r="B62" s="232"/>
      <c r="C62" s="233"/>
      <c r="D62" s="233"/>
      <c r="E62" s="233"/>
      <c r="F62" s="233"/>
      <c r="G62" s="233"/>
      <c r="H62" s="233"/>
      <c r="I62" s="234"/>
    </row>
    <row r="63" spans="1:15" ht="18.75" customHeight="1" x14ac:dyDescent="0.2">
      <c r="A63" s="1"/>
      <c r="B63" s="235"/>
      <c r="C63" s="236"/>
      <c r="D63" s="236"/>
      <c r="E63" s="236"/>
      <c r="F63" s="236"/>
      <c r="G63" s="236"/>
      <c r="H63" s="236"/>
      <c r="I63" s="237"/>
    </row>
    <row r="64" spans="1:15" ht="7.5" customHeight="1" x14ac:dyDescent="0.2">
      <c r="A64" s="14"/>
      <c r="B64" s="83"/>
      <c r="C64" s="83"/>
      <c r="D64" s="83"/>
      <c r="E64" s="83"/>
      <c r="F64" s="83"/>
      <c r="G64" s="83"/>
      <c r="H64" s="83"/>
      <c r="I64" s="83"/>
    </row>
    <row r="65" spans="1:9" ht="18.75" customHeight="1" x14ac:dyDescent="0.2">
      <c r="A65" s="15" t="s">
        <v>34</v>
      </c>
      <c r="B65" s="85" t="s">
        <v>37</v>
      </c>
      <c r="C65" s="85"/>
      <c r="D65" s="85"/>
      <c r="E65" s="85"/>
      <c r="F65" s="85"/>
      <c r="G65" s="85"/>
      <c r="H65" s="85"/>
      <c r="I65" s="79"/>
    </row>
    <row r="66" spans="1:9" ht="18.75" customHeight="1" x14ac:dyDescent="0.2">
      <c r="A66" s="4"/>
      <c r="B66" s="218" t="s">
        <v>170</v>
      </c>
      <c r="C66" s="219"/>
      <c r="D66" s="219"/>
      <c r="E66" s="219"/>
      <c r="F66" s="219"/>
      <c r="G66" s="219"/>
      <c r="H66" s="219"/>
      <c r="I66" s="220"/>
    </row>
    <row r="67" spans="1:9" ht="18.75" customHeight="1" x14ac:dyDescent="0.2">
      <c r="A67" s="4"/>
      <c r="B67" s="221"/>
      <c r="C67" s="222"/>
      <c r="D67" s="222"/>
      <c r="E67" s="222"/>
      <c r="F67" s="222"/>
      <c r="G67" s="222"/>
      <c r="H67" s="222"/>
      <c r="I67" s="223"/>
    </row>
    <row r="68" spans="1:9" ht="18.75" customHeight="1" x14ac:dyDescent="0.2">
      <c r="A68" s="4"/>
      <c r="B68" s="221"/>
      <c r="C68" s="222"/>
      <c r="D68" s="222"/>
      <c r="E68" s="222"/>
      <c r="F68" s="222"/>
      <c r="G68" s="222"/>
      <c r="H68" s="222"/>
      <c r="I68" s="223"/>
    </row>
    <row r="69" spans="1:9" ht="18.75" customHeight="1" x14ac:dyDescent="0.2">
      <c r="A69" s="4"/>
      <c r="B69" s="221"/>
      <c r="C69" s="222"/>
      <c r="D69" s="222"/>
      <c r="E69" s="222"/>
      <c r="F69" s="222"/>
      <c r="G69" s="222"/>
      <c r="H69" s="222"/>
      <c r="I69" s="223"/>
    </row>
    <row r="70" spans="1:9" ht="18.75" customHeight="1" x14ac:dyDescent="0.2">
      <c r="A70" s="4"/>
      <c r="B70" s="221"/>
      <c r="C70" s="222"/>
      <c r="D70" s="222"/>
      <c r="E70" s="222"/>
      <c r="F70" s="222"/>
      <c r="G70" s="222"/>
      <c r="H70" s="222"/>
      <c r="I70" s="223"/>
    </row>
    <row r="71" spans="1:9" ht="18.75" customHeight="1" x14ac:dyDescent="0.2">
      <c r="A71" s="4"/>
      <c r="B71" s="221"/>
      <c r="C71" s="222"/>
      <c r="D71" s="222"/>
      <c r="E71" s="222"/>
      <c r="F71" s="222"/>
      <c r="G71" s="222"/>
      <c r="H71" s="222"/>
      <c r="I71" s="223"/>
    </row>
    <row r="72" spans="1:9" ht="18.75" customHeight="1" x14ac:dyDescent="0.2">
      <c r="A72" s="4"/>
      <c r="B72" s="221"/>
      <c r="C72" s="222"/>
      <c r="D72" s="222"/>
      <c r="E72" s="222"/>
      <c r="F72" s="222"/>
      <c r="G72" s="222"/>
      <c r="H72" s="222"/>
      <c r="I72" s="223"/>
    </row>
    <row r="73" spans="1:9" ht="18.75" customHeight="1" x14ac:dyDescent="0.2">
      <c r="A73" s="4"/>
      <c r="B73" s="221"/>
      <c r="C73" s="222"/>
      <c r="D73" s="222"/>
      <c r="E73" s="222"/>
      <c r="F73" s="222"/>
      <c r="G73" s="222"/>
      <c r="H73" s="222"/>
      <c r="I73" s="223"/>
    </row>
    <row r="74" spans="1:9" ht="18.75" customHeight="1" x14ac:dyDescent="0.2">
      <c r="A74" s="4"/>
      <c r="B74" s="221"/>
      <c r="C74" s="222"/>
      <c r="D74" s="222"/>
      <c r="E74" s="222"/>
      <c r="F74" s="222"/>
      <c r="G74" s="222"/>
      <c r="H74" s="222"/>
      <c r="I74" s="223"/>
    </row>
    <row r="75" spans="1:9" ht="18.75" customHeight="1" x14ac:dyDescent="0.2">
      <c r="A75" s="4"/>
      <c r="B75" s="221"/>
      <c r="C75" s="222"/>
      <c r="D75" s="222"/>
      <c r="E75" s="222"/>
      <c r="F75" s="222"/>
      <c r="G75" s="222"/>
      <c r="H75" s="222"/>
      <c r="I75" s="223"/>
    </row>
    <row r="76" spans="1:9" ht="18.75" customHeight="1" x14ac:dyDescent="0.2">
      <c r="A76" s="4"/>
      <c r="B76" s="221"/>
      <c r="C76" s="222"/>
      <c r="D76" s="222"/>
      <c r="E76" s="222"/>
      <c r="F76" s="222"/>
      <c r="G76" s="222"/>
      <c r="H76" s="222"/>
      <c r="I76" s="223"/>
    </row>
    <row r="77" spans="1:9" ht="18.75" customHeight="1" x14ac:dyDescent="0.2">
      <c r="A77" s="4"/>
      <c r="B77" s="224"/>
      <c r="C77" s="225"/>
      <c r="D77" s="225"/>
      <c r="E77" s="225"/>
      <c r="F77" s="225"/>
      <c r="G77" s="225"/>
      <c r="H77" s="225"/>
      <c r="I77" s="226"/>
    </row>
    <row r="78" spans="1:9" ht="7.5" customHeight="1" x14ac:dyDescent="0.2">
      <c r="A78" s="4"/>
      <c r="B78" s="4"/>
      <c r="C78" s="4"/>
      <c r="D78" s="4"/>
      <c r="E78" s="4"/>
      <c r="F78" s="4"/>
      <c r="G78" s="4"/>
      <c r="H78" s="4"/>
      <c r="I78" s="4"/>
    </row>
    <row r="79" spans="1:9" ht="18.75" customHeight="1" x14ac:dyDescent="0.2">
      <c r="A79" s="1" t="s">
        <v>11</v>
      </c>
      <c r="B79" s="85" t="s">
        <v>39</v>
      </c>
      <c r="C79" s="85"/>
      <c r="D79" s="85"/>
      <c r="E79" s="85"/>
      <c r="F79" s="85"/>
      <c r="G79" s="85"/>
      <c r="H79" s="85"/>
      <c r="I79" s="85"/>
    </row>
    <row r="80" spans="1:9" ht="18.75" customHeight="1" x14ac:dyDescent="0.2">
      <c r="A80" s="1"/>
      <c r="B80" s="218" t="s">
        <v>171</v>
      </c>
      <c r="C80" s="219"/>
      <c r="D80" s="219"/>
      <c r="E80" s="219"/>
      <c r="F80" s="219"/>
      <c r="G80" s="219"/>
      <c r="H80" s="219"/>
      <c r="I80" s="220"/>
    </row>
    <row r="81" spans="1:9" ht="18.75" customHeight="1" x14ac:dyDescent="0.2">
      <c r="A81" s="1"/>
      <c r="B81" s="221"/>
      <c r="C81" s="222"/>
      <c r="D81" s="222"/>
      <c r="E81" s="222"/>
      <c r="F81" s="222"/>
      <c r="G81" s="222"/>
      <c r="H81" s="222"/>
      <c r="I81" s="223"/>
    </row>
    <row r="82" spans="1:9" ht="18.75" customHeight="1" x14ac:dyDescent="0.2">
      <c r="A82" s="1"/>
      <c r="B82" s="221"/>
      <c r="C82" s="222"/>
      <c r="D82" s="222"/>
      <c r="E82" s="222"/>
      <c r="F82" s="222"/>
      <c r="G82" s="222"/>
      <c r="H82" s="222"/>
      <c r="I82" s="223"/>
    </row>
    <row r="83" spans="1:9" ht="18.75" customHeight="1" x14ac:dyDescent="0.2">
      <c r="A83" s="1"/>
      <c r="B83" s="221"/>
      <c r="C83" s="222"/>
      <c r="D83" s="222"/>
      <c r="E83" s="222"/>
      <c r="F83" s="222"/>
      <c r="G83" s="222"/>
      <c r="H83" s="222"/>
      <c r="I83" s="223"/>
    </row>
    <row r="84" spans="1:9" ht="18.75" customHeight="1" x14ac:dyDescent="0.2">
      <c r="A84" s="1"/>
      <c r="B84" s="221"/>
      <c r="C84" s="222"/>
      <c r="D84" s="222"/>
      <c r="E84" s="222"/>
      <c r="F84" s="222"/>
      <c r="G84" s="222"/>
      <c r="H84" s="222"/>
      <c r="I84" s="223"/>
    </row>
    <row r="85" spans="1:9" ht="18.75" customHeight="1" x14ac:dyDescent="0.2">
      <c r="A85" s="1"/>
      <c r="B85" s="221"/>
      <c r="C85" s="222"/>
      <c r="D85" s="222"/>
      <c r="E85" s="222"/>
      <c r="F85" s="222"/>
      <c r="G85" s="222"/>
      <c r="H85" s="222"/>
      <c r="I85" s="223"/>
    </row>
    <row r="86" spans="1:9" ht="18.75" customHeight="1" x14ac:dyDescent="0.2">
      <c r="A86" s="1"/>
      <c r="B86" s="221"/>
      <c r="C86" s="222"/>
      <c r="D86" s="222"/>
      <c r="E86" s="222"/>
      <c r="F86" s="222"/>
      <c r="G86" s="222"/>
      <c r="H86" s="222"/>
      <c r="I86" s="223"/>
    </row>
    <row r="87" spans="1:9" ht="18.75" customHeight="1" x14ac:dyDescent="0.2">
      <c r="A87" s="1"/>
      <c r="B87" s="221"/>
      <c r="C87" s="222"/>
      <c r="D87" s="222"/>
      <c r="E87" s="222"/>
      <c r="F87" s="222"/>
      <c r="G87" s="222"/>
      <c r="H87" s="222"/>
      <c r="I87" s="223"/>
    </row>
    <row r="88" spans="1:9" ht="18.75" customHeight="1" x14ac:dyDescent="0.2">
      <c r="A88" s="1"/>
      <c r="B88" s="221"/>
      <c r="C88" s="222"/>
      <c r="D88" s="222"/>
      <c r="E88" s="222"/>
      <c r="F88" s="222"/>
      <c r="G88" s="222"/>
      <c r="H88" s="222"/>
      <c r="I88" s="223"/>
    </row>
    <row r="89" spans="1:9" ht="18.75" customHeight="1" x14ac:dyDescent="0.2">
      <c r="A89" s="1"/>
      <c r="B89" s="221"/>
      <c r="C89" s="222"/>
      <c r="D89" s="222"/>
      <c r="E89" s="222"/>
      <c r="F89" s="222"/>
      <c r="G89" s="222"/>
      <c r="H89" s="222"/>
      <c r="I89" s="223"/>
    </row>
    <row r="90" spans="1:9" ht="18.75" customHeight="1" x14ac:dyDescent="0.2">
      <c r="A90" s="4"/>
      <c r="B90" s="221"/>
      <c r="C90" s="222"/>
      <c r="D90" s="222"/>
      <c r="E90" s="222"/>
      <c r="F90" s="222"/>
      <c r="G90" s="222"/>
      <c r="H90" s="222"/>
      <c r="I90" s="223"/>
    </row>
    <row r="91" spans="1:9" ht="18.75" customHeight="1" x14ac:dyDescent="0.2">
      <c r="A91" s="4"/>
      <c r="B91" s="224"/>
      <c r="C91" s="225"/>
      <c r="D91" s="225"/>
      <c r="E91" s="225"/>
      <c r="F91" s="225"/>
      <c r="G91" s="225"/>
      <c r="H91" s="225"/>
      <c r="I91" s="226"/>
    </row>
    <row r="92" spans="1:9" ht="7.5" customHeight="1" x14ac:dyDescent="0.2">
      <c r="A92" s="4"/>
      <c r="B92" s="4"/>
      <c r="C92" s="4"/>
      <c r="D92" s="4"/>
      <c r="E92" s="4"/>
      <c r="F92" s="4"/>
      <c r="G92" s="4"/>
      <c r="H92" s="4"/>
      <c r="I92" s="4"/>
    </row>
    <row r="93" spans="1:9" ht="18.75" customHeight="1" x14ac:dyDescent="0.2">
      <c r="A93" s="1" t="s">
        <v>42</v>
      </c>
      <c r="B93" s="85" t="s">
        <v>13</v>
      </c>
      <c r="C93" s="85"/>
      <c r="D93" s="85"/>
      <c r="E93" s="85"/>
      <c r="F93" s="85"/>
      <c r="G93" s="85"/>
      <c r="H93" s="85"/>
      <c r="I93" s="85"/>
    </row>
    <row r="94" spans="1:9" ht="18.75" customHeight="1" x14ac:dyDescent="0.2">
      <c r="A94" s="1"/>
      <c r="B94" s="180" t="s">
        <v>172</v>
      </c>
      <c r="C94" s="181"/>
      <c r="D94" s="181"/>
      <c r="E94" s="181"/>
      <c r="F94" s="181"/>
      <c r="G94" s="181"/>
      <c r="H94" s="181"/>
      <c r="I94" s="206"/>
    </row>
    <row r="95" spans="1:9" ht="18.75" customHeight="1" x14ac:dyDescent="0.2">
      <c r="A95" s="1"/>
      <c r="B95" s="183"/>
      <c r="C95" s="207"/>
      <c r="D95" s="207"/>
      <c r="E95" s="207"/>
      <c r="F95" s="207"/>
      <c r="G95" s="207"/>
      <c r="H95" s="207"/>
      <c r="I95" s="208"/>
    </row>
    <row r="96" spans="1:9" ht="18.75" customHeight="1" x14ac:dyDescent="0.2">
      <c r="A96" s="1"/>
      <c r="B96" s="183"/>
      <c r="C96" s="207"/>
      <c r="D96" s="207"/>
      <c r="E96" s="207"/>
      <c r="F96" s="207"/>
      <c r="G96" s="207"/>
      <c r="H96" s="207"/>
      <c r="I96" s="208"/>
    </row>
    <row r="97" spans="1:9" ht="18.75" customHeight="1" x14ac:dyDescent="0.2">
      <c r="A97" s="1"/>
      <c r="B97" s="183"/>
      <c r="C97" s="207"/>
      <c r="D97" s="207"/>
      <c r="E97" s="207"/>
      <c r="F97" s="207"/>
      <c r="G97" s="207"/>
      <c r="H97" s="207"/>
      <c r="I97" s="208"/>
    </row>
    <row r="98" spans="1:9" ht="18.75" customHeight="1" x14ac:dyDescent="0.2">
      <c r="A98" s="1"/>
      <c r="B98" s="183"/>
      <c r="C98" s="207"/>
      <c r="D98" s="207"/>
      <c r="E98" s="207"/>
      <c r="F98" s="207"/>
      <c r="G98" s="207"/>
      <c r="H98" s="207"/>
      <c r="I98" s="208"/>
    </row>
    <row r="99" spans="1:9" ht="18.75" customHeight="1" x14ac:dyDescent="0.2">
      <c r="A99" s="1"/>
      <c r="B99" s="183"/>
      <c r="C99" s="207"/>
      <c r="D99" s="207"/>
      <c r="E99" s="207"/>
      <c r="F99" s="207"/>
      <c r="G99" s="207"/>
      <c r="H99" s="207"/>
      <c r="I99" s="208"/>
    </row>
    <row r="100" spans="1:9" ht="18.75" customHeight="1" x14ac:dyDescent="0.2">
      <c r="A100" s="1"/>
      <c r="B100" s="183"/>
      <c r="C100" s="207"/>
      <c r="D100" s="207"/>
      <c r="E100" s="207"/>
      <c r="F100" s="207"/>
      <c r="G100" s="207"/>
      <c r="H100" s="207"/>
      <c r="I100" s="208"/>
    </row>
    <row r="101" spans="1:9" ht="18.75" customHeight="1" x14ac:dyDescent="0.2">
      <c r="A101" s="1"/>
      <c r="B101" s="183"/>
      <c r="C101" s="207"/>
      <c r="D101" s="207"/>
      <c r="E101" s="207"/>
      <c r="F101" s="207"/>
      <c r="G101" s="207"/>
      <c r="H101" s="207"/>
      <c r="I101" s="208"/>
    </row>
    <row r="102" spans="1:9" ht="18.75" customHeight="1" x14ac:dyDescent="0.2">
      <c r="A102" s="1"/>
      <c r="B102" s="183"/>
      <c r="C102" s="207"/>
      <c r="D102" s="207"/>
      <c r="E102" s="207"/>
      <c r="F102" s="207"/>
      <c r="G102" s="207"/>
      <c r="H102" s="207"/>
      <c r="I102" s="208"/>
    </row>
    <row r="103" spans="1:9" ht="18.75" customHeight="1" x14ac:dyDescent="0.2">
      <c r="A103" s="1"/>
      <c r="B103" s="183"/>
      <c r="C103" s="207"/>
      <c r="D103" s="207"/>
      <c r="E103" s="207"/>
      <c r="F103" s="207"/>
      <c r="G103" s="207"/>
      <c r="H103" s="207"/>
      <c r="I103" s="208"/>
    </row>
    <row r="104" spans="1:9" ht="18.75" customHeight="1" x14ac:dyDescent="0.2">
      <c r="A104" s="1"/>
      <c r="B104" s="183"/>
      <c r="C104" s="207"/>
      <c r="D104" s="207"/>
      <c r="E104" s="207"/>
      <c r="F104" s="207"/>
      <c r="G104" s="207"/>
      <c r="H104" s="207"/>
      <c r="I104" s="208"/>
    </row>
    <row r="105" spans="1:9" ht="18.75" customHeight="1" x14ac:dyDescent="0.2">
      <c r="A105" s="4"/>
      <c r="B105" s="209"/>
      <c r="C105" s="210"/>
      <c r="D105" s="210"/>
      <c r="E105" s="210"/>
      <c r="F105" s="210"/>
      <c r="G105" s="210"/>
      <c r="H105" s="210"/>
      <c r="I105" s="211"/>
    </row>
    <row r="106" spans="1:9" ht="7.5" customHeight="1" x14ac:dyDescent="0.2">
      <c r="A106" s="4"/>
      <c r="B106" s="4"/>
      <c r="C106" s="4"/>
      <c r="D106" s="4"/>
      <c r="E106" s="4"/>
      <c r="F106" s="4"/>
      <c r="G106" s="4"/>
      <c r="H106" s="4"/>
      <c r="I106" s="4"/>
    </row>
    <row r="107" spans="1:9" ht="18.75" customHeight="1" x14ac:dyDescent="0.2">
      <c r="A107" s="1" t="s">
        <v>30</v>
      </c>
      <c r="B107" s="212" t="s">
        <v>44</v>
      </c>
      <c r="C107" s="212"/>
      <c r="D107" s="212"/>
      <c r="E107" s="212"/>
      <c r="F107" s="212"/>
      <c r="G107" s="212"/>
      <c r="H107" s="212"/>
      <c r="I107" s="212"/>
    </row>
    <row r="108" spans="1:9" ht="18.75" customHeight="1" x14ac:dyDescent="0.2">
      <c r="A108" s="4"/>
      <c r="B108" s="180" t="s">
        <v>173</v>
      </c>
      <c r="C108" s="181"/>
      <c r="D108" s="181"/>
      <c r="E108" s="181"/>
      <c r="F108" s="181"/>
      <c r="G108" s="181"/>
      <c r="H108" s="181"/>
      <c r="I108" s="206"/>
    </row>
    <row r="109" spans="1:9" ht="18.75" customHeight="1" x14ac:dyDescent="0.2">
      <c r="A109" s="4"/>
      <c r="B109" s="183"/>
      <c r="C109" s="207"/>
      <c r="D109" s="207"/>
      <c r="E109" s="207"/>
      <c r="F109" s="207"/>
      <c r="G109" s="207"/>
      <c r="H109" s="207"/>
      <c r="I109" s="208"/>
    </row>
    <row r="110" spans="1:9" ht="18.75" customHeight="1" x14ac:dyDescent="0.2">
      <c r="A110" s="4"/>
      <c r="B110" s="183"/>
      <c r="C110" s="207"/>
      <c r="D110" s="207"/>
      <c r="E110" s="207"/>
      <c r="F110" s="207"/>
      <c r="G110" s="207"/>
      <c r="H110" s="207"/>
      <c r="I110" s="208"/>
    </row>
    <row r="111" spans="1:9" ht="18.75" customHeight="1" x14ac:dyDescent="0.2">
      <c r="A111" s="4"/>
      <c r="B111" s="183"/>
      <c r="C111" s="207"/>
      <c r="D111" s="207"/>
      <c r="E111" s="207"/>
      <c r="F111" s="207"/>
      <c r="G111" s="207"/>
      <c r="H111" s="207"/>
      <c r="I111" s="208"/>
    </row>
    <row r="112" spans="1:9" ht="18.75" customHeight="1" x14ac:dyDescent="0.2">
      <c r="A112" s="4"/>
      <c r="B112" s="183"/>
      <c r="C112" s="207"/>
      <c r="D112" s="207"/>
      <c r="E112" s="207"/>
      <c r="F112" s="207"/>
      <c r="G112" s="207"/>
      <c r="H112" s="207"/>
      <c r="I112" s="208"/>
    </row>
    <row r="113" spans="1:9" ht="18.75" customHeight="1" x14ac:dyDescent="0.2">
      <c r="A113" s="4"/>
      <c r="B113" s="183"/>
      <c r="C113" s="207"/>
      <c r="D113" s="207"/>
      <c r="E113" s="207"/>
      <c r="F113" s="207"/>
      <c r="G113" s="207"/>
      <c r="H113" s="207"/>
      <c r="I113" s="208"/>
    </row>
    <row r="114" spans="1:9" ht="18.75" customHeight="1" x14ac:dyDescent="0.2">
      <c r="A114" s="4"/>
      <c r="B114" s="183"/>
      <c r="C114" s="207"/>
      <c r="D114" s="207"/>
      <c r="E114" s="207"/>
      <c r="F114" s="207"/>
      <c r="G114" s="207"/>
      <c r="H114" s="207"/>
      <c r="I114" s="208"/>
    </row>
    <row r="115" spans="1:9" ht="18.75" customHeight="1" x14ac:dyDescent="0.2">
      <c r="A115" s="4"/>
      <c r="B115" s="183"/>
      <c r="C115" s="207"/>
      <c r="D115" s="207"/>
      <c r="E115" s="207"/>
      <c r="F115" s="207"/>
      <c r="G115" s="207"/>
      <c r="H115" s="207"/>
      <c r="I115" s="208"/>
    </row>
    <row r="116" spans="1:9" ht="18.75" customHeight="1" x14ac:dyDescent="0.2">
      <c r="A116" s="4"/>
      <c r="B116" s="183"/>
      <c r="C116" s="207"/>
      <c r="D116" s="207"/>
      <c r="E116" s="207"/>
      <c r="F116" s="207"/>
      <c r="G116" s="207"/>
      <c r="H116" s="207"/>
      <c r="I116" s="208"/>
    </row>
    <row r="117" spans="1:9" ht="18.75" customHeight="1" x14ac:dyDescent="0.2">
      <c r="A117" s="4"/>
      <c r="B117" s="183"/>
      <c r="C117" s="207"/>
      <c r="D117" s="207"/>
      <c r="E117" s="207"/>
      <c r="F117" s="207"/>
      <c r="G117" s="207"/>
      <c r="H117" s="207"/>
      <c r="I117" s="208"/>
    </row>
    <row r="118" spans="1:9" ht="18.75" customHeight="1" x14ac:dyDescent="0.2">
      <c r="A118" s="4"/>
      <c r="B118" s="183"/>
      <c r="C118" s="207"/>
      <c r="D118" s="207"/>
      <c r="E118" s="207"/>
      <c r="F118" s="207"/>
      <c r="G118" s="207"/>
      <c r="H118" s="207"/>
      <c r="I118" s="208"/>
    </row>
    <row r="119" spans="1:9" ht="18.75" customHeight="1" x14ac:dyDescent="0.2">
      <c r="A119" s="4"/>
      <c r="B119" s="209"/>
      <c r="C119" s="210"/>
      <c r="D119" s="210"/>
      <c r="E119" s="210"/>
      <c r="F119" s="210"/>
      <c r="G119" s="210"/>
      <c r="H119" s="210"/>
      <c r="I119" s="211"/>
    </row>
    <row r="120" spans="1:9" ht="7.5" customHeight="1" x14ac:dyDescent="0.2">
      <c r="A120" s="4"/>
      <c r="B120" s="24"/>
      <c r="C120" s="24"/>
      <c r="D120" s="24"/>
      <c r="E120" s="24"/>
      <c r="F120" s="24"/>
      <c r="G120" s="24"/>
      <c r="H120" s="24"/>
      <c r="I120" s="24"/>
    </row>
    <row r="121" spans="1:9" ht="18.75" customHeight="1" x14ac:dyDescent="0.2">
      <c r="A121" s="47"/>
      <c r="B121" s="176"/>
      <c r="C121" s="176"/>
      <c r="D121" s="176"/>
      <c r="E121" s="176"/>
      <c r="F121" s="176"/>
      <c r="G121" s="176"/>
      <c r="H121" s="176"/>
      <c r="I121" s="176"/>
    </row>
    <row r="122" spans="1:9" ht="18.75" customHeight="1" x14ac:dyDescent="0.2">
      <c r="A122" s="47"/>
      <c r="B122" s="176"/>
      <c r="C122" s="176"/>
      <c r="D122" s="176"/>
      <c r="E122" s="176"/>
      <c r="F122" s="176"/>
      <c r="G122" s="176"/>
      <c r="H122" s="176"/>
      <c r="I122" s="176"/>
    </row>
    <row r="123" spans="1:9" ht="18.75" customHeight="1" x14ac:dyDescent="0.2">
      <c r="A123" s="4"/>
      <c r="B123" s="48"/>
      <c r="C123" s="48"/>
      <c r="D123" s="48"/>
      <c r="E123" s="48"/>
      <c r="F123" s="48"/>
      <c r="G123" s="48"/>
      <c r="H123" s="48"/>
      <c r="I123" s="49"/>
    </row>
    <row r="124" spans="1:9" ht="18.75" customHeight="1" x14ac:dyDescent="0.2">
      <c r="A124" s="4"/>
      <c r="B124" s="49"/>
      <c r="C124" s="49"/>
      <c r="D124" s="49"/>
      <c r="E124" s="49"/>
      <c r="F124" s="49"/>
      <c r="G124" s="49"/>
      <c r="H124" s="49"/>
      <c r="I124" s="49"/>
    </row>
    <row r="125" spans="1:9" ht="18.75" customHeight="1" x14ac:dyDescent="0.2">
      <c r="A125" s="4"/>
      <c r="B125" s="49"/>
      <c r="C125" s="49"/>
      <c r="D125" s="49"/>
      <c r="E125" s="49"/>
      <c r="F125" s="49"/>
      <c r="G125" s="49"/>
      <c r="H125" s="49"/>
      <c r="I125" s="49"/>
    </row>
    <row r="126" spans="1:9" ht="18.75" customHeight="1" x14ac:dyDescent="0.2">
      <c r="A126" s="4"/>
      <c r="B126" s="49"/>
      <c r="C126" s="49"/>
      <c r="D126" s="49"/>
      <c r="E126" s="49"/>
      <c r="F126" s="49"/>
      <c r="G126" s="49"/>
      <c r="H126" s="49"/>
      <c r="I126" s="49"/>
    </row>
    <row r="127" spans="1:9" ht="18.75" customHeight="1" x14ac:dyDescent="0.2">
      <c r="A127" s="4"/>
      <c r="B127" s="49"/>
      <c r="C127" s="49"/>
      <c r="D127" s="49"/>
      <c r="E127" s="49"/>
      <c r="F127" s="49"/>
      <c r="G127" s="49"/>
      <c r="H127" s="49"/>
      <c r="I127" s="49"/>
    </row>
    <row r="128" spans="1:9" ht="18.75" customHeight="1" x14ac:dyDescent="0.2">
      <c r="A128" s="4"/>
      <c r="B128" s="49"/>
      <c r="C128" s="49"/>
      <c r="D128" s="49"/>
      <c r="E128" s="49"/>
      <c r="F128" s="49"/>
      <c r="G128" s="49"/>
      <c r="H128" s="49"/>
      <c r="I128" s="49"/>
    </row>
    <row r="129" spans="1:9" ht="18.75" customHeight="1" x14ac:dyDescent="0.2">
      <c r="A129" s="4"/>
      <c r="B129" s="49"/>
      <c r="C129" s="49"/>
      <c r="D129" s="49"/>
      <c r="E129" s="49"/>
      <c r="F129" s="49"/>
      <c r="G129" s="49"/>
      <c r="H129" s="49"/>
      <c r="I129" s="49"/>
    </row>
    <row r="130" spans="1:9" ht="18.75" customHeight="1" x14ac:dyDescent="0.2">
      <c r="A130" s="4"/>
      <c r="B130" s="49"/>
      <c r="C130" s="49"/>
      <c r="D130" s="49"/>
      <c r="E130" s="49"/>
      <c r="F130" s="49"/>
      <c r="G130" s="49"/>
      <c r="H130" s="49"/>
      <c r="I130" s="49"/>
    </row>
    <row r="131" spans="1:9" ht="18.75" customHeight="1" x14ac:dyDescent="0.2">
      <c r="A131" s="4"/>
      <c r="B131" s="49"/>
      <c r="C131" s="49"/>
      <c r="D131" s="49"/>
      <c r="E131" s="49"/>
      <c r="F131" s="49"/>
      <c r="G131" s="49"/>
      <c r="H131" s="49"/>
      <c r="I131" s="49"/>
    </row>
    <row r="132" spans="1:9" ht="18.75" customHeight="1" x14ac:dyDescent="0.2">
      <c r="A132" s="4"/>
      <c r="B132" s="49"/>
      <c r="C132" s="49"/>
      <c r="D132" s="49"/>
      <c r="E132" s="49"/>
      <c r="F132" s="49"/>
      <c r="G132" s="49"/>
      <c r="H132" s="49"/>
      <c r="I132" s="49"/>
    </row>
    <row r="133" spans="1:9" ht="14.4" x14ac:dyDescent="0.2">
      <c r="A133" s="4"/>
      <c r="B133" s="49"/>
      <c r="C133" s="49"/>
      <c r="D133" s="49"/>
      <c r="E133" s="49"/>
      <c r="F133" s="49"/>
      <c r="G133" s="49"/>
      <c r="H133" s="49"/>
      <c r="I133" s="49"/>
    </row>
    <row r="134" spans="1:9" ht="7.5" customHeight="1" x14ac:dyDescent="0.2">
      <c r="A134" s="4"/>
      <c r="B134" s="49"/>
      <c r="C134" s="49"/>
      <c r="D134" s="49"/>
      <c r="E134" s="49"/>
      <c r="F134" s="49"/>
      <c r="G134" s="49"/>
      <c r="H134" s="49"/>
      <c r="I134" s="49"/>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90" zoomScaleNormal="100" zoomScaleSheetLayoutView="90" workbookViewId="0">
      <selection activeCell="E13" sqref="E13:I13"/>
    </sheetView>
  </sheetViews>
  <sheetFormatPr defaultColWidth="11.33203125" defaultRowHeight="22.5" customHeight="1" x14ac:dyDescent="0.2"/>
  <cols>
    <col min="1" max="3" width="2.77734375" style="1" customWidth="1"/>
    <col min="4" max="4" width="22.21875" style="1" customWidth="1"/>
    <col min="5" max="5" width="30.77734375" style="1" customWidth="1"/>
    <col min="6" max="7" width="7.77734375" style="1" customWidth="1"/>
    <col min="8" max="9" width="30.77734375" style="1" customWidth="1"/>
    <col min="10" max="10" width="4.109375" style="1" customWidth="1"/>
    <col min="11" max="16384" width="11.33203125" style="1"/>
  </cols>
  <sheetData>
    <row r="1" spans="1:9" ht="18.75" customHeight="1" x14ac:dyDescent="0.2">
      <c r="A1" s="1" t="s">
        <v>63</v>
      </c>
      <c r="I1" s="18" t="s">
        <v>90</v>
      </c>
    </row>
    <row r="2" spans="1:9" ht="18.75" customHeight="1" x14ac:dyDescent="0.2">
      <c r="H2" s="18" t="s">
        <v>93</v>
      </c>
      <c r="I2" s="17" t="str">
        <f>'様式１　プログラムを構成する授業科目'!C2</f>
        <v>東京未来大学</v>
      </c>
    </row>
    <row r="3" spans="1:9" ht="18.75" customHeight="1" x14ac:dyDescent="0.2">
      <c r="A3" s="113" t="s">
        <v>28</v>
      </c>
      <c r="B3" s="113"/>
      <c r="C3" s="113"/>
      <c r="D3" s="113"/>
      <c r="E3" s="113"/>
      <c r="F3" s="113"/>
      <c r="G3" s="113"/>
      <c r="H3" s="113"/>
      <c r="I3" s="113"/>
    </row>
    <row r="4" spans="1:9" ht="18.75" customHeight="1" x14ac:dyDescent="0.2">
      <c r="A4" s="5"/>
      <c r="B4" s="5"/>
      <c r="C4" s="5"/>
      <c r="D4" s="5"/>
      <c r="E4" s="5"/>
      <c r="F4" s="5"/>
      <c r="G4" s="5"/>
      <c r="H4" s="5"/>
      <c r="I4" s="5"/>
    </row>
    <row r="5" spans="1:9" ht="18.75" customHeight="1" x14ac:dyDescent="0.2">
      <c r="A5" s="1" t="s">
        <v>0</v>
      </c>
      <c r="B5" s="10" t="s">
        <v>85</v>
      </c>
      <c r="C5" s="5"/>
      <c r="D5" s="5"/>
      <c r="E5" s="5"/>
      <c r="F5" s="5"/>
      <c r="G5" s="5"/>
      <c r="H5" s="5"/>
      <c r="I5" s="5"/>
    </row>
    <row r="6" spans="1:9" s="85" customFormat="1" ht="26.25" customHeight="1" x14ac:dyDescent="0.2">
      <c r="A6" s="81"/>
      <c r="B6" s="200" t="s">
        <v>185</v>
      </c>
      <c r="C6" s="248"/>
      <c r="D6" s="248"/>
      <c r="E6" s="248"/>
      <c r="F6" s="248"/>
      <c r="G6" s="248"/>
      <c r="H6" s="249"/>
      <c r="I6" s="84"/>
    </row>
    <row r="7" spans="1:9" s="85" customFormat="1" ht="9" customHeight="1" x14ac:dyDescent="0.2">
      <c r="A7" s="81"/>
      <c r="B7" s="10"/>
      <c r="C7" s="10"/>
      <c r="D7" s="10"/>
      <c r="E7" s="10"/>
      <c r="F7" s="10"/>
      <c r="G7" s="10"/>
      <c r="H7" s="10"/>
      <c r="I7" s="84"/>
    </row>
    <row r="8" spans="1:9" s="85" customFormat="1" ht="18.75" customHeight="1" x14ac:dyDescent="0.2">
      <c r="A8" s="81"/>
      <c r="B8" s="84"/>
      <c r="C8" s="84"/>
      <c r="D8" s="80" t="s">
        <v>41</v>
      </c>
      <c r="E8" s="19" t="s">
        <v>174</v>
      </c>
      <c r="F8" s="84"/>
      <c r="G8" s="80" t="s">
        <v>10</v>
      </c>
      <c r="H8" s="19" t="s">
        <v>175</v>
      </c>
      <c r="I8" s="84"/>
    </row>
    <row r="9" spans="1:9" ht="7.5" customHeight="1" x14ac:dyDescent="0.2">
      <c r="A9" s="5"/>
      <c r="B9" s="5"/>
      <c r="C9" s="5"/>
      <c r="D9" s="5"/>
      <c r="E9" s="5"/>
      <c r="F9" s="5"/>
      <c r="G9" s="5"/>
      <c r="H9" s="5"/>
      <c r="I9" s="5"/>
    </row>
    <row r="10" spans="1:9" ht="18.75" customHeight="1" x14ac:dyDescent="0.2">
      <c r="A10" s="1" t="s">
        <v>3</v>
      </c>
      <c r="B10" s="1" t="s">
        <v>27</v>
      </c>
      <c r="C10" s="4"/>
      <c r="D10" s="4"/>
      <c r="E10" s="4"/>
      <c r="F10" s="4"/>
      <c r="G10" s="4"/>
      <c r="H10" s="4"/>
      <c r="I10" s="4"/>
    </row>
    <row r="11" spans="1:9" ht="18.75" customHeight="1" x14ac:dyDescent="0.2">
      <c r="B11" s="102" t="s">
        <v>24</v>
      </c>
      <c r="C11" s="103"/>
      <c r="D11" s="104"/>
      <c r="E11" s="103" t="s">
        <v>26</v>
      </c>
      <c r="F11" s="103"/>
      <c r="G11" s="103"/>
      <c r="H11" s="103"/>
      <c r="I11" s="104"/>
    </row>
    <row r="12" spans="1:9" ht="26.25" customHeight="1" x14ac:dyDescent="0.2">
      <c r="B12" s="25" t="s">
        <v>14</v>
      </c>
      <c r="C12" s="30"/>
      <c r="D12" s="26"/>
      <c r="E12" s="31"/>
      <c r="F12" s="31"/>
      <c r="G12" s="31"/>
      <c r="H12" s="31"/>
      <c r="I12" s="26"/>
    </row>
    <row r="13" spans="1:9" ht="114" customHeight="1" x14ac:dyDescent="0.2">
      <c r="B13" s="27"/>
      <c r="C13" s="243" t="s">
        <v>15</v>
      </c>
      <c r="D13" s="244"/>
      <c r="E13" s="245" t="s">
        <v>176</v>
      </c>
      <c r="F13" s="246"/>
      <c r="G13" s="246"/>
      <c r="H13" s="246"/>
      <c r="I13" s="247"/>
    </row>
    <row r="14" spans="1:9" ht="121.2" customHeight="1" x14ac:dyDescent="0.2">
      <c r="B14" s="27"/>
      <c r="C14" s="238" t="s">
        <v>16</v>
      </c>
      <c r="D14" s="239"/>
      <c r="E14" s="240" t="s">
        <v>177</v>
      </c>
      <c r="F14" s="241"/>
      <c r="G14" s="241"/>
      <c r="H14" s="241"/>
      <c r="I14" s="242"/>
    </row>
    <row r="15" spans="1:9" ht="122.4" customHeight="1" x14ac:dyDescent="0.2">
      <c r="B15" s="27"/>
      <c r="C15" s="243" t="s">
        <v>17</v>
      </c>
      <c r="D15" s="244"/>
      <c r="E15" s="250" t="s">
        <v>178</v>
      </c>
      <c r="F15" s="251"/>
      <c r="G15" s="251"/>
      <c r="H15" s="251"/>
      <c r="I15" s="252"/>
    </row>
    <row r="16" spans="1:9" ht="114" customHeight="1" x14ac:dyDescent="0.2">
      <c r="B16" s="27"/>
      <c r="C16" s="243" t="s">
        <v>18</v>
      </c>
      <c r="D16" s="244"/>
      <c r="E16" s="245" t="s">
        <v>179</v>
      </c>
      <c r="F16" s="246"/>
      <c r="G16" s="246"/>
      <c r="H16" s="246"/>
      <c r="I16" s="247"/>
    </row>
    <row r="17" spans="2:9" ht="184.2" customHeight="1" x14ac:dyDescent="0.2">
      <c r="B17" s="28"/>
      <c r="C17" s="253" t="s">
        <v>19</v>
      </c>
      <c r="D17" s="254"/>
      <c r="E17" s="255" t="s">
        <v>180</v>
      </c>
      <c r="F17" s="256"/>
      <c r="G17" s="256"/>
      <c r="H17" s="256"/>
      <c r="I17" s="257"/>
    </row>
    <row r="18" spans="2:9" ht="24" customHeight="1" x14ac:dyDescent="0.2">
      <c r="B18" s="25" t="s">
        <v>20</v>
      </c>
      <c r="C18" s="29"/>
      <c r="D18" s="86"/>
      <c r="E18" s="87"/>
      <c r="F18" s="87"/>
      <c r="G18" s="87"/>
      <c r="H18" s="87"/>
      <c r="I18" s="88"/>
    </row>
    <row r="19" spans="2:9" ht="111.6" customHeight="1" x14ac:dyDescent="0.2">
      <c r="B19" s="27"/>
      <c r="C19" s="243" t="s">
        <v>21</v>
      </c>
      <c r="D19" s="244"/>
      <c r="E19" s="250" t="s">
        <v>181</v>
      </c>
      <c r="F19" s="251"/>
      <c r="G19" s="251"/>
      <c r="H19" s="251"/>
      <c r="I19" s="252"/>
    </row>
    <row r="20" spans="2:9" ht="123.6" customHeight="1" x14ac:dyDescent="0.2">
      <c r="B20" s="28"/>
      <c r="C20" s="253" t="s">
        <v>22</v>
      </c>
      <c r="D20" s="254"/>
      <c r="E20" s="255" t="s">
        <v>182</v>
      </c>
      <c r="F20" s="256"/>
      <c r="G20" s="256"/>
      <c r="H20" s="256"/>
      <c r="I20" s="257"/>
    </row>
    <row r="21" spans="2:9" ht="109.2" customHeight="1" x14ac:dyDescent="0.2">
      <c r="B21" s="261" t="s">
        <v>23</v>
      </c>
      <c r="C21" s="262"/>
      <c r="D21" s="263"/>
      <c r="E21" s="264" t="s">
        <v>183</v>
      </c>
      <c r="F21" s="265"/>
      <c r="G21" s="265"/>
      <c r="H21" s="265"/>
      <c r="I21" s="266"/>
    </row>
    <row r="22" spans="2:9" ht="204" customHeight="1" x14ac:dyDescent="0.2">
      <c r="B22" s="258" t="s">
        <v>121</v>
      </c>
      <c r="C22" s="259"/>
      <c r="D22" s="260"/>
      <c r="E22" s="245" t="s">
        <v>184</v>
      </c>
      <c r="F22" s="246"/>
      <c r="G22" s="246"/>
      <c r="H22" s="246"/>
      <c r="I22" s="247"/>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4"/>
      <c r="C28" s="14"/>
      <c r="D28" s="14"/>
      <c r="E28" s="14"/>
      <c r="F28" s="14"/>
      <c r="G28" s="14"/>
      <c r="H28" s="14"/>
      <c r="I28" s="14"/>
    </row>
    <row r="29" spans="2:9" ht="22.5" customHeight="1" x14ac:dyDescent="0.2">
      <c r="B29" s="14"/>
      <c r="C29" s="14"/>
      <c r="D29" s="14"/>
      <c r="E29" s="14"/>
      <c r="F29" s="14"/>
      <c r="G29" s="14"/>
      <c r="H29" s="14"/>
      <c r="I29" s="14"/>
    </row>
    <row r="30" spans="2:9" ht="22.5" customHeight="1" x14ac:dyDescent="0.2">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大磯 貴晃</dc:creator>
  <cp:lastModifiedBy>大磯 貴晃</cp:lastModifiedBy>
  <cp:lastPrinted>2025-04-11T04:54:58Z</cp:lastPrinted>
  <dcterms:created xsi:type="dcterms:W3CDTF">2011-06-14T05:32:50Z</dcterms:created>
  <dcterms:modified xsi:type="dcterms:W3CDTF">2025-07-03T06:11:24Z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