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24226"/>
  <mc:AlternateContent xmlns:mc="http://schemas.openxmlformats.org/markup-compatibility/2006">
    <mc:Choice Requires="x15">
      <x15ac:absPath xmlns:x15ac="http://schemas.microsoft.com/office/spreadsheetml/2010/11/ac" url="https://api.box.com/wopi/files/1850024301242/WOPIServiceId_TP_BOX_2/WOPIUserId_-/"/>
    </mc:Choice>
  </mc:AlternateContent>
  <xr:revisionPtr revIDLastSave="0" documentId="13_ncr:1_{09C473A3-B64B-4F29-ADC2-FE230257A41A}" xr6:coauthVersionLast="47" xr6:coauthVersionMax="47" xr10:uidLastSave="{00000000-0000-0000-0000-000000000000}"/>
  <bookViews>
    <workbookView xWindow="29190" yWindow="-465" windowWidth="18360" windowHeight="14565" tabRatio="885" firstSheet="3" activeTab="3" xr2:uid="{00000000-000D-0000-FFFF-FFFF00000000}"/>
  </bookViews>
  <sheets>
    <sheet name="様式１　プログラムを構成する授業科目（申請用）" sheetId="49" r:id="rId1"/>
    <sheet name="様式２ 履修者等数の実績（申請用）" sheetId="50" r:id="rId2"/>
    <sheet name="様式３ 教育の質・履修者数を向上させるための体制・計画 （申請" sheetId="51" r:id="rId3"/>
    <sheet name="様式４　自己点検・評価（申請用）" sheetId="48" r:id="rId4"/>
  </sheets>
  <definedNames>
    <definedName name="_xlnm._FilterDatabase" localSheetId="0" hidden="1">'様式１　プログラムを構成する授業科目（申請用）'!$X$16:$X$18</definedName>
    <definedName name="_xlnm._FilterDatabase" localSheetId="1" hidden="1">'様式２ 履修者等数の実績（申請用）'!#REF!</definedName>
    <definedName name="_xlnm.Print_Area" localSheetId="0">'様式１　プログラムを構成する授業科目（申請用）'!$A$1:$U$105</definedName>
    <definedName name="_xlnm.Print_Area" localSheetId="1">'様式２ 履修者等数の実績（申請用）'!$A$1:$S$33</definedName>
    <definedName name="_xlnm.Print_Area" localSheetId="2">'様式３ 教育の質・履修者数を向上させるための体制・計画 （申請'!$A$1:$I$119</definedName>
    <definedName name="_xlnm.Print_Area" localSheetId="3">'様式４　自己点検・評価（申請用）'!$A$1:$I$22</definedName>
    <definedName name="_xlnm.Print_Titles" localSheetId="3">'様式４　自己点検・評価（申請用）'!$11:$11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48" l="1"/>
  <c r="H2" i="51"/>
  <c r="Q2" i="50"/>
  <c r="Q33" i="50" l="1"/>
  <c r="P33" i="50"/>
  <c r="O33" i="50"/>
  <c r="N33" i="50"/>
  <c r="M33" i="50"/>
  <c r="L33" i="50"/>
  <c r="K33" i="50"/>
  <c r="J33" i="50"/>
  <c r="I33" i="50"/>
  <c r="H33" i="50"/>
  <c r="G33" i="50"/>
  <c r="F33" i="50"/>
  <c r="E33" i="50"/>
  <c r="I50" i="51" s="1"/>
  <c r="D33" i="50"/>
  <c r="C33" i="50"/>
  <c r="R32" i="50"/>
  <c r="S32" i="50" s="1"/>
  <c r="R31" i="50"/>
  <c r="S31" i="50" s="1"/>
  <c r="S30" i="50"/>
  <c r="R30" i="50"/>
  <c r="R29" i="50"/>
  <c r="S29" i="50" s="1"/>
  <c r="R28" i="50"/>
  <c r="S28" i="50" s="1"/>
  <c r="R27" i="50"/>
  <c r="S27" i="50" s="1"/>
  <c r="S26" i="50"/>
  <c r="R26" i="50"/>
  <c r="R25" i="50"/>
  <c r="S25" i="50" s="1"/>
  <c r="R24" i="50"/>
  <c r="S24" i="50" s="1"/>
  <c r="R23" i="50"/>
  <c r="S23" i="50" s="1"/>
  <c r="S22" i="50"/>
  <c r="R22" i="50"/>
  <c r="R21" i="50"/>
  <c r="S21" i="50" s="1"/>
  <c r="R20" i="50"/>
  <c r="S20" i="50" s="1"/>
  <c r="R19" i="50"/>
  <c r="S19" i="50" s="1"/>
  <c r="S18" i="50"/>
  <c r="R18" i="50"/>
  <c r="R17" i="50"/>
  <c r="S17" i="50" s="1"/>
  <c r="R16" i="50"/>
  <c r="S16" i="50" s="1"/>
  <c r="R15" i="50"/>
  <c r="S15" i="50" s="1"/>
  <c r="R14" i="50"/>
  <c r="S14" i="50" s="1"/>
  <c r="R13" i="50"/>
  <c r="M7" i="50"/>
  <c r="R33" i="50" l="1"/>
  <c r="S33" i="50" s="1"/>
  <c r="S13" i="50"/>
  <c r="C49" i="51" s="1"/>
</calcChain>
</file>

<file path=xl/sharedStrings.xml><?xml version="1.0" encoding="utf-8"?>
<sst xmlns="http://schemas.openxmlformats.org/spreadsheetml/2006/main" count="282" uniqueCount="189">
  <si>
    <t>様式１</t>
    <rPh sb="0" eb="2">
      <t>ヨウシキ</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</si>
  <si>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</si>
  <si>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大学等名</t>
    <rPh sb="0" eb="2">
      <t>ダイガク</t>
    </rPh>
    <rPh sb="2" eb="3">
      <t>トウ</t>
    </rPh>
    <rPh sb="3" eb="4">
      <t>メイ</t>
    </rPh>
    <phoneticPr fontId="1"/>
  </si>
  <si>
    <t>北海道教育大学</t>
    <rPh sb="0" eb="3">
      <t>ホッカイドウ</t>
    </rPh>
    <rPh sb="3" eb="5">
      <t>キョウイク</t>
    </rPh>
    <rPh sb="5" eb="7">
      <t>ダイガク</t>
    </rPh>
    <phoneticPr fontId="1"/>
  </si>
  <si>
    <t>プログラム名</t>
    <rPh sb="5" eb="6">
      <t>メイ</t>
    </rPh>
    <phoneticPr fontId="1"/>
  </si>
  <si>
    <t>数理・データサイエンス・AI教育プログラム（リテラシーレベル）</t>
    <rPh sb="0" eb="2">
      <t>スウリ</t>
    </rPh>
    <rPh sb="14" eb="16">
      <t>キョウイク</t>
    </rPh>
    <phoneticPr fontId="1"/>
  </si>
  <si>
    <t>リテラシーレベルのプログラムを構成する授業科目について</t>
    <phoneticPr fontId="1"/>
  </si>
  <si>
    <t>① 教育プログラムの修了要件</t>
    <rPh sb="2" eb="4">
      <t>キョウイク</t>
    </rPh>
    <rPh sb="10" eb="14">
      <t>シュウリョウヨウケン</t>
    </rPh>
    <phoneticPr fontId="1"/>
  </si>
  <si>
    <t>学部・学科によって、修了要件は相違しない</t>
  </si>
  <si>
    <t>② 対象となる学部・学科名称</t>
    <phoneticPr fontId="1"/>
  </si>
  <si>
    <t>③ 修了要件</t>
    <phoneticPr fontId="1"/>
  </si>
  <si>
    <t>【プルダウンリスト】</t>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</si>
  <si>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</si>
  <si>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</si>
  <si>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</si>
  <si>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必要最低科目数・単位数</t>
    <rPh sb="4" eb="7">
      <t>カモクスウ</t>
    </rPh>
    <phoneticPr fontId="1"/>
  </si>
  <si>
    <t>科目</t>
    <rPh sb="0" eb="2">
      <t>カモク</t>
    </rPh>
    <phoneticPr fontId="1"/>
  </si>
  <si>
    <t>単位</t>
    <rPh sb="0" eb="2">
      <t>タンイ</t>
    </rPh>
    <phoneticPr fontId="1"/>
  </si>
  <si>
    <t>履修必須の有無</t>
    <rPh sb="0" eb="2">
      <t>リシュウ</t>
    </rPh>
    <rPh sb="2" eb="4">
      <t>ヒッス</t>
    </rPh>
    <rPh sb="5" eb="7">
      <t>ウム</t>
    </rPh>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</si>
  <si>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</si>
  <si>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</si>
  <si>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</si>
  <si>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</si>
  <si>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</si>
  <si>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</si>
  <si>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情報教育実践論</t>
    <rPh sb="0" eb="2">
      <t>ジョウホウ</t>
    </rPh>
    <rPh sb="2" eb="4">
      <t>キョウイク</t>
    </rPh>
    <rPh sb="4" eb="7">
      <t>ジッセンロン</t>
    </rPh>
    <phoneticPr fontId="1"/>
  </si>
  <si>
    <t>○</t>
  </si>
  <si>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</si>
  <si>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</si>
  <si>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</si>
  <si>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</si>
  <si>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</si>
  <si>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</si>
  <si>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</si>
  <si>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</si>
  <si>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</si>
  <si>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</si>
  <si>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</si>
  <si>
    <t>2-2</t>
    <phoneticPr fontId="1"/>
  </si>
  <si>
    <t>2-3</t>
    <phoneticPr fontId="1"/>
  </si>
  <si>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</si>
  <si>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</si>
  <si>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4-1統計および数理基礎</t>
    <phoneticPr fontId="1"/>
  </si>
  <si>
    <t>4‐2アルゴリズム基礎</t>
    <phoneticPr fontId="1"/>
  </si>
  <si>
    <t>4‐3データ構造とプログラミング基礎</t>
    <phoneticPr fontId="1"/>
  </si>
  <si>
    <t>4‐4時系列データ解析</t>
    <phoneticPr fontId="1"/>
  </si>
  <si>
    <t>4‐5自然言語処理</t>
    <rPh sb="3" eb="5">
      <t>シゼン</t>
    </rPh>
    <rPh sb="5" eb="7">
      <t>ゲンゴ</t>
    </rPh>
    <rPh sb="7" eb="9">
      <t>ショリ</t>
    </rPh>
    <phoneticPr fontId="1"/>
  </si>
  <si>
    <t>4‐6画像認識</t>
    <rPh sb="5" eb="7">
      <t>ニンシキ</t>
    </rPh>
    <phoneticPr fontId="1"/>
  </si>
  <si>
    <t>4‐7データハンドリング</t>
    <phoneticPr fontId="1"/>
  </si>
  <si>
    <t>4‐8データ活用実践（教師あり学習）</t>
    <phoneticPr fontId="1"/>
  </si>
  <si>
    <t>4‐9データ活用実践（教師なし学習）</t>
    <phoneticPr fontId="1"/>
  </si>
  <si>
    <t>⑩ プログラムを構成する授業の内容</t>
    <phoneticPr fontId="1"/>
  </si>
  <si>
    <t>その他</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</si>
  <si>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</si>
  <si>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</si>
  <si>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</si>
  <si>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1-6</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</si>
  <si>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</si>
  <si>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</si>
  <si>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</si>
  <si>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</si>
  <si>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</si>
  <si>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⑪ プログラムの学修成果（学生等が身に付けられる能力等）</t>
    <phoneticPr fontId="1"/>
  </si>
  <si>
    <t>数理・データサイエンス・AIを学ぶことの意義や社会における利用動向・問題、基礎的な技術について身に付けることができる。</t>
    <rPh sb="0" eb="2">
      <t>スウリ</t>
    </rPh>
    <rPh sb="15" eb="16">
      <t>マナ</t>
    </rPh>
    <rPh sb="20" eb="22">
      <t>イギ</t>
    </rPh>
    <rPh sb="23" eb="25">
      <t>シャカイ</t>
    </rPh>
    <rPh sb="29" eb="31">
      <t>リヨウ</t>
    </rPh>
    <rPh sb="31" eb="33">
      <t>ドウコウ</t>
    </rPh>
    <rPh sb="34" eb="36">
      <t>モンダイ</t>
    </rPh>
    <rPh sb="37" eb="40">
      <t>キソテキ</t>
    </rPh>
    <rPh sb="41" eb="43">
      <t>ギジュツ</t>
    </rPh>
    <rPh sb="47" eb="48">
      <t>ミ</t>
    </rPh>
    <rPh sb="49" eb="50">
      <t>ツ</t>
    </rPh>
    <phoneticPr fontId="1"/>
  </si>
  <si>
    <t>様式２</t>
    <phoneticPr fontId="1"/>
  </si>
  <si>
    <t>リテラシーレベルのプログラムの履修者数等の実績について</t>
    <phoneticPr fontId="1"/>
  </si>
  <si>
    <t>①プログラム開設年度</t>
    <rPh sb="6" eb="8">
      <t>カイセツ</t>
    </rPh>
    <rPh sb="8" eb="10">
      <t>ネンド</t>
    </rPh>
    <phoneticPr fontId="1"/>
  </si>
  <si>
    <t>令和６</t>
    <rPh sb="0" eb="2">
      <t>レイワ</t>
    </rPh>
    <phoneticPr fontId="1"/>
  </si>
  <si>
    <t>年度（和暦）</t>
    <rPh sb="0" eb="2">
      <t>ネンド</t>
    </rPh>
    <rPh sb="3" eb="5">
      <t>ワレキ</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</si>
  <si>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</si>
  <si>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</si>
  <si>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</si>
  <si>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</si>
  <si>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</si>
  <si>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</si>
  <si>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人</t>
    <rPh sb="0" eb="1">
      <t>ニン</t>
    </rPh>
    <phoneticPr fontId="1"/>
  </si>
  <si>
    <t>）</t>
    <phoneticPr fontId="1"/>
  </si>
  <si>
    <t>（令和６年５月１日時点）</t>
    <rPh sb="1" eb="3">
      <t>レイワ</t>
    </rPh>
    <rPh sb="4" eb="5">
      <t>ネン</t>
    </rPh>
    <rPh sb="6" eb="7">
      <t>ガツ</t>
    </rPh>
    <rPh sb="8" eb="9">
      <t>ニチ</t>
    </rPh>
    <rPh sb="9" eb="11">
      <t>ジテン</t>
    </rPh>
    <phoneticPr fontId="1"/>
  </si>
  <si>
    <t>③履修者・修了者の実績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</si>
  <si>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</si>
  <si>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</si>
  <si>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</si>
  <si>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</si>
  <si>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令和6年度</t>
    <rPh sb="0" eb="2">
      <t>レイワ</t>
    </rPh>
    <rPh sb="3" eb="5">
      <t>ネンド</t>
    </rPh>
    <phoneticPr fontId="1"/>
  </si>
  <si>
    <t>令和5年度</t>
    <rPh sb="0" eb="2">
      <t>レイワ</t>
    </rPh>
    <rPh sb="3" eb="5">
      <t>ネンド</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</si>
  <si>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</si>
  <si>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</si>
  <si>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</si>
  <si>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4">
      <t>ガンネン</t>
    </rPh>
    <rPh sb="4" eb="5">
      <t>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</si>
  <si>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</si>
  <si>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</si>
  <si>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</si>
  <si>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</si>
  <si>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</si>
  <si>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</si>
  <si>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</si>
  <si>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</si>
  <si>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</si>
  <si>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</si>
  <si>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</si>
  <si>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</si>
  <si>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</si>
  <si>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</si>
  <si>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</si>
  <si>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</si>
  <si>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</si>
  <si>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海老名　尚</t>
    <rPh sb="0" eb="3">
      <t>エビナ</t>
    </rPh>
    <rPh sb="4" eb="5">
      <t>ナオ</t>
    </rPh>
    <phoneticPr fontId="1"/>
  </si>
  <si>
    <t>（役職名）</t>
    <rPh sb="1" eb="4">
      <t>ヤクショクメイ</t>
    </rPh>
    <phoneticPr fontId="1"/>
  </si>
  <si>
    <t>理事（教育・評価担当）・副学長</t>
    <rPh sb="0" eb="2">
      <t>リジ</t>
    </rPh>
    <rPh sb="3" eb="5">
      <t>キョウイク</t>
    </rPh>
    <rPh sb="6" eb="8">
      <t>ヒョウカ</t>
    </rPh>
    <rPh sb="8" eb="10">
      <t>タントウ</t>
    </rPh>
    <rPh sb="12" eb="15">
      <t>フクガクチョウ</t>
    </rPh>
    <phoneticPr fontId="1"/>
  </si>
  <si>
    <t>④</t>
    <phoneticPr fontId="1"/>
  </si>
  <si>
    <t>プログラムを改善・進化させるための体制（委員会・組織等）</t>
    <phoneticPr fontId="1"/>
  </si>
  <si>
    <t>北海道教育大学教育委員会数理・データ・サイエンス・AI教育プログラム部会</t>
    <rPh sb="0" eb="3">
      <t>ホッカイドウ</t>
    </rPh>
    <rPh sb="3" eb="5">
      <t>キョウイク</t>
    </rPh>
    <rPh sb="5" eb="7">
      <t>ダイガク</t>
    </rPh>
    <rPh sb="7" eb="9">
      <t>キョウイク</t>
    </rPh>
    <rPh sb="9" eb="12">
      <t>イインカイ</t>
    </rPh>
    <rPh sb="12" eb="14">
      <t>スウリ</t>
    </rPh>
    <rPh sb="27" eb="29">
      <t>キョウイク</t>
    </rPh>
    <rPh sb="34" eb="36">
      <t>ブカイ</t>
    </rPh>
    <phoneticPr fontId="1"/>
  </si>
  <si>
    <t>山中謙司</t>
    <rPh sb="0" eb="2">
      <t>ヤマナカ</t>
    </rPh>
    <rPh sb="2" eb="3">
      <t>ケン</t>
    </rPh>
    <rPh sb="3" eb="4">
      <t>ツカサ</t>
    </rPh>
    <phoneticPr fontId="1"/>
  </si>
  <si>
    <t>准教授・ 教育担当特別補佐</t>
    <rPh sb="0" eb="3">
      <t>ジュンキョウジュ</t>
    </rPh>
    <rPh sb="5" eb="7">
      <t>キョウイク</t>
    </rPh>
    <rPh sb="7" eb="9">
      <t>タントウ</t>
    </rPh>
    <rPh sb="9" eb="11">
      <t>トクベツ</t>
    </rPh>
    <rPh sb="11" eb="13">
      <t>ホサ</t>
    </rPh>
    <phoneticPr fontId="1"/>
  </si>
  <si>
    <t>⑤</t>
    <phoneticPr fontId="1"/>
  </si>
  <si>
    <t>プログラムを改善・進化させるための体制を定める規則名称</t>
    <phoneticPr fontId="1"/>
  </si>
  <si>
    <t>北海道教育委員会規則
北海道教育大学教育委員会に設置する部会に関する要項</t>
    <rPh sb="0" eb="3">
      <t>ホッカイドウ</t>
    </rPh>
    <rPh sb="3" eb="5">
      <t>キョウイク</t>
    </rPh>
    <rPh sb="5" eb="8">
      <t>イインカイ</t>
    </rPh>
    <rPh sb="8" eb="10">
      <t>キソク</t>
    </rPh>
    <rPh sb="11" eb="14">
      <t>ホッカイドウ</t>
    </rPh>
    <rPh sb="14" eb="16">
      <t>キョウイク</t>
    </rPh>
    <rPh sb="16" eb="18">
      <t>ダイガク</t>
    </rPh>
    <rPh sb="18" eb="20">
      <t>キョウイク</t>
    </rPh>
    <rPh sb="20" eb="23">
      <t>イインカイ</t>
    </rPh>
    <rPh sb="24" eb="26">
      <t>セッチ</t>
    </rPh>
    <rPh sb="28" eb="30">
      <t>ブカイ</t>
    </rPh>
    <rPh sb="31" eb="32">
      <t>カン</t>
    </rPh>
    <rPh sb="34" eb="36">
      <t>ヨウコウ</t>
    </rPh>
    <phoneticPr fontId="1"/>
  </si>
  <si>
    <t>⑥</t>
    <phoneticPr fontId="1"/>
  </si>
  <si>
    <t>体制の目的</t>
    <rPh sb="0" eb="2">
      <t>タイセイ</t>
    </rPh>
    <rPh sb="3" eb="5">
      <t>モクテキ</t>
    </rPh>
    <phoneticPr fontId="1"/>
  </si>
  <si>
    <t>本学が実施する数理・データサイエンス・AI 教育プログラム(以下，「MDASH」という。)の実施計画の策定、MDASHの基本方針及び運営方針、MDASHを構成する授業科目の内容、MDASHの実施についての各校間における連絡調整、MDASHに関する自己点検評価等に関する業務を目的としている。</t>
    <rPh sb="129" eb="130">
      <t>トウ</t>
    </rPh>
    <rPh sb="131" eb="132">
      <t>カン</t>
    </rPh>
    <rPh sb="134" eb="136">
      <t>ギョウム</t>
    </rPh>
    <rPh sb="137" eb="139">
      <t>モクテキ</t>
    </rPh>
    <phoneticPr fontId="1"/>
  </si>
  <si>
    <t>⑦</t>
    <phoneticPr fontId="1"/>
  </si>
  <si>
    <t>具体的な構成員</t>
    <rPh sb="0" eb="3">
      <t>グタイテキ</t>
    </rPh>
    <rPh sb="4" eb="7">
      <t>コウセイイン</t>
    </rPh>
    <phoneticPr fontId="1"/>
  </si>
  <si>
    <t>⑧</t>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</si>
  <si>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</si>
  <si>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令和６年度実績</t>
    <rPh sb="0" eb="2">
      <t>レイワ</t>
    </rPh>
    <rPh sb="3" eb="5">
      <t>ネンド</t>
    </rPh>
    <rPh sb="5" eb="7">
      <t>ジッセキ</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</si>
  <si>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</si>
  <si>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</si>
  <si>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令和９年度予定</t>
    <rPh sb="0" eb="2">
      <t>レイワ</t>
    </rPh>
    <rPh sb="3" eb="5">
      <t>ネンド</t>
    </rPh>
    <rPh sb="5" eb="7">
      <t>ヨテイ</t>
    </rPh>
    <phoneticPr fontId="1"/>
  </si>
  <si>
    <t>令和１０年度予定</t>
    <rPh sb="0" eb="2">
      <t>レイワ</t>
    </rPh>
    <rPh sb="4" eb="6">
      <t>ネンド</t>
    </rPh>
    <rPh sb="6" eb="8">
      <t>ヨテイ</t>
    </rPh>
    <phoneticPr fontId="1"/>
  </si>
  <si>
    <t>収容定員（名）</t>
    <rPh sb="0" eb="4">
      <t>シュウヨウテイイン</t>
    </rPh>
    <rPh sb="5" eb="6">
      <t>メイ</t>
    </rPh>
    <phoneticPr fontId="1"/>
  </si>
  <si>
    <t>具体的な計画</t>
    <rPh sb="0" eb="3">
      <t>グタイテキ</t>
    </rPh>
    <rPh sb="4" eb="6">
      <t>ケイカク</t>
    </rPh>
    <phoneticPr fontId="1"/>
  </si>
  <si>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</si>
  <si>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</si>
  <si>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</si>
  <si>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</si>
  <si>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⑪</t>
    <phoneticPr fontId="1"/>
  </si>
  <si>
    <t>できる限り多くの学生が履修・修得できるようなサポート体制</t>
    <rPh sb="26" eb="28">
      <t>タイセイ</t>
    </rPh>
    <phoneticPr fontId="1"/>
  </si>
  <si>
    <t>⑫</t>
    <phoneticPr fontId="1"/>
  </si>
  <si>
    <t>授業時間内外で学習指導、質問を受け付ける具体的な仕組み</t>
    <rPh sb="20" eb="23">
      <t>グタイテキ</t>
    </rPh>
    <phoneticPr fontId="1"/>
  </si>
  <si>
    <t>授業担当教員が設けるオフィスアワーにより不明な点があれば随時質問できるようにしている。また、内容に関しての質問対応を本講義を受講する学生専用のClassroomを作成し、各回ごとに質問フォーム上で受け付けることができるようにした。フィードバックは受講生全体が閲覧可能な仕組みとしている。</t>
  </si>
  <si>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</si>
  <si>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</si>
  <si>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</si>
  <si>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</si>
  <si>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准教授・教育担当特別補佐</t>
    <rPh sb="0" eb="3">
      <t>ジュンキョウジュ</t>
    </rPh>
    <rPh sb="4" eb="6">
      <t>キョウイク</t>
    </rPh>
    <rPh sb="6" eb="8">
      <t>タントウ</t>
    </rPh>
    <rPh sb="8" eb="10">
      <t>トクベツ</t>
    </rPh>
    <rPh sb="10" eb="12">
      <t>ホサ</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</si>
  <si>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</si>
  <si>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</si>
  <si>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</si>
  <si>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</si>
  <si>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</si>
  <si>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</si>
  <si>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</si>
  <si>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</si>
  <si>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</si>
  <si>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</si>
  <si>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</si>
  <si>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</si>
  <si>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</si>
  <si>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学生アンケートから
「自分が児童・生徒の頃とは全く異なった教育が展開されようとしている事を実感した。情報化に伴って社会が教育に求めていることは次々と更新されていく。教員のアップデートの重要性を痛感すると共に、今の自分に足りないものやこれからの自分が身につけなければならないことを発見できた。」
「ツールやアプリの使い方がわかるとともに、教育の場でICTをどのように使っていくべきかを考えさせられる内容だったことがよかった。他の授業では理論的な内容でとどまってしまうところを、実際に触ってそのメリットもデメリットも様々な面を体感できてよかった。」
「AIの使用や動画編集などやってみようと思っていてもなかなか手が出せなかったことも講義で取り上げられていたので学びの一歩を踏み出すことができた。」
「プログラミングや生成AIを簡単な操作から学ぶことができ，考え方や情報活用の仕方について理解を深められた。」
など、「学ぶ楽しさ」や「学ぶことの意義」についての意見が多く寄せられた。</t>
    <rPh sb="0" eb="2">
      <t>ガクセイ</t>
    </rPh>
    <rPh sb="407" eb="408">
      <t>マナ</t>
    </rPh>
    <rPh sb="409" eb="410">
      <t>タノ</t>
    </rPh>
    <rPh sb="415" eb="416">
      <t>マナ</t>
    </rPh>
    <rPh sb="420" eb="422">
      <t>イギ</t>
    </rPh>
    <rPh sb="428" eb="430">
      <t>イケン</t>
    </rPh>
    <rPh sb="431" eb="432">
      <t>オオ</t>
    </rPh>
    <rPh sb="433" eb="434">
      <t>ヨ</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</si>
  <si>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</si>
  <si>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学生アンケートにおいて以下の項目について質問（４段階）を行った。
「3　講義で使用された教材(ICTツールやアプリ)は役に立つと思いましたか？」	
「4　この講義の受講によって、数理・データサイエンス・AIへの興味や関心が広がりましたか？」
「5　この講義の受講内容が、これからの学生生活や未来において、友達等との話題になることがあると感じますか？」
「6　この講義の受講内容が、これからの学生生活や未来において、他の学生や新しい人脈など、人的ネットワークの広がりにつながると感じますか？」
上記質問項目の回答平均値（４が最高）について、それぞれ、
[3]：3.85
[4]：3.80
[5]：3.50
[6]：3.10
と肯定的な結果となっており、学修成果があったと言える。</t>
    <phoneticPr fontId="1"/>
  </si>
  <si>
    <t>学生アンケートの質問項目「講義の内容について、全体の理解度はどのように感じていますか？」（４段階）に対し、回答平均値が3.65であったことから、理解度が高いと言える。</t>
    <phoneticPr fontId="1"/>
  </si>
  <si>
    <t>本学の主な就職先や共同研究先である学校現場や企業等に対して、本学の数理・データサイエンス・AI教育プログラムの内容を説明し、意見等を聴取していくこととする。</t>
    <phoneticPr fontId="1"/>
  </si>
  <si>
    <t>講義について、難しかった点、改善点などについて、学生アンケートで質問しており、寄せられた意見等を踏まえて、授業内容を改善していく。具体的には、課題解決に際しての活動時間が短かった。という意見や、機械学習のプログラムがうまく動かなかったという意見があったが、既に活動内容を見直したり、機械学習で使用するプログラミング環境を変更している。</t>
    <phoneticPr fontId="1"/>
  </si>
  <si>
    <t>本学は、教育職員免許を取得する学生が大半であり、必修科目等の履修すべき科目数が多いことから、学期内での開講では、履修の機会を得ることができない学生もいることが予想されるため、通常授業に加えて集中講義でも開講することとした。令和６年度から数理・データサイエンスAI教育プログラム部会を設置し、各校に専門教員を配置することで学生の履修・修得がスムーズに行われる体制をつくった。</t>
    <rPh sb="111" eb="113">
      <t>レイワ</t>
    </rPh>
    <rPh sb="114" eb="116">
      <t>ネンド</t>
    </rPh>
    <rPh sb="118" eb="120">
      <t>スウリ</t>
    </rPh>
    <rPh sb="131" eb="133">
      <t>キョウイク</t>
    </rPh>
    <rPh sb="138" eb="140">
      <t>ブカイ</t>
    </rPh>
    <rPh sb="141" eb="143">
      <t>セッチ</t>
    </rPh>
    <rPh sb="145" eb="147">
      <t>カクコウ</t>
    </rPh>
    <phoneticPr fontId="1"/>
  </si>
  <si>
    <t>学生アンケートの質問項目「この講義を他の学生に推薦しようと思いますか？」に対し、全ての学生が「思う」「とても思う」と回答した。
推奨しようとする理由については、複数回答で
①教材(ICTツール・アプリ)が役立つと思うから　16件
②講義の内容が興味深かったから　14件
③講義の実施方法・講師の教え方が良かったから　13件
④内容に対する理解が深まったから　10件
⑤他の講義内容や活動や実生活等で応用できそうだから　10件
が挙げられている。</t>
    <rPh sb="0" eb="2">
      <t>ガクセイ</t>
    </rPh>
    <rPh sb="8" eb="10">
      <t>シツモン</t>
    </rPh>
    <rPh sb="10" eb="12">
      <t>コウモク</t>
    </rPh>
    <rPh sb="37" eb="38">
      <t>タイ</t>
    </rPh>
    <rPh sb="40" eb="41">
      <t>スベ</t>
    </rPh>
    <rPh sb="43" eb="45">
      <t>ガクセイ</t>
    </rPh>
    <rPh sb="47" eb="48">
      <t>オモ</t>
    </rPh>
    <rPh sb="54" eb="55">
      <t>オモ</t>
    </rPh>
    <rPh sb="58" eb="60">
      <t>カイトウ</t>
    </rPh>
    <rPh sb="64" eb="66">
      <t>スイショウ</t>
    </rPh>
    <rPh sb="72" eb="74">
      <t>リユウ</t>
    </rPh>
    <rPh sb="80" eb="84">
      <t>フクスウカイトウ</t>
    </rPh>
    <rPh sb="133" eb="134">
      <t>ケン</t>
    </rPh>
    <rPh sb="181" eb="182">
      <t>ケン</t>
    </rPh>
    <rPh sb="211" eb="212">
      <t>ケン</t>
    </rPh>
    <rPh sb="214" eb="215">
      <t>ア</t>
    </rPh>
    <phoneticPr fontId="1"/>
  </si>
  <si>
    <t>本プログラムを修了した卒業生は令和６年度末時点で出ていない。卒業生を輩出後、就職先への意見聴取等により、活躍状況等確認を行う予定である。</t>
    <rPh sb="43" eb="47">
      <t>イケンチョウシュ</t>
    </rPh>
    <rPh sb="47" eb="48">
      <t>トウ</t>
    </rPh>
    <phoneticPr fontId="1"/>
  </si>
  <si>
    <t>本プログラムを構成する授業科目「情報教育実践論」（２単位）の単位修得を修了要件としている。
上記授業は、「５つの審査項目」と「モデルカリキュラム」の各項目を網羅している。</t>
    <rPh sb="0" eb="1">
      <t>ホン</t>
    </rPh>
    <rPh sb="7" eb="9">
      <t>コウセイ</t>
    </rPh>
    <rPh sb="11" eb="13">
      <t>ジュギョウ</t>
    </rPh>
    <rPh sb="13" eb="15">
      <t>カモク</t>
    </rPh>
    <rPh sb="16" eb="18">
      <t>ジョウホウ</t>
    </rPh>
    <rPh sb="18" eb="20">
      <t>キョウイク</t>
    </rPh>
    <rPh sb="20" eb="23">
      <t>ジッセンロン</t>
    </rPh>
    <rPh sb="26" eb="28">
      <t>タンイ</t>
    </rPh>
    <rPh sb="30" eb="32">
      <t>タンイ</t>
    </rPh>
    <rPh sb="32" eb="34">
      <t>シュウトク</t>
    </rPh>
    <rPh sb="35" eb="37">
      <t>シュウリョウ</t>
    </rPh>
    <rPh sb="37" eb="39">
      <t>ヨウケン</t>
    </rPh>
    <rPh sb="46" eb="48">
      <t>ジョウキ</t>
    </rPh>
    <rPh sb="48" eb="50">
      <t>ジュギョウ</t>
    </rPh>
    <rPh sb="56" eb="58">
      <t>シンサ</t>
    </rPh>
    <rPh sb="58" eb="60">
      <t>コウモク</t>
    </rPh>
    <rPh sb="74" eb="77">
      <t>カクコウモク</t>
    </rPh>
    <rPh sb="78" eb="80">
      <t>モウラ</t>
    </rPh>
    <phoneticPr fontId="1"/>
  </si>
  <si>
    <t>情報教育実践論（第１回）
　ビッグデータ、ＩｏＴ、ＡＩ、生成ＡＩ、ロボット
　データ量の増加、計算機の処理性能の向上、ＡＩの非連続的進化
　第4次産業革命、Society5.0、データ駆動型社会</t>
    <rPh sb="0" eb="7">
      <t>ジョウホウキョウイクジッセンロン</t>
    </rPh>
    <phoneticPr fontId="1"/>
  </si>
  <si>
    <t>情報教育実践論（第２回）
　ＡＩ最新技術の活用例（深層生成モデル、強化学習、転移学習、生成ＡＩなど）</t>
    <phoneticPr fontId="1"/>
  </si>
  <si>
    <t>情報教育実践論（第３回）
　調査データ、実験データ、人の行動ログデータ、機械の稼働ログデータなど
　１次データ、2次データ、データのメタ化</t>
    <phoneticPr fontId="1"/>
  </si>
  <si>
    <t>情報教育実践論（第１０回）
　データ解析：予測、グルーピング、パターン発見、最適化、モデル化とシミュレーション・データ同化など
　データ可視化：複合グラフ、２軸グラフ、多次元の可視化、関係性の可視化、地図上の可視化、挙動・奇跡の可視化、リアルタイム可視化など
　</t>
    <phoneticPr fontId="1"/>
  </si>
  <si>
    <t>情報教育実践論（第８回）
情報教育実践論（第９回）
　データサイエンスのサイクル（課題抽出と定式化、データの取得・管理・加工、探索的データ解析、データ解析と推論、結果の共有、伝達、課題解決に向けた提案）</t>
    <phoneticPr fontId="1"/>
  </si>
  <si>
    <t>情報教育実践論（第１２回）
　データ・ＡＩを利活用する上で知っておくべきこと</t>
    <phoneticPr fontId="1"/>
  </si>
  <si>
    <t>情報教育実践論（第７回）
　データ表現（棒グラフ、折線グラフ、散布図、ヒートマップ、箱ひげ図）
　データの比較（条件をそろえた比較、処理の前後での比較、Ａ／Ｂテスト）</t>
    <phoneticPr fontId="1"/>
  </si>
  <si>
    <t>情報教育実践論（第４回）
情報教育実践論（第１１回）
　データ・ＡＩ活用領域の広がり（生産、消費、文化活動など）</t>
    <phoneticPr fontId="1"/>
  </si>
  <si>
    <t>情報教育実践論（第１２回）
　データを守る上で知っておくべきこと</t>
    <phoneticPr fontId="1"/>
  </si>
  <si>
    <t>情報教育実践論（第６回）
　データの種類（量的変数、質的変数）
　データの分布（ヒストグラム）と代表値（平均値、中央値、最頻値）
　代表値の性質の違い（実社会では平均値＝最頻値ではないことが多い）
　データのばらつき（分散、標準偏差、偏差値）、外れ値
　相関と因果（相関関係、疑似相関、交絡）</t>
    <phoneticPr fontId="1"/>
  </si>
  <si>
    <t>情報教育実践論（第５回）
　データの取得（機械判読可能なデータの作成・表記方法）
　データの集計（和、平均）
　データの並び替え、ランキング</t>
    <phoneticPr fontId="1"/>
  </si>
  <si>
    <t>令和６年度は開講初年度であったことから受講者が少なかった。令和７年度は、さらなる周知を図り、履修者数の増を目指す。
なお、令和７ 年度から「情報機器の操作」の内容を見直した授業科目「現代社会の情報活用」を開設（教員養成課程・国際地域学科地域教育専攻においては必修科目、国際地域学科地域協働専攻及び芸術・スポーツ文化学科においては選択科目）し、同プログラムに追加することとしている。
「情報教育実践論」「現代社会の情報活用」のそれぞれの科目が単独で「５つの審査項目」と「モデルカリキュラム」の各項目を網羅しており、どちらか一方の科目を履修・単位修得することでプログラムを修了することができる。科目の選択肢を増やすことで、令和７年度以降、同プログラムの履修者数増を見込んでいる。</t>
    <rPh sb="40" eb="42">
      <t>シュウチ</t>
    </rPh>
    <rPh sb="43" eb="44">
      <t>ハカ</t>
    </rPh>
    <rPh sb="46" eb="49">
      <t>リシュウシャ</t>
    </rPh>
    <rPh sb="49" eb="50">
      <t>スウ</t>
    </rPh>
    <rPh sb="51" eb="52">
      <t>ゾウ</t>
    </rPh>
    <rPh sb="53" eb="55">
      <t>メザ</t>
    </rPh>
    <rPh sb="112" eb="114">
      <t>コクサイ</t>
    </rPh>
    <rPh sb="114" eb="116">
      <t>チイキ</t>
    </rPh>
    <rPh sb="116" eb="118">
      <t>ガッカ</t>
    </rPh>
    <rPh sb="118" eb="120">
      <t>チイキ</t>
    </rPh>
    <rPh sb="120" eb="122">
      <t>キョウイク</t>
    </rPh>
    <rPh sb="122" eb="124">
      <t>センコウ</t>
    </rPh>
    <rPh sb="140" eb="142">
      <t>チイキ</t>
    </rPh>
    <rPh sb="142" eb="144">
      <t>キョウドウ</t>
    </rPh>
    <rPh sb="144" eb="146">
      <t>センコウ</t>
    </rPh>
    <rPh sb="146" eb="147">
      <t>オヨ</t>
    </rPh>
    <rPh sb="171" eb="172">
      <t>ドウ</t>
    </rPh>
    <rPh sb="178" eb="180">
      <t>ツイカ</t>
    </rPh>
    <rPh sb="192" eb="194">
      <t>ジョウホウ</t>
    </rPh>
    <rPh sb="194" eb="196">
      <t>キョウイク</t>
    </rPh>
    <rPh sb="196" eb="199">
      <t>ジッセンロン</t>
    </rPh>
    <rPh sb="201" eb="203">
      <t>ゲンダイ</t>
    </rPh>
    <rPh sb="203" eb="205">
      <t>シャカイ</t>
    </rPh>
    <rPh sb="206" eb="208">
      <t>ジョウホウ</t>
    </rPh>
    <rPh sb="208" eb="210">
      <t>カツヨウ</t>
    </rPh>
    <rPh sb="217" eb="219">
      <t>カモク</t>
    </rPh>
    <rPh sb="220" eb="222">
      <t>タンドク</t>
    </rPh>
    <rPh sb="227" eb="229">
      <t>シンサ</t>
    </rPh>
    <rPh sb="229" eb="231">
      <t>コウモク</t>
    </rPh>
    <rPh sb="245" eb="248">
      <t>カクコウモク</t>
    </rPh>
    <rPh sb="249" eb="251">
      <t>モウラ</t>
    </rPh>
    <rPh sb="260" eb="262">
      <t>イッポウ</t>
    </rPh>
    <rPh sb="263" eb="265">
      <t>カモク</t>
    </rPh>
    <rPh sb="266" eb="268">
      <t>リシュウ</t>
    </rPh>
    <rPh sb="269" eb="271">
      <t>タンイ</t>
    </rPh>
    <rPh sb="271" eb="273">
      <t>シュウトク</t>
    </rPh>
    <rPh sb="284" eb="286">
      <t>シュウリョウ</t>
    </rPh>
    <rPh sb="295" eb="297">
      <t>カモク</t>
    </rPh>
    <rPh sb="298" eb="301">
      <t>センタクシ</t>
    </rPh>
    <rPh sb="302" eb="303">
      <t>フ</t>
    </rPh>
    <rPh sb="317" eb="318">
      <t>ドウ</t>
    </rPh>
    <phoneticPr fontId="1"/>
  </si>
  <si>
    <t>令和６年度から本学の全てのキャンパス（札幌校、旭川校、釧路校、函館校、岩見沢校）の学生が受講できるよう令和５年度に科目編成を整えた（履修基準の改正）。
なお、令和７年度から「情報機器の操作」の内容を見直した授業科目「現代社会の情報活用」を開設（教員養成課程・国際地域学科地域教育専攻においては必修科目、国際地域学科地域協働専攻及び芸術・スポーツ文化学科においては選択科目）し、同プログラムに追加することとしている。
「情報教育実践論」「現代社会の情報活用」のそれぞれの科目が単独で「５つの審査項目」と「モデルカリキュラム」の各項目を網羅しており、どちらか一方の科目を履修・単位修得することでプログラムを修了することができるようにすることで、学生全員が受講可能となるような科目の選択肢を増やす体制としている。</t>
  </si>
  <si>
    <t>本学HPへの掲載、教務システムをはじめとした掲示等により、数理・データサイエンス・AI教育プログラムについての周知を行っている。
また、学内の会議においても周知を図り、教員から学生への働かきかけを行うよう依頼している。
なお、令和７年度から「情報機器の操作」の内容を見直した授業科目「現代社会の情報活用」を開設（教員養成課程・国際地域学科地域教育専攻においては必修科目、国際地域学科地域協働専攻及び芸術・スポーツ文化学科においては選択科目）し、同プログラムに追加することとしている。
「情報教育実践論」「現代社会の情報活用」のそれぞれの科目が単独で「５つの審査項目」と「モデルカリキュラム」の各項目を網羅しており、どちらか一方の科目を履修・単位修得することでプログラムを修了することができるようにすることで、できる限り多くの学生が履修できるよう選択肢を増やす取組を行っている。</t>
    <rPh sb="22" eb="24">
      <t>ケイジ</t>
    </rPh>
    <rPh sb="357" eb="358">
      <t>カギ</t>
    </rPh>
    <rPh sb="359" eb="360">
      <t>オオ</t>
    </rPh>
    <rPh sb="362" eb="364">
      <t>ガクセイ</t>
    </rPh>
    <rPh sb="365" eb="367">
      <t>リシュウ</t>
    </rPh>
    <rPh sb="372" eb="375">
      <t>センタクシ</t>
    </rPh>
    <rPh sb="376" eb="377">
      <t>フ</t>
    </rPh>
    <rPh sb="379" eb="381">
      <t>トリクミ</t>
    </rPh>
    <rPh sb="382" eb="383">
      <t>オコナ</t>
    </rPh>
    <phoneticPr fontId="1"/>
  </si>
  <si>
    <t>全学的に運用されている教育支援総合システムのデータをもとに、受講者の履修・取得状況を確認して いる。令和６年度のプログラムを構成する授業科目「情報教育実践論」の履修者数は２１人であった。本学の収容定員は４，７４０人であることから、履修率は０．４４％（２１人／４，７４０人）と非常に少ない状況であった。令和７年度は、履修者増に向けて、更なる働きかけが必要である。
なお、当該科目は１科目で５つの審査項目及びモデルカリキュラムを網羅しており、履修者２１人のうち１人が欠席したことから修了率は９５．２％である。
なお、令和７ 年度から「情報機器の操作」の内容を見直した授業科目「現代社会の情報活用」を開設（教員養成課程・国際地域学科地域教育専攻においては必修科目、国際地域学科地域協働専攻及び芸術・スポーツ文化学科においては選択科目）し、同プログラムに追加することとしている。
「情報教育実践論」「現代社会の情報活用」のそれぞれの科目が単独で５つの審査項目及びモデルカリキュラムを網羅しており、どちらか一方の科目を履修・単位修得することでプログラムを修了することができる。科目の選択肢を増やすことで、令和７年度以降、同プログラムの履修者数増を見込んでいる。</t>
    <rPh sb="15" eb="17">
      <t>ソウゴウ</t>
    </rPh>
    <rPh sb="62" eb="64">
      <t>コウセイ</t>
    </rPh>
    <rPh sb="66" eb="68">
      <t>ジュギョウ</t>
    </rPh>
    <rPh sb="68" eb="70">
      <t>カモク</t>
    </rPh>
    <rPh sb="71" eb="73">
      <t>ジョウホウ</t>
    </rPh>
    <rPh sb="73" eb="75">
      <t>キョウイク</t>
    </rPh>
    <rPh sb="75" eb="78">
      <t>ジッセンロン</t>
    </rPh>
    <rPh sb="80" eb="83">
      <t>リシュウシャ</t>
    </rPh>
    <rPh sb="83" eb="84">
      <t>スウ</t>
    </rPh>
    <rPh sb="87" eb="88">
      <t>ニン</t>
    </rPh>
    <rPh sb="96" eb="98">
      <t>シュウヨウ</t>
    </rPh>
    <rPh sb="98" eb="100">
      <t>テイイン</t>
    </rPh>
    <rPh sb="106" eb="107">
      <t>ニン</t>
    </rPh>
    <rPh sb="127" eb="128">
      <t>ニン</t>
    </rPh>
    <rPh sb="134" eb="135">
      <t>ニン</t>
    </rPh>
    <rPh sb="184" eb="186">
      <t>トウガイ</t>
    </rPh>
    <rPh sb="186" eb="188">
      <t>カモク</t>
    </rPh>
    <rPh sb="190" eb="192">
      <t>カモク</t>
    </rPh>
    <rPh sb="196" eb="198">
      <t>シンサ</t>
    </rPh>
    <rPh sb="212" eb="214">
      <t>モウラ</t>
    </rPh>
    <rPh sb="219" eb="222">
      <t>リシュウシャ</t>
    </rPh>
    <rPh sb="224" eb="225">
      <t>ニン</t>
    </rPh>
    <rPh sb="229" eb="230">
      <t>ニン</t>
    </rPh>
    <rPh sb="231" eb="233">
      <t>ケッセキ</t>
    </rPh>
    <rPh sb="239" eb="241">
      <t>シュウリョウ</t>
    </rPh>
    <rPh sb="241" eb="242">
      <t>リツ</t>
    </rPh>
    <phoneticPr fontId="1"/>
  </si>
  <si>
    <t>履修者数増に向け、全学会議での周知、全学HPや教育支援総合システム等による学生への周知などの取組を行ったが、令和６年度は開講初年度ということもあり認知度が低く履修者数は２１人にとどまった。令和７年度においては、更なる周知を図っていく。
なお、令和７年度から「情報機器の操作」の内容を見直した授業科目「現代社会の情報活用」を開設（教員養成課程・国際地域学科地域教育専攻においては必修科目、国際地域学科地域協働専攻及び芸術・スポーツ文化学科においては選択科目）し、同プログラムに追加することとしている。
「情報教育実践論」「現代社会の情報活用」のそれぞれの科目が単独で５つの審査項目及びモデルカリキュラムを網羅しており、どちらか一方の科目を履修・単位修得することでプログラムを修了することができる。科目の選択肢を増やすことで、令和７年度以降、同プログラムの履修者数増を見込んでいる。</t>
    <rPh sb="86" eb="87">
      <t>ニン</t>
    </rPh>
    <phoneticPr fontId="1"/>
  </si>
  <si>
    <t xml:space="preserve">部会長　１名
　 山中　謙司・旭川校准教授
部会員　６名
　 石川　智浩・札幌校准教授
　 植田　優基・旭川校准教授
   廣重　真人・釧路校准教授
　 大久保　好章・函館校准教授
 　鈴木　哲平・岩見沢校准教授
   佐藤　正範・未来の学び協創研究センター特任講師　
</t>
    <rPh sb="0" eb="3">
      <t>ブカイチョウ</t>
    </rPh>
    <rPh sb="5" eb="6">
      <t>メイ</t>
    </rPh>
    <rPh sb="9" eb="11">
      <t>ヤマナカ</t>
    </rPh>
    <rPh sb="22" eb="25">
      <t>ブカイイン</t>
    </rPh>
    <rPh sb="27" eb="28">
      <t>メイ</t>
    </rPh>
    <rPh sb="37" eb="40">
      <t>サッポロコウ</t>
    </rPh>
    <rPh sb="40" eb="43">
      <t>ジュンキョウジュ</t>
    </rPh>
    <rPh sb="52" eb="55">
      <t>アサヒカワコウ</t>
    </rPh>
    <rPh sb="55" eb="58">
      <t>ジュンキョウジュ</t>
    </rPh>
    <rPh sb="71" eb="74">
      <t>ジュンキョウジュ</t>
    </rPh>
    <rPh sb="84" eb="87">
      <t>ハコダテコウ</t>
    </rPh>
    <rPh sb="87" eb="90">
      <t>ジュンキョウジュ</t>
    </rPh>
    <rPh sb="99" eb="103">
      <t>イワミザワコウ</t>
    </rPh>
    <rPh sb="103" eb="106">
      <t>ジュンキョウジュ</t>
    </rPh>
    <rPh sb="110" eb="112">
      <t>サトウ</t>
    </rPh>
    <phoneticPr fontId="1"/>
  </si>
  <si>
    <t>国際地域学科</t>
    <rPh sb="0" eb="2">
      <t>コクサイ</t>
    </rPh>
    <rPh sb="2" eb="4">
      <t>チイキ</t>
    </rPh>
    <rPh sb="4" eb="6">
      <t>ガッカ</t>
    </rPh>
    <phoneticPr fontId="1"/>
  </si>
  <si>
    <t>芸術・スポーツ文化学科</t>
    <rPh sb="0" eb="2">
      <t>ゲイジュツ</t>
    </rPh>
    <rPh sb="7" eb="9">
      <t>ブンカ</t>
    </rPh>
    <rPh sb="9" eb="11">
      <t>ガッカ</t>
    </rPh>
    <phoneticPr fontId="1"/>
  </si>
  <si>
    <t>教育学部教員養成課程</t>
    <rPh sb="0" eb="4">
      <t>キョウイクガクブ</t>
    </rPh>
    <rPh sb="4" eb="10">
      <t>キョウインヨウセイカテイ</t>
    </rPh>
    <phoneticPr fontId="1"/>
  </si>
  <si>
    <t>数理・データサイエンス・AI教育プログラム部会</t>
    <rPh sb="0" eb="2">
      <t>スウリ</t>
    </rPh>
    <rPh sb="14" eb="16">
      <t>キョウイク</t>
    </rPh>
    <rPh sb="21" eb="23">
      <t>ブカイ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</si>
</sst>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theme="1"/>
      <name val="ＭＳ Ｐゴシック"/>
      <family val="3"/>
      <charset val="128"/>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35">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3" fillId="0" borderId="0" xfId="0" applyFont="1">
      <alignment vertical="center"/>
    </xf>
    <xf numFmtId="0" fontId="5" fillId="0" borderId="0" xfId="0" applyFont="1" applyAlignment="1">
      <alignment horizontal="left" vertical="center"/>
    </xf>
    <xf numFmtId="9" fontId="2" fillId="0" borderId="0" xfId="1" applyFont="1" applyAlignment="1">
      <alignment horizontal="center" vertical="center"/>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0" fontId="2" fillId="0" borderId="1" xfId="0" applyFont="1" applyBorder="1">
      <alignment vertical="center"/>
    </xf>
    <xf numFmtId="0" fontId="2" fillId="0" borderId="1" xfId="0" applyFont="1" applyBorder="1" applyAlignment="1">
      <alignment horizontal="left" vertical="center"/>
    </xf>
    <xf numFmtId="0" fontId="7" fillId="0" borderId="0" xfId="0" applyFont="1" applyAlignment="1">
      <alignment horizontal="center" vertical="center"/>
    </xf>
    <xf numFmtId="0" fontId="2" fillId="0" borderId="48" xfId="0" applyFont="1" applyBorder="1" applyAlignment="1">
      <alignment horizontal="left" vertical="center" shrinkToFit="1"/>
    </xf>
    <xf numFmtId="9" fontId="2" fillId="0" borderId="1" xfId="0" applyNumberFormat="1" applyFont="1" applyBorder="1" applyAlignment="1">
      <alignment horizontal="center" vertical="center" shrinkToFit="1"/>
    </xf>
    <xf numFmtId="38" fontId="2" fillId="0" borderId="5" xfId="2" applyFont="1" applyFill="1" applyBorder="1" applyAlignment="1">
      <alignment vertical="center" shrinkToFit="1"/>
    </xf>
    <xf numFmtId="38" fontId="2" fillId="0" borderId="1" xfId="2" applyFont="1" applyBorder="1" applyAlignment="1">
      <alignment horizontal="center" vertical="center" shrinkToFit="1"/>
    </xf>
    <xf numFmtId="0" fontId="3" fillId="0" borderId="40" xfId="0" applyFont="1" applyBorder="1" applyAlignment="1">
      <alignment vertical="center" wrapText="1"/>
    </xf>
    <xf numFmtId="0" fontId="3" fillId="0" borderId="27" xfId="0" applyFont="1" applyBorder="1" applyAlignment="1">
      <alignment vertical="center" wrapText="1"/>
    </xf>
    <xf numFmtId="0" fontId="3" fillId="0" borderId="41" xfId="0" applyFont="1" applyBorder="1" applyAlignment="1">
      <alignment vertical="center" wrapText="1"/>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0" xfId="0" applyFont="1" applyAlignment="1">
      <alignment vertical="center" wrapText="1"/>
    </xf>
    <xf numFmtId="0" fontId="2" fillId="0" borderId="29" xfId="0" applyFont="1" applyBorder="1" applyAlignment="1">
      <alignment horizontal="left" vertical="center" shrinkToFit="1"/>
    </xf>
    <xf numFmtId="0" fontId="2" fillId="0" borderId="31" xfId="0" applyFont="1" applyBorder="1" applyAlignment="1">
      <alignment horizontal="left" vertical="center" shrinkToFit="1"/>
    </xf>
    <xf numFmtId="0" fontId="2" fillId="0" borderId="30" xfId="0" applyFont="1" applyBorder="1" applyAlignment="1">
      <alignment horizontal="left" vertical="center" shrinkToFit="1"/>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2" fillId="0" borderId="0" xfId="0" applyFont="1" applyAlignment="1">
      <alignment horizontal="right" vertical="center"/>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0" fontId="6" fillId="0" borderId="0" xfId="0" applyFont="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 xfId="0" applyFont="1" applyBorder="1" applyAlignment="1">
      <alignment horizontal="center" vertical="center"/>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2" fillId="0" borderId="14" xfId="0" applyFont="1" applyBorder="1" applyAlignment="1">
      <alignment horizontal="center" vertical="center"/>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0" xfId="0" applyFont="1" applyAlignment="1">
      <alignment horizontal="left" vertical="center" wrapText="1"/>
    </xf>
    <xf numFmtId="9" fontId="2" fillId="0" borderId="1" xfId="0" applyNumberFormat="1" applyFont="1" applyBorder="1" applyAlignment="1">
      <alignment horizontal="center" vertical="center"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0" xfId="0" applyFont="1" applyAlignment="1">
      <alignment horizontal="center" vertical="center"/>
    </xf>
    <xf numFmtId="0" fontId="2" fillId="0" borderId="2"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2" fillId="0" borderId="2" xfId="0" applyFont="1" applyBorder="1" applyAlignment="1">
      <alignment horizontal="left" vertical="center" shrinkToFit="1"/>
    </xf>
    <xf numFmtId="0" fontId="5" fillId="0" borderId="4" xfId="0" applyFont="1" applyBorder="1" applyAlignment="1">
      <alignment horizontal="lef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10"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DA4D8-B192-4F33-8018-62B8E0E0F74A}">
  <sheetPr>
    <pageSetUpPr fitToPage="1"/>
  </sheetPr>
  <dimension ref="A1:AA107"/>
  <sheetViews>
    <sheetView showZeros="0" view="pageBreakPreview" zoomScale="80" zoomScaleNormal="100" zoomScaleSheetLayoutView="80" workbookViewId="0">
      <selection activeCell="R2" sqref="R2"/>
    </sheetView>
  </sheetViews>
  <sheetFormatPr defaultColWidth="9" defaultRowHeight="18.75" customHeight="1" x14ac:dyDescent="0.15"/>
  <cols>
    <col min="1" max="1" width="2.375" style="1" customWidth="1"/>
    <col min="2" max="2" width="16.375" style="1" customWidth="1"/>
    <col min="3" max="21" width="5.625" style="1" customWidth="1"/>
    <col min="22" max="22" width="9" style="1"/>
    <col min="23" max="23" width="3.625" style="1" customWidth="1"/>
    <col min="24" max="24" width="48.625" style="1" hidden="1" customWidth="1"/>
    <col min="25" max="26" width="9" style="1"/>
    <col min="27" max="27" width="9" style="1" hidden="1" customWidth="1"/>
    <col min="28" max="16384" width="9" style="1"/>
  </cols>
  <sheetData>
    <row r="1" spans="1:24" ht="18.600000000000001" customHeight="1" x14ac:dyDescent="0.15">
      <c r="T1" s="130" t="s">
        <v>0</v>
      </c>
      <c r="U1" s="130"/>
      <c r="V1" s="2" t="s">
        <v>1</v>
      </c>
    </row>
    <row r="2" spans="1:24" ht="18.75" customHeight="1" x14ac:dyDescent="0.15">
      <c r="B2" s="17" t="s">
        <v>2</v>
      </c>
      <c r="C2" s="96" t="s">
        <v>3</v>
      </c>
      <c r="D2" s="97"/>
      <c r="E2" s="97"/>
      <c r="F2" s="97"/>
      <c r="G2" s="97"/>
      <c r="H2" s="97"/>
      <c r="I2" s="97"/>
      <c r="J2" s="98"/>
      <c r="K2" s="18"/>
      <c r="L2" s="6"/>
      <c r="M2" s="6"/>
      <c r="N2" s="6"/>
      <c r="O2" s="6"/>
      <c r="P2" s="6"/>
      <c r="Q2" s="6"/>
      <c r="R2" s="6"/>
      <c r="S2" s="6"/>
      <c r="T2" s="6"/>
      <c r="U2" s="6"/>
    </row>
    <row r="3" spans="1:24" ht="18.75" customHeight="1" x14ac:dyDescent="0.15">
      <c r="B3" s="17" t="s">
        <v>4</v>
      </c>
      <c r="C3" s="131" t="s">
        <v>5</v>
      </c>
      <c r="D3" s="132"/>
      <c r="E3" s="132"/>
      <c r="F3" s="132"/>
      <c r="G3" s="132"/>
      <c r="H3" s="132"/>
      <c r="I3" s="132"/>
      <c r="J3" s="133"/>
      <c r="K3" s="18"/>
      <c r="L3" s="6"/>
      <c r="M3" s="6"/>
      <c r="N3" s="6"/>
      <c r="O3" s="6"/>
      <c r="P3" s="6"/>
      <c r="Q3" s="6"/>
      <c r="R3" s="6"/>
      <c r="S3" s="6"/>
      <c r="T3" s="6"/>
      <c r="U3" s="6"/>
    </row>
    <row r="4" spans="1:24" ht="15" customHeight="1" x14ac:dyDescent="0.15">
      <c r="L4" s="18"/>
      <c r="M4" s="63"/>
      <c r="N4" s="63"/>
      <c r="O4" s="63"/>
      <c r="P4" s="63"/>
      <c r="Q4" s="63"/>
      <c r="R4" s="63"/>
      <c r="S4" s="63"/>
      <c r="T4" s="63"/>
      <c r="U4" s="63"/>
    </row>
    <row r="5" spans="1:24" ht="18" customHeight="1" x14ac:dyDescent="0.15">
      <c r="A5" s="134" t="s">
        <v>6</v>
      </c>
      <c r="B5" s="134"/>
      <c r="C5" s="134"/>
      <c r="D5" s="134"/>
      <c r="E5" s="134"/>
      <c r="F5" s="134"/>
      <c r="G5" s="134"/>
      <c r="H5" s="134"/>
      <c r="I5" s="134"/>
      <c r="J5" s="134"/>
      <c r="K5" s="134"/>
      <c r="L5" s="134"/>
      <c r="M5" s="134"/>
      <c r="N5" s="134"/>
      <c r="O5" s="134"/>
      <c r="P5" s="134"/>
      <c r="Q5" s="134"/>
      <c r="R5" s="134"/>
      <c r="S5" s="134"/>
      <c r="T5" s="134"/>
      <c r="U5" s="134"/>
    </row>
    <row r="6" spans="1:24" ht="15" customHeight="1" x14ac:dyDescent="0.15">
      <c r="B6" s="3"/>
      <c r="C6" s="3"/>
      <c r="D6" s="3"/>
      <c r="E6" s="3"/>
      <c r="F6" s="3"/>
      <c r="G6" s="3"/>
      <c r="H6" s="3"/>
      <c r="I6" s="3"/>
      <c r="J6" s="3"/>
      <c r="K6" s="3"/>
      <c r="L6" s="3"/>
      <c r="M6" s="3"/>
      <c r="N6" s="3"/>
      <c r="O6" s="3"/>
      <c r="P6" s="3"/>
      <c r="Q6" s="3"/>
      <c r="R6" s="3"/>
      <c r="S6" s="3"/>
      <c r="T6" s="3"/>
      <c r="U6" s="3"/>
    </row>
    <row r="7" spans="1:24" ht="15" customHeight="1" x14ac:dyDescent="0.15">
      <c r="A7" s="1" t="s">
        <v>7</v>
      </c>
      <c r="B7" s="3"/>
      <c r="C7" s="3"/>
      <c r="D7" s="3"/>
      <c r="E7" s="3"/>
      <c r="F7" s="2"/>
      <c r="G7" s="2"/>
      <c r="H7" s="2"/>
      <c r="I7" s="2"/>
      <c r="J7" s="2"/>
      <c r="K7" s="2"/>
      <c r="L7" s="135" t="s">
        <v>8</v>
      </c>
      <c r="M7" s="136"/>
      <c r="N7" s="136"/>
      <c r="O7" s="136"/>
      <c r="P7" s="136"/>
      <c r="Q7" s="136"/>
      <c r="R7" s="136"/>
      <c r="S7" s="136"/>
      <c r="T7" s="136"/>
      <c r="U7" s="137"/>
    </row>
    <row r="8" spans="1:24" ht="6" customHeight="1" x14ac:dyDescent="0.15">
      <c r="B8" s="3"/>
      <c r="C8" s="3"/>
      <c r="D8" s="3"/>
      <c r="E8" s="3"/>
      <c r="F8" s="3"/>
      <c r="G8" s="3"/>
      <c r="H8" s="3"/>
      <c r="I8" s="3"/>
      <c r="J8" s="3"/>
      <c r="K8" s="3"/>
      <c r="L8" s="3"/>
      <c r="M8" s="3"/>
      <c r="N8" s="3"/>
      <c r="O8" s="3"/>
      <c r="P8" s="3"/>
      <c r="Q8" s="3"/>
      <c r="R8" s="3"/>
      <c r="S8" s="3"/>
      <c r="T8" s="3"/>
      <c r="U8" s="3"/>
    </row>
    <row r="9" spans="1:24" ht="18" customHeight="1" x14ac:dyDescent="0.15">
      <c r="A9" s="1" t="s">
        <v>9</v>
      </c>
      <c r="C9" s="3"/>
      <c r="D9" s="3"/>
      <c r="K9" s="18"/>
      <c r="L9" s="2"/>
      <c r="M9" s="2"/>
      <c r="N9" s="2"/>
      <c r="O9" s="2"/>
      <c r="P9" s="2"/>
      <c r="Q9" s="2"/>
      <c r="R9" s="2"/>
      <c r="S9" s="2"/>
      <c r="T9" s="2"/>
      <c r="U9" s="2"/>
    </row>
    <row r="10" spans="1:24" ht="6" customHeight="1" x14ac:dyDescent="0.15">
      <c r="B10" s="3"/>
      <c r="C10" s="3"/>
      <c r="D10" s="3"/>
      <c r="E10" s="3"/>
      <c r="F10" s="3"/>
      <c r="G10" s="3"/>
      <c r="H10" s="3"/>
      <c r="I10" s="3"/>
      <c r="J10" s="3"/>
      <c r="K10" s="3"/>
      <c r="L10" s="10"/>
      <c r="M10" s="3"/>
      <c r="N10" s="3"/>
      <c r="O10" s="3"/>
      <c r="P10" s="3"/>
      <c r="Q10" s="3"/>
      <c r="R10" s="3"/>
      <c r="S10" s="3"/>
      <c r="T10" s="3"/>
      <c r="U10" s="3"/>
    </row>
    <row r="11" spans="1:24" ht="18" customHeight="1" x14ac:dyDescent="0.15">
      <c r="B11" s="138"/>
      <c r="C11" s="139"/>
      <c r="D11" s="139"/>
      <c r="E11" s="139"/>
      <c r="F11" s="139"/>
      <c r="G11" s="139"/>
      <c r="H11" s="139"/>
      <c r="I11" s="139"/>
      <c r="J11" s="139"/>
      <c r="K11" s="139"/>
      <c r="L11" s="139"/>
      <c r="M11" s="139"/>
      <c r="N11" s="139"/>
      <c r="O11" s="139"/>
      <c r="P11" s="139"/>
      <c r="Q11" s="139"/>
      <c r="R11" s="139"/>
      <c r="S11" s="139"/>
      <c r="T11" s="139"/>
      <c r="U11" s="140"/>
    </row>
    <row r="12" spans="1:24" ht="18" customHeight="1" x14ac:dyDescent="0.15">
      <c r="B12" s="141"/>
      <c r="C12" s="142"/>
      <c r="D12" s="142"/>
      <c r="E12" s="142"/>
      <c r="F12" s="142"/>
      <c r="G12" s="142"/>
      <c r="H12" s="142"/>
      <c r="I12" s="142"/>
      <c r="J12" s="142"/>
      <c r="K12" s="142"/>
      <c r="L12" s="142"/>
      <c r="M12" s="142"/>
      <c r="N12" s="142"/>
      <c r="O12" s="142"/>
      <c r="P12" s="142"/>
      <c r="Q12" s="142"/>
      <c r="R12" s="142"/>
      <c r="S12" s="142"/>
      <c r="T12" s="142"/>
      <c r="U12" s="143"/>
    </row>
    <row r="13" spans="1:24" ht="6" customHeight="1" x14ac:dyDescent="0.15">
      <c r="B13" s="3"/>
      <c r="C13" s="3"/>
      <c r="D13" s="3"/>
      <c r="E13" s="3"/>
      <c r="F13" s="3"/>
      <c r="G13" s="3"/>
      <c r="H13" s="3"/>
      <c r="I13" s="3"/>
      <c r="J13" s="3"/>
      <c r="K13" s="3"/>
      <c r="L13" s="10"/>
      <c r="M13" s="3"/>
      <c r="N13" s="3"/>
      <c r="O13" s="3"/>
      <c r="P13" s="3"/>
      <c r="Q13" s="3"/>
      <c r="R13" s="3"/>
      <c r="S13" s="3"/>
      <c r="T13" s="3"/>
      <c r="U13" s="3"/>
    </row>
    <row r="14" spans="1:24" ht="18" customHeight="1" x14ac:dyDescent="0.15">
      <c r="A14" s="1" t="s">
        <v>10</v>
      </c>
      <c r="B14" s="3"/>
      <c r="C14" s="3"/>
      <c r="D14" s="3"/>
      <c r="E14" s="18"/>
      <c r="F14" s="18"/>
      <c r="G14" s="18"/>
      <c r="H14" s="18"/>
      <c r="I14" s="18"/>
      <c r="J14" s="18"/>
      <c r="K14" s="18"/>
      <c r="L14" s="64"/>
      <c r="M14" s="64"/>
      <c r="N14" s="64"/>
      <c r="O14" s="64"/>
      <c r="P14" s="64"/>
      <c r="Q14" s="64"/>
      <c r="R14" s="64"/>
      <c r="S14" s="64"/>
      <c r="T14" s="64"/>
      <c r="U14" s="64"/>
    </row>
    <row r="15" spans="1:24" ht="18" customHeight="1" x14ac:dyDescent="0.15">
      <c r="B15" s="118" t="s">
        <v>167</v>
      </c>
      <c r="C15" s="119"/>
      <c r="D15" s="119"/>
      <c r="E15" s="119"/>
      <c r="F15" s="119"/>
      <c r="G15" s="119"/>
      <c r="H15" s="119"/>
      <c r="I15" s="119"/>
      <c r="J15" s="119"/>
      <c r="K15" s="119"/>
      <c r="L15" s="119"/>
      <c r="M15" s="119"/>
      <c r="N15" s="119"/>
      <c r="O15" s="119"/>
      <c r="P15" s="119"/>
      <c r="Q15" s="119"/>
      <c r="R15" s="119"/>
      <c r="S15" s="119"/>
      <c r="T15" s="119"/>
      <c r="U15" s="120"/>
      <c r="X15" s="1" t="s">
        <v>11</v>
      </c>
    </row>
    <row r="16" spans="1:24" ht="18" customHeight="1" x14ac:dyDescent="0.15">
      <c r="B16" s="121"/>
      <c r="C16" s="122"/>
      <c r="D16" s="122"/>
      <c r="E16" s="122"/>
      <c r="F16" s="122"/>
      <c r="G16" s="122"/>
      <c r="H16" s="122"/>
      <c r="I16" s="122"/>
      <c r="J16" s="122"/>
      <c r="K16" s="122"/>
      <c r="L16" s="122"/>
      <c r="M16" s="122"/>
      <c r="N16" s="122"/>
      <c r="O16" s="122"/>
      <c r="P16" s="122"/>
      <c r="Q16" s="122"/>
      <c r="R16" s="122"/>
      <c r="S16" s="122"/>
      <c r="T16" s="122"/>
      <c r="U16" s="123"/>
      <c r="X16" s="1" t="s">
        <v>12</v>
      </c>
    </row>
    <row r="17" spans="1:24" ht="18" customHeight="1" x14ac:dyDescent="0.15">
      <c r="B17" s="121"/>
      <c r="C17" s="122"/>
      <c r="D17" s="122"/>
      <c r="E17" s="122"/>
      <c r="F17" s="122"/>
      <c r="G17" s="122"/>
      <c r="H17" s="122"/>
      <c r="I17" s="122"/>
      <c r="J17" s="122"/>
      <c r="K17" s="122"/>
      <c r="L17" s="122"/>
      <c r="M17" s="122"/>
      <c r="N17" s="122"/>
      <c r="O17" s="122"/>
      <c r="P17" s="122"/>
      <c r="Q17" s="122"/>
      <c r="R17" s="122"/>
      <c r="S17" s="122"/>
      <c r="T17" s="122"/>
      <c r="U17" s="123"/>
      <c r="X17" s="1" t="s">
        <v>13</v>
      </c>
    </row>
    <row r="18" spans="1:24" ht="18" customHeight="1" x14ac:dyDescent="0.15">
      <c r="B18" s="121"/>
      <c r="C18" s="122"/>
      <c r="D18" s="122"/>
      <c r="E18" s="122"/>
      <c r="F18" s="122"/>
      <c r="G18" s="122"/>
      <c r="H18" s="122"/>
      <c r="I18" s="122"/>
      <c r="J18" s="122"/>
      <c r="K18" s="122"/>
      <c r="L18" s="122"/>
      <c r="M18" s="122"/>
      <c r="N18" s="122"/>
      <c r="O18" s="122"/>
      <c r="P18" s="122"/>
      <c r="Q18" s="122"/>
      <c r="R18" s="122"/>
      <c r="S18" s="122"/>
      <c r="T18" s="122"/>
      <c r="U18" s="123"/>
      <c r="X18" s="1" t="s">
        <v>14</v>
      </c>
    </row>
    <row r="19" spans="1:24" ht="18" customHeight="1" x14ac:dyDescent="0.15">
      <c r="B19" s="121"/>
      <c r="C19" s="122"/>
      <c r="D19" s="122"/>
      <c r="E19" s="122"/>
      <c r="F19" s="122"/>
      <c r="G19" s="122"/>
      <c r="H19" s="122"/>
      <c r="I19" s="122"/>
      <c r="J19" s="122"/>
      <c r="K19" s="122"/>
      <c r="L19" s="122"/>
      <c r="M19" s="122"/>
      <c r="N19" s="122"/>
      <c r="O19" s="122"/>
      <c r="P19" s="122"/>
      <c r="Q19" s="122"/>
      <c r="R19" s="122"/>
      <c r="S19" s="122"/>
      <c r="T19" s="122"/>
      <c r="U19" s="123"/>
    </row>
    <row r="20" spans="1:24" ht="18" customHeight="1" x14ac:dyDescent="0.15">
      <c r="B20" s="124"/>
      <c r="C20" s="125"/>
      <c r="D20" s="125"/>
      <c r="E20" s="125"/>
      <c r="F20" s="125"/>
      <c r="G20" s="125"/>
      <c r="H20" s="125"/>
      <c r="I20" s="125"/>
      <c r="J20" s="125"/>
      <c r="K20" s="125"/>
      <c r="L20" s="125"/>
      <c r="M20" s="125"/>
      <c r="N20" s="125"/>
      <c r="O20" s="125"/>
      <c r="P20" s="125"/>
      <c r="Q20" s="125"/>
      <c r="R20" s="125"/>
      <c r="S20" s="125"/>
      <c r="T20" s="125"/>
      <c r="U20" s="126"/>
    </row>
    <row r="21" spans="1:24" ht="7.5" customHeight="1" x14ac:dyDescent="0.15">
      <c r="B21" s="3"/>
      <c r="C21" s="3"/>
      <c r="D21" s="3"/>
      <c r="E21" s="3"/>
      <c r="F21" s="3"/>
      <c r="G21" s="3"/>
      <c r="H21" s="3"/>
      <c r="I21" s="3"/>
      <c r="J21" s="3"/>
      <c r="K21" s="3"/>
      <c r="L21" s="3"/>
      <c r="M21" s="3"/>
      <c r="N21" s="3"/>
      <c r="O21" s="3"/>
      <c r="P21" s="3"/>
      <c r="Q21" s="3"/>
      <c r="R21" s="3"/>
      <c r="S21" s="3"/>
      <c r="T21" s="3"/>
      <c r="U21" s="3"/>
    </row>
    <row r="22" spans="1:24" ht="19.899999999999999" customHeight="1" x14ac:dyDescent="0.15">
      <c r="B22" s="1" t="s">
        <v>15</v>
      </c>
      <c r="E22" s="69">
        <v>1</v>
      </c>
      <c r="F22" s="1" t="s">
        <v>16</v>
      </c>
      <c r="H22" s="70">
        <v>2</v>
      </c>
      <c r="I22" s="3" t="s">
        <v>17</v>
      </c>
      <c r="J22" s="3"/>
      <c r="K22" s="18"/>
      <c r="M22" s="18" t="s">
        <v>18</v>
      </c>
      <c r="N22" s="127" t="s">
        <v>12</v>
      </c>
      <c r="O22" s="128"/>
      <c r="P22" s="128"/>
      <c r="Q22" s="128"/>
      <c r="R22" s="128"/>
      <c r="S22" s="128"/>
      <c r="T22" s="128"/>
      <c r="U22" s="129"/>
    </row>
    <row r="23" spans="1:24" ht="7.5" customHeight="1" x14ac:dyDescent="0.15">
      <c r="B23" s="3"/>
      <c r="C23" s="3"/>
      <c r="D23" s="3"/>
      <c r="E23" s="3"/>
      <c r="F23" s="3"/>
      <c r="G23" s="3"/>
      <c r="H23" s="3"/>
      <c r="I23" s="3"/>
      <c r="J23" s="3"/>
      <c r="K23" s="3"/>
      <c r="L23" s="3"/>
      <c r="M23" s="3"/>
      <c r="N23" s="3"/>
      <c r="O23" s="3"/>
      <c r="P23" s="3"/>
      <c r="Q23" s="3"/>
      <c r="R23" s="3"/>
      <c r="S23" s="3"/>
      <c r="T23" s="3"/>
      <c r="U23" s="3"/>
    </row>
    <row r="24" spans="1:24" ht="18" customHeight="1" x14ac:dyDescent="0.15">
      <c r="A24" s="114" t="s">
        <v>19</v>
      </c>
      <c r="B24" s="114"/>
      <c r="C24" s="114"/>
      <c r="D24" s="114"/>
      <c r="E24" s="114"/>
      <c r="F24" s="114"/>
      <c r="G24" s="114"/>
      <c r="H24" s="114"/>
      <c r="I24" s="114"/>
      <c r="J24" s="114"/>
      <c r="K24" s="114"/>
      <c r="L24" s="114"/>
      <c r="M24" s="114"/>
      <c r="N24" s="114"/>
      <c r="O24" s="114"/>
      <c r="P24" s="114"/>
      <c r="Q24" s="114"/>
      <c r="R24" s="114"/>
      <c r="S24" s="114"/>
      <c r="T24" s="114"/>
      <c r="U24" s="114"/>
    </row>
    <row r="25" spans="1:24" ht="18" customHeight="1" x14ac:dyDescent="0.15">
      <c r="A25" s="114"/>
      <c r="B25" s="114"/>
      <c r="C25" s="114"/>
      <c r="D25" s="114"/>
      <c r="E25" s="114"/>
      <c r="F25" s="114"/>
      <c r="G25" s="114"/>
      <c r="H25" s="114"/>
      <c r="I25" s="114"/>
      <c r="J25" s="114"/>
      <c r="K25" s="114"/>
      <c r="L25" s="114"/>
      <c r="M25" s="114"/>
      <c r="N25" s="114"/>
      <c r="O25" s="114"/>
      <c r="P25" s="114"/>
      <c r="Q25" s="114"/>
      <c r="R25" s="114"/>
      <c r="S25" s="114"/>
      <c r="T25" s="114"/>
      <c r="U25" s="114"/>
    </row>
    <row r="26" spans="1:24" ht="18" customHeight="1" x14ac:dyDescent="0.15">
      <c r="B26" s="96" t="s">
        <v>20</v>
      </c>
      <c r="C26" s="97"/>
      <c r="D26" s="97"/>
      <c r="E26" s="97"/>
      <c r="F26" s="98"/>
      <c r="G26" s="49" t="s">
        <v>21</v>
      </c>
      <c r="H26" s="50" t="s">
        <v>22</v>
      </c>
      <c r="I26" s="51" t="s">
        <v>23</v>
      </c>
      <c r="J26" s="51" t="s">
        <v>24</v>
      </c>
      <c r="K26" s="96" t="s">
        <v>20</v>
      </c>
      <c r="L26" s="97"/>
      <c r="M26" s="97"/>
      <c r="N26" s="97"/>
      <c r="O26" s="97"/>
      <c r="P26" s="97"/>
      <c r="Q26" s="98"/>
      <c r="R26" s="49" t="s">
        <v>21</v>
      </c>
      <c r="S26" s="50" t="s">
        <v>22</v>
      </c>
      <c r="T26" s="51" t="s">
        <v>23</v>
      </c>
      <c r="U26" s="51" t="s">
        <v>24</v>
      </c>
    </row>
    <row r="27" spans="1:24" ht="18" customHeight="1" x14ac:dyDescent="0.15">
      <c r="B27" s="105" t="s">
        <v>25</v>
      </c>
      <c r="C27" s="106"/>
      <c r="D27" s="106"/>
      <c r="E27" s="106"/>
      <c r="F27" s="107"/>
      <c r="G27" s="52">
        <v>2</v>
      </c>
      <c r="H27" s="52" t="s">
        <v>26</v>
      </c>
      <c r="I27" s="52" t="s">
        <v>26</v>
      </c>
      <c r="J27" s="52" t="s">
        <v>26</v>
      </c>
      <c r="K27" s="105"/>
      <c r="L27" s="106"/>
      <c r="M27" s="106"/>
      <c r="N27" s="106"/>
      <c r="O27" s="106"/>
      <c r="P27" s="106"/>
      <c r="Q27" s="107"/>
      <c r="R27" s="52"/>
      <c r="S27" s="52"/>
      <c r="T27" s="52"/>
      <c r="U27" s="52"/>
    </row>
    <row r="28" spans="1:24" ht="18" customHeight="1" x14ac:dyDescent="0.15">
      <c r="B28" s="99"/>
      <c r="C28" s="100"/>
      <c r="D28" s="100"/>
      <c r="E28" s="100"/>
      <c r="F28" s="101"/>
      <c r="G28" s="53"/>
      <c r="H28" s="53"/>
      <c r="I28" s="53"/>
      <c r="J28" s="53"/>
      <c r="K28" s="99"/>
      <c r="L28" s="100"/>
      <c r="M28" s="100"/>
      <c r="N28" s="100"/>
      <c r="O28" s="100"/>
      <c r="P28" s="100"/>
      <c r="Q28" s="101"/>
      <c r="R28" s="53"/>
      <c r="S28" s="53"/>
      <c r="T28" s="53"/>
      <c r="U28" s="53"/>
    </row>
    <row r="29" spans="1:24" ht="18" customHeight="1" x14ac:dyDescent="0.15">
      <c r="B29" s="99"/>
      <c r="C29" s="100"/>
      <c r="D29" s="100"/>
      <c r="E29" s="100"/>
      <c r="F29" s="101"/>
      <c r="G29" s="53"/>
      <c r="H29" s="53"/>
      <c r="I29" s="53"/>
      <c r="J29" s="53"/>
      <c r="K29" s="99"/>
      <c r="L29" s="100"/>
      <c r="M29" s="100"/>
      <c r="N29" s="100"/>
      <c r="O29" s="100"/>
      <c r="P29" s="100"/>
      <c r="Q29" s="101"/>
      <c r="R29" s="53"/>
      <c r="S29" s="53"/>
      <c r="T29" s="53"/>
      <c r="U29" s="53"/>
    </row>
    <row r="30" spans="1:24" ht="18" customHeight="1" x14ac:dyDescent="0.15">
      <c r="B30" s="99"/>
      <c r="C30" s="100"/>
      <c r="D30" s="100"/>
      <c r="E30" s="100"/>
      <c r="F30" s="101"/>
      <c r="G30" s="53"/>
      <c r="H30" s="53"/>
      <c r="I30" s="53"/>
      <c r="J30" s="53"/>
      <c r="K30" s="99"/>
      <c r="L30" s="100"/>
      <c r="M30" s="100"/>
      <c r="N30" s="100"/>
      <c r="O30" s="100"/>
      <c r="P30" s="100"/>
      <c r="Q30" s="101"/>
      <c r="R30" s="53"/>
      <c r="S30" s="53"/>
      <c r="T30" s="53"/>
      <c r="U30" s="53"/>
    </row>
    <row r="31" spans="1:24" ht="18" customHeight="1" x14ac:dyDescent="0.15">
      <c r="B31" s="99"/>
      <c r="C31" s="100"/>
      <c r="D31" s="100"/>
      <c r="E31" s="100"/>
      <c r="F31" s="101"/>
      <c r="G31" s="53"/>
      <c r="H31" s="53"/>
      <c r="I31" s="53"/>
      <c r="J31" s="53"/>
      <c r="K31" s="99"/>
      <c r="L31" s="100"/>
      <c r="M31" s="100"/>
      <c r="N31" s="100"/>
      <c r="O31" s="100"/>
      <c r="P31" s="100"/>
      <c r="Q31" s="101"/>
      <c r="R31" s="53"/>
      <c r="S31" s="53"/>
      <c r="T31" s="53"/>
      <c r="U31" s="53"/>
    </row>
    <row r="32" spans="1:24" ht="18" customHeight="1" x14ac:dyDescent="0.15">
      <c r="A32" s="3"/>
      <c r="B32" s="99"/>
      <c r="C32" s="100"/>
      <c r="D32" s="100"/>
      <c r="E32" s="100"/>
      <c r="F32" s="101"/>
      <c r="G32" s="53"/>
      <c r="H32" s="53"/>
      <c r="I32" s="53"/>
      <c r="J32" s="53"/>
      <c r="K32" s="99"/>
      <c r="L32" s="100"/>
      <c r="M32" s="100"/>
      <c r="N32" s="100"/>
      <c r="O32" s="100"/>
      <c r="P32" s="100"/>
      <c r="Q32" s="101"/>
      <c r="R32" s="53"/>
      <c r="S32" s="53"/>
      <c r="T32" s="53"/>
      <c r="U32" s="53"/>
    </row>
    <row r="33" spans="1:21" ht="18" customHeight="1" x14ac:dyDescent="0.15">
      <c r="A33" s="3"/>
      <c r="B33" s="88"/>
      <c r="C33" s="89"/>
      <c r="D33" s="89"/>
      <c r="E33" s="89"/>
      <c r="F33" s="90"/>
      <c r="G33" s="54"/>
      <c r="H33" s="54"/>
      <c r="I33" s="55"/>
      <c r="J33" s="55"/>
      <c r="K33" s="88"/>
      <c r="L33" s="89"/>
      <c r="M33" s="89"/>
      <c r="N33" s="89"/>
      <c r="O33" s="89"/>
      <c r="P33" s="89"/>
      <c r="Q33" s="90"/>
      <c r="R33" s="54"/>
      <c r="S33" s="54"/>
      <c r="T33" s="55"/>
      <c r="U33" s="55"/>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14" t="s">
        <v>27</v>
      </c>
      <c r="B35" s="114"/>
      <c r="C35" s="114"/>
      <c r="D35" s="114"/>
      <c r="E35" s="114"/>
      <c r="F35" s="114"/>
      <c r="G35" s="114"/>
      <c r="H35" s="114"/>
      <c r="I35" s="114"/>
      <c r="J35" s="114"/>
      <c r="K35" s="114"/>
      <c r="L35" s="114"/>
      <c r="M35" s="114"/>
      <c r="N35" s="114"/>
      <c r="O35" s="114"/>
      <c r="P35" s="114"/>
      <c r="Q35" s="114"/>
      <c r="R35" s="114"/>
      <c r="S35" s="114"/>
      <c r="T35" s="114"/>
      <c r="U35" s="114"/>
    </row>
    <row r="36" spans="1:21" ht="18" customHeight="1" x14ac:dyDescent="0.15">
      <c r="A36" s="114"/>
      <c r="B36" s="114"/>
      <c r="C36" s="114"/>
      <c r="D36" s="114"/>
      <c r="E36" s="114"/>
      <c r="F36" s="114"/>
      <c r="G36" s="114"/>
      <c r="H36" s="114"/>
      <c r="I36" s="114"/>
      <c r="J36" s="114"/>
      <c r="K36" s="114"/>
      <c r="L36" s="114"/>
      <c r="M36" s="114"/>
      <c r="N36" s="114"/>
      <c r="O36" s="114"/>
      <c r="P36" s="114"/>
      <c r="Q36" s="114"/>
      <c r="R36" s="114"/>
      <c r="S36" s="114"/>
      <c r="T36" s="114"/>
      <c r="U36" s="114"/>
    </row>
    <row r="37" spans="1:21" ht="18" customHeight="1" x14ac:dyDescent="0.15">
      <c r="B37" s="96" t="s">
        <v>20</v>
      </c>
      <c r="C37" s="97"/>
      <c r="D37" s="97"/>
      <c r="E37" s="97"/>
      <c r="F37" s="98"/>
      <c r="G37" s="49" t="s">
        <v>21</v>
      </c>
      <c r="H37" s="50" t="s">
        <v>22</v>
      </c>
      <c r="I37" s="51" t="s">
        <v>28</v>
      </c>
      <c r="J37" s="51" t="s">
        <v>29</v>
      </c>
      <c r="K37" s="96" t="s">
        <v>20</v>
      </c>
      <c r="L37" s="97"/>
      <c r="M37" s="97"/>
      <c r="N37" s="97"/>
      <c r="O37" s="97"/>
      <c r="P37" s="97"/>
      <c r="Q37" s="98"/>
      <c r="R37" s="49" t="s">
        <v>21</v>
      </c>
      <c r="S37" s="50" t="s">
        <v>22</v>
      </c>
      <c r="T37" s="51" t="s">
        <v>28</v>
      </c>
      <c r="U37" s="51" t="s">
        <v>29</v>
      </c>
    </row>
    <row r="38" spans="1:21" ht="18" customHeight="1" x14ac:dyDescent="0.15">
      <c r="B38" s="105" t="s">
        <v>25</v>
      </c>
      <c r="C38" s="106"/>
      <c r="D38" s="106"/>
      <c r="E38" s="106"/>
      <c r="F38" s="107"/>
      <c r="G38" s="52">
        <v>2</v>
      </c>
      <c r="H38" s="52" t="s">
        <v>26</v>
      </c>
      <c r="I38" s="52" t="s">
        <v>26</v>
      </c>
      <c r="J38" s="52" t="s">
        <v>26</v>
      </c>
      <c r="K38" s="105"/>
      <c r="L38" s="106"/>
      <c r="M38" s="106"/>
      <c r="N38" s="106"/>
      <c r="O38" s="106"/>
      <c r="P38" s="106"/>
      <c r="Q38" s="107"/>
      <c r="R38" s="52"/>
      <c r="S38" s="52"/>
      <c r="T38" s="52"/>
      <c r="U38" s="52"/>
    </row>
    <row r="39" spans="1:21" ht="18" customHeight="1" x14ac:dyDescent="0.15">
      <c r="B39" s="99"/>
      <c r="C39" s="100"/>
      <c r="D39" s="100"/>
      <c r="E39" s="100"/>
      <c r="F39" s="101"/>
      <c r="G39" s="53"/>
      <c r="H39" s="53"/>
      <c r="I39" s="53"/>
      <c r="J39" s="53"/>
      <c r="K39" s="99"/>
      <c r="L39" s="100"/>
      <c r="M39" s="100"/>
      <c r="N39" s="100"/>
      <c r="O39" s="100"/>
      <c r="P39" s="100"/>
      <c r="Q39" s="101"/>
      <c r="R39" s="53"/>
      <c r="S39" s="53"/>
      <c r="T39" s="53"/>
      <c r="U39" s="53"/>
    </row>
    <row r="40" spans="1:21" ht="18" customHeight="1" x14ac:dyDescent="0.15">
      <c r="B40" s="99"/>
      <c r="C40" s="100"/>
      <c r="D40" s="100"/>
      <c r="E40" s="100"/>
      <c r="F40" s="101"/>
      <c r="G40" s="53"/>
      <c r="H40" s="53"/>
      <c r="I40" s="53"/>
      <c r="J40" s="53"/>
      <c r="K40" s="99"/>
      <c r="L40" s="100"/>
      <c r="M40" s="100"/>
      <c r="N40" s="100"/>
      <c r="O40" s="100"/>
      <c r="P40" s="100"/>
      <c r="Q40" s="101"/>
      <c r="R40" s="53"/>
      <c r="S40" s="53"/>
      <c r="T40" s="53"/>
      <c r="U40" s="53"/>
    </row>
    <row r="41" spans="1:21" ht="18" customHeight="1" x14ac:dyDescent="0.15">
      <c r="B41" s="99"/>
      <c r="C41" s="100"/>
      <c r="D41" s="100"/>
      <c r="E41" s="100"/>
      <c r="F41" s="101"/>
      <c r="G41" s="53"/>
      <c r="H41" s="53"/>
      <c r="I41" s="53"/>
      <c r="J41" s="53"/>
      <c r="K41" s="99"/>
      <c r="L41" s="100"/>
      <c r="M41" s="100"/>
      <c r="N41" s="100"/>
      <c r="O41" s="100"/>
      <c r="P41" s="100"/>
      <c r="Q41" s="101"/>
      <c r="R41" s="53"/>
      <c r="S41" s="53"/>
      <c r="T41" s="53"/>
      <c r="U41" s="53"/>
    </row>
    <row r="42" spans="1:21" ht="18" customHeight="1" x14ac:dyDescent="0.15">
      <c r="B42" s="99"/>
      <c r="C42" s="100"/>
      <c r="D42" s="100"/>
      <c r="E42" s="100"/>
      <c r="F42" s="101"/>
      <c r="G42" s="53"/>
      <c r="H42" s="53"/>
      <c r="I42" s="53"/>
      <c r="J42" s="53"/>
      <c r="K42" s="99"/>
      <c r="L42" s="100"/>
      <c r="M42" s="100"/>
      <c r="N42" s="100"/>
      <c r="O42" s="100"/>
      <c r="P42" s="100"/>
      <c r="Q42" s="101"/>
      <c r="R42" s="53"/>
      <c r="S42" s="53"/>
      <c r="T42" s="53"/>
      <c r="U42" s="53"/>
    </row>
    <row r="43" spans="1:21" ht="18" customHeight="1" x14ac:dyDescent="0.15">
      <c r="B43" s="99"/>
      <c r="C43" s="100"/>
      <c r="D43" s="100"/>
      <c r="E43" s="100"/>
      <c r="F43" s="101"/>
      <c r="G43" s="53"/>
      <c r="H43" s="53"/>
      <c r="I43" s="53"/>
      <c r="J43" s="53"/>
      <c r="K43" s="99"/>
      <c r="L43" s="100"/>
      <c r="M43" s="100"/>
      <c r="N43" s="100"/>
      <c r="O43" s="100"/>
      <c r="P43" s="100"/>
      <c r="Q43" s="101"/>
      <c r="R43" s="53"/>
      <c r="S43" s="53"/>
      <c r="T43" s="53"/>
      <c r="U43" s="53"/>
    </row>
    <row r="44" spans="1:21" ht="18" customHeight="1" x14ac:dyDescent="0.15">
      <c r="B44" s="88"/>
      <c r="C44" s="89"/>
      <c r="D44" s="89"/>
      <c r="E44" s="89"/>
      <c r="F44" s="90"/>
      <c r="G44" s="54"/>
      <c r="H44" s="54"/>
      <c r="I44" s="55"/>
      <c r="J44" s="55"/>
      <c r="K44" s="88"/>
      <c r="L44" s="89"/>
      <c r="M44" s="89"/>
      <c r="N44" s="89"/>
      <c r="O44" s="89"/>
      <c r="P44" s="89"/>
      <c r="Q44" s="90"/>
      <c r="R44" s="54"/>
      <c r="S44" s="54"/>
      <c r="T44" s="55"/>
      <c r="U44" s="55"/>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14" t="s">
        <v>30</v>
      </c>
      <c r="B46" s="114"/>
      <c r="C46" s="114"/>
      <c r="D46" s="114"/>
      <c r="E46" s="114"/>
      <c r="F46" s="114"/>
      <c r="G46" s="114"/>
      <c r="H46" s="114"/>
      <c r="I46" s="114"/>
      <c r="J46" s="114"/>
      <c r="K46" s="114"/>
      <c r="L46" s="114"/>
      <c r="M46" s="114"/>
      <c r="N46" s="114"/>
      <c r="O46" s="114"/>
      <c r="P46" s="114"/>
      <c r="Q46" s="114"/>
      <c r="R46" s="114"/>
      <c r="S46" s="114"/>
      <c r="T46" s="114"/>
      <c r="U46" s="114"/>
    </row>
    <row r="47" spans="1:21" ht="18" customHeight="1" x14ac:dyDescent="0.15">
      <c r="A47" s="114"/>
      <c r="B47" s="114"/>
      <c r="C47" s="114"/>
      <c r="D47" s="114"/>
      <c r="E47" s="114"/>
      <c r="F47" s="114"/>
      <c r="G47" s="114"/>
      <c r="H47" s="114"/>
      <c r="I47" s="114"/>
      <c r="J47" s="114"/>
      <c r="K47" s="114"/>
      <c r="L47" s="114"/>
      <c r="M47" s="114"/>
      <c r="N47" s="114"/>
      <c r="O47" s="114"/>
      <c r="P47" s="114"/>
      <c r="Q47" s="114"/>
      <c r="R47" s="114"/>
      <c r="S47" s="114"/>
      <c r="T47" s="114"/>
      <c r="U47" s="114"/>
    </row>
    <row r="48" spans="1:21" ht="18" customHeight="1" x14ac:dyDescent="0.15">
      <c r="B48" s="96" t="s">
        <v>20</v>
      </c>
      <c r="C48" s="97"/>
      <c r="D48" s="97"/>
      <c r="E48" s="97"/>
      <c r="F48" s="98"/>
      <c r="G48" s="49" t="s">
        <v>21</v>
      </c>
      <c r="H48" s="50" t="s">
        <v>22</v>
      </c>
      <c r="I48" s="51" t="s">
        <v>31</v>
      </c>
      <c r="J48" s="51" t="s">
        <v>32</v>
      </c>
      <c r="K48" s="96" t="s">
        <v>20</v>
      </c>
      <c r="L48" s="97"/>
      <c r="M48" s="97"/>
      <c r="N48" s="97"/>
      <c r="O48" s="97"/>
      <c r="P48" s="97"/>
      <c r="Q48" s="98"/>
      <c r="R48" s="49" t="s">
        <v>21</v>
      </c>
      <c r="S48" s="50" t="s">
        <v>22</v>
      </c>
      <c r="T48" s="51" t="s">
        <v>31</v>
      </c>
      <c r="U48" s="51" t="s">
        <v>32</v>
      </c>
    </row>
    <row r="49" spans="1:21" ht="18" customHeight="1" x14ac:dyDescent="0.15">
      <c r="A49" s="3"/>
      <c r="B49" s="105" t="s">
        <v>25</v>
      </c>
      <c r="C49" s="106"/>
      <c r="D49" s="106"/>
      <c r="E49" s="106"/>
      <c r="F49" s="107"/>
      <c r="G49" s="52">
        <v>2</v>
      </c>
      <c r="H49" s="52" t="s">
        <v>26</v>
      </c>
      <c r="I49" s="52" t="s">
        <v>26</v>
      </c>
      <c r="J49" s="52" t="s">
        <v>26</v>
      </c>
      <c r="K49" s="105"/>
      <c r="L49" s="106"/>
      <c r="M49" s="106"/>
      <c r="N49" s="106"/>
      <c r="O49" s="106"/>
      <c r="P49" s="106"/>
      <c r="Q49" s="107"/>
      <c r="R49" s="52"/>
      <c r="S49" s="52"/>
      <c r="T49" s="52"/>
      <c r="U49" s="52"/>
    </row>
    <row r="50" spans="1:21" ht="18" customHeight="1" x14ac:dyDescent="0.15">
      <c r="A50" s="3"/>
      <c r="B50" s="99"/>
      <c r="C50" s="100"/>
      <c r="D50" s="100"/>
      <c r="E50" s="100"/>
      <c r="F50" s="101"/>
      <c r="G50" s="53"/>
      <c r="H50" s="53"/>
      <c r="I50" s="53"/>
      <c r="J50" s="53"/>
      <c r="K50" s="99"/>
      <c r="L50" s="100"/>
      <c r="M50" s="100"/>
      <c r="N50" s="100"/>
      <c r="O50" s="100"/>
      <c r="P50" s="100"/>
      <c r="Q50" s="101"/>
      <c r="R50" s="53"/>
      <c r="S50" s="53"/>
      <c r="T50" s="53"/>
      <c r="U50" s="53"/>
    </row>
    <row r="51" spans="1:21" ht="18" customHeight="1" x14ac:dyDescent="0.15">
      <c r="A51" s="3"/>
      <c r="B51" s="99"/>
      <c r="C51" s="100"/>
      <c r="D51" s="100"/>
      <c r="E51" s="100"/>
      <c r="F51" s="101"/>
      <c r="G51" s="53"/>
      <c r="H51" s="53"/>
      <c r="I51" s="53"/>
      <c r="J51" s="53"/>
      <c r="K51" s="99"/>
      <c r="L51" s="100"/>
      <c r="M51" s="100"/>
      <c r="N51" s="100"/>
      <c r="O51" s="100"/>
      <c r="P51" s="100"/>
      <c r="Q51" s="101"/>
      <c r="R51" s="53"/>
      <c r="S51" s="53"/>
      <c r="T51" s="53"/>
      <c r="U51" s="53"/>
    </row>
    <row r="52" spans="1:21" ht="18" customHeight="1" x14ac:dyDescent="0.15">
      <c r="A52" s="3"/>
      <c r="B52" s="99"/>
      <c r="C52" s="100"/>
      <c r="D52" s="100"/>
      <c r="E52" s="100"/>
      <c r="F52" s="101"/>
      <c r="G52" s="53"/>
      <c r="H52" s="53"/>
      <c r="I52" s="53"/>
      <c r="J52" s="53"/>
      <c r="K52" s="99"/>
      <c r="L52" s="100"/>
      <c r="M52" s="100"/>
      <c r="N52" s="100"/>
      <c r="O52" s="100"/>
      <c r="P52" s="100"/>
      <c r="Q52" s="101"/>
      <c r="R52" s="53"/>
      <c r="S52" s="53"/>
      <c r="T52" s="53"/>
      <c r="U52" s="53"/>
    </row>
    <row r="53" spans="1:21" ht="18" customHeight="1" x14ac:dyDescent="0.15">
      <c r="A53" s="3"/>
      <c r="B53" s="99"/>
      <c r="C53" s="100"/>
      <c r="D53" s="100"/>
      <c r="E53" s="100"/>
      <c r="F53" s="101"/>
      <c r="G53" s="53"/>
      <c r="H53" s="53"/>
      <c r="I53" s="53"/>
      <c r="J53" s="53"/>
      <c r="K53" s="99"/>
      <c r="L53" s="100"/>
      <c r="M53" s="100"/>
      <c r="N53" s="100"/>
      <c r="O53" s="100"/>
      <c r="P53" s="100"/>
      <c r="Q53" s="101"/>
      <c r="R53" s="53"/>
      <c r="S53" s="53"/>
      <c r="T53" s="53"/>
      <c r="U53" s="53"/>
    </row>
    <row r="54" spans="1:21" ht="18" customHeight="1" x14ac:dyDescent="0.15">
      <c r="A54" s="3"/>
      <c r="B54" s="99"/>
      <c r="C54" s="100"/>
      <c r="D54" s="100"/>
      <c r="E54" s="100"/>
      <c r="F54" s="101"/>
      <c r="G54" s="53"/>
      <c r="H54" s="53"/>
      <c r="I54" s="53"/>
      <c r="J54" s="53"/>
      <c r="K54" s="99"/>
      <c r="L54" s="100"/>
      <c r="M54" s="100"/>
      <c r="N54" s="100"/>
      <c r="O54" s="100"/>
      <c r="P54" s="100"/>
      <c r="Q54" s="101"/>
      <c r="R54" s="53"/>
      <c r="S54" s="53"/>
      <c r="T54" s="53"/>
      <c r="U54" s="53"/>
    </row>
    <row r="55" spans="1:21" ht="18" customHeight="1" x14ac:dyDescent="0.15">
      <c r="A55" s="3"/>
      <c r="B55" s="88"/>
      <c r="C55" s="89"/>
      <c r="D55" s="89"/>
      <c r="E55" s="89"/>
      <c r="F55" s="90"/>
      <c r="G55" s="54"/>
      <c r="H55" s="54"/>
      <c r="I55" s="55"/>
      <c r="J55" s="55"/>
      <c r="K55" s="88"/>
      <c r="L55" s="89"/>
      <c r="M55" s="89"/>
      <c r="N55" s="89"/>
      <c r="O55" s="89"/>
      <c r="P55" s="89"/>
      <c r="Q55" s="90"/>
      <c r="R55" s="54"/>
      <c r="S55" s="54"/>
      <c r="T55" s="55"/>
      <c r="U55" s="55"/>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14" t="s">
        <v>33</v>
      </c>
      <c r="B57" s="114"/>
      <c r="C57" s="114"/>
      <c r="D57" s="114"/>
      <c r="E57" s="114"/>
      <c r="F57" s="114"/>
      <c r="G57" s="114"/>
      <c r="H57" s="114"/>
      <c r="I57" s="114"/>
      <c r="J57" s="114"/>
      <c r="K57" s="114"/>
      <c r="L57" s="114"/>
      <c r="M57" s="114"/>
      <c r="N57" s="114"/>
      <c r="O57" s="114"/>
      <c r="P57" s="114"/>
      <c r="Q57" s="114"/>
      <c r="R57" s="114"/>
      <c r="S57" s="114"/>
      <c r="T57" s="114"/>
      <c r="U57" s="114"/>
    </row>
    <row r="58" spans="1:21" ht="18" customHeight="1" x14ac:dyDescent="0.15">
      <c r="A58" s="114"/>
      <c r="B58" s="114"/>
      <c r="C58" s="114"/>
      <c r="D58" s="114"/>
      <c r="E58" s="114"/>
      <c r="F58" s="114"/>
      <c r="G58" s="114"/>
      <c r="H58" s="114"/>
      <c r="I58" s="114"/>
      <c r="J58" s="114"/>
      <c r="K58" s="114"/>
      <c r="L58" s="114"/>
      <c r="M58" s="114"/>
      <c r="N58" s="114"/>
      <c r="O58" s="114"/>
      <c r="P58" s="114"/>
      <c r="Q58" s="114"/>
      <c r="R58" s="114"/>
      <c r="S58" s="114"/>
      <c r="T58" s="114"/>
      <c r="U58" s="114"/>
    </row>
    <row r="59" spans="1:21" ht="18" customHeight="1" x14ac:dyDescent="0.15">
      <c r="B59" s="96" t="s">
        <v>20</v>
      </c>
      <c r="C59" s="97"/>
      <c r="D59" s="97"/>
      <c r="E59" s="97"/>
      <c r="F59" s="98"/>
      <c r="G59" s="49" t="s">
        <v>21</v>
      </c>
      <c r="H59" s="50" t="s">
        <v>22</v>
      </c>
      <c r="I59" s="51" t="s">
        <v>34</v>
      </c>
      <c r="J59" s="51" t="s">
        <v>35</v>
      </c>
      <c r="K59" s="96" t="s">
        <v>20</v>
      </c>
      <c r="L59" s="97"/>
      <c r="M59" s="97"/>
      <c r="N59" s="97"/>
      <c r="O59" s="97"/>
      <c r="P59" s="97"/>
      <c r="Q59" s="98"/>
      <c r="R59" s="49" t="s">
        <v>21</v>
      </c>
      <c r="S59" s="50" t="s">
        <v>22</v>
      </c>
      <c r="T59" s="51" t="s">
        <v>34</v>
      </c>
      <c r="U59" s="51" t="s">
        <v>35</v>
      </c>
    </row>
    <row r="60" spans="1:21" ht="18" customHeight="1" x14ac:dyDescent="0.15">
      <c r="A60" s="3"/>
      <c r="B60" s="105" t="s">
        <v>25</v>
      </c>
      <c r="C60" s="106"/>
      <c r="D60" s="106"/>
      <c r="E60" s="106"/>
      <c r="F60" s="107"/>
      <c r="G60" s="52">
        <v>2</v>
      </c>
      <c r="H60" s="52" t="s">
        <v>26</v>
      </c>
      <c r="I60" s="52" t="s">
        <v>26</v>
      </c>
      <c r="J60" s="52" t="s">
        <v>26</v>
      </c>
      <c r="K60" s="105"/>
      <c r="L60" s="106"/>
      <c r="M60" s="106"/>
      <c r="N60" s="106"/>
      <c r="O60" s="106"/>
      <c r="P60" s="106"/>
      <c r="Q60" s="107"/>
      <c r="R60" s="52"/>
      <c r="S60" s="52"/>
      <c r="T60" s="52"/>
      <c r="U60" s="52"/>
    </row>
    <row r="61" spans="1:21" ht="18" customHeight="1" x14ac:dyDescent="0.15">
      <c r="A61" s="3"/>
      <c r="B61" s="99"/>
      <c r="C61" s="100"/>
      <c r="D61" s="100"/>
      <c r="E61" s="100"/>
      <c r="F61" s="101"/>
      <c r="G61" s="53"/>
      <c r="H61" s="53"/>
      <c r="I61" s="53"/>
      <c r="J61" s="53"/>
      <c r="K61" s="99"/>
      <c r="L61" s="100"/>
      <c r="M61" s="100"/>
      <c r="N61" s="100"/>
      <c r="O61" s="100"/>
      <c r="P61" s="100"/>
      <c r="Q61" s="101"/>
      <c r="R61" s="53"/>
      <c r="S61" s="53"/>
      <c r="T61" s="53"/>
      <c r="U61" s="53"/>
    </row>
    <row r="62" spans="1:21" ht="18" customHeight="1" x14ac:dyDescent="0.15">
      <c r="A62" s="3"/>
      <c r="B62" s="99"/>
      <c r="C62" s="100"/>
      <c r="D62" s="100"/>
      <c r="E62" s="100"/>
      <c r="F62" s="101"/>
      <c r="G62" s="53"/>
      <c r="H62" s="53"/>
      <c r="I62" s="53"/>
      <c r="J62" s="53"/>
      <c r="K62" s="99"/>
      <c r="L62" s="100"/>
      <c r="M62" s="100"/>
      <c r="N62" s="100"/>
      <c r="O62" s="100"/>
      <c r="P62" s="100"/>
      <c r="Q62" s="101"/>
      <c r="R62" s="53"/>
      <c r="S62" s="53"/>
      <c r="T62" s="53"/>
      <c r="U62" s="53"/>
    </row>
    <row r="63" spans="1:21" ht="18" customHeight="1" x14ac:dyDescent="0.15">
      <c r="A63" s="3"/>
      <c r="B63" s="99"/>
      <c r="C63" s="100"/>
      <c r="D63" s="100"/>
      <c r="E63" s="100"/>
      <c r="F63" s="101"/>
      <c r="G63" s="53"/>
      <c r="H63" s="53"/>
      <c r="I63" s="53"/>
      <c r="J63" s="53"/>
      <c r="K63" s="99"/>
      <c r="L63" s="100"/>
      <c r="M63" s="100"/>
      <c r="N63" s="100"/>
      <c r="O63" s="100"/>
      <c r="P63" s="100"/>
      <c r="Q63" s="101"/>
      <c r="R63" s="53"/>
      <c r="S63" s="53"/>
      <c r="T63" s="53"/>
      <c r="U63" s="53"/>
    </row>
    <row r="64" spans="1:21" ht="18" customHeight="1" x14ac:dyDescent="0.15">
      <c r="A64" s="3"/>
      <c r="B64" s="99"/>
      <c r="C64" s="100"/>
      <c r="D64" s="100"/>
      <c r="E64" s="100"/>
      <c r="F64" s="101"/>
      <c r="G64" s="53"/>
      <c r="H64" s="53"/>
      <c r="I64" s="53"/>
      <c r="J64" s="53"/>
      <c r="K64" s="99"/>
      <c r="L64" s="100"/>
      <c r="M64" s="100"/>
      <c r="N64" s="100"/>
      <c r="O64" s="100"/>
      <c r="P64" s="100"/>
      <c r="Q64" s="101"/>
      <c r="R64" s="53"/>
      <c r="S64" s="53"/>
      <c r="T64" s="53"/>
      <c r="U64" s="53"/>
    </row>
    <row r="65" spans="1:27" ht="18" customHeight="1" x14ac:dyDescent="0.15">
      <c r="A65" s="3"/>
      <c r="B65" s="99"/>
      <c r="C65" s="100"/>
      <c r="D65" s="100"/>
      <c r="E65" s="100"/>
      <c r="F65" s="101"/>
      <c r="G65" s="53"/>
      <c r="H65" s="53"/>
      <c r="I65" s="53"/>
      <c r="J65" s="53"/>
      <c r="K65" s="99"/>
      <c r="L65" s="100"/>
      <c r="M65" s="100"/>
      <c r="N65" s="100"/>
      <c r="O65" s="100"/>
      <c r="P65" s="100"/>
      <c r="Q65" s="101"/>
      <c r="R65" s="53"/>
      <c r="S65" s="53"/>
      <c r="T65" s="53"/>
      <c r="U65" s="53"/>
    </row>
    <row r="66" spans="1:27" ht="18" customHeight="1" x14ac:dyDescent="0.15">
      <c r="A66" s="3"/>
      <c r="B66" s="88"/>
      <c r="C66" s="89"/>
      <c r="D66" s="89"/>
      <c r="E66" s="89"/>
      <c r="F66" s="90"/>
      <c r="G66" s="54"/>
      <c r="H66" s="54"/>
      <c r="I66" s="55"/>
      <c r="J66" s="55"/>
      <c r="K66" s="88"/>
      <c r="L66" s="89"/>
      <c r="M66" s="89"/>
      <c r="N66" s="89"/>
      <c r="O66" s="89"/>
      <c r="P66" s="89"/>
      <c r="Q66" s="90"/>
      <c r="R66" s="54"/>
      <c r="S66" s="54"/>
      <c r="T66" s="55"/>
      <c r="U66" s="55"/>
    </row>
    <row r="67" spans="1:27" ht="7.5" customHeight="1" x14ac:dyDescent="0.15">
      <c r="B67" s="14"/>
      <c r="C67" s="14"/>
      <c r="D67" s="14"/>
      <c r="E67" s="14"/>
      <c r="F67" s="14"/>
      <c r="G67" s="14"/>
      <c r="H67" s="14"/>
      <c r="I67" s="14"/>
      <c r="J67" s="14"/>
      <c r="K67" s="14"/>
      <c r="L67" s="14"/>
      <c r="M67" s="14"/>
      <c r="N67" s="14"/>
      <c r="O67" s="14"/>
      <c r="P67" s="14"/>
      <c r="Q67" s="14"/>
      <c r="R67" s="14"/>
      <c r="S67" s="14"/>
      <c r="T67" s="14"/>
    </row>
    <row r="68" spans="1:27" ht="18" customHeight="1" x14ac:dyDescent="0.15">
      <c r="A68" s="114" t="s">
        <v>36</v>
      </c>
      <c r="B68" s="114"/>
      <c r="C68" s="114"/>
      <c r="D68" s="114"/>
      <c r="E68" s="114"/>
      <c r="F68" s="114"/>
      <c r="G68" s="114"/>
      <c r="H68" s="114"/>
      <c r="I68" s="114"/>
      <c r="J68" s="114"/>
      <c r="K68" s="114"/>
      <c r="L68" s="114"/>
      <c r="M68" s="114"/>
      <c r="N68" s="114"/>
      <c r="O68" s="114"/>
      <c r="P68" s="114"/>
      <c r="Q68" s="114"/>
      <c r="R68" s="114"/>
      <c r="S68" s="114"/>
      <c r="T68" s="114"/>
      <c r="U68" s="114"/>
    </row>
    <row r="69" spans="1:27" ht="18" customHeight="1" x14ac:dyDescent="0.15">
      <c r="A69" s="114"/>
      <c r="B69" s="114"/>
      <c r="C69" s="114"/>
      <c r="D69" s="114"/>
      <c r="E69" s="114"/>
      <c r="F69" s="114"/>
      <c r="G69" s="114"/>
      <c r="H69" s="114"/>
      <c r="I69" s="114"/>
      <c r="J69" s="114"/>
      <c r="K69" s="114"/>
      <c r="L69" s="114"/>
      <c r="M69" s="114"/>
      <c r="N69" s="114"/>
      <c r="O69" s="114"/>
      <c r="P69" s="114"/>
      <c r="Q69" s="114"/>
      <c r="R69" s="114"/>
      <c r="S69" s="114"/>
      <c r="T69" s="114"/>
      <c r="U69" s="114"/>
    </row>
    <row r="70" spans="1:27" ht="18" customHeight="1" x14ac:dyDescent="0.15">
      <c r="B70" s="96" t="s">
        <v>20</v>
      </c>
      <c r="C70" s="97"/>
      <c r="D70" s="97"/>
      <c r="E70" s="97"/>
      <c r="F70" s="49" t="s">
        <v>21</v>
      </c>
      <c r="G70" s="50" t="s">
        <v>22</v>
      </c>
      <c r="H70" s="51" t="s">
        <v>37</v>
      </c>
      <c r="I70" s="51" t="s">
        <v>38</v>
      </c>
      <c r="J70" s="51" t="s">
        <v>39</v>
      </c>
      <c r="K70" s="96" t="s">
        <v>20</v>
      </c>
      <c r="L70" s="97"/>
      <c r="M70" s="97"/>
      <c r="N70" s="97"/>
      <c r="O70" s="97"/>
      <c r="P70" s="98"/>
      <c r="Q70" s="49" t="s">
        <v>21</v>
      </c>
      <c r="R70" s="50" t="s">
        <v>22</v>
      </c>
      <c r="S70" s="51" t="s">
        <v>37</v>
      </c>
      <c r="T70" s="51" t="s">
        <v>38</v>
      </c>
      <c r="U70" s="51" t="s">
        <v>39</v>
      </c>
    </row>
    <row r="71" spans="1:27" ht="18" customHeight="1" x14ac:dyDescent="0.15">
      <c r="A71" s="3"/>
      <c r="B71" s="115" t="s">
        <v>25</v>
      </c>
      <c r="C71" s="116"/>
      <c r="D71" s="116"/>
      <c r="E71" s="117"/>
      <c r="F71" s="52">
        <v>2</v>
      </c>
      <c r="G71" s="52" t="s">
        <v>26</v>
      </c>
      <c r="H71" s="52" t="s">
        <v>26</v>
      </c>
      <c r="I71" s="52" t="s">
        <v>26</v>
      </c>
      <c r="J71" s="52" t="s">
        <v>26</v>
      </c>
      <c r="K71" s="105"/>
      <c r="L71" s="106"/>
      <c r="M71" s="106"/>
      <c r="N71" s="106"/>
      <c r="O71" s="106"/>
      <c r="P71" s="107"/>
      <c r="Q71" s="52"/>
      <c r="R71" s="52"/>
      <c r="S71" s="52"/>
      <c r="T71" s="52"/>
      <c r="U71" s="52"/>
    </row>
    <row r="72" spans="1:27" ht="18" customHeight="1" x14ac:dyDescent="0.15">
      <c r="A72" s="3"/>
      <c r="B72" s="99"/>
      <c r="C72" s="100"/>
      <c r="D72" s="100"/>
      <c r="E72" s="100"/>
      <c r="F72" s="53"/>
      <c r="G72" s="53"/>
      <c r="H72" s="53"/>
      <c r="I72" s="53"/>
      <c r="J72" s="53"/>
      <c r="K72" s="99"/>
      <c r="L72" s="100"/>
      <c r="M72" s="100"/>
      <c r="N72" s="100"/>
      <c r="O72" s="100"/>
      <c r="P72" s="101"/>
      <c r="Q72" s="53"/>
      <c r="R72" s="53"/>
      <c r="S72" s="53"/>
      <c r="T72" s="53"/>
      <c r="U72" s="53"/>
    </row>
    <row r="73" spans="1:27" ht="18" customHeight="1" x14ac:dyDescent="0.15">
      <c r="A73" s="3"/>
      <c r="B73" s="99"/>
      <c r="C73" s="100"/>
      <c r="D73" s="100"/>
      <c r="E73" s="100"/>
      <c r="F73" s="53"/>
      <c r="G73" s="53"/>
      <c r="H73" s="53"/>
      <c r="I73" s="53"/>
      <c r="J73" s="53"/>
      <c r="K73" s="99"/>
      <c r="L73" s="100"/>
      <c r="M73" s="100"/>
      <c r="N73" s="100"/>
      <c r="O73" s="100"/>
      <c r="P73" s="101"/>
      <c r="Q73" s="53"/>
      <c r="R73" s="53"/>
      <c r="S73" s="53"/>
      <c r="T73" s="53"/>
      <c r="U73" s="53"/>
    </row>
    <row r="74" spans="1:27" ht="18" customHeight="1" x14ac:dyDescent="0.15">
      <c r="A74" s="3"/>
      <c r="B74" s="99"/>
      <c r="C74" s="100"/>
      <c r="D74" s="100"/>
      <c r="E74" s="100"/>
      <c r="F74" s="53"/>
      <c r="G74" s="53"/>
      <c r="H74" s="53"/>
      <c r="I74" s="53"/>
      <c r="J74" s="53"/>
      <c r="K74" s="99"/>
      <c r="L74" s="100"/>
      <c r="M74" s="100"/>
      <c r="N74" s="100"/>
      <c r="O74" s="100"/>
      <c r="P74" s="101"/>
      <c r="Q74" s="53"/>
      <c r="R74" s="53"/>
      <c r="S74" s="53"/>
      <c r="T74" s="53"/>
      <c r="U74" s="53"/>
    </row>
    <row r="75" spans="1:27" ht="18" customHeight="1" x14ac:dyDescent="0.15">
      <c r="A75" s="3"/>
      <c r="B75" s="99"/>
      <c r="C75" s="100"/>
      <c r="D75" s="100"/>
      <c r="E75" s="100"/>
      <c r="F75" s="53"/>
      <c r="G75" s="53"/>
      <c r="H75" s="53"/>
      <c r="I75" s="53"/>
      <c r="J75" s="53"/>
      <c r="K75" s="99"/>
      <c r="L75" s="100"/>
      <c r="M75" s="100"/>
      <c r="N75" s="100"/>
      <c r="O75" s="100"/>
      <c r="P75" s="101"/>
      <c r="Q75" s="53"/>
      <c r="R75" s="53"/>
      <c r="S75" s="53"/>
      <c r="T75" s="53"/>
      <c r="U75" s="53"/>
    </row>
    <row r="76" spans="1:27" ht="18" customHeight="1" x14ac:dyDescent="0.15">
      <c r="A76" s="3"/>
      <c r="B76" s="99"/>
      <c r="C76" s="100"/>
      <c r="D76" s="100"/>
      <c r="E76" s="100"/>
      <c r="F76" s="53"/>
      <c r="G76" s="53"/>
      <c r="H76" s="53"/>
      <c r="I76" s="53"/>
      <c r="J76" s="53"/>
      <c r="K76" s="99"/>
      <c r="L76" s="100"/>
      <c r="M76" s="100"/>
      <c r="N76" s="100"/>
      <c r="O76" s="100"/>
      <c r="P76" s="101"/>
      <c r="Q76" s="53"/>
      <c r="R76" s="53"/>
      <c r="S76" s="53"/>
      <c r="T76" s="53"/>
      <c r="U76" s="53"/>
    </row>
    <row r="77" spans="1:27" ht="18" customHeight="1" x14ac:dyDescent="0.15">
      <c r="A77" s="3"/>
      <c r="B77" s="88"/>
      <c r="C77" s="89"/>
      <c r="D77" s="89"/>
      <c r="E77" s="89"/>
      <c r="F77" s="54"/>
      <c r="G77" s="54"/>
      <c r="H77" s="55"/>
      <c r="I77" s="55"/>
      <c r="J77" s="55"/>
      <c r="K77" s="88"/>
      <c r="L77" s="89"/>
      <c r="M77" s="89"/>
      <c r="N77" s="89"/>
      <c r="O77" s="89"/>
      <c r="P77" s="90"/>
      <c r="Q77" s="54"/>
      <c r="R77" s="54"/>
      <c r="S77" s="55"/>
      <c r="T77" s="55"/>
      <c r="U77" s="55"/>
    </row>
    <row r="78" spans="1:27" ht="7.5" customHeight="1" x14ac:dyDescent="0.15">
      <c r="B78" s="14"/>
      <c r="C78" s="14"/>
      <c r="D78" s="14"/>
      <c r="E78" s="14"/>
      <c r="F78" s="14"/>
      <c r="G78" s="14"/>
      <c r="H78" s="14"/>
      <c r="I78" s="14"/>
      <c r="J78" s="14"/>
      <c r="K78" s="14"/>
      <c r="L78" s="14"/>
      <c r="M78" s="14"/>
      <c r="N78" s="14"/>
      <c r="O78" s="14"/>
      <c r="P78" s="14"/>
      <c r="Q78" s="14"/>
      <c r="R78" s="14"/>
      <c r="S78" s="14"/>
      <c r="T78" s="14"/>
    </row>
    <row r="79" spans="1:27" ht="18" customHeight="1" x14ac:dyDescent="0.15">
      <c r="A79" s="1" t="s">
        <v>40</v>
      </c>
      <c r="I79" s="3"/>
      <c r="J79" s="3"/>
      <c r="K79" s="3"/>
      <c r="L79" s="3"/>
      <c r="M79" s="3"/>
      <c r="N79" s="3"/>
      <c r="O79" s="3"/>
      <c r="P79" s="3"/>
      <c r="Q79" s="3"/>
      <c r="R79" s="3"/>
      <c r="S79" s="3"/>
      <c r="T79" s="3"/>
      <c r="U79" s="3"/>
    </row>
    <row r="80" spans="1:27" ht="18" customHeight="1" x14ac:dyDescent="0.15">
      <c r="B80" s="96" t="s">
        <v>20</v>
      </c>
      <c r="C80" s="97"/>
      <c r="D80" s="97"/>
      <c r="E80" s="97"/>
      <c r="F80" s="98"/>
      <c r="G80" s="96" t="s">
        <v>41</v>
      </c>
      <c r="H80" s="97"/>
      <c r="I80" s="97"/>
      <c r="J80" s="98"/>
      <c r="K80" s="111" t="s">
        <v>20</v>
      </c>
      <c r="L80" s="112"/>
      <c r="M80" s="112"/>
      <c r="N80" s="112"/>
      <c r="O80" s="112"/>
      <c r="P80" s="112"/>
      <c r="Q80" s="113"/>
      <c r="R80" s="96" t="s">
        <v>41</v>
      </c>
      <c r="S80" s="97"/>
      <c r="T80" s="97"/>
      <c r="U80" s="98"/>
      <c r="AA80" s="1" t="s">
        <v>42</v>
      </c>
    </row>
    <row r="81" spans="1:27" ht="18" customHeight="1" x14ac:dyDescent="0.15">
      <c r="A81" s="3"/>
      <c r="B81" s="105"/>
      <c r="C81" s="106"/>
      <c r="D81" s="106"/>
      <c r="E81" s="106"/>
      <c r="F81" s="107"/>
      <c r="G81" s="108"/>
      <c r="H81" s="109"/>
      <c r="I81" s="109"/>
      <c r="J81" s="110"/>
      <c r="K81" s="105"/>
      <c r="L81" s="106"/>
      <c r="M81" s="106"/>
      <c r="N81" s="106"/>
      <c r="O81" s="106"/>
      <c r="P81" s="106"/>
      <c r="Q81" s="107"/>
      <c r="R81" s="108"/>
      <c r="S81" s="109"/>
      <c r="T81" s="109"/>
      <c r="U81" s="110"/>
      <c r="AA81" s="1" t="s">
        <v>43</v>
      </c>
    </row>
    <row r="82" spans="1:27" ht="18" customHeight="1" x14ac:dyDescent="0.15">
      <c r="A82" s="3"/>
      <c r="B82" s="99"/>
      <c r="C82" s="100"/>
      <c r="D82" s="100"/>
      <c r="E82" s="100"/>
      <c r="F82" s="101"/>
      <c r="G82" s="102"/>
      <c r="H82" s="103"/>
      <c r="I82" s="103"/>
      <c r="J82" s="104"/>
      <c r="K82" s="99"/>
      <c r="L82" s="100"/>
      <c r="M82" s="100"/>
      <c r="N82" s="100"/>
      <c r="O82" s="100"/>
      <c r="P82" s="100"/>
      <c r="Q82" s="101"/>
      <c r="R82" s="102"/>
      <c r="S82" s="103"/>
      <c r="T82" s="103"/>
      <c r="U82" s="104"/>
      <c r="AA82" s="1" t="s">
        <v>44</v>
      </c>
    </row>
    <row r="83" spans="1:27" ht="18" customHeight="1" x14ac:dyDescent="0.15">
      <c r="A83" s="3"/>
      <c r="B83" s="99"/>
      <c r="C83" s="100"/>
      <c r="D83" s="100"/>
      <c r="E83" s="100"/>
      <c r="F83" s="101"/>
      <c r="G83" s="102"/>
      <c r="H83" s="103"/>
      <c r="I83" s="103"/>
      <c r="J83" s="104"/>
      <c r="K83" s="99"/>
      <c r="L83" s="100"/>
      <c r="M83" s="100"/>
      <c r="N83" s="100"/>
      <c r="O83" s="100"/>
      <c r="P83" s="100"/>
      <c r="Q83" s="101"/>
      <c r="R83" s="102"/>
      <c r="S83" s="103"/>
      <c r="T83" s="103"/>
      <c r="U83" s="104"/>
      <c r="AA83" s="1" t="s">
        <v>45</v>
      </c>
    </row>
    <row r="84" spans="1:27" ht="18" customHeight="1" x14ac:dyDescent="0.15">
      <c r="A84" s="3"/>
      <c r="B84" s="99"/>
      <c r="C84" s="100"/>
      <c r="D84" s="100"/>
      <c r="E84" s="100"/>
      <c r="F84" s="101"/>
      <c r="G84" s="102"/>
      <c r="H84" s="103"/>
      <c r="I84" s="103"/>
      <c r="J84" s="104"/>
      <c r="K84" s="99"/>
      <c r="L84" s="100"/>
      <c r="M84" s="100"/>
      <c r="N84" s="100"/>
      <c r="O84" s="100"/>
      <c r="P84" s="100"/>
      <c r="Q84" s="101"/>
      <c r="R84" s="102"/>
      <c r="S84" s="103"/>
      <c r="T84" s="103"/>
      <c r="U84" s="104"/>
      <c r="AA84" s="1" t="s">
        <v>46</v>
      </c>
    </row>
    <row r="85" spans="1:27" ht="18" customHeight="1" x14ac:dyDescent="0.15">
      <c r="A85" s="3"/>
      <c r="B85" s="99"/>
      <c r="C85" s="100"/>
      <c r="D85" s="100"/>
      <c r="E85" s="100"/>
      <c r="F85" s="101"/>
      <c r="G85" s="102"/>
      <c r="H85" s="103"/>
      <c r="I85" s="103"/>
      <c r="J85" s="104"/>
      <c r="K85" s="99"/>
      <c r="L85" s="100"/>
      <c r="M85" s="100"/>
      <c r="N85" s="100"/>
      <c r="O85" s="100"/>
      <c r="P85" s="100"/>
      <c r="Q85" s="101"/>
      <c r="R85" s="102"/>
      <c r="S85" s="103"/>
      <c r="T85" s="103"/>
      <c r="U85" s="104"/>
      <c r="AA85" s="1" t="s">
        <v>47</v>
      </c>
    </row>
    <row r="86" spans="1:27" ht="18" customHeight="1" x14ac:dyDescent="0.15">
      <c r="A86" s="3"/>
      <c r="B86" s="99"/>
      <c r="C86" s="100"/>
      <c r="D86" s="100"/>
      <c r="E86" s="100"/>
      <c r="F86" s="101"/>
      <c r="G86" s="102"/>
      <c r="H86" s="103"/>
      <c r="I86" s="103"/>
      <c r="J86" s="104"/>
      <c r="K86" s="99"/>
      <c r="L86" s="100"/>
      <c r="M86" s="100"/>
      <c r="N86" s="100"/>
      <c r="O86" s="100"/>
      <c r="P86" s="100"/>
      <c r="Q86" s="101"/>
      <c r="R86" s="102"/>
      <c r="S86" s="103"/>
      <c r="T86" s="103"/>
      <c r="U86" s="104"/>
      <c r="AA86" s="1" t="s">
        <v>48</v>
      </c>
    </row>
    <row r="87" spans="1:27" ht="18" customHeight="1" x14ac:dyDescent="0.15">
      <c r="A87" s="3"/>
      <c r="B87" s="88"/>
      <c r="C87" s="89"/>
      <c r="D87" s="89"/>
      <c r="E87" s="89"/>
      <c r="F87" s="90"/>
      <c r="G87" s="91"/>
      <c r="H87" s="92"/>
      <c r="I87" s="92"/>
      <c r="J87" s="93"/>
      <c r="K87" s="88"/>
      <c r="L87" s="89"/>
      <c r="M87" s="89"/>
      <c r="N87" s="89"/>
      <c r="O87" s="89"/>
      <c r="P87" s="89"/>
      <c r="Q87" s="90"/>
      <c r="R87" s="91"/>
      <c r="S87" s="92"/>
      <c r="T87" s="92"/>
      <c r="U87" s="93"/>
      <c r="AA87" s="1" t="s">
        <v>49</v>
      </c>
    </row>
    <row r="88" spans="1:27" ht="18" customHeight="1" x14ac:dyDescent="0.15">
      <c r="A88" s="3"/>
      <c r="B88" s="6"/>
      <c r="C88" s="6"/>
      <c r="D88" s="6"/>
      <c r="E88" s="6"/>
      <c r="F88" s="6"/>
      <c r="G88" s="56"/>
      <c r="H88" s="56"/>
      <c r="I88" s="56"/>
      <c r="J88" s="56"/>
      <c r="K88" s="6"/>
      <c r="L88" s="6"/>
      <c r="M88" s="6"/>
      <c r="N88" s="6"/>
      <c r="O88" s="6"/>
      <c r="P88" s="6"/>
      <c r="Q88" s="6"/>
      <c r="R88" s="56"/>
      <c r="S88" s="56"/>
      <c r="T88" s="56"/>
      <c r="U88" s="56"/>
      <c r="AA88" s="1" t="s">
        <v>50</v>
      </c>
    </row>
    <row r="89" spans="1:27" ht="18.75" customHeight="1" x14ac:dyDescent="0.15">
      <c r="A89" s="1" t="s">
        <v>51</v>
      </c>
      <c r="AA89" s="1" t="s">
        <v>52</v>
      </c>
    </row>
    <row r="90" spans="1:27" ht="18.75" customHeight="1" x14ac:dyDescent="0.15">
      <c r="B90" s="94" t="s">
        <v>53</v>
      </c>
      <c r="C90" s="95"/>
      <c r="D90" s="96" t="s">
        <v>54</v>
      </c>
      <c r="E90" s="97"/>
      <c r="F90" s="97"/>
      <c r="G90" s="97"/>
      <c r="H90" s="97"/>
      <c r="I90" s="97"/>
      <c r="J90" s="97"/>
      <c r="K90" s="97"/>
      <c r="L90" s="97"/>
      <c r="M90" s="97"/>
      <c r="N90" s="97"/>
      <c r="O90" s="97"/>
      <c r="P90" s="97"/>
      <c r="Q90" s="97"/>
      <c r="R90" s="97"/>
      <c r="S90" s="97"/>
      <c r="T90" s="97"/>
      <c r="U90" s="98"/>
    </row>
    <row r="91" spans="1:27" ht="97.5" customHeight="1" x14ac:dyDescent="0.15">
      <c r="B91" s="76" t="s">
        <v>55</v>
      </c>
      <c r="C91" s="57" t="s">
        <v>23</v>
      </c>
      <c r="D91" s="79" t="s">
        <v>168</v>
      </c>
      <c r="E91" s="80"/>
      <c r="F91" s="80"/>
      <c r="G91" s="80"/>
      <c r="H91" s="80"/>
      <c r="I91" s="80"/>
      <c r="J91" s="80"/>
      <c r="K91" s="80"/>
      <c r="L91" s="80"/>
      <c r="M91" s="80"/>
      <c r="N91" s="80"/>
      <c r="O91" s="80"/>
      <c r="P91" s="80"/>
      <c r="Q91" s="80"/>
      <c r="R91" s="80"/>
      <c r="S91" s="80"/>
      <c r="T91" s="80"/>
      <c r="U91" s="81"/>
    </row>
    <row r="92" spans="1:27" ht="97.5" customHeight="1" x14ac:dyDescent="0.15">
      <c r="B92" s="77"/>
      <c r="C92" s="58" t="s">
        <v>56</v>
      </c>
      <c r="D92" s="85" t="s">
        <v>169</v>
      </c>
      <c r="E92" s="86"/>
      <c r="F92" s="86"/>
      <c r="G92" s="86"/>
      <c r="H92" s="86"/>
      <c r="I92" s="86"/>
      <c r="J92" s="86"/>
      <c r="K92" s="86"/>
      <c r="L92" s="86"/>
      <c r="M92" s="86"/>
      <c r="N92" s="86"/>
      <c r="O92" s="86"/>
      <c r="P92" s="86"/>
      <c r="Q92" s="86"/>
      <c r="R92" s="86"/>
      <c r="S92" s="86"/>
      <c r="T92" s="86"/>
      <c r="U92" s="87"/>
    </row>
    <row r="93" spans="1:27" ht="97.5" customHeight="1" x14ac:dyDescent="0.15">
      <c r="B93" s="76" t="s">
        <v>57</v>
      </c>
      <c r="C93" s="59" t="s">
        <v>28</v>
      </c>
      <c r="D93" s="79" t="s">
        <v>170</v>
      </c>
      <c r="E93" s="80"/>
      <c r="F93" s="80"/>
      <c r="G93" s="80"/>
      <c r="H93" s="80"/>
      <c r="I93" s="80"/>
      <c r="J93" s="80"/>
      <c r="K93" s="80"/>
      <c r="L93" s="80"/>
      <c r="M93" s="80"/>
      <c r="N93" s="80"/>
      <c r="O93" s="80"/>
      <c r="P93" s="80"/>
      <c r="Q93" s="80"/>
      <c r="R93" s="80"/>
      <c r="S93" s="80"/>
      <c r="T93" s="80"/>
      <c r="U93" s="81"/>
    </row>
    <row r="94" spans="1:27" ht="97.5" customHeight="1" x14ac:dyDescent="0.15">
      <c r="B94" s="78"/>
      <c r="C94" s="60" t="s">
        <v>29</v>
      </c>
      <c r="D94" s="85" t="s">
        <v>175</v>
      </c>
      <c r="E94" s="86"/>
      <c r="F94" s="86"/>
      <c r="G94" s="86"/>
      <c r="H94" s="86"/>
      <c r="I94" s="86"/>
      <c r="J94" s="86"/>
      <c r="K94" s="86"/>
      <c r="L94" s="86"/>
      <c r="M94" s="86"/>
      <c r="N94" s="86"/>
      <c r="O94" s="86"/>
      <c r="P94" s="86"/>
      <c r="Q94" s="86"/>
      <c r="R94" s="86"/>
      <c r="S94" s="86"/>
      <c r="T94" s="86"/>
      <c r="U94" s="87"/>
    </row>
    <row r="95" spans="1:27" ht="97.5" customHeight="1" x14ac:dyDescent="0.15">
      <c r="B95" s="76" t="s">
        <v>58</v>
      </c>
      <c r="C95" s="59" t="s">
        <v>31</v>
      </c>
      <c r="D95" s="79" t="s">
        <v>171</v>
      </c>
      <c r="E95" s="80"/>
      <c r="F95" s="80"/>
      <c r="G95" s="80"/>
      <c r="H95" s="80"/>
      <c r="I95" s="80"/>
      <c r="J95" s="80"/>
      <c r="K95" s="80"/>
      <c r="L95" s="80"/>
      <c r="M95" s="80"/>
      <c r="N95" s="80"/>
      <c r="O95" s="80"/>
      <c r="P95" s="80"/>
      <c r="Q95" s="80"/>
      <c r="R95" s="80"/>
      <c r="S95" s="80"/>
      <c r="T95" s="80"/>
      <c r="U95" s="81"/>
    </row>
    <row r="96" spans="1:27" ht="97.5" customHeight="1" x14ac:dyDescent="0.15">
      <c r="B96" s="78"/>
      <c r="C96" s="61" t="s">
        <v>32</v>
      </c>
      <c r="D96" s="85" t="s">
        <v>172</v>
      </c>
      <c r="E96" s="86"/>
      <c r="F96" s="86"/>
      <c r="G96" s="86"/>
      <c r="H96" s="86"/>
      <c r="I96" s="86"/>
      <c r="J96" s="86"/>
      <c r="K96" s="86"/>
      <c r="L96" s="86"/>
      <c r="M96" s="86"/>
      <c r="N96" s="86"/>
      <c r="O96" s="86"/>
      <c r="P96" s="86"/>
      <c r="Q96" s="86"/>
      <c r="R96" s="86"/>
      <c r="S96" s="86"/>
      <c r="T96" s="86"/>
      <c r="U96" s="87"/>
    </row>
    <row r="97" spans="1:21" ht="97.5" customHeight="1" x14ac:dyDescent="0.15">
      <c r="B97" s="76" t="s">
        <v>59</v>
      </c>
      <c r="C97" s="57" t="s">
        <v>34</v>
      </c>
      <c r="D97" s="79" t="s">
        <v>173</v>
      </c>
      <c r="E97" s="80"/>
      <c r="F97" s="80"/>
      <c r="G97" s="80"/>
      <c r="H97" s="80"/>
      <c r="I97" s="80"/>
      <c r="J97" s="80"/>
      <c r="K97" s="80"/>
      <c r="L97" s="80"/>
      <c r="M97" s="80"/>
      <c r="N97" s="80"/>
      <c r="O97" s="80"/>
      <c r="P97" s="80"/>
      <c r="Q97" s="80"/>
      <c r="R97" s="80"/>
      <c r="S97" s="80"/>
      <c r="T97" s="80"/>
      <c r="U97" s="81"/>
    </row>
    <row r="98" spans="1:21" ht="97.5" customHeight="1" x14ac:dyDescent="0.15">
      <c r="B98" s="78"/>
      <c r="C98" s="60" t="s">
        <v>35</v>
      </c>
      <c r="D98" s="85" t="s">
        <v>176</v>
      </c>
      <c r="E98" s="86"/>
      <c r="F98" s="86"/>
      <c r="G98" s="86"/>
      <c r="H98" s="86"/>
      <c r="I98" s="86"/>
      <c r="J98" s="86"/>
      <c r="K98" s="86"/>
      <c r="L98" s="86"/>
      <c r="M98" s="86"/>
      <c r="N98" s="86"/>
      <c r="O98" s="86"/>
      <c r="P98" s="86"/>
      <c r="Q98" s="86"/>
      <c r="R98" s="86"/>
      <c r="S98" s="86"/>
      <c r="T98" s="86"/>
      <c r="U98" s="87"/>
    </row>
    <row r="99" spans="1:21" ht="97.5" customHeight="1" x14ac:dyDescent="0.15">
      <c r="B99" s="76" t="s">
        <v>60</v>
      </c>
      <c r="C99" s="59" t="s">
        <v>61</v>
      </c>
      <c r="D99" s="79" t="s">
        <v>177</v>
      </c>
      <c r="E99" s="80"/>
      <c r="F99" s="80"/>
      <c r="G99" s="80"/>
      <c r="H99" s="80"/>
      <c r="I99" s="80"/>
      <c r="J99" s="80"/>
      <c r="K99" s="80"/>
      <c r="L99" s="80"/>
      <c r="M99" s="80"/>
      <c r="N99" s="80"/>
      <c r="O99" s="80"/>
      <c r="P99" s="80"/>
      <c r="Q99" s="80"/>
      <c r="R99" s="80"/>
      <c r="S99" s="80"/>
      <c r="T99" s="80"/>
      <c r="U99" s="81"/>
    </row>
    <row r="100" spans="1:21" ht="97.5" customHeight="1" x14ac:dyDescent="0.15">
      <c r="B100" s="77"/>
      <c r="C100" s="62" t="s">
        <v>38</v>
      </c>
      <c r="D100" s="79" t="s">
        <v>174</v>
      </c>
      <c r="E100" s="80"/>
      <c r="F100" s="80"/>
      <c r="G100" s="80"/>
      <c r="H100" s="80"/>
      <c r="I100" s="80"/>
      <c r="J100" s="80"/>
      <c r="K100" s="80"/>
      <c r="L100" s="80"/>
      <c r="M100" s="80"/>
      <c r="N100" s="80"/>
      <c r="O100" s="80"/>
      <c r="P100" s="80"/>
      <c r="Q100" s="80"/>
      <c r="R100" s="80"/>
      <c r="S100" s="80"/>
      <c r="T100" s="80"/>
      <c r="U100" s="81"/>
    </row>
    <row r="101" spans="1:21" ht="97.5" customHeight="1" x14ac:dyDescent="0.15">
      <c r="B101" s="78"/>
      <c r="C101" s="61" t="s">
        <v>39</v>
      </c>
      <c r="D101" s="79" t="s">
        <v>178</v>
      </c>
      <c r="E101" s="80"/>
      <c r="F101" s="80"/>
      <c r="G101" s="80"/>
      <c r="H101" s="80"/>
      <c r="I101" s="80"/>
      <c r="J101" s="80"/>
      <c r="K101" s="80"/>
      <c r="L101" s="80"/>
      <c r="M101" s="80"/>
      <c r="N101" s="80"/>
      <c r="O101" s="80"/>
      <c r="P101" s="80"/>
      <c r="Q101" s="80"/>
      <c r="R101" s="80"/>
      <c r="S101" s="80"/>
      <c r="T101" s="80"/>
      <c r="U101" s="81"/>
    </row>
    <row r="102" spans="1:21" ht="6" customHeight="1" x14ac:dyDescent="0.15"/>
    <row r="103" spans="1:21" ht="18.75" customHeight="1" x14ac:dyDescent="0.15">
      <c r="A103" s="1" t="s">
        <v>62</v>
      </c>
    </row>
    <row r="104" spans="1:21" ht="81.75" customHeight="1" x14ac:dyDescent="0.15">
      <c r="B104" s="82" t="s">
        <v>63</v>
      </c>
      <c r="C104" s="83"/>
      <c r="D104" s="83"/>
      <c r="E104" s="83"/>
      <c r="F104" s="83"/>
      <c r="G104" s="83"/>
      <c r="H104" s="83"/>
      <c r="I104" s="83"/>
      <c r="J104" s="83"/>
      <c r="K104" s="83"/>
      <c r="L104" s="83"/>
      <c r="M104" s="83"/>
      <c r="N104" s="83"/>
      <c r="O104" s="83"/>
      <c r="P104" s="83"/>
      <c r="Q104" s="83"/>
      <c r="R104" s="83"/>
      <c r="S104" s="83"/>
      <c r="T104" s="83"/>
      <c r="U104" s="84"/>
    </row>
    <row r="107" spans="1:21" ht="18" customHeight="1" x14ac:dyDescent="0.15"/>
  </sheetData>
  <mergeCells count="144">
    <mergeCell ref="T1:U1"/>
    <mergeCell ref="C2:J2"/>
    <mergeCell ref="C3:J3"/>
    <mergeCell ref="A5:U5"/>
    <mergeCell ref="L7:U7"/>
    <mergeCell ref="B11:U12"/>
    <mergeCell ref="B28:F28"/>
    <mergeCell ref="K28:Q28"/>
    <mergeCell ref="B29:F29"/>
    <mergeCell ref="K29:Q29"/>
    <mergeCell ref="B30:F30"/>
    <mergeCell ref="K30:Q30"/>
    <mergeCell ref="B15:U20"/>
    <mergeCell ref="N22:U22"/>
    <mergeCell ref="A24:U25"/>
    <mergeCell ref="B26:F26"/>
    <mergeCell ref="K26:Q26"/>
    <mergeCell ref="B27:F27"/>
    <mergeCell ref="K27:Q27"/>
    <mergeCell ref="A35:U36"/>
    <mergeCell ref="B37:F37"/>
    <mergeCell ref="K37:Q37"/>
    <mergeCell ref="B38:F38"/>
    <mergeCell ref="K38:Q38"/>
    <mergeCell ref="B39:F39"/>
    <mergeCell ref="K39:Q39"/>
    <mergeCell ref="B31:F31"/>
    <mergeCell ref="K31:Q31"/>
    <mergeCell ref="B32:F32"/>
    <mergeCell ref="K32:Q32"/>
    <mergeCell ref="B33:F33"/>
    <mergeCell ref="K33:Q33"/>
    <mergeCell ref="B43:F43"/>
    <mergeCell ref="K43:Q43"/>
    <mergeCell ref="B44:F44"/>
    <mergeCell ref="K44:Q44"/>
    <mergeCell ref="A46:U47"/>
    <mergeCell ref="B48:F48"/>
    <mergeCell ref="K48:Q48"/>
    <mergeCell ref="B40:F40"/>
    <mergeCell ref="K40:Q40"/>
    <mergeCell ref="B41:F41"/>
    <mergeCell ref="K41:Q41"/>
    <mergeCell ref="B42:F42"/>
    <mergeCell ref="K42:Q42"/>
    <mergeCell ref="B52:F52"/>
    <mergeCell ref="K52:Q52"/>
    <mergeCell ref="B53:F53"/>
    <mergeCell ref="K53:Q53"/>
    <mergeCell ref="B54:F54"/>
    <mergeCell ref="K54:Q54"/>
    <mergeCell ref="B49:F49"/>
    <mergeCell ref="K49:Q49"/>
    <mergeCell ref="B50:F50"/>
    <mergeCell ref="K50:Q50"/>
    <mergeCell ref="B51:F51"/>
    <mergeCell ref="K51:Q51"/>
    <mergeCell ref="B61:F61"/>
    <mergeCell ref="K61:Q61"/>
    <mergeCell ref="B62:F62"/>
    <mergeCell ref="K62:Q62"/>
    <mergeCell ref="B63:F63"/>
    <mergeCell ref="K63:Q63"/>
    <mergeCell ref="B55:F55"/>
    <mergeCell ref="K55:Q55"/>
    <mergeCell ref="A57:U58"/>
    <mergeCell ref="B59:F59"/>
    <mergeCell ref="K59:Q59"/>
    <mergeCell ref="B60:F60"/>
    <mergeCell ref="K60:Q60"/>
    <mergeCell ref="A68:U69"/>
    <mergeCell ref="B70:E70"/>
    <mergeCell ref="K70:P70"/>
    <mergeCell ref="B71:E71"/>
    <mergeCell ref="K71:P71"/>
    <mergeCell ref="B72:E72"/>
    <mergeCell ref="K72:P72"/>
    <mergeCell ref="B64:F64"/>
    <mergeCell ref="K64:Q64"/>
    <mergeCell ref="B65:F65"/>
    <mergeCell ref="K65:Q65"/>
    <mergeCell ref="B66:F66"/>
    <mergeCell ref="K66:Q66"/>
    <mergeCell ref="B76:E76"/>
    <mergeCell ref="K76:P76"/>
    <mergeCell ref="B77:E77"/>
    <mergeCell ref="K77:P77"/>
    <mergeCell ref="B80:F80"/>
    <mergeCell ref="G80:J80"/>
    <mergeCell ref="K80:Q80"/>
    <mergeCell ref="B73:E73"/>
    <mergeCell ref="K73:P73"/>
    <mergeCell ref="B74:E74"/>
    <mergeCell ref="K74:P74"/>
    <mergeCell ref="B75:E75"/>
    <mergeCell ref="K75:P75"/>
    <mergeCell ref="R80:U80"/>
    <mergeCell ref="B81:F81"/>
    <mergeCell ref="G81:J81"/>
    <mergeCell ref="K81:Q81"/>
    <mergeCell ref="R81:U81"/>
    <mergeCell ref="B82:F82"/>
    <mergeCell ref="G82:J82"/>
    <mergeCell ref="K82:Q82"/>
    <mergeCell ref="R82:U82"/>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B91:B92"/>
    <mergeCell ref="D91:U91"/>
    <mergeCell ref="D92:U92"/>
    <mergeCell ref="B93:B94"/>
    <mergeCell ref="D93:U93"/>
    <mergeCell ref="D94:U94"/>
    <mergeCell ref="B87:F87"/>
    <mergeCell ref="G87:J87"/>
    <mergeCell ref="K87:Q87"/>
    <mergeCell ref="R87:U87"/>
    <mergeCell ref="B90:C90"/>
    <mergeCell ref="D90:U90"/>
    <mergeCell ref="B99:B101"/>
    <mergeCell ref="D99:U99"/>
    <mergeCell ref="D100:U100"/>
    <mergeCell ref="D101:U101"/>
    <mergeCell ref="B104:U104"/>
    <mergeCell ref="B95:B96"/>
    <mergeCell ref="D95:U95"/>
    <mergeCell ref="D96:U96"/>
    <mergeCell ref="B97:B98"/>
    <mergeCell ref="D97:U97"/>
    <mergeCell ref="D98:U98"/>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H27:J33 S27:U33 R71:U77 S38:U44 H38:J44 S49:U55 H49:J55 S60:U66 H60:J66 G71:J77" xr:uid="{517922E2-C445-4EC1-887A-6EC1B53CA0EF}">
      <formula1>"○"</formula1>
    </dataValidation>
    <dataValidation type="list" allowBlank="1" showInputMessage="1" showErrorMessage="1" sqref="U34 U45 E34:H34 E45:H45" xr:uid="{BB6B014F-00FF-4DAF-AEE4-233CD46354D6}">
      <formula1>"全学開講,一部開講"</formula1>
    </dataValidation>
    <dataValidation type="list" allowBlank="1" showInputMessage="1" showErrorMessage="1" sqref="L14 L7:U7" xr:uid="{929112C6-5353-4725-8B63-47AFEB1EF849}">
      <formula1>"学部・学科によって、修了要件は相違する,学部・学科によって、修了要件は相違しない"</formula1>
    </dataValidation>
    <dataValidation type="list" allowBlank="1" showInputMessage="1" showErrorMessage="1" sqref="G88:J88 R88:U88" xr:uid="{AE4E183E-03BF-4A94-8E4B-1900348F689C}">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D91DFE40-C1BF-4E9C-842D-F78DB6FC0C70}">
      <formula1>$X$16:$X$18</formula1>
    </dataValidation>
    <dataValidation type="list" allowBlank="1" showInputMessage="1" showErrorMessage="1" sqref="G81:J87 R81:U87" xr:uid="{15B8E005-4DCE-4B18-8CFE-74E86B1BA3E3}">
      <formula1>$AA$80:$AA$89</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A3024-90E7-455F-93C9-92E514EB7958}">
  <sheetPr>
    <pageSetUpPr fitToPage="1"/>
  </sheetPr>
  <dimension ref="A1:U33"/>
  <sheetViews>
    <sheetView view="pageBreakPreview" zoomScaleNormal="100" zoomScaleSheetLayoutView="100" workbookViewId="0">
      <selection activeCell="G16" sqref="G16"/>
    </sheetView>
  </sheetViews>
  <sheetFormatPr defaultColWidth="9" defaultRowHeight="18.75" customHeight="1" x14ac:dyDescent="0.15"/>
  <cols>
    <col min="1" max="1" width="2.75" style="1" customWidth="1"/>
    <col min="2" max="2" width="27.875" style="1" customWidth="1"/>
    <col min="3" max="18" width="6.125" style="1" customWidth="1"/>
    <col min="19" max="19" width="6.625" style="1" customWidth="1"/>
    <col min="20" max="16384" width="9" style="1"/>
  </cols>
  <sheetData>
    <row r="1" spans="1:21" ht="18" customHeight="1" x14ac:dyDescent="0.15">
      <c r="S1" s="1" t="s">
        <v>64</v>
      </c>
    </row>
    <row r="2" spans="1:21" ht="18" customHeight="1" x14ac:dyDescent="0.15">
      <c r="Q2" s="144" t="str">
        <f>'様式１　プログラムを構成する授業科目（申請用）'!C2</f>
        <v>北海道教育大学</v>
      </c>
      <c r="R2" s="144"/>
      <c r="S2" s="144"/>
    </row>
    <row r="3" spans="1:21" ht="18" customHeight="1" x14ac:dyDescent="0.15">
      <c r="A3" s="134" t="s">
        <v>65</v>
      </c>
      <c r="B3" s="134"/>
      <c r="C3" s="134"/>
      <c r="D3" s="134"/>
      <c r="E3" s="134"/>
      <c r="F3" s="134"/>
      <c r="G3" s="134"/>
      <c r="H3" s="134"/>
      <c r="I3" s="134"/>
      <c r="J3" s="134"/>
      <c r="K3" s="134"/>
      <c r="L3" s="134"/>
      <c r="M3" s="134"/>
      <c r="N3" s="134"/>
      <c r="O3" s="134"/>
      <c r="P3" s="134"/>
      <c r="Q3" s="134"/>
      <c r="R3" s="134"/>
      <c r="S3" s="134"/>
    </row>
    <row r="4" spans="1:21" ht="7.5" customHeight="1" x14ac:dyDescent="0.15">
      <c r="A4" s="3"/>
      <c r="B4" s="3"/>
      <c r="C4" s="3"/>
      <c r="D4" s="3"/>
      <c r="E4" s="3"/>
      <c r="F4" s="3"/>
      <c r="G4" s="3"/>
      <c r="H4" s="3"/>
      <c r="I4" s="3"/>
      <c r="J4" s="3"/>
      <c r="K4" s="3"/>
      <c r="L4" s="3"/>
      <c r="M4" s="3"/>
      <c r="N4" s="3"/>
      <c r="O4" s="3"/>
      <c r="P4" s="3"/>
      <c r="Q4" s="3"/>
      <c r="R4" s="3"/>
      <c r="S4" s="3"/>
    </row>
    <row r="5" spans="1:21" ht="18" customHeight="1" x14ac:dyDescent="0.15">
      <c r="A5" s="1" t="s">
        <v>66</v>
      </c>
      <c r="C5" s="131" t="s">
        <v>67</v>
      </c>
      <c r="D5" s="133"/>
      <c r="E5" s="10" t="s">
        <v>68</v>
      </c>
      <c r="F5" s="3"/>
      <c r="G5" s="3"/>
      <c r="H5" s="3"/>
      <c r="I5" s="3"/>
      <c r="J5" s="3"/>
      <c r="K5" s="3"/>
      <c r="L5" s="3"/>
      <c r="M5" s="3"/>
      <c r="N5" s="3"/>
      <c r="O5" s="3"/>
      <c r="P5" s="3"/>
      <c r="Q5" s="3"/>
      <c r="R5" s="6"/>
      <c r="S5" s="6"/>
    </row>
    <row r="6" spans="1:21" ht="7.15" customHeight="1" x14ac:dyDescent="0.15">
      <c r="C6" s="56"/>
      <c r="D6" s="56"/>
      <c r="E6" s="3"/>
      <c r="F6" s="3"/>
      <c r="G6" s="3"/>
      <c r="H6" s="3"/>
      <c r="I6" s="3"/>
      <c r="J6" s="3"/>
      <c r="K6" s="3"/>
      <c r="L6" s="3"/>
      <c r="M6" s="3"/>
      <c r="N6" s="3"/>
      <c r="O6" s="3"/>
      <c r="P6" s="3"/>
      <c r="Q6" s="3"/>
      <c r="R6" s="6"/>
      <c r="S6" s="6"/>
    </row>
    <row r="7" spans="1:21" ht="18" customHeight="1" x14ac:dyDescent="0.15">
      <c r="A7" s="1" t="s">
        <v>69</v>
      </c>
      <c r="C7" s="56"/>
      <c r="D7" s="56"/>
      <c r="E7" s="3" t="s">
        <v>70</v>
      </c>
      <c r="F7" s="69">
        <v>2278</v>
      </c>
      <c r="G7" s="10" t="s">
        <v>71</v>
      </c>
      <c r="H7" s="3" t="s">
        <v>72</v>
      </c>
      <c r="I7" s="69">
        <v>2777</v>
      </c>
      <c r="J7" s="10" t="s">
        <v>71</v>
      </c>
      <c r="K7" s="18" t="s">
        <v>73</v>
      </c>
      <c r="L7" s="3" t="s">
        <v>74</v>
      </c>
      <c r="M7" s="69">
        <f>F7+I7</f>
        <v>5055</v>
      </c>
      <c r="N7" s="3" t="s">
        <v>75</v>
      </c>
      <c r="O7" s="10" t="s">
        <v>76</v>
      </c>
      <c r="P7" s="3"/>
      <c r="Q7" s="3"/>
      <c r="R7" s="6"/>
      <c r="S7" s="6"/>
    </row>
    <row r="8" spans="1:21" ht="17.45" customHeight="1" x14ac:dyDescent="0.15">
      <c r="A8" s="3"/>
      <c r="B8" s="71" t="s">
        <v>77</v>
      </c>
      <c r="C8" s="3"/>
      <c r="D8" s="3"/>
      <c r="E8" s="3"/>
      <c r="F8" s="3"/>
      <c r="G8" s="3"/>
      <c r="H8" s="3"/>
      <c r="I8" s="3"/>
      <c r="J8" s="3"/>
      <c r="K8" s="3"/>
      <c r="L8" s="3"/>
      <c r="M8" s="3"/>
      <c r="N8" s="3"/>
      <c r="O8" s="3"/>
      <c r="P8" s="3"/>
      <c r="Q8" s="3"/>
      <c r="R8" s="3"/>
      <c r="S8" s="3"/>
    </row>
    <row r="9" spans="1:21" ht="18" customHeight="1" x14ac:dyDescent="0.15">
      <c r="A9" s="1" t="s">
        <v>78</v>
      </c>
      <c r="B9" s="3"/>
      <c r="C9" s="3"/>
      <c r="D9" s="3"/>
      <c r="E9" s="3"/>
      <c r="F9" s="3"/>
      <c r="G9" s="3"/>
      <c r="H9" s="3"/>
      <c r="I9" s="3"/>
      <c r="J9" s="3"/>
      <c r="K9" s="3"/>
      <c r="L9" s="3"/>
      <c r="M9" s="3"/>
      <c r="N9" s="3"/>
      <c r="O9" s="3"/>
      <c r="P9" s="3"/>
      <c r="Q9" s="3"/>
      <c r="R9" s="3"/>
      <c r="S9" s="3"/>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45" t="s">
        <v>79</v>
      </c>
      <c r="C11" s="147" t="s">
        <v>80</v>
      </c>
      <c r="D11" s="149" t="s">
        <v>81</v>
      </c>
      <c r="E11" s="151" t="s">
        <v>82</v>
      </c>
      <c r="F11" s="153" t="s">
        <v>83</v>
      </c>
      <c r="G11" s="153"/>
      <c r="H11" s="153" t="s">
        <v>84</v>
      </c>
      <c r="I11" s="153"/>
      <c r="J11" s="153" t="s">
        <v>85</v>
      </c>
      <c r="K11" s="153"/>
      <c r="L11" s="153" t="s">
        <v>86</v>
      </c>
      <c r="M11" s="153"/>
      <c r="N11" s="153" t="s">
        <v>87</v>
      </c>
      <c r="O11" s="153"/>
      <c r="P11" s="153" t="s">
        <v>88</v>
      </c>
      <c r="Q11" s="153"/>
      <c r="R11" s="154" t="s">
        <v>89</v>
      </c>
      <c r="S11" s="156" t="s">
        <v>90</v>
      </c>
      <c r="U11" s="2"/>
    </row>
    <row r="12" spans="1:21" ht="16.899999999999999" customHeight="1" x14ac:dyDescent="0.15">
      <c r="B12" s="146"/>
      <c r="C12" s="148"/>
      <c r="D12" s="150"/>
      <c r="E12" s="152"/>
      <c r="F12" s="65" t="s">
        <v>91</v>
      </c>
      <c r="G12" s="65" t="s">
        <v>92</v>
      </c>
      <c r="H12" s="65" t="s">
        <v>91</v>
      </c>
      <c r="I12" s="65" t="s">
        <v>92</v>
      </c>
      <c r="J12" s="65" t="s">
        <v>91</v>
      </c>
      <c r="K12" s="65" t="s">
        <v>92</v>
      </c>
      <c r="L12" s="65" t="s">
        <v>91</v>
      </c>
      <c r="M12" s="65" t="s">
        <v>92</v>
      </c>
      <c r="N12" s="65" t="s">
        <v>91</v>
      </c>
      <c r="O12" s="65" t="s">
        <v>92</v>
      </c>
      <c r="P12" s="65" t="s">
        <v>91</v>
      </c>
      <c r="Q12" s="66" t="s">
        <v>92</v>
      </c>
      <c r="R12" s="155"/>
      <c r="S12" s="157"/>
      <c r="U12" s="2"/>
    </row>
    <row r="13" spans="1:21" ht="18" customHeight="1" x14ac:dyDescent="0.15">
      <c r="A13" s="6"/>
      <c r="B13" s="72" t="s">
        <v>187</v>
      </c>
      <c r="C13" s="33">
        <v>3063</v>
      </c>
      <c r="D13" s="34">
        <v>720</v>
      </c>
      <c r="E13" s="35">
        <v>2880</v>
      </c>
      <c r="F13" s="35">
        <v>14</v>
      </c>
      <c r="G13" s="74">
        <v>14</v>
      </c>
      <c r="H13" s="35"/>
      <c r="I13" s="35"/>
      <c r="J13" s="35"/>
      <c r="K13" s="35"/>
      <c r="L13" s="35"/>
      <c r="M13" s="35"/>
      <c r="N13" s="35"/>
      <c r="O13" s="35"/>
      <c r="P13" s="35"/>
      <c r="Q13" s="45"/>
      <c r="R13" s="34">
        <f t="shared" ref="R13:R32" si="0">F13+H13+J13+L13+N13+P13</f>
        <v>14</v>
      </c>
      <c r="S13" s="46">
        <f t="shared" ref="S13:S33" si="1">R13/E13</f>
        <v>4.8611111111111112E-3</v>
      </c>
    </row>
    <row r="14" spans="1:21" ht="18" customHeight="1" x14ac:dyDescent="0.15">
      <c r="A14" s="6"/>
      <c r="B14" s="11" t="s">
        <v>185</v>
      </c>
      <c r="C14" s="36">
        <v>1232</v>
      </c>
      <c r="D14" s="37">
        <v>285</v>
      </c>
      <c r="E14" s="38">
        <v>1140</v>
      </c>
      <c r="F14" s="39">
        <v>7</v>
      </c>
      <c r="G14" s="39">
        <v>6</v>
      </c>
      <c r="H14" s="39"/>
      <c r="I14" s="39"/>
      <c r="J14" s="39"/>
      <c r="K14" s="39"/>
      <c r="L14" s="39"/>
      <c r="M14" s="39"/>
      <c r="N14" s="39"/>
      <c r="O14" s="39"/>
      <c r="P14" s="39"/>
      <c r="Q14" s="36"/>
      <c r="R14" s="37">
        <f t="shared" si="0"/>
        <v>7</v>
      </c>
      <c r="S14" s="16">
        <f t="shared" si="1"/>
        <v>6.1403508771929825E-3</v>
      </c>
    </row>
    <row r="15" spans="1:21" ht="18" customHeight="1" x14ac:dyDescent="0.15">
      <c r="A15" s="6"/>
      <c r="B15" s="11" t="s">
        <v>186</v>
      </c>
      <c r="C15" s="36">
        <v>760</v>
      </c>
      <c r="D15" s="37">
        <v>180</v>
      </c>
      <c r="E15" s="38">
        <v>720</v>
      </c>
      <c r="F15" s="39">
        <v>0</v>
      </c>
      <c r="G15" s="39">
        <v>0</v>
      </c>
      <c r="H15" s="39"/>
      <c r="I15" s="39"/>
      <c r="J15" s="39"/>
      <c r="K15" s="39"/>
      <c r="L15" s="39"/>
      <c r="M15" s="39"/>
      <c r="N15" s="39"/>
      <c r="O15" s="39"/>
      <c r="P15" s="39"/>
      <c r="Q15" s="36"/>
      <c r="R15" s="37">
        <f t="shared" si="0"/>
        <v>0</v>
      </c>
      <c r="S15" s="8">
        <f t="shared" si="1"/>
        <v>0</v>
      </c>
    </row>
    <row r="16" spans="1:21" ht="18" customHeight="1" x14ac:dyDescent="0.15">
      <c r="A16" s="6"/>
      <c r="B16" s="11"/>
      <c r="C16" s="36"/>
      <c r="D16" s="37"/>
      <c r="E16" s="38"/>
      <c r="F16" s="39"/>
      <c r="G16" s="39"/>
      <c r="H16" s="39"/>
      <c r="I16" s="39"/>
      <c r="J16" s="39"/>
      <c r="K16" s="39"/>
      <c r="L16" s="39"/>
      <c r="M16" s="39"/>
      <c r="N16" s="39"/>
      <c r="O16" s="39"/>
      <c r="P16" s="39"/>
      <c r="Q16" s="36"/>
      <c r="R16" s="37">
        <f t="shared" si="0"/>
        <v>0</v>
      </c>
      <c r="S16" s="8" t="e">
        <f t="shared" si="1"/>
        <v>#DIV/0!</v>
      </c>
    </row>
    <row r="17" spans="1:19" ht="18" customHeight="1" x14ac:dyDescent="0.15">
      <c r="A17" s="6"/>
      <c r="B17" s="11"/>
      <c r="C17" s="36"/>
      <c r="D17" s="37"/>
      <c r="E17" s="38"/>
      <c r="F17" s="39"/>
      <c r="G17" s="39"/>
      <c r="H17" s="39"/>
      <c r="I17" s="39"/>
      <c r="J17" s="39"/>
      <c r="K17" s="39"/>
      <c r="L17" s="39"/>
      <c r="M17" s="39"/>
      <c r="N17" s="39"/>
      <c r="O17" s="39"/>
      <c r="P17" s="39"/>
      <c r="Q17" s="36"/>
      <c r="R17" s="37">
        <f t="shared" si="0"/>
        <v>0</v>
      </c>
      <c r="S17" s="8" t="e">
        <f t="shared" si="1"/>
        <v>#DIV/0!</v>
      </c>
    </row>
    <row r="18" spans="1:19" ht="18" customHeight="1" x14ac:dyDescent="0.15">
      <c r="A18" s="6"/>
      <c r="B18" s="11"/>
      <c r="C18" s="36"/>
      <c r="D18" s="37"/>
      <c r="E18" s="38"/>
      <c r="F18" s="39"/>
      <c r="G18" s="39"/>
      <c r="H18" s="39"/>
      <c r="I18" s="39"/>
      <c r="J18" s="39"/>
      <c r="K18" s="39"/>
      <c r="L18" s="39"/>
      <c r="M18" s="39"/>
      <c r="N18" s="39"/>
      <c r="O18" s="39"/>
      <c r="P18" s="39"/>
      <c r="Q18" s="36"/>
      <c r="R18" s="37">
        <f t="shared" si="0"/>
        <v>0</v>
      </c>
      <c r="S18" s="8" t="e">
        <f t="shared" si="1"/>
        <v>#DIV/0!</v>
      </c>
    </row>
    <row r="19" spans="1:19" ht="18" customHeight="1" x14ac:dyDescent="0.15">
      <c r="A19" s="6"/>
      <c r="B19" s="11"/>
      <c r="C19" s="36"/>
      <c r="D19" s="37"/>
      <c r="E19" s="38"/>
      <c r="F19" s="39"/>
      <c r="G19" s="39"/>
      <c r="H19" s="39"/>
      <c r="I19" s="39"/>
      <c r="J19" s="39"/>
      <c r="K19" s="39"/>
      <c r="L19" s="39"/>
      <c r="M19" s="39"/>
      <c r="N19" s="39"/>
      <c r="O19" s="39"/>
      <c r="P19" s="39"/>
      <c r="Q19" s="36"/>
      <c r="R19" s="37">
        <f t="shared" si="0"/>
        <v>0</v>
      </c>
      <c r="S19" s="8" t="e">
        <f t="shared" si="1"/>
        <v>#DIV/0!</v>
      </c>
    </row>
    <row r="20" spans="1:19" ht="18" customHeight="1" x14ac:dyDescent="0.15">
      <c r="A20" s="6"/>
      <c r="B20" s="11"/>
      <c r="C20" s="36"/>
      <c r="D20" s="37"/>
      <c r="E20" s="38"/>
      <c r="F20" s="39"/>
      <c r="G20" s="39"/>
      <c r="H20" s="39"/>
      <c r="I20" s="39"/>
      <c r="J20" s="39"/>
      <c r="K20" s="39"/>
      <c r="L20" s="39"/>
      <c r="M20" s="39"/>
      <c r="N20" s="39"/>
      <c r="O20" s="39"/>
      <c r="P20" s="39"/>
      <c r="Q20" s="36"/>
      <c r="R20" s="37">
        <f t="shared" si="0"/>
        <v>0</v>
      </c>
      <c r="S20" s="8" t="e">
        <f t="shared" si="1"/>
        <v>#DIV/0!</v>
      </c>
    </row>
    <row r="21" spans="1:19" ht="18" customHeight="1" x14ac:dyDescent="0.15">
      <c r="A21" s="6"/>
      <c r="B21" s="11"/>
      <c r="C21" s="36"/>
      <c r="D21" s="37"/>
      <c r="E21" s="38"/>
      <c r="F21" s="39"/>
      <c r="G21" s="39"/>
      <c r="H21" s="39"/>
      <c r="I21" s="39"/>
      <c r="J21" s="39"/>
      <c r="K21" s="39"/>
      <c r="L21" s="39"/>
      <c r="M21" s="39"/>
      <c r="N21" s="39"/>
      <c r="O21" s="39"/>
      <c r="P21" s="39"/>
      <c r="Q21" s="36"/>
      <c r="R21" s="37">
        <f t="shared" si="0"/>
        <v>0</v>
      </c>
      <c r="S21" s="8" t="e">
        <f t="shared" si="1"/>
        <v>#DIV/0!</v>
      </c>
    </row>
    <row r="22" spans="1:19" ht="18" customHeight="1" x14ac:dyDescent="0.15">
      <c r="A22" s="6"/>
      <c r="B22" s="11"/>
      <c r="C22" s="36"/>
      <c r="D22" s="37"/>
      <c r="E22" s="38"/>
      <c r="F22" s="39"/>
      <c r="G22" s="39"/>
      <c r="H22" s="39"/>
      <c r="I22" s="39"/>
      <c r="J22" s="39"/>
      <c r="K22" s="39"/>
      <c r="L22" s="39"/>
      <c r="M22" s="39"/>
      <c r="N22" s="39"/>
      <c r="O22" s="39"/>
      <c r="P22" s="39"/>
      <c r="Q22" s="36"/>
      <c r="R22" s="37">
        <f t="shared" si="0"/>
        <v>0</v>
      </c>
      <c r="S22" s="8" t="e">
        <f t="shared" si="1"/>
        <v>#DIV/0!</v>
      </c>
    </row>
    <row r="23" spans="1:19" ht="18" customHeight="1" x14ac:dyDescent="0.15">
      <c r="A23" s="6"/>
      <c r="B23" s="11"/>
      <c r="C23" s="36"/>
      <c r="D23" s="37"/>
      <c r="E23" s="38"/>
      <c r="F23" s="39"/>
      <c r="G23" s="39"/>
      <c r="H23" s="39"/>
      <c r="I23" s="39"/>
      <c r="J23" s="39"/>
      <c r="K23" s="39"/>
      <c r="L23" s="39"/>
      <c r="M23" s="39"/>
      <c r="N23" s="39"/>
      <c r="O23" s="39"/>
      <c r="P23" s="39"/>
      <c r="Q23" s="36"/>
      <c r="R23" s="37">
        <f t="shared" si="0"/>
        <v>0</v>
      </c>
      <c r="S23" s="8" t="e">
        <f t="shared" si="1"/>
        <v>#DIV/0!</v>
      </c>
    </row>
    <row r="24" spans="1:19" ht="18" customHeight="1" x14ac:dyDescent="0.15">
      <c r="A24" s="6"/>
      <c r="B24" s="11"/>
      <c r="C24" s="36"/>
      <c r="D24" s="37"/>
      <c r="E24" s="38"/>
      <c r="F24" s="39"/>
      <c r="G24" s="39"/>
      <c r="H24" s="39"/>
      <c r="I24" s="39"/>
      <c r="J24" s="39"/>
      <c r="K24" s="39"/>
      <c r="L24" s="39"/>
      <c r="M24" s="39"/>
      <c r="N24" s="39"/>
      <c r="O24" s="39"/>
      <c r="P24" s="39"/>
      <c r="Q24" s="36"/>
      <c r="R24" s="37">
        <f t="shared" si="0"/>
        <v>0</v>
      </c>
      <c r="S24" s="8" t="e">
        <f t="shared" si="1"/>
        <v>#DIV/0!</v>
      </c>
    </row>
    <row r="25" spans="1:19" ht="18" customHeight="1" x14ac:dyDescent="0.15">
      <c r="A25" s="6"/>
      <c r="B25" s="11"/>
      <c r="C25" s="36"/>
      <c r="D25" s="37"/>
      <c r="E25" s="38"/>
      <c r="F25" s="39"/>
      <c r="G25" s="39"/>
      <c r="H25" s="39"/>
      <c r="I25" s="39"/>
      <c r="J25" s="39"/>
      <c r="K25" s="39"/>
      <c r="L25" s="39"/>
      <c r="M25" s="39"/>
      <c r="N25" s="39"/>
      <c r="O25" s="39"/>
      <c r="P25" s="39"/>
      <c r="Q25" s="36"/>
      <c r="R25" s="37">
        <f t="shared" si="0"/>
        <v>0</v>
      </c>
      <c r="S25" s="8" t="e">
        <f t="shared" si="1"/>
        <v>#DIV/0!</v>
      </c>
    </row>
    <row r="26" spans="1:19" ht="18" customHeight="1" x14ac:dyDescent="0.15">
      <c r="A26" s="6"/>
      <c r="B26" s="11"/>
      <c r="C26" s="36"/>
      <c r="D26" s="37"/>
      <c r="E26" s="38"/>
      <c r="F26" s="39"/>
      <c r="G26" s="39"/>
      <c r="H26" s="39"/>
      <c r="I26" s="39"/>
      <c r="J26" s="39"/>
      <c r="K26" s="39"/>
      <c r="L26" s="39"/>
      <c r="M26" s="39"/>
      <c r="N26" s="39"/>
      <c r="O26" s="39"/>
      <c r="P26" s="39"/>
      <c r="Q26" s="36"/>
      <c r="R26" s="37">
        <f t="shared" si="0"/>
        <v>0</v>
      </c>
      <c r="S26" s="8" t="e">
        <f t="shared" si="1"/>
        <v>#DIV/0!</v>
      </c>
    </row>
    <row r="27" spans="1:19" ht="18" customHeight="1" x14ac:dyDescent="0.15">
      <c r="A27" s="6"/>
      <c r="B27" s="11"/>
      <c r="C27" s="36"/>
      <c r="D27" s="37"/>
      <c r="E27" s="38"/>
      <c r="F27" s="39"/>
      <c r="G27" s="39"/>
      <c r="H27" s="39"/>
      <c r="I27" s="39"/>
      <c r="J27" s="39"/>
      <c r="K27" s="39"/>
      <c r="L27" s="39"/>
      <c r="M27" s="39"/>
      <c r="N27" s="39"/>
      <c r="O27" s="39"/>
      <c r="P27" s="39"/>
      <c r="Q27" s="36"/>
      <c r="R27" s="37">
        <f t="shared" si="0"/>
        <v>0</v>
      </c>
      <c r="S27" s="8" t="e">
        <f t="shared" si="1"/>
        <v>#DIV/0!</v>
      </c>
    </row>
    <row r="28" spans="1:19" ht="18" customHeight="1" x14ac:dyDescent="0.15">
      <c r="A28" s="6"/>
      <c r="B28" s="11"/>
      <c r="C28" s="36"/>
      <c r="D28" s="37"/>
      <c r="E28" s="38"/>
      <c r="F28" s="39"/>
      <c r="G28" s="39"/>
      <c r="H28" s="39"/>
      <c r="I28" s="39"/>
      <c r="J28" s="39"/>
      <c r="K28" s="39"/>
      <c r="L28" s="39"/>
      <c r="M28" s="39"/>
      <c r="N28" s="39"/>
      <c r="O28" s="39"/>
      <c r="P28" s="39"/>
      <c r="Q28" s="36"/>
      <c r="R28" s="37">
        <f t="shared" si="0"/>
        <v>0</v>
      </c>
      <c r="S28" s="8" t="e">
        <f t="shared" si="1"/>
        <v>#DIV/0!</v>
      </c>
    </row>
    <row r="29" spans="1:19" ht="18" customHeight="1" x14ac:dyDescent="0.15">
      <c r="A29" s="6"/>
      <c r="B29" s="11"/>
      <c r="C29" s="36"/>
      <c r="D29" s="37"/>
      <c r="E29" s="38"/>
      <c r="F29" s="39"/>
      <c r="G29" s="39"/>
      <c r="H29" s="39"/>
      <c r="I29" s="39"/>
      <c r="J29" s="39"/>
      <c r="K29" s="39"/>
      <c r="L29" s="39"/>
      <c r="M29" s="39"/>
      <c r="N29" s="39"/>
      <c r="O29" s="39"/>
      <c r="P29" s="39"/>
      <c r="Q29" s="36"/>
      <c r="R29" s="37">
        <f t="shared" si="0"/>
        <v>0</v>
      </c>
      <c r="S29" s="8" t="e">
        <f t="shared" si="1"/>
        <v>#DIV/0!</v>
      </c>
    </row>
    <row r="30" spans="1:19" ht="18" customHeight="1" x14ac:dyDescent="0.15">
      <c r="A30" s="6"/>
      <c r="B30" s="11"/>
      <c r="C30" s="36"/>
      <c r="D30" s="40"/>
      <c r="E30" s="38"/>
      <c r="F30" s="39"/>
      <c r="G30" s="39"/>
      <c r="H30" s="39"/>
      <c r="I30" s="39"/>
      <c r="J30" s="39"/>
      <c r="K30" s="39"/>
      <c r="L30" s="39"/>
      <c r="M30" s="39"/>
      <c r="N30" s="39"/>
      <c r="O30" s="39"/>
      <c r="P30" s="39"/>
      <c r="Q30" s="36"/>
      <c r="R30" s="40">
        <f t="shared" si="0"/>
        <v>0</v>
      </c>
      <c r="S30" s="8" t="e">
        <f t="shared" si="1"/>
        <v>#DIV/0!</v>
      </c>
    </row>
    <row r="31" spans="1:19" ht="18" customHeight="1" x14ac:dyDescent="0.15">
      <c r="A31" s="6"/>
      <c r="B31" s="11"/>
      <c r="C31" s="36"/>
      <c r="D31" s="40"/>
      <c r="E31" s="38"/>
      <c r="F31" s="39"/>
      <c r="G31" s="39"/>
      <c r="H31" s="39"/>
      <c r="I31" s="39"/>
      <c r="J31" s="39"/>
      <c r="K31" s="39"/>
      <c r="L31" s="39"/>
      <c r="M31" s="39"/>
      <c r="N31" s="39"/>
      <c r="O31" s="39"/>
      <c r="P31" s="39"/>
      <c r="Q31" s="36"/>
      <c r="R31" s="40">
        <f t="shared" si="0"/>
        <v>0</v>
      </c>
      <c r="S31" s="8" t="e">
        <f t="shared" si="1"/>
        <v>#DIV/0!</v>
      </c>
    </row>
    <row r="32" spans="1:19" ht="18" customHeight="1" thickBot="1" x14ac:dyDescent="0.2">
      <c r="A32" s="6"/>
      <c r="B32" s="12"/>
      <c r="C32" s="33"/>
      <c r="D32" s="41"/>
      <c r="E32" s="35"/>
      <c r="F32" s="35"/>
      <c r="G32" s="35"/>
      <c r="H32" s="35"/>
      <c r="I32" s="35"/>
      <c r="J32" s="35"/>
      <c r="K32" s="35"/>
      <c r="L32" s="35"/>
      <c r="M32" s="35"/>
      <c r="N32" s="35"/>
      <c r="O32" s="35"/>
      <c r="P32" s="35"/>
      <c r="Q32" s="36"/>
      <c r="R32" s="41">
        <f t="shared" si="0"/>
        <v>0</v>
      </c>
      <c r="S32" s="7" t="e">
        <f t="shared" si="1"/>
        <v>#DIV/0!</v>
      </c>
    </row>
    <row r="33" spans="2:19" ht="18" customHeight="1" thickTop="1" x14ac:dyDescent="0.15">
      <c r="B33" s="13" t="s">
        <v>93</v>
      </c>
      <c r="C33" s="42">
        <f t="shared" ref="C33:R33" si="2">SUM(C13:C32)</f>
        <v>5055</v>
      </c>
      <c r="D33" s="43">
        <f t="shared" si="2"/>
        <v>1185</v>
      </c>
      <c r="E33" s="44">
        <f t="shared" si="2"/>
        <v>4740</v>
      </c>
      <c r="F33" s="44">
        <f t="shared" si="2"/>
        <v>21</v>
      </c>
      <c r="G33" s="44">
        <f t="shared" si="2"/>
        <v>20</v>
      </c>
      <c r="H33" s="44">
        <f t="shared" si="2"/>
        <v>0</v>
      </c>
      <c r="I33" s="44">
        <f t="shared" si="2"/>
        <v>0</v>
      </c>
      <c r="J33" s="44">
        <f t="shared" si="2"/>
        <v>0</v>
      </c>
      <c r="K33" s="44">
        <f t="shared" si="2"/>
        <v>0</v>
      </c>
      <c r="L33" s="44">
        <f t="shared" si="2"/>
        <v>0</v>
      </c>
      <c r="M33" s="44">
        <f t="shared" si="2"/>
        <v>0</v>
      </c>
      <c r="N33" s="44">
        <f t="shared" si="2"/>
        <v>0</v>
      </c>
      <c r="O33" s="44">
        <f t="shared" si="2"/>
        <v>0</v>
      </c>
      <c r="P33" s="44">
        <f t="shared" si="2"/>
        <v>0</v>
      </c>
      <c r="Q33" s="42">
        <f t="shared" si="2"/>
        <v>0</v>
      </c>
      <c r="R33" s="43">
        <f t="shared" si="2"/>
        <v>21</v>
      </c>
      <c r="S33" s="9">
        <f t="shared" si="1"/>
        <v>4.4303797468354432E-3</v>
      </c>
    </row>
  </sheetData>
  <mergeCells count="15">
    <mergeCell ref="Q2:S2"/>
    <mergeCell ref="A3:S3"/>
    <mergeCell ref="C5:D5"/>
    <mergeCell ref="B11:B12"/>
    <mergeCell ref="C11:C12"/>
    <mergeCell ref="D11:D12"/>
    <mergeCell ref="E11:E12"/>
    <mergeCell ref="F11:G11"/>
    <mergeCell ref="H11:I11"/>
    <mergeCell ref="J11:K11"/>
    <mergeCell ref="L11:M11"/>
    <mergeCell ref="N11:O11"/>
    <mergeCell ref="P11:Q11"/>
    <mergeCell ref="R11:R12"/>
    <mergeCell ref="S11:S12"/>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E1F84-9EF7-4FA4-A023-88E92692AC42}">
  <sheetPr>
    <pageSetUpPr fitToPage="1"/>
  </sheetPr>
  <dimension ref="A1:O134"/>
  <sheetViews>
    <sheetView showZeros="0" view="pageBreakPreview" zoomScaleNormal="100" zoomScaleSheetLayoutView="100" workbookViewId="0">
      <selection activeCell="B35" sqref="B35:I46"/>
    </sheetView>
  </sheetViews>
  <sheetFormatPr defaultColWidth="11.375" defaultRowHeight="18.75" customHeight="1" x14ac:dyDescent="0.15"/>
  <cols>
    <col min="1" max="1" width="2.75" style="19"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19" t="s">
        <v>94</v>
      </c>
      <c r="I1" s="18" t="s">
        <v>95</v>
      </c>
    </row>
    <row r="2" spans="1:9" ht="18.75" customHeight="1" x14ac:dyDescent="0.15">
      <c r="G2" s="18" t="s">
        <v>2</v>
      </c>
      <c r="H2" s="96" t="str">
        <f>'様式１　プログラムを構成する授業科目（申請用）'!C2</f>
        <v>北海道教育大学</v>
      </c>
      <c r="I2" s="98"/>
    </row>
    <row r="3" spans="1:9" ht="18.75" customHeight="1" x14ac:dyDescent="0.15">
      <c r="G3" s="18"/>
      <c r="H3" s="10"/>
      <c r="I3" s="10"/>
    </row>
    <row r="4" spans="1:9" ht="18.600000000000001" customHeight="1" x14ac:dyDescent="0.15">
      <c r="A4" s="134" t="s">
        <v>96</v>
      </c>
      <c r="B4" s="134"/>
      <c r="C4" s="134"/>
      <c r="D4" s="134"/>
      <c r="E4" s="134"/>
      <c r="F4" s="134"/>
      <c r="G4" s="134"/>
      <c r="H4" s="134"/>
      <c r="I4" s="134"/>
    </row>
    <row r="5" spans="1:9" ht="13.15" customHeight="1" x14ac:dyDescent="0.15">
      <c r="B5" s="3"/>
      <c r="C5" s="3"/>
      <c r="D5" s="3"/>
      <c r="E5" s="3"/>
      <c r="F5" s="3"/>
      <c r="G5" s="3"/>
      <c r="H5" s="3"/>
      <c r="I5" s="3"/>
    </row>
    <row r="6" spans="1:9" ht="18" customHeight="1" x14ac:dyDescent="0.15">
      <c r="A6" s="1" t="s">
        <v>97</v>
      </c>
      <c r="B6" s="10" t="s">
        <v>98</v>
      </c>
      <c r="C6" s="199" t="s">
        <v>99</v>
      </c>
      <c r="D6" s="199"/>
      <c r="E6" s="17">
        <v>346</v>
      </c>
      <c r="F6" s="3" t="s">
        <v>75</v>
      </c>
      <c r="G6" s="3" t="s">
        <v>100</v>
      </c>
      <c r="H6" s="17">
        <v>718</v>
      </c>
      <c r="I6" s="10" t="s">
        <v>75</v>
      </c>
    </row>
    <row r="7" spans="1:9" ht="12" customHeight="1" x14ac:dyDescent="0.15">
      <c r="C7" s="2"/>
      <c r="D7" s="2"/>
      <c r="E7" s="2"/>
      <c r="F7" s="2"/>
      <c r="G7" s="2"/>
      <c r="H7" s="2"/>
      <c r="I7" s="20"/>
    </row>
    <row r="8" spans="1:9" ht="18" customHeight="1" x14ac:dyDescent="0.15">
      <c r="A8" s="1" t="s">
        <v>101</v>
      </c>
      <c r="B8" s="10" t="s">
        <v>102</v>
      </c>
      <c r="E8" s="3"/>
      <c r="F8" s="3"/>
      <c r="G8" s="3"/>
      <c r="H8" s="17">
        <v>1</v>
      </c>
      <c r="I8" s="10" t="s">
        <v>75</v>
      </c>
    </row>
    <row r="9" spans="1:9" ht="9" customHeight="1" x14ac:dyDescent="0.15">
      <c r="B9" s="3"/>
      <c r="C9" s="3"/>
      <c r="D9" s="3"/>
      <c r="E9" s="3"/>
      <c r="F9" s="3"/>
      <c r="G9" s="3"/>
      <c r="H9" s="3"/>
      <c r="I9" s="3"/>
    </row>
    <row r="10" spans="1:9" ht="18" customHeight="1" x14ac:dyDescent="0.15">
      <c r="A10" s="1" t="s">
        <v>103</v>
      </c>
      <c r="B10" s="10" t="s">
        <v>104</v>
      </c>
      <c r="C10" s="3"/>
      <c r="D10" s="3"/>
      <c r="E10" s="3"/>
      <c r="F10" s="3"/>
      <c r="G10" s="3"/>
      <c r="H10" s="3"/>
      <c r="I10" s="3"/>
    </row>
    <row r="11" spans="1:9" ht="18" customHeight="1" x14ac:dyDescent="0.15">
      <c r="B11" s="18" t="s">
        <v>105</v>
      </c>
      <c r="C11" s="200" t="s">
        <v>106</v>
      </c>
      <c r="D11" s="201"/>
      <c r="E11" s="202"/>
      <c r="F11" s="20"/>
      <c r="G11" s="18" t="s">
        <v>107</v>
      </c>
      <c r="H11" s="200" t="s">
        <v>108</v>
      </c>
      <c r="I11" s="202"/>
    </row>
    <row r="12" spans="1:9" ht="10.15" customHeight="1" x14ac:dyDescent="0.15">
      <c r="B12" s="18"/>
      <c r="C12" s="10"/>
      <c r="D12" s="20"/>
      <c r="E12" s="20"/>
      <c r="F12" s="20"/>
      <c r="G12" s="18"/>
      <c r="H12" s="10"/>
      <c r="I12" s="20"/>
    </row>
    <row r="13" spans="1:9" ht="18" customHeight="1" x14ac:dyDescent="0.15">
      <c r="A13" s="1" t="s">
        <v>109</v>
      </c>
      <c r="B13" s="10" t="s">
        <v>110</v>
      </c>
      <c r="C13" s="3"/>
      <c r="D13" s="3"/>
      <c r="E13" s="3"/>
      <c r="F13" s="3"/>
      <c r="G13" s="3"/>
      <c r="H13" s="3"/>
      <c r="I13" s="3"/>
    </row>
    <row r="14" spans="1:9" ht="18" customHeight="1" x14ac:dyDescent="0.15">
      <c r="B14" s="200" t="s">
        <v>111</v>
      </c>
      <c r="C14" s="203"/>
      <c r="D14" s="203"/>
      <c r="E14" s="203"/>
      <c r="F14" s="203"/>
      <c r="G14" s="203"/>
      <c r="H14" s="203"/>
      <c r="I14" s="204"/>
    </row>
    <row r="15" spans="1:9" ht="9" customHeight="1" x14ac:dyDescent="0.15">
      <c r="B15" s="3"/>
      <c r="C15" s="3"/>
      <c r="D15" s="3"/>
      <c r="E15" s="3"/>
      <c r="F15" s="3"/>
      <c r="G15" s="3"/>
      <c r="H15" s="3"/>
      <c r="I15" s="3"/>
    </row>
    <row r="16" spans="1:9" ht="18" customHeight="1" x14ac:dyDescent="0.15">
      <c r="B16" s="18" t="s">
        <v>105</v>
      </c>
      <c r="C16" s="200" t="s">
        <v>112</v>
      </c>
      <c r="D16" s="201"/>
      <c r="E16" s="202"/>
      <c r="F16" s="20"/>
      <c r="G16" s="18" t="s">
        <v>107</v>
      </c>
      <c r="H16" s="205" t="s">
        <v>113</v>
      </c>
      <c r="I16" s="206"/>
    </row>
    <row r="17" spans="1:9" ht="18" customHeight="1" x14ac:dyDescent="0.15">
      <c r="B17" s="3"/>
      <c r="C17" s="3"/>
      <c r="D17" s="3"/>
      <c r="E17" s="3"/>
      <c r="F17" s="3"/>
      <c r="G17" s="3"/>
      <c r="H17" s="3"/>
      <c r="I17" s="3"/>
    </row>
    <row r="18" spans="1:9" ht="18.75" customHeight="1" x14ac:dyDescent="0.15">
      <c r="A18" s="1" t="s">
        <v>114</v>
      </c>
      <c r="B18" s="1" t="s">
        <v>115</v>
      </c>
      <c r="I18" s="3"/>
    </row>
    <row r="19" spans="1:9" ht="32.25" customHeight="1" x14ac:dyDescent="0.15">
      <c r="A19" s="1"/>
      <c r="B19" s="82" t="s">
        <v>116</v>
      </c>
      <c r="C19" s="207"/>
      <c r="D19" s="207"/>
      <c r="E19" s="207"/>
      <c r="F19" s="207"/>
      <c r="G19" s="207"/>
      <c r="H19" s="207"/>
      <c r="I19" s="208"/>
    </row>
    <row r="20" spans="1:9" ht="7.5" customHeight="1" x14ac:dyDescent="0.15">
      <c r="B20" s="3"/>
      <c r="C20" s="3"/>
      <c r="D20" s="3"/>
      <c r="E20" s="3"/>
      <c r="F20" s="3"/>
      <c r="G20" s="3"/>
      <c r="H20" s="3"/>
      <c r="I20" s="3"/>
    </row>
    <row r="21" spans="1:9" ht="18.75" customHeight="1" x14ac:dyDescent="0.15">
      <c r="A21" s="1" t="s">
        <v>117</v>
      </c>
      <c r="B21" s="1" t="s">
        <v>118</v>
      </c>
    </row>
    <row r="22" spans="1:9" ht="18.75" customHeight="1" x14ac:dyDescent="0.15">
      <c r="A22" s="14"/>
      <c r="B22" s="158" t="s">
        <v>119</v>
      </c>
      <c r="C22" s="159"/>
      <c r="D22" s="159"/>
      <c r="E22" s="159"/>
      <c r="F22" s="159"/>
      <c r="G22" s="159"/>
      <c r="H22" s="159"/>
      <c r="I22" s="160"/>
    </row>
    <row r="23" spans="1:9" ht="18.75" customHeight="1" x14ac:dyDescent="0.15">
      <c r="A23" s="14"/>
      <c r="B23" s="209"/>
      <c r="C23" s="210"/>
      <c r="D23" s="210"/>
      <c r="E23" s="210"/>
      <c r="F23" s="210"/>
      <c r="G23" s="210"/>
      <c r="H23" s="210"/>
      <c r="I23" s="163"/>
    </row>
    <row r="24" spans="1:9" ht="18.75" customHeight="1" x14ac:dyDescent="0.15">
      <c r="A24" s="14"/>
      <c r="B24" s="209"/>
      <c r="C24" s="210"/>
      <c r="D24" s="210"/>
      <c r="E24" s="210"/>
      <c r="F24" s="210"/>
      <c r="G24" s="210"/>
      <c r="H24" s="210"/>
      <c r="I24" s="163"/>
    </row>
    <row r="25" spans="1:9" ht="18.75" customHeight="1" x14ac:dyDescent="0.15">
      <c r="A25" s="14"/>
      <c r="B25" s="209"/>
      <c r="C25" s="210"/>
      <c r="D25" s="210"/>
      <c r="E25" s="210"/>
      <c r="F25" s="210"/>
      <c r="G25" s="210"/>
      <c r="H25" s="210"/>
      <c r="I25" s="163"/>
    </row>
    <row r="26" spans="1:9" ht="18.75" customHeight="1" x14ac:dyDescent="0.15">
      <c r="A26" s="14"/>
      <c r="B26" s="209"/>
      <c r="C26" s="210"/>
      <c r="D26" s="210"/>
      <c r="E26" s="210"/>
      <c r="F26" s="210"/>
      <c r="G26" s="210"/>
      <c r="H26" s="210"/>
      <c r="I26" s="163"/>
    </row>
    <row r="27" spans="1:9" ht="18.75" customHeight="1" x14ac:dyDescent="0.15">
      <c r="A27" s="14"/>
      <c r="B27" s="209"/>
      <c r="C27" s="210"/>
      <c r="D27" s="210"/>
      <c r="E27" s="210"/>
      <c r="F27" s="210"/>
      <c r="G27" s="210"/>
      <c r="H27" s="210"/>
      <c r="I27" s="163"/>
    </row>
    <row r="28" spans="1:9" ht="18.75" customHeight="1" x14ac:dyDescent="0.15">
      <c r="A28" s="14"/>
      <c r="B28" s="209"/>
      <c r="C28" s="210"/>
      <c r="D28" s="210"/>
      <c r="E28" s="210"/>
      <c r="F28" s="210"/>
      <c r="G28" s="210"/>
      <c r="H28" s="210"/>
      <c r="I28" s="163"/>
    </row>
    <row r="29" spans="1:9" ht="18.75" customHeight="1" x14ac:dyDescent="0.15">
      <c r="A29" s="14"/>
      <c r="B29" s="209"/>
      <c r="C29" s="210"/>
      <c r="D29" s="210"/>
      <c r="E29" s="210"/>
      <c r="F29" s="210"/>
      <c r="G29" s="210"/>
      <c r="H29" s="210"/>
      <c r="I29" s="163"/>
    </row>
    <row r="30" spans="1:9" ht="18.75" customHeight="1" x14ac:dyDescent="0.15">
      <c r="A30" s="14"/>
      <c r="B30" s="161"/>
      <c r="C30" s="162"/>
      <c r="D30" s="162"/>
      <c r="E30" s="162"/>
      <c r="F30" s="162"/>
      <c r="G30" s="162"/>
      <c r="H30" s="162"/>
      <c r="I30" s="163"/>
    </row>
    <row r="31" spans="1:9" ht="18.75" customHeight="1" x14ac:dyDescent="0.15">
      <c r="A31" s="14"/>
      <c r="B31" s="161"/>
      <c r="C31" s="162"/>
      <c r="D31" s="162"/>
      <c r="E31" s="162"/>
      <c r="F31" s="162"/>
      <c r="G31" s="162"/>
      <c r="H31" s="162"/>
      <c r="I31" s="163"/>
    </row>
    <row r="32" spans="1:9" ht="18.75" customHeight="1" x14ac:dyDescent="0.15">
      <c r="A32" s="14"/>
      <c r="B32" s="164"/>
      <c r="C32" s="165"/>
      <c r="D32" s="165"/>
      <c r="E32" s="165"/>
      <c r="F32" s="165"/>
      <c r="G32" s="165"/>
      <c r="H32" s="165"/>
      <c r="I32" s="166"/>
    </row>
    <row r="33" spans="1:9" ht="7.5" customHeight="1" x14ac:dyDescent="0.15">
      <c r="A33" s="14"/>
      <c r="B33" s="14"/>
      <c r="C33" s="14"/>
      <c r="D33" s="14"/>
      <c r="E33" s="14"/>
      <c r="F33" s="14"/>
      <c r="G33" s="14"/>
      <c r="H33" s="14"/>
      <c r="I33" s="14"/>
    </row>
    <row r="34" spans="1:9" ht="18.75" customHeight="1" x14ac:dyDescent="0.15">
      <c r="A34" s="15" t="s">
        <v>120</v>
      </c>
      <c r="B34" s="15" t="s">
        <v>121</v>
      </c>
      <c r="C34" s="10"/>
      <c r="D34" s="15"/>
      <c r="E34" s="15"/>
      <c r="F34" s="15"/>
      <c r="G34" s="15"/>
      <c r="H34" s="15"/>
      <c r="I34" s="15"/>
    </row>
    <row r="35" spans="1:9" ht="18.75" customHeight="1" x14ac:dyDescent="0.15">
      <c r="A35" s="14"/>
      <c r="B35" s="158" t="s">
        <v>184</v>
      </c>
      <c r="C35" s="159"/>
      <c r="D35" s="159"/>
      <c r="E35" s="159"/>
      <c r="F35" s="159"/>
      <c r="G35" s="159"/>
      <c r="H35" s="159"/>
      <c r="I35" s="160"/>
    </row>
    <row r="36" spans="1:9" ht="18.75" customHeight="1" x14ac:dyDescent="0.15">
      <c r="A36" s="14"/>
      <c r="B36" s="161"/>
      <c r="C36" s="162"/>
      <c r="D36" s="162"/>
      <c r="E36" s="162"/>
      <c r="F36" s="162"/>
      <c r="G36" s="162"/>
      <c r="H36" s="162"/>
      <c r="I36" s="163"/>
    </row>
    <row r="37" spans="1:9" ht="18.75" customHeight="1" x14ac:dyDescent="0.15">
      <c r="A37" s="14"/>
      <c r="B37" s="161"/>
      <c r="C37" s="162"/>
      <c r="D37" s="162"/>
      <c r="E37" s="162"/>
      <c r="F37" s="162"/>
      <c r="G37" s="162"/>
      <c r="H37" s="162"/>
      <c r="I37" s="163"/>
    </row>
    <row r="38" spans="1:9" ht="18.75" customHeight="1" x14ac:dyDescent="0.15">
      <c r="A38" s="14"/>
      <c r="B38" s="161"/>
      <c r="C38" s="162"/>
      <c r="D38" s="162"/>
      <c r="E38" s="162"/>
      <c r="F38" s="162"/>
      <c r="G38" s="162"/>
      <c r="H38" s="162"/>
      <c r="I38" s="163"/>
    </row>
    <row r="39" spans="1:9" ht="18.75" customHeight="1" x14ac:dyDescent="0.15">
      <c r="A39" s="14"/>
      <c r="B39" s="161"/>
      <c r="C39" s="162"/>
      <c r="D39" s="162"/>
      <c r="E39" s="162"/>
      <c r="F39" s="162"/>
      <c r="G39" s="162"/>
      <c r="H39" s="162"/>
      <c r="I39" s="163"/>
    </row>
    <row r="40" spans="1:9" ht="18.75" customHeight="1" x14ac:dyDescent="0.15">
      <c r="A40" s="14"/>
      <c r="B40" s="161"/>
      <c r="C40" s="162"/>
      <c r="D40" s="162"/>
      <c r="E40" s="162"/>
      <c r="F40" s="162"/>
      <c r="G40" s="162"/>
      <c r="H40" s="162"/>
      <c r="I40" s="163"/>
    </row>
    <row r="41" spans="1:9" ht="18.75" customHeight="1" x14ac:dyDescent="0.15">
      <c r="A41" s="14"/>
      <c r="B41" s="161"/>
      <c r="C41" s="162"/>
      <c r="D41" s="162"/>
      <c r="E41" s="162"/>
      <c r="F41" s="162"/>
      <c r="G41" s="162"/>
      <c r="H41" s="162"/>
      <c r="I41" s="163"/>
    </row>
    <row r="42" spans="1:9" ht="18.75" customHeight="1" x14ac:dyDescent="0.15">
      <c r="A42" s="14"/>
      <c r="B42" s="161"/>
      <c r="C42" s="162"/>
      <c r="D42" s="162"/>
      <c r="E42" s="162"/>
      <c r="F42" s="162"/>
      <c r="G42" s="162"/>
      <c r="H42" s="162"/>
      <c r="I42" s="163"/>
    </row>
    <row r="43" spans="1:9" ht="18.75" customHeight="1" x14ac:dyDescent="0.15">
      <c r="A43" s="14"/>
      <c r="B43" s="161"/>
      <c r="C43" s="162"/>
      <c r="D43" s="162"/>
      <c r="E43" s="162"/>
      <c r="F43" s="162"/>
      <c r="G43" s="162"/>
      <c r="H43" s="162"/>
      <c r="I43" s="163"/>
    </row>
    <row r="44" spans="1:9" ht="18.75" customHeight="1" x14ac:dyDescent="0.15">
      <c r="A44" s="14"/>
      <c r="B44" s="161"/>
      <c r="C44" s="162"/>
      <c r="D44" s="162"/>
      <c r="E44" s="162"/>
      <c r="F44" s="162"/>
      <c r="G44" s="162"/>
      <c r="H44" s="162"/>
      <c r="I44" s="163"/>
    </row>
    <row r="45" spans="1:9" ht="18.75" customHeight="1" x14ac:dyDescent="0.15">
      <c r="A45" s="14"/>
      <c r="B45" s="161"/>
      <c r="C45" s="162"/>
      <c r="D45" s="162"/>
      <c r="E45" s="162"/>
      <c r="F45" s="162"/>
      <c r="G45" s="162"/>
      <c r="H45" s="162"/>
      <c r="I45" s="163"/>
    </row>
    <row r="46" spans="1:9" ht="18.75" customHeight="1" x14ac:dyDescent="0.15">
      <c r="A46" s="14"/>
      <c r="B46" s="164"/>
      <c r="C46" s="165"/>
      <c r="D46" s="165"/>
      <c r="E46" s="165"/>
      <c r="F46" s="165"/>
      <c r="G46" s="165"/>
      <c r="H46" s="165"/>
      <c r="I46" s="166"/>
    </row>
    <row r="47" spans="1:9" ht="7.5" customHeight="1" x14ac:dyDescent="0.15">
      <c r="A47" s="4"/>
      <c r="B47" s="4"/>
      <c r="C47" s="4"/>
      <c r="D47" s="4"/>
      <c r="E47" s="4"/>
      <c r="F47" s="4"/>
      <c r="G47" s="4"/>
      <c r="H47" s="4"/>
      <c r="I47" s="4"/>
    </row>
    <row r="48" spans="1:9" ht="18.75" customHeight="1" x14ac:dyDescent="0.15">
      <c r="A48" s="1" t="s">
        <v>122</v>
      </c>
      <c r="B48" s="1" t="s">
        <v>123</v>
      </c>
    </row>
    <row r="49" spans="1:15" s="3" customFormat="1" ht="18.75" customHeight="1" x14ac:dyDescent="0.15">
      <c r="B49" s="67" t="s">
        <v>124</v>
      </c>
      <c r="C49" s="198">
        <f>'様式２ 履修者等数の実績（申請用）'!S13</f>
        <v>4.8611111111111112E-3</v>
      </c>
      <c r="D49" s="198"/>
      <c r="E49" s="67" t="s">
        <v>125</v>
      </c>
      <c r="F49" s="198">
        <v>0.2</v>
      </c>
      <c r="G49" s="198"/>
      <c r="H49" s="67" t="s">
        <v>126</v>
      </c>
      <c r="I49" s="73">
        <v>0.4</v>
      </c>
      <c r="J49" s="1"/>
      <c r="M49" s="1"/>
      <c r="N49" s="21"/>
    </row>
    <row r="50" spans="1:15" s="3" customFormat="1" ht="18.75" customHeight="1" x14ac:dyDescent="0.15">
      <c r="B50" s="68" t="s">
        <v>127</v>
      </c>
      <c r="C50" s="169">
        <v>0.6</v>
      </c>
      <c r="D50" s="169"/>
      <c r="E50" s="68" t="s">
        <v>128</v>
      </c>
      <c r="F50" s="169">
        <v>0.8</v>
      </c>
      <c r="G50" s="169"/>
      <c r="H50" s="68" t="s">
        <v>129</v>
      </c>
      <c r="I50" s="75">
        <f>'様式２ 履修者等数の実績（申請用）'!E33</f>
        <v>4740</v>
      </c>
      <c r="J50" s="1"/>
      <c r="M50" s="1"/>
      <c r="N50" s="21"/>
    </row>
    <row r="51" spans="1:15" ht="18.75" customHeight="1" x14ac:dyDescent="0.15">
      <c r="A51" s="1"/>
      <c r="B51" s="170" t="s">
        <v>130</v>
      </c>
      <c r="C51" s="171"/>
      <c r="D51" s="171"/>
      <c r="E51" s="171"/>
      <c r="F51" s="171"/>
      <c r="G51" s="171"/>
      <c r="H51" s="171"/>
      <c r="I51" s="172"/>
      <c r="N51" s="21"/>
      <c r="O51" s="3"/>
    </row>
    <row r="52" spans="1:15" ht="18.75" customHeight="1" x14ac:dyDescent="0.15">
      <c r="A52" s="1"/>
      <c r="B52" s="173" t="s">
        <v>179</v>
      </c>
      <c r="C52" s="174"/>
      <c r="D52" s="174"/>
      <c r="E52" s="174"/>
      <c r="F52" s="174"/>
      <c r="G52" s="174"/>
      <c r="H52" s="174"/>
      <c r="I52" s="175"/>
      <c r="N52" s="21"/>
      <c r="O52" s="3"/>
    </row>
    <row r="53" spans="1:15" ht="18.75" customHeight="1" x14ac:dyDescent="0.15">
      <c r="A53" s="1"/>
      <c r="B53" s="176"/>
      <c r="C53" s="177"/>
      <c r="D53" s="177"/>
      <c r="E53" s="177"/>
      <c r="F53" s="177"/>
      <c r="G53" s="177"/>
      <c r="H53" s="177"/>
      <c r="I53" s="178"/>
      <c r="N53" s="21"/>
      <c r="O53" s="3"/>
    </row>
    <row r="54" spans="1:15" ht="18.75" customHeight="1" x14ac:dyDescent="0.15">
      <c r="A54" s="1"/>
      <c r="B54" s="176"/>
      <c r="C54" s="177"/>
      <c r="D54" s="177"/>
      <c r="E54" s="177"/>
      <c r="F54" s="177"/>
      <c r="G54" s="177"/>
      <c r="H54" s="177"/>
      <c r="I54" s="178"/>
    </row>
    <row r="55" spans="1:15" ht="18.75" customHeight="1" x14ac:dyDescent="0.15">
      <c r="A55" s="1"/>
      <c r="B55" s="176"/>
      <c r="C55" s="177"/>
      <c r="D55" s="177"/>
      <c r="E55" s="177"/>
      <c r="F55" s="177"/>
      <c r="G55" s="177"/>
      <c r="H55" s="177"/>
      <c r="I55" s="178"/>
    </row>
    <row r="56" spans="1:15" ht="18.75" customHeight="1" x14ac:dyDescent="0.15">
      <c r="A56" s="1"/>
      <c r="B56" s="176"/>
      <c r="C56" s="177"/>
      <c r="D56" s="177"/>
      <c r="E56" s="177"/>
      <c r="F56" s="177"/>
      <c r="G56" s="177"/>
      <c r="H56" s="177"/>
      <c r="I56" s="178"/>
    </row>
    <row r="57" spans="1:15" ht="18.75" customHeight="1" x14ac:dyDescent="0.15">
      <c r="A57" s="1"/>
      <c r="B57" s="176"/>
      <c r="C57" s="177"/>
      <c r="D57" s="177"/>
      <c r="E57" s="177"/>
      <c r="F57" s="177"/>
      <c r="G57" s="177"/>
      <c r="H57" s="177"/>
      <c r="I57" s="178"/>
    </row>
    <row r="58" spans="1:15" ht="18.75" customHeight="1" x14ac:dyDescent="0.15">
      <c r="A58" s="1"/>
      <c r="B58" s="176"/>
      <c r="C58" s="177"/>
      <c r="D58" s="177"/>
      <c r="E58" s="177"/>
      <c r="F58" s="177"/>
      <c r="G58" s="177"/>
      <c r="H58" s="177"/>
      <c r="I58" s="178"/>
    </row>
    <row r="59" spans="1:15" ht="18.75" customHeight="1" x14ac:dyDescent="0.15">
      <c r="A59" s="1"/>
      <c r="B59" s="176"/>
      <c r="C59" s="177"/>
      <c r="D59" s="177"/>
      <c r="E59" s="177"/>
      <c r="F59" s="177"/>
      <c r="G59" s="177"/>
      <c r="H59" s="177"/>
      <c r="I59" s="178"/>
    </row>
    <row r="60" spans="1:15" ht="18.75" customHeight="1" x14ac:dyDescent="0.15">
      <c r="A60" s="1"/>
      <c r="B60" s="176"/>
      <c r="C60" s="177"/>
      <c r="D60" s="177"/>
      <c r="E60" s="177"/>
      <c r="F60" s="177"/>
      <c r="G60" s="177"/>
      <c r="H60" s="177"/>
      <c r="I60" s="178"/>
    </row>
    <row r="61" spans="1:15" ht="18.75" customHeight="1" x14ac:dyDescent="0.15">
      <c r="A61" s="1"/>
      <c r="B61" s="176"/>
      <c r="C61" s="177"/>
      <c r="D61" s="177"/>
      <c r="E61" s="177"/>
      <c r="F61" s="177"/>
      <c r="G61" s="177"/>
      <c r="H61" s="177"/>
      <c r="I61" s="178"/>
    </row>
    <row r="62" spans="1:15" ht="18.75" customHeight="1" x14ac:dyDescent="0.15">
      <c r="A62" s="1"/>
      <c r="B62" s="176"/>
      <c r="C62" s="177"/>
      <c r="D62" s="177"/>
      <c r="E62" s="177"/>
      <c r="F62" s="177"/>
      <c r="G62" s="177"/>
      <c r="H62" s="177"/>
      <c r="I62" s="178"/>
    </row>
    <row r="63" spans="1:15" ht="18.75" customHeight="1" x14ac:dyDescent="0.15">
      <c r="A63" s="1"/>
      <c r="B63" s="179"/>
      <c r="C63" s="180"/>
      <c r="D63" s="180"/>
      <c r="E63" s="180"/>
      <c r="F63" s="180"/>
      <c r="G63" s="180"/>
      <c r="H63" s="180"/>
      <c r="I63" s="181"/>
    </row>
    <row r="64" spans="1:15" ht="7.5" customHeight="1" x14ac:dyDescent="0.15">
      <c r="A64" s="14"/>
      <c r="B64" s="14"/>
      <c r="C64" s="14"/>
      <c r="D64" s="14"/>
      <c r="E64" s="14"/>
      <c r="F64" s="14"/>
      <c r="G64" s="14"/>
      <c r="H64" s="14"/>
      <c r="I64" s="14"/>
    </row>
    <row r="65" spans="1:9" ht="18.75" customHeight="1" x14ac:dyDescent="0.15">
      <c r="A65" s="15" t="s">
        <v>131</v>
      </c>
      <c r="B65" s="1" t="s">
        <v>132</v>
      </c>
      <c r="I65" s="15"/>
    </row>
    <row r="66" spans="1:9" ht="18.75" customHeight="1" x14ac:dyDescent="0.15">
      <c r="A66" s="4"/>
      <c r="B66" s="182" t="s">
        <v>180</v>
      </c>
      <c r="C66" s="183"/>
      <c r="D66" s="183"/>
      <c r="E66" s="183"/>
      <c r="F66" s="183"/>
      <c r="G66" s="183"/>
      <c r="H66" s="183"/>
      <c r="I66" s="184"/>
    </row>
    <row r="67" spans="1:9" ht="18.75" customHeight="1" x14ac:dyDescent="0.15">
      <c r="A67" s="4"/>
      <c r="B67" s="185"/>
      <c r="C67" s="186"/>
      <c r="D67" s="186"/>
      <c r="E67" s="186"/>
      <c r="F67" s="186"/>
      <c r="G67" s="186"/>
      <c r="H67" s="186"/>
      <c r="I67" s="187"/>
    </row>
    <row r="68" spans="1:9" ht="18.75" customHeight="1" x14ac:dyDescent="0.15">
      <c r="A68" s="4"/>
      <c r="B68" s="185"/>
      <c r="C68" s="186"/>
      <c r="D68" s="186"/>
      <c r="E68" s="186"/>
      <c r="F68" s="186"/>
      <c r="G68" s="186"/>
      <c r="H68" s="186"/>
      <c r="I68" s="187"/>
    </row>
    <row r="69" spans="1:9" ht="18.75" customHeight="1" x14ac:dyDescent="0.15">
      <c r="A69" s="4"/>
      <c r="B69" s="185"/>
      <c r="C69" s="186"/>
      <c r="D69" s="186"/>
      <c r="E69" s="186"/>
      <c r="F69" s="186"/>
      <c r="G69" s="186"/>
      <c r="H69" s="186"/>
      <c r="I69" s="187"/>
    </row>
    <row r="70" spans="1:9" ht="18.75" customHeight="1" x14ac:dyDescent="0.15">
      <c r="A70" s="4"/>
      <c r="B70" s="185"/>
      <c r="C70" s="186"/>
      <c r="D70" s="186"/>
      <c r="E70" s="186"/>
      <c r="F70" s="186"/>
      <c r="G70" s="186"/>
      <c r="H70" s="186"/>
      <c r="I70" s="187"/>
    </row>
    <row r="71" spans="1:9" ht="18.75" customHeight="1" x14ac:dyDescent="0.15">
      <c r="A71" s="4"/>
      <c r="B71" s="185"/>
      <c r="C71" s="186"/>
      <c r="D71" s="186"/>
      <c r="E71" s="186"/>
      <c r="F71" s="186"/>
      <c r="G71" s="186"/>
      <c r="H71" s="186"/>
      <c r="I71" s="187"/>
    </row>
    <row r="72" spans="1:9" ht="18.75" customHeight="1" x14ac:dyDescent="0.15">
      <c r="A72" s="4"/>
      <c r="B72" s="185"/>
      <c r="C72" s="186"/>
      <c r="D72" s="186"/>
      <c r="E72" s="186"/>
      <c r="F72" s="186"/>
      <c r="G72" s="186"/>
      <c r="H72" s="186"/>
      <c r="I72" s="187"/>
    </row>
    <row r="73" spans="1:9" ht="18.75" customHeight="1" x14ac:dyDescent="0.15">
      <c r="A73" s="4"/>
      <c r="B73" s="185"/>
      <c r="C73" s="186"/>
      <c r="D73" s="186"/>
      <c r="E73" s="186"/>
      <c r="F73" s="186"/>
      <c r="G73" s="186"/>
      <c r="H73" s="186"/>
      <c r="I73" s="187"/>
    </row>
    <row r="74" spans="1:9" ht="18.75" customHeight="1" x14ac:dyDescent="0.15">
      <c r="A74" s="4"/>
      <c r="B74" s="185"/>
      <c r="C74" s="186"/>
      <c r="D74" s="186"/>
      <c r="E74" s="186"/>
      <c r="F74" s="186"/>
      <c r="G74" s="186"/>
      <c r="H74" s="186"/>
      <c r="I74" s="187"/>
    </row>
    <row r="75" spans="1:9" ht="18.75" customHeight="1" x14ac:dyDescent="0.15">
      <c r="A75" s="4"/>
      <c r="B75" s="185"/>
      <c r="C75" s="186"/>
      <c r="D75" s="186"/>
      <c r="E75" s="186"/>
      <c r="F75" s="186"/>
      <c r="G75" s="186"/>
      <c r="H75" s="186"/>
      <c r="I75" s="187"/>
    </row>
    <row r="76" spans="1:9" ht="18.75" customHeight="1" x14ac:dyDescent="0.15">
      <c r="A76" s="4"/>
      <c r="B76" s="185"/>
      <c r="C76" s="186"/>
      <c r="D76" s="186"/>
      <c r="E76" s="186"/>
      <c r="F76" s="186"/>
      <c r="G76" s="186"/>
      <c r="H76" s="186"/>
      <c r="I76" s="187"/>
    </row>
    <row r="77" spans="1:9" ht="18.75" customHeight="1" x14ac:dyDescent="0.15">
      <c r="A77" s="4"/>
      <c r="B77" s="188"/>
      <c r="C77" s="189"/>
      <c r="D77" s="189"/>
      <c r="E77" s="189"/>
      <c r="F77" s="189"/>
      <c r="G77" s="189"/>
      <c r="H77" s="189"/>
      <c r="I77" s="190"/>
    </row>
    <row r="78" spans="1:9" ht="7.5" customHeight="1" x14ac:dyDescent="0.15">
      <c r="A78" s="4"/>
      <c r="B78" s="4"/>
      <c r="C78" s="4"/>
      <c r="D78" s="4"/>
      <c r="E78" s="4"/>
      <c r="F78" s="4"/>
      <c r="G78" s="4"/>
      <c r="H78" s="4"/>
      <c r="I78" s="4"/>
    </row>
    <row r="79" spans="1:9" ht="18.75" customHeight="1" x14ac:dyDescent="0.15">
      <c r="A79" s="1" t="s">
        <v>133</v>
      </c>
      <c r="B79" s="1" t="s">
        <v>134</v>
      </c>
    </row>
    <row r="80" spans="1:9" ht="18.75" customHeight="1" x14ac:dyDescent="0.15">
      <c r="A80" s="1"/>
      <c r="B80" s="182" t="s">
        <v>181</v>
      </c>
      <c r="C80" s="183"/>
      <c r="D80" s="183"/>
      <c r="E80" s="183"/>
      <c r="F80" s="183"/>
      <c r="G80" s="183"/>
      <c r="H80" s="183"/>
      <c r="I80" s="191"/>
    </row>
    <row r="81" spans="1:9" ht="18.75" customHeight="1" x14ac:dyDescent="0.15">
      <c r="A81" s="1"/>
      <c r="B81" s="192"/>
      <c r="C81" s="193"/>
      <c r="D81" s="193"/>
      <c r="E81" s="193"/>
      <c r="F81" s="193"/>
      <c r="G81" s="193"/>
      <c r="H81" s="193"/>
      <c r="I81" s="194"/>
    </row>
    <row r="82" spans="1:9" ht="18.75" customHeight="1" x14ac:dyDescent="0.15">
      <c r="A82" s="1"/>
      <c r="B82" s="192"/>
      <c r="C82" s="193"/>
      <c r="D82" s="193"/>
      <c r="E82" s="193"/>
      <c r="F82" s="193"/>
      <c r="G82" s="193"/>
      <c r="H82" s="193"/>
      <c r="I82" s="194"/>
    </row>
    <row r="83" spans="1:9" ht="18.75" customHeight="1" x14ac:dyDescent="0.15">
      <c r="A83" s="1"/>
      <c r="B83" s="192"/>
      <c r="C83" s="193"/>
      <c r="D83" s="193"/>
      <c r="E83" s="193"/>
      <c r="F83" s="193"/>
      <c r="G83" s="193"/>
      <c r="H83" s="193"/>
      <c r="I83" s="194"/>
    </row>
    <row r="84" spans="1:9" ht="18.75" customHeight="1" x14ac:dyDescent="0.15">
      <c r="A84" s="1"/>
      <c r="B84" s="192"/>
      <c r="C84" s="193"/>
      <c r="D84" s="193"/>
      <c r="E84" s="193"/>
      <c r="F84" s="193"/>
      <c r="G84" s="193"/>
      <c r="H84" s="193"/>
      <c r="I84" s="194"/>
    </row>
    <row r="85" spans="1:9" ht="18.75" customHeight="1" x14ac:dyDescent="0.15">
      <c r="A85" s="1"/>
      <c r="B85" s="192"/>
      <c r="C85" s="193"/>
      <c r="D85" s="193"/>
      <c r="E85" s="193"/>
      <c r="F85" s="193"/>
      <c r="G85" s="193"/>
      <c r="H85" s="193"/>
      <c r="I85" s="194"/>
    </row>
    <row r="86" spans="1:9" ht="18.75" customHeight="1" x14ac:dyDescent="0.15">
      <c r="A86" s="1"/>
      <c r="B86" s="192"/>
      <c r="C86" s="193"/>
      <c r="D86" s="193"/>
      <c r="E86" s="193"/>
      <c r="F86" s="193"/>
      <c r="G86" s="193"/>
      <c r="H86" s="193"/>
      <c r="I86" s="194"/>
    </row>
    <row r="87" spans="1:9" ht="18.75" customHeight="1" x14ac:dyDescent="0.15">
      <c r="A87" s="1"/>
      <c r="B87" s="192"/>
      <c r="C87" s="193"/>
      <c r="D87" s="193"/>
      <c r="E87" s="193"/>
      <c r="F87" s="193"/>
      <c r="G87" s="193"/>
      <c r="H87" s="193"/>
      <c r="I87" s="194"/>
    </row>
    <row r="88" spans="1:9" ht="18.75" customHeight="1" x14ac:dyDescent="0.15">
      <c r="A88" s="1"/>
      <c r="B88" s="192"/>
      <c r="C88" s="193"/>
      <c r="D88" s="193"/>
      <c r="E88" s="193"/>
      <c r="F88" s="193"/>
      <c r="G88" s="193"/>
      <c r="H88" s="193"/>
      <c r="I88" s="194"/>
    </row>
    <row r="89" spans="1:9" ht="18.75" customHeight="1" x14ac:dyDescent="0.15">
      <c r="A89" s="1"/>
      <c r="B89" s="192"/>
      <c r="C89" s="193"/>
      <c r="D89" s="193"/>
      <c r="E89" s="193"/>
      <c r="F89" s="193"/>
      <c r="G89" s="193"/>
      <c r="H89" s="193"/>
      <c r="I89" s="194"/>
    </row>
    <row r="90" spans="1:9" ht="18.75" customHeight="1" x14ac:dyDescent="0.15">
      <c r="A90" s="4"/>
      <c r="B90" s="192"/>
      <c r="C90" s="193"/>
      <c r="D90" s="193"/>
      <c r="E90" s="193"/>
      <c r="F90" s="193"/>
      <c r="G90" s="193"/>
      <c r="H90" s="193"/>
      <c r="I90" s="194"/>
    </row>
    <row r="91" spans="1:9" ht="18.75" customHeight="1" x14ac:dyDescent="0.15">
      <c r="A91" s="4"/>
      <c r="B91" s="195"/>
      <c r="C91" s="196"/>
      <c r="D91" s="196"/>
      <c r="E91" s="196"/>
      <c r="F91" s="196"/>
      <c r="G91" s="196"/>
      <c r="H91" s="196"/>
      <c r="I91" s="197"/>
    </row>
    <row r="92" spans="1:9" ht="7.5" customHeight="1" x14ac:dyDescent="0.15">
      <c r="A92" s="4"/>
      <c r="B92" s="4"/>
      <c r="C92" s="4"/>
      <c r="D92" s="4"/>
      <c r="E92" s="4"/>
      <c r="F92" s="4"/>
      <c r="G92" s="4"/>
      <c r="H92" s="4"/>
      <c r="I92" s="4"/>
    </row>
    <row r="93" spans="1:9" ht="18.75" customHeight="1" x14ac:dyDescent="0.15">
      <c r="A93" s="1" t="s">
        <v>135</v>
      </c>
      <c r="B93" s="1" t="s">
        <v>136</v>
      </c>
    </row>
    <row r="94" spans="1:9" ht="18.75" customHeight="1" x14ac:dyDescent="0.15">
      <c r="A94" s="1"/>
      <c r="B94" s="158" t="s">
        <v>164</v>
      </c>
      <c r="C94" s="159"/>
      <c r="D94" s="159"/>
      <c r="E94" s="159"/>
      <c r="F94" s="159"/>
      <c r="G94" s="159"/>
      <c r="H94" s="159"/>
      <c r="I94" s="160"/>
    </row>
    <row r="95" spans="1:9" ht="18.75" customHeight="1" x14ac:dyDescent="0.15">
      <c r="A95" s="1"/>
      <c r="B95" s="161"/>
      <c r="C95" s="162"/>
      <c r="D95" s="162"/>
      <c r="E95" s="162"/>
      <c r="F95" s="162"/>
      <c r="G95" s="162"/>
      <c r="H95" s="162"/>
      <c r="I95" s="163"/>
    </row>
    <row r="96" spans="1:9" ht="18.75" customHeight="1" x14ac:dyDescent="0.15">
      <c r="A96" s="1"/>
      <c r="B96" s="161"/>
      <c r="C96" s="162"/>
      <c r="D96" s="162"/>
      <c r="E96" s="162"/>
      <c r="F96" s="162"/>
      <c r="G96" s="162"/>
      <c r="H96" s="162"/>
      <c r="I96" s="163"/>
    </row>
    <row r="97" spans="1:9" ht="18.75" customHeight="1" x14ac:dyDescent="0.15">
      <c r="A97" s="1"/>
      <c r="B97" s="161"/>
      <c r="C97" s="162"/>
      <c r="D97" s="162"/>
      <c r="E97" s="162"/>
      <c r="F97" s="162"/>
      <c r="G97" s="162"/>
      <c r="H97" s="162"/>
      <c r="I97" s="163"/>
    </row>
    <row r="98" spans="1:9" ht="18.75" customHeight="1" x14ac:dyDescent="0.15">
      <c r="A98" s="1"/>
      <c r="B98" s="161"/>
      <c r="C98" s="162"/>
      <c r="D98" s="162"/>
      <c r="E98" s="162"/>
      <c r="F98" s="162"/>
      <c r="G98" s="162"/>
      <c r="H98" s="162"/>
      <c r="I98" s="163"/>
    </row>
    <row r="99" spans="1:9" ht="18.75" customHeight="1" x14ac:dyDescent="0.15">
      <c r="A99" s="1"/>
      <c r="B99" s="161"/>
      <c r="C99" s="162"/>
      <c r="D99" s="162"/>
      <c r="E99" s="162"/>
      <c r="F99" s="162"/>
      <c r="G99" s="162"/>
      <c r="H99" s="162"/>
      <c r="I99" s="163"/>
    </row>
    <row r="100" spans="1:9" ht="18.75" customHeight="1" x14ac:dyDescent="0.15">
      <c r="A100" s="1"/>
      <c r="B100" s="161"/>
      <c r="C100" s="162"/>
      <c r="D100" s="162"/>
      <c r="E100" s="162"/>
      <c r="F100" s="162"/>
      <c r="G100" s="162"/>
      <c r="H100" s="162"/>
      <c r="I100" s="163"/>
    </row>
    <row r="101" spans="1:9" ht="18.75" customHeight="1" x14ac:dyDescent="0.15">
      <c r="A101" s="1"/>
      <c r="B101" s="161"/>
      <c r="C101" s="162"/>
      <c r="D101" s="162"/>
      <c r="E101" s="162"/>
      <c r="F101" s="162"/>
      <c r="G101" s="162"/>
      <c r="H101" s="162"/>
      <c r="I101" s="163"/>
    </row>
    <row r="102" spans="1:9" ht="18.75" customHeight="1" x14ac:dyDescent="0.15">
      <c r="A102" s="1"/>
      <c r="B102" s="161"/>
      <c r="C102" s="162"/>
      <c r="D102" s="162"/>
      <c r="E102" s="162"/>
      <c r="F102" s="162"/>
      <c r="G102" s="162"/>
      <c r="H102" s="162"/>
      <c r="I102" s="163"/>
    </row>
    <row r="103" spans="1:9" ht="18.75" customHeight="1" x14ac:dyDescent="0.15">
      <c r="A103" s="1"/>
      <c r="B103" s="161"/>
      <c r="C103" s="162"/>
      <c r="D103" s="162"/>
      <c r="E103" s="162"/>
      <c r="F103" s="162"/>
      <c r="G103" s="162"/>
      <c r="H103" s="162"/>
      <c r="I103" s="163"/>
    </row>
    <row r="104" spans="1:9" ht="18.75" customHeight="1" x14ac:dyDescent="0.15">
      <c r="A104" s="1"/>
      <c r="B104" s="161"/>
      <c r="C104" s="162"/>
      <c r="D104" s="162"/>
      <c r="E104" s="162"/>
      <c r="F104" s="162"/>
      <c r="G104" s="162"/>
      <c r="H104" s="162"/>
      <c r="I104" s="163"/>
    </row>
    <row r="105" spans="1:9" ht="18.75" customHeight="1" x14ac:dyDescent="0.15">
      <c r="A105" s="4"/>
      <c r="B105" s="164"/>
      <c r="C105" s="165"/>
      <c r="D105" s="165"/>
      <c r="E105" s="165"/>
      <c r="F105" s="165"/>
      <c r="G105" s="165"/>
      <c r="H105" s="165"/>
      <c r="I105" s="166"/>
    </row>
    <row r="106" spans="1:9" ht="7.5" customHeight="1" x14ac:dyDescent="0.15">
      <c r="A106" s="4"/>
      <c r="B106" s="4"/>
      <c r="C106" s="4"/>
      <c r="D106" s="4"/>
      <c r="E106" s="4"/>
      <c r="F106" s="4"/>
      <c r="G106" s="4"/>
      <c r="H106" s="4"/>
      <c r="I106" s="4"/>
    </row>
    <row r="107" spans="1:9" ht="18.75" customHeight="1" x14ac:dyDescent="0.15">
      <c r="A107" s="1" t="s">
        <v>137</v>
      </c>
      <c r="B107" s="167" t="s">
        <v>138</v>
      </c>
      <c r="C107" s="167"/>
      <c r="D107" s="167"/>
      <c r="E107" s="167"/>
      <c r="F107" s="167"/>
      <c r="G107" s="167"/>
      <c r="H107" s="167"/>
      <c r="I107" s="167"/>
    </row>
    <row r="108" spans="1:9" ht="18.75" customHeight="1" x14ac:dyDescent="0.15">
      <c r="A108" s="4"/>
      <c r="B108" s="158" t="s">
        <v>139</v>
      </c>
      <c r="C108" s="159"/>
      <c r="D108" s="159"/>
      <c r="E108" s="159"/>
      <c r="F108" s="159"/>
      <c r="G108" s="159"/>
      <c r="H108" s="159"/>
      <c r="I108" s="160"/>
    </row>
    <row r="109" spans="1:9" ht="18.75" customHeight="1" x14ac:dyDescent="0.15">
      <c r="A109" s="4"/>
      <c r="B109" s="161"/>
      <c r="C109" s="162"/>
      <c r="D109" s="162"/>
      <c r="E109" s="162"/>
      <c r="F109" s="162"/>
      <c r="G109" s="162"/>
      <c r="H109" s="162"/>
      <c r="I109" s="163"/>
    </row>
    <row r="110" spans="1:9" ht="18.75" customHeight="1" x14ac:dyDescent="0.15">
      <c r="A110" s="4"/>
      <c r="B110" s="161"/>
      <c r="C110" s="162"/>
      <c r="D110" s="162"/>
      <c r="E110" s="162"/>
      <c r="F110" s="162"/>
      <c r="G110" s="162"/>
      <c r="H110" s="162"/>
      <c r="I110" s="163"/>
    </row>
    <row r="111" spans="1:9" ht="18.75" customHeight="1" x14ac:dyDescent="0.15">
      <c r="A111" s="4"/>
      <c r="B111" s="161"/>
      <c r="C111" s="162"/>
      <c r="D111" s="162"/>
      <c r="E111" s="162"/>
      <c r="F111" s="162"/>
      <c r="G111" s="162"/>
      <c r="H111" s="162"/>
      <c r="I111" s="163"/>
    </row>
    <row r="112" spans="1:9" ht="18.75" customHeight="1" x14ac:dyDescent="0.15">
      <c r="A112" s="4"/>
      <c r="B112" s="161"/>
      <c r="C112" s="162"/>
      <c r="D112" s="162"/>
      <c r="E112" s="162"/>
      <c r="F112" s="162"/>
      <c r="G112" s="162"/>
      <c r="H112" s="162"/>
      <c r="I112" s="163"/>
    </row>
    <row r="113" spans="1:9" ht="18.75" customHeight="1" x14ac:dyDescent="0.15">
      <c r="A113" s="4"/>
      <c r="B113" s="161"/>
      <c r="C113" s="162"/>
      <c r="D113" s="162"/>
      <c r="E113" s="162"/>
      <c r="F113" s="162"/>
      <c r="G113" s="162"/>
      <c r="H113" s="162"/>
      <c r="I113" s="163"/>
    </row>
    <row r="114" spans="1:9" ht="18.75" customHeight="1" x14ac:dyDescent="0.15">
      <c r="A114" s="4"/>
      <c r="B114" s="161"/>
      <c r="C114" s="162"/>
      <c r="D114" s="162"/>
      <c r="E114" s="162"/>
      <c r="F114" s="162"/>
      <c r="G114" s="162"/>
      <c r="H114" s="162"/>
      <c r="I114" s="163"/>
    </row>
    <row r="115" spans="1:9" ht="18.75" customHeight="1" x14ac:dyDescent="0.15">
      <c r="A115" s="4"/>
      <c r="B115" s="161"/>
      <c r="C115" s="162"/>
      <c r="D115" s="162"/>
      <c r="E115" s="162"/>
      <c r="F115" s="162"/>
      <c r="G115" s="162"/>
      <c r="H115" s="162"/>
      <c r="I115" s="163"/>
    </row>
    <row r="116" spans="1:9" ht="18.75" customHeight="1" x14ac:dyDescent="0.15">
      <c r="A116" s="4"/>
      <c r="B116" s="161"/>
      <c r="C116" s="162"/>
      <c r="D116" s="162"/>
      <c r="E116" s="162"/>
      <c r="F116" s="162"/>
      <c r="G116" s="162"/>
      <c r="H116" s="162"/>
      <c r="I116" s="163"/>
    </row>
    <row r="117" spans="1:9" ht="18.75" customHeight="1" x14ac:dyDescent="0.15">
      <c r="A117" s="4"/>
      <c r="B117" s="161"/>
      <c r="C117" s="162"/>
      <c r="D117" s="162"/>
      <c r="E117" s="162"/>
      <c r="F117" s="162"/>
      <c r="G117" s="162"/>
      <c r="H117" s="162"/>
      <c r="I117" s="163"/>
    </row>
    <row r="118" spans="1:9" ht="18.75" customHeight="1" x14ac:dyDescent="0.15">
      <c r="A118" s="4"/>
      <c r="B118" s="161"/>
      <c r="C118" s="162"/>
      <c r="D118" s="162"/>
      <c r="E118" s="162"/>
      <c r="F118" s="162"/>
      <c r="G118" s="162"/>
      <c r="H118" s="162"/>
      <c r="I118" s="163"/>
    </row>
    <row r="119" spans="1:9" ht="18.75" customHeight="1" x14ac:dyDescent="0.15">
      <c r="A119" s="4"/>
      <c r="B119" s="164"/>
      <c r="C119" s="165"/>
      <c r="D119" s="165"/>
      <c r="E119" s="165"/>
      <c r="F119" s="165"/>
      <c r="G119" s="165"/>
      <c r="H119" s="165"/>
      <c r="I119" s="166"/>
    </row>
    <row r="120" spans="1:9" ht="7.5" customHeight="1" x14ac:dyDescent="0.15">
      <c r="A120" s="4"/>
      <c r="B120" s="22"/>
      <c r="C120" s="22"/>
      <c r="D120" s="22"/>
      <c r="E120" s="22"/>
      <c r="F120" s="22"/>
      <c r="G120" s="22"/>
      <c r="H120" s="22"/>
      <c r="I120" s="22"/>
    </row>
    <row r="121" spans="1:9" ht="18.75" customHeight="1" x14ac:dyDescent="0.15">
      <c r="A121" s="1"/>
      <c r="B121" s="168"/>
      <c r="C121" s="168"/>
      <c r="D121" s="168"/>
      <c r="E121" s="168"/>
      <c r="F121" s="168"/>
      <c r="G121" s="168"/>
      <c r="H121" s="168"/>
      <c r="I121" s="168"/>
    </row>
    <row r="122" spans="1:9" ht="18.75" customHeight="1" x14ac:dyDescent="0.15">
      <c r="A122" s="1"/>
      <c r="B122" s="168"/>
      <c r="C122" s="168"/>
      <c r="D122" s="168"/>
      <c r="E122" s="168"/>
      <c r="F122" s="168"/>
      <c r="G122" s="168"/>
      <c r="H122" s="168"/>
      <c r="I122" s="168"/>
    </row>
    <row r="123" spans="1:9" ht="18.75" customHeight="1" x14ac:dyDescent="0.15">
      <c r="A123" s="4"/>
      <c r="B123" s="47"/>
      <c r="C123" s="47"/>
      <c r="D123" s="47"/>
      <c r="E123" s="47"/>
      <c r="F123" s="47"/>
      <c r="G123" s="47"/>
      <c r="H123" s="47"/>
      <c r="I123" s="48"/>
    </row>
    <row r="124" spans="1:9" ht="18.75" customHeight="1" x14ac:dyDescent="0.15">
      <c r="A124" s="4"/>
      <c r="B124" s="48"/>
      <c r="C124" s="48"/>
      <c r="D124" s="48"/>
      <c r="E124" s="48"/>
      <c r="F124" s="48"/>
      <c r="G124" s="48"/>
      <c r="H124" s="48"/>
      <c r="I124" s="48"/>
    </row>
    <row r="125" spans="1:9" ht="18.75" customHeight="1" x14ac:dyDescent="0.15">
      <c r="A125" s="4"/>
      <c r="B125" s="48"/>
      <c r="C125" s="48"/>
      <c r="D125" s="48"/>
      <c r="E125" s="48"/>
      <c r="F125" s="48"/>
      <c r="G125" s="48"/>
      <c r="H125" s="48"/>
      <c r="I125" s="48"/>
    </row>
    <row r="126" spans="1:9" ht="18.75" customHeight="1" x14ac:dyDescent="0.15">
      <c r="A126" s="4"/>
      <c r="B126" s="48"/>
      <c r="C126" s="48"/>
      <c r="D126" s="48"/>
      <c r="E126" s="48"/>
      <c r="F126" s="48"/>
      <c r="G126" s="48"/>
      <c r="H126" s="48"/>
      <c r="I126" s="48"/>
    </row>
    <row r="127" spans="1:9" ht="18.75" customHeight="1" x14ac:dyDescent="0.15">
      <c r="A127" s="4"/>
      <c r="B127" s="48"/>
      <c r="C127" s="48"/>
      <c r="D127" s="48"/>
      <c r="E127" s="48"/>
      <c r="F127" s="48"/>
      <c r="G127" s="48"/>
      <c r="H127" s="48"/>
      <c r="I127" s="48"/>
    </row>
    <row r="128" spans="1:9" ht="18.75" customHeight="1" x14ac:dyDescent="0.15">
      <c r="A128" s="4"/>
      <c r="B128" s="48"/>
      <c r="C128" s="48"/>
      <c r="D128" s="48"/>
      <c r="E128" s="48"/>
      <c r="F128" s="48"/>
      <c r="G128" s="48"/>
      <c r="H128" s="48"/>
      <c r="I128" s="48"/>
    </row>
    <row r="129" spans="1:9" ht="18.75" customHeight="1" x14ac:dyDescent="0.15">
      <c r="A129" s="4"/>
      <c r="B129" s="48"/>
      <c r="C129" s="48"/>
      <c r="D129" s="48"/>
      <c r="E129" s="48"/>
      <c r="F129" s="48"/>
      <c r="G129" s="48"/>
      <c r="H129" s="48"/>
      <c r="I129" s="48"/>
    </row>
    <row r="130" spans="1:9" ht="18.75" customHeight="1" x14ac:dyDescent="0.15">
      <c r="A130" s="4"/>
      <c r="B130" s="48"/>
      <c r="C130" s="48"/>
      <c r="D130" s="48"/>
      <c r="E130" s="48"/>
      <c r="F130" s="48"/>
      <c r="G130" s="48"/>
      <c r="H130" s="48"/>
      <c r="I130" s="48"/>
    </row>
    <row r="131" spans="1:9" ht="18.75" customHeight="1" x14ac:dyDescent="0.15">
      <c r="A131" s="4"/>
      <c r="B131" s="48"/>
      <c r="C131" s="48"/>
      <c r="D131" s="48"/>
      <c r="E131" s="48"/>
      <c r="F131" s="48"/>
      <c r="G131" s="48"/>
      <c r="H131" s="48"/>
      <c r="I131" s="48"/>
    </row>
    <row r="132" spans="1:9" ht="18.75" customHeight="1" x14ac:dyDescent="0.15">
      <c r="A132" s="4"/>
      <c r="B132" s="48"/>
      <c r="C132" s="48"/>
      <c r="D132" s="48"/>
      <c r="E132" s="48"/>
      <c r="F132" s="48"/>
      <c r="G132" s="48"/>
      <c r="H132" s="48"/>
      <c r="I132" s="48"/>
    </row>
    <row r="133" spans="1:9" ht="14.25" x14ac:dyDescent="0.15">
      <c r="A133" s="4"/>
      <c r="B133" s="48"/>
      <c r="C133" s="48"/>
      <c r="D133" s="48"/>
      <c r="E133" s="48"/>
      <c r="F133" s="48"/>
      <c r="G133" s="48"/>
      <c r="H133" s="48"/>
      <c r="I133" s="48"/>
    </row>
    <row r="134" spans="1:9" ht="7.5" customHeight="1" x14ac:dyDescent="0.15">
      <c r="A134" s="4"/>
      <c r="B134" s="48"/>
      <c r="C134" s="48"/>
      <c r="D134" s="48"/>
      <c r="E134" s="48"/>
      <c r="F134" s="48"/>
      <c r="G134" s="48"/>
      <c r="H134" s="48"/>
      <c r="I134" s="48"/>
    </row>
  </sheetData>
  <mergeCells count="23">
    <mergeCell ref="C49:D49"/>
    <mergeCell ref="F49:G49"/>
    <mergeCell ref="H2:I2"/>
    <mergeCell ref="A4:I4"/>
    <mergeCell ref="C6:D6"/>
    <mergeCell ref="C11:E11"/>
    <mergeCell ref="H11:I11"/>
    <mergeCell ref="B14:I14"/>
    <mergeCell ref="C16:E16"/>
    <mergeCell ref="H16:I16"/>
    <mergeCell ref="B19:I19"/>
    <mergeCell ref="B22:I32"/>
    <mergeCell ref="B35:I46"/>
    <mergeCell ref="B94:I105"/>
    <mergeCell ref="B107:I107"/>
    <mergeCell ref="B108:I119"/>
    <mergeCell ref="B121:I122"/>
    <mergeCell ref="C50:D50"/>
    <mergeCell ref="F50:G50"/>
    <mergeCell ref="B51:I51"/>
    <mergeCell ref="B52:I63"/>
    <mergeCell ref="B66:I77"/>
    <mergeCell ref="B80:I9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D0112-C00F-4911-8893-17B5EAC45B95}">
  <sheetPr>
    <pageSetUpPr fitToPage="1"/>
  </sheetPr>
  <dimension ref="A1:I30"/>
  <sheetViews>
    <sheetView showZeros="0" tabSelected="1" view="pageBreakPreview" zoomScaleNormal="100" zoomScaleSheetLayoutView="100" workbookViewId="0">
      <selection activeCell="B6" sqref="B6:H6"/>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140</v>
      </c>
      <c r="I1" s="18" t="s">
        <v>141</v>
      </c>
    </row>
    <row r="2" spans="1:9" ht="18.75" customHeight="1" x14ac:dyDescent="0.15">
      <c r="H2" s="18" t="s">
        <v>2</v>
      </c>
      <c r="I2" s="17" t="str">
        <f>'様式１　プログラムを構成する授業科目（申請用）'!C2</f>
        <v>北海道教育大学</v>
      </c>
    </row>
    <row r="3" spans="1:9" ht="18.75" customHeight="1" x14ac:dyDescent="0.15">
      <c r="A3" s="134" t="s">
        <v>142</v>
      </c>
      <c r="B3" s="134"/>
      <c r="C3" s="134"/>
      <c r="D3" s="134"/>
      <c r="E3" s="134"/>
      <c r="F3" s="134"/>
      <c r="G3" s="134"/>
      <c r="H3" s="134"/>
      <c r="I3" s="134"/>
    </row>
    <row r="4" spans="1:9" ht="18.75" customHeight="1" x14ac:dyDescent="0.15">
      <c r="A4" s="5"/>
      <c r="B4" s="5"/>
      <c r="C4" s="5"/>
      <c r="D4" s="5"/>
      <c r="E4" s="5"/>
      <c r="F4" s="5"/>
      <c r="G4" s="5"/>
      <c r="H4" s="5"/>
      <c r="I4" s="5"/>
    </row>
    <row r="5" spans="1:9" ht="18.75" customHeight="1" x14ac:dyDescent="0.15">
      <c r="A5" s="1" t="s">
        <v>97</v>
      </c>
      <c r="B5" s="10" t="s">
        <v>143</v>
      </c>
      <c r="C5" s="5"/>
      <c r="D5" s="5"/>
      <c r="E5" s="5"/>
      <c r="F5" s="5"/>
      <c r="G5" s="5"/>
      <c r="H5" s="5"/>
      <c r="I5" s="5"/>
    </row>
    <row r="6" spans="1:9" ht="26.25" customHeight="1" x14ac:dyDescent="0.15">
      <c r="A6" s="5"/>
      <c r="B6" s="200" t="s">
        <v>188</v>
      </c>
      <c r="C6" s="233"/>
      <c r="D6" s="233"/>
      <c r="E6" s="233"/>
      <c r="F6" s="233"/>
      <c r="G6" s="233"/>
      <c r="H6" s="234"/>
      <c r="I6" s="3"/>
    </row>
    <row r="7" spans="1:9" ht="9" customHeight="1" x14ac:dyDescent="0.15">
      <c r="A7" s="5"/>
      <c r="B7" s="10"/>
      <c r="C7" s="10"/>
      <c r="D7" s="10"/>
      <c r="E7" s="10"/>
      <c r="F7" s="10"/>
      <c r="G7" s="10"/>
      <c r="H7" s="10"/>
      <c r="I7" s="3"/>
    </row>
    <row r="8" spans="1:9" ht="18.75" customHeight="1" x14ac:dyDescent="0.15">
      <c r="A8" s="5"/>
      <c r="B8" s="3"/>
      <c r="C8" s="3"/>
      <c r="D8" s="18" t="s">
        <v>105</v>
      </c>
      <c r="E8" s="70" t="s">
        <v>112</v>
      </c>
      <c r="F8" s="3"/>
      <c r="G8" s="18" t="s">
        <v>107</v>
      </c>
      <c r="H8" s="70" t="s">
        <v>144</v>
      </c>
      <c r="I8" s="3"/>
    </row>
    <row r="9" spans="1:9" ht="7.5" customHeight="1" x14ac:dyDescent="0.15">
      <c r="A9" s="5"/>
      <c r="B9" s="5"/>
      <c r="C9" s="5"/>
      <c r="D9" s="5"/>
      <c r="E9" s="5"/>
      <c r="F9" s="5"/>
      <c r="G9" s="5"/>
      <c r="H9" s="5"/>
      <c r="I9" s="5"/>
    </row>
    <row r="10" spans="1:9" ht="18.75" customHeight="1" x14ac:dyDescent="0.15">
      <c r="A10" s="1" t="s">
        <v>101</v>
      </c>
      <c r="B10" s="1" t="s">
        <v>145</v>
      </c>
      <c r="C10" s="4"/>
      <c r="D10" s="4"/>
      <c r="E10" s="4"/>
      <c r="F10" s="4"/>
      <c r="G10" s="4"/>
      <c r="H10" s="4"/>
      <c r="I10" s="4"/>
    </row>
    <row r="11" spans="1:9" ht="18.75" customHeight="1" x14ac:dyDescent="0.15">
      <c r="B11" s="96" t="s">
        <v>146</v>
      </c>
      <c r="C11" s="97"/>
      <c r="D11" s="98"/>
      <c r="E11" s="97" t="s">
        <v>147</v>
      </c>
      <c r="F11" s="97"/>
      <c r="G11" s="97"/>
      <c r="H11" s="97"/>
      <c r="I11" s="98"/>
    </row>
    <row r="12" spans="1:9" ht="26.25" customHeight="1" x14ac:dyDescent="0.15">
      <c r="B12" s="23" t="s">
        <v>148</v>
      </c>
      <c r="C12" s="30"/>
      <c r="D12" s="24"/>
      <c r="E12" s="31"/>
      <c r="F12" s="31"/>
      <c r="G12" s="31"/>
      <c r="H12" s="31"/>
      <c r="I12" s="24"/>
    </row>
    <row r="13" spans="1:9" ht="210.75" customHeight="1" x14ac:dyDescent="0.15">
      <c r="B13" s="25"/>
      <c r="C13" s="226" t="s">
        <v>149</v>
      </c>
      <c r="D13" s="227"/>
      <c r="E13" s="232" t="s">
        <v>182</v>
      </c>
      <c r="F13" s="228"/>
      <c r="G13" s="228"/>
      <c r="H13" s="228"/>
      <c r="I13" s="229"/>
    </row>
    <row r="14" spans="1:9" ht="210.75" customHeight="1" x14ac:dyDescent="0.15">
      <c r="B14" s="25"/>
      <c r="C14" s="230" t="s">
        <v>150</v>
      </c>
      <c r="D14" s="231"/>
      <c r="E14" s="232" t="s">
        <v>160</v>
      </c>
      <c r="F14" s="228"/>
      <c r="G14" s="228"/>
      <c r="H14" s="228"/>
      <c r="I14" s="229"/>
    </row>
    <row r="15" spans="1:9" ht="210.75" customHeight="1" x14ac:dyDescent="0.15">
      <c r="B15" s="25"/>
      <c r="C15" s="226" t="s">
        <v>151</v>
      </c>
      <c r="D15" s="227"/>
      <c r="E15" s="232" t="s">
        <v>161</v>
      </c>
      <c r="F15" s="228"/>
      <c r="G15" s="228"/>
      <c r="H15" s="228"/>
      <c r="I15" s="229"/>
    </row>
    <row r="16" spans="1:9" ht="210.75" customHeight="1" x14ac:dyDescent="0.15">
      <c r="B16" s="25"/>
      <c r="C16" s="226" t="s">
        <v>152</v>
      </c>
      <c r="D16" s="227"/>
      <c r="E16" s="232" t="s">
        <v>165</v>
      </c>
      <c r="F16" s="228"/>
      <c r="G16" s="228"/>
      <c r="H16" s="228"/>
      <c r="I16" s="229"/>
    </row>
    <row r="17" spans="2:9" ht="210.75" customHeight="1" x14ac:dyDescent="0.15">
      <c r="B17" s="26"/>
      <c r="C17" s="221" t="s">
        <v>153</v>
      </c>
      <c r="D17" s="222"/>
      <c r="E17" s="223" t="s">
        <v>183</v>
      </c>
      <c r="F17" s="224"/>
      <c r="G17" s="224"/>
      <c r="H17" s="224"/>
      <c r="I17" s="225"/>
    </row>
    <row r="18" spans="2:9" ht="24" customHeight="1" x14ac:dyDescent="0.15">
      <c r="B18" s="23" t="s">
        <v>154</v>
      </c>
      <c r="C18" s="27"/>
      <c r="D18" s="28"/>
      <c r="E18" s="29"/>
      <c r="F18" s="29"/>
      <c r="G18" s="29"/>
      <c r="H18" s="29"/>
      <c r="I18" s="32"/>
    </row>
    <row r="19" spans="2:9" ht="218.25" customHeight="1" x14ac:dyDescent="0.15">
      <c r="B19" s="25"/>
      <c r="C19" s="226" t="s">
        <v>155</v>
      </c>
      <c r="D19" s="227"/>
      <c r="E19" s="228" t="s">
        <v>166</v>
      </c>
      <c r="F19" s="228"/>
      <c r="G19" s="228"/>
      <c r="H19" s="228"/>
      <c r="I19" s="229"/>
    </row>
    <row r="20" spans="2:9" ht="218.25" customHeight="1" x14ac:dyDescent="0.15">
      <c r="B20" s="26"/>
      <c r="C20" s="221" t="s">
        <v>156</v>
      </c>
      <c r="D20" s="222"/>
      <c r="E20" s="224" t="s">
        <v>162</v>
      </c>
      <c r="F20" s="224"/>
      <c r="G20" s="224"/>
      <c r="H20" s="224"/>
      <c r="I20" s="225"/>
    </row>
    <row r="21" spans="2:9" ht="218.25" customHeight="1" x14ac:dyDescent="0.15">
      <c r="B21" s="211" t="s">
        <v>157</v>
      </c>
      <c r="C21" s="212"/>
      <c r="D21" s="213"/>
      <c r="E21" s="214" t="s">
        <v>158</v>
      </c>
      <c r="F21" s="214"/>
      <c r="G21" s="214"/>
      <c r="H21" s="214"/>
      <c r="I21" s="215"/>
    </row>
    <row r="22" spans="2:9" ht="218.25" customHeight="1" x14ac:dyDescent="0.15">
      <c r="B22" s="216" t="s">
        <v>159</v>
      </c>
      <c r="C22" s="217"/>
      <c r="D22" s="218"/>
      <c r="E22" s="219" t="s">
        <v>163</v>
      </c>
      <c r="F22" s="219"/>
      <c r="G22" s="219"/>
      <c r="H22" s="219"/>
      <c r="I22" s="220"/>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A3:I3"/>
    <mergeCell ref="B6:H6"/>
    <mergeCell ref="B11:D11"/>
    <mergeCell ref="E11:I11"/>
    <mergeCell ref="C13:D13"/>
    <mergeCell ref="E13:I13"/>
    <mergeCell ref="C14:D14"/>
    <mergeCell ref="E14:I14"/>
    <mergeCell ref="C15:D15"/>
    <mergeCell ref="E15:I15"/>
    <mergeCell ref="C16:D16"/>
    <mergeCell ref="E16:I16"/>
    <mergeCell ref="B21:D21"/>
    <mergeCell ref="E21:I21"/>
    <mergeCell ref="B22:D22"/>
    <mergeCell ref="E22:I22"/>
    <mergeCell ref="C17:D17"/>
    <mergeCell ref="E17:I17"/>
    <mergeCell ref="C19:D19"/>
    <mergeCell ref="E19:I19"/>
    <mergeCell ref="C20:D20"/>
    <mergeCell ref="E20:I20"/>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B0DD2AA8C97E6F46AC74EEDE34114771" ma:contentTypeVersion="3" ma:contentTypeDescription="新しいドキュメントを作成します。" ma:contentTypeScope="" ma:versionID="d3e8ab0d3e49a4277b71a299a9143534">
  <xsd:schema xmlns:xsd="http://www.w3.org/2001/XMLSchema" xmlns:xs="http://www.w3.org/2001/XMLSchema" xmlns:p="http://schemas.microsoft.com/office/2006/metadata/properties" xmlns:ns2="a3bc33e1-0184-4cea-8aed-d23d7a5906fc" targetNamespace="http://schemas.microsoft.com/office/2006/metadata/properties" ma:root="true" ma:fieldsID="6dec71986f0ed98889f875145840f600" ns2:_="">
    <xsd:import namespace="a3bc33e1-0184-4cea-8aed-d23d7a5906f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bc33e1-0184-4cea-8aed-d23d7a5906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D52A797-A118-45B9-A96A-C1EA6037F492}">
  <ds:schemaRefs>
    <ds:schemaRef ds:uri="http://purl.org/dc/dcmitype/"/>
    <ds:schemaRef ds:uri="a3bc33e1-0184-4cea-8aed-d23d7a5906fc"/>
    <ds:schemaRef ds:uri="http://schemas.microsoft.com/office/2006/documentManagement/types"/>
    <ds:schemaRef ds:uri="http://purl.org/dc/elements/1.1/"/>
    <ds:schemaRef ds:uri="http://purl.org/dc/terms/"/>
    <ds:schemaRef ds:uri="http://www.w3.org/XML/1998/namespace"/>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2.xml><?xml version="1.0" encoding="utf-8"?>
<ds:datastoreItem xmlns:ds="http://schemas.openxmlformats.org/officeDocument/2006/customXml" ds:itemID="{5CFCFE57-A393-4D84-A245-D737E90BB765}">
  <ds:schemaRefs>
    <ds:schemaRef ds:uri="http://schemas.microsoft.com/sharepoint/v3/contenttype/forms"/>
  </ds:schemaRefs>
</ds:datastoreItem>
</file>

<file path=customXml/itemProps3.xml><?xml version="1.0" encoding="utf-8"?>
<ds:datastoreItem xmlns:ds="http://schemas.openxmlformats.org/officeDocument/2006/customXml" ds:itemID="{AE50527A-CBD7-4761-9158-7E235E6A3F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3bc33e1-0184-4cea-8aed-d23d7a5906f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プログラムを構成する授業科目（申請用）</vt:lpstr>
      <vt:lpstr>様式２ 履修者等数の実績（申請用）</vt:lpstr>
      <vt:lpstr>様式３ 教育の質・履修者数を向上させるための体制・計画 （申請</vt:lpstr>
      <vt:lpstr>様式４　自己点検・評価（申請用）</vt:lpstr>
      <vt:lpstr>'様式１　プログラムを構成する授業科目（申請用）'!Print_Area</vt:lpstr>
      <vt:lpstr>'様式２ 履修者等数の実績（申請用）'!Print_Area</vt:lpstr>
      <vt:lpstr>'様式３ 教育の質・履修者数を向上させるための体制・計画 （申請'!Print_Area</vt:lpstr>
      <vt:lpstr>'様式４　自己点検・評価（申請用）'!Print_Area</vt:lpstr>
      <vt:lpstr>'様式４　自己点検・評価（申請用）'!Print_Titles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岩館 明日翔</cp:lastModifiedBy>
  <cp:revision/>
  <cp:lastPrinted>2025-04-30T06:43:55Z</cp:lastPrinted>
  <dcterms:created xsi:type="dcterms:W3CDTF">2011-06-14T05:32:50Z</dcterms:created>
  <dcterms:modified xsi:type="dcterms:W3CDTF">2025-07-07T01:16:59Z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0x010100B0DD2AA8C97E6F46AC74EEDE34114771</vt:lpwstr>
  </property>
</Properties>
</file>