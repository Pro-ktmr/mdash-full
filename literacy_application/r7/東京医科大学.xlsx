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24226"/>
  <mc:AlternateContent xmlns:mc="http://schemas.openxmlformats.org/markup-compatibility/2006">
    <mc:Choice Requires="x15">
      <x15ac:absPath xmlns:x15ac="http://schemas.microsoft.com/office/spreadsheetml/2010/11/ac" url="\\172.20.10.155\igaku_nas\GakumuFolder\164　数理・データサイエンス・AI\R7申請書類\データサイエンス申請書類一式\0714_提出\提出書類\"/>
    </mc:Choice>
  </mc:AlternateContent>
  <xr:revisionPtr revIDLastSave="0" documentId="13_ncr:1_{C0AAE393-059D-4841-8B20-FA6CE062D7A2}" xr6:coauthVersionLast="47" xr6:coauthVersionMax="47" xr10:uidLastSave="{00000000-0000-0000-0000-000000000000}"/>
  <bookViews>
    <workbookView xWindow="-120" yWindow="-120" windowWidth="29040" windowHeight="1572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3">'様式４　自己点検・評価'!$A$1:$I$22</definedName>
    <definedName name="_xlnm.Print_Titles" localSheetId="3">'様式４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医学</author>
  </authors>
  <commentList>
    <comment ref="F7" authorId="0" shapeId="0" xr:uid="{8B0FE989-C836-47E2-8C6E-50A6555A7EA2}">
      <text>
        <r>
          <rPr>
            <b/>
            <sz val="9"/>
            <color indexed="81"/>
            <rFont val="MS P ゴシック"/>
            <family val="3"/>
            <charset val="128"/>
          </rPr>
          <t>医学:</t>
        </r>
        <r>
          <rPr>
            <sz val="9"/>
            <color indexed="81"/>
            <rFont val="MS P ゴシック"/>
            <family val="3"/>
            <charset val="128"/>
          </rPr>
          <t xml:space="preserve">
・医学科（男）：468人
・看護科（男）：15人</t>
        </r>
      </text>
    </comment>
    <comment ref="I7" authorId="0" shapeId="0" xr:uid="{CDD542A3-143F-46D8-BA5D-E43D225824C4}">
      <text>
        <r>
          <rPr>
            <b/>
            <sz val="9"/>
            <color indexed="81"/>
            <rFont val="MS P ゴシック"/>
            <family val="3"/>
            <charset val="128"/>
          </rPr>
          <t>医学:</t>
        </r>
        <r>
          <rPr>
            <sz val="9"/>
            <color indexed="81"/>
            <rFont val="MS P ゴシック"/>
            <family val="3"/>
            <charset val="128"/>
          </rPr>
          <t xml:space="preserve">
・医学科（女）：286人
・看護科（女）：322人</t>
        </r>
      </text>
    </comment>
  </commentList>
</comments>
</file>

<file path=xl/sharedStrings.xml><?xml version="1.0" encoding="utf-8"?>
<sst xmlns="http://schemas.openxmlformats.org/spreadsheetml/2006/main" count="321" uniqueCount="194">
  <si>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</si>
  <si>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</si>
  <si>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</si>
  <si>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東京医科大学</t>
    <rPh sb="0" eb="6">
      <t>トウキョウイカダイガク</t>
    </rPh>
    <phoneticPr fontId="1"/>
  </si>
  <si>
    <t>プログラム名</t>
    <rPh sb="5" eb="6">
      <t>メイ</t>
    </rPh>
    <phoneticPr fontId="1"/>
  </si>
  <si>
    <t>東京医科大学　数理・データサイエンス・AI教育プログラム（リテラシー）</t>
    <rPh sb="0" eb="2">
      <t>トウキョウ</t>
    </rPh>
    <rPh sb="2" eb="4">
      <t>イカ</t>
    </rPh>
    <rPh sb="4" eb="6">
      <t>ダイガク</t>
    </rPh>
    <rPh sb="7" eb="9">
      <t>スウリ</t>
    </rPh>
    <rPh sb="21" eb="23">
      <t>キョウイク</t>
    </rPh>
    <phoneticPr fontId="1"/>
  </si>
  <si>
    <t>リテラシーレベルのプログラムを構成する授業科目について</t>
    <phoneticPr fontId="1"/>
  </si>
  <si>
    <t>① 教育プログラムの修了要件</t>
    <rPh sb="2" eb="4">
      <t>キョウイク</t>
    </rPh>
    <rPh sb="10" eb="14">
      <t>シュウリョウヨウケン</t>
    </rPh>
    <phoneticPr fontId="1"/>
  </si>
  <si>
    <t>② 対象となる学部・学科名称</t>
    <phoneticPr fontId="1"/>
  </si>
  <si>
    <t>③ 修了要件</t>
    <phoneticPr fontId="1"/>
  </si>
  <si>
    <t>【プルダウンリスト】</t>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</si>
  <si>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</si>
  <si>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</si>
  <si>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</si>
  <si>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</si>
  <si>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</si>
  <si>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</si>
  <si>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</si>
  <si>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</si>
  <si>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</si>
  <si>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</si>
  <si>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</si>
  <si>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</si>
  <si>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</si>
  <si>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データサイエンスⅠ</t>
    <phoneticPr fontId="1"/>
  </si>
  <si>
    <t>○</t>
  </si>
  <si>
    <t>情報科学</t>
    <rPh sb="0" eb="4">
      <t>ジョウホウカガク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</si>
  <si>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</si>
  <si>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</si>
  <si>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</si>
  <si>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疫学</t>
    <rPh sb="0" eb="2">
      <t>エキガク</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</si>
  <si>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</si>
  <si>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</si>
  <si>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</si>
  <si>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保健統計学</t>
    <rPh sb="0" eb="2">
      <t>ホケン</t>
    </rPh>
    <rPh sb="2" eb="5">
      <t>トウケイガク</t>
    </rPh>
    <phoneticPr fontId="1"/>
  </si>
  <si>
    <t>○</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</si>
  <si>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</si>
  <si>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</si>
  <si>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</si>
  <si>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統計学</t>
    <rPh sb="0" eb="3">
      <t>トウケイガク</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</si>
  <si>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</si>
  <si>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</si>
  <si>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</si>
  <si>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</si>
  <si>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統計学</t>
    <phoneticPr fontId="1"/>
  </si>
  <si>
    <t>疫学</t>
    <phoneticPr fontId="1"/>
  </si>
  <si>
    <t>保健統計学</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</si>
  <si>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</si>
  <si>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</si>
  <si>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4-1統計および数理基礎</t>
    <phoneticPr fontId="1"/>
  </si>
  <si>
    <t>4‐2アルゴリズム基礎</t>
    <phoneticPr fontId="1"/>
  </si>
  <si>
    <t>4‐3データ構造とプログラミング基礎</t>
    <phoneticPr fontId="1"/>
  </si>
  <si>
    <t>4‐4時系列データ解析</t>
    <phoneticPr fontId="1"/>
  </si>
  <si>
    <t>4‐5自然言語処理</t>
    <rPh sb="3" eb="5">
      <t>シゼン</t>
    </rPh>
    <rPh sb="5" eb="7">
      <t>ゲンゴ</t>
    </rPh>
    <rPh sb="7" eb="9">
      <t>ショリ</t>
    </rPh>
    <phoneticPr fontId="1"/>
  </si>
  <si>
    <t>4‐6画像認識</t>
    <rPh sb="5" eb="7">
      <t>ニンシキ</t>
    </rPh>
    <phoneticPr fontId="1"/>
  </si>
  <si>
    <t>4‐7データハンドリング</t>
    <phoneticPr fontId="1"/>
  </si>
  <si>
    <t>4‐8データ活用実践（教師あり学習）</t>
    <phoneticPr fontId="1"/>
  </si>
  <si>
    <t>4‐9データ活用実践（教師なし学習）</t>
    <phoneticPr fontId="1"/>
  </si>
  <si>
    <t>⑩ プログラムを構成する授業の内容</t>
    <phoneticPr fontId="1"/>
  </si>
  <si>
    <t>その他</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</si>
  <si>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</si>
  <si>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</si>
  <si>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</si>
  <si>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</si>
  <si>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・医学科
AI最新技術の活用例：「データサイエンスⅠ」（8回目）
・看護学科
AI最新技術の活用例：「情報科学」（14回目）、「疫学」（第15回）</t>
    <rPh sb="1" eb="4">
      <t>イガクカ</t>
    </rPh>
    <rPh sb="7" eb="11">
      <t>サイシンギジュツ</t>
    </rPh>
    <rPh sb="12" eb="15">
      <t>カツヨウレイ</t>
    </rPh>
    <rPh sb="30" eb="31">
      <t>メ</t>
    </rPh>
    <rPh sb="34" eb="38">
      <t>カンゴガッカ</t>
    </rPh>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</si>
  <si>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</si>
  <si>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</si>
  <si>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xml:space="preserve">・医学科
非構造化データ処理、今のAIで出来ることとできないこと、認識技術、ルールベース：「データサイエンスⅠ」（５回目）
・看護学科
非構造化データ処理：「情報科学」（3回目）
データ解析：予測、特化型AIと汎用AI、今のAIで出来ることと出来ないこと、AIとビッグデータ：「情報科学」（14回目）
</t>
    <rPh sb="1" eb="4">
      <t>イガクカ</t>
    </rPh>
    <rPh sb="5" eb="6">
      <t>ヒ</t>
    </rPh>
    <rPh sb="6" eb="9">
      <t>コウゾウカ</t>
    </rPh>
    <rPh sb="12" eb="14">
      <t>ショリ</t>
    </rPh>
    <rPh sb="15" eb="16">
      <t>イマ</t>
    </rPh>
    <rPh sb="20" eb="22">
      <t>デキ</t>
    </rPh>
    <rPh sb="33" eb="35">
      <t>ニンシキ</t>
    </rPh>
    <rPh sb="35" eb="37">
      <t>ギジュツ</t>
    </rPh>
    <rPh sb="59" eb="60">
      <t>メ</t>
    </rPh>
    <rPh sb="63" eb="67">
      <t>カンゴガッカカガク</t>
    </rPh>
    <rPh sb="68" eb="72">
      <t>ヒコウゾウカ</t>
    </rPh>
    <rPh sb="75" eb="77">
      <t>ショリ</t>
    </rPh>
    <rPh sb="79" eb="83">
      <t>ジョウホウカガク</t>
    </rPh>
    <rPh sb="86" eb="88">
      <t>カイメ</t>
    </rPh>
    <phoneticPr fontId="1"/>
  </si>
  <si>
    <t>（４）活用に当たっての様々な留意事項（ELSI、個人情報、データ倫理、ＡＩ社会原則等）を考慮し、情報セキュリティや情報漏洩等、データを守る上での留意事項への理解をする</t>
    <phoneticPr fontId="1"/>
  </si>
  <si>
    <t>・医学科
ELSI（Ethical, Legal and Social Issues）、個人情報保護、EU一般データ保護規則(GDPR)、忘れられる権利、オプトアウト、データ倫理：「データサイエンスⅠ」（１３回目）
AI社会原則、データバイアス、アルゴリズムバイアス、データ・AI活用における負の事例紹介：「データサイエンスⅠ」（１４回目）
・看護学科
データ倫理：データのねつ造、改ざん、盗用、プライバシー保護：「情報科学」（2、4、13回目）
個人情報保護：「情報科学」（4、7回目）
AI社会原則、データバイアス、データ・AI活用における負の事例紹介：「情報科学」（14回目）
データバイアス：「疫学」（7、13回目）、「統計学」（2回目）</t>
  </si>
  <si>
    <t>・医学科
暗号化、パスワード、悪意ある情報搾取、情報漏洩等によるセキュリティ事故の事例紹介「データサイエンスⅠ」（１５回目）
・看護学科
情報セキュリティの3要素（機密性、完全性、可用性）：「情報科学」（4、5、6、9回目）
匿名加工情報、暗号化、パスワード、悪意ある情報搾取：「情報科学」（1、7、8、9、13、14回目）
情報漏洩等によるセキュリティ事故の事例紹介：「情報科学」（1、7、12回目）</t>
  </si>
  <si>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</si>
  <si>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</si>
  <si>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・医学科
データの種類、データの分布と代表値、代表値の性質の違い、データのばらつき、打ち切りや欠測を含むデータ：「データサイエンスⅠ」（９回目）
相関と因果、母集団と標本抽出、統計情報の正しい理解：「データサイエンスⅠ」（10回目）
・看護学科
観測データに含まれる誤差の扱い、データの種類：「疫学」（7回目）
相関と因果：「疫学」（9回目）、「統計学」(11回目)
データの種類、データの分布と代表値、代表値の性質の違い、データのばらつき：「統計学」（2回目）
母集団と標本抽出：「疫学」（第1回）、「統計学」（6回目）
クロス集計表：「統計学」（8回目）
データの種類、データの分布と代表値：「保健統計学」（1回目）
統計情報の正しい理解：「保健統計学」（4回目）
相関と因果：「保健統計学」（6回目、12回目）
打ち切りや脱落を含むデータ、層別の必要なデータ：「疫学」（第15回）</t>
  </si>
  <si>
    <t>・医学科
データ表現、データの比較、不適切なグラフ表現、優れた可視化事例の紹介：「データサイエンスⅠ」（11回目）
・看護学科
データ表現：「統計学」（4回目）、「保健統計学」（3、5、6、8、9、11、13、14、15回目）、疫学（第15回）
データの比較：「保健統計学」（4回目）</t>
  </si>
  <si>
    <t>・医学科
表形式のデータ：「データサイエンスⅠ」（3回目）
・看護学科
データの集計：「保健統計学」（1回目）
データ解析ツール：「保健統計学」（2回目）</t>
    <rPh sb="1" eb="4">
      <t>イガクカ</t>
    </rPh>
    <rPh sb="5" eb="8">
      <t>ヒョウケイシキ</t>
    </rPh>
    <rPh sb="26" eb="28">
      <t>カイメ</t>
    </rPh>
    <rPh sb="32" eb="36">
      <t>カンゴガッカ</t>
    </rPh>
    <rPh sb="41" eb="43">
      <t>シュウケイ</t>
    </rPh>
    <rPh sb="60" eb="62">
      <t>カイセキ</t>
    </rPh>
    <rPh sb="67" eb="72">
      <t>ホケントウケイガク</t>
    </rPh>
    <rPh sb="75" eb="77">
      <t>カイメ</t>
    </rPh>
    <phoneticPr fontId="1"/>
  </si>
  <si>
    <t>⑪ プログラムの学修成果（学生等が身に付けられる能力等）</t>
    <phoneticPr fontId="1"/>
  </si>
  <si>
    <t>現代社会におけるデータ・AIに関する知識、利活用するのにあたり必要となる基本的なデータリテラシー、データを利活用するのにあたり留意すべきことなどについて学修し理解する。</t>
    <phoneticPr fontId="1"/>
  </si>
  <si>
    <t>様式２</t>
    <phoneticPr fontId="1"/>
  </si>
  <si>
    <t>リテラシーレベルのプログラムの履修者数等の実績について</t>
    <phoneticPr fontId="1"/>
  </si>
  <si>
    <t>①プログラム開設年度</t>
    <rPh sb="6" eb="8">
      <t>カイセツ</t>
    </rPh>
    <rPh sb="8" eb="10">
      <t>ネンド</t>
    </rPh>
    <phoneticPr fontId="1"/>
  </si>
  <si>
    <t>令和6</t>
    <rPh sb="0" eb="2">
      <t>レイワ</t>
    </rPh>
    <phoneticPr fontId="1"/>
  </si>
  <si>
    <t>年度（和暦）</t>
    <rPh sb="0" eb="2">
      <t>ネンド</t>
    </rPh>
    <rPh sb="3" eb="5">
      <t>ワレキ</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</si>
  <si>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</si>
  <si>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</si>
  <si>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</si>
  <si>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</si>
  <si>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</si>
  <si>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</si>
  <si>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</si>
  <si>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</si>
  <si>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（令和６年５月１日時点）</t>
    <rPh sb="1" eb="3">
      <t>レイワ</t>
    </rPh>
    <rPh sb="4" eb="5">
      <t>ネン</t>
    </rPh>
    <rPh sb="6" eb="7">
      <t>ガツ</t>
    </rPh>
    <rPh sb="8" eb="9">
      <t>ニチ</t>
    </rPh>
    <rPh sb="9" eb="11">
      <t>ジテン</t>
    </rPh>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</si>
  <si>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</si>
  <si>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</si>
  <si>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</si>
  <si>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</si>
  <si>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</si>
  <si>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令和6年度</t>
    <rPh sb="0" eb="2">
      <t>レイワ</t>
    </rPh>
    <rPh sb="3" eb="5">
      <t>ネンド</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</si>
  <si>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</si>
  <si>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</si>
  <si>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</si>
  <si>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</si>
  <si>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4">
      <t>ガンネン</t>
    </rPh>
    <rPh sb="4" eb="5">
      <t>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</si>
  <si>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</si>
  <si>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</si>
  <si>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</si>
  <si>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</si>
  <si>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医学部医学科</t>
    <rPh sb="0" eb="3">
      <t>イガクブ</t>
    </rPh>
    <rPh sb="3" eb="6">
      <t>イガクカ</t>
    </rPh>
    <phoneticPr fontId="1"/>
  </si>
  <si>
    <t>医学部看護学科</t>
    <rPh sb="0" eb="3">
      <t>イガクブ</t>
    </rPh>
    <rPh sb="3" eb="7">
      <t>カンゴガッカ</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</si>
  <si>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</si>
  <si>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</si>
  <si>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</si>
  <si>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</si>
  <si>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</si>
  <si>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</si>
  <si>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</si>
  <si>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</si>
  <si>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</si>
  <si>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</si>
  <si>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</si>
  <si>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</si>
  <si>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</si>
  <si>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田栗　正隆</t>
    <phoneticPr fontId="1"/>
  </si>
  <si>
    <t>（役職名）</t>
    <rPh sb="1" eb="4">
      <t>ヤクショクメイ</t>
    </rPh>
    <phoneticPr fontId="1"/>
  </si>
  <si>
    <t>主任教授</t>
    <rPh sb="0" eb="4">
      <t>シュニンキョウジュ</t>
    </rPh>
    <phoneticPr fontId="1"/>
  </si>
  <si>
    <t>④</t>
    <phoneticPr fontId="1"/>
  </si>
  <si>
    <t>プログラムを改善・進化させるための体制（委員会・組織等）</t>
    <phoneticPr fontId="1"/>
  </si>
  <si>
    <t>学長・副学長会議</t>
    <rPh sb="0" eb="2">
      <t>ガクチョウ</t>
    </rPh>
    <rPh sb="3" eb="6">
      <t>フクガクチョウ</t>
    </rPh>
    <rPh sb="6" eb="8">
      <t>カイギ</t>
    </rPh>
    <phoneticPr fontId="1"/>
  </si>
  <si>
    <t>宮澤　啓介</t>
    <rPh sb="0" eb="2">
      <t>ミヤザワ</t>
    </rPh>
    <rPh sb="3" eb="5">
      <t>ケイスケ</t>
    </rPh>
    <phoneticPr fontId="1"/>
  </si>
  <si>
    <t>学長</t>
    <rPh sb="0" eb="2">
      <t>ガクチョウ</t>
    </rPh>
    <phoneticPr fontId="1"/>
  </si>
  <si>
    <t>⑤</t>
    <phoneticPr fontId="1"/>
  </si>
  <si>
    <t>プログラムを改善・進化させるための体制を定める規則名称</t>
    <phoneticPr fontId="1"/>
  </si>
  <si>
    <t>東京医科大学学長・副学長会議規程</t>
    <rPh sb="0" eb="6">
      <t>トウキョウイカダイガク</t>
    </rPh>
    <rPh sb="6" eb="8">
      <t>ガクチョウ</t>
    </rPh>
    <rPh sb="9" eb="12">
      <t>フクガクチョウ</t>
    </rPh>
    <rPh sb="12" eb="16">
      <t>カイギキテイ</t>
    </rPh>
    <phoneticPr fontId="1"/>
  </si>
  <si>
    <t>⑥</t>
    <phoneticPr fontId="1"/>
  </si>
  <si>
    <t>体制の目的</t>
    <rPh sb="0" eb="2">
      <t>タイセイ</t>
    </rPh>
    <rPh sb="3" eb="5">
      <t>モクテキ</t>
    </rPh>
    <phoneticPr fontId="1"/>
  </si>
  <si>
    <t>　本学では、医学科及び看護学科並びに大学院研究科の垣根を越えた協議立案のための会議体として学長・副学長会議を開催している。本教育プログラムを構成する科目は医学科と看護学科に跨っていることから、学長・副学長会議が両学科を束ね、全学的な教育施策として改善・進化・点検・評価に取り組むことができる体制とした。</t>
  </si>
  <si>
    <t>⑦</t>
    <phoneticPr fontId="1"/>
  </si>
  <si>
    <t>具体的な構成員</t>
    <rPh sb="0" eb="3">
      <t>グタイテキ</t>
    </rPh>
    <rPh sb="4" eb="7">
      <t>コウセイイン</t>
    </rPh>
    <phoneticPr fontId="1"/>
  </si>
  <si>
    <t>【学長・副学長会議】
　学長　　　 宮澤　啓介
　副学長　　三苫　博（教学マネジメント担当）
　副学長　　伊藤　正裕（医学科長）
　副学長　　小室　佳文（看護学科長）
　副学長　　横山　詩子（研究科長）
　副学長補　倉田 　誠（一般教育主任）
　副学長補　菅野 義彦（医学科主任）
　副学長補　大野 芳正（研究科主任）
　副学長補　鈴木 良美（副看護学科長）
　医学部　医療データサイエンス分野　主任教授　田栗　正隆
　教育IRセンター　教授　増渕　伸一
　教育部　総合事務センター長　伊藤　秀子</t>
    <rPh sb="1" eb="3">
      <t>ガクチョウ</t>
    </rPh>
    <rPh sb="4" eb="9">
      <t>フクガクチョウカイギ</t>
    </rPh>
    <phoneticPr fontId="1"/>
  </si>
  <si>
    <t>⑧</t>
    <phoneticPr fontId="1"/>
  </si>
  <si>
    <r>
      <t xml:space="preserve">履修者数・履修率の向上に向けた計画 </t>
    </r>
    <r>
      <rPr>
        <sz val="6"/>
        <color rgb="FF000000"/>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</si>
  <si>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令和６年度実績</t>
    <rPh sb="0" eb="2">
      <t>レイワ</t>
    </rPh>
    <rPh sb="3" eb="5">
      <t>ネンド</t>
    </rPh>
    <rPh sb="5" eb="7">
      <t>ジッセキ</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</si>
  <si>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</si>
  <si>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</si>
  <si>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</si>
  <si>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令和１０年度予定</t>
    <rPh sb="0" eb="2">
      <t>レイワ</t>
    </rPh>
    <rPh sb="4" eb="6">
      <t>ネンド</t>
    </rPh>
    <rPh sb="6" eb="8">
      <t>ヨテイ</t>
    </rPh>
    <phoneticPr fontId="1"/>
  </si>
  <si>
    <t>収容定員（名）</t>
    <rPh sb="0" eb="4">
      <t>シュウヨウテイイン</t>
    </rPh>
    <rPh sb="5" eb="6">
      <t>メイ</t>
    </rPh>
    <phoneticPr fontId="1"/>
  </si>
  <si>
    <t>具体的な計画</t>
    <rPh sb="0" eb="3">
      <t>グタイテキ</t>
    </rPh>
    <rPh sb="4" eb="6">
      <t>ケイカク</t>
    </rPh>
    <phoneticPr fontId="1"/>
  </si>
  <si>
    <t>　本教育プログラムの目標を達成するため、医学科では、「データサイエンスⅠ」を必修科目とし数理・データサイエンス・AI教育のリテラシーレベルの授業を第１学年の学生全員に履修させている（R6履修率18％）。看護学科では、「情報科学」、「統計学」、「疫学」を必修科目、「保健統計学」を選択科目とし、リテラシーレベル教育全般を網羅している（R6履修率26％）。ついては、看護学科では、選択科目「保健統計学」の履修を学生に推奨している。また、令和7年度から、同じ内容で「保健統計学」を２つ開講し、より多くの学生が履修できる体制を整えることとした。さらに履修者数を向上させるため、「保健統計学」を必修科目にすることを検討している。</t>
  </si>
  <si>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</si>
  <si>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</si>
  <si>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　本教育プログラムを構成する5科目のうち、医学科の「データサイエンスⅠ」、看護学科の「情報科学」、「統計学」、「疫学」の４科目については必修科目として位置付けられており、それぞれの学科において学生全員が受講することになる。選択科目として位置付けられている「保健統計学」については、令和7年度より同じ内容で２つ開講し、より多くの学生が履修できる体制を整えることとした。</t>
  </si>
  <si>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</si>
  <si>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</si>
  <si>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⑪</t>
    <phoneticPr fontId="1"/>
  </si>
  <si>
    <t>できる限り多くの学生が履修・修得できるようなサポート体制</t>
    <rPh sb="26" eb="28">
      <t>タイセイ</t>
    </rPh>
    <phoneticPr fontId="1"/>
  </si>
  <si>
    <t>　本教育プログラムに限られないが、本学ではLMS上のメッセージやメール等の手段を用いて、授業内容に関する質問を随時受け付ける体制が整備済みである。各科目には、オフィスアワーも設定している。また、各科目における授業内容の特性上、すべての科目での実施は困難であるものの、LMS上でビデオ講義をいつでも何度でも視聴できる体制を整えている科目も存在する。</t>
  </si>
  <si>
    <t>⑫</t>
    <phoneticPr fontId="1"/>
  </si>
  <si>
    <t>授業時間内外で学習指導、質問を受け付ける具体的な仕組み</t>
    <rPh sb="20" eb="23">
      <t>グタイテキ</t>
    </rPh>
    <phoneticPr fontId="1"/>
  </si>
  <si>
    <t>　本プログラムに限られないが、LMS上のメッセージやメール、オフィスアワー等の手段を用いて、授業内容に関する質問を随時受け付ける体制が整備済みである。また、各科目における授業内容の特性上、すべての科目での実施は困難であるものの、「受講生の履修管理」「確認テスト」「授業受講終了時ショートレポート」等を一括してLMS上において管理し、学習指導につなげている科目も存在する。</t>
  </si>
  <si>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</si>
  <si>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</si>
  <si>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</si>
  <si>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</si>
  <si>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</si>
  <si>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</si>
  <si>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</si>
  <si>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</si>
  <si>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</si>
  <si>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　プログラム初年度となる令和6年度の履修者数は、医学科で127名、看護学科で83名となり、大学全体で210名となる。第１学年でプログラムを修了することとなる医学科では、修了者数が123名となった。第３学年でプログラムを修了することとなる看護学科では、まだ修了者は出ていないが、第１学年において83名の学生が必修科目としてプログラム構成科目を修得している。</t>
    <phoneticPr fontId="1"/>
  </si>
  <si>
    <t>学修成果</t>
    <rPh sb="0" eb="2">
      <t>ガクシュウ</t>
    </rPh>
    <rPh sb="2" eb="4">
      <t>セイカ</t>
    </rPh>
    <phoneticPr fontId="1"/>
  </si>
  <si>
    <t>　各授業の担当教員が成績評価（期末試験・課題レポート等）の結果を利用し、十分な学修成果が得られているかを確認している。また、各科目における授業内容の特性上、すべての科目での実施は困難であるものの、LMS上で受講者の講義演習進捗状況や授業毎に行われる確認テストの結果を分析することによって、こまめに学修成果を把握している科目も存在する。こうした結果は、学長・副学長会議において、本教育プログラムの評価・改善に活用されている。</t>
  </si>
  <si>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</si>
  <si>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　成績評価（期末試験・課題レポート等）の結果や授業評価アンケートの結果等から、各講義担当者は学生の内容の理解度を分析している。また、本プログラムを構成する科目の中には、授業終了時にショートレポートを行い、授業毎の学生の授業内容の理解度を計っているものもある。令和6年度の授業評価アンケートを確認すると、本プログラムを構成する科目では、講義全体のレベルや授業内容の理解度合いについて、概ね肯定的な評価が集まっている。</t>
  </si>
  <si>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</si>
  <si>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r>
      <t>　</t>
    </r>
    <r>
      <rPr>
        <sz val="12"/>
        <color rgb="FF000000"/>
        <rFont val="MS PGothic"/>
      </rPr>
      <t>授業の最終回に行う授業評価アンケートをもとに受講の感想等の意見を本プログラムのホームページや履修オリエンテーションの機会に提示して、講義受講の推奨に活用する予定である。</t>
    </r>
  </si>
  <si>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</si>
  <si>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　本教育プログラムを構成する「保健統計学」は選択科目であるため履修を学生に推奨している。また、令和7年度から、同じ内容で「保健統計学」を２つ開講し、より多くの学生が履修できる体制を整えることとした。さらに履修者数を向上させるため、「保健統計学」を必修科目にすることを検討している。</t>
  </si>
  <si>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</si>
  <si>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</si>
  <si>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r>
      <t>　</t>
    </r>
    <r>
      <rPr>
        <sz val="12"/>
        <color rgb="FF000000"/>
        <rFont val="MS PGothic"/>
      </rPr>
      <t>本教育プログラムを修了した卒業生は令和７年時点でまだいない。本教育プログラムを修了した卒業生が現れた時点で進路、活躍状況などについて調査する予定である。</t>
    </r>
  </si>
  <si>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</si>
  <si>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</si>
  <si>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</si>
  <si>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　プログラム内容について、担当教員の共同研究関係企業等に対して教育プログラムの内容について定期的に意見を募り、その意見を反映することでプログラム改善に活用することを検討する。</t>
    <phoneticPr fontId="1"/>
  </si>
  <si>
    <t>　モデルカリキュラムリテラシーレベルの導入部分に準じた内容について、幅広い分野について活用事例を紹介しまた生成系AIなど時事やトレンドなど社会での実例をもとにAI等がどのような活用をされているかを中心に好奇心を促す講義内容としている。取り上げる実例については、学生アンケート等を活用し、その内容について評価を実施している。</t>
    <phoneticPr fontId="1"/>
  </si>
  <si>
    <t>　授業評価アンケートの意見を参考に、学生の「分かりやすさ」の観点から講義の内容・実施方法の見直しを検討している。</t>
    <rPh sb="1" eb="5">
      <t>ジュギョウヒョウカ</t>
    </rPh>
    <phoneticPr fontId="1"/>
  </si>
  <si>
    <t>学部・学科によって、修了要件は相違しない</t>
  </si>
  <si>
    <t>　入学時オリエンテーションにおいて、現在のデジタル社会においては、数理・データサイエンス・AIの基礎的素養が必要であり、その意義・重要性などについて学生に周知している。医学科では、「データサイエンスI」が必修科目で全員が受講している。看護学科では、入学時オリエンテーションで教育プログラムの一部となっている選択科目「保健統計学」の履修を学生に推奨し、全学生に履修を勧めている。また、令和7年度から、同じ内容で「保健統計学」を２つ開講し、より多くの学生が履修できる体制を整えることとした。さらに履修者数を向上させるため、「保健統計学」を必修科目にすることを検討している。</t>
    <rPh sb="260" eb="262">
      <t>ホケン</t>
    </rPh>
    <phoneticPr fontId="1"/>
  </si>
  <si>
    <t>データサイエンスⅠの1単位又は情報科学の2単位、統計学の2単位、疫学の2単位及び保健統計学の2単位を修了すること（データサイエンスⅠは医学科で開講。情報科学、統計学、疫学及び保健統計学は看護学科で開講）。</t>
    <rPh sb="11" eb="13">
      <t>タンイ</t>
    </rPh>
    <phoneticPr fontId="1"/>
  </si>
  <si>
    <t>・医学科
ビッグデータ、IoT、AI、ロボット：「データサイエンスⅠ」（１回目）
第4次産業革命：「データサイエンスⅠ」（２回目）
・看護学科
ビッグデータ、IoT、AI、ロボット：「情報科学」（１0、14回目）
データ量の増加、計算機の処理性能の向上：「情報科学」（2、14回目）
人間の知的活動とAIの関係性：「情報科学」（14回目）</t>
    <rPh sb="1" eb="4">
      <t>イガクカ</t>
    </rPh>
    <rPh sb="38" eb="39">
      <t>メ</t>
    </rPh>
    <rPh sb="63" eb="64">
      <t>メ</t>
    </rPh>
    <rPh sb="67" eb="71">
      <t>カンゴガッカ</t>
    </rPh>
    <phoneticPr fontId="1"/>
  </si>
  <si>
    <t>・医学科
人の行動ログデータ、機械の稼働ログデータ、1次データ、2次データ、構造化データ、非構造化データ、データのオープン化：「データサイエンスⅠ」（３回目）
・看護学科
調査データ、データ作成、データのオープン化：「疫学」（12～15回目）</t>
    <rPh sb="1" eb="4">
      <t>イガクカ</t>
    </rPh>
    <rPh sb="5" eb="6">
      <t>ヒト</t>
    </rPh>
    <rPh sb="7" eb="9">
      <t>コウドウ</t>
    </rPh>
    <rPh sb="15" eb="17">
      <t>キカイ</t>
    </rPh>
    <rPh sb="18" eb="20">
      <t>カドウ</t>
    </rPh>
    <rPh sb="27" eb="28">
      <t>ツギ</t>
    </rPh>
    <rPh sb="33" eb="34">
      <t>ジ</t>
    </rPh>
    <rPh sb="38" eb="41">
      <t>コウゾウカ</t>
    </rPh>
    <rPh sb="45" eb="46">
      <t>ヒ</t>
    </rPh>
    <rPh sb="46" eb="49">
      <t>コウゾウカ</t>
    </rPh>
    <rPh sb="61" eb="62">
      <t>カ</t>
    </rPh>
    <rPh sb="77" eb="78">
      <t>メ</t>
    </rPh>
    <rPh sb="81" eb="85">
      <t>カンゴガッカ</t>
    </rPh>
    <phoneticPr fontId="1"/>
  </si>
  <si>
    <t>・医学科
データ・AIの活用領域の広がり：「データサイエンスⅠ」（第４回）
・看護学科
知識発見、原因究明、仮説検証、計画策定：「疫学」(7～15回目）
データ・AI活用領域の広がり：「情報科学」（14回目）</t>
    <rPh sb="1" eb="4">
      <t>イガクカ</t>
    </rPh>
    <rPh sb="17" eb="18">
      <t>ヒロ</t>
    </rPh>
    <rPh sb="39" eb="43">
      <t>カンゴガッカ</t>
    </rPh>
    <phoneticPr fontId="1"/>
  </si>
  <si>
    <t>・医学科
流通、製造、金融、サービス、インフラ、公共、ヘルスケア等におけるデータ、AI利活用事例紹介：「データサイエンスⅠ」（７回目）
・看護学科
流通、製造、金融、サービス、インフラ、公共、ヘルスケア等におけるデータ：「疫学」（14回目）、「保健統計学」（4回目）
データサイエンスのサイクル：「疫学」（12～15回目）</t>
    <rPh sb="1" eb="4">
      <t>イガクカ</t>
    </rPh>
    <rPh sb="65" eb="66">
      <t>メ</t>
    </rPh>
    <rPh sb="69" eb="73">
      <t>カンゴガッカ</t>
    </rPh>
    <rPh sb="122" eb="127">
      <t>ホケントウケイガク</t>
    </rPh>
    <rPh sb="130" eb="132">
      <t>カイメ</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</si>
</sst>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4">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2"/>
      <name val="ＭＳ Ｐゴシック"/>
      <family val="3"/>
      <charset val="128"/>
      <scheme val="minor"/>
    </font>
    <font>
      <sz val="10"/>
      <name val="ＭＳ Ｐゴシック"/>
      <family val="3"/>
      <charset val="128"/>
      <scheme val="minor"/>
    </font>
    <font>
      <sz val="9"/>
      <name val="ＭＳ Ｐゴシック"/>
      <family val="3"/>
      <charset val="128"/>
      <scheme val="minor"/>
    </font>
    <font>
      <b/>
      <sz val="9"/>
      <color indexed="81"/>
      <name val="MS P ゴシック"/>
      <family val="3"/>
      <charset val="128"/>
    </font>
    <font>
      <sz val="9"/>
      <color indexed="81"/>
      <name val="MS P ゴシック"/>
      <family val="3"/>
      <charset val="128"/>
    </font>
    <font>
      <sz val="12"/>
      <color rgb="FF000000"/>
      <name val="ＭＳ Ｐゴシック"/>
      <family val="2"/>
      <scheme val="minor"/>
    </font>
    <font>
      <sz val="12"/>
      <color rgb="FF000000"/>
      <name val="MS PGothic"/>
    </font>
    <font>
      <sz val="12"/>
      <color rgb="FF000000"/>
      <name val="ＭＳ Ｐゴシック"/>
      <family val="3"/>
      <charset val="128"/>
      <scheme val="minor"/>
    </font>
    <font>
      <sz val="10"/>
      <color rgb="FF000000"/>
      <name val="ＭＳ Ｐゴシック"/>
      <family val="3"/>
      <charset val="128"/>
      <scheme val="minor"/>
    </font>
    <font>
      <sz val="7"/>
      <color rgb="FF000000"/>
      <name val="ＭＳ Ｐゴシック"/>
      <family val="3"/>
      <charset val="128"/>
      <scheme val="minor"/>
    </font>
    <font>
      <sz val="9"/>
      <color rgb="FF000000"/>
      <name val="ＭＳ Ｐゴシック"/>
      <family val="3"/>
      <charset val="128"/>
      <scheme val="minor"/>
    </font>
    <font>
      <sz val="14"/>
      <color rgb="FF000000"/>
      <name val="ＭＳ Ｐゴシック"/>
      <family val="3"/>
      <charset val="128"/>
      <scheme val="minor"/>
    </font>
    <font>
      <sz val="11"/>
      <color rgb="FF000000"/>
      <name val="ＭＳ Ｐゴシック"/>
      <family val="3"/>
      <charset val="128"/>
      <scheme val="minor"/>
    </font>
    <font>
      <sz val="6"/>
      <color rgb="FF000000"/>
      <name val="ＭＳ Ｐゴシック"/>
      <family val="3"/>
      <charset val="128"/>
      <scheme val="minor"/>
    </font>
    <font>
      <sz val="11"/>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3" fillId="0" borderId="0" applyFont="0" applyFill="0" applyBorder="0" applyAlignment="0" applyProtection="0">
      <alignment vertical="center"/>
    </xf>
    <xf numFmtId="38" fontId="3" fillId="0" borderId="0" applyFont="0" applyFill="0" applyBorder="0" applyAlignment="0" applyProtection="0">
      <alignment vertical="center"/>
    </xf>
  </cellStyleXfs>
  <cellXfs count="272">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9" fontId="2" fillId="0" borderId="48" xfId="0" applyNumberFormat="1" applyFont="1" applyBorder="1" applyAlignment="1">
      <alignment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8" fillId="0" borderId="0" xfId="0" applyFont="1">
      <alignment vertical="center"/>
    </xf>
    <xf numFmtId="0" fontId="8" fillId="0" borderId="0" xfId="0" applyFont="1" applyAlignment="1">
      <alignment vertical="center" shrinkToFit="1"/>
    </xf>
    <xf numFmtId="0" fontId="8" fillId="0" borderId="0" xfId="0" applyFont="1" applyAlignment="1">
      <alignment horizontal="center" vertical="center"/>
    </xf>
    <xf numFmtId="0" fontId="8" fillId="0" borderId="0" xfId="0" applyFont="1" applyAlignment="1">
      <alignment horizontal="right" vertical="center"/>
    </xf>
    <xf numFmtId="0" fontId="8" fillId="0" borderId="0" xfId="0" applyFont="1" applyAlignment="1">
      <alignment horizontal="left" vertical="center"/>
    </xf>
    <xf numFmtId="0" fontId="8" fillId="0" borderId="1" xfId="0" applyFont="1" applyBorder="1">
      <alignment vertical="center"/>
    </xf>
    <xf numFmtId="0" fontId="8" fillId="0" borderId="0" xfId="0" applyFont="1" applyAlignment="1">
      <alignment horizontal="center" vertical="center" shrinkToFit="1"/>
    </xf>
    <xf numFmtId="0" fontId="9" fillId="0" borderId="0" xfId="0" applyFont="1" applyAlignment="1">
      <alignment horizontal="center" vertical="center"/>
    </xf>
    <xf numFmtId="0" fontId="7" fillId="0" borderId="32" xfId="0" applyFont="1" applyBorder="1" applyAlignment="1">
      <alignment horizontal="center" vertical="center"/>
    </xf>
    <xf numFmtId="0" fontId="7" fillId="0" borderId="35" xfId="0" applyFont="1" applyBorder="1" applyAlignment="1">
      <alignment horizontal="center" vertical="center"/>
    </xf>
    <xf numFmtId="38" fontId="2" fillId="0" borderId="20" xfId="2" applyFont="1" applyFill="1" applyBorder="1" applyAlignment="1">
      <alignment vertical="center" shrinkToFit="1"/>
    </xf>
    <xf numFmtId="38" fontId="2" fillId="0" borderId="19" xfId="2" applyFont="1" applyFill="1" applyBorder="1" applyAlignment="1">
      <alignment vertical="center" shrinkToFit="1"/>
    </xf>
    <xf numFmtId="0" fontId="15" fillId="0" borderId="0" xfId="0" applyFont="1">
      <alignment vertical="center"/>
    </xf>
    <xf numFmtId="0" fontId="15" fillId="0" borderId="0" xfId="0" applyFont="1" applyAlignment="1">
      <alignment horizontal="center" vertical="center"/>
    </xf>
    <xf numFmtId="0" fontId="15" fillId="0" borderId="0" xfId="0" applyFont="1" applyAlignment="1">
      <alignment horizontal="left" vertical="center"/>
    </xf>
    <xf numFmtId="0" fontId="15" fillId="0" borderId="1" xfId="0" applyFont="1" applyBorder="1">
      <alignment vertical="center"/>
    </xf>
    <xf numFmtId="0" fontId="17" fillId="0" borderId="32" xfId="0" applyFont="1" applyBorder="1" applyAlignment="1">
      <alignment horizontal="center" vertical="center"/>
    </xf>
    <xf numFmtId="38" fontId="15" fillId="0" borderId="18" xfId="2" applyFont="1" applyBorder="1" applyAlignment="1">
      <alignment vertical="center" shrinkToFit="1"/>
    </xf>
    <xf numFmtId="38" fontId="15" fillId="0" borderId="46" xfId="2" applyFont="1" applyBorder="1" applyAlignment="1">
      <alignment vertical="center" shrinkToFit="1"/>
    </xf>
    <xf numFmtId="38" fontId="15" fillId="0" borderId="5" xfId="2" applyFont="1" applyBorder="1" applyAlignment="1">
      <alignment vertical="center" shrinkToFit="1"/>
    </xf>
    <xf numFmtId="38" fontId="15" fillId="0" borderId="18" xfId="2" applyFont="1" applyFill="1" applyBorder="1" applyAlignment="1">
      <alignment vertical="center" shrinkToFit="1"/>
    </xf>
    <xf numFmtId="38" fontId="15" fillId="0" borderId="46" xfId="2" applyFont="1" applyFill="1" applyBorder="1" applyAlignment="1">
      <alignment vertical="center" shrinkToFit="1"/>
    </xf>
    <xf numFmtId="38" fontId="15" fillId="0" borderId="22" xfId="2" applyFont="1" applyBorder="1" applyAlignment="1">
      <alignment vertical="center" shrinkToFit="1"/>
    </xf>
    <xf numFmtId="0" fontId="18" fillId="0" borderId="0" xfId="0" applyFont="1">
      <alignment vertical="center"/>
    </xf>
    <xf numFmtId="0" fontId="15" fillId="0" borderId="0" xfId="0" applyFont="1" applyAlignment="1">
      <alignment horizontal="right" vertical="center"/>
    </xf>
    <xf numFmtId="0" fontId="19" fillId="0" borderId="0" xfId="0" applyFont="1" applyAlignment="1">
      <alignment horizontal="center" vertical="center"/>
    </xf>
    <xf numFmtId="0" fontId="15" fillId="0" borderId="1" xfId="0" applyFont="1" applyBorder="1" applyAlignment="1">
      <alignment horizontal="center" vertical="center"/>
    </xf>
    <xf numFmtId="0" fontId="20" fillId="0" borderId="0" xfId="0" applyFont="1">
      <alignment vertical="center"/>
    </xf>
    <xf numFmtId="0" fontId="20" fillId="0" borderId="0" xfId="0" applyFont="1" applyAlignment="1">
      <alignment horizontal="left" vertical="center"/>
    </xf>
    <xf numFmtId="0" fontId="15" fillId="0" borderId="0" xfId="0" applyFont="1" applyAlignment="1">
      <alignment vertical="top" wrapText="1"/>
    </xf>
    <xf numFmtId="0" fontId="15" fillId="0" borderId="0" xfId="0" applyFont="1" applyAlignment="1">
      <alignment vertical="top" wrapText="1" shrinkToFit="1"/>
    </xf>
    <xf numFmtId="0" fontId="15" fillId="0" borderId="0" xfId="0" applyFont="1" applyAlignment="1">
      <alignment vertical="top" shrinkToFit="1"/>
    </xf>
    <xf numFmtId="0" fontId="15" fillId="0" borderId="0" xfId="0" applyFont="1" applyAlignment="1">
      <alignment vertical="center" wrapText="1"/>
    </xf>
    <xf numFmtId="0" fontId="18" fillId="0" borderId="0" xfId="0" applyFont="1" applyAlignment="1">
      <alignment vertical="top" wrapText="1"/>
    </xf>
    <xf numFmtId="0" fontId="15" fillId="0" borderId="1" xfId="0" applyFont="1" applyBorder="1" applyAlignment="1">
      <alignment horizontal="center" vertical="center" wrapText="1" shrinkToFit="1"/>
    </xf>
    <xf numFmtId="9" fontId="15" fillId="0" borderId="1" xfId="0" applyNumberFormat="1" applyFont="1" applyBorder="1" applyAlignment="1">
      <alignment horizontal="center" vertical="center" shrinkToFit="1"/>
    </xf>
    <xf numFmtId="9" fontId="15" fillId="0" borderId="0" xfId="1" applyFont="1" applyAlignment="1">
      <alignment horizontal="center" vertical="center"/>
    </xf>
    <xf numFmtId="0" fontId="15" fillId="0" borderId="1" xfId="0" applyFont="1" applyBorder="1" applyAlignment="1">
      <alignment horizontal="center" vertical="center" shrinkToFit="1"/>
    </xf>
    <xf numFmtId="176" fontId="15" fillId="0" borderId="1" xfId="0" applyNumberFormat="1" applyFont="1" applyBorder="1" applyAlignment="1">
      <alignment horizontal="center" vertical="center" shrinkToFit="1"/>
    </xf>
    <xf numFmtId="0" fontId="18" fillId="0" borderId="0" xfId="0" applyFont="1" applyAlignment="1">
      <alignment vertical="top" shrinkToFit="1"/>
    </xf>
    <xf numFmtId="0" fontId="15" fillId="0" borderId="1" xfId="0" applyFont="1" applyBorder="1" applyAlignment="1">
      <alignment horizontal="left" vertical="center"/>
    </xf>
    <xf numFmtId="0" fontId="15" fillId="2" borderId="5" xfId="0" applyFont="1" applyFill="1" applyBorder="1">
      <alignment vertical="center"/>
    </xf>
    <xf numFmtId="0" fontId="18" fillId="2" borderId="0" xfId="0" applyFont="1" applyFill="1" applyAlignment="1">
      <alignment vertical="top" wrapText="1"/>
    </xf>
    <xf numFmtId="0" fontId="18" fillId="2" borderId="10" xfId="0" applyFont="1" applyFill="1" applyBorder="1" applyAlignment="1">
      <alignment vertical="top" wrapText="1"/>
    </xf>
    <xf numFmtId="0" fontId="15" fillId="2" borderId="0" xfId="0" applyFont="1" applyFill="1">
      <alignment vertical="center"/>
    </xf>
    <xf numFmtId="0" fontId="18" fillId="2" borderId="5" xfId="0" applyFont="1" applyFill="1" applyBorder="1" applyAlignment="1">
      <alignment vertical="top" wrapText="1"/>
    </xf>
    <xf numFmtId="0" fontId="18" fillId="2" borderId="11" xfId="0" applyFont="1" applyFill="1" applyBorder="1" applyAlignment="1">
      <alignment vertical="top" wrapText="1"/>
    </xf>
    <xf numFmtId="0" fontId="18" fillId="2" borderId="37" xfId="0" applyFont="1" applyFill="1" applyBorder="1" applyAlignment="1">
      <alignment vertical="top" wrapText="1"/>
    </xf>
    <xf numFmtId="0" fontId="18" fillId="2" borderId="38" xfId="0" applyFont="1" applyFill="1" applyBorder="1" applyAlignment="1">
      <alignment vertical="top" wrapText="1"/>
    </xf>
    <xf numFmtId="0" fontId="18" fillId="2" borderId="37" xfId="0" applyFont="1" applyFill="1" applyBorder="1" applyAlignment="1">
      <alignment vertical="top" shrinkToFit="1"/>
    </xf>
    <xf numFmtId="0" fontId="18" fillId="2" borderId="38" xfId="0" applyFont="1" applyFill="1" applyBorder="1" applyAlignment="1">
      <alignment vertical="top" shrinkToFit="1"/>
    </xf>
    <xf numFmtId="0" fontId="8" fillId="0" borderId="1" xfId="0" applyFont="1" applyBorder="1" applyAlignment="1">
      <alignment horizontal="center" vertical="center"/>
    </xf>
    <xf numFmtId="49" fontId="10" fillId="0" borderId="32" xfId="0" applyNumberFormat="1" applyFont="1" applyBorder="1" applyAlignment="1">
      <alignment horizontal="left" vertical="center" wrapText="1"/>
    </xf>
    <xf numFmtId="49" fontId="10" fillId="0" borderId="33" xfId="0" applyNumberFormat="1" applyFont="1" applyBorder="1" applyAlignment="1">
      <alignment horizontal="left" vertical="center"/>
    </xf>
    <xf numFmtId="49" fontId="10" fillId="0" borderId="34" xfId="0" applyNumberFormat="1" applyFont="1" applyBorder="1" applyAlignment="1">
      <alignment horizontal="left" vertical="center"/>
    </xf>
    <xf numFmtId="49" fontId="10" fillId="0" borderId="29" xfId="0" applyNumberFormat="1" applyFont="1" applyBorder="1" applyAlignment="1">
      <alignment horizontal="left" vertical="center" wrapText="1"/>
    </xf>
    <xf numFmtId="0" fontId="5" fillId="0" borderId="0" xfId="0" applyFont="1" applyAlignment="1">
      <alignment horizontal="center" vertical="center"/>
    </xf>
    <xf numFmtId="0" fontId="15" fillId="0" borderId="14" xfId="0" applyFont="1" applyBorder="1" applyAlignment="1">
      <alignment horizontal="center" vertical="center"/>
    </xf>
    <xf numFmtId="0" fontId="2" fillId="0" borderId="14" xfId="0" applyFont="1" applyBorder="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shrinkToFit="1"/>
    </xf>
    <xf numFmtId="0" fontId="8"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6" fillId="0" borderId="8" xfId="0" applyFont="1" applyBorder="1" applyAlignment="1">
      <alignment horizontal="center" vertical="center" wrapText="1"/>
    </xf>
    <xf numFmtId="0" fontId="6"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11"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2" xfId="0" applyFont="1" applyBorder="1" applyAlignment="1">
      <alignment horizontal="center" vertical="center" wrapText="1"/>
    </xf>
    <xf numFmtId="0" fontId="6" fillId="0" borderId="9" xfId="0" applyFont="1" applyBorder="1" applyAlignment="1">
      <alignment horizontal="center" vertical="center"/>
    </xf>
    <xf numFmtId="0" fontId="6" fillId="0" borderId="12" xfId="0" applyFont="1" applyBorder="1" applyAlignment="1">
      <alignment horizontal="center" vertical="center"/>
    </xf>
    <xf numFmtId="0" fontId="6" fillId="0" borderId="15" xfId="0" applyFont="1" applyBorder="1" applyAlignment="1">
      <alignment horizontal="center" vertical="center" wrapText="1"/>
    </xf>
    <xf numFmtId="0" fontId="6" fillId="0" borderId="13" xfId="0" applyFont="1" applyBorder="1" applyAlignment="1">
      <alignment horizontal="center" vertical="center" wrapText="1"/>
    </xf>
    <xf numFmtId="9" fontId="15" fillId="0" borderId="1" xfId="0" applyNumberFormat="1" applyFont="1" applyBorder="1" applyAlignment="1">
      <alignment horizontal="center" vertical="center" shrinkToFit="1"/>
    </xf>
    <xf numFmtId="0" fontId="15" fillId="0" borderId="7" xfId="0" applyFont="1" applyBorder="1" applyAlignment="1">
      <alignment vertical="top" wrapText="1"/>
    </xf>
    <xf numFmtId="0" fontId="15" fillId="0" borderId="8" xfId="0" applyFont="1" applyBorder="1" applyAlignment="1">
      <alignment vertical="top" wrapText="1"/>
    </xf>
    <xf numFmtId="0" fontId="15" fillId="0" borderId="9" xfId="0" applyFont="1" applyBorder="1" applyAlignment="1">
      <alignment vertical="top" wrapText="1"/>
    </xf>
    <xf numFmtId="0" fontId="15" fillId="0" borderId="5" xfId="0" applyFont="1" applyBorder="1" applyAlignment="1">
      <alignment vertical="top" wrapText="1"/>
    </xf>
    <xf numFmtId="0" fontId="15" fillId="0" borderId="0" xfId="0" applyFont="1" applyAlignment="1">
      <alignment vertical="top" wrapText="1"/>
    </xf>
    <xf numFmtId="0" fontId="15" fillId="0" borderId="10" xfId="0" applyFont="1" applyBorder="1" applyAlignment="1">
      <alignment vertical="top" wrapText="1"/>
    </xf>
    <xf numFmtId="0" fontId="15" fillId="0" borderId="11" xfId="0" applyFont="1" applyBorder="1" applyAlignment="1">
      <alignment vertical="top" wrapText="1"/>
    </xf>
    <xf numFmtId="0" fontId="15" fillId="0" borderId="6" xfId="0" applyFont="1" applyBorder="1" applyAlignment="1">
      <alignment vertical="top" wrapText="1"/>
    </xf>
    <xf numFmtId="0" fontId="15" fillId="0" borderId="12" xfId="0" applyFont="1" applyBorder="1" applyAlignment="1">
      <alignment vertical="top" wrapText="1"/>
    </xf>
    <xf numFmtId="0" fontId="15" fillId="0" borderId="9" xfId="0" applyFont="1" applyBorder="1" applyAlignment="1">
      <alignment vertical="top"/>
    </xf>
    <xf numFmtId="0" fontId="15" fillId="0" borderId="5" xfId="0" applyFont="1" applyBorder="1" applyAlignment="1">
      <alignment vertical="top"/>
    </xf>
    <xf numFmtId="0" fontId="15" fillId="0" borderId="0" xfId="0" applyFont="1" applyAlignment="1">
      <alignment vertical="top"/>
    </xf>
    <xf numFmtId="0" fontId="15" fillId="0" borderId="10" xfId="0" applyFont="1" applyBorder="1" applyAlignment="1">
      <alignment vertical="top"/>
    </xf>
    <xf numFmtId="0" fontId="15" fillId="0" borderId="11" xfId="0" applyFont="1" applyBorder="1" applyAlignment="1">
      <alignment vertical="top"/>
    </xf>
    <xf numFmtId="0" fontId="15" fillId="0" borderId="6" xfId="0" applyFont="1" applyBorder="1" applyAlignment="1">
      <alignment vertical="top"/>
    </xf>
    <xf numFmtId="0" fontId="15" fillId="0" borderId="12" xfId="0" applyFont="1" applyBorder="1" applyAlignment="1">
      <alignment vertical="top"/>
    </xf>
    <xf numFmtId="9" fontId="15" fillId="0" borderId="1" xfId="0" applyNumberFormat="1" applyFont="1" applyBorder="1" applyAlignment="1">
      <alignment horizontal="center" vertical="center" wrapText="1" shrinkToFit="1"/>
    </xf>
    <xf numFmtId="0" fontId="13" fillId="0" borderId="7" xfId="0" applyFont="1" applyBorder="1" applyAlignment="1">
      <alignment horizontal="left" vertical="top" wrapText="1"/>
    </xf>
    <xf numFmtId="0" fontId="15" fillId="0" borderId="8" xfId="0" applyFont="1" applyBorder="1" applyAlignment="1">
      <alignment horizontal="left" vertical="top" wrapText="1"/>
    </xf>
    <xf numFmtId="0" fontId="15" fillId="0" borderId="9" xfId="0" applyFont="1" applyBorder="1" applyAlignment="1">
      <alignment horizontal="left" vertical="top" wrapText="1"/>
    </xf>
    <xf numFmtId="0" fontId="15" fillId="0" borderId="5" xfId="0" applyFont="1" applyBorder="1" applyAlignment="1">
      <alignment horizontal="left" vertical="top" wrapText="1"/>
    </xf>
    <xf numFmtId="0" fontId="15" fillId="0" borderId="0" xfId="0" applyFont="1" applyAlignment="1">
      <alignment horizontal="left" vertical="top" wrapText="1"/>
    </xf>
    <xf numFmtId="0" fontId="15" fillId="0" borderId="10" xfId="0" applyFont="1" applyBorder="1" applyAlignment="1">
      <alignment horizontal="left" vertical="top" wrapText="1"/>
    </xf>
    <xf numFmtId="0" fontId="15" fillId="0" borderId="11" xfId="0" applyFont="1" applyBorder="1" applyAlignment="1">
      <alignment horizontal="left" vertical="top" wrapText="1"/>
    </xf>
    <xf numFmtId="0" fontId="15" fillId="0" borderId="6" xfId="0" applyFont="1" applyBorder="1" applyAlignment="1">
      <alignment horizontal="left" vertical="top" wrapText="1"/>
    </xf>
    <xf numFmtId="0" fontId="15" fillId="0" borderId="12" xfId="0" applyFont="1" applyBorder="1" applyAlignment="1">
      <alignment horizontal="left" vertical="top" wrapText="1"/>
    </xf>
    <xf numFmtId="0" fontId="15" fillId="0" borderId="0" xfId="0" applyFont="1" applyAlignment="1">
      <alignment horizontal="left" vertical="center" wrapText="1"/>
    </xf>
    <xf numFmtId="0" fontId="15" fillId="0" borderId="2" xfId="0" applyFont="1" applyBorder="1" applyAlignment="1">
      <alignment horizontal="center" vertical="center"/>
    </xf>
    <xf numFmtId="0" fontId="15" fillId="0" borderId="4" xfId="0" applyFont="1" applyBorder="1" applyAlignment="1">
      <alignment horizontal="center" vertical="center"/>
    </xf>
    <xf numFmtId="0" fontId="19" fillId="0" borderId="0" xfId="0" applyFont="1" applyAlignment="1">
      <alignment horizontal="center" vertical="center"/>
    </xf>
    <xf numFmtId="0" fontId="15" fillId="0" borderId="2" xfId="0" applyFont="1" applyBorder="1" applyAlignment="1">
      <alignment vertical="center" shrinkToFit="1"/>
    </xf>
    <xf numFmtId="0" fontId="15" fillId="0" borderId="3" xfId="0" applyFont="1" applyBorder="1" applyAlignment="1">
      <alignment vertical="center" shrinkToFit="1"/>
    </xf>
    <xf numFmtId="0" fontId="15" fillId="0" borderId="4" xfId="0" applyFont="1" applyBorder="1" applyAlignment="1">
      <alignment vertical="center" shrinkToFit="1"/>
    </xf>
    <xf numFmtId="0" fontId="15" fillId="0" borderId="7" xfId="0" applyFont="1" applyBorder="1" applyAlignment="1">
      <alignment vertical="top" wrapText="1" shrinkToFit="1"/>
    </xf>
    <xf numFmtId="0" fontId="15" fillId="0" borderId="8" xfId="0" applyFont="1" applyBorder="1" applyAlignment="1">
      <alignment vertical="top" wrapText="1" shrinkToFit="1"/>
    </xf>
    <xf numFmtId="0" fontId="15" fillId="0" borderId="9" xfId="0" applyFont="1" applyBorder="1" applyAlignment="1">
      <alignment vertical="top" shrinkToFit="1"/>
    </xf>
    <xf numFmtId="0" fontId="15" fillId="0" borderId="5" xfId="0" applyFont="1" applyBorder="1" applyAlignment="1">
      <alignment vertical="top" wrapText="1" shrinkToFit="1"/>
    </xf>
    <xf numFmtId="0" fontId="15" fillId="0" borderId="0" xfId="0" applyFont="1" applyAlignment="1">
      <alignment vertical="top" wrapText="1" shrinkToFit="1"/>
    </xf>
    <xf numFmtId="0" fontId="15" fillId="0" borderId="10" xfId="0" applyFont="1" applyBorder="1" applyAlignment="1">
      <alignment vertical="top" shrinkToFit="1"/>
    </xf>
    <xf numFmtId="0" fontId="15" fillId="0" borderId="5" xfId="0" applyFont="1" applyBorder="1" applyAlignment="1">
      <alignment vertical="top" shrinkToFit="1"/>
    </xf>
    <xf numFmtId="0" fontId="15" fillId="0" borderId="0" xfId="0" applyFont="1" applyAlignment="1">
      <alignment vertical="top" shrinkToFit="1"/>
    </xf>
    <xf numFmtId="0" fontId="15" fillId="0" borderId="11" xfId="0" applyFont="1" applyBorder="1" applyAlignment="1">
      <alignment vertical="top" shrinkToFit="1"/>
    </xf>
    <xf numFmtId="0" fontId="15" fillId="0" borderId="6" xfId="0" applyFont="1" applyBorder="1" applyAlignment="1">
      <alignment vertical="top" shrinkToFit="1"/>
    </xf>
    <xf numFmtId="0" fontId="15" fillId="0" borderId="12" xfId="0" applyFont="1" applyBorder="1" applyAlignment="1">
      <alignment vertical="top" shrinkToFit="1"/>
    </xf>
    <xf numFmtId="0" fontId="15" fillId="0" borderId="2" xfId="0" applyFont="1" applyBorder="1" applyAlignment="1">
      <alignment horizontal="left" vertical="center"/>
    </xf>
    <xf numFmtId="0" fontId="20" fillId="0" borderId="3" xfId="0" applyFont="1" applyBorder="1">
      <alignment vertical="center"/>
    </xf>
    <xf numFmtId="0" fontId="15" fillId="0" borderId="3" xfId="0" applyFont="1" applyBorder="1">
      <alignment vertical="center"/>
    </xf>
    <xf numFmtId="0" fontId="20" fillId="0" borderId="4" xfId="0" applyFont="1" applyBorder="1">
      <alignment vertical="center"/>
    </xf>
    <xf numFmtId="0" fontId="20" fillId="0" borderId="3" xfId="0" applyFont="1" applyBorder="1" applyAlignment="1">
      <alignment horizontal="left" vertical="center"/>
    </xf>
    <xf numFmtId="0" fontId="15" fillId="0" borderId="4" xfId="0" applyFont="1" applyBorder="1" applyAlignment="1">
      <alignment horizontal="left" vertical="center"/>
    </xf>
    <xf numFmtId="0" fontId="20" fillId="0" borderId="4" xfId="0" applyFont="1" applyBorder="1" applyAlignment="1">
      <alignment horizontal="left" vertical="center"/>
    </xf>
    <xf numFmtId="0" fontId="15" fillId="0" borderId="0" xfId="0" applyFont="1" applyAlignment="1">
      <alignment horizontal="center" vertical="center"/>
    </xf>
    <xf numFmtId="0" fontId="14" fillId="0" borderId="7" xfId="0" applyFont="1" applyBorder="1" applyAlignment="1">
      <alignment vertical="top" wrapText="1" shrinkToFit="1"/>
    </xf>
    <xf numFmtId="0" fontId="14" fillId="0" borderId="8" xfId="0" applyFont="1" applyBorder="1" applyAlignment="1">
      <alignment vertical="top" wrapText="1" shrinkToFit="1"/>
    </xf>
    <xf numFmtId="0" fontId="14" fillId="0" borderId="9" xfId="0" applyFont="1" applyBorder="1" applyAlignment="1">
      <alignment vertical="top" shrinkToFit="1"/>
    </xf>
    <xf numFmtId="0" fontId="14" fillId="0" borderId="5" xfId="0" applyFont="1" applyBorder="1" applyAlignment="1">
      <alignment vertical="top" shrinkToFit="1"/>
    </xf>
    <xf numFmtId="0" fontId="14" fillId="0" borderId="0" xfId="0" applyFont="1" applyAlignment="1">
      <alignment vertical="top" shrinkToFit="1"/>
    </xf>
    <xf numFmtId="0" fontId="14" fillId="0" borderId="10" xfId="0" applyFont="1" applyBorder="1" applyAlignment="1">
      <alignment vertical="top" shrinkToFit="1"/>
    </xf>
    <xf numFmtId="0" fontId="14" fillId="0" borderId="11" xfId="0" applyFont="1" applyBorder="1" applyAlignment="1">
      <alignment vertical="top" shrinkToFit="1"/>
    </xf>
    <xf numFmtId="0" fontId="14" fillId="0" borderId="6" xfId="0" applyFont="1" applyBorder="1" applyAlignment="1">
      <alignment vertical="top" shrinkToFit="1"/>
    </xf>
    <xf numFmtId="0" fontId="14" fillId="0" borderId="12" xfId="0" applyFont="1" applyBorder="1" applyAlignment="1">
      <alignment vertical="top" shrinkToFit="1"/>
    </xf>
    <xf numFmtId="0" fontId="15" fillId="0" borderId="0" xfId="0" applyFont="1">
      <alignment vertical="center"/>
    </xf>
    <xf numFmtId="0" fontId="15" fillId="2" borderId="5" xfId="0" applyFont="1" applyFill="1" applyBorder="1" applyAlignment="1">
      <alignment horizontal="center" vertical="center" shrinkToFit="1"/>
    </xf>
    <xf numFmtId="0" fontId="15" fillId="2" borderId="0" xfId="0" applyFont="1" applyFill="1" applyAlignment="1">
      <alignment horizontal="center" vertical="center" shrinkToFit="1"/>
    </xf>
    <xf numFmtId="0" fontId="15" fillId="2" borderId="10" xfId="0" applyFont="1" applyFill="1" applyBorder="1" applyAlignment="1">
      <alignment horizontal="center" vertical="center" shrinkToFit="1"/>
    </xf>
    <xf numFmtId="0" fontId="15" fillId="0" borderId="11" xfId="0" applyFont="1" applyBorder="1" applyAlignment="1">
      <alignment vertical="center" wrapText="1"/>
    </xf>
    <xf numFmtId="0" fontId="15" fillId="0" borderId="6" xfId="0" applyFont="1" applyBorder="1" applyAlignment="1">
      <alignment vertical="center" wrapText="1"/>
    </xf>
    <xf numFmtId="0" fontId="15" fillId="0" borderId="12" xfId="0" applyFont="1" applyBorder="1" applyAlignment="1">
      <alignment vertical="center" wrapTex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15" fillId="0" borderId="16" xfId="0" applyFont="1" applyBorder="1" applyAlignment="1">
      <alignment vertical="center" wrapText="1"/>
    </xf>
    <xf numFmtId="0" fontId="15" fillId="0" borderId="17" xfId="0" applyFont="1" applyBorder="1" applyAlignment="1">
      <alignment vertical="center" wrapText="1"/>
    </xf>
    <xf numFmtId="0" fontId="13" fillId="0" borderId="19" xfId="0" applyFont="1" applyBorder="1" applyAlignment="1">
      <alignment vertical="top" wrapText="1" shrinkToFit="1"/>
    </xf>
    <xf numFmtId="0" fontId="15" fillId="0" borderId="19" xfId="0" applyFont="1" applyBorder="1" applyAlignment="1">
      <alignment vertical="top" wrapText="1" shrinkToFit="1"/>
    </xf>
    <xf numFmtId="0" fontId="15" fillId="0" borderId="17" xfId="0" applyFont="1" applyBorder="1" applyAlignment="1">
      <alignment vertical="top" wrapText="1" shrinkToFit="1"/>
    </xf>
    <xf numFmtId="0" fontId="15" fillId="0" borderId="47" xfId="0" applyFont="1" applyBorder="1" applyAlignment="1">
      <alignment vertical="center" wrapText="1"/>
    </xf>
    <xf numFmtId="0" fontId="15" fillId="0" borderId="34" xfId="0" applyFont="1" applyBorder="1" applyAlignment="1">
      <alignment vertical="center" wrapText="1"/>
    </xf>
    <xf numFmtId="0" fontId="8" fillId="0" borderId="33" xfId="0" applyFont="1" applyBorder="1" applyAlignment="1">
      <alignment vertical="top" wrapText="1" shrinkToFit="1"/>
    </xf>
    <xf numFmtId="0" fontId="8" fillId="0" borderId="34" xfId="0" applyFont="1" applyBorder="1" applyAlignment="1">
      <alignment vertical="top" wrapText="1" shrinkToFit="1"/>
    </xf>
    <xf numFmtId="0" fontId="15" fillId="0" borderId="36" xfId="0" applyFont="1" applyBorder="1" applyAlignment="1">
      <alignment vertical="center" wrapText="1"/>
    </xf>
    <xf numFmtId="0" fontId="15" fillId="0" borderId="37" xfId="0" applyFont="1" applyBorder="1" applyAlignment="1">
      <alignment vertical="center" wrapText="1"/>
    </xf>
    <xf numFmtId="0" fontId="15" fillId="0" borderId="38" xfId="0" applyFont="1" applyBorder="1" applyAlignment="1">
      <alignment vertical="center" wrapText="1"/>
    </xf>
    <xf numFmtId="0" fontId="8" fillId="0" borderId="37" xfId="0" applyFont="1" applyBorder="1" applyAlignment="1">
      <alignment vertical="top" wrapText="1" shrinkToFit="1"/>
    </xf>
    <xf numFmtId="0" fontId="8" fillId="0" borderId="38" xfId="0" applyFont="1" applyBorder="1" applyAlignment="1">
      <alignment vertical="top" wrapText="1" shrinkToFit="1"/>
    </xf>
    <xf numFmtId="0" fontId="15" fillId="0" borderId="18" xfId="0" applyFont="1" applyBorder="1" applyAlignment="1">
      <alignment vertical="top" wrapText="1" shrinkToFit="1"/>
    </xf>
    <xf numFmtId="0" fontId="13" fillId="0" borderId="18" xfId="0" applyFont="1" applyBorder="1" applyAlignment="1">
      <alignment vertical="top" wrapText="1" shrinkToFit="1"/>
    </xf>
    <xf numFmtId="0" fontId="15" fillId="0" borderId="32" xfId="0" applyFont="1" applyBorder="1" applyAlignment="1">
      <alignment vertical="top" wrapText="1" shrinkToFit="1"/>
    </xf>
    <xf numFmtId="0" fontId="15" fillId="0" borderId="33" xfId="0" applyFont="1" applyBorder="1" applyAlignment="1">
      <alignment vertical="top" wrapText="1" shrinkToFit="1"/>
    </xf>
    <xf numFmtId="0" fontId="15" fillId="0" borderId="34" xfId="0" applyFont="1" applyBorder="1" applyAlignment="1">
      <alignment vertical="top" wrapText="1" shrinkToFit="1"/>
    </xf>
    <xf numFmtId="0" fontId="15" fillId="0" borderId="16" xfId="0" applyFont="1" applyBorder="1">
      <alignment vertical="center"/>
    </xf>
    <xf numFmtId="0" fontId="20" fillId="0" borderId="17" xfId="0" applyFont="1" applyBorder="1">
      <alignment vertical="center"/>
    </xf>
    <xf numFmtId="0" fontId="15" fillId="0" borderId="3" xfId="0" applyFont="1" applyBorder="1" applyAlignment="1">
      <alignment horizontal="center" vertical="center"/>
    </xf>
    <xf numFmtId="0" fontId="15" fillId="0" borderId="3" xfId="0" applyFont="1" applyBorder="1" applyAlignment="1">
      <alignment horizontal="left" vertical="center"/>
    </xf>
    <xf numFmtId="0" fontId="8" fillId="0" borderId="0" xfId="0" applyFont="1" applyAlignment="1">
      <alignment horizontal="right" vertical="center"/>
    </xf>
    <xf numFmtId="0" fontId="22" fillId="0" borderId="0" xfId="0" applyFont="1">
      <alignment vertical="center"/>
    </xf>
    <xf numFmtId="0" fontId="8" fillId="0" borderId="0" xfId="0" applyFont="1" applyAlignment="1">
      <alignment horizontal="left" vertical="center" shrinkToFit="1"/>
    </xf>
    <xf numFmtId="0" fontId="23" fillId="0" borderId="0" xfId="0" applyFont="1" applyAlignment="1">
      <alignment horizontal="center" vertical="center"/>
    </xf>
    <xf numFmtId="0" fontId="22" fillId="0" borderId="2" xfId="0" applyFont="1" applyBorder="1" applyAlignment="1">
      <alignment horizontal="center" vertical="center"/>
    </xf>
    <xf numFmtId="0" fontId="22" fillId="0" borderId="3" xfId="0" applyFont="1" applyBorder="1" applyAlignment="1">
      <alignment horizontal="center" vertical="center"/>
    </xf>
    <xf numFmtId="0" fontId="22" fillId="0" borderId="4" xfId="0" applyFont="1" applyBorder="1" applyAlignment="1">
      <alignment horizontal="center" vertical="center"/>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8" fillId="0" borderId="6" xfId="0" applyFont="1" applyBorder="1" applyAlignment="1">
      <alignment horizontal="left" vertical="center" wrapText="1"/>
    </xf>
    <xf numFmtId="0" fontId="8" fillId="0" borderId="12" xfId="0" applyFont="1" applyBorder="1" applyAlignment="1">
      <alignment horizontal="left" vertical="center" wrapText="1"/>
    </xf>
    <xf numFmtId="0" fontId="22"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wrapText="1" shrinkToFit="1"/>
    </xf>
    <xf numFmtId="0" fontId="8" fillId="0" borderId="9" xfId="0" applyFont="1" applyBorder="1" applyAlignment="1">
      <alignment horizontal="left" vertical="top" wrapText="1" shrinkToFit="1"/>
    </xf>
    <xf numFmtId="0" fontId="8" fillId="0" borderId="5" xfId="0" applyFont="1" applyBorder="1" applyAlignment="1">
      <alignment horizontal="left" vertical="top" wrapText="1" shrinkToFit="1"/>
    </xf>
    <xf numFmtId="0" fontId="8" fillId="0" borderId="0" xfId="0" applyFont="1" applyAlignment="1">
      <alignment horizontal="left" vertical="top" wrapText="1" shrinkToFit="1"/>
    </xf>
    <xf numFmtId="0" fontId="8" fillId="0" borderId="10" xfId="0" applyFont="1" applyBorder="1" applyAlignment="1">
      <alignment horizontal="left" vertical="top" wrapText="1" shrinkToFit="1"/>
    </xf>
    <xf numFmtId="0" fontId="8" fillId="0" borderId="11" xfId="0" applyFont="1" applyBorder="1" applyAlignment="1">
      <alignment horizontal="left" vertical="top" wrapText="1" shrinkToFit="1"/>
    </xf>
    <xf numFmtId="0" fontId="8" fillId="0" borderId="6" xfId="0" applyFont="1" applyBorder="1" applyAlignment="1">
      <alignment horizontal="left" vertical="top" wrapText="1" shrinkToFit="1"/>
    </xf>
    <xf numFmtId="0" fontId="8" fillId="0" borderId="12" xfId="0" applyFont="1" applyBorder="1" applyAlignment="1">
      <alignment horizontal="left" vertical="top" wrapText="1" shrinkToFit="1"/>
    </xf>
    <xf numFmtId="0" fontId="8" fillId="0" borderId="1" xfId="0" applyFont="1" applyBorder="1" applyAlignment="1">
      <alignment horizontal="left" vertical="center"/>
    </xf>
    <xf numFmtId="0" fontId="22" fillId="0" borderId="2" xfId="0" applyFont="1" applyBorder="1" applyAlignment="1">
      <alignment horizontal="center" vertical="center" shrinkToFit="1"/>
    </xf>
    <xf numFmtId="0" fontId="22" fillId="0" borderId="3" xfId="0" applyFont="1" applyBorder="1" applyAlignment="1">
      <alignment horizontal="center" vertical="center" shrinkToFit="1"/>
    </xf>
    <xf numFmtId="0" fontId="22" fillId="0" borderId="4" xfId="0" applyFont="1" applyBorder="1" applyAlignment="1">
      <alignment horizontal="center" vertical="center" shrinkToFit="1"/>
    </xf>
    <xf numFmtId="0" fontId="8" fillId="0" borderId="0" xfId="0" applyFont="1" applyAlignment="1">
      <alignment vertical="center" wrapTex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10" fillId="0" borderId="1" xfId="0" applyFont="1" applyBorder="1" applyAlignment="1">
      <alignment horizontal="center" vertical="center" shrinkToFit="1"/>
    </xf>
    <xf numFmtId="0" fontId="10" fillId="0" borderId="4" xfId="0" applyFont="1" applyBorder="1" applyAlignment="1">
      <alignment horizontal="center" vertical="center" shrinkToFit="1"/>
    </xf>
    <xf numFmtId="49" fontId="10" fillId="0" borderId="1" xfId="0" applyNumberFormat="1" applyFont="1" applyBorder="1" applyAlignment="1">
      <alignment horizontal="center" vertical="center"/>
    </xf>
    <xf numFmtId="0" fontId="8" fillId="0" borderId="29" xfId="0" applyFont="1" applyBorder="1" applyAlignment="1">
      <alignment vertical="center" shrinkToFit="1"/>
    </xf>
    <xf numFmtId="0" fontId="8" fillId="0" borderId="31" xfId="0" applyFont="1" applyBorder="1" applyAlignment="1">
      <alignment vertical="center" shrinkToFit="1"/>
    </xf>
    <xf numFmtId="0" fontId="8" fillId="0" borderId="30" xfId="0" applyFont="1" applyBorder="1" applyAlignment="1">
      <alignment vertical="center" shrinkToFit="1"/>
    </xf>
    <xf numFmtId="0" fontId="8" fillId="0" borderId="14" xfId="0" applyFont="1" applyBorder="1" applyAlignment="1">
      <alignment horizontal="center" vertical="center" shrinkToFit="1"/>
    </xf>
    <xf numFmtId="0" fontId="8" fillId="0" borderId="18" xfId="0" applyFont="1" applyBorder="1" applyAlignment="1">
      <alignment vertical="center" shrinkToFit="1"/>
    </xf>
    <xf numFmtId="0" fontId="8" fillId="0" borderId="19" xfId="0" applyFont="1" applyBorder="1" applyAlignment="1">
      <alignment vertical="center" shrinkToFit="1"/>
    </xf>
    <xf numFmtId="0" fontId="8" fillId="0" borderId="17" xfId="0" applyFont="1" applyBorder="1" applyAlignment="1">
      <alignment vertical="center" shrinkToFit="1"/>
    </xf>
    <xf numFmtId="0" fontId="8" fillId="0" borderId="20" xfId="0" applyFont="1" applyBorder="1" applyAlignment="1">
      <alignment horizontal="center" vertical="center" shrinkToFit="1"/>
    </xf>
    <xf numFmtId="0" fontId="8" fillId="0" borderId="32" xfId="0" applyFont="1" applyBorder="1" applyAlignment="1">
      <alignment vertical="center" shrinkToFit="1"/>
    </xf>
    <xf numFmtId="0" fontId="8" fillId="0" borderId="33" xfId="0" applyFont="1" applyBorder="1" applyAlignment="1">
      <alignment vertical="center" shrinkToFit="1"/>
    </xf>
    <xf numFmtId="0" fontId="8" fillId="0" borderId="34" xfId="0" applyFont="1" applyBorder="1" applyAlignment="1">
      <alignment vertical="center" shrinkToFit="1"/>
    </xf>
    <xf numFmtId="0" fontId="8" fillId="0" borderId="13" xfId="0" applyFont="1" applyBorder="1" applyAlignment="1">
      <alignment horizontal="center" vertical="center" shrinkToFit="1"/>
    </xf>
    <xf numFmtId="0" fontId="8" fillId="0" borderId="35" xfId="0" applyFont="1" applyBorder="1" applyAlignment="1">
      <alignment horizontal="center" vertical="center" shrinkToFit="1"/>
    </xf>
    <xf numFmtId="0" fontId="8" fillId="0" borderId="0" xfId="0" applyFont="1" applyAlignment="1">
      <alignment vertical="top" wrapTex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7" xfId="0" applyFont="1" applyBorder="1" applyAlignment="1">
      <alignment horizontal="center" vertical="center" shrinkToFit="1"/>
    </xf>
    <xf numFmtId="0" fontId="8" fillId="0" borderId="8" xfId="0" applyFont="1" applyBorder="1" applyAlignment="1">
      <alignment horizontal="center" vertical="center" shrinkToFit="1"/>
    </xf>
    <xf numFmtId="0" fontId="8" fillId="0" borderId="9"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17"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6" xfId="0" applyFont="1" applyBorder="1" applyAlignment="1">
      <alignment horizontal="center" vertical="center" shrinkToFit="1"/>
    </xf>
    <xf numFmtId="0" fontId="8" fillId="0" borderId="12" xfId="0" applyFont="1" applyBorder="1" applyAlignment="1">
      <alignment horizontal="center" vertical="center" shrinkToFit="1"/>
    </xf>
    <xf numFmtId="0" fontId="9" fillId="0" borderId="2" xfId="0" applyFont="1" applyBorder="1" applyAlignment="1">
      <alignment horizontal="center" vertical="center" shrinkToFit="1"/>
    </xf>
    <xf numFmtId="0" fontId="9" fillId="0" borderId="4" xfId="0" applyFont="1" applyBorder="1" applyAlignment="1">
      <alignment horizontal="center" vertical="center" shrinkToFit="1"/>
    </xf>
    <xf numFmtId="0" fontId="10" fillId="0" borderId="40" xfId="0" applyFont="1" applyBorder="1" applyAlignment="1">
      <alignment vertical="center" wrapText="1"/>
    </xf>
    <xf numFmtId="49" fontId="10" fillId="0" borderId="43" xfId="0" applyNumberFormat="1" applyFont="1" applyBorder="1" applyAlignment="1">
      <alignment horizontal="center" vertical="center"/>
    </xf>
    <xf numFmtId="49" fontId="10" fillId="0" borderId="31" xfId="0" applyNumberFormat="1" applyFont="1" applyBorder="1" applyAlignment="1">
      <alignment horizontal="left" vertical="center"/>
    </xf>
    <xf numFmtId="49" fontId="10" fillId="0" borderId="30" xfId="0" applyNumberFormat="1" applyFont="1" applyBorder="1" applyAlignment="1">
      <alignment horizontal="left" vertical="center"/>
    </xf>
    <xf numFmtId="0" fontId="10" fillId="0" borderId="27" xfId="0" applyFont="1" applyBorder="1" applyAlignment="1">
      <alignment vertical="center" wrapText="1"/>
    </xf>
    <xf numFmtId="49" fontId="10" fillId="0" borderId="44" xfId="0" applyNumberFormat="1" applyFont="1" applyBorder="1" applyAlignment="1">
      <alignment horizontal="center" vertical="center"/>
    </xf>
    <xf numFmtId="49" fontId="10" fillId="0" borderId="39" xfId="0" applyNumberFormat="1" applyFont="1" applyBorder="1" applyAlignment="1">
      <alignment horizontal="center" vertical="center"/>
    </xf>
    <xf numFmtId="0" fontId="10" fillId="0" borderId="41" xfId="0" applyFont="1" applyBorder="1" applyAlignment="1">
      <alignment vertical="center" wrapText="1"/>
    </xf>
    <xf numFmtId="49" fontId="10" fillId="0" borderId="26" xfId="0" applyNumberFormat="1" applyFont="1" applyBorder="1" applyAlignment="1">
      <alignment horizontal="center" vertical="center"/>
    </xf>
    <xf numFmtId="49" fontId="10" fillId="0" borderId="42" xfId="0" applyNumberFormat="1" applyFont="1" applyBorder="1" applyAlignment="1">
      <alignment horizontal="center" vertical="center"/>
    </xf>
    <xf numFmtId="49" fontId="10" fillId="0" borderId="28" xfId="0" applyNumberFormat="1" applyFont="1" applyBorder="1" applyAlignment="1">
      <alignment horizontal="center" vertical="center"/>
    </xf>
    <xf numFmtId="49" fontId="10" fillId="0" borderId="18" xfId="0" applyNumberFormat="1" applyFont="1" applyBorder="1" applyAlignment="1">
      <alignment horizontal="left" vertical="center" wrapText="1"/>
    </xf>
    <xf numFmtId="49" fontId="10" fillId="0" borderId="19" xfId="0" applyNumberFormat="1" applyFont="1" applyBorder="1" applyAlignment="1">
      <alignment horizontal="left" vertical="center"/>
    </xf>
    <xf numFmtId="49" fontId="10" fillId="0" borderId="17" xfId="0" applyNumberFormat="1" applyFont="1" applyBorder="1" applyAlignment="1">
      <alignment horizontal="left" vertical="center"/>
    </xf>
    <xf numFmtId="0" fontId="8" fillId="0" borderId="2" xfId="0" applyFont="1" applyBorder="1" applyAlignment="1">
      <alignment vertical="center" wrapText="1" shrinkToFit="1"/>
    </xf>
    <xf numFmtId="0" fontId="8" fillId="0" borderId="3" xfId="0" applyFont="1" applyBorder="1" applyAlignment="1">
      <alignment vertical="center" wrapText="1" shrinkToFit="1"/>
    </xf>
    <xf numFmtId="0" fontId="8" fillId="0" borderId="4" xfId="0" applyFont="1" applyBorder="1" applyAlignment="1">
      <alignment vertical="center"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view="pageBreakPreview" zoomScaleNormal="100" zoomScaleSheetLayoutView="100" workbookViewId="0">
      <selection activeCell="K14" sqref="K14"/>
    </sheetView>
  </sheetViews>
  <sheetFormatPr defaultColWidth="9" defaultRowHeight="18.75" customHeight="1"/>
  <cols>
    <col min="1" max="1" width="2.375" style="25" customWidth="1"/>
    <col min="2" max="2" width="16.375" style="25" customWidth="1"/>
    <col min="3" max="21" width="5.625" style="25" customWidth="1"/>
    <col min="22" max="22" width="9" style="25"/>
    <col min="23" max="23" width="3.625" style="25" customWidth="1"/>
    <col min="24" max="24" width="48.625" style="25" hidden="1" customWidth="1"/>
    <col min="25" max="26" width="9" style="25"/>
    <col min="27" max="27" width="9" style="25" hidden="1" customWidth="1"/>
    <col min="28" max="16384" width="9" style="25"/>
  </cols>
  <sheetData>
    <row r="1" spans="1:24" ht="18.600000000000001" customHeight="1">
      <c r="T1" s="193" t="s">
        <v>0</v>
      </c>
      <c r="U1" s="193"/>
      <c r="V1" s="194" t="s">
        <v>1</v>
      </c>
    </row>
    <row r="2" spans="1:24" ht="18.75" customHeight="1">
      <c r="B2" s="76" t="s">
        <v>2</v>
      </c>
      <c r="C2" s="84" t="s">
        <v>3</v>
      </c>
      <c r="D2" s="84"/>
      <c r="E2" s="84"/>
      <c r="F2" s="84"/>
      <c r="G2" s="84"/>
      <c r="H2" s="84"/>
      <c r="I2" s="84"/>
      <c r="J2" s="84"/>
      <c r="K2" s="84"/>
      <c r="L2" s="84"/>
      <c r="M2" s="84"/>
      <c r="N2" s="84"/>
      <c r="O2" s="26"/>
      <c r="P2" s="26"/>
      <c r="Q2" s="26"/>
      <c r="R2" s="26"/>
      <c r="S2" s="26"/>
      <c r="T2" s="26"/>
      <c r="U2" s="26"/>
    </row>
    <row r="3" spans="1:24" ht="18.75" customHeight="1">
      <c r="B3" s="76" t="s">
        <v>4</v>
      </c>
      <c r="C3" s="84" t="s">
        <v>5</v>
      </c>
      <c r="D3" s="84"/>
      <c r="E3" s="84"/>
      <c r="F3" s="84"/>
      <c r="G3" s="84"/>
      <c r="H3" s="84"/>
      <c r="I3" s="84"/>
      <c r="J3" s="84"/>
      <c r="K3" s="84"/>
      <c r="L3" s="84"/>
      <c r="M3" s="84"/>
      <c r="N3" s="84"/>
      <c r="O3" s="26"/>
      <c r="P3" s="26"/>
      <c r="Q3" s="26"/>
      <c r="R3" s="26"/>
      <c r="S3" s="26"/>
      <c r="T3" s="26"/>
      <c r="U3" s="26"/>
    </row>
    <row r="4" spans="1:24" ht="15" customHeight="1">
      <c r="L4" s="28"/>
      <c r="M4" s="195"/>
      <c r="N4" s="195"/>
      <c r="O4" s="195"/>
      <c r="P4" s="195"/>
      <c r="Q4" s="195"/>
      <c r="R4" s="195"/>
      <c r="S4" s="195"/>
      <c r="T4" s="195"/>
      <c r="U4" s="195"/>
    </row>
    <row r="5" spans="1:24" ht="18" customHeight="1">
      <c r="A5" s="196" t="s">
        <v>6</v>
      </c>
      <c r="B5" s="196"/>
      <c r="C5" s="196"/>
      <c r="D5" s="196"/>
      <c r="E5" s="196"/>
      <c r="F5" s="196"/>
      <c r="G5" s="196"/>
      <c r="H5" s="196"/>
      <c r="I5" s="196"/>
      <c r="J5" s="196"/>
      <c r="K5" s="196"/>
      <c r="L5" s="196"/>
      <c r="M5" s="196"/>
      <c r="N5" s="196"/>
      <c r="O5" s="196"/>
      <c r="P5" s="196"/>
      <c r="Q5" s="196"/>
      <c r="R5" s="196"/>
      <c r="S5" s="196"/>
      <c r="T5" s="196"/>
      <c r="U5" s="196"/>
    </row>
    <row r="6" spans="1:24" ht="15" customHeight="1">
      <c r="B6" s="27"/>
      <c r="C6" s="27"/>
      <c r="D6" s="27"/>
      <c r="E6" s="27"/>
      <c r="F6" s="27"/>
      <c r="G6" s="27"/>
      <c r="H6" s="27"/>
      <c r="I6" s="27"/>
      <c r="J6" s="27"/>
      <c r="K6" s="27"/>
      <c r="L6" s="27"/>
      <c r="M6" s="27"/>
      <c r="N6" s="27"/>
      <c r="O6" s="27"/>
      <c r="P6" s="27"/>
      <c r="Q6" s="27"/>
      <c r="R6" s="27"/>
      <c r="S6" s="27"/>
      <c r="T6" s="27"/>
      <c r="U6" s="27"/>
    </row>
    <row r="7" spans="1:24" ht="15" customHeight="1">
      <c r="A7" s="25" t="s">
        <v>7</v>
      </c>
      <c r="B7" s="27"/>
      <c r="C7" s="27"/>
      <c r="D7" s="27"/>
      <c r="E7" s="27"/>
      <c r="F7" s="194"/>
      <c r="G7" s="194"/>
      <c r="H7" s="194"/>
      <c r="I7" s="194"/>
      <c r="J7" s="194"/>
      <c r="K7" s="194"/>
      <c r="L7" s="197" t="s">
        <v>187</v>
      </c>
      <c r="M7" s="198"/>
      <c r="N7" s="198"/>
      <c r="O7" s="198"/>
      <c r="P7" s="198"/>
      <c r="Q7" s="198"/>
      <c r="R7" s="198"/>
      <c r="S7" s="198"/>
      <c r="T7" s="198"/>
      <c r="U7" s="199"/>
    </row>
    <row r="8" spans="1:24" ht="6" customHeight="1">
      <c r="B8" s="27"/>
      <c r="C8" s="27"/>
      <c r="D8" s="27"/>
      <c r="E8" s="27"/>
      <c r="F8" s="27"/>
      <c r="G8" s="27"/>
      <c r="H8" s="27"/>
      <c r="I8" s="27"/>
      <c r="J8" s="27"/>
      <c r="K8" s="27"/>
      <c r="L8" s="27"/>
      <c r="M8" s="27"/>
      <c r="N8" s="27"/>
      <c r="O8" s="27"/>
      <c r="P8" s="27"/>
      <c r="Q8" s="27"/>
      <c r="R8" s="27"/>
      <c r="S8" s="27"/>
      <c r="T8" s="27"/>
      <c r="U8" s="27"/>
    </row>
    <row r="9" spans="1:24" ht="18" customHeight="1">
      <c r="A9" s="25" t="s">
        <v>8</v>
      </c>
      <c r="C9" s="27"/>
      <c r="D9" s="27"/>
      <c r="K9" s="28"/>
      <c r="L9" s="194"/>
      <c r="M9" s="194"/>
      <c r="N9" s="194"/>
      <c r="O9" s="194"/>
      <c r="P9" s="194"/>
      <c r="Q9" s="194"/>
      <c r="R9" s="194"/>
      <c r="S9" s="194"/>
      <c r="T9" s="194"/>
      <c r="U9" s="194"/>
    </row>
    <row r="10" spans="1:24" ht="6" customHeight="1">
      <c r="B10" s="27"/>
      <c r="C10" s="27"/>
      <c r="D10" s="27"/>
      <c r="E10" s="27"/>
      <c r="F10" s="27"/>
      <c r="G10" s="27"/>
      <c r="H10" s="27"/>
      <c r="I10" s="27"/>
      <c r="J10" s="27"/>
      <c r="K10" s="27"/>
      <c r="L10" s="29"/>
      <c r="M10" s="27"/>
      <c r="N10" s="27"/>
      <c r="O10" s="27"/>
      <c r="P10" s="27"/>
      <c r="Q10" s="27"/>
      <c r="R10" s="27"/>
      <c r="S10" s="27"/>
      <c r="T10" s="27"/>
      <c r="U10" s="27"/>
    </row>
    <row r="11" spans="1:24" ht="18" customHeight="1">
      <c r="B11" s="200"/>
      <c r="C11" s="201"/>
      <c r="D11" s="201"/>
      <c r="E11" s="201"/>
      <c r="F11" s="201"/>
      <c r="G11" s="201"/>
      <c r="H11" s="201"/>
      <c r="I11" s="201"/>
      <c r="J11" s="201"/>
      <c r="K11" s="201"/>
      <c r="L11" s="201"/>
      <c r="M11" s="201"/>
      <c r="N11" s="201"/>
      <c r="O11" s="201"/>
      <c r="P11" s="201"/>
      <c r="Q11" s="201"/>
      <c r="R11" s="201"/>
      <c r="S11" s="201"/>
      <c r="T11" s="201"/>
      <c r="U11" s="202"/>
    </row>
    <row r="12" spans="1:24" ht="18" customHeight="1">
      <c r="B12" s="203"/>
      <c r="C12" s="204"/>
      <c r="D12" s="204"/>
      <c r="E12" s="204"/>
      <c r="F12" s="204"/>
      <c r="G12" s="204"/>
      <c r="H12" s="204"/>
      <c r="I12" s="204"/>
      <c r="J12" s="204"/>
      <c r="K12" s="204"/>
      <c r="L12" s="204"/>
      <c r="M12" s="204"/>
      <c r="N12" s="204"/>
      <c r="O12" s="204"/>
      <c r="P12" s="204"/>
      <c r="Q12" s="204"/>
      <c r="R12" s="204"/>
      <c r="S12" s="204"/>
      <c r="T12" s="204"/>
      <c r="U12" s="205"/>
    </row>
    <row r="13" spans="1:24" ht="6" customHeight="1">
      <c r="B13" s="27"/>
      <c r="C13" s="27"/>
      <c r="D13" s="27"/>
      <c r="E13" s="27"/>
      <c r="F13" s="27"/>
      <c r="G13" s="27"/>
      <c r="H13" s="27"/>
      <c r="I13" s="27"/>
      <c r="J13" s="27"/>
      <c r="K13" s="27"/>
      <c r="L13" s="29"/>
      <c r="M13" s="27"/>
      <c r="N13" s="27"/>
      <c r="O13" s="27"/>
      <c r="P13" s="27"/>
      <c r="Q13" s="27"/>
      <c r="R13" s="27"/>
      <c r="S13" s="27"/>
      <c r="T13" s="27"/>
      <c r="U13" s="27"/>
    </row>
    <row r="14" spans="1:24" ht="18" customHeight="1">
      <c r="A14" s="25" t="s">
        <v>9</v>
      </c>
      <c r="B14" s="27"/>
      <c r="C14" s="27"/>
      <c r="D14" s="27"/>
      <c r="E14" s="28"/>
      <c r="F14" s="28"/>
      <c r="G14" s="28"/>
      <c r="H14" s="28"/>
      <c r="I14" s="28"/>
      <c r="J14" s="28"/>
      <c r="K14" s="28"/>
      <c r="L14" s="206"/>
      <c r="M14" s="206"/>
      <c r="N14" s="206"/>
      <c r="O14" s="206"/>
      <c r="P14" s="206"/>
      <c r="Q14" s="206"/>
      <c r="R14" s="206"/>
      <c r="S14" s="206"/>
      <c r="T14" s="206"/>
      <c r="U14" s="206"/>
    </row>
    <row r="15" spans="1:24" ht="18" customHeight="1">
      <c r="B15" s="207" t="s">
        <v>189</v>
      </c>
      <c r="C15" s="208"/>
      <c r="D15" s="208"/>
      <c r="E15" s="208"/>
      <c r="F15" s="208"/>
      <c r="G15" s="208"/>
      <c r="H15" s="208"/>
      <c r="I15" s="208"/>
      <c r="J15" s="208"/>
      <c r="K15" s="208"/>
      <c r="L15" s="208"/>
      <c r="M15" s="208"/>
      <c r="N15" s="208"/>
      <c r="O15" s="208"/>
      <c r="P15" s="208"/>
      <c r="Q15" s="208"/>
      <c r="R15" s="208"/>
      <c r="S15" s="208"/>
      <c r="T15" s="208"/>
      <c r="U15" s="209"/>
      <c r="X15" s="25" t="s">
        <v>10</v>
      </c>
    </row>
    <row r="16" spans="1:24" ht="18" customHeight="1">
      <c r="B16" s="210"/>
      <c r="C16" s="211"/>
      <c r="D16" s="211"/>
      <c r="E16" s="211"/>
      <c r="F16" s="211"/>
      <c r="G16" s="211"/>
      <c r="H16" s="211"/>
      <c r="I16" s="211"/>
      <c r="J16" s="211"/>
      <c r="K16" s="211"/>
      <c r="L16" s="211"/>
      <c r="M16" s="211"/>
      <c r="N16" s="211"/>
      <c r="O16" s="211"/>
      <c r="P16" s="211"/>
      <c r="Q16" s="211"/>
      <c r="R16" s="211"/>
      <c r="S16" s="211"/>
      <c r="T16" s="211"/>
      <c r="U16" s="212"/>
      <c r="X16" s="25" t="s">
        <v>11</v>
      </c>
    </row>
    <row r="17" spans="1:24" ht="18" customHeight="1">
      <c r="B17" s="210"/>
      <c r="C17" s="211"/>
      <c r="D17" s="211"/>
      <c r="E17" s="211"/>
      <c r="F17" s="211"/>
      <c r="G17" s="211"/>
      <c r="H17" s="211"/>
      <c r="I17" s="211"/>
      <c r="J17" s="211"/>
      <c r="K17" s="211"/>
      <c r="L17" s="211"/>
      <c r="M17" s="211"/>
      <c r="N17" s="211"/>
      <c r="O17" s="211"/>
      <c r="P17" s="211"/>
      <c r="Q17" s="211"/>
      <c r="R17" s="211"/>
      <c r="S17" s="211"/>
      <c r="T17" s="211"/>
      <c r="U17" s="212"/>
      <c r="X17" s="25" t="s">
        <v>12</v>
      </c>
    </row>
    <row r="18" spans="1:24" ht="18" customHeight="1">
      <c r="B18" s="210"/>
      <c r="C18" s="211"/>
      <c r="D18" s="211"/>
      <c r="E18" s="211"/>
      <c r="F18" s="211"/>
      <c r="G18" s="211"/>
      <c r="H18" s="211"/>
      <c r="I18" s="211"/>
      <c r="J18" s="211"/>
      <c r="K18" s="211"/>
      <c r="L18" s="211"/>
      <c r="M18" s="211"/>
      <c r="N18" s="211"/>
      <c r="O18" s="211"/>
      <c r="P18" s="211"/>
      <c r="Q18" s="211"/>
      <c r="R18" s="211"/>
      <c r="S18" s="211"/>
      <c r="T18" s="211"/>
      <c r="U18" s="212"/>
      <c r="X18" s="25" t="s">
        <v>13</v>
      </c>
    </row>
    <row r="19" spans="1:24" ht="18" customHeight="1">
      <c r="B19" s="210"/>
      <c r="C19" s="211"/>
      <c r="D19" s="211"/>
      <c r="E19" s="211"/>
      <c r="F19" s="211"/>
      <c r="G19" s="211"/>
      <c r="H19" s="211"/>
      <c r="I19" s="211"/>
      <c r="J19" s="211"/>
      <c r="K19" s="211"/>
      <c r="L19" s="211"/>
      <c r="M19" s="211"/>
      <c r="N19" s="211"/>
      <c r="O19" s="211"/>
      <c r="P19" s="211"/>
      <c r="Q19" s="211"/>
      <c r="R19" s="211"/>
      <c r="S19" s="211"/>
      <c r="T19" s="211"/>
      <c r="U19" s="212"/>
    </row>
    <row r="20" spans="1:24" ht="18" customHeight="1">
      <c r="B20" s="213"/>
      <c r="C20" s="214"/>
      <c r="D20" s="214"/>
      <c r="E20" s="214"/>
      <c r="F20" s="214"/>
      <c r="G20" s="214"/>
      <c r="H20" s="214"/>
      <c r="I20" s="214"/>
      <c r="J20" s="214"/>
      <c r="K20" s="214"/>
      <c r="L20" s="214"/>
      <c r="M20" s="214"/>
      <c r="N20" s="214"/>
      <c r="O20" s="214"/>
      <c r="P20" s="214"/>
      <c r="Q20" s="214"/>
      <c r="R20" s="214"/>
      <c r="S20" s="214"/>
      <c r="T20" s="214"/>
      <c r="U20" s="215"/>
    </row>
    <row r="21" spans="1:24" ht="7.5" customHeight="1">
      <c r="B21" s="27"/>
      <c r="C21" s="27"/>
      <c r="D21" s="27"/>
      <c r="E21" s="27"/>
      <c r="F21" s="27"/>
      <c r="G21" s="27"/>
      <c r="H21" s="27"/>
      <c r="I21" s="27"/>
      <c r="J21" s="27"/>
      <c r="K21" s="27"/>
      <c r="L21" s="27"/>
      <c r="M21" s="27"/>
      <c r="N21" s="27"/>
      <c r="O21" s="27"/>
      <c r="P21" s="27"/>
      <c r="Q21" s="27"/>
      <c r="R21" s="27"/>
      <c r="S21" s="27"/>
      <c r="T21" s="27"/>
      <c r="U21" s="27"/>
    </row>
    <row r="22" spans="1:24" ht="19.899999999999999" customHeight="1">
      <c r="B22" s="25" t="s">
        <v>14</v>
      </c>
      <c r="E22" s="30">
        <v>1</v>
      </c>
      <c r="F22" s="25" t="s">
        <v>15</v>
      </c>
      <c r="H22" s="216">
        <v>1</v>
      </c>
      <c r="I22" s="27" t="s">
        <v>16</v>
      </c>
      <c r="J22" s="27"/>
      <c r="K22" s="28"/>
      <c r="M22" s="28" t="s">
        <v>17</v>
      </c>
      <c r="N22" s="217" t="s">
        <v>13</v>
      </c>
      <c r="O22" s="218"/>
      <c r="P22" s="218"/>
      <c r="Q22" s="218"/>
      <c r="R22" s="218"/>
      <c r="S22" s="218"/>
      <c r="T22" s="218"/>
      <c r="U22" s="219"/>
    </row>
    <row r="23" spans="1:24" ht="7.5" customHeight="1">
      <c r="B23" s="27"/>
      <c r="C23" s="27"/>
      <c r="D23" s="27"/>
      <c r="E23" s="27"/>
      <c r="F23" s="27"/>
      <c r="G23" s="27"/>
      <c r="H23" s="27"/>
      <c r="I23" s="27"/>
      <c r="J23" s="27"/>
      <c r="K23" s="27"/>
      <c r="L23" s="27"/>
      <c r="M23" s="27"/>
      <c r="N23" s="27"/>
      <c r="O23" s="27"/>
      <c r="P23" s="27"/>
      <c r="Q23" s="27"/>
      <c r="R23" s="27"/>
      <c r="S23" s="27"/>
      <c r="T23" s="27"/>
      <c r="U23" s="27"/>
    </row>
    <row r="24" spans="1:24" ht="18" customHeight="1">
      <c r="A24" s="220" t="s">
        <v>18</v>
      </c>
      <c r="B24" s="220"/>
      <c r="C24" s="220"/>
      <c r="D24" s="220"/>
      <c r="E24" s="220"/>
      <c r="F24" s="220"/>
      <c r="G24" s="220"/>
      <c r="H24" s="220"/>
      <c r="I24" s="220"/>
      <c r="J24" s="220"/>
      <c r="K24" s="220"/>
      <c r="L24" s="220"/>
      <c r="M24" s="220"/>
      <c r="N24" s="220"/>
      <c r="O24" s="220"/>
      <c r="P24" s="220"/>
      <c r="Q24" s="220"/>
      <c r="R24" s="220"/>
      <c r="S24" s="220"/>
      <c r="T24" s="220"/>
      <c r="U24" s="220"/>
    </row>
    <row r="25" spans="1:24" ht="18" customHeight="1">
      <c r="A25" s="220"/>
      <c r="B25" s="220"/>
      <c r="C25" s="220"/>
      <c r="D25" s="220"/>
      <c r="E25" s="220"/>
      <c r="F25" s="220"/>
      <c r="G25" s="220"/>
      <c r="H25" s="220"/>
      <c r="I25" s="220"/>
      <c r="J25" s="220"/>
      <c r="K25" s="220"/>
      <c r="L25" s="220"/>
      <c r="M25" s="220"/>
      <c r="N25" s="220"/>
      <c r="O25" s="220"/>
      <c r="P25" s="220"/>
      <c r="Q25" s="220"/>
      <c r="R25" s="220"/>
      <c r="S25" s="220"/>
      <c r="T25" s="220"/>
      <c r="U25" s="220"/>
    </row>
    <row r="26" spans="1:24" ht="18" customHeight="1">
      <c r="B26" s="221" t="s">
        <v>19</v>
      </c>
      <c r="C26" s="222"/>
      <c r="D26" s="222"/>
      <c r="E26" s="222"/>
      <c r="F26" s="223"/>
      <c r="G26" s="224" t="s">
        <v>20</v>
      </c>
      <c r="H26" s="225" t="s">
        <v>21</v>
      </c>
      <c r="I26" s="226" t="s">
        <v>22</v>
      </c>
      <c r="J26" s="226" t="s">
        <v>23</v>
      </c>
      <c r="K26" s="221" t="s">
        <v>19</v>
      </c>
      <c r="L26" s="222"/>
      <c r="M26" s="222"/>
      <c r="N26" s="222"/>
      <c r="O26" s="222"/>
      <c r="P26" s="222"/>
      <c r="Q26" s="223"/>
      <c r="R26" s="224" t="s">
        <v>20</v>
      </c>
      <c r="S26" s="225" t="s">
        <v>21</v>
      </c>
      <c r="T26" s="226" t="s">
        <v>22</v>
      </c>
      <c r="U26" s="226" t="s">
        <v>23</v>
      </c>
    </row>
    <row r="27" spans="1:24" ht="18" customHeight="1">
      <c r="B27" s="227" t="s">
        <v>24</v>
      </c>
      <c r="C27" s="228"/>
      <c r="D27" s="228"/>
      <c r="E27" s="228"/>
      <c r="F27" s="229"/>
      <c r="G27" s="230">
        <v>1</v>
      </c>
      <c r="H27" s="230" t="s">
        <v>25</v>
      </c>
      <c r="I27" s="230" t="s">
        <v>25</v>
      </c>
      <c r="J27" s="230" t="s">
        <v>25</v>
      </c>
      <c r="K27" s="227"/>
      <c r="L27" s="228"/>
      <c r="M27" s="228"/>
      <c r="N27" s="228"/>
      <c r="O27" s="228"/>
      <c r="P27" s="228"/>
      <c r="Q27" s="229"/>
      <c r="R27" s="230"/>
      <c r="S27" s="230"/>
      <c r="T27" s="230"/>
      <c r="U27" s="230"/>
    </row>
    <row r="28" spans="1:24" ht="18" customHeight="1">
      <c r="B28" s="231" t="s">
        <v>26</v>
      </c>
      <c r="C28" s="232"/>
      <c r="D28" s="232"/>
      <c r="E28" s="232"/>
      <c r="F28" s="233"/>
      <c r="G28" s="234">
        <v>2</v>
      </c>
      <c r="H28" s="234" t="s">
        <v>25</v>
      </c>
      <c r="I28" s="234" t="s">
        <v>25</v>
      </c>
      <c r="J28" s="234" t="s">
        <v>25</v>
      </c>
      <c r="K28" s="231"/>
      <c r="L28" s="232"/>
      <c r="M28" s="232"/>
      <c r="N28" s="232"/>
      <c r="O28" s="232"/>
      <c r="P28" s="232"/>
      <c r="Q28" s="233"/>
      <c r="R28" s="234"/>
      <c r="S28" s="234"/>
      <c r="T28" s="234"/>
      <c r="U28" s="234"/>
    </row>
    <row r="29" spans="1:24" ht="18" customHeight="1">
      <c r="B29" s="231"/>
      <c r="C29" s="232"/>
      <c r="D29" s="232"/>
      <c r="E29" s="232"/>
      <c r="F29" s="233"/>
      <c r="G29" s="234"/>
      <c r="H29" s="234"/>
      <c r="I29" s="234"/>
      <c r="J29" s="234"/>
      <c r="K29" s="231"/>
      <c r="L29" s="232"/>
      <c r="M29" s="232"/>
      <c r="N29" s="232"/>
      <c r="O29" s="232"/>
      <c r="P29" s="232"/>
      <c r="Q29" s="233"/>
      <c r="R29" s="234"/>
      <c r="S29" s="234"/>
      <c r="T29" s="234"/>
      <c r="U29" s="234"/>
    </row>
    <row r="30" spans="1:24" ht="18" customHeight="1">
      <c r="B30" s="231"/>
      <c r="C30" s="232"/>
      <c r="D30" s="232"/>
      <c r="E30" s="232"/>
      <c r="F30" s="233"/>
      <c r="G30" s="234"/>
      <c r="H30" s="234"/>
      <c r="I30" s="234"/>
      <c r="J30" s="234"/>
      <c r="K30" s="231"/>
      <c r="L30" s="232"/>
      <c r="M30" s="232"/>
      <c r="N30" s="232"/>
      <c r="O30" s="232"/>
      <c r="P30" s="232"/>
      <c r="Q30" s="233"/>
      <c r="R30" s="234"/>
      <c r="S30" s="234"/>
      <c r="T30" s="234"/>
      <c r="U30" s="234"/>
    </row>
    <row r="31" spans="1:24" ht="18" customHeight="1">
      <c r="B31" s="231"/>
      <c r="C31" s="232"/>
      <c r="D31" s="232"/>
      <c r="E31" s="232"/>
      <c r="F31" s="233"/>
      <c r="G31" s="234"/>
      <c r="H31" s="234"/>
      <c r="I31" s="234"/>
      <c r="J31" s="234"/>
      <c r="K31" s="231"/>
      <c r="L31" s="232"/>
      <c r="M31" s="232"/>
      <c r="N31" s="232"/>
      <c r="O31" s="232"/>
      <c r="P31" s="232"/>
      <c r="Q31" s="233"/>
      <c r="R31" s="234"/>
      <c r="S31" s="234"/>
      <c r="T31" s="234"/>
      <c r="U31" s="234"/>
    </row>
    <row r="32" spans="1:24" ht="18" customHeight="1">
      <c r="A32" s="27"/>
      <c r="B32" s="231"/>
      <c r="C32" s="232"/>
      <c r="D32" s="232"/>
      <c r="E32" s="232"/>
      <c r="F32" s="233"/>
      <c r="G32" s="234"/>
      <c r="H32" s="234"/>
      <c r="I32" s="234"/>
      <c r="J32" s="234"/>
      <c r="K32" s="231"/>
      <c r="L32" s="232"/>
      <c r="M32" s="232"/>
      <c r="N32" s="232"/>
      <c r="O32" s="232"/>
      <c r="P32" s="232"/>
      <c r="Q32" s="233"/>
      <c r="R32" s="234"/>
      <c r="S32" s="234"/>
      <c r="T32" s="234"/>
      <c r="U32" s="234"/>
    </row>
    <row r="33" spans="1:21" ht="18" customHeight="1">
      <c r="A33" s="27"/>
      <c r="B33" s="235"/>
      <c r="C33" s="236"/>
      <c r="D33" s="236"/>
      <c r="E33" s="236"/>
      <c r="F33" s="237"/>
      <c r="G33" s="238"/>
      <c r="H33" s="238"/>
      <c r="I33" s="239"/>
      <c r="J33" s="239"/>
      <c r="K33" s="235"/>
      <c r="L33" s="236"/>
      <c r="M33" s="236"/>
      <c r="N33" s="236"/>
      <c r="O33" s="236"/>
      <c r="P33" s="236"/>
      <c r="Q33" s="237"/>
      <c r="R33" s="238"/>
      <c r="S33" s="238"/>
      <c r="T33" s="239"/>
      <c r="U33" s="239"/>
    </row>
    <row r="34" spans="1:21" ht="7.5" customHeight="1">
      <c r="A34" s="27"/>
      <c r="B34" s="26"/>
      <c r="C34" s="26"/>
      <c r="D34" s="26"/>
      <c r="E34" s="27"/>
      <c r="F34" s="27"/>
      <c r="G34" s="27"/>
      <c r="H34" s="27"/>
      <c r="I34" s="26"/>
      <c r="J34" s="26"/>
      <c r="K34" s="26"/>
      <c r="L34" s="26"/>
      <c r="M34" s="26"/>
      <c r="N34" s="26"/>
      <c r="O34" s="26"/>
      <c r="P34" s="26"/>
      <c r="Q34" s="26"/>
      <c r="R34" s="26"/>
      <c r="S34" s="26"/>
      <c r="T34" s="26"/>
      <c r="U34" s="27"/>
    </row>
    <row r="35" spans="1:21" ht="18" customHeight="1">
      <c r="A35" s="220" t="s">
        <v>27</v>
      </c>
      <c r="B35" s="220"/>
      <c r="C35" s="220"/>
      <c r="D35" s="220"/>
      <c r="E35" s="220"/>
      <c r="F35" s="220"/>
      <c r="G35" s="220"/>
      <c r="H35" s="220"/>
      <c r="I35" s="220"/>
      <c r="J35" s="220"/>
      <c r="K35" s="220"/>
      <c r="L35" s="220"/>
      <c r="M35" s="220"/>
      <c r="N35" s="220"/>
      <c r="O35" s="220"/>
      <c r="P35" s="220"/>
      <c r="Q35" s="220"/>
      <c r="R35" s="220"/>
      <c r="S35" s="220"/>
      <c r="T35" s="220"/>
      <c r="U35" s="220"/>
    </row>
    <row r="36" spans="1:21" ht="18" customHeight="1">
      <c r="A36" s="220"/>
      <c r="B36" s="220"/>
      <c r="C36" s="220"/>
      <c r="D36" s="220"/>
      <c r="E36" s="220"/>
      <c r="F36" s="220"/>
      <c r="G36" s="220"/>
      <c r="H36" s="220"/>
      <c r="I36" s="220"/>
      <c r="J36" s="220"/>
      <c r="K36" s="220"/>
      <c r="L36" s="220"/>
      <c r="M36" s="220"/>
      <c r="N36" s="220"/>
      <c r="O36" s="220"/>
      <c r="P36" s="220"/>
      <c r="Q36" s="220"/>
      <c r="R36" s="220"/>
      <c r="S36" s="220"/>
      <c r="T36" s="220"/>
      <c r="U36" s="220"/>
    </row>
    <row r="37" spans="1:21" ht="18" customHeight="1">
      <c r="B37" s="221" t="s">
        <v>19</v>
      </c>
      <c r="C37" s="222"/>
      <c r="D37" s="222"/>
      <c r="E37" s="222"/>
      <c r="F37" s="223"/>
      <c r="G37" s="224" t="s">
        <v>20</v>
      </c>
      <c r="H37" s="225" t="s">
        <v>21</v>
      </c>
      <c r="I37" s="226" t="s">
        <v>28</v>
      </c>
      <c r="J37" s="226" t="s">
        <v>29</v>
      </c>
      <c r="K37" s="221" t="s">
        <v>19</v>
      </c>
      <c r="L37" s="222"/>
      <c r="M37" s="222"/>
      <c r="N37" s="222"/>
      <c r="O37" s="222"/>
      <c r="P37" s="222"/>
      <c r="Q37" s="223"/>
      <c r="R37" s="224" t="s">
        <v>20</v>
      </c>
      <c r="S37" s="225" t="s">
        <v>21</v>
      </c>
      <c r="T37" s="226" t="s">
        <v>28</v>
      </c>
      <c r="U37" s="226" t="s">
        <v>29</v>
      </c>
    </row>
    <row r="38" spans="1:21" ht="18" customHeight="1">
      <c r="B38" s="227" t="s">
        <v>24</v>
      </c>
      <c r="C38" s="228"/>
      <c r="D38" s="228"/>
      <c r="E38" s="228"/>
      <c r="F38" s="229"/>
      <c r="G38" s="230">
        <v>1</v>
      </c>
      <c r="H38" s="230" t="s">
        <v>25</v>
      </c>
      <c r="I38" s="230" t="s">
        <v>25</v>
      </c>
      <c r="J38" s="230" t="s">
        <v>25</v>
      </c>
      <c r="K38" s="227"/>
      <c r="L38" s="228"/>
      <c r="M38" s="228"/>
      <c r="N38" s="228"/>
      <c r="O38" s="228"/>
      <c r="P38" s="228"/>
      <c r="Q38" s="229"/>
      <c r="R38" s="230"/>
      <c r="S38" s="230"/>
      <c r="T38" s="230"/>
      <c r="U38" s="230"/>
    </row>
    <row r="39" spans="1:21" ht="18" customHeight="1">
      <c r="B39" s="231" t="s">
        <v>30</v>
      </c>
      <c r="C39" s="232"/>
      <c r="D39" s="232"/>
      <c r="E39" s="232"/>
      <c r="F39" s="233"/>
      <c r="G39" s="234">
        <v>2</v>
      </c>
      <c r="H39" s="234" t="s">
        <v>25</v>
      </c>
      <c r="I39" s="234" t="s">
        <v>25</v>
      </c>
      <c r="J39" s="234" t="s">
        <v>25</v>
      </c>
      <c r="K39" s="231"/>
      <c r="L39" s="232"/>
      <c r="M39" s="232"/>
      <c r="N39" s="232"/>
      <c r="O39" s="232"/>
      <c r="P39" s="232"/>
      <c r="Q39" s="233"/>
      <c r="R39" s="234"/>
      <c r="S39" s="234"/>
      <c r="T39" s="234"/>
      <c r="U39" s="234"/>
    </row>
    <row r="40" spans="1:21" ht="18" customHeight="1">
      <c r="B40" s="231"/>
      <c r="C40" s="232"/>
      <c r="D40" s="232"/>
      <c r="E40" s="232"/>
      <c r="F40" s="233"/>
      <c r="G40" s="234"/>
      <c r="H40" s="234"/>
      <c r="I40" s="234"/>
      <c r="J40" s="234"/>
      <c r="K40" s="231"/>
      <c r="L40" s="232"/>
      <c r="M40" s="232"/>
      <c r="N40" s="232"/>
      <c r="O40" s="232"/>
      <c r="P40" s="232"/>
      <c r="Q40" s="233"/>
      <c r="R40" s="234"/>
      <c r="S40" s="234"/>
      <c r="T40" s="234"/>
      <c r="U40" s="234"/>
    </row>
    <row r="41" spans="1:21" ht="18" customHeight="1">
      <c r="B41" s="231"/>
      <c r="C41" s="232"/>
      <c r="D41" s="232"/>
      <c r="E41" s="232"/>
      <c r="F41" s="233"/>
      <c r="G41" s="234"/>
      <c r="H41" s="234"/>
      <c r="I41" s="234"/>
      <c r="J41" s="234"/>
      <c r="K41" s="231"/>
      <c r="L41" s="232"/>
      <c r="M41" s="232"/>
      <c r="N41" s="232"/>
      <c r="O41" s="232"/>
      <c r="P41" s="232"/>
      <c r="Q41" s="233"/>
      <c r="R41" s="234"/>
      <c r="S41" s="234"/>
      <c r="T41" s="234"/>
      <c r="U41" s="234"/>
    </row>
    <row r="42" spans="1:21" ht="18" customHeight="1">
      <c r="B42" s="231"/>
      <c r="C42" s="232"/>
      <c r="D42" s="232"/>
      <c r="E42" s="232"/>
      <c r="F42" s="233"/>
      <c r="G42" s="234"/>
      <c r="H42" s="234"/>
      <c r="I42" s="234"/>
      <c r="J42" s="234"/>
      <c r="K42" s="231"/>
      <c r="L42" s="232"/>
      <c r="M42" s="232"/>
      <c r="N42" s="232"/>
      <c r="O42" s="232"/>
      <c r="P42" s="232"/>
      <c r="Q42" s="233"/>
      <c r="R42" s="234"/>
      <c r="S42" s="234"/>
      <c r="T42" s="234"/>
      <c r="U42" s="234"/>
    </row>
    <row r="43" spans="1:21" ht="18" customHeight="1">
      <c r="B43" s="231"/>
      <c r="C43" s="232"/>
      <c r="D43" s="232"/>
      <c r="E43" s="232"/>
      <c r="F43" s="233"/>
      <c r="G43" s="234"/>
      <c r="H43" s="234"/>
      <c r="I43" s="234"/>
      <c r="J43" s="234"/>
      <c r="K43" s="231"/>
      <c r="L43" s="232"/>
      <c r="M43" s="232"/>
      <c r="N43" s="232"/>
      <c r="O43" s="232"/>
      <c r="P43" s="232"/>
      <c r="Q43" s="233"/>
      <c r="R43" s="234"/>
      <c r="S43" s="234"/>
      <c r="T43" s="234"/>
      <c r="U43" s="234"/>
    </row>
    <row r="44" spans="1:21" ht="18" customHeight="1">
      <c r="B44" s="235"/>
      <c r="C44" s="236"/>
      <c r="D44" s="236"/>
      <c r="E44" s="236"/>
      <c r="F44" s="237"/>
      <c r="G44" s="238"/>
      <c r="H44" s="238"/>
      <c r="I44" s="239"/>
      <c r="J44" s="239"/>
      <c r="K44" s="235"/>
      <c r="L44" s="236"/>
      <c r="M44" s="236"/>
      <c r="N44" s="236"/>
      <c r="O44" s="236"/>
      <c r="P44" s="236"/>
      <c r="Q44" s="237"/>
      <c r="R44" s="238"/>
      <c r="S44" s="238"/>
      <c r="T44" s="239"/>
      <c r="U44" s="239"/>
    </row>
    <row r="45" spans="1:21" ht="7.5" customHeight="1">
      <c r="A45" s="27"/>
      <c r="B45" s="26"/>
      <c r="C45" s="26"/>
      <c r="D45" s="26"/>
      <c r="E45" s="27"/>
      <c r="F45" s="27"/>
      <c r="G45" s="27"/>
      <c r="H45" s="27"/>
      <c r="I45" s="26"/>
      <c r="J45" s="26"/>
      <c r="K45" s="26"/>
      <c r="L45" s="26"/>
      <c r="M45" s="26"/>
      <c r="N45" s="26"/>
      <c r="O45" s="26"/>
      <c r="P45" s="26"/>
      <c r="Q45" s="26"/>
      <c r="R45" s="26"/>
      <c r="S45" s="26"/>
      <c r="T45" s="26"/>
      <c r="U45" s="27"/>
    </row>
    <row r="46" spans="1:21" ht="18" customHeight="1">
      <c r="A46" s="220" t="s">
        <v>31</v>
      </c>
      <c r="B46" s="220"/>
      <c r="C46" s="220"/>
      <c r="D46" s="220"/>
      <c r="E46" s="220"/>
      <c r="F46" s="220"/>
      <c r="G46" s="220"/>
      <c r="H46" s="220"/>
      <c r="I46" s="220"/>
      <c r="J46" s="220"/>
      <c r="K46" s="220"/>
      <c r="L46" s="220"/>
      <c r="M46" s="220"/>
      <c r="N46" s="220"/>
      <c r="O46" s="220"/>
      <c r="P46" s="220"/>
      <c r="Q46" s="220"/>
      <c r="R46" s="220"/>
      <c r="S46" s="220"/>
      <c r="T46" s="220"/>
      <c r="U46" s="220"/>
    </row>
    <row r="47" spans="1:21" ht="18" customHeight="1">
      <c r="A47" s="220"/>
      <c r="B47" s="220"/>
      <c r="C47" s="220"/>
      <c r="D47" s="220"/>
      <c r="E47" s="220"/>
      <c r="F47" s="220"/>
      <c r="G47" s="220"/>
      <c r="H47" s="220"/>
      <c r="I47" s="220"/>
      <c r="J47" s="220"/>
      <c r="K47" s="220"/>
      <c r="L47" s="220"/>
      <c r="M47" s="220"/>
      <c r="N47" s="220"/>
      <c r="O47" s="220"/>
      <c r="P47" s="220"/>
      <c r="Q47" s="220"/>
      <c r="R47" s="220"/>
      <c r="S47" s="220"/>
      <c r="T47" s="220"/>
      <c r="U47" s="220"/>
    </row>
    <row r="48" spans="1:21" ht="18" customHeight="1">
      <c r="B48" s="221" t="s">
        <v>19</v>
      </c>
      <c r="C48" s="222"/>
      <c r="D48" s="222"/>
      <c r="E48" s="222"/>
      <c r="F48" s="223"/>
      <c r="G48" s="224" t="s">
        <v>20</v>
      </c>
      <c r="H48" s="225" t="s">
        <v>21</v>
      </c>
      <c r="I48" s="226" t="s">
        <v>32</v>
      </c>
      <c r="J48" s="226" t="s">
        <v>33</v>
      </c>
      <c r="K48" s="221" t="s">
        <v>19</v>
      </c>
      <c r="L48" s="222"/>
      <c r="M48" s="222"/>
      <c r="N48" s="222"/>
      <c r="O48" s="222"/>
      <c r="P48" s="222"/>
      <c r="Q48" s="223"/>
      <c r="R48" s="224" t="s">
        <v>20</v>
      </c>
      <c r="S48" s="225" t="s">
        <v>21</v>
      </c>
      <c r="T48" s="226" t="s">
        <v>32</v>
      </c>
      <c r="U48" s="226" t="s">
        <v>33</v>
      </c>
    </row>
    <row r="49" spans="1:21" ht="18" customHeight="1">
      <c r="A49" s="27"/>
      <c r="B49" s="227" t="s">
        <v>24</v>
      </c>
      <c r="C49" s="228"/>
      <c r="D49" s="228"/>
      <c r="E49" s="228"/>
      <c r="F49" s="229"/>
      <c r="G49" s="230">
        <v>1</v>
      </c>
      <c r="H49" s="230" t="s">
        <v>25</v>
      </c>
      <c r="I49" s="230" t="s">
        <v>25</v>
      </c>
      <c r="J49" s="230" t="s">
        <v>25</v>
      </c>
      <c r="K49" s="227"/>
      <c r="L49" s="228"/>
      <c r="M49" s="228"/>
      <c r="N49" s="228"/>
      <c r="O49" s="228"/>
      <c r="P49" s="228"/>
      <c r="Q49" s="229"/>
      <c r="R49" s="230"/>
      <c r="S49" s="230"/>
      <c r="T49" s="230"/>
      <c r="U49" s="230"/>
    </row>
    <row r="50" spans="1:21" ht="18" customHeight="1">
      <c r="A50" s="27"/>
      <c r="B50" s="231" t="s">
        <v>26</v>
      </c>
      <c r="C50" s="232"/>
      <c r="D50" s="232"/>
      <c r="E50" s="232"/>
      <c r="F50" s="233"/>
      <c r="G50" s="234">
        <v>2</v>
      </c>
      <c r="H50" s="234" t="s">
        <v>25</v>
      </c>
      <c r="I50" s="234" t="s">
        <v>25</v>
      </c>
      <c r="J50" s="234"/>
      <c r="K50" s="231"/>
      <c r="L50" s="232"/>
      <c r="M50" s="232"/>
      <c r="N50" s="232"/>
      <c r="O50" s="232"/>
      <c r="P50" s="232"/>
      <c r="Q50" s="233"/>
      <c r="R50" s="234"/>
      <c r="S50" s="234"/>
      <c r="T50" s="234"/>
      <c r="U50" s="234"/>
    </row>
    <row r="51" spans="1:21" ht="18" customHeight="1">
      <c r="A51" s="27"/>
      <c r="B51" s="231" t="s">
        <v>30</v>
      </c>
      <c r="C51" s="232"/>
      <c r="D51" s="232"/>
      <c r="E51" s="232"/>
      <c r="F51" s="233"/>
      <c r="G51" s="234">
        <v>2</v>
      </c>
      <c r="H51" s="234" t="s">
        <v>25</v>
      </c>
      <c r="I51" s="234"/>
      <c r="J51" s="234" t="s">
        <v>25</v>
      </c>
      <c r="K51" s="231"/>
      <c r="L51" s="232"/>
      <c r="M51" s="232"/>
      <c r="N51" s="232"/>
      <c r="O51" s="232"/>
      <c r="P51" s="232"/>
      <c r="Q51" s="233"/>
      <c r="R51" s="234"/>
      <c r="S51" s="234"/>
      <c r="T51" s="234"/>
      <c r="U51" s="234"/>
    </row>
    <row r="52" spans="1:21" ht="18" customHeight="1">
      <c r="A52" s="27"/>
      <c r="B52" s="231" t="s">
        <v>34</v>
      </c>
      <c r="C52" s="232"/>
      <c r="D52" s="232"/>
      <c r="E52" s="232"/>
      <c r="F52" s="233"/>
      <c r="G52" s="234">
        <v>2</v>
      </c>
      <c r="H52" s="234" t="s">
        <v>25</v>
      </c>
      <c r="I52" s="234"/>
      <c r="J52" s="234" t="s">
        <v>35</v>
      </c>
      <c r="K52" s="231"/>
      <c r="L52" s="232"/>
      <c r="M52" s="232"/>
      <c r="N52" s="232"/>
      <c r="O52" s="232"/>
      <c r="P52" s="232"/>
      <c r="Q52" s="233"/>
      <c r="R52" s="234"/>
      <c r="S52" s="234"/>
      <c r="T52" s="234"/>
      <c r="U52" s="234"/>
    </row>
    <row r="53" spans="1:21" ht="18" customHeight="1">
      <c r="A53" s="27"/>
      <c r="B53" s="231"/>
      <c r="C53" s="232"/>
      <c r="D53" s="232"/>
      <c r="E53" s="232"/>
      <c r="F53" s="233"/>
      <c r="G53" s="234"/>
      <c r="H53" s="234"/>
      <c r="I53" s="234"/>
      <c r="J53" s="234"/>
      <c r="K53" s="231"/>
      <c r="L53" s="232"/>
      <c r="M53" s="232"/>
      <c r="N53" s="232"/>
      <c r="O53" s="232"/>
      <c r="P53" s="232"/>
      <c r="Q53" s="233"/>
      <c r="R53" s="234"/>
      <c r="S53" s="234"/>
      <c r="T53" s="234"/>
      <c r="U53" s="234"/>
    </row>
    <row r="54" spans="1:21" ht="18" customHeight="1">
      <c r="A54" s="27"/>
      <c r="B54" s="231"/>
      <c r="C54" s="232"/>
      <c r="D54" s="232"/>
      <c r="E54" s="232"/>
      <c r="F54" s="233"/>
      <c r="G54" s="234"/>
      <c r="H54" s="234"/>
      <c r="I54" s="234"/>
      <c r="J54" s="234"/>
      <c r="K54" s="231"/>
      <c r="L54" s="232"/>
      <c r="M54" s="232"/>
      <c r="N54" s="232"/>
      <c r="O54" s="232"/>
      <c r="P54" s="232"/>
      <c r="Q54" s="233"/>
      <c r="R54" s="234"/>
      <c r="S54" s="234"/>
      <c r="T54" s="234"/>
      <c r="U54" s="234"/>
    </row>
    <row r="55" spans="1:21" ht="18" customHeight="1">
      <c r="A55" s="27"/>
      <c r="B55" s="235"/>
      <c r="C55" s="236"/>
      <c r="D55" s="236"/>
      <c r="E55" s="236"/>
      <c r="F55" s="237"/>
      <c r="G55" s="238"/>
      <c r="H55" s="238"/>
      <c r="I55" s="239"/>
      <c r="J55" s="239"/>
      <c r="K55" s="235"/>
      <c r="L55" s="236"/>
      <c r="M55" s="236"/>
      <c r="N55" s="236"/>
      <c r="O55" s="236"/>
      <c r="P55" s="236"/>
      <c r="Q55" s="237"/>
      <c r="R55" s="238"/>
      <c r="S55" s="238"/>
      <c r="T55" s="239"/>
      <c r="U55" s="239"/>
    </row>
    <row r="56" spans="1:21" ht="7.5" customHeight="1">
      <c r="B56" s="240"/>
      <c r="C56" s="240"/>
      <c r="D56" s="240"/>
      <c r="E56" s="240"/>
      <c r="F56" s="240"/>
      <c r="G56" s="240"/>
      <c r="H56" s="240"/>
      <c r="I56" s="240"/>
      <c r="J56" s="240"/>
      <c r="K56" s="240"/>
      <c r="L56" s="240"/>
      <c r="M56" s="240"/>
      <c r="N56" s="240"/>
      <c r="O56" s="240"/>
      <c r="P56" s="240"/>
      <c r="Q56" s="240"/>
      <c r="R56" s="240"/>
      <c r="S56" s="240"/>
      <c r="T56" s="240"/>
    </row>
    <row r="57" spans="1:21" ht="18" customHeight="1">
      <c r="A57" s="220" t="s">
        <v>36</v>
      </c>
      <c r="B57" s="220"/>
      <c r="C57" s="220"/>
      <c r="D57" s="220"/>
      <c r="E57" s="220"/>
      <c r="F57" s="220"/>
      <c r="G57" s="220"/>
      <c r="H57" s="220"/>
      <c r="I57" s="220"/>
      <c r="J57" s="220"/>
      <c r="K57" s="220"/>
      <c r="L57" s="220"/>
      <c r="M57" s="220"/>
      <c r="N57" s="220"/>
      <c r="O57" s="220"/>
      <c r="P57" s="220"/>
      <c r="Q57" s="220"/>
      <c r="R57" s="220"/>
      <c r="S57" s="220"/>
      <c r="T57" s="220"/>
      <c r="U57" s="220"/>
    </row>
    <row r="58" spans="1:21" ht="18" customHeight="1">
      <c r="A58" s="220"/>
      <c r="B58" s="220"/>
      <c r="C58" s="220"/>
      <c r="D58" s="220"/>
      <c r="E58" s="220"/>
      <c r="F58" s="220"/>
      <c r="G58" s="220"/>
      <c r="H58" s="220"/>
      <c r="I58" s="220"/>
      <c r="J58" s="220"/>
      <c r="K58" s="220"/>
      <c r="L58" s="220"/>
      <c r="M58" s="220"/>
      <c r="N58" s="220"/>
      <c r="O58" s="220"/>
      <c r="P58" s="220"/>
      <c r="Q58" s="220"/>
      <c r="R58" s="220"/>
      <c r="S58" s="220"/>
      <c r="T58" s="220"/>
      <c r="U58" s="220"/>
    </row>
    <row r="59" spans="1:21" ht="18" customHeight="1">
      <c r="B59" s="221" t="s">
        <v>19</v>
      </c>
      <c r="C59" s="222"/>
      <c r="D59" s="222"/>
      <c r="E59" s="222"/>
      <c r="F59" s="223"/>
      <c r="G59" s="224" t="s">
        <v>20</v>
      </c>
      <c r="H59" s="225" t="s">
        <v>21</v>
      </c>
      <c r="I59" s="226" t="s">
        <v>37</v>
      </c>
      <c r="J59" s="226" t="s">
        <v>38</v>
      </c>
      <c r="K59" s="221" t="s">
        <v>19</v>
      </c>
      <c r="L59" s="222"/>
      <c r="M59" s="222"/>
      <c r="N59" s="222"/>
      <c r="O59" s="222"/>
      <c r="P59" s="222"/>
      <c r="Q59" s="223"/>
      <c r="R59" s="224" t="s">
        <v>20</v>
      </c>
      <c r="S59" s="225" t="s">
        <v>21</v>
      </c>
      <c r="T59" s="226" t="s">
        <v>37</v>
      </c>
      <c r="U59" s="226" t="s">
        <v>38</v>
      </c>
    </row>
    <row r="60" spans="1:21" ht="18" customHeight="1">
      <c r="A60" s="27"/>
      <c r="B60" s="227" t="s">
        <v>24</v>
      </c>
      <c r="C60" s="228"/>
      <c r="D60" s="228"/>
      <c r="E60" s="228"/>
      <c r="F60" s="229"/>
      <c r="G60" s="230">
        <v>1</v>
      </c>
      <c r="H60" s="230" t="s">
        <v>25</v>
      </c>
      <c r="I60" s="230" t="s">
        <v>25</v>
      </c>
      <c r="J60" s="230" t="s">
        <v>25</v>
      </c>
      <c r="K60" s="227"/>
      <c r="L60" s="228"/>
      <c r="M60" s="228"/>
      <c r="N60" s="228"/>
      <c r="O60" s="228"/>
      <c r="P60" s="228"/>
      <c r="Q60" s="229"/>
      <c r="R60" s="230"/>
      <c r="S60" s="230"/>
      <c r="T60" s="230"/>
      <c r="U60" s="230"/>
    </row>
    <row r="61" spans="1:21" ht="18" customHeight="1">
      <c r="A61" s="27"/>
      <c r="B61" s="231" t="s">
        <v>26</v>
      </c>
      <c r="C61" s="232"/>
      <c r="D61" s="232"/>
      <c r="E61" s="232"/>
      <c r="F61" s="233"/>
      <c r="G61" s="234">
        <v>2</v>
      </c>
      <c r="H61" s="234" t="s">
        <v>35</v>
      </c>
      <c r="I61" s="234" t="s">
        <v>35</v>
      </c>
      <c r="J61" s="234" t="s">
        <v>35</v>
      </c>
      <c r="K61" s="231"/>
      <c r="L61" s="232"/>
      <c r="M61" s="232"/>
      <c r="N61" s="232"/>
      <c r="O61" s="232"/>
      <c r="P61" s="232"/>
      <c r="Q61" s="233"/>
      <c r="R61" s="234"/>
      <c r="S61" s="234"/>
      <c r="T61" s="234"/>
      <c r="U61" s="234"/>
    </row>
    <row r="62" spans="1:21" ht="18" customHeight="1">
      <c r="A62" s="27"/>
      <c r="B62" s="231" t="s">
        <v>30</v>
      </c>
      <c r="C62" s="232"/>
      <c r="D62" s="232"/>
      <c r="E62" s="232"/>
      <c r="F62" s="233"/>
      <c r="G62" s="234">
        <v>2</v>
      </c>
      <c r="H62" s="234" t="s">
        <v>35</v>
      </c>
      <c r="I62" s="234" t="s">
        <v>35</v>
      </c>
      <c r="J62" s="234"/>
      <c r="K62" s="231"/>
      <c r="L62" s="232"/>
      <c r="M62" s="232"/>
      <c r="N62" s="232"/>
      <c r="O62" s="232"/>
      <c r="P62" s="232"/>
      <c r="Q62" s="233"/>
      <c r="R62" s="234"/>
      <c r="S62" s="234"/>
      <c r="T62" s="234"/>
      <c r="U62" s="234"/>
    </row>
    <row r="63" spans="1:21" ht="18" customHeight="1">
      <c r="A63" s="27"/>
      <c r="B63" s="231" t="s">
        <v>39</v>
      </c>
      <c r="C63" s="232"/>
      <c r="D63" s="232"/>
      <c r="E63" s="232"/>
      <c r="F63" s="233"/>
      <c r="G63" s="234">
        <v>2</v>
      </c>
      <c r="H63" s="234" t="s">
        <v>35</v>
      </c>
      <c r="I63" s="234" t="s">
        <v>35</v>
      </c>
      <c r="J63" s="234"/>
      <c r="K63" s="231"/>
      <c r="L63" s="232"/>
      <c r="M63" s="232"/>
      <c r="N63" s="232"/>
      <c r="O63" s="232"/>
      <c r="P63" s="232"/>
      <c r="Q63" s="233"/>
      <c r="R63" s="234"/>
      <c r="S63" s="234"/>
      <c r="T63" s="234"/>
      <c r="U63" s="234"/>
    </row>
    <row r="64" spans="1:21" ht="18" customHeight="1">
      <c r="A64" s="27"/>
      <c r="B64" s="231"/>
      <c r="C64" s="232"/>
      <c r="D64" s="232"/>
      <c r="E64" s="232"/>
      <c r="F64" s="233"/>
      <c r="G64" s="234"/>
      <c r="H64" s="234"/>
      <c r="I64" s="234"/>
      <c r="J64" s="234"/>
      <c r="K64" s="231"/>
      <c r="L64" s="232"/>
      <c r="M64" s="232"/>
      <c r="N64" s="232"/>
      <c r="O64" s="232"/>
      <c r="P64" s="232"/>
      <c r="Q64" s="233"/>
      <c r="R64" s="234"/>
      <c r="S64" s="234"/>
      <c r="T64" s="234"/>
      <c r="U64" s="234"/>
    </row>
    <row r="65" spans="1:27" ht="18" customHeight="1">
      <c r="A65" s="27"/>
      <c r="B65" s="231"/>
      <c r="C65" s="232"/>
      <c r="D65" s="232"/>
      <c r="E65" s="232"/>
      <c r="F65" s="233"/>
      <c r="G65" s="234"/>
      <c r="H65" s="234"/>
      <c r="I65" s="234"/>
      <c r="J65" s="234"/>
      <c r="K65" s="231"/>
      <c r="L65" s="232"/>
      <c r="M65" s="232"/>
      <c r="N65" s="232"/>
      <c r="O65" s="232"/>
      <c r="P65" s="232"/>
      <c r="Q65" s="233"/>
      <c r="R65" s="234"/>
      <c r="S65" s="234"/>
      <c r="T65" s="234"/>
      <c r="U65" s="234"/>
    </row>
    <row r="66" spans="1:27" ht="18" customHeight="1">
      <c r="A66" s="27"/>
      <c r="B66" s="235"/>
      <c r="C66" s="236"/>
      <c r="D66" s="236"/>
      <c r="E66" s="236"/>
      <c r="F66" s="237"/>
      <c r="G66" s="238"/>
      <c r="H66" s="238"/>
      <c r="I66" s="239"/>
      <c r="J66" s="239"/>
      <c r="K66" s="235"/>
      <c r="L66" s="236"/>
      <c r="M66" s="236"/>
      <c r="N66" s="236"/>
      <c r="O66" s="236"/>
      <c r="P66" s="236"/>
      <c r="Q66" s="237"/>
      <c r="R66" s="238"/>
      <c r="S66" s="238"/>
      <c r="T66" s="239"/>
      <c r="U66" s="239"/>
    </row>
    <row r="67" spans="1:27" ht="7.5" customHeight="1">
      <c r="B67" s="240"/>
      <c r="C67" s="240"/>
      <c r="D67" s="240"/>
      <c r="E67" s="240"/>
      <c r="F67" s="240"/>
      <c r="G67" s="240"/>
      <c r="H67" s="240"/>
      <c r="I67" s="240"/>
      <c r="J67" s="240"/>
      <c r="K67" s="240"/>
      <c r="L67" s="240"/>
      <c r="M67" s="240"/>
      <c r="N67" s="240"/>
      <c r="O67" s="240"/>
      <c r="P67" s="240"/>
      <c r="Q67" s="240"/>
      <c r="R67" s="240"/>
      <c r="S67" s="240"/>
      <c r="T67" s="240"/>
    </row>
    <row r="68" spans="1:27" ht="18" customHeight="1">
      <c r="A68" s="220" t="s">
        <v>40</v>
      </c>
      <c r="B68" s="220"/>
      <c r="C68" s="220"/>
      <c r="D68" s="220"/>
      <c r="E68" s="220"/>
      <c r="F68" s="220"/>
      <c r="G68" s="220"/>
      <c r="H68" s="220"/>
      <c r="I68" s="220"/>
      <c r="J68" s="220"/>
      <c r="K68" s="220"/>
      <c r="L68" s="220"/>
      <c r="M68" s="220"/>
      <c r="N68" s="220"/>
      <c r="O68" s="220"/>
      <c r="P68" s="220"/>
      <c r="Q68" s="220"/>
      <c r="R68" s="220"/>
      <c r="S68" s="220"/>
      <c r="T68" s="220"/>
      <c r="U68" s="220"/>
    </row>
    <row r="69" spans="1:27" ht="18" customHeight="1">
      <c r="A69" s="220"/>
      <c r="B69" s="220"/>
      <c r="C69" s="220"/>
      <c r="D69" s="220"/>
      <c r="E69" s="220"/>
      <c r="F69" s="220"/>
      <c r="G69" s="220"/>
      <c r="H69" s="220"/>
      <c r="I69" s="220"/>
      <c r="J69" s="220"/>
      <c r="K69" s="220"/>
      <c r="L69" s="220"/>
      <c r="M69" s="220"/>
      <c r="N69" s="220"/>
      <c r="O69" s="220"/>
      <c r="P69" s="220"/>
      <c r="Q69" s="220"/>
      <c r="R69" s="220"/>
      <c r="S69" s="220"/>
      <c r="T69" s="220"/>
      <c r="U69" s="220"/>
    </row>
    <row r="70" spans="1:27" ht="18" customHeight="1">
      <c r="B70" s="221" t="s">
        <v>19</v>
      </c>
      <c r="C70" s="222"/>
      <c r="D70" s="222"/>
      <c r="E70" s="222"/>
      <c r="F70" s="224" t="s">
        <v>20</v>
      </c>
      <c r="G70" s="225" t="s">
        <v>21</v>
      </c>
      <c r="H70" s="226" t="s">
        <v>41</v>
      </c>
      <c r="I70" s="226" t="s">
        <v>42</v>
      </c>
      <c r="J70" s="226" t="s">
        <v>43</v>
      </c>
      <c r="K70" s="221" t="s">
        <v>19</v>
      </c>
      <c r="L70" s="222"/>
      <c r="M70" s="222"/>
      <c r="N70" s="222"/>
      <c r="O70" s="222"/>
      <c r="P70" s="223"/>
      <c r="Q70" s="224" t="s">
        <v>20</v>
      </c>
      <c r="R70" s="225" t="s">
        <v>21</v>
      </c>
      <c r="S70" s="226" t="s">
        <v>41</v>
      </c>
      <c r="T70" s="226" t="s">
        <v>42</v>
      </c>
      <c r="U70" s="226" t="s">
        <v>43</v>
      </c>
    </row>
    <row r="71" spans="1:27" ht="18" customHeight="1">
      <c r="A71" s="27"/>
      <c r="B71" s="231" t="s">
        <v>24</v>
      </c>
      <c r="C71" s="232"/>
      <c r="D71" s="232"/>
      <c r="E71" s="233"/>
      <c r="F71" s="234">
        <v>1</v>
      </c>
      <c r="G71" s="234" t="s">
        <v>25</v>
      </c>
      <c r="H71" s="234" t="s">
        <v>25</v>
      </c>
      <c r="I71" s="234" t="s">
        <v>25</v>
      </c>
      <c r="J71" s="234" t="s">
        <v>25</v>
      </c>
      <c r="K71" s="227"/>
      <c r="L71" s="228"/>
      <c r="M71" s="228"/>
      <c r="N71" s="228"/>
      <c r="O71" s="228"/>
      <c r="P71" s="229"/>
      <c r="Q71" s="230"/>
      <c r="R71" s="230"/>
      <c r="S71" s="230"/>
      <c r="T71" s="230"/>
      <c r="U71" s="230"/>
    </row>
    <row r="72" spans="1:27" ht="18" customHeight="1">
      <c r="A72" s="27"/>
      <c r="B72" s="231" t="s">
        <v>44</v>
      </c>
      <c r="C72" s="232"/>
      <c r="D72" s="232"/>
      <c r="E72" s="233"/>
      <c r="F72" s="234">
        <v>2</v>
      </c>
      <c r="G72" s="234" t="s">
        <v>25</v>
      </c>
      <c r="H72" s="234" t="s">
        <v>25</v>
      </c>
      <c r="I72" s="234" t="s">
        <v>25</v>
      </c>
      <c r="J72" s="234" t="s">
        <v>25</v>
      </c>
      <c r="K72" s="231"/>
      <c r="L72" s="232"/>
      <c r="M72" s="232"/>
      <c r="N72" s="232"/>
      <c r="O72" s="232"/>
      <c r="P72" s="233"/>
      <c r="Q72" s="234"/>
      <c r="R72" s="234"/>
      <c r="S72" s="234"/>
      <c r="T72" s="234"/>
      <c r="U72" s="234"/>
    </row>
    <row r="73" spans="1:27" ht="18" customHeight="1">
      <c r="A73" s="27"/>
      <c r="B73" s="231" t="s">
        <v>45</v>
      </c>
      <c r="C73" s="232"/>
      <c r="D73" s="232"/>
      <c r="E73" s="233"/>
      <c r="F73" s="234">
        <v>2</v>
      </c>
      <c r="G73" s="234" t="s">
        <v>25</v>
      </c>
      <c r="H73" s="234" t="s">
        <v>25</v>
      </c>
      <c r="I73" s="234"/>
      <c r="J73" s="234"/>
      <c r="K73" s="231"/>
      <c r="L73" s="232"/>
      <c r="M73" s="232"/>
      <c r="N73" s="232"/>
      <c r="O73" s="232"/>
      <c r="P73" s="233"/>
      <c r="Q73" s="234"/>
      <c r="R73" s="234"/>
      <c r="S73" s="234"/>
      <c r="T73" s="234"/>
      <c r="U73" s="234"/>
    </row>
    <row r="74" spans="1:27" ht="18" customHeight="1">
      <c r="A74" s="27"/>
      <c r="B74" s="231" t="s">
        <v>46</v>
      </c>
      <c r="C74" s="232"/>
      <c r="D74" s="232"/>
      <c r="E74" s="233"/>
      <c r="F74" s="234">
        <v>2</v>
      </c>
      <c r="G74" s="234" t="s">
        <v>25</v>
      </c>
      <c r="H74" s="234" t="s">
        <v>25</v>
      </c>
      <c r="I74" s="234" t="s">
        <v>25</v>
      </c>
      <c r="J74" s="234" t="s">
        <v>25</v>
      </c>
      <c r="K74" s="231"/>
      <c r="L74" s="232"/>
      <c r="M74" s="232"/>
      <c r="N74" s="232"/>
      <c r="O74" s="232"/>
      <c r="P74" s="233"/>
      <c r="Q74" s="234"/>
      <c r="R74" s="234"/>
      <c r="S74" s="234"/>
      <c r="T74" s="234"/>
      <c r="U74" s="234"/>
    </row>
    <row r="75" spans="1:27" ht="18" customHeight="1">
      <c r="A75" s="27"/>
      <c r="B75" s="231"/>
      <c r="C75" s="232"/>
      <c r="D75" s="232"/>
      <c r="E75" s="232"/>
      <c r="F75" s="234"/>
      <c r="G75" s="234"/>
      <c r="H75" s="234"/>
      <c r="I75" s="234"/>
      <c r="J75" s="234"/>
      <c r="K75" s="231"/>
      <c r="L75" s="232"/>
      <c r="M75" s="232"/>
      <c r="N75" s="232"/>
      <c r="O75" s="232"/>
      <c r="P75" s="233"/>
      <c r="Q75" s="234"/>
      <c r="R75" s="234"/>
      <c r="S75" s="234"/>
      <c r="T75" s="234"/>
      <c r="U75" s="234"/>
    </row>
    <row r="76" spans="1:27" ht="18" customHeight="1">
      <c r="A76" s="27"/>
      <c r="B76" s="231"/>
      <c r="C76" s="232"/>
      <c r="D76" s="232"/>
      <c r="E76" s="232"/>
      <c r="F76" s="234"/>
      <c r="G76" s="234"/>
      <c r="H76" s="234"/>
      <c r="I76" s="234"/>
      <c r="J76" s="234"/>
      <c r="K76" s="231"/>
      <c r="L76" s="232"/>
      <c r="M76" s="232"/>
      <c r="N76" s="232"/>
      <c r="O76" s="232"/>
      <c r="P76" s="233"/>
      <c r="Q76" s="234"/>
      <c r="R76" s="234"/>
      <c r="S76" s="234"/>
      <c r="T76" s="234"/>
      <c r="U76" s="234"/>
    </row>
    <row r="77" spans="1:27" ht="18" customHeight="1">
      <c r="A77" s="27"/>
      <c r="B77" s="235"/>
      <c r="C77" s="236"/>
      <c r="D77" s="236"/>
      <c r="E77" s="236"/>
      <c r="F77" s="238"/>
      <c r="G77" s="238"/>
      <c r="H77" s="239"/>
      <c r="I77" s="239"/>
      <c r="J77" s="239"/>
      <c r="K77" s="235"/>
      <c r="L77" s="236"/>
      <c r="M77" s="236"/>
      <c r="N77" s="236"/>
      <c r="O77" s="236"/>
      <c r="P77" s="237"/>
      <c r="Q77" s="238"/>
      <c r="R77" s="238"/>
      <c r="S77" s="239"/>
      <c r="T77" s="239"/>
      <c r="U77" s="239"/>
    </row>
    <row r="78" spans="1:27" ht="7.5" customHeight="1">
      <c r="B78" s="240"/>
      <c r="C78" s="240"/>
      <c r="D78" s="240"/>
      <c r="E78" s="240"/>
      <c r="F78" s="240"/>
      <c r="G78" s="240"/>
      <c r="H78" s="240"/>
      <c r="I78" s="240"/>
      <c r="J78" s="240"/>
      <c r="K78" s="240"/>
      <c r="L78" s="240"/>
      <c r="M78" s="240"/>
      <c r="N78" s="240"/>
      <c r="O78" s="240"/>
      <c r="P78" s="240"/>
      <c r="Q78" s="240"/>
      <c r="R78" s="240"/>
      <c r="S78" s="240"/>
      <c r="T78" s="240"/>
    </row>
    <row r="79" spans="1:27" ht="18" customHeight="1">
      <c r="A79" s="25" t="s">
        <v>47</v>
      </c>
      <c r="I79" s="27"/>
      <c r="J79" s="27"/>
      <c r="K79" s="27"/>
      <c r="L79" s="27"/>
      <c r="M79" s="27"/>
      <c r="N79" s="27"/>
      <c r="O79" s="27"/>
      <c r="P79" s="27"/>
      <c r="Q79" s="27"/>
      <c r="R79" s="27"/>
      <c r="S79" s="27"/>
      <c r="T79" s="27"/>
      <c r="U79" s="27"/>
    </row>
    <row r="80" spans="1:27" ht="18" customHeight="1">
      <c r="B80" s="221" t="s">
        <v>19</v>
      </c>
      <c r="C80" s="222"/>
      <c r="D80" s="222"/>
      <c r="E80" s="222"/>
      <c r="F80" s="223"/>
      <c r="G80" s="221" t="s">
        <v>48</v>
      </c>
      <c r="H80" s="222"/>
      <c r="I80" s="222"/>
      <c r="J80" s="223"/>
      <c r="K80" s="241" t="s">
        <v>19</v>
      </c>
      <c r="L80" s="242"/>
      <c r="M80" s="242"/>
      <c r="N80" s="242"/>
      <c r="O80" s="242"/>
      <c r="P80" s="242"/>
      <c r="Q80" s="243"/>
      <c r="R80" s="221" t="s">
        <v>48</v>
      </c>
      <c r="S80" s="222"/>
      <c r="T80" s="222"/>
      <c r="U80" s="223"/>
      <c r="AA80" s="25" t="s">
        <v>49</v>
      </c>
    </row>
    <row r="81" spans="1:27" ht="18" customHeight="1">
      <c r="A81" s="27"/>
      <c r="B81" s="227"/>
      <c r="C81" s="228"/>
      <c r="D81" s="228"/>
      <c r="E81" s="228"/>
      <c r="F81" s="229"/>
      <c r="G81" s="244"/>
      <c r="H81" s="245"/>
      <c r="I81" s="245"/>
      <c r="J81" s="246"/>
      <c r="K81" s="227"/>
      <c r="L81" s="228"/>
      <c r="M81" s="228"/>
      <c r="N81" s="228"/>
      <c r="O81" s="228"/>
      <c r="P81" s="228"/>
      <c r="Q81" s="229"/>
      <c r="R81" s="244"/>
      <c r="S81" s="245"/>
      <c r="T81" s="245"/>
      <c r="U81" s="246"/>
      <c r="AA81" s="25" t="s">
        <v>50</v>
      </c>
    </row>
    <row r="82" spans="1:27" ht="18" customHeight="1">
      <c r="A82" s="27"/>
      <c r="B82" s="231"/>
      <c r="C82" s="232"/>
      <c r="D82" s="232"/>
      <c r="E82" s="232"/>
      <c r="F82" s="233"/>
      <c r="G82" s="247"/>
      <c r="H82" s="248"/>
      <c r="I82" s="248"/>
      <c r="J82" s="249"/>
      <c r="K82" s="231"/>
      <c r="L82" s="232"/>
      <c r="M82" s="232"/>
      <c r="N82" s="232"/>
      <c r="O82" s="232"/>
      <c r="P82" s="232"/>
      <c r="Q82" s="233"/>
      <c r="R82" s="247"/>
      <c r="S82" s="248"/>
      <c r="T82" s="248"/>
      <c r="U82" s="249"/>
      <c r="AA82" s="25" t="s">
        <v>51</v>
      </c>
    </row>
    <row r="83" spans="1:27" ht="18" customHeight="1">
      <c r="A83" s="27"/>
      <c r="B83" s="231"/>
      <c r="C83" s="232"/>
      <c r="D83" s="232"/>
      <c r="E83" s="232"/>
      <c r="F83" s="233"/>
      <c r="G83" s="247"/>
      <c r="H83" s="248"/>
      <c r="I83" s="248"/>
      <c r="J83" s="249"/>
      <c r="K83" s="231"/>
      <c r="L83" s="232"/>
      <c r="M83" s="232"/>
      <c r="N83" s="232"/>
      <c r="O83" s="232"/>
      <c r="P83" s="232"/>
      <c r="Q83" s="233"/>
      <c r="R83" s="247"/>
      <c r="S83" s="248"/>
      <c r="T83" s="248"/>
      <c r="U83" s="249"/>
      <c r="AA83" s="25" t="s">
        <v>52</v>
      </c>
    </row>
    <row r="84" spans="1:27" ht="18" customHeight="1">
      <c r="A84" s="27"/>
      <c r="B84" s="231"/>
      <c r="C84" s="232"/>
      <c r="D84" s="232"/>
      <c r="E84" s="232"/>
      <c r="F84" s="233"/>
      <c r="G84" s="247"/>
      <c r="H84" s="248"/>
      <c r="I84" s="248"/>
      <c r="J84" s="249"/>
      <c r="K84" s="231"/>
      <c r="L84" s="232"/>
      <c r="M84" s="232"/>
      <c r="N84" s="232"/>
      <c r="O84" s="232"/>
      <c r="P84" s="232"/>
      <c r="Q84" s="233"/>
      <c r="R84" s="247"/>
      <c r="S84" s="248"/>
      <c r="T84" s="248"/>
      <c r="U84" s="249"/>
      <c r="AA84" s="25" t="s">
        <v>53</v>
      </c>
    </row>
    <row r="85" spans="1:27" ht="18" customHeight="1">
      <c r="A85" s="27"/>
      <c r="B85" s="231"/>
      <c r="C85" s="232"/>
      <c r="D85" s="232"/>
      <c r="E85" s="232"/>
      <c r="F85" s="233"/>
      <c r="G85" s="247"/>
      <c r="H85" s="248"/>
      <c r="I85" s="248"/>
      <c r="J85" s="249"/>
      <c r="K85" s="231"/>
      <c r="L85" s="232"/>
      <c r="M85" s="232"/>
      <c r="N85" s="232"/>
      <c r="O85" s="232"/>
      <c r="P85" s="232"/>
      <c r="Q85" s="233"/>
      <c r="R85" s="247"/>
      <c r="S85" s="248"/>
      <c r="T85" s="248"/>
      <c r="U85" s="249"/>
      <c r="AA85" s="25" t="s">
        <v>54</v>
      </c>
    </row>
    <row r="86" spans="1:27" ht="18" customHeight="1">
      <c r="A86" s="27"/>
      <c r="B86" s="231"/>
      <c r="C86" s="232"/>
      <c r="D86" s="232"/>
      <c r="E86" s="232"/>
      <c r="F86" s="233"/>
      <c r="G86" s="247"/>
      <c r="H86" s="248"/>
      <c r="I86" s="248"/>
      <c r="J86" s="249"/>
      <c r="K86" s="231"/>
      <c r="L86" s="232"/>
      <c r="M86" s="232"/>
      <c r="N86" s="232"/>
      <c r="O86" s="232"/>
      <c r="P86" s="232"/>
      <c r="Q86" s="233"/>
      <c r="R86" s="247"/>
      <c r="S86" s="248"/>
      <c r="T86" s="248"/>
      <c r="U86" s="249"/>
      <c r="AA86" s="25" t="s">
        <v>55</v>
      </c>
    </row>
    <row r="87" spans="1:27" ht="18" customHeight="1">
      <c r="A87" s="27"/>
      <c r="B87" s="235"/>
      <c r="C87" s="236"/>
      <c r="D87" s="236"/>
      <c r="E87" s="236"/>
      <c r="F87" s="237"/>
      <c r="G87" s="250"/>
      <c r="H87" s="251"/>
      <c r="I87" s="251"/>
      <c r="J87" s="252"/>
      <c r="K87" s="235"/>
      <c r="L87" s="236"/>
      <c r="M87" s="236"/>
      <c r="N87" s="236"/>
      <c r="O87" s="236"/>
      <c r="P87" s="236"/>
      <c r="Q87" s="237"/>
      <c r="R87" s="250"/>
      <c r="S87" s="251"/>
      <c r="T87" s="251"/>
      <c r="U87" s="252"/>
      <c r="AA87" s="25" t="s">
        <v>56</v>
      </c>
    </row>
    <row r="88" spans="1:27" ht="18" customHeight="1">
      <c r="A88" s="27"/>
      <c r="B88" s="26"/>
      <c r="C88" s="26"/>
      <c r="D88" s="26"/>
      <c r="E88" s="26"/>
      <c r="F88" s="26"/>
      <c r="G88" s="31"/>
      <c r="H88" s="31"/>
      <c r="I88" s="31"/>
      <c r="J88" s="31"/>
      <c r="K88" s="26"/>
      <c r="L88" s="26"/>
      <c r="M88" s="26"/>
      <c r="N88" s="26"/>
      <c r="O88" s="26"/>
      <c r="P88" s="26"/>
      <c r="Q88" s="26"/>
      <c r="R88" s="31"/>
      <c r="S88" s="31"/>
      <c r="T88" s="31"/>
      <c r="U88" s="31"/>
      <c r="AA88" s="25" t="s">
        <v>57</v>
      </c>
    </row>
    <row r="89" spans="1:27" ht="18.75" customHeight="1">
      <c r="A89" s="25" t="s">
        <v>58</v>
      </c>
      <c r="AA89" s="25" t="s">
        <v>59</v>
      </c>
    </row>
    <row r="90" spans="1:27" ht="18.75" customHeight="1">
      <c r="B90" s="253" t="s">
        <v>60</v>
      </c>
      <c r="C90" s="254"/>
      <c r="D90" s="221" t="s">
        <v>61</v>
      </c>
      <c r="E90" s="222"/>
      <c r="F90" s="222"/>
      <c r="G90" s="222"/>
      <c r="H90" s="222"/>
      <c r="I90" s="222"/>
      <c r="J90" s="222"/>
      <c r="K90" s="222"/>
      <c r="L90" s="222"/>
      <c r="M90" s="222"/>
      <c r="N90" s="222"/>
      <c r="O90" s="222"/>
      <c r="P90" s="222"/>
      <c r="Q90" s="222"/>
      <c r="R90" s="222"/>
      <c r="S90" s="222"/>
      <c r="T90" s="222"/>
      <c r="U90" s="223"/>
    </row>
    <row r="91" spans="1:27" ht="97.5" customHeight="1">
      <c r="B91" s="255" t="s">
        <v>62</v>
      </c>
      <c r="C91" s="256" t="s">
        <v>22</v>
      </c>
      <c r="D91" s="80" t="s">
        <v>190</v>
      </c>
      <c r="E91" s="257"/>
      <c r="F91" s="257"/>
      <c r="G91" s="257"/>
      <c r="H91" s="257"/>
      <c r="I91" s="257"/>
      <c r="J91" s="257"/>
      <c r="K91" s="257"/>
      <c r="L91" s="257"/>
      <c r="M91" s="257"/>
      <c r="N91" s="257"/>
      <c r="O91" s="257"/>
      <c r="P91" s="257"/>
      <c r="Q91" s="257"/>
      <c r="R91" s="257"/>
      <c r="S91" s="257"/>
      <c r="T91" s="257"/>
      <c r="U91" s="258"/>
    </row>
    <row r="92" spans="1:27" ht="97.5" customHeight="1">
      <c r="B92" s="259"/>
      <c r="C92" s="260" t="s">
        <v>63</v>
      </c>
      <c r="D92" s="77" t="s">
        <v>64</v>
      </c>
      <c r="E92" s="78"/>
      <c r="F92" s="78"/>
      <c r="G92" s="78"/>
      <c r="H92" s="78"/>
      <c r="I92" s="78"/>
      <c r="J92" s="78"/>
      <c r="K92" s="78"/>
      <c r="L92" s="78"/>
      <c r="M92" s="78"/>
      <c r="N92" s="78"/>
      <c r="O92" s="78"/>
      <c r="P92" s="78"/>
      <c r="Q92" s="78"/>
      <c r="R92" s="78"/>
      <c r="S92" s="78"/>
      <c r="T92" s="78"/>
      <c r="U92" s="79"/>
    </row>
    <row r="93" spans="1:27" ht="97.5" customHeight="1">
      <c r="B93" s="255" t="s">
        <v>65</v>
      </c>
      <c r="C93" s="261" t="s">
        <v>28</v>
      </c>
      <c r="D93" s="80" t="s">
        <v>191</v>
      </c>
      <c r="E93" s="257"/>
      <c r="F93" s="257"/>
      <c r="G93" s="257"/>
      <c r="H93" s="257"/>
      <c r="I93" s="257"/>
      <c r="J93" s="257"/>
      <c r="K93" s="257"/>
      <c r="L93" s="257"/>
      <c r="M93" s="257"/>
      <c r="N93" s="257"/>
      <c r="O93" s="257"/>
      <c r="P93" s="257"/>
      <c r="Q93" s="257"/>
      <c r="R93" s="257"/>
      <c r="S93" s="257"/>
      <c r="T93" s="257"/>
      <c r="U93" s="258"/>
    </row>
    <row r="94" spans="1:27" ht="97.5" customHeight="1">
      <c r="B94" s="262"/>
      <c r="C94" s="263" t="s">
        <v>29</v>
      </c>
      <c r="D94" s="80" t="s">
        <v>192</v>
      </c>
      <c r="E94" s="257"/>
      <c r="F94" s="257"/>
      <c r="G94" s="257"/>
      <c r="H94" s="257"/>
      <c r="I94" s="257"/>
      <c r="J94" s="257"/>
      <c r="K94" s="257"/>
      <c r="L94" s="257"/>
      <c r="M94" s="257"/>
      <c r="N94" s="257"/>
      <c r="O94" s="257"/>
      <c r="P94" s="257"/>
      <c r="Q94" s="257"/>
      <c r="R94" s="257"/>
      <c r="S94" s="257"/>
      <c r="T94" s="257"/>
      <c r="U94" s="258"/>
    </row>
    <row r="95" spans="1:27" ht="97.5" customHeight="1">
      <c r="B95" s="255" t="s">
        <v>66</v>
      </c>
      <c r="C95" s="261" t="s">
        <v>32</v>
      </c>
      <c r="D95" s="80" t="s">
        <v>67</v>
      </c>
      <c r="E95" s="257"/>
      <c r="F95" s="257"/>
      <c r="G95" s="257"/>
      <c r="H95" s="257"/>
      <c r="I95" s="257"/>
      <c r="J95" s="257"/>
      <c r="K95" s="257"/>
      <c r="L95" s="257"/>
      <c r="M95" s="257"/>
      <c r="N95" s="257"/>
      <c r="O95" s="257"/>
      <c r="P95" s="257"/>
      <c r="Q95" s="257"/>
      <c r="R95" s="257"/>
      <c r="S95" s="257"/>
      <c r="T95" s="257"/>
      <c r="U95" s="258"/>
    </row>
    <row r="96" spans="1:27" ht="97.5" customHeight="1">
      <c r="B96" s="262"/>
      <c r="C96" s="264" t="s">
        <v>33</v>
      </c>
      <c r="D96" s="77" t="s">
        <v>193</v>
      </c>
      <c r="E96" s="78"/>
      <c r="F96" s="78"/>
      <c r="G96" s="78"/>
      <c r="H96" s="78"/>
      <c r="I96" s="78"/>
      <c r="J96" s="78"/>
      <c r="K96" s="78"/>
      <c r="L96" s="78"/>
      <c r="M96" s="78"/>
      <c r="N96" s="78"/>
      <c r="O96" s="78"/>
      <c r="P96" s="78"/>
      <c r="Q96" s="78"/>
      <c r="R96" s="78"/>
      <c r="S96" s="78"/>
      <c r="T96" s="78"/>
      <c r="U96" s="79"/>
    </row>
    <row r="97" spans="1:21" ht="129.75" customHeight="1">
      <c r="B97" s="255" t="s">
        <v>68</v>
      </c>
      <c r="C97" s="256" t="s">
        <v>37</v>
      </c>
      <c r="D97" s="80" t="s">
        <v>69</v>
      </c>
      <c r="E97" s="257"/>
      <c r="F97" s="257"/>
      <c r="G97" s="257"/>
      <c r="H97" s="257"/>
      <c r="I97" s="257"/>
      <c r="J97" s="257"/>
      <c r="K97" s="257"/>
      <c r="L97" s="257"/>
      <c r="M97" s="257"/>
      <c r="N97" s="257"/>
      <c r="O97" s="257"/>
      <c r="P97" s="257"/>
      <c r="Q97" s="257"/>
      <c r="R97" s="257"/>
      <c r="S97" s="257"/>
      <c r="T97" s="257"/>
      <c r="U97" s="258"/>
    </row>
    <row r="98" spans="1:21" ht="97.5" customHeight="1">
      <c r="B98" s="262"/>
      <c r="C98" s="263" t="s">
        <v>38</v>
      </c>
      <c r="D98" s="77" t="s">
        <v>70</v>
      </c>
      <c r="E98" s="78"/>
      <c r="F98" s="78"/>
      <c r="G98" s="78"/>
      <c r="H98" s="78"/>
      <c r="I98" s="78"/>
      <c r="J98" s="78"/>
      <c r="K98" s="78"/>
      <c r="L98" s="78"/>
      <c r="M98" s="78"/>
      <c r="N98" s="78"/>
      <c r="O98" s="78"/>
      <c r="P98" s="78"/>
      <c r="Q98" s="78"/>
      <c r="R98" s="78"/>
      <c r="S98" s="78"/>
      <c r="T98" s="78"/>
      <c r="U98" s="79"/>
    </row>
    <row r="99" spans="1:21" ht="173.25" customHeight="1">
      <c r="B99" s="255" t="s">
        <v>71</v>
      </c>
      <c r="C99" s="261" t="s">
        <v>72</v>
      </c>
      <c r="D99" s="80" t="s">
        <v>73</v>
      </c>
      <c r="E99" s="257"/>
      <c r="F99" s="257"/>
      <c r="G99" s="257"/>
      <c r="H99" s="257"/>
      <c r="I99" s="257"/>
      <c r="J99" s="257"/>
      <c r="K99" s="257"/>
      <c r="L99" s="257"/>
      <c r="M99" s="257"/>
      <c r="N99" s="257"/>
      <c r="O99" s="257"/>
      <c r="P99" s="257"/>
      <c r="Q99" s="257"/>
      <c r="R99" s="257"/>
      <c r="S99" s="257"/>
      <c r="T99" s="257"/>
      <c r="U99" s="258"/>
    </row>
    <row r="100" spans="1:21" ht="97.5" customHeight="1">
      <c r="B100" s="259"/>
      <c r="C100" s="265" t="s">
        <v>42</v>
      </c>
      <c r="D100" s="266" t="s">
        <v>74</v>
      </c>
      <c r="E100" s="267"/>
      <c r="F100" s="267"/>
      <c r="G100" s="267"/>
      <c r="H100" s="267"/>
      <c r="I100" s="267"/>
      <c r="J100" s="267"/>
      <c r="K100" s="267"/>
      <c r="L100" s="267"/>
      <c r="M100" s="267"/>
      <c r="N100" s="267"/>
      <c r="O100" s="267"/>
      <c r="P100" s="267"/>
      <c r="Q100" s="267"/>
      <c r="R100" s="267"/>
      <c r="S100" s="267"/>
      <c r="T100" s="267"/>
      <c r="U100" s="268"/>
    </row>
    <row r="101" spans="1:21" ht="97.5" customHeight="1">
      <c r="B101" s="262"/>
      <c r="C101" s="264" t="s">
        <v>43</v>
      </c>
      <c r="D101" s="77" t="s">
        <v>75</v>
      </c>
      <c r="E101" s="78"/>
      <c r="F101" s="78"/>
      <c r="G101" s="78"/>
      <c r="H101" s="78"/>
      <c r="I101" s="78"/>
      <c r="J101" s="78"/>
      <c r="K101" s="78"/>
      <c r="L101" s="78"/>
      <c r="M101" s="78"/>
      <c r="N101" s="78"/>
      <c r="O101" s="78"/>
      <c r="P101" s="78"/>
      <c r="Q101" s="78"/>
      <c r="R101" s="78"/>
      <c r="S101" s="78"/>
      <c r="T101" s="78"/>
      <c r="U101" s="79"/>
    </row>
    <row r="102" spans="1:21" ht="6" customHeight="1"/>
    <row r="103" spans="1:21" ht="18.75" customHeight="1">
      <c r="A103" s="25" t="s">
        <v>76</v>
      </c>
    </row>
    <row r="104" spans="1:21" ht="81.75" customHeight="1">
      <c r="B104" s="269" t="s">
        <v>77</v>
      </c>
      <c r="C104" s="270"/>
      <c r="D104" s="270"/>
      <c r="E104" s="270"/>
      <c r="F104" s="270"/>
      <c r="G104" s="270"/>
      <c r="H104" s="270"/>
      <c r="I104" s="270"/>
      <c r="J104" s="270"/>
      <c r="K104" s="270"/>
      <c r="L104" s="270"/>
      <c r="M104" s="270"/>
      <c r="N104" s="270"/>
      <c r="O104" s="270"/>
      <c r="P104" s="270"/>
      <c r="Q104" s="270"/>
      <c r="R104" s="270"/>
      <c r="S104" s="270"/>
      <c r="T104" s="270"/>
      <c r="U104" s="271"/>
    </row>
    <row r="107" spans="1:21" ht="18" customHeight="1"/>
  </sheetData>
  <mergeCells count="144">
    <mergeCell ref="C3:N3"/>
    <mergeCell ref="C2:N2"/>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60:J66 S60:U66 H49:J55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F8" sqref="F8"/>
    </sheetView>
  </sheetViews>
  <sheetFormatPr defaultColWidth="9" defaultRowHeight="18.75" customHeight="1"/>
  <cols>
    <col min="1" max="1" width="2.75" style="1" customWidth="1"/>
    <col min="2" max="2" width="27.875" style="1" customWidth="1"/>
    <col min="3" max="4" width="6.125" style="1" customWidth="1"/>
    <col min="5" max="10" width="6.125" style="37" customWidth="1"/>
    <col min="11" max="18" width="6.125" style="1" customWidth="1"/>
    <col min="19" max="19" width="6.625" style="1" customWidth="1"/>
    <col min="20" max="16384" width="9" style="1"/>
  </cols>
  <sheetData>
    <row r="1" spans="1:21" ht="18" customHeight="1">
      <c r="A1" s="25"/>
      <c r="B1" s="25"/>
      <c r="C1" s="25"/>
      <c r="D1" s="25"/>
      <c r="K1" s="25"/>
      <c r="L1" s="25"/>
      <c r="M1" s="25"/>
      <c r="N1" s="25"/>
      <c r="O1" s="25"/>
      <c r="P1" s="25"/>
      <c r="Q1" s="25"/>
      <c r="R1" s="25"/>
      <c r="S1" s="25" t="s">
        <v>78</v>
      </c>
    </row>
    <row r="2" spans="1:21" ht="18" customHeight="1">
      <c r="A2" s="25"/>
      <c r="B2" s="25"/>
      <c r="C2" s="25"/>
      <c r="D2" s="25"/>
      <c r="K2" s="25"/>
      <c r="L2" s="25"/>
      <c r="M2" s="25"/>
      <c r="N2" s="25"/>
      <c r="O2" s="25"/>
      <c r="P2" s="25"/>
      <c r="Q2" s="84" t="str">
        <f>'様式１　プログラムを構成する授業科目'!C2</f>
        <v>東京医科大学</v>
      </c>
      <c r="R2" s="84"/>
      <c r="S2" s="84"/>
    </row>
    <row r="3" spans="1:21" ht="18" customHeight="1">
      <c r="A3" s="81" t="s">
        <v>79</v>
      </c>
      <c r="B3" s="81"/>
      <c r="C3" s="81"/>
      <c r="D3" s="81"/>
      <c r="E3" s="81"/>
      <c r="F3" s="81"/>
      <c r="G3" s="81"/>
      <c r="H3" s="81"/>
      <c r="I3" s="81"/>
      <c r="J3" s="81"/>
      <c r="K3" s="81"/>
      <c r="L3" s="81"/>
      <c r="M3" s="81"/>
      <c r="N3" s="81"/>
      <c r="O3" s="81"/>
      <c r="P3" s="81"/>
      <c r="Q3" s="81"/>
      <c r="R3" s="81"/>
      <c r="S3" s="81"/>
    </row>
    <row r="4" spans="1:21" ht="7.5" customHeight="1">
      <c r="A4" s="27"/>
      <c r="B4" s="27"/>
      <c r="C4" s="27"/>
      <c r="D4" s="27"/>
      <c r="E4" s="38"/>
      <c r="F4" s="38"/>
      <c r="G4" s="38"/>
      <c r="H4" s="38"/>
      <c r="I4" s="38"/>
      <c r="J4" s="38"/>
      <c r="K4" s="27"/>
      <c r="L4" s="27"/>
      <c r="M4" s="27"/>
      <c r="N4" s="27"/>
      <c r="O4" s="27"/>
      <c r="P4" s="27"/>
      <c r="Q4" s="27"/>
      <c r="R4" s="27"/>
      <c r="S4" s="27"/>
    </row>
    <row r="5" spans="1:21" ht="18" customHeight="1">
      <c r="A5" s="25" t="s">
        <v>80</v>
      </c>
      <c r="B5" s="25"/>
      <c r="C5" s="85" t="s">
        <v>81</v>
      </c>
      <c r="D5" s="86"/>
      <c r="E5" s="39" t="s">
        <v>82</v>
      </c>
      <c r="F5" s="38"/>
      <c r="G5" s="38"/>
      <c r="H5" s="38"/>
      <c r="I5" s="38"/>
      <c r="J5" s="38"/>
      <c r="K5" s="27"/>
      <c r="L5" s="27"/>
      <c r="M5" s="27"/>
      <c r="N5" s="27"/>
      <c r="O5" s="27"/>
      <c r="P5" s="27"/>
      <c r="Q5" s="27"/>
      <c r="R5" s="26"/>
      <c r="S5" s="26"/>
    </row>
    <row r="6" spans="1:21" ht="7.15" customHeight="1">
      <c r="A6" s="25"/>
      <c r="B6" s="25"/>
      <c r="C6" s="31"/>
      <c r="D6" s="31"/>
      <c r="E6" s="38"/>
      <c r="F6" s="38"/>
      <c r="G6" s="38"/>
      <c r="H6" s="38"/>
      <c r="I6" s="38"/>
      <c r="J6" s="38"/>
      <c r="K6" s="27"/>
      <c r="L6" s="27"/>
      <c r="M6" s="27"/>
      <c r="N6" s="27"/>
      <c r="O6" s="27"/>
      <c r="P6" s="27"/>
      <c r="Q6" s="27"/>
      <c r="R6" s="26"/>
      <c r="S6" s="26"/>
    </row>
    <row r="7" spans="1:21" ht="18" customHeight="1">
      <c r="A7" s="25" t="s">
        <v>83</v>
      </c>
      <c r="B7" s="25"/>
      <c r="C7" s="31"/>
      <c r="D7" s="31"/>
      <c r="E7" s="38" t="s">
        <v>84</v>
      </c>
      <c r="F7" s="40">
        <v>483</v>
      </c>
      <c r="G7" s="39" t="s">
        <v>85</v>
      </c>
      <c r="H7" s="38" t="s">
        <v>86</v>
      </c>
      <c r="I7" s="40">
        <v>608</v>
      </c>
      <c r="J7" s="39" t="s">
        <v>85</v>
      </c>
      <c r="K7" s="28" t="s">
        <v>87</v>
      </c>
      <c r="L7" s="27" t="s">
        <v>88</v>
      </c>
      <c r="M7" s="30">
        <f>F7+I7</f>
        <v>1091</v>
      </c>
      <c r="N7" s="27" t="s">
        <v>89</v>
      </c>
      <c r="O7" s="29" t="s">
        <v>90</v>
      </c>
      <c r="P7" s="27"/>
      <c r="Q7" s="27"/>
      <c r="R7" s="26"/>
      <c r="S7" s="26"/>
    </row>
    <row r="8" spans="1:21" ht="17.45" customHeight="1">
      <c r="A8" s="27"/>
      <c r="B8" s="32" t="s">
        <v>91</v>
      </c>
      <c r="C8" s="27"/>
      <c r="D8" s="27"/>
      <c r="E8" s="38"/>
      <c r="F8" s="38"/>
      <c r="G8" s="38"/>
      <c r="H8" s="38"/>
      <c r="I8" s="38"/>
      <c r="J8" s="38"/>
      <c r="K8" s="27"/>
      <c r="L8" s="27"/>
      <c r="M8" s="27"/>
      <c r="N8" s="27"/>
      <c r="O8" s="27"/>
      <c r="P8" s="27"/>
      <c r="Q8" s="27"/>
      <c r="R8" s="27"/>
      <c r="S8" s="27"/>
    </row>
    <row r="9" spans="1:21" ht="18" customHeight="1">
      <c r="A9" s="25" t="s">
        <v>92</v>
      </c>
      <c r="B9" s="27"/>
      <c r="C9" s="27"/>
      <c r="D9" s="27"/>
      <c r="E9" s="38"/>
      <c r="F9" s="38"/>
      <c r="G9" s="38"/>
      <c r="H9" s="38"/>
      <c r="I9" s="38"/>
      <c r="J9" s="38"/>
      <c r="K9" s="27"/>
      <c r="L9" s="27"/>
      <c r="M9" s="27"/>
      <c r="N9" s="27"/>
      <c r="O9" s="27"/>
      <c r="P9" s="27"/>
      <c r="Q9" s="27"/>
      <c r="R9" s="27"/>
      <c r="S9" s="27"/>
    </row>
    <row r="10" spans="1:21" ht="6" customHeight="1">
      <c r="B10" s="3"/>
      <c r="C10" s="3"/>
      <c r="D10" s="3"/>
      <c r="E10" s="38"/>
      <c r="F10" s="38"/>
      <c r="G10" s="38"/>
      <c r="H10" s="38"/>
      <c r="I10" s="38"/>
      <c r="J10" s="38"/>
      <c r="K10" s="3"/>
      <c r="L10" s="3"/>
      <c r="M10" s="3"/>
      <c r="N10" s="3"/>
      <c r="O10" s="3"/>
      <c r="P10" s="3"/>
      <c r="Q10" s="3"/>
      <c r="R10" s="3"/>
      <c r="S10" s="3"/>
    </row>
    <row r="11" spans="1:21" ht="18" customHeight="1">
      <c r="B11" s="87" t="s">
        <v>93</v>
      </c>
      <c r="C11" s="97" t="s">
        <v>94</v>
      </c>
      <c r="D11" s="89" t="s">
        <v>95</v>
      </c>
      <c r="E11" s="91" t="s">
        <v>96</v>
      </c>
      <c r="F11" s="82" t="s">
        <v>97</v>
      </c>
      <c r="G11" s="82"/>
      <c r="H11" s="82" t="s">
        <v>98</v>
      </c>
      <c r="I11" s="82"/>
      <c r="J11" s="83" t="s">
        <v>99</v>
      </c>
      <c r="K11" s="83"/>
      <c r="L11" s="83" t="s">
        <v>100</v>
      </c>
      <c r="M11" s="83"/>
      <c r="N11" s="83" t="s">
        <v>101</v>
      </c>
      <c r="O11" s="83"/>
      <c r="P11" s="83" t="s">
        <v>102</v>
      </c>
      <c r="Q11" s="83"/>
      <c r="R11" s="93" t="s">
        <v>103</v>
      </c>
      <c r="S11" s="95" t="s">
        <v>104</v>
      </c>
      <c r="U11" s="2"/>
    </row>
    <row r="12" spans="1:21" ht="16.899999999999999" customHeight="1">
      <c r="B12" s="88"/>
      <c r="C12" s="98"/>
      <c r="D12" s="90"/>
      <c r="E12" s="92"/>
      <c r="F12" s="41" t="s">
        <v>105</v>
      </c>
      <c r="G12" s="41" t="s">
        <v>106</v>
      </c>
      <c r="H12" s="41" t="s">
        <v>105</v>
      </c>
      <c r="I12" s="41" t="s">
        <v>106</v>
      </c>
      <c r="J12" s="41" t="s">
        <v>105</v>
      </c>
      <c r="K12" s="33" t="s">
        <v>106</v>
      </c>
      <c r="L12" s="33" t="s">
        <v>105</v>
      </c>
      <c r="M12" s="33" t="s">
        <v>106</v>
      </c>
      <c r="N12" s="33" t="s">
        <v>105</v>
      </c>
      <c r="O12" s="33" t="s">
        <v>106</v>
      </c>
      <c r="P12" s="33" t="s">
        <v>105</v>
      </c>
      <c r="Q12" s="34" t="s">
        <v>106</v>
      </c>
      <c r="R12" s="94"/>
      <c r="S12" s="96"/>
      <c r="U12" s="2"/>
    </row>
    <row r="13" spans="1:21" ht="18" customHeight="1">
      <c r="A13" s="4"/>
      <c r="B13" s="8" t="s">
        <v>107</v>
      </c>
      <c r="C13" s="15">
        <v>754</v>
      </c>
      <c r="D13" s="16">
        <v>123</v>
      </c>
      <c r="E13" s="42">
        <v>724</v>
      </c>
      <c r="F13" s="43">
        <v>127</v>
      </c>
      <c r="G13" s="43">
        <v>123</v>
      </c>
      <c r="H13" s="44"/>
      <c r="I13" s="44"/>
      <c r="J13" s="44"/>
      <c r="K13" s="14"/>
      <c r="L13" s="14"/>
      <c r="M13" s="14"/>
      <c r="N13" s="14"/>
      <c r="O13" s="14"/>
      <c r="P13" s="14"/>
      <c r="Q13" s="23"/>
      <c r="R13" s="13">
        <f t="shared" ref="R13:R32" si="0">F13+H13+J13+L13+N13+P13</f>
        <v>127</v>
      </c>
      <c r="S13" s="24">
        <f t="shared" ref="S13:S33" si="1">R13/E13</f>
        <v>0.17541436464088397</v>
      </c>
    </row>
    <row r="14" spans="1:21" ht="18" customHeight="1">
      <c r="A14" s="4"/>
      <c r="B14" s="8" t="s">
        <v>108</v>
      </c>
      <c r="C14" s="35">
        <v>337</v>
      </c>
      <c r="D14" s="36">
        <v>80</v>
      </c>
      <c r="E14" s="45">
        <v>320</v>
      </c>
      <c r="F14" s="46">
        <v>83</v>
      </c>
      <c r="G14" s="46">
        <v>0</v>
      </c>
      <c r="H14" s="43"/>
      <c r="I14" s="43"/>
      <c r="J14" s="43"/>
      <c r="K14" s="17"/>
      <c r="L14" s="17"/>
      <c r="M14" s="17"/>
      <c r="N14" s="17"/>
      <c r="O14" s="17"/>
      <c r="P14" s="17"/>
      <c r="Q14" s="15"/>
      <c r="R14" s="16">
        <f t="shared" si="0"/>
        <v>83</v>
      </c>
      <c r="S14" s="11">
        <f t="shared" si="1"/>
        <v>0.25937500000000002</v>
      </c>
    </row>
    <row r="15" spans="1:21" ht="18" customHeight="1">
      <c r="A15" s="4"/>
      <c r="B15" s="8"/>
      <c r="C15" s="15"/>
      <c r="D15" s="16"/>
      <c r="E15" s="42"/>
      <c r="F15" s="43"/>
      <c r="G15" s="43"/>
      <c r="H15" s="43"/>
      <c r="I15" s="43"/>
      <c r="J15" s="43"/>
      <c r="K15" s="17"/>
      <c r="L15" s="17"/>
      <c r="M15" s="17"/>
      <c r="N15" s="17"/>
      <c r="O15" s="17"/>
      <c r="P15" s="17"/>
      <c r="Q15" s="15"/>
      <c r="R15" s="16">
        <f t="shared" si="0"/>
        <v>0</v>
      </c>
      <c r="S15" s="6" t="e">
        <f t="shared" si="1"/>
        <v>#DIV/0!</v>
      </c>
    </row>
    <row r="16" spans="1:21" ht="18" customHeight="1">
      <c r="A16" s="4"/>
      <c r="B16" s="8"/>
      <c r="C16" s="15"/>
      <c r="D16" s="16"/>
      <c r="E16" s="42"/>
      <c r="F16" s="43"/>
      <c r="G16" s="43"/>
      <c r="H16" s="43"/>
      <c r="I16" s="43"/>
      <c r="J16" s="43"/>
      <c r="K16" s="17"/>
      <c r="L16" s="17"/>
      <c r="M16" s="17"/>
      <c r="N16" s="17"/>
      <c r="O16" s="17"/>
      <c r="P16" s="17"/>
      <c r="Q16" s="15"/>
      <c r="R16" s="16">
        <f t="shared" si="0"/>
        <v>0</v>
      </c>
      <c r="S16" s="6" t="e">
        <f t="shared" si="1"/>
        <v>#DIV/0!</v>
      </c>
    </row>
    <row r="17" spans="1:19" ht="18" customHeight="1">
      <c r="A17" s="4"/>
      <c r="B17" s="8"/>
      <c r="C17" s="15"/>
      <c r="D17" s="16"/>
      <c r="E17" s="42"/>
      <c r="F17" s="43"/>
      <c r="G17" s="43"/>
      <c r="H17" s="43"/>
      <c r="I17" s="43"/>
      <c r="J17" s="43"/>
      <c r="K17" s="17"/>
      <c r="L17" s="17"/>
      <c r="M17" s="17"/>
      <c r="N17" s="17"/>
      <c r="O17" s="17"/>
      <c r="P17" s="17"/>
      <c r="Q17" s="15"/>
      <c r="R17" s="16">
        <f t="shared" si="0"/>
        <v>0</v>
      </c>
      <c r="S17" s="6" t="e">
        <f t="shared" si="1"/>
        <v>#DIV/0!</v>
      </c>
    </row>
    <row r="18" spans="1:19" ht="18" customHeight="1">
      <c r="A18" s="4"/>
      <c r="B18" s="8"/>
      <c r="C18" s="15"/>
      <c r="D18" s="16"/>
      <c r="E18" s="42"/>
      <c r="F18" s="43"/>
      <c r="G18" s="43"/>
      <c r="H18" s="43"/>
      <c r="I18" s="43"/>
      <c r="J18" s="43"/>
      <c r="K18" s="17"/>
      <c r="L18" s="17"/>
      <c r="M18" s="17"/>
      <c r="N18" s="17"/>
      <c r="O18" s="17"/>
      <c r="P18" s="17"/>
      <c r="Q18" s="15"/>
      <c r="R18" s="16">
        <f t="shared" si="0"/>
        <v>0</v>
      </c>
      <c r="S18" s="6" t="e">
        <f t="shared" si="1"/>
        <v>#DIV/0!</v>
      </c>
    </row>
    <row r="19" spans="1:19" ht="18" customHeight="1">
      <c r="A19" s="4"/>
      <c r="B19" s="8"/>
      <c r="C19" s="15"/>
      <c r="D19" s="16"/>
      <c r="E19" s="42"/>
      <c r="F19" s="43"/>
      <c r="G19" s="43"/>
      <c r="H19" s="43"/>
      <c r="I19" s="43"/>
      <c r="J19" s="43"/>
      <c r="K19" s="17"/>
      <c r="L19" s="17"/>
      <c r="M19" s="17"/>
      <c r="N19" s="17"/>
      <c r="O19" s="17"/>
      <c r="P19" s="17"/>
      <c r="Q19" s="15"/>
      <c r="R19" s="16">
        <f t="shared" si="0"/>
        <v>0</v>
      </c>
      <c r="S19" s="6" t="e">
        <f t="shared" si="1"/>
        <v>#DIV/0!</v>
      </c>
    </row>
    <row r="20" spans="1:19" ht="18" customHeight="1">
      <c r="A20" s="4"/>
      <c r="B20" s="8"/>
      <c r="C20" s="15"/>
      <c r="D20" s="16"/>
      <c r="E20" s="42"/>
      <c r="F20" s="43"/>
      <c r="G20" s="43"/>
      <c r="H20" s="43"/>
      <c r="I20" s="43"/>
      <c r="J20" s="43"/>
      <c r="K20" s="17"/>
      <c r="L20" s="17"/>
      <c r="M20" s="17"/>
      <c r="N20" s="17"/>
      <c r="O20" s="17"/>
      <c r="P20" s="17"/>
      <c r="Q20" s="15"/>
      <c r="R20" s="16">
        <f t="shared" si="0"/>
        <v>0</v>
      </c>
      <c r="S20" s="6" t="e">
        <f t="shared" si="1"/>
        <v>#DIV/0!</v>
      </c>
    </row>
    <row r="21" spans="1:19" ht="18" customHeight="1">
      <c r="A21" s="4"/>
      <c r="B21" s="8"/>
      <c r="C21" s="15"/>
      <c r="D21" s="16"/>
      <c r="E21" s="42"/>
      <c r="F21" s="43"/>
      <c r="G21" s="43"/>
      <c r="H21" s="43"/>
      <c r="I21" s="43"/>
      <c r="J21" s="43"/>
      <c r="K21" s="17"/>
      <c r="L21" s="17"/>
      <c r="M21" s="17"/>
      <c r="N21" s="17"/>
      <c r="O21" s="17"/>
      <c r="P21" s="17"/>
      <c r="Q21" s="15"/>
      <c r="R21" s="16">
        <f t="shared" si="0"/>
        <v>0</v>
      </c>
      <c r="S21" s="6" t="e">
        <f t="shared" si="1"/>
        <v>#DIV/0!</v>
      </c>
    </row>
    <row r="22" spans="1:19" ht="18" customHeight="1">
      <c r="A22" s="4"/>
      <c r="B22" s="8"/>
      <c r="C22" s="15"/>
      <c r="D22" s="16"/>
      <c r="E22" s="42"/>
      <c r="F22" s="43"/>
      <c r="G22" s="43"/>
      <c r="H22" s="43"/>
      <c r="I22" s="43"/>
      <c r="J22" s="43"/>
      <c r="K22" s="17"/>
      <c r="L22" s="17"/>
      <c r="M22" s="17"/>
      <c r="N22" s="17"/>
      <c r="O22" s="17"/>
      <c r="P22" s="17"/>
      <c r="Q22" s="15"/>
      <c r="R22" s="16">
        <f t="shared" si="0"/>
        <v>0</v>
      </c>
      <c r="S22" s="6" t="e">
        <f t="shared" si="1"/>
        <v>#DIV/0!</v>
      </c>
    </row>
    <row r="23" spans="1:19" ht="18" customHeight="1">
      <c r="A23" s="4"/>
      <c r="B23" s="8"/>
      <c r="C23" s="15"/>
      <c r="D23" s="16"/>
      <c r="E23" s="42"/>
      <c r="F23" s="43"/>
      <c r="G23" s="43"/>
      <c r="H23" s="43"/>
      <c r="I23" s="43"/>
      <c r="J23" s="43"/>
      <c r="K23" s="17"/>
      <c r="L23" s="17"/>
      <c r="M23" s="17"/>
      <c r="N23" s="17"/>
      <c r="O23" s="17"/>
      <c r="P23" s="17"/>
      <c r="Q23" s="15"/>
      <c r="R23" s="16">
        <f t="shared" si="0"/>
        <v>0</v>
      </c>
      <c r="S23" s="6" t="e">
        <f t="shared" si="1"/>
        <v>#DIV/0!</v>
      </c>
    </row>
    <row r="24" spans="1:19" ht="18" customHeight="1">
      <c r="A24" s="4"/>
      <c r="B24" s="8"/>
      <c r="C24" s="15"/>
      <c r="D24" s="16"/>
      <c r="E24" s="42"/>
      <c r="F24" s="43"/>
      <c r="G24" s="43"/>
      <c r="H24" s="43"/>
      <c r="I24" s="43"/>
      <c r="J24" s="43"/>
      <c r="K24" s="17"/>
      <c r="L24" s="17"/>
      <c r="M24" s="17"/>
      <c r="N24" s="17"/>
      <c r="O24" s="17"/>
      <c r="P24" s="17"/>
      <c r="Q24" s="15"/>
      <c r="R24" s="16">
        <f t="shared" si="0"/>
        <v>0</v>
      </c>
      <c r="S24" s="6" t="e">
        <f t="shared" si="1"/>
        <v>#DIV/0!</v>
      </c>
    </row>
    <row r="25" spans="1:19" ht="18" customHeight="1">
      <c r="A25" s="4"/>
      <c r="B25" s="8"/>
      <c r="C25" s="15"/>
      <c r="D25" s="16"/>
      <c r="E25" s="42"/>
      <c r="F25" s="43"/>
      <c r="G25" s="43"/>
      <c r="H25" s="43"/>
      <c r="I25" s="43"/>
      <c r="J25" s="43"/>
      <c r="K25" s="17"/>
      <c r="L25" s="17"/>
      <c r="M25" s="17"/>
      <c r="N25" s="17"/>
      <c r="O25" s="17"/>
      <c r="P25" s="17"/>
      <c r="Q25" s="15"/>
      <c r="R25" s="16">
        <f t="shared" si="0"/>
        <v>0</v>
      </c>
      <c r="S25" s="6" t="e">
        <f t="shared" si="1"/>
        <v>#DIV/0!</v>
      </c>
    </row>
    <row r="26" spans="1:19" ht="18" customHeight="1">
      <c r="A26" s="4"/>
      <c r="B26" s="8"/>
      <c r="C26" s="15"/>
      <c r="D26" s="16"/>
      <c r="E26" s="42"/>
      <c r="F26" s="43"/>
      <c r="G26" s="43"/>
      <c r="H26" s="43"/>
      <c r="I26" s="43"/>
      <c r="J26" s="43"/>
      <c r="K26" s="17"/>
      <c r="L26" s="17"/>
      <c r="M26" s="17"/>
      <c r="N26" s="17"/>
      <c r="O26" s="17"/>
      <c r="P26" s="17"/>
      <c r="Q26" s="15"/>
      <c r="R26" s="16">
        <f t="shared" si="0"/>
        <v>0</v>
      </c>
      <c r="S26" s="6" t="e">
        <f t="shared" si="1"/>
        <v>#DIV/0!</v>
      </c>
    </row>
    <row r="27" spans="1:19" ht="18" customHeight="1">
      <c r="A27" s="4"/>
      <c r="B27" s="8"/>
      <c r="C27" s="15"/>
      <c r="D27" s="16"/>
      <c r="E27" s="42"/>
      <c r="F27" s="43"/>
      <c r="G27" s="43"/>
      <c r="H27" s="43"/>
      <c r="I27" s="43"/>
      <c r="J27" s="43"/>
      <c r="K27" s="17"/>
      <c r="L27" s="17"/>
      <c r="M27" s="17"/>
      <c r="N27" s="17"/>
      <c r="O27" s="17"/>
      <c r="P27" s="17"/>
      <c r="Q27" s="15"/>
      <c r="R27" s="16">
        <f t="shared" si="0"/>
        <v>0</v>
      </c>
      <c r="S27" s="6" t="e">
        <f t="shared" si="1"/>
        <v>#DIV/0!</v>
      </c>
    </row>
    <row r="28" spans="1:19" ht="18" customHeight="1">
      <c r="A28" s="4"/>
      <c r="B28" s="8"/>
      <c r="C28" s="15"/>
      <c r="D28" s="16"/>
      <c r="E28" s="42"/>
      <c r="F28" s="43"/>
      <c r="G28" s="43"/>
      <c r="H28" s="43"/>
      <c r="I28" s="43"/>
      <c r="J28" s="43"/>
      <c r="K28" s="17"/>
      <c r="L28" s="17"/>
      <c r="M28" s="17"/>
      <c r="N28" s="17"/>
      <c r="O28" s="17"/>
      <c r="P28" s="17"/>
      <c r="Q28" s="15"/>
      <c r="R28" s="16">
        <f t="shared" si="0"/>
        <v>0</v>
      </c>
      <c r="S28" s="6" t="e">
        <f t="shared" si="1"/>
        <v>#DIV/0!</v>
      </c>
    </row>
    <row r="29" spans="1:19" ht="18" customHeight="1">
      <c r="A29" s="4"/>
      <c r="B29" s="8"/>
      <c r="C29" s="15"/>
      <c r="D29" s="16"/>
      <c r="E29" s="42"/>
      <c r="F29" s="43"/>
      <c r="G29" s="43"/>
      <c r="H29" s="43"/>
      <c r="I29" s="43"/>
      <c r="J29" s="43"/>
      <c r="K29" s="17"/>
      <c r="L29" s="17"/>
      <c r="M29" s="17"/>
      <c r="N29" s="17"/>
      <c r="O29" s="17"/>
      <c r="P29" s="17"/>
      <c r="Q29" s="15"/>
      <c r="R29" s="16">
        <f t="shared" si="0"/>
        <v>0</v>
      </c>
      <c r="S29" s="6" t="e">
        <f t="shared" si="1"/>
        <v>#DIV/0!</v>
      </c>
    </row>
    <row r="30" spans="1:19" ht="18" customHeight="1">
      <c r="A30" s="4"/>
      <c r="B30" s="8"/>
      <c r="C30" s="15"/>
      <c r="D30" s="18"/>
      <c r="E30" s="42"/>
      <c r="F30" s="43"/>
      <c r="G30" s="43"/>
      <c r="H30" s="43"/>
      <c r="I30" s="43"/>
      <c r="J30" s="43"/>
      <c r="K30" s="17"/>
      <c r="L30" s="17"/>
      <c r="M30" s="17"/>
      <c r="N30" s="17"/>
      <c r="O30" s="17"/>
      <c r="P30" s="17"/>
      <c r="Q30" s="15"/>
      <c r="R30" s="18">
        <f t="shared" si="0"/>
        <v>0</v>
      </c>
      <c r="S30" s="6" t="e">
        <f t="shared" si="1"/>
        <v>#DIV/0!</v>
      </c>
    </row>
    <row r="31" spans="1:19" ht="18" customHeight="1">
      <c r="A31" s="4"/>
      <c r="B31" s="8"/>
      <c r="C31" s="15"/>
      <c r="D31" s="18"/>
      <c r="E31" s="42"/>
      <c r="F31" s="43"/>
      <c r="G31" s="43"/>
      <c r="H31" s="43"/>
      <c r="I31" s="43"/>
      <c r="J31" s="43"/>
      <c r="K31" s="17"/>
      <c r="L31" s="17"/>
      <c r="M31" s="17"/>
      <c r="N31" s="17"/>
      <c r="O31" s="17"/>
      <c r="P31" s="17"/>
      <c r="Q31" s="15"/>
      <c r="R31" s="18">
        <f t="shared" si="0"/>
        <v>0</v>
      </c>
      <c r="S31" s="6" t="e">
        <f t="shared" si="1"/>
        <v>#DIV/0!</v>
      </c>
    </row>
    <row r="32" spans="1:19" ht="18" customHeight="1">
      <c r="A32" s="4"/>
      <c r="B32" s="9"/>
      <c r="C32" s="12"/>
      <c r="D32" s="19"/>
      <c r="E32" s="44"/>
      <c r="F32" s="44"/>
      <c r="G32" s="44"/>
      <c r="H32" s="44"/>
      <c r="I32" s="44"/>
      <c r="J32" s="44"/>
      <c r="K32" s="14"/>
      <c r="L32" s="14"/>
      <c r="M32" s="14"/>
      <c r="N32" s="14"/>
      <c r="O32" s="14"/>
      <c r="P32" s="14"/>
      <c r="Q32" s="15"/>
      <c r="R32" s="19">
        <f t="shared" si="0"/>
        <v>0</v>
      </c>
      <c r="S32" s="5" t="e">
        <f t="shared" si="1"/>
        <v>#DIV/0!</v>
      </c>
    </row>
    <row r="33" spans="2:19" ht="18" customHeight="1">
      <c r="B33" s="10" t="s">
        <v>109</v>
      </c>
      <c r="C33" s="20">
        <f t="shared" ref="C33" si="2">SUM(C13:C32)</f>
        <v>1091</v>
      </c>
      <c r="D33" s="21">
        <f t="shared" ref="D33:R33" si="3">SUM(D13:D32)</f>
        <v>203</v>
      </c>
      <c r="E33" s="47">
        <f t="shared" si="3"/>
        <v>1044</v>
      </c>
      <c r="F33" s="47">
        <f t="shared" si="3"/>
        <v>210</v>
      </c>
      <c r="G33" s="47">
        <f t="shared" ref="G33:H33" si="4">SUM(G13:G32)</f>
        <v>123</v>
      </c>
      <c r="H33" s="47">
        <f t="shared" si="4"/>
        <v>0</v>
      </c>
      <c r="I33" s="47">
        <f t="shared" ref="I33:J33" si="5">SUM(I13:I32)</f>
        <v>0</v>
      </c>
      <c r="J33" s="47">
        <f t="shared" si="5"/>
        <v>0</v>
      </c>
      <c r="K33" s="22">
        <f t="shared" ref="K33:O33" si="6">SUM(K13:K32)</f>
        <v>0</v>
      </c>
      <c r="L33" s="22">
        <f t="shared" si="6"/>
        <v>0</v>
      </c>
      <c r="M33" s="22">
        <f t="shared" si="6"/>
        <v>0</v>
      </c>
      <c r="N33" s="22">
        <f t="shared" si="6"/>
        <v>0</v>
      </c>
      <c r="O33" s="22">
        <f t="shared" si="6"/>
        <v>0</v>
      </c>
      <c r="P33" s="22">
        <f t="shared" ref="P33:Q33" si="7">SUM(P13:P32)</f>
        <v>0</v>
      </c>
      <c r="Q33" s="20">
        <f t="shared" si="7"/>
        <v>0</v>
      </c>
      <c r="R33" s="21">
        <f t="shared" si="3"/>
        <v>210</v>
      </c>
      <c r="S33" s="7">
        <f t="shared" si="1"/>
        <v>0.20114942528735633</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heetViews>
  <sheetFormatPr defaultColWidth="11.375" defaultRowHeight="18.75" customHeight="1"/>
  <cols>
    <col min="1" max="1" width="2.75" style="48" customWidth="1"/>
    <col min="2" max="2" width="16.625" style="37" customWidth="1"/>
    <col min="3" max="3" width="8.875" style="37" customWidth="1"/>
    <col min="4" max="4" width="2.25" style="37" customWidth="1"/>
    <col min="5" max="5" width="16.625" style="37" customWidth="1"/>
    <col min="6" max="6" width="4.375" style="37" customWidth="1"/>
    <col min="7" max="7" width="9" style="37" customWidth="1"/>
    <col min="8" max="8" width="16.625" style="37" customWidth="1"/>
    <col min="9" max="9" width="12.125" style="37" customWidth="1"/>
    <col min="10" max="16384" width="11.375" style="37"/>
  </cols>
  <sheetData>
    <row r="1" spans="1:9" ht="18.75" customHeight="1">
      <c r="A1" s="48" t="s">
        <v>110</v>
      </c>
      <c r="I1" s="49" t="s">
        <v>111</v>
      </c>
    </row>
    <row r="2" spans="1:9" ht="18.75" customHeight="1">
      <c r="G2" s="49" t="s">
        <v>2</v>
      </c>
      <c r="H2" s="127" t="str">
        <f>'様式１　プログラムを構成する授業科目'!C2</f>
        <v>東京医科大学</v>
      </c>
      <c r="I2" s="128"/>
    </row>
    <row r="3" spans="1:9" ht="18.75" customHeight="1">
      <c r="G3" s="49"/>
      <c r="H3" s="39"/>
      <c r="I3" s="39"/>
    </row>
    <row r="4" spans="1:9" ht="18.600000000000001" customHeight="1">
      <c r="A4" s="129" t="s">
        <v>112</v>
      </c>
      <c r="B4" s="129"/>
      <c r="C4" s="129"/>
      <c r="D4" s="129"/>
      <c r="E4" s="129"/>
      <c r="F4" s="129"/>
      <c r="G4" s="129"/>
      <c r="H4" s="129"/>
      <c r="I4" s="129"/>
    </row>
    <row r="5" spans="1:9" ht="13.15" customHeight="1">
      <c r="B5" s="38"/>
      <c r="C5" s="38"/>
      <c r="D5" s="38"/>
      <c r="E5" s="38"/>
      <c r="F5" s="38"/>
      <c r="G5" s="38"/>
      <c r="H5" s="38"/>
      <c r="I5" s="38"/>
    </row>
    <row r="6" spans="1:9" ht="18" customHeight="1">
      <c r="A6" s="37" t="s">
        <v>113</v>
      </c>
      <c r="B6" s="39" t="s">
        <v>114</v>
      </c>
      <c r="C6" s="151" t="s">
        <v>115</v>
      </c>
      <c r="D6" s="151"/>
      <c r="E6" s="51">
        <v>850</v>
      </c>
      <c r="F6" s="38" t="s">
        <v>89</v>
      </c>
      <c r="G6" s="38" t="s">
        <v>116</v>
      </c>
      <c r="H6" s="51">
        <v>397</v>
      </c>
      <c r="I6" s="39" t="s">
        <v>89</v>
      </c>
    </row>
    <row r="7" spans="1:9" ht="12" customHeight="1">
      <c r="C7" s="52"/>
      <c r="D7" s="52"/>
      <c r="E7" s="52"/>
      <c r="F7" s="52"/>
      <c r="G7" s="52"/>
      <c r="H7" s="52"/>
      <c r="I7" s="53"/>
    </row>
    <row r="8" spans="1:9" ht="18" customHeight="1">
      <c r="A8" s="37" t="s">
        <v>117</v>
      </c>
      <c r="B8" s="39" t="s">
        <v>118</v>
      </c>
      <c r="E8" s="38"/>
      <c r="F8" s="38"/>
      <c r="G8" s="38"/>
      <c r="H8" s="51">
        <v>12</v>
      </c>
      <c r="I8" s="39" t="s">
        <v>89</v>
      </c>
    </row>
    <row r="9" spans="1:9" ht="9" customHeight="1">
      <c r="B9" s="38"/>
      <c r="C9" s="38"/>
      <c r="D9" s="38"/>
      <c r="E9" s="38"/>
      <c r="F9" s="38"/>
      <c r="G9" s="38"/>
      <c r="H9" s="38"/>
      <c r="I9" s="38"/>
    </row>
    <row r="10" spans="1:9" ht="18" customHeight="1">
      <c r="A10" s="37" t="s">
        <v>119</v>
      </c>
      <c r="B10" s="39" t="s">
        <v>120</v>
      </c>
      <c r="C10" s="38"/>
      <c r="D10" s="38"/>
      <c r="E10" s="38"/>
      <c r="F10" s="38"/>
      <c r="G10" s="38"/>
      <c r="H10" s="38"/>
      <c r="I10" s="38"/>
    </row>
    <row r="11" spans="1:9" ht="18" customHeight="1">
      <c r="B11" s="49" t="s">
        <v>121</v>
      </c>
      <c r="C11" s="144" t="s">
        <v>122</v>
      </c>
      <c r="D11" s="148"/>
      <c r="E11" s="150"/>
      <c r="F11" s="53"/>
      <c r="G11" s="49" t="s">
        <v>123</v>
      </c>
      <c r="H11" s="144" t="s">
        <v>124</v>
      </c>
      <c r="I11" s="150"/>
    </row>
    <row r="12" spans="1:9" ht="10.15" customHeight="1">
      <c r="B12" s="49"/>
      <c r="C12" s="39"/>
      <c r="D12" s="53"/>
      <c r="E12" s="53"/>
      <c r="F12" s="53"/>
      <c r="G12" s="49"/>
      <c r="H12" s="39"/>
      <c r="I12" s="53"/>
    </row>
    <row r="13" spans="1:9" ht="18" customHeight="1">
      <c r="A13" s="37" t="s">
        <v>125</v>
      </c>
      <c r="B13" s="39" t="s">
        <v>126</v>
      </c>
      <c r="C13" s="38"/>
      <c r="D13" s="38"/>
      <c r="E13" s="38"/>
      <c r="F13" s="38"/>
      <c r="G13" s="38"/>
      <c r="H13" s="38"/>
      <c r="I13" s="38"/>
    </row>
    <row r="14" spans="1:9" ht="18" customHeight="1">
      <c r="B14" s="144" t="s">
        <v>127</v>
      </c>
      <c r="C14" s="145"/>
      <c r="D14" s="145"/>
      <c r="E14" s="146"/>
      <c r="F14" s="145"/>
      <c r="G14" s="145"/>
      <c r="H14" s="145"/>
      <c r="I14" s="147"/>
    </row>
    <row r="15" spans="1:9" ht="9" customHeight="1">
      <c r="B15" s="38"/>
      <c r="C15" s="38"/>
      <c r="D15" s="38"/>
      <c r="E15" s="38"/>
      <c r="F15" s="38"/>
      <c r="G15" s="38"/>
      <c r="H15" s="38"/>
      <c r="I15" s="38"/>
    </row>
    <row r="16" spans="1:9" ht="18" customHeight="1">
      <c r="B16" s="49" t="s">
        <v>121</v>
      </c>
      <c r="C16" s="144" t="s">
        <v>128</v>
      </c>
      <c r="D16" s="148"/>
      <c r="E16" s="149"/>
      <c r="F16" s="53"/>
      <c r="G16" s="49" t="s">
        <v>123</v>
      </c>
      <c r="H16" s="144" t="s">
        <v>129</v>
      </c>
      <c r="I16" s="150"/>
    </row>
    <row r="17" spans="1:9" ht="18" customHeight="1">
      <c r="B17" s="38"/>
      <c r="C17" s="38"/>
      <c r="D17" s="38"/>
      <c r="E17" s="38"/>
      <c r="F17" s="38"/>
      <c r="G17" s="38"/>
      <c r="H17" s="38"/>
      <c r="I17" s="38"/>
    </row>
    <row r="18" spans="1:9" ht="18.75" customHeight="1">
      <c r="A18" s="37" t="s">
        <v>130</v>
      </c>
      <c r="B18" s="37" t="s">
        <v>131</v>
      </c>
      <c r="I18" s="38"/>
    </row>
    <row r="19" spans="1:9" ht="18.75" customHeight="1">
      <c r="A19" s="37"/>
      <c r="B19" s="130" t="s">
        <v>132</v>
      </c>
      <c r="C19" s="131"/>
      <c r="D19" s="131"/>
      <c r="E19" s="131"/>
      <c r="F19" s="131"/>
      <c r="G19" s="131"/>
      <c r="H19" s="131"/>
      <c r="I19" s="132"/>
    </row>
    <row r="20" spans="1:9" ht="7.5" customHeight="1">
      <c r="B20" s="38"/>
      <c r="C20" s="38"/>
      <c r="D20" s="38"/>
      <c r="E20" s="38"/>
      <c r="F20" s="38"/>
      <c r="G20" s="38"/>
      <c r="H20" s="38"/>
      <c r="I20" s="38"/>
    </row>
    <row r="21" spans="1:9" ht="18.75" customHeight="1">
      <c r="A21" s="37" t="s">
        <v>133</v>
      </c>
      <c r="B21" s="37" t="s">
        <v>134</v>
      </c>
    </row>
    <row r="22" spans="1:9" ht="18.75" customHeight="1">
      <c r="A22" s="54"/>
      <c r="B22" s="133" t="s">
        <v>135</v>
      </c>
      <c r="C22" s="134"/>
      <c r="D22" s="134"/>
      <c r="E22" s="134"/>
      <c r="F22" s="134"/>
      <c r="G22" s="134"/>
      <c r="H22" s="134"/>
      <c r="I22" s="135"/>
    </row>
    <row r="23" spans="1:9" ht="18.75" customHeight="1">
      <c r="A23" s="54"/>
      <c r="B23" s="136"/>
      <c r="C23" s="137"/>
      <c r="D23" s="137"/>
      <c r="E23" s="137"/>
      <c r="F23" s="137"/>
      <c r="G23" s="137"/>
      <c r="H23" s="137"/>
      <c r="I23" s="138"/>
    </row>
    <row r="24" spans="1:9" ht="18.75" customHeight="1">
      <c r="A24" s="54"/>
      <c r="B24" s="136"/>
      <c r="C24" s="137"/>
      <c r="D24" s="137"/>
      <c r="E24" s="137"/>
      <c r="F24" s="137"/>
      <c r="G24" s="137"/>
      <c r="H24" s="137"/>
      <c r="I24" s="138"/>
    </row>
    <row r="25" spans="1:9" ht="18.75" customHeight="1">
      <c r="A25" s="54"/>
      <c r="B25" s="136"/>
      <c r="C25" s="137"/>
      <c r="D25" s="137"/>
      <c r="E25" s="137"/>
      <c r="F25" s="137"/>
      <c r="G25" s="137"/>
      <c r="H25" s="137"/>
      <c r="I25" s="138"/>
    </row>
    <row r="26" spans="1:9" ht="18.75" customHeight="1">
      <c r="A26" s="54"/>
      <c r="B26" s="136"/>
      <c r="C26" s="137"/>
      <c r="D26" s="137"/>
      <c r="E26" s="137"/>
      <c r="F26" s="137"/>
      <c r="G26" s="137"/>
      <c r="H26" s="137"/>
      <c r="I26" s="138"/>
    </row>
    <row r="27" spans="1:9" ht="18.75" customHeight="1">
      <c r="A27" s="54"/>
      <c r="B27" s="136"/>
      <c r="C27" s="137"/>
      <c r="D27" s="137"/>
      <c r="E27" s="137"/>
      <c r="F27" s="137"/>
      <c r="G27" s="137"/>
      <c r="H27" s="137"/>
      <c r="I27" s="138"/>
    </row>
    <row r="28" spans="1:9" ht="18.75" customHeight="1">
      <c r="A28" s="54"/>
      <c r="B28" s="136"/>
      <c r="C28" s="137"/>
      <c r="D28" s="137"/>
      <c r="E28" s="137"/>
      <c r="F28" s="137"/>
      <c r="G28" s="137"/>
      <c r="H28" s="137"/>
      <c r="I28" s="138"/>
    </row>
    <row r="29" spans="1:9" ht="18.75" customHeight="1">
      <c r="A29" s="54"/>
      <c r="B29" s="136"/>
      <c r="C29" s="137"/>
      <c r="D29" s="137"/>
      <c r="E29" s="137"/>
      <c r="F29" s="137"/>
      <c r="G29" s="137"/>
      <c r="H29" s="137"/>
      <c r="I29" s="138"/>
    </row>
    <row r="30" spans="1:9" ht="18.75" customHeight="1">
      <c r="A30" s="54"/>
      <c r="B30" s="139"/>
      <c r="C30" s="140"/>
      <c r="D30" s="140"/>
      <c r="E30" s="140"/>
      <c r="F30" s="140"/>
      <c r="G30" s="140"/>
      <c r="H30" s="140"/>
      <c r="I30" s="138"/>
    </row>
    <row r="31" spans="1:9" ht="18.75" customHeight="1">
      <c r="A31" s="54"/>
      <c r="B31" s="139"/>
      <c r="C31" s="140"/>
      <c r="D31" s="140"/>
      <c r="E31" s="140"/>
      <c r="F31" s="140"/>
      <c r="G31" s="140"/>
      <c r="H31" s="140"/>
      <c r="I31" s="138"/>
    </row>
    <row r="32" spans="1:9" ht="18.75" customHeight="1">
      <c r="A32" s="54"/>
      <c r="B32" s="141"/>
      <c r="C32" s="142"/>
      <c r="D32" s="142"/>
      <c r="E32" s="142"/>
      <c r="F32" s="142"/>
      <c r="G32" s="142"/>
      <c r="H32" s="142"/>
      <c r="I32" s="143"/>
    </row>
    <row r="33" spans="1:9" ht="7.5" customHeight="1">
      <c r="A33" s="54"/>
      <c r="B33" s="54"/>
      <c r="C33" s="54"/>
      <c r="D33" s="54"/>
      <c r="E33" s="54"/>
      <c r="F33" s="54"/>
      <c r="G33" s="54"/>
      <c r="H33" s="54"/>
      <c r="I33" s="54"/>
    </row>
    <row r="34" spans="1:9" ht="18.75" customHeight="1">
      <c r="A34" s="57" t="s">
        <v>136</v>
      </c>
      <c r="B34" s="57" t="s">
        <v>137</v>
      </c>
      <c r="C34" s="39"/>
      <c r="D34" s="57"/>
      <c r="E34" s="57"/>
      <c r="F34" s="57"/>
      <c r="G34" s="57"/>
      <c r="H34" s="57"/>
      <c r="I34" s="57"/>
    </row>
    <row r="35" spans="1:9" ht="18.75" customHeight="1">
      <c r="A35" s="54"/>
      <c r="B35" s="133" t="s">
        <v>138</v>
      </c>
      <c r="C35" s="134"/>
      <c r="D35" s="134"/>
      <c r="E35" s="134"/>
      <c r="F35" s="134"/>
      <c r="G35" s="134"/>
      <c r="H35" s="134"/>
      <c r="I35" s="135"/>
    </row>
    <row r="36" spans="1:9" ht="18.75" customHeight="1">
      <c r="A36" s="54"/>
      <c r="B36" s="139"/>
      <c r="C36" s="140"/>
      <c r="D36" s="140"/>
      <c r="E36" s="140"/>
      <c r="F36" s="140"/>
      <c r="G36" s="140"/>
      <c r="H36" s="140"/>
      <c r="I36" s="138"/>
    </row>
    <row r="37" spans="1:9" ht="18.75" customHeight="1">
      <c r="A37" s="54"/>
      <c r="B37" s="139"/>
      <c r="C37" s="140"/>
      <c r="D37" s="140"/>
      <c r="E37" s="140"/>
      <c r="F37" s="140"/>
      <c r="G37" s="140"/>
      <c r="H37" s="140"/>
      <c r="I37" s="138"/>
    </row>
    <row r="38" spans="1:9" ht="18.75" customHeight="1">
      <c r="A38" s="54"/>
      <c r="B38" s="139"/>
      <c r="C38" s="140"/>
      <c r="D38" s="140"/>
      <c r="E38" s="140"/>
      <c r="F38" s="140"/>
      <c r="G38" s="140"/>
      <c r="H38" s="140"/>
      <c r="I38" s="138"/>
    </row>
    <row r="39" spans="1:9" ht="18.75" customHeight="1">
      <c r="A39" s="54"/>
      <c r="B39" s="139"/>
      <c r="C39" s="140"/>
      <c r="D39" s="140"/>
      <c r="E39" s="140"/>
      <c r="F39" s="140"/>
      <c r="G39" s="140"/>
      <c r="H39" s="140"/>
      <c r="I39" s="138"/>
    </row>
    <row r="40" spans="1:9" ht="18.75" customHeight="1">
      <c r="A40" s="54"/>
      <c r="B40" s="139"/>
      <c r="C40" s="140"/>
      <c r="D40" s="140"/>
      <c r="E40" s="140"/>
      <c r="F40" s="140"/>
      <c r="G40" s="140"/>
      <c r="H40" s="140"/>
      <c r="I40" s="138"/>
    </row>
    <row r="41" spans="1:9" ht="18.75" customHeight="1">
      <c r="A41" s="54"/>
      <c r="B41" s="139"/>
      <c r="C41" s="140"/>
      <c r="D41" s="140"/>
      <c r="E41" s="140"/>
      <c r="F41" s="140"/>
      <c r="G41" s="140"/>
      <c r="H41" s="140"/>
      <c r="I41" s="138"/>
    </row>
    <row r="42" spans="1:9" ht="18.75" customHeight="1">
      <c r="A42" s="54"/>
      <c r="B42" s="139"/>
      <c r="C42" s="140"/>
      <c r="D42" s="140"/>
      <c r="E42" s="140"/>
      <c r="F42" s="140"/>
      <c r="G42" s="140"/>
      <c r="H42" s="140"/>
      <c r="I42" s="138"/>
    </row>
    <row r="43" spans="1:9" ht="18.75" customHeight="1">
      <c r="A43" s="54"/>
      <c r="B43" s="139"/>
      <c r="C43" s="140"/>
      <c r="D43" s="140"/>
      <c r="E43" s="140"/>
      <c r="F43" s="140"/>
      <c r="G43" s="140"/>
      <c r="H43" s="140"/>
      <c r="I43" s="138"/>
    </row>
    <row r="44" spans="1:9" ht="18.75" customHeight="1">
      <c r="A44" s="54"/>
      <c r="B44" s="139"/>
      <c r="C44" s="140"/>
      <c r="D44" s="140"/>
      <c r="E44" s="140"/>
      <c r="F44" s="140"/>
      <c r="G44" s="140"/>
      <c r="H44" s="140"/>
      <c r="I44" s="138"/>
    </row>
    <row r="45" spans="1:9" ht="18.75" customHeight="1">
      <c r="A45" s="54"/>
      <c r="B45" s="139"/>
      <c r="C45" s="140"/>
      <c r="D45" s="140"/>
      <c r="E45" s="140"/>
      <c r="F45" s="140"/>
      <c r="G45" s="140"/>
      <c r="H45" s="140"/>
      <c r="I45" s="138"/>
    </row>
    <row r="46" spans="1:9" ht="18.75" customHeight="1">
      <c r="A46" s="54"/>
      <c r="B46" s="141"/>
      <c r="C46" s="142"/>
      <c r="D46" s="142"/>
      <c r="E46" s="142"/>
      <c r="F46" s="142"/>
      <c r="G46" s="142"/>
      <c r="H46" s="142"/>
      <c r="I46" s="143"/>
    </row>
    <row r="47" spans="1:9" ht="7.5" customHeight="1">
      <c r="A47" s="58"/>
      <c r="B47" s="58"/>
      <c r="C47" s="58"/>
      <c r="D47" s="58"/>
      <c r="E47" s="58"/>
      <c r="F47" s="58"/>
      <c r="G47" s="58"/>
      <c r="H47" s="58"/>
      <c r="I47" s="58"/>
    </row>
    <row r="48" spans="1:9" ht="18.75" customHeight="1">
      <c r="A48" s="37" t="s">
        <v>139</v>
      </c>
      <c r="B48" s="37" t="s">
        <v>140</v>
      </c>
    </row>
    <row r="49" spans="1:15" s="38" customFormat="1" ht="18.75" customHeight="1">
      <c r="B49" s="59" t="s">
        <v>141</v>
      </c>
      <c r="C49" s="116">
        <f>'様式２ 履修者等数の実績'!S33</f>
        <v>0.20114942528735633</v>
      </c>
      <c r="D49" s="116"/>
      <c r="E49" s="59" t="s">
        <v>142</v>
      </c>
      <c r="F49" s="116">
        <v>0.39300000000000002</v>
      </c>
      <c r="G49" s="116"/>
      <c r="H49" s="59" t="s">
        <v>143</v>
      </c>
      <c r="I49" s="60">
        <v>0.58299999999999996</v>
      </c>
      <c r="J49" s="37"/>
      <c r="M49" s="37"/>
      <c r="N49" s="61"/>
    </row>
    <row r="50" spans="1:15" s="38" customFormat="1" ht="18.75" customHeight="1">
      <c r="B50" s="62" t="s">
        <v>144</v>
      </c>
      <c r="C50" s="99">
        <v>0.77300000000000002</v>
      </c>
      <c r="D50" s="99"/>
      <c r="E50" s="62" t="s">
        <v>145</v>
      </c>
      <c r="F50" s="99">
        <v>0.88800000000000001</v>
      </c>
      <c r="G50" s="99"/>
      <c r="H50" s="62" t="s">
        <v>146</v>
      </c>
      <c r="I50" s="63">
        <f>'様式２ 履修者等数の実績'!E33</f>
        <v>1044</v>
      </c>
      <c r="J50" s="37"/>
      <c r="M50" s="37"/>
      <c r="N50" s="61"/>
    </row>
    <row r="51" spans="1:15" ht="18.75" customHeight="1">
      <c r="A51" s="37"/>
      <c r="B51" s="162" t="s">
        <v>147</v>
      </c>
      <c r="C51" s="163"/>
      <c r="D51" s="163"/>
      <c r="E51" s="163"/>
      <c r="F51" s="163"/>
      <c r="G51" s="163"/>
      <c r="H51" s="163"/>
      <c r="I51" s="164"/>
      <c r="N51" s="61"/>
      <c r="O51" s="38"/>
    </row>
    <row r="52" spans="1:15" ht="18.75" customHeight="1">
      <c r="A52" s="37"/>
      <c r="B52" s="117" t="s">
        <v>148</v>
      </c>
      <c r="C52" s="118"/>
      <c r="D52" s="118"/>
      <c r="E52" s="118"/>
      <c r="F52" s="118"/>
      <c r="G52" s="118"/>
      <c r="H52" s="118"/>
      <c r="I52" s="119"/>
      <c r="N52" s="61"/>
      <c r="O52" s="38"/>
    </row>
    <row r="53" spans="1:15" ht="18.75" customHeight="1">
      <c r="A53" s="37"/>
      <c r="B53" s="120"/>
      <c r="C53" s="121"/>
      <c r="D53" s="121"/>
      <c r="E53" s="121"/>
      <c r="F53" s="121"/>
      <c r="G53" s="121"/>
      <c r="H53" s="121"/>
      <c r="I53" s="122"/>
      <c r="N53" s="61"/>
      <c r="O53" s="38"/>
    </row>
    <row r="54" spans="1:15" ht="18.75" customHeight="1">
      <c r="A54" s="37"/>
      <c r="B54" s="120"/>
      <c r="C54" s="121"/>
      <c r="D54" s="121"/>
      <c r="E54" s="121"/>
      <c r="F54" s="121"/>
      <c r="G54" s="121"/>
      <c r="H54" s="121"/>
      <c r="I54" s="122"/>
    </row>
    <row r="55" spans="1:15" ht="18.75" customHeight="1">
      <c r="A55" s="37"/>
      <c r="B55" s="120"/>
      <c r="C55" s="121"/>
      <c r="D55" s="121"/>
      <c r="E55" s="121"/>
      <c r="F55" s="121"/>
      <c r="G55" s="121"/>
      <c r="H55" s="121"/>
      <c r="I55" s="122"/>
    </row>
    <row r="56" spans="1:15" ht="18.75" customHeight="1">
      <c r="A56" s="37"/>
      <c r="B56" s="120"/>
      <c r="C56" s="121"/>
      <c r="D56" s="121"/>
      <c r="E56" s="121"/>
      <c r="F56" s="121"/>
      <c r="G56" s="121"/>
      <c r="H56" s="121"/>
      <c r="I56" s="122"/>
    </row>
    <row r="57" spans="1:15" ht="18.75" customHeight="1">
      <c r="A57" s="37"/>
      <c r="B57" s="120"/>
      <c r="C57" s="121"/>
      <c r="D57" s="121"/>
      <c r="E57" s="121"/>
      <c r="F57" s="121"/>
      <c r="G57" s="121"/>
      <c r="H57" s="121"/>
      <c r="I57" s="122"/>
    </row>
    <row r="58" spans="1:15" ht="18.75" customHeight="1">
      <c r="A58" s="37"/>
      <c r="B58" s="120"/>
      <c r="C58" s="121"/>
      <c r="D58" s="121"/>
      <c r="E58" s="121"/>
      <c r="F58" s="121"/>
      <c r="G58" s="121"/>
      <c r="H58" s="121"/>
      <c r="I58" s="122"/>
    </row>
    <row r="59" spans="1:15" ht="18.75" customHeight="1">
      <c r="A59" s="37"/>
      <c r="B59" s="120"/>
      <c r="C59" s="121"/>
      <c r="D59" s="121"/>
      <c r="E59" s="121"/>
      <c r="F59" s="121"/>
      <c r="G59" s="121"/>
      <c r="H59" s="121"/>
      <c r="I59" s="122"/>
    </row>
    <row r="60" spans="1:15" ht="18.75" customHeight="1">
      <c r="A60" s="37"/>
      <c r="B60" s="120"/>
      <c r="C60" s="121"/>
      <c r="D60" s="121"/>
      <c r="E60" s="121"/>
      <c r="F60" s="121"/>
      <c r="G60" s="121"/>
      <c r="H60" s="121"/>
      <c r="I60" s="122"/>
    </row>
    <row r="61" spans="1:15" ht="18.75" customHeight="1">
      <c r="A61" s="37"/>
      <c r="B61" s="120"/>
      <c r="C61" s="121"/>
      <c r="D61" s="121"/>
      <c r="E61" s="121"/>
      <c r="F61" s="121"/>
      <c r="G61" s="121"/>
      <c r="H61" s="121"/>
      <c r="I61" s="122"/>
    </row>
    <row r="62" spans="1:15" ht="18.75" customHeight="1">
      <c r="A62" s="37"/>
      <c r="B62" s="120"/>
      <c r="C62" s="121"/>
      <c r="D62" s="121"/>
      <c r="E62" s="121"/>
      <c r="F62" s="121"/>
      <c r="G62" s="121"/>
      <c r="H62" s="121"/>
      <c r="I62" s="122"/>
    </row>
    <row r="63" spans="1:15" ht="18.75" customHeight="1">
      <c r="A63" s="37"/>
      <c r="B63" s="123"/>
      <c r="C63" s="124"/>
      <c r="D63" s="124"/>
      <c r="E63" s="124"/>
      <c r="F63" s="124"/>
      <c r="G63" s="124"/>
      <c r="H63" s="124"/>
      <c r="I63" s="125"/>
    </row>
    <row r="64" spans="1:15" ht="7.5" customHeight="1">
      <c r="A64" s="54"/>
      <c r="B64" s="54"/>
      <c r="C64" s="54"/>
      <c r="D64" s="54"/>
      <c r="E64" s="54"/>
      <c r="F64" s="54"/>
      <c r="G64" s="54"/>
      <c r="H64" s="54"/>
      <c r="I64" s="54"/>
    </row>
    <row r="65" spans="1:9" ht="18.75" customHeight="1">
      <c r="A65" s="57" t="s">
        <v>149</v>
      </c>
      <c r="B65" s="37" t="s">
        <v>150</v>
      </c>
      <c r="I65" s="57"/>
    </row>
    <row r="66" spans="1:9" ht="18.75" customHeight="1">
      <c r="A66" s="58"/>
      <c r="B66" s="100" t="s">
        <v>151</v>
      </c>
      <c r="C66" s="101"/>
      <c r="D66" s="101"/>
      <c r="E66" s="101"/>
      <c r="F66" s="101"/>
      <c r="G66" s="101"/>
      <c r="H66" s="101"/>
      <c r="I66" s="102"/>
    </row>
    <row r="67" spans="1:9" ht="18.75" customHeight="1">
      <c r="A67" s="58"/>
      <c r="B67" s="103"/>
      <c r="C67" s="104"/>
      <c r="D67" s="104"/>
      <c r="E67" s="104"/>
      <c r="F67" s="104"/>
      <c r="G67" s="104"/>
      <c r="H67" s="104"/>
      <c r="I67" s="105"/>
    </row>
    <row r="68" spans="1:9" ht="18.75" customHeight="1">
      <c r="A68" s="58"/>
      <c r="B68" s="103"/>
      <c r="C68" s="104"/>
      <c r="D68" s="104"/>
      <c r="E68" s="104"/>
      <c r="F68" s="104"/>
      <c r="G68" s="104"/>
      <c r="H68" s="104"/>
      <c r="I68" s="105"/>
    </row>
    <row r="69" spans="1:9" ht="18.75" customHeight="1">
      <c r="A69" s="58"/>
      <c r="B69" s="103"/>
      <c r="C69" s="104"/>
      <c r="D69" s="104"/>
      <c r="E69" s="104"/>
      <c r="F69" s="104"/>
      <c r="G69" s="104"/>
      <c r="H69" s="104"/>
      <c r="I69" s="105"/>
    </row>
    <row r="70" spans="1:9" ht="18.75" customHeight="1">
      <c r="A70" s="58"/>
      <c r="B70" s="103"/>
      <c r="C70" s="104"/>
      <c r="D70" s="104"/>
      <c r="E70" s="104"/>
      <c r="F70" s="104"/>
      <c r="G70" s="104"/>
      <c r="H70" s="104"/>
      <c r="I70" s="105"/>
    </row>
    <row r="71" spans="1:9" ht="18.75" customHeight="1">
      <c r="A71" s="58"/>
      <c r="B71" s="103"/>
      <c r="C71" s="104"/>
      <c r="D71" s="104"/>
      <c r="E71" s="104"/>
      <c r="F71" s="104"/>
      <c r="G71" s="104"/>
      <c r="H71" s="104"/>
      <c r="I71" s="105"/>
    </row>
    <row r="72" spans="1:9" ht="18.75" customHeight="1">
      <c r="A72" s="58"/>
      <c r="B72" s="103"/>
      <c r="C72" s="104"/>
      <c r="D72" s="104"/>
      <c r="E72" s="104"/>
      <c r="F72" s="104"/>
      <c r="G72" s="104"/>
      <c r="H72" s="104"/>
      <c r="I72" s="105"/>
    </row>
    <row r="73" spans="1:9" ht="18.75" customHeight="1">
      <c r="A73" s="58"/>
      <c r="B73" s="103"/>
      <c r="C73" s="104"/>
      <c r="D73" s="104"/>
      <c r="E73" s="104"/>
      <c r="F73" s="104"/>
      <c r="G73" s="104"/>
      <c r="H73" s="104"/>
      <c r="I73" s="105"/>
    </row>
    <row r="74" spans="1:9" ht="18.75" customHeight="1">
      <c r="A74" s="58"/>
      <c r="B74" s="103"/>
      <c r="C74" s="104"/>
      <c r="D74" s="104"/>
      <c r="E74" s="104"/>
      <c r="F74" s="104"/>
      <c r="G74" s="104"/>
      <c r="H74" s="104"/>
      <c r="I74" s="105"/>
    </row>
    <row r="75" spans="1:9" ht="18.75" customHeight="1">
      <c r="A75" s="58"/>
      <c r="B75" s="103"/>
      <c r="C75" s="104"/>
      <c r="D75" s="104"/>
      <c r="E75" s="104"/>
      <c r="F75" s="104"/>
      <c r="G75" s="104"/>
      <c r="H75" s="104"/>
      <c r="I75" s="105"/>
    </row>
    <row r="76" spans="1:9" ht="18.75" customHeight="1">
      <c r="A76" s="58"/>
      <c r="B76" s="103"/>
      <c r="C76" s="104"/>
      <c r="D76" s="104"/>
      <c r="E76" s="104"/>
      <c r="F76" s="104"/>
      <c r="G76" s="104"/>
      <c r="H76" s="104"/>
      <c r="I76" s="105"/>
    </row>
    <row r="77" spans="1:9" ht="18.75" customHeight="1">
      <c r="A77" s="58"/>
      <c r="B77" s="106"/>
      <c r="C77" s="107"/>
      <c r="D77" s="107"/>
      <c r="E77" s="107"/>
      <c r="F77" s="107"/>
      <c r="G77" s="107"/>
      <c r="H77" s="107"/>
      <c r="I77" s="108"/>
    </row>
    <row r="78" spans="1:9" ht="7.5" customHeight="1">
      <c r="A78" s="58"/>
      <c r="B78" s="58"/>
      <c r="C78" s="58"/>
      <c r="D78" s="58"/>
      <c r="E78" s="58"/>
      <c r="F78" s="58"/>
      <c r="G78" s="58"/>
      <c r="H78" s="58"/>
      <c r="I78" s="58"/>
    </row>
    <row r="79" spans="1:9" ht="18.75" customHeight="1">
      <c r="A79" s="37" t="s">
        <v>152</v>
      </c>
      <c r="B79" s="37" t="s">
        <v>153</v>
      </c>
    </row>
    <row r="80" spans="1:9" ht="18.75" customHeight="1">
      <c r="A80" s="37"/>
      <c r="B80" s="100" t="s">
        <v>188</v>
      </c>
      <c r="C80" s="101"/>
      <c r="D80" s="101"/>
      <c r="E80" s="101"/>
      <c r="F80" s="101"/>
      <c r="G80" s="101"/>
      <c r="H80" s="101"/>
      <c r="I80" s="109"/>
    </row>
    <row r="81" spans="1:9" ht="18.75" customHeight="1">
      <c r="A81" s="37"/>
      <c r="B81" s="110"/>
      <c r="C81" s="111"/>
      <c r="D81" s="111"/>
      <c r="E81" s="111"/>
      <c r="F81" s="111"/>
      <c r="G81" s="111"/>
      <c r="H81" s="111"/>
      <c r="I81" s="112"/>
    </row>
    <row r="82" spans="1:9" ht="18.75" customHeight="1">
      <c r="A82" s="37"/>
      <c r="B82" s="110"/>
      <c r="C82" s="111"/>
      <c r="D82" s="111"/>
      <c r="E82" s="111"/>
      <c r="F82" s="111"/>
      <c r="G82" s="111"/>
      <c r="H82" s="111"/>
      <c r="I82" s="112"/>
    </row>
    <row r="83" spans="1:9" ht="18.75" customHeight="1">
      <c r="A83" s="37"/>
      <c r="B83" s="110"/>
      <c r="C83" s="111"/>
      <c r="D83" s="111"/>
      <c r="E83" s="111"/>
      <c r="F83" s="111"/>
      <c r="G83" s="111"/>
      <c r="H83" s="111"/>
      <c r="I83" s="112"/>
    </row>
    <row r="84" spans="1:9" ht="18.75" customHeight="1">
      <c r="A84" s="37"/>
      <c r="B84" s="110"/>
      <c r="C84" s="111"/>
      <c r="D84" s="111"/>
      <c r="E84" s="111"/>
      <c r="F84" s="111"/>
      <c r="G84" s="111"/>
      <c r="H84" s="111"/>
      <c r="I84" s="112"/>
    </row>
    <row r="85" spans="1:9" ht="18.75" customHeight="1">
      <c r="A85" s="37"/>
      <c r="B85" s="110"/>
      <c r="C85" s="111"/>
      <c r="D85" s="111"/>
      <c r="E85" s="111"/>
      <c r="F85" s="111"/>
      <c r="G85" s="111"/>
      <c r="H85" s="111"/>
      <c r="I85" s="112"/>
    </row>
    <row r="86" spans="1:9" ht="18.75" customHeight="1">
      <c r="A86" s="37"/>
      <c r="B86" s="110"/>
      <c r="C86" s="111"/>
      <c r="D86" s="111"/>
      <c r="E86" s="111"/>
      <c r="F86" s="111"/>
      <c r="G86" s="111"/>
      <c r="H86" s="111"/>
      <c r="I86" s="112"/>
    </row>
    <row r="87" spans="1:9" ht="18.75" customHeight="1">
      <c r="A87" s="37"/>
      <c r="B87" s="110"/>
      <c r="C87" s="111"/>
      <c r="D87" s="111"/>
      <c r="E87" s="111"/>
      <c r="F87" s="111"/>
      <c r="G87" s="111"/>
      <c r="H87" s="111"/>
      <c r="I87" s="112"/>
    </row>
    <row r="88" spans="1:9" ht="18.75" customHeight="1">
      <c r="A88" s="37"/>
      <c r="B88" s="110"/>
      <c r="C88" s="111"/>
      <c r="D88" s="111"/>
      <c r="E88" s="111"/>
      <c r="F88" s="111"/>
      <c r="G88" s="111"/>
      <c r="H88" s="111"/>
      <c r="I88" s="112"/>
    </row>
    <row r="89" spans="1:9" ht="18.75" customHeight="1">
      <c r="A89" s="37"/>
      <c r="B89" s="110"/>
      <c r="C89" s="111"/>
      <c r="D89" s="111"/>
      <c r="E89" s="111"/>
      <c r="F89" s="111"/>
      <c r="G89" s="111"/>
      <c r="H89" s="111"/>
      <c r="I89" s="112"/>
    </row>
    <row r="90" spans="1:9" ht="18.75" customHeight="1">
      <c r="A90" s="58"/>
      <c r="B90" s="110"/>
      <c r="C90" s="111"/>
      <c r="D90" s="111"/>
      <c r="E90" s="111"/>
      <c r="F90" s="111"/>
      <c r="G90" s="111"/>
      <c r="H90" s="111"/>
      <c r="I90" s="112"/>
    </row>
    <row r="91" spans="1:9" ht="18.75" customHeight="1">
      <c r="A91" s="58"/>
      <c r="B91" s="113"/>
      <c r="C91" s="114"/>
      <c r="D91" s="114"/>
      <c r="E91" s="114"/>
      <c r="F91" s="114"/>
      <c r="G91" s="114"/>
      <c r="H91" s="114"/>
      <c r="I91" s="115"/>
    </row>
    <row r="92" spans="1:9" ht="7.5" customHeight="1">
      <c r="A92" s="58"/>
      <c r="B92" s="58"/>
      <c r="C92" s="58"/>
      <c r="D92" s="58"/>
      <c r="E92" s="58"/>
      <c r="F92" s="58"/>
      <c r="G92" s="58"/>
      <c r="H92" s="58"/>
      <c r="I92" s="58"/>
    </row>
    <row r="93" spans="1:9" ht="18.75" customHeight="1">
      <c r="A93" s="37" t="s">
        <v>154</v>
      </c>
      <c r="B93" s="37" t="s">
        <v>155</v>
      </c>
    </row>
    <row r="94" spans="1:9" ht="18.75" customHeight="1">
      <c r="A94" s="37"/>
      <c r="B94" s="152" t="s">
        <v>156</v>
      </c>
      <c r="C94" s="153"/>
      <c r="D94" s="153"/>
      <c r="E94" s="153"/>
      <c r="F94" s="153"/>
      <c r="G94" s="153"/>
      <c r="H94" s="153"/>
      <c r="I94" s="154"/>
    </row>
    <row r="95" spans="1:9" ht="18.75" customHeight="1">
      <c r="A95" s="37"/>
      <c r="B95" s="155"/>
      <c r="C95" s="156"/>
      <c r="D95" s="156"/>
      <c r="E95" s="156"/>
      <c r="F95" s="156"/>
      <c r="G95" s="156"/>
      <c r="H95" s="156"/>
      <c r="I95" s="157"/>
    </row>
    <row r="96" spans="1:9" ht="18.75" customHeight="1">
      <c r="A96" s="37"/>
      <c r="B96" s="155"/>
      <c r="C96" s="156"/>
      <c r="D96" s="156"/>
      <c r="E96" s="156"/>
      <c r="F96" s="156"/>
      <c r="G96" s="156"/>
      <c r="H96" s="156"/>
      <c r="I96" s="157"/>
    </row>
    <row r="97" spans="1:9" ht="18.75" customHeight="1">
      <c r="A97" s="37"/>
      <c r="B97" s="155"/>
      <c r="C97" s="156"/>
      <c r="D97" s="156"/>
      <c r="E97" s="156"/>
      <c r="F97" s="156"/>
      <c r="G97" s="156"/>
      <c r="H97" s="156"/>
      <c r="I97" s="157"/>
    </row>
    <row r="98" spans="1:9" ht="18.75" customHeight="1">
      <c r="A98" s="37"/>
      <c r="B98" s="155"/>
      <c r="C98" s="156"/>
      <c r="D98" s="156"/>
      <c r="E98" s="156"/>
      <c r="F98" s="156"/>
      <c r="G98" s="156"/>
      <c r="H98" s="156"/>
      <c r="I98" s="157"/>
    </row>
    <row r="99" spans="1:9" ht="18.75" customHeight="1">
      <c r="A99" s="37"/>
      <c r="B99" s="155"/>
      <c r="C99" s="156"/>
      <c r="D99" s="156"/>
      <c r="E99" s="156"/>
      <c r="F99" s="156"/>
      <c r="G99" s="156"/>
      <c r="H99" s="156"/>
      <c r="I99" s="157"/>
    </row>
    <row r="100" spans="1:9" ht="18.75" customHeight="1">
      <c r="A100" s="37"/>
      <c r="B100" s="155"/>
      <c r="C100" s="156"/>
      <c r="D100" s="156"/>
      <c r="E100" s="156"/>
      <c r="F100" s="156"/>
      <c r="G100" s="156"/>
      <c r="H100" s="156"/>
      <c r="I100" s="157"/>
    </row>
    <row r="101" spans="1:9" ht="18.75" customHeight="1">
      <c r="A101" s="37"/>
      <c r="B101" s="155"/>
      <c r="C101" s="156"/>
      <c r="D101" s="156"/>
      <c r="E101" s="156"/>
      <c r="F101" s="156"/>
      <c r="G101" s="156"/>
      <c r="H101" s="156"/>
      <c r="I101" s="157"/>
    </row>
    <row r="102" spans="1:9" ht="18.75" customHeight="1">
      <c r="A102" s="37"/>
      <c r="B102" s="155"/>
      <c r="C102" s="156"/>
      <c r="D102" s="156"/>
      <c r="E102" s="156"/>
      <c r="F102" s="156"/>
      <c r="G102" s="156"/>
      <c r="H102" s="156"/>
      <c r="I102" s="157"/>
    </row>
    <row r="103" spans="1:9" ht="18.75" customHeight="1">
      <c r="A103" s="37"/>
      <c r="B103" s="155"/>
      <c r="C103" s="156"/>
      <c r="D103" s="156"/>
      <c r="E103" s="156"/>
      <c r="F103" s="156"/>
      <c r="G103" s="156"/>
      <c r="H103" s="156"/>
      <c r="I103" s="157"/>
    </row>
    <row r="104" spans="1:9" ht="18.75" customHeight="1">
      <c r="A104" s="37"/>
      <c r="B104" s="155"/>
      <c r="C104" s="156"/>
      <c r="D104" s="156"/>
      <c r="E104" s="156"/>
      <c r="F104" s="156"/>
      <c r="G104" s="156"/>
      <c r="H104" s="156"/>
      <c r="I104" s="157"/>
    </row>
    <row r="105" spans="1:9" ht="18.75" customHeight="1">
      <c r="A105" s="58"/>
      <c r="B105" s="158"/>
      <c r="C105" s="159"/>
      <c r="D105" s="159"/>
      <c r="E105" s="159"/>
      <c r="F105" s="159"/>
      <c r="G105" s="159"/>
      <c r="H105" s="159"/>
      <c r="I105" s="160"/>
    </row>
    <row r="106" spans="1:9" ht="7.5" customHeight="1">
      <c r="A106" s="58"/>
      <c r="B106" s="58"/>
      <c r="C106" s="58"/>
      <c r="D106" s="58"/>
      <c r="E106" s="58"/>
      <c r="F106" s="58"/>
      <c r="G106" s="58"/>
      <c r="H106" s="58"/>
      <c r="I106" s="58"/>
    </row>
    <row r="107" spans="1:9" ht="18.75" customHeight="1">
      <c r="A107" s="37" t="s">
        <v>157</v>
      </c>
      <c r="B107" s="161" t="s">
        <v>158</v>
      </c>
      <c r="C107" s="161"/>
      <c r="D107" s="161"/>
      <c r="E107" s="161"/>
      <c r="F107" s="161"/>
      <c r="G107" s="161"/>
      <c r="H107" s="161"/>
      <c r="I107" s="161"/>
    </row>
    <row r="108" spans="1:9" ht="18.75" customHeight="1">
      <c r="A108" s="58"/>
      <c r="B108" s="152" t="s">
        <v>159</v>
      </c>
      <c r="C108" s="153"/>
      <c r="D108" s="153"/>
      <c r="E108" s="153"/>
      <c r="F108" s="153"/>
      <c r="G108" s="153"/>
      <c r="H108" s="153"/>
      <c r="I108" s="154"/>
    </row>
    <row r="109" spans="1:9" ht="18.75" customHeight="1">
      <c r="A109" s="58"/>
      <c r="B109" s="155"/>
      <c r="C109" s="156"/>
      <c r="D109" s="156"/>
      <c r="E109" s="156"/>
      <c r="F109" s="156"/>
      <c r="G109" s="156"/>
      <c r="H109" s="156"/>
      <c r="I109" s="157"/>
    </row>
    <row r="110" spans="1:9" ht="18.75" customHeight="1">
      <c r="A110" s="58"/>
      <c r="B110" s="155"/>
      <c r="C110" s="156"/>
      <c r="D110" s="156"/>
      <c r="E110" s="156"/>
      <c r="F110" s="156"/>
      <c r="G110" s="156"/>
      <c r="H110" s="156"/>
      <c r="I110" s="157"/>
    </row>
    <row r="111" spans="1:9" ht="18.75" customHeight="1">
      <c r="A111" s="58"/>
      <c r="B111" s="155"/>
      <c r="C111" s="156"/>
      <c r="D111" s="156"/>
      <c r="E111" s="156"/>
      <c r="F111" s="156"/>
      <c r="G111" s="156"/>
      <c r="H111" s="156"/>
      <c r="I111" s="157"/>
    </row>
    <row r="112" spans="1:9" ht="18.75" customHeight="1">
      <c r="A112" s="58"/>
      <c r="B112" s="155"/>
      <c r="C112" s="156"/>
      <c r="D112" s="156"/>
      <c r="E112" s="156"/>
      <c r="F112" s="156"/>
      <c r="G112" s="156"/>
      <c r="H112" s="156"/>
      <c r="I112" s="157"/>
    </row>
    <row r="113" spans="1:9" ht="18.75" customHeight="1">
      <c r="A113" s="58"/>
      <c r="B113" s="155"/>
      <c r="C113" s="156"/>
      <c r="D113" s="156"/>
      <c r="E113" s="156"/>
      <c r="F113" s="156"/>
      <c r="G113" s="156"/>
      <c r="H113" s="156"/>
      <c r="I113" s="157"/>
    </row>
    <row r="114" spans="1:9" ht="18.75" customHeight="1">
      <c r="A114" s="58"/>
      <c r="B114" s="155"/>
      <c r="C114" s="156"/>
      <c r="D114" s="156"/>
      <c r="E114" s="156"/>
      <c r="F114" s="156"/>
      <c r="G114" s="156"/>
      <c r="H114" s="156"/>
      <c r="I114" s="157"/>
    </row>
    <row r="115" spans="1:9" ht="18.75" customHeight="1">
      <c r="A115" s="58"/>
      <c r="B115" s="155"/>
      <c r="C115" s="156"/>
      <c r="D115" s="156"/>
      <c r="E115" s="156"/>
      <c r="F115" s="156"/>
      <c r="G115" s="156"/>
      <c r="H115" s="156"/>
      <c r="I115" s="157"/>
    </row>
    <row r="116" spans="1:9" ht="18.75" customHeight="1">
      <c r="A116" s="58"/>
      <c r="B116" s="155"/>
      <c r="C116" s="156"/>
      <c r="D116" s="156"/>
      <c r="E116" s="156"/>
      <c r="F116" s="156"/>
      <c r="G116" s="156"/>
      <c r="H116" s="156"/>
      <c r="I116" s="157"/>
    </row>
    <row r="117" spans="1:9" ht="18.75" customHeight="1">
      <c r="A117" s="58"/>
      <c r="B117" s="155"/>
      <c r="C117" s="156"/>
      <c r="D117" s="156"/>
      <c r="E117" s="156"/>
      <c r="F117" s="156"/>
      <c r="G117" s="156"/>
      <c r="H117" s="156"/>
      <c r="I117" s="157"/>
    </row>
    <row r="118" spans="1:9" ht="18.75" customHeight="1">
      <c r="A118" s="58"/>
      <c r="B118" s="155"/>
      <c r="C118" s="156"/>
      <c r="D118" s="156"/>
      <c r="E118" s="156"/>
      <c r="F118" s="156"/>
      <c r="G118" s="156"/>
      <c r="H118" s="156"/>
      <c r="I118" s="157"/>
    </row>
    <row r="119" spans="1:9" ht="18.75" customHeight="1">
      <c r="A119" s="58"/>
      <c r="B119" s="158"/>
      <c r="C119" s="159"/>
      <c r="D119" s="159"/>
      <c r="E119" s="159"/>
      <c r="F119" s="159"/>
      <c r="G119" s="159"/>
      <c r="H119" s="159"/>
      <c r="I119" s="160"/>
    </row>
    <row r="120" spans="1:9" ht="7.5" customHeight="1">
      <c r="A120" s="58"/>
      <c r="B120" s="64"/>
      <c r="C120" s="64"/>
      <c r="D120" s="64"/>
      <c r="E120" s="64"/>
      <c r="F120" s="64"/>
      <c r="G120" s="64"/>
      <c r="H120" s="64"/>
      <c r="I120" s="64"/>
    </row>
    <row r="121" spans="1:9" ht="18.75" customHeight="1">
      <c r="A121" s="37"/>
      <c r="B121" s="126"/>
      <c r="C121" s="126"/>
      <c r="D121" s="126"/>
      <c r="E121" s="126"/>
      <c r="F121" s="126"/>
      <c r="G121" s="126"/>
      <c r="H121" s="126"/>
      <c r="I121" s="126"/>
    </row>
    <row r="122" spans="1:9" ht="18.75" customHeight="1">
      <c r="A122" s="37"/>
      <c r="B122" s="126"/>
      <c r="C122" s="126"/>
      <c r="D122" s="126"/>
      <c r="E122" s="126"/>
      <c r="F122" s="126"/>
      <c r="G122" s="126"/>
      <c r="H122" s="126"/>
      <c r="I122" s="126"/>
    </row>
    <row r="123" spans="1:9" ht="18.75" customHeight="1">
      <c r="A123" s="58"/>
      <c r="B123" s="55"/>
      <c r="C123" s="55"/>
      <c r="D123" s="55"/>
      <c r="E123" s="55"/>
      <c r="F123" s="55"/>
      <c r="G123" s="55"/>
      <c r="H123" s="55"/>
      <c r="I123" s="56"/>
    </row>
    <row r="124" spans="1:9" ht="18.75" customHeight="1">
      <c r="A124" s="58"/>
      <c r="B124" s="56"/>
      <c r="C124" s="56"/>
      <c r="D124" s="56"/>
      <c r="E124" s="56"/>
      <c r="F124" s="56"/>
      <c r="G124" s="56"/>
      <c r="H124" s="56"/>
      <c r="I124" s="56"/>
    </row>
    <row r="125" spans="1:9" ht="18.75" customHeight="1">
      <c r="A125" s="58"/>
      <c r="B125" s="56"/>
      <c r="C125" s="56"/>
      <c r="D125" s="56"/>
      <c r="E125" s="56"/>
      <c r="F125" s="56"/>
      <c r="G125" s="56"/>
      <c r="H125" s="56"/>
      <c r="I125" s="56"/>
    </row>
    <row r="126" spans="1:9" ht="18.75" customHeight="1">
      <c r="A126" s="58"/>
      <c r="B126" s="56"/>
      <c r="C126" s="56"/>
      <c r="D126" s="56"/>
      <c r="E126" s="56"/>
      <c r="F126" s="56"/>
      <c r="G126" s="56"/>
      <c r="H126" s="56"/>
      <c r="I126" s="56"/>
    </row>
    <row r="127" spans="1:9" ht="18.75" customHeight="1">
      <c r="A127" s="58"/>
      <c r="B127" s="56"/>
      <c r="C127" s="56"/>
      <c r="D127" s="56"/>
      <c r="E127" s="56"/>
      <c r="F127" s="56"/>
      <c r="G127" s="56"/>
      <c r="H127" s="56"/>
      <c r="I127" s="56"/>
    </row>
    <row r="128" spans="1:9" ht="18.75" customHeight="1">
      <c r="A128" s="58"/>
      <c r="B128" s="56"/>
      <c r="C128" s="56"/>
      <c r="D128" s="56"/>
      <c r="E128" s="56"/>
      <c r="F128" s="56"/>
      <c r="G128" s="56"/>
      <c r="H128" s="56"/>
      <c r="I128" s="56"/>
    </row>
    <row r="129" spans="1:9" ht="18.75" customHeight="1">
      <c r="A129" s="58"/>
      <c r="B129" s="56"/>
      <c r="C129" s="56"/>
      <c r="D129" s="56"/>
      <c r="E129" s="56"/>
      <c r="F129" s="56"/>
      <c r="G129" s="56"/>
      <c r="H129" s="56"/>
      <c r="I129" s="56"/>
    </row>
    <row r="130" spans="1:9" ht="18.75" customHeight="1">
      <c r="A130" s="58"/>
      <c r="B130" s="56"/>
      <c r="C130" s="56"/>
      <c r="D130" s="56"/>
      <c r="E130" s="56"/>
      <c r="F130" s="56"/>
      <c r="G130" s="56"/>
      <c r="H130" s="56"/>
      <c r="I130" s="56"/>
    </row>
    <row r="131" spans="1:9" ht="18.75" customHeight="1">
      <c r="A131" s="58"/>
      <c r="B131" s="56"/>
      <c r="C131" s="56"/>
      <c r="D131" s="56"/>
      <c r="E131" s="56"/>
      <c r="F131" s="56"/>
      <c r="G131" s="56"/>
      <c r="H131" s="56"/>
      <c r="I131" s="56"/>
    </row>
    <row r="132" spans="1:9" ht="18.75" customHeight="1">
      <c r="A132" s="58"/>
      <c r="B132" s="56"/>
      <c r="C132" s="56"/>
      <c r="D132" s="56"/>
      <c r="E132" s="56"/>
      <c r="F132" s="56"/>
      <c r="G132" s="56"/>
      <c r="H132" s="56"/>
      <c r="I132" s="56"/>
    </row>
    <row r="133" spans="1:9" ht="14.25">
      <c r="A133" s="58"/>
      <c r="B133" s="56"/>
      <c r="C133" s="56"/>
      <c r="D133" s="56"/>
      <c r="E133" s="56"/>
      <c r="F133" s="56"/>
      <c r="G133" s="56"/>
      <c r="H133" s="56"/>
      <c r="I133" s="56"/>
    </row>
    <row r="134" spans="1:9" ht="7.5" customHeight="1">
      <c r="A134" s="58"/>
      <c r="B134" s="56"/>
      <c r="C134" s="56"/>
      <c r="D134" s="56"/>
      <c r="E134" s="56"/>
      <c r="F134" s="56"/>
      <c r="G134" s="56"/>
      <c r="H134" s="56"/>
      <c r="I134" s="56"/>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16383" man="1"/>
    <brk id="92"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E13" sqref="E13:I13"/>
    </sheetView>
  </sheetViews>
  <sheetFormatPr defaultColWidth="11.375" defaultRowHeight="22.5" customHeight="1"/>
  <cols>
    <col min="1" max="3" width="2.75" style="37" customWidth="1"/>
    <col min="4" max="4" width="22.25" style="37" customWidth="1"/>
    <col min="5" max="5" width="30.75" style="37" customWidth="1"/>
    <col min="6" max="7" width="7.75" style="37" customWidth="1"/>
    <col min="8" max="9" width="30.75" style="37" customWidth="1"/>
    <col min="10" max="10" width="4.125" style="37" customWidth="1"/>
    <col min="11" max="16384" width="11.375" style="37"/>
  </cols>
  <sheetData>
    <row r="1" spans="1:9" ht="18.75" customHeight="1">
      <c r="A1" s="37" t="s">
        <v>160</v>
      </c>
      <c r="I1" s="49" t="s">
        <v>161</v>
      </c>
    </row>
    <row r="2" spans="1:9" ht="18.75" customHeight="1">
      <c r="H2" s="49" t="s">
        <v>2</v>
      </c>
      <c r="I2" s="51" t="str">
        <f>'様式１　プログラムを構成する授業科目'!C2</f>
        <v>東京医科大学</v>
      </c>
    </row>
    <row r="3" spans="1:9" ht="18.75" customHeight="1">
      <c r="A3" s="129" t="s">
        <v>162</v>
      </c>
      <c r="B3" s="129"/>
      <c r="C3" s="129"/>
      <c r="D3" s="129"/>
      <c r="E3" s="129"/>
      <c r="F3" s="129"/>
      <c r="G3" s="129"/>
      <c r="H3" s="129"/>
      <c r="I3" s="129"/>
    </row>
    <row r="4" spans="1:9" ht="18.75" customHeight="1">
      <c r="A4" s="50"/>
      <c r="B4" s="50"/>
      <c r="C4" s="50"/>
      <c r="D4" s="50"/>
      <c r="E4" s="50"/>
      <c r="F4" s="50"/>
      <c r="G4" s="50"/>
      <c r="H4" s="50"/>
      <c r="I4" s="50"/>
    </row>
    <row r="5" spans="1:9" ht="18.75" customHeight="1">
      <c r="A5" s="37" t="s">
        <v>113</v>
      </c>
      <c r="B5" s="39" t="s">
        <v>163</v>
      </c>
      <c r="C5" s="50"/>
      <c r="D5" s="50"/>
      <c r="E5" s="50"/>
      <c r="F5" s="50"/>
      <c r="G5" s="50"/>
      <c r="H5" s="50"/>
      <c r="I5" s="50"/>
    </row>
    <row r="6" spans="1:9" ht="26.25" customHeight="1">
      <c r="A6" s="50"/>
      <c r="B6" s="144" t="s">
        <v>127</v>
      </c>
      <c r="C6" s="192"/>
      <c r="D6" s="192"/>
      <c r="E6" s="192"/>
      <c r="F6" s="192"/>
      <c r="G6" s="192"/>
      <c r="H6" s="149"/>
      <c r="I6" s="38"/>
    </row>
    <row r="7" spans="1:9" ht="9" customHeight="1">
      <c r="A7" s="50"/>
      <c r="B7" s="39"/>
      <c r="C7" s="39"/>
      <c r="D7" s="39"/>
      <c r="E7" s="39"/>
      <c r="F7" s="39"/>
      <c r="G7" s="39"/>
      <c r="H7" s="39"/>
      <c r="I7" s="38"/>
    </row>
    <row r="8" spans="1:9" ht="18.75" customHeight="1">
      <c r="A8" s="50"/>
      <c r="B8" s="38"/>
      <c r="C8" s="38"/>
      <c r="D8" s="49" t="s">
        <v>121</v>
      </c>
      <c r="E8" s="65" t="s">
        <v>128</v>
      </c>
      <c r="F8" s="38"/>
      <c r="G8" s="49" t="s">
        <v>123</v>
      </c>
      <c r="H8" s="65" t="s">
        <v>129</v>
      </c>
      <c r="I8" s="38"/>
    </row>
    <row r="9" spans="1:9" ht="7.5" customHeight="1">
      <c r="A9" s="50"/>
      <c r="B9" s="50"/>
      <c r="C9" s="50"/>
      <c r="D9" s="50"/>
      <c r="E9" s="50"/>
      <c r="F9" s="50"/>
      <c r="G9" s="50"/>
      <c r="H9" s="50"/>
      <c r="I9" s="50"/>
    </row>
    <row r="10" spans="1:9" ht="18.75" customHeight="1">
      <c r="A10" s="37" t="s">
        <v>117</v>
      </c>
      <c r="B10" s="37" t="s">
        <v>164</v>
      </c>
      <c r="C10" s="58"/>
      <c r="D10" s="58"/>
      <c r="E10" s="58"/>
      <c r="F10" s="58"/>
      <c r="G10" s="58"/>
      <c r="H10" s="58"/>
      <c r="I10" s="58"/>
    </row>
    <row r="11" spans="1:9" ht="18.75" customHeight="1">
      <c r="B11" s="127" t="s">
        <v>165</v>
      </c>
      <c r="C11" s="191"/>
      <c r="D11" s="128"/>
      <c r="E11" s="191" t="s">
        <v>166</v>
      </c>
      <c r="F11" s="191"/>
      <c r="G11" s="191"/>
      <c r="H11" s="191"/>
      <c r="I11" s="128"/>
    </row>
    <row r="12" spans="1:9" ht="26.25" customHeight="1">
      <c r="B12" s="66" t="s">
        <v>167</v>
      </c>
      <c r="C12" s="67"/>
      <c r="D12" s="68"/>
      <c r="E12" s="69"/>
      <c r="F12" s="69"/>
      <c r="G12" s="69"/>
      <c r="H12" s="69"/>
      <c r="I12" s="68"/>
    </row>
    <row r="13" spans="1:9" ht="210.75" customHeight="1">
      <c r="B13" s="70"/>
      <c r="C13" s="170" t="s">
        <v>168</v>
      </c>
      <c r="D13" s="171"/>
      <c r="E13" s="184" t="s">
        <v>169</v>
      </c>
      <c r="F13" s="173"/>
      <c r="G13" s="173"/>
      <c r="H13" s="173"/>
      <c r="I13" s="174"/>
    </row>
    <row r="14" spans="1:9" ht="210.75" customHeight="1">
      <c r="B14" s="70"/>
      <c r="C14" s="189" t="s">
        <v>170</v>
      </c>
      <c r="D14" s="190"/>
      <c r="E14" s="184" t="s">
        <v>171</v>
      </c>
      <c r="F14" s="173"/>
      <c r="G14" s="173"/>
      <c r="H14" s="173"/>
      <c r="I14" s="174"/>
    </row>
    <row r="15" spans="1:9" ht="210.75" customHeight="1">
      <c r="B15" s="70"/>
      <c r="C15" s="170" t="s">
        <v>172</v>
      </c>
      <c r="D15" s="171"/>
      <c r="E15" s="184" t="s">
        <v>173</v>
      </c>
      <c r="F15" s="173"/>
      <c r="G15" s="173"/>
      <c r="H15" s="173"/>
      <c r="I15" s="174"/>
    </row>
    <row r="16" spans="1:9" ht="210.75" customHeight="1">
      <c r="B16" s="70"/>
      <c r="C16" s="170" t="s">
        <v>174</v>
      </c>
      <c r="D16" s="171"/>
      <c r="E16" s="185" t="s">
        <v>175</v>
      </c>
      <c r="F16" s="173"/>
      <c r="G16" s="173"/>
      <c r="H16" s="173"/>
      <c r="I16" s="174"/>
    </row>
    <row r="17" spans="2:9" ht="210.75" customHeight="1">
      <c r="B17" s="71"/>
      <c r="C17" s="175" t="s">
        <v>176</v>
      </c>
      <c r="D17" s="176"/>
      <c r="E17" s="186" t="s">
        <v>177</v>
      </c>
      <c r="F17" s="187"/>
      <c r="G17" s="187"/>
      <c r="H17" s="187"/>
      <c r="I17" s="188"/>
    </row>
    <row r="18" spans="2:9" ht="24" customHeight="1">
      <c r="B18" s="66" t="s">
        <v>178</v>
      </c>
      <c r="C18" s="72"/>
      <c r="D18" s="73"/>
      <c r="E18" s="74"/>
      <c r="F18" s="74"/>
      <c r="G18" s="74"/>
      <c r="H18" s="74"/>
      <c r="I18" s="75"/>
    </row>
    <row r="19" spans="2:9" ht="218.25" customHeight="1">
      <c r="B19" s="70"/>
      <c r="C19" s="170" t="s">
        <v>179</v>
      </c>
      <c r="D19" s="171"/>
      <c r="E19" s="172" t="s">
        <v>180</v>
      </c>
      <c r="F19" s="173"/>
      <c r="G19" s="173"/>
      <c r="H19" s="173"/>
      <c r="I19" s="174"/>
    </row>
    <row r="20" spans="2:9" ht="218.25" customHeight="1">
      <c r="B20" s="71"/>
      <c r="C20" s="175" t="s">
        <v>181</v>
      </c>
      <c r="D20" s="176"/>
      <c r="E20" s="177" t="s">
        <v>184</v>
      </c>
      <c r="F20" s="177"/>
      <c r="G20" s="177"/>
      <c r="H20" s="177"/>
      <c r="I20" s="178"/>
    </row>
    <row r="21" spans="2:9" ht="218.25" customHeight="1">
      <c r="B21" s="179" t="s">
        <v>182</v>
      </c>
      <c r="C21" s="180"/>
      <c r="D21" s="181"/>
      <c r="E21" s="182" t="s">
        <v>185</v>
      </c>
      <c r="F21" s="182"/>
      <c r="G21" s="182"/>
      <c r="H21" s="182"/>
      <c r="I21" s="183"/>
    </row>
    <row r="22" spans="2:9" ht="218.25" customHeight="1">
      <c r="B22" s="165" t="s">
        <v>183</v>
      </c>
      <c r="C22" s="166"/>
      <c r="D22" s="167"/>
      <c r="E22" s="168" t="s">
        <v>186</v>
      </c>
      <c r="F22" s="168"/>
      <c r="G22" s="168"/>
      <c r="H22" s="168"/>
      <c r="I22" s="169"/>
    </row>
    <row r="23" spans="2:9" ht="22.5" customHeight="1">
      <c r="B23" s="58"/>
      <c r="C23" s="58"/>
      <c r="D23" s="58"/>
      <c r="E23" s="58"/>
      <c r="F23" s="58"/>
      <c r="G23" s="58"/>
      <c r="H23" s="58"/>
      <c r="I23" s="58"/>
    </row>
    <row r="24" spans="2:9" ht="22.5" customHeight="1">
      <c r="B24" s="58"/>
      <c r="C24" s="58"/>
      <c r="D24" s="58"/>
      <c r="E24" s="58"/>
      <c r="F24" s="58"/>
      <c r="G24" s="58"/>
      <c r="H24" s="58"/>
      <c r="I24" s="58"/>
    </row>
    <row r="25" spans="2:9" ht="22.5" customHeight="1">
      <c r="B25" s="58"/>
      <c r="C25" s="58"/>
      <c r="D25" s="58"/>
      <c r="E25" s="58"/>
      <c r="F25" s="58"/>
      <c r="G25" s="58"/>
      <c r="H25" s="58"/>
      <c r="I25" s="58"/>
    </row>
    <row r="26" spans="2:9" ht="22.5" customHeight="1">
      <c r="B26" s="58"/>
      <c r="C26" s="58"/>
      <c r="D26" s="58"/>
      <c r="E26" s="58"/>
      <c r="F26" s="58"/>
      <c r="G26" s="58"/>
      <c r="H26" s="58"/>
      <c r="I26" s="58"/>
    </row>
    <row r="27" spans="2:9" ht="22.5" customHeight="1">
      <c r="B27" s="58"/>
      <c r="C27" s="58"/>
      <c r="D27" s="58"/>
      <c r="E27" s="58"/>
      <c r="F27" s="58"/>
      <c r="G27" s="58"/>
      <c r="H27" s="58"/>
      <c r="I27" s="58"/>
    </row>
    <row r="28" spans="2:9" ht="22.5" customHeight="1">
      <c r="B28" s="54"/>
      <c r="C28" s="54"/>
      <c r="D28" s="54"/>
      <c r="E28" s="54"/>
      <c r="F28" s="54"/>
      <c r="G28" s="54"/>
      <c r="H28" s="54"/>
      <c r="I28" s="54"/>
    </row>
    <row r="29" spans="2:9" ht="22.5" customHeight="1">
      <c r="B29" s="54"/>
      <c r="C29" s="54"/>
      <c r="D29" s="54"/>
      <c r="E29" s="54"/>
      <c r="F29" s="54"/>
      <c r="G29" s="54"/>
      <c r="H29" s="54"/>
      <c r="I29" s="54"/>
    </row>
    <row r="30" spans="2:9" ht="22.5" customHeight="1">
      <c r="B30" s="54"/>
      <c r="C30" s="54"/>
      <c r="D30" s="54"/>
      <c r="E30" s="54"/>
      <c r="F30" s="54"/>
      <c r="G30" s="54"/>
      <c r="H30" s="54"/>
      <c r="I30" s="5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9AC301687DB4A2469DBCD2914021305D" ma:contentTypeVersion="3" ma:contentTypeDescription="新しいドキュメントを作成します。" ma:contentTypeScope="" ma:versionID="00ce18bf6d94cdc2a0abf3e4b992e2fd">
  <xsd:schema xmlns:xsd="http://www.w3.org/2001/XMLSchema" xmlns:xs="http://www.w3.org/2001/XMLSchema" xmlns:p="http://schemas.microsoft.com/office/2006/metadata/properties" xmlns:ns2="36f9bcfb-676f-4000-b82a-4db4e862d23a" targetNamespace="http://schemas.microsoft.com/office/2006/metadata/properties" ma:root="true" ma:fieldsID="722642fa77310cd36dca0f925c21baf0" ns2:_="">
    <xsd:import namespace="36f9bcfb-676f-4000-b82a-4db4e862d23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f9bcfb-676f-4000-b82a-4db4e862d2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00E7C72-D791-4A7B-B76D-2CD515B728EC}">
  <ds:schemaRefs>
    <ds:schemaRef ds:uri="http://schemas.microsoft.com/sharepoint/v3/contenttype/forms"/>
  </ds:schemaRefs>
</ds:datastoreItem>
</file>

<file path=customXml/itemProps2.xml><?xml version="1.0" encoding="utf-8"?>
<ds:datastoreItem xmlns:ds="http://schemas.openxmlformats.org/officeDocument/2006/customXml" ds:itemID="{D19BB0C4-602F-469B-8814-BD0B934E00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f9bcfb-676f-4000-b82a-4db4e862d2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887FAC6-2C75-4B94-AFA2-F31494388F03}">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lastModifiedBy>
  <cp:revision/>
  <cp:lastPrinted>2025-05-08T07:01:34Z</cp:lastPrinted>
  <dcterms:created xsi:type="dcterms:W3CDTF">2011-06-14T05:32:50Z</dcterms:created>
  <dcterms:modified xsi:type="dcterms:W3CDTF">2025-07-14T02:20:49Z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0x0101009AC301687DB4A2469DBCD2914021305D</vt:lpwstr>
  </property>
</Properties>
</file>