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192.168.254.17\学生支援g\4.教務\9.資格・検定\数理・データサイエンス・AI教育プログラム認定制度\令和７年度\リテラシーレベル\20250711再提出申請関係\日本国際学園大学_再提出_0711\"/>
    </mc:Choice>
  </mc:AlternateContent>
  <xr:revisionPtr revIDLastSave="0" documentId="13_ncr:1_{8B94082D-9BFE-430D-AB63-56FC4142884A}" xr6:coauthVersionLast="47" xr6:coauthVersionMax="47" xr10:uidLastSave="{00000000-0000-0000-0000-000000000000}"/>
  <bookViews>
    <workbookView xWindow="-108" yWindow="-108" windowWidth="23256" windowHeight="12456" tabRatio="885" activeTab="3"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0" i="41" l="1"/>
  <c r="C50" i="41"/>
  <c r="I49" i="41"/>
  <c r="F49" i="41"/>
  <c r="H8" i="41"/>
  <c r="H6" i="41"/>
  <c r="E6" i="41"/>
  <c r="G13" i="40"/>
  <c r="F13" i="40"/>
  <c r="E13" i="40"/>
  <c r="D13" i="40"/>
  <c r="C13" i="40"/>
  <c r="I7" i="40"/>
  <c r="F7" i="40"/>
  <c r="G29" i="39"/>
  <c r="G28" i="39"/>
  <c r="G27" i="39"/>
  <c r="H22" i="39"/>
  <c r="E22" i="39"/>
  <c r="M7" i="40"/>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<sst xmlns="http://schemas.openxmlformats.org/spreadsheetml/2006/main" count="293" uniqueCount="191">
  <si>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</si>
  <si>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</si>
  <si>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</si>
  <si>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プログラム名</t>
    <rPh sb="5" eb="6">
      <t>メイ</t>
    </rPh>
    <phoneticPr fontId="1"/>
  </si>
  <si>
    <t>リテラシーレベルのプログラムを構成する授業科目について</t>
    <phoneticPr fontId="1"/>
  </si>
  <si>
    <t>① 教育プログラムの修了要件</t>
    <rPh sb="2" eb="4">
      <t>キョウイク</t>
    </rPh>
    <rPh sb="10" eb="14">
      <t>シュウリョウヨウケン</t>
    </rPh>
    <phoneticPr fontId="1"/>
  </si>
  <si>
    <t>② 対象となる学部・学科名称</t>
    <phoneticPr fontId="1"/>
  </si>
  <si>
    <t>③ 修了要件</t>
    <phoneticPr fontId="1"/>
  </si>
  <si>
    <t>【プルダウンリスト】</t>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</si>
  <si>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</si>
  <si>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</si>
  <si>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</si>
  <si>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</si>
  <si>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</si>
  <si>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</si>
  <si>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</si>
  <si>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</si>
  <si>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</si>
  <si>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</si>
  <si>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</si>
  <si>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</si>
  <si>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</si>
  <si>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</si>
  <si>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</si>
  <si>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</si>
  <si>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</si>
  <si>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</si>
  <si>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</si>
  <si>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</si>
  <si>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</si>
  <si>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</si>
  <si>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</si>
  <si>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</si>
  <si>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</si>
  <si>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</si>
  <si>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</si>
  <si>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</si>
  <si>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phoneticPr fontId="1"/>
  </si>
  <si>
    <t>4‐2アルゴリズム基礎</t>
    <phoneticPr fontId="1"/>
  </si>
  <si>
    <t>4‐3データ構造とプログラミング基礎</t>
    <phoneticPr fontId="1"/>
  </si>
  <si>
    <t>4‐4時系列データ解析</t>
    <phoneticPr fontId="1"/>
  </si>
  <si>
    <t>4‐5自然言語処理</t>
    <rPh sb="3" eb="5">
      <t>シゼン</t>
    </rPh>
    <rPh sb="5" eb="7">
      <t>ゲンゴ</t>
    </rPh>
    <rPh sb="7" eb="9">
      <t>ショリ</t>
    </rPh>
    <phoneticPr fontId="1"/>
  </si>
  <si>
    <t>4‐6画像認識</t>
    <rPh sb="5" eb="7">
      <t>ニンシキ</t>
    </rPh>
    <phoneticPr fontId="1"/>
  </si>
  <si>
    <t>4‐7データハンドリング</t>
    <phoneticPr fontId="1"/>
  </si>
  <si>
    <t>4‐8データ活用実践（教師あり学習）</t>
    <phoneticPr fontId="1"/>
  </si>
  <si>
    <t>4‐9データ活用実践（教師なし学習）</t>
    <phoneticPr fontId="1"/>
  </si>
  <si>
    <t>⑩ プログラムを構成する授業の内容</t>
    <phoneticPr fontId="1"/>
  </si>
  <si>
    <t>その他</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</si>
  <si>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</si>
  <si>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</si>
  <si>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</si>
  <si>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</si>
  <si>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</si>
  <si>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</si>
  <si>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</si>
  <si>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</si>
  <si>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</si>
  <si>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</si>
  <si>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様式２</t>
    <phoneticPr fontId="1"/>
  </si>
  <si>
    <t>リテラシーレベルのプログラムの履修者数等の実績について</t>
    <phoneticPr fontId="1"/>
  </si>
  <si>
    <t>①プログラム開設年度</t>
    <rPh sb="6" eb="8">
      <t>カイセツ</t>
    </rPh>
    <rPh sb="8" eb="10">
      <t>ネンド</t>
    </rPh>
    <phoneticPr fontId="1"/>
  </si>
  <si>
    <t>年度（和暦）</t>
    <rPh sb="0" eb="2">
      <t>ネンド</t>
    </rPh>
    <rPh sb="3" eb="5">
      <t>ワレキ</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</si>
  <si>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</si>
  <si>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</si>
  <si>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</si>
  <si>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</si>
  <si>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</si>
  <si>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</si>
  <si>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</si>
  <si>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</si>
  <si>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（令和６年５月１日時点）</t>
    <rPh sb="1" eb="3">
      <t>レイワ</t>
    </rPh>
    <rPh sb="4" eb="5">
      <t>ネン</t>
    </rPh>
    <rPh sb="6" eb="7">
      <t>ガツ</t>
    </rPh>
    <rPh sb="8" eb="9">
      <t>ニチ</t>
    </rPh>
    <rPh sb="9" eb="11">
      <t>ジテン</t>
    </rPh>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</si>
  <si>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</si>
  <si>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</si>
  <si>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</si>
  <si>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</si>
  <si>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</si>
  <si>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令和6年度</t>
    <rPh sb="0" eb="2">
      <t>レイワ</t>
    </rPh>
    <rPh sb="3" eb="5">
      <t>ネンド</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</si>
  <si>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</si>
  <si>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</si>
  <si>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</si>
  <si>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</si>
  <si>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4">
      <t>ガンネン</t>
    </rPh>
    <rPh sb="4" eb="5">
      <t>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</si>
  <si>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</si>
  <si>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</si>
  <si>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</si>
  <si>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</si>
  <si>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</si>
  <si>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</si>
  <si>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</si>
  <si>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</si>
  <si>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</si>
  <si>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</si>
  <si>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</si>
  <si>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</si>
  <si>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</si>
  <si>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</si>
  <si>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</si>
  <si>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</si>
  <si>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</si>
  <si>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（役職名）</t>
    <rPh sb="1" eb="4">
      <t>ヤクショクメイ</t>
    </rPh>
    <phoneticPr fontId="1"/>
  </si>
  <si>
    <t>④</t>
    <phoneticPr fontId="1"/>
  </si>
  <si>
    <t>プログラムを改善・進化させるための体制（委員会・組織等）</t>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</si>
  <si>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</si>
  <si>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</si>
  <si>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</si>
  <si>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</si>
  <si>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</si>
  <si>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</si>
  <si>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</si>
  <si>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</si>
  <si>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令和６年度実績</t>
    <rPh sb="0" eb="2">
      <t>レイワ</t>
    </rPh>
    <rPh sb="3" eb="5">
      <t>ネンド</t>
    </rPh>
    <rPh sb="5" eb="7">
      <t>ジッセキ</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</si>
  <si>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</si>
  <si>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</si>
  <si>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</si>
  <si>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令和１０年度予定</t>
    <rPh sb="0" eb="2">
      <t>レイワ</t>
    </rPh>
    <rPh sb="4" eb="6">
      <t>ネンド</t>
    </rPh>
    <rPh sb="6" eb="8">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</si>
  <si>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</si>
  <si>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</si>
  <si>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</si>
  <si>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</si>
  <si>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</si>
  <si>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</si>
  <si>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</si>
  <si>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</si>
  <si>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</si>
  <si>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</si>
  <si>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</si>
  <si>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</si>
  <si>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</si>
  <si>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</si>
  <si>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</si>
  <si>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</si>
  <si>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</si>
  <si>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</si>
  <si>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</si>
  <si>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</si>
  <si>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</si>
  <si>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</si>
  <si>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</si>
  <si>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</si>
  <si>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</si>
  <si>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</si>
  <si>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</si>
  <si>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</si>
  <si>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学部・学科によって、修了要件は相違しない</t>
  </si>
  <si>
    <t>日本国際学園大学数理・データサイエンス・ＡＩ教育プログラム</t>
    <phoneticPr fontId="1"/>
  </si>
  <si>
    <t>日本国際学園大学</t>
    <phoneticPr fontId="1"/>
  </si>
  <si>
    <t>情報基礎Ａ</t>
  </si>
  <si>
    <t>ＡＩ・データサイエンス概論</t>
  </si>
  <si>
    <t>情報基礎Ａ</t>
    <phoneticPr fontId="1"/>
  </si>
  <si>
    <t>情報と社会</t>
    <phoneticPr fontId="1"/>
  </si>
  <si>
    <t>ＡＩ・データサイエンス概論</t>
    <phoneticPr fontId="1"/>
  </si>
  <si>
    <t>○</t>
  </si>
  <si>
    <t xml:space="preserve">ＡＩ・データサイエンス概論				</t>
    <phoneticPr fontId="1"/>
  </si>
  <si>
    <t>・ビッグデータ、IoT、AI、生成AI、ロボット「ＡＩ・データサイエンス概論」（１回目）
・データ量の増加、計算機の処理性能の向上、AIの非連続的進化「ＡＩ・データサイエンス概論」（１回目）</t>
    <phoneticPr fontId="1"/>
  </si>
  <si>
    <t xml:space="preserve">・AI最新技術の活用例（深層生成モデル、強化学習、転移学習、生成AIなど）「情報基礎Ａ」（10回目）
・AI等を活用した新しいビジネスモデル(シェアリングエコノミー、商品のレコメンデーションなど)「情報と社会」（９回目）
・基盤モデル、大規模言語モデル、拡散モデル「ＡＩ・データサイエンス概論」（６回目）
</t>
    <phoneticPr fontId="1"/>
  </si>
  <si>
    <t>・調査データ、実験データ、人の行動ログデータ、機械の稼働ログデータなど「ＡＩ・データサイエンス概論」（８回目）
・1次データ、2次データ、データのメタ化「ＡＩ・データサイエンス概論」（８回目）
・構造化データ、非構造化データ（文章、画像/動画、音声/音楽など）「ＡＩ・データサイエンス概論」（８回目）
・データ作成（ビッグデータとアノテーション）「ＡＩ・データサイエンス概論」（２回目）</t>
    <phoneticPr fontId="1"/>
  </si>
  <si>
    <t>・データ・AI活用領域の広がり（生産、消費、文化活動など）「ＡＩ・データサイエンス概論」（２回目）</t>
    <phoneticPr fontId="1"/>
  </si>
  <si>
    <t>・データ解析：予測、グルーピング、パターン発見、最適化、モデル化とシミュレーション・データ同化など「ＡＩ・データサイエンス概論」（４回目）
・データ可視化：複合グラフ、2軸グラフ、多次元の可視化、関係性の可視化、地図上の可視化、挙動・軌跡の可視化、リアルタイム可視化など「ＡＩ・データサイエンス概論」（４回目）
・マルチモーダル（言語、画像、音声 など）、生成AIの活用（プロンプトエンジニアリング）「情報基礎Ａ」（10回目）</t>
    <phoneticPr fontId="1"/>
  </si>
  <si>
    <t>・データサイエンスのサイクル（課題抽出と定式化、データの取得・管理・加工、探索的データ解析、データ解析と推論、結果の共有・伝達、課題解決に向けた提案）「ＡＩ・データサイエンス概論」（５回目）
・教育、芸術、流通、製造、金融、サービス、インフラ、公共、ヘルスケア等におけるデータ・AI利活用事例紹介「情報基礎Ａ」（12回目）</t>
    <phoneticPr fontId="1"/>
  </si>
  <si>
    <t>・倫理的・法的・社会的課題（ELSI：Ethical, Legal and Social Issues）「ＡＩ・データサイエンス概論」（11回目）</t>
    <phoneticPr fontId="1"/>
  </si>
  <si>
    <t>・情報セキュリティの3要素（機密性、完全性、可用性）「情報基礎Ａ」（２回目）
・サイバーセキュリティ「ＡＩ・データサイエンス概論」（12回目）</t>
    <phoneticPr fontId="1"/>
  </si>
  <si>
    <t>・データの種類（量的変数、質的変数）「ＡＩ・データサイエンス概論」（８回目）
・データの分布(ヒストグラム)と代表値（平均値、中央値、最頻値）「ＡＩ・データサイエンス概論」（８回目）
・代表値の性質の違い（実社会では平均値＝最頻値でないことが多い）「ＡＩ・データサイエンス概論」（８回目）
・データのばらつき（分散、標準偏差、偏差値）、外れ値「ＡＩ・データサイエンス概論」（８回目）
・相関と因果（相関係数、擬似相関、交絡）「ＡＩ・データサイエンス概論」（８回目）
・観測データに含まれる誤差の扱い「ＡＩ・データサイエンス概論」（８回目）
・打ち切りや欠測を含むデータ、層別の必要なデータ「ＡＩ・データサイエンス概論」（８回目）</t>
    <phoneticPr fontId="1"/>
  </si>
  <si>
    <t>・データ表現（棒グラフ、折線グラフ、散布図、ヒートマップ、箱ひげ図）「ＡＩ・データサイエンス概論」（９回目）</t>
    <phoneticPr fontId="1"/>
  </si>
  <si>
    <t>・データの取得（機械判読可能なデータの作成・表記方法）「ＡＩ・データサイエンス概論」（10回目）
・データの集計（和、平均）「ＡＩ・データサイエンス概論」（10回目）</t>
    <phoneticPr fontId="1"/>
  </si>
  <si>
    <t>データやＡＩを利活用する基礎的な素養の修得、課題解決のための基礎能力、専門分野への応用能力</t>
    <phoneticPr fontId="1"/>
  </si>
  <si>
    <t>令和６</t>
    <rPh sb="0" eb="2">
      <t>レイワ</t>
    </rPh>
    <phoneticPr fontId="1"/>
  </si>
  <si>
    <t>　本学は、１学部１学科制であり、希望する学生は全員が受講可能な科目構成としている。
　修了要件となる科目のうち、「情報基礎Ａ」、「情報と社会」は必修科目となっており、「ＡＩ・データサイエンス概論」は選択必修科目であるが、卒業要件科目として重要な位置づけを行い、ガイダンスにおいて履修するよう啓発、指導することとしている。</t>
    <phoneticPr fontId="1"/>
  </si>
  <si>
    <t>　本学の専任教員は、授業時間外にオフィスアワーを設定しており、その時間に学生から質問を受け付けることができるようにしている。また、授業においても積極的に学生の疑問や質問に答えるようにしている。</t>
    <phoneticPr fontId="1"/>
  </si>
  <si>
    <t>高藤 清美</t>
    <phoneticPr fontId="1"/>
  </si>
  <si>
    <t>上級副学長・経営情報学部長</t>
    <phoneticPr fontId="1"/>
  </si>
  <si>
    <t>日本国際学園大学データサイエンス教育プログラム委員会</t>
    <phoneticPr fontId="1"/>
  </si>
  <si>
    <t>日本国際学園大学数理・データサイエンス・ＡＩ教育プログラム推進規程</t>
    <phoneticPr fontId="1"/>
  </si>
  <si>
    <t>山島 一浩</t>
    <phoneticPr fontId="1"/>
  </si>
  <si>
    <t>自己点検責任者（教授・国際センター長）</t>
    <phoneticPr fontId="1"/>
  </si>
  <si>
    <t>　本教育プログラムは、２年間をかけて履修し、単位を修得するよう設計されている。令和６年度終了の時点では、多くの学生が２科目４単位（「情報基礎Ａ」「情報と社会」）を修得しており、プログラムの目的は十分に満たされていると考える。
　本教育プログラムの修了要件科目での修得すべき内容、目標は次のとおりである。
　「情報基礎Ａ」では、情報に関する基本的な概念や知識、情報技術の基礎を学ぶ入門的な科目で、基本的な情報リテラシーの習得として、コンピュータの基本的な操作やインターネットの利用、情報セキュリティの基礎知識、情報モラル・情報倫理を学び、身につけてほしい知識やスキルを修得させる。
　「情報と社会」では、情報技術が社会のさまざまな側面に与える影響や、情報社会における課題について考察する科目で、情報社会の構造と特性の理解、情報技術が社会の各分野に与える影響の分析、情報社会における倫理的・法的課題の考察を求める。これにより、情報リテラシーや批判的思考力の向上にもつながることが期待される。
　「ＡＩ・データサイエンス概論」は、ＡＩとデータサイエンスの基本的な概念、技術、応用について学ぶ入門的な科目で、ＡＩとデータサイエンスの基本的な概念の理解、主要な技術の概要の理解、倫理的・社会的な課題の認識、ＡＩとデータサイエンスに対する興味関心を喚起する。</t>
    <phoneticPr fontId="1"/>
  </si>
  <si>
    <t>　本教育プログラムに関する学生アンケートは実施していないため、本教育プログラムとしての学生の内容の理解度については十分評価しえないが、毎学期実施している「授業アンケート」により確認を行った結果、概ね90%の学生から、「この授業で必要な／ためになる／新しい知識・技術を得られた」との回答があった。この結果より、大半の学生は十分に内容を理解していると考えられる。
　「情報基礎A」においては、「分かりやすく説明、解説してくれた」「先生の説明はていねいにはっきりしている」「授業のスピードがよかった」「自分でワードなどを使って実践することで、素早くスキルを身につけられた」「資料がわかりやすい」「映像など生徒が分かりやすく説明されていた」「パソコンの実技の授業などで、一人一人が分かるように丁寧に説明してくれた」「パソコンの使い方の基礎からソフトの応用的な活用方法まで人に合わせてどんどん上のレベルに行けた」との意見がみられた。
　「情報と社会」においては、「先生の話し方が聞き取りやすくて良かった」「新しい情報に関する知識を知れた」「周りと協力して課題を進められた」「グループワークで先生自ら振り分けたり、みんなと進めてくれるところ」などの意見が見られた。
　令和７年度以降は、本教育プログラム独自の学生アンケートを実施し、学生の理解度向上につなげていきたい。</t>
    <phoneticPr fontId="1"/>
  </si>
  <si>
    <t>　本学における学生アンケート等を通じた後輩等他の学生への推奨度に関する具体的な取組について、公式ウェブサイトや公開情報からは直接的な言及は見つけられない。しかし、関連する情報からいくつかの側面を推測することができた。
　学生満足度調査の実施と活用について、本学は、学生の授業改善アンケートを年に2回実施している。アンケート結果は、学生満足度を客観的に把握し、教務委員会において共有され、授業改善に活用されている。年度末には、全学生を対象とした学生生活アンケートも実施されている。これらは、学生の大学生活全般に対する満足度や意見を把握し、大学運営や教育内容の改善に役立てることを目的としており、間接的に、在学生の満足度が高いことは後輩への推奨度に繋がる可能性がある。また、在学生の声の発信では、オープンキャンパスで、在学生が自身の学生生活について直接話す機会が設けられている。
　また、国際交流プログラムの充実を図っている。本学は、国際交流活動を積極的に展開しており、海外研修や留学プログラムを提供している。留学生と日本人学生が交流できるイベントなども開催されている。国際的な学習環境や交流機会は、学生にとって魅力的な要素となり、後輩への推奨に繋がる可能性がある。</t>
    <phoneticPr fontId="1"/>
  </si>
  <si>
    <t>　本教育プログラム修了者の卒業は、早くても令和9年度となるため、進路・活躍状況、企業などの評価を現時点で得ることは困難である。本学では、修了認定者について適切に管理する体制を整備し、卒業後の本教育プログラム修了者の就職先や企業での活躍状況を照会・評価する計画である。
　本学卒業生の進路については、多様な分野への就職が見られ、大学が公表している過去3年間の主な内定先を見ると、金融、商社、情報通信、不動産、教育、サービス、医療・介護、公務など、幅広い業種に就職している。これは、大学が複数の教育モデルを提供し、多様なキャリアパスを支援していることの表れと考えられる。地域貢献への意識が高い学生もおり、つくば市役所等の地元自治体や地域の企業への就職が見られる。
また、大学院へ進学し、より専門的な知識や研究を深める意欲を持つ学生もいる。
　本学では、キャリア支援教育にも積極的に取り組んでおり、企業が求める人材育成につないで、企業から評価されるようさらなる取り組みを進めている。また、国際性をも重視しており、グローバルな人材育成を目指し国際的な視野を持つ人材を求める企業から評価されるよう取り組みを進めている。</t>
    <phoneticPr fontId="1"/>
  </si>
  <si>
    <t>　「全学的なリテラシー教育としての導入」、「専門分野との接続による動機付け」、「体験型学習と実践的な応用の重視」、「文理融合的なアプローチ」などを重視し、本学の設定する履修モデルでの専門分野と結びつくことで、学生は自身の興味のある領域において数理・データサイエンス・ＡＩがどのように役立つのかを具体的に理解し、主体的に学ぶ「楽しさ」を見出す可能性がある。異なる学問分野との接点を示すことで、数理・データサイエンス・ＡＩの幅広い可能性の理解を促し、「学ぶことの意義」を深めるとともに、新たな知的好奇心を刺激し、「学ぶ楽しさ」につなげていく計画である。
　また、一部の科目では、外部講師招聘の制度を活用し、ＡＩ分野の専門家等による講義を取り入れることにより、多角的な視点から数理・データサイエンス・ＡＩがどのように社会において活用されているか、理解を促していく。</t>
    <phoneticPr fontId="1"/>
  </si>
  <si>
    <t>　本学では、内容・水準を維持・向上させつつ、より「分かりやすい」授業を実現するための取組や仕組みについて、社会の変化や生成AI等の技術発展を踏まえた教育内容の見直しをおこなっている。
　「分かりやすい」授業に向けた取り組みとして、一方向的な講義だけでなく、グループワーク、ディスカッション、プレゼンテーション、ケーススタディ、反転授業など、学生が主体的に参加する形式の授業を積極的に導入している。これにより、理解度を高め、記憶への定着を促す。学生が自ら考え、発言し、議論する過程で疑問点が明確になり、教員や他の学生からのフィードバックを通じて理解を深めている。さらに、アクティブラーニングの推進のため、スチューデント・アシスタントを一部の科目において活用し、学生の学修状況を適切に把握しながら授業を進めている。
　また、視覚的な教材の活用として、図、グラフ、イラスト、動画、アニメーションなど、多様な視覚的な教材を効果的に活用し、抽象的な概念や複雑な情報を分かりやすく提示するよう、各教員が工夫している。さらに、多様な表現方法と具体例の提示については、同じ内容でも複数の表現方法で説明したり、具体的な事例を豊富に提示したりすることで、様々な学習スタイルを持つ学生に対応し、理解を深めている。抽象的な説明だけでなく、具体的な例を挙げることで、学習内容が現実社会とどのように結びついているのかを理解できるよう工夫している。</t>
    <phoneticPr fontId="1"/>
  </si>
  <si>
    <t>　日本国際学園大学（以下「本学」という。）にデータやAIを利活用する基礎的な素養の修得、課題解決のための基礎能力、専門分野への応用能力を身に付けるための数理・データサイエンス・ＡＩ教育プログラム（以下「教育プログラム」という。）を設置し、数理・データサイエンス・ＡＩの基礎的素養及び応用能力を持つ人材を育成することを目的とする。</t>
    <phoneticPr fontId="1"/>
  </si>
  <si>
    <t>委員長　　上級副学長・経営情報学部長・つくばキャンパス長　高藤 清美
委　員（自己点検責任者）　　国際センター長　教授　山島 一浩
委　員　　ＩＣＴ企画室長　准教授　パンタ ボーラ
委　員　　仙台キャンパス長　教授　倉橋 節也
委　員　　教務委員長　講師　野田 美波子
委　員　　助教　キャンパスアドバイザー　丸山 雅貴
委　員　　講師　キャンパスアドバイザー　笹島 司</t>
    <rPh sb="172" eb="174">
      <t>コウシ</t>
    </rPh>
    <phoneticPr fontId="1"/>
  </si>
  <si>
    <t>　オリエンテーションでの履修の推奨や関連科目での周知を行い、本教育プログラムの履修者数および履修率の向上を目指している。履修者数向上に向けた計画として、魅力的なカリキュラムを提供し、学生の興味関心や将来のキャリア目標に合致した多様な科目を用意することで、履修意欲を高める。また、アクティブラーニングを導入し、学生が主体的に学ぶ参加型の授業を増やすことで、学習効果を高め、履修のモチベーションを維持する。
　さらに、きめ細やかな指導を通じて、学生一人ひとりの学習状況を把握し、履修をサポートすると共に、全学教育・キャリア教育センターが実施するキャリア支援と連携し、早期からのキャリア教育やインターンシップを通じて、本教育プログラム履修の目的意識を高める。
　履修率向上に向けては、キャンパスアドバイザーによるきめ細かい履修指導を実施し、新入生のみではなく、在学生に対しても、適切な履修計画の立て方や科目の選択方法等を丁寧に指導し、授業外での学習相談や補習を実施して学生の理解度を高め、授業への参加を促している。さらに時間や場所にとらわれない学習機会を提供し、学生の学習継続を支援している。また、出席状況や成績が低迷している学生に対しては早期に相談や指導を行い、履修放棄を防ぐように取り組んでいる。
　また、社会においてＡＩやデータの重要性が増していることに鑑み、今後、必修化に向けた検討を進める。大学の魅力を積極的に発信し、入学希望者数を増やすことで、結果的に履修者数を増加させることを目指す。</t>
    <phoneticPr fontId="1"/>
  </si>
  <si>
    <t>　「情報基礎Ａ （２単位）」、「情報と社会 （２単位）」、「ＡＩ・データサイエンス概論 （２単位）」の３科目６単位を修得すること。</t>
    <rPh sb="10" eb="12">
      <t>タンイ</t>
    </rPh>
    <rPh sb="52" eb="54">
      <t>カモク</t>
    </rPh>
    <rPh sb="58" eb="60">
      <t>シュウトク</t>
    </rPh>
    <phoneticPr fontId="1"/>
  </si>
  <si>
    <t>　本教育プログラムの目的達成のため、既に開講している授業科目を中心として、本学データサイエンス教育プログラム委員会で検討を重ね、本学在籍学生を含めて広く数理・データサイエンス・ＡＩを理解し、知識を重ねられるようプログラム開発を実施している。
　令和６年度には、１年次必修科目として「情報と社会」、「情報基礎Ａ」を開講し、全学生に履修させ、本教育プログラムにおいて２年次以降に選択必修科目として「ＡＩ・データサイエンス概論」を積極的に履修するよう推奨した。
　令和７年度には、本学が設定する９履修モデルにおいてカリキュラムツリーで核となる科目の１つに位置づけ、特に履修するよう指導していくこととしている。
　令和８年度以降は、本学入学者の全てが本教育プログラムを履修し、可能な限り多くの学生が修了できるよう、学内でのプログラムの認知度を向上させるようガイダンス等を通じ啓発することとしている。</t>
    <rPh sb="2" eb="4">
      <t>キョウイク</t>
    </rPh>
    <phoneticPr fontId="1"/>
  </si>
  <si>
    <t>　年度当初に各学年で実施しているオリエンテーション期間中に実施するガイダンス等で、本プログラムを周知するとともに、学生全員に本教育プログラムの目的や意義を理解できるよう啓発チラシを配布することで、プログラム履修の意義を説明する。
　また、「キャンパス・アドバイザー制度」を活用した個別の履修相談や情報系教員による本教育プログラムの周知のみでなく、全教員による本教育プログラム対象科目の履修を勧めてもらえるように教員へ周知し、協力を依頼する。
　また、シラバスにも本教育プログラムへの参加を勧めるよう記載し、本教育プログラムの対象科目への履修登録を勧める。</t>
    <rPh sb="63" eb="65">
      <t>キョウイク</t>
    </rPh>
    <rPh sb="140" eb="142">
      <t>コベツ</t>
    </rPh>
    <rPh sb="156" eb="157">
      <t>ホン</t>
    </rPh>
    <rPh sb="157" eb="159">
      <t>キョウイク</t>
    </rPh>
    <rPh sb="165" eb="167">
      <t>シュウチ</t>
    </rPh>
    <rPh sb="180" eb="182">
      <t>キョウイク</t>
    </rPh>
    <rPh sb="232" eb="234">
      <t>キョウイク</t>
    </rPh>
    <rPh sb="244" eb="245">
      <t>スス</t>
    </rPh>
    <rPh sb="254" eb="256">
      <t>キョウイク</t>
    </rPh>
    <rPh sb="273" eb="274">
      <t>スス</t>
    </rPh>
    <phoneticPr fontId="1"/>
  </si>
  <si>
    <t>　本学では、クラスの担任を兼ねるキャンパスアドバイザーが、個々の学生についての履修相談や学生生活についての相談に応じ、きめ細かく個別指導を実施している。この個別指導において、数理・データサイエンス・ＡＩ分野に興味・関心を持った学生のみではなく全ての学生に対して積極的に履修を促す指導体制を構築している。</t>
    <rPh sb="121" eb="122">
      <t>スベ</t>
    </rPh>
    <rPh sb="124" eb="126">
      <t>ガクセイ</t>
    </rPh>
    <phoneticPr fontId="1"/>
  </si>
  <si>
    <t>　本プログラムは、令和６年度に開設され、同年度に開講された本教育プログラムの修了要件科目２科目４単位（「情報基礎Ａ」「情報と社会」）については、令和６年度入学生のうち121名が履修し、「情報基礎Ａ」で108人、「情報と社会」で109人が単位修得済み（単位修得率90%）であり、令和７年度中に残り１科目２単位（「ＡＩ・データサイエンス概論」）を修得し、本プログラムの修了要件を満たすことが見込まれている。
　令和６年度においては、対象学生へ本教育プログラムを開設した趣旨が浸透しているとは言えないが、対象授業科目が必修科目であることと相まって、ほぼ対象者全てが履修しおり、単位修得率90%前後と非常に高くなっている。
令和6年度には、学内の履修登録システムを通じて、本教育プログラムについての周知を図ったが、十分周知できていなかった。次年度以降は、オリエンテーションでの本教育プログラムの紹介・ＰＲを実施し、在籍学生の履修率向上を図る。
　また、データサイエンス教育プログラム委員会で、定期的にプログラムの履修・修得状況を確認・分析する体制を整え、自己点検や改善に取り組み、学生の履修を支援していく。</t>
    <rPh sb="30" eb="32">
      <t>キョウイク</t>
    </rPh>
    <phoneticPr fontId="1"/>
  </si>
  <si>
    <t>　本学の教育プログラムは令和６年度に開設であるため、産業界からの評価を得るための修了者を輩出できていない。そのためデータサイエンス教育プログラム委員会を中心に、データサイエンスやＡＩ、情報セキュリティ等のリテラシー教育について、本教育プログラムに期待することや実務で必要な知識・スキルに関する情報の収集を継続的に実施することとしている。
　産業界が重視する要素と大学の取組として、実践的なスキル・知識の習得が挙げられるが、本学では、「実学教育」を重視し、ビジネス、情報、デザインなど、社会のニーズに合わせた教育モデルを提供し、産業界の期待に応えることができるものと考えている。これらを大学の取り組みとして、アクティブラーニングや少人数教育を通じて、学生の主体的な学びや思考力を育成する。
　本学では、社会のニーズや産業界の動向を的確に捉えたカリキュラムであるか、学生が座学だけでなく、実践的な経験を通じてスキルを習得できる機会が提供されているか、グローバル化に対応できる人材育成が行われているか、学生の主体性や問題解決能力、コミュニケーション能力といった汎用性の高い能力が育成されているか、卒業生が入社後すぐに活躍できる基礎力と応用力を持っているかなどについて検討を積極的に進め、その成果を社会に示していくことで、産業界からの評価を高めるよう取り組んでいく。
　今後、企業との連携の強化、卒業生の追跡調査、産業界からのフィードバックの収集を続け、産業界からの視点を含めた教育プログラム内容・手法等への意見を反映させていく。</t>
    <phoneticPr fontId="1"/>
  </si>
  <si>
    <t>経営情報学部・ビジネスデザイン学科</t>
    <rPh sb="0" eb="6">
      <t>ケイエイ</t>
    </rPh>
    <rPh sb="15" eb="17">
      <t>ガッカ</t>
    </rPh>
    <phoneticPr fontId="1"/>
  </si>
  <si>
    <t>データサイエンス教育プログラム委員会</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</si>
</sst>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0" xfId="0" applyFont="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top" wrapText="1" shrinkToFit="1"/>
    </xf>
    <xf numFmtId="0" fontId="2" fillId="0" borderId="0" xfId="0" applyFont="1" applyAlignment="1">
      <alignment vertical="top"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32"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18" xfId="0" applyNumberFormat="1" applyFont="1" applyBorder="1" applyAlignment="1">
      <alignment horizontal="left" vertical="center"/>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29"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topLeftCell="A46" zoomScaleNormal="100" zoomScaleSheetLayoutView="100" workbookViewId="0">
      <selection activeCell="C2" sqref="C2:J2"/>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26" width="9" style="1"/>
    <col min="27" max="27" width="9" style="1" hidden="1" customWidth="1"/>
    <col min="28" max="16384" width="9" style="1"/>
  </cols>
  <sheetData>
    <row r="1" spans="1:24" ht="18.45" customHeight="1" x14ac:dyDescent="0.2">
      <c r="T1" s="121" t="s">
        <v>0</v>
      </c>
      <c r="U1" s="121"/>
      <c r="V1" s="2" t="s">
        <v>1</v>
      </c>
    </row>
    <row r="2" spans="1:24" ht="18.75" customHeight="1" x14ac:dyDescent="0.2">
      <c r="B2" s="14" t="s">
        <v>2</v>
      </c>
      <c r="C2" s="88" t="s">
        <v>145</v>
      </c>
      <c r="D2" s="89"/>
      <c r="E2" s="89"/>
      <c r="F2" s="89"/>
      <c r="G2" s="89"/>
      <c r="H2" s="89"/>
      <c r="I2" s="89"/>
      <c r="J2" s="90"/>
      <c r="K2" s="76"/>
      <c r="L2" s="5"/>
      <c r="M2" s="5"/>
      <c r="N2" s="5"/>
      <c r="O2" s="5"/>
      <c r="P2" s="5"/>
      <c r="Q2" s="5"/>
      <c r="R2" s="5"/>
      <c r="S2" s="5"/>
      <c r="T2" s="5"/>
      <c r="U2" s="5"/>
    </row>
    <row r="3" spans="1:24" ht="18.75" customHeight="1" x14ac:dyDescent="0.2">
      <c r="B3" s="14" t="s">
        <v>3</v>
      </c>
      <c r="C3" s="244" t="s">
        <v>144</v>
      </c>
      <c r="D3" s="245"/>
      <c r="E3" s="245"/>
      <c r="F3" s="245"/>
      <c r="G3" s="245"/>
      <c r="H3" s="245"/>
      <c r="I3" s="245"/>
      <c r="J3" s="246"/>
      <c r="K3" s="76"/>
      <c r="L3" s="5"/>
      <c r="M3" s="5"/>
      <c r="N3" s="5"/>
      <c r="O3" s="5"/>
      <c r="P3" s="5"/>
      <c r="Q3" s="5"/>
      <c r="R3" s="5"/>
      <c r="S3" s="5"/>
      <c r="T3" s="5"/>
      <c r="U3" s="5"/>
    </row>
    <row r="4" spans="1:24" ht="15" customHeight="1" x14ac:dyDescent="0.2">
      <c r="L4" s="76"/>
      <c r="M4" s="67"/>
      <c r="N4" s="67"/>
      <c r="O4" s="67"/>
      <c r="P4" s="67"/>
      <c r="Q4" s="67"/>
      <c r="R4" s="67"/>
      <c r="S4" s="67"/>
      <c r="T4" s="67"/>
      <c r="U4" s="67"/>
    </row>
    <row r="5" spans="1:24" ht="18" customHeight="1" x14ac:dyDescent="0.2">
      <c r="A5" s="122" t="s">
        <v>4</v>
      </c>
      <c r="B5" s="122"/>
      <c r="C5" s="122"/>
      <c r="D5" s="122"/>
      <c r="E5" s="122"/>
      <c r="F5" s="122"/>
      <c r="G5" s="122"/>
      <c r="H5" s="122"/>
      <c r="I5" s="122"/>
      <c r="J5" s="122"/>
      <c r="K5" s="122"/>
      <c r="L5" s="122"/>
      <c r="M5" s="122"/>
      <c r="N5" s="122"/>
      <c r="O5" s="122"/>
      <c r="P5" s="122"/>
      <c r="Q5" s="122"/>
      <c r="R5" s="122"/>
      <c r="S5" s="122"/>
      <c r="T5" s="122"/>
      <c r="U5" s="122"/>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5</v>
      </c>
      <c r="B7" s="3"/>
      <c r="C7" s="3"/>
      <c r="D7" s="3"/>
      <c r="E7" s="3"/>
      <c r="F7" s="2"/>
      <c r="G7" s="2"/>
      <c r="H7" s="2"/>
      <c r="I7" s="2"/>
      <c r="J7" s="2"/>
      <c r="K7" s="2"/>
      <c r="L7" s="85" t="s">
        <v>143</v>
      </c>
      <c r="M7" s="86"/>
      <c r="N7" s="86"/>
      <c r="O7" s="86"/>
      <c r="P7" s="86"/>
      <c r="Q7" s="86"/>
      <c r="R7" s="86"/>
      <c r="S7" s="86"/>
      <c r="T7" s="86"/>
      <c r="U7" s="87"/>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6</v>
      </c>
      <c r="C9" s="3"/>
      <c r="D9" s="3"/>
      <c r="K9" s="76"/>
      <c r="L9" s="2"/>
      <c r="M9" s="2"/>
      <c r="N9" s="2"/>
      <c r="O9" s="2"/>
      <c r="P9" s="2"/>
      <c r="Q9" s="2"/>
      <c r="R9" s="2"/>
      <c r="S9" s="2"/>
      <c r="T9" s="2"/>
      <c r="U9" s="2"/>
    </row>
    <row r="10" spans="1:24" ht="6" customHeight="1" x14ac:dyDescent="0.2">
      <c r="B10" s="3"/>
      <c r="C10" s="3"/>
      <c r="D10" s="3"/>
      <c r="E10" s="3"/>
      <c r="F10" s="3"/>
      <c r="G10" s="3"/>
      <c r="H10" s="3"/>
      <c r="I10" s="3"/>
      <c r="J10" s="3"/>
      <c r="K10" s="3"/>
      <c r="L10" s="9"/>
      <c r="M10" s="3"/>
      <c r="N10" s="3"/>
      <c r="O10" s="3"/>
      <c r="P10" s="3"/>
      <c r="Q10" s="3"/>
      <c r="R10" s="3"/>
      <c r="S10" s="3"/>
      <c r="T10" s="3"/>
      <c r="U10" s="3"/>
    </row>
    <row r="11" spans="1:24" ht="18" customHeight="1" x14ac:dyDescent="0.2">
      <c r="B11" s="98"/>
      <c r="C11" s="99"/>
      <c r="D11" s="99"/>
      <c r="E11" s="99"/>
      <c r="F11" s="99"/>
      <c r="G11" s="99"/>
      <c r="H11" s="99"/>
      <c r="I11" s="99"/>
      <c r="J11" s="99"/>
      <c r="K11" s="99"/>
      <c r="L11" s="99"/>
      <c r="M11" s="99"/>
      <c r="N11" s="99"/>
      <c r="O11" s="99"/>
      <c r="P11" s="99"/>
      <c r="Q11" s="99"/>
      <c r="R11" s="99"/>
      <c r="S11" s="99"/>
      <c r="T11" s="99"/>
      <c r="U11" s="100"/>
    </row>
    <row r="12" spans="1:24" ht="18" customHeight="1" x14ac:dyDescent="0.2">
      <c r="B12" s="101"/>
      <c r="C12" s="102"/>
      <c r="D12" s="102"/>
      <c r="E12" s="102"/>
      <c r="F12" s="102"/>
      <c r="G12" s="102"/>
      <c r="H12" s="102"/>
      <c r="I12" s="102"/>
      <c r="J12" s="102"/>
      <c r="K12" s="102"/>
      <c r="L12" s="102"/>
      <c r="M12" s="102"/>
      <c r="N12" s="102"/>
      <c r="O12" s="102"/>
      <c r="P12" s="102"/>
      <c r="Q12" s="102"/>
      <c r="R12" s="102"/>
      <c r="S12" s="102"/>
      <c r="T12" s="102"/>
      <c r="U12" s="103"/>
    </row>
    <row r="13" spans="1:24" ht="6" customHeight="1" x14ac:dyDescent="0.2">
      <c r="B13" s="3"/>
      <c r="C13" s="3"/>
      <c r="D13" s="3"/>
      <c r="E13" s="3"/>
      <c r="F13" s="3"/>
      <c r="G13" s="3"/>
      <c r="H13" s="3"/>
      <c r="I13" s="3"/>
      <c r="J13" s="3"/>
      <c r="K13" s="3"/>
      <c r="L13" s="9"/>
      <c r="M13" s="3"/>
      <c r="N13" s="3"/>
      <c r="O13" s="3"/>
      <c r="P13" s="3"/>
      <c r="Q13" s="3"/>
      <c r="R13" s="3"/>
      <c r="S13" s="3"/>
      <c r="T13" s="3"/>
      <c r="U13" s="3"/>
    </row>
    <row r="14" spans="1:24" ht="18" customHeight="1" x14ac:dyDescent="0.2">
      <c r="A14" s="1" t="s">
        <v>7</v>
      </c>
      <c r="B14" s="3"/>
      <c r="C14" s="3"/>
      <c r="D14" s="3"/>
      <c r="E14" s="76"/>
      <c r="F14" s="76"/>
      <c r="G14" s="76"/>
      <c r="H14" s="76"/>
      <c r="I14" s="76"/>
      <c r="J14" s="76"/>
      <c r="K14" s="76"/>
      <c r="L14" s="68"/>
      <c r="M14" s="68"/>
      <c r="N14" s="68"/>
      <c r="O14" s="68"/>
      <c r="P14" s="68"/>
      <c r="Q14" s="68"/>
      <c r="R14" s="68"/>
      <c r="S14" s="68"/>
      <c r="T14" s="68"/>
      <c r="U14" s="68"/>
    </row>
    <row r="15" spans="1:24" ht="18" customHeight="1" x14ac:dyDescent="0.2">
      <c r="B15" s="123" t="s">
        <v>183</v>
      </c>
      <c r="C15" s="124"/>
      <c r="D15" s="124"/>
      <c r="E15" s="124"/>
      <c r="F15" s="124"/>
      <c r="G15" s="124"/>
      <c r="H15" s="124"/>
      <c r="I15" s="124"/>
      <c r="J15" s="124"/>
      <c r="K15" s="124"/>
      <c r="L15" s="124"/>
      <c r="M15" s="124"/>
      <c r="N15" s="124"/>
      <c r="O15" s="124"/>
      <c r="P15" s="124"/>
      <c r="Q15" s="124"/>
      <c r="R15" s="124"/>
      <c r="S15" s="124"/>
      <c r="T15" s="124"/>
      <c r="U15" s="125"/>
      <c r="X15" s="1" t="s">
        <v>8</v>
      </c>
    </row>
    <row r="16" spans="1:24" ht="18" customHeight="1" x14ac:dyDescent="0.2">
      <c r="B16" s="126"/>
      <c r="C16" s="127"/>
      <c r="D16" s="127"/>
      <c r="E16" s="127"/>
      <c r="F16" s="127"/>
      <c r="G16" s="127"/>
      <c r="H16" s="127"/>
      <c r="I16" s="127"/>
      <c r="J16" s="127"/>
      <c r="K16" s="127"/>
      <c r="L16" s="127"/>
      <c r="M16" s="127"/>
      <c r="N16" s="127"/>
      <c r="O16" s="127"/>
      <c r="P16" s="127"/>
      <c r="Q16" s="127"/>
      <c r="R16" s="127"/>
      <c r="S16" s="127"/>
      <c r="T16" s="127"/>
      <c r="U16" s="128"/>
      <c r="X16" s="1" t="s">
        <v>9</v>
      </c>
    </row>
    <row r="17" spans="1:24" ht="18" customHeight="1" x14ac:dyDescent="0.2">
      <c r="B17" s="126"/>
      <c r="C17" s="127"/>
      <c r="D17" s="127"/>
      <c r="E17" s="127"/>
      <c r="F17" s="127"/>
      <c r="G17" s="127"/>
      <c r="H17" s="127"/>
      <c r="I17" s="127"/>
      <c r="J17" s="127"/>
      <c r="K17" s="127"/>
      <c r="L17" s="127"/>
      <c r="M17" s="127"/>
      <c r="N17" s="127"/>
      <c r="O17" s="127"/>
      <c r="P17" s="127"/>
      <c r="Q17" s="127"/>
      <c r="R17" s="127"/>
      <c r="S17" s="127"/>
      <c r="T17" s="127"/>
      <c r="U17" s="128"/>
      <c r="X17" s="1" t="s">
        <v>10</v>
      </c>
    </row>
    <row r="18" spans="1:24" ht="18" customHeight="1" x14ac:dyDescent="0.2">
      <c r="B18" s="126"/>
      <c r="C18" s="127"/>
      <c r="D18" s="127"/>
      <c r="E18" s="127"/>
      <c r="F18" s="127"/>
      <c r="G18" s="127"/>
      <c r="H18" s="127"/>
      <c r="I18" s="127"/>
      <c r="J18" s="127"/>
      <c r="K18" s="127"/>
      <c r="L18" s="127"/>
      <c r="M18" s="127"/>
      <c r="N18" s="127"/>
      <c r="O18" s="127"/>
      <c r="P18" s="127"/>
      <c r="Q18" s="127"/>
      <c r="R18" s="127"/>
      <c r="S18" s="127"/>
      <c r="T18" s="127"/>
      <c r="U18" s="128"/>
      <c r="X18" s="1" t="s">
        <v>11</v>
      </c>
    </row>
    <row r="19" spans="1:24" ht="18" customHeight="1" x14ac:dyDescent="0.2">
      <c r="B19" s="126"/>
      <c r="C19" s="127"/>
      <c r="D19" s="127"/>
      <c r="E19" s="127"/>
      <c r="F19" s="127"/>
      <c r="G19" s="127"/>
      <c r="H19" s="127"/>
      <c r="I19" s="127"/>
      <c r="J19" s="127"/>
      <c r="K19" s="127"/>
      <c r="L19" s="127"/>
      <c r="M19" s="127"/>
      <c r="N19" s="127"/>
      <c r="O19" s="127"/>
      <c r="P19" s="127"/>
      <c r="Q19" s="127"/>
      <c r="R19" s="127"/>
      <c r="S19" s="127"/>
      <c r="T19" s="127"/>
      <c r="U19" s="128"/>
    </row>
    <row r="20" spans="1:24" ht="18" customHeight="1" x14ac:dyDescent="0.2">
      <c r="B20" s="129"/>
      <c r="C20" s="130"/>
      <c r="D20" s="130"/>
      <c r="E20" s="130"/>
      <c r="F20" s="130"/>
      <c r="G20" s="130"/>
      <c r="H20" s="130"/>
      <c r="I20" s="130"/>
      <c r="J20" s="130"/>
      <c r="K20" s="130"/>
      <c r="L20" s="130"/>
      <c r="M20" s="130"/>
      <c r="N20" s="130"/>
      <c r="O20" s="130"/>
      <c r="P20" s="130"/>
      <c r="Q20" s="130"/>
      <c r="R20" s="130"/>
      <c r="S20" s="130"/>
      <c r="T20" s="130"/>
      <c r="U20" s="131"/>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19.95" customHeight="1" x14ac:dyDescent="0.2">
      <c r="B22" s="1" t="s">
        <v>12</v>
      </c>
      <c r="E22" s="14">
        <f>3</f>
        <v>3</v>
      </c>
      <c r="F22" s="1" t="s">
        <v>13</v>
      </c>
      <c r="H22" s="14">
        <f>6</f>
        <v>6</v>
      </c>
      <c r="I22" s="3" t="s">
        <v>14</v>
      </c>
      <c r="J22" s="3"/>
      <c r="K22" s="76"/>
      <c r="M22" s="76" t="s">
        <v>15</v>
      </c>
      <c r="N22" s="82" t="s">
        <v>11</v>
      </c>
      <c r="O22" s="83"/>
      <c r="P22" s="83"/>
      <c r="Q22" s="83"/>
      <c r="R22" s="83"/>
      <c r="S22" s="83"/>
      <c r="T22" s="83"/>
      <c r="U22" s="84"/>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113" t="s">
        <v>16</v>
      </c>
      <c r="B24" s="113"/>
      <c r="C24" s="113"/>
      <c r="D24" s="113"/>
      <c r="E24" s="113"/>
      <c r="F24" s="113"/>
      <c r="G24" s="113"/>
      <c r="H24" s="113"/>
      <c r="I24" s="113"/>
      <c r="J24" s="113"/>
      <c r="K24" s="113"/>
      <c r="L24" s="113"/>
      <c r="M24" s="113"/>
      <c r="N24" s="113"/>
      <c r="O24" s="113"/>
      <c r="P24" s="113"/>
      <c r="Q24" s="113"/>
      <c r="R24" s="113"/>
      <c r="S24" s="113"/>
      <c r="T24" s="113"/>
      <c r="U24" s="113"/>
    </row>
    <row r="25" spans="1:24" ht="18" customHeight="1" x14ac:dyDescent="0.2">
      <c r="A25" s="113"/>
      <c r="B25" s="113"/>
      <c r="C25" s="113"/>
      <c r="D25" s="113"/>
      <c r="E25" s="113"/>
      <c r="F25" s="113"/>
      <c r="G25" s="113"/>
      <c r="H25" s="113"/>
      <c r="I25" s="113"/>
      <c r="J25" s="113"/>
      <c r="K25" s="113"/>
      <c r="L25" s="113"/>
      <c r="M25" s="113"/>
      <c r="N25" s="113"/>
      <c r="O25" s="113"/>
      <c r="P25" s="113"/>
      <c r="Q25" s="113"/>
      <c r="R25" s="113"/>
      <c r="S25" s="113"/>
      <c r="T25" s="113"/>
      <c r="U25" s="113"/>
    </row>
    <row r="26" spans="1:24" ht="18" customHeight="1" x14ac:dyDescent="0.2">
      <c r="B26" s="88" t="s">
        <v>17</v>
      </c>
      <c r="C26" s="89"/>
      <c r="D26" s="89"/>
      <c r="E26" s="89"/>
      <c r="F26" s="90"/>
      <c r="G26" s="53" t="s">
        <v>18</v>
      </c>
      <c r="H26" s="54" t="s">
        <v>19</v>
      </c>
      <c r="I26" s="55" t="s">
        <v>20</v>
      </c>
      <c r="J26" s="55" t="s">
        <v>21</v>
      </c>
      <c r="K26" s="88" t="s">
        <v>17</v>
      </c>
      <c r="L26" s="89"/>
      <c r="M26" s="89"/>
      <c r="N26" s="89"/>
      <c r="O26" s="89"/>
      <c r="P26" s="89"/>
      <c r="Q26" s="90"/>
      <c r="R26" s="53" t="s">
        <v>18</v>
      </c>
      <c r="S26" s="54" t="s">
        <v>19</v>
      </c>
      <c r="T26" s="55" t="s">
        <v>20</v>
      </c>
      <c r="U26" s="55" t="s">
        <v>21</v>
      </c>
    </row>
    <row r="27" spans="1:24" ht="18" customHeight="1" x14ac:dyDescent="0.2">
      <c r="B27" s="110" t="s">
        <v>148</v>
      </c>
      <c r="C27" s="111"/>
      <c r="D27" s="111"/>
      <c r="E27" s="111"/>
      <c r="F27" s="112"/>
      <c r="G27" s="56">
        <f>2</f>
        <v>2</v>
      </c>
      <c r="H27" s="56" t="s">
        <v>151</v>
      </c>
      <c r="I27" s="56"/>
      <c r="J27" s="56" t="s">
        <v>151</v>
      </c>
      <c r="K27" s="110"/>
      <c r="L27" s="111"/>
      <c r="M27" s="111"/>
      <c r="N27" s="111"/>
      <c r="O27" s="111"/>
      <c r="P27" s="111"/>
      <c r="Q27" s="112"/>
      <c r="R27" s="56"/>
      <c r="S27" s="56"/>
      <c r="T27" s="56"/>
      <c r="U27" s="56"/>
    </row>
    <row r="28" spans="1:24" ht="18" customHeight="1" x14ac:dyDescent="0.2">
      <c r="B28" s="104" t="s">
        <v>149</v>
      </c>
      <c r="C28" s="105"/>
      <c r="D28" s="105"/>
      <c r="E28" s="105"/>
      <c r="F28" s="106"/>
      <c r="G28" s="57">
        <f>2</f>
        <v>2</v>
      </c>
      <c r="H28" s="57" t="s">
        <v>151</v>
      </c>
      <c r="I28" s="57"/>
      <c r="J28" s="57" t="s">
        <v>151</v>
      </c>
      <c r="K28" s="104"/>
      <c r="L28" s="105"/>
      <c r="M28" s="105"/>
      <c r="N28" s="105"/>
      <c r="O28" s="105"/>
      <c r="P28" s="105"/>
      <c r="Q28" s="106"/>
      <c r="R28" s="57"/>
      <c r="S28" s="57"/>
      <c r="T28" s="57"/>
      <c r="U28" s="57"/>
    </row>
    <row r="29" spans="1:24" ht="18" customHeight="1" x14ac:dyDescent="0.2">
      <c r="B29" s="104" t="s">
        <v>150</v>
      </c>
      <c r="C29" s="105"/>
      <c r="D29" s="105"/>
      <c r="E29" s="105"/>
      <c r="F29" s="106"/>
      <c r="G29" s="57">
        <f>2</f>
        <v>2</v>
      </c>
      <c r="H29" s="57" t="s">
        <v>151</v>
      </c>
      <c r="I29" s="57" t="s">
        <v>151</v>
      </c>
      <c r="J29" s="57" t="s">
        <v>151</v>
      </c>
      <c r="K29" s="104"/>
      <c r="L29" s="105"/>
      <c r="M29" s="105"/>
      <c r="N29" s="105"/>
      <c r="O29" s="105"/>
      <c r="P29" s="105"/>
      <c r="Q29" s="106"/>
      <c r="R29" s="57"/>
      <c r="S29" s="57"/>
      <c r="T29" s="57"/>
      <c r="U29" s="57"/>
    </row>
    <row r="30" spans="1:24" ht="18" customHeight="1" x14ac:dyDescent="0.2">
      <c r="B30" s="104"/>
      <c r="C30" s="105"/>
      <c r="D30" s="105"/>
      <c r="E30" s="105"/>
      <c r="F30" s="106"/>
      <c r="G30" s="57"/>
      <c r="H30" s="57"/>
      <c r="I30" s="57"/>
      <c r="J30" s="57"/>
      <c r="K30" s="104"/>
      <c r="L30" s="105"/>
      <c r="M30" s="105"/>
      <c r="N30" s="105"/>
      <c r="O30" s="105"/>
      <c r="P30" s="105"/>
      <c r="Q30" s="106"/>
      <c r="R30" s="57"/>
      <c r="S30" s="57"/>
      <c r="T30" s="57"/>
      <c r="U30" s="57"/>
    </row>
    <row r="31" spans="1:24" ht="18" customHeight="1" x14ac:dyDescent="0.2">
      <c r="B31" s="104"/>
      <c r="C31" s="105"/>
      <c r="D31" s="105"/>
      <c r="E31" s="105"/>
      <c r="F31" s="106"/>
      <c r="G31" s="57"/>
      <c r="H31" s="57"/>
      <c r="I31" s="57"/>
      <c r="J31" s="57"/>
      <c r="K31" s="104"/>
      <c r="L31" s="105"/>
      <c r="M31" s="105"/>
      <c r="N31" s="105"/>
      <c r="O31" s="105"/>
      <c r="P31" s="105"/>
      <c r="Q31" s="106"/>
      <c r="R31" s="57"/>
      <c r="S31" s="57"/>
      <c r="T31" s="57"/>
      <c r="U31" s="57"/>
    </row>
    <row r="32" spans="1:24" ht="18" customHeight="1" x14ac:dyDescent="0.2">
      <c r="A32" s="3"/>
      <c r="B32" s="104"/>
      <c r="C32" s="105"/>
      <c r="D32" s="105"/>
      <c r="E32" s="105"/>
      <c r="F32" s="106"/>
      <c r="G32" s="57"/>
      <c r="H32" s="57"/>
      <c r="I32" s="57"/>
      <c r="J32" s="57"/>
      <c r="K32" s="104"/>
      <c r="L32" s="105"/>
      <c r="M32" s="105"/>
      <c r="N32" s="105"/>
      <c r="O32" s="105"/>
      <c r="P32" s="105"/>
      <c r="Q32" s="106"/>
      <c r="R32" s="57"/>
      <c r="S32" s="57"/>
      <c r="T32" s="57"/>
      <c r="U32" s="57"/>
    </row>
    <row r="33" spans="1:21" ht="18" customHeight="1" x14ac:dyDescent="0.2">
      <c r="A33" s="3"/>
      <c r="B33" s="107"/>
      <c r="C33" s="108"/>
      <c r="D33" s="108"/>
      <c r="E33" s="108"/>
      <c r="F33" s="109"/>
      <c r="G33" s="58"/>
      <c r="H33" s="58"/>
      <c r="I33" s="59"/>
      <c r="J33" s="59"/>
      <c r="K33" s="107"/>
      <c r="L33" s="108"/>
      <c r="M33" s="108"/>
      <c r="N33" s="108"/>
      <c r="O33" s="108"/>
      <c r="P33" s="108"/>
      <c r="Q33" s="109"/>
      <c r="R33" s="58"/>
      <c r="S33" s="58"/>
      <c r="T33" s="59"/>
      <c r="U33" s="59"/>
    </row>
    <row r="34" spans="1:21" ht="7.5" customHeight="1" x14ac:dyDescent="0.2">
      <c r="A34" s="3"/>
      <c r="B34" s="5"/>
      <c r="C34" s="5"/>
      <c r="D34" s="5"/>
      <c r="E34" s="3"/>
      <c r="F34" s="3"/>
      <c r="G34" s="3"/>
      <c r="H34" s="3"/>
      <c r="I34" s="5"/>
      <c r="J34" s="5"/>
      <c r="K34" s="5"/>
      <c r="L34" s="5"/>
      <c r="M34" s="5"/>
      <c r="N34" s="5"/>
      <c r="O34" s="5"/>
      <c r="P34" s="5"/>
      <c r="Q34" s="5"/>
      <c r="R34" s="5"/>
      <c r="S34" s="5"/>
      <c r="T34" s="5"/>
      <c r="U34" s="3"/>
    </row>
    <row r="35" spans="1:21" ht="18" customHeight="1" x14ac:dyDescent="0.2">
      <c r="A35" s="113" t="s">
        <v>22</v>
      </c>
      <c r="B35" s="113"/>
      <c r="C35" s="113"/>
      <c r="D35" s="113"/>
      <c r="E35" s="113"/>
      <c r="F35" s="113"/>
      <c r="G35" s="113"/>
      <c r="H35" s="113"/>
      <c r="I35" s="113"/>
      <c r="J35" s="113"/>
      <c r="K35" s="113"/>
      <c r="L35" s="113"/>
      <c r="M35" s="113"/>
      <c r="N35" s="113"/>
      <c r="O35" s="113"/>
      <c r="P35" s="113"/>
      <c r="Q35" s="113"/>
      <c r="R35" s="113"/>
      <c r="S35" s="113"/>
      <c r="T35" s="113"/>
      <c r="U35" s="113"/>
    </row>
    <row r="36" spans="1:21" ht="18" customHeight="1" x14ac:dyDescent="0.2">
      <c r="A36" s="113"/>
      <c r="B36" s="113"/>
      <c r="C36" s="113"/>
      <c r="D36" s="113"/>
      <c r="E36" s="113"/>
      <c r="F36" s="113"/>
      <c r="G36" s="113"/>
      <c r="H36" s="113"/>
      <c r="I36" s="113"/>
      <c r="J36" s="113"/>
      <c r="K36" s="113"/>
      <c r="L36" s="113"/>
      <c r="M36" s="113"/>
      <c r="N36" s="113"/>
      <c r="O36" s="113"/>
      <c r="P36" s="113"/>
      <c r="Q36" s="113"/>
      <c r="R36" s="113"/>
      <c r="S36" s="113"/>
      <c r="T36" s="113"/>
      <c r="U36" s="113"/>
    </row>
    <row r="37" spans="1:21" ht="18" customHeight="1" x14ac:dyDescent="0.2">
      <c r="B37" s="88" t="s">
        <v>17</v>
      </c>
      <c r="C37" s="89"/>
      <c r="D37" s="89"/>
      <c r="E37" s="89"/>
      <c r="F37" s="90"/>
      <c r="G37" s="53" t="s">
        <v>18</v>
      </c>
      <c r="H37" s="54" t="s">
        <v>19</v>
      </c>
      <c r="I37" s="55" t="s">
        <v>23</v>
      </c>
      <c r="J37" s="55" t="s">
        <v>24</v>
      </c>
      <c r="K37" s="88" t="s">
        <v>17</v>
      </c>
      <c r="L37" s="89"/>
      <c r="M37" s="89"/>
      <c r="N37" s="89"/>
      <c r="O37" s="89"/>
      <c r="P37" s="89"/>
      <c r="Q37" s="90"/>
      <c r="R37" s="53" t="s">
        <v>18</v>
      </c>
      <c r="S37" s="54" t="s">
        <v>19</v>
      </c>
      <c r="T37" s="55" t="s">
        <v>23</v>
      </c>
      <c r="U37" s="55" t="s">
        <v>24</v>
      </c>
    </row>
    <row r="38" spans="1:21" ht="18" customHeight="1" x14ac:dyDescent="0.2">
      <c r="B38" s="110" t="s">
        <v>152</v>
      </c>
      <c r="C38" s="111"/>
      <c r="D38" s="111"/>
      <c r="E38" s="111"/>
      <c r="F38" s="112"/>
      <c r="G38" s="56">
        <v>2</v>
      </c>
      <c r="H38" s="56" t="s">
        <v>151</v>
      </c>
      <c r="I38" s="56" t="s">
        <v>151</v>
      </c>
      <c r="J38" s="56" t="s">
        <v>151</v>
      </c>
      <c r="K38" s="110"/>
      <c r="L38" s="111"/>
      <c r="M38" s="111"/>
      <c r="N38" s="111"/>
      <c r="O38" s="111"/>
      <c r="P38" s="111"/>
      <c r="Q38" s="112"/>
      <c r="R38" s="56"/>
      <c r="S38" s="56"/>
      <c r="T38" s="56"/>
      <c r="U38" s="56"/>
    </row>
    <row r="39" spans="1:21" ht="18" customHeight="1" x14ac:dyDescent="0.2">
      <c r="B39" s="104"/>
      <c r="C39" s="105"/>
      <c r="D39" s="105"/>
      <c r="E39" s="105"/>
      <c r="F39" s="106"/>
      <c r="G39" s="57"/>
      <c r="H39" s="57"/>
      <c r="I39" s="57"/>
      <c r="J39" s="57"/>
      <c r="K39" s="104"/>
      <c r="L39" s="105"/>
      <c r="M39" s="105"/>
      <c r="N39" s="105"/>
      <c r="O39" s="105"/>
      <c r="P39" s="105"/>
      <c r="Q39" s="106"/>
      <c r="R39" s="57"/>
      <c r="S39" s="57"/>
      <c r="T39" s="57"/>
      <c r="U39" s="57"/>
    </row>
    <row r="40" spans="1:21" ht="18" customHeight="1" x14ac:dyDescent="0.2">
      <c r="B40" s="104"/>
      <c r="C40" s="105"/>
      <c r="D40" s="105"/>
      <c r="E40" s="105"/>
      <c r="F40" s="106"/>
      <c r="G40" s="57"/>
      <c r="H40" s="57"/>
      <c r="I40" s="57"/>
      <c r="J40" s="57"/>
      <c r="K40" s="104"/>
      <c r="L40" s="105"/>
      <c r="M40" s="105"/>
      <c r="N40" s="105"/>
      <c r="O40" s="105"/>
      <c r="P40" s="105"/>
      <c r="Q40" s="106"/>
      <c r="R40" s="57"/>
      <c r="S40" s="57"/>
      <c r="T40" s="57"/>
      <c r="U40" s="57"/>
    </row>
    <row r="41" spans="1:21" ht="18" customHeight="1" x14ac:dyDescent="0.2">
      <c r="B41" s="104"/>
      <c r="C41" s="105"/>
      <c r="D41" s="105"/>
      <c r="E41" s="105"/>
      <c r="F41" s="106"/>
      <c r="G41" s="57"/>
      <c r="H41" s="57"/>
      <c r="I41" s="57"/>
      <c r="J41" s="57"/>
      <c r="K41" s="104"/>
      <c r="L41" s="105"/>
      <c r="M41" s="105"/>
      <c r="N41" s="105"/>
      <c r="O41" s="105"/>
      <c r="P41" s="105"/>
      <c r="Q41" s="106"/>
      <c r="R41" s="57"/>
      <c r="S41" s="57"/>
      <c r="T41" s="57"/>
      <c r="U41" s="57"/>
    </row>
    <row r="42" spans="1:21" ht="18" customHeight="1" x14ac:dyDescent="0.2">
      <c r="B42" s="104"/>
      <c r="C42" s="105"/>
      <c r="D42" s="105"/>
      <c r="E42" s="105"/>
      <c r="F42" s="106"/>
      <c r="G42" s="57"/>
      <c r="H42" s="57"/>
      <c r="I42" s="57"/>
      <c r="J42" s="57"/>
      <c r="K42" s="104"/>
      <c r="L42" s="105"/>
      <c r="M42" s="105"/>
      <c r="N42" s="105"/>
      <c r="O42" s="105"/>
      <c r="P42" s="105"/>
      <c r="Q42" s="106"/>
      <c r="R42" s="57"/>
      <c r="S42" s="57"/>
      <c r="T42" s="57"/>
      <c r="U42" s="57"/>
    </row>
    <row r="43" spans="1:21" ht="18" customHeight="1" x14ac:dyDescent="0.2">
      <c r="B43" s="104"/>
      <c r="C43" s="105"/>
      <c r="D43" s="105"/>
      <c r="E43" s="105"/>
      <c r="F43" s="106"/>
      <c r="G43" s="57"/>
      <c r="H43" s="57"/>
      <c r="I43" s="57"/>
      <c r="J43" s="57"/>
      <c r="K43" s="104"/>
      <c r="L43" s="105"/>
      <c r="M43" s="105"/>
      <c r="N43" s="105"/>
      <c r="O43" s="105"/>
      <c r="P43" s="105"/>
      <c r="Q43" s="106"/>
      <c r="R43" s="57"/>
      <c r="S43" s="57"/>
      <c r="T43" s="57"/>
      <c r="U43" s="57"/>
    </row>
    <row r="44" spans="1:21" ht="18" customHeight="1" x14ac:dyDescent="0.2">
      <c r="B44" s="107"/>
      <c r="C44" s="108"/>
      <c r="D44" s="108"/>
      <c r="E44" s="108"/>
      <c r="F44" s="109"/>
      <c r="G44" s="58"/>
      <c r="H44" s="58"/>
      <c r="I44" s="59"/>
      <c r="J44" s="59"/>
      <c r="K44" s="107"/>
      <c r="L44" s="108"/>
      <c r="M44" s="108"/>
      <c r="N44" s="108"/>
      <c r="O44" s="108"/>
      <c r="P44" s="108"/>
      <c r="Q44" s="109"/>
      <c r="R44" s="58"/>
      <c r="S44" s="58"/>
      <c r="T44" s="59"/>
      <c r="U44" s="59"/>
    </row>
    <row r="45" spans="1:21" ht="7.5" customHeight="1" x14ac:dyDescent="0.2">
      <c r="A45" s="3"/>
      <c r="B45" s="5"/>
      <c r="C45" s="5"/>
      <c r="D45" s="5"/>
      <c r="E45" s="3"/>
      <c r="F45" s="3"/>
      <c r="G45" s="3"/>
      <c r="H45" s="3"/>
      <c r="I45" s="5"/>
      <c r="J45" s="5"/>
      <c r="K45" s="5"/>
      <c r="L45" s="5"/>
      <c r="M45" s="5"/>
      <c r="N45" s="5"/>
      <c r="O45" s="5"/>
      <c r="P45" s="5"/>
      <c r="Q45" s="5"/>
      <c r="R45" s="5"/>
      <c r="S45" s="5"/>
      <c r="T45" s="5"/>
      <c r="U45" s="3"/>
    </row>
    <row r="46" spans="1:21" ht="18" customHeight="1" x14ac:dyDescent="0.2">
      <c r="A46" s="113" t="s">
        <v>25</v>
      </c>
      <c r="B46" s="113"/>
      <c r="C46" s="113"/>
      <c r="D46" s="113"/>
      <c r="E46" s="113"/>
      <c r="F46" s="113"/>
      <c r="G46" s="113"/>
      <c r="H46" s="113"/>
      <c r="I46" s="113"/>
      <c r="J46" s="113"/>
      <c r="K46" s="113"/>
      <c r="L46" s="113"/>
      <c r="M46" s="113"/>
      <c r="N46" s="113"/>
      <c r="O46" s="113"/>
      <c r="P46" s="113"/>
      <c r="Q46" s="113"/>
      <c r="R46" s="113"/>
      <c r="S46" s="113"/>
      <c r="T46" s="113"/>
      <c r="U46" s="113"/>
    </row>
    <row r="47" spans="1:21" ht="18" customHeight="1" x14ac:dyDescent="0.2">
      <c r="A47" s="113"/>
      <c r="B47" s="113"/>
      <c r="C47" s="113"/>
      <c r="D47" s="113"/>
      <c r="E47" s="113"/>
      <c r="F47" s="113"/>
      <c r="G47" s="113"/>
      <c r="H47" s="113"/>
      <c r="I47" s="113"/>
      <c r="J47" s="113"/>
      <c r="K47" s="113"/>
      <c r="L47" s="113"/>
      <c r="M47" s="113"/>
      <c r="N47" s="113"/>
      <c r="O47" s="113"/>
      <c r="P47" s="113"/>
      <c r="Q47" s="113"/>
      <c r="R47" s="113"/>
      <c r="S47" s="113"/>
      <c r="T47" s="113"/>
      <c r="U47" s="113"/>
    </row>
    <row r="48" spans="1:21" ht="18" customHeight="1" x14ac:dyDescent="0.2">
      <c r="B48" s="88" t="s">
        <v>17</v>
      </c>
      <c r="C48" s="89"/>
      <c r="D48" s="89"/>
      <c r="E48" s="89"/>
      <c r="F48" s="90"/>
      <c r="G48" s="53" t="s">
        <v>18</v>
      </c>
      <c r="H48" s="54" t="s">
        <v>19</v>
      </c>
      <c r="I48" s="55" t="s">
        <v>26</v>
      </c>
      <c r="J48" s="55" t="s">
        <v>27</v>
      </c>
      <c r="K48" s="88" t="s">
        <v>17</v>
      </c>
      <c r="L48" s="89"/>
      <c r="M48" s="89"/>
      <c r="N48" s="89"/>
      <c r="O48" s="89"/>
      <c r="P48" s="89"/>
      <c r="Q48" s="90"/>
      <c r="R48" s="53" t="s">
        <v>18</v>
      </c>
      <c r="S48" s="54" t="s">
        <v>19</v>
      </c>
      <c r="T48" s="55" t="s">
        <v>26</v>
      </c>
      <c r="U48" s="55" t="s">
        <v>27</v>
      </c>
    </row>
    <row r="49" spans="1:21" ht="18" customHeight="1" x14ac:dyDescent="0.2">
      <c r="A49" s="3"/>
      <c r="B49" s="110" t="s">
        <v>146</v>
      </c>
      <c r="C49" s="111"/>
      <c r="D49" s="111"/>
      <c r="E49" s="111"/>
      <c r="F49" s="112"/>
      <c r="G49" s="56">
        <v>2</v>
      </c>
      <c r="H49" s="56" t="s">
        <v>151</v>
      </c>
      <c r="I49" s="56" t="s">
        <v>151</v>
      </c>
      <c r="J49" s="56" t="s">
        <v>151</v>
      </c>
      <c r="K49" s="110"/>
      <c r="L49" s="111"/>
      <c r="M49" s="111"/>
      <c r="N49" s="111"/>
      <c r="O49" s="111"/>
      <c r="P49" s="111"/>
      <c r="Q49" s="112"/>
      <c r="R49" s="56"/>
      <c r="S49" s="56"/>
      <c r="T49" s="56"/>
      <c r="U49" s="56"/>
    </row>
    <row r="50" spans="1:21" ht="18" customHeight="1" x14ac:dyDescent="0.2">
      <c r="A50" s="3"/>
      <c r="B50" s="104" t="s">
        <v>147</v>
      </c>
      <c r="C50" s="105"/>
      <c r="D50" s="105"/>
      <c r="E50" s="105"/>
      <c r="F50" s="106"/>
      <c r="G50" s="57">
        <v>2</v>
      </c>
      <c r="H50" s="57" t="s">
        <v>151</v>
      </c>
      <c r="I50" s="57" t="s">
        <v>151</v>
      </c>
      <c r="J50" s="57" t="s">
        <v>151</v>
      </c>
      <c r="K50" s="104"/>
      <c r="L50" s="105"/>
      <c r="M50" s="105"/>
      <c r="N50" s="105"/>
      <c r="O50" s="105"/>
      <c r="P50" s="105"/>
      <c r="Q50" s="106"/>
      <c r="R50" s="57"/>
      <c r="S50" s="57"/>
      <c r="T50" s="57"/>
      <c r="U50" s="57"/>
    </row>
    <row r="51" spans="1:21" ht="18" customHeight="1" x14ac:dyDescent="0.2">
      <c r="A51" s="3"/>
      <c r="B51" s="104"/>
      <c r="C51" s="105"/>
      <c r="D51" s="105"/>
      <c r="E51" s="105"/>
      <c r="F51" s="106"/>
      <c r="G51" s="57"/>
      <c r="H51" s="57"/>
      <c r="I51" s="57"/>
      <c r="J51" s="57"/>
      <c r="K51" s="104"/>
      <c r="L51" s="105"/>
      <c r="M51" s="105"/>
      <c r="N51" s="105"/>
      <c r="O51" s="105"/>
      <c r="P51" s="105"/>
      <c r="Q51" s="106"/>
      <c r="R51" s="57"/>
      <c r="S51" s="57"/>
      <c r="T51" s="57"/>
      <c r="U51" s="57"/>
    </row>
    <row r="52" spans="1:21" ht="18" customHeight="1" x14ac:dyDescent="0.2">
      <c r="A52" s="3"/>
      <c r="B52" s="104"/>
      <c r="C52" s="105"/>
      <c r="D52" s="105"/>
      <c r="E52" s="105"/>
      <c r="F52" s="106"/>
      <c r="G52" s="57"/>
      <c r="H52" s="57"/>
      <c r="I52" s="57"/>
      <c r="J52" s="57"/>
      <c r="K52" s="104"/>
      <c r="L52" s="105"/>
      <c r="M52" s="105"/>
      <c r="N52" s="105"/>
      <c r="O52" s="105"/>
      <c r="P52" s="105"/>
      <c r="Q52" s="106"/>
      <c r="R52" s="57"/>
      <c r="S52" s="57"/>
      <c r="T52" s="57"/>
      <c r="U52" s="57"/>
    </row>
    <row r="53" spans="1:21" ht="18" customHeight="1" x14ac:dyDescent="0.2">
      <c r="A53" s="3"/>
      <c r="B53" s="104"/>
      <c r="C53" s="105"/>
      <c r="D53" s="105"/>
      <c r="E53" s="105"/>
      <c r="F53" s="106"/>
      <c r="G53" s="57"/>
      <c r="H53" s="57"/>
      <c r="I53" s="57"/>
      <c r="J53" s="57"/>
      <c r="K53" s="104"/>
      <c r="L53" s="105"/>
      <c r="M53" s="105"/>
      <c r="N53" s="105"/>
      <c r="O53" s="105"/>
      <c r="P53" s="105"/>
      <c r="Q53" s="106"/>
      <c r="R53" s="57"/>
      <c r="S53" s="57"/>
      <c r="T53" s="57"/>
      <c r="U53" s="57"/>
    </row>
    <row r="54" spans="1:21" ht="18" customHeight="1" x14ac:dyDescent="0.2">
      <c r="A54" s="3"/>
      <c r="B54" s="104"/>
      <c r="C54" s="105"/>
      <c r="D54" s="105"/>
      <c r="E54" s="105"/>
      <c r="F54" s="106"/>
      <c r="G54" s="57"/>
      <c r="H54" s="57"/>
      <c r="I54" s="57"/>
      <c r="J54" s="57"/>
      <c r="K54" s="104"/>
      <c r="L54" s="105"/>
      <c r="M54" s="105"/>
      <c r="N54" s="105"/>
      <c r="O54" s="105"/>
      <c r="P54" s="105"/>
      <c r="Q54" s="106"/>
      <c r="R54" s="57"/>
      <c r="S54" s="57"/>
      <c r="T54" s="57"/>
      <c r="U54" s="57"/>
    </row>
    <row r="55" spans="1:21" ht="18" customHeight="1" x14ac:dyDescent="0.2">
      <c r="A55" s="3"/>
      <c r="B55" s="107"/>
      <c r="C55" s="108"/>
      <c r="D55" s="108"/>
      <c r="E55" s="108"/>
      <c r="F55" s="109"/>
      <c r="G55" s="58"/>
      <c r="H55" s="58"/>
      <c r="I55" s="59"/>
      <c r="J55" s="59"/>
      <c r="K55" s="107"/>
      <c r="L55" s="108"/>
      <c r="M55" s="108"/>
      <c r="N55" s="108"/>
      <c r="O55" s="108"/>
      <c r="P55" s="108"/>
      <c r="Q55" s="109"/>
      <c r="R55" s="58"/>
      <c r="S55" s="58"/>
      <c r="T55" s="59"/>
      <c r="U55" s="59"/>
    </row>
    <row r="56" spans="1:21" ht="7.5" customHeight="1" x14ac:dyDescent="0.2">
      <c r="B56" s="79"/>
      <c r="C56" s="79"/>
      <c r="D56" s="79"/>
      <c r="E56" s="79"/>
      <c r="F56" s="79"/>
      <c r="G56" s="79"/>
      <c r="H56" s="79"/>
      <c r="I56" s="79"/>
      <c r="J56" s="79"/>
      <c r="K56" s="79"/>
      <c r="L56" s="79"/>
      <c r="M56" s="79"/>
      <c r="N56" s="79"/>
      <c r="O56" s="79"/>
      <c r="P56" s="79"/>
      <c r="Q56" s="79"/>
      <c r="R56" s="79"/>
      <c r="S56" s="79"/>
      <c r="T56" s="79"/>
    </row>
    <row r="57" spans="1:21" ht="18" customHeight="1" x14ac:dyDescent="0.2">
      <c r="A57" s="113" t="s">
        <v>28</v>
      </c>
      <c r="B57" s="113"/>
      <c r="C57" s="113"/>
      <c r="D57" s="113"/>
      <c r="E57" s="113"/>
      <c r="F57" s="113"/>
      <c r="G57" s="113"/>
      <c r="H57" s="113"/>
      <c r="I57" s="113"/>
      <c r="J57" s="113"/>
      <c r="K57" s="113"/>
      <c r="L57" s="113"/>
      <c r="M57" s="113"/>
      <c r="N57" s="113"/>
      <c r="O57" s="113"/>
      <c r="P57" s="113"/>
      <c r="Q57" s="113"/>
      <c r="R57" s="113"/>
      <c r="S57" s="113"/>
      <c r="T57" s="113"/>
      <c r="U57" s="113"/>
    </row>
    <row r="58" spans="1:21" ht="18" customHeight="1" x14ac:dyDescent="0.2">
      <c r="A58" s="113"/>
      <c r="B58" s="113"/>
      <c r="C58" s="113"/>
      <c r="D58" s="113"/>
      <c r="E58" s="113"/>
      <c r="F58" s="113"/>
      <c r="G58" s="113"/>
      <c r="H58" s="113"/>
      <c r="I58" s="113"/>
      <c r="J58" s="113"/>
      <c r="K58" s="113"/>
      <c r="L58" s="113"/>
      <c r="M58" s="113"/>
      <c r="N58" s="113"/>
      <c r="O58" s="113"/>
      <c r="P58" s="113"/>
      <c r="Q58" s="113"/>
      <c r="R58" s="113"/>
      <c r="S58" s="113"/>
      <c r="T58" s="113"/>
      <c r="U58" s="113"/>
    </row>
    <row r="59" spans="1:21" ht="18" customHeight="1" x14ac:dyDescent="0.2">
      <c r="B59" s="88" t="s">
        <v>17</v>
      </c>
      <c r="C59" s="89"/>
      <c r="D59" s="89"/>
      <c r="E59" s="89"/>
      <c r="F59" s="90"/>
      <c r="G59" s="53" t="s">
        <v>18</v>
      </c>
      <c r="H59" s="54" t="s">
        <v>19</v>
      </c>
      <c r="I59" s="55" t="s">
        <v>29</v>
      </c>
      <c r="J59" s="55" t="s">
        <v>30</v>
      </c>
      <c r="K59" s="88" t="s">
        <v>17</v>
      </c>
      <c r="L59" s="89"/>
      <c r="M59" s="89"/>
      <c r="N59" s="89"/>
      <c r="O59" s="89"/>
      <c r="P59" s="89"/>
      <c r="Q59" s="90"/>
      <c r="R59" s="53" t="s">
        <v>18</v>
      </c>
      <c r="S59" s="54" t="s">
        <v>19</v>
      </c>
      <c r="T59" s="55" t="s">
        <v>29</v>
      </c>
      <c r="U59" s="55" t="s">
        <v>30</v>
      </c>
    </row>
    <row r="60" spans="1:21" ht="18" customHeight="1" x14ac:dyDescent="0.2">
      <c r="A60" s="3"/>
      <c r="B60" s="110" t="s">
        <v>146</v>
      </c>
      <c r="C60" s="111"/>
      <c r="D60" s="111"/>
      <c r="E60" s="111"/>
      <c r="F60" s="112"/>
      <c r="G60" s="56">
        <v>2</v>
      </c>
      <c r="H60" s="56" t="s">
        <v>151</v>
      </c>
      <c r="I60" s="56"/>
      <c r="J60" s="56" t="s">
        <v>151</v>
      </c>
      <c r="K60" s="110"/>
      <c r="L60" s="111"/>
      <c r="M60" s="111"/>
      <c r="N60" s="111"/>
      <c r="O60" s="111"/>
      <c r="P60" s="111"/>
      <c r="Q60" s="112"/>
      <c r="R60" s="56"/>
      <c r="S60" s="56"/>
      <c r="T60" s="56"/>
      <c r="U60" s="56"/>
    </row>
    <row r="61" spans="1:21" ht="18" customHeight="1" x14ac:dyDescent="0.2">
      <c r="A61" s="3"/>
      <c r="B61" s="104" t="s">
        <v>147</v>
      </c>
      <c r="C61" s="105"/>
      <c r="D61" s="105"/>
      <c r="E61" s="105"/>
      <c r="F61" s="106"/>
      <c r="G61" s="57">
        <v>2</v>
      </c>
      <c r="H61" s="57" t="s">
        <v>151</v>
      </c>
      <c r="I61" s="57" t="s">
        <v>151</v>
      </c>
      <c r="J61" s="57" t="s">
        <v>151</v>
      </c>
      <c r="K61" s="104"/>
      <c r="L61" s="105"/>
      <c r="M61" s="105"/>
      <c r="N61" s="105"/>
      <c r="O61" s="105"/>
      <c r="P61" s="105"/>
      <c r="Q61" s="106"/>
      <c r="R61" s="57"/>
      <c r="S61" s="57"/>
      <c r="T61" s="57"/>
      <c r="U61" s="57"/>
    </row>
    <row r="62" spans="1:21" ht="18" customHeight="1" x14ac:dyDescent="0.2">
      <c r="A62" s="3"/>
      <c r="B62" s="104"/>
      <c r="C62" s="105"/>
      <c r="D62" s="105"/>
      <c r="E62" s="105"/>
      <c r="F62" s="106"/>
      <c r="G62" s="57"/>
      <c r="H62" s="57"/>
      <c r="I62" s="57"/>
      <c r="J62" s="57"/>
      <c r="K62" s="104"/>
      <c r="L62" s="105"/>
      <c r="M62" s="105"/>
      <c r="N62" s="105"/>
      <c r="O62" s="105"/>
      <c r="P62" s="105"/>
      <c r="Q62" s="106"/>
      <c r="R62" s="57"/>
      <c r="S62" s="57"/>
      <c r="T62" s="57"/>
      <c r="U62" s="57"/>
    </row>
    <row r="63" spans="1:21" ht="18" customHeight="1" x14ac:dyDescent="0.2">
      <c r="A63" s="3"/>
      <c r="B63" s="104"/>
      <c r="C63" s="105"/>
      <c r="D63" s="105"/>
      <c r="E63" s="105"/>
      <c r="F63" s="106"/>
      <c r="G63" s="57"/>
      <c r="H63" s="57"/>
      <c r="I63" s="57"/>
      <c r="J63" s="57"/>
      <c r="K63" s="104"/>
      <c r="L63" s="105"/>
      <c r="M63" s="105"/>
      <c r="N63" s="105"/>
      <c r="O63" s="105"/>
      <c r="P63" s="105"/>
      <c r="Q63" s="106"/>
      <c r="R63" s="57"/>
      <c r="S63" s="57"/>
      <c r="T63" s="57"/>
      <c r="U63" s="57"/>
    </row>
    <row r="64" spans="1:21" ht="18" customHeight="1" x14ac:dyDescent="0.2">
      <c r="A64" s="3"/>
      <c r="B64" s="104"/>
      <c r="C64" s="105"/>
      <c r="D64" s="105"/>
      <c r="E64" s="105"/>
      <c r="F64" s="106"/>
      <c r="G64" s="57"/>
      <c r="H64" s="57"/>
      <c r="I64" s="57"/>
      <c r="J64" s="57"/>
      <c r="K64" s="104"/>
      <c r="L64" s="105"/>
      <c r="M64" s="105"/>
      <c r="N64" s="105"/>
      <c r="O64" s="105"/>
      <c r="P64" s="105"/>
      <c r="Q64" s="106"/>
      <c r="R64" s="57"/>
      <c r="S64" s="57"/>
      <c r="T64" s="57"/>
      <c r="U64" s="57"/>
    </row>
    <row r="65" spans="1:27" ht="18" customHeight="1" x14ac:dyDescent="0.2">
      <c r="A65" s="3"/>
      <c r="B65" s="104"/>
      <c r="C65" s="105"/>
      <c r="D65" s="105"/>
      <c r="E65" s="105"/>
      <c r="F65" s="106"/>
      <c r="G65" s="57"/>
      <c r="H65" s="57"/>
      <c r="I65" s="57"/>
      <c r="J65" s="57"/>
      <c r="K65" s="104"/>
      <c r="L65" s="105"/>
      <c r="M65" s="105"/>
      <c r="N65" s="105"/>
      <c r="O65" s="105"/>
      <c r="P65" s="105"/>
      <c r="Q65" s="106"/>
      <c r="R65" s="57"/>
      <c r="S65" s="57"/>
      <c r="T65" s="57"/>
      <c r="U65" s="57"/>
    </row>
    <row r="66" spans="1:27" ht="18" customHeight="1" x14ac:dyDescent="0.2">
      <c r="A66" s="3"/>
      <c r="B66" s="107"/>
      <c r="C66" s="108"/>
      <c r="D66" s="108"/>
      <c r="E66" s="108"/>
      <c r="F66" s="109"/>
      <c r="G66" s="58"/>
      <c r="H66" s="58"/>
      <c r="I66" s="59"/>
      <c r="J66" s="59"/>
      <c r="K66" s="107"/>
      <c r="L66" s="108"/>
      <c r="M66" s="108"/>
      <c r="N66" s="108"/>
      <c r="O66" s="108"/>
      <c r="P66" s="108"/>
      <c r="Q66" s="109"/>
      <c r="R66" s="58"/>
      <c r="S66" s="58"/>
      <c r="T66" s="59"/>
      <c r="U66" s="59"/>
    </row>
    <row r="67" spans="1:27" ht="7.5" customHeight="1" x14ac:dyDescent="0.2">
      <c r="B67" s="79"/>
      <c r="C67" s="79"/>
      <c r="D67" s="79"/>
      <c r="E67" s="79"/>
      <c r="F67" s="79"/>
      <c r="G67" s="79"/>
      <c r="H67" s="79"/>
      <c r="I67" s="79"/>
      <c r="J67" s="79"/>
      <c r="K67" s="79"/>
      <c r="L67" s="79"/>
      <c r="M67" s="79"/>
      <c r="N67" s="79"/>
      <c r="O67" s="79"/>
      <c r="P67" s="79"/>
      <c r="Q67" s="79"/>
      <c r="R67" s="79"/>
      <c r="S67" s="79"/>
      <c r="T67" s="79"/>
    </row>
    <row r="68" spans="1:27" ht="18" customHeight="1" x14ac:dyDescent="0.2">
      <c r="A68" s="113" t="s">
        <v>31</v>
      </c>
      <c r="B68" s="113"/>
      <c r="C68" s="113"/>
      <c r="D68" s="113"/>
      <c r="E68" s="113"/>
      <c r="F68" s="113"/>
      <c r="G68" s="113"/>
      <c r="H68" s="113"/>
      <c r="I68" s="113"/>
      <c r="J68" s="113"/>
      <c r="K68" s="113"/>
      <c r="L68" s="113"/>
      <c r="M68" s="113"/>
      <c r="N68" s="113"/>
      <c r="O68" s="113"/>
      <c r="P68" s="113"/>
      <c r="Q68" s="113"/>
      <c r="R68" s="113"/>
      <c r="S68" s="113"/>
      <c r="T68" s="113"/>
      <c r="U68" s="113"/>
    </row>
    <row r="69" spans="1:27" ht="18" customHeight="1" x14ac:dyDescent="0.2">
      <c r="A69" s="113"/>
      <c r="B69" s="113"/>
      <c r="C69" s="113"/>
      <c r="D69" s="113"/>
      <c r="E69" s="113"/>
      <c r="F69" s="113"/>
      <c r="G69" s="113"/>
      <c r="H69" s="113"/>
      <c r="I69" s="113"/>
      <c r="J69" s="113"/>
      <c r="K69" s="113"/>
      <c r="L69" s="113"/>
      <c r="M69" s="113"/>
      <c r="N69" s="113"/>
      <c r="O69" s="113"/>
      <c r="P69" s="113"/>
      <c r="Q69" s="113"/>
      <c r="R69" s="113"/>
      <c r="S69" s="113"/>
      <c r="T69" s="113"/>
      <c r="U69" s="113"/>
    </row>
    <row r="70" spans="1:27" ht="18" customHeight="1" x14ac:dyDescent="0.2">
      <c r="B70" s="88" t="s">
        <v>17</v>
      </c>
      <c r="C70" s="89"/>
      <c r="D70" s="89"/>
      <c r="E70" s="89"/>
      <c r="F70" s="53" t="s">
        <v>18</v>
      </c>
      <c r="G70" s="54" t="s">
        <v>19</v>
      </c>
      <c r="H70" s="55" t="s">
        <v>32</v>
      </c>
      <c r="I70" s="55" t="s">
        <v>33</v>
      </c>
      <c r="J70" s="55" t="s">
        <v>34</v>
      </c>
      <c r="K70" s="88" t="s">
        <v>17</v>
      </c>
      <c r="L70" s="89"/>
      <c r="M70" s="89"/>
      <c r="N70" s="89"/>
      <c r="O70" s="89"/>
      <c r="P70" s="90"/>
      <c r="Q70" s="53" t="s">
        <v>18</v>
      </c>
      <c r="R70" s="54" t="s">
        <v>19</v>
      </c>
      <c r="S70" s="55" t="s">
        <v>32</v>
      </c>
      <c r="T70" s="55" t="s">
        <v>33</v>
      </c>
      <c r="U70" s="55" t="s">
        <v>34</v>
      </c>
    </row>
    <row r="71" spans="1:27" ht="18" customHeight="1" x14ac:dyDescent="0.2">
      <c r="A71" s="3"/>
      <c r="B71" s="110" t="s">
        <v>152</v>
      </c>
      <c r="C71" s="111"/>
      <c r="D71" s="111"/>
      <c r="E71" s="112"/>
      <c r="F71" s="56">
        <v>2</v>
      </c>
      <c r="G71" s="56" t="s">
        <v>151</v>
      </c>
      <c r="H71" s="56" t="s">
        <v>151</v>
      </c>
      <c r="I71" s="56" t="s">
        <v>151</v>
      </c>
      <c r="J71" s="56" t="s">
        <v>151</v>
      </c>
      <c r="K71" s="110"/>
      <c r="L71" s="111"/>
      <c r="M71" s="111"/>
      <c r="N71" s="111"/>
      <c r="O71" s="111"/>
      <c r="P71" s="112"/>
      <c r="Q71" s="56"/>
      <c r="R71" s="56"/>
      <c r="S71" s="56"/>
      <c r="T71" s="56"/>
      <c r="U71" s="56"/>
    </row>
    <row r="72" spans="1:27" ht="18" customHeight="1" x14ac:dyDescent="0.2">
      <c r="A72" s="3"/>
      <c r="B72" s="104"/>
      <c r="C72" s="105"/>
      <c r="D72" s="105"/>
      <c r="E72" s="105"/>
      <c r="F72" s="57"/>
      <c r="G72" s="57"/>
      <c r="H72" s="57"/>
      <c r="I72" s="57"/>
      <c r="J72" s="57"/>
      <c r="K72" s="104"/>
      <c r="L72" s="105"/>
      <c r="M72" s="105"/>
      <c r="N72" s="105"/>
      <c r="O72" s="105"/>
      <c r="P72" s="106"/>
      <c r="Q72" s="57"/>
      <c r="R72" s="57"/>
      <c r="S72" s="57"/>
      <c r="T72" s="57"/>
      <c r="U72" s="57"/>
    </row>
    <row r="73" spans="1:27" ht="18" customHeight="1" x14ac:dyDescent="0.2">
      <c r="A73" s="3"/>
      <c r="B73" s="104"/>
      <c r="C73" s="105"/>
      <c r="D73" s="105"/>
      <c r="E73" s="105"/>
      <c r="F73" s="57"/>
      <c r="G73" s="57"/>
      <c r="H73" s="57"/>
      <c r="I73" s="57"/>
      <c r="J73" s="57"/>
      <c r="K73" s="104"/>
      <c r="L73" s="105"/>
      <c r="M73" s="105"/>
      <c r="N73" s="105"/>
      <c r="O73" s="105"/>
      <c r="P73" s="106"/>
      <c r="Q73" s="57"/>
      <c r="R73" s="57"/>
      <c r="S73" s="57"/>
      <c r="T73" s="57"/>
      <c r="U73" s="57"/>
    </row>
    <row r="74" spans="1:27" ht="18" customHeight="1" x14ac:dyDescent="0.2">
      <c r="A74" s="3"/>
      <c r="B74" s="104"/>
      <c r="C74" s="105"/>
      <c r="D74" s="105"/>
      <c r="E74" s="105"/>
      <c r="F74" s="57"/>
      <c r="G74" s="57"/>
      <c r="H74" s="57"/>
      <c r="I74" s="57"/>
      <c r="J74" s="57"/>
      <c r="K74" s="104"/>
      <c r="L74" s="105"/>
      <c r="M74" s="105"/>
      <c r="N74" s="105"/>
      <c r="O74" s="105"/>
      <c r="P74" s="106"/>
      <c r="Q74" s="57"/>
      <c r="R74" s="57"/>
      <c r="S74" s="57"/>
      <c r="T74" s="57"/>
      <c r="U74" s="57"/>
    </row>
    <row r="75" spans="1:27" ht="18" customHeight="1" x14ac:dyDescent="0.2">
      <c r="A75" s="3"/>
      <c r="B75" s="104"/>
      <c r="C75" s="105"/>
      <c r="D75" s="105"/>
      <c r="E75" s="105"/>
      <c r="F75" s="57"/>
      <c r="G75" s="57"/>
      <c r="H75" s="57"/>
      <c r="I75" s="57"/>
      <c r="J75" s="57"/>
      <c r="K75" s="104"/>
      <c r="L75" s="105"/>
      <c r="M75" s="105"/>
      <c r="N75" s="105"/>
      <c r="O75" s="105"/>
      <c r="P75" s="106"/>
      <c r="Q75" s="57"/>
      <c r="R75" s="57"/>
      <c r="S75" s="57"/>
      <c r="T75" s="57"/>
      <c r="U75" s="57"/>
    </row>
    <row r="76" spans="1:27" ht="18" customHeight="1" x14ac:dyDescent="0.2">
      <c r="A76" s="3"/>
      <c r="B76" s="104"/>
      <c r="C76" s="105"/>
      <c r="D76" s="105"/>
      <c r="E76" s="105"/>
      <c r="F76" s="57"/>
      <c r="G76" s="57"/>
      <c r="H76" s="57"/>
      <c r="I76" s="57"/>
      <c r="J76" s="57"/>
      <c r="K76" s="104"/>
      <c r="L76" s="105"/>
      <c r="M76" s="105"/>
      <c r="N76" s="105"/>
      <c r="O76" s="105"/>
      <c r="P76" s="106"/>
      <c r="Q76" s="57"/>
      <c r="R76" s="57"/>
      <c r="S76" s="57"/>
      <c r="T76" s="57"/>
      <c r="U76" s="57"/>
    </row>
    <row r="77" spans="1:27" ht="18" customHeight="1" x14ac:dyDescent="0.2">
      <c r="A77" s="3"/>
      <c r="B77" s="107"/>
      <c r="C77" s="108"/>
      <c r="D77" s="108"/>
      <c r="E77" s="108"/>
      <c r="F77" s="58"/>
      <c r="G77" s="58"/>
      <c r="H77" s="59"/>
      <c r="I77" s="59"/>
      <c r="J77" s="59"/>
      <c r="K77" s="107"/>
      <c r="L77" s="108"/>
      <c r="M77" s="108"/>
      <c r="N77" s="108"/>
      <c r="O77" s="108"/>
      <c r="P77" s="109"/>
      <c r="Q77" s="58"/>
      <c r="R77" s="58"/>
      <c r="S77" s="59"/>
      <c r="T77" s="59"/>
      <c r="U77" s="59"/>
    </row>
    <row r="78" spans="1:27" ht="7.5" customHeight="1" x14ac:dyDescent="0.2">
      <c r="B78" s="79"/>
      <c r="C78" s="79"/>
      <c r="D78" s="79"/>
      <c r="E78" s="79"/>
      <c r="F78" s="79"/>
      <c r="G78" s="79"/>
      <c r="H78" s="79"/>
      <c r="I78" s="79"/>
      <c r="J78" s="79"/>
      <c r="K78" s="79"/>
      <c r="L78" s="79"/>
      <c r="M78" s="79"/>
      <c r="N78" s="79"/>
      <c r="O78" s="79"/>
      <c r="P78" s="79"/>
      <c r="Q78" s="79"/>
      <c r="R78" s="79"/>
      <c r="S78" s="79"/>
      <c r="T78" s="79"/>
    </row>
    <row r="79" spans="1:27" ht="18" customHeight="1" x14ac:dyDescent="0.2">
      <c r="A79" s="1" t="s">
        <v>35</v>
      </c>
      <c r="I79" s="3"/>
      <c r="J79" s="3"/>
      <c r="K79" s="3"/>
      <c r="L79" s="3"/>
      <c r="M79" s="3"/>
      <c r="N79" s="3"/>
      <c r="O79" s="3"/>
      <c r="P79" s="3"/>
      <c r="Q79" s="3"/>
      <c r="R79" s="3"/>
      <c r="S79" s="3"/>
      <c r="T79" s="3"/>
      <c r="U79" s="3"/>
    </row>
    <row r="80" spans="1:27" ht="18" customHeight="1" x14ac:dyDescent="0.2">
      <c r="B80" s="88" t="s">
        <v>17</v>
      </c>
      <c r="C80" s="89"/>
      <c r="D80" s="89"/>
      <c r="E80" s="89"/>
      <c r="F80" s="90"/>
      <c r="G80" s="88" t="s">
        <v>36</v>
      </c>
      <c r="H80" s="89"/>
      <c r="I80" s="89"/>
      <c r="J80" s="90"/>
      <c r="K80" s="146" t="s">
        <v>17</v>
      </c>
      <c r="L80" s="147"/>
      <c r="M80" s="147"/>
      <c r="N80" s="147"/>
      <c r="O80" s="147"/>
      <c r="P80" s="147"/>
      <c r="Q80" s="148"/>
      <c r="R80" s="88" t="s">
        <v>36</v>
      </c>
      <c r="S80" s="89"/>
      <c r="T80" s="89"/>
      <c r="U80" s="90"/>
      <c r="AA80" s="1" t="s">
        <v>37</v>
      </c>
    </row>
    <row r="81" spans="1:27" ht="18" customHeight="1" x14ac:dyDescent="0.2">
      <c r="A81" s="3"/>
      <c r="B81" s="110"/>
      <c r="C81" s="111"/>
      <c r="D81" s="111"/>
      <c r="E81" s="111"/>
      <c r="F81" s="112"/>
      <c r="G81" s="149"/>
      <c r="H81" s="150"/>
      <c r="I81" s="150"/>
      <c r="J81" s="151"/>
      <c r="K81" s="110"/>
      <c r="L81" s="111"/>
      <c r="M81" s="111"/>
      <c r="N81" s="111"/>
      <c r="O81" s="111"/>
      <c r="P81" s="111"/>
      <c r="Q81" s="112"/>
      <c r="R81" s="149"/>
      <c r="S81" s="150"/>
      <c r="T81" s="150"/>
      <c r="U81" s="151"/>
      <c r="AA81" s="1" t="s">
        <v>38</v>
      </c>
    </row>
    <row r="82" spans="1:27" ht="18" customHeight="1" x14ac:dyDescent="0.2">
      <c r="A82" s="3"/>
      <c r="B82" s="104"/>
      <c r="C82" s="105"/>
      <c r="D82" s="105"/>
      <c r="E82" s="105"/>
      <c r="F82" s="106"/>
      <c r="G82" s="138"/>
      <c r="H82" s="139"/>
      <c r="I82" s="139"/>
      <c r="J82" s="140"/>
      <c r="K82" s="104"/>
      <c r="L82" s="105"/>
      <c r="M82" s="105"/>
      <c r="N82" s="105"/>
      <c r="O82" s="105"/>
      <c r="P82" s="105"/>
      <c r="Q82" s="106"/>
      <c r="R82" s="138"/>
      <c r="S82" s="139"/>
      <c r="T82" s="139"/>
      <c r="U82" s="140"/>
      <c r="AA82" s="1" t="s">
        <v>39</v>
      </c>
    </row>
    <row r="83" spans="1:27" ht="18" customHeight="1" x14ac:dyDescent="0.2">
      <c r="A83" s="3"/>
      <c r="B83" s="104"/>
      <c r="C83" s="105"/>
      <c r="D83" s="105"/>
      <c r="E83" s="105"/>
      <c r="F83" s="106"/>
      <c r="G83" s="138"/>
      <c r="H83" s="139"/>
      <c r="I83" s="139"/>
      <c r="J83" s="140"/>
      <c r="K83" s="104"/>
      <c r="L83" s="105"/>
      <c r="M83" s="105"/>
      <c r="N83" s="105"/>
      <c r="O83" s="105"/>
      <c r="P83" s="105"/>
      <c r="Q83" s="106"/>
      <c r="R83" s="138"/>
      <c r="S83" s="139"/>
      <c r="T83" s="139"/>
      <c r="U83" s="140"/>
      <c r="AA83" s="1" t="s">
        <v>40</v>
      </c>
    </row>
    <row r="84" spans="1:27" ht="18" customHeight="1" x14ac:dyDescent="0.2">
      <c r="A84" s="3"/>
      <c r="B84" s="104"/>
      <c r="C84" s="105"/>
      <c r="D84" s="105"/>
      <c r="E84" s="105"/>
      <c r="F84" s="106"/>
      <c r="G84" s="138"/>
      <c r="H84" s="139"/>
      <c r="I84" s="139"/>
      <c r="J84" s="140"/>
      <c r="K84" s="104"/>
      <c r="L84" s="105"/>
      <c r="M84" s="105"/>
      <c r="N84" s="105"/>
      <c r="O84" s="105"/>
      <c r="P84" s="105"/>
      <c r="Q84" s="106"/>
      <c r="R84" s="138"/>
      <c r="S84" s="139"/>
      <c r="T84" s="139"/>
      <c r="U84" s="140"/>
      <c r="AA84" s="1" t="s">
        <v>41</v>
      </c>
    </row>
    <row r="85" spans="1:27" ht="18" customHeight="1" x14ac:dyDescent="0.2">
      <c r="A85" s="3"/>
      <c r="B85" s="104"/>
      <c r="C85" s="105"/>
      <c r="D85" s="105"/>
      <c r="E85" s="105"/>
      <c r="F85" s="106"/>
      <c r="G85" s="138"/>
      <c r="H85" s="139"/>
      <c r="I85" s="139"/>
      <c r="J85" s="140"/>
      <c r="K85" s="104"/>
      <c r="L85" s="105"/>
      <c r="M85" s="105"/>
      <c r="N85" s="105"/>
      <c r="O85" s="105"/>
      <c r="P85" s="105"/>
      <c r="Q85" s="106"/>
      <c r="R85" s="138"/>
      <c r="S85" s="139"/>
      <c r="T85" s="139"/>
      <c r="U85" s="140"/>
      <c r="AA85" s="1" t="s">
        <v>42</v>
      </c>
    </row>
    <row r="86" spans="1:27" ht="18" customHeight="1" x14ac:dyDescent="0.2">
      <c r="A86" s="3"/>
      <c r="B86" s="104"/>
      <c r="C86" s="105"/>
      <c r="D86" s="105"/>
      <c r="E86" s="105"/>
      <c r="F86" s="106"/>
      <c r="G86" s="138"/>
      <c r="H86" s="139"/>
      <c r="I86" s="139"/>
      <c r="J86" s="140"/>
      <c r="K86" s="104"/>
      <c r="L86" s="105"/>
      <c r="M86" s="105"/>
      <c r="N86" s="105"/>
      <c r="O86" s="105"/>
      <c r="P86" s="105"/>
      <c r="Q86" s="106"/>
      <c r="R86" s="138"/>
      <c r="S86" s="139"/>
      <c r="T86" s="139"/>
      <c r="U86" s="140"/>
      <c r="AA86" s="1" t="s">
        <v>43</v>
      </c>
    </row>
    <row r="87" spans="1:27" ht="18" customHeight="1" x14ac:dyDescent="0.2">
      <c r="A87" s="3"/>
      <c r="B87" s="107"/>
      <c r="C87" s="108"/>
      <c r="D87" s="108"/>
      <c r="E87" s="108"/>
      <c r="F87" s="109"/>
      <c r="G87" s="141"/>
      <c r="H87" s="142"/>
      <c r="I87" s="142"/>
      <c r="J87" s="143"/>
      <c r="K87" s="107"/>
      <c r="L87" s="108"/>
      <c r="M87" s="108"/>
      <c r="N87" s="108"/>
      <c r="O87" s="108"/>
      <c r="P87" s="108"/>
      <c r="Q87" s="109"/>
      <c r="R87" s="135"/>
      <c r="S87" s="136"/>
      <c r="T87" s="136"/>
      <c r="U87" s="137"/>
      <c r="AA87" s="1" t="s">
        <v>44</v>
      </c>
    </row>
    <row r="88" spans="1:27" ht="18" customHeight="1" x14ac:dyDescent="0.2">
      <c r="A88" s="3"/>
      <c r="B88" s="5"/>
      <c r="C88" s="5"/>
      <c r="D88" s="5"/>
      <c r="E88" s="5"/>
      <c r="F88" s="5"/>
      <c r="G88" s="60"/>
      <c r="H88" s="60"/>
      <c r="I88" s="60"/>
      <c r="J88" s="60"/>
      <c r="K88" s="5"/>
      <c r="L88" s="5"/>
      <c r="M88" s="5"/>
      <c r="N88" s="5"/>
      <c r="O88" s="5"/>
      <c r="P88" s="5"/>
      <c r="Q88" s="5"/>
      <c r="R88" s="60"/>
      <c r="S88" s="60"/>
      <c r="T88" s="60"/>
      <c r="U88" s="60"/>
      <c r="AA88" s="1" t="s">
        <v>45</v>
      </c>
    </row>
    <row r="89" spans="1:27" ht="18.75" customHeight="1" x14ac:dyDescent="0.2">
      <c r="A89" s="1" t="s">
        <v>46</v>
      </c>
      <c r="AA89" s="1" t="s">
        <v>47</v>
      </c>
    </row>
    <row r="90" spans="1:27" ht="18.75" customHeight="1" x14ac:dyDescent="0.2">
      <c r="B90" s="144" t="s">
        <v>48</v>
      </c>
      <c r="C90" s="145"/>
      <c r="D90" s="88" t="s">
        <v>49</v>
      </c>
      <c r="E90" s="89"/>
      <c r="F90" s="89"/>
      <c r="G90" s="89"/>
      <c r="H90" s="89"/>
      <c r="I90" s="89"/>
      <c r="J90" s="89"/>
      <c r="K90" s="89"/>
      <c r="L90" s="89"/>
      <c r="M90" s="89"/>
      <c r="N90" s="89"/>
      <c r="O90" s="89"/>
      <c r="P90" s="89"/>
      <c r="Q90" s="89"/>
      <c r="R90" s="89"/>
      <c r="S90" s="89"/>
      <c r="T90" s="89"/>
      <c r="U90" s="90"/>
    </row>
    <row r="91" spans="1:27" ht="97.5" customHeight="1" x14ac:dyDescent="0.2">
      <c r="B91" s="118" t="s">
        <v>50</v>
      </c>
      <c r="C91" s="61" t="s">
        <v>20</v>
      </c>
      <c r="D91" s="91" t="s">
        <v>153</v>
      </c>
      <c r="E91" s="92"/>
      <c r="F91" s="92"/>
      <c r="G91" s="92"/>
      <c r="H91" s="92"/>
      <c r="I91" s="92"/>
      <c r="J91" s="92"/>
      <c r="K91" s="92"/>
      <c r="L91" s="92"/>
      <c r="M91" s="92"/>
      <c r="N91" s="92"/>
      <c r="O91" s="92"/>
      <c r="P91" s="92"/>
      <c r="Q91" s="92"/>
      <c r="R91" s="92"/>
      <c r="S91" s="92"/>
      <c r="T91" s="92"/>
      <c r="U91" s="93"/>
    </row>
    <row r="92" spans="1:27" ht="97.5" customHeight="1" x14ac:dyDescent="0.2">
      <c r="B92" s="120"/>
      <c r="C92" s="62" t="s">
        <v>51</v>
      </c>
      <c r="D92" s="94" t="s">
        <v>154</v>
      </c>
      <c r="E92" s="95"/>
      <c r="F92" s="95"/>
      <c r="G92" s="95"/>
      <c r="H92" s="95"/>
      <c r="I92" s="95"/>
      <c r="J92" s="95"/>
      <c r="K92" s="95"/>
      <c r="L92" s="95"/>
      <c r="M92" s="95"/>
      <c r="N92" s="95"/>
      <c r="O92" s="95"/>
      <c r="P92" s="95"/>
      <c r="Q92" s="95"/>
      <c r="R92" s="95"/>
      <c r="S92" s="95"/>
      <c r="T92" s="95"/>
      <c r="U92" s="96"/>
    </row>
    <row r="93" spans="1:27" ht="97.5" customHeight="1" x14ac:dyDescent="0.2">
      <c r="B93" s="118" t="s">
        <v>52</v>
      </c>
      <c r="C93" s="63" t="s">
        <v>23</v>
      </c>
      <c r="D93" s="91" t="s">
        <v>155</v>
      </c>
      <c r="E93" s="92"/>
      <c r="F93" s="92"/>
      <c r="G93" s="92"/>
      <c r="H93" s="92"/>
      <c r="I93" s="92"/>
      <c r="J93" s="92"/>
      <c r="K93" s="92"/>
      <c r="L93" s="92"/>
      <c r="M93" s="92"/>
      <c r="N93" s="92"/>
      <c r="O93" s="92"/>
      <c r="P93" s="92"/>
      <c r="Q93" s="92"/>
      <c r="R93" s="92"/>
      <c r="S93" s="92"/>
      <c r="T93" s="92"/>
      <c r="U93" s="93"/>
    </row>
    <row r="94" spans="1:27" ht="97.5" customHeight="1" x14ac:dyDescent="0.2">
      <c r="B94" s="119"/>
      <c r="C94" s="64" t="s">
        <v>24</v>
      </c>
      <c r="D94" s="97" t="s">
        <v>156</v>
      </c>
      <c r="E94" s="95"/>
      <c r="F94" s="95"/>
      <c r="G94" s="95"/>
      <c r="H94" s="95"/>
      <c r="I94" s="95"/>
      <c r="J94" s="95"/>
      <c r="K94" s="95"/>
      <c r="L94" s="95"/>
      <c r="M94" s="95"/>
      <c r="N94" s="95"/>
      <c r="O94" s="95"/>
      <c r="P94" s="95"/>
      <c r="Q94" s="95"/>
      <c r="R94" s="95"/>
      <c r="S94" s="95"/>
      <c r="T94" s="95"/>
      <c r="U94" s="96"/>
    </row>
    <row r="95" spans="1:27" ht="97.5" customHeight="1" x14ac:dyDescent="0.2">
      <c r="B95" s="118" t="s">
        <v>53</v>
      </c>
      <c r="C95" s="63" t="s">
        <v>26</v>
      </c>
      <c r="D95" s="91" t="s">
        <v>157</v>
      </c>
      <c r="E95" s="92"/>
      <c r="F95" s="92"/>
      <c r="G95" s="92"/>
      <c r="H95" s="92"/>
      <c r="I95" s="92"/>
      <c r="J95" s="92"/>
      <c r="K95" s="92"/>
      <c r="L95" s="92"/>
      <c r="M95" s="92"/>
      <c r="N95" s="92"/>
      <c r="O95" s="92"/>
      <c r="P95" s="92"/>
      <c r="Q95" s="92"/>
      <c r="R95" s="92"/>
      <c r="S95" s="92"/>
      <c r="T95" s="92"/>
      <c r="U95" s="93"/>
    </row>
    <row r="96" spans="1:27" ht="97.5" customHeight="1" x14ac:dyDescent="0.2">
      <c r="B96" s="119"/>
      <c r="C96" s="65" t="s">
        <v>27</v>
      </c>
      <c r="D96" s="94" t="s">
        <v>158</v>
      </c>
      <c r="E96" s="95"/>
      <c r="F96" s="95"/>
      <c r="G96" s="95"/>
      <c r="H96" s="95"/>
      <c r="I96" s="95"/>
      <c r="J96" s="95"/>
      <c r="K96" s="95"/>
      <c r="L96" s="95"/>
      <c r="M96" s="95"/>
      <c r="N96" s="95"/>
      <c r="O96" s="95"/>
      <c r="P96" s="95"/>
      <c r="Q96" s="95"/>
      <c r="R96" s="95"/>
      <c r="S96" s="95"/>
      <c r="T96" s="95"/>
      <c r="U96" s="96"/>
    </row>
    <row r="97" spans="1:21" ht="97.5" customHeight="1" x14ac:dyDescent="0.2">
      <c r="B97" s="118" t="s">
        <v>54</v>
      </c>
      <c r="C97" s="61" t="s">
        <v>29</v>
      </c>
      <c r="D97" s="117" t="s">
        <v>159</v>
      </c>
      <c r="E97" s="92"/>
      <c r="F97" s="92"/>
      <c r="G97" s="92"/>
      <c r="H97" s="92"/>
      <c r="I97" s="92"/>
      <c r="J97" s="92"/>
      <c r="K97" s="92"/>
      <c r="L97" s="92"/>
      <c r="M97" s="92"/>
      <c r="N97" s="92"/>
      <c r="O97" s="92"/>
      <c r="P97" s="92"/>
      <c r="Q97" s="92"/>
      <c r="R97" s="92"/>
      <c r="S97" s="92"/>
      <c r="T97" s="92"/>
      <c r="U97" s="93"/>
    </row>
    <row r="98" spans="1:21" ht="97.5" customHeight="1" x14ac:dyDescent="0.2">
      <c r="B98" s="119"/>
      <c r="C98" s="64" t="s">
        <v>30</v>
      </c>
      <c r="D98" s="94" t="s">
        <v>160</v>
      </c>
      <c r="E98" s="95"/>
      <c r="F98" s="95"/>
      <c r="G98" s="95"/>
      <c r="H98" s="95"/>
      <c r="I98" s="95"/>
      <c r="J98" s="95"/>
      <c r="K98" s="95"/>
      <c r="L98" s="95"/>
      <c r="M98" s="95"/>
      <c r="N98" s="95"/>
      <c r="O98" s="95"/>
      <c r="P98" s="95"/>
      <c r="Q98" s="95"/>
      <c r="R98" s="95"/>
      <c r="S98" s="95"/>
      <c r="T98" s="95"/>
      <c r="U98" s="96"/>
    </row>
    <row r="99" spans="1:21" ht="97.5" customHeight="1" x14ac:dyDescent="0.2">
      <c r="B99" s="118" t="s">
        <v>55</v>
      </c>
      <c r="C99" s="63" t="s">
        <v>56</v>
      </c>
      <c r="D99" s="91" t="s">
        <v>161</v>
      </c>
      <c r="E99" s="92"/>
      <c r="F99" s="92"/>
      <c r="G99" s="92"/>
      <c r="H99" s="92"/>
      <c r="I99" s="92"/>
      <c r="J99" s="92"/>
      <c r="K99" s="92"/>
      <c r="L99" s="92"/>
      <c r="M99" s="92"/>
      <c r="N99" s="92"/>
      <c r="O99" s="92"/>
      <c r="P99" s="92"/>
      <c r="Q99" s="92"/>
      <c r="R99" s="92"/>
      <c r="S99" s="92"/>
      <c r="T99" s="92"/>
      <c r="U99" s="93"/>
    </row>
    <row r="100" spans="1:21" ht="97.5" customHeight="1" x14ac:dyDescent="0.2">
      <c r="B100" s="120"/>
      <c r="C100" s="66" t="s">
        <v>33</v>
      </c>
      <c r="D100" s="114" t="s">
        <v>162</v>
      </c>
      <c r="E100" s="115"/>
      <c r="F100" s="115"/>
      <c r="G100" s="115"/>
      <c r="H100" s="115"/>
      <c r="I100" s="115"/>
      <c r="J100" s="115"/>
      <c r="K100" s="115"/>
      <c r="L100" s="115"/>
      <c r="M100" s="115"/>
      <c r="N100" s="115"/>
      <c r="O100" s="115"/>
      <c r="P100" s="115"/>
      <c r="Q100" s="115"/>
      <c r="R100" s="115"/>
      <c r="S100" s="115"/>
      <c r="T100" s="115"/>
      <c r="U100" s="116"/>
    </row>
    <row r="101" spans="1:21" ht="97.5" customHeight="1" x14ac:dyDescent="0.2">
      <c r="B101" s="119"/>
      <c r="C101" s="65" t="s">
        <v>34</v>
      </c>
      <c r="D101" s="94" t="s">
        <v>163</v>
      </c>
      <c r="E101" s="95"/>
      <c r="F101" s="95"/>
      <c r="G101" s="95"/>
      <c r="H101" s="95"/>
      <c r="I101" s="95"/>
      <c r="J101" s="95"/>
      <c r="K101" s="95"/>
      <c r="L101" s="95"/>
      <c r="M101" s="95"/>
      <c r="N101" s="95"/>
      <c r="O101" s="95"/>
      <c r="P101" s="95"/>
      <c r="Q101" s="95"/>
      <c r="R101" s="95"/>
      <c r="S101" s="95"/>
      <c r="T101" s="95"/>
      <c r="U101" s="96"/>
    </row>
    <row r="102" spans="1:21" ht="6" customHeight="1" x14ac:dyDescent="0.2"/>
    <row r="103" spans="1:21" ht="18.75" customHeight="1" x14ac:dyDescent="0.2">
      <c r="A103" s="1" t="s">
        <v>57</v>
      </c>
    </row>
    <row r="104" spans="1:21" ht="81.75" customHeight="1" x14ac:dyDescent="0.2">
      <c r="B104" s="132" t="s">
        <v>164</v>
      </c>
      <c r="C104" s="133"/>
      <c r="D104" s="133"/>
      <c r="E104" s="133"/>
      <c r="F104" s="133"/>
      <c r="G104" s="133"/>
      <c r="H104" s="133"/>
      <c r="I104" s="133"/>
      <c r="J104" s="133"/>
      <c r="K104" s="133"/>
      <c r="L104" s="133"/>
      <c r="M104" s="133"/>
      <c r="N104" s="133"/>
      <c r="O104" s="133"/>
      <c r="P104" s="133"/>
      <c r="Q104" s="133"/>
      <c r="R104" s="133"/>
      <c r="S104" s="133"/>
      <c r="T104" s="133"/>
      <c r="U104" s="134"/>
    </row>
    <row r="107" spans="1:21" ht="18" customHeight="1" x14ac:dyDescent="0.2"/>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topLeftCell="A7" zoomScaleNormal="100" zoomScaleSheetLayoutView="100" workbookViewId="0">
      <selection activeCell="B13" sqref="B13"/>
    </sheetView>
  </sheetViews>
  <sheetFormatPr defaultColWidth="9" defaultRowHeight="18.75" customHeight="1" x14ac:dyDescent="0.2"/>
  <cols>
    <col min="1" max="1" width="2.6640625" style="1" customWidth="1"/>
    <col min="2" max="2" width="27.77734375" style="1" customWidth="1"/>
    <col min="3" max="18" width="6.109375" style="1" customWidth="1"/>
    <col min="19" max="19" width="6.6640625" style="1" customWidth="1"/>
    <col min="20" max="16384" width="9" style="1"/>
  </cols>
  <sheetData>
    <row r="1" spans="1:21" ht="18" customHeight="1" x14ac:dyDescent="0.2">
      <c r="A1" s="47"/>
      <c r="B1" s="47"/>
      <c r="C1" s="47"/>
      <c r="D1" s="47"/>
      <c r="E1" s="47"/>
      <c r="F1" s="47"/>
      <c r="G1" s="47"/>
      <c r="H1" s="47"/>
      <c r="I1" s="47"/>
      <c r="J1" s="47"/>
      <c r="K1" s="47"/>
      <c r="L1" s="47"/>
      <c r="M1" s="47"/>
      <c r="N1" s="47"/>
      <c r="O1" s="47"/>
      <c r="P1" s="47"/>
      <c r="Q1" s="47"/>
      <c r="R1" s="47"/>
      <c r="S1" s="47" t="s">
        <v>58</v>
      </c>
    </row>
    <row r="2" spans="1:21" ht="18" customHeight="1" x14ac:dyDescent="0.2">
      <c r="A2" s="47"/>
      <c r="B2" s="47"/>
      <c r="C2" s="47"/>
      <c r="D2" s="47"/>
      <c r="E2" s="47"/>
      <c r="F2" s="47"/>
      <c r="G2" s="47"/>
      <c r="H2" s="47"/>
      <c r="I2" s="47"/>
      <c r="J2" s="47"/>
      <c r="K2" s="47"/>
      <c r="L2" s="47"/>
      <c r="M2" s="47"/>
      <c r="N2" s="47"/>
      <c r="O2" s="47"/>
      <c r="P2" s="47"/>
      <c r="Q2" s="153" t="str">
        <f>'様式１　プログラムを構成する授業科目'!C2</f>
        <v>日本国際学園大学</v>
      </c>
      <c r="R2" s="153"/>
      <c r="S2" s="153"/>
    </row>
    <row r="3" spans="1:21" ht="18" customHeight="1" x14ac:dyDescent="0.2">
      <c r="A3" s="122" t="s">
        <v>59</v>
      </c>
      <c r="B3" s="122"/>
      <c r="C3" s="122"/>
      <c r="D3" s="122"/>
      <c r="E3" s="122"/>
      <c r="F3" s="122"/>
      <c r="G3" s="122"/>
      <c r="H3" s="122"/>
      <c r="I3" s="122"/>
      <c r="J3" s="122"/>
      <c r="K3" s="122"/>
      <c r="L3" s="122"/>
      <c r="M3" s="122"/>
      <c r="N3" s="122"/>
      <c r="O3" s="122"/>
      <c r="P3" s="122"/>
      <c r="Q3" s="122"/>
      <c r="R3" s="122"/>
      <c r="S3" s="122"/>
    </row>
    <row r="4" spans="1:21" ht="7.5" customHeight="1" x14ac:dyDescent="0.2">
      <c r="A4" s="49"/>
      <c r="B4" s="49"/>
      <c r="C4" s="49"/>
      <c r="D4" s="49"/>
      <c r="E4" s="49"/>
      <c r="F4" s="49"/>
      <c r="G4" s="49"/>
      <c r="H4" s="49"/>
      <c r="I4" s="49"/>
      <c r="J4" s="49"/>
      <c r="K4" s="49"/>
      <c r="L4" s="49"/>
      <c r="M4" s="49"/>
      <c r="N4" s="49"/>
      <c r="O4" s="49"/>
      <c r="P4" s="49"/>
      <c r="Q4" s="49"/>
      <c r="R4" s="49"/>
      <c r="S4" s="49"/>
    </row>
    <row r="5" spans="1:21" ht="18" customHeight="1" x14ac:dyDescent="0.2">
      <c r="A5" s="47" t="s">
        <v>60</v>
      </c>
      <c r="B5" s="47"/>
      <c r="C5" s="154" t="s">
        <v>165</v>
      </c>
      <c r="D5" s="155"/>
      <c r="E5" s="51" t="s">
        <v>61</v>
      </c>
      <c r="F5" s="49"/>
      <c r="G5" s="49"/>
      <c r="H5" s="49"/>
      <c r="I5" s="49"/>
      <c r="J5" s="49"/>
      <c r="K5" s="49"/>
      <c r="L5" s="49"/>
      <c r="M5" s="49"/>
      <c r="N5" s="49"/>
      <c r="O5" s="49"/>
      <c r="P5" s="49"/>
      <c r="Q5" s="49"/>
      <c r="R5" s="48"/>
      <c r="S5" s="48"/>
    </row>
    <row r="6" spans="1:21" ht="7.2" customHeight="1" x14ac:dyDescent="0.2">
      <c r="A6" s="47"/>
      <c r="B6" s="47"/>
      <c r="C6" s="69"/>
      <c r="D6" s="69"/>
      <c r="E6" s="49"/>
      <c r="F6" s="49"/>
      <c r="G6" s="49"/>
      <c r="H6" s="49"/>
      <c r="I6" s="49"/>
      <c r="J6" s="49"/>
      <c r="K6" s="49"/>
      <c r="L6" s="49"/>
      <c r="M6" s="49"/>
      <c r="N6" s="49"/>
      <c r="O6" s="49"/>
      <c r="P6" s="49"/>
      <c r="Q6" s="49"/>
      <c r="R6" s="48"/>
      <c r="S6" s="48"/>
    </row>
    <row r="7" spans="1:21" ht="18" customHeight="1" x14ac:dyDescent="0.2">
      <c r="A7" s="47" t="s">
        <v>62</v>
      </c>
      <c r="B7" s="47"/>
      <c r="C7" s="69"/>
      <c r="D7" s="69"/>
      <c r="E7" s="49" t="s">
        <v>63</v>
      </c>
      <c r="F7" s="52">
        <f>284</f>
        <v>284</v>
      </c>
      <c r="G7" s="51" t="s">
        <v>64</v>
      </c>
      <c r="H7" s="49" t="s">
        <v>65</v>
      </c>
      <c r="I7" s="52">
        <f>96</f>
        <v>96</v>
      </c>
      <c r="J7" s="51" t="s">
        <v>64</v>
      </c>
      <c r="K7" s="50" t="s">
        <v>66</v>
      </c>
      <c r="L7" s="49" t="s">
        <v>67</v>
      </c>
      <c r="M7" s="52">
        <f>F7+I7</f>
        <v>380</v>
      </c>
      <c r="N7" s="49" t="s">
        <v>68</v>
      </c>
      <c r="O7" s="51" t="s">
        <v>69</v>
      </c>
      <c r="P7" s="49"/>
      <c r="Q7" s="49"/>
      <c r="R7" s="48"/>
      <c r="S7" s="48"/>
    </row>
    <row r="8" spans="1:21" ht="17.55" customHeight="1" x14ac:dyDescent="0.2">
      <c r="A8" s="49"/>
      <c r="B8" s="70" t="s">
        <v>70</v>
      </c>
      <c r="C8" s="49"/>
      <c r="D8" s="49"/>
      <c r="E8" s="49"/>
      <c r="F8" s="49"/>
      <c r="G8" s="49"/>
      <c r="H8" s="49"/>
      <c r="I8" s="49"/>
      <c r="J8" s="49"/>
      <c r="K8" s="49"/>
      <c r="L8" s="49"/>
      <c r="M8" s="49"/>
      <c r="N8" s="49"/>
      <c r="O8" s="49"/>
      <c r="P8" s="49"/>
      <c r="Q8" s="49"/>
      <c r="R8" s="49"/>
      <c r="S8" s="49"/>
    </row>
    <row r="9" spans="1:21" ht="18" customHeight="1" x14ac:dyDescent="0.2">
      <c r="A9" s="47" t="s">
        <v>71</v>
      </c>
      <c r="B9" s="49"/>
      <c r="C9" s="49"/>
      <c r="D9" s="49"/>
      <c r="E9" s="49"/>
      <c r="F9" s="49"/>
      <c r="G9" s="49"/>
      <c r="H9" s="49"/>
      <c r="I9" s="49"/>
      <c r="J9" s="49"/>
      <c r="K9" s="49"/>
      <c r="L9" s="49"/>
      <c r="M9" s="49"/>
      <c r="N9" s="49"/>
      <c r="O9" s="49"/>
      <c r="P9" s="49"/>
      <c r="Q9" s="49"/>
      <c r="R9" s="49"/>
      <c r="S9" s="49"/>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56" t="s">
        <v>72</v>
      </c>
      <c r="C11" s="166" t="s">
        <v>73</v>
      </c>
      <c r="D11" s="158" t="s">
        <v>74</v>
      </c>
      <c r="E11" s="160" t="s">
        <v>75</v>
      </c>
      <c r="F11" s="152" t="s">
        <v>76</v>
      </c>
      <c r="G11" s="152"/>
      <c r="H11" s="152" t="s">
        <v>77</v>
      </c>
      <c r="I11" s="152"/>
      <c r="J11" s="152" t="s">
        <v>78</v>
      </c>
      <c r="K11" s="152"/>
      <c r="L11" s="152" t="s">
        <v>79</v>
      </c>
      <c r="M11" s="152"/>
      <c r="N11" s="152" t="s">
        <v>80</v>
      </c>
      <c r="O11" s="152"/>
      <c r="P11" s="152" t="s">
        <v>81</v>
      </c>
      <c r="Q11" s="152"/>
      <c r="R11" s="162" t="s">
        <v>82</v>
      </c>
      <c r="S11" s="164" t="s">
        <v>83</v>
      </c>
      <c r="U11" s="2"/>
    </row>
    <row r="12" spans="1:21" ht="16.95" customHeight="1" x14ac:dyDescent="0.2">
      <c r="B12" s="157"/>
      <c r="C12" s="167"/>
      <c r="D12" s="159"/>
      <c r="E12" s="161"/>
      <c r="F12" s="71" t="s">
        <v>84</v>
      </c>
      <c r="G12" s="71" t="s">
        <v>85</v>
      </c>
      <c r="H12" s="71" t="s">
        <v>84</v>
      </c>
      <c r="I12" s="71" t="s">
        <v>85</v>
      </c>
      <c r="J12" s="71" t="s">
        <v>84</v>
      </c>
      <c r="K12" s="71" t="s">
        <v>85</v>
      </c>
      <c r="L12" s="71" t="s">
        <v>84</v>
      </c>
      <c r="M12" s="71" t="s">
        <v>85</v>
      </c>
      <c r="N12" s="71" t="s">
        <v>84</v>
      </c>
      <c r="O12" s="71" t="s">
        <v>85</v>
      </c>
      <c r="P12" s="71" t="s">
        <v>84</v>
      </c>
      <c r="Q12" s="72" t="s">
        <v>85</v>
      </c>
      <c r="R12" s="163"/>
      <c r="S12" s="165"/>
      <c r="U12" s="2"/>
    </row>
    <row r="13" spans="1:21" ht="18" customHeight="1" x14ac:dyDescent="0.2">
      <c r="A13" s="5"/>
      <c r="B13" s="43" t="s">
        <v>189</v>
      </c>
      <c r="C13" s="31">
        <f>380</f>
        <v>380</v>
      </c>
      <c r="D13" s="32">
        <f>200</f>
        <v>200</v>
      </c>
      <c r="E13" s="33">
        <f>800</f>
        <v>800</v>
      </c>
      <c r="F13" s="33">
        <f>121</f>
        <v>121</v>
      </c>
      <c r="G13" s="33">
        <f>0</f>
        <v>0</v>
      </c>
      <c r="H13" s="33"/>
      <c r="I13" s="33"/>
      <c r="J13" s="33"/>
      <c r="K13" s="33"/>
      <c r="L13" s="33"/>
      <c r="M13" s="33"/>
      <c r="N13" s="33"/>
      <c r="O13" s="33"/>
      <c r="P13" s="33"/>
      <c r="Q13" s="44"/>
      <c r="R13" s="32">
        <f t="shared" ref="R13:R32" si="0">F13+H13+J13+L13+N13+P13</f>
        <v>121</v>
      </c>
      <c r="S13" s="45">
        <f t="shared" ref="S13:S33" si="1">R13/E13</f>
        <v>0.15125</v>
      </c>
    </row>
    <row r="14" spans="1:21" ht="18" customHeight="1" x14ac:dyDescent="0.2">
      <c r="A14" s="5"/>
      <c r="B14" s="10"/>
      <c r="C14" s="34"/>
      <c r="D14" s="35"/>
      <c r="E14" s="36"/>
      <c r="F14" s="37"/>
      <c r="G14" s="37"/>
      <c r="H14" s="37"/>
      <c r="I14" s="37"/>
      <c r="J14" s="37"/>
      <c r="K14" s="37"/>
      <c r="L14" s="37"/>
      <c r="M14" s="37"/>
      <c r="N14" s="37"/>
      <c r="O14" s="37"/>
      <c r="P14" s="37"/>
      <c r="Q14" s="34"/>
      <c r="R14" s="35">
        <f t="shared" si="0"/>
        <v>0</v>
      </c>
      <c r="S14" s="13" t="e">
        <f t="shared" si="1"/>
        <v>#DIV/0!</v>
      </c>
    </row>
    <row r="15" spans="1:21" ht="18" customHeight="1" x14ac:dyDescent="0.2">
      <c r="A15" s="5"/>
      <c r="B15" s="10"/>
      <c r="C15" s="34"/>
      <c r="D15" s="35"/>
      <c r="E15" s="36"/>
      <c r="F15" s="37"/>
      <c r="G15" s="37"/>
      <c r="H15" s="37"/>
      <c r="I15" s="37"/>
      <c r="J15" s="37"/>
      <c r="K15" s="37"/>
      <c r="L15" s="37"/>
      <c r="M15" s="37"/>
      <c r="N15" s="37"/>
      <c r="O15" s="37"/>
      <c r="P15" s="37"/>
      <c r="Q15" s="34"/>
      <c r="R15" s="35">
        <f t="shared" si="0"/>
        <v>0</v>
      </c>
      <c r="S15" s="7" t="e">
        <f t="shared" si="1"/>
        <v>#DIV/0!</v>
      </c>
    </row>
    <row r="16" spans="1:21" ht="18" customHeight="1" x14ac:dyDescent="0.2">
      <c r="A16" s="5"/>
      <c r="B16" s="10"/>
      <c r="C16" s="34"/>
      <c r="D16" s="35"/>
      <c r="E16" s="36"/>
      <c r="F16" s="37"/>
      <c r="G16" s="37"/>
      <c r="H16" s="37"/>
      <c r="I16" s="37"/>
      <c r="J16" s="37"/>
      <c r="K16" s="37"/>
      <c r="L16" s="37"/>
      <c r="M16" s="37"/>
      <c r="N16" s="37"/>
      <c r="O16" s="37"/>
      <c r="P16" s="37"/>
      <c r="Q16" s="34"/>
      <c r="R16" s="35">
        <f t="shared" si="0"/>
        <v>0</v>
      </c>
      <c r="S16" s="7" t="e">
        <f t="shared" si="1"/>
        <v>#DIV/0!</v>
      </c>
    </row>
    <row r="17" spans="1:19" ht="18" customHeight="1" x14ac:dyDescent="0.2">
      <c r="A17" s="5"/>
      <c r="B17" s="10"/>
      <c r="C17" s="34"/>
      <c r="D17" s="35"/>
      <c r="E17" s="36"/>
      <c r="F17" s="37"/>
      <c r="G17" s="37"/>
      <c r="H17" s="37"/>
      <c r="I17" s="37"/>
      <c r="J17" s="37"/>
      <c r="K17" s="37"/>
      <c r="L17" s="37"/>
      <c r="M17" s="37"/>
      <c r="N17" s="37"/>
      <c r="O17" s="37"/>
      <c r="P17" s="37"/>
      <c r="Q17" s="34"/>
      <c r="R17" s="35">
        <f t="shared" si="0"/>
        <v>0</v>
      </c>
      <c r="S17" s="7" t="e">
        <f t="shared" si="1"/>
        <v>#DIV/0!</v>
      </c>
    </row>
    <row r="18" spans="1:19" ht="18" customHeight="1" x14ac:dyDescent="0.2">
      <c r="A18" s="5"/>
      <c r="B18" s="10"/>
      <c r="C18" s="34"/>
      <c r="D18" s="35"/>
      <c r="E18" s="36"/>
      <c r="F18" s="37"/>
      <c r="G18" s="37"/>
      <c r="H18" s="37"/>
      <c r="I18" s="37"/>
      <c r="J18" s="37"/>
      <c r="K18" s="37"/>
      <c r="L18" s="37"/>
      <c r="M18" s="37"/>
      <c r="N18" s="37"/>
      <c r="O18" s="37"/>
      <c r="P18" s="37"/>
      <c r="Q18" s="34"/>
      <c r="R18" s="35">
        <f t="shared" si="0"/>
        <v>0</v>
      </c>
      <c r="S18" s="7" t="e">
        <f t="shared" si="1"/>
        <v>#DIV/0!</v>
      </c>
    </row>
    <row r="19" spans="1:19" ht="18" customHeight="1" x14ac:dyDescent="0.2">
      <c r="A19" s="5"/>
      <c r="B19" s="10"/>
      <c r="C19" s="34"/>
      <c r="D19" s="35"/>
      <c r="E19" s="36"/>
      <c r="F19" s="37"/>
      <c r="G19" s="37"/>
      <c r="H19" s="37"/>
      <c r="I19" s="37"/>
      <c r="J19" s="37"/>
      <c r="K19" s="37"/>
      <c r="L19" s="37"/>
      <c r="M19" s="37"/>
      <c r="N19" s="37"/>
      <c r="O19" s="37"/>
      <c r="P19" s="37"/>
      <c r="Q19" s="34"/>
      <c r="R19" s="35">
        <f t="shared" si="0"/>
        <v>0</v>
      </c>
      <c r="S19" s="7" t="e">
        <f t="shared" si="1"/>
        <v>#DIV/0!</v>
      </c>
    </row>
    <row r="20" spans="1:19" ht="18" customHeight="1" x14ac:dyDescent="0.2">
      <c r="A20" s="5"/>
      <c r="B20" s="10"/>
      <c r="C20" s="34"/>
      <c r="D20" s="35"/>
      <c r="E20" s="36"/>
      <c r="F20" s="37"/>
      <c r="G20" s="37"/>
      <c r="H20" s="37"/>
      <c r="I20" s="37"/>
      <c r="J20" s="37"/>
      <c r="K20" s="37"/>
      <c r="L20" s="37"/>
      <c r="M20" s="37"/>
      <c r="N20" s="37"/>
      <c r="O20" s="37"/>
      <c r="P20" s="37"/>
      <c r="Q20" s="34"/>
      <c r="R20" s="35">
        <f t="shared" si="0"/>
        <v>0</v>
      </c>
      <c r="S20" s="7" t="e">
        <f t="shared" si="1"/>
        <v>#DIV/0!</v>
      </c>
    </row>
    <row r="21" spans="1:19" ht="18" customHeight="1" x14ac:dyDescent="0.2">
      <c r="A21" s="5"/>
      <c r="B21" s="10"/>
      <c r="C21" s="34"/>
      <c r="D21" s="35"/>
      <c r="E21" s="36"/>
      <c r="F21" s="37"/>
      <c r="G21" s="37"/>
      <c r="H21" s="37"/>
      <c r="I21" s="37"/>
      <c r="J21" s="37"/>
      <c r="K21" s="37"/>
      <c r="L21" s="37"/>
      <c r="M21" s="37"/>
      <c r="N21" s="37"/>
      <c r="O21" s="37"/>
      <c r="P21" s="37"/>
      <c r="Q21" s="34"/>
      <c r="R21" s="35">
        <f t="shared" si="0"/>
        <v>0</v>
      </c>
      <c r="S21" s="7" t="e">
        <f t="shared" si="1"/>
        <v>#DIV/0!</v>
      </c>
    </row>
    <row r="22" spans="1:19" ht="18" customHeight="1" x14ac:dyDescent="0.2">
      <c r="A22" s="5"/>
      <c r="B22" s="10"/>
      <c r="C22" s="34"/>
      <c r="D22" s="35"/>
      <c r="E22" s="36"/>
      <c r="F22" s="37"/>
      <c r="G22" s="37"/>
      <c r="H22" s="37"/>
      <c r="I22" s="37"/>
      <c r="J22" s="37"/>
      <c r="K22" s="37"/>
      <c r="L22" s="37"/>
      <c r="M22" s="37"/>
      <c r="N22" s="37"/>
      <c r="O22" s="37"/>
      <c r="P22" s="37"/>
      <c r="Q22" s="34"/>
      <c r="R22" s="35">
        <f t="shared" si="0"/>
        <v>0</v>
      </c>
      <c r="S22" s="7" t="e">
        <f t="shared" si="1"/>
        <v>#DIV/0!</v>
      </c>
    </row>
    <row r="23" spans="1:19" ht="18" customHeight="1" x14ac:dyDescent="0.2">
      <c r="A23" s="5"/>
      <c r="B23" s="10"/>
      <c r="C23" s="34"/>
      <c r="D23" s="35"/>
      <c r="E23" s="36"/>
      <c r="F23" s="37"/>
      <c r="G23" s="37"/>
      <c r="H23" s="37"/>
      <c r="I23" s="37"/>
      <c r="J23" s="37"/>
      <c r="K23" s="37"/>
      <c r="L23" s="37"/>
      <c r="M23" s="37"/>
      <c r="N23" s="37"/>
      <c r="O23" s="37"/>
      <c r="P23" s="37"/>
      <c r="Q23" s="34"/>
      <c r="R23" s="35">
        <f t="shared" si="0"/>
        <v>0</v>
      </c>
      <c r="S23" s="7" t="e">
        <f t="shared" si="1"/>
        <v>#DIV/0!</v>
      </c>
    </row>
    <row r="24" spans="1:19" ht="18" customHeight="1" x14ac:dyDescent="0.2">
      <c r="A24" s="5"/>
      <c r="B24" s="10"/>
      <c r="C24" s="34"/>
      <c r="D24" s="35"/>
      <c r="E24" s="36"/>
      <c r="F24" s="37"/>
      <c r="G24" s="37"/>
      <c r="H24" s="37"/>
      <c r="I24" s="37"/>
      <c r="J24" s="37"/>
      <c r="K24" s="37"/>
      <c r="L24" s="37"/>
      <c r="M24" s="37"/>
      <c r="N24" s="37"/>
      <c r="O24" s="37"/>
      <c r="P24" s="37"/>
      <c r="Q24" s="34"/>
      <c r="R24" s="35">
        <f t="shared" si="0"/>
        <v>0</v>
      </c>
      <c r="S24" s="7" t="e">
        <f t="shared" si="1"/>
        <v>#DIV/0!</v>
      </c>
    </row>
    <row r="25" spans="1:19" ht="18" customHeight="1" x14ac:dyDescent="0.2">
      <c r="A25" s="5"/>
      <c r="B25" s="10"/>
      <c r="C25" s="34"/>
      <c r="D25" s="35"/>
      <c r="E25" s="36"/>
      <c r="F25" s="37"/>
      <c r="G25" s="37"/>
      <c r="H25" s="37"/>
      <c r="I25" s="37"/>
      <c r="J25" s="37"/>
      <c r="K25" s="37"/>
      <c r="L25" s="37"/>
      <c r="M25" s="37"/>
      <c r="N25" s="37"/>
      <c r="O25" s="37"/>
      <c r="P25" s="37"/>
      <c r="Q25" s="34"/>
      <c r="R25" s="35">
        <f t="shared" si="0"/>
        <v>0</v>
      </c>
      <c r="S25" s="7" t="e">
        <f t="shared" si="1"/>
        <v>#DIV/0!</v>
      </c>
    </row>
    <row r="26" spans="1:19" ht="18" customHeight="1" x14ac:dyDescent="0.2">
      <c r="A26" s="5"/>
      <c r="B26" s="10"/>
      <c r="C26" s="34"/>
      <c r="D26" s="35"/>
      <c r="E26" s="36"/>
      <c r="F26" s="37"/>
      <c r="G26" s="37"/>
      <c r="H26" s="37"/>
      <c r="I26" s="37"/>
      <c r="J26" s="37"/>
      <c r="K26" s="37"/>
      <c r="L26" s="37"/>
      <c r="M26" s="37"/>
      <c r="N26" s="37"/>
      <c r="O26" s="37"/>
      <c r="P26" s="37"/>
      <c r="Q26" s="34"/>
      <c r="R26" s="35">
        <f t="shared" si="0"/>
        <v>0</v>
      </c>
      <c r="S26" s="7" t="e">
        <f t="shared" si="1"/>
        <v>#DIV/0!</v>
      </c>
    </row>
    <row r="27" spans="1:19" ht="18" customHeight="1" x14ac:dyDescent="0.2">
      <c r="A27" s="5"/>
      <c r="B27" s="10"/>
      <c r="C27" s="34"/>
      <c r="D27" s="35"/>
      <c r="E27" s="36"/>
      <c r="F27" s="37"/>
      <c r="G27" s="37"/>
      <c r="H27" s="37"/>
      <c r="I27" s="37"/>
      <c r="J27" s="37"/>
      <c r="K27" s="37"/>
      <c r="L27" s="37"/>
      <c r="M27" s="37"/>
      <c r="N27" s="37"/>
      <c r="O27" s="37"/>
      <c r="P27" s="37"/>
      <c r="Q27" s="34"/>
      <c r="R27" s="35">
        <f t="shared" si="0"/>
        <v>0</v>
      </c>
      <c r="S27" s="7" t="e">
        <f t="shared" si="1"/>
        <v>#DIV/0!</v>
      </c>
    </row>
    <row r="28" spans="1:19" ht="18" customHeight="1" x14ac:dyDescent="0.2">
      <c r="A28" s="5"/>
      <c r="B28" s="10"/>
      <c r="C28" s="34"/>
      <c r="D28" s="35"/>
      <c r="E28" s="36"/>
      <c r="F28" s="37"/>
      <c r="G28" s="37"/>
      <c r="H28" s="37"/>
      <c r="I28" s="37"/>
      <c r="J28" s="37"/>
      <c r="K28" s="37"/>
      <c r="L28" s="37"/>
      <c r="M28" s="37"/>
      <c r="N28" s="37"/>
      <c r="O28" s="37"/>
      <c r="P28" s="37"/>
      <c r="Q28" s="34"/>
      <c r="R28" s="35">
        <f t="shared" si="0"/>
        <v>0</v>
      </c>
      <c r="S28" s="7" t="e">
        <f t="shared" si="1"/>
        <v>#DIV/0!</v>
      </c>
    </row>
    <row r="29" spans="1:19" ht="18" customHeight="1" x14ac:dyDescent="0.2">
      <c r="A29" s="5"/>
      <c r="B29" s="10"/>
      <c r="C29" s="34"/>
      <c r="D29" s="35"/>
      <c r="E29" s="36"/>
      <c r="F29" s="37"/>
      <c r="G29" s="37"/>
      <c r="H29" s="37"/>
      <c r="I29" s="37"/>
      <c r="J29" s="37"/>
      <c r="K29" s="37"/>
      <c r="L29" s="37"/>
      <c r="M29" s="37"/>
      <c r="N29" s="37"/>
      <c r="O29" s="37"/>
      <c r="P29" s="37"/>
      <c r="Q29" s="34"/>
      <c r="R29" s="35">
        <f t="shared" si="0"/>
        <v>0</v>
      </c>
      <c r="S29" s="7" t="e">
        <f t="shared" si="1"/>
        <v>#DIV/0!</v>
      </c>
    </row>
    <row r="30" spans="1:19" ht="18" customHeight="1" x14ac:dyDescent="0.2">
      <c r="A30" s="5"/>
      <c r="B30" s="10"/>
      <c r="C30" s="34"/>
      <c r="D30" s="38"/>
      <c r="E30" s="36"/>
      <c r="F30" s="37"/>
      <c r="G30" s="37"/>
      <c r="H30" s="37"/>
      <c r="I30" s="37"/>
      <c r="J30" s="37"/>
      <c r="K30" s="37"/>
      <c r="L30" s="37"/>
      <c r="M30" s="37"/>
      <c r="N30" s="37"/>
      <c r="O30" s="37"/>
      <c r="P30" s="37"/>
      <c r="Q30" s="34"/>
      <c r="R30" s="38">
        <f t="shared" si="0"/>
        <v>0</v>
      </c>
      <c r="S30" s="7" t="e">
        <f t="shared" si="1"/>
        <v>#DIV/0!</v>
      </c>
    </row>
    <row r="31" spans="1:19" ht="18" customHeight="1" x14ac:dyDescent="0.2">
      <c r="A31" s="5"/>
      <c r="B31" s="10"/>
      <c r="C31" s="34"/>
      <c r="D31" s="38"/>
      <c r="E31" s="36"/>
      <c r="F31" s="37"/>
      <c r="G31" s="37"/>
      <c r="H31" s="37"/>
      <c r="I31" s="37"/>
      <c r="J31" s="37"/>
      <c r="K31" s="37"/>
      <c r="L31" s="37"/>
      <c r="M31" s="37"/>
      <c r="N31" s="37"/>
      <c r="O31" s="37"/>
      <c r="P31" s="37"/>
      <c r="Q31" s="34"/>
      <c r="R31" s="38">
        <f t="shared" si="0"/>
        <v>0</v>
      </c>
      <c r="S31" s="7" t="e">
        <f t="shared" si="1"/>
        <v>#DIV/0!</v>
      </c>
    </row>
    <row r="32" spans="1:19" ht="18" customHeight="1" thickBot="1" x14ac:dyDescent="0.25">
      <c r="A32" s="5"/>
      <c r="B32" s="11"/>
      <c r="C32" s="31"/>
      <c r="D32" s="39"/>
      <c r="E32" s="33"/>
      <c r="F32" s="33"/>
      <c r="G32" s="33"/>
      <c r="H32" s="33"/>
      <c r="I32" s="33"/>
      <c r="J32" s="33"/>
      <c r="K32" s="33"/>
      <c r="L32" s="33"/>
      <c r="M32" s="33"/>
      <c r="N32" s="33"/>
      <c r="O32" s="33"/>
      <c r="P32" s="33"/>
      <c r="Q32" s="34"/>
      <c r="R32" s="39">
        <f t="shared" si="0"/>
        <v>0</v>
      </c>
      <c r="S32" s="6" t="e">
        <f t="shared" si="1"/>
        <v>#DIV/0!</v>
      </c>
    </row>
    <row r="33" spans="2:19" ht="18" customHeight="1" thickTop="1" x14ac:dyDescent="0.2">
      <c r="B33" s="12" t="s">
        <v>86</v>
      </c>
      <c r="C33" s="40">
        <f t="shared" ref="C33" si="2">SUM(C13:C32)</f>
        <v>380</v>
      </c>
      <c r="D33" s="41">
        <f t="shared" ref="D33:R33" si="3">SUM(D13:D32)</f>
        <v>200</v>
      </c>
      <c r="E33" s="42">
        <f t="shared" si="3"/>
        <v>800</v>
      </c>
      <c r="F33" s="42">
        <f t="shared" si="3"/>
        <v>121</v>
      </c>
      <c r="G33" s="42">
        <f t="shared" ref="G33:H33" si="4">SUM(G13:G32)</f>
        <v>0</v>
      </c>
      <c r="H33" s="42">
        <f t="shared" si="4"/>
        <v>0</v>
      </c>
      <c r="I33" s="42">
        <f t="shared" ref="I33:J33" si="5">SUM(I13:I32)</f>
        <v>0</v>
      </c>
      <c r="J33" s="42">
        <f t="shared" si="5"/>
        <v>0</v>
      </c>
      <c r="K33" s="42">
        <f t="shared" ref="K33:O33" si="6">SUM(K13:K32)</f>
        <v>0</v>
      </c>
      <c r="L33" s="42">
        <f t="shared" si="6"/>
        <v>0</v>
      </c>
      <c r="M33" s="42">
        <f t="shared" si="6"/>
        <v>0</v>
      </c>
      <c r="N33" s="42">
        <f t="shared" si="6"/>
        <v>0</v>
      </c>
      <c r="O33" s="42">
        <f t="shared" si="6"/>
        <v>0</v>
      </c>
      <c r="P33" s="42">
        <f t="shared" ref="P33:Q33" si="7">SUM(P13:P32)</f>
        <v>0</v>
      </c>
      <c r="Q33" s="40">
        <f t="shared" si="7"/>
        <v>0</v>
      </c>
      <c r="R33" s="41">
        <f t="shared" si="3"/>
        <v>121</v>
      </c>
      <c r="S33" s="8">
        <f t="shared" si="1"/>
        <v>0.15125</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5"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31" zoomScaleNormal="100" zoomScaleSheetLayoutView="100" workbookViewId="0">
      <selection activeCell="B108" sqref="B108:I119"/>
    </sheetView>
  </sheetViews>
  <sheetFormatPr defaultColWidth="11.33203125" defaultRowHeight="18.75" customHeight="1" x14ac:dyDescent="0.2"/>
  <cols>
    <col min="1" max="1" width="2.6640625" style="16" customWidth="1"/>
    <col min="2" max="2" width="16.6640625" style="1" customWidth="1"/>
    <col min="3" max="3" width="8.77734375" style="1" customWidth="1"/>
    <col min="4" max="4" width="2.3320312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16" t="s">
        <v>87</v>
      </c>
      <c r="I1" s="76" t="s">
        <v>88</v>
      </c>
    </row>
    <row r="2" spans="1:9" ht="18.75" customHeight="1" x14ac:dyDescent="0.2">
      <c r="G2" s="76" t="s">
        <v>2</v>
      </c>
      <c r="H2" s="88" t="str">
        <f>'様式１　プログラムを構成する授業科目'!C2</f>
        <v>日本国際学園大学</v>
      </c>
      <c r="I2" s="90"/>
    </row>
    <row r="3" spans="1:9" ht="18.75" customHeight="1" x14ac:dyDescent="0.2">
      <c r="G3" s="76"/>
      <c r="H3" s="9"/>
      <c r="I3" s="9"/>
    </row>
    <row r="4" spans="1:9" ht="18.45" customHeight="1" x14ac:dyDescent="0.2">
      <c r="A4" s="122" t="s">
        <v>89</v>
      </c>
      <c r="B4" s="122"/>
      <c r="C4" s="122"/>
      <c r="D4" s="122"/>
      <c r="E4" s="122"/>
      <c r="F4" s="122"/>
      <c r="G4" s="122"/>
      <c r="H4" s="122"/>
      <c r="I4" s="122"/>
    </row>
    <row r="5" spans="1:9" ht="13.2" customHeight="1" x14ac:dyDescent="0.2">
      <c r="B5" s="3"/>
      <c r="C5" s="3"/>
      <c r="D5" s="3"/>
      <c r="E5" s="3"/>
      <c r="F5" s="3"/>
      <c r="G5" s="3"/>
      <c r="H5" s="3"/>
      <c r="I5" s="3"/>
    </row>
    <row r="6" spans="1:9" ht="18" customHeight="1" x14ac:dyDescent="0.2">
      <c r="A6" s="1" t="s">
        <v>90</v>
      </c>
      <c r="B6" s="9" t="s">
        <v>91</v>
      </c>
      <c r="C6" s="215" t="s">
        <v>92</v>
      </c>
      <c r="D6" s="215"/>
      <c r="E6" s="14">
        <f>36</f>
        <v>36</v>
      </c>
      <c r="F6" s="3" t="s">
        <v>68</v>
      </c>
      <c r="G6" s="3" t="s">
        <v>93</v>
      </c>
      <c r="H6" s="14">
        <f>25</f>
        <v>25</v>
      </c>
      <c r="I6" s="9" t="s">
        <v>68</v>
      </c>
    </row>
    <row r="7" spans="1:9" ht="12" customHeight="1" x14ac:dyDescent="0.2">
      <c r="C7" s="2"/>
      <c r="D7" s="2"/>
      <c r="E7" s="2"/>
      <c r="F7" s="2"/>
      <c r="G7" s="2"/>
      <c r="H7" s="2"/>
      <c r="I7" s="17"/>
    </row>
    <row r="8" spans="1:9" ht="18" customHeight="1" x14ac:dyDescent="0.2">
      <c r="A8" s="1" t="s">
        <v>94</v>
      </c>
      <c r="B8" s="9" t="s">
        <v>95</v>
      </c>
      <c r="E8" s="3"/>
      <c r="F8" s="3"/>
      <c r="G8" s="3"/>
      <c r="H8" s="14">
        <f>7</f>
        <v>7</v>
      </c>
      <c r="I8" s="9" t="s">
        <v>68</v>
      </c>
    </row>
    <row r="9" spans="1:9" ht="9" customHeight="1" x14ac:dyDescent="0.2">
      <c r="B9" s="3"/>
      <c r="C9" s="3"/>
      <c r="D9" s="3"/>
      <c r="E9" s="3"/>
      <c r="F9" s="3"/>
      <c r="G9" s="3"/>
      <c r="H9" s="3"/>
      <c r="I9" s="3"/>
    </row>
    <row r="10" spans="1:9" ht="18" customHeight="1" x14ac:dyDescent="0.2">
      <c r="A10" s="1" t="s">
        <v>96</v>
      </c>
      <c r="B10" s="9" t="s">
        <v>97</v>
      </c>
      <c r="C10" s="3"/>
      <c r="D10" s="3"/>
      <c r="E10" s="3"/>
      <c r="F10" s="3"/>
      <c r="G10" s="3"/>
      <c r="H10" s="3"/>
      <c r="I10" s="3"/>
    </row>
    <row r="11" spans="1:9" ht="18" customHeight="1" x14ac:dyDescent="0.2">
      <c r="B11" s="76" t="s">
        <v>98</v>
      </c>
      <c r="C11" s="210" t="s">
        <v>168</v>
      </c>
      <c r="D11" s="213"/>
      <c r="E11" s="214"/>
      <c r="F11" s="17"/>
      <c r="G11" s="76" t="s">
        <v>99</v>
      </c>
      <c r="H11" s="210" t="s">
        <v>169</v>
      </c>
      <c r="I11" s="214"/>
    </row>
    <row r="12" spans="1:9" ht="10.199999999999999" customHeight="1" x14ac:dyDescent="0.2">
      <c r="B12" s="76"/>
      <c r="C12" s="9"/>
      <c r="D12" s="17"/>
      <c r="E12" s="17"/>
      <c r="F12" s="17"/>
      <c r="G12" s="76"/>
      <c r="H12" s="9"/>
      <c r="I12" s="17"/>
    </row>
    <row r="13" spans="1:9" ht="18" customHeight="1" x14ac:dyDescent="0.2">
      <c r="A13" s="1" t="s">
        <v>100</v>
      </c>
      <c r="B13" s="9" t="s">
        <v>101</v>
      </c>
      <c r="C13" s="3"/>
      <c r="D13" s="3"/>
      <c r="E13" s="3"/>
      <c r="F13" s="3"/>
      <c r="G13" s="3"/>
      <c r="H13" s="3"/>
      <c r="I13" s="3"/>
    </row>
    <row r="14" spans="1:9" ht="18" customHeight="1" x14ac:dyDescent="0.2">
      <c r="B14" s="210" t="s">
        <v>170</v>
      </c>
      <c r="C14" s="211"/>
      <c r="D14" s="211"/>
      <c r="E14" s="211"/>
      <c r="F14" s="211"/>
      <c r="G14" s="211"/>
      <c r="H14" s="211"/>
      <c r="I14" s="212"/>
    </row>
    <row r="15" spans="1:9" ht="9" customHeight="1" x14ac:dyDescent="0.2">
      <c r="B15" s="3"/>
      <c r="C15" s="3"/>
      <c r="D15" s="3"/>
      <c r="E15" s="3"/>
      <c r="F15" s="3"/>
      <c r="G15" s="3"/>
      <c r="H15" s="3"/>
      <c r="I15" s="3"/>
    </row>
    <row r="16" spans="1:9" ht="18" customHeight="1" x14ac:dyDescent="0.2">
      <c r="B16" s="76" t="s">
        <v>98</v>
      </c>
      <c r="C16" s="210" t="s">
        <v>168</v>
      </c>
      <c r="D16" s="213"/>
      <c r="E16" s="214"/>
      <c r="F16" s="17"/>
      <c r="G16" s="76" t="s">
        <v>99</v>
      </c>
      <c r="H16" s="210" t="s">
        <v>169</v>
      </c>
      <c r="I16" s="214"/>
    </row>
    <row r="17" spans="1:9" ht="18" customHeight="1" x14ac:dyDescent="0.2">
      <c r="B17" s="3"/>
      <c r="C17" s="3"/>
      <c r="D17" s="3"/>
      <c r="E17" s="3"/>
      <c r="F17" s="3"/>
      <c r="G17" s="3"/>
      <c r="H17" s="3"/>
      <c r="I17" s="3"/>
    </row>
    <row r="18" spans="1:9" ht="18.75" customHeight="1" x14ac:dyDescent="0.2">
      <c r="A18" s="1" t="s">
        <v>102</v>
      </c>
      <c r="B18" s="1" t="s">
        <v>103</v>
      </c>
      <c r="I18" s="3"/>
    </row>
    <row r="19" spans="1:9" ht="18.75" customHeight="1" x14ac:dyDescent="0.2">
      <c r="A19" s="1"/>
      <c r="B19" s="196" t="s">
        <v>171</v>
      </c>
      <c r="C19" s="197"/>
      <c r="D19" s="197"/>
      <c r="E19" s="197"/>
      <c r="F19" s="197"/>
      <c r="G19" s="197"/>
      <c r="H19" s="197"/>
      <c r="I19" s="198"/>
    </row>
    <row r="20" spans="1:9" ht="7.5" customHeight="1" x14ac:dyDescent="0.2">
      <c r="B20" s="3"/>
      <c r="C20" s="3"/>
      <c r="D20" s="3"/>
      <c r="E20" s="3"/>
      <c r="F20" s="3"/>
      <c r="G20" s="3"/>
      <c r="H20" s="3"/>
      <c r="I20" s="3"/>
    </row>
    <row r="21" spans="1:9" ht="18.75" customHeight="1" x14ac:dyDescent="0.2">
      <c r="A21" s="1" t="s">
        <v>104</v>
      </c>
      <c r="B21" s="1" t="s">
        <v>105</v>
      </c>
    </row>
    <row r="22" spans="1:9" ht="18.75" customHeight="1" x14ac:dyDescent="0.2">
      <c r="A22" s="79"/>
      <c r="B22" s="199" t="s">
        <v>180</v>
      </c>
      <c r="C22" s="200"/>
      <c r="D22" s="200"/>
      <c r="E22" s="200"/>
      <c r="F22" s="200"/>
      <c r="G22" s="200"/>
      <c r="H22" s="200"/>
      <c r="I22" s="201"/>
    </row>
    <row r="23" spans="1:9" ht="18.75" customHeight="1" x14ac:dyDescent="0.2">
      <c r="A23" s="79"/>
      <c r="B23" s="202"/>
      <c r="C23" s="203"/>
      <c r="D23" s="203"/>
      <c r="E23" s="203"/>
      <c r="F23" s="203"/>
      <c r="G23" s="203"/>
      <c r="H23" s="203"/>
      <c r="I23" s="204"/>
    </row>
    <row r="24" spans="1:9" ht="18.75" customHeight="1" x14ac:dyDescent="0.2">
      <c r="A24" s="79"/>
      <c r="B24" s="202"/>
      <c r="C24" s="203"/>
      <c r="D24" s="203"/>
      <c r="E24" s="203"/>
      <c r="F24" s="203"/>
      <c r="G24" s="203"/>
      <c r="H24" s="203"/>
      <c r="I24" s="204"/>
    </row>
    <row r="25" spans="1:9" ht="18.75" customHeight="1" x14ac:dyDescent="0.2">
      <c r="A25" s="79"/>
      <c r="B25" s="202"/>
      <c r="C25" s="203"/>
      <c r="D25" s="203"/>
      <c r="E25" s="203"/>
      <c r="F25" s="203"/>
      <c r="G25" s="203"/>
      <c r="H25" s="203"/>
      <c r="I25" s="204"/>
    </row>
    <row r="26" spans="1:9" ht="18.75" customHeight="1" x14ac:dyDescent="0.2">
      <c r="A26" s="79"/>
      <c r="B26" s="202"/>
      <c r="C26" s="203"/>
      <c r="D26" s="203"/>
      <c r="E26" s="203"/>
      <c r="F26" s="203"/>
      <c r="G26" s="203"/>
      <c r="H26" s="203"/>
      <c r="I26" s="204"/>
    </row>
    <row r="27" spans="1:9" ht="18.75" customHeight="1" x14ac:dyDescent="0.2">
      <c r="A27" s="79"/>
      <c r="B27" s="202"/>
      <c r="C27" s="203"/>
      <c r="D27" s="203"/>
      <c r="E27" s="203"/>
      <c r="F27" s="203"/>
      <c r="G27" s="203"/>
      <c r="H27" s="203"/>
      <c r="I27" s="204"/>
    </row>
    <row r="28" spans="1:9" ht="18.75" customHeight="1" x14ac:dyDescent="0.2">
      <c r="A28" s="79"/>
      <c r="B28" s="202"/>
      <c r="C28" s="203"/>
      <c r="D28" s="203"/>
      <c r="E28" s="203"/>
      <c r="F28" s="203"/>
      <c r="G28" s="203"/>
      <c r="H28" s="203"/>
      <c r="I28" s="204"/>
    </row>
    <row r="29" spans="1:9" ht="18.75" customHeight="1" x14ac:dyDescent="0.2">
      <c r="A29" s="79"/>
      <c r="B29" s="202"/>
      <c r="C29" s="203"/>
      <c r="D29" s="203"/>
      <c r="E29" s="203"/>
      <c r="F29" s="203"/>
      <c r="G29" s="203"/>
      <c r="H29" s="203"/>
      <c r="I29" s="204"/>
    </row>
    <row r="30" spans="1:9" ht="18.75" customHeight="1" x14ac:dyDescent="0.2">
      <c r="A30" s="79"/>
      <c r="B30" s="205"/>
      <c r="C30" s="206"/>
      <c r="D30" s="206"/>
      <c r="E30" s="206"/>
      <c r="F30" s="206"/>
      <c r="G30" s="206"/>
      <c r="H30" s="206"/>
      <c r="I30" s="204"/>
    </row>
    <row r="31" spans="1:9" ht="18.75" customHeight="1" x14ac:dyDescent="0.2">
      <c r="A31" s="79"/>
      <c r="B31" s="205"/>
      <c r="C31" s="206"/>
      <c r="D31" s="206"/>
      <c r="E31" s="206"/>
      <c r="F31" s="206"/>
      <c r="G31" s="206"/>
      <c r="H31" s="206"/>
      <c r="I31" s="204"/>
    </row>
    <row r="32" spans="1:9" ht="18.75" customHeight="1" x14ac:dyDescent="0.2">
      <c r="A32" s="79"/>
      <c r="B32" s="207"/>
      <c r="C32" s="208"/>
      <c r="D32" s="208"/>
      <c r="E32" s="208"/>
      <c r="F32" s="208"/>
      <c r="G32" s="208"/>
      <c r="H32" s="208"/>
      <c r="I32" s="209"/>
    </row>
    <row r="33" spans="1:9" ht="7.5" customHeight="1" x14ac:dyDescent="0.2">
      <c r="A33" s="79"/>
      <c r="B33" s="79"/>
      <c r="C33" s="79"/>
      <c r="D33" s="79"/>
      <c r="E33" s="79"/>
      <c r="F33" s="79"/>
      <c r="G33" s="79"/>
      <c r="H33" s="79"/>
      <c r="I33" s="79"/>
    </row>
    <row r="34" spans="1:9" ht="18.75" customHeight="1" x14ac:dyDescent="0.2">
      <c r="A34" s="75" t="s">
        <v>106</v>
      </c>
      <c r="B34" s="75" t="s">
        <v>107</v>
      </c>
      <c r="C34" s="9"/>
      <c r="D34" s="75"/>
      <c r="E34" s="75"/>
      <c r="F34" s="75"/>
      <c r="G34" s="75"/>
      <c r="H34" s="75"/>
      <c r="I34" s="75"/>
    </row>
    <row r="35" spans="1:9" ht="18.75" customHeight="1" x14ac:dyDescent="0.2">
      <c r="A35" s="79"/>
      <c r="B35" s="199" t="s">
        <v>181</v>
      </c>
      <c r="C35" s="200"/>
      <c r="D35" s="200"/>
      <c r="E35" s="200"/>
      <c r="F35" s="200"/>
      <c r="G35" s="200"/>
      <c r="H35" s="200"/>
      <c r="I35" s="201"/>
    </row>
    <row r="36" spans="1:9" ht="18.75" customHeight="1" x14ac:dyDescent="0.2">
      <c r="A36" s="79"/>
      <c r="B36" s="205"/>
      <c r="C36" s="206"/>
      <c r="D36" s="206"/>
      <c r="E36" s="206"/>
      <c r="F36" s="206"/>
      <c r="G36" s="206"/>
      <c r="H36" s="206"/>
      <c r="I36" s="204"/>
    </row>
    <row r="37" spans="1:9" ht="18.75" customHeight="1" x14ac:dyDescent="0.2">
      <c r="A37" s="79"/>
      <c r="B37" s="205"/>
      <c r="C37" s="206"/>
      <c r="D37" s="206"/>
      <c r="E37" s="206"/>
      <c r="F37" s="206"/>
      <c r="G37" s="206"/>
      <c r="H37" s="206"/>
      <c r="I37" s="204"/>
    </row>
    <row r="38" spans="1:9" ht="18.75" customHeight="1" x14ac:dyDescent="0.2">
      <c r="A38" s="79"/>
      <c r="B38" s="205"/>
      <c r="C38" s="206"/>
      <c r="D38" s="206"/>
      <c r="E38" s="206"/>
      <c r="F38" s="206"/>
      <c r="G38" s="206"/>
      <c r="H38" s="206"/>
      <c r="I38" s="204"/>
    </row>
    <row r="39" spans="1:9" ht="18.75" customHeight="1" x14ac:dyDescent="0.2">
      <c r="A39" s="79"/>
      <c r="B39" s="205"/>
      <c r="C39" s="206"/>
      <c r="D39" s="206"/>
      <c r="E39" s="206"/>
      <c r="F39" s="206"/>
      <c r="G39" s="206"/>
      <c r="H39" s="206"/>
      <c r="I39" s="204"/>
    </row>
    <row r="40" spans="1:9" ht="18.75" customHeight="1" x14ac:dyDescent="0.2">
      <c r="A40" s="79"/>
      <c r="B40" s="205"/>
      <c r="C40" s="206"/>
      <c r="D40" s="206"/>
      <c r="E40" s="206"/>
      <c r="F40" s="206"/>
      <c r="G40" s="206"/>
      <c r="H40" s="206"/>
      <c r="I40" s="204"/>
    </row>
    <row r="41" spans="1:9" ht="18.75" customHeight="1" x14ac:dyDescent="0.2">
      <c r="A41" s="79"/>
      <c r="B41" s="205"/>
      <c r="C41" s="206"/>
      <c r="D41" s="206"/>
      <c r="E41" s="206"/>
      <c r="F41" s="206"/>
      <c r="G41" s="206"/>
      <c r="H41" s="206"/>
      <c r="I41" s="204"/>
    </row>
    <row r="42" spans="1:9" ht="18.75" customHeight="1" x14ac:dyDescent="0.2">
      <c r="A42" s="79"/>
      <c r="B42" s="205"/>
      <c r="C42" s="206"/>
      <c r="D42" s="206"/>
      <c r="E42" s="206"/>
      <c r="F42" s="206"/>
      <c r="G42" s="206"/>
      <c r="H42" s="206"/>
      <c r="I42" s="204"/>
    </row>
    <row r="43" spans="1:9" ht="18.75" customHeight="1" x14ac:dyDescent="0.2">
      <c r="A43" s="79"/>
      <c r="B43" s="205"/>
      <c r="C43" s="206"/>
      <c r="D43" s="206"/>
      <c r="E43" s="206"/>
      <c r="F43" s="206"/>
      <c r="G43" s="206"/>
      <c r="H43" s="206"/>
      <c r="I43" s="204"/>
    </row>
    <row r="44" spans="1:9" ht="18.75" customHeight="1" x14ac:dyDescent="0.2">
      <c r="A44" s="79"/>
      <c r="B44" s="205"/>
      <c r="C44" s="206"/>
      <c r="D44" s="206"/>
      <c r="E44" s="206"/>
      <c r="F44" s="206"/>
      <c r="G44" s="206"/>
      <c r="H44" s="206"/>
      <c r="I44" s="204"/>
    </row>
    <row r="45" spans="1:9" ht="18.75" customHeight="1" x14ac:dyDescent="0.2">
      <c r="A45" s="79"/>
      <c r="B45" s="205"/>
      <c r="C45" s="206"/>
      <c r="D45" s="206"/>
      <c r="E45" s="206"/>
      <c r="F45" s="206"/>
      <c r="G45" s="206"/>
      <c r="H45" s="206"/>
      <c r="I45" s="204"/>
    </row>
    <row r="46" spans="1:9" ht="18.75" customHeight="1" x14ac:dyDescent="0.2">
      <c r="A46" s="79"/>
      <c r="B46" s="207"/>
      <c r="C46" s="208"/>
      <c r="D46" s="208"/>
      <c r="E46" s="208"/>
      <c r="F46" s="208"/>
      <c r="G46" s="208"/>
      <c r="H46" s="208"/>
      <c r="I46" s="209"/>
    </row>
    <row r="47" spans="1:9" ht="7.5" customHeight="1" x14ac:dyDescent="0.2">
      <c r="A47" s="4"/>
      <c r="B47" s="4"/>
      <c r="C47" s="4"/>
      <c r="D47" s="4"/>
      <c r="E47" s="4"/>
      <c r="F47" s="4"/>
      <c r="G47" s="4"/>
      <c r="H47" s="4"/>
      <c r="I47" s="4"/>
    </row>
    <row r="48" spans="1:9" ht="18.75" customHeight="1" x14ac:dyDescent="0.2">
      <c r="A48" s="1" t="s">
        <v>108</v>
      </c>
      <c r="B48" s="1" t="s">
        <v>109</v>
      </c>
    </row>
    <row r="49" spans="1:15" s="3" customFormat="1" ht="18.75" customHeight="1" x14ac:dyDescent="0.2">
      <c r="B49" s="73" t="s">
        <v>110</v>
      </c>
      <c r="C49" s="185">
        <f>'様式２ 履修者等数の実績'!S33</f>
        <v>0.15125</v>
      </c>
      <c r="D49" s="185"/>
      <c r="E49" s="73" t="s">
        <v>111</v>
      </c>
      <c r="F49" s="185">
        <f>0.3</f>
        <v>0.3</v>
      </c>
      <c r="G49" s="185"/>
      <c r="H49" s="73" t="s">
        <v>112</v>
      </c>
      <c r="I49" s="78">
        <f>0.5</f>
        <v>0.5</v>
      </c>
      <c r="J49" s="1"/>
      <c r="M49" s="1"/>
      <c r="N49" s="18"/>
    </row>
    <row r="50" spans="1:15" s="3" customFormat="1" ht="18.75" customHeight="1" x14ac:dyDescent="0.2">
      <c r="B50" s="74" t="s">
        <v>113</v>
      </c>
      <c r="C50" s="168">
        <f>0.8</f>
        <v>0.8</v>
      </c>
      <c r="D50" s="168"/>
      <c r="E50" s="74" t="s">
        <v>114</v>
      </c>
      <c r="F50" s="168">
        <f>0.95</f>
        <v>0.95</v>
      </c>
      <c r="G50" s="168"/>
      <c r="H50" s="74" t="s">
        <v>115</v>
      </c>
      <c r="I50" s="19">
        <f>'様式２ 履修者等数の実績'!E33</f>
        <v>800</v>
      </c>
      <c r="J50" s="1"/>
      <c r="M50" s="1"/>
      <c r="N50" s="18"/>
    </row>
    <row r="51" spans="1:15" ht="18.75" customHeight="1" x14ac:dyDescent="0.2">
      <c r="A51" s="1"/>
      <c r="B51" s="217" t="s">
        <v>116</v>
      </c>
      <c r="C51" s="218"/>
      <c r="D51" s="218"/>
      <c r="E51" s="218"/>
      <c r="F51" s="218"/>
      <c r="G51" s="218"/>
      <c r="H51" s="218"/>
      <c r="I51" s="219"/>
      <c r="N51" s="18"/>
      <c r="O51" s="3"/>
    </row>
    <row r="52" spans="1:15" ht="18.75" customHeight="1" x14ac:dyDescent="0.2">
      <c r="A52" s="1"/>
      <c r="B52" s="186" t="s">
        <v>184</v>
      </c>
      <c r="C52" s="187"/>
      <c r="D52" s="187"/>
      <c r="E52" s="187"/>
      <c r="F52" s="187"/>
      <c r="G52" s="187"/>
      <c r="H52" s="187"/>
      <c r="I52" s="188"/>
      <c r="N52" s="18"/>
      <c r="O52" s="3"/>
    </row>
    <row r="53" spans="1:15" ht="18.75" customHeight="1" x14ac:dyDescent="0.2">
      <c r="A53" s="1"/>
      <c r="B53" s="189"/>
      <c r="C53" s="190"/>
      <c r="D53" s="190"/>
      <c r="E53" s="190"/>
      <c r="F53" s="190"/>
      <c r="G53" s="190"/>
      <c r="H53" s="190"/>
      <c r="I53" s="191"/>
      <c r="N53" s="18"/>
      <c r="O53" s="3"/>
    </row>
    <row r="54" spans="1:15" ht="18.75" customHeight="1" x14ac:dyDescent="0.2">
      <c r="A54" s="1"/>
      <c r="B54" s="189"/>
      <c r="C54" s="190"/>
      <c r="D54" s="190"/>
      <c r="E54" s="190"/>
      <c r="F54" s="190"/>
      <c r="G54" s="190"/>
      <c r="H54" s="190"/>
      <c r="I54" s="191"/>
    </row>
    <row r="55" spans="1:15" ht="18.75" customHeight="1" x14ac:dyDescent="0.2">
      <c r="A55" s="1"/>
      <c r="B55" s="189"/>
      <c r="C55" s="190"/>
      <c r="D55" s="190"/>
      <c r="E55" s="190"/>
      <c r="F55" s="190"/>
      <c r="G55" s="190"/>
      <c r="H55" s="190"/>
      <c r="I55" s="191"/>
    </row>
    <row r="56" spans="1:15" ht="18.75" customHeight="1" x14ac:dyDescent="0.2">
      <c r="A56" s="1"/>
      <c r="B56" s="189"/>
      <c r="C56" s="190"/>
      <c r="D56" s="190"/>
      <c r="E56" s="190"/>
      <c r="F56" s="190"/>
      <c r="G56" s="190"/>
      <c r="H56" s="190"/>
      <c r="I56" s="191"/>
    </row>
    <row r="57" spans="1:15" ht="18.75" customHeight="1" x14ac:dyDescent="0.2">
      <c r="A57" s="1"/>
      <c r="B57" s="189"/>
      <c r="C57" s="190"/>
      <c r="D57" s="190"/>
      <c r="E57" s="190"/>
      <c r="F57" s="190"/>
      <c r="G57" s="190"/>
      <c r="H57" s="190"/>
      <c r="I57" s="191"/>
    </row>
    <row r="58" spans="1:15" ht="18.75" customHeight="1" x14ac:dyDescent="0.2">
      <c r="A58" s="1"/>
      <c r="B58" s="189"/>
      <c r="C58" s="190"/>
      <c r="D58" s="190"/>
      <c r="E58" s="190"/>
      <c r="F58" s="190"/>
      <c r="G58" s="190"/>
      <c r="H58" s="190"/>
      <c r="I58" s="191"/>
    </row>
    <row r="59" spans="1:15" ht="18.75" customHeight="1" x14ac:dyDescent="0.2">
      <c r="A59" s="1"/>
      <c r="B59" s="189"/>
      <c r="C59" s="190"/>
      <c r="D59" s="190"/>
      <c r="E59" s="190"/>
      <c r="F59" s="190"/>
      <c r="G59" s="190"/>
      <c r="H59" s="190"/>
      <c r="I59" s="191"/>
    </row>
    <row r="60" spans="1:15" ht="18.75" customHeight="1" x14ac:dyDescent="0.2">
      <c r="A60" s="1"/>
      <c r="B60" s="189"/>
      <c r="C60" s="190"/>
      <c r="D60" s="190"/>
      <c r="E60" s="190"/>
      <c r="F60" s="190"/>
      <c r="G60" s="190"/>
      <c r="H60" s="190"/>
      <c r="I60" s="191"/>
    </row>
    <row r="61" spans="1:15" ht="18.75" customHeight="1" x14ac:dyDescent="0.2">
      <c r="A61" s="1"/>
      <c r="B61" s="189"/>
      <c r="C61" s="190"/>
      <c r="D61" s="190"/>
      <c r="E61" s="190"/>
      <c r="F61" s="190"/>
      <c r="G61" s="190"/>
      <c r="H61" s="190"/>
      <c r="I61" s="191"/>
    </row>
    <row r="62" spans="1:15" ht="18.75" customHeight="1" x14ac:dyDescent="0.2">
      <c r="A62" s="1"/>
      <c r="B62" s="189"/>
      <c r="C62" s="190"/>
      <c r="D62" s="190"/>
      <c r="E62" s="190"/>
      <c r="F62" s="190"/>
      <c r="G62" s="190"/>
      <c r="H62" s="190"/>
      <c r="I62" s="191"/>
    </row>
    <row r="63" spans="1:15" ht="18.75" customHeight="1" x14ac:dyDescent="0.2">
      <c r="A63" s="1"/>
      <c r="B63" s="192"/>
      <c r="C63" s="193"/>
      <c r="D63" s="193"/>
      <c r="E63" s="193"/>
      <c r="F63" s="193"/>
      <c r="G63" s="193"/>
      <c r="H63" s="193"/>
      <c r="I63" s="194"/>
    </row>
    <row r="64" spans="1:15" ht="7.5" customHeight="1" x14ac:dyDescent="0.2">
      <c r="A64" s="79"/>
      <c r="B64" s="79"/>
      <c r="C64" s="79"/>
      <c r="D64" s="79"/>
      <c r="E64" s="79"/>
      <c r="F64" s="79"/>
      <c r="G64" s="79"/>
      <c r="H64" s="79"/>
      <c r="I64" s="79"/>
    </row>
    <row r="65" spans="1:9" ht="18.75" customHeight="1" x14ac:dyDescent="0.2">
      <c r="A65" s="75" t="s">
        <v>117</v>
      </c>
      <c r="B65" s="1" t="s">
        <v>118</v>
      </c>
      <c r="I65" s="75"/>
    </row>
    <row r="66" spans="1:9" ht="18.75" customHeight="1" x14ac:dyDescent="0.2">
      <c r="A66" s="4"/>
      <c r="B66" s="169" t="s">
        <v>166</v>
      </c>
      <c r="C66" s="170"/>
      <c r="D66" s="170"/>
      <c r="E66" s="170"/>
      <c r="F66" s="170"/>
      <c r="G66" s="170"/>
      <c r="H66" s="170"/>
      <c r="I66" s="171"/>
    </row>
    <row r="67" spans="1:9" ht="18.75" customHeight="1" x14ac:dyDescent="0.2">
      <c r="A67" s="4"/>
      <c r="B67" s="172"/>
      <c r="C67" s="173"/>
      <c r="D67" s="173"/>
      <c r="E67" s="173"/>
      <c r="F67" s="173"/>
      <c r="G67" s="173"/>
      <c r="H67" s="173"/>
      <c r="I67" s="174"/>
    </row>
    <row r="68" spans="1:9" ht="18.75" customHeight="1" x14ac:dyDescent="0.2">
      <c r="A68" s="4"/>
      <c r="B68" s="172"/>
      <c r="C68" s="173"/>
      <c r="D68" s="173"/>
      <c r="E68" s="173"/>
      <c r="F68" s="173"/>
      <c r="G68" s="173"/>
      <c r="H68" s="173"/>
      <c r="I68" s="174"/>
    </row>
    <row r="69" spans="1:9" ht="18.75" customHeight="1" x14ac:dyDescent="0.2">
      <c r="A69" s="4"/>
      <c r="B69" s="172"/>
      <c r="C69" s="173"/>
      <c r="D69" s="173"/>
      <c r="E69" s="173"/>
      <c r="F69" s="173"/>
      <c r="G69" s="173"/>
      <c r="H69" s="173"/>
      <c r="I69" s="174"/>
    </row>
    <row r="70" spans="1:9" ht="18.75" customHeight="1" x14ac:dyDescent="0.2">
      <c r="A70" s="4"/>
      <c r="B70" s="172"/>
      <c r="C70" s="173"/>
      <c r="D70" s="173"/>
      <c r="E70" s="173"/>
      <c r="F70" s="173"/>
      <c r="G70" s="173"/>
      <c r="H70" s="173"/>
      <c r="I70" s="174"/>
    </row>
    <row r="71" spans="1:9" ht="18.75" customHeight="1" x14ac:dyDescent="0.2">
      <c r="A71" s="4"/>
      <c r="B71" s="172"/>
      <c r="C71" s="173"/>
      <c r="D71" s="173"/>
      <c r="E71" s="173"/>
      <c r="F71" s="173"/>
      <c r="G71" s="173"/>
      <c r="H71" s="173"/>
      <c r="I71" s="174"/>
    </row>
    <row r="72" spans="1:9" ht="18.75" customHeight="1" x14ac:dyDescent="0.2">
      <c r="A72" s="4"/>
      <c r="B72" s="172"/>
      <c r="C72" s="173"/>
      <c r="D72" s="173"/>
      <c r="E72" s="173"/>
      <c r="F72" s="173"/>
      <c r="G72" s="173"/>
      <c r="H72" s="173"/>
      <c r="I72" s="174"/>
    </row>
    <row r="73" spans="1:9" ht="18.75" customHeight="1" x14ac:dyDescent="0.2">
      <c r="A73" s="4"/>
      <c r="B73" s="172"/>
      <c r="C73" s="173"/>
      <c r="D73" s="173"/>
      <c r="E73" s="173"/>
      <c r="F73" s="173"/>
      <c r="G73" s="173"/>
      <c r="H73" s="173"/>
      <c r="I73" s="174"/>
    </row>
    <row r="74" spans="1:9" ht="18.75" customHeight="1" x14ac:dyDescent="0.2">
      <c r="A74" s="4"/>
      <c r="B74" s="172"/>
      <c r="C74" s="173"/>
      <c r="D74" s="173"/>
      <c r="E74" s="173"/>
      <c r="F74" s="173"/>
      <c r="G74" s="173"/>
      <c r="H74" s="173"/>
      <c r="I74" s="174"/>
    </row>
    <row r="75" spans="1:9" ht="18.75" customHeight="1" x14ac:dyDescent="0.2">
      <c r="A75" s="4"/>
      <c r="B75" s="172"/>
      <c r="C75" s="173"/>
      <c r="D75" s="173"/>
      <c r="E75" s="173"/>
      <c r="F75" s="173"/>
      <c r="G75" s="173"/>
      <c r="H75" s="173"/>
      <c r="I75" s="174"/>
    </row>
    <row r="76" spans="1:9" ht="18.75" customHeight="1" x14ac:dyDescent="0.2">
      <c r="A76" s="4"/>
      <c r="B76" s="172"/>
      <c r="C76" s="173"/>
      <c r="D76" s="173"/>
      <c r="E76" s="173"/>
      <c r="F76" s="173"/>
      <c r="G76" s="173"/>
      <c r="H76" s="173"/>
      <c r="I76" s="174"/>
    </row>
    <row r="77" spans="1:9" ht="18.75" customHeight="1" x14ac:dyDescent="0.2">
      <c r="A77" s="4"/>
      <c r="B77" s="175"/>
      <c r="C77" s="176"/>
      <c r="D77" s="176"/>
      <c r="E77" s="176"/>
      <c r="F77" s="176"/>
      <c r="G77" s="176"/>
      <c r="H77" s="176"/>
      <c r="I77" s="177"/>
    </row>
    <row r="78" spans="1:9" ht="7.5" customHeight="1" x14ac:dyDescent="0.2">
      <c r="A78" s="4"/>
      <c r="B78" s="4"/>
      <c r="C78" s="4"/>
      <c r="D78" s="4"/>
      <c r="E78" s="4"/>
      <c r="F78" s="4"/>
      <c r="G78" s="4"/>
      <c r="H78" s="4"/>
      <c r="I78" s="4"/>
    </row>
    <row r="79" spans="1:9" ht="18.75" customHeight="1" x14ac:dyDescent="0.2">
      <c r="A79" s="1" t="s">
        <v>119</v>
      </c>
      <c r="B79" s="1" t="s">
        <v>120</v>
      </c>
    </row>
    <row r="80" spans="1:9" ht="18.75" customHeight="1" x14ac:dyDescent="0.2">
      <c r="A80" s="1"/>
      <c r="B80" s="169" t="s">
        <v>185</v>
      </c>
      <c r="C80" s="170"/>
      <c r="D80" s="170"/>
      <c r="E80" s="170"/>
      <c r="F80" s="170"/>
      <c r="G80" s="170"/>
      <c r="H80" s="170"/>
      <c r="I80" s="178"/>
    </row>
    <row r="81" spans="1:9" ht="18.75" customHeight="1" x14ac:dyDescent="0.2">
      <c r="A81" s="1"/>
      <c r="B81" s="179"/>
      <c r="C81" s="180"/>
      <c r="D81" s="180"/>
      <c r="E81" s="180"/>
      <c r="F81" s="180"/>
      <c r="G81" s="180"/>
      <c r="H81" s="180"/>
      <c r="I81" s="181"/>
    </row>
    <row r="82" spans="1:9" ht="18.75" customHeight="1" x14ac:dyDescent="0.2">
      <c r="A82" s="1"/>
      <c r="B82" s="179"/>
      <c r="C82" s="180"/>
      <c r="D82" s="180"/>
      <c r="E82" s="180"/>
      <c r="F82" s="180"/>
      <c r="G82" s="180"/>
      <c r="H82" s="180"/>
      <c r="I82" s="181"/>
    </row>
    <row r="83" spans="1:9" ht="18.75" customHeight="1" x14ac:dyDescent="0.2">
      <c r="A83" s="1"/>
      <c r="B83" s="179"/>
      <c r="C83" s="180"/>
      <c r="D83" s="180"/>
      <c r="E83" s="180"/>
      <c r="F83" s="180"/>
      <c r="G83" s="180"/>
      <c r="H83" s="180"/>
      <c r="I83" s="181"/>
    </row>
    <row r="84" spans="1:9" ht="18.75" customHeight="1" x14ac:dyDescent="0.2">
      <c r="A84" s="1"/>
      <c r="B84" s="179"/>
      <c r="C84" s="180"/>
      <c r="D84" s="180"/>
      <c r="E84" s="180"/>
      <c r="F84" s="180"/>
      <c r="G84" s="180"/>
      <c r="H84" s="180"/>
      <c r="I84" s="181"/>
    </row>
    <row r="85" spans="1:9" ht="18.75" customHeight="1" x14ac:dyDescent="0.2">
      <c r="A85" s="1"/>
      <c r="B85" s="179"/>
      <c r="C85" s="180"/>
      <c r="D85" s="180"/>
      <c r="E85" s="180"/>
      <c r="F85" s="180"/>
      <c r="G85" s="180"/>
      <c r="H85" s="180"/>
      <c r="I85" s="181"/>
    </row>
    <row r="86" spans="1:9" ht="18.75" customHeight="1" x14ac:dyDescent="0.2">
      <c r="A86" s="1"/>
      <c r="B86" s="179"/>
      <c r="C86" s="180"/>
      <c r="D86" s="180"/>
      <c r="E86" s="180"/>
      <c r="F86" s="180"/>
      <c r="G86" s="180"/>
      <c r="H86" s="180"/>
      <c r="I86" s="181"/>
    </row>
    <row r="87" spans="1:9" ht="18.75" customHeight="1" x14ac:dyDescent="0.2">
      <c r="A87" s="1"/>
      <c r="B87" s="179"/>
      <c r="C87" s="180"/>
      <c r="D87" s="180"/>
      <c r="E87" s="180"/>
      <c r="F87" s="180"/>
      <c r="G87" s="180"/>
      <c r="H87" s="180"/>
      <c r="I87" s="181"/>
    </row>
    <row r="88" spans="1:9" ht="18.75" customHeight="1" x14ac:dyDescent="0.2">
      <c r="A88" s="1"/>
      <c r="B88" s="179"/>
      <c r="C88" s="180"/>
      <c r="D88" s="180"/>
      <c r="E88" s="180"/>
      <c r="F88" s="180"/>
      <c r="G88" s="180"/>
      <c r="H88" s="180"/>
      <c r="I88" s="181"/>
    </row>
    <row r="89" spans="1:9" ht="18.75" customHeight="1" x14ac:dyDescent="0.2">
      <c r="A89" s="1"/>
      <c r="B89" s="179"/>
      <c r="C89" s="180"/>
      <c r="D89" s="180"/>
      <c r="E89" s="180"/>
      <c r="F89" s="180"/>
      <c r="G89" s="180"/>
      <c r="H89" s="180"/>
      <c r="I89" s="181"/>
    </row>
    <row r="90" spans="1:9" ht="18.75" customHeight="1" x14ac:dyDescent="0.2">
      <c r="A90" s="4"/>
      <c r="B90" s="179"/>
      <c r="C90" s="180"/>
      <c r="D90" s="180"/>
      <c r="E90" s="180"/>
      <c r="F90" s="180"/>
      <c r="G90" s="180"/>
      <c r="H90" s="180"/>
      <c r="I90" s="181"/>
    </row>
    <row r="91" spans="1:9" ht="18.75" customHeight="1" x14ac:dyDescent="0.2">
      <c r="A91" s="4"/>
      <c r="B91" s="182"/>
      <c r="C91" s="183"/>
      <c r="D91" s="183"/>
      <c r="E91" s="183"/>
      <c r="F91" s="183"/>
      <c r="G91" s="183"/>
      <c r="H91" s="183"/>
      <c r="I91" s="184"/>
    </row>
    <row r="92" spans="1:9" ht="7.5" customHeight="1" x14ac:dyDescent="0.2">
      <c r="A92" s="4"/>
      <c r="B92" s="4"/>
      <c r="C92" s="4"/>
      <c r="D92" s="4"/>
      <c r="E92" s="4"/>
      <c r="F92" s="4"/>
      <c r="G92" s="4"/>
      <c r="H92" s="4"/>
      <c r="I92" s="4"/>
    </row>
    <row r="93" spans="1:9" ht="18.75" customHeight="1" x14ac:dyDescent="0.2">
      <c r="A93" s="1" t="s">
        <v>121</v>
      </c>
      <c r="B93" s="1" t="s">
        <v>122</v>
      </c>
    </row>
    <row r="94" spans="1:9" ht="18.75" customHeight="1" x14ac:dyDescent="0.2">
      <c r="A94" s="1"/>
      <c r="B94" s="199" t="s">
        <v>186</v>
      </c>
      <c r="C94" s="200"/>
      <c r="D94" s="200"/>
      <c r="E94" s="200"/>
      <c r="F94" s="200"/>
      <c r="G94" s="200"/>
      <c r="H94" s="200"/>
      <c r="I94" s="201"/>
    </row>
    <row r="95" spans="1:9" ht="18.75" customHeight="1" x14ac:dyDescent="0.2">
      <c r="A95" s="1"/>
      <c r="B95" s="205"/>
      <c r="C95" s="206"/>
      <c r="D95" s="206"/>
      <c r="E95" s="206"/>
      <c r="F95" s="206"/>
      <c r="G95" s="206"/>
      <c r="H95" s="206"/>
      <c r="I95" s="204"/>
    </row>
    <row r="96" spans="1:9" ht="18.75" customHeight="1" x14ac:dyDescent="0.2">
      <c r="A96" s="1"/>
      <c r="B96" s="205"/>
      <c r="C96" s="206"/>
      <c r="D96" s="206"/>
      <c r="E96" s="206"/>
      <c r="F96" s="206"/>
      <c r="G96" s="206"/>
      <c r="H96" s="206"/>
      <c r="I96" s="204"/>
    </row>
    <row r="97" spans="1:9" ht="18.75" customHeight="1" x14ac:dyDescent="0.2">
      <c r="A97" s="1"/>
      <c r="B97" s="205"/>
      <c r="C97" s="206"/>
      <c r="D97" s="206"/>
      <c r="E97" s="206"/>
      <c r="F97" s="206"/>
      <c r="G97" s="206"/>
      <c r="H97" s="206"/>
      <c r="I97" s="204"/>
    </row>
    <row r="98" spans="1:9" ht="18.75" customHeight="1" x14ac:dyDescent="0.2">
      <c r="A98" s="1"/>
      <c r="B98" s="205"/>
      <c r="C98" s="206"/>
      <c r="D98" s="206"/>
      <c r="E98" s="206"/>
      <c r="F98" s="206"/>
      <c r="G98" s="206"/>
      <c r="H98" s="206"/>
      <c r="I98" s="204"/>
    </row>
    <row r="99" spans="1:9" ht="18.75" customHeight="1" x14ac:dyDescent="0.2">
      <c r="A99" s="1"/>
      <c r="B99" s="205"/>
      <c r="C99" s="206"/>
      <c r="D99" s="206"/>
      <c r="E99" s="206"/>
      <c r="F99" s="206"/>
      <c r="G99" s="206"/>
      <c r="H99" s="206"/>
      <c r="I99" s="204"/>
    </row>
    <row r="100" spans="1:9" ht="18.75" customHeight="1" x14ac:dyDescent="0.2">
      <c r="A100" s="1"/>
      <c r="B100" s="205"/>
      <c r="C100" s="206"/>
      <c r="D100" s="206"/>
      <c r="E100" s="206"/>
      <c r="F100" s="206"/>
      <c r="G100" s="206"/>
      <c r="H100" s="206"/>
      <c r="I100" s="204"/>
    </row>
    <row r="101" spans="1:9" ht="18.75" customHeight="1" x14ac:dyDescent="0.2">
      <c r="A101" s="1"/>
      <c r="B101" s="205"/>
      <c r="C101" s="206"/>
      <c r="D101" s="206"/>
      <c r="E101" s="206"/>
      <c r="F101" s="206"/>
      <c r="G101" s="206"/>
      <c r="H101" s="206"/>
      <c r="I101" s="204"/>
    </row>
    <row r="102" spans="1:9" ht="18.75" customHeight="1" x14ac:dyDescent="0.2">
      <c r="A102" s="1"/>
      <c r="B102" s="205"/>
      <c r="C102" s="206"/>
      <c r="D102" s="206"/>
      <c r="E102" s="206"/>
      <c r="F102" s="206"/>
      <c r="G102" s="206"/>
      <c r="H102" s="206"/>
      <c r="I102" s="204"/>
    </row>
    <row r="103" spans="1:9" ht="18.75" customHeight="1" x14ac:dyDescent="0.2">
      <c r="A103" s="1"/>
      <c r="B103" s="205"/>
      <c r="C103" s="206"/>
      <c r="D103" s="206"/>
      <c r="E103" s="206"/>
      <c r="F103" s="206"/>
      <c r="G103" s="206"/>
      <c r="H103" s="206"/>
      <c r="I103" s="204"/>
    </row>
    <row r="104" spans="1:9" ht="18.75" customHeight="1" x14ac:dyDescent="0.2">
      <c r="A104" s="1"/>
      <c r="B104" s="205"/>
      <c r="C104" s="206"/>
      <c r="D104" s="206"/>
      <c r="E104" s="206"/>
      <c r="F104" s="206"/>
      <c r="G104" s="206"/>
      <c r="H104" s="206"/>
      <c r="I104" s="204"/>
    </row>
    <row r="105" spans="1:9" ht="18.75" customHeight="1" x14ac:dyDescent="0.2">
      <c r="A105" s="4"/>
      <c r="B105" s="207"/>
      <c r="C105" s="208"/>
      <c r="D105" s="208"/>
      <c r="E105" s="208"/>
      <c r="F105" s="208"/>
      <c r="G105" s="208"/>
      <c r="H105" s="208"/>
      <c r="I105" s="209"/>
    </row>
    <row r="106" spans="1:9" ht="7.5" customHeight="1" x14ac:dyDescent="0.2">
      <c r="A106" s="4"/>
      <c r="B106" s="4"/>
      <c r="C106" s="4"/>
      <c r="D106" s="4"/>
      <c r="E106" s="4"/>
      <c r="F106" s="4"/>
      <c r="G106" s="4"/>
      <c r="H106" s="4"/>
      <c r="I106" s="4"/>
    </row>
    <row r="107" spans="1:9" ht="18.75" customHeight="1" x14ac:dyDescent="0.2">
      <c r="A107" s="1" t="s">
        <v>123</v>
      </c>
      <c r="B107" s="216" t="s">
        <v>124</v>
      </c>
      <c r="C107" s="216"/>
      <c r="D107" s="216"/>
      <c r="E107" s="216"/>
      <c r="F107" s="216"/>
      <c r="G107" s="216"/>
      <c r="H107" s="216"/>
      <c r="I107" s="216"/>
    </row>
    <row r="108" spans="1:9" ht="18.75" customHeight="1" x14ac:dyDescent="0.2">
      <c r="A108" s="4"/>
      <c r="B108" s="199" t="s">
        <v>167</v>
      </c>
      <c r="C108" s="200"/>
      <c r="D108" s="200"/>
      <c r="E108" s="200"/>
      <c r="F108" s="200"/>
      <c r="G108" s="200"/>
      <c r="H108" s="200"/>
      <c r="I108" s="201"/>
    </row>
    <row r="109" spans="1:9" ht="18.75" customHeight="1" x14ac:dyDescent="0.2">
      <c r="A109" s="4"/>
      <c r="B109" s="205"/>
      <c r="C109" s="206"/>
      <c r="D109" s="206"/>
      <c r="E109" s="206"/>
      <c r="F109" s="206"/>
      <c r="G109" s="206"/>
      <c r="H109" s="206"/>
      <c r="I109" s="204"/>
    </row>
    <row r="110" spans="1:9" ht="18.75" customHeight="1" x14ac:dyDescent="0.2">
      <c r="A110" s="4"/>
      <c r="B110" s="205"/>
      <c r="C110" s="206"/>
      <c r="D110" s="206"/>
      <c r="E110" s="206"/>
      <c r="F110" s="206"/>
      <c r="G110" s="206"/>
      <c r="H110" s="206"/>
      <c r="I110" s="204"/>
    </row>
    <row r="111" spans="1:9" ht="18.75" customHeight="1" x14ac:dyDescent="0.2">
      <c r="A111" s="4"/>
      <c r="B111" s="205"/>
      <c r="C111" s="206"/>
      <c r="D111" s="206"/>
      <c r="E111" s="206"/>
      <c r="F111" s="206"/>
      <c r="G111" s="206"/>
      <c r="H111" s="206"/>
      <c r="I111" s="204"/>
    </row>
    <row r="112" spans="1:9" ht="18.75" customHeight="1" x14ac:dyDescent="0.2">
      <c r="A112" s="4"/>
      <c r="B112" s="205"/>
      <c r="C112" s="206"/>
      <c r="D112" s="206"/>
      <c r="E112" s="206"/>
      <c r="F112" s="206"/>
      <c r="G112" s="206"/>
      <c r="H112" s="206"/>
      <c r="I112" s="204"/>
    </row>
    <row r="113" spans="1:9" ht="18.75" customHeight="1" x14ac:dyDescent="0.2">
      <c r="A113" s="4"/>
      <c r="B113" s="205"/>
      <c r="C113" s="206"/>
      <c r="D113" s="206"/>
      <c r="E113" s="206"/>
      <c r="F113" s="206"/>
      <c r="G113" s="206"/>
      <c r="H113" s="206"/>
      <c r="I113" s="204"/>
    </row>
    <row r="114" spans="1:9" ht="18.75" customHeight="1" x14ac:dyDescent="0.2">
      <c r="A114" s="4"/>
      <c r="B114" s="205"/>
      <c r="C114" s="206"/>
      <c r="D114" s="206"/>
      <c r="E114" s="206"/>
      <c r="F114" s="206"/>
      <c r="G114" s="206"/>
      <c r="H114" s="206"/>
      <c r="I114" s="204"/>
    </row>
    <row r="115" spans="1:9" ht="18.75" customHeight="1" x14ac:dyDescent="0.2">
      <c r="A115" s="4"/>
      <c r="B115" s="205"/>
      <c r="C115" s="206"/>
      <c r="D115" s="206"/>
      <c r="E115" s="206"/>
      <c r="F115" s="206"/>
      <c r="G115" s="206"/>
      <c r="H115" s="206"/>
      <c r="I115" s="204"/>
    </row>
    <row r="116" spans="1:9" ht="18.75" customHeight="1" x14ac:dyDescent="0.2">
      <c r="A116" s="4"/>
      <c r="B116" s="205"/>
      <c r="C116" s="206"/>
      <c r="D116" s="206"/>
      <c r="E116" s="206"/>
      <c r="F116" s="206"/>
      <c r="G116" s="206"/>
      <c r="H116" s="206"/>
      <c r="I116" s="204"/>
    </row>
    <row r="117" spans="1:9" ht="18.75" customHeight="1" x14ac:dyDescent="0.2">
      <c r="A117" s="4"/>
      <c r="B117" s="205"/>
      <c r="C117" s="206"/>
      <c r="D117" s="206"/>
      <c r="E117" s="206"/>
      <c r="F117" s="206"/>
      <c r="G117" s="206"/>
      <c r="H117" s="206"/>
      <c r="I117" s="204"/>
    </row>
    <row r="118" spans="1:9" ht="18.75" customHeight="1" x14ac:dyDescent="0.2">
      <c r="A118" s="4"/>
      <c r="B118" s="205"/>
      <c r="C118" s="206"/>
      <c r="D118" s="206"/>
      <c r="E118" s="206"/>
      <c r="F118" s="206"/>
      <c r="G118" s="206"/>
      <c r="H118" s="206"/>
      <c r="I118" s="204"/>
    </row>
    <row r="119" spans="1:9" ht="18.75" customHeight="1" x14ac:dyDescent="0.2">
      <c r="A119" s="4"/>
      <c r="B119" s="207"/>
      <c r="C119" s="208"/>
      <c r="D119" s="208"/>
      <c r="E119" s="208"/>
      <c r="F119" s="208"/>
      <c r="G119" s="208"/>
      <c r="H119" s="208"/>
      <c r="I119" s="209"/>
    </row>
    <row r="120" spans="1:9" ht="7.5" customHeight="1" x14ac:dyDescent="0.2">
      <c r="A120" s="4"/>
      <c r="B120" s="20"/>
      <c r="C120" s="20"/>
      <c r="D120" s="20"/>
      <c r="E120" s="20"/>
      <c r="F120" s="20"/>
      <c r="G120" s="20"/>
      <c r="H120" s="20"/>
      <c r="I120" s="20"/>
    </row>
    <row r="121" spans="1:9" ht="18.75" customHeight="1" x14ac:dyDescent="0.2">
      <c r="A121" s="46"/>
      <c r="B121" s="195"/>
      <c r="C121" s="195"/>
      <c r="D121" s="195"/>
      <c r="E121" s="195"/>
      <c r="F121" s="195"/>
      <c r="G121" s="195"/>
      <c r="H121" s="195"/>
      <c r="I121" s="195"/>
    </row>
    <row r="122" spans="1:9" ht="18.75" customHeight="1" x14ac:dyDescent="0.2">
      <c r="A122" s="46"/>
      <c r="B122" s="195"/>
      <c r="C122" s="195"/>
      <c r="D122" s="195"/>
      <c r="E122" s="195"/>
      <c r="F122" s="195"/>
      <c r="G122" s="195"/>
      <c r="H122" s="195"/>
      <c r="I122" s="195"/>
    </row>
    <row r="123" spans="1:9" ht="18.75" customHeight="1" x14ac:dyDescent="0.2">
      <c r="A123" s="4"/>
      <c r="B123" s="80"/>
      <c r="C123" s="80"/>
      <c r="D123" s="80"/>
      <c r="E123" s="80"/>
      <c r="F123" s="80"/>
      <c r="G123" s="80"/>
      <c r="H123" s="80"/>
      <c r="I123" s="81"/>
    </row>
    <row r="124" spans="1:9" ht="18.75" customHeight="1" x14ac:dyDescent="0.2">
      <c r="A124" s="4"/>
      <c r="B124" s="81"/>
      <c r="C124" s="81"/>
      <c r="D124" s="81"/>
      <c r="E124" s="81"/>
      <c r="F124" s="81"/>
      <c r="G124" s="81"/>
      <c r="H124" s="81"/>
      <c r="I124" s="81"/>
    </row>
    <row r="125" spans="1:9" ht="18.75" customHeight="1" x14ac:dyDescent="0.2">
      <c r="A125" s="4"/>
      <c r="B125" s="81"/>
      <c r="C125" s="81"/>
      <c r="D125" s="81"/>
      <c r="E125" s="81"/>
      <c r="F125" s="81"/>
      <c r="G125" s="81"/>
      <c r="H125" s="81"/>
      <c r="I125" s="81"/>
    </row>
    <row r="126" spans="1:9" ht="18.75" customHeight="1" x14ac:dyDescent="0.2">
      <c r="A126" s="4"/>
      <c r="B126" s="81"/>
      <c r="C126" s="81"/>
      <c r="D126" s="81"/>
      <c r="E126" s="81"/>
      <c r="F126" s="81"/>
      <c r="G126" s="81"/>
      <c r="H126" s="81"/>
      <c r="I126" s="81"/>
    </row>
    <row r="127" spans="1:9" ht="18.75" customHeight="1" x14ac:dyDescent="0.2">
      <c r="A127" s="4"/>
      <c r="B127" s="81"/>
      <c r="C127" s="81"/>
      <c r="D127" s="81"/>
      <c r="E127" s="81"/>
      <c r="F127" s="81"/>
      <c r="G127" s="81"/>
      <c r="H127" s="81"/>
      <c r="I127" s="81"/>
    </row>
    <row r="128" spans="1:9" ht="18.75" customHeight="1" x14ac:dyDescent="0.2">
      <c r="A128" s="4"/>
      <c r="B128" s="81"/>
      <c r="C128" s="81"/>
      <c r="D128" s="81"/>
      <c r="E128" s="81"/>
      <c r="F128" s="81"/>
      <c r="G128" s="81"/>
      <c r="H128" s="81"/>
      <c r="I128" s="81"/>
    </row>
    <row r="129" spans="1:9" ht="18.75" customHeight="1" x14ac:dyDescent="0.2">
      <c r="A129" s="4"/>
      <c r="B129" s="81"/>
      <c r="C129" s="81"/>
      <c r="D129" s="81"/>
      <c r="E129" s="81"/>
      <c r="F129" s="81"/>
      <c r="G129" s="81"/>
      <c r="H129" s="81"/>
      <c r="I129" s="81"/>
    </row>
    <row r="130" spans="1:9" ht="18.75" customHeight="1" x14ac:dyDescent="0.2">
      <c r="A130" s="4"/>
      <c r="B130" s="81"/>
      <c r="C130" s="81"/>
      <c r="D130" s="81"/>
      <c r="E130" s="81"/>
      <c r="F130" s="81"/>
      <c r="G130" s="81"/>
      <c r="H130" s="81"/>
      <c r="I130" s="81"/>
    </row>
    <row r="131" spans="1:9" ht="18.75" customHeight="1" x14ac:dyDescent="0.2">
      <c r="A131" s="4"/>
      <c r="B131" s="81"/>
      <c r="C131" s="81"/>
      <c r="D131" s="81"/>
      <c r="E131" s="81"/>
      <c r="F131" s="81"/>
      <c r="G131" s="81"/>
      <c r="H131" s="81"/>
      <c r="I131" s="81"/>
    </row>
    <row r="132" spans="1:9" ht="18.75" customHeight="1" x14ac:dyDescent="0.2">
      <c r="A132" s="4"/>
      <c r="B132" s="81"/>
      <c r="C132" s="81"/>
      <c r="D132" s="81"/>
      <c r="E132" s="81"/>
      <c r="F132" s="81"/>
      <c r="G132" s="81"/>
      <c r="H132" s="81"/>
      <c r="I132" s="81"/>
    </row>
    <row r="133" spans="1:9" ht="14.4" x14ac:dyDescent="0.2">
      <c r="A133" s="4"/>
      <c r="B133" s="81"/>
      <c r="C133" s="81"/>
      <c r="D133" s="81"/>
      <c r="E133" s="81"/>
      <c r="F133" s="81"/>
      <c r="G133" s="81"/>
      <c r="H133" s="81"/>
      <c r="I133" s="81"/>
    </row>
    <row r="134" spans="1:9" ht="7.5" customHeight="1" x14ac:dyDescent="0.2">
      <c r="A134" s="4"/>
      <c r="B134" s="81"/>
      <c r="C134" s="81"/>
      <c r="D134" s="81"/>
      <c r="E134" s="81"/>
      <c r="F134" s="81"/>
      <c r="G134" s="81"/>
      <c r="H134" s="81"/>
      <c r="I134" s="81"/>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tabSelected="1" view="pageBreakPreview" topLeftCell="A10" zoomScaleNormal="100" zoomScaleSheetLayoutView="100" workbookViewId="0">
      <selection activeCell="H8" sqref="H8"/>
    </sheetView>
  </sheetViews>
  <sheetFormatPr defaultColWidth="11.33203125" defaultRowHeight="22.5" customHeight="1" x14ac:dyDescent="0.2"/>
  <cols>
    <col min="1" max="3" width="2.6640625" style="1" customWidth="1"/>
    <col min="4" max="4" width="22.33203125" style="1" customWidth="1"/>
    <col min="5" max="5" width="30.6640625" style="1" customWidth="1"/>
    <col min="6" max="7" width="7.6640625" style="1" customWidth="1"/>
    <col min="8" max="9" width="30.6640625" style="1" customWidth="1"/>
    <col min="10" max="10" width="4.109375" style="1" customWidth="1"/>
    <col min="11" max="16384" width="11.33203125" style="1"/>
  </cols>
  <sheetData>
    <row r="1" spans="1:9" ht="18.75" customHeight="1" x14ac:dyDescent="0.2">
      <c r="A1" s="1" t="s">
        <v>125</v>
      </c>
      <c r="I1" s="76" t="s">
        <v>126</v>
      </c>
    </row>
    <row r="2" spans="1:9" ht="18.75" customHeight="1" x14ac:dyDescent="0.2">
      <c r="H2" s="76" t="s">
        <v>2</v>
      </c>
      <c r="I2" s="14" t="str">
        <f>'様式１　プログラムを構成する授業科目'!C2</f>
        <v>日本国際学園大学</v>
      </c>
    </row>
    <row r="3" spans="1:9" ht="18.75" customHeight="1" x14ac:dyDescent="0.2">
      <c r="A3" s="122" t="s">
        <v>127</v>
      </c>
      <c r="B3" s="122"/>
      <c r="C3" s="122"/>
      <c r="D3" s="122"/>
      <c r="E3" s="122"/>
      <c r="F3" s="122"/>
      <c r="G3" s="122"/>
      <c r="H3" s="122"/>
      <c r="I3" s="122"/>
    </row>
    <row r="4" spans="1:9" ht="18.75" customHeight="1" x14ac:dyDescent="0.2">
      <c r="A4" s="77"/>
      <c r="B4" s="77"/>
      <c r="C4" s="77"/>
      <c r="D4" s="77"/>
      <c r="E4" s="77"/>
      <c r="F4" s="77"/>
      <c r="G4" s="77"/>
      <c r="H4" s="77"/>
      <c r="I4" s="77"/>
    </row>
    <row r="5" spans="1:9" ht="18.75" customHeight="1" x14ac:dyDescent="0.2">
      <c r="A5" s="1" t="s">
        <v>90</v>
      </c>
      <c r="B5" s="9" t="s">
        <v>128</v>
      </c>
      <c r="C5" s="77"/>
      <c r="D5" s="77"/>
      <c r="E5" s="77"/>
      <c r="F5" s="77"/>
      <c r="G5" s="77"/>
      <c r="H5" s="77"/>
      <c r="I5" s="77"/>
    </row>
    <row r="6" spans="1:9" ht="26.25" customHeight="1" x14ac:dyDescent="0.2">
      <c r="A6" s="77"/>
      <c r="B6" s="210" t="s">
        <v>190</v>
      </c>
      <c r="C6" s="242"/>
      <c r="D6" s="242"/>
      <c r="E6" s="242"/>
      <c r="F6" s="242"/>
      <c r="G6" s="242"/>
      <c r="H6" s="243"/>
      <c r="I6" s="3"/>
    </row>
    <row r="7" spans="1:9" ht="9" customHeight="1" x14ac:dyDescent="0.2">
      <c r="A7" s="77"/>
      <c r="B7" s="9"/>
      <c r="C7" s="9"/>
      <c r="D7" s="9"/>
      <c r="E7" s="9"/>
      <c r="F7" s="9"/>
      <c r="G7" s="9"/>
      <c r="H7" s="9"/>
      <c r="I7" s="3"/>
    </row>
    <row r="8" spans="1:9" ht="18.75" customHeight="1" x14ac:dyDescent="0.2">
      <c r="A8" s="77"/>
      <c r="B8" s="3"/>
      <c r="C8" s="3"/>
      <c r="D8" s="76" t="s">
        <v>98</v>
      </c>
      <c r="E8" s="15" t="s">
        <v>172</v>
      </c>
      <c r="F8" s="3"/>
      <c r="G8" s="76" t="s">
        <v>99</v>
      </c>
      <c r="H8" s="15" t="s">
        <v>173</v>
      </c>
      <c r="I8" s="3"/>
    </row>
    <row r="9" spans="1:9" ht="7.5" customHeight="1" x14ac:dyDescent="0.2">
      <c r="A9" s="77"/>
      <c r="B9" s="77"/>
      <c r="C9" s="77"/>
      <c r="D9" s="77"/>
      <c r="E9" s="77"/>
      <c r="F9" s="77"/>
      <c r="G9" s="77"/>
      <c r="H9" s="77"/>
      <c r="I9" s="77"/>
    </row>
    <row r="10" spans="1:9" ht="18.75" customHeight="1" x14ac:dyDescent="0.2">
      <c r="A10" s="1" t="s">
        <v>94</v>
      </c>
      <c r="B10" s="1" t="s">
        <v>129</v>
      </c>
      <c r="C10" s="4"/>
      <c r="D10" s="4"/>
      <c r="E10" s="4"/>
      <c r="F10" s="4"/>
      <c r="G10" s="4"/>
      <c r="H10" s="4"/>
      <c r="I10" s="4"/>
    </row>
    <row r="11" spans="1:9" ht="18.75" customHeight="1" x14ac:dyDescent="0.2">
      <c r="B11" s="88" t="s">
        <v>130</v>
      </c>
      <c r="C11" s="89"/>
      <c r="D11" s="90"/>
      <c r="E11" s="89" t="s">
        <v>131</v>
      </c>
      <c r="F11" s="89"/>
      <c r="G11" s="89"/>
      <c r="H11" s="89"/>
      <c r="I11" s="90"/>
    </row>
    <row r="12" spans="1:9" ht="26.25" customHeight="1" x14ac:dyDescent="0.2">
      <c r="B12" s="21" t="s">
        <v>132</v>
      </c>
      <c r="C12" s="28"/>
      <c r="D12" s="22"/>
      <c r="E12" s="29"/>
      <c r="F12" s="29"/>
      <c r="G12" s="29"/>
      <c r="H12" s="29"/>
      <c r="I12" s="22"/>
    </row>
    <row r="13" spans="1:9" ht="210.75" customHeight="1" x14ac:dyDescent="0.2">
      <c r="B13" s="23"/>
      <c r="C13" s="225" t="s">
        <v>133</v>
      </c>
      <c r="D13" s="226"/>
      <c r="E13" s="238" t="s">
        <v>187</v>
      </c>
      <c r="F13" s="227"/>
      <c r="G13" s="227"/>
      <c r="H13" s="227"/>
      <c r="I13" s="228"/>
    </row>
    <row r="14" spans="1:9" ht="210.75" customHeight="1" x14ac:dyDescent="0.2">
      <c r="B14" s="23"/>
      <c r="C14" s="240" t="s">
        <v>134</v>
      </c>
      <c r="D14" s="241"/>
      <c r="E14" s="238" t="s">
        <v>174</v>
      </c>
      <c r="F14" s="227"/>
      <c r="G14" s="227"/>
      <c r="H14" s="227"/>
      <c r="I14" s="228"/>
    </row>
    <row r="15" spans="1:9" ht="210.75" customHeight="1" x14ac:dyDescent="0.2">
      <c r="B15" s="23"/>
      <c r="C15" s="225" t="s">
        <v>135</v>
      </c>
      <c r="D15" s="226"/>
      <c r="E15" s="238" t="s">
        <v>175</v>
      </c>
      <c r="F15" s="227"/>
      <c r="G15" s="227"/>
      <c r="H15" s="227"/>
      <c r="I15" s="228"/>
    </row>
    <row r="16" spans="1:9" ht="210.75" customHeight="1" x14ac:dyDescent="0.2">
      <c r="B16" s="23"/>
      <c r="C16" s="225" t="s">
        <v>136</v>
      </c>
      <c r="D16" s="226"/>
      <c r="E16" s="238" t="s">
        <v>176</v>
      </c>
      <c r="F16" s="227"/>
      <c r="G16" s="227"/>
      <c r="H16" s="227"/>
      <c r="I16" s="228"/>
    </row>
    <row r="17" spans="2:9" ht="210.75" customHeight="1" x14ac:dyDescent="0.2">
      <c r="B17" s="24"/>
      <c r="C17" s="229" t="s">
        <v>137</v>
      </c>
      <c r="D17" s="230"/>
      <c r="E17" s="239" t="s">
        <v>182</v>
      </c>
      <c r="F17" s="231"/>
      <c r="G17" s="231"/>
      <c r="H17" s="231"/>
      <c r="I17" s="232"/>
    </row>
    <row r="18" spans="2:9" ht="24" customHeight="1" x14ac:dyDescent="0.2">
      <c r="B18" s="21" t="s">
        <v>138</v>
      </c>
      <c r="C18" s="25"/>
      <c r="D18" s="26"/>
      <c r="E18" s="27"/>
      <c r="F18" s="27"/>
      <c r="G18" s="27"/>
      <c r="H18" s="27"/>
      <c r="I18" s="30"/>
    </row>
    <row r="19" spans="2:9" ht="218.25" customHeight="1" x14ac:dyDescent="0.2">
      <c r="B19" s="23"/>
      <c r="C19" s="225" t="s">
        <v>139</v>
      </c>
      <c r="D19" s="226"/>
      <c r="E19" s="227" t="s">
        <v>177</v>
      </c>
      <c r="F19" s="227"/>
      <c r="G19" s="227"/>
      <c r="H19" s="227"/>
      <c r="I19" s="228"/>
    </row>
    <row r="20" spans="2:9" ht="218.25" customHeight="1" x14ac:dyDescent="0.2">
      <c r="B20" s="24"/>
      <c r="C20" s="229" t="s">
        <v>140</v>
      </c>
      <c r="D20" s="230"/>
      <c r="E20" s="231" t="s">
        <v>188</v>
      </c>
      <c r="F20" s="231"/>
      <c r="G20" s="231"/>
      <c r="H20" s="231"/>
      <c r="I20" s="232"/>
    </row>
    <row r="21" spans="2:9" ht="218.25" customHeight="1" x14ac:dyDescent="0.2">
      <c r="B21" s="233" t="s">
        <v>141</v>
      </c>
      <c r="C21" s="234"/>
      <c r="D21" s="235"/>
      <c r="E21" s="236" t="s">
        <v>178</v>
      </c>
      <c r="F21" s="236"/>
      <c r="G21" s="236"/>
      <c r="H21" s="236"/>
      <c r="I21" s="237"/>
    </row>
    <row r="22" spans="2:9" ht="218.25" customHeight="1" x14ac:dyDescent="0.2">
      <c r="B22" s="220" t="s">
        <v>142</v>
      </c>
      <c r="C22" s="221"/>
      <c r="D22" s="222"/>
      <c r="E22" s="223" t="s">
        <v>179</v>
      </c>
      <c r="F22" s="223"/>
      <c r="G22" s="223"/>
      <c r="H22" s="223"/>
      <c r="I22" s="224"/>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79"/>
      <c r="C28" s="79"/>
      <c r="D28" s="79"/>
      <c r="E28" s="79"/>
      <c r="F28" s="79"/>
      <c r="G28" s="79"/>
      <c r="H28" s="79"/>
      <c r="I28" s="79"/>
    </row>
    <row r="29" spans="2:9" ht="22.5" customHeight="1" x14ac:dyDescent="0.2">
      <c r="B29" s="79"/>
      <c r="C29" s="79"/>
      <c r="D29" s="79"/>
      <c r="E29" s="79"/>
      <c r="F29" s="79"/>
      <c r="G29" s="79"/>
      <c r="H29" s="79"/>
      <c r="I29" s="79"/>
    </row>
    <row r="30" spans="2:9" ht="22.5" customHeight="1" x14ac:dyDescent="0.2">
      <c r="B30" s="79"/>
      <c r="C30" s="79"/>
      <c r="D30" s="79"/>
      <c r="E30" s="79"/>
      <c r="F30" s="79"/>
      <c r="G30" s="79"/>
      <c r="H30" s="79"/>
      <c r="I30" s="79"/>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横田 勝</cp:lastModifiedBy>
  <cp:revision/>
  <cp:lastPrinted>2025-07-08T01:46:36Z</cp:lastPrinted>
  <dcterms:created xsi:type="dcterms:W3CDTF">2011-06-14T05:32:50Z</dcterms:created>
  <dcterms:modified xsi:type="dcterms:W3CDTF">2025-07-08T01:47:00Z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