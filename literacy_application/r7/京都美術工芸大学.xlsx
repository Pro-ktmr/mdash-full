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task78\kyobi\02-事務センター\データサイエンス・AI教育プログラム(リテラシーレベル)認定申請\★アップロード資料\20250725最終修正分\"/>
    </mc:Choice>
  </mc:AlternateContent>
  <xr:revisionPtr revIDLastSave="0" documentId="13_ncr:1_{3B356E53-4B95-4505-893E-6BA0B0140FBB}" xr6:coauthVersionLast="47" xr6:coauthVersionMax="47" xr10:uidLastSave="{00000000-0000-0000-0000-000000000000}"/>
  <bookViews>
    <workbookView xWindow="14670" yWindow="-19260" windowWidth="18135" windowHeight="18900" tabRatio="885" xr2:uid="{00000000-000D-0000-FFFF-FFFF00000000}"/>
  </bookViews>
  <sheets>
    <sheet name="様式１-1（芸術学部）プログラムを構成する授業科目" sheetId="39" r:id="rId1"/>
    <sheet name="様式１-2（建築学部）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'様式１-1（芸術学部）プログラムを構成する授業科目'!$X$16:$X$18</definedName>
    <definedName name="_xlnm._FilterDatabase" localSheetId="2" hidden="1">'様式２ 履修者等数の実績'!#REF!</definedName>
    <definedName name="_xlnm.Print_Area" localSheetId="0">'様式１-1（芸術学部）プログラムを構成する授業科目'!$A$1:$U$105</definedName>
    <definedName name="_xlnm.Print_Area" localSheetId="1">'様式１-2（建築学部）プログラムを構成する授業科目'!$A$1:$U$104</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<sst xmlns="http://schemas.openxmlformats.org/spreadsheetml/2006/main" count="439" uniqueCount="204">
  <si>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</si>
  <si>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</si>
  <si>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</si>
  <si>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</si>
  <si>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</si>
  <si>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</si>
  <si>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</si>
  <si>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</si>
  <si>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</si>
  <si>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</si>
  <si>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</si>
  <si>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</si>
  <si>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</si>
  <si>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</si>
  <si>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</si>
  <si>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</si>
  <si>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</si>
  <si>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</si>
  <si>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</si>
  <si>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</si>
  <si>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</si>
  <si>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</si>
  <si>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</si>
  <si>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</si>
  <si>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</si>
  <si>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</si>
  <si>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</si>
  <si>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</si>
  <si>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</si>
  <si>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</si>
  <si>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</si>
  <si>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</si>
  <si>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</si>
  <si>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</si>
  <si>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</si>
  <si>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</si>
  <si>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</si>
  <si>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</si>
  <si>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</si>
  <si>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</si>
  <si>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</si>
  <si>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</si>
  <si>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</si>
  <si>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</si>
  <si>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</si>
  <si>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</si>
  <si>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</si>
  <si>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</si>
  <si>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</si>
  <si>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</si>
  <si>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</si>
  <si>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</si>
  <si>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</si>
  <si>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</si>
  <si>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</si>
  <si>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</si>
  <si>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</si>
  <si>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</si>
  <si>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</si>
  <si>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</si>
  <si>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</si>
  <si>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</si>
  <si>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</si>
  <si>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</si>
  <si>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</si>
  <si>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</si>
  <si>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</si>
  <si>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</si>
  <si>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</si>
  <si>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</si>
  <si>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</si>
  <si>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</si>
  <si>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</si>
  <si>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</si>
  <si>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</si>
  <si>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</si>
  <si>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</si>
  <si>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</si>
  <si>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</si>
  <si>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</si>
  <si>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</si>
  <si>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</si>
  <si>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</si>
  <si>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</si>
  <si>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</si>
  <si>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</si>
  <si>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</si>
  <si>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</si>
  <si>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</si>
  <si>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</si>
  <si>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</si>
  <si>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</si>
  <si>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</si>
  <si>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</si>
  <si>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</si>
  <si>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</si>
  <si>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</si>
  <si>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</si>
  <si>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</si>
  <si>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</si>
  <si>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</si>
  <si>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</si>
  <si>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</si>
  <si>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</si>
  <si>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</si>
  <si>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</si>
  <si>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</si>
  <si>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</si>
  <si>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</si>
  <si>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</si>
  <si>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</si>
  <si>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</si>
  <si>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</si>
  <si>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</si>
  <si>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</si>
  <si>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</si>
  <si>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</si>
  <si>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</si>
  <si>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</si>
  <si>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</si>
  <si>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</si>
  <si>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</si>
  <si>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</si>
  <si>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</si>
  <si>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</si>
  <si>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</si>
  <si>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</si>
  <si>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</si>
  <si>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</si>
  <si>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</si>
  <si>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</si>
  <si>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</si>
  <si>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</si>
  <si>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</si>
  <si>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</si>
  <si>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</si>
  <si>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</si>
  <si>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</si>
  <si>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</si>
  <si>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</si>
  <si>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</si>
  <si>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</si>
  <si>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</si>
  <si>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様式１-1</t>
    <rPh sb="0" eb="2">
      <t>ヨウシキ</t>
    </rPh>
    <phoneticPr fontId="1"/>
  </si>
  <si>
    <t>様式１-2</t>
    <rPh sb="0" eb="2">
      <t>ヨウシキ</t>
    </rPh>
    <phoneticPr fontId="1"/>
  </si>
  <si>
    <t>京都美術工芸大学</t>
    <phoneticPr fontId="1"/>
  </si>
  <si>
    <t>データサイエンス・AI教育プログラム</t>
    <phoneticPr fontId="1"/>
  </si>
  <si>
    <t>芸術学部　デザイン・工芸学科</t>
    <phoneticPr fontId="1"/>
  </si>
  <si>
    <t>メディアリテラシー</t>
    <phoneticPr fontId="1"/>
  </si>
  <si>
    <t>情報基礎演習Ａ</t>
    <phoneticPr fontId="1"/>
  </si>
  <si>
    <t>コンピュータデザイン演習</t>
    <phoneticPr fontId="1"/>
  </si>
  <si>
    <t>建築学部　建築学科</t>
    <phoneticPr fontId="1"/>
  </si>
  <si>
    <t>情報基礎演習Ｂ</t>
    <phoneticPr fontId="1"/>
  </si>
  <si>
    <t>令和６</t>
    <rPh sb="0" eb="2">
      <t>レイワ</t>
    </rPh>
    <phoneticPr fontId="1"/>
  </si>
  <si>
    <t>芸術学部・デザイン工芸学科</t>
    <rPh sb="0" eb="4">
      <t>ゲイジュツガクブ</t>
    </rPh>
    <rPh sb="9" eb="13">
      <t>コウゲイガッカ</t>
    </rPh>
    <phoneticPr fontId="1"/>
  </si>
  <si>
    <t>建築学部・建築学科</t>
    <rPh sb="0" eb="4">
      <t>ケンチクガクブ</t>
    </rPh>
    <rPh sb="5" eb="9">
      <t>ケンチクガッカ</t>
    </rPh>
    <phoneticPr fontId="1"/>
  </si>
  <si>
    <t>髙田　光雄</t>
    <phoneticPr fontId="1"/>
  </si>
  <si>
    <t>副学長</t>
    <phoneticPr fontId="1"/>
  </si>
  <si>
    <t>教学委員会教務部会</t>
    <phoneticPr fontId="1"/>
  </si>
  <si>
    <t>安田　光男</t>
    <phoneticPr fontId="1"/>
  </si>
  <si>
    <t>建築学科長</t>
    <rPh sb="0" eb="5">
      <t>ケンチクガッカチョウ</t>
    </rPh>
    <phoneticPr fontId="1"/>
  </si>
  <si>
    <t>　学部の教学に関し、その実施の円滑な運営を図るために設けている教学委員会が本プログラムの改善・進化を統括しており、この改善・進化のための具体策を企画・立案し、実施するために委員会の下に設置している「教務部会」がデータサイエンス・AI教育プログラムを推進させる。
　また教学委員会教務部会が推進する本プログラムの点検・評価は、大学全体の教学運営全般を所管する自己点検・評価委員会(委員長：学長)においてカリキュラム編成に係る本プログラムの実効性等を検証し、必要な提言や情報公開を行うこととしている。</t>
    <phoneticPr fontId="1"/>
  </si>
  <si>
    <t>本プログラムの履修を通じて、データサイエンス・AIが社会における活用実態や利用における課題や留意点など理解し、学士課程での学びを経て社会人となったときに求められるデータサイエンス・AIの基礎的な知識・技能を獲得する。</t>
    <phoneticPr fontId="1"/>
  </si>
  <si>
    <t>○</t>
  </si>
  <si>
    <t>教学委員会教務部会
　建築学部　教　授　　安　田　光　男（部会長）
　建築学部　教　授　　渡　邊　俊　博
　芸術学部　准教授　　岡　　　達　也
　芸術学部　准教授　　吉　富　千　恵
　建築学部　准教授　　人　見　将　敏
  建築学部　講　師　　新　谷　謙一郎
　事 務 局　事務部長　栗　山　義　和
　事 務 局　課長代理　椹　木　晃　司</t>
    <phoneticPr fontId="1"/>
  </si>
  <si>
    <t>　プログラムは、令和6年度から開始した。芸術学部は「情報基礎演習Ａ」「コンピュータデザイン演習」及び「メディアリテラシー」の３科目、建築学部は「情報基礎演習Ｂ」及び「メディアリテラシー」の２科目でプログラムを編成している。
　これらの５科目には、いずれも１年次配当科目であり、プログラム認定要件を満たす内容が盛り込まれた科目を履修し単位を修得することがプログラムの修了要件となっている。
建築学部の「情報基礎演習B」は必修科目のため履修率は100％であるが、他の4科目は選択科目で、毎年、全学生の90％程度が履修している。
　これら選択４科目について、さらに履修率を高めるため、新入生にプログラムの趣旨・目的を理解させるとともに、令和7年度入学生からは履修規程の履修方法欄に「この科目の単位修得が望ましい」と規定し、履修率を95％以上の確保を目指している。</t>
    <rPh sb="194" eb="198">
      <t>ケンチクガクブ</t>
    </rPh>
    <rPh sb="266" eb="268">
      <t>センタク</t>
    </rPh>
    <rPh sb="305" eb="307">
      <t>リカイ</t>
    </rPh>
    <rPh sb="315" eb="317">
      <t>レイワ</t>
    </rPh>
    <rPh sb="318" eb="320">
      <t>ネンド</t>
    </rPh>
    <rPh sb="320" eb="323">
      <t>ニュウガクセイ</t>
    </rPh>
    <rPh sb="326" eb="330">
      <t>リシュウキテイ</t>
    </rPh>
    <rPh sb="331" eb="335">
      <t>リシュウホウホウ</t>
    </rPh>
    <rPh sb="335" eb="336">
      <t>ラン</t>
    </rPh>
    <rPh sb="340" eb="342">
      <t>カモク</t>
    </rPh>
    <rPh sb="343" eb="347">
      <t>タンイシュウトク</t>
    </rPh>
    <rPh sb="348" eb="349">
      <t>ノゾ</t>
    </rPh>
    <rPh sb="354" eb="356">
      <t>キテイ</t>
    </rPh>
    <rPh sb="358" eb="360">
      <t>リシュウ</t>
    </rPh>
    <rPh sb="360" eb="361">
      <t>リツ</t>
    </rPh>
    <rPh sb="365" eb="367">
      <t>イジョウ</t>
    </rPh>
    <rPh sb="368" eb="370">
      <t>カクホ</t>
    </rPh>
    <rPh sb="371" eb="373">
      <t>メザ</t>
    </rPh>
    <phoneticPr fontId="1"/>
  </si>
  <si>
    <t>　プログラムを編成する科目は、芸術学部が「情報基礎演習A」「コンピュータデザイン演習」及び「メディアリテラシー」の3科目、建築学部が「情報基礎演習B」及び「メディアリテラシー」2科目である。
　このうち「メディアリテラシー」は、各学部が開設するキャリア形成科目区分に属する選択科目であるが毎年履修者数が多く、内容的に両学部の教養教育として、両学部の共同開講科目となっている。</t>
    <rPh sb="174" eb="176">
      <t>キョウドウ</t>
    </rPh>
    <phoneticPr fontId="1"/>
  </si>
  <si>
    <t>　学生に配付する「履修の手引き」において、上記の５科目は、芸術学部と建築学部のそれぞれの履修モデル（カリキュラムマップ）において履修科目として明示している。
なお、「情報基礎演習Ｂ」以外の４科目についても時間割上は、希望する学生が確実に履修できるよう、必修科目と同様に１コマ１科目のみの開講としている。</t>
    <rPh sb="108" eb="110">
      <t>キボウ</t>
    </rPh>
    <rPh sb="112" eb="114">
      <t>ガクセイ</t>
    </rPh>
    <rPh sb="115" eb="117">
      <t>カクジツ</t>
    </rPh>
    <rPh sb="118" eb="120">
      <t>リシュウ</t>
    </rPh>
    <phoneticPr fontId="1"/>
  </si>
  <si>
    <t>　プログラムの５科目は、すべて専任教員が担当しており、プラットフォーム(GoogleClassroom)による質問受付を可能としている。
　また、毎週火曜日(12:10～13:00)にはオフィスアワーとして対面相談を受け付けており、またメール相談にも対応し、オフィスアワーを通じて履修・単位修得できるようサポートの体制を整えている。</t>
    <rPh sb="8" eb="10">
      <t>カモク</t>
    </rPh>
    <rPh sb="125" eb="127">
      <t>タイオウ</t>
    </rPh>
    <phoneticPr fontId="1"/>
  </si>
  <si>
    <t xml:space="preserve">　本学は、ノートPC必携としており、すべての開講科目はプラットフォーム(GoogleClassroom)において授業の資料提供や課題提示、レポート課題の回収を行っており、緊急用に臨時貸出用ノートPCも確保し、PCトラブルにも対応できるサポート体制を整えている。
</t>
    <rPh sb="89" eb="91">
      <t>リンジ</t>
    </rPh>
    <rPh sb="93" eb="94">
      <t>ヨウ</t>
    </rPh>
    <phoneticPr fontId="1"/>
  </si>
  <si>
    <t>竹脇　出</t>
    <phoneticPr fontId="1"/>
  </si>
  <si>
    <t>委員長（学長）</t>
    <rPh sb="0" eb="3">
      <t>イインチョウ</t>
    </rPh>
    <rPh sb="4" eb="6">
      <t>ガクチョウ</t>
    </rPh>
    <phoneticPr fontId="1"/>
  </si>
  <si>
    <t>本学の「データサイエンス・AI教育プログラム」令和６年度から開始したものでプログラム修了者が社会人となるのは令和10年度以降となる。現在は、アセスメント・ポリシー（学修成果・教育成果の評価方針）に基づき、「就職先アンケート」を行っていることから、このアンケートに付随してこのプログラムへの意見収集を行い、講義内容等の改善に活用していくこととする。</t>
    <phoneticPr fontId="1"/>
  </si>
  <si>
    <t>プログラムの４科目を含め、毎学期の最終授業日に行っている「学生による授業評価アンケート」の集計結果に基づき、各授業担当教員が集計結果を踏まえて授業改善方策を「フィードバックシート」をFD・SD推進委員会（委員長・学長）に提出することとしている。自己点検評価委員会とSD・SD推進委員会の学長をはじめとして副学長、学部長等の主要な委員は、両委員会委員を兼ねていることから、この授業評価の集計結果、及びフィードバックシートを共有しており、学修成果の状況把握十分に行えており、これら４科目を含めて授業改善に活用している。</t>
    <rPh sb="96" eb="101">
      <t>スイシンイインカイ</t>
    </rPh>
    <rPh sb="102" eb="105">
      <t>イインチョウ</t>
    </rPh>
    <rPh sb="106" eb="108">
      <t>ガクチョウ</t>
    </rPh>
    <rPh sb="122" eb="131">
      <t>ジコテンケンヒョウカイインカイ</t>
    </rPh>
    <rPh sb="137" eb="142">
      <t>スイシンイインカイ</t>
    </rPh>
    <rPh sb="143" eb="145">
      <t>ガクチョウ</t>
    </rPh>
    <rPh sb="152" eb="155">
      <t>フクガクチョウ</t>
    </rPh>
    <rPh sb="156" eb="159">
      <t>ガクブチョウ</t>
    </rPh>
    <rPh sb="159" eb="160">
      <t>トウ</t>
    </rPh>
    <rPh sb="187" eb="191">
      <t>ジュギョウヒョウカ</t>
    </rPh>
    <rPh sb="192" eb="196">
      <t>シュウケイケッカ</t>
    </rPh>
    <rPh sb="197" eb="198">
      <t>オヨ</t>
    </rPh>
    <rPh sb="210" eb="212">
      <t>キョウユウ</t>
    </rPh>
    <rPh sb="217" eb="221">
      <t>ガクシュウセイカ</t>
    </rPh>
    <rPh sb="222" eb="224">
      <t>ジョウキョウ</t>
    </rPh>
    <rPh sb="224" eb="226">
      <t>ハアク</t>
    </rPh>
    <rPh sb="226" eb="228">
      <t>ジュウブン</t>
    </rPh>
    <rPh sb="229" eb="230">
      <t>オコナ</t>
    </rPh>
    <rPh sb="239" eb="241">
      <t>カモク</t>
    </rPh>
    <rPh sb="242" eb="243">
      <t>フク</t>
    </rPh>
    <rPh sb="245" eb="249">
      <t>ジュギョウカイゼン</t>
    </rPh>
    <rPh sb="250" eb="252">
      <t>カツヨウ</t>
    </rPh>
    <phoneticPr fontId="1"/>
  </si>
  <si>
    <t>プログラムの履修状況・単位修得状況は、自己点検・評価委員会の求めに応じて、事務局の教務事務担当者が教務管理システムから「履修者名簿」「単位修得状況表」を出力し提供している。本学の成績評価は絶対評価を基本として、プログラム４科目の評価結果について秀、優、良、不可の成績分布状況も当委員会でもデータ化し把握できている。
　</t>
    <rPh sb="149" eb="151">
      <t>ハアク</t>
    </rPh>
    <phoneticPr fontId="1"/>
  </si>
  <si>
    <t>プログラム４科目の「学生による授業評価アンケート」は、その他の科目を含めて前期と後期のそれぞれ15回目の授業終わりに5段階評価による電子アンケートを実施しており、このうち授業理解度に係る質問が、次の3つ含まれている。
①課題の量や難易度は、取り組むのに適切でしたか?
②教員は、学生の理解度を考慮して授業を進めましたか?
③教員から、授業を理解させようとする熱意や意欲が感じられましたか?
プログラム4科目についての上記3項目の平均が4.58ポイントで全科目平均の4.51ポイントより高い結果が出ている。このことからもプログラムの理解度は高いといえる。</t>
    <rPh sb="6" eb="8">
      <t>カモク</t>
    </rPh>
    <rPh sb="29" eb="30">
      <t>タ</t>
    </rPh>
    <rPh sb="31" eb="33">
      <t>カモク</t>
    </rPh>
    <rPh sb="34" eb="35">
      <t>フク</t>
    </rPh>
    <rPh sb="37" eb="39">
      <t>ゼンキ</t>
    </rPh>
    <rPh sb="40" eb="42">
      <t>コウキ</t>
    </rPh>
    <rPh sb="49" eb="51">
      <t>カイメ</t>
    </rPh>
    <rPh sb="52" eb="54">
      <t>ジュギョウ</t>
    </rPh>
    <rPh sb="54" eb="55">
      <t>オ</t>
    </rPh>
    <rPh sb="59" eb="63">
      <t>ダンカイヒョウカ</t>
    </rPh>
    <rPh sb="66" eb="68">
      <t>デンシ</t>
    </rPh>
    <rPh sb="74" eb="76">
      <t>ジッシ</t>
    </rPh>
    <rPh sb="85" eb="90">
      <t>ジュギョウリカイド</t>
    </rPh>
    <rPh sb="91" eb="92">
      <t>カカ</t>
    </rPh>
    <rPh sb="93" eb="95">
      <t>シツモン</t>
    </rPh>
    <rPh sb="97" eb="98">
      <t>ツギ</t>
    </rPh>
    <rPh sb="101" eb="102">
      <t>フク</t>
    </rPh>
    <rPh sb="110" eb="112">
      <t>カダイ</t>
    </rPh>
    <rPh sb="113" eb="114">
      <t>リョウ</t>
    </rPh>
    <rPh sb="115" eb="118">
      <t>ナンイド</t>
    </rPh>
    <rPh sb="120" eb="121">
      <t>ト</t>
    </rPh>
    <rPh sb="122" eb="123">
      <t>ク</t>
    </rPh>
    <rPh sb="126" eb="128">
      <t>テキセツ</t>
    </rPh>
    <rPh sb="135" eb="137">
      <t>キョウイン</t>
    </rPh>
    <rPh sb="139" eb="141">
      <t>ガクセイ</t>
    </rPh>
    <rPh sb="142" eb="145">
      <t>リカイド</t>
    </rPh>
    <rPh sb="146" eb="148">
      <t>コウリョ</t>
    </rPh>
    <rPh sb="150" eb="152">
      <t>ジュギョウ</t>
    </rPh>
    <rPh sb="153" eb="154">
      <t>スス</t>
    </rPh>
    <rPh sb="162" eb="164">
      <t>キョウイン</t>
    </rPh>
    <rPh sb="167" eb="169">
      <t>ジュギョウ</t>
    </rPh>
    <rPh sb="170" eb="172">
      <t>リカイ</t>
    </rPh>
    <rPh sb="179" eb="181">
      <t>ネツイ</t>
    </rPh>
    <rPh sb="182" eb="184">
      <t>イヨク</t>
    </rPh>
    <rPh sb="185" eb="186">
      <t>カン</t>
    </rPh>
    <rPh sb="202" eb="204">
      <t>カモク</t>
    </rPh>
    <rPh sb="209" eb="211">
      <t>ジョウキ</t>
    </rPh>
    <rPh sb="212" eb="214">
      <t>コウモク</t>
    </rPh>
    <rPh sb="215" eb="217">
      <t>ヘイキン</t>
    </rPh>
    <rPh sb="227" eb="230">
      <t>ゼンカモク</t>
    </rPh>
    <rPh sb="266" eb="269">
      <t>リカイド</t>
    </rPh>
    <rPh sb="270" eb="271">
      <t>タカ</t>
    </rPh>
    <phoneticPr fontId="1"/>
  </si>
  <si>
    <t>令和６年度から開始した本プログラムは、他の全科目を含め学期毎に実施している「学生による授業評価アンケート」として、学生用のWebページに12項目のポイントについて、講義系と演習・実習系に区分してポイントとレーダーチャートにより全学生に公開している。なお、後輩等他の学生への推奨度についての特段の対応は行っていないが、令和7年度の授業評価アンケートの実施に際しては「受講後の感想等」のコメント例を示すなどの対策をとることとする。</t>
    <rPh sb="0" eb="2">
      <t>レイワ</t>
    </rPh>
    <rPh sb="3" eb="5">
      <t>ネンド</t>
    </rPh>
    <rPh sb="7" eb="9">
      <t>カイシ</t>
    </rPh>
    <rPh sb="11" eb="12">
      <t>ホン</t>
    </rPh>
    <rPh sb="19" eb="20">
      <t>タ</t>
    </rPh>
    <rPh sb="21" eb="24">
      <t>ゼンカモク</t>
    </rPh>
    <rPh sb="25" eb="26">
      <t>フク</t>
    </rPh>
    <rPh sb="27" eb="29">
      <t>ガッキ</t>
    </rPh>
    <rPh sb="29" eb="30">
      <t>ゴト</t>
    </rPh>
    <rPh sb="31" eb="33">
      <t>ジッシ</t>
    </rPh>
    <rPh sb="38" eb="40">
      <t>ガクセイ</t>
    </rPh>
    <rPh sb="43" eb="47">
      <t>ジュギョウヒョウカ</t>
    </rPh>
    <rPh sb="57" eb="60">
      <t>ガクセイヨウ</t>
    </rPh>
    <rPh sb="70" eb="72">
      <t>コウモク</t>
    </rPh>
    <rPh sb="82" eb="85">
      <t>コウギケイ</t>
    </rPh>
    <rPh sb="86" eb="88">
      <t>エンシュウ</t>
    </rPh>
    <rPh sb="89" eb="92">
      <t>ジッシュウケイ</t>
    </rPh>
    <rPh sb="93" eb="95">
      <t>クブン</t>
    </rPh>
    <rPh sb="113" eb="116">
      <t>ゼンガクセイ</t>
    </rPh>
    <rPh sb="117" eb="119">
      <t>コウカイ</t>
    </rPh>
    <rPh sb="150" eb="151">
      <t>オコナ</t>
    </rPh>
    <rPh sb="177" eb="178">
      <t>サイ</t>
    </rPh>
    <rPh sb="182" eb="185">
      <t>ジュコウゴ</t>
    </rPh>
    <rPh sb="186" eb="188">
      <t>カンソウ</t>
    </rPh>
    <rPh sb="188" eb="189">
      <t>トウ</t>
    </rPh>
    <rPh sb="195" eb="196">
      <t>レイ</t>
    </rPh>
    <rPh sb="197" eb="198">
      <t>シメ</t>
    </rPh>
    <rPh sb="202" eb="204">
      <t>タイサク</t>
    </rPh>
    <phoneticPr fontId="1"/>
  </si>
  <si>
    <t>プログラム科目「メディアリテラシー」の到達目標として「大学の研究や日常生活において情報を適切に収集、活用する意識と能力を高める」を最初に掲げている。15回の授業には、多様なメディアを通した情報へのアクセスの際にデータサイエンスの基礎知識やAIの活用をより正しく理解するための工夫をこれまで以上に行い、データサイエンス・AIの学びがもっと楽しいものとなるよう、どのようなメディアのゲストスピーカーを望むのかなど、定型的な学生による授業評価アンケート以外に履修学生に問いかける試みを行っていきたい。</t>
    <rPh sb="5" eb="7">
      <t>カモク</t>
    </rPh>
    <rPh sb="19" eb="23">
      <t>トウタツモクヒョウ</t>
    </rPh>
    <rPh sb="76" eb="77">
      <t>カイ</t>
    </rPh>
    <rPh sb="78" eb="80">
      <t>ジュギョウ</t>
    </rPh>
    <rPh sb="83" eb="85">
      <t>タヨウ</t>
    </rPh>
    <rPh sb="91" eb="92">
      <t>トオ</t>
    </rPh>
    <rPh sb="94" eb="96">
      <t>ジョウホウ</t>
    </rPh>
    <rPh sb="103" eb="104">
      <t>サイ</t>
    </rPh>
    <rPh sb="114" eb="116">
      <t>キソ</t>
    </rPh>
    <rPh sb="116" eb="118">
      <t>チシキ</t>
    </rPh>
    <rPh sb="122" eb="124">
      <t>カツヨウ</t>
    </rPh>
    <rPh sb="127" eb="128">
      <t>タダ</t>
    </rPh>
    <rPh sb="130" eb="132">
      <t>リカイ</t>
    </rPh>
    <rPh sb="137" eb="139">
      <t>クフウ</t>
    </rPh>
    <rPh sb="144" eb="146">
      <t>イジョウ</t>
    </rPh>
    <rPh sb="147" eb="148">
      <t>オコナ</t>
    </rPh>
    <rPh sb="162" eb="163">
      <t>マナ</t>
    </rPh>
    <rPh sb="168" eb="169">
      <t>タノ</t>
    </rPh>
    <rPh sb="198" eb="199">
      <t>ノゾ</t>
    </rPh>
    <rPh sb="205" eb="208">
      <t>テイケイテキ</t>
    </rPh>
    <rPh sb="209" eb="211">
      <t>ガクセイ</t>
    </rPh>
    <rPh sb="214" eb="218">
      <t>ジュギョウヒョウカ</t>
    </rPh>
    <rPh sb="223" eb="225">
      <t>イガイ</t>
    </rPh>
    <rPh sb="226" eb="230">
      <t>リシュウガクセイ</t>
    </rPh>
    <rPh sb="231" eb="232">
      <t>ト</t>
    </rPh>
    <rPh sb="236" eb="237">
      <t>ココロ</t>
    </rPh>
    <rPh sb="239" eb="240">
      <t>オコナ</t>
    </rPh>
    <phoneticPr fontId="1"/>
  </si>
  <si>
    <t>本学が令和7年1月に自己点検・評価実施要項を改訂し、自己点検の基準項目の一つに「内部質保証の機能性」を掲げたところである。その中で「学外関係者の意見・要望の把握・分析、結果の活用」を定めており、令和7年度に「学外関係者連絡会」を設置する計画である。この連絡会には民間企業や地方公共団体など本学の卒業生と関連するステークホルダーが参画する計画であることから、このプログラムについて意見聴取を行いプログラム改善に結び付けていく計画である。</t>
    <rPh sb="0" eb="2">
      <t>ホンガク</t>
    </rPh>
    <rPh sb="3" eb="5">
      <t>レイワ</t>
    </rPh>
    <rPh sb="6" eb="7">
      <t>ネン</t>
    </rPh>
    <rPh sb="8" eb="9">
      <t>ガツ</t>
    </rPh>
    <rPh sb="10" eb="14">
      <t>ジコテンケン</t>
    </rPh>
    <rPh sb="15" eb="17">
      <t>ヒョウカ</t>
    </rPh>
    <rPh sb="17" eb="21">
      <t>ジッシヨウコウ</t>
    </rPh>
    <rPh sb="22" eb="24">
      <t>カイテイ</t>
    </rPh>
    <rPh sb="26" eb="28">
      <t>ジコ</t>
    </rPh>
    <rPh sb="28" eb="30">
      <t>テンケン</t>
    </rPh>
    <rPh sb="31" eb="35">
      <t>キジュンコウモク</t>
    </rPh>
    <rPh sb="36" eb="37">
      <t>ヒト</t>
    </rPh>
    <rPh sb="51" eb="52">
      <t>カカ</t>
    </rPh>
    <rPh sb="63" eb="64">
      <t>ナカ</t>
    </rPh>
    <rPh sb="66" eb="71">
      <t>ガクガイカンケイシャ</t>
    </rPh>
    <rPh sb="72" eb="74">
      <t>イケン</t>
    </rPh>
    <rPh sb="75" eb="77">
      <t>ヨウボウ</t>
    </rPh>
    <rPh sb="78" eb="80">
      <t>ハアク</t>
    </rPh>
    <rPh sb="81" eb="83">
      <t>ブンセキ</t>
    </rPh>
    <rPh sb="84" eb="86">
      <t>ケッカ</t>
    </rPh>
    <rPh sb="87" eb="89">
      <t>カツヨウ</t>
    </rPh>
    <rPh sb="91" eb="92">
      <t>サダ</t>
    </rPh>
    <rPh sb="97" eb="99">
      <t>レイワ</t>
    </rPh>
    <rPh sb="100" eb="102">
      <t>ネンド</t>
    </rPh>
    <rPh sb="104" eb="109">
      <t>ガクガイカンケイシャ</t>
    </rPh>
    <rPh sb="109" eb="112">
      <t>レンラクカイ</t>
    </rPh>
    <rPh sb="114" eb="116">
      <t>セッチ</t>
    </rPh>
    <rPh sb="118" eb="120">
      <t>ケイカク</t>
    </rPh>
    <rPh sb="126" eb="129">
      <t>レンラクカイ</t>
    </rPh>
    <rPh sb="131" eb="135">
      <t>ミンカンキギョウ</t>
    </rPh>
    <rPh sb="136" eb="138">
      <t>チホウ</t>
    </rPh>
    <rPh sb="138" eb="142">
      <t>コウキョウダンタイ</t>
    </rPh>
    <rPh sb="144" eb="146">
      <t>ホンガク</t>
    </rPh>
    <rPh sb="147" eb="150">
      <t>ソツギョウセイ</t>
    </rPh>
    <rPh sb="151" eb="153">
      <t>カンレン</t>
    </rPh>
    <rPh sb="164" eb="166">
      <t>サンカク</t>
    </rPh>
    <rPh sb="168" eb="170">
      <t>ケイカク</t>
    </rPh>
    <rPh sb="189" eb="193">
      <t>イケンチョウシュ</t>
    </rPh>
    <rPh sb="194" eb="195">
      <t>オコナ</t>
    </rPh>
    <rPh sb="201" eb="203">
      <t>カイゼン</t>
    </rPh>
    <rPh sb="204" eb="205">
      <t>ムス</t>
    </rPh>
    <rPh sb="206" eb="207">
      <t>ツ</t>
    </rPh>
    <rPh sb="211" eb="213">
      <t>ケイカク</t>
    </rPh>
    <phoneticPr fontId="1"/>
  </si>
  <si>
    <r>
      <t xml:space="preserve">本プログラムは令和6年度から開始したところである。令和6年度と令和7年度の履修率を比較すると以下のとおりである。プログラムの趣旨・目的を十分に周知し、履修規程でも履修方法欄に推奨科目として明記した効果もあり、選択3科目の平均履修率は向上している。
</t>
    </r>
    <r>
      <rPr>
        <sz val="11"/>
        <color theme="1"/>
        <rFont val="ＭＳ ゴシック"/>
        <family val="3"/>
        <charset val="128"/>
      </rPr>
      <t>【令和6年度】
メディアリテラシー 85.1％　情報基礎演習Ａ 98.0％　情報基礎演習Ｂ 100％  コンピュータデザイン演習 92.2％
　　　　　　　　　　↓大幅増　　　　　　　　↓微減　　　　　　　(必修)　　　 　　　　　　　　　　↓微増
【令和7年度】       ↓                      ↓                                                　 ↓      
メディアリテラシー 99.3％　情報基礎演習Ａ 96.9％　情報基礎演習Ｂ 100％  コンピュータデザイン演習 94.8％</t>
    </r>
    <r>
      <rPr>
        <sz val="12"/>
        <color theme="1"/>
        <rFont val="ＭＳ Ｐゴシック"/>
        <family val="3"/>
        <charset val="128"/>
        <scheme val="minor"/>
      </rPr>
      <t xml:space="preserve">
　選択3科目の平均履修率の増加　　令和6年度　93.8％　→　令和7年度　97.0％</t>
    </r>
    <rPh sb="0" eb="1">
      <t>ホン</t>
    </rPh>
    <rPh sb="7" eb="9">
      <t>レイワ</t>
    </rPh>
    <rPh sb="10" eb="12">
      <t>ネンド</t>
    </rPh>
    <rPh sb="14" eb="16">
      <t>カイシ</t>
    </rPh>
    <rPh sb="25" eb="27">
      <t>レイワ</t>
    </rPh>
    <rPh sb="28" eb="30">
      <t>ネンド</t>
    </rPh>
    <rPh sb="31" eb="33">
      <t>レイワ</t>
    </rPh>
    <rPh sb="34" eb="36">
      <t>ネンド</t>
    </rPh>
    <rPh sb="37" eb="40">
      <t>リシュウリツ</t>
    </rPh>
    <rPh sb="41" eb="43">
      <t>ヒカク</t>
    </rPh>
    <rPh sb="46" eb="48">
      <t>イカ</t>
    </rPh>
    <rPh sb="62" eb="64">
      <t>シュシ</t>
    </rPh>
    <rPh sb="65" eb="67">
      <t>モクテキ</t>
    </rPh>
    <rPh sb="68" eb="70">
      <t>ジュウブン</t>
    </rPh>
    <rPh sb="71" eb="73">
      <t>シュウチ</t>
    </rPh>
    <rPh sb="75" eb="79">
      <t>リシュウキテイ</t>
    </rPh>
    <rPh sb="81" eb="85">
      <t>リシュウホウホウ</t>
    </rPh>
    <rPh sb="85" eb="86">
      <t>ラン</t>
    </rPh>
    <rPh sb="87" eb="91">
      <t>スイショウカモク</t>
    </rPh>
    <rPh sb="94" eb="96">
      <t>メイキ</t>
    </rPh>
    <rPh sb="98" eb="100">
      <t>コウカ</t>
    </rPh>
    <rPh sb="110" eb="112">
      <t>ヘイキン</t>
    </rPh>
    <rPh sb="112" eb="114">
      <t>リシュウ</t>
    </rPh>
    <rPh sb="114" eb="115">
      <t>リツ</t>
    </rPh>
    <rPh sb="116" eb="118">
      <t>コウジョウ</t>
    </rPh>
    <rPh sb="149" eb="155">
      <t>ジョウホウキソエンシュウ</t>
    </rPh>
    <rPh sb="163" eb="169">
      <t>ジョウホウキソエンシュウ</t>
    </rPh>
    <rPh sb="187" eb="189">
      <t>エンシュウ</t>
    </rPh>
    <rPh sb="207" eb="209">
      <t>オオハバ</t>
    </rPh>
    <rPh sb="209" eb="210">
      <t>ゾウ</t>
    </rPh>
    <rPh sb="219" eb="221">
      <t>ビゲン</t>
    </rPh>
    <rPh sb="229" eb="231">
      <t>ヒッシュウ</t>
    </rPh>
    <rPh sb="247" eb="249">
      <t>ビゾウ</t>
    </rPh>
    <rPh sb="411" eb="413">
      <t>センタク</t>
    </rPh>
    <rPh sb="414" eb="416">
      <t>カモク</t>
    </rPh>
    <rPh sb="417" eb="419">
      <t>ヘイキン</t>
    </rPh>
    <rPh sb="423" eb="425">
      <t>ゾウカ</t>
    </rPh>
    <rPh sb="427" eb="429">
      <t>レイワ</t>
    </rPh>
    <rPh sb="430" eb="432">
      <t>ネンド</t>
    </rPh>
    <rPh sb="441" eb="443">
      <t>レイワ</t>
    </rPh>
    <rPh sb="444" eb="446">
      <t>ネンド</t>
    </rPh>
    <phoneticPr fontId="1"/>
  </si>
  <si>
    <t>令和7年度以降、プログラムの推進組織である「教学委員会教務部会」とプログラム４科目の担当教員とにより、プログラム関係者ミーティングを開催し、生成AI利活用の内容を充実させるなどプログラム構成科目の内容・水準の向上に繋げていくこととする。</t>
    <rPh sb="0" eb="2">
      <t>レイワ</t>
    </rPh>
    <rPh sb="3" eb="5">
      <t>ネンド</t>
    </rPh>
    <rPh sb="5" eb="7">
      <t>イコウ</t>
    </rPh>
    <rPh sb="14" eb="18">
      <t>スイシンソシキ</t>
    </rPh>
    <rPh sb="22" eb="27">
      <t>キョウガクイインカイ</t>
    </rPh>
    <rPh sb="27" eb="31">
      <t>キョウムブカイ</t>
    </rPh>
    <rPh sb="39" eb="41">
      <t>カモク</t>
    </rPh>
    <rPh sb="42" eb="46">
      <t>タントウキョウイン</t>
    </rPh>
    <rPh sb="56" eb="59">
      <t>カンケイシャ</t>
    </rPh>
    <rPh sb="66" eb="68">
      <t>カイサイ</t>
    </rPh>
    <rPh sb="70" eb="72">
      <t>セイセイ</t>
    </rPh>
    <rPh sb="74" eb="77">
      <t>リカツヨウ</t>
    </rPh>
    <rPh sb="78" eb="80">
      <t>ナイヨウ</t>
    </rPh>
    <rPh sb="81" eb="83">
      <t>ジュウジツ</t>
    </rPh>
    <rPh sb="95" eb="97">
      <t>カモク</t>
    </rPh>
    <rPh sb="101" eb="103">
      <t>スイジュン</t>
    </rPh>
    <rPh sb="104" eb="106">
      <t>コウジョウ</t>
    </rPh>
    <rPh sb="107" eb="108">
      <t>ツナ</t>
    </rPh>
    <phoneticPr fontId="1"/>
  </si>
  <si>
    <r>
      <t>海外メディアの情報にも親しむことで、①国内で報道されない情報に接することができる②日本に関してどのような報道がなされているのかがわかる③その国の映画、アート、音楽、ファッションなどのトレンドにいち早く触れられる― といったメリットがある。
このような情報を収集するうえで有用な、</t>
    </r>
    <r>
      <rPr>
        <b/>
        <u/>
        <sz val="12"/>
        <color theme="1"/>
        <rFont val="ＭＳ Ｐゴシック"/>
        <family val="3"/>
        <charset val="128"/>
        <scheme val="minor"/>
      </rPr>
      <t>生成AI</t>
    </r>
    <r>
      <rPr>
        <sz val="12"/>
        <color theme="1"/>
        <rFont val="ＭＳ Ｐゴシック"/>
        <family val="3"/>
        <charset val="128"/>
        <scheme val="minor"/>
      </rPr>
      <t>の利活用の最新動向について紹介する。
（メディアリテラシー 第5,6回）</t>
    </r>
    <rPh sb="139" eb="141">
      <t>セイセイ</t>
    </rPh>
    <phoneticPr fontId="1"/>
  </si>
  <si>
    <r>
      <t xml:space="preserve">課題制作のテーマ設定を読み取る。
情報基礎演習Aおよびコンピュータデザイン演習で学んだグラフィックソフトの各アプリケーションを活用し、AI技術を正しく利用しつつ色々なテーマに沿った課題を制作する。
</t>
    </r>
    <r>
      <rPr>
        <b/>
        <u/>
        <sz val="12"/>
        <color theme="1"/>
        <rFont val="ＭＳ Ｐゴシック"/>
        <family val="3"/>
        <charset val="128"/>
        <scheme val="minor"/>
      </rPr>
      <t>グラフィックソフトで用いられる生成AI技術をとおし、データ活用の正しい理解につなげる。</t>
    </r>
    <r>
      <rPr>
        <sz val="12"/>
        <color theme="1"/>
        <rFont val="ＭＳ Ｐゴシック"/>
        <family val="3"/>
        <charset val="128"/>
        <scheme val="minor"/>
      </rPr>
      <t xml:space="preserve">
（コンピュータデザイン演習（デ工） 第12-15回）</t>
    </r>
    <rPh sb="109" eb="110">
      <t>モチ</t>
    </rPh>
    <rPh sb="114" eb="116">
      <t>セイセイ</t>
    </rPh>
    <rPh sb="118" eb="120">
      <t>ギジュツ</t>
    </rPh>
    <rPh sb="131" eb="132">
      <t>タダ</t>
    </rPh>
    <rPh sb="134" eb="136">
      <t>リカイ</t>
    </rPh>
    <phoneticPr fontId="1"/>
  </si>
  <si>
    <r>
      <t>情報基礎演習Aおよびコンピュータデザイン演習で学んだグラフィックソフトの各アプリケーションを活用し、AI技術を正しく利用しつつ色々なテーマに沿った課題を制作する。
課題制作物の合評をとおして、</t>
    </r>
    <r>
      <rPr>
        <b/>
        <u/>
        <sz val="12"/>
        <color theme="1"/>
        <rFont val="ＭＳ Ｐゴシック"/>
        <family val="3"/>
        <charset val="128"/>
        <scheme val="minor"/>
      </rPr>
      <t>自身の意図を正確に伝える技術や考え方を学ぶ。</t>
    </r>
    <r>
      <rPr>
        <sz val="12"/>
        <color theme="1"/>
        <rFont val="ＭＳ Ｐゴシック"/>
        <family val="3"/>
        <charset val="128"/>
        <scheme val="minor"/>
      </rPr>
      <t xml:space="preserve">
（コンピュータデザイン演習（デ工） 第12-15回）</t>
    </r>
    <rPh sb="82" eb="84">
      <t>カダイ</t>
    </rPh>
    <rPh sb="84" eb="86">
      <t>セイサク</t>
    </rPh>
    <rPh sb="86" eb="87">
      <t>ブツ</t>
    </rPh>
    <rPh sb="88" eb="90">
      <t>ガッピョウ</t>
    </rPh>
    <rPh sb="96" eb="98">
      <t>ジシン</t>
    </rPh>
    <rPh sb="102" eb="104">
      <t>セイカク</t>
    </rPh>
    <rPh sb="105" eb="106">
      <t>ツタ</t>
    </rPh>
    <rPh sb="108" eb="110">
      <t>ギジュツ</t>
    </rPh>
    <rPh sb="111" eb="112">
      <t>カンガ</t>
    </rPh>
    <rPh sb="113" eb="114">
      <t>カタ</t>
    </rPh>
    <rPh sb="115" eb="116">
      <t>マナ</t>
    </rPh>
    <phoneticPr fontId="1"/>
  </si>
  <si>
    <r>
      <t xml:space="preserve">情報の真偽、隠された意図がないかどうかを見抜くチカラが自分や社会を守ることになる。
</t>
    </r>
    <r>
      <rPr>
        <b/>
        <u/>
        <sz val="12"/>
        <color theme="1"/>
        <rFont val="ＭＳ Ｐゴシック"/>
        <family val="3"/>
        <charset val="128"/>
        <scheme val="minor"/>
      </rPr>
      <t>情報漏洩などを含め</t>
    </r>
    <r>
      <rPr>
        <sz val="12"/>
        <color theme="1"/>
        <rFont val="ＭＳ Ｐゴシック"/>
        <family val="3"/>
        <charset val="128"/>
        <scheme val="minor"/>
      </rPr>
      <t>AI技術の利活用における負の事例を紹介することで、可能な限り自分で調べ、慎重にfake 情報を排除する重要性を学ぶ。（メディアリテラシー 第3,4回）</t>
    </r>
    <rPh sb="49" eb="50">
      <t>フク</t>
    </rPh>
    <phoneticPr fontId="1"/>
  </si>
  <si>
    <r>
      <t>海外メディアの情報にも親しむことで、①国内で報道されない情報に接することができる②日本に関してどのような報道がなされているのかがわかる③その国の映画、アート、音楽、ファッションなどのトレンドにいち早く触れられる― といったメリットがある。
このような情報を収集するうえで有用な、</t>
    </r>
    <r>
      <rPr>
        <b/>
        <u/>
        <sz val="12"/>
        <color theme="1"/>
        <rFont val="ＭＳ Ｐゴシック"/>
        <family val="3"/>
        <charset val="128"/>
        <scheme val="minor"/>
      </rPr>
      <t>生成AI</t>
    </r>
    <r>
      <rPr>
        <sz val="12"/>
        <color theme="1"/>
        <rFont val="ＭＳ Ｐゴシック"/>
        <family val="3"/>
        <charset val="128"/>
        <scheme val="minor"/>
      </rPr>
      <t>の最新動向について紹介する。
（メディアリテラシー 第5,6回）</t>
    </r>
    <phoneticPr fontId="1"/>
  </si>
  <si>
    <r>
      <t>情報を精査し課題を読み解く能力、提案し表現するコミュニケーション能力、効果的にプレゼンテーションする能力、ワークショップを行い協働で取り組む能力は建築を学ぶ上で必要となる。
学期プロジェクト演習により、グループ内で提案、協働で取り組むことで</t>
    </r>
    <r>
      <rPr>
        <b/>
        <u/>
        <sz val="12"/>
        <color theme="1"/>
        <rFont val="ＭＳ Ｐゴシック"/>
        <family val="3"/>
        <charset val="128"/>
        <scheme val="minor"/>
      </rPr>
      <t>情報を正しく理解する</t>
    </r>
    <r>
      <rPr>
        <sz val="12"/>
        <color theme="1"/>
        <rFont val="ＭＳ Ｐゴシック"/>
        <family val="3"/>
        <charset val="128"/>
        <scheme val="minor"/>
      </rPr>
      <t>ことを学ぶ。（情報基礎演習B 第13-15回）</t>
    </r>
    <rPh sb="120" eb="122">
      <t>ジョウホウ</t>
    </rPh>
    <rPh sb="123" eb="124">
      <t>タダ</t>
    </rPh>
    <rPh sb="126" eb="128">
      <t>リカイ</t>
    </rPh>
    <phoneticPr fontId="1"/>
  </si>
  <si>
    <r>
      <t>情報を精査し課題を読み解く能力、提案し表現するコミュニケーション能力、効果的にプレゼンテーションする能力、ワークショップを行い協働で取り組む能力は建築を学ぶ上で必要となる。
学期プロジェクト演習をとおして、実技講習で学んだ</t>
    </r>
    <r>
      <rPr>
        <b/>
        <u/>
        <sz val="12"/>
        <color theme="1"/>
        <rFont val="ＭＳ Ｐゴシック"/>
        <family val="3"/>
        <charset val="128"/>
        <scheme val="minor"/>
      </rPr>
      <t>スプレッドシート</t>
    </r>
    <r>
      <rPr>
        <sz val="12"/>
        <color theme="1"/>
        <rFont val="ＭＳ Ｐゴシック"/>
        <family val="3"/>
        <charset val="128"/>
        <scheme val="minor"/>
      </rPr>
      <t>等のソフトウェアを用いてグループ内でデータを精査、共有し編集する。（情報基礎演習B 第13-15回）</t>
    </r>
    <rPh sb="119" eb="120">
      <t>トウ</t>
    </rPh>
    <phoneticPr fontId="1"/>
  </si>
  <si>
    <r>
      <t xml:space="preserve">情報の真偽、隠された意図がないかどうかを見抜くチカラが自分や社会を守ることになる。
</t>
    </r>
    <r>
      <rPr>
        <b/>
        <u/>
        <sz val="12"/>
        <color theme="1"/>
        <rFont val="ＭＳ Ｐゴシック"/>
        <family val="3"/>
        <charset val="128"/>
        <scheme val="minor"/>
      </rPr>
      <t>情報漏洩などを含め</t>
    </r>
    <r>
      <rPr>
        <sz val="12"/>
        <color theme="1"/>
        <rFont val="ＭＳ Ｐゴシック"/>
        <family val="3"/>
        <charset val="128"/>
        <scheme val="minor"/>
      </rPr>
      <t>AI技術の利活用における負の事例を紹介することで、可能な限り自分で調べ、慎重にfake 情報を排除する重要性を学ぶ。（メディアリテラシー 第3,4回）</t>
    </r>
    <phoneticPr fontId="1"/>
  </si>
  <si>
    <r>
      <t>基本的なグラフィックの制作に用いられる Adobe Photoshop、Illustrator の活用事例を紹介する。
課題を読み解き、情報を精査</t>
    </r>
    <r>
      <rPr>
        <b/>
        <u/>
        <sz val="12"/>
        <color theme="1"/>
        <rFont val="ＭＳ Ｐゴシック"/>
        <family val="3"/>
        <charset val="128"/>
        <scheme val="minor"/>
      </rPr>
      <t>可視化</t>
    </r>
    <r>
      <rPr>
        <sz val="12"/>
        <color theme="1"/>
        <rFont val="ＭＳ Ｐゴシック"/>
        <family val="3"/>
        <charset val="128"/>
        <scheme val="minor"/>
      </rPr>
      <t>し提案表現する方法をグループワークの実演・実技形式で学ぶ。
（情報基礎演習B 第5,9回）</t>
    </r>
    <rPh sb="73" eb="76">
      <t>カシカ</t>
    </rPh>
    <phoneticPr fontId="1"/>
  </si>
  <si>
    <r>
      <t>近年、</t>
    </r>
    <r>
      <rPr>
        <b/>
        <u/>
        <sz val="12"/>
        <color theme="1"/>
        <rFont val="ＭＳ Ｐゴシック"/>
        <family val="3"/>
        <charset val="128"/>
        <scheme val="minor"/>
      </rPr>
      <t>データ・AI活用領域の広がり</t>
    </r>
    <r>
      <rPr>
        <sz val="12"/>
        <color theme="1"/>
        <rFont val="ＭＳ Ｐゴシック"/>
        <family val="3"/>
        <charset val="128"/>
        <scheme val="minor"/>
      </rPr>
      <t>が注目されており、課題解決の有用なツールとして重要性が広く認識されている。デザイン系ソフトで用いられているAI技術を活用し、ロゴやイラスト、広告作成など画像編集など自由に描写するための技術を学ぶ。
（情報基礎演習A 第2-10回）（コンピュータデザイン演習（デ工） 第3-11回）</t>
    </r>
    <phoneticPr fontId="1"/>
  </si>
  <si>
    <r>
      <t>新聞やテレビ、インターネットなどの情報媒体から発信される情報を正しく理解し、ときには自ら情報を適切に発信するために、近年のデジタル社会において</t>
    </r>
    <r>
      <rPr>
        <b/>
        <u/>
        <sz val="12"/>
        <color theme="1"/>
        <rFont val="ＭＳ Ｐゴシック"/>
        <family val="3"/>
        <charset val="128"/>
        <scheme val="minor"/>
      </rPr>
      <t>AIなど</t>
    </r>
    <r>
      <rPr>
        <sz val="12"/>
        <color theme="1"/>
        <rFont val="ＭＳ Ｐゴシック"/>
        <family val="3"/>
        <charset val="128"/>
        <scheme val="minor"/>
      </rPr>
      <t>の技術がどのように利活用されているか紹介する。（メディアリテラシー 第1,2回）</t>
    </r>
    <phoneticPr fontId="1"/>
  </si>
  <si>
    <r>
      <t>日々のニュースの主役となる外交官、警察関係者、政治家らをゲストスピーカーとして招き、メディアを通さない</t>
    </r>
    <r>
      <rPr>
        <b/>
        <u/>
        <sz val="12"/>
        <color theme="1"/>
        <rFont val="ＭＳ Ｐゴシック"/>
        <family val="3"/>
        <charset val="128"/>
        <scheme val="minor"/>
      </rPr>
      <t>1次情報</t>
    </r>
    <r>
      <rPr>
        <sz val="12"/>
        <color theme="1"/>
        <rFont val="ＭＳ Ｐゴシック"/>
        <family val="3"/>
        <charset val="128"/>
        <scheme val="minor"/>
      </rPr>
      <t>にアプローチする。さらに、第一線で活躍するメディア関係者からも話を聞き、メディアの現状と課題について学ぶ。（メディアリテラシー 第11-14回）</t>
    </r>
    <phoneticPr fontId="1"/>
  </si>
  <si>
    <r>
      <t>グラフィックソフトの各アプリケーションの特徴やグラフィックデザインの意義の理解を深め、独自のビジョンをカタチにするための技術と</t>
    </r>
    <r>
      <rPr>
        <b/>
        <u/>
        <sz val="12"/>
        <color theme="1"/>
        <rFont val="ＭＳ Ｐゴシック"/>
        <family val="3"/>
        <charset val="128"/>
        <scheme val="minor"/>
      </rPr>
      <t>AIで出来ること出来ないこと</t>
    </r>
    <r>
      <rPr>
        <sz val="12"/>
        <color theme="1"/>
        <rFont val="ＭＳ Ｐゴシック"/>
        <family val="3"/>
        <charset val="128"/>
        <scheme val="minor"/>
      </rPr>
      <t>に関する知識を深める。
（情報基礎演習A 第13-15回）（コンピュータデザイン演習（デ工） 第2回）</t>
    </r>
    <rPh sb="66" eb="68">
      <t>デキ</t>
    </rPh>
    <rPh sb="71" eb="73">
      <t>デキ</t>
    </rPh>
    <phoneticPr fontId="1"/>
  </si>
  <si>
    <r>
      <t>デザインの分野における</t>
    </r>
    <r>
      <rPr>
        <b/>
        <u/>
        <sz val="12"/>
        <color theme="1"/>
        <rFont val="ＭＳ Ｐゴシック"/>
        <family val="3"/>
        <charset val="128"/>
        <scheme val="minor"/>
      </rPr>
      <t>AI利活用事例</t>
    </r>
    <r>
      <rPr>
        <sz val="12"/>
        <color theme="1"/>
        <rFont val="ＭＳ Ｐゴシック"/>
        <family val="3"/>
        <charset val="128"/>
        <scheme val="minor"/>
      </rPr>
      <t>として生成AIについて紹介する。
進化を続けるAIの特性を理解した上で、AI技術をどのように利用することが有効なのかを考えながら、正しく利用した活用方法について学ぶ。（コンピュータデザイン演習（デ工） 第2回）</t>
    </r>
    <rPh sb="16" eb="18">
      <t>ジレイ</t>
    </rPh>
    <phoneticPr fontId="1"/>
  </si>
  <si>
    <r>
      <t>情報発信をする際に注意しなければならない、</t>
    </r>
    <r>
      <rPr>
        <b/>
        <u/>
        <sz val="12"/>
        <color theme="1"/>
        <rFont val="ＭＳ Ｐゴシック"/>
        <family val="3"/>
        <charset val="128"/>
        <scheme val="minor"/>
      </rPr>
      <t>データの捏造、改ざん、盗用、情報漏洩、プライバシー保護</t>
    </r>
    <r>
      <rPr>
        <sz val="12"/>
        <color theme="1"/>
        <rFont val="ＭＳ Ｐゴシック"/>
        <family val="3"/>
        <charset val="128"/>
        <scheme val="minor"/>
      </rPr>
      <t>などのデータ倫理について事例紹介をしつつ説明する。
（メディアリテラシー 第3,4,10,15回）</t>
    </r>
    <phoneticPr fontId="1"/>
  </si>
  <si>
    <r>
      <t>情報基礎演習Aおよびコンピュータデザイン演習で学んだグラフィックソフトで用いられる生成AI技術をとおし、</t>
    </r>
    <r>
      <rPr>
        <b/>
        <u/>
        <sz val="12"/>
        <color theme="1"/>
        <rFont val="ＭＳ Ｐゴシック"/>
        <family val="3"/>
        <charset val="128"/>
        <scheme val="minor"/>
      </rPr>
      <t>生成AIモデルのデータの扱い方</t>
    </r>
    <r>
      <rPr>
        <sz val="12"/>
        <color theme="1"/>
        <rFont val="ＭＳ Ｐゴシック"/>
        <family val="3"/>
        <charset val="128"/>
        <scheme val="minor"/>
      </rPr>
      <t>を学ぶ。（コンピュータデザイン演習（デ工） 第12-15回）</t>
    </r>
    <rPh sb="36" eb="37">
      <t>モチ</t>
    </rPh>
    <phoneticPr fontId="1"/>
  </si>
  <si>
    <r>
      <t>近年、</t>
    </r>
    <r>
      <rPr>
        <b/>
        <u/>
        <sz val="12"/>
        <color theme="1"/>
        <rFont val="ＭＳ Ｐゴシック"/>
        <family val="3"/>
        <charset val="128"/>
        <scheme val="minor"/>
      </rPr>
      <t>データ・AI活用領域の広がり</t>
    </r>
    <r>
      <rPr>
        <sz val="12"/>
        <color theme="1"/>
        <rFont val="ＭＳ Ｐゴシック"/>
        <family val="3"/>
        <charset val="128"/>
        <scheme val="minor"/>
      </rPr>
      <t>が注目されており、課題解決の有用なツールとして重要性が広く認識されている。社会で活用されている基礎的なIT技術（Google Workplaceの各種アプリ）を活用することで、能動的な課題解決能力とコミュニケーション能力を養う。
（情報基礎演習B 第1-8回）</t>
    </r>
    <rPh sb="0" eb="2">
      <t>キンネン</t>
    </rPh>
    <rPh sb="9" eb="11">
      <t>カツヨウ</t>
    </rPh>
    <rPh sb="11" eb="13">
      <t>リョウイキ</t>
    </rPh>
    <rPh sb="14" eb="15">
      <t>ヒロ</t>
    </rPh>
    <rPh sb="18" eb="20">
      <t>チュウモク</t>
    </rPh>
    <rPh sb="31" eb="33">
      <t>ユウヨウ</t>
    </rPh>
    <rPh sb="40" eb="43">
      <t>ジュウヨウセイ</t>
    </rPh>
    <rPh sb="44" eb="45">
      <t>ヒロ</t>
    </rPh>
    <rPh sb="46" eb="48">
      <t>ニンシキ</t>
    </rPh>
    <phoneticPr fontId="1"/>
  </si>
  <si>
    <r>
      <t>国土地理院の</t>
    </r>
    <r>
      <rPr>
        <b/>
        <u/>
        <sz val="12"/>
        <color theme="1"/>
        <rFont val="ＭＳ Ｐゴシック"/>
        <family val="3"/>
        <charset val="128"/>
        <scheme val="minor"/>
      </rPr>
      <t>データ活用事例</t>
    </r>
    <r>
      <rPr>
        <sz val="12"/>
        <color theme="1"/>
        <rFont val="ＭＳ Ｐゴシック"/>
        <family val="3"/>
        <charset val="128"/>
        <scheme val="minor"/>
      </rPr>
      <t>を紹介し、収集データの活用および技術の必要性について学ぶ。
さらに、演習として国土地理院のデータの活用をしたグループワークを行う。
（情報基礎演習B 第10-12回）</t>
    </r>
    <phoneticPr fontId="1"/>
  </si>
  <si>
    <r>
      <t>情報を精査し課題を読み解く能力、提案し表現するコミュニケーション能力、効果的に</t>
    </r>
    <r>
      <rPr>
        <b/>
        <u/>
        <sz val="12"/>
        <color theme="1"/>
        <rFont val="ＭＳ Ｐゴシック"/>
        <family val="3"/>
        <charset val="128"/>
        <scheme val="minor"/>
      </rPr>
      <t>プレゼンテーション</t>
    </r>
    <r>
      <rPr>
        <sz val="12"/>
        <color theme="1"/>
        <rFont val="ＭＳ Ｐゴシック"/>
        <family val="3"/>
        <charset val="128"/>
        <scheme val="minor"/>
      </rPr>
      <t>する能力、ワークショップを行い協働で取り組む能力は建築を学ぶ上で必要となる。
学期プロジェクト演習により、グループごとにプレゼンテーションを行い合評することで、効果的なデータの表現方法を学ぶ。（情報基礎演習B 第13-15回）</t>
    </r>
    <phoneticPr fontId="1"/>
  </si>
  <si>
    <t>プログラムを構成する授業科目「情報基礎演習Ａ」、「メディアリテラシー」、「コンピュータデザイン演習」は、京都美術工芸大学芸術学部の1年次選択科目である。この３科目の単位（計6単位)を修得することが修了要件である。
〔教養〕コミュニケーション科目：情報基礎演習Ａ (演習、2単位、選択)　　
〔教養〕キャリア形成科目：メディアリテラシー (講義、2単位、選択)
〔専門〕美術工芸科目・基幹科目：コンピュータデザイン演習 (演習、2単位、選択)</t>
    <phoneticPr fontId="1"/>
  </si>
  <si>
    <t>京都美術工芸大学教学委員会規程、京都美術工芸大学教学委員会教務部会設置要項、京都美術工芸大学自己点検・評価委員会規程</t>
    <rPh sb="0" eb="8">
      <t>キョウトビジュツコウゲイダイガク</t>
    </rPh>
    <rPh sb="16" eb="24">
      <t>キョウトビジュツコウゲイダイガク</t>
    </rPh>
    <rPh sb="38" eb="46">
      <t>キョウトビジュツコウゲイダイガク</t>
    </rPh>
    <phoneticPr fontId="1"/>
  </si>
  <si>
    <t>プログラムを構成する授業科目「情報基礎演習Ｂ」、「メディアリテラシー」は、京都美術工芸大学建築学部の1年次選択科目である。この2科目の単位（計4単位)を修得することが修了要件である。
〔教養〕コミュニケーション科目：情報基礎演習Ｂ　 (演習、2単位、必修)
〔教養〕キャリア形成科目：メディアリテラシー　 (講義、2単位、選択)</t>
    <phoneticPr fontId="1"/>
  </si>
  <si>
    <t>京都美術工芸大学自己点検・評価委員会</t>
    <rPh sb="0" eb="2">
      <t>キョウト</t>
    </rPh>
    <rPh sb="2" eb="8">
      <t>ビジュツコウゲイダイガク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</si>
</sst>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color theme="1"/>
      <name val="ＭＳ ゴシック"/>
      <family val="3"/>
      <charset val="128"/>
    </font>
    <font>
      <sz val="11"/>
      <color theme="1"/>
      <name val="ＭＳ ゴシック"/>
      <family val="3"/>
      <charset val="128"/>
    </font>
    <font>
      <b/>
      <u/>
      <sz val="12"/>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right" vertical="center"/>
    </xf>
    <xf numFmtId="0" fontId="13" fillId="0" borderId="0" xfId="0" applyFont="1">
      <alignmen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wrapText="1"/>
    </xf>
    <xf numFmtId="49" fontId="2" fillId="0" borderId="30" xfId="0" applyNumberFormat="1" applyFont="1" applyBorder="1" applyAlignment="1">
      <alignment horizontal="left" vertical="center" wrapText="1"/>
    </xf>
    <xf numFmtId="49" fontId="2" fillId="3" borderId="32" xfId="0" applyNumberFormat="1" applyFont="1" applyFill="1" applyBorder="1" applyAlignment="1">
      <alignment horizontal="left" vertical="center" wrapText="1"/>
    </xf>
    <xf numFmtId="49" fontId="2" fillId="3" borderId="33" xfId="0" applyNumberFormat="1" applyFont="1" applyFill="1" applyBorder="1" applyAlignment="1">
      <alignment horizontal="left" vertical="center"/>
    </xf>
    <xf numFmtId="49" fontId="2" fillId="3" borderId="34" xfId="0" applyNumberFormat="1" applyFont="1" applyFill="1" applyBorder="1" applyAlignment="1">
      <alignment horizontal="left" vertical="center"/>
    </xf>
    <xf numFmtId="49" fontId="2" fillId="3" borderId="29" xfId="0" applyNumberFormat="1" applyFont="1" applyFill="1" applyBorder="1" applyAlignment="1">
      <alignment horizontal="left" vertical="center" wrapText="1"/>
    </xf>
    <xf numFmtId="49" fontId="2" fillId="3" borderId="31" xfId="0" applyNumberFormat="1" applyFont="1" applyFill="1" applyBorder="1" applyAlignment="1">
      <alignment horizontal="left" vertical="center"/>
    </xf>
    <xf numFmtId="49" fontId="2" fillId="3" borderId="30" xfId="0"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2" fillId="3" borderId="18" xfId="0" applyNumberFormat="1" applyFont="1" applyFill="1" applyBorder="1" applyAlignment="1">
      <alignment horizontal="left" vertical="center" wrapText="1"/>
    </xf>
    <xf numFmtId="49" fontId="2" fillId="3" borderId="19" xfId="0" applyNumberFormat="1" applyFont="1" applyFill="1" applyBorder="1" applyAlignment="1">
      <alignment horizontal="left" vertical="center"/>
    </xf>
    <xf numFmtId="49" fontId="2" fillId="3" borderId="17" xfId="0" applyNumberFormat="1" applyFont="1" applyFill="1" applyBorder="1" applyAlignment="1">
      <alignment horizontal="left" vertical="center"/>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98" zoomScaleNormal="100" zoomScaleSheetLayoutView="100" workbookViewId="0">
      <selection activeCell="B1" sqref="B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143</v>
      </c>
      <c r="U1" s="127"/>
      <c r="V1" s="2" t="s">
        <v>93</v>
      </c>
    </row>
    <row r="2" spans="1:24" ht="18.75" customHeight="1" x14ac:dyDescent="0.2">
      <c r="B2" s="17" t="s">
        <v>92</v>
      </c>
      <c r="C2" s="91" t="s">
        <v>145</v>
      </c>
      <c r="D2" s="92"/>
      <c r="E2" s="92"/>
      <c r="F2" s="92"/>
      <c r="G2" s="92"/>
      <c r="H2" s="92"/>
      <c r="I2" s="92"/>
      <c r="J2" s="93"/>
      <c r="K2" s="18"/>
      <c r="L2" s="6"/>
      <c r="M2" s="6"/>
      <c r="N2" s="6"/>
      <c r="O2" s="6"/>
      <c r="P2" s="6"/>
      <c r="Q2" s="6"/>
      <c r="R2" s="6"/>
      <c r="S2" s="6"/>
      <c r="T2" s="6"/>
      <c r="U2" s="6"/>
    </row>
    <row r="3" spans="1:24" ht="18.75" customHeight="1" x14ac:dyDescent="0.2">
      <c r="B3" s="17" t="s">
        <v>87</v>
      </c>
      <c r="C3" s="91" t="s">
        <v>146</v>
      </c>
      <c r="D3" s="92"/>
      <c r="E3" s="92"/>
      <c r="F3" s="92"/>
      <c r="G3" s="92"/>
      <c r="H3" s="92"/>
      <c r="I3" s="92"/>
      <c r="J3" s="93"/>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28" t="s">
        <v>141</v>
      </c>
      <c r="B5" s="128"/>
      <c r="C5" s="128"/>
      <c r="D5" s="128"/>
      <c r="E5" s="128"/>
      <c r="F5" s="128"/>
      <c r="G5" s="128"/>
      <c r="H5" s="128"/>
      <c r="I5" s="128"/>
      <c r="J5" s="128"/>
      <c r="K5" s="128"/>
      <c r="L5" s="128"/>
      <c r="M5" s="128"/>
      <c r="N5" s="128"/>
      <c r="O5" s="128"/>
      <c r="P5" s="128"/>
      <c r="Q5" s="128"/>
      <c r="R5" s="128"/>
      <c r="S5" s="128"/>
      <c r="T5" s="128"/>
      <c r="U5" s="12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88" t="s">
        <v>116</v>
      </c>
      <c r="M7" s="89"/>
      <c r="N7" s="89"/>
      <c r="O7" s="89"/>
      <c r="P7" s="89"/>
      <c r="Q7" s="89"/>
      <c r="R7" s="89"/>
      <c r="S7" s="89"/>
      <c r="T7" s="89"/>
      <c r="U7" s="90"/>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03" t="s">
        <v>147</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2">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29" t="s">
        <v>200</v>
      </c>
      <c r="C15" s="130"/>
      <c r="D15" s="130"/>
      <c r="E15" s="130"/>
      <c r="F15" s="130"/>
      <c r="G15" s="130"/>
      <c r="H15" s="130"/>
      <c r="I15" s="130"/>
      <c r="J15" s="130"/>
      <c r="K15" s="130"/>
      <c r="L15" s="130"/>
      <c r="M15" s="130"/>
      <c r="N15" s="130"/>
      <c r="O15" s="130"/>
      <c r="P15" s="130"/>
      <c r="Q15" s="130"/>
      <c r="R15" s="130"/>
      <c r="S15" s="130"/>
      <c r="T15" s="130"/>
      <c r="U15" s="131"/>
      <c r="X15" s="1" t="s">
        <v>88</v>
      </c>
    </row>
    <row r="16" spans="1:24" ht="18" customHeight="1" x14ac:dyDescent="0.2">
      <c r="B16" s="132"/>
      <c r="C16" s="133"/>
      <c r="D16" s="133"/>
      <c r="E16" s="133"/>
      <c r="F16" s="133"/>
      <c r="G16" s="133"/>
      <c r="H16" s="133"/>
      <c r="I16" s="133"/>
      <c r="J16" s="133"/>
      <c r="K16" s="133"/>
      <c r="L16" s="133"/>
      <c r="M16" s="133"/>
      <c r="N16" s="133"/>
      <c r="O16" s="133"/>
      <c r="P16" s="133"/>
      <c r="Q16" s="133"/>
      <c r="R16" s="133"/>
      <c r="S16" s="133"/>
      <c r="T16" s="133"/>
      <c r="U16" s="134"/>
      <c r="X16" s="1" t="s">
        <v>122</v>
      </c>
    </row>
    <row r="17" spans="1:24" ht="18" customHeight="1" x14ac:dyDescent="0.2">
      <c r="B17" s="132"/>
      <c r="C17" s="133"/>
      <c r="D17" s="133"/>
      <c r="E17" s="133"/>
      <c r="F17" s="133"/>
      <c r="G17" s="133"/>
      <c r="H17" s="133"/>
      <c r="I17" s="133"/>
      <c r="J17" s="133"/>
      <c r="K17" s="133"/>
      <c r="L17" s="133"/>
      <c r="M17" s="133"/>
      <c r="N17" s="133"/>
      <c r="O17" s="133"/>
      <c r="P17" s="133"/>
      <c r="Q17" s="133"/>
      <c r="R17" s="133"/>
      <c r="S17" s="133"/>
      <c r="T17" s="133"/>
      <c r="U17" s="134"/>
      <c r="X17" s="1" t="s">
        <v>123</v>
      </c>
    </row>
    <row r="18" spans="1:24" ht="18" customHeight="1" x14ac:dyDescent="0.2">
      <c r="B18" s="132"/>
      <c r="C18" s="133"/>
      <c r="D18" s="133"/>
      <c r="E18" s="133"/>
      <c r="F18" s="133"/>
      <c r="G18" s="133"/>
      <c r="H18" s="133"/>
      <c r="I18" s="133"/>
      <c r="J18" s="133"/>
      <c r="K18" s="133"/>
      <c r="L18" s="133"/>
      <c r="M18" s="133"/>
      <c r="N18" s="133"/>
      <c r="O18" s="133"/>
      <c r="P18" s="133"/>
      <c r="Q18" s="133"/>
      <c r="R18" s="133"/>
      <c r="S18" s="133"/>
      <c r="T18" s="133"/>
      <c r="U18" s="134"/>
      <c r="X18" s="1" t="s">
        <v>124</v>
      </c>
    </row>
    <row r="19" spans="1:24" ht="18" customHeight="1" x14ac:dyDescent="0.2">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2">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6">
        <v>3</v>
      </c>
      <c r="F22" s="1" t="s">
        <v>106</v>
      </c>
      <c r="H22" s="83">
        <v>6</v>
      </c>
      <c r="I22" s="3" t="s">
        <v>107</v>
      </c>
      <c r="J22" s="3"/>
      <c r="K22" s="18"/>
      <c r="M22" s="18" t="s">
        <v>103</v>
      </c>
      <c r="N22" s="85" t="s">
        <v>124</v>
      </c>
      <c r="O22" s="86"/>
      <c r="P22" s="86"/>
      <c r="Q22" s="86"/>
      <c r="R22" s="86"/>
      <c r="S22" s="86"/>
      <c r="T22" s="86"/>
      <c r="U22" s="87"/>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8" t="s">
        <v>95</v>
      </c>
      <c r="B24" s="118"/>
      <c r="C24" s="118"/>
      <c r="D24" s="118"/>
      <c r="E24" s="118"/>
      <c r="F24" s="118"/>
      <c r="G24" s="118"/>
      <c r="H24" s="118"/>
      <c r="I24" s="118"/>
      <c r="J24" s="118"/>
      <c r="K24" s="118"/>
      <c r="L24" s="118"/>
      <c r="M24" s="118"/>
      <c r="N24" s="118"/>
      <c r="O24" s="118"/>
      <c r="P24" s="118"/>
      <c r="Q24" s="118"/>
      <c r="R24" s="118"/>
      <c r="S24" s="118"/>
      <c r="T24" s="118"/>
      <c r="U24" s="118"/>
    </row>
    <row r="25" spans="1:24" ht="18" customHeight="1" x14ac:dyDescent="0.2">
      <c r="A25" s="118"/>
      <c r="B25" s="118"/>
      <c r="C25" s="118"/>
      <c r="D25" s="118"/>
      <c r="E25" s="118"/>
      <c r="F25" s="118"/>
      <c r="G25" s="118"/>
      <c r="H25" s="118"/>
      <c r="I25" s="118"/>
      <c r="J25" s="118"/>
      <c r="K25" s="118"/>
      <c r="L25" s="118"/>
      <c r="M25" s="118"/>
      <c r="N25" s="118"/>
      <c r="O25" s="118"/>
      <c r="P25" s="118"/>
      <c r="Q25" s="118"/>
      <c r="R25" s="118"/>
      <c r="S25" s="118"/>
      <c r="T25" s="118"/>
      <c r="U25" s="118"/>
    </row>
    <row r="26" spans="1:24" ht="18" customHeight="1" x14ac:dyDescent="0.2">
      <c r="B26" s="91" t="s">
        <v>47</v>
      </c>
      <c r="C26" s="92"/>
      <c r="D26" s="92"/>
      <c r="E26" s="92"/>
      <c r="F26" s="93"/>
      <c r="G26" s="60" t="s">
        <v>72</v>
      </c>
      <c r="H26" s="61" t="s">
        <v>75</v>
      </c>
      <c r="I26" s="62" t="s">
        <v>50</v>
      </c>
      <c r="J26" s="62" t="s">
        <v>53</v>
      </c>
      <c r="K26" s="91" t="s">
        <v>47</v>
      </c>
      <c r="L26" s="92"/>
      <c r="M26" s="92"/>
      <c r="N26" s="92"/>
      <c r="O26" s="92"/>
      <c r="P26" s="92"/>
      <c r="Q26" s="93"/>
      <c r="R26" s="60" t="s">
        <v>72</v>
      </c>
      <c r="S26" s="61" t="s">
        <v>75</v>
      </c>
      <c r="T26" s="62" t="s">
        <v>50</v>
      </c>
      <c r="U26" s="62" t="s">
        <v>53</v>
      </c>
    </row>
    <row r="27" spans="1:24" ht="18" customHeight="1" x14ac:dyDescent="0.2">
      <c r="B27" s="115" t="s">
        <v>148</v>
      </c>
      <c r="C27" s="116"/>
      <c r="D27" s="116"/>
      <c r="E27" s="116"/>
      <c r="F27" s="117"/>
      <c r="G27" s="63">
        <v>2</v>
      </c>
      <c r="H27" s="63" t="s">
        <v>163</v>
      </c>
      <c r="I27" s="63" t="s">
        <v>163</v>
      </c>
      <c r="J27" s="63" t="s">
        <v>163</v>
      </c>
      <c r="K27" s="115"/>
      <c r="L27" s="116"/>
      <c r="M27" s="116"/>
      <c r="N27" s="116"/>
      <c r="O27" s="116"/>
      <c r="P27" s="116"/>
      <c r="Q27" s="117"/>
      <c r="R27" s="63"/>
      <c r="S27" s="63"/>
      <c r="T27" s="63"/>
      <c r="U27" s="63"/>
    </row>
    <row r="28" spans="1:24" ht="18" customHeight="1" x14ac:dyDescent="0.2">
      <c r="B28" s="109"/>
      <c r="C28" s="110"/>
      <c r="D28" s="110"/>
      <c r="E28" s="110"/>
      <c r="F28" s="111"/>
      <c r="G28" s="64"/>
      <c r="H28" s="64"/>
      <c r="I28" s="64"/>
      <c r="J28" s="64"/>
      <c r="K28" s="109"/>
      <c r="L28" s="110"/>
      <c r="M28" s="110"/>
      <c r="N28" s="110"/>
      <c r="O28" s="110"/>
      <c r="P28" s="110"/>
      <c r="Q28" s="111"/>
      <c r="R28" s="64"/>
      <c r="S28" s="64"/>
      <c r="T28" s="64"/>
      <c r="U28" s="64"/>
    </row>
    <row r="29" spans="1:24" ht="18" customHeight="1" x14ac:dyDescent="0.2">
      <c r="B29" s="109"/>
      <c r="C29" s="110"/>
      <c r="D29" s="110"/>
      <c r="E29" s="110"/>
      <c r="F29" s="111"/>
      <c r="G29" s="64"/>
      <c r="H29" s="64"/>
      <c r="I29" s="64"/>
      <c r="J29" s="64"/>
      <c r="K29" s="109"/>
      <c r="L29" s="110"/>
      <c r="M29" s="110"/>
      <c r="N29" s="110"/>
      <c r="O29" s="110"/>
      <c r="P29" s="110"/>
      <c r="Q29" s="111"/>
      <c r="R29" s="64"/>
      <c r="S29" s="64"/>
      <c r="T29" s="64"/>
      <c r="U29" s="64"/>
    </row>
    <row r="30" spans="1:24" ht="18" customHeight="1" x14ac:dyDescent="0.2">
      <c r="B30" s="109"/>
      <c r="C30" s="110"/>
      <c r="D30" s="110"/>
      <c r="E30" s="110"/>
      <c r="F30" s="111"/>
      <c r="G30" s="64"/>
      <c r="H30" s="64"/>
      <c r="I30" s="64"/>
      <c r="J30" s="64"/>
      <c r="K30" s="109"/>
      <c r="L30" s="110"/>
      <c r="M30" s="110"/>
      <c r="N30" s="110"/>
      <c r="O30" s="110"/>
      <c r="P30" s="110"/>
      <c r="Q30" s="111"/>
      <c r="R30" s="64"/>
      <c r="S30" s="64"/>
      <c r="T30" s="64"/>
      <c r="U30" s="64"/>
    </row>
    <row r="31" spans="1:24" ht="18" customHeight="1" x14ac:dyDescent="0.2">
      <c r="B31" s="109"/>
      <c r="C31" s="110"/>
      <c r="D31" s="110"/>
      <c r="E31" s="110"/>
      <c r="F31" s="111"/>
      <c r="G31" s="64"/>
      <c r="H31" s="64"/>
      <c r="I31" s="64"/>
      <c r="J31" s="64"/>
      <c r="K31" s="109"/>
      <c r="L31" s="110"/>
      <c r="M31" s="110"/>
      <c r="N31" s="110"/>
      <c r="O31" s="110"/>
      <c r="P31" s="110"/>
      <c r="Q31" s="111"/>
      <c r="R31" s="64"/>
      <c r="S31" s="64"/>
      <c r="T31" s="64"/>
      <c r="U31" s="64"/>
    </row>
    <row r="32" spans="1:24" ht="18" customHeight="1" x14ac:dyDescent="0.2">
      <c r="A32" s="3"/>
      <c r="B32" s="109"/>
      <c r="C32" s="110"/>
      <c r="D32" s="110"/>
      <c r="E32" s="110"/>
      <c r="F32" s="111"/>
      <c r="G32" s="64"/>
      <c r="H32" s="64"/>
      <c r="I32" s="64"/>
      <c r="J32" s="64"/>
      <c r="K32" s="109"/>
      <c r="L32" s="110"/>
      <c r="M32" s="110"/>
      <c r="N32" s="110"/>
      <c r="O32" s="110"/>
      <c r="P32" s="110"/>
      <c r="Q32" s="111"/>
      <c r="R32" s="64"/>
      <c r="S32" s="64"/>
      <c r="T32" s="64"/>
      <c r="U32" s="64"/>
    </row>
    <row r="33" spans="1:21" ht="18" customHeight="1" x14ac:dyDescent="0.2">
      <c r="A33" s="3"/>
      <c r="B33" s="112"/>
      <c r="C33" s="113"/>
      <c r="D33" s="113"/>
      <c r="E33" s="113"/>
      <c r="F33" s="114"/>
      <c r="G33" s="65"/>
      <c r="H33" s="65"/>
      <c r="I33" s="66"/>
      <c r="J33" s="66"/>
      <c r="K33" s="112"/>
      <c r="L33" s="113"/>
      <c r="M33" s="113"/>
      <c r="N33" s="113"/>
      <c r="O33" s="113"/>
      <c r="P33" s="113"/>
      <c r="Q33" s="114"/>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8" t="s">
        <v>96</v>
      </c>
      <c r="B35" s="118"/>
      <c r="C35" s="118"/>
      <c r="D35" s="118"/>
      <c r="E35" s="118"/>
      <c r="F35" s="118"/>
      <c r="G35" s="118"/>
      <c r="H35" s="118"/>
      <c r="I35" s="118"/>
      <c r="J35" s="118"/>
      <c r="K35" s="118"/>
      <c r="L35" s="118"/>
      <c r="M35" s="118"/>
      <c r="N35" s="118"/>
      <c r="O35" s="118"/>
      <c r="P35" s="118"/>
      <c r="Q35" s="118"/>
      <c r="R35" s="118"/>
      <c r="S35" s="118"/>
      <c r="T35" s="118"/>
      <c r="U35" s="118"/>
    </row>
    <row r="36" spans="1:21" ht="18" customHeight="1" x14ac:dyDescent="0.2">
      <c r="A36" s="118"/>
      <c r="B36" s="118"/>
      <c r="C36" s="118"/>
      <c r="D36" s="118"/>
      <c r="E36" s="118"/>
      <c r="F36" s="118"/>
      <c r="G36" s="118"/>
      <c r="H36" s="118"/>
      <c r="I36" s="118"/>
      <c r="J36" s="118"/>
      <c r="K36" s="118"/>
      <c r="L36" s="118"/>
      <c r="M36" s="118"/>
      <c r="N36" s="118"/>
      <c r="O36" s="118"/>
      <c r="P36" s="118"/>
      <c r="Q36" s="118"/>
      <c r="R36" s="118"/>
      <c r="S36" s="118"/>
      <c r="T36" s="118"/>
      <c r="U36" s="118"/>
    </row>
    <row r="37" spans="1:21" ht="18" customHeight="1" x14ac:dyDescent="0.2">
      <c r="B37" s="91" t="s">
        <v>47</v>
      </c>
      <c r="C37" s="92"/>
      <c r="D37" s="92"/>
      <c r="E37" s="92"/>
      <c r="F37" s="93"/>
      <c r="G37" s="60" t="s">
        <v>72</v>
      </c>
      <c r="H37" s="61" t="s">
        <v>75</v>
      </c>
      <c r="I37" s="62" t="s">
        <v>63</v>
      </c>
      <c r="J37" s="62" t="s">
        <v>64</v>
      </c>
      <c r="K37" s="91" t="s">
        <v>47</v>
      </c>
      <c r="L37" s="92"/>
      <c r="M37" s="92"/>
      <c r="N37" s="92"/>
      <c r="O37" s="92"/>
      <c r="P37" s="92"/>
      <c r="Q37" s="93"/>
      <c r="R37" s="60" t="s">
        <v>72</v>
      </c>
      <c r="S37" s="61" t="s">
        <v>75</v>
      </c>
      <c r="T37" s="62" t="s">
        <v>63</v>
      </c>
      <c r="U37" s="62" t="s">
        <v>64</v>
      </c>
    </row>
    <row r="38" spans="1:21" ht="18" customHeight="1" x14ac:dyDescent="0.2">
      <c r="B38" s="115" t="s">
        <v>148</v>
      </c>
      <c r="C38" s="116"/>
      <c r="D38" s="116"/>
      <c r="E38" s="116"/>
      <c r="F38" s="117"/>
      <c r="G38" s="63">
        <v>2</v>
      </c>
      <c r="H38" s="63" t="s">
        <v>163</v>
      </c>
      <c r="I38" s="63" t="s">
        <v>163</v>
      </c>
      <c r="J38" s="63"/>
      <c r="K38" s="115"/>
      <c r="L38" s="116"/>
      <c r="M38" s="116"/>
      <c r="N38" s="116"/>
      <c r="O38" s="116"/>
      <c r="P38" s="116"/>
      <c r="Q38" s="117"/>
      <c r="R38" s="63"/>
      <c r="S38" s="63"/>
      <c r="T38" s="63"/>
      <c r="U38" s="63"/>
    </row>
    <row r="39" spans="1:21" ht="18" customHeight="1" x14ac:dyDescent="0.2">
      <c r="B39" s="109" t="s">
        <v>149</v>
      </c>
      <c r="C39" s="110"/>
      <c r="D39" s="110"/>
      <c r="E39" s="110"/>
      <c r="F39" s="111"/>
      <c r="G39" s="64">
        <v>2</v>
      </c>
      <c r="H39" s="64" t="s">
        <v>163</v>
      </c>
      <c r="I39" s="64"/>
      <c r="J39" s="64" t="s">
        <v>163</v>
      </c>
      <c r="K39" s="109"/>
      <c r="L39" s="110"/>
      <c r="M39" s="110"/>
      <c r="N39" s="110"/>
      <c r="O39" s="110"/>
      <c r="P39" s="110"/>
      <c r="Q39" s="111"/>
      <c r="R39" s="64"/>
      <c r="S39" s="64"/>
      <c r="T39" s="64"/>
      <c r="U39" s="64"/>
    </row>
    <row r="40" spans="1:21" ht="18" customHeight="1" x14ac:dyDescent="0.2">
      <c r="B40" s="109" t="s">
        <v>150</v>
      </c>
      <c r="C40" s="110"/>
      <c r="D40" s="110"/>
      <c r="E40" s="110"/>
      <c r="F40" s="111"/>
      <c r="G40" s="64">
        <v>2</v>
      </c>
      <c r="H40" s="64" t="s">
        <v>163</v>
      </c>
      <c r="I40" s="64"/>
      <c r="J40" s="64" t="s">
        <v>163</v>
      </c>
      <c r="K40" s="109"/>
      <c r="L40" s="110"/>
      <c r="M40" s="110"/>
      <c r="N40" s="110"/>
      <c r="O40" s="110"/>
      <c r="P40" s="110"/>
      <c r="Q40" s="111"/>
      <c r="R40" s="64"/>
      <c r="S40" s="64"/>
      <c r="T40" s="64"/>
      <c r="U40" s="64"/>
    </row>
    <row r="41" spans="1:21" ht="18" customHeight="1" x14ac:dyDescent="0.2">
      <c r="B41" s="109"/>
      <c r="C41" s="110"/>
      <c r="D41" s="110"/>
      <c r="E41" s="110"/>
      <c r="F41" s="111"/>
      <c r="G41" s="64"/>
      <c r="H41" s="64"/>
      <c r="I41" s="64"/>
      <c r="J41" s="64"/>
      <c r="K41" s="109"/>
      <c r="L41" s="110"/>
      <c r="M41" s="110"/>
      <c r="N41" s="110"/>
      <c r="O41" s="110"/>
      <c r="P41" s="110"/>
      <c r="Q41" s="111"/>
      <c r="R41" s="64"/>
      <c r="S41" s="64"/>
      <c r="T41" s="64"/>
      <c r="U41" s="64"/>
    </row>
    <row r="42" spans="1:21" ht="18" customHeight="1" x14ac:dyDescent="0.2">
      <c r="B42" s="109"/>
      <c r="C42" s="110"/>
      <c r="D42" s="110"/>
      <c r="E42" s="110"/>
      <c r="F42" s="111"/>
      <c r="G42" s="64"/>
      <c r="H42" s="64"/>
      <c r="I42" s="64"/>
      <c r="J42" s="64"/>
      <c r="K42" s="109"/>
      <c r="L42" s="110"/>
      <c r="M42" s="110"/>
      <c r="N42" s="110"/>
      <c r="O42" s="110"/>
      <c r="P42" s="110"/>
      <c r="Q42" s="111"/>
      <c r="R42" s="64"/>
      <c r="S42" s="64"/>
      <c r="T42" s="64"/>
      <c r="U42" s="64"/>
    </row>
    <row r="43" spans="1:21" ht="18" customHeight="1" x14ac:dyDescent="0.2">
      <c r="B43" s="109"/>
      <c r="C43" s="110"/>
      <c r="D43" s="110"/>
      <c r="E43" s="110"/>
      <c r="F43" s="111"/>
      <c r="G43" s="64"/>
      <c r="H43" s="64"/>
      <c r="I43" s="64"/>
      <c r="J43" s="64"/>
      <c r="K43" s="109"/>
      <c r="L43" s="110"/>
      <c r="M43" s="110"/>
      <c r="N43" s="110"/>
      <c r="O43" s="110"/>
      <c r="P43" s="110"/>
      <c r="Q43" s="111"/>
      <c r="R43" s="64"/>
      <c r="S43" s="64"/>
      <c r="T43" s="64"/>
      <c r="U43" s="64"/>
    </row>
    <row r="44" spans="1:21" ht="18" customHeight="1" x14ac:dyDescent="0.2">
      <c r="B44" s="112"/>
      <c r="C44" s="113"/>
      <c r="D44" s="113"/>
      <c r="E44" s="113"/>
      <c r="F44" s="114"/>
      <c r="G44" s="65"/>
      <c r="H44" s="65"/>
      <c r="I44" s="66"/>
      <c r="J44" s="66"/>
      <c r="K44" s="112"/>
      <c r="L44" s="113"/>
      <c r="M44" s="113"/>
      <c r="N44" s="113"/>
      <c r="O44" s="113"/>
      <c r="P44" s="113"/>
      <c r="Q44" s="114"/>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8" t="s">
        <v>97</v>
      </c>
      <c r="B46" s="118"/>
      <c r="C46" s="118"/>
      <c r="D46" s="118"/>
      <c r="E46" s="118"/>
      <c r="F46" s="118"/>
      <c r="G46" s="118"/>
      <c r="H46" s="118"/>
      <c r="I46" s="118"/>
      <c r="J46" s="118"/>
      <c r="K46" s="118"/>
      <c r="L46" s="118"/>
      <c r="M46" s="118"/>
      <c r="N46" s="118"/>
      <c r="O46" s="118"/>
      <c r="P46" s="118"/>
      <c r="Q46" s="118"/>
      <c r="R46" s="118"/>
      <c r="S46" s="118"/>
      <c r="T46" s="118"/>
      <c r="U46" s="118"/>
    </row>
    <row r="47" spans="1:21" ht="18" customHeight="1" x14ac:dyDescent="0.2">
      <c r="A47" s="118"/>
      <c r="B47" s="118"/>
      <c r="C47" s="118"/>
      <c r="D47" s="118"/>
      <c r="E47" s="118"/>
      <c r="F47" s="118"/>
      <c r="G47" s="118"/>
      <c r="H47" s="118"/>
      <c r="I47" s="118"/>
      <c r="J47" s="118"/>
      <c r="K47" s="118"/>
      <c r="L47" s="118"/>
      <c r="M47" s="118"/>
      <c r="N47" s="118"/>
      <c r="O47" s="118"/>
      <c r="P47" s="118"/>
      <c r="Q47" s="118"/>
      <c r="R47" s="118"/>
      <c r="S47" s="118"/>
      <c r="T47" s="118"/>
      <c r="U47" s="118"/>
    </row>
    <row r="48" spans="1:21" ht="18" customHeight="1" x14ac:dyDescent="0.2">
      <c r="B48" s="91" t="s">
        <v>47</v>
      </c>
      <c r="C48" s="92"/>
      <c r="D48" s="92"/>
      <c r="E48" s="92"/>
      <c r="F48" s="93"/>
      <c r="G48" s="60" t="s">
        <v>72</v>
      </c>
      <c r="H48" s="61" t="s">
        <v>75</v>
      </c>
      <c r="I48" s="62" t="s">
        <v>65</v>
      </c>
      <c r="J48" s="62" t="s">
        <v>66</v>
      </c>
      <c r="K48" s="91" t="s">
        <v>47</v>
      </c>
      <c r="L48" s="92"/>
      <c r="M48" s="92"/>
      <c r="N48" s="92"/>
      <c r="O48" s="92"/>
      <c r="P48" s="92"/>
      <c r="Q48" s="93"/>
      <c r="R48" s="60" t="s">
        <v>72</v>
      </c>
      <c r="S48" s="61" t="s">
        <v>75</v>
      </c>
      <c r="T48" s="62" t="s">
        <v>65</v>
      </c>
      <c r="U48" s="62" t="s">
        <v>66</v>
      </c>
    </row>
    <row r="49" spans="1:21" ht="18" customHeight="1" x14ac:dyDescent="0.2">
      <c r="A49" s="3"/>
      <c r="B49" s="115" t="s">
        <v>149</v>
      </c>
      <c r="C49" s="116"/>
      <c r="D49" s="116"/>
      <c r="E49" s="116"/>
      <c r="F49" s="117"/>
      <c r="G49" s="63">
        <v>2</v>
      </c>
      <c r="H49" s="63" t="s">
        <v>163</v>
      </c>
      <c r="I49" s="63" t="s">
        <v>163</v>
      </c>
      <c r="J49" s="63" t="s">
        <v>163</v>
      </c>
      <c r="K49" s="115"/>
      <c r="L49" s="116"/>
      <c r="M49" s="116"/>
      <c r="N49" s="116"/>
      <c r="O49" s="116"/>
      <c r="P49" s="116"/>
      <c r="Q49" s="117"/>
      <c r="R49" s="63"/>
      <c r="S49" s="63"/>
      <c r="T49" s="63"/>
      <c r="U49" s="63"/>
    </row>
    <row r="50" spans="1:21" ht="18" customHeight="1" x14ac:dyDescent="0.2">
      <c r="A50" s="3"/>
      <c r="B50" s="109" t="s">
        <v>150</v>
      </c>
      <c r="C50" s="110"/>
      <c r="D50" s="110"/>
      <c r="E50" s="110"/>
      <c r="F50" s="111"/>
      <c r="G50" s="64">
        <v>2</v>
      </c>
      <c r="H50" s="64" t="s">
        <v>163</v>
      </c>
      <c r="I50" s="64" t="s">
        <v>163</v>
      </c>
      <c r="J50" s="64"/>
      <c r="K50" s="109"/>
      <c r="L50" s="110"/>
      <c r="M50" s="110"/>
      <c r="N50" s="110"/>
      <c r="O50" s="110"/>
      <c r="P50" s="110"/>
      <c r="Q50" s="111"/>
      <c r="R50" s="64"/>
      <c r="S50" s="64"/>
      <c r="T50" s="64"/>
      <c r="U50" s="64"/>
    </row>
    <row r="51" spans="1:21" ht="18" customHeight="1" x14ac:dyDescent="0.2">
      <c r="A51" s="3"/>
      <c r="B51" s="109"/>
      <c r="C51" s="110"/>
      <c r="D51" s="110"/>
      <c r="E51" s="110"/>
      <c r="F51" s="111"/>
      <c r="G51" s="64"/>
      <c r="H51" s="64"/>
      <c r="I51" s="64"/>
      <c r="J51" s="64"/>
      <c r="K51" s="109"/>
      <c r="L51" s="110"/>
      <c r="M51" s="110"/>
      <c r="N51" s="110"/>
      <c r="O51" s="110"/>
      <c r="P51" s="110"/>
      <c r="Q51" s="111"/>
      <c r="R51" s="64"/>
      <c r="S51" s="64"/>
      <c r="T51" s="64"/>
      <c r="U51" s="64"/>
    </row>
    <row r="52" spans="1:21" ht="18" customHeight="1" x14ac:dyDescent="0.2">
      <c r="A52" s="3"/>
      <c r="B52" s="109"/>
      <c r="C52" s="110"/>
      <c r="D52" s="110"/>
      <c r="E52" s="110"/>
      <c r="F52" s="111"/>
      <c r="G52" s="64"/>
      <c r="H52" s="64"/>
      <c r="I52" s="64"/>
      <c r="J52" s="64"/>
      <c r="K52" s="109"/>
      <c r="L52" s="110"/>
      <c r="M52" s="110"/>
      <c r="N52" s="110"/>
      <c r="O52" s="110"/>
      <c r="P52" s="110"/>
      <c r="Q52" s="111"/>
      <c r="R52" s="64"/>
      <c r="S52" s="64"/>
      <c r="T52" s="64"/>
      <c r="U52" s="64"/>
    </row>
    <row r="53" spans="1:21" ht="18" customHeight="1" x14ac:dyDescent="0.2">
      <c r="A53" s="3"/>
      <c r="B53" s="109"/>
      <c r="C53" s="110"/>
      <c r="D53" s="110"/>
      <c r="E53" s="110"/>
      <c r="F53" s="111"/>
      <c r="G53" s="64"/>
      <c r="H53" s="64"/>
      <c r="I53" s="64"/>
      <c r="J53" s="64"/>
      <c r="K53" s="109"/>
      <c r="L53" s="110"/>
      <c r="M53" s="110"/>
      <c r="N53" s="110"/>
      <c r="O53" s="110"/>
      <c r="P53" s="110"/>
      <c r="Q53" s="111"/>
      <c r="R53" s="64"/>
      <c r="S53" s="64"/>
      <c r="T53" s="64"/>
      <c r="U53" s="64"/>
    </row>
    <row r="54" spans="1:21" ht="18" customHeight="1" x14ac:dyDescent="0.2">
      <c r="A54" s="3"/>
      <c r="B54" s="109"/>
      <c r="C54" s="110"/>
      <c r="D54" s="110"/>
      <c r="E54" s="110"/>
      <c r="F54" s="111"/>
      <c r="G54" s="64"/>
      <c r="H54" s="64"/>
      <c r="I54" s="64"/>
      <c r="J54" s="64"/>
      <c r="K54" s="109"/>
      <c r="L54" s="110"/>
      <c r="M54" s="110"/>
      <c r="N54" s="110"/>
      <c r="O54" s="110"/>
      <c r="P54" s="110"/>
      <c r="Q54" s="111"/>
      <c r="R54" s="64"/>
      <c r="S54" s="64"/>
      <c r="T54" s="64"/>
      <c r="U54" s="64"/>
    </row>
    <row r="55" spans="1:21" ht="18" customHeight="1" x14ac:dyDescent="0.2">
      <c r="A55" s="3"/>
      <c r="B55" s="112"/>
      <c r="C55" s="113"/>
      <c r="D55" s="113"/>
      <c r="E55" s="113"/>
      <c r="F55" s="114"/>
      <c r="G55" s="65"/>
      <c r="H55" s="65"/>
      <c r="I55" s="66"/>
      <c r="J55" s="66"/>
      <c r="K55" s="112"/>
      <c r="L55" s="113"/>
      <c r="M55" s="113"/>
      <c r="N55" s="113"/>
      <c r="O55" s="113"/>
      <c r="P55" s="113"/>
      <c r="Q55" s="114"/>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8" t="s">
        <v>98</v>
      </c>
      <c r="B57" s="118"/>
      <c r="C57" s="118"/>
      <c r="D57" s="118"/>
      <c r="E57" s="118"/>
      <c r="F57" s="118"/>
      <c r="G57" s="118"/>
      <c r="H57" s="118"/>
      <c r="I57" s="118"/>
      <c r="J57" s="118"/>
      <c r="K57" s="118"/>
      <c r="L57" s="118"/>
      <c r="M57" s="118"/>
      <c r="N57" s="118"/>
      <c r="O57" s="118"/>
      <c r="P57" s="118"/>
      <c r="Q57" s="118"/>
      <c r="R57" s="118"/>
      <c r="S57" s="118"/>
      <c r="T57" s="118"/>
      <c r="U57" s="118"/>
    </row>
    <row r="58" spans="1:21" ht="18" customHeight="1" x14ac:dyDescent="0.2">
      <c r="A58" s="118"/>
      <c r="B58" s="118"/>
      <c r="C58" s="118"/>
      <c r="D58" s="118"/>
      <c r="E58" s="118"/>
      <c r="F58" s="118"/>
      <c r="G58" s="118"/>
      <c r="H58" s="118"/>
      <c r="I58" s="118"/>
      <c r="J58" s="118"/>
      <c r="K58" s="118"/>
      <c r="L58" s="118"/>
      <c r="M58" s="118"/>
      <c r="N58" s="118"/>
      <c r="O58" s="118"/>
      <c r="P58" s="118"/>
      <c r="Q58" s="118"/>
      <c r="R58" s="118"/>
      <c r="S58" s="118"/>
      <c r="T58" s="118"/>
      <c r="U58" s="118"/>
    </row>
    <row r="59" spans="1:21" ht="18" customHeight="1" x14ac:dyDescent="0.2">
      <c r="B59" s="91" t="s">
        <v>47</v>
      </c>
      <c r="C59" s="92"/>
      <c r="D59" s="92"/>
      <c r="E59" s="92"/>
      <c r="F59" s="93"/>
      <c r="G59" s="60" t="s">
        <v>72</v>
      </c>
      <c r="H59" s="61" t="s">
        <v>75</v>
      </c>
      <c r="I59" s="62" t="s">
        <v>52</v>
      </c>
      <c r="J59" s="62" t="s">
        <v>54</v>
      </c>
      <c r="K59" s="91" t="s">
        <v>47</v>
      </c>
      <c r="L59" s="92"/>
      <c r="M59" s="92"/>
      <c r="N59" s="92"/>
      <c r="O59" s="92"/>
      <c r="P59" s="92"/>
      <c r="Q59" s="93"/>
      <c r="R59" s="60" t="s">
        <v>72</v>
      </c>
      <c r="S59" s="61" t="s">
        <v>75</v>
      </c>
      <c r="T59" s="62" t="s">
        <v>52</v>
      </c>
      <c r="U59" s="62" t="s">
        <v>54</v>
      </c>
    </row>
    <row r="60" spans="1:21" ht="18" customHeight="1" x14ac:dyDescent="0.2">
      <c r="A60" s="3"/>
      <c r="B60" s="115" t="s">
        <v>148</v>
      </c>
      <c r="C60" s="116"/>
      <c r="D60" s="116"/>
      <c r="E60" s="116"/>
      <c r="F60" s="117"/>
      <c r="G60" s="63">
        <v>2</v>
      </c>
      <c r="H60" s="63" t="s">
        <v>163</v>
      </c>
      <c r="I60" s="63" t="s">
        <v>163</v>
      </c>
      <c r="J60" s="63" t="s">
        <v>163</v>
      </c>
      <c r="K60" s="115"/>
      <c r="L60" s="116"/>
      <c r="M60" s="116"/>
      <c r="N60" s="116"/>
      <c r="O60" s="116"/>
      <c r="P60" s="116"/>
      <c r="Q60" s="117"/>
      <c r="R60" s="63"/>
      <c r="S60" s="63"/>
      <c r="T60" s="63"/>
      <c r="U60" s="63"/>
    </row>
    <row r="61" spans="1:21" ht="18" customHeight="1" x14ac:dyDescent="0.2">
      <c r="A61" s="3"/>
      <c r="B61" s="109"/>
      <c r="C61" s="110"/>
      <c r="D61" s="110"/>
      <c r="E61" s="110"/>
      <c r="F61" s="111"/>
      <c r="G61" s="64"/>
      <c r="H61" s="64"/>
      <c r="I61" s="64"/>
      <c r="J61" s="64"/>
      <c r="K61" s="109"/>
      <c r="L61" s="110"/>
      <c r="M61" s="110"/>
      <c r="N61" s="110"/>
      <c r="O61" s="110"/>
      <c r="P61" s="110"/>
      <c r="Q61" s="111"/>
      <c r="R61" s="64"/>
      <c r="S61" s="64"/>
      <c r="T61" s="64"/>
      <c r="U61" s="64"/>
    </row>
    <row r="62" spans="1:21" ht="18" customHeight="1" x14ac:dyDescent="0.2">
      <c r="A62" s="3"/>
      <c r="B62" s="109"/>
      <c r="C62" s="110"/>
      <c r="D62" s="110"/>
      <c r="E62" s="110"/>
      <c r="F62" s="111"/>
      <c r="G62" s="64"/>
      <c r="H62" s="64"/>
      <c r="I62" s="64"/>
      <c r="J62" s="64"/>
      <c r="K62" s="109"/>
      <c r="L62" s="110"/>
      <c r="M62" s="110"/>
      <c r="N62" s="110"/>
      <c r="O62" s="110"/>
      <c r="P62" s="110"/>
      <c r="Q62" s="111"/>
      <c r="R62" s="64"/>
      <c r="S62" s="64"/>
      <c r="T62" s="64"/>
      <c r="U62" s="64"/>
    </row>
    <row r="63" spans="1:21" ht="18" customHeight="1" x14ac:dyDescent="0.2">
      <c r="A63" s="3"/>
      <c r="B63" s="109"/>
      <c r="C63" s="110"/>
      <c r="D63" s="110"/>
      <c r="E63" s="110"/>
      <c r="F63" s="111"/>
      <c r="G63" s="64"/>
      <c r="H63" s="64"/>
      <c r="I63" s="64"/>
      <c r="J63" s="64"/>
      <c r="K63" s="109"/>
      <c r="L63" s="110"/>
      <c r="M63" s="110"/>
      <c r="N63" s="110"/>
      <c r="O63" s="110"/>
      <c r="P63" s="110"/>
      <c r="Q63" s="111"/>
      <c r="R63" s="64"/>
      <c r="S63" s="64"/>
      <c r="T63" s="64"/>
      <c r="U63" s="64"/>
    </row>
    <row r="64" spans="1:21" ht="18" customHeight="1" x14ac:dyDescent="0.2">
      <c r="A64" s="3"/>
      <c r="B64" s="109"/>
      <c r="C64" s="110"/>
      <c r="D64" s="110"/>
      <c r="E64" s="110"/>
      <c r="F64" s="111"/>
      <c r="G64" s="64"/>
      <c r="H64" s="64"/>
      <c r="I64" s="64"/>
      <c r="J64" s="64"/>
      <c r="K64" s="109"/>
      <c r="L64" s="110"/>
      <c r="M64" s="110"/>
      <c r="N64" s="110"/>
      <c r="O64" s="110"/>
      <c r="P64" s="110"/>
      <c r="Q64" s="111"/>
      <c r="R64" s="64"/>
      <c r="S64" s="64"/>
      <c r="T64" s="64"/>
      <c r="U64" s="64"/>
    </row>
    <row r="65" spans="1:27" ht="18" customHeight="1" x14ac:dyDescent="0.2">
      <c r="A65" s="3"/>
      <c r="B65" s="109"/>
      <c r="C65" s="110"/>
      <c r="D65" s="110"/>
      <c r="E65" s="110"/>
      <c r="F65" s="111"/>
      <c r="G65" s="64"/>
      <c r="H65" s="64"/>
      <c r="I65" s="64"/>
      <c r="J65" s="64"/>
      <c r="K65" s="109"/>
      <c r="L65" s="110"/>
      <c r="M65" s="110"/>
      <c r="N65" s="110"/>
      <c r="O65" s="110"/>
      <c r="P65" s="110"/>
      <c r="Q65" s="111"/>
      <c r="R65" s="64"/>
      <c r="S65" s="64"/>
      <c r="T65" s="64"/>
      <c r="U65" s="64"/>
    </row>
    <row r="66" spans="1:27" ht="18" customHeight="1" x14ac:dyDescent="0.2">
      <c r="A66" s="3"/>
      <c r="B66" s="112"/>
      <c r="C66" s="113"/>
      <c r="D66" s="113"/>
      <c r="E66" s="113"/>
      <c r="F66" s="114"/>
      <c r="G66" s="65"/>
      <c r="H66" s="65"/>
      <c r="I66" s="66"/>
      <c r="J66" s="66"/>
      <c r="K66" s="112"/>
      <c r="L66" s="113"/>
      <c r="M66" s="113"/>
      <c r="N66" s="113"/>
      <c r="O66" s="113"/>
      <c r="P66" s="113"/>
      <c r="Q66" s="114"/>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18" t="s">
        <v>99</v>
      </c>
      <c r="B68" s="118"/>
      <c r="C68" s="118"/>
      <c r="D68" s="118"/>
      <c r="E68" s="118"/>
      <c r="F68" s="118"/>
      <c r="G68" s="118"/>
      <c r="H68" s="118"/>
      <c r="I68" s="118"/>
      <c r="J68" s="118"/>
      <c r="K68" s="118"/>
      <c r="L68" s="118"/>
      <c r="M68" s="118"/>
      <c r="N68" s="118"/>
      <c r="O68" s="118"/>
      <c r="P68" s="118"/>
      <c r="Q68" s="118"/>
      <c r="R68" s="118"/>
      <c r="S68" s="118"/>
      <c r="T68" s="118"/>
      <c r="U68" s="118"/>
    </row>
    <row r="69" spans="1:27" ht="18" customHeight="1" x14ac:dyDescent="0.2">
      <c r="A69" s="118"/>
      <c r="B69" s="118"/>
      <c r="C69" s="118"/>
      <c r="D69" s="118"/>
      <c r="E69" s="118"/>
      <c r="F69" s="118"/>
      <c r="G69" s="118"/>
      <c r="H69" s="118"/>
      <c r="I69" s="118"/>
      <c r="J69" s="118"/>
      <c r="K69" s="118"/>
      <c r="L69" s="118"/>
      <c r="M69" s="118"/>
      <c r="N69" s="118"/>
      <c r="O69" s="118"/>
      <c r="P69" s="118"/>
      <c r="Q69" s="118"/>
      <c r="R69" s="118"/>
      <c r="S69" s="118"/>
      <c r="T69" s="118"/>
      <c r="U69" s="118"/>
    </row>
    <row r="70" spans="1:27" ht="18" customHeight="1" x14ac:dyDescent="0.2">
      <c r="B70" s="91" t="s">
        <v>47</v>
      </c>
      <c r="C70" s="92"/>
      <c r="D70" s="92"/>
      <c r="E70" s="92"/>
      <c r="F70" s="60" t="s">
        <v>72</v>
      </c>
      <c r="G70" s="61" t="s">
        <v>75</v>
      </c>
      <c r="H70" s="62" t="s">
        <v>86</v>
      </c>
      <c r="I70" s="62" t="s">
        <v>67</v>
      </c>
      <c r="J70" s="62" t="s">
        <v>68</v>
      </c>
      <c r="K70" s="91" t="s">
        <v>47</v>
      </c>
      <c r="L70" s="92"/>
      <c r="M70" s="92"/>
      <c r="N70" s="92"/>
      <c r="O70" s="92"/>
      <c r="P70" s="93"/>
      <c r="Q70" s="60" t="s">
        <v>72</v>
      </c>
      <c r="R70" s="61" t="s">
        <v>75</v>
      </c>
      <c r="S70" s="62" t="s">
        <v>86</v>
      </c>
      <c r="T70" s="62" t="s">
        <v>67</v>
      </c>
      <c r="U70" s="62" t="s">
        <v>68</v>
      </c>
    </row>
    <row r="71" spans="1:27" ht="18" customHeight="1" x14ac:dyDescent="0.2">
      <c r="A71" s="3"/>
      <c r="B71" s="115" t="s">
        <v>150</v>
      </c>
      <c r="C71" s="116"/>
      <c r="D71" s="116"/>
      <c r="E71" s="117"/>
      <c r="F71" s="63">
        <v>2</v>
      </c>
      <c r="G71" s="63" t="s">
        <v>163</v>
      </c>
      <c r="H71" s="63" t="s">
        <v>163</v>
      </c>
      <c r="I71" s="63" t="s">
        <v>163</v>
      </c>
      <c r="J71" s="63" t="s">
        <v>163</v>
      </c>
      <c r="K71" s="115"/>
      <c r="L71" s="116"/>
      <c r="M71" s="116"/>
      <c r="N71" s="116"/>
      <c r="O71" s="116"/>
      <c r="P71" s="117"/>
      <c r="Q71" s="63"/>
      <c r="R71" s="63"/>
      <c r="S71" s="63"/>
      <c r="T71" s="63"/>
      <c r="U71" s="63"/>
    </row>
    <row r="72" spans="1:27" ht="18" customHeight="1" x14ac:dyDescent="0.2">
      <c r="A72" s="3"/>
      <c r="B72" s="109"/>
      <c r="C72" s="110"/>
      <c r="D72" s="110"/>
      <c r="E72" s="111"/>
      <c r="F72" s="64"/>
      <c r="G72" s="64"/>
      <c r="H72" s="64"/>
      <c r="I72" s="64"/>
      <c r="J72" s="64"/>
      <c r="K72" s="109"/>
      <c r="L72" s="110"/>
      <c r="M72" s="110"/>
      <c r="N72" s="110"/>
      <c r="O72" s="110"/>
      <c r="P72" s="111"/>
      <c r="Q72" s="64"/>
      <c r="R72" s="64"/>
      <c r="S72" s="64"/>
      <c r="T72" s="64"/>
      <c r="U72" s="64"/>
    </row>
    <row r="73" spans="1:27" ht="18" customHeight="1" x14ac:dyDescent="0.2">
      <c r="A73" s="3"/>
      <c r="B73" s="109"/>
      <c r="C73" s="110"/>
      <c r="D73" s="110"/>
      <c r="E73" s="111"/>
      <c r="F73" s="64"/>
      <c r="G73" s="64"/>
      <c r="H73" s="64"/>
      <c r="I73" s="64"/>
      <c r="J73" s="64"/>
      <c r="K73" s="109"/>
      <c r="L73" s="110"/>
      <c r="M73" s="110"/>
      <c r="N73" s="110"/>
      <c r="O73" s="110"/>
      <c r="P73" s="111"/>
      <c r="Q73" s="64"/>
      <c r="R73" s="64"/>
      <c r="S73" s="64"/>
      <c r="T73" s="64"/>
      <c r="U73" s="64"/>
    </row>
    <row r="74" spans="1:27" ht="18" customHeight="1" x14ac:dyDescent="0.2">
      <c r="A74" s="3"/>
      <c r="B74" s="109"/>
      <c r="C74" s="110"/>
      <c r="D74" s="110"/>
      <c r="E74" s="110"/>
      <c r="F74" s="64"/>
      <c r="G74" s="64"/>
      <c r="H74" s="64"/>
      <c r="I74" s="64"/>
      <c r="J74" s="64"/>
      <c r="K74" s="109"/>
      <c r="L74" s="110"/>
      <c r="M74" s="110"/>
      <c r="N74" s="110"/>
      <c r="O74" s="110"/>
      <c r="P74" s="111"/>
      <c r="Q74" s="64"/>
      <c r="R74" s="64"/>
      <c r="S74" s="64"/>
      <c r="T74" s="64"/>
      <c r="U74" s="64"/>
    </row>
    <row r="75" spans="1:27" ht="18" customHeight="1" x14ac:dyDescent="0.2">
      <c r="A75" s="3"/>
      <c r="B75" s="109"/>
      <c r="C75" s="110"/>
      <c r="D75" s="110"/>
      <c r="E75" s="110"/>
      <c r="F75" s="64"/>
      <c r="G75" s="64"/>
      <c r="H75" s="64"/>
      <c r="I75" s="64"/>
      <c r="J75" s="64"/>
      <c r="K75" s="109"/>
      <c r="L75" s="110"/>
      <c r="M75" s="110"/>
      <c r="N75" s="110"/>
      <c r="O75" s="110"/>
      <c r="P75" s="111"/>
      <c r="Q75" s="64"/>
      <c r="R75" s="64"/>
      <c r="S75" s="64"/>
      <c r="T75" s="64"/>
      <c r="U75" s="64"/>
    </row>
    <row r="76" spans="1:27" ht="18" customHeight="1" x14ac:dyDescent="0.2">
      <c r="A76" s="3"/>
      <c r="B76" s="109"/>
      <c r="C76" s="110"/>
      <c r="D76" s="110"/>
      <c r="E76" s="110"/>
      <c r="F76" s="64"/>
      <c r="G76" s="64"/>
      <c r="H76" s="64"/>
      <c r="I76" s="64"/>
      <c r="J76" s="64"/>
      <c r="K76" s="109"/>
      <c r="L76" s="110"/>
      <c r="M76" s="110"/>
      <c r="N76" s="110"/>
      <c r="O76" s="110"/>
      <c r="P76" s="111"/>
      <c r="Q76" s="64"/>
      <c r="R76" s="64"/>
      <c r="S76" s="64"/>
      <c r="T76" s="64"/>
      <c r="U76" s="64"/>
    </row>
    <row r="77" spans="1:27" ht="18" customHeight="1" x14ac:dyDescent="0.2">
      <c r="A77" s="3"/>
      <c r="B77" s="112"/>
      <c r="C77" s="113"/>
      <c r="D77" s="113"/>
      <c r="E77" s="113"/>
      <c r="F77" s="65"/>
      <c r="G77" s="65"/>
      <c r="H77" s="66"/>
      <c r="I77" s="66"/>
      <c r="J77" s="66"/>
      <c r="K77" s="112"/>
      <c r="L77" s="113"/>
      <c r="M77" s="113"/>
      <c r="N77" s="113"/>
      <c r="O77" s="113"/>
      <c r="P77" s="114"/>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1" t="s">
        <v>47</v>
      </c>
      <c r="C80" s="92"/>
      <c r="D80" s="92"/>
      <c r="E80" s="92"/>
      <c r="F80" s="93"/>
      <c r="G80" s="91" t="s">
        <v>73</v>
      </c>
      <c r="H80" s="92"/>
      <c r="I80" s="92"/>
      <c r="J80" s="93"/>
      <c r="K80" s="149" t="s">
        <v>47</v>
      </c>
      <c r="L80" s="150"/>
      <c r="M80" s="150"/>
      <c r="N80" s="150"/>
      <c r="O80" s="150"/>
      <c r="P80" s="150"/>
      <c r="Q80" s="151"/>
      <c r="R80" s="91" t="s">
        <v>73</v>
      </c>
      <c r="S80" s="92"/>
      <c r="T80" s="92"/>
      <c r="U80" s="93"/>
      <c r="AA80" s="1" t="s">
        <v>138</v>
      </c>
    </row>
    <row r="81" spans="1:27" ht="18" customHeight="1" x14ac:dyDescent="0.2">
      <c r="A81" s="3"/>
      <c r="B81" s="115"/>
      <c r="C81" s="116"/>
      <c r="D81" s="116"/>
      <c r="E81" s="116"/>
      <c r="F81" s="117"/>
      <c r="G81" s="152"/>
      <c r="H81" s="153"/>
      <c r="I81" s="153"/>
      <c r="J81" s="154"/>
      <c r="K81" s="115"/>
      <c r="L81" s="116"/>
      <c r="M81" s="116"/>
      <c r="N81" s="116"/>
      <c r="O81" s="116"/>
      <c r="P81" s="116"/>
      <c r="Q81" s="117"/>
      <c r="R81" s="152"/>
      <c r="S81" s="153"/>
      <c r="T81" s="153"/>
      <c r="U81" s="154"/>
      <c r="AA81" s="1" t="s">
        <v>131</v>
      </c>
    </row>
    <row r="82" spans="1:27" ht="18" customHeight="1" x14ac:dyDescent="0.2">
      <c r="A82" s="3"/>
      <c r="B82" s="109"/>
      <c r="C82" s="110"/>
      <c r="D82" s="110"/>
      <c r="E82" s="110"/>
      <c r="F82" s="111"/>
      <c r="G82" s="144"/>
      <c r="H82" s="145"/>
      <c r="I82" s="145"/>
      <c r="J82" s="146"/>
      <c r="K82" s="109"/>
      <c r="L82" s="110"/>
      <c r="M82" s="110"/>
      <c r="N82" s="110"/>
      <c r="O82" s="110"/>
      <c r="P82" s="110"/>
      <c r="Q82" s="111"/>
      <c r="R82" s="144"/>
      <c r="S82" s="145"/>
      <c r="T82" s="145"/>
      <c r="U82" s="146"/>
      <c r="AA82" s="1" t="s">
        <v>132</v>
      </c>
    </row>
    <row r="83" spans="1:27" ht="18" customHeight="1" x14ac:dyDescent="0.2">
      <c r="A83" s="3"/>
      <c r="B83" s="109"/>
      <c r="C83" s="110"/>
      <c r="D83" s="110"/>
      <c r="E83" s="110"/>
      <c r="F83" s="111"/>
      <c r="G83" s="144"/>
      <c r="H83" s="145"/>
      <c r="I83" s="145"/>
      <c r="J83" s="146"/>
      <c r="K83" s="109"/>
      <c r="L83" s="110"/>
      <c r="M83" s="110"/>
      <c r="N83" s="110"/>
      <c r="O83" s="110"/>
      <c r="P83" s="110"/>
      <c r="Q83" s="111"/>
      <c r="R83" s="144"/>
      <c r="S83" s="145"/>
      <c r="T83" s="145"/>
      <c r="U83" s="146"/>
      <c r="AA83" s="1" t="s">
        <v>133</v>
      </c>
    </row>
    <row r="84" spans="1:27" ht="18" customHeight="1" x14ac:dyDescent="0.2">
      <c r="A84" s="3"/>
      <c r="B84" s="109"/>
      <c r="C84" s="110"/>
      <c r="D84" s="110"/>
      <c r="E84" s="110"/>
      <c r="F84" s="111"/>
      <c r="G84" s="144"/>
      <c r="H84" s="145"/>
      <c r="I84" s="145"/>
      <c r="J84" s="146"/>
      <c r="K84" s="109"/>
      <c r="L84" s="110"/>
      <c r="M84" s="110"/>
      <c r="N84" s="110"/>
      <c r="O84" s="110"/>
      <c r="P84" s="110"/>
      <c r="Q84" s="111"/>
      <c r="R84" s="144"/>
      <c r="S84" s="145"/>
      <c r="T84" s="145"/>
      <c r="U84" s="146"/>
      <c r="AA84" s="1" t="s">
        <v>139</v>
      </c>
    </row>
    <row r="85" spans="1:27" ht="18" customHeight="1" x14ac:dyDescent="0.2">
      <c r="A85" s="3"/>
      <c r="B85" s="109"/>
      <c r="C85" s="110"/>
      <c r="D85" s="110"/>
      <c r="E85" s="110"/>
      <c r="F85" s="111"/>
      <c r="G85" s="144"/>
      <c r="H85" s="145"/>
      <c r="I85" s="145"/>
      <c r="J85" s="146"/>
      <c r="K85" s="109"/>
      <c r="L85" s="110"/>
      <c r="M85" s="110"/>
      <c r="N85" s="110"/>
      <c r="O85" s="110"/>
      <c r="P85" s="110"/>
      <c r="Q85" s="111"/>
      <c r="R85" s="144"/>
      <c r="S85" s="145"/>
      <c r="T85" s="145"/>
      <c r="U85" s="146"/>
      <c r="AA85" s="1" t="s">
        <v>140</v>
      </c>
    </row>
    <row r="86" spans="1:27" ht="18" customHeight="1" x14ac:dyDescent="0.2">
      <c r="A86" s="3"/>
      <c r="B86" s="109"/>
      <c r="C86" s="110"/>
      <c r="D86" s="110"/>
      <c r="E86" s="110"/>
      <c r="F86" s="111"/>
      <c r="G86" s="144"/>
      <c r="H86" s="145"/>
      <c r="I86" s="145"/>
      <c r="J86" s="146"/>
      <c r="K86" s="109"/>
      <c r="L86" s="110"/>
      <c r="M86" s="110"/>
      <c r="N86" s="110"/>
      <c r="O86" s="110"/>
      <c r="P86" s="110"/>
      <c r="Q86" s="111"/>
      <c r="R86" s="144"/>
      <c r="S86" s="145"/>
      <c r="T86" s="145"/>
      <c r="U86" s="146"/>
      <c r="AA86" s="1" t="s">
        <v>134</v>
      </c>
    </row>
    <row r="87" spans="1:27" ht="18" customHeight="1" x14ac:dyDescent="0.2">
      <c r="A87" s="3"/>
      <c r="B87" s="112"/>
      <c r="C87" s="113"/>
      <c r="D87" s="113"/>
      <c r="E87" s="113"/>
      <c r="F87" s="114"/>
      <c r="G87" s="141"/>
      <c r="H87" s="142"/>
      <c r="I87" s="142"/>
      <c r="J87" s="143"/>
      <c r="K87" s="112"/>
      <c r="L87" s="113"/>
      <c r="M87" s="113"/>
      <c r="N87" s="113"/>
      <c r="O87" s="113"/>
      <c r="P87" s="113"/>
      <c r="Q87" s="114"/>
      <c r="R87" s="141"/>
      <c r="S87" s="142"/>
      <c r="T87" s="142"/>
      <c r="U87" s="143"/>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101</v>
      </c>
      <c r="AA89" s="1" t="s">
        <v>137</v>
      </c>
    </row>
    <row r="90" spans="1:27" ht="18.75" customHeight="1" x14ac:dyDescent="0.2">
      <c r="B90" s="147" t="s">
        <v>48</v>
      </c>
      <c r="C90" s="148"/>
      <c r="D90" s="91" t="s">
        <v>49</v>
      </c>
      <c r="E90" s="92"/>
      <c r="F90" s="92"/>
      <c r="G90" s="92"/>
      <c r="H90" s="92"/>
      <c r="I90" s="92"/>
      <c r="J90" s="92"/>
      <c r="K90" s="92"/>
      <c r="L90" s="92"/>
      <c r="M90" s="92"/>
      <c r="N90" s="92"/>
      <c r="O90" s="92"/>
      <c r="P90" s="92"/>
      <c r="Q90" s="92"/>
      <c r="R90" s="92"/>
      <c r="S90" s="92"/>
      <c r="T90" s="92"/>
      <c r="U90" s="93"/>
    </row>
    <row r="91" spans="1:27" ht="97.5" customHeight="1" x14ac:dyDescent="0.2">
      <c r="B91" s="124" t="s">
        <v>55</v>
      </c>
      <c r="C91" s="68" t="s">
        <v>50</v>
      </c>
      <c r="D91" s="94" t="s">
        <v>191</v>
      </c>
      <c r="E91" s="95"/>
      <c r="F91" s="95"/>
      <c r="G91" s="95"/>
      <c r="H91" s="95"/>
      <c r="I91" s="95"/>
      <c r="J91" s="95"/>
      <c r="K91" s="95"/>
      <c r="L91" s="95"/>
      <c r="M91" s="95"/>
      <c r="N91" s="95"/>
      <c r="O91" s="95"/>
      <c r="P91" s="95"/>
      <c r="Q91" s="95"/>
      <c r="R91" s="95"/>
      <c r="S91" s="95"/>
      <c r="T91" s="95"/>
      <c r="U91" s="96"/>
    </row>
    <row r="92" spans="1:27" ht="97.5" customHeight="1" x14ac:dyDescent="0.2">
      <c r="B92" s="126"/>
      <c r="C92" s="69" t="s">
        <v>69</v>
      </c>
      <c r="D92" s="97" t="s">
        <v>181</v>
      </c>
      <c r="E92" s="98"/>
      <c r="F92" s="98"/>
      <c r="G92" s="98"/>
      <c r="H92" s="98"/>
      <c r="I92" s="98"/>
      <c r="J92" s="98"/>
      <c r="K92" s="98"/>
      <c r="L92" s="98"/>
      <c r="M92" s="98"/>
      <c r="N92" s="98"/>
      <c r="O92" s="98"/>
      <c r="P92" s="98"/>
      <c r="Q92" s="98"/>
      <c r="R92" s="98"/>
      <c r="S92" s="98"/>
      <c r="T92" s="98"/>
      <c r="U92" s="99"/>
    </row>
    <row r="93" spans="1:27" ht="97.5" customHeight="1" x14ac:dyDescent="0.2">
      <c r="B93" s="124" t="s">
        <v>56</v>
      </c>
      <c r="C93" s="70" t="s">
        <v>63</v>
      </c>
      <c r="D93" s="94" t="s">
        <v>192</v>
      </c>
      <c r="E93" s="95"/>
      <c r="F93" s="95"/>
      <c r="G93" s="95"/>
      <c r="H93" s="95"/>
      <c r="I93" s="95"/>
      <c r="J93" s="95"/>
      <c r="K93" s="95"/>
      <c r="L93" s="95"/>
      <c r="M93" s="95"/>
      <c r="N93" s="95"/>
      <c r="O93" s="95"/>
      <c r="P93" s="95"/>
      <c r="Q93" s="95"/>
      <c r="R93" s="95"/>
      <c r="S93" s="95"/>
      <c r="T93" s="95"/>
      <c r="U93" s="96"/>
    </row>
    <row r="94" spans="1:27" ht="97.5" customHeight="1" x14ac:dyDescent="0.2">
      <c r="B94" s="125"/>
      <c r="C94" s="71" t="s">
        <v>64</v>
      </c>
      <c r="D94" s="97" t="s">
        <v>190</v>
      </c>
      <c r="E94" s="98"/>
      <c r="F94" s="98"/>
      <c r="G94" s="98"/>
      <c r="H94" s="98"/>
      <c r="I94" s="98"/>
      <c r="J94" s="98"/>
      <c r="K94" s="98"/>
      <c r="L94" s="98"/>
      <c r="M94" s="98"/>
      <c r="N94" s="98"/>
      <c r="O94" s="98"/>
      <c r="P94" s="98"/>
      <c r="Q94" s="98"/>
      <c r="R94" s="98"/>
      <c r="S94" s="98"/>
      <c r="T94" s="98"/>
      <c r="U94" s="99"/>
    </row>
    <row r="95" spans="1:27" ht="97.5" customHeight="1" x14ac:dyDescent="0.2">
      <c r="B95" s="124" t="s">
        <v>57</v>
      </c>
      <c r="C95" s="70" t="s">
        <v>65</v>
      </c>
      <c r="D95" s="100" t="s">
        <v>193</v>
      </c>
      <c r="E95" s="101"/>
      <c r="F95" s="101"/>
      <c r="G95" s="101"/>
      <c r="H95" s="101"/>
      <c r="I95" s="101"/>
      <c r="J95" s="101"/>
      <c r="K95" s="101"/>
      <c r="L95" s="101"/>
      <c r="M95" s="101"/>
      <c r="N95" s="101"/>
      <c r="O95" s="101"/>
      <c r="P95" s="101"/>
      <c r="Q95" s="101"/>
      <c r="R95" s="101"/>
      <c r="S95" s="101"/>
      <c r="T95" s="101"/>
      <c r="U95" s="102"/>
    </row>
    <row r="96" spans="1:27" ht="97.5" customHeight="1" x14ac:dyDescent="0.2">
      <c r="B96" s="125"/>
      <c r="C96" s="72" t="s">
        <v>66</v>
      </c>
      <c r="D96" s="97" t="s">
        <v>194</v>
      </c>
      <c r="E96" s="98"/>
      <c r="F96" s="98"/>
      <c r="G96" s="98"/>
      <c r="H96" s="98"/>
      <c r="I96" s="98"/>
      <c r="J96" s="98"/>
      <c r="K96" s="98"/>
      <c r="L96" s="98"/>
      <c r="M96" s="98"/>
      <c r="N96" s="98"/>
      <c r="O96" s="98"/>
      <c r="P96" s="98"/>
      <c r="Q96" s="98"/>
      <c r="R96" s="98"/>
      <c r="S96" s="98"/>
      <c r="T96" s="98"/>
      <c r="U96" s="99"/>
    </row>
    <row r="97" spans="1:21" ht="97.5" customHeight="1" x14ac:dyDescent="0.2">
      <c r="B97" s="124" t="s">
        <v>70</v>
      </c>
      <c r="C97" s="68" t="s">
        <v>52</v>
      </c>
      <c r="D97" s="94" t="s">
        <v>195</v>
      </c>
      <c r="E97" s="122"/>
      <c r="F97" s="122"/>
      <c r="G97" s="122"/>
      <c r="H97" s="122"/>
      <c r="I97" s="122"/>
      <c r="J97" s="122"/>
      <c r="K97" s="122"/>
      <c r="L97" s="122"/>
      <c r="M97" s="122"/>
      <c r="N97" s="122"/>
      <c r="O97" s="122"/>
      <c r="P97" s="122"/>
      <c r="Q97" s="122"/>
      <c r="R97" s="122"/>
      <c r="S97" s="122"/>
      <c r="T97" s="122"/>
      <c r="U97" s="123"/>
    </row>
    <row r="98" spans="1:21" ht="97.5" customHeight="1" x14ac:dyDescent="0.2">
      <c r="B98" s="125"/>
      <c r="C98" s="71" t="s">
        <v>54</v>
      </c>
      <c r="D98" s="97" t="s">
        <v>184</v>
      </c>
      <c r="E98" s="98"/>
      <c r="F98" s="98"/>
      <c r="G98" s="98"/>
      <c r="H98" s="98"/>
      <c r="I98" s="98"/>
      <c r="J98" s="98"/>
      <c r="K98" s="98"/>
      <c r="L98" s="98"/>
      <c r="M98" s="98"/>
      <c r="N98" s="98"/>
      <c r="O98" s="98"/>
      <c r="P98" s="98"/>
      <c r="Q98" s="98"/>
      <c r="R98" s="98"/>
      <c r="S98" s="98"/>
      <c r="T98" s="98"/>
      <c r="U98" s="99"/>
    </row>
    <row r="99" spans="1:21" ht="97.5" customHeight="1" x14ac:dyDescent="0.2">
      <c r="B99" s="124" t="s">
        <v>71</v>
      </c>
      <c r="C99" s="70" t="s">
        <v>51</v>
      </c>
      <c r="D99" s="100" t="s">
        <v>182</v>
      </c>
      <c r="E99" s="101"/>
      <c r="F99" s="101"/>
      <c r="G99" s="101"/>
      <c r="H99" s="101"/>
      <c r="I99" s="101"/>
      <c r="J99" s="101"/>
      <c r="K99" s="101"/>
      <c r="L99" s="101"/>
      <c r="M99" s="101"/>
      <c r="N99" s="101"/>
      <c r="O99" s="101"/>
      <c r="P99" s="101"/>
      <c r="Q99" s="101"/>
      <c r="R99" s="101"/>
      <c r="S99" s="101"/>
      <c r="T99" s="101"/>
      <c r="U99" s="102"/>
    </row>
    <row r="100" spans="1:21" ht="97.5" customHeight="1" x14ac:dyDescent="0.2">
      <c r="B100" s="126"/>
      <c r="C100" s="73" t="s">
        <v>67</v>
      </c>
      <c r="D100" s="119" t="s">
        <v>183</v>
      </c>
      <c r="E100" s="120"/>
      <c r="F100" s="120"/>
      <c r="G100" s="120"/>
      <c r="H100" s="120"/>
      <c r="I100" s="120"/>
      <c r="J100" s="120"/>
      <c r="K100" s="120"/>
      <c r="L100" s="120"/>
      <c r="M100" s="120"/>
      <c r="N100" s="120"/>
      <c r="O100" s="120"/>
      <c r="P100" s="120"/>
      <c r="Q100" s="120"/>
      <c r="R100" s="120"/>
      <c r="S100" s="120"/>
      <c r="T100" s="120"/>
      <c r="U100" s="121"/>
    </row>
    <row r="101" spans="1:21" ht="97.5" customHeight="1" x14ac:dyDescent="0.2">
      <c r="B101" s="125"/>
      <c r="C101" s="72" t="s">
        <v>68</v>
      </c>
      <c r="D101" s="97" t="s">
        <v>196</v>
      </c>
      <c r="E101" s="98"/>
      <c r="F101" s="98"/>
      <c r="G101" s="98"/>
      <c r="H101" s="98"/>
      <c r="I101" s="98"/>
      <c r="J101" s="98"/>
      <c r="K101" s="98"/>
      <c r="L101" s="98"/>
      <c r="M101" s="98"/>
      <c r="N101" s="98"/>
      <c r="O101" s="98"/>
      <c r="P101" s="98"/>
      <c r="Q101" s="98"/>
      <c r="R101" s="98"/>
      <c r="S101" s="98"/>
      <c r="T101" s="98"/>
      <c r="U101" s="99"/>
    </row>
    <row r="102" spans="1:21" ht="6" customHeight="1" x14ac:dyDescent="0.2"/>
    <row r="103" spans="1:21" ht="18.75" customHeight="1" x14ac:dyDescent="0.2">
      <c r="A103" s="1" t="s">
        <v>102</v>
      </c>
    </row>
    <row r="104" spans="1:21" ht="81.75" customHeight="1" x14ac:dyDescent="0.2">
      <c r="B104" s="138" t="s">
        <v>162</v>
      </c>
      <c r="C104" s="139"/>
      <c r="D104" s="139"/>
      <c r="E104" s="139"/>
      <c r="F104" s="139"/>
      <c r="G104" s="139"/>
      <c r="H104" s="139"/>
      <c r="I104" s="139"/>
      <c r="J104" s="139"/>
      <c r="K104" s="139"/>
      <c r="L104" s="139"/>
      <c r="M104" s="139"/>
      <c r="N104" s="139"/>
      <c r="O104" s="139"/>
      <c r="P104" s="139"/>
      <c r="Q104" s="139"/>
      <c r="R104" s="139"/>
      <c r="S104" s="139"/>
      <c r="T104" s="139"/>
      <c r="U104" s="140"/>
    </row>
    <row r="107" spans="1:21" ht="18" customHeight="1" x14ac:dyDescent="0.2"/>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063F-04F7-49DC-A5DC-15C7B617D2C5}">
  <dimension ref="A1:AA107"/>
  <sheetViews>
    <sheetView view="pageBreakPreview" topLeftCell="A40" zoomScale="98" zoomScaleNormal="100" zoomScaleSheetLayoutView="100" workbookViewId="0">
      <selection activeCell="B15" sqref="B15:U20"/>
    </sheetView>
  </sheetViews>
  <sheetFormatPr defaultColWidth="9" defaultRowHeight="14.4"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144</v>
      </c>
      <c r="U1" s="127"/>
      <c r="V1" s="2" t="s">
        <v>93</v>
      </c>
    </row>
    <row r="2" spans="1:24" ht="18.75" customHeight="1" x14ac:dyDescent="0.2">
      <c r="B2" s="17" t="s">
        <v>92</v>
      </c>
      <c r="C2" s="91" t="s">
        <v>145</v>
      </c>
      <c r="D2" s="92"/>
      <c r="E2" s="92"/>
      <c r="F2" s="92"/>
      <c r="G2" s="92"/>
      <c r="H2" s="92"/>
      <c r="I2" s="92"/>
      <c r="J2" s="93"/>
      <c r="K2" s="18"/>
      <c r="L2" s="6"/>
      <c r="M2" s="6"/>
      <c r="N2" s="6"/>
      <c r="O2" s="6"/>
      <c r="P2" s="6"/>
      <c r="Q2" s="6"/>
      <c r="R2" s="6"/>
      <c r="S2" s="6"/>
      <c r="T2" s="6"/>
      <c r="U2" s="6"/>
    </row>
    <row r="3" spans="1:24" ht="18.75" customHeight="1" x14ac:dyDescent="0.2">
      <c r="B3" s="17" t="s">
        <v>87</v>
      </c>
      <c r="C3" s="91" t="s">
        <v>146</v>
      </c>
      <c r="D3" s="92"/>
      <c r="E3" s="92"/>
      <c r="F3" s="92"/>
      <c r="G3" s="92"/>
      <c r="H3" s="92"/>
      <c r="I3" s="92"/>
      <c r="J3" s="93"/>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28" t="s">
        <v>141</v>
      </c>
      <c r="B5" s="128"/>
      <c r="C5" s="128"/>
      <c r="D5" s="128"/>
      <c r="E5" s="128"/>
      <c r="F5" s="128"/>
      <c r="G5" s="128"/>
      <c r="H5" s="128"/>
      <c r="I5" s="128"/>
      <c r="J5" s="128"/>
      <c r="K5" s="128"/>
      <c r="L5" s="128"/>
      <c r="M5" s="128"/>
      <c r="N5" s="128"/>
      <c r="O5" s="128"/>
      <c r="P5" s="128"/>
      <c r="Q5" s="128"/>
      <c r="R5" s="128"/>
      <c r="S5" s="128"/>
      <c r="T5" s="128"/>
      <c r="U5" s="12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88" t="s">
        <v>116</v>
      </c>
      <c r="M7" s="89"/>
      <c r="N7" s="89"/>
      <c r="O7" s="89"/>
      <c r="P7" s="89"/>
      <c r="Q7" s="89"/>
      <c r="R7" s="89"/>
      <c r="S7" s="89"/>
      <c r="T7" s="89"/>
      <c r="U7" s="90"/>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03" t="s">
        <v>151</v>
      </c>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2">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29" t="s">
        <v>202</v>
      </c>
      <c r="C15" s="130"/>
      <c r="D15" s="130"/>
      <c r="E15" s="130"/>
      <c r="F15" s="130"/>
      <c r="G15" s="130"/>
      <c r="H15" s="130"/>
      <c r="I15" s="130"/>
      <c r="J15" s="130"/>
      <c r="K15" s="130"/>
      <c r="L15" s="130"/>
      <c r="M15" s="130"/>
      <c r="N15" s="130"/>
      <c r="O15" s="130"/>
      <c r="P15" s="130"/>
      <c r="Q15" s="130"/>
      <c r="R15" s="130"/>
      <c r="S15" s="130"/>
      <c r="T15" s="130"/>
      <c r="U15" s="131"/>
      <c r="X15" s="1" t="s">
        <v>88</v>
      </c>
    </row>
    <row r="16" spans="1:24" ht="18" customHeight="1" x14ac:dyDescent="0.2">
      <c r="B16" s="132"/>
      <c r="C16" s="133"/>
      <c r="D16" s="133"/>
      <c r="E16" s="133"/>
      <c r="F16" s="133"/>
      <c r="G16" s="133"/>
      <c r="H16" s="133"/>
      <c r="I16" s="133"/>
      <c r="J16" s="133"/>
      <c r="K16" s="133"/>
      <c r="L16" s="133"/>
      <c r="M16" s="133"/>
      <c r="N16" s="133"/>
      <c r="O16" s="133"/>
      <c r="P16" s="133"/>
      <c r="Q16" s="133"/>
      <c r="R16" s="133"/>
      <c r="S16" s="133"/>
      <c r="T16" s="133"/>
      <c r="U16" s="134"/>
      <c r="X16" s="1" t="s">
        <v>122</v>
      </c>
    </row>
    <row r="17" spans="1:24" ht="18" customHeight="1" x14ac:dyDescent="0.2">
      <c r="B17" s="132"/>
      <c r="C17" s="133"/>
      <c r="D17" s="133"/>
      <c r="E17" s="133"/>
      <c r="F17" s="133"/>
      <c r="G17" s="133"/>
      <c r="H17" s="133"/>
      <c r="I17" s="133"/>
      <c r="J17" s="133"/>
      <c r="K17" s="133"/>
      <c r="L17" s="133"/>
      <c r="M17" s="133"/>
      <c r="N17" s="133"/>
      <c r="O17" s="133"/>
      <c r="P17" s="133"/>
      <c r="Q17" s="133"/>
      <c r="R17" s="133"/>
      <c r="S17" s="133"/>
      <c r="T17" s="133"/>
      <c r="U17" s="134"/>
      <c r="X17" s="1" t="s">
        <v>123</v>
      </c>
    </row>
    <row r="18" spans="1:24" ht="18" customHeight="1" x14ac:dyDescent="0.2">
      <c r="B18" s="132"/>
      <c r="C18" s="133"/>
      <c r="D18" s="133"/>
      <c r="E18" s="133"/>
      <c r="F18" s="133"/>
      <c r="G18" s="133"/>
      <c r="H18" s="133"/>
      <c r="I18" s="133"/>
      <c r="J18" s="133"/>
      <c r="K18" s="133"/>
      <c r="L18" s="133"/>
      <c r="M18" s="133"/>
      <c r="N18" s="133"/>
      <c r="O18" s="133"/>
      <c r="P18" s="133"/>
      <c r="Q18" s="133"/>
      <c r="R18" s="133"/>
      <c r="S18" s="133"/>
      <c r="T18" s="133"/>
      <c r="U18" s="134"/>
      <c r="X18" s="1" t="s">
        <v>124</v>
      </c>
    </row>
    <row r="19" spans="1:24" ht="18" customHeight="1" x14ac:dyDescent="0.2">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2">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6">
        <v>2</v>
      </c>
      <c r="F22" s="1" t="s">
        <v>106</v>
      </c>
      <c r="H22" s="83">
        <v>4</v>
      </c>
      <c r="I22" s="3" t="s">
        <v>107</v>
      </c>
      <c r="J22" s="3"/>
      <c r="K22" s="18"/>
      <c r="M22" s="18" t="s">
        <v>103</v>
      </c>
      <c r="N22" s="85" t="s">
        <v>124</v>
      </c>
      <c r="O22" s="86"/>
      <c r="P22" s="86"/>
      <c r="Q22" s="86"/>
      <c r="R22" s="86"/>
      <c r="S22" s="86"/>
      <c r="T22" s="86"/>
      <c r="U22" s="87"/>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8" t="s">
        <v>95</v>
      </c>
      <c r="B24" s="118"/>
      <c r="C24" s="118"/>
      <c r="D24" s="118"/>
      <c r="E24" s="118"/>
      <c r="F24" s="118"/>
      <c r="G24" s="118"/>
      <c r="H24" s="118"/>
      <c r="I24" s="118"/>
      <c r="J24" s="118"/>
      <c r="K24" s="118"/>
      <c r="L24" s="118"/>
      <c r="M24" s="118"/>
      <c r="N24" s="118"/>
      <c r="O24" s="118"/>
      <c r="P24" s="118"/>
      <c r="Q24" s="118"/>
      <c r="R24" s="118"/>
      <c r="S24" s="118"/>
      <c r="T24" s="118"/>
      <c r="U24" s="118"/>
    </row>
    <row r="25" spans="1:24" ht="18" customHeight="1" x14ac:dyDescent="0.2">
      <c r="A25" s="118"/>
      <c r="B25" s="118"/>
      <c r="C25" s="118"/>
      <c r="D25" s="118"/>
      <c r="E25" s="118"/>
      <c r="F25" s="118"/>
      <c r="G25" s="118"/>
      <c r="H25" s="118"/>
      <c r="I25" s="118"/>
      <c r="J25" s="118"/>
      <c r="K25" s="118"/>
      <c r="L25" s="118"/>
      <c r="M25" s="118"/>
      <c r="N25" s="118"/>
      <c r="O25" s="118"/>
      <c r="P25" s="118"/>
      <c r="Q25" s="118"/>
      <c r="R25" s="118"/>
      <c r="S25" s="118"/>
      <c r="T25" s="118"/>
      <c r="U25" s="118"/>
    </row>
    <row r="26" spans="1:24" ht="18" customHeight="1" x14ac:dyDescent="0.2">
      <c r="B26" s="91" t="s">
        <v>47</v>
      </c>
      <c r="C26" s="92"/>
      <c r="D26" s="92"/>
      <c r="E26" s="92"/>
      <c r="F26" s="93"/>
      <c r="G26" s="60" t="s">
        <v>72</v>
      </c>
      <c r="H26" s="61" t="s">
        <v>75</v>
      </c>
      <c r="I26" s="62" t="s">
        <v>50</v>
      </c>
      <c r="J26" s="62" t="s">
        <v>53</v>
      </c>
      <c r="K26" s="91" t="s">
        <v>47</v>
      </c>
      <c r="L26" s="92"/>
      <c r="M26" s="92"/>
      <c r="N26" s="92"/>
      <c r="O26" s="92"/>
      <c r="P26" s="92"/>
      <c r="Q26" s="93"/>
      <c r="R26" s="60" t="s">
        <v>72</v>
      </c>
      <c r="S26" s="61" t="s">
        <v>75</v>
      </c>
      <c r="T26" s="62" t="s">
        <v>50</v>
      </c>
      <c r="U26" s="62" t="s">
        <v>53</v>
      </c>
    </row>
    <row r="27" spans="1:24" ht="18" customHeight="1" x14ac:dyDescent="0.2">
      <c r="B27" s="115" t="s">
        <v>148</v>
      </c>
      <c r="C27" s="116"/>
      <c r="D27" s="116"/>
      <c r="E27" s="116"/>
      <c r="F27" s="117"/>
      <c r="G27" s="63">
        <v>2</v>
      </c>
      <c r="H27" s="63" t="s">
        <v>163</v>
      </c>
      <c r="I27" s="63" t="s">
        <v>163</v>
      </c>
      <c r="J27" s="63" t="s">
        <v>163</v>
      </c>
      <c r="K27" s="115"/>
      <c r="L27" s="116"/>
      <c r="M27" s="116"/>
      <c r="N27" s="116"/>
      <c r="O27" s="116"/>
      <c r="P27" s="116"/>
      <c r="Q27" s="117"/>
      <c r="R27" s="63"/>
      <c r="S27" s="63"/>
      <c r="T27" s="63"/>
      <c r="U27" s="63"/>
    </row>
    <row r="28" spans="1:24" ht="18" customHeight="1" x14ac:dyDescent="0.2">
      <c r="B28" s="109"/>
      <c r="C28" s="110"/>
      <c r="D28" s="110"/>
      <c r="E28" s="110"/>
      <c r="F28" s="111"/>
      <c r="G28" s="64"/>
      <c r="H28" s="64"/>
      <c r="I28" s="64"/>
      <c r="J28" s="64"/>
      <c r="K28" s="109"/>
      <c r="L28" s="110"/>
      <c r="M28" s="110"/>
      <c r="N28" s="110"/>
      <c r="O28" s="110"/>
      <c r="P28" s="110"/>
      <c r="Q28" s="111"/>
      <c r="R28" s="64"/>
      <c r="S28" s="64"/>
      <c r="T28" s="64"/>
      <c r="U28" s="64"/>
    </row>
    <row r="29" spans="1:24" ht="18" customHeight="1" x14ac:dyDescent="0.2">
      <c r="B29" s="109"/>
      <c r="C29" s="110"/>
      <c r="D29" s="110"/>
      <c r="E29" s="110"/>
      <c r="F29" s="111"/>
      <c r="G29" s="64"/>
      <c r="H29" s="64"/>
      <c r="I29" s="64"/>
      <c r="J29" s="64"/>
      <c r="K29" s="109"/>
      <c r="L29" s="110"/>
      <c r="M29" s="110"/>
      <c r="N29" s="110"/>
      <c r="O29" s="110"/>
      <c r="P29" s="110"/>
      <c r="Q29" s="111"/>
      <c r="R29" s="64"/>
      <c r="S29" s="64"/>
      <c r="T29" s="64"/>
      <c r="U29" s="64"/>
    </row>
    <row r="30" spans="1:24" ht="18" customHeight="1" x14ac:dyDescent="0.2">
      <c r="B30" s="109"/>
      <c r="C30" s="110"/>
      <c r="D30" s="110"/>
      <c r="E30" s="110"/>
      <c r="F30" s="111"/>
      <c r="G30" s="64"/>
      <c r="H30" s="64"/>
      <c r="I30" s="64"/>
      <c r="J30" s="64"/>
      <c r="K30" s="109"/>
      <c r="L30" s="110"/>
      <c r="M30" s="110"/>
      <c r="N30" s="110"/>
      <c r="O30" s="110"/>
      <c r="P30" s="110"/>
      <c r="Q30" s="111"/>
      <c r="R30" s="64"/>
      <c r="S30" s="64"/>
      <c r="T30" s="64"/>
      <c r="U30" s="64"/>
    </row>
    <row r="31" spans="1:24" ht="18" customHeight="1" x14ac:dyDescent="0.2">
      <c r="B31" s="109"/>
      <c r="C31" s="110"/>
      <c r="D31" s="110"/>
      <c r="E31" s="110"/>
      <c r="F31" s="111"/>
      <c r="G31" s="64"/>
      <c r="H31" s="64"/>
      <c r="I31" s="64"/>
      <c r="J31" s="64"/>
      <c r="K31" s="109"/>
      <c r="L31" s="110"/>
      <c r="M31" s="110"/>
      <c r="N31" s="110"/>
      <c r="O31" s="110"/>
      <c r="P31" s="110"/>
      <c r="Q31" s="111"/>
      <c r="R31" s="64"/>
      <c r="S31" s="64"/>
      <c r="T31" s="64"/>
      <c r="U31" s="64"/>
    </row>
    <row r="32" spans="1:24" ht="18" customHeight="1" x14ac:dyDescent="0.2">
      <c r="A32" s="3"/>
      <c r="B32" s="109"/>
      <c r="C32" s="110"/>
      <c r="D32" s="110"/>
      <c r="E32" s="110"/>
      <c r="F32" s="111"/>
      <c r="G32" s="64"/>
      <c r="H32" s="64"/>
      <c r="I32" s="64"/>
      <c r="J32" s="64"/>
      <c r="K32" s="109"/>
      <c r="L32" s="110"/>
      <c r="M32" s="110"/>
      <c r="N32" s="110"/>
      <c r="O32" s="110"/>
      <c r="P32" s="110"/>
      <c r="Q32" s="111"/>
      <c r="R32" s="64"/>
      <c r="S32" s="64"/>
      <c r="T32" s="64"/>
      <c r="U32" s="64"/>
    </row>
    <row r="33" spans="1:21" ht="18" customHeight="1" x14ac:dyDescent="0.2">
      <c r="A33" s="3"/>
      <c r="B33" s="112"/>
      <c r="C33" s="113"/>
      <c r="D33" s="113"/>
      <c r="E33" s="113"/>
      <c r="F33" s="114"/>
      <c r="G33" s="65"/>
      <c r="H33" s="65"/>
      <c r="I33" s="66"/>
      <c r="J33" s="66"/>
      <c r="K33" s="112"/>
      <c r="L33" s="113"/>
      <c r="M33" s="113"/>
      <c r="N33" s="113"/>
      <c r="O33" s="113"/>
      <c r="P33" s="113"/>
      <c r="Q33" s="114"/>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8" t="s">
        <v>96</v>
      </c>
      <c r="B35" s="118"/>
      <c r="C35" s="118"/>
      <c r="D35" s="118"/>
      <c r="E35" s="118"/>
      <c r="F35" s="118"/>
      <c r="G35" s="118"/>
      <c r="H35" s="118"/>
      <c r="I35" s="118"/>
      <c r="J35" s="118"/>
      <c r="K35" s="118"/>
      <c r="L35" s="118"/>
      <c r="M35" s="118"/>
      <c r="N35" s="118"/>
      <c r="O35" s="118"/>
      <c r="P35" s="118"/>
      <c r="Q35" s="118"/>
      <c r="R35" s="118"/>
      <c r="S35" s="118"/>
      <c r="T35" s="118"/>
      <c r="U35" s="118"/>
    </row>
    <row r="36" spans="1:21" ht="18" customHeight="1" x14ac:dyDescent="0.2">
      <c r="A36" s="118"/>
      <c r="B36" s="118"/>
      <c r="C36" s="118"/>
      <c r="D36" s="118"/>
      <c r="E36" s="118"/>
      <c r="F36" s="118"/>
      <c r="G36" s="118"/>
      <c r="H36" s="118"/>
      <c r="I36" s="118"/>
      <c r="J36" s="118"/>
      <c r="K36" s="118"/>
      <c r="L36" s="118"/>
      <c r="M36" s="118"/>
      <c r="N36" s="118"/>
      <c r="O36" s="118"/>
      <c r="P36" s="118"/>
      <c r="Q36" s="118"/>
      <c r="R36" s="118"/>
      <c r="S36" s="118"/>
      <c r="T36" s="118"/>
      <c r="U36" s="118"/>
    </row>
    <row r="37" spans="1:21" ht="18" customHeight="1" x14ac:dyDescent="0.2">
      <c r="B37" s="91" t="s">
        <v>47</v>
      </c>
      <c r="C37" s="92"/>
      <c r="D37" s="92"/>
      <c r="E37" s="92"/>
      <c r="F37" s="93"/>
      <c r="G37" s="60" t="s">
        <v>72</v>
      </c>
      <c r="H37" s="61" t="s">
        <v>75</v>
      </c>
      <c r="I37" s="62" t="s">
        <v>63</v>
      </c>
      <c r="J37" s="62" t="s">
        <v>64</v>
      </c>
      <c r="K37" s="91" t="s">
        <v>47</v>
      </c>
      <c r="L37" s="92"/>
      <c r="M37" s="92"/>
      <c r="N37" s="92"/>
      <c r="O37" s="92"/>
      <c r="P37" s="92"/>
      <c r="Q37" s="93"/>
      <c r="R37" s="60" t="s">
        <v>72</v>
      </c>
      <c r="S37" s="61" t="s">
        <v>75</v>
      </c>
      <c r="T37" s="62" t="s">
        <v>63</v>
      </c>
      <c r="U37" s="62" t="s">
        <v>64</v>
      </c>
    </row>
    <row r="38" spans="1:21" ht="18" customHeight="1" x14ac:dyDescent="0.2">
      <c r="B38" s="115" t="s">
        <v>152</v>
      </c>
      <c r="C38" s="116"/>
      <c r="D38" s="116"/>
      <c r="E38" s="116"/>
      <c r="F38" s="117"/>
      <c r="G38" s="63">
        <v>2</v>
      </c>
      <c r="H38" s="63" t="s">
        <v>163</v>
      </c>
      <c r="I38" s="63"/>
      <c r="J38" s="63" t="s">
        <v>163</v>
      </c>
      <c r="K38" s="115"/>
      <c r="L38" s="116"/>
      <c r="M38" s="116"/>
      <c r="N38" s="116"/>
      <c r="O38" s="116"/>
      <c r="P38" s="116"/>
      <c r="Q38" s="117"/>
      <c r="R38" s="63"/>
      <c r="S38" s="63"/>
      <c r="T38" s="63"/>
      <c r="U38" s="63"/>
    </row>
    <row r="39" spans="1:21" ht="18" customHeight="1" x14ac:dyDescent="0.2">
      <c r="B39" s="109" t="s">
        <v>148</v>
      </c>
      <c r="C39" s="110"/>
      <c r="D39" s="110"/>
      <c r="E39" s="110"/>
      <c r="F39" s="111"/>
      <c r="G39" s="64">
        <v>2</v>
      </c>
      <c r="H39" s="64" t="s">
        <v>163</v>
      </c>
      <c r="I39" s="64" t="s">
        <v>163</v>
      </c>
      <c r="J39" s="64"/>
      <c r="K39" s="109"/>
      <c r="L39" s="110"/>
      <c r="M39" s="110"/>
      <c r="N39" s="110"/>
      <c r="O39" s="110"/>
      <c r="P39" s="110"/>
      <c r="Q39" s="111"/>
      <c r="R39" s="64"/>
      <c r="S39" s="64"/>
      <c r="T39" s="64"/>
      <c r="U39" s="64"/>
    </row>
    <row r="40" spans="1:21" ht="18" customHeight="1" x14ac:dyDescent="0.2">
      <c r="B40" s="109"/>
      <c r="C40" s="110"/>
      <c r="D40" s="110"/>
      <c r="E40" s="110"/>
      <c r="F40" s="111"/>
      <c r="G40" s="64"/>
      <c r="H40" s="64"/>
      <c r="I40" s="64"/>
      <c r="J40" s="64"/>
      <c r="K40" s="109"/>
      <c r="L40" s="110"/>
      <c r="M40" s="110"/>
      <c r="N40" s="110"/>
      <c r="O40" s="110"/>
      <c r="P40" s="110"/>
      <c r="Q40" s="111"/>
      <c r="R40" s="64"/>
      <c r="S40" s="64"/>
      <c r="T40" s="64"/>
      <c r="U40" s="64"/>
    </row>
    <row r="41" spans="1:21" ht="18" customHeight="1" x14ac:dyDescent="0.2">
      <c r="B41" s="109"/>
      <c r="C41" s="110"/>
      <c r="D41" s="110"/>
      <c r="E41" s="110"/>
      <c r="F41" s="111"/>
      <c r="G41" s="64"/>
      <c r="H41" s="64"/>
      <c r="I41" s="64"/>
      <c r="J41" s="64"/>
      <c r="K41" s="109"/>
      <c r="L41" s="110"/>
      <c r="M41" s="110"/>
      <c r="N41" s="110"/>
      <c r="O41" s="110"/>
      <c r="P41" s="110"/>
      <c r="Q41" s="111"/>
      <c r="R41" s="64"/>
      <c r="S41" s="64"/>
      <c r="T41" s="64"/>
      <c r="U41" s="64"/>
    </row>
    <row r="42" spans="1:21" ht="18" customHeight="1" x14ac:dyDescent="0.2">
      <c r="B42" s="109"/>
      <c r="C42" s="110"/>
      <c r="D42" s="110"/>
      <c r="E42" s="110"/>
      <c r="F42" s="111"/>
      <c r="G42" s="64"/>
      <c r="H42" s="64"/>
      <c r="I42" s="64"/>
      <c r="J42" s="64"/>
      <c r="K42" s="109"/>
      <c r="L42" s="110"/>
      <c r="M42" s="110"/>
      <c r="N42" s="110"/>
      <c r="O42" s="110"/>
      <c r="P42" s="110"/>
      <c r="Q42" s="111"/>
      <c r="R42" s="64"/>
      <c r="S42" s="64"/>
      <c r="T42" s="64"/>
      <c r="U42" s="64"/>
    </row>
    <row r="43" spans="1:21" ht="18" customHeight="1" x14ac:dyDescent="0.2">
      <c r="B43" s="109"/>
      <c r="C43" s="110"/>
      <c r="D43" s="110"/>
      <c r="E43" s="110"/>
      <c r="F43" s="111"/>
      <c r="G43" s="64"/>
      <c r="H43" s="64"/>
      <c r="I43" s="64"/>
      <c r="J43" s="64"/>
      <c r="K43" s="109"/>
      <c r="L43" s="110"/>
      <c r="M43" s="110"/>
      <c r="N43" s="110"/>
      <c r="O43" s="110"/>
      <c r="P43" s="110"/>
      <c r="Q43" s="111"/>
      <c r="R43" s="64"/>
      <c r="S43" s="64"/>
      <c r="T43" s="64"/>
      <c r="U43" s="64"/>
    </row>
    <row r="44" spans="1:21" ht="18" customHeight="1" x14ac:dyDescent="0.2">
      <c r="B44" s="112"/>
      <c r="C44" s="113"/>
      <c r="D44" s="113"/>
      <c r="E44" s="113"/>
      <c r="F44" s="114"/>
      <c r="G44" s="65"/>
      <c r="H44" s="65"/>
      <c r="I44" s="66"/>
      <c r="J44" s="66"/>
      <c r="K44" s="112"/>
      <c r="L44" s="113"/>
      <c r="M44" s="113"/>
      <c r="N44" s="113"/>
      <c r="O44" s="113"/>
      <c r="P44" s="113"/>
      <c r="Q44" s="114"/>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8" t="s">
        <v>97</v>
      </c>
      <c r="B46" s="118"/>
      <c r="C46" s="118"/>
      <c r="D46" s="118"/>
      <c r="E46" s="118"/>
      <c r="F46" s="118"/>
      <c r="G46" s="118"/>
      <c r="H46" s="118"/>
      <c r="I46" s="118"/>
      <c r="J46" s="118"/>
      <c r="K46" s="118"/>
      <c r="L46" s="118"/>
      <c r="M46" s="118"/>
      <c r="N46" s="118"/>
      <c r="O46" s="118"/>
      <c r="P46" s="118"/>
      <c r="Q46" s="118"/>
      <c r="R46" s="118"/>
      <c r="S46" s="118"/>
      <c r="T46" s="118"/>
      <c r="U46" s="118"/>
    </row>
    <row r="47" spans="1:21" ht="18" customHeight="1" x14ac:dyDescent="0.2">
      <c r="A47" s="118"/>
      <c r="B47" s="118"/>
      <c r="C47" s="118"/>
      <c r="D47" s="118"/>
      <c r="E47" s="118"/>
      <c r="F47" s="118"/>
      <c r="G47" s="118"/>
      <c r="H47" s="118"/>
      <c r="I47" s="118"/>
      <c r="J47" s="118"/>
      <c r="K47" s="118"/>
      <c r="L47" s="118"/>
      <c r="M47" s="118"/>
      <c r="N47" s="118"/>
      <c r="O47" s="118"/>
      <c r="P47" s="118"/>
      <c r="Q47" s="118"/>
      <c r="R47" s="118"/>
      <c r="S47" s="118"/>
      <c r="T47" s="118"/>
      <c r="U47" s="118"/>
    </row>
    <row r="48" spans="1:21" ht="18" customHeight="1" x14ac:dyDescent="0.2">
      <c r="B48" s="91" t="s">
        <v>47</v>
      </c>
      <c r="C48" s="92"/>
      <c r="D48" s="92"/>
      <c r="E48" s="92"/>
      <c r="F48" s="93"/>
      <c r="G48" s="60" t="s">
        <v>72</v>
      </c>
      <c r="H48" s="61" t="s">
        <v>75</v>
      </c>
      <c r="I48" s="62" t="s">
        <v>65</v>
      </c>
      <c r="J48" s="62" t="s">
        <v>66</v>
      </c>
      <c r="K48" s="91" t="s">
        <v>47</v>
      </c>
      <c r="L48" s="92"/>
      <c r="M48" s="92"/>
      <c r="N48" s="92"/>
      <c r="O48" s="92"/>
      <c r="P48" s="92"/>
      <c r="Q48" s="93"/>
      <c r="R48" s="60" t="s">
        <v>72</v>
      </c>
      <c r="S48" s="61" t="s">
        <v>75</v>
      </c>
      <c r="T48" s="62" t="s">
        <v>65</v>
      </c>
      <c r="U48" s="62" t="s">
        <v>66</v>
      </c>
    </row>
    <row r="49" spans="1:21" ht="18" customHeight="1" x14ac:dyDescent="0.2">
      <c r="A49" s="3"/>
      <c r="B49" s="115" t="s">
        <v>152</v>
      </c>
      <c r="C49" s="116"/>
      <c r="D49" s="116"/>
      <c r="E49" s="116"/>
      <c r="F49" s="117"/>
      <c r="G49" s="63">
        <v>2</v>
      </c>
      <c r="H49" s="63" t="s">
        <v>163</v>
      </c>
      <c r="I49" s="63" t="s">
        <v>163</v>
      </c>
      <c r="J49" s="63" t="s">
        <v>163</v>
      </c>
      <c r="K49" s="115"/>
      <c r="L49" s="116"/>
      <c r="M49" s="116"/>
      <c r="N49" s="116"/>
      <c r="O49" s="116"/>
      <c r="P49" s="116"/>
      <c r="Q49" s="117"/>
      <c r="R49" s="63"/>
      <c r="S49" s="63"/>
      <c r="T49" s="63"/>
      <c r="U49" s="63"/>
    </row>
    <row r="50" spans="1:21" ht="18" customHeight="1" x14ac:dyDescent="0.2">
      <c r="A50" s="3"/>
      <c r="B50" s="109"/>
      <c r="C50" s="110"/>
      <c r="D50" s="110"/>
      <c r="E50" s="110"/>
      <c r="F50" s="111"/>
      <c r="G50" s="64"/>
      <c r="H50" s="64"/>
      <c r="I50" s="64"/>
      <c r="J50" s="64"/>
      <c r="K50" s="109"/>
      <c r="L50" s="110"/>
      <c r="M50" s="110"/>
      <c r="N50" s="110"/>
      <c r="O50" s="110"/>
      <c r="P50" s="110"/>
      <c r="Q50" s="111"/>
      <c r="R50" s="64"/>
      <c r="S50" s="64"/>
      <c r="T50" s="64"/>
      <c r="U50" s="64"/>
    </row>
    <row r="51" spans="1:21" ht="18" customHeight="1" x14ac:dyDescent="0.2">
      <c r="A51" s="3"/>
      <c r="B51" s="109"/>
      <c r="C51" s="110"/>
      <c r="D51" s="110"/>
      <c r="E51" s="110"/>
      <c r="F51" s="111"/>
      <c r="G51" s="64"/>
      <c r="H51" s="64"/>
      <c r="I51" s="64"/>
      <c r="J51" s="64"/>
      <c r="K51" s="109"/>
      <c r="L51" s="110"/>
      <c r="M51" s="110"/>
      <c r="N51" s="110"/>
      <c r="O51" s="110"/>
      <c r="P51" s="110"/>
      <c r="Q51" s="111"/>
      <c r="R51" s="64"/>
      <c r="S51" s="64"/>
      <c r="T51" s="64"/>
      <c r="U51" s="64"/>
    </row>
    <row r="52" spans="1:21" ht="18" customHeight="1" x14ac:dyDescent="0.2">
      <c r="A52" s="3"/>
      <c r="B52" s="109"/>
      <c r="C52" s="110"/>
      <c r="D52" s="110"/>
      <c r="E52" s="110"/>
      <c r="F52" s="111"/>
      <c r="G52" s="64"/>
      <c r="H52" s="64"/>
      <c r="I52" s="64"/>
      <c r="J52" s="64"/>
      <c r="K52" s="109"/>
      <c r="L52" s="110"/>
      <c r="M52" s="110"/>
      <c r="N52" s="110"/>
      <c r="O52" s="110"/>
      <c r="P52" s="110"/>
      <c r="Q52" s="111"/>
      <c r="R52" s="64"/>
      <c r="S52" s="64"/>
      <c r="T52" s="64"/>
      <c r="U52" s="64"/>
    </row>
    <row r="53" spans="1:21" ht="18" customHeight="1" x14ac:dyDescent="0.2">
      <c r="A53" s="3"/>
      <c r="B53" s="109"/>
      <c r="C53" s="110"/>
      <c r="D53" s="110"/>
      <c r="E53" s="110"/>
      <c r="F53" s="111"/>
      <c r="G53" s="64"/>
      <c r="H53" s="64"/>
      <c r="I53" s="64"/>
      <c r="J53" s="64"/>
      <c r="K53" s="109"/>
      <c r="L53" s="110"/>
      <c r="M53" s="110"/>
      <c r="N53" s="110"/>
      <c r="O53" s="110"/>
      <c r="P53" s="110"/>
      <c r="Q53" s="111"/>
      <c r="R53" s="64"/>
      <c r="S53" s="64"/>
      <c r="T53" s="64"/>
      <c r="U53" s="64"/>
    </row>
    <row r="54" spans="1:21" ht="18" customHeight="1" x14ac:dyDescent="0.2">
      <c r="A54" s="3"/>
      <c r="B54" s="109"/>
      <c r="C54" s="110"/>
      <c r="D54" s="110"/>
      <c r="E54" s="110"/>
      <c r="F54" s="111"/>
      <c r="G54" s="64"/>
      <c r="H54" s="64"/>
      <c r="I54" s="64"/>
      <c r="J54" s="64"/>
      <c r="K54" s="109"/>
      <c r="L54" s="110"/>
      <c r="M54" s="110"/>
      <c r="N54" s="110"/>
      <c r="O54" s="110"/>
      <c r="P54" s="110"/>
      <c r="Q54" s="111"/>
      <c r="R54" s="64"/>
      <c r="S54" s="64"/>
      <c r="T54" s="64"/>
      <c r="U54" s="64"/>
    </row>
    <row r="55" spans="1:21" ht="18" customHeight="1" x14ac:dyDescent="0.2">
      <c r="A55" s="3"/>
      <c r="B55" s="112"/>
      <c r="C55" s="113"/>
      <c r="D55" s="113"/>
      <c r="E55" s="113"/>
      <c r="F55" s="114"/>
      <c r="G55" s="65"/>
      <c r="H55" s="65"/>
      <c r="I55" s="66"/>
      <c r="J55" s="66"/>
      <c r="K55" s="112"/>
      <c r="L55" s="113"/>
      <c r="M55" s="113"/>
      <c r="N55" s="113"/>
      <c r="O55" s="113"/>
      <c r="P55" s="113"/>
      <c r="Q55" s="114"/>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8" t="s">
        <v>98</v>
      </c>
      <c r="B57" s="118"/>
      <c r="C57" s="118"/>
      <c r="D57" s="118"/>
      <c r="E57" s="118"/>
      <c r="F57" s="118"/>
      <c r="G57" s="118"/>
      <c r="H57" s="118"/>
      <c r="I57" s="118"/>
      <c r="J57" s="118"/>
      <c r="K57" s="118"/>
      <c r="L57" s="118"/>
      <c r="M57" s="118"/>
      <c r="N57" s="118"/>
      <c r="O57" s="118"/>
      <c r="P57" s="118"/>
      <c r="Q57" s="118"/>
      <c r="R57" s="118"/>
      <c r="S57" s="118"/>
      <c r="T57" s="118"/>
      <c r="U57" s="118"/>
    </row>
    <row r="58" spans="1:21" ht="18" customHeight="1" x14ac:dyDescent="0.2">
      <c r="A58" s="118"/>
      <c r="B58" s="118"/>
      <c r="C58" s="118"/>
      <c r="D58" s="118"/>
      <c r="E58" s="118"/>
      <c r="F58" s="118"/>
      <c r="G58" s="118"/>
      <c r="H58" s="118"/>
      <c r="I58" s="118"/>
      <c r="J58" s="118"/>
      <c r="K58" s="118"/>
      <c r="L58" s="118"/>
      <c r="M58" s="118"/>
      <c r="N58" s="118"/>
      <c r="O58" s="118"/>
      <c r="P58" s="118"/>
      <c r="Q58" s="118"/>
      <c r="R58" s="118"/>
      <c r="S58" s="118"/>
      <c r="T58" s="118"/>
      <c r="U58" s="118"/>
    </row>
    <row r="59" spans="1:21" ht="18" customHeight="1" x14ac:dyDescent="0.2">
      <c r="B59" s="91" t="s">
        <v>47</v>
      </c>
      <c r="C59" s="92"/>
      <c r="D59" s="92"/>
      <c r="E59" s="92"/>
      <c r="F59" s="93"/>
      <c r="G59" s="60" t="s">
        <v>72</v>
      </c>
      <c r="H59" s="61" t="s">
        <v>75</v>
      </c>
      <c r="I59" s="62" t="s">
        <v>52</v>
      </c>
      <c r="J59" s="62" t="s">
        <v>54</v>
      </c>
      <c r="K59" s="91" t="s">
        <v>47</v>
      </c>
      <c r="L59" s="92"/>
      <c r="M59" s="92"/>
      <c r="N59" s="92"/>
      <c r="O59" s="92"/>
      <c r="P59" s="92"/>
      <c r="Q59" s="93"/>
      <c r="R59" s="60" t="s">
        <v>72</v>
      </c>
      <c r="S59" s="61" t="s">
        <v>75</v>
      </c>
      <c r="T59" s="62" t="s">
        <v>52</v>
      </c>
      <c r="U59" s="62" t="s">
        <v>54</v>
      </c>
    </row>
    <row r="60" spans="1:21" ht="18" customHeight="1" x14ac:dyDescent="0.2">
      <c r="A60" s="3"/>
      <c r="B60" s="115" t="s">
        <v>148</v>
      </c>
      <c r="C60" s="116"/>
      <c r="D60" s="116"/>
      <c r="E60" s="116"/>
      <c r="F60" s="117"/>
      <c r="G60" s="63">
        <v>2</v>
      </c>
      <c r="H60" s="63" t="s">
        <v>163</v>
      </c>
      <c r="I60" s="63" t="s">
        <v>163</v>
      </c>
      <c r="J60" s="63" t="s">
        <v>163</v>
      </c>
      <c r="K60" s="115"/>
      <c r="L60" s="116"/>
      <c r="M60" s="116"/>
      <c r="N60" s="116"/>
      <c r="O60" s="116"/>
      <c r="P60" s="116"/>
      <c r="Q60" s="117"/>
      <c r="R60" s="63"/>
      <c r="S60" s="63"/>
      <c r="T60" s="63"/>
      <c r="U60" s="63"/>
    </row>
    <row r="61" spans="1:21" ht="18" customHeight="1" x14ac:dyDescent="0.2">
      <c r="A61" s="3"/>
      <c r="B61" s="109"/>
      <c r="C61" s="110"/>
      <c r="D61" s="110"/>
      <c r="E61" s="110"/>
      <c r="F61" s="111"/>
      <c r="G61" s="64"/>
      <c r="H61" s="64"/>
      <c r="I61" s="64"/>
      <c r="J61" s="64"/>
      <c r="K61" s="109"/>
      <c r="L61" s="110"/>
      <c r="M61" s="110"/>
      <c r="N61" s="110"/>
      <c r="O61" s="110"/>
      <c r="P61" s="110"/>
      <c r="Q61" s="111"/>
      <c r="R61" s="64"/>
      <c r="S61" s="64"/>
      <c r="T61" s="64"/>
      <c r="U61" s="64"/>
    </row>
    <row r="62" spans="1:21" ht="18" customHeight="1" x14ac:dyDescent="0.2">
      <c r="A62" s="3"/>
      <c r="B62" s="109"/>
      <c r="C62" s="110"/>
      <c r="D62" s="110"/>
      <c r="E62" s="110"/>
      <c r="F62" s="111"/>
      <c r="G62" s="64"/>
      <c r="H62" s="64"/>
      <c r="I62" s="64"/>
      <c r="J62" s="64"/>
      <c r="K62" s="109"/>
      <c r="L62" s="110"/>
      <c r="M62" s="110"/>
      <c r="N62" s="110"/>
      <c r="O62" s="110"/>
      <c r="P62" s="110"/>
      <c r="Q62" s="111"/>
      <c r="R62" s="64"/>
      <c r="S62" s="64"/>
      <c r="T62" s="64"/>
      <c r="U62" s="64"/>
    </row>
    <row r="63" spans="1:21" ht="18" customHeight="1" x14ac:dyDescent="0.2">
      <c r="A63" s="3"/>
      <c r="B63" s="109"/>
      <c r="C63" s="110"/>
      <c r="D63" s="110"/>
      <c r="E63" s="110"/>
      <c r="F63" s="111"/>
      <c r="G63" s="64"/>
      <c r="H63" s="64"/>
      <c r="I63" s="64"/>
      <c r="J63" s="64"/>
      <c r="K63" s="109"/>
      <c r="L63" s="110"/>
      <c r="M63" s="110"/>
      <c r="N63" s="110"/>
      <c r="O63" s="110"/>
      <c r="P63" s="110"/>
      <c r="Q63" s="111"/>
      <c r="R63" s="64"/>
      <c r="S63" s="64"/>
      <c r="T63" s="64"/>
      <c r="U63" s="64"/>
    </row>
    <row r="64" spans="1:21" ht="18" customHeight="1" x14ac:dyDescent="0.2">
      <c r="A64" s="3"/>
      <c r="B64" s="109"/>
      <c r="C64" s="110"/>
      <c r="D64" s="110"/>
      <c r="E64" s="110"/>
      <c r="F64" s="111"/>
      <c r="G64" s="64"/>
      <c r="H64" s="64"/>
      <c r="I64" s="64"/>
      <c r="J64" s="64"/>
      <c r="K64" s="109"/>
      <c r="L64" s="110"/>
      <c r="M64" s="110"/>
      <c r="N64" s="110"/>
      <c r="O64" s="110"/>
      <c r="P64" s="110"/>
      <c r="Q64" s="111"/>
      <c r="R64" s="64"/>
      <c r="S64" s="64"/>
      <c r="T64" s="64"/>
      <c r="U64" s="64"/>
    </row>
    <row r="65" spans="1:27" ht="18" customHeight="1" x14ac:dyDescent="0.2">
      <c r="A65" s="3"/>
      <c r="B65" s="109"/>
      <c r="C65" s="110"/>
      <c r="D65" s="110"/>
      <c r="E65" s="110"/>
      <c r="F65" s="111"/>
      <c r="G65" s="64"/>
      <c r="H65" s="64"/>
      <c r="I65" s="64"/>
      <c r="J65" s="64"/>
      <c r="K65" s="109"/>
      <c r="L65" s="110"/>
      <c r="M65" s="110"/>
      <c r="N65" s="110"/>
      <c r="O65" s="110"/>
      <c r="P65" s="110"/>
      <c r="Q65" s="111"/>
      <c r="R65" s="64"/>
      <c r="S65" s="64"/>
      <c r="T65" s="64"/>
      <c r="U65" s="64"/>
    </row>
    <row r="66" spans="1:27" ht="18" customHeight="1" x14ac:dyDescent="0.2">
      <c r="A66" s="3"/>
      <c r="B66" s="112"/>
      <c r="C66" s="113"/>
      <c r="D66" s="113"/>
      <c r="E66" s="113"/>
      <c r="F66" s="114"/>
      <c r="G66" s="65"/>
      <c r="H66" s="65"/>
      <c r="I66" s="66"/>
      <c r="J66" s="66"/>
      <c r="K66" s="112"/>
      <c r="L66" s="113"/>
      <c r="M66" s="113"/>
      <c r="N66" s="113"/>
      <c r="O66" s="113"/>
      <c r="P66" s="113"/>
      <c r="Q66" s="114"/>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18" t="s">
        <v>99</v>
      </c>
      <c r="B68" s="118"/>
      <c r="C68" s="118"/>
      <c r="D68" s="118"/>
      <c r="E68" s="118"/>
      <c r="F68" s="118"/>
      <c r="G68" s="118"/>
      <c r="H68" s="118"/>
      <c r="I68" s="118"/>
      <c r="J68" s="118"/>
      <c r="K68" s="118"/>
      <c r="L68" s="118"/>
      <c r="M68" s="118"/>
      <c r="N68" s="118"/>
      <c r="O68" s="118"/>
      <c r="P68" s="118"/>
      <c r="Q68" s="118"/>
      <c r="R68" s="118"/>
      <c r="S68" s="118"/>
      <c r="T68" s="118"/>
      <c r="U68" s="118"/>
    </row>
    <row r="69" spans="1:27" ht="18" customHeight="1" x14ac:dyDescent="0.2">
      <c r="A69" s="118"/>
      <c r="B69" s="118"/>
      <c r="C69" s="118"/>
      <c r="D69" s="118"/>
      <c r="E69" s="118"/>
      <c r="F69" s="118"/>
      <c r="G69" s="118"/>
      <c r="H69" s="118"/>
      <c r="I69" s="118"/>
      <c r="J69" s="118"/>
      <c r="K69" s="118"/>
      <c r="L69" s="118"/>
      <c r="M69" s="118"/>
      <c r="N69" s="118"/>
      <c r="O69" s="118"/>
      <c r="P69" s="118"/>
      <c r="Q69" s="118"/>
      <c r="R69" s="118"/>
      <c r="S69" s="118"/>
      <c r="T69" s="118"/>
      <c r="U69" s="118"/>
    </row>
    <row r="70" spans="1:27" ht="18" customHeight="1" x14ac:dyDescent="0.2">
      <c r="B70" s="91" t="s">
        <v>47</v>
      </c>
      <c r="C70" s="92"/>
      <c r="D70" s="92"/>
      <c r="E70" s="92"/>
      <c r="F70" s="60" t="s">
        <v>72</v>
      </c>
      <c r="G70" s="61" t="s">
        <v>75</v>
      </c>
      <c r="H70" s="62" t="s">
        <v>86</v>
      </c>
      <c r="I70" s="62" t="s">
        <v>67</v>
      </c>
      <c r="J70" s="62" t="s">
        <v>68</v>
      </c>
      <c r="K70" s="91" t="s">
        <v>47</v>
      </c>
      <c r="L70" s="92"/>
      <c r="M70" s="92"/>
      <c r="N70" s="92"/>
      <c r="O70" s="92"/>
      <c r="P70" s="93"/>
      <c r="Q70" s="60" t="s">
        <v>72</v>
      </c>
      <c r="R70" s="61" t="s">
        <v>75</v>
      </c>
      <c r="S70" s="62" t="s">
        <v>86</v>
      </c>
      <c r="T70" s="62" t="s">
        <v>67</v>
      </c>
      <c r="U70" s="62" t="s">
        <v>68</v>
      </c>
    </row>
    <row r="71" spans="1:27" ht="18" customHeight="1" x14ac:dyDescent="0.2">
      <c r="A71" s="3"/>
      <c r="B71" s="115" t="s">
        <v>152</v>
      </c>
      <c r="C71" s="116"/>
      <c r="D71" s="116"/>
      <c r="E71" s="116"/>
      <c r="F71" s="63">
        <v>2</v>
      </c>
      <c r="G71" s="63" t="s">
        <v>163</v>
      </c>
      <c r="H71" s="63" t="s">
        <v>163</v>
      </c>
      <c r="I71" s="63" t="s">
        <v>163</v>
      </c>
      <c r="J71" s="63" t="s">
        <v>163</v>
      </c>
      <c r="K71" s="115"/>
      <c r="L71" s="116"/>
      <c r="M71" s="116"/>
      <c r="N71" s="116"/>
      <c r="O71" s="116"/>
      <c r="P71" s="117"/>
      <c r="Q71" s="63"/>
      <c r="R71" s="63"/>
      <c r="S71" s="63"/>
      <c r="T71" s="63"/>
      <c r="U71" s="63"/>
    </row>
    <row r="72" spans="1:27" ht="18" customHeight="1" x14ac:dyDescent="0.2">
      <c r="A72" s="3"/>
      <c r="B72" s="109"/>
      <c r="C72" s="110"/>
      <c r="D72" s="110"/>
      <c r="E72" s="110"/>
      <c r="F72" s="64"/>
      <c r="G72" s="64"/>
      <c r="H72" s="64"/>
      <c r="I72" s="64"/>
      <c r="J72" s="64"/>
      <c r="K72" s="109"/>
      <c r="L72" s="110"/>
      <c r="M72" s="110"/>
      <c r="N72" s="110"/>
      <c r="O72" s="110"/>
      <c r="P72" s="111"/>
      <c r="Q72" s="64"/>
      <c r="R72" s="64"/>
      <c r="S72" s="64"/>
      <c r="T72" s="64"/>
      <c r="U72" s="64"/>
    </row>
    <row r="73" spans="1:27" ht="18" customHeight="1" x14ac:dyDescent="0.2">
      <c r="A73" s="3"/>
      <c r="B73" s="109"/>
      <c r="C73" s="110"/>
      <c r="D73" s="110"/>
      <c r="E73" s="110"/>
      <c r="F73" s="64"/>
      <c r="G73" s="64"/>
      <c r="H73" s="64"/>
      <c r="I73" s="64"/>
      <c r="J73" s="64"/>
      <c r="K73" s="109"/>
      <c r="L73" s="110"/>
      <c r="M73" s="110"/>
      <c r="N73" s="110"/>
      <c r="O73" s="110"/>
      <c r="P73" s="111"/>
      <c r="Q73" s="64"/>
      <c r="R73" s="64"/>
      <c r="S73" s="64"/>
      <c r="T73" s="64"/>
      <c r="U73" s="64"/>
    </row>
    <row r="74" spans="1:27" ht="18" customHeight="1" x14ac:dyDescent="0.2">
      <c r="A74" s="3"/>
      <c r="B74" s="109"/>
      <c r="C74" s="110"/>
      <c r="D74" s="110"/>
      <c r="E74" s="110"/>
      <c r="F74" s="64"/>
      <c r="G74" s="64"/>
      <c r="H74" s="64"/>
      <c r="I74" s="64"/>
      <c r="J74" s="64"/>
      <c r="K74" s="109"/>
      <c r="L74" s="110"/>
      <c r="M74" s="110"/>
      <c r="N74" s="110"/>
      <c r="O74" s="110"/>
      <c r="P74" s="111"/>
      <c r="Q74" s="64"/>
      <c r="R74" s="64"/>
      <c r="S74" s="64"/>
      <c r="T74" s="64"/>
      <c r="U74" s="64"/>
    </row>
    <row r="75" spans="1:27" ht="18" customHeight="1" x14ac:dyDescent="0.2">
      <c r="A75" s="3"/>
      <c r="B75" s="109"/>
      <c r="C75" s="110"/>
      <c r="D75" s="110"/>
      <c r="E75" s="110"/>
      <c r="F75" s="64"/>
      <c r="G75" s="64"/>
      <c r="H75" s="64"/>
      <c r="I75" s="64"/>
      <c r="J75" s="64"/>
      <c r="K75" s="109"/>
      <c r="L75" s="110"/>
      <c r="M75" s="110"/>
      <c r="N75" s="110"/>
      <c r="O75" s="110"/>
      <c r="P75" s="111"/>
      <c r="Q75" s="64"/>
      <c r="R75" s="64"/>
      <c r="S75" s="64"/>
      <c r="T75" s="64"/>
      <c r="U75" s="64"/>
    </row>
    <row r="76" spans="1:27" ht="18" customHeight="1" x14ac:dyDescent="0.2">
      <c r="A76" s="3"/>
      <c r="B76" s="109"/>
      <c r="C76" s="110"/>
      <c r="D76" s="110"/>
      <c r="E76" s="110"/>
      <c r="F76" s="64"/>
      <c r="G76" s="64"/>
      <c r="H76" s="64"/>
      <c r="I76" s="64"/>
      <c r="J76" s="64"/>
      <c r="K76" s="109"/>
      <c r="L76" s="110"/>
      <c r="M76" s="110"/>
      <c r="N76" s="110"/>
      <c r="O76" s="110"/>
      <c r="P76" s="111"/>
      <c r="Q76" s="64"/>
      <c r="R76" s="64"/>
      <c r="S76" s="64"/>
      <c r="T76" s="64"/>
      <c r="U76" s="64"/>
    </row>
    <row r="77" spans="1:27" ht="18" customHeight="1" x14ac:dyDescent="0.2">
      <c r="A77" s="3"/>
      <c r="B77" s="112"/>
      <c r="C77" s="113"/>
      <c r="D77" s="113"/>
      <c r="E77" s="113"/>
      <c r="F77" s="65"/>
      <c r="G77" s="65"/>
      <c r="H77" s="66"/>
      <c r="I77" s="66"/>
      <c r="J77" s="66"/>
      <c r="K77" s="112"/>
      <c r="L77" s="113"/>
      <c r="M77" s="113"/>
      <c r="N77" s="113"/>
      <c r="O77" s="113"/>
      <c r="P77" s="114"/>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1" t="s">
        <v>47</v>
      </c>
      <c r="C80" s="92"/>
      <c r="D80" s="92"/>
      <c r="E80" s="92"/>
      <c r="F80" s="93"/>
      <c r="G80" s="91" t="s">
        <v>73</v>
      </c>
      <c r="H80" s="92"/>
      <c r="I80" s="92"/>
      <c r="J80" s="93"/>
      <c r="K80" s="149" t="s">
        <v>47</v>
      </c>
      <c r="L80" s="150"/>
      <c r="M80" s="150"/>
      <c r="N80" s="150"/>
      <c r="O80" s="150"/>
      <c r="P80" s="150"/>
      <c r="Q80" s="151"/>
      <c r="R80" s="91" t="s">
        <v>73</v>
      </c>
      <c r="S80" s="92"/>
      <c r="T80" s="92"/>
      <c r="U80" s="93"/>
      <c r="AA80" s="1" t="s">
        <v>138</v>
      </c>
    </row>
    <row r="81" spans="1:27" ht="18" customHeight="1" x14ac:dyDescent="0.2">
      <c r="A81" s="3"/>
      <c r="B81" s="115"/>
      <c r="C81" s="116"/>
      <c r="D81" s="116"/>
      <c r="E81" s="116"/>
      <c r="F81" s="117"/>
      <c r="G81" s="152"/>
      <c r="H81" s="153"/>
      <c r="I81" s="153"/>
      <c r="J81" s="154"/>
      <c r="K81" s="115"/>
      <c r="L81" s="116"/>
      <c r="M81" s="116"/>
      <c r="N81" s="116"/>
      <c r="O81" s="116"/>
      <c r="P81" s="116"/>
      <c r="Q81" s="117"/>
      <c r="R81" s="152"/>
      <c r="S81" s="153"/>
      <c r="T81" s="153"/>
      <c r="U81" s="154"/>
      <c r="AA81" s="1" t="s">
        <v>131</v>
      </c>
    </row>
    <row r="82" spans="1:27" ht="18" customHeight="1" x14ac:dyDescent="0.2">
      <c r="A82" s="3"/>
      <c r="B82" s="109"/>
      <c r="C82" s="110"/>
      <c r="D82" s="110"/>
      <c r="E82" s="110"/>
      <c r="F82" s="111"/>
      <c r="G82" s="144"/>
      <c r="H82" s="145"/>
      <c r="I82" s="145"/>
      <c r="J82" s="146"/>
      <c r="K82" s="109"/>
      <c r="L82" s="110"/>
      <c r="M82" s="110"/>
      <c r="N82" s="110"/>
      <c r="O82" s="110"/>
      <c r="P82" s="110"/>
      <c r="Q82" s="111"/>
      <c r="R82" s="144"/>
      <c r="S82" s="145"/>
      <c r="T82" s="145"/>
      <c r="U82" s="146"/>
      <c r="AA82" s="1" t="s">
        <v>132</v>
      </c>
    </row>
    <row r="83" spans="1:27" ht="18" customHeight="1" x14ac:dyDescent="0.2">
      <c r="A83" s="3"/>
      <c r="B83" s="109"/>
      <c r="C83" s="110"/>
      <c r="D83" s="110"/>
      <c r="E83" s="110"/>
      <c r="F83" s="111"/>
      <c r="G83" s="144"/>
      <c r="H83" s="145"/>
      <c r="I83" s="145"/>
      <c r="J83" s="146"/>
      <c r="K83" s="109"/>
      <c r="L83" s="110"/>
      <c r="M83" s="110"/>
      <c r="N83" s="110"/>
      <c r="O83" s="110"/>
      <c r="P83" s="110"/>
      <c r="Q83" s="111"/>
      <c r="R83" s="144"/>
      <c r="S83" s="145"/>
      <c r="T83" s="145"/>
      <c r="U83" s="146"/>
      <c r="AA83" s="1" t="s">
        <v>133</v>
      </c>
    </row>
    <row r="84" spans="1:27" ht="18" customHeight="1" x14ac:dyDescent="0.2">
      <c r="A84" s="3"/>
      <c r="B84" s="109"/>
      <c r="C84" s="110"/>
      <c r="D84" s="110"/>
      <c r="E84" s="110"/>
      <c r="F84" s="111"/>
      <c r="G84" s="144"/>
      <c r="H84" s="145"/>
      <c r="I84" s="145"/>
      <c r="J84" s="146"/>
      <c r="K84" s="109"/>
      <c r="L84" s="110"/>
      <c r="M84" s="110"/>
      <c r="N84" s="110"/>
      <c r="O84" s="110"/>
      <c r="P84" s="110"/>
      <c r="Q84" s="111"/>
      <c r="R84" s="144"/>
      <c r="S84" s="145"/>
      <c r="T84" s="145"/>
      <c r="U84" s="146"/>
      <c r="AA84" s="1" t="s">
        <v>139</v>
      </c>
    </row>
    <row r="85" spans="1:27" ht="18" customHeight="1" x14ac:dyDescent="0.2">
      <c r="A85" s="3"/>
      <c r="B85" s="109"/>
      <c r="C85" s="110"/>
      <c r="D85" s="110"/>
      <c r="E85" s="110"/>
      <c r="F85" s="111"/>
      <c r="G85" s="144"/>
      <c r="H85" s="145"/>
      <c r="I85" s="145"/>
      <c r="J85" s="146"/>
      <c r="K85" s="109"/>
      <c r="L85" s="110"/>
      <c r="M85" s="110"/>
      <c r="N85" s="110"/>
      <c r="O85" s="110"/>
      <c r="P85" s="110"/>
      <c r="Q85" s="111"/>
      <c r="R85" s="144"/>
      <c r="S85" s="145"/>
      <c r="T85" s="145"/>
      <c r="U85" s="146"/>
      <c r="AA85" s="1" t="s">
        <v>140</v>
      </c>
    </row>
    <row r="86" spans="1:27" ht="18" customHeight="1" x14ac:dyDescent="0.2">
      <c r="A86" s="3"/>
      <c r="B86" s="109"/>
      <c r="C86" s="110"/>
      <c r="D86" s="110"/>
      <c r="E86" s="110"/>
      <c r="F86" s="111"/>
      <c r="G86" s="144"/>
      <c r="H86" s="145"/>
      <c r="I86" s="145"/>
      <c r="J86" s="146"/>
      <c r="K86" s="109"/>
      <c r="L86" s="110"/>
      <c r="M86" s="110"/>
      <c r="N86" s="110"/>
      <c r="O86" s="110"/>
      <c r="P86" s="110"/>
      <c r="Q86" s="111"/>
      <c r="R86" s="144"/>
      <c r="S86" s="145"/>
      <c r="T86" s="145"/>
      <c r="U86" s="146"/>
      <c r="AA86" s="1" t="s">
        <v>134</v>
      </c>
    </row>
    <row r="87" spans="1:27" ht="18" customHeight="1" x14ac:dyDescent="0.2">
      <c r="A87" s="3"/>
      <c r="B87" s="112"/>
      <c r="C87" s="113"/>
      <c r="D87" s="113"/>
      <c r="E87" s="113"/>
      <c r="F87" s="114"/>
      <c r="G87" s="141"/>
      <c r="H87" s="142"/>
      <c r="I87" s="142"/>
      <c r="J87" s="143"/>
      <c r="K87" s="112"/>
      <c r="L87" s="113"/>
      <c r="M87" s="113"/>
      <c r="N87" s="113"/>
      <c r="O87" s="113"/>
      <c r="P87" s="113"/>
      <c r="Q87" s="114"/>
      <c r="R87" s="141"/>
      <c r="S87" s="142"/>
      <c r="T87" s="142"/>
      <c r="U87" s="143"/>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101</v>
      </c>
      <c r="AA89" s="1" t="s">
        <v>137</v>
      </c>
    </row>
    <row r="90" spans="1:27" ht="18.75" customHeight="1" x14ac:dyDescent="0.2">
      <c r="B90" s="147" t="s">
        <v>48</v>
      </c>
      <c r="C90" s="148"/>
      <c r="D90" s="91" t="s">
        <v>49</v>
      </c>
      <c r="E90" s="92"/>
      <c r="F90" s="92"/>
      <c r="G90" s="92"/>
      <c r="H90" s="92"/>
      <c r="I90" s="92"/>
      <c r="J90" s="92"/>
      <c r="K90" s="92"/>
      <c r="L90" s="92"/>
      <c r="M90" s="92"/>
      <c r="N90" s="92"/>
      <c r="O90" s="92"/>
      <c r="P90" s="92"/>
      <c r="Q90" s="92"/>
      <c r="R90" s="92"/>
      <c r="S90" s="92"/>
      <c r="T90" s="92"/>
      <c r="U90" s="93"/>
    </row>
    <row r="91" spans="1:27" ht="97.5" customHeight="1" x14ac:dyDescent="0.2">
      <c r="B91" s="124" t="s">
        <v>55</v>
      </c>
      <c r="C91" s="68" t="s">
        <v>50</v>
      </c>
      <c r="D91" s="94" t="s">
        <v>191</v>
      </c>
      <c r="E91" s="95"/>
      <c r="F91" s="95"/>
      <c r="G91" s="95"/>
      <c r="H91" s="95"/>
      <c r="I91" s="95"/>
      <c r="J91" s="95"/>
      <c r="K91" s="95"/>
      <c r="L91" s="95"/>
      <c r="M91" s="95"/>
      <c r="N91" s="95"/>
      <c r="O91" s="95"/>
      <c r="P91" s="95"/>
      <c r="Q91" s="95"/>
      <c r="R91" s="95"/>
      <c r="S91" s="95"/>
      <c r="T91" s="95"/>
      <c r="U91" s="96"/>
    </row>
    <row r="92" spans="1:27" ht="97.5" customHeight="1" x14ac:dyDescent="0.2">
      <c r="B92" s="126"/>
      <c r="C92" s="69" t="s">
        <v>69</v>
      </c>
      <c r="D92" s="97" t="s">
        <v>185</v>
      </c>
      <c r="E92" s="98"/>
      <c r="F92" s="98"/>
      <c r="G92" s="98"/>
      <c r="H92" s="98"/>
      <c r="I92" s="98"/>
      <c r="J92" s="98"/>
      <c r="K92" s="98"/>
      <c r="L92" s="98"/>
      <c r="M92" s="98"/>
      <c r="N92" s="98"/>
      <c r="O92" s="98"/>
      <c r="P92" s="98"/>
      <c r="Q92" s="98"/>
      <c r="R92" s="98"/>
      <c r="S92" s="98"/>
      <c r="T92" s="98"/>
      <c r="U92" s="99"/>
    </row>
    <row r="93" spans="1:27" ht="97.5" customHeight="1" x14ac:dyDescent="0.2">
      <c r="B93" s="124" t="s">
        <v>56</v>
      </c>
      <c r="C93" s="70" t="s">
        <v>63</v>
      </c>
      <c r="D93" s="94" t="s">
        <v>192</v>
      </c>
      <c r="E93" s="95"/>
      <c r="F93" s="95"/>
      <c r="G93" s="95"/>
      <c r="H93" s="95"/>
      <c r="I93" s="95"/>
      <c r="J93" s="95"/>
      <c r="K93" s="95"/>
      <c r="L93" s="95"/>
      <c r="M93" s="95"/>
      <c r="N93" s="95"/>
      <c r="O93" s="95"/>
      <c r="P93" s="95"/>
      <c r="Q93" s="95"/>
      <c r="R93" s="95"/>
      <c r="S93" s="95"/>
      <c r="T93" s="95"/>
      <c r="U93" s="96"/>
    </row>
    <row r="94" spans="1:27" ht="97.5" customHeight="1" x14ac:dyDescent="0.2">
      <c r="B94" s="125"/>
      <c r="C94" s="71" t="s">
        <v>64</v>
      </c>
      <c r="D94" s="97" t="s">
        <v>197</v>
      </c>
      <c r="E94" s="98"/>
      <c r="F94" s="98"/>
      <c r="G94" s="98"/>
      <c r="H94" s="98"/>
      <c r="I94" s="98"/>
      <c r="J94" s="98"/>
      <c r="K94" s="98"/>
      <c r="L94" s="98"/>
      <c r="M94" s="98"/>
      <c r="N94" s="98"/>
      <c r="O94" s="98"/>
      <c r="P94" s="98"/>
      <c r="Q94" s="98"/>
      <c r="R94" s="98"/>
      <c r="S94" s="98"/>
      <c r="T94" s="98"/>
      <c r="U94" s="99"/>
    </row>
    <row r="95" spans="1:27" ht="97.5" customHeight="1" x14ac:dyDescent="0.2">
      <c r="B95" s="124" t="s">
        <v>57</v>
      </c>
      <c r="C95" s="70" t="s">
        <v>65</v>
      </c>
      <c r="D95" s="100" t="s">
        <v>189</v>
      </c>
      <c r="E95" s="101"/>
      <c r="F95" s="101"/>
      <c r="G95" s="101"/>
      <c r="H95" s="101"/>
      <c r="I95" s="101"/>
      <c r="J95" s="101"/>
      <c r="K95" s="101"/>
      <c r="L95" s="101"/>
      <c r="M95" s="101"/>
      <c r="N95" s="101"/>
      <c r="O95" s="101"/>
      <c r="P95" s="101"/>
      <c r="Q95" s="101"/>
      <c r="R95" s="101"/>
      <c r="S95" s="101"/>
      <c r="T95" s="101"/>
      <c r="U95" s="102"/>
    </row>
    <row r="96" spans="1:27" ht="97.5" customHeight="1" x14ac:dyDescent="0.2">
      <c r="B96" s="125"/>
      <c r="C96" s="72" t="s">
        <v>66</v>
      </c>
      <c r="D96" s="158" t="s">
        <v>198</v>
      </c>
      <c r="E96" s="159"/>
      <c r="F96" s="159"/>
      <c r="G96" s="159"/>
      <c r="H96" s="159"/>
      <c r="I96" s="159"/>
      <c r="J96" s="159"/>
      <c r="K96" s="159"/>
      <c r="L96" s="159"/>
      <c r="M96" s="159"/>
      <c r="N96" s="159"/>
      <c r="O96" s="159"/>
      <c r="P96" s="159"/>
      <c r="Q96" s="159"/>
      <c r="R96" s="159"/>
      <c r="S96" s="159"/>
      <c r="T96" s="159"/>
      <c r="U96" s="160"/>
    </row>
    <row r="97" spans="1:21" ht="97.5" customHeight="1" x14ac:dyDescent="0.2">
      <c r="B97" s="124" t="s">
        <v>70</v>
      </c>
      <c r="C97" s="68" t="s">
        <v>52</v>
      </c>
      <c r="D97" s="94" t="s">
        <v>195</v>
      </c>
      <c r="E97" s="122"/>
      <c r="F97" s="122"/>
      <c r="G97" s="122"/>
      <c r="H97" s="122"/>
      <c r="I97" s="122"/>
      <c r="J97" s="122"/>
      <c r="K97" s="122"/>
      <c r="L97" s="122"/>
      <c r="M97" s="122"/>
      <c r="N97" s="122"/>
      <c r="O97" s="122"/>
      <c r="P97" s="122"/>
      <c r="Q97" s="122"/>
      <c r="R97" s="122"/>
      <c r="S97" s="122"/>
      <c r="T97" s="122"/>
      <c r="U97" s="123"/>
    </row>
    <row r="98" spans="1:21" ht="97.5" customHeight="1" x14ac:dyDescent="0.2">
      <c r="B98" s="125"/>
      <c r="C98" s="71" t="s">
        <v>54</v>
      </c>
      <c r="D98" s="97" t="s">
        <v>188</v>
      </c>
      <c r="E98" s="98"/>
      <c r="F98" s="98"/>
      <c r="G98" s="98"/>
      <c r="H98" s="98"/>
      <c r="I98" s="98"/>
      <c r="J98" s="98"/>
      <c r="K98" s="98"/>
      <c r="L98" s="98"/>
      <c r="M98" s="98"/>
      <c r="N98" s="98"/>
      <c r="O98" s="98"/>
      <c r="P98" s="98"/>
      <c r="Q98" s="98"/>
      <c r="R98" s="98"/>
      <c r="S98" s="98"/>
      <c r="T98" s="98"/>
      <c r="U98" s="99"/>
    </row>
    <row r="99" spans="1:21" ht="97.5" customHeight="1" x14ac:dyDescent="0.2">
      <c r="B99" s="124" t="s">
        <v>71</v>
      </c>
      <c r="C99" s="70" t="s">
        <v>51</v>
      </c>
      <c r="D99" s="100" t="s">
        <v>186</v>
      </c>
      <c r="E99" s="101"/>
      <c r="F99" s="101"/>
      <c r="G99" s="101"/>
      <c r="H99" s="101"/>
      <c r="I99" s="101"/>
      <c r="J99" s="101"/>
      <c r="K99" s="101"/>
      <c r="L99" s="101"/>
      <c r="M99" s="101"/>
      <c r="N99" s="101"/>
      <c r="O99" s="101"/>
      <c r="P99" s="101"/>
      <c r="Q99" s="101"/>
      <c r="R99" s="101"/>
      <c r="S99" s="101"/>
      <c r="T99" s="101"/>
      <c r="U99" s="102"/>
    </row>
    <row r="100" spans="1:21" ht="97.5" customHeight="1" x14ac:dyDescent="0.2">
      <c r="B100" s="126"/>
      <c r="C100" s="73" t="s">
        <v>67</v>
      </c>
      <c r="D100" s="155" t="s">
        <v>199</v>
      </c>
      <c r="E100" s="156"/>
      <c r="F100" s="156"/>
      <c r="G100" s="156"/>
      <c r="H100" s="156"/>
      <c r="I100" s="156"/>
      <c r="J100" s="156"/>
      <c r="K100" s="156"/>
      <c r="L100" s="156"/>
      <c r="M100" s="156"/>
      <c r="N100" s="156"/>
      <c r="O100" s="156"/>
      <c r="P100" s="156"/>
      <c r="Q100" s="156"/>
      <c r="R100" s="156"/>
      <c r="S100" s="156"/>
      <c r="T100" s="156"/>
      <c r="U100" s="157"/>
    </row>
    <row r="101" spans="1:21" ht="97.5" customHeight="1" x14ac:dyDescent="0.2">
      <c r="B101" s="125"/>
      <c r="C101" s="72" t="s">
        <v>68</v>
      </c>
      <c r="D101" s="97" t="s">
        <v>187</v>
      </c>
      <c r="E101" s="98"/>
      <c r="F101" s="98"/>
      <c r="G101" s="98"/>
      <c r="H101" s="98"/>
      <c r="I101" s="98"/>
      <c r="J101" s="98"/>
      <c r="K101" s="98"/>
      <c r="L101" s="98"/>
      <c r="M101" s="98"/>
      <c r="N101" s="98"/>
      <c r="O101" s="98"/>
      <c r="P101" s="98"/>
      <c r="Q101" s="98"/>
      <c r="R101" s="98"/>
      <c r="S101" s="98"/>
      <c r="T101" s="98"/>
      <c r="U101" s="99"/>
    </row>
    <row r="102" spans="1:21" ht="6" customHeight="1" x14ac:dyDescent="0.2"/>
    <row r="103" spans="1:21" ht="18.75" customHeight="1" x14ac:dyDescent="0.2">
      <c r="A103" s="1" t="s">
        <v>102</v>
      </c>
    </row>
    <row r="104" spans="1:21" ht="81.75" customHeight="1" x14ac:dyDescent="0.2">
      <c r="B104" s="138" t="s">
        <v>162</v>
      </c>
      <c r="C104" s="139"/>
      <c r="D104" s="139"/>
      <c r="E104" s="139"/>
      <c r="F104" s="139"/>
      <c r="G104" s="139"/>
      <c r="H104" s="139"/>
      <c r="I104" s="139"/>
      <c r="J104" s="139"/>
      <c r="K104" s="139"/>
      <c r="L104" s="139"/>
      <c r="M104" s="139"/>
      <c r="N104" s="139"/>
      <c r="O104" s="139"/>
      <c r="P104" s="139"/>
      <c r="Q104" s="139"/>
      <c r="R104" s="139"/>
      <c r="S104" s="139"/>
      <c r="T104" s="139"/>
      <c r="U104" s="140"/>
    </row>
    <row r="107" spans="1:21"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7" xr:uid="{BD5F214B-FE0E-419E-B876-1C5E77AF3073}">
      <formula1>$AA$80:$AA$89</formula1>
    </dataValidation>
    <dataValidation type="list" allowBlank="1" showInputMessage="1" showErrorMessage="1" sqref="N22:U22" xr:uid="{9D54BA09-8428-452B-B20C-62AF93413908}">
      <formula1>$X$16:$X$18</formula1>
    </dataValidation>
    <dataValidation type="list" allowBlank="1" showInputMessage="1" showErrorMessage="1" sqref="G88:J88 R88:U88" xr:uid="{4B0C9C9B-C7AB-4D6C-825C-DED67FE4C3A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44F045E8-DE83-4014-869A-46233AC0B182}">
      <formula1>"学部・学科によって、修了要件は相違する,学部・学科によって、修了要件は相違しない"</formula1>
    </dataValidation>
    <dataValidation type="list" allowBlank="1" showInputMessage="1" showErrorMessage="1" sqref="U34 U45 E34:H34 E45:H45" xr:uid="{0538E837-D9BA-402B-99C1-EA5B14C9D8D1}">
      <formula1>"全学開講,一部開講"</formula1>
    </dataValidation>
    <dataValidation type="list" allowBlank="1" showInputMessage="1" showErrorMessage="1" sqref="H27:J33 S27:U33 H38:J44 S38:U44 H49:J55 S49:U55 H60:J66 S60:U66 G71:J77 R71:U77" xr:uid="{F743C7AB-B4C7-47D4-8D64-A8A0E767E7D4}">
      <formula1>"○"</formula1>
    </dataValidation>
  </dataValidations>
  <pageMargins left="0.7" right="0.7" top="0.75" bottom="0.75" header="0.3" footer="0.3"/>
  <pageSetup paperSize="9" scale="70" orientation="portrait" r:id="rId1"/>
  <rowBreaks count="2" manualBreakCount="2">
    <brk id="67" max="16383" man="1"/>
    <brk id="9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94" zoomScaleNormal="100" zoomScaleSheetLayoutView="148" workbookViewId="0">
      <selection activeCell="B1" sqref="B1"/>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91</v>
      </c>
    </row>
    <row r="2" spans="1:21" ht="18" customHeight="1" x14ac:dyDescent="0.2">
      <c r="A2" s="54"/>
      <c r="B2" s="54"/>
      <c r="C2" s="54"/>
      <c r="D2" s="54"/>
      <c r="E2" s="54"/>
      <c r="F2" s="54"/>
      <c r="G2" s="54"/>
      <c r="H2" s="54"/>
      <c r="I2" s="54"/>
      <c r="J2" s="54"/>
      <c r="K2" s="54"/>
      <c r="L2" s="54"/>
      <c r="M2" s="54"/>
      <c r="N2" s="54"/>
      <c r="O2" s="54"/>
      <c r="P2" s="54"/>
      <c r="Q2" s="162" t="str">
        <f>'様式１-1（芸術学部）プログラムを構成する授業科目'!C2</f>
        <v>京都美術工芸大学</v>
      </c>
      <c r="R2" s="162"/>
      <c r="S2" s="162"/>
    </row>
    <row r="3" spans="1:21" ht="18" customHeight="1" x14ac:dyDescent="0.2">
      <c r="A3" s="128" t="s">
        <v>142</v>
      </c>
      <c r="B3" s="128"/>
      <c r="C3" s="128"/>
      <c r="D3" s="128"/>
      <c r="E3" s="128"/>
      <c r="F3" s="128"/>
      <c r="G3" s="128"/>
      <c r="H3" s="128"/>
      <c r="I3" s="128"/>
      <c r="J3" s="128"/>
      <c r="K3" s="128"/>
      <c r="L3" s="128"/>
      <c r="M3" s="128"/>
      <c r="N3" s="128"/>
      <c r="O3" s="128"/>
      <c r="P3" s="128"/>
      <c r="Q3" s="128"/>
      <c r="R3" s="128"/>
      <c r="S3" s="128"/>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74</v>
      </c>
      <c r="B5" s="54"/>
      <c r="C5" s="163" t="s">
        <v>153</v>
      </c>
      <c r="D5" s="164"/>
      <c r="E5" s="58" t="s">
        <v>125</v>
      </c>
      <c r="F5" s="56"/>
      <c r="G5" s="56"/>
      <c r="H5" s="56"/>
      <c r="I5" s="56"/>
      <c r="J5" s="56"/>
      <c r="K5" s="56"/>
      <c r="L5" s="56"/>
      <c r="M5" s="56"/>
      <c r="N5" s="56"/>
      <c r="O5" s="56"/>
      <c r="P5" s="56"/>
      <c r="Q5" s="56"/>
      <c r="R5" s="55"/>
      <c r="S5" s="55"/>
    </row>
    <row r="6" spans="1:21" ht="7.2"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108</v>
      </c>
      <c r="B7" s="54"/>
      <c r="C7" s="77"/>
      <c r="D7" s="77"/>
      <c r="E7" s="56" t="s">
        <v>109</v>
      </c>
      <c r="F7" s="59">
        <v>511</v>
      </c>
      <c r="G7" s="58" t="s">
        <v>110</v>
      </c>
      <c r="H7" s="56" t="s">
        <v>111</v>
      </c>
      <c r="I7" s="59">
        <v>501</v>
      </c>
      <c r="J7" s="58" t="s">
        <v>110</v>
      </c>
      <c r="K7" s="57" t="s">
        <v>112</v>
      </c>
      <c r="L7" s="56" t="s">
        <v>113</v>
      </c>
      <c r="M7" s="59">
        <f>F7+I7</f>
        <v>1012</v>
      </c>
      <c r="N7" s="56" t="s">
        <v>1</v>
      </c>
      <c r="O7" s="58" t="s">
        <v>114</v>
      </c>
      <c r="P7" s="56"/>
      <c r="Q7" s="56"/>
      <c r="R7" s="55"/>
      <c r="S7" s="55"/>
    </row>
    <row r="8" spans="1:21" ht="17.399999999999999" customHeight="1" x14ac:dyDescent="0.2">
      <c r="A8" s="56"/>
      <c r="B8" s="78"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5" t="s">
        <v>42</v>
      </c>
      <c r="C11" s="175" t="s">
        <v>77</v>
      </c>
      <c r="D11" s="167" t="s">
        <v>44</v>
      </c>
      <c r="E11" s="169" t="s">
        <v>37</v>
      </c>
      <c r="F11" s="161" t="s">
        <v>126</v>
      </c>
      <c r="G11" s="161"/>
      <c r="H11" s="161" t="s">
        <v>105</v>
      </c>
      <c r="I11" s="161"/>
      <c r="J11" s="161" t="s">
        <v>76</v>
      </c>
      <c r="K11" s="161"/>
      <c r="L11" s="161" t="s">
        <v>45</v>
      </c>
      <c r="M11" s="161"/>
      <c r="N11" s="161" t="s">
        <v>46</v>
      </c>
      <c r="O11" s="161"/>
      <c r="P11" s="161" t="s">
        <v>127</v>
      </c>
      <c r="Q11" s="161"/>
      <c r="R11" s="171" t="s">
        <v>34</v>
      </c>
      <c r="S11" s="173" t="s">
        <v>31</v>
      </c>
      <c r="U11" s="2"/>
    </row>
    <row r="12" spans="1:21" ht="16.95" customHeight="1" x14ac:dyDescent="0.2">
      <c r="B12" s="166"/>
      <c r="C12" s="176"/>
      <c r="D12" s="168"/>
      <c r="E12" s="170"/>
      <c r="F12" s="79" t="s">
        <v>85</v>
      </c>
      <c r="G12" s="79" t="s">
        <v>28</v>
      </c>
      <c r="H12" s="79" t="s">
        <v>85</v>
      </c>
      <c r="I12" s="79" t="s">
        <v>28</v>
      </c>
      <c r="J12" s="79" t="s">
        <v>85</v>
      </c>
      <c r="K12" s="79" t="s">
        <v>28</v>
      </c>
      <c r="L12" s="79" t="s">
        <v>85</v>
      </c>
      <c r="M12" s="79" t="s">
        <v>28</v>
      </c>
      <c r="N12" s="79" t="s">
        <v>85</v>
      </c>
      <c r="O12" s="79" t="s">
        <v>28</v>
      </c>
      <c r="P12" s="79" t="s">
        <v>85</v>
      </c>
      <c r="Q12" s="80" t="s">
        <v>28</v>
      </c>
      <c r="R12" s="172"/>
      <c r="S12" s="174"/>
      <c r="U12" s="2"/>
    </row>
    <row r="13" spans="1:21" ht="18" customHeight="1" x14ac:dyDescent="0.2">
      <c r="A13" s="6"/>
      <c r="B13" s="48" t="s">
        <v>154</v>
      </c>
      <c r="C13" s="36">
        <v>387</v>
      </c>
      <c r="D13" s="37">
        <v>100</v>
      </c>
      <c r="E13" s="38">
        <v>410</v>
      </c>
      <c r="F13" s="38">
        <v>100</v>
      </c>
      <c r="G13" s="38">
        <v>68</v>
      </c>
      <c r="H13" s="38"/>
      <c r="I13" s="38"/>
      <c r="J13" s="38"/>
      <c r="K13" s="38"/>
      <c r="L13" s="38"/>
      <c r="M13" s="38"/>
      <c r="N13" s="38"/>
      <c r="O13" s="38"/>
      <c r="P13" s="38"/>
      <c r="Q13" s="49"/>
      <c r="R13" s="37">
        <f t="shared" ref="R13:R32" si="0">F13+H13+J13+L13+N13+P13</f>
        <v>100</v>
      </c>
      <c r="S13" s="50">
        <f t="shared" ref="S13:S33" si="1">R13/E13</f>
        <v>0.24390243902439024</v>
      </c>
    </row>
    <row r="14" spans="1:21" ht="18" customHeight="1" x14ac:dyDescent="0.2">
      <c r="A14" s="6"/>
      <c r="B14" s="11" t="s">
        <v>155</v>
      </c>
      <c r="C14" s="39">
        <v>625</v>
      </c>
      <c r="D14" s="40">
        <v>150</v>
      </c>
      <c r="E14" s="41">
        <v>610</v>
      </c>
      <c r="F14" s="42">
        <v>159</v>
      </c>
      <c r="G14" s="42">
        <v>133</v>
      </c>
      <c r="H14" s="42"/>
      <c r="I14" s="42"/>
      <c r="J14" s="42"/>
      <c r="K14" s="42"/>
      <c r="L14" s="42"/>
      <c r="M14" s="42"/>
      <c r="N14" s="42"/>
      <c r="O14" s="42"/>
      <c r="P14" s="42"/>
      <c r="Q14" s="39"/>
      <c r="R14" s="40">
        <f t="shared" si="0"/>
        <v>159</v>
      </c>
      <c r="S14" s="16">
        <f t="shared" si="1"/>
        <v>0.26065573770491801</v>
      </c>
    </row>
    <row r="15" spans="1:21" ht="18" customHeight="1" x14ac:dyDescent="0.2">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32</v>
      </c>
      <c r="C33" s="45">
        <f t="shared" ref="C33" si="2">SUM(C13:C32)</f>
        <v>1012</v>
      </c>
      <c r="D33" s="46">
        <f t="shared" ref="D33:R33" si="3">SUM(D13:D32)</f>
        <v>250</v>
      </c>
      <c r="E33" s="47">
        <f t="shared" si="3"/>
        <v>1020</v>
      </c>
      <c r="F33" s="47">
        <f t="shared" si="3"/>
        <v>259</v>
      </c>
      <c r="G33" s="47">
        <f t="shared" ref="G33:H33" si="4">SUM(G13:G32)</f>
        <v>201</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259</v>
      </c>
      <c r="S33" s="9">
        <f t="shared" si="1"/>
        <v>0.25392156862745097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9" zoomScale="150" zoomScaleNormal="100" zoomScaleSheetLayoutView="150" workbookViewId="0">
      <selection activeCell="B51" sqref="B51:I51"/>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58</v>
      </c>
      <c r="I1" s="18" t="s">
        <v>90</v>
      </c>
    </row>
    <row r="2" spans="1:9" ht="18.75" customHeight="1" x14ac:dyDescent="0.2">
      <c r="G2" s="18" t="s">
        <v>92</v>
      </c>
      <c r="H2" s="91" t="str">
        <f>'様式１-1（芸術学部）プログラムを構成する授業科目'!C2</f>
        <v>京都美術工芸大学</v>
      </c>
      <c r="I2" s="93"/>
    </row>
    <row r="3" spans="1:9" ht="18.75" customHeight="1" x14ac:dyDescent="0.2">
      <c r="G3" s="18"/>
      <c r="H3" s="10"/>
      <c r="I3" s="10"/>
    </row>
    <row r="4" spans="1:9" ht="18.600000000000001" customHeight="1" x14ac:dyDescent="0.2">
      <c r="A4" s="128" t="s">
        <v>35</v>
      </c>
      <c r="B4" s="128"/>
      <c r="C4" s="128"/>
      <c r="D4" s="128"/>
      <c r="E4" s="128"/>
      <c r="F4" s="128"/>
      <c r="G4" s="128"/>
      <c r="H4" s="128"/>
      <c r="I4" s="128"/>
    </row>
    <row r="5" spans="1:9" ht="13.2" customHeight="1" x14ac:dyDescent="0.2">
      <c r="B5" s="3"/>
      <c r="C5" s="3"/>
      <c r="D5" s="3"/>
      <c r="E5" s="3"/>
      <c r="F5" s="3"/>
      <c r="G5" s="3"/>
      <c r="H5" s="3"/>
      <c r="I5" s="3"/>
    </row>
    <row r="6" spans="1:9" ht="18" customHeight="1" x14ac:dyDescent="0.2">
      <c r="A6" s="1" t="s">
        <v>0</v>
      </c>
      <c r="B6" s="10" t="s">
        <v>80</v>
      </c>
      <c r="C6" s="233" t="s">
        <v>81</v>
      </c>
      <c r="D6" s="233"/>
      <c r="E6" s="17">
        <v>48</v>
      </c>
      <c r="F6" s="3" t="s">
        <v>1</v>
      </c>
      <c r="G6" s="3" t="s">
        <v>2</v>
      </c>
      <c r="H6" s="17">
        <v>58</v>
      </c>
      <c r="I6" s="10" t="s">
        <v>1</v>
      </c>
    </row>
    <row r="7" spans="1:9" ht="12" customHeight="1" x14ac:dyDescent="0.2">
      <c r="C7" s="2"/>
      <c r="D7" s="2"/>
      <c r="E7" s="2"/>
      <c r="F7" s="2"/>
      <c r="G7" s="2"/>
      <c r="H7" s="2"/>
      <c r="I7" s="21"/>
    </row>
    <row r="8" spans="1:9" ht="18" customHeight="1" x14ac:dyDescent="0.2">
      <c r="A8" s="1" t="s">
        <v>3</v>
      </c>
      <c r="B8" s="10" t="s">
        <v>82</v>
      </c>
      <c r="E8" s="3"/>
      <c r="F8" s="3"/>
      <c r="G8" s="3"/>
      <c r="H8" s="17">
        <v>7</v>
      </c>
      <c r="I8" s="10" t="s">
        <v>1</v>
      </c>
    </row>
    <row r="9" spans="1:9" ht="9" customHeight="1" x14ac:dyDescent="0.2">
      <c r="B9" s="3"/>
      <c r="C9" s="3"/>
      <c r="D9" s="3"/>
      <c r="E9" s="3"/>
      <c r="F9" s="3"/>
      <c r="G9" s="3"/>
      <c r="H9" s="3"/>
      <c r="I9" s="3"/>
    </row>
    <row r="10" spans="1:9" ht="18" customHeight="1" x14ac:dyDescent="0.2">
      <c r="A10" s="1" t="s">
        <v>4</v>
      </c>
      <c r="B10" s="10" t="s">
        <v>83</v>
      </c>
      <c r="C10" s="3"/>
      <c r="D10" s="3"/>
      <c r="E10" s="3"/>
      <c r="F10" s="3"/>
      <c r="G10" s="3"/>
      <c r="H10" s="3"/>
      <c r="I10" s="3"/>
    </row>
    <row r="11" spans="1:9" ht="18" customHeight="1" x14ac:dyDescent="0.2">
      <c r="B11" s="18" t="s">
        <v>40</v>
      </c>
      <c r="C11" s="228" t="s">
        <v>156</v>
      </c>
      <c r="D11" s="231"/>
      <c r="E11" s="232"/>
      <c r="F11" s="21"/>
      <c r="G11" s="18" t="s">
        <v>10</v>
      </c>
      <c r="H11" s="228" t="s">
        <v>157</v>
      </c>
      <c r="I11" s="232"/>
    </row>
    <row r="12" spans="1:9" ht="10.199999999999999" customHeight="1" x14ac:dyDescent="0.2">
      <c r="B12" s="18"/>
      <c r="C12" s="10"/>
      <c r="D12" s="21"/>
      <c r="E12" s="21"/>
      <c r="F12" s="21"/>
      <c r="G12" s="18"/>
      <c r="H12" s="10"/>
      <c r="I12" s="21"/>
    </row>
    <row r="13" spans="1:9" ht="18" customHeight="1" x14ac:dyDescent="0.2">
      <c r="A13" s="1" t="s">
        <v>7</v>
      </c>
      <c r="B13" s="10" t="s">
        <v>78</v>
      </c>
      <c r="C13" s="3"/>
      <c r="D13" s="3"/>
      <c r="E13" s="3"/>
      <c r="F13" s="3"/>
      <c r="G13" s="3"/>
      <c r="H13" s="3"/>
      <c r="I13" s="3"/>
    </row>
    <row r="14" spans="1:9" ht="18" customHeight="1" x14ac:dyDescent="0.2">
      <c r="B14" s="228" t="s">
        <v>158</v>
      </c>
      <c r="C14" s="229"/>
      <c r="D14" s="229"/>
      <c r="E14" s="229"/>
      <c r="F14" s="229"/>
      <c r="G14" s="229"/>
      <c r="H14" s="229"/>
      <c r="I14" s="230"/>
    </row>
    <row r="15" spans="1:9" ht="9" customHeight="1" x14ac:dyDescent="0.2">
      <c r="B15" s="3"/>
      <c r="C15" s="3"/>
      <c r="D15" s="3"/>
      <c r="E15" s="3"/>
      <c r="F15" s="3"/>
      <c r="G15" s="3"/>
      <c r="H15" s="3"/>
      <c r="I15" s="3"/>
    </row>
    <row r="16" spans="1:9" ht="18" customHeight="1" x14ac:dyDescent="0.2">
      <c r="B16" s="18" t="s">
        <v>40</v>
      </c>
      <c r="C16" s="228" t="s">
        <v>159</v>
      </c>
      <c r="D16" s="231"/>
      <c r="E16" s="232"/>
      <c r="F16" s="21"/>
      <c r="G16" s="18" t="s">
        <v>10</v>
      </c>
      <c r="H16" s="228" t="s">
        <v>160</v>
      </c>
      <c r="I16" s="232"/>
    </row>
    <row r="17" spans="1:9" ht="18" customHeight="1" x14ac:dyDescent="0.2">
      <c r="B17" s="3"/>
      <c r="C17" s="3"/>
      <c r="D17" s="3"/>
      <c r="E17" s="3"/>
      <c r="F17" s="3"/>
      <c r="G17" s="3"/>
      <c r="H17" s="3"/>
      <c r="I17" s="3"/>
    </row>
    <row r="18" spans="1:9" ht="18.75" customHeight="1" x14ac:dyDescent="0.2">
      <c r="A18" s="1" t="s">
        <v>5</v>
      </c>
      <c r="B18" s="1" t="s">
        <v>39</v>
      </c>
      <c r="I18" s="3"/>
    </row>
    <row r="19" spans="1:9" ht="32.4" customHeight="1" x14ac:dyDescent="0.2">
      <c r="A19" s="1"/>
      <c r="B19" s="205" t="s">
        <v>201</v>
      </c>
      <c r="C19" s="206"/>
      <c r="D19" s="206"/>
      <c r="E19" s="206"/>
      <c r="F19" s="206"/>
      <c r="G19" s="206"/>
      <c r="H19" s="206"/>
      <c r="I19" s="207"/>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208" t="s">
        <v>161</v>
      </c>
      <c r="C22" s="209"/>
      <c r="D22" s="209"/>
      <c r="E22" s="209"/>
      <c r="F22" s="209"/>
      <c r="G22" s="209"/>
      <c r="H22" s="209"/>
      <c r="I22" s="210"/>
    </row>
    <row r="23" spans="1:9" ht="18.75" customHeight="1" x14ac:dyDescent="0.2">
      <c r="A23" s="14"/>
      <c r="B23" s="211"/>
      <c r="C23" s="212"/>
      <c r="D23" s="212"/>
      <c r="E23" s="212"/>
      <c r="F23" s="212"/>
      <c r="G23" s="212"/>
      <c r="H23" s="212"/>
      <c r="I23" s="213"/>
    </row>
    <row r="24" spans="1:9" ht="18.75" customHeight="1" x14ac:dyDescent="0.2">
      <c r="A24" s="14"/>
      <c r="B24" s="211"/>
      <c r="C24" s="212"/>
      <c r="D24" s="212"/>
      <c r="E24" s="212"/>
      <c r="F24" s="212"/>
      <c r="G24" s="212"/>
      <c r="H24" s="212"/>
      <c r="I24" s="213"/>
    </row>
    <row r="25" spans="1:9" ht="18.75" customHeight="1" x14ac:dyDescent="0.2">
      <c r="A25" s="14"/>
      <c r="B25" s="211"/>
      <c r="C25" s="212"/>
      <c r="D25" s="212"/>
      <c r="E25" s="212"/>
      <c r="F25" s="212"/>
      <c r="G25" s="212"/>
      <c r="H25" s="212"/>
      <c r="I25" s="213"/>
    </row>
    <row r="26" spans="1:9" ht="18.75" customHeight="1" x14ac:dyDescent="0.2">
      <c r="A26" s="14"/>
      <c r="B26" s="211"/>
      <c r="C26" s="212"/>
      <c r="D26" s="212"/>
      <c r="E26" s="212"/>
      <c r="F26" s="212"/>
      <c r="G26" s="212"/>
      <c r="H26" s="212"/>
      <c r="I26" s="213"/>
    </row>
    <row r="27" spans="1:9" ht="18.75" customHeight="1" x14ac:dyDescent="0.2">
      <c r="A27" s="14"/>
      <c r="B27" s="211"/>
      <c r="C27" s="212"/>
      <c r="D27" s="212"/>
      <c r="E27" s="212"/>
      <c r="F27" s="212"/>
      <c r="G27" s="212"/>
      <c r="H27" s="212"/>
      <c r="I27" s="213"/>
    </row>
    <row r="28" spans="1:9" ht="18.75" customHeight="1" x14ac:dyDescent="0.2">
      <c r="A28" s="14"/>
      <c r="B28" s="211"/>
      <c r="C28" s="212"/>
      <c r="D28" s="212"/>
      <c r="E28" s="212"/>
      <c r="F28" s="212"/>
      <c r="G28" s="212"/>
      <c r="H28" s="212"/>
      <c r="I28" s="213"/>
    </row>
    <row r="29" spans="1:9" ht="18.75" customHeight="1" x14ac:dyDescent="0.2">
      <c r="A29" s="14"/>
      <c r="B29" s="211"/>
      <c r="C29" s="212"/>
      <c r="D29" s="212"/>
      <c r="E29" s="212"/>
      <c r="F29" s="212"/>
      <c r="G29" s="212"/>
      <c r="H29" s="212"/>
      <c r="I29" s="213"/>
    </row>
    <row r="30" spans="1:9" ht="18.75" customHeight="1" x14ac:dyDescent="0.2">
      <c r="A30" s="14"/>
      <c r="B30" s="214"/>
      <c r="C30" s="215"/>
      <c r="D30" s="215"/>
      <c r="E30" s="215"/>
      <c r="F30" s="215"/>
      <c r="G30" s="215"/>
      <c r="H30" s="215"/>
      <c r="I30" s="213"/>
    </row>
    <row r="31" spans="1:9" ht="18.75" customHeight="1" x14ac:dyDescent="0.2">
      <c r="A31" s="14"/>
      <c r="B31" s="214"/>
      <c r="C31" s="215"/>
      <c r="D31" s="215"/>
      <c r="E31" s="215"/>
      <c r="F31" s="215"/>
      <c r="G31" s="215"/>
      <c r="H31" s="215"/>
      <c r="I31" s="213"/>
    </row>
    <row r="32" spans="1:9" ht="18.75" customHeight="1" x14ac:dyDescent="0.2">
      <c r="A32" s="14"/>
      <c r="B32" s="216"/>
      <c r="C32" s="217"/>
      <c r="D32" s="217"/>
      <c r="E32" s="217"/>
      <c r="F32" s="217"/>
      <c r="G32" s="217"/>
      <c r="H32" s="217"/>
      <c r="I32" s="218"/>
    </row>
    <row r="33" spans="1:11" ht="7.5" customHeight="1" x14ac:dyDescent="0.2">
      <c r="A33" s="14"/>
      <c r="B33" s="14"/>
      <c r="C33" s="14"/>
      <c r="D33" s="14"/>
      <c r="E33" s="14"/>
      <c r="F33" s="14"/>
      <c r="G33" s="14"/>
      <c r="H33" s="14"/>
      <c r="I33" s="14"/>
    </row>
    <row r="34" spans="1:11" ht="18.75" customHeight="1" x14ac:dyDescent="0.2">
      <c r="A34" s="15" t="s">
        <v>6</v>
      </c>
      <c r="B34" s="15" t="s">
        <v>9</v>
      </c>
      <c r="C34" s="10"/>
      <c r="D34" s="15"/>
      <c r="E34" s="15"/>
      <c r="F34" s="15"/>
      <c r="G34" s="15"/>
      <c r="H34" s="15"/>
      <c r="I34" s="15"/>
    </row>
    <row r="35" spans="1:11" ht="18.75" customHeight="1" x14ac:dyDescent="0.2">
      <c r="A35" s="14"/>
      <c r="B35" s="219" t="s">
        <v>164</v>
      </c>
      <c r="C35" s="220"/>
      <c r="D35" s="220"/>
      <c r="E35" s="220"/>
      <c r="F35" s="220"/>
      <c r="G35" s="220"/>
      <c r="H35" s="220"/>
      <c r="I35" s="221"/>
    </row>
    <row r="36" spans="1:11" ht="18.75" customHeight="1" x14ac:dyDescent="0.2">
      <c r="A36" s="14"/>
      <c r="B36" s="222"/>
      <c r="C36" s="223"/>
      <c r="D36" s="223"/>
      <c r="E36" s="223"/>
      <c r="F36" s="223"/>
      <c r="G36" s="223"/>
      <c r="H36" s="223"/>
      <c r="I36" s="224"/>
    </row>
    <row r="37" spans="1:11" ht="18.75" customHeight="1" x14ac:dyDescent="0.2">
      <c r="A37" s="14"/>
      <c r="B37" s="222"/>
      <c r="C37" s="223"/>
      <c r="D37" s="223"/>
      <c r="E37" s="223"/>
      <c r="F37" s="223"/>
      <c r="G37" s="223"/>
      <c r="H37" s="223"/>
      <c r="I37" s="224"/>
    </row>
    <row r="38" spans="1:11" ht="18.75" customHeight="1" x14ac:dyDescent="0.2">
      <c r="A38" s="14"/>
      <c r="B38" s="222"/>
      <c r="C38" s="223"/>
      <c r="D38" s="223"/>
      <c r="E38" s="223"/>
      <c r="F38" s="223"/>
      <c r="G38" s="223"/>
      <c r="H38" s="223"/>
      <c r="I38" s="224"/>
    </row>
    <row r="39" spans="1:11" ht="18.75" customHeight="1" x14ac:dyDescent="0.2">
      <c r="A39" s="14"/>
      <c r="B39" s="222"/>
      <c r="C39" s="223"/>
      <c r="D39" s="223"/>
      <c r="E39" s="223"/>
      <c r="F39" s="223"/>
      <c r="G39" s="223"/>
      <c r="H39" s="223"/>
      <c r="I39" s="224"/>
    </row>
    <row r="40" spans="1:11" ht="18.75" customHeight="1" x14ac:dyDescent="0.2">
      <c r="A40" s="14"/>
      <c r="B40" s="222"/>
      <c r="C40" s="223"/>
      <c r="D40" s="223"/>
      <c r="E40" s="223"/>
      <c r="F40" s="223"/>
      <c r="G40" s="223"/>
      <c r="H40" s="223"/>
      <c r="I40" s="224"/>
    </row>
    <row r="41" spans="1:11" ht="18.75" customHeight="1" x14ac:dyDescent="0.2">
      <c r="A41" s="14"/>
      <c r="B41" s="222"/>
      <c r="C41" s="223"/>
      <c r="D41" s="223"/>
      <c r="E41" s="223"/>
      <c r="F41" s="223"/>
      <c r="G41" s="223"/>
      <c r="H41" s="223"/>
      <c r="I41" s="224"/>
    </row>
    <row r="42" spans="1:11" ht="18.75" customHeight="1" x14ac:dyDescent="0.2">
      <c r="A42" s="14"/>
      <c r="B42" s="222"/>
      <c r="C42" s="223"/>
      <c r="D42" s="223"/>
      <c r="E42" s="223"/>
      <c r="F42" s="223"/>
      <c r="G42" s="223"/>
      <c r="H42" s="223"/>
      <c r="I42" s="224"/>
    </row>
    <row r="43" spans="1:11" ht="18.75" customHeight="1" x14ac:dyDescent="0.2">
      <c r="A43" s="14"/>
      <c r="B43" s="222"/>
      <c r="C43" s="223"/>
      <c r="D43" s="223"/>
      <c r="E43" s="223"/>
      <c r="F43" s="223"/>
      <c r="G43" s="223"/>
      <c r="H43" s="223"/>
      <c r="I43" s="224"/>
    </row>
    <row r="44" spans="1:11" ht="18.75" customHeight="1" x14ac:dyDescent="0.2">
      <c r="A44" s="14"/>
      <c r="B44" s="222"/>
      <c r="C44" s="223"/>
      <c r="D44" s="223"/>
      <c r="E44" s="223"/>
      <c r="F44" s="223"/>
      <c r="G44" s="223"/>
      <c r="H44" s="223"/>
      <c r="I44" s="224"/>
    </row>
    <row r="45" spans="1:11" ht="18.75" customHeight="1" x14ac:dyDescent="0.2">
      <c r="A45" s="14"/>
      <c r="B45" s="222"/>
      <c r="C45" s="223"/>
      <c r="D45" s="223"/>
      <c r="E45" s="223"/>
      <c r="F45" s="223"/>
      <c r="G45" s="223"/>
      <c r="H45" s="223"/>
      <c r="I45" s="224"/>
    </row>
    <row r="46" spans="1:11" ht="18.75" customHeight="1" x14ac:dyDescent="0.2">
      <c r="A46" s="14"/>
      <c r="B46" s="225"/>
      <c r="C46" s="226"/>
      <c r="D46" s="226"/>
      <c r="E46" s="226"/>
      <c r="F46" s="226"/>
      <c r="G46" s="226"/>
      <c r="H46" s="226"/>
      <c r="I46" s="227"/>
    </row>
    <row r="47" spans="1:11" ht="7.5" customHeight="1" x14ac:dyDescent="0.2">
      <c r="A47" s="4"/>
      <c r="B47" s="4"/>
      <c r="C47" s="4"/>
      <c r="D47" s="4"/>
      <c r="E47" s="4"/>
      <c r="F47" s="4"/>
      <c r="G47" s="4"/>
      <c r="H47" s="4"/>
      <c r="I47" s="4"/>
    </row>
    <row r="48" spans="1:11" ht="18.75" customHeight="1" x14ac:dyDescent="0.2">
      <c r="A48" s="1" t="s">
        <v>30</v>
      </c>
      <c r="B48" s="1" t="s">
        <v>104</v>
      </c>
      <c r="K48" s="84"/>
    </row>
    <row r="49" spans="1:15" s="3" customFormat="1" ht="18.75" customHeight="1" x14ac:dyDescent="0.2">
      <c r="B49" s="81" t="s">
        <v>129</v>
      </c>
      <c r="C49" s="194">
        <f>'様式２ 履修者等数の実績'!S33</f>
        <v>0.25392156862745097</v>
      </c>
      <c r="D49" s="194"/>
      <c r="E49" s="81" t="s">
        <v>59</v>
      </c>
      <c r="F49" s="194">
        <v>0.5</v>
      </c>
      <c r="G49" s="194"/>
      <c r="H49" s="81" t="s">
        <v>79</v>
      </c>
      <c r="I49" s="22">
        <v>0.75</v>
      </c>
      <c r="J49" s="1"/>
      <c r="M49" s="1"/>
      <c r="N49" s="23"/>
    </row>
    <row r="50" spans="1:15" s="3" customFormat="1" ht="18.75" customHeight="1" x14ac:dyDescent="0.2">
      <c r="B50" s="82" t="s">
        <v>115</v>
      </c>
      <c r="C50" s="177">
        <v>1</v>
      </c>
      <c r="D50" s="177"/>
      <c r="E50" s="82" t="s">
        <v>130</v>
      </c>
      <c r="F50" s="177">
        <v>1</v>
      </c>
      <c r="G50" s="177"/>
      <c r="H50" s="82" t="s">
        <v>60</v>
      </c>
      <c r="I50" s="24">
        <f>'様式２ 履修者等数の実績'!E33</f>
        <v>1020</v>
      </c>
      <c r="J50" s="1"/>
      <c r="M50" s="1"/>
      <c r="N50" s="23"/>
    </row>
    <row r="51" spans="1:15" ht="18.75" customHeight="1" x14ac:dyDescent="0.2">
      <c r="A51" s="1"/>
      <c r="B51" s="235" t="s">
        <v>61</v>
      </c>
      <c r="C51" s="236"/>
      <c r="D51" s="236"/>
      <c r="E51" s="236"/>
      <c r="F51" s="236"/>
      <c r="G51" s="236"/>
      <c r="H51" s="236"/>
      <c r="I51" s="237"/>
      <c r="N51" s="23"/>
      <c r="O51" s="3"/>
    </row>
    <row r="52" spans="1:15" ht="18.75" customHeight="1" x14ac:dyDescent="0.2">
      <c r="A52" s="1"/>
      <c r="B52" s="195" t="s">
        <v>165</v>
      </c>
      <c r="C52" s="196"/>
      <c r="D52" s="196"/>
      <c r="E52" s="196"/>
      <c r="F52" s="196"/>
      <c r="G52" s="196"/>
      <c r="H52" s="196"/>
      <c r="I52" s="197"/>
      <c r="N52" s="23"/>
      <c r="O52" s="3"/>
    </row>
    <row r="53" spans="1:15" ht="18.75" customHeight="1" x14ac:dyDescent="0.2">
      <c r="A53" s="1"/>
      <c r="B53" s="198"/>
      <c r="C53" s="199"/>
      <c r="D53" s="199"/>
      <c r="E53" s="199"/>
      <c r="F53" s="199"/>
      <c r="G53" s="199"/>
      <c r="H53" s="199"/>
      <c r="I53" s="200"/>
      <c r="N53" s="23"/>
      <c r="O53" s="3"/>
    </row>
    <row r="54" spans="1:15" ht="18.75" customHeight="1" x14ac:dyDescent="0.2">
      <c r="A54" s="1"/>
      <c r="B54" s="198"/>
      <c r="C54" s="199"/>
      <c r="D54" s="199"/>
      <c r="E54" s="199"/>
      <c r="F54" s="199"/>
      <c r="G54" s="199"/>
      <c r="H54" s="199"/>
      <c r="I54" s="200"/>
    </row>
    <row r="55" spans="1:15" ht="18.75" customHeight="1" x14ac:dyDescent="0.2">
      <c r="A55" s="1"/>
      <c r="B55" s="198"/>
      <c r="C55" s="199"/>
      <c r="D55" s="199"/>
      <c r="E55" s="199"/>
      <c r="F55" s="199"/>
      <c r="G55" s="199"/>
      <c r="H55" s="199"/>
      <c r="I55" s="200"/>
    </row>
    <row r="56" spans="1:15" ht="18.75" customHeight="1" x14ac:dyDescent="0.2">
      <c r="A56" s="1"/>
      <c r="B56" s="198"/>
      <c r="C56" s="199"/>
      <c r="D56" s="199"/>
      <c r="E56" s="199"/>
      <c r="F56" s="199"/>
      <c r="G56" s="199"/>
      <c r="H56" s="199"/>
      <c r="I56" s="200"/>
    </row>
    <row r="57" spans="1:15" ht="18.75" customHeight="1" x14ac:dyDescent="0.2">
      <c r="A57" s="1"/>
      <c r="B57" s="198"/>
      <c r="C57" s="199"/>
      <c r="D57" s="199"/>
      <c r="E57" s="199"/>
      <c r="F57" s="199"/>
      <c r="G57" s="199"/>
      <c r="H57" s="199"/>
      <c r="I57" s="200"/>
    </row>
    <row r="58" spans="1:15" ht="18.75" customHeight="1" x14ac:dyDescent="0.2">
      <c r="A58" s="1"/>
      <c r="B58" s="198"/>
      <c r="C58" s="199"/>
      <c r="D58" s="199"/>
      <c r="E58" s="199"/>
      <c r="F58" s="199"/>
      <c r="G58" s="199"/>
      <c r="H58" s="199"/>
      <c r="I58" s="200"/>
    </row>
    <row r="59" spans="1:15" ht="18.75" customHeight="1" x14ac:dyDescent="0.2">
      <c r="A59" s="1"/>
      <c r="B59" s="198"/>
      <c r="C59" s="199"/>
      <c r="D59" s="199"/>
      <c r="E59" s="199"/>
      <c r="F59" s="199"/>
      <c r="G59" s="199"/>
      <c r="H59" s="199"/>
      <c r="I59" s="200"/>
    </row>
    <row r="60" spans="1:15" ht="18.75" customHeight="1" x14ac:dyDescent="0.2">
      <c r="A60" s="1"/>
      <c r="B60" s="198"/>
      <c r="C60" s="199"/>
      <c r="D60" s="199"/>
      <c r="E60" s="199"/>
      <c r="F60" s="199"/>
      <c r="G60" s="199"/>
      <c r="H60" s="199"/>
      <c r="I60" s="200"/>
    </row>
    <row r="61" spans="1:15" ht="18.75" customHeight="1" x14ac:dyDescent="0.2">
      <c r="A61" s="1"/>
      <c r="B61" s="198"/>
      <c r="C61" s="199"/>
      <c r="D61" s="199"/>
      <c r="E61" s="199"/>
      <c r="F61" s="199"/>
      <c r="G61" s="199"/>
      <c r="H61" s="199"/>
      <c r="I61" s="200"/>
    </row>
    <row r="62" spans="1:15" ht="18.75" customHeight="1" x14ac:dyDescent="0.2">
      <c r="A62" s="1"/>
      <c r="B62" s="198"/>
      <c r="C62" s="199"/>
      <c r="D62" s="199"/>
      <c r="E62" s="199"/>
      <c r="F62" s="199"/>
      <c r="G62" s="199"/>
      <c r="H62" s="199"/>
      <c r="I62" s="200"/>
    </row>
    <row r="63" spans="1:15" ht="18.75" customHeight="1" x14ac:dyDescent="0.2">
      <c r="A63" s="1"/>
      <c r="B63" s="201"/>
      <c r="C63" s="202"/>
      <c r="D63" s="202"/>
      <c r="E63" s="202"/>
      <c r="F63" s="202"/>
      <c r="G63" s="202"/>
      <c r="H63" s="202"/>
      <c r="I63" s="203"/>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78" t="s">
        <v>166</v>
      </c>
      <c r="C66" s="179"/>
      <c r="D66" s="179"/>
      <c r="E66" s="179"/>
      <c r="F66" s="179"/>
      <c r="G66" s="179"/>
      <c r="H66" s="179"/>
      <c r="I66" s="180"/>
    </row>
    <row r="67" spans="1:9" ht="18.75" customHeight="1" x14ac:dyDescent="0.2">
      <c r="A67" s="4"/>
      <c r="B67" s="181"/>
      <c r="C67" s="182"/>
      <c r="D67" s="182"/>
      <c r="E67" s="182"/>
      <c r="F67" s="182"/>
      <c r="G67" s="182"/>
      <c r="H67" s="182"/>
      <c r="I67" s="183"/>
    </row>
    <row r="68" spans="1:9" ht="18.75" customHeight="1" x14ac:dyDescent="0.2">
      <c r="A68" s="4"/>
      <c r="B68" s="181"/>
      <c r="C68" s="182"/>
      <c r="D68" s="182"/>
      <c r="E68" s="182"/>
      <c r="F68" s="182"/>
      <c r="G68" s="182"/>
      <c r="H68" s="182"/>
      <c r="I68" s="183"/>
    </row>
    <row r="69" spans="1:9" ht="18.75" customHeight="1" x14ac:dyDescent="0.2">
      <c r="A69" s="4"/>
      <c r="B69" s="181"/>
      <c r="C69" s="182"/>
      <c r="D69" s="182"/>
      <c r="E69" s="182"/>
      <c r="F69" s="182"/>
      <c r="G69" s="182"/>
      <c r="H69" s="182"/>
      <c r="I69" s="183"/>
    </row>
    <row r="70" spans="1:9" ht="18.75" customHeight="1" x14ac:dyDescent="0.2">
      <c r="A70" s="4"/>
      <c r="B70" s="181"/>
      <c r="C70" s="182"/>
      <c r="D70" s="182"/>
      <c r="E70" s="182"/>
      <c r="F70" s="182"/>
      <c r="G70" s="182"/>
      <c r="H70" s="182"/>
      <c r="I70" s="183"/>
    </row>
    <row r="71" spans="1:9" ht="18.75" customHeight="1" x14ac:dyDescent="0.2">
      <c r="A71" s="4"/>
      <c r="B71" s="181"/>
      <c r="C71" s="182"/>
      <c r="D71" s="182"/>
      <c r="E71" s="182"/>
      <c r="F71" s="182"/>
      <c r="G71" s="182"/>
      <c r="H71" s="182"/>
      <c r="I71" s="183"/>
    </row>
    <row r="72" spans="1:9" ht="18.75" customHeight="1" x14ac:dyDescent="0.2">
      <c r="A72" s="4"/>
      <c r="B72" s="181"/>
      <c r="C72" s="182"/>
      <c r="D72" s="182"/>
      <c r="E72" s="182"/>
      <c r="F72" s="182"/>
      <c r="G72" s="182"/>
      <c r="H72" s="182"/>
      <c r="I72" s="183"/>
    </row>
    <row r="73" spans="1:9" ht="18.75" customHeight="1" x14ac:dyDescent="0.2">
      <c r="A73" s="4"/>
      <c r="B73" s="181"/>
      <c r="C73" s="182"/>
      <c r="D73" s="182"/>
      <c r="E73" s="182"/>
      <c r="F73" s="182"/>
      <c r="G73" s="182"/>
      <c r="H73" s="182"/>
      <c r="I73" s="183"/>
    </row>
    <row r="74" spans="1:9" ht="18.75" customHeight="1" x14ac:dyDescent="0.2">
      <c r="A74" s="4"/>
      <c r="B74" s="181"/>
      <c r="C74" s="182"/>
      <c r="D74" s="182"/>
      <c r="E74" s="182"/>
      <c r="F74" s="182"/>
      <c r="G74" s="182"/>
      <c r="H74" s="182"/>
      <c r="I74" s="183"/>
    </row>
    <row r="75" spans="1:9" ht="18.75" customHeight="1" x14ac:dyDescent="0.2">
      <c r="A75" s="4"/>
      <c r="B75" s="181"/>
      <c r="C75" s="182"/>
      <c r="D75" s="182"/>
      <c r="E75" s="182"/>
      <c r="F75" s="182"/>
      <c r="G75" s="182"/>
      <c r="H75" s="182"/>
      <c r="I75" s="183"/>
    </row>
    <row r="76" spans="1:9" ht="18.75" customHeight="1" x14ac:dyDescent="0.2">
      <c r="A76" s="4"/>
      <c r="B76" s="181"/>
      <c r="C76" s="182"/>
      <c r="D76" s="182"/>
      <c r="E76" s="182"/>
      <c r="F76" s="182"/>
      <c r="G76" s="182"/>
      <c r="H76" s="182"/>
      <c r="I76" s="183"/>
    </row>
    <row r="77" spans="1:9" ht="18.75" customHeight="1" x14ac:dyDescent="0.2">
      <c r="A77" s="4"/>
      <c r="B77" s="184"/>
      <c r="C77" s="185"/>
      <c r="D77" s="185"/>
      <c r="E77" s="185"/>
      <c r="F77" s="185"/>
      <c r="G77" s="185"/>
      <c r="H77" s="185"/>
      <c r="I77" s="186"/>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178" t="s">
        <v>167</v>
      </c>
      <c r="C80" s="179"/>
      <c r="D80" s="179"/>
      <c r="E80" s="179"/>
      <c r="F80" s="179"/>
      <c r="G80" s="179"/>
      <c r="H80" s="179"/>
      <c r="I80" s="187"/>
    </row>
    <row r="81" spans="1:9" ht="18.75" customHeight="1" x14ac:dyDescent="0.2">
      <c r="A81" s="1"/>
      <c r="B81" s="188"/>
      <c r="C81" s="189"/>
      <c r="D81" s="189"/>
      <c r="E81" s="189"/>
      <c r="F81" s="189"/>
      <c r="G81" s="189"/>
      <c r="H81" s="189"/>
      <c r="I81" s="190"/>
    </row>
    <row r="82" spans="1:9" ht="18.75" customHeight="1" x14ac:dyDescent="0.2">
      <c r="A82" s="1"/>
      <c r="B82" s="188"/>
      <c r="C82" s="189"/>
      <c r="D82" s="189"/>
      <c r="E82" s="189"/>
      <c r="F82" s="189"/>
      <c r="G82" s="189"/>
      <c r="H82" s="189"/>
      <c r="I82" s="190"/>
    </row>
    <row r="83" spans="1:9" ht="18.75" customHeight="1" x14ac:dyDescent="0.2">
      <c r="A83" s="1"/>
      <c r="B83" s="188"/>
      <c r="C83" s="189"/>
      <c r="D83" s="189"/>
      <c r="E83" s="189"/>
      <c r="F83" s="189"/>
      <c r="G83" s="189"/>
      <c r="H83" s="189"/>
      <c r="I83" s="190"/>
    </row>
    <row r="84" spans="1:9" ht="18.75" customHeight="1" x14ac:dyDescent="0.2">
      <c r="A84" s="1"/>
      <c r="B84" s="188"/>
      <c r="C84" s="189"/>
      <c r="D84" s="189"/>
      <c r="E84" s="189"/>
      <c r="F84" s="189"/>
      <c r="G84" s="189"/>
      <c r="H84" s="189"/>
      <c r="I84" s="190"/>
    </row>
    <row r="85" spans="1:9" ht="18.75" customHeight="1" x14ac:dyDescent="0.2">
      <c r="A85" s="1"/>
      <c r="B85" s="188"/>
      <c r="C85" s="189"/>
      <c r="D85" s="189"/>
      <c r="E85" s="189"/>
      <c r="F85" s="189"/>
      <c r="G85" s="189"/>
      <c r="H85" s="189"/>
      <c r="I85" s="190"/>
    </row>
    <row r="86" spans="1:9" ht="18.75" customHeight="1" x14ac:dyDescent="0.2">
      <c r="A86" s="1"/>
      <c r="B86" s="188"/>
      <c r="C86" s="189"/>
      <c r="D86" s="189"/>
      <c r="E86" s="189"/>
      <c r="F86" s="189"/>
      <c r="G86" s="189"/>
      <c r="H86" s="189"/>
      <c r="I86" s="190"/>
    </row>
    <row r="87" spans="1:9" ht="18.75" customHeight="1" x14ac:dyDescent="0.2">
      <c r="A87" s="1"/>
      <c r="B87" s="188"/>
      <c r="C87" s="189"/>
      <c r="D87" s="189"/>
      <c r="E87" s="189"/>
      <c r="F87" s="189"/>
      <c r="G87" s="189"/>
      <c r="H87" s="189"/>
      <c r="I87" s="190"/>
    </row>
    <row r="88" spans="1:9" ht="18.75" customHeight="1" x14ac:dyDescent="0.2">
      <c r="A88" s="1"/>
      <c r="B88" s="188"/>
      <c r="C88" s="189"/>
      <c r="D88" s="189"/>
      <c r="E88" s="189"/>
      <c r="F88" s="189"/>
      <c r="G88" s="189"/>
      <c r="H88" s="189"/>
      <c r="I88" s="190"/>
    </row>
    <row r="89" spans="1:9" ht="18.75" customHeight="1" x14ac:dyDescent="0.2">
      <c r="A89" s="1"/>
      <c r="B89" s="188"/>
      <c r="C89" s="189"/>
      <c r="D89" s="189"/>
      <c r="E89" s="189"/>
      <c r="F89" s="189"/>
      <c r="G89" s="189"/>
      <c r="H89" s="189"/>
      <c r="I89" s="190"/>
    </row>
    <row r="90" spans="1:9" ht="18.75" customHeight="1" x14ac:dyDescent="0.2">
      <c r="A90" s="4"/>
      <c r="B90" s="188"/>
      <c r="C90" s="189"/>
      <c r="D90" s="189"/>
      <c r="E90" s="189"/>
      <c r="F90" s="189"/>
      <c r="G90" s="189"/>
      <c r="H90" s="189"/>
      <c r="I90" s="190"/>
    </row>
    <row r="91" spans="1:9" ht="18.75" customHeight="1" x14ac:dyDescent="0.2">
      <c r="A91" s="4"/>
      <c r="B91" s="191"/>
      <c r="C91" s="192"/>
      <c r="D91" s="192"/>
      <c r="E91" s="192"/>
      <c r="F91" s="192"/>
      <c r="G91" s="192"/>
      <c r="H91" s="192"/>
      <c r="I91" s="193"/>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208" t="s">
        <v>169</v>
      </c>
      <c r="C94" s="209"/>
      <c r="D94" s="209"/>
      <c r="E94" s="209"/>
      <c r="F94" s="209"/>
      <c r="G94" s="209"/>
      <c r="H94" s="209"/>
      <c r="I94" s="210"/>
    </row>
    <row r="95" spans="1:9" ht="18.75" customHeight="1" x14ac:dyDescent="0.2">
      <c r="A95" s="1"/>
      <c r="B95" s="214"/>
      <c r="C95" s="215"/>
      <c r="D95" s="215"/>
      <c r="E95" s="215"/>
      <c r="F95" s="215"/>
      <c r="G95" s="215"/>
      <c r="H95" s="215"/>
      <c r="I95" s="213"/>
    </row>
    <row r="96" spans="1:9" ht="18.75" customHeight="1" x14ac:dyDescent="0.2">
      <c r="A96" s="1"/>
      <c r="B96" s="214"/>
      <c r="C96" s="215"/>
      <c r="D96" s="215"/>
      <c r="E96" s="215"/>
      <c r="F96" s="215"/>
      <c r="G96" s="215"/>
      <c r="H96" s="215"/>
      <c r="I96" s="213"/>
    </row>
    <row r="97" spans="1:9" ht="18.75" customHeight="1" x14ac:dyDescent="0.2">
      <c r="A97" s="1"/>
      <c r="B97" s="214"/>
      <c r="C97" s="215"/>
      <c r="D97" s="215"/>
      <c r="E97" s="215"/>
      <c r="F97" s="215"/>
      <c r="G97" s="215"/>
      <c r="H97" s="215"/>
      <c r="I97" s="213"/>
    </row>
    <row r="98" spans="1:9" ht="18.75" customHeight="1" x14ac:dyDescent="0.2">
      <c r="A98" s="1"/>
      <c r="B98" s="214"/>
      <c r="C98" s="215"/>
      <c r="D98" s="215"/>
      <c r="E98" s="215"/>
      <c r="F98" s="215"/>
      <c r="G98" s="215"/>
      <c r="H98" s="215"/>
      <c r="I98" s="213"/>
    </row>
    <row r="99" spans="1:9" ht="18.75" customHeight="1" x14ac:dyDescent="0.2">
      <c r="A99" s="1"/>
      <c r="B99" s="214"/>
      <c r="C99" s="215"/>
      <c r="D99" s="215"/>
      <c r="E99" s="215"/>
      <c r="F99" s="215"/>
      <c r="G99" s="215"/>
      <c r="H99" s="215"/>
      <c r="I99" s="213"/>
    </row>
    <row r="100" spans="1:9" ht="18.75" customHeight="1" x14ac:dyDescent="0.2">
      <c r="A100" s="1"/>
      <c r="B100" s="214"/>
      <c r="C100" s="215"/>
      <c r="D100" s="215"/>
      <c r="E100" s="215"/>
      <c r="F100" s="215"/>
      <c r="G100" s="215"/>
      <c r="H100" s="215"/>
      <c r="I100" s="213"/>
    </row>
    <row r="101" spans="1:9" ht="18.75" customHeight="1" x14ac:dyDescent="0.2">
      <c r="A101" s="1"/>
      <c r="B101" s="214"/>
      <c r="C101" s="215"/>
      <c r="D101" s="215"/>
      <c r="E101" s="215"/>
      <c r="F101" s="215"/>
      <c r="G101" s="215"/>
      <c r="H101" s="215"/>
      <c r="I101" s="213"/>
    </row>
    <row r="102" spans="1:9" ht="18.75" customHeight="1" x14ac:dyDescent="0.2">
      <c r="A102" s="1"/>
      <c r="B102" s="214"/>
      <c r="C102" s="215"/>
      <c r="D102" s="215"/>
      <c r="E102" s="215"/>
      <c r="F102" s="215"/>
      <c r="G102" s="215"/>
      <c r="H102" s="215"/>
      <c r="I102" s="213"/>
    </row>
    <row r="103" spans="1:9" ht="18.75" customHeight="1" x14ac:dyDescent="0.2">
      <c r="A103" s="1"/>
      <c r="B103" s="214"/>
      <c r="C103" s="215"/>
      <c r="D103" s="215"/>
      <c r="E103" s="215"/>
      <c r="F103" s="215"/>
      <c r="G103" s="215"/>
      <c r="H103" s="215"/>
      <c r="I103" s="213"/>
    </row>
    <row r="104" spans="1:9" ht="18.75" customHeight="1" x14ac:dyDescent="0.2">
      <c r="A104" s="1"/>
      <c r="B104" s="214"/>
      <c r="C104" s="215"/>
      <c r="D104" s="215"/>
      <c r="E104" s="215"/>
      <c r="F104" s="215"/>
      <c r="G104" s="215"/>
      <c r="H104" s="215"/>
      <c r="I104" s="213"/>
    </row>
    <row r="105" spans="1:9" ht="18.75" customHeight="1" x14ac:dyDescent="0.2">
      <c r="A105" s="4"/>
      <c r="B105" s="216"/>
      <c r="C105" s="217"/>
      <c r="D105" s="217"/>
      <c r="E105" s="217"/>
      <c r="F105" s="217"/>
      <c r="G105" s="217"/>
      <c r="H105" s="217"/>
      <c r="I105" s="218"/>
    </row>
    <row r="106" spans="1:9" ht="7.5" customHeight="1" x14ac:dyDescent="0.2">
      <c r="A106" s="4"/>
      <c r="B106" s="4"/>
      <c r="C106" s="4"/>
      <c r="D106" s="4"/>
      <c r="E106" s="4"/>
      <c r="F106" s="4"/>
      <c r="G106" s="4"/>
      <c r="H106" s="4"/>
      <c r="I106" s="4"/>
    </row>
    <row r="107" spans="1:9" ht="18.75" customHeight="1" x14ac:dyDescent="0.2">
      <c r="A107" s="1" t="s">
        <v>29</v>
      </c>
      <c r="B107" s="234" t="s">
        <v>43</v>
      </c>
      <c r="C107" s="234"/>
      <c r="D107" s="234"/>
      <c r="E107" s="234"/>
      <c r="F107" s="234"/>
      <c r="G107" s="234"/>
      <c r="H107" s="234"/>
      <c r="I107" s="234"/>
    </row>
    <row r="108" spans="1:9" ht="18.75" customHeight="1" x14ac:dyDescent="0.2">
      <c r="A108" s="4"/>
      <c r="B108" s="208" t="s">
        <v>168</v>
      </c>
      <c r="C108" s="209"/>
      <c r="D108" s="209"/>
      <c r="E108" s="209"/>
      <c r="F108" s="209"/>
      <c r="G108" s="209"/>
      <c r="H108" s="209"/>
      <c r="I108" s="210"/>
    </row>
    <row r="109" spans="1:9" ht="18.75" customHeight="1" x14ac:dyDescent="0.2">
      <c r="A109" s="4"/>
      <c r="B109" s="214"/>
      <c r="C109" s="215"/>
      <c r="D109" s="215"/>
      <c r="E109" s="215"/>
      <c r="F109" s="215"/>
      <c r="G109" s="215"/>
      <c r="H109" s="215"/>
      <c r="I109" s="213"/>
    </row>
    <row r="110" spans="1:9" ht="18.75" customHeight="1" x14ac:dyDescent="0.2">
      <c r="A110" s="4"/>
      <c r="B110" s="214"/>
      <c r="C110" s="215"/>
      <c r="D110" s="215"/>
      <c r="E110" s="215"/>
      <c r="F110" s="215"/>
      <c r="G110" s="215"/>
      <c r="H110" s="215"/>
      <c r="I110" s="213"/>
    </row>
    <row r="111" spans="1:9" ht="18.75" customHeight="1" x14ac:dyDescent="0.2">
      <c r="A111" s="4"/>
      <c r="B111" s="214"/>
      <c r="C111" s="215"/>
      <c r="D111" s="215"/>
      <c r="E111" s="215"/>
      <c r="F111" s="215"/>
      <c r="G111" s="215"/>
      <c r="H111" s="215"/>
      <c r="I111" s="213"/>
    </row>
    <row r="112" spans="1:9" ht="18.75" customHeight="1" x14ac:dyDescent="0.2">
      <c r="A112" s="4"/>
      <c r="B112" s="214"/>
      <c r="C112" s="215"/>
      <c r="D112" s="215"/>
      <c r="E112" s="215"/>
      <c r="F112" s="215"/>
      <c r="G112" s="215"/>
      <c r="H112" s="215"/>
      <c r="I112" s="213"/>
    </row>
    <row r="113" spans="1:9" ht="18.75" customHeight="1" x14ac:dyDescent="0.2">
      <c r="A113" s="4"/>
      <c r="B113" s="214"/>
      <c r="C113" s="215"/>
      <c r="D113" s="215"/>
      <c r="E113" s="215"/>
      <c r="F113" s="215"/>
      <c r="G113" s="215"/>
      <c r="H113" s="215"/>
      <c r="I113" s="213"/>
    </row>
    <row r="114" spans="1:9" ht="18.75" customHeight="1" x14ac:dyDescent="0.2">
      <c r="A114" s="4"/>
      <c r="B114" s="214"/>
      <c r="C114" s="215"/>
      <c r="D114" s="215"/>
      <c r="E114" s="215"/>
      <c r="F114" s="215"/>
      <c r="G114" s="215"/>
      <c r="H114" s="215"/>
      <c r="I114" s="213"/>
    </row>
    <row r="115" spans="1:9" ht="18.75" customHeight="1" x14ac:dyDescent="0.2">
      <c r="A115" s="4"/>
      <c r="B115" s="214"/>
      <c r="C115" s="215"/>
      <c r="D115" s="215"/>
      <c r="E115" s="215"/>
      <c r="F115" s="215"/>
      <c r="G115" s="215"/>
      <c r="H115" s="215"/>
      <c r="I115" s="213"/>
    </row>
    <row r="116" spans="1:9" ht="18.75" customHeight="1" x14ac:dyDescent="0.2">
      <c r="A116" s="4"/>
      <c r="B116" s="214"/>
      <c r="C116" s="215"/>
      <c r="D116" s="215"/>
      <c r="E116" s="215"/>
      <c r="F116" s="215"/>
      <c r="G116" s="215"/>
      <c r="H116" s="215"/>
      <c r="I116" s="213"/>
    </row>
    <row r="117" spans="1:9" ht="18.75" customHeight="1" x14ac:dyDescent="0.2">
      <c r="A117" s="4"/>
      <c r="B117" s="214"/>
      <c r="C117" s="215"/>
      <c r="D117" s="215"/>
      <c r="E117" s="215"/>
      <c r="F117" s="215"/>
      <c r="G117" s="215"/>
      <c r="H117" s="215"/>
      <c r="I117" s="213"/>
    </row>
    <row r="118" spans="1:9" ht="18.75" customHeight="1" x14ac:dyDescent="0.2">
      <c r="A118" s="4"/>
      <c r="B118" s="214"/>
      <c r="C118" s="215"/>
      <c r="D118" s="215"/>
      <c r="E118" s="215"/>
      <c r="F118" s="215"/>
      <c r="G118" s="215"/>
      <c r="H118" s="215"/>
      <c r="I118" s="213"/>
    </row>
    <row r="119" spans="1:9" ht="18.75" customHeight="1" x14ac:dyDescent="0.2">
      <c r="A119" s="4"/>
      <c r="B119" s="216"/>
      <c r="C119" s="217"/>
      <c r="D119" s="217"/>
      <c r="E119" s="217"/>
      <c r="F119" s="217"/>
      <c r="G119" s="217"/>
      <c r="H119" s="217"/>
      <c r="I119" s="218"/>
    </row>
    <row r="120" spans="1:9" ht="7.5" customHeight="1" x14ac:dyDescent="0.2">
      <c r="A120" s="4"/>
      <c r="B120" s="25"/>
      <c r="C120" s="25"/>
      <c r="D120" s="25"/>
      <c r="E120" s="25"/>
      <c r="F120" s="25"/>
      <c r="G120" s="25"/>
      <c r="H120" s="25"/>
      <c r="I120" s="25"/>
    </row>
    <row r="121" spans="1:9" ht="18.75" customHeight="1" x14ac:dyDescent="0.2">
      <c r="A121" s="51"/>
      <c r="B121" s="204"/>
      <c r="C121" s="204"/>
      <c r="D121" s="204"/>
      <c r="E121" s="204"/>
      <c r="F121" s="204"/>
      <c r="G121" s="204"/>
      <c r="H121" s="204"/>
      <c r="I121" s="204"/>
    </row>
    <row r="122" spans="1:9" ht="18.75" customHeight="1" x14ac:dyDescent="0.2">
      <c r="A122" s="51"/>
      <c r="B122" s="204"/>
      <c r="C122" s="204"/>
      <c r="D122" s="204"/>
      <c r="E122" s="204"/>
      <c r="F122" s="204"/>
      <c r="G122" s="204"/>
      <c r="H122" s="204"/>
      <c r="I122" s="204"/>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3" zoomScaleNormal="100" zoomScaleSheetLayoutView="100" workbookViewId="0">
      <selection activeCell="N11" sqref="N1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62</v>
      </c>
      <c r="I1" s="18" t="s">
        <v>89</v>
      </c>
    </row>
    <row r="2" spans="1:9" ht="18.75" customHeight="1" x14ac:dyDescent="0.2">
      <c r="H2" s="18" t="s">
        <v>92</v>
      </c>
      <c r="I2" s="17" t="str">
        <f>'様式１-1（芸術学部）プログラムを構成する授業科目'!C2</f>
        <v>京都美術工芸大学</v>
      </c>
    </row>
    <row r="3" spans="1:9" ht="18.75" customHeight="1" x14ac:dyDescent="0.2">
      <c r="A3" s="128" t="s">
        <v>27</v>
      </c>
      <c r="B3" s="128"/>
      <c r="C3" s="128"/>
      <c r="D3" s="128"/>
      <c r="E3" s="128"/>
      <c r="F3" s="128"/>
      <c r="G3" s="128"/>
      <c r="H3" s="128"/>
      <c r="I3" s="128"/>
    </row>
    <row r="4" spans="1:9" ht="18.75" customHeight="1" x14ac:dyDescent="0.2">
      <c r="A4" s="5"/>
      <c r="B4" s="5"/>
      <c r="C4" s="5"/>
      <c r="D4" s="5"/>
      <c r="E4" s="5"/>
      <c r="F4" s="5"/>
      <c r="G4" s="5"/>
      <c r="H4" s="5"/>
      <c r="I4" s="5"/>
    </row>
    <row r="5" spans="1:9" ht="18.75" customHeight="1" x14ac:dyDescent="0.2">
      <c r="A5" s="1" t="s">
        <v>0</v>
      </c>
      <c r="B5" s="10" t="s">
        <v>84</v>
      </c>
      <c r="C5" s="5"/>
      <c r="D5" s="5"/>
      <c r="E5" s="5"/>
      <c r="F5" s="5"/>
      <c r="G5" s="5"/>
      <c r="H5" s="5"/>
      <c r="I5" s="5"/>
    </row>
    <row r="6" spans="1:9" ht="26.25" customHeight="1" x14ac:dyDescent="0.2">
      <c r="A6" s="5"/>
      <c r="B6" s="228" t="s">
        <v>203</v>
      </c>
      <c r="C6" s="260"/>
      <c r="D6" s="260"/>
      <c r="E6" s="260"/>
      <c r="F6" s="260"/>
      <c r="G6" s="260"/>
      <c r="H6" s="261"/>
      <c r="I6" s="3"/>
    </row>
    <row r="7" spans="1:9" ht="9" customHeight="1" x14ac:dyDescent="0.2">
      <c r="A7" s="5"/>
      <c r="B7" s="10"/>
      <c r="C7" s="10"/>
      <c r="D7" s="10"/>
      <c r="E7" s="10"/>
      <c r="F7" s="10"/>
      <c r="G7" s="10"/>
      <c r="H7" s="10"/>
      <c r="I7" s="3"/>
    </row>
    <row r="8" spans="1:9" ht="18.75" customHeight="1" x14ac:dyDescent="0.2">
      <c r="A8" s="5"/>
      <c r="B8" s="3"/>
      <c r="C8" s="3"/>
      <c r="D8" s="18" t="s">
        <v>40</v>
      </c>
      <c r="E8" s="19" t="s">
        <v>170</v>
      </c>
      <c r="F8" s="3"/>
      <c r="G8" s="18" t="s">
        <v>10</v>
      </c>
      <c r="H8" s="19" t="s">
        <v>171</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1" t="s">
        <v>23</v>
      </c>
      <c r="C11" s="92"/>
      <c r="D11" s="93"/>
      <c r="E11" s="92" t="s">
        <v>25</v>
      </c>
      <c r="F11" s="92"/>
      <c r="G11" s="92"/>
      <c r="H11" s="92"/>
      <c r="I11" s="93"/>
    </row>
    <row r="12" spans="1:9" ht="26.25" customHeight="1" x14ac:dyDescent="0.2">
      <c r="B12" s="26" t="s">
        <v>13</v>
      </c>
      <c r="C12" s="33"/>
      <c r="D12" s="27"/>
      <c r="E12" s="34"/>
      <c r="F12" s="34"/>
      <c r="G12" s="34"/>
      <c r="H12" s="34"/>
      <c r="I12" s="27"/>
    </row>
    <row r="13" spans="1:9" ht="210.75" customHeight="1" x14ac:dyDescent="0.2">
      <c r="B13" s="28"/>
      <c r="C13" s="243" t="s">
        <v>14</v>
      </c>
      <c r="D13" s="244"/>
      <c r="E13" s="254" t="s">
        <v>174</v>
      </c>
      <c r="F13" s="255"/>
      <c r="G13" s="255"/>
      <c r="H13" s="255"/>
      <c r="I13" s="256"/>
    </row>
    <row r="14" spans="1:9" ht="210.75" customHeight="1" x14ac:dyDescent="0.2">
      <c r="B14" s="28"/>
      <c r="C14" s="258" t="s">
        <v>15</v>
      </c>
      <c r="D14" s="259"/>
      <c r="E14" s="254" t="s">
        <v>173</v>
      </c>
      <c r="F14" s="255"/>
      <c r="G14" s="255"/>
      <c r="H14" s="255"/>
      <c r="I14" s="256"/>
    </row>
    <row r="15" spans="1:9" ht="210.75" customHeight="1" x14ac:dyDescent="0.2">
      <c r="B15" s="28"/>
      <c r="C15" s="243" t="s">
        <v>16</v>
      </c>
      <c r="D15" s="244"/>
      <c r="E15" s="254" t="s">
        <v>175</v>
      </c>
      <c r="F15" s="255"/>
      <c r="G15" s="255"/>
      <c r="H15" s="255"/>
      <c r="I15" s="256"/>
    </row>
    <row r="16" spans="1:9" ht="210.75" customHeight="1" x14ac:dyDescent="0.2">
      <c r="B16" s="28"/>
      <c r="C16" s="243" t="s">
        <v>17</v>
      </c>
      <c r="D16" s="244"/>
      <c r="E16" s="254" t="s">
        <v>176</v>
      </c>
      <c r="F16" s="255"/>
      <c r="G16" s="255"/>
      <c r="H16" s="255"/>
      <c r="I16" s="256"/>
    </row>
    <row r="17" spans="2:9" ht="210.75" customHeight="1" x14ac:dyDescent="0.2">
      <c r="B17" s="29"/>
      <c r="C17" s="247" t="s">
        <v>18</v>
      </c>
      <c r="D17" s="248"/>
      <c r="E17" s="257" t="s">
        <v>179</v>
      </c>
      <c r="F17" s="245"/>
      <c r="G17" s="245"/>
      <c r="H17" s="245"/>
      <c r="I17" s="246"/>
    </row>
    <row r="18" spans="2:9" ht="24" customHeight="1" x14ac:dyDescent="0.2">
      <c r="B18" s="26" t="s">
        <v>19</v>
      </c>
      <c r="C18" s="30"/>
      <c r="D18" s="31"/>
      <c r="E18" s="32">
        <v>97</v>
      </c>
      <c r="F18" s="32"/>
      <c r="G18" s="32"/>
      <c r="H18" s="32"/>
      <c r="I18" s="35"/>
    </row>
    <row r="19" spans="2:9" ht="218.25" customHeight="1" x14ac:dyDescent="0.2">
      <c r="B19" s="28"/>
      <c r="C19" s="243" t="s">
        <v>20</v>
      </c>
      <c r="D19" s="244"/>
      <c r="E19" s="245" t="s">
        <v>172</v>
      </c>
      <c r="F19" s="245"/>
      <c r="G19" s="245"/>
      <c r="H19" s="245"/>
      <c r="I19" s="246"/>
    </row>
    <row r="20" spans="2:9" ht="218.25" customHeight="1" x14ac:dyDescent="0.2">
      <c r="B20" s="29"/>
      <c r="C20" s="247" t="s">
        <v>21</v>
      </c>
      <c r="D20" s="248"/>
      <c r="E20" s="245" t="s">
        <v>178</v>
      </c>
      <c r="F20" s="245"/>
      <c r="G20" s="245"/>
      <c r="H20" s="245"/>
      <c r="I20" s="246"/>
    </row>
    <row r="21" spans="2:9" ht="218.25" customHeight="1" x14ac:dyDescent="0.2">
      <c r="B21" s="249" t="s">
        <v>22</v>
      </c>
      <c r="C21" s="250"/>
      <c r="D21" s="251"/>
      <c r="E21" s="252" t="s">
        <v>177</v>
      </c>
      <c r="F21" s="252"/>
      <c r="G21" s="252"/>
      <c r="H21" s="252"/>
      <c r="I21" s="253"/>
    </row>
    <row r="22" spans="2:9" ht="218.25" customHeight="1" x14ac:dyDescent="0.2">
      <c r="B22" s="238" t="s">
        <v>121</v>
      </c>
      <c r="C22" s="239"/>
      <c r="D22" s="240"/>
      <c r="E22" s="241" t="s">
        <v>180</v>
      </c>
      <c r="F22" s="241"/>
      <c r="G22" s="241"/>
      <c r="H22" s="241"/>
      <c r="I22" s="24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様式１-1（芸術学部）プログラムを構成する授業科目</vt:lpstr>
      <vt:lpstr>様式１-2（建築学部）プログラムを構成する授業科目</vt:lpstr>
      <vt:lpstr>様式２ 履修者等数の実績</vt:lpstr>
      <vt:lpstr>様式３ 教育の質・履修者数を向上させるための体制・計画</vt:lpstr>
      <vt:lpstr>様式４　自己点検・評価</vt:lpstr>
      <vt:lpstr>'様式１-1（芸術学部）プログラムを構成する授業科目'!Print_Area</vt:lpstr>
      <vt:lpstr>'様式１-2（建築学部）プログラムを構成する授業科目'!Print_Area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kuriyama-y</dc:creator>
  <cp:lastModifiedBy>栗山 義和</cp:lastModifiedBy>
  <cp:lastPrinted>2025-05-01T05:59:31Z</cp:lastPrinted>
  <dcterms:created xsi:type="dcterms:W3CDTF">2011-06-14T05:32:50Z</dcterms:created>
  <dcterms:modified xsi:type="dcterms:W3CDTF">2025-07-25T02:23:29Z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