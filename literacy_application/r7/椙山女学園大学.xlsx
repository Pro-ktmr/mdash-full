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jim2server\Kozuka\_作成中\naka\数理・データサイエンス・AI教育プログラム認定制度\椙山女学園大学_再提出_0707\01_椙山女学園大学_リテラシー\"/>
    </mc:Choice>
  </mc:AlternateContent>
  <xr:revisionPtr revIDLastSave="0" documentId="13_ncr:1_{A9429BFC-81B4-4EB7-93FA-10537F5E1257}" xr6:coauthVersionLast="47" xr6:coauthVersionMax="47" xr10:uidLastSave="{00000000-0000-0000-0000-000000000000}"/>
  <bookViews>
    <workbookView xWindow="28830" yWindow="630" windowWidth="17280" windowHeight="9945" tabRatio="885" xr2:uid="{00000000-000D-0000-FFFF-FFFF00000000}"/>
  </bookViews>
  <sheets>
    <sheet name="様式１　プログラムを構成する授業科目" sheetId="39" r:id="rId1"/>
    <sheet name="様式２ 履修者等数の実績" sheetId="43" r:id="rId2"/>
    <sheet name="様式３ 教育の質・履修者数を向上させるための体制・計画" sheetId="44" r:id="rId3"/>
    <sheet name="様式４　自己点検・評価" sheetId="45"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5" l="1"/>
  <c r="H2" i="44"/>
  <c r="Q2" i="43"/>
  <c r="R13" i="43"/>
  <c r="S13" i="43" s="1"/>
  <c r="R14" i="43"/>
  <c r="S14" i="43" s="1"/>
  <c r="R15" i="43"/>
  <c r="S15" i="43" s="1"/>
  <c r="R16" i="43"/>
  <c r="S16" i="43" s="1"/>
  <c r="R17" i="43"/>
  <c r="S17" i="43"/>
  <c r="R18" i="43"/>
  <c r="S18" i="43" s="1"/>
  <c r="R19" i="43"/>
  <c r="S19" i="43" s="1"/>
  <c r="R20" i="43"/>
  <c r="S20" i="43" s="1"/>
  <c r="R21" i="43"/>
  <c r="S21" i="43" s="1"/>
  <c r="R22" i="43"/>
  <c r="S22" i="43"/>
  <c r="R23" i="43"/>
  <c r="S23" i="43"/>
  <c r="R24" i="43"/>
  <c r="S24" i="43" s="1"/>
  <c r="R25" i="43"/>
  <c r="S25" i="43" s="1"/>
  <c r="R26" i="43"/>
  <c r="S26" i="43" s="1"/>
  <c r="R27" i="43"/>
  <c r="S27" i="43" s="1"/>
  <c r="R28" i="43"/>
  <c r="S28" i="43"/>
  <c r="R29" i="43"/>
  <c r="S29" i="43"/>
  <c r="R30" i="43"/>
  <c r="S30" i="43"/>
  <c r="R31" i="43"/>
  <c r="S31" i="43"/>
  <c r="R32" i="43"/>
  <c r="S32" i="43" s="1"/>
  <c r="C33" i="43"/>
  <c r="I7" i="43" s="1"/>
  <c r="M7" i="43" s="1"/>
  <c r="D33" i="43"/>
  <c r="E33" i="43"/>
  <c r="I50" i="44" s="1"/>
  <c r="F33" i="43"/>
  <c r="G33" i="43"/>
  <c r="H33" i="43"/>
  <c r="I33" i="43"/>
  <c r="J33" i="43"/>
  <c r="K33" i="43"/>
  <c r="L33" i="43"/>
  <c r="M33" i="43"/>
  <c r="N33" i="43"/>
  <c r="O33" i="43"/>
  <c r="P33" i="43"/>
  <c r="Q33" i="43"/>
  <c r="R33" i="43" l="1"/>
  <c r="S33" i="43" l="1"/>
  <c r="C49" i="44" s="1"/>
</calcChain>
</file>

<file path=xl/sharedStrings.xml><?xml version="1.0" encoding="utf-8"?>
<sst xmlns="http://schemas.openxmlformats.org/spreadsheetml/2006/main" count="303" uniqueCount="201">
  <si>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</si>
  <si>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</si>
  <si>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</si>
  <si>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</si>
  <si>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</si>
  <si>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</si>
  <si>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</si>
  <si>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</si>
  <si>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</si>
  <si>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</si>
  <si>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</si>
  <si>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</si>
  <si>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</si>
  <si>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</si>
  <si>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</si>
  <si>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</si>
  <si>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</si>
  <si>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</si>
  <si>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</si>
  <si>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</si>
  <si>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</si>
  <si>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</si>
  <si>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</si>
  <si>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</si>
  <si>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</si>
  <si>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</si>
  <si>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</si>
  <si>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</si>
  <si>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</si>
  <si>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</si>
  <si>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</si>
  <si>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</si>
  <si>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</si>
  <si>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</si>
  <si>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</si>
  <si>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</si>
  <si>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</si>
  <si>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</si>
  <si>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</si>
  <si>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</si>
  <si>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</si>
  <si>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</si>
  <si>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</si>
  <si>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</si>
  <si>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</si>
  <si>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</si>
  <si>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</si>
  <si>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</si>
  <si>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</si>
  <si>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</si>
  <si>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</si>
  <si>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</si>
  <si>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</si>
  <si>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</si>
  <si>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</si>
  <si>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</si>
  <si>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</si>
  <si>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</si>
  <si>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</si>
  <si>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</si>
  <si>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</si>
  <si>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</si>
  <si>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</si>
  <si>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</si>
  <si>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</si>
  <si>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</si>
  <si>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</si>
  <si>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</si>
  <si>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</si>
  <si>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</si>
  <si>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</si>
  <si>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</si>
  <si>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</si>
  <si>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</si>
  <si>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</si>
  <si>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</si>
  <si>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</si>
  <si>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</si>
  <si>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</si>
  <si>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</si>
  <si>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</si>
  <si>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</si>
  <si>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</si>
  <si>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</si>
  <si>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</si>
  <si>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</si>
  <si>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</si>
  <si>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</si>
  <si>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</si>
  <si>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</si>
  <si>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</si>
  <si>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</si>
  <si>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</si>
  <si>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</si>
  <si>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</si>
  <si>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</si>
  <si>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</si>
  <si>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</si>
  <si>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</si>
  <si>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</si>
  <si>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</si>
  <si>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</si>
  <si>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</si>
  <si>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</si>
  <si>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</si>
  <si>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</si>
  <si>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</si>
  <si>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</si>
  <si>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</si>
  <si>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</si>
  <si>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</si>
  <si>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</si>
  <si>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</si>
  <si>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</si>
  <si>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</si>
  <si>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</si>
  <si>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</si>
  <si>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</si>
  <si>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</si>
  <si>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</si>
  <si>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</si>
  <si>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</si>
  <si>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</si>
  <si>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</si>
  <si>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</si>
  <si>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</si>
  <si>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</si>
  <si>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</si>
  <si>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</si>
  <si>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</si>
  <si>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</si>
  <si>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</si>
  <si>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</si>
  <si>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</si>
  <si>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</si>
  <si>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</si>
  <si>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</si>
  <si>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</si>
  <si>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</si>
  <si>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</si>
  <si>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</si>
  <si>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</si>
  <si>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</si>
  <si>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椙山女学園大学</t>
    <rPh sb="0" eb="7">
      <t>スギヤマジョガクエンダイガク</t>
    </rPh>
    <phoneticPr fontId="1"/>
  </si>
  <si>
    <t>椙山女学園大学　数理・データサイエンス・AI教育プログラム</t>
    <rPh sb="0" eb="2">
      <t>スギヤマ</t>
    </rPh>
    <rPh sb="2" eb="5">
      <t>ジョガクエン</t>
    </rPh>
    <rPh sb="5" eb="7">
      <t>ダイガク</t>
    </rPh>
    <rPh sb="8" eb="10">
      <t>スウリ</t>
    </rPh>
    <rPh sb="22" eb="24">
      <t>キョウイク</t>
    </rPh>
    <phoneticPr fontId="1"/>
  </si>
  <si>
    <t>教養教育科目の「AI・データと社会」（2単位）を修得すること。</t>
    <phoneticPr fontId="1"/>
  </si>
  <si>
    <t>AI・データと社会</t>
    <phoneticPr fontId="1"/>
  </si>
  <si>
    <t>○</t>
  </si>
  <si>
    <t>4-1統計および数理基礎</t>
  </si>
  <si>
    <t>4‐2アルゴリズム基礎</t>
  </si>
  <si>
    <t>4‐3データ構造とプログラミング基礎</t>
  </si>
  <si>
    <t>4‐8データ活用実践（教師あり学習）</t>
  </si>
  <si>
    <t>4‐9データ活用実践（教師なし学習）</t>
  </si>
  <si>
    <t xml:space="preserve">
AI、複数技術を組み合わせたAIサービス、人間の知的活動とAIの関係性、データを起点としてものの見方、人間の知的活動を起点としたものの見方(第1回)
ビッグデータ、データ量の増加（第2回）
Society5.0、生成AI（第3回）</t>
    <rPh sb="4" eb="8">
      <t>フクスウギジュツ</t>
    </rPh>
    <rPh sb="9" eb="10">
      <t>ク</t>
    </rPh>
    <rPh sb="11" eb="12">
      <t>ア</t>
    </rPh>
    <rPh sb="22" eb="24">
      <t>ニンゲン</t>
    </rPh>
    <rPh sb="25" eb="27">
      <t>チテキ</t>
    </rPh>
    <rPh sb="27" eb="29">
      <t>カツドウ</t>
    </rPh>
    <rPh sb="33" eb="36">
      <t>カンケイセイ</t>
    </rPh>
    <rPh sb="41" eb="43">
      <t>キテン</t>
    </rPh>
    <rPh sb="49" eb="51">
      <t>ミカタ</t>
    </rPh>
    <rPh sb="52" eb="54">
      <t>ニンゲン</t>
    </rPh>
    <rPh sb="55" eb="57">
      <t>チテキ</t>
    </rPh>
    <rPh sb="57" eb="59">
      <t>カツドウ</t>
    </rPh>
    <rPh sb="60" eb="62">
      <t>キテン</t>
    </rPh>
    <rPh sb="68" eb="70">
      <t>ミカタ</t>
    </rPh>
    <rPh sb="86" eb="87">
      <t>リョウ</t>
    </rPh>
    <rPh sb="88" eb="90">
      <t>ゾウカ</t>
    </rPh>
    <rPh sb="91" eb="92">
      <t>ダイ</t>
    </rPh>
    <rPh sb="93" eb="94">
      <t>カイ</t>
    </rPh>
    <rPh sb="107" eb="109">
      <t>セイセイ</t>
    </rPh>
    <rPh sb="112" eb="113">
      <t>ダイ</t>
    </rPh>
    <rPh sb="114" eb="115">
      <t>カイ</t>
    </rPh>
    <phoneticPr fontId="1"/>
  </si>
  <si>
    <t xml:space="preserve">製造、金融、教育、医療等におけるデータ・AI利活用事例紹介（第4回）
データサイエンスのサイクル（第5回）
</t>
    <rPh sb="0" eb="2">
      <t>セイゾウ</t>
    </rPh>
    <rPh sb="3" eb="5">
      <t>キンユウ</t>
    </rPh>
    <rPh sb="6" eb="8">
      <t>キョウイク</t>
    </rPh>
    <rPh sb="9" eb="11">
      <t>イリョウ</t>
    </rPh>
    <rPh sb="11" eb="12">
      <t>トウ</t>
    </rPh>
    <rPh sb="22" eb="25">
      <t>リカツヨウ</t>
    </rPh>
    <rPh sb="25" eb="29">
      <t>ジレイショウカイ</t>
    </rPh>
    <rPh sb="30" eb="31">
      <t>ダイ</t>
    </rPh>
    <rPh sb="32" eb="33">
      <t>カイ</t>
    </rPh>
    <rPh sb="49" eb="50">
      <t>ダイ</t>
    </rPh>
    <rPh sb="51" eb="52">
      <t>カイ</t>
    </rPh>
    <phoneticPr fontId="1"/>
  </si>
  <si>
    <t>データの種類（量的変数、質的変数）（第8回）
データの分布（ヒストグラム）と代表値（平均値、中央値、最頻値）（第4回、第8回）
データのばらつき、外れ値（第4回、第5回）</t>
    <rPh sb="4" eb="6">
      <t>シュルイ</t>
    </rPh>
    <rPh sb="7" eb="11">
      <t>リョウテキヘンスウ</t>
    </rPh>
    <rPh sb="12" eb="16">
      <t>シツテキヘンスウ</t>
    </rPh>
    <rPh sb="18" eb="19">
      <t>ダイ</t>
    </rPh>
    <rPh sb="20" eb="21">
      <t>カイ</t>
    </rPh>
    <rPh sb="27" eb="29">
      <t>ブンプ</t>
    </rPh>
    <rPh sb="38" eb="41">
      <t>ダイヒョウチ</t>
    </rPh>
    <rPh sb="42" eb="45">
      <t>ヘイキンチ</t>
    </rPh>
    <rPh sb="46" eb="49">
      <t>チュウオウチ</t>
    </rPh>
    <rPh sb="50" eb="53">
      <t>サイヒンチ</t>
    </rPh>
    <rPh sb="55" eb="56">
      <t>ダイ</t>
    </rPh>
    <rPh sb="57" eb="58">
      <t>カイ</t>
    </rPh>
    <rPh sb="59" eb="60">
      <t>ダイ</t>
    </rPh>
    <rPh sb="61" eb="62">
      <t>カイ</t>
    </rPh>
    <rPh sb="73" eb="74">
      <t>ハズ</t>
    </rPh>
    <rPh sb="75" eb="76">
      <t>チ</t>
    </rPh>
    <rPh sb="77" eb="78">
      <t>ダイ</t>
    </rPh>
    <rPh sb="79" eb="80">
      <t>カイ</t>
    </rPh>
    <rPh sb="81" eb="82">
      <t>ダイ</t>
    </rPh>
    <rPh sb="83" eb="84">
      <t>カイ</t>
    </rPh>
    <phoneticPr fontId="1"/>
  </si>
  <si>
    <t>データ表現（棒グラフ、折れ線グラフ、箱ひげ図）（第4回、第8回）
データの比較（第8回、第9回）</t>
    <rPh sb="3" eb="5">
      <t>ヒョウゲン</t>
    </rPh>
    <rPh sb="6" eb="7">
      <t>ボウ</t>
    </rPh>
    <rPh sb="11" eb="12">
      <t>オ</t>
    </rPh>
    <rPh sb="13" eb="14">
      <t>セン</t>
    </rPh>
    <rPh sb="18" eb="19">
      <t>ハコ</t>
    </rPh>
    <rPh sb="21" eb="22">
      <t>ズ</t>
    </rPh>
    <rPh sb="24" eb="25">
      <t>ダイ</t>
    </rPh>
    <rPh sb="26" eb="27">
      <t>カイ</t>
    </rPh>
    <rPh sb="28" eb="29">
      <t>ダイ</t>
    </rPh>
    <rPh sb="30" eb="31">
      <t>カイ</t>
    </rPh>
    <rPh sb="37" eb="39">
      <t>ヒカク</t>
    </rPh>
    <rPh sb="40" eb="41">
      <t>ダイ</t>
    </rPh>
    <rPh sb="42" eb="43">
      <t>カイ</t>
    </rPh>
    <rPh sb="44" eb="45">
      <t>ダイ</t>
    </rPh>
    <rPh sb="46" eb="47">
      <t>カイ</t>
    </rPh>
    <phoneticPr fontId="1"/>
  </si>
  <si>
    <t>データの集計、データ解析ツール（第4回、第8回、第9回）
表形式のデータ（csv）（第5回、第8回、第9回）</t>
    <rPh sb="4" eb="6">
      <t>シュウケイ</t>
    </rPh>
    <rPh sb="10" eb="12">
      <t>カイセキ</t>
    </rPh>
    <rPh sb="16" eb="17">
      <t>ダイ</t>
    </rPh>
    <rPh sb="18" eb="19">
      <t>カイ</t>
    </rPh>
    <rPh sb="20" eb="21">
      <t>ダイ</t>
    </rPh>
    <rPh sb="22" eb="23">
      <t>カイ</t>
    </rPh>
    <rPh sb="24" eb="25">
      <t>ダイ</t>
    </rPh>
    <rPh sb="26" eb="27">
      <t>カイ</t>
    </rPh>
    <rPh sb="29" eb="32">
      <t>ヒョウケイシキ</t>
    </rPh>
    <rPh sb="42" eb="43">
      <t>ダイ</t>
    </rPh>
    <rPh sb="44" eb="45">
      <t>カイ</t>
    </rPh>
    <rPh sb="46" eb="47">
      <t>ダイ</t>
    </rPh>
    <rPh sb="48" eb="49">
      <t>カイ</t>
    </rPh>
    <rPh sb="50" eb="51">
      <t>ダイ</t>
    </rPh>
    <rPh sb="52" eb="53">
      <t>カイ</t>
    </rPh>
    <phoneticPr fontId="1"/>
  </si>
  <si>
    <t>　</t>
    <phoneticPr fontId="1"/>
  </si>
  <si>
    <t>令和6</t>
    <rPh sb="0" eb="2">
      <t>レイワ</t>
    </rPh>
    <phoneticPr fontId="1"/>
  </si>
  <si>
    <t>授業時間内では教員による学習指導を受けられる他、授業時間外でも教員にLMSやメール等で質問・相談することができる環境となっている。また、教員のオフィスアワーも全学生に知らせており、学生は対面での相談も可能である。</t>
    <phoneticPr fontId="1"/>
  </si>
  <si>
    <t xml:space="preserve">「AI・データと社会」（オンデマンド形式）では、毎回の講義の資料はLMSにアーカイブとして蓄積され、学生はLMSからこれらの資料にいつでもアクセスすることが可能となっている。
</t>
    <rPh sb="8" eb="10">
      <t>シャカイ</t>
    </rPh>
    <rPh sb="18" eb="20">
      <t>ケイシキ</t>
    </rPh>
    <phoneticPr fontId="1"/>
  </si>
  <si>
    <t>履修ガイダンス等にて説明し、案内文書を大学ポータルサイトで配布し周知する。</t>
    <rPh sb="0" eb="2">
      <t>リシュウ</t>
    </rPh>
    <rPh sb="7" eb="8">
      <t>トウ</t>
    </rPh>
    <rPh sb="10" eb="12">
      <t>セツメイ</t>
    </rPh>
    <rPh sb="14" eb="16">
      <t>アンナイ</t>
    </rPh>
    <rPh sb="16" eb="18">
      <t>ブンショ</t>
    </rPh>
    <rPh sb="19" eb="21">
      <t>ダイガク</t>
    </rPh>
    <rPh sb="29" eb="31">
      <t>ハイフ</t>
    </rPh>
    <rPh sb="32" eb="34">
      <t>シュウチ</t>
    </rPh>
    <phoneticPr fontId="1"/>
  </si>
  <si>
    <t>大学情報教育開発センター
センター長　情報社会学部 教授　米田公則
教育研究主幹　情報社会学部 教授　松山 智恵子
大学情報教育開発センター運営委員（センター長、教育研究主幹以外）
生活科学部　教授　村上　心
外国語学部　教授　飯塚　恵理人
人間関係学部　教授　五百部　裕
情報社会学部　教授　松山 智恵子
現代マネジメント学部　教授　石井雅治
教育学部　准教授　渡邉　康
看護学部　教授　髙植　幸子</t>
    <rPh sb="0" eb="8">
      <t>ダイガクジョウホウキョウイクカイハツ</t>
    </rPh>
    <rPh sb="17" eb="18">
      <t>チョウ</t>
    </rPh>
    <rPh sb="19" eb="25">
      <t>ジョウホウシャカイガクブ</t>
    </rPh>
    <rPh sb="26" eb="28">
      <t>キョウジュ</t>
    </rPh>
    <rPh sb="29" eb="31">
      <t>コメダ</t>
    </rPh>
    <rPh sb="31" eb="33">
      <t>キミノリ</t>
    </rPh>
    <rPh sb="34" eb="36">
      <t>キョウイク</t>
    </rPh>
    <rPh sb="36" eb="40">
      <t>ケンキュウシュカン</t>
    </rPh>
    <rPh sb="52" eb="53">
      <t>ヤマ</t>
    </rPh>
    <rPh sb="56" eb="57">
      <t>コ</t>
    </rPh>
    <rPh sb="59" eb="65">
      <t>ダイガクジョウホウキョウイク</t>
    </rPh>
    <rPh sb="65" eb="67">
      <t>カイハツ</t>
    </rPh>
    <rPh sb="71" eb="73">
      <t>ウンエイ</t>
    </rPh>
    <rPh sb="73" eb="75">
      <t>イイン</t>
    </rPh>
    <rPh sb="80" eb="81">
      <t>チョウ</t>
    </rPh>
    <rPh sb="82" eb="84">
      <t>キョウイク</t>
    </rPh>
    <rPh sb="84" eb="86">
      <t>ケンキュウ</t>
    </rPh>
    <rPh sb="86" eb="88">
      <t>シュカン</t>
    </rPh>
    <rPh sb="88" eb="90">
      <t>イガイ</t>
    </rPh>
    <rPh sb="98" eb="100">
      <t>キョウジュ</t>
    </rPh>
    <rPh sb="101" eb="103">
      <t>ムラカミ</t>
    </rPh>
    <rPh sb="104" eb="105">
      <t>ココロ</t>
    </rPh>
    <rPh sb="108" eb="109">
      <t>ゴ</t>
    </rPh>
    <rPh sb="112" eb="114">
      <t>キョウジュ</t>
    </rPh>
    <rPh sb="120" eb="121">
      <t>ヒト</t>
    </rPh>
    <rPh sb="129" eb="131">
      <t>キョウジュ</t>
    </rPh>
    <rPh sb="132" eb="135">
      <t>イホベ</t>
    </rPh>
    <rPh sb="136" eb="137">
      <t>ヒロシ</t>
    </rPh>
    <rPh sb="138" eb="144">
      <t>ジョウホウシャカイガクブ</t>
    </rPh>
    <rPh sb="145" eb="147">
      <t>キョウジュ</t>
    </rPh>
    <rPh sb="166" eb="168">
      <t>キョウジュ</t>
    </rPh>
    <rPh sb="169" eb="171">
      <t>イシイ</t>
    </rPh>
    <rPh sb="171" eb="173">
      <t>マサハル</t>
    </rPh>
    <rPh sb="179" eb="182">
      <t>ジュンキョウジュ</t>
    </rPh>
    <rPh sb="183" eb="185">
      <t>ワタナベ</t>
    </rPh>
    <rPh sb="193" eb="195">
      <t>キョウジュ</t>
    </rPh>
    <rPh sb="196" eb="197">
      <t>タカ</t>
    </rPh>
    <rPh sb="197" eb="198">
      <t>ウ</t>
    </rPh>
    <rPh sb="199" eb="201">
      <t>サチコ</t>
    </rPh>
    <phoneticPr fontId="1"/>
  </si>
  <si>
    <t>本学における基礎的情報教育を一元的に行うとともに、情報科学技術の研究を行うために設置する椙山女学園大学大学情報教育開発センターの運営方針に基づき、次の事項に関する業務を行う。
(1)情報教育及びその方法の開発
(2)情報科学技術の分野における研究開発
(3)学術研究に必要な情報化に関する事項の企画及び各学部間の調整
(4)椙山女学園情報センターが実施する情報教育等の支援
(5)その他センターの運営に必要な業務
椙山女学園大学情報教育開発センターの業務を円滑に運営するために、椙山女学園大学大学情報教育開発センター運営委員会は次の各号に掲げる委員をもって構成する。
（1）センター長及び教育研究主幹
（2）各学部から選出された委員各1名
（3）その他センター長が必要と認めたもの</t>
    <rPh sb="265" eb="266">
      <t>ツギ</t>
    </rPh>
    <rPh sb="267" eb="269">
      <t>カクゴウ</t>
    </rPh>
    <rPh sb="270" eb="271">
      <t>カカ</t>
    </rPh>
    <rPh sb="273" eb="275">
      <t>イイン</t>
    </rPh>
    <rPh sb="279" eb="281">
      <t>コウセイ</t>
    </rPh>
    <rPh sb="292" eb="293">
      <t>チョウ</t>
    </rPh>
    <rPh sb="293" eb="294">
      <t>オヨ</t>
    </rPh>
    <rPh sb="295" eb="299">
      <t>キョウイクケンキュウ</t>
    </rPh>
    <rPh sb="299" eb="301">
      <t>シュカン</t>
    </rPh>
    <rPh sb="305" eb="308">
      <t>カクガクブ</t>
    </rPh>
    <rPh sb="310" eb="312">
      <t>センシュツ</t>
    </rPh>
    <rPh sb="315" eb="317">
      <t>イイン</t>
    </rPh>
    <rPh sb="317" eb="318">
      <t>カク</t>
    </rPh>
    <rPh sb="319" eb="320">
      <t>メイ</t>
    </rPh>
    <rPh sb="326" eb="327">
      <t>タ</t>
    </rPh>
    <rPh sb="331" eb="332">
      <t>チョウ</t>
    </rPh>
    <rPh sb="333" eb="335">
      <t>ヒツヨウ</t>
    </rPh>
    <rPh sb="336" eb="337">
      <t>ミト</t>
    </rPh>
    <phoneticPr fontId="1"/>
  </si>
  <si>
    <t>椙山女学園大学情報教育開発センター規程、椙山女学園大学大学情報教育開発センター運営委員会規準</t>
    <rPh sb="0" eb="2">
      <t>スギヤマ</t>
    </rPh>
    <rPh sb="2" eb="5">
      <t>ジョガクエン</t>
    </rPh>
    <rPh sb="5" eb="7">
      <t>ダイガク</t>
    </rPh>
    <rPh sb="7" eb="9">
      <t>ジョウホウ</t>
    </rPh>
    <rPh sb="9" eb="11">
      <t>キョウイク</t>
    </rPh>
    <rPh sb="11" eb="13">
      <t>カイハツ</t>
    </rPh>
    <rPh sb="17" eb="19">
      <t>キテイ</t>
    </rPh>
    <rPh sb="20" eb="22">
      <t>スギヤマ</t>
    </rPh>
    <rPh sb="22" eb="25">
      <t>ジョガクエン</t>
    </rPh>
    <rPh sb="25" eb="27">
      <t>ダイガク</t>
    </rPh>
    <rPh sb="27" eb="29">
      <t>ダイガク</t>
    </rPh>
    <rPh sb="29" eb="31">
      <t>ジョウホウ</t>
    </rPh>
    <rPh sb="31" eb="33">
      <t>キョウイク</t>
    </rPh>
    <rPh sb="33" eb="35">
      <t>カイハツ</t>
    </rPh>
    <rPh sb="39" eb="41">
      <t>ウンエイ</t>
    </rPh>
    <rPh sb="41" eb="44">
      <t>イインカイ</t>
    </rPh>
    <rPh sb="44" eb="46">
      <t>キジュン</t>
    </rPh>
    <phoneticPr fontId="1"/>
  </si>
  <si>
    <t>大学情報教育開発センター長</t>
    <rPh sb="0" eb="2">
      <t>ダイガク</t>
    </rPh>
    <rPh sb="2" eb="8">
      <t>ジョウホウキョウイクカイハツ</t>
    </rPh>
    <rPh sb="12" eb="13">
      <t>チョウ</t>
    </rPh>
    <phoneticPr fontId="1"/>
  </si>
  <si>
    <t>米田公則</t>
    <rPh sb="0" eb="4">
      <t>コメダキミノリ</t>
    </rPh>
    <phoneticPr fontId="1"/>
  </si>
  <si>
    <t>椙山女学園大学大学情報教育開発センター</t>
    <rPh sb="0" eb="2">
      <t>スギヤマ</t>
    </rPh>
    <rPh sb="2" eb="5">
      <t>ジョガクエン</t>
    </rPh>
    <rPh sb="5" eb="7">
      <t>ダイガク</t>
    </rPh>
    <rPh sb="7" eb="9">
      <t>ダイガク</t>
    </rPh>
    <rPh sb="9" eb="11">
      <t>ジョウホウ</t>
    </rPh>
    <rPh sb="11" eb="13">
      <t>キョウイク</t>
    </rPh>
    <rPh sb="13" eb="15">
      <t>カイハツ</t>
    </rPh>
    <phoneticPr fontId="1"/>
  </si>
  <si>
    <t>大学情報教育開発センター長</t>
    <rPh sb="0" eb="8">
      <t>ダイガクジョウホウキョウイクカイハツ</t>
    </rPh>
    <rPh sb="12" eb="13">
      <t>チョウ</t>
    </rPh>
    <phoneticPr fontId="1"/>
  </si>
  <si>
    <t>米田公則</t>
    <rPh sb="0" eb="2">
      <t>コメダ</t>
    </rPh>
    <rPh sb="2" eb="4">
      <t>キミノリ</t>
    </rPh>
    <phoneticPr fontId="1"/>
  </si>
  <si>
    <t>学生による授業アンケート等を参考にし、随時、学生の「わかりやすさ」の観点から講義の内容・実施方法の見直しについて検討している。</t>
    <rPh sb="0" eb="2">
      <t>ガクセイ</t>
    </rPh>
    <rPh sb="5" eb="7">
      <t>ジュギョウ</t>
    </rPh>
    <rPh sb="12" eb="13">
      <t>トウ</t>
    </rPh>
    <rPh sb="14" eb="16">
      <t>サンコウ</t>
    </rPh>
    <rPh sb="19" eb="21">
      <t>ズイジ</t>
    </rPh>
    <rPh sb="22" eb="24">
      <t>ガクセイ</t>
    </rPh>
    <rPh sb="34" eb="36">
      <t>カンテン</t>
    </rPh>
    <rPh sb="38" eb="40">
      <t>コウギ</t>
    </rPh>
    <rPh sb="41" eb="43">
      <t>ナイヨウ</t>
    </rPh>
    <rPh sb="44" eb="46">
      <t>ジッシ</t>
    </rPh>
    <rPh sb="46" eb="48">
      <t>ホウホウ</t>
    </rPh>
    <rPh sb="49" eb="51">
      <t>ミナオ</t>
    </rPh>
    <rPh sb="56" eb="58">
      <t>ケントウ</t>
    </rPh>
    <phoneticPr fontId="1"/>
  </si>
  <si>
    <t>本プログラムの科目である「AI・データと社会」において、身近な社会におけるＡＩの利活用をテーマにしており、数理・データサイエンス・ＡＩ教育を実体験に即した経験として考えることができ、学ぶ楽しさや学ぶことの意義を理解するように促している。</t>
    <rPh sb="7" eb="9">
      <t>カモク</t>
    </rPh>
    <rPh sb="20" eb="22">
      <t>シャカイ</t>
    </rPh>
    <rPh sb="28" eb="30">
      <t>ミジカ</t>
    </rPh>
    <rPh sb="31" eb="33">
      <t>シャカイ</t>
    </rPh>
    <rPh sb="40" eb="43">
      <t>リカツヨウ</t>
    </rPh>
    <rPh sb="53" eb="55">
      <t>スウリ</t>
    </rPh>
    <rPh sb="67" eb="69">
      <t>キョウイク</t>
    </rPh>
    <rPh sb="70" eb="73">
      <t>ジッタイケン</t>
    </rPh>
    <rPh sb="74" eb="75">
      <t>ソク</t>
    </rPh>
    <rPh sb="77" eb="79">
      <t>ケイケン</t>
    </rPh>
    <rPh sb="82" eb="83">
      <t>カンガ</t>
    </rPh>
    <rPh sb="91" eb="92">
      <t>マナ</t>
    </rPh>
    <rPh sb="93" eb="94">
      <t>タノ</t>
    </rPh>
    <rPh sb="97" eb="98">
      <t>マナ</t>
    </rPh>
    <rPh sb="102" eb="104">
      <t>イギ</t>
    </rPh>
    <rPh sb="105" eb="107">
      <t>リカイ</t>
    </rPh>
    <rPh sb="112" eb="113">
      <t>ウナガ</t>
    </rPh>
    <phoneticPr fontId="1"/>
  </si>
  <si>
    <t>本学では「内部質保証に関する全学的な方針」を定めており、この中で外部評価を実施することとしている。この外部評価の中に本プログラムに関する事項を含めることで、本評価とすることとしたい。</t>
    <phoneticPr fontId="1"/>
  </si>
  <si>
    <t>本プログラムは令和6年度より開講されたため、当該科目を修得し、単位を修得して卒業した学生はいない。今後はプログラムを修了した卒業生の就職先実績等を鑑み、プログラム改善の判断材料の一つとする。</t>
    <phoneticPr fontId="1"/>
  </si>
  <si>
    <t>履修ガイダンス等で本プログラムの目的・意義などを説明する機会を設け、履修者数向上を図る。</t>
    <rPh sb="0" eb="2">
      <t>リシュウ</t>
    </rPh>
    <rPh sb="7" eb="8">
      <t>トウ</t>
    </rPh>
    <rPh sb="9" eb="10">
      <t>ホン</t>
    </rPh>
    <rPh sb="16" eb="18">
      <t>モクテキ</t>
    </rPh>
    <rPh sb="19" eb="21">
      <t>イギ</t>
    </rPh>
    <rPh sb="24" eb="26">
      <t>セツメイ</t>
    </rPh>
    <rPh sb="28" eb="30">
      <t>キカイ</t>
    </rPh>
    <rPh sb="31" eb="32">
      <t>モウ</t>
    </rPh>
    <rPh sb="34" eb="37">
      <t>リシュウシャ</t>
    </rPh>
    <rPh sb="37" eb="38">
      <t>スウ</t>
    </rPh>
    <rPh sb="38" eb="40">
      <t>コウジョウ</t>
    </rPh>
    <rPh sb="41" eb="42">
      <t>ハカ</t>
    </rPh>
    <phoneticPr fontId="1"/>
  </si>
  <si>
    <t>本プログラムの履修者に対して、大学授業アンケートを実施し、授業に対する満足度や、後輩や未履修者への推奨度などの調査を行い、その結果を学生へ公開することで、本プログラムの履修を推奨するために活用する。</t>
    <rPh sb="0" eb="1">
      <t>ホン</t>
    </rPh>
    <rPh sb="7" eb="10">
      <t>リシュウシャ</t>
    </rPh>
    <rPh sb="11" eb="12">
      <t>タイ</t>
    </rPh>
    <rPh sb="15" eb="17">
      <t>ダイガク</t>
    </rPh>
    <rPh sb="17" eb="19">
      <t>ジュギョウ</t>
    </rPh>
    <rPh sb="25" eb="27">
      <t>ジッシ</t>
    </rPh>
    <rPh sb="29" eb="31">
      <t>ジュギョウ</t>
    </rPh>
    <rPh sb="32" eb="33">
      <t>タイ</t>
    </rPh>
    <rPh sb="35" eb="38">
      <t>マンゾクド</t>
    </rPh>
    <rPh sb="40" eb="42">
      <t>コウハイ</t>
    </rPh>
    <rPh sb="43" eb="47">
      <t>ミリシュウシャ</t>
    </rPh>
    <rPh sb="49" eb="51">
      <t>スイショウ</t>
    </rPh>
    <rPh sb="51" eb="52">
      <t>ド</t>
    </rPh>
    <rPh sb="55" eb="57">
      <t>チョウサ</t>
    </rPh>
    <rPh sb="58" eb="59">
      <t>オコナ</t>
    </rPh>
    <rPh sb="63" eb="65">
      <t>ケッカ</t>
    </rPh>
    <rPh sb="66" eb="68">
      <t>ガクセイ</t>
    </rPh>
    <rPh sb="69" eb="71">
      <t>コウカイ</t>
    </rPh>
    <rPh sb="77" eb="78">
      <t>ホン</t>
    </rPh>
    <rPh sb="84" eb="86">
      <t>リシュウ</t>
    </rPh>
    <rPh sb="87" eb="89">
      <t>スイショウ</t>
    </rPh>
    <rPh sb="94" eb="96">
      <t>カツヨウ</t>
    </rPh>
    <phoneticPr fontId="1"/>
  </si>
  <si>
    <t>初年度である令和6年度は学生による授業アンケートを授業終了後に実施したが、次年度からは本学FDで実施している授業アンケートを実施していく。アンケートの結果については本学ポータルサイトにて公開している。アンケート結果は「AI・データと社会」科目会議において共有し、本プログラム受講者の理解度等の分析に役立てている。</t>
    <rPh sb="0" eb="3">
      <t>ショネンド</t>
    </rPh>
    <rPh sb="6" eb="8">
      <t>レイワ</t>
    </rPh>
    <rPh sb="9" eb="11">
      <t>ネンド</t>
    </rPh>
    <rPh sb="12" eb="14">
      <t>ガクセイ</t>
    </rPh>
    <rPh sb="17" eb="19">
      <t>ジュギョウ</t>
    </rPh>
    <rPh sb="25" eb="27">
      <t>ジュギョウ</t>
    </rPh>
    <rPh sb="27" eb="30">
      <t>シュウリョウゴ</t>
    </rPh>
    <rPh sb="31" eb="33">
      <t>ジッシ</t>
    </rPh>
    <rPh sb="37" eb="40">
      <t>ジネンド</t>
    </rPh>
    <rPh sb="43" eb="45">
      <t>ホンガク</t>
    </rPh>
    <rPh sb="48" eb="50">
      <t>ジッシ</t>
    </rPh>
    <rPh sb="54" eb="56">
      <t>ジュギョウ</t>
    </rPh>
    <rPh sb="62" eb="64">
      <t>ジッシ</t>
    </rPh>
    <rPh sb="75" eb="77">
      <t>ケッカ</t>
    </rPh>
    <rPh sb="82" eb="84">
      <t>ホンガク</t>
    </rPh>
    <rPh sb="93" eb="95">
      <t>コウカイ</t>
    </rPh>
    <rPh sb="105" eb="107">
      <t>ケッカ</t>
    </rPh>
    <rPh sb="131" eb="132">
      <t>ホン</t>
    </rPh>
    <rPh sb="137" eb="140">
      <t>ジュコウシャ</t>
    </rPh>
    <rPh sb="141" eb="145">
      <t>リカイドトウ</t>
    </rPh>
    <rPh sb="146" eb="148">
      <t>ブンセキ</t>
    </rPh>
    <rPh sb="149" eb="151">
      <t>ヤクダ</t>
    </rPh>
    <phoneticPr fontId="1"/>
  </si>
  <si>
    <t>本学教務課にて本プログラムの履修・修得状況を管理するとともに、これらのデータを大学情報教育開発センターにおいて情報共有し、本プログラムの評価・改善に活用している。</t>
    <rPh sb="0" eb="2">
      <t>ホンガク</t>
    </rPh>
    <rPh sb="2" eb="5">
      <t>キョウムカ</t>
    </rPh>
    <rPh sb="7" eb="8">
      <t>ホン</t>
    </rPh>
    <rPh sb="14" eb="16">
      <t>リシュウ</t>
    </rPh>
    <rPh sb="17" eb="21">
      <t>シュウトクジョウキョウ</t>
    </rPh>
    <rPh sb="22" eb="24">
      <t>カンリ</t>
    </rPh>
    <rPh sb="39" eb="41">
      <t>ダイガク</t>
    </rPh>
    <rPh sb="41" eb="43">
      <t>ジョウホウ</t>
    </rPh>
    <rPh sb="43" eb="45">
      <t>キョウイク</t>
    </rPh>
    <rPh sb="45" eb="47">
      <t>カイハツ</t>
    </rPh>
    <rPh sb="55" eb="59">
      <t>ジョウホウキョウユウ</t>
    </rPh>
    <rPh sb="61" eb="62">
      <t>ホン</t>
    </rPh>
    <rPh sb="68" eb="70">
      <t>ヒョウカ</t>
    </rPh>
    <rPh sb="71" eb="73">
      <t>カイゼン</t>
    </rPh>
    <rPh sb="74" eb="76">
      <t>カツヨウ</t>
    </rPh>
    <phoneticPr fontId="1"/>
  </si>
  <si>
    <t>椙山女学園大学大学情報教育開発センター運営委員会</t>
    <rPh sb="0" eb="2">
      <t>スギヤマ</t>
    </rPh>
    <rPh sb="2" eb="5">
      <t>ジョガクエン</t>
    </rPh>
    <rPh sb="5" eb="7">
      <t>ダイガク</t>
    </rPh>
    <rPh sb="7" eb="9">
      <t>ダイガク</t>
    </rPh>
    <rPh sb="9" eb="11">
      <t>ジョウホウ</t>
    </rPh>
    <rPh sb="11" eb="13">
      <t>キョウイク</t>
    </rPh>
    <rPh sb="13" eb="15">
      <t>カイハツ</t>
    </rPh>
    <rPh sb="19" eb="24">
      <t>ウンエイイインカイ</t>
    </rPh>
    <phoneticPr fontId="1"/>
  </si>
  <si>
    <t>学部・学科によって、修了要件は相違しない</t>
  </si>
  <si>
    <t>AI最新技術の活用例（第3回、第6回）
AI等を活用した新しいビジネスモデル（第6回）</t>
    <rPh sb="2" eb="6">
      <t>サイシンギジュツ</t>
    </rPh>
    <rPh sb="7" eb="10">
      <t>カツヨウレイ</t>
    </rPh>
    <rPh sb="11" eb="12">
      <t>ダイ</t>
    </rPh>
    <rPh sb="13" eb="14">
      <t>カイ</t>
    </rPh>
    <rPh sb="15" eb="16">
      <t>ダイ</t>
    </rPh>
    <rPh sb="17" eb="18">
      <t>カイ</t>
    </rPh>
    <rPh sb="22" eb="23">
      <t>トウ</t>
    </rPh>
    <rPh sb="24" eb="26">
      <t>カツヨウ</t>
    </rPh>
    <rPh sb="28" eb="29">
      <t>アタラ</t>
    </rPh>
    <rPh sb="39" eb="40">
      <t>ダイ</t>
    </rPh>
    <rPh sb="41" eb="42">
      <t>カイ</t>
    </rPh>
    <phoneticPr fontId="1"/>
  </si>
  <si>
    <t xml:space="preserve">
データ解析：予測、グルーピング、パターン発見、最適化、モデル化とシミュレーション（第4回、第5回）
データの可視化：関係性の可視化（第4回）</t>
    <rPh sb="4" eb="6">
      <t>カイセキ</t>
    </rPh>
    <rPh sb="7" eb="9">
      <t>ヨソク</t>
    </rPh>
    <rPh sb="21" eb="23">
      <t>ハッケン</t>
    </rPh>
    <rPh sb="24" eb="27">
      <t>サイテキカ</t>
    </rPh>
    <rPh sb="31" eb="32">
      <t>カ</t>
    </rPh>
    <rPh sb="42" eb="43">
      <t>ダイ</t>
    </rPh>
    <rPh sb="44" eb="45">
      <t>カイ</t>
    </rPh>
    <rPh sb="46" eb="47">
      <t>ダイ</t>
    </rPh>
    <rPh sb="48" eb="49">
      <t>カイ</t>
    </rPh>
    <rPh sb="55" eb="58">
      <t>カシカ</t>
    </rPh>
    <rPh sb="59" eb="62">
      <t>カンケイセイ</t>
    </rPh>
    <rPh sb="63" eb="66">
      <t>カシカ</t>
    </rPh>
    <rPh sb="67" eb="68">
      <t>ダイ</t>
    </rPh>
    <rPh sb="69" eb="70">
      <t>カイ</t>
    </rPh>
    <phoneticPr fontId="1"/>
  </si>
  <si>
    <t>調査データ、実験データ、人の行動ログデータ、機械の稼働ログデータなど（第2回）
1次データ、2次データ、データのメタ化（第2回）
構造化データと非構造化データ（第2回、第3回、第6回）
データ作成、オープンデータ（第2回、第3回）</t>
    <rPh sb="41" eb="42">
      <t>ジ</t>
    </rPh>
    <rPh sb="47" eb="48">
      <t>ジ</t>
    </rPh>
    <rPh sb="58" eb="59">
      <t>カ</t>
    </rPh>
    <rPh sb="65" eb="68">
      <t>コウゾウカ</t>
    </rPh>
    <rPh sb="72" eb="76">
      <t>ヒコウゾウカ</t>
    </rPh>
    <rPh sb="84" eb="85">
      <t>ダイ</t>
    </rPh>
    <rPh sb="86" eb="87">
      <t>カイ</t>
    </rPh>
    <rPh sb="88" eb="89">
      <t>ダイ</t>
    </rPh>
    <rPh sb="90" eb="91">
      <t>カイ</t>
    </rPh>
    <rPh sb="96" eb="98">
      <t>サクセイ</t>
    </rPh>
    <phoneticPr fontId="1"/>
  </si>
  <si>
    <t>データ・AI活用領域の広がり、研究開発、AIの活用事例、対話、コンテンツ生成、翻訳・要約支援などの生成AIの応用（第3回）</t>
    <rPh sb="15" eb="19">
      <t>ケンキュウカイハツ</t>
    </rPh>
    <rPh sb="23" eb="27">
      <t>カツヨウジレイ</t>
    </rPh>
    <rPh sb="28" eb="30">
      <t>タイワ</t>
    </rPh>
    <rPh sb="36" eb="38">
      <t>セイセイ</t>
    </rPh>
    <rPh sb="39" eb="41">
      <t>ホンヤク</t>
    </rPh>
    <rPh sb="42" eb="44">
      <t>ヨウヤク</t>
    </rPh>
    <rPh sb="44" eb="46">
      <t>シエン</t>
    </rPh>
    <rPh sb="49" eb="51">
      <t>セイセイ</t>
    </rPh>
    <rPh sb="54" eb="56">
      <t>オウヨウ</t>
    </rPh>
    <rPh sb="57" eb="58">
      <t>ダイ</t>
    </rPh>
    <rPh sb="59" eb="60">
      <t>カイ</t>
    </rPh>
    <phoneticPr fontId="1"/>
  </si>
  <si>
    <t>アクセス制御、情報漏えい等によるセキュリティ事故の事例紹介、サイバーセキュリティ（第7回）
情報セキュリティの3要素（機密性、完全性、可用性）、匿名加工情報、暗号化と復号（第11回）</t>
    <rPh sb="4" eb="6">
      <t>セイギョ</t>
    </rPh>
    <rPh sb="7" eb="10">
      <t>ジョウホウロウ</t>
    </rPh>
    <rPh sb="12" eb="13">
      <t>トウ</t>
    </rPh>
    <rPh sb="22" eb="24">
      <t>ジコ</t>
    </rPh>
    <rPh sb="25" eb="27">
      <t>ジレイ</t>
    </rPh>
    <rPh sb="27" eb="29">
      <t>ショウカイ</t>
    </rPh>
    <rPh sb="41" eb="42">
      <t>ダイ</t>
    </rPh>
    <rPh sb="43" eb="44">
      <t>カイ</t>
    </rPh>
    <rPh sb="56" eb="58">
      <t>ヨウソ</t>
    </rPh>
    <rPh sb="59" eb="62">
      <t>キミツセイ</t>
    </rPh>
    <rPh sb="63" eb="66">
      <t>カンゼンセイ</t>
    </rPh>
    <rPh sb="67" eb="70">
      <t>カヨウセイ</t>
    </rPh>
    <rPh sb="76" eb="78">
      <t>ジョウホウ</t>
    </rPh>
    <rPh sb="79" eb="82">
      <t>アンゴウカ</t>
    </rPh>
    <rPh sb="83" eb="85">
      <t>フクゴウ</t>
    </rPh>
    <rPh sb="86" eb="87">
      <t>ダイ</t>
    </rPh>
    <rPh sb="89" eb="90">
      <t>カイ</t>
    </rPh>
    <phoneticPr fontId="1"/>
  </si>
  <si>
    <t xml:space="preserve">
AI社会原則（第6回、第10回）
個人情報保護（第7回、第10回）
AIサービスの責任論（第6回）
データ倫理、プライバシー保護、EU一般データ保護規則（GDPR）、生成AIの留意事項（ハルシネーションによるご情報の生成）（第7回）
倫理的・法的・社会的課題（ELSI）、データ倫理、データバイアス、アルゴリズムバイアス、データ・AI活用における負の事例紹介（第10回）</t>
    <rPh sb="8" eb="9">
      <t>ダイ</t>
    </rPh>
    <rPh sb="10" eb="11">
      <t>カイ</t>
    </rPh>
    <rPh sb="12" eb="13">
      <t>ダイ</t>
    </rPh>
    <rPh sb="15" eb="16">
      <t>カイ</t>
    </rPh>
    <rPh sb="25" eb="26">
      <t>ダイ</t>
    </rPh>
    <rPh sb="27" eb="28">
      <t>カイ</t>
    </rPh>
    <rPh sb="29" eb="30">
      <t>ダイ</t>
    </rPh>
    <rPh sb="32" eb="33">
      <t>カイ</t>
    </rPh>
    <rPh sb="42" eb="45">
      <t>セキニンロン</t>
    </rPh>
    <rPh sb="46" eb="47">
      <t>ダイ</t>
    </rPh>
    <rPh sb="48" eb="49">
      <t>カイ</t>
    </rPh>
    <rPh sb="54" eb="56">
      <t>リンリ</t>
    </rPh>
    <rPh sb="63" eb="65">
      <t>ホゴ</t>
    </rPh>
    <rPh sb="68" eb="70">
      <t>イッパン</t>
    </rPh>
    <rPh sb="73" eb="75">
      <t>ホゴ</t>
    </rPh>
    <rPh sb="75" eb="77">
      <t>キソク</t>
    </rPh>
    <rPh sb="84" eb="86">
      <t>セイセイ</t>
    </rPh>
    <rPh sb="89" eb="93">
      <t>リュウイジコウ</t>
    </rPh>
    <rPh sb="106" eb="108">
      <t>ジョウホウ</t>
    </rPh>
    <rPh sb="109" eb="111">
      <t>セイセイ</t>
    </rPh>
    <rPh sb="113" eb="114">
      <t>ダイ</t>
    </rPh>
    <rPh sb="115" eb="116">
      <t>カイ</t>
    </rPh>
    <rPh sb="118" eb="121">
      <t>リンリテキ</t>
    </rPh>
    <rPh sb="122" eb="124">
      <t>ホウテキ</t>
    </rPh>
    <rPh sb="125" eb="130">
      <t>シャカイテキカダイ</t>
    </rPh>
    <phoneticPr fontId="1"/>
  </si>
  <si>
    <t>・現代社会におけるデータサイエンスやAIの重要性を理解し、その利活用の現状を把握することができる。
・データやその分析結果を読み取るための基礎知識を身に付けることができる。 
・データやAIを利活用する際の留意事項を把握し、その重要性を理解することができる。
・プログラミング、アルゴリズム、機械学習など、AI・データサイエンス分野における技術的基礎を理解することができる。
・表計算ツールを活用して、適切にデータの収集・分析、グラフ作成、データベース操作を実行できる。</t>
    <rPh sb="189" eb="192">
      <t>ヒョウケイサン</t>
    </rPh>
    <phoneticPr fontId="1"/>
  </si>
  <si>
    <t>本プログラム科目である「AI・データと社会」は令和6年度入学生の教育課程から新設された1年次の選択科目である。このため、開講初年度となった令和6年度は、１年生のみの履修となったため、履修者は３％にとどまった。また、学部・学科によって履修者数にばらつきがあったが、年次を経るにつれて履修者数・履修率ともに増えていくことが予想できる。
学生に本プログラムの趣旨や目的を周知することで、履修者数の向上を目指していく。</t>
    <rPh sb="0" eb="1">
      <t>ホン</t>
    </rPh>
    <rPh sb="6" eb="8">
      <t>カモク</t>
    </rPh>
    <rPh sb="19" eb="21">
      <t>シャカイ</t>
    </rPh>
    <rPh sb="23" eb="25">
      <t>レイワ</t>
    </rPh>
    <rPh sb="26" eb="28">
      <t>ネンド</t>
    </rPh>
    <rPh sb="28" eb="31">
      <t>ニュウガクセイ</t>
    </rPh>
    <rPh sb="32" eb="36">
      <t>キョウイクカテイ</t>
    </rPh>
    <rPh sb="38" eb="40">
      <t>シンセツ</t>
    </rPh>
    <rPh sb="44" eb="46">
      <t>ネンジ</t>
    </rPh>
    <rPh sb="47" eb="51">
      <t>センタクカモク</t>
    </rPh>
    <rPh sb="77" eb="79">
      <t>ネンセイ</t>
    </rPh>
    <rPh sb="82" eb="84">
      <t>リシュウ</t>
    </rPh>
    <rPh sb="91" eb="94">
      <t>リシュウシャ</t>
    </rPh>
    <rPh sb="107" eb="109">
      <t>ガクブ</t>
    </rPh>
    <rPh sb="110" eb="112">
      <t>ガッカ</t>
    </rPh>
    <rPh sb="116" eb="120">
      <t>リシュウシャスウ</t>
    </rPh>
    <rPh sb="131" eb="133">
      <t>ネンジ</t>
    </rPh>
    <rPh sb="134" eb="135">
      <t>ヘ</t>
    </rPh>
    <rPh sb="140" eb="143">
      <t>リシュウシャ</t>
    </rPh>
    <rPh sb="143" eb="144">
      <t>スウ</t>
    </rPh>
    <rPh sb="145" eb="148">
      <t>リシュウリツ</t>
    </rPh>
    <rPh sb="151" eb="152">
      <t>フ</t>
    </rPh>
    <rPh sb="159" eb="161">
      <t>ヨソウ</t>
    </rPh>
    <rPh sb="166" eb="168">
      <t>ガクセイ</t>
    </rPh>
    <rPh sb="169" eb="170">
      <t>ホン</t>
    </rPh>
    <rPh sb="176" eb="178">
      <t>シュシ</t>
    </rPh>
    <rPh sb="179" eb="181">
      <t>モクテキ</t>
    </rPh>
    <rPh sb="182" eb="184">
      <t>シュウチ</t>
    </rPh>
    <phoneticPr fontId="1"/>
  </si>
  <si>
    <t>全学生が履修可能な教養教育科目（1年次配当）において本プログラムを実施している。
「AI・データと社会」は授業実施形態を遠隔授業（オンデマンド形式）とし、多くの学生が履修しやすい形態とした。</t>
    <rPh sb="0" eb="1">
      <t>ゼン</t>
    </rPh>
    <rPh sb="1" eb="3">
      <t>ガクセイ</t>
    </rPh>
    <rPh sb="4" eb="8">
      <t>リシュウカノウ</t>
    </rPh>
    <rPh sb="9" eb="11">
      <t>キョウヨウ</t>
    </rPh>
    <rPh sb="11" eb="15">
      <t>キョウイクカモク</t>
    </rPh>
    <rPh sb="17" eb="21">
      <t>ネンジハイトウ</t>
    </rPh>
    <rPh sb="26" eb="27">
      <t>ホン</t>
    </rPh>
    <rPh sb="33" eb="35">
      <t>ジッシ</t>
    </rPh>
    <rPh sb="49" eb="51">
      <t>シャカイ</t>
    </rPh>
    <rPh sb="53" eb="59">
      <t>ジュギョウジッシケイタイ</t>
    </rPh>
    <rPh sb="60" eb="64">
      <t>エンカクジュギョウ</t>
    </rPh>
    <rPh sb="71" eb="73">
      <t>ケイシキ</t>
    </rPh>
    <rPh sb="77" eb="78">
      <t>オオ</t>
    </rPh>
    <rPh sb="80" eb="82">
      <t>ガクセイ</t>
    </rPh>
    <rPh sb="83" eb="85">
      <t>リシュウ</t>
    </rPh>
    <rPh sb="89" eb="91">
      <t>ケイタイ</t>
    </rPh>
    <phoneticPr fontId="1"/>
  </si>
  <si>
    <t>大学情報教育開発センター運営委員会にて、本プログラムの履修・修得状況、成績の分布を確認する。また、学生による授業アンケートの結果の分析を行うことにより、学修成果の点検・評価を行う。</t>
    <rPh sb="12" eb="14">
      <t>ウンエイ</t>
    </rPh>
    <rPh sb="14" eb="17">
      <t>イインカイ</t>
    </rPh>
    <rPh sb="20" eb="21">
      <t>ホン</t>
    </rPh>
    <rPh sb="27" eb="29">
      <t>リシュウ</t>
    </rPh>
    <rPh sb="30" eb="34">
      <t>シュウトクジョウキョウ</t>
    </rPh>
    <rPh sb="35" eb="37">
      <t>セイセキ</t>
    </rPh>
    <rPh sb="38" eb="40">
      <t>ブンプ</t>
    </rPh>
    <rPh sb="41" eb="43">
      <t>カクニン</t>
    </rPh>
    <rPh sb="49" eb="51">
      <t>ガクセイ</t>
    </rPh>
    <rPh sb="54" eb="56">
      <t>ジュギョウ</t>
    </rPh>
    <rPh sb="62" eb="64">
      <t>ケッカ</t>
    </rPh>
    <rPh sb="65" eb="67">
      <t>ブンセキ</t>
    </rPh>
    <rPh sb="68" eb="69">
      <t>オコナ</t>
    </rPh>
    <rPh sb="76" eb="78">
      <t>ガクシュウ</t>
    </rPh>
    <rPh sb="78" eb="80">
      <t>セイカ</t>
    </rPh>
    <rPh sb="81" eb="83">
      <t>テンケン</t>
    </rPh>
    <rPh sb="84" eb="86">
      <t>ヒョウカ</t>
    </rPh>
    <rPh sb="87" eb="88">
      <t>オコナ</t>
    </rPh>
    <phoneticPr fontId="1"/>
  </si>
  <si>
    <t>現代マネジメント学部</t>
    <rPh sb="0" eb="2">
      <t>ゲンダイ</t>
    </rPh>
    <rPh sb="8" eb="10">
      <t>ガクブ</t>
    </rPh>
    <phoneticPr fontId="1"/>
  </si>
  <si>
    <t>看護学部</t>
    <rPh sb="0" eb="2">
      <t>カンゴ</t>
    </rPh>
    <rPh sb="2" eb="4">
      <t>ガクブ</t>
    </rPh>
    <phoneticPr fontId="1"/>
  </si>
  <si>
    <t>国際コミュニケーション学部</t>
    <rPh sb="0" eb="2">
      <t>コクサイ</t>
    </rPh>
    <rPh sb="11" eb="13">
      <t>ガクブ</t>
    </rPh>
    <phoneticPr fontId="1"/>
  </si>
  <si>
    <t>文化情報学部</t>
    <rPh sb="0" eb="6">
      <t>ブンカジョウホウガクブ</t>
    </rPh>
    <phoneticPr fontId="1"/>
  </si>
  <si>
    <t>生活科学部</t>
    <rPh sb="0" eb="5">
      <t>セイカツカガクブ</t>
    </rPh>
    <phoneticPr fontId="1"/>
  </si>
  <si>
    <t>外国語学部</t>
    <rPh sb="0" eb="5">
      <t>ガイコクゴガクブ</t>
    </rPh>
    <phoneticPr fontId="1"/>
  </si>
  <si>
    <t>人間関係学部</t>
    <rPh sb="0" eb="6">
      <t>ニンゲンカンケイガクブ</t>
    </rPh>
    <phoneticPr fontId="1"/>
  </si>
  <si>
    <t>情報社会学部</t>
    <rPh sb="0" eb="6">
      <t>ジョウホウシャカイガクブ</t>
    </rPh>
    <phoneticPr fontId="1"/>
  </si>
  <si>
    <t>教育学部</t>
    <rPh sb="0" eb="4">
      <t>キョウイクガクブ</t>
    </rPh>
    <phoneticPr fontId="1"/>
  </si>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</sst>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45" xfId="0" applyNumberFormat="1" applyFont="1" applyBorder="1" applyAlignment="1">
      <alignment vertical="center" shrinkToFit="1"/>
    </xf>
    <xf numFmtId="38" fontId="11" fillId="0" borderId="1" xfId="0" applyNumberFormat="1" applyFont="1" applyBorder="1">
      <alignment vertical="center"/>
    </xf>
    <xf numFmtId="38" fontId="3" fillId="0" borderId="20" xfId="2"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11" fillId="0" borderId="1" xfId="0" applyFont="1" applyBorder="1" applyAlignment="1">
      <alignment horizontal="center" vertical="center"/>
    </xf>
    <xf numFmtId="0" fontId="2" fillId="0" borderId="14"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2" fillId="0" borderId="2"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N3" sqref="N3"/>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1" t="s">
        <v>12</v>
      </c>
      <c r="U1" s="121"/>
      <c r="V1" s="2" t="s">
        <v>94</v>
      </c>
    </row>
    <row r="2" spans="1:24" ht="18.75" customHeight="1" x14ac:dyDescent="0.15">
      <c r="B2" s="16" t="s">
        <v>93</v>
      </c>
      <c r="C2" s="90" t="s">
        <v>143</v>
      </c>
      <c r="D2" s="91"/>
      <c r="E2" s="91"/>
      <c r="F2" s="91"/>
      <c r="G2" s="91"/>
      <c r="H2" s="91"/>
      <c r="I2" s="91"/>
      <c r="J2" s="92"/>
      <c r="K2" s="17"/>
      <c r="L2" s="6"/>
      <c r="M2" s="6"/>
      <c r="N2" s="6"/>
      <c r="O2" s="6"/>
      <c r="P2" s="6"/>
      <c r="Q2" s="6"/>
      <c r="R2" s="6"/>
      <c r="S2" s="6"/>
      <c r="T2" s="6"/>
      <c r="U2" s="6"/>
    </row>
    <row r="3" spans="1:24" ht="18.75" customHeight="1" x14ac:dyDescent="0.15">
      <c r="B3" s="16" t="s">
        <v>88</v>
      </c>
      <c r="C3" s="122" t="s">
        <v>144</v>
      </c>
      <c r="D3" s="123"/>
      <c r="E3" s="123"/>
      <c r="F3" s="123"/>
      <c r="G3" s="123"/>
      <c r="H3" s="123"/>
      <c r="I3" s="123"/>
      <c r="J3" s="124"/>
      <c r="K3" s="17"/>
      <c r="L3" s="6"/>
      <c r="M3" s="6"/>
      <c r="N3" s="6"/>
      <c r="O3" s="6"/>
      <c r="P3" s="6"/>
      <c r="Q3" s="6"/>
      <c r="R3" s="6"/>
      <c r="S3" s="6"/>
      <c r="T3" s="6"/>
      <c r="U3" s="6"/>
    </row>
    <row r="4" spans="1:24" ht="15" customHeight="1" x14ac:dyDescent="0.15">
      <c r="L4" s="17"/>
      <c r="M4" s="72"/>
      <c r="N4" s="72"/>
      <c r="O4" s="72"/>
      <c r="P4" s="72"/>
      <c r="Q4" s="72"/>
      <c r="R4" s="72"/>
      <c r="S4" s="72"/>
      <c r="T4" s="72"/>
      <c r="U4" s="72"/>
    </row>
    <row r="5" spans="1:24" ht="18" customHeight="1" x14ac:dyDescent="0.15">
      <c r="A5" s="125" t="s">
        <v>141</v>
      </c>
      <c r="B5" s="125"/>
      <c r="C5" s="125"/>
      <c r="D5" s="125"/>
      <c r="E5" s="125"/>
      <c r="F5" s="125"/>
      <c r="G5" s="125"/>
      <c r="H5" s="125"/>
      <c r="I5" s="125"/>
      <c r="J5" s="125"/>
      <c r="K5" s="125"/>
      <c r="L5" s="125"/>
      <c r="M5" s="125"/>
      <c r="N5" s="125"/>
      <c r="O5" s="125"/>
      <c r="P5" s="125"/>
      <c r="Q5" s="125"/>
      <c r="R5" s="125"/>
      <c r="S5" s="125"/>
      <c r="T5" s="125"/>
      <c r="U5" s="125"/>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7" t="s">
        <v>180</v>
      </c>
      <c r="M7" s="88"/>
      <c r="N7" s="88"/>
      <c r="O7" s="88"/>
      <c r="P7" s="88"/>
      <c r="Q7" s="88"/>
      <c r="R7" s="88"/>
      <c r="S7" s="88"/>
      <c r="T7" s="88"/>
      <c r="U7" s="89"/>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7"/>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9"/>
      <c r="C11" s="100"/>
      <c r="D11" s="100"/>
      <c r="E11" s="100"/>
      <c r="F11" s="100"/>
      <c r="G11" s="100"/>
      <c r="H11" s="100"/>
      <c r="I11" s="100"/>
      <c r="J11" s="100"/>
      <c r="K11" s="100"/>
      <c r="L11" s="100"/>
      <c r="M11" s="100"/>
      <c r="N11" s="100"/>
      <c r="O11" s="100"/>
      <c r="P11" s="100"/>
      <c r="Q11" s="100"/>
      <c r="R11" s="100"/>
      <c r="S11" s="100"/>
      <c r="T11" s="100"/>
      <c r="U11" s="101"/>
    </row>
    <row r="12" spans="1:24" ht="18" customHeight="1" x14ac:dyDescent="0.15">
      <c r="B12" s="102"/>
      <c r="C12" s="103"/>
      <c r="D12" s="103"/>
      <c r="E12" s="103"/>
      <c r="F12" s="103"/>
      <c r="G12" s="103"/>
      <c r="H12" s="103"/>
      <c r="I12" s="103"/>
      <c r="J12" s="103"/>
      <c r="K12" s="103"/>
      <c r="L12" s="103"/>
      <c r="M12" s="103"/>
      <c r="N12" s="103"/>
      <c r="O12" s="103"/>
      <c r="P12" s="103"/>
      <c r="Q12" s="103"/>
      <c r="R12" s="103"/>
      <c r="S12" s="103"/>
      <c r="T12" s="103"/>
      <c r="U12" s="104"/>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7"/>
      <c r="F14" s="17"/>
      <c r="G14" s="17"/>
      <c r="H14" s="17"/>
      <c r="I14" s="17"/>
      <c r="J14" s="17"/>
      <c r="K14" s="17"/>
      <c r="L14" s="73"/>
      <c r="M14" s="73"/>
      <c r="N14" s="73"/>
      <c r="O14" s="73"/>
      <c r="P14" s="73"/>
      <c r="Q14" s="73"/>
      <c r="R14" s="73"/>
      <c r="S14" s="73"/>
      <c r="T14" s="73"/>
      <c r="U14" s="73"/>
    </row>
    <row r="15" spans="1:24" ht="18" customHeight="1" x14ac:dyDescent="0.15">
      <c r="B15" s="126" t="s">
        <v>145</v>
      </c>
      <c r="C15" s="127"/>
      <c r="D15" s="127"/>
      <c r="E15" s="127"/>
      <c r="F15" s="127"/>
      <c r="G15" s="127"/>
      <c r="H15" s="127"/>
      <c r="I15" s="127"/>
      <c r="J15" s="127"/>
      <c r="K15" s="127"/>
      <c r="L15" s="127"/>
      <c r="M15" s="127"/>
      <c r="N15" s="127"/>
      <c r="O15" s="127"/>
      <c r="P15" s="127"/>
      <c r="Q15" s="127"/>
      <c r="R15" s="127"/>
      <c r="S15" s="127"/>
      <c r="T15" s="127"/>
      <c r="U15" s="128"/>
      <c r="X15" s="1" t="s">
        <v>89</v>
      </c>
    </row>
    <row r="16" spans="1:24" ht="18" customHeight="1" x14ac:dyDescent="0.15">
      <c r="B16" s="129"/>
      <c r="C16" s="130"/>
      <c r="D16" s="130"/>
      <c r="E16" s="130"/>
      <c r="F16" s="130"/>
      <c r="G16" s="130"/>
      <c r="H16" s="130"/>
      <c r="I16" s="130"/>
      <c r="J16" s="130"/>
      <c r="K16" s="130"/>
      <c r="L16" s="130"/>
      <c r="M16" s="130"/>
      <c r="N16" s="130"/>
      <c r="O16" s="130"/>
      <c r="P16" s="130"/>
      <c r="Q16" s="130"/>
      <c r="R16" s="130"/>
      <c r="S16" s="130"/>
      <c r="T16" s="130"/>
      <c r="U16" s="131"/>
      <c r="X16" s="1" t="s">
        <v>122</v>
      </c>
    </row>
    <row r="17" spans="1:24" ht="18" customHeight="1" x14ac:dyDescent="0.15">
      <c r="B17" s="129"/>
      <c r="C17" s="130"/>
      <c r="D17" s="130"/>
      <c r="E17" s="130"/>
      <c r="F17" s="130"/>
      <c r="G17" s="130"/>
      <c r="H17" s="130"/>
      <c r="I17" s="130"/>
      <c r="J17" s="130"/>
      <c r="K17" s="130"/>
      <c r="L17" s="130"/>
      <c r="M17" s="130"/>
      <c r="N17" s="130"/>
      <c r="O17" s="130"/>
      <c r="P17" s="130"/>
      <c r="Q17" s="130"/>
      <c r="R17" s="130"/>
      <c r="S17" s="130"/>
      <c r="T17" s="130"/>
      <c r="U17" s="131"/>
      <c r="X17" s="1" t="s">
        <v>123</v>
      </c>
    </row>
    <row r="18" spans="1:24" ht="18" customHeight="1" x14ac:dyDescent="0.15">
      <c r="B18" s="129"/>
      <c r="C18" s="130"/>
      <c r="D18" s="130"/>
      <c r="E18" s="130"/>
      <c r="F18" s="130"/>
      <c r="G18" s="130"/>
      <c r="H18" s="130"/>
      <c r="I18" s="130"/>
      <c r="J18" s="130"/>
      <c r="K18" s="130"/>
      <c r="L18" s="130"/>
      <c r="M18" s="130"/>
      <c r="N18" s="130"/>
      <c r="O18" s="130"/>
      <c r="P18" s="130"/>
      <c r="Q18" s="130"/>
      <c r="R18" s="130"/>
      <c r="S18" s="130"/>
      <c r="T18" s="130"/>
      <c r="U18" s="131"/>
      <c r="X18" s="1" t="s">
        <v>124</v>
      </c>
    </row>
    <row r="19" spans="1:24" ht="18" customHeight="1" x14ac:dyDescent="0.15">
      <c r="B19" s="129"/>
      <c r="C19" s="130"/>
      <c r="D19" s="130"/>
      <c r="E19" s="130"/>
      <c r="F19" s="130"/>
      <c r="G19" s="130"/>
      <c r="H19" s="130"/>
      <c r="I19" s="130"/>
      <c r="J19" s="130"/>
      <c r="K19" s="130"/>
      <c r="L19" s="130"/>
      <c r="M19" s="130"/>
      <c r="N19" s="130"/>
      <c r="O19" s="130"/>
      <c r="P19" s="130"/>
      <c r="Q19" s="130"/>
      <c r="R19" s="130"/>
      <c r="S19" s="130"/>
      <c r="T19" s="130"/>
      <c r="U19" s="131"/>
    </row>
    <row r="20" spans="1:24" ht="18" customHeight="1" x14ac:dyDescent="0.15">
      <c r="B20" s="132"/>
      <c r="C20" s="133"/>
      <c r="D20" s="133"/>
      <c r="E20" s="133"/>
      <c r="F20" s="133"/>
      <c r="G20" s="133"/>
      <c r="H20" s="133"/>
      <c r="I20" s="133"/>
      <c r="J20" s="133"/>
      <c r="K20" s="133"/>
      <c r="L20" s="133"/>
      <c r="M20" s="133"/>
      <c r="N20" s="133"/>
      <c r="O20" s="133"/>
      <c r="P20" s="133"/>
      <c r="Q20" s="133"/>
      <c r="R20" s="133"/>
      <c r="S20" s="133"/>
      <c r="T20" s="133"/>
      <c r="U20" s="134"/>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4">
        <v>1</v>
      </c>
      <c r="F22" s="1" t="s">
        <v>107</v>
      </c>
      <c r="H22" s="18">
        <v>2</v>
      </c>
      <c r="I22" s="3" t="s">
        <v>108</v>
      </c>
      <c r="J22" s="3"/>
      <c r="K22" s="17"/>
      <c r="M22" s="17" t="s">
        <v>104</v>
      </c>
      <c r="N22" s="84" t="s">
        <v>124</v>
      </c>
      <c r="O22" s="85"/>
      <c r="P22" s="85"/>
      <c r="Q22" s="85"/>
      <c r="R22" s="85"/>
      <c r="S22" s="85"/>
      <c r="T22" s="85"/>
      <c r="U22" s="86"/>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4" t="s">
        <v>96</v>
      </c>
      <c r="B24" s="114"/>
      <c r="C24" s="114"/>
      <c r="D24" s="114"/>
      <c r="E24" s="114"/>
      <c r="F24" s="114"/>
      <c r="G24" s="114"/>
      <c r="H24" s="114"/>
      <c r="I24" s="114"/>
      <c r="J24" s="114"/>
      <c r="K24" s="114"/>
      <c r="L24" s="114"/>
      <c r="M24" s="114"/>
      <c r="N24" s="114"/>
      <c r="O24" s="114"/>
      <c r="P24" s="114"/>
      <c r="Q24" s="114"/>
      <c r="R24" s="114"/>
      <c r="S24" s="114"/>
      <c r="T24" s="114"/>
      <c r="U24" s="114"/>
    </row>
    <row r="25" spans="1:24" ht="18" customHeight="1" x14ac:dyDescent="0.15">
      <c r="A25" s="114"/>
      <c r="B25" s="114"/>
      <c r="C25" s="114"/>
      <c r="D25" s="114"/>
      <c r="E25" s="114"/>
      <c r="F25" s="114"/>
      <c r="G25" s="114"/>
      <c r="H25" s="114"/>
      <c r="I25" s="114"/>
      <c r="J25" s="114"/>
      <c r="K25" s="114"/>
      <c r="L25" s="114"/>
      <c r="M25" s="114"/>
      <c r="N25" s="114"/>
      <c r="O25" s="114"/>
      <c r="P25" s="114"/>
      <c r="Q25" s="114"/>
      <c r="R25" s="114"/>
      <c r="S25" s="114"/>
      <c r="T25" s="114"/>
      <c r="U25" s="114"/>
    </row>
    <row r="26" spans="1:24" ht="18" customHeight="1" x14ac:dyDescent="0.15">
      <c r="B26" s="90" t="s">
        <v>48</v>
      </c>
      <c r="C26" s="91"/>
      <c r="D26" s="91"/>
      <c r="E26" s="91"/>
      <c r="F26" s="92"/>
      <c r="G26" s="58" t="s">
        <v>73</v>
      </c>
      <c r="H26" s="59" t="s">
        <v>76</v>
      </c>
      <c r="I26" s="60" t="s">
        <v>51</v>
      </c>
      <c r="J26" s="60" t="s">
        <v>54</v>
      </c>
      <c r="K26" s="90" t="s">
        <v>48</v>
      </c>
      <c r="L26" s="91"/>
      <c r="M26" s="91"/>
      <c r="N26" s="91"/>
      <c r="O26" s="91"/>
      <c r="P26" s="91"/>
      <c r="Q26" s="92"/>
      <c r="R26" s="58" t="s">
        <v>73</v>
      </c>
      <c r="S26" s="59" t="s">
        <v>76</v>
      </c>
      <c r="T26" s="60" t="s">
        <v>51</v>
      </c>
      <c r="U26" s="60" t="s">
        <v>54</v>
      </c>
    </row>
    <row r="27" spans="1:24" ht="18" customHeight="1" x14ac:dyDescent="0.15">
      <c r="B27" s="111" t="s">
        <v>146</v>
      </c>
      <c r="C27" s="112"/>
      <c r="D27" s="112"/>
      <c r="E27" s="112"/>
      <c r="F27" s="113"/>
      <c r="G27" s="61">
        <v>2</v>
      </c>
      <c r="H27" s="61" t="s">
        <v>147</v>
      </c>
      <c r="I27" s="61" t="s">
        <v>147</v>
      </c>
      <c r="J27" s="61" t="s">
        <v>147</v>
      </c>
      <c r="K27" s="111"/>
      <c r="L27" s="112"/>
      <c r="M27" s="112"/>
      <c r="N27" s="112"/>
      <c r="O27" s="112"/>
      <c r="P27" s="112"/>
      <c r="Q27" s="113"/>
      <c r="R27" s="61"/>
      <c r="S27" s="61"/>
      <c r="T27" s="61"/>
      <c r="U27" s="61"/>
    </row>
    <row r="28" spans="1:24" ht="18" customHeight="1" x14ac:dyDescent="0.15">
      <c r="B28" s="105"/>
      <c r="C28" s="106"/>
      <c r="D28" s="106"/>
      <c r="E28" s="106"/>
      <c r="F28" s="107"/>
      <c r="G28" s="62"/>
      <c r="H28" s="62"/>
      <c r="I28" s="62"/>
      <c r="J28" s="62"/>
      <c r="K28" s="105"/>
      <c r="L28" s="106"/>
      <c r="M28" s="106"/>
      <c r="N28" s="106"/>
      <c r="O28" s="106"/>
      <c r="P28" s="106"/>
      <c r="Q28" s="107"/>
      <c r="R28" s="62"/>
      <c r="S28" s="62"/>
      <c r="T28" s="62"/>
      <c r="U28" s="62"/>
    </row>
    <row r="29" spans="1:24" ht="18" customHeight="1" x14ac:dyDescent="0.15">
      <c r="B29" s="105"/>
      <c r="C29" s="106"/>
      <c r="D29" s="106"/>
      <c r="E29" s="106"/>
      <c r="F29" s="107"/>
      <c r="G29" s="62"/>
      <c r="H29" s="62"/>
      <c r="I29" s="62"/>
      <c r="J29" s="62"/>
      <c r="K29" s="105"/>
      <c r="L29" s="106"/>
      <c r="M29" s="106"/>
      <c r="N29" s="106"/>
      <c r="O29" s="106"/>
      <c r="P29" s="106"/>
      <c r="Q29" s="107"/>
      <c r="R29" s="62"/>
      <c r="S29" s="62"/>
      <c r="T29" s="62"/>
      <c r="U29" s="62"/>
    </row>
    <row r="30" spans="1:24" ht="18" customHeight="1" x14ac:dyDescent="0.15">
      <c r="B30" s="105"/>
      <c r="C30" s="106"/>
      <c r="D30" s="106"/>
      <c r="E30" s="106"/>
      <c r="F30" s="107"/>
      <c r="G30" s="62"/>
      <c r="H30" s="62"/>
      <c r="I30" s="62"/>
      <c r="J30" s="62"/>
      <c r="K30" s="105"/>
      <c r="L30" s="106"/>
      <c r="M30" s="106"/>
      <c r="N30" s="106"/>
      <c r="O30" s="106"/>
      <c r="P30" s="106"/>
      <c r="Q30" s="107"/>
      <c r="R30" s="62"/>
      <c r="S30" s="62"/>
      <c r="T30" s="62"/>
      <c r="U30" s="62"/>
    </row>
    <row r="31" spans="1:24" ht="18" customHeight="1" x14ac:dyDescent="0.15">
      <c r="B31" s="105"/>
      <c r="C31" s="106"/>
      <c r="D31" s="106"/>
      <c r="E31" s="106"/>
      <c r="F31" s="107"/>
      <c r="G31" s="62"/>
      <c r="H31" s="62"/>
      <c r="I31" s="62"/>
      <c r="J31" s="62"/>
      <c r="K31" s="105"/>
      <c r="L31" s="106"/>
      <c r="M31" s="106"/>
      <c r="N31" s="106"/>
      <c r="O31" s="106"/>
      <c r="P31" s="106"/>
      <c r="Q31" s="107"/>
      <c r="R31" s="62"/>
      <c r="S31" s="62"/>
      <c r="T31" s="62"/>
      <c r="U31" s="62"/>
    </row>
    <row r="32" spans="1:24" ht="18" customHeight="1" x14ac:dyDescent="0.15">
      <c r="A32" s="3"/>
      <c r="B32" s="105"/>
      <c r="C32" s="106"/>
      <c r="D32" s="106"/>
      <c r="E32" s="106"/>
      <c r="F32" s="107"/>
      <c r="G32" s="62"/>
      <c r="H32" s="62"/>
      <c r="I32" s="62"/>
      <c r="J32" s="62"/>
      <c r="K32" s="105"/>
      <c r="L32" s="106"/>
      <c r="M32" s="106"/>
      <c r="N32" s="106"/>
      <c r="O32" s="106"/>
      <c r="P32" s="106"/>
      <c r="Q32" s="107"/>
      <c r="R32" s="62"/>
      <c r="S32" s="62"/>
      <c r="T32" s="62"/>
      <c r="U32" s="62"/>
    </row>
    <row r="33" spans="1:21" ht="18" customHeight="1" x14ac:dyDescent="0.15">
      <c r="A33" s="3"/>
      <c r="B33" s="108"/>
      <c r="C33" s="109"/>
      <c r="D33" s="109"/>
      <c r="E33" s="109"/>
      <c r="F33" s="110"/>
      <c r="G33" s="63"/>
      <c r="H33" s="63"/>
      <c r="I33" s="64"/>
      <c r="J33" s="64"/>
      <c r="K33" s="108"/>
      <c r="L33" s="109"/>
      <c r="M33" s="109"/>
      <c r="N33" s="109"/>
      <c r="O33" s="109"/>
      <c r="P33" s="109"/>
      <c r="Q33" s="110"/>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4" t="s">
        <v>97</v>
      </c>
      <c r="B35" s="114"/>
      <c r="C35" s="114"/>
      <c r="D35" s="114"/>
      <c r="E35" s="114"/>
      <c r="F35" s="114"/>
      <c r="G35" s="114"/>
      <c r="H35" s="114"/>
      <c r="I35" s="114"/>
      <c r="J35" s="114"/>
      <c r="K35" s="114"/>
      <c r="L35" s="114"/>
      <c r="M35" s="114"/>
      <c r="N35" s="114"/>
      <c r="O35" s="114"/>
      <c r="P35" s="114"/>
      <c r="Q35" s="114"/>
      <c r="R35" s="114"/>
      <c r="S35" s="114"/>
      <c r="T35" s="114"/>
      <c r="U35" s="114"/>
    </row>
    <row r="36" spans="1:21" ht="18" customHeight="1" x14ac:dyDescent="0.15">
      <c r="A36" s="114"/>
      <c r="B36" s="114"/>
      <c r="C36" s="114"/>
      <c r="D36" s="114"/>
      <c r="E36" s="114"/>
      <c r="F36" s="114"/>
      <c r="G36" s="114"/>
      <c r="H36" s="114"/>
      <c r="I36" s="114"/>
      <c r="J36" s="114"/>
      <c r="K36" s="114"/>
      <c r="L36" s="114"/>
      <c r="M36" s="114"/>
      <c r="N36" s="114"/>
      <c r="O36" s="114"/>
      <c r="P36" s="114"/>
      <c r="Q36" s="114"/>
      <c r="R36" s="114"/>
      <c r="S36" s="114"/>
      <c r="T36" s="114"/>
      <c r="U36" s="114"/>
    </row>
    <row r="37" spans="1:21" ht="18" customHeight="1" x14ac:dyDescent="0.15">
      <c r="B37" s="90" t="s">
        <v>48</v>
      </c>
      <c r="C37" s="91"/>
      <c r="D37" s="91"/>
      <c r="E37" s="91"/>
      <c r="F37" s="92"/>
      <c r="G37" s="58" t="s">
        <v>73</v>
      </c>
      <c r="H37" s="59" t="s">
        <v>76</v>
      </c>
      <c r="I37" s="60" t="s">
        <v>64</v>
      </c>
      <c r="J37" s="60" t="s">
        <v>65</v>
      </c>
      <c r="K37" s="90" t="s">
        <v>48</v>
      </c>
      <c r="L37" s="91"/>
      <c r="M37" s="91"/>
      <c r="N37" s="91"/>
      <c r="O37" s="91"/>
      <c r="P37" s="91"/>
      <c r="Q37" s="92"/>
      <c r="R37" s="58" t="s">
        <v>73</v>
      </c>
      <c r="S37" s="59" t="s">
        <v>76</v>
      </c>
      <c r="T37" s="60" t="s">
        <v>64</v>
      </c>
      <c r="U37" s="60" t="s">
        <v>65</v>
      </c>
    </row>
    <row r="38" spans="1:21" ht="18" customHeight="1" x14ac:dyDescent="0.15">
      <c r="B38" s="111" t="s">
        <v>146</v>
      </c>
      <c r="C38" s="112"/>
      <c r="D38" s="112"/>
      <c r="E38" s="112"/>
      <c r="F38" s="113"/>
      <c r="G38" s="61">
        <v>2</v>
      </c>
      <c r="H38" s="61" t="s">
        <v>147</v>
      </c>
      <c r="I38" s="61" t="s">
        <v>147</v>
      </c>
      <c r="J38" s="61" t="s">
        <v>147</v>
      </c>
      <c r="K38" s="111"/>
      <c r="L38" s="112"/>
      <c r="M38" s="112"/>
      <c r="N38" s="112"/>
      <c r="O38" s="112"/>
      <c r="P38" s="112"/>
      <c r="Q38" s="113"/>
      <c r="R38" s="61"/>
      <c r="S38" s="61"/>
      <c r="T38" s="61"/>
      <c r="U38" s="61"/>
    </row>
    <row r="39" spans="1:21" ht="18" customHeight="1" x14ac:dyDescent="0.15">
      <c r="B39" s="105"/>
      <c r="C39" s="106"/>
      <c r="D39" s="106"/>
      <c r="E39" s="106"/>
      <c r="F39" s="107"/>
      <c r="G39" s="62"/>
      <c r="H39" s="62"/>
      <c r="I39" s="62"/>
      <c r="J39" s="62"/>
      <c r="K39" s="105"/>
      <c r="L39" s="106"/>
      <c r="M39" s="106"/>
      <c r="N39" s="106"/>
      <c r="O39" s="106"/>
      <c r="P39" s="106"/>
      <c r="Q39" s="107"/>
      <c r="R39" s="62"/>
      <c r="S39" s="62"/>
      <c r="T39" s="62"/>
      <c r="U39" s="62"/>
    </row>
    <row r="40" spans="1:21" ht="18" customHeight="1" x14ac:dyDescent="0.15">
      <c r="B40" s="105"/>
      <c r="C40" s="106"/>
      <c r="D40" s="106"/>
      <c r="E40" s="106"/>
      <c r="F40" s="107"/>
      <c r="G40" s="62"/>
      <c r="H40" s="62"/>
      <c r="I40" s="62"/>
      <c r="J40" s="62"/>
      <c r="K40" s="105"/>
      <c r="L40" s="106"/>
      <c r="M40" s="106"/>
      <c r="N40" s="106"/>
      <c r="O40" s="106"/>
      <c r="P40" s="106"/>
      <c r="Q40" s="107"/>
      <c r="R40" s="62"/>
      <c r="S40" s="62"/>
      <c r="T40" s="62"/>
      <c r="U40" s="62"/>
    </row>
    <row r="41" spans="1:21" ht="18" customHeight="1" x14ac:dyDescent="0.15">
      <c r="B41" s="105"/>
      <c r="C41" s="106"/>
      <c r="D41" s="106"/>
      <c r="E41" s="106"/>
      <c r="F41" s="107"/>
      <c r="G41" s="62"/>
      <c r="H41" s="62"/>
      <c r="I41" s="62"/>
      <c r="J41" s="62"/>
      <c r="K41" s="105"/>
      <c r="L41" s="106"/>
      <c r="M41" s="106"/>
      <c r="N41" s="106"/>
      <c r="O41" s="106"/>
      <c r="P41" s="106"/>
      <c r="Q41" s="107"/>
      <c r="R41" s="62"/>
      <c r="S41" s="62"/>
      <c r="T41" s="62"/>
      <c r="U41" s="62"/>
    </row>
    <row r="42" spans="1:21" ht="18" customHeight="1" x14ac:dyDescent="0.15">
      <c r="B42" s="105"/>
      <c r="C42" s="106"/>
      <c r="D42" s="106"/>
      <c r="E42" s="106"/>
      <c r="F42" s="107"/>
      <c r="G42" s="62"/>
      <c r="H42" s="62"/>
      <c r="I42" s="62"/>
      <c r="J42" s="62"/>
      <c r="K42" s="105"/>
      <c r="L42" s="106"/>
      <c r="M42" s="106"/>
      <c r="N42" s="106"/>
      <c r="O42" s="106"/>
      <c r="P42" s="106"/>
      <c r="Q42" s="107"/>
      <c r="R42" s="62"/>
      <c r="S42" s="62"/>
      <c r="T42" s="62"/>
      <c r="U42" s="62"/>
    </row>
    <row r="43" spans="1:21" ht="18" customHeight="1" x14ac:dyDescent="0.15">
      <c r="B43" s="105"/>
      <c r="C43" s="106"/>
      <c r="D43" s="106"/>
      <c r="E43" s="106"/>
      <c r="F43" s="107"/>
      <c r="G43" s="62"/>
      <c r="H43" s="62"/>
      <c r="I43" s="62"/>
      <c r="J43" s="62"/>
      <c r="K43" s="105"/>
      <c r="L43" s="106"/>
      <c r="M43" s="106"/>
      <c r="N43" s="106"/>
      <c r="O43" s="106"/>
      <c r="P43" s="106"/>
      <c r="Q43" s="107"/>
      <c r="R43" s="62"/>
      <c r="S43" s="62"/>
      <c r="T43" s="62"/>
      <c r="U43" s="62"/>
    </row>
    <row r="44" spans="1:21" ht="18" customHeight="1" x14ac:dyDescent="0.15">
      <c r="B44" s="108"/>
      <c r="C44" s="109"/>
      <c r="D44" s="109"/>
      <c r="E44" s="109"/>
      <c r="F44" s="110"/>
      <c r="G44" s="63"/>
      <c r="H44" s="63"/>
      <c r="I44" s="64"/>
      <c r="J44" s="64"/>
      <c r="K44" s="108"/>
      <c r="L44" s="109"/>
      <c r="M44" s="109"/>
      <c r="N44" s="109"/>
      <c r="O44" s="109"/>
      <c r="P44" s="109"/>
      <c r="Q44" s="110"/>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4" t="s">
        <v>98</v>
      </c>
      <c r="B46" s="114"/>
      <c r="C46" s="114"/>
      <c r="D46" s="114"/>
      <c r="E46" s="114"/>
      <c r="F46" s="114"/>
      <c r="G46" s="114"/>
      <c r="H46" s="114"/>
      <c r="I46" s="114"/>
      <c r="J46" s="114"/>
      <c r="K46" s="114"/>
      <c r="L46" s="114"/>
      <c r="M46" s="114"/>
      <c r="N46" s="114"/>
      <c r="O46" s="114"/>
      <c r="P46" s="114"/>
      <c r="Q46" s="114"/>
      <c r="R46" s="114"/>
      <c r="S46" s="114"/>
      <c r="T46" s="114"/>
      <c r="U46" s="114"/>
    </row>
    <row r="47" spans="1:21" ht="18" customHeight="1" x14ac:dyDescent="0.15">
      <c r="A47" s="114"/>
      <c r="B47" s="114"/>
      <c r="C47" s="114"/>
      <c r="D47" s="114"/>
      <c r="E47" s="114"/>
      <c r="F47" s="114"/>
      <c r="G47" s="114"/>
      <c r="H47" s="114"/>
      <c r="I47" s="114"/>
      <c r="J47" s="114"/>
      <c r="K47" s="114"/>
      <c r="L47" s="114"/>
      <c r="M47" s="114"/>
      <c r="N47" s="114"/>
      <c r="O47" s="114"/>
      <c r="P47" s="114"/>
      <c r="Q47" s="114"/>
      <c r="R47" s="114"/>
      <c r="S47" s="114"/>
      <c r="T47" s="114"/>
      <c r="U47" s="114"/>
    </row>
    <row r="48" spans="1:21" ht="18" customHeight="1" x14ac:dyDescent="0.15">
      <c r="B48" s="90" t="s">
        <v>48</v>
      </c>
      <c r="C48" s="91"/>
      <c r="D48" s="91"/>
      <c r="E48" s="91"/>
      <c r="F48" s="92"/>
      <c r="G48" s="58" t="s">
        <v>73</v>
      </c>
      <c r="H48" s="59" t="s">
        <v>76</v>
      </c>
      <c r="I48" s="60" t="s">
        <v>66</v>
      </c>
      <c r="J48" s="60" t="s">
        <v>67</v>
      </c>
      <c r="K48" s="90" t="s">
        <v>48</v>
      </c>
      <c r="L48" s="91"/>
      <c r="M48" s="91"/>
      <c r="N48" s="91"/>
      <c r="O48" s="91"/>
      <c r="P48" s="91"/>
      <c r="Q48" s="92"/>
      <c r="R48" s="58" t="s">
        <v>73</v>
      </c>
      <c r="S48" s="59" t="s">
        <v>76</v>
      </c>
      <c r="T48" s="60" t="s">
        <v>66</v>
      </c>
      <c r="U48" s="60" t="s">
        <v>67</v>
      </c>
    </row>
    <row r="49" spans="1:21" ht="18" customHeight="1" x14ac:dyDescent="0.15">
      <c r="A49" s="3"/>
      <c r="B49" s="111" t="s">
        <v>146</v>
      </c>
      <c r="C49" s="112"/>
      <c r="D49" s="112"/>
      <c r="E49" s="112"/>
      <c r="F49" s="113"/>
      <c r="G49" s="61">
        <v>2</v>
      </c>
      <c r="H49" s="61" t="s">
        <v>147</v>
      </c>
      <c r="I49" s="61" t="s">
        <v>147</v>
      </c>
      <c r="J49" s="61" t="s">
        <v>147</v>
      </c>
      <c r="K49" s="111"/>
      <c r="L49" s="112"/>
      <c r="M49" s="112"/>
      <c r="N49" s="112"/>
      <c r="O49" s="112"/>
      <c r="P49" s="112"/>
      <c r="Q49" s="113"/>
      <c r="R49" s="61"/>
      <c r="S49" s="61"/>
      <c r="T49" s="61"/>
      <c r="U49" s="61"/>
    </row>
    <row r="50" spans="1:21" ht="18" customHeight="1" x14ac:dyDescent="0.15">
      <c r="A50" s="3"/>
      <c r="B50" s="105"/>
      <c r="C50" s="106"/>
      <c r="D50" s="106"/>
      <c r="E50" s="106"/>
      <c r="F50" s="107"/>
      <c r="G50" s="62"/>
      <c r="H50" s="62"/>
      <c r="I50" s="62"/>
      <c r="J50" s="62"/>
      <c r="K50" s="105"/>
      <c r="L50" s="106"/>
      <c r="M50" s="106"/>
      <c r="N50" s="106"/>
      <c r="O50" s="106"/>
      <c r="P50" s="106"/>
      <c r="Q50" s="107"/>
      <c r="R50" s="62"/>
      <c r="S50" s="62"/>
      <c r="T50" s="62"/>
      <c r="U50" s="62"/>
    </row>
    <row r="51" spans="1:21" ht="18" customHeight="1" x14ac:dyDescent="0.15">
      <c r="A51" s="3"/>
      <c r="B51" s="105"/>
      <c r="C51" s="106"/>
      <c r="D51" s="106"/>
      <c r="E51" s="106"/>
      <c r="F51" s="107"/>
      <c r="G51" s="62"/>
      <c r="H51" s="62"/>
      <c r="I51" s="62"/>
      <c r="J51" s="62"/>
      <c r="K51" s="105"/>
      <c r="L51" s="106"/>
      <c r="M51" s="106"/>
      <c r="N51" s="106"/>
      <c r="O51" s="106"/>
      <c r="P51" s="106"/>
      <c r="Q51" s="107"/>
      <c r="R51" s="62"/>
      <c r="S51" s="62"/>
      <c r="T51" s="62"/>
      <c r="U51" s="62"/>
    </row>
    <row r="52" spans="1:21" ht="18" customHeight="1" x14ac:dyDescent="0.15">
      <c r="A52" s="3"/>
      <c r="B52" s="105"/>
      <c r="C52" s="106"/>
      <c r="D52" s="106"/>
      <c r="E52" s="106"/>
      <c r="F52" s="107"/>
      <c r="G52" s="62"/>
      <c r="H52" s="62"/>
      <c r="I52" s="62"/>
      <c r="J52" s="62"/>
      <c r="K52" s="105"/>
      <c r="L52" s="106"/>
      <c r="M52" s="106"/>
      <c r="N52" s="106"/>
      <c r="O52" s="106"/>
      <c r="P52" s="106"/>
      <c r="Q52" s="107"/>
      <c r="R52" s="62"/>
      <c r="S52" s="62"/>
      <c r="T52" s="62"/>
      <c r="U52" s="62"/>
    </row>
    <row r="53" spans="1:21" ht="18" customHeight="1" x14ac:dyDescent="0.15">
      <c r="A53" s="3"/>
      <c r="B53" s="105"/>
      <c r="C53" s="106"/>
      <c r="D53" s="106"/>
      <c r="E53" s="106"/>
      <c r="F53" s="107"/>
      <c r="G53" s="62"/>
      <c r="H53" s="62"/>
      <c r="I53" s="62"/>
      <c r="J53" s="62"/>
      <c r="K53" s="105"/>
      <c r="L53" s="106"/>
      <c r="M53" s="106"/>
      <c r="N53" s="106"/>
      <c r="O53" s="106"/>
      <c r="P53" s="106"/>
      <c r="Q53" s="107"/>
      <c r="R53" s="62"/>
      <c r="S53" s="62"/>
      <c r="T53" s="62"/>
      <c r="U53" s="62"/>
    </row>
    <row r="54" spans="1:21" ht="18" customHeight="1" x14ac:dyDescent="0.15">
      <c r="A54" s="3"/>
      <c r="B54" s="105"/>
      <c r="C54" s="106"/>
      <c r="D54" s="106"/>
      <c r="E54" s="106"/>
      <c r="F54" s="107"/>
      <c r="G54" s="62"/>
      <c r="H54" s="62"/>
      <c r="I54" s="62"/>
      <c r="J54" s="62"/>
      <c r="K54" s="105"/>
      <c r="L54" s="106"/>
      <c r="M54" s="106"/>
      <c r="N54" s="106"/>
      <c r="O54" s="106"/>
      <c r="P54" s="106"/>
      <c r="Q54" s="107"/>
      <c r="R54" s="62"/>
      <c r="S54" s="62"/>
      <c r="T54" s="62"/>
      <c r="U54" s="62"/>
    </row>
    <row r="55" spans="1:21" ht="18" customHeight="1" x14ac:dyDescent="0.15">
      <c r="A55" s="3"/>
      <c r="B55" s="108"/>
      <c r="C55" s="109"/>
      <c r="D55" s="109"/>
      <c r="E55" s="109"/>
      <c r="F55" s="110"/>
      <c r="G55" s="63"/>
      <c r="H55" s="63"/>
      <c r="I55" s="64"/>
      <c r="J55" s="64"/>
      <c r="K55" s="108"/>
      <c r="L55" s="109"/>
      <c r="M55" s="109"/>
      <c r="N55" s="109"/>
      <c r="O55" s="109"/>
      <c r="P55" s="109"/>
      <c r="Q55" s="110"/>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4" t="s">
        <v>99</v>
      </c>
      <c r="B57" s="114"/>
      <c r="C57" s="114"/>
      <c r="D57" s="114"/>
      <c r="E57" s="114"/>
      <c r="F57" s="114"/>
      <c r="G57" s="114"/>
      <c r="H57" s="114"/>
      <c r="I57" s="114"/>
      <c r="J57" s="114"/>
      <c r="K57" s="114"/>
      <c r="L57" s="114"/>
      <c r="M57" s="114"/>
      <c r="N57" s="114"/>
      <c r="O57" s="114"/>
      <c r="P57" s="114"/>
      <c r="Q57" s="114"/>
      <c r="R57" s="114"/>
      <c r="S57" s="114"/>
      <c r="T57" s="114"/>
      <c r="U57" s="114"/>
    </row>
    <row r="58" spans="1:21" ht="18" customHeight="1" x14ac:dyDescent="0.15">
      <c r="A58" s="114"/>
      <c r="B58" s="114"/>
      <c r="C58" s="114"/>
      <c r="D58" s="114"/>
      <c r="E58" s="114"/>
      <c r="F58" s="114"/>
      <c r="G58" s="114"/>
      <c r="H58" s="114"/>
      <c r="I58" s="114"/>
      <c r="J58" s="114"/>
      <c r="K58" s="114"/>
      <c r="L58" s="114"/>
      <c r="M58" s="114"/>
      <c r="N58" s="114"/>
      <c r="O58" s="114"/>
      <c r="P58" s="114"/>
      <c r="Q58" s="114"/>
      <c r="R58" s="114"/>
      <c r="S58" s="114"/>
      <c r="T58" s="114"/>
      <c r="U58" s="114"/>
    </row>
    <row r="59" spans="1:21" ht="18" customHeight="1" x14ac:dyDescent="0.15">
      <c r="B59" s="90" t="s">
        <v>48</v>
      </c>
      <c r="C59" s="91"/>
      <c r="D59" s="91"/>
      <c r="E59" s="91"/>
      <c r="F59" s="92"/>
      <c r="G59" s="58" t="s">
        <v>73</v>
      </c>
      <c r="H59" s="59" t="s">
        <v>76</v>
      </c>
      <c r="I59" s="60" t="s">
        <v>53</v>
      </c>
      <c r="J59" s="60" t="s">
        <v>55</v>
      </c>
      <c r="K59" s="90" t="s">
        <v>48</v>
      </c>
      <c r="L59" s="91"/>
      <c r="M59" s="91"/>
      <c r="N59" s="91"/>
      <c r="O59" s="91"/>
      <c r="P59" s="91"/>
      <c r="Q59" s="92"/>
      <c r="R59" s="58" t="s">
        <v>73</v>
      </c>
      <c r="S59" s="59" t="s">
        <v>76</v>
      </c>
      <c r="T59" s="60" t="s">
        <v>53</v>
      </c>
      <c r="U59" s="60" t="s">
        <v>55</v>
      </c>
    </row>
    <row r="60" spans="1:21" ht="18" customHeight="1" x14ac:dyDescent="0.15">
      <c r="A60" s="3"/>
      <c r="B60" s="111" t="s">
        <v>146</v>
      </c>
      <c r="C60" s="112"/>
      <c r="D60" s="112"/>
      <c r="E60" s="112"/>
      <c r="F60" s="113"/>
      <c r="G60" s="61">
        <v>2</v>
      </c>
      <c r="H60" s="61" t="s">
        <v>147</v>
      </c>
      <c r="I60" s="61" t="s">
        <v>147</v>
      </c>
      <c r="J60" s="61" t="s">
        <v>147</v>
      </c>
      <c r="K60" s="111"/>
      <c r="L60" s="112"/>
      <c r="M60" s="112"/>
      <c r="N60" s="112"/>
      <c r="O60" s="112"/>
      <c r="P60" s="112"/>
      <c r="Q60" s="113"/>
      <c r="R60" s="61"/>
      <c r="S60" s="61"/>
      <c r="T60" s="61"/>
      <c r="U60" s="61"/>
    </row>
    <row r="61" spans="1:21" ht="18" customHeight="1" x14ac:dyDescent="0.15">
      <c r="A61" s="3"/>
      <c r="B61" s="105"/>
      <c r="C61" s="106"/>
      <c r="D61" s="106"/>
      <c r="E61" s="106"/>
      <c r="F61" s="107"/>
      <c r="G61" s="62"/>
      <c r="H61" s="62"/>
      <c r="I61" s="62"/>
      <c r="J61" s="62"/>
      <c r="K61" s="105"/>
      <c r="L61" s="106"/>
      <c r="M61" s="106"/>
      <c r="N61" s="106"/>
      <c r="O61" s="106"/>
      <c r="P61" s="106"/>
      <c r="Q61" s="107"/>
      <c r="R61" s="62"/>
      <c r="S61" s="62"/>
      <c r="T61" s="62"/>
      <c r="U61" s="62"/>
    </row>
    <row r="62" spans="1:21" ht="18" customHeight="1" x14ac:dyDescent="0.15">
      <c r="A62" s="3"/>
      <c r="B62" s="105"/>
      <c r="C62" s="106"/>
      <c r="D62" s="106"/>
      <c r="E62" s="106"/>
      <c r="F62" s="107"/>
      <c r="G62" s="62"/>
      <c r="H62" s="62"/>
      <c r="I62" s="62"/>
      <c r="J62" s="62"/>
      <c r="K62" s="105"/>
      <c r="L62" s="106"/>
      <c r="M62" s="106"/>
      <c r="N62" s="106"/>
      <c r="O62" s="106"/>
      <c r="P62" s="106"/>
      <c r="Q62" s="107"/>
      <c r="R62" s="62"/>
      <c r="S62" s="62"/>
      <c r="T62" s="62"/>
      <c r="U62" s="62"/>
    </row>
    <row r="63" spans="1:21" ht="18" customHeight="1" x14ac:dyDescent="0.15">
      <c r="A63" s="3"/>
      <c r="B63" s="105"/>
      <c r="C63" s="106"/>
      <c r="D63" s="106"/>
      <c r="E63" s="106"/>
      <c r="F63" s="107"/>
      <c r="G63" s="62"/>
      <c r="H63" s="62"/>
      <c r="I63" s="62"/>
      <c r="J63" s="62"/>
      <c r="K63" s="105"/>
      <c r="L63" s="106"/>
      <c r="M63" s="106"/>
      <c r="N63" s="106"/>
      <c r="O63" s="106"/>
      <c r="P63" s="106"/>
      <c r="Q63" s="107"/>
      <c r="R63" s="62"/>
      <c r="S63" s="62"/>
      <c r="T63" s="62"/>
      <c r="U63" s="62"/>
    </row>
    <row r="64" spans="1:21" ht="18" customHeight="1" x14ac:dyDescent="0.15">
      <c r="A64" s="3"/>
      <c r="B64" s="105"/>
      <c r="C64" s="106"/>
      <c r="D64" s="106"/>
      <c r="E64" s="106"/>
      <c r="F64" s="107"/>
      <c r="G64" s="62"/>
      <c r="H64" s="62"/>
      <c r="I64" s="62"/>
      <c r="J64" s="62"/>
      <c r="K64" s="105"/>
      <c r="L64" s="106"/>
      <c r="M64" s="106"/>
      <c r="N64" s="106"/>
      <c r="O64" s="106"/>
      <c r="P64" s="106"/>
      <c r="Q64" s="107"/>
      <c r="R64" s="62"/>
      <c r="S64" s="62"/>
      <c r="T64" s="62"/>
      <c r="U64" s="62"/>
    </row>
    <row r="65" spans="1:27" ht="18" customHeight="1" x14ac:dyDescent="0.15">
      <c r="A65" s="3"/>
      <c r="B65" s="105"/>
      <c r="C65" s="106"/>
      <c r="D65" s="106"/>
      <c r="E65" s="106"/>
      <c r="F65" s="107"/>
      <c r="G65" s="62"/>
      <c r="H65" s="62"/>
      <c r="I65" s="62"/>
      <c r="J65" s="62"/>
      <c r="K65" s="105"/>
      <c r="L65" s="106"/>
      <c r="M65" s="106"/>
      <c r="N65" s="106"/>
      <c r="O65" s="106"/>
      <c r="P65" s="106"/>
      <c r="Q65" s="107"/>
      <c r="R65" s="62"/>
      <c r="S65" s="62"/>
      <c r="T65" s="62"/>
      <c r="U65" s="62"/>
    </row>
    <row r="66" spans="1:27" ht="18" customHeight="1" x14ac:dyDescent="0.15">
      <c r="A66" s="3"/>
      <c r="B66" s="108"/>
      <c r="C66" s="109"/>
      <c r="D66" s="109"/>
      <c r="E66" s="109"/>
      <c r="F66" s="110"/>
      <c r="G66" s="63"/>
      <c r="H66" s="63"/>
      <c r="I66" s="64"/>
      <c r="J66" s="64"/>
      <c r="K66" s="108"/>
      <c r="L66" s="109"/>
      <c r="M66" s="109"/>
      <c r="N66" s="109"/>
      <c r="O66" s="109"/>
      <c r="P66" s="109"/>
      <c r="Q66" s="110"/>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4" t="s">
        <v>100</v>
      </c>
      <c r="B68" s="114"/>
      <c r="C68" s="114"/>
      <c r="D68" s="114"/>
      <c r="E68" s="114"/>
      <c r="F68" s="114"/>
      <c r="G68" s="114"/>
      <c r="H68" s="114"/>
      <c r="I68" s="114"/>
      <c r="J68" s="114"/>
      <c r="K68" s="114"/>
      <c r="L68" s="114"/>
      <c r="M68" s="114"/>
      <c r="N68" s="114"/>
      <c r="O68" s="114"/>
      <c r="P68" s="114"/>
      <c r="Q68" s="114"/>
      <c r="R68" s="114"/>
      <c r="S68" s="114"/>
      <c r="T68" s="114"/>
      <c r="U68" s="114"/>
    </row>
    <row r="69" spans="1:27" ht="18" customHeight="1" x14ac:dyDescent="0.15">
      <c r="A69" s="114"/>
      <c r="B69" s="114"/>
      <c r="C69" s="114"/>
      <c r="D69" s="114"/>
      <c r="E69" s="114"/>
      <c r="F69" s="114"/>
      <c r="G69" s="114"/>
      <c r="H69" s="114"/>
      <c r="I69" s="114"/>
      <c r="J69" s="114"/>
      <c r="K69" s="114"/>
      <c r="L69" s="114"/>
      <c r="M69" s="114"/>
      <c r="N69" s="114"/>
      <c r="O69" s="114"/>
      <c r="P69" s="114"/>
      <c r="Q69" s="114"/>
      <c r="R69" s="114"/>
      <c r="S69" s="114"/>
      <c r="T69" s="114"/>
      <c r="U69" s="114"/>
    </row>
    <row r="70" spans="1:27" ht="18" customHeight="1" x14ac:dyDescent="0.15">
      <c r="B70" s="90" t="s">
        <v>48</v>
      </c>
      <c r="C70" s="91"/>
      <c r="D70" s="91"/>
      <c r="E70" s="91"/>
      <c r="F70" s="58" t="s">
        <v>73</v>
      </c>
      <c r="G70" s="59" t="s">
        <v>76</v>
      </c>
      <c r="H70" s="60" t="s">
        <v>87</v>
      </c>
      <c r="I70" s="60" t="s">
        <v>68</v>
      </c>
      <c r="J70" s="60" t="s">
        <v>69</v>
      </c>
      <c r="K70" s="90" t="s">
        <v>48</v>
      </c>
      <c r="L70" s="91"/>
      <c r="M70" s="91"/>
      <c r="N70" s="91"/>
      <c r="O70" s="91"/>
      <c r="P70" s="92"/>
      <c r="Q70" s="58" t="s">
        <v>73</v>
      </c>
      <c r="R70" s="59" t="s">
        <v>76</v>
      </c>
      <c r="S70" s="60" t="s">
        <v>87</v>
      </c>
      <c r="T70" s="60" t="s">
        <v>68</v>
      </c>
      <c r="U70" s="60" t="s">
        <v>69</v>
      </c>
    </row>
    <row r="71" spans="1:27" ht="18" customHeight="1" x14ac:dyDescent="0.15">
      <c r="A71" s="3"/>
      <c r="B71" s="111" t="s">
        <v>146</v>
      </c>
      <c r="C71" s="112"/>
      <c r="D71" s="112"/>
      <c r="E71" s="112"/>
      <c r="F71" s="61">
        <v>2</v>
      </c>
      <c r="G71" s="61" t="s">
        <v>147</v>
      </c>
      <c r="H71" s="61" t="s">
        <v>147</v>
      </c>
      <c r="I71" s="61" t="s">
        <v>147</v>
      </c>
      <c r="J71" s="61" t="s">
        <v>147</v>
      </c>
      <c r="K71" s="111"/>
      <c r="L71" s="112"/>
      <c r="M71" s="112"/>
      <c r="N71" s="112"/>
      <c r="O71" s="112"/>
      <c r="P71" s="113"/>
      <c r="Q71" s="61"/>
      <c r="R71" s="61"/>
      <c r="S71" s="61"/>
      <c r="T71" s="61"/>
      <c r="U71" s="61"/>
    </row>
    <row r="72" spans="1:27" ht="18" customHeight="1" x14ac:dyDescent="0.15">
      <c r="A72" s="3"/>
      <c r="B72" s="105"/>
      <c r="C72" s="106"/>
      <c r="D72" s="106"/>
      <c r="E72" s="106"/>
      <c r="F72" s="62"/>
      <c r="G72" s="62"/>
      <c r="H72" s="62"/>
      <c r="I72" s="62"/>
      <c r="J72" s="62"/>
      <c r="K72" s="105"/>
      <c r="L72" s="106"/>
      <c r="M72" s="106"/>
      <c r="N72" s="106"/>
      <c r="O72" s="106"/>
      <c r="P72" s="107"/>
      <c r="Q72" s="62"/>
      <c r="R72" s="62"/>
      <c r="S72" s="62"/>
      <c r="T72" s="62"/>
      <c r="U72" s="62"/>
    </row>
    <row r="73" spans="1:27" ht="18" customHeight="1" x14ac:dyDescent="0.15">
      <c r="A73" s="3"/>
      <c r="B73" s="105"/>
      <c r="C73" s="106"/>
      <c r="D73" s="106"/>
      <c r="E73" s="106"/>
      <c r="F73" s="62"/>
      <c r="G73" s="62"/>
      <c r="H73" s="62"/>
      <c r="I73" s="62"/>
      <c r="J73" s="62"/>
      <c r="K73" s="105"/>
      <c r="L73" s="106"/>
      <c r="M73" s="106"/>
      <c r="N73" s="106"/>
      <c r="O73" s="106"/>
      <c r="P73" s="107"/>
      <c r="Q73" s="62"/>
      <c r="R73" s="62"/>
      <c r="S73" s="62"/>
      <c r="T73" s="62"/>
      <c r="U73" s="62"/>
    </row>
    <row r="74" spans="1:27" ht="18" customHeight="1" x14ac:dyDescent="0.15">
      <c r="A74" s="3"/>
      <c r="B74" s="105"/>
      <c r="C74" s="106"/>
      <c r="D74" s="106"/>
      <c r="E74" s="106"/>
      <c r="F74" s="62"/>
      <c r="G74" s="62"/>
      <c r="H74" s="62"/>
      <c r="I74" s="62"/>
      <c r="J74" s="62"/>
      <c r="K74" s="105"/>
      <c r="L74" s="106"/>
      <c r="M74" s="106"/>
      <c r="N74" s="106"/>
      <c r="O74" s="106"/>
      <c r="P74" s="107"/>
      <c r="Q74" s="62"/>
      <c r="R74" s="62"/>
      <c r="S74" s="62"/>
      <c r="T74" s="62"/>
      <c r="U74" s="62"/>
    </row>
    <row r="75" spans="1:27" ht="18" customHeight="1" x14ac:dyDescent="0.15">
      <c r="A75" s="3"/>
      <c r="B75" s="105"/>
      <c r="C75" s="106"/>
      <c r="D75" s="106"/>
      <c r="E75" s="106"/>
      <c r="F75" s="62"/>
      <c r="G75" s="62"/>
      <c r="H75" s="62"/>
      <c r="I75" s="62"/>
      <c r="J75" s="62"/>
      <c r="K75" s="105"/>
      <c r="L75" s="106"/>
      <c r="M75" s="106"/>
      <c r="N75" s="106"/>
      <c r="O75" s="106"/>
      <c r="P75" s="107"/>
      <c r="Q75" s="62"/>
      <c r="R75" s="62"/>
      <c r="S75" s="62"/>
      <c r="T75" s="62"/>
      <c r="U75" s="62"/>
    </row>
    <row r="76" spans="1:27" ht="18" customHeight="1" x14ac:dyDescent="0.15">
      <c r="A76" s="3"/>
      <c r="B76" s="105"/>
      <c r="C76" s="106"/>
      <c r="D76" s="106"/>
      <c r="E76" s="106"/>
      <c r="F76" s="62"/>
      <c r="G76" s="62"/>
      <c r="H76" s="62"/>
      <c r="I76" s="62"/>
      <c r="J76" s="62"/>
      <c r="K76" s="105"/>
      <c r="L76" s="106"/>
      <c r="M76" s="106"/>
      <c r="N76" s="106"/>
      <c r="O76" s="106"/>
      <c r="P76" s="107"/>
      <c r="Q76" s="62"/>
      <c r="R76" s="62"/>
      <c r="S76" s="62"/>
      <c r="T76" s="62"/>
      <c r="U76" s="62"/>
    </row>
    <row r="77" spans="1:27" ht="18" customHeight="1" x14ac:dyDescent="0.15">
      <c r="A77" s="3"/>
      <c r="B77" s="108"/>
      <c r="C77" s="109"/>
      <c r="D77" s="109"/>
      <c r="E77" s="109"/>
      <c r="F77" s="63"/>
      <c r="G77" s="63"/>
      <c r="H77" s="64"/>
      <c r="I77" s="64"/>
      <c r="J77" s="64"/>
      <c r="K77" s="108"/>
      <c r="L77" s="109"/>
      <c r="M77" s="109"/>
      <c r="N77" s="109"/>
      <c r="O77" s="109"/>
      <c r="P77" s="110"/>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0" t="s">
        <v>48</v>
      </c>
      <c r="C80" s="91"/>
      <c r="D80" s="91"/>
      <c r="E80" s="91"/>
      <c r="F80" s="92"/>
      <c r="G80" s="90" t="s">
        <v>74</v>
      </c>
      <c r="H80" s="91"/>
      <c r="I80" s="91"/>
      <c r="J80" s="92"/>
      <c r="K80" s="144" t="s">
        <v>48</v>
      </c>
      <c r="L80" s="145"/>
      <c r="M80" s="145"/>
      <c r="N80" s="145"/>
      <c r="O80" s="145"/>
      <c r="P80" s="145"/>
      <c r="Q80" s="146"/>
      <c r="R80" s="90" t="s">
        <v>74</v>
      </c>
      <c r="S80" s="91"/>
      <c r="T80" s="91"/>
      <c r="U80" s="92"/>
      <c r="AA80" s="1" t="s">
        <v>138</v>
      </c>
    </row>
    <row r="81" spans="1:27" ht="18" customHeight="1" x14ac:dyDescent="0.15">
      <c r="A81" s="3"/>
      <c r="B81" s="111" t="s">
        <v>146</v>
      </c>
      <c r="C81" s="112"/>
      <c r="D81" s="112"/>
      <c r="E81" s="112"/>
      <c r="F81" s="113"/>
      <c r="G81" s="147" t="s">
        <v>148</v>
      </c>
      <c r="H81" s="148"/>
      <c r="I81" s="148"/>
      <c r="J81" s="149"/>
      <c r="K81" s="111"/>
      <c r="L81" s="112"/>
      <c r="M81" s="112"/>
      <c r="N81" s="112"/>
      <c r="O81" s="112"/>
      <c r="P81" s="112"/>
      <c r="Q81" s="113"/>
      <c r="R81" s="147"/>
      <c r="S81" s="148"/>
      <c r="T81" s="148"/>
      <c r="U81" s="149"/>
      <c r="AA81" s="1" t="s">
        <v>131</v>
      </c>
    </row>
    <row r="82" spans="1:27" ht="18" customHeight="1" x14ac:dyDescent="0.15">
      <c r="A82" s="3"/>
      <c r="B82" s="105" t="s">
        <v>146</v>
      </c>
      <c r="C82" s="106"/>
      <c r="D82" s="106"/>
      <c r="E82" s="106"/>
      <c r="F82" s="107"/>
      <c r="G82" s="141" t="s">
        <v>149</v>
      </c>
      <c r="H82" s="142"/>
      <c r="I82" s="142"/>
      <c r="J82" s="143"/>
      <c r="K82" s="105"/>
      <c r="L82" s="106"/>
      <c r="M82" s="106"/>
      <c r="N82" s="106"/>
      <c r="O82" s="106"/>
      <c r="P82" s="106"/>
      <c r="Q82" s="107"/>
      <c r="R82" s="141"/>
      <c r="S82" s="142"/>
      <c r="T82" s="142"/>
      <c r="U82" s="143"/>
      <c r="AA82" s="1" t="s">
        <v>132</v>
      </c>
    </row>
    <row r="83" spans="1:27" ht="18" customHeight="1" x14ac:dyDescent="0.15">
      <c r="A83" s="3"/>
      <c r="B83" s="105" t="s">
        <v>146</v>
      </c>
      <c r="C83" s="106"/>
      <c r="D83" s="106"/>
      <c r="E83" s="106"/>
      <c r="F83" s="107"/>
      <c r="G83" s="141" t="s">
        <v>150</v>
      </c>
      <c r="H83" s="142"/>
      <c r="I83" s="142"/>
      <c r="J83" s="143"/>
      <c r="K83" s="105"/>
      <c r="L83" s="106"/>
      <c r="M83" s="106"/>
      <c r="N83" s="106"/>
      <c r="O83" s="106"/>
      <c r="P83" s="106"/>
      <c r="Q83" s="107"/>
      <c r="R83" s="141"/>
      <c r="S83" s="142"/>
      <c r="T83" s="142"/>
      <c r="U83" s="143"/>
      <c r="AA83" s="1" t="s">
        <v>133</v>
      </c>
    </row>
    <row r="84" spans="1:27" ht="18" customHeight="1" x14ac:dyDescent="0.15">
      <c r="A84" s="3"/>
      <c r="B84" s="105" t="s">
        <v>146</v>
      </c>
      <c r="C84" s="106"/>
      <c r="D84" s="106"/>
      <c r="E84" s="106"/>
      <c r="F84" s="107"/>
      <c r="G84" s="141" t="s">
        <v>140</v>
      </c>
      <c r="H84" s="142"/>
      <c r="I84" s="142"/>
      <c r="J84" s="143"/>
      <c r="K84" s="105"/>
      <c r="L84" s="106"/>
      <c r="M84" s="106"/>
      <c r="N84" s="106"/>
      <c r="O84" s="106"/>
      <c r="P84" s="106"/>
      <c r="Q84" s="107"/>
      <c r="R84" s="141"/>
      <c r="S84" s="142"/>
      <c r="T84" s="142"/>
      <c r="U84" s="143"/>
      <c r="AA84" s="1" t="s">
        <v>139</v>
      </c>
    </row>
    <row r="85" spans="1:27" ht="18" customHeight="1" x14ac:dyDescent="0.15">
      <c r="A85" s="3"/>
      <c r="B85" s="105" t="s">
        <v>146</v>
      </c>
      <c r="C85" s="106"/>
      <c r="D85" s="106"/>
      <c r="E85" s="106"/>
      <c r="F85" s="107"/>
      <c r="G85" s="141" t="s">
        <v>151</v>
      </c>
      <c r="H85" s="142"/>
      <c r="I85" s="142"/>
      <c r="J85" s="143"/>
      <c r="K85" s="105"/>
      <c r="L85" s="106"/>
      <c r="M85" s="106"/>
      <c r="N85" s="106"/>
      <c r="O85" s="106"/>
      <c r="P85" s="106"/>
      <c r="Q85" s="107"/>
      <c r="R85" s="141"/>
      <c r="S85" s="142"/>
      <c r="T85" s="142"/>
      <c r="U85" s="143"/>
      <c r="AA85" s="1" t="s">
        <v>140</v>
      </c>
    </row>
    <row r="86" spans="1:27" ht="18" customHeight="1" x14ac:dyDescent="0.15">
      <c r="A86" s="3"/>
      <c r="B86" s="105" t="s">
        <v>146</v>
      </c>
      <c r="C86" s="106"/>
      <c r="D86" s="106"/>
      <c r="E86" s="106"/>
      <c r="F86" s="107"/>
      <c r="G86" s="141" t="s">
        <v>152</v>
      </c>
      <c r="H86" s="142"/>
      <c r="I86" s="142"/>
      <c r="J86" s="143"/>
      <c r="K86" s="105"/>
      <c r="L86" s="106"/>
      <c r="M86" s="106"/>
      <c r="N86" s="106"/>
      <c r="O86" s="106"/>
      <c r="P86" s="106"/>
      <c r="Q86" s="107"/>
      <c r="R86" s="141"/>
      <c r="S86" s="142"/>
      <c r="T86" s="142"/>
      <c r="U86" s="143"/>
      <c r="AA86" s="1" t="s">
        <v>134</v>
      </c>
    </row>
    <row r="87" spans="1:27" ht="18" customHeight="1" x14ac:dyDescent="0.15">
      <c r="A87" s="3"/>
      <c r="B87" s="108"/>
      <c r="C87" s="109"/>
      <c r="D87" s="109"/>
      <c r="E87" s="109"/>
      <c r="F87" s="110"/>
      <c r="G87" s="138"/>
      <c r="H87" s="139"/>
      <c r="I87" s="139"/>
      <c r="J87" s="140"/>
      <c r="K87" s="108"/>
      <c r="L87" s="109"/>
      <c r="M87" s="109"/>
      <c r="N87" s="109"/>
      <c r="O87" s="109"/>
      <c r="P87" s="109"/>
      <c r="Q87" s="110"/>
      <c r="R87" s="138"/>
      <c r="S87" s="139"/>
      <c r="T87" s="139"/>
      <c r="U87" s="140"/>
      <c r="AA87" s="1" t="s">
        <v>135</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15">
      <c r="A89" s="1" t="s">
        <v>102</v>
      </c>
      <c r="AA89" s="1" t="s">
        <v>137</v>
      </c>
    </row>
    <row r="90" spans="1:27" ht="18.75" customHeight="1" x14ac:dyDescent="0.15">
      <c r="B90" s="122" t="s">
        <v>49</v>
      </c>
      <c r="C90" s="124"/>
      <c r="D90" s="90" t="s">
        <v>50</v>
      </c>
      <c r="E90" s="91"/>
      <c r="F90" s="91"/>
      <c r="G90" s="91"/>
      <c r="H90" s="91"/>
      <c r="I90" s="91"/>
      <c r="J90" s="91"/>
      <c r="K90" s="91"/>
      <c r="L90" s="91"/>
      <c r="M90" s="91"/>
      <c r="N90" s="91"/>
      <c r="O90" s="91"/>
      <c r="P90" s="91"/>
      <c r="Q90" s="91"/>
      <c r="R90" s="91"/>
      <c r="S90" s="91"/>
      <c r="T90" s="91"/>
      <c r="U90" s="92"/>
    </row>
    <row r="91" spans="1:27" ht="97.5" customHeight="1" x14ac:dyDescent="0.15">
      <c r="B91" s="118" t="s">
        <v>56</v>
      </c>
      <c r="C91" s="66" t="s">
        <v>51</v>
      </c>
      <c r="D91" s="93" t="s">
        <v>153</v>
      </c>
      <c r="E91" s="94"/>
      <c r="F91" s="94"/>
      <c r="G91" s="94"/>
      <c r="H91" s="94"/>
      <c r="I91" s="94"/>
      <c r="J91" s="94"/>
      <c r="K91" s="94"/>
      <c r="L91" s="94"/>
      <c r="M91" s="94"/>
      <c r="N91" s="94"/>
      <c r="O91" s="94"/>
      <c r="P91" s="94"/>
      <c r="Q91" s="94"/>
      <c r="R91" s="94"/>
      <c r="S91" s="94"/>
      <c r="T91" s="94"/>
      <c r="U91" s="95"/>
    </row>
    <row r="92" spans="1:27" ht="97.5" customHeight="1" x14ac:dyDescent="0.15">
      <c r="B92" s="120"/>
      <c r="C92" s="67" t="s">
        <v>70</v>
      </c>
      <c r="D92" s="96" t="s">
        <v>181</v>
      </c>
      <c r="E92" s="97"/>
      <c r="F92" s="97"/>
      <c r="G92" s="97"/>
      <c r="H92" s="97"/>
      <c r="I92" s="97"/>
      <c r="J92" s="97"/>
      <c r="K92" s="97"/>
      <c r="L92" s="97"/>
      <c r="M92" s="97"/>
      <c r="N92" s="97"/>
      <c r="O92" s="97"/>
      <c r="P92" s="97"/>
      <c r="Q92" s="97"/>
      <c r="R92" s="97"/>
      <c r="S92" s="97"/>
      <c r="T92" s="97"/>
      <c r="U92" s="98"/>
    </row>
    <row r="93" spans="1:27" ht="97.5" customHeight="1" x14ac:dyDescent="0.15">
      <c r="B93" s="118" t="s">
        <v>57</v>
      </c>
      <c r="C93" s="68" t="s">
        <v>64</v>
      </c>
      <c r="D93" s="93" t="s">
        <v>183</v>
      </c>
      <c r="E93" s="94"/>
      <c r="F93" s="94"/>
      <c r="G93" s="94"/>
      <c r="H93" s="94"/>
      <c r="I93" s="94"/>
      <c r="J93" s="94"/>
      <c r="K93" s="94"/>
      <c r="L93" s="94"/>
      <c r="M93" s="94"/>
      <c r="N93" s="94"/>
      <c r="O93" s="94"/>
      <c r="P93" s="94"/>
      <c r="Q93" s="94"/>
      <c r="R93" s="94"/>
      <c r="S93" s="94"/>
      <c r="T93" s="94"/>
      <c r="U93" s="95"/>
    </row>
    <row r="94" spans="1:27" ht="97.5" customHeight="1" x14ac:dyDescent="0.15">
      <c r="B94" s="119"/>
      <c r="C94" s="69" t="s">
        <v>65</v>
      </c>
      <c r="D94" s="96" t="s">
        <v>184</v>
      </c>
      <c r="E94" s="97"/>
      <c r="F94" s="97"/>
      <c r="G94" s="97"/>
      <c r="H94" s="97"/>
      <c r="I94" s="97"/>
      <c r="J94" s="97"/>
      <c r="K94" s="97"/>
      <c r="L94" s="97"/>
      <c r="M94" s="97"/>
      <c r="N94" s="97"/>
      <c r="O94" s="97"/>
      <c r="P94" s="97"/>
      <c r="Q94" s="97"/>
      <c r="R94" s="97"/>
      <c r="S94" s="97"/>
      <c r="T94" s="97"/>
      <c r="U94" s="98"/>
    </row>
    <row r="95" spans="1:27" ht="97.5" customHeight="1" x14ac:dyDescent="0.15">
      <c r="B95" s="118" t="s">
        <v>58</v>
      </c>
      <c r="C95" s="68" t="s">
        <v>66</v>
      </c>
      <c r="D95" s="93" t="s">
        <v>182</v>
      </c>
      <c r="E95" s="94"/>
      <c r="F95" s="94"/>
      <c r="G95" s="94"/>
      <c r="H95" s="94"/>
      <c r="I95" s="94"/>
      <c r="J95" s="94"/>
      <c r="K95" s="94"/>
      <c r="L95" s="94"/>
      <c r="M95" s="94"/>
      <c r="N95" s="94"/>
      <c r="O95" s="94"/>
      <c r="P95" s="94"/>
      <c r="Q95" s="94"/>
      <c r="R95" s="94"/>
      <c r="S95" s="94"/>
      <c r="T95" s="94"/>
      <c r="U95" s="95"/>
    </row>
    <row r="96" spans="1:27" ht="97.5" customHeight="1" x14ac:dyDescent="0.15">
      <c r="B96" s="119"/>
      <c r="C96" s="70" t="s">
        <v>67</v>
      </c>
      <c r="D96" s="96" t="s">
        <v>154</v>
      </c>
      <c r="E96" s="97"/>
      <c r="F96" s="97"/>
      <c r="G96" s="97"/>
      <c r="H96" s="97"/>
      <c r="I96" s="97"/>
      <c r="J96" s="97"/>
      <c r="K96" s="97"/>
      <c r="L96" s="97"/>
      <c r="M96" s="97"/>
      <c r="N96" s="97"/>
      <c r="O96" s="97"/>
      <c r="P96" s="97"/>
      <c r="Q96" s="97"/>
      <c r="R96" s="97"/>
      <c r="S96" s="97"/>
      <c r="T96" s="97"/>
      <c r="U96" s="98"/>
    </row>
    <row r="97" spans="1:21" ht="97.5" customHeight="1" x14ac:dyDescent="0.15">
      <c r="B97" s="118" t="s">
        <v>71</v>
      </c>
      <c r="C97" s="66" t="s">
        <v>53</v>
      </c>
      <c r="D97" s="93" t="s">
        <v>186</v>
      </c>
      <c r="E97" s="94"/>
      <c r="F97" s="94"/>
      <c r="G97" s="94"/>
      <c r="H97" s="94"/>
      <c r="I97" s="94"/>
      <c r="J97" s="94"/>
      <c r="K97" s="94"/>
      <c r="L97" s="94"/>
      <c r="M97" s="94"/>
      <c r="N97" s="94"/>
      <c r="O97" s="94"/>
      <c r="P97" s="94"/>
      <c r="Q97" s="94"/>
      <c r="R97" s="94"/>
      <c r="S97" s="94"/>
      <c r="T97" s="94"/>
      <c r="U97" s="95"/>
    </row>
    <row r="98" spans="1:21" ht="97.5" customHeight="1" x14ac:dyDescent="0.15">
      <c r="B98" s="119"/>
      <c r="C98" s="69" t="s">
        <v>55</v>
      </c>
      <c r="D98" s="96" t="s">
        <v>185</v>
      </c>
      <c r="E98" s="97"/>
      <c r="F98" s="97"/>
      <c r="G98" s="97"/>
      <c r="H98" s="97"/>
      <c r="I98" s="97"/>
      <c r="J98" s="97"/>
      <c r="K98" s="97"/>
      <c r="L98" s="97"/>
      <c r="M98" s="97"/>
      <c r="N98" s="97"/>
      <c r="O98" s="97"/>
      <c r="P98" s="97"/>
      <c r="Q98" s="97"/>
      <c r="R98" s="97"/>
      <c r="S98" s="97"/>
      <c r="T98" s="97"/>
      <c r="U98" s="98"/>
    </row>
    <row r="99" spans="1:21" ht="97.5" customHeight="1" x14ac:dyDescent="0.15">
      <c r="B99" s="118" t="s">
        <v>72</v>
      </c>
      <c r="C99" s="68" t="s">
        <v>52</v>
      </c>
      <c r="D99" s="93" t="s">
        <v>155</v>
      </c>
      <c r="E99" s="94"/>
      <c r="F99" s="94"/>
      <c r="G99" s="94"/>
      <c r="H99" s="94"/>
      <c r="I99" s="94"/>
      <c r="J99" s="94"/>
      <c r="K99" s="94"/>
      <c r="L99" s="94"/>
      <c r="M99" s="94"/>
      <c r="N99" s="94"/>
      <c r="O99" s="94"/>
      <c r="P99" s="94"/>
      <c r="Q99" s="94"/>
      <c r="R99" s="94"/>
      <c r="S99" s="94"/>
      <c r="T99" s="94"/>
      <c r="U99" s="95"/>
    </row>
    <row r="100" spans="1:21" ht="97.5" customHeight="1" x14ac:dyDescent="0.15">
      <c r="B100" s="120"/>
      <c r="C100" s="71" t="s">
        <v>68</v>
      </c>
      <c r="D100" s="115" t="s">
        <v>156</v>
      </c>
      <c r="E100" s="116"/>
      <c r="F100" s="116"/>
      <c r="G100" s="116"/>
      <c r="H100" s="116"/>
      <c r="I100" s="116"/>
      <c r="J100" s="116"/>
      <c r="K100" s="116"/>
      <c r="L100" s="116"/>
      <c r="M100" s="116"/>
      <c r="N100" s="116"/>
      <c r="O100" s="116"/>
      <c r="P100" s="116"/>
      <c r="Q100" s="116"/>
      <c r="R100" s="116"/>
      <c r="S100" s="116"/>
      <c r="T100" s="116"/>
      <c r="U100" s="117"/>
    </row>
    <row r="101" spans="1:21" ht="97.5" customHeight="1" x14ac:dyDescent="0.15">
      <c r="B101" s="119"/>
      <c r="C101" s="70" t="s">
        <v>69</v>
      </c>
      <c r="D101" s="96" t="s">
        <v>157</v>
      </c>
      <c r="E101" s="97"/>
      <c r="F101" s="97"/>
      <c r="G101" s="97"/>
      <c r="H101" s="97"/>
      <c r="I101" s="97"/>
      <c r="J101" s="97"/>
      <c r="K101" s="97"/>
      <c r="L101" s="97"/>
      <c r="M101" s="97"/>
      <c r="N101" s="97"/>
      <c r="O101" s="97"/>
      <c r="P101" s="97"/>
      <c r="Q101" s="97"/>
      <c r="R101" s="97"/>
      <c r="S101" s="97"/>
      <c r="T101" s="97"/>
      <c r="U101" s="98"/>
    </row>
    <row r="102" spans="1:21" ht="6" customHeight="1" x14ac:dyDescent="0.15"/>
    <row r="103" spans="1:21" ht="18.75" customHeight="1" x14ac:dyDescent="0.15">
      <c r="A103" s="1" t="s">
        <v>103</v>
      </c>
    </row>
    <row r="104" spans="1:21" ht="81.75" customHeight="1" x14ac:dyDescent="0.15">
      <c r="B104" s="135" t="s">
        <v>187</v>
      </c>
      <c r="C104" s="136"/>
      <c r="D104" s="136"/>
      <c r="E104" s="136"/>
      <c r="F104" s="136"/>
      <c r="G104" s="136"/>
      <c r="H104" s="136"/>
      <c r="I104" s="136"/>
      <c r="J104" s="136"/>
      <c r="K104" s="136"/>
      <c r="L104" s="136"/>
      <c r="M104" s="136"/>
      <c r="N104" s="136"/>
      <c r="O104" s="136"/>
      <c r="P104" s="136"/>
      <c r="Q104" s="136"/>
      <c r="R104" s="136"/>
      <c r="S104" s="136"/>
      <c r="T104" s="136"/>
      <c r="U104" s="137"/>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disablePrompts="1" count="6">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1EF4-921A-4567-B2CD-68839E7EAEBD}">
  <sheetPr>
    <pageSetUpPr fitToPage="1"/>
  </sheetPr>
  <dimension ref="A1:V33"/>
  <sheetViews>
    <sheetView view="pageBreakPreview" zoomScaleNormal="100" zoomScaleSheetLayoutView="100" workbookViewId="0">
      <selection activeCell="Z9" sqref="Z9"/>
    </sheetView>
  </sheetViews>
  <sheetFormatPr defaultColWidth="9" defaultRowHeight="18.75" customHeight="1" x14ac:dyDescent="0.15"/>
  <cols>
    <col min="1" max="1" width="2.75" style="1" customWidth="1"/>
    <col min="2" max="2" width="27.875" style="1" customWidth="1"/>
    <col min="3" max="18" width="6.125" style="1" customWidth="1"/>
    <col min="19" max="19" width="6.75" style="1" customWidth="1"/>
    <col min="20" max="16384" width="9" style="1"/>
  </cols>
  <sheetData>
    <row r="1" spans="1:22" ht="18" customHeight="1" x14ac:dyDescent="0.15">
      <c r="A1" s="52"/>
      <c r="B1" s="52"/>
      <c r="C1" s="52"/>
      <c r="D1" s="52"/>
      <c r="E1" s="52"/>
      <c r="F1" s="52"/>
      <c r="G1" s="52"/>
      <c r="H1" s="52"/>
      <c r="I1" s="52"/>
      <c r="J1" s="52"/>
      <c r="K1" s="52"/>
      <c r="L1" s="52"/>
      <c r="M1" s="52"/>
      <c r="N1" s="52"/>
      <c r="O1" s="52"/>
      <c r="P1" s="52"/>
      <c r="Q1" s="52"/>
      <c r="R1" s="52"/>
      <c r="S1" s="52" t="s">
        <v>92</v>
      </c>
    </row>
    <row r="2" spans="1:22" ht="18" customHeight="1" x14ac:dyDescent="0.15">
      <c r="A2" s="52"/>
      <c r="B2" s="52"/>
      <c r="C2" s="52"/>
      <c r="D2" s="52"/>
      <c r="E2" s="52"/>
      <c r="F2" s="52"/>
      <c r="G2" s="52"/>
      <c r="H2" s="52"/>
      <c r="I2" s="52"/>
      <c r="J2" s="52"/>
      <c r="K2" s="52"/>
      <c r="L2" s="52"/>
      <c r="M2" s="52"/>
      <c r="N2" s="52"/>
      <c r="O2" s="52"/>
      <c r="P2" s="52"/>
      <c r="Q2" s="150" t="str">
        <f>'様式１　プログラムを構成する授業科目'!C2</f>
        <v>椙山女学園大学</v>
      </c>
      <c r="R2" s="150"/>
      <c r="S2" s="150"/>
    </row>
    <row r="3" spans="1:22" ht="18" customHeight="1" x14ac:dyDescent="0.15">
      <c r="A3" s="125" t="s">
        <v>142</v>
      </c>
      <c r="B3" s="125"/>
      <c r="C3" s="125"/>
      <c r="D3" s="125"/>
      <c r="E3" s="125"/>
      <c r="F3" s="125"/>
      <c r="G3" s="125"/>
      <c r="H3" s="125"/>
      <c r="I3" s="125"/>
      <c r="J3" s="125"/>
      <c r="K3" s="125"/>
      <c r="L3" s="125"/>
      <c r="M3" s="125"/>
      <c r="N3" s="125"/>
      <c r="O3" s="125"/>
      <c r="P3" s="125"/>
      <c r="Q3" s="125"/>
      <c r="R3" s="125"/>
      <c r="S3" s="125"/>
    </row>
    <row r="4" spans="1:22" ht="7.5" customHeight="1" x14ac:dyDescent="0.15">
      <c r="A4" s="54"/>
      <c r="B4" s="54"/>
      <c r="C4" s="54"/>
      <c r="D4" s="54"/>
      <c r="E4" s="54"/>
      <c r="F4" s="54"/>
      <c r="G4" s="54"/>
      <c r="H4" s="54"/>
      <c r="I4" s="54"/>
      <c r="J4" s="54"/>
      <c r="K4" s="54"/>
      <c r="L4" s="54"/>
      <c r="M4" s="54"/>
      <c r="N4" s="54"/>
      <c r="O4" s="54"/>
      <c r="P4" s="54"/>
      <c r="Q4" s="54"/>
      <c r="R4" s="54"/>
      <c r="S4" s="54"/>
    </row>
    <row r="5" spans="1:22" ht="18" customHeight="1" x14ac:dyDescent="0.15">
      <c r="A5" s="52" t="s">
        <v>75</v>
      </c>
      <c r="B5" s="52"/>
      <c r="C5" s="152" t="s">
        <v>159</v>
      </c>
      <c r="D5" s="153"/>
      <c r="E5" s="56" t="s">
        <v>125</v>
      </c>
      <c r="F5" s="54"/>
      <c r="G5" s="54"/>
      <c r="H5" s="54"/>
      <c r="I5" s="54"/>
      <c r="J5" s="54"/>
      <c r="K5" s="54"/>
      <c r="L5" s="54"/>
      <c r="M5" s="54"/>
      <c r="N5" s="54"/>
      <c r="O5" s="54"/>
      <c r="P5" s="54"/>
      <c r="Q5" s="54"/>
      <c r="R5" s="53"/>
      <c r="S5" s="53"/>
    </row>
    <row r="6" spans="1:22" ht="7.15" customHeight="1" x14ac:dyDescent="0.15">
      <c r="A6" s="52"/>
      <c r="B6" s="52"/>
      <c r="C6" s="75"/>
      <c r="D6" s="75"/>
      <c r="E6" s="54"/>
      <c r="F6" s="54"/>
      <c r="G6" s="54"/>
      <c r="H6" s="54"/>
      <c r="I6" s="54"/>
      <c r="J6" s="54"/>
      <c r="K6" s="54"/>
      <c r="L6" s="54"/>
      <c r="M6" s="54"/>
      <c r="N6" s="54"/>
      <c r="O6" s="54"/>
      <c r="P6" s="54"/>
      <c r="Q6" s="54"/>
      <c r="R6" s="53"/>
      <c r="S6" s="53"/>
    </row>
    <row r="7" spans="1:22" ht="18" customHeight="1" x14ac:dyDescent="0.15">
      <c r="A7" s="52" t="s">
        <v>109</v>
      </c>
      <c r="B7" s="52"/>
      <c r="C7" s="75"/>
      <c r="D7" s="75"/>
      <c r="E7" s="54" t="s">
        <v>110</v>
      </c>
      <c r="F7" s="57">
        <v>0</v>
      </c>
      <c r="G7" s="56" t="s">
        <v>111</v>
      </c>
      <c r="H7" s="54" t="s">
        <v>112</v>
      </c>
      <c r="I7" s="82">
        <f>C33</f>
        <v>5055</v>
      </c>
      <c r="J7" s="56" t="s">
        <v>111</v>
      </c>
      <c r="K7" s="55" t="s">
        <v>113</v>
      </c>
      <c r="L7" s="54" t="s">
        <v>114</v>
      </c>
      <c r="M7" s="57">
        <f>F7+I7</f>
        <v>5055</v>
      </c>
      <c r="N7" s="54" t="s">
        <v>1</v>
      </c>
      <c r="O7" s="56" t="s">
        <v>115</v>
      </c>
      <c r="P7" s="54"/>
      <c r="Q7" s="54"/>
      <c r="R7" s="53"/>
      <c r="S7" s="53"/>
    </row>
    <row r="8" spans="1:22" ht="17.45" customHeight="1" x14ac:dyDescent="0.15">
      <c r="A8" s="54"/>
      <c r="B8" s="76" t="s">
        <v>128</v>
      </c>
      <c r="C8" s="54"/>
      <c r="D8" s="54"/>
      <c r="E8" s="54"/>
      <c r="F8" s="54"/>
      <c r="G8" s="54"/>
      <c r="H8" s="54"/>
      <c r="I8" s="54"/>
      <c r="J8" s="54"/>
      <c r="K8" s="54"/>
      <c r="L8" s="54"/>
      <c r="M8" s="54"/>
      <c r="N8" s="54"/>
      <c r="O8" s="54"/>
      <c r="P8" s="54"/>
      <c r="Q8" s="54"/>
      <c r="R8" s="54"/>
      <c r="S8" s="54"/>
    </row>
    <row r="9" spans="1:22" ht="18" customHeight="1" x14ac:dyDescent="0.15">
      <c r="A9" s="52" t="s">
        <v>120</v>
      </c>
      <c r="B9" s="54"/>
      <c r="C9" s="54"/>
      <c r="D9" s="54"/>
      <c r="E9" s="54"/>
      <c r="F9" s="54"/>
      <c r="G9" s="54"/>
      <c r="H9" s="54"/>
      <c r="I9" s="54"/>
      <c r="J9" s="54"/>
      <c r="K9" s="54"/>
      <c r="L9" s="54"/>
      <c r="M9" s="54"/>
      <c r="N9" s="54"/>
      <c r="O9" s="54"/>
      <c r="P9" s="54"/>
      <c r="Q9" s="54"/>
      <c r="R9" s="54"/>
      <c r="S9" s="54"/>
    </row>
    <row r="10" spans="1:22" ht="6" customHeight="1" x14ac:dyDescent="0.15">
      <c r="B10" s="3"/>
      <c r="C10" s="3"/>
      <c r="D10" s="3"/>
      <c r="E10" s="3"/>
      <c r="F10" s="3"/>
      <c r="G10" s="3"/>
      <c r="H10" s="3"/>
      <c r="I10" s="3"/>
      <c r="J10" s="3"/>
      <c r="K10" s="3"/>
      <c r="L10" s="3"/>
      <c r="M10" s="3"/>
      <c r="N10" s="3"/>
      <c r="O10" s="3"/>
      <c r="P10" s="3"/>
      <c r="Q10" s="3"/>
      <c r="R10" s="3"/>
      <c r="S10" s="3"/>
    </row>
    <row r="11" spans="1:22" ht="18" customHeight="1" x14ac:dyDescent="0.15">
      <c r="B11" s="154" t="s">
        <v>43</v>
      </c>
      <c r="C11" s="164" t="s">
        <v>78</v>
      </c>
      <c r="D11" s="156" t="s">
        <v>45</v>
      </c>
      <c r="E11" s="158" t="s">
        <v>38</v>
      </c>
      <c r="F11" s="151" t="s">
        <v>126</v>
      </c>
      <c r="G11" s="151"/>
      <c r="H11" s="151" t="s">
        <v>106</v>
      </c>
      <c r="I11" s="151"/>
      <c r="J11" s="151" t="s">
        <v>77</v>
      </c>
      <c r="K11" s="151"/>
      <c r="L11" s="151" t="s">
        <v>46</v>
      </c>
      <c r="M11" s="151"/>
      <c r="N11" s="151" t="s">
        <v>47</v>
      </c>
      <c r="O11" s="151"/>
      <c r="P11" s="151" t="s">
        <v>127</v>
      </c>
      <c r="Q11" s="151"/>
      <c r="R11" s="160" t="s">
        <v>35</v>
      </c>
      <c r="S11" s="162" t="s">
        <v>32</v>
      </c>
      <c r="U11" s="2"/>
    </row>
    <row r="12" spans="1:22" ht="16.899999999999999" customHeight="1" x14ac:dyDescent="0.15">
      <c r="B12" s="155"/>
      <c r="C12" s="165"/>
      <c r="D12" s="157"/>
      <c r="E12" s="159"/>
      <c r="F12" s="77" t="s">
        <v>86</v>
      </c>
      <c r="G12" s="77" t="s">
        <v>29</v>
      </c>
      <c r="H12" s="77" t="s">
        <v>86</v>
      </c>
      <c r="I12" s="77" t="s">
        <v>29</v>
      </c>
      <c r="J12" s="77" t="s">
        <v>86</v>
      </c>
      <c r="K12" s="77" t="s">
        <v>29</v>
      </c>
      <c r="L12" s="77" t="s">
        <v>86</v>
      </c>
      <c r="M12" s="77" t="s">
        <v>29</v>
      </c>
      <c r="N12" s="77" t="s">
        <v>86</v>
      </c>
      <c r="O12" s="77" t="s">
        <v>29</v>
      </c>
      <c r="P12" s="77" t="s">
        <v>86</v>
      </c>
      <c r="Q12" s="78" t="s">
        <v>29</v>
      </c>
      <c r="R12" s="161"/>
      <c r="S12" s="163"/>
      <c r="U12" s="2"/>
    </row>
    <row r="13" spans="1:22" ht="18" customHeight="1" x14ac:dyDescent="0.15">
      <c r="A13" s="6"/>
      <c r="B13" s="47" t="s">
        <v>195</v>
      </c>
      <c r="C13" s="35">
        <v>1115</v>
      </c>
      <c r="D13" s="36">
        <v>257</v>
      </c>
      <c r="E13" s="37">
        <v>1038</v>
      </c>
      <c r="F13" s="37">
        <v>45</v>
      </c>
      <c r="G13" s="37">
        <v>38</v>
      </c>
      <c r="H13" s="37"/>
      <c r="I13" s="37"/>
      <c r="J13" s="37"/>
      <c r="K13" s="37"/>
      <c r="L13" s="37"/>
      <c r="M13" s="37"/>
      <c r="N13" s="37"/>
      <c r="O13" s="37"/>
      <c r="P13" s="37"/>
      <c r="Q13" s="48"/>
      <c r="R13" s="36">
        <f t="shared" ref="R13:R32" si="0">F13+H13+J13+L13+N13+P13</f>
        <v>45</v>
      </c>
      <c r="S13" s="81">
        <f>R13/E13</f>
        <v>4.3352601156069363E-2</v>
      </c>
    </row>
    <row r="14" spans="1:22" ht="18" customHeight="1" x14ac:dyDescent="0.15">
      <c r="A14" s="6"/>
      <c r="B14" s="11" t="s">
        <v>196</v>
      </c>
      <c r="C14" s="38">
        <v>98</v>
      </c>
      <c r="D14" s="39">
        <v>200</v>
      </c>
      <c r="E14" s="40">
        <v>200</v>
      </c>
      <c r="F14" s="41">
        <v>10</v>
      </c>
      <c r="G14" s="41">
        <v>7</v>
      </c>
      <c r="H14" s="41"/>
      <c r="I14" s="41"/>
      <c r="J14" s="41"/>
      <c r="K14" s="41"/>
      <c r="L14" s="41"/>
      <c r="M14" s="41"/>
      <c r="N14" s="41"/>
      <c r="O14" s="41"/>
      <c r="P14" s="41"/>
      <c r="Q14" s="38"/>
      <c r="R14" s="39">
        <f t="shared" si="0"/>
        <v>10</v>
      </c>
      <c r="S14" s="8">
        <f t="shared" ref="S14:S32" si="1">R14/E14</f>
        <v>0.05</v>
      </c>
    </row>
    <row r="15" spans="1:22" ht="18" customHeight="1" x14ac:dyDescent="0.15">
      <c r="A15" s="6"/>
      <c r="B15" s="11" t="s">
        <v>197</v>
      </c>
      <c r="C15" s="38">
        <v>675</v>
      </c>
      <c r="D15" s="39">
        <v>200</v>
      </c>
      <c r="E15" s="40">
        <v>846</v>
      </c>
      <c r="F15" s="41">
        <v>4</v>
      </c>
      <c r="G15" s="41">
        <v>4</v>
      </c>
      <c r="H15" s="41"/>
      <c r="I15" s="41"/>
      <c r="J15" s="41"/>
      <c r="K15" s="41"/>
      <c r="L15" s="41"/>
      <c r="M15" s="41"/>
      <c r="N15" s="41"/>
      <c r="O15" s="41"/>
      <c r="P15" s="41"/>
      <c r="Q15" s="38"/>
      <c r="R15" s="39">
        <f t="shared" si="0"/>
        <v>4</v>
      </c>
      <c r="S15" s="8">
        <f t="shared" si="1"/>
        <v>4.7281323877068557E-3</v>
      </c>
    </row>
    <row r="16" spans="1:22" ht="18" customHeight="1" x14ac:dyDescent="0.15">
      <c r="A16" s="6"/>
      <c r="B16" s="11" t="s">
        <v>198</v>
      </c>
      <c r="C16" s="38">
        <v>133</v>
      </c>
      <c r="D16" s="39">
        <v>220</v>
      </c>
      <c r="E16" s="40">
        <v>220</v>
      </c>
      <c r="F16" s="41">
        <v>61</v>
      </c>
      <c r="G16" s="41">
        <v>54</v>
      </c>
      <c r="H16" s="41"/>
      <c r="I16" s="41"/>
      <c r="J16" s="41"/>
      <c r="K16" s="41"/>
      <c r="L16" s="41"/>
      <c r="M16" s="41"/>
      <c r="N16" s="41"/>
      <c r="O16" s="41"/>
      <c r="P16" s="41"/>
      <c r="Q16" s="38"/>
      <c r="R16" s="39">
        <f t="shared" si="0"/>
        <v>61</v>
      </c>
      <c r="S16" s="8">
        <f t="shared" si="1"/>
        <v>0.27727272727272728</v>
      </c>
      <c r="V16" s="1" t="s">
        <v>158</v>
      </c>
    </row>
    <row r="17" spans="1:19" ht="18" customHeight="1" x14ac:dyDescent="0.15">
      <c r="A17" s="6"/>
      <c r="B17" s="11" t="s">
        <v>191</v>
      </c>
      <c r="C17" s="38">
        <v>785</v>
      </c>
      <c r="D17" s="39">
        <v>190</v>
      </c>
      <c r="E17" s="40">
        <v>730</v>
      </c>
      <c r="F17" s="41">
        <v>18</v>
      </c>
      <c r="G17" s="41">
        <v>14</v>
      </c>
      <c r="H17" s="41"/>
      <c r="I17" s="41"/>
      <c r="J17" s="41"/>
      <c r="K17" s="41"/>
      <c r="L17" s="41"/>
      <c r="M17" s="41"/>
      <c r="N17" s="41"/>
      <c r="O17" s="41"/>
      <c r="P17" s="41"/>
      <c r="Q17" s="38"/>
      <c r="R17" s="39">
        <f t="shared" si="0"/>
        <v>18</v>
      </c>
      <c r="S17" s="8">
        <f t="shared" si="1"/>
        <v>2.4657534246575342E-2</v>
      </c>
    </row>
    <row r="18" spans="1:19" ht="18" customHeight="1" x14ac:dyDescent="0.15">
      <c r="A18" s="6"/>
      <c r="B18" s="11" t="s">
        <v>199</v>
      </c>
      <c r="C18" s="38">
        <v>690</v>
      </c>
      <c r="D18" s="39">
        <v>170</v>
      </c>
      <c r="E18" s="40">
        <v>692</v>
      </c>
      <c r="F18" s="41">
        <v>20</v>
      </c>
      <c r="G18" s="41">
        <v>18</v>
      </c>
      <c r="H18" s="41"/>
      <c r="I18" s="41"/>
      <c r="J18" s="41"/>
      <c r="K18" s="41"/>
      <c r="L18" s="41"/>
      <c r="M18" s="41"/>
      <c r="N18" s="41"/>
      <c r="O18" s="41"/>
      <c r="P18" s="41"/>
      <c r="Q18" s="38"/>
      <c r="R18" s="39">
        <f t="shared" si="0"/>
        <v>20</v>
      </c>
      <c r="S18" s="8">
        <f t="shared" si="1"/>
        <v>2.8901734104046242E-2</v>
      </c>
    </row>
    <row r="19" spans="1:19" ht="18" customHeight="1" x14ac:dyDescent="0.15">
      <c r="A19" s="6"/>
      <c r="B19" s="11" t="s">
        <v>192</v>
      </c>
      <c r="C19" s="38">
        <v>461</v>
      </c>
      <c r="D19" s="39">
        <v>110</v>
      </c>
      <c r="E19" s="40">
        <v>410</v>
      </c>
      <c r="F19" s="41">
        <v>0</v>
      </c>
      <c r="G19" s="41">
        <v>0</v>
      </c>
      <c r="H19" s="41"/>
      <c r="I19" s="41"/>
      <c r="J19" s="41"/>
      <c r="K19" s="41"/>
      <c r="L19" s="41"/>
      <c r="M19" s="41"/>
      <c r="N19" s="41"/>
      <c r="O19" s="41"/>
      <c r="P19" s="41"/>
      <c r="Q19" s="38"/>
      <c r="R19" s="39">
        <f t="shared" si="0"/>
        <v>0</v>
      </c>
      <c r="S19" s="8">
        <f t="shared" si="1"/>
        <v>0</v>
      </c>
    </row>
    <row r="20" spans="1:19" ht="18" customHeight="1" x14ac:dyDescent="0.15">
      <c r="A20" s="6"/>
      <c r="B20" s="11" t="s">
        <v>193</v>
      </c>
      <c r="C20" s="38">
        <v>498</v>
      </c>
      <c r="D20" s="83" t="s">
        <v>200</v>
      </c>
      <c r="E20" s="40">
        <v>670</v>
      </c>
      <c r="F20" s="41">
        <v>0</v>
      </c>
      <c r="G20" s="41">
        <v>0</v>
      </c>
      <c r="H20" s="41"/>
      <c r="I20" s="41"/>
      <c r="J20" s="41"/>
      <c r="K20" s="41"/>
      <c r="L20" s="41"/>
      <c r="M20" s="41"/>
      <c r="N20" s="41"/>
      <c r="O20" s="41"/>
      <c r="P20" s="41"/>
      <c r="Q20" s="38"/>
      <c r="R20" s="39">
        <f t="shared" si="0"/>
        <v>0</v>
      </c>
      <c r="S20" s="8">
        <f t="shared" si="1"/>
        <v>0</v>
      </c>
    </row>
    <row r="21" spans="1:19" ht="18" customHeight="1" x14ac:dyDescent="0.15">
      <c r="A21" s="6"/>
      <c r="B21" s="11" t="s">
        <v>194</v>
      </c>
      <c r="C21" s="38">
        <v>600</v>
      </c>
      <c r="D21" s="83" t="s">
        <v>200</v>
      </c>
      <c r="E21" s="40">
        <v>668</v>
      </c>
      <c r="F21" s="41">
        <v>0</v>
      </c>
      <c r="G21" s="41">
        <v>0</v>
      </c>
      <c r="H21" s="41"/>
      <c r="I21" s="41"/>
      <c r="J21" s="41"/>
      <c r="K21" s="41"/>
      <c r="L21" s="41"/>
      <c r="M21" s="41"/>
      <c r="N21" s="41"/>
      <c r="O21" s="41"/>
      <c r="P21" s="41"/>
      <c r="Q21" s="38"/>
      <c r="R21" s="39">
        <f t="shared" si="0"/>
        <v>0</v>
      </c>
      <c r="S21" s="8">
        <f t="shared" si="1"/>
        <v>0</v>
      </c>
    </row>
    <row r="22" spans="1:19" ht="18" customHeight="1" x14ac:dyDescent="0.15">
      <c r="A22" s="6"/>
      <c r="B22" s="11"/>
      <c r="C22" s="38"/>
      <c r="D22" s="39"/>
      <c r="E22" s="40"/>
      <c r="F22" s="41"/>
      <c r="G22" s="41"/>
      <c r="H22" s="41"/>
      <c r="I22" s="41"/>
      <c r="J22" s="41"/>
      <c r="K22" s="41"/>
      <c r="L22" s="41"/>
      <c r="M22" s="41"/>
      <c r="N22" s="41"/>
      <c r="O22" s="41"/>
      <c r="P22" s="41"/>
      <c r="Q22" s="38"/>
      <c r="R22" s="39">
        <f t="shared" si="0"/>
        <v>0</v>
      </c>
      <c r="S22" s="8" t="e">
        <f t="shared" si="1"/>
        <v>#DIV/0!</v>
      </c>
    </row>
    <row r="23" spans="1:19" ht="18" customHeight="1" x14ac:dyDescent="0.15">
      <c r="A23" s="6"/>
      <c r="B23" s="11"/>
      <c r="C23" s="38"/>
      <c r="D23" s="39"/>
      <c r="E23" s="40"/>
      <c r="F23" s="41"/>
      <c r="G23" s="41"/>
      <c r="H23" s="41"/>
      <c r="I23" s="41"/>
      <c r="J23" s="41"/>
      <c r="K23" s="41"/>
      <c r="L23" s="41"/>
      <c r="M23" s="41"/>
      <c r="N23" s="41"/>
      <c r="O23" s="41"/>
      <c r="P23" s="41"/>
      <c r="Q23" s="38"/>
      <c r="R23" s="39">
        <f t="shared" si="0"/>
        <v>0</v>
      </c>
      <c r="S23" s="8" t="e">
        <f t="shared" si="1"/>
        <v>#DIV/0!</v>
      </c>
    </row>
    <row r="24" spans="1:19" ht="18" customHeight="1" x14ac:dyDescent="0.15">
      <c r="A24" s="6"/>
      <c r="B24" s="11"/>
      <c r="C24" s="38"/>
      <c r="D24" s="83"/>
      <c r="E24" s="40"/>
      <c r="F24" s="41"/>
      <c r="G24" s="41"/>
      <c r="H24" s="41"/>
      <c r="I24" s="41"/>
      <c r="J24" s="41"/>
      <c r="K24" s="41"/>
      <c r="L24" s="41"/>
      <c r="M24" s="41"/>
      <c r="N24" s="41"/>
      <c r="O24" s="41"/>
      <c r="P24" s="41"/>
      <c r="Q24" s="38"/>
      <c r="R24" s="39">
        <f t="shared" si="0"/>
        <v>0</v>
      </c>
      <c r="S24" s="8" t="e">
        <f t="shared" si="1"/>
        <v>#DIV/0!</v>
      </c>
    </row>
    <row r="25" spans="1:19" ht="18" customHeight="1" x14ac:dyDescent="0.15">
      <c r="A25" s="6"/>
      <c r="B25" s="11"/>
      <c r="C25" s="38"/>
      <c r="D25" s="83"/>
      <c r="E25" s="40"/>
      <c r="F25" s="41"/>
      <c r="G25" s="41"/>
      <c r="H25" s="41"/>
      <c r="I25" s="41"/>
      <c r="J25" s="41"/>
      <c r="K25" s="41"/>
      <c r="L25" s="41"/>
      <c r="M25" s="41"/>
      <c r="N25" s="41"/>
      <c r="O25" s="41"/>
      <c r="P25" s="41"/>
      <c r="Q25" s="38"/>
      <c r="R25" s="39">
        <f t="shared" si="0"/>
        <v>0</v>
      </c>
      <c r="S25" s="8" t="e">
        <f t="shared" si="1"/>
        <v>#DIV/0!</v>
      </c>
    </row>
    <row r="26" spans="1:19" ht="18" customHeight="1" x14ac:dyDescent="0.15">
      <c r="A26" s="6"/>
      <c r="B26" s="11"/>
      <c r="C26" s="38"/>
      <c r="D26" s="83"/>
      <c r="E26" s="40"/>
      <c r="F26" s="41"/>
      <c r="G26" s="41"/>
      <c r="H26" s="41"/>
      <c r="I26" s="41"/>
      <c r="J26" s="41"/>
      <c r="K26" s="41"/>
      <c r="L26" s="41"/>
      <c r="M26" s="41"/>
      <c r="N26" s="41"/>
      <c r="O26" s="41"/>
      <c r="P26" s="41"/>
      <c r="Q26" s="38"/>
      <c r="R26" s="39">
        <f t="shared" si="0"/>
        <v>0</v>
      </c>
      <c r="S26" s="8" t="e">
        <f t="shared" si="1"/>
        <v>#DIV/0!</v>
      </c>
    </row>
    <row r="27" spans="1:19" ht="18" customHeight="1" x14ac:dyDescent="0.15">
      <c r="A27" s="6"/>
      <c r="B27" s="11"/>
      <c r="C27" s="38"/>
      <c r="D27" s="83"/>
      <c r="E27" s="40"/>
      <c r="F27" s="41"/>
      <c r="G27" s="41"/>
      <c r="H27" s="41"/>
      <c r="I27" s="41"/>
      <c r="J27" s="41"/>
      <c r="K27" s="41"/>
      <c r="L27" s="41"/>
      <c r="M27" s="41"/>
      <c r="N27" s="41"/>
      <c r="O27" s="41"/>
      <c r="P27" s="41"/>
      <c r="Q27" s="38"/>
      <c r="R27" s="39">
        <f t="shared" si="0"/>
        <v>0</v>
      </c>
      <c r="S27" s="8" t="e">
        <f t="shared" si="1"/>
        <v>#DIV/0!</v>
      </c>
    </row>
    <row r="28" spans="1:19" ht="18" customHeight="1" x14ac:dyDescent="0.15">
      <c r="A28" s="6"/>
      <c r="B28" s="11"/>
      <c r="C28" s="38"/>
      <c r="D28" s="83"/>
      <c r="E28" s="40"/>
      <c r="F28" s="41"/>
      <c r="G28" s="41"/>
      <c r="H28" s="41"/>
      <c r="I28" s="41"/>
      <c r="J28" s="41"/>
      <c r="K28" s="41"/>
      <c r="L28" s="41"/>
      <c r="M28" s="41"/>
      <c r="N28" s="41"/>
      <c r="O28" s="41"/>
      <c r="P28" s="41"/>
      <c r="Q28" s="38"/>
      <c r="R28" s="39">
        <f t="shared" si="0"/>
        <v>0</v>
      </c>
      <c r="S28" s="8" t="e">
        <f t="shared" si="1"/>
        <v>#DIV/0!</v>
      </c>
    </row>
    <row r="29" spans="1:19" ht="18" customHeight="1" x14ac:dyDescent="0.15">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15">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15">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15">
      <c r="B33" s="13" t="s">
        <v>33</v>
      </c>
      <c r="C33" s="44">
        <f t="shared" ref="C33:R33" si="2">SUM(C13:C32)</f>
        <v>5055</v>
      </c>
      <c r="D33" s="45">
        <f t="shared" si="2"/>
        <v>1347</v>
      </c>
      <c r="E33" s="46">
        <f t="shared" si="2"/>
        <v>5474</v>
      </c>
      <c r="F33" s="46">
        <f t="shared" si="2"/>
        <v>158</v>
      </c>
      <c r="G33" s="46">
        <f t="shared" si="2"/>
        <v>135</v>
      </c>
      <c r="H33" s="46">
        <f t="shared" si="2"/>
        <v>0</v>
      </c>
      <c r="I33" s="46">
        <f t="shared" si="2"/>
        <v>0</v>
      </c>
      <c r="J33" s="46">
        <f t="shared" si="2"/>
        <v>0</v>
      </c>
      <c r="K33" s="46">
        <f t="shared" si="2"/>
        <v>0</v>
      </c>
      <c r="L33" s="46">
        <f t="shared" si="2"/>
        <v>0</v>
      </c>
      <c r="M33" s="46">
        <f t="shared" si="2"/>
        <v>0</v>
      </c>
      <c r="N33" s="46">
        <f t="shared" si="2"/>
        <v>0</v>
      </c>
      <c r="O33" s="46">
        <f t="shared" si="2"/>
        <v>0</v>
      </c>
      <c r="P33" s="46">
        <f t="shared" si="2"/>
        <v>0</v>
      </c>
      <c r="Q33" s="44">
        <f t="shared" si="2"/>
        <v>0</v>
      </c>
      <c r="R33" s="45">
        <f t="shared" si="2"/>
        <v>158</v>
      </c>
      <c r="S33" s="9">
        <f>R33/E33</f>
        <v>2.8863719400803799E-2</v>
      </c>
    </row>
  </sheetData>
  <mergeCells count="15">
    <mergeCell ref="Q2:S2"/>
    <mergeCell ref="L11:M11"/>
    <mergeCell ref="A3:S3"/>
    <mergeCell ref="C5:D5"/>
    <mergeCell ref="B11:B12"/>
    <mergeCell ref="D11:D12"/>
    <mergeCell ref="E11:E12"/>
    <mergeCell ref="F11:G11"/>
    <mergeCell ref="R11:R12"/>
    <mergeCell ref="S11:S12"/>
    <mergeCell ref="C11:C12"/>
    <mergeCell ref="N11:O11"/>
    <mergeCell ref="P11:Q11"/>
    <mergeCell ref="H11:I11"/>
    <mergeCell ref="J11:K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522D8-9569-41A2-9900-1F2CE9DBA65F}">
  <sheetPr>
    <pageSetUpPr fitToPage="1"/>
  </sheetPr>
  <dimension ref="A1:O134"/>
  <sheetViews>
    <sheetView showZeros="0" view="pageBreakPreview" topLeftCell="A4" zoomScaleNormal="100" zoomScaleSheetLayoutView="100" workbookViewId="0">
      <selection activeCell="B14" sqref="B14:I14"/>
    </sheetView>
  </sheetViews>
  <sheetFormatPr defaultColWidth="11.25" defaultRowHeight="18.75" customHeight="1" x14ac:dyDescent="0.15"/>
  <cols>
    <col min="1" max="1" width="2.75" style="19" customWidth="1"/>
    <col min="2" max="2" width="16.75" style="1" customWidth="1"/>
    <col min="3" max="3" width="8.875" style="1" customWidth="1"/>
    <col min="4" max="4" width="2.25" style="1" customWidth="1"/>
    <col min="5" max="5" width="16.75" style="1" customWidth="1"/>
    <col min="6" max="6" width="4.25" style="1" customWidth="1"/>
    <col min="7" max="7" width="9" style="1" customWidth="1"/>
    <col min="8" max="8" width="16.75" style="1" customWidth="1"/>
    <col min="9" max="9" width="12.125" style="1" customWidth="1"/>
    <col min="10" max="16384" width="11.25" style="1"/>
  </cols>
  <sheetData>
    <row r="1" spans="1:9" ht="18.75" customHeight="1" x14ac:dyDescent="0.15">
      <c r="A1" s="19" t="s">
        <v>59</v>
      </c>
      <c r="I1" s="17" t="s">
        <v>91</v>
      </c>
    </row>
    <row r="2" spans="1:9" ht="18.75" customHeight="1" x14ac:dyDescent="0.15">
      <c r="G2" s="17" t="s">
        <v>93</v>
      </c>
      <c r="H2" s="90" t="str">
        <f>'様式１　プログラムを構成する授業科目'!C2</f>
        <v>椙山女学園大学</v>
      </c>
      <c r="I2" s="92"/>
    </row>
    <row r="3" spans="1:9" ht="18.75" customHeight="1" x14ac:dyDescent="0.15">
      <c r="G3" s="17"/>
      <c r="H3" s="10"/>
      <c r="I3" s="10"/>
    </row>
    <row r="4" spans="1:9" ht="18.600000000000001" customHeight="1" x14ac:dyDescent="0.15">
      <c r="A4" s="125" t="s">
        <v>36</v>
      </c>
      <c r="B4" s="125"/>
      <c r="C4" s="125"/>
      <c r="D4" s="125"/>
      <c r="E4" s="125"/>
      <c r="F4" s="125"/>
      <c r="G4" s="125"/>
      <c r="H4" s="125"/>
      <c r="I4" s="125"/>
    </row>
    <row r="5" spans="1:9" ht="13.15" customHeight="1" x14ac:dyDescent="0.15">
      <c r="B5" s="3"/>
      <c r="C5" s="3"/>
      <c r="D5" s="3"/>
      <c r="E5" s="3"/>
      <c r="F5" s="3"/>
      <c r="G5" s="3"/>
      <c r="H5" s="3"/>
      <c r="I5" s="3"/>
    </row>
    <row r="6" spans="1:9" ht="18" customHeight="1" x14ac:dyDescent="0.15">
      <c r="A6" s="1" t="s">
        <v>0</v>
      </c>
      <c r="B6" s="10" t="s">
        <v>81</v>
      </c>
      <c r="C6" s="168" t="s">
        <v>82</v>
      </c>
      <c r="D6" s="168"/>
      <c r="E6" s="16">
        <v>226</v>
      </c>
      <c r="F6" s="3" t="s">
        <v>1</v>
      </c>
      <c r="G6" s="3" t="s">
        <v>2</v>
      </c>
      <c r="H6" s="16">
        <v>381</v>
      </c>
      <c r="I6" s="10" t="s">
        <v>1</v>
      </c>
    </row>
    <row r="7" spans="1:9" ht="12" customHeight="1" x14ac:dyDescent="0.15">
      <c r="C7" s="2"/>
      <c r="D7" s="2"/>
      <c r="E7" s="2"/>
      <c r="F7" s="2"/>
      <c r="G7" s="2"/>
      <c r="H7" s="2"/>
      <c r="I7" s="20"/>
    </row>
    <row r="8" spans="1:9" ht="18" customHeight="1" x14ac:dyDescent="0.15">
      <c r="A8" s="1" t="s">
        <v>3</v>
      </c>
      <c r="B8" s="10" t="s">
        <v>83</v>
      </c>
      <c r="E8" s="3"/>
      <c r="F8" s="3"/>
      <c r="G8" s="3"/>
      <c r="H8" s="16">
        <v>8</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7" t="s">
        <v>41</v>
      </c>
      <c r="C11" s="166" t="s">
        <v>170</v>
      </c>
      <c r="D11" s="199"/>
      <c r="E11" s="167"/>
      <c r="F11" s="20"/>
      <c r="G11" s="17" t="s">
        <v>10</v>
      </c>
      <c r="H11" s="166" t="s">
        <v>169</v>
      </c>
      <c r="I11" s="167"/>
    </row>
    <row r="12" spans="1:9" ht="10.15" customHeight="1" x14ac:dyDescent="0.15">
      <c r="B12" s="17"/>
      <c r="C12" s="10"/>
      <c r="D12" s="20"/>
      <c r="E12" s="20"/>
      <c r="F12" s="20"/>
      <c r="G12" s="17"/>
      <c r="H12" s="10"/>
      <c r="I12" s="20"/>
    </row>
    <row r="13" spans="1:9" ht="18" customHeight="1" x14ac:dyDescent="0.15">
      <c r="A13" s="1" t="s">
        <v>7</v>
      </c>
      <c r="B13" s="10" t="s">
        <v>79</v>
      </c>
      <c r="C13" s="3"/>
      <c r="D13" s="3"/>
      <c r="E13" s="3"/>
      <c r="F13" s="3"/>
      <c r="G13" s="3"/>
      <c r="H13" s="3"/>
      <c r="I13" s="3"/>
    </row>
    <row r="14" spans="1:9" ht="18" customHeight="1" x14ac:dyDescent="0.15">
      <c r="B14" s="166" t="s">
        <v>168</v>
      </c>
      <c r="C14" s="197"/>
      <c r="D14" s="197"/>
      <c r="E14" s="197"/>
      <c r="F14" s="197"/>
      <c r="G14" s="197"/>
      <c r="H14" s="197"/>
      <c r="I14" s="198"/>
    </row>
    <row r="15" spans="1:9" ht="9" customHeight="1" x14ac:dyDescent="0.15">
      <c r="B15" s="3"/>
      <c r="C15" s="3"/>
      <c r="D15" s="3"/>
      <c r="E15" s="3"/>
      <c r="F15" s="3"/>
      <c r="G15" s="3"/>
      <c r="H15" s="3"/>
      <c r="I15" s="3"/>
    </row>
    <row r="16" spans="1:9" ht="18" customHeight="1" x14ac:dyDescent="0.15">
      <c r="B16" s="17" t="s">
        <v>41</v>
      </c>
      <c r="C16" s="166" t="s">
        <v>167</v>
      </c>
      <c r="D16" s="199"/>
      <c r="E16" s="167"/>
      <c r="F16" s="20"/>
      <c r="G16" s="17" t="s">
        <v>10</v>
      </c>
      <c r="H16" s="166" t="s">
        <v>166</v>
      </c>
      <c r="I16" s="167"/>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2" t="s">
        <v>165</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69" t="s">
        <v>164</v>
      </c>
      <c r="C22" s="170"/>
      <c r="D22" s="170"/>
      <c r="E22" s="170"/>
      <c r="F22" s="170"/>
      <c r="G22" s="170"/>
      <c r="H22" s="170"/>
      <c r="I22" s="171"/>
    </row>
    <row r="23" spans="1:9" ht="18.75" customHeight="1" x14ac:dyDescent="0.15">
      <c r="A23" s="14"/>
      <c r="B23" s="195"/>
      <c r="C23" s="196"/>
      <c r="D23" s="196"/>
      <c r="E23" s="196"/>
      <c r="F23" s="196"/>
      <c r="G23" s="196"/>
      <c r="H23" s="196"/>
      <c r="I23" s="174"/>
    </row>
    <row r="24" spans="1:9" ht="18.75" customHeight="1" x14ac:dyDescent="0.15">
      <c r="A24" s="14"/>
      <c r="B24" s="195"/>
      <c r="C24" s="196"/>
      <c r="D24" s="196"/>
      <c r="E24" s="196"/>
      <c r="F24" s="196"/>
      <c r="G24" s="196"/>
      <c r="H24" s="196"/>
      <c r="I24" s="174"/>
    </row>
    <row r="25" spans="1:9" ht="18.75" customHeight="1" x14ac:dyDescent="0.15">
      <c r="A25" s="14"/>
      <c r="B25" s="195"/>
      <c r="C25" s="196"/>
      <c r="D25" s="196"/>
      <c r="E25" s="196"/>
      <c r="F25" s="196"/>
      <c r="G25" s="196"/>
      <c r="H25" s="196"/>
      <c r="I25" s="174"/>
    </row>
    <row r="26" spans="1:9" ht="18.75" customHeight="1" x14ac:dyDescent="0.15">
      <c r="A26" s="14"/>
      <c r="B26" s="195"/>
      <c r="C26" s="196"/>
      <c r="D26" s="196"/>
      <c r="E26" s="196"/>
      <c r="F26" s="196"/>
      <c r="G26" s="196"/>
      <c r="H26" s="196"/>
      <c r="I26" s="174"/>
    </row>
    <row r="27" spans="1:9" ht="18.75" customHeight="1" x14ac:dyDescent="0.15">
      <c r="A27" s="14"/>
      <c r="B27" s="195"/>
      <c r="C27" s="196"/>
      <c r="D27" s="196"/>
      <c r="E27" s="196"/>
      <c r="F27" s="196"/>
      <c r="G27" s="196"/>
      <c r="H27" s="196"/>
      <c r="I27" s="174"/>
    </row>
    <row r="28" spans="1:9" ht="18.75" customHeight="1" x14ac:dyDescent="0.15">
      <c r="A28" s="14"/>
      <c r="B28" s="195"/>
      <c r="C28" s="196"/>
      <c r="D28" s="196"/>
      <c r="E28" s="196"/>
      <c r="F28" s="196"/>
      <c r="G28" s="196"/>
      <c r="H28" s="196"/>
      <c r="I28" s="174"/>
    </row>
    <row r="29" spans="1:9" ht="18.75" customHeight="1" x14ac:dyDescent="0.15">
      <c r="A29" s="14"/>
      <c r="B29" s="195"/>
      <c r="C29" s="196"/>
      <c r="D29" s="196"/>
      <c r="E29" s="196"/>
      <c r="F29" s="196"/>
      <c r="G29" s="196"/>
      <c r="H29" s="196"/>
      <c r="I29" s="174"/>
    </row>
    <row r="30" spans="1:9" ht="18.75" customHeight="1" x14ac:dyDescent="0.15">
      <c r="A30" s="14"/>
      <c r="B30" s="172"/>
      <c r="C30" s="173"/>
      <c r="D30" s="173"/>
      <c r="E30" s="173"/>
      <c r="F30" s="173"/>
      <c r="G30" s="173"/>
      <c r="H30" s="173"/>
      <c r="I30" s="174"/>
    </row>
    <row r="31" spans="1:9" ht="18.75" customHeight="1" x14ac:dyDescent="0.15">
      <c r="A31" s="14"/>
      <c r="B31" s="172"/>
      <c r="C31" s="173"/>
      <c r="D31" s="173"/>
      <c r="E31" s="173"/>
      <c r="F31" s="173"/>
      <c r="G31" s="173"/>
      <c r="H31" s="173"/>
      <c r="I31" s="174"/>
    </row>
    <row r="32" spans="1:9" ht="18.75" customHeight="1" x14ac:dyDescent="0.15">
      <c r="A32" s="14"/>
      <c r="B32" s="175"/>
      <c r="C32" s="176"/>
      <c r="D32" s="176"/>
      <c r="E32" s="176"/>
      <c r="F32" s="176"/>
      <c r="G32" s="176"/>
      <c r="H32" s="176"/>
      <c r="I32" s="177"/>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69" t="s">
        <v>163</v>
      </c>
      <c r="C35" s="170"/>
      <c r="D35" s="170"/>
      <c r="E35" s="170"/>
      <c r="F35" s="170"/>
      <c r="G35" s="170"/>
      <c r="H35" s="170"/>
      <c r="I35" s="171"/>
    </row>
    <row r="36" spans="1:9" ht="18.75" customHeight="1" x14ac:dyDescent="0.15">
      <c r="A36" s="14"/>
      <c r="B36" s="172"/>
      <c r="C36" s="173"/>
      <c r="D36" s="173"/>
      <c r="E36" s="173"/>
      <c r="F36" s="173"/>
      <c r="G36" s="173"/>
      <c r="H36" s="173"/>
      <c r="I36" s="174"/>
    </row>
    <row r="37" spans="1:9" ht="18.75" customHeight="1" x14ac:dyDescent="0.15">
      <c r="A37" s="14"/>
      <c r="B37" s="172"/>
      <c r="C37" s="173"/>
      <c r="D37" s="173"/>
      <c r="E37" s="173"/>
      <c r="F37" s="173"/>
      <c r="G37" s="173"/>
      <c r="H37" s="173"/>
      <c r="I37" s="174"/>
    </row>
    <row r="38" spans="1:9" ht="18.75" customHeight="1" x14ac:dyDescent="0.15">
      <c r="A38" s="14"/>
      <c r="B38" s="172"/>
      <c r="C38" s="173"/>
      <c r="D38" s="173"/>
      <c r="E38" s="173"/>
      <c r="F38" s="173"/>
      <c r="G38" s="173"/>
      <c r="H38" s="173"/>
      <c r="I38" s="174"/>
    </row>
    <row r="39" spans="1:9" ht="18.75" customHeight="1" x14ac:dyDescent="0.15">
      <c r="A39" s="14"/>
      <c r="B39" s="172"/>
      <c r="C39" s="173"/>
      <c r="D39" s="173"/>
      <c r="E39" s="173"/>
      <c r="F39" s="173"/>
      <c r="G39" s="173"/>
      <c r="H39" s="173"/>
      <c r="I39" s="174"/>
    </row>
    <row r="40" spans="1:9" ht="18.75" customHeight="1" x14ac:dyDescent="0.15">
      <c r="A40" s="14"/>
      <c r="B40" s="172"/>
      <c r="C40" s="173"/>
      <c r="D40" s="173"/>
      <c r="E40" s="173"/>
      <c r="F40" s="173"/>
      <c r="G40" s="173"/>
      <c r="H40" s="173"/>
      <c r="I40" s="174"/>
    </row>
    <row r="41" spans="1:9" ht="18.75" customHeight="1" x14ac:dyDescent="0.15">
      <c r="A41" s="14"/>
      <c r="B41" s="172"/>
      <c r="C41" s="173"/>
      <c r="D41" s="173"/>
      <c r="E41" s="173"/>
      <c r="F41" s="173"/>
      <c r="G41" s="173"/>
      <c r="H41" s="173"/>
      <c r="I41" s="174"/>
    </row>
    <row r="42" spans="1:9" ht="18.75" customHeight="1" x14ac:dyDescent="0.15">
      <c r="A42" s="14"/>
      <c r="B42" s="172"/>
      <c r="C42" s="173"/>
      <c r="D42" s="173"/>
      <c r="E42" s="173"/>
      <c r="F42" s="173"/>
      <c r="G42" s="173"/>
      <c r="H42" s="173"/>
      <c r="I42" s="174"/>
    </row>
    <row r="43" spans="1:9" ht="18.75" customHeight="1" x14ac:dyDescent="0.15">
      <c r="A43" s="14"/>
      <c r="B43" s="172"/>
      <c r="C43" s="173"/>
      <c r="D43" s="173"/>
      <c r="E43" s="173"/>
      <c r="F43" s="173"/>
      <c r="G43" s="173"/>
      <c r="H43" s="173"/>
      <c r="I43" s="174"/>
    </row>
    <row r="44" spans="1:9" ht="18.75" customHeight="1" x14ac:dyDescent="0.15">
      <c r="A44" s="14"/>
      <c r="B44" s="172"/>
      <c r="C44" s="173"/>
      <c r="D44" s="173"/>
      <c r="E44" s="173"/>
      <c r="F44" s="173"/>
      <c r="G44" s="173"/>
      <c r="H44" s="173"/>
      <c r="I44" s="174"/>
    </row>
    <row r="45" spans="1:9" ht="18.75" customHeight="1" x14ac:dyDescent="0.15">
      <c r="A45" s="14"/>
      <c r="B45" s="172"/>
      <c r="C45" s="173"/>
      <c r="D45" s="173"/>
      <c r="E45" s="173"/>
      <c r="F45" s="173"/>
      <c r="G45" s="173"/>
      <c r="H45" s="173"/>
      <c r="I45" s="174"/>
    </row>
    <row r="46" spans="1:9" ht="18.75" customHeight="1" x14ac:dyDescent="0.15">
      <c r="A46" s="14"/>
      <c r="B46" s="175"/>
      <c r="C46" s="176"/>
      <c r="D46" s="176"/>
      <c r="E46" s="176"/>
      <c r="F46" s="176"/>
      <c r="G46" s="176"/>
      <c r="H46" s="176"/>
      <c r="I46" s="177"/>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217">
        <f>'様式２ 履修者等数の実績'!S33</f>
        <v>2.8863719400803799E-2</v>
      </c>
      <c r="D49" s="217"/>
      <c r="E49" s="79" t="s">
        <v>60</v>
      </c>
      <c r="F49" s="217">
        <v>0.08</v>
      </c>
      <c r="G49" s="217"/>
      <c r="H49" s="79" t="s">
        <v>80</v>
      </c>
      <c r="I49" s="21">
        <v>0.16</v>
      </c>
      <c r="J49" s="1"/>
      <c r="M49" s="1"/>
      <c r="N49" s="22"/>
    </row>
    <row r="50" spans="1:15" s="3" customFormat="1" ht="18.75" customHeight="1" x14ac:dyDescent="0.15">
      <c r="B50" s="80" t="s">
        <v>116</v>
      </c>
      <c r="C50" s="200">
        <v>0.23</v>
      </c>
      <c r="D50" s="200"/>
      <c r="E50" s="80" t="s">
        <v>130</v>
      </c>
      <c r="F50" s="200">
        <v>0.3</v>
      </c>
      <c r="G50" s="200"/>
      <c r="H50" s="80" t="s">
        <v>61</v>
      </c>
      <c r="I50" s="23">
        <f>'様式２ 履修者等数の実績'!E33</f>
        <v>5474</v>
      </c>
      <c r="J50" s="1"/>
      <c r="M50" s="1"/>
      <c r="N50" s="22"/>
    </row>
    <row r="51" spans="1:15" ht="18.75" customHeight="1" x14ac:dyDescent="0.15">
      <c r="A51" s="1"/>
      <c r="B51" s="179" t="s">
        <v>62</v>
      </c>
      <c r="C51" s="180"/>
      <c r="D51" s="180"/>
      <c r="E51" s="180"/>
      <c r="F51" s="180"/>
      <c r="G51" s="180"/>
      <c r="H51" s="180"/>
      <c r="I51" s="181"/>
      <c r="N51" s="22"/>
      <c r="O51" s="3"/>
    </row>
    <row r="52" spans="1:15" ht="18.75" customHeight="1" x14ac:dyDescent="0.15">
      <c r="A52" s="1"/>
      <c r="B52" s="182" t="s">
        <v>188</v>
      </c>
      <c r="C52" s="183"/>
      <c r="D52" s="183"/>
      <c r="E52" s="183"/>
      <c r="F52" s="183"/>
      <c r="G52" s="183"/>
      <c r="H52" s="183"/>
      <c r="I52" s="184"/>
      <c r="N52" s="22"/>
      <c r="O52" s="3"/>
    </row>
    <row r="53" spans="1:15" ht="18.75" customHeight="1" x14ac:dyDescent="0.15">
      <c r="A53" s="1"/>
      <c r="B53" s="185"/>
      <c r="C53" s="186"/>
      <c r="D53" s="186"/>
      <c r="E53" s="186"/>
      <c r="F53" s="186"/>
      <c r="G53" s="186"/>
      <c r="H53" s="186"/>
      <c r="I53" s="187"/>
      <c r="N53" s="22"/>
      <c r="O53" s="3"/>
    </row>
    <row r="54" spans="1:15" ht="18.75" customHeight="1" x14ac:dyDescent="0.15">
      <c r="A54" s="1"/>
      <c r="B54" s="185"/>
      <c r="C54" s="186"/>
      <c r="D54" s="186"/>
      <c r="E54" s="186"/>
      <c r="F54" s="186"/>
      <c r="G54" s="186"/>
      <c r="H54" s="186"/>
      <c r="I54" s="187"/>
    </row>
    <row r="55" spans="1:15" ht="18.75" customHeight="1" x14ac:dyDescent="0.15">
      <c r="A55" s="1"/>
      <c r="B55" s="185"/>
      <c r="C55" s="186"/>
      <c r="D55" s="186"/>
      <c r="E55" s="186"/>
      <c r="F55" s="186"/>
      <c r="G55" s="186"/>
      <c r="H55" s="186"/>
      <c r="I55" s="187"/>
    </row>
    <row r="56" spans="1:15" ht="18.75" customHeight="1" x14ac:dyDescent="0.15">
      <c r="A56" s="1"/>
      <c r="B56" s="185"/>
      <c r="C56" s="186"/>
      <c r="D56" s="186"/>
      <c r="E56" s="186"/>
      <c r="F56" s="186"/>
      <c r="G56" s="186"/>
      <c r="H56" s="186"/>
      <c r="I56" s="187"/>
    </row>
    <row r="57" spans="1:15" ht="18.75" customHeight="1" x14ac:dyDescent="0.15">
      <c r="A57" s="1"/>
      <c r="B57" s="185"/>
      <c r="C57" s="186"/>
      <c r="D57" s="186"/>
      <c r="E57" s="186"/>
      <c r="F57" s="186"/>
      <c r="G57" s="186"/>
      <c r="H57" s="186"/>
      <c r="I57" s="187"/>
    </row>
    <row r="58" spans="1:15" ht="18.75" customHeight="1" x14ac:dyDescent="0.15">
      <c r="A58" s="1"/>
      <c r="B58" s="185"/>
      <c r="C58" s="186"/>
      <c r="D58" s="186"/>
      <c r="E58" s="186"/>
      <c r="F58" s="186"/>
      <c r="G58" s="186"/>
      <c r="H58" s="186"/>
      <c r="I58" s="187"/>
    </row>
    <row r="59" spans="1:15" ht="18.75" customHeight="1" x14ac:dyDescent="0.15">
      <c r="A59" s="1"/>
      <c r="B59" s="185"/>
      <c r="C59" s="186"/>
      <c r="D59" s="186"/>
      <c r="E59" s="186"/>
      <c r="F59" s="186"/>
      <c r="G59" s="186"/>
      <c r="H59" s="186"/>
      <c r="I59" s="187"/>
    </row>
    <row r="60" spans="1:15" ht="18.75" customHeight="1" x14ac:dyDescent="0.15">
      <c r="A60" s="1"/>
      <c r="B60" s="185"/>
      <c r="C60" s="186"/>
      <c r="D60" s="186"/>
      <c r="E60" s="186"/>
      <c r="F60" s="186"/>
      <c r="G60" s="186"/>
      <c r="H60" s="186"/>
      <c r="I60" s="187"/>
    </row>
    <row r="61" spans="1:15" ht="18.75" customHeight="1" x14ac:dyDescent="0.15">
      <c r="A61" s="1"/>
      <c r="B61" s="185"/>
      <c r="C61" s="186"/>
      <c r="D61" s="186"/>
      <c r="E61" s="186"/>
      <c r="F61" s="186"/>
      <c r="G61" s="186"/>
      <c r="H61" s="186"/>
      <c r="I61" s="187"/>
    </row>
    <row r="62" spans="1:15" ht="18.75" customHeight="1" x14ac:dyDescent="0.15">
      <c r="A62" s="1"/>
      <c r="B62" s="185"/>
      <c r="C62" s="186"/>
      <c r="D62" s="186"/>
      <c r="E62" s="186"/>
      <c r="F62" s="186"/>
      <c r="G62" s="186"/>
      <c r="H62" s="186"/>
      <c r="I62" s="187"/>
    </row>
    <row r="63" spans="1:15" ht="18.75" customHeight="1" x14ac:dyDescent="0.15">
      <c r="A63" s="1"/>
      <c r="B63" s="188"/>
      <c r="C63" s="189"/>
      <c r="D63" s="189"/>
      <c r="E63" s="189"/>
      <c r="F63" s="189"/>
      <c r="G63" s="189"/>
      <c r="H63" s="189"/>
      <c r="I63" s="190"/>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1" t="s">
        <v>189</v>
      </c>
      <c r="C66" s="202"/>
      <c r="D66" s="202"/>
      <c r="E66" s="202"/>
      <c r="F66" s="202"/>
      <c r="G66" s="202"/>
      <c r="H66" s="202"/>
      <c r="I66" s="203"/>
    </row>
    <row r="67" spans="1:9" ht="18.75" customHeight="1" x14ac:dyDescent="0.15">
      <c r="A67" s="4"/>
      <c r="B67" s="204"/>
      <c r="C67" s="205"/>
      <c r="D67" s="205"/>
      <c r="E67" s="205"/>
      <c r="F67" s="205"/>
      <c r="G67" s="205"/>
      <c r="H67" s="205"/>
      <c r="I67" s="206"/>
    </row>
    <row r="68" spans="1:9" ht="18.75" customHeight="1" x14ac:dyDescent="0.15">
      <c r="A68" s="4"/>
      <c r="B68" s="204"/>
      <c r="C68" s="205"/>
      <c r="D68" s="205"/>
      <c r="E68" s="205"/>
      <c r="F68" s="205"/>
      <c r="G68" s="205"/>
      <c r="H68" s="205"/>
      <c r="I68" s="206"/>
    </row>
    <row r="69" spans="1:9" ht="18.75" customHeight="1" x14ac:dyDescent="0.15">
      <c r="A69" s="4"/>
      <c r="B69" s="204"/>
      <c r="C69" s="205"/>
      <c r="D69" s="205"/>
      <c r="E69" s="205"/>
      <c r="F69" s="205"/>
      <c r="G69" s="205"/>
      <c r="H69" s="205"/>
      <c r="I69" s="206"/>
    </row>
    <row r="70" spans="1:9" ht="18.75" customHeight="1" x14ac:dyDescent="0.15">
      <c r="A70" s="4"/>
      <c r="B70" s="204"/>
      <c r="C70" s="205"/>
      <c r="D70" s="205"/>
      <c r="E70" s="205"/>
      <c r="F70" s="205"/>
      <c r="G70" s="205"/>
      <c r="H70" s="205"/>
      <c r="I70" s="206"/>
    </row>
    <row r="71" spans="1:9" ht="18.75" customHeight="1" x14ac:dyDescent="0.15">
      <c r="A71" s="4"/>
      <c r="B71" s="204"/>
      <c r="C71" s="205"/>
      <c r="D71" s="205"/>
      <c r="E71" s="205"/>
      <c r="F71" s="205"/>
      <c r="G71" s="205"/>
      <c r="H71" s="205"/>
      <c r="I71" s="206"/>
    </row>
    <row r="72" spans="1:9" ht="18.75" customHeight="1" x14ac:dyDescent="0.15">
      <c r="A72" s="4"/>
      <c r="B72" s="204"/>
      <c r="C72" s="205"/>
      <c r="D72" s="205"/>
      <c r="E72" s="205"/>
      <c r="F72" s="205"/>
      <c r="G72" s="205"/>
      <c r="H72" s="205"/>
      <c r="I72" s="206"/>
    </row>
    <row r="73" spans="1:9" ht="18.75" customHeight="1" x14ac:dyDescent="0.15">
      <c r="A73" s="4"/>
      <c r="B73" s="204"/>
      <c r="C73" s="205"/>
      <c r="D73" s="205"/>
      <c r="E73" s="205"/>
      <c r="F73" s="205"/>
      <c r="G73" s="205"/>
      <c r="H73" s="205"/>
      <c r="I73" s="206"/>
    </row>
    <row r="74" spans="1:9" ht="18.75" customHeight="1" x14ac:dyDescent="0.15">
      <c r="A74" s="4"/>
      <c r="B74" s="204"/>
      <c r="C74" s="205"/>
      <c r="D74" s="205"/>
      <c r="E74" s="205"/>
      <c r="F74" s="205"/>
      <c r="G74" s="205"/>
      <c r="H74" s="205"/>
      <c r="I74" s="206"/>
    </row>
    <row r="75" spans="1:9" ht="18.75" customHeight="1" x14ac:dyDescent="0.15">
      <c r="A75" s="4"/>
      <c r="B75" s="204"/>
      <c r="C75" s="205"/>
      <c r="D75" s="205"/>
      <c r="E75" s="205"/>
      <c r="F75" s="205"/>
      <c r="G75" s="205"/>
      <c r="H75" s="205"/>
      <c r="I75" s="206"/>
    </row>
    <row r="76" spans="1:9" ht="18.75" customHeight="1" x14ac:dyDescent="0.15">
      <c r="A76" s="4"/>
      <c r="B76" s="204"/>
      <c r="C76" s="205"/>
      <c r="D76" s="205"/>
      <c r="E76" s="205"/>
      <c r="F76" s="205"/>
      <c r="G76" s="205"/>
      <c r="H76" s="205"/>
      <c r="I76" s="206"/>
    </row>
    <row r="77" spans="1:9" ht="18.75" customHeight="1" x14ac:dyDescent="0.15">
      <c r="A77" s="4"/>
      <c r="B77" s="207"/>
      <c r="C77" s="208"/>
      <c r="D77" s="208"/>
      <c r="E77" s="208"/>
      <c r="F77" s="208"/>
      <c r="G77" s="208"/>
      <c r="H77" s="208"/>
      <c r="I77" s="209"/>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1" t="s">
        <v>162</v>
      </c>
      <c r="C80" s="202"/>
      <c r="D80" s="202"/>
      <c r="E80" s="202"/>
      <c r="F80" s="202"/>
      <c r="G80" s="202"/>
      <c r="H80" s="202"/>
      <c r="I80" s="210"/>
    </row>
    <row r="81" spans="1:9" ht="18.75" customHeight="1" x14ac:dyDescent="0.15">
      <c r="A81" s="1"/>
      <c r="B81" s="211"/>
      <c r="C81" s="212"/>
      <c r="D81" s="212"/>
      <c r="E81" s="212"/>
      <c r="F81" s="212"/>
      <c r="G81" s="212"/>
      <c r="H81" s="212"/>
      <c r="I81" s="213"/>
    </row>
    <row r="82" spans="1:9" ht="18.75" customHeight="1" x14ac:dyDescent="0.15">
      <c r="A82" s="1"/>
      <c r="B82" s="211"/>
      <c r="C82" s="212"/>
      <c r="D82" s="212"/>
      <c r="E82" s="212"/>
      <c r="F82" s="212"/>
      <c r="G82" s="212"/>
      <c r="H82" s="212"/>
      <c r="I82" s="213"/>
    </row>
    <row r="83" spans="1:9" ht="18.75" customHeight="1" x14ac:dyDescent="0.15">
      <c r="A83" s="1"/>
      <c r="B83" s="211"/>
      <c r="C83" s="212"/>
      <c r="D83" s="212"/>
      <c r="E83" s="212"/>
      <c r="F83" s="212"/>
      <c r="G83" s="212"/>
      <c r="H83" s="212"/>
      <c r="I83" s="213"/>
    </row>
    <row r="84" spans="1:9" ht="18.75" customHeight="1" x14ac:dyDescent="0.15">
      <c r="A84" s="1"/>
      <c r="B84" s="211"/>
      <c r="C84" s="212"/>
      <c r="D84" s="212"/>
      <c r="E84" s="212"/>
      <c r="F84" s="212"/>
      <c r="G84" s="212"/>
      <c r="H84" s="212"/>
      <c r="I84" s="213"/>
    </row>
    <row r="85" spans="1:9" ht="18.75" customHeight="1" x14ac:dyDescent="0.15">
      <c r="A85" s="1"/>
      <c r="B85" s="211"/>
      <c r="C85" s="212"/>
      <c r="D85" s="212"/>
      <c r="E85" s="212"/>
      <c r="F85" s="212"/>
      <c r="G85" s="212"/>
      <c r="H85" s="212"/>
      <c r="I85" s="213"/>
    </row>
    <row r="86" spans="1:9" ht="18.75" customHeight="1" x14ac:dyDescent="0.15">
      <c r="A86" s="1"/>
      <c r="B86" s="211"/>
      <c r="C86" s="212"/>
      <c r="D86" s="212"/>
      <c r="E86" s="212"/>
      <c r="F86" s="212"/>
      <c r="G86" s="212"/>
      <c r="H86" s="212"/>
      <c r="I86" s="213"/>
    </row>
    <row r="87" spans="1:9" ht="18.75" customHeight="1" x14ac:dyDescent="0.15">
      <c r="A87" s="1"/>
      <c r="B87" s="211"/>
      <c r="C87" s="212"/>
      <c r="D87" s="212"/>
      <c r="E87" s="212"/>
      <c r="F87" s="212"/>
      <c r="G87" s="212"/>
      <c r="H87" s="212"/>
      <c r="I87" s="213"/>
    </row>
    <row r="88" spans="1:9" ht="18.75" customHeight="1" x14ac:dyDescent="0.15">
      <c r="A88" s="1"/>
      <c r="B88" s="211"/>
      <c r="C88" s="212"/>
      <c r="D88" s="212"/>
      <c r="E88" s="212"/>
      <c r="F88" s="212"/>
      <c r="G88" s="212"/>
      <c r="H88" s="212"/>
      <c r="I88" s="213"/>
    </row>
    <row r="89" spans="1:9" ht="18.75" customHeight="1" x14ac:dyDescent="0.15">
      <c r="A89" s="1"/>
      <c r="B89" s="211"/>
      <c r="C89" s="212"/>
      <c r="D89" s="212"/>
      <c r="E89" s="212"/>
      <c r="F89" s="212"/>
      <c r="G89" s="212"/>
      <c r="H89" s="212"/>
      <c r="I89" s="213"/>
    </row>
    <row r="90" spans="1:9" ht="18.75" customHeight="1" x14ac:dyDescent="0.15">
      <c r="A90" s="4"/>
      <c r="B90" s="211"/>
      <c r="C90" s="212"/>
      <c r="D90" s="212"/>
      <c r="E90" s="212"/>
      <c r="F90" s="212"/>
      <c r="G90" s="212"/>
      <c r="H90" s="212"/>
      <c r="I90" s="213"/>
    </row>
    <row r="91" spans="1:9" ht="18.75" customHeight="1" x14ac:dyDescent="0.15">
      <c r="A91" s="4"/>
      <c r="B91" s="214"/>
      <c r="C91" s="215"/>
      <c r="D91" s="215"/>
      <c r="E91" s="215"/>
      <c r="F91" s="215"/>
      <c r="G91" s="215"/>
      <c r="H91" s="215"/>
      <c r="I91" s="216"/>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69" t="s">
        <v>161</v>
      </c>
      <c r="C94" s="170"/>
      <c r="D94" s="170"/>
      <c r="E94" s="170"/>
      <c r="F94" s="170"/>
      <c r="G94" s="170"/>
      <c r="H94" s="170"/>
      <c r="I94" s="171"/>
    </row>
    <row r="95" spans="1:9" ht="18.75" customHeight="1" x14ac:dyDescent="0.15">
      <c r="A95" s="1"/>
      <c r="B95" s="172"/>
      <c r="C95" s="173"/>
      <c r="D95" s="173"/>
      <c r="E95" s="173"/>
      <c r="F95" s="173"/>
      <c r="G95" s="173"/>
      <c r="H95" s="173"/>
      <c r="I95" s="174"/>
    </row>
    <row r="96" spans="1:9" ht="18.75" customHeight="1" x14ac:dyDescent="0.15">
      <c r="A96" s="1"/>
      <c r="B96" s="172"/>
      <c r="C96" s="173"/>
      <c r="D96" s="173"/>
      <c r="E96" s="173"/>
      <c r="F96" s="173"/>
      <c r="G96" s="173"/>
      <c r="H96" s="173"/>
      <c r="I96" s="174"/>
    </row>
    <row r="97" spans="1:9" ht="18.75" customHeight="1" x14ac:dyDescent="0.15">
      <c r="A97" s="1"/>
      <c r="B97" s="172"/>
      <c r="C97" s="173"/>
      <c r="D97" s="173"/>
      <c r="E97" s="173"/>
      <c r="F97" s="173"/>
      <c r="G97" s="173"/>
      <c r="H97" s="173"/>
      <c r="I97" s="174"/>
    </row>
    <row r="98" spans="1:9" ht="18.75" customHeight="1" x14ac:dyDescent="0.15">
      <c r="A98" s="1"/>
      <c r="B98" s="172"/>
      <c r="C98" s="173"/>
      <c r="D98" s="173"/>
      <c r="E98" s="173"/>
      <c r="F98" s="173"/>
      <c r="G98" s="173"/>
      <c r="H98" s="173"/>
      <c r="I98" s="174"/>
    </row>
    <row r="99" spans="1:9" ht="18.75" customHeight="1" x14ac:dyDescent="0.15">
      <c r="A99" s="1"/>
      <c r="B99" s="172"/>
      <c r="C99" s="173"/>
      <c r="D99" s="173"/>
      <c r="E99" s="173"/>
      <c r="F99" s="173"/>
      <c r="G99" s="173"/>
      <c r="H99" s="173"/>
      <c r="I99" s="174"/>
    </row>
    <row r="100" spans="1:9" ht="18.75" customHeight="1" x14ac:dyDescent="0.15">
      <c r="A100" s="1"/>
      <c r="B100" s="172"/>
      <c r="C100" s="173"/>
      <c r="D100" s="173"/>
      <c r="E100" s="173"/>
      <c r="F100" s="173"/>
      <c r="G100" s="173"/>
      <c r="H100" s="173"/>
      <c r="I100" s="174"/>
    </row>
    <row r="101" spans="1:9" ht="18.75" customHeight="1" x14ac:dyDescent="0.15">
      <c r="A101" s="1"/>
      <c r="B101" s="172"/>
      <c r="C101" s="173"/>
      <c r="D101" s="173"/>
      <c r="E101" s="173"/>
      <c r="F101" s="173"/>
      <c r="G101" s="173"/>
      <c r="H101" s="173"/>
      <c r="I101" s="174"/>
    </row>
    <row r="102" spans="1:9" ht="18.75" customHeight="1" x14ac:dyDescent="0.15">
      <c r="A102" s="1"/>
      <c r="B102" s="172"/>
      <c r="C102" s="173"/>
      <c r="D102" s="173"/>
      <c r="E102" s="173"/>
      <c r="F102" s="173"/>
      <c r="G102" s="173"/>
      <c r="H102" s="173"/>
      <c r="I102" s="174"/>
    </row>
    <row r="103" spans="1:9" ht="18.75" customHeight="1" x14ac:dyDescent="0.15">
      <c r="A103" s="1"/>
      <c r="B103" s="172"/>
      <c r="C103" s="173"/>
      <c r="D103" s="173"/>
      <c r="E103" s="173"/>
      <c r="F103" s="173"/>
      <c r="G103" s="173"/>
      <c r="H103" s="173"/>
      <c r="I103" s="174"/>
    </row>
    <row r="104" spans="1:9" ht="18.75" customHeight="1" x14ac:dyDescent="0.15">
      <c r="A104" s="1"/>
      <c r="B104" s="172"/>
      <c r="C104" s="173"/>
      <c r="D104" s="173"/>
      <c r="E104" s="173"/>
      <c r="F104" s="173"/>
      <c r="G104" s="173"/>
      <c r="H104" s="173"/>
      <c r="I104" s="174"/>
    </row>
    <row r="105" spans="1:9" ht="18.75" customHeight="1" x14ac:dyDescent="0.15">
      <c r="A105" s="4"/>
      <c r="B105" s="175"/>
      <c r="C105" s="176"/>
      <c r="D105" s="176"/>
      <c r="E105" s="176"/>
      <c r="F105" s="176"/>
      <c r="G105" s="176"/>
      <c r="H105" s="176"/>
      <c r="I105" s="177"/>
    </row>
    <row r="106" spans="1:9" ht="7.5" customHeight="1" x14ac:dyDescent="0.15">
      <c r="A106" s="4"/>
      <c r="B106" s="4"/>
      <c r="C106" s="4"/>
      <c r="D106" s="4"/>
      <c r="E106" s="4"/>
      <c r="F106" s="4"/>
      <c r="G106" s="4"/>
      <c r="H106" s="4"/>
      <c r="I106" s="4"/>
    </row>
    <row r="107" spans="1:9" ht="18.75" customHeight="1" x14ac:dyDescent="0.15">
      <c r="A107" s="1" t="s">
        <v>30</v>
      </c>
      <c r="B107" s="178" t="s">
        <v>44</v>
      </c>
      <c r="C107" s="178"/>
      <c r="D107" s="178"/>
      <c r="E107" s="178"/>
      <c r="F107" s="178"/>
      <c r="G107" s="178"/>
      <c r="H107" s="178"/>
      <c r="I107" s="178"/>
    </row>
    <row r="108" spans="1:9" ht="18.75" customHeight="1" x14ac:dyDescent="0.15">
      <c r="A108" s="4"/>
      <c r="B108" s="169" t="s">
        <v>160</v>
      </c>
      <c r="C108" s="170"/>
      <c r="D108" s="170"/>
      <c r="E108" s="170"/>
      <c r="F108" s="170"/>
      <c r="G108" s="170"/>
      <c r="H108" s="170"/>
      <c r="I108" s="171"/>
    </row>
    <row r="109" spans="1:9" ht="18.75" customHeight="1" x14ac:dyDescent="0.15">
      <c r="A109" s="4"/>
      <c r="B109" s="172"/>
      <c r="C109" s="173"/>
      <c r="D109" s="173"/>
      <c r="E109" s="173"/>
      <c r="F109" s="173"/>
      <c r="G109" s="173"/>
      <c r="H109" s="173"/>
      <c r="I109" s="174"/>
    </row>
    <row r="110" spans="1:9" ht="18.75" customHeight="1" x14ac:dyDescent="0.15">
      <c r="A110" s="4"/>
      <c r="B110" s="172"/>
      <c r="C110" s="173"/>
      <c r="D110" s="173"/>
      <c r="E110" s="173"/>
      <c r="F110" s="173"/>
      <c r="G110" s="173"/>
      <c r="H110" s="173"/>
      <c r="I110" s="174"/>
    </row>
    <row r="111" spans="1:9" ht="18.75" customHeight="1" x14ac:dyDescent="0.15">
      <c r="A111" s="4"/>
      <c r="B111" s="172"/>
      <c r="C111" s="173"/>
      <c r="D111" s="173"/>
      <c r="E111" s="173"/>
      <c r="F111" s="173"/>
      <c r="G111" s="173"/>
      <c r="H111" s="173"/>
      <c r="I111" s="174"/>
    </row>
    <row r="112" spans="1:9" ht="18.75" customHeight="1" x14ac:dyDescent="0.15">
      <c r="A112" s="4"/>
      <c r="B112" s="172"/>
      <c r="C112" s="173"/>
      <c r="D112" s="173"/>
      <c r="E112" s="173"/>
      <c r="F112" s="173"/>
      <c r="G112" s="173"/>
      <c r="H112" s="173"/>
      <c r="I112" s="174"/>
    </row>
    <row r="113" spans="1:9" ht="18.75" customHeight="1" x14ac:dyDescent="0.15">
      <c r="A113" s="4"/>
      <c r="B113" s="172"/>
      <c r="C113" s="173"/>
      <c r="D113" s="173"/>
      <c r="E113" s="173"/>
      <c r="F113" s="173"/>
      <c r="G113" s="173"/>
      <c r="H113" s="173"/>
      <c r="I113" s="174"/>
    </row>
    <row r="114" spans="1:9" ht="18.75" customHeight="1" x14ac:dyDescent="0.15">
      <c r="A114" s="4"/>
      <c r="B114" s="172"/>
      <c r="C114" s="173"/>
      <c r="D114" s="173"/>
      <c r="E114" s="173"/>
      <c r="F114" s="173"/>
      <c r="G114" s="173"/>
      <c r="H114" s="173"/>
      <c r="I114" s="174"/>
    </row>
    <row r="115" spans="1:9" ht="18.75" customHeight="1" x14ac:dyDescent="0.15">
      <c r="A115" s="4"/>
      <c r="B115" s="172"/>
      <c r="C115" s="173"/>
      <c r="D115" s="173"/>
      <c r="E115" s="173"/>
      <c r="F115" s="173"/>
      <c r="G115" s="173"/>
      <c r="H115" s="173"/>
      <c r="I115" s="174"/>
    </row>
    <row r="116" spans="1:9" ht="18.75" customHeight="1" x14ac:dyDescent="0.15">
      <c r="A116" s="4"/>
      <c r="B116" s="172"/>
      <c r="C116" s="173"/>
      <c r="D116" s="173"/>
      <c r="E116" s="173"/>
      <c r="F116" s="173"/>
      <c r="G116" s="173"/>
      <c r="H116" s="173"/>
      <c r="I116" s="174"/>
    </row>
    <row r="117" spans="1:9" ht="18.75" customHeight="1" x14ac:dyDescent="0.15">
      <c r="A117" s="4"/>
      <c r="B117" s="172"/>
      <c r="C117" s="173"/>
      <c r="D117" s="173"/>
      <c r="E117" s="173"/>
      <c r="F117" s="173"/>
      <c r="G117" s="173"/>
      <c r="H117" s="173"/>
      <c r="I117" s="174"/>
    </row>
    <row r="118" spans="1:9" ht="18.75" customHeight="1" x14ac:dyDescent="0.15">
      <c r="A118" s="4"/>
      <c r="B118" s="172"/>
      <c r="C118" s="173"/>
      <c r="D118" s="173"/>
      <c r="E118" s="173"/>
      <c r="F118" s="173"/>
      <c r="G118" s="173"/>
      <c r="H118" s="173"/>
      <c r="I118" s="174"/>
    </row>
    <row r="119" spans="1:9" ht="18.75" customHeight="1" x14ac:dyDescent="0.15">
      <c r="A119" s="4"/>
      <c r="B119" s="175"/>
      <c r="C119" s="176"/>
      <c r="D119" s="176"/>
      <c r="E119" s="176"/>
      <c r="F119" s="176"/>
      <c r="G119" s="176"/>
      <c r="H119" s="176"/>
      <c r="I119" s="177"/>
    </row>
    <row r="120" spans="1:9" ht="7.5" customHeight="1" x14ac:dyDescent="0.15">
      <c r="A120" s="4"/>
      <c r="B120" s="24"/>
      <c r="C120" s="24"/>
      <c r="D120" s="24"/>
      <c r="E120" s="24"/>
      <c r="F120" s="24"/>
      <c r="G120" s="24"/>
      <c r="H120" s="24"/>
      <c r="I120" s="24"/>
    </row>
    <row r="121" spans="1:9" ht="18.75" customHeight="1" x14ac:dyDescent="0.15">
      <c r="A121" s="49"/>
      <c r="B121" s="191"/>
      <c r="C121" s="191"/>
      <c r="D121" s="191"/>
      <c r="E121" s="191"/>
      <c r="F121" s="191"/>
      <c r="G121" s="191"/>
      <c r="H121" s="191"/>
      <c r="I121" s="191"/>
    </row>
    <row r="122" spans="1:9" ht="18.75" customHeight="1" x14ac:dyDescent="0.15">
      <c r="A122" s="49"/>
      <c r="B122" s="191"/>
      <c r="C122" s="191"/>
      <c r="D122" s="191"/>
      <c r="E122" s="191"/>
      <c r="F122" s="191"/>
      <c r="G122" s="191"/>
      <c r="H122" s="191"/>
      <c r="I122" s="191"/>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B121:I122"/>
    <mergeCell ref="H2:I2"/>
    <mergeCell ref="A4:I4"/>
    <mergeCell ref="B19:I19"/>
    <mergeCell ref="B22:I32"/>
    <mergeCell ref="B35:I46"/>
    <mergeCell ref="B14:I14"/>
    <mergeCell ref="C16:E16"/>
    <mergeCell ref="H16:I16"/>
    <mergeCell ref="C11:E11"/>
    <mergeCell ref="F50:G50"/>
    <mergeCell ref="B66:I77"/>
    <mergeCell ref="B80:I91"/>
    <mergeCell ref="C49:D49"/>
    <mergeCell ref="C50:D50"/>
    <mergeCell ref="F49:G49"/>
    <mergeCell ref="H11:I11"/>
    <mergeCell ref="C6:D6"/>
    <mergeCell ref="B94:I105"/>
    <mergeCell ref="B107:I107"/>
    <mergeCell ref="B108:I119"/>
    <mergeCell ref="B51:I51"/>
    <mergeCell ref="B52:I63"/>
  </mergeCells>
  <phoneticPr fontId="1"/>
  <printOptions horizontalCentered="1"/>
  <pageMargins left="0.78740157480314965" right="0.78740157480314965" top="0.78740157480314965" bottom="0.59055118110236227" header="0.31496062992125984" footer="0.31496062992125984"/>
  <pageSetup paperSize="9" scale="97"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19727-AAAD-4870-B4B1-42EBB40538C1}">
  <sheetPr>
    <pageSetUpPr fitToPage="1"/>
  </sheetPr>
  <dimension ref="A1:I30"/>
  <sheetViews>
    <sheetView showZeros="0" view="pageBreakPreview" topLeftCell="A13" zoomScaleNormal="100" zoomScaleSheetLayoutView="100" workbookViewId="0">
      <selection activeCell="B6" sqref="B6:I6"/>
    </sheetView>
  </sheetViews>
  <sheetFormatPr defaultColWidth="11.2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25" style="1"/>
  </cols>
  <sheetData>
    <row r="1" spans="1:9" ht="18.75" customHeight="1" x14ac:dyDescent="0.15">
      <c r="A1" s="1" t="s">
        <v>63</v>
      </c>
      <c r="I1" s="17" t="s">
        <v>90</v>
      </c>
    </row>
    <row r="2" spans="1:9" ht="18.75" customHeight="1" x14ac:dyDescent="0.15">
      <c r="H2" s="17" t="s">
        <v>93</v>
      </c>
      <c r="I2" s="16" t="str">
        <f>'様式１　プログラムを構成する授業科目'!C2</f>
        <v>椙山女学園大学</v>
      </c>
    </row>
    <row r="3" spans="1:9" ht="18.75" customHeight="1" x14ac:dyDescent="0.15">
      <c r="A3" s="125" t="s">
        <v>28</v>
      </c>
      <c r="B3" s="125"/>
      <c r="C3" s="125"/>
      <c r="D3" s="125"/>
      <c r="E3" s="125"/>
      <c r="F3" s="125"/>
      <c r="G3" s="125"/>
      <c r="H3" s="125"/>
      <c r="I3" s="125"/>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66" t="s">
        <v>179</v>
      </c>
      <c r="C6" s="197"/>
      <c r="D6" s="197"/>
      <c r="E6" s="197"/>
      <c r="F6" s="197"/>
      <c r="G6" s="197"/>
      <c r="H6" s="197"/>
      <c r="I6" s="198"/>
    </row>
    <row r="7" spans="1:9" ht="9" customHeight="1" x14ac:dyDescent="0.15">
      <c r="A7" s="5"/>
      <c r="B7" s="10"/>
      <c r="C7" s="10"/>
      <c r="D7" s="10"/>
      <c r="E7" s="10"/>
      <c r="F7" s="10"/>
      <c r="G7" s="10"/>
      <c r="H7" s="10"/>
      <c r="I7" s="3"/>
    </row>
    <row r="8" spans="1:9" ht="18.75" customHeight="1" x14ac:dyDescent="0.15">
      <c r="A8" s="5"/>
      <c r="B8" s="3"/>
      <c r="C8" s="3"/>
      <c r="D8" s="17" t="s">
        <v>41</v>
      </c>
      <c r="E8" s="18" t="s">
        <v>170</v>
      </c>
      <c r="F8" s="3"/>
      <c r="G8" s="17" t="s">
        <v>10</v>
      </c>
      <c r="H8" s="18" t="s">
        <v>169</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0" t="s">
        <v>24</v>
      </c>
      <c r="C11" s="91"/>
      <c r="D11" s="92"/>
      <c r="E11" s="91" t="s">
        <v>26</v>
      </c>
      <c r="F11" s="91"/>
      <c r="G11" s="91"/>
      <c r="H11" s="91"/>
      <c r="I11" s="92"/>
    </row>
    <row r="12" spans="1:9" ht="26.25" customHeight="1" x14ac:dyDescent="0.15">
      <c r="B12" s="25" t="s">
        <v>14</v>
      </c>
      <c r="C12" s="32"/>
      <c r="D12" s="26"/>
      <c r="E12" s="33"/>
      <c r="F12" s="33"/>
      <c r="G12" s="33"/>
      <c r="H12" s="33"/>
      <c r="I12" s="26"/>
    </row>
    <row r="13" spans="1:9" ht="210.75" customHeight="1" x14ac:dyDescent="0.15">
      <c r="B13" s="27"/>
      <c r="C13" s="223" t="s">
        <v>15</v>
      </c>
      <c r="D13" s="224"/>
      <c r="E13" s="220" t="s">
        <v>178</v>
      </c>
      <c r="F13" s="221"/>
      <c r="G13" s="221"/>
      <c r="H13" s="221"/>
      <c r="I13" s="222"/>
    </row>
    <row r="14" spans="1:9" ht="210.75" customHeight="1" x14ac:dyDescent="0.15">
      <c r="B14" s="27"/>
      <c r="C14" s="218" t="s">
        <v>16</v>
      </c>
      <c r="D14" s="219"/>
      <c r="E14" s="220" t="s">
        <v>190</v>
      </c>
      <c r="F14" s="221"/>
      <c r="G14" s="221"/>
      <c r="H14" s="221"/>
      <c r="I14" s="222"/>
    </row>
    <row r="15" spans="1:9" ht="210.75" customHeight="1" x14ac:dyDescent="0.15">
      <c r="B15" s="27"/>
      <c r="C15" s="223" t="s">
        <v>17</v>
      </c>
      <c r="D15" s="224"/>
      <c r="E15" s="220" t="s">
        <v>177</v>
      </c>
      <c r="F15" s="221"/>
      <c r="G15" s="221"/>
      <c r="H15" s="221"/>
      <c r="I15" s="222"/>
    </row>
    <row r="16" spans="1:9" ht="210.75" customHeight="1" x14ac:dyDescent="0.15">
      <c r="B16" s="27"/>
      <c r="C16" s="223" t="s">
        <v>18</v>
      </c>
      <c r="D16" s="224"/>
      <c r="E16" s="220" t="s">
        <v>176</v>
      </c>
      <c r="F16" s="221"/>
      <c r="G16" s="221"/>
      <c r="H16" s="221"/>
      <c r="I16" s="222"/>
    </row>
    <row r="17" spans="2:9" ht="210.75" customHeight="1" x14ac:dyDescent="0.15">
      <c r="B17" s="28"/>
      <c r="C17" s="225" t="s">
        <v>19</v>
      </c>
      <c r="D17" s="226"/>
      <c r="E17" s="227" t="s">
        <v>175</v>
      </c>
      <c r="F17" s="228"/>
      <c r="G17" s="228"/>
      <c r="H17" s="228"/>
      <c r="I17" s="229"/>
    </row>
    <row r="18" spans="2:9" ht="24" customHeight="1" x14ac:dyDescent="0.15">
      <c r="B18" s="25" t="s">
        <v>20</v>
      </c>
      <c r="C18" s="29"/>
      <c r="D18" s="30"/>
      <c r="E18" s="31"/>
      <c r="F18" s="31"/>
      <c r="G18" s="31"/>
      <c r="H18" s="31"/>
      <c r="I18" s="34"/>
    </row>
    <row r="19" spans="2:9" ht="218.25" customHeight="1" x14ac:dyDescent="0.15">
      <c r="B19" s="27"/>
      <c r="C19" s="223" t="s">
        <v>21</v>
      </c>
      <c r="D19" s="224"/>
      <c r="E19" s="221" t="s">
        <v>174</v>
      </c>
      <c r="F19" s="221"/>
      <c r="G19" s="221"/>
      <c r="H19" s="221"/>
      <c r="I19" s="222"/>
    </row>
    <row r="20" spans="2:9" ht="218.25" customHeight="1" x14ac:dyDescent="0.15">
      <c r="B20" s="28"/>
      <c r="C20" s="225" t="s">
        <v>22</v>
      </c>
      <c r="D20" s="226"/>
      <c r="E20" s="228" t="s">
        <v>173</v>
      </c>
      <c r="F20" s="228"/>
      <c r="G20" s="228"/>
      <c r="H20" s="228"/>
      <c r="I20" s="229"/>
    </row>
    <row r="21" spans="2:9" ht="218.25" customHeight="1" x14ac:dyDescent="0.15">
      <c r="B21" s="235" t="s">
        <v>23</v>
      </c>
      <c r="C21" s="236"/>
      <c r="D21" s="237"/>
      <c r="E21" s="238" t="s">
        <v>172</v>
      </c>
      <c r="F21" s="238"/>
      <c r="G21" s="238"/>
      <c r="H21" s="238"/>
      <c r="I21" s="239"/>
    </row>
    <row r="22" spans="2:9" ht="218.25" customHeight="1" x14ac:dyDescent="0.15">
      <c r="B22" s="230" t="s">
        <v>121</v>
      </c>
      <c r="C22" s="231"/>
      <c r="D22" s="232"/>
      <c r="E22" s="233" t="s">
        <v>171</v>
      </c>
      <c r="F22" s="233"/>
      <c r="G22" s="233"/>
      <c r="H22" s="233"/>
      <c r="I22" s="23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I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中村 詩織</dc:creator>
  <cp:lastModifiedBy>中村 詩織</cp:lastModifiedBy>
  <cp:lastPrinted>2025-05-12T00:17:07Z</cp:lastPrinted>
  <dcterms:created xsi:type="dcterms:W3CDTF">2011-06-14T05:32:50Z</dcterms:created>
  <dcterms:modified xsi:type="dcterms:W3CDTF">2025-07-07T03:44:07Z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