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jserver4\kyoumu\数理・データサイエンス・AI教育プログラム認定制度\再提出\●申請書類（再提出）\01_広島修道大学_リテラシー\"/>
    </mc:Choice>
  </mc:AlternateContent>
  <xr:revisionPtr revIDLastSave="0" documentId="8_{AC6DDAE2-3091-4219-85E7-1D2917063AC0}" xr6:coauthVersionLast="47" xr6:coauthVersionMax="47" xr10:uidLastSave="{00000000-0000-0000-0000-000000000000}"/>
  <bookViews>
    <workbookView xWindow="0" yWindow="-45" windowWidth="18105" windowHeight="1108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13" i="40"/>
  <c r="S13" i="40" s="1"/>
  <c r="C33" i="40"/>
  <c r="G33" i="40" l="1"/>
  <c r="F33" i="40" l="1"/>
  <c r="E33" i="40"/>
  <c r="D33" i="40"/>
  <c r="S19" i="40"/>
  <c r="S18" i="40"/>
  <c r="S17" i="40"/>
  <c r="S16" i="40"/>
  <c r="S15" i="40"/>
  <c r="S14" i="40"/>
  <c r="R33" i="40" l="1"/>
  <c r="S33" i="40" s="1"/>
</calcChain>
</file>

<file path=xl/sharedStrings.xml><?xml version="1.0" encoding="utf-8"?>
<sst xmlns="http://schemas.openxmlformats.org/spreadsheetml/2006/main" count="440" uniqueCount="238">
  <si>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</si>
  <si>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</si>
  <si>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</si>
  <si>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プログラム名</t>
    <rPh sb="5" eb="6">
      <t>メイ</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</si>
  <si>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</si>
  <si>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</si>
  <si>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② 対象となる学部・学科名称</t>
    <phoneticPr fontId="1"/>
  </si>
  <si>
    <t>③ 修了要件</t>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</si>
  <si>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</si>
  <si>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</si>
  <si>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</si>
  <si>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</si>
  <si>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</si>
  <si>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</si>
  <si>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</si>
  <si>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</si>
  <si>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</si>
  <si>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</si>
  <si>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</si>
  <si>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</si>
  <si>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</si>
  <si>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</si>
  <si>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</si>
  <si>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</si>
  <si>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</si>
  <si>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</si>
  <si>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</si>
  <si>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</si>
  <si>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</si>
  <si>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</si>
  <si>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</si>
  <si>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</si>
  <si>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</si>
  <si>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</si>
  <si>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</si>
  <si>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</si>
  <si>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</si>
  <si>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</si>
  <si>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</si>
  <si>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</si>
  <si>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</si>
  <si>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</si>
  <si>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</si>
  <si>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</si>
  <si>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</si>
  <si>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</si>
  <si>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</si>
  <si>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</si>
  <si>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</si>
  <si>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</si>
  <si>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</si>
  <si>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</si>
  <si>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</si>
  <si>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</si>
  <si>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</si>
  <si>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</si>
  <si>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</si>
  <si>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</si>
  <si>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</si>
  <si>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</si>
  <si>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</si>
  <si>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</si>
  <si>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</si>
  <si>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</si>
  <si>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</si>
  <si>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</si>
  <si>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</si>
  <si>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</si>
  <si>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</si>
  <si>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</si>
  <si>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</si>
  <si>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</si>
  <si>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</si>
  <si>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</si>
  <si>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</si>
  <si>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</si>
  <si>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</si>
  <si>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</si>
  <si>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</si>
  <si>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</si>
  <si>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</si>
  <si>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</si>
  <si>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</si>
  <si>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</si>
  <si>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</si>
  <si>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</si>
  <si>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</si>
  <si>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</si>
  <si>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</si>
  <si>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</si>
  <si>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</si>
  <si>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</si>
  <si>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</si>
  <si>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</si>
  <si>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</si>
  <si>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</si>
  <si>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</si>
  <si>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</si>
  <si>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</si>
  <si>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</si>
  <si>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</si>
  <si>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</si>
  <si>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</si>
  <si>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</si>
  <si>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</si>
  <si>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</si>
  <si>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</si>
  <si>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</si>
  <si>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</si>
  <si>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</si>
  <si>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</si>
  <si>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</si>
  <si>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</si>
  <si>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</si>
  <si>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</si>
  <si>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</si>
  <si>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</si>
  <si>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</si>
  <si>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</si>
  <si>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</si>
  <si>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</si>
  <si>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</si>
  <si>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</si>
  <si>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</si>
  <si>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</si>
  <si>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</si>
  <si>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</si>
  <si>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</si>
  <si>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</si>
  <si>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</si>
  <si>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</si>
  <si>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</si>
  <si>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</si>
  <si>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</si>
  <si>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</si>
  <si>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</si>
  <si>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</si>
  <si>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</si>
  <si>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</si>
  <si>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</si>
  <si>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</si>
  <si>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</si>
  <si>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</si>
  <si>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広島修道大学</t>
    <rPh sb="0" eb="6">
      <t>ヒロシマシュウドウダイガク</t>
    </rPh>
    <phoneticPr fontId="1"/>
  </si>
  <si>
    <t>データサイエンスプログラム</t>
    <phoneticPr fontId="1"/>
  </si>
  <si>
    <t>学部・学科によって、修了要件は相違しない</t>
  </si>
  <si>
    <t>データサイエンス概論</t>
    <rPh sb="8" eb="10">
      <t>ガイロン</t>
    </rPh>
    <phoneticPr fontId="1"/>
  </si>
  <si>
    <t>情報処理入門</t>
    <rPh sb="0" eb="6">
      <t>ジョウホウショリニュウモン</t>
    </rPh>
    <phoneticPr fontId="1"/>
  </si>
  <si>
    <t>統計学</t>
    <rPh sb="0" eb="3">
      <t>トウケイガク</t>
    </rPh>
    <phoneticPr fontId="1"/>
  </si>
  <si>
    <t>情報化社会と人間</t>
    <rPh sb="0" eb="5">
      <t>ジョウホウカシャカイ</t>
    </rPh>
    <rPh sb="6" eb="8">
      <t>ニンゲン</t>
    </rPh>
    <phoneticPr fontId="1"/>
  </si>
  <si>
    <t>情報と知能</t>
    <rPh sb="0" eb="2">
      <t>ジョウホウ</t>
    </rPh>
    <rPh sb="3" eb="5">
      <t>チノウ</t>
    </rPh>
    <phoneticPr fontId="1"/>
  </si>
  <si>
    <t>応用統計学</t>
    <rPh sb="0" eb="5">
      <t>オウヨウトウケイガク</t>
    </rPh>
    <phoneticPr fontId="1"/>
  </si>
  <si>
    <t>情報基礎演習</t>
    <rPh sb="0" eb="6">
      <t>ジョウホウキソエンシュウ</t>
    </rPh>
    <phoneticPr fontId="1"/>
  </si>
  <si>
    <t>情報応用演習</t>
    <rPh sb="0" eb="6">
      <t>ジョウホウオウヨウエンシュウ</t>
    </rPh>
    <phoneticPr fontId="1"/>
  </si>
  <si>
    <t>環境統計学入門</t>
    <rPh sb="0" eb="7">
      <t>カンキョウトウケイガクニュウモン</t>
    </rPh>
    <phoneticPr fontId="1"/>
  </si>
  <si>
    <t>データサイエンス概論</t>
    <phoneticPr fontId="1"/>
  </si>
  <si>
    <t>4-1統計および数理基礎</t>
  </si>
  <si>
    <t>4‐7データハンドリング</t>
  </si>
  <si>
    <t>○</t>
  </si>
  <si>
    <t>商学部</t>
    <rPh sb="0" eb="3">
      <t>ショウガクブ</t>
    </rPh>
    <phoneticPr fontId="1"/>
  </si>
  <si>
    <t>人文学部</t>
    <rPh sb="0" eb="4">
      <t>ジンブンガクブ</t>
    </rPh>
    <phoneticPr fontId="1"/>
  </si>
  <si>
    <t>法学部</t>
    <rPh sb="0" eb="3">
      <t>ホウガクブ</t>
    </rPh>
    <phoneticPr fontId="1"/>
  </si>
  <si>
    <t>経済科学部</t>
    <rPh sb="0" eb="5">
      <t>ケイザイカガクブ</t>
    </rPh>
    <phoneticPr fontId="1"/>
  </si>
  <si>
    <t>人間環境学部</t>
    <rPh sb="0" eb="6">
      <t>ニンゲンカンキョウガクブ</t>
    </rPh>
    <phoneticPr fontId="1"/>
  </si>
  <si>
    <t>健康科学部</t>
    <rPh sb="0" eb="5">
      <t>ケンコウカガクブ</t>
    </rPh>
    <phoneticPr fontId="1"/>
  </si>
  <si>
    <t>国際コミュニティ学部</t>
    <rPh sb="0" eb="2">
      <t>コクサイ</t>
    </rPh>
    <rPh sb="8" eb="10">
      <t>ガクブ</t>
    </rPh>
    <phoneticPr fontId="1"/>
  </si>
  <si>
    <t>4‐3データ構造とプログラミング基礎</t>
  </si>
  <si>
    <t>大澤 真也</t>
    <rPh sb="0" eb="2">
      <t>オオサワ</t>
    </rPh>
    <rPh sb="3" eb="5">
      <t>シンヤ</t>
    </rPh>
    <phoneticPr fontId="1"/>
  </si>
  <si>
    <t>角谷 敦</t>
    <rPh sb="0" eb="2">
      <t>カドヤ</t>
    </rPh>
    <rPh sb="3" eb="4">
      <t>アツシ</t>
    </rPh>
    <phoneticPr fontId="1"/>
  </si>
  <si>
    <t>広島修道大学情報教育運営委員会規程</t>
    <phoneticPr fontId="1"/>
  </si>
  <si>
    <t>広島修道大学情報教育運営委員会</t>
    <rPh sb="0" eb="2">
      <t>ヒロシマ</t>
    </rPh>
    <rPh sb="2" eb="4">
      <t>シュウドウ</t>
    </rPh>
    <rPh sb="4" eb="6">
      <t>ダイガク</t>
    </rPh>
    <rPh sb="6" eb="8">
      <t>ジョウホウ</t>
    </rPh>
    <rPh sb="8" eb="10">
      <t>キョウイク</t>
    </rPh>
    <rPh sb="10" eb="12">
      <t>ウンエイ</t>
    </rPh>
    <rPh sb="12" eb="15">
      <t>イインカイ</t>
    </rPh>
    <phoneticPr fontId="1"/>
  </si>
  <si>
    <t xml:space="preserve">(1)　本学において全学共通に実施する情報教育の企画及び立案
(2)　本学において全学共通に実施する情報教育の点検及び評価
</t>
    <phoneticPr fontId="1"/>
  </si>
  <si>
    <t>広島修道大学情報教育運営委員会</t>
    <phoneticPr fontId="1"/>
  </si>
  <si>
    <t>令和6</t>
    <rPh sb="0" eb="2">
      <t>レイワ</t>
    </rPh>
    <phoneticPr fontId="1"/>
  </si>
  <si>
    <t>情報センター長／経済科学部教授</t>
    <rPh sb="0" eb="2">
      <t>ジョウホウ</t>
    </rPh>
    <rPh sb="6" eb="7">
      <t>チョウ</t>
    </rPh>
    <rPh sb="8" eb="13">
      <t>ケイザイカガクブ</t>
    </rPh>
    <rPh sb="13" eb="15">
      <t>キョウジュ</t>
    </rPh>
    <phoneticPr fontId="1"/>
  </si>
  <si>
    <t>副学長／人文学部教授</t>
    <rPh sb="0" eb="3">
      <t>フクガクチョウ</t>
    </rPh>
    <rPh sb="4" eb="8">
      <t>ジンブンガクブ</t>
    </rPh>
    <rPh sb="8" eb="10">
      <t>キョウジュ</t>
    </rPh>
    <phoneticPr fontId="1"/>
  </si>
  <si>
    <t xml:space="preserve">委員長
・情報センター長／経済科学部　教授　角谷 敦
委員
・情報センター次長／経済科学部　准教授　古山 滋人
・教学センター次長／人文学部　教授　阪上 辰也
・経済科学部　情報教育担当契約教員（講師）　小河 智佳子
・情報センター情報システム課長　谷 好充
・人間環境学部　助教　長谷川 尚弘
</t>
    <rPh sb="0" eb="3">
      <t>イインチョウ</t>
    </rPh>
    <rPh sb="5" eb="7">
      <t>ジョウホウ</t>
    </rPh>
    <rPh sb="11" eb="12">
      <t>チョウ</t>
    </rPh>
    <rPh sb="13" eb="18">
      <t>ケイザイカガクブ</t>
    </rPh>
    <rPh sb="19" eb="21">
      <t>キョウジュ</t>
    </rPh>
    <rPh sb="22" eb="24">
      <t>カドヤ</t>
    </rPh>
    <rPh sb="25" eb="26">
      <t>アツシ</t>
    </rPh>
    <rPh sb="28" eb="30">
      <t>イイン</t>
    </rPh>
    <rPh sb="32" eb="34">
      <t>ジョウホウ</t>
    </rPh>
    <rPh sb="38" eb="40">
      <t>ジチョウ</t>
    </rPh>
    <rPh sb="41" eb="46">
      <t>ケイザイカガクブ</t>
    </rPh>
    <rPh sb="47" eb="50">
      <t>ジュンキョウジュ</t>
    </rPh>
    <rPh sb="51" eb="53">
      <t>フルヤマ</t>
    </rPh>
    <rPh sb="58" eb="60">
      <t>キョウガク</t>
    </rPh>
    <rPh sb="64" eb="66">
      <t>ジチョウ</t>
    </rPh>
    <rPh sb="67" eb="71">
      <t>ジンブンガクブ</t>
    </rPh>
    <rPh sb="72" eb="74">
      <t>キョウジュ</t>
    </rPh>
    <rPh sb="75" eb="77">
      <t>サカウエ</t>
    </rPh>
    <rPh sb="78" eb="80">
      <t>タツヤ</t>
    </rPh>
    <rPh sb="105" eb="107">
      <t>ジョウホウ</t>
    </rPh>
    <rPh sb="111" eb="113">
      <t>ジョウホウ</t>
    </rPh>
    <rPh sb="117" eb="119">
      <t>カチョウ</t>
    </rPh>
    <rPh sb="120" eb="121">
      <t>タニ</t>
    </rPh>
    <rPh sb="122" eb="123">
      <t>ス</t>
    </rPh>
    <rPh sb="123" eb="124">
      <t>ミツル</t>
    </rPh>
    <rPh sb="126" eb="132">
      <t>ニンゲンカンキョウガクブ</t>
    </rPh>
    <rPh sb="133" eb="135">
      <t>ジョキョウ</t>
    </rPh>
    <rPh sb="136" eb="139">
      <t>ハセガワ</t>
    </rPh>
    <rPh sb="140" eb="142">
      <t>ナオヒロ</t>
    </rPh>
    <phoneticPr fontId="1"/>
  </si>
  <si>
    <t>データサイエンス特殊講義（データサイエンス入門・演習）</t>
    <rPh sb="8" eb="12">
      <t>トクシュコウギ</t>
    </rPh>
    <rPh sb="21" eb="23">
      <t>ニュウモン</t>
    </rPh>
    <rPh sb="24" eb="26">
      <t>エンシュウ</t>
    </rPh>
    <phoneticPr fontId="1"/>
  </si>
  <si>
    <t>本プログラムを通して、IoT(モノのインターネット)やAI(人工知能)等のしくみや情報技術、活用事例、データ活用の基礎等を学ぶことにより、データサイエンスに関する知識と理解を深め、社会を取り巻く変化に対応できる基礎力を身に付けることが期待される。</t>
    <rPh sb="7" eb="8">
      <t>トオ</t>
    </rPh>
    <rPh sb="117" eb="119">
      <t>キタイ</t>
    </rPh>
    <phoneticPr fontId="1"/>
  </si>
  <si>
    <t>情報処理入門</t>
    <rPh sb="0" eb="2">
      <t>ジョウホウ</t>
    </rPh>
    <rPh sb="2" eb="4">
      <t>ショリ</t>
    </rPh>
    <rPh sb="4" eb="6">
      <t>ニュウモン</t>
    </rPh>
    <phoneticPr fontId="1"/>
  </si>
  <si>
    <t>本プログラムの対象は、令和６年度以降の入学生である。そのため、令和６年度は１年生、令和７年度は１年生と２年生、令和８年度は１年生から３年生、令和９年度以降は全学年がプログラムの対象となる。修了に必要な「データサイエンス概論」は、全学部１年生の履修必修科目であるため、毎年度全学生の25％程度（４学年中１学年のみの人数割合）が本プログラムを履修する想定である。一方で、「データサイエンス概論」以外は選択科目であるため、本プログラムの案内等をWEBサイト等にて周知を行うことで、２年生以上の全学生のうち、選択科目全体で13％程度（750名程度）の履修者数を目標とする。
また、令和７年度は、新たにプログラミングの基礎を学ぶ３科目（プログラミング入門（Python、Java Script、マクロ言語））を開講する。全学部の学生を対象としたプログラミングの基礎を学ぶ科目を設けることで、本学全体のデータサイエンス分野の興味・関心の向上を計る。本科目では、学生が親しみを持って学べるよう、高等学校「情報Ⅰ」の教科書で取扱いが多い３種類のプログラミング言語を採用することとした。</t>
    <phoneticPr fontId="1"/>
  </si>
  <si>
    <t>本学では、全学部の学生が履修可能である全学共通科目を、多様な学生が目的意識をもって、基礎的で普遍的な知識と汎用的な技能を学び、多様で自律的な思考力・判断力・表現力や多様な人々との協創力を身につけるための教育として位置づけ、目的ごとに６つのテーマ（地域理解・国際理解・一般教養・スポーツ健康・キャリアデザイン・データサイエンス）に整理し、開講している。データサイエンスのテーマに分類された科目が、数理・データサイエンス・AI教育分野に直接結びつき、このテーマの科目を修得することが、本プログラムの修得に繋がる。中心となる「データサイエンス概論」は、全学部の１年生後期の履修必修科目としており、オンデマンドで開講をしている。そのため、学部学科に関係なく学生全員が受講する体制になっている。</t>
    <phoneticPr fontId="1"/>
  </si>
  <si>
    <t>入学後の学部別ガイダンス等で、本プログラムに関連する科目の紹介や履修のための補足資料を配布している。また、本学のWebサイトにて、本プログラムに関するページを設置することで、学生が情報を入手しやすい環境整備を行っている。</t>
    <rPh sb="15" eb="16">
      <t>ホン</t>
    </rPh>
    <rPh sb="65" eb="66">
      <t>ホン</t>
    </rPh>
    <rPh sb="104" eb="105">
      <t>オコナ</t>
    </rPh>
    <phoneticPr fontId="1"/>
  </si>
  <si>
    <t>令和６年度以前から、情報教育に関する学習指導や質疑応答等の場として、全学生を対象とした情報教育サポート室を設け、情報教育担当教員が週５コマ程度在室して学生対応を行っている。さらに、「データサイエンス概論」をオンデマンド授業で開講するにあたり、本学のSA・TA制度を利用したサポート体制を構築した。令和６年度は、９名のSAを採用し、週５コマ程度、受講者が質問や学習サポートを受けられる環境整備を行っており、令和７年度も、引き続きSAによるサポートを実施する予定である。また、履修者が多い情報演習科目は複数クラス開講に伴い、担当教員も複数いることから、科目毎に統一したシラバスで授業を実施している。また、年度末には担当者ミーティングを実施して情報共有や意見交換を行っている。できる限り多くの学生が履修できるよう、開講クラス数は、情報教育運営委員会にて前年度の履修状況等をふまえて適宜調整を行っている。</t>
    <phoneticPr fontId="1"/>
  </si>
  <si>
    <t>オンデマンド授業の「データサイエンス概論」では、先述した情報教育サポート室やSAによるサポートを授業時間外に行っている。これらの開室スケジュールをLMSや学内の掲示板にて周知し、学生が質問しやすい仕組みづくりを行っている。また、メールやLMSを用いたメッセージ機能でも、学習指導や質問を受け付けている。
「データサイエンス概論」以外の対面授業では、担当教員が授業時間内外にて適宜質問を受け付けている。また、対面授業でもメールやLMSを用いたメッセージ機能での質問を受け付ける等、授業時間外の質疑応答にも対応している。</t>
    <rPh sb="6" eb="8">
      <t>ジュギョウ</t>
    </rPh>
    <rPh sb="18" eb="20">
      <t>ガイロン</t>
    </rPh>
    <rPh sb="24" eb="26">
      <t>センジュツ</t>
    </rPh>
    <rPh sb="28" eb="30">
      <t>ジョウホウ</t>
    </rPh>
    <rPh sb="30" eb="32">
      <t>キョウイク</t>
    </rPh>
    <rPh sb="36" eb="37">
      <t>シツ</t>
    </rPh>
    <rPh sb="48" eb="52">
      <t>ジュギョウジカン</t>
    </rPh>
    <rPh sb="52" eb="53">
      <t>ガイ</t>
    </rPh>
    <rPh sb="54" eb="55">
      <t>オコナ</t>
    </rPh>
    <rPh sb="85" eb="87">
      <t>シュウチ</t>
    </rPh>
    <rPh sb="122" eb="123">
      <t>モチ</t>
    </rPh>
    <rPh sb="130" eb="132">
      <t>キノウ</t>
    </rPh>
    <rPh sb="135" eb="139">
      <t>ガクシュウシドウ</t>
    </rPh>
    <rPh sb="140" eb="142">
      <t>シツモン</t>
    </rPh>
    <rPh sb="143" eb="144">
      <t>ウ</t>
    </rPh>
    <rPh sb="145" eb="146">
      <t>ツ</t>
    </rPh>
    <rPh sb="203" eb="207">
      <t>タイメンジュギョウ</t>
    </rPh>
    <rPh sb="217" eb="218">
      <t>モチ</t>
    </rPh>
    <rPh sb="225" eb="227">
      <t>キノウ</t>
    </rPh>
    <rPh sb="229" eb="231">
      <t>シツモン</t>
    </rPh>
    <rPh sb="232" eb="233">
      <t>ウ</t>
    </rPh>
    <rPh sb="234" eb="235">
      <t>ツ</t>
    </rPh>
    <rPh sb="237" eb="238">
      <t>トウ</t>
    </rPh>
    <phoneticPr fontId="1"/>
  </si>
  <si>
    <t>令和６年度の「データサイエンス概論」の履修者は、本プログラムの対象者である全学部の１年生1517名が全員履修した。プログラム修了者数は、174名（11.5%）であり、学部別では、商学部は33名（10.4%）、人文学部は18名（6.0%）、法学部は９名（4.3%）、経済科学部は92名（38.0%）、人間環境学部は２名（1.8%）、健康科学部は17名（10.0%）、国際コミュニティ学部は３名（1.8%）だった。
修了要件である選択科目で必要な４単位以上は、令和７年度以降に単位修得することも可能であり、また、２年生から履修ができる科目も増えるため、履修・修得状況は今年度より増加することを想定している。</t>
    <phoneticPr fontId="1"/>
  </si>
  <si>
    <t>履修必修科目「データサイエンス概論」の単位修得者数は、694名（45.7%）だった。学部別の単位修得者数は、商学部は186名（58.7%）、人文学部は119名（39.8%）、法学部は106名（50.2%）、経済科学部は102名（42.1%）、人間環境学部は31名（28.2%）、健康科学部は69名（40.6%）、国際コミュニティ学部は81名（48.2%）だった。
令和６年度の成果より、特に、単位を修得できなかった学生のうち、ほぼ全ての回の授業動画を受講し小テストを受験した学生のサポートを、また、ほぼ全く受講していない学生には受講を促すよう対策を検討する必要がある。</t>
    <phoneticPr fontId="1"/>
  </si>
  <si>
    <t>令和６年度の「データサイエンス概論」の授業アンケートの結果は、受講者数1517名に対して392名（回答率25.8％）の回答を得た。授業の興味・関心を問う設問では、「そう思う」と「ややそう思う」の肯定的な回答は233（59.4％）、「どちらともいえない」は60（15.3％）、「あまりそう思わない」と「そう思わない」の否定的な回答は99（25.3％）であった。また、授業の満足度を問う設問では、肯定的な回答は231（58.9％）、「どちらともいえない」は62（15.8％）、否定的な回答は99（25.3％）であった。</t>
    <phoneticPr fontId="1"/>
  </si>
  <si>
    <t>本学の授業アンケートは、履修者５名以上の全授業を対象とし、学期末に全科目で同内容の設問を用いて実施している。後輩等他の学生への推奨度を問う設問はなく、当面は設問として追加する予定も今のところない。</t>
    <phoneticPr fontId="1"/>
  </si>
  <si>
    <t>本プログラムは令和６年度から実施しており、新入生のオリエンテーションにて、履修に関する補足資料等を配布することで、選択科目の履修率の向上を行っている。修了要件に必要な「データサイエンス概論」は、全学部の1年生を対象とした履修必修科目であるため、令和６年度の本プログラム対象者の履修率は100%である。</t>
    <phoneticPr fontId="1"/>
  </si>
  <si>
    <t>本プログラムでは各科目を履修することで、社会の変化やしくみ、ICT利活用力、データ活用力、論理的思考等を身に付けることができる。修了した卒業生はまだいないが、これらを活かして、各学部の専門科目、各種課外活動、各地域活動、インターンシップ等に参画することができると考えている。</t>
    <phoneticPr fontId="1"/>
  </si>
  <si>
    <t>修了者の卒業後は、本学が企業に対して実施しているアンケート調査等の結果から、修了者の活躍状況や企業等の評価を分析する予定である。また、学内で実施した各調査結果等をもとに、情報教育運営委員会をはじめとした学内の会議等にて、プログラムの内容や手法について見直しと改善を行う予定である。</t>
    <phoneticPr fontId="1"/>
  </si>
  <si>
    <t>本学は文系学生が多いため、データサイエンスを学ぶにあたり、１年次前期に基本的なICT利活用力を身に付けることを推奨している。具体的には、選択科目「情報基礎演習」の履修を推奨しており、シラバスでは履修上の注意事項にデータサイエンスを学ぶ上で基礎を身に付ける必要性を記載している。また、本プログラム各科目の授業では、数理・データサイエンス・AIを学ぶことの意義を説明し、できるだけかみ砕いた説明を繰り返し行うことで、これらを学ぶ楽しさをわかりやすく伝えられるよう各教員が取り組んでいる。また、身近な事例や時事問題を取り上げる等、受講者の興味や関心が高められるような授業内容の提供にも取り組んでいる。</t>
    <phoneticPr fontId="1"/>
  </si>
  <si>
    <t>「データサイエンス概論」では、国内外の事例や時事問題等に加えて広島の事例も取り上げる等、受講者が身近な事案として捉えて興味や関心を持てる授業になるよう取り組んでいる。さらに、担当教員やSAがそれぞれ週５コマ程度、対面でのサポート時間を設け、受講者の理解度の向上にも取り組んでいる。また、情報演習科目では、10名程度の教員でクラス分担をしているため、授業内容と水準の維持・向上を目的とした統一シラバスにて運用をしている。年度末には担当者ミーティングを実施し、各クラスの成績の分布状況等を共有している。また、情報教育運営委員会では、履修者数等をもとに次年度の開講クラス数や開講時限の調整を行っている。</t>
    <phoneticPr fontId="1"/>
  </si>
  <si>
    <t>プログラミング入門（マクロ言語）</t>
    <rPh sb="7" eb="9">
      <t>ニュウモン</t>
    </rPh>
    <rPh sb="13" eb="15">
      <t>ゲンゴ</t>
    </rPh>
    <phoneticPr fontId="1"/>
  </si>
  <si>
    <t>基礎プログラミング</t>
    <phoneticPr fontId="1"/>
  </si>
  <si>
    <t>データサイエンスとデータの収集方法</t>
    <phoneticPr fontId="1"/>
  </si>
  <si>
    <t>社会学情報処理特殊講義Ⅱ</t>
    <phoneticPr fontId="1"/>
  </si>
  <si>
    <t>社会学情報処理特殊講義Ⅳ</t>
    <phoneticPr fontId="1"/>
  </si>
  <si>
    <t>社会学情報処理Ⅲ</t>
    <phoneticPr fontId="1"/>
  </si>
  <si>
    <t>4‐2アルゴリズム基礎</t>
  </si>
  <si>
    <t>社会学情報処理Ⅴ</t>
    <phoneticPr fontId="1"/>
  </si>
  <si>
    <t>心理学統計法Ⅰ</t>
    <phoneticPr fontId="1"/>
  </si>
  <si>
    <t>情報化社会と人間</t>
    <rPh sb="0" eb="3">
      <t>ジョウホウカ</t>
    </rPh>
    <rPh sb="3" eb="5">
      <t>シャカイ</t>
    </rPh>
    <rPh sb="6" eb="8">
      <t>ニンゲン</t>
    </rPh>
    <phoneticPr fontId="1"/>
  </si>
  <si>
    <t>B４群特殊講義ａ（商学のためのデータ分析）</t>
    <rPh sb="2" eb="3">
      <t>グン</t>
    </rPh>
    <rPh sb="3" eb="5">
      <t>トクシュ</t>
    </rPh>
    <rPh sb="5" eb="7">
      <t>コウギ</t>
    </rPh>
    <rPh sb="9" eb="11">
      <t>ショウガク</t>
    </rPh>
    <rPh sb="18" eb="20">
      <t>ブンセキ</t>
    </rPh>
    <phoneticPr fontId="1"/>
  </si>
  <si>
    <t>教育学特論Ⅶ（教育調査研究）</t>
    <phoneticPr fontId="1"/>
  </si>
  <si>
    <t>社会学情報処理Ⅳ</t>
    <phoneticPr fontId="1"/>
  </si>
  <si>
    <t>環境統計学入門</t>
    <phoneticPr fontId="1"/>
  </si>
  <si>
    <t>英語研究特講（コンピュータと言語）</t>
    <phoneticPr fontId="1"/>
  </si>
  <si>
    <t>情報処理入門</t>
    <phoneticPr fontId="1"/>
  </si>
  <si>
    <t>人工知能</t>
    <rPh sb="0" eb="4">
      <t>ジンコウチノウ</t>
    </rPh>
    <phoneticPr fontId="1"/>
  </si>
  <si>
    <t>4‐8データ活用実践（教師あり学習）</t>
  </si>
  <si>
    <t>プログラミング入門（Python）</t>
    <phoneticPr fontId="1"/>
  </si>
  <si>
    <t>プログラミング入門（JavaScript）</t>
    <phoneticPr fontId="1"/>
  </si>
  <si>
    <t>4‐9データ活用実践（教師なし学習）</t>
  </si>
  <si>
    <t>心理情報処理</t>
    <rPh sb="0" eb="2">
      <t>シンリ</t>
    </rPh>
    <rPh sb="2" eb="4">
      <t>ジョウホウ</t>
    </rPh>
    <rPh sb="4" eb="6">
      <t>ショリ</t>
    </rPh>
    <phoneticPr fontId="1"/>
  </si>
  <si>
    <t>情報社会概論Ⅱ</t>
    <rPh sb="0" eb="2">
      <t>ジョウホウ</t>
    </rPh>
    <rPh sb="2" eb="4">
      <t>シャカイ</t>
    </rPh>
    <rPh sb="4" eb="6">
      <t>ガイロン</t>
    </rPh>
    <phoneticPr fontId="1"/>
  </si>
  <si>
    <t>都市・地域戦略論</t>
    <rPh sb="0" eb="2">
      <t>トシ</t>
    </rPh>
    <rPh sb="3" eb="5">
      <t>チイキ</t>
    </rPh>
    <rPh sb="5" eb="7">
      <t>センリャク</t>
    </rPh>
    <rPh sb="7" eb="8">
      <t>ロン</t>
    </rPh>
    <phoneticPr fontId="1"/>
  </si>
  <si>
    <t>社会学情報処理特殊講義Ⅰ</t>
    <phoneticPr fontId="1"/>
  </si>
  <si>
    <t>人工知能</t>
    <rPh sb="0" eb="2">
      <t>ジンコウ</t>
    </rPh>
    <rPh sb="2" eb="4">
      <t>チノウ</t>
    </rPh>
    <phoneticPr fontId="1"/>
  </si>
  <si>
    <t>社会学情報処理特殊講義Ⅲ</t>
    <phoneticPr fontId="1"/>
  </si>
  <si>
    <t>社会学情報処理特殊講義Ⅴ</t>
    <phoneticPr fontId="1"/>
  </si>
  <si>
    <t>情報社会概論Ⅰ</t>
    <rPh sb="0" eb="2">
      <t>ジョウホウ</t>
    </rPh>
    <rPh sb="2" eb="4">
      <t>シャカイ</t>
    </rPh>
    <rPh sb="4" eb="6">
      <t>ガイロン</t>
    </rPh>
    <phoneticPr fontId="1"/>
  </si>
  <si>
    <t>計量経済学Ⅰ</t>
    <rPh sb="0" eb="2">
      <t>ケイリョウ</t>
    </rPh>
    <rPh sb="2" eb="5">
      <t>ケイザイガク</t>
    </rPh>
    <phoneticPr fontId="1"/>
  </si>
  <si>
    <t>データサイエンス特殊講義（データサイエンス入門・演習）</t>
    <phoneticPr fontId="1"/>
  </si>
  <si>
    <t>計量経済学Ⅱ</t>
    <rPh sb="0" eb="2">
      <t>ケイリョウ</t>
    </rPh>
    <rPh sb="2" eb="5">
      <t>ケイザイガク</t>
    </rPh>
    <phoneticPr fontId="1"/>
  </si>
  <si>
    <t>・AI最新技術の活用例「データサイエンス概論」（15回目）
・AI等を活用した新しいビジネスモデル「データサイエンス特殊講義（データサイエンス入門・演習）」（１回目）
・大規模言語モデル「人工知能」（９回目）
・拡散モデル「人工知能」（10回目）</t>
    <rPh sb="20" eb="22">
      <t>ガイロン</t>
    </rPh>
    <rPh sb="26" eb="28">
      <t>カイメ</t>
    </rPh>
    <rPh sb="58" eb="60">
      <t>トクシュ</t>
    </rPh>
    <rPh sb="60" eb="62">
      <t>コウギ</t>
    </rPh>
    <rPh sb="80" eb="81">
      <t>カイ</t>
    </rPh>
    <rPh sb="81" eb="82">
      <t>メ</t>
    </rPh>
    <rPh sb="85" eb="88">
      <t>ダイキボ</t>
    </rPh>
    <rPh sb="88" eb="90">
      <t>ゲンゴ</t>
    </rPh>
    <rPh sb="94" eb="98">
      <t>ジンコウチノウ</t>
    </rPh>
    <rPh sb="101" eb="103">
      <t>カイメ</t>
    </rPh>
    <rPh sb="106" eb="108">
      <t>カクサン</t>
    </rPh>
    <rPh sb="112" eb="116">
      <t>ジンコウチノウ</t>
    </rPh>
    <rPh sb="120" eb="122">
      <t>カイメ</t>
    </rPh>
    <phoneticPr fontId="1"/>
  </si>
  <si>
    <t>・情報セキュリティの３要素（機密性、完全性、可用性）「データサイエンス概論」（８回目）
・情報セキュリティの３要素（機密性、完全性、可用性）「情報基礎演習」（４回目）
・情報セキュリティの３要素（機密性、完全性、可用性）「情報応用演習」（３回目）
・情報セキュリティの３要素（機密性、完全性、可用性）「心理情報処理」（３回目）</t>
    <rPh sb="1" eb="3">
      <t>ジョウホウ</t>
    </rPh>
    <rPh sb="11" eb="13">
      <t>ヨウソ</t>
    </rPh>
    <rPh sb="14" eb="17">
      <t>キミツセイ</t>
    </rPh>
    <rPh sb="18" eb="21">
      <t>カンゼンセイ</t>
    </rPh>
    <rPh sb="41" eb="42">
      <t>メ</t>
    </rPh>
    <rPh sb="81" eb="82">
      <t>メ</t>
    </rPh>
    <rPh sb="113" eb="115">
      <t>オウヨウ</t>
    </rPh>
    <rPh sb="121" eb="122">
      <t>メ</t>
    </rPh>
    <rPh sb="151" eb="153">
      <t>シンリ</t>
    </rPh>
    <rPh sb="153" eb="155">
      <t>ジョウホウ</t>
    </rPh>
    <rPh sb="155" eb="157">
      <t>ショリ</t>
    </rPh>
    <phoneticPr fontId="1"/>
  </si>
  <si>
    <r>
      <t>・データの種類等「データサイエンス概論」（７回目）
・統計情報の正しい理解「データサイエンス概論」（10回目）
・データの分布(ヒストグラム)「統計学」（２回目）
・クロス集計表「統計学」（４回目）
・代表値「統計学」（５回目）
・データのばらつき（分散、標準偏差、偏差値）「統計学」（７回目）
・相関係数「統計学」（９回目）
・標本抽出「統計学」（12回目）
・クロス集計表「情報化社会と人間」（５回目）
・統計情報の正しい理解「応用統計学」（12回目）（13回目）（14回目）
・データの種類（量的変数、質的変数）「情報基礎演習」（13回目）
・データの種類（量的変数、質的変数）「情報応用演習」（８回目）
・データの種類（量的変数、質的変数）「環境統計学入門」（１回目）（２回目）（３回目）（９回目）
・クロス集計表「環境統計学入門」（５回目）（８回目）
・相関と因果（相関係数、擬似相関、交絡）「環境統計学入門」（６回目）（７回目）
・母集団と標本抽出「環境統計学入門」（10回目）
・データの種類（量的変数、質的変数）「心理学統計法Ⅰ」（２回目）
・データの分布「心理学統計法</t>
    </r>
    <r>
      <rPr>
        <sz val="9"/>
        <rFont val="ＭＳ Ｐゴシック"/>
        <family val="3"/>
        <charset val="128"/>
      </rPr>
      <t>Ⅰ」（３回目）
・代表値の性質の違い「心理学統計法Ⅰ」（４回目）
・データのばらつき（分散、標準偏差、偏差値）「心理学統計法Ⅰ」（５回目）（６回目）
・相関と因果「心理学統計法Ⅰ」（８回目）（９回目）
・データの種類と基本的な統計指標「</t>
    </r>
    <r>
      <rPr>
        <sz val="9"/>
        <rFont val="ＭＳ Ｐゴシック"/>
        <family val="3"/>
        <charset val="128"/>
        <scheme val="minor"/>
      </rPr>
      <t>B４群特殊講義ａ（商学のためのデータ分析）」（２回目）
・記述統計「B４群特殊講義ａ（商学のためのデータ分析）」（４回目）（５回目）（６回目）
・母集団と標本抽出「B４群特殊講義ａ（商学のためのデータ分析）」（８回目）
・データの分布「B４群特殊講義ａ（商学のためのデータ分析）」（９回目）（10回目）
・回帰分析「B４群特殊講義ａ（商学のためのデータ分析）」（11回目）（12回目）（13回目）
・データのばらつき「社会学情報処理特殊講義Ⅱ」（３回目）
・データの分布「社会学情報処理特殊講義Ⅱ」（５回目）（６回目）（８回目）（10回目）（11回目）
・クロス集計「社会学情報処理特殊講義Ⅱ」（12回目）
・回帰分析「社会学情報処理特殊講義Ⅱ」（14回目）
・データの種類「教育学特論Ⅶ（教育調査研究）」（１回目）
・代表値「教育学特論Ⅶ（教育調査研究）」（４回目）
・データの分布「教育学特論Ⅶ（教育調査研究）」（６回目）（８回目）（９回目）（13回目）（14回目）
・データのばらつき「教育学特論Ⅶ（教育調査研究）」（７回目）
・相関「教育学特論Ⅶ（教育調査研究）」（11回目）（12回目）</t>
    </r>
    <rPh sb="7" eb="8">
      <t>トウ</t>
    </rPh>
    <rPh sb="17" eb="19">
      <t>ガイロン</t>
    </rPh>
    <rPh sb="22" eb="24">
      <t>カイメ</t>
    </rPh>
    <rPh sb="79" eb="82">
      <t>トウケイガク</t>
    </rPh>
    <rPh sb="86" eb="88">
      <t>シュウケイ</t>
    </rPh>
    <rPh sb="97" eb="100">
      <t>トウケイガク</t>
    </rPh>
    <rPh sb="103" eb="105">
      <t>カイメ</t>
    </rPh>
    <rPh sb="167" eb="169">
      <t>チュウシュツ</t>
    </rPh>
    <rPh sb="177" eb="178">
      <t>カイ</t>
    </rPh>
    <rPh sb="185" eb="188">
      <t>シュウケイヒョウ</t>
    </rPh>
    <rPh sb="189" eb="194">
      <t>ジョウホウカシャカイ</t>
    </rPh>
    <rPh sb="195" eb="197">
      <t>ニンゲン</t>
    </rPh>
    <rPh sb="200" eb="202">
      <t>カイメ</t>
    </rPh>
    <rPh sb="216" eb="221">
      <t>オウヨウトウケイガク</t>
    </rPh>
    <rPh sb="225" eb="226">
      <t>カイ</t>
    </rPh>
    <rPh sb="226" eb="227">
      <t>メ</t>
    </rPh>
    <rPh sb="231" eb="232">
      <t>カイ</t>
    </rPh>
    <rPh sb="232" eb="233">
      <t>メ</t>
    </rPh>
    <rPh sb="237" eb="238">
      <t>カイ</t>
    </rPh>
    <rPh sb="238" eb="239">
      <t>メ</t>
    </rPh>
    <rPh sb="270" eb="271">
      <t>カイ</t>
    </rPh>
    <rPh sb="271" eb="272">
      <t>メ</t>
    </rPh>
    <rPh sb="295" eb="297">
      <t>オウヨウ</t>
    </rPh>
    <rPh sb="325" eb="332">
      <t>カンキョウトウケイガクニュウモン</t>
    </rPh>
    <rPh sb="335" eb="336">
      <t>カイ</t>
    </rPh>
    <rPh sb="336" eb="337">
      <t>メ</t>
    </rPh>
    <rPh sb="340" eb="341">
      <t>カイ</t>
    </rPh>
    <rPh sb="341" eb="342">
      <t>メ</t>
    </rPh>
    <rPh sb="345" eb="346">
      <t>カイ</t>
    </rPh>
    <rPh sb="346" eb="347">
      <t>メ</t>
    </rPh>
    <rPh sb="350" eb="351">
      <t>カイ</t>
    </rPh>
    <rPh sb="351" eb="352">
      <t>メ</t>
    </rPh>
    <rPh sb="362" eb="369">
      <t>カンキョウトウケイガクニュウモン</t>
    </rPh>
    <rPh sb="372" eb="373">
      <t>カイ</t>
    </rPh>
    <rPh sb="373" eb="374">
      <t>メ</t>
    </rPh>
    <rPh sb="377" eb="378">
      <t>カイ</t>
    </rPh>
    <rPh sb="378" eb="379">
      <t>メ</t>
    </rPh>
    <rPh sb="431" eb="438">
      <t>カンキョウトウケイガクニュウモン</t>
    </rPh>
    <rPh sb="442" eb="443">
      <t>カイ</t>
    </rPh>
    <rPh sb="443" eb="444">
      <t>メ</t>
    </rPh>
    <rPh sb="465" eb="471">
      <t>シンリガクトウケイホウ</t>
    </rPh>
    <rPh sb="475" eb="476">
      <t>カイ</t>
    </rPh>
    <rPh sb="476" eb="477">
      <t>メ</t>
    </rPh>
    <rPh sb="487" eb="493">
      <t>シンリガクトウケイホウ</t>
    </rPh>
    <rPh sb="497" eb="498">
      <t>カイ</t>
    </rPh>
    <rPh sb="498" eb="499">
      <t>メ</t>
    </rPh>
    <rPh sb="512" eb="518">
      <t>シンリガクトウケイホウ</t>
    </rPh>
    <rPh sb="522" eb="523">
      <t>カイ</t>
    </rPh>
    <rPh sb="523" eb="524">
      <t>メ</t>
    </rPh>
    <rPh sb="549" eb="555">
      <t>シンリガクトウケイホウ</t>
    </rPh>
    <rPh sb="559" eb="560">
      <t>カイ</t>
    </rPh>
    <rPh sb="560" eb="561">
      <t>メ</t>
    </rPh>
    <rPh sb="564" eb="565">
      <t>カイ</t>
    </rPh>
    <rPh sb="565" eb="566">
      <t>メ</t>
    </rPh>
    <rPh sb="575" eb="581">
      <t>シンリガクトウケイホウ</t>
    </rPh>
    <rPh sb="585" eb="586">
      <t>カイ</t>
    </rPh>
    <rPh sb="586" eb="587">
      <t>メ</t>
    </rPh>
    <rPh sb="590" eb="591">
      <t>カイ</t>
    </rPh>
    <rPh sb="591" eb="592">
      <t>メ</t>
    </rPh>
    <rPh sb="599" eb="601">
      <t>シュルイ</t>
    </rPh>
    <rPh sb="602" eb="605">
      <t>キホンテキ</t>
    </rPh>
    <rPh sb="606" eb="608">
      <t>トウケイ</t>
    </rPh>
    <rPh sb="608" eb="610">
      <t>シヒョウ</t>
    </rPh>
    <rPh sb="613" eb="614">
      <t>グン</t>
    </rPh>
    <rPh sb="614" eb="616">
      <t>トクシュ</t>
    </rPh>
    <rPh sb="616" eb="618">
      <t>コウギ</t>
    </rPh>
    <rPh sb="620" eb="622">
      <t>ショウガク</t>
    </rPh>
    <rPh sb="629" eb="631">
      <t>ブンセキ</t>
    </rPh>
    <rPh sb="635" eb="637">
      <t>カイメ</t>
    </rPh>
    <rPh sb="640" eb="644">
      <t>キジュツトウケイ</t>
    </rPh>
    <rPh sb="684" eb="687">
      <t>ボシュウダン</t>
    </rPh>
    <rPh sb="688" eb="692">
      <t>ヒョウホンチュウシュツ</t>
    </rPh>
    <rPh sb="717" eb="718">
      <t>カイ</t>
    </rPh>
    <rPh sb="726" eb="728">
      <t>ブンプ</t>
    </rPh>
    <rPh sb="764" eb="768">
      <t>カイキブンセキ</t>
    </rPh>
    <rPh sb="835" eb="837">
      <t>カイメ</t>
    </rPh>
    <rPh sb="844" eb="846">
      <t>ブンプ</t>
    </rPh>
    <rPh sb="872" eb="874">
      <t>カイメ</t>
    </rPh>
    <rPh sb="878" eb="880">
      <t>カイメ</t>
    </rPh>
    <rPh sb="892" eb="894">
      <t>シュウケイ</t>
    </rPh>
    <rPh sb="946" eb="948">
      <t>シュルイ</t>
    </rPh>
    <rPh sb="949" eb="952">
      <t>キョウイクガク</t>
    </rPh>
    <rPh sb="952" eb="954">
      <t>トクロン</t>
    </rPh>
    <rPh sb="956" eb="958">
      <t>キョウイク</t>
    </rPh>
    <rPh sb="958" eb="960">
      <t>チョウサ</t>
    </rPh>
    <rPh sb="960" eb="962">
      <t>ケンキュウ</t>
    </rPh>
    <rPh sb="966" eb="968">
      <t>カイメ</t>
    </rPh>
    <rPh sb="1001" eb="1003">
      <t>ブンプ</t>
    </rPh>
    <rPh sb="1021" eb="1023">
      <t>カイメ</t>
    </rPh>
    <rPh sb="1037" eb="1039">
      <t>カイメ</t>
    </rPh>
    <rPh sb="1043" eb="1045">
      <t>カイメ</t>
    </rPh>
    <rPh sb="1074" eb="1076">
      <t>カイメ</t>
    </rPh>
    <rPh sb="1079" eb="1081">
      <t>ソウカン</t>
    </rPh>
    <phoneticPr fontId="1"/>
  </si>
  <si>
    <t>・データ表現「データサイエンス概論」（６回目）（12回目）
・相関と因果「データサイエンス概論」（13回目）
・情報を伝える技術や考え方「データサイエンス概論」（14回目）
・データ表現「情報処理入門」（14回目）
・相手に的確かつ正確に情報を伝える技術や考え方（スライド作成、プレゼンテーションなど）「情報基礎演習」（５回目）（７回目）
・データ表現（棒グラフ、折線グラフ、散布図、ヒートマップ、箱ひげ図）「情報基礎演習」（８回目）（11回目）（14回目）
・相手に的確かつ正確に情報を伝える技術や考え方（スライド作成、プレゼンテーションなど）「情報応用演習」（４回目）（10回目）
・データ表現（棒グラフ、折線グラフ、散布図、ヒートマップ、箱ひげ図）「情報応用演習」（９回目）
・相手に的確かつ正確に情報を伝える技術や考え方（スライド作成、プレゼンテーションなど）「心理学統計法Ⅰ」（10回目）（11回目）
・データの可視化の基礎「B４群特殊講義ａ（商学のためのデータ分析）」（３回目）
・データ表現（ヒストグラム、散布図、箱ひげ図）「B４群特殊講義ａ（商学のためのデータ分析）」（14回目）
・データ表現（箱ひげ図、ヒストグラム、散布図）「社会学情報処理特殊講義Ⅱ」（４回目）（７回目）（９回目）（11回目）（13回目）</t>
    <rPh sb="21" eb="23">
      <t>ガイロン</t>
    </rPh>
    <rPh sb="26" eb="28">
      <t>カイメ</t>
    </rPh>
    <rPh sb="40" eb="42">
      <t>ブンセキ</t>
    </rPh>
    <rPh sb="72" eb="74">
      <t>セツメイ</t>
    </rPh>
    <rPh sb="97" eb="99">
      <t>サクセイ</t>
    </rPh>
    <rPh sb="100" eb="106">
      <t>ジョウホウショリニュウモンカイメ</t>
    </rPh>
    <rPh sb="152" eb="158">
      <t>ジョウホウキソエンシュウ</t>
    </rPh>
    <rPh sb="161" eb="162">
      <t>カイ</t>
    </rPh>
    <rPh sb="162" eb="163">
      <t>メ</t>
    </rPh>
    <rPh sb="166" eb="167">
      <t>カイ</t>
    </rPh>
    <rPh sb="167" eb="168">
      <t>メ</t>
    </rPh>
    <rPh sb="214" eb="215">
      <t>カイ</t>
    </rPh>
    <rPh sb="215" eb="216">
      <t>メ</t>
    </rPh>
    <rPh sb="220" eb="221">
      <t>カイ</t>
    </rPh>
    <rPh sb="221" eb="222">
      <t>メ</t>
    </rPh>
    <rPh sb="226" eb="227">
      <t>カイ</t>
    </rPh>
    <rPh sb="227" eb="228">
      <t>メ</t>
    </rPh>
    <rPh sb="274" eb="280">
      <t>ジョウホウオウヨウエンシュウ</t>
    </rPh>
    <rPh sb="283" eb="284">
      <t>カイ</t>
    </rPh>
    <rPh sb="284" eb="285">
      <t>メ</t>
    </rPh>
    <rPh sb="289" eb="290">
      <t>カイ</t>
    </rPh>
    <rPh sb="290" eb="291">
      <t>メ</t>
    </rPh>
    <rPh sb="328" eb="334">
      <t>ジョウホウオウヨウエンシュウ</t>
    </rPh>
    <rPh sb="337" eb="338">
      <t>カイ</t>
    </rPh>
    <rPh sb="338" eb="339">
      <t>メ</t>
    </rPh>
    <rPh sb="385" eb="391">
      <t>シンリガクトウケイホウ</t>
    </rPh>
    <rPh sb="396" eb="398">
      <t>カイメ</t>
    </rPh>
    <rPh sb="402" eb="404">
      <t>カイメ</t>
    </rPh>
    <rPh sb="411" eb="414">
      <t>カシカ</t>
    </rPh>
    <rPh sb="415" eb="417">
      <t>キソ</t>
    </rPh>
    <rPh sb="450" eb="452">
      <t>ヒョウゲン</t>
    </rPh>
    <rPh sb="460" eb="463">
      <t>サンプズ</t>
    </rPh>
    <rPh sb="464" eb="465">
      <t>ハコ</t>
    </rPh>
    <rPh sb="467" eb="468">
      <t>ズ</t>
    </rPh>
    <rPh sb="503" eb="505">
      <t>ヒョウゲン</t>
    </rPh>
    <rPh sb="506" eb="507">
      <t>ハコ</t>
    </rPh>
    <rPh sb="509" eb="510">
      <t>ズ</t>
    </rPh>
    <rPh sb="518" eb="521">
      <t>サンプズ</t>
    </rPh>
    <rPh sb="538" eb="540">
      <t>カイメ</t>
    </rPh>
    <rPh sb="543" eb="545">
      <t>カイメ</t>
    </rPh>
    <rPh sb="548" eb="550">
      <t>カイメ</t>
    </rPh>
    <phoneticPr fontId="1"/>
  </si>
  <si>
    <t>・データの取得「データサイエンス概論」（11回目）
・データの集計「情報処理入門」（12回目）
・データの並び替え「情報処理入門」（13回目）
・データの集計「情報基礎演習」（９回目）（10回目）
・データの並び替え「情報基礎演習」（12回目）
・データの集計「情報応用演習」（11回目）（12回目）
・データの並び替え「情報応用演習」（９回目）（13回目）
・データの集計「B４群特殊講義ａ（商学のためのデータ分析）」（７回目）
・データの並び替え「社会学情報処理特殊講義Ⅳ」（９回目）
・データの集計「社会学情報処理Ⅲ」（９回目）（12回目）
・データの並び替え「社会学情報処理Ⅲ」（11回目）
・データの並び替え「社会学情報処理Ⅴ」（８回目）</t>
    <rPh sb="16" eb="18">
      <t>ガイロン</t>
    </rPh>
    <rPh sb="22" eb="24">
      <t>カイメ</t>
    </rPh>
    <rPh sb="82" eb="86">
      <t>キソエンシュウ</t>
    </rPh>
    <rPh sb="95" eb="97">
      <t>カイメ</t>
    </rPh>
    <rPh sb="104" eb="105">
      <t>ナラ</t>
    </rPh>
    <rPh sb="106" eb="107">
      <t>カ</t>
    </rPh>
    <rPh sb="109" eb="111">
      <t>ジョウホウ</t>
    </rPh>
    <rPh sb="111" eb="115">
      <t>キソエンシュウ</t>
    </rPh>
    <rPh sb="119" eb="121">
      <t>カイメ</t>
    </rPh>
    <rPh sb="131" eb="137">
      <t>ジョウホウオウヨウエンシュウ</t>
    </rPh>
    <rPh sb="141" eb="142">
      <t>カイ</t>
    </rPh>
    <rPh sb="142" eb="143">
      <t>メ</t>
    </rPh>
    <rPh sb="147" eb="149">
      <t>カイメ</t>
    </rPh>
    <rPh sb="161" eb="167">
      <t>ジョウホウオウヨウエンシュウ</t>
    </rPh>
    <rPh sb="170" eb="172">
      <t>カイメ</t>
    </rPh>
    <rPh sb="176" eb="178">
      <t>カイメ</t>
    </rPh>
    <rPh sb="185" eb="187">
      <t>シュウケイ</t>
    </rPh>
    <rPh sb="221" eb="222">
      <t>ナラ</t>
    </rPh>
    <rPh sb="223" eb="224">
      <t>カ</t>
    </rPh>
    <rPh sb="241" eb="243">
      <t>カイメ</t>
    </rPh>
    <rPh sb="250" eb="252">
      <t>シュウケイ</t>
    </rPh>
    <rPh sb="264" eb="266">
      <t>カイメ</t>
    </rPh>
    <rPh sb="270" eb="272">
      <t>カイメ</t>
    </rPh>
    <rPh sb="279" eb="280">
      <t>ナラ</t>
    </rPh>
    <rPh sb="281" eb="282">
      <t>カ</t>
    </rPh>
    <rPh sb="305" eb="306">
      <t>ナラ</t>
    </rPh>
    <rPh sb="307" eb="308">
      <t>カ</t>
    </rPh>
    <rPh sb="321" eb="323">
      <t>カイメ</t>
    </rPh>
    <phoneticPr fontId="1"/>
  </si>
  <si>
    <t>以下の科目群のうちから、データサイエンス科目「データサイエンス概論」（２単位）を修得し、その他のデータサイエンス科目または学部で提供する科目から計４単位、合計６単位以上を修得すること。
＜データサイエンス科目＞
「データサイエンス概論」（２単位）、「情報処理入門」（２単位）、「統計学」（２単位）、「情報化社会と人間」（2単位）、「情報と知能」（２単位）、「応用統計学」（２単位）、「情報基礎演習」（２単位）、「情報応用演習」（２単位）、「プログラミング入門（Python)」（２単位）、「プログラミング入門（JavaScript)」（２単位）、「プログラミング入門（マクロ言語)」（２単位）、「データサイエンス特殊講義（データサイエンス入門・演習）」（２単位）
＜学部で提供する科目＞
【商学部】「B４群特殊講義ａ（商学のためのデータ分析）」（２単位）、「データサイエンスとデータの収集方法」（２単位）
【人文学部】「社会学情報処理特殊講義Ⅰ」（２単位）、「社会学情報処理特殊講義Ⅱ」（２単位）、「社会学情報処理特殊講義Ⅲ」（２単位）、「社会学情報処理特殊講義Ⅳ」（２単位）、「社会学情報処理特殊講義Ⅴ」（２単位）、「社会情報処理Ⅲ」（２単位）、「社会情報処理 Ⅳ」（２単位）、「社会情報処理Ⅴ」（２単位）、「教育学特論 VII（教育調査研究）」（２単位）、「英語研究特講（コンピュータと言語）」（２単位）
【経済科学部】「計量経済学Ⅰ」（２単位）、「計量経済学Ⅱ」（２単位）、「情報社会概論Ⅰ」（２単位）、「情報社会概論Ⅱ」（２単位）、「基礎プログラミング」（２単位）、「人工知能」（２単位）
【人間環境学部】「環境統計学入門」（２単位）
【健康科学部】「心理学統計法Ⅰ」（２単位）、「心理情報処理」（２単位）
【国際コミュニティ学部】「都市・地域戦略論」（２単位）</t>
    <rPh sb="0" eb="2">
      <t>イカ</t>
    </rPh>
    <rPh sb="3" eb="5">
      <t>カモク</t>
    </rPh>
    <rPh sb="5" eb="6">
      <t>グン</t>
    </rPh>
    <rPh sb="20" eb="22">
      <t>カモク</t>
    </rPh>
    <rPh sb="31" eb="33">
      <t>ガイロン</t>
    </rPh>
    <rPh sb="36" eb="38">
      <t>タンイ</t>
    </rPh>
    <rPh sb="40" eb="42">
      <t>シュウトク</t>
    </rPh>
    <rPh sb="46" eb="47">
      <t>タ</t>
    </rPh>
    <rPh sb="56" eb="58">
      <t>カモク</t>
    </rPh>
    <rPh sb="61" eb="63">
      <t>ガクブ</t>
    </rPh>
    <rPh sb="64" eb="66">
      <t>テイキョウ</t>
    </rPh>
    <rPh sb="68" eb="70">
      <t>カモク</t>
    </rPh>
    <rPh sb="72" eb="73">
      <t>ケイ</t>
    </rPh>
    <rPh sb="74" eb="76">
      <t>タンイ</t>
    </rPh>
    <rPh sb="77" eb="79">
      <t>ゴウケイ</t>
    </rPh>
    <rPh sb="80" eb="82">
      <t>タンイ</t>
    </rPh>
    <rPh sb="82" eb="84">
      <t>イジョウ</t>
    </rPh>
    <rPh sb="85" eb="87">
      <t>シュウトク</t>
    </rPh>
    <rPh sb="102" eb="104">
      <t>カモク</t>
    </rPh>
    <rPh sb="115" eb="117">
      <t>ガイロン</t>
    </rPh>
    <rPh sb="120" eb="122">
      <t>タンイ</t>
    </rPh>
    <rPh sb="125" eb="127">
      <t>ジョウホウ</t>
    </rPh>
    <rPh sb="127" eb="129">
      <t>ショリ</t>
    </rPh>
    <rPh sb="129" eb="131">
      <t>ニュウモン</t>
    </rPh>
    <rPh sb="134" eb="136">
      <t>タンイ</t>
    </rPh>
    <rPh sb="139" eb="142">
      <t>トウケイガク</t>
    </rPh>
    <rPh sb="145" eb="147">
      <t>タンイ</t>
    </rPh>
    <rPh sb="150" eb="155">
      <t>ジョウホウカシャカイ</t>
    </rPh>
    <rPh sb="156" eb="158">
      <t>ニンゲン</t>
    </rPh>
    <rPh sb="161" eb="163">
      <t>タンイ</t>
    </rPh>
    <rPh sb="166" eb="168">
      <t>ジョウホウ</t>
    </rPh>
    <rPh sb="169" eb="171">
      <t>チノウ</t>
    </rPh>
    <rPh sb="174" eb="176">
      <t>タンイ</t>
    </rPh>
    <rPh sb="179" eb="181">
      <t>オウヨウ</t>
    </rPh>
    <rPh sb="181" eb="184">
      <t>トウケイガク</t>
    </rPh>
    <rPh sb="187" eb="189">
      <t>タンイ</t>
    </rPh>
    <rPh sb="192" eb="194">
      <t>ジョウホウ</t>
    </rPh>
    <rPh sb="194" eb="196">
      <t>キソ</t>
    </rPh>
    <rPh sb="196" eb="198">
      <t>エンシュウ</t>
    </rPh>
    <rPh sb="201" eb="203">
      <t>タンイ</t>
    </rPh>
    <rPh sb="206" eb="208">
      <t>ジョウホウ</t>
    </rPh>
    <rPh sb="208" eb="210">
      <t>オウヨウ</t>
    </rPh>
    <rPh sb="210" eb="212">
      <t>エンシュウ</t>
    </rPh>
    <rPh sb="215" eb="217">
      <t>タンイ</t>
    </rPh>
    <rPh sb="227" eb="229">
      <t>ニュウモン</t>
    </rPh>
    <rPh sb="240" eb="242">
      <t>タンイ</t>
    </rPh>
    <rPh sb="287" eb="289">
      <t>ゲンゴ</t>
    </rPh>
    <rPh sb="306" eb="310">
      <t>トクシュコウギ</t>
    </rPh>
    <rPh sb="328" eb="330">
      <t>タンイ</t>
    </rPh>
    <rPh sb="333" eb="335">
      <t>ガクブ</t>
    </rPh>
    <rPh sb="336" eb="338">
      <t>テイキョウ</t>
    </rPh>
    <rPh sb="340" eb="342">
      <t>カモク</t>
    </rPh>
    <rPh sb="347" eb="348">
      <t>グン</t>
    </rPh>
    <rPh sb="354" eb="356">
      <t>ショウガク</t>
    </rPh>
    <rPh sb="363" eb="365">
      <t>ブンセキ</t>
    </rPh>
    <rPh sb="369" eb="371">
      <t>タンイ</t>
    </rPh>
    <rPh sb="387" eb="391">
      <t>シュウシュウホウホウ</t>
    </rPh>
    <rPh sb="394" eb="396">
      <t>タンイ</t>
    </rPh>
    <rPh sb="398" eb="401">
      <t>シャカイガク</t>
    </rPh>
    <rPh sb="405" eb="407">
      <t>シャカイ</t>
    </rPh>
    <rPh sb="407" eb="408">
      <t>ガク</t>
    </rPh>
    <rPh sb="408" eb="410">
      <t>ジョウホウ</t>
    </rPh>
    <rPh sb="410" eb="412">
      <t>ショリ</t>
    </rPh>
    <rPh sb="412" eb="416">
      <t>トクシュコウギ</t>
    </rPh>
    <rPh sb="485" eb="487">
      <t>シャカイ</t>
    </rPh>
    <rPh sb="509" eb="511">
      <t>ショリ</t>
    </rPh>
    <rPh sb="551" eb="554">
      <t>キョウイクガク</t>
    </rPh>
    <rPh sb="554" eb="556">
      <t>トクロン</t>
    </rPh>
    <rPh sb="561" eb="563">
      <t>キョウイク</t>
    </rPh>
    <rPh sb="563" eb="565">
      <t>チョウサ</t>
    </rPh>
    <rPh sb="565" eb="567">
      <t>ケンキュウ</t>
    </rPh>
    <rPh sb="571" eb="573">
      <t>タンイ</t>
    </rPh>
    <rPh sb="575" eb="577">
      <t>エイゴ</t>
    </rPh>
    <rPh sb="577" eb="579">
      <t>ケンキュウ</t>
    </rPh>
    <rPh sb="641" eb="643">
      <t>ジョウホウ</t>
    </rPh>
    <rPh sb="643" eb="647">
      <t>シャカイガイロン</t>
    </rPh>
    <rPh sb="651" eb="653">
      <t>タンイ</t>
    </rPh>
    <rPh sb="656" eb="658">
      <t>ジョウホウ</t>
    </rPh>
    <rPh sb="658" eb="662">
      <t>シャカイガイロン</t>
    </rPh>
    <rPh sb="666" eb="668">
      <t>タンイ</t>
    </rPh>
    <rPh sb="671" eb="673">
      <t>キソ</t>
    </rPh>
    <rPh sb="683" eb="685">
      <t>タンイ</t>
    </rPh>
    <rPh sb="688" eb="692">
      <t>ジンコウチノウ</t>
    </rPh>
    <rPh sb="695" eb="697">
      <t>タンイ</t>
    </rPh>
    <rPh sb="700" eb="706">
      <t>ニンゲンカンキョウガクブ</t>
    </rPh>
    <rPh sb="708" eb="713">
      <t>カンキョウトウケイガク</t>
    </rPh>
    <rPh sb="713" eb="715">
      <t>ニュウモン</t>
    </rPh>
    <rPh sb="718" eb="720">
      <t>タンイ</t>
    </rPh>
    <rPh sb="723" eb="728">
      <t>ケンコウカガクブ</t>
    </rPh>
    <rPh sb="730" eb="733">
      <t>シンリガク</t>
    </rPh>
    <rPh sb="733" eb="736">
      <t>トウケイホウ</t>
    </rPh>
    <rPh sb="740" eb="742">
      <t>タンイ</t>
    </rPh>
    <rPh sb="745" eb="747">
      <t>シンリ</t>
    </rPh>
    <rPh sb="747" eb="749">
      <t>ジョウホウ</t>
    </rPh>
    <rPh sb="749" eb="751">
      <t>ショリ</t>
    </rPh>
    <rPh sb="754" eb="756">
      <t>タンイ</t>
    </rPh>
    <rPh sb="759" eb="761">
      <t>コクサイ</t>
    </rPh>
    <rPh sb="767" eb="769">
      <t>ガクブ</t>
    </rPh>
    <rPh sb="771" eb="773">
      <t>トシ</t>
    </rPh>
    <rPh sb="774" eb="779">
      <t>チイキセンリャクロン</t>
    </rPh>
    <rPh sb="782" eb="784">
      <t>タンイ</t>
    </rPh>
    <phoneticPr fontId="1"/>
  </si>
  <si>
    <t>・社会で起きている変化「データサイエンス概論」（１回目）
・IoT「データサイエンス概論」（２回目）
・AI「データサイエンス概論」（３回目）
・人間の知的活動とAIの関係性「情報化社会と人間」（９回目）
・人間の知的活動とAIの関係性「情報と知能」（２回目）（３回目）（４回目）（５回目）（６回目）（14回目）
・AIのはじまり「社会学情報処理Ⅳ」（１回目）
・社会で起きている変化「社会学情報処理Ⅳ」（２回目）
・情報社会の特徴・特性「情報社会概論Ⅱ」（１回目）
・情報社会の使いやすさ「情報社会概論Ⅱ」（２回目）
・AIの概要と歴史「人工知能」（２回目）
・コンピュータの歴史と現代のIT業界「心理情報処理」（14回目）</t>
    <rPh sb="1" eb="3">
      <t>シャカイ</t>
    </rPh>
    <rPh sb="4" eb="5">
      <t>オ</t>
    </rPh>
    <rPh sb="9" eb="11">
      <t>ヘンカ</t>
    </rPh>
    <rPh sb="20" eb="22">
      <t>ガイロン</t>
    </rPh>
    <rPh sb="25" eb="27">
      <t>カイメ</t>
    </rPh>
    <rPh sb="88" eb="93">
      <t>ジョウホウカシャカイ</t>
    </rPh>
    <rPh sb="94" eb="96">
      <t>ニンゲン</t>
    </rPh>
    <rPh sb="99" eb="101">
      <t>カイメ</t>
    </rPh>
    <rPh sb="119" eb="121">
      <t>ジョウホウ</t>
    </rPh>
    <rPh sb="122" eb="124">
      <t>チノウ</t>
    </rPh>
    <rPh sb="127" eb="128">
      <t>カイ</t>
    </rPh>
    <rPh sb="128" eb="129">
      <t>メ</t>
    </rPh>
    <rPh sb="132" eb="133">
      <t>カイ</t>
    </rPh>
    <rPh sb="133" eb="134">
      <t>メ</t>
    </rPh>
    <rPh sb="137" eb="138">
      <t>カイ</t>
    </rPh>
    <rPh sb="138" eb="139">
      <t>メ</t>
    </rPh>
    <rPh sb="142" eb="143">
      <t>カイ</t>
    </rPh>
    <rPh sb="143" eb="144">
      <t>メ</t>
    </rPh>
    <rPh sb="147" eb="148">
      <t>カイ</t>
    </rPh>
    <rPh sb="148" eb="149">
      <t>メ</t>
    </rPh>
    <rPh sb="153" eb="154">
      <t>カイ</t>
    </rPh>
    <rPh sb="154" eb="155">
      <t>メ</t>
    </rPh>
    <rPh sb="182" eb="184">
      <t>シャカイ</t>
    </rPh>
    <rPh sb="185" eb="186">
      <t>オ</t>
    </rPh>
    <rPh sb="190" eb="192">
      <t>ヘンカ</t>
    </rPh>
    <rPh sb="209" eb="211">
      <t>ジョウホウ</t>
    </rPh>
    <rPh sb="211" eb="213">
      <t>シャカイ</t>
    </rPh>
    <rPh sb="214" eb="216">
      <t>トクチョウ</t>
    </rPh>
    <rPh sb="217" eb="219">
      <t>トクセイ</t>
    </rPh>
    <rPh sb="220" eb="224">
      <t>ジョウホウシャカイ</t>
    </rPh>
    <rPh sb="224" eb="226">
      <t>ガイロン</t>
    </rPh>
    <rPh sb="230" eb="232">
      <t>カイメ</t>
    </rPh>
    <rPh sb="235" eb="237">
      <t>ジョウホウ</t>
    </rPh>
    <rPh sb="237" eb="239">
      <t>シャカイ</t>
    </rPh>
    <rPh sb="240" eb="241">
      <t>ツカ</t>
    </rPh>
    <rPh sb="246" eb="248">
      <t>ジョウホウ</t>
    </rPh>
    <rPh sb="248" eb="250">
      <t>シャカイ</t>
    </rPh>
    <rPh sb="250" eb="252">
      <t>ガイロン</t>
    </rPh>
    <rPh sb="256" eb="258">
      <t>カイメ</t>
    </rPh>
    <rPh sb="264" eb="266">
      <t>ガイヨウ</t>
    </rPh>
    <rPh sb="267" eb="269">
      <t>レキシ</t>
    </rPh>
    <rPh sb="270" eb="274">
      <t>ジンコウチノウ</t>
    </rPh>
    <rPh sb="277" eb="279">
      <t>カイメ</t>
    </rPh>
    <rPh sb="289" eb="291">
      <t>レキシ</t>
    </rPh>
    <rPh sb="292" eb="294">
      <t>ゲンダイ</t>
    </rPh>
    <rPh sb="297" eb="299">
      <t>ギョウカイ</t>
    </rPh>
    <rPh sb="300" eb="302">
      <t>シンリ</t>
    </rPh>
    <rPh sb="302" eb="304">
      <t>ジョウホウ</t>
    </rPh>
    <rPh sb="304" eb="306">
      <t>ショリ</t>
    </rPh>
    <rPh sb="310" eb="312">
      <t>カイメ</t>
    </rPh>
    <phoneticPr fontId="1"/>
  </si>
  <si>
    <t>・調査データなど「データサイエンス概論」（５回目）
・社会で活用されているデータ「社会学情報処理Ⅳ」（３回目）
・情報の読み比べ「情報社会概論Ⅱ」（８回目）
・情報の比較「情報社会概論Ⅱ」（９回目）
・戦略の分析「都市・地域戦略論」（４回目）（５回目）（６回目）（７回目）（８回目）（９回目）</t>
    <rPh sb="17" eb="19">
      <t>ガイロン</t>
    </rPh>
    <rPh sb="22" eb="24">
      <t>カイメ</t>
    </rPh>
    <rPh sb="27" eb="29">
      <t>シャカイ</t>
    </rPh>
    <rPh sb="30" eb="32">
      <t>カツヨウ</t>
    </rPh>
    <rPh sb="52" eb="54">
      <t>カイメ</t>
    </rPh>
    <rPh sb="57" eb="59">
      <t>ジョウホウ</t>
    </rPh>
    <rPh sb="60" eb="61">
      <t>ヨ</t>
    </rPh>
    <rPh sb="62" eb="63">
      <t>クラ</t>
    </rPh>
    <rPh sb="65" eb="69">
      <t>ジョウホウシャカイ</t>
    </rPh>
    <rPh sb="69" eb="71">
      <t>ガイロン</t>
    </rPh>
    <rPh sb="75" eb="77">
      <t>カイメ</t>
    </rPh>
    <rPh sb="80" eb="82">
      <t>ジョウホウ</t>
    </rPh>
    <rPh sb="83" eb="85">
      <t>ヒカク</t>
    </rPh>
    <rPh sb="86" eb="90">
      <t>ジョウホウシャカイ</t>
    </rPh>
    <rPh sb="90" eb="92">
      <t>ガイロン</t>
    </rPh>
    <rPh sb="96" eb="98">
      <t>カイメ</t>
    </rPh>
    <rPh sb="101" eb="103">
      <t>センリャク</t>
    </rPh>
    <rPh sb="104" eb="106">
      <t>ブンセキ</t>
    </rPh>
    <rPh sb="107" eb="109">
      <t>トシ</t>
    </rPh>
    <rPh sb="110" eb="114">
      <t>チイキセンリャク</t>
    </rPh>
    <rPh sb="114" eb="115">
      <t>ロン</t>
    </rPh>
    <rPh sb="118" eb="120">
      <t>カイメ</t>
    </rPh>
    <rPh sb="123" eb="125">
      <t>カイメ</t>
    </rPh>
    <rPh sb="128" eb="130">
      <t>カイメ</t>
    </rPh>
    <rPh sb="133" eb="135">
      <t>カイメ</t>
    </rPh>
    <rPh sb="138" eb="140">
      <t>カイメ</t>
    </rPh>
    <rPh sb="143" eb="145">
      <t>カイメ</t>
    </rPh>
    <phoneticPr fontId="1"/>
  </si>
  <si>
    <t>・AIとビッグデータ「データサイエンス概論」（４回目）
・データ・AI活用領域の広がり(生産、消費、文化活動など)「データサイエンス特殊講義（データサイエンス入門・演習）」（12回目）（13回目）（14回目）
・データ・AIの活用領域「社会学情報処理Ⅳ」（４回目）</t>
    <rPh sb="19" eb="21">
      <t>ガイロン</t>
    </rPh>
    <rPh sb="24" eb="26">
      <t>カイメ</t>
    </rPh>
    <rPh sb="66" eb="70">
      <t>トクシュコウギ</t>
    </rPh>
    <rPh sb="89" eb="90">
      <t>カイ</t>
    </rPh>
    <rPh sb="90" eb="91">
      <t>メ</t>
    </rPh>
    <rPh sb="95" eb="96">
      <t>カイ</t>
    </rPh>
    <rPh sb="96" eb="97">
      <t>メ</t>
    </rPh>
    <rPh sb="101" eb="102">
      <t>カイ</t>
    </rPh>
    <rPh sb="102" eb="103">
      <t>メ</t>
    </rPh>
    <rPh sb="113" eb="117">
      <t>カツヨウリョウイキ</t>
    </rPh>
    <phoneticPr fontId="1"/>
  </si>
  <si>
    <t>・データ活用のための技術「データサイエンス概論」（９回目）
・教育におけるデータ・AI利活用事例紹介「情報処理入門」（１回目）
・クロス集計表「情報化社会と人間」（５回目）
・今のAIで出来ることと出来ないこと「情報と知能」（８回目）
・画像/動画処理「情報と知能」（10回目）（12回目）（13回目）
・言語処理「情報と知能」（11回目）
・データ・AIの技術「社会学情報処理Ⅳ」（６回目）</t>
    <rPh sb="4" eb="6">
      <t>カツヨウ</t>
    </rPh>
    <rPh sb="10" eb="12">
      <t>ギジュツ</t>
    </rPh>
    <rPh sb="21" eb="23">
      <t>ガイロン</t>
    </rPh>
    <rPh sb="26" eb="28">
      <t>カイメ</t>
    </rPh>
    <rPh sb="51" eb="57">
      <t>ジョウホウショリニュウモン</t>
    </rPh>
    <rPh sb="60" eb="62">
      <t>カイメ</t>
    </rPh>
    <rPh sb="68" eb="71">
      <t>シュウケイヒョウ</t>
    </rPh>
    <rPh sb="72" eb="77">
      <t>ジョウホウカシャカイ</t>
    </rPh>
    <rPh sb="78" eb="80">
      <t>ニンゲン</t>
    </rPh>
    <rPh sb="83" eb="85">
      <t>カイメ</t>
    </rPh>
    <rPh sb="106" eb="108">
      <t>ジョウホウ</t>
    </rPh>
    <rPh sb="109" eb="111">
      <t>チノウ</t>
    </rPh>
    <rPh sb="114" eb="115">
      <t>カイ</t>
    </rPh>
    <rPh sb="115" eb="116">
      <t>メ</t>
    </rPh>
    <rPh sb="127" eb="129">
      <t>ジョウホウ</t>
    </rPh>
    <rPh sb="130" eb="132">
      <t>チノウ</t>
    </rPh>
    <rPh sb="136" eb="137">
      <t>カイ</t>
    </rPh>
    <rPh sb="137" eb="138">
      <t>メ</t>
    </rPh>
    <rPh sb="142" eb="143">
      <t>カイ</t>
    </rPh>
    <rPh sb="143" eb="144">
      <t>メ</t>
    </rPh>
    <rPh sb="148" eb="149">
      <t>カイ</t>
    </rPh>
    <rPh sb="149" eb="150">
      <t>メ</t>
    </rPh>
    <rPh sb="158" eb="160">
      <t>ジョウホウ</t>
    </rPh>
    <rPh sb="161" eb="163">
      <t>チノウ</t>
    </rPh>
    <rPh sb="167" eb="168">
      <t>カイ</t>
    </rPh>
    <rPh sb="168" eb="169">
      <t>メ</t>
    </rPh>
    <rPh sb="179" eb="181">
      <t>ギジュツ</t>
    </rPh>
    <phoneticPr fontId="1"/>
  </si>
  <si>
    <t>・様々な活用領域「データサイエンス概論」（４回目）
・AI利活用事例紹介「データサイエンス特殊講義（データサイエンス入門・演習）」（１回目）（２回目）（４回目）（５回目）（６回目）
・生成AIを用いた文書作成「社会学情報処理特殊講義Ⅰ」（15回目）
・生成AIを用いた文書作成「社会学情報処理特殊講義Ⅲ」（15回目）
・生成AIを用いた文書作成「社会学情報処理特殊講義Ⅴ」（８回目）
・データ・AI利活用の現場「社会学情報処理Ⅳ」（10回目）</t>
    <rPh sb="1" eb="3">
      <t>サマザマ</t>
    </rPh>
    <rPh sb="4" eb="8">
      <t>カツヨウリョウイキ</t>
    </rPh>
    <rPh sb="17" eb="19">
      <t>ガイロン</t>
    </rPh>
    <rPh sb="22" eb="24">
      <t>カイメ</t>
    </rPh>
    <rPh sb="45" eb="47">
      <t>トクシュ</t>
    </rPh>
    <rPh sb="47" eb="49">
      <t>コウギ</t>
    </rPh>
    <rPh sb="67" eb="68">
      <t>カイ</t>
    </rPh>
    <rPh sb="68" eb="69">
      <t>メ</t>
    </rPh>
    <rPh sb="72" eb="74">
      <t>カイメ</t>
    </rPh>
    <rPh sb="77" eb="78">
      <t>カイ</t>
    </rPh>
    <rPh sb="78" eb="79">
      <t>メ</t>
    </rPh>
    <rPh sb="82" eb="83">
      <t>カイ</t>
    </rPh>
    <rPh sb="83" eb="84">
      <t>メ</t>
    </rPh>
    <rPh sb="87" eb="88">
      <t>カイ</t>
    </rPh>
    <rPh sb="88" eb="89">
      <t>メ</t>
    </rPh>
    <rPh sb="199" eb="202">
      <t>リカツヨウ</t>
    </rPh>
    <rPh sb="203" eb="205">
      <t>ゲンバ</t>
    </rPh>
    <phoneticPr fontId="1"/>
  </si>
  <si>
    <t>・個人情報保護「データサイエンス概論」（８回目）
・データ倫理：データのねつ造、改ざん、盗用、プライバシー保護「情報処理入門」（１回目）
・データ倫理：データのねつ造、改ざん、盗用、プライバシー保護「情報基礎演習」（３回目）
・データ倫理：データのねつ造、改ざん、盗用、プライバシー保護「情報応用演習」（２回目）
・生成AIを用いた文書作成の留意点「社会学情報処理特殊講義Ⅰ」（15回目）
・生成AIを用いた文書作成の留意点「社会学情報処理特殊講義Ⅴ」（８回目）
・データ・AIの注意点「社会学情報処理Ⅳ」（７回目）
・個人情報と個人情報保護法「情報社会概論Ⅰ」（６回目）（７回目）
・AIのリスクと課題「人工知能」（13回目）
・情報倫理「心理情報処理」（３回目）</t>
    <rPh sb="16" eb="18">
      <t>ガイロン</t>
    </rPh>
    <rPh sb="21" eb="23">
      <t>カイメ</t>
    </rPh>
    <rPh sb="58" eb="62">
      <t>ショリニュウモン</t>
    </rPh>
    <rPh sb="110" eb="111">
      <t>メ</t>
    </rPh>
    <rPh sb="146" eb="148">
      <t>オウヨウ</t>
    </rPh>
    <rPh sb="154" eb="155">
      <t>メ</t>
    </rPh>
    <rPh sb="171" eb="174">
      <t>リュウイテン</t>
    </rPh>
    <rPh sb="240" eb="243">
      <t>チュウイテン</t>
    </rPh>
    <rPh sb="260" eb="264">
      <t>コジンジョウホウ</t>
    </rPh>
    <rPh sb="265" eb="269">
      <t>コジンジョウホウ</t>
    </rPh>
    <rPh sb="269" eb="272">
      <t>ホゴホウ</t>
    </rPh>
    <rPh sb="283" eb="285">
      <t>カイメ</t>
    </rPh>
    <rPh sb="288" eb="290">
      <t>カイメ</t>
    </rPh>
    <rPh sb="300" eb="302">
      <t>カダイ</t>
    </rPh>
    <rPh sb="303" eb="307">
      <t>ジンコウチノウ</t>
    </rPh>
    <rPh sb="311" eb="313">
      <t>カイメ</t>
    </rPh>
    <rPh sb="316" eb="320">
      <t>ジョウホウリンリ</t>
    </rPh>
    <rPh sb="321" eb="325">
      <t>シンリジョウホウ</t>
    </rPh>
    <rPh sb="325" eb="327">
      <t>ショリ</t>
    </rPh>
    <rPh sb="330" eb="332">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</si>
</sst>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5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top style="hair">
        <color auto="1"/>
      </top>
      <bottom/>
      <diagonal/>
    </border>
    <border>
      <left/>
      <right style="thin">
        <color indexed="64"/>
      </right>
      <top style="hair">
        <color auto="1"/>
      </top>
      <bottom/>
      <diagonal/>
    </border>
    <border diagonalUp="1">
      <left style="thin">
        <color auto="1"/>
      </left>
      <right style="thin">
        <color auto="1"/>
      </right>
      <top style="thin">
        <color auto="1"/>
      </top>
      <bottom style="hair">
        <color auto="1"/>
      </bottom>
      <diagonal style="thin">
        <color auto="1"/>
      </diagonal>
    </border>
    <border diagonalUp="1">
      <left style="thin">
        <color auto="1"/>
      </left>
      <right/>
      <top style="thin">
        <color auto="1"/>
      </top>
      <bottom/>
      <diagonal style="thin">
        <color auto="1"/>
      </diagonal>
    </border>
    <border diagonalUp="1">
      <left style="thin">
        <color auto="1"/>
      </left>
      <right style="dotted">
        <color auto="1"/>
      </right>
      <top style="hair">
        <color auto="1"/>
      </top>
      <bottom style="hair">
        <color auto="1"/>
      </bottom>
      <diagonal style="thin">
        <color auto="1"/>
      </diagonal>
    </border>
    <border diagonalUp="1">
      <left style="thin">
        <color auto="1"/>
      </left>
      <right style="thin">
        <color auto="1"/>
      </right>
      <top style="hair">
        <color auto="1"/>
      </top>
      <bottom style="hair">
        <color auto="1"/>
      </bottom>
      <diagonal style="thin">
        <color auto="1"/>
      </diagonal>
    </border>
    <border>
      <left style="thin">
        <color auto="1"/>
      </left>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top" wrapText="1" shrinkToFit="1"/>
    </xf>
    <xf numFmtId="0" fontId="2" fillId="0" borderId="0" xfId="0" applyFont="1" applyAlignment="1">
      <alignment vertical="top" shrinkToFit="1"/>
    </xf>
    <xf numFmtId="38" fontId="11" fillId="0" borderId="1" xfId="2" applyFont="1" applyBorder="1">
      <alignment vertical="center"/>
    </xf>
    <xf numFmtId="38" fontId="2" fillId="0" borderId="52" xfId="2" applyFont="1" applyBorder="1" applyAlignment="1">
      <alignment vertical="center" shrinkToFit="1"/>
    </xf>
    <xf numFmtId="38" fontId="2" fillId="0" borderId="51" xfId="2" applyFont="1" applyBorder="1" applyAlignment="1">
      <alignment vertical="center" shrinkToFit="1"/>
    </xf>
    <xf numFmtId="38" fontId="2" fillId="0" borderId="53" xfId="2" applyFont="1" applyBorder="1" applyAlignment="1">
      <alignment vertical="center" shrinkToFit="1"/>
    </xf>
    <xf numFmtId="38" fontId="2" fillId="0" borderId="54" xfId="2" applyFont="1" applyBorder="1" applyAlignment="1">
      <alignment vertical="center" shrinkToFit="1"/>
    </xf>
    <xf numFmtId="9" fontId="2" fillId="0" borderId="14" xfId="0" applyNumberFormat="1" applyFont="1" applyBorder="1" applyAlignment="1">
      <alignment vertical="center" shrinkToFit="1"/>
    </xf>
    <xf numFmtId="0" fontId="11" fillId="0" borderId="20" xfId="0" applyFont="1" applyBorder="1" applyAlignment="1">
      <alignment horizontal="center" vertical="center" shrinkToFit="1"/>
    </xf>
    <xf numFmtId="0" fontId="11" fillId="0" borderId="14" xfId="0" applyFont="1" applyBorder="1" applyAlignment="1">
      <alignment horizontal="center" vertical="center" shrinkToFit="1"/>
    </xf>
    <xf numFmtId="0" fontId="11" fillId="0" borderId="1" xfId="0" applyFont="1" applyBorder="1" applyAlignment="1">
      <alignment horizontal="center" vertical="center"/>
    </xf>
    <xf numFmtId="0" fontId="11" fillId="0" borderId="0" xfId="0" applyFont="1" applyAlignment="1">
      <alignment horizontal="right" vertical="center"/>
    </xf>
    <xf numFmtId="0" fontId="14" fillId="0" borderId="0" xfId="0" applyFont="1">
      <alignment vertical="center"/>
    </xf>
    <xf numFmtId="0" fontId="11" fillId="0" borderId="0" xfId="0" applyFont="1" applyAlignment="1">
      <alignment horizontal="left" vertical="center" shrinkToFit="1"/>
    </xf>
    <xf numFmtId="0" fontId="14" fillId="0" borderId="0" xfId="0" applyFont="1" applyAlignment="1">
      <alignment horizontal="center" vertical="center"/>
    </xf>
    <xf numFmtId="0" fontId="11" fillId="0" borderId="1" xfId="0" applyFont="1" applyBorder="1">
      <alignment vertical="center"/>
    </xf>
    <xf numFmtId="0" fontId="11" fillId="0" borderId="1" xfId="0" applyFont="1" applyBorder="1" applyAlignment="1">
      <alignment horizontal="right" vertical="center"/>
    </xf>
    <xf numFmtId="0" fontId="13" fillId="0" borderId="1" xfId="0" applyFont="1" applyBorder="1" applyAlignment="1">
      <alignment horizontal="center" vertical="center" shrinkToFit="1"/>
    </xf>
    <xf numFmtId="0" fontId="13" fillId="0" borderId="4" xfId="0" applyFont="1" applyBorder="1" applyAlignment="1">
      <alignment horizontal="center" vertical="center" shrinkToFit="1"/>
    </xf>
    <xf numFmtId="49" fontId="13" fillId="0" borderId="1" xfId="0" applyNumberFormat="1" applyFont="1" applyBorder="1" applyAlignment="1">
      <alignment horizontal="center" vertical="center"/>
    </xf>
    <xf numFmtId="0" fontId="11" fillId="0" borderId="15"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13" xfId="0" applyFont="1" applyBorder="1" applyAlignment="1">
      <alignment horizontal="center" vertical="center" shrinkToFit="1"/>
    </xf>
    <xf numFmtId="0" fontId="11" fillId="0" borderId="0" xfId="0" applyFont="1" applyAlignment="1">
      <alignment vertical="top" wrapText="1"/>
    </xf>
    <xf numFmtId="0" fontId="11" fillId="0" borderId="48" xfId="0" applyFont="1" applyBorder="1" applyAlignment="1">
      <alignment horizontal="center" vertical="center" shrinkToFit="1"/>
    </xf>
    <xf numFmtId="0" fontId="11" fillId="0" borderId="0" xfId="0" applyFont="1" applyAlignment="1">
      <alignment vertical="center" shrinkToFit="1"/>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49" fontId="13" fillId="0" borderId="43" xfId="0" applyNumberFormat="1" applyFont="1" applyBorder="1" applyAlignment="1">
      <alignment horizontal="center" vertical="center"/>
    </xf>
    <xf numFmtId="49" fontId="13" fillId="0" borderId="44" xfId="0" applyNumberFormat="1" applyFont="1" applyBorder="1" applyAlignment="1">
      <alignment horizontal="center" vertical="center"/>
    </xf>
    <xf numFmtId="49" fontId="13" fillId="0" borderId="39" xfId="0" applyNumberFormat="1" applyFont="1" applyBorder="1" applyAlignment="1">
      <alignment horizontal="center" vertical="center"/>
    </xf>
    <xf numFmtId="49" fontId="13" fillId="0" borderId="26" xfId="0" applyNumberFormat="1" applyFont="1" applyBorder="1" applyAlignment="1">
      <alignment horizontal="center" vertical="center"/>
    </xf>
    <xf numFmtId="49" fontId="13" fillId="0" borderId="42" xfId="0" applyNumberFormat="1" applyFont="1" applyBorder="1" applyAlignment="1">
      <alignment horizontal="center" vertical="center"/>
    </xf>
    <xf numFmtId="49" fontId="13" fillId="0" borderId="28" xfId="0" applyNumberFormat="1" applyFont="1" applyBorder="1" applyAlignment="1">
      <alignment horizontal="center" vertical="center"/>
    </xf>
    <xf numFmtId="0" fontId="11" fillId="0" borderId="32" xfId="0" applyFont="1" applyBorder="1" applyAlignment="1">
      <alignment horizontal="left" vertical="center" shrinkToFit="1"/>
    </xf>
    <xf numFmtId="0" fontId="11" fillId="0" borderId="33" xfId="0" applyFont="1" applyBorder="1" applyAlignment="1">
      <alignment horizontal="left" vertical="center" shrinkToFit="1"/>
    </xf>
    <xf numFmtId="0" fontId="11" fillId="0" borderId="34" xfId="0" applyFont="1" applyBorder="1" applyAlignment="1">
      <alignment horizontal="left" vertical="center" shrinkToFit="1"/>
    </xf>
    <xf numFmtId="0" fontId="11" fillId="0" borderId="0" xfId="0" applyFont="1" applyAlignment="1">
      <alignment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7" xfId="0" applyFont="1" applyBorder="1" applyAlignment="1">
      <alignment vertical="center" shrinkToFit="1"/>
    </xf>
    <xf numFmtId="0" fontId="11" fillId="0" borderId="8" xfId="0" applyFont="1" applyBorder="1" applyAlignment="1">
      <alignment vertical="center" shrinkToFit="1"/>
    </xf>
    <xf numFmtId="0" fontId="11" fillId="0" borderId="9" xfId="0" applyFont="1" applyBorder="1" applyAlignment="1">
      <alignment vertical="center" shrinkToFit="1"/>
    </xf>
    <xf numFmtId="0" fontId="11" fillId="0" borderId="19" xfId="0" applyFont="1" applyBorder="1" applyAlignment="1">
      <alignment vertical="center" shrinkToFit="1"/>
    </xf>
    <xf numFmtId="0" fontId="11" fillId="0" borderId="17" xfId="0" applyFont="1" applyBorder="1" applyAlignment="1">
      <alignment vertical="center" shrinkToFit="1"/>
    </xf>
    <xf numFmtId="0" fontId="11" fillId="0" borderId="18" xfId="0" applyFont="1" applyBorder="1" applyAlignment="1">
      <alignment vertical="center" shrinkToFit="1"/>
    </xf>
    <xf numFmtId="0" fontId="11" fillId="0" borderId="32" xfId="0" applyFont="1" applyBorder="1" applyAlignment="1">
      <alignment vertical="center" shrinkToFit="1"/>
    </xf>
    <xf numFmtId="0" fontId="11" fillId="0" borderId="33" xfId="0" applyFont="1" applyBorder="1" applyAlignment="1">
      <alignment vertical="center" shrinkToFit="1"/>
    </xf>
    <xf numFmtId="0" fontId="11" fillId="0" borderId="34" xfId="0" applyFont="1" applyBorder="1" applyAlignment="1">
      <alignment vertical="center" shrinkToFit="1"/>
    </xf>
    <xf numFmtId="0" fontId="11" fillId="0" borderId="31" xfId="0" applyFont="1" applyBorder="1" applyAlignment="1">
      <alignment vertical="center" shrinkToFit="1"/>
    </xf>
    <xf numFmtId="0" fontId="11" fillId="0" borderId="30" xfId="0" applyFont="1" applyBorder="1" applyAlignment="1">
      <alignment vertical="center" shrinkToFit="1"/>
    </xf>
    <xf numFmtId="0" fontId="11" fillId="0" borderId="49" xfId="0" applyFont="1" applyBorder="1" applyAlignment="1">
      <alignment vertical="center" shrinkToFit="1"/>
    </xf>
    <xf numFmtId="0" fontId="11" fillId="0" borderId="50" xfId="0" applyFont="1" applyBorder="1" applyAlignment="1">
      <alignment vertical="center" shrinkToFit="1"/>
    </xf>
    <xf numFmtId="0" fontId="11" fillId="0" borderId="5" xfId="0" applyFont="1" applyBorder="1" applyAlignment="1">
      <alignment vertical="center" shrinkToFit="1"/>
    </xf>
    <xf numFmtId="0" fontId="11" fillId="0" borderId="0" xfId="0" applyFont="1" applyAlignment="1">
      <alignment vertical="center" shrinkToFit="1"/>
    </xf>
    <xf numFmtId="0" fontId="11" fillId="0" borderId="10" xfId="0" applyFont="1" applyBorder="1" applyAlignment="1">
      <alignment vertical="center" shrinkToFit="1"/>
    </xf>
    <xf numFmtId="0" fontId="11" fillId="0" borderId="7" xfId="0" applyFont="1" applyBorder="1" applyAlignment="1">
      <alignment horizontal="center" vertical="center" shrinkToFit="1"/>
    </xf>
    <xf numFmtId="0" fontId="11" fillId="0" borderId="8" xfId="0" applyFont="1" applyBorder="1" applyAlignment="1">
      <alignment horizontal="center" vertical="center" shrinkToFit="1"/>
    </xf>
    <xf numFmtId="0" fontId="11" fillId="0" borderId="9" xfId="0" applyFont="1" applyBorder="1" applyAlignment="1">
      <alignment horizontal="center" vertical="center" shrinkToFit="1"/>
    </xf>
    <xf numFmtId="0" fontId="11" fillId="0" borderId="29" xfId="0" applyFont="1" applyBorder="1" applyAlignment="1">
      <alignment vertical="center" shrinkToFit="1"/>
    </xf>
    <xf numFmtId="0" fontId="11" fillId="0" borderId="18" xfId="0" applyFont="1" applyBorder="1" applyAlignment="1">
      <alignment horizontal="left" vertical="center" shrinkToFit="1"/>
    </xf>
    <xf numFmtId="0" fontId="11" fillId="0" borderId="19" xfId="0" applyFont="1" applyBorder="1" applyAlignment="1">
      <alignment horizontal="left" vertical="center" shrinkToFit="1"/>
    </xf>
    <xf numFmtId="0" fontId="11" fillId="0" borderId="17" xfId="0" applyFont="1" applyBorder="1" applyAlignment="1">
      <alignment horizontal="left" vertical="center" shrinkToFit="1"/>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xf numFmtId="0" fontId="11" fillId="0" borderId="1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17" xfId="0" applyFont="1" applyBorder="1" applyAlignment="1">
      <alignment horizontal="center" vertical="center" shrinkToFit="1"/>
    </xf>
    <xf numFmtId="0" fontId="11" fillId="0" borderId="55" xfId="0" applyFont="1" applyBorder="1" applyAlignment="1">
      <alignment vertical="center" shrinkToFit="1"/>
    </xf>
    <xf numFmtId="0" fontId="11" fillId="0" borderId="5" xfId="0" applyFont="1" applyBorder="1" applyAlignment="1">
      <alignment horizontal="center" vertical="center" shrinkToFit="1"/>
    </xf>
    <xf numFmtId="0" fontId="11" fillId="0" borderId="0" xfId="0" applyFont="1" applyAlignment="1">
      <alignment horizontal="center" vertical="center" shrinkToFit="1"/>
    </xf>
    <xf numFmtId="0" fontId="11" fillId="0" borderId="10" xfId="0" applyFont="1" applyBorder="1" applyAlignment="1">
      <alignment horizontal="center" vertical="center" shrinkToFit="1"/>
    </xf>
    <xf numFmtId="0" fontId="13" fillId="0" borderId="40" xfId="0" applyFont="1" applyBorder="1" applyAlignment="1">
      <alignment vertical="center" wrapText="1"/>
    </xf>
    <xf numFmtId="0" fontId="13" fillId="0" borderId="27" xfId="0" applyFont="1" applyBorder="1" applyAlignment="1">
      <alignment vertical="center" wrapText="1"/>
    </xf>
    <xf numFmtId="0" fontId="13" fillId="0" borderId="41" xfId="0" applyFont="1" applyBorder="1" applyAlignment="1">
      <alignment vertical="center" wrapText="1"/>
    </xf>
    <xf numFmtId="0" fontId="11" fillId="0" borderId="55" xfId="0" applyFont="1" applyBorder="1" applyAlignment="1">
      <alignment horizontal="center" vertical="center" shrinkToFit="1"/>
    </xf>
    <xf numFmtId="0" fontId="11" fillId="0" borderId="49" xfId="0" applyFont="1" applyBorder="1" applyAlignment="1">
      <alignment horizontal="center" vertical="center" shrinkToFit="1"/>
    </xf>
    <xf numFmtId="0" fontId="11" fillId="0" borderId="50" xfId="0" applyFont="1" applyBorder="1" applyAlignment="1">
      <alignment horizontal="center" vertical="center" shrinkToFit="1"/>
    </xf>
    <xf numFmtId="0" fontId="11" fillId="0" borderId="0" xfId="0" applyFont="1" applyAlignment="1">
      <alignment horizontal="right" vertical="center"/>
    </xf>
    <xf numFmtId="0" fontId="15"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4" fillId="0" borderId="2" xfId="0" applyFont="1" applyBorder="1" applyAlignment="1">
      <alignment horizontal="left" vertical="center"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49" fontId="13" fillId="0" borderId="32" xfId="0" applyNumberFormat="1" applyFont="1" applyBorder="1" applyAlignment="1">
      <alignment horizontal="left" vertical="center" wrapText="1"/>
    </xf>
    <xf numFmtId="49" fontId="13" fillId="0" borderId="33" xfId="0" applyNumberFormat="1" applyFont="1" applyBorder="1" applyAlignment="1">
      <alignment horizontal="left" vertical="center"/>
    </xf>
    <xf numFmtId="49" fontId="13" fillId="0" borderId="34" xfId="0" applyNumberFormat="1" applyFont="1" applyBorder="1" applyAlignment="1">
      <alignment horizontal="left" vertical="center"/>
    </xf>
    <xf numFmtId="49" fontId="13" fillId="0" borderId="29" xfId="0" applyNumberFormat="1" applyFont="1" applyBorder="1" applyAlignment="1">
      <alignment horizontal="left" vertical="center" wrapText="1"/>
    </xf>
    <xf numFmtId="49" fontId="13" fillId="0" borderId="31" xfId="0" applyNumberFormat="1" applyFont="1" applyBorder="1" applyAlignment="1">
      <alignment horizontal="left" vertical="center"/>
    </xf>
    <xf numFmtId="49" fontId="13" fillId="0" borderId="30"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49" fontId="13" fillId="0" borderId="18" xfId="0" applyNumberFormat="1" applyFont="1" applyBorder="1" applyAlignment="1">
      <alignment horizontal="left" vertical="center" wrapText="1"/>
    </xf>
    <xf numFmtId="49" fontId="13" fillId="0" borderId="19" xfId="0" applyNumberFormat="1" applyFont="1" applyBorder="1" applyAlignment="1">
      <alignment horizontal="left" vertical="center"/>
    </xf>
    <xf numFmtId="49" fontId="13" fillId="0" borderId="17" xfId="0" applyNumberFormat="1" applyFont="1" applyBorder="1" applyAlignment="1">
      <alignment horizontal="left"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11" fillId="0" borderId="36" xfId="0" applyFont="1" applyBorder="1" applyAlignment="1">
      <alignment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11" xfId="0" applyFont="1" applyBorder="1" applyAlignment="1">
      <alignment vertical="center" shrinkToFit="1"/>
    </xf>
    <xf numFmtId="0" fontId="11" fillId="0" borderId="6" xfId="0" applyFont="1" applyBorder="1" applyAlignment="1">
      <alignment vertical="center" shrinkToFit="1"/>
    </xf>
    <xf numFmtId="0" fontId="11" fillId="0" borderId="12" xfId="0" applyFont="1" applyBorder="1" applyAlignment="1">
      <alignment vertical="center" shrinkToFit="1"/>
    </xf>
    <xf numFmtId="0" fontId="11" fillId="0" borderId="11"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12"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6" fillId="0" borderId="0" xfId="0" applyFont="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2"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3" xfId="0" applyFont="1" applyBorder="1" applyAlignment="1">
      <alignment horizontal="center"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AA114"/>
  <sheetViews>
    <sheetView showZeros="0" tabSelected="1" view="pageBreakPreview" topLeftCell="A13" zoomScaleNormal="100" zoomScaleSheetLayoutView="100" workbookViewId="0">
      <selection activeCell="B15" sqref="B15:U20"/>
    </sheetView>
  </sheetViews>
  <sheetFormatPr defaultColWidth="9" defaultRowHeight="18.75" customHeight="1" x14ac:dyDescent="0.15"/>
  <cols>
    <col min="1" max="1" width="2.375" style="44" customWidth="1"/>
    <col min="2" max="2" width="16.375" style="44" customWidth="1"/>
    <col min="3" max="21" width="5.75" style="44" customWidth="1"/>
    <col min="22" max="22" width="9" style="44"/>
    <col min="23" max="23" width="3.75" style="44" customWidth="1"/>
    <col min="24" max="24" width="48.75" style="44" hidden="1" customWidth="1"/>
    <col min="25" max="26" width="9" style="44"/>
    <col min="27" max="27" width="9" style="44" hidden="1" customWidth="1"/>
    <col min="28" max="16384" width="9" style="44"/>
  </cols>
  <sheetData>
    <row r="1" spans="1:24" ht="18.600000000000001" customHeight="1" x14ac:dyDescent="0.15">
      <c r="T1" s="140" t="s">
        <v>0</v>
      </c>
      <c r="U1" s="140"/>
      <c r="V1" s="72" t="s">
        <v>1</v>
      </c>
    </row>
    <row r="2" spans="1:24" ht="18.75" customHeight="1" x14ac:dyDescent="0.15">
      <c r="B2" s="70" t="s">
        <v>2</v>
      </c>
      <c r="C2" s="98" t="s">
        <v>143</v>
      </c>
      <c r="D2" s="99"/>
      <c r="E2" s="99"/>
      <c r="F2" s="99"/>
      <c r="G2" s="99"/>
      <c r="H2" s="99"/>
      <c r="I2" s="99"/>
      <c r="J2" s="100"/>
      <c r="K2" s="71"/>
      <c r="L2" s="85"/>
      <c r="M2" s="85"/>
      <c r="N2" s="85"/>
      <c r="O2" s="85"/>
      <c r="P2" s="85"/>
      <c r="Q2" s="85"/>
      <c r="R2" s="85"/>
      <c r="S2" s="85"/>
      <c r="T2" s="85"/>
      <c r="U2" s="85"/>
    </row>
    <row r="3" spans="1:24" ht="18.75" customHeight="1" x14ac:dyDescent="0.15">
      <c r="B3" s="70" t="s">
        <v>3</v>
      </c>
      <c r="C3" s="98" t="s">
        <v>144</v>
      </c>
      <c r="D3" s="99"/>
      <c r="E3" s="99"/>
      <c r="F3" s="99"/>
      <c r="G3" s="99"/>
      <c r="H3" s="99"/>
      <c r="I3" s="99"/>
      <c r="J3" s="100"/>
      <c r="K3" s="71"/>
      <c r="L3" s="85"/>
      <c r="M3" s="85"/>
      <c r="N3" s="85"/>
      <c r="O3" s="85"/>
      <c r="P3" s="85"/>
      <c r="Q3" s="85"/>
      <c r="R3" s="85"/>
      <c r="S3" s="85"/>
      <c r="T3" s="85"/>
      <c r="U3" s="85"/>
    </row>
    <row r="4" spans="1:24" ht="15" customHeight="1" x14ac:dyDescent="0.15">
      <c r="L4" s="71"/>
      <c r="M4" s="73"/>
      <c r="N4" s="73"/>
      <c r="O4" s="73"/>
      <c r="P4" s="73"/>
      <c r="Q4" s="73"/>
      <c r="R4" s="73"/>
      <c r="S4" s="73"/>
      <c r="T4" s="73"/>
      <c r="U4" s="73"/>
    </row>
    <row r="5" spans="1:24" ht="18" customHeight="1" x14ac:dyDescent="0.15">
      <c r="A5" s="141" t="s">
        <v>4</v>
      </c>
      <c r="B5" s="141"/>
      <c r="C5" s="141"/>
      <c r="D5" s="141"/>
      <c r="E5" s="141"/>
      <c r="F5" s="141"/>
      <c r="G5" s="141"/>
      <c r="H5" s="141"/>
      <c r="I5" s="141"/>
      <c r="J5" s="141"/>
      <c r="K5" s="141"/>
      <c r="L5" s="141"/>
      <c r="M5" s="141"/>
      <c r="N5" s="141"/>
      <c r="O5" s="141"/>
      <c r="P5" s="141"/>
      <c r="Q5" s="141"/>
      <c r="R5" s="141"/>
      <c r="S5" s="141"/>
      <c r="T5" s="141"/>
      <c r="U5" s="141"/>
    </row>
    <row r="6" spans="1:24" ht="15" customHeight="1" x14ac:dyDescent="0.15">
      <c r="B6" s="46"/>
      <c r="C6" s="46"/>
      <c r="D6" s="46"/>
      <c r="E6" s="46"/>
      <c r="F6" s="46"/>
      <c r="G6" s="46"/>
      <c r="H6" s="46"/>
      <c r="I6" s="46"/>
      <c r="J6" s="46"/>
      <c r="K6" s="46"/>
      <c r="L6" s="46"/>
      <c r="M6" s="46"/>
      <c r="N6" s="46"/>
      <c r="O6" s="46"/>
      <c r="P6" s="46"/>
      <c r="Q6" s="46"/>
      <c r="R6" s="46"/>
      <c r="S6" s="46"/>
      <c r="T6" s="46"/>
      <c r="U6" s="46"/>
    </row>
    <row r="7" spans="1:24" ht="15" customHeight="1" x14ac:dyDescent="0.15">
      <c r="A7" s="44" t="s">
        <v>5</v>
      </c>
      <c r="B7" s="46"/>
      <c r="C7" s="46"/>
      <c r="D7" s="46"/>
      <c r="E7" s="46"/>
      <c r="F7" s="72"/>
      <c r="G7" s="72"/>
      <c r="H7" s="72"/>
      <c r="I7" s="72"/>
      <c r="J7" s="72"/>
      <c r="K7" s="72"/>
      <c r="L7" s="154" t="s">
        <v>145</v>
      </c>
      <c r="M7" s="155"/>
      <c r="N7" s="155"/>
      <c r="O7" s="155"/>
      <c r="P7" s="155"/>
      <c r="Q7" s="155"/>
      <c r="R7" s="155"/>
      <c r="S7" s="155"/>
      <c r="T7" s="155"/>
      <c r="U7" s="156"/>
    </row>
    <row r="8" spans="1:24" ht="6" customHeight="1" x14ac:dyDescent="0.15">
      <c r="B8" s="46"/>
      <c r="C8" s="46"/>
      <c r="D8" s="46"/>
      <c r="E8" s="46"/>
      <c r="F8" s="46"/>
      <c r="G8" s="46"/>
      <c r="H8" s="46"/>
      <c r="I8" s="46"/>
      <c r="J8" s="46"/>
      <c r="K8" s="46"/>
      <c r="L8" s="46"/>
      <c r="M8" s="46"/>
      <c r="N8" s="46"/>
      <c r="O8" s="46"/>
      <c r="P8" s="46"/>
      <c r="Q8" s="46"/>
      <c r="R8" s="46"/>
      <c r="S8" s="46"/>
      <c r="T8" s="46"/>
      <c r="U8" s="46"/>
    </row>
    <row r="9" spans="1:24" ht="18" customHeight="1" x14ac:dyDescent="0.15">
      <c r="A9" s="44" t="s">
        <v>6</v>
      </c>
      <c r="C9" s="46"/>
      <c r="D9" s="46"/>
      <c r="K9" s="71"/>
      <c r="L9" s="72"/>
      <c r="M9" s="72"/>
      <c r="N9" s="72"/>
      <c r="O9" s="72"/>
      <c r="P9" s="72"/>
      <c r="Q9" s="72"/>
      <c r="R9" s="72"/>
      <c r="S9" s="72"/>
      <c r="T9" s="72"/>
      <c r="U9" s="72"/>
    </row>
    <row r="10" spans="1:24" ht="6" customHeight="1" x14ac:dyDescent="0.15">
      <c r="B10" s="46"/>
      <c r="C10" s="46"/>
      <c r="D10" s="46"/>
      <c r="E10" s="46"/>
      <c r="F10" s="46"/>
      <c r="G10" s="46"/>
      <c r="H10" s="46"/>
      <c r="I10" s="46"/>
      <c r="J10" s="46"/>
      <c r="K10" s="46"/>
      <c r="L10" s="48"/>
      <c r="M10" s="46"/>
      <c r="N10" s="46"/>
      <c r="O10" s="46"/>
      <c r="P10" s="46"/>
      <c r="Q10" s="46"/>
      <c r="R10" s="46"/>
      <c r="S10" s="46"/>
      <c r="T10" s="46"/>
      <c r="U10" s="46"/>
    </row>
    <row r="11" spans="1:24" ht="18" customHeight="1" x14ac:dyDescent="0.15">
      <c r="B11" s="168"/>
      <c r="C11" s="169"/>
      <c r="D11" s="169"/>
      <c r="E11" s="169"/>
      <c r="F11" s="169"/>
      <c r="G11" s="169"/>
      <c r="H11" s="169"/>
      <c r="I11" s="169"/>
      <c r="J11" s="169"/>
      <c r="K11" s="169"/>
      <c r="L11" s="169"/>
      <c r="M11" s="169"/>
      <c r="N11" s="169"/>
      <c r="O11" s="169"/>
      <c r="P11" s="169"/>
      <c r="Q11" s="169"/>
      <c r="R11" s="169"/>
      <c r="S11" s="169"/>
      <c r="T11" s="169"/>
      <c r="U11" s="170"/>
    </row>
    <row r="12" spans="1:24" ht="18" customHeight="1" x14ac:dyDescent="0.15">
      <c r="B12" s="171"/>
      <c r="C12" s="172"/>
      <c r="D12" s="172"/>
      <c r="E12" s="172"/>
      <c r="F12" s="172"/>
      <c r="G12" s="172"/>
      <c r="H12" s="172"/>
      <c r="I12" s="172"/>
      <c r="J12" s="172"/>
      <c r="K12" s="172"/>
      <c r="L12" s="172"/>
      <c r="M12" s="172"/>
      <c r="N12" s="172"/>
      <c r="O12" s="172"/>
      <c r="P12" s="172"/>
      <c r="Q12" s="172"/>
      <c r="R12" s="172"/>
      <c r="S12" s="172"/>
      <c r="T12" s="172"/>
      <c r="U12" s="173"/>
    </row>
    <row r="13" spans="1:24" ht="6" customHeight="1" x14ac:dyDescent="0.15">
      <c r="B13" s="46"/>
      <c r="C13" s="46"/>
      <c r="D13" s="46"/>
      <c r="E13" s="46"/>
      <c r="F13" s="46"/>
      <c r="G13" s="46"/>
      <c r="H13" s="46"/>
      <c r="I13" s="46"/>
      <c r="J13" s="46"/>
      <c r="K13" s="46"/>
      <c r="L13" s="48"/>
      <c r="M13" s="46"/>
      <c r="N13" s="46"/>
      <c r="O13" s="46"/>
      <c r="P13" s="46"/>
      <c r="Q13" s="46"/>
      <c r="R13" s="46"/>
      <c r="S13" s="46"/>
      <c r="T13" s="46"/>
      <c r="U13" s="46"/>
    </row>
    <row r="14" spans="1:24" ht="18" customHeight="1" x14ac:dyDescent="0.15">
      <c r="A14" s="44" t="s">
        <v>7</v>
      </c>
      <c r="B14" s="46"/>
      <c r="C14" s="46"/>
      <c r="D14" s="46"/>
      <c r="E14" s="71"/>
      <c r="F14" s="71"/>
      <c r="G14" s="71"/>
      <c r="H14" s="71"/>
      <c r="I14" s="71"/>
      <c r="J14" s="71"/>
      <c r="K14" s="71"/>
      <c r="L14" s="74"/>
      <c r="M14" s="74"/>
      <c r="N14" s="74"/>
      <c r="O14" s="74"/>
      <c r="P14" s="74"/>
      <c r="Q14" s="74"/>
      <c r="R14" s="74"/>
      <c r="S14" s="74"/>
      <c r="T14" s="74"/>
      <c r="U14" s="74"/>
    </row>
    <row r="15" spans="1:24" ht="43.5" customHeight="1" x14ac:dyDescent="0.15">
      <c r="B15" s="142" t="s">
        <v>231</v>
      </c>
      <c r="C15" s="143"/>
      <c r="D15" s="143"/>
      <c r="E15" s="143"/>
      <c r="F15" s="143"/>
      <c r="G15" s="143"/>
      <c r="H15" s="143"/>
      <c r="I15" s="143"/>
      <c r="J15" s="143"/>
      <c r="K15" s="143"/>
      <c r="L15" s="143"/>
      <c r="M15" s="143"/>
      <c r="N15" s="143"/>
      <c r="O15" s="143"/>
      <c r="P15" s="143"/>
      <c r="Q15" s="143"/>
      <c r="R15" s="143"/>
      <c r="S15" s="143"/>
      <c r="T15" s="143"/>
      <c r="U15" s="144"/>
      <c r="X15" s="44" t="s">
        <v>8</v>
      </c>
    </row>
    <row r="16" spans="1:24" ht="43.5" customHeight="1" x14ac:dyDescent="0.15">
      <c r="B16" s="145"/>
      <c r="C16" s="146"/>
      <c r="D16" s="146"/>
      <c r="E16" s="146"/>
      <c r="F16" s="146"/>
      <c r="G16" s="146"/>
      <c r="H16" s="146"/>
      <c r="I16" s="146"/>
      <c r="J16" s="146"/>
      <c r="K16" s="146"/>
      <c r="L16" s="146"/>
      <c r="M16" s="146"/>
      <c r="N16" s="146"/>
      <c r="O16" s="146"/>
      <c r="P16" s="146"/>
      <c r="Q16" s="146"/>
      <c r="R16" s="146"/>
      <c r="S16" s="146"/>
      <c r="T16" s="146"/>
      <c r="U16" s="147"/>
      <c r="X16" s="44" t="s">
        <v>9</v>
      </c>
    </row>
    <row r="17" spans="1:24" ht="43.5" customHeight="1" x14ac:dyDescent="0.15">
      <c r="B17" s="145"/>
      <c r="C17" s="146"/>
      <c r="D17" s="146"/>
      <c r="E17" s="146"/>
      <c r="F17" s="146"/>
      <c r="G17" s="146"/>
      <c r="H17" s="146"/>
      <c r="I17" s="146"/>
      <c r="J17" s="146"/>
      <c r="K17" s="146"/>
      <c r="L17" s="146"/>
      <c r="M17" s="146"/>
      <c r="N17" s="146"/>
      <c r="O17" s="146"/>
      <c r="P17" s="146"/>
      <c r="Q17" s="146"/>
      <c r="R17" s="146"/>
      <c r="S17" s="146"/>
      <c r="T17" s="146"/>
      <c r="U17" s="147"/>
      <c r="X17" s="44" t="s">
        <v>10</v>
      </c>
    </row>
    <row r="18" spans="1:24" ht="43.5" customHeight="1" x14ac:dyDescent="0.15">
      <c r="B18" s="145"/>
      <c r="C18" s="146"/>
      <c r="D18" s="146"/>
      <c r="E18" s="146"/>
      <c r="F18" s="146"/>
      <c r="G18" s="146"/>
      <c r="H18" s="146"/>
      <c r="I18" s="146"/>
      <c r="J18" s="146"/>
      <c r="K18" s="146"/>
      <c r="L18" s="146"/>
      <c r="M18" s="146"/>
      <c r="N18" s="146"/>
      <c r="O18" s="146"/>
      <c r="P18" s="146"/>
      <c r="Q18" s="146"/>
      <c r="R18" s="146"/>
      <c r="S18" s="146"/>
      <c r="T18" s="146"/>
      <c r="U18" s="147"/>
      <c r="X18" s="44" t="s">
        <v>11</v>
      </c>
    </row>
    <row r="19" spans="1:24" ht="43.5" customHeight="1" x14ac:dyDescent="0.15">
      <c r="B19" s="145"/>
      <c r="C19" s="146"/>
      <c r="D19" s="146"/>
      <c r="E19" s="146"/>
      <c r="F19" s="146"/>
      <c r="G19" s="146"/>
      <c r="H19" s="146"/>
      <c r="I19" s="146"/>
      <c r="J19" s="146"/>
      <c r="K19" s="146"/>
      <c r="L19" s="146"/>
      <c r="M19" s="146"/>
      <c r="N19" s="146"/>
      <c r="O19" s="146"/>
      <c r="P19" s="146"/>
      <c r="Q19" s="146"/>
      <c r="R19" s="146"/>
      <c r="S19" s="146"/>
      <c r="T19" s="146"/>
      <c r="U19" s="147"/>
    </row>
    <row r="20" spans="1:24" ht="43.5" customHeight="1" x14ac:dyDescent="0.15">
      <c r="B20" s="148"/>
      <c r="C20" s="149"/>
      <c r="D20" s="149"/>
      <c r="E20" s="149"/>
      <c r="F20" s="149"/>
      <c r="G20" s="149"/>
      <c r="H20" s="149"/>
      <c r="I20" s="149"/>
      <c r="J20" s="149"/>
      <c r="K20" s="149"/>
      <c r="L20" s="149"/>
      <c r="M20" s="149"/>
      <c r="N20" s="149"/>
      <c r="O20" s="149"/>
      <c r="P20" s="149"/>
      <c r="Q20" s="149"/>
      <c r="R20" s="149"/>
      <c r="S20" s="149"/>
      <c r="T20" s="149"/>
      <c r="U20" s="150"/>
    </row>
    <row r="21" spans="1:24" ht="7.5" customHeight="1" x14ac:dyDescent="0.15">
      <c r="B21" s="46" t="s">
        <v>66</v>
      </c>
      <c r="C21" s="46"/>
      <c r="D21" s="46"/>
      <c r="E21" s="46"/>
      <c r="F21" s="46"/>
      <c r="G21" s="46"/>
      <c r="H21" s="46"/>
      <c r="I21" s="46"/>
      <c r="J21" s="46"/>
      <c r="K21" s="46"/>
      <c r="L21" s="46"/>
      <c r="M21" s="46"/>
      <c r="N21" s="46"/>
      <c r="O21" s="46"/>
      <c r="P21" s="46"/>
      <c r="Q21" s="46"/>
      <c r="R21" s="46"/>
      <c r="S21" s="46"/>
      <c r="T21" s="46"/>
      <c r="U21" s="46"/>
    </row>
    <row r="22" spans="1:24" ht="19.899999999999999" customHeight="1" x14ac:dyDescent="0.15">
      <c r="B22" s="44" t="s">
        <v>12</v>
      </c>
      <c r="E22" s="75">
        <v>3</v>
      </c>
      <c r="F22" s="44" t="s">
        <v>13</v>
      </c>
      <c r="H22" s="76">
        <v>6</v>
      </c>
      <c r="I22" s="46" t="s">
        <v>14</v>
      </c>
      <c r="J22" s="46"/>
      <c r="K22" s="71"/>
      <c r="M22" s="71" t="s">
        <v>15</v>
      </c>
      <c r="N22" s="151" t="s">
        <v>9</v>
      </c>
      <c r="O22" s="152"/>
      <c r="P22" s="152"/>
      <c r="Q22" s="152"/>
      <c r="R22" s="152"/>
      <c r="S22" s="152"/>
      <c r="T22" s="152"/>
      <c r="U22" s="153"/>
    </row>
    <row r="23" spans="1:24" ht="7.5" customHeight="1" x14ac:dyDescent="0.15">
      <c r="B23" s="46"/>
      <c r="C23" s="46"/>
      <c r="D23" s="46"/>
      <c r="E23" s="46"/>
      <c r="F23" s="46"/>
      <c r="G23" s="46"/>
      <c r="H23" s="46"/>
      <c r="I23" s="46"/>
      <c r="J23" s="46"/>
      <c r="K23" s="46"/>
      <c r="L23" s="46"/>
      <c r="M23" s="46"/>
      <c r="N23" s="46"/>
      <c r="O23" s="46"/>
      <c r="P23" s="46"/>
      <c r="Q23" s="46"/>
      <c r="R23" s="46"/>
      <c r="S23" s="46"/>
      <c r="T23" s="46"/>
      <c r="U23" s="46"/>
    </row>
    <row r="24" spans="1:24" ht="18" customHeight="1" x14ac:dyDescent="0.15">
      <c r="A24" s="97" t="s">
        <v>16</v>
      </c>
      <c r="B24" s="97"/>
      <c r="C24" s="97"/>
      <c r="D24" s="97"/>
      <c r="E24" s="97"/>
      <c r="F24" s="97"/>
      <c r="G24" s="97"/>
      <c r="H24" s="97"/>
      <c r="I24" s="97"/>
      <c r="J24" s="97"/>
      <c r="K24" s="97"/>
      <c r="L24" s="97"/>
      <c r="M24" s="97"/>
      <c r="N24" s="97"/>
      <c r="O24" s="97"/>
      <c r="P24" s="97"/>
      <c r="Q24" s="97"/>
      <c r="R24" s="97"/>
      <c r="S24" s="97"/>
      <c r="T24" s="97"/>
      <c r="U24" s="97"/>
    </row>
    <row r="25" spans="1:24" ht="18" customHeight="1" x14ac:dyDescent="0.15">
      <c r="A25" s="97"/>
      <c r="B25" s="97"/>
      <c r="C25" s="97"/>
      <c r="D25" s="97"/>
      <c r="E25" s="97"/>
      <c r="F25" s="97"/>
      <c r="G25" s="97"/>
      <c r="H25" s="97"/>
      <c r="I25" s="97"/>
      <c r="J25" s="97"/>
      <c r="K25" s="97"/>
      <c r="L25" s="97"/>
      <c r="M25" s="97"/>
      <c r="N25" s="97"/>
      <c r="O25" s="97"/>
      <c r="P25" s="97"/>
      <c r="Q25" s="97"/>
      <c r="R25" s="97"/>
      <c r="S25" s="97"/>
      <c r="T25" s="97"/>
      <c r="U25" s="97"/>
    </row>
    <row r="26" spans="1:24" ht="18" customHeight="1" x14ac:dyDescent="0.15">
      <c r="B26" s="98" t="s">
        <v>17</v>
      </c>
      <c r="C26" s="99"/>
      <c r="D26" s="99"/>
      <c r="E26" s="99"/>
      <c r="F26" s="100"/>
      <c r="G26" s="77" t="s">
        <v>18</v>
      </c>
      <c r="H26" s="78" t="s">
        <v>19</v>
      </c>
      <c r="I26" s="79" t="s">
        <v>20</v>
      </c>
      <c r="J26" s="79" t="s">
        <v>21</v>
      </c>
      <c r="K26" s="98" t="s">
        <v>17</v>
      </c>
      <c r="L26" s="99"/>
      <c r="M26" s="99"/>
      <c r="N26" s="99"/>
      <c r="O26" s="99"/>
      <c r="P26" s="99"/>
      <c r="Q26" s="100"/>
      <c r="R26" s="77" t="s">
        <v>18</v>
      </c>
      <c r="S26" s="78" t="s">
        <v>19</v>
      </c>
      <c r="T26" s="79" t="s">
        <v>20</v>
      </c>
      <c r="U26" s="79" t="s">
        <v>21</v>
      </c>
    </row>
    <row r="27" spans="1:24" ht="18" customHeight="1" x14ac:dyDescent="0.15">
      <c r="B27" s="120" t="s">
        <v>146</v>
      </c>
      <c r="C27" s="110"/>
      <c r="D27" s="110"/>
      <c r="E27" s="110"/>
      <c r="F27" s="111"/>
      <c r="G27" s="69">
        <v>2</v>
      </c>
      <c r="H27" s="69" t="s">
        <v>158</v>
      </c>
      <c r="I27" s="69" t="s">
        <v>158</v>
      </c>
      <c r="J27" s="69" t="s">
        <v>158</v>
      </c>
      <c r="K27" s="101" t="s">
        <v>215</v>
      </c>
      <c r="L27" s="102"/>
      <c r="M27" s="102"/>
      <c r="N27" s="102"/>
      <c r="O27" s="102"/>
      <c r="P27" s="102"/>
      <c r="Q27" s="103"/>
      <c r="R27" s="80">
        <v>2</v>
      </c>
      <c r="S27" s="80"/>
      <c r="T27" s="80" t="s">
        <v>158</v>
      </c>
      <c r="U27" s="80"/>
    </row>
    <row r="28" spans="1:24" ht="18" customHeight="1" x14ac:dyDescent="0.15">
      <c r="B28" s="106" t="s">
        <v>149</v>
      </c>
      <c r="C28" s="104"/>
      <c r="D28" s="104"/>
      <c r="E28" s="104"/>
      <c r="F28" s="105"/>
      <c r="G28" s="68">
        <v>2</v>
      </c>
      <c r="H28" s="68"/>
      <c r="I28" s="68" t="s">
        <v>158</v>
      </c>
      <c r="J28" s="68"/>
      <c r="K28" s="106"/>
      <c r="L28" s="104"/>
      <c r="M28" s="104"/>
      <c r="N28" s="104"/>
      <c r="O28" s="104"/>
      <c r="P28" s="104"/>
      <c r="Q28" s="105"/>
      <c r="R28" s="68"/>
      <c r="S28" s="68"/>
      <c r="T28" s="68"/>
      <c r="U28" s="68"/>
    </row>
    <row r="29" spans="1:24" ht="18" customHeight="1" x14ac:dyDescent="0.15">
      <c r="B29" s="106" t="s">
        <v>150</v>
      </c>
      <c r="C29" s="104"/>
      <c r="D29" s="104"/>
      <c r="E29" s="104"/>
      <c r="F29" s="105"/>
      <c r="G29" s="68">
        <v>2</v>
      </c>
      <c r="H29" s="68"/>
      <c r="I29" s="68" t="s">
        <v>158</v>
      </c>
      <c r="J29" s="68"/>
      <c r="K29" s="106"/>
      <c r="L29" s="104"/>
      <c r="M29" s="104"/>
      <c r="N29" s="104"/>
      <c r="O29" s="104"/>
      <c r="P29" s="104"/>
      <c r="Q29" s="105"/>
      <c r="R29" s="68"/>
      <c r="S29" s="68"/>
      <c r="T29" s="68"/>
      <c r="U29" s="68"/>
    </row>
    <row r="30" spans="1:24" ht="18" customHeight="1" x14ac:dyDescent="0.15">
      <c r="B30" s="106" t="s">
        <v>177</v>
      </c>
      <c r="C30" s="104"/>
      <c r="D30" s="104"/>
      <c r="E30" s="104"/>
      <c r="F30" s="105"/>
      <c r="G30" s="68">
        <v>2</v>
      </c>
      <c r="H30" s="68"/>
      <c r="I30" s="68"/>
      <c r="J30" s="68" t="s">
        <v>158</v>
      </c>
      <c r="K30" s="106"/>
      <c r="L30" s="104"/>
      <c r="M30" s="104"/>
      <c r="N30" s="104"/>
      <c r="O30" s="104"/>
      <c r="P30" s="104"/>
      <c r="Q30" s="105"/>
      <c r="R30" s="68"/>
      <c r="S30" s="68"/>
      <c r="T30" s="68"/>
      <c r="U30" s="68"/>
    </row>
    <row r="31" spans="1:24" ht="18" customHeight="1" x14ac:dyDescent="0.15">
      <c r="B31" s="106" t="s">
        <v>206</v>
      </c>
      <c r="C31" s="104"/>
      <c r="D31" s="104"/>
      <c r="E31" s="104"/>
      <c r="F31" s="105"/>
      <c r="G31" s="68">
        <v>2</v>
      </c>
      <c r="H31" s="68"/>
      <c r="I31" s="68" t="s">
        <v>158</v>
      </c>
      <c r="J31" s="68"/>
      <c r="K31" s="106"/>
      <c r="L31" s="104"/>
      <c r="M31" s="104"/>
      <c r="N31" s="104"/>
      <c r="O31" s="104"/>
      <c r="P31" s="104"/>
      <c r="Q31" s="105"/>
      <c r="R31" s="68"/>
      <c r="S31" s="68"/>
      <c r="T31" s="68"/>
      <c r="U31" s="68"/>
    </row>
    <row r="32" spans="1:24" ht="18" customHeight="1" x14ac:dyDescent="0.15">
      <c r="A32" s="46"/>
      <c r="B32" s="106" t="s">
        <v>216</v>
      </c>
      <c r="C32" s="104"/>
      <c r="D32" s="104"/>
      <c r="E32" s="104"/>
      <c r="F32" s="105"/>
      <c r="G32" s="68">
        <v>2</v>
      </c>
      <c r="H32" s="68"/>
      <c r="I32" s="68" t="s">
        <v>158</v>
      </c>
      <c r="J32" s="68"/>
      <c r="K32" s="106"/>
      <c r="L32" s="104"/>
      <c r="M32" s="104"/>
      <c r="N32" s="104"/>
      <c r="O32" s="104"/>
      <c r="P32" s="104"/>
      <c r="Q32" s="105"/>
      <c r="R32" s="68"/>
      <c r="S32" s="68"/>
      <c r="T32" s="68"/>
      <c r="U32" s="68"/>
    </row>
    <row r="33" spans="1:21" ht="18" customHeight="1" x14ac:dyDescent="0.15">
      <c r="A33" s="46"/>
      <c r="B33" s="107" t="s">
        <v>210</v>
      </c>
      <c r="C33" s="108"/>
      <c r="D33" s="108"/>
      <c r="E33" s="108"/>
      <c r="F33" s="109"/>
      <c r="G33" s="81">
        <v>2</v>
      </c>
      <c r="H33" s="81"/>
      <c r="I33" s="81" t="s">
        <v>158</v>
      </c>
      <c r="J33" s="81" t="s">
        <v>158</v>
      </c>
      <c r="K33" s="107"/>
      <c r="L33" s="108"/>
      <c r="M33" s="108"/>
      <c r="N33" s="108"/>
      <c r="O33" s="108"/>
      <c r="P33" s="108"/>
      <c r="Q33" s="109"/>
      <c r="R33" s="82"/>
      <c r="S33" s="82"/>
      <c r="T33" s="81"/>
      <c r="U33" s="81"/>
    </row>
    <row r="34" spans="1:21" ht="7.5" customHeight="1" x14ac:dyDescent="0.15">
      <c r="A34" s="46"/>
      <c r="B34" s="85"/>
      <c r="C34" s="85"/>
      <c r="D34" s="85"/>
      <c r="E34" s="46"/>
      <c r="F34" s="46"/>
      <c r="G34" s="46"/>
      <c r="H34" s="46"/>
      <c r="I34" s="85"/>
      <c r="J34" s="85"/>
      <c r="K34" s="85"/>
      <c r="L34" s="85"/>
      <c r="M34" s="85"/>
      <c r="N34" s="85"/>
      <c r="O34" s="85"/>
      <c r="P34" s="85"/>
      <c r="Q34" s="85"/>
      <c r="R34" s="85"/>
      <c r="S34" s="85"/>
      <c r="T34" s="85"/>
      <c r="U34" s="46"/>
    </row>
    <row r="35" spans="1:21" ht="18" customHeight="1" x14ac:dyDescent="0.15">
      <c r="A35" s="97" t="s">
        <v>22</v>
      </c>
      <c r="B35" s="97"/>
      <c r="C35" s="97"/>
      <c r="D35" s="97"/>
      <c r="E35" s="97"/>
      <c r="F35" s="97"/>
      <c r="G35" s="97"/>
      <c r="H35" s="97"/>
      <c r="I35" s="97"/>
      <c r="J35" s="97"/>
      <c r="K35" s="97"/>
      <c r="L35" s="97"/>
      <c r="M35" s="97"/>
      <c r="N35" s="97"/>
      <c r="O35" s="97"/>
      <c r="P35" s="97"/>
      <c r="Q35" s="97"/>
      <c r="R35" s="97"/>
      <c r="S35" s="97"/>
      <c r="T35" s="97"/>
      <c r="U35" s="97"/>
    </row>
    <row r="36" spans="1:21" ht="18" customHeight="1" x14ac:dyDescent="0.15">
      <c r="A36" s="97"/>
      <c r="B36" s="97"/>
      <c r="C36" s="97"/>
      <c r="D36" s="97"/>
      <c r="E36" s="97"/>
      <c r="F36" s="97"/>
      <c r="G36" s="97"/>
      <c r="H36" s="97"/>
      <c r="I36" s="97"/>
      <c r="J36" s="97"/>
      <c r="K36" s="97"/>
      <c r="L36" s="97"/>
      <c r="M36" s="97"/>
      <c r="N36" s="97"/>
      <c r="O36" s="97"/>
      <c r="P36" s="97"/>
      <c r="Q36" s="97"/>
      <c r="R36" s="97"/>
      <c r="S36" s="97"/>
      <c r="T36" s="97"/>
      <c r="U36" s="97"/>
    </row>
    <row r="37" spans="1:21" ht="18" customHeight="1" x14ac:dyDescent="0.15">
      <c r="B37" s="98" t="s">
        <v>17</v>
      </c>
      <c r="C37" s="99"/>
      <c r="D37" s="99"/>
      <c r="E37" s="99"/>
      <c r="F37" s="100"/>
      <c r="G37" s="77" t="s">
        <v>18</v>
      </c>
      <c r="H37" s="78" t="s">
        <v>19</v>
      </c>
      <c r="I37" s="79" t="s">
        <v>23</v>
      </c>
      <c r="J37" s="79" t="s">
        <v>24</v>
      </c>
      <c r="K37" s="98" t="s">
        <v>17</v>
      </c>
      <c r="L37" s="99"/>
      <c r="M37" s="99"/>
      <c r="N37" s="99"/>
      <c r="O37" s="99"/>
      <c r="P37" s="99"/>
      <c r="Q37" s="100"/>
      <c r="R37" s="77" t="s">
        <v>18</v>
      </c>
      <c r="S37" s="78" t="s">
        <v>19</v>
      </c>
      <c r="T37" s="79" t="s">
        <v>23</v>
      </c>
      <c r="U37" s="79" t="s">
        <v>24</v>
      </c>
    </row>
    <row r="38" spans="1:21" ht="18" customHeight="1" x14ac:dyDescent="0.15">
      <c r="B38" s="120" t="s">
        <v>155</v>
      </c>
      <c r="C38" s="110"/>
      <c r="D38" s="110"/>
      <c r="E38" s="110"/>
      <c r="F38" s="111"/>
      <c r="G38" s="69">
        <v>2</v>
      </c>
      <c r="H38" s="69" t="s">
        <v>158</v>
      </c>
      <c r="I38" s="69" t="s">
        <v>158</v>
      </c>
      <c r="J38" s="69" t="s">
        <v>158</v>
      </c>
      <c r="K38" s="120"/>
      <c r="L38" s="110"/>
      <c r="M38" s="110"/>
      <c r="N38" s="110"/>
      <c r="O38" s="110"/>
      <c r="P38" s="110"/>
      <c r="Q38" s="111"/>
      <c r="R38" s="69"/>
      <c r="S38" s="69"/>
      <c r="T38" s="69"/>
      <c r="U38" s="69"/>
    </row>
    <row r="39" spans="1:21" ht="18" customHeight="1" x14ac:dyDescent="0.15">
      <c r="B39" s="106" t="s">
        <v>177</v>
      </c>
      <c r="C39" s="104"/>
      <c r="D39" s="104"/>
      <c r="E39" s="104"/>
      <c r="F39" s="105"/>
      <c r="G39" s="68">
        <v>2</v>
      </c>
      <c r="H39" s="68"/>
      <c r="I39" s="68"/>
      <c r="J39" s="68" t="s">
        <v>158</v>
      </c>
      <c r="K39" s="106"/>
      <c r="L39" s="104"/>
      <c r="M39" s="104"/>
      <c r="N39" s="104"/>
      <c r="O39" s="104"/>
      <c r="P39" s="104"/>
      <c r="Q39" s="105"/>
      <c r="R39" s="68"/>
      <c r="S39" s="68"/>
      <c r="T39" s="68"/>
      <c r="U39" s="68"/>
    </row>
    <row r="40" spans="1:21" ht="18" customHeight="1" x14ac:dyDescent="0.15">
      <c r="B40" s="106" t="s">
        <v>206</v>
      </c>
      <c r="C40" s="104"/>
      <c r="D40" s="104"/>
      <c r="E40" s="104"/>
      <c r="F40" s="105"/>
      <c r="G40" s="68">
        <v>2</v>
      </c>
      <c r="H40" s="68"/>
      <c r="I40" s="68" t="s">
        <v>158</v>
      </c>
      <c r="J40" s="68" t="s">
        <v>158</v>
      </c>
      <c r="K40" s="106"/>
      <c r="L40" s="104"/>
      <c r="M40" s="104"/>
      <c r="N40" s="104"/>
      <c r="O40" s="104"/>
      <c r="P40" s="104"/>
      <c r="Q40" s="105"/>
      <c r="R40" s="68"/>
      <c r="S40" s="68"/>
      <c r="T40" s="68"/>
      <c r="U40" s="68"/>
    </row>
    <row r="41" spans="1:21" ht="18" customHeight="1" x14ac:dyDescent="0.15">
      <c r="B41" s="106" t="s">
        <v>216</v>
      </c>
      <c r="C41" s="104"/>
      <c r="D41" s="104"/>
      <c r="E41" s="104"/>
      <c r="F41" s="105"/>
      <c r="G41" s="68">
        <v>2</v>
      </c>
      <c r="H41" s="68"/>
      <c r="I41" s="68" t="s">
        <v>158</v>
      </c>
      <c r="J41" s="68"/>
      <c r="K41" s="106"/>
      <c r="L41" s="104"/>
      <c r="M41" s="104"/>
      <c r="N41" s="104"/>
      <c r="O41" s="104"/>
      <c r="P41" s="104"/>
      <c r="Q41" s="105"/>
      <c r="R41" s="68"/>
      <c r="S41" s="68"/>
      <c r="T41" s="68"/>
      <c r="U41" s="68"/>
    </row>
    <row r="42" spans="1:21" ht="18" customHeight="1" x14ac:dyDescent="0.15">
      <c r="B42" s="106" t="s">
        <v>217</v>
      </c>
      <c r="C42" s="104"/>
      <c r="D42" s="104"/>
      <c r="E42" s="104"/>
      <c r="F42" s="105"/>
      <c r="G42" s="68">
        <v>2</v>
      </c>
      <c r="H42" s="68"/>
      <c r="I42" s="68" t="s">
        <v>158</v>
      </c>
      <c r="J42" s="68"/>
      <c r="K42" s="106"/>
      <c r="L42" s="104"/>
      <c r="M42" s="104"/>
      <c r="N42" s="104"/>
      <c r="O42" s="104"/>
      <c r="P42" s="104"/>
      <c r="Q42" s="105"/>
      <c r="R42" s="68"/>
      <c r="S42" s="68"/>
      <c r="T42" s="68"/>
      <c r="U42" s="68"/>
    </row>
    <row r="43" spans="1:21" ht="18" customHeight="1" x14ac:dyDescent="0.15">
      <c r="B43" s="106"/>
      <c r="C43" s="104"/>
      <c r="D43" s="104"/>
      <c r="E43" s="104"/>
      <c r="F43" s="105"/>
      <c r="G43" s="68"/>
      <c r="H43" s="68"/>
      <c r="I43" s="68"/>
      <c r="J43" s="68"/>
      <c r="K43" s="106"/>
      <c r="L43" s="104"/>
      <c r="M43" s="104"/>
      <c r="N43" s="104"/>
      <c r="O43" s="104"/>
      <c r="P43" s="104"/>
      <c r="Q43" s="105"/>
      <c r="R43" s="68"/>
      <c r="S43" s="68"/>
      <c r="T43" s="68"/>
      <c r="U43" s="68"/>
    </row>
    <row r="44" spans="1:21" ht="18" customHeight="1" x14ac:dyDescent="0.15">
      <c r="B44" s="107"/>
      <c r="C44" s="108"/>
      <c r="D44" s="108"/>
      <c r="E44" s="108"/>
      <c r="F44" s="109"/>
      <c r="G44" s="82"/>
      <c r="H44" s="82"/>
      <c r="I44" s="81"/>
      <c r="J44" s="81"/>
      <c r="K44" s="107"/>
      <c r="L44" s="108"/>
      <c r="M44" s="108"/>
      <c r="N44" s="108"/>
      <c r="O44" s="108"/>
      <c r="P44" s="108"/>
      <c r="Q44" s="109"/>
      <c r="R44" s="82"/>
      <c r="S44" s="82"/>
      <c r="T44" s="81"/>
      <c r="U44" s="81"/>
    </row>
    <row r="45" spans="1:21" ht="7.5" customHeight="1" x14ac:dyDescent="0.15">
      <c r="A45" s="46"/>
      <c r="B45" s="85"/>
      <c r="C45" s="85"/>
      <c r="D45" s="85"/>
      <c r="E45" s="46"/>
      <c r="F45" s="46"/>
      <c r="G45" s="46"/>
      <c r="H45" s="46"/>
      <c r="I45" s="85"/>
      <c r="J45" s="85"/>
      <c r="K45" s="85"/>
      <c r="L45" s="85"/>
      <c r="M45" s="85"/>
      <c r="N45" s="85"/>
      <c r="O45" s="85"/>
      <c r="P45" s="85"/>
      <c r="Q45" s="85"/>
      <c r="R45" s="85"/>
      <c r="S45" s="85"/>
      <c r="T45" s="85"/>
      <c r="U45" s="46"/>
    </row>
    <row r="46" spans="1:21" ht="18" customHeight="1" x14ac:dyDescent="0.15">
      <c r="A46" s="97" t="s">
        <v>25</v>
      </c>
      <c r="B46" s="97"/>
      <c r="C46" s="97"/>
      <c r="D46" s="97"/>
      <c r="E46" s="97"/>
      <c r="F46" s="97"/>
      <c r="G46" s="97"/>
      <c r="H46" s="97"/>
      <c r="I46" s="97"/>
      <c r="J46" s="97"/>
      <c r="K46" s="97"/>
      <c r="L46" s="97"/>
      <c r="M46" s="97"/>
      <c r="N46" s="97"/>
      <c r="O46" s="97"/>
      <c r="P46" s="97"/>
      <c r="Q46" s="97"/>
      <c r="R46" s="97"/>
      <c r="S46" s="97"/>
      <c r="T46" s="97"/>
      <c r="U46" s="97"/>
    </row>
    <row r="47" spans="1:21" ht="18" customHeight="1" x14ac:dyDescent="0.15">
      <c r="A47" s="97"/>
      <c r="B47" s="97"/>
      <c r="C47" s="97"/>
      <c r="D47" s="97"/>
      <c r="E47" s="97"/>
      <c r="F47" s="97"/>
      <c r="G47" s="97"/>
      <c r="H47" s="97"/>
      <c r="I47" s="97"/>
      <c r="J47" s="97"/>
      <c r="K47" s="97"/>
      <c r="L47" s="97"/>
      <c r="M47" s="97"/>
      <c r="N47" s="97"/>
      <c r="O47" s="97"/>
      <c r="P47" s="97"/>
      <c r="Q47" s="97"/>
      <c r="R47" s="97"/>
      <c r="S47" s="97"/>
      <c r="T47" s="97"/>
      <c r="U47" s="97"/>
    </row>
    <row r="48" spans="1:21" ht="18" customHeight="1" x14ac:dyDescent="0.15">
      <c r="B48" s="98" t="s">
        <v>17</v>
      </c>
      <c r="C48" s="99"/>
      <c r="D48" s="99"/>
      <c r="E48" s="99"/>
      <c r="F48" s="100"/>
      <c r="G48" s="77" t="s">
        <v>18</v>
      </c>
      <c r="H48" s="78" t="s">
        <v>19</v>
      </c>
      <c r="I48" s="79" t="s">
        <v>26</v>
      </c>
      <c r="J48" s="79" t="s">
        <v>27</v>
      </c>
      <c r="K48" s="98" t="s">
        <v>17</v>
      </c>
      <c r="L48" s="99"/>
      <c r="M48" s="99"/>
      <c r="N48" s="99"/>
      <c r="O48" s="99"/>
      <c r="P48" s="99"/>
      <c r="Q48" s="100"/>
      <c r="R48" s="77" t="s">
        <v>18</v>
      </c>
      <c r="S48" s="78" t="s">
        <v>19</v>
      </c>
      <c r="T48" s="79" t="s">
        <v>26</v>
      </c>
      <c r="U48" s="79" t="s">
        <v>27</v>
      </c>
    </row>
    <row r="49" spans="1:21" ht="18" customHeight="1" x14ac:dyDescent="0.15">
      <c r="A49" s="46"/>
      <c r="B49" s="120" t="s">
        <v>146</v>
      </c>
      <c r="C49" s="110"/>
      <c r="D49" s="110"/>
      <c r="E49" s="110"/>
      <c r="F49" s="111"/>
      <c r="G49" s="69">
        <v>2</v>
      </c>
      <c r="H49" s="69" t="s">
        <v>158</v>
      </c>
      <c r="I49" s="69" t="s">
        <v>158</v>
      </c>
      <c r="J49" s="69" t="s">
        <v>158</v>
      </c>
      <c r="K49" s="120" t="s">
        <v>206</v>
      </c>
      <c r="L49" s="110"/>
      <c r="M49" s="110"/>
      <c r="N49" s="110"/>
      <c r="O49" s="110"/>
      <c r="P49" s="110"/>
      <c r="Q49" s="111"/>
      <c r="R49" s="69">
        <v>2</v>
      </c>
      <c r="S49" s="69"/>
      <c r="T49" s="69" t="s">
        <v>158</v>
      </c>
      <c r="U49" s="69" t="s">
        <v>158</v>
      </c>
    </row>
    <row r="50" spans="1:21" ht="18" customHeight="1" x14ac:dyDescent="0.15">
      <c r="A50" s="46"/>
      <c r="B50" s="106" t="s">
        <v>147</v>
      </c>
      <c r="C50" s="104"/>
      <c r="D50" s="104"/>
      <c r="E50" s="104"/>
      <c r="F50" s="105"/>
      <c r="G50" s="68">
        <v>2</v>
      </c>
      <c r="H50" s="68"/>
      <c r="I50" s="68" t="s">
        <v>158</v>
      </c>
      <c r="J50" s="68"/>
      <c r="K50" s="106"/>
      <c r="L50" s="104"/>
      <c r="M50" s="104"/>
      <c r="N50" s="104"/>
      <c r="O50" s="104"/>
      <c r="P50" s="104"/>
      <c r="Q50" s="105"/>
      <c r="R50" s="68"/>
      <c r="S50" s="68"/>
      <c r="T50" s="68"/>
      <c r="U50" s="68"/>
    </row>
    <row r="51" spans="1:21" ht="18" customHeight="1" x14ac:dyDescent="0.15">
      <c r="A51" s="46"/>
      <c r="B51" s="106" t="s">
        <v>150</v>
      </c>
      <c r="C51" s="104"/>
      <c r="D51" s="104"/>
      <c r="E51" s="104"/>
      <c r="F51" s="105"/>
      <c r="G51" s="68">
        <v>2</v>
      </c>
      <c r="H51" s="68"/>
      <c r="I51" s="68" t="s">
        <v>158</v>
      </c>
      <c r="J51" s="68"/>
      <c r="K51" s="112"/>
      <c r="L51" s="112"/>
      <c r="M51" s="112"/>
      <c r="N51" s="112"/>
      <c r="O51" s="112"/>
      <c r="P51" s="112"/>
      <c r="Q51" s="113"/>
      <c r="R51" s="86"/>
      <c r="S51" s="68"/>
      <c r="T51" s="68"/>
      <c r="U51" s="68"/>
    </row>
    <row r="52" spans="1:21" ht="18" customHeight="1" x14ac:dyDescent="0.15">
      <c r="A52" s="46"/>
      <c r="B52" s="106" t="s">
        <v>177</v>
      </c>
      <c r="C52" s="104"/>
      <c r="D52" s="104"/>
      <c r="E52" s="104"/>
      <c r="F52" s="105"/>
      <c r="G52" s="68">
        <v>2</v>
      </c>
      <c r="H52" s="68"/>
      <c r="I52" s="68"/>
      <c r="J52" s="68" t="s">
        <v>158</v>
      </c>
      <c r="K52" s="104"/>
      <c r="L52" s="104"/>
      <c r="M52" s="104"/>
      <c r="N52" s="104"/>
      <c r="O52" s="104"/>
      <c r="P52" s="104"/>
      <c r="Q52" s="105"/>
      <c r="R52" s="86"/>
      <c r="S52" s="68"/>
      <c r="T52" s="68"/>
      <c r="U52" s="68"/>
    </row>
    <row r="53" spans="1:21" ht="18" customHeight="1" x14ac:dyDescent="0.15">
      <c r="A53" s="46"/>
      <c r="B53" s="106" t="s">
        <v>218</v>
      </c>
      <c r="C53" s="104"/>
      <c r="D53" s="104"/>
      <c r="E53" s="104"/>
      <c r="F53" s="105"/>
      <c r="G53" s="68">
        <v>2</v>
      </c>
      <c r="H53" s="68"/>
      <c r="I53" s="68"/>
      <c r="J53" s="68" t="s">
        <v>158</v>
      </c>
      <c r="K53" s="104"/>
      <c r="L53" s="104"/>
      <c r="M53" s="104"/>
      <c r="N53" s="104"/>
      <c r="O53" s="104"/>
      <c r="P53" s="104"/>
      <c r="Q53" s="105"/>
      <c r="R53" s="68"/>
      <c r="S53" s="68"/>
      <c r="T53" s="68"/>
      <c r="U53" s="68"/>
    </row>
    <row r="54" spans="1:21" ht="18" customHeight="1" x14ac:dyDescent="0.15">
      <c r="A54" s="46"/>
      <c r="B54" s="106" t="s">
        <v>220</v>
      </c>
      <c r="C54" s="104"/>
      <c r="D54" s="104"/>
      <c r="E54" s="104"/>
      <c r="F54" s="105"/>
      <c r="G54" s="68">
        <v>2</v>
      </c>
      <c r="H54" s="68"/>
      <c r="I54" s="68"/>
      <c r="J54" s="68" t="s">
        <v>158</v>
      </c>
      <c r="K54" s="106"/>
      <c r="L54" s="104"/>
      <c r="M54" s="104"/>
      <c r="N54" s="104"/>
      <c r="O54" s="104"/>
      <c r="P54" s="104"/>
      <c r="Q54" s="105"/>
      <c r="R54" s="68"/>
      <c r="S54" s="68"/>
      <c r="T54" s="68"/>
      <c r="U54" s="68"/>
    </row>
    <row r="55" spans="1:21" ht="18" customHeight="1" x14ac:dyDescent="0.15">
      <c r="A55" s="46"/>
      <c r="B55" s="94" t="s">
        <v>221</v>
      </c>
      <c r="C55" s="95"/>
      <c r="D55" s="95"/>
      <c r="E55" s="95"/>
      <c r="F55" s="96"/>
      <c r="G55" s="81">
        <v>2</v>
      </c>
      <c r="H55" s="81"/>
      <c r="I55" s="81"/>
      <c r="J55" s="81" t="s">
        <v>158</v>
      </c>
      <c r="K55" s="94"/>
      <c r="L55" s="95"/>
      <c r="M55" s="95"/>
      <c r="N55" s="95"/>
      <c r="O55" s="95"/>
      <c r="P55" s="95"/>
      <c r="Q55" s="96"/>
      <c r="R55" s="81"/>
      <c r="S55" s="81"/>
      <c r="T55" s="81"/>
      <c r="U55" s="81"/>
    </row>
    <row r="56" spans="1:21" ht="7.5" customHeight="1" x14ac:dyDescent="0.15">
      <c r="B56" s="83"/>
      <c r="C56" s="83"/>
      <c r="D56" s="83"/>
      <c r="E56" s="83"/>
      <c r="F56" s="83"/>
      <c r="G56" s="83"/>
      <c r="H56" s="83"/>
      <c r="I56" s="83"/>
      <c r="J56" s="83"/>
      <c r="K56" s="83"/>
      <c r="L56" s="83"/>
      <c r="M56" s="83"/>
      <c r="N56" s="83"/>
      <c r="O56" s="83"/>
      <c r="P56" s="83"/>
      <c r="Q56" s="83"/>
      <c r="R56" s="83"/>
      <c r="S56" s="83"/>
      <c r="T56" s="83"/>
    </row>
    <row r="57" spans="1:21" ht="18" customHeight="1" x14ac:dyDescent="0.15">
      <c r="A57" s="97" t="s">
        <v>28</v>
      </c>
      <c r="B57" s="97"/>
      <c r="C57" s="97"/>
      <c r="D57" s="97"/>
      <c r="E57" s="97"/>
      <c r="F57" s="97"/>
      <c r="G57" s="97"/>
      <c r="H57" s="97"/>
      <c r="I57" s="97"/>
      <c r="J57" s="97"/>
      <c r="K57" s="97"/>
      <c r="L57" s="97"/>
      <c r="M57" s="97"/>
      <c r="N57" s="97"/>
      <c r="O57" s="97"/>
      <c r="P57" s="97"/>
      <c r="Q57" s="97"/>
      <c r="R57" s="97"/>
      <c r="S57" s="97"/>
      <c r="T57" s="97"/>
      <c r="U57" s="97"/>
    </row>
    <row r="58" spans="1:21" ht="18" customHeight="1" x14ac:dyDescent="0.15">
      <c r="A58" s="97"/>
      <c r="B58" s="97"/>
      <c r="C58" s="97"/>
      <c r="D58" s="97"/>
      <c r="E58" s="97"/>
      <c r="F58" s="97"/>
      <c r="G58" s="97"/>
      <c r="H58" s="97"/>
      <c r="I58" s="97"/>
      <c r="J58" s="97"/>
      <c r="K58" s="97"/>
      <c r="L58" s="97"/>
      <c r="M58" s="97"/>
      <c r="N58" s="97"/>
      <c r="O58" s="97"/>
      <c r="P58" s="97"/>
      <c r="Q58" s="97"/>
      <c r="R58" s="97"/>
      <c r="S58" s="97"/>
      <c r="T58" s="97"/>
      <c r="U58" s="97"/>
    </row>
    <row r="59" spans="1:21" ht="18" customHeight="1" x14ac:dyDescent="0.15">
      <c r="B59" s="98" t="s">
        <v>17</v>
      </c>
      <c r="C59" s="99"/>
      <c r="D59" s="99"/>
      <c r="E59" s="99"/>
      <c r="F59" s="100"/>
      <c r="G59" s="77" t="s">
        <v>18</v>
      </c>
      <c r="H59" s="78" t="s">
        <v>19</v>
      </c>
      <c r="I59" s="79" t="s">
        <v>29</v>
      </c>
      <c r="J59" s="79" t="s">
        <v>30</v>
      </c>
      <c r="K59" s="98" t="s">
        <v>17</v>
      </c>
      <c r="L59" s="99"/>
      <c r="M59" s="99"/>
      <c r="N59" s="99"/>
      <c r="O59" s="99"/>
      <c r="P59" s="99"/>
      <c r="Q59" s="100"/>
      <c r="R59" s="77" t="s">
        <v>18</v>
      </c>
      <c r="S59" s="78" t="s">
        <v>19</v>
      </c>
      <c r="T59" s="79" t="s">
        <v>29</v>
      </c>
      <c r="U59" s="79" t="s">
        <v>30</v>
      </c>
    </row>
    <row r="60" spans="1:21" ht="18" customHeight="1" x14ac:dyDescent="0.15">
      <c r="A60" s="46"/>
      <c r="B60" s="120" t="s">
        <v>155</v>
      </c>
      <c r="C60" s="110"/>
      <c r="D60" s="110"/>
      <c r="E60" s="110"/>
      <c r="F60" s="111"/>
      <c r="G60" s="69">
        <v>2</v>
      </c>
      <c r="H60" s="69" t="s">
        <v>158</v>
      </c>
      <c r="I60" s="69" t="s">
        <v>158</v>
      </c>
      <c r="J60" s="69" t="s">
        <v>158</v>
      </c>
      <c r="K60" s="101" t="s">
        <v>222</v>
      </c>
      <c r="L60" s="102"/>
      <c r="M60" s="102"/>
      <c r="N60" s="102"/>
      <c r="O60" s="102"/>
      <c r="P60" s="102"/>
      <c r="Q60" s="103"/>
      <c r="R60" s="80">
        <v>2</v>
      </c>
      <c r="S60" s="80"/>
      <c r="T60" s="80" t="s">
        <v>158</v>
      </c>
      <c r="U60" s="80"/>
    </row>
    <row r="61" spans="1:21" ht="18" customHeight="1" x14ac:dyDescent="0.15">
      <c r="A61" s="46"/>
      <c r="B61" s="106" t="s">
        <v>179</v>
      </c>
      <c r="C61" s="104"/>
      <c r="D61" s="104"/>
      <c r="E61" s="104"/>
      <c r="F61" s="105"/>
      <c r="G61" s="68">
        <v>2</v>
      </c>
      <c r="H61" s="68"/>
      <c r="I61" s="68" t="s">
        <v>158</v>
      </c>
      <c r="J61" s="68"/>
      <c r="K61" s="106" t="s">
        <v>219</v>
      </c>
      <c r="L61" s="104"/>
      <c r="M61" s="104"/>
      <c r="N61" s="104"/>
      <c r="O61" s="104"/>
      <c r="P61" s="104"/>
      <c r="Q61" s="105"/>
      <c r="R61" s="68">
        <v>2</v>
      </c>
      <c r="S61" s="68"/>
      <c r="T61" s="68" t="s">
        <v>158</v>
      </c>
      <c r="U61" s="68"/>
    </row>
    <row r="62" spans="1:21" ht="18" customHeight="1" x14ac:dyDescent="0.15">
      <c r="A62" s="46"/>
      <c r="B62" s="106" t="s">
        <v>152</v>
      </c>
      <c r="C62" s="104"/>
      <c r="D62" s="104"/>
      <c r="E62" s="104"/>
      <c r="F62" s="105"/>
      <c r="G62" s="68">
        <v>2</v>
      </c>
      <c r="H62" s="68"/>
      <c r="I62" s="68" t="s">
        <v>158</v>
      </c>
      <c r="J62" s="68" t="s">
        <v>158</v>
      </c>
      <c r="K62" s="174" t="s">
        <v>215</v>
      </c>
      <c r="L62" s="175"/>
      <c r="M62" s="175"/>
      <c r="N62" s="175"/>
      <c r="O62" s="175"/>
      <c r="P62" s="175"/>
      <c r="Q62" s="176"/>
      <c r="R62" s="84">
        <v>2</v>
      </c>
      <c r="S62" s="84"/>
      <c r="T62" s="84" t="s">
        <v>158</v>
      </c>
      <c r="U62" s="84" t="s">
        <v>158</v>
      </c>
    </row>
    <row r="63" spans="1:21" ht="18" customHeight="1" x14ac:dyDescent="0.15">
      <c r="A63" s="46"/>
      <c r="B63" s="121" t="s">
        <v>153</v>
      </c>
      <c r="C63" s="122"/>
      <c r="D63" s="122"/>
      <c r="E63" s="122"/>
      <c r="F63" s="123"/>
      <c r="G63" s="68">
        <v>2</v>
      </c>
      <c r="H63" s="68"/>
      <c r="I63" s="68" t="s">
        <v>158</v>
      </c>
      <c r="J63" s="68" t="s">
        <v>158</v>
      </c>
      <c r="K63" s="106"/>
      <c r="L63" s="104"/>
      <c r="M63" s="104"/>
      <c r="N63" s="104"/>
      <c r="O63" s="104"/>
      <c r="P63" s="104"/>
      <c r="Q63" s="105"/>
      <c r="R63" s="68"/>
      <c r="S63" s="68"/>
      <c r="T63" s="68"/>
      <c r="U63" s="68"/>
    </row>
    <row r="64" spans="1:21" ht="18" customHeight="1" x14ac:dyDescent="0.15">
      <c r="A64" s="46"/>
      <c r="B64" s="106" t="s">
        <v>218</v>
      </c>
      <c r="C64" s="104"/>
      <c r="D64" s="104"/>
      <c r="E64" s="104"/>
      <c r="F64" s="105"/>
      <c r="G64" s="68">
        <v>2</v>
      </c>
      <c r="H64" s="68"/>
      <c r="I64" s="68" t="s">
        <v>158</v>
      </c>
      <c r="J64" s="68"/>
      <c r="K64" s="106"/>
      <c r="L64" s="104"/>
      <c r="M64" s="104"/>
      <c r="N64" s="104"/>
      <c r="O64" s="104"/>
      <c r="P64" s="104"/>
      <c r="Q64" s="105"/>
      <c r="R64" s="68"/>
      <c r="S64" s="68"/>
      <c r="T64" s="68"/>
      <c r="U64" s="68"/>
    </row>
    <row r="65" spans="1:21" ht="18" customHeight="1" x14ac:dyDescent="0.15">
      <c r="A65" s="46"/>
      <c r="B65" s="106" t="s">
        <v>221</v>
      </c>
      <c r="C65" s="104"/>
      <c r="D65" s="104"/>
      <c r="E65" s="104"/>
      <c r="F65" s="105"/>
      <c r="G65" s="68">
        <v>2</v>
      </c>
      <c r="H65" s="68"/>
      <c r="I65" s="68" t="s">
        <v>158</v>
      </c>
      <c r="J65" s="68"/>
      <c r="K65" s="106"/>
      <c r="L65" s="104"/>
      <c r="M65" s="104"/>
      <c r="N65" s="104"/>
      <c r="O65" s="104"/>
      <c r="P65" s="104"/>
      <c r="Q65" s="105"/>
      <c r="R65" s="68"/>
      <c r="S65" s="68"/>
      <c r="T65" s="68"/>
      <c r="U65" s="68"/>
    </row>
    <row r="66" spans="1:21" ht="18" customHeight="1" x14ac:dyDescent="0.15">
      <c r="A66" s="46"/>
      <c r="B66" s="107" t="s">
        <v>206</v>
      </c>
      <c r="C66" s="108"/>
      <c r="D66" s="108"/>
      <c r="E66" s="108"/>
      <c r="F66" s="109"/>
      <c r="G66" s="81">
        <v>2</v>
      </c>
      <c r="H66" s="81"/>
      <c r="I66" s="81" t="s">
        <v>158</v>
      </c>
      <c r="J66" s="81"/>
      <c r="K66" s="107"/>
      <c r="L66" s="108"/>
      <c r="M66" s="108"/>
      <c r="N66" s="108"/>
      <c r="O66" s="108"/>
      <c r="P66" s="108"/>
      <c r="Q66" s="109"/>
      <c r="R66" s="82"/>
      <c r="S66" s="82"/>
      <c r="T66" s="81"/>
      <c r="U66" s="81"/>
    </row>
    <row r="67" spans="1:21" ht="7.5" customHeight="1" x14ac:dyDescent="0.15">
      <c r="B67" s="83"/>
      <c r="C67" s="83"/>
      <c r="D67" s="83"/>
      <c r="E67" s="83"/>
      <c r="F67" s="83"/>
      <c r="G67" s="83"/>
      <c r="H67" s="83"/>
      <c r="I67" s="83"/>
      <c r="J67" s="83"/>
      <c r="K67" s="83"/>
      <c r="L67" s="83"/>
      <c r="M67" s="83"/>
      <c r="N67" s="83"/>
      <c r="O67" s="83"/>
      <c r="P67" s="83"/>
      <c r="Q67" s="83"/>
      <c r="R67" s="83"/>
      <c r="S67" s="83"/>
      <c r="T67" s="83"/>
    </row>
    <row r="68" spans="1:21" ht="18" customHeight="1" x14ac:dyDescent="0.15">
      <c r="A68" s="97" t="s">
        <v>31</v>
      </c>
      <c r="B68" s="97"/>
      <c r="C68" s="97"/>
      <c r="D68" s="97"/>
      <c r="E68" s="97"/>
      <c r="F68" s="97"/>
      <c r="G68" s="97"/>
      <c r="H68" s="97"/>
      <c r="I68" s="97"/>
      <c r="J68" s="97"/>
      <c r="K68" s="97"/>
      <c r="L68" s="97"/>
      <c r="M68" s="97"/>
      <c r="N68" s="97"/>
      <c r="O68" s="97"/>
      <c r="P68" s="97"/>
      <c r="Q68" s="97"/>
      <c r="R68" s="97"/>
      <c r="S68" s="97"/>
      <c r="T68" s="97"/>
      <c r="U68" s="97"/>
    </row>
    <row r="69" spans="1:21" ht="18" customHeight="1" x14ac:dyDescent="0.15">
      <c r="A69" s="97"/>
      <c r="B69" s="97"/>
      <c r="C69" s="97"/>
      <c r="D69" s="97"/>
      <c r="E69" s="97"/>
      <c r="F69" s="97"/>
      <c r="G69" s="97"/>
      <c r="H69" s="97"/>
      <c r="I69" s="97"/>
      <c r="J69" s="97"/>
      <c r="K69" s="97"/>
      <c r="L69" s="97"/>
      <c r="M69" s="97"/>
      <c r="N69" s="97"/>
      <c r="O69" s="97"/>
      <c r="P69" s="97"/>
      <c r="Q69" s="97"/>
      <c r="R69" s="97"/>
      <c r="S69" s="97"/>
      <c r="T69" s="97"/>
      <c r="U69" s="97"/>
    </row>
    <row r="70" spans="1:21" ht="18" customHeight="1" x14ac:dyDescent="0.15">
      <c r="B70" s="98" t="s">
        <v>17</v>
      </c>
      <c r="C70" s="99"/>
      <c r="D70" s="99"/>
      <c r="E70" s="99"/>
      <c r="F70" s="77" t="s">
        <v>18</v>
      </c>
      <c r="G70" s="78" t="s">
        <v>19</v>
      </c>
      <c r="H70" s="79" t="s">
        <v>32</v>
      </c>
      <c r="I70" s="79" t="s">
        <v>33</v>
      </c>
      <c r="J70" s="79" t="s">
        <v>34</v>
      </c>
      <c r="K70" s="98" t="s">
        <v>17</v>
      </c>
      <c r="L70" s="99"/>
      <c r="M70" s="99"/>
      <c r="N70" s="99"/>
      <c r="O70" s="99"/>
      <c r="P70" s="100"/>
      <c r="Q70" s="77" t="s">
        <v>18</v>
      </c>
      <c r="R70" s="78" t="s">
        <v>19</v>
      </c>
      <c r="S70" s="79" t="s">
        <v>32</v>
      </c>
      <c r="T70" s="79" t="s">
        <v>33</v>
      </c>
      <c r="U70" s="79" t="s">
        <v>34</v>
      </c>
    </row>
    <row r="71" spans="1:21" ht="18" customHeight="1" x14ac:dyDescent="0.15">
      <c r="A71" s="46"/>
      <c r="B71" s="101" t="s">
        <v>155</v>
      </c>
      <c r="C71" s="102"/>
      <c r="D71" s="102"/>
      <c r="E71" s="102"/>
      <c r="F71" s="80">
        <v>2</v>
      </c>
      <c r="G71" s="80" t="s">
        <v>158</v>
      </c>
      <c r="H71" s="80" t="s">
        <v>158</v>
      </c>
      <c r="I71" s="80" t="s">
        <v>158</v>
      </c>
      <c r="J71" s="80" t="s">
        <v>158</v>
      </c>
      <c r="K71" s="101" t="s">
        <v>203</v>
      </c>
      <c r="L71" s="102"/>
      <c r="M71" s="102"/>
      <c r="N71" s="102"/>
      <c r="O71" s="102"/>
      <c r="P71" s="103"/>
      <c r="Q71" s="80">
        <v>2</v>
      </c>
      <c r="R71" s="80"/>
      <c r="S71" s="80" t="s">
        <v>158</v>
      </c>
      <c r="U71" s="80"/>
    </row>
    <row r="72" spans="1:21" ht="18" customHeight="1" x14ac:dyDescent="0.15">
      <c r="A72" s="46"/>
      <c r="B72" s="106" t="s">
        <v>147</v>
      </c>
      <c r="C72" s="104"/>
      <c r="D72" s="104"/>
      <c r="E72" s="104"/>
      <c r="F72" s="68">
        <v>2</v>
      </c>
      <c r="G72" s="68"/>
      <c r="H72" s="68"/>
      <c r="I72" s="68" t="s">
        <v>158</v>
      </c>
      <c r="J72" s="68" t="s">
        <v>158</v>
      </c>
      <c r="K72" s="106" t="s">
        <v>204</v>
      </c>
      <c r="L72" s="104"/>
      <c r="M72" s="104"/>
      <c r="N72" s="104"/>
      <c r="O72" s="104"/>
      <c r="P72" s="105"/>
      <c r="Q72" s="68">
        <v>2</v>
      </c>
      <c r="R72" s="68"/>
      <c r="S72" s="68" t="s">
        <v>158</v>
      </c>
      <c r="T72" s="68" t="s">
        <v>158</v>
      </c>
      <c r="U72" s="68" t="s">
        <v>158</v>
      </c>
    </row>
    <row r="73" spans="1:21" ht="18" customHeight="1" x14ac:dyDescent="0.15">
      <c r="A73" s="46"/>
      <c r="B73" s="106" t="s">
        <v>148</v>
      </c>
      <c r="C73" s="104"/>
      <c r="D73" s="104"/>
      <c r="E73" s="104"/>
      <c r="F73" s="68">
        <v>2</v>
      </c>
      <c r="G73" s="68"/>
      <c r="H73" s="68" t="s">
        <v>158</v>
      </c>
      <c r="I73" s="68"/>
      <c r="J73" s="68"/>
      <c r="K73" s="106" t="s">
        <v>197</v>
      </c>
      <c r="L73" s="104"/>
      <c r="M73" s="104"/>
      <c r="N73" s="104"/>
      <c r="O73" s="104"/>
      <c r="P73" s="105"/>
      <c r="Q73" s="68">
        <v>2</v>
      </c>
      <c r="R73" s="68"/>
      <c r="S73" s="68" t="s">
        <v>158</v>
      </c>
      <c r="T73" s="68" t="s">
        <v>158</v>
      </c>
      <c r="U73" s="68"/>
    </row>
    <row r="74" spans="1:21" ht="18" customHeight="1" x14ac:dyDescent="0.15">
      <c r="A74" s="46"/>
      <c r="B74" s="106" t="s">
        <v>151</v>
      </c>
      <c r="C74" s="104"/>
      <c r="D74" s="104"/>
      <c r="E74" s="104"/>
      <c r="F74" s="68">
        <v>2</v>
      </c>
      <c r="G74" s="68"/>
      <c r="H74" s="68" t="s">
        <v>158</v>
      </c>
      <c r="I74" s="68"/>
      <c r="J74" s="68"/>
      <c r="K74" s="106" t="s">
        <v>198</v>
      </c>
      <c r="L74" s="104"/>
      <c r="M74" s="104"/>
      <c r="N74" s="104"/>
      <c r="O74" s="104"/>
      <c r="P74" s="105"/>
      <c r="Q74" s="68">
        <v>2</v>
      </c>
      <c r="R74" s="68"/>
      <c r="S74" s="68"/>
      <c r="T74" s="68"/>
      <c r="U74" s="68" t="s">
        <v>158</v>
      </c>
    </row>
    <row r="75" spans="1:21" ht="18" customHeight="1" x14ac:dyDescent="0.15">
      <c r="A75" s="46"/>
      <c r="B75" s="106" t="s">
        <v>152</v>
      </c>
      <c r="C75" s="104"/>
      <c r="D75" s="104"/>
      <c r="E75" s="104"/>
      <c r="F75" s="68">
        <v>2</v>
      </c>
      <c r="G75" s="68"/>
      <c r="H75" s="68" t="s">
        <v>158</v>
      </c>
      <c r="I75" s="68" t="s">
        <v>158</v>
      </c>
      <c r="J75" s="68" t="s">
        <v>158</v>
      </c>
      <c r="K75" s="106" t="s">
        <v>199</v>
      </c>
      <c r="L75" s="104"/>
      <c r="M75" s="104"/>
      <c r="N75" s="104"/>
      <c r="O75" s="104"/>
      <c r="P75" s="105"/>
      <c r="Q75" s="68">
        <v>2</v>
      </c>
      <c r="R75" s="68"/>
      <c r="S75" s="68"/>
      <c r="T75" s="68"/>
      <c r="U75" s="68" t="s">
        <v>158</v>
      </c>
    </row>
    <row r="76" spans="1:21" ht="18" customHeight="1" x14ac:dyDescent="0.15">
      <c r="A76" s="46"/>
      <c r="B76" s="106" t="s">
        <v>153</v>
      </c>
      <c r="C76" s="104"/>
      <c r="D76" s="104"/>
      <c r="E76" s="104"/>
      <c r="F76" s="68">
        <v>2</v>
      </c>
      <c r="G76" s="68"/>
      <c r="H76" s="68" t="s">
        <v>158</v>
      </c>
      <c r="I76" s="68" t="s">
        <v>158</v>
      </c>
      <c r="J76" s="68" t="s">
        <v>158</v>
      </c>
      <c r="K76" s="106" t="s">
        <v>201</v>
      </c>
      <c r="L76" s="104"/>
      <c r="M76" s="104"/>
      <c r="N76" s="104"/>
      <c r="O76" s="104"/>
      <c r="P76" s="105"/>
      <c r="Q76" s="68">
        <v>2</v>
      </c>
      <c r="R76" s="68"/>
      <c r="S76" s="68"/>
      <c r="T76" s="68"/>
      <c r="U76" s="68" t="s">
        <v>158</v>
      </c>
    </row>
    <row r="77" spans="1:21" ht="18" customHeight="1" x14ac:dyDescent="0.15">
      <c r="A77" s="46"/>
      <c r="B77" s="106" t="s">
        <v>154</v>
      </c>
      <c r="C77" s="104"/>
      <c r="D77" s="104"/>
      <c r="E77" s="104"/>
      <c r="F77" s="68">
        <v>2</v>
      </c>
      <c r="G77" s="68"/>
      <c r="H77" s="68" t="s">
        <v>158</v>
      </c>
      <c r="I77" s="68"/>
      <c r="J77" s="68"/>
      <c r="K77" s="106" t="s">
        <v>205</v>
      </c>
      <c r="L77" s="104"/>
      <c r="M77" s="104"/>
      <c r="N77" s="104"/>
      <c r="O77" s="104"/>
      <c r="P77" s="105"/>
      <c r="Q77" s="68">
        <v>2</v>
      </c>
      <c r="R77" s="68"/>
      <c r="S77" s="68" t="s">
        <v>158</v>
      </c>
      <c r="T77" s="68"/>
      <c r="U77" s="68"/>
    </row>
    <row r="78" spans="1:21" ht="18" customHeight="1" x14ac:dyDescent="0.15">
      <c r="A78" s="46"/>
      <c r="B78" s="177" t="s">
        <v>202</v>
      </c>
      <c r="C78" s="178"/>
      <c r="D78" s="178"/>
      <c r="E78" s="178"/>
      <c r="F78" s="82">
        <v>2</v>
      </c>
      <c r="G78" s="82"/>
      <c r="H78" s="82" t="s">
        <v>158</v>
      </c>
      <c r="I78" s="82" t="s">
        <v>158</v>
      </c>
      <c r="J78" s="82"/>
      <c r="K78" s="107"/>
      <c r="L78" s="108"/>
      <c r="M78" s="108"/>
      <c r="N78" s="108"/>
      <c r="O78" s="108"/>
      <c r="P78" s="109"/>
      <c r="Q78" s="82"/>
      <c r="R78" s="82"/>
      <c r="S78" s="82"/>
      <c r="T78" s="82"/>
      <c r="U78" s="82"/>
    </row>
    <row r="79" spans="1:21" ht="7.5" customHeight="1" x14ac:dyDescent="0.15">
      <c r="B79" s="83"/>
      <c r="C79" s="83"/>
      <c r="D79" s="83"/>
      <c r="E79" s="83"/>
      <c r="F79" s="83"/>
      <c r="G79" s="83"/>
      <c r="H79" s="83"/>
      <c r="I79" s="83"/>
      <c r="J79" s="83"/>
      <c r="K79" s="83"/>
      <c r="L79" s="83"/>
      <c r="M79" s="83"/>
      <c r="N79" s="83"/>
      <c r="O79" s="83"/>
      <c r="P79" s="83"/>
      <c r="Q79" s="83"/>
      <c r="R79" s="83"/>
      <c r="S79" s="83"/>
      <c r="T79" s="83"/>
    </row>
    <row r="80" spans="1:21" ht="18" customHeight="1" x14ac:dyDescent="0.15">
      <c r="A80" s="44" t="s">
        <v>35</v>
      </c>
      <c r="I80" s="46"/>
      <c r="J80" s="46"/>
      <c r="K80" s="46"/>
      <c r="L80" s="46"/>
      <c r="M80" s="46"/>
      <c r="N80" s="46"/>
      <c r="O80" s="46"/>
      <c r="P80" s="46"/>
      <c r="Q80" s="46"/>
      <c r="R80" s="46"/>
      <c r="S80" s="46"/>
      <c r="T80" s="46"/>
      <c r="U80" s="46"/>
    </row>
    <row r="81" spans="1:27" ht="18" customHeight="1" x14ac:dyDescent="0.15">
      <c r="B81" s="98" t="s">
        <v>17</v>
      </c>
      <c r="C81" s="99"/>
      <c r="D81" s="99"/>
      <c r="E81" s="99"/>
      <c r="F81" s="100"/>
      <c r="G81" s="98" t="s">
        <v>36</v>
      </c>
      <c r="H81" s="99"/>
      <c r="I81" s="99"/>
      <c r="J81" s="100"/>
      <c r="K81" s="98" t="s">
        <v>17</v>
      </c>
      <c r="L81" s="99"/>
      <c r="M81" s="99"/>
      <c r="N81" s="99"/>
      <c r="O81" s="99"/>
      <c r="P81" s="99"/>
      <c r="Q81" s="100"/>
      <c r="R81" s="98" t="s">
        <v>36</v>
      </c>
      <c r="S81" s="99"/>
      <c r="T81" s="99"/>
      <c r="U81" s="100"/>
      <c r="AA81" s="44" t="s">
        <v>37</v>
      </c>
    </row>
    <row r="82" spans="1:27" ht="18" customHeight="1" x14ac:dyDescent="0.15">
      <c r="A82" s="46"/>
      <c r="B82" s="120" t="s">
        <v>148</v>
      </c>
      <c r="C82" s="110"/>
      <c r="D82" s="110"/>
      <c r="E82" s="110"/>
      <c r="F82" s="111"/>
      <c r="G82" s="117" t="s">
        <v>156</v>
      </c>
      <c r="H82" s="118"/>
      <c r="I82" s="118"/>
      <c r="J82" s="119"/>
      <c r="K82" s="114" t="s">
        <v>194</v>
      </c>
      <c r="L82" s="115"/>
      <c r="M82" s="115"/>
      <c r="N82" s="115"/>
      <c r="O82" s="115"/>
      <c r="P82" s="115"/>
      <c r="Q82" s="116"/>
      <c r="R82" s="117" t="s">
        <v>157</v>
      </c>
      <c r="S82" s="118"/>
      <c r="T82" s="118"/>
      <c r="U82" s="119"/>
      <c r="AA82" s="44" t="s">
        <v>38</v>
      </c>
    </row>
    <row r="83" spans="1:27" ht="18" customHeight="1" x14ac:dyDescent="0.15">
      <c r="A83" s="46"/>
      <c r="B83" s="106" t="s">
        <v>148</v>
      </c>
      <c r="C83" s="104"/>
      <c r="D83" s="104"/>
      <c r="E83" s="104"/>
      <c r="F83" s="105"/>
      <c r="G83" s="127" t="s">
        <v>157</v>
      </c>
      <c r="H83" s="128"/>
      <c r="I83" s="128"/>
      <c r="J83" s="129"/>
      <c r="K83" s="106" t="s">
        <v>196</v>
      </c>
      <c r="L83" s="104"/>
      <c r="M83" s="104"/>
      <c r="N83" s="104"/>
      <c r="O83" s="104"/>
      <c r="P83" s="104"/>
      <c r="Q83" s="105"/>
      <c r="R83" s="127" t="s">
        <v>157</v>
      </c>
      <c r="S83" s="128"/>
      <c r="T83" s="128"/>
      <c r="U83" s="129"/>
      <c r="AA83" s="44" t="s">
        <v>39</v>
      </c>
    </row>
    <row r="84" spans="1:27" ht="18" customHeight="1" x14ac:dyDescent="0.15">
      <c r="A84" s="46"/>
      <c r="B84" s="106" t="s">
        <v>149</v>
      </c>
      <c r="C84" s="104"/>
      <c r="D84" s="104"/>
      <c r="E84" s="104"/>
      <c r="F84" s="105"/>
      <c r="G84" s="127" t="s">
        <v>156</v>
      </c>
      <c r="H84" s="128"/>
      <c r="I84" s="128"/>
      <c r="J84" s="129"/>
      <c r="K84" s="114" t="s">
        <v>206</v>
      </c>
      <c r="L84" s="115"/>
      <c r="M84" s="115"/>
      <c r="N84" s="115"/>
      <c r="O84" s="115"/>
      <c r="P84" s="115"/>
      <c r="Q84" s="116"/>
      <c r="R84" s="137" t="s">
        <v>200</v>
      </c>
      <c r="S84" s="138"/>
      <c r="T84" s="138"/>
      <c r="U84" s="139"/>
      <c r="AA84" s="44" t="s">
        <v>40</v>
      </c>
    </row>
    <row r="85" spans="1:27" ht="18" customHeight="1" x14ac:dyDescent="0.15">
      <c r="A85" s="46"/>
      <c r="B85" s="106" t="s">
        <v>149</v>
      </c>
      <c r="C85" s="104"/>
      <c r="D85" s="104"/>
      <c r="E85" s="104"/>
      <c r="F85" s="105"/>
      <c r="G85" s="127" t="s">
        <v>157</v>
      </c>
      <c r="H85" s="128"/>
      <c r="I85" s="128"/>
      <c r="J85" s="129"/>
      <c r="K85" s="106" t="s">
        <v>206</v>
      </c>
      <c r="L85" s="104"/>
      <c r="M85" s="104"/>
      <c r="N85" s="104"/>
      <c r="O85" s="104"/>
      <c r="P85" s="104"/>
      <c r="Q85" s="105"/>
      <c r="R85" s="127" t="s">
        <v>157</v>
      </c>
      <c r="S85" s="128"/>
      <c r="T85" s="128"/>
      <c r="U85" s="129"/>
      <c r="AA85" s="44" t="s">
        <v>41</v>
      </c>
    </row>
    <row r="86" spans="1:27" ht="18" customHeight="1" x14ac:dyDescent="0.15">
      <c r="A86" s="46"/>
      <c r="B86" s="106" t="s">
        <v>151</v>
      </c>
      <c r="C86" s="104"/>
      <c r="D86" s="104"/>
      <c r="E86" s="104"/>
      <c r="F86" s="105"/>
      <c r="G86" s="127" t="s">
        <v>156</v>
      </c>
      <c r="H86" s="128"/>
      <c r="I86" s="128"/>
      <c r="J86" s="129"/>
      <c r="K86" s="106" t="s">
        <v>201</v>
      </c>
      <c r="L86" s="104"/>
      <c r="M86" s="104"/>
      <c r="N86" s="104"/>
      <c r="O86" s="104"/>
      <c r="P86" s="104"/>
      <c r="Q86" s="105"/>
      <c r="R86" s="127" t="s">
        <v>200</v>
      </c>
      <c r="S86" s="128"/>
      <c r="T86" s="128"/>
      <c r="U86" s="129"/>
      <c r="AA86" s="44" t="s">
        <v>42</v>
      </c>
    </row>
    <row r="87" spans="1:27" ht="18" customHeight="1" x14ac:dyDescent="0.15">
      <c r="A87" s="46"/>
      <c r="B87" s="106" t="s">
        <v>152</v>
      </c>
      <c r="C87" s="104"/>
      <c r="D87" s="104"/>
      <c r="E87" s="104"/>
      <c r="F87" s="105"/>
      <c r="G87" s="127" t="s">
        <v>157</v>
      </c>
      <c r="H87" s="128"/>
      <c r="I87" s="128"/>
      <c r="J87" s="129"/>
      <c r="K87" s="106" t="s">
        <v>208</v>
      </c>
      <c r="L87" s="104"/>
      <c r="M87" s="104"/>
      <c r="N87" s="104"/>
      <c r="O87" s="104"/>
      <c r="P87" s="104"/>
      <c r="Q87" s="105"/>
      <c r="R87" s="127" t="s">
        <v>41</v>
      </c>
      <c r="S87" s="128"/>
      <c r="T87" s="128"/>
      <c r="U87" s="129"/>
      <c r="AA87" s="44" t="s">
        <v>43</v>
      </c>
    </row>
    <row r="88" spans="1:27" ht="18" customHeight="1" x14ac:dyDescent="0.15">
      <c r="A88" s="46"/>
      <c r="B88" s="130" t="s">
        <v>153</v>
      </c>
      <c r="C88" s="112"/>
      <c r="D88" s="112"/>
      <c r="E88" s="112"/>
      <c r="F88" s="113"/>
      <c r="G88" s="131" t="s">
        <v>156</v>
      </c>
      <c r="H88" s="132"/>
      <c r="I88" s="132"/>
      <c r="J88" s="133"/>
      <c r="K88" s="106" t="s">
        <v>223</v>
      </c>
      <c r="L88" s="104"/>
      <c r="M88" s="104"/>
      <c r="N88" s="104"/>
      <c r="O88" s="104"/>
      <c r="P88" s="104"/>
      <c r="Q88" s="105"/>
      <c r="R88" s="127" t="s">
        <v>156</v>
      </c>
      <c r="S88" s="128"/>
      <c r="T88" s="128"/>
      <c r="U88" s="129"/>
      <c r="AA88" s="44" t="s">
        <v>44</v>
      </c>
    </row>
    <row r="89" spans="1:27" ht="18" customHeight="1" x14ac:dyDescent="0.15">
      <c r="A89" s="46"/>
      <c r="B89" s="130" t="s">
        <v>224</v>
      </c>
      <c r="C89" s="112"/>
      <c r="D89" s="112"/>
      <c r="E89" s="112"/>
      <c r="F89" s="113"/>
      <c r="G89" s="137" t="s">
        <v>157</v>
      </c>
      <c r="H89" s="138"/>
      <c r="I89" s="138"/>
      <c r="J89" s="139"/>
      <c r="K89" s="106" t="s">
        <v>225</v>
      </c>
      <c r="L89" s="104"/>
      <c r="M89" s="104"/>
      <c r="N89" s="104"/>
      <c r="O89" s="104"/>
      <c r="P89" s="104"/>
      <c r="Q89" s="105"/>
      <c r="R89" s="127" t="s">
        <v>156</v>
      </c>
      <c r="S89" s="128"/>
      <c r="T89" s="128"/>
      <c r="U89" s="129"/>
      <c r="AA89" s="44" t="s">
        <v>44</v>
      </c>
    </row>
    <row r="90" spans="1:27" ht="18" customHeight="1" x14ac:dyDescent="0.15">
      <c r="A90" s="46"/>
      <c r="B90" s="106" t="s">
        <v>195</v>
      </c>
      <c r="C90" s="104"/>
      <c r="D90" s="104"/>
      <c r="E90" s="104"/>
      <c r="F90" s="105"/>
      <c r="G90" s="127" t="s">
        <v>157</v>
      </c>
      <c r="H90" s="128"/>
      <c r="I90" s="128"/>
      <c r="J90" s="129"/>
      <c r="K90" s="106" t="s">
        <v>210</v>
      </c>
      <c r="L90" s="104"/>
      <c r="M90" s="104"/>
      <c r="N90" s="104"/>
      <c r="O90" s="104"/>
      <c r="P90" s="104"/>
      <c r="Q90" s="105"/>
      <c r="R90" s="127" t="s">
        <v>41</v>
      </c>
      <c r="S90" s="128"/>
      <c r="T90" s="128"/>
      <c r="U90" s="129"/>
      <c r="AA90" s="44" t="s">
        <v>44</v>
      </c>
    </row>
    <row r="91" spans="1:27" ht="18" customHeight="1" x14ac:dyDescent="0.15">
      <c r="A91" s="46"/>
      <c r="B91" s="106" t="s">
        <v>207</v>
      </c>
      <c r="C91" s="104"/>
      <c r="D91" s="104"/>
      <c r="E91" s="104"/>
      <c r="F91" s="105"/>
      <c r="G91" s="127" t="s">
        <v>156</v>
      </c>
      <c r="H91" s="128"/>
      <c r="I91" s="128"/>
      <c r="J91" s="129"/>
      <c r="K91" s="106" t="s">
        <v>210</v>
      </c>
      <c r="L91" s="104"/>
      <c r="M91" s="104"/>
      <c r="N91" s="104"/>
      <c r="O91" s="104"/>
      <c r="P91" s="104"/>
      <c r="Q91" s="105"/>
      <c r="R91" s="127" t="s">
        <v>42</v>
      </c>
      <c r="S91" s="128"/>
      <c r="T91" s="128"/>
      <c r="U91" s="129"/>
      <c r="AA91" s="44" t="s">
        <v>44</v>
      </c>
    </row>
    <row r="92" spans="1:27" ht="18" customHeight="1" x14ac:dyDescent="0.15">
      <c r="A92" s="46"/>
      <c r="B92" s="106" t="s">
        <v>209</v>
      </c>
      <c r="C92" s="104"/>
      <c r="D92" s="104"/>
      <c r="E92" s="104"/>
      <c r="F92" s="105"/>
      <c r="G92" s="127" t="s">
        <v>166</v>
      </c>
      <c r="H92" s="128"/>
      <c r="I92" s="128"/>
      <c r="J92" s="129"/>
      <c r="K92" s="106" t="s">
        <v>210</v>
      </c>
      <c r="L92" s="104"/>
      <c r="M92" s="104"/>
      <c r="N92" s="104"/>
      <c r="O92" s="104"/>
      <c r="P92" s="104"/>
      <c r="Q92" s="105"/>
      <c r="R92" s="127" t="s">
        <v>211</v>
      </c>
      <c r="S92" s="128"/>
      <c r="T92" s="128"/>
      <c r="U92" s="129"/>
      <c r="AA92" s="44" t="s">
        <v>44</v>
      </c>
    </row>
    <row r="93" spans="1:27" ht="18" customHeight="1" x14ac:dyDescent="0.15">
      <c r="A93" s="46"/>
      <c r="B93" s="106" t="s">
        <v>212</v>
      </c>
      <c r="C93" s="104"/>
      <c r="D93" s="104"/>
      <c r="E93" s="104"/>
      <c r="F93" s="105"/>
      <c r="G93" s="127" t="s">
        <v>157</v>
      </c>
      <c r="H93" s="128"/>
      <c r="I93" s="128"/>
      <c r="J93" s="129"/>
      <c r="K93" s="106" t="s">
        <v>210</v>
      </c>
      <c r="L93" s="104"/>
      <c r="M93" s="104"/>
      <c r="N93" s="104"/>
      <c r="O93" s="104"/>
      <c r="P93" s="104"/>
      <c r="Q93" s="105"/>
      <c r="R93" s="127" t="s">
        <v>214</v>
      </c>
      <c r="S93" s="128"/>
      <c r="T93" s="128"/>
      <c r="U93" s="129"/>
      <c r="AA93" s="44" t="s">
        <v>44</v>
      </c>
    </row>
    <row r="94" spans="1:27" ht="18" customHeight="1" x14ac:dyDescent="0.15">
      <c r="A94" s="46"/>
      <c r="B94" s="177" t="s">
        <v>213</v>
      </c>
      <c r="C94" s="178"/>
      <c r="D94" s="178"/>
      <c r="E94" s="178"/>
      <c r="F94" s="179"/>
      <c r="G94" s="180" t="s">
        <v>157</v>
      </c>
      <c r="H94" s="181"/>
      <c r="I94" s="181"/>
      <c r="J94" s="182"/>
      <c r="K94" s="177"/>
      <c r="L94" s="178"/>
      <c r="M94" s="178"/>
      <c r="N94" s="178"/>
      <c r="O94" s="178"/>
      <c r="P94" s="178"/>
      <c r="Q94" s="179"/>
      <c r="R94" s="180"/>
      <c r="S94" s="181"/>
      <c r="T94" s="181"/>
      <c r="U94" s="182"/>
      <c r="AA94" s="44" t="s">
        <v>44</v>
      </c>
    </row>
    <row r="95" spans="1:27" ht="18" customHeight="1" x14ac:dyDescent="0.15">
      <c r="A95" s="46"/>
      <c r="B95" s="85"/>
      <c r="C95" s="85"/>
      <c r="D95" s="85"/>
      <c r="E95" s="85"/>
      <c r="F95" s="85"/>
      <c r="G95" s="87"/>
      <c r="H95" s="87"/>
      <c r="I95" s="87"/>
      <c r="J95" s="87"/>
      <c r="K95" s="85"/>
      <c r="L95" s="85"/>
      <c r="M95" s="85"/>
      <c r="N95" s="85"/>
      <c r="O95" s="85"/>
      <c r="P95" s="85"/>
      <c r="Q95" s="85"/>
      <c r="R95" s="87"/>
      <c r="S95" s="87"/>
      <c r="T95" s="87"/>
      <c r="U95" s="87"/>
      <c r="AA95" s="44" t="s">
        <v>45</v>
      </c>
    </row>
    <row r="96" spans="1:27" ht="18.75" customHeight="1" x14ac:dyDescent="0.15">
      <c r="A96" s="44" t="s">
        <v>46</v>
      </c>
      <c r="AA96" s="44" t="s">
        <v>47</v>
      </c>
    </row>
    <row r="97" spans="1:21" ht="18.75" customHeight="1" x14ac:dyDescent="0.15">
      <c r="B97" s="163" t="s">
        <v>48</v>
      </c>
      <c r="C97" s="164"/>
      <c r="D97" s="98" t="s">
        <v>49</v>
      </c>
      <c r="E97" s="99"/>
      <c r="F97" s="99"/>
      <c r="G97" s="99"/>
      <c r="H97" s="99"/>
      <c r="I97" s="99"/>
      <c r="J97" s="99"/>
      <c r="K97" s="99"/>
      <c r="L97" s="99"/>
      <c r="M97" s="99"/>
      <c r="N97" s="99"/>
      <c r="O97" s="99"/>
      <c r="P97" s="99"/>
      <c r="Q97" s="99"/>
      <c r="R97" s="99"/>
      <c r="S97" s="99"/>
      <c r="T97" s="99"/>
      <c r="U97" s="100"/>
    </row>
    <row r="98" spans="1:21" ht="144.75" customHeight="1" x14ac:dyDescent="0.15">
      <c r="B98" s="134" t="s">
        <v>50</v>
      </c>
      <c r="C98" s="88" t="s">
        <v>20</v>
      </c>
      <c r="D98" s="160" t="s">
        <v>232</v>
      </c>
      <c r="E98" s="161"/>
      <c r="F98" s="161"/>
      <c r="G98" s="161"/>
      <c r="H98" s="161"/>
      <c r="I98" s="161"/>
      <c r="J98" s="161"/>
      <c r="K98" s="161"/>
      <c r="L98" s="161"/>
      <c r="M98" s="161"/>
      <c r="N98" s="161"/>
      <c r="O98" s="161"/>
      <c r="P98" s="161"/>
      <c r="Q98" s="161"/>
      <c r="R98" s="161"/>
      <c r="S98" s="161"/>
      <c r="T98" s="161"/>
      <c r="U98" s="162"/>
    </row>
    <row r="99" spans="1:21" ht="68.25" customHeight="1" x14ac:dyDescent="0.15">
      <c r="B99" s="135"/>
      <c r="C99" s="89" t="s">
        <v>51</v>
      </c>
      <c r="D99" s="157" t="s">
        <v>226</v>
      </c>
      <c r="E99" s="158"/>
      <c r="F99" s="158"/>
      <c r="G99" s="158"/>
      <c r="H99" s="158"/>
      <c r="I99" s="158"/>
      <c r="J99" s="158"/>
      <c r="K99" s="158"/>
      <c r="L99" s="158"/>
      <c r="M99" s="158"/>
      <c r="N99" s="158"/>
      <c r="O99" s="158"/>
      <c r="P99" s="158"/>
      <c r="Q99" s="158"/>
      <c r="R99" s="158"/>
      <c r="S99" s="158"/>
      <c r="T99" s="158"/>
      <c r="U99" s="159"/>
    </row>
    <row r="100" spans="1:21" ht="74.25" customHeight="1" x14ac:dyDescent="0.15">
      <c r="B100" s="134" t="s">
        <v>52</v>
      </c>
      <c r="C100" s="90" t="s">
        <v>23</v>
      </c>
      <c r="D100" s="160" t="s">
        <v>233</v>
      </c>
      <c r="E100" s="161"/>
      <c r="F100" s="161"/>
      <c r="G100" s="161"/>
      <c r="H100" s="161"/>
      <c r="I100" s="161"/>
      <c r="J100" s="161"/>
      <c r="K100" s="161"/>
      <c r="L100" s="161"/>
      <c r="M100" s="161"/>
      <c r="N100" s="161"/>
      <c r="O100" s="161"/>
      <c r="P100" s="161"/>
      <c r="Q100" s="161"/>
      <c r="R100" s="161"/>
      <c r="S100" s="161"/>
      <c r="T100" s="161"/>
      <c r="U100" s="162"/>
    </row>
    <row r="101" spans="1:21" ht="55.15" customHeight="1" x14ac:dyDescent="0.15">
      <c r="B101" s="136"/>
      <c r="C101" s="91" t="s">
        <v>24</v>
      </c>
      <c r="D101" s="157" t="s">
        <v>234</v>
      </c>
      <c r="E101" s="158"/>
      <c r="F101" s="158"/>
      <c r="G101" s="158"/>
      <c r="H101" s="158"/>
      <c r="I101" s="158"/>
      <c r="J101" s="158"/>
      <c r="K101" s="158"/>
      <c r="L101" s="158"/>
      <c r="M101" s="158"/>
      <c r="N101" s="158"/>
      <c r="O101" s="158"/>
      <c r="P101" s="158"/>
      <c r="Q101" s="158"/>
      <c r="R101" s="158"/>
      <c r="S101" s="158"/>
      <c r="T101" s="158"/>
      <c r="U101" s="159"/>
    </row>
    <row r="102" spans="1:21" ht="93.75" customHeight="1" x14ac:dyDescent="0.15">
      <c r="B102" s="134" t="s">
        <v>53</v>
      </c>
      <c r="C102" s="90" t="s">
        <v>26</v>
      </c>
      <c r="D102" s="160" t="s">
        <v>235</v>
      </c>
      <c r="E102" s="161"/>
      <c r="F102" s="161"/>
      <c r="G102" s="161"/>
      <c r="H102" s="161"/>
      <c r="I102" s="161"/>
      <c r="J102" s="161"/>
      <c r="K102" s="161"/>
      <c r="L102" s="161"/>
      <c r="M102" s="161"/>
      <c r="N102" s="161"/>
      <c r="O102" s="161"/>
      <c r="P102" s="161"/>
      <c r="Q102" s="161"/>
      <c r="R102" s="161"/>
      <c r="S102" s="161"/>
      <c r="T102" s="161"/>
      <c r="U102" s="162"/>
    </row>
    <row r="103" spans="1:21" ht="84" customHeight="1" x14ac:dyDescent="0.15">
      <c r="B103" s="136"/>
      <c r="C103" s="92" t="s">
        <v>27</v>
      </c>
      <c r="D103" s="157" t="s">
        <v>236</v>
      </c>
      <c r="E103" s="158"/>
      <c r="F103" s="158"/>
      <c r="G103" s="158"/>
      <c r="H103" s="158"/>
      <c r="I103" s="158"/>
      <c r="J103" s="158"/>
      <c r="K103" s="158"/>
      <c r="L103" s="158"/>
      <c r="M103" s="158"/>
      <c r="N103" s="158"/>
      <c r="O103" s="158"/>
      <c r="P103" s="158"/>
      <c r="Q103" s="158"/>
      <c r="R103" s="158"/>
      <c r="S103" s="158"/>
      <c r="T103" s="158"/>
      <c r="U103" s="159"/>
    </row>
    <row r="104" spans="1:21" ht="132.75" customHeight="1" x14ac:dyDescent="0.15">
      <c r="B104" s="134" t="s">
        <v>54</v>
      </c>
      <c r="C104" s="88" t="s">
        <v>29</v>
      </c>
      <c r="D104" s="160" t="s">
        <v>237</v>
      </c>
      <c r="E104" s="161"/>
      <c r="F104" s="161"/>
      <c r="G104" s="161"/>
      <c r="H104" s="161"/>
      <c r="I104" s="161"/>
      <c r="J104" s="161"/>
      <c r="K104" s="161"/>
      <c r="L104" s="161"/>
      <c r="M104" s="161"/>
      <c r="N104" s="161"/>
      <c r="O104" s="161"/>
      <c r="P104" s="161"/>
      <c r="Q104" s="161"/>
      <c r="R104" s="161"/>
      <c r="S104" s="161"/>
      <c r="T104" s="161"/>
      <c r="U104" s="162"/>
    </row>
    <row r="105" spans="1:21" ht="69.75" customHeight="1" x14ac:dyDescent="0.15">
      <c r="B105" s="136"/>
      <c r="C105" s="91" t="s">
        <v>30</v>
      </c>
      <c r="D105" s="157" t="s">
        <v>227</v>
      </c>
      <c r="E105" s="158"/>
      <c r="F105" s="158"/>
      <c r="G105" s="158"/>
      <c r="H105" s="158"/>
      <c r="I105" s="158"/>
      <c r="J105" s="158"/>
      <c r="K105" s="158"/>
      <c r="L105" s="158"/>
      <c r="M105" s="158"/>
      <c r="N105" s="158"/>
      <c r="O105" s="158"/>
      <c r="P105" s="158"/>
      <c r="Q105" s="158"/>
      <c r="R105" s="158"/>
      <c r="S105" s="158"/>
      <c r="T105" s="158"/>
      <c r="U105" s="159"/>
    </row>
    <row r="106" spans="1:21" ht="408.95" customHeight="1" x14ac:dyDescent="0.15">
      <c r="B106" s="134" t="s">
        <v>55</v>
      </c>
      <c r="C106" s="90" t="s">
        <v>56</v>
      </c>
      <c r="D106" s="160" t="s">
        <v>228</v>
      </c>
      <c r="E106" s="161"/>
      <c r="F106" s="161"/>
      <c r="G106" s="161"/>
      <c r="H106" s="161"/>
      <c r="I106" s="161"/>
      <c r="J106" s="161"/>
      <c r="K106" s="161"/>
      <c r="L106" s="161"/>
      <c r="M106" s="161"/>
      <c r="N106" s="161"/>
      <c r="O106" s="161"/>
      <c r="P106" s="161"/>
      <c r="Q106" s="161"/>
      <c r="R106" s="161"/>
      <c r="S106" s="161"/>
      <c r="T106" s="161"/>
      <c r="U106" s="162"/>
    </row>
    <row r="107" spans="1:21" ht="152.25" customHeight="1" x14ac:dyDescent="0.15">
      <c r="B107" s="135"/>
      <c r="C107" s="93" t="s">
        <v>33</v>
      </c>
      <c r="D107" s="165" t="s">
        <v>229</v>
      </c>
      <c r="E107" s="166"/>
      <c r="F107" s="166"/>
      <c r="G107" s="166"/>
      <c r="H107" s="166"/>
      <c r="I107" s="166"/>
      <c r="J107" s="166"/>
      <c r="K107" s="166"/>
      <c r="L107" s="166"/>
      <c r="M107" s="166"/>
      <c r="N107" s="166"/>
      <c r="O107" s="166"/>
      <c r="P107" s="166"/>
      <c r="Q107" s="166"/>
      <c r="R107" s="166"/>
      <c r="S107" s="166"/>
      <c r="T107" s="166"/>
      <c r="U107" s="167"/>
    </row>
    <row r="108" spans="1:21" ht="153.75" customHeight="1" x14ac:dyDescent="0.15">
      <c r="B108" s="136"/>
      <c r="C108" s="92" t="s">
        <v>34</v>
      </c>
      <c r="D108" s="157" t="s">
        <v>230</v>
      </c>
      <c r="E108" s="158"/>
      <c r="F108" s="158"/>
      <c r="G108" s="158"/>
      <c r="H108" s="158"/>
      <c r="I108" s="158"/>
      <c r="J108" s="158"/>
      <c r="K108" s="158"/>
      <c r="L108" s="158"/>
      <c r="M108" s="158"/>
      <c r="N108" s="158"/>
      <c r="O108" s="158"/>
      <c r="P108" s="158"/>
      <c r="Q108" s="158"/>
      <c r="R108" s="158"/>
      <c r="S108" s="158"/>
      <c r="T108" s="158"/>
      <c r="U108" s="159"/>
    </row>
    <row r="109" spans="1:21" ht="6" customHeight="1" x14ac:dyDescent="0.15"/>
    <row r="110" spans="1:21" ht="18.75" customHeight="1" x14ac:dyDescent="0.15">
      <c r="A110" s="44" t="s">
        <v>57</v>
      </c>
    </row>
    <row r="111" spans="1:21" ht="81.75" customHeight="1" x14ac:dyDescent="0.15">
      <c r="B111" s="124" t="s">
        <v>178</v>
      </c>
      <c r="C111" s="125"/>
      <c r="D111" s="125"/>
      <c r="E111" s="125"/>
      <c r="F111" s="125"/>
      <c r="G111" s="125"/>
      <c r="H111" s="125"/>
      <c r="I111" s="125"/>
      <c r="J111" s="125"/>
      <c r="K111" s="125"/>
      <c r="L111" s="125"/>
      <c r="M111" s="125"/>
      <c r="N111" s="125"/>
      <c r="O111" s="125"/>
      <c r="P111" s="125"/>
      <c r="Q111" s="125"/>
      <c r="R111" s="125"/>
      <c r="S111" s="125"/>
      <c r="T111" s="125"/>
      <c r="U111" s="126"/>
    </row>
    <row r="114" s="44" customFormat="1" ht="18" customHeight="1" x14ac:dyDescent="0.15"/>
  </sheetData>
  <mergeCells count="170">
    <mergeCell ref="K89:Q89"/>
    <mergeCell ref="R89:U89"/>
    <mergeCell ref="B90:F90"/>
    <mergeCell ref="G90:J90"/>
    <mergeCell ref="K90:Q90"/>
    <mergeCell ref="R90:U90"/>
    <mergeCell ref="D99:U99"/>
    <mergeCell ref="B91:F91"/>
    <mergeCell ref="G91:J91"/>
    <mergeCell ref="K91:Q91"/>
    <mergeCell ref="R91:U91"/>
    <mergeCell ref="B92:F92"/>
    <mergeCell ref="G92:J92"/>
    <mergeCell ref="K92:Q92"/>
    <mergeCell ref="R92:U92"/>
    <mergeCell ref="B94:F94"/>
    <mergeCell ref="G94:J94"/>
    <mergeCell ref="K94:Q94"/>
    <mergeCell ref="R94:U94"/>
    <mergeCell ref="B93:F93"/>
    <mergeCell ref="G93:J93"/>
    <mergeCell ref="K93:Q93"/>
    <mergeCell ref="R93:U93"/>
    <mergeCell ref="D102:U102"/>
    <mergeCell ref="D103:U103"/>
    <mergeCell ref="B11:U12"/>
    <mergeCell ref="K62:Q62"/>
    <mergeCell ref="K63:Q63"/>
    <mergeCell ref="K64:Q64"/>
    <mergeCell ref="K65:Q65"/>
    <mergeCell ref="K66:Q66"/>
    <mergeCell ref="B70:E70"/>
    <mergeCell ref="B60:F60"/>
    <mergeCell ref="B61:F61"/>
    <mergeCell ref="K37:Q37"/>
    <mergeCell ref="B55:F55"/>
    <mergeCell ref="K84:Q84"/>
    <mergeCell ref="K85:Q85"/>
    <mergeCell ref="B75:E75"/>
    <mergeCell ref="B76:E76"/>
    <mergeCell ref="B78:E78"/>
    <mergeCell ref="K74:P74"/>
    <mergeCell ref="K53:Q53"/>
    <mergeCell ref="K54:Q54"/>
    <mergeCell ref="K78:P78"/>
    <mergeCell ref="B89:F89"/>
    <mergeCell ref="G89:J89"/>
    <mergeCell ref="D107:U107"/>
    <mergeCell ref="A35:U36"/>
    <mergeCell ref="B37:F37"/>
    <mergeCell ref="K88:Q88"/>
    <mergeCell ref="G81:J81"/>
    <mergeCell ref="K81:Q81"/>
    <mergeCell ref="B71:E71"/>
    <mergeCell ref="B72:E72"/>
    <mergeCell ref="K70:P70"/>
    <mergeCell ref="B65:F65"/>
    <mergeCell ref="B66:F66"/>
    <mergeCell ref="B73:E73"/>
    <mergeCell ref="B74:E74"/>
    <mergeCell ref="K71:P71"/>
    <mergeCell ref="K72:P72"/>
    <mergeCell ref="K73:P73"/>
    <mergeCell ref="K39:Q39"/>
    <mergeCell ref="K40:Q40"/>
    <mergeCell ref="B102:B103"/>
    <mergeCell ref="B98:B99"/>
    <mergeCell ref="D97:U97"/>
    <mergeCell ref="D98:U98"/>
    <mergeCell ref="D100:U100"/>
    <mergeCell ref="D101:U101"/>
    <mergeCell ref="D108:U108"/>
    <mergeCell ref="D104:U104"/>
    <mergeCell ref="B51:F51"/>
    <mergeCell ref="K38:Q38"/>
    <mergeCell ref="B52:F52"/>
    <mergeCell ref="B53:F53"/>
    <mergeCell ref="B54:F54"/>
    <mergeCell ref="K42:Q42"/>
    <mergeCell ref="K43:Q43"/>
    <mergeCell ref="K44:Q44"/>
    <mergeCell ref="A46:U47"/>
    <mergeCell ref="K41:Q41"/>
    <mergeCell ref="B48:F48"/>
    <mergeCell ref="B49:F49"/>
    <mergeCell ref="B50:F50"/>
    <mergeCell ref="B104:B105"/>
    <mergeCell ref="B97:C97"/>
    <mergeCell ref="B38:F38"/>
    <mergeCell ref="B39:F39"/>
    <mergeCell ref="B59:F59"/>
    <mergeCell ref="K75:P75"/>
    <mergeCell ref="K76:P76"/>
    <mergeCell ref="D105:U105"/>
    <mergeCell ref="D106:U106"/>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A5:U5"/>
    <mergeCell ref="B15:U20"/>
    <mergeCell ref="A24:U25"/>
    <mergeCell ref="C2:J2"/>
    <mergeCell ref="C3:J3"/>
    <mergeCell ref="N22:U22"/>
    <mergeCell ref="L7:U7"/>
    <mergeCell ref="B111:U111"/>
    <mergeCell ref="R88:U88"/>
    <mergeCell ref="B83:F83"/>
    <mergeCell ref="G83:J83"/>
    <mergeCell ref="K83:Q83"/>
    <mergeCell ref="R83:U83"/>
    <mergeCell ref="B86:F86"/>
    <mergeCell ref="G86:J86"/>
    <mergeCell ref="K86:Q86"/>
    <mergeCell ref="R86:U86"/>
    <mergeCell ref="B84:F84"/>
    <mergeCell ref="B87:F87"/>
    <mergeCell ref="G87:J87"/>
    <mergeCell ref="K87:Q87"/>
    <mergeCell ref="R87:U87"/>
    <mergeCell ref="B88:F88"/>
    <mergeCell ref="G88:J88"/>
    <mergeCell ref="B106:B108"/>
    <mergeCell ref="B100:B101"/>
    <mergeCell ref="R85:U85"/>
    <mergeCell ref="R84:U84"/>
    <mergeCell ref="B85:F85"/>
    <mergeCell ref="G84:J84"/>
    <mergeCell ref="G85:J85"/>
    <mergeCell ref="A68:U69"/>
    <mergeCell ref="K82:Q82"/>
    <mergeCell ref="R82:U82"/>
    <mergeCell ref="R81:U81"/>
    <mergeCell ref="B82:F82"/>
    <mergeCell ref="K61:Q61"/>
    <mergeCell ref="B81:F81"/>
    <mergeCell ref="G82:J82"/>
    <mergeCell ref="B62:F62"/>
    <mergeCell ref="B63:F63"/>
    <mergeCell ref="B64:F64"/>
    <mergeCell ref="B77:E77"/>
    <mergeCell ref="K77:P77"/>
    <mergeCell ref="K55:Q55"/>
    <mergeCell ref="A57:U58"/>
    <mergeCell ref="K59:Q59"/>
    <mergeCell ref="K60:Q60"/>
    <mergeCell ref="B40:F40"/>
    <mergeCell ref="B41:F41"/>
    <mergeCell ref="B42:F42"/>
    <mergeCell ref="B43:F43"/>
    <mergeCell ref="B44:F44"/>
    <mergeCell ref="K49:Q49"/>
    <mergeCell ref="K50:Q50"/>
    <mergeCell ref="K51:Q51"/>
    <mergeCell ref="K52:Q52"/>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2:U78 S27:U33 H38:J44 S38:U44 H27:J33 S49:U55 H49:J55 H60:J66 G71:J78 U71 R71:S71 S60:U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95:J95 R95:U95"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R82:U94 G82:J94" xr:uid="{E61772BF-11EE-43E8-BC0C-EDDA1761D40A}">
      <formula1>$AA$81:$AA$96</formula1>
    </dataValidation>
  </dataValidations>
  <printOptions horizontalCentered="1"/>
  <pageMargins left="0.78740157480314965" right="0.78740157480314965" top="0.78740157480314965" bottom="0.19685039370078741" header="0.31496062992125984" footer="0.19685039370078741"/>
  <pageSetup paperSize="9" scale="65" fitToHeight="0" orientation="portrait" r:id="rId1"/>
  <headerFooter>
    <oddHeader>&amp;C数理・データサイエンス・AI教育プログラム認定制度【リテラシーレベル】令和7年度申請用</oddHeader>
  </headerFooter>
  <rowBreaks count="1" manualBreakCount="1">
    <brk id="6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heetViews>
  <sheetFormatPr defaultColWidth="9" defaultRowHeight="18.75" customHeight="1" x14ac:dyDescent="0.15"/>
  <cols>
    <col min="1" max="1" width="2.75" style="1" customWidth="1"/>
    <col min="2" max="2" width="27.875" style="1" customWidth="1"/>
    <col min="3" max="18" width="6.125" style="1" customWidth="1"/>
    <col min="19" max="19" width="6.75" style="1" customWidth="1"/>
    <col min="20" max="16384" width="9" style="1"/>
  </cols>
  <sheetData>
    <row r="1" spans="1:21" ht="18" customHeight="1" x14ac:dyDescent="0.15">
      <c r="A1" s="44"/>
      <c r="B1" s="44"/>
      <c r="C1" s="44"/>
      <c r="D1" s="44"/>
      <c r="E1" s="44"/>
      <c r="F1" s="44"/>
      <c r="G1" s="44"/>
      <c r="H1" s="44"/>
      <c r="I1" s="44"/>
      <c r="J1" s="44"/>
      <c r="K1" s="44"/>
      <c r="L1" s="44"/>
      <c r="M1" s="44"/>
      <c r="N1" s="44"/>
      <c r="O1" s="44"/>
      <c r="P1" s="44"/>
      <c r="Q1" s="44"/>
      <c r="R1" s="44"/>
      <c r="S1" s="44" t="s">
        <v>58</v>
      </c>
    </row>
    <row r="2" spans="1:21" ht="18" customHeight="1" x14ac:dyDescent="0.15">
      <c r="A2" s="44"/>
      <c r="B2" s="44"/>
      <c r="C2" s="44"/>
      <c r="D2" s="44"/>
      <c r="E2" s="44"/>
      <c r="F2" s="44"/>
      <c r="G2" s="44"/>
      <c r="H2" s="44"/>
      <c r="I2" s="44"/>
      <c r="J2" s="44"/>
      <c r="K2" s="44"/>
      <c r="L2" s="44"/>
      <c r="M2" s="44"/>
      <c r="N2" s="44"/>
      <c r="O2" s="44"/>
      <c r="P2" s="44"/>
      <c r="Q2" s="184" t="str">
        <f>'様式１　プログラムを構成する授業科目'!C2</f>
        <v>広島修道大学</v>
      </c>
      <c r="R2" s="184"/>
      <c r="S2" s="184"/>
    </row>
    <row r="3" spans="1:21" ht="18" customHeight="1" x14ac:dyDescent="0.15">
      <c r="A3" s="185" t="s">
        <v>59</v>
      </c>
      <c r="B3" s="185"/>
      <c r="C3" s="185"/>
      <c r="D3" s="185"/>
      <c r="E3" s="185"/>
      <c r="F3" s="185"/>
      <c r="G3" s="185"/>
      <c r="H3" s="185"/>
      <c r="I3" s="185"/>
      <c r="J3" s="185"/>
      <c r="K3" s="185"/>
      <c r="L3" s="185"/>
      <c r="M3" s="185"/>
      <c r="N3" s="185"/>
      <c r="O3" s="185"/>
      <c r="P3" s="185"/>
      <c r="Q3" s="185"/>
      <c r="R3" s="185"/>
      <c r="S3" s="185"/>
    </row>
    <row r="4" spans="1:21" ht="7.5" customHeight="1" x14ac:dyDescent="0.15">
      <c r="A4" s="46"/>
      <c r="B4" s="46"/>
      <c r="C4" s="46"/>
      <c r="D4" s="46"/>
      <c r="E4" s="46"/>
      <c r="F4" s="46"/>
      <c r="G4" s="46"/>
      <c r="H4" s="46"/>
      <c r="I4" s="46"/>
      <c r="J4" s="46"/>
      <c r="K4" s="46"/>
      <c r="L4" s="46"/>
      <c r="M4" s="46"/>
      <c r="N4" s="46"/>
      <c r="O4" s="46"/>
      <c r="P4" s="46"/>
      <c r="Q4" s="46"/>
      <c r="R4" s="46"/>
      <c r="S4" s="46"/>
    </row>
    <row r="5" spans="1:21" ht="18" customHeight="1" x14ac:dyDescent="0.15">
      <c r="A5" s="44" t="s">
        <v>60</v>
      </c>
      <c r="B5" s="44"/>
      <c r="C5" s="186" t="s">
        <v>173</v>
      </c>
      <c r="D5" s="187"/>
      <c r="E5" s="48" t="s">
        <v>61</v>
      </c>
      <c r="F5" s="46"/>
      <c r="G5" s="46"/>
      <c r="H5" s="46"/>
      <c r="I5" s="46"/>
      <c r="J5" s="46"/>
      <c r="K5" s="46"/>
      <c r="L5" s="46"/>
      <c r="M5" s="46"/>
      <c r="N5" s="46"/>
      <c r="O5" s="46"/>
      <c r="P5" s="46"/>
      <c r="Q5" s="46"/>
      <c r="R5" s="45"/>
      <c r="S5" s="45"/>
    </row>
    <row r="6" spans="1:21" ht="7.15" customHeight="1" x14ac:dyDescent="0.15">
      <c r="A6" s="44"/>
      <c r="B6" s="44"/>
      <c r="C6" s="49"/>
      <c r="D6" s="49"/>
      <c r="E6" s="46"/>
      <c r="F6" s="46"/>
      <c r="G6" s="46"/>
      <c r="H6" s="46"/>
      <c r="I6" s="46"/>
      <c r="J6" s="46"/>
      <c r="K6" s="46"/>
      <c r="L6" s="46"/>
      <c r="M6" s="46"/>
      <c r="N6" s="46"/>
      <c r="O6" s="46"/>
      <c r="P6" s="46"/>
      <c r="Q6" s="46"/>
      <c r="R6" s="45"/>
      <c r="S6" s="45"/>
    </row>
    <row r="7" spans="1:21" ht="18" customHeight="1" x14ac:dyDescent="0.15">
      <c r="A7" s="44" t="s">
        <v>62</v>
      </c>
      <c r="B7" s="44"/>
      <c r="C7" s="49"/>
      <c r="D7" s="49"/>
      <c r="E7" s="46" t="s">
        <v>63</v>
      </c>
      <c r="F7" s="62">
        <v>4070</v>
      </c>
      <c r="G7" s="48" t="s">
        <v>64</v>
      </c>
      <c r="H7" s="46" t="s">
        <v>65</v>
      </c>
      <c r="I7" s="62">
        <v>2163</v>
      </c>
      <c r="J7" s="48" t="s">
        <v>64</v>
      </c>
      <c r="K7" s="47" t="s">
        <v>66</v>
      </c>
      <c r="L7" s="46" t="s">
        <v>67</v>
      </c>
      <c r="M7" s="62">
        <f>F7+I7</f>
        <v>6233</v>
      </c>
      <c r="N7" s="46" t="s">
        <v>68</v>
      </c>
      <c r="O7" s="48" t="s">
        <v>69</v>
      </c>
      <c r="P7" s="46"/>
      <c r="Q7" s="46"/>
      <c r="R7" s="45"/>
      <c r="S7" s="45"/>
    </row>
    <row r="8" spans="1:21" ht="17.45" customHeight="1" x14ac:dyDescent="0.15">
      <c r="A8" s="46"/>
      <c r="B8" s="50" t="s">
        <v>70</v>
      </c>
      <c r="C8" s="46"/>
      <c r="D8" s="46"/>
      <c r="E8" s="46"/>
      <c r="F8" s="46"/>
      <c r="G8" s="46"/>
      <c r="H8" s="46"/>
      <c r="I8" s="46"/>
      <c r="J8" s="46"/>
      <c r="K8" s="46"/>
      <c r="L8" s="46"/>
      <c r="M8" s="46"/>
      <c r="N8" s="46"/>
      <c r="O8" s="46"/>
      <c r="P8" s="46"/>
      <c r="Q8" s="46"/>
      <c r="R8" s="46"/>
      <c r="S8" s="46"/>
    </row>
    <row r="9" spans="1:21" ht="18" customHeight="1" x14ac:dyDescent="0.15">
      <c r="A9" s="44" t="s">
        <v>71</v>
      </c>
      <c r="B9" s="46"/>
      <c r="C9" s="46"/>
      <c r="D9" s="46"/>
      <c r="E9" s="46"/>
      <c r="F9" s="46"/>
      <c r="G9" s="46"/>
      <c r="H9" s="46"/>
      <c r="I9" s="46"/>
      <c r="J9" s="46"/>
      <c r="K9" s="46"/>
      <c r="L9" s="46"/>
      <c r="M9" s="46"/>
      <c r="N9" s="46"/>
      <c r="O9" s="46"/>
      <c r="P9" s="46"/>
      <c r="Q9" s="46"/>
      <c r="R9" s="46"/>
      <c r="S9" s="4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88" t="s">
        <v>72</v>
      </c>
      <c r="C11" s="198" t="s">
        <v>73</v>
      </c>
      <c r="D11" s="190" t="s">
        <v>74</v>
      </c>
      <c r="E11" s="192" t="s">
        <v>75</v>
      </c>
      <c r="F11" s="183" t="s">
        <v>76</v>
      </c>
      <c r="G11" s="183"/>
      <c r="H11" s="183" t="s">
        <v>77</v>
      </c>
      <c r="I11" s="183"/>
      <c r="J11" s="183" t="s">
        <v>78</v>
      </c>
      <c r="K11" s="183"/>
      <c r="L11" s="183" t="s">
        <v>79</v>
      </c>
      <c r="M11" s="183"/>
      <c r="N11" s="183" t="s">
        <v>80</v>
      </c>
      <c r="O11" s="183"/>
      <c r="P11" s="183" t="s">
        <v>81</v>
      </c>
      <c r="Q11" s="183"/>
      <c r="R11" s="194" t="s">
        <v>82</v>
      </c>
      <c r="S11" s="196" t="s">
        <v>83</v>
      </c>
      <c r="U11" s="2"/>
    </row>
    <row r="12" spans="1:21" ht="16.899999999999999" customHeight="1" x14ac:dyDescent="0.15">
      <c r="B12" s="189"/>
      <c r="C12" s="199"/>
      <c r="D12" s="191"/>
      <c r="E12" s="193"/>
      <c r="F12" s="51" t="s">
        <v>84</v>
      </c>
      <c r="G12" s="51" t="s">
        <v>85</v>
      </c>
      <c r="H12" s="51" t="s">
        <v>84</v>
      </c>
      <c r="I12" s="51" t="s">
        <v>85</v>
      </c>
      <c r="J12" s="51" t="s">
        <v>84</v>
      </c>
      <c r="K12" s="51" t="s">
        <v>85</v>
      </c>
      <c r="L12" s="51" t="s">
        <v>84</v>
      </c>
      <c r="M12" s="51" t="s">
        <v>85</v>
      </c>
      <c r="N12" s="51" t="s">
        <v>84</v>
      </c>
      <c r="O12" s="51" t="s">
        <v>85</v>
      </c>
      <c r="P12" s="51" t="s">
        <v>84</v>
      </c>
      <c r="Q12" s="52" t="s">
        <v>85</v>
      </c>
      <c r="R12" s="195"/>
      <c r="S12" s="197"/>
      <c r="U12" s="2"/>
    </row>
    <row r="13" spans="1:21" ht="18" customHeight="1" x14ac:dyDescent="0.15">
      <c r="A13" s="5"/>
      <c r="B13" s="42" t="s">
        <v>159</v>
      </c>
      <c r="C13" s="30">
        <v>1308</v>
      </c>
      <c r="D13" s="31">
        <v>295</v>
      </c>
      <c r="E13" s="32">
        <v>1180</v>
      </c>
      <c r="F13" s="32">
        <v>317</v>
      </c>
      <c r="G13" s="32">
        <v>33</v>
      </c>
      <c r="H13" s="63"/>
      <c r="I13" s="63"/>
      <c r="J13" s="63"/>
      <c r="K13" s="63"/>
      <c r="L13" s="63"/>
      <c r="M13" s="63"/>
      <c r="N13" s="63"/>
      <c r="O13" s="63"/>
      <c r="P13" s="63"/>
      <c r="Q13" s="64"/>
      <c r="R13" s="31">
        <f t="shared" ref="R13:R19" si="0">F13+H13+J13+L13+N13+P13</f>
        <v>317</v>
      </c>
      <c r="S13" s="67">
        <f t="shared" ref="S13:S33" si="1">R13/E13</f>
        <v>0.26864406779661015</v>
      </c>
    </row>
    <row r="14" spans="1:21" ht="18" customHeight="1" x14ac:dyDescent="0.15">
      <c r="A14" s="5"/>
      <c r="B14" s="10" t="s">
        <v>160</v>
      </c>
      <c r="C14" s="33">
        <v>1176</v>
      </c>
      <c r="D14" s="34">
        <v>295</v>
      </c>
      <c r="E14" s="35">
        <v>1105</v>
      </c>
      <c r="F14" s="36">
        <v>299</v>
      </c>
      <c r="G14" s="36">
        <v>18</v>
      </c>
      <c r="H14" s="65"/>
      <c r="I14" s="65"/>
      <c r="J14" s="65"/>
      <c r="K14" s="65"/>
      <c r="L14" s="65"/>
      <c r="M14" s="65"/>
      <c r="N14" s="65"/>
      <c r="O14" s="65"/>
      <c r="P14" s="65"/>
      <c r="Q14" s="66"/>
      <c r="R14" s="34">
        <f t="shared" si="0"/>
        <v>299</v>
      </c>
      <c r="S14" s="7">
        <f t="shared" si="1"/>
        <v>0.27058823529411763</v>
      </c>
    </row>
    <row r="15" spans="1:21" ht="18" customHeight="1" x14ac:dyDescent="0.15">
      <c r="A15" s="5"/>
      <c r="B15" s="10" t="s">
        <v>161</v>
      </c>
      <c r="C15" s="33">
        <v>872</v>
      </c>
      <c r="D15" s="34">
        <v>195</v>
      </c>
      <c r="E15" s="35">
        <v>780</v>
      </c>
      <c r="F15" s="36">
        <v>211</v>
      </c>
      <c r="G15" s="36">
        <v>9</v>
      </c>
      <c r="H15" s="65"/>
      <c r="I15" s="65"/>
      <c r="J15" s="65"/>
      <c r="K15" s="65"/>
      <c r="L15" s="65"/>
      <c r="M15" s="65"/>
      <c r="N15" s="65"/>
      <c r="O15" s="65"/>
      <c r="P15" s="65"/>
      <c r="Q15" s="66"/>
      <c r="R15" s="34">
        <f t="shared" si="0"/>
        <v>211</v>
      </c>
      <c r="S15" s="7">
        <f t="shared" si="1"/>
        <v>0.2705128205128205</v>
      </c>
    </row>
    <row r="16" spans="1:21" ht="18" customHeight="1" x14ac:dyDescent="0.15">
      <c r="A16" s="5"/>
      <c r="B16" s="10" t="s">
        <v>162</v>
      </c>
      <c r="C16" s="33">
        <v>1032</v>
      </c>
      <c r="D16" s="34">
        <v>230</v>
      </c>
      <c r="E16" s="35">
        <v>920</v>
      </c>
      <c r="F16" s="36">
        <v>242</v>
      </c>
      <c r="G16" s="36">
        <v>92</v>
      </c>
      <c r="H16" s="65"/>
      <c r="I16" s="65"/>
      <c r="J16" s="65"/>
      <c r="K16" s="65"/>
      <c r="L16" s="65"/>
      <c r="M16" s="65"/>
      <c r="N16" s="65"/>
      <c r="O16" s="65"/>
      <c r="P16" s="65"/>
      <c r="Q16" s="66"/>
      <c r="R16" s="34">
        <f t="shared" si="0"/>
        <v>242</v>
      </c>
      <c r="S16" s="7">
        <f t="shared" si="1"/>
        <v>0.26304347826086955</v>
      </c>
    </row>
    <row r="17" spans="1:19" ht="18" customHeight="1" x14ac:dyDescent="0.15">
      <c r="A17" s="5"/>
      <c r="B17" s="10" t="s">
        <v>163</v>
      </c>
      <c r="C17" s="33">
        <v>489</v>
      </c>
      <c r="D17" s="34">
        <v>115</v>
      </c>
      <c r="E17" s="35">
        <v>460</v>
      </c>
      <c r="F17" s="36">
        <v>110</v>
      </c>
      <c r="G17" s="36">
        <v>2</v>
      </c>
      <c r="H17" s="65"/>
      <c r="I17" s="65"/>
      <c r="J17" s="65"/>
      <c r="K17" s="65"/>
      <c r="L17" s="65"/>
      <c r="M17" s="65"/>
      <c r="N17" s="65"/>
      <c r="O17" s="65"/>
      <c r="P17" s="65"/>
      <c r="Q17" s="66"/>
      <c r="R17" s="34">
        <f t="shared" si="0"/>
        <v>110</v>
      </c>
      <c r="S17" s="7">
        <f t="shared" si="1"/>
        <v>0.2391304347826087</v>
      </c>
    </row>
    <row r="18" spans="1:19" ht="18" customHeight="1" x14ac:dyDescent="0.15">
      <c r="A18" s="5"/>
      <c r="B18" s="10" t="s">
        <v>164</v>
      </c>
      <c r="C18" s="33">
        <v>688</v>
      </c>
      <c r="D18" s="34">
        <v>160</v>
      </c>
      <c r="E18" s="35">
        <v>640</v>
      </c>
      <c r="F18" s="36">
        <v>170</v>
      </c>
      <c r="G18" s="36">
        <v>17</v>
      </c>
      <c r="H18" s="65"/>
      <c r="I18" s="65"/>
      <c r="J18" s="65"/>
      <c r="K18" s="65"/>
      <c r="L18" s="65"/>
      <c r="M18" s="65"/>
      <c r="N18" s="65"/>
      <c r="O18" s="65"/>
      <c r="P18" s="65"/>
      <c r="Q18" s="66"/>
      <c r="R18" s="34">
        <f t="shared" si="0"/>
        <v>170</v>
      </c>
      <c r="S18" s="7">
        <f t="shared" si="1"/>
        <v>0.265625</v>
      </c>
    </row>
    <row r="19" spans="1:19" ht="18" customHeight="1" x14ac:dyDescent="0.15">
      <c r="A19" s="5"/>
      <c r="B19" s="10" t="s">
        <v>165</v>
      </c>
      <c r="C19" s="33">
        <v>668</v>
      </c>
      <c r="D19" s="34">
        <v>150</v>
      </c>
      <c r="E19" s="35">
        <v>600</v>
      </c>
      <c r="F19" s="36">
        <v>168</v>
      </c>
      <c r="G19" s="36">
        <v>3</v>
      </c>
      <c r="H19" s="65"/>
      <c r="I19" s="65"/>
      <c r="J19" s="65"/>
      <c r="K19" s="65"/>
      <c r="L19" s="65"/>
      <c r="M19" s="65"/>
      <c r="N19" s="65"/>
      <c r="O19" s="65"/>
      <c r="P19" s="65"/>
      <c r="Q19" s="66"/>
      <c r="R19" s="34">
        <f t="shared" si="0"/>
        <v>168</v>
      </c>
      <c r="S19" s="7">
        <f t="shared" si="1"/>
        <v>0.28000000000000003</v>
      </c>
    </row>
    <row r="20" spans="1:19" ht="18" customHeight="1" x14ac:dyDescent="0.15">
      <c r="A20" s="5"/>
      <c r="B20" s="10"/>
      <c r="C20" s="33"/>
      <c r="D20" s="34"/>
      <c r="E20" s="35"/>
      <c r="F20" s="36"/>
      <c r="G20" s="36"/>
      <c r="H20" s="36"/>
      <c r="I20" s="36"/>
      <c r="J20" s="36"/>
      <c r="K20" s="36"/>
      <c r="L20" s="36"/>
      <c r="M20" s="36"/>
      <c r="N20" s="36"/>
      <c r="O20" s="36"/>
      <c r="P20" s="36"/>
      <c r="Q20" s="33"/>
      <c r="R20" s="34"/>
      <c r="S20" s="7"/>
    </row>
    <row r="21" spans="1:19" ht="18" customHeight="1" x14ac:dyDescent="0.15">
      <c r="A21" s="5"/>
      <c r="B21" s="10"/>
      <c r="C21" s="33"/>
      <c r="D21" s="34"/>
      <c r="E21" s="35"/>
      <c r="F21" s="36"/>
      <c r="G21" s="36"/>
      <c r="H21" s="36"/>
      <c r="I21" s="36"/>
      <c r="J21" s="36"/>
      <c r="K21" s="36"/>
      <c r="L21" s="36"/>
      <c r="M21" s="36"/>
      <c r="N21" s="36"/>
      <c r="O21" s="36"/>
      <c r="P21" s="36"/>
      <c r="Q21" s="33"/>
      <c r="R21" s="34"/>
      <c r="S21" s="7"/>
    </row>
    <row r="22" spans="1:19" ht="18" customHeight="1" x14ac:dyDescent="0.15">
      <c r="A22" s="5"/>
      <c r="B22" s="10"/>
      <c r="C22" s="33"/>
      <c r="D22" s="34"/>
      <c r="E22" s="35"/>
      <c r="F22" s="36"/>
      <c r="G22" s="36"/>
      <c r="H22" s="36"/>
      <c r="I22" s="36"/>
      <c r="J22" s="36"/>
      <c r="K22" s="36"/>
      <c r="L22" s="36"/>
      <c r="M22" s="36"/>
      <c r="N22" s="36"/>
      <c r="O22" s="36"/>
      <c r="P22" s="36"/>
      <c r="Q22" s="33"/>
      <c r="R22" s="34"/>
      <c r="S22" s="7"/>
    </row>
    <row r="23" spans="1:19" ht="18" customHeight="1" x14ac:dyDescent="0.15">
      <c r="A23" s="5"/>
      <c r="B23" s="10"/>
      <c r="C23" s="33"/>
      <c r="D23" s="34"/>
      <c r="E23" s="35"/>
      <c r="F23" s="36"/>
      <c r="G23" s="36"/>
      <c r="H23" s="36"/>
      <c r="I23" s="36"/>
      <c r="J23" s="36"/>
      <c r="K23" s="36"/>
      <c r="L23" s="36"/>
      <c r="M23" s="36"/>
      <c r="N23" s="36"/>
      <c r="O23" s="36"/>
      <c r="P23" s="36"/>
      <c r="Q23" s="33"/>
      <c r="R23" s="34"/>
      <c r="S23" s="7"/>
    </row>
    <row r="24" spans="1:19" ht="18" customHeight="1" x14ac:dyDescent="0.15">
      <c r="A24" s="5"/>
      <c r="B24" s="10"/>
      <c r="C24" s="33"/>
      <c r="D24" s="34"/>
      <c r="E24" s="35"/>
      <c r="F24" s="36"/>
      <c r="G24" s="36"/>
      <c r="H24" s="36"/>
      <c r="I24" s="36"/>
      <c r="J24" s="36"/>
      <c r="K24" s="36"/>
      <c r="L24" s="36"/>
      <c r="M24" s="36"/>
      <c r="N24" s="36"/>
      <c r="O24" s="36"/>
      <c r="P24" s="36"/>
      <c r="Q24" s="33"/>
      <c r="R24" s="34"/>
      <c r="S24" s="7"/>
    </row>
    <row r="25" spans="1:19" ht="18" customHeight="1" x14ac:dyDescent="0.15">
      <c r="A25" s="5"/>
      <c r="B25" s="10"/>
      <c r="C25" s="33"/>
      <c r="D25" s="34"/>
      <c r="E25" s="35"/>
      <c r="F25" s="36"/>
      <c r="G25" s="36"/>
      <c r="H25" s="36"/>
      <c r="I25" s="36"/>
      <c r="J25" s="36"/>
      <c r="K25" s="36"/>
      <c r="L25" s="36"/>
      <c r="M25" s="36"/>
      <c r="N25" s="36"/>
      <c r="O25" s="36"/>
      <c r="P25" s="36"/>
      <c r="Q25" s="33"/>
      <c r="R25" s="34"/>
      <c r="S25" s="7"/>
    </row>
    <row r="26" spans="1:19" ht="18" customHeight="1" x14ac:dyDescent="0.15">
      <c r="A26" s="5"/>
      <c r="B26" s="10"/>
      <c r="C26" s="33"/>
      <c r="D26" s="34"/>
      <c r="E26" s="35"/>
      <c r="F26" s="36"/>
      <c r="G26" s="36"/>
      <c r="H26" s="36"/>
      <c r="I26" s="36"/>
      <c r="J26" s="36"/>
      <c r="K26" s="36"/>
      <c r="L26" s="36"/>
      <c r="M26" s="36"/>
      <c r="N26" s="36"/>
      <c r="O26" s="36"/>
      <c r="P26" s="36"/>
      <c r="Q26" s="33"/>
      <c r="R26" s="34"/>
      <c r="S26" s="7"/>
    </row>
    <row r="27" spans="1:19" ht="18" customHeight="1" x14ac:dyDescent="0.15">
      <c r="A27" s="5"/>
      <c r="B27" s="10"/>
      <c r="C27" s="33"/>
      <c r="D27" s="34"/>
      <c r="E27" s="35"/>
      <c r="F27" s="36"/>
      <c r="G27" s="36"/>
      <c r="H27" s="36"/>
      <c r="I27" s="36"/>
      <c r="J27" s="36"/>
      <c r="K27" s="36"/>
      <c r="L27" s="36"/>
      <c r="M27" s="36"/>
      <c r="N27" s="36"/>
      <c r="O27" s="36"/>
      <c r="P27" s="36"/>
      <c r="Q27" s="33"/>
      <c r="R27" s="34"/>
      <c r="S27" s="7"/>
    </row>
    <row r="28" spans="1:19" ht="18" customHeight="1" x14ac:dyDescent="0.15">
      <c r="A28" s="5"/>
      <c r="B28" s="10"/>
      <c r="C28" s="33"/>
      <c r="D28" s="34"/>
      <c r="E28" s="35"/>
      <c r="F28" s="36"/>
      <c r="G28" s="36"/>
      <c r="H28" s="36"/>
      <c r="I28" s="36"/>
      <c r="J28" s="36"/>
      <c r="K28" s="36"/>
      <c r="L28" s="36"/>
      <c r="M28" s="36"/>
      <c r="N28" s="36"/>
      <c r="O28" s="36"/>
      <c r="P28" s="36"/>
      <c r="Q28" s="33"/>
      <c r="R28" s="34"/>
      <c r="S28" s="7"/>
    </row>
    <row r="29" spans="1:19" ht="18" customHeight="1" x14ac:dyDescent="0.15">
      <c r="A29" s="5"/>
      <c r="B29" s="10"/>
      <c r="C29" s="33"/>
      <c r="D29" s="34"/>
      <c r="E29" s="35"/>
      <c r="F29" s="36"/>
      <c r="G29" s="36"/>
      <c r="H29" s="36"/>
      <c r="I29" s="36"/>
      <c r="J29" s="36"/>
      <c r="K29" s="36"/>
      <c r="L29" s="36"/>
      <c r="M29" s="36"/>
      <c r="N29" s="36"/>
      <c r="O29" s="36"/>
      <c r="P29" s="36"/>
      <c r="Q29" s="33"/>
      <c r="R29" s="34"/>
      <c r="S29" s="7"/>
    </row>
    <row r="30" spans="1:19" ht="18" customHeight="1" x14ac:dyDescent="0.15">
      <c r="A30" s="5"/>
      <c r="B30" s="10"/>
      <c r="C30" s="33"/>
      <c r="D30" s="37"/>
      <c r="E30" s="35"/>
      <c r="F30" s="36"/>
      <c r="G30" s="36"/>
      <c r="H30" s="36"/>
      <c r="I30" s="36"/>
      <c r="J30" s="36"/>
      <c r="K30" s="36"/>
      <c r="L30" s="36"/>
      <c r="M30" s="36"/>
      <c r="N30" s="36"/>
      <c r="O30" s="36"/>
      <c r="P30" s="36"/>
      <c r="Q30" s="33"/>
      <c r="R30" s="37"/>
      <c r="S30" s="7"/>
    </row>
    <row r="31" spans="1:19" ht="18" customHeight="1" x14ac:dyDescent="0.15">
      <c r="A31" s="5"/>
      <c r="B31" s="10"/>
      <c r="C31" s="33"/>
      <c r="D31" s="37"/>
      <c r="E31" s="35"/>
      <c r="F31" s="36"/>
      <c r="G31" s="36"/>
      <c r="H31" s="36"/>
      <c r="I31" s="36"/>
      <c r="J31" s="36"/>
      <c r="K31" s="36"/>
      <c r="L31" s="36"/>
      <c r="M31" s="36"/>
      <c r="N31" s="36"/>
      <c r="O31" s="36"/>
      <c r="P31" s="36"/>
      <c r="Q31" s="33"/>
      <c r="R31" s="37"/>
      <c r="S31" s="7"/>
    </row>
    <row r="32" spans="1:19" ht="18" customHeight="1" thickBot="1" x14ac:dyDescent="0.2">
      <c r="A32" s="5"/>
      <c r="B32" s="11"/>
      <c r="C32" s="30"/>
      <c r="D32" s="38"/>
      <c r="E32" s="32"/>
      <c r="F32" s="32"/>
      <c r="G32" s="32"/>
      <c r="H32" s="32"/>
      <c r="I32" s="32"/>
      <c r="J32" s="32"/>
      <c r="K32" s="32"/>
      <c r="L32" s="32"/>
      <c r="M32" s="32"/>
      <c r="N32" s="32"/>
      <c r="O32" s="32"/>
      <c r="P32" s="32"/>
      <c r="Q32" s="33"/>
      <c r="R32" s="38"/>
      <c r="S32" s="6"/>
    </row>
    <row r="33" spans="2:19" ht="18" customHeight="1" thickTop="1" x14ac:dyDescent="0.15">
      <c r="B33" s="12" t="s">
        <v>86</v>
      </c>
      <c r="C33" s="39">
        <f t="shared" ref="C33" si="2">SUM(C13:C32)</f>
        <v>6233</v>
      </c>
      <c r="D33" s="40">
        <f t="shared" ref="D33:R33" si="3">SUM(D13:D32)</f>
        <v>1440</v>
      </c>
      <c r="E33" s="41">
        <f t="shared" si="3"/>
        <v>5685</v>
      </c>
      <c r="F33" s="41">
        <f t="shared" si="3"/>
        <v>1517</v>
      </c>
      <c r="G33" s="41">
        <f t="shared" ref="G33:H33" si="4">SUM(G13:G32)</f>
        <v>174</v>
      </c>
      <c r="H33" s="41">
        <f t="shared" si="4"/>
        <v>0</v>
      </c>
      <c r="I33" s="41">
        <f t="shared" ref="I33:J33" si="5">SUM(I13:I32)</f>
        <v>0</v>
      </c>
      <c r="J33" s="41">
        <f t="shared" si="5"/>
        <v>0</v>
      </c>
      <c r="K33" s="41">
        <f t="shared" ref="K33:O33" si="6">SUM(K13:K32)</f>
        <v>0</v>
      </c>
      <c r="L33" s="41">
        <f t="shared" si="6"/>
        <v>0</v>
      </c>
      <c r="M33" s="41">
        <f t="shared" si="6"/>
        <v>0</v>
      </c>
      <c r="N33" s="41">
        <f t="shared" si="6"/>
        <v>0</v>
      </c>
      <c r="O33" s="41">
        <f t="shared" si="6"/>
        <v>0</v>
      </c>
      <c r="P33" s="41">
        <f t="shared" ref="P33:Q33" si="7">SUM(P13:P32)</f>
        <v>0</v>
      </c>
      <c r="Q33" s="39">
        <f t="shared" si="7"/>
        <v>0</v>
      </c>
      <c r="R33" s="39">
        <f t="shared" si="3"/>
        <v>1517</v>
      </c>
      <c r="S33" s="8">
        <f t="shared" si="1"/>
        <v>0.26684256816182939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A2" sqref="A2"/>
    </sheetView>
  </sheetViews>
  <sheetFormatPr defaultColWidth="11.25" defaultRowHeight="18.75" customHeight="1" x14ac:dyDescent="0.15"/>
  <cols>
    <col min="1" max="1" width="2.75" style="15" customWidth="1"/>
    <col min="2" max="2" width="16.75" style="1" customWidth="1"/>
    <col min="3" max="3" width="8.875" style="1" customWidth="1"/>
    <col min="4" max="4" width="2.25" style="1" customWidth="1"/>
    <col min="5" max="5" width="16.75" style="1" customWidth="1"/>
    <col min="6" max="6" width="4.25" style="1" customWidth="1"/>
    <col min="7" max="7" width="9" style="1" customWidth="1"/>
    <col min="8" max="8" width="16.75" style="1" customWidth="1"/>
    <col min="9" max="9" width="13" style="1" customWidth="1"/>
    <col min="10" max="16384" width="11.25" style="1"/>
  </cols>
  <sheetData>
    <row r="1" spans="1:9" ht="18.75" customHeight="1" x14ac:dyDescent="0.15">
      <c r="A1" s="15" t="s">
        <v>87</v>
      </c>
      <c r="I1" s="56" t="s">
        <v>88</v>
      </c>
    </row>
    <row r="2" spans="1:9" ht="18.75" customHeight="1" x14ac:dyDescent="0.15">
      <c r="G2" s="56" t="s">
        <v>2</v>
      </c>
      <c r="H2" s="201" t="str">
        <f>'様式１　プログラムを構成する授業科目'!C2</f>
        <v>広島修道大学</v>
      </c>
      <c r="I2" s="202"/>
    </row>
    <row r="3" spans="1:9" ht="18.75" customHeight="1" x14ac:dyDescent="0.15">
      <c r="G3" s="56"/>
      <c r="H3" s="9"/>
      <c r="I3" s="9"/>
    </row>
    <row r="4" spans="1:9" ht="18.600000000000001" customHeight="1" x14ac:dyDescent="0.15">
      <c r="A4" s="185" t="s">
        <v>89</v>
      </c>
      <c r="B4" s="185"/>
      <c r="C4" s="185"/>
      <c r="D4" s="185"/>
      <c r="E4" s="185"/>
      <c r="F4" s="185"/>
      <c r="G4" s="185"/>
      <c r="H4" s="185"/>
      <c r="I4" s="185"/>
    </row>
    <row r="5" spans="1:9" ht="13.15" customHeight="1" x14ac:dyDescent="0.15">
      <c r="B5" s="3"/>
      <c r="C5" s="3"/>
      <c r="D5" s="3"/>
      <c r="E5" s="3"/>
      <c r="F5" s="3"/>
      <c r="G5" s="3"/>
      <c r="H5" s="3"/>
      <c r="I5" s="3"/>
    </row>
    <row r="6" spans="1:9" ht="18" customHeight="1" x14ac:dyDescent="0.15">
      <c r="A6" s="1" t="s">
        <v>90</v>
      </c>
      <c r="B6" s="9" t="s">
        <v>91</v>
      </c>
      <c r="C6" s="223" t="s">
        <v>92</v>
      </c>
      <c r="D6" s="223"/>
      <c r="E6" s="13">
        <v>198</v>
      </c>
      <c r="F6" s="3" t="s">
        <v>68</v>
      </c>
      <c r="G6" s="3" t="s">
        <v>93</v>
      </c>
      <c r="H6" s="13">
        <v>354</v>
      </c>
      <c r="I6" s="9" t="s">
        <v>68</v>
      </c>
    </row>
    <row r="7" spans="1:9" ht="12" customHeight="1" x14ac:dyDescent="0.15">
      <c r="C7" s="2"/>
      <c r="D7" s="2"/>
      <c r="E7" s="2"/>
      <c r="F7" s="2"/>
      <c r="G7" s="2"/>
      <c r="H7" s="2"/>
      <c r="I7" s="16"/>
    </row>
    <row r="8" spans="1:9" ht="18" customHeight="1" x14ac:dyDescent="0.15">
      <c r="A8" s="1" t="s">
        <v>94</v>
      </c>
      <c r="B8" s="9" t="s">
        <v>95</v>
      </c>
      <c r="E8" s="3"/>
      <c r="F8" s="3"/>
      <c r="G8" s="3"/>
      <c r="H8" s="13">
        <v>22</v>
      </c>
      <c r="I8" s="9" t="s">
        <v>68</v>
      </c>
    </row>
    <row r="9" spans="1:9" ht="9" customHeight="1" x14ac:dyDescent="0.15">
      <c r="B9" s="3"/>
      <c r="C9" s="3"/>
      <c r="D9" s="3"/>
      <c r="E9" s="3"/>
      <c r="F9" s="3"/>
      <c r="G9" s="3"/>
      <c r="H9" s="3"/>
      <c r="I9" s="3"/>
    </row>
    <row r="10" spans="1:9" ht="18" customHeight="1" x14ac:dyDescent="0.15">
      <c r="A10" s="1" t="s">
        <v>96</v>
      </c>
      <c r="B10" s="9" t="s">
        <v>97</v>
      </c>
      <c r="C10" s="3"/>
      <c r="D10" s="3"/>
      <c r="E10" s="3"/>
      <c r="F10" s="3"/>
      <c r="G10" s="3"/>
      <c r="H10" s="3"/>
      <c r="I10" s="3"/>
    </row>
    <row r="11" spans="1:9" ht="18" customHeight="1" x14ac:dyDescent="0.15">
      <c r="B11" s="56" t="s">
        <v>98</v>
      </c>
      <c r="C11" s="217" t="s">
        <v>167</v>
      </c>
      <c r="D11" s="220"/>
      <c r="E11" s="221"/>
      <c r="F11" s="16"/>
      <c r="G11" s="56" t="s">
        <v>99</v>
      </c>
      <c r="H11" s="217" t="s">
        <v>175</v>
      </c>
      <c r="I11" s="221"/>
    </row>
    <row r="12" spans="1:9" ht="10.15" customHeight="1" x14ac:dyDescent="0.15">
      <c r="B12" s="56"/>
      <c r="C12" s="9"/>
      <c r="D12" s="16"/>
      <c r="E12" s="16"/>
      <c r="F12" s="16"/>
      <c r="G12" s="56"/>
      <c r="H12" s="9"/>
      <c r="I12" s="16"/>
    </row>
    <row r="13" spans="1:9" ht="18" customHeight="1" x14ac:dyDescent="0.15">
      <c r="A13" s="1" t="s">
        <v>100</v>
      </c>
      <c r="B13" s="9" t="s">
        <v>101</v>
      </c>
      <c r="C13" s="3"/>
      <c r="D13" s="3"/>
      <c r="E13" s="3"/>
      <c r="F13" s="3"/>
      <c r="G13" s="3"/>
      <c r="H13" s="3"/>
      <c r="I13" s="3"/>
    </row>
    <row r="14" spans="1:9" ht="18" customHeight="1" x14ac:dyDescent="0.15">
      <c r="B14" s="217" t="s">
        <v>170</v>
      </c>
      <c r="C14" s="218"/>
      <c r="D14" s="218"/>
      <c r="E14" s="218"/>
      <c r="F14" s="218"/>
      <c r="G14" s="218"/>
      <c r="H14" s="218"/>
      <c r="I14" s="219"/>
    </row>
    <row r="15" spans="1:9" ht="9" customHeight="1" x14ac:dyDescent="0.15">
      <c r="B15" s="3"/>
      <c r="C15" s="3"/>
      <c r="D15" s="3"/>
      <c r="E15" s="3"/>
      <c r="F15" s="3"/>
      <c r="G15" s="3"/>
      <c r="H15" s="3"/>
      <c r="I15" s="3"/>
    </row>
    <row r="16" spans="1:9" ht="18" customHeight="1" x14ac:dyDescent="0.15">
      <c r="B16" s="56" t="s">
        <v>98</v>
      </c>
      <c r="C16" s="217" t="s">
        <v>168</v>
      </c>
      <c r="D16" s="220"/>
      <c r="E16" s="221"/>
      <c r="F16" s="16"/>
      <c r="G16" s="56" t="s">
        <v>99</v>
      </c>
      <c r="H16" s="222" t="s">
        <v>174</v>
      </c>
      <c r="I16" s="221"/>
    </row>
    <row r="17" spans="1:9" ht="18" customHeight="1" x14ac:dyDescent="0.15">
      <c r="B17" s="3"/>
      <c r="C17" s="3"/>
      <c r="D17" s="3"/>
      <c r="E17" s="3"/>
      <c r="F17" s="3"/>
      <c r="G17" s="3"/>
      <c r="H17" s="3"/>
      <c r="I17" s="3"/>
    </row>
    <row r="18" spans="1:9" ht="18.75" customHeight="1" x14ac:dyDescent="0.15">
      <c r="A18" s="1" t="s">
        <v>102</v>
      </c>
      <c r="B18" s="1" t="s">
        <v>103</v>
      </c>
      <c r="I18" s="3"/>
    </row>
    <row r="19" spans="1:9" ht="18.75" customHeight="1" x14ac:dyDescent="0.15">
      <c r="A19" s="1"/>
      <c r="B19" s="203" t="s">
        <v>169</v>
      </c>
      <c r="C19" s="204"/>
      <c r="D19" s="204"/>
      <c r="E19" s="204"/>
      <c r="F19" s="204"/>
      <c r="G19" s="204"/>
      <c r="H19" s="204"/>
      <c r="I19" s="205"/>
    </row>
    <row r="20" spans="1:9" ht="7.5" customHeight="1" x14ac:dyDescent="0.15">
      <c r="B20" s="3"/>
      <c r="C20" s="3"/>
      <c r="D20" s="3"/>
      <c r="E20" s="3"/>
      <c r="F20" s="3"/>
      <c r="G20" s="3"/>
      <c r="H20" s="3"/>
      <c r="I20" s="3"/>
    </row>
    <row r="21" spans="1:9" ht="18.75" customHeight="1" x14ac:dyDescent="0.15">
      <c r="A21" s="1" t="s">
        <v>104</v>
      </c>
      <c r="B21" s="1" t="s">
        <v>105</v>
      </c>
    </row>
    <row r="22" spans="1:9" ht="18.75" customHeight="1" x14ac:dyDescent="0.15">
      <c r="A22" s="59"/>
      <c r="B22" s="206" t="s">
        <v>171</v>
      </c>
      <c r="C22" s="207"/>
      <c r="D22" s="207"/>
      <c r="E22" s="207"/>
      <c r="F22" s="207"/>
      <c r="G22" s="207"/>
      <c r="H22" s="207"/>
      <c r="I22" s="208"/>
    </row>
    <row r="23" spans="1:9" ht="18.75" customHeight="1" x14ac:dyDescent="0.15">
      <c r="A23" s="59"/>
      <c r="B23" s="209"/>
      <c r="C23" s="210"/>
      <c r="D23" s="210"/>
      <c r="E23" s="210"/>
      <c r="F23" s="210"/>
      <c r="G23" s="210"/>
      <c r="H23" s="210"/>
      <c r="I23" s="211"/>
    </row>
    <row r="24" spans="1:9" ht="18.75" customHeight="1" x14ac:dyDescent="0.15">
      <c r="A24" s="59"/>
      <c r="B24" s="209"/>
      <c r="C24" s="210"/>
      <c r="D24" s="210"/>
      <c r="E24" s="210"/>
      <c r="F24" s="210"/>
      <c r="G24" s="210"/>
      <c r="H24" s="210"/>
      <c r="I24" s="211"/>
    </row>
    <row r="25" spans="1:9" ht="18.75" customHeight="1" x14ac:dyDescent="0.15">
      <c r="A25" s="59"/>
      <c r="B25" s="209"/>
      <c r="C25" s="210"/>
      <c r="D25" s="210"/>
      <c r="E25" s="210"/>
      <c r="F25" s="210"/>
      <c r="G25" s="210"/>
      <c r="H25" s="210"/>
      <c r="I25" s="211"/>
    </row>
    <row r="26" spans="1:9" ht="18.75" customHeight="1" x14ac:dyDescent="0.15">
      <c r="A26" s="59"/>
      <c r="B26" s="209"/>
      <c r="C26" s="210"/>
      <c r="D26" s="210"/>
      <c r="E26" s="210"/>
      <c r="F26" s="210"/>
      <c r="G26" s="210"/>
      <c r="H26" s="210"/>
      <c r="I26" s="211"/>
    </row>
    <row r="27" spans="1:9" ht="18.75" customHeight="1" x14ac:dyDescent="0.15">
      <c r="A27" s="59"/>
      <c r="B27" s="209"/>
      <c r="C27" s="210"/>
      <c r="D27" s="210"/>
      <c r="E27" s="210"/>
      <c r="F27" s="210"/>
      <c r="G27" s="210"/>
      <c r="H27" s="210"/>
      <c r="I27" s="211"/>
    </row>
    <row r="28" spans="1:9" ht="18.75" customHeight="1" x14ac:dyDescent="0.15">
      <c r="A28" s="59"/>
      <c r="B28" s="209"/>
      <c r="C28" s="210"/>
      <c r="D28" s="210"/>
      <c r="E28" s="210"/>
      <c r="F28" s="210"/>
      <c r="G28" s="210"/>
      <c r="H28" s="210"/>
      <c r="I28" s="211"/>
    </row>
    <row r="29" spans="1:9" ht="18.75" customHeight="1" x14ac:dyDescent="0.15">
      <c r="A29" s="59"/>
      <c r="B29" s="209"/>
      <c r="C29" s="210"/>
      <c r="D29" s="210"/>
      <c r="E29" s="210"/>
      <c r="F29" s="210"/>
      <c r="G29" s="210"/>
      <c r="H29" s="210"/>
      <c r="I29" s="211"/>
    </row>
    <row r="30" spans="1:9" ht="18.75" customHeight="1" x14ac:dyDescent="0.15">
      <c r="A30" s="59"/>
      <c r="B30" s="212"/>
      <c r="C30" s="213"/>
      <c r="D30" s="213"/>
      <c r="E30" s="213"/>
      <c r="F30" s="213"/>
      <c r="G30" s="213"/>
      <c r="H30" s="213"/>
      <c r="I30" s="211"/>
    </row>
    <row r="31" spans="1:9" ht="18.75" customHeight="1" x14ac:dyDescent="0.15">
      <c r="A31" s="59"/>
      <c r="B31" s="212"/>
      <c r="C31" s="213"/>
      <c r="D31" s="213"/>
      <c r="E31" s="213"/>
      <c r="F31" s="213"/>
      <c r="G31" s="213"/>
      <c r="H31" s="213"/>
      <c r="I31" s="211"/>
    </row>
    <row r="32" spans="1:9" ht="18.75" customHeight="1" x14ac:dyDescent="0.15">
      <c r="A32" s="59"/>
      <c r="B32" s="214"/>
      <c r="C32" s="215"/>
      <c r="D32" s="215"/>
      <c r="E32" s="215"/>
      <c r="F32" s="215"/>
      <c r="G32" s="215"/>
      <c r="H32" s="215"/>
      <c r="I32" s="216"/>
    </row>
    <row r="33" spans="1:9" ht="7.5" customHeight="1" x14ac:dyDescent="0.15">
      <c r="A33" s="59"/>
      <c r="B33" s="59"/>
      <c r="C33" s="59"/>
      <c r="D33" s="59"/>
      <c r="E33" s="59"/>
      <c r="F33" s="59"/>
      <c r="G33" s="59"/>
      <c r="H33" s="59"/>
      <c r="I33" s="59"/>
    </row>
    <row r="34" spans="1:9" ht="18.75" customHeight="1" x14ac:dyDescent="0.15">
      <c r="A34" s="55" t="s">
        <v>106</v>
      </c>
      <c r="B34" s="55" t="s">
        <v>107</v>
      </c>
      <c r="C34" s="9"/>
      <c r="D34" s="55"/>
      <c r="E34" s="55"/>
      <c r="F34" s="55"/>
      <c r="G34" s="55"/>
      <c r="H34" s="55"/>
      <c r="I34" s="55"/>
    </row>
    <row r="35" spans="1:9" ht="18.75" customHeight="1" x14ac:dyDescent="0.15">
      <c r="A35" s="59"/>
      <c r="B35" s="206" t="s">
        <v>176</v>
      </c>
      <c r="C35" s="207"/>
      <c r="D35" s="207"/>
      <c r="E35" s="207"/>
      <c r="F35" s="207"/>
      <c r="G35" s="207"/>
      <c r="H35" s="207"/>
      <c r="I35" s="208"/>
    </row>
    <row r="36" spans="1:9" ht="18.75" customHeight="1" x14ac:dyDescent="0.15">
      <c r="A36" s="59"/>
      <c r="B36" s="212"/>
      <c r="C36" s="213"/>
      <c r="D36" s="213"/>
      <c r="E36" s="213"/>
      <c r="F36" s="213"/>
      <c r="G36" s="213"/>
      <c r="H36" s="213"/>
      <c r="I36" s="211"/>
    </row>
    <row r="37" spans="1:9" ht="18.75" customHeight="1" x14ac:dyDescent="0.15">
      <c r="A37" s="59"/>
      <c r="B37" s="212"/>
      <c r="C37" s="213"/>
      <c r="D37" s="213"/>
      <c r="E37" s="213"/>
      <c r="F37" s="213"/>
      <c r="G37" s="213"/>
      <c r="H37" s="213"/>
      <c r="I37" s="211"/>
    </row>
    <row r="38" spans="1:9" ht="18.75" customHeight="1" x14ac:dyDescent="0.15">
      <c r="A38" s="59"/>
      <c r="B38" s="212"/>
      <c r="C38" s="213"/>
      <c r="D38" s="213"/>
      <c r="E38" s="213"/>
      <c r="F38" s="213"/>
      <c r="G38" s="213"/>
      <c r="H38" s="213"/>
      <c r="I38" s="211"/>
    </row>
    <row r="39" spans="1:9" ht="18.75" customHeight="1" x14ac:dyDescent="0.15">
      <c r="A39" s="59"/>
      <c r="B39" s="212"/>
      <c r="C39" s="213"/>
      <c r="D39" s="213"/>
      <c r="E39" s="213"/>
      <c r="F39" s="213"/>
      <c r="G39" s="213"/>
      <c r="H39" s="213"/>
      <c r="I39" s="211"/>
    </row>
    <row r="40" spans="1:9" ht="18.75" customHeight="1" x14ac:dyDescent="0.15">
      <c r="A40" s="59"/>
      <c r="B40" s="212"/>
      <c r="C40" s="213"/>
      <c r="D40" s="213"/>
      <c r="E40" s="213"/>
      <c r="F40" s="213"/>
      <c r="G40" s="213"/>
      <c r="H40" s="213"/>
      <c r="I40" s="211"/>
    </row>
    <row r="41" spans="1:9" ht="18.75" customHeight="1" x14ac:dyDescent="0.15">
      <c r="A41" s="59"/>
      <c r="B41" s="212"/>
      <c r="C41" s="213"/>
      <c r="D41" s="213"/>
      <c r="E41" s="213"/>
      <c r="F41" s="213"/>
      <c r="G41" s="213"/>
      <c r="H41" s="213"/>
      <c r="I41" s="211"/>
    </row>
    <row r="42" spans="1:9" ht="18.75" customHeight="1" x14ac:dyDescent="0.15">
      <c r="A42" s="59"/>
      <c r="B42" s="212"/>
      <c r="C42" s="213"/>
      <c r="D42" s="213"/>
      <c r="E42" s="213"/>
      <c r="F42" s="213"/>
      <c r="G42" s="213"/>
      <c r="H42" s="213"/>
      <c r="I42" s="211"/>
    </row>
    <row r="43" spans="1:9" ht="18.75" customHeight="1" x14ac:dyDescent="0.15">
      <c r="A43" s="59"/>
      <c r="B43" s="212"/>
      <c r="C43" s="213"/>
      <c r="D43" s="213"/>
      <c r="E43" s="213"/>
      <c r="F43" s="213"/>
      <c r="G43" s="213"/>
      <c r="H43" s="213"/>
      <c r="I43" s="211"/>
    </row>
    <row r="44" spans="1:9" ht="18.75" customHeight="1" x14ac:dyDescent="0.15">
      <c r="A44" s="59"/>
      <c r="B44" s="212"/>
      <c r="C44" s="213"/>
      <c r="D44" s="213"/>
      <c r="E44" s="213"/>
      <c r="F44" s="213"/>
      <c r="G44" s="213"/>
      <c r="H44" s="213"/>
      <c r="I44" s="211"/>
    </row>
    <row r="45" spans="1:9" ht="18.75" customHeight="1" x14ac:dyDescent="0.15">
      <c r="A45" s="59"/>
      <c r="B45" s="212"/>
      <c r="C45" s="213"/>
      <c r="D45" s="213"/>
      <c r="E45" s="213"/>
      <c r="F45" s="213"/>
      <c r="G45" s="213"/>
      <c r="H45" s="213"/>
      <c r="I45" s="211"/>
    </row>
    <row r="46" spans="1:9" ht="18.75" customHeight="1" x14ac:dyDescent="0.15">
      <c r="A46" s="59"/>
      <c r="B46" s="214"/>
      <c r="C46" s="215"/>
      <c r="D46" s="215"/>
      <c r="E46" s="215"/>
      <c r="F46" s="215"/>
      <c r="G46" s="215"/>
      <c r="H46" s="215"/>
      <c r="I46" s="216"/>
    </row>
    <row r="47" spans="1:9" ht="7.5" customHeight="1" x14ac:dyDescent="0.15">
      <c r="A47" s="4"/>
      <c r="B47" s="4"/>
      <c r="C47" s="4"/>
      <c r="D47" s="4"/>
      <c r="E47" s="4"/>
      <c r="F47" s="4"/>
      <c r="G47" s="4"/>
      <c r="H47" s="4"/>
      <c r="I47" s="4"/>
    </row>
    <row r="48" spans="1:9" ht="18.75" customHeight="1" x14ac:dyDescent="0.15">
      <c r="A48" s="1" t="s">
        <v>108</v>
      </c>
      <c r="B48" s="1" t="s">
        <v>109</v>
      </c>
    </row>
    <row r="49" spans="1:15" s="3" customFormat="1" ht="18.75" customHeight="1" x14ac:dyDescent="0.15">
      <c r="B49" s="53" t="s">
        <v>110</v>
      </c>
      <c r="C49" s="245">
        <v>0.27</v>
      </c>
      <c r="D49" s="245"/>
      <c r="E49" s="53" t="s">
        <v>111</v>
      </c>
      <c r="F49" s="245">
        <v>0.38</v>
      </c>
      <c r="G49" s="245"/>
      <c r="H49" s="53" t="s">
        <v>112</v>
      </c>
      <c r="I49" s="58">
        <v>0.5</v>
      </c>
      <c r="J49" s="1"/>
      <c r="M49" s="1"/>
      <c r="N49" s="17"/>
    </row>
    <row r="50" spans="1:15" s="3" customFormat="1" ht="18.75" customHeight="1" x14ac:dyDescent="0.15">
      <c r="B50" s="54" t="s">
        <v>113</v>
      </c>
      <c r="C50" s="228">
        <v>0.62</v>
      </c>
      <c r="D50" s="228"/>
      <c r="E50" s="54" t="s">
        <v>114</v>
      </c>
      <c r="F50" s="228">
        <v>0.74</v>
      </c>
      <c r="G50" s="228"/>
      <c r="H50" s="54" t="s">
        <v>115</v>
      </c>
      <c r="I50" s="18">
        <v>5685</v>
      </c>
      <c r="J50" s="1"/>
      <c r="M50" s="1"/>
      <c r="N50" s="17"/>
    </row>
    <row r="51" spans="1:15" ht="18.75" customHeight="1" x14ac:dyDescent="0.15">
      <c r="A51" s="1"/>
      <c r="B51" s="225" t="s">
        <v>116</v>
      </c>
      <c r="C51" s="226"/>
      <c r="D51" s="226"/>
      <c r="E51" s="226"/>
      <c r="F51" s="226"/>
      <c r="G51" s="226"/>
      <c r="H51" s="226"/>
      <c r="I51" s="227"/>
      <c r="N51" s="17"/>
      <c r="O51" s="3"/>
    </row>
    <row r="52" spans="1:15" ht="18.75" customHeight="1" x14ac:dyDescent="0.15">
      <c r="A52" s="1"/>
      <c r="B52" s="246" t="s">
        <v>180</v>
      </c>
      <c r="C52" s="247"/>
      <c r="D52" s="247"/>
      <c r="E52" s="247"/>
      <c r="F52" s="247"/>
      <c r="G52" s="247"/>
      <c r="H52" s="247"/>
      <c r="I52" s="248"/>
      <c r="N52" s="17"/>
      <c r="O52" s="3"/>
    </row>
    <row r="53" spans="1:15" ht="18.75" customHeight="1" x14ac:dyDescent="0.15">
      <c r="A53" s="1"/>
      <c r="B53" s="249"/>
      <c r="C53" s="250"/>
      <c r="D53" s="250"/>
      <c r="E53" s="250"/>
      <c r="F53" s="250"/>
      <c r="G53" s="250"/>
      <c r="H53" s="250"/>
      <c r="I53" s="251"/>
      <c r="N53" s="17"/>
      <c r="O53" s="3"/>
    </row>
    <row r="54" spans="1:15" ht="18.75" customHeight="1" x14ac:dyDescent="0.15">
      <c r="A54" s="1"/>
      <c r="B54" s="249"/>
      <c r="C54" s="250"/>
      <c r="D54" s="250"/>
      <c r="E54" s="250"/>
      <c r="F54" s="250"/>
      <c r="G54" s="250"/>
      <c r="H54" s="250"/>
      <c r="I54" s="251"/>
    </row>
    <row r="55" spans="1:15" ht="18.75" customHeight="1" x14ac:dyDescent="0.15">
      <c r="A55" s="1"/>
      <c r="B55" s="249"/>
      <c r="C55" s="250"/>
      <c r="D55" s="250"/>
      <c r="E55" s="250"/>
      <c r="F55" s="250"/>
      <c r="G55" s="250"/>
      <c r="H55" s="250"/>
      <c r="I55" s="251"/>
    </row>
    <row r="56" spans="1:15" ht="18.75" customHeight="1" x14ac:dyDescent="0.15">
      <c r="A56" s="1"/>
      <c r="B56" s="249"/>
      <c r="C56" s="250"/>
      <c r="D56" s="250"/>
      <c r="E56" s="250"/>
      <c r="F56" s="250"/>
      <c r="G56" s="250"/>
      <c r="H56" s="250"/>
      <c r="I56" s="251"/>
    </row>
    <row r="57" spans="1:15" ht="18.75" customHeight="1" x14ac:dyDescent="0.15">
      <c r="A57" s="1"/>
      <c r="B57" s="249"/>
      <c r="C57" s="250"/>
      <c r="D57" s="250"/>
      <c r="E57" s="250"/>
      <c r="F57" s="250"/>
      <c r="G57" s="250"/>
      <c r="H57" s="250"/>
      <c r="I57" s="251"/>
    </row>
    <row r="58" spans="1:15" ht="18.75" customHeight="1" x14ac:dyDescent="0.15">
      <c r="A58" s="1"/>
      <c r="B58" s="249"/>
      <c r="C58" s="250"/>
      <c r="D58" s="250"/>
      <c r="E58" s="250"/>
      <c r="F58" s="250"/>
      <c r="G58" s="250"/>
      <c r="H58" s="250"/>
      <c r="I58" s="251"/>
    </row>
    <row r="59" spans="1:15" ht="18.75" customHeight="1" x14ac:dyDescent="0.15">
      <c r="A59" s="1"/>
      <c r="B59" s="249"/>
      <c r="C59" s="250"/>
      <c r="D59" s="250"/>
      <c r="E59" s="250"/>
      <c r="F59" s="250"/>
      <c r="G59" s="250"/>
      <c r="H59" s="250"/>
      <c r="I59" s="251"/>
    </row>
    <row r="60" spans="1:15" ht="18.75" customHeight="1" x14ac:dyDescent="0.15">
      <c r="A60" s="1"/>
      <c r="B60" s="249"/>
      <c r="C60" s="250"/>
      <c r="D60" s="250"/>
      <c r="E60" s="250"/>
      <c r="F60" s="250"/>
      <c r="G60" s="250"/>
      <c r="H60" s="250"/>
      <c r="I60" s="251"/>
    </row>
    <row r="61" spans="1:15" ht="18.75" customHeight="1" x14ac:dyDescent="0.15">
      <c r="A61" s="1"/>
      <c r="B61" s="249"/>
      <c r="C61" s="250"/>
      <c r="D61" s="250"/>
      <c r="E61" s="250"/>
      <c r="F61" s="250"/>
      <c r="G61" s="250"/>
      <c r="H61" s="250"/>
      <c r="I61" s="251"/>
    </row>
    <row r="62" spans="1:15" ht="18.75" customHeight="1" x14ac:dyDescent="0.15">
      <c r="A62" s="1"/>
      <c r="B62" s="249"/>
      <c r="C62" s="250"/>
      <c r="D62" s="250"/>
      <c r="E62" s="250"/>
      <c r="F62" s="250"/>
      <c r="G62" s="250"/>
      <c r="H62" s="250"/>
      <c r="I62" s="251"/>
    </row>
    <row r="63" spans="1:15" ht="18.75" customHeight="1" x14ac:dyDescent="0.15">
      <c r="A63" s="1"/>
      <c r="B63" s="252"/>
      <c r="C63" s="253"/>
      <c r="D63" s="253"/>
      <c r="E63" s="253"/>
      <c r="F63" s="253"/>
      <c r="G63" s="253"/>
      <c r="H63" s="253"/>
      <c r="I63" s="254"/>
    </row>
    <row r="64" spans="1:15" ht="7.5" customHeight="1" x14ac:dyDescent="0.15">
      <c r="A64" s="59"/>
      <c r="B64" s="59"/>
      <c r="C64" s="59"/>
      <c r="D64" s="59"/>
      <c r="E64" s="59"/>
      <c r="F64" s="59"/>
      <c r="G64" s="59"/>
      <c r="H64" s="59"/>
      <c r="I64" s="59"/>
    </row>
    <row r="65" spans="1:9" ht="18.75" customHeight="1" x14ac:dyDescent="0.15">
      <c r="A65" s="55" t="s">
        <v>117</v>
      </c>
      <c r="B65" s="1" t="s">
        <v>118</v>
      </c>
      <c r="I65" s="55"/>
    </row>
    <row r="66" spans="1:9" ht="18.75" customHeight="1" x14ac:dyDescent="0.15">
      <c r="A66" s="4"/>
      <c r="B66" s="229" t="s">
        <v>181</v>
      </c>
      <c r="C66" s="230"/>
      <c r="D66" s="230"/>
      <c r="E66" s="230"/>
      <c r="F66" s="230"/>
      <c r="G66" s="230"/>
      <c r="H66" s="230"/>
      <c r="I66" s="231"/>
    </row>
    <row r="67" spans="1:9" ht="18.75" customHeight="1" x14ac:dyDescent="0.15">
      <c r="A67" s="4"/>
      <c r="B67" s="232"/>
      <c r="C67" s="233"/>
      <c r="D67" s="233"/>
      <c r="E67" s="233"/>
      <c r="F67" s="233"/>
      <c r="G67" s="233"/>
      <c r="H67" s="233"/>
      <c r="I67" s="234"/>
    </row>
    <row r="68" spans="1:9" ht="18.75" customHeight="1" x14ac:dyDescent="0.15">
      <c r="A68" s="4"/>
      <c r="B68" s="232"/>
      <c r="C68" s="233"/>
      <c r="D68" s="233"/>
      <c r="E68" s="233"/>
      <c r="F68" s="233"/>
      <c r="G68" s="233"/>
      <c r="H68" s="233"/>
      <c r="I68" s="234"/>
    </row>
    <row r="69" spans="1:9" ht="18.75" customHeight="1" x14ac:dyDescent="0.15">
      <c r="A69" s="4"/>
      <c r="B69" s="232"/>
      <c r="C69" s="233"/>
      <c r="D69" s="233"/>
      <c r="E69" s="233"/>
      <c r="F69" s="233"/>
      <c r="G69" s="233"/>
      <c r="H69" s="233"/>
      <c r="I69" s="234"/>
    </row>
    <row r="70" spans="1:9" ht="18.75" customHeight="1" x14ac:dyDescent="0.15">
      <c r="A70" s="4"/>
      <c r="B70" s="232"/>
      <c r="C70" s="233"/>
      <c r="D70" s="233"/>
      <c r="E70" s="233"/>
      <c r="F70" s="233"/>
      <c r="G70" s="233"/>
      <c r="H70" s="233"/>
      <c r="I70" s="234"/>
    </row>
    <row r="71" spans="1:9" ht="18.75" customHeight="1" x14ac:dyDescent="0.15">
      <c r="A71" s="4"/>
      <c r="B71" s="232"/>
      <c r="C71" s="233"/>
      <c r="D71" s="233"/>
      <c r="E71" s="233"/>
      <c r="F71" s="233"/>
      <c r="G71" s="233"/>
      <c r="H71" s="233"/>
      <c r="I71" s="234"/>
    </row>
    <row r="72" spans="1:9" ht="18.75" customHeight="1" x14ac:dyDescent="0.15">
      <c r="A72" s="4"/>
      <c r="B72" s="232"/>
      <c r="C72" s="233"/>
      <c r="D72" s="233"/>
      <c r="E72" s="233"/>
      <c r="F72" s="233"/>
      <c r="G72" s="233"/>
      <c r="H72" s="233"/>
      <c r="I72" s="234"/>
    </row>
    <row r="73" spans="1:9" ht="18.75" customHeight="1" x14ac:dyDescent="0.15">
      <c r="A73" s="4"/>
      <c r="B73" s="232"/>
      <c r="C73" s="233"/>
      <c r="D73" s="233"/>
      <c r="E73" s="233"/>
      <c r="F73" s="233"/>
      <c r="G73" s="233"/>
      <c r="H73" s="233"/>
      <c r="I73" s="234"/>
    </row>
    <row r="74" spans="1:9" ht="18.75" customHeight="1" x14ac:dyDescent="0.15">
      <c r="A74" s="4"/>
      <c r="B74" s="232"/>
      <c r="C74" s="233"/>
      <c r="D74" s="233"/>
      <c r="E74" s="233"/>
      <c r="F74" s="233"/>
      <c r="G74" s="233"/>
      <c r="H74" s="233"/>
      <c r="I74" s="234"/>
    </row>
    <row r="75" spans="1:9" ht="18.75" customHeight="1" x14ac:dyDescent="0.15">
      <c r="A75" s="4"/>
      <c r="B75" s="232"/>
      <c r="C75" s="233"/>
      <c r="D75" s="233"/>
      <c r="E75" s="233"/>
      <c r="F75" s="233"/>
      <c r="G75" s="233"/>
      <c r="H75" s="233"/>
      <c r="I75" s="234"/>
    </row>
    <row r="76" spans="1:9" ht="18.75" customHeight="1" x14ac:dyDescent="0.15">
      <c r="A76" s="4"/>
      <c r="B76" s="232"/>
      <c r="C76" s="233"/>
      <c r="D76" s="233"/>
      <c r="E76" s="233"/>
      <c r="F76" s="233"/>
      <c r="G76" s="233"/>
      <c r="H76" s="233"/>
      <c r="I76" s="234"/>
    </row>
    <row r="77" spans="1:9" ht="18.75" customHeight="1" x14ac:dyDescent="0.15">
      <c r="A77" s="4"/>
      <c r="B77" s="235"/>
      <c r="C77" s="236"/>
      <c r="D77" s="236"/>
      <c r="E77" s="236"/>
      <c r="F77" s="236"/>
      <c r="G77" s="236"/>
      <c r="H77" s="236"/>
      <c r="I77" s="237"/>
    </row>
    <row r="78" spans="1:9" ht="7.5" customHeight="1" x14ac:dyDescent="0.15">
      <c r="A78" s="4"/>
      <c r="B78" s="4"/>
      <c r="C78" s="4"/>
      <c r="D78" s="4"/>
      <c r="E78" s="4"/>
      <c r="F78" s="4"/>
      <c r="G78" s="4"/>
      <c r="H78" s="4"/>
      <c r="I78" s="4"/>
    </row>
    <row r="79" spans="1:9" ht="18.75" customHeight="1" x14ac:dyDescent="0.15">
      <c r="A79" s="1" t="s">
        <v>119</v>
      </c>
      <c r="B79" s="1" t="s">
        <v>120</v>
      </c>
    </row>
    <row r="80" spans="1:9" ht="18.75" customHeight="1" x14ac:dyDescent="0.15">
      <c r="A80" s="1"/>
      <c r="B80" s="229" t="s">
        <v>182</v>
      </c>
      <c r="C80" s="230"/>
      <c r="D80" s="230"/>
      <c r="E80" s="230"/>
      <c r="F80" s="230"/>
      <c r="G80" s="230"/>
      <c r="H80" s="230"/>
      <c r="I80" s="238"/>
    </row>
    <row r="81" spans="1:9" ht="18.75" customHeight="1" x14ac:dyDescent="0.15">
      <c r="A81" s="1"/>
      <c r="B81" s="239"/>
      <c r="C81" s="240"/>
      <c r="D81" s="240"/>
      <c r="E81" s="240"/>
      <c r="F81" s="240"/>
      <c r="G81" s="240"/>
      <c r="H81" s="240"/>
      <c r="I81" s="241"/>
    </row>
    <row r="82" spans="1:9" ht="18.75" customHeight="1" x14ac:dyDescent="0.15">
      <c r="A82" s="1"/>
      <c r="B82" s="239"/>
      <c r="C82" s="240"/>
      <c r="D82" s="240"/>
      <c r="E82" s="240"/>
      <c r="F82" s="240"/>
      <c r="G82" s="240"/>
      <c r="H82" s="240"/>
      <c r="I82" s="241"/>
    </row>
    <row r="83" spans="1:9" ht="18.75" customHeight="1" x14ac:dyDescent="0.15">
      <c r="A83" s="1"/>
      <c r="B83" s="239"/>
      <c r="C83" s="240"/>
      <c r="D83" s="240"/>
      <c r="E83" s="240"/>
      <c r="F83" s="240"/>
      <c r="G83" s="240"/>
      <c r="H83" s="240"/>
      <c r="I83" s="241"/>
    </row>
    <row r="84" spans="1:9" ht="18.75" customHeight="1" x14ac:dyDescent="0.15">
      <c r="A84" s="1"/>
      <c r="B84" s="239"/>
      <c r="C84" s="240"/>
      <c r="D84" s="240"/>
      <c r="E84" s="240"/>
      <c r="F84" s="240"/>
      <c r="G84" s="240"/>
      <c r="H84" s="240"/>
      <c r="I84" s="241"/>
    </row>
    <row r="85" spans="1:9" ht="18.75" customHeight="1" x14ac:dyDescent="0.15">
      <c r="A85" s="1"/>
      <c r="B85" s="239"/>
      <c r="C85" s="240"/>
      <c r="D85" s="240"/>
      <c r="E85" s="240"/>
      <c r="F85" s="240"/>
      <c r="G85" s="240"/>
      <c r="H85" s="240"/>
      <c r="I85" s="241"/>
    </row>
    <row r="86" spans="1:9" ht="18.75" customHeight="1" x14ac:dyDescent="0.15">
      <c r="A86" s="1"/>
      <c r="B86" s="239"/>
      <c r="C86" s="240"/>
      <c r="D86" s="240"/>
      <c r="E86" s="240"/>
      <c r="F86" s="240"/>
      <c r="G86" s="240"/>
      <c r="H86" s="240"/>
      <c r="I86" s="241"/>
    </row>
    <row r="87" spans="1:9" ht="18.75" customHeight="1" x14ac:dyDescent="0.15">
      <c r="A87" s="1"/>
      <c r="B87" s="239"/>
      <c r="C87" s="240"/>
      <c r="D87" s="240"/>
      <c r="E87" s="240"/>
      <c r="F87" s="240"/>
      <c r="G87" s="240"/>
      <c r="H87" s="240"/>
      <c r="I87" s="241"/>
    </row>
    <row r="88" spans="1:9" ht="18.75" customHeight="1" x14ac:dyDescent="0.15">
      <c r="A88" s="1"/>
      <c r="B88" s="239"/>
      <c r="C88" s="240"/>
      <c r="D88" s="240"/>
      <c r="E88" s="240"/>
      <c r="F88" s="240"/>
      <c r="G88" s="240"/>
      <c r="H88" s="240"/>
      <c r="I88" s="241"/>
    </row>
    <row r="89" spans="1:9" ht="18.75" customHeight="1" x14ac:dyDescent="0.15">
      <c r="A89" s="1"/>
      <c r="B89" s="239"/>
      <c r="C89" s="240"/>
      <c r="D89" s="240"/>
      <c r="E89" s="240"/>
      <c r="F89" s="240"/>
      <c r="G89" s="240"/>
      <c r="H89" s="240"/>
      <c r="I89" s="241"/>
    </row>
    <row r="90" spans="1:9" ht="18.75" customHeight="1" x14ac:dyDescent="0.15">
      <c r="A90" s="4"/>
      <c r="B90" s="239"/>
      <c r="C90" s="240"/>
      <c r="D90" s="240"/>
      <c r="E90" s="240"/>
      <c r="F90" s="240"/>
      <c r="G90" s="240"/>
      <c r="H90" s="240"/>
      <c r="I90" s="241"/>
    </row>
    <row r="91" spans="1:9" ht="18.75" customHeight="1" x14ac:dyDescent="0.15">
      <c r="A91" s="4"/>
      <c r="B91" s="242"/>
      <c r="C91" s="243"/>
      <c r="D91" s="243"/>
      <c r="E91" s="243"/>
      <c r="F91" s="243"/>
      <c r="G91" s="243"/>
      <c r="H91" s="243"/>
      <c r="I91" s="244"/>
    </row>
    <row r="92" spans="1:9" ht="7.5" customHeight="1" x14ac:dyDescent="0.15">
      <c r="A92" s="4"/>
      <c r="B92" s="4"/>
      <c r="C92" s="4"/>
      <c r="D92" s="4"/>
      <c r="E92" s="4"/>
      <c r="F92" s="4"/>
      <c r="G92" s="4"/>
      <c r="H92" s="4"/>
      <c r="I92" s="4"/>
    </row>
    <row r="93" spans="1:9" ht="18.75" customHeight="1" x14ac:dyDescent="0.15">
      <c r="A93" s="1" t="s">
        <v>121</v>
      </c>
      <c r="B93" s="1" t="s">
        <v>122</v>
      </c>
    </row>
    <row r="94" spans="1:9" ht="18.75" customHeight="1" x14ac:dyDescent="0.15">
      <c r="A94" s="1"/>
      <c r="B94" s="206" t="s">
        <v>183</v>
      </c>
      <c r="C94" s="207"/>
      <c r="D94" s="207"/>
      <c r="E94" s="207"/>
      <c r="F94" s="207"/>
      <c r="G94" s="207"/>
      <c r="H94" s="207"/>
      <c r="I94" s="208"/>
    </row>
    <row r="95" spans="1:9" ht="18.75" customHeight="1" x14ac:dyDescent="0.15">
      <c r="A95" s="1"/>
      <c r="B95" s="212"/>
      <c r="C95" s="213"/>
      <c r="D95" s="213"/>
      <c r="E95" s="213"/>
      <c r="F95" s="213"/>
      <c r="G95" s="213"/>
      <c r="H95" s="213"/>
      <c r="I95" s="211"/>
    </row>
    <row r="96" spans="1:9" ht="18.75" customHeight="1" x14ac:dyDescent="0.15">
      <c r="A96" s="1"/>
      <c r="B96" s="212"/>
      <c r="C96" s="213"/>
      <c r="D96" s="213"/>
      <c r="E96" s="213"/>
      <c r="F96" s="213"/>
      <c r="G96" s="213"/>
      <c r="H96" s="213"/>
      <c r="I96" s="211"/>
    </row>
    <row r="97" spans="1:9" ht="18.75" customHeight="1" x14ac:dyDescent="0.15">
      <c r="A97" s="1"/>
      <c r="B97" s="212"/>
      <c r="C97" s="213"/>
      <c r="D97" s="213"/>
      <c r="E97" s="213"/>
      <c r="F97" s="213"/>
      <c r="G97" s="213"/>
      <c r="H97" s="213"/>
      <c r="I97" s="211"/>
    </row>
    <row r="98" spans="1:9" ht="18.75" customHeight="1" x14ac:dyDescent="0.15">
      <c r="A98" s="1"/>
      <c r="B98" s="212"/>
      <c r="C98" s="213"/>
      <c r="D98" s="213"/>
      <c r="E98" s="213"/>
      <c r="F98" s="213"/>
      <c r="G98" s="213"/>
      <c r="H98" s="213"/>
      <c r="I98" s="211"/>
    </row>
    <row r="99" spans="1:9" ht="18.75" customHeight="1" x14ac:dyDescent="0.15">
      <c r="A99" s="1"/>
      <c r="B99" s="212"/>
      <c r="C99" s="213"/>
      <c r="D99" s="213"/>
      <c r="E99" s="213"/>
      <c r="F99" s="213"/>
      <c r="G99" s="213"/>
      <c r="H99" s="213"/>
      <c r="I99" s="211"/>
    </row>
    <row r="100" spans="1:9" ht="18.75" customHeight="1" x14ac:dyDescent="0.15">
      <c r="A100" s="1"/>
      <c r="B100" s="212"/>
      <c r="C100" s="213"/>
      <c r="D100" s="213"/>
      <c r="E100" s="213"/>
      <c r="F100" s="213"/>
      <c r="G100" s="213"/>
      <c r="H100" s="213"/>
      <c r="I100" s="211"/>
    </row>
    <row r="101" spans="1:9" ht="18.75" customHeight="1" x14ac:dyDescent="0.15">
      <c r="A101" s="1"/>
      <c r="B101" s="212"/>
      <c r="C101" s="213"/>
      <c r="D101" s="213"/>
      <c r="E101" s="213"/>
      <c r="F101" s="213"/>
      <c r="G101" s="213"/>
      <c r="H101" s="213"/>
      <c r="I101" s="211"/>
    </row>
    <row r="102" spans="1:9" ht="18.75" customHeight="1" x14ac:dyDescent="0.15">
      <c r="A102" s="1"/>
      <c r="B102" s="212"/>
      <c r="C102" s="213"/>
      <c r="D102" s="213"/>
      <c r="E102" s="213"/>
      <c r="F102" s="213"/>
      <c r="G102" s="213"/>
      <c r="H102" s="213"/>
      <c r="I102" s="211"/>
    </row>
    <row r="103" spans="1:9" ht="18.75" customHeight="1" x14ac:dyDescent="0.15">
      <c r="A103" s="1"/>
      <c r="B103" s="212"/>
      <c r="C103" s="213"/>
      <c r="D103" s="213"/>
      <c r="E103" s="213"/>
      <c r="F103" s="213"/>
      <c r="G103" s="213"/>
      <c r="H103" s="213"/>
      <c r="I103" s="211"/>
    </row>
    <row r="104" spans="1:9" ht="18.75" customHeight="1" x14ac:dyDescent="0.15">
      <c r="A104" s="1"/>
      <c r="B104" s="212"/>
      <c r="C104" s="213"/>
      <c r="D104" s="213"/>
      <c r="E104" s="213"/>
      <c r="F104" s="213"/>
      <c r="G104" s="213"/>
      <c r="H104" s="213"/>
      <c r="I104" s="211"/>
    </row>
    <row r="105" spans="1:9" ht="18.75" customHeight="1" x14ac:dyDescent="0.15">
      <c r="A105" s="4"/>
      <c r="B105" s="214"/>
      <c r="C105" s="215"/>
      <c r="D105" s="215"/>
      <c r="E105" s="215"/>
      <c r="F105" s="215"/>
      <c r="G105" s="215"/>
      <c r="H105" s="215"/>
      <c r="I105" s="216"/>
    </row>
    <row r="106" spans="1:9" ht="7.5" customHeight="1" x14ac:dyDescent="0.15">
      <c r="A106" s="4"/>
      <c r="B106" s="4"/>
      <c r="C106" s="4"/>
      <c r="D106" s="4"/>
      <c r="E106" s="4"/>
      <c r="F106" s="4"/>
      <c r="G106" s="4"/>
      <c r="H106" s="4"/>
      <c r="I106" s="4"/>
    </row>
    <row r="107" spans="1:9" ht="18.75" customHeight="1" x14ac:dyDescent="0.15">
      <c r="A107" s="1" t="s">
        <v>123</v>
      </c>
      <c r="B107" s="224" t="s">
        <v>124</v>
      </c>
      <c r="C107" s="224"/>
      <c r="D107" s="224"/>
      <c r="E107" s="224"/>
      <c r="F107" s="224"/>
      <c r="G107" s="224"/>
      <c r="H107" s="224"/>
      <c r="I107" s="224"/>
    </row>
    <row r="108" spans="1:9" ht="18.75" customHeight="1" x14ac:dyDescent="0.15">
      <c r="A108" s="4"/>
      <c r="B108" s="206" t="s">
        <v>184</v>
      </c>
      <c r="C108" s="207"/>
      <c r="D108" s="207"/>
      <c r="E108" s="207"/>
      <c r="F108" s="207"/>
      <c r="G108" s="207"/>
      <c r="H108" s="207"/>
      <c r="I108" s="208"/>
    </row>
    <row r="109" spans="1:9" ht="18.75" customHeight="1" x14ac:dyDescent="0.15">
      <c r="A109" s="4"/>
      <c r="B109" s="212"/>
      <c r="C109" s="213"/>
      <c r="D109" s="213"/>
      <c r="E109" s="213"/>
      <c r="F109" s="213"/>
      <c r="G109" s="213"/>
      <c r="H109" s="213"/>
      <c r="I109" s="211"/>
    </row>
    <row r="110" spans="1:9" ht="18.75" customHeight="1" x14ac:dyDescent="0.15">
      <c r="A110" s="4"/>
      <c r="B110" s="212"/>
      <c r="C110" s="213"/>
      <c r="D110" s="213"/>
      <c r="E110" s="213"/>
      <c r="F110" s="213"/>
      <c r="G110" s="213"/>
      <c r="H110" s="213"/>
      <c r="I110" s="211"/>
    </row>
    <row r="111" spans="1:9" ht="18.75" customHeight="1" x14ac:dyDescent="0.15">
      <c r="A111" s="4"/>
      <c r="B111" s="212"/>
      <c r="C111" s="213"/>
      <c r="D111" s="213"/>
      <c r="E111" s="213"/>
      <c r="F111" s="213"/>
      <c r="G111" s="213"/>
      <c r="H111" s="213"/>
      <c r="I111" s="211"/>
    </row>
    <row r="112" spans="1:9" ht="18.75" customHeight="1" x14ac:dyDescent="0.15">
      <c r="A112" s="4"/>
      <c r="B112" s="212"/>
      <c r="C112" s="213"/>
      <c r="D112" s="213"/>
      <c r="E112" s="213"/>
      <c r="F112" s="213"/>
      <c r="G112" s="213"/>
      <c r="H112" s="213"/>
      <c r="I112" s="211"/>
    </row>
    <row r="113" spans="1:9" ht="18.75" customHeight="1" x14ac:dyDescent="0.15">
      <c r="A113" s="4"/>
      <c r="B113" s="212"/>
      <c r="C113" s="213"/>
      <c r="D113" s="213"/>
      <c r="E113" s="213"/>
      <c r="F113" s="213"/>
      <c r="G113" s="213"/>
      <c r="H113" s="213"/>
      <c r="I113" s="211"/>
    </row>
    <row r="114" spans="1:9" ht="18.75" customHeight="1" x14ac:dyDescent="0.15">
      <c r="A114" s="4"/>
      <c r="B114" s="212"/>
      <c r="C114" s="213"/>
      <c r="D114" s="213"/>
      <c r="E114" s="213"/>
      <c r="F114" s="213"/>
      <c r="G114" s="213"/>
      <c r="H114" s="213"/>
      <c r="I114" s="211"/>
    </row>
    <row r="115" spans="1:9" ht="18.75" customHeight="1" x14ac:dyDescent="0.15">
      <c r="A115" s="4"/>
      <c r="B115" s="212"/>
      <c r="C115" s="213"/>
      <c r="D115" s="213"/>
      <c r="E115" s="213"/>
      <c r="F115" s="213"/>
      <c r="G115" s="213"/>
      <c r="H115" s="213"/>
      <c r="I115" s="211"/>
    </row>
    <row r="116" spans="1:9" ht="18.75" customHeight="1" x14ac:dyDescent="0.15">
      <c r="A116" s="4"/>
      <c r="B116" s="212"/>
      <c r="C116" s="213"/>
      <c r="D116" s="213"/>
      <c r="E116" s="213"/>
      <c r="F116" s="213"/>
      <c r="G116" s="213"/>
      <c r="H116" s="213"/>
      <c r="I116" s="211"/>
    </row>
    <row r="117" spans="1:9" ht="18.75" customHeight="1" x14ac:dyDescent="0.15">
      <c r="A117" s="4"/>
      <c r="B117" s="212"/>
      <c r="C117" s="213"/>
      <c r="D117" s="213"/>
      <c r="E117" s="213"/>
      <c r="F117" s="213"/>
      <c r="G117" s="213"/>
      <c r="H117" s="213"/>
      <c r="I117" s="211"/>
    </row>
    <row r="118" spans="1:9" ht="18.75" customHeight="1" x14ac:dyDescent="0.15">
      <c r="A118" s="4"/>
      <c r="B118" s="212"/>
      <c r="C118" s="213"/>
      <c r="D118" s="213"/>
      <c r="E118" s="213"/>
      <c r="F118" s="213"/>
      <c r="G118" s="213"/>
      <c r="H118" s="213"/>
      <c r="I118" s="211"/>
    </row>
    <row r="119" spans="1:9" ht="18.75" customHeight="1" x14ac:dyDescent="0.15">
      <c r="A119" s="4"/>
      <c r="B119" s="214"/>
      <c r="C119" s="215"/>
      <c r="D119" s="215"/>
      <c r="E119" s="215"/>
      <c r="F119" s="215"/>
      <c r="G119" s="215"/>
      <c r="H119" s="215"/>
      <c r="I119" s="216"/>
    </row>
    <row r="120" spans="1:9" ht="7.5" customHeight="1" x14ac:dyDescent="0.15">
      <c r="A120" s="4"/>
      <c r="B120" s="19"/>
      <c r="C120" s="19"/>
      <c r="D120" s="19"/>
      <c r="E120" s="19"/>
      <c r="F120" s="19"/>
      <c r="G120" s="19"/>
      <c r="H120" s="19"/>
      <c r="I120" s="19"/>
    </row>
    <row r="121" spans="1:9" ht="18.75" customHeight="1" x14ac:dyDescent="0.15">
      <c r="A121" s="43"/>
      <c r="B121" s="200"/>
      <c r="C121" s="200"/>
      <c r="D121" s="200"/>
      <c r="E121" s="200"/>
      <c r="F121" s="200"/>
      <c r="G121" s="200"/>
      <c r="H121" s="200"/>
      <c r="I121" s="200"/>
    </row>
    <row r="122" spans="1:9" ht="18.75" customHeight="1" x14ac:dyDescent="0.15">
      <c r="A122" s="43"/>
      <c r="B122" s="200"/>
      <c r="C122" s="200"/>
      <c r="D122" s="200"/>
      <c r="E122" s="200"/>
      <c r="F122" s="200"/>
      <c r="G122" s="200"/>
      <c r="H122" s="200"/>
      <c r="I122" s="200"/>
    </row>
    <row r="123" spans="1:9" ht="18.75" customHeight="1" x14ac:dyDescent="0.15">
      <c r="A123" s="4"/>
      <c r="B123" s="60"/>
      <c r="C123" s="60"/>
      <c r="D123" s="60"/>
      <c r="E123" s="60"/>
      <c r="F123" s="60"/>
      <c r="G123" s="60"/>
      <c r="H123" s="60"/>
      <c r="I123" s="61"/>
    </row>
    <row r="124" spans="1:9" ht="18.75" customHeight="1" x14ac:dyDescent="0.15">
      <c r="A124" s="4"/>
      <c r="B124" s="61"/>
      <c r="C124" s="61"/>
      <c r="D124" s="61"/>
      <c r="E124" s="61"/>
      <c r="F124" s="61"/>
      <c r="G124" s="61"/>
      <c r="H124" s="61"/>
      <c r="I124" s="61"/>
    </row>
    <row r="125" spans="1:9" ht="18.75" customHeight="1" x14ac:dyDescent="0.15">
      <c r="A125" s="4"/>
      <c r="B125" s="61"/>
      <c r="C125" s="61"/>
      <c r="D125" s="61"/>
      <c r="E125" s="61"/>
      <c r="F125" s="61"/>
      <c r="G125" s="61"/>
      <c r="H125" s="61"/>
      <c r="I125" s="61"/>
    </row>
    <row r="126" spans="1:9" ht="18.75" customHeight="1" x14ac:dyDescent="0.15">
      <c r="A126" s="4"/>
      <c r="B126" s="61"/>
      <c r="C126" s="61"/>
      <c r="D126" s="61"/>
      <c r="E126" s="61"/>
      <c r="F126" s="61"/>
      <c r="G126" s="61"/>
      <c r="H126" s="61"/>
      <c r="I126" s="61"/>
    </row>
    <row r="127" spans="1:9" ht="18.75" customHeight="1" x14ac:dyDescent="0.15">
      <c r="A127" s="4"/>
      <c r="B127" s="61"/>
      <c r="C127" s="61"/>
      <c r="D127" s="61"/>
      <c r="E127" s="61"/>
      <c r="F127" s="61"/>
      <c r="G127" s="61"/>
      <c r="H127" s="61"/>
      <c r="I127" s="61"/>
    </row>
    <row r="128" spans="1:9" ht="18.75" customHeight="1" x14ac:dyDescent="0.15">
      <c r="A128" s="4"/>
      <c r="B128" s="61"/>
      <c r="C128" s="61"/>
      <c r="D128" s="61"/>
      <c r="E128" s="61"/>
      <c r="F128" s="61"/>
      <c r="G128" s="61"/>
      <c r="H128" s="61"/>
      <c r="I128" s="61"/>
    </row>
    <row r="129" spans="1:9" ht="18.75" customHeight="1" x14ac:dyDescent="0.15">
      <c r="A129" s="4"/>
      <c r="B129" s="61"/>
      <c r="C129" s="61"/>
      <c r="D129" s="61"/>
      <c r="E129" s="61"/>
      <c r="F129" s="61"/>
      <c r="G129" s="61"/>
      <c r="H129" s="61"/>
      <c r="I129" s="61"/>
    </row>
    <row r="130" spans="1:9" ht="18.75" customHeight="1" x14ac:dyDescent="0.15">
      <c r="A130" s="4"/>
      <c r="B130" s="61"/>
      <c r="C130" s="61"/>
      <c r="D130" s="61"/>
      <c r="E130" s="61"/>
      <c r="F130" s="61"/>
      <c r="G130" s="61"/>
      <c r="H130" s="61"/>
      <c r="I130" s="61"/>
    </row>
    <row r="131" spans="1:9" ht="18.75" customHeight="1" x14ac:dyDescent="0.15">
      <c r="A131" s="4"/>
      <c r="B131" s="61"/>
      <c r="C131" s="61"/>
      <c r="D131" s="61"/>
      <c r="E131" s="61"/>
      <c r="F131" s="61"/>
      <c r="G131" s="61"/>
      <c r="H131" s="61"/>
      <c r="I131" s="61"/>
    </row>
    <row r="132" spans="1:9" ht="18.75" customHeight="1" x14ac:dyDescent="0.15">
      <c r="A132" s="4"/>
      <c r="B132" s="61"/>
      <c r="C132" s="61"/>
      <c r="D132" s="61"/>
      <c r="E132" s="61"/>
      <c r="F132" s="61"/>
      <c r="G132" s="61"/>
      <c r="H132" s="61"/>
      <c r="I132" s="61"/>
    </row>
    <row r="133" spans="1:9" ht="14.25" x14ac:dyDescent="0.15">
      <c r="A133" s="4"/>
      <c r="B133" s="61"/>
      <c r="C133" s="61"/>
      <c r="D133" s="61"/>
      <c r="E133" s="61"/>
      <c r="F133" s="61"/>
      <c r="G133" s="61"/>
      <c r="H133" s="61"/>
      <c r="I133" s="61"/>
    </row>
    <row r="134" spans="1:9" ht="7.5" customHeight="1" x14ac:dyDescent="0.15">
      <c r="A134" s="4"/>
      <c r="B134" s="61"/>
      <c r="C134" s="61"/>
      <c r="D134" s="61"/>
      <c r="E134" s="61"/>
      <c r="F134" s="61"/>
      <c r="G134" s="61"/>
      <c r="H134" s="61"/>
      <c r="I134" s="6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2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25" style="1"/>
  </cols>
  <sheetData>
    <row r="1" spans="1:9" ht="18.75" customHeight="1" x14ac:dyDescent="0.15">
      <c r="A1" s="1" t="s">
        <v>125</v>
      </c>
      <c r="I1" s="56" t="s">
        <v>126</v>
      </c>
    </row>
    <row r="2" spans="1:9" ht="18.75" customHeight="1" x14ac:dyDescent="0.15">
      <c r="H2" s="56" t="s">
        <v>2</v>
      </c>
      <c r="I2" s="13" t="str">
        <f>'様式１　プログラムを構成する授業科目'!C2</f>
        <v>広島修道大学</v>
      </c>
    </row>
    <row r="3" spans="1:9" ht="18.75" customHeight="1" x14ac:dyDescent="0.15">
      <c r="A3" s="185" t="s">
        <v>127</v>
      </c>
      <c r="B3" s="185"/>
      <c r="C3" s="185"/>
      <c r="D3" s="185"/>
      <c r="E3" s="185"/>
      <c r="F3" s="185"/>
      <c r="G3" s="185"/>
      <c r="H3" s="185"/>
      <c r="I3" s="185"/>
    </row>
    <row r="4" spans="1:9" ht="18.75" customHeight="1" x14ac:dyDescent="0.15">
      <c r="A4" s="57"/>
      <c r="B4" s="57"/>
      <c r="C4" s="57"/>
      <c r="D4" s="57"/>
      <c r="E4" s="57"/>
      <c r="F4" s="57"/>
      <c r="G4" s="57"/>
      <c r="H4" s="57"/>
      <c r="I4" s="57"/>
    </row>
    <row r="5" spans="1:9" ht="18.75" customHeight="1" x14ac:dyDescent="0.15">
      <c r="A5" s="1" t="s">
        <v>90</v>
      </c>
      <c r="B5" s="9" t="s">
        <v>128</v>
      </c>
      <c r="C5" s="57"/>
      <c r="D5" s="57"/>
      <c r="E5" s="57"/>
      <c r="F5" s="57"/>
      <c r="G5" s="57"/>
      <c r="H5" s="57"/>
      <c r="I5" s="57"/>
    </row>
    <row r="6" spans="1:9" ht="26.25" customHeight="1" x14ac:dyDescent="0.15">
      <c r="A6" s="57"/>
      <c r="B6" s="217" t="s">
        <v>172</v>
      </c>
      <c r="C6" s="263"/>
      <c r="D6" s="263"/>
      <c r="E6" s="263"/>
      <c r="F6" s="263"/>
      <c r="G6" s="263"/>
      <c r="H6" s="264"/>
      <c r="I6" s="3"/>
    </row>
    <row r="7" spans="1:9" ht="9" customHeight="1" x14ac:dyDescent="0.15">
      <c r="A7" s="57"/>
      <c r="B7" s="9"/>
      <c r="C7" s="9"/>
      <c r="D7" s="9"/>
      <c r="E7" s="9"/>
      <c r="F7" s="9"/>
      <c r="G7" s="9"/>
      <c r="H7" s="9"/>
      <c r="I7" s="3"/>
    </row>
    <row r="8" spans="1:9" ht="18.75" customHeight="1" x14ac:dyDescent="0.15">
      <c r="A8" s="57"/>
      <c r="B8" s="3"/>
      <c r="C8" s="3"/>
      <c r="D8" s="56" t="s">
        <v>98</v>
      </c>
      <c r="E8" s="14" t="s">
        <v>168</v>
      </c>
      <c r="F8" s="3"/>
      <c r="G8" s="56" t="s">
        <v>99</v>
      </c>
      <c r="H8" s="14" t="s">
        <v>174</v>
      </c>
      <c r="I8" s="3"/>
    </row>
    <row r="9" spans="1:9" ht="7.5" customHeight="1" x14ac:dyDescent="0.15">
      <c r="A9" s="57"/>
      <c r="B9" s="57"/>
      <c r="C9" s="57"/>
      <c r="D9" s="57"/>
      <c r="E9" s="57"/>
      <c r="F9" s="57"/>
      <c r="G9" s="57"/>
      <c r="H9" s="57"/>
      <c r="I9" s="57"/>
    </row>
    <row r="10" spans="1:9" ht="18.75" customHeight="1" x14ac:dyDescent="0.15">
      <c r="A10" s="1" t="s">
        <v>94</v>
      </c>
      <c r="B10" s="1" t="s">
        <v>129</v>
      </c>
      <c r="C10" s="4"/>
      <c r="D10" s="4"/>
      <c r="E10" s="4"/>
      <c r="F10" s="4"/>
      <c r="G10" s="4"/>
      <c r="H10" s="4"/>
      <c r="I10" s="4"/>
    </row>
    <row r="11" spans="1:9" ht="18.75" customHeight="1" x14ac:dyDescent="0.15">
      <c r="B11" s="201" t="s">
        <v>130</v>
      </c>
      <c r="C11" s="260"/>
      <c r="D11" s="202"/>
      <c r="E11" s="260" t="s">
        <v>131</v>
      </c>
      <c r="F11" s="260"/>
      <c r="G11" s="260"/>
      <c r="H11" s="260"/>
      <c r="I11" s="202"/>
    </row>
    <row r="12" spans="1:9" ht="26.25" customHeight="1" x14ac:dyDescent="0.15">
      <c r="B12" s="20" t="s">
        <v>132</v>
      </c>
      <c r="C12" s="27"/>
      <c r="D12" s="21"/>
      <c r="E12" s="28"/>
      <c r="F12" s="28"/>
      <c r="G12" s="28"/>
      <c r="H12" s="28"/>
      <c r="I12" s="21"/>
    </row>
    <row r="13" spans="1:9" ht="93.6" customHeight="1" x14ac:dyDescent="0.15">
      <c r="B13" s="22"/>
      <c r="C13" s="261" t="s">
        <v>133</v>
      </c>
      <c r="D13" s="262"/>
      <c r="E13" s="257" t="s">
        <v>185</v>
      </c>
      <c r="F13" s="258"/>
      <c r="G13" s="258"/>
      <c r="H13" s="258"/>
      <c r="I13" s="259"/>
    </row>
    <row r="14" spans="1:9" ht="93.95" customHeight="1" x14ac:dyDescent="0.15">
      <c r="B14" s="22"/>
      <c r="C14" s="255" t="s">
        <v>134</v>
      </c>
      <c r="D14" s="256"/>
      <c r="E14" s="257" t="s">
        <v>186</v>
      </c>
      <c r="F14" s="258"/>
      <c r="G14" s="258"/>
      <c r="H14" s="258"/>
      <c r="I14" s="259"/>
    </row>
    <row r="15" spans="1:9" ht="80.45" customHeight="1" x14ac:dyDescent="0.15">
      <c r="B15" s="22"/>
      <c r="C15" s="261" t="s">
        <v>135</v>
      </c>
      <c r="D15" s="262"/>
      <c r="E15" s="257" t="s">
        <v>187</v>
      </c>
      <c r="F15" s="258"/>
      <c r="G15" s="258"/>
      <c r="H15" s="258"/>
      <c r="I15" s="259"/>
    </row>
    <row r="16" spans="1:9" ht="57" customHeight="1" x14ac:dyDescent="0.15">
      <c r="B16" s="22"/>
      <c r="C16" s="261" t="s">
        <v>136</v>
      </c>
      <c r="D16" s="262"/>
      <c r="E16" s="257" t="s">
        <v>188</v>
      </c>
      <c r="F16" s="258"/>
      <c r="G16" s="258"/>
      <c r="H16" s="258"/>
      <c r="I16" s="259"/>
    </row>
    <row r="17" spans="2:9" ht="63.75" customHeight="1" x14ac:dyDescent="0.15">
      <c r="B17" s="23"/>
      <c r="C17" s="265" t="s">
        <v>137</v>
      </c>
      <c r="D17" s="266"/>
      <c r="E17" s="267" t="s">
        <v>189</v>
      </c>
      <c r="F17" s="268"/>
      <c r="G17" s="268"/>
      <c r="H17" s="268"/>
      <c r="I17" s="269"/>
    </row>
    <row r="18" spans="2:9" ht="24" customHeight="1" x14ac:dyDescent="0.15">
      <c r="B18" s="20" t="s">
        <v>138</v>
      </c>
      <c r="C18" s="24"/>
      <c r="D18" s="25"/>
      <c r="E18" s="26"/>
      <c r="F18" s="26"/>
      <c r="G18" s="26"/>
      <c r="H18" s="26"/>
      <c r="I18" s="29"/>
    </row>
    <row r="19" spans="2:9" ht="66.95" customHeight="1" x14ac:dyDescent="0.15">
      <c r="B19" s="22"/>
      <c r="C19" s="261" t="s">
        <v>139</v>
      </c>
      <c r="D19" s="262"/>
      <c r="E19" s="258" t="s">
        <v>190</v>
      </c>
      <c r="F19" s="258"/>
      <c r="G19" s="258"/>
      <c r="H19" s="258"/>
      <c r="I19" s="259"/>
    </row>
    <row r="20" spans="2:9" ht="64.5" customHeight="1" x14ac:dyDescent="0.15">
      <c r="B20" s="23"/>
      <c r="C20" s="265" t="s">
        <v>140</v>
      </c>
      <c r="D20" s="266"/>
      <c r="E20" s="268" t="s">
        <v>191</v>
      </c>
      <c r="F20" s="268"/>
      <c r="G20" s="268"/>
      <c r="H20" s="268"/>
      <c r="I20" s="269"/>
    </row>
    <row r="21" spans="2:9" ht="97.5" customHeight="1" x14ac:dyDescent="0.15">
      <c r="B21" s="275" t="s">
        <v>141</v>
      </c>
      <c r="C21" s="276"/>
      <c r="D21" s="277"/>
      <c r="E21" s="278" t="s">
        <v>192</v>
      </c>
      <c r="F21" s="278"/>
      <c r="G21" s="278"/>
      <c r="H21" s="278"/>
      <c r="I21" s="279"/>
    </row>
    <row r="22" spans="2:9" ht="164.25" customHeight="1" x14ac:dyDescent="0.15">
      <c r="B22" s="270" t="s">
        <v>142</v>
      </c>
      <c r="C22" s="271"/>
      <c r="D22" s="272"/>
      <c r="E22" s="273" t="s">
        <v>193</v>
      </c>
      <c r="F22" s="273"/>
      <c r="G22" s="273"/>
      <c r="H22" s="273"/>
      <c r="I22" s="27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59"/>
      <c r="C28" s="59"/>
      <c r="D28" s="59"/>
      <c r="E28" s="59"/>
      <c r="F28" s="59"/>
      <c r="G28" s="59"/>
      <c r="H28" s="59"/>
      <c r="I28" s="59"/>
    </row>
    <row r="29" spans="2:9" ht="22.5" customHeight="1" x14ac:dyDescent="0.15">
      <c r="B29" s="59"/>
      <c r="C29" s="59"/>
      <c r="D29" s="59"/>
      <c r="E29" s="59"/>
      <c r="F29" s="59"/>
      <c r="G29" s="59"/>
      <c r="H29" s="59"/>
      <c r="I29" s="59"/>
    </row>
    <row r="30" spans="2:9" ht="22.5" customHeight="1" x14ac:dyDescent="0.15">
      <c r="B30" s="59"/>
      <c r="C30" s="59"/>
      <c r="D30" s="59"/>
      <c r="E30" s="59"/>
      <c r="F30" s="59"/>
      <c r="G30" s="59"/>
      <c r="H30" s="59"/>
      <c r="I30" s="59"/>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Kimura Chizuru</dc:creator>
  <cp:keywords/>
  <dc:description/>
  <cp:lastModifiedBy>Itamoto Akiko</cp:lastModifiedBy>
  <cp:revision/>
  <cp:lastPrinted>2025-07-14T03:35:16Z</cp:lastPrinted>
  <dcterms:created xsi:type="dcterms:W3CDTF">2011-06-14T05:32:50Z</dcterms:created>
  <dcterms:modified xsi:type="dcterms:W3CDTF">2025-07-14T03:46:18Z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