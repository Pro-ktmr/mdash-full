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G:\共有ドライブ\情報企画室\99_作業\数理データサイエンスAI\01_教育プログラム\2回目提出（再提出）\"/>
    </mc:Choice>
  </mc:AlternateContent>
  <xr:revisionPtr revIDLastSave="0" documentId="13_ncr:1_{E454A01C-7702-4EF7-BE67-3960D7B493B9}" xr6:coauthVersionLast="47" xr6:coauthVersionMax="47" xr10:uidLastSave="{00000000-0000-0000-0000-000000000000}"/>
  <bookViews>
    <workbookView xWindow="-110" yWindow="-110" windowWidth="19420" windowHeight="11500" firstSheet="1" activeTab="2" xr2:uid="{00000000-000D-0000-FFFF-FFFF00000000}"/>
  </bookViews>
  <sheets>
    <sheet name="様式１　プログラムを構成する授業科目" sheetId="1" r:id="rId1"/>
    <sheet name="様式２ 履修者等数の実績" sheetId="3" r:id="rId2"/>
    <sheet name="様式３ 教育の質・履修者数を向上させるための体制・計画" sheetId="4" r:id="rId3"/>
    <sheet name="様式４　自己点検・評価" sheetId="5" r:id="rId4"/>
  </sheets>
  <definedNames>
    <definedName name="_xlnm.Print_Area" localSheetId="0">'様式１　プログラムを構成する授業科目'!$A$1:$U$104</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mq4a8UDS7MQKxAvSdvu9QqCLpmGsHLfA60MPoaH3p3U="/>
    </ext>
  </extLst>
</workbook>
</file>

<file path=xl/calcChain.xml><?xml version="1.0" encoding="utf-8"?>
<calcChain xmlns="http://schemas.openxmlformats.org/spreadsheetml/2006/main">
  <c r="I2" i="5" l="1"/>
  <c r="H2" i="4"/>
  <c r="Q33" i="3"/>
  <c r="P33" i="3"/>
  <c r="O33" i="3"/>
  <c r="N33" i="3"/>
  <c r="M33" i="3"/>
  <c r="L33" i="3"/>
  <c r="K33" i="3"/>
  <c r="J33" i="3"/>
  <c r="I33" i="3"/>
  <c r="H33" i="3"/>
  <c r="G33" i="3"/>
  <c r="F33" i="3"/>
  <c r="E33" i="3"/>
  <c r="I50" i="4" s="1"/>
  <c r="D33" i="3"/>
  <c r="C33" i="3"/>
  <c r="R32" i="3"/>
  <c r="S32" i="3" s="1"/>
  <c r="R31" i="3"/>
  <c r="S31" i="3" s="1"/>
  <c r="R30" i="3"/>
  <c r="S30" i="3" s="1"/>
  <c r="R29" i="3"/>
  <c r="S29" i="3" s="1"/>
  <c r="R28" i="3"/>
  <c r="S28" i="3" s="1"/>
  <c r="R27" i="3"/>
  <c r="S27" i="3" s="1"/>
  <c r="R26" i="3"/>
  <c r="S26" i="3" s="1"/>
  <c r="R25" i="3"/>
  <c r="S25" i="3" s="1"/>
  <c r="R24" i="3"/>
  <c r="S24" i="3" s="1"/>
  <c r="R23" i="3"/>
  <c r="S23" i="3" s="1"/>
  <c r="R22" i="3"/>
  <c r="S22" i="3" s="1"/>
  <c r="R21" i="3"/>
  <c r="S21" i="3" s="1"/>
  <c r="R20" i="3"/>
  <c r="S20" i="3" s="1"/>
  <c r="R19" i="3"/>
  <c r="S19" i="3" s="1"/>
  <c r="R18" i="3"/>
  <c r="S18" i="3" s="1"/>
  <c r="R17" i="3"/>
  <c r="S17" i="3" s="1"/>
  <c r="R16" i="3"/>
  <c r="S16" i="3" s="1"/>
  <c r="R15" i="3"/>
  <c r="S15" i="3" s="1"/>
  <c r="R14" i="3"/>
  <c r="R33" i="3" s="1"/>
  <c r="S33" i="3" s="1"/>
  <c r="C49" i="4" s="1"/>
  <c r="R13" i="3"/>
  <c r="S13" i="3" s="1"/>
  <c r="M7" i="3"/>
  <c r="Q2" i="3"/>
  <c r="S14" i="3" l="1"/>
</calcChain>
</file>

<file path=xl/sharedStrings.xml><?xml version="1.0" encoding="utf-8"?>
<sst xmlns="http://schemas.openxmlformats.org/spreadsheetml/2006/main" count="289" uniqueCount="188">
  <si>
    <t>様式１</t>
  </si>
  <si>
    <t>「学部・学科によって、修了要件は相違する」場合は、本シートを複製の上＜様式１－〇＞と枝番号を付してください</t>
  </si>
  <si>
    <t>大学等名</t>
  </si>
  <si>
    <t>星薬科大学</t>
  </si>
  <si>
    <t>プログラム名</t>
  </si>
  <si>
    <t>HOSHI 数理・データサイエンス・AI教育プログラム</t>
  </si>
  <si>
    <t>リテラシーレベルのプログラムを構成する授業科目について</t>
  </si>
  <si>
    <t>① 教育プログラムの修了要件</t>
  </si>
  <si>
    <t>学部・学科によって、修了要件は相違しない</t>
  </si>
  <si>
    <t>② 対象となる学部・学科名称</t>
  </si>
  <si>
    <t>③ 修了要件</t>
  </si>
  <si>
    <t>【プルダウンリスト】</t>
  </si>
  <si>
    <t>令和６年度以前より、履修することが必須のプログラムとして実施</t>
  </si>
  <si>
    <t>令和９年度までに履修必須とする計画</t>
  </si>
  <si>
    <t>令和１０年度以降に履修必須とする計画、又は未定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</si>
  <si>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</si>
  <si>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</si>
  <si>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</si>
  <si>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</si>
  <si>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</si>
  <si>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</si>
  <si>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</si>
  <si>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</si>
  <si>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</si>
  <si>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</si>
  <si>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情報科学と情報倫理</t>
  </si>
  <si>
    <t>◯</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</si>
  <si>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</si>
  <si>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</si>
  <si>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</si>
  <si>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</si>
  <si>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</si>
  <si>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</si>
  <si>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</si>
  <si>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情報リテラシー</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</si>
  <si>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</si>
  <si>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</si>
  <si>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</si>
  <si>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</si>
  <si>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</si>
  <si>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</si>
  <si>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</si>
  <si>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情報科学演習</t>
  </si>
  <si>
    <t>⑨ 選択「４．オプション」の内容を含む授業科目</t>
  </si>
  <si>
    <t>選択項目</t>
  </si>
  <si>
    <t>4-1統計および数理基礎</t>
  </si>
  <si>
    <t>4‐2アルゴリズム基礎</t>
  </si>
  <si>
    <t>4‐3データ構造とプログラミング基礎</t>
  </si>
  <si>
    <t>4‐4時系列データ解析</t>
  </si>
  <si>
    <t>4‐5自然言語処理</t>
  </si>
  <si>
    <t>4‐6画像認識</t>
  </si>
  <si>
    <t>4‐7データハンドリング</t>
  </si>
  <si>
    <t>4‐8データ活用実践（教師あり学習）</t>
  </si>
  <si>
    <t>4‐9データ活用実践（教師なし学習）</t>
  </si>
  <si>
    <t>⑩ プログラムを構成する授業の内容</t>
  </si>
  <si>
    <t>その他</t>
  </si>
  <si>
    <t>授業に含まれている内容・要素</t>
  </si>
  <si>
    <t>講義内容</t>
  </si>
  <si>
    <t>（１）現在進行中の社会変化（第４次産業革命、Society 5.0、データ駆動型社会等）に深く寄与しているものであり、それが自らの生活と密接に結びついている</t>
  </si>
  <si>
    <t xml:space="preserve">社会で起きている変化を知り、数理・データサイエンス・AIを学ぶことの意義を理解するAIを活用した新しいビジネス/サービスを知る
・データサイエンスが注目されている背景（データ量の増加、計算機の処理性能の向上） 「情報科学と情報倫理」（第9回）
・ビッグデータ、データ駆動型社会（ビッグデータの特徴3V、ビッグデータが注目される理由） 「情報科学と情報倫理」（第9回）
・データを起点としたものの見方（EBM）「情報科学と情報倫理」（第9回）
・機械学習と脳のモデル（人間の知的活動とＡＩの関係性） 「情報科学と情報倫理」（第10回）
</t>
  </si>
  <si>
    <t>データ・AI利活用における最新動向（ビジネスモデル、テクノロジー）を知る
・AI等を活用したビジネスモデル（従来のデータ分析との違い、ビッグデータを利用した付加価値の向上）「情報科学と情報倫理」（第９回）
・AIの最新技術の活用例（大規模言語モデル、GAN）「データサイエンス入門」（第5回）・深層学習、大規模言語モデルなどのAI最新動向例 「情報科学と情報倫理」（第10回）</t>
  </si>
  <si>
    <t>（２）「社会で活用されているデータ」や「データの活用領域」は非常に広範囲であって、日常生活や社会の課題を解決する有用なツールになり得るもの</t>
  </si>
  <si>
    <t>どんなデータが集められ、どう活用されているかを知る
・非構造化データ（テキストデータ） 「情報科学と情報倫理」（第10回）
・人の行動ログデータ、機械の稼働ログデータ「情報科学と情報倫理」（第９回、第１４回）
・ビッグデータとオープンデータ「情報科学と情報倫理」（第９回）
・生体情報データ「情報科学と情報倫理」（第1４回）</t>
  </si>
  <si>
    <t>さまざまな領域でデータ・AIが活用されていることを知る
・データ・AI活用の広がり（行政と統計とデータサイエンス）「情報科学と情報倫理」（第１３回）
・データ・AI活用の広がり（投資とリスクのデータサイエンス） 「情報科学と情報倫理」（第1４回）
・データ・AI活用の広がり（医療）「情報科学と情報倫理」（第1４回）
・データ・AI活用の広がり（医薬品開発） 「情報科学と情報倫理」（第1４回）
・機械学習の展開 「情報科学と情報倫理」（第1２回）</t>
  </si>
  <si>
    <t>（３）様々なデータ利活用の現場におけるデータ利活用事例が示され、様々な適用領域（流通、製造、金融、サービス、インフラ、公共、ヘルスケア等）の知見と組み合わせることで価値を創出するもの</t>
  </si>
  <si>
    <t>データ・AIを活用するために使われている技術の概要を知る
・データ解析（クラスタリング、ワードクラウド） 「情報科学と情報倫理」（第１０回）
・データ可視化（ワードクラウド） 「情報科学と情報倫理」（第１０回）
・非構造化データ処理（テキストマイニング、言語処理） 「情報科学と情報倫理」（第1２回）
・特化型AI（教師あり学習）、今のAIでできることできないこと（生成AIを例に） 「情報科学と情報倫理」（第1２回）
・推論技術、モデル検査技術「情報科学と情報倫理」（第1２回）
・シミュレーション（マルチスケールモデリング）「情報科学と情報倫理」（第1２回）
・ベイズ推論を用いた予測 「情報科学と情報倫理」（第1２回）
・機械学習、AI最新動向「情報科学と情報倫理」（第1１回）</t>
  </si>
  <si>
    <t>データ・AIを活用することによって、どのような価値が生まれているかを知る
・AI技術の利活用事例（自動走行車）「情報科学と情報倫理」（第1２回）
・データ解析・活用のプロセス 「情報科学と情報倫理」（第1２回）
・AI技術の利活用事例（流行予測、疾病マップ）「情報科学と情報倫理」（第1２回）
・ヘルスケア等におけるデータ・AIの活用事例 「情報科学と情報倫理」（第1２回）、情報リテラシー（第13回、第14回）</t>
  </si>
  <si>
    <t>（４）活用に当たっての様々な留意事項（ELSI、個人情報、データ倫理、ＡＩ社会原則等）を考慮し、情報セキュリティや情報漏洩等、データを守る上での留意事項への理解をする</t>
  </si>
  <si>
    <t>データ・AIを利活用する上で知っておくべきこと
・AI社会原則（人間中心判断）、データバイアス、データ倫理  「情報科学と情報倫理」（第1２回）
・AIサービスの責任論（LLMの影響）、AIの負の事例（AIブラックボックス性）、データバイアス、AIの限界 「情報科学と情報倫理」（第1２回）
・個人情報保護 「情報科学と情報倫理」（第1２回）
・プライバシーとコンテンツの保護  「情報科学と情報倫理」（第1２回）
・情報倫理 「情報科学と情報倫理」（第1２回）</t>
  </si>
  <si>
    <t>データを守る上で知っておくべきこと
・セキュリティ関連法規、情報セキュリティ「情報科学と情報倫理」（第1２回）
・セキュリティ事故（脅威と脆弱性）「情報科学と情報倫理」（第1２回）
・暗号化技術「情報科学と情報倫理」（第1２回）</t>
  </si>
  <si>
    <t>（５）実データ・実課題（学術データ等を含む）を用いた演習など、社会での実例を題材として、「データを読む、説明する、扱う」といった数理・データサイエンス・ＡＩの基本的な活用法に関するもの</t>
  </si>
  <si>
    <t>データを適切に読み解く力を養う
・クロス集計「情報リテラシー」（第１回～第６回）、「情報科学演習」（第１～５回）
・基本統計量(最大値、最小値)、相関分析「情報リテラシー」（第１回～第６回）
・基本統計量(平均、分散)、データ分布「情報リテラシー」（第１回～第６回）
・統計情報の正しい理解（データ分析のビジネス上での重要性）</t>
  </si>
  <si>
    <t>データを適切に説明する力を養う
・データの比較（研究デザイン）「情報リテラシー」（第１回～第６回）、「情報科学演習」（第１～５回）
・Rによるデータ分析概説(データの表現、可視化)「情報科学と情報倫理」（第1２回）
・Rによる回帰分析、検定「情報科学と情報倫理」（第1２回）</t>
  </si>
  <si>
    <t>データを扱うための力を養う
・データの集計、並び替え、データ解析ツール「情報リテラシー」（第１回～第６回）</t>
  </si>
  <si>
    <t>⑪ プログラムの学修成果（学生等が身に付けられる能力等）</t>
  </si>
  <si>
    <t>現代社会における数理・データサイエンス・AIの必要性を理解し、その基盤となる基礎知識、技術から実際の活用事例までを理解する。その過程においては、データを扱うための汎用的な技能、データの扱いに関する法律やモラルといった倫理観についても身に付ける。</t>
  </si>
  <si>
    <t>様式２</t>
  </si>
  <si>
    <t>リテラシーレベルのプログラムの履修者数等の実績について</t>
  </si>
  <si>
    <t>①プログラム開設年度</t>
  </si>
  <si>
    <t>令和5</t>
  </si>
  <si>
    <t>年度（和暦）</t>
  </si>
  <si>
    <t>②大学等全体の男女別学生数</t>
  </si>
  <si>
    <t>男性</t>
  </si>
  <si>
    <t>人</t>
  </si>
  <si>
    <t>女性</t>
  </si>
  <si>
    <t>（</t>
  </si>
  <si>
    <t>合計</t>
  </si>
  <si>
    <t>）</t>
  </si>
  <si>
    <t>（令和６年５月１日時点）</t>
  </si>
  <si>
    <t>③履修者・修了者の実績</t>
  </si>
  <si>
    <t>学部・学科名称</t>
  </si>
  <si>
    <t>学生数</t>
  </si>
  <si>
    <t>入学
定員</t>
  </si>
  <si>
    <t>収容
定員</t>
  </si>
  <si>
    <t>令和6年度</t>
  </si>
  <si>
    <t>令和5年度</t>
  </si>
  <si>
    <t>令和4年度</t>
  </si>
  <si>
    <t>令和3年度</t>
  </si>
  <si>
    <t>令和2年度</t>
  </si>
  <si>
    <t>令和元年度</t>
  </si>
  <si>
    <t>履修者数
合計</t>
  </si>
  <si>
    <t>履修率</t>
  </si>
  <si>
    <t>履修者数</t>
  </si>
  <si>
    <t>修了者数</t>
  </si>
  <si>
    <t>薬学部薬学科</t>
  </si>
  <si>
    <t>薬学部創薬科学科</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</si>
  <si>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</si>
  <si>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</si>
  <si>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</si>
  <si>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</si>
  <si>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</si>
  <si>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</si>
  <si>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</si>
  <si>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</si>
  <si>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</si>
  <si>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</si>
  <si>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</si>
  <si>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</si>
  <si>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</si>
  <si>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牛島　俊和</t>
  </si>
  <si>
    <t>（役職名）</t>
  </si>
  <si>
    <t>学長</t>
  </si>
  <si>
    <t>④</t>
  </si>
  <si>
    <t>プログラムを改善・進化させるための体制（委員会・組織等）</t>
  </si>
  <si>
    <t>教務委員会 および 星薬科大学FD委員会</t>
  </si>
  <si>
    <t>東　伸昭 ／ 阿川　敏恵</t>
  </si>
  <si>
    <t>教務部長 ／ FD委員長</t>
  </si>
  <si>
    <t>⑤</t>
  </si>
  <si>
    <t>プログラムを改善・進化させるための体制を定める規則名称</t>
  </si>
  <si>
    <t>星薬科大学教務委員会規程 および 星薬科大学ＦＤ委員会規程</t>
  </si>
  <si>
    <t>⑥</t>
  </si>
  <si>
    <t>体制の目的</t>
  </si>
  <si>
    <t>教務委員会を通じて全学的な観点から履修体制を整えるとともに、FD活動を通じて数理・データサイエンス・AI分野を含む教育の質を確保することを目的とする。</t>
  </si>
  <si>
    <t>⑦</t>
  </si>
  <si>
    <t>具体的な構成員</t>
  </si>
  <si>
    <t>⑧</t>
  </si>
  <si>
    <r>
      <rPr>
        <sz val="12"/>
        <color rgb="FF000000"/>
        <rFont val="MS PGothic"/>
        <family val="3"/>
        <charset val="128"/>
      </rPr>
      <t xml:space="preserve">履修者数・履修率の向上に向けた計画 </t>
    </r>
    <r>
      <rPr>
        <sz val="6"/>
        <color rgb="FF000000"/>
        <rFont val="ＭＳ Ｐゴシック"/>
        <family val="3"/>
        <charset val="128"/>
      </rPr>
      <t>※様式１の「履修必須の有無」で「計画がある」としている場合は詳細について記載すること</t>
    </r>
  </si>
  <si>
    <t>令和６年度実績</t>
  </si>
  <si>
    <t>令和７年度予定</t>
  </si>
  <si>
    <t>令和８年度予定</t>
  </si>
  <si>
    <t>令和９年度予定</t>
  </si>
  <si>
    <t>令和１０年度予定</t>
  </si>
  <si>
    <t>収容定員（名）</t>
  </si>
  <si>
    <t>具体的な計画</t>
  </si>
  <si>
    <t>本プログラムを構成する科目は薬学科・創薬科学科共通科目であり、全て必修科目となっている。したがって、年度進行とともに令和8年度には創薬科学科（4年制）、令和10年度には薬学科（6年制）の全ての学年において100%を達成する予定である。</t>
  </si>
  <si>
    <t>⑨</t>
  </si>
  <si>
    <t>学部・学科に関係なく希望する学生全員が受講可能となるような必要な体制・取組等</t>
  </si>
  <si>
    <t>本プログラムを構成する科目は薬学科・創薬科学科共通科目であり、全て必修科目である。このため既に、学部・学科に関係なく希望する学生全員が受講可能である。</t>
  </si>
  <si>
    <t>⑩</t>
  </si>
  <si>
    <t>できる限り多くの学生が履修できるような具体的な周知方法・取組</t>
  </si>
  <si>
    <t>前述の通り、本プログラムを構成する科目は薬学科・創薬科学科共通科目であり、全て必修科目である。プログラムの内容は大学の公式サイトで公表しており、プログラムを構成する各講義の内容をシラバスで周知している。</t>
  </si>
  <si>
    <t>⑪</t>
  </si>
  <si>
    <t>できる限り多くの学生が履修・修得できるようなサポート体制</t>
  </si>
  <si>
    <t>前述の通り、本プログラムを構成する科目は薬学科・創薬科学科共通科目であり、全て必修科目である。</t>
  </si>
  <si>
    <t>⑫</t>
  </si>
  <si>
    <t>授業時間内外で学習指導、質問を受け付ける具体的な仕組み</t>
  </si>
  <si>
    <t>シラバスにオフィスアワーを明示しており、学生は自由に教員を訪問して学習指導を受け、質問を行うことができる。また、2025年度からは講義自動録画システムを導入し、受講者が講義録画を復習に利用可能な体制を整えた。</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</si>
  <si>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</si>
  <si>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</si>
  <si>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</si>
  <si>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</si>
  <si>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</si>
  <si>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</si>
  <si>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</si>
  <si>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</si>
  <si>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</si>
  <si>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本プログラムの履修内容は、数理・データサイエンス・AI教育（リテラシーレベル）の要件を満たしていると評価している。
薬学教育モデル・コア・カリキュラムが令和４年度版として改訂されたことをふまえ、令和６年度からは生成AIなどAIに対する対応方法や倫理面などを取り入れるようにしている。本プログラムに関する履修・修得の状況については教務委員会及び星薬科大学FD委員会にて確認を行う。具体的な確認、点検作業については教育改革を行う組織であるFD委員会にて行う。プログラムを構成する科目はすべて必修科目であるため、履修率について問題となることはなく、単位修得状況のみを確認することになる。</t>
  </si>
  <si>
    <t>学修成果</t>
  </si>
  <si>
    <t>本学ではすべての授業科目に対して、学期終了時に「授業評価アンケート」を実施している。アンケート項目は、学生自身が「目標を明確に意識する」「主体的に学修に取り組む」「その成果を自ら適切に評価する」「さらに必要な学びに踏み出す」という点に焦点をあて、受講生の自律的学修状況を教員にフィードバックすることで学生の学修成果を把握し、今後の教育内容の改善に活用している。</t>
  </si>
  <si>
    <t>学生アンケート等を通じた学生の内容の理解度</t>
  </si>
  <si>
    <t>上記「学修成果」の項目に記載したものの中に、各回の内容や課題作成についてどこまで理解できたかを段階別評価で回答してもらっており、それによって学生の理解度を把握している。</t>
  </si>
  <si>
    <t>学生アンケート等を通じた後輩等他の学生への推奨度</t>
  </si>
  <si>
    <t>現在実施している「授業評価アンケート」では、当該科目を後輩に薦めるかどうかといった項目を置いていない。しかし、本プログラムを構成する科目はすべて必修科目となっているため、後輩等他の学生への推奨度を調査する必要はないと考える。</t>
  </si>
  <si>
    <t>全学的な履修者数、履修率向上に向けた計画の達成・進捗状況</t>
  </si>
  <si>
    <t>本プログラムを構成する科目はすべて必修科目となっており、履修しないと進級できないため履修率は100%となる。</t>
  </si>
  <si>
    <t>学外からの視点</t>
  </si>
  <si>
    <t>教育プログラム修了者の進路、活躍状況、企業等の評価</t>
  </si>
  <si>
    <t>本プログラム開始は令和5年度であり、卒業生が社会に出るのは令和8年度以降となる。現時点ですでに卒後調査の実施がされており、可能な範囲で活躍状況等の調査を実施する予定である。また、キャリア教育等で企業の担当者と接する機会があるので、その際に卒業生の評価を訊ねたい。</t>
  </si>
  <si>
    <t>産業界からの視点を含めた教育プログラム内容・手法等への意見</t>
  </si>
  <si>
    <t>本プログラムに対して産業界から直接意見をもらうといったことはこれまで行っていない。しかし、令和7年度から本プログラムに追加される科目「データサイエンスの基礎と応用」の中で行うオープンイノベーション研究会においては、キャリア教育を通して産業界との交流が見込まれており、意見を求める機会を設けたいと考えている。</t>
  </si>
  <si>
    <t>数理・データサイエンス・ＡＩを「学ぶ楽しさ」「学ぶことの意義」を理解させること</t>
  </si>
  <si>
    <t>本プログラムの授業科目の導入において、時事的なトピックを交えて、数理・データサイエンス・AIを学ぶ意義等について理解を深めるよう取り組んでいる。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</si>
  <si>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</si>
  <si>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授業内容については、年度ごとに担当教員が確認を行っており、教材のリニューアルなどコンテンツの充実を行うこととしている。</t>
  </si>
  <si>
    <t>「情報科学演習」(0.5単位）、情報科学と情報倫理（1.5単位）、情報リテラシー（1.5単位）の合計3.5単位を取得すること。</t>
    <phoneticPr fontId="10"/>
  </si>
  <si>
    <t xml:space="preserve">教務委員会                
東　伸昭           委員長（教務部長）／教授
山﨑　正博        副委員長／教授
葛巻　直子        副委員長／准教授
森田　博史        教授
叶　直樹           教授
成田　年           教授
中川　弘一        教授
寺門　浩之        教授
輪千　浩史        教授
眞鍋　史乃        教授
千葉　義彦        教授
瀬尾　昌弘        教務部次長
内田　順也        教務部課長補佐
</t>
    <phoneticPr fontId="10"/>
  </si>
  <si>
    <t>星薬科大学ＦＤ委員会                
阿川　敏恵        委員長／教授
廣瀬　農           副委員長／准教授
山﨑　正博        教授
児玉　耕太        教授
東　伸昭           教務部長／教授
瀬尾　昌弘        教務部次長
浅野　千裕        教務部係長
塚田　智也        学生支援部課長</t>
    <phoneticPr fontId="10"/>
  </si>
  <si>
    <t>教務委員会 および 星薬科大学FD委員会</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</si>
</sst>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font>
      <sz val="11"/>
      <color theme="1"/>
      <name val="Calibri"/>
      <scheme val="minor"/>
    </font>
    <font>
      <sz val="12"/>
      <color rgb="FF000000"/>
      <name val="MS PGothic"/>
      <family val="3"/>
      <charset val="128"/>
    </font>
    <font>
      <sz val="11"/>
      <color rgb="FF000000"/>
      <name val="MS PGothic"/>
      <family val="3"/>
      <charset val="128"/>
    </font>
    <font>
      <sz val="11"/>
      <name val="Calibri"/>
      <family val="2"/>
    </font>
    <font>
      <sz val="10"/>
      <color rgb="FF000000"/>
      <name val="MS PGothic"/>
      <family val="3"/>
      <charset val="128"/>
    </font>
    <font>
      <sz val="14"/>
      <color rgb="FF000000"/>
      <name val="MS PGothic"/>
      <family val="3"/>
      <charset val="128"/>
    </font>
    <font>
      <sz val="9"/>
      <color rgb="FF000000"/>
      <name val="MS PGothic"/>
      <family val="3"/>
      <charset val="128"/>
    </font>
    <font>
      <sz val="7"/>
      <color rgb="FF000000"/>
      <name val="MS PGothic"/>
      <family val="3"/>
      <charset val="128"/>
    </font>
    <font>
      <sz val="12"/>
      <color rgb="FFFF0000"/>
      <name val="MS PGothic"/>
      <family val="3"/>
      <charset val="128"/>
    </font>
    <font>
      <sz val="6"/>
      <color rgb="FF000000"/>
      <name val="ＭＳ Ｐゴシック"/>
      <family val="3"/>
      <charset val="128"/>
    </font>
    <font>
      <sz val="6"/>
      <name val="Calibri"/>
      <family val="3"/>
      <charset val="128"/>
      <scheme val="minor"/>
    </font>
    <font>
      <sz val="8"/>
      <color rgb="FF000000"/>
      <name val="MS PGothic"/>
      <family val="3"/>
      <charset val="128"/>
    </font>
    <font>
      <sz val="8"/>
      <name val="ＭＳ Ｐゴシック"/>
      <family val="3"/>
      <charset val="128"/>
    </font>
  </fonts>
  <fills count="3">
    <fill>
      <patternFill patternType="none"/>
    </fill>
    <fill>
      <patternFill patternType="gray125"/>
    </fill>
    <fill>
      <patternFill patternType="solid">
        <fgColor rgb="FFF2F2F2"/>
        <bgColor rgb="FFF2F2F2"/>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181">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5"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0" xfId="0" applyFont="1" applyAlignment="1">
      <alignment vertical="center" wrapText="1"/>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6" fillId="0" borderId="27"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30"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6" fillId="0" borderId="33" xfId="0" applyNumberFormat="1" applyFont="1" applyBorder="1" applyAlignment="1">
      <alignment horizontal="center" vertical="center"/>
    </xf>
    <xf numFmtId="49" fontId="6" fillId="0" borderId="34" xfId="0" applyNumberFormat="1" applyFont="1" applyBorder="1" applyAlignment="1">
      <alignment horizontal="center" vertical="center"/>
    </xf>
    <xf numFmtId="0" fontId="1" fillId="0" borderId="1" xfId="0" applyFont="1" applyBorder="1" applyAlignment="1">
      <alignment vertical="center"/>
    </xf>
    <xf numFmtId="3" fontId="1" fillId="0" borderId="1" xfId="0" applyNumberFormat="1" applyFont="1" applyBorder="1" applyAlignment="1">
      <alignment vertical="center"/>
    </xf>
    <xf numFmtId="0" fontId="4" fillId="0" borderId="0" xfId="0" applyFont="1" applyAlignment="1">
      <alignment horizontal="center" vertical="center"/>
    </xf>
    <xf numFmtId="0" fontId="7" fillId="0" borderId="21" xfId="0" applyFont="1" applyBorder="1" applyAlignment="1">
      <alignment horizontal="center" vertical="center"/>
    </xf>
    <xf numFmtId="0" fontId="7" fillId="0" borderId="25" xfId="0" applyFont="1" applyBorder="1" applyAlignment="1">
      <alignment horizontal="center" vertical="center"/>
    </xf>
    <xf numFmtId="0" fontId="1" fillId="0" borderId="36" xfId="0" applyFont="1" applyBorder="1" applyAlignment="1">
      <alignment horizontal="left" vertical="center" shrinkToFit="1"/>
    </xf>
    <xf numFmtId="38" fontId="1" fillId="0" borderId="37" xfId="0" applyNumberFormat="1" applyFont="1" applyBorder="1" applyAlignment="1">
      <alignment vertical="center" shrinkToFit="1"/>
    </xf>
    <xf numFmtId="38" fontId="1" fillId="0" borderId="0" xfId="0" applyNumberFormat="1" applyFont="1" applyAlignment="1">
      <alignment vertical="center" shrinkToFit="1"/>
    </xf>
    <xf numFmtId="38" fontId="1" fillId="0" borderId="11" xfId="0" applyNumberFormat="1" applyFont="1" applyBorder="1" applyAlignment="1">
      <alignment vertical="center" shrinkToFit="1"/>
    </xf>
    <xf numFmtId="38" fontId="1" fillId="0" borderId="36" xfId="0" applyNumberFormat="1" applyFont="1" applyBorder="1" applyAlignment="1">
      <alignment vertical="center" shrinkToFit="1"/>
    </xf>
    <xf numFmtId="9" fontId="1" fillId="0" borderId="37"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38"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9" xfId="0" applyNumberFormat="1" applyFont="1" applyBorder="1" applyAlignment="1">
      <alignment vertical="center" shrinkToFit="1"/>
    </xf>
    <xf numFmtId="0" fontId="1" fillId="0" borderId="39" xfId="0" applyFont="1" applyBorder="1" applyAlignment="1">
      <alignment horizontal="lef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9" fontId="1" fillId="0" borderId="43" xfId="0" applyNumberFormat="1" applyFont="1" applyBorder="1" applyAlignment="1">
      <alignment vertical="center" shrinkToFit="1"/>
    </xf>
    <xf numFmtId="0" fontId="6" fillId="0" borderId="0" xfId="0" applyFont="1" applyAlignment="1">
      <alignment vertical="center"/>
    </xf>
    <xf numFmtId="0" fontId="2" fillId="0" borderId="0" xfId="0" applyFont="1" applyAlignment="1">
      <alignment horizontal="left" vertical="center"/>
    </xf>
    <xf numFmtId="0" fontId="6"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6" fillId="0" borderId="0" xfId="0" applyFont="1" applyAlignment="1">
      <alignment vertical="top" shrinkToFit="1"/>
    </xf>
    <xf numFmtId="0" fontId="8" fillId="0" borderId="0" xfId="0" applyFont="1" applyAlignment="1">
      <alignment vertical="center"/>
    </xf>
    <xf numFmtId="0" fontId="1" fillId="0" borderId="0" xfId="0" applyFont="1" applyAlignment="1">
      <alignment vertical="top" shrinkToFit="1"/>
    </xf>
    <xf numFmtId="0" fontId="1" fillId="0" borderId="1" xfId="0" applyFont="1" applyBorder="1" applyAlignment="1">
      <alignment horizontal="left" vertical="center"/>
    </xf>
    <xf numFmtId="0" fontId="1" fillId="2" borderId="47" xfId="0" applyFont="1" applyFill="1" applyBorder="1" applyAlignment="1">
      <alignment vertical="center"/>
    </xf>
    <xf numFmtId="0" fontId="6" fillId="2" borderId="48" xfId="0" applyFont="1" applyFill="1" applyBorder="1" applyAlignment="1">
      <alignment vertical="top" wrapText="1"/>
    </xf>
    <xf numFmtId="0" fontId="6" fillId="2" borderId="49" xfId="0" applyFont="1" applyFill="1" applyBorder="1" applyAlignment="1">
      <alignment vertical="top" wrapText="1"/>
    </xf>
    <xf numFmtId="0" fontId="1" fillId="2" borderId="48" xfId="0" applyFont="1" applyFill="1" applyBorder="1" applyAlignment="1">
      <alignment vertical="center"/>
    </xf>
    <xf numFmtId="0" fontId="6" fillId="2" borderId="47" xfId="0" applyFont="1" applyFill="1" applyBorder="1" applyAlignment="1">
      <alignment vertical="top" wrapText="1"/>
    </xf>
    <xf numFmtId="0" fontId="6" fillId="2" borderId="51" xfId="0" applyFont="1" applyFill="1" applyBorder="1" applyAlignment="1">
      <alignment vertical="top" wrapText="1"/>
    </xf>
    <xf numFmtId="0" fontId="6" fillId="2" borderId="53" xfId="0" applyFont="1" applyFill="1" applyBorder="1" applyAlignment="1">
      <alignment vertical="top" wrapText="1"/>
    </xf>
    <xf numFmtId="0" fontId="6" fillId="2" borderId="54" xfId="0" applyFont="1" applyFill="1" applyBorder="1" applyAlignment="1">
      <alignment vertical="top" wrapText="1"/>
    </xf>
    <xf numFmtId="0" fontId="6" fillId="2" borderId="53" xfId="0" applyFont="1" applyFill="1" applyBorder="1" applyAlignment="1">
      <alignment vertical="top" shrinkToFit="1"/>
    </xf>
    <xf numFmtId="0" fontId="6" fillId="2" borderId="54" xfId="0" applyFont="1" applyFill="1" applyBorder="1" applyAlignment="1">
      <alignment vertical="top" shrinkToFit="1"/>
    </xf>
    <xf numFmtId="0" fontId="1" fillId="0" borderId="0" xfId="0" applyFont="1" applyAlignment="1">
      <alignment vertical="center" wrapText="1"/>
    </xf>
    <xf numFmtId="0" fontId="0" fillId="0" borderId="0" xfId="0"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5" xfId="0" applyFont="1" applyBorder="1" applyAlignment="1">
      <alignment horizontal="center" vertical="center"/>
    </xf>
    <xf numFmtId="0" fontId="3" fillId="0" borderId="6" xfId="0" applyFont="1" applyBorder="1" applyAlignment="1">
      <alignment vertical="center"/>
    </xf>
    <xf numFmtId="0" fontId="3" fillId="0" borderId="7" xfId="0" applyFont="1" applyBorder="1" applyAlignment="1">
      <alignment vertical="center"/>
    </xf>
    <xf numFmtId="0" fontId="1" fillId="0" borderId="5"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8" xfId="0" applyFont="1" applyBorder="1" applyAlignment="1">
      <alignment horizontal="center" vertical="center" shrinkToFit="1"/>
    </xf>
    <xf numFmtId="0" fontId="3" fillId="0" borderId="9" xfId="0" applyFont="1" applyBorder="1" applyAlignment="1">
      <alignment vertical="center"/>
    </xf>
    <xf numFmtId="0" fontId="3" fillId="0" borderId="10" xfId="0" applyFont="1" applyBorder="1" applyAlignment="1">
      <alignment vertical="center"/>
    </xf>
    <xf numFmtId="0" fontId="6" fillId="0" borderId="26" xfId="0" applyFont="1" applyBorder="1" applyAlignment="1">
      <alignment vertical="center" wrapText="1"/>
    </xf>
    <xf numFmtId="0" fontId="3" fillId="0" borderId="31" xfId="0" applyFont="1" applyBorder="1" applyAlignment="1">
      <alignment vertical="center"/>
    </xf>
    <xf numFmtId="0" fontId="3" fillId="0" borderId="28" xfId="0" applyFont="1" applyBorder="1" applyAlignment="1">
      <alignment vertical="center"/>
    </xf>
    <xf numFmtId="49" fontId="6" fillId="0" borderId="13" xfId="0" applyNumberFormat="1" applyFont="1" applyBorder="1" applyAlignment="1">
      <alignment horizontal="left" vertical="center" wrapText="1"/>
    </xf>
    <xf numFmtId="0" fontId="3" fillId="0" borderId="14" xfId="0" applyFont="1" applyBorder="1" applyAlignment="1">
      <alignment vertical="center" wrapText="1"/>
    </xf>
    <xf numFmtId="0" fontId="3" fillId="0" borderId="15" xfId="0" applyFont="1" applyBorder="1" applyAlignment="1">
      <alignment vertical="center" wrapText="1"/>
    </xf>
    <xf numFmtId="49" fontId="6" fillId="0" borderId="21" xfId="0" applyNumberFormat="1" applyFont="1" applyBorder="1" applyAlignment="1">
      <alignment horizontal="left" vertical="center" wrapText="1"/>
    </xf>
    <xf numFmtId="0" fontId="3" fillId="0" borderId="22" xfId="0" applyFont="1" applyBorder="1" applyAlignment="1">
      <alignment vertical="center" wrapText="1"/>
    </xf>
    <xf numFmtId="0" fontId="3" fillId="0" borderId="23" xfId="0" applyFont="1" applyBorder="1" applyAlignment="1">
      <alignment vertical="center" wrapText="1"/>
    </xf>
    <xf numFmtId="49" fontId="6" fillId="0" borderId="17" xfId="0" applyNumberFormat="1" applyFont="1" applyBorder="1" applyAlignment="1">
      <alignment horizontal="left" vertical="center" wrapText="1"/>
    </xf>
    <xf numFmtId="0" fontId="3" fillId="0" borderId="18" xfId="0" applyFont="1" applyBorder="1" applyAlignment="1">
      <alignment vertical="center" wrapText="1"/>
    </xf>
    <xf numFmtId="0" fontId="3" fillId="0" borderId="19" xfId="0" applyFont="1" applyBorder="1" applyAlignment="1">
      <alignment vertical="center" wrapText="1"/>
    </xf>
    <xf numFmtId="49" fontId="6" fillId="0" borderId="21" xfId="0" applyNumberFormat="1" applyFont="1" applyBorder="1" applyAlignment="1">
      <alignment horizontal="left" vertical="center"/>
    </xf>
    <xf numFmtId="0" fontId="1" fillId="0" borderId="2" xfId="0" applyFont="1" applyBorder="1" applyAlignment="1">
      <alignment vertical="center" wrapText="1" shrinkToFit="1"/>
    </xf>
    <xf numFmtId="0" fontId="3" fillId="0" borderId="3" xfId="0" applyFont="1" applyBorder="1" applyAlignment="1">
      <alignment vertical="center" wrapText="1"/>
    </xf>
    <xf numFmtId="0" fontId="3" fillId="0" borderId="4" xfId="0" applyFont="1" applyBorder="1" applyAlignment="1">
      <alignment vertical="center" wrapText="1"/>
    </xf>
    <xf numFmtId="0" fontId="4" fillId="0" borderId="2" xfId="0" applyFont="1" applyBorder="1" applyAlignment="1">
      <alignment horizontal="center" vertical="center" shrinkToFit="1"/>
    </xf>
    <xf numFmtId="0" fontId="1" fillId="0" borderId="0" xfId="0" applyFont="1" applyAlignment="1">
      <alignment horizontal="right" vertical="center"/>
    </xf>
    <xf numFmtId="0" fontId="4" fillId="0" borderId="2" xfId="0" applyFont="1" applyBorder="1" applyAlignment="1">
      <alignment horizontal="center" vertical="center"/>
    </xf>
    <xf numFmtId="0" fontId="5" fillId="0" borderId="0" xfId="0" applyFont="1" applyAlignment="1">
      <alignment horizontal="center" vertical="center"/>
    </xf>
    <xf numFmtId="0" fontId="2" fillId="0" borderId="2" xfId="0" applyFont="1" applyBorder="1" applyAlignment="1">
      <alignment horizontal="center" vertical="center"/>
    </xf>
    <xf numFmtId="0" fontId="1" fillId="0" borderId="5" xfId="0" applyFont="1" applyBorder="1" applyAlignment="1">
      <alignment horizontal="left" vertical="center" wrapText="1"/>
    </xf>
    <xf numFmtId="0" fontId="3" fillId="0" borderId="8" xfId="0" applyFont="1" applyBorder="1" applyAlignment="1">
      <alignment vertical="center"/>
    </xf>
    <xf numFmtId="0" fontId="1" fillId="0" borderId="5" xfId="0" applyFont="1" applyBorder="1" applyAlignment="1">
      <alignment horizontal="left" vertical="top" shrinkToFit="1"/>
    </xf>
    <xf numFmtId="0" fontId="3" fillId="0" borderId="11" xfId="0" applyFont="1" applyBorder="1" applyAlignment="1">
      <alignment vertical="center"/>
    </xf>
    <xf numFmtId="0" fontId="3" fillId="0" borderId="12" xfId="0" applyFont="1" applyBorder="1" applyAlignment="1">
      <alignment vertical="center"/>
    </xf>
    <xf numFmtId="0" fontId="2" fillId="0" borderId="2" xfId="0" applyFont="1" applyBorder="1" applyAlignment="1">
      <alignment horizontal="center" vertical="center" shrinkToFit="1"/>
    </xf>
    <xf numFmtId="0" fontId="1" fillId="0" borderId="13" xfId="0" applyFont="1" applyBorder="1" applyAlignment="1">
      <alignment horizontal="center" vertical="center"/>
    </xf>
    <xf numFmtId="0" fontId="7" fillId="0" borderId="7" xfId="0" applyFont="1" applyBorder="1" applyAlignment="1">
      <alignment horizontal="center" vertical="center" wrapText="1"/>
    </xf>
    <xf numFmtId="0" fontId="4" fillId="0" borderId="7" xfId="0" applyFont="1" applyBorder="1" applyAlignment="1">
      <alignment horizontal="center" vertical="center"/>
    </xf>
    <xf numFmtId="0" fontId="1" fillId="0" borderId="2" xfId="0" applyFont="1" applyBorder="1" applyAlignment="1">
      <alignment horizontal="center" vertical="center" shrinkToFit="1"/>
    </xf>
    <xf numFmtId="0" fontId="1" fillId="0" borderId="35" xfId="0" applyFont="1" applyBorder="1" applyAlignment="1">
      <alignment horizontal="center" vertical="center"/>
    </xf>
    <xf numFmtId="0" fontId="3" fillId="0" borderId="24" xfId="0" applyFont="1" applyBorder="1" applyAlignment="1">
      <alignment vertical="center"/>
    </xf>
    <xf numFmtId="0" fontId="4" fillId="0" borderId="3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1" fillId="0" borderId="0" xfId="0" applyFont="1" applyAlignment="1">
      <alignment horizontal="center" vertical="center"/>
    </xf>
    <xf numFmtId="0" fontId="1" fillId="0" borderId="2" xfId="0" applyFont="1" applyBorder="1" applyAlignment="1">
      <alignment horizontal="left" vertical="center"/>
    </xf>
    <xf numFmtId="0" fontId="1" fillId="0" borderId="2" xfId="0" applyFont="1" applyBorder="1" applyAlignment="1">
      <alignment vertical="center" shrinkToFit="1"/>
    </xf>
    <xf numFmtId="0" fontId="1" fillId="0" borderId="5" xfId="0" applyFont="1" applyBorder="1" applyAlignment="1">
      <alignment vertical="top" shrinkToFit="1"/>
    </xf>
    <xf numFmtId="9" fontId="1" fillId="0" borderId="2" xfId="0" applyNumberFormat="1" applyFont="1" applyBorder="1" applyAlignment="1">
      <alignment horizontal="center" vertical="center" shrinkToFit="1"/>
    </xf>
    <xf numFmtId="0" fontId="1" fillId="0" borderId="5" xfId="0" applyFont="1" applyBorder="1" applyAlignment="1">
      <alignment vertical="top" wrapText="1" shrinkToFi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1" xfId="0" applyFont="1" applyBorder="1" applyAlignment="1">
      <alignment vertical="center" wrapText="1"/>
    </xf>
    <xf numFmtId="0" fontId="0" fillId="0" borderId="0" xfId="0" applyAlignment="1">
      <alignment vertical="center" wrapText="1"/>
    </xf>
    <xf numFmtId="0" fontId="3" fillId="0" borderId="12"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11" fillId="0" borderId="5"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47" xfId="0" applyFont="1" applyBorder="1" applyAlignment="1">
      <alignment horizontal="left" vertical="top" wrapText="1" shrinkToFit="1"/>
    </xf>
    <xf numFmtId="0" fontId="11" fillId="0" borderId="48" xfId="0" applyFont="1" applyBorder="1" applyAlignment="1">
      <alignment horizontal="left" vertical="top" wrapText="1" shrinkToFit="1"/>
    </xf>
    <xf numFmtId="0" fontId="11" fillId="0" borderId="51" xfId="0" applyFont="1" applyBorder="1" applyAlignment="1">
      <alignment horizontal="left" vertical="top" wrapText="1" shrinkToFit="1"/>
    </xf>
    <xf numFmtId="0" fontId="11" fillId="0" borderId="9" xfId="0" applyFont="1" applyBorder="1" applyAlignment="1">
      <alignment horizontal="left" vertical="top" wrapText="1" shrinkToFit="1"/>
    </xf>
    <xf numFmtId="0" fontId="12" fillId="0" borderId="6" xfId="0" applyFont="1" applyBorder="1" applyAlignment="1">
      <alignment horizontal="left" vertical="top" wrapText="1"/>
    </xf>
    <xf numFmtId="0" fontId="12" fillId="0" borderId="7" xfId="0" applyFont="1" applyBorder="1" applyAlignment="1">
      <alignment horizontal="left" vertical="top" wrapText="1"/>
    </xf>
    <xf numFmtId="0" fontId="12" fillId="0" borderId="48" xfId="0" applyFont="1" applyBorder="1" applyAlignment="1">
      <alignment horizontal="left" vertical="top" wrapText="1"/>
    </xf>
    <xf numFmtId="0" fontId="12" fillId="0" borderId="49"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8" fillId="0" borderId="0" xfId="0" applyFont="1" applyAlignment="1">
      <alignment horizontal="left" vertical="center" wrapText="1"/>
    </xf>
    <xf numFmtId="0" fontId="1" fillId="2" borderId="44" xfId="0" applyFont="1" applyFill="1" applyBorder="1" applyAlignment="1">
      <alignment horizontal="center" vertical="center" shrinkToFit="1"/>
    </xf>
    <xf numFmtId="0" fontId="3" fillId="0" borderId="45" xfId="0" applyFont="1" applyBorder="1" applyAlignment="1">
      <alignment vertical="center"/>
    </xf>
    <xf numFmtId="0" fontId="3" fillId="0" borderId="46" xfId="0" applyFont="1" applyBorder="1" applyAlignment="1">
      <alignment vertical="center"/>
    </xf>
    <xf numFmtId="0" fontId="1" fillId="0" borderId="5" xfId="0" applyFont="1" applyBorder="1" applyAlignment="1">
      <alignment horizontal="left" vertical="top" wrapText="1"/>
    </xf>
    <xf numFmtId="0" fontId="1" fillId="0" borderId="5" xfId="0" applyFont="1" applyBorder="1" applyAlignment="1">
      <alignment vertical="top" wrapText="1"/>
    </xf>
    <xf numFmtId="0" fontId="1" fillId="0" borderId="0" xfId="0" applyFont="1" applyAlignment="1">
      <alignment vertical="center"/>
    </xf>
    <xf numFmtId="0" fontId="1" fillId="0" borderId="52" xfId="0" applyFont="1" applyBorder="1" applyAlignment="1">
      <alignment vertical="center" wrapText="1"/>
    </xf>
    <xf numFmtId="0" fontId="1" fillId="0" borderId="55" xfId="0" applyFont="1" applyBorder="1" applyAlignment="1">
      <alignment vertical="center" wrapText="1"/>
    </xf>
    <xf numFmtId="0" fontId="3" fillId="0" borderId="56" xfId="0" applyFont="1" applyBorder="1" applyAlignment="1">
      <alignment vertical="center"/>
    </xf>
    <xf numFmtId="0" fontId="3" fillId="0" borderId="57" xfId="0" applyFont="1" applyBorder="1" applyAlignment="1">
      <alignment vertical="center"/>
    </xf>
    <xf numFmtId="0" fontId="1" fillId="0" borderId="8" xfId="0" applyFont="1" applyBorder="1" applyAlignment="1">
      <alignment vertical="center" wrapText="1"/>
    </xf>
    <xf numFmtId="0" fontId="1" fillId="0" borderId="17" xfId="0" applyFont="1" applyBorder="1" applyAlignment="1">
      <alignment vertical="top" wrapText="1" shrinkToFit="1"/>
    </xf>
    <xf numFmtId="0" fontId="1" fillId="0" borderId="21" xfId="0" applyFont="1" applyBorder="1" applyAlignment="1">
      <alignment vertical="top" shrinkToFit="1"/>
    </xf>
    <xf numFmtId="0" fontId="1" fillId="0" borderId="18" xfId="0" applyFont="1" applyBorder="1" applyAlignment="1">
      <alignment vertical="top" wrapText="1" shrinkToFit="1"/>
    </xf>
    <xf numFmtId="0" fontId="1" fillId="0" borderId="22" xfId="0" applyFont="1" applyBorder="1" applyAlignment="1">
      <alignment vertical="top" wrapText="1" shrinkToFit="1"/>
    </xf>
    <xf numFmtId="0" fontId="1" fillId="0" borderId="56" xfId="0" applyFont="1" applyBorder="1" applyAlignment="1">
      <alignment vertical="top" wrapText="1" shrinkToFit="1"/>
    </xf>
    <xf numFmtId="0" fontId="3" fillId="0" borderId="56" xfId="0" applyFont="1" applyBorder="1" applyAlignment="1">
      <alignment vertical="center" wrapText="1"/>
    </xf>
    <xf numFmtId="0" fontId="3" fillId="0" borderId="57" xfId="0" applyFont="1" applyBorder="1" applyAlignment="1">
      <alignment vertical="center" wrapText="1"/>
    </xf>
    <xf numFmtId="0" fontId="1" fillId="0" borderId="9" xfId="0" applyFont="1" applyBorder="1" applyAlignment="1">
      <alignment vertical="top" wrapText="1" shrinkToFit="1"/>
    </xf>
    <xf numFmtId="0" fontId="1" fillId="0" borderId="50" xfId="0" applyFont="1" applyBorder="1" applyAlignment="1">
      <alignment vertical="center" wrapText="1"/>
    </xf>
    <xf numFmtId="0" fontId="1" fillId="0" borderId="3" xfId="0" applyFont="1" applyBorder="1" applyAlignment="1">
      <alignment horizontal="center" vertical="center"/>
    </xf>
    <xf numFmtId="0" fontId="1" fillId="0" borderId="50" xfId="0" applyFont="1" applyBorder="1" applyAlignment="1">
      <alignment vertical="center"/>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view="pageBreakPreview" topLeftCell="A96" zoomScale="60" zoomScaleNormal="100" workbookViewId="0">
      <selection activeCell="D100" sqref="D100:U100"/>
    </sheetView>
  </sheetViews>
  <sheetFormatPr defaultColWidth="14.453125" defaultRowHeight="15" customHeight="1"/>
  <cols>
    <col min="1" max="1" width="2.453125" customWidth="1"/>
    <col min="2" max="2" width="16.453125" customWidth="1"/>
    <col min="3" max="21" width="5.54296875" customWidth="1"/>
    <col min="22" max="22" width="9" customWidth="1"/>
    <col min="23" max="23" width="3.54296875" customWidth="1"/>
    <col min="24" max="24" width="48.54296875" hidden="1" customWidth="1"/>
    <col min="25" max="26" width="9" customWidth="1"/>
    <col min="27" max="27" width="9" hidden="1" customWidth="1"/>
  </cols>
  <sheetData>
    <row r="1" spans="1:27" ht="18" customHeight="1">
      <c r="A1" s="1"/>
      <c r="B1" s="1"/>
      <c r="C1" s="1"/>
      <c r="D1" s="1"/>
      <c r="E1" s="1"/>
      <c r="F1" s="1"/>
      <c r="G1" s="1"/>
      <c r="H1" s="1"/>
      <c r="I1" s="1"/>
      <c r="J1" s="1"/>
      <c r="K1" s="1"/>
      <c r="L1" s="1"/>
      <c r="M1" s="1"/>
      <c r="N1" s="1"/>
      <c r="O1" s="1"/>
      <c r="P1" s="1"/>
      <c r="Q1" s="1"/>
      <c r="R1" s="1"/>
      <c r="S1" s="1"/>
      <c r="T1" s="113" t="s">
        <v>0</v>
      </c>
      <c r="U1" s="75"/>
      <c r="V1" s="3" t="s">
        <v>1</v>
      </c>
      <c r="W1" s="1"/>
      <c r="X1" s="1"/>
      <c r="Y1" s="1"/>
      <c r="Z1" s="1"/>
      <c r="AA1" s="1"/>
    </row>
    <row r="2" spans="1:27" ht="18.75" customHeight="1">
      <c r="A2" s="1"/>
      <c r="B2" s="4" t="s">
        <v>2</v>
      </c>
      <c r="C2" s="76" t="s">
        <v>3</v>
      </c>
      <c r="D2" s="77"/>
      <c r="E2" s="77"/>
      <c r="F2" s="77"/>
      <c r="G2" s="77"/>
      <c r="H2" s="77"/>
      <c r="I2" s="77"/>
      <c r="J2" s="78"/>
      <c r="K2" s="2"/>
      <c r="L2" s="5"/>
      <c r="M2" s="5"/>
      <c r="N2" s="5"/>
      <c r="O2" s="5"/>
      <c r="P2" s="5"/>
      <c r="Q2" s="5"/>
      <c r="R2" s="5"/>
      <c r="S2" s="5"/>
      <c r="T2" s="5"/>
      <c r="U2" s="5"/>
      <c r="V2" s="1"/>
      <c r="W2" s="1"/>
      <c r="X2" s="1"/>
      <c r="Y2" s="1"/>
      <c r="Z2" s="1"/>
      <c r="AA2" s="1"/>
    </row>
    <row r="3" spans="1:27" ht="18.75" customHeight="1">
      <c r="A3" s="1"/>
      <c r="B3" s="4" t="s">
        <v>4</v>
      </c>
      <c r="C3" s="114" t="s">
        <v>5</v>
      </c>
      <c r="D3" s="77"/>
      <c r="E3" s="77"/>
      <c r="F3" s="77"/>
      <c r="G3" s="77"/>
      <c r="H3" s="77"/>
      <c r="I3" s="77"/>
      <c r="J3" s="78"/>
      <c r="K3" s="2"/>
      <c r="L3" s="5"/>
      <c r="M3" s="5"/>
      <c r="N3" s="5"/>
      <c r="O3" s="5"/>
      <c r="P3" s="5"/>
      <c r="Q3" s="5"/>
      <c r="R3" s="5"/>
      <c r="S3" s="5"/>
      <c r="T3" s="5"/>
      <c r="U3" s="5"/>
      <c r="V3" s="1"/>
      <c r="W3" s="1"/>
      <c r="X3" s="1"/>
      <c r="Y3" s="1"/>
      <c r="Z3" s="1"/>
      <c r="AA3" s="1"/>
    </row>
    <row r="4" spans="1:27" ht="15" customHeight="1">
      <c r="A4" s="1"/>
      <c r="B4" s="1"/>
      <c r="C4" s="1"/>
      <c r="D4" s="1"/>
      <c r="E4" s="1"/>
      <c r="F4" s="1"/>
      <c r="G4" s="1"/>
      <c r="H4" s="1"/>
      <c r="I4" s="1"/>
      <c r="J4" s="1"/>
      <c r="K4" s="1"/>
      <c r="L4" s="2"/>
      <c r="M4" s="6"/>
      <c r="N4" s="6"/>
      <c r="O4" s="6"/>
      <c r="P4" s="6"/>
      <c r="Q4" s="6"/>
      <c r="R4" s="6"/>
      <c r="S4" s="6"/>
      <c r="T4" s="6"/>
      <c r="U4" s="6"/>
      <c r="V4" s="1"/>
      <c r="W4" s="1"/>
      <c r="X4" s="1"/>
      <c r="Y4" s="1"/>
      <c r="Z4" s="1"/>
      <c r="AA4" s="1"/>
    </row>
    <row r="5" spans="1:27" ht="18" customHeight="1">
      <c r="A5" s="115" t="s">
        <v>6</v>
      </c>
      <c r="B5" s="75"/>
      <c r="C5" s="75"/>
      <c r="D5" s="75"/>
      <c r="E5" s="75"/>
      <c r="F5" s="75"/>
      <c r="G5" s="75"/>
      <c r="H5" s="75"/>
      <c r="I5" s="75"/>
      <c r="J5" s="75"/>
      <c r="K5" s="75"/>
      <c r="L5" s="75"/>
      <c r="M5" s="75"/>
      <c r="N5" s="75"/>
      <c r="O5" s="75"/>
      <c r="P5" s="75"/>
      <c r="Q5" s="75"/>
      <c r="R5" s="75"/>
      <c r="S5" s="75"/>
      <c r="T5" s="75"/>
      <c r="U5" s="75"/>
      <c r="V5" s="1"/>
      <c r="W5" s="1"/>
      <c r="X5" s="1"/>
      <c r="Y5" s="1"/>
      <c r="Z5" s="1"/>
      <c r="AA5" s="1"/>
    </row>
    <row r="6" spans="1:27" ht="15" customHeight="1">
      <c r="A6" s="1"/>
      <c r="B6" s="8"/>
      <c r="C6" s="8"/>
      <c r="D6" s="8"/>
      <c r="E6" s="8"/>
      <c r="F6" s="8"/>
      <c r="G6" s="8"/>
      <c r="H6" s="8"/>
      <c r="I6" s="8"/>
      <c r="J6" s="8"/>
      <c r="K6" s="8"/>
      <c r="L6" s="8"/>
      <c r="M6" s="8"/>
      <c r="N6" s="8"/>
      <c r="O6" s="8"/>
      <c r="P6" s="8"/>
      <c r="Q6" s="8"/>
      <c r="R6" s="8"/>
      <c r="S6" s="8"/>
      <c r="T6" s="8"/>
      <c r="U6" s="8"/>
      <c r="V6" s="1"/>
      <c r="W6" s="1"/>
      <c r="X6" s="1"/>
      <c r="Y6" s="1"/>
      <c r="Z6" s="1"/>
      <c r="AA6" s="1"/>
    </row>
    <row r="7" spans="1:27" ht="15" customHeight="1">
      <c r="A7" s="1" t="s">
        <v>7</v>
      </c>
      <c r="B7" s="8"/>
      <c r="C7" s="8"/>
      <c r="D7" s="8"/>
      <c r="E7" s="8"/>
      <c r="F7" s="3"/>
      <c r="G7" s="3"/>
      <c r="H7" s="3"/>
      <c r="I7" s="3"/>
      <c r="J7" s="3"/>
      <c r="K7" s="3"/>
      <c r="L7" s="116" t="s">
        <v>8</v>
      </c>
      <c r="M7" s="77"/>
      <c r="N7" s="77"/>
      <c r="O7" s="77"/>
      <c r="P7" s="77"/>
      <c r="Q7" s="77"/>
      <c r="R7" s="77"/>
      <c r="S7" s="77"/>
      <c r="T7" s="77"/>
      <c r="U7" s="78"/>
      <c r="V7" s="1"/>
      <c r="W7" s="1"/>
      <c r="X7" s="1"/>
      <c r="Y7" s="1"/>
      <c r="Z7" s="1"/>
      <c r="AA7" s="1"/>
    </row>
    <row r="8" spans="1:27" ht="6" customHeight="1">
      <c r="A8" s="1"/>
      <c r="B8" s="8"/>
      <c r="C8" s="8"/>
      <c r="D8" s="8"/>
      <c r="E8" s="8"/>
      <c r="F8" s="8"/>
      <c r="G8" s="8"/>
      <c r="H8" s="8"/>
      <c r="I8" s="8"/>
      <c r="J8" s="8"/>
      <c r="K8" s="8"/>
      <c r="L8" s="8"/>
      <c r="M8" s="8"/>
      <c r="N8" s="8"/>
      <c r="O8" s="8"/>
      <c r="P8" s="8"/>
      <c r="Q8" s="8"/>
      <c r="R8" s="8"/>
      <c r="S8" s="8"/>
      <c r="T8" s="8"/>
      <c r="U8" s="8"/>
      <c r="V8" s="1"/>
      <c r="W8" s="1"/>
      <c r="X8" s="1"/>
      <c r="Y8" s="1"/>
      <c r="Z8" s="1"/>
      <c r="AA8" s="1"/>
    </row>
    <row r="9" spans="1:27" ht="18" customHeight="1">
      <c r="A9" s="1" t="s">
        <v>9</v>
      </c>
      <c r="B9" s="1"/>
      <c r="C9" s="8"/>
      <c r="D9" s="8"/>
      <c r="E9" s="1"/>
      <c r="F9" s="1"/>
      <c r="G9" s="1"/>
      <c r="H9" s="1"/>
      <c r="I9" s="1"/>
      <c r="J9" s="1"/>
      <c r="K9" s="2"/>
      <c r="L9" s="3"/>
      <c r="M9" s="3"/>
      <c r="N9" s="3"/>
      <c r="O9" s="3"/>
      <c r="P9" s="3"/>
      <c r="Q9" s="3"/>
      <c r="R9" s="3"/>
      <c r="S9" s="3"/>
      <c r="T9" s="3"/>
      <c r="U9" s="3"/>
      <c r="V9" s="1"/>
      <c r="W9" s="1"/>
      <c r="X9" s="1"/>
      <c r="Y9" s="1"/>
      <c r="Z9" s="1"/>
      <c r="AA9" s="1"/>
    </row>
    <row r="10" spans="1:27"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row>
    <row r="11" spans="1:27" ht="18" customHeight="1">
      <c r="A11" s="1"/>
      <c r="B11" s="117"/>
      <c r="C11" s="89"/>
      <c r="D11" s="89"/>
      <c r="E11" s="89"/>
      <c r="F11" s="89"/>
      <c r="G11" s="89"/>
      <c r="H11" s="89"/>
      <c r="I11" s="89"/>
      <c r="J11" s="89"/>
      <c r="K11" s="89"/>
      <c r="L11" s="89"/>
      <c r="M11" s="89"/>
      <c r="N11" s="89"/>
      <c r="O11" s="89"/>
      <c r="P11" s="89"/>
      <c r="Q11" s="89"/>
      <c r="R11" s="89"/>
      <c r="S11" s="89"/>
      <c r="T11" s="89"/>
      <c r="U11" s="90"/>
      <c r="V11" s="1"/>
      <c r="W11" s="1"/>
      <c r="X11" s="1"/>
      <c r="Y11" s="1"/>
      <c r="Z11" s="1"/>
      <c r="AA11" s="1"/>
    </row>
    <row r="12" spans="1:27" ht="18" customHeight="1">
      <c r="A12" s="1"/>
      <c r="B12" s="118"/>
      <c r="C12" s="94"/>
      <c r="D12" s="94"/>
      <c r="E12" s="94"/>
      <c r="F12" s="94"/>
      <c r="G12" s="94"/>
      <c r="H12" s="94"/>
      <c r="I12" s="94"/>
      <c r="J12" s="94"/>
      <c r="K12" s="94"/>
      <c r="L12" s="94"/>
      <c r="M12" s="94"/>
      <c r="N12" s="94"/>
      <c r="O12" s="94"/>
      <c r="P12" s="94"/>
      <c r="Q12" s="94"/>
      <c r="R12" s="94"/>
      <c r="S12" s="94"/>
      <c r="T12" s="94"/>
      <c r="U12" s="95"/>
      <c r="V12" s="1"/>
      <c r="W12" s="1"/>
      <c r="X12" s="1"/>
      <c r="Y12" s="1"/>
      <c r="Z12" s="1"/>
      <c r="AA12" s="1"/>
    </row>
    <row r="13" spans="1:27"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row>
    <row r="14" spans="1:27" ht="18" customHeight="1">
      <c r="A14" s="1" t="s">
        <v>10</v>
      </c>
      <c r="B14" s="8"/>
      <c r="C14" s="8"/>
      <c r="D14" s="8"/>
      <c r="E14" s="2"/>
      <c r="F14" s="2"/>
      <c r="G14" s="2"/>
      <c r="H14" s="2"/>
      <c r="I14" s="2"/>
      <c r="J14" s="2"/>
      <c r="K14" s="2"/>
      <c r="L14" s="10"/>
      <c r="M14" s="10"/>
      <c r="N14" s="10"/>
      <c r="O14" s="10"/>
      <c r="P14" s="10"/>
      <c r="Q14" s="10"/>
      <c r="R14" s="10"/>
      <c r="S14" s="10"/>
      <c r="T14" s="10"/>
      <c r="U14" s="10"/>
      <c r="V14" s="1"/>
      <c r="W14" s="1"/>
      <c r="X14" s="1"/>
      <c r="Y14" s="1"/>
      <c r="Z14" s="1"/>
      <c r="AA14" s="1"/>
    </row>
    <row r="15" spans="1:27" ht="18" customHeight="1">
      <c r="A15" s="1"/>
      <c r="B15" s="119" t="s">
        <v>184</v>
      </c>
      <c r="C15" s="89"/>
      <c r="D15" s="89"/>
      <c r="E15" s="89"/>
      <c r="F15" s="89"/>
      <c r="G15" s="89"/>
      <c r="H15" s="89"/>
      <c r="I15" s="89"/>
      <c r="J15" s="89"/>
      <c r="K15" s="89"/>
      <c r="L15" s="89"/>
      <c r="M15" s="89"/>
      <c r="N15" s="89"/>
      <c r="O15" s="89"/>
      <c r="P15" s="89"/>
      <c r="Q15" s="89"/>
      <c r="R15" s="89"/>
      <c r="S15" s="89"/>
      <c r="T15" s="89"/>
      <c r="U15" s="90"/>
      <c r="V15" s="1"/>
      <c r="W15" s="1"/>
      <c r="X15" s="1" t="s">
        <v>11</v>
      </c>
      <c r="Y15" s="1"/>
      <c r="Z15" s="1"/>
      <c r="AA15" s="1"/>
    </row>
    <row r="16" spans="1:27" ht="18" customHeight="1">
      <c r="A16" s="1"/>
      <c r="B16" s="120"/>
      <c r="C16" s="75"/>
      <c r="D16" s="75"/>
      <c r="E16" s="75"/>
      <c r="F16" s="75"/>
      <c r="G16" s="75"/>
      <c r="H16" s="75"/>
      <c r="I16" s="75"/>
      <c r="J16" s="75"/>
      <c r="K16" s="75"/>
      <c r="L16" s="75"/>
      <c r="M16" s="75"/>
      <c r="N16" s="75"/>
      <c r="O16" s="75"/>
      <c r="P16" s="75"/>
      <c r="Q16" s="75"/>
      <c r="R16" s="75"/>
      <c r="S16" s="75"/>
      <c r="T16" s="75"/>
      <c r="U16" s="121"/>
      <c r="V16" s="1"/>
      <c r="W16" s="1"/>
      <c r="X16" s="1" t="s">
        <v>12</v>
      </c>
      <c r="Y16" s="1"/>
      <c r="Z16" s="1"/>
      <c r="AA16" s="1"/>
    </row>
    <row r="17" spans="1:27" ht="18" customHeight="1">
      <c r="A17" s="1"/>
      <c r="B17" s="120"/>
      <c r="C17" s="75"/>
      <c r="D17" s="75"/>
      <c r="E17" s="75"/>
      <c r="F17" s="75"/>
      <c r="G17" s="75"/>
      <c r="H17" s="75"/>
      <c r="I17" s="75"/>
      <c r="J17" s="75"/>
      <c r="K17" s="75"/>
      <c r="L17" s="75"/>
      <c r="M17" s="75"/>
      <c r="N17" s="75"/>
      <c r="O17" s="75"/>
      <c r="P17" s="75"/>
      <c r="Q17" s="75"/>
      <c r="R17" s="75"/>
      <c r="S17" s="75"/>
      <c r="T17" s="75"/>
      <c r="U17" s="121"/>
      <c r="V17" s="1"/>
      <c r="W17" s="1"/>
      <c r="X17" s="1" t="s">
        <v>13</v>
      </c>
      <c r="Y17" s="1"/>
      <c r="Z17" s="1"/>
      <c r="AA17" s="1"/>
    </row>
    <row r="18" spans="1:27" ht="18" customHeight="1">
      <c r="A18" s="1"/>
      <c r="B18" s="120"/>
      <c r="C18" s="75"/>
      <c r="D18" s="75"/>
      <c r="E18" s="75"/>
      <c r="F18" s="75"/>
      <c r="G18" s="75"/>
      <c r="H18" s="75"/>
      <c r="I18" s="75"/>
      <c r="J18" s="75"/>
      <c r="K18" s="75"/>
      <c r="L18" s="75"/>
      <c r="M18" s="75"/>
      <c r="N18" s="75"/>
      <c r="O18" s="75"/>
      <c r="P18" s="75"/>
      <c r="Q18" s="75"/>
      <c r="R18" s="75"/>
      <c r="S18" s="75"/>
      <c r="T18" s="75"/>
      <c r="U18" s="121"/>
      <c r="V18" s="1"/>
      <c r="W18" s="1"/>
      <c r="X18" s="1" t="s">
        <v>14</v>
      </c>
      <c r="Y18" s="1"/>
      <c r="Z18" s="1"/>
      <c r="AA18" s="1"/>
    </row>
    <row r="19" spans="1:27" ht="18" customHeight="1">
      <c r="A19" s="1"/>
      <c r="B19" s="120"/>
      <c r="C19" s="75"/>
      <c r="D19" s="75"/>
      <c r="E19" s="75"/>
      <c r="F19" s="75"/>
      <c r="G19" s="75"/>
      <c r="H19" s="75"/>
      <c r="I19" s="75"/>
      <c r="J19" s="75"/>
      <c r="K19" s="75"/>
      <c r="L19" s="75"/>
      <c r="M19" s="75"/>
      <c r="N19" s="75"/>
      <c r="O19" s="75"/>
      <c r="P19" s="75"/>
      <c r="Q19" s="75"/>
      <c r="R19" s="75"/>
      <c r="S19" s="75"/>
      <c r="T19" s="75"/>
      <c r="U19" s="121"/>
      <c r="V19" s="1"/>
      <c r="W19" s="1"/>
      <c r="X19" s="1"/>
      <c r="Y19" s="1"/>
      <c r="Z19" s="1"/>
      <c r="AA19" s="1"/>
    </row>
    <row r="20" spans="1:27" ht="18" customHeight="1">
      <c r="A20" s="1"/>
      <c r="B20" s="118"/>
      <c r="C20" s="94"/>
      <c r="D20" s="94"/>
      <c r="E20" s="94"/>
      <c r="F20" s="94"/>
      <c r="G20" s="94"/>
      <c r="H20" s="94"/>
      <c r="I20" s="94"/>
      <c r="J20" s="94"/>
      <c r="K20" s="94"/>
      <c r="L20" s="94"/>
      <c r="M20" s="94"/>
      <c r="N20" s="94"/>
      <c r="O20" s="94"/>
      <c r="P20" s="94"/>
      <c r="Q20" s="94"/>
      <c r="R20" s="94"/>
      <c r="S20" s="94"/>
      <c r="T20" s="94"/>
      <c r="U20" s="95"/>
      <c r="V20" s="1"/>
      <c r="W20" s="1"/>
      <c r="X20" s="1"/>
      <c r="Y20" s="1"/>
      <c r="Z20" s="1"/>
      <c r="AA20" s="1"/>
    </row>
    <row r="21" spans="1:27"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row>
    <row r="22" spans="1:27" ht="19.5" customHeight="1">
      <c r="A22" s="1"/>
      <c r="B22" s="1" t="s">
        <v>15</v>
      </c>
      <c r="C22" s="1"/>
      <c r="D22" s="1"/>
      <c r="E22" s="27">
        <v>3</v>
      </c>
      <c r="F22" s="1" t="s">
        <v>16</v>
      </c>
      <c r="G22" s="1"/>
      <c r="H22" s="63">
        <v>3.5</v>
      </c>
      <c r="I22" s="8" t="s">
        <v>17</v>
      </c>
      <c r="J22" s="8"/>
      <c r="K22" s="2"/>
      <c r="L22" s="1"/>
      <c r="M22" s="2" t="s">
        <v>18</v>
      </c>
      <c r="N22" s="122" t="s">
        <v>12</v>
      </c>
      <c r="O22" s="77"/>
      <c r="P22" s="77"/>
      <c r="Q22" s="77"/>
      <c r="R22" s="77"/>
      <c r="S22" s="77"/>
      <c r="T22" s="77"/>
      <c r="U22" s="78"/>
      <c r="V22" s="1"/>
      <c r="W22" s="1"/>
      <c r="X22" s="1"/>
      <c r="Y22" s="1"/>
      <c r="Z22" s="1"/>
      <c r="AA22" s="1"/>
    </row>
    <row r="23" spans="1:27"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row>
    <row r="24" spans="1:27" ht="18" customHeight="1">
      <c r="A24" s="74" t="s">
        <v>19</v>
      </c>
      <c r="B24" s="75"/>
      <c r="C24" s="75"/>
      <c r="D24" s="75"/>
      <c r="E24" s="75"/>
      <c r="F24" s="75"/>
      <c r="G24" s="75"/>
      <c r="H24" s="75"/>
      <c r="I24" s="75"/>
      <c r="J24" s="75"/>
      <c r="K24" s="75"/>
      <c r="L24" s="75"/>
      <c r="M24" s="75"/>
      <c r="N24" s="75"/>
      <c r="O24" s="75"/>
      <c r="P24" s="75"/>
      <c r="Q24" s="75"/>
      <c r="R24" s="75"/>
      <c r="S24" s="75"/>
      <c r="T24" s="75"/>
      <c r="U24" s="75"/>
      <c r="V24" s="1"/>
      <c r="W24" s="1"/>
      <c r="X24" s="1"/>
      <c r="Y24" s="1"/>
      <c r="Z24" s="1"/>
      <c r="AA24" s="1"/>
    </row>
    <row r="25" spans="1:27" ht="18" customHeight="1">
      <c r="A25" s="75"/>
      <c r="B25" s="75"/>
      <c r="C25" s="75"/>
      <c r="D25" s="75"/>
      <c r="E25" s="75"/>
      <c r="F25" s="75"/>
      <c r="G25" s="75"/>
      <c r="H25" s="75"/>
      <c r="I25" s="75"/>
      <c r="J25" s="75"/>
      <c r="K25" s="75"/>
      <c r="L25" s="75"/>
      <c r="M25" s="75"/>
      <c r="N25" s="75"/>
      <c r="O25" s="75"/>
      <c r="P25" s="75"/>
      <c r="Q25" s="75"/>
      <c r="R25" s="75"/>
      <c r="S25" s="75"/>
      <c r="T25" s="75"/>
      <c r="U25" s="75"/>
      <c r="V25" s="1"/>
      <c r="W25" s="1"/>
      <c r="X25" s="1"/>
      <c r="Y25" s="1"/>
      <c r="Z25" s="1"/>
      <c r="AA25" s="1"/>
    </row>
    <row r="26" spans="1:27" ht="18" customHeight="1">
      <c r="A26" s="1"/>
      <c r="B26" s="76" t="s">
        <v>20</v>
      </c>
      <c r="C26" s="77"/>
      <c r="D26" s="77"/>
      <c r="E26" s="77"/>
      <c r="F26" s="78"/>
      <c r="G26" s="12" t="s">
        <v>21</v>
      </c>
      <c r="H26" s="13" t="s">
        <v>22</v>
      </c>
      <c r="I26" s="14" t="s">
        <v>23</v>
      </c>
      <c r="J26" s="14" t="s">
        <v>24</v>
      </c>
      <c r="K26" s="76" t="s">
        <v>20</v>
      </c>
      <c r="L26" s="77"/>
      <c r="M26" s="77"/>
      <c r="N26" s="77"/>
      <c r="O26" s="77"/>
      <c r="P26" s="77"/>
      <c r="Q26" s="78"/>
      <c r="R26" s="12" t="s">
        <v>21</v>
      </c>
      <c r="S26" s="13" t="s">
        <v>22</v>
      </c>
      <c r="T26" s="14" t="s">
        <v>23</v>
      </c>
      <c r="U26" s="14" t="s">
        <v>24</v>
      </c>
      <c r="V26" s="1"/>
      <c r="W26" s="1"/>
      <c r="X26" s="1"/>
      <c r="Y26" s="1"/>
      <c r="Z26" s="1"/>
      <c r="AA26" s="1"/>
    </row>
    <row r="27" spans="1:27" ht="18" customHeight="1">
      <c r="A27" s="1"/>
      <c r="B27" s="79" t="s">
        <v>25</v>
      </c>
      <c r="C27" s="80"/>
      <c r="D27" s="80"/>
      <c r="E27" s="80"/>
      <c r="F27" s="81"/>
      <c r="G27" s="15">
        <v>1.5</v>
      </c>
      <c r="H27" s="15" t="s">
        <v>26</v>
      </c>
      <c r="I27" s="15" t="s">
        <v>27</v>
      </c>
      <c r="J27" s="15" t="s">
        <v>27</v>
      </c>
      <c r="K27" s="79"/>
      <c r="L27" s="80"/>
      <c r="M27" s="80"/>
      <c r="N27" s="80"/>
      <c r="O27" s="80"/>
      <c r="P27" s="80"/>
      <c r="Q27" s="81"/>
      <c r="R27" s="15"/>
      <c r="S27" s="15"/>
      <c r="T27" s="15"/>
      <c r="U27" s="15"/>
      <c r="V27" s="1"/>
      <c r="W27" s="1"/>
      <c r="X27" s="1"/>
      <c r="Y27" s="1"/>
      <c r="Z27" s="1"/>
      <c r="AA27" s="1"/>
    </row>
    <row r="28" spans="1:27" ht="18" customHeight="1">
      <c r="A28" s="1"/>
      <c r="B28" s="82"/>
      <c r="C28" s="83"/>
      <c r="D28" s="83"/>
      <c r="E28" s="83"/>
      <c r="F28" s="84"/>
      <c r="G28" s="16"/>
      <c r="H28" s="16"/>
      <c r="I28" s="16"/>
      <c r="J28" s="16"/>
      <c r="K28" s="82"/>
      <c r="L28" s="83"/>
      <c r="M28" s="83"/>
      <c r="N28" s="83"/>
      <c r="O28" s="83"/>
      <c r="P28" s="83"/>
      <c r="Q28" s="84"/>
      <c r="R28" s="16"/>
      <c r="S28" s="16"/>
      <c r="T28" s="16"/>
      <c r="U28" s="16"/>
      <c r="V28" s="1"/>
      <c r="W28" s="1"/>
      <c r="X28" s="1"/>
      <c r="Y28" s="1"/>
      <c r="Z28" s="1"/>
      <c r="AA28" s="1"/>
    </row>
    <row r="29" spans="1:27" ht="18" customHeight="1">
      <c r="A29" s="1"/>
      <c r="B29" s="82"/>
      <c r="C29" s="83"/>
      <c r="D29" s="83"/>
      <c r="E29" s="83"/>
      <c r="F29" s="84"/>
      <c r="G29" s="16"/>
      <c r="H29" s="16"/>
      <c r="I29" s="16"/>
      <c r="J29" s="16"/>
      <c r="K29" s="82"/>
      <c r="L29" s="83"/>
      <c r="M29" s="83"/>
      <c r="N29" s="83"/>
      <c r="O29" s="83"/>
      <c r="P29" s="83"/>
      <c r="Q29" s="84"/>
      <c r="R29" s="16"/>
      <c r="S29" s="16"/>
      <c r="T29" s="16"/>
      <c r="U29" s="16"/>
      <c r="V29" s="1"/>
      <c r="W29" s="1"/>
      <c r="X29" s="1"/>
      <c r="Y29" s="1"/>
      <c r="Z29" s="1"/>
      <c r="AA29" s="1"/>
    </row>
    <row r="30" spans="1:27" ht="18" customHeight="1">
      <c r="A30" s="1"/>
      <c r="B30" s="82"/>
      <c r="C30" s="83"/>
      <c r="D30" s="83"/>
      <c r="E30" s="83"/>
      <c r="F30" s="84"/>
      <c r="G30" s="16"/>
      <c r="H30" s="16"/>
      <c r="I30" s="16"/>
      <c r="J30" s="16"/>
      <c r="K30" s="82"/>
      <c r="L30" s="83"/>
      <c r="M30" s="83"/>
      <c r="N30" s="83"/>
      <c r="O30" s="83"/>
      <c r="P30" s="83"/>
      <c r="Q30" s="84"/>
      <c r="R30" s="16"/>
      <c r="S30" s="16"/>
      <c r="T30" s="16"/>
      <c r="U30" s="16"/>
      <c r="V30" s="1"/>
      <c r="W30" s="1"/>
      <c r="X30" s="1"/>
      <c r="Y30" s="1"/>
      <c r="Z30" s="1"/>
      <c r="AA30" s="1"/>
    </row>
    <row r="31" spans="1:27" ht="18" customHeight="1">
      <c r="A31" s="1"/>
      <c r="B31" s="82"/>
      <c r="C31" s="83"/>
      <c r="D31" s="83"/>
      <c r="E31" s="83"/>
      <c r="F31" s="84"/>
      <c r="G31" s="16"/>
      <c r="H31" s="16"/>
      <c r="I31" s="16"/>
      <c r="J31" s="16"/>
      <c r="K31" s="82"/>
      <c r="L31" s="83"/>
      <c r="M31" s="83"/>
      <c r="N31" s="83"/>
      <c r="O31" s="83"/>
      <c r="P31" s="83"/>
      <c r="Q31" s="84"/>
      <c r="R31" s="16"/>
      <c r="S31" s="16"/>
      <c r="T31" s="16"/>
      <c r="U31" s="16"/>
      <c r="V31" s="1"/>
      <c r="W31" s="1"/>
      <c r="X31" s="1"/>
      <c r="Y31" s="1"/>
      <c r="Z31" s="1"/>
      <c r="AA31" s="1"/>
    </row>
    <row r="32" spans="1:27" ht="18" customHeight="1">
      <c r="A32" s="8"/>
      <c r="B32" s="82"/>
      <c r="C32" s="83"/>
      <c r="D32" s="83"/>
      <c r="E32" s="83"/>
      <c r="F32" s="84"/>
      <c r="G32" s="16"/>
      <c r="H32" s="16"/>
      <c r="I32" s="16"/>
      <c r="J32" s="16"/>
      <c r="K32" s="82"/>
      <c r="L32" s="83"/>
      <c r="M32" s="83"/>
      <c r="N32" s="83"/>
      <c r="O32" s="83"/>
      <c r="P32" s="83"/>
      <c r="Q32" s="84"/>
      <c r="R32" s="16"/>
      <c r="S32" s="16"/>
      <c r="T32" s="16"/>
      <c r="U32" s="16"/>
      <c r="V32" s="1"/>
      <c r="W32" s="1"/>
      <c r="X32" s="1"/>
      <c r="Y32" s="1"/>
      <c r="Z32" s="1"/>
      <c r="AA32" s="1"/>
    </row>
    <row r="33" spans="1:27" ht="18" customHeight="1">
      <c r="A33" s="8"/>
      <c r="B33" s="85"/>
      <c r="C33" s="86"/>
      <c r="D33" s="86"/>
      <c r="E33" s="86"/>
      <c r="F33" s="87"/>
      <c r="G33" s="17"/>
      <c r="H33" s="17"/>
      <c r="I33" s="18"/>
      <c r="J33" s="18"/>
      <c r="K33" s="85"/>
      <c r="L33" s="86"/>
      <c r="M33" s="86"/>
      <c r="N33" s="86"/>
      <c r="O33" s="86"/>
      <c r="P33" s="86"/>
      <c r="Q33" s="87"/>
      <c r="R33" s="17"/>
      <c r="S33" s="17"/>
      <c r="T33" s="18"/>
      <c r="U33" s="18"/>
      <c r="V33" s="1"/>
      <c r="W33" s="1"/>
      <c r="X33" s="1"/>
      <c r="Y33" s="1"/>
      <c r="Z33" s="1"/>
      <c r="AA33" s="1"/>
    </row>
    <row r="34" spans="1:27"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row>
    <row r="35" spans="1:27" ht="18" customHeight="1">
      <c r="A35" s="74" t="s">
        <v>28</v>
      </c>
      <c r="B35" s="75"/>
      <c r="C35" s="75"/>
      <c r="D35" s="75"/>
      <c r="E35" s="75"/>
      <c r="F35" s="75"/>
      <c r="G35" s="75"/>
      <c r="H35" s="75"/>
      <c r="I35" s="75"/>
      <c r="J35" s="75"/>
      <c r="K35" s="75"/>
      <c r="L35" s="75"/>
      <c r="M35" s="75"/>
      <c r="N35" s="75"/>
      <c r="O35" s="75"/>
      <c r="P35" s="75"/>
      <c r="Q35" s="75"/>
      <c r="R35" s="75"/>
      <c r="S35" s="75"/>
      <c r="T35" s="75"/>
      <c r="U35" s="75"/>
      <c r="V35" s="1"/>
      <c r="W35" s="1"/>
      <c r="X35" s="1"/>
      <c r="Y35" s="1"/>
      <c r="Z35" s="1"/>
      <c r="AA35" s="1"/>
    </row>
    <row r="36" spans="1:27" ht="18" customHeight="1">
      <c r="A36" s="75"/>
      <c r="B36" s="75"/>
      <c r="C36" s="75"/>
      <c r="D36" s="75"/>
      <c r="E36" s="75"/>
      <c r="F36" s="75"/>
      <c r="G36" s="75"/>
      <c r="H36" s="75"/>
      <c r="I36" s="75"/>
      <c r="J36" s="75"/>
      <c r="K36" s="75"/>
      <c r="L36" s="75"/>
      <c r="M36" s="75"/>
      <c r="N36" s="75"/>
      <c r="O36" s="75"/>
      <c r="P36" s="75"/>
      <c r="Q36" s="75"/>
      <c r="R36" s="75"/>
      <c r="S36" s="75"/>
      <c r="T36" s="75"/>
      <c r="U36" s="75"/>
      <c r="V36" s="1"/>
      <c r="W36" s="1"/>
      <c r="X36" s="1"/>
      <c r="Y36" s="1"/>
      <c r="Z36" s="1"/>
      <c r="AA36" s="1"/>
    </row>
    <row r="37" spans="1:27" ht="18" customHeight="1">
      <c r="A37" s="1"/>
      <c r="B37" s="76" t="s">
        <v>20</v>
      </c>
      <c r="C37" s="77"/>
      <c r="D37" s="77"/>
      <c r="E37" s="77"/>
      <c r="F37" s="78"/>
      <c r="G37" s="12" t="s">
        <v>21</v>
      </c>
      <c r="H37" s="13" t="s">
        <v>22</v>
      </c>
      <c r="I37" s="14" t="s">
        <v>29</v>
      </c>
      <c r="J37" s="14" t="s">
        <v>30</v>
      </c>
      <c r="K37" s="76" t="s">
        <v>20</v>
      </c>
      <c r="L37" s="77"/>
      <c r="M37" s="77"/>
      <c r="N37" s="77"/>
      <c r="O37" s="77"/>
      <c r="P37" s="77"/>
      <c r="Q37" s="78"/>
      <c r="R37" s="12" t="s">
        <v>21</v>
      </c>
      <c r="S37" s="13" t="s">
        <v>22</v>
      </c>
      <c r="T37" s="14" t="s">
        <v>29</v>
      </c>
      <c r="U37" s="14" t="s">
        <v>30</v>
      </c>
      <c r="V37" s="1"/>
      <c r="W37" s="1"/>
      <c r="X37" s="1"/>
      <c r="Y37" s="1"/>
      <c r="Z37" s="1"/>
      <c r="AA37" s="1"/>
    </row>
    <row r="38" spans="1:27" ht="18" customHeight="1">
      <c r="A38" s="1"/>
      <c r="B38" s="79" t="s">
        <v>25</v>
      </c>
      <c r="C38" s="80"/>
      <c r="D38" s="80"/>
      <c r="E38" s="80"/>
      <c r="F38" s="81"/>
      <c r="G38" s="15">
        <v>1.5</v>
      </c>
      <c r="H38" s="15" t="s">
        <v>27</v>
      </c>
      <c r="I38" s="15" t="s">
        <v>27</v>
      </c>
      <c r="J38" s="15" t="s">
        <v>27</v>
      </c>
      <c r="K38" s="79"/>
      <c r="L38" s="80"/>
      <c r="M38" s="80"/>
      <c r="N38" s="80"/>
      <c r="O38" s="80"/>
      <c r="P38" s="80"/>
      <c r="Q38" s="81"/>
      <c r="R38" s="15"/>
      <c r="S38" s="15"/>
      <c r="T38" s="15"/>
      <c r="U38" s="15"/>
      <c r="V38" s="1"/>
      <c r="W38" s="1"/>
      <c r="X38" s="1"/>
      <c r="Y38" s="1"/>
      <c r="Z38" s="1"/>
      <c r="AA38" s="1"/>
    </row>
    <row r="39" spans="1:27" ht="18" customHeight="1">
      <c r="A39" s="1"/>
      <c r="B39" s="82"/>
      <c r="C39" s="83"/>
      <c r="D39" s="83"/>
      <c r="E39" s="83"/>
      <c r="F39" s="84"/>
      <c r="G39" s="16"/>
      <c r="H39" s="16"/>
      <c r="I39" s="16"/>
      <c r="J39" s="16"/>
      <c r="K39" s="82"/>
      <c r="L39" s="83"/>
      <c r="M39" s="83"/>
      <c r="N39" s="83"/>
      <c r="O39" s="83"/>
      <c r="P39" s="83"/>
      <c r="Q39" s="84"/>
      <c r="R39" s="16"/>
      <c r="S39" s="16"/>
      <c r="T39" s="16"/>
      <c r="U39" s="16"/>
      <c r="V39" s="1"/>
      <c r="W39" s="1"/>
      <c r="X39" s="1"/>
      <c r="Y39" s="1"/>
      <c r="Z39" s="1"/>
      <c r="AA39" s="1"/>
    </row>
    <row r="40" spans="1:27" ht="18" customHeight="1">
      <c r="A40" s="1"/>
      <c r="B40" s="82"/>
      <c r="C40" s="83"/>
      <c r="D40" s="83"/>
      <c r="E40" s="83"/>
      <c r="F40" s="84"/>
      <c r="G40" s="16"/>
      <c r="H40" s="16"/>
      <c r="I40" s="16"/>
      <c r="J40" s="16"/>
      <c r="K40" s="82"/>
      <c r="L40" s="83"/>
      <c r="M40" s="83"/>
      <c r="N40" s="83"/>
      <c r="O40" s="83"/>
      <c r="P40" s="83"/>
      <c r="Q40" s="84"/>
      <c r="R40" s="16"/>
      <c r="S40" s="16"/>
      <c r="T40" s="16"/>
      <c r="U40" s="16"/>
      <c r="V40" s="1"/>
      <c r="W40" s="1"/>
      <c r="X40" s="1"/>
      <c r="Y40" s="1"/>
      <c r="Z40" s="1"/>
      <c r="AA40" s="1"/>
    </row>
    <row r="41" spans="1:27" ht="18" customHeight="1">
      <c r="A41" s="1"/>
      <c r="B41" s="82"/>
      <c r="C41" s="83"/>
      <c r="D41" s="83"/>
      <c r="E41" s="83"/>
      <c r="F41" s="84"/>
      <c r="G41" s="16"/>
      <c r="H41" s="16"/>
      <c r="I41" s="16"/>
      <c r="J41" s="16"/>
      <c r="K41" s="82"/>
      <c r="L41" s="83"/>
      <c r="M41" s="83"/>
      <c r="N41" s="83"/>
      <c r="O41" s="83"/>
      <c r="P41" s="83"/>
      <c r="Q41" s="84"/>
      <c r="R41" s="16"/>
      <c r="S41" s="16"/>
      <c r="T41" s="16"/>
      <c r="U41" s="16"/>
      <c r="V41" s="1"/>
      <c r="W41" s="1"/>
      <c r="X41" s="1"/>
      <c r="Y41" s="1"/>
      <c r="Z41" s="1"/>
      <c r="AA41" s="1"/>
    </row>
    <row r="42" spans="1:27" ht="18" customHeight="1">
      <c r="A42" s="1"/>
      <c r="B42" s="82"/>
      <c r="C42" s="83"/>
      <c r="D42" s="83"/>
      <c r="E42" s="83"/>
      <c r="F42" s="84"/>
      <c r="G42" s="16"/>
      <c r="H42" s="16"/>
      <c r="I42" s="16"/>
      <c r="J42" s="16"/>
      <c r="K42" s="82"/>
      <c r="L42" s="83"/>
      <c r="M42" s="83"/>
      <c r="N42" s="83"/>
      <c r="O42" s="83"/>
      <c r="P42" s="83"/>
      <c r="Q42" s="84"/>
      <c r="R42" s="16"/>
      <c r="S42" s="16"/>
      <c r="T42" s="16"/>
      <c r="U42" s="16"/>
      <c r="V42" s="1"/>
      <c r="W42" s="1"/>
      <c r="X42" s="1"/>
      <c r="Y42" s="1"/>
      <c r="Z42" s="1"/>
      <c r="AA42" s="1"/>
    </row>
    <row r="43" spans="1:27" ht="18" customHeight="1">
      <c r="A43" s="1"/>
      <c r="B43" s="82"/>
      <c r="C43" s="83"/>
      <c r="D43" s="83"/>
      <c r="E43" s="83"/>
      <c r="F43" s="84"/>
      <c r="G43" s="16"/>
      <c r="H43" s="16"/>
      <c r="I43" s="16"/>
      <c r="J43" s="16"/>
      <c r="K43" s="82"/>
      <c r="L43" s="83"/>
      <c r="M43" s="83"/>
      <c r="N43" s="83"/>
      <c r="O43" s="83"/>
      <c r="P43" s="83"/>
      <c r="Q43" s="84"/>
      <c r="R43" s="16"/>
      <c r="S43" s="16"/>
      <c r="T43" s="16"/>
      <c r="U43" s="16"/>
      <c r="V43" s="1"/>
      <c r="W43" s="1"/>
      <c r="X43" s="1"/>
      <c r="Y43" s="1"/>
      <c r="Z43" s="1"/>
      <c r="AA43" s="1"/>
    </row>
    <row r="44" spans="1:27" ht="18" customHeight="1">
      <c r="A44" s="1"/>
      <c r="B44" s="85"/>
      <c r="C44" s="86"/>
      <c r="D44" s="86"/>
      <c r="E44" s="86"/>
      <c r="F44" s="87"/>
      <c r="G44" s="17"/>
      <c r="H44" s="17"/>
      <c r="I44" s="18"/>
      <c r="J44" s="18"/>
      <c r="K44" s="85"/>
      <c r="L44" s="86"/>
      <c r="M44" s="86"/>
      <c r="N44" s="86"/>
      <c r="O44" s="86"/>
      <c r="P44" s="86"/>
      <c r="Q44" s="87"/>
      <c r="R44" s="17"/>
      <c r="S44" s="17"/>
      <c r="T44" s="18"/>
      <c r="U44" s="18"/>
      <c r="V44" s="1"/>
      <c r="W44" s="1"/>
      <c r="X44" s="1"/>
      <c r="Y44" s="1"/>
      <c r="Z44" s="1"/>
      <c r="AA44" s="1"/>
    </row>
    <row r="45" spans="1:27"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row>
    <row r="46" spans="1:27" ht="18" customHeight="1">
      <c r="A46" s="74" t="s">
        <v>31</v>
      </c>
      <c r="B46" s="75"/>
      <c r="C46" s="75"/>
      <c r="D46" s="75"/>
      <c r="E46" s="75"/>
      <c r="F46" s="75"/>
      <c r="G46" s="75"/>
      <c r="H46" s="75"/>
      <c r="I46" s="75"/>
      <c r="J46" s="75"/>
      <c r="K46" s="75"/>
      <c r="L46" s="75"/>
      <c r="M46" s="75"/>
      <c r="N46" s="75"/>
      <c r="O46" s="75"/>
      <c r="P46" s="75"/>
      <c r="Q46" s="75"/>
      <c r="R46" s="75"/>
      <c r="S46" s="75"/>
      <c r="T46" s="75"/>
      <c r="U46" s="75"/>
      <c r="V46" s="1"/>
      <c r="W46" s="1"/>
      <c r="X46" s="1"/>
      <c r="Y46" s="1"/>
      <c r="Z46" s="1"/>
      <c r="AA46" s="1"/>
    </row>
    <row r="47" spans="1:27" ht="18" customHeight="1">
      <c r="A47" s="75"/>
      <c r="B47" s="75"/>
      <c r="C47" s="75"/>
      <c r="D47" s="75"/>
      <c r="E47" s="75"/>
      <c r="F47" s="75"/>
      <c r="G47" s="75"/>
      <c r="H47" s="75"/>
      <c r="I47" s="75"/>
      <c r="J47" s="75"/>
      <c r="K47" s="75"/>
      <c r="L47" s="75"/>
      <c r="M47" s="75"/>
      <c r="N47" s="75"/>
      <c r="O47" s="75"/>
      <c r="P47" s="75"/>
      <c r="Q47" s="75"/>
      <c r="R47" s="75"/>
      <c r="S47" s="75"/>
      <c r="T47" s="75"/>
      <c r="U47" s="75"/>
      <c r="V47" s="1"/>
      <c r="W47" s="1"/>
      <c r="X47" s="1"/>
      <c r="Y47" s="1"/>
      <c r="Z47" s="1"/>
      <c r="AA47" s="1"/>
    </row>
    <row r="48" spans="1:27" ht="18" customHeight="1">
      <c r="A48" s="1"/>
      <c r="B48" s="76" t="s">
        <v>20</v>
      </c>
      <c r="C48" s="77"/>
      <c r="D48" s="77"/>
      <c r="E48" s="77"/>
      <c r="F48" s="78"/>
      <c r="G48" s="12" t="s">
        <v>21</v>
      </c>
      <c r="H48" s="13" t="s">
        <v>22</v>
      </c>
      <c r="I48" s="14" t="s">
        <v>32</v>
      </c>
      <c r="J48" s="14" t="s">
        <v>33</v>
      </c>
      <c r="K48" s="76" t="s">
        <v>20</v>
      </c>
      <c r="L48" s="77"/>
      <c r="M48" s="77"/>
      <c r="N48" s="77"/>
      <c r="O48" s="77"/>
      <c r="P48" s="77"/>
      <c r="Q48" s="78"/>
      <c r="R48" s="12" t="s">
        <v>21</v>
      </c>
      <c r="S48" s="13" t="s">
        <v>22</v>
      </c>
      <c r="T48" s="14" t="s">
        <v>32</v>
      </c>
      <c r="U48" s="14" t="s">
        <v>33</v>
      </c>
      <c r="V48" s="1"/>
      <c r="W48" s="1"/>
      <c r="X48" s="1"/>
      <c r="Y48" s="1"/>
      <c r="Z48" s="1"/>
      <c r="AA48" s="1"/>
    </row>
    <row r="49" spans="1:27" ht="18" customHeight="1">
      <c r="A49" s="8"/>
      <c r="B49" s="79" t="s">
        <v>25</v>
      </c>
      <c r="C49" s="80"/>
      <c r="D49" s="80"/>
      <c r="E49" s="80"/>
      <c r="F49" s="81"/>
      <c r="G49" s="15">
        <v>1.5</v>
      </c>
      <c r="H49" s="15" t="s">
        <v>27</v>
      </c>
      <c r="I49" s="15" t="s">
        <v>27</v>
      </c>
      <c r="J49" s="15" t="s">
        <v>27</v>
      </c>
      <c r="K49" s="79"/>
      <c r="L49" s="80"/>
      <c r="M49" s="80"/>
      <c r="N49" s="80"/>
      <c r="O49" s="80"/>
      <c r="P49" s="80"/>
      <c r="Q49" s="81"/>
      <c r="R49" s="15"/>
      <c r="S49" s="15"/>
      <c r="T49" s="15"/>
      <c r="U49" s="15"/>
      <c r="V49" s="1"/>
      <c r="W49" s="1"/>
      <c r="X49" s="1"/>
      <c r="Y49" s="1"/>
      <c r="Z49" s="1"/>
      <c r="AA49" s="1"/>
    </row>
    <row r="50" spans="1:27" ht="18" customHeight="1">
      <c r="A50" s="8"/>
      <c r="B50" s="82" t="s">
        <v>34</v>
      </c>
      <c r="C50" s="83"/>
      <c r="D50" s="83"/>
      <c r="E50" s="83"/>
      <c r="F50" s="84"/>
      <c r="G50" s="16">
        <v>1.5</v>
      </c>
      <c r="H50" s="16" t="s">
        <v>27</v>
      </c>
      <c r="I50" s="16"/>
      <c r="J50" s="16" t="s">
        <v>27</v>
      </c>
      <c r="K50" s="82"/>
      <c r="L50" s="83"/>
      <c r="M50" s="83"/>
      <c r="N50" s="83"/>
      <c r="O50" s="83"/>
      <c r="P50" s="83"/>
      <c r="Q50" s="84"/>
      <c r="R50" s="16"/>
      <c r="S50" s="16"/>
      <c r="T50" s="16"/>
      <c r="U50" s="16"/>
      <c r="V50" s="1"/>
      <c r="W50" s="1"/>
      <c r="X50" s="1"/>
      <c r="Y50" s="1"/>
      <c r="Z50" s="1"/>
      <c r="AA50" s="1"/>
    </row>
    <row r="51" spans="1:27" ht="18" customHeight="1">
      <c r="A51" s="8"/>
      <c r="B51" s="82"/>
      <c r="C51" s="83"/>
      <c r="D51" s="83"/>
      <c r="E51" s="83"/>
      <c r="F51" s="84"/>
      <c r="G51" s="16"/>
      <c r="H51" s="16"/>
      <c r="I51" s="16"/>
      <c r="J51" s="16"/>
      <c r="K51" s="82"/>
      <c r="L51" s="83"/>
      <c r="M51" s="83"/>
      <c r="N51" s="83"/>
      <c r="O51" s="83"/>
      <c r="P51" s="83"/>
      <c r="Q51" s="84"/>
      <c r="R51" s="16"/>
      <c r="S51" s="16"/>
      <c r="T51" s="16"/>
      <c r="U51" s="16"/>
      <c r="V51" s="1"/>
      <c r="W51" s="1"/>
      <c r="X51" s="1"/>
      <c r="Y51" s="1"/>
      <c r="Z51" s="1"/>
      <c r="AA51" s="1"/>
    </row>
    <row r="52" spans="1:27" ht="18" customHeight="1">
      <c r="A52" s="8"/>
      <c r="B52" s="82"/>
      <c r="C52" s="83"/>
      <c r="D52" s="83"/>
      <c r="E52" s="83"/>
      <c r="F52" s="84"/>
      <c r="G52" s="16"/>
      <c r="H52" s="16"/>
      <c r="I52" s="16"/>
      <c r="J52" s="16"/>
      <c r="K52" s="82"/>
      <c r="L52" s="83"/>
      <c r="M52" s="83"/>
      <c r="N52" s="83"/>
      <c r="O52" s="83"/>
      <c r="P52" s="83"/>
      <c r="Q52" s="84"/>
      <c r="R52" s="16"/>
      <c r="S52" s="16"/>
      <c r="T52" s="16"/>
      <c r="U52" s="16"/>
      <c r="V52" s="1"/>
      <c r="W52" s="1"/>
      <c r="X52" s="1"/>
      <c r="Y52" s="1"/>
      <c r="Z52" s="1"/>
      <c r="AA52" s="1"/>
    </row>
    <row r="53" spans="1:27" ht="18" customHeight="1">
      <c r="A53" s="8"/>
      <c r="B53" s="82"/>
      <c r="C53" s="83"/>
      <c r="D53" s="83"/>
      <c r="E53" s="83"/>
      <c r="F53" s="84"/>
      <c r="G53" s="16"/>
      <c r="H53" s="16"/>
      <c r="I53" s="16"/>
      <c r="J53" s="16"/>
      <c r="K53" s="82"/>
      <c r="L53" s="83"/>
      <c r="M53" s="83"/>
      <c r="N53" s="83"/>
      <c r="O53" s="83"/>
      <c r="P53" s="83"/>
      <c r="Q53" s="84"/>
      <c r="R53" s="16"/>
      <c r="S53" s="16"/>
      <c r="T53" s="16"/>
      <c r="U53" s="16"/>
      <c r="V53" s="1"/>
      <c r="W53" s="1"/>
      <c r="X53" s="1"/>
      <c r="Y53" s="1"/>
      <c r="Z53" s="1"/>
      <c r="AA53" s="1"/>
    </row>
    <row r="54" spans="1:27" ht="18" customHeight="1">
      <c r="A54" s="8"/>
      <c r="B54" s="82"/>
      <c r="C54" s="83"/>
      <c r="D54" s="83"/>
      <c r="E54" s="83"/>
      <c r="F54" s="84"/>
      <c r="G54" s="16"/>
      <c r="H54" s="16"/>
      <c r="I54" s="16"/>
      <c r="J54" s="16"/>
      <c r="K54" s="82"/>
      <c r="L54" s="83"/>
      <c r="M54" s="83"/>
      <c r="N54" s="83"/>
      <c r="O54" s="83"/>
      <c r="P54" s="83"/>
      <c r="Q54" s="84"/>
      <c r="R54" s="16"/>
      <c r="S54" s="16"/>
      <c r="T54" s="16"/>
      <c r="U54" s="16"/>
      <c r="V54" s="1"/>
      <c r="W54" s="1"/>
      <c r="X54" s="1"/>
      <c r="Y54" s="1"/>
      <c r="Z54" s="1"/>
      <c r="AA54" s="1"/>
    </row>
    <row r="55" spans="1:27" ht="18" customHeight="1">
      <c r="A55" s="8"/>
      <c r="B55" s="85"/>
      <c r="C55" s="86"/>
      <c r="D55" s="86"/>
      <c r="E55" s="86"/>
      <c r="F55" s="87"/>
      <c r="G55" s="17"/>
      <c r="H55" s="17"/>
      <c r="I55" s="18"/>
      <c r="J55" s="18"/>
      <c r="K55" s="85"/>
      <c r="L55" s="86"/>
      <c r="M55" s="86"/>
      <c r="N55" s="86"/>
      <c r="O55" s="86"/>
      <c r="P55" s="86"/>
      <c r="Q55" s="87"/>
      <c r="R55" s="17"/>
      <c r="S55" s="17"/>
      <c r="T55" s="18"/>
      <c r="U55" s="18"/>
      <c r="V55" s="1"/>
      <c r="W55" s="1"/>
      <c r="X55" s="1"/>
      <c r="Y55" s="1"/>
      <c r="Z55" s="1"/>
      <c r="AA55" s="1"/>
    </row>
    <row r="56" spans="1:27" ht="7.5" customHeight="1">
      <c r="A56" s="1"/>
      <c r="B56" s="19"/>
      <c r="C56" s="19"/>
      <c r="D56" s="19"/>
      <c r="E56" s="19"/>
      <c r="F56" s="19"/>
      <c r="G56" s="19"/>
      <c r="H56" s="19"/>
      <c r="I56" s="19"/>
      <c r="J56" s="19"/>
      <c r="K56" s="19"/>
      <c r="L56" s="19"/>
      <c r="M56" s="19"/>
      <c r="N56" s="19"/>
      <c r="O56" s="19"/>
      <c r="P56" s="19"/>
      <c r="Q56" s="19"/>
      <c r="R56" s="19"/>
      <c r="S56" s="19"/>
      <c r="T56" s="19"/>
      <c r="U56" s="1"/>
      <c r="V56" s="1"/>
      <c r="W56" s="1"/>
      <c r="X56" s="1"/>
      <c r="Y56" s="1"/>
      <c r="Z56" s="1"/>
      <c r="AA56" s="1"/>
    </row>
    <row r="57" spans="1:27" ht="18" customHeight="1">
      <c r="A57" s="74" t="s">
        <v>35</v>
      </c>
      <c r="B57" s="75"/>
      <c r="C57" s="75"/>
      <c r="D57" s="75"/>
      <c r="E57" s="75"/>
      <c r="F57" s="75"/>
      <c r="G57" s="75"/>
      <c r="H57" s="75"/>
      <c r="I57" s="75"/>
      <c r="J57" s="75"/>
      <c r="K57" s="75"/>
      <c r="L57" s="75"/>
      <c r="M57" s="75"/>
      <c r="N57" s="75"/>
      <c r="O57" s="75"/>
      <c r="P57" s="75"/>
      <c r="Q57" s="75"/>
      <c r="R57" s="75"/>
      <c r="S57" s="75"/>
      <c r="T57" s="75"/>
      <c r="U57" s="75"/>
      <c r="V57" s="1"/>
      <c r="W57" s="1"/>
      <c r="X57" s="1"/>
      <c r="Y57" s="1"/>
      <c r="Z57" s="1"/>
      <c r="AA57" s="1"/>
    </row>
    <row r="58" spans="1:27" ht="18" customHeight="1">
      <c r="A58" s="75"/>
      <c r="B58" s="75"/>
      <c r="C58" s="75"/>
      <c r="D58" s="75"/>
      <c r="E58" s="75"/>
      <c r="F58" s="75"/>
      <c r="G58" s="75"/>
      <c r="H58" s="75"/>
      <c r="I58" s="75"/>
      <c r="J58" s="75"/>
      <c r="K58" s="75"/>
      <c r="L58" s="75"/>
      <c r="M58" s="75"/>
      <c r="N58" s="75"/>
      <c r="O58" s="75"/>
      <c r="P58" s="75"/>
      <c r="Q58" s="75"/>
      <c r="R58" s="75"/>
      <c r="S58" s="75"/>
      <c r="T58" s="75"/>
      <c r="U58" s="75"/>
      <c r="V58" s="1"/>
      <c r="W58" s="1"/>
      <c r="X58" s="1"/>
      <c r="Y58" s="1"/>
      <c r="Z58" s="1"/>
      <c r="AA58" s="1"/>
    </row>
    <row r="59" spans="1:27" ht="18" customHeight="1">
      <c r="A59" s="1"/>
      <c r="B59" s="76" t="s">
        <v>20</v>
      </c>
      <c r="C59" s="77"/>
      <c r="D59" s="77"/>
      <c r="E59" s="77"/>
      <c r="F59" s="78"/>
      <c r="G59" s="12" t="s">
        <v>21</v>
      </c>
      <c r="H59" s="13" t="s">
        <v>22</v>
      </c>
      <c r="I59" s="14" t="s">
        <v>36</v>
      </c>
      <c r="J59" s="14" t="s">
        <v>37</v>
      </c>
      <c r="K59" s="76" t="s">
        <v>20</v>
      </c>
      <c r="L59" s="77"/>
      <c r="M59" s="77"/>
      <c r="N59" s="77"/>
      <c r="O59" s="77"/>
      <c r="P59" s="77"/>
      <c r="Q59" s="78"/>
      <c r="R59" s="12" t="s">
        <v>21</v>
      </c>
      <c r="S59" s="13" t="s">
        <v>22</v>
      </c>
      <c r="T59" s="14" t="s">
        <v>36</v>
      </c>
      <c r="U59" s="14" t="s">
        <v>37</v>
      </c>
      <c r="V59" s="1"/>
      <c r="W59" s="1"/>
      <c r="X59" s="1"/>
      <c r="Y59" s="1"/>
      <c r="Z59" s="1"/>
      <c r="AA59" s="1"/>
    </row>
    <row r="60" spans="1:27" ht="18" customHeight="1">
      <c r="A60" s="8"/>
      <c r="B60" s="82" t="s">
        <v>25</v>
      </c>
      <c r="C60" s="83"/>
      <c r="D60" s="83"/>
      <c r="E60" s="83"/>
      <c r="F60" s="84"/>
      <c r="G60" s="15">
        <v>1.5</v>
      </c>
      <c r="H60" s="15" t="s">
        <v>27</v>
      </c>
      <c r="I60" s="15" t="s">
        <v>27</v>
      </c>
      <c r="J60" s="15" t="s">
        <v>27</v>
      </c>
      <c r="K60" s="79"/>
      <c r="L60" s="80"/>
      <c r="M60" s="80"/>
      <c r="N60" s="80"/>
      <c r="O60" s="80"/>
      <c r="P60" s="80"/>
      <c r="Q60" s="81"/>
      <c r="R60" s="15"/>
      <c r="S60" s="15"/>
      <c r="T60" s="15"/>
      <c r="U60" s="15"/>
      <c r="V60" s="1"/>
      <c r="W60" s="1"/>
      <c r="X60" s="1"/>
      <c r="Y60" s="1"/>
      <c r="Z60" s="1"/>
      <c r="AA60" s="1"/>
    </row>
    <row r="61" spans="1:27" ht="18" customHeight="1">
      <c r="A61" s="8"/>
      <c r="B61" s="82"/>
      <c r="C61" s="83"/>
      <c r="D61" s="83"/>
      <c r="E61" s="83"/>
      <c r="F61" s="84"/>
      <c r="G61" s="16"/>
      <c r="H61" s="16"/>
      <c r="I61" s="16"/>
      <c r="J61" s="16"/>
      <c r="K61" s="82"/>
      <c r="L61" s="83"/>
      <c r="M61" s="83"/>
      <c r="N61" s="83"/>
      <c r="O61" s="83"/>
      <c r="P61" s="83"/>
      <c r="Q61" s="84"/>
      <c r="R61" s="16"/>
      <c r="S61" s="16"/>
      <c r="T61" s="16"/>
      <c r="U61" s="16"/>
      <c r="V61" s="1"/>
      <c r="W61" s="1"/>
      <c r="X61" s="1"/>
      <c r="Y61" s="1"/>
      <c r="Z61" s="1"/>
      <c r="AA61" s="1"/>
    </row>
    <row r="62" spans="1:27" ht="18" customHeight="1">
      <c r="A62" s="8"/>
      <c r="B62" s="82"/>
      <c r="C62" s="83"/>
      <c r="D62" s="83"/>
      <c r="E62" s="83"/>
      <c r="F62" s="84"/>
      <c r="G62" s="16"/>
      <c r="H62" s="16"/>
      <c r="I62" s="16"/>
      <c r="J62" s="16"/>
      <c r="K62" s="82"/>
      <c r="L62" s="83"/>
      <c r="M62" s="83"/>
      <c r="N62" s="83"/>
      <c r="O62" s="83"/>
      <c r="P62" s="83"/>
      <c r="Q62" s="84"/>
      <c r="R62" s="16"/>
      <c r="S62" s="16"/>
      <c r="T62" s="16"/>
      <c r="U62" s="16"/>
      <c r="V62" s="1"/>
      <c r="W62" s="1"/>
      <c r="X62" s="1"/>
      <c r="Y62" s="1"/>
      <c r="Z62" s="1"/>
      <c r="AA62" s="1"/>
    </row>
    <row r="63" spans="1:27" ht="18" customHeight="1">
      <c r="A63" s="8"/>
      <c r="B63" s="82"/>
      <c r="C63" s="83"/>
      <c r="D63" s="83"/>
      <c r="E63" s="83"/>
      <c r="F63" s="84"/>
      <c r="G63" s="16"/>
      <c r="H63" s="16"/>
      <c r="I63" s="16"/>
      <c r="J63" s="16"/>
      <c r="K63" s="82"/>
      <c r="L63" s="83"/>
      <c r="M63" s="83"/>
      <c r="N63" s="83"/>
      <c r="O63" s="83"/>
      <c r="P63" s="83"/>
      <c r="Q63" s="84"/>
      <c r="R63" s="16"/>
      <c r="S63" s="16"/>
      <c r="T63" s="16"/>
      <c r="U63" s="16"/>
      <c r="V63" s="1"/>
      <c r="W63" s="1"/>
      <c r="X63" s="1"/>
      <c r="Y63" s="1"/>
      <c r="Z63" s="1"/>
      <c r="AA63" s="1"/>
    </row>
    <row r="64" spans="1:27" ht="18" customHeight="1">
      <c r="A64" s="8"/>
      <c r="B64" s="82"/>
      <c r="C64" s="83"/>
      <c r="D64" s="83"/>
      <c r="E64" s="83"/>
      <c r="F64" s="84"/>
      <c r="G64" s="16"/>
      <c r="H64" s="16"/>
      <c r="I64" s="16"/>
      <c r="J64" s="16"/>
      <c r="K64" s="82"/>
      <c r="L64" s="83"/>
      <c r="M64" s="83"/>
      <c r="N64" s="83"/>
      <c r="O64" s="83"/>
      <c r="P64" s="83"/>
      <c r="Q64" s="84"/>
      <c r="R64" s="16"/>
      <c r="S64" s="16"/>
      <c r="T64" s="16"/>
      <c r="U64" s="16"/>
      <c r="V64" s="1"/>
      <c r="W64" s="1"/>
      <c r="X64" s="1"/>
      <c r="Y64" s="1"/>
      <c r="Z64" s="1"/>
      <c r="AA64" s="1"/>
    </row>
    <row r="65" spans="1:27" ht="18" customHeight="1">
      <c r="A65" s="8"/>
      <c r="B65" s="82"/>
      <c r="C65" s="83"/>
      <c r="D65" s="83"/>
      <c r="E65" s="83"/>
      <c r="F65" s="84"/>
      <c r="G65" s="16"/>
      <c r="H65" s="16"/>
      <c r="I65" s="16"/>
      <c r="J65" s="16"/>
      <c r="K65" s="82"/>
      <c r="L65" s="83"/>
      <c r="M65" s="83"/>
      <c r="N65" s="83"/>
      <c r="O65" s="83"/>
      <c r="P65" s="83"/>
      <c r="Q65" s="84"/>
      <c r="R65" s="16"/>
      <c r="S65" s="16"/>
      <c r="T65" s="16"/>
      <c r="U65" s="16"/>
      <c r="V65" s="1"/>
      <c r="W65" s="1"/>
      <c r="X65" s="1"/>
      <c r="Y65" s="1"/>
      <c r="Z65" s="1"/>
      <c r="AA65" s="1"/>
    </row>
    <row r="66" spans="1:27" ht="18" customHeight="1">
      <c r="A66" s="8"/>
      <c r="B66" s="85"/>
      <c r="C66" s="86"/>
      <c r="D66" s="86"/>
      <c r="E66" s="86"/>
      <c r="F66" s="87"/>
      <c r="G66" s="17"/>
      <c r="H66" s="17"/>
      <c r="I66" s="18"/>
      <c r="J66" s="18"/>
      <c r="K66" s="85"/>
      <c r="L66" s="86"/>
      <c r="M66" s="86"/>
      <c r="N66" s="86"/>
      <c r="O66" s="86"/>
      <c r="P66" s="86"/>
      <c r="Q66" s="87"/>
      <c r="R66" s="17"/>
      <c r="S66" s="17"/>
      <c r="T66" s="18"/>
      <c r="U66" s="18"/>
      <c r="V66" s="1"/>
      <c r="W66" s="1"/>
      <c r="X66" s="1"/>
      <c r="Y66" s="1"/>
      <c r="Z66" s="1"/>
      <c r="AA66" s="1"/>
    </row>
    <row r="67" spans="1:27" ht="7.5" customHeight="1">
      <c r="A67" s="1"/>
      <c r="B67" s="19"/>
      <c r="C67" s="19"/>
      <c r="D67" s="19"/>
      <c r="E67" s="19"/>
      <c r="F67" s="19"/>
      <c r="G67" s="19"/>
      <c r="H67" s="19"/>
      <c r="I67" s="19"/>
      <c r="J67" s="19"/>
      <c r="K67" s="19"/>
      <c r="L67" s="19"/>
      <c r="M67" s="19"/>
      <c r="N67" s="19"/>
      <c r="O67" s="19"/>
      <c r="P67" s="19"/>
      <c r="Q67" s="19"/>
      <c r="R67" s="19"/>
      <c r="S67" s="19"/>
      <c r="T67" s="19"/>
      <c r="U67" s="1"/>
      <c r="V67" s="1"/>
      <c r="W67" s="1"/>
      <c r="X67" s="1"/>
      <c r="Y67" s="1"/>
      <c r="Z67" s="1"/>
      <c r="AA67" s="1"/>
    </row>
    <row r="68" spans="1:27" ht="18" customHeight="1">
      <c r="A68" s="74" t="s">
        <v>38</v>
      </c>
      <c r="B68" s="75"/>
      <c r="C68" s="75"/>
      <c r="D68" s="75"/>
      <c r="E68" s="75"/>
      <c r="F68" s="75"/>
      <c r="G68" s="75"/>
      <c r="H68" s="75"/>
      <c r="I68" s="75"/>
      <c r="J68" s="75"/>
      <c r="K68" s="75"/>
      <c r="L68" s="75"/>
      <c r="M68" s="75"/>
      <c r="N68" s="75"/>
      <c r="O68" s="75"/>
      <c r="P68" s="75"/>
      <c r="Q68" s="75"/>
      <c r="R68" s="75"/>
      <c r="S68" s="75"/>
      <c r="T68" s="75"/>
      <c r="U68" s="75"/>
      <c r="V68" s="1"/>
      <c r="W68" s="1"/>
      <c r="X68" s="1"/>
      <c r="Y68" s="1"/>
      <c r="Z68" s="1"/>
      <c r="AA68" s="1"/>
    </row>
    <row r="69" spans="1:27" ht="18" customHeight="1">
      <c r="A69" s="75"/>
      <c r="B69" s="75"/>
      <c r="C69" s="75"/>
      <c r="D69" s="75"/>
      <c r="E69" s="75"/>
      <c r="F69" s="75"/>
      <c r="G69" s="75"/>
      <c r="H69" s="75"/>
      <c r="I69" s="75"/>
      <c r="J69" s="75"/>
      <c r="K69" s="75"/>
      <c r="L69" s="75"/>
      <c r="M69" s="75"/>
      <c r="N69" s="75"/>
      <c r="O69" s="75"/>
      <c r="P69" s="75"/>
      <c r="Q69" s="75"/>
      <c r="R69" s="75"/>
      <c r="S69" s="75"/>
      <c r="T69" s="75"/>
      <c r="U69" s="75"/>
      <c r="V69" s="1"/>
      <c r="W69" s="1"/>
      <c r="X69" s="1"/>
      <c r="Y69" s="1"/>
      <c r="Z69" s="1"/>
      <c r="AA69" s="1"/>
    </row>
    <row r="70" spans="1:27" ht="18" customHeight="1">
      <c r="A70" s="1"/>
      <c r="B70" s="76" t="s">
        <v>20</v>
      </c>
      <c r="C70" s="77"/>
      <c r="D70" s="77"/>
      <c r="E70" s="77"/>
      <c r="F70" s="12" t="s">
        <v>21</v>
      </c>
      <c r="G70" s="13" t="s">
        <v>22</v>
      </c>
      <c r="H70" s="14" t="s">
        <v>39</v>
      </c>
      <c r="I70" s="14" t="s">
        <v>40</v>
      </c>
      <c r="J70" s="14" t="s">
        <v>41</v>
      </c>
      <c r="K70" s="76" t="s">
        <v>20</v>
      </c>
      <c r="L70" s="77"/>
      <c r="M70" s="77"/>
      <c r="N70" s="77"/>
      <c r="O70" s="77"/>
      <c r="P70" s="78"/>
      <c r="Q70" s="12" t="s">
        <v>21</v>
      </c>
      <c r="R70" s="13" t="s">
        <v>22</v>
      </c>
      <c r="S70" s="14" t="s">
        <v>39</v>
      </c>
      <c r="T70" s="14" t="s">
        <v>40</v>
      </c>
      <c r="U70" s="14" t="s">
        <v>41</v>
      </c>
      <c r="V70" s="1"/>
      <c r="W70" s="1"/>
      <c r="X70" s="1"/>
      <c r="Y70" s="1"/>
      <c r="Z70" s="1"/>
      <c r="AA70" s="1"/>
    </row>
    <row r="71" spans="1:27" ht="18" customHeight="1">
      <c r="A71" s="8"/>
      <c r="B71" s="82" t="s">
        <v>42</v>
      </c>
      <c r="C71" s="83"/>
      <c r="D71" s="83"/>
      <c r="E71" s="83"/>
      <c r="F71" s="16">
        <v>0.5</v>
      </c>
      <c r="G71" s="15" t="s">
        <v>27</v>
      </c>
      <c r="H71" s="15" t="s">
        <v>27</v>
      </c>
      <c r="I71" s="15" t="s">
        <v>27</v>
      </c>
      <c r="J71" s="15"/>
      <c r="K71" s="79"/>
      <c r="L71" s="80"/>
      <c r="M71" s="80"/>
      <c r="N71" s="80"/>
      <c r="O71" s="80"/>
      <c r="P71" s="81"/>
      <c r="Q71" s="15"/>
      <c r="R71" s="15"/>
      <c r="S71" s="15"/>
      <c r="T71" s="15"/>
      <c r="U71" s="15"/>
      <c r="V71" s="1"/>
      <c r="W71" s="1"/>
      <c r="X71" s="1"/>
      <c r="Y71" s="1"/>
      <c r="Z71" s="1"/>
      <c r="AA71" s="1"/>
    </row>
    <row r="72" spans="1:27" ht="18" customHeight="1">
      <c r="A72" s="8"/>
      <c r="B72" s="82" t="s">
        <v>34</v>
      </c>
      <c r="C72" s="83"/>
      <c r="D72" s="83"/>
      <c r="E72" s="83"/>
      <c r="F72" s="16">
        <v>1.5</v>
      </c>
      <c r="G72" s="16" t="s">
        <v>27</v>
      </c>
      <c r="H72" s="16" t="s">
        <v>27</v>
      </c>
      <c r="I72" s="16" t="s">
        <v>27</v>
      </c>
      <c r="J72" s="16" t="s">
        <v>27</v>
      </c>
      <c r="K72" s="82"/>
      <c r="L72" s="83"/>
      <c r="M72" s="83"/>
      <c r="N72" s="83"/>
      <c r="O72" s="83"/>
      <c r="P72" s="84"/>
      <c r="Q72" s="16"/>
      <c r="R72" s="16"/>
      <c r="S72" s="16"/>
      <c r="T72" s="16"/>
      <c r="U72" s="16"/>
      <c r="V72" s="1"/>
      <c r="W72" s="1"/>
      <c r="X72" s="1"/>
      <c r="Y72" s="1"/>
      <c r="Z72" s="1"/>
      <c r="AA72" s="1"/>
    </row>
    <row r="73" spans="1:27" ht="18" customHeight="1">
      <c r="A73" s="8"/>
      <c r="B73" s="82"/>
      <c r="C73" s="83"/>
      <c r="D73" s="83"/>
      <c r="E73" s="83"/>
      <c r="F73" s="16"/>
      <c r="G73" s="16"/>
      <c r="H73" s="16"/>
      <c r="I73" s="16"/>
      <c r="J73" s="16"/>
      <c r="K73" s="82"/>
      <c r="L73" s="83"/>
      <c r="M73" s="83"/>
      <c r="N73" s="83"/>
      <c r="O73" s="83"/>
      <c r="P73" s="84"/>
      <c r="Q73" s="16"/>
      <c r="R73" s="16"/>
      <c r="S73" s="16"/>
      <c r="T73" s="16"/>
      <c r="U73" s="16"/>
      <c r="V73" s="1"/>
      <c r="W73" s="1"/>
      <c r="X73" s="1"/>
      <c r="Y73" s="1"/>
      <c r="Z73" s="1"/>
      <c r="AA73" s="1"/>
    </row>
    <row r="74" spans="1:27" ht="18" customHeight="1">
      <c r="A74" s="8"/>
      <c r="B74" s="82"/>
      <c r="C74" s="83"/>
      <c r="D74" s="83"/>
      <c r="E74" s="83"/>
      <c r="F74" s="16"/>
      <c r="G74" s="16"/>
      <c r="H74" s="16"/>
      <c r="I74" s="16"/>
      <c r="J74" s="16"/>
      <c r="K74" s="82"/>
      <c r="L74" s="83"/>
      <c r="M74" s="83"/>
      <c r="N74" s="83"/>
      <c r="O74" s="83"/>
      <c r="P74" s="84"/>
      <c r="Q74" s="16"/>
      <c r="R74" s="16"/>
      <c r="S74" s="16"/>
      <c r="T74" s="16"/>
      <c r="U74" s="16"/>
      <c r="V74" s="1"/>
      <c r="W74" s="1"/>
      <c r="X74" s="1"/>
      <c r="Y74" s="1"/>
      <c r="Z74" s="1"/>
      <c r="AA74" s="1"/>
    </row>
    <row r="75" spans="1:27" ht="18" customHeight="1">
      <c r="A75" s="8"/>
      <c r="B75" s="82"/>
      <c r="C75" s="83"/>
      <c r="D75" s="83"/>
      <c r="E75" s="83"/>
      <c r="F75" s="16"/>
      <c r="G75" s="16"/>
      <c r="H75" s="16"/>
      <c r="I75" s="16"/>
      <c r="J75" s="16"/>
      <c r="K75" s="82"/>
      <c r="L75" s="83"/>
      <c r="M75" s="83"/>
      <c r="N75" s="83"/>
      <c r="O75" s="83"/>
      <c r="P75" s="84"/>
      <c r="Q75" s="16"/>
      <c r="R75" s="16"/>
      <c r="S75" s="16"/>
      <c r="T75" s="16"/>
      <c r="U75" s="16"/>
      <c r="V75" s="1"/>
      <c r="W75" s="1"/>
      <c r="X75" s="1"/>
      <c r="Y75" s="1"/>
      <c r="Z75" s="1"/>
      <c r="AA75" s="1"/>
    </row>
    <row r="76" spans="1:27" ht="18" customHeight="1">
      <c r="A76" s="8"/>
      <c r="B76" s="82"/>
      <c r="C76" s="83"/>
      <c r="D76" s="83"/>
      <c r="E76" s="83"/>
      <c r="F76" s="16"/>
      <c r="G76" s="16"/>
      <c r="H76" s="16"/>
      <c r="I76" s="16"/>
      <c r="J76" s="16"/>
      <c r="K76" s="82"/>
      <c r="L76" s="83"/>
      <c r="M76" s="83"/>
      <c r="N76" s="83"/>
      <c r="O76" s="83"/>
      <c r="P76" s="84"/>
      <c r="Q76" s="16"/>
      <c r="R76" s="16"/>
      <c r="S76" s="16"/>
      <c r="T76" s="16"/>
      <c r="U76" s="16"/>
      <c r="V76" s="1"/>
      <c r="W76" s="1"/>
      <c r="X76" s="1"/>
      <c r="Y76" s="1"/>
      <c r="Z76" s="1"/>
      <c r="AA76" s="1"/>
    </row>
    <row r="77" spans="1:27" ht="18" customHeight="1">
      <c r="A77" s="8"/>
      <c r="B77" s="85"/>
      <c r="C77" s="86"/>
      <c r="D77" s="86"/>
      <c r="E77" s="86"/>
      <c r="F77" s="17"/>
      <c r="G77" s="17"/>
      <c r="H77" s="18"/>
      <c r="I77" s="18"/>
      <c r="J77" s="18"/>
      <c r="K77" s="85"/>
      <c r="L77" s="86"/>
      <c r="M77" s="86"/>
      <c r="N77" s="86"/>
      <c r="O77" s="86"/>
      <c r="P77" s="87"/>
      <c r="Q77" s="17"/>
      <c r="R77" s="17"/>
      <c r="S77" s="18"/>
      <c r="T77" s="18"/>
      <c r="U77" s="18"/>
      <c r="V77" s="1"/>
      <c r="W77" s="1"/>
      <c r="X77" s="1"/>
      <c r="Y77" s="1"/>
      <c r="Z77" s="1"/>
      <c r="AA77" s="1"/>
    </row>
    <row r="78" spans="1:27" ht="7.5" customHeight="1">
      <c r="A78" s="1"/>
      <c r="B78" s="19"/>
      <c r="C78" s="19"/>
      <c r="D78" s="19"/>
      <c r="E78" s="19"/>
      <c r="F78" s="19"/>
      <c r="G78" s="19"/>
      <c r="H78" s="19"/>
      <c r="I78" s="19"/>
      <c r="J78" s="19"/>
      <c r="K78" s="19"/>
      <c r="L78" s="19"/>
      <c r="M78" s="19"/>
      <c r="N78" s="19"/>
      <c r="O78" s="19"/>
      <c r="P78" s="19"/>
      <c r="Q78" s="19"/>
      <c r="R78" s="19"/>
      <c r="S78" s="19"/>
      <c r="T78" s="19"/>
      <c r="U78" s="1"/>
      <c r="V78" s="1"/>
      <c r="W78" s="1"/>
      <c r="X78" s="1"/>
      <c r="Y78" s="1"/>
      <c r="Z78" s="1"/>
      <c r="AA78" s="1"/>
    </row>
    <row r="79" spans="1:27" ht="18" customHeight="1">
      <c r="A79" s="1" t="s">
        <v>43</v>
      </c>
      <c r="B79" s="1"/>
      <c r="C79" s="1"/>
      <c r="D79" s="1"/>
      <c r="E79" s="1"/>
      <c r="F79" s="1"/>
      <c r="G79" s="1"/>
      <c r="H79" s="1"/>
      <c r="I79" s="8"/>
      <c r="J79" s="8"/>
      <c r="K79" s="8"/>
      <c r="L79" s="8"/>
      <c r="M79" s="8"/>
      <c r="N79" s="8"/>
      <c r="O79" s="8"/>
      <c r="P79" s="8"/>
      <c r="Q79" s="8"/>
      <c r="R79" s="8"/>
      <c r="S79" s="8"/>
      <c r="T79" s="8"/>
      <c r="U79" s="8"/>
      <c r="V79" s="1"/>
      <c r="W79" s="1"/>
      <c r="X79" s="1"/>
      <c r="Y79" s="1"/>
      <c r="Z79" s="1"/>
      <c r="AA79" s="1"/>
    </row>
    <row r="80" spans="1:27" ht="18" customHeight="1">
      <c r="A80" s="1"/>
      <c r="B80" s="76" t="s">
        <v>20</v>
      </c>
      <c r="C80" s="77"/>
      <c r="D80" s="77"/>
      <c r="E80" s="77"/>
      <c r="F80" s="78"/>
      <c r="G80" s="76" t="s">
        <v>44</v>
      </c>
      <c r="H80" s="77"/>
      <c r="I80" s="77"/>
      <c r="J80" s="78"/>
      <c r="K80" s="88" t="s">
        <v>20</v>
      </c>
      <c r="L80" s="89"/>
      <c r="M80" s="89"/>
      <c r="N80" s="89"/>
      <c r="O80" s="89"/>
      <c r="P80" s="89"/>
      <c r="Q80" s="90"/>
      <c r="R80" s="76" t="s">
        <v>44</v>
      </c>
      <c r="S80" s="77"/>
      <c r="T80" s="77"/>
      <c r="U80" s="78"/>
      <c r="V80" s="1"/>
      <c r="W80" s="1"/>
      <c r="X80" s="1"/>
      <c r="Y80" s="1"/>
      <c r="Z80" s="1"/>
      <c r="AA80" s="1" t="s">
        <v>45</v>
      </c>
    </row>
    <row r="81" spans="1:27" ht="18" customHeight="1">
      <c r="A81" s="8"/>
      <c r="B81" s="79"/>
      <c r="C81" s="80"/>
      <c r="D81" s="80"/>
      <c r="E81" s="80"/>
      <c r="F81" s="81"/>
      <c r="G81" s="91"/>
      <c r="H81" s="89"/>
      <c r="I81" s="89"/>
      <c r="J81" s="90"/>
      <c r="K81" s="79"/>
      <c r="L81" s="80"/>
      <c r="M81" s="80"/>
      <c r="N81" s="80"/>
      <c r="O81" s="80"/>
      <c r="P81" s="80"/>
      <c r="Q81" s="81"/>
      <c r="R81" s="91"/>
      <c r="S81" s="89"/>
      <c r="T81" s="89"/>
      <c r="U81" s="90"/>
      <c r="V81" s="1"/>
      <c r="W81" s="1"/>
      <c r="X81" s="1"/>
      <c r="Y81" s="1"/>
      <c r="Z81" s="1"/>
      <c r="AA81" s="1" t="s">
        <v>46</v>
      </c>
    </row>
    <row r="82" spans="1:27" ht="18" customHeight="1">
      <c r="A82" s="8"/>
      <c r="B82" s="82"/>
      <c r="C82" s="83"/>
      <c r="D82" s="83"/>
      <c r="E82" s="83"/>
      <c r="F82" s="84"/>
      <c r="G82" s="92"/>
      <c r="H82" s="83"/>
      <c r="I82" s="83"/>
      <c r="J82" s="84"/>
      <c r="K82" s="82"/>
      <c r="L82" s="83"/>
      <c r="M82" s="83"/>
      <c r="N82" s="83"/>
      <c r="O82" s="83"/>
      <c r="P82" s="83"/>
      <c r="Q82" s="84"/>
      <c r="R82" s="92"/>
      <c r="S82" s="83"/>
      <c r="T82" s="83"/>
      <c r="U82" s="84"/>
      <c r="V82" s="1"/>
      <c r="W82" s="1"/>
      <c r="X82" s="1"/>
      <c r="Y82" s="1"/>
      <c r="Z82" s="1"/>
      <c r="AA82" s="1" t="s">
        <v>47</v>
      </c>
    </row>
    <row r="83" spans="1:27" ht="18" customHeight="1">
      <c r="A83" s="8"/>
      <c r="B83" s="82"/>
      <c r="C83" s="83"/>
      <c r="D83" s="83"/>
      <c r="E83" s="83"/>
      <c r="F83" s="84"/>
      <c r="G83" s="92"/>
      <c r="H83" s="83"/>
      <c r="I83" s="83"/>
      <c r="J83" s="84"/>
      <c r="K83" s="82"/>
      <c r="L83" s="83"/>
      <c r="M83" s="83"/>
      <c r="N83" s="83"/>
      <c r="O83" s="83"/>
      <c r="P83" s="83"/>
      <c r="Q83" s="84"/>
      <c r="R83" s="92"/>
      <c r="S83" s="83"/>
      <c r="T83" s="83"/>
      <c r="U83" s="84"/>
      <c r="V83" s="1"/>
      <c r="W83" s="1"/>
      <c r="X83" s="1"/>
      <c r="Y83" s="1"/>
      <c r="Z83" s="1"/>
      <c r="AA83" s="1" t="s">
        <v>48</v>
      </c>
    </row>
    <row r="84" spans="1:27" ht="18" customHeight="1">
      <c r="A84" s="8"/>
      <c r="B84" s="82"/>
      <c r="C84" s="83"/>
      <c r="D84" s="83"/>
      <c r="E84" s="83"/>
      <c r="F84" s="84"/>
      <c r="G84" s="92"/>
      <c r="H84" s="83"/>
      <c r="I84" s="83"/>
      <c r="J84" s="84"/>
      <c r="K84" s="82"/>
      <c r="L84" s="83"/>
      <c r="M84" s="83"/>
      <c r="N84" s="83"/>
      <c r="O84" s="83"/>
      <c r="P84" s="83"/>
      <c r="Q84" s="84"/>
      <c r="R84" s="92"/>
      <c r="S84" s="83"/>
      <c r="T84" s="83"/>
      <c r="U84" s="84"/>
      <c r="V84" s="1"/>
      <c r="W84" s="1"/>
      <c r="X84" s="1"/>
      <c r="Y84" s="1"/>
      <c r="Z84" s="1"/>
      <c r="AA84" s="1" t="s">
        <v>49</v>
      </c>
    </row>
    <row r="85" spans="1:27" ht="18" customHeight="1">
      <c r="A85" s="8"/>
      <c r="B85" s="82"/>
      <c r="C85" s="83"/>
      <c r="D85" s="83"/>
      <c r="E85" s="83"/>
      <c r="F85" s="84"/>
      <c r="G85" s="92"/>
      <c r="H85" s="83"/>
      <c r="I85" s="83"/>
      <c r="J85" s="84"/>
      <c r="K85" s="82"/>
      <c r="L85" s="83"/>
      <c r="M85" s="83"/>
      <c r="N85" s="83"/>
      <c r="O85" s="83"/>
      <c r="P85" s="83"/>
      <c r="Q85" s="84"/>
      <c r="R85" s="92"/>
      <c r="S85" s="83"/>
      <c r="T85" s="83"/>
      <c r="U85" s="84"/>
      <c r="V85" s="1"/>
      <c r="W85" s="1"/>
      <c r="X85" s="1"/>
      <c r="Y85" s="1"/>
      <c r="Z85" s="1"/>
      <c r="AA85" s="1" t="s">
        <v>50</v>
      </c>
    </row>
    <row r="86" spans="1:27" ht="18" customHeight="1">
      <c r="A86" s="8"/>
      <c r="B86" s="82"/>
      <c r="C86" s="83"/>
      <c r="D86" s="83"/>
      <c r="E86" s="83"/>
      <c r="F86" s="84"/>
      <c r="G86" s="92"/>
      <c r="H86" s="83"/>
      <c r="I86" s="83"/>
      <c r="J86" s="84"/>
      <c r="K86" s="82"/>
      <c r="L86" s="83"/>
      <c r="M86" s="83"/>
      <c r="N86" s="83"/>
      <c r="O86" s="83"/>
      <c r="P86" s="83"/>
      <c r="Q86" s="84"/>
      <c r="R86" s="92"/>
      <c r="S86" s="83"/>
      <c r="T86" s="83"/>
      <c r="U86" s="84"/>
      <c r="V86" s="1"/>
      <c r="W86" s="1"/>
      <c r="X86" s="1"/>
      <c r="Y86" s="1"/>
      <c r="Z86" s="1"/>
      <c r="AA86" s="1" t="s">
        <v>51</v>
      </c>
    </row>
    <row r="87" spans="1:27" ht="18" customHeight="1">
      <c r="A87" s="8"/>
      <c r="B87" s="85"/>
      <c r="C87" s="86"/>
      <c r="D87" s="86"/>
      <c r="E87" s="86"/>
      <c r="F87" s="87"/>
      <c r="G87" s="93"/>
      <c r="H87" s="94"/>
      <c r="I87" s="94"/>
      <c r="J87" s="95"/>
      <c r="K87" s="85"/>
      <c r="L87" s="86"/>
      <c r="M87" s="86"/>
      <c r="N87" s="86"/>
      <c r="O87" s="86"/>
      <c r="P87" s="86"/>
      <c r="Q87" s="87"/>
      <c r="R87" s="93"/>
      <c r="S87" s="94"/>
      <c r="T87" s="94"/>
      <c r="U87" s="95"/>
      <c r="V87" s="1"/>
      <c r="W87" s="1"/>
      <c r="X87" s="1"/>
      <c r="Y87" s="1"/>
      <c r="Z87" s="1"/>
      <c r="AA87" s="1" t="s">
        <v>52</v>
      </c>
    </row>
    <row r="88" spans="1:27" ht="18" customHeight="1">
      <c r="A88" s="8"/>
      <c r="B88" s="5"/>
      <c r="C88" s="5"/>
      <c r="D88" s="5"/>
      <c r="E88" s="5"/>
      <c r="F88" s="5"/>
      <c r="G88" s="20"/>
      <c r="H88" s="20"/>
      <c r="I88" s="20"/>
      <c r="J88" s="20"/>
      <c r="K88" s="5"/>
      <c r="L88" s="5"/>
      <c r="M88" s="5"/>
      <c r="N88" s="5"/>
      <c r="O88" s="5"/>
      <c r="P88" s="5"/>
      <c r="Q88" s="5"/>
      <c r="R88" s="20"/>
      <c r="S88" s="20"/>
      <c r="T88" s="20"/>
      <c r="U88" s="20"/>
      <c r="V88" s="1"/>
      <c r="W88" s="1"/>
      <c r="X88" s="1"/>
      <c r="Y88" s="1"/>
      <c r="Z88" s="1"/>
      <c r="AA88" s="1" t="s">
        <v>53</v>
      </c>
    </row>
    <row r="89" spans="1:27" ht="18.75" customHeight="1">
      <c r="A89" s="1" t="s">
        <v>54</v>
      </c>
      <c r="B89" s="1"/>
      <c r="C89" s="1"/>
      <c r="D89" s="1"/>
      <c r="E89" s="1"/>
      <c r="F89" s="1"/>
      <c r="G89" s="1"/>
      <c r="H89" s="1"/>
      <c r="I89" s="1"/>
      <c r="J89" s="1"/>
      <c r="K89" s="1"/>
      <c r="L89" s="1"/>
      <c r="M89" s="1"/>
      <c r="N89" s="1"/>
      <c r="O89" s="1"/>
      <c r="P89" s="1"/>
      <c r="Q89" s="1"/>
      <c r="R89" s="1"/>
      <c r="S89" s="1"/>
      <c r="T89" s="1"/>
      <c r="U89" s="1"/>
      <c r="V89" s="1"/>
      <c r="W89" s="1"/>
      <c r="X89" s="1"/>
      <c r="Y89" s="1"/>
      <c r="Z89" s="1"/>
      <c r="AA89" s="1" t="s">
        <v>55</v>
      </c>
    </row>
    <row r="90" spans="1:27" ht="18.75" customHeight="1">
      <c r="A90" s="1"/>
      <c r="B90" s="112" t="s">
        <v>56</v>
      </c>
      <c r="C90" s="78"/>
      <c r="D90" s="76" t="s">
        <v>57</v>
      </c>
      <c r="E90" s="77"/>
      <c r="F90" s="77"/>
      <c r="G90" s="77"/>
      <c r="H90" s="77"/>
      <c r="I90" s="77"/>
      <c r="J90" s="77"/>
      <c r="K90" s="77"/>
      <c r="L90" s="77"/>
      <c r="M90" s="77"/>
      <c r="N90" s="77"/>
      <c r="O90" s="77"/>
      <c r="P90" s="77"/>
      <c r="Q90" s="77"/>
      <c r="R90" s="77"/>
      <c r="S90" s="77"/>
      <c r="T90" s="77"/>
      <c r="U90" s="78"/>
      <c r="V90" s="1"/>
      <c r="W90" s="1"/>
      <c r="X90" s="1"/>
      <c r="Y90" s="1"/>
      <c r="Z90" s="1"/>
      <c r="AA90" s="1"/>
    </row>
    <row r="91" spans="1:27" ht="97.5" customHeight="1">
      <c r="A91" s="1"/>
      <c r="B91" s="96" t="s">
        <v>58</v>
      </c>
      <c r="C91" s="21" t="s">
        <v>23</v>
      </c>
      <c r="D91" s="99" t="s">
        <v>59</v>
      </c>
      <c r="E91" s="100"/>
      <c r="F91" s="100"/>
      <c r="G91" s="100"/>
      <c r="H91" s="100"/>
      <c r="I91" s="100"/>
      <c r="J91" s="100"/>
      <c r="K91" s="100"/>
      <c r="L91" s="100"/>
      <c r="M91" s="100"/>
      <c r="N91" s="100"/>
      <c r="O91" s="100"/>
      <c r="P91" s="100"/>
      <c r="Q91" s="100"/>
      <c r="R91" s="100"/>
      <c r="S91" s="100"/>
      <c r="T91" s="100"/>
      <c r="U91" s="101"/>
      <c r="V91" s="1"/>
      <c r="W91" s="1"/>
      <c r="X91" s="1"/>
      <c r="Y91" s="1"/>
      <c r="Z91" s="1"/>
      <c r="AA91" s="1"/>
    </row>
    <row r="92" spans="1:27" ht="97.5" customHeight="1">
      <c r="A92" s="1"/>
      <c r="B92" s="98"/>
      <c r="C92" s="22" t="s">
        <v>24</v>
      </c>
      <c r="D92" s="102" t="s">
        <v>60</v>
      </c>
      <c r="E92" s="103"/>
      <c r="F92" s="103"/>
      <c r="G92" s="103"/>
      <c r="H92" s="103"/>
      <c r="I92" s="103"/>
      <c r="J92" s="103"/>
      <c r="K92" s="103"/>
      <c r="L92" s="103"/>
      <c r="M92" s="103"/>
      <c r="N92" s="103"/>
      <c r="O92" s="103"/>
      <c r="P92" s="103"/>
      <c r="Q92" s="103"/>
      <c r="R92" s="103"/>
      <c r="S92" s="103"/>
      <c r="T92" s="103"/>
      <c r="U92" s="104"/>
      <c r="V92" s="1"/>
      <c r="W92" s="1"/>
      <c r="X92" s="1"/>
      <c r="Y92" s="1"/>
      <c r="Z92" s="1"/>
      <c r="AA92" s="1"/>
    </row>
    <row r="93" spans="1:27" ht="97.5" customHeight="1">
      <c r="A93" s="1"/>
      <c r="B93" s="96" t="s">
        <v>61</v>
      </c>
      <c r="C93" s="23" t="s">
        <v>29</v>
      </c>
      <c r="D93" s="99" t="s">
        <v>62</v>
      </c>
      <c r="E93" s="100"/>
      <c r="F93" s="100"/>
      <c r="G93" s="100"/>
      <c r="H93" s="100"/>
      <c r="I93" s="100"/>
      <c r="J93" s="100"/>
      <c r="K93" s="100"/>
      <c r="L93" s="100"/>
      <c r="M93" s="100"/>
      <c r="N93" s="100"/>
      <c r="O93" s="100"/>
      <c r="P93" s="100"/>
      <c r="Q93" s="100"/>
      <c r="R93" s="100"/>
      <c r="S93" s="100"/>
      <c r="T93" s="100"/>
      <c r="U93" s="101"/>
      <c r="V93" s="1"/>
      <c r="W93" s="1"/>
      <c r="X93" s="1"/>
      <c r="Y93" s="1"/>
      <c r="Z93" s="1"/>
      <c r="AA93" s="1"/>
    </row>
    <row r="94" spans="1:27" ht="97.5" customHeight="1">
      <c r="A94" s="1"/>
      <c r="B94" s="97"/>
      <c r="C94" s="24" t="s">
        <v>30</v>
      </c>
      <c r="D94" s="102" t="s">
        <v>63</v>
      </c>
      <c r="E94" s="103"/>
      <c r="F94" s="103"/>
      <c r="G94" s="103"/>
      <c r="H94" s="103"/>
      <c r="I94" s="103"/>
      <c r="J94" s="103"/>
      <c r="K94" s="103"/>
      <c r="L94" s="103"/>
      <c r="M94" s="103"/>
      <c r="N94" s="103"/>
      <c r="O94" s="103"/>
      <c r="P94" s="103"/>
      <c r="Q94" s="103"/>
      <c r="R94" s="103"/>
      <c r="S94" s="103"/>
      <c r="T94" s="103"/>
      <c r="U94" s="104"/>
      <c r="V94" s="1"/>
      <c r="W94" s="1"/>
      <c r="X94" s="1"/>
      <c r="Y94" s="1"/>
      <c r="Z94" s="1"/>
      <c r="AA94" s="1"/>
    </row>
    <row r="95" spans="1:27" ht="111" customHeight="1">
      <c r="A95" s="1"/>
      <c r="B95" s="96" t="s">
        <v>64</v>
      </c>
      <c r="C95" s="23" t="s">
        <v>32</v>
      </c>
      <c r="D95" s="99" t="s">
        <v>65</v>
      </c>
      <c r="E95" s="100"/>
      <c r="F95" s="100"/>
      <c r="G95" s="100"/>
      <c r="H95" s="100"/>
      <c r="I95" s="100"/>
      <c r="J95" s="100"/>
      <c r="K95" s="100"/>
      <c r="L95" s="100"/>
      <c r="M95" s="100"/>
      <c r="N95" s="100"/>
      <c r="O95" s="100"/>
      <c r="P95" s="100"/>
      <c r="Q95" s="100"/>
      <c r="R95" s="100"/>
      <c r="S95" s="100"/>
      <c r="T95" s="100"/>
      <c r="U95" s="101"/>
      <c r="V95" s="1"/>
      <c r="W95" s="1"/>
      <c r="X95" s="1"/>
      <c r="Y95" s="1"/>
      <c r="Z95" s="1"/>
      <c r="AA95" s="1"/>
    </row>
    <row r="96" spans="1:27" ht="97.5" customHeight="1">
      <c r="A96" s="1"/>
      <c r="B96" s="97"/>
      <c r="C96" s="25" t="s">
        <v>33</v>
      </c>
      <c r="D96" s="102" t="s">
        <v>66</v>
      </c>
      <c r="E96" s="103"/>
      <c r="F96" s="103"/>
      <c r="G96" s="103"/>
      <c r="H96" s="103"/>
      <c r="I96" s="103"/>
      <c r="J96" s="103"/>
      <c r="K96" s="103"/>
      <c r="L96" s="103"/>
      <c r="M96" s="103"/>
      <c r="N96" s="103"/>
      <c r="O96" s="103"/>
      <c r="P96" s="103"/>
      <c r="Q96" s="103"/>
      <c r="R96" s="103"/>
      <c r="S96" s="103"/>
      <c r="T96" s="103"/>
      <c r="U96" s="104"/>
      <c r="V96" s="1"/>
      <c r="W96" s="1"/>
      <c r="X96" s="1"/>
      <c r="Y96" s="1"/>
      <c r="Z96" s="1"/>
      <c r="AA96" s="1"/>
    </row>
    <row r="97" spans="1:27" ht="97.5" customHeight="1">
      <c r="A97" s="1"/>
      <c r="B97" s="96" t="s">
        <v>67</v>
      </c>
      <c r="C97" s="21" t="s">
        <v>36</v>
      </c>
      <c r="D97" s="99" t="s">
        <v>68</v>
      </c>
      <c r="E97" s="100"/>
      <c r="F97" s="100"/>
      <c r="G97" s="100"/>
      <c r="H97" s="100"/>
      <c r="I97" s="100"/>
      <c r="J97" s="100"/>
      <c r="K97" s="100"/>
      <c r="L97" s="100"/>
      <c r="M97" s="100"/>
      <c r="N97" s="100"/>
      <c r="O97" s="100"/>
      <c r="P97" s="100"/>
      <c r="Q97" s="100"/>
      <c r="R97" s="100"/>
      <c r="S97" s="100"/>
      <c r="T97" s="100"/>
      <c r="U97" s="101"/>
      <c r="V97" s="1"/>
      <c r="W97" s="1"/>
      <c r="X97" s="1"/>
      <c r="Y97" s="1"/>
      <c r="Z97" s="1"/>
      <c r="AA97" s="1"/>
    </row>
    <row r="98" spans="1:27" ht="97.5" customHeight="1">
      <c r="A98" s="1"/>
      <c r="B98" s="97"/>
      <c r="C98" s="24" t="s">
        <v>37</v>
      </c>
      <c r="D98" s="102" t="s">
        <v>69</v>
      </c>
      <c r="E98" s="103"/>
      <c r="F98" s="103"/>
      <c r="G98" s="103"/>
      <c r="H98" s="103"/>
      <c r="I98" s="103"/>
      <c r="J98" s="103"/>
      <c r="K98" s="103"/>
      <c r="L98" s="103"/>
      <c r="M98" s="103"/>
      <c r="N98" s="103"/>
      <c r="O98" s="103"/>
      <c r="P98" s="103"/>
      <c r="Q98" s="103"/>
      <c r="R98" s="103"/>
      <c r="S98" s="103"/>
      <c r="T98" s="103"/>
      <c r="U98" s="104"/>
      <c r="V98" s="1"/>
      <c r="W98" s="1"/>
      <c r="X98" s="1"/>
      <c r="Y98" s="1"/>
      <c r="Z98" s="1"/>
      <c r="AA98" s="1"/>
    </row>
    <row r="99" spans="1:27" ht="97.5" customHeight="1">
      <c r="A99" s="1"/>
      <c r="B99" s="96" t="s">
        <v>70</v>
      </c>
      <c r="C99" s="23" t="s">
        <v>39</v>
      </c>
      <c r="D99" s="99" t="s">
        <v>71</v>
      </c>
      <c r="E99" s="100"/>
      <c r="F99" s="100"/>
      <c r="G99" s="100"/>
      <c r="H99" s="100"/>
      <c r="I99" s="100"/>
      <c r="J99" s="100"/>
      <c r="K99" s="100"/>
      <c r="L99" s="100"/>
      <c r="M99" s="100"/>
      <c r="N99" s="100"/>
      <c r="O99" s="100"/>
      <c r="P99" s="100"/>
      <c r="Q99" s="100"/>
      <c r="R99" s="100"/>
      <c r="S99" s="100"/>
      <c r="T99" s="100"/>
      <c r="U99" s="101"/>
      <c r="V99" s="1"/>
      <c r="W99" s="1"/>
      <c r="X99" s="1"/>
      <c r="Y99" s="1"/>
      <c r="Z99" s="1"/>
      <c r="AA99" s="1"/>
    </row>
    <row r="100" spans="1:27" ht="97.5" customHeight="1">
      <c r="A100" s="1"/>
      <c r="B100" s="98"/>
      <c r="C100" s="26" t="s">
        <v>40</v>
      </c>
      <c r="D100" s="105" t="s">
        <v>72</v>
      </c>
      <c r="E100" s="106"/>
      <c r="F100" s="106"/>
      <c r="G100" s="106"/>
      <c r="H100" s="106"/>
      <c r="I100" s="106"/>
      <c r="J100" s="106"/>
      <c r="K100" s="106"/>
      <c r="L100" s="106"/>
      <c r="M100" s="106"/>
      <c r="N100" s="106"/>
      <c r="O100" s="106"/>
      <c r="P100" s="106"/>
      <c r="Q100" s="106"/>
      <c r="R100" s="106"/>
      <c r="S100" s="106"/>
      <c r="T100" s="106"/>
      <c r="U100" s="107"/>
      <c r="V100" s="1"/>
      <c r="W100" s="1"/>
      <c r="X100" s="1"/>
      <c r="Y100" s="1"/>
      <c r="Z100" s="1"/>
      <c r="AA100" s="1"/>
    </row>
    <row r="101" spans="1:27" ht="97.5" customHeight="1">
      <c r="A101" s="1"/>
      <c r="B101" s="97"/>
      <c r="C101" s="25" t="s">
        <v>41</v>
      </c>
      <c r="D101" s="108" t="s">
        <v>73</v>
      </c>
      <c r="E101" s="86"/>
      <c r="F101" s="86"/>
      <c r="G101" s="86"/>
      <c r="H101" s="86"/>
      <c r="I101" s="86"/>
      <c r="J101" s="86"/>
      <c r="K101" s="86"/>
      <c r="L101" s="86"/>
      <c r="M101" s="86"/>
      <c r="N101" s="86"/>
      <c r="O101" s="86"/>
      <c r="P101" s="86"/>
      <c r="Q101" s="86"/>
      <c r="R101" s="86"/>
      <c r="S101" s="86"/>
      <c r="T101" s="86"/>
      <c r="U101" s="87"/>
      <c r="V101" s="1"/>
      <c r="W101" s="1"/>
      <c r="X101" s="1"/>
      <c r="Y101" s="1"/>
      <c r="Z101" s="1"/>
      <c r="AA101" s="1"/>
    </row>
    <row r="102" spans="1:27"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8.75" customHeight="1">
      <c r="A103" s="1" t="s">
        <v>74</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81.75" customHeight="1">
      <c r="A104" s="1"/>
      <c r="B104" s="109" t="s">
        <v>75</v>
      </c>
      <c r="C104" s="110"/>
      <c r="D104" s="110"/>
      <c r="E104" s="110"/>
      <c r="F104" s="110"/>
      <c r="G104" s="110"/>
      <c r="H104" s="110"/>
      <c r="I104" s="110"/>
      <c r="J104" s="110"/>
      <c r="K104" s="110"/>
      <c r="L104" s="110"/>
      <c r="M104" s="110"/>
      <c r="N104" s="110"/>
      <c r="O104" s="110"/>
      <c r="P104" s="110"/>
      <c r="Q104" s="110"/>
      <c r="R104" s="110"/>
      <c r="S104" s="110"/>
      <c r="T104" s="110"/>
      <c r="U104" s="111"/>
      <c r="V104" s="1"/>
      <c r="W104" s="1"/>
      <c r="X104" s="1"/>
      <c r="Y104" s="1"/>
      <c r="Z104" s="1"/>
      <c r="AA104" s="1"/>
    </row>
    <row r="105" spans="1:27"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144">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 ref="B30:F30"/>
    <mergeCell ref="B31:F31"/>
    <mergeCell ref="B32:F32"/>
    <mergeCell ref="B33:F33"/>
    <mergeCell ref="B37:F37"/>
    <mergeCell ref="K29:Q29"/>
    <mergeCell ref="K30:Q30"/>
    <mergeCell ref="K31:Q31"/>
    <mergeCell ref="K32:Q32"/>
    <mergeCell ref="K33:Q33"/>
    <mergeCell ref="A35:U36"/>
    <mergeCell ref="K37:Q37"/>
    <mergeCell ref="B104:U104"/>
    <mergeCell ref="B90:C90"/>
    <mergeCell ref="D90:U90"/>
    <mergeCell ref="B91:B92"/>
    <mergeCell ref="D91:U91"/>
    <mergeCell ref="D92:U92"/>
    <mergeCell ref="D93:U93"/>
    <mergeCell ref="D94:U94"/>
    <mergeCell ref="T1:U1"/>
    <mergeCell ref="C2:J2"/>
    <mergeCell ref="C3:J3"/>
    <mergeCell ref="A5:U5"/>
    <mergeCell ref="L7:U7"/>
    <mergeCell ref="B11:U12"/>
    <mergeCell ref="B15:U20"/>
    <mergeCell ref="N22:U22"/>
    <mergeCell ref="A24:U25"/>
    <mergeCell ref="B26:F26"/>
    <mergeCell ref="K26:Q26"/>
    <mergeCell ref="B27:F27"/>
    <mergeCell ref="K27:Q27"/>
    <mergeCell ref="K28:Q28"/>
    <mergeCell ref="B28:F28"/>
    <mergeCell ref="B29:F29"/>
    <mergeCell ref="B93:B94"/>
    <mergeCell ref="B95:B96"/>
    <mergeCell ref="B97:B98"/>
    <mergeCell ref="B99:B101"/>
    <mergeCell ref="D95:U95"/>
    <mergeCell ref="D96:U96"/>
    <mergeCell ref="D97:U97"/>
    <mergeCell ref="D98:U98"/>
    <mergeCell ref="D99:U99"/>
    <mergeCell ref="D100:U100"/>
    <mergeCell ref="D101:U101"/>
    <mergeCell ref="K87:Q87"/>
    <mergeCell ref="R87:U87"/>
    <mergeCell ref="B85:F85"/>
    <mergeCell ref="B86:F86"/>
    <mergeCell ref="G86:J86"/>
    <mergeCell ref="K86:Q86"/>
    <mergeCell ref="R86:U86"/>
    <mergeCell ref="B87:F87"/>
    <mergeCell ref="G87:J87"/>
    <mergeCell ref="B83:F83"/>
    <mergeCell ref="G83:J83"/>
    <mergeCell ref="B84:F84"/>
    <mergeCell ref="G84:J84"/>
    <mergeCell ref="K84:Q84"/>
    <mergeCell ref="R84:U84"/>
    <mergeCell ref="G85:J85"/>
    <mergeCell ref="K85:Q85"/>
    <mergeCell ref="R85:U85"/>
    <mergeCell ref="K83:Q83"/>
    <mergeCell ref="R83:U83"/>
    <mergeCell ref="B80:F80"/>
    <mergeCell ref="G80:J80"/>
    <mergeCell ref="K80:Q80"/>
    <mergeCell ref="R80:U80"/>
    <mergeCell ref="G81:J81"/>
    <mergeCell ref="K81:Q81"/>
    <mergeCell ref="R81:U81"/>
    <mergeCell ref="B81:F81"/>
    <mergeCell ref="B82:F82"/>
    <mergeCell ref="G82:J82"/>
    <mergeCell ref="K82:Q82"/>
    <mergeCell ref="R82:U82"/>
    <mergeCell ref="K76:P76"/>
    <mergeCell ref="K77:P77"/>
    <mergeCell ref="B72:E72"/>
    <mergeCell ref="B73:E73"/>
    <mergeCell ref="B74:E74"/>
    <mergeCell ref="B75:E75"/>
    <mergeCell ref="K75:P75"/>
    <mergeCell ref="B76:E76"/>
    <mergeCell ref="B77:E77"/>
    <mergeCell ref="K73:P73"/>
    <mergeCell ref="K74:P74"/>
    <mergeCell ref="K66:Q66"/>
    <mergeCell ref="A68:U69"/>
    <mergeCell ref="B70:E70"/>
    <mergeCell ref="K70:P70"/>
    <mergeCell ref="B71:E71"/>
    <mergeCell ref="K71:P71"/>
    <mergeCell ref="K72:P72"/>
    <mergeCell ref="B65:F65"/>
    <mergeCell ref="B66:F66"/>
    <mergeCell ref="B62:F62"/>
    <mergeCell ref="K62:Q62"/>
    <mergeCell ref="B63:F63"/>
    <mergeCell ref="K63:Q63"/>
    <mergeCell ref="B64:F64"/>
    <mergeCell ref="K64:Q64"/>
    <mergeCell ref="K65:Q65"/>
    <mergeCell ref="K60:Q60"/>
    <mergeCell ref="K61:Q61"/>
    <mergeCell ref="A57:U58"/>
    <mergeCell ref="B59:F59"/>
    <mergeCell ref="K59:Q59"/>
    <mergeCell ref="B60:F60"/>
    <mergeCell ref="B61:F61"/>
    <mergeCell ref="B48:F48"/>
    <mergeCell ref="B49:F49"/>
    <mergeCell ref="B50:F50"/>
    <mergeCell ref="B51:F51"/>
    <mergeCell ref="B52:F52"/>
    <mergeCell ref="B53:F53"/>
    <mergeCell ref="B54:F54"/>
    <mergeCell ref="B55:F55"/>
    <mergeCell ref="A46:U47"/>
    <mergeCell ref="K48:Q48"/>
    <mergeCell ref="K49:Q49"/>
    <mergeCell ref="K50:Q50"/>
    <mergeCell ref="K51:Q51"/>
    <mergeCell ref="K52:Q52"/>
    <mergeCell ref="K53:Q53"/>
    <mergeCell ref="K54:Q54"/>
    <mergeCell ref="K55:Q55"/>
  </mergeCells>
  <phoneticPr fontId="10"/>
  <conditionalFormatting sqref="B11:U12">
    <cfRule type="expression" dxfId="2" priority="1">
      <formula>$L$7="学部・学科によって、修了要件は相違しない"</formula>
    </cfRule>
    <cfRule type="expression" dxfId="1" priority="2">
      <formula>$L$9="学部・学科によって、修了要件は相違しない"</formula>
    </cfRule>
  </conditionalFormatting>
  <dataValidations count="6">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88:J88 R88:U88"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xr:uid="{00000000-0002-0000-0000-000002000000}">
      <formula1>"全学開講,一部開講"</formula1>
    </dataValidation>
    <dataValidation type="list" allowBlank="1" showErrorMessage="1" sqref="N22" xr:uid="{00000000-0002-0000-0000-000003000000}">
      <formula1>$X$16:$X$18</formula1>
    </dataValidation>
    <dataValidation type="list" allowBlank="1" showErrorMessage="1" sqref="G81:G87 R81:R87" xr:uid="{00000000-0002-0000-0000-000004000000}">
      <formula1>$AA$80:$AA$89</formula1>
    </dataValidation>
    <dataValidation type="list" allowBlank="1" showErrorMessage="1" sqref="H27:J33 S27:U33 H38:J44 S38:U44 H49:J55 S49:U55 H60:J66 S60:U66 G71:J77 R71:U77" xr:uid="{00000000-0002-0000-0000-000005000000}">
      <formula1>"○"</formula1>
    </dataValidation>
  </dataValidations>
  <printOptions horizontalCentered="1"/>
  <pageMargins left="0.78740157480314965" right="0.78740157480314965" top="0.78740157480314965" bottom="0.19685039370078741" header="0" footer="0"/>
  <pageSetup paperSize="9" scale="69" fitToHeight="0" orientation="portrait" r:id="rId1"/>
  <headerFooter>
    <oddHeader>&amp;C数理・データサイエンス・AI教育プログラム認定制度【リテラシーレベル】令和７年度申請用</oddHeader>
  </headerFooter>
  <rowBreaks count="3" manualBreakCount="3">
    <brk id="56" max="20" man="1"/>
    <brk id="88" max="20" man="1"/>
    <brk id="98"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election activeCell="I15" sqref="I15"/>
    </sheetView>
  </sheetViews>
  <sheetFormatPr defaultColWidth="14.453125" defaultRowHeight="15" customHeight="1"/>
  <cols>
    <col min="1" max="1" width="2.81640625" customWidth="1"/>
    <col min="2" max="2" width="27.81640625" customWidth="1"/>
    <col min="3" max="18" width="6.08984375" customWidth="1"/>
    <col min="19" max="19" width="6.54296875" customWidth="1"/>
    <col min="20" max="26" width="9" customWidth="1"/>
  </cols>
  <sheetData>
    <row r="1" spans="1:26" ht="18" customHeight="1">
      <c r="A1" s="1"/>
      <c r="B1" s="1"/>
      <c r="C1" s="1"/>
      <c r="D1" s="1"/>
      <c r="E1" s="1"/>
      <c r="F1" s="1"/>
      <c r="G1" s="1"/>
      <c r="H1" s="1"/>
      <c r="I1" s="1"/>
      <c r="J1" s="1"/>
      <c r="K1" s="1"/>
      <c r="L1" s="1"/>
      <c r="M1" s="1"/>
      <c r="N1" s="1"/>
      <c r="O1" s="1"/>
      <c r="P1" s="1"/>
      <c r="Q1" s="1"/>
      <c r="R1" s="1"/>
      <c r="S1" s="1" t="s">
        <v>76</v>
      </c>
      <c r="T1" s="1"/>
      <c r="U1" s="1"/>
      <c r="V1" s="1"/>
      <c r="W1" s="1"/>
      <c r="X1" s="1"/>
      <c r="Y1" s="1"/>
      <c r="Z1" s="1"/>
    </row>
    <row r="2" spans="1:26" ht="18" customHeight="1">
      <c r="A2" s="1"/>
      <c r="B2" s="1"/>
      <c r="C2" s="1"/>
      <c r="D2" s="1"/>
      <c r="E2" s="1"/>
      <c r="F2" s="1"/>
      <c r="G2" s="1"/>
      <c r="H2" s="1"/>
      <c r="I2" s="1"/>
      <c r="J2" s="1"/>
      <c r="K2" s="1"/>
      <c r="L2" s="1"/>
      <c r="M2" s="1"/>
      <c r="N2" s="1"/>
      <c r="O2" s="1"/>
      <c r="P2" s="1"/>
      <c r="Q2" s="76" t="str">
        <f>'様式１　プログラムを構成する授業科目'!C2</f>
        <v>星薬科大学</v>
      </c>
      <c r="R2" s="77"/>
      <c r="S2" s="78"/>
      <c r="T2" s="1"/>
      <c r="U2" s="1"/>
      <c r="V2" s="1"/>
      <c r="W2" s="1"/>
      <c r="X2" s="1"/>
      <c r="Y2" s="1"/>
      <c r="Z2" s="1"/>
    </row>
    <row r="3" spans="1:26" ht="18" customHeight="1">
      <c r="A3" s="115" t="s">
        <v>77</v>
      </c>
      <c r="B3" s="75"/>
      <c r="C3" s="75"/>
      <c r="D3" s="75"/>
      <c r="E3" s="75"/>
      <c r="F3" s="75"/>
      <c r="G3" s="75"/>
      <c r="H3" s="75"/>
      <c r="I3" s="75"/>
      <c r="J3" s="75"/>
      <c r="K3" s="75"/>
      <c r="L3" s="75"/>
      <c r="M3" s="75"/>
      <c r="N3" s="75"/>
      <c r="O3" s="75"/>
      <c r="P3" s="75"/>
      <c r="Q3" s="75"/>
      <c r="R3" s="75"/>
      <c r="S3" s="75"/>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78</v>
      </c>
      <c r="B5" s="1"/>
      <c r="C5" s="126" t="s">
        <v>79</v>
      </c>
      <c r="D5" s="78"/>
      <c r="E5" s="9" t="s">
        <v>80</v>
      </c>
      <c r="F5" s="8"/>
      <c r="G5" s="8"/>
      <c r="H5" s="8"/>
      <c r="I5" s="8"/>
      <c r="J5" s="8"/>
      <c r="K5" s="8"/>
      <c r="L5" s="8"/>
      <c r="M5" s="8"/>
      <c r="N5" s="8"/>
      <c r="O5" s="8"/>
      <c r="P5" s="8"/>
      <c r="Q5" s="8"/>
      <c r="R5" s="5"/>
      <c r="S5" s="5"/>
      <c r="T5" s="1"/>
      <c r="U5" s="1"/>
      <c r="V5" s="1"/>
      <c r="W5" s="1"/>
      <c r="X5" s="1"/>
      <c r="Y5" s="1"/>
      <c r="Z5" s="1"/>
    </row>
    <row r="6" spans="1:26" ht="6.75" customHeight="1">
      <c r="A6" s="1"/>
      <c r="B6" s="1"/>
      <c r="C6" s="20"/>
      <c r="D6" s="20"/>
      <c r="E6" s="8"/>
      <c r="F6" s="8"/>
      <c r="G6" s="8"/>
      <c r="H6" s="8"/>
      <c r="I6" s="8"/>
      <c r="J6" s="8"/>
      <c r="K6" s="8"/>
      <c r="L6" s="8"/>
      <c r="M6" s="8"/>
      <c r="N6" s="8"/>
      <c r="O6" s="8"/>
      <c r="P6" s="8"/>
      <c r="Q6" s="8"/>
      <c r="R6" s="5"/>
      <c r="S6" s="5"/>
      <c r="T6" s="1"/>
      <c r="U6" s="1"/>
      <c r="V6" s="1"/>
      <c r="W6" s="1"/>
      <c r="X6" s="1"/>
      <c r="Y6" s="1"/>
      <c r="Z6" s="1"/>
    </row>
    <row r="7" spans="1:26" ht="18" customHeight="1">
      <c r="A7" s="1" t="s">
        <v>81</v>
      </c>
      <c r="B7" s="1"/>
      <c r="C7" s="20"/>
      <c r="D7" s="20"/>
      <c r="E7" s="8" t="s">
        <v>82</v>
      </c>
      <c r="F7" s="27">
        <v>615</v>
      </c>
      <c r="G7" s="9" t="s">
        <v>83</v>
      </c>
      <c r="H7" s="8" t="s">
        <v>84</v>
      </c>
      <c r="I7" s="28">
        <v>1156</v>
      </c>
      <c r="J7" s="9" t="s">
        <v>83</v>
      </c>
      <c r="K7" s="2" t="s">
        <v>85</v>
      </c>
      <c r="L7" s="8" t="s">
        <v>86</v>
      </c>
      <c r="M7" s="28">
        <f>F7+I7</f>
        <v>1771</v>
      </c>
      <c r="N7" s="8" t="s">
        <v>83</v>
      </c>
      <c r="O7" s="9" t="s">
        <v>87</v>
      </c>
      <c r="P7" s="8"/>
      <c r="Q7" s="8"/>
      <c r="R7" s="5"/>
      <c r="S7" s="5"/>
      <c r="T7" s="1"/>
      <c r="U7" s="1"/>
      <c r="V7" s="1"/>
      <c r="W7" s="1"/>
      <c r="X7" s="1"/>
      <c r="Y7" s="1"/>
      <c r="Z7" s="1"/>
    </row>
    <row r="8" spans="1:26" ht="17.25" customHeight="1">
      <c r="A8" s="8"/>
      <c r="B8" s="29" t="s">
        <v>88</v>
      </c>
      <c r="C8" s="8"/>
      <c r="D8" s="8"/>
      <c r="E8" s="8"/>
      <c r="F8" s="8"/>
      <c r="G8" s="8"/>
      <c r="H8" s="8"/>
      <c r="I8" s="8"/>
      <c r="J8" s="8"/>
      <c r="K8" s="8"/>
      <c r="L8" s="8"/>
      <c r="M8" s="8"/>
      <c r="N8" s="8"/>
      <c r="O8" s="8"/>
      <c r="P8" s="8"/>
      <c r="Q8" s="8"/>
      <c r="R8" s="8"/>
      <c r="S8" s="8"/>
      <c r="T8" s="1"/>
      <c r="U8" s="1"/>
      <c r="V8" s="1"/>
      <c r="W8" s="1"/>
      <c r="X8" s="1"/>
      <c r="Y8" s="1"/>
      <c r="Z8" s="1"/>
    </row>
    <row r="9" spans="1:26" ht="18" customHeight="1">
      <c r="A9" s="1" t="s">
        <v>89</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27" t="s">
        <v>90</v>
      </c>
      <c r="C11" s="129" t="s">
        <v>91</v>
      </c>
      <c r="D11" s="130" t="s">
        <v>92</v>
      </c>
      <c r="E11" s="131" t="s">
        <v>93</v>
      </c>
      <c r="F11" s="123" t="s">
        <v>94</v>
      </c>
      <c r="G11" s="81"/>
      <c r="H11" s="123" t="s">
        <v>95</v>
      </c>
      <c r="I11" s="81"/>
      <c r="J11" s="123" t="s">
        <v>96</v>
      </c>
      <c r="K11" s="81"/>
      <c r="L11" s="123" t="s">
        <v>97</v>
      </c>
      <c r="M11" s="81"/>
      <c r="N11" s="123" t="s">
        <v>98</v>
      </c>
      <c r="O11" s="81"/>
      <c r="P11" s="123" t="s">
        <v>99</v>
      </c>
      <c r="Q11" s="81"/>
      <c r="R11" s="124" t="s">
        <v>100</v>
      </c>
      <c r="S11" s="125" t="s">
        <v>101</v>
      </c>
      <c r="T11" s="1"/>
      <c r="U11" s="3"/>
      <c r="V11" s="1"/>
      <c r="W11" s="1"/>
      <c r="X11" s="1"/>
      <c r="Y11" s="1"/>
      <c r="Z11" s="1"/>
    </row>
    <row r="12" spans="1:26" ht="16.5" customHeight="1">
      <c r="A12" s="1"/>
      <c r="B12" s="128"/>
      <c r="C12" s="128"/>
      <c r="D12" s="94"/>
      <c r="E12" s="118"/>
      <c r="F12" s="30" t="s">
        <v>102</v>
      </c>
      <c r="G12" s="30" t="s">
        <v>103</v>
      </c>
      <c r="H12" s="30" t="s">
        <v>102</v>
      </c>
      <c r="I12" s="30" t="s">
        <v>103</v>
      </c>
      <c r="J12" s="30" t="s">
        <v>102</v>
      </c>
      <c r="K12" s="30" t="s">
        <v>103</v>
      </c>
      <c r="L12" s="30" t="s">
        <v>102</v>
      </c>
      <c r="M12" s="30" t="s">
        <v>103</v>
      </c>
      <c r="N12" s="30" t="s">
        <v>102</v>
      </c>
      <c r="O12" s="30" t="s">
        <v>103</v>
      </c>
      <c r="P12" s="30" t="s">
        <v>102</v>
      </c>
      <c r="Q12" s="31" t="s">
        <v>103</v>
      </c>
      <c r="R12" s="95"/>
      <c r="S12" s="95"/>
      <c r="T12" s="1"/>
      <c r="U12" s="3"/>
      <c r="V12" s="1"/>
      <c r="W12" s="1"/>
      <c r="X12" s="1"/>
      <c r="Y12" s="1"/>
      <c r="Z12" s="1"/>
    </row>
    <row r="13" spans="1:26" ht="18" customHeight="1">
      <c r="A13" s="5"/>
      <c r="B13" s="32" t="s">
        <v>104</v>
      </c>
      <c r="C13" s="33">
        <v>1672</v>
      </c>
      <c r="D13" s="34">
        <v>260</v>
      </c>
      <c r="E13" s="35">
        <v>1560</v>
      </c>
      <c r="F13" s="35">
        <v>281</v>
      </c>
      <c r="G13" s="35">
        <v>0</v>
      </c>
      <c r="H13" s="35">
        <v>277</v>
      </c>
      <c r="I13" s="35">
        <v>0</v>
      </c>
      <c r="J13" s="35"/>
      <c r="K13" s="35"/>
      <c r="L13" s="35"/>
      <c r="M13" s="35"/>
      <c r="N13" s="35"/>
      <c r="O13" s="35"/>
      <c r="P13" s="35"/>
      <c r="Q13" s="36"/>
      <c r="R13" s="34">
        <f t="shared" ref="R13:R32" si="0">F13+H13+J13+L13+N13+P13</f>
        <v>558</v>
      </c>
      <c r="S13" s="37">
        <f t="shared" ref="S13:S33" si="1">R13/E13</f>
        <v>0.3576923076923077</v>
      </c>
      <c r="T13" s="1"/>
      <c r="U13" s="1"/>
      <c r="V13" s="1"/>
      <c r="W13" s="1"/>
      <c r="X13" s="1"/>
      <c r="Y13" s="1"/>
      <c r="Z13" s="1"/>
    </row>
    <row r="14" spans="1:26" ht="18" customHeight="1">
      <c r="A14" s="5"/>
      <c r="B14" s="38" t="s">
        <v>105</v>
      </c>
      <c r="C14" s="39">
        <v>99</v>
      </c>
      <c r="D14" s="40">
        <v>20</v>
      </c>
      <c r="E14" s="41">
        <v>80</v>
      </c>
      <c r="F14" s="42">
        <v>21</v>
      </c>
      <c r="G14" s="42">
        <v>0</v>
      </c>
      <c r="H14" s="42">
        <v>21</v>
      </c>
      <c r="I14" s="42">
        <v>0</v>
      </c>
      <c r="J14" s="42"/>
      <c r="K14" s="42"/>
      <c r="L14" s="42"/>
      <c r="M14" s="42"/>
      <c r="N14" s="42"/>
      <c r="O14" s="42"/>
      <c r="P14" s="42"/>
      <c r="Q14" s="39"/>
      <c r="R14" s="40">
        <f t="shared" si="0"/>
        <v>42</v>
      </c>
      <c r="S14" s="43">
        <f t="shared" si="1"/>
        <v>0.52500000000000002</v>
      </c>
      <c r="T14" s="1"/>
      <c r="U14" s="1"/>
      <c r="V14" s="1"/>
      <c r="W14" s="1"/>
      <c r="X14" s="1"/>
      <c r="Y14" s="1"/>
      <c r="Z14" s="1"/>
    </row>
    <row r="15" spans="1:26" ht="18" customHeight="1">
      <c r="A15" s="5"/>
      <c r="B15" s="38"/>
      <c r="C15" s="39"/>
      <c r="D15" s="40"/>
      <c r="E15" s="41"/>
      <c r="F15" s="42"/>
      <c r="G15" s="42"/>
      <c r="H15" s="42"/>
      <c r="I15" s="42"/>
      <c r="J15" s="42"/>
      <c r="K15" s="42"/>
      <c r="L15" s="42"/>
      <c r="M15" s="42"/>
      <c r="N15" s="42"/>
      <c r="O15" s="42"/>
      <c r="P15" s="42"/>
      <c r="Q15" s="39"/>
      <c r="R15" s="40">
        <f t="shared" si="0"/>
        <v>0</v>
      </c>
      <c r="S15" s="43" t="e">
        <f t="shared" si="1"/>
        <v>#DIV/0!</v>
      </c>
      <c r="T15" s="1"/>
      <c r="U15" s="1"/>
      <c r="V15" s="1"/>
      <c r="W15" s="1"/>
      <c r="X15" s="1"/>
      <c r="Y15" s="1"/>
      <c r="Z15" s="1"/>
    </row>
    <row r="16" spans="1:26" ht="18" customHeight="1">
      <c r="A16" s="5"/>
      <c r="B16" s="38"/>
      <c r="C16" s="39"/>
      <c r="D16" s="40"/>
      <c r="E16" s="41"/>
      <c r="F16" s="42"/>
      <c r="G16" s="42"/>
      <c r="H16" s="42"/>
      <c r="I16" s="42"/>
      <c r="J16" s="42"/>
      <c r="K16" s="42"/>
      <c r="L16" s="42"/>
      <c r="M16" s="42"/>
      <c r="N16" s="42"/>
      <c r="O16" s="42"/>
      <c r="P16" s="42"/>
      <c r="Q16" s="39"/>
      <c r="R16" s="40">
        <f t="shared" si="0"/>
        <v>0</v>
      </c>
      <c r="S16" s="43" t="e">
        <f t="shared" si="1"/>
        <v>#DIV/0!</v>
      </c>
      <c r="T16" s="1"/>
      <c r="U16" s="1"/>
      <c r="V16" s="1"/>
      <c r="W16" s="1"/>
      <c r="X16" s="1"/>
      <c r="Y16" s="1"/>
      <c r="Z16" s="1"/>
    </row>
    <row r="17" spans="1:26" ht="18" customHeight="1">
      <c r="A17" s="5"/>
      <c r="B17" s="38"/>
      <c r="C17" s="39"/>
      <c r="D17" s="40"/>
      <c r="E17" s="41"/>
      <c r="F17" s="42"/>
      <c r="G17" s="42"/>
      <c r="H17" s="42"/>
      <c r="I17" s="42"/>
      <c r="J17" s="42"/>
      <c r="K17" s="42"/>
      <c r="L17" s="42"/>
      <c r="M17" s="42"/>
      <c r="N17" s="42"/>
      <c r="O17" s="42"/>
      <c r="P17" s="42"/>
      <c r="Q17" s="39"/>
      <c r="R17" s="40">
        <f t="shared" si="0"/>
        <v>0</v>
      </c>
      <c r="S17" s="43" t="e">
        <f t="shared" si="1"/>
        <v>#DIV/0!</v>
      </c>
      <c r="T17" s="1"/>
      <c r="U17" s="1"/>
      <c r="V17" s="1"/>
      <c r="W17" s="1"/>
      <c r="X17" s="1"/>
      <c r="Y17" s="1"/>
      <c r="Z17" s="1"/>
    </row>
    <row r="18" spans="1:26" ht="18" customHeight="1">
      <c r="A18" s="5"/>
      <c r="B18" s="38"/>
      <c r="C18" s="39"/>
      <c r="D18" s="40"/>
      <c r="E18" s="41"/>
      <c r="F18" s="42"/>
      <c r="G18" s="42"/>
      <c r="H18" s="42"/>
      <c r="I18" s="42"/>
      <c r="J18" s="42"/>
      <c r="K18" s="42"/>
      <c r="L18" s="42"/>
      <c r="M18" s="42"/>
      <c r="N18" s="42"/>
      <c r="O18" s="42"/>
      <c r="P18" s="42"/>
      <c r="Q18" s="39"/>
      <c r="R18" s="40">
        <f t="shared" si="0"/>
        <v>0</v>
      </c>
      <c r="S18" s="43" t="e">
        <f t="shared" si="1"/>
        <v>#DIV/0!</v>
      </c>
      <c r="T18" s="1"/>
      <c r="U18" s="1"/>
      <c r="V18" s="1"/>
      <c r="W18" s="1"/>
      <c r="X18" s="1"/>
      <c r="Y18" s="1"/>
      <c r="Z18" s="1"/>
    </row>
    <row r="19" spans="1:26" ht="18" customHeight="1">
      <c r="A19" s="5"/>
      <c r="B19" s="38"/>
      <c r="C19" s="39"/>
      <c r="D19" s="40"/>
      <c r="E19" s="41"/>
      <c r="F19" s="42"/>
      <c r="G19" s="42"/>
      <c r="H19" s="42"/>
      <c r="I19" s="42"/>
      <c r="J19" s="42"/>
      <c r="K19" s="42"/>
      <c r="L19" s="42"/>
      <c r="M19" s="42"/>
      <c r="N19" s="42"/>
      <c r="O19" s="42"/>
      <c r="P19" s="42"/>
      <c r="Q19" s="39"/>
      <c r="R19" s="40">
        <f t="shared" si="0"/>
        <v>0</v>
      </c>
      <c r="S19" s="43" t="e">
        <f t="shared" si="1"/>
        <v>#DIV/0!</v>
      </c>
      <c r="T19" s="1"/>
      <c r="U19" s="1"/>
      <c r="V19" s="1"/>
      <c r="W19" s="1"/>
      <c r="X19" s="1"/>
      <c r="Y19" s="1"/>
      <c r="Z19" s="1"/>
    </row>
    <row r="20" spans="1:26" ht="18" customHeight="1">
      <c r="A20" s="5"/>
      <c r="B20" s="38"/>
      <c r="C20" s="39"/>
      <c r="D20" s="40"/>
      <c r="E20" s="41"/>
      <c r="F20" s="42"/>
      <c r="G20" s="42"/>
      <c r="H20" s="42"/>
      <c r="I20" s="42"/>
      <c r="J20" s="42"/>
      <c r="K20" s="42"/>
      <c r="L20" s="42"/>
      <c r="M20" s="42"/>
      <c r="N20" s="42"/>
      <c r="O20" s="42"/>
      <c r="P20" s="42"/>
      <c r="Q20" s="39"/>
      <c r="R20" s="40">
        <f t="shared" si="0"/>
        <v>0</v>
      </c>
      <c r="S20" s="43" t="e">
        <f t="shared" si="1"/>
        <v>#DIV/0!</v>
      </c>
      <c r="T20" s="1"/>
      <c r="U20" s="1"/>
      <c r="V20" s="1"/>
      <c r="W20" s="1"/>
      <c r="X20" s="1"/>
      <c r="Y20" s="1"/>
      <c r="Z20" s="1"/>
    </row>
    <row r="21" spans="1:26" ht="18" customHeight="1">
      <c r="A21" s="5"/>
      <c r="B21" s="38"/>
      <c r="C21" s="39"/>
      <c r="D21" s="40"/>
      <c r="E21" s="41"/>
      <c r="F21" s="42"/>
      <c r="G21" s="42"/>
      <c r="H21" s="42"/>
      <c r="I21" s="42"/>
      <c r="J21" s="42"/>
      <c r="K21" s="42"/>
      <c r="L21" s="42"/>
      <c r="M21" s="42"/>
      <c r="N21" s="42"/>
      <c r="O21" s="42"/>
      <c r="P21" s="42"/>
      <c r="Q21" s="39"/>
      <c r="R21" s="40">
        <f t="shared" si="0"/>
        <v>0</v>
      </c>
      <c r="S21" s="43" t="e">
        <f t="shared" si="1"/>
        <v>#DIV/0!</v>
      </c>
      <c r="T21" s="1"/>
      <c r="U21" s="1"/>
      <c r="V21" s="1"/>
      <c r="W21" s="1"/>
      <c r="X21" s="1"/>
      <c r="Y21" s="1"/>
      <c r="Z21" s="1"/>
    </row>
    <row r="22" spans="1:26" ht="18" customHeight="1">
      <c r="A22" s="5"/>
      <c r="B22" s="38"/>
      <c r="C22" s="39"/>
      <c r="D22" s="40"/>
      <c r="E22" s="41"/>
      <c r="F22" s="42"/>
      <c r="G22" s="42"/>
      <c r="H22" s="42"/>
      <c r="I22" s="42"/>
      <c r="J22" s="42"/>
      <c r="K22" s="42"/>
      <c r="L22" s="42"/>
      <c r="M22" s="42"/>
      <c r="N22" s="42"/>
      <c r="O22" s="42"/>
      <c r="P22" s="42"/>
      <c r="Q22" s="39"/>
      <c r="R22" s="40">
        <f t="shared" si="0"/>
        <v>0</v>
      </c>
      <c r="S22" s="43" t="e">
        <f t="shared" si="1"/>
        <v>#DIV/0!</v>
      </c>
      <c r="T22" s="1"/>
      <c r="U22" s="1"/>
      <c r="V22" s="1"/>
      <c r="W22" s="1"/>
      <c r="X22" s="1"/>
      <c r="Y22" s="1"/>
      <c r="Z22" s="1"/>
    </row>
    <row r="23" spans="1:26" ht="18" customHeight="1">
      <c r="A23" s="5"/>
      <c r="B23" s="38"/>
      <c r="C23" s="39"/>
      <c r="D23" s="40"/>
      <c r="E23" s="41"/>
      <c r="F23" s="42"/>
      <c r="G23" s="42"/>
      <c r="H23" s="42"/>
      <c r="I23" s="42"/>
      <c r="J23" s="42"/>
      <c r="K23" s="42"/>
      <c r="L23" s="42"/>
      <c r="M23" s="42"/>
      <c r="N23" s="42"/>
      <c r="O23" s="42"/>
      <c r="P23" s="42"/>
      <c r="Q23" s="39"/>
      <c r="R23" s="40">
        <f t="shared" si="0"/>
        <v>0</v>
      </c>
      <c r="S23" s="43" t="e">
        <f t="shared" si="1"/>
        <v>#DIV/0!</v>
      </c>
      <c r="T23" s="1"/>
      <c r="U23" s="1"/>
      <c r="V23" s="1"/>
      <c r="W23" s="1"/>
      <c r="X23" s="1"/>
      <c r="Y23" s="1"/>
      <c r="Z23" s="1"/>
    </row>
    <row r="24" spans="1:26" ht="18" customHeight="1">
      <c r="A24" s="5"/>
      <c r="B24" s="38"/>
      <c r="C24" s="39"/>
      <c r="D24" s="40"/>
      <c r="E24" s="41"/>
      <c r="F24" s="42"/>
      <c r="G24" s="42"/>
      <c r="H24" s="42"/>
      <c r="I24" s="42"/>
      <c r="J24" s="42"/>
      <c r="K24" s="42"/>
      <c r="L24" s="42"/>
      <c r="M24" s="42"/>
      <c r="N24" s="42"/>
      <c r="O24" s="42"/>
      <c r="P24" s="42"/>
      <c r="Q24" s="39"/>
      <c r="R24" s="40">
        <f t="shared" si="0"/>
        <v>0</v>
      </c>
      <c r="S24" s="43" t="e">
        <f t="shared" si="1"/>
        <v>#DIV/0!</v>
      </c>
      <c r="T24" s="1"/>
      <c r="U24" s="1"/>
      <c r="V24" s="1"/>
      <c r="W24" s="1"/>
      <c r="X24" s="1"/>
      <c r="Y24" s="1"/>
      <c r="Z24" s="1"/>
    </row>
    <row r="25" spans="1:26" ht="18" customHeight="1">
      <c r="A25" s="5"/>
      <c r="B25" s="38"/>
      <c r="C25" s="39"/>
      <c r="D25" s="40"/>
      <c r="E25" s="41"/>
      <c r="F25" s="42"/>
      <c r="G25" s="42"/>
      <c r="H25" s="42"/>
      <c r="I25" s="42"/>
      <c r="J25" s="42"/>
      <c r="K25" s="42"/>
      <c r="L25" s="42"/>
      <c r="M25" s="42"/>
      <c r="N25" s="42"/>
      <c r="O25" s="42"/>
      <c r="P25" s="42"/>
      <c r="Q25" s="39"/>
      <c r="R25" s="40">
        <f t="shared" si="0"/>
        <v>0</v>
      </c>
      <c r="S25" s="43" t="e">
        <f t="shared" si="1"/>
        <v>#DIV/0!</v>
      </c>
      <c r="T25" s="1"/>
      <c r="U25" s="1"/>
      <c r="V25" s="1"/>
      <c r="W25" s="1"/>
      <c r="X25" s="1"/>
      <c r="Y25" s="1"/>
      <c r="Z25" s="1"/>
    </row>
    <row r="26" spans="1:26" ht="18" customHeight="1">
      <c r="A26" s="5"/>
      <c r="B26" s="38"/>
      <c r="C26" s="39"/>
      <c r="D26" s="40"/>
      <c r="E26" s="41"/>
      <c r="F26" s="42"/>
      <c r="G26" s="42"/>
      <c r="H26" s="42"/>
      <c r="I26" s="42"/>
      <c r="J26" s="42"/>
      <c r="K26" s="42"/>
      <c r="L26" s="42"/>
      <c r="M26" s="42"/>
      <c r="N26" s="42"/>
      <c r="O26" s="42"/>
      <c r="P26" s="42"/>
      <c r="Q26" s="39"/>
      <c r="R26" s="40">
        <f t="shared" si="0"/>
        <v>0</v>
      </c>
      <c r="S26" s="43" t="e">
        <f t="shared" si="1"/>
        <v>#DIV/0!</v>
      </c>
      <c r="T26" s="1"/>
      <c r="U26" s="1"/>
      <c r="V26" s="1"/>
      <c r="W26" s="1"/>
      <c r="X26" s="1"/>
      <c r="Y26" s="1"/>
      <c r="Z26" s="1"/>
    </row>
    <row r="27" spans="1:26" ht="18" customHeight="1">
      <c r="A27" s="5"/>
      <c r="B27" s="38"/>
      <c r="C27" s="39"/>
      <c r="D27" s="40"/>
      <c r="E27" s="41"/>
      <c r="F27" s="42"/>
      <c r="G27" s="42"/>
      <c r="H27" s="42"/>
      <c r="I27" s="42"/>
      <c r="J27" s="42"/>
      <c r="K27" s="42"/>
      <c r="L27" s="42"/>
      <c r="M27" s="42"/>
      <c r="N27" s="42"/>
      <c r="O27" s="42"/>
      <c r="P27" s="42"/>
      <c r="Q27" s="39"/>
      <c r="R27" s="40">
        <f t="shared" si="0"/>
        <v>0</v>
      </c>
      <c r="S27" s="43" t="e">
        <f t="shared" si="1"/>
        <v>#DIV/0!</v>
      </c>
      <c r="T27" s="1"/>
      <c r="U27" s="1"/>
      <c r="V27" s="1"/>
      <c r="W27" s="1"/>
      <c r="X27" s="1"/>
      <c r="Y27" s="1"/>
      <c r="Z27" s="1"/>
    </row>
    <row r="28" spans="1:26" ht="18" customHeight="1">
      <c r="A28" s="5"/>
      <c r="B28" s="38"/>
      <c r="C28" s="39"/>
      <c r="D28" s="40"/>
      <c r="E28" s="41"/>
      <c r="F28" s="42"/>
      <c r="G28" s="42"/>
      <c r="H28" s="42"/>
      <c r="I28" s="42"/>
      <c r="J28" s="42"/>
      <c r="K28" s="42"/>
      <c r="L28" s="42"/>
      <c r="M28" s="42"/>
      <c r="N28" s="42"/>
      <c r="O28" s="42"/>
      <c r="P28" s="42"/>
      <c r="Q28" s="39"/>
      <c r="R28" s="40">
        <f t="shared" si="0"/>
        <v>0</v>
      </c>
      <c r="S28" s="43" t="e">
        <f t="shared" si="1"/>
        <v>#DIV/0!</v>
      </c>
      <c r="T28" s="1"/>
      <c r="U28" s="1"/>
      <c r="V28" s="1"/>
      <c r="W28" s="1"/>
      <c r="X28" s="1"/>
      <c r="Y28" s="1"/>
      <c r="Z28" s="1"/>
    </row>
    <row r="29" spans="1:26" ht="18" customHeight="1">
      <c r="A29" s="5"/>
      <c r="B29" s="38"/>
      <c r="C29" s="39"/>
      <c r="D29" s="40"/>
      <c r="E29" s="41"/>
      <c r="F29" s="42"/>
      <c r="G29" s="42"/>
      <c r="H29" s="42"/>
      <c r="I29" s="42"/>
      <c r="J29" s="42"/>
      <c r="K29" s="42"/>
      <c r="L29" s="42"/>
      <c r="M29" s="42"/>
      <c r="N29" s="42"/>
      <c r="O29" s="42"/>
      <c r="P29" s="42"/>
      <c r="Q29" s="39"/>
      <c r="R29" s="40">
        <f t="shared" si="0"/>
        <v>0</v>
      </c>
      <c r="S29" s="43" t="e">
        <f t="shared" si="1"/>
        <v>#DIV/0!</v>
      </c>
      <c r="T29" s="1"/>
      <c r="U29" s="1"/>
      <c r="V29" s="1"/>
      <c r="W29" s="1"/>
      <c r="X29" s="1"/>
      <c r="Y29" s="1"/>
      <c r="Z29" s="1"/>
    </row>
    <row r="30" spans="1:26" ht="18" customHeight="1">
      <c r="A30" s="5"/>
      <c r="B30" s="38"/>
      <c r="C30" s="39"/>
      <c r="D30" s="44"/>
      <c r="E30" s="41"/>
      <c r="F30" s="42"/>
      <c r="G30" s="42"/>
      <c r="H30" s="42"/>
      <c r="I30" s="42"/>
      <c r="J30" s="42"/>
      <c r="K30" s="42"/>
      <c r="L30" s="42"/>
      <c r="M30" s="42"/>
      <c r="N30" s="42"/>
      <c r="O30" s="42"/>
      <c r="P30" s="42"/>
      <c r="Q30" s="39"/>
      <c r="R30" s="44">
        <f t="shared" si="0"/>
        <v>0</v>
      </c>
      <c r="S30" s="43" t="e">
        <f t="shared" si="1"/>
        <v>#DIV/0!</v>
      </c>
      <c r="T30" s="1"/>
      <c r="U30" s="1"/>
      <c r="V30" s="1"/>
      <c r="W30" s="1"/>
      <c r="X30" s="1"/>
      <c r="Y30" s="1"/>
      <c r="Z30" s="1"/>
    </row>
    <row r="31" spans="1:26" ht="18" customHeight="1">
      <c r="A31" s="5"/>
      <c r="B31" s="38"/>
      <c r="C31" s="39"/>
      <c r="D31" s="44"/>
      <c r="E31" s="41"/>
      <c r="F31" s="42"/>
      <c r="G31" s="42"/>
      <c r="H31" s="42"/>
      <c r="I31" s="42"/>
      <c r="J31" s="42"/>
      <c r="K31" s="42"/>
      <c r="L31" s="42"/>
      <c r="M31" s="42"/>
      <c r="N31" s="42"/>
      <c r="O31" s="42"/>
      <c r="P31" s="42"/>
      <c r="Q31" s="39"/>
      <c r="R31" s="44">
        <f t="shared" si="0"/>
        <v>0</v>
      </c>
      <c r="S31" s="43" t="e">
        <f t="shared" si="1"/>
        <v>#DIV/0!</v>
      </c>
      <c r="T31" s="1"/>
      <c r="U31" s="1"/>
      <c r="V31" s="1"/>
      <c r="W31" s="1"/>
      <c r="X31" s="1"/>
      <c r="Y31" s="1"/>
      <c r="Z31" s="1"/>
    </row>
    <row r="32" spans="1:26" ht="18" customHeight="1">
      <c r="A32" s="5"/>
      <c r="B32" s="45"/>
      <c r="C32" s="33"/>
      <c r="D32" s="46"/>
      <c r="E32" s="35"/>
      <c r="F32" s="35"/>
      <c r="G32" s="35"/>
      <c r="H32" s="35"/>
      <c r="I32" s="35"/>
      <c r="J32" s="35"/>
      <c r="K32" s="35"/>
      <c r="L32" s="35"/>
      <c r="M32" s="35"/>
      <c r="N32" s="35"/>
      <c r="O32" s="35"/>
      <c r="P32" s="35"/>
      <c r="Q32" s="39"/>
      <c r="R32" s="46">
        <f t="shared" si="0"/>
        <v>0</v>
      </c>
      <c r="S32" s="47" t="e">
        <f t="shared" si="1"/>
        <v>#DIV/0!</v>
      </c>
      <c r="T32" s="1"/>
      <c r="U32" s="1"/>
      <c r="V32" s="1"/>
      <c r="W32" s="1"/>
      <c r="X32" s="1"/>
      <c r="Y32" s="1"/>
      <c r="Z32" s="1"/>
    </row>
    <row r="33" spans="1:26" ht="18" customHeight="1">
      <c r="A33" s="1"/>
      <c r="B33" s="48" t="s">
        <v>106</v>
      </c>
      <c r="C33" s="49">
        <f t="shared" ref="C33:R33" si="2">SUM(C13:C32)</f>
        <v>1771</v>
      </c>
      <c r="D33" s="50">
        <f t="shared" si="2"/>
        <v>280</v>
      </c>
      <c r="E33" s="51">
        <f t="shared" si="2"/>
        <v>1640</v>
      </c>
      <c r="F33" s="51">
        <f t="shared" si="2"/>
        <v>302</v>
      </c>
      <c r="G33" s="51">
        <f t="shared" si="2"/>
        <v>0</v>
      </c>
      <c r="H33" s="51">
        <f t="shared" si="2"/>
        <v>298</v>
      </c>
      <c r="I33" s="51">
        <f t="shared" si="2"/>
        <v>0</v>
      </c>
      <c r="J33" s="51">
        <f t="shared" si="2"/>
        <v>0</v>
      </c>
      <c r="K33" s="51">
        <f t="shared" si="2"/>
        <v>0</v>
      </c>
      <c r="L33" s="51">
        <f t="shared" si="2"/>
        <v>0</v>
      </c>
      <c r="M33" s="51">
        <f t="shared" si="2"/>
        <v>0</v>
      </c>
      <c r="N33" s="51">
        <f t="shared" si="2"/>
        <v>0</v>
      </c>
      <c r="O33" s="51">
        <f t="shared" si="2"/>
        <v>0</v>
      </c>
      <c r="P33" s="51">
        <f t="shared" si="2"/>
        <v>0</v>
      </c>
      <c r="Q33" s="49">
        <f t="shared" si="2"/>
        <v>0</v>
      </c>
      <c r="R33" s="50">
        <f t="shared" si="2"/>
        <v>600</v>
      </c>
      <c r="S33" s="52">
        <f t="shared" si="1"/>
        <v>0.36585365853658536</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0"/>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scale="8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abSelected="1" topLeftCell="A4" workbookViewId="0">
      <selection activeCell="K10" sqref="K10"/>
    </sheetView>
  </sheetViews>
  <sheetFormatPr defaultColWidth="14.453125" defaultRowHeight="15" customHeight="1"/>
  <cols>
    <col min="1" max="1" width="2.81640625" customWidth="1"/>
    <col min="2" max="2" width="16.54296875" customWidth="1"/>
    <col min="3" max="3" width="8.81640625" customWidth="1"/>
    <col min="4" max="4" width="2.08984375" customWidth="1"/>
    <col min="5" max="5" width="16.54296875" customWidth="1"/>
    <col min="6" max="6" width="4.453125" customWidth="1"/>
    <col min="7" max="7" width="9" customWidth="1"/>
    <col min="8" max="8" width="16.54296875" customWidth="1"/>
    <col min="9" max="9" width="12.08984375" customWidth="1"/>
    <col min="10" max="26" width="11.453125" customWidth="1"/>
  </cols>
  <sheetData>
    <row r="1" spans="1:26" ht="18.75" customHeight="1">
      <c r="A1" s="53" t="s">
        <v>107</v>
      </c>
      <c r="B1" s="1"/>
      <c r="C1" s="1"/>
      <c r="D1" s="1"/>
      <c r="E1" s="1"/>
      <c r="F1" s="1"/>
      <c r="G1" s="1"/>
      <c r="H1" s="1"/>
      <c r="I1" s="2" t="s">
        <v>108</v>
      </c>
      <c r="J1" s="1"/>
      <c r="K1" s="1"/>
      <c r="L1" s="1"/>
      <c r="M1" s="1"/>
      <c r="N1" s="1"/>
      <c r="O1" s="1"/>
      <c r="P1" s="1"/>
      <c r="Q1" s="1"/>
      <c r="R1" s="1"/>
      <c r="S1" s="1"/>
      <c r="T1" s="1"/>
      <c r="U1" s="1"/>
      <c r="V1" s="1"/>
      <c r="W1" s="1"/>
      <c r="X1" s="1"/>
      <c r="Y1" s="1"/>
      <c r="Z1" s="1"/>
    </row>
    <row r="2" spans="1:26" ht="18.75" customHeight="1">
      <c r="A2" s="53"/>
      <c r="B2" s="1"/>
      <c r="C2" s="1"/>
      <c r="D2" s="1"/>
      <c r="E2" s="1"/>
      <c r="F2" s="1"/>
      <c r="G2" s="2" t="s">
        <v>2</v>
      </c>
      <c r="H2" s="76" t="str">
        <f>'様式１　プログラムを構成する授業科目'!C2</f>
        <v>星薬科大学</v>
      </c>
      <c r="I2" s="78"/>
      <c r="J2" s="1"/>
      <c r="K2" s="1"/>
      <c r="L2" s="1"/>
      <c r="M2" s="1"/>
      <c r="N2" s="1"/>
      <c r="O2" s="1"/>
      <c r="P2" s="1"/>
      <c r="Q2" s="1"/>
      <c r="R2" s="1"/>
      <c r="S2" s="1"/>
      <c r="T2" s="1"/>
      <c r="U2" s="1"/>
      <c r="V2" s="1"/>
      <c r="W2" s="1"/>
      <c r="X2" s="1"/>
      <c r="Y2" s="1"/>
      <c r="Z2" s="1"/>
    </row>
    <row r="3" spans="1:26" ht="18.75" customHeight="1">
      <c r="A3" s="53"/>
      <c r="B3" s="1"/>
      <c r="C3" s="1"/>
      <c r="D3" s="1"/>
      <c r="E3" s="1"/>
      <c r="F3" s="1"/>
      <c r="G3" s="2"/>
      <c r="H3" s="9"/>
      <c r="I3" s="9"/>
      <c r="J3" s="1"/>
      <c r="K3" s="1"/>
      <c r="L3" s="1"/>
      <c r="M3" s="1"/>
      <c r="N3" s="1"/>
      <c r="O3" s="1"/>
      <c r="P3" s="1"/>
      <c r="Q3" s="1"/>
      <c r="R3" s="1"/>
      <c r="S3" s="1"/>
      <c r="T3" s="1"/>
      <c r="U3" s="1"/>
      <c r="V3" s="1"/>
      <c r="W3" s="1"/>
      <c r="X3" s="1"/>
      <c r="Y3" s="1"/>
      <c r="Z3" s="1"/>
    </row>
    <row r="4" spans="1:26" ht="18" customHeight="1">
      <c r="A4" s="115" t="s">
        <v>109</v>
      </c>
      <c r="B4" s="75"/>
      <c r="C4" s="75"/>
      <c r="D4" s="75"/>
      <c r="E4" s="75"/>
      <c r="F4" s="75"/>
      <c r="G4" s="75"/>
      <c r="H4" s="75"/>
      <c r="I4" s="75"/>
      <c r="J4" s="1"/>
      <c r="K4" s="1"/>
      <c r="L4" s="1"/>
      <c r="M4" s="1"/>
      <c r="N4" s="1"/>
      <c r="O4" s="1"/>
      <c r="P4" s="1"/>
      <c r="Q4" s="1"/>
      <c r="R4" s="1"/>
      <c r="S4" s="1"/>
      <c r="T4" s="1"/>
      <c r="U4" s="1"/>
      <c r="V4" s="1"/>
      <c r="W4" s="1"/>
      <c r="X4" s="1"/>
      <c r="Y4" s="1"/>
      <c r="Z4" s="1"/>
    </row>
    <row r="5" spans="1:26" ht="12.75" customHeight="1">
      <c r="A5" s="53"/>
      <c r="B5" s="8"/>
      <c r="C5" s="8"/>
      <c r="D5" s="8"/>
      <c r="E5" s="8"/>
      <c r="F5" s="8"/>
      <c r="G5" s="8"/>
      <c r="H5" s="8"/>
      <c r="I5" s="8"/>
      <c r="J5" s="1"/>
      <c r="K5" s="1"/>
      <c r="L5" s="1"/>
      <c r="M5" s="1"/>
      <c r="N5" s="1"/>
      <c r="O5" s="1"/>
      <c r="P5" s="1"/>
      <c r="Q5" s="1"/>
      <c r="R5" s="1"/>
      <c r="S5" s="1"/>
      <c r="T5" s="1"/>
      <c r="U5" s="1"/>
      <c r="V5" s="1"/>
      <c r="W5" s="1"/>
      <c r="X5" s="1"/>
      <c r="Y5" s="1"/>
      <c r="Z5" s="1"/>
    </row>
    <row r="6" spans="1:26" ht="18" customHeight="1">
      <c r="A6" s="1" t="s">
        <v>110</v>
      </c>
      <c r="B6" s="9" t="s">
        <v>111</v>
      </c>
      <c r="C6" s="132" t="s">
        <v>112</v>
      </c>
      <c r="D6" s="75"/>
      <c r="E6" s="4">
        <v>90</v>
      </c>
      <c r="F6" s="8" t="s">
        <v>83</v>
      </c>
      <c r="G6" s="8" t="s">
        <v>113</v>
      </c>
      <c r="H6" s="4">
        <v>79</v>
      </c>
      <c r="I6" s="9" t="s">
        <v>83</v>
      </c>
      <c r="J6" s="1"/>
      <c r="K6" s="1"/>
      <c r="L6" s="1"/>
      <c r="M6" s="1"/>
      <c r="N6" s="1"/>
      <c r="O6" s="1"/>
      <c r="P6" s="1"/>
      <c r="Q6" s="1"/>
      <c r="R6" s="1"/>
      <c r="S6" s="1"/>
      <c r="T6" s="1"/>
      <c r="U6" s="1"/>
      <c r="V6" s="1"/>
      <c r="W6" s="1"/>
      <c r="X6" s="1"/>
      <c r="Y6" s="1"/>
      <c r="Z6" s="1"/>
    </row>
    <row r="7" spans="1:26" ht="12" customHeight="1">
      <c r="A7" s="53"/>
      <c r="B7" s="1"/>
      <c r="C7" s="3"/>
      <c r="D7" s="3"/>
      <c r="E7" s="3"/>
      <c r="F7" s="3"/>
      <c r="G7" s="3"/>
      <c r="H7" s="3"/>
      <c r="I7" s="54"/>
      <c r="J7" s="1"/>
      <c r="K7" s="1"/>
      <c r="L7" s="1"/>
      <c r="M7" s="1"/>
      <c r="N7" s="1"/>
      <c r="O7" s="1"/>
      <c r="P7" s="1"/>
      <c r="Q7" s="1"/>
      <c r="R7" s="1"/>
      <c r="S7" s="1"/>
      <c r="T7" s="1"/>
      <c r="U7" s="1"/>
      <c r="V7" s="1"/>
      <c r="W7" s="1"/>
      <c r="X7" s="1"/>
      <c r="Y7" s="1"/>
      <c r="Z7" s="1"/>
    </row>
    <row r="8" spans="1:26" ht="18" customHeight="1">
      <c r="A8" s="1" t="s">
        <v>114</v>
      </c>
      <c r="B8" s="9" t="s">
        <v>115</v>
      </c>
      <c r="C8" s="1"/>
      <c r="D8" s="1"/>
      <c r="E8" s="8"/>
      <c r="F8" s="8"/>
      <c r="G8" s="8"/>
      <c r="H8" s="4">
        <v>5</v>
      </c>
      <c r="I8" s="9" t="s">
        <v>83</v>
      </c>
      <c r="J8" s="1"/>
      <c r="K8" s="1"/>
      <c r="L8" s="1"/>
      <c r="M8" s="1"/>
      <c r="N8" s="1"/>
      <c r="O8" s="1"/>
      <c r="P8" s="1"/>
      <c r="Q8" s="1"/>
      <c r="R8" s="1"/>
      <c r="S8" s="1"/>
      <c r="T8" s="1"/>
      <c r="U8" s="1"/>
      <c r="V8" s="1"/>
      <c r="W8" s="1"/>
      <c r="X8" s="1"/>
      <c r="Y8" s="1"/>
      <c r="Z8" s="1"/>
    </row>
    <row r="9" spans="1:26" ht="9" customHeight="1">
      <c r="A9" s="53"/>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116</v>
      </c>
      <c r="B10" s="9" t="s">
        <v>117</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53"/>
      <c r="B11" s="2" t="s">
        <v>118</v>
      </c>
      <c r="C11" s="133" t="s">
        <v>119</v>
      </c>
      <c r="D11" s="77"/>
      <c r="E11" s="78"/>
      <c r="F11" s="54"/>
      <c r="G11" s="2" t="s">
        <v>120</v>
      </c>
      <c r="H11" s="133" t="s">
        <v>121</v>
      </c>
      <c r="I11" s="78"/>
      <c r="J11" s="1"/>
      <c r="K11" s="1"/>
      <c r="L11" s="1"/>
      <c r="M11" s="1"/>
      <c r="N11" s="1"/>
      <c r="O11" s="1"/>
      <c r="P11" s="1"/>
      <c r="Q11" s="1"/>
      <c r="R11" s="1"/>
      <c r="S11" s="1"/>
      <c r="T11" s="1"/>
      <c r="U11" s="1"/>
      <c r="V11" s="1"/>
      <c r="W11" s="1"/>
      <c r="X11" s="1"/>
      <c r="Y11" s="1"/>
      <c r="Z11" s="1"/>
    </row>
    <row r="12" spans="1:26" ht="9.75" customHeight="1">
      <c r="A12" s="53"/>
      <c r="B12" s="2"/>
      <c r="C12" s="9"/>
      <c r="D12" s="54"/>
      <c r="E12" s="54"/>
      <c r="F12" s="54"/>
      <c r="G12" s="2"/>
      <c r="H12" s="9"/>
      <c r="I12" s="54"/>
      <c r="J12" s="1"/>
      <c r="K12" s="1"/>
      <c r="L12" s="1"/>
      <c r="M12" s="1"/>
      <c r="N12" s="1"/>
      <c r="O12" s="1"/>
      <c r="P12" s="1"/>
      <c r="Q12" s="1"/>
      <c r="R12" s="1"/>
      <c r="S12" s="1"/>
      <c r="T12" s="1"/>
      <c r="U12" s="1"/>
      <c r="V12" s="1"/>
      <c r="W12" s="1"/>
      <c r="X12" s="1"/>
      <c r="Y12" s="1"/>
      <c r="Z12" s="1"/>
    </row>
    <row r="13" spans="1:26" ht="18" customHeight="1">
      <c r="A13" s="1" t="s">
        <v>122</v>
      </c>
      <c r="B13" s="9" t="s">
        <v>123</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53"/>
      <c r="B14" s="133" t="s">
        <v>187</v>
      </c>
      <c r="C14" s="77"/>
      <c r="D14" s="77"/>
      <c r="E14" s="77"/>
      <c r="F14" s="77"/>
      <c r="G14" s="77"/>
      <c r="H14" s="77"/>
      <c r="I14" s="78"/>
      <c r="J14" s="1"/>
      <c r="K14" s="1"/>
      <c r="L14" s="1"/>
      <c r="M14" s="1"/>
      <c r="N14" s="1"/>
      <c r="O14" s="1"/>
      <c r="P14" s="1"/>
      <c r="Q14" s="1"/>
      <c r="R14" s="1"/>
      <c r="S14" s="1"/>
      <c r="T14" s="1"/>
      <c r="U14" s="1"/>
      <c r="V14" s="1"/>
      <c r="W14" s="1"/>
      <c r="X14" s="1"/>
      <c r="Y14" s="1"/>
      <c r="Z14" s="1"/>
    </row>
    <row r="15" spans="1:26" ht="9" customHeight="1">
      <c r="A15" s="53"/>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53"/>
      <c r="B16" s="2" t="s">
        <v>118</v>
      </c>
      <c r="C16" s="133" t="s">
        <v>125</v>
      </c>
      <c r="D16" s="77"/>
      <c r="E16" s="78"/>
      <c r="F16" s="54"/>
      <c r="G16" s="2" t="s">
        <v>120</v>
      </c>
      <c r="H16" s="133" t="s">
        <v>126</v>
      </c>
      <c r="I16" s="78"/>
      <c r="J16" s="1"/>
      <c r="K16" s="1"/>
      <c r="L16" s="1"/>
      <c r="M16" s="1"/>
      <c r="N16" s="1"/>
      <c r="O16" s="1"/>
      <c r="P16" s="1"/>
      <c r="Q16" s="1"/>
      <c r="R16" s="1"/>
      <c r="S16" s="1"/>
      <c r="T16" s="1"/>
      <c r="U16" s="1"/>
      <c r="V16" s="1"/>
      <c r="W16" s="1"/>
      <c r="X16" s="1"/>
      <c r="Y16" s="1"/>
      <c r="Z16" s="1"/>
    </row>
    <row r="17" spans="1:26" ht="18" customHeight="1">
      <c r="A17" s="53"/>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127</v>
      </c>
      <c r="B18" s="1" t="s">
        <v>128</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34" t="s">
        <v>129</v>
      </c>
      <c r="C19" s="77"/>
      <c r="D19" s="77"/>
      <c r="E19" s="77"/>
      <c r="F19" s="77"/>
      <c r="G19" s="77"/>
      <c r="H19" s="77"/>
      <c r="I19" s="78"/>
      <c r="J19" s="1"/>
      <c r="K19" s="1"/>
      <c r="L19" s="1"/>
      <c r="M19" s="1"/>
      <c r="N19" s="1"/>
      <c r="O19" s="1"/>
      <c r="P19" s="1"/>
      <c r="Q19" s="1"/>
      <c r="R19" s="1"/>
      <c r="S19" s="1"/>
      <c r="T19" s="1"/>
      <c r="U19" s="1"/>
      <c r="V19" s="1"/>
      <c r="W19" s="1"/>
      <c r="X19" s="1"/>
      <c r="Y19" s="1"/>
      <c r="Z19" s="1"/>
    </row>
    <row r="20" spans="1:26" ht="7.5" customHeight="1">
      <c r="A20" s="53"/>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130</v>
      </c>
      <c r="B21" s="1" t="s">
        <v>131</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19"/>
      <c r="B22" s="135" t="s">
        <v>132</v>
      </c>
      <c r="C22" s="89"/>
      <c r="D22" s="89"/>
      <c r="E22" s="89"/>
      <c r="F22" s="89"/>
      <c r="G22" s="89"/>
      <c r="H22" s="89"/>
      <c r="I22" s="90"/>
      <c r="J22" s="1"/>
      <c r="K22" s="1"/>
      <c r="L22" s="1"/>
      <c r="M22" s="1"/>
      <c r="N22" s="1"/>
      <c r="O22" s="1"/>
      <c r="P22" s="1"/>
      <c r="Q22" s="1"/>
      <c r="R22" s="1"/>
      <c r="S22" s="1"/>
      <c r="T22" s="1"/>
      <c r="U22" s="1"/>
      <c r="V22" s="1"/>
      <c r="W22" s="1"/>
      <c r="X22" s="1"/>
      <c r="Y22" s="1"/>
      <c r="Z22" s="1"/>
    </row>
    <row r="23" spans="1:26" ht="18.75" customHeight="1">
      <c r="A23" s="19"/>
      <c r="B23" s="120"/>
      <c r="C23" s="75"/>
      <c r="D23" s="75"/>
      <c r="E23" s="75"/>
      <c r="F23" s="75"/>
      <c r="G23" s="75"/>
      <c r="H23" s="75"/>
      <c r="I23" s="121"/>
      <c r="J23" s="1"/>
      <c r="K23" s="1"/>
      <c r="L23" s="1"/>
      <c r="M23" s="1"/>
      <c r="N23" s="1"/>
      <c r="O23" s="1"/>
      <c r="P23" s="1"/>
      <c r="Q23" s="1"/>
      <c r="R23" s="1"/>
      <c r="S23" s="1"/>
      <c r="T23" s="1"/>
      <c r="U23" s="1"/>
      <c r="V23" s="1"/>
      <c r="W23" s="1"/>
      <c r="X23" s="1"/>
      <c r="Y23" s="1"/>
      <c r="Z23" s="1"/>
    </row>
    <row r="24" spans="1:26" ht="18.75" customHeight="1">
      <c r="A24" s="19"/>
      <c r="B24" s="120"/>
      <c r="C24" s="75"/>
      <c r="D24" s="75"/>
      <c r="E24" s="75"/>
      <c r="F24" s="75"/>
      <c r="G24" s="75"/>
      <c r="H24" s="75"/>
      <c r="I24" s="121"/>
      <c r="J24" s="1"/>
      <c r="K24" s="1"/>
      <c r="L24" s="1"/>
      <c r="M24" s="1"/>
      <c r="N24" s="1"/>
      <c r="O24" s="1"/>
      <c r="P24" s="1"/>
      <c r="Q24" s="1"/>
      <c r="R24" s="1"/>
      <c r="S24" s="1"/>
      <c r="T24" s="1"/>
      <c r="U24" s="1"/>
      <c r="V24" s="1"/>
      <c r="W24" s="1"/>
      <c r="X24" s="1"/>
      <c r="Y24" s="1"/>
      <c r="Z24" s="1"/>
    </row>
    <row r="25" spans="1:26" ht="18.75" customHeight="1">
      <c r="A25" s="19"/>
      <c r="B25" s="120"/>
      <c r="C25" s="75"/>
      <c r="D25" s="75"/>
      <c r="E25" s="75"/>
      <c r="F25" s="75"/>
      <c r="G25" s="75"/>
      <c r="H25" s="75"/>
      <c r="I25" s="121"/>
      <c r="J25" s="1"/>
      <c r="K25" s="1"/>
      <c r="L25" s="1"/>
      <c r="M25" s="1"/>
      <c r="N25" s="1"/>
      <c r="O25" s="1"/>
      <c r="P25" s="1"/>
      <c r="Q25" s="1"/>
      <c r="R25" s="1"/>
      <c r="S25" s="1"/>
      <c r="T25" s="1"/>
      <c r="U25" s="1"/>
      <c r="V25" s="1"/>
      <c r="W25" s="1"/>
      <c r="X25" s="1"/>
      <c r="Y25" s="1"/>
      <c r="Z25" s="1"/>
    </row>
    <row r="26" spans="1:26" ht="18.75" customHeight="1">
      <c r="A26" s="19"/>
      <c r="B26" s="120"/>
      <c r="C26" s="75"/>
      <c r="D26" s="75"/>
      <c r="E26" s="75"/>
      <c r="F26" s="75"/>
      <c r="G26" s="75"/>
      <c r="H26" s="75"/>
      <c r="I26" s="121"/>
      <c r="J26" s="1"/>
      <c r="K26" s="1"/>
      <c r="L26" s="1"/>
      <c r="M26" s="1"/>
      <c r="N26" s="1"/>
      <c r="O26" s="1"/>
      <c r="P26" s="1"/>
      <c r="Q26" s="1"/>
      <c r="R26" s="1"/>
      <c r="S26" s="1"/>
      <c r="T26" s="1"/>
      <c r="U26" s="1"/>
      <c r="V26" s="1"/>
      <c r="W26" s="1"/>
      <c r="X26" s="1"/>
      <c r="Y26" s="1"/>
      <c r="Z26" s="1"/>
    </row>
    <row r="27" spans="1:26" ht="18.75" customHeight="1">
      <c r="A27" s="19"/>
      <c r="B27" s="120"/>
      <c r="C27" s="75"/>
      <c r="D27" s="75"/>
      <c r="E27" s="75"/>
      <c r="F27" s="75"/>
      <c r="G27" s="75"/>
      <c r="H27" s="75"/>
      <c r="I27" s="121"/>
      <c r="J27" s="1"/>
      <c r="K27" s="1"/>
      <c r="L27" s="1"/>
      <c r="M27" s="1"/>
      <c r="N27" s="1"/>
      <c r="O27" s="1"/>
      <c r="P27" s="1"/>
      <c r="Q27" s="1"/>
      <c r="R27" s="1"/>
      <c r="S27" s="1"/>
      <c r="T27" s="1"/>
      <c r="U27" s="1"/>
      <c r="V27" s="1"/>
      <c r="W27" s="1"/>
      <c r="X27" s="1"/>
      <c r="Y27" s="1"/>
      <c r="Z27" s="1"/>
    </row>
    <row r="28" spans="1:26" ht="18.75" customHeight="1">
      <c r="A28" s="19"/>
      <c r="B28" s="120"/>
      <c r="C28" s="75"/>
      <c r="D28" s="75"/>
      <c r="E28" s="75"/>
      <c r="F28" s="75"/>
      <c r="G28" s="75"/>
      <c r="H28" s="75"/>
      <c r="I28" s="121"/>
      <c r="J28" s="1"/>
      <c r="K28" s="1"/>
      <c r="L28" s="1"/>
      <c r="M28" s="1"/>
      <c r="N28" s="1"/>
      <c r="O28" s="1"/>
      <c r="P28" s="1"/>
      <c r="Q28" s="1"/>
      <c r="R28" s="1"/>
      <c r="S28" s="1"/>
      <c r="T28" s="1"/>
      <c r="U28" s="1"/>
      <c r="V28" s="1"/>
      <c r="W28" s="1"/>
      <c r="X28" s="1"/>
      <c r="Y28" s="1"/>
      <c r="Z28" s="1"/>
    </row>
    <row r="29" spans="1:26" ht="18.75" customHeight="1">
      <c r="A29" s="19"/>
      <c r="B29" s="120"/>
      <c r="C29" s="75"/>
      <c r="D29" s="75"/>
      <c r="E29" s="75"/>
      <c r="F29" s="75"/>
      <c r="G29" s="75"/>
      <c r="H29" s="75"/>
      <c r="I29" s="121"/>
      <c r="J29" s="1"/>
      <c r="K29" s="1"/>
      <c r="L29" s="1"/>
      <c r="M29" s="1"/>
      <c r="N29" s="1"/>
      <c r="O29" s="1"/>
      <c r="P29" s="1"/>
      <c r="Q29" s="1"/>
      <c r="R29" s="1"/>
      <c r="S29" s="1"/>
      <c r="T29" s="1"/>
      <c r="U29" s="1"/>
      <c r="V29" s="1"/>
      <c r="W29" s="1"/>
      <c r="X29" s="1"/>
      <c r="Y29" s="1"/>
      <c r="Z29" s="1"/>
    </row>
    <row r="30" spans="1:26" ht="18.75" customHeight="1">
      <c r="A30" s="19"/>
      <c r="B30" s="120"/>
      <c r="C30" s="75"/>
      <c r="D30" s="75"/>
      <c r="E30" s="75"/>
      <c r="F30" s="75"/>
      <c r="G30" s="75"/>
      <c r="H30" s="75"/>
      <c r="I30" s="121"/>
      <c r="J30" s="1"/>
      <c r="K30" s="1"/>
      <c r="L30" s="1"/>
      <c r="M30" s="1"/>
      <c r="N30" s="1"/>
      <c r="O30" s="1"/>
      <c r="P30" s="1"/>
      <c r="Q30" s="1"/>
      <c r="R30" s="1"/>
      <c r="S30" s="1"/>
      <c r="T30" s="1"/>
      <c r="U30" s="1"/>
      <c r="V30" s="1"/>
      <c r="W30" s="1"/>
      <c r="X30" s="1"/>
      <c r="Y30" s="1"/>
      <c r="Z30" s="1"/>
    </row>
    <row r="31" spans="1:26" ht="18.75" customHeight="1">
      <c r="A31" s="19"/>
      <c r="B31" s="120"/>
      <c r="C31" s="75"/>
      <c r="D31" s="75"/>
      <c r="E31" s="75"/>
      <c r="F31" s="75"/>
      <c r="G31" s="75"/>
      <c r="H31" s="75"/>
      <c r="I31" s="121"/>
      <c r="J31" s="1"/>
      <c r="K31" s="1"/>
      <c r="L31" s="1"/>
      <c r="M31" s="1"/>
      <c r="N31" s="1"/>
      <c r="O31" s="1"/>
      <c r="P31" s="1"/>
      <c r="Q31" s="1"/>
      <c r="R31" s="1"/>
      <c r="S31" s="1"/>
      <c r="T31" s="1"/>
      <c r="U31" s="1"/>
      <c r="V31" s="1"/>
      <c r="W31" s="1"/>
      <c r="X31" s="1"/>
      <c r="Y31" s="1"/>
      <c r="Z31" s="1"/>
    </row>
    <row r="32" spans="1:26" ht="18.75" customHeight="1">
      <c r="A32" s="19"/>
      <c r="B32" s="118"/>
      <c r="C32" s="94"/>
      <c r="D32" s="94"/>
      <c r="E32" s="94"/>
      <c r="F32" s="94"/>
      <c r="G32" s="94"/>
      <c r="H32" s="94"/>
      <c r="I32" s="95"/>
      <c r="J32" s="1"/>
      <c r="K32" s="1"/>
      <c r="L32" s="1"/>
      <c r="M32" s="1"/>
      <c r="N32" s="1"/>
      <c r="O32" s="1"/>
      <c r="P32" s="1"/>
      <c r="Q32" s="1"/>
      <c r="R32" s="1"/>
      <c r="S32" s="1"/>
      <c r="T32" s="1"/>
      <c r="U32" s="1"/>
      <c r="V32" s="1"/>
      <c r="W32" s="1"/>
      <c r="X32" s="1"/>
      <c r="Y32" s="1"/>
      <c r="Z32" s="1"/>
    </row>
    <row r="33" spans="1:26" ht="7.5" customHeight="1">
      <c r="A33" s="19"/>
      <c r="B33" s="19"/>
      <c r="C33" s="19"/>
      <c r="D33" s="19"/>
      <c r="E33" s="19"/>
      <c r="F33" s="19"/>
      <c r="G33" s="19"/>
      <c r="H33" s="19"/>
      <c r="I33" s="19"/>
      <c r="J33" s="1"/>
      <c r="K33" s="1"/>
      <c r="L33" s="1"/>
      <c r="M33" s="1"/>
      <c r="N33" s="1"/>
      <c r="O33" s="1"/>
      <c r="P33" s="1"/>
      <c r="Q33" s="1"/>
      <c r="R33" s="1"/>
      <c r="S33" s="1"/>
      <c r="T33" s="1"/>
      <c r="U33" s="1"/>
      <c r="V33" s="1"/>
      <c r="W33" s="1"/>
      <c r="X33" s="1"/>
      <c r="Y33" s="1"/>
      <c r="Z33" s="1"/>
    </row>
    <row r="34" spans="1:26" ht="18.75" customHeight="1">
      <c r="A34" s="11" t="s">
        <v>133</v>
      </c>
      <c r="B34" s="11" t="s">
        <v>134</v>
      </c>
      <c r="C34" s="9"/>
      <c r="D34" s="11"/>
      <c r="E34" s="11"/>
      <c r="F34" s="11"/>
      <c r="G34" s="11"/>
      <c r="H34" s="11"/>
      <c r="I34" s="11"/>
      <c r="J34" s="1"/>
      <c r="K34" s="1"/>
      <c r="L34" s="1"/>
      <c r="M34" s="1"/>
      <c r="N34" s="1"/>
      <c r="O34" s="1"/>
      <c r="P34" s="1"/>
      <c r="Q34" s="1"/>
      <c r="R34" s="1"/>
      <c r="S34" s="1"/>
      <c r="T34" s="1"/>
      <c r="U34" s="1"/>
      <c r="V34" s="1"/>
      <c r="W34" s="1"/>
      <c r="X34" s="1"/>
      <c r="Y34" s="1"/>
      <c r="Z34" s="1"/>
    </row>
    <row r="35" spans="1:26" ht="18.75" customHeight="1">
      <c r="A35" s="19"/>
      <c r="B35" s="146" t="s">
        <v>185</v>
      </c>
      <c r="C35" s="147"/>
      <c r="D35" s="147"/>
      <c r="E35" s="147"/>
      <c r="F35" s="152" t="s">
        <v>186</v>
      </c>
      <c r="G35" s="152"/>
      <c r="H35" s="152"/>
      <c r="I35" s="153"/>
      <c r="J35" s="1"/>
      <c r="K35" s="1"/>
      <c r="L35" s="1"/>
      <c r="M35" s="1"/>
      <c r="N35" s="1"/>
      <c r="O35" s="1"/>
      <c r="P35" s="1"/>
      <c r="Q35" s="1"/>
      <c r="R35" s="1"/>
      <c r="S35" s="1"/>
      <c r="T35" s="1"/>
      <c r="U35" s="1"/>
      <c r="V35" s="1"/>
      <c r="W35" s="1"/>
      <c r="X35" s="1"/>
      <c r="Y35" s="1"/>
      <c r="Z35" s="1"/>
    </row>
    <row r="36" spans="1:26" ht="18.75" customHeight="1">
      <c r="A36" s="19"/>
      <c r="B36" s="148"/>
      <c r="C36" s="149"/>
      <c r="D36" s="149"/>
      <c r="E36" s="149"/>
      <c r="F36" s="154"/>
      <c r="G36" s="154"/>
      <c r="H36" s="154"/>
      <c r="I36" s="155"/>
      <c r="J36" s="1"/>
      <c r="K36" s="1"/>
      <c r="L36" s="1"/>
      <c r="M36" s="1"/>
      <c r="N36" s="1"/>
      <c r="O36" s="1"/>
      <c r="P36" s="1"/>
      <c r="Q36" s="1"/>
      <c r="R36" s="1"/>
      <c r="S36" s="1"/>
      <c r="T36" s="1"/>
      <c r="U36" s="1"/>
      <c r="V36" s="1"/>
      <c r="W36" s="1"/>
      <c r="X36" s="1"/>
      <c r="Y36" s="1"/>
      <c r="Z36" s="1"/>
    </row>
    <row r="37" spans="1:26" ht="18.75" customHeight="1">
      <c r="A37" s="19"/>
      <c r="B37" s="148"/>
      <c r="C37" s="149"/>
      <c r="D37" s="149"/>
      <c r="E37" s="149"/>
      <c r="F37" s="154"/>
      <c r="G37" s="154"/>
      <c r="H37" s="154"/>
      <c r="I37" s="155"/>
      <c r="J37" s="1"/>
      <c r="K37" s="1"/>
      <c r="L37" s="1"/>
      <c r="M37" s="1"/>
      <c r="N37" s="1"/>
      <c r="O37" s="1"/>
      <c r="P37" s="1"/>
      <c r="Q37" s="1"/>
      <c r="R37" s="1"/>
      <c r="S37" s="1"/>
      <c r="T37" s="1"/>
      <c r="U37" s="1"/>
      <c r="V37" s="1"/>
      <c r="W37" s="1"/>
      <c r="X37" s="1"/>
      <c r="Y37" s="1"/>
      <c r="Z37" s="1"/>
    </row>
    <row r="38" spans="1:26" ht="18.75" customHeight="1">
      <c r="A38" s="19"/>
      <c r="B38" s="148"/>
      <c r="C38" s="149"/>
      <c r="D38" s="149"/>
      <c r="E38" s="149"/>
      <c r="F38" s="154"/>
      <c r="G38" s="154"/>
      <c r="H38" s="154"/>
      <c r="I38" s="155"/>
      <c r="J38" s="1"/>
      <c r="K38" s="1"/>
      <c r="L38" s="1"/>
      <c r="M38" s="1"/>
      <c r="N38" s="1"/>
      <c r="O38" s="1"/>
      <c r="P38" s="1"/>
      <c r="Q38" s="1"/>
      <c r="R38" s="1"/>
      <c r="S38" s="1"/>
      <c r="T38" s="1"/>
      <c r="U38" s="1"/>
      <c r="V38" s="1"/>
      <c r="W38" s="1"/>
      <c r="X38" s="1"/>
      <c r="Y38" s="1"/>
      <c r="Z38" s="1"/>
    </row>
    <row r="39" spans="1:26" ht="18.75" customHeight="1">
      <c r="A39" s="19"/>
      <c r="B39" s="148"/>
      <c r="C39" s="149"/>
      <c r="D39" s="149"/>
      <c r="E39" s="149"/>
      <c r="F39" s="154"/>
      <c r="G39" s="154"/>
      <c r="H39" s="154"/>
      <c r="I39" s="155"/>
      <c r="J39" s="1"/>
      <c r="K39" s="1"/>
      <c r="L39" s="1"/>
      <c r="M39" s="1"/>
      <c r="N39" s="1"/>
      <c r="O39" s="1"/>
      <c r="P39" s="1"/>
      <c r="Q39" s="1"/>
      <c r="R39" s="1"/>
      <c r="S39" s="1"/>
      <c r="T39" s="1"/>
      <c r="U39" s="1"/>
      <c r="V39" s="1"/>
      <c r="W39" s="1"/>
      <c r="X39" s="1"/>
      <c r="Y39" s="1"/>
      <c r="Z39" s="1"/>
    </row>
    <row r="40" spans="1:26" ht="18.75" customHeight="1">
      <c r="A40" s="19"/>
      <c r="B40" s="148"/>
      <c r="C40" s="149"/>
      <c r="D40" s="149"/>
      <c r="E40" s="149"/>
      <c r="F40" s="154"/>
      <c r="G40" s="154"/>
      <c r="H40" s="154"/>
      <c r="I40" s="155"/>
      <c r="J40" s="1"/>
      <c r="K40" s="1"/>
      <c r="L40" s="1"/>
      <c r="M40" s="1"/>
      <c r="N40" s="1"/>
      <c r="O40" s="1"/>
      <c r="P40" s="1"/>
      <c r="Q40" s="1"/>
      <c r="R40" s="1"/>
      <c r="S40" s="1"/>
      <c r="T40" s="1"/>
      <c r="U40" s="1"/>
      <c r="V40" s="1"/>
      <c r="W40" s="1"/>
      <c r="X40" s="1"/>
      <c r="Y40" s="1"/>
      <c r="Z40" s="1"/>
    </row>
    <row r="41" spans="1:26" ht="18.75" customHeight="1">
      <c r="A41" s="19"/>
      <c r="B41" s="148"/>
      <c r="C41" s="149"/>
      <c r="D41" s="149"/>
      <c r="E41" s="149"/>
      <c r="F41" s="154"/>
      <c r="G41" s="154"/>
      <c r="H41" s="154"/>
      <c r="I41" s="155"/>
      <c r="J41" s="1"/>
      <c r="K41" s="1"/>
      <c r="L41" s="1"/>
      <c r="M41" s="1"/>
      <c r="N41" s="1"/>
      <c r="O41" s="1"/>
      <c r="P41" s="1"/>
      <c r="Q41" s="1"/>
      <c r="R41" s="1"/>
      <c r="S41" s="1"/>
      <c r="T41" s="1"/>
      <c r="U41" s="1"/>
      <c r="V41" s="1"/>
      <c r="W41" s="1"/>
      <c r="X41" s="1"/>
      <c r="Y41" s="1"/>
      <c r="Z41" s="1"/>
    </row>
    <row r="42" spans="1:26" ht="18.75" customHeight="1">
      <c r="A42" s="19"/>
      <c r="B42" s="148"/>
      <c r="C42" s="149"/>
      <c r="D42" s="149"/>
      <c r="E42" s="149"/>
      <c r="F42" s="154"/>
      <c r="G42" s="154"/>
      <c r="H42" s="154"/>
      <c r="I42" s="155"/>
      <c r="J42" s="1"/>
      <c r="K42" s="1"/>
      <c r="L42" s="1"/>
      <c r="M42" s="1"/>
      <c r="N42" s="1"/>
      <c r="O42" s="1"/>
      <c r="P42" s="1"/>
      <c r="Q42" s="1"/>
      <c r="R42" s="1"/>
      <c r="S42" s="1"/>
      <c r="T42" s="1"/>
      <c r="U42" s="1"/>
      <c r="V42" s="1"/>
      <c r="W42" s="1"/>
      <c r="X42" s="1"/>
      <c r="Y42" s="1"/>
      <c r="Z42" s="1"/>
    </row>
    <row r="43" spans="1:26" ht="18.75" customHeight="1">
      <c r="A43" s="19"/>
      <c r="B43" s="148"/>
      <c r="C43" s="149"/>
      <c r="D43" s="149"/>
      <c r="E43" s="149"/>
      <c r="F43" s="154"/>
      <c r="G43" s="154"/>
      <c r="H43" s="154"/>
      <c r="I43" s="155"/>
      <c r="J43" s="1"/>
      <c r="K43" s="1"/>
      <c r="L43" s="1"/>
      <c r="M43" s="1"/>
      <c r="N43" s="1"/>
      <c r="O43" s="1"/>
      <c r="P43" s="1"/>
      <c r="Q43" s="1"/>
      <c r="R43" s="1"/>
      <c r="S43" s="1"/>
      <c r="T43" s="1"/>
      <c r="U43" s="1"/>
      <c r="V43" s="1"/>
      <c r="W43" s="1"/>
      <c r="X43" s="1"/>
      <c r="Y43" s="1"/>
      <c r="Z43" s="1"/>
    </row>
    <row r="44" spans="1:26" ht="18.75" customHeight="1">
      <c r="A44" s="19"/>
      <c r="B44" s="148"/>
      <c r="C44" s="149"/>
      <c r="D44" s="149"/>
      <c r="E44" s="149"/>
      <c r="F44" s="154"/>
      <c r="G44" s="154"/>
      <c r="H44" s="154"/>
      <c r="I44" s="155"/>
      <c r="J44" s="1"/>
      <c r="K44" s="1"/>
      <c r="L44" s="1"/>
      <c r="M44" s="1"/>
      <c r="N44" s="1"/>
      <c r="O44" s="1"/>
      <c r="P44" s="1"/>
      <c r="Q44" s="1"/>
      <c r="R44" s="1"/>
      <c r="S44" s="1"/>
      <c r="T44" s="1"/>
      <c r="U44" s="1"/>
      <c r="V44" s="1"/>
      <c r="W44" s="1"/>
      <c r="X44" s="1"/>
      <c r="Y44" s="1"/>
      <c r="Z44" s="1"/>
    </row>
    <row r="45" spans="1:26" ht="18.75" customHeight="1">
      <c r="A45" s="19"/>
      <c r="B45" s="148"/>
      <c r="C45" s="149"/>
      <c r="D45" s="149"/>
      <c r="E45" s="149"/>
      <c r="F45" s="154"/>
      <c r="G45" s="154"/>
      <c r="H45" s="154"/>
      <c r="I45" s="155"/>
      <c r="J45" s="1"/>
      <c r="K45" s="1"/>
      <c r="L45" s="1"/>
      <c r="M45" s="1"/>
      <c r="N45" s="1"/>
      <c r="O45" s="1"/>
      <c r="P45" s="1"/>
      <c r="Q45" s="1"/>
      <c r="R45" s="1"/>
      <c r="S45" s="1"/>
      <c r="T45" s="1"/>
      <c r="U45" s="1"/>
      <c r="V45" s="1"/>
      <c r="W45" s="1"/>
      <c r="X45" s="1"/>
      <c r="Y45" s="1"/>
      <c r="Z45" s="1"/>
    </row>
    <row r="46" spans="1:26" ht="18.75" customHeight="1">
      <c r="A46" s="19"/>
      <c r="B46" s="150"/>
      <c r="C46" s="151"/>
      <c r="D46" s="151"/>
      <c r="E46" s="151"/>
      <c r="F46" s="156"/>
      <c r="G46" s="156"/>
      <c r="H46" s="156"/>
      <c r="I46" s="157"/>
      <c r="J46" s="1"/>
      <c r="K46" s="1"/>
      <c r="L46" s="1"/>
      <c r="M46" s="1"/>
      <c r="N46" s="1"/>
      <c r="O46" s="1"/>
      <c r="P46" s="1"/>
      <c r="Q46" s="1"/>
      <c r="R46" s="1"/>
      <c r="S46" s="1"/>
      <c r="T46" s="1"/>
      <c r="U46" s="1"/>
      <c r="V46" s="1"/>
      <c r="W46" s="1"/>
      <c r="X46" s="1"/>
      <c r="Y46" s="1"/>
      <c r="Z46" s="1"/>
    </row>
    <row r="47" spans="1:26" ht="7.5" customHeight="1">
      <c r="A47" s="55"/>
      <c r="B47" s="55"/>
      <c r="C47" s="55"/>
      <c r="D47" s="55"/>
      <c r="E47" s="55"/>
      <c r="F47" s="55"/>
      <c r="G47" s="55"/>
      <c r="H47" s="55"/>
      <c r="I47" s="55"/>
      <c r="J47" s="1"/>
      <c r="K47" s="1"/>
      <c r="L47" s="1"/>
      <c r="M47" s="1"/>
      <c r="N47" s="1"/>
      <c r="O47" s="1"/>
      <c r="P47" s="1"/>
      <c r="Q47" s="1"/>
      <c r="R47" s="1"/>
      <c r="S47" s="1"/>
      <c r="T47" s="1"/>
      <c r="U47" s="1"/>
      <c r="V47" s="1"/>
      <c r="W47" s="1"/>
      <c r="X47" s="1"/>
      <c r="Y47" s="1"/>
      <c r="Z47" s="1"/>
    </row>
    <row r="48" spans="1:26" ht="18.75" customHeight="1">
      <c r="A48" s="1" t="s">
        <v>135</v>
      </c>
      <c r="B48" s="1" t="s">
        <v>136</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56" t="s">
        <v>137</v>
      </c>
      <c r="C49" s="136">
        <f>'様式２ 履修者等数の実績'!S33</f>
        <v>0.36585365853658536</v>
      </c>
      <c r="D49" s="78"/>
      <c r="E49" s="56" t="s">
        <v>138</v>
      </c>
      <c r="F49" s="136">
        <v>0.51</v>
      </c>
      <c r="G49" s="78"/>
      <c r="H49" s="56" t="s">
        <v>139</v>
      </c>
      <c r="I49" s="57">
        <v>0.67</v>
      </c>
      <c r="J49" s="1"/>
      <c r="K49" s="8"/>
      <c r="L49" s="8"/>
      <c r="M49" s="1"/>
      <c r="N49" s="58"/>
      <c r="O49" s="8"/>
      <c r="P49" s="8"/>
      <c r="Q49" s="8"/>
      <c r="R49" s="8"/>
      <c r="S49" s="8"/>
      <c r="T49" s="8"/>
      <c r="U49" s="8"/>
      <c r="V49" s="8"/>
      <c r="W49" s="8"/>
      <c r="X49" s="8"/>
      <c r="Y49" s="8"/>
      <c r="Z49" s="8"/>
    </row>
    <row r="50" spans="1:26" ht="18.75" customHeight="1">
      <c r="A50" s="8"/>
      <c r="B50" s="56" t="s">
        <v>140</v>
      </c>
      <c r="C50" s="136">
        <v>0.83</v>
      </c>
      <c r="D50" s="78"/>
      <c r="E50" s="56" t="s">
        <v>141</v>
      </c>
      <c r="F50" s="136">
        <v>1</v>
      </c>
      <c r="G50" s="78"/>
      <c r="H50" s="56" t="s">
        <v>142</v>
      </c>
      <c r="I50" s="59">
        <f>'様式２ 履修者等数の実績'!E33</f>
        <v>1640</v>
      </c>
      <c r="J50" s="1"/>
      <c r="K50" s="8"/>
      <c r="L50" s="8"/>
      <c r="M50" s="1"/>
      <c r="N50" s="58"/>
      <c r="O50" s="8"/>
      <c r="P50" s="8"/>
      <c r="Q50" s="8"/>
      <c r="R50" s="8"/>
      <c r="S50" s="8"/>
      <c r="T50" s="8"/>
      <c r="U50" s="8"/>
      <c r="V50" s="8"/>
      <c r="W50" s="8"/>
      <c r="X50" s="8"/>
      <c r="Y50" s="8"/>
      <c r="Z50" s="8"/>
    </row>
    <row r="51" spans="1:26" ht="18.75" customHeight="1">
      <c r="A51" s="1"/>
      <c r="B51" s="159" t="s">
        <v>143</v>
      </c>
      <c r="C51" s="160"/>
      <c r="D51" s="160"/>
      <c r="E51" s="160"/>
      <c r="F51" s="160"/>
      <c r="G51" s="160"/>
      <c r="H51" s="160"/>
      <c r="I51" s="161"/>
      <c r="J51" s="1"/>
      <c r="K51" s="1"/>
      <c r="L51" s="1"/>
      <c r="M51" s="1"/>
      <c r="N51" s="58"/>
      <c r="O51" s="8"/>
      <c r="P51" s="1"/>
      <c r="Q51" s="1"/>
      <c r="R51" s="1"/>
      <c r="S51" s="1"/>
      <c r="T51" s="1"/>
      <c r="U51" s="1"/>
      <c r="V51" s="1"/>
      <c r="W51" s="1"/>
      <c r="X51" s="1"/>
      <c r="Y51" s="1"/>
      <c r="Z51" s="1"/>
    </row>
    <row r="52" spans="1:26" ht="18.75" customHeight="1">
      <c r="A52" s="1"/>
      <c r="B52" s="162" t="s">
        <v>144</v>
      </c>
      <c r="C52" s="89"/>
      <c r="D52" s="89"/>
      <c r="E52" s="89"/>
      <c r="F52" s="89"/>
      <c r="G52" s="89"/>
      <c r="H52" s="89"/>
      <c r="I52" s="90"/>
      <c r="J52" s="1"/>
      <c r="K52" s="1"/>
      <c r="L52" s="1"/>
      <c r="M52" s="1"/>
      <c r="N52" s="58"/>
      <c r="O52" s="8"/>
      <c r="P52" s="1"/>
      <c r="Q52" s="1"/>
      <c r="R52" s="1"/>
      <c r="S52" s="1"/>
      <c r="T52" s="1"/>
      <c r="U52" s="1"/>
      <c r="V52" s="1"/>
      <c r="W52" s="1"/>
      <c r="X52" s="1"/>
      <c r="Y52" s="1"/>
      <c r="Z52" s="1"/>
    </row>
    <row r="53" spans="1:26" ht="18.75" customHeight="1">
      <c r="A53" s="1"/>
      <c r="B53" s="120"/>
      <c r="C53" s="75"/>
      <c r="D53" s="75"/>
      <c r="E53" s="75"/>
      <c r="F53" s="75"/>
      <c r="G53" s="75"/>
      <c r="H53" s="75"/>
      <c r="I53" s="121"/>
      <c r="J53" s="1"/>
      <c r="K53" s="1"/>
      <c r="L53" s="1"/>
      <c r="M53" s="1"/>
      <c r="N53" s="58"/>
      <c r="O53" s="8"/>
      <c r="P53" s="1"/>
      <c r="Q53" s="1"/>
      <c r="R53" s="1"/>
      <c r="S53" s="1"/>
      <c r="T53" s="1"/>
      <c r="U53" s="1"/>
      <c r="V53" s="1"/>
      <c r="W53" s="1"/>
      <c r="X53" s="1"/>
      <c r="Y53" s="1"/>
      <c r="Z53" s="1"/>
    </row>
    <row r="54" spans="1:26" ht="18.75" customHeight="1">
      <c r="A54" s="1"/>
      <c r="B54" s="120"/>
      <c r="C54" s="75"/>
      <c r="D54" s="75"/>
      <c r="E54" s="75"/>
      <c r="F54" s="75"/>
      <c r="G54" s="75"/>
      <c r="H54" s="75"/>
      <c r="I54" s="121"/>
      <c r="J54" s="1"/>
      <c r="K54" s="1"/>
      <c r="L54" s="1"/>
      <c r="M54" s="1"/>
      <c r="N54" s="1"/>
      <c r="O54" s="1"/>
      <c r="P54" s="1"/>
      <c r="Q54" s="1"/>
      <c r="R54" s="1"/>
      <c r="S54" s="1"/>
      <c r="T54" s="1"/>
      <c r="U54" s="1"/>
      <c r="V54" s="1"/>
      <c r="W54" s="1"/>
      <c r="X54" s="1"/>
      <c r="Y54" s="1"/>
      <c r="Z54" s="1"/>
    </row>
    <row r="55" spans="1:26" ht="18.75" customHeight="1">
      <c r="A55" s="1"/>
      <c r="B55" s="120"/>
      <c r="C55" s="75"/>
      <c r="D55" s="75"/>
      <c r="E55" s="75"/>
      <c r="F55" s="75"/>
      <c r="G55" s="75"/>
      <c r="H55" s="75"/>
      <c r="I55" s="121"/>
      <c r="J55" s="1"/>
      <c r="K55" s="1"/>
      <c r="L55" s="1"/>
      <c r="M55" s="1"/>
      <c r="N55" s="1"/>
      <c r="O55" s="1"/>
      <c r="P55" s="1"/>
      <c r="Q55" s="1"/>
      <c r="R55" s="1"/>
      <c r="S55" s="1"/>
      <c r="T55" s="1"/>
      <c r="U55" s="1"/>
      <c r="V55" s="1"/>
      <c r="W55" s="1"/>
      <c r="X55" s="1"/>
      <c r="Y55" s="1"/>
      <c r="Z55" s="1"/>
    </row>
    <row r="56" spans="1:26" ht="18.75" customHeight="1">
      <c r="A56" s="1"/>
      <c r="B56" s="120"/>
      <c r="C56" s="75"/>
      <c r="D56" s="75"/>
      <c r="E56" s="75"/>
      <c r="F56" s="75"/>
      <c r="G56" s="75"/>
      <c r="H56" s="75"/>
      <c r="I56" s="121"/>
      <c r="J56" s="1"/>
      <c r="K56" s="1"/>
      <c r="L56" s="1"/>
      <c r="M56" s="1"/>
      <c r="N56" s="1"/>
      <c r="O56" s="1"/>
      <c r="P56" s="1"/>
      <c r="Q56" s="1"/>
      <c r="R56" s="1"/>
      <c r="S56" s="1"/>
      <c r="T56" s="1"/>
      <c r="U56" s="1"/>
      <c r="V56" s="1"/>
      <c r="W56" s="1"/>
      <c r="X56" s="1"/>
      <c r="Y56" s="1"/>
      <c r="Z56" s="1"/>
    </row>
    <row r="57" spans="1:26" ht="18.75" customHeight="1">
      <c r="A57" s="1"/>
      <c r="B57" s="120"/>
      <c r="C57" s="75"/>
      <c r="D57" s="75"/>
      <c r="E57" s="75"/>
      <c r="F57" s="75"/>
      <c r="G57" s="75"/>
      <c r="H57" s="75"/>
      <c r="I57" s="121"/>
      <c r="J57" s="1"/>
      <c r="K57" s="1"/>
      <c r="L57" s="1"/>
      <c r="M57" s="1"/>
      <c r="N57" s="1"/>
      <c r="O57" s="1"/>
      <c r="P57" s="1"/>
      <c r="Q57" s="1"/>
      <c r="R57" s="1"/>
      <c r="S57" s="1"/>
      <c r="T57" s="1"/>
      <c r="U57" s="1"/>
      <c r="V57" s="1"/>
      <c r="W57" s="1"/>
      <c r="X57" s="1"/>
      <c r="Y57" s="1"/>
      <c r="Z57" s="1"/>
    </row>
    <row r="58" spans="1:26" ht="18.75" customHeight="1">
      <c r="A58" s="1"/>
      <c r="B58" s="120"/>
      <c r="C58" s="75"/>
      <c r="D58" s="75"/>
      <c r="E58" s="75"/>
      <c r="F58" s="75"/>
      <c r="G58" s="75"/>
      <c r="H58" s="75"/>
      <c r="I58" s="121"/>
      <c r="J58" s="1"/>
      <c r="K58" s="1"/>
      <c r="L58" s="1"/>
      <c r="M58" s="1"/>
      <c r="N58" s="1"/>
      <c r="O58" s="1"/>
      <c r="P58" s="1"/>
      <c r="Q58" s="1"/>
      <c r="R58" s="1"/>
      <c r="S58" s="1"/>
      <c r="T58" s="1"/>
      <c r="U58" s="1"/>
      <c r="V58" s="1"/>
      <c r="W58" s="1"/>
      <c r="X58" s="1"/>
      <c r="Y58" s="1"/>
      <c r="Z58" s="1"/>
    </row>
    <row r="59" spans="1:26" ht="18.75" customHeight="1">
      <c r="A59" s="1"/>
      <c r="B59" s="120"/>
      <c r="C59" s="75"/>
      <c r="D59" s="75"/>
      <c r="E59" s="75"/>
      <c r="F59" s="75"/>
      <c r="G59" s="75"/>
      <c r="H59" s="75"/>
      <c r="I59" s="121"/>
      <c r="J59" s="1"/>
      <c r="K59" s="1"/>
      <c r="L59" s="1"/>
      <c r="M59" s="1"/>
      <c r="N59" s="1"/>
      <c r="O59" s="1"/>
      <c r="P59" s="1"/>
      <c r="Q59" s="1"/>
      <c r="R59" s="1"/>
      <c r="S59" s="1"/>
      <c r="T59" s="1"/>
      <c r="U59" s="1"/>
      <c r="V59" s="1"/>
      <c r="W59" s="1"/>
      <c r="X59" s="1"/>
      <c r="Y59" s="1"/>
      <c r="Z59" s="1"/>
    </row>
    <row r="60" spans="1:26" ht="18.75" customHeight="1">
      <c r="A60" s="1"/>
      <c r="B60" s="120"/>
      <c r="C60" s="75"/>
      <c r="D60" s="75"/>
      <c r="E60" s="75"/>
      <c r="F60" s="75"/>
      <c r="G60" s="75"/>
      <c r="H60" s="75"/>
      <c r="I60" s="121"/>
      <c r="J60" s="1"/>
      <c r="K60" s="1"/>
      <c r="L60" s="1"/>
      <c r="M60" s="1"/>
      <c r="N60" s="1"/>
      <c r="O60" s="1"/>
      <c r="P60" s="1"/>
      <c r="Q60" s="1"/>
      <c r="R60" s="1"/>
      <c r="S60" s="1"/>
      <c r="T60" s="1"/>
      <c r="U60" s="1"/>
      <c r="V60" s="1"/>
      <c r="W60" s="1"/>
      <c r="X60" s="1"/>
      <c r="Y60" s="1"/>
      <c r="Z60" s="1"/>
    </row>
    <row r="61" spans="1:26" ht="18.75" customHeight="1">
      <c r="A61" s="1"/>
      <c r="B61" s="120"/>
      <c r="C61" s="75"/>
      <c r="D61" s="75"/>
      <c r="E61" s="75"/>
      <c r="F61" s="75"/>
      <c r="G61" s="75"/>
      <c r="H61" s="75"/>
      <c r="I61" s="121"/>
      <c r="J61" s="1"/>
      <c r="K61" s="1"/>
      <c r="L61" s="1"/>
      <c r="M61" s="1"/>
      <c r="N61" s="1"/>
      <c r="O61" s="1"/>
      <c r="P61" s="1"/>
      <c r="Q61" s="1"/>
      <c r="R61" s="1"/>
      <c r="S61" s="1"/>
      <c r="T61" s="1"/>
      <c r="U61" s="1"/>
      <c r="V61" s="1"/>
      <c r="W61" s="1"/>
      <c r="X61" s="1"/>
      <c r="Y61" s="1"/>
      <c r="Z61" s="1"/>
    </row>
    <row r="62" spans="1:26" ht="18.75" customHeight="1">
      <c r="A62" s="1"/>
      <c r="B62" s="120"/>
      <c r="C62" s="75"/>
      <c r="D62" s="75"/>
      <c r="E62" s="75"/>
      <c r="F62" s="75"/>
      <c r="G62" s="75"/>
      <c r="H62" s="75"/>
      <c r="I62" s="121"/>
      <c r="J62" s="1"/>
      <c r="K62" s="1"/>
      <c r="L62" s="1"/>
      <c r="M62" s="1"/>
      <c r="N62" s="1"/>
      <c r="O62" s="1"/>
      <c r="P62" s="1"/>
      <c r="Q62" s="1"/>
      <c r="R62" s="1"/>
      <c r="S62" s="1"/>
      <c r="T62" s="1"/>
      <c r="U62" s="1"/>
      <c r="V62" s="1"/>
      <c r="W62" s="1"/>
      <c r="X62" s="1"/>
      <c r="Y62" s="1"/>
      <c r="Z62" s="1"/>
    </row>
    <row r="63" spans="1:26" ht="18.75" customHeight="1">
      <c r="A63" s="1"/>
      <c r="B63" s="118"/>
      <c r="C63" s="94"/>
      <c r="D63" s="94"/>
      <c r="E63" s="94"/>
      <c r="F63" s="94"/>
      <c r="G63" s="94"/>
      <c r="H63" s="94"/>
      <c r="I63" s="95"/>
      <c r="J63" s="1"/>
      <c r="K63" s="1"/>
      <c r="L63" s="1"/>
      <c r="M63" s="1"/>
      <c r="N63" s="1"/>
      <c r="O63" s="1"/>
      <c r="P63" s="1"/>
      <c r="Q63" s="1"/>
      <c r="R63" s="1"/>
      <c r="S63" s="1"/>
      <c r="T63" s="1"/>
      <c r="U63" s="1"/>
      <c r="V63" s="1"/>
      <c r="W63" s="1"/>
      <c r="X63" s="1"/>
      <c r="Y63" s="1"/>
      <c r="Z63" s="1"/>
    </row>
    <row r="64" spans="1:26" ht="7.5" customHeight="1">
      <c r="A64" s="19"/>
      <c r="B64" s="19"/>
      <c r="C64" s="19"/>
      <c r="D64" s="19"/>
      <c r="E64" s="19"/>
      <c r="F64" s="19"/>
      <c r="G64" s="19"/>
      <c r="H64" s="19"/>
      <c r="I64" s="19"/>
      <c r="J64" s="1"/>
      <c r="K64" s="1"/>
      <c r="L64" s="1"/>
      <c r="M64" s="1"/>
      <c r="N64" s="1"/>
      <c r="O64" s="1"/>
      <c r="P64" s="1"/>
      <c r="Q64" s="1"/>
      <c r="R64" s="1"/>
      <c r="S64" s="1"/>
      <c r="T64" s="1"/>
      <c r="U64" s="1"/>
      <c r="V64" s="1"/>
      <c r="W64" s="1"/>
      <c r="X64" s="1"/>
      <c r="Y64" s="1"/>
      <c r="Z64" s="1"/>
    </row>
    <row r="65" spans="1:26" ht="18.75" customHeight="1">
      <c r="A65" s="11" t="s">
        <v>145</v>
      </c>
      <c r="B65" s="1" t="s">
        <v>146</v>
      </c>
      <c r="C65" s="1"/>
      <c r="D65" s="1"/>
      <c r="E65" s="1"/>
      <c r="F65" s="1"/>
      <c r="G65" s="1"/>
      <c r="H65" s="1"/>
      <c r="I65" s="11"/>
      <c r="J65" s="1"/>
      <c r="K65" s="1"/>
      <c r="L65" s="1"/>
      <c r="M65" s="1"/>
      <c r="N65" s="1"/>
      <c r="O65" s="1"/>
      <c r="P65" s="1"/>
      <c r="Q65" s="1"/>
      <c r="R65" s="1"/>
      <c r="S65" s="1"/>
      <c r="T65" s="1"/>
      <c r="U65" s="1"/>
      <c r="V65" s="1"/>
      <c r="W65" s="1"/>
      <c r="X65" s="1"/>
      <c r="Y65" s="1"/>
      <c r="Z65" s="1"/>
    </row>
    <row r="66" spans="1:26" ht="18.75" customHeight="1">
      <c r="A66" s="55"/>
      <c r="B66" s="163" t="s">
        <v>147</v>
      </c>
      <c r="C66" s="89"/>
      <c r="D66" s="89"/>
      <c r="E66" s="89"/>
      <c r="F66" s="89"/>
      <c r="G66" s="89"/>
      <c r="H66" s="89"/>
      <c r="I66" s="90"/>
      <c r="J66" s="1"/>
      <c r="K66" s="1"/>
      <c r="L66" s="1"/>
      <c r="M66" s="1"/>
      <c r="N66" s="1"/>
      <c r="O66" s="1"/>
      <c r="P66" s="1"/>
      <c r="Q66" s="1"/>
      <c r="R66" s="1"/>
      <c r="S66" s="1"/>
      <c r="T66" s="1"/>
      <c r="U66" s="1"/>
      <c r="V66" s="1"/>
      <c r="W66" s="1"/>
      <c r="X66" s="1"/>
      <c r="Y66" s="1"/>
      <c r="Z66" s="1"/>
    </row>
    <row r="67" spans="1:26" ht="18.75" customHeight="1">
      <c r="A67" s="55"/>
      <c r="B67" s="120"/>
      <c r="C67" s="75"/>
      <c r="D67" s="75"/>
      <c r="E67" s="75"/>
      <c r="F67" s="75"/>
      <c r="G67" s="75"/>
      <c r="H67" s="75"/>
      <c r="I67" s="121"/>
      <c r="J67" s="1"/>
      <c r="K67" s="1"/>
      <c r="L67" s="1"/>
      <c r="M67" s="1"/>
      <c r="N67" s="1"/>
      <c r="O67" s="1"/>
      <c r="P67" s="1"/>
      <c r="Q67" s="1"/>
      <c r="R67" s="1"/>
      <c r="S67" s="1"/>
      <c r="T67" s="1"/>
      <c r="U67" s="1"/>
      <c r="V67" s="1"/>
      <c r="W67" s="1"/>
      <c r="X67" s="1"/>
      <c r="Y67" s="1"/>
      <c r="Z67" s="1"/>
    </row>
    <row r="68" spans="1:26" ht="18.75" customHeight="1">
      <c r="A68" s="55"/>
      <c r="B68" s="120"/>
      <c r="C68" s="75"/>
      <c r="D68" s="75"/>
      <c r="E68" s="75"/>
      <c r="F68" s="75"/>
      <c r="G68" s="75"/>
      <c r="H68" s="75"/>
      <c r="I68" s="121"/>
      <c r="J68" s="1"/>
      <c r="K68" s="1"/>
      <c r="L68" s="1"/>
      <c r="M68" s="1"/>
      <c r="N68" s="1"/>
      <c r="O68" s="1"/>
      <c r="P68" s="1"/>
      <c r="Q68" s="1"/>
      <c r="R68" s="1"/>
      <c r="S68" s="1"/>
      <c r="T68" s="1"/>
      <c r="U68" s="1"/>
      <c r="V68" s="1"/>
      <c r="W68" s="1"/>
      <c r="X68" s="1"/>
      <c r="Y68" s="1"/>
      <c r="Z68" s="1"/>
    </row>
    <row r="69" spans="1:26" ht="18.75" customHeight="1">
      <c r="A69" s="55"/>
      <c r="B69" s="120"/>
      <c r="C69" s="75"/>
      <c r="D69" s="75"/>
      <c r="E69" s="75"/>
      <c r="F69" s="75"/>
      <c r="G69" s="75"/>
      <c r="H69" s="75"/>
      <c r="I69" s="121"/>
      <c r="J69" s="1"/>
      <c r="K69" s="1"/>
      <c r="L69" s="1"/>
      <c r="M69" s="1"/>
      <c r="N69" s="1"/>
      <c r="O69" s="1"/>
      <c r="P69" s="1"/>
      <c r="Q69" s="1"/>
      <c r="R69" s="1"/>
      <c r="S69" s="1"/>
      <c r="T69" s="1"/>
      <c r="U69" s="1"/>
      <c r="V69" s="1"/>
      <c r="W69" s="1"/>
      <c r="X69" s="1"/>
      <c r="Y69" s="1"/>
      <c r="Z69" s="1"/>
    </row>
    <row r="70" spans="1:26" ht="18.75" customHeight="1">
      <c r="A70" s="55"/>
      <c r="B70" s="120"/>
      <c r="C70" s="75"/>
      <c r="D70" s="75"/>
      <c r="E70" s="75"/>
      <c r="F70" s="75"/>
      <c r="G70" s="75"/>
      <c r="H70" s="75"/>
      <c r="I70" s="121"/>
      <c r="J70" s="1"/>
      <c r="K70" s="1"/>
      <c r="L70" s="1"/>
      <c r="M70" s="1"/>
      <c r="N70" s="1"/>
      <c r="O70" s="1"/>
      <c r="P70" s="1"/>
      <c r="Q70" s="1"/>
      <c r="R70" s="1"/>
      <c r="S70" s="1"/>
      <c r="T70" s="1"/>
      <c r="U70" s="1"/>
      <c r="V70" s="1"/>
      <c r="W70" s="1"/>
      <c r="X70" s="1"/>
      <c r="Y70" s="1"/>
      <c r="Z70" s="1"/>
    </row>
    <row r="71" spans="1:26" ht="18.75" customHeight="1">
      <c r="A71" s="55"/>
      <c r="B71" s="120"/>
      <c r="C71" s="75"/>
      <c r="D71" s="75"/>
      <c r="E71" s="75"/>
      <c r="F71" s="75"/>
      <c r="G71" s="75"/>
      <c r="H71" s="75"/>
      <c r="I71" s="121"/>
      <c r="J71" s="1"/>
      <c r="K71" s="1"/>
      <c r="L71" s="1"/>
      <c r="M71" s="1"/>
      <c r="N71" s="1"/>
      <c r="O71" s="1"/>
      <c r="P71" s="1"/>
      <c r="Q71" s="1"/>
      <c r="R71" s="1"/>
      <c r="S71" s="1"/>
      <c r="T71" s="1"/>
      <c r="U71" s="1"/>
      <c r="V71" s="1"/>
      <c r="W71" s="1"/>
      <c r="X71" s="1"/>
      <c r="Y71" s="1"/>
      <c r="Z71" s="1"/>
    </row>
    <row r="72" spans="1:26" ht="18.75" customHeight="1">
      <c r="A72" s="55"/>
      <c r="B72" s="120"/>
      <c r="C72" s="75"/>
      <c r="D72" s="75"/>
      <c r="E72" s="75"/>
      <c r="F72" s="75"/>
      <c r="G72" s="75"/>
      <c r="H72" s="75"/>
      <c r="I72" s="121"/>
      <c r="J72" s="1"/>
      <c r="K72" s="1"/>
      <c r="L72" s="1"/>
      <c r="M72" s="1"/>
      <c r="N72" s="1"/>
      <c r="O72" s="1"/>
      <c r="P72" s="1"/>
      <c r="Q72" s="1"/>
      <c r="R72" s="1"/>
      <c r="S72" s="1"/>
      <c r="T72" s="1"/>
      <c r="U72" s="1"/>
      <c r="V72" s="1"/>
      <c r="W72" s="1"/>
      <c r="X72" s="1"/>
      <c r="Y72" s="1"/>
      <c r="Z72" s="1"/>
    </row>
    <row r="73" spans="1:26" ht="18.75" customHeight="1">
      <c r="A73" s="55"/>
      <c r="B73" s="120"/>
      <c r="C73" s="75"/>
      <c r="D73" s="75"/>
      <c r="E73" s="75"/>
      <c r="F73" s="75"/>
      <c r="G73" s="75"/>
      <c r="H73" s="75"/>
      <c r="I73" s="121"/>
      <c r="J73" s="1"/>
      <c r="K73" s="1"/>
      <c r="L73" s="1"/>
      <c r="M73" s="1"/>
      <c r="N73" s="1"/>
      <c r="O73" s="1"/>
      <c r="P73" s="1"/>
      <c r="Q73" s="1"/>
      <c r="R73" s="1"/>
      <c r="S73" s="1"/>
      <c r="T73" s="1"/>
      <c r="U73" s="1"/>
      <c r="V73" s="1"/>
      <c r="W73" s="1"/>
      <c r="X73" s="1"/>
      <c r="Y73" s="1"/>
      <c r="Z73" s="1"/>
    </row>
    <row r="74" spans="1:26" ht="18.75" customHeight="1">
      <c r="A74" s="55"/>
      <c r="B74" s="120"/>
      <c r="C74" s="75"/>
      <c r="D74" s="75"/>
      <c r="E74" s="75"/>
      <c r="F74" s="75"/>
      <c r="G74" s="75"/>
      <c r="H74" s="75"/>
      <c r="I74" s="121"/>
      <c r="J74" s="1"/>
      <c r="K74" s="1"/>
      <c r="L74" s="1"/>
      <c r="M74" s="1"/>
      <c r="N74" s="1"/>
      <c r="O74" s="1"/>
      <c r="P74" s="1"/>
      <c r="Q74" s="1"/>
      <c r="R74" s="1"/>
      <c r="S74" s="1"/>
      <c r="T74" s="1"/>
      <c r="U74" s="1"/>
      <c r="V74" s="1"/>
      <c r="W74" s="1"/>
      <c r="X74" s="1"/>
      <c r="Y74" s="1"/>
      <c r="Z74" s="1"/>
    </row>
    <row r="75" spans="1:26" ht="18.75" customHeight="1">
      <c r="A75" s="55"/>
      <c r="B75" s="120"/>
      <c r="C75" s="75"/>
      <c r="D75" s="75"/>
      <c r="E75" s="75"/>
      <c r="F75" s="75"/>
      <c r="G75" s="75"/>
      <c r="H75" s="75"/>
      <c r="I75" s="121"/>
      <c r="J75" s="1"/>
      <c r="K75" s="1"/>
      <c r="L75" s="1"/>
      <c r="M75" s="1"/>
      <c r="N75" s="1"/>
      <c r="O75" s="1"/>
      <c r="P75" s="1"/>
      <c r="Q75" s="1"/>
      <c r="R75" s="1"/>
      <c r="S75" s="1"/>
      <c r="T75" s="1"/>
      <c r="U75" s="1"/>
      <c r="V75" s="1"/>
      <c r="W75" s="1"/>
      <c r="X75" s="1"/>
      <c r="Y75" s="1"/>
      <c r="Z75" s="1"/>
    </row>
    <row r="76" spans="1:26" ht="18.75" customHeight="1">
      <c r="A76" s="55"/>
      <c r="B76" s="120"/>
      <c r="C76" s="75"/>
      <c r="D76" s="75"/>
      <c r="E76" s="75"/>
      <c r="F76" s="75"/>
      <c r="G76" s="75"/>
      <c r="H76" s="75"/>
      <c r="I76" s="121"/>
      <c r="J76" s="1"/>
      <c r="K76" s="1"/>
      <c r="L76" s="1"/>
      <c r="M76" s="1"/>
      <c r="N76" s="1"/>
      <c r="O76" s="1"/>
      <c r="P76" s="1"/>
      <c r="Q76" s="1"/>
      <c r="R76" s="1"/>
      <c r="S76" s="1"/>
      <c r="T76" s="1"/>
      <c r="U76" s="1"/>
      <c r="V76" s="1"/>
      <c r="W76" s="1"/>
      <c r="X76" s="1"/>
      <c r="Y76" s="1"/>
      <c r="Z76" s="1"/>
    </row>
    <row r="77" spans="1:26" ht="18.75" customHeight="1">
      <c r="A77" s="55"/>
      <c r="B77" s="118"/>
      <c r="C77" s="94"/>
      <c r="D77" s="94"/>
      <c r="E77" s="94"/>
      <c r="F77" s="94"/>
      <c r="G77" s="94"/>
      <c r="H77" s="94"/>
      <c r="I77" s="95"/>
      <c r="J77" s="1"/>
      <c r="K77" s="1"/>
      <c r="L77" s="1"/>
      <c r="M77" s="1"/>
      <c r="N77" s="1"/>
      <c r="O77" s="1"/>
      <c r="P77" s="1"/>
      <c r="Q77" s="1"/>
      <c r="R77" s="1"/>
      <c r="S77" s="1"/>
      <c r="T77" s="1"/>
      <c r="U77" s="1"/>
      <c r="V77" s="1"/>
      <c r="W77" s="1"/>
      <c r="X77" s="1"/>
      <c r="Y77" s="1"/>
      <c r="Z77" s="1"/>
    </row>
    <row r="78" spans="1:26" ht="7.5" customHeight="1">
      <c r="A78" s="55"/>
      <c r="B78" s="55"/>
      <c r="C78" s="55"/>
      <c r="D78" s="55"/>
      <c r="E78" s="55"/>
      <c r="F78" s="55"/>
      <c r="G78" s="55"/>
      <c r="H78" s="55"/>
      <c r="I78" s="55"/>
      <c r="J78" s="1"/>
      <c r="K78" s="1"/>
      <c r="L78" s="1"/>
      <c r="M78" s="1"/>
      <c r="N78" s="1"/>
      <c r="O78" s="1"/>
      <c r="P78" s="1"/>
      <c r="Q78" s="1"/>
      <c r="R78" s="1"/>
      <c r="S78" s="1"/>
      <c r="T78" s="1"/>
      <c r="U78" s="1"/>
      <c r="V78" s="1"/>
      <c r="W78" s="1"/>
      <c r="X78" s="1"/>
      <c r="Y78" s="1"/>
      <c r="Z78" s="1"/>
    </row>
    <row r="79" spans="1:26" ht="18.75" customHeight="1">
      <c r="A79" s="1" t="s">
        <v>148</v>
      </c>
      <c r="B79" s="1" t="s">
        <v>149</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63" t="s">
        <v>150</v>
      </c>
      <c r="C80" s="89"/>
      <c r="D80" s="89"/>
      <c r="E80" s="89"/>
      <c r="F80" s="89"/>
      <c r="G80" s="89"/>
      <c r="H80" s="89"/>
      <c r="I80" s="90"/>
      <c r="J80" s="1"/>
      <c r="K80" s="1"/>
      <c r="L80" s="1"/>
      <c r="M80" s="1"/>
      <c r="N80" s="1"/>
      <c r="O80" s="1"/>
      <c r="P80" s="1"/>
      <c r="Q80" s="1"/>
      <c r="R80" s="1"/>
      <c r="S80" s="1"/>
      <c r="T80" s="1"/>
      <c r="U80" s="1"/>
      <c r="V80" s="1"/>
      <c r="W80" s="1"/>
      <c r="X80" s="1"/>
      <c r="Y80" s="1"/>
      <c r="Z80" s="1"/>
    </row>
    <row r="81" spans="1:26" ht="18.75" customHeight="1">
      <c r="A81" s="1"/>
      <c r="B81" s="120"/>
      <c r="C81" s="75"/>
      <c r="D81" s="75"/>
      <c r="E81" s="75"/>
      <c r="F81" s="75"/>
      <c r="G81" s="75"/>
      <c r="H81" s="75"/>
      <c r="I81" s="121"/>
      <c r="J81" s="1"/>
      <c r="K81" s="1"/>
      <c r="L81" s="1"/>
      <c r="M81" s="1"/>
      <c r="N81" s="1"/>
      <c r="O81" s="1"/>
      <c r="P81" s="1"/>
      <c r="Q81" s="1"/>
      <c r="R81" s="1"/>
      <c r="S81" s="1"/>
      <c r="T81" s="1"/>
      <c r="U81" s="1"/>
      <c r="V81" s="1"/>
      <c r="W81" s="1"/>
      <c r="X81" s="1"/>
      <c r="Y81" s="1"/>
      <c r="Z81" s="1"/>
    </row>
    <row r="82" spans="1:26" ht="18.75" customHeight="1">
      <c r="A82" s="1"/>
      <c r="B82" s="120"/>
      <c r="C82" s="75"/>
      <c r="D82" s="75"/>
      <c r="E82" s="75"/>
      <c r="F82" s="75"/>
      <c r="G82" s="75"/>
      <c r="H82" s="75"/>
      <c r="I82" s="121"/>
      <c r="J82" s="1"/>
      <c r="K82" s="1"/>
      <c r="L82" s="1"/>
      <c r="M82" s="1"/>
      <c r="N82" s="1"/>
      <c r="O82" s="1"/>
      <c r="P82" s="1"/>
      <c r="Q82" s="1"/>
      <c r="R82" s="1"/>
      <c r="S82" s="1"/>
      <c r="T82" s="1"/>
      <c r="U82" s="1"/>
      <c r="V82" s="1"/>
      <c r="W82" s="1"/>
      <c r="X82" s="1"/>
      <c r="Y82" s="1"/>
      <c r="Z82" s="1"/>
    </row>
    <row r="83" spans="1:26" ht="18.75" customHeight="1">
      <c r="A83" s="1"/>
      <c r="B83" s="120"/>
      <c r="C83" s="75"/>
      <c r="D83" s="75"/>
      <c r="E83" s="75"/>
      <c r="F83" s="75"/>
      <c r="G83" s="75"/>
      <c r="H83" s="75"/>
      <c r="I83" s="121"/>
      <c r="J83" s="1"/>
      <c r="K83" s="1"/>
      <c r="L83" s="1"/>
      <c r="M83" s="1"/>
      <c r="N83" s="1"/>
      <c r="O83" s="1"/>
      <c r="P83" s="1"/>
      <c r="Q83" s="1"/>
      <c r="R83" s="1"/>
      <c r="S83" s="1"/>
      <c r="T83" s="1"/>
      <c r="U83" s="1"/>
      <c r="V83" s="1"/>
      <c r="W83" s="1"/>
      <c r="X83" s="1"/>
      <c r="Y83" s="1"/>
      <c r="Z83" s="1"/>
    </row>
    <row r="84" spans="1:26" ht="18.75" customHeight="1">
      <c r="A84" s="1"/>
      <c r="B84" s="120"/>
      <c r="C84" s="75"/>
      <c r="D84" s="75"/>
      <c r="E84" s="75"/>
      <c r="F84" s="75"/>
      <c r="G84" s="75"/>
      <c r="H84" s="75"/>
      <c r="I84" s="121"/>
      <c r="J84" s="1"/>
      <c r="K84" s="1"/>
      <c r="L84" s="1"/>
      <c r="M84" s="1"/>
      <c r="N84" s="1"/>
      <c r="O84" s="1"/>
      <c r="P84" s="1"/>
      <c r="Q84" s="1"/>
      <c r="R84" s="1"/>
      <c r="S84" s="1"/>
      <c r="T84" s="1"/>
      <c r="U84" s="1"/>
      <c r="V84" s="1"/>
      <c r="W84" s="1"/>
      <c r="X84" s="1"/>
      <c r="Y84" s="1"/>
      <c r="Z84" s="1"/>
    </row>
    <row r="85" spans="1:26" ht="18.75" customHeight="1">
      <c r="A85" s="1"/>
      <c r="B85" s="120"/>
      <c r="C85" s="75"/>
      <c r="D85" s="75"/>
      <c r="E85" s="75"/>
      <c r="F85" s="75"/>
      <c r="G85" s="75"/>
      <c r="H85" s="75"/>
      <c r="I85" s="121"/>
      <c r="J85" s="1"/>
      <c r="K85" s="1"/>
      <c r="L85" s="1"/>
      <c r="M85" s="1"/>
      <c r="N85" s="1"/>
      <c r="O85" s="1"/>
      <c r="P85" s="1"/>
      <c r="Q85" s="1"/>
      <c r="R85" s="1"/>
      <c r="S85" s="1"/>
      <c r="T85" s="1"/>
      <c r="U85" s="1"/>
      <c r="V85" s="1"/>
      <c r="W85" s="1"/>
      <c r="X85" s="1"/>
      <c r="Y85" s="1"/>
      <c r="Z85" s="1"/>
    </row>
    <row r="86" spans="1:26" ht="18.75" customHeight="1">
      <c r="A86" s="1"/>
      <c r="B86" s="120"/>
      <c r="C86" s="75"/>
      <c r="D86" s="75"/>
      <c r="E86" s="75"/>
      <c r="F86" s="75"/>
      <c r="G86" s="75"/>
      <c r="H86" s="75"/>
      <c r="I86" s="121"/>
      <c r="J86" s="1"/>
      <c r="K86" s="1"/>
      <c r="L86" s="1"/>
      <c r="M86" s="1"/>
      <c r="N86" s="1"/>
      <c r="O86" s="1"/>
      <c r="P86" s="1"/>
      <c r="Q86" s="1"/>
      <c r="R86" s="1"/>
      <c r="S86" s="1"/>
      <c r="T86" s="1"/>
      <c r="U86" s="1"/>
      <c r="V86" s="1"/>
      <c r="W86" s="1"/>
      <c r="X86" s="1"/>
      <c r="Y86" s="1"/>
      <c r="Z86" s="1"/>
    </row>
    <row r="87" spans="1:26" ht="18.75" customHeight="1">
      <c r="A87" s="1"/>
      <c r="B87" s="120"/>
      <c r="C87" s="75"/>
      <c r="D87" s="75"/>
      <c r="E87" s="75"/>
      <c r="F87" s="75"/>
      <c r="G87" s="75"/>
      <c r="H87" s="75"/>
      <c r="I87" s="121"/>
      <c r="J87" s="1"/>
      <c r="K87" s="1"/>
      <c r="L87" s="1"/>
      <c r="M87" s="1"/>
      <c r="N87" s="1"/>
      <c r="O87" s="1"/>
      <c r="P87" s="1"/>
      <c r="Q87" s="1"/>
      <c r="R87" s="1"/>
      <c r="S87" s="1"/>
      <c r="T87" s="1"/>
      <c r="U87" s="1"/>
      <c r="V87" s="1"/>
      <c r="W87" s="1"/>
      <c r="X87" s="1"/>
      <c r="Y87" s="1"/>
      <c r="Z87" s="1"/>
    </row>
    <row r="88" spans="1:26" ht="18.75" customHeight="1">
      <c r="A88" s="1"/>
      <c r="B88" s="120"/>
      <c r="C88" s="75"/>
      <c r="D88" s="75"/>
      <c r="E88" s="75"/>
      <c r="F88" s="75"/>
      <c r="G88" s="75"/>
      <c r="H88" s="75"/>
      <c r="I88" s="121"/>
      <c r="J88" s="1"/>
      <c r="K88" s="1"/>
      <c r="L88" s="1"/>
      <c r="M88" s="1"/>
      <c r="N88" s="1"/>
      <c r="O88" s="1"/>
      <c r="P88" s="1"/>
      <c r="Q88" s="1"/>
      <c r="R88" s="1"/>
      <c r="S88" s="1"/>
      <c r="T88" s="1"/>
      <c r="U88" s="1"/>
      <c r="V88" s="1"/>
      <c r="W88" s="1"/>
      <c r="X88" s="1"/>
      <c r="Y88" s="1"/>
      <c r="Z88" s="1"/>
    </row>
    <row r="89" spans="1:26" ht="18.75" customHeight="1">
      <c r="A89" s="1"/>
      <c r="B89" s="120"/>
      <c r="C89" s="75"/>
      <c r="D89" s="75"/>
      <c r="E89" s="75"/>
      <c r="F89" s="75"/>
      <c r="G89" s="75"/>
      <c r="H89" s="75"/>
      <c r="I89" s="121"/>
      <c r="J89" s="1"/>
      <c r="K89" s="1"/>
      <c r="L89" s="1"/>
      <c r="M89" s="1"/>
      <c r="N89" s="1"/>
      <c r="O89" s="1"/>
      <c r="P89" s="1"/>
      <c r="Q89" s="1"/>
      <c r="R89" s="1"/>
      <c r="S89" s="1"/>
      <c r="T89" s="1"/>
      <c r="U89" s="1"/>
      <c r="V89" s="1"/>
      <c r="W89" s="1"/>
      <c r="X89" s="1"/>
      <c r="Y89" s="1"/>
      <c r="Z89" s="1"/>
    </row>
    <row r="90" spans="1:26" ht="18.75" customHeight="1">
      <c r="A90" s="55"/>
      <c r="B90" s="120"/>
      <c r="C90" s="75"/>
      <c r="D90" s="75"/>
      <c r="E90" s="75"/>
      <c r="F90" s="75"/>
      <c r="G90" s="75"/>
      <c r="H90" s="75"/>
      <c r="I90" s="121"/>
      <c r="J90" s="1"/>
      <c r="K90" s="1"/>
      <c r="L90" s="1"/>
      <c r="M90" s="1"/>
      <c r="N90" s="1"/>
      <c r="O90" s="1"/>
      <c r="P90" s="1"/>
      <c r="Q90" s="1"/>
      <c r="R90" s="1"/>
      <c r="S90" s="1"/>
      <c r="T90" s="1"/>
      <c r="U90" s="1"/>
      <c r="V90" s="1"/>
      <c r="W90" s="1"/>
      <c r="X90" s="1"/>
      <c r="Y90" s="1"/>
      <c r="Z90" s="1"/>
    </row>
    <row r="91" spans="1:26" ht="18.75" customHeight="1">
      <c r="A91" s="55"/>
      <c r="B91" s="118"/>
      <c r="C91" s="94"/>
      <c r="D91" s="94"/>
      <c r="E91" s="94"/>
      <c r="F91" s="94"/>
      <c r="G91" s="94"/>
      <c r="H91" s="94"/>
      <c r="I91" s="95"/>
      <c r="J91" s="1"/>
      <c r="K91" s="1"/>
      <c r="L91" s="1"/>
      <c r="M91" s="1"/>
      <c r="N91" s="1"/>
      <c r="O91" s="1"/>
      <c r="P91" s="1"/>
      <c r="Q91" s="1"/>
      <c r="R91" s="1"/>
      <c r="S91" s="1"/>
      <c r="T91" s="1"/>
      <c r="U91" s="1"/>
      <c r="V91" s="1"/>
      <c r="W91" s="1"/>
      <c r="X91" s="1"/>
      <c r="Y91" s="1"/>
      <c r="Z91" s="1"/>
    </row>
    <row r="92" spans="1:26" ht="7.5" customHeight="1">
      <c r="A92" s="55"/>
      <c r="B92" s="55"/>
      <c r="C92" s="55"/>
      <c r="D92" s="55"/>
      <c r="E92" s="55"/>
      <c r="F92" s="55"/>
      <c r="G92" s="55"/>
      <c r="H92" s="55"/>
      <c r="I92" s="55"/>
      <c r="J92" s="1"/>
      <c r="K92" s="1"/>
      <c r="L92" s="1"/>
      <c r="M92" s="1"/>
      <c r="N92" s="1"/>
      <c r="O92" s="1"/>
      <c r="P92" s="1"/>
      <c r="Q92" s="1"/>
      <c r="R92" s="1"/>
      <c r="S92" s="1"/>
      <c r="T92" s="1"/>
      <c r="U92" s="1"/>
      <c r="V92" s="1"/>
      <c r="W92" s="1"/>
      <c r="X92" s="1"/>
      <c r="Y92" s="1"/>
      <c r="Z92" s="1"/>
    </row>
    <row r="93" spans="1:26" ht="18.75" customHeight="1">
      <c r="A93" s="1" t="s">
        <v>151</v>
      </c>
      <c r="B93" s="1" t="s">
        <v>152</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35" t="s">
        <v>153</v>
      </c>
      <c r="C94" s="89"/>
      <c r="D94" s="89"/>
      <c r="E94" s="89"/>
      <c r="F94" s="89"/>
      <c r="G94" s="89"/>
      <c r="H94" s="89"/>
      <c r="I94" s="90"/>
      <c r="J94" s="1"/>
      <c r="K94" s="1"/>
      <c r="L94" s="1"/>
      <c r="M94" s="1"/>
      <c r="N94" s="1"/>
      <c r="O94" s="1"/>
      <c r="P94" s="1"/>
      <c r="Q94" s="1"/>
      <c r="R94" s="1"/>
      <c r="S94" s="1"/>
      <c r="T94" s="1"/>
      <c r="U94" s="1"/>
      <c r="V94" s="1"/>
      <c r="W94" s="1"/>
      <c r="X94" s="1"/>
      <c r="Y94" s="1"/>
      <c r="Z94" s="1"/>
    </row>
    <row r="95" spans="1:26" ht="18.75" customHeight="1">
      <c r="A95" s="1"/>
      <c r="B95" s="120"/>
      <c r="C95" s="75"/>
      <c r="D95" s="75"/>
      <c r="E95" s="75"/>
      <c r="F95" s="75"/>
      <c r="G95" s="75"/>
      <c r="H95" s="75"/>
      <c r="I95" s="121"/>
      <c r="J95" s="1"/>
      <c r="K95" s="1"/>
      <c r="L95" s="1"/>
      <c r="M95" s="1"/>
      <c r="N95" s="1"/>
      <c r="O95" s="1"/>
      <c r="P95" s="1"/>
      <c r="Q95" s="1"/>
      <c r="R95" s="1"/>
      <c r="S95" s="1"/>
      <c r="T95" s="1"/>
      <c r="U95" s="1"/>
      <c r="V95" s="1"/>
      <c r="W95" s="1"/>
      <c r="X95" s="1"/>
      <c r="Y95" s="1"/>
      <c r="Z95" s="1"/>
    </row>
    <row r="96" spans="1:26" ht="18.75" customHeight="1">
      <c r="A96" s="1"/>
      <c r="B96" s="120"/>
      <c r="C96" s="75"/>
      <c r="D96" s="75"/>
      <c r="E96" s="75"/>
      <c r="F96" s="75"/>
      <c r="G96" s="75"/>
      <c r="H96" s="75"/>
      <c r="I96" s="121"/>
      <c r="J96" s="1"/>
      <c r="K96" s="1"/>
      <c r="L96" s="1"/>
      <c r="M96" s="1"/>
      <c r="N96" s="1"/>
      <c r="O96" s="1"/>
      <c r="P96" s="1"/>
      <c r="Q96" s="1"/>
      <c r="R96" s="1"/>
      <c r="S96" s="1"/>
      <c r="T96" s="1"/>
      <c r="U96" s="1"/>
      <c r="V96" s="1"/>
      <c r="W96" s="1"/>
      <c r="X96" s="1"/>
      <c r="Y96" s="1"/>
      <c r="Z96" s="1"/>
    </row>
    <row r="97" spans="1:26" ht="18.75" customHeight="1">
      <c r="A97" s="1"/>
      <c r="B97" s="120"/>
      <c r="C97" s="75"/>
      <c r="D97" s="75"/>
      <c r="E97" s="75"/>
      <c r="F97" s="75"/>
      <c r="G97" s="75"/>
      <c r="H97" s="75"/>
      <c r="I97" s="121"/>
      <c r="J97" s="1"/>
      <c r="K97" s="1"/>
      <c r="L97" s="1"/>
      <c r="M97" s="1"/>
      <c r="N97" s="1"/>
      <c r="O97" s="1"/>
      <c r="P97" s="1"/>
      <c r="Q97" s="1"/>
      <c r="R97" s="1"/>
      <c r="S97" s="1"/>
      <c r="T97" s="1"/>
      <c r="U97" s="1"/>
      <c r="V97" s="1"/>
      <c r="W97" s="1"/>
      <c r="X97" s="1"/>
      <c r="Y97" s="1"/>
      <c r="Z97" s="1"/>
    </row>
    <row r="98" spans="1:26" ht="18.75" customHeight="1">
      <c r="A98" s="1"/>
      <c r="B98" s="120"/>
      <c r="C98" s="75"/>
      <c r="D98" s="75"/>
      <c r="E98" s="75"/>
      <c r="F98" s="75"/>
      <c r="G98" s="75"/>
      <c r="H98" s="75"/>
      <c r="I98" s="121"/>
      <c r="J98" s="1"/>
      <c r="K98" s="1"/>
      <c r="L98" s="1"/>
      <c r="M98" s="1"/>
      <c r="N98" s="1"/>
      <c r="O98" s="1"/>
      <c r="P98" s="1"/>
      <c r="Q98" s="1"/>
      <c r="R98" s="1"/>
      <c r="S98" s="1"/>
      <c r="T98" s="1"/>
      <c r="U98" s="1"/>
      <c r="V98" s="1"/>
      <c r="W98" s="1"/>
      <c r="X98" s="1"/>
      <c r="Y98" s="1"/>
      <c r="Z98" s="1"/>
    </row>
    <row r="99" spans="1:26" ht="18.75" customHeight="1">
      <c r="A99" s="1"/>
      <c r="B99" s="120"/>
      <c r="C99" s="75"/>
      <c r="D99" s="75"/>
      <c r="E99" s="75"/>
      <c r="F99" s="75"/>
      <c r="G99" s="75"/>
      <c r="H99" s="75"/>
      <c r="I99" s="121"/>
      <c r="J99" s="1"/>
      <c r="K99" s="1"/>
      <c r="L99" s="1"/>
      <c r="M99" s="1"/>
      <c r="N99" s="1"/>
      <c r="O99" s="1"/>
      <c r="P99" s="1"/>
      <c r="Q99" s="1"/>
      <c r="R99" s="1"/>
      <c r="S99" s="1"/>
      <c r="T99" s="1"/>
      <c r="U99" s="1"/>
      <c r="V99" s="1"/>
      <c r="W99" s="1"/>
      <c r="X99" s="1"/>
      <c r="Y99" s="1"/>
      <c r="Z99" s="1"/>
    </row>
    <row r="100" spans="1:26" ht="18.75" customHeight="1">
      <c r="A100" s="1"/>
      <c r="B100" s="120"/>
      <c r="C100" s="75"/>
      <c r="D100" s="75"/>
      <c r="E100" s="75"/>
      <c r="F100" s="75"/>
      <c r="G100" s="75"/>
      <c r="H100" s="75"/>
      <c r="I100" s="121"/>
      <c r="J100" s="1"/>
      <c r="K100" s="1"/>
      <c r="L100" s="1"/>
      <c r="M100" s="1"/>
      <c r="N100" s="1"/>
      <c r="O100" s="1"/>
      <c r="P100" s="1"/>
      <c r="Q100" s="1"/>
      <c r="R100" s="1"/>
      <c r="S100" s="1"/>
      <c r="T100" s="1"/>
      <c r="U100" s="1"/>
      <c r="V100" s="1"/>
      <c r="W100" s="1"/>
      <c r="X100" s="1"/>
      <c r="Y100" s="1"/>
      <c r="Z100" s="1"/>
    </row>
    <row r="101" spans="1:26" ht="18.75" customHeight="1">
      <c r="A101" s="1"/>
      <c r="B101" s="120"/>
      <c r="C101" s="75"/>
      <c r="D101" s="75"/>
      <c r="E101" s="75"/>
      <c r="F101" s="75"/>
      <c r="G101" s="75"/>
      <c r="H101" s="75"/>
      <c r="I101" s="121"/>
      <c r="J101" s="1"/>
      <c r="K101" s="1"/>
      <c r="L101" s="1"/>
      <c r="M101" s="1"/>
      <c r="N101" s="1"/>
      <c r="O101" s="1"/>
      <c r="P101" s="1"/>
      <c r="Q101" s="1"/>
      <c r="R101" s="1"/>
      <c r="S101" s="1"/>
      <c r="T101" s="1"/>
      <c r="U101" s="1"/>
      <c r="V101" s="1"/>
      <c r="W101" s="1"/>
      <c r="X101" s="1"/>
      <c r="Y101" s="1"/>
      <c r="Z101" s="1"/>
    </row>
    <row r="102" spans="1:26" ht="18.75" customHeight="1">
      <c r="A102" s="1"/>
      <c r="B102" s="120"/>
      <c r="C102" s="75"/>
      <c r="D102" s="75"/>
      <c r="E102" s="75"/>
      <c r="F102" s="75"/>
      <c r="G102" s="75"/>
      <c r="H102" s="75"/>
      <c r="I102" s="121"/>
      <c r="J102" s="1"/>
      <c r="K102" s="1"/>
      <c r="L102" s="1"/>
      <c r="M102" s="1"/>
      <c r="N102" s="1"/>
      <c r="O102" s="1"/>
      <c r="P102" s="1"/>
      <c r="Q102" s="1"/>
      <c r="R102" s="1"/>
      <c r="S102" s="1"/>
      <c r="T102" s="1"/>
      <c r="U102" s="1"/>
      <c r="V102" s="1"/>
      <c r="W102" s="1"/>
      <c r="X102" s="1"/>
      <c r="Y102" s="1"/>
      <c r="Z102" s="1"/>
    </row>
    <row r="103" spans="1:26" ht="18.75" customHeight="1">
      <c r="A103" s="1"/>
      <c r="B103" s="120"/>
      <c r="C103" s="75"/>
      <c r="D103" s="75"/>
      <c r="E103" s="75"/>
      <c r="F103" s="75"/>
      <c r="G103" s="75"/>
      <c r="H103" s="75"/>
      <c r="I103" s="121"/>
      <c r="J103" s="1"/>
      <c r="K103" s="1"/>
      <c r="L103" s="1"/>
      <c r="M103" s="1"/>
      <c r="N103" s="1"/>
      <c r="O103" s="1"/>
      <c r="P103" s="1"/>
      <c r="Q103" s="1"/>
      <c r="R103" s="1"/>
      <c r="S103" s="1"/>
      <c r="T103" s="1"/>
      <c r="U103" s="1"/>
      <c r="V103" s="1"/>
      <c r="W103" s="1"/>
      <c r="X103" s="1"/>
      <c r="Y103" s="1"/>
      <c r="Z103" s="1"/>
    </row>
    <row r="104" spans="1:26" ht="18.75" customHeight="1">
      <c r="A104" s="1"/>
      <c r="B104" s="120"/>
      <c r="C104" s="75"/>
      <c r="D104" s="75"/>
      <c r="E104" s="75"/>
      <c r="F104" s="75"/>
      <c r="G104" s="75"/>
      <c r="H104" s="75"/>
      <c r="I104" s="121"/>
      <c r="J104" s="1"/>
      <c r="K104" s="1"/>
      <c r="L104" s="1"/>
      <c r="M104" s="1"/>
      <c r="N104" s="1"/>
      <c r="O104" s="1"/>
      <c r="P104" s="1"/>
      <c r="Q104" s="1"/>
      <c r="R104" s="1"/>
      <c r="S104" s="1"/>
      <c r="T104" s="1"/>
      <c r="U104" s="1"/>
      <c r="V104" s="1"/>
      <c r="W104" s="1"/>
      <c r="X104" s="1"/>
      <c r="Y104" s="1"/>
      <c r="Z104" s="1"/>
    </row>
    <row r="105" spans="1:26" ht="18.75" customHeight="1">
      <c r="A105" s="55"/>
      <c r="B105" s="118"/>
      <c r="C105" s="94"/>
      <c r="D105" s="94"/>
      <c r="E105" s="94"/>
      <c r="F105" s="94"/>
      <c r="G105" s="94"/>
      <c r="H105" s="94"/>
      <c r="I105" s="95"/>
      <c r="J105" s="1"/>
      <c r="K105" s="1"/>
      <c r="L105" s="1"/>
      <c r="M105" s="1"/>
      <c r="N105" s="1"/>
      <c r="O105" s="1"/>
      <c r="P105" s="1"/>
      <c r="Q105" s="1"/>
      <c r="R105" s="1"/>
      <c r="S105" s="1"/>
      <c r="T105" s="1"/>
      <c r="U105" s="1"/>
      <c r="V105" s="1"/>
      <c r="W105" s="1"/>
      <c r="X105" s="1"/>
      <c r="Y105" s="1"/>
      <c r="Z105" s="1"/>
    </row>
    <row r="106" spans="1:26" ht="7.5" customHeight="1">
      <c r="A106" s="55"/>
      <c r="B106" s="55"/>
      <c r="C106" s="55"/>
      <c r="D106" s="55"/>
      <c r="E106" s="55"/>
      <c r="F106" s="55"/>
      <c r="G106" s="55"/>
      <c r="H106" s="55"/>
      <c r="I106" s="55"/>
      <c r="J106" s="1"/>
      <c r="K106" s="1"/>
      <c r="L106" s="1"/>
      <c r="M106" s="1"/>
      <c r="N106" s="1"/>
      <c r="O106" s="1"/>
      <c r="P106" s="1"/>
      <c r="Q106" s="1"/>
      <c r="R106" s="1"/>
      <c r="S106" s="1"/>
      <c r="T106" s="1"/>
      <c r="U106" s="1"/>
      <c r="V106" s="1"/>
      <c r="W106" s="1"/>
      <c r="X106" s="1"/>
      <c r="Y106" s="1"/>
      <c r="Z106" s="1"/>
    </row>
    <row r="107" spans="1:26" ht="18.75" customHeight="1">
      <c r="A107" s="1" t="s">
        <v>154</v>
      </c>
      <c r="B107" s="164" t="s">
        <v>155</v>
      </c>
      <c r="C107" s="75"/>
      <c r="D107" s="75"/>
      <c r="E107" s="75"/>
      <c r="F107" s="75"/>
      <c r="G107" s="75"/>
      <c r="H107" s="75"/>
      <c r="I107" s="75"/>
      <c r="J107" s="1"/>
      <c r="K107" s="1"/>
      <c r="L107" s="1"/>
      <c r="M107" s="1"/>
      <c r="N107" s="1"/>
      <c r="O107" s="1"/>
      <c r="P107" s="1"/>
      <c r="Q107" s="1"/>
      <c r="R107" s="1"/>
      <c r="S107" s="1"/>
      <c r="T107" s="1"/>
      <c r="U107" s="1"/>
      <c r="V107" s="1"/>
      <c r="W107" s="1"/>
      <c r="X107" s="1"/>
      <c r="Y107" s="1"/>
      <c r="Z107" s="1"/>
    </row>
    <row r="108" spans="1:26" ht="18.75" customHeight="1">
      <c r="A108" s="55"/>
      <c r="B108" s="137" t="s">
        <v>156</v>
      </c>
      <c r="C108" s="138"/>
      <c r="D108" s="138"/>
      <c r="E108" s="138"/>
      <c r="F108" s="138"/>
      <c r="G108" s="138"/>
      <c r="H108" s="138"/>
      <c r="I108" s="139"/>
      <c r="J108" s="1"/>
      <c r="K108" s="1"/>
      <c r="L108" s="1"/>
      <c r="M108" s="1"/>
      <c r="N108" s="1"/>
      <c r="O108" s="1"/>
      <c r="P108" s="1"/>
      <c r="Q108" s="1"/>
      <c r="R108" s="1"/>
      <c r="S108" s="1"/>
      <c r="T108" s="1"/>
      <c r="U108" s="1"/>
      <c r="V108" s="1"/>
      <c r="W108" s="1"/>
      <c r="X108" s="1"/>
      <c r="Y108" s="1"/>
      <c r="Z108" s="1"/>
    </row>
    <row r="109" spans="1:26" ht="18.75" customHeight="1">
      <c r="A109" s="55"/>
      <c r="B109" s="140"/>
      <c r="C109" s="141"/>
      <c r="D109" s="141"/>
      <c r="E109" s="141"/>
      <c r="F109" s="141"/>
      <c r="G109" s="141"/>
      <c r="H109" s="141"/>
      <c r="I109" s="142"/>
      <c r="J109" s="1"/>
      <c r="K109" s="1"/>
      <c r="L109" s="1"/>
      <c r="M109" s="1"/>
      <c r="N109" s="1"/>
      <c r="O109" s="1"/>
      <c r="P109" s="1"/>
      <c r="Q109" s="1"/>
      <c r="R109" s="1"/>
      <c r="S109" s="1"/>
      <c r="T109" s="1"/>
      <c r="U109" s="1"/>
      <c r="V109" s="1"/>
      <c r="W109" s="1"/>
      <c r="X109" s="1"/>
      <c r="Y109" s="1"/>
      <c r="Z109" s="1"/>
    </row>
    <row r="110" spans="1:26" ht="18.75" customHeight="1">
      <c r="A110" s="55"/>
      <c r="B110" s="140"/>
      <c r="C110" s="141"/>
      <c r="D110" s="141"/>
      <c r="E110" s="141"/>
      <c r="F110" s="141"/>
      <c r="G110" s="141"/>
      <c r="H110" s="141"/>
      <c r="I110" s="142"/>
      <c r="J110" s="1"/>
      <c r="K110" s="1"/>
      <c r="L110" s="1"/>
      <c r="M110" s="1"/>
      <c r="N110" s="1"/>
      <c r="O110" s="1"/>
      <c r="P110" s="1"/>
      <c r="Q110" s="1"/>
      <c r="R110" s="1"/>
      <c r="S110" s="1"/>
      <c r="T110" s="1"/>
      <c r="U110" s="1"/>
      <c r="V110" s="1"/>
      <c r="W110" s="1"/>
      <c r="X110" s="1"/>
      <c r="Y110" s="1"/>
      <c r="Z110" s="1"/>
    </row>
    <row r="111" spans="1:26" ht="18.75" customHeight="1">
      <c r="A111" s="55"/>
      <c r="B111" s="140"/>
      <c r="C111" s="141"/>
      <c r="D111" s="141"/>
      <c r="E111" s="141"/>
      <c r="F111" s="141"/>
      <c r="G111" s="141"/>
      <c r="H111" s="141"/>
      <c r="I111" s="142"/>
      <c r="J111" s="1"/>
      <c r="K111" s="1"/>
      <c r="L111" s="1"/>
      <c r="M111" s="1"/>
      <c r="N111" s="1"/>
      <c r="O111" s="1"/>
      <c r="P111" s="1"/>
      <c r="Q111" s="1"/>
      <c r="R111" s="1"/>
      <c r="S111" s="1"/>
      <c r="T111" s="1"/>
      <c r="U111" s="1"/>
      <c r="V111" s="1"/>
      <c r="W111" s="1"/>
      <c r="X111" s="1"/>
      <c r="Y111" s="1"/>
      <c r="Z111" s="1"/>
    </row>
    <row r="112" spans="1:26" ht="18.75" customHeight="1">
      <c r="A112" s="55"/>
      <c r="B112" s="140"/>
      <c r="C112" s="141"/>
      <c r="D112" s="141"/>
      <c r="E112" s="141"/>
      <c r="F112" s="141"/>
      <c r="G112" s="141"/>
      <c r="H112" s="141"/>
      <c r="I112" s="142"/>
      <c r="J112" s="1"/>
      <c r="K112" s="1"/>
      <c r="L112" s="1"/>
      <c r="M112" s="1"/>
      <c r="N112" s="1"/>
      <c r="O112" s="1"/>
      <c r="P112" s="1"/>
      <c r="Q112" s="1"/>
      <c r="R112" s="1"/>
      <c r="S112" s="1"/>
      <c r="T112" s="1"/>
      <c r="U112" s="1"/>
      <c r="V112" s="1"/>
      <c r="W112" s="1"/>
      <c r="X112" s="1"/>
      <c r="Y112" s="1"/>
      <c r="Z112" s="1"/>
    </row>
    <row r="113" spans="1:26" ht="18.75" customHeight="1">
      <c r="A113" s="55"/>
      <c r="B113" s="140"/>
      <c r="C113" s="141"/>
      <c r="D113" s="141"/>
      <c r="E113" s="141"/>
      <c r="F113" s="141"/>
      <c r="G113" s="141"/>
      <c r="H113" s="141"/>
      <c r="I113" s="142"/>
      <c r="J113" s="1"/>
      <c r="K113" s="1"/>
      <c r="L113" s="1"/>
      <c r="M113" s="1"/>
      <c r="N113" s="1"/>
      <c r="O113" s="1"/>
      <c r="P113" s="1"/>
      <c r="Q113" s="1"/>
      <c r="R113" s="1"/>
      <c r="S113" s="1"/>
      <c r="T113" s="1"/>
      <c r="U113" s="1"/>
      <c r="V113" s="1"/>
      <c r="W113" s="1"/>
      <c r="X113" s="1"/>
      <c r="Y113" s="1"/>
      <c r="Z113" s="1"/>
    </row>
    <row r="114" spans="1:26" ht="18.75" customHeight="1">
      <c r="A114" s="55"/>
      <c r="B114" s="140"/>
      <c r="C114" s="141"/>
      <c r="D114" s="141"/>
      <c r="E114" s="141"/>
      <c r="F114" s="141"/>
      <c r="G114" s="141"/>
      <c r="H114" s="141"/>
      <c r="I114" s="142"/>
      <c r="J114" s="1"/>
      <c r="K114" s="1"/>
      <c r="L114" s="1"/>
      <c r="M114" s="1"/>
      <c r="N114" s="1"/>
      <c r="O114" s="1"/>
      <c r="P114" s="1"/>
      <c r="Q114" s="1"/>
      <c r="R114" s="1"/>
      <c r="S114" s="1"/>
      <c r="T114" s="1"/>
      <c r="U114" s="1"/>
      <c r="V114" s="1"/>
      <c r="W114" s="1"/>
      <c r="X114" s="1"/>
      <c r="Y114" s="1"/>
      <c r="Z114" s="1"/>
    </row>
    <row r="115" spans="1:26" ht="18.75" customHeight="1">
      <c r="A115" s="55"/>
      <c r="B115" s="140"/>
      <c r="C115" s="141"/>
      <c r="D115" s="141"/>
      <c r="E115" s="141"/>
      <c r="F115" s="141"/>
      <c r="G115" s="141"/>
      <c r="H115" s="141"/>
      <c r="I115" s="142"/>
      <c r="J115" s="1"/>
      <c r="K115" s="1"/>
      <c r="L115" s="1"/>
      <c r="M115" s="1"/>
      <c r="N115" s="1"/>
      <c r="O115" s="1"/>
      <c r="P115" s="1"/>
      <c r="Q115" s="1"/>
      <c r="R115" s="1"/>
      <c r="S115" s="1"/>
      <c r="T115" s="1"/>
      <c r="U115" s="1"/>
      <c r="V115" s="1"/>
      <c r="W115" s="1"/>
      <c r="X115" s="1"/>
      <c r="Y115" s="1"/>
      <c r="Z115" s="1"/>
    </row>
    <row r="116" spans="1:26" ht="18.75" customHeight="1">
      <c r="A116" s="55"/>
      <c r="B116" s="140"/>
      <c r="C116" s="141"/>
      <c r="D116" s="141"/>
      <c r="E116" s="141"/>
      <c r="F116" s="141"/>
      <c r="G116" s="141"/>
      <c r="H116" s="141"/>
      <c r="I116" s="142"/>
      <c r="J116" s="1"/>
      <c r="K116" s="1"/>
      <c r="L116" s="1"/>
      <c r="M116" s="1"/>
      <c r="N116" s="1"/>
      <c r="O116" s="1"/>
      <c r="P116" s="1"/>
      <c r="Q116" s="1"/>
      <c r="R116" s="1"/>
      <c r="S116" s="1"/>
      <c r="T116" s="1"/>
      <c r="U116" s="1"/>
      <c r="V116" s="1"/>
      <c r="W116" s="1"/>
      <c r="X116" s="1"/>
      <c r="Y116" s="1"/>
      <c r="Z116" s="1"/>
    </row>
    <row r="117" spans="1:26" ht="18.75" customHeight="1">
      <c r="A117" s="55"/>
      <c r="B117" s="140"/>
      <c r="C117" s="141"/>
      <c r="D117" s="141"/>
      <c r="E117" s="141"/>
      <c r="F117" s="141"/>
      <c r="G117" s="141"/>
      <c r="H117" s="141"/>
      <c r="I117" s="142"/>
      <c r="J117" s="1"/>
      <c r="K117" s="1"/>
      <c r="L117" s="1"/>
      <c r="M117" s="1"/>
      <c r="N117" s="1"/>
      <c r="O117" s="1"/>
      <c r="P117" s="1"/>
      <c r="Q117" s="1"/>
      <c r="R117" s="1"/>
      <c r="S117" s="1"/>
      <c r="T117" s="1"/>
      <c r="U117" s="1"/>
      <c r="V117" s="1"/>
      <c r="W117" s="1"/>
      <c r="X117" s="1"/>
      <c r="Y117" s="1"/>
      <c r="Z117" s="1"/>
    </row>
    <row r="118" spans="1:26" ht="18.75" customHeight="1">
      <c r="A118" s="55"/>
      <c r="B118" s="140"/>
      <c r="C118" s="141"/>
      <c r="D118" s="141"/>
      <c r="E118" s="141"/>
      <c r="F118" s="141"/>
      <c r="G118" s="141"/>
      <c r="H118" s="141"/>
      <c r="I118" s="142"/>
      <c r="J118" s="1"/>
      <c r="K118" s="1"/>
      <c r="L118" s="1"/>
      <c r="M118" s="1"/>
      <c r="N118" s="1"/>
      <c r="O118" s="1"/>
      <c r="P118" s="1"/>
      <c r="Q118" s="1"/>
      <c r="R118" s="1"/>
      <c r="S118" s="1"/>
      <c r="T118" s="1"/>
      <c r="U118" s="1"/>
      <c r="V118" s="1"/>
      <c r="W118" s="1"/>
      <c r="X118" s="1"/>
      <c r="Y118" s="1"/>
      <c r="Z118" s="1"/>
    </row>
    <row r="119" spans="1:26" ht="18.75" customHeight="1">
      <c r="A119" s="55"/>
      <c r="B119" s="143"/>
      <c r="C119" s="144"/>
      <c r="D119" s="144"/>
      <c r="E119" s="144"/>
      <c r="F119" s="144"/>
      <c r="G119" s="144"/>
      <c r="H119" s="144"/>
      <c r="I119" s="145"/>
      <c r="J119" s="1"/>
      <c r="K119" s="1"/>
      <c r="L119" s="1"/>
      <c r="M119" s="1"/>
      <c r="N119" s="1"/>
      <c r="O119" s="1"/>
      <c r="P119" s="1"/>
      <c r="Q119" s="1"/>
      <c r="R119" s="1"/>
      <c r="S119" s="1"/>
      <c r="T119" s="1"/>
      <c r="U119" s="1"/>
      <c r="V119" s="1"/>
      <c r="W119" s="1"/>
      <c r="X119" s="1"/>
      <c r="Y119" s="1"/>
      <c r="Z119" s="1"/>
    </row>
    <row r="120" spans="1:26" ht="7.5" customHeight="1">
      <c r="A120" s="55"/>
      <c r="B120" s="60"/>
      <c r="C120" s="60"/>
      <c r="D120" s="60"/>
      <c r="E120" s="60"/>
      <c r="F120" s="60"/>
      <c r="G120" s="60"/>
      <c r="H120" s="60"/>
      <c r="I120" s="60"/>
      <c r="J120" s="1"/>
      <c r="K120" s="1"/>
      <c r="L120" s="1"/>
      <c r="M120" s="1"/>
      <c r="N120" s="1"/>
      <c r="O120" s="1"/>
      <c r="P120" s="1"/>
      <c r="Q120" s="1"/>
      <c r="R120" s="1"/>
      <c r="S120" s="1"/>
      <c r="T120" s="1"/>
      <c r="U120" s="1"/>
      <c r="V120" s="1"/>
      <c r="W120" s="1"/>
      <c r="X120" s="1"/>
      <c r="Y120" s="1"/>
      <c r="Z120" s="1"/>
    </row>
    <row r="121" spans="1:26" ht="18.75" customHeight="1">
      <c r="A121" s="61"/>
      <c r="B121" s="158"/>
      <c r="C121" s="75"/>
      <c r="D121" s="75"/>
      <c r="E121" s="75"/>
      <c r="F121" s="75"/>
      <c r="G121" s="75"/>
      <c r="H121" s="75"/>
      <c r="I121" s="75"/>
      <c r="J121" s="1"/>
      <c r="K121" s="1"/>
      <c r="L121" s="1"/>
      <c r="M121" s="1"/>
      <c r="N121" s="1"/>
      <c r="O121" s="1"/>
      <c r="P121" s="1"/>
      <c r="Q121" s="1"/>
      <c r="R121" s="1"/>
      <c r="S121" s="1"/>
      <c r="T121" s="1"/>
      <c r="U121" s="1"/>
      <c r="V121" s="1"/>
      <c r="W121" s="1"/>
      <c r="X121" s="1"/>
      <c r="Y121" s="1"/>
      <c r="Z121" s="1"/>
    </row>
    <row r="122" spans="1:26" ht="18.75" customHeight="1">
      <c r="A122" s="61"/>
      <c r="B122" s="75"/>
      <c r="C122" s="75"/>
      <c r="D122" s="75"/>
      <c r="E122" s="75"/>
      <c r="F122" s="75"/>
      <c r="G122" s="75"/>
      <c r="H122" s="75"/>
      <c r="I122" s="75"/>
      <c r="J122" s="1"/>
      <c r="K122" s="1"/>
      <c r="L122" s="1"/>
      <c r="M122" s="1"/>
      <c r="N122" s="1"/>
      <c r="O122" s="1"/>
      <c r="P122" s="1"/>
      <c r="Q122" s="1"/>
      <c r="R122" s="1"/>
      <c r="S122" s="1"/>
      <c r="T122" s="1"/>
      <c r="U122" s="1"/>
      <c r="V122" s="1"/>
      <c r="W122" s="1"/>
      <c r="X122" s="1"/>
      <c r="Y122" s="1"/>
      <c r="Z122" s="1"/>
    </row>
    <row r="123" spans="1:26" ht="18.75" customHeight="1">
      <c r="A123" s="55"/>
      <c r="B123" s="62"/>
      <c r="C123" s="62"/>
      <c r="D123" s="62"/>
      <c r="E123" s="62"/>
      <c r="F123" s="62"/>
      <c r="G123" s="62"/>
      <c r="H123" s="62"/>
      <c r="I123" s="62"/>
      <c r="J123" s="1"/>
      <c r="K123" s="1"/>
      <c r="L123" s="1"/>
      <c r="M123" s="1"/>
      <c r="N123" s="1"/>
      <c r="O123" s="1"/>
      <c r="P123" s="1"/>
      <c r="Q123" s="1"/>
      <c r="R123" s="1"/>
      <c r="S123" s="1"/>
      <c r="T123" s="1"/>
      <c r="U123" s="1"/>
      <c r="V123" s="1"/>
      <c r="W123" s="1"/>
      <c r="X123" s="1"/>
      <c r="Y123" s="1"/>
      <c r="Z123" s="1"/>
    </row>
    <row r="124" spans="1:26" ht="18.75" customHeight="1">
      <c r="A124" s="55"/>
      <c r="B124" s="62"/>
      <c r="C124" s="62"/>
      <c r="D124" s="62"/>
      <c r="E124" s="62"/>
      <c r="F124" s="62"/>
      <c r="G124" s="62"/>
      <c r="H124" s="62"/>
      <c r="I124" s="62"/>
      <c r="J124" s="1"/>
      <c r="K124" s="1"/>
      <c r="L124" s="1"/>
      <c r="M124" s="1"/>
      <c r="N124" s="1"/>
      <c r="O124" s="1"/>
      <c r="P124" s="1"/>
      <c r="Q124" s="1"/>
      <c r="R124" s="1"/>
      <c r="S124" s="1"/>
      <c r="T124" s="1"/>
      <c r="U124" s="1"/>
      <c r="V124" s="1"/>
      <c r="W124" s="1"/>
      <c r="X124" s="1"/>
      <c r="Y124" s="1"/>
      <c r="Z124" s="1"/>
    </row>
    <row r="125" spans="1:26" ht="18.75" customHeight="1">
      <c r="A125" s="55"/>
      <c r="B125" s="62"/>
      <c r="C125" s="62"/>
      <c r="D125" s="62"/>
      <c r="E125" s="62"/>
      <c r="F125" s="62"/>
      <c r="G125" s="62"/>
      <c r="H125" s="62"/>
      <c r="I125" s="62"/>
      <c r="J125" s="1"/>
      <c r="K125" s="1"/>
      <c r="L125" s="1"/>
      <c r="M125" s="1"/>
      <c r="N125" s="1"/>
      <c r="O125" s="1"/>
      <c r="P125" s="1"/>
      <c r="Q125" s="1"/>
      <c r="R125" s="1"/>
      <c r="S125" s="1"/>
      <c r="T125" s="1"/>
      <c r="U125" s="1"/>
      <c r="V125" s="1"/>
      <c r="W125" s="1"/>
      <c r="X125" s="1"/>
      <c r="Y125" s="1"/>
      <c r="Z125" s="1"/>
    </row>
    <row r="126" spans="1:26" ht="18.75" customHeight="1">
      <c r="A126" s="55"/>
      <c r="B126" s="62"/>
      <c r="C126" s="62"/>
      <c r="D126" s="62"/>
      <c r="E126" s="62"/>
      <c r="F126" s="62"/>
      <c r="G126" s="62"/>
      <c r="H126" s="62"/>
      <c r="I126" s="62"/>
      <c r="J126" s="1"/>
      <c r="K126" s="1"/>
      <c r="L126" s="1"/>
      <c r="M126" s="1"/>
      <c r="N126" s="1"/>
      <c r="O126" s="1"/>
      <c r="P126" s="1"/>
      <c r="Q126" s="1"/>
      <c r="R126" s="1"/>
      <c r="S126" s="1"/>
      <c r="T126" s="1"/>
      <c r="U126" s="1"/>
      <c r="V126" s="1"/>
      <c r="W126" s="1"/>
      <c r="X126" s="1"/>
      <c r="Y126" s="1"/>
      <c r="Z126" s="1"/>
    </row>
    <row r="127" spans="1:26" ht="18.75" customHeight="1">
      <c r="A127" s="55"/>
      <c r="B127" s="62"/>
      <c r="C127" s="62"/>
      <c r="D127" s="62"/>
      <c r="E127" s="62"/>
      <c r="F127" s="62"/>
      <c r="G127" s="62"/>
      <c r="H127" s="62"/>
      <c r="I127" s="62"/>
      <c r="J127" s="1"/>
      <c r="K127" s="1"/>
      <c r="L127" s="1"/>
      <c r="M127" s="1"/>
      <c r="N127" s="1"/>
      <c r="O127" s="1"/>
      <c r="P127" s="1"/>
      <c r="Q127" s="1"/>
      <c r="R127" s="1"/>
      <c r="S127" s="1"/>
      <c r="T127" s="1"/>
      <c r="U127" s="1"/>
      <c r="V127" s="1"/>
      <c r="W127" s="1"/>
      <c r="X127" s="1"/>
      <c r="Y127" s="1"/>
      <c r="Z127" s="1"/>
    </row>
    <row r="128" spans="1:26" ht="18.75" customHeight="1">
      <c r="A128" s="55"/>
      <c r="B128" s="62"/>
      <c r="C128" s="62"/>
      <c r="D128" s="62"/>
      <c r="E128" s="62"/>
      <c r="F128" s="62"/>
      <c r="G128" s="62"/>
      <c r="H128" s="62"/>
      <c r="I128" s="62"/>
      <c r="J128" s="1"/>
      <c r="K128" s="1"/>
      <c r="L128" s="1"/>
      <c r="M128" s="1"/>
      <c r="N128" s="1"/>
      <c r="O128" s="1"/>
      <c r="P128" s="1"/>
      <c r="Q128" s="1"/>
      <c r="R128" s="1"/>
      <c r="S128" s="1"/>
      <c r="T128" s="1"/>
      <c r="U128" s="1"/>
      <c r="V128" s="1"/>
      <c r="W128" s="1"/>
      <c r="X128" s="1"/>
      <c r="Y128" s="1"/>
      <c r="Z128" s="1"/>
    </row>
    <row r="129" spans="1:26" ht="18.75" customHeight="1">
      <c r="A129" s="55"/>
      <c r="B129" s="62"/>
      <c r="C129" s="62"/>
      <c r="D129" s="62"/>
      <c r="E129" s="62"/>
      <c r="F129" s="62"/>
      <c r="G129" s="62"/>
      <c r="H129" s="62"/>
      <c r="I129" s="62"/>
      <c r="J129" s="1"/>
      <c r="K129" s="1"/>
      <c r="L129" s="1"/>
      <c r="M129" s="1"/>
      <c r="N129" s="1"/>
      <c r="O129" s="1"/>
      <c r="P129" s="1"/>
      <c r="Q129" s="1"/>
      <c r="R129" s="1"/>
      <c r="S129" s="1"/>
      <c r="T129" s="1"/>
      <c r="U129" s="1"/>
      <c r="V129" s="1"/>
      <c r="W129" s="1"/>
      <c r="X129" s="1"/>
      <c r="Y129" s="1"/>
      <c r="Z129" s="1"/>
    </row>
    <row r="130" spans="1:26" ht="18.75" customHeight="1">
      <c r="A130" s="55"/>
      <c r="B130" s="62"/>
      <c r="C130" s="62"/>
      <c r="D130" s="62"/>
      <c r="E130" s="62"/>
      <c r="F130" s="62"/>
      <c r="G130" s="62"/>
      <c r="H130" s="62"/>
      <c r="I130" s="62"/>
      <c r="J130" s="1"/>
      <c r="K130" s="1"/>
      <c r="L130" s="1"/>
      <c r="M130" s="1"/>
      <c r="N130" s="1"/>
      <c r="O130" s="1"/>
      <c r="P130" s="1"/>
      <c r="Q130" s="1"/>
      <c r="R130" s="1"/>
      <c r="S130" s="1"/>
      <c r="T130" s="1"/>
      <c r="U130" s="1"/>
      <c r="V130" s="1"/>
      <c r="W130" s="1"/>
      <c r="X130" s="1"/>
      <c r="Y130" s="1"/>
      <c r="Z130" s="1"/>
    </row>
    <row r="131" spans="1:26" ht="18.75" customHeight="1">
      <c r="A131" s="55"/>
      <c r="B131" s="62"/>
      <c r="C131" s="62"/>
      <c r="D131" s="62"/>
      <c r="E131" s="62"/>
      <c r="F131" s="62"/>
      <c r="G131" s="62"/>
      <c r="H131" s="62"/>
      <c r="I131" s="62"/>
      <c r="J131" s="1"/>
      <c r="K131" s="1"/>
      <c r="L131" s="1"/>
      <c r="M131" s="1"/>
      <c r="N131" s="1"/>
      <c r="O131" s="1"/>
      <c r="P131" s="1"/>
      <c r="Q131" s="1"/>
      <c r="R131" s="1"/>
      <c r="S131" s="1"/>
      <c r="T131" s="1"/>
      <c r="U131" s="1"/>
      <c r="V131" s="1"/>
      <c r="W131" s="1"/>
      <c r="X131" s="1"/>
      <c r="Y131" s="1"/>
      <c r="Z131" s="1"/>
    </row>
    <row r="132" spans="1:26" ht="18.75" customHeight="1">
      <c r="A132" s="55"/>
      <c r="B132" s="62"/>
      <c r="C132" s="62"/>
      <c r="D132" s="62"/>
      <c r="E132" s="62"/>
      <c r="F132" s="62"/>
      <c r="G132" s="62"/>
      <c r="H132" s="62"/>
      <c r="I132" s="62"/>
      <c r="J132" s="1"/>
      <c r="K132" s="1"/>
      <c r="L132" s="1"/>
      <c r="M132" s="1"/>
      <c r="N132" s="1"/>
      <c r="O132" s="1"/>
      <c r="P132" s="1"/>
      <c r="Q132" s="1"/>
      <c r="R132" s="1"/>
      <c r="S132" s="1"/>
      <c r="T132" s="1"/>
      <c r="U132" s="1"/>
      <c r="V132" s="1"/>
      <c r="W132" s="1"/>
      <c r="X132" s="1"/>
      <c r="Y132" s="1"/>
      <c r="Z132" s="1"/>
    </row>
    <row r="133" spans="1:26" ht="18.75" customHeight="1">
      <c r="A133" s="55"/>
      <c r="B133" s="62"/>
      <c r="C133" s="62"/>
      <c r="D133" s="62"/>
      <c r="E133" s="62"/>
      <c r="F133" s="62"/>
      <c r="G133" s="62"/>
      <c r="H133" s="62"/>
      <c r="I133" s="62"/>
      <c r="J133" s="1"/>
      <c r="K133" s="1"/>
      <c r="L133" s="1"/>
      <c r="M133" s="1"/>
      <c r="N133" s="1"/>
      <c r="O133" s="1"/>
      <c r="P133" s="1"/>
      <c r="Q133" s="1"/>
      <c r="R133" s="1"/>
      <c r="S133" s="1"/>
      <c r="T133" s="1"/>
      <c r="U133" s="1"/>
      <c r="V133" s="1"/>
      <c r="W133" s="1"/>
      <c r="X133" s="1"/>
      <c r="Y133" s="1"/>
      <c r="Z133" s="1"/>
    </row>
    <row r="134" spans="1:26" ht="7.5" customHeight="1">
      <c r="A134" s="55"/>
      <c r="B134" s="62"/>
      <c r="C134" s="62"/>
      <c r="D134" s="62"/>
      <c r="E134" s="62"/>
      <c r="F134" s="62"/>
      <c r="G134" s="62"/>
      <c r="H134" s="62"/>
      <c r="I134" s="62"/>
      <c r="J134" s="1"/>
      <c r="K134" s="1"/>
      <c r="L134" s="1"/>
      <c r="M134" s="1"/>
      <c r="N134" s="1"/>
      <c r="O134" s="1"/>
      <c r="P134" s="1"/>
      <c r="Q134" s="1"/>
      <c r="R134" s="1"/>
      <c r="S134" s="1"/>
      <c r="T134" s="1"/>
      <c r="U134" s="1"/>
      <c r="V134" s="1"/>
      <c r="W134" s="1"/>
      <c r="X134" s="1"/>
      <c r="Y134" s="1"/>
      <c r="Z134" s="1"/>
    </row>
    <row r="135" spans="1:26" ht="18.75" customHeight="1">
      <c r="A135" s="53"/>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53"/>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53"/>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53"/>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53"/>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53"/>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53"/>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53"/>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53"/>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53"/>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53"/>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53"/>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53"/>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53"/>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53"/>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53"/>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53"/>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53"/>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53"/>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53"/>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53"/>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53"/>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53"/>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53"/>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53"/>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53"/>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53"/>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53"/>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53"/>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53"/>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53"/>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53"/>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53"/>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53"/>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53"/>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53"/>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53"/>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53"/>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53"/>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53"/>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53"/>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53"/>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53"/>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53"/>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53"/>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53"/>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53"/>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53"/>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53"/>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53"/>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53"/>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53"/>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53"/>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53"/>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53"/>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53"/>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53"/>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53"/>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53"/>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53"/>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53"/>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53"/>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53"/>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5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53"/>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53"/>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53"/>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53"/>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53"/>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53"/>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53"/>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53"/>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53"/>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53"/>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53"/>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53"/>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53"/>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53"/>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53"/>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5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53"/>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53"/>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53"/>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53"/>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53"/>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53"/>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53"/>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53"/>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53"/>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53"/>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53"/>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53"/>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53"/>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53"/>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5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53"/>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53"/>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53"/>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53"/>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53"/>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53"/>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53"/>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53"/>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53"/>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53"/>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53"/>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53"/>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53"/>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53"/>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53"/>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53"/>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53"/>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53"/>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53"/>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53"/>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53"/>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53"/>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53"/>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53"/>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53"/>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53"/>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53"/>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53"/>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53"/>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53"/>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53"/>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53"/>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53"/>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53"/>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53"/>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53"/>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53"/>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53"/>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53"/>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53"/>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53"/>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53"/>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53"/>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53"/>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53"/>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53"/>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53"/>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53"/>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53"/>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53"/>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53"/>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53"/>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53"/>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53"/>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53"/>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53"/>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53"/>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53"/>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53"/>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53"/>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53"/>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53"/>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53"/>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53"/>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53"/>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53"/>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53"/>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53"/>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53"/>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53"/>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53"/>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53"/>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53"/>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53"/>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53"/>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53"/>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53"/>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53"/>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53"/>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53"/>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53"/>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53"/>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53"/>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53"/>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53"/>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53"/>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53"/>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53"/>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53"/>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53"/>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53"/>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53"/>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53"/>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53"/>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53"/>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53"/>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53"/>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53"/>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53"/>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53"/>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53"/>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53"/>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53"/>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53"/>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53"/>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53"/>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53"/>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53"/>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53"/>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53"/>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53"/>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53"/>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53"/>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53"/>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53"/>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53"/>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53"/>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53"/>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53"/>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53"/>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53"/>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53"/>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53"/>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53"/>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53"/>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53"/>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53"/>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53"/>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53"/>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53"/>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53"/>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53"/>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53"/>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53"/>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53"/>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53"/>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53"/>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53"/>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53"/>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53"/>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53"/>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53"/>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53"/>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53"/>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53"/>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53"/>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53"/>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53"/>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53"/>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53"/>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53"/>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53"/>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53"/>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53"/>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53"/>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53"/>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53"/>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53"/>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53"/>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53"/>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53"/>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53"/>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53"/>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53"/>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53"/>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53"/>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53"/>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53"/>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53"/>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53"/>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53"/>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53"/>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53"/>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53"/>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53"/>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53"/>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53"/>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53"/>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53"/>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53"/>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53"/>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53"/>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53"/>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53"/>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53"/>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53"/>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53"/>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53"/>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53"/>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53"/>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53"/>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53"/>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53"/>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53"/>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53"/>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53"/>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53"/>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53"/>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53"/>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53"/>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53"/>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53"/>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53"/>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53"/>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53"/>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53"/>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53"/>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53"/>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53"/>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53"/>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53"/>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53"/>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53"/>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53"/>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53"/>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53"/>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53"/>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53"/>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53"/>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53"/>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53"/>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53"/>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53"/>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53"/>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53"/>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53"/>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53"/>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53"/>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53"/>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53"/>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53"/>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53"/>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53"/>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53"/>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53"/>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53"/>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53"/>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53"/>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53"/>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53"/>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53"/>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53"/>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53"/>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53"/>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53"/>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53"/>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53"/>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53"/>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53"/>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53"/>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53"/>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53"/>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53"/>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53"/>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53"/>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53"/>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53"/>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53"/>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53"/>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53"/>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53"/>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53"/>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53"/>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53"/>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53"/>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53"/>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53"/>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53"/>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53"/>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53"/>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53"/>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53"/>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53"/>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53"/>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53"/>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53"/>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53"/>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53"/>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53"/>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53"/>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53"/>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53"/>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53"/>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53"/>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53"/>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53"/>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53"/>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53"/>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53"/>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53"/>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53"/>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53"/>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53"/>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53"/>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53"/>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53"/>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53"/>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53"/>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53"/>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53"/>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53"/>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53"/>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53"/>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53"/>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53"/>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53"/>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53"/>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53"/>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53"/>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53"/>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53"/>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53"/>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53"/>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53"/>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53"/>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53"/>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53"/>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53"/>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53"/>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53"/>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53"/>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53"/>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53"/>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53"/>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53"/>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53"/>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53"/>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53"/>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53"/>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53"/>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53"/>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53"/>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53"/>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53"/>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53"/>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53"/>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53"/>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53"/>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53"/>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53"/>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53"/>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53"/>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53"/>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53"/>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53"/>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53"/>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53"/>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53"/>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53"/>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53"/>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53"/>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53"/>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53"/>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53"/>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53"/>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53"/>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53"/>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53"/>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53"/>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53"/>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53"/>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53"/>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53"/>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53"/>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53"/>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53"/>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53"/>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53"/>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53"/>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53"/>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53"/>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53"/>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53"/>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53"/>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53"/>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53"/>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53"/>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53"/>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53"/>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53"/>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53"/>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53"/>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53"/>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53"/>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53"/>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53"/>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53"/>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53"/>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53"/>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53"/>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53"/>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53"/>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53"/>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53"/>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53"/>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53"/>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53"/>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53"/>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53"/>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53"/>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53"/>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53"/>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53"/>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53"/>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53"/>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53"/>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53"/>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53"/>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53"/>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53"/>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53"/>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53"/>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53"/>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53"/>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53"/>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53"/>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53"/>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53"/>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53"/>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53"/>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53"/>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53"/>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53"/>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53"/>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53"/>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53"/>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53"/>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53"/>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53"/>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53"/>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53"/>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53"/>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53"/>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53"/>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53"/>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53"/>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53"/>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53"/>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53"/>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53"/>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53"/>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53"/>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53"/>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53"/>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53"/>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53"/>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53"/>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53"/>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53"/>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53"/>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53"/>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53"/>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53"/>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53"/>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53"/>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53"/>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53"/>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53"/>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53"/>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53"/>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53"/>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53"/>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53"/>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53"/>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53"/>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53"/>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53"/>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53"/>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53"/>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53"/>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53"/>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53"/>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53"/>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53"/>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53"/>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53"/>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53"/>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53"/>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53"/>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53"/>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53"/>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53"/>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53"/>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53"/>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53"/>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53"/>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53"/>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53"/>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53"/>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53"/>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53"/>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53"/>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53"/>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53"/>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53"/>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53"/>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53"/>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53"/>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53"/>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53"/>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53"/>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53"/>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53"/>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53"/>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53"/>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53"/>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53"/>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53"/>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53"/>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53"/>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53"/>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53"/>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53"/>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53"/>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53"/>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53"/>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53"/>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53"/>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53"/>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53"/>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53"/>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53"/>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53"/>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53"/>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53"/>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53"/>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53"/>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53"/>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53"/>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53"/>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53"/>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53"/>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53"/>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53"/>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53"/>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53"/>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53"/>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53"/>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53"/>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53"/>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53"/>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53"/>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53"/>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53"/>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53"/>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53"/>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53"/>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53"/>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53"/>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53"/>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53"/>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53"/>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53"/>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53"/>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53"/>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53"/>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53"/>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53"/>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53"/>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53"/>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53"/>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53"/>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53"/>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53"/>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53"/>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53"/>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53"/>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53"/>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53"/>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53"/>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53"/>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53"/>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53"/>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53"/>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53"/>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53"/>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53"/>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53"/>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53"/>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53"/>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53"/>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53"/>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53"/>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53"/>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53"/>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53"/>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53"/>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53"/>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53"/>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53"/>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53"/>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53"/>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53"/>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53"/>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53"/>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53"/>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53"/>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53"/>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53"/>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53"/>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53"/>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53"/>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53"/>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53"/>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53"/>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53"/>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53"/>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53"/>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53"/>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53"/>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53"/>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53"/>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53"/>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53"/>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53"/>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53"/>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53"/>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53"/>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53"/>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53"/>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53"/>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53"/>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53"/>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53"/>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53"/>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53"/>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53"/>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53"/>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53"/>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53"/>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53"/>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53"/>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53"/>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53"/>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53"/>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53"/>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53"/>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53"/>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53"/>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53"/>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53"/>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53"/>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53"/>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53"/>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53"/>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53"/>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53"/>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53"/>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53"/>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53"/>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53"/>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53"/>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53"/>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53"/>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53"/>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53"/>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53"/>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53"/>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53"/>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53"/>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53"/>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53"/>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53"/>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53"/>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53"/>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53"/>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53"/>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53"/>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53"/>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53"/>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53"/>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53"/>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53"/>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53"/>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53"/>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53"/>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53"/>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53"/>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53"/>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53"/>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53"/>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53"/>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53"/>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53"/>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53"/>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53"/>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53"/>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53"/>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53"/>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53"/>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53"/>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53"/>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53"/>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53"/>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53"/>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53"/>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53"/>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53"/>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53"/>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53"/>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53"/>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53"/>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53"/>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53"/>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53"/>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53"/>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53"/>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53"/>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53"/>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53"/>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53"/>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53"/>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53"/>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53"/>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53"/>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53"/>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53"/>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53"/>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53"/>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53"/>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53"/>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53"/>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53"/>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53"/>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53"/>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53"/>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53"/>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53"/>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53"/>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53"/>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53"/>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53"/>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53"/>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53"/>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53"/>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53"/>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53"/>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53"/>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53"/>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53"/>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53"/>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53"/>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53"/>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53"/>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53"/>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53"/>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53"/>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53"/>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53"/>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53"/>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53"/>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53"/>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53"/>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53"/>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53"/>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53"/>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53"/>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53"/>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53"/>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53"/>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53"/>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53"/>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53"/>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53"/>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53"/>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53"/>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53"/>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53"/>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53"/>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53"/>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53"/>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4">
    <mergeCell ref="B121:I122"/>
    <mergeCell ref="F50:G50"/>
    <mergeCell ref="B51:I51"/>
    <mergeCell ref="B52:I63"/>
    <mergeCell ref="B66:I77"/>
    <mergeCell ref="B80:I91"/>
    <mergeCell ref="B94:I105"/>
    <mergeCell ref="B107:I107"/>
    <mergeCell ref="C49:D49"/>
    <mergeCell ref="F49:G49"/>
    <mergeCell ref="C50:D50"/>
    <mergeCell ref="B108:I119"/>
    <mergeCell ref="B35:E46"/>
    <mergeCell ref="F35:I46"/>
    <mergeCell ref="B14:I14"/>
    <mergeCell ref="H16:I16"/>
    <mergeCell ref="C16:E16"/>
    <mergeCell ref="B19:I19"/>
    <mergeCell ref="B22:I32"/>
    <mergeCell ref="H2:I2"/>
    <mergeCell ref="A4:I4"/>
    <mergeCell ref="C6:D6"/>
    <mergeCell ref="C11:E11"/>
    <mergeCell ref="H11:I11"/>
  </mergeCells>
  <phoneticPr fontId="10"/>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topLeftCell="A21" workbookViewId="0">
      <selection activeCell="D100" sqref="D100:U100"/>
    </sheetView>
  </sheetViews>
  <sheetFormatPr defaultColWidth="14.453125" defaultRowHeight="15" customHeight="1"/>
  <cols>
    <col min="1" max="3" width="2.81640625" customWidth="1"/>
    <col min="4" max="4" width="22.08984375" customWidth="1"/>
    <col min="5" max="5" width="30.81640625" customWidth="1"/>
    <col min="6" max="7" width="7.81640625" customWidth="1"/>
    <col min="8" max="9" width="30.81640625" customWidth="1"/>
    <col min="10" max="26" width="11.453125" customWidth="1"/>
  </cols>
  <sheetData>
    <row r="1" spans="1:26" ht="18.75" customHeight="1">
      <c r="A1" s="1" t="s">
        <v>157</v>
      </c>
      <c r="B1" s="1"/>
      <c r="C1" s="1"/>
      <c r="D1" s="1"/>
      <c r="E1" s="1"/>
      <c r="F1" s="1"/>
      <c r="G1" s="1"/>
      <c r="H1" s="1"/>
      <c r="I1" s="2" t="s">
        <v>158</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星薬科大学</v>
      </c>
      <c r="J2" s="1"/>
      <c r="K2" s="1"/>
      <c r="L2" s="1"/>
      <c r="M2" s="1"/>
      <c r="N2" s="1"/>
      <c r="O2" s="1"/>
      <c r="P2" s="1"/>
      <c r="Q2" s="1"/>
      <c r="R2" s="1"/>
      <c r="S2" s="1"/>
      <c r="T2" s="1"/>
      <c r="U2" s="1"/>
      <c r="V2" s="1"/>
      <c r="W2" s="1"/>
      <c r="X2" s="1"/>
      <c r="Y2" s="1"/>
      <c r="Z2" s="1"/>
    </row>
    <row r="3" spans="1:26" ht="18.75" customHeight="1">
      <c r="A3" s="115" t="s">
        <v>159</v>
      </c>
      <c r="B3" s="75"/>
      <c r="C3" s="75"/>
      <c r="D3" s="75"/>
      <c r="E3" s="75"/>
      <c r="F3" s="75"/>
      <c r="G3" s="75"/>
      <c r="H3" s="75"/>
      <c r="I3" s="75"/>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110</v>
      </c>
      <c r="B5" s="9" t="s">
        <v>160</v>
      </c>
      <c r="C5" s="7"/>
      <c r="D5" s="7"/>
      <c r="E5" s="7"/>
      <c r="F5" s="7"/>
      <c r="G5" s="7"/>
      <c r="H5" s="7"/>
      <c r="I5" s="7"/>
      <c r="J5" s="1"/>
      <c r="K5" s="1"/>
      <c r="L5" s="1"/>
      <c r="M5" s="1"/>
      <c r="N5" s="1"/>
      <c r="O5" s="1"/>
      <c r="P5" s="1"/>
      <c r="Q5" s="1"/>
      <c r="R5" s="1"/>
      <c r="S5" s="1"/>
      <c r="T5" s="1"/>
      <c r="U5" s="1"/>
      <c r="V5" s="1"/>
      <c r="W5" s="1"/>
      <c r="X5" s="1"/>
      <c r="Y5" s="1"/>
      <c r="Z5" s="1"/>
    </row>
    <row r="6" spans="1:26" ht="26.25" customHeight="1">
      <c r="A6" s="7"/>
      <c r="B6" s="133" t="s">
        <v>124</v>
      </c>
      <c r="C6" s="77"/>
      <c r="D6" s="77"/>
      <c r="E6" s="77"/>
      <c r="F6" s="77"/>
      <c r="G6" s="77"/>
      <c r="H6" s="78"/>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118</v>
      </c>
      <c r="E8" s="63" t="s">
        <v>125</v>
      </c>
      <c r="F8" s="8"/>
      <c r="G8" s="2" t="s">
        <v>120</v>
      </c>
      <c r="H8" s="63" t="s">
        <v>126</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114</v>
      </c>
      <c r="B10" s="1" t="s">
        <v>161</v>
      </c>
      <c r="C10" s="55"/>
      <c r="D10" s="55"/>
      <c r="E10" s="55"/>
      <c r="F10" s="55"/>
      <c r="G10" s="55"/>
      <c r="H10" s="55"/>
      <c r="I10" s="55"/>
      <c r="J10" s="1"/>
      <c r="K10" s="1"/>
      <c r="L10" s="1"/>
      <c r="M10" s="1"/>
      <c r="N10" s="1"/>
      <c r="O10" s="1"/>
      <c r="P10" s="1"/>
      <c r="Q10" s="1"/>
      <c r="R10" s="1"/>
      <c r="S10" s="1"/>
      <c r="T10" s="1"/>
      <c r="U10" s="1"/>
      <c r="V10" s="1"/>
      <c r="W10" s="1"/>
      <c r="X10" s="1"/>
      <c r="Y10" s="1"/>
      <c r="Z10" s="1"/>
    </row>
    <row r="11" spans="1:26" ht="18.75" customHeight="1">
      <c r="A11" s="1"/>
      <c r="B11" s="76" t="s">
        <v>162</v>
      </c>
      <c r="C11" s="77"/>
      <c r="D11" s="78"/>
      <c r="E11" s="179" t="s">
        <v>163</v>
      </c>
      <c r="F11" s="77"/>
      <c r="G11" s="77"/>
      <c r="H11" s="77"/>
      <c r="I11" s="78"/>
      <c r="J11" s="1"/>
      <c r="K11" s="1"/>
      <c r="L11" s="1"/>
      <c r="M11" s="1"/>
      <c r="N11" s="1"/>
      <c r="O11" s="1"/>
      <c r="P11" s="1"/>
      <c r="Q11" s="1"/>
      <c r="R11" s="1"/>
      <c r="S11" s="1"/>
      <c r="T11" s="1"/>
      <c r="U11" s="1"/>
      <c r="V11" s="1"/>
      <c r="W11" s="1"/>
      <c r="X11" s="1"/>
      <c r="Y11" s="1"/>
      <c r="Z11" s="1"/>
    </row>
    <row r="12" spans="1:26" ht="26.25" customHeight="1">
      <c r="A12" s="1"/>
      <c r="B12" s="64" t="s">
        <v>164</v>
      </c>
      <c r="C12" s="65"/>
      <c r="D12" s="66"/>
      <c r="E12" s="67"/>
      <c r="F12" s="67"/>
      <c r="G12" s="67"/>
      <c r="H12" s="67"/>
      <c r="I12" s="66"/>
      <c r="J12" s="1"/>
      <c r="K12" s="1"/>
      <c r="L12" s="1"/>
      <c r="M12" s="1"/>
      <c r="N12" s="1"/>
      <c r="O12" s="1"/>
      <c r="P12" s="1"/>
      <c r="Q12" s="1"/>
      <c r="R12" s="1"/>
      <c r="S12" s="1"/>
      <c r="T12" s="1"/>
      <c r="U12" s="1"/>
      <c r="V12" s="1"/>
      <c r="W12" s="1"/>
      <c r="X12" s="1"/>
      <c r="Y12" s="1"/>
      <c r="Z12" s="1"/>
    </row>
    <row r="13" spans="1:26" ht="210.75" customHeight="1">
      <c r="A13" s="1"/>
      <c r="B13" s="68"/>
      <c r="C13" s="178" t="s">
        <v>165</v>
      </c>
      <c r="D13" s="84"/>
      <c r="E13" s="170" t="s">
        <v>166</v>
      </c>
      <c r="F13" s="106"/>
      <c r="G13" s="106"/>
      <c r="H13" s="106"/>
      <c r="I13" s="107"/>
      <c r="J13" s="1"/>
      <c r="K13" s="1"/>
      <c r="L13" s="1"/>
      <c r="M13" s="1"/>
      <c r="N13" s="1"/>
      <c r="O13" s="1"/>
      <c r="P13" s="1"/>
      <c r="Q13" s="1"/>
      <c r="R13" s="1"/>
      <c r="S13" s="1"/>
      <c r="T13" s="1"/>
      <c r="U13" s="1"/>
      <c r="V13" s="1"/>
      <c r="W13" s="1"/>
      <c r="X13" s="1"/>
      <c r="Y13" s="1"/>
      <c r="Z13" s="1"/>
    </row>
    <row r="14" spans="1:26" ht="210.75" customHeight="1">
      <c r="A14" s="1"/>
      <c r="B14" s="68"/>
      <c r="C14" s="180" t="s">
        <v>167</v>
      </c>
      <c r="D14" s="84"/>
      <c r="E14" s="170" t="s">
        <v>168</v>
      </c>
      <c r="F14" s="106"/>
      <c r="G14" s="106"/>
      <c r="H14" s="106"/>
      <c r="I14" s="107"/>
      <c r="J14" s="1"/>
      <c r="K14" s="1"/>
      <c r="L14" s="1"/>
      <c r="M14" s="1"/>
      <c r="N14" s="1"/>
      <c r="O14" s="1"/>
      <c r="P14" s="1"/>
      <c r="Q14" s="1"/>
      <c r="R14" s="1"/>
      <c r="S14" s="1"/>
      <c r="T14" s="1"/>
      <c r="U14" s="1"/>
      <c r="V14" s="1"/>
      <c r="W14" s="1"/>
      <c r="X14" s="1"/>
      <c r="Y14" s="1"/>
      <c r="Z14" s="1"/>
    </row>
    <row r="15" spans="1:26" ht="210.75" customHeight="1">
      <c r="A15" s="1"/>
      <c r="B15" s="68"/>
      <c r="C15" s="178" t="s">
        <v>169</v>
      </c>
      <c r="D15" s="84"/>
      <c r="E15" s="170" t="s">
        <v>170</v>
      </c>
      <c r="F15" s="106"/>
      <c r="G15" s="106"/>
      <c r="H15" s="106"/>
      <c r="I15" s="107"/>
      <c r="J15" s="1"/>
      <c r="K15" s="1"/>
      <c r="L15" s="1"/>
      <c r="M15" s="1"/>
      <c r="N15" s="1"/>
      <c r="O15" s="1"/>
      <c r="P15" s="1"/>
      <c r="Q15" s="1"/>
      <c r="R15" s="1"/>
      <c r="S15" s="1"/>
      <c r="T15" s="1"/>
      <c r="U15" s="1"/>
      <c r="V15" s="1"/>
      <c r="W15" s="1"/>
      <c r="X15" s="1"/>
      <c r="Y15" s="1"/>
      <c r="Z15" s="1"/>
    </row>
    <row r="16" spans="1:26" ht="210.75" customHeight="1">
      <c r="A16" s="1"/>
      <c r="B16" s="68"/>
      <c r="C16" s="178" t="s">
        <v>171</v>
      </c>
      <c r="D16" s="84"/>
      <c r="E16" s="170" t="s">
        <v>172</v>
      </c>
      <c r="F16" s="106"/>
      <c r="G16" s="106"/>
      <c r="H16" s="106"/>
      <c r="I16" s="107"/>
      <c r="J16" s="1"/>
      <c r="K16" s="1"/>
      <c r="L16" s="1"/>
      <c r="M16" s="1"/>
      <c r="N16" s="1"/>
      <c r="O16" s="1"/>
      <c r="P16" s="1"/>
      <c r="Q16" s="1"/>
      <c r="R16" s="1"/>
      <c r="S16" s="1"/>
      <c r="T16" s="1"/>
      <c r="U16" s="1"/>
      <c r="V16" s="1"/>
      <c r="W16" s="1"/>
      <c r="X16" s="1"/>
      <c r="Y16" s="1"/>
      <c r="Z16" s="1"/>
    </row>
    <row r="17" spans="1:26" ht="210.75" customHeight="1">
      <c r="A17" s="1"/>
      <c r="B17" s="69"/>
      <c r="C17" s="165" t="s">
        <v>173</v>
      </c>
      <c r="D17" s="87"/>
      <c r="E17" s="171" t="s">
        <v>174</v>
      </c>
      <c r="F17" s="86"/>
      <c r="G17" s="86"/>
      <c r="H17" s="86"/>
      <c r="I17" s="87"/>
      <c r="J17" s="1"/>
      <c r="K17" s="1"/>
      <c r="L17" s="1"/>
      <c r="M17" s="1"/>
      <c r="N17" s="1"/>
      <c r="O17" s="1"/>
      <c r="P17" s="1"/>
      <c r="Q17" s="1"/>
      <c r="R17" s="1"/>
      <c r="S17" s="1"/>
      <c r="T17" s="1"/>
      <c r="U17" s="1"/>
      <c r="V17" s="1"/>
      <c r="W17" s="1"/>
      <c r="X17" s="1"/>
      <c r="Y17" s="1"/>
      <c r="Z17" s="1"/>
    </row>
    <row r="18" spans="1:26" ht="24" customHeight="1">
      <c r="A18" s="1"/>
      <c r="B18" s="64" t="s">
        <v>175</v>
      </c>
      <c r="C18" s="70"/>
      <c r="D18" s="71"/>
      <c r="E18" s="72"/>
      <c r="F18" s="72"/>
      <c r="G18" s="72"/>
      <c r="H18" s="72"/>
      <c r="I18" s="73"/>
      <c r="J18" s="1"/>
      <c r="K18" s="1"/>
      <c r="L18" s="1"/>
      <c r="M18" s="1"/>
      <c r="N18" s="1"/>
      <c r="O18" s="1"/>
      <c r="P18" s="1"/>
      <c r="Q18" s="1"/>
      <c r="R18" s="1"/>
      <c r="S18" s="1"/>
      <c r="T18" s="1"/>
      <c r="U18" s="1"/>
      <c r="V18" s="1"/>
      <c r="W18" s="1"/>
      <c r="X18" s="1"/>
      <c r="Y18" s="1"/>
      <c r="Z18" s="1"/>
    </row>
    <row r="19" spans="1:26" ht="218.25" customHeight="1">
      <c r="A19" s="1"/>
      <c r="B19" s="68"/>
      <c r="C19" s="178" t="s">
        <v>176</v>
      </c>
      <c r="D19" s="84"/>
      <c r="E19" s="172" t="s">
        <v>177</v>
      </c>
      <c r="F19" s="106"/>
      <c r="G19" s="106"/>
      <c r="H19" s="106"/>
      <c r="I19" s="107"/>
      <c r="J19" s="1"/>
      <c r="K19" s="1"/>
      <c r="L19" s="1"/>
      <c r="M19" s="1"/>
      <c r="N19" s="1"/>
      <c r="O19" s="1"/>
      <c r="P19" s="1"/>
      <c r="Q19" s="1"/>
      <c r="R19" s="1"/>
      <c r="S19" s="1"/>
      <c r="T19" s="1"/>
      <c r="U19" s="1"/>
      <c r="V19" s="1"/>
      <c r="W19" s="1"/>
      <c r="X19" s="1"/>
      <c r="Y19" s="1"/>
      <c r="Z19" s="1"/>
    </row>
    <row r="20" spans="1:26" ht="218.25" customHeight="1">
      <c r="A20" s="1"/>
      <c r="B20" s="69"/>
      <c r="C20" s="165" t="s">
        <v>178</v>
      </c>
      <c r="D20" s="87"/>
      <c r="E20" s="173" t="s">
        <v>179</v>
      </c>
      <c r="F20" s="103"/>
      <c r="G20" s="103"/>
      <c r="H20" s="103"/>
      <c r="I20" s="104"/>
      <c r="J20" s="1"/>
      <c r="K20" s="1"/>
      <c r="L20" s="1"/>
      <c r="M20" s="1"/>
      <c r="N20" s="1"/>
      <c r="O20" s="1"/>
      <c r="P20" s="1"/>
      <c r="Q20" s="1"/>
      <c r="R20" s="1"/>
      <c r="S20" s="1"/>
      <c r="T20" s="1"/>
      <c r="U20" s="1"/>
      <c r="V20" s="1"/>
      <c r="W20" s="1"/>
      <c r="X20" s="1"/>
      <c r="Y20" s="1"/>
      <c r="Z20" s="1"/>
    </row>
    <row r="21" spans="1:26" ht="218.25" customHeight="1">
      <c r="A21" s="1"/>
      <c r="B21" s="166" t="s">
        <v>180</v>
      </c>
      <c r="C21" s="167"/>
      <c r="D21" s="168"/>
      <c r="E21" s="174" t="s">
        <v>181</v>
      </c>
      <c r="F21" s="175"/>
      <c r="G21" s="175"/>
      <c r="H21" s="175"/>
      <c r="I21" s="176"/>
      <c r="J21" s="1"/>
      <c r="K21" s="1"/>
      <c r="L21" s="1"/>
      <c r="M21" s="1"/>
      <c r="N21" s="1"/>
      <c r="O21" s="1"/>
      <c r="P21" s="1"/>
      <c r="Q21" s="1"/>
      <c r="R21" s="1"/>
      <c r="S21" s="1"/>
      <c r="T21" s="1"/>
      <c r="U21" s="1"/>
      <c r="V21" s="1"/>
      <c r="W21" s="1"/>
      <c r="X21" s="1"/>
      <c r="Y21" s="1"/>
      <c r="Z21" s="1"/>
    </row>
    <row r="22" spans="1:26" ht="218.25" customHeight="1">
      <c r="A22" s="1"/>
      <c r="B22" s="169" t="s">
        <v>182</v>
      </c>
      <c r="C22" s="94"/>
      <c r="D22" s="95"/>
      <c r="E22" s="177" t="s">
        <v>183</v>
      </c>
      <c r="F22" s="144"/>
      <c r="G22" s="144"/>
      <c r="H22" s="144"/>
      <c r="I22" s="145"/>
      <c r="J22" s="1"/>
      <c r="K22" s="1"/>
      <c r="L22" s="1"/>
      <c r="M22" s="1"/>
      <c r="N22" s="1"/>
      <c r="O22" s="1"/>
      <c r="P22" s="1"/>
      <c r="Q22" s="1"/>
      <c r="R22" s="1"/>
      <c r="S22" s="1"/>
      <c r="T22" s="1"/>
      <c r="U22" s="1"/>
      <c r="V22" s="1"/>
      <c r="W22" s="1"/>
      <c r="X22" s="1"/>
      <c r="Y22" s="1"/>
      <c r="Z22" s="1"/>
    </row>
    <row r="23" spans="1:26" ht="22.5" customHeight="1">
      <c r="A23" s="1"/>
      <c r="B23" s="55"/>
      <c r="C23" s="55"/>
      <c r="D23" s="55"/>
      <c r="E23" s="55"/>
      <c r="F23" s="55"/>
      <c r="G23" s="55"/>
      <c r="H23" s="55"/>
      <c r="I23" s="55"/>
      <c r="J23" s="1"/>
      <c r="K23" s="1"/>
      <c r="L23" s="1"/>
      <c r="M23" s="1"/>
      <c r="N23" s="1"/>
      <c r="O23" s="1"/>
      <c r="P23" s="1"/>
      <c r="Q23" s="1"/>
      <c r="R23" s="1"/>
      <c r="S23" s="1"/>
      <c r="T23" s="1"/>
      <c r="U23" s="1"/>
      <c r="V23" s="1"/>
      <c r="W23" s="1"/>
      <c r="X23" s="1"/>
      <c r="Y23" s="1"/>
      <c r="Z23" s="1"/>
    </row>
    <row r="24" spans="1:26" ht="22.5" customHeight="1">
      <c r="A24" s="1"/>
      <c r="B24" s="55"/>
      <c r="C24" s="55"/>
      <c r="D24" s="55"/>
      <c r="E24" s="55"/>
      <c r="F24" s="55"/>
      <c r="G24" s="55"/>
      <c r="H24" s="55"/>
      <c r="I24" s="55"/>
      <c r="J24" s="1"/>
      <c r="K24" s="1"/>
      <c r="L24" s="1"/>
      <c r="M24" s="1"/>
      <c r="N24" s="1"/>
      <c r="O24" s="1"/>
      <c r="P24" s="1"/>
      <c r="Q24" s="1"/>
      <c r="R24" s="1"/>
      <c r="S24" s="1"/>
      <c r="T24" s="1"/>
      <c r="U24" s="1"/>
      <c r="V24" s="1"/>
      <c r="W24" s="1"/>
      <c r="X24" s="1"/>
      <c r="Y24" s="1"/>
      <c r="Z24" s="1"/>
    </row>
    <row r="25" spans="1:26" ht="22.5" customHeight="1">
      <c r="A25" s="1"/>
      <c r="B25" s="55"/>
      <c r="C25" s="55"/>
      <c r="D25" s="55"/>
      <c r="E25" s="55"/>
      <c r="F25" s="55"/>
      <c r="G25" s="55"/>
      <c r="H25" s="55"/>
      <c r="I25" s="55"/>
      <c r="J25" s="1"/>
      <c r="K25" s="1"/>
      <c r="L25" s="1"/>
      <c r="M25" s="1"/>
      <c r="N25" s="1"/>
      <c r="O25" s="1"/>
      <c r="P25" s="1"/>
      <c r="Q25" s="1"/>
      <c r="R25" s="1"/>
      <c r="S25" s="1"/>
      <c r="T25" s="1"/>
      <c r="U25" s="1"/>
      <c r="V25" s="1"/>
      <c r="W25" s="1"/>
      <c r="X25" s="1"/>
      <c r="Y25" s="1"/>
      <c r="Z25" s="1"/>
    </row>
    <row r="26" spans="1:26" ht="22.5" customHeight="1">
      <c r="A26" s="1"/>
      <c r="B26" s="55"/>
      <c r="C26" s="55"/>
      <c r="D26" s="55"/>
      <c r="E26" s="55"/>
      <c r="F26" s="55"/>
      <c r="G26" s="55"/>
      <c r="H26" s="55"/>
      <c r="I26" s="55"/>
      <c r="J26" s="1"/>
      <c r="K26" s="1"/>
      <c r="L26" s="1"/>
      <c r="M26" s="1"/>
      <c r="N26" s="1"/>
      <c r="O26" s="1"/>
      <c r="P26" s="1"/>
      <c r="Q26" s="1"/>
      <c r="R26" s="1"/>
      <c r="S26" s="1"/>
      <c r="T26" s="1"/>
      <c r="U26" s="1"/>
      <c r="V26" s="1"/>
      <c r="W26" s="1"/>
      <c r="X26" s="1"/>
      <c r="Y26" s="1"/>
      <c r="Z26" s="1"/>
    </row>
    <row r="27" spans="1:26" ht="22.5" customHeight="1">
      <c r="A27" s="1"/>
      <c r="B27" s="55"/>
      <c r="C27" s="55"/>
      <c r="D27" s="55"/>
      <c r="E27" s="55"/>
      <c r="F27" s="55"/>
      <c r="G27" s="55"/>
      <c r="H27" s="55"/>
      <c r="I27" s="55"/>
      <c r="J27" s="1"/>
      <c r="K27" s="1"/>
      <c r="L27" s="1"/>
      <c r="M27" s="1"/>
      <c r="N27" s="1"/>
      <c r="O27" s="1"/>
      <c r="P27" s="1"/>
      <c r="Q27" s="1"/>
      <c r="R27" s="1"/>
      <c r="S27" s="1"/>
      <c r="T27" s="1"/>
      <c r="U27" s="1"/>
      <c r="V27" s="1"/>
      <c r="W27" s="1"/>
      <c r="X27" s="1"/>
      <c r="Y27" s="1"/>
      <c r="Z27" s="1"/>
    </row>
    <row r="28" spans="1:26" ht="22.5" customHeight="1">
      <c r="A28" s="1"/>
      <c r="B28" s="19"/>
      <c r="C28" s="19"/>
      <c r="D28" s="19"/>
      <c r="E28" s="19"/>
      <c r="F28" s="19"/>
      <c r="G28" s="19"/>
      <c r="H28" s="19"/>
      <c r="I28" s="19"/>
      <c r="J28" s="1"/>
      <c r="K28" s="1"/>
      <c r="L28" s="1"/>
      <c r="M28" s="1"/>
      <c r="N28" s="1"/>
      <c r="O28" s="1"/>
      <c r="P28" s="1"/>
      <c r="Q28" s="1"/>
      <c r="R28" s="1"/>
      <c r="S28" s="1"/>
      <c r="T28" s="1"/>
      <c r="U28" s="1"/>
      <c r="V28" s="1"/>
      <c r="W28" s="1"/>
      <c r="X28" s="1"/>
      <c r="Y28" s="1"/>
      <c r="Z28" s="1"/>
    </row>
    <row r="29" spans="1:26" ht="22.5" customHeight="1">
      <c r="A29" s="1"/>
      <c r="B29" s="19"/>
      <c r="C29" s="19"/>
      <c r="D29" s="19"/>
      <c r="E29" s="19"/>
      <c r="F29" s="19"/>
      <c r="G29" s="19"/>
      <c r="H29" s="19"/>
      <c r="I29" s="19"/>
      <c r="J29" s="1"/>
      <c r="K29" s="1"/>
      <c r="L29" s="1"/>
      <c r="M29" s="1"/>
      <c r="N29" s="1"/>
      <c r="O29" s="1"/>
      <c r="P29" s="1"/>
      <c r="Q29" s="1"/>
      <c r="R29" s="1"/>
      <c r="S29" s="1"/>
      <c r="T29" s="1"/>
      <c r="U29" s="1"/>
      <c r="V29" s="1"/>
      <c r="W29" s="1"/>
      <c r="X29" s="1"/>
      <c r="Y29" s="1"/>
      <c r="Z29" s="1"/>
    </row>
    <row r="30" spans="1:26" ht="22.5" customHeight="1">
      <c r="A30" s="1"/>
      <c r="B30" s="19"/>
      <c r="C30" s="19"/>
      <c r="D30" s="19"/>
      <c r="E30" s="19"/>
      <c r="F30" s="19"/>
      <c r="G30" s="19"/>
      <c r="H30" s="19"/>
      <c r="I30" s="19"/>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E14:I14"/>
    <mergeCell ref="A3:I3"/>
    <mergeCell ref="B6:H6"/>
    <mergeCell ref="B11:D11"/>
    <mergeCell ref="E11:I11"/>
    <mergeCell ref="C13:D13"/>
    <mergeCell ref="E13:I13"/>
    <mergeCell ref="C14:D14"/>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s>
  <phoneticPr fontId="10"/>
  <printOptions horizontalCentered="1"/>
  <pageMargins left="0.78740157480314965" right="0.78740157480314965" top="0.78740157480314965" bottom="0.59055118110236227" header="0" footer="0"/>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稲岡 和生</cp:lastModifiedBy>
  <cp:lastPrinted>2025-05-08T09:02:56Z</cp:lastPrinted>
  <dcterms:created xsi:type="dcterms:W3CDTF">2011-06-14T05:32:50Z</dcterms:created>
  <dcterms:modified xsi:type="dcterms:W3CDTF">2025-07-06T03:10:23Z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