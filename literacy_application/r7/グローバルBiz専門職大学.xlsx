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X:\GPU関連\01教務関連\024 数理・データサイエンス・AI教育プログラム認定制度（リテラシ\グローバルBiz専門職大学\"/>
    </mc:Choice>
  </mc:AlternateContent>
  <xr:revisionPtr revIDLastSave="0" documentId="13_ncr:1_{8923EEE5-1EB8-4129-A413-61CE051E4DFC}" xr6:coauthVersionLast="36" xr6:coauthVersionMax="36" xr10:uidLastSave="{00000000-0000-0000-0000-000000000000}"/>
  <bookViews>
    <workbookView xWindow="0" yWindow="0" windowWidth="15375" windowHeight="10995" tabRatio="885" activeTab="3"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Q33" i="2" l="1"/>
  <c r="P33" i="2"/>
  <c r="O33" i="2"/>
  <c r="N33" i="2"/>
  <c r="M33" i="2"/>
  <c r="L33" i="2"/>
  <c r="K33" i="2"/>
  <c r="J33" i="2"/>
  <c r="I33" i="2"/>
  <c r="H33" i="2"/>
  <c r="G33" i="2"/>
  <c r="F33" i="2"/>
  <c r="E33" i="2"/>
  <c r="I50" i="3" s="1"/>
  <c r="D33" i="2"/>
  <c r="C33" i="2"/>
  <c r="R32" i="2"/>
  <c r="S32" i="2" s="1"/>
  <c r="R31" i="2"/>
  <c r="S31" i="2" s="1"/>
  <c r="R30" i="2"/>
  <c r="S30" i="2" s="1"/>
  <c r="R29" i="2"/>
  <c r="S29" i="2" s="1"/>
  <c r="R28" i="2"/>
  <c r="S28" i="2" s="1"/>
  <c r="R27" i="2"/>
  <c r="S27" i="2" s="1"/>
  <c r="R26" i="2"/>
  <c r="S26" i="2" s="1"/>
  <c r="R25" i="2"/>
  <c r="S25" i="2" s="1"/>
  <c r="R24" i="2"/>
  <c r="S24" i="2" s="1"/>
  <c r="R23" i="2"/>
  <c r="S23" i="2" s="1"/>
  <c r="R22" i="2"/>
  <c r="S22" i="2" s="1"/>
  <c r="R21" i="2"/>
  <c r="S21" i="2" s="1"/>
  <c r="R20" i="2"/>
  <c r="S20" i="2" s="1"/>
  <c r="R19" i="2"/>
  <c r="S19" i="2" s="1"/>
  <c r="R18" i="2"/>
  <c r="S18" i="2" s="1"/>
  <c r="R17" i="2"/>
  <c r="S17" i="2" s="1"/>
  <c r="R16" i="2"/>
  <c r="R15" i="2"/>
  <c r="S15" i="2" s="1"/>
  <c r="R14" i="2"/>
  <c r="S14" i="2" s="1"/>
  <c r="R13" i="2"/>
  <c r="S13" i="2" s="1"/>
  <c r="M7" i="2"/>
  <c r="R33" i="2" l="1"/>
  <c r="S33" i="2" s="1"/>
  <c r="C49" i="3" s="1"/>
  <c r="S16" i="2"/>
</calcChain>
</file>

<file path=xl/sharedStrings.xml><?xml version="1.0" encoding="utf-8"?>
<sst xmlns="http://schemas.openxmlformats.org/spreadsheetml/2006/main" count="290" uniqueCount="186">
  <si>
    <t>様式１</t>
  </si>
  <si>
    <t>「学部・学科によって、修了要件は相違する」場合は、本シートを複製の上＜様式１－〇＞と枝番号を付してください</t>
  </si>
  <si>
    <t>大学等名</t>
  </si>
  <si>
    <t>グローバルBiz専門職大学</t>
  </si>
  <si>
    <t>プログラム名</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</si>
  <si>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</si>
  <si>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</si>
  <si>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</si>
  <si>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</si>
  <si>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</si>
  <si>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スタディスキルズ１単位，IT概論２単位，ICT演習２単位を取得すること</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</si>
  <si>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</si>
  <si>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</si>
  <si>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</si>
  <si>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</si>
  <si>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</si>
  <si>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</si>
  <si>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</si>
  <si>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</si>
  <si>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令和８年度までに履修必須とする計画</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</si>
  <si>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</si>
  <si>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</si>
  <si>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</si>
  <si>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</si>
  <si>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</si>
  <si>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</si>
  <si>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スタディスキルズ</t>
  </si>
  <si>
    <t>○</t>
  </si>
  <si>
    <t>ICT演習</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</si>
  <si>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</si>
  <si>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</si>
  <si>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</si>
  <si>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</si>
  <si>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</si>
  <si>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</si>
  <si>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</si>
  <si>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</si>
  <si>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</si>
  <si>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IT概論</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</si>
  <si>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</si>
  <si>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</si>
  <si>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</si>
  <si>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</si>
  <si>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</si>
  <si>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</si>
  <si>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</si>
  <si>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</si>
  <si>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</si>
  <si>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</si>
  <si>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</si>
  <si>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</si>
  <si>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</si>
  <si>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</si>
  <si>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</si>
  <si>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</si>
  <si>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</si>
  <si>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</si>
  <si>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</si>
  <si>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</si>
  <si>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社会で起きている変化を知り，数理・データサイエンス・AIを学ぶことの意義を理解する
AIを活用した新しいビジネス/サービスを知る 「スタディスキルズ」 (第3回)
・ビッグデータ、IoT、AI、生成AI、ロボット 「スタディスキルズ」 (第3回)
・データ量の増加，計算機の処理性能の向上，AIの非連続的進化 「スタディスキルズ」 (第3回)
・第4次産業革命、Society 5.0，データ駆動型社会 「スタディスキルズ」 (第3回)</t>
  </si>
  <si>
    <t>データ・AI利活用における最新動向（ビジネスモデル、テクノロジー）を知る
・AI最新技術の活用例(深層生成モデル，強化学習、転移学習、生成AIなど) 「スタディスキルズ」(第12回)
・深層学習，転移学習，強化学習，透過性と説明責任 「ICT演習」 (第15回)</t>
  </si>
  <si>
    <t>（２）「社会で活用されているデータ」や「データの活用領域」は非常に広範囲であって、日常生活や社会の課題を解決する有用なツールになり得るもの</t>
  </si>
  <si>
    <t>どんなデータが集められ，どう活用されているかを知る
・調査データ，実験データ，人の行動ログデータ，機械の稼働ログデータなど 「ICT演習」(第11回)
・1次データ，2次データ，データのメタ化 「ICT演習」(第11回) 「スタディスキルズ」(第11,13回)
・データのオープン化（オープンデータ） 「ICT演習」(第11回)</t>
  </si>
  <si>
    <t>さまざまな領域でデータ・AIが活用されていることを知る
・データ・AI活用領域の広がり(生産、消費、文化活動など)  「スタディスキルズ」(第10回)</t>
  </si>
  <si>
    <t>（３）様々なデータ利活用の現場におけるデータ利活用事例が示され、様々な適用領域（流通、製造、金融、サービス、インフラ、公共、ヘルスケア等）の知見と組み合わせることで価値を創出するもの</t>
  </si>
  <si>
    <t>データ・AIを活用するために使われている技術の概要を知る
・データ解析:予測，グルーピング，パターン発見，モデル化とシミュレーション・データ同化などなど 「ICT演習」(第11回)
・データ可視化:複合グラフ，2軸グラフ，関係性の可視化など 「ICT演習」(第11回)</t>
  </si>
  <si>
    <t>データ・AIを活用することによって，どのような価値が生まれているかを知る
・データサイエンスのサイクル(課題抽出と定式化，結果の共有・伝達、課題解決に向けた提案) 「ICT演習」(第14回)
・データの取得・管理・加工，探索的データ解析，データ解析と推論 「ICT演習」 (第8回)</t>
  </si>
  <si>
    <t>（４）活用に当たっての様々な留意事項（ELSI、個人情報、データ倫理、ＡＩ社会原則等）を考慮し、情報セキュリティや情報漏洩等、データを守る上での留意事項への理解をする</t>
  </si>
  <si>
    <t>データ・AIを利活用する上で知っておくべきこと
・倫理的・法的・社会的課題(ELSI:Ethical, Legal and Social Issues) 「スタディスキルズ」 (第3回) 
・個人情報保護、EU一般データ保護規則(GDPR，忘れられる権利，オプトアウト「スタディスキルズ」 (第3回)
・データ倫理:データのねつ造，改ざん，盗用，プライバシー保護 「スタディスキルズ」 (第3回)</t>
  </si>
  <si>
    <t>データを守る上で知っておくべきこと
・情報セキュリティの3要素(機密性，完全性，可用性) 「IT概論」(第13回)
・匿名加工情報，暗号化と復号，ユーザ認証とパスワード，アクセス制御，悪意ある情報搾取 「IT概論」(第13,14回)
・情報漏洩等によるセキュリティ事故の事例紹介 「IT概論」(第14回)</t>
  </si>
  <si>
    <t>（５）実データ・実課題（学術データ等を含む）を用いた演習など、社会での実例を題材として、「データを読む、説明する、扱う」といった数理・データサイエンス・ＡＩの基本的な活用法に関するもの</t>
  </si>
  <si>
    <t>データを適切に読み解く力を養う
・データの種類(量的変数，質的変数) 「ICT演習」 (第12回)
 ・データの分布(ヒストグラム)と代表値(平均値，中央値，最頻値) 「ICT演習」 (第12回)
・代表値の性質の違い(実社会では平均値＝最頻値でないことが多い) 「ICT演習」 (第12回)
・データのばらつき(分散，標準偏差，偏差値)，外れ値 「ICT演習」 (第12回)
・相関と因果(相関係数，擬似相関) 「ICT演習」 (第12回)</t>
  </si>
  <si>
    <t>データを適切に説明する力を養う
・データ表現(棒グラフ，折線グラフ，散布図，ヒートマップ，箱ひげ図)「ICT演習」(第10回)
・データの比較(条件をそろえた比較，処理の前後での比較，A/Bテスト) 「ICT演習」(第10回)
・不適切なグラフ表現（チャートジャンク，不必要な視覚的要素）「ICT演習」(第10回)</t>
  </si>
  <si>
    <t>データを扱うための力を養う
・データの取得(機械判読可能なデータの作成・表記方法) 「ICT演習」 (第7,8,9回)
・データの集計(和，平均)「ICT演習」 (第8,9回) 
・データの並び替え，ランキング 「ICT演習」 (第8,9回)
・データ解析ツール（スプレッドシート，BIツール）「ICT演習」 (第7,8,9,10回)
・表形式のデータ（csv）「ICT演習」 (第7,8回)</t>
  </si>
  <si>
    <t>⑪ プログラムの学修成果（学生等が身に付けられる能力等）</t>
  </si>
  <si>
    <t xml:space="preserve">・「データを正しく読む力」や「データを正確に伝える力」を身に付ける
 ・データ解析（予測，モデル化・シミュレーション等）技術の修得
 ・データやAIが社会でどのように活用され，新たな価値を生んでいるかを知る
 ・最新技術（深層生成モデル，生成AI等）活用事例の学修
 ・データやAIの利活用には公平性・公正性・プライバシー保護などに課題があることを理解し，利活用に際し倫理的，法的，社会的に適切な判断ができるようになる
</t>
  </si>
  <si>
    <t>様式２</t>
  </si>
  <si>
    <t>リテラシーレベルのプログラムの履修者数等の実績について</t>
  </si>
  <si>
    <t>①プログラム開設年度</t>
  </si>
  <si>
    <t>令和６</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</si>
  <si>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</si>
  <si>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</si>
  <si>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</si>
  <si>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</si>
  <si>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</si>
  <si>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</si>
  <si>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</si>
  <si>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</si>
  <si>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</si>
  <si>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</si>
  <si>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</si>
  <si>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</si>
  <si>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</si>
  <si>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</si>
  <si>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</si>
  <si>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</si>
  <si>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</si>
  <si>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</si>
  <si>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</si>
  <si>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</si>
  <si>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</si>
  <si>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</si>
  <si>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</si>
  <si>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</si>
  <si>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グローバルビジネス学部・グローバルビジネス学科</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</si>
  <si>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</si>
  <si>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</si>
  <si>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</si>
  <si>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</si>
  <si>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</si>
  <si>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</si>
  <si>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</si>
  <si>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</si>
  <si>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</si>
  <si>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</si>
  <si>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</si>
  <si>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</si>
  <si>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</si>
  <si>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平岩 賢志</t>
  </si>
  <si>
    <t>（役職名）</t>
  </si>
  <si>
    <t>学長</t>
  </si>
  <si>
    <t>④</t>
  </si>
  <si>
    <t>プログラムを改善・進化させるための体制（委員会・組織等）</t>
  </si>
  <si>
    <t>石畑 宏明</t>
  </si>
  <si>
    <t>教授</t>
  </si>
  <si>
    <t>⑤</t>
  </si>
  <si>
    <t>プログラムを改善・進化させるための体制を定める規則名称</t>
  </si>
  <si>
    <t>⑥</t>
  </si>
  <si>
    <t>体制の目的</t>
  </si>
  <si>
    <t xml:space="preserve">データサイエンス・AIプログラム運用WGは，本学におけるデータサイエンス・AIプログラムの運用に関する事項について審議および自己点検・評価を行うことを目的とする．この中で，学生のICT関連スキルのレベルアップを図り，数理・AI・データサイエンスに関する知識・技能・基礎力を有した人材育成を目指した教育内容の検討を行う．さらに，本プログラムに関する情報の外部への公開，および外部の情報の活用等の検討を行う．
</t>
  </si>
  <si>
    <t>⑦</t>
  </si>
  <si>
    <t>具体的な構成員</t>
  </si>
  <si>
    <t>平岩 賢志(グローバルBiz専門職大学学長 教授)
津村 利昭(グローバルBiz専門職大学 学生部長)
武藤 彰英(グローバルビジネス学部 グローバルビジネス学科 教授)
石畑 宏明(グローバルビジネス学部 グローバルビジネス学科 教授)</t>
  </si>
  <si>
    <t>⑧</t>
  </si>
  <si>
    <t>履修者数・履修率の向上に向けた計画 ※様式１の「履修必須の有無」で「計画がある」としている場合は詳細について記載すること</t>
  </si>
  <si>
    <t>令和６年度実績</t>
  </si>
  <si>
    <t>令和７年度予定</t>
  </si>
  <si>
    <t>令和８年度予定</t>
  </si>
  <si>
    <t>令和９年度予定</t>
  </si>
  <si>
    <t>令和１０年度予定</t>
  </si>
  <si>
    <t>収容定員（名）</t>
  </si>
  <si>
    <t>具体的な計画</t>
  </si>
  <si>
    <t xml:space="preserve"> ICT演習は，現在選択科目になっている．本学は創立2年目で3,4年次の講義は未開講である．このため，選択科目の講義でも卒業に必要な単位数を早期に取得するために，事実上必修科目となっている講義もある．今後，選択科目の選択範囲が広がるので，ICT演習を必修科目にする．
 履修率が低いのは，定員に対する入学者数が少ないためで，今後入学者を増加させることにより，履修率を向上させていく．
 具体的には，令和6年度の入学者12名に対して令和7年度は25名予定で倍増しており，学年進行完成までこの率で増加させると，令和8年48名，令和9年96名となる．履修率を令和6年度の履修者数に対する修了者数の実績に合わせ，83%(10/12)とすると，履修者数は，20,40,80名となり，累計の履修率は上記のようになる．
</t>
  </si>
  <si>
    <t>⑨</t>
  </si>
  <si>
    <t>学部・学科に関係なく希望する学生全員が受講可能となるような必要な体制・取組等</t>
  </si>
  <si>
    <t xml:space="preserve"> 本学は，1学部1学科であるので，この要件は満たされている．</t>
  </si>
  <si>
    <t>⑩</t>
  </si>
  <si>
    <t>できる限り多くの学生が履修できるような具体的な周知方法・取組</t>
  </si>
  <si>
    <t xml:space="preserve"> 入学ガイダンスで本プログラムの説明を行い，(1)データサイエンスの技術の重要性，(2)本学で必須となっているインターンにおいても非常に役立つ事，(3)社会に出てからの有用性，などのメリットを訴えている．本プログラムでの講義科目は，1年生の科目で構成されているので，履修登録の説明の場で履修登録するよう指導している．
</t>
  </si>
  <si>
    <t>⑪</t>
  </si>
  <si>
    <t>できる限り多くの学生が履修・修得できるようなサポート体制</t>
  </si>
  <si>
    <t xml:space="preserve"> 学習支援システムである Google classroom を使用して，必要な教材は全てオンラインアクセスできるようにしている．学内のみならずインターネット接続のある端末からいつでもアクセス可能であるので，そこに配置された講義資料や課題などを学生の都合で利用できる体制をとっている．
</t>
  </si>
  <si>
    <t>⑫</t>
  </si>
  <si>
    <t>授業時間内外で学習指導、質問を受け付ける具体的な仕組み</t>
  </si>
  <si>
    <t xml:space="preserve"> 学習支援システムである Google classroom を使用して，学生はいつでもメールで指導教員に質問など可能である．受けた質問に関しては，個別に返信するともに，内容によっては次回の講義で説明し，他学生の理解も深まるようにしている．
</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</si>
  <si>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</si>
  <si>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</si>
  <si>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</si>
  <si>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</si>
  <si>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</si>
  <si>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</si>
  <si>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</si>
  <si>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</si>
  <si>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</si>
  <si>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 xml:space="preserve"> 今年度は最終的に本プログラムを10人履修し，10人単位習得した．授業期間中の学習進捗・取り組み状況については，Google classroom を使用した，小テストの成績，課題の提出状況などから把握している．
 IT概論では，毎回小テストを行い，15回分の平均点は69.1点であった．正答率の低い問題については，後続の回の講義で再説明し理解状況を確認した．課題提出をしなかったものは単位取得できない．
 ICT演習では講義内で毎回演習を行うが，提出課題(15回分)の提出率は100%であった．
 スタディスキルズでは，毎回の授業でGoogleフォームを活用した小テストを実施した．90点以上を獲得できるまで再提出させた．</t>
  </si>
  <si>
    <t>学修成果</t>
  </si>
  <si>
    <t xml:space="preserve"> 学修成果は，必要となる科目３科目の単位取得率によって評価する．本年度の単位取得率は，スタディスキルズ：100%，IT概論：100%，ICT演習：100% と十分な学修成果が得られていると評価する
</t>
  </si>
  <si>
    <t>学生アンケート等を通じた学生の内容の理解度</t>
  </si>
  <si>
    <t xml:space="preserve"> 本学では，開講している全科目を対象として履修者への授業アンケートを実施している．アンケート項目には，科目受講に対する満足度のほか，シラバスに記載された学習目標の修得度の自己評価，自由記述による改善希望の提示等を含んでいる．
 本プログラム対象科目においても同アンケートを実施し，受講生の習熟度の自己評価と学生のニーズを把握し，プログラムの改善・高度化に務める．
 ICT演習では，アンケート中の受講生の習熟度や学修目標に到達度，受講に対する満足度に関するものとしては，6段階(1〜6)中以下の平均点となった．内容をよく理解できた：4.7，到達目標が達成されるように授業が行われた：5.1， 効果的に学生の参加を促していた：5.2，学生の理解度を把握して授業が進められていた：4.9，学生が問題や課題を考えたり、見出したり、発言する機会があった：5.0，自分の考えを論理的・批判的に整理する機会があった：4.7，ICTツールを効果的に活用していた：5.3，課題や宿題は有益であった：4.6
 解答率は100%であり，いずれの項目も高評価で学生の満足度は高いと判断できる．
 スタディスキルズとIT概論では，アンケートの項目が変わったため，ICT演習のような評価はできない．授業のわかりやすさを聞いた項目(1〜4の4段階評価)では，スタディスキルズが12回答で平均4.0，IT概論が7回答で平均2.3であった．
 今年度のアンケートの結果から学生の修得度・満足度は高いと評価できる．
</t>
  </si>
  <si>
    <t>学生アンケート等を通じた後輩等他の学生への推奨度</t>
  </si>
  <si>
    <t xml:space="preserve"> 今年度の学生アンケート時点では，本プログラムの周知が遅れたため，アンケート中に本プログラムの推奨に関する項目はない．ICT概論のアンケートの結果から，学生の評価は高いと思われるので，後輩に推奨する可能性も高いと考えられる．来年度以降項目を追加して情報収集することを検討する．
</t>
  </si>
  <si>
    <t>全学的な履修者数、履修率向上に向けた計画の達成・進捗状況</t>
  </si>
  <si>
    <t xml:space="preserve"> 本プログラムは，今年度が初年度の取り組みであり，履修率の向上が喫緊の課題であると認識している．
履修率が悪い原因は，定員に対する学生数が少ないことにある．本学は開校2年目のため，収容定員の1/2の学生はまだ入学していないことも履修率が低くなる要因の一つである．次年度以降前記の計画に沿って入学者数の増加に努め履修率向上を図る．
</t>
  </si>
  <si>
    <t>学外からの視点</t>
  </si>
  <si>
    <t>教育プログラム修了者の進路、活躍状況、企業等の評価</t>
  </si>
  <si>
    <t xml:space="preserve"> 本プログラムを構成する科目は全て1年次の科目であり，進路・活躍状況などについての情報はまだ存在しないので，今後評価する．本学で実施しているインターンでは，インターン先の企業からは，以下のような良い取り組みであるとの意見があった．
 ・IT系企業のインターシップ先でC＃を活用してスマホアプリを作成する際に，本学の学生が「ググる」ではなく「Chatル」を行い
   自分で調べようという姿勢に企業側の方が高評価を与えていた．
 ・「大学を卒業する時には，もっと生成AIは進化してビジネスに活用されている．大学がAIをどのように活用するか，何をしてよく
   何をしてはいけないかを体系立てて教えている，という点でとてもいいと思います」という評価をいただいた．
 ・メディア系の職種においても社会のトレンドを調べてプレゼンテーションをする際に生成AIから出力された結果を学生が裏付けをとっていることを，よい意味で驚いたという評価があった．
</t>
  </si>
  <si>
    <t>産業界からの視点を含めた教育プログラム内容・手法等への意見</t>
  </si>
  <si>
    <t xml:space="preserve"> 本学の産業界出身の教授からは，次のようなコメントをいただいている．
 近年の産業界においてデータサイエンス，AIの重要性は増している．インターネットの登場，デジタル技術の進歩によりグローバル化した社会において，事業推進における意思決定の迅速化が求められている．意思決定においては適切なデータの収集と分析，分析におけるAIの活用による課題発見が重量な要素となっている．
 一方，データサイエンス，AIを活用できる人材は不足しており，その人材の確保は難しいという現状がある．外部からの人材獲得，在籍社員のリスキリングによる社内での育成では，その確保にも限界がある．今後期待すべきはデジタルネイティブである新卒社員の活用が挙げられる．体系的にデータサイエンス，AIを学んだ者が，即戦力としてビジネスの現場で活躍することが期待される．
 本学の教育プログラムはデータサイエンスが導きだされる課題の提起，その課題に対して向き合るべき課題解決力を養うプログラムとなっている．また，AIを活用することで新たなビジネスを創出する基礎力を養うプログラムとなっている．本プログラムを修了した学生が社会で活躍することが期待される．
</t>
  </si>
  <si>
    <t>数理・データサイエンス・ＡＩを「学ぶ楽しさ」「学ぶことの意義」を理解させること</t>
  </si>
  <si>
    <t xml:space="preserve"> ICT演習やIT概論の講義中では，「データを分析しそれをもとに種々の判断を行うこと」を強調している．ICT演習では，身長・体重などの身近なデータでの作業だけでなく，プロ野球でのチームの勝率や選手の年俸分布データなど学生の興味を引きそうなデータを対象とするように心がけている．
 スタディスキルズでは，学生が希望するインターシップ先の業界・職種でどのようにAIが利活用されているかについての調査とそのプレゼンテーションを行い相互評価を実施した．その結果，興味がない業界でも，他学生のプレゼンテーションを聞いて興味をもつ学生が現れた．職業自体を調べることで大学での学びを深化させることに繋がるよう心がけている．
</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</si>
  <si>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</si>
  <si>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 xml:space="preserve"> IT概論では，毎回講義内容に関する小テストを行い，内容理解の程度を確認している．理解不足と思われた場合は，次回の講義で補足などをして，脱落者がでないように努めている．
 ICT演習では，毎回の演習で身につけたスキルを使用する課題を提出させている．データサイエンス関連の講義回では，グループワークを取り入れ，学生間で相互に刺激し合って知識・スキルが身につくようにしている．
 スタディスキルズでは，他の科目の先駆けて授業を行うことからAIリテラシーは身近なもので理系の学生が学ぶのではなく文系の学生にこそ必要であることを伝えている．各授業後のレポート提出も択一式にすることで「AIは難しい」という意識にならないような工夫をする．同時にパソコンやスマートフォンなどにアプリをインストールして，授業内で気楽に使ってもらい学生自身がカスタマイズ（生成AIに勉強させる）メリットを伝えた．学生たちは，音声入力なども活用して友人同士でプロンプトについて情報共有することで，より身近に感じるようになっていた．
</t>
  </si>
  <si>
    <t>グローバルBiz専門職大学</t>
    <phoneticPr fontId="1"/>
  </si>
  <si>
    <t>Globizデータサイエンス・AI（DIAL）プログラム</t>
    <phoneticPr fontId="1"/>
  </si>
  <si>
    <t>Globizデータサイエンス・AI（DIAL)プログラム運用WG</t>
    <phoneticPr fontId="1"/>
  </si>
  <si>
    <t>Globizデータサイエンス・AI（DIAL)プログラム運用WG規程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</si>
</sst>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thin">
        <color auto="1"/>
      </left>
      <right style="thin">
        <color auto="1"/>
      </right>
      <top/>
      <bottom style="hair">
        <color auto="1"/>
      </bottom>
      <diagonal/>
    </border>
    <border>
      <left style="thin">
        <color auto="1"/>
      </left>
      <right style="hair">
        <color auto="1"/>
      </right>
      <top style="thin">
        <color auto="1"/>
      </top>
      <bottom style="thin">
        <color auto="1"/>
      </bottom>
      <diagonal/>
    </border>
    <border>
      <left style="hair">
        <color auto="1"/>
      </left>
      <right style="thin">
        <color auto="1"/>
      </right>
      <top style="hair">
        <color auto="1"/>
      </top>
      <bottom style="thin">
        <color indexed="64"/>
      </bottom>
      <diagonal/>
    </border>
    <border>
      <left/>
      <right style="thin">
        <color auto="1"/>
      </right>
      <top style="hair">
        <color auto="1"/>
      </top>
      <bottom style="thin">
        <color indexed="64"/>
      </bottom>
      <diagonal/>
    </border>
  </borders>
  <cellStyleXfs count="3">
    <xf numFmtId="0" fontId="0" fillId="0" borderId="0">
      <alignment vertical="center"/>
    </xf>
    <xf numFmtId="9" fontId="4" fillId="0" borderId="0">
      <alignment vertical="center"/>
    </xf>
    <xf numFmtId="38" fontId="4" fillId="0" borderId="0">
      <alignment vertical="center"/>
    </xf>
  </cellStyleXfs>
  <cellXfs count="168">
    <xf numFmtId="0" fontId="0" fillId="0" borderId="0" xfId="0">
      <alignment vertical="center"/>
    </xf>
    <xf numFmtId="0" fontId="5" fillId="0" borderId="0" xfId="0" applyFont="1">
      <alignment vertical="center"/>
    </xf>
    <xf numFmtId="0" fontId="3" fillId="0" borderId="0" xfId="0" applyFont="1" applyAlignment="1">
      <alignment vertical="top" wrapText="1"/>
    </xf>
    <xf numFmtId="0" fontId="2" fillId="0" borderId="0" xfId="0" applyFont="1" applyAlignment="1">
      <alignment vertical="center" shrinkToFit="1"/>
    </xf>
    <xf numFmtId="9" fontId="2" fillId="0" borderId="9" xfId="0" applyNumberFormat="1" applyFont="1" applyBorder="1" applyAlignment="1">
      <alignment vertical="center" shrinkToFit="1"/>
    </xf>
    <xf numFmtId="9" fontId="2" fillId="0" borderId="18" xfId="0" applyNumberFormat="1" applyFont="1" applyBorder="1" applyAlignment="1">
      <alignment vertical="center" shrinkToFit="1"/>
    </xf>
    <xf numFmtId="9" fontId="2" fillId="0" borderId="22" xfId="0" applyNumberFormat="1" applyFont="1" applyBorder="1" applyAlignment="1">
      <alignment vertical="center" shrinkToFit="1"/>
    </xf>
    <xf numFmtId="0" fontId="2" fillId="0" borderId="0" xfId="0" applyFont="1" applyAlignment="1">
      <alignment horizontal="left" vertical="center"/>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2" fillId="0" borderId="23" xfId="0" applyFont="1" applyBorder="1" applyAlignment="1">
      <alignment horizontal="center" vertical="center" shrinkToFit="1"/>
    </xf>
    <xf numFmtId="9" fontId="2" fillId="0" borderId="44" xfId="0" applyNumberFormat="1" applyFont="1" applyBorder="1" applyAlignment="1">
      <alignment vertical="center" shrinkToFit="1"/>
    </xf>
    <xf numFmtId="0" fontId="2" fillId="0" borderId="1" xfId="0" applyFont="1" applyBorder="1" applyAlignment="1">
      <alignment horizontal="center"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9" xfId="0" applyFont="1" applyFill="1" applyBorder="1" applyAlignment="1">
      <alignment vertical="top" wrapText="1"/>
    </xf>
    <xf numFmtId="0" fontId="3" fillId="2" borderId="5" xfId="0" applyFont="1" applyFill="1" applyBorder="1" applyAlignment="1">
      <alignment vertical="top" wrapText="1"/>
    </xf>
    <xf numFmtId="0" fontId="3" fillId="2" borderId="10" xfId="0" applyFont="1" applyFill="1" applyBorder="1" applyAlignment="1">
      <alignment vertical="top" wrapText="1"/>
    </xf>
    <xf numFmtId="0" fontId="3" fillId="2" borderId="34" xfId="0" applyFont="1" applyFill="1" applyBorder="1" applyAlignment="1">
      <alignment vertical="top" wrapText="1"/>
    </xf>
    <xf numFmtId="0" fontId="3" fillId="2" borderId="35" xfId="0" applyFont="1" applyFill="1" applyBorder="1" applyAlignment="1">
      <alignment vertical="top" wrapText="1"/>
    </xf>
    <xf numFmtId="0" fontId="3" fillId="2" borderId="34"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5" xfId="0" applyFont="1" applyFill="1" applyBorder="1" applyAlignment="1">
      <alignment vertical="top" shrinkToFit="1"/>
    </xf>
    <xf numFmtId="38" fontId="2" fillId="0" borderId="42"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18" xfId="2" applyFont="1" applyBorder="1" applyAlignment="1">
      <alignment vertical="center" shrinkToFit="1"/>
    </xf>
    <xf numFmtId="38" fontId="2" fillId="0" borderId="17" xfId="2" applyFont="1" applyBorder="1" applyAlignment="1">
      <alignment vertical="center" shrinkToFit="1"/>
    </xf>
    <xf numFmtId="38" fontId="2" fillId="0" borderId="16" xfId="2" applyFont="1" applyBorder="1" applyAlignment="1">
      <alignment vertical="center" shrinkToFit="1"/>
    </xf>
    <xf numFmtId="38" fontId="2" fillId="0" borderId="43" xfId="2" applyFont="1" applyBorder="1" applyAlignment="1">
      <alignment vertical="center" shrinkToFit="1"/>
    </xf>
    <xf numFmtId="38" fontId="2" fillId="0" borderId="15" xfId="2" applyFont="1" applyBorder="1" applyAlignment="1">
      <alignment vertical="center" shrinkToFit="1"/>
    </xf>
    <xf numFmtId="38" fontId="2" fillId="0" borderId="9" xfId="2" applyFont="1" applyBorder="1" applyAlignment="1">
      <alignment vertical="center" shrinkToFit="1"/>
    </xf>
    <xf numFmtId="38" fontId="2" fillId="0" borderId="23" xfId="2" applyFont="1" applyBorder="1" applyAlignment="1">
      <alignment vertical="center" shrinkToFit="1"/>
    </xf>
    <xf numFmtId="38" fontId="2" fillId="0" borderId="21" xfId="2" applyFont="1" applyBorder="1" applyAlignment="1">
      <alignment vertical="center" shrinkToFit="1"/>
    </xf>
    <xf numFmtId="38" fontId="2" fillId="0" borderId="20" xfId="2" applyFont="1" applyBorder="1" applyAlignment="1">
      <alignment vertical="center" shrinkToFit="1"/>
    </xf>
    <xf numFmtId="38" fontId="2" fillId="0" borderId="44" xfId="2" applyFont="1" applyBorder="1" applyAlignment="1">
      <alignment vertical="center" shrinkToFit="1"/>
    </xf>
    <xf numFmtId="9" fontId="2" fillId="0" borderId="12" xfId="0" applyNumberFormat="1" applyFont="1" applyBorder="1" applyAlignment="1">
      <alignment vertical="center" shrinkToFit="1"/>
    </xf>
    <xf numFmtId="0" fontId="9" fillId="0" borderId="0" xfId="0" applyFont="1">
      <alignment vertical="center"/>
    </xf>
    <xf numFmtId="0" fontId="10" fillId="0" borderId="0" xfId="0" applyFont="1">
      <alignment vertical="center"/>
    </xf>
    <xf numFmtId="0" fontId="10" fillId="0" borderId="0" xfId="0" applyFont="1" applyAlignment="1">
      <alignment vertical="center" shrinkToFit="1"/>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3"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0" xfId="0" applyFont="1" applyAlignment="1">
      <alignment horizontal="center" vertical="center" shrinkToFit="1"/>
    </xf>
    <xf numFmtId="49" fontId="3" fillId="0" borderId="40"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36" xfId="0" applyNumberFormat="1" applyFont="1" applyBorder="1" applyAlignment="1">
      <alignment horizontal="center" vertical="center"/>
    </xf>
    <xf numFmtId="49" fontId="3" fillId="0" borderId="2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0" fillId="0" borderId="0" xfId="0" applyFont="1" applyAlignment="1">
      <alignment horizontal="center" vertical="center" shrinkToFit="1"/>
    </xf>
    <xf numFmtId="0" fontId="11" fillId="0" borderId="0" xfId="0" applyFont="1" applyAlignment="1">
      <alignment horizontal="center" vertical="center"/>
    </xf>
    <xf numFmtId="0" fontId="8" fillId="0" borderId="30" xfId="0" applyFont="1" applyBorder="1" applyAlignment="1">
      <alignment horizontal="center" vertical="center"/>
    </xf>
    <xf numFmtId="0" fontId="8" fillId="0" borderId="33"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0" xfId="0" applyFont="1" applyAlignment="1">
      <alignment vertical="top" wrapTex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horizontal="center" vertical="center"/>
    </xf>
    <xf numFmtId="0" fontId="2" fillId="0" borderId="0" xfId="0" applyFont="1">
      <alignment vertical="center"/>
    </xf>
    <xf numFmtId="0" fontId="2" fillId="0" borderId="1" xfId="0" applyFont="1" applyBorder="1" applyAlignment="1">
      <alignment vertical="top"/>
    </xf>
    <xf numFmtId="0" fontId="2" fillId="0" borderId="13" xfId="0" applyFont="1" applyBorder="1" applyAlignment="1">
      <alignment vertical="top"/>
    </xf>
    <xf numFmtId="0" fontId="2" fillId="0" borderId="18" xfId="0" applyFont="1" applyBorder="1" applyAlignment="1">
      <alignment vertical="top"/>
    </xf>
    <xf numFmtId="0" fontId="10" fillId="0" borderId="1" xfId="0" applyFont="1" applyBorder="1" applyAlignment="1">
      <alignment vertical="top"/>
    </xf>
    <xf numFmtId="0" fontId="2" fillId="0" borderId="44" xfId="0" applyFont="1" applyBorder="1" applyAlignment="1">
      <alignment vertical="top"/>
    </xf>
    <xf numFmtId="38" fontId="2" fillId="0" borderId="42" xfId="2" applyFont="1" applyBorder="1" applyAlignment="1">
      <alignment vertical="top"/>
    </xf>
    <xf numFmtId="38" fontId="2" fillId="0" borderId="0" xfId="2" applyFont="1" applyAlignment="1">
      <alignment vertical="top"/>
    </xf>
    <xf numFmtId="38" fontId="2" fillId="0" borderId="5" xfId="2" applyFont="1" applyBorder="1" applyAlignment="1">
      <alignment vertical="top"/>
    </xf>
    <xf numFmtId="9" fontId="2" fillId="0" borderId="1" xfId="0" applyNumberFormat="1" applyFont="1" applyBorder="1" applyAlignment="1">
      <alignment vertical="top"/>
    </xf>
    <xf numFmtId="0" fontId="2" fillId="0" borderId="1" xfId="0" applyFont="1" applyBorder="1" applyAlignment="1">
      <alignment horizontal="center" vertical="top"/>
    </xf>
    <xf numFmtId="176" fontId="2" fillId="0" borderId="1" xfId="0" applyNumberFormat="1" applyFont="1" applyBorder="1" applyAlignment="1">
      <alignment horizontal="right" vertical="center" shrinkToFit="1"/>
    </xf>
    <xf numFmtId="0" fontId="2" fillId="0" borderId="0" xfId="0" applyFont="1" applyAlignment="1">
      <alignment horizontal="right" vertical="center"/>
    </xf>
    <xf numFmtId="0" fontId="2" fillId="0" borderId="0" xfId="0" applyFont="1">
      <alignment vertical="center"/>
    </xf>
    <xf numFmtId="0" fontId="2" fillId="0" borderId="1" xfId="0" applyFont="1" applyBorder="1" applyAlignment="1">
      <alignment horizontal="center" vertical="center"/>
    </xf>
    <xf numFmtId="0" fontId="0" fillId="0" borderId="3" xfId="0" applyBorder="1" applyAlignment="1"/>
    <xf numFmtId="0" fontId="0" fillId="0" borderId="4" xfId="0" applyBorder="1" applyAlignment="1"/>
    <xf numFmtId="0" fontId="2" fillId="0" borderId="2" xfId="0" applyFont="1" applyBorder="1" applyAlignment="1">
      <alignment horizontal="center" vertical="center"/>
    </xf>
    <xf numFmtId="0" fontId="2" fillId="0" borderId="18" xfId="0" applyFont="1" applyBorder="1" applyAlignment="1">
      <alignment vertical="center" shrinkToFit="1"/>
    </xf>
    <xf numFmtId="0" fontId="0" fillId="0" borderId="17" xfId="0" applyBorder="1" applyAlignment="1"/>
    <xf numFmtId="0" fontId="0" fillId="0" borderId="15" xfId="0" applyBorder="1" applyAlignment="1"/>
    <xf numFmtId="0" fontId="2" fillId="0" borderId="13" xfId="0" applyFont="1" applyBorder="1" applyAlignment="1">
      <alignment vertical="center" shrinkToFit="1"/>
    </xf>
    <xf numFmtId="0" fontId="0" fillId="0" borderId="29" xfId="0" applyBorder="1" applyAlignment="1"/>
    <xf numFmtId="0" fontId="0" fillId="0" borderId="28" xfId="0" applyBorder="1" applyAlignment="1"/>
    <xf numFmtId="0" fontId="2" fillId="0" borderId="13" xfId="0" applyFont="1" applyBorder="1" applyAlignment="1">
      <alignment vertical="top"/>
    </xf>
    <xf numFmtId="0" fontId="2" fillId="0" borderId="33" xfId="0" applyFont="1" applyBorder="1" applyAlignment="1">
      <alignment vertical="center" shrinkToFit="1"/>
    </xf>
    <xf numFmtId="0" fontId="0" fillId="0" borderId="31" xfId="0" applyBorder="1" applyAlignment="1"/>
    <xf numFmtId="0" fontId="0" fillId="0" borderId="32" xfId="0" applyBorder="1" applyAlignment="1"/>
    <xf numFmtId="0" fontId="2" fillId="0" borderId="16" xfId="0" applyFont="1" applyBorder="1" applyAlignment="1">
      <alignment vertical="center" shrinkToFit="1"/>
    </xf>
    <xf numFmtId="0" fontId="2" fillId="0" borderId="1" xfId="0" applyFont="1" applyBorder="1" applyAlignment="1">
      <alignment horizontal="left" vertical="center" wrapText="1"/>
    </xf>
    <xf numFmtId="0" fontId="0" fillId="0" borderId="7" xfId="0" applyBorder="1" applyAlignment="1"/>
    <xf numFmtId="0" fontId="0" fillId="0" borderId="8" xfId="0" applyBorder="1" applyAlignment="1"/>
    <xf numFmtId="0" fontId="0" fillId="0" borderId="10" xfId="0" applyBorder="1" applyAlignment="1"/>
    <xf numFmtId="0" fontId="0" fillId="0" borderId="6" xfId="0" applyBorder="1" applyAlignment="1"/>
    <xf numFmtId="0" fontId="0" fillId="0" borderId="11" xfId="0" applyBorder="1" applyAlignment="1"/>
    <xf numFmtId="0" fontId="2" fillId="0" borderId="1" xfId="0" applyFont="1" applyBorder="1" applyAlignment="1">
      <alignment vertical="top"/>
    </xf>
    <xf numFmtId="0" fontId="2" fillId="0" borderId="30" xfId="0" applyFont="1" applyBorder="1" applyAlignment="1">
      <alignment vertical="center" shrinkToFit="1"/>
    </xf>
    <xf numFmtId="0" fontId="0" fillId="0" borderId="5" xfId="0" applyBorder="1" applyAlignment="1"/>
    <xf numFmtId="0" fontId="0" fillId="0" borderId="9" xfId="0" applyBorder="1" applyAlignment="1"/>
    <xf numFmtId="0" fontId="2" fillId="0" borderId="1" xfId="0" applyFont="1" applyBorder="1" applyAlignment="1">
      <alignment vertical="top" wrapText="1"/>
    </xf>
    <xf numFmtId="0" fontId="2" fillId="0" borderId="0" xfId="0" applyFont="1" applyAlignment="1">
      <alignment vertical="center" wrapText="1"/>
    </xf>
    <xf numFmtId="0" fontId="2" fillId="0" borderId="14" xfId="0" applyFont="1" applyBorder="1" applyAlignment="1">
      <alignment horizontal="center" vertical="center" shrinkToFit="1"/>
    </xf>
    <xf numFmtId="49" fontId="3" fillId="0" borderId="13" xfId="0" applyNumberFormat="1" applyFont="1" applyBorder="1" applyAlignment="1">
      <alignment vertical="top" wrapText="1"/>
    </xf>
    <xf numFmtId="0" fontId="2" fillId="0" borderId="18" xfId="0" applyFont="1" applyBorder="1" applyAlignment="1">
      <alignment vertical="top"/>
    </xf>
    <xf numFmtId="49" fontId="3" fillId="0" borderId="33" xfId="0" applyNumberFormat="1" applyFont="1" applyBorder="1" applyAlignment="1">
      <alignment vertical="top" wrapText="1"/>
    </xf>
    <xf numFmtId="0" fontId="2" fillId="0" borderId="27" xfId="0" applyFont="1" applyBorder="1" applyAlignment="1">
      <alignment vertical="top"/>
    </xf>
    <xf numFmtId="0" fontId="2" fillId="0" borderId="18" xfId="0" applyFont="1" applyBorder="1" applyAlignment="1">
      <alignment horizontal="center" vertical="center" shrinkToFit="1"/>
    </xf>
    <xf numFmtId="0" fontId="2" fillId="0" borderId="12" xfId="0" applyFont="1" applyBorder="1" applyAlignment="1">
      <alignment horizontal="center" vertical="center" shrinkToFit="1"/>
    </xf>
    <xf numFmtId="0" fontId="5" fillId="0" borderId="1" xfId="0" applyFont="1" applyBorder="1" applyAlignment="1">
      <alignment vertical="top"/>
    </xf>
    <xf numFmtId="0" fontId="6" fillId="0" borderId="0" xfId="0" applyFont="1" applyAlignment="1">
      <alignment horizontal="center" vertical="center"/>
    </xf>
    <xf numFmtId="0" fontId="3" fillId="0" borderId="45" xfId="0" applyFont="1" applyBorder="1" applyAlignment="1">
      <alignment vertical="center" wrapText="1"/>
    </xf>
    <xf numFmtId="0" fontId="0" fillId="0" borderId="38" xfId="0" applyBorder="1" applyAlignment="1"/>
    <xf numFmtId="0" fontId="7" fillId="0" borderId="1" xfId="0" applyFont="1" applyBorder="1" applyAlignment="1">
      <alignment horizontal="center" vertical="center" shrinkToFit="1"/>
    </xf>
    <xf numFmtId="0" fontId="0" fillId="0" borderId="25" xfId="0" applyBorder="1" applyAlignment="1"/>
    <xf numFmtId="49" fontId="3" fillId="0" borderId="18" xfId="0" applyNumberFormat="1" applyFont="1" applyBorder="1" applyAlignment="1">
      <alignment vertical="top" wrapText="1"/>
    </xf>
    <xf numFmtId="0" fontId="3" fillId="0" borderId="37" xfId="0" applyFont="1" applyBorder="1" applyAlignment="1">
      <alignment vertical="center" wrapText="1"/>
    </xf>
    <xf numFmtId="0" fontId="2" fillId="0" borderId="14" xfId="0" applyFont="1" applyBorder="1" applyAlignment="1">
      <alignment horizontal="center" vertical="center"/>
    </xf>
    <xf numFmtId="0" fontId="10" fillId="0" borderId="0" xfId="0" applyFont="1" applyAlignment="1">
      <alignment horizontal="center" vertical="center"/>
    </xf>
    <xf numFmtId="0" fontId="10" fillId="0" borderId="9" xfId="0" applyFont="1" applyBorder="1" applyAlignment="1">
      <alignment horizontal="center" vertical="center"/>
    </xf>
    <xf numFmtId="0" fontId="10" fillId="0" borderId="1" xfId="0" applyFont="1" applyBorder="1" applyAlignment="1">
      <alignment vertical="top"/>
    </xf>
    <xf numFmtId="0" fontId="2" fillId="0" borderId="13" xfId="0" applyFont="1" applyBorder="1" applyAlignment="1">
      <alignment horizontal="center" vertical="center"/>
    </xf>
    <xf numFmtId="0" fontId="0" fillId="0" borderId="12" xfId="0" applyBorder="1" applyAlignment="1"/>
    <xf numFmtId="0" fontId="7" fillId="0" borderId="3" xfId="0" applyFont="1" applyBorder="1" applyAlignment="1">
      <alignment horizontal="center" vertical="center" wrapText="1"/>
    </xf>
    <xf numFmtId="0" fontId="8"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xf>
    <xf numFmtId="0" fontId="9" fillId="0" borderId="0" xfId="0" applyFont="1" applyAlignment="1">
      <alignment horizontal="left" vertical="center" wrapText="1"/>
    </xf>
    <xf numFmtId="0" fontId="2" fillId="2" borderId="42" xfId="0" applyFont="1" applyFill="1" applyBorder="1" applyAlignment="1">
      <alignment horizontal="center" vertical="center" shrinkToFit="1"/>
    </xf>
    <xf numFmtId="9" fontId="2" fillId="0" borderId="1" xfId="0" applyNumberFormat="1" applyFont="1" applyBorder="1" applyAlignment="1">
      <alignment vertical="top"/>
    </xf>
    <xf numFmtId="9" fontId="2" fillId="0" borderId="1" xfId="0" applyNumberFormat="1" applyFont="1" applyBorder="1" applyAlignment="1">
      <alignment horizontal="right" vertical="center" wrapText="1" shrinkToFit="1"/>
    </xf>
    <xf numFmtId="0" fontId="0" fillId="0" borderId="4" xfId="0" applyBorder="1" applyAlignment="1">
      <alignment horizontal="right"/>
    </xf>
    <xf numFmtId="0" fontId="2" fillId="0" borderId="6" xfId="0" applyFont="1" applyBorder="1" applyAlignment="1">
      <alignment horizontal="left" vertical="center" wrapText="1"/>
    </xf>
    <xf numFmtId="0" fontId="2" fillId="0" borderId="0" xfId="0" applyFont="1" applyAlignment="1">
      <alignment horizontal="center" vertical="center"/>
    </xf>
    <xf numFmtId="0" fontId="2" fillId="0" borderId="1" xfId="0" applyFont="1" applyBorder="1" applyAlignment="1">
      <alignment horizontal="center" vertical="top"/>
    </xf>
    <xf numFmtId="0" fontId="0" fillId="0" borderId="4" xfId="0" applyBorder="1" applyAlignment="1">
      <alignment horizontal="center"/>
    </xf>
    <xf numFmtId="0" fontId="10" fillId="0" borderId="12" xfId="0" applyFont="1" applyBorder="1" applyAlignment="1">
      <alignment vertical="center" wrapText="1"/>
    </xf>
    <xf numFmtId="0" fontId="2" fillId="0" borderId="26" xfId="0" applyFont="1" applyBorder="1" applyAlignment="1">
      <alignment vertical="center" wrapText="1"/>
    </xf>
    <xf numFmtId="0" fontId="2" fillId="0" borderId="44" xfId="0" applyFont="1" applyBorder="1" applyAlignment="1">
      <alignment vertical="center" wrapText="1"/>
    </xf>
    <xf numFmtId="0" fontId="0" fillId="0" borderId="34" xfId="0" applyBorder="1" applyAlignment="1"/>
    <xf numFmtId="0" fontId="0" fillId="0" borderId="35" xfId="0" applyBorder="1" applyAlignment="1"/>
    <xf numFmtId="0" fontId="2" fillId="0" borderId="11" xfId="0" applyFont="1" applyBorder="1" applyAlignment="1">
      <alignment vertical="top" wrapText="1"/>
    </xf>
    <xf numFmtId="0" fontId="2" fillId="0" borderId="35" xfId="0" applyFont="1" applyBorder="1" applyAlignment="1">
      <alignment vertical="top" wrapText="1"/>
    </xf>
    <xf numFmtId="0" fontId="2" fillId="0" borderId="18" xfId="0" applyFont="1" applyBorder="1" applyAlignment="1">
      <alignment vertical="top" wrapText="1"/>
    </xf>
    <xf numFmtId="0" fontId="2" fillId="0" borderId="33" xfId="0" applyFont="1" applyBorder="1" applyAlignment="1">
      <alignment vertical="top" wrapText="1"/>
    </xf>
    <xf numFmtId="0" fontId="2" fillId="0" borderId="46" xfId="0" applyFont="1" applyBorder="1" applyAlignment="1">
      <alignment vertical="center" wrapText="1"/>
    </xf>
    <xf numFmtId="0" fontId="0" fillId="0" borderId="47" xfId="0" applyBorder="1" applyAlignment="1"/>
    <xf numFmtId="0" fontId="2" fillId="0" borderId="32" xfId="0" applyFont="1" applyBorder="1" applyAlignment="1">
      <alignment vertical="top" wrapText="1"/>
    </xf>
    <xf numFmtId="0" fontId="2" fillId="0" borderId="15" xfId="0" applyFont="1" applyBorder="1" applyAlignment="1">
      <alignment vertical="top" wrapText="1"/>
    </xf>
    <xf numFmtId="0" fontId="2" fillId="0" borderId="4" xfId="0" applyFont="1" applyBorder="1" applyAlignment="1">
      <alignment horizontal="center" vertical="center"/>
    </xf>
    <xf numFmtId="0" fontId="2" fillId="0" borderId="26" xfId="0" applyFont="1" applyBorder="1">
      <alignmen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view="pageBreakPreview" topLeftCell="A99" zoomScaleNormal="100" zoomScaleSheetLayoutView="100" workbookViewId="0">
      <selection activeCell="P2" sqref="P2"/>
    </sheetView>
  </sheetViews>
  <sheetFormatPr defaultColWidth="9" defaultRowHeight="18.75" customHeight="1" x14ac:dyDescent="0.15"/>
  <cols>
    <col min="1" max="1" width="2.5" style="77" customWidth="1"/>
    <col min="2" max="2" width="16.5" style="77" customWidth="1"/>
    <col min="3" max="21" width="5.625" style="77" customWidth="1"/>
    <col min="22" max="22" width="9" style="77" customWidth="1"/>
    <col min="23" max="23" width="3.625" style="77" customWidth="1"/>
    <col min="24" max="24" width="48.625" style="77" hidden="1" customWidth="1"/>
    <col min="25" max="26" width="9" style="77" customWidth="1"/>
    <col min="27" max="27" width="9" style="77" hidden="1" customWidth="1"/>
    <col min="28" max="28" width="9" style="77" customWidth="1"/>
    <col min="29" max="16384" width="9" style="77"/>
  </cols>
  <sheetData>
    <row r="1" spans="1:24" ht="18.600000000000001" customHeight="1" x14ac:dyDescent="0.15">
      <c r="T1" s="89" t="s">
        <v>0</v>
      </c>
      <c r="U1" s="90"/>
      <c r="V1" s="1" t="s">
        <v>1</v>
      </c>
    </row>
    <row r="2" spans="1:24" ht="18.75" customHeight="1" x14ac:dyDescent="0.15">
      <c r="B2" s="12" t="s">
        <v>2</v>
      </c>
      <c r="C2" s="112" t="s">
        <v>182</v>
      </c>
      <c r="D2" s="92"/>
      <c r="E2" s="92"/>
      <c r="F2" s="92"/>
      <c r="G2" s="92"/>
      <c r="H2" s="92"/>
      <c r="I2" s="92"/>
      <c r="J2" s="93"/>
      <c r="K2" s="71"/>
      <c r="L2" s="3"/>
      <c r="M2" s="3"/>
      <c r="N2" s="3"/>
      <c r="O2" s="3"/>
      <c r="P2" s="3"/>
      <c r="Q2" s="3"/>
      <c r="R2" s="3"/>
      <c r="S2" s="3"/>
      <c r="T2" s="3"/>
      <c r="U2" s="3"/>
    </row>
    <row r="3" spans="1:24" ht="18.75" customHeight="1" x14ac:dyDescent="0.15">
      <c r="B3" s="12" t="s">
        <v>4</v>
      </c>
      <c r="C3" s="112" t="s">
        <v>183</v>
      </c>
      <c r="D3" s="92"/>
      <c r="E3" s="92"/>
      <c r="F3" s="92"/>
      <c r="G3" s="92"/>
      <c r="H3" s="92"/>
      <c r="I3" s="92"/>
      <c r="J3" s="93"/>
      <c r="K3" s="71"/>
      <c r="L3" s="3"/>
      <c r="M3" s="3"/>
      <c r="N3" s="3"/>
      <c r="O3" s="3"/>
      <c r="P3" s="3"/>
      <c r="Q3" s="3"/>
      <c r="R3" s="3"/>
      <c r="S3" s="3"/>
      <c r="T3" s="3"/>
      <c r="U3" s="3"/>
    </row>
    <row r="4" spans="1:24" ht="15" customHeight="1" x14ac:dyDescent="0.15">
      <c r="L4" s="71"/>
      <c r="M4" s="62"/>
      <c r="N4" s="62"/>
      <c r="O4" s="62"/>
      <c r="P4" s="62"/>
      <c r="Q4" s="62"/>
      <c r="R4" s="62"/>
      <c r="S4" s="62"/>
      <c r="T4" s="62"/>
      <c r="U4" s="62"/>
    </row>
    <row r="5" spans="1:24" ht="18" customHeight="1" x14ac:dyDescent="0.15">
      <c r="A5" s="126" t="s">
        <v>5</v>
      </c>
      <c r="B5" s="90"/>
      <c r="C5" s="90"/>
      <c r="D5" s="90"/>
      <c r="E5" s="90"/>
      <c r="F5" s="90"/>
      <c r="G5" s="90"/>
      <c r="H5" s="90"/>
      <c r="I5" s="90"/>
      <c r="J5" s="90"/>
      <c r="K5" s="90"/>
      <c r="L5" s="90"/>
      <c r="M5" s="90"/>
      <c r="N5" s="90"/>
      <c r="O5" s="90"/>
      <c r="P5" s="90"/>
      <c r="Q5" s="90"/>
      <c r="R5" s="90"/>
      <c r="S5" s="90"/>
      <c r="T5" s="90"/>
      <c r="U5" s="90"/>
    </row>
    <row r="6" spans="1:24" ht="15" customHeight="1" x14ac:dyDescent="0.15">
      <c r="B6" s="76"/>
      <c r="C6" s="76"/>
      <c r="D6" s="76"/>
      <c r="E6" s="76"/>
      <c r="F6" s="76"/>
      <c r="G6" s="76"/>
      <c r="H6" s="76"/>
      <c r="I6" s="76"/>
      <c r="J6" s="76"/>
      <c r="K6" s="76"/>
      <c r="L6" s="76"/>
      <c r="M6" s="76"/>
      <c r="N6" s="76"/>
      <c r="O6" s="76"/>
      <c r="P6" s="76"/>
      <c r="Q6" s="76"/>
      <c r="R6" s="76"/>
      <c r="S6" s="76"/>
      <c r="T6" s="76"/>
      <c r="U6" s="76"/>
    </row>
    <row r="7" spans="1:24" ht="15" customHeight="1" x14ac:dyDescent="0.15">
      <c r="A7" s="77" t="s">
        <v>6</v>
      </c>
      <c r="B7" s="76"/>
      <c r="C7" s="76"/>
      <c r="D7" s="76"/>
      <c r="E7" s="76"/>
      <c r="F7" s="1"/>
      <c r="G7" s="1"/>
      <c r="H7" s="1"/>
      <c r="I7" s="1"/>
      <c r="J7" s="1"/>
      <c r="K7" s="1"/>
      <c r="L7" s="125" t="s">
        <v>7</v>
      </c>
      <c r="M7" s="92"/>
      <c r="N7" s="92"/>
      <c r="O7" s="92"/>
      <c r="P7" s="92"/>
      <c r="Q7" s="92"/>
      <c r="R7" s="92"/>
      <c r="S7" s="92"/>
      <c r="T7" s="92"/>
      <c r="U7" s="93"/>
    </row>
    <row r="8" spans="1:24" ht="6" customHeight="1" x14ac:dyDescent="0.15">
      <c r="B8" s="76"/>
      <c r="C8" s="76"/>
      <c r="D8" s="76"/>
      <c r="E8" s="76"/>
      <c r="F8" s="76"/>
      <c r="G8" s="76"/>
      <c r="H8" s="76"/>
      <c r="I8" s="76"/>
      <c r="J8" s="76"/>
      <c r="K8" s="76"/>
      <c r="L8" s="76"/>
      <c r="M8" s="76"/>
      <c r="N8" s="76"/>
      <c r="O8" s="76"/>
      <c r="P8" s="76"/>
      <c r="Q8" s="76"/>
      <c r="R8" s="76"/>
      <c r="S8" s="76"/>
      <c r="T8" s="76"/>
      <c r="U8" s="76"/>
    </row>
    <row r="9" spans="1:24" ht="18" customHeight="1" x14ac:dyDescent="0.15">
      <c r="A9" s="77" t="s">
        <v>8</v>
      </c>
      <c r="C9" s="76"/>
      <c r="D9" s="76"/>
      <c r="K9" s="71"/>
      <c r="L9" s="1"/>
      <c r="M9" s="1"/>
      <c r="N9" s="1"/>
      <c r="O9" s="1"/>
      <c r="P9" s="1"/>
      <c r="Q9" s="1"/>
      <c r="R9" s="1"/>
      <c r="S9" s="1"/>
      <c r="T9" s="1"/>
      <c r="U9" s="1"/>
    </row>
    <row r="10" spans="1:24" ht="6" customHeight="1" x14ac:dyDescent="0.15">
      <c r="B10" s="76"/>
      <c r="C10" s="76"/>
      <c r="D10" s="76"/>
      <c r="E10" s="76"/>
      <c r="F10" s="76"/>
      <c r="G10" s="76"/>
      <c r="H10" s="76"/>
      <c r="I10" s="76"/>
      <c r="J10" s="76"/>
      <c r="K10" s="76"/>
      <c r="L10" s="7"/>
      <c r="M10" s="76"/>
      <c r="N10" s="76"/>
      <c r="O10" s="76"/>
      <c r="P10" s="76"/>
      <c r="Q10" s="76"/>
      <c r="R10" s="76"/>
      <c r="S10" s="76"/>
      <c r="T10" s="76"/>
      <c r="U10" s="76"/>
    </row>
    <row r="11" spans="1:24" ht="18" customHeight="1" x14ac:dyDescent="0.15">
      <c r="B11" s="106"/>
      <c r="C11" s="107"/>
      <c r="D11" s="107"/>
      <c r="E11" s="107"/>
      <c r="F11" s="107"/>
      <c r="G11" s="107"/>
      <c r="H11" s="107"/>
      <c r="I11" s="107"/>
      <c r="J11" s="107"/>
      <c r="K11" s="107"/>
      <c r="L11" s="107"/>
      <c r="M11" s="107"/>
      <c r="N11" s="107"/>
      <c r="O11" s="107"/>
      <c r="P11" s="107"/>
      <c r="Q11" s="107"/>
      <c r="R11" s="107"/>
      <c r="S11" s="107"/>
      <c r="T11" s="107"/>
      <c r="U11" s="108"/>
    </row>
    <row r="12" spans="1:24" ht="18" customHeight="1" x14ac:dyDescent="0.15">
      <c r="B12" s="109"/>
      <c r="C12" s="110"/>
      <c r="D12" s="110"/>
      <c r="E12" s="110"/>
      <c r="F12" s="110"/>
      <c r="G12" s="110"/>
      <c r="H12" s="110"/>
      <c r="I12" s="110"/>
      <c r="J12" s="110"/>
      <c r="K12" s="110"/>
      <c r="L12" s="110"/>
      <c r="M12" s="110"/>
      <c r="N12" s="110"/>
      <c r="O12" s="110"/>
      <c r="P12" s="110"/>
      <c r="Q12" s="110"/>
      <c r="R12" s="110"/>
      <c r="S12" s="110"/>
      <c r="T12" s="110"/>
      <c r="U12" s="111"/>
    </row>
    <row r="13" spans="1:24" ht="6" customHeight="1" x14ac:dyDescent="0.15">
      <c r="B13" s="76"/>
      <c r="C13" s="76"/>
      <c r="D13" s="76"/>
      <c r="E13" s="76"/>
      <c r="F13" s="76"/>
      <c r="G13" s="76"/>
      <c r="H13" s="76"/>
      <c r="I13" s="76"/>
      <c r="J13" s="76"/>
      <c r="K13" s="76"/>
      <c r="L13" s="7"/>
      <c r="M13" s="76"/>
      <c r="N13" s="76"/>
      <c r="O13" s="76"/>
      <c r="P13" s="76"/>
      <c r="Q13" s="76"/>
      <c r="R13" s="76"/>
      <c r="S13" s="76"/>
      <c r="T13" s="76"/>
      <c r="U13" s="76"/>
    </row>
    <row r="14" spans="1:24" ht="18" customHeight="1" x14ac:dyDescent="0.15">
      <c r="A14" s="77" t="s">
        <v>9</v>
      </c>
      <c r="B14" s="76"/>
      <c r="C14" s="76"/>
      <c r="D14" s="76"/>
      <c r="E14" s="71"/>
      <c r="F14" s="71"/>
      <c r="G14" s="71"/>
      <c r="H14" s="71"/>
      <c r="I14" s="71"/>
      <c r="J14" s="71"/>
      <c r="K14" s="71"/>
      <c r="L14" s="63"/>
      <c r="M14" s="63"/>
      <c r="N14" s="63"/>
      <c r="O14" s="63"/>
      <c r="P14" s="63"/>
      <c r="Q14" s="63"/>
      <c r="R14" s="63"/>
      <c r="S14" s="63"/>
      <c r="T14" s="63"/>
      <c r="U14" s="63"/>
    </row>
    <row r="15" spans="1:24" ht="18" customHeight="1" x14ac:dyDescent="0.15">
      <c r="B15" s="112" t="s">
        <v>10</v>
      </c>
      <c r="C15" s="107"/>
      <c r="D15" s="107"/>
      <c r="E15" s="107"/>
      <c r="F15" s="107"/>
      <c r="G15" s="107"/>
      <c r="H15" s="107"/>
      <c r="I15" s="107"/>
      <c r="J15" s="107"/>
      <c r="K15" s="107"/>
      <c r="L15" s="107"/>
      <c r="M15" s="107"/>
      <c r="N15" s="107"/>
      <c r="O15" s="107"/>
      <c r="P15" s="107"/>
      <c r="Q15" s="107"/>
      <c r="R15" s="107"/>
      <c r="S15" s="107"/>
      <c r="T15" s="107"/>
      <c r="U15" s="108"/>
      <c r="X15" s="77" t="s">
        <v>11</v>
      </c>
    </row>
    <row r="16" spans="1:24" ht="18" customHeight="1" x14ac:dyDescent="0.15">
      <c r="B16" s="114"/>
      <c r="C16" s="90"/>
      <c r="D16" s="90"/>
      <c r="E16" s="90"/>
      <c r="F16" s="90"/>
      <c r="G16" s="90"/>
      <c r="H16" s="90"/>
      <c r="I16" s="90"/>
      <c r="J16" s="90"/>
      <c r="K16" s="90"/>
      <c r="L16" s="90"/>
      <c r="M16" s="90"/>
      <c r="N16" s="90"/>
      <c r="O16" s="90"/>
      <c r="P16" s="90"/>
      <c r="Q16" s="90"/>
      <c r="R16" s="90"/>
      <c r="S16" s="90"/>
      <c r="T16" s="90"/>
      <c r="U16" s="115"/>
      <c r="X16" s="77" t="s">
        <v>12</v>
      </c>
    </row>
    <row r="17" spans="1:24" ht="18" customHeight="1" x14ac:dyDescent="0.15">
      <c r="B17" s="114"/>
      <c r="C17" s="90"/>
      <c r="D17" s="90"/>
      <c r="E17" s="90"/>
      <c r="F17" s="90"/>
      <c r="G17" s="90"/>
      <c r="H17" s="90"/>
      <c r="I17" s="90"/>
      <c r="J17" s="90"/>
      <c r="K17" s="90"/>
      <c r="L17" s="90"/>
      <c r="M17" s="90"/>
      <c r="N17" s="90"/>
      <c r="O17" s="90"/>
      <c r="P17" s="90"/>
      <c r="Q17" s="90"/>
      <c r="R17" s="90"/>
      <c r="S17" s="90"/>
      <c r="T17" s="90"/>
      <c r="U17" s="115"/>
      <c r="X17" s="77" t="s">
        <v>13</v>
      </c>
    </row>
    <row r="18" spans="1:24" ht="18" customHeight="1" x14ac:dyDescent="0.15">
      <c r="B18" s="114"/>
      <c r="C18" s="90"/>
      <c r="D18" s="90"/>
      <c r="E18" s="90"/>
      <c r="F18" s="90"/>
      <c r="G18" s="90"/>
      <c r="H18" s="90"/>
      <c r="I18" s="90"/>
      <c r="J18" s="90"/>
      <c r="K18" s="90"/>
      <c r="L18" s="90"/>
      <c r="M18" s="90"/>
      <c r="N18" s="90"/>
      <c r="O18" s="90"/>
      <c r="P18" s="90"/>
      <c r="Q18" s="90"/>
      <c r="R18" s="90"/>
      <c r="S18" s="90"/>
      <c r="T18" s="90"/>
      <c r="U18" s="115"/>
      <c r="X18" s="77" t="s">
        <v>14</v>
      </c>
    </row>
    <row r="19" spans="1:24" ht="18" customHeight="1" x14ac:dyDescent="0.15">
      <c r="B19" s="114"/>
      <c r="C19" s="90"/>
      <c r="D19" s="90"/>
      <c r="E19" s="90"/>
      <c r="F19" s="90"/>
      <c r="G19" s="90"/>
      <c r="H19" s="90"/>
      <c r="I19" s="90"/>
      <c r="J19" s="90"/>
      <c r="K19" s="90"/>
      <c r="L19" s="90"/>
      <c r="M19" s="90"/>
      <c r="N19" s="90"/>
      <c r="O19" s="90"/>
      <c r="P19" s="90"/>
      <c r="Q19" s="90"/>
      <c r="R19" s="90"/>
      <c r="S19" s="90"/>
      <c r="T19" s="90"/>
      <c r="U19" s="115"/>
    </row>
    <row r="20" spans="1:24" ht="18" customHeight="1" x14ac:dyDescent="0.15">
      <c r="B20" s="109"/>
      <c r="C20" s="110"/>
      <c r="D20" s="110"/>
      <c r="E20" s="110"/>
      <c r="F20" s="110"/>
      <c r="G20" s="110"/>
      <c r="H20" s="110"/>
      <c r="I20" s="110"/>
      <c r="J20" s="110"/>
      <c r="K20" s="110"/>
      <c r="L20" s="110"/>
      <c r="M20" s="110"/>
      <c r="N20" s="110"/>
      <c r="O20" s="110"/>
      <c r="P20" s="110"/>
      <c r="Q20" s="110"/>
      <c r="R20" s="110"/>
      <c r="S20" s="110"/>
      <c r="T20" s="110"/>
      <c r="U20" s="111"/>
    </row>
    <row r="21" spans="1:24" ht="7.5" customHeight="1" x14ac:dyDescent="0.15">
      <c r="B21" s="76"/>
      <c r="C21" s="76"/>
      <c r="D21" s="76"/>
      <c r="E21" s="76"/>
      <c r="F21" s="76"/>
      <c r="G21" s="76"/>
      <c r="H21" s="76"/>
      <c r="I21" s="76"/>
      <c r="J21" s="76"/>
      <c r="K21" s="76"/>
      <c r="L21" s="76"/>
      <c r="M21" s="76"/>
      <c r="N21" s="76"/>
      <c r="O21" s="76"/>
      <c r="P21" s="76"/>
      <c r="Q21" s="76"/>
      <c r="R21" s="76"/>
      <c r="S21" s="76"/>
      <c r="T21" s="76"/>
      <c r="U21" s="76"/>
    </row>
    <row r="22" spans="1:24" ht="19.899999999999999" customHeight="1" x14ac:dyDescent="0.15">
      <c r="B22" s="77" t="s">
        <v>15</v>
      </c>
      <c r="E22" s="78">
        <v>3</v>
      </c>
      <c r="F22" s="77" t="s">
        <v>16</v>
      </c>
      <c r="H22" s="78">
        <v>5</v>
      </c>
      <c r="I22" s="76" t="s">
        <v>17</v>
      </c>
      <c r="J22" s="76"/>
      <c r="K22" s="71"/>
      <c r="M22" s="71" t="s">
        <v>18</v>
      </c>
      <c r="N22" s="125" t="s">
        <v>19</v>
      </c>
      <c r="O22" s="92"/>
      <c r="P22" s="92"/>
      <c r="Q22" s="92"/>
      <c r="R22" s="92"/>
      <c r="S22" s="92"/>
      <c r="T22" s="92"/>
      <c r="U22" s="93"/>
    </row>
    <row r="23" spans="1:24" ht="7.5" customHeight="1" x14ac:dyDescent="0.15">
      <c r="B23" s="76"/>
      <c r="C23" s="76"/>
      <c r="D23" s="76"/>
      <c r="E23" s="76"/>
      <c r="F23" s="76"/>
      <c r="G23" s="76"/>
      <c r="H23" s="76"/>
      <c r="I23" s="76"/>
      <c r="J23" s="76"/>
      <c r="K23" s="76"/>
      <c r="L23" s="76"/>
      <c r="M23" s="76"/>
      <c r="N23" s="76"/>
      <c r="O23" s="76"/>
      <c r="P23" s="76"/>
      <c r="Q23" s="76"/>
      <c r="R23" s="76"/>
      <c r="S23" s="76"/>
      <c r="T23" s="76"/>
      <c r="U23" s="76"/>
    </row>
    <row r="24" spans="1:24" ht="18" customHeight="1" x14ac:dyDescent="0.15">
      <c r="A24" s="117" t="s">
        <v>20</v>
      </c>
      <c r="B24" s="90"/>
      <c r="C24" s="90"/>
      <c r="D24" s="90"/>
      <c r="E24" s="90"/>
      <c r="F24" s="90"/>
      <c r="G24" s="90"/>
      <c r="H24" s="90"/>
      <c r="I24" s="90"/>
      <c r="J24" s="90"/>
      <c r="K24" s="90"/>
      <c r="L24" s="90"/>
      <c r="M24" s="90"/>
      <c r="N24" s="90"/>
      <c r="O24" s="90"/>
      <c r="P24" s="90"/>
      <c r="Q24" s="90"/>
      <c r="R24" s="90"/>
      <c r="S24" s="90"/>
      <c r="T24" s="90"/>
      <c r="U24" s="90"/>
    </row>
    <row r="25" spans="1:24" ht="18" customHeight="1" x14ac:dyDescent="0.15">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15">
      <c r="B26" s="91" t="s">
        <v>21</v>
      </c>
      <c r="C26" s="92"/>
      <c r="D26" s="92"/>
      <c r="E26" s="92"/>
      <c r="F26" s="93"/>
      <c r="G26" s="48" t="s">
        <v>22</v>
      </c>
      <c r="H26" s="49" t="s">
        <v>23</v>
      </c>
      <c r="I26" s="50" t="s">
        <v>24</v>
      </c>
      <c r="J26" s="50" t="s">
        <v>25</v>
      </c>
      <c r="K26" s="91" t="s">
        <v>21</v>
      </c>
      <c r="L26" s="92"/>
      <c r="M26" s="92"/>
      <c r="N26" s="92"/>
      <c r="O26" s="92"/>
      <c r="P26" s="92"/>
      <c r="Q26" s="93"/>
      <c r="R26" s="48" t="s">
        <v>22</v>
      </c>
      <c r="S26" s="49" t="s">
        <v>23</v>
      </c>
      <c r="T26" s="50" t="s">
        <v>24</v>
      </c>
      <c r="U26" s="50" t="s">
        <v>25</v>
      </c>
    </row>
    <row r="27" spans="1:24" ht="18" customHeight="1" x14ac:dyDescent="0.15">
      <c r="B27" s="101" t="s">
        <v>26</v>
      </c>
      <c r="C27" s="99"/>
      <c r="D27" s="99"/>
      <c r="E27" s="99"/>
      <c r="F27" s="100"/>
      <c r="G27" s="79">
        <v>1</v>
      </c>
      <c r="H27" s="79" t="s">
        <v>27</v>
      </c>
      <c r="I27" s="79" t="s">
        <v>27</v>
      </c>
      <c r="J27" s="79" t="s">
        <v>27</v>
      </c>
      <c r="K27" s="98"/>
      <c r="L27" s="99"/>
      <c r="M27" s="99"/>
      <c r="N27" s="99"/>
      <c r="O27" s="99"/>
      <c r="P27" s="99"/>
      <c r="Q27" s="100"/>
      <c r="R27" s="51"/>
      <c r="S27" s="51"/>
      <c r="T27" s="51"/>
      <c r="U27" s="51"/>
    </row>
    <row r="28" spans="1:24" ht="18" customHeight="1" x14ac:dyDescent="0.15">
      <c r="B28" s="120" t="s">
        <v>28</v>
      </c>
      <c r="C28" s="96"/>
      <c r="D28" s="96"/>
      <c r="E28" s="96"/>
      <c r="F28" s="97"/>
      <c r="G28" s="80">
        <v>2</v>
      </c>
      <c r="H28" s="80" t="s">
        <v>27</v>
      </c>
      <c r="I28" s="52"/>
      <c r="J28" s="80" t="s">
        <v>27</v>
      </c>
      <c r="K28" s="95"/>
      <c r="L28" s="96"/>
      <c r="M28" s="96"/>
      <c r="N28" s="96"/>
      <c r="O28" s="96"/>
      <c r="P28" s="96"/>
      <c r="Q28" s="97"/>
      <c r="R28" s="52"/>
      <c r="S28" s="52"/>
      <c r="T28" s="52"/>
      <c r="U28" s="52"/>
    </row>
    <row r="29" spans="1:24" ht="18" customHeight="1" x14ac:dyDescent="0.15">
      <c r="B29" s="95"/>
      <c r="C29" s="96"/>
      <c r="D29" s="96"/>
      <c r="E29" s="96"/>
      <c r="F29" s="97"/>
      <c r="G29" s="52"/>
      <c r="H29" s="52"/>
      <c r="I29" s="52"/>
      <c r="J29" s="52"/>
      <c r="K29" s="95"/>
      <c r="L29" s="96"/>
      <c r="M29" s="96"/>
      <c r="N29" s="96"/>
      <c r="O29" s="96"/>
      <c r="P29" s="96"/>
      <c r="Q29" s="97"/>
      <c r="R29" s="52"/>
      <c r="S29" s="52"/>
      <c r="T29" s="52"/>
      <c r="U29" s="52"/>
    </row>
    <row r="30" spans="1:24" ht="18" customHeight="1" x14ac:dyDescent="0.15">
      <c r="B30" s="95"/>
      <c r="C30" s="96"/>
      <c r="D30" s="96"/>
      <c r="E30" s="96"/>
      <c r="F30" s="97"/>
      <c r="G30" s="52"/>
      <c r="H30" s="52"/>
      <c r="I30" s="52"/>
      <c r="J30" s="52"/>
      <c r="K30" s="95"/>
      <c r="L30" s="96"/>
      <c r="M30" s="96"/>
      <c r="N30" s="96"/>
      <c r="O30" s="96"/>
      <c r="P30" s="96"/>
      <c r="Q30" s="97"/>
      <c r="R30" s="52"/>
      <c r="S30" s="52"/>
      <c r="T30" s="52"/>
      <c r="U30" s="52"/>
    </row>
    <row r="31" spans="1:24" ht="18" customHeight="1" x14ac:dyDescent="0.15">
      <c r="B31" s="95"/>
      <c r="C31" s="96"/>
      <c r="D31" s="96"/>
      <c r="E31" s="96"/>
      <c r="F31" s="97"/>
      <c r="G31" s="52"/>
      <c r="H31" s="52"/>
      <c r="I31" s="52"/>
      <c r="J31" s="52"/>
      <c r="K31" s="95"/>
      <c r="L31" s="96"/>
      <c r="M31" s="96"/>
      <c r="N31" s="96"/>
      <c r="O31" s="96"/>
      <c r="P31" s="96"/>
      <c r="Q31" s="97"/>
      <c r="R31" s="52"/>
      <c r="S31" s="52"/>
      <c r="T31" s="52"/>
      <c r="U31" s="52"/>
    </row>
    <row r="32" spans="1:24" ht="18" customHeight="1" x14ac:dyDescent="0.15">
      <c r="A32" s="76"/>
      <c r="B32" s="95"/>
      <c r="C32" s="96"/>
      <c r="D32" s="96"/>
      <c r="E32" s="96"/>
      <c r="F32" s="97"/>
      <c r="G32" s="52"/>
      <c r="H32" s="52"/>
      <c r="I32" s="52"/>
      <c r="J32" s="52"/>
      <c r="K32" s="95"/>
      <c r="L32" s="96"/>
      <c r="M32" s="96"/>
      <c r="N32" s="96"/>
      <c r="O32" s="96"/>
      <c r="P32" s="96"/>
      <c r="Q32" s="97"/>
      <c r="R32" s="52"/>
      <c r="S32" s="52"/>
      <c r="T32" s="52"/>
      <c r="U32" s="52"/>
    </row>
    <row r="33" spans="1:21" ht="18" customHeight="1" x14ac:dyDescent="0.15">
      <c r="A33" s="76"/>
      <c r="B33" s="102"/>
      <c r="C33" s="103"/>
      <c r="D33" s="103"/>
      <c r="E33" s="103"/>
      <c r="F33" s="104"/>
      <c r="G33" s="53"/>
      <c r="H33" s="53"/>
      <c r="I33" s="54"/>
      <c r="J33" s="54"/>
      <c r="K33" s="102"/>
      <c r="L33" s="103"/>
      <c r="M33" s="103"/>
      <c r="N33" s="103"/>
      <c r="O33" s="103"/>
      <c r="P33" s="103"/>
      <c r="Q33" s="104"/>
      <c r="R33" s="53"/>
      <c r="S33" s="53"/>
      <c r="T33" s="54"/>
      <c r="U33" s="54"/>
    </row>
    <row r="34" spans="1:21" ht="7.5" customHeight="1" x14ac:dyDescent="0.15">
      <c r="A34" s="76"/>
      <c r="B34" s="3"/>
      <c r="C34" s="3"/>
      <c r="D34" s="3"/>
      <c r="E34" s="76"/>
      <c r="F34" s="76"/>
      <c r="G34" s="76"/>
      <c r="H34" s="76"/>
      <c r="I34" s="3"/>
      <c r="J34" s="3"/>
      <c r="K34" s="3"/>
      <c r="L34" s="3"/>
      <c r="M34" s="3"/>
      <c r="N34" s="3"/>
      <c r="O34" s="3"/>
      <c r="P34" s="3"/>
      <c r="Q34" s="3"/>
      <c r="R34" s="3"/>
      <c r="S34" s="3"/>
      <c r="T34" s="3"/>
      <c r="U34" s="76"/>
    </row>
    <row r="35" spans="1:21" ht="18" customHeight="1" x14ac:dyDescent="0.15">
      <c r="A35" s="117" t="s">
        <v>29</v>
      </c>
      <c r="B35" s="90"/>
      <c r="C35" s="90"/>
      <c r="D35" s="90"/>
      <c r="E35" s="90"/>
      <c r="F35" s="90"/>
      <c r="G35" s="90"/>
      <c r="H35" s="90"/>
      <c r="I35" s="90"/>
      <c r="J35" s="90"/>
      <c r="K35" s="90"/>
      <c r="L35" s="90"/>
      <c r="M35" s="90"/>
      <c r="N35" s="90"/>
      <c r="O35" s="90"/>
      <c r="P35" s="90"/>
      <c r="Q35" s="90"/>
      <c r="R35" s="90"/>
      <c r="S35" s="90"/>
      <c r="T35" s="90"/>
      <c r="U35" s="90"/>
    </row>
    <row r="36" spans="1:21" ht="18" customHeight="1" x14ac:dyDescent="0.15">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15">
      <c r="B37" s="91" t="s">
        <v>21</v>
      </c>
      <c r="C37" s="92"/>
      <c r="D37" s="92"/>
      <c r="E37" s="92"/>
      <c r="F37" s="93"/>
      <c r="G37" s="48" t="s">
        <v>22</v>
      </c>
      <c r="H37" s="49" t="s">
        <v>23</v>
      </c>
      <c r="I37" s="50" t="s">
        <v>30</v>
      </c>
      <c r="J37" s="50" t="s">
        <v>31</v>
      </c>
      <c r="K37" s="91" t="s">
        <v>21</v>
      </c>
      <c r="L37" s="92"/>
      <c r="M37" s="92"/>
      <c r="N37" s="92"/>
      <c r="O37" s="92"/>
      <c r="P37" s="92"/>
      <c r="Q37" s="93"/>
      <c r="R37" s="48" t="s">
        <v>22</v>
      </c>
      <c r="S37" s="49" t="s">
        <v>23</v>
      </c>
      <c r="T37" s="50" t="s">
        <v>30</v>
      </c>
      <c r="U37" s="50" t="s">
        <v>31</v>
      </c>
    </row>
    <row r="38" spans="1:21" ht="18" customHeight="1" x14ac:dyDescent="0.15">
      <c r="B38" s="101" t="s">
        <v>26</v>
      </c>
      <c r="C38" s="99"/>
      <c r="D38" s="99"/>
      <c r="E38" s="99"/>
      <c r="F38" s="100"/>
      <c r="G38" s="79">
        <v>1</v>
      </c>
      <c r="H38" s="79" t="s">
        <v>27</v>
      </c>
      <c r="I38" s="51"/>
      <c r="J38" s="79" t="s">
        <v>27</v>
      </c>
      <c r="K38" s="98"/>
      <c r="L38" s="99"/>
      <c r="M38" s="99"/>
      <c r="N38" s="99"/>
      <c r="O38" s="99"/>
      <c r="P38" s="99"/>
      <c r="Q38" s="100"/>
      <c r="R38" s="51"/>
      <c r="S38" s="51"/>
      <c r="T38" s="51"/>
      <c r="U38" s="51"/>
    </row>
    <row r="39" spans="1:21" ht="18" customHeight="1" x14ac:dyDescent="0.15">
      <c r="B39" s="120" t="s">
        <v>28</v>
      </c>
      <c r="C39" s="96"/>
      <c r="D39" s="96"/>
      <c r="E39" s="96"/>
      <c r="F39" s="97"/>
      <c r="G39" s="80">
        <v>2</v>
      </c>
      <c r="H39" s="80" t="s">
        <v>27</v>
      </c>
      <c r="I39" s="80" t="s">
        <v>27</v>
      </c>
      <c r="J39" s="52"/>
      <c r="K39" s="95"/>
      <c r="L39" s="96"/>
      <c r="M39" s="96"/>
      <c r="N39" s="96"/>
      <c r="O39" s="96"/>
      <c r="P39" s="96"/>
      <c r="Q39" s="97"/>
      <c r="R39" s="52"/>
      <c r="S39" s="52"/>
      <c r="T39" s="52"/>
      <c r="U39" s="52"/>
    </row>
    <row r="40" spans="1:21" ht="18" customHeight="1" x14ac:dyDescent="0.15">
      <c r="B40" s="95"/>
      <c r="C40" s="96"/>
      <c r="D40" s="96"/>
      <c r="E40" s="96"/>
      <c r="F40" s="97"/>
      <c r="G40" s="52"/>
      <c r="H40" s="52"/>
      <c r="I40" s="52"/>
      <c r="J40" s="52"/>
      <c r="K40" s="95"/>
      <c r="L40" s="96"/>
      <c r="M40" s="96"/>
      <c r="N40" s="96"/>
      <c r="O40" s="96"/>
      <c r="P40" s="96"/>
      <c r="Q40" s="97"/>
      <c r="R40" s="52"/>
      <c r="S40" s="52"/>
      <c r="T40" s="52"/>
      <c r="U40" s="52"/>
    </row>
    <row r="41" spans="1:21" ht="18" customHeight="1" x14ac:dyDescent="0.15">
      <c r="B41" s="95"/>
      <c r="C41" s="96"/>
      <c r="D41" s="96"/>
      <c r="E41" s="96"/>
      <c r="F41" s="97"/>
      <c r="G41" s="52"/>
      <c r="H41" s="52"/>
      <c r="I41" s="52"/>
      <c r="J41" s="52"/>
      <c r="K41" s="95"/>
      <c r="L41" s="96"/>
      <c r="M41" s="96"/>
      <c r="N41" s="96"/>
      <c r="O41" s="96"/>
      <c r="P41" s="96"/>
      <c r="Q41" s="97"/>
      <c r="R41" s="52"/>
      <c r="S41" s="52"/>
      <c r="T41" s="52"/>
      <c r="U41" s="52"/>
    </row>
    <row r="42" spans="1:21" ht="18" customHeight="1" x14ac:dyDescent="0.15">
      <c r="B42" s="95"/>
      <c r="C42" s="96"/>
      <c r="D42" s="96"/>
      <c r="E42" s="96"/>
      <c r="F42" s="97"/>
      <c r="G42" s="52"/>
      <c r="H42" s="52"/>
      <c r="I42" s="52"/>
      <c r="J42" s="52"/>
      <c r="K42" s="95"/>
      <c r="L42" s="96"/>
      <c r="M42" s="96"/>
      <c r="N42" s="96"/>
      <c r="O42" s="96"/>
      <c r="P42" s="96"/>
      <c r="Q42" s="97"/>
      <c r="R42" s="52"/>
      <c r="S42" s="52"/>
      <c r="T42" s="52"/>
      <c r="U42" s="52"/>
    </row>
    <row r="43" spans="1:21" ht="18" customHeight="1" x14ac:dyDescent="0.15">
      <c r="B43" s="95"/>
      <c r="C43" s="96"/>
      <c r="D43" s="96"/>
      <c r="E43" s="96"/>
      <c r="F43" s="97"/>
      <c r="G43" s="52"/>
      <c r="H43" s="52"/>
      <c r="I43" s="52"/>
      <c r="J43" s="52"/>
      <c r="K43" s="95"/>
      <c r="L43" s="96"/>
      <c r="M43" s="96"/>
      <c r="N43" s="96"/>
      <c r="O43" s="96"/>
      <c r="P43" s="96"/>
      <c r="Q43" s="97"/>
      <c r="R43" s="52"/>
      <c r="S43" s="52"/>
      <c r="T43" s="52"/>
      <c r="U43" s="52"/>
    </row>
    <row r="44" spans="1:21" ht="18" customHeight="1" x14ac:dyDescent="0.15">
      <c r="B44" s="102"/>
      <c r="C44" s="103"/>
      <c r="D44" s="103"/>
      <c r="E44" s="103"/>
      <c r="F44" s="104"/>
      <c r="G44" s="53"/>
      <c r="H44" s="53"/>
      <c r="I44" s="54"/>
      <c r="J44" s="54"/>
      <c r="K44" s="102"/>
      <c r="L44" s="103"/>
      <c r="M44" s="103"/>
      <c r="N44" s="103"/>
      <c r="O44" s="103"/>
      <c r="P44" s="103"/>
      <c r="Q44" s="104"/>
      <c r="R44" s="53"/>
      <c r="S44" s="53"/>
      <c r="T44" s="54"/>
      <c r="U44" s="54"/>
    </row>
    <row r="45" spans="1:21" ht="7.5" customHeight="1" x14ac:dyDescent="0.15">
      <c r="A45" s="76"/>
      <c r="B45" s="3"/>
      <c r="C45" s="3"/>
      <c r="D45" s="3"/>
      <c r="E45" s="76"/>
      <c r="F45" s="76"/>
      <c r="G45" s="76"/>
      <c r="H45" s="76"/>
      <c r="I45" s="3"/>
      <c r="J45" s="3"/>
      <c r="K45" s="3"/>
      <c r="L45" s="3"/>
      <c r="M45" s="3"/>
      <c r="N45" s="3"/>
      <c r="O45" s="3"/>
      <c r="P45" s="3"/>
      <c r="Q45" s="3"/>
      <c r="R45" s="3"/>
      <c r="S45" s="3"/>
      <c r="T45" s="3"/>
      <c r="U45" s="76"/>
    </row>
    <row r="46" spans="1:21" ht="18" customHeight="1" x14ac:dyDescent="0.15">
      <c r="A46" s="117" t="s">
        <v>32</v>
      </c>
      <c r="B46" s="90"/>
      <c r="C46" s="90"/>
      <c r="D46" s="90"/>
      <c r="E46" s="90"/>
      <c r="F46" s="90"/>
      <c r="G46" s="90"/>
      <c r="H46" s="90"/>
      <c r="I46" s="90"/>
      <c r="J46" s="90"/>
      <c r="K46" s="90"/>
      <c r="L46" s="90"/>
      <c r="M46" s="90"/>
      <c r="N46" s="90"/>
      <c r="O46" s="90"/>
      <c r="P46" s="90"/>
      <c r="Q46" s="90"/>
      <c r="R46" s="90"/>
      <c r="S46" s="90"/>
      <c r="T46" s="90"/>
      <c r="U46" s="90"/>
    </row>
    <row r="47" spans="1:21" ht="18" customHeight="1" x14ac:dyDescent="0.15">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15">
      <c r="B48" s="91" t="s">
        <v>21</v>
      </c>
      <c r="C48" s="92"/>
      <c r="D48" s="92"/>
      <c r="E48" s="92"/>
      <c r="F48" s="93"/>
      <c r="G48" s="48" t="s">
        <v>22</v>
      </c>
      <c r="H48" s="49" t="s">
        <v>23</v>
      </c>
      <c r="I48" s="50" t="s">
        <v>33</v>
      </c>
      <c r="J48" s="50" t="s">
        <v>34</v>
      </c>
      <c r="K48" s="91" t="s">
        <v>21</v>
      </c>
      <c r="L48" s="92"/>
      <c r="M48" s="92"/>
      <c r="N48" s="92"/>
      <c r="O48" s="92"/>
      <c r="P48" s="92"/>
      <c r="Q48" s="93"/>
      <c r="R48" s="48" t="s">
        <v>22</v>
      </c>
      <c r="S48" s="49" t="s">
        <v>23</v>
      </c>
      <c r="T48" s="50" t="s">
        <v>33</v>
      </c>
      <c r="U48" s="50" t="s">
        <v>34</v>
      </c>
    </row>
    <row r="49" spans="1:21" ht="18" customHeight="1" x14ac:dyDescent="0.15">
      <c r="A49" s="76"/>
      <c r="B49" s="101" t="s">
        <v>28</v>
      </c>
      <c r="C49" s="99"/>
      <c r="D49" s="99"/>
      <c r="E49" s="99"/>
      <c r="F49" s="100"/>
      <c r="G49" s="79">
        <v>2</v>
      </c>
      <c r="H49" s="79" t="s">
        <v>27</v>
      </c>
      <c r="I49" s="79" t="s">
        <v>27</v>
      </c>
      <c r="J49" s="79" t="s">
        <v>27</v>
      </c>
      <c r="K49" s="98"/>
      <c r="L49" s="99"/>
      <c r="M49" s="99"/>
      <c r="N49" s="99"/>
      <c r="O49" s="99"/>
      <c r="P49" s="99"/>
      <c r="Q49" s="100"/>
      <c r="R49" s="51"/>
      <c r="S49" s="51"/>
      <c r="T49" s="51"/>
      <c r="U49" s="51"/>
    </row>
    <row r="50" spans="1:21" ht="18" customHeight="1" x14ac:dyDescent="0.15">
      <c r="A50" s="76"/>
      <c r="B50" s="95"/>
      <c r="C50" s="96"/>
      <c r="D50" s="96"/>
      <c r="E50" s="96"/>
      <c r="F50" s="97"/>
      <c r="G50" s="52"/>
      <c r="H50" s="52"/>
      <c r="I50" s="52"/>
      <c r="J50" s="52"/>
      <c r="K50" s="95"/>
      <c r="L50" s="96"/>
      <c r="M50" s="96"/>
      <c r="N50" s="96"/>
      <c r="O50" s="96"/>
      <c r="P50" s="96"/>
      <c r="Q50" s="97"/>
      <c r="R50" s="52"/>
      <c r="S50" s="52"/>
      <c r="T50" s="52"/>
      <c r="U50" s="52"/>
    </row>
    <row r="51" spans="1:21" ht="18" customHeight="1" x14ac:dyDescent="0.15">
      <c r="A51" s="76"/>
      <c r="B51" s="95"/>
      <c r="C51" s="96"/>
      <c r="D51" s="96"/>
      <c r="E51" s="96"/>
      <c r="F51" s="97"/>
      <c r="G51" s="52"/>
      <c r="H51" s="52"/>
      <c r="I51" s="52"/>
      <c r="J51" s="52"/>
      <c r="K51" s="95"/>
      <c r="L51" s="96"/>
      <c r="M51" s="96"/>
      <c r="N51" s="96"/>
      <c r="O51" s="96"/>
      <c r="P51" s="96"/>
      <c r="Q51" s="97"/>
      <c r="R51" s="52"/>
      <c r="S51" s="52"/>
      <c r="T51" s="52"/>
      <c r="U51" s="52"/>
    </row>
    <row r="52" spans="1:21" ht="18" customHeight="1" x14ac:dyDescent="0.15">
      <c r="A52" s="76"/>
      <c r="B52" s="95"/>
      <c r="C52" s="96"/>
      <c r="D52" s="96"/>
      <c r="E52" s="96"/>
      <c r="F52" s="97"/>
      <c r="G52" s="52"/>
      <c r="H52" s="52"/>
      <c r="I52" s="52"/>
      <c r="J52" s="52"/>
      <c r="K52" s="95"/>
      <c r="L52" s="96"/>
      <c r="M52" s="96"/>
      <c r="N52" s="96"/>
      <c r="O52" s="96"/>
      <c r="P52" s="96"/>
      <c r="Q52" s="97"/>
      <c r="R52" s="52"/>
      <c r="S52" s="52"/>
      <c r="T52" s="52"/>
      <c r="U52" s="52"/>
    </row>
    <row r="53" spans="1:21" ht="18" customHeight="1" x14ac:dyDescent="0.15">
      <c r="A53" s="76"/>
      <c r="B53" s="95"/>
      <c r="C53" s="96"/>
      <c r="D53" s="96"/>
      <c r="E53" s="96"/>
      <c r="F53" s="97"/>
      <c r="G53" s="52"/>
      <c r="H53" s="52"/>
      <c r="I53" s="52"/>
      <c r="J53" s="52"/>
      <c r="K53" s="95"/>
      <c r="L53" s="96"/>
      <c r="M53" s="96"/>
      <c r="N53" s="96"/>
      <c r="O53" s="96"/>
      <c r="P53" s="96"/>
      <c r="Q53" s="97"/>
      <c r="R53" s="52"/>
      <c r="S53" s="52"/>
      <c r="T53" s="52"/>
      <c r="U53" s="52"/>
    </row>
    <row r="54" spans="1:21" ht="18" customHeight="1" x14ac:dyDescent="0.15">
      <c r="A54" s="76"/>
      <c r="B54" s="95"/>
      <c r="C54" s="96"/>
      <c r="D54" s="96"/>
      <c r="E54" s="96"/>
      <c r="F54" s="97"/>
      <c r="G54" s="52"/>
      <c r="H54" s="52"/>
      <c r="I54" s="52"/>
      <c r="J54" s="52"/>
      <c r="K54" s="95"/>
      <c r="L54" s="96"/>
      <c r="M54" s="96"/>
      <c r="N54" s="96"/>
      <c r="O54" s="96"/>
      <c r="P54" s="96"/>
      <c r="Q54" s="97"/>
      <c r="R54" s="52"/>
      <c r="S54" s="52"/>
      <c r="T54" s="52"/>
      <c r="U54" s="52"/>
    </row>
    <row r="55" spans="1:21" ht="18" customHeight="1" x14ac:dyDescent="0.15">
      <c r="A55" s="76"/>
      <c r="B55" s="102"/>
      <c r="C55" s="103"/>
      <c r="D55" s="103"/>
      <c r="E55" s="103"/>
      <c r="F55" s="104"/>
      <c r="G55" s="53"/>
      <c r="H55" s="53"/>
      <c r="I55" s="54"/>
      <c r="J55" s="54"/>
      <c r="K55" s="102"/>
      <c r="L55" s="103"/>
      <c r="M55" s="103"/>
      <c r="N55" s="103"/>
      <c r="O55" s="103"/>
      <c r="P55" s="103"/>
      <c r="Q55" s="104"/>
      <c r="R55" s="53"/>
      <c r="S55" s="53"/>
      <c r="T55" s="54"/>
      <c r="U55" s="54"/>
    </row>
    <row r="56" spans="1:21" ht="7.5" customHeight="1" x14ac:dyDescent="0.15">
      <c r="B56" s="73"/>
      <c r="C56" s="73"/>
      <c r="D56" s="73"/>
      <c r="E56" s="73"/>
      <c r="F56" s="73"/>
      <c r="G56" s="73"/>
      <c r="H56" s="73"/>
      <c r="I56" s="73"/>
      <c r="J56" s="73"/>
      <c r="K56" s="73"/>
      <c r="L56" s="73"/>
      <c r="M56" s="73"/>
      <c r="N56" s="73"/>
      <c r="O56" s="73"/>
      <c r="P56" s="73"/>
      <c r="Q56" s="73"/>
      <c r="R56" s="73"/>
      <c r="S56" s="73"/>
      <c r="T56" s="73"/>
    </row>
    <row r="57" spans="1:21" ht="18" customHeight="1" x14ac:dyDescent="0.15">
      <c r="A57" s="117" t="s">
        <v>35</v>
      </c>
      <c r="B57" s="90"/>
      <c r="C57" s="90"/>
      <c r="D57" s="90"/>
      <c r="E57" s="90"/>
      <c r="F57" s="90"/>
      <c r="G57" s="90"/>
      <c r="H57" s="90"/>
      <c r="I57" s="90"/>
      <c r="J57" s="90"/>
      <c r="K57" s="90"/>
      <c r="L57" s="90"/>
      <c r="M57" s="90"/>
      <c r="N57" s="90"/>
      <c r="O57" s="90"/>
      <c r="P57" s="90"/>
      <c r="Q57" s="90"/>
      <c r="R57" s="90"/>
      <c r="S57" s="90"/>
      <c r="T57" s="90"/>
      <c r="U57" s="90"/>
    </row>
    <row r="58" spans="1:21" ht="18" customHeight="1" x14ac:dyDescent="0.15">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15">
      <c r="B59" s="91" t="s">
        <v>21</v>
      </c>
      <c r="C59" s="92"/>
      <c r="D59" s="92"/>
      <c r="E59" s="92"/>
      <c r="F59" s="93"/>
      <c r="G59" s="48" t="s">
        <v>22</v>
      </c>
      <c r="H59" s="49" t="s">
        <v>23</v>
      </c>
      <c r="I59" s="50" t="s">
        <v>36</v>
      </c>
      <c r="J59" s="50" t="s">
        <v>37</v>
      </c>
      <c r="K59" s="91" t="s">
        <v>21</v>
      </c>
      <c r="L59" s="92"/>
      <c r="M59" s="92"/>
      <c r="N59" s="92"/>
      <c r="O59" s="92"/>
      <c r="P59" s="92"/>
      <c r="Q59" s="93"/>
      <c r="R59" s="48" t="s">
        <v>22</v>
      </c>
      <c r="S59" s="49" t="s">
        <v>23</v>
      </c>
      <c r="T59" s="50" t="s">
        <v>36</v>
      </c>
      <c r="U59" s="50" t="s">
        <v>37</v>
      </c>
    </row>
    <row r="60" spans="1:21" ht="18" customHeight="1" x14ac:dyDescent="0.15">
      <c r="A60" s="76"/>
      <c r="B60" s="101" t="s">
        <v>26</v>
      </c>
      <c r="C60" s="99"/>
      <c r="D60" s="99"/>
      <c r="E60" s="99"/>
      <c r="F60" s="100"/>
      <c r="G60" s="79">
        <v>1</v>
      </c>
      <c r="H60" s="79" t="s">
        <v>27</v>
      </c>
      <c r="I60" s="79" t="s">
        <v>27</v>
      </c>
      <c r="J60" s="51"/>
      <c r="K60" s="98"/>
      <c r="L60" s="99"/>
      <c r="M60" s="99"/>
      <c r="N60" s="99"/>
      <c r="O60" s="99"/>
      <c r="P60" s="99"/>
      <c r="Q60" s="100"/>
      <c r="R60" s="51"/>
      <c r="S60" s="51"/>
      <c r="T60" s="51"/>
      <c r="U60" s="51"/>
    </row>
    <row r="61" spans="1:21" ht="18" customHeight="1" x14ac:dyDescent="0.15">
      <c r="A61" s="76"/>
      <c r="B61" s="120" t="s">
        <v>38</v>
      </c>
      <c r="C61" s="96"/>
      <c r="D61" s="96"/>
      <c r="E61" s="96"/>
      <c r="F61" s="97"/>
      <c r="G61" s="80">
        <v>2</v>
      </c>
      <c r="H61" s="80" t="s">
        <v>27</v>
      </c>
      <c r="I61" s="52"/>
      <c r="J61" s="80" t="s">
        <v>27</v>
      </c>
      <c r="K61" s="95"/>
      <c r="L61" s="96"/>
      <c r="M61" s="96"/>
      <c r="N61" s="96"/>
      <c r="O61" s="96"/>
      <c r="P61" s="96"/>
      <c r="Q61" s="97"/>
      <c r="R61" s="52"/>
      <c r="S61" s="52"/>
      <c r="T61" s="52"/>
      <c r="U61" s="52"/>
    </row>
    <row r="62" spans="1:21" ht="18" customHeight="1" x14ac:dyDescent="0.15">
      <c r="A62" s="76"/>
      <c r="B62" s="95"/>
      <c r="C62" s="96"/>
      <c r="D62" s="96"/>
      <c r="E62" s="96"/>
      <c r="F62" s="97"/>
      <c r="G62" s="52"/>
      <c r="H62" s="52"/>
      <c r="I62" s="52"/>
      <c r="J62" s="52"/>
      <c r="K62" s="95"/>
      <c r="L62" s="96"/>
      <c r="M62" s="96"/>
      <c r="N62" s="96"/>
      <c r="O62" s="96"/>
      <c r="P62" s="96"/>
      <c r="Q62" s="97"/>
      <c r="R62" s="52"/>
      <c r="S62" s="52"/>
      <c r="T62" s="52"/>
      <c r="U62" s="52"/>
    </row>
    <row r="63" spans="1:21" ht="18" customHeight="1" x14ac:dyDescent="0.15">
      <c r="A63" s="76"/>
      <c r="B63" s="95"/>
      <c r="C63" s="96"/>
      <c r="D63" s="96"/>
      <c r="E63" s="96"/>
      <c r="F63" s="97"/>
      <c r="G63" s="52"/>
      <c r="H63" s="52"/>
      <c r="I63" s="52"/>
      <c r="J63" s="52"/>
      <c r="K63" s="95"/>
      <c r="L63" s="96"/>
      <c r="M63" s="96"/>
      <c r="N63" s="96"/>
      <c r="O63" s="96"/>
      <c r="P63" s="96"/>
      <c r="Q63" s="97"/>
      <c r="R63" s="52"/>
      <c r="S63" s="52"/>
      <c r="T63" s="52"/>
      <c r="U63" s="52"/>
    </row>
    <row r="64" spans="1:21" ht="18" customHeight="1" x14ac:dyDescent="0.15">
      <c r="A64" s="76"/>
      <c r="B64" s="95"/>
      <c r="C64" s="96"/>
      <c r="D64" s="96"/>
      <c r="E64" s="96"/>
      <c r="F64" s="97"/>
      <c r="G64" s="52"/>
      <c r="H64" s="52"/>
      <c r="I64" s="52"/>
      <c r="J64" s="52"/>
      <c r="K64" s="95"/>
      <c r="L64" s="96"/>
      <c r="M64" s="96"/>
      <c r="N64" s="96"/>
      <c r="O64" s="96"/>
      <c r="P64" s="96"/>
      <c r="Q64" s="97"/>
      <c r="R64" s="52"/>
      <c r="S64" s="52"/>
      <c r="T64" s="52"/>
      <c r="U64" s="52"/>
    </row>
    <row r="65" spans="1:27" ht="18" customHeight="1" x14ac:dyDescent="0.15">
      <c r="A65" s="76"/>
      <c r="B65" s="95"/>
      <c r="C65" s="96"/>
      <c r="D65" s="96"/>
      <c r="E65" s="96"/>
      <c r="F65" s="97"/>
      <c r="G65" s="52"/>
      <c r="H65" s="52"/>
      <c r="I65" s="52"/>
      <c r="J65" s="52"/>
      <c r="K65" s="95"/>
      <c r="L65" s="96"/>
      <c r="M65" s="96"/>
      <c r="N65" s="96"/>
      <c r="O65" s="96"/>
      <c r="P65" s="96"/>
      <c r="Q65" s="97"/>
      <c r="R65" s="52"/>
      <c r="S65" s="52"/>
      <c r="T65" s="52"/>
      <c r="U65" s="52"/>
    </row>
    <row r="66" spans="1:27" ht="18" customHeight="1" x14ac:dyDescent="0.15">
      <c r="A66" s="76"/>
      <c r="B66" s="102"/>
      <c r="C66" s="103"/>
      <c r="D66" s="103"/>
      <c r="E66" s="103"/>
      <c r="F66" s="104"/>
      <c r="G66" s="53"/>
      <c r="H66" s="53"/>
      <c r="I66" s="54"/>
      <c r="J66" s="54"/>
      <c r="K66" s="102"/>
      <c r="L66" s="103"/>
      <c r="M66" s="103"/>
      <c r="N66" s="103"/>
      <c r="O66" s="103"/>
      <c r="P66" s="103"/>
      <c r="Q66" s="104"/>
      <c r="R66" s="53"/>
      <c r="S66" s="53"/>
      <c r="T66" s="54"/>
      <c r="U66" s="54"/>
    </row>
    <row r="67" spans="1:27" ht="7.5" customHeight="1" x14ac:dyDescent="0.15">
      <c r="B67" s="73"/>
      <c r="C67" s="73"/>
      <c r="D67" s="73"/>
      <c r="E67" s="73"/>
      <c r="F67" s="73"/>
      <c r="G67" s="73"/>
      <c r="H67" s="73"/>
      <c r="I67" s="73"/>
      <c r="J67" s="73"/>
      <c r="K67" s="73"/>
      <c r="L67" s="73"/>
      <c r="M67" s="73"/>
      <c r="N67" s="73"/>
      <c r="O67" s="73"/>
      <c r="P67" s="73"/>
      <c r="Q67" s="73"/>
      <c r="R67" s="73"/>
      <c r="S67" s="73"/>
      <c r="T67" s="73"/>
    </row>
    <row r="68" spans="1:27" ht="18" customHeight="1" x14ac:dyDescent="0.15">
      <c r="A68" s="117" t="s">
        <v>39</v>
      </c>
      <c r="B68" s="90"/>
      <c r="C68" s="90"/>
      <c r="D68" s="90"/>
      <c r="E68" s="90"/>
      <c r="F68" s="90"/>
      <c r="G68" s="90"/>
      <c r="H68" s="90"/>
      <c r="I68" s="90"/>
      <c r="J68" s="90"/>
      <c r="K68" s="90"/>
      <c r="L68" s="90"/>
      <c r="M68" s="90"/>
      <c r="N68" s="90"/>
      <c r="O68" s="90"/>
      <c r="P68" s="90"/>
      <c r="Q68" s="90"/>
      <c r="R68" s="90"/>
      <c r="S68" s="90"/>
      <c r="T68" s="90"/>
      <c r="U68" s="90"/>
    </row>
    <row r="69" spans="1:27" ht="18" customHeight="1" x14ac:dyDescent="0.15">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15">
      <c r="B70" s="94" t="s">
        <v>21</v>
      </c>
      <c r="C70" s="92"/>
      <c r="D70" s="92"/>
      <c r="E70" s="92"/>
      <c r="F70" s="48" t="s">
        <v>22</v>
      </c>
      <c r="G70" s="49" t="s">
        <v>23</v>
      </c>
      <c r="H70" s="50" t="s">
        <v>40</v>
      </c>
      <c r="I70" s="50" t="s">
        <v>41</v>
      </c>
      <c r="J70" s="50" t="s">
        <v>42</v>
      </c>
      <c r="K70" s="91" t="s">
        <v>21</v>
      </c>
      <c r="L70" s="92"/>
      <c r="M70" s="92"/>
      <c r="N70" s="92"/>
      <c r="O70" s="92"/>
      <c r="P70" s="93"/>
      <c r="Q70" s="48" t="s">
        <v>22</v>
      </c>
      <c r="R70" s="49" t="s">
        <v>23</v>
      </c>
      <c r="S70" s="50" t="s">
        <v>40</v>
      </c>
      <c r="T70" s="50" t="s">
        <v>41</v>
      </c>
      <c r="U70" s="50" t="s">
        <v>42</v>
      </c>
    </row>
    <row r="71" spans="1:27" ht="18" customHeight="1" x14ac:dyDescent="0.15">
      <c r="A71" s="76"/>
      <c r="B71" s="122" t="s">
        <v>28</v>
      </c>
      <c r="C71" s="99"/>
      <c r="D71" s="99"/>
      <c r="E71" s="99"/>
      <c r="F71" s="79">
        <v>2</v>
      </c>
      <c r="G71" s="79" t="s">
        <v>27</v>
      </c>
      <c r="H71" s="79" t="s">
        <v>27</v>
      </c>
      <c r="I71" s="79" t="s">
        <v>27</v>
      </c>
      <c r="J71" s="79" t="s">
        <v>27</v>
      </c>
      <c r="K71" s="98"/>
      <c r="L71" s="99"/>
      <c r="M71" s="99"/>
      <c r="N71" s="99"/>
      <c r="O71" s="99"/>
      <c r="P71" s="100"/>
      <c r="Q71" s="51"/>
      <c r="R71" s="51"/>
      <c r="S71" s="51"/>
      <c r="T71" s="51"/>
      <c r="U71" s="51"/>
    </row>
    <row r="72" spans="1:27" ht="18" customHeight="1" x14ac:dyDescent="0.15">
      <c r="A72" s="76"/>
      <c r="B72" s="105"/>
      <c r="C72" s="96"/>
      <c r="D72" s="96"/>
      <c r="E72" s="96"/>
      <c r="F72" s="52"/>
      <c r="G72" s="52"/>
      <c r="H72" s="52"/>
      <c r="I72" s="52"/>
      <c r="J72" s="52"/>
      <c r="K72" s="95"/>
      <c r="L72" s="96"/>
      <c r="M72" s="96"/>
      <c r="N72" s="96"/>
      <c r="O72" s="96"/>
      <c r="P72" s="97"/>
      <c r="Q72" s="52"/>
      <c r="R72" s="52"/>
      <c r="S72" s="52"/>
      <c r="T72" s="52"/>
      <c r="U72" s="52"/>
    </row>
    <row r="73" spans="1:27" ht="18" customHeight="1" x14ac:dyDescent="0.15">
      <c r="A73" s="76"/>
      <c r="B73" s="105"/>
      <c r="C73" s="96"/>
      <c r="D73" s="96"/>
      <c r="E73" s="96"/>
      <c r="F73" s="52"/>
      <c r="G73" s="52"/>
      <c r="H73" s="52"/>
      <c r="I73" s="52"/>
      <c r="J73" s="52"/>
      <c r="K73" s="95"/>
      <c r="L73" s="96"/>
      <c r="M73" s="96"/>
      <c r="N73" s="96"/>
      <c r="O73" s="96"/>
      <c r="P73" s="97"/>
      <c r="Q73" s="52"/>
      <c r="R73" s="52"/>
      <c r="S73" s="52"/>
      <c r="T73" s="52"/>
      <c r="U73" s="52"/>
    </row>
    <row r="74" spans="1:27" ht="18" customHeight="1" x14ac:dyDescent="0.15">
      <c r="A74" s="76"/>
      <c r="B74" s="105"/>
      <c r="C74" s="96"/>
      <c r="D74" s="96"/>
      <c r="E74" s="96"/>
      <c r="F74" s="52"/>
      <c r="G74" s="52"/>
      <c r="H74" s="52"/>
      <c r="I74" s="52"/>
      <c r="J74" s="52"/>
      <c r="K74" s="95"/>
      <c r="L74" s="96"/>
      <c r="M74" s="96"/>
      <c r="N74" s="96"/>
      <c r="O74" s="96"/>
      <c r="P74" s="97"/>
      <c r="Q74" s="52"/>
      <c r="R74" s="52"/>
      <c r="S74" s="52"/>
      <c r="T74" s="52"/>
      <c r="U74" s="52"/>
    </row>
    <row r="75" spans="1:27" ht="18" customHeight="1" x14ac:dyDescent="0.15">
      <c r="A75" s="76"/>
      <c r="B75" s="105"/>
      <c r="C75" s="96"/>
      <c r="D75" s="96"/>
      <c r="E75" s="96"/>
      <c r="F75" s="52"/>
      <c r="G75" s="52"/>
      <c r="H75" s="52"/>
      <c r="I75" s="52"/>
      <c r="J75" s="52"/>
      <c r="K75" s="95"/>
      <c r="L75" s="96"/>
      <c r="M75" s="96"/>
      <c r="N75" s="96"/>
      <c r="O75" s="96"/>
      <c r="P75" s="97"/>
      <c r="Q75" s="52"/>
      <c r="R75" s="52"/>
      <c r="S75" s="52"/>
      <c r="T75" s="52"/>
      <c r="U75" s="52"/>
    </row>
    <row r="76" spans="1:27" ht="18" customHeight="1" x14ac:dyDescent="0.15">
      <c r="A76" s="76"/>
      <c r="B76" s="105"/>
      <c r="C76" s="96"/>
      <c r="D76" s="96"/>
      <c r="E76" s="96"/>
      <c r="F76" s="52"/>
      <c r="G76" s="52"/>
      <c r="H76" s="52"/>
      <c r="I76" s="52"/>
      <c r="J76" s="52"/>
      <c r="K76" s="95"/>
      <c r="L76" s="96"/>
      <c r="M76" s="96"/>
      <c r="N76" s="96"/>
      <c r="O76" s="96"/>
      <c r="P76" s="97"/>
      <c r="Q76" s="52"/>
      <c r="R76" s="52"/>
      <c r="S76" s="52"/>
      <c r="T76" s="52"/>
      <c r="U76" s="52"/>
    </row>
    <row r="77" spans="1:27" ht="18" customHeight="1" x14ac:dyDescent="0.15">
      <c r="A77" s="76"/>
      <c r="B77" s="113"/>
      <c r="C77" s="103"/>
      <c r="D77" s="103"/>
      <c r="E77" s="103"/>
      <c r="F77" s="53"/>
      <c r="G77" s="53"/>
      <c r="H77" s="54"/>
      <c r="I77" s="54"/>
      <c r="J77" s="54"/>
      <c r="K77" s="102"/>
      <c r="L77" s="103"/>
      <c r="M77" s="103"/>
      <c r="N77" s="103"/>
      <c r="O77" s="103"/>
      <c r="P77" s="104"/>
      <c r="Q77" s="53"/>
      <c r="R77" s="53"/>
      <c r="S77" s="54"/>
      <c r="T77" s="54"/>
      <c r="U77" s="54"/>
    </row>
    <row r="78" spans="1:27" ht="7.5" customHeight="1" x14ac:dyDescent="0.15">
      <c r="B78" s="73"/>
      <c r="C78" s="73"/>
      <c r="D78" s="73"/>
      <c r="E78" s="73"/>
      <c r="F78" s="73"/>
      <c r="G78" s="73"/>
      <c r="H78" s="73"/>
      <c r="I78" s="73"/>
      <c r="J78" s="73"/>
      <c r="K78" s="73"/>
      <c r="L78" s="73"/>
      <c r="M78" s="73"/>
      <c r="N78" s="73"/>
      <c r="O78" s="73"/>
      <c r="P78" s="73"/>
      <c r="Q78" s="73"/>
      <c r="R78" s="73"/>
      <c r="S78" s="73"/>
      <c r="T78" s="73"/>
    </row>
    <row r="79" spans="1:27" ht="18" customHeight="1" x14ac:dyDescent="0.15">
      <c r="A79" s="77" t="s">
        <v>43</v>
      </c>
      <c r="I79" s="76"/>
      <c r="J79" s="76"/>
      <c r="K79" s="76"/>
      <c r="L79" s="76"/>
      <c r="M79" s="76"/>
      <c r="N79" s="76"/>
      <c r="O79" s="76"/>
      <c r="P79" s="76"/>
      <c r="Q79" s="76"/>
      <c r="R79" s="76"/>
      <c r="S79" s="76"/>
      <c r="T79" s="76"/>
      <c r="U79" s="76"/>
    </row>
    <row r="80" spans="1:27" ht="18" customHeight="1" x14ac:dyDescent="0.15">
      <c r="B80" s="91" t="s">
        <v>21</v>
      </c>
      <c r="C80" s="92"/>
      <c r="D80" s="92"/>
      <c r="E80" s="92"/>
      <c r="F80" s="93"/>
      <c r="G80" s="91" t="s">
        <v>44</v>
      </c>
      <c r="H80" s="92"/>
      <c r="I80" s="92"/>
      <c r="J80" s="93"/>
      <c r="K80" s="133" t="s">
        <v>21</v>
      </c>
      <c r="L80" s="107"/>
      <c r="M80" s="107"/>
      <c r="N80" s="107"/>
      <c r="O80" s="107"/>
      <c r="P80" s="107"/>
      <c r="Q80" s="108"/>
      <c r="R80" s="91" t="s">
        <v>44</v>
      </c>
      <c r="S80" s="92"/>
      <c r="T80" s="92"/>
      <c r="U80" s="93"/>
      <c r="AA80" s="77" t="s">
        <v>45</v>
      </c>
    </row>
    <row r="81" spans="1:27" ht="18" customHeight="1" x14ac:dyDescent="0.15">
      <c r="A81" s="76"/>
      <c r="B81" s="98"/>
      <c r="C81" s="99"/>
      <c r="D81" s="99"/>
      <c r="E81" s="99"/>
      <c r="F81" s="100"/>
      <c r="G81" s="118"/>
      <c r="H81" s="107"/>
      <c r="I81" s="107"/>
      <c r="J81" s="108"/>
      <c r="K81" s="98"/>
      <c r="L81" s="99"/>
      <c r="M81" s="99"/>
      <c r="N81" s="99"/>
      <c r="O81" s="99"/>
      <c r="P81" s="99"/>
      <c r="Q81" s="100"/>
      <c r="R81" s="118"/>
      <c r="S81" s="107"/>
      <c r="T81" s="107"/>
      <c r="U81" s="108"/>
      <c r="AA81" s="77" t="s">
        <v>46</v>
      </c>
    </row>
    <row r="82" spans="1:27" ht="18" customHeight="1" x14ac:dyDescent="0.15">
      <c r="A82" s="76"/>
      <c r="B82" s="95"/>
      <c r="C82" s="96"/>
      <c r="D82" s="96"/>
      <c r="E82" s="96"/>
      <c r="F82" s="97"/>
      <c r="G82" s="123"/>
      <c r="H82" s="96"/>
      <c r="I82" s="96"/>
      <c r="J82" s="97"/>
      <c r="K82" s="95"/>
      <c r="L82" s="96"/>
      <c r="M82" s="96"/>
      <c r="N82" s="96"/>
      <c r="O82" s="96"/>
      <c r="P82" s="96"/>
      <c r="Q82" s="97"/>
      <c r="R82" s="123"/>
      <c r="S82" s="96"/>
      <c r="T82" s="96"/>
      <c r="U82" s="97"/>
      <c r="AA82" s="77" t="s">
        <v>47</v>
      </c>
    </row>
    <row r="83" spans="1:27" ht="18" customHeight="1" x14ac:dyDescent="0.15">
      <c r="A83" s="76"/>
      <c r="B83" s="95"/>
      <c r="C83" s="96"/>
      <c r="D83" s="96"/>
      <c r="E83" s="96"/>
      <c r="F83" s="97"/>
      <c r="G83" s="123"/>
      <c r="H83" s="96"/>
      <c r="I83" s="96"/>
      <c r="J83" s="97"/>
      <c r="K83" s="95"/>
      <c r="L83" s="96"/>
      <c r="M83" s="96"/>
      <c r="N83" s="96"/>
      <c r="O83" s="96"/>
      <c r="P83" s="96"/>
      <c r="Q83" s="97"/>
      <c r="R83" s="123"/>
      <c r="S83" s="96"/>
      <c r="T83" s="96"/>
      <c r="U83" s="97"/>
      <c r="AA83" s="77" t="s">
        <v>48</v>
      </c>
    </row>
    <row r="84" spans="1:27" ht="18" customHeight="1" x14ac:dyDescent="0.15">
      <c r="A84" s="76"/>
      <c r="B84" s="95"/>
      <c r="C84" s="96"/>
      <c r="D84" s="96"/>
      <c r="E84" s="96"/>
      <c r="F84" s="97"/>
      <c r="G84" s="123"/>
      <c r="H84" s="96"/>
      <c r="I84" s="96"/>
      <c r="J84" s="97"/>
      <c r="K84" s="95"/>
      <c r="L84" s="96"/>
      <c r="M84" s="96"/>
      <c r="N84" s="96"/>
      <c r="O84" s="96"/>
      <c r="P84" s="96"/>
      <c r="Q84" s="97"/>
      <c r="R84" s="123"/>
      <c r="S84" s="96"/>
      <c r="T84" s="96"/>
      <c r="U84" s="97"/>
      <c r="AA84" s="77" t="s">
        <v>49</v>
      </c>
    </row>
    <row r="85" spans="1:27" ht="18" customHeight="1" x14ac:dyDescent="0.15">
      <c r="A85" s="76"/>
      <c r="B85" s="95"/>
      <c r="C85" s="96"/>
      <c r="D85" s="96"/>
      <c r="E85" s="96"/>
      <c r="F85" s="97"/>
      <c r="G85" s="123"/>
      <c r="H85" s="96"/>
      <c r="I85" s="96"/>
      <c r="J85" s="97"/>
      <c r="K85" s="95"/>
      <c r="L85" s="96"/>
      <c r="M85" s="96"/>
      <c r="N85" s="96"/>
      <c r="O85" s="96"/>
      <c r="P85" s="96"/>
      <c r="Q85" s="97"/>
      <c r="R85" s="123"/>
      <c r="S85" s="96"/>
      <c r="T85" s="96"/>
      <c r="U85" s="97"/>
      <c r="AA85" s="77" t="s">
        <v>50</v>
      </c>
    </row>
    <row r="86" spans="1:27" ht="18" customHeight="1" x14ac:dyDescent="0.15">
      <c r="A86" s="76"/>
      <c r="B86" s="95"/>
      <c r="C86" s="96"/>
      <c r="D86" s="96"/>
      <c r="E86" s="96"/>
      <c r="F86" s="97"/>
      <c r="G86" s="123"/>
      <c r="H86" s="96"/>
      <c r="I86" s="96"/>
      <c r="J86" s="97"/>
      <c r="K86" s="95"/>
      <c r="L86" s="96"/>
      <c r="M86" s="96"/>
      <c r="N86" s="96"/>
      <c r="O86" s="96"/>
      <c r="P86" s="96"/>
      <c r="Q86" s="97"/>
      <c r="R86" s="123"/>
      <c r="S86" s="96"/>
      <c r="T86" s="96"/>
      <c r="U86" s="97"/>
      <c r="AA86" s="77" t="s">
        <v>51</v>
      </c>
    </row>
    <row r="87" spans="1:27" ht="18" customHeight="1" x14ac:dyDescent="0.15">
      <c r="A87" s="76"/>
      <c r="B87" s="102"/>
      <c r="C87" s="103"/>
      <c r="D87" s="103"/>
      <c r="E87" s="103"/>
      <c r="F87" s="104"/>
      <c r="G87" s="124"/>
      <c r="H87" s="110"/>
      <c r="I87" s="110"/>
      <c r="J87" s="111"/>
      <c r="K87" s="102"/>
      <c r="L87" s="103"/>
      <c r="M87" s="103"/>
      <c r="N87" s="103"/>
      <c r="O87" s="103"/>
      <c r="P87" s="103"/>
      <c r="Q87" s="104"/>
      <c r="R87" s="124"/>
      <c r="S87" s="110"/>
      <c r="T87" s="110"/>
      <c r="U87" s="111"/>
      <c r="AA87" s="77" t="s">
        <v>52</v>
      </c>
    </row>
    <row r="88" spans="1:27" ht="18" customHeight="1" x14ac:dyDescent="0.15">
      <c r="A88" s="76"/>
      <c r="B88" s="3"/>
      <c r="C88" s="3"/>
      <c r="D88" s="3"/>
      <c r="E88" s="3"/>
      <c r="F88" s="3"/>
      <c r="G88" s="55"/>
      <c r="H88" s="55"/>
      <c r="I88" s="55"/>
      <c r="J88" s="55"/>
      <c r="K88" s="3"/>
      <c r="L88" s="3"/>
      <c r="M88" s="3"/>
      <c r="N88" s="3"/>
      <c r="O88" s="3"/>
      <c r="P88" s="3"/>
      <c r="Q88" s="3"/>
      <c r="R88" s="55"/>
      <c r="S88" s="55"/>
      <c r="T88" s="55"/>
      <c r="U88" s="55"/>
      <c r="AA88" s="77" t="s">
        <v>53</v>
      </c>
    </row>
    <row r="89" spans="1:27" ht="18.75" customHeight="1" x14ac:dyDescent="0.15">
      <c r="A89" s="77" t="s">
        <v>54</v>
      </c>
      <c r="AA89" s="77" t="s">
        <v>55</v>
      </c>
    </row>
    <row r="90" spans="1:27" ht="18.75" customHeight="1" x14ac:dyDescent="0.15">
      <c r="B90" s="129" t="s">
        <v>56</v>
      </c>
      <c r="C90" s="93"/>
      <c r="D90" s="91" t="s">
        <v>57</v>
      </c>
      <c r="E90" s="92"/>
      <c r="F90" s="92"/>
      <c r="G90" s="92"/>
      <c r="H90" s="92"/>
      <c r="I90" s="92"/>
      <c r="J90" s="92"/>
      <c r="K90" s="92"/>
      <c r="L90" s="92"/>
      <c r="M90" s="92"/>
      <c r="N90" s="92"/>
      <c r="O90" s="92"/>
      <c r="P90" s="92"/>
      <c r="Q90" s="92"/>
      <c r="R90" s="92"/>
      <c r="S90" s="92"/>
      <c r="T90" s="92"/>
      <c r="U90" s="93"/>
    </row>
    <row r="91" spans="1:27" ht="97.5" customHeight="1" x14ac:dyDescent="0.15">
      <c r="B91" s="132" t="s">
        <v>58</v>
      </c>
      <c r="C91" s="56" t="s">
        <v>24</v>
      </c>
      <c r="D91" s="119" t="s">
        <v>59</v>
      </c>
      <c r="E91" s="99"/>
      <c r="F91" s="99"/>
      <c r="G91" s="99"/>
      <c r="H91" s="99"/>
      <c r="I91" s="99"/>
      <c r="J91" s="99"/>
      <c r="K91" s="99"/>
      <c r="L91" s="99"/>
      <c r="M91" s="99"/>
      <c r="N91" s="99"/>
      <c r="O91" s="99"/>
      <c r="P91" s="99"/>
      <c r="Q91" s="99"/>
      <c r="R91" s="99"/>
      <c r="S91" s="99"/>
      <c r="T91" s="99"/>
      <c r="U91" s="100"/>
    </row>
    <row r="92" spans="1:27" ht="97.5" customHeight="1" x14ac:dyDescent="0.15">
      <c r="B92" s="130"/>
      <c r="C92" s="57" t="s">
        <v>25</v>
      </c>
      <c r="D92" s="121" t="s">
        <v>60</v>
      </c>
      <c r="E92" s="103"/>
      <c r="F92" s="103"/>
      <c r="G92" s="103"/>
      <c r="H92" s="103"/>
      <c r="I92" s="103"/>
      <c r="J92" s="103"/>
      <c r="K92" s="103"/>
      <c r="L92" s="103"/>
      <c r="M92" s="103"/>
      <c r="N92" s="103"/>
      <c r="O92" s="103"/>
      <c r="P92" s="103"/>
      <c r="Q92" s="103"/>
      <c r="R92" s="103"/>
      <c r="S92" s="103"/>
      <c r="T92" s="103"/>
      <c r="U92" s="104"/>
    </row>
    <row r="93" spans="1:27" ht="97.5" customHeight="1" x14ac:dyDescent="0.15">
      <c r="B93" s="127" t="s">
        <v>61</v>
      </c>
      <c r="C93" s="58" t="s">
        <v>30</v>
      </c>
      <c r="D93" s="119" t="s">
        <v>62</v>
      </c>
      <c r="E93" s="99"/>
      <c r="F93" s="99"/>
      <c r="G93" s="99"/>
      <c r="H93" s="99"/>
      <c r="I93" s="99"/>
      <c r="J93" s="99"/>
      <c r="K93" s="99"/>
      <c r="L93" s="99"/>
      <c r="M93" s="99"/>
      <c r="N93" s="99"/>
      <c r="O93" s="99"/>
      <c r="P93" s="99"/>
      <c r="Q93" s="99"/>
      <c r="R93" s="99"/>
      <c r="S93" s="99"/>
      <c r="T93" s="99"/>
      <c r="U93" s="100"/>
    </row>
    <row r="94" spans="1:27" ht="97.5" customHeight="1" x14ac:dyDescent="0.15">
      <c r="B94" s="128"/>
      <c r="C94" s="59" t="s">
        <v>31</v>
      </c>
      <c r="D94" s="121" t="s">
        <v>63</v>
      </c>
      <c r="E94" s="103"/>
      <c r="F94" s="103"/>
      <c r="G94" s="103"/>
      <c r="H94" s="103"/>
      <c r="I94" s="103"/>
      <c r="J94" s="103"/>
      <c r="K94" s="103"/>
      <c r="L94" s="103"/>
      <c r="M94" s="103"/>
      <c r="N94" s="103"/>
      <c r="O94" s="103"/>
      <c r="P94" s="103"/>
      <c r="Q94" s="103"/>
      <c r="R94" s="103"/>
      <c r="S94" s="103"/>
      <c r="T94" s="103"/>
      <c r="U94" s="104"/>
    </row>
    <row r="95" spans="1:27" ht="97.5" customHeight="1" x14ac:dyDescent="0.15">
      <c r="B95" s="127" t="s">
        <v>64</v>
      </c>
      <c r="C95" s="58" t="s">
        <v>33</v>
      </c>
      <c r="D95" s="119" t="s">
        <v>65</v>
      </c>
      <c r="E95" s="99"/>
      <c r="F95" s="99"/>
      <c r="G95" s="99"/>
      <c r="H95" s="99"/>
      <c r="I95" s="99"/>
      <c r="J95" s="99"/>
      <c r="K95" s="99"/>
      <c r="L95" s="99"/>
      <c r="M95" s="99"/>
      <c r="N95" s="99"/>
      <c r="O95" s="99"/>
      <c r="P95" s="99"/>
      <c r="Q95" s="99"/>
      <c r="R95" s="99"/>
      <c r="S95" s="99"/>
      <c r="T95" s="99"/>
      <c r="U95" s="100"/>
    </row>
    <row r="96" spans="1:27" ht="97.5" customHeight="1" x14ac:dyDescent="0.15">
      <c r="B96" s="128"/>
      <c r="C96" s="60" t="s">
        <v>34</v>
      </c>
      <c r="D96" s="121" t="s">
        <v>66</v>
      </c>
      <c r="E96" s="103"/>
      <c r="F96" s="103"/>
      <c r="G96" s="103"/>
      <c r="H96" s="103"/>
      <c r="I96" s="103"/>
      <c r="J96" s="103"/>
      <c r="K96" s="103"/>
      <c r="L96" s="103"/>
      <c r="M96" s="103"/>
      <c r="N96" s="103"/>
      <c r="O96" s="103"/>
      <c r="P96" s="103"/>
      <c r="Q96" s="103"/>
      <c r="R96" s="103"/>
      <c r="S96" s="103"/>
      <c r="T96" s="103"/>
      <c r="U96" s="104"/>
    </row>
    <row r="97" spans="1:21" ht="97.5" customHeight="1" x14ac:dyDescent="0.15">
      <c r="B97" s="127" t="s">
        <v>67</v>
      </c>
      <c r="C97" s="56" t="s">
        <v>36</v>
      </c>
      <c r="D97" s="119" t="s">
        <v>68</v>
      </c>
      <c r="E97" s="99"/>
      <c r="F97" s="99"/>
      <c r="G97" s="99"/>
      <c r="H97" s="99"/>
      <c r="I97" s="99"/>
      <c r="J97" s="99"/>
      <c r="K97" s="99"/>
      <c r="L97" s="99"/>
      <c r="M97" s="99"/>
      <c r="N97" s="99"/>
      <c r="O97" s="99"/>
      <c r="P97" s="99"/>
      <c r="Q97" s="99"/>
      <c r="R97" s="99"/>
      <c r="S97" s="99"/>
      <c r="T97" s="99"/>
      <c r="U97" s="100"/>
    </row>
    <row r="98" spans="1:21" ht="97.5" customHeight="1" x14ac:dyDescent="0.15">
      <c r="B98" s="128"/>
      <c r="C98" s="59" t="s">
        <v>37</v>
      </c>
      <c r="D98" s="121" t="s">
        <v>69</v>
      </c>
      <c r="E98" s="103"/>
      <c r="F98" s="103"/>
      <c r="G98" s="103"/>
      <c r="H98" s="103"/>
      <c r="I98" s="103"/>
      <c r="J98" s="103"/>
      <c r="K98" s="103"/>
      <c r="L98" s="103"/>
      <c r="M98" s="103"/>
      <c r="N98" s="103"/>
      <c r="O98" s="103"/>
      <c r="P98" s="103"/>
      <c r="Q98" s="103"/>
      <c r="R98" s="103"/>
      <c r="S98" s="103"/>
      <c r="T98" s="103"/>
      <c r="U98" s="104"/>
    </row>
    <row r="99" spans="1:21" ht="97.5" customHeight="1" x14ac:dyDescent="0.15">
      <c r="B99" s="127" t="s">
        <v>70</v>
      </c>
      <c r="C99" s="58" t="s">
        <v>40</v>
      </c>
      <c r="D99" s="119" t="s">
        <v>71</v>
      </c>
      <c r="E99" s="99"/>
      <c r="F99" s="99"/>
      <c r="G99" s="99"/>
      <c r="H99" s="99"/>
      <c r="I99" s="99"/>
      <c r="J99" s="99"/>
      <c r="K99" s="99"/>
      <c r="L99" s="99"/>
      <c r="M99" s="99"/>
      <c r="N99" s="99"/>
      <c r="O99" s="99"/>
      <c r="P99" s="99"/>
      <c r="Q99" s="99"/>
      <c r="R99" s="99"/>
      <c r="S99" s="99"/>
      <c r="T99" s="99"/>
      <c r="U99" s="100"/>
    </row>
    <row r="100" spans="1:21" ht="97.5" customHeight="1" x14ac:dyDescent="0.15">
      <c r="B100" s="130"/>
      <c r="C100" s="61" t="s">
        <v>41</v>
      </c>
      <c r="D100" s="131" t="s">
        <v>72</v>
      </c>
      <c r="E100" s="96"/>
      <c r="F100" s="96"/>
      <c r="G100" s="96"/>
      <c r="H100" s="96"/>
      <c r="I100" s="96"/>
      <c r="J100" s="96"/>
      <c r="K100" s="96"/>
      <c r="L100" s="96"/>
      <c r="M100" s="96"/>
      <c r="N100" s="96"/>
      <c r="O100" s="96"/>
      <c r="P100" s="96"/>
      <c r="Q100" s="96"/>
      <c r="R100" s="96"/>
      <c r="S100" s="96"/>
      <c r="T100" s="96"/>
      <c r="U100" s="97"/>
    </row>
    <row r="101" spans="1:21" ht="97.5" customHeight="1" x14ac:dyDescent="0.15">
      <c r="B101" s="128"/>
      <c r="C101" s="60" t="s">
        <v>42</v>
      </c>
      <c r="D101" s="121" t="s">
        <v>73</v>
      </c>
      <c r="E101" s="103"/>
      <c r="F101" s="103"/>
      <c r="G101" s="103"/>
      <c r="H101" s="103"/>
      <c r="I101" s="103"/>
      <c r="J101" s="103"/>
      <c r="K101" s="103"/>
      <c r="L101" s="103"/>
      <c r="M101" s="103"/>
      <c r="N101" s="103"/>
      <c r="O101" s="103"/>
      <c r="P101" s="103"/>
      <c r="Q101" s="103"/>
      <c r="R101" s="103"/>
      <c r="S101" s="103"/>
      <c r="T101" s="103"/>
      <c r="U101" s="104"/>
    </row>
    <row r="102" spans="1:21" ht="6" customHeight="1" x14ac:dyDescent="0.15"/>
    <row r="103" spans="1:21" ht="18.75" customHeight="1" x14ac:dyDescent="0.15">
      <c r="A103" s="77" t="s">
        <v>74</v>
      </c>
    </row>
    <row r="104" spans="1:21" ht="108" customHeight="1" x14ac:dyDescent="0.15">
      <c r="B104" s="116" t="s">
        <v>75</v>
      </c>
      <c r="C104" s="92"/>
      <c r="D104" s="92"/>
      <c r="E104" s="92"/>
      <c r="F104" s="92"/>
      <c r="G104" s="92"/>
      <c r="H104" s="92"/>
      <c r="I104" s="92"/>
      <c r="J104" s="92"/>
      <c r="K104" s="92"/>
      <c r="L104" s="92"/>
      <c r="M104" s="92"/>
      <c r="N104" s="92"/>
      <c r="O104" s="92"/>
      <c r="P104" s="92"/>
      <c r="Q104" s="92"/>
      <c r="R104" s="92"/>
      <c r="S104" s="92"/>
      <c r="T104" s="92"/>
      <c r="U104" s="93"/>
    </row>
    <row r="107" spans="1:21" ht="18" customHeight="1" x14ac:dyDescent="0.15"/>
  </sheetData>
  <mergeCells count="144">
    <mergeCell ref="K30:Q30"/>
    <mergeCell ref="B44:F44"/>
    <mergeCell ref="K80:Q80"/>
    <mergeCell ref="A24:U25"/>
    <mergeCell ref="B53:F53"/>
    <mergeCell ref="K55:Q55"/>
    <mergeCell ref="R84:U84"/>
    <mergeCell ref="B28:F28"/>
    <mergeCell ref="K64:Q64"/>
    <mergeCell ref="B37:F37"/>
    <mergeCell ref="K51:Q51"/>
    <mergeCell ref="G82:J82"/>
    <mergeCell ref="B84:F84"/>
    <mergeCell ref="K32:Q32"/>
    <mergeCell ref="B30:F30"/>
    <mergeCell ref="R80:U80"/>
    <mergeCell ref="K41:Q41"/>
    <mergeCell ref="B80:F80"/>
    <mergeCell ref="B81:F81"/>
    <mergeCell ref="B74:E74"/>
    <mergeCell ref="K75:P75"/>
    <mergeCell ref="K53:Q53"/>
    <mergeCell ref="B27:F27"/>
    <mergeCell ref="K77:P77"/>
    <mergeCell ref="B52:F52"/>
    <mergeCell ref="K28:Q28"/>
    <mergeCell ref="B76:E76"/>
    <mergeCell ref="D99:U99"/>
    <mergeCell ref="B91:B92"/>
    <mergeCell ref="K43:Q43"/>
    <mergeCell ref="B97:B98"/>
    <mergeCell ref="K27:Q27"/>
    <mergeCell ref="K76:P76"/>
    <mergeCell ref="K31:Q31"/>
    <mergeCell ref="R86:U86"/>
    <mergeCell ref="D90:U90"/>
    <mergeCell ref="B85:F85"/>
    <mergeCell ref="B63:F63"/>
    <mergeCell ref="R85:U85"/>
    <mergeCell ref="K86:Q86"/>
    <mergeCell ref="G80:J80"/>
    <mergeCell ref="B50:F50"/>
    <mergeCell ref="A57:U58"/>
    <mergeCell ref="D96:U96"/>
    <mergeCell ref="G86:J86"/>
    <mergeCell ref="B86:F86"/>
    <mergeCell ref="B38:F38"/>
    <mergeCell ref="K70:P70"/>
    <mergeCell ref="D101:U101"/>
    <mergeCell ref="B93:B94"/>
    <mergeCell ref="B54:F54"/>
    <mergeCell ref="B90:C90"/>
    <mergeCell ref="K82:Q82"/>
    <mergeCell ref="G85:J85"/>
    <mergeCell ref="B99:B101"/>
    <mergeCell ref="A35:U36"/>
    <mergeCell ref="K87:Q87"/>
    <mergeCell ref="R87:U87"/>
    <mergeCell ref="D100:U100"/>
    <mergeCell ref="G83:J83"/>
    <mergeCell ref="D95:U95"/>
    <mergeCell ref="D97:U97"/>
    <mergeCell ref="K37:Q37"/>
    <mergeCell ref="B42:F42"/>
    <mergeCell ref="G81:J81"/>
    <mergeCell ref="B60:F60"/>
    <mergeCell ref="D98:U98"/>
    <mergeCell ref="B95:B96"/>
    <mergeCell ref="K44:Q44"/>
    <mergeCell ref="B83:F83"/>
    <mergeCell ref="A46:U47"/>
    <mergeCell ref="K40:Q40"/>
    <mergeCell ref="C3:J3"/>
    <mergeCell ref="K61:Q61"/>
    <mergeCell ref="K39:Q39"/>
    <mergeCell ref="N22:U22"/>
    <mergeCell ref="K66:Q66"/>
    <mergeCell ref="G84:J84"/>
    <mergeCell ref="B43:F43"/>
    <mergeCell ref="A5:U5"/>
    <mergeCell ref="K83:Q83"/>
    <mergeCell ref="R82:U82"/>
    <mergeCell ref="B82:F82"/>
    <mergeCell ref="K54:Q54"/>
    <mergeCell ref="K60:Q60"/>
    <mergeCell ref="K48:Q48"/>
    <mergeCell ref="B66:F66"/>
    <mergeCell ref="K38:Q38"/>
    <mergeCell ref="K62:Q62"/>
    <mergeCell ref="K71:P71"/>
    <mergeCell ref="B75:E75"/>
    <mergeCell ref="B61:F61"/>
    <mergeCell ref="L7:U7"/>
    <mergeCell ref="K73:P73"/>
    <mergeCell ref="K33:Q33"/>
    <mergeCell ref="B29:F29"/>
    <mergeCell ref="B104:U104"/>
    <mergeCell ref="K72:P72"/>
    <mergeCell ref="B62:F62"/>
    <mergeCell ref="B59:F59"/>
    <mergeCell ref="A68:U69"/>
    <mergeCell ref="B31:F31"/>
    <mergeCell ref="R81:U81"/>
    <mergeCell ref="K65:Q65"/>
    <mergeCell ref="D91:U91"/>
    <mergeCell ref="B39:F39"/>
    <mergeCell ref="B48:F48"/>
    <mergeCell ref="K49:Q49"/>
    <mergeCell ref="D93:U93"/>
    <mergeCell ref="B72:E72"/>
    <mergeCell ref="D92:U92"/>
    <mergeCell ref="B71:E71"/>
    <mergeCell ref="B87:F87"/>
    <mergeCell ref="D94:U94"/>
    <mergeCell ref="K85:Q85"/>
    <mergeCell ref="B65:F65"/>
    <mergeCell ref="R83:U83"/>
    <mergeCell ref="K84:Q84"/>
    <mergeCell ref="G87:J87"/>
    <mergeCell ref="K59:Q59"/>
    <mergeCell ref="T1:U1"/>
    <mergeCell ref="K26:Q26"/>
    <mergeCell ref="B70:E70"/>
    <mergeCell ref="K63:Q63"/>
    <mergeCell ref="B40:F40"/>
    <mergeCell ref="K81:Q81"/>
    <mergeCell ref="K50:Q50"/>
    <mergeCell ref="K74:P74"/>
    <mergeCell ref="B49:F49"/>
    <mergeCell ref="B55:F55"/>
    <mergeCell ref="B64:F64"/>
    <mergeCell ref="B73:E73"/>
    <mergeCell ref="B33:F33"/>
    <mergeCell ref="B51:F51"/>
    <mergeCell ref="K52:Q52"/>
    <mergeCell ref="B11:U12"/>
    <mergeCell ref="B32:F32"/>
    <mergeCell ref="B26:F26"/>
    <mergeCell ref="B41:F41"/>
    <mergeCell ref="K42:Q42"/>
    <mergeCell ref="C2:J2"/>
    <mergeCell ref="K29:Q29"/>
    <mergeCell ref="B77:E77"/>
    <mergeCell ref="B15:U2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showInputMessage="1" showErrorMessage="1" sqref="G71:J77 H27:J33 H38:J44 H49:J55 H60:J66 R71:U77 S27:U33 S38:U44 S49:U55 S60:U66" xr:uid="{00000000-0002-0000-0000-000000000000}">
      <formula1>"○"</formula1>
    </dataValidation>
    <dataValidation type="list" showInputMessage="1" showErrorMessage="1" sqref="E34:H34 E45:H45 U34 U45" xr:uid="{00000000-0002-0000-0000-000001000000}">
      <formula1>"全学開講,一部開講"</formula1>
    </dataValidation>
    <dataValidation type="list" showInputMessage="1" showErrorMessage="1" sqref="L7:U7 L14" xr:uid="{00000000-0002-0000-0000-000002000000}">
      <formula1>"学部・学科によって、修了要件は相違する,学部・学科によって、修了要件は相違しない"</formula1>
    </dataValidation>
    <dataValidation type="list"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showInputMessage="1" showErrorMessage="1" sqref="N22:U22" xr:uid="{00000000-0002-0000-0000-000004000000}">
      <formula1>$X$16:$X$18</formula1>
    </dataValidation>
    <dataValidation type="list"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Normal="100" zoomScaleSheetLayoutView="100" workbookViewId="0">
      <selection activeCell="K128" activeCellId="1" sqref="W111 K128"/>
    </sheetView>
  </sheetViews>
  <sheetFormatPr defaultColWidth="9" defaultRowHeight="18.75" customHeight="1" x14ac:dyDescent="0.15"/>
  <cols>
    <col min="1" max="1" width="2.75" style="77" customWidth="1"/>
    <col min="2" max="2" width="27.875" style="77" customWidth="1"/>
    <col min="3" max="18" width="6.125" style="77" customWidth="1"/>
    <col min="19" max="19" width="6.625" style="77" customWidth="1"/>
    <col min="20" max="20" width="9" style="77" customWidth="1"/>
    <col min="21" max="16384" width="9" style="77"/>
  </cols>
  <sheetData>
    <row r="1" spans="1:21" ht="18" customHeight="1" x14ac:dyDescent="0.15">
      <c r="A1" s="42"/>
      <c r="B1" s="42"/>
      <c r="C1" s="42"/>
      <c r="D1" s="42"/>
      <c r="E1" s="42"/>
      <c r="F1" s="42"/>
      <c r="G1" s="42"/>
      <c r="H1" s="42"/>
      <c r="I1" s="42"/>
      <c r="J1" s="42"/>
      <c r="K1" s="42"/>
      <c r="L1" s="42"/>
      <c r="M1" s="42"/>
      <c r="N1" s="42"/>
      <c r="O1" s="42"/>
      <c r="P1" s="42"/>
      <c r="Q1" s="42"/>
      <c r="R1" s="42"/>
      <c r="S1" s="42" t="s">
        <v>76</v>
      </c>
    </row>
    <row r="2" spans="1:21" ht="18" customHeight="1" x14ac:dyDescent="0.15">
      <c r="A2" s="42"/>
      <c r="B2" s="42"/>
      <c r="C2" s="42"/>
      <c r="D2" s="42"/>
      <c r="E2" s="42"/>
      <c r="F2" s="42"/>
      <c r="G2" s="42"/>
      <c r="H2" s="42"/>
      <c r="I2" s="42"/>
      <c r="J2" s="42"/>
      <c r="K2" s="42"/>
      <c r="L2" s="42"/>
      <c r="M2" s="42"/>
      <c r="N2" s="42"/>
      <c r="O2" s="42"/>
      <c r="P2" s="134" t="s">
        <v>3</v>
      </c>
      <c r="Q2" s="134"/>
      <c r="R2" s="134"/>
      <c r="S2" s="135"/>
    </row>
    <row r="3" spans="1:21" ht="18" customHeight="1" x14ac:dyDescent="0.15">
      <c r="A3" s="126" t="s">
        <v>77</v>
      </c>
      <c r="B3" s="90"/>
      <c r="C3" s="90"/>
      <c r="D3" s="90"/>
      <c r="E3" s="90"/>
      <c r="F3" s="90"/>
      <c r="G3" s="90"/>
      <c r="H3" s="90"/>
      <c r="I3" s="90"/>
      <c r="J3" s="90"/>
      <c r="K3" s="90"/>
      <c r="L3" s="90"/>
      <c r="M3" s="90"/>
      <c r="N3" s="90"/>
      <c r="O3" s="90"/>
      <c r="P3" s="90"/>
      <c r="Q3" s="90"/>
      <c r="R3" s="90"/>
      <c r="S3" s="90"/>
    </row>
    <row r="4" spans="1:21" ht="7.5" customHeight="1" x14ac:dyDescent="0.15">
      <c r="A4" s="44"/>
      <c r="B4" s="44"/>
      <c r="C4" s="44"/>
      <c r="D4" s="44"/>
      <c r="E4" s="44"/>
      <c r="F4" s="44"/>
      <c r="G4" s="44"/>
      <c r="H4" s="44"/>
      <c r="I4" s="44"/>
      <c r="J4" s="44"/>
      <c r="K4" s="44"/>
      <c r="L4" s="44"/>
      <c r="M4" s="44"/>
      <c r="N4" s="44"/>
      <c r="O4" s="44"/>
      <c r="P4" s="44"/>
      <c r="Q4" s="44"/>
      <c r="R4" s="44"/>
      <c r="S4" s="44"/>
    </row>
    <row r="5" spans="1:21" ht="18" customHeight="1" x14ac:dyDescent="0.15">
      <c r="A5" s="42" t="s">
        <v>78</v>
      </c>
      <c r="B5" s="42"/>
      <c r="C5" s="136" t="s">
        <v>79</v>
      </c>
      <c r="D5" s="93"/>
      <c r="E5" s="46" t="s">
        <v>80</v>
      </c>
      <c r="F5" s="44"/>
      <c r="G5" s="44"/>
      <c r="H5" s="44"/>
      <c r="I5" s="44"/>
      <c r="J5" s="44"/>
      <c r="K5" s="44"/>
      <c r="L5" s="44"/>
      <c r="M5" s="44"/>
      <c r="N5" s="44"/>
      <c r="O5" s="44"/>
      <c r="P5" s="44"/>
      <c r="Q5" s="44"/>
      <c r="R5" s="43"/>
      <c r="S5" s="43"/>
    </row>
    <row r="6" spans="1:21" ht="7.15" customHeight="1" x14ac:dyDescent="0.15">
      <c r="A6" s="42"/>
      <c r="B6" s="42"/>
      <c r="C6" s="64"/>
      <c r="D6" s="64"/>
      <c r="E6" s="44"/>
      <c r="F6" s="44"/>
      <c r="G6" s="44"/>
      <c r="H6" s="44"/>
      <c r="I6" s="44"/>
      <c r="J6" s="44"/>
      <c r="K6" s="44"/>
      <c r="L6" s="44"/>
      <c r="M6" s="44"/>
      <c r="N6" s="44"/>
      <c r="O6" s="44"/>
      <c r="P6" s="44"/>
      <c r="Q6" s="44"/>
      <c r="R6" s="43"/>
      <c r="S6" s="43"/>
    </row>
    <row r="7" spans="1:21" ht="18" customHeight="1" x14ac:dyDescent="0.15">
      <c r="A7" s="42" t="s">
        <v>81</v>
      </c>
      <c r="B7" s="42"/>
      <c r="C7" s="64"/>
      <c r="D7" s="64"/>
      <c r="E7" s="44" t="s">
        <v>82</v>
      </c>
      <c r="F7" s="81">
        <v>10</v>
      </c>
      <c r="G7" s="46" t="s">
        <v>83</v>
      </c>
      <c r="H7" s="44" t="s">
        <v>84</v>
      </c>
      <c r="I7" s="81">
        <v>7</v>
      </c>
      <c r="J7" s="46" t="s">
        <v>83</v>
      </c>
      <c r="K7" s="45" t="s">
        <v>85</v>
      </c>
      <c r="L7" s="44" t="s">
        <v>86</v>
      </c>
      <c r="M7" s="47">
        <f>F7+I7</f>
        <v>17</v>
      </c>
      <c r="N7" s="44" t="s">
        <v>83</v>
      </c>
      <c r="O7" s="46" t="s">
        <v>87</v>
      </c>
      <c r="P7" s="44"/>
      <c r="Q7" s="44"/>
      <c r="R7" s="43"/>
      <c r="S7" s="43"/>
    </row>
    <row r="8" spans="1:21" ht="17.45" customHeight="1" x14ac:dyDescent="0.15">
      <c r="A8" s="44"/>
      <c r="B8" s="65" t="s">
        <v>88</v>
      </c>
      <c r="C8" s="44"/>
      <c r="D8" s="44"/>
      <c r="E8" s="44"/>
      <c r="F8" s="44"/>
      <c r="G8" s="44"/>
      <c r="H8" s="44"/>
      <c r="I8" s="44"/>
      <c r="J8" s="44"/>
      <c r="K8" s="44"/>
      <c r="L8" s="44"/>
      <c r="M8" s="44"/>
      <c r="N8" s="44"/>
      <c r="O8" s="44"/>
      <c r="P8" s="44"/>
      <c r="Q8" s="44"/>
      <c r="R8" s="44"/>
      <c r="S8" s="44"/>
    </row>
    <row r="9" spans="1:21" ht="18" customHeight="1" x14ac:dyDescent="0.15">
      <c r="A9" s="42" t="s">
        <v>89</v>
      </c>
      <c r="B9" s="44"/>
      <c r="C9" s="44"/>
      <c r="D9" s="44"/>
      <c r="E9" s="44"/>
      <c r="F9" s="44"/>
      <c r="G9" s="44"/>
      <c r="H9" s="44"/>
      <c r="I9" s="44"/>
      <c r="J9" s="44"/>
      <c r="K9" s="44"/>
      <c r="L9" s="44"/>
      <c r="M9" s="44"/>
      <c r="N9" s="44"/>
      <c r="O9" s="44"/>
      <c r="P9" s="44"/>
      <c r="Q9" s="44"/>
      <c r="R9" s="44"/>
      <c r="S9" s="44"/>
    </row>
    <row r="10" spans="1:21" ht="6" customHeight="1" x14ac:dyDescent="0.15">
      <c r="B10" s="76"/>
      <c r="C10" s="76"/>
      <c r="D10" s="76"/>
      <c r="E10" s="76"/>
      <c r="F10" s="76"/>
      <c r="G10" s="76"/>
      <c r="H10" s="76"/>
      <c r="I10" s="76"/>
      <c r="J10" s="76"/>
      <c r="K10" s="76"/>
      <c r="L10" s="76"/>
      <c r="M10" s="76"/>
      <c r="N10" s="76"/>
      <c r="O10" s="76"/>
      <c r="P10" s="76"/>
      <c r="Q10" s="76"/>
      <c r="R10" s="76"/>
      <c r="S10" s="76"/>
    </row>
    <row r="11" spans="1:21" ht="18" customHeight="1" x14ac:dyDescent="0.15">
      <c r="B11" s="91" t="s">
        <v>90</v>
      </c>
      <c r="C11" s="141" t="s">
        <v>91</v>
      </c>
      <c r="D11" s="139" t="s">
        <v>92</v>
      </c>
      <c r="E11" s="142" t="s">
        <v>93</v>
      </c>
      <c r="F11" s="137" t="s">
        <v>94</v>
      </c>
      <c r="G11" s="100"/>
      <c r="H11" s="137" t="s">
        <v>95</v>
      </c>
      <c r="I11" s="100"/>
      <c r="J11" s="137" t="s">
        <v>96</v>
      </c>
      <c r="K11" s="100"/>
      <c r="L11" s="137" t="s">
        <v>97</v>
      </c>
      <c r="M11" s="100"/>
      <c r="N11" s="137" t="s">
        <v>98</v>
      </c>
      <c r="O11" s="100"/>
      <c r="P11" s="137" t="s">
        <v>99</v>
      </c>
      <c r="Q11" s="100"/>
      <c r="R11" s="140" t="s">
        <v>100</v>
      </c>
      <c r="S11" s="143" t="s">
        <v>101</v>
      </c>
      <c r="U11" s="1"/>
    </row>
    <row r="12" spans="1:21" ht="16.899999999999999" customHeight="1" x14ac:dyDescent="0.15">
      <c r="B12" s="138"/>
      <c r="C12" s="138"/>
      <c r="D12" s="110"/>
      <c r="E12" s="109"/>
      <c r="F12" s="66" t="s">
        <v>102</v>
      </c>
      <c r="G12" s="66" t="s">
        <v>103</v>
      </c>
      <c r="H12" s="66" t="s">
        <v>102</v>
      </c>
      <c r="I12" s="66" t="s">
        <v>103</v>
      </c>
      <c r="J12" s="66" t="s">
        <v>102</v>
      </c>
      <c r="K12" s="66" t="s">
        <v>103</v>
      </c>
      <c r="L12" s="66" t="s">
        <v>102</v>
      </c>
      <c r="M12" s="66" t="s">
        <v>103</v>
      </c>
      <c r="N12" s="66" t="s">
        <v>102</v>
      </c>
      <c r="O12" s="66" t="s">
        <v>103</v>
      </c>
      <c r="P12" s="66" t="s">
        <v>102</v>
      </c>
      <c r="Q12" s="67" t="s">
        <v>103</v>
      </c>
      <c r="R12" s="111"/>
      <c r="S12" s="111"/>
      <c r="U12" s="1"/>
    </row>
    <row r="13" spans="1:21" ht="18" customHeight="1" x14ac:dyDescent="0.15">
      <c r="A13" s="3"/>
      <c r="B13" s="82" t="s">
        <v>104</v>
      </c>
      <c r="C13" s="83">
        <v>17</v>
      </c>
      <c r="D13" s="84">
        <v>98</v>
      </c>
      <c r="E13" s="85">
        <v>392</v>
      </c>
      <c r="F13" s="85">
        <v>12</v>
      </c>
      <c r="G13" s="85">
        <v>10</v>
      </c>
      <c r="H13" s="29"/>
      <c r="I13" s="29"/>
      <c r="J13" s="29"/>
      <c r="K13" s="29"/>
      <c r="L13" s="29"/>
      <c r="M13" s="29"/>
      <c r="N13" s="29"/>
      <c r="O13" s="29"/>
      <c r="P13" s="29"/>
      <c r="Q13" s="39"/>
      <c r="R13" s="28">
        <f t="shared" ref="R13:R32" si="0">F13+H13+J13+L13+N13+P13</f>
        <v>12</v>
      </c>
      <c r="S13" s="40">
        <f t="shared" ref="S13:S33" si="1">R13/E13</f>
        <v>3.0612244897959183E-2</v>
      </c>
    </row>
    <row r="14" spans="1:21" ht="18" customHeight="1" x14ac:dyDescent="0.15">
      <c r="A14" s="3"/>
      <c r="B14" s="8"/>
      <c r="C14" s="30"/>
      <c r="D14" s="31"/>
      <c r="E14" s="32"/>
      <c r="F14" s="33"/>
      <c r="G14" s="33"/>
      <c r="H14" s="33"/>
      <c r="I14" s="33"/>
      <c r="J14" s="33"/>
      <c r="K14" s="33"/>
      <c r="L14" s="33"/>
      <c r="M14" s="33"/>
      <c r="N14" s="33"/>
      <c r="O14" s="33"/>
      <c r="P14" s="33"/>
      <c r="Q14" s="30"/>
      <c r="R14" s="31">
        <f t="shared" si="0"/>
        <v>0</v>
      </c>
      <c r="S14" s="11" t="e">
        <f t="shared" si="1"/>
        <v>#DIV/0!</v>
      </c>
    </row>
    <row r="15" spans="1:21" ht="18" customHeight="1" x14ac:dyDescent="0.15">
      <c r="A15" s="3"/>
      <c r="B15" s="8"/>
      <c r="C15" s="30"/>
      <c r="D15" s="31"/>
      <c r="E15" s="32"/>
      <c r="F15" s="33"/>
      <c r="G15" s="33"/>
      <c r="H15" s="33"/>
      <c r="I15" s="33"/>
      <c r="J15" s="33"/>
      <c r="K15" s="33"/>
      <c r="L15" s="33"/>
      <c r="M15" s="33"/>
      <c r="N15" s="33"/>
      <c r="O15" s="33"/>
      <c r="P15" s="33"/>
      <c r="Q15" s="30"/>
      <c r="R15" s="31">
        <f t="shared" si="0"/>
        <v>0</v>
      </c>
      <c r="S15" s="5" t="e">
        <f t="shared" si="1"/>
        <v>#DIV/0!</v>
      </c>
    </row>
    <row r="16" spans="1:21" ht="18" customHeight="1" x14ac:dyDescent="0.15">
      <c r="A16" s="3"/>
      <c r="B16" s="8"/>
      <c r="C16" s="30"/>
      <c r="D16" s="31"/>
      <c r="E16" s="32"/>
      <c r="F16" s="33"/>
      <c r="G16" s="33"/>
      <c r="H16" s="33"/>
      <c r="I16" s="33"/>
      <c r="J16" s="33"/>
      <c r="K16" s="33"/>
      <c r="L16" s="33"/>
      <c r="M16" s="33"/>
      <c r="N16" s="33"/>
      <c r="O16" s="33"/>
      <c r="P16" s="33"/>
      <c r="Q16" s="30"/>
      <c r="R16" s="31">
        <f t="shared" si="0"/>
        <v>0</v>
      </c>
      <c r="S16" s="5" t="e">
        <f t="shared" si="1"/>
        <v>#DIV/0!</v>
      </c>
    </row>
    <row r="17" spans="1:19" ht="18" customHeight="1" x14ac:dyDescent="0.15">
      <c r="A17" s="3"/>
      <c r="B17" s="8"/>
      <c r="C17" s="30"/>
      <c r="D17" s="31"/>
      <c r="E17" s="32"/>
      <c r="F17" s="33"/>
      <c r="G17" s="33"/>
      <c r="H17" s="33"/>
      <c r="I17" s="33"/>
      <c r="J17" s="33"/>
      <c r="K17" s="33"/>
      <c r="L17" s="33"/>
      <c r="M17" s="33"/>
      <c r="N17" s="33"/>
      <c r="O17" s="33"/>
      <c r="P17" s="33"/>
      <c r="Q17" s="30"/>
      <c r="R17" s="31">
        <f t="shared" si="0"/>
        <v>0</v>
      </c>
      <c r="S17" s="5" t="e">
        <f t="shared" si="1"/>
        <v>#DIV/0!</v>
      </c>
    </row>
    <row r="18" spans="1:19" ht="18" customHeight="1" x14ac:dyDescent="0.15">
      <c r="A18" s="3"/>
      <c r="B18" s="8"/>
      <c r="C18" s="30"/>
      <c r="D18" s="31"/>
      <c r="E18" s="32"/>
      <c r="F18" s="33"/>
      <c r="G18" s="33"/>
      <c r="H18" s="33"/>
      <c r="I18" s="33"/>
      <c r="J18" s="33"/>
      <c r="K18" s="33"/>
      <c r="L18" s="33"/>
      <c r="M18" s="33"/>
      <c r="N18" s="33"/>
      <c r="O18" s="33"/>
      <c r="P18" s="33"/>
      <c r="Q18" s="30"/>
      <c r="R18" s="31">
        <f t="shared" si="0"/>
        <v>0</v>
      </c>
      <c r="S18" s="5" t="e">
        <f t="shared" si="1"/>
        <v>#DIV/0!</v>
      </c>
    </row>
    <row r="19" spans="1:19" ht="18" customHeight="1" x14ac:dyDescent="0.15">
      <c r="A19" s="3"/>
      <c r="B19" s="8"/>
      <c r="C19" s="30"/>
      <c r="D19" s="31"/>
      <c r="E19" s="32"/>
      <c r="F19" s="33"/>
      <c r="G19" s="33"/>
      <c r="H19" s="33"/>
      <c r="I19" s="33"/>
      <c r="J19" s="33"/>
      <c r="K19" s="33"/>
      <c r="L19" s="33"/>
      <c r="M19" s="33"/>
      <c r="N19" s="33"/>
      <c r="O19" s="33"/>
      <c r="P19" s="33"/>
      <c r="Q19" s="30"/>
      <c r="R19" s="31">
        <f t="shared" si="0"/>
        <v>0</v>
      </c>
      <c r="S19" s="5" t="e">
        <f t="shared" si="1"/>
        <v>#DIV/0!</v>
      </c>
    </row>
    <row r="20" spans="1:19" ht="18" customHeight="1" x14ac:dyDescent="0.15">
      <c r="A20" s="3"/>
      <c r="B20" s="8"/>
      <c r="C20" s="30"/>
      <c r="D20" s="31"/>
      <c r="E20" s="32"/>
      <c r="F20" s="33"/>
      <c r="G20" s="33"/>
      <c r="H20" s="33"/>
      <c r="I20" s="33"/>
      <c r="J20" s="33"/>
      <c r="K20" s="33"/>
      <c r="L20" s="33"/>
      <c r="M20" s="33"/>
      <c r="N20" s="33"/>
      <c r="O20" s="33"/>
      <c r="P20" s="33"/>
      <c r="Q20" s="30"/>
      <c r="R20" s="31">
        <f t="shared" si="0"/>
        <v>0</v>
      </c>
      <c r="S20" s="5" t="e">
        <f t="shared" si="1"/>
        <v>#DIV/0!</v>
      </c>
    </row>
    <row r="21" spans="1:19" ht="18" customHeight="1" x14ac:dyDescent="0.15">
      <c r="A21" s="3"/>
      <c r="B21" s="8"/>
      <c r="C21" s="30"/>
      <c r="D21" s="31"/>
      <c r="E21" s="32"/>
      <c r="F21" s="33"/>
      <c r="G21" s="33"/>
      <c r="H21" s="33"/>
      <c r="I21" s="33"/>
      <c r="J21" s="33"/>
      <c r="K21" s="33"/>
      <c r="L21" s="33"/>
      <c r="M21" s="33"/>
      <c r="N21" s="33"/>
      <c r="O21" s="33"/>
      <c r="P21" s="33"/>
      <c r="Q21" s="30"/>
      <c r="R21" s="31">
        <f t="shared" si="0"/>
        <v>0</v>
      </c>
      <c r="S21" s="5" t="e">
        <f t="shared" si="1"/>
        <v>#DIV/0!</v>
      </c>
    </row>
    <row r="22" spans="1:19" ht="18" customHeight="1" x14ac:dyDescent="0.15">
      <c r="A22" s="3"/>
      <c r="B22" s="8"/>
      <c r="C22" s="30"/>
      <c r="D22" s="31"/>
      <c r="E22" s="32"/>
      <c r="F22" s="33"/>
      <c r="G22" s="33"/>
      <c r="H22" s="33"/>
      <c r="I22" s="33"/>
      <c r="J22" s="33"/>
      <c r="K22" s="33"/>
      <c r="L22" s="33"/>
      <c r="M22" s="33"/>
      <c r="N22" s="33"/>
      <c r="O22" s="33"/>
      <c r="P22" s="33"/>
      <c r="Q22" s="30"/>
      <c r="R22" s="31">
        <f t="shared" si="0"/>
        <v>0</v>
      </c>
      <c r="S22" s="5" t="e">
        <f t="shared" si="1"/>
        <v>#DIV/0!</v>
      </c>
    </row>
    <row r="23" spans="1:19" ht="18" customHeight="1" x14ac:dyDescent="0.15">
      <c r="A23" s="3"/>
      <c r="B23" s="8"/>
      <c r="C23" s="30"/>
      <c r="D23" s="31"/>
      <c r="E23" s="32"/>
      <c r="F23" s="33"/>
      <c r="G23" s="33"/>
      <c r="H23" s="33"/>
      <c r="I23" s="33"/>
      <c r="J23" s="33"/>
      <c r="K23" s="33"/>
      <c r="L23" s="33"/>
      <c r="M23" s="33"/>
      <c r="N23" s="33"/>
      <c r="O23" s="33"/>
      <c r="P23" s="33"/>
      <c r="Q23" s="30"/>
      <c r="R23" s="31">
        <f t="shared" si="0"/>
        <v>0</v>
      </c>
      <c r="S23" s="5" t="e">
        <f t="shared" si="1"/>
        <v>#DIV/0!</v>
      </c>
    </row>
    <row r="24" spans="1:19" ht="18" customHeight="1" x14ac:dyDescent="0.15">
      <c r="A24" s="3"/>
      <c r="B24" s="8"/>
      <c r="C24" s="30"/>
      <c r="D24" s="31"/>
      <c r="E24" s="32"/>
      <c r="F24" s="33"/>
      <c r="G24" s="33"/>
      <c r="H24" s="33"/>
      <c r="I24" s="33"/>
      <c r="J24" s="33"/>
      <c r="K24" s="33"/>
      <c r="L24" s="33"/>
      <c r="M24" s="33"/>
      <c r="N24" s="33"/>
      <c r="O24" s="33"/>
      <c r="P24" s="33"/>
      <c r="Q24" s="30"/>
      <c r="R24" s="31">
        <f t="shared" si="0"/>
        <v>0</v>
      </c>
      <c r="S24" s="5" t="e">
        <f t="shared" si="1"/>
        <v>#DIV/0!</v>
      </c>
    </row>
    <row r="25" spans="1:19" ht="18" customHeight="1" x14ac:dyDescent="0.15">
      <c r="A25" s="3"/>
      <c r="B25" s="8"/>
      <c r="C25" s="30"/>
      <c r="D25" s="31"/>
      <c r="E25" s="32"/>
      <c r="F25" s="33"/>
      <c r="G25" s="33"/>
      <c r="H25" s="33"/>
      <c r="I25" s="33"/>
      <c r="J25" s="33"/>
      <c r="K25" s="33"/>
      <c r="L25" s="33"/>
      <c r="M25" s="33"/>
      <c r="N25" s="33"/>
      <c r="O25" s="33"/>
      <c r="P25" s="33"/>
      <c r="Q25" s="30"/>
      <c r="R25" s="31">
        <f t="shared" si="0"/>
        <v>0</v>
      </c>
      <c r="S25" s="5" t="e">
        <f t="shared" si="1"/>
        <v>#DIV/0!</v>
      </c>
    </row>
    <row r="26" spans="1:19" ht="18" customHeight="1" x14ac:dyDescent="0.15">
      <c r="A26" s="3"/>
      <c r="B26" s="8"/>
      <c r="C26" s="30"/>
      <c r="D26" s="31"/>
      <c r="E26" s="32"/>
      <c r="F26" s="33"/>
      <c r="G26" s="33"/>
      <c r="H26" s="33"/>
      <c r="I26" s="33"/>
      <c r="J26" s="33"/>
      <c r="K26" s="33"/>
      <c r="L26" s="33"/>
      <c r="M26" s="33"/>
      <c r="N26" s="33"/>
      <c r="O26" s="33"/>
      <c r="P26" s="33"/>
      <c r="Q26" s="30"/>
      <c r="R26" s="31">
        <f t="shared" si="0"/>
        <v>0</v>
      </c>
      <c r="S26" s="5" t="e">
        <f t="shared" si="1"/>
        <v>#DIV/0!</v>
      </c>
    </row>
    <row r="27" spans="1:19" ht="18" customHeight="1" x14ac:dyDescent="0.15">
      <c r="A27" s="3"/>
      <c r="B27" s="8"/>
      <c r="C27" s="30"/>
      <c r="D27" s="31"/>
      <c r="E27" s="32"/>
      <c r="F27" s="33"/>
      <c r="G27" s="33"/>
      <c r="H27" s="33"/>
      <c r="I27" s="33"/>
      <c r="J27" s="33"/>
      <c r="K27" s="33"/>
      <c r="L27" s="33"/>
      <c r="M27" s="33"/>
      <c r="N27" s="33"/>
      <c r="O27" s="33"/>
      <c r="P27" s="33"/>
      <c r="Q27" s="30"/>
      <c r="R27" s="31">
        <f t="shared" si="0"/>
        <v>0</v>
      </c>
      <c r="S27" s="5" t="e">
        <f t="shared" si="1"/>
        <v>#DIV/0!</v>
      </c>
    </row>
    <row r="28" spans="1:19" ht="18" customHeight="1" x14ac:dyDescent="0.15">
      <c r="A28" s="3"/>
      <c r="B28" s="8"/>
      <c r="C28" s="30"/>
      <c r="D28" s="31"/>
      <c r="E28" s="32"/>
      <c r="F28" s="33"/>
      <c r="G28" s="33"/>
      <c r="H28" s="33"/>
      <c r="I28" s="33"/>
      <c r="J28" s="33"/>
      <c r="K28" s="33"/>
      <c r="L28" s="33"/>
      <c r="M28" s="33"/>
      <c r="N28" s="33"/>
      <c r="O28" s="33"/>
      <c r="P28" s="33"/>
      <c r="Q28" s="30"/>
      <c r="R28" s="31">
        <f t="shared" si="0"/>
        <v>0</v>
      </c>
      <c r="S28" s="5" t="e">
        <f t="shared" si="1"/>
        <v>#DIV/0!</v>
      </c>
    </row>
    <row r="29" spans="1:19" ht="18" customHeight="1" x14ac:dyDescent="0.15">
      <c r="A29" s="3"/>
      <c r="B29" s="8"/>
      <c r="C29" s="30"/>
      <c r="D29" s="31"/>
      <c r="E29" s="32"/>
      <c r="F29" s="33"/>
      <c r="G29" s="33"/>
      <c r="H29" s="33"/>
      <c r="I29" s="33"/>
      <c r="J29" s="33"/>
      <c r="K29" s="33"/>
      <c r="L29" s="33"/>
      <c r="M29" s="33"/>
      <c r="N29" s="33"/>
      <c r="O29" s="33"/>
      <c r="P29" s="33"/>
      <c r="Q29" s="30"/>
      <c r="R29" s="31">
        <f t="shared" si="0"/>
        <v>0</v>
      </c>
      <c r="S29" s="5" t="e">
        <f t="shared" si="1"/>
        <v>#DIV/0!</v>
      </c>
    </row>
    <row r="30" spans="1:19" ht="18" customHeight="1" x14ac:dyDescent="0.15">
      <c r="A30" s="3"/>
      <c r="B30" s="8"/>
      <c r="C30" s="30"/>
      <c r="D30" s="34"/>
      <c r="E30" s="32"/>
      <c r="F30" s="33"/>
      <c r="G30" s="33"/>
      <c r="H30" s="33"/>
      <c r="I30" s="33"/>
      <c r="J30" s="33"/>
      <c r="K30" s="33"/>
      <c r="L30" s="33"/>
      <c r="M30" s="33"/>
      <c r="N30" s="33"/>
      <c r="O30" s="33"/>
      <c r="P30" s="33"/>
      <c r="Q30" s="30"/>
      <c r="R30" s="34">
        <f t="shared" si="0"/>
        <v>0</v>
      </c>
      <c r="S30" s="5" t="e">
        <f t="shared" si="1"/>
        <v>#DIV/0!</v>
      </c>
    </row>
    <row r="31" spans="1:19" ht="18" customHeight="1" x14ac:dyDescent="0.15">
      <c r="A31" s="3"/>
      <c r="B31" s="8"/>
      <c r="C31" s="30"/>
      <c r="D31" s="34"/>
      <c r="E31" s="32"/>
      <c r="F31" s="33"/>
      <c r="G31" s="33"/>
      <c r="H31" s="33"/>
      <c r="I31" s="33"/>
      <c r="J31" s="33"/>
      <c r="K31" s="33"/>
      <c r="L31" s="33"/>
      <c r="M31" s="33"/>
      <c r="N31" s="33"/>
      <c r="O31" s="33"/>
      <c r="P31" s="33"/>
      <c r="Q31" s="30"/>
      <c r="R31" s="34">
        <f t="shared" si="0"/>
        <v>0</v>
      </c>
      <c r="S31" s="5" t="e">
        <f t="shared" si="1"/>
        <v>#DIV/0!</v>
      </c>
    </row>
    <row r="32" spans="1:19" ht="18" customHeight="1" thickBot="1" x14ac:dyDescent="0.2">
      <c r="A32" s="3"/>
      <c r="B32" s="9"/>
      <c r="C32" s="27"/>
      <c r="D32" s="35"/>
      <c r="E32" s="29"/>
      <c r="F32" s="29"/>
      <c r="G32" s="29"/>
      <c r="H32" s="29"/>
      <c r="I32" s="29"/>
      <c r="J32" s="29"/>
      <c r="K32" s="29"/>
      <c r="L32" s="29"/>
      <c r="M32" s="29"/>
      <c r="N32" s="29"/>
      <c r="O32" s="29"/>
      <c r="P32" s="29"/>
      <c r="Q32" s="30"/>
      <c r="R32" s="35">
        <f t="shared" si="0"/>
        <v>0</v>
      </c>
      <c r="S32" s="4" t="e">
        <f t="shared" si="1"/>
        <v>#DIV/0!</v>
      </c>
    </row>
    <row r="33" spans="2:19" ht="18" customHeight="1" thickTop="1" x14ac:dyDescent="0.15">
      <c r="B33" s="10" t="s">
        <v>105</v>
      </c>
      <c r="C33" s="36">
        <f t="shared" ref="C33:R33" si="2">SUM(C13:C32)</f>
        <v>17</v>
      </c>
      <c r="D33" s="37">
        <f t="shared" si="2"/>
        <v>98</v>
      </c>
      <c r="E33" s="38">
        <f t="shared" si="2"/>
        <v>392</v>
      </c>
      <c r="F33" s="38">
        <f t="shared" si="2"/>
        <v>12</v>
      </c>
      <c r="G33" s="38">
        <f t="shared" si="2"/>
        <v>10</v>
      </c>
      <c r="H33" s="38">
        <f t="shared" si="2"/>
        <v>0</v>
      </c>
      <c r="I33" s="38">
        <f t="shared" si="2"/>
        <v>0</v>
      </c>
      <c r="J33" s="38">
        <f t="shared" si="2"/>
        <v>0</v>
      </c>
      <c r="K33" s="38">
        <f t="shared" si="2"/>
        <v>0</v>
      </c>
      <c r="L33" s="38">
        <f t="shared" si="2"/>
        <v>0</v>
      </c>
      <c r="M33" s="38">
        <f t="shared" si="2"/>
        <v>0</v>
      </c>
      <c r="N33" s="38">
        <f t="shared" si="2"/>
        <v>0</v>
      </c>
      <c r="O33" s="38">
        <f t="shared" si="2"/>
        <v>0</v>
      </c>
      <c r="P33" s="38">
        <f t="shared" si="2"/>
        <v>0</v>
      </c>
      <c r="Q33" s="36">
        <f t="shared" si="2"/>
        <v>0</v>
      </c>
      <c r="R33" s="37">
        <f t="shared" si="2"/>
        <v>12</v>
      </c>
      <c r="S33" s="6">
        <f t="shared" si="1"/>
        <v>3.0612244897959183E-2</v>
      </c>
    </row>
  </sheetData>
  <mergeCells count="15">
    <mergeCell ref="P2:S2"/>
    <mergeCell ref="C5:D5"/>
    <mergeCell ref="L11:M11"/>
    <mergeCell ref="A3:S3"/>
    <mergeCell ref="B11:B12"/>
    <mergeCell ref="D11:D12"/>
    <mergeCell ref="R11:R12"/>
    <mergeCell ref="C11:C12"/>
    <mergeCell ref="E11:E12"/>
    <mergeCell ref="P11:Q11"/>
    <mergeCell ref="S11:S12"/>
    <mergeCell ref="H11:I11"/>
    <mergeCell ref="F11:G11"/>
    <mergeCell ref="J11:K11"/>
    <mergeCell ref="N11:O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78" footer="0.31496062992125978"/>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topLeftCell="A93" zoomScaleNormal="100" zoomScaleSheetLayoutView="100" workbookViewId="0">
      <selection activeCell="M25" sqref="M25"/>
    </sheetView>
  </sheetViews>
  <sheetFormatPr defaultColWidth="11.375" defaultRowHeight="18.75" customHeight="1" x14ac:dyDescent="0.15"/>
  <cols>
    <col min="1" max="1" width="2.75" style="13" customWidth="1"/>
    <col min="2" max="2" width="16.625" style="77" customWidth="1"/>
    <col min="3" max="3" width="8.875" style="77" customWidth="1"/>
    <col min="4" max="4" width="2.25" style="77" customWidth="1"/>
    <col min="5" max="5" width="16.625" style="77" customWidth="1"/>
    <col min="6" max="6" width="4.375" style="77" customWidth="1"/>
    <col min="7" max="7" width="9" style="77" customWidth="1"/>
    <col min="8" max="8" width="16.625" style="77" customWidth="1"/>
    <col min="9" max="9" width="12.125" style="77" customWidth="1"/>
    <col min="10" max="10" width="11.375" style="77" customWidth="1"/>
    <col min="11" max="16384" width="11.375" style="77"/>
  </cols>
  <sheetData>
    <row r="1" spans="1:9" ht="18.75" customHeight="1" x14ac:dyDescent="0.15">
      <c r="A1" s="13" t="s">
        <v>106</v>
      </c>
      <c r="I1" s="71" t="s">
        <v>107</v>
      </c>
    </row>
    <row r="2" spans="1:9" ht="18.75" customHeight="1" x14ac:dyDescent="0.15">
      <c r="G2" s="71" t="s">
        <v>2</v>
      </c>
      <c r="H2" s="151" t="s">
        <v>3</v>
      </c>
      <c r="I2" s="152"/>
    </row>
    <row r="3" spans="1:9" ht="18.75" customHeight="1" x14ac:dyDescent="0.15">
      <c r="G3" s="71"/>
      <c r="H3" s="7"/>
      <c r="I3" s="7"/>
    </row>
    <row r="4" spans="1:9" ht="18.600000000000001" customHeight="1" x14ac:dyDescent="0.15">
      <c r="A4" s="126" t="s">
        <v>108</v>
      </c>
      <c r="B4" s="90"/>
      <c r="C4" s="90"/>
      <c r="D4" s="90"/>
      <c r="E4" s="90"/>
      <c r="F4" s="90"/>
      <c r="G4" s="90"/>
      <c r="H4" s="90"/>
      <c r="I4" s="90"/>
    </row>
    <row r="5" spans="1:9" ht="13.15" customHeight="1" x14ac:dyDescent="0.15">
      <c r="B5" s="76"/>
      <c r="C5" s="76"/>
      <c r="D5" s="76"/>
      <c r="E5" s="76"/>
      <c r="F5" s="76"/>
      <c r="G5" s="76"/>
      <c r="H5" s="76"/>
      <c r="I5" s="76"/>
    </row>
    <row r="6" spans="1:9" ht="18" customHeight="1" x14ac:dyDescent="0.15">
      <c r="A6" s="77" t="s">
        <v>109</v>
      </c>
      <c r="B6" s="7" t="s">
        <v>110</v>
      </c>
      <c r="C6" s="150" t="s">
        <v>111</v>
      </c>
      <c r="D6" s="90"/>
      <c r="E6" s="78">
        <v>19</v>
      </c>
      <c r="F6" s="76" t="s">
        <v>83</v>
      </c>
      <c r="G6" s="76" t="s">
        <v>112</v>
      </c>
      <c r="H6" s="78">
        <v>4</v>
      </c>
      <c r="I6" s="7" t="s">
        <v>83</v>
      </c>
    </row>
    <row r="7" spans="1:9" ht="12" customHeight="1" x14ac:dyDescent="0.15">
      <c r="C7" s="1"/>
      <c r="D7" s="1"/>
      <c r="E7" s="1"/>
      <c r="F7" s="1"/>
      <c r="G7" s="1"/>
      <c r="H7" s="1"/>
      <c r="I7" s="14"/>
    </row>
    <row r="8" spans="1:9" ht="18" customHeight="1" x14ac:dyDescent="0.15">
      <c r="A8" s="77" t="s">
        <v>113</v>
      </c>
      <c r="B8" s="7" t="s">
        <v>114</v>
      </c>
      <c r="E8" s="76"/>
      <c r="F8" s="76"/>
      <c r="G8" s="76"/>
      <c r="H8" s="78">
        <v>2</v>
      </c>
      <c r="I8" s="7" t="s">
        <v>83</v>
      </c>
    </row>
    <row r="9" spans="1:9" ht="9" customHeight="1" x14ac:dyDescent="0.15">
      <c r="B9" s="76"/>
      <c r="C9" s="76"/>
      <c r="D9" s="76"/>
      <c r="E9" s="76"/>
      <c r="F9" s="76"/>
      <c r="G9" s="76"/>
      <c r="H9" s="76"/>
      <c r="I9" s="76"/>
    </row>
    <row r="10" spans="1:9" ht="18" customHeight="1" x14ac:dyDescent="0.15">
      <c r="A10" s="77" t="s">
        <v>115</v>
      </c>
      <c r="B10" s="7" t="s">
        <v>116</v>
      </c>
      <c r="C10" s="76"/>
      <c r="D10" s="76"/>
      <c r="E10" s="76"/>
      <c r="F10" s="76"/>
      <c r="G10" s="76"/>
      <c r="H10" s="76"/>
      <c r="I10" s="76"/>
    </row>
    <row r="11" spans="1:9" ht="18" customHeight="1" x14ac:dyDescent="0.15">
      <c r="B11" s="71" t="s">
        <v>117</v>
      </c>
      <c r="C11" s="112" t="s">
        <v>118</v>
      </c>
      <c r="D11" s="92"/>
      <c r="E11" s="93"/>
      <c r="F11" s="14"/>
      <c r="G11" s="71" t="s">
        <v>119</v>
      </c>
      <c r="H11" s="112" t="s">
        <v>120</v>
      </c>
      <c r="I11" s="93"/>
    </row>
    <row r="12" spans="1:9" ht="10.15" customHeight="1" x14ac:dyDescent="0.15">
      <c r="B12" s="71"/>
      <c r="C12" s="7"/>
      <c r="D12" s="14"/>
      <c r="E12" s="14"/>
      <c r="F12" s="14"/>
      <c r="G12" s="71"/>
      <c r="H12" s="7"/>
      <c r="I12" s="14"/>
    </row>
    <row r="13" spans="1:9" ht="18" customHeight="1" x14ac:dyDescent="0.15">
      <c r="A13" s="77" t="s">
        <v>121</v>
      </c>
      <c r="B13" s="7" t="s">
        <v>122</v>
      </c>
      <c r="C13" s="76"/>
      <c r="D13" s="76"/>
      <c r="E13" s="76"/>
      <c r="F13" s="76"/>
      <c r="G13" s="76"/>
      <c r="H13" s="76"/>
      <c r="I13" s="76"/>
    </row>
    <row r="14" spans="1:9" ht="18" customHeight="1" x14ac:dyDescent="0.15">
      <c r="B14" s="112" t="s">
        <v>184</v>
      </c>
      <c r="C14" s="92"/>
      <c r="D14" s="92"/>
      <c r="E14" s="92"/>
      <c r="F14" s="92"/>
      <c r="G14" s="92"/>
      <c r="H14" s="92"/>
      <c r="I14" s="93"/>
    </row>
    <row r="15" spans="1:9" ht="9" customHeight="1" x14ac:dyDescent="0.15">
      <c r="B15" s="76"/>
      <c r="C15" s="76"/>
      <c r="D15" s="76"/>
      <c r="E15" s="76"/>
      <c r="F15" s="76"/>
      <c r="G15" s="76"/>
      <c r="H15" s="76"/>
      <c r="I15" s="76"/>
    </row>
    <row r="16" spans="1:9" ht="18" customHeight="1" x14ac:dyDescent="0.15">
      <c r="B16" s="71" t="s">
        <v>117</v>
      </c>
      <c r="C16" s="112" t="s">
        <v>123</v>
      </c>
      <c r="D16" s="92"/>
      <c r="E16" s="93"/>
      <c r="F16" s="14"/>
      <c r="G16" s="71" t="s">
        <v>119</v>
      </c>
      <c r="H16" s="112" t="s">
        <v>124</v>
      </c>
      <c r="I16" s="93"/>
    </row>
    <row r="17" spans="1:9" ht="18" customHeight="1" x14ac:dyDescent="0.15">
      <c r="B17" s="76"/>
      <c r="C17" s="76"/>
      <c r="D17" s="76"/>
      <c r="E17" s="76"/>
      <c r="F17" s="76"/>
      <c r="G17" s="76"/>
      <c r="H17" s="76"/>
      <c r="I17" s="76"/>
    </row>
    <row r="18" spans="1:9" ht="18.75" customHeight="1" x14ac:dyDescent="0.15">
      <c r="A18" s="77" t="s">
        <v>125</v>
      </c>
      <c r="B18" s="77" t="s">
        <v>126</v>
      </c>
      <c r="I18" s="76"/>
    </row>
    <row r="19" spans="1:9" ht="18.75" customHeight="1" x14ac:dyDescent="0.15">
      <c r="A19" s="77"/>
      <c r="B19" s="112" t="s">
        <v>185</v>
      </c>
      <c r="C19" s="92"/>
      <c r="D19" s="92"/>
      <c r="E19" s="92"/>
      <c r="F19" s="92"/>
      <c r="G19" s="92"/>
      <c r="H19" s="92"/>
      <c r="I19" s="93"/>
    </row>
    <row r="20" spans="1:9" ht="7.5" customHeight="1" x14ac:dyDescent="0.15">
      <c r="B20" s="76"/>
      <c r="C20" s="76"/>
      <c r="D20" s="76"/>
      <c r="E20" s="76"/>
      <c r="F20" s="76"/>
      <c r="G20" s="76"/>
      <c r="H20" s="76"/>
      <c r="I20" s="76"/>
    </row>
    <row r="21" spans="1:9" ht="18.75" customHeight="1" x14ac:dyDescent="0.15">
      <c r="A21" s="77" t="s">
        <v>127</v>
      </c>
      <c r="B21" s="77" t="s">
        <v>128</v>
      </c>
    </row>
    <row r="22" spans="1:9" ht="18.75" customHeight="1" x14ac:dyDescent="0.15">
      <c r="A22" s="73"/>
      <c r="B22" s="116" t="s">
        <v>129</v>
      </c>
      <c r="C22" s="107"/>
      <c r="D22" s="107"/>
      <c r="E22" s="107"/>
      <c r="F22" s="107"/>
      <c r="G22" s="107"/>
      <c r="H22" s="107"/>
      <c r="I22" s="108"/>
    </row>
    <row r="23" spans="1:9" ht="18.75" customHeight="1" x14ac:dyDescent="0.15">
      <c r="A23" s="73"/>
      <c r="B23" s="114"/>
      <c r="C23" s="90"/>
      <c r="D23" s="90"/>
      <c r="E23" s="90"/>
      <c r="F23" s="90"/>
      <c r="G23" s="90"/>
      <c r="H23" s="90"/>
      <c r="I23" s="115"/>
    </row>
    <row r="24" spans="1:9" ht="18.75" customHeight="1" x14ac:dyDescent="0.15">
      <c r="A24" s="73"/>
      <c r="B24" s="114"/>
      <c r="C24" s="90"/>
      <c r="D24" s="90"/>
      <c r="E24" s="90"/>
      <c r="F24" s="90"/>
      <c r="G24" s="90"/>
      <c r="H24" s="90"/>
      <c r="I24" s="115"/>
    </row>
    <row r="25" spans="1:9" ht="18.75" customHeight="1" x14ac:dyDescent="0.15">
      <c r="A25" s="73"/>
      <c r="B25" s="114"/>
      <c r="C25" s="90"/>
      <c r="D25" s="90"/>
      <c r="E25" s="90"/>
      <c r="F25" s="90"/>
      <c r="G25" s="90"/>
      <c r="H25" s="90"/>
      <c r="I25" s="115"/>
    </row>
    <row r="26" spans="1:9" ht="18.75" customHeight="1" x14ac:dyDescent="0.15">
      <c r="A26" s="73"/>
      <c r="B26" s="114"/>
      <c r="C26" s="90"/>
      <c r="D26" s="90"/>
      <c r="E26" s="90"/>
      <c r="F26" s="90"/>
      <c r="G26" s="90"/>
      <c r="H26" s="90"/>
      <c r="I26" s="115"/>
    </row>
    <row r="27" spans="1:9" ht="18.75" customHeight="1" x14ac:dyDescent="0.15">
      <c r="A27" s="73"/>
      <c r="B27" s="114"/>
      <c r="C27" s="90"/>
      <c r="D27" s="90"/>
      <c r="E27" s="90"/>
      <c r="F27" s="90"/>
      <c r="G27" s="90"/>
      <c r="H27" s="90"/>
      <c r="I27" s="115"/>
    </row>
    <row r="28" spans="1:9" ht="18.75" customHeight="1" x14ac:dyDescent="0.15">
      <c r="A28" s="73"/>
      <c r="B28" s="114"/>
      <c r="C28" s="90"/>
      <c r="D28" s="90"/>
      <c r="E28" s="90"/>
      <c r="F28" s="90"/>
      <c r="G28" s="90"/>
      <c r="H28" s="90"/>
      <c r="I28" s="115"/>
    </row>
    <row r="29" spans="1:9" ht="18.75" customHeight="1" x14ac:dyDescent="0.15">
      <c r="A29" s="73"/>
      <c r="B29" s="114"/>
      <c r="C29" s="90"/>
      <c r="D29" s="90"/>
      <c r="E29" s="90"/>
      <c r="F29" s="90"/>
      <c r="G29" s="90"/>
      <c r="H29" s="90"/>
      <c r="I29" s="115"/>
    </row>
    <row r="30" spans="1:9" ht="18.75" customHeight="1" x14ac:dyDescent="0.15">
      <c r="A30" s="73"/>
      <c r="B30" s="114"/>
      <c r="C30" s="90"/>
      <c r="D30" s="90"/>
      <c r="E30" s="90"/>
      <c r="F30" s="90"/>
      <c r="G30" s="90"/>
      <c r="H30" s="90"/>
      <c r="I30" s="115"/>
    </row>
    <row r="31" spans="1:9" ht="18.75" customHeight="1" x14ac:dyDescent="0.15">
      <c r="A31" s="73"/>
      <c r="B31" s="114"/>
      <c r="C31" s="90"/>
      <c r="D31" s="90"/>
      <c r="E31" s="90"/>
      <c r="F31" s="90"/>
      <c r="G31" s="90"/>
      <c r="H31" s="90"/>
      <c r="I31" s="115"/>
    </row>
    <row r="32" spans="1:9" ht="18.75" customHeight="1" x14ac:dyDescent="0.15">
      <c r="A32" s="73"/>
      <c r="B32" s="109"/>
      <c r="C32" s="110"/>
      <c r="D32" s="110"/>
      <c r="E32" s="110"/>
      <c r="F32" s="110"/>
      <c r="G32" s="110"/>
      <c r="H32" s="110"/>
      <c r="I32" s="111"/>
    </row>
    <row r="33" spans="1:9" ht="7.5" customHeight="1" x14ac:dyDescent="0.15">
      <c r="A33" s="73"/>
      <c r="B33" s="73"/>
      <c r="C33" s="73"/>
      <c r="D33" s="73"/>
      <c r="E33" s="73"/>
      <c r="F33" s="73"/>
      <c r="G33" s="73"/>
      <c r="H33" s="73"/>
      <c r="I33" s="73"/>
    </row>
    <row r="34" spans="1:9" ht="18.75" customHeight="1" x14ac:dyDescent="0.15">
      <c r="A34" s="70" t="s">
        <v>130</v>
      </c>
      <c r="B34" s="70" t="s">
        <v>131</v>
      </c>
      <c r="C34" s="7"/>
      <c r="D34" s="70"/>
      <c r="E34" s="70"/>
      <c r="F34" s="70"/>
      <c r="G34" s="70"/>
      <c r="H34" s="70"/>
      <c r="I34" s="70"/>
    </row>
    <row r="35" spans="1:9" ht="18.75" customHeight="1" x14ac:dyDescent="0.15">
      <c r="A35" s="73"/>
      <c r="B35" s="116" t="s">
        <v>132</v>
      </c>
      <c r="C35" s="107"/>
      <c r="D35" s="107"/>
      <c r="E35" s="107"/>
      <c r="F35" s="107"/>
      <c r="G35" s="107"/>
      <c r="H35" s="107"/>
      <c r="I35" s="108"/>
    </row>
    <row r="36" spans="1:9" ht="18.75" customHeight="1" x14ac:dyDescent="0.15">
      <c r="A36" s="73"/>
      <c r="B36" s="114"/>
      <c r="C36" s="90"/>
      <c r="D36" s="90"/>
      <c r="E36" s="90"/>
      <c r="F36" s="90"/>
      <c r="G36" s="90"/>
      <c r="H36" s="90"/>
      <c r="I36" s="115"/>
    </row>
    <row r="37" spans="1:9" ht="18.75" customHeight="1" x14ac:dyDescent="0.15">
      <c r="A37" s="73"/>
      <c r="B37" s="114"/>
      <c r="C37" s="90"/>
      <c r="D37" s="90"/>
      <c r="E37" s="90"/>
      <c r="F37" s="90"/>
      <c r="G37" s="90"/>
      <c r="H37" s="90"/>
      <c r="I37" s="115"/>
    </row>
    <row r="38" spans="1:9" ht="18.75" customHeight="1" x14ac:dyDescent="0.15">
      <c r="A38" s="73"/>
      <c r="B38" s="114"/>
      <c r="C38" s="90"/>
      <c r="D38" s="90"/>
      <c r="E38" s="90"/>
      <c r="F38" s="90"/>
      <c r="G38" s="90"/>
      <c r="H38" s="90"/>
      <c r="I38" s="115"/>
    </row>
    <row r="39" spans="1:9" ht="18.75" customHeight="1" x14ac:dyDescent="0.15">
      <c r="A39" s="73"/>
      <c r="B39" s="114"/>
      <c r="C39" s="90"/>
      <c r="D39" s="90"/>
      <c r="E39" s="90"/>
      <c r="F39" s="90"/>
      <c r="G39" s="90"/>
      <c r="H39" s="90"/>
      <c r="I39" s="115"/>
    </row>
    <row r="40" spans="1:9" ht="18.75" customHeight="1" x14ac:dyDescent="0.15">
      <c r="A40" s="73"/>
      <c r="B40" s="114"/>
      <c r="C40" s="90"/>
      <c r="D40" s="90"/>
      <c r="E40" s="90"/>
      <c r="F40" s="90"/>
      <c r="G40" s="90"/>
      <c r="H40" s="90"/>
      <c r="I40" s="115"/>
    </row>
    <row r="41" spans="1:9" ht="18.75" customHeight="1" x14ac:dyDescent="0.15">
      <c r="A41" s="73"/>
      <c r="B41" s="114"/>
      <c r="C41" s="90"/>
      <c r="D41" s="90"/>
      <c r="E41" s="90"/>
      <c r="F41" s="90"/>
      <c r="G41" s="90"/>
      <c r="H41" s="90"/>
      <c r="I41" s="115"/>
    </row>
    <row r="42" spans="1:9" ht="18.75" customHeight="1" x14ac:dyDescent="0.15">
      <c r="A42" s="73"/>
      <c r="B42" s="114"/>
      <c r="C42" s="90"/>
      <c r="D42" s="90"/>
      <c r="E42" s="90"/>
      <c r="F42" s="90"/>
      <c r="G42" s="90"/>
      <c r="H42" s="90"/>
      <c r="I42" s="115"/>
    </row>
    <row r="43" spans="1:9" ht="18.75" customHeight="1" x14ac:dyDescent="0.15">
      <c r="A43" s="73"/>
      <c r="B43" s="114"/>
      <c r="C43" s="90"/>
      <c r="D43" s="90"/>
      <c r="E43" s="90"/>
      <c r="F43" s="90"/>
      <c r="G43" s="90"/>
      <c r="H43" s="90"/>
      <c r="I43" s="115"/>
    </row>
    <row r="44" spans="1:9" ht="18.75" customHeight="1" x14ac:dyDescent="0.15">
      <c r="A44" s="73"/>
      <c r="B44" s="114"/>
      <c r="C44" s="90"/>
      <c r="D44" s="90"/>
      <c r="E44" s="90"/>
      <c r="F44" s="90"/>
      <c r="G44" s="90"/>
      <c r="H44" s="90"/>
      <c r="I44" s="115"/>
    </row>
    <row r="45" spans="1:9" ht="18.75" customHeight="1" x14ac:dyDescent="0.15">
      <c r="A45" s="73"/>
      <c r="B45" s="114"/>
      <c r="C45" s="90"/>
      <c r="D45" s="90"/>
      <c r="E45" s="90"/>
      <c r="F45" s="90"/>
      <c r="G45" s="90"/>
      <c r="H45" s="90"/>
      <c r="I45" s="115"/>
    </row>
    <row r="46" spans="1:9" ht="18.75" customHeight="1" x14ac:dyDescent="0.15">
      <c r="A46" s="73"/>
      <c r="B46" s="109"/>
      <c r="C46" s="110"/>
      <c r="D46" s="110"/>
      <c r="E46" s="110"/>
      <c r="F46" s="110"/>
      <c r="G46" s="110"/>
      <c r="H46" s="110"/>
      <c r="I46" s="111"/>
    </row>
    <row r="47" spans="1:9" ht="7.5" customHeight="1" x14ac:dyDescent="0.15">
      <c r="A47" s="2"/>
      <c r="B47" s="2"/>
      <c r="C47" s="2"/>
      <c r="D47" s="2"/>
      <c r="E47" s="2"/>
      <c r="F47" s="2"/>
      <c r="G47" s="2"/>
      <c r="H47" s="2"/>
      <c r="I47" s="2"/>
    </row>
    <row r="48" spans="1:9" ht="36.75" customHeight="1" x14ac:dyDescent="0.15">
      <c r="A48" s="77" t="s">
        <v>133</v>
      </c>
      <c r="B48" s="149" t="s">
        <v>134</v>
      </c>
      <c r="C48" s="149"/>
      <c r="D48" s="149"/>
      <c r="E48" s="149"/>
      <c r="F48" s="149"/>
      <c r="G48" s="149"/>
      <c r="H48" s="149"/>
      <c r="I48" s="149"/>
    </row>
    <row r="49" spans="1:15" s="76" customFormat="1" ht="18.75" customHeight="1" x14ac:dyDescent="0.15">
      <c r="B49" s="68" t="s">
        <v>135</v>
      </c>
      <c r="C49" s="147">
        <f>'様式２ 履修者等数の実績'!S33</f>
        <v>3.0612244897959183E-2</v>
      </c>
      <c r="D49" s="148"/>
      <c r="E49" s="68" t="s">
        <v>136</v>
      </c>
      <c r="F49" s="146">
        <v>0.08</v>
      </c>
      <c r="G49" s="93"/>
      <c r="H49" s="68" t="s">
        <v>137</v>
      </c>
      <c r="I49" s="86">
        <v>0.18</v>
      </c>
      <c r="J49" s="77"/>
      <c r="M49" s="77"/>
      <c r="N49" s="15"/>
    </row>
    <row r="50" spans="1:15" s="76" customFormat="1" ht="18.75" customHeight="1" x14ac:dyDescent="0.15">
      <c r="B50" s="69" t="s">
        <v>138</v>
      </c>
      <c r="C50" s="146">
        <v>0.35</v>
      </c>
      <c r="D50" s="93"/>
      <c r="E50" s="69" t="s">
        <v>139</v>
      </c>
      <c r="F50" s="146">
        <v>0.45</v>
      </c>
      <c r="G50" s="93"/>
      <c r="H50" s="69" t="s">
        <v>140</v>
      </c>
      <c r="I50" s="88">
        <f>'様式２ 履修者等数の実績'!E33</f>
        <v>392</v>
      </c>
      <c r="J50" s="77"/>
      <c r="M50" s="77"/>
      <c r="N50" s="15"/>
    </row>
    <row r="51" spans="1:15" ht="18.75" customHeight="1" x14ac:dyDescent="0.15">
      <c r="A51" s="77"/>
      <c r="B51" s="145" t="s">
        <v>141</v>
      </c>
      <c r="C51" s="90"/>
      <c r="D51" s="90"/>
      <c r="E51" s="90"/>
      <c r="F51" s="90"/>
      <c r="G51" s="90"/>
      <c r="H51" s="90"/>
      <c r="I51" s="115"/>
      <c r="N51" s="15"/>
      <c r="O51" s="76"/>
    </row>
    <row r="52" spans="1:15" ht="18.75" customHeight="1" x14ac:dyDescent="0.15">
      <c r="A52" s="77"/>
      <c r="B52" s="116" t="s">
        <v>142</v>
      </c>
      <c r="C52" s="107"/>
      <c r="D52" s="107"/>
      <c r="E52" s="107"/>
      <c r="F52" s="107"/>
      <c r="G52" s="107"/>
      <c r="H52" s="107"/>
      <c r="I52" s="108"/>
      <c r="N52" s="15"/>
      <c r="O52" s="76"/>
    </row>
    <row r="53" spans="1:15" ht="18.75" customHeight="1" x14ac:dyDescent="0.15">
      <c r="A53" s="77"/>
      <c r="B53" s="114"/>
      <c r="C53" s="90"/>
      <c r="D53" s="90"/>
      <c r="E53" s="90"/>
      <c r="F53" s="90"/>
      <c r="G53" s="90"/>
      <c r="H53" s="90"/>
      <c r="I53" s="115"/>
      <c r="N53" s="15"/>
      <c r="O53" s="76"/>
    </row>
    <row r="54" spans="1:15" ht="18.75" customHeight="1" x14ac:dyDescent="0.15">
      <c r="A54" s="77"/>
      <c r="B54" s="114"/>
      <c r="C54" s="90"/>
      <c r="D54" s="90"/>
      <c r="E54" s="90"/>
      <c r="F54" s="90"/>
      <c r="G54" s="90"/>
      <c r="H54" s="90"/>
      <c r="I54" s="115"/>
    </row>
    <row r="55" spans="1:15" ht="18.75" customHeight="1" x14ac:dyDescent="0.15">
      <c r="A55" s="77"/>
      <c r="B55" s="114"/>
      <c r="C55" s="90"/>
      <c r="D55" s="90"/>
      <c r="E55" s="90"/>
      <c r="F55" s="90"/>
      <c r="G55" s="90"/>
      <c r="H55" s="90"/>
      <c r="I55" s="115"/>
    </row>
    <row r="56" spans="1:15" ht="18.75" customHeight="1" x14ac:dyDescent="0.15">
      <c r="A56" s="77"/>
      <c r="B56" s="114"/>
      <c r="C56" s="90"/>
      <c r="D56" s="90"/>
      <c r="E56" s="90"/>
      <c r="F56" s="90"/>
      <c r="G56" s="90"/>
      <c r="H56" s="90"/>
      <c r="I56" s="115"/>
    </row>
    <row r="57" spans="1:15" ht="18.75" customHeight="1" x14ac:dyDescent="0.15">
      <c r="A57" s="77"/>
      <c r="B57" s="114"/>
      <c r="C57" s="90"/>
      <c r="D57" s="90"/>
      <c r="E57" s="90"/>
      <c r="F57" s="90"/>
      <c r="G57" s="90"/>
      <c r="H57" s="90"/>
      <c r="I57" s="115"/>
    </row>
    <row r="58" spans="1:15" ht="18.75" customHeight="1" x14ac:dyDescent="0.15">
      <c r="A58" s="77"/>
      <c r="B58" s="114"/>
      <c r="C58" s="90"/>
      <c r="D58" s="90"/>
      <c r="E58" s="90"/>
      <c r="F58" s="90"/>
      <c r="G58" s="90"/>
      <c r="H58" s="90"/>
      <c r="I58" s="115"/>
    </row>
    <row r="59" spans="1:15" ht="18.75" customHeight="1" x14ac:dyDescent="0.15">
      <c r="A59" s="77"/>
      <c r="B59" s="114"/>
      <c r="C59" s="90"/>
      <c r="D59" s="90"/>
      <c r="E59" s="90"/>
      <c r="F59" s="90"/>
      <c r="G59" s="90"/>
      <c r="H59" s="90"/>
      <c r="I59" s="115"/>
    </row>
    <row r="60" spans="1:15" ht="18.75" customHeight="1" x14ac:dyDescent="0.15">
      <c r="A60" s="77"/>
      <c r="B60" s="114"/>
      <c r="C60" s="90"/>
      <c r="D60" s="90"/>
      <c r="E60" s="90"/>
      <c r="F60" s="90"/>
      <c r="G60" s="90"/>
      <c r="H60" s="90"/>
      <c r="I60" s="115"/>
    </row>
    <row r="61" spans="1:15" ht="18.75" customHeight="1" x14ac:dyDescent="0.15">
      <c r="A61" s="77"/>
      <c r="B61" s="114"/>
      <c r="C61" s="90"/>
      <c r="D61" s="90"/>
      <c r="E61" s="90"/>
      <c r="F61" s="90"/>
      <c r="G61" s="90"/>
      <c r="H61" s="90"/>
      <c r="I61" s="115"/>
    </row>
    <row r="62" spans="1:15" ht="18.75" customHeight="1" x14ac:dyDescent="0.15">
      <c r="A62" s="77"/>
      <c r="B62" s="114"/>
      <c r="C62" s="90"/>
      <c r="D62" s="90"/>
      <c r="E62" s="90"/>
      <c r="F62" s="90"/>
      <c r="G62" s="90"/>
      <c r="H62" s="90"/>
      <c r="I62" s="115"/>
    </row>
    <row r="63" spans="1:15" ht="18.75" customHeight="1" x14ac:dyDescent="0.15">
      <c r="A63" s="77"/>
      <c r="B63" s="109"/>
      <c r="C63" s="110"/>
      <c r="D63" s="110"/>
      <c r="E63" s="110"/>
      <c r="F63" s="110"/>
      <c r="G63" s="110"/>
      <c r="H63" s="110"/>
      <c r="I63" s="111"/>
    </row>
    <row r="64" spans="1:15" ht="7.5" customHeight="1" x14ac:dyDescent="0.15">
      <c r="A64" s="73"/>
      <c r="B64" s="73"/>
      <c r="C64" s="73"/>
      <c r="D64" s="73"/>
      <c r="E64" s="73"/>
      <c r="F64" s="73"/>
      <c r="G64" s="73"/>
      <c r="H64" s="73"/>
      <c r="I64" s="73"/>
    </row>
    <row r="65" spans="1:9" ht="18.75" customHeight="1" x14ac:dyDescent="0.15">
      <c r="A65" s="70" t="s">
        <v>143</v>
      </c>
      <c r="B65" s="77" t="s">
        <v>144</v>
      </c>
      <c r="I65" s="70"/>
    </row>
    <row r="66" spans="1:9" ht="18.75" customHeight="1" x14ac:dyDescent="0.15">
      <c r="A66" s="2"/>
      <c r="B66" s="112" t="s">
        <v>145</v>
      </c>
      <c r="C66" s="107"/>
      <c r="D66" s="107"/>
      <c r="E66" s="107"/>
      <c r="F66" s="107"/>
      <c r="G66" s="107"/>
      <c r="H66" s="107"/>
      <c r="I66" s="108"/>
    </row>
    <row r="67" spans="1:9" ht="18.75" customHeight="1" x14ac:dyDescent="0.15">
      <c r="A67" s="2"/>
      <c r="B67" s="114"/>
      <c r="C67" s="90"/>
      <c r="D67" s="90"/>
      <c r="E67" s="90"/>
      <c r="F67" s="90"/>
      <c r="G67" s="90"/>
      <c r="H67" s="90"/>
      <c r="I67" s="115"/>
    </row>
    <row r="68" spans="1:9" ht="18.75" customHeight="1" x14ac:dyDescent="0.15">
      <c r="A68" s="2"/>
      <c r="B68" s="114"/>
      <c r="C68" s="90"/>
      <c r="D68" s="90"/>
      <c r="E68" s="90"/>
      <c r="F68" s="90"/>
      <c r="G68" s="90"/>
      <c r="H68" s="90"/>
      <c r="I68" s="115"/>
    </row>
    <row r="69" spans="1:9" ht="18.75" customHeight="1" x14ac:dyDescent="0.15">
      <c r="A69" s="2"/>
      <c r="B69" s="114"/>
      <c r="C69" s="90"/>
      <c r="D69" s="90"/>
      <c r="E69" s="90"/>
      <c r="F69" s="90"/>
      <c r="G69" s="90"/>
      <c r="H69" s="90"/>
      <c r="I69" s="115"/>
    </row>
    <row r="70" spans="1:9" ht="18.75" customHeight="1" x14ac:dyDescent="0.15">
      <c r="A70" s="2"/>
      <c r="B70" s="114"/>
      <c r="C70" s="90"/>
      <c r="D70" s="90"/>
      <c r="E70" s="90"/>
      <c r="F70" s="90"/>
      <c r="G70" s="90"/>
      <c r="H70" s="90"/>
      <c r="I70" s="115"/>
    </row>
    <row r="71" spans="1:9" ht="18.75" customHeight="1" x14ac:dyDescent="0.15">
      <c r="A71" s="2"/>
      <c r="B71" s="114"/>
      <c r="C71" s="90"/>
      <c r="D71" s="90"/>
      <c r="E71" s="90"/>
      <c r="F71" s="90"/>
      <c r="G71" s="90"/>
      <c r="H71" s="90"/>
      <c r="I71" s="115"/>
    </row>
    <row r="72" spans="1:9" ht="18.75" customHeight="1" x14ac:dyDescent="0.15">
      <c r="A72" s="2"/>
      <c r="B72" s="114"/>
      <c r="C72" s="90"/>
      <c r="D72" s="90"/>
      <c r="E72" s="90"/>
      <c r="F72" s="90"/>
      <c r="G72" s="90"/>
      <c r="H72" s="90"/>
      <c r="I72" s="115"/>
    </row>
    <row r="73" spans="1:9" ht="18.75" customHeight="1" x14ac:dyDescent="0.15">
      <c r="A73" s="2"/>
      <c r="B73" s="114"/>
      <c r="C73" s="90"/>
      <c r="D73" s="90"/>
      <c r="E73" s="90"/>
      <c r="F73" s="90"/>
      <c r="G73" s="90"/>
      <c r="H73" s="90"/>
      <c r="I73" s="115"/>
    </row>
    <row r="74" spans="1:9" ht="18.75" customHeight="1" x14ac:dyDescent="0.15">
      <c r="A74" s="2"/>
      <c r="B74" s="114"/>
      <c r="C74" s="90"/>
      <c r="D74" s="90"/>
      <c r="E74" s="90"/>
      <c r="F74" s="90"/>
      <c r="G74" s="90"/>
      <c r="H74" s="90"/>
      <c r="I74" s="115"/>
    </row>
    <row r="75" spans="1:9" ht="18.75" customHeight="1" x14ac:dyDescent="0.15">
      <c r="A75" s="2"/>
      <c r="B75" s="114"/>
      <c r="C75" s="90"/>
      <c r="D75" s="90"/>
      <c r="E75" s="90"/>
      <c r="F75" s="90"/>
      <c r="G75" s="90"/>
      <c r="H75" s="90"/>
      <c r="I75" s="115"/>
    </row>
    <row r="76" spans="1:9" ht="18.75" customHeight="1" x14ac:dyDescent="0.15">
      <c r="A76" s="2"/>
      <c r="B76" s="114"/>
      <c r="C76" s="90"/>
      <c r="D76" s="90"/>
      <c r="E76" s="90"/>
      <c r="F76" s="90"/>
      <c r="G76" s="90"/>
      <c r="H76" s="90"/>
      <c r="I76" s="115"/>
    </row>
    <row r="77" spans="1:9" ht="18.75" customHeight="1" x14ac:dyDescent="0.15">
      <c r="A77" s="2"/>
      <c r="B77" s="109"/>
      <c r="C77" s="110"/>
      <c r="D77" s="110"/>
      <c r="E77" s="110"/>
      <c r="F77" s="110"/>
      <c r="G77" s="110"/>
      <c r="H77" s="110"/>
      <c r="I77" s="111"/>
    </row>
    <row r="78" spans="1:9" ht="7.5" customHeight="1" x14ac:dyDescent="0.15">
      <c r="A78" s="2"/>
      <c r="B78" s="2"/>
      <c r="C78" s="2"/>
      <c r="D78" s="2"/>
      <c r="E78" s="2"/>
      <c r="F78" s="2"/>
      <c r="G78" s="2"/>
      <c r="H78" s="2"/>
      <c r="I78" s="2"/>
    </row>
    <row r="79" spans="1:9" ht="18.75" customHeight="1" x14ac:dyDescent="0.15">
      <c r="A79" s="77" t="s">
        <v>146</v>
      </c>
      <c r="B79" s="77" t="s">
        <v>147</v>
      </c>
    </row>
    <row r="80" spans="1:9" ht="18.75" customHeight="1" x14ac:dyDescent="0.15">
      <c r="A80" s="77"/>
      <c r="B80" s="116" t="s">
        <v>148</v>
      </c>
      <c r="C80" s="107"/>
      <c r="D80" s="107"/>
      <c r="E80" s="107"/>
      <c r="F80" s="107"/>
      <c r="G80" s="107"/>
      <c r="H80" s="107"/>
      <c r="I80" s="108"/>
    </row>
    <row r="81" spans="1:9" ht="18.75" customHeight="1" x14ac:dyDescent="0.15">
      <c r="A81" s="77"/>
      <c r="B81" s="114"/>
      <c r="C81" s="90"/>
      <c r="D81" s="90"/>
      <c r="E81" s="90"/>
      <c r="F81" s="90"/>
      <c r="G81" s="90"/>
      <c r="H81" s="90"/>
      <c r="I81" s="115"/>
    </row>
    <row r="82" spans="1:9" ht="18.75" customHeight="1" x14ac:dyDescent="0.15">
      <c r="A82" s="77"/>
      <c r="B82" s="114"/>
      <c r="C82" s="90"/>
      <c r="D82" s="90"/>
      <c r="E82" s="90"/>
      <c r="F82" s="90"/>
      <c r="G82" s="90"/>
      <c r="H82" s="90"/>
      <c r="I82" s="115"/>
    </row>
    <row r="83" spans="1:9" ht="18.75" customHeight="1" x14ac:dyDescent="0.15">
      <c r="A83" s="77"/>
      <c r="B83" s="114"/>
      <c r="C83" s="90"/>
      <c r="D83" s="90"/>
      <c r="E83" s="90"/>
      <c r="F83" s="90"/>
      <c r="G83" s="90"/>
      <c r="H83" s="90"/>
      <c r="I83" s="115"/>
    </row>
    <row r="84" spans="1:9" ht="18.75" customHeight="1" x14ac:dyDescent="0.15">
      <c r="A84" s="77"/>
      <c r="B84" s="114"/>
      <c r="C84" s="90"/>
      <c r="D84" s="90"/>
      <c r="E84" s="90"/>
      <c r="F84" s="90"/>
      <c r="G84" s="90"/>
      <c r="H84" s="90"/>
      <c r="I84" s="115"/>
    </row>
    <row r="85" spans="1:9" ht="18.75" customHeight="1" x14ac:dyDescent="0.15">
      <c r="A85" s="77"/>
      <c r="B85" s="114"/>
      <c r="C85" s="90"/>
      <c r="D85" s="90"/>
      <c r="E85" s="90"/>
      <c r="F85" s="90"/>
      <c r="G85" s="90"/>
      <c r="H85" s="90"/>
      <c r="I85" s="115"/>
    </row>
    <row r="86" spans="1:9" ht="18.75" customHeight="1" x14ac:dyDescent="0.15">
      <c r="A86" s="77"/>
      <c r="B86" s="114"/>
      <c r="C86" s="90"/>
      <c r="D86" s="90"/>
      <c r="E86" s="90"/>
      <c r="F86" s="90"/>
      <c r="G86" s="90"/>
      <c r="H86" s="90"/>
      <c r="I86" s="115"/>
    </row>
    <row r="87" spans="1:9" ht="18.75" customHeight="1" x14ac:dyDescent="0.15">
      <c r="A87" s="77"/>
      <c r="B87" s="114"/>
      <c r="C87" s="90"/>
      <c r="D87" s="90"/>
      <c r="E87" s="90"/>
      <c r="F87" s="90"/>
      <c r="G87" s="90"/>
      <c r="H87" s="90"/>
      <c r="I87" s="115"/>
    </row>
    <row r="88" spans="1:9" ht="18.75" customHeight="1" x14ac:dyDescent="0.15">
      <c r="A88" s="77"/>
      <c r="B88" s="114"/>
      <c r="C88" s="90"/>
      <c r="D88" s="90"/>
      <c r="E88" s="90"/>
      <c r="F88" s="90"/>
      <c r="G88" s="90"/>
      <c r="H88" s="90"/>
      <c r="I88" s="115"/>
    </row>
    <row r="89" spans="1:9" ht="18.75" customHeight="1" x14ac:dyDescent="0.15">
      <c r="A89" s="77"/>
      <c r="B89" s="114"/>
      <c r="C89" s="90"/>
      <c r="D89" s="90"/>
      <c r="E89" s="90"/>
      <c r="F89" s="90"/>
      <c r="G89" s="90"/>
      <c r="H89" s="90"/>
      <c r="I89" s="115"/>
    </row>
    <row r="90" spans="1:9" ht="18.75" customHeight="1" x14ac:dyDescent="0.15">
      <c r="A90" s="2"/>
      <c r="B90" s="114"/>
      <c r="C90" s="90"/>
      <c r="D90" s="90"/>
      <c r="E90" s="90"/>
      <c r="F90" s="90"/>
      <c r="G90" s="90"/>
      <c r="H90" s="90"/>
      <c r="I90" s="115"/>
    </row>
    <row r="91" spans="1:9" ht="18.75" customHeight="1" x14ac:dyDescent="0.15">
      <c r="A91" s="2"/>
      <c r="B91" s="109"/>
      <c r="C91" s="110"/>
      <c r="D91" s="110"/>
      <c r="E91" s="110"/>
      <c r="F91" s="110"/>
      <c r="G91" s="110"/>
      <c r="H91" s="110"/>
      <c r="I91" s="111"/>
    </row>
    <row r="92" spans="1:9" ht="7.5" customHeight="1" x14ac:dyDescent="0.15">
      <c r="A92" s="2"/>
      <c r="B92" s="2"/>
      <c r="C92" s="2"/>
      <c r="D92" s="2"/>
      <c r="E92" s="2"/>
      <c r="F92" s="2"/>
      <c r="G92" s="2"/>
      <c r="H92" s="2"/>
      <c r="I92" s="2"/>
    </row>
    <row r="93" spans="1:9" ht="18.75" customHeight="1" x14ac:dyDescent="0.15">
      <c r="A93" s="77" t="s">
        <v>149</v>
      </c>
      <c r="B93" s="77" t="s">
        <v>150</v>
      </c>
    </row>
    <row r="94" spans="1:9" ht="18.75" customHeight="1" x14ac:dyDescent="0.15">
      <c r="A94" s="77"/>
      <c r="B94" s="116" t="s">
        <v>151</v>
      </c>
      <c r="C94" s="107"/>
      <c r="D94" s="107"/>
      <c r="E94" s="107"/>
      <c r="F94" s="107"/>
      <c r="G94" s="107"/>
      <c r="H94" s="107"/>
      <c r="I94" s="108"/>
    </row>
    <row r="95" spans="1:9" ht="18.75" customHeight="1" x14ac:dyDescent="0.15">
      <c r="A95" s="77"/>
      <c r="B95" s="114"/>
      <c r="C95" s="90"/>
      <c r="D95" s="90"/>
      <c r="E95" s="90"/>
      <c r="F95" s="90"/>
      <c r="G95" s="90"/>
      <c r="H95" s="90"/>
      <c r="I95" s="115"/>
    </row>
    <row r="96" spans="1:9" ht="18.75" customHeight="1" x14ac:dyDescent="0.15">
      <c r="A96" s="77"/>
      <c r="B96" s="114"/>
      <c r="C96" s="90"/>
      <c r="D96" s="90"/>
      <c r="E96" s="90"/>
      <c r="F96" s="90"/>
      <c r="G96" s="90"/>
      <c r="H96" s="90"/>
      <c r="I96" s="115"/>
    </row>
    <row r="97" spans="1:9" ht="18.75" customHeight="1" x14ac:dyDescent="0.15">
      <c r="A97" s="77"/>
      <c r="B97" s="114"/>
      <c r="C97" s="90"/>
      <c r="D97" s="90"/>
      <c r="E97" s="90"/>
      <c r="F97" s="90"/>
      <c r="G97" s="90"/>
      <c r="H97" s="90"/>
      <c r="I97" s="115"/>
    </row>
    <row r="98" spans="1:9" ht="18.75" customHeight="1" x14ac:dyDescent="0.15">
      <c r="A98" s="77"/>
      <c r="B98" s="114"/>
      <c r="C98" s="90"/>
      <c r="D98" s="90"/>
      <c r="E98" s="90"/>
      <c r="F98" s="90"/>
      <c r="G98" s="90"/>
      <c r="H98" s="90"/>
      <c r="I98" s="115"/>
    </row>
    <row r="99" spans="1:9" ht="18.75" customHeight="1" x14ac:dyDescent="0.15">
      <c r="A99" s="77"/>
      <c r="B99" s="114"/>
      <c r="C99" s="90"/>
      <c r="D99" s="90"/>
      <c r="E99" s="90"/>
      <c r="F99" s="90"/>
      <c r="G99" s="90"/>
      <c r="H99" s="90"/>
      <c r="I99" s="115"/>
    </row>
    <row r="100" spans="1:9" ht="18.75" customHeight="1" x14ac:dyDescent="0.15">
      <c r="A100" s="77"/>
      <c r="B100" s="114"/>
      <c r="C100" s="90"/>
      <c r="D100" s="90"/>
      <c r="E100" s="90"/>
      <c r="F100" s="90"/>
      <c r="G100" s="90"/>
      <c r="H100" s="90"/>
      <c r="I100" s="115"/>
    </row>
    <row r="101" spans="1:9" ht="18.75" customHeight="1" x14ac:dyDescent="0.15">
      <c r="A101" s="77"/>
      <c r="B101" s="114"/>
      <c r="C101" s="90"/>
      <c r="D101" s="90"/>
      <c r="E101" s="90"/>
      <c r="F101" s="90"/>
      <c r="G101" s="90"/>
      <c r="H101" s="90"/>
      <c r="I101" s="115"/>
    </row>
    <row r="102" spans="1:9" ht="18.75" customHeight="1" x14ac:dyDescent="0.15">
      <c r="A102" s="77"/>
      <c r="B102" s="114"/>
      <c r="C102" s="90"/>
      <c r="D102" s="90"/>
      <c r="E102" s="90"/>
      <c r="F102" s="90"/>
      <c r="G102" s="90"/>
      <c r="H102" s="90"/>
      <c r="I102" s="115"/>
    </row>
    <row r="103" spans="1:9" ht="18.75" customHeight="1" x14ac:dyDescent="0.15">
      <c r="A103" s="77"/>
      <c r="B103" s="114"/>
      <c r="C103" s="90"/>
      <c r="D103" s="90"/>
      <c r="E103" s="90"/>
      <c r="F103" s="90"/>
      <c r="G103" s="90"/>
      <c r="H103" s="90"/>
      <c r="I103" s="115"/>
    </row>
    <row r="104" spans="1:9" ht="18.75" customHeight="1" x14ac:dyDescent="0.15">
      <c r="A104" s="77"/>
      <c r="B104" s="114"/>
      <c r="C104" s="90"/>
      <c r="D104" s="90"/>
      <c r="E104" s="90"/>
      <c r="F104" s="90"/>
      <c r="G104" s="90"/>
      <c r="H104" s="90"/>
      <c r="I104" s="115"/>
    </row>
    <row r="105" spans="1:9" ht="18.75" customHeight="1" x14ac:dyDescent="0.15">
      <c r="A105" s="2"/>
      <c r="B105" s="109"/>
      <c r="C105" s="110"/>
      <c r="D105" s="110"/>
      <c r="E105" s="110"/>
      <c r="F105" s="110"/>
      <c r="G105" s="110"/>
      <c r="H105" s="110"/>
      <c r="I105" s="111"/>
    </row>
    <row r="106" spans="1:9" ht="7.5" customHeight="1" x14ac:dyDescent="0.15">
      <c r="A106" s="2"/>
      <c r="B106" s="2"/>
      <c r="C106" s="2"/>
      <c r="D106" s="2"/>
      <c r="E106" s="2"/>
      <c r="F106" s="2"/>
      <c r="G106" s="2"/>
      <c r="H106" s="2"/>
      <c r="I106" s="2"/>
    </row>
    <row r="107" spans="1:9" ht="18.75" customHeight="1" x14ac:dyDescent="0.15">
      <c r="A107" s="77" t="s">
        <v>152</v>
      </c>
      <c r="B107" s="90" t="s">
        <v>153</v>
      </c>
      <c r="C107" s="90"/>
      <c r="D107" s="90"/>
      <c r="E107" s="90"/>
      <c r="F107" s="90"/>
      <c r="G107" s="90"/>
      <c r="H107" s="90"/>
      <c r="I107" s="90"/>
    </row>
    <row r="108" spans="1:9" ht="18.75" customHeight="1" x14ac:dyDescent="0.15">
      <c r="A108" s="2"/>
      <c r="B108" s="116" t="s">
        <v>154</v>
      </c>
      <c r="C108" s="107"/>
      <c r="D108" s="107"/>
      <c r="E108" s="107"/>
      <c r="F108" s="107"/>
      <c r="G108" s="107"/>
      <c r="H108" s="107"/>
      <c r="I108" s="108"/>
    </row>
    <row r="109" spans="1:9" ht="18.75" customHeight="1" x14ac:dyDescent="0.15">
      <c r="A109" s="2"/>
      <c r="B109" s="114"/>
      <c r="C109" s="90"/>
      <c r="D109" s="90"/>
      <c r="E109" s="90"/>
      <c r="F109" s="90"/>
      <c r="G109" s="90"/>
      <c r="H109" s="90"/>
      <c r="I109" s="115"/>
    </row>
    <row r="110" spans="1:9" ht="18.75" customHeight="1" x14ac:dyDescent="0.15">
      <c r="A110" s="2"/>
      <c r="B110" s="114"/>
      <c r="C110" s="90"/>
      <c r="D110" s="90"/>
      <c r="E110" s="90"/>
      <c r="F110" s="90"/>
      <c r="G110" s="90"/>
      <c r="H110" s="90"/>
      <c r="I110" s="115"/>
    </row>
    <row r="111" spans="1:9" ht="18.75" customHeight="1" x14ac:dyDescent="0.15">
      <c r="A111" s="2"/>
      <c r="B111" s="114"/>
      <c r="C111" s="90"/>
      <c r="D111" s="90"/>
      <c r="E111" s="90"/>
      <c r="F111" s="90"/>
      <c r="G111" s="90"/>
      <c r="H111" s="90"/>
      <c r="I111" s="115"/>
    </row>
    <row r="112" spans="1:9" ht="18.75" customHeight="1" x14ac:dyDescent="0.15">
      <c r="A112" s="2"/>
      <c r="B112" s="114"/>
      <c r="C112" s="90"/>
      <c r="D112" s="90"/>
      <c r="E112" s="90"/>
      <c r="F112" s="90"/>
      <c r="G112" s="90"/>
      <c r="H112" s="90"/>
      <c r="I112" s="115"/>
    </row>
    <row r="113" spans="1:9" ht="18.75" customHeight="1" x14ac:dyDescent="0.15">
      <c r="A113" s="2"/>
      <c r="B113" s="114"/>
      <c r="C113" s="90"/>
      <c r="D113" s="90"/>
      <c r="E113" s="90"/>
      <c r="F113" s="90"/>
      <c r="G113" s="90"/>
      <c r="H113" s="90"/>
      <c r="I113" s="115"/>
    </row>
    <row r="114" spans="1:9" ht="18.75" customHeight="1" x14ac:dyDescent="0.15">
      <c r="A114" s="2"/>
      <c r="B114" s="114"/>
      <c r="C114" s="90"/>
      <c r="D114" s="90"/>
      <c r="E114" s="90"/>
      <c r="F114" s="90"/>
      <c r="G114" s="90"/>
      <c r="H114" s="90"/>
      <c r="I114" s="115"/>
    </row>
    <row r="115" spans="1:9" ht="18.75" customHeight="1" x14ac:dyDescent="0.15">
      <c r="A115" s="2"/>
      <c r="B115" s="114"/>
      <c r="C115" s="90"/>
      <c r="D115" s="90"/>
      <c r="E115" s="90"/>
      <c r="F115" s="90"/>
      <c r="G115" s="90"/>
      <c r="H115" s="90"/>
      <c r="I115" s="115"/>
    </row>
    <row r="116" spans="1:9" ht="18.75" customHeight="1" x14ac:dyDescent="0.15">
      <c r="A116" s="2"/>
      <c r="B116" s="114"/>
      <c r="C116" s="90"/>
      <c r="D116" s="90"/>
      <c r="E116" s="90"/>
      <c r="F116" s="90"/>
      <c r="G116" s="90"/>
      <c r="H116" s="90"/>
      <c r="I116" s="115"/>
    </row>
    <row r="117" spans="1:9" ht="18.75" customHeight="1" x14ac:dyDescent="0.15">
      <c r="A117" s="2"/>
      <c r="B117" s="114"/>
      <c r="C117" s="90"/>
      <c r="D117" s="90"/>
      <c r="E117" s="90"/>
      <c r="F117" s="90"/>
      <c r="G117" s="90"/>
      <c r="H117" s="90"/>
      <c r="I117" s="115"/>
    </row>
    <row r="118" spans="1:9" ht="18.75" customHeight="1" x14ac:dyDescent="0.15">
      <c r="A118" s="2"/>
      <c r="B118" s="114"/>
      <c r="C118" s="90"/>
      <c r="D118" s="90"/>
      <c r="E118" s="90"/>
      <c r="F118" s="90"/>
      <c r="G118" s="90"/>
      <c r="H118" s="90"/>
      <c r="I118" s="115"/>
    </row>
    <row r="119" spans="1:9" ht="18.75" customHeight="1" x14ac:dyDescent="0.15">
      <c r="A119" s="2"/>
      <c r="B119" s="109"/>
      <c r="C119" s="110"/>
      <c r="D119" s="110"/>
      <c r="E119" s="110"/>
      <c r="F119" s="110"/>
      <c r="G119" s="110"/>
      <c r="H119" s="110"/>
      <c r="I119" s="111"/>
    </row>
    <row r="120" spans="1:9" ht="7.5" customHeight="1" x14ac:dyDescent="0.15">
      <c r="A120" s="2"/>
      <c r="B120" s="16"/>
      <c r="C120" s="16"/>
      <c r="D120" s="16"/>
      <c r="E120" s="16"/>
      <c r="F120" s="16"/>
      <c r="G120" s="16"/>
      <c r="H120" s="16"/>
      <c r="I120" s="16"/>
    </row>
    <row r="121" spans="1:9" ht="18.75" customHeight="1" x14ac:dyDescent="0.15">
      <c r="A121" s="41"/>
      <c r="B121" s="144"/>
      <c r="C121" s="90"/>
      <c r="D121" s="90"/>
      <c r="E121" s="90"/>
      <c r="F121" s="90"/>
      <c r="G121" s="90"/>
      <c r="H121" s="90"/>
      <c r="I121" s="90"/>
    </row>
    <row r="122" spans="1:9" ht="18.75" customHeight="1" x14ac:dyDescent="0.15">
      <c r="A122" s="41"/>
      <c r="B122" s="90"/>
      <c r="C122" s="90"/>
      <c r="D122" s="90"/>
      <c r="E122" s="90"/>
      <c r="F122" s="90"/>
      <c r="G122" s="90"/>
      <c r="H122" s="90"/>
      <c r="I122" s="90"/>
    </row>
    <row r="123" spans="1:9" ht="18.75" customHeight="1" x14ac:dyDescent="0.15">
      <c r="A123" s="2"/>
      <c r="B123" s="74"/>
      <c r="C123" s="74"/>
      <c r="D123" s="74"/>
      <c r="E123" s="74"/>
      <c r="F123" s="74"/>
      <c r="G123" s="74"/>
      <c r="H123" s="74"/>
      <c r="I123" s="75"/>
    </row>
    <row r="124" spans="1:9" ht="18.75" customHeight="1" x14ac:dyDescent="0.15">
      <c r="A124" s="2"/>
      <c r="B124" s="75"/>
      <c r="C124" s="75"/>
      <c r="D124" s="75"/>
      <c r="E124" s="75"/>
      <c r="F124" s="75"/>
      <c r="G124" s="75"/>
      <c r="H124" s="75"/>
      <c r="I124" s="75"/>
    </row>
    <row r="125" spans="1:9" ht="18.75" customHeight="1" x14ac:dyDescent="0.15">
      <c r="A125" s="2"/>
      <c r="B125" s="75"/>
      <c r="C125" s="75"/>
      <c r="D125" s="75"/>
      <c r="E125" s="75"/>
      <c r="F125" s="75"/>
      <c r="G125" s="75"/>
      <c r="H125" s="75"/>
      <c r="I125" s="75"/>
    </row>
    <row r="126" spans="1:9" ht="18.75" customHeight="1" x14ac:dyDescent="0.15">
      <c r="A126" s="2"/>
      <c r="B126" s="75"/>
      <c r="C126" s="75"/>
      <c r="D126" s="75"/>
      <c r="E126" s="75"/>
      <c r="F126" s="75"/>
      <c r="G126" s="75"/>
      <c r="H126" s="75"/>
      <c r="I126" s="75"/>
    </row>
    <row r="127" spans="1:9" ht="18.75" customHeight="1" x14ac:dyDescent="0.15">
      <c r="A127" s="2"/>
      <c r="B127" s="75"/>
      <c r="C127" s="75"/>
      <c r="D127" s="75"/>
      <c r="E127" s="75"/>
      <c r="F127" s="75"/>
      <c r="G127" s="75"/>
      <c r="H127" s="75"/>
      <c r="I127" s="75"/>
    </row>
    <row r="128" spans="1:9" ht="18.75" customHeight="1" x14ac:dyDescent="0.15">
      <c r="A128" s="2"/>
      <c r="B128" s="75"/>
      <c r="C128" s="75"/>
      <c r="D128" s="75"/>
      <c r="E128" s="75"/>
      <c r="F128" s="75"/>
      <c r="G128" s="75"/>
      <c r="H128" s="75"/>
      <c r="I128" s="75"/>
    </row>
    <row r="129" spans="1:9" ht="18.75" customHeight="1" x14ac:dyDescent="0.15">
      <c r="A129" s="2"/>
      <c r="B129" s="75"/>
      <c r="C129" s="75"/>
      <c r="D129" s="75"/>
      <c r="E129" s="75"/>
      <c r="F129" s="75"/>
      <c r="G129" s="75"/>
      <c r="H129" s="75"/>
      <c r="I129" s="75"/>
    </row>
    <row r="130" spans="1:9" ht="18.75" customHeight="1" x14ac:dyDescent="0.15">
      <c r="A130" s="2"/>
      <c r="B130" s="75"/>
      <c r="C130" s="75"/>
      <c r="D130" s="75"/>
      <c r="E130" s="75"/>
      <c r="F130" s="75"/>
      <c r="G130" s="75"/>
      <c r="H130" s="75"/>
      <c r="I130" s="75"/>
    </row>
    <row r="131" spans="1:9" ht="18.75" customHeight="1" x14ac:dyDescent="0.15">
      <c r="A131" s="2"/>
      <c r="B131" s="75"/>
      <c r="C131" s="75"/>
      <c r="D131" s="75"/>
      <c r="E131" s="75"/>
      <c r="F131" s="75"/>
      <c r="G131" s="75"/>
      <c r="H131" s="75"/>
      <c r="I131" s="75"/>
    </row>
    <row r="132" spans="1:9" ht="18.75" customHeight="1" x14ac:dyDescent="0.15">
      <c r="A132" s="2"/>
      <c r="B132" s="75"/>
      <c r="C132" s="75"/>
      <c r="D132" s="75"/>
      <c r="E132" s="75"/>
      <c r="F132" s="75"/>
      <c r="G132" s="75"/>
      <c r="H132" s="75"/>
      <c r="I132" s="75"/>
    </row>
    <row r="133" spans="1:9" ht="14.45" customHeight="1" x14ac:dyDescent="0.15">
      <c r="A133" s="2"/>
      <c r="B133" s="75"/>
      <c r="C133" s="75"/>
      <c r="D133" s="75"/>
      <c r="E133" s="75"/>
      <c r="F133" s="75"/>
      <c r="G133" s="75"/>
      <c r="H133" s="75"/>
      <c r="I133" s="75"/>
    </row>
    <row r="134" spans="1:9" ht="7.5" customHeight="1" x14ac:dyDescent="0.15">
      <c r="A134" s="2"/>
      <c r="B134" s="75"/>
      <c r="C134" s="75"/>
      <c r="D134" s="75"/>
      <c r="E134" s="75"/>
      <c r="F134" s="75"/>
      <c r="G134" s="75"/>
      <c r="H134" s="75"/>
      <c r="I134" s="75"/>
    </row>
  </sheetData>
  <mergeCells count="24">
    <mergeCell ref="C6:D6"/>
    <mergeCell ref="H2:I2"/>
    <mergeCell ref="H16:I16"/>
    <mergeCell ref="B19:I19"/>
    <mergeCell ref="B108:I119"/>
    <mergeCell ref="B14:I14"/>
    <mergeCell ref="A4:I4"/>
    <mergeCell ref="B94:I105"/>
    <mergeCell ref="B52:I63"/>
    <mergeCell ref="C11:E11"/>
    <mergeCell ref="B22:I32"/>
    <mergeCell ref="H11:I11"/>
    <mergeCell ref="C16:E16"/>
    <mergeCell ref="B66:I77"/>
    <mergeCell ref="B121:I122"/>
    <mergeCell ref="B51:I51"/>
    <mergeCell ref="F49:G49"/>
    <mergeCell ref="B80:I91"/>
    <mergeCell ref="B35:I46"/>
    <mergeCell ref="C49:D49"/>
    <mergeCell ref="B48:I48"/>
    <mergeCell ref="B107:I107"/>
    <mergeCell ref="C50:D50"/>
    <mergeCell ref="F50:G50"/>
  </mergeCells>
  <phoneticPr fontId="1"/>
  <printOptions horizontalCentered="1"/>
  <pageMargins left="0.59055118110236227" right="0.59055118110236227" top="0.78740157480314965" bottom="0.39370078740157483" header="0.31496062992125978"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tabSelected="1" view="pageBreakPreview" zoomScaleNormal="100" zoomScaleSheetLayoutView="100" workbookViewId="0">
      <selection activeCell="I8" sqref="I8"/>
    </sheetView>
  </sheetViews>
  <sheetFormatPr defaultColWidth="11.375" defaultRowHeight="22.5" customHeight="1" x14ac:dyDescent="0.15"/>
  <cols>
    <col min="1" max="3" width="2.75" style="77" customWidth="1"/>
    <col min="4" max="4" width="22.25" style="77" customWidth="1"/>
    <col min="5" max="5" width="30.75" style="77" customWidth="1"/>
    <col min="6" max="7" width="7.75" style="77" customWidth="1"/>
    <col min="8" max="9" width="30.75" style="77" customWidth="1"/>
    <col min="10" max="10" width="4.125" style="77" customWidth="1"/>
    <col min="11" max="11" width="11.375" style="77" customWidth="1"/>
    <col min="12" max="16384" width="11.375" style="77"/>
  </cols>
  <sheetData>
    <row r="1" spans="1:9" ht="18.75" customHeight="1" x14ac:dyDescent="0.15">
      <c r="A1" s="77" t="s">
        <v>155</v>
      </c>
      <c r="I1" s="71" t="s">
        <v>156</v>
      </c>
    </row>
    <row r="2" spans="1:9" ht="18.75" customHeight="1" x14ac:dyDescent="0.15">
      <c r="H2" s="71" t="s">
        <v>2</v>
      </c>
      <c r="I2" s="87" t="s">
        <v>3</v>
      </c>
    </row>
    <row r="3" spans="1:9" ht="18.75" customHeight="1" x14ac:dyDescent="0.15">
      <c r="A3" s="126" t="s">
        <v>157</v>
      </c>
      <c r="B3" s="90"/>
      <c r="C3" s="90"/>
      <c r="D3" s="90"/>
      <c r="E3" s="90"/>
      <c r="F3" s="90"/>
      <c r="G3" s="90"/>
      <c r="H3" s="90"/>
      <c r="I3" s="90"/>
    </row>
    <row r="4" spans="1:9" ht="18.75" customHeight="1" x14ac:dyDescent="0.15">
      <c r="A4" s="72"/>
      <c r="B4" s="72"/>
      <c r="C4" s="72"/>
      <c r="D4" s="72"/>
      <c r="E4" s="72"/>
      <c r="F4" s="72"/>
      <c r="G4" s="72"/>
      <c r="H4" s="72"/>
      <c r="I4" s="72"/>
    </row>
    <row r="5" spans="1:9" ht="18.75" customHeight="1" x14ac:dyDescent="0.15">
      <c r="A5" s="77" t="s">
        <v>109</v>
      </c>
      <c r="B5" s="7" t="s">
        <v>158</v>
      </c>
      <c r="C5" s="72"/>
      <c r="D5" s="72"/>
      <c r="E5" s="72"/>
      <c r="F5" s="72"/>
      <c r="G5" s="72"/>
      <c r="H5" s="72"/>
      <c r="I5" s="72"/>
    </row>
    <row r="6" spans="1:9" ht="26.25" customHeight="1" x14ac:dyDescent="0.15">
      <c r="A6" s="72"/>
      <c r="B6" s="112" t="s">
        <v>184</v>
      </c>
      <c r="C6" s="92"/>
      <c r="D6" s="92"/>
      <c r="E6" s="92"/>
      <c r="F6" s="92"/>
      <c r="G6" s="92"/>
      <c r="H6" s="93"/>
      <c r="I6" s="76"/>
    </row>
    <row r="7" spans="1:9" ht="9" customHeight="1" x14ac:dyDescent="0.15">
      <c r="A7" s="72"/>
      <c r="B7" s="7"/>
      <c r="C7" s="7"/>
      <c r="D7" s="7"/>
      <c r="E7" s="7"/>
      <c r="F7" s="7"/>
      <c r="G7" s="7"/>
      <c r="H7" s="7"/>
      <c r="I7" s="76"/>
    </row>
    <row r="8" spans="1:9" ht="18.75" customHeight="1" x14ac:dyDescent="0.15">
      <c r="A8" s="72"/>
      <c r="B8" s="76"/>
      <c r="C8" s="76"/>
      <c r="D8" s="71" t="s">
        <v>117</v>
      </c>
      <c r="E8" s="78" t="s">
        <v>123</v>
      </c>
      <c r="F8" s="76"/>
      <c r="G8" s="71" t="s">
        <v>119</v>
      </c>
      <c r="H8" s="78" t="s">
        <v>124</v>
      </c>
      <c r="I8" s="76"/>
    </row>
    <row r="9" spans="1:9" ht="7.5" customHeight="1" x14ac:dyDescent="0.15">
      <c r="A9" s="72"/>
      <c r="B9" s="72"/>
      <c r="C9" s="72"/>
      <c r="D9" s="72"/>
      <c r="E9" s="72"/>
      <c r="F9" s="72"/>
      <c r="G9" s="72"/>
      <c r="H9" s="72"/>
      <c r="I9" s="72"/>
    </row>
    <row r="10" spans="1:9" ht="18.75" customHeight="1" x14ac:dyDescent="0.15">
      <c r="A10" s="77" t="s">
        <v>113</v>
      </c>
      <c r="B10" s="77" t="s">
        <v>159</v>
      </c>
      <c r="C10" s="2"/>
      <c r="D10" s="2"/>
      <c r="E10" s="2"/>
      <c r="F10" s="2"/>
      <c r="G10" s="2"/>
      <c r="H10" s="2"/>
      <c r="I10" s="2"/>
    </row>
    <row r="11" spans="1:9" ht="18.75" customHeight="1" x14ac:dyDescent="0.15">
      <c r="B11" s="91" t="s">
        <v>160</v>
      </c>
      <c r="C11" s="92"/>
      <c r="D11" s="93"/>
      <c r="E11" s="166" t="s">
        <v>161</v>
      </c>
      <c r="F11" s="92"/>
      <c r="G11" s="92"/>
      <c r="H11" s="92"/>
      <c r="I11" s="93"/>
    </row>
    <row r="12" spans="1:9" ht="26.25" customHeight="1" x14ac:dyDescent="0.15">
      <c r="B12" s="17" t="s">
        <v>162</v>
      </c>
      <c r="C12" s="24"/>
      <c r="D12" s="18"/>
      <c r="E12" s="25"/>
      <c r="F12" s="25"/>
      <c r="G12" s="25"/>
      <c r="H12" s="25"/>
      <c r="I12" s="18"/>
    </row>
    <row r="13" spans="1:9" ht="210.75" customHeight="1" x14ac:dyDescent="0.15">
      <c r="B13" s="19"/>
      <c r="C13" s="154" t="s">
        <v>163</v>
      </c>
      <c r="D13" s="97"/>
      <c r="E13" s="160" t="s">
        <v>164</v>
      </c>
      <c r="F13" s="96"/>
      <c r="G13" s="96"/>
      <c r="H13" s="96"/>
      <c r="I13" s="97"/>
    </row>
    <row r="14" spans="1:9" ht="210.75" customHeight="1" x14ac:dyDescent="0.15">
      <c r="B14" s="19"/>
      <c r="C14" s="167" t="s">
        <v>165</v>
      </c>
      <c r="D14" s="97"/>
      <c r="E14" s="160" t="s">
        <v>166</v>
      </c>
      <c r="F14" s="96"/>
      <c r="G14" s="96"/>
      <c r="H14" s="96"/>
      <c r="I14" s="97"/>
    </row>
    <row r="15" spans="1:9" ht="210.75" customHeight="1" x14ac:dyDescent="0.15">
      <c r="B15" s="19"/>
      <c r="C15" s="154" t="s">
        <v>167</v>
      </c>
      <c r="D15" s="97"/>
      <c r="E15" s="160" t="s">
        <v>168</v>
      </c>
      <c r="F15" s="96"/>
      <c r="G15" s="96"/>
      <c r="H15" s="96"/>
      <c r="I15" s="97"/>
    </row>
    <row r="16" spans="1:9" ht="210.75" customHeight="1" x14ac:dyDescent="0.15">
      <c r="B16" s="19"/>
      <c r="C16" s="154" t="s">
        <v>169</v>
      </c>
      <c r="D16" s="97"/>
      <c r="E16" s="160" t="s">
        <v>170</v>
      </c>
      <c r="F16" s="96"/>
      <c r="G16" s="96"/>
      <c r="H16" s="96"/>
      <c r="I16" s="97"/>
    </row>
    <row r="17" spans="2:9" ht="210.75" customHeight="1" x14ac:dyDescent="0.15">
      <c r="B17" s="20"/>
      <c r="C17" s="162" t="s">
        <v>171</v>
      </c>
      <c r="D17" s="163"/>
      <c r="E17" s="161" t="s">
        <v>172</v>
      </c>
      <c r="F17" s="103"/>
      <c r="G17" s="103"/>
      <c r="H17" s="103"/>
      <c r="I17" s="104"/>
    </row>
    <row r="18" spans="2:9" ht="24" customHeight="1" x14ac:dyDescent="0.15">
      <c r="B18" s="17" t="s">
        <v>173</v>
      </c>
      <c r="C18" s="21"/>
      <c r="D18" s="22"/>
      <c r="E18" s="23"/>
      <c r="F18" s="23"/>
      <c r="G18" s="23"/>
      <c r="H18" s="23"/>
      <c r="I18" s="26"/>
    </row>
    <row r="19" spans="2:9" ht="218.25" customHeight="1" x14ac:dyDescent="0.15">
      <c r="B19" s="19"/>
      <c r="C19" s="154" t="s">
        <v>174</v>
      </c>
      <c r="D19" s="97"/>
      <c r="E19" s="165" t="s">
        <v>175</v>
      </c>
      <c r="F19" s="96"/>
      <c r="G19" s="96"/>
      <c r="H19" s="96"/>
      <c r="I19" s="97"/>
    </row>
    <row r="20" spans="2:9" ht="218.25" customHeight="1" x14ac:dyDescent="0.15">
      <c r="B20" s="20"/>
      <c r="C20" s="162" t="s">
        <v>176</v>
      </c>
      <c r="D20" s="163"/>
      <c r="E20" s="164" t="s">
        <v>177</v>
      </c>
      <c r="F20" s="103"/>
      <c r="G20" s="103"/>
      <c r="H20" s="103"/>
      <c r="I20" s="104"/>
    </row>
    <row r="21" spans="2:9" ht="218.25" customHeight="1" x14ac:dyDescent="0.15">
      <c r="B21" s="155" t="s">
        <v>178</v>
      </c>
      <c r="C21" s="156"/>
      <c r="D21" s="157"/>
      <c r="E21" s="159" t="s">
        <v>179</v>
      </c>
      <c r="F21" s="156"/>
      <c r="G21" s="156"/>
      <c r="H21" s="156"/>
      <c r="I21" s="157"/>
    </row>
    <row r="22" spans="2:9" ht="218.25" customHeight="1" x14ac:dyDescent="0.15">
      <c r="B22" s="153" t="s">
        <v>180</v>
      </c>
      <c r="C22" s="110"/>
      <c r="D22" s="111"/>
      <c r="E22" s="158" t="s">
        <v>181</v>
      </c>
      <c r="F22" s="110"/>
      <c r="G22" s="110"/>
      <c r="H22" s="110"/>
      <c r="I22" s="111"/>
    </row>
    <row r="23" spans="2:9" ht="22.5" customHeight="1" x14ac:dyDescent="0.15">
      <c r="B23" s="2"/>
      <c r="C23" s="2"/>
      <c r="D23" s="2"/>
      <c r="E23" s="2"/>
      <c r="F23" s="2"/>
      <c r="G23" s="2"/>
      <c r="H23" s="2"/>
      <c r="I23" s="2"/>
    </row>
    <row r="24" spans="2:9" ht="22.5" customHeight="1" x14ac:dyDescent="0.15">
      <c r="B24" s="2"/>
      <c r="C24" s="2"/>
      <c r="D24" s="2"/>
      <c r="E24" s="2"/>
      <c r="F24" s="2"/>
      <c r="G24" s="2"/>
      <c r="H24" s="2"/>
      <c r="I24" s="2"/>
    </row>
    <row r="25" spans="2:9" ht="22.5" customHeight="1" x14ac:dyDescent="0.15">
      <c r="B25" s="2"/>
      <c r="C25" s="2"/>
      <c r="D25" s="2"/>
      <c r="E25" s="2"/>
      <c r="F25" s="2"/>
      <c r="G25" s="2"/>
      <c r="H25" s="2"/>
      <c r="I25" s="2"/>
    </row>
    <row r="26" spans="2:9" ht="22.5" customHeight="1" x14ac:dyDescent="0.15">
      <c r="B26" s="2"/>
      <c r="C26" s="2"/>
      <c r="D26" s="2"/>
      <c r="E26" s="2"/>
      <c r="F26" s="2"/>
      <c r="G26" s="2"/>
      <c r="H26" s="2"/>
      <c r="I26" s="2"/>
    </row>
    <row r="27" spans="2:9" ht="22.5" customHeight="1" x14ac:dyDescent="0.15">
      <c r="B27" s="2"/>
      <c r="C27" s="2"/>
      <c r="D27" s="2"/>
      <c r="E27" s="2"/>
      <c r="F27" s="2"/>
      <c r="G27" s="2"/>
      <c r="H27" s="2"/>
      <c r="I27" s="2"/>
    </row>
    <row r="28" spans="2:9" ht="22.5" customHeight="1" x14ac:dyDescent="0.15">
      <c r="B28" s="73"/>
      <c r="C28" s="73"/>
      <c r="D28" s="73"/>
      <c r="E28" s="73"/>
      <c r="F28" s="73"/>
      <c r="G28" s="73"/>
      <c r="H28" s="73"/>
      <c r="I28" s="73"/>
    </row>
    <row r="29" spans="2:9" ht="22.5" customHeight="1" x14ac:dyDescent="0.15">
      <c r="B29" s="73"/>
      <c r="C29" s="73"/>
      <c r="D29" s="73"/>
      <c r="E29" s="73"/>
      <c r="F29" s="73"/>
      <c r="G29" s="73"/>
      <c r="H29" s="73"/>
      <c r="I29" s="73"/>
    </row>
    <row r="30" spans="2:9" ht="22.5" customHeight="1" x14ac:dyDescent="0.15">
      <c r="B30" s="73"/>
      <c r="C30" s="73"/>
      <c r="D30" s="73"/>
      <c r="E30" s="73"/>
      <c r="F30" s="73"/>
      <c r="G30" s="73"/>
      <c r="H30" s="73"/>
      <c r="I30" s="73"/>
    </row>
  </sheetData>
  <mergeCells count="22">
    <mergeCell ref="A3:I3"/>
    <mergeCell ref="E14:I14"/>
    <mergeCell ref="E17:I17"/>
    <mergeCell ref="C20:D20"/>
    <mergeCell ref="C16:D16"/>
    <mergeCell ref="E20:I20"/>
    <mergeCell ref="E13:I13"/>
    <mergeCell ref="E19:I19"/>
    <mergeCell ref="E15:I15"/>
    <mergeCell ref="E11:I11"/>
    <mergeCell ref="C17:D17"/>
    <mergeCell ref="E16:I16"/>
    <mergeCell ref="B11:D11"/>
    <mergeCell ref="C15:D15"/>
    <mergeCell ref="B6:H6"/>
    <mergeCell ref="C14:D14"/>
    <mergeCell ref="B22:D22"/>
    <mergeCell ref="C19:D19"/>
    <mergeCell ref="C13:D13"/>
    <mergeCell ref="B21:D21"/>
    <mergeCell ref="E22:I22"/>
    <mergeCell ref="E21:I21"/>
  </mergeCells>
  <phoneticPr fontId="1"/>
  <printOptions horizontalCentered="1"/>
  <pageMargins left="0.78740157480314965" right="0.78740157480314965" top="0.78740157480314965" bottom="0.59055118110236227" header="0.31496062992125978" footer="0.31496062992125978"/>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m_oonuma</cp:lastModifiedBy>
  <cp:lastPrinted>2025-06-26T05:41:18Z</cp:lastPrinted>
  <dcterms:created xsi:type="dcterms:W3CDTF">2011-06-14T05:32:50Z</dcterms:created>
  <dcterms:modified xsi:type="dcterms:W3CDTF">2025-07-02T09:31:27Z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