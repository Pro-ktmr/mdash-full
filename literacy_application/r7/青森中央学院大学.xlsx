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defaultThemeVersion="124226"/>
  <mc:AlternateContent xmlns:mc="http://schemas.openxmlformats.org/markup-compatibility/2006">
    <mc:Choice Requires="x15">
      <x15ac:absPath xmlns:x15ac="http://schemas.microsoft.com/office/spreadsheetml/2010/11/ac" url="https://aomoritnk.sharepoint.com/sites/msteams_7ca1a1/Shared Documents/General/2025年度/2505_数理・データサイエンス・AI教育プログラム認定制度（リテラシーレベル）申請/申請書類/青森中央学院大学/再提出データ/青森中央学院大学/01_青森中央学院大学_リテラシー/"/>
    </mc:Choice>
  </mc:AlternateContent>
  <xr:revisionPtr revIDLastSave="18" documentId="13_ncr:1_{41986C68-492B-49BC-8A4A-09E44ABA6B70}" xr6:coauthVersionLast="45" xr6:coauthVersionMax="47" xr10:uidLastSave="{A4C4A930-E088-480B-BB75-6D04890ED6EF}"/>
  <bookViews>
    <workbookView xWindow="0" yWindow="0" windowWidth="28800" windowHeight="15600" tabRatio="885" firstSheet="1" activeTab="1" xr2:uid="{00000000-000D-0000-FFFF-FFFF00000000}"/>
  </bookViews>
  <sheets>
    <sheet name="様式１－１　プログラムを構成する授業科目" sheetId="39" r:id="rId1"/>
    <sheet name="様式１ー２　プログラムを構成する授業科目" sheetId="45" r:id="rId2"/>
    <sheet name="様式２ 履修者等数の実績" sheetId="40" r:id="rId3"/>
    <sheet name="様式３ 教育の質・履修者数を向上させるための体制・計画" sheetId="41" r:id="rId4"/>
    <sheet name="様式４　自己点検・評価" sheetId="44" r:id="rId5"/>
  </sheets>
  <definedNames>
    <definedName name="_xlnm._FilterDatabase" localSheetId="0" hidden="1">'様式１－１　プログラムを構成する授業科目'!$X$16:$X$18</definedName>
    <definedName name="_xlnm._FilterDatabase" localSheetId="1" hidden="1">'様式１ー２　プログラムを構成する授業科目'!$X$16:$X$18</definedName>
    <definedName name="_xlnm._FilterDatabase" localSheetId="2" hidden="1">'様式２ 履修者等数の実績'!#REF!</definedName>
    <definedName name="_xlnm.Print_Area" localSheetId="0">'様式１－１　プログラムを構成する授業科目'!$A$1:$U$105</definedName>
    <definedName name="_xlnm.Print_Area" localSheetId="1">'様式１ー２　プログラムを構成する授業科目'!$A$1:$U$105</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2" i="44" l="1"/>
  <c r="C14" i="40"/>
  <c r="C13" i="40" l="1"/>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<sst xmlns="http://schemas.openxmlformats.org/spreadsheetml/2006/main" count="431" uniqueCount="207">
  <si>
    <t>様式１ー１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</si>
  <si>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</si>
  <si>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</si>
  <si>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青森中央学院大学</t>
    <rPh sb="0" eb="8">
      <t>アオモリチュウオウガクインダイガク</t>
    </rPh>
    <phoneticPr fontId="1"/>
  </si>
  <si>
    <t>プログラム名</t>
    <rPh sb="5" eb="6">
      <t>メイ</t>
    </rPh>
    <phoneticPr fontId="1"/>
  </si>
  <si>
    <t>データサイエンス・AI基礎プログラム</t>
    <rPh sb="9" eb="13">
      <t>エーアイキソ</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</si>
  <si>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</si>
  <si>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</si>
  <si>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</si>
  <si>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</si>
  <si>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経営法学部</t>
  </si>
  <si>
    <t>③ 修了要件</t>
    <phoneticPr fontId="1"/>
  </si>
  <si>
    <t>データサイエンス・AI基礎の2単位を取得すること</t>
    <rPh sb="9" eb="13">
      <t>エーアイキソ</t>
    </rPh>
    <rPh sb="15" eb="17">
      <t>タンイ</t>
    </rPh>
    <rPh sb="18" eb="20">
      <t>シュトク</t>
    </rPh>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</si>
  <si>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</si>
  <si>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</si>
  <si>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</si>
  <si>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</si>
  <si>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</si>
  <si>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</si>
  <si>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</si>
  <si>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</si>
  <si>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</si>
  <si>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</si>
  <si>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</si>
  <si>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</si>
  <si>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</si>
  <si>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</si>
  <si>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データサイエンス・AI基礎</t>
    <rPh sb="9" eb="13">
      <t>エーアイキソ</t>
    </rPh>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</si>
  <si>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</si>
  <si>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</si>
  <si>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</si>
  <si>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</si>
  <si>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</si>
  <si>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</si>
  <si>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</si>
  <si>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</si>
  <si>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</si>
  <si>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</si>
  <si>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</si>
  <si>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</si>
  <si>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</si>
  <si>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</si>
  <si>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</si>
  <si>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</si>
  <si>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</si>
  <si>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</si>
  <si>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</si>
  <si>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</si>
  <si>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</si>
  <si>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</si>
  <si>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</si>
  <si>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</si>
  <si>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</si>
  <si>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</si>
  <si>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</si>
  <si>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</si>
  <si>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</si>
  <si>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</si>
  <si>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ビッグデータ、AI「データサイエンス・AI基礎」（1回目）
IoT、知能革命、第４次産業革命、Society5.0、人間の知的活動とAIの関係性、データ駆動型社会「データサイエンス・AI基礎」（2回目）</t>
  </si>
  <si>
    <t>1-6</t>
    <phoneticPr fontId="1"/>
  </si>
  <si>
    <t>AI等を活用した新しいビジネスモデル、AI最新技術の活用例「データサイエンス・AI基礎」（8回目）</t>
  </si>
  <si>
    <t>（２）「社会で活用されているデータ」や「データの活用領域」は非常に広範囲であって、日常生活や社会の課題を解決する有用なツールになり得るもの</t>
    <phoneticPr fontId="1"/>
  </si>
  <si>
    <t>調査データ、実験データ、１次データ、２次データ、構造化データ、非構造化データ「データサイエンス・AI基礎」（3回目）</t>
  </si>
  <si>
    <t>データ・AI活用領域の広がり、研究開発、調達、製造、物流、販売、マーケティング、
仮説検証、知識発見、原因究明、計画策定、判断支援「データサイエンス・AI基礎」（4回目）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</si>
  <si>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</si>
  <si>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データサイエンスのサイクル「データサイエンス・AI基礎」（7回目）</t>
  </si>
  <si>
    <t>（４）活用に当たっての様々な留意事項（ELSI、個人情報、データ倫理、ＡＩ社会原則等）を考慮し、情報セキュリティや情報漏洩等、データを守る上での留意事項への理解をする</t>
    <phoneticPr fontId="1"/>
  </si>
  <si>
    <t>ELSI、個人情報保護、GDPR、忘れられる権利、オプトアウト、データ倫理、AI社会原則、AIサービスの責任論「データサイエンス・AI基礎」（14回目）</t>
  </si>
  <si>
    <t>情報セキュリティ、匿名加工情報、暗号化、パスワード、悪意ある情報搾取「データサイエンス・AI基礎」（15回目）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</si>
  <si>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</si>
  <si>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</si>
  <si>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データの種類、データの分布と代表値、代表値の性質の違い、データのばらつき「データサイエンス・AI基礎」（9回目）
相関と因果、クロス集計表、分割表、相関係数行列、散布図行列「データサイエンス・AI基礎」（10回目）</t>
  </si>
  <si>
    <t>データ表現、データの図表表現、データの比較、不適切なグラフ表現、優れた可視化事例の紹介「データサイエンス・AI基礎」（11回目）</t>
  </si>
  <si>
    <t>データの集計、データの並び替え「データサイエンス・AI基礎」（12回目）
データ解析ツール、表形式のデータ「データサイエンス・AI基礎」（13回目）</t>
    <phoneticPr fontId="1"/>
  </si>
  <si>
    <t>⑪ プログラムの学修成果（学生等が身に付けられる能力等）</t>
    <phoneticPr fontId="1"/>
  </si>
  <si>
    <t>データサイエンスの基礎知識を修得できる。
社会におけるデータ・AIの利活用について説明できる。
データリテラシーを修得できる。
データ・AI利活用における留意事項を説明できる。　</t>
    <phoneticPr fontId="1"/>
  </si>
  <si>
    <t>様式１－２</t>
    <rPh sb="0" eb="2">
      <t>ヨウシキ</t>
    </rPh>
    <phoneticPr fontId="1"/>
  </si>
  <si>
    <t>看護学部</t>
    <rPh sb="0" eb="2">
      <t>カンゴ</t>
    </rPh>
    <rPh sb="2" eb="4">
      <t>ガクブ</t>
    </rPh>
    <phoneticPr fontId="1"/>
  </si>
  <si>
    <t>情報処理Ⅰの2単位を取得すること
情報処理Ⅱの1単位を取得すること</t>
    <phoneticPr fontId="1"/>
  </si>
  <si>
    <t>情報処理Ⅰ</t>
    <rPh sb="0" eb="2">
      <t>ジョウホウ</t>
    </rPh>
    <rPh sb="2" eb="4">
      <t>ショリ</t>
    </rPh>
    <phoneticPr fontId="1"/>
  </si>
  <si>
    <t>情報処理Ⅰ</t>
    <phoneticPr fontId="1"/>
  </si>
  <si>
    <r>
      <t>情報処理</t>
    </r>
    <r>
      <rPr>
        <sz val="12"/>
        <color theme="1"/>
        <rFont val="ＭＳ Ｐゴシック"/>
        <family val="3"/>
        <charset val="128"/>
      </rPr>
      <t>Ⅱ</t>
    </r>
    <phoneticPr fontId="1"/>
  </si>
  <si>
    <t>情報処理Ⅱ</t>
  </si>
  <si>
    <t>ビッグデータ、AI「情報処理I」（30回目）</t>
    <rPh sb="10" eb="12">
      <t>ジョウホウ</t>
    </rPh>
    <rPh sb="12" eb="14">
      <t>ショリ</t>
    </rPh>
    <rPh sb="19" eb="21">
      <t>カイメ</t>
    </rPh>
    <phoneticPr fontId="1"/>
  </si>
  <si>
    <t>AI最新技術の活用例「情報処理I」（30回目）</t>
  </si>
  <si>
    <t>（２）「社会で活用されているデータ」や「データの活用領域」は非常に広範囲であって、日常生活や社会の課題を解決する有用なツールになり得るもの</t>
  </si>
  <si>
    <t>データ・AI活用領域の広がり「情報処理I」（30回目）</t>
    <rPh sb="6" eb="8">
      <t>カツヨウ</t>
    </rPh>
    <rPh sb="8" eb="10">
      <t>リョウイキ</t>
    </rPh>
    <rPh sb="11" eb="12">
      <t>ヒロ</t>
    </rPh>
    <phoneticPr fontId="1"/>
  </si>
  <si>
    <t>（３）様々なデータ利活用の現場におけるデータ利活用事例が示され、様々な適用領域（流通、製造、金融、サービス、インフラ、公共、ヘルスケア等）の知見と組み合わせることで価値を創出するもの</t>
  </si>
  <si>
    <r>
      <rPr>
        <sz val="9"/>
        <color rgb="FF000000"/>
        <rFont val="ＭＳ Ｐゴシック"/>
        <family val="3"/>
        <charset val="128"/>
        <scheme val="minor"/>
      </rPr>
      <t>データサイエンスのサイクル「情報処理Ⅱ」（1回目）</t>
    </r>
  </si>
  <si>
    <r>
      <rPr>
        <sz val="9"/>
        <color rgb="FF000000"/>
        <rFont val="ＭＳ Ｐゴシック"/>
        <family val="3"/>
        <charset val="128"/>
        <scheme val="minor"/>
      </rPr>
      <t>データの種類、データの分布と代表値、代表値の性質の違い「情報処理Ⅱ」（6回目）</t>
    </r>
  </si>
  <si>
    <r>
      <rPr>
        <sz val="9"/>
        <color rgb="FF000000"/>
        <rFont val="ＭＳ Ｐゴシック"/>
        <family val="3"/>
        <charset val="128"/>
        <scheme val="minor"/>
      </rPr>
      <t>データの集計、データの並び替え、データ解析ツール、表形式のデータ「情報処理Ⅱ」（2回目、3回目、15回目）</t>
    </r>
  </si>
  <si>
    <r>
      <rPr>
        <sz val="12"/>
        <color rgb="FF000000"/>
        <rFont val="ＭＳ Ｐゴシック"/>
        <family val="3"/>
        <charset val="128"/>
        <scheme val="minor"/>
      </rPr>
      <t>情報処理Ⅰ：ワープロ、表計算、プレゼンテーションソフトを使ってレポートを書くことやセキュリティ・情報モラルなど大学生として必要な知識やスキルを身に着ける。
情報処理Ⅱ：Excelを用いて、アンケートデータなどを入力・集計・加工しその特徴をグラフで確認したり、仮説検定を用いて有用な結論を得ることができるようになる。</t>
    </r>
  </si>
  <si>
    <t>様式２</t>
    <phoneticPr fontId="1"/>
  </si>
  <si>
    <t>リテラシーレベルのプログラムの履修者数等の実績について</t>
    <phoneticPr fontId="1"/>
  </si>
  <si>
    <t>①プログラム開設年度</t>
    <rPh sb="6" eb="8">
      <t>カイセツ</t>
    </rPh>
    <rPh sb="8" eb="10">
      <t>ネンド</t>
    </rPh>
    <phoneticPr fontId="1"/>
  </si>
  <si>
    <t>令和6</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</si>
  <si>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</si>
  <si>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</si>
  <si>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</si>
  <si>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</si>
  <si>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</si>
  <si>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</si>
  <si>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</si>
  <si>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</si>
  <si>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</si>
  <si>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</si>
  <si>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</si>
  <si>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</si>
  <si>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</si>
  <si>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</si>
  <si>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</si>
  <si>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</si>
  <si>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</si>
  <si>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</si>
  <si>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</si>
  <si>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</si>
  <si>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</si>
  <si>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</si>
  <si>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</si>
  <si>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</si>
  <si>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</si>
  <si>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経営法学部</t>
    <rPh sb="0" eb="2">
      <t>ケイエイ</t>
    </rPh>
    <rPh sb="2" eb="5">
      <t>ホウガクブ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</si>
  <si>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</si>
  <si>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</si>
  <si>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</si>
  <si>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</si>
  <si>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</si>
  <si>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</si>
  <si>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</si>
  <si>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</si>
  <si>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</si>
  <si>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</si>
  <si>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</si>
  <si>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</si>
  <si>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</si>
  <si>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大泉　常長</t>
    <rPh sb="0" eb="2">
      <t>オオイズミ</t>
    </rPh>
    <rPh sb="3" eb="5">
      <t>ツネナガ</t>
    </rPh>
    <phoneticPr fontId="1"/>
  </si>
  <si>
    <t>（役職名）</t>
    <rPh sb="1" eb="4">
      <t>ヤクショクメイ</t>
    </rPh>
    <phoneticPr fontId="1"/>
  </si>
  <si>
    <t>基幹教育センター長</t>
    <rPh sb="0" eb="2">
      <t>キカン</t>
    </rPh>
    <rPh sb="2" eb="4">
      <t>キョウイク</t>
    </rPh>
    <rPh sb="8" eb="9">
      <t>チョウ</t>
    </rPh>
    <phoneticPr fontId="1"/>
  </si>
  <si>
    <t>④</t>
    <phoneticPr fontId="1"/>
  </si>
  <si>
    <t>プログラムを改善・進化させるための体制（委員会・組織等）</t>
    <phoneticPr fontId="1"/>
  </si>
  <si>
    <t>基幹教育センター</t>
    <rPh sb="0" eb="2">
      <t>キカン</t>
    </rPh>
    <rPh sb="2" eb="4">
      <t>キョウイク</t>
    </rPh>
    <phoneticPr fontId="1"/>
  </si>
  <si>
    <t>基幹教育センター長</t>
    <rPh sb="0" eb="4">
      <t>キカンキョウイク</t>
    </rPh>
    <rPh sb="8" eb="9">
      <t>チョウ</t>
    </rPh>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</si>
  <si>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</si>
  <si>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</si>
  <si>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</si>
  <si>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</si>
  <si>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学校法人青森田中学園各設置校における、今後必要となる教育内容、および、答申等に示された求められる教育内容について、本学への導入に向けた情報収集と課題の整理をおこなうための共同利用機関として基幹教育センターを置く。センターは、これらの目的を達成するために、次の事業を行う。（１）学園設置校における数理、データサイエンス、ＡＩ教育の導入に関すること。（２）設置校・学部を横断する教育の導入に関すること。（３）ICTを活用した教育の導入に関すること。</t>
    <phoneticPr fontId="1"/>
  </si>
  <si>
    <t>⑦</t>
    <phoneticPr fontId="1"/>
  </si>
  <si>
    <t>具体的な構成員</t>
    <rPh sb="0" eb="3">
      <t>グタイテキ</t>
    </rPh>
    <rPh sb="4" eb="7">
      <t>コウセイイン</t>
    </rPh>
    <phoneticPr fontId="1"/>
  </si>
  <si>
    <t>基幹教育センター長（経営法学部　教授）　大泉　常長
経営法学部　准教授　木村　隆雄
経営法学部　准教授　山本　俊
経営法学部　准教授　楠山　大暁
経営法学部　准教授　中村　智行
経営法学部　講師　新免　圭介
経営法学部　講師　畠山　光史
看護学部　教授　玉熊　和子
看護学部　准教授　藤澤　珠織
食物栄養学科　教授　棟方　秀和
幼児保育学科　教授　鈴木　寛康
事務局　局長　石田　壮平
事務局　次長（学事担当）　石田　智久
事務局　学務課リーダー　坂本　貴行
事務局　企画課長　石田　光
事務局　企画課情報システム部門リーダー　石山　直敬
事務局　企画課情報システム部門　柿﨑　雄希</t>
    <rPh sb="0" eb="4">
      <t>キカンキョウイク</t>
    </rPh>
    <rPh sb="8" eb="9">
      <t>チョウ</t>
    </rPh>
    <rPh sb="10" eb="12">
      <t>ケイエイ</t>
    </rPh>
    <rPh sb="12" eb="15">
      <t>ホウガクブ</t>
    </rPh>
    <rPh sb="16" eb="18">
      <t>キョウジュ</t>
    </rPh>
    <rPh sb="20" eb="22">
      <t>オオイズミ</t>
    </rPh>
    <rPh sb="23" eb="25">
      <t>ツネナガ</t>
    </rPh>
    <rPh sb="26" eb="28">
      <t>ケイエイ</t>
    </rPh>
    <rPh sb="28" eb="31">
      <t>ホウガクブ</t>
    </rPh>
    <rPh sb="32" eb="35">
      <t>ジュンキョウジュ</t>
    </rPh>
    <rPh sb="36" eb="38">
      <t>キムラ</t>
    </rPh>
    <rPh sb="39" eb="41">
      <t>タカオ</t>
    </rPh>
    <rPh sb="42" eb="44">
      <t>ケイエイ</t>
    </rPh>
    <rPh sb="44" eb="47">
      <t>ホウガクブ</t>
    </rPh>
    <rPh sb="48" eb="51">
      <t>ジュンキョウジュ</t>
    </rPh>
    <rPh sb="52" eb="54">
      <t>ヤマモト</t>
    </rPh>
    <rPh sb="55" eb="56">
      <t>シュン</t>
    </rPh>
    <rPh sb="57" eb="59">
      <t>ケイエイ</t>
    </rPh>
    <rPh sb="59" eb="62">
      <t>ホウガクブ</t>
    </rPh>
    <rPh sb="63" eb="66">
      <t>ジュンキョウジュ</t>
    </rPh>
    <rPh sb="67" eb="69">
      <t>クスヤマ</t>
    </rPh>
    <rPh sb="70" eb="71">
      <t>ダイ</t>
    </rPh>
    <rPh sb="71" eb="72">
      <t>アカツキ</t>
    </rPh>
    <rPh sb="73" eb="75">
      <t>ケイエイ</t>
    </rPh>
    <rPh sb="75" eb="78">
      <t>ホウガクブ</t>
    </rPh>
    <rPh sb="79" eb="82">
      <t>ジュンキョウジュ</t>
    </rPh>
    <rPh sb="83" eb="85">
      <t>ナカムラ</t>
    </rPh>
    <rPh sb="86" eb="88">
      <t>トモユキ</t>
    </rPh>
    <rPh sb="89" eb="91">
      <t>ケイエイ</t>
    </rPh>
    <rPh sb="91" eb="94">
      <t>ホウガクブ</t>
    </rPh>
    <rPh sb="95" eb="97">
      <t>コウシ</t>
    </rPh>
    <rPh sb="98" eb="100">
      <t>シンメン</t>
    </rPh>
    <rPh sb="101" eb="103">
      <t>ケイスケ</t>
    </rPh>
    <rPh sb="119" eb="121">
      <t>カンゴ</t>
    </rPh>
    <rPh sb="121" eb="123">
      <t>ガクブ</t>
    </rPh>
    <rPh sb="124" eb="126">
      <t>キョウジュ</t>
    </rPh>
    <rPh sb="127" eb="129">
      <t>タマクマ</t>
    </rPh>
    <rPh sb="130" eb="132">
      <t>カズコ</t>
    </rPh>
    <rPh sb="133" eb="135">
      <t>カンゴ</t>
    </rPh>
    <rPh sb="135" eb="137">
      <t>ガクブ</t>
    </rPh>
    <rPh sb="138" eb="141">
      <t>ジュンキョウジュ</t>
    </rPh>
    <rPh sb="148" eb="150">
      <t>ショクモツ</t>
    </rPh>
    <rPh sb="150" eb="152">
      <t>エイヨウ</t>
    </rPh>
    <rPh sb="152" eb="154">
      <t>ガッカ</t>
    </rPh>
    <rPh sb="155" eb="157">
      <t>キョウジュ</t>
    </rPh>
    <rPh sb="164" eb="166">
      <t>ヨウジ</t>
    </rPh>
    <rPh sb="166" eb="168">
      <t>ホイク</t>
    </rPh>
    <rPh sb="168" eb="170">
      <t>ガッカ</t>
    </rPh>
    <rPh sb="171" eb="173">
      <t>キョウジュ</t>
    </rPh>
    <rPh sb="180" eb="182">
      <t>ジム</t>
    </rPh>
    <rPh sb="184" eb="186">
      <t>キョクチョウ</t>
    </rPh>
    <rPh sb="187" eb="189">
      <t>イシダ</t>
    </rPh>
    <rPh sb="190" eb="192">
      <t>ソウヘイ</t>
    </rPh>
    <rPh sb="230" eb="233">
      <t>ジムキョク</t>
    </rPh>
    <rPh sb="234" eb="236">
      <t>キカク</t>
    </rPh>
    <rPh sb="236" eb="238">
      <t>カチョウ</t>
    </rPh>
    <rPh sb="239" eb="241">
      <t>イシダ</t>
    </rPh>
    <rPh sb="242" eb="243">
      <t>ヒカル</t>
    </rPh>
    <rPh sb="244" eb="247">
      <t>ジムキョク</t>
    </rPh>
    <rPh sb="264" eb="266">
      <t>イシヤマ</t>
    </rPh>
    <rPh sb="267" eb="268">
      <t>チョク</t>
    </rPh>
    <phoneticPr fontId="1"/>
  </si>
  <si>
    <t>⑧</t>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</si>
  <si>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</si>
  <si>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</si>
  <si>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</si>
  <si>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</si>
  <si>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</si>
  <si>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</si>
  <si>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</si>
  <si>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</si>
  <si>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</si>
  <si>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センターの設置により、全学的な教育コンテンツ作成を支援し、プログラムの基礎部分である「データサイエンス・AI基礎」（経営法学部）および「情報処理I」（看護学部）においては全学生が受講できるように必修科目とし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</si>
  <si>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</si>
  <si>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</si>
  <si>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後のオリエンテーション、在学生の始業ガイダンス、大学ホームページなどで、学生にプログラムを受講することの意義を周知している。学生便覧に本プログラムに属する科目のカリキュラムマップおよびカリキュラムツリーなどを掲載して、学生が情報を受け取りやすい環境を整備している。</t>
    <rPh sb="0" eb="3">
      <t>ニュウガクゴ</t>
    </rPh>
    <rPh sb="14" eb="17">
      <t>ザイガクセイ</t>
    </rPh>
    <rPh sb="18" eb="20">
      <t>シギョウ</t>
    </rPh>
    <rPh sb="26" eb="28">
      <t>ダイガク</t>
    </rPh>
    <rPh sb="38" eb="40">
      <t>ガクセイ</t>
    </rPh>
    <rPh sb="47" eb="49">
      <t>ジュコウ</t>
    </rPh>
    <rPh sb="54" eb="56">
      <t>イギ</t>
    </rPh>
    <rPh sb="57" eb="59">
      <t>シュウチ</t>
    </rPh>
    <rPh sb="64" eb="66">
      <t>ガクセイ</t>
    </rPh>
    <rPh sb="66" eb="68">
      <t>ビンラン</t>
    </rPh>
    <rPh sb="69" eb="70">
      <t>ホン</t>
    </rPh>
    <rPh sb="76" eb="77">
      <t>ゾク</t>
    </rPh>
    <rPh sb="79" eb="81">
      <t>カモク</t>
    </rPh>
    <rPh sb="106" eb="108">
      <t>ケイサイ</t>
    </rPh>
    <rPh sb="111" eb="113">
      <t>ガクセイ</t>
    </rPh>
    <rPh sb="114" eb="116">
      <t>ジョウホウ</t>
    </rPh>
    <rPh sb="117" eb="118">
      <t>ウ</t>
    </rPh>
    <rPh sb="119" eb="120">
      <t>ト</t>
    </rPh>
    <rPh sb="124" eb="126">
      <t>カンキョウ</t>
    </rPh>
    <rPh sb="127" eb="129">
      <t>セイビ</t>
    </rPh>
    <phoneticPr fontId="1"/>
  </si>
  <si>
    <t>⑪</t>
    <phoneticPr fontId="1"/>
  </si>
  <si>
    <t>できる限り多くの学生が履修・修得できるようなサポート体制</t>
    <rPh sb="26" eb="28">
      <t>タイセイ</t>
    </rPh>
    <phoneticPr fontId="1"/>
  </si>
  <si>
    <t>本教育プログラムの授業について、「データサイエンス・AI基礎」の授業用Teams上で授業資料をPDFファイルで学生に共有し、また演習課題についても問題文・課題データなどをTeamsを通じて情報共有し、多くの学生がいつでも講義資料などの閲覧が可能な環境を構築している。</t>
    <rPh sb="0" eb="1">
      <t>ホン</t>
    </rPh>
    <rPh sb="1" eb="3">
      <t>キョウイク</t>
    </rPh>
    <rPh sb="9" eb="11">
      <t>ジュギョウ</t>
    </rPh>
    <rPh sb="26" eb="30">
      <t>エーアイキソ</t>
    </rPh>
    <rPh sb="32" eb="34">
      <t>ジュギョウ</t>
    </rPh>
    <rPh sb="34" eb="35">
      <t>ヨウ</t>
    </rPh>
    <rPh sb="40" eb="41">
      <t>ジョウ</t>
    </rPh>
    <rPh sb="42" eb="44">
      <t>ジュギョウ</t>
    </rPh>
    <rPh sb="44" eb="46">
      <t>シリョウ</t>
    </rPh>
    <rPh sb="55" eb="57">
      <t>ガクセイ</t>
    </rPh>
    <rPh sb="58" eb="60">
      <t>キョウユウ</t>
    </rPh>
    <rPh sb="64" eb="66">
      <t>エンシュウ</t>
    </rPh>
    <rPh sb="66" eb="68">
      <t>カダイ</t>
    </rPh>
    <rPh sb="73" eb="76">
      <t>モンダイブン</t>
    </rPh>
    <rPh sb="77" eb="79">
      <t>カダイ</t>
    </rPh>
    <rPh sb="91" eb="92">
      <t>ツウ</t>
    </rPh>
    <rPh sb="94" eb="96">
      <t>ジョウホウ</t>
    </rPh>
    <rPh sb="96" eb="98">
      <t>キョウユウ</t>
    </rPh>
    <rPh sb="100" eb="101">
      <t>オオ</t>
    </rPh>
    <rPh sb="103" eb="105">
      <t>ガクセイ</t>
    </rPh>
    <rPh sb="110" eb="112">
      <t>コウギ</t>
    </rPh>
    <rPh sb="112" eb="114">
      <t>シリョウ</t>
    </rPh>
    <rPh sb="117" eb="119">
      <t>エツラン</t>
    </rPh>
    <rPh sb="120" eb="122">
      <t>カノウ</t>
    </rPh>
    <rPh sb="123" eb="125">
      <t>カンキョウ</t>
    </rPh>
    <rPh sb="126" eb="128">
      <t>コウチク</t>
    </rPh>
    <phoneticPr fontId="1"/>
  </si>
  <si>
    <t>⑫</t>
    <phoneticPr fontId="1"/>
  </si>
  <si>
    <t>授業時間内外で学習指導、質問を受け付ける具体的な仕組み</t>
    <rPh sb="20" eb="23">
      <t>グタイテキ</t>
    </rPh>
    <phoneticPr fontId="1"/>
  </si>
  <si>
    <t>本教育プログラムの授業についての履修を本学ポータルサイトにて管理し、学生は授業時間以外に不明点などをTeamsのチャット機能を通じて確認することができ、質問は主として授業担当教員を通じて返答する体制を整備している。</t>
    <rPh sb="0" eb="1">
      <t>ホン</t>
    </rPh>
    <rPh sb="1" eb="3">
      <t>キョウイク</t>
    </rPh>
    <rPh sb="9" eb="11">
      <t>ジュギョウ</t>
    </rPh>
    <rPh sb="16" eb="18">
      <t>リシュウ</t>
    </rPh>
    <rPh sb="19" eb="21">
      <t>ホンガク</t>
    </rPh>
    <rPh sb="30" eb="32">
      <t>カンリ</t>
    </rPh>
    <rPh sb="34" eb="36">
      <t>ガクセイ</t>
    </rPh>
    <rPh sb="37" eb="39">
      <t>ジュギョウ</t>
    </rPh>
    <rPh sb="39" eb="41">
      <t>ジカン</t>
    </rPh>
    <rPh sb="41" eb="43">
      <t>イガイ</t>
    </rPh>
    <rPh sb="44" eb="47">
      <t>フメイテン</t>
    </rPh>
    <rPh sb="60" eb="62">
      <t>キノウ</t>
    </rPh>
    <rPh sb="63" eb="64">
      <t>ツウ</t>
    </rPh>
    <rPh sb="66" eb="68">
      <t>カクニン</t>
    </rPh>
    <rPh sb="76" eb="78">
      <t>シツモン</t>
    </rPh>
    <rPh sb="79" eb="80">
      <t>シュ</t>
    </rPh>
    <rPh sb="83" eb="85">
      <t>ジュギョウ</t>
    </rPh>
    <rPh sb="85" eb="87">
      <t>タントウ</t>
    </rPh>
    <rPh sb="87" eb="89">
      <t>キョウイン</t>
    </rPh>
    <rPh sb="90" eb="91">
      <t>ツウ</t>
    </rPh>
    <rPh sb="93" eb="95">
      <t>ヘントウ</t>
    </rPh>
    <rPh sb="97" eb="99">
      <t>タイセイ</t>
    </rPh>
    <rPh sb="100" eb="102">
      <t>セイビ</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</si>
  <si>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</si>
  <si>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</si>
  <si>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</si>
  <si>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</si>
  <si>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基幹教育センター</t>
    <rPh sb="0" eb="4">
      <t>キカンキョウイク</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</si>
  <si>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</si>
  <si>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</si>
  <si>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</si>
  <si>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</si>
  <si>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</si>
  <si>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</si>
  <si>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</si>
  <si>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</si>
  <si>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では、全学必修科目として実施しているため、推奨の度合いによって履修者に変化はないが、授業改善アンケートの結果を基幹教育センターで分析し、後輩学生の授業時に修得に対するモチベーション向上の観点からも授業改善を検討している。</t>
    <rPh sb="0" eb="2">
      <t>ホンガク</t>
    </rPh>
    <rPh sb="5" eb="7">
      <t>ゼンガク</t>
    </rPh>
    <rPh sb="7" eb="11">
      <t>ヒッシュウカモク</t>
    </rPh>
    <rPh sb="14" eb="16">
      <t>ジッシ</t>
    </rPh>
    <rPh sb="23" eb="25">
      <t>スイショウ</t>
    </rPh>
    <rPh sb="26" eb="28">
      <t>ドア</t>
    </rPh>
    <rPh sb="33" eb="36">
      <t>リシュウシャ</t>
    </rPh>
    <rPh sb="37" eb="39">
      <t>ヘンカ</t>
    </rPh>
    <rPh sb="44" eb="48">
      <t>ジュギョウカイゼン</t>
    </rPh>
    <rPh sb="54" eb="56">
      <t>ケッカ</t>
    </rPh>
    <rPh sb="57" eb="61">
      <t>キカンキョウイク</t>
    </rPh>
    <rPh sb="66" eb="68">
      <t>ブンセキ</t>
    </rPh>
    <rPh sb="70" eb="74">
      <t>コウハイガクセイ</t>
    </rPh>
    <rPh sb="75" eb="78">
      <t>ジュギョウジ</t>
    </rPh>
    <rPh sb="79" eb="81">
      <t>シュウトク</t>
    </rPh>
    <rPh sb="82" eb="83">
      <t>タイ</t>
    </rPh>
    <rPh sb="92" eb="94">
      <t>コウジョウ</t>
    </rPh>
    <rPh sb="95" eb="97">
      <t>カンテン</t>
    </rPh>
    <rPh sb="100" eb="104">
      <t>ジュギョウカイゼン</t>
    </rPh>
    <rPh sb="105" eb="107">
      <t>ケントウ</t>
    </rPh>
    <phoneticPr fontId="1"/>
  </si>
  <si>
    <t>全学的な履修者数、履修率向上に向けた計画の達成・進捗状況</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</si>
  <si>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</si>
  <si>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</si>
  <si>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</si>
  <si>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</si>
  <si>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</si>
  <si>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基幹教育センターにて、授業改善アンケートの意見を参考に、学生の「分かりやすさ」の観点から講義の内容・実施方法の見直しを行っている。例えば、令和7年度からはクラスサイズを調整し「データサイエンス・AI基礎」については2クラス開講とすることで学修効果の向上を図っている。</t>
    <rPh sb="0" eb="2">
      <t>キカン</t>
    </rPh>
    <rPh sb="2" eb="4">
      <t>キョウイク</t>
    </rPh>
    <rPh sb="11" eb="13">
      <t>ジュギョウ</t>
    </rPh>
    <rPh sb="13" eb="15">
      <t>カイゼン</t>
    </rPh>
    <rPh sb="21" eb="23">
      <t>イケン</t>
    </rPh>
    <rPh sb="24" eb="26">
      <t>サンコウ</t>
    </rPh>
    <rPh sb="28" eb="30">
      <t>ガクセイ</t>
    </rPh>
    <rPh sb="32" eb="33">
      <t>ワ</t>
    </rPh>
    <rPh sb="40" eb="42">
      <t>カンテン</t>
    </rPh>
    <rPh sb="44" eb="46">
      <t>コウギ</t>
    </rPh>
    <rPh sb="47" eb="49">
      <t>ナイヨウ</t>
    </rPh>
    <rPh sb="50" eb="52">
      <t>ジッシ</t>
    </rPh>
    <rPh sb="52" eb="54">
      <t>ホウホウ</t>
    </rPh>
    <rPh sb="55" eb="57">
      <t>ミナオ</t>
    </rPh>
    <rPh sb="59" eb="60">
      <t>オコナ</t>
    </rPh>
    <rPh sb="65" eb="66">
      <t>タト</t>
    </rPh>
    <rPh sb="69" eb="71">
      <t>レイワ</t>
    </rPh>
    <rPh sb="72" eb="74">
      <t>ネンド</t>
    </rPh>
    <rPh sb="84" eb="86">
      <t>チョウセイ</t>
    </rPh>
    <rPh sb="97" eb="101">
      <t>エーアイキソ</t>
    </rPh>
    <rPh sb="111" eb="113">
      <t>カイコウ</t>
    </rPh>
    <rPh sb="119" eb="121">
      <t>ガクシュウ</t>
    </rPh>
    <rPh sb="121" eb="123">
      <t>コウカ</t>
    </rPh>
    <rPh sb="124" eb="126">
      <t>コウジョウ</t>
    </rPh>
    <rPh sb="127" eb="128">
      <t>ハカ</t>
    </rPh>
    <phoneticPr fontId="1"/>
  </si>
  <si>
    <t>全学必修科目として実施し、単位修得率は97.5％となった。
また、演習課題の回答状況については、一部学生において遅れがあったものの、最終的には単位修得学生においてはすべての演習課題を回答した。</t>
    <rPh sb="0" eb="2">
      <t xml:space="preserve">ゼンガク </t>
    </rPh>
    <rPh sb="2" eb="6">
      <t xml:space="preserve">ゼンガクヒッシュウカモク </t>
    </rPh>
    <rPh sb="9" eb="11">
      <t xml:space="preserve">ジッシ </t>
    </rPh>
    <rPh sb="13" eb="15">
      <t xml:space="preserve">タンイ </t>
    </rPh>
    <rPh sb="15" eb="17">
      <t xml:space="preserve">シュウトク </t>
    </rPh>
    <rPh sb="17" eb="18">
      <t xml:space="preserve">リツ </t>
    </rPh>
    <rPh sb="29" eb="30">
      <t>キカン</t>
    </rPh>
    <rPh sb="33" eb="37">
      <t xml:space="preserve">エンシュウカダイ </t>
    </rPh>
    <rPh sb="38" eb="42">
      <t xml:space="preserve">カイトウジョウキョウ </t>
    </rPh>
    <rPh sb="48" eb="50">
      <t xml:space="preserve">イチブ </t>
    </rPh>
    <rPh sb="50" eb="52">
      <t xml:space="preserve">ガクセイ </t>
    </rPh>
    <rPh sb="56" eb="57">
      <t xml:space="preserve">オクレガ </t>
    </rPh>
    <rPh sb="66" eb="69">
      <t xml:space="preserve">サイシュウテキニハ </t>
    </rPh>
    <rPh sb="71" eb="75">
      <t xml:space="preserve">タンイシュウトク </t>
    </rPh>
    <rPh sb="75" eb="77">
      <t xml:space="preserve">ガクセイ </t>
    </rPh>
    <rPh sb="86" eb="88">
      <t xml:space="preserve">エンシュウ </t>
    </rPh>
    <rPh sb="88" eb="90">
      <t xml:space="preserve">カダイ </t>
    </rPh>
    <rPh sb="91" eb="93">
      <t xml:space="preserve">カイトウ </t>
    </rPh>
    <phoneticPr fontId="1"/>
  </si>
  <si>
    <t>学修成果等アンケートの結果を見ると、
経営法学部においては、DPに基づく全24項目の学習目標のうち、本プログラムに関連する「多様性の尊重」は全体で1番目、「広い視野からの理解」は14番目、「変化と備えるべき能力の理解」は11番目、「数量的スキル」は16番目という結果になった。
看護学部においては、DPに基づく全20項目の学習目標のうち、本プログラムに関連する「人間と社会、自然への理解」は全体で3番目、「科学的判断の理解」は全体で18番目、「課題解決力」は全体で13番目という結果になった。
数理・データサイエンス・AIに関する知識の必要性についてはある程度理解が進んだものの、自身のスキルや科学的思考に関しては自信がない状況であることが読み取れ、この結果を踏まえ改善を行っていく必要があることを確認した。</t>
    <rPh sb="0" eb="5">
      <t xml:space="preserve">ガクシュウセイカトウ </t>
    </rPh>
    <rPh sb="11" eb="13">
      <t xml:space="preserve">ケッカ </t>
    </rPh>
    <rPh sb="14" eb="15">
      <t xml:space="preserve">ミルト </t>
    </rPh>
    <rPh sb="18" eb="19">
      <t>ホン</t>
    </rPh>
    <rPh sb="19" eb="23">
      <t xml:space="preserve">ケイエイホウガク </t>
    </rPh>
    <rPh sb="23" eb="24">
      <t xml:space="preserve">ブ </t>
    </rPh>
    <rPh sb="33" eb="34">
      <t xml:space="preserve">モトヅク </t>
    </rPh>
    <rPh sb="36" eb="37">
      <t xml:space="preserve">ゼン </t>
    </rPh>
    <rPh sb="39" eb="41">
      <t xml:space="preserve">コウモク </t>
    </rPh>
    <rPh sb="42" eb="46">
      <t xml:space="preserve">ガクシュウモクヒョウ </t>
    </rPh>
    <rPh sb="50" eb="51">
      <t xml:space="preserve">ホンプログラムニ </t>
    </rPh>
    <rPh sb="57" eb="59">
      <t xml:space="preserve">カンレンスル </t>
    </rPh>
    <rPh sb="62" eb="65">
      <t xml:space="preserve">タヨウセイノ </t>
    </rPh>
    <rPh sb="66" eb="68">
      <t xml:space="preserve">ソンチョウ </t>
    </rPh>
    <rPh sb="70" eb="72">
      <t xml:space="preserve">ゼンタイ </t>
    </rPh>
    <rPh sb="74" eb="76">
      <t xml:space="preserve">バンメニ </t>
    </rPh>
    <rPh sb="78" eb="79">
      <t xml:space="preserve">ヒロイシヤ </t>
    </rPh>
    <rPh sb="85" eb="87">
      <t xml:space="preserve">リカイ </t>
    </rPh>
    <rPh sb="91" eb="93">
      <t xml:space="preserve">バンメ </t>
    </rPh>
    <rPh sb="95" eb="97">
      <t xml:space="preserve">ヘンカ </t>
    </rPh>
    <rPh sb="98" eb="99">
      <t xml:space="preserve">ソナエルベキ </t>
    </rPh>
    <rPh sb="103" eb="105">
      <t xml:space="preserve">ノウリョク </t>
    </rPh>
    <rPh sb="106" eb="108">
      <t xml:space="preserve">リカイ </t>
    </rPh>
    <rPh sb="112" eb="114">
      <t xml:space="preserve">バンメ </t>
    </rPh>
    <rPh sb="116" eb="119">
      <t xml:space="preserve">スウリョウテキ </t>
    </rPh>
    <rPh sb="126" eb="128">
      <t xml:space="preserve">バンメ </t>
    </rPh>
    <rPh sb="131" eb="133">
      <t xml:space="preserve">ケッカ </t>
    </rPh>
    <rPh sb="139" eb="141">
      <t xml:space="preserve">カンゴ </t>
    </rPh>
    <rPh sb="141" eb="143">
      <t xml:space="preserve">ガクブ </t>
    </rPh>
    <rPh sb="158" eb="159">
      <t>ジュギョウ</t>
    </rPh>
    <rPh sb="163" eb="165">
      <t>ジッシ</t>
    </rPh>
    <rPh sb="169" eb="171">
      <t>ジュギョウ</t>
    </rPh>
    <rPh sb="171" eb="173">
      <t>カイゼン</t>
    </rPh>
    <rPh sb="181" eb="183">
      <t xml:space="preserve">ニンゲント </t>
    </rPh>
    <rPh sb="184" eb="186">
      <t xml:space="preserve">シャカイ </t>
    </rPh>
    <rPh sb="187" eb="189">
      <t xml:space="preserve">シゼン </t>
    </rPh>
    <rPh sb="191" eb="193">
      <t xml:space="preserve">リカイ </t>
    </rPh>
    <rPh sb="193" eb="194">
      <t>ラン</t>
    </rPh>
    <rPh sb="196" eb="198">
      <t>コウモク</t>
    </rPh>
    <rPh sb="199" eb="201">
      <t>ブンセキ</t>
    </rPh>
    <rPh sb="203" eb="206">
      <t xml:space="preserve">カガクテキ </t>
    </rPh>
    <rPh sb="206" eb="208">
      <t xml:space="preserve">ハンダン </t>
    </rPh>
    <rPh sb="209" eb="211">
      <t xml:space="preserve">リカイ </t>
    </rPh>
    <rPh sb="211" eb="213">
      <t>ガクセイ</t>
    </rPh>
    <rPh sb="219" eb="221">
      <t>ハアク</t>
    </rPh>
    <rPh sb="222" eb="224">
      <t xml:space="preserve">カダイ </t>
    </rPh>
    <rPh sb="224" eb="227">
      <t xml:space="preserve">カイケツリョク </t>
    </rPh>
    <rPh sb="227" eb="229">
      <t>キカン</t>
    </rPh>
    <rPh sb="229" eb="231">
      <t>キョウイク</t>
    </rPh>
    <rPh sb="239" eb="241">
      <t xml:space="preserve">ケッカ </t>
    </rPh>
    <phoneticPr fontId="1"/>
  </si>
  <si>
    <r>
      <rPr>
        <sz val="12"/>
        <rFont val="ＭＳ Ｐゴシック"/>
        <family val="2"/>
        <scheme val="minor"/>
      </rPr>
      <t>本教育プログラムを構成する科目「データサイエンス・AI基礎」については令和6年度から経営法学部において必修としており、履修者数、履修率の向上を推進している。また、「情報処理I」については、平成</t>
    </r>
    <r>
      <rPr>
        <sz val="12"/>
        <rFont val="Calibri"/>
        <family val="2"/>
      </rPr>
      <t>26</t>
    </r>
    <r>
      <rPr>
        <sz val="12"/>
        <rFont val="ＭＳ Ｐゴシック"/>
        <family val="2"/>
        <scheme val="minor"/>
      </rPr>
      <t>年度から看護学部において必修としており、履修者数、履修率の向上を推進している。なお、「データサイエンス・AI基礎」については令和7年度から看護学部においても必修とすることが決定している。</t>
    </r>
    <rPh sb="94" eb="96">
      <t>ヘイセイ</t>
    </rPh>
    <phoneticPr fontId="1"/>
  </si>
  <si>
    <t>R6年度から実施しているプログラムであるため、本教育プログラムの修了者が今後本学を卒業した後に、卒業生アンケートなどを通じて進路、活躍状況、企業などの評価を把握する予定である。</t>
    <rPh sb="2" eb="4">
      <t xml:space="preserve">ネンド </t>
    </rPh>
    <rPh sb="6" eb="8">
      <t xml:space="preserve">ジッシシタ </t>
    </rPh>
    <rPh sb="29" eb="32">
      <t>シュウリョウシャ</t>
    </rPh>
    <rPh sb="33" eb="35">
      <t>コンゴ</t>
    </rPh>
    <rPh sb="35" eb="37">
      <t>ホンガク</t>
    </rPh>
    <rPh sb="38" eb="40">
      <t>ソツギョウ</t>
    </rPh>
    <rPh sb="42" eb="43">
      <t>アト</t>
    </rPh>
    <rPh sb="45" eb="48">
      <t>ソツギョウセイ</t>
    </rPh>
    <rPh sb="56" eb="57">
      <t>ツウ</t>
    </rPh>
    <rPh sb="59" eb="61">
      <t>シンロ</t>
    </rPh>
    <rPh sb="62" eb="64">
      <t>カツヤク</t>
    </rPh>
    <rPh sb="64" eb="66">
      <t>ジョウキョウ</t>
    </rPh>
    <rPh sb="67" eb="69">
      <t>キギョウ</t>
    </rPh>
    <rPh sb="72" eb="74">
      <t>ヒョウカ</t>
    </rPh>
    <rPh sb="75" eb="77">
      <t>ハアク</t>
    </rPh>
    <rPh sb="79" eb="81">
      <t>ヨテイ</t>
    </rPh>
    <phoneticPr fontId="1"/>
  </si>
  <si>
    <t>令和6年12月7日（土）に、青森中央学院大学・青森中央短期大学主催令和6年度「数理・データサイエンス・AI教育に関する取り組み事例研究会」を実施し、教育プログラムの講義内容および実データを活用した演習などの手法について意見を収集した。
・学生は、授業・課題等でデータ分析等を手順通りに作業として実施することはできるが、今この作業が何のための分析なのか、何を明らかにできるのかなどを理解できていない場合がある。仮説を考えてもらったり、その結論に導くためにどんな分析が必要かを考えてもらうことで、作業にならない工夫が必要である。
・アプリケーションの機能を用いればボタン一つで分析結果がわかるが、結果を導く計算式までを理解するのは難しい。どこまでを教えるのが適切なのかは悩むところである。初めは手計算で行わせるなどアプリケーションに頼らないやり方もありえるが、その分時間がかかってしまう。一方で社会で役立つ能力と割り切ると、リテラシーレベルということも鑑みると、アプリケーションはあるのだから、数式などの説明は割愛するという考え方もありえる。
基幹教育センターにおいて上記の意見等を踏まえ、プログラムの改善に活用している。</t>
    <rPh sb="0" eb="2">
      <t>レイワ</t>
    </rPh>
    <rPh sb="3" eb="4">
      <t>ネン</t>
    </rPh>
    <rPh sb="6" eb="7">
      <t>ガツ</t>
    </rPh>
    <rPh sb="8" eb="9">
      <t>ニチ</t>
    </rPh>
    <rPh sb="10" eb="11">
      <t>ド</t>
    </rPh>
    <rPh sb="70" eb="72">
      <t>ジッシ</t>
    </rPh>
    <rPh sb="74" eb="76">
      <t>キョウイク</t>
    </rPh>
    <rPh sb="82" eb="84">
      <t>コウギ</t>
    </rPh>
    <rPh sb="84" eb="86">
      <t>ナイヨウ</t>
    </rPh>
    <rPh sb="89" eb="90">
      <t>ジツ</t>
    </rPh>
    <rPh sb="94" eb="96">
      <t>カツヨウ</t>
    </rPh>
    <rPh sb="98" eb="100">
      <t>エンシュウ</t>
    </rPh>
    <rPh sb="103" eb="105">
      <t>シュホウ</t>
    </rPh>
    <rPh sb="109" eb="111">
      <t>イケン</t>
    </rPh>
    <rPh sb="112" eb="114">
      <t>シュウシュウ</t>
    </rPh>
    <rPh sb="120" eb="122">
      <t>ガクセイ</t>
    </rPh>
    <rPh sb="124" eb="126">
      <t>ジュギョウ</t>
    </rPh>
    <rPh sb="127" eb="129">
      <t>カダイ</t>
    </rPh>
    <rPh sb="129" eb="130">
      <t>トウ</t>
    </rPh>
    <rPh sb="134" eb="136">
      <t>ブンセキ</t>
    </rPh>
    <rPh sb="136" eb="137">
      <t>トウ</t>
    </rPh>
    <rPh sb="138" eb="141">
      <t>テジュンドオ</t>
    </rPh>
    <rPh sb="143" eb="145">
      <t>サギョウ</t>
    </rPh>
    <rPh sb="148" eb="150">
      <t>ジッシ</t>
    </rPh>
    <rPh sb="160" eb="161">
      <t>イマ</t>
    </rPh>
    <rPh sb="163" eb="165">
      <t>サギョウ</t>
    </rPh>
    <rPh sb="166" eb="167">
      <t>ナン</t>
    </rPh>
    <rPh sb="171" eb="173">
      <t>ブンセキ</t>
    </rPh>
    <rPh sb="177" eb="178">
      <t>ナニ</t>
    </rPh>
    <rPh sb="179" eb="180">
      <t>アキ</t>
    </rPh>
    <rPh sb="191" eb="193">
      <t>リカイ</t>
    </rPh>
    <rPh sb="199" eb="201">
      <t>バアイ</t>
    </rPh>
    <rPh sb="205" eb="207">
      <t>カセツ</t>
    </rPh>
    <rPh sb="208" eb="209">
      <t>カンガ</t>
    </rPh>
    <rPh sb="219" eb="221">
      <t>ケツロン</t>
    </rPh>
    <rPh sb="222" eb="223">
      <t>ミチビ</t>
    </rPh>
    <rPh sb="230" eb="232">
      <t>ブンセキ</t>
    </rPh>
    <rPh sb="233" eb="235">
      <t>ヒツヨウ</t>
    </rPh>
    <rPh sb="237" eb="238">
      <t>カンガ</t>
    </rPh>
    <rPh sb="247" eb="249">
      <t>サギョウ</t>
    </rPh>
    <rPh sb="254" eb="256">
      <t>クフウ</t>
    </rPh>
    <rPh sb="257" eb="259">
      <t>ヒツヨウ</t>
    </rPh>
    <rPh sb="274" eb="276">
      <t>キノウ</t>
    </rPh>
    <rPh sb="277" eb="278">
      <t>モチ</t>
    </rPh>
    <rPh sb="284" eb="285">
      <t>ヒト</t>
    </rPh>
    <rPh sb="287" eb="289">
      <t>ブンセキ</t>
    </rPh>
    <rPh sb="289" eb="291">
      <t>ケッカ</t>
    </rPh>
    <rPh sb="297" eb="299">
      <t>ケッカ</t>
    </rPh>
    <rPh sb="300" eb="301">
      <t>ミチビ</t>
    </rPh>
    <rPh sb="302" eb="304">
      <t>ケイサン</t>
    </rPh>
    <rPh sb="304" eb="305">
      <t>シキ</t>
    </rPh>
    <rPh sb="308" eb="310">
      <t>リカイ</t>
    </rPh>
    <rPh sb="314" eb="315">
      <t>ムズカ</t>
    </rPh>
    <rPh sb="323" eb="324">
      <t>オシ</t>
    </rPh>
    <rPh sb="328" eb="330">
      <t>テキセツ</t>
    </rPh>
    <rPh sb="334" eb="335">
      <t>ナヤ</t>
    </rPh>
    <rPh sb="343" eb="344">
      <t>ハジ</t>
    </rPh>
    <rPh sb="346" eb="349">
      <t>テケイサン</t>
    </rPh>
    <rPh sb="350" eb="351">
      <t>オコナ</t>
    </rPh>
    <rPh sb="365" eb="366">
      <t>タヨ</t>
    </rPh>
    <rPh sb="371" eb="372">
      <t>カタ</t>
    </rPh>
    <rPh sb="381" eb="382">
      <t>ブン</t>
    </rPh>
    <rPh sb="382" eb="384">
      <t>ジカン</t>
    </rPh>
    <rPh sb="393" eb="395">
      <t>イッポウ</t>
    </rPh>
    <rPh sb="396" eb="398">
      <t>シャカイ</t>
    </rPh>
    <rPh sb="399" eb="401">
      <t>ヤクダ</t>
    </rPh>
    <rPh sb="402" eb="404">
      <t>ノウリョク</t>
    </rPh>
    <rPh sb="405" eb="406">
      <t>ワ</t>
    </rPh>
    <rPh sb="407" eb="408">
      <t>キ</t>
    </rPh>
    <rPh sb="425" eb="426">
      <t>カンガ</t>
    </rPh>
    <rPh sb="446" eb="448">
      <t>スウシキ</t>
    </rPh>
    <rPh sb="451" eb="453">
      <t>セツメイ</t>
    </rPh>
    <rPh sb="454" eb="456">
      <t>カツアイ</t>
    </rPh>
    <rPh sb="461" eb="462">
      <t>カンガ</t>
    </rPh>
    <rPh sb="463" eb="464">
      <t>カタ</t>
    </rPh>
    <rPh sb="472" eb="474">
      <t>キカン</t>
    </rPh>
    <rPh sb="474" eb="476">
      <t>キョウイク</t>
    </rPh>
    <rPh sb="484" eb="486">
      <t>ジョウキ</t>
    </rPh>
    <rPh sb="487" eb="489">
      <t>イケン</t>
    </rPh>
    <rPh sb="489" eb="490">
      <t>トウ</t>
    </rPh>
    <rPh sb="491" eb="492">
      <t>フ</t>
    </rPh>
    <rPh sb="501" eb="503">
      <t>カイゼン</t>
    </rPh>
    <rPh sb="504" eb="506">
      <t>カツヨウ</t>
    </rPh>
    <phoneticPr fontId="1"/>
  </si>
  <si>
    <t>モデルカリキュラムリテラシーレベルの導入・基礎・心得に準じた内容を展開し、時事やトレンドなど社会での実例をもとにAIなどがどのような活用をされているのかを中心に、受講生の専門分野である経営学、法学、看護学等とも関連付けながら、好奇心を促す講義内容としている。取りあげる実例については、授業改善アンケートなどの結果を活用し、その内容について評価を実施し改善に活かしている。</t>
    <rPh sb="18" eb="20">
      <t>ドウニュウ</t>
    </rPh>
    <rPh sb="21" eb="23">
      <t>キソ</t>
    </rPh>
    <rPh sb="24" eb="26">
      <t>ココロエ</t>
    </rPh>
    <rPh sb="27" eb="28">
      <t>ジュン</t>
    </rPh>
    <rPh sb="30" eb="32">
      <t>ナイヨウ</t>
    </rPh>
    <rPh sb="33" eb="35">
      <t>テンカイ</t>
    </rPh>
    <rPh sb="37" eb="39">
      <t>ジジ</t>
    </rPh>
    <rPh sb="46" eb="48">
      <t>シャカイ</t>
    </rPh>
    <rPh sb="50" eb="52">
      <t>ジツレイ</t>
    </rPh>
    <rPh sb="66" eb="68">
      <t>カツヨウ</t>
    </rPh>
    <rPh sb="77" eb="79">
      <t>チュウシン</t>
    </rPh>
    <rPh sb="81" eb="84">
      <t>ジュコウセイ</t>
    </rPh>
    <rPh sb="85" eb="87">
      <t>センモン</t>
    </rPh>
    <rPh sb="87" eb="89">
      <t>ブンヤ</t>
    </rPh>
    <rPh sb="92" eb="94">
      <t>ケイエイ</t>
    </rPh>
    <rPh sb="94" eb="95">
      <t>ガク</t>
    </rPh>
    <rPh sb="96" eb="98">
      <t>ホウガク</t>
    </rPh>
    <rPh sb="99" eb="102">
      <t>カンゴガク</t>
    </rPh>
    <rPh sb="102" eb="103">
      <t>トウ</t>
    </rPh>
    <rPh sb="154" eb="156">
      <t>ケッカ</t>
    </rPh>
    <rPh sb="175" eb="177">
      <t>カイゼン</t>
    </rPh>
    <rPh sb="178" eb="179">
      <t>イ</t>
    </rPh>
    <phoneticPr fontId="1"/>
  </si>
  <si>
    <t>授業改善アンケートの「この授業の内容を理解しましたか。」について、
青森中央学院大学経営法学部における「データサイエンス・AI基礎」では、そう思う・まあそう思う（全選択肢：そう思う・まあそう思う・あまりそう思わない・そう思わない）の割合が75.4%
青森中央学院大学看護学部における「情報処理Ⅰ」では、そう思う・まあそう思う（全選択肢：そう思う・まあそう思う・あまりそう思わない・そう思わない）の割合が85.0%
であった。
いずれも同セメスターの全科目の平均値と比較して低い状況であり、数理・データサイエンス・AI教育の授業における難易度設定について改善が必要であることを確認した。
またアンケートの自由記述をみると、「結構面白いと思えた」「今の時代に合ったAIの解説やネット社会で使える技術と知識を知ることができた」など、一部の学生においては、本プログラムの受講により、数理・データサイエンス・AIに興味をもったという意見もあった。全学必修科目として実施していることにより、初めは興味がなくとも本プログラムが興味を持つきっかけになった学生がいたという点で、有意義な取り組みだと評価できる。</t>
    <rPh sb="16" eb="19">
      <t>ジュコウシャ</t>
    </rPh>
    <rPh sb="20" eb="21">
      <t>タイ</t>
    </rPh>
    <rPh sb="24" eb="26">
      <t>ジュギョウ</t>
    </rPh>
    <rPh sb="26" eb="34">
      <t>カイゼン</t>
    </rPh>
    <rPh sb="34" eb="38">
      <t xml:space="preserve">アオモリチュウオウ </t>
    </rPh>
    <rPh sb="38" eb="42">
      <t xml:space="preserve">ガクインダイガク </t>
    </rPh>
    <rPh sb="42" eb="47">
      <t xml:space="preserve">ケイエイホウガクブ </t>
    </rPh>
    <rPh sb="63" eb="65">
      <t xml:space="preserve">キソ </t>
    </rPh>
    <rPh sb="76" eb="80">
      <t xml:space="preserve">カンゴガクブ </t>
    </rPh>
    <rPh sb="81" eb="85">
      <t xml:space="preserve">ゼンセンタクシ </t>
    </rPh>
    <rPh sb="96" eb="104">
      <t xml:space="preserve">アオモリチュウオウタンキダイガク </t>
    </rPh>
    <rPh sb="106" eb="110">
      <t xml:space="preserve">ヨウジホイク </t>
    </rPh>
    <rPh sb="110" eb="112">
      <t xml:space="preserve">ガッカ </t>
    </rPh>
    <rPh sb="116" eb="118">
      <t xml:space="preserve">ワリアイ </t>
    </rPh>
    <rPh sb="120" eb="122">
      <t>ガクセイ</t>
    </rPh>
    <rPh sb="123" eb="125">
      <t>リカイド</t>
    </rPh>
    <rPh sb="133" eb="135">
      <t xml:space="preserve">カンゴ </t>
    </rPh>
    <rPh sb="142" eb="144">
      <t xml:space="preserve">ジョウホウ </t>
    </rPh>
    <rPh sb="144" eb="146">
      <t xml:space="preserve">ショリ </t>
    </rPh>
    <rPh sb="216" eb="217">
      <t xml:space="preserve">ドウセメスター </t>
    </rPh>
    <rPh sb="223" eb="226">
      <t xml:space="preserve">ゼンカモク </t>
    </rPh>
    <rPh sb="227" eb="229">
      <t xml:space="preserve">ヘイキン </t>
    </rPh>
    <rPh sb="229" eb="230">
      <t xml:space="preserve">チ </t>
    </rPh>
    <rPh sb="231" eb="233">
      <t xml:space="preserve">ヒカクシテ </t>
    </rPh>
    <rPh sb="235" eb="236">
      <t xml:space="preserve">ヒクイジョウキョウ </t>
    </rPh>
    <rPh sb="243" eb="245">
      <t xml:space="preserve">スウリ </t>
    </rPh>
    <rPh sb="257" eb="259">
      <t xml:space="preserve">キョウイク </t>
    </rPh>
    <rPh sb="260" eb="262">
      <t xml:space="preserve">ジュギョウ </t>
    </rPh>
    <rPh sb="266" eb="269">
      <t xml:space="preserve">ナンイド </t>
    </rPh>
    <rPh sb="269" eb="271">
      <t xml:space="preserve">セッテイ </t>
    </rPh>
    <rPh sb="275" eb="277">
      <t xml:space="preserve">カイゼン </t>
    </rPh>
    <rPh sb="278" eb="280">
      <t xml:space="preserve">ヒツヨウデウ </t>
    </rPh>
    <rPh sb="286" eb="288">
      <t xml:space="preserve">カクニン </t>
    </rPh>
    <rPh sb="302" eb="304">
      <t>ジユウ</t>
    </rPh>
    <rPh sb="304" eb="306">
      <t>キジュツ</t>
    </rPh>
    <rPh sb="312" eb="316">
      <t>ケッコウオモシロ</t>
    </rPh>
    <rPh sb="318" eb="319">
      <t>オモ</t>
    </rPh>
    <rPh sb="364" eb="366">
      <t>イチブ</t>
    </rPh>
    <rPh sb="367" eb="369">
      <t>ガクセイ</t>
    </rPh>
    <rPh sb="375" eb="376">
      <t>ホン</t>
    </rPh>
    <rPh sb="382" eb="384">
      <t>ジュコウ</t>
    </rPh>
    <rPh sb="388" eb="390">
      <t>スウリ</t>
    </rPh>
    <rPh sb="403" eb="405">
      <t>キョウミ</t>
    </rPh>
    <rPh sb="412" eb="414">
      <t>イケン</t>
    </rPh>
    <rPh sb="419" eb="423">
      <t>ゼンガクヒッシュウ</t>
    </rPh>
    <rPh sb="423" eb="425">
      <t>カモク</t>
    </rPh>
    <rPh sb="428" eb="430">
      <t>ジッシ</t>
    </rPh>
    <rPh sb="440" eb="441">
      <t>ハジ</t>
    </rPh>
    <rPh sb="443" eb="445">
      <t>キョウミ</t>
    </rPh>
    <rPh sb="450" eb="451">
      <t>ホン</t>
    </rPh>
    <rPh sb="457" eb="459">
      <t>キョウミ</t>
    </rPh>
    <rPh sb="460" eb="461">
      <t>モ</t>
    </rPh>
    <rPh sb="470" eb="472">
      <t>ガクセイ</t>
    </rPh>
    <rPh sb="481" eb="484">
      <t>ユウイギ</t>
    </rPh>
    <rPh sb="485" eb="486">
      <t>ト</t>
    </rPh>
    <rPh sb="487" eb="488">
      <t>ク</t>
    </rPh>
    <rPh sb="491" eb="493">
      <t>ヒョウカ</t>
    </rPh>
    <phoneticPr fontId="1"/>
  </si>
  <si>
    <t>データ解析「データサイエンス・AI基礎」（5回目）
データの可視化「データサイエンス・AI基礎」（6回目）</t>
    <phoneticPr fontId="1"/>
  </si>
  <si>
    <r>
      <rPr>
        <sz val="9"/>
        <color rgb="FF000000"/>
        <rFont val="ＭＳ ゴシック"/>
        <family val="3"/>
        <charset val="128"/>
      </rPr>
      <t>調査データ、</t>
    </r>
    <r>
      <rPr>
        <sz val="9"/>
        <color rgb="FF000000"/>
        <rFont val="ＭＳ Ｐゴシック"/>
        <family val="2"/>
        <scheme val="minor"/>
      </rPr>
      <t>構造化データ「情報処理Ⅱ」（1回目）</t>
    </r>
    <phoneticPr fontId="1"/>
  </si>
  <si>
    <t>データ解析「情報処理Ⅱ」（8回目～13回目）
データの可視化「情報処理Ⅱ」（4回目、5回目）</t>
    <phoneticPr fontId="1"/>
  </si>
  <si>
    <t>個人情報保護「情報処理I」（27回目、28回目）</t>
    <rPh sb="0" eb="2">
      <t>コジン</t>
    </rPh>
    <rPh sb="2" eb="4">
      <t>ジョウホウ</t>
    </rPh>
    <rPh sb="4" eb="6">
      <t>ホゴ</t>
    </rPh>
    <rPh sb="21" eb="23">
      <t>カイメ</t>
    </rPh>
    <phoneticPr fontId="1"/>
  </si>
  <si>
    <t>情報セキュリティ、悪意ある情報搾取「情報処理I」（25回目、26回目）</t>
    <rPh sb="0" eb="2">
      <t>ジョウホウ</t>
    </rPh>
    <rPh sb="9" eb="11">
      <t>アクイ</t>
    </rPh>
    <rPh sb="13" eb="15">
      <t>ジョウホウ</t>
    </rPh>
    <rPh sb="15" eb="17">
      <t>サクシュ</t>
    </rPh>
    <rPh sb="32" eb="34">
      <t>カイメ</t>
    </rPh>
    <phoneticPr fontId="1"/>
  </si>
  <si>
    <r>
      <rPr>
        <sz val="9"/>
        <color rgb="FF000000"/>
        <rFont val="ＭＳ ゴシック"/>
        <family val="3"/>
        <charset val="128"/>
      </rPr>
      <t>データ表現、データの図表表現、データの比較、不適切なグラフ表現</t>
    </r>
    <r>
      <rPr>
        <sz val="9"/>
        <color rgb="FF000000"/>
        <rFont val="ＭＳ Ｐゴシック"/>
        <family val="2"/>
        <scheme val="minor"/>
      </rPr>
      <t>「情報処理Ⅱ」（4回目、5回目）</t>
    </r>
    <phoneticPr fontId="1"/>
  </si>
  <si>
    <t>令和６年度より、履修することが必須のプログラムとして実施している。</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</si>
  <si>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</si>
  <si>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学校法人青森田中学園　基幹教育センター規程</t>
    <rPh sb="0" eb="4">
      <t>ガッコウホウジン</t>
    </rPh>
    <rPh sb="4" eb="10">
      <t>アオモリタナカガクエン</t>
    </rPh>
    <rPh sb="11" eb="13">
      <t>キカン</t>
    </rPh>
    <rPh sb="13" eb="15">
      <t>キョウイク</t>
    </rPh>
    <rPh sb="19" eb="21">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</si>
</sst>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name val="Calibri"/>
      <family val="2"/>
    </font>
    <font>
      <sz val="12"/>
      <name val="ＭＳ Ｐゴシック"/>
      <family val="2"/>
      <scheme val="minor"/>
    </font>
    <font>
      <sz val="12"/>
      <color rgb="FF000000"/>
      <name val="ＭＳ Ｐゴシック"/>
      <family val="3"/>
      <charset val="128"/>
      <scheme val="minor"/>
    </font>
    <font>
      <sz val="9"/>
      <color rgb="FF000000"/>
      <name val="ＭＳ Ｐゴシック"/>
      <family val="3"/>
      <charset val="128"/>
      <scheme val="minor"/>
    </font>
    <font>
      <sz val="9"/>
      <color rgb="FF000000"/>
      <name val="ＭＳ Ｐゴシック"/>
      <family val="2"/>
      <scheme val="minor"/>
    </font>
    <font>
      <sz val="12"/>
      <color theme="1"/>
      <name val="ＭＳ Ｐゴシック"/>
      <family val="3"/>
      <charset val="128"/>
    </font>
    <font>
      <sz val="9"/>
      <color rgb="FF000000"/>
      <name val="ＭＳ ゴシック"/>
      <family val="3"/>
      <charset val="128"/>
    </font>
    <font>
      <sz val="9"/>
      <color rgb="FF000000"/>
      <name val="Calibri"/>
      <family val="3"/>
      <charset val="128"/>
    </font>
    <font>
      <sz val="9"/>
      <color rgb="FF000000"/>
      <name val="Calibri"/>
      <family val="2"/>
    </font>
    <font>
      <sz val="12"/>
      <color rgb="FF000000"/>
      <name val="Calibri"/>
      <family val="2"/>
    </font>
    <font>
      <sz val="9"/>
      <name val="ＭＳ Ｐゴシック"/>
      <family val="3"/>
      <charset val="128"/>
      <scheme val="minor"/>
    </font>
    <font>
      <sz val="6"/>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9" fontId="2" fillId="0" borderId="13" xfId="0" applyNumberFormat="1" applyFont="1" applyBorder="1" applyAlignment="1">
      <alignment vertical="center" shrinkToFit="1"/>
    </xf>
    <xf numFmtId="0" fontId="9"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0" fillId="0" borderId="0" xfId="0" applyFont="1">
      <alignment vertical="center"/>
    </xf>
    <xf numFmtId="0" fontId="10" fillId="0" borderId="0" xfId="0" applyFont="1" applyAlignment="1">
      <alignment vertical="center" shrinkToFit="1"/>
    </xf>
    <xf numFmtId="0" fontId="10" fillId="0" borderId="0" xfId="0" applyFont="1" applyAlignment="1">
      <alignment horizontal="center" vertical="center"/>
    </xf>
    <xf numFmtId="0" fontId="10"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0" fillId="0" borderId="0" xfId="0" applyFont="1" applyAlignment="1">
      <alignment horizontal="center" vertical="center" shrinkToFit="1"/>
    </xf>
    <xf numFmtId="0" fontId="11"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10" fillId="0" borderId="1" xfId="0" applyFont="1" applyBorder="1">
      <alignment vertical="center"/>
    </xf>
    <xf numFmtId="0" fontId="10" fillId="0" borderId="0" xfId="0" applyFont="1" applyAlignment="1">
      <alignment horizontal="right" vertical="center"/>
    </xf>
    <xf numFmtId="38" fontId="2" fillId="0" borderId="5" xfId="2" applyFont="1" applyFill="1" applyBorder="1" applyAlignment="1">
      <alignment vertical="center" shrinkToFit="1"/>
    </xf>
    <xf numFmtId="38" fontId="2" fillId="0" borderId="48" xfId="2" applyFont="1" applyFill="1" applyBorder="1" applyAlignment="1">
      <alignment vertical="center" shrinkToFit="1"/>
    </xf>
    <xf numFmtId="38" fontId="2" fillId="0" borderId="46" xfId="2" applyFont="1" applyFill="1" applyBorder="1" applyAlignment="1">
      <alignment vertical="center" shrinkToFit="1"/>
    </xf>
    <xf numFmtId="38" fontId="2" fillId="0" borderId="20" xfId="2" applyFont="1" applyFill="1" applyBorder="1" applyAlignment="1">
      <alignment vertical="center" shrinkToFit="1"/>
    </xf>
    <xf numFmtId="0" fontId="10" fillId="0" borderId="1" xfId="0"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0" fontId="10" fillId="0" borderId="1" xfId="0" applyFont="1" applyBorder="1" applyAlignment="1">
      <alignment horizontal="center" vertical="center" shrinkToFit="1"/>
    </xf>
    <xf numFmtId="176" fontId="10" fillId="0" borderId="1" xfId="0" applyNumberFormat="1" applyFont="1" applyBorder="1" applyAlignment="1">
      <alignment horizontal="center" vertical="center" shrinkToFit="1"/>
    </xf>
    <xf numFmtId="0" fontId="10" fillId="0" borderId="0" xfId="0" applyFont="1" applyAlignment="1">
      <alignment vertical="top" wrapText="1"/>
    </xf>
    <xf numFmtId="0" fontId="10" fillId="0" borderId="0" xfId="0" applyFont="1" applyAlignment="1">
      <alignment vertical="center" wrapText="1"/>
    </xf>
    <xf numFmtId="0" fontId="22" fillId="0" borderId="0" xfId="0" applyFont="1" applyAlignment="1">
      <alignment vertical="top"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29"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32" xfId="0" applyNumberFormat="1" applyFont="1" applyBorder="1" applyAlignment="1">
      <alignment vertical="center" wrapText="1"/>
    </xf>
    <xf numFmtId="49" fontId="3" fillId="0" borderId="33" xfId="0" applyNumberFormat="1" applyFont="1" applyBorder="1">
      <alignment vertical="center"/>
    </xf>
    <xf numFmtId="49" fontId="3" fillId="0" borderId="34" xfId="0" applyNumberFormat="1" applyFont="1" applyBorder="1">
      <alignment vertical="center"/>
    </xf>
    <xf numFmtId="49" fontId="22" fillId="0" borderId="29" xfId="0" applyNumberFormat="1" applyFont="1" applyBorder="1" applyAlignment="1">
      <alignment horizontal="left" vertical="center" wrapText="1"/>
    </xf>
    <xf numFmtId="49" fontId="22" fillId="0" borderId="31" xfId="0" applyNumberFormat="1" applyFont="1" applyBorder="1" applyAlignment="1">
      <alignment horizontal="left" vertical="center"/>
    </xf>
    <xf numFmtId="49" fontId="22" fillId="0" borderId="30"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49" fontId="20" fillId="0" borderId="29" xfId="0" applyNumberFormat="1" applyFont="1" applyBorder="1" applyAlignment="1">
      <alignment horizontal="left" vertical="center" wrapText="1"/>
    </xf>
    <xf numFmtId="49" fontId="19" fillId="0" borderId="18" xfId="0" applyNumberFormat="1" applyFont="1" applyBorder="1" applyAlignment="1">
      <alignment horizontal="left" vertical="center"/>
    </xf>
    <xf numFmtId="49" fontId="20" fillId="0" borderId="32" xfId="0" applyNumberFormat="1" applyFont="1" applyBorder="1" applyAlignment="1">
      <alignment horizontal="left" vertical="center" wrapText="1"/>
    </xf>
    <xf numFmtId="0" fontId="21" fillId="0" borderId="2" xfId="0" applyFont="1" applyBorder="1" applyAlignment="1">
      <alignment vertical="center" wrapText="1" shrinkToFit="1"/>
    </xf>
    <xf numFmtId="49" fontId="19" fillId="0" borderId="29" xfId="0" applyNumberFormat="1" applyFont="1" applyBorder="1" applyAlignment="1">
      <alignment horizontal="left" vertical="center"/>
    </xf>
    <xf numFmtId="0" fontId="14" fillId="0" borderId="7" xfId="0" applyFont="1" applyBorder="1" applyAlignment="1">
      <alignment horizontal="left" vertical="top" wrapText="1" shrinkToFit="1"/>
    </xf>
    <xf numFmtId="0" fontId="2" fillId="0" borderId="14"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shrinkToFit="1"/>
    </xf>
    <xf numFmtId="0" fontId="10"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9"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7" fillId="0" borderId="7"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10" fillId="2" borderId="5" xfId="0" applyFont="1" applyFill="1" applyBorder="1" applyAlignment="1">
      <alignment horizontal="center" vertical="center" shrinkToFit="1"/>
    </xf>
    <xf numFmtId="0" fontId="10" fillId="2" borderId="0" xfId="0" applyFont="1" applyFill="1" applyAlignment="1">
      <alignment horizontal="center" vertical="center" shrinkToFit="1"/>
    </xf>
    <xf numFmtId="0" fontId="10" fillId="2" borderId="10" xfId="0" applyFont="1" applyFill="1" applyBorder="1" applyAlignment="1">
      <alignment horizontal="center" vertical="center" shrinkToFit="1"/>
    </xf>
    <xf numFmtId="9" fontId="10" fillId="0" borderId="1" xfId="0" applyNumberFormat="1" applyFont="1" applyBorder="1" applyAlignment="1">
      <alignment horizontal="center" vertical="center" shrinkToFi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0" fillId="0" borderId="1" xfId="0" applyNumberFormat="1" applyFont="1" applyBorder="1" applyAlignment="1">
      <alignment horizontal="center" vertical="center" wrapText="1" shrinkToFi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0" fillId="0" borderId="18" xfId="0" applyFont="1" applyBorder="1" applyAlignment="1">
      <alignment vertical="top" wrapText="1" shrinkToFit="1"/>
    </xf>
    <xf numFmtId="0" fontId="10" fillId="0" borderId="19" xfId="0" applyFont="1" applyBorder="1" applyAlignment="1">
      <alignment vertical="top" wrapText="1" shrinkToFit="1"/>
    </xf>
    <xf numFmtId="0" fontId="10" fillId="0" borderId="17"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0" fillId="0" borderId="37" xfId="0" applyFont="1" applyBorder="1" applyAlignment="1">
      <alignment vertical="top" wrapText="1" shrinkToFit="1"/>
    </xf>
    <xf numFmtId="0" fontId="10" fillId="0" borderId="38" xfId="0" applyFont="1" applyBorder="1" applyAlignment="1">
      <alignment vertical="top" wrapText="1"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2" fillId="0" borderId="32" xfId="0" applyFont="1" applyBorder="1" applyAlignment="1">
      <alignment vertical="top" wrapText="1" shrinkToFit="1"/>
    </xf>
    <xf numFmtId="0" fontId="10" fillId="0" borderId="33" xfId="0" applyFont="1" applyBorder="1" applyAlignment="1">
      <alignment vertical="top" wrapText="1" shrinkToFit="1"/>
    </xf>
    <xf numFmtId="0" fontId="10" fillId="0" borderId="34"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55" zoomScale="85" zoomScaleNormal="100" zoomScaleSheetLayoutView="85" workbookViewId="0">
      <selection activeCell="D99" sqref="D99:U99"/>
    </sheetView>
  </sheetViews>
  <sheetFormatPr defaultColWidth="9" defaultRowHeight="18.75" customHeight="1" x14ac:dyDescent="0.15"/>
  <cols>
    <col min="1" max="1" width="2.5" style="1" customWidth="1"/>
    <col min="2" max="2" width="16.5" style="1" customWidth="1"/>
    <col min="3" max="21" width="5.5" style="1" customWidth="1"/>
    <col min="22" max="22" width="9" style="1"/>
    <col min="23" max="23" width="3.5" style="1" customWidth="1"/>
    <col min="24" max="24" width="48.5" style="1" hidden="1" customWidth="1"/>
    <col min="25" max="26" width="9" style="1"/>
    <col min="27" max="27" width="9" style="1" hidden="1" customWidth="1"/>
    <col min="28" max="16384" width="9" style="1"/>
  </cols>
  <sheetData>
    <row r="1" spans="1:24" ht="18.600000000000001" customHeight="1" x14ac:dyDescent="0.15">
      <c r="T1" s="132" t="s">
        <v>0</v>
      </c>
      <c r="U1" s="132"/>
      <c r="V1" s="2" t="s">
        <v>1</v>
      </c>
    </row>
    <row r="2" spans="1:24" ht="18.75" customHeight="1" x14ac:dyDescent="0.15">
      <c r="B2" s="17" t="s">
        <v>2</v>
      </c>
      <c r="C2" s="102" t="s">
        <v>3</v>
      </c>
      <c r="D2" s="103"/>
      <c r="E2" s="103"/>
      <c r="F2" s="103"/>
      <c r="G2" s="103"/>
      <c r="H2" s="103"/>
      <c r="I2" s="103"/>
      <c r="J2" s="104"/>
      <c r="K2" s="18"/>
      <c r="L2" s="6"/>
      <c r="M2" s="6"/>
      <c r="N2" s="6"/>
      <c r="O2" s="6"/>
      <c r="P2" s="6"/>
      <c r="Q2" s="6"/>
      <c r="R2" s="6"/>
      <c r="S2" s="6"/>
      <c r="T2" s="6"/>
      <c r="U2" s="6"/>
    </row>
    <row r="3" spans="1:24" ht="18.75" customHeight="1" x14ac:dyDescent="0.15">
      <c r="B3" s="17" t="s">
        <v>4</v>
      </c>
      <c r="C3" s="102" t="s">
        <v>5</v>
      </c>
      <c r="D3" s="103"/>
      <c r="E3" s="103"/>
      <c r="F3" s="103"/>
      <c r="G3" s="103"/>
      <c r="H3" s="103"/>
      <c r="I3" s="103"/>
      <c r="J3" s="104"/>
      <c r="K3" s="18"/>
      <c r="L3" s="6"/>
      <c r="M3" s="6"/>
      <c r="N3" s="6"/>
      <c r="O3" s="6"/>
      <c r="P3" s="6"/>
      <c r="Q3" s="6"/>
      <c r="R3" s="6"/>
      <c r="S3" s="6"/>
      <c r="T3" s="6"/>
      <c r="U3" s="6"/>
    </row>
    <row r="4" spans="1:24" ht="15" customHeight="1" x14ac:dyDescent="0.15">
      <c r="L4" s="18"/>
      <c r="M4" s="69"/>
      <c r="N4" s="69"/>
      <c r="O4" s="69"/>
      <c r="P4" s="69"/>
      <c r="Q4" s="69"/>
      <c r="R4" s="69"/>
      <c r="S4" s="69"/>
      <c r="T4" s="69"/>
      <c r="U4" s="69"/>
    </row>
    <row r="5" spans="1:24" ht="18" customHeight="1" x14ac:dyDescent="0.15">
      <c r="A5" s="113" t="s">
        <v>6</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147" t="s">
        <v>8</v>
      </c>
      <c r="M7" s="148"/>
      <c r="N7" s="148"/>
      <c r="O7" s="148"/>
      <c r="P7" s="148"/>
      <c r="Q7" s="148"/>
      <c r="R7" s="148"/>
      <c r="S7" s="148"/>
      <c r="T7" s="148"/>
      <c r="U7" s="14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56" t="s">
        <v>10</v>
      </c>
      <c r="C11" s="157"/>
      <c r="D11" s="157"/>
      <c r="E11" s="157"/>
      <c r="F11" s="157"/>
      <c r="G11" s="157"/>
      <c r="H11" s="157"/>
      <c r="I11" s="157"/>
      <c r="J11" s="157"/>
      <c r="K11" s="157"/>
      <c r="L11" s="157"/>
      <c r="M11" s="157"/>
      <c r="N11" s="157"/>
      <c r="O11" s="157"/>
      <c r="P11" s="157"/>
      <c r="Q11" s="157"/>
      <c r="R11" s="157"/>
      <c r="S11" s="157"/>
      <c r="T11" s="157"/>
      <c r="U11" s="158"/>
    </row>
    <row r="12" spans="1:24" ht="18" customHeight="1" x14ac:dyDescent="0.15">
      <c r="B12" s="159"/>
      <c r="C12" s="160"/>
      <c r="D12" s="160"/>
      <c r="E12" s="160"/>
      <c r="F12" s="160"/>
      <c r="G12" s="160"/>
      <c r="H12" s="160"/>
      <c r="I12" s="160"/>
      <c r="J12" s="160"/>
      <c r="K12" s="160"/>
      <c r="L12" s="160"/>
      <c r="M12" s="160"/>
      <c r="N12" s="160"/>
      <c r="O12" s="160"/>
      <c r="P12" s="160"/>
      <c r="Q12" s="160"/>
      <c r="R12" s="160"/>
      <c r="S12" s="160"/>
      <c r="T12" s="160"/>
      <c r="U12" s="161"/>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11</v>
      </c>
      <c r="B14" s="3"/>
      <c r="C14" s="3"/>
      <c r="D14" s="3"/>
      <c r="E14" s="18"/>
      <c r="F14" s="18"/>
      <c r="G14" s="18"/>
      <c r="H14" s="18"/>
      <c r="I14" s="18"/>
      <c r="J14" s="18"/>
      <c r="K14" s="18"/>
      <c r="L14" s="70"/>
      <c r="M14" s="70"/>
      <c r="N14" s="70"/>
      <c r="O14" s="70"/>
      <c r="P14" s="70"/>
      <c r="Q14" s="70"/>
      <c r="R14" s="70"/>
      <c r="S14" s="70"/>
      <c r="T14" s="70"/>
      <c r="U14" s="70"/>
    </row>
    <row r="15" spans="1:24" ht="18" customHeight="1" x14ac:dyDescent="0.15">
      <c r="B15" s="114" t="s">
        <v>12</v>
      </c>
      <c r="C15" s="115"/>
      <c r="D15" s="115"/>
      <c r="E15" s="115"/>
      <c r="F15" s="115"/>
      <c r="G15" s="115"/>
      <c r="H15" s="115"/>
      <c r="I15" s="115"/>
      <c r="J15" s="115"/>
      <c r="K15" s="115"/>
      <c r="L15" s="115"/>
      <c r="M15" s="115"/>
      <c r="N15" s="115"/>
      <c r="O15" s="115"/>
      <c r="P15" s="115"/>
      <c r="Q15" s="115"/>
      <c r="R15" s="115"/>
      <c r="S15" s="115"/>
      <c r="T15" s="115"/>
      <c r="U15" s="116"/>
      <c r="X15" s="1" t="s">
        <v>13</v>
      </c>
    </row>
    <row r="16" spans="1:24" ht="18" customHeight="1" x14ac:dyDescent="0.15">
      <c r="B16" s="117"/>
      <c r="C16" s="118"/>
      <c r="D16" s="118"/>
      <c r="E16" s="118"/>
      <c r="F16" s="118"/>
      <c r="G16" s="118"/>
      <c r="H16" s="118"/>
      <c r="I16" s="118"/>
      <c r="J16" s="118"/>
      <c r="K16" s="118"/>
      <c r="L16" s="118"/>
      <c r="M16" s="118"/>
      <c r="N16" s="118"/>
      <c r="O16" s="118"/>
      <c r="P16" s="118"/>
      <c r="Q16" s="118"/>
      <c r="R16" s="118"/>
      <c r="S16" s="118"/>
      <c r="T16" s="118"/>
      <c r="U16" s="119"/>
      <c r="X16" s="1" t="s">
        <v>14</v>
      </c>
    </row>
    <row r="17" spans="1:24" ht="18" customHeight="1" x14ac:dyDescent="0.15">
      <c r="B17" s="117"/>
      <c r="C17" s="118"/>
      <c r="D17" s="118"/>
      <c r="E17" s="118"/>
      <c r="F17" s="118"/>
      <c r="G17" s="118"/>
      <c r="H17" s="118"/>
      <c r="I17" s="118"/>
      <c r="J17" s="118"/>
      <c r="K17" s="118"/>
      <c r="L17" s="118"/>
      <c r="M17" s="118"/>
      <c r="N17" s="118"/>
      <c r="O17" s="118"/>
      <c r="P17" s="118"/>
      <c r="Q17" s="118"/>
      <c r="R17" s="118"/>
      <c r="S17" s="118"/>
      <c r="T17" s="118"/>
      <c r="U17" s="119"/>
      <c r="X17" s="1" t="s">
        <v>15</v>
      </c>
    </row>
    <row r="18" spans="1:24" ht="18" customHeight="1" x14ac:dyDescent="0.15">
      <c r="B18" s="117"/>
      <c r="C18" s="118"/>
      <c r="D18" s="118"/>
      <c r="E18" s="118"/>
      <c r="F18" s="118"/>
      <c r="G18" s="118"/>
      <c r="H18" s="118"/>
      <c r="I18" s="118"/>
      <c r="J18" s="118"/>
      <c r="K18" s="118"/>
      <c r="L18" s="118"/>
      <c r="M18" s="118"/>
      <c r="N18" s="118"/>
      <c r="O18" s="118"/>
      <c r="P18" s="118"/>
      <c r="Q18" s="118"/>
      <c r="R18" s="118"/>
      <c r="S18" s="118"/>
      <c r="T18" s="118"/>
      <c r="U18" s="119"/>
      <c r="X18" s="1" t="s">
        <v>16</v>
      </c>
    </row>
    <row r="19" spans="1:24" ht="18" customHeight="1" x14ac:dyDescent="0.15">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17</v>
      </c>
      <c r="E22" s="71">
        <v>1</v>
      </c>
      <c r="F22" s="1" t="s">
        <v>18</v>
      </c>
      <c r="H22" s="19">
        <v>2</v>
      </c>
      <c r="I22" s="3" t="s">
        <v>19</v>
      </c>
      <c r="J22" s="3"/>
      <c r="K22" s="18"/>
      <c r="M22" s="18" t="s">
        <v>20</v>
      </c>
      <c r="N22" s="144" t="s">
        <v>14</v>
      </c>
      <c r="O22" s="145"/>
      <c r="P22" s="145"/>
      <c r="Q22" s="145"/>
      <c r="R22" s="145"/>
      <c r="S22" s="145"/>
      <c r="T22" s="145"/>
      <c r="U22" s="14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5" t="s">
        <v>21</v>
      </c>
      <c r="B24" s="95"/>
      <c r="C24" s="95"/>
      <c r="D24" s="95"/>
      <c r="E24" s="95"/>
      <c r="F24" s="95"/>
      <c r="G24" s="95"/>
      <c r="H24" s="95"/>
      <c r="I24" s="95"/>
      <c r="J24" s="95"/>
      <c r="K24" s="95"/>
      <c r="L24" s="95"/>
      <c r="M24" s="95"/>
      <c r="N24" s="95"/>
      <c r="O24" s="95"/>
      <c r="P24" s="95"/>
      <c r="Q24" s="95"/>
      <c r="R24" s="95"/>
      <c r="S24" s="95"/>
      <c r="T24" s="95"/>
      <c r="U24" s="95"/>
    </row>
    <row r="25" spans="1:24" ht="18" customHeight="1" x14ac:dyDescent="0.15">
      <c r="A25" s="95"/>
      <c r="B25" s="95"/>
      <c r="C25" s="95"/>
      <c r="D25" s="95"/>
      <c r="E25" s="95"/>
      <c r="F25" s="95"/>
      <c r="G25" s="95"/>
      <c r="H25" s="95"/>
      <c r="I25" s="95"/>
      <c r="J25" s="95"/>
      <c r="K25" s="95"/>
      <c r="L25" s="95"/>
      <c r="M25" s="95"/>
      <c r="N25" s="95"/>
      <c r="O25" s="95"/>
      <c r="P25" s="95"/>
      <c r="Q25" s="95"/>
      <c r="R25" s="95"/>
      <c r="S25" s="95"/>
      <c r="T25" s="95"/>
      <c r="U25" s="95"/>
    </row>
    <row r="26" spans="1:24" ht="18" customHeight="1" x14ac:dyDescent="0.15">
      <c r="B26" s="102" t="s">
        <v>22</v>
      </c>
      <c r="C26" s="103"/>
      <c r="D26" s="103"/>
      <c r="E26" s="103"/>
      <c r="F26" s="104"/>
      <c r="G26" s="55" t="s">
        <v>23</v>
      </c>
      <c r="H26" s="56" t="s">
        <v>24</v>
      </c>
      <c r="I26" s="57" t="s">
        <v>25</v>
      </c>
      <c r="J26" s="57" t="s">
        <v>26</v>
      </c>
      <c r="K26" s="102" t="s">
        <v>22</v>
      </c>
      <c r="L26" s="103"/>
      <c r="M26" s="103"/>
      <c r="N26" s="103"/>
      <c r="O26" s="103"/>
      <c r="P26" s="103"/>
      <c r="Q26" s="104"/>
      <c r="R26" s="55" t="s">
        <v>23</v>
      </c>
      <c r="S26" s="56" t="s">
        <v>24</v>
      </c>
      <c r="T26" s="57" t="s">
        <v>25</v>
      </c>
      <c r="U26" s="57" t="s">
        <v>26</v>
      </c>
    </row>
    <row r="27" spans="1:24" ht="18" customHeight="1" x14ac:dyDescent="0.15">
      <c r="B27" s="96" t="s">
        <v>27</v>
      </c>
      <c r="C27" s="97"/>
      <c r="D27" s="97"/>
      <c r="E27" s="97"/>
      <c r="F27" s="98"/>
      <c r="G27" s="58">
        <v>2</v>
      </c>
      <c r="H27" s="58" t="s">
        <v>28</v>
      </c>
      <c r="I27" s="58" t="s">
        <v>28</v>
      </c>
      <c r="J27" s="58" t="s">
        <v>28</v>
      </c>
      <c r="K27" s="96"/>
      <c r="L27" s="97"/>
      <c r="M27" s="97"/>
      <c r="N27" s="97"/>
      <c r="O27" s="97"/>
      <c r="P27" s="97"/>
      <c r="Q27" s="98"/>
      <c r="R27" s="58"/>
      <c r="S27" s="58"/>
      <c r="T27" s="58"/>
      <c r="U27" s="58"/>
    </row>
    <row r="28" spans="1:24" ht="18" customHeight="1" x14ac:dyDescent="0.15">
      <c r="B28" s="89"/>
      <c r="C28" s="90"/>
      <c r="D28" s="90"/>
      <c r="E28" s="90"/>
      <c r="F28" s="91"/>
      <c r="G28" s="59"/>
      <c r="H28" s="59"/>
      <c r="I28" s="59"/>
      <c r="J28" s="59"/>
      <c r="K28" s="89"/>
      <c r="L28" s="90"/>
      <c r="M28" s="90"/>
      <c r="N28" s="90"/>
      <c r="O28" s="90"/>
      <c r="P28" s="90"/>
      <c r="Q28" s="91"/>
      <c r="R28" s="59"/>
      <c r="S28" s="59"/>
      <c r="T28" s="59"/>
      <c r="U28" s="59"/>
    </row>
    <row r="29" spans="1:24" ht="18" customHeight="1" x14ac:dyDescent="0.15">
      <c r="B29" s="89"/>
      <c r="C29" s="90"/>
      <c r="D29" s="90"/>
      <c r="E29" s="90"/>
      <c r="F29" s="91"/>
      <c r="G29" s="59"/>
      <c r="H29" s="59"/>
      <c r="I29" s="59"/>
      <c r="J29" s="59"/>
      <c r="K29" s="89"/>
      <c r="L29" s="90"/>
      <c r="M29" s="90"/>
      <c r="N29" s="90"/>
      <c r="O29" s="90"/>
      <c r="P29" s="90"/>
      <c r="Q29" s="91"/>
      <c r="R29" s="59"/>
      <c r="S29" s="59"/>
      <c r="T29" s="59"/>
      <c r="U29" s="59"/>
    </row>
    <row r="30" spans="1:24" ht="18" customHeight="1" x14ac:dyDescent="0.15">
      <c r="B30" s="89"/>
      <c r="C30" s="90"/>
      <c r="D30" s="90"/>
      <c r="E30" s="90"/>
      <c r="F30" s="91"/>
      <c r="G30" s="59"/>
      <c r="H30" s="59"/>
      <c r="I30" s="59"/>
      <c r="J30" s="59"/>
      <c r="K30" s="89"/>
      <c r="L30" s="90"/>
      <c r="M30" s="90"/>
      <c r="N30" s="90"/>
      <c r="O30" s="90"/>
      <c r="P30" s="90"/>
      <c r="Q30" s="91"/>
      <c r="R30" s="59"/>
      <c r="S30" s="59"/>
      <c r="T30" s="59"/>
      <c r="U30" s="59"/>
    </row>
    <row r="31" spans="1:24" ht="18" customHeight="1" x14ac:dyDescent="0.15">
      <c r="B31" s="89"/>
      <c r="C31" s="90"/>
      <c r="D31" s="90"/>
      <c r="E31" s="90"/>
      <c r="F31" s="91"/>
      <c r="G31" s="59"/>
      <c r="H31" s="59"/>
      <c r="I31" s="59"/>
      <c r="J31" s="59"/>
      <c r="K31" s="89"/>
      <c r="L31" s="90"/>
      <c r="M31" s="90"/>
      <c r="N31" s="90"/>
      <c r="O31" s="90"/>
      <c r="P31" s="90"/>
      <c r="Q31" s="91"/>
      <c r="R31" s="59"/>
      <c r="S31" s="59"/>
      <c r="T31" s="59"/>
      <c r="U31" s="59"/>
    </row>
    <row r="32" spans="1:24" ht="18" customHeight="1" x14ac:dyDescent="0.15">
      <c r="A32" s="3"/>
      <c r="B32" s="89"/>
      <c r="C32" s="90"/>
      <c r="D32" s="90"/>
      <c r="E32" s="90"/>
      <c r="F32" s="91"/>
      <c r="G32" s="59"/>
      <c r="H32" s="59"/>
      <c r="I32" s="59"/>
      <c r="J32" s="59"/>
      <c r="K32" s="89"/>
      <c r="L32" s="90"/>
      <c r="M32" s="90"/>
      <c r="N32" s="90"/>
      <c r="O32" s="90"/>
      <c r="P32" s="90"/>
      <c r="Q32" s="91"/>
      <c r="R32" s="59"/>
      <c r="S32" s="59"/>
      <c r="T32" s="59"/>
      <c r="U32" s="59"/>
    </row>
    <row r="33" spans="1:21" ht="18" customHeight="1" x14ac:dyDescent="0.15">
      <c r="A33" s="3"/>
      <c r="B33" s="92"/>
      <c r="C33" s="93"/>
      <c r="D33" s="93"/>
      <c r="E33" s="93"/>
      <c r="F33" s="94"/>
      <c r="G33" s="60"/>
      <c r="H33" s="60"/>
      <c r="I33" s="61"/>
      <c r="J33" s="61"/>
      <c r="K33" s="92"/>
      <c r="L33" s="93"/>
      <c r="M33" s="93"/>
      <c r="N33" s="93"/>
      <c r="O33" s="93"/>
      <c r="P33" s="93"/>
      <c r="Q33" s="94"/>
      <c r="R33" s="60"/>
      <c r="S33" s="60"/>
      <c r="T33" s="61"/>
      <c r="U33" s="6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5" t="s">
        <v>29</v>
      </c>
      <c r="B35" s="95"/>
      <c r="C35" s="95"/>
      <c r="D35" s="95"/>
      <c r="E35" s="95"/>
      <c r="F35" s="95"/>
      <c r="G35" s="95"/>
      <c r="H35" s="95"/>
      <c r="I35" s="95"/>
      <c r="J35" s="95"/>
      <c r="K35" s="95"/>
      <c r="L35" s="95"/>
      <c r="M35" s="95"/>
      <c r="N35" s="95"/>
      <c r="O35" s="95"/>
      <c r="P35" s="95"/>
      <c r="Q35" s="95"/>
      <c r="R35" s="95"/>
      <c r="S35" s="95"/>
      <c r="T35" s="95"/>
      <c r="U35" s="95"/>
    </row>
    <row r="36" spans="1:21" ht="18" customHeight="1" x14ac:dyDescent="0.15">
      <c r="A36" s="95"/>
      <c r="B36" s="95"/>
      <c r="C36" s="95"/>
      <c r="D36" s="95"/>
      <c r="E36" s="95"/>
      <c r="F36" s="95"/>
      <c r="G36" s="95"/>
      <c r="H36" s="95"/>
      <c r="I36" s="95"/>
      <c r="J36" s="95"/>
      <c r="K36" s="95"/>
      <c r="L36" s="95"/>
      <c r="M36" s="95"/>
      <c r="N36" s="95"/>
      <c r="O36" s="95"/>
      <c r="P36" s="95"/>
      <c r="Q36" s="95"/>
      <c r="R36" s="95"/>
      <c r="S36" s="95"/>
      <c r="T36" s="95"/>
      <c r="U36" s="95"/>
    </row>
    <row r="37" spans="1:21" ht="18" customHeight="1" x14ac:dyDescent="0.15">
      <c r="B37" s="102" t="s">
        <v>22</v>
      </c>
      <c r="C37" s="103"/>
      <c r="D37" s="103"/>
      <c r="E37" s="103"/>
      <c r="F37" s="104"/>
      <c r="G37" s="55" t="s">
        <v>23</v>
      </c>
      <c r="H37" s="56" t="s">
        <v>24</v>
      </c>
      <c r="I37" s="57" t="s">
        <v>30</v>
      </c>
      <c r="J37" s="57" t="s">
        <v>31</v>
      </c>
      <c r="K37" s="102" t="s">
        <v>22</v>
      </c>
      <c r="L37" s="103"/>
      <c r="M37" s="103"/>
      <c r="N37" s="103"/>
      <c r="O37" s="103"/>
      <c r="P37" s="103"/>
      <c r="Q37" s="104"/>
      <c r="R37" s="55" t="s">
        <v>23</v>
      </c>
      <c r="S37" s="56" t="s">
        <v>24</v>
      </c>
      <c r="T37" s="57" t="s">
        <v>30</v>
      </c>
      <c r="U37" s="57" t="s">
        <v>31</v>
      </c>
    </row>
    <row r="38" spans="1:21" ht="18" customHeight="1" x14ac:dyDescent="0.15">
      <c r="B38" s="96" t="s">
        <v>27</v>
      </c>
      <c r="C38" s="97"/>
      <c r="D38" s="97"/>
      <c r="E38" s="97"/>
      <c r="F38" s="98"/>
      <c r="G38" s="58">
        <v>2</v>
      </c>
      <c r="H38" s="58" t="s">
        <v>28</v>
      </c>
      <c r="I38" s="58" t="s">
        <v>28</v>
      </c>
      <c r="J38" s="58" t="s">
        <v>28</v>
      </c>
      <c r="K38" s="96"/>
      <c r="L38" s="97"/>
      <c r="M38" s="97"/>
      <c r="N38" s="97"/>
      <c r="O38" s="97"/>
      <c r="P38" s="97"/>
      <c r="Q38" s="98"/>
      <c r="R38" s="58"/>
      <c r="S38" s="58"/>
      <c r="T38" s="58"/>
      <c r="U38" s="58"/>
    </row>
    <row r="39" spans="1:21" ht="18" customHeight="1" x14ac:dyDescent="0.15">
      <c r="B39" s="89"/>
      <c r="C39" s="90"/>
      <c r="D39" s="90"/>
      <c r="E39" s="90"/>
      <c r="F39" s="91"/>
      <c r="G39" s="59"/>
      <c r="H39" s="59"/>
      <c r="I39" s="59"/>
      <c r="J39" s="59"/>
      <c r="K39" s="89"/>
      <c r="L39" s="90"/>
      <c r="M39" s="90"/>
      <c r="N39" s="90"/>
      <c r="O39" s="90"/>
      <c r="P39" s="90"/>
      <c r="Q39" s="91"/>
      <c r="R39" s="59"/>
      <c r="S39" s="59"/>
      <c r="T39" s="59"/>
      <c r="U39" s="59"/>
    </row>
    <row r="40" spans="1:21" ht="18" customHeight="1" x14ac:dyDescent="0.15">
      <c r="B40" s="89"/>
      <c r="C40" s="90"/>
      <c r="D40" s="90"/>
      <c r="E40" s="90"/>
      <c r="F40" s="91"/>
      <c r="G40" s="59"/>
      <c r="H40" s="59"/>
      <c r="I40" s="59"/>
      <c r="J40" s="59"/>
      <c r="K40" s="89"/>
      <c r="L40" s="90"/>
      <c r="M40" s="90"/>
      <c r="N40" s="90"/>
      <c r="O40" s="90"/>
      <c r="P40" s="90"/>
      <c r="Q40" s="91"/>
      <c r="R40" s="59"/>
      <c r="S40" s="59"/>
      <c r="T40" s="59"/>
      <c r="U40" s="59"/>
    </row>
    <row r="41" spans="1:21" ht="18" customHeight="1" x14ac:dyDescent="0.15">
      <c r="B41" s="89"/>
      <c r="C41" s="90"/>
      <c r="D41" s="90"/>
      <c r="E41" s="90"/>
      <c r="F41" s="91"/>
      <c r="G41" s="59"/>
      <c r="H41" s="59"/>
      <c r="I41" s="59"/>
      <c r="J41" s="59"/>
      <c r="K41" s="89"/>
      <c r="L41" s="90"/>
      <c r="M41" s="90"/>
      <c r="N41" s="90"/>
      <c r="O41" s="90"/>
      <c r="P41" s="90"/>
      <c r="Q41" s="91"/>
      <c r="R41" s="59"/>
      <c r="S41" s="59"/>
      <c r="T41" s="59"/>
      <c r="U41" s="59"/>
    </row>
    <row r="42" spans="1:21" ht="18" customHeight="1" x14ac:dyDescent="0.15">
      <c r="B42" s="89"/>
      <c r="C42" s="90"/>
      <c r="D42" s="90"/>
      <c r="E42" s="90"/>
      <c r="F42" s="91"/>
      <c r="G42" s="59"/>
      <c r="H42" s="59"/>
      <c r="I42" s="59"/>
      <c r="J42" s="59"/>
      <c r="K42" s="89"/>
      <c r="L42" s="90"/>
      <c r="M42" s="90"/>
      <c r="N42" s="90"/>
      <c r="O42" s="90"/>
      <c r="P42" s="90"/>
      <c r="Q42" s="91"/>
      <c r="R42" s="59"/>
      <c r="S42" s="59"/>
      <c r="T42" s="59"/>
      <c r="U42" s="59"/>
    </row>
    <row r="43" spans="1:21" ht="18" customHeight="1" x14ac:dyDescent="0.15">
      <c r="B43" s="89"/>
      <c r="C43" s="90"/>
      <c r="D43" s="90"/>
      <c r="E43" s="90"/>
      <c r="F43" s="91"/>
      <c r="G43" s="59"/>
      <c r="H43" s="59"/>
      <c r="I43" s="59"/>
      <c r="J43" s="59"/>
      <c r="K43" s="89"/>
      <c r="L43" s="90"/>
      <c r="M43" s="90"/>
      <c r="N43" s="90"/>
      <c r="O43" s="90"/>
      <c r="P43" s="90"/>
      <c r="Q43" s="91"/>
      <c r="R43" s="59"/>
      <c r="S43" s="59"/>
      <c r="T43" s="59"/>
      <c r="U43" s="59"/>
    </row>
    <row r="44" spans="1:21" ht="18" customHeight="1" x14ac:dyDescent="0.15">
      <c r="B44" s="92"/>
      <c r="C44" s="93"/>
      <c r="D44" s="93"/>
      <c r="E44" s="93"/>
      <c r="F44" s="94"/>
      <c r="G44" s="60"/>
      <c r="H44" s="60"/>
      <c r="I44" s="61"/>
      <c r="J44" s="61"/>
      <c r="K44" s="92"/>
      <c r="L44" s="93"/>
      <c r="M44" s="93"/>
      <c r="N44" s="93"/>
      <c r="O44" s="93"/>
      <c r="P44" s="93"/>
      <c r="Q44" s="94"/>
      <c r="R44" s="60"/>
      <c r="S44" s="60"/>
      <c r="T44" s="61"/>
      <c r="U44" s="6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5" t="s">
        <v>32</v>
      </c>
      <c r="B46" s="95"/>
      <c r="C46" s="95"/>
      <c r="D46" s="95"/>
      <c r="E46" s="95"/>
      <c r="F46" s="95"/>
      <c r="G46" s="95"/>
      <c r="H46" s="95"/>
      <c r="I46" s="95"/>
      <c r="J46" s="95"/>
      <c r="K46" s="95"/>
      <c r="L46" s="95"/>
      <c r="M46" s="95"/>
      <c r="N46" s="95"/>
      <c r="O46" s="95"/>
      <c r="P46" s="95"/>
      <c r="Q46" s="95"/>
      <c r="R46" s="95"/>
      <c r="S46" s="95"/>
      <c r="T46" s="95"/>
      <c r="U46" s="95"/>
    </row>
    <row r="47" spans="1:21" ht="18" customHeight="1" x14ac:dyDescent="0.15">
      <c r="A47" s="95"/>
      <c r="B47" s="95"/>
      <c r="C47" s="95"/>
      <c r="D47" s="95"/>
      <c r="E47" s="95"/>
      <c r="F47" s="95"/>
      <c r="G47" s="95"/>
      <c r="H47" s="95"/>
      <c r="I47" s="95"/>
      <c r="J47" s="95"/>
      <c r="K47" s="95"/>
      <c r="L47" s="95"/>
      <c r="M47" s="95"/>
      <c r="N47" s="95"/>
      <c r="O47" s="95"/>
      <c r="P47" s="95"/>
      <c r="Q47" s="95"/>
      <c r="R47" s="95"/>
      <c r="S47" s="95"/>
      <c r="T47" s="95"/>
      <c r="U47" s="95"/>
    </row>
    <row r="48" spans="1:21" ht="18" customHeight="1" x14ac:dyDescent="0.15">
      <c r="B48" s="102" t="s">
        <v>22</v>
      </c>
      <c r="C48" s="103"/>
      <c r="D48" s="103"/>
      <c r="E48" s="103"/>
      <c r="F48" s="104"/>
      <c r="G48" s="55" t="s">
        <v>23</v>
      </c>
      <c r="H48" s="56" t="s">
        <v>24</v>
      </c>
      <c r="I48" s="57" t="s">
        <v>33</v>
      </c>
      <c r="J48" s="57" t="s">
        <v>34</v>
      </c>
      <c r="K48" s="102" t="s">
        <v>22</v>
      </c>
      <c r="L48" s="103"/>
      <c r="M48" s="103"/>
      <c r="N48" s="103"/>
      <c r="O48" s="103"/>
      <c r="P48" s="103"/>
      <c r="Q48" s="104"/>
      <c r="R48" s="55" t="s">
        <v>23</v>
      </c>
      <c r="S48" s="56" t="s">
        <v>24</v>
      </c>
      <c r="T48" s="57" t="s">
        <v>33</v>
      </c>
      <c r="U48" s="57" t="s">
        <v>34</v>
      </c>
    </row>
    <row r="49" spans="1:21" ht="18" customHeight="1" x14ac:dyDescent="0.15">
      <c r="A49" s="3"/>
      <c r="B49" s="96" t="s">
        <v>27</v>
      </c>
      <c r="C49" s="97"/>
      <c r="D49" s="97"/>
      <c r="E49" s="97"/>
      <c r="F49" s="98"/>
      <c r="G49" s="58">
        <v>2</v>
      </c>
      <c r="H49" s="58" t="s">
        <v>28</v>
      </c>
      <c r="I49" s="58" t="s">
        <v>28</v>
      </c>
      <c r="J49" s="58" t="s">
        <v>28</v>
      </c>
      <c r="K49" s="96"/>
      <c r="L49" s="97"/>
      <c r="M49" s="97"/>
      <c r="N49" s="97"/>
      <c r="O49" s="97"/>
      <c r="P49" s="97"/>
      <c r="Q49" s="98"/>
      <c r="R49" s="58"/>
      <c r="S49" s="58"/>
      <c r="T49" s="58"/>
      <c r="U49" s="58"/>
    </row>
    <row r="50" spans="1:21" ht="18" customHeight="1" x14ac:dyDescent="0.15">
      <c r="A50" s="3"/>
      <c r="B50" s="89"/>
      <c r="C50" s="90"/>
      <c r="D50" s="90"/>
      <c r="E50" s="90"/>
      <c r="F50" s="91"/>
      <c r="G50" s="59"/>
      <c r="H50" s="59"/>
      <c r="I50" s="59"/>
      <c r="J50" s="59"/>
      <c r="K50" s="89"/>
      <c r="L50" s="90"/>
      <c r="M50" s="90"/>
      <c r="N50" s="90"/>
      <c r="O50" s="90"/>
      <c r="P50" s="90"/>
      <c r="Q50" s="91"/>
      <c r="R50" s="59"/>
      <c r="S50" s="59"/>
      <c r="T50" s="59"/>
      <c r="U50" s="59"/>
    </row>
    <row r="51" spans="1:21" ht="18" customHeight="1" x14ac:dyDescent="0.15">
      <c r="A51" s="3"/>
      <c r="B51" s="89"/>
      <c r="C51" s="90"/>
      <c r="D51" s="90"/>
      <c r="E51" s="90"/>
      <c r="F51" s="91"/>
      <c r="G51" s="59"/>
      <c r="H51" s="59"/>
      <c r="I51" s="59"/>
      <c r="J51" s="59"/>
      <c r="K51" s="89"/>
      <c r="L51" s="90"/>
      <c r="M51" s="90"/>
      <c r="N51" s="90"/>
      <c r="O51" s="90"/>
      <c r="P51" s="90"/>
      <c r="Q51" s="91"/>
      <c r="R51" s="59"/>
      <c r="S51" s="59"/>
      <c r="T51" s="59"/>
      <c r="U51" s="59"/>
    </row>
    <row r="52" spans="1:21" ht="18" customHeight="1" x14ac:dyDescent="0.15">
      <c r="A52" s="3"/>
      <c r="B52" s="89"/>
      <c r="C52" s="90"/>
      <c r="D52" s="90"/>
      <c r="E52" s="90"/>
      <c r="F52" s="91"/>
      <c r="G52" s="59"/>
      <c r="H52" s="59"/>
      <c r="I52" s="59"/>
      <c r="J52" s="59"/>
      <c r="K52" s="89"/>
      <c r="L52" s="90"/>
      <c r="M52" s="90"/>
      <c r="N52" s="90"/>
      <c r="O52" s="90"/>
      <c r="P52" s="90"/>
      <c r="Q52" s="91"/>
      <c r="R52" s="59"/>
      <c r="S52" s="59"/>
      <c r="T52" s="59"/>
      <c r="U52" s="59"/>
    </row>
    <row r="53" spans="1:21" ht="18" customHeight="1" x14ac:dyDescent="0.15">
      <c r="A53" s="3"/>
      <c r="B53" s="89"/>
      <c r="C53" s="90"/>
      <c r="D53" s="90"/>
      <c r="E53" s="90"/>
      <c r="F53" s="91"/>
      <c r="G53" s="59"/>
      <c r="H53" s="59"/>
      <c r="I53" s="59"/>
      <c r="J53" s="59"/>
      <c r="K53" s="89"/>
      <c r="L53" s="90"/>
      <c r="M53" s="90"/>
      <c r="N53" s="90"/>
      <c r="O53" s="90"/>
      <c r="P53" s="90"/>
      <c r="Q53" s="91"/>
      <c r="R53" s="59"/>
      <c r="S53" s="59"/>
      <c r="T53" s="59"/>
      <c r="U53" s="59"/>
    </row>
    <row r="54" spans="1:21" ht="18" customHeight="1" x14ac:dyDescent="0.15">
      <c r="A54" s="3"/>
      <c r="B54" s="89"/>
      <c r="C54" s="90"/>
      <c r="D54" s="90"/>
      <c r="E54" s="90"/>
      <c r="F54" s="91"/>
      <c r="G54" s="59"/>
      <c r="H54" s="59"/>
      <c r="I54" s="59"/>
      <c r="J54" s="59"/>
      <c r="K54" s="89"/>
      <c r="L54" s="90"/>
      <c r="M54" s="90"/>
      <c r="N54" s="90"/>
      <c r="O54" s="90"/>
      <c r="P54" s="90"/>
      <c r="Q54" s="91"/>
      <c r="R54" s="59"/>
      <c r="S54" s="59"/>
      <c r="T54" s="59"/>
      <c r="U54" s="59"/>
    </row>
    <row r="55" spans="1:21" ht="18" customHeight="1" x14ac:dyDescent="0.15">
      <c r="A55" s="3"/>
      <c r="B55" s="92"/>
      <c r="C55" s="93"/>
      <c r="D55" s="93"/>
      <c r="E55" s="93"/>
      <c r="F55" s="94"/>
      <c r="G55" s="60"/>
      <c r="H55" s="60"/>
      <c r="I55" s="61"/>
      <c r="J55" s="61"/>
      <c r="K55" s="92"/>
      <c r="L55" s="93"/>
      <c r="M55" s="93"/>
      <c r="N55" s="93"/>
      <c r="O55" s="93"/>
      <c r="P55" s="93"/>
      <c r="Q55" s="94"/>
      <c r="R55" s="60"/>
      <c r="S55" s="60"/>
      <c r="T55" s="61"/>
      <c r="U55" s="6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5" t="s">
        <v>35</v>
      </c>
      <c r="B57" s="95"/>
      <c r="C57" s="95"/>
      <c r="D57" s="95"/>
      <c r="E57" s="95"/>
      <c r="F57" s="95"/>
      <c r="G57" s="95"/>
      <c r="H57" s="95"/>
      <c r="I57" s="95"/>
      <c r="J57" s="95"/>
      <c r="K57" s="95"/>
      <c r="L57" s="95"/>
      <c r="M57" s="95"/>
      <c r="N57" s="95"/>
      <c r="O57" s="95"/>
      <c r="P57" s="95"/>
      <c r="Q57" s="95"/>
      <c r="R57" s="95"/>
      <c r="S57" s="95"/>
      <c r="T57" s="95"/>
      <c r="U57" s="95"/>
    </row>
    <row r="58" spans="1:21" ht="18" customHeight="1" x14ac:dyDescent="0.15">
      <c r="A58" s="95"/>
      <c r="B58" s="95"/>
      <c r="C58" s="95"/>
      <c r="D58" s="95"/>
      <c r="E58" s="95"/>
      <c r="F58" s="95"/>
      <c r="G58" s="95"/>
      <c r="H58" s="95"/>
      <c r="I58" s="95"/>
      <c r="J58" s="95"/>
      <c r="K58" s="95"/>
      <c r="L58" s="95"/>
      <c r="M58" s="95"/>
      <c r="N58" s="95"/>
      <c r="O58" s="95"/>
      <c r="P58" s="95"/>
      <c r="Q58" s="95"/>
      <c r="R58" s="95"/>
      <c r="S58" s="95"/>
      <c r="T58" s="95"/>
      <c r="U58" s="95"/>
    </row>
    <row r="59" spans="1:21" ht="18" customHeight="1" x14ac:dyDescent="0.15">
      <c r="B59" s="102" t="s">
        <v>22</v>
      </c>
      <c r="C59" s="103"/>
      <c r="D59" s="103"/>
      <c r="E59" s="103"/>
      <c r="F59" s="104"/>
      <c r="G59" s="55" t="s">
        <v>23</v>
      </c>
      <c r="H59" s="56" t="s">
        <v>24</v>
      </c>
      <c r="I59" s="57" t="s">
        <v>36</v>
      </c>
      <c r="J59" s="57" t="s">
        <v>37</v>
      </c>
      <c r="K59" s="102" t="s">
        <v>22</v>
      </c>
      <c r="L59" s="103"/>
      <c r="M59" s="103"/>
      <c r="N59" s="103"/>
      <c r="O59" s="103"/>
      <c r="P59" s="103"/>
      <c r="Q59" s="104"/>
      <c r="R59" s="55" t="s">
        <v>23</v>
      </c>
      <c r="S59" s="56" t="s">
        <v>24</v>
      </c>
      <c r="T59" s="57" t="s">
        <v>36</v>
      </c>
      <c r="U59" s="57" t="s">
        <v>37</v>
      </c>
    </row>
    <row r="60" spans="1:21" ht="18" customHeight="1" x14ac:dyDescent="0.15">
      <c r="A60" s="3"/>
      <c r="B60" s="96" t="s">
        <v>27</v>
      </c>
      <c r="C60" s="97"/>
      <c r="D60" s="97"/>
      <c r="E60" s="97"/>
      <c r="F60" s="98"/>
      <c r="G60" s="58">
        <v>2</v>
      </c>
      <c r="H60" s="58" t="s">
        <v>28</v>
      </c>
      <c r="I60" s="58" t="s">
        <v>28</v>
      </c>
      <c r="J60" s="58" t="s">
        <v>28</v>
      </c>
      <c r="K60" s="96"/>
      <c r="L60" s="97"/>
      <c r="M60" s="97"/>
      <c r="N60" s="97"/>
      <c r="O60" s="97"/>
      <c r="P60" s="97"/>
      <c r="Q60" s="98"/>
      <c r="R60" s="58"/>
      <c r="S60" s="58"/>
      <c r="T60" s="58"/>
      <c r="U60" s="58"/>
    </row>
    <row r="61" spans="1:21" ht="18" customHeight="1" x14ac:dyDescent="0.15">
      <c r="A61" s="3"/>
      <c r="B61" s="89"/>
      <c r="C61" s="90"/>
      <c r="D61" s="90"/>
      <c r="E61" s="90"/>
      <c r="F61" s="91"/>
      <c r="G61" s="59"/>
      <c r="H61" s="59"/>
      <c r="I61" s="59"/>
      <c r="J61" s="59"/>
      <c r="K61" s="89"/>
      <c r="L61" s="90"/>
      <c r="M61" s="90"/>
      <c r="N61" s="90"/>
      <c r="O61" s="90"/>
      <c r="P61" s="90"/>
      <c r="Q61" s="91"/>
      <c r="R61" s="59"/>
      <c r="S61" s="59"/>
      <c r="T61" s="59"/>
      <c r="U61" s="59"/>
    </row>
    <row r="62" spans="1:21" ht="18" customHeight="1" x14ac:dyDescent="0.15">
      <c r="A62" s="3"/>
      <c r="B62" s="89"/>
      <c r="C62" s="90"/>
      <c r="D62" s="90"/>
      <c r="E62" s="90"/>
      <c r="F62" s="91"/>
      <c r="G62" s="59"/>
      <c r="H62" s="59"/>
      <c r="I62" s="59"/>
      <c r="J62" s="59"/>
      <c r="K62" s="89"/>
      <c r="L62" s="90"/>
      <c r="M62" s="90"/>
      <c r="N62" s="90"/>
      <c r="O62" s="90"/>
      <c r="P62" s="90"/>
      <c r="Q62" s="91"/>
      <c r="R62" s="59"/>
      <c r="S62" s="59"/>
      <c r="T62" s="59"/>
      <c r="U62" s="59"/>
    </row>
    <row r="63" spans="1:21" ht="18" customHeight="1" x14ac:dyDescent="0.15">
      <c r="A63" s="3"/>
      <c r="B63" s="89"/>
      <c r="C63" s="90"/>
      <c r="D63" s="90"/>
      <c r="E63" s="90"/>
      <c r="F63" s="91"/>
      <c r="G63" s="59"/>
      <c r="H63" s="59"/>
      <c r="I63" s="59"/>
      <c r="J63" s="59"/>
      <c r="K63" s="89"/>
      <c r="L63" s="90"/>
      <c r="M63" s="90"/>
      <c r="N63" s="90"/>
      <c r="O63" s="90"/>
      <c r="P63" s="90"/>
      <c r="Q63" s="91"/>
      <c r="R63" s="59"/>
      <c r="S63" s="59"/>
      <c r="T63" s="59"/>
      <c r="U63" s="59"/>
    </row>
    <row r="64" spans="1:21" ht="18" customHeight="1" x14ac:dyDescent="0.15">
      <c r="A64" s="3"/>
      <c r="B64" s="89"/>
      <c r="C64" s="90"/>
      <c r="D64" s="90"/>
      <c r="E64" s="90"/>
      <c r="F64" s="91"/>
      <c r="G64" s="59"/>
      <c r="H64" s="59"/>
      <c r="I64" s="59"/>
      <c r="J64" s="59"/>
      <c r="K64" s="89"/>
      <c r="L64" s="90"/>
      <c r="M64" s="90"/>
      <c r="N64" s="90"/>
      <c r="O64" s="90"/>
      <c r="P64" s="90"/>
      <c r="Q64" s="91"/>
      <c r="R64" s="59"/>
      <c r="S64" s="59"/>
      <c r="T64" s="59"/>
      <c r="U64" s="59"/>
    </row>
    <row r="65" spans="1:27" ht="18" customHeight="1" x14ac:dyDescent="0.15">
      <c r="A65" s="3"/>
      <c r="B65" s="89"/>
      <c r="C65" s="90"/>
      <c r="D65" s="90"/>
      <c r="E65" s="90"/>
      <c r="F65" s="91"/>
      <c r="G65" s="59"/>
      <c r="H65" s="59"/>
      <c r="I65" s="59"/>
      <c r="J65" s="59"/>
      <c r="K65" s="89"/>
      <c r="L65" s="90"/>
      <c r="M65" s="90"/>
      <c r="N65" s="90"/>
      <c r="O65" s="90"/>
      <c r="P65" s="90"/>
      <c r="Q65" s="91"/>
      <c r="R65" s="59"/>
      <c r="S65" s="59"/>
      <c r="T65" s="59"/>
      <c r="U65" s="59"/>
    </row>
    <row r="66" spans="1:27" ht="18" customHeight="1" x14ac:dyDescent="0.15">
      <c r="A66" s="3"/>
      <c r="B66" s="92"/>
      <c r="C66" s="93"/>
      <c r="D66" s="93"/>
      <c r="E66" s="93"/>
      <c r="F66" s="94"/>
      <c r="G66" s="60"/>
      <c r="H66" s="60"/>
      <c r="I66" s="61"/>
      <c r="J66" s="61"/>
      <c r="K66" s="92"/>
      <c r="L66" s="93"/>
      <c r="M66" s="93"/>
      <c r="N66" s="93"/>
      <c r="O66" s="93"/>
      <c r="P66" s="93"/>
      <c r="Q66" s="94"/>
      <c r="R66" s="60"/>
      <c r="S66" s="60"/>
      <c r="T66" s="61"/>
      <c r="U66" s="61"/>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5" t="s">
        <v>38</v>
      </c>
      <c r="B68" s="95"/>
      <c r="C68" s="95"/>
      <c r="D68" s="95"/>
      <c r="E68" s="95"/>
      <c r="F68" s="95"/>
      <c r="G68" s="95"/>
      <c r="H68" s="95"/>
      <c r="I68" s="95"/>
      <c r="J68" s="95"/>
      <c r="K68" s="95"/>
      <c r="L68" s="95"/>
      <c r="M68" s="95"/>
      <c r="N68" s="95"/>
      <c r="O68" s="95"/>
      <c r="P68" s="95"/>
      <c r="Q68" s="95"/>
      <c r="R68" s="95"/>
      <c r="S68" s="95"/>
      <c r="T68" s="95"/>
      <c r="U68" s="95"/>
    </row>
    <row r="69" spans="1:27" ht="18" customHeight="1" x14ac:dyDescent="0.15">
      <c r="A69" s="95"/>
      <c r="B69" s="95"/>
      <c r="C69" s="95"/>
      <c r="D69" s="95"/>
      <c r="E69" s="95"/>
      <c r="F69" s="95"/>
      <c r="G69" s="95"/>
      <c r="H69" s="95"/>
      <c r="I69" s="95"/>
      <c r="J69" s="95"/>
      <c r="K69" s="95"/>
      <c r="L69" s="95"/>
      <c r="M69" s="95"/>
      <c r="N69" s="95"/>
      <c r="O69" s="95"/>
      <c r="P69" s="95"/>
      <c r="Q69" s="95"/>
      <c r="R69" s="95"/>
      <c r="S69" s="95"/>
      <c r="T69" s="95"/>
      <c r="U69" s="95"/>
    </row>
    <row r="70" spans="1:27" ht="18" customHeight="1" x14ac:dyDescent="0.15">
      <c r="B70" s="102" t="s">
        <v>22</v>
      </c>
      <c r="C70" s="103"/>
      <c r="D70" s="103"/>
      <c r="E70" s="103"/>
      <c r="F70" s="55" t="s">
        <v>23</v>
      </c>
      <c r="G70" s="56" t="s">
        <v>24</v>
      </c>
      <c r="H70" s="57" t="s">
        <v>39</v>
      </c>
      <c r="I70" s="57" t="s">
        <v>40</v>
      </c>
      <c r="J70" s="57" t="s">
        <v>41</v>
      </c>
      <c r="K70" s="102" t="s">
        <v>22</v>
      </c>
      <c r="L70" s="103"/>
      <c r="M70" s="103"/>
      <c r="N70" s="103"/>
      <c r="O70" s="103"/>
      <c r="P70" s="104"/>
      <c r="Q70" s="55" t="s">
        <v>23</v>
      </c>
      <c r="R70" s="56" t="s">
        <v>24</v>
      </c>
      <c r="S70" s="57" t="s">
        <v>39</v>
      </c>
      <c r="T70" s="57" t="s">
        <v>40</v>
      </c>
      <c r="U70" s="57" t="s">
        <v>41</v>
      </c>
    </row>
    <row r="71" spans="1:27" ht="18" customHeight="1" x14ac:dyDescent="0.15">
      <c r="A71" s="3"/>
      <c r="B71" s="96" t="s">
        <v>27</v>
      </c>
      <c r="C71" s="97"/>
      <c r="D71" s="97"/>
      <c r="E71" s="97"/>
      <c r="F71" s="58">
        <v>2</v>
      </c>
      <c r="G71" s="58" t="s">
        <v>28</v>
      </c>
      <c r="H71" s="58" t="s">
        <v>28</v>
      </c>
      <c r="I71" s="58" t="s">
        <v>28</v>
      </c>
      <c r="J71" s="58" t="s">
        <v>28</v>
      </c>
      <c r="K71" s="96"/>
      <c r="L71" s="97"/>
      <c r="M71" s="97"/>
      <c r="N71" s="97"/>
      <c r="O71" s="97"/>
      <c r="P71" s="98"/>
      <c r="Q71" s="58"/>
      <c r="R71" s="58"/>
      <c r="S71" s="58"/>
      <c r="T71" s="58"/>
      <c r="U71" s="58"/>
    </row>
    <row r="72" spans="1:27" ht="18" customHeight="1" x14ac:dyDescent="0.15">
      <c r="A72" s="3"/>
      <c r="B72" s="89"/>
      <c r="C72" s="90"/>
      <c r="D72" s="90"/>
      <c r="E72" s="90"/>
      <c r="F72" s="59"/>
      <c r="G72" s="59"/>
      <c r="H72" s="59"/>
      <c r="I72" s="59"/>
      <c r="J72" s="59"/>
      <c r="K72" s="89"/>
      <c r="L72" s="90"/>
      <c r="M72" s="90"/>
      <c r="N72" s="90"/>
      <c r="O72" s="90"/>
      <c r="P72" s="91"/>
      <c r="Q72" s="59"/>
      <c r="R72" s="59"/>
      <c r="S72" s="59"/>
      <c r="T72" s="59"/>
      <c r="U72" s="59"/>
    </row>
    <row r="73" spans="1:27" ht="18" customHeight="1" x14ac:dyDescent="0.15">
      <c r="A73" s="3"/>
      <c r="B73" s="89"/>
      <c r="C73" s="90"/>
      <c r="D73" s="90"/>
      <c r="E73" s="90"/>
      <c r="F73" s="59"/>
      <c r="G73" s="59"/>
      <c r="H73" s="59"/>
      <c r="I73" s="59"/>
      <c r="J73" s="59"/>
      <c r="K73" s="89"/>
      <c r="L73" s="90"/>
      <c r="M73" s="90"/>
      <c r="N73" s="90"/>
      <c r="O73" s="90"/>
      <c r="P73" s="91"/>
      <c r="Q73" s="59"/>
      <c r="R73" s="59"/>
      <c r="S73" s="59"/>
      <c r="T73" s="59"/>
      <c r="U73" s="59"/>
    </row>
    <row r="74" spans="1:27" ht="18" customHeight="1" x14ac:dyDescent="0.15">
      <c r="A74" s="3"/>
      <c r="B74" s="89"/>
      <c r="C74" s="90"/>
      <c r="D74" s="90"/>
      <c r="E74" s="90"/>
      <c r="F74" s="59"/>
      <c r="G74" s="59"/>
      <c r="H74" s="59"/>
      <c r="I74" s="59"/>
      <c r="J74" s="59"/>
      <c r="K74" s="89"/>
      <c r="L74" s="90"/>
      <c r="M74" s="90"/>
      <c r="N74" s="90"/>
      <c r="O74" s="90"/>
      <c r="P74" s="91"/>
      <c r="Q74" s="59"/>
      <c r="R74" s="59"/>
      <c r="S74" s="59"/>
      <c r="T74" s="59"/>
      <c r="U74" s="59"/>
    </row>
    <row r="75" spans="1:27" ht="18" customHeight="1" x14ac:dyDescent="0.15">
      <c r="A75" s="3"/>
      <c r="B75" s="89"/>
      <c r="C75" s="90"/>
      <c r="D75" s="90"/>
      <c r="E75" s="90"/>
      <c r="F75" s="59"/>
      <c r="G75" s="59"/>
      <c r="H75" s="59"/>
      <c r="I75" s="59"/>
      <c r="J75" s="59"/>
      <c r="K75" s="89"/>
      <c r="L75" s="90"/>
      <c r="M75" s="90"/>
      <c r="N75" s="90"/>
      <c r="O75" s="90"/>
      <c r="P75" s="91"/>
      <c r="Q75" s="59"/>
      <c r="R75" s="59"/>
      <c r="S75" s="59"/>
      <c r="T75" s="59"/>
      <c r="U75" s="59"/>
    </row>
    <row r="76" spans="1:27" ht="18" customHeight="1" x14ac:dyDescent="0.15">
      <c r="A76" s="3"/>
      <c r="B76" s="89"/>
      <c r="C76" s="90"/>
      <c r="D76" s="90"/>
      <c r="E76" s="90"/>
      <c r="F76" s="59"/>
      <c r="G76" s="59"/>
      <c r="H76" s="59"/>
      <c r="I76" s="59"/>
      <c r="J76" s="59"/>
      <c r="K76" s="89"/>
      <c r="L76" s="90"/>
      <c r="M76" s="90"/>
      <c r="N76" s="90"/>
      <c r="O76" s="90"/>
      <c r="P76" s="91"/>
      <c r="Q76" s="59"/>
      <c r="R76" s="59"/>
      <c r="S76" s="59"/>
      <c r="T76" s="59"/>
      <c r="U76" s="59"/>
    </row>
    <row r="77" spans="1:27" ht="18" customHeight="1" x14ac:dyDescent="0.15">
      <c r="A77" s="3"/>
      <c r="B77" s="92"/>
      <c r="C77" s="93"/>
      <c r="D77" s="93"/>
      <c r="E77" s="93"/>
      <c r="F77" s="60"/>
      <c r="G77" s="60"/>
      <c r="H77" s="61"/>
      <c r="I77" s="61"/>
      <c r="J77" s="61"/>
      <c r="K77" s="92"/>
      <c r="L77" s="93"/>
      <c r="M77" s="93"/>
      <c r="N77" s="93"/>
      <c r="O77" s="93"/>
      <c r="P77" s="94"/>
      <c r="Q77" s="60"/>
      <c r="R77" s="60"/>
      <c r="S77" s="61"/>
      <c r="T77" s="61"/>
      <c r="U77" s="61"/>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42</v>
      </c>
      <c r="I79" s="3"/>
      <c r="J79" s="3"/>
      <c r="K79" s="3"/>
      <c r="L79" s="3"/>
      <c r="M79" s="3"/>
      <c r="N79" s="3"/>
      <c r="O79" s="3"/>
      <c r="P79" s="3"/>
      <c r="Q79" s="3"/>
      <c r="R79" s="3"/>
      <c r="S79" s="3"/>
      <c r="T79" s="3"/>
      <c r="U79" s="3"/>
    </row>
    <row r="80" spans="1:27" ht="18" customHeight="1" x14ac:dyDescent="0.15">
      <c r="B80" s="102" t="s">
        <v>22</v>
      </c>
      <c r="C80" s="103"/>
      <c r="D80" s="103"/>
      <c r="E80" s="103"/>
      <c r="F80" s="104"/>
      <c r="G80" s="102" t="s">
        <v>43</v>
      </c>
      <c r="H80" s="103"/>
      <c r="I80" s="103"/>
      <c r="J80" s="104"/>
      <c r="K80" s="110" t="s">
        <v>22</v>
      </c>
      <c r="L80" s="111"/>
      <c r="M80" s="111"/>
      <c r="N80" s="111"/>
      <c r="O80" s="111"/>
      <c r="P80" s="111"/>
      <c r="Q80" s="112"/>
      <c r="R80" s="102" t="s">
        <v>43</v>
      </c>
      <c r="S80" s="103"/>
      <c r="T80" s="103"/>
      <c r="U80" s="104"/>
      <c r="AA80" s="1" t="s">
        <v>44</v>
      </c>
    </row>
    <row r="81" spans="1:27" ht="18" customHeight="1" x14ac:dyDescent="0.15">
      <c r="A81" s="3"/>
      <c r="B81" s="96"/>
      <c r="C81" s="97"/>
      <c r="D81" s="97"/>
      <c r="E81" s="97"/>
      <c r="F81" s="98"/>
      <c r="G81" s="99"/>
      <c r="H81" s="100"/>
      <c r="I81" s="100"/>
      <c r="J81" s="101"/>
      <c r="K81" s="96"/>
      <c r="L81" s="97"/>
      <c r="M81" s="97"/>
      <c r="N81" s="97"/>
      <c r="O81" s="97"/>
      <c r="P81" s="97"/>
      <c r="Q81" s="98"/>
      <c r="R81" s="99"/>
      <c r="S81" s="100"/>
      <c r="T81" s="100"/>
      <c r="U81" s="101"/>
      <c r="AA81" s="1" t="s">
        <v>45</v>
      </c>
    </row>
    <row r="82" spans="1:27" ht="18" customHeight="1" x14ac:dyDescent="0.15">
      <c r="A82" s="3"/>
      <c r="B82" s="89"/>
      <c r="C82" s="90"/>
      <c r="D82" s="90"/>
      <c r="E82" s="90"/>
      <c r="F82" s="91"/>
      <c r="G82" s="107"/>
      <c r="H82" s="108"/>
      <c r="I82" s="108"/>
      <c r="J82" s="109"/>
      <c r="K82" s="89"/>
      <c r="L82" s="90"/>
      <c r="M82" s="90"/>
      <c r="N82" s="90"/>
      <c r="O82" s="90"/>
      <c r="P82" s="90"/>
      <c r="Q82" s="91"/>
      <c r="R82" s="107"/>
      <c r="S82" s="108"/>
      <c r="T82" s="108"/>
      <c r="U82" s="109"/>
      <c r="AA82" s="1" t="s">
        <v>46</v>
      </c>
    </row>
    <row r="83" spans="1:27" ht="18" customHeight="1" x14ac:dyDescent="0.15">
      <c r="A83" s="3"/>
      <c r="B83" s="89"/>
      <c r="C83" s="90"/>
      <c r="D83" s="90"/>
      <c r="E83" s="90"/>
      <c r="F83" s="91"/>
      <c r="G83" s="107"/>
      <c r="H83" s="108"/>
      <c r="I83" s="108"/>
      <c r="J83" s="109"/>
      <c r="K83" s="89"/>
      <c r="L83" s="90"/>
      <c r="M83" s="90"/>
      <c r="N83" s="90"/>
      <c r="O83" s="90"/>
      <c r="P83" s="90"/>
      <c r="Q83" s="91"/>
      <c r="R83" s="107"/>
      <c r="S83" s="108"/>
      <c r="T83" s="108"/>
      <c r="U83" s="109"/>
      <c r="AA83" s="1" t="s">
        <v>47</v>
      </c>
    </row>
    <row r="84" spans="1:27" ht="18" customHeight="1" x14ac:dyDescent="0.15">
      <c r="A84" s="3"/>
      <c r="B84" s="89"/>
      <c r="C84" s="90"/>
      <c r="D84" s="90"/>
      <c r="E84" s="90"/>
      <c r="F84" s="91"/>
      <c r="G84" s="107"/>
      <c r="H84" s="108"/>
      <c r="I84" s="108"/>
      <c r="J84" s="109"/>
      <c r="K84" s="89"/>
      <c r="L84" s="90"/>
      <c r="M84" s="90"/>
      <c r="N84" s="90"/>
      <c r="O84" s="90"/>
      <c r="P84" s="90"/>
      <c r="Q84" s="91"/>
      <c r="R84" s="107"/>
      <c r="S84" s="108"/>
      <c r="T84" s="108"/>
      <c r="U84" s="109"/>
      <c r="AA84" s="1" t="s">
        <v>48</v>
      </c>
    </row>
    <row r="85" spans="1:27" ht="18" customHeight="1" x14ac:dyDescent="0.15">
      <c r="A85" s="3"/>
      <c r="B85" s="89"/>
      <c r="C85" s="90"/>
      <c r="D85" s="90"/>
      <c r="E85" s="90"/>
      <c r="F85" s="91"/>
      <c r="G85" s="107"/>
      <c r="H85" s="108"/>
      <c r="I85" s="108"/>
      <c r="J85" s="109"/>
      <c r="K85" s="89"/>
      <c r="L85" s="90"/>
      <c r="M85" s="90"/>
      <c r="N85" s="90"/>
      <c r="O85" s="90"/>
      <c r="P85" s="90"/>
      <c r="Q85" s="91"/>
      <c r="R85" s="107"/>
      <c r="S85" s="108"/>
      <c r="T85" s="108"/>
      <c r="U85" s="109"/>
      <c r="AA85" s="1" t="s">
        <v>49</v>
      </c>
    </row>
    <row r="86" spans="1:27" ht="18" customHeight="1" x14ac:dyDescent="0.15">
      <c r="A86" s="3"/>
      <c r="B86" s="89"/>
      <c r="C86" s="90"/>
      <c r="D86" s="90"/>
      <c r="E86" s="90"/>
      <c r="F86" s="91"/>
      <c r="G86" s="107"/>
      <c r="H86" s="108"/>
      <c r="I86" s="108"/>
      <c r="J86" s="109"/>
      <c r="K86" s="89"/>
      <c r="L86" s="90"/>
      <c r="M86" s="90"/>
      <c r="N86" s="90"/>
      <c r="O86" s="90"/>
      <c r="P86" s="90"/>
      <c r="Q86" s="91"/>
      <c r="R86" s="107"/>
      <c r="S86" s="108"/>
      <c r="T86" s="108"/>
      <c r="U86" s="109"/>
      <c r="AA86" s="1" t="s">
        <v>50</v>
      </c>
    </row>
    <row r="87" spans="1:27" ht="18" customHeight="1" x14ac:dyDescent="0.15">
      <c r="A87" s="3"/>
      <c r="B87" s="92"/>
      <c r="C87" s="93"/>
      <c r="D87" s="93"/>
      <c r="E87" s="93"/>
      <c r="F87" s="94"/>
      <c r="G87" s="126"/>
      <c r="H87" s="127"/>
      <c r="I87" s="127"/>
      <c r="J87" s="128"/>
      <c r="K87" s="92"/>
      <c r="L87" s="93"/>
      <c r="M87" s="93"/>
      <c r="N87" s="93"/>
      <c r="O87" s="93"/>
      <c r="P87" s="93"/>
      <c r="Q87" s="94"/>
      <c r="R87" s="126"/>
      <c r="S87" s="127"/>
      <c r="T87" s="127"/>
      <c r="U87" s="128"/>
      <c r="AA87" s="1" t="s">
        <v>51</v>
      </c>
    </row>
    <row r="88" spans="1:27" ht="18" customHeight="1" x14ac:dyDescent="0.15">
      <c r="A88" s="3"/>
      <c r="B88" s="6"/>
      <c r="C88" s="6"/>
      <c r="D88" s="6"/>
      <c r="E88" s="6"/>
      <c r="F88" s="6"/>
      <c r="G88" s="62"/>
      <c r="H88" s="62"/>
      <c r="I88" s="62"/>
      <c r="J88" s="62"/>
      <c r="K88" s="6"/>
      <c r="L88" s="6"/>
      <c r="M88" s="6"/>
      <c r="N88" s="6"/>
      <c r="O88" s="6"/>
      <c r="P88" s="6"/>
      <c r="Q88" s="6"/>
      <c r="R88" s="62"/>
      <c r="S88" s="62"/>
      <c r="T88" s="62"/>
      <c r="U88" s="62"/>
      <c r="AA88" s="1" t="s">
        <v>52</v>
      </c>
    </row>
    <row r="89" spans="1:27" ht="18.75" customHeight="1" x14ac:dyDescent="0.15">
      <c r="A89" s="1" t="s">
        <v>53</v>
      </c>
      <c r="AA89" s="1" t="s">
        <v>54</v>
      </c>
    </row>
    <row r="90" spans="1:27" ht="18.75" customHeight="1" x14ac:dyDescent="0.15">
      <c r="B90" s="130" t="s">
        <v>55</v>
      </c>
      <c r="C90" s="131"/>
      <c r="D90" s="102" t="s">
        <v>56</v>
      </c>
      <c r="E90" s="103"/>
      <c r="F90" s="103"/>
      <c r="G90" s="103"/>
      <c r="H90" s="103"/>
      <c r="I90" s="103"/>
      <c r="J90" s="103"/>
      <c r="K90" s="103"/>
      <c r="L90" s="103"/>
      <c r="M90" s="103"/>
      <c r="N90" s="103"/>
      <c r="O90" s="103"/>
      <c r="P90" s="103"/>
      <c r="Q90" s="103"/>
      <c r="R90" s="103"/>
      <c r="S90" s="103"/>
      <c r="T90" s="103"/>
      <c r="U90" s="104"/>
    </row>
    <row r="91" spans="1:27" ht="97.5" customHeight="1" x14ac:dyDescent="0.15">
      <c r="B91" s="105" t="s">
        <v>57</v>
      </c>
      <c r="C91" s="63" t="s">
        <v>25</v>
      </c>
      <c r="D91" s="136" t="s">
        <v>58</v>
      </c>
      <c r="E91" s="137"/>
      <c r="F91" s="137"/>
      <c r="G91" s="137"/>
      <c r="H91" s="137"/>
      <c r="I91" s="137"/>
      <c r="J91" s="137"/>
      <c r="K91" s="137"/>
      <c r="L91" s="137"/>
      <c r="M91" s="137"/>
      <c r="N91" s="137"/>
      <c r="O91" s="137"/>
      <c r="P91" s="137"/>
      <c r="Q91" s="137"/>
      <c r="R91" s="137"/>
      <c r="S91" s="137"/>
      <c r="T91" s="137"/>
      <c r="U91" s="138"/>
    </row>
    <row r="92" spans="1:27" ht="97.5" customHeight="1" x14ac:dyDescent="0.15">
      <c r="B92" s="129"/>
      <c r="C92" s="64" t="s">
        <v>59</v>
      </c>
      <c r="D92" s="150" t="s">
        <v>60</v>
      </c>
      <c r="E92" s="151"/>
      <c r="F92" s="151"/>
      <c r="G92" s="151"/>
      <c r="H92" s="151"/>
      <c r="I92" s="151"/>
      <c r="J92" s="151"/>
      <c r="K92" s="151"/>
      <c r="L92" s="151"/>
      <c r="M92" s="151"/>
      <c r="N92" s="151"/>
      <c r="O92" s="151"/>
      <c r="P92" s="151"/>
      <c r="Q92" s="151"/>
      <c r="R92" s="151"/>
      <c r="S92" s="151"/>
      <c r="T92" s="151"/>
      <c r="U92" s="152"/>
    </row>
    <row r="93" spans="1:27" ht="97.5" customHeight="1" x14ac:dyDescent="0.15">
      <c r="B93" s="105" t="s">
        <v>61</v>
      </c>
      <c r="C93" s="65" t="s">
        <v>30</v>
      </c>
      <c r="D93" s="143" t="s">
        <v>62</v>
      </c>
      <c r="E93" s="137"/>
      <c r="F93" s="137"/>
      <c r="G93" s="137"/>
      <c r="H93" s="137"/>
      <c r="I93" s="137"/>
      <c r="J93" s="137"/>
      <c r="K93" s="137"/>
      <c r="L93" s="137"/>
      <c r="M93" s="137"/>
      <c r="N93" s="137"/>
      <c r="O93" s="137"/>
      <c r="P93" s="137"/>
      <c r="Q93" s="137"/>
      <c r="R93" s="137"/>
      <c r="S93" s="137"/>
      <c r="T93" s="137"/>
      <c r="U93" s="138"/>
    </row>
    <row r="94" spans="1:27" ht="97.5" customHeight="1" x14ac:dyDescent="0.15">
      <c r="B94" s="106"/>
      <c r="C94" s="66" t="s">
        <v>31</v>
      </c>
      <c r="D94" s="142" t="s">
        <v>63</v>
      </c>
      <c r="E94" s="134"/>
      <c r="F94" s="134"/>
      <c r="G94" s="134"/>
      <c r="H94" s="134"/>
      <c r="I94" s="134"/>
      <c r="J94" s="134"/>
      <c r="K94" s="134"/>
      <c r="L94" s="134"/>
      <c r="M94" s="134"/>
      <c r="N94" s="134"/>
      <c r="O94" s="134"/>
      <c r="P94" s="134"/>
      <c r="Q94" s="134"/>
      <c r="R94" s="134"/>
      <c r="S94" s="134"/>
      <c r="T94" s="134"/>
      <c r="U94" s="135"/>
    </row>
    <row r="95" spans="1:27" ht="97.5" customHeight="1" x14ac:dyDescent="0.15">
      <c r="B95" s="105" t="s">
        <v>64</v>
      </c>
      <c r="C95" s="65" t="s">
        <v>33</v>
      </c>
      <c r="D95" s="153" t="s">
        <v>198</v>
      </c>
      <c r="E95" s="154"/>
      <c r="F95" s="154"/>
      <c r="G95" s="154"/>
      <c r="H95" s="154"/>
      <c r="I95" s="154"/>
      <c r="J95" s="154"/>
      <c r="K95" s="154"/>
      <c r="L95" s="154"/>
      <c r="M95" s="154"/>
      <c r="N95" s="154"/>
      <c r="O95" s="154"/>
      <c r="P95" s="154"/>
      <c r="Q95" s="154"/>
      <c r="R95" s="154"/>
      <c r="S95" s="154"/>
      <c r="T95" s="154"/>
      <c r="U95" s="155"/>
    </row>
    <row r="96" spans="1:27" ht="97.5" customHeight="1" x14ac:dyDescent="0.15">
      <c r="B96" s="106"/>
      <c r="C96" s="67" t="s">
        <v>34</v>
      </c>
      <c r="D96" s="142" t="s">
        <v>65</v>
      </c>
      <c r="E96" s="134"/>
      <c r="F96" s="134"/>
      <c r="G96" s="134"/>
      <c r="H96" s="134"/>
      <c r="I96" s="134"/>
      <c r="J96" s="134"/>
      <c r="K96" s="134"/>
      <c r="L96" s="134"/>
      <c r="M96" s="134"/>
      <c r="N96" s="134"/>
      <c r="O96" s="134"/>
      <c r="P96" s="134"/>
      <c r="Q96" s="134"/>
      <c r="R96" s="134"/>
      <c r="S96" s="134"/>
      <c r="T96" s="134"/>
      <c r="U96" s="135"/>
    </row>
    <row r="97" spans="1:21" ht="97.5" customHeight="1" x14ac:dyDescent="0.15">
      <c r="B97" s="105" t="s">
        <v>66</v>
      </c>
      <c r="C97" s="63" t="s">
        <v>36</v>
      </c>
      <c r="D97" s="143" t="s">
        <v>67</v>
      </c>
      <c r="E97" s="137"/>
      <c r="F97" s="137"/>
      <c r="G97" s="137"/>
      <c r="H97" s="137"/>
      <c r="I97" s="137"/>
      <c r="J97" s="137"/>
      <c r="K97" s="137"/>
      <c r="L97" s="137"/>
      <c r="M97" s="137"/>
      <c r="N97" s="137"/>
      <c r="O97" s="137"/>
      <c r="P97" s="137"/>
      <c r="Q97" s="137"/>
      <c r="R97" s="137"/>
      <c r="S97" s="137"/>
      <c r="T97" s="137"/>
      <c r="U97" s="138"/>
    </row>
    <row r="98" spans="1:21" ht="97.5" customHeight="1" x14ac:dyDescent="0.15">
      <c r="B98" s="106"/>
      <c r="C98" s="66" t="s">
        <v>37</v>
      </c>
      <c r="D98" s="133" t="s">
        <v>68</v>
      </c>
      <c r="E98" s="134"/>
      <c r="F98" s="134"/>
      <c r="G98" s="134"/>
      <c r="H98" s="134"/>
      <c r="I98" s="134"/>
      <c r="J98" s="134"/>
      <c r="K98" s="134"/>
      <c r="L98" s="134"/>
      <c r="M98" s="134"/>
      <c r="N98" s="134"/>
      <c r="O98" s="134"/>
      <c r="P98" s="134"/>
      <c r="Q98" s="134"/>
      <c r="R98" s="134"/>
      <c r="S98" s="134"/>
      <c r="T98" s="134"/>
      <c r="U98" s="135"/>
    </row>
    <row r="99" spans="1:21" ht="97.5" customHeight="1" x14ac:dyDescent="0.15">
      <c r="B99" s="105" t="s">
        <v>69</v>
      </c>
      <c r="C99" s="65" t="s">
        <v>70</v>
      </c>
      <c r="D99" s="136" t="s">
        <v>71</v>
      </c>
      <c r="E99" s="137"/>
      <c r="F99" s="137"/>
      <c r="G99" s="137"/>
      <c r="H99" s="137"/>
      <c r="I99" s="137"/>
      <c r="J99" s="137"/>
      <c r="K99" s="137"/>
      <c r="L99" s="137"/>
      <c r="M99" s="137"/>
      <c r="N99" s="137"/>
      <c r="O99" s="137"/>
      <c r="P99" s="137"/>
      <c r="Q99" s="137"/>
      <c r="R99" s="137"/>
      <c r="S99" s="137"/>
      <c r="T99" s="137"/>
      <c r="U99" s="138"/>
    </row>
    <row r="100" spans="1:21" ht="97.5" customHeight="1" x14ac:dyDescent="0.15">
      <c r="B100" s="129"/>
      <c r="C100" s="68" t="s">
        <v>40</v>
      </c>
      <c r="D100" s="139" t="s">
        <v>72</v>
      </c>
      <c r="E100" s="140"/>
      <c r="F100" s="140"/>
      <c r="G100" s="140"/>
      <c r="H100" s="140"/>
      <c r="I100" s="140"/>
      <c r="J100" s="140"/>
      <c r="K100" s="140"/>
      <c r="L100" s="140"/>
      <c r="M100" s="140"/>
      <c r="N100" s="140"/>
      <c r="O100" s="140"/>
      <c r="P100" s="140"/>
      <c r="Q100" s="140"/>
      <c r="R100" s="140"/>
      <c r="S100" s="140"/>
      <c r="T100" s="140"/>
      <c r="U100" s="141"/>
    </row>
    <row r="101" spans="1:21" ht="97.5" customHeight="1" x14ac:dyDescent="0.15">
      <c r="B101" s="106"/>
      <c r="C101" s="67" t="s">
        <v>41</v>
      </c>
      <c r="D101" s="142" t="s">
        <v>73</v>
      </c>
      <c r="E101" s="134"/>
      <c r="F101" s="134"/>
      <c r="G101" s="134"/>
      <c r="H101" s="134"/>
      <c r="I101" s="134"/>
      <c r="J101" s="134"/>
      <c r="K101" s="134"/>
      <c r="L101" s="134"/>
      <c r="M101" s="134"/>
      <c r="N101" s="134"/>
      <c r="O101" s="134"/>
      <c r="P101" s="134"/>
      <c r="Q101" s="134"/>
      <c r="R101" s="134"/>
      <c r="S101" s="134"/>
      <c r="T101" s="134"/>
      <c r="U101" s="135"/>
    </row>
    <row r="102" spans="1:21" ht="6" customHeight="1" x14ac:dyDescent="0.15"/>
    <row r="103" spans="1:21" ht="18.75" customHeight="1" x14ac:dyDescent="0.15">
      <c r="A103" s="1" t="s">
        <v>74</v>
      </c>
    </row>
    <row r="104" spans="1:21" ht="81.75" customHeight="1" x14ac:dyDescent="0.15">
      <c r="B104" s="123" t="s">
        <v>75</v>
      </c>
      <c r="C104" s="124"/>
      <c r="D104" s="124"/>
      <c r="E104" s="124"/>
      <c r="F104" s="124"/>
      <c r="G104" s="124"/>
      <c r="H104" s="124"/>
      <c r="I104" s="124"/>
      <c r="J104" s="124"/>
      <c r="K104" s="124"/>
      <c r="L104" s="124"/>
      <c r="M104" s="124"/>
      <c r="N104" s="124"/>
      <c r="O104" s="124"/>
      <c r="P104" s="124"/>
      <c r="Q104" s="124"/>
      <c r="R104" s="124"/>
      <c r="S104" s="124"/>
      <c r="T104" s="124"/>
      <c r="U104" s="125"/>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70"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8517-15AD-42E2-BDFC-1EE1530CE435}">
  <sheetPr>
    <pageSetUpPr fitToPage="1"/>
  </sheetPr>
  <dimension ref="A1:AA107"/>
  <sheetViews>
    <sheetView showZeros="0" tabSelected="1" view="pageBreakPreview" topLeftCell="A43" zoomScale="85" zoomScaleNormal="100" zoomScaleSheetLayoutView="85" workbookViewId="0">
      <selection activeCell="K59" sqref="K59:Q59"/>
    </sheetView>
  </sheetViews>
  <sheetFormatPr defaultColWidth="9" defaultRowHeight="18.75" customHeight="1" x14ac:dyDescent="0.15"/>
  <cols>
    <col min="1" max="1" width="2.5" style="1" customWidth="1"/>
    <col min="2" max="2" width="16.5" style="1" customWidth="1"/>
    <col min="3" max="21" width="5.5" style="1" customWidth="1"/>
    <col min="22" max="22" width="9.125" style="1"/>
    <col min="23" max="23" width="3.5" style="1" customWidth="1"/>
    <col min="24" max="24" width="48.5" style="1" hidden="1" customWidth="1"/>
    <col min="25" max="26" width="9.125" style="1"/>
    <col min="27" max="27" width="9" style="1" hidden="1" customWidth="1"/>
    <col min="28" max="16384" width="9" style="1"/>
  </cols>
  <sheetData>
    <row r="1" spans="1:24" ht="18.600000000000001" customHeight="1" x14ac:dyDescent="0.15">
      <c r="T1" s="132" t="s">
        <v>76</v>
      </c>
      <c r="U1" s="132"/>
      <c r="V1" s="2" t="s">
        <v>1</v>
      </c>
    </row>
    <row r="2" spans="1:24" ht="18.75" customHeight="1" x14ac:dyDescent="0.15">
      <c r="B2" s="17" t="s">
        <v>2</v>
      </c>
      <c r="C2" s="102" t="s">
        <v>3</v>
      </c>
      <c r="D2" s="103"/>
      <c r="E2" s="103"/>
      <c r="F2" s="103"/>
      <c r="G2" s="103"/>
      <c r="H2" s="103"/>
      <c r="I2" s="103"/>
      <c r="J2" s="104"/>
      <c r="K2" s="18"/>
      <c r="L2" s="6"/>
      <c r="M2" s="6"/>
      <c r="N2" s="6"/>
      <c r="O2" s="6"/>
      <c r="P2" s="6"/>
      <c r="Q2" s="6"/>
      <c r="R2" s="6"/>
      <c r="S2" s="6"/>
      <c r="T2" s="6"/>
      <c r="U2" s="6"/>
    </row>
    <row r="3" spans="1:24" ht="18.75" customHeight="1" x14ac:dyDescent="0.15">
      <c r="B3" s="17" t="s">
        <v>4</v>
      </c>
      <c r="C3" s="102" t="s">
        <v>5</v>
      </c>
      <c r="D3" s="103"/>
      <c r="E3" s="103"/>
      <c r="F3" s="103"/>
      <c r="G3" s="103"/>
      <c r="H3" s="103"/>
      <c r="I3" s="103"/>
      <c r="J3" s="104"/>
      <c r="K3" s="18"/>
      <c r="L3" s="6"/>
      <c r="M3" s="6"/>
      <c r="N3" s="6"/>
      <c r="O3" s="6"/>
      <c r="P3" s="6"/>
      <c r="Q3" s="6"/>
      <c r="R3" s="6"/>
      <c r="S3" s="6"/>
      <c r="T3" s="6"/>
      <c r="U3" s="6"/>
    </row>
    <row r="4" spans="1:24" ht="15" customHeight="1" x14ac:dyDescent="0.15">
      <c r="L4" s="18"/>
      <c r="M4" s="69"/>
      <c r="N4" s="69"/>
      <c r="O4" s="69"/>
      <c r="P4" s="69"/>
      <c r="Q4" s="69"/>
      <c r="R4" s="69"/>
      <c r="S4" s="69"/>
      <c r="T4" s="69"/>
      <c r="U4" s="69"/>
    </row>
    <row r="5" spans="1:24" ht="18" customHeight="1" x14ac:dyDescent="0.15">
      <c r="A5" s="113" t="s">
        <v>6</v>
      </c>
      <c r="B5" s="113"/>
      <c r="C5" s="113"/>
      <c r="D5" s="113"/>
      <c r="E5" s="113"/>
      <c r="F5" s="113"/>
      <c r="G5" s="113"/>
      <c r="H5" s="113"/>
      <c r="I5" s="113"/>
      <c r="J5" s="113"/>
      <c r="K5" s="113"/>
      <c r="L5" s="113"/>
      <c r="M5" s="113"/>
      <c r="N5" s="113"/>
      <c r="O5" s="113"/>
      <c r="P5" s="113"/>
      <c r="Q5" s="113"/>
      <c r="R5" s="113"/>
      <c r="S5" s="113"/>
      <c r="T5" s="113"/>
      <c r="U5" s="113"/>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7</v>
      </c>
      <c r="B7" s="3"/>
      <c r="C7" s="3"/>
      <c r="D7" s="3"/>
      <c r="E7" s="3"/>
      <c r="F7" s="2"/>
      <c r="G7" s="2"/>
      <c r="H7" s="2"/>
      <c r="I7" s="2"/>
      <c r="J7" s="2"/>
      <c r="K7" s="2"/>
      <c r="L7" s="147" t="s">
        <v>8</v>
      </c>
      <c r="M7" s="148"/>
      <c r="N7" s="148"/>
      <c r="O7" s="148"/>
      <c r="P7" s="148"/>
      <c r="Q7" s="148"/>
      <c r="R7" s="148"/>
      <c r="S7" s="148"/>
      <c r="T7" s="148"/>
      <c r="U7" s="14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9</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56" t="s">
        <v>77</v>
      </c>
      <c r="C11" s="157"/>
      <c r="D11" s="157"/>
      <c r="E11" s="157"/>
      <c r="F11" s="157"/>
      <c r="G11" s="157"/>
      <c r="H11" s="157"/>
      <c r="I11" s="157"/>
      <c r="J11" s="157"/>
      <c r="K11" s="157"/>
      <c r="L11" s="157"/>
      <c r="M11" s="157"/>
      <c r="N11" s="157"/>
      <c r="O11" s="157"/>
      <c r="P11" s="157"/>
      <c r="Q11" s="157"/>
      <c r="R11" s="157"/>
      <c r="S11" s="157"/>
      <c r="T11" s="157"/>
      <c r="U11" s="158"/>
    </row>
    <row r="12" spans="1:24" ht="18" customHeight="1" x14ac:dyDescent="0.15">
      <c r="B12" s="159"/>
      <c r="C12" s="160"/>
      <c r="D12" s="160"/>
      <c r="E12" s="160"/>
      <c r="F12" s="160"/>
      <c r="G12" s="160"/>
      <c r="H12" s="160"/>
      <c r="I12" s="160"/>
      <c r="J12" s="160"/>
      <c r="K12" s="160"/>
      <c r="L12" s="160"/>
      <c r="M12" s="160"/>
      <c r="N12" s="160"/>
      <c r="O12" s="160"/>
      <c r="P12" s="160"/>
      <c r="Q12" s="160"/>
      <c r="R12" s="160"/>
      <c r="S12" s="160"/>
      <c r="T12" s="160"/>
      <c r="U12" s="161"/>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11</v>
      </c>
      <c r="B14" s="3"/>
      <c r="C14" s="3"/>
      <c r="D14" s="3"/>
      <c r="E14" s="18"/>
      <c r="F14" s="18"/>
      <c r="G14" s="18"/>
      <c r="H14" s="18"/>
      <c r="I14" s="18"/>
      <c r="J14" s="18"/>
      <c r="K14" s="18"/>
      <c r="L14" s="70"/>
      <c r="M14" s="70"/>
      <c r="N14" s="70"/>
      <c r="O14" s="70"/>
      <c r="P14" s="70"/>
      <c r="Q14" s="70"/>
      <c r="R14" s="70"/>
      <c r="S14" s="70"/>
      <c r="T14" s="70"/>
      <c r="U14" s="70"/>
    </row>
    <row r="15" spans="1:24" ht="18" customHeight="1" x14ac:dyDescent="0.15">
      <c r="B15" s="167" t="s">
        <v>78</v>
      </c>
      <c r="C15" s="115"/>
      <c r="D15" s="115"/>
      <c r="E15" s="115"/>
      <c r="F15" s="115"/>
      <c r="G15" s="115"/>
      <c r="H15" s="115"/>
      <c r="I15" s="115"/>
      <c r="J15" s="115"/>
      <c r="K15" s="115"/>
      <c r="L15" s="115"/>
      <c r="M15" s="115"/>
      <c r="N15" s="115"/>
      <c r="O15" s="115"/>
      <c r="P15" s="115"/>
      <c r="Q15" s="115"/>
      <c r="R15" s="115"/>
      <c r="S15" s="115"/>
      <c r="T15" s="115"/>
      <c r="U15" s="116"/>
      <c r="X15" s="1" t="s">
        <v>13</v>
      </c>
    </row>
    <row r="16" spans="1:24" ht="18" customHeight="1" x14ac:dyDescent="0.15">
      <c r="B16" s="117"/>
      <c r="C16" s="118"/>
      <c r="D16" s="118"/>
      <c r="E16" s="118"/>
      <c r="F16" s="118"/>
      <c r="G16" s="118"/>
      <c r="H16" s="118"/>
      <c r="I16" s="118"/>
      <c r="J16" s="118"/>
      <c r="K16" s="118"/>
      <c r="L16" s="118"/>
      <c r="M16" s="118"/>
      <c r="N16" s="118"/>
      <c r="O16" s="118"/>
      <c r="P16" s="118"/>
      <c r="Q16" s="118"/>
      <c r="R16" s="118"/>
      <c r="S16" s="118"/>
      <c r="T16" s="118"/>
      <c r="U16" s="119"/>
      <c r="X16" s="1" t="s">
        <v>14</v>
      </c>
    </row>
    <row r="17" spans="1:24" ht="18" customHeight="1" x14ac:dyDescent="0.15">
      <c r="B17" s="117"/>
      <c r="C17" s="118"/>
      <c r="D17" s="118"/>
      <c r="E17" s="118"/>
      <c r="F17" s="118"/>
      <c r="G17" s="118"/>
      <c r="H17" s="118"/>
      <c r="I17" s="118"/>
      <c r="J17" s="118"/>
      <c r="K17" s="118"/>
      <c r="L17" s="118"/>
      <c r="M17" s="118"/>
      <c r="N17" s="118"/>
      <c r="O17" s="118"/>
      <c r="P17" s="118"/>
      <c r="Q17" s="118"/>
      <c r="R17" s="118"/>
      <c r="S17" s="118"/>
      <c r="T17" s="118"/>
      <c r="U17" s="119"/>
      <c r="X17" s="1" t="s">
        <v>15</v>
      </c>
    </row>
    <row r="18" spans="1:24" ht="18" customHeight="1" x14ac:dyDescent="0.15">
      <c r="B18" s="117"/>
      <c r="C18" s="118"/>
      <c r="D18" s="118"/>
      <c r="E18" s="118"/>
      <c r="F18" s="118"/>
      <c r="G18" s="118"/>
      <c r="H18" s="118"/>
      <c r="I18" s="118"/>
      <c r="J18" s="118"/>
      <c r="K18" s="118"/>
      <c r="L18" s="118"/>
      <c r="M18" s="118"/>
      <c r="N18" s="118"/>
      <c r="O18" s="118"/>
      <c r="P18" s="118"/>
      <c r="Q18" s="118"/>
      <c r="R18" s="118"/>
      <c r="S18" s="118"/>
      <c r="T18" s="118"/>
      <c r="U18" s="119"/>
      <c r="X18" s="1" t="s">
        <v>16</v>
      </c>
    </row>
    <row r="19" spans="1:24" ht="18" customHeight="1" x14ac:dyDescent="0.15">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15">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17</v>
      </c>
      <c r="E22" s="71">
        <v>2</v>
      </c>
      <c r="F22" s="1" t="s">
        <v>18</v>
      </c>
      <c r="H22" s="19">
        <v>3</v>
      </c>
      <c r="I22" s="3" t="s">
        <v>19</v>
      </c>
      <c r="J22" s="3"/>
      <c r="K22" s="18"/>
      <c r="M22" s="18" t="s">
        <v>20</v>
      </c>
      <c r="N22" s="144" t="s">
        <v>14</v>
      </c>
      <c r="O22" s="145"/>
      <c r="P22" s="145"/>
      <c r="Q22" s="145"/>
      <c r="R22" s="145"/>
      <c r="S22" s="145"/>
      <c r="T22" s="145"/>
      <c r="U22" s="14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5" t="s">
        <v>21</v>
      </c>
      <c r="B24" s="95"/>
      <c r="C24" s="95"/>
      <c r="D24" s="95"/>
      <c r="E24" s="95"/>
      <c r="F24" s="95"/>
      <c r="G24" s="95"/>
      <c r="H24" s="95"/>
      <c r="I24" s="95"/>
      <c r="J24" s="95"/>
      <c r="K24" s="95"/>
      <c r="L24" s="95"/>
      <c r="M24" s="95"/>
      <c r="N24" s="95"/>
      <c r="O24" s="95"/>
      <c r="P24" s="95"/>
      <c r="Q24" s="95"/>
      <c r="R24" s="95"/>
      <c r="S24" s="95"/>
      <c r="T24" s="95"/>
      <c r="U24" s="95"/>
    </row>
    <row r="25" spans="1:24" ht="18" customHeight="1" x14ac:dyDescent="0.15">
      <c r="A25" s="95"/>
      <c r="B25" s="95"/>
      <c r="C25" s="95"/>
      <c r="D25" s="95"/>
      <c r="E25" s="95"/>
      <c r="F25" s="95"/>
      <c r="G25" s="95"/>
      <c r="H25" s="95"/>
      <c r="I25" s="95"/>
      <c r="J25" s="95"/>
      <c r="K25" s="95"/>
      <c r="L25" s="95"/>
      <c r="M25" s="95"/>
      <c r="N25" s="95"/>
      <c r="O25" s="95"/>
      <c r="P25" s="95"/>
      <c r="Q25" s="95"/>
      <c r="R25" s="95"/>
      <c r="S25" s="95"/>
      <c r="T25" s="95"/>
      <c r="U25" s="95"/>
    </row>
    <row r="26" spans="1:24" ht="18" customHeight="1" x14ac:dyDescent="0.15">
      <c r="B26" s="102" t="s">
        <v>22</v>
      </c>
      <c r="C26" s="103"/>
      <c r="D26" s="103"/>
      <c r="E26" s="103"/>
      <c r="F26" s="104"/>
      <c r="G26" s="55" t="s">
        <v>23</v>
      </c>
      <c r="H26" s="56" t="s">
        <v>24</v>
      </c>
      <c r="I26" s="57" t="s">
        <v>25</v>
      </c>
      <c r="J26" s="57" t="s">
        <v>26</v>
      </c>
      <c r="K26" s="102" t="s">
        <v>22</v>
      </c>
      <c r="L26" s="103"/>
      <c r="M26" s="103"/>
      <c r="N26" s="103"/>
      <c r="O26" s="103"/>
      <c r="P26" s="103"/>
      <c r="Q26" s="104"/>
      <c r="R26" s="55" t="s">
        <v>23</v>
      </c>
      <c r="S26" s="56" t="s">
        <v>24</v>
      </c>
      <c r="T26" s="57" t="s">
        <v>25</v>
      </c>
      <c r="U26" s="57" t="s">
        <v>26</v>
      </c>
    </row>
    <row r="27" spans="1:24" ht="18" customHeight="1" x14ac:dyDescent="0.15">
      <c r="B27" s="96" t="s">
        <v>79</v>
      </c>
      <c r="C27" s="97"/>
      <c r="D27" s="97"/>
      <c r="E27" s="97"/>
      <c r="F27" s="98"/>
      <c r="G27" s="58">
        <v>2</v>
      </c>
      <c r="H27" s="58" t="s">
        <v>28</v>
      </c>
      <c r="I27" s="58" t="s">
        <v>28</v>
      </c>
      <c r="J27" s="58" t="s">
        <v>28</v>
      </c>
      <c r="K27" s="96"/>
      <c r="L27" s="97"/>
      <c r="M27" s="97"/>
      <c r="N27" s="97"/>
      <c r="O27" s="97"/>
      <c r="P27" s="97"/>
      <c r="Q27" s="98"/>
      <c r="R27" s="58"/>
      <c r="S27" s="58"/>
      <c r="T27" s="58"/>
      <c r="U27" s="58"/>
    </row>
    <row r="28" spans="1:24" ht="18" customHeight="1" x14ac:dyDescent="0.15">
      <c r="B28" s="89"/>
      <c r="C28" s="90"/>
      <c r="D28" s="90"/>
      <c r="E28" s="90"/>
      <c r="F28" s="91"/>
      <c r="G28" s="59"/>
      <c r="H28" s="59"/>
      <c r="I28" s="59"/>
      <c r="J28" s="59"/>
      <c r="K28" s="89"/>
      <c r="L28" s="90"/>
      <c r="M28" s="90"/>
      <c r="N28" s="90"/>
      <c r="O28" s="90"/>
      <c r="P28" s="90"/>
      <c r="Q28" s="91"/>
      <c r="R28" s="59"/>
      <c r="S28" s="59"/>
      <c r="T28" s="59"/>
      <c r="U28" s="59"/>
    </row>
    <row r="29" spans="1:24" ht="18" customHeight="1" x14ac:dyDescent="0.15">
      <c r="B29" s="89"/>
      <c r="C29" s="90"/>
      <c r="D29" s="90"/>
      <c r="E29" s="90"/>
      <c r="F29" s="91"/>
      <c r="G29" s="59"/>
      <c r="H29" s="59"/>
      <c r="I29" s="59"/>
      <c r="J29" s="59"/>
      <c r="K29" s="89"/>
      <c r="L29" s="90"/>
      <c r="M29" s="90"/>
      <c r="N29" s="90"/>
      <c r="O29" s="90"/>
      <c r="P29" s="90"/>
      <c r="Q29" s="91"/>
      <c r="R29" s="59"/>
      <c r="S29" s="59"/>
      <c r="T29" s="59"/>
      <c r="U29" s="59"/>
    </row>
    <row r="30" spans="1:24" ht="18" customHeight="1" x14ac:dyDescent="0.15">
      <c r="B30" s="89"/>
      <c r="C30" s="90"/>
      <c r="D30" s="90"/>
      <c r="E30" s="90"/>
      <c r="F30" s="91"/>
      <c r="G30" s="59"/>
      <c r="H30" s="59"/>
      <c r="I30" s="59"/>
      <c r="J30" s="59"/>
      <c r="K30" s="89"/>
      <c r="L30" s="90"/>
      <c r="M30" s="90"/>
      <c r="N30" s="90"/>
      <c r="O30" s="90"/>
      <c r="P30" s="90"/>
      <c r="Q30" s="91"/>
      <c r="R30" s="59"/>
      <c r="S30" s="59"/>
      <c r="T30" s="59"/>
      <c r="U30" s="59"/>
    </row>
    <row r="31" spans="1:24" ht="18" customHeight="1" x14ac:dyDescent="0.15">
      <c r="B31" s="89"/>
      <c r="C31" s="90"/>
      <c r="D31" s="90"/>
      <c r="E31" s="90"/>
      <c r="F31" s="91"/>
      <c r="G31" s="59"/>
      <c r="H31" s="59"/>
      <c r="I31" s="59"/>
      <c r="J31" s="59"/>
      <c r="K31" s="89"/>
      <c r="L31" s="90"/>
      <c r="M31" s="90"/>
      <c r="N31" s="90"/>
      <c r="O31" s="90"/>
      <c r="P31" s="90"/>
      <c r="Q31" s="91"/>
      <c r="R31" s="59"/>
      <c r="S31" s="59"/>
      <c r="T31" s="59"/>
      <c r="U31" s="59"/>
    </row>
    <row r="32" spans="1:24" ht="18" customHeight="1" x14ac:dyDescent="0.15">
      <c r="A32" s="3"/>
      <c r="B32" s="89"/>
      <c r="C32" s="90"/>
      <c r="D32" s="90"/>
      <c r="E32" s="90"/>
      <c r="F32" s="91"/>
      <c r="G32" s="59"/>
      <c r="H32" s="59"/>
      <c r="I32" s="59"/>
      <c r="J32" s="59"/>
      <c r="K32" s="89"/>
      <c r="L32" s="90"/>
      <c r="M32" s="90"/>
      <c r="N32" s="90"/>
      <c r="O32" s="90"/>
      <c r="P32" s="90"/>
      <c r="Q32" s="91"/>
      <c r="R32" s="59"/>
      <c r="S32" s="59"/>
      <c r="T32" s="59"/>
      <c r="U32" s="59"/>
    </row>
    <row r="33" spans="1:21" ht="18" customHeight="1" x14ac:dyDescent="0.15">
      <c r="A33" s="3"/>
      <c r="B33" s="92"/>
      <c r="C33" s="93"/>
      <c r="D33" s="93"/>
      <c r="E33" s="93"/>
      <c r="F33" s="94"/>
      <c r="G33" s="60"/>
      <c r="H33" s="60"/>
      <c r="I33" s="61"/>
      <c r="J33" s="61"/>
      <c r="K33" s="92"/>
      <c r="L33" s="93"/>
      <c r="M33" s="93"/>
      <c r="N33" s="93"/>
      <c r="O33" s="93"/>
      <c r="P33" s="93"/>
      <c r="Q33" s="94"/>
      <c r="R33" s="60"/>
      <c r="S33" s="60"/>
      <c r="T33" s="61"/>
      <c r="U33" s="6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5" t="s">
        <v>29</v>
      </c>
      <c r="B35" s="95"/>
      <c r="C35" s="95"/>
      <c r="D35" s="95"/>
      <c r="E35" s="95"/>
      <c r="F35" s="95"/>
      <c r="G35" s="95"/>
      <c r="H35" s="95"/>
      <c r="I35" s="95"/>
      <c r="J35" s="95"/>
      <c r="K35" s="95"/>
      <c r="L35" s="95"/>
      <c r="M35" s="95"/>
      <c r="N35" s="95"/>
      <c r="O35" s="95"/>
      <c r="P35" s="95"/>
      <c r="Q35" s="95"/>
      <c r="R35" s="95"/>
      <c r="S35" s="95"/>
      <c r="T35" s="95"/>
      <c r="U35" s="95"/>
    </row>
    <row r="36" spans="1:21" ht="18" customHeight="1" x14ac:dyDescent="0.15">
      <c r="A36" s="95"/>
      <c r="B36" s="95"/>
      <c r="C36" s="95"/>
      <c r="D36" s="95"/>
      <c r="E36" s="95"/>
      <c r="F36" s="95"/>
      <c r="G36" s="95"/>
      <c r="H36" s="95"/>
      <c r="I36" s="95"/>
      <c r="J36" s="95"/>
      <c r="K36" s="95"/>
      <c r="L36" s="95"/>
      <c r="M36" s="95"/>
      <c r="N36" s="95"/>
      <c r="O36" s="95"/>
      <c r="P36" s="95"/>
      <c r="Q36" s="95"/>
      <c r="R36" s="95"/>
      <c r="S36" s="95"/>
      <c r="T36" s="95"/>
      <c r="U36" s="95"/>
    </row>
    <row r="37" spans="1:21" ht="18" customHeight="1" x14ac:dyDescent="0.15">
      <c r="B37" s="102" t="s">
        <v>22</v>
      </c>
      <c r="C37" s="103"/>
      <c r="D37" s="103"/>
      <c r="E37" s="103"/>
      <c r="F37" s="104"/>
      <c r="G37" s="55" t="s">
        <v>23</v>
      </c>
      <c r="H37" s="56" t="s">
        <v>24</v>
      </c>
      <c r="I37" s="57" t="s">
        <v>30</v>
      </c>
      <c r="J37" s="57" t="s">
        <v>31</v>
      </c>
      <c r="K37" s="102" t="s">
        <v>22</v>
      </c>
      <c r="L37" s="103"/>
      <c r="M37" s="103"/>
      <c r="N37" s="103"/>
      <c r="O37" s="103"/>
      <c r="P37" s="103"/>
      <c r="Q37" s="104"/>
      <c r="R37" s="55" t="s">
        <v>23</v>
      </c>
      <c r="S37" s="56" t="s">
        <v>24</v>
      </c>
      <c r="T37" s="57" t="s">
        <v>30</v>
      </c>
      <c r="U37" s="57" t="s">
        <v>31</v>
      </c>
    </row>
    <row r="38" spans="1:21" ht="18" customHeight="1" x14ac:dyDescent="0.15">
      <c r="B38" s="96" t="s">
        <v>80</v>
      </c>
      <c r="C38" s="97"/>
      <c r="D38" s="97"/>
      <c r="E38" s="97"/>
      <c r="F38" s="98"/>
      <c r="G38" s="58">
        <v>2</v>
      </c>
      <c r="H38" s="58" t="s">
        <v>28</v>
      </c>
      <c r="I38" s="58"/>
      <c r="J38" s="58" t="s">
        <v>28</v>
      </c>
      <c r="K38" s="96"/>
      <c r="L38" s="97"/>
      <c r="M38" s="97"/>
      <c r="N38" s="97"/>
      <c r="O38" s="97"/>
      <c r="P38" s="97"/>
      <c r="Q38" s="98"/>
      <c r="R38" s="58"/>
      <c r="S38" s="58"/>
      <c r="T38" s="58"/>
      <c r="U38" s="58"/>
    </row>
    <row r="39" spans="1:21" ht="18" customHeight="1" x14ac:dyDescent="0.15">
      <c r="B39" s="89" t="s">
        <v>81</v>
      </c>
      <c r="C39" s="90"/>
      <c r="D39" s="90"/>
      <c r="E39" s="90"/>
      <c r="F39" s="91"/>
      <c r="G39" s="59">
        <v>1</v>
      </c>
      <c r="H39" s="59" t="s">
        <v>28</v>
      </c>
      <c r="I39" s="59" t="s">
        <v>28</v>
      </c>
      <c r="J39" s="59"/>
      <c r="K39" s="89"/>
      <c r="L39" s="90"/>
      <c r="M39" s="90"/>
      <c r="N39" s="90"/>
      <c r="O39" s="90"/>
      <c r="P39" s="90"/>
      <c r="Q39" s="91"/>
      <c r="R39" s="59"/>
      <c r="S39" s="59"/>
      <c r="T39" s="59"/>
      <c r="U39" s="59"/>
    </row>
    <row r="40" spans="1:21" ht="18" customHeight="1" x14ac:dyDescent="0.15">
      <c r="B40" s="89"/>
      <c r="C40" s="90"/>
      <c r="D40" s="90"/>
      <c r="E40" s="90"/>
      <c r="F40" s="91"/>
      <c r="G40" s="59"/>
      <c r="H40" s="59"/>
      <c r="I40" s="59"/>
      <c r="J40" s="59"/>
      <c r="K40" s="89"/>
      <c r="L40" s="90"/>
      <c r="M40" s="90"/>
      <c r="N40" s="90"/>
      <c r="O40" s="90"/>
      <c r="P40" s="90"/>
      <c r="Q40" s="91"/>
      <c r="R40" s="59"/>
      <c r="S40" s="59"/>
      <c r="T40" s="59"/>
      <c r="U40" s="59"/>
    </row>
    <row r="41" spans="1:21" ht="18" customHeight="1" x14ac:dyDescent="0.15">
      <c r="B41" s="89"/>
      <c r="C41" s="90"/>
      <c r="D41" s="90"/>
      <c r="E41" s="90"/>
      <c r="F41" s="91"/>
      <c r="G41" s="59"/>
      <c r="H41" s="59"/>
      <c r="I41" s="59"/>
      <c r="J41" s="59"/>
      <c r="K41" s="89"/>
      <c r="L41" s="90"/>
      <c r="M41" s="90"/>
      <c r="N41" s="90"/>
      <c r="O41" s="90"/>
      <c r="P41" s="90"/>
      <c r="Q41" s="91"/>
      <c r="R41" s="59"/>
      <c r="S41" s="59"/>
      <c r="T41" s="59"/>
      <c r="U41" s="59"/>
    </row>
    <row r="42" spans="1:21" ht="18" customHeight="1" x14ac:dyDescent="0.15">
      <c r="B42" s="89"/>
      <c r="C42" s="90"/>
      <c r="D42" s="90"/>
      <c r="E42" s="90"/>
      <c r="F42" s="91"/>
      <c r="G42" s="59"/>
      <c r="H42" s="59"/>
      <c r="I42" s="59"/>
      <c r="J42" s="59"/>
      <c r="K42" s="89"/>
      <c r="L42" s="90"/>
      <c r="M42" s="90"/>
      <c r="N42" s="90"/>
      <c r="O42" s="90"/>
      <c r="P42" s="90"/>
      <c r="Q42" s="91"/>
      <c r="R42" s="59"/>
      <c r="S42" s="59"/>
      <c r="T42" s="59"/>
      <c r="U42" s="59"/>
    </row>
    <row r="43" spans="1:21" ht="18" customHeight="1" x14ac:dyDescent="0.15">
      <c r="B43" s="89"/>
      <c r="C43" s="90"/>
      <c r="D43" s="90"/>
      <c r="E43" s="90"/>
      <c r="F43" s="91"/>
      <c r="G43" s="59"/>
      <c r="H43" s="59"/>
      <c r="I43" s="59"/>
      <c r="J43" s="59"/>
      <c r="K43" s="89"/>
      <c r="L43" s="90"/>
      <c r="M43" s="90"/>
      <c r="N43" s="90"/>
      <c r="O43" s="90"/>
      <c r="P43" s="90"/>
      <c r="Q43" s="91"/>
      <c r="R43" s="59"/>
      <c r="S43" s="59"/>
      <c r="T43" s="59"/>
      <c r="U43" s="59"/>
    </row>
    <row r="44" spans="1:21" ht="18" customHeight="1" x14ac:dyDescent="0.15">
      <c r="B44" s="92"/>
      <c r="C44" s="93"/>
      <c r="D44" s="93"/>
      <c r="E44" s="93"/>
      <c r="F44" s="94"/>
      <c r="G44" s="60"/>
      <c r="H44" s="60"/>
      <c r="I44" s="61"/>
      <c r="J44" s="61"/>
      <c r="K44" s="92"/>
      <c r="L44" s="93"/>
      <c r="M44" s="93"/>
      <c r="N44" s="93"/>
      <c r="O44" s="93"/>
      <c r="P44" s="93"/>
      <c r="Q44" s="94"/>
      <c r="R44" s="60"/>
      <c r="S44" s="60"/>
      <c r="T44" s="61"/>
      <c r="U44" s="6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5" t="s">
        <v>32</v>
      </c>
      <c r="B46" s="95"/>
      <c r="C46" s="95"/>
      <c r="D46" s="95"/>
      <c r="E46" s="95"/>
      <c r="F46" s="95"/>
      <c r="G46" s="95"/>
      <c r="H46" s="95"/>
      <c r="I46" s="95"/>
      <c r="J46" s="95"/>
      <c r="K46" s="95"/>
      <c r="L46" s="95"/>
      <c r="M46" s="95"/>
      <c r="N46" s="95"/>
      <c r="O46" s="95"/>
      <c r="P46" s="95"/>
      <c r="Q46" s="95"/>
      <c r="R46" s="95"/>
      <c r="S46" s="95"/>
      <c r="T46" s="95"/>
      <c r="U46" s="95"/>
    </row>
    <row r="47" spans="1:21" ht="18" customHeight="1" x14ac:dyDescent="0.15">
      <c r="A47" s="95"/>
      <c r="B47" s="95"/>
      <c r="C47" s="95"/>
      <c r="D47" s="95"/>
      <c r="E47" s="95"/>
      <c r="F47" s="95"/>
      <c r="G47" s="95"/>
      <c r="H47" s="95"/>
      <c r="I47" s="95"/>
      <c r="J47" s="95"/>
      <c r="K47" s="95"/>
      <c r="L47" s="95"/>
      <c r="M47" s="95"/>
      <c r="N47" s="95"/>
      <c r="O47" s="95"/>
      <c r="P47" s="95"/>
      <c r="Q47" s="95"/>
      <c r="R47" s="95"/>
      <c r="S47" s="95"/>
      <c r="T47" s="95"/>
      <c r="U47" s="95"/>
    </row>
    <row r="48" spans="1:21" ht="18" customHeight="1" x14ac:dyDescent="0.15">
      <c r="B48" s="102" t="s">
        <v>22</v>
      </c>
      <c r="C48" s="103"/>
      <c r="D48" s="103"/>
      <c r="E48" s="103"/>
      <c r="F48" s="104"/>
      <c r="G48" s="55" t="s">
        <v>23</v>
      </c>
      <c r="H48" s="56" t="s">
        <v>24</v>
      </c>
      <c r="I48" s="57" t="s">
        <v>33</v>
      </c>
      <c r="J48" s="57" t="s">
        <v>34</v>
      </c>
      <c r="K48" s="102" t="s">
        <v>22</v>
      </c>
      <c r="L48" s="103"/>
      <c r="M48" s="103"/>
      <c r="N48" s="103"/>
      <c r="O48" s="103"/>
      <c r="P48" s="103"/>
      <c r="Q48" s="104"/>
      <c r="R48" s="55" t="s">
        <v>23</v>
      </c>
      <c r="S48" s="56" t="s">
        <v>24</v>
      </c>
      <c r="T48" s="57" t="s">
        <v>33</v>
      </c>
      <c r="U48" s="57" t="s">
        <v>34</v>
      </c>
    </row>
    <row r="49" spans="1:21" ht="18" customHeight="1" x14ac:dyDescent="0.15">
      <c r="A49" s="3"/>
      <c r="B49" s="96" t="s">
        <v>82</v>
      </c>
      <c r="C49" s="97"/>
      <c r="D49" s="97"/>
      <c r="E49" s="97"/>
      <c r="F49" s="98"/>
      <c r="G49" s="58">
        <v>1</v>
      </c>
      <c r="H49" s="58" t="s">
        <v>28</v>
      </c>
      <c r="I49" s="58" t="s">
        <v>28</v>
      </c>
      <c r="J49" s="58" t="s">
        <v>28</v>
      </c>
      <c r="K49" s="96"/>
      <c r="L49" s="97"/>
      <c r="M49" s="97"/>
      <c r="N49" s="97"/>
      <c r="O49" s="97"/>
      <c r="P49" s="97"/>
      <c r="Q49" s="98"/>
      <c r="R49" s="58"/>
      <c r="S49" s="58"/>
      <c r="T49" s="58"/>
      <c r="U49" s="58"/>
    </row>
    <row r="50" spans="1:21" ht="18" customHeight="1" x14ac:dyDescent="0.15">
      <c r="A50" s="3"/>
      <c r="B50" s="89"/>
      <c r="C50" s="90"/>
      <c r="D50" s="90"/>
      <c r="E50" s="90"/>
      <c r="F50" s="91"/>
      <c r="G50" s="59"/>
      <c r="H50" s="59"/>
      <c r="I50" s="59"/>
      <c r="J50" s="59"/>
      <c r="K50" s="89"/>
      <c r="L50" s="90"/>
      <c r="M50" s="90"/>
      <c r="N50" s="90"/>
      <c r="O50" s="90"/>
      <c r="P50" s="90"/>
      <c r="Q50" s="91"/>
      <c r="R50" s="59"/>
      <c r="S50" s="59"/>
      <c r="T50" s="59"/>
      <c r="U50" s="59"/>
    </row>
    <row r="51" spans="1:21" ht="18" customHeight="1" x14ac:dyDescent="0.15">
      <c r="A51" s="3"/>
      <c r="B51" s="89"/>
      <c r="C51" s="90"/>
      <c r="D51" s="90"/>
      <c r="E51" s="90"/>
      <c r="F51" s="91"/>
      <c r="G51" s="59"/>
      <c r="H51" s="59"/>
      <c r="I51" s="59"/>
      <c r="J51" s="59"/>
      <c r="K51" s="89"/>
      <c r="L51" s="90"/>
      <c r="M51" s="90"/>
      <c r="N51" s="90"/>
      <c r="O51" s="90"/>
      <c r="P51" s="90"/>
      <c r="Q51" s="91"/>
      <c r="R51" s="59"/>
      <c r="S51" s="59"/>
      <c r="T51" s="59"/>
      <c r="U51" s="59"/>
    </row>
    <row r="52" spans="1:21" ht="18" customHeight="1" x14ac:dyDescent="0.15">
      <c r="A52" s="3"/>
      <c r="B52" s="89"/>
      <c r="C52" s="90"/>
      <c r="D52" s="90"/>
      <c r="E52" s="90"/>
      <c r="F52" s="91"/>
      <c r="G52" s="59"/>
      <c r="H52" s="59"/>
      <c r="I52" s="59"/>
      <c r="J52" s="59"/>
      <c r="K52" s="89"/>
      <c r="L52" s="90"/>
      <c r="M52" s="90"/>
      <c r="N52" s="90"/>
      <c r="O52" s="90"/>
      <c r="P52" s="90"/>
      <c r="Q52" s="91"/>
      <c r="R52" s="59"/>
      <c r="S52" s="59"/>
      <c r="T52" s="59"/>
      <c r="U52" s="59"/>
    </row>
    <row r="53" spans="1:21" ht="18" customHeight="1" x14ac:dyDescent="0.15">
      <c r="A53" s="3"/>
      <c r="B53" s="89"/>
      <c r="C53" s="90"/>
      <c r="D53" s="90"/>
      <c r="E53" s="90"/>
      <c r="F53" s="91"/>
      <c r="G53" s="59"/>
      <c r="H53" s="59"/>
      <c r="I53" s="59"/>
      <c r="J53" s="59"/>
      <c r="K53" s="89"/>
      <c r="L53" s="90"/>
      <c r="M53" s="90"/>
      <c r="N53" s="90"/>
      <c r="O53" s="90"/>
      <c r="P53" s="90"/>
      <c r="Q53" s="91"/>
      <c r="R53" s="59"/>
      <c r="S53" s="59"/>
      <c r="T53" s="59"/>
      <c r="U53" s="59"/>
    </row>
    <row r="54" spans="1:21" ht="18" customHeight="1" x14ac:dyDescent="0.15">
      <c r="A54" s="3"/>
      <c r="B54" s="89"/>
      <c r="C54" s="90"/>
      <c r="D54" s="90"/>
      <c r="E54" s="90"/>
      <c r="F54" s="91"/>
      <c r="G54" s="59"/>
      <c r="H54" s="59"/>
      <c r="I54" s="59"/>
      <c r="J54" s="59"/>
      <c r="K54" s="89"/>
      <c r="L54" s="90"/>
      <c r="M54" s="90"/>
      <c r="N54" s="90"/>
      <c r="O54" s="90"/>
      <c r="P54" s="90"/>
      <c r="Q54" s="91"/>
      <c r="R54" s="59"/>
      <c r="S54" s="59"/>
      <c r="T54" s="59"/>
      <c r="U54" s="59"/>
    </row>
    <row r="55" spans="1:21" ht="18" customHeight="1" x14ac:dyDescent="0.15">
      <c r="A55" s="3"/>
      <c r="B55" s="92"/>
      <c r="C55" s="93"/>
      <c r="D55" s="93"/>
      <c r="E55" s="93"/>
      <c r="F55" s="94"/>
      <c r="G55" s="60"/>
      <c r="H55" s="60"/>
      <c r="I55" s="61"/>
      <c r="J55" s="61"/>
      <c r="K55" s="92"/>
      <c r="L55" s="93"/>
      <c r="M55" s="93"/>
      <c r="N55" s="93"/>
      <c r="O55" s="93"/>
      <c r="P55" s="93"/>
      <c r="Q55" s="94"/>
      <c r="R55" s="60"/>
      <c r="S55" s="60"/>
      <c r="T55" s="61"/>
      <c r="U55" s="6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5" t="s">
        <v>35</v>
      </c>
      <c r="B57" s="95"/>
      <c r="C57" s="95"/>
      <c r="D57" s="95"/>
      <c r="E57" s="95"/>
      <c r="F57" s="95"/>
      <c r="G57" s="95"/>
      <c r="H57" s="95"/>
      <c r="I57" s="95"/>
      <c r="J57" s="95"/>
      <c r="K57" s="95"/>
      <c r="L57" s="95"/>
      <c r="M57" s="95"/>
      <c r="N57" s="95"/>
      <c r="O57" s="95"/>
      <c r="P57" s="95"/>
      <c r="Q57" s="95"/>
      <c r="R57" s="95"/>
      <c r="S57" s="95"/>
      <c r="T57" s="95"/>
      <c r="U57" s="95"/>
    </row>
    <row r="58" spans="1:21" ht="18" customHeight="1" x14ac:dyDescent="0.15">
      <c r="A58" s="95"/>
      <c r="B58" s="95"/>
      <c r="C58" s="95"/>
      <c r="D58" s="95"/>
      <c r="E58" s="95"/>
      <c r="F58" s="95"/>
      <c r="G58" s="95"/>
      <c r="H58" s="95"/>
      <c r="I58" s="95"/>
      <c r="J58" s="95"/>
      <c r="K58" s="95"/>
      <c r="L58" s="95"/>
      <c r="M58" s="95"/>
      <c r="N58" s="95"/>
      <c r="O58" s="95"/>
      <c r="P58" s="95"/>
      <c r="Q58" s="95"/>
      <c r="R58" s="95"/>
      <c r="S58" s="95"/>
      <c r="T58" s="95"/>
      <c r="U58" s="95"/>
    </row>
    <row r="59" spans="1:21" ht="18" customHeight="1" x14ac:dyDescent="0.15">
      <c r="B59" s="102" t="s">
        <v>22</v>
      </c>
      <c r="C59" s="103"/>
      <c r="D59" s="103"/>
      <c r="E59" s="103"/>
      <c r="F59" s="104"/>
      <c r="G59" s="55" t="s">
        <v>23</v>
      </c>
      <c r="H59" s="56" t="s">
        <v>24</v>
      </c>
      <c r="I59" s="57" t="s">
        <v>36</v>
      </c>
      <c r="J59" s="57" t="s">
        <v>37</v>
      </c>
      <c r="K59" s="102" t="s">
        <v>22</v>
      </c>
      <c r="L59" s="103"/>
      <c r="M59" s="103"/>
      <c r="N59" s="103"/>
      <c r="O59" s="103"/>
      <c r="P59" s="103"/>
      <c r="Q59" s="104"/>
      <c r="R59" s="55" t="s">
        <v>23</v>
      </c>
      <c r="S59" s="56" t="s">
        <v>24</v>
      </c>
      <c r="T59" s="57" t="s">
        <v>36</v>
      </c>
      <c r="U59" s="57" t="s">
        <v>37</v>
      </c>
    </row>
    <row r="60" spans="1:21" ht="18" customHeight="1" x14ac:dyDescent="0.15">
      <c r="A60" s="3"/>
      <c r="B60" s="96" t="s">
        <v>80</v>
      </c>
      <c r="C60" s="97"/>
      <c r="D60" s="97"/>
      <c r="E60" s="97"/>
      <c r="F60" s="98"/>
      <c r="G60" s="58">
        <v>2</v>
      </c>
      <c r="H60" s="58" t="s">
        <v>28</v>
      </c>
      <c r="I60" s="58" t="s">
        <v>28</v>
      </c>
      <c r="J60" s="58" t="s">
        <v>28</v>
      </c>
      <c r="K60" s="96"/>
      <c r="L60" s="97"/>
      <c r="M60" s="97"/>
      <c r="N60" s="97"/>
      <c r="O60" s="97"/>
      <c r="P60" s="97"/>
      <c r="Q60" s="98"/>
      <c r="R60" s="58"/>
      <c r="S60" s="58"/>
      <c r="T60" s="58"/>
      <c r="U60" s="58"/>
    </row>
    <row r="61" spans="1:21" ht="18" customHeight="1" x14ac:dyDescent="0.15">
      <c r="A61" s="3"/>
      <c r="B61" s="89"/>
      <c r="C61" s="90"/>
      <c r="D61" s="90"/>
      <c r="E61" s="90"/>
      <c r="F61" s="91"/>
      <c r="G61" s="59"/>
      <c r="H61" s="59"/>
      <c r="I61" s="59"/>
      <c r="J61" s="59"/>
      <c r="K61" s="89"/>
      <c r="L61" s="90"/>
      <c r="M61" s="90"/>
      <c r="N61" s="90"/>
      <c r="O61" s="90"/>
      <c r="P61" s="90"/>
      <c r="Q61" s="91"/>
      <c r="R61" s="59"/>
      <c r="S61" s="59"/>
      <c r="T61" s="59"/>
      <c r="U61" s="59"/>
    </row>
    <row r="62" spans="1:21" ht="18" customHeight="1" x14ac:dyDescent="0.15">
      <c r="A62" s="3"/>
      <c r="B62" s="89"/>
      <c r="C62" s="90"/>
      <c r="D62" s="90"/>
      <c r="E62" s="90"/>
      <c r="F62" s="91"/>
      <c r="G62" s="59"/>
      <c r="H62" s="59"/>
      <c r="I62" s="59"/>
      <c r="J62" s="59"/>
      <c r="K62" s="89"/>
      <c r="L62" s="90"/>
      <c r="M62" s="90"/>
      <c r="N62" s="90"/>
      <c r="O62" s="90"/>
      <c r="P62" s="90"/>
      <c r="Q62" s="91"/>
      <c r="R62" s="59"/>
      <c r="S62" s="59"/>
      <c r="T62" s="59"/>
      <c r="U62" s="59"/>
    </row>
    <row r="63" spans="1:21" ht="18" customHeight="1" x14ac:dyDescent="0.15">
      <c r="A63" s="3"/>
      <c r="B63" s="89"/>
      <c r="C63" s="90"/>
      <c r="D63" s="90"/>
      <c r="E63" s="90"/>
      <c r="F63" s="91"/>
      <c r="G63" s="59"/>
      <c r="H63" s="59"/>
      <c r="I63" s="59"/>
      <c r="J63" s="59"/>
      <c r="K63" s="89"/>
      <c r="L63" s="90"/>
      <c r="M63" s="90"/>
      <c r="N63" s="90"/>
      <c r="O63" s="90"/>
      <c r="P63" s="90"/>
      <c r="Q63" s="91"/>
      <c r="R63" s="59"/>
      <c r="S63" s="59"/>
      <c r="T63" s="59"/>
      <c r="U63" s="59"/>
    </row>
    <row r="64" spans="1:21" ht="18" customHeight="1" x14ac:dyDescent="0.15">
      <c r="A64" s="3"/>
      <c r="B64" s="89"/>
      <c r="C64" s="90"/>
      <c r="D64" s="90"/>
      <c r="E64" s="90"/>
      <c r="F64" s="91"/>
      <c r="G64" s="59"/>
      <c r="H64" s="59"/>
      <c r="I64" s="59"/>
      <c r="J64" s="59"/>
      <c r="K64" s="89"/>
      <c r="L64" s="90"/>
      <c r="M64" s="90"/>
      <c r="N64" s="90"/>
      <c r="O64" s="90"/>
      <c r="P64" s="90"/>
      <c r="Q64" s="91"/>
      <c r="R64" s="59"/>
      <c r="S64" s="59"/>
      <c r="T64" s="59"/>
      <c r="U64" s="59"/>
    </row>
    <row r="65" spans="1:27" ht="18" customHeight="1" x14ac:dyDescent="0.15">
      <c r="A65" s="3"/>
      <c r="B65" s="89"/>
      <c r="C65" s="90"/>
      <c r="D65" s="90"/>
      <c r="E65" s="90"/>
      <c r="F65" s="91"/>
      <c r="G65" s="59"/>
      <c r="H65" s="59"/>
      <c r="I65" s="59"/>
      <c r="J65" s="59"/>
      <c r="K65" s="89"/>
      <c r="L65" s="90"/>
      <c r="M65" s="90"/>
      <c r="N65" s="90"/>
      <c r="O65" s="90"/>
      <c r="P65" s="90"/>
      <c r="Q65" s="91"/>
      <c r="R65" s="59"/>
      <c r="S65" s="59"/>
      <c r="T65" s="59"/>
      <c r="U65" s="59"/>
    </row>
    <row r="66" spans="1:27" ht="18" customHeight="1" x14ac:dyDescent="0.15">
      <c r="A66" s="3"/>
      <c r="B66" s="92"/>
      <c r="C66" s="93"/>
      <c r="D66" s="93"/>
      <c r="E66" s="93"/>
      <c r="F66" s="94"/>
      <c r="G66" s="60"/>
      <c r="H66" s="60"/>
      <c r="I66" s="61"/>
      <c r="J66" s="61"/>
      <c r="K66" s="92"/>
      <c r="L66" s="93"/>
      <c r="M66" s="93"/>
      <c r="N66" s="93"/>
      <c r="O66" s="93"/>
      <c r="P66" s="93"/>
      <c r="Q66" s="94"/>
      <c r="R66" s="60"/>
      <c r="S66" s="60"/>
      <c r="T66" s="61"/>
      <c r="U66" s="61"/>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5" t="s">
        <v>38</v>
      </c>
      <c r="B68" s="95"/>
      <c r="C68" s="95"/>
      <c r="D68" s="95"/>
      <c r="E68" s="95"/>
      <c r="F68" s="95"/>
      <c r="G68" s="95"/>
      <c r="H68" s="95"/>
      <c r="I68" s="95"/>
      <c r="J68" s="95"/>
      <c r="K68" s="95"/>
      <c r="L68" s="95"/>
      <c r="M68" s="95"/>
      <c r="N68" s="95"/>
      <c r="O68" s="95"/>
      <c r="P68" s="95"/>
      <c r="Q68" s="95"/>
      <c r="R68" s="95"/>
      <c r="S68" s="95"/>
      <c r="T68" s="95"/>
      <c r="U68" s="95"/>
    </row>
    <row r="69" spans="1:27" ht="18" customHeight="1" x14ac:dyDescent="0.15">
      <c r="A69" s="95"/>
      <c r="B69" s="95"/>
      <c r="C69" s="95"/>
      <c r="D69" s="95"/>
      <c r="E69" s="95"/>
      <c r="F69" s="95"/>
      <c r="G69" s="95"/>
      <c r="H69" s="95"/>
      <c r="I69" s="95"/>
      <c r="J69" s="95"/>
      <c r="K69" s="95"/>
      <c r="L69" s="95"/>
      <c r="M69" s="95"/>
      <c r="N69" s="95"/>
      <c r="O69" s="95"/>
      <c r="P69" s="95"/>
      <c r="Q69" s="95"/>
      <c r="R69" s="95"/>
      <c r="S69" s="95"/>
      <c r="T69" s="95"/>
      <c r="U69" s="95"/>
    </row>
    <row r="70" spans="1:27" ht="18" customHeight="1" x14ac:dyDescent="0.15">
      <c r="B70" s="102" t="s">
        <v>22</v>
      </c>
      <c r="C70" s="103"/>
      <c r="D70" s="103"/>
      <c r="E70" s="103"/>
      <c r="F70" s="55" t="s">
        <v>23</v>
      </c>
      <c r="G70" s="56" t="s">
        <v>24</v>
      </c>
      <c r="H70" s="57" t="s">
        <v>39</v>
      </c>
      <c r="I70" s="57" t="s">
        <v>40</v>
      </c>
      <c r="J70" s="57" t="s">
        <v>41</v>
      </c>
      <c r="K70" s="102" t="s">
        <v>22</v>
      </c>
      <c r="L70" s="103"/>
      <c r="M70" s="103"/>
      <c r="N70" s="103"/>
      <c r="O70" s="103"/>
      <c r="P70" s="104"/>
      <c r="Q70" s="55" t="s">
        <v>23</v>
      </c>
      <c r="R70" s="56" t="s">
        <v>24</v>
      </c>
      <c r="S70" s="57" t="s">
        <v>39</v>
      </c>
      <c r="T70" s="57" t="s">
        <v>40</v>
      </c>
      <c r="U70" s="57" t="s">
        <v>41</v>
      </c>
    </row>
    <row r="71" spans="1:27" ht="18" customHeight="1" x14ac:dyDescent="0.15">
      <c r="A71" s="3"/>
      <c r="B71" s="96" t="s">
        <v>82</v>
      </c>
      <c r="C71" s="97"/>
      <c r="D71" s="97"/>
      <c r="E71" s="97"/>
      <c r="F71" s="58">
        <v>1</v>
      </c>
      <c r="G71" s="58" t="s">
        <v>28</v>
      </c>
      <c r="H71" s="58" t="s">
        <v>28</v>
      </c>
      <c r="I71" s="58" t="s">
        <v>28</v>
      </c>
      <c r="J71" s="58" t="s">
        <v>28</v>
      </c>
      <c r="K71" s="96"/>
      <c r="L71" s="97"/>
      <c r="M71" s="97"/>
      <c r="N71" s="97"/>
      <c r="O71" s="97"/>
      <c r="P71" s="98"/>
      <c r="Q71" s="58"/>
      <c r="R71" s="58"/>
      <c r="S71" s="58"/>
      <c r="T71" s="58"/>
      <c r="U71" s="58"/>
    </row>
    <row r="72" spans="1:27" ht="18" customHeight="1" x14ac:dyDescent="0.15">
      <c r="A72" s="3"/>
      <c r="B72" s="89"/>
      <c r="C72" s="90"/>
      <c r="D72" s="90"/>
      <c r="E72" s="90"/>
      <c r="F72" s="59"/>
      <c r="G72" s="59"/>
      <c r="H72" s="59"/>
      <c r="I72" s="59"/>
      <c r="J72" s="59"/>
      <c r="K72" s="89"/>
      <c r="L72" s="90"/>
      <c r="M72" s="90"/>
      <c r="N72" s="90"/>
      <c r="O72" s="90"/>
      <c r="P72" s="91"/>
      <c r="Q72" s="59"/>
      <c r="R72" s="59"/>
      <c r="S72" s="59"/>
      <c r="T72" s="59"/>
      <c r="U72" s="59"/>
    </row>
    <row r="73" spans="1:27" ht="18" customHeight="1" x14ac:dyDescent="0.15">
      <c r="A73" s="3"/>
      <c r="B73" s="89"/>
      <c r="C73" s="90"/>
      <c r="D73" s="90"/>
      <c r="E73" s="90"/>
      <c r="F73" s="59"/>
      <c r="G73" s="59"/>
      <c r="H73" s="59"/>
      <c r="I73" s="59"/>
      <c r="J73" s="59"/>
      <c r="K73" s="89"/>
      <c r="L73" s="90"/>
      <c r="M73" s="90"/>
      <c r="N73" s="90"/>
      <c r="O73" s="90"/>
      <c r="P73" s="91"/>
      <c r="Q73" s="59"/>
      <c r="R73" s="59"/>
      <c r="S73" s="59"/>
      <c r="T73" s="59"/>
      <c r="U73" s="59"/>
    </row>
    <row r="74" spans="1:27" ht="18" customHeight="1" x14ac:dyDescent="0.15">
      <c r="A74" s="3"/>
      <c r="B74" s="89"/>
      <c r="C74" s="90"/>
      <c r="D74" s="90"/>
      <c r="E74" s="90"/>
      <c r="F74" s="59"/>
      <c r="G74" s="59"/>
      <c r="H74" s="59"/>
      <c r="I74" s="59"/>
      <c r="J74" s="59"/>
      <c r="K74" s="89"/>
      <c r="L74" s="90"/>
      <c r="M74" s="90"/>
      <c r="N74" s="90"/>
      <c r="O74" s="90"/>
      <c r="P74" s="91"/>
      <c r="Q74" s="59"/>
      <c r="R74" s="59"/>
      <c r="S74" s="59"/>
      <c r="T74" s="59"/>
      <c r="U74" s="59"/>
    </row>
    <row r="75" spans="1:27" ht="18" customHeight="1" x14ac:dyDescent="0.15">
      <c r="A75" s="3"/>
      <c r="B75" s="89"/>
      <c r="C75" s="90"/>
      <c r="D75" s="90"/>
      <c r="E75" s="90"/>
      <c r="F75" s="59"/>
      <c r="G75" s="59"/>
      <c r="H75" s="59"/>
      <c r="I75" s="59"/>
      <c r="J75" s="59"/>
      <c r="K75" s="89"/>
      <c r="L75" s="90"/>
      <c r="M75" s="90"/>
      <c r="N75" s="90"/>
      <c r="O75" s="90"/>
      <c r="P75" s="91"/>
      <c r="Q75" s="59"/>
      <c r="R75" s="59"/>
      <c r="S75" s="59"/>
      <c r="T75" s="59"/>
      <c r="U75" s="59"/>
    </row>
    <row r="76" spans="1:27" ht="18" customHeight="1" x14ac:dyDescent="0.15">
      <c r="A76" s="3"/>
      <c r="B76" s="89"/>
      <c r="C76" s="90"/>
      <c r="D76" s="90"/>
      <c r="E76" s="90"/>
      <c r="F76" s="59"/>
      <c r="G76" s="59"/>
      <c r="H76" s="59"/>
      <c r="I76" s="59"/>
      <c r="J76" s="59"/>
      <c r="K76" s="89"/>
      <c r="L76" s="90"/>
      <c r="M76" s="90"/>
      <c r="N76" s="90"/>
      <c r="O76" s="90"/>
      <c r="P76" s="91"/>
      <c r="Q76" s="59"/>
      <c r="R76" s="59"/>
      <c r="S76" s="59"/>
      <c r="T76" s="59"/>
      <c r="U76" s="59"/>
    </row>
    <row r="77" spans="1:27" ht="18" customHeight="1" x14ac:dyDescent="0.15">
      <c r="A77" s="3"/>
      <c r="B77" s="92"/>
      <c r="C77" s="93"/>
      <c r="D77" s="93"/>
      <c r="E77" s="93"/>
      <c r="F77" s="60"/>
      <c r="G77" s="60"/>
      <c r="H77" s="61"/>
      <c r="I77" s="61"/>
      <c r="J77" s="61"/>
      <c r="K77" s="92"/>
      <c r="L77" s="93"/>
      <c r="M77" s="93"/>
      <c r="N77" s="93"/>
      <c r="O77" s="93"/>
      <c r="P77" s="94"/>
      <c r="Q77" s="60"/>
      <c r="R77" s="60"/>
      <c r="S77" s="61"/>
      <c r="T77" s="61"/>
      <c r="U77" s="61"/>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42</v>
      </c>
      <c r="I79" s="3"/>
      <c r="J79" s="3"/>
      <c r="K79" s="3"/>
      <c r="L79" s="3"/>
      <c r="M79" s="3"/>
      <c r="N79" s="3"/>
      <c r="O79" s="3"/>
      <c r="P79" s="3"/>
      <c r="Q79" s="3"/>
      <c r="R79" s="3"/>
      <c r="S79" s="3"/>
      <c r="T79" s="3"/>
      <c r="U79" s="3"/>
    </row>
    <row r="80" spans="1:27" ht="18" customHeight="1" x14ac:dyDescent="0.15">
      <c r="B80" s="102" t="s">
        <v>22</v>
      </c>
      <c r="C80" s="103"/>
      <c r="D80" s="103"/>
      <c r="E80" s="103"/>
      <c r="F80" s="104"/>
      <c r="G80" s="102" t="s">
        <v>43</v>
      </c>
      <c r="H80" s="103"/>
      <c r="I80" s="103"/>
      <c r="J80" s="104"/>
      <c r="K80" s="110" t="s">
        <v>22</v>
      </c>
      <c r="L80" s="111"/>
      <c r="M80" s="111"/>
      <c r="N80" s="111"/>
      <c r="O80" s="111"/>
      <c r="P80" s="111"/>
      <c r="Q80" s="112"/>
      <c r="R80" s="102" t="s">
        <v>43</v>
      </c>
      <c r="S80" s="103"/>
      <c r="T80" s="103"/>
      <c r="U80" s="104"/>
      <c r="AA80" s="1" t="s">
        <v>44</v>
      </c>
    </row>
    <row r="81" spans="1:27" ht="18" customHeight="1" x14ac:dyDescent="0.15">
      <c r="A81" s="3"/>
      <c r="B81" s="96"/>
      <c r="C81" s="97"/>
      <c r="D81" s="97"/>
      <c r="E81" s="97"/>
      <c r="F81" s="98"/>
      <c r="G81" s="99"/>
      <c r="H81" s="100"/>
      <c r="I81" s="100"/>
      <c r="J81" s="101"/>
      <c r="K81" s="96"/>
      <c r="L81" s="97"/>
      <c r="M81" s="97"/>
      <c r="N81" s="97"/>
      <c r="O81" s="97"/>
      <c r="P81" s="97"/>
      <c r="Q81" s="98"/>
      <c r="R81" s="99"/>
      <c r="S81" s="100"/>
      <c r="T81" s="100"/>
      <c r="U81" s="101"/>
      <c r="AA81" s="1" t="s">
        <v>45</v>
      </c>
    </row>
    <row r="82" spans="1:27" ht="18" customHeight="1" x14ac:dyDescent="0.15">
      <c r="A82" s="3"/>
      <c r="B82" s="89"/>
      <c r="C82" s="90"/>
      <c r="D82" s="90"/>
      <c r="E82" s="90"/>
      <c r="F82" s="91"/>
      <c r="G82" s="107"/>
      <c r="H82" s="108"/>
      <c r="I82" s="108"/>
      <c r="J82" s="109"/>
      <c r="K82" s="89"/>
      <c r="L82" s="90"/>
      <c r="M82" s="90"/>
      <c r="N82" s="90"/>
      <c r="O82" s="90"/>
      <c r="P82" s="90"/>
      <c r="Q82" s="91"/>
      <c r="R82" s="107"/>
      <c r="S82" s="108"/>
      <c r="T82" s="108"/>
      <c r="U82" s="109"/>
      <c r="AA82" s="1" t="s">
        <v>46</v>
      </c>
    </row>
    <row r="83" spans="1:27" ht="18" customHeight="1" x14ac:dyDescent="0.15">
      <c r="A83" s="3"/>
      <c r="B83" s="89"/>
      <c r="C83" s="90"/>
      <c r="D83" s="90"/>
      <c r="E83" s="90"/>
      <c r="F83" s="91"/>
      <c r="G83" s="107"/>
      <c r="H83" s="108"/>
      <c r="I83" s="108"/>
      <c r="J83" s="109"/>
      <c r="K83" s="89"/>
      <c r="L83" s="90"/>
      <c r="M83" s="90"/>
      <c r="N83" s="90"/>
      <c r="O83" s="90"/>
      <c r="P83" s="90"/>
      <c r="Q83" s="91"/>
      <c r="R83" s="107"/>
      <c r="S83" s="108"/>
      <c r="T83" s="108"/>
      <c r="U83" s="109"/>
      <c r="AA83" s="1" t="s">
        <v>47</v>
      </c>
    </row>
    <row r="84" spans="1:27" ht="18" customHeight="1" x14ac:dyDescent="0.15">
      <c r="A84" s="3"/>
      <c r="B84" s="89"/>
      <c r="C84" s="90"/>
      <c r="D84" s="90"/>
      <c r="E84" s="90"/>
      <c r="F84" s="91"/>
      <c r="G84" s="107"/>
      <c r="H84" s="108"/>
      <c r="I84" s="108"/>
      <c r="J84" s="109"/>
      <c r="K84" s="89"/>
      <c r="L84" s="90"/>
      <c r="M84" s="90"/>
      <c r="N84" s="90"/>
      <c r="O84" s="90"/>
      <c r="P84" s="90"/>
      <c r="Q84" s="91"/>
      <c r="R84" s="107"/>
      <c r="S84" s="108"/>
      <c r="T84" s="108"/>
      <c r="U84" s="109"/>
      <c r="AA84" s="1" t="s">
        <v>48</v>
      </c>
    </row>
    <row r="85" spans="1:27" ht="18" customHeight="1" x14ac:dyDescent="0.15">
      <c r="A85" s="3"/>
      <c r="B85" s="89"/>
      <c r="C85" s="90"/>
      <c r="D85" s="90"/>
      <c r="E85" s="90"/>
      <c r="F85" s="91"/>
      <c r="G85" s="107"/>
      <c r="H85" s="108"/>
      <c r="I85" s="108"/>
      <c r="J85" s="109"/>
      <c r="K85" s="89"/>
      <c r="L85" s="90"/>
      <c r="M85" s="90"/>
      <c r="N85" s="90"/>
      <c r="O85" s="90"/>
      <c r="P85" s="90"/>
      <c r="Q85" s="91"/>
      <c r="R85" s="107"/>
      <c r="S85" s="108"/>
      <c r="T85" s="108"/>
      <c r="U85" s="109"/>
      <c r="AA85" s="1" t="s">
        <v>49</v>
      </c>
    </row>
    <row r="86" spans="1:27" ht="18" customHeight="1" x14ac:dyDescent="0.15">
      <c r="A86" s="3"/>
      <c r="B86" s="89"/>
      <c r="C86" s="90"/>
      <c r="D86" s="90"/>
      <c r="E86" s="90"/>
      <c r="F86" s="91"/>
      <c r="G86" s="107"/>
      <c r="H86" s="108"/>
      <c r="I86" s="108"/>
      <c r="J86" s="109"/>
      <c r="K86" s="89"/>
      <c r="L86" s="90"/>
      <c r="M86" s="90"/>
      <c r="N86" s="90"/>
      <c r="O86" s="90"/>
      <c r="P86" s="90"/>
      <c r="Q86" s="91"/>
      <c r="R86" s="107"/>
      <c r="S86" s="108"/>
      <c r="T86" s="108"/>
      <c r="U86" s="109"/>
      <c r="AA86" s="1" t="s">
        <v>50</v>
      </c>
    </row>
    <row r="87" spans="1:27" ht="18" customHeight="1" x14ac:dyDescent="0.15">
      <c r="A87" s="3"/>
      <c r="B87" s="92"/>
      <c r="C87" s="93"/>
      <c r="D87" s="93"/>
      <c r="E87" s="93"/>
      <c r="F87" s="94"/>
      <c r="G87" s="126"/>
      <c r="H87" s="127"/>
      <c r="I87" s="127"/>
      <c r="J87" s="128"/>
      <c r="K87" s="92"/>
      <c r="L87" s="93"/>
      <c r="M87" s="93"/>
      <c r="N87" s="93"/>
      <c r="O87" s="93"/>
      <c r="P87" s="93"/>
      <c r="Q87" s="94"/>
      <c r="R87" s="126"/>
      <c r="S87" s="127"/>
      <c r="T87" s="127"/>
      <c r="U87" s="128"/>
      <c r="AA87" s="1" t="s">
        <v>51</v>
      </c>
    </row>
    <row r="88" spans="1:27" ht="18" customHeight="1" x14ac:dyDescent="0.15">
      <c r="A88" s="3"/>
      <c r="B88" s="6"/>
      <c r="C88" s="6"/>
      <c r="D88" s="6"/>
      <c r="E88" s="6"/>
      <c r="F88" s="6"/>
      <c r="G88" s="62"/>
      <c r="H88" s="62"/>
      <c r="I88" s="62"/>
      <c r="J88" s="62"/>
      <c r="K88" s="6"/>
      <c r="L88" s="6"/>
      <c r="M88" s="6"/>
      <c r="N88" s="6"/>
      <c r="O88" s="6"/>
      <c r="P88" s="6"/>
      <c r="Q88" s="6"/>
      <c r="R88" s="62"/>
      <c r="S88" s="62"/>
      <c r="T88" s="62"/>
      <c r="U88" s="62"/>
      <c r="AA88" s="1" t="s">
        <v>52</v>
      </c>
    </row>
    <row r="89" spans="1:27" ht="18.75" customHeight="1" x14ac:dyDescent="0.15">
      <c r="A89" s="1" t="s">
        <v>53</v>
      </c>
      <c r="AA89" s="1" t="s">
        <v>54</v>
      </c>
    </row>
    <row r="90" spans="1:27" ht="18.75" customHeight="1" x14ac:dyDescent="0.15">
      <c r="B90" s="130" t="s">
        <v>55</v>
      </c>
      <c r="C90" s="131"/>
      <c r="D90" s="102" t="s">
        <v>56</v>
      </c>
      <c r="E90" s="103"/>
      <c r="F90" s="103"/>
      <c r="G90" s="103"/>
      <c r="H90" s="103"/>
      <c r="I90" s="103"/>
      <c r="J90" s="103"/>
      <c r="K90" s="103"/>
      <c r="L90" s="103"/>
      <c r="M90" s="103"/>
      <c r="N90" s="103"/>
      <c r="O90" s="103"/>
      <c r="P90" s="103"/>
      <c r="Q90" s="103"/>
      <c r="R90" s="103"/>
      <c r="S90" s="103"/>
      <c r="T90" s="103"/>
      <c r="U90" s="104"/>
    </row>
    <row r="91" spans="1:27" ht="97.5" customHeight="1" x14ac:dyDescent="0.15">
      <c r="B91" s="105" t="s">
        <v>57</v>
      </c>
      <c r="C91" s="63" t="s">
        <v>25</v>
      </c>
      <c r="D91" s="136" t="s">
        <v>83</v>
      </c>
      <c r="E91" s="137"/>
      <c r="F91" s="137"/>
      <c r="G91" s="137"/>
      <c r="H91" s="137"/>
      <c r="I91" s="137"/>
      <c r="J91" s="137"/>
      <c r="K91" s="137"/>
      <c r="L91" s="137"/>
      <c r="M91" s="137"/>
      <c r="N91" s="137"/>
      <c r="O91" s="137"/>
      <c r="P91" s="137"/>
      <c r="Q91" s="137"/>
      <c r="R91" s="137"/>
      <c r="S91" s="137"/>
      <c r="T91" s="137"/>
      <c r="U91" s="138"/>
    </row>
    <row r="92" spans="1:27" ht="97.5" customHeight="1" x14ac:dyDescent="0.15">
      <c r="B92" s="129"/>
      <c r="C92" s="64" t="s">
        <v>59</v>
      </c>
      <c r="D92" s="150" t="s">
        <v>84</v>
      </c>
      <c r="E92" s="151"/>
      <c r="F92" s="151"/>
      <c r="G92" s="151"/>
      <c r="H92" s="151"/>
      <c r="I92" s="151"/>
      <c r="J92" s="151"/>
      <c r="K92" s="151"/>
      <c r="L92" s="151"/>
      <c r="M92" s="151"/>
      <c r="N92" s="151"/>
      <c r="O92" s="151"/>
      <c r="P92" s="151"/>
      <c r="Q92" s="151"/>
      <c r="R92" s="151"/>
      <c r="S92" s="151"/>
      <c r="T92" s="151"/>
      <c r="U92" s="152"/>
    </row>
    <row r="93" spans="1:27" ht="97.5" customHeight="1" x14ac:dyDescent="0.15">
      <c r="B93" s="105" t="s">
        <v>85</v>
      </c>
      <c r="C93" s="65" t="s">
        <v>30</v>
      </c>
      <c r="D93" s="166" t="s">
        <v>199</v>
      </c>
      <c r="E93" s="137"/>
      <c r="F93" s="137"/>
      <c r="G93" s="137"/>
      <c r="H93" s="137"/>
      <c r="I93" s="137"/>
      <c r="J93" s="137"/>
      <c r="K93" s="137"/>
      <c r="L93" s="137"/>
      <c r="M93" s="137"/>
      <c r="N93" s="137"/>
      <c r="O93" s="137"/>
      <c r="P93" s="137"/>
      <c r="Q93" s="137"/>
      <c r="R93" s="137"/>
      <c r="S93" s="137"/>
      <c r="T93" s="137"/>
      <c r="U93" s="138"/>
    </row>
    <row r="94" spans="1:27" ht="97.5" customHeight="1" x14ac:dyDescent="0.15">
      <c r="B94" s="106"/>
      <c r="C94" s="66" t="s">
        <v>31</v>
      </c>
      <c r="D94" s="142" t="s">
        <v>86</v>
      </c>
      <c r="E94" s="134"/>
      <c r="F94" s="134"/>
      <c r="G94" s="134"/>
      <c r="H94" s="134"/>
      <c r="I94" s="134"/>
      <c r="J94" s="134"/>
      <c r="K94" s="134"/>
      <c r="L94" s="134"/>
      <c r="M94" s="134"/>
      <c r="N94" s="134"/>
      <c r="O94" s="134"/>
      <c r="P94" s="134"/>
      <c r="Q94" s="134"/>
      <c r="R94" s="134"/>
      <c r="S94" s="134"/>
      <c r="T94" s="134"/>
      <c r="U94" s="135"/>
    </row>
    <row r="95" spans="1:27" ht="97.5" customHeight="1" x14ac:dyDescent="0.15">
      <c r="B95" s="105" t="s">
        <v>87</v>
      </c>
      <c r="C95" s="65" t="s">
        <v>33</v>
      </c>
      <c r="D95" s="153" t="s">
        <v>200</v>
      </c>
      <c r="E95" s="154"/>
      <c r="F95" s="154"/>
      <c r="G95" s="154"/>
      <c r="H95" s="154"/>
      <c r="I95" s="154"/>
      <c r="J95" s="154"/>
      <c r="K95" s="154"/>
      <c r="L95" s="154"/>
      <c r="M95" s="154"/>
      <c r="N95" s="154"/>
      <c r="O95" s="154"/>
      <c r="P95" s="154"/>
      <c r="Q95" s="154"/>
      <c r="R95" s="154"/>
      <c r="S95" s="154"/>
      <c r="T95" s="154"/>
      <c r="U95" s="155"/>
    </row>
    <row r="96" spans="1:27" ht="97.5" customHeight="1" x14ac:dyDescent="0.15">
      <c r="B96" s="106"/>
      <c r="C96" s="67" t="s">
        <v>34</v>
      </c>
      <c r="D96" s="164" t="s">
        <v>88</v>
      </c>
      <c r="E96" s="134"/>
      <c r="F96" s="134"/>
      <c r="G96" s="134"/>
      <c r="H96" s="134"/>
      <c r="I96" s="134"/>
      <c r="J96" s="134"/>
      <c r="K96" s="134"/>
      <c r="L96" s="134"/>
      <c r="M96" s="134"/>
      <c r="N96" s="134"/>
      <c r="O96" s="134"/>
      <c r="P96" s="134"/>
      <c r="Q96" s="134"/>
      <c r="R96" s="134"/>
      <c r="S96" s="134"/>
      <c r="T96" s="134"/>
      <c r="U96" s="135"/>
    </row>
    <row r="97" spans="1:21" ht="97.5" customHeight="1" x14ac:dyDescent="0.15">
      <c r="B97" s="105" t="s">
        <v>66</v>
      </c>
      <c r="C97" s="63" t="s">
        <v>36</v>
      </c>
      <c r="D97" s="143" t="s">
        <v>201</v>
      </c>
      <c r="E97" s="137"/>
      <c r="F97" s="137"/>
      <c r="G97" s="137"/>
      <c r="H97" s="137"/>
      <c r="I97" s="137"/>
      <c r="J97" s="137"/>
      <c r="K97" s="137"/>
      <c r="L97" s="137"/>
      <c r="M97" s="137"/>
      <c r="N97" s="137"/>
      <c r="O97" s="137"/>
      <c r="P97" s="137"/>
      <c r="Q97" s="137"/>
      <c r="R97" s="137"/>
      <c r="S97" s="137"/>
      <c r="T97" s="137"/>
      <c r="U97" s="138"/>
    </row>
    <row r="98" spans="1:21" ht="97.5" customHeight="1" x14ac:dyDescent="0.15">
      <c r="B98" s="106"/>
      <c r="C98" s="66" t="s">
        <v>37</v>
      </c>
      <c r="D98" s="133" t="s">
        <v>202</v>
      </c>
      <c r="E98" s="134"/>
      <c r="F98" s="134"/>
      <c r="G98" s="134"/>
      <c r="H98" s="134"/>
      <c r="I98" s="134"/>
      <c r="J98" s="134"/>
      <c r="K98" s="134"/>
      <c r="L98" s="134"/>
      <c r="M98" s="134"/>
      <c r="N98" s="134"/>
      <c r="O98" s="134"/>
      <c r="P98" s="134"/>
      <c r="Q98" s="134"/>
      <c r="R98" s="134"/>
      <c r="S98" s="134"/>
      <c r="T98" s="134"/>
      <c r="U98" s="135"/>
    </row>
    <row r="99" spans="1:21" ht="97.5" customHeight="1" x14ac:dyDescent="0.15">
      <c r="B99" s="105" t="s">
        <v>69</v>
      </c>
      <c r="C99" s="65" t="s">
        <v>70</v>
      </c>
      <c r="D99" s="162" t="s">
        <v>89</v>
      </c>
      <c r="E99" s="137"/>
      <c r="F99" s="137"/>
      <c r="G99" s="137"/>
      <c r="H99" s="137"/>
      <c r="I99" s="137"/>
      <c r="J99" s="137"/>
      <c r="K99" s="137"/>
      <c r="L99" s="137"/>
      <c r="M99" s="137"/>
      <c r="N99" s="137"/>
      <c r="O99" s="137"/>
      <c r="P99" s="137"/>
      <c r="Q99" s="137"/>
      <c r="R99" s="137"/>
      <c r="S99" s="137"/>
      <c r="T99" s="137"/>
      <c r="U99" s="138"/>
    </row>
    <row r="100" spans="1:21" ht="97.5" customHeight="1" x14ac:dyDescent="0.15">
      <c r="B100" s="129"/>
      <c r="C100" s="68" t="s">
        <v>40</v>
      </c>
      <c r="D100" s="163" t="s">
        <v>203</v>
      </c>
      <c r="E100" s="140"/>
      <c r="F100" s="140"/>
      <c r="G100" s="140"/>
      <c r="H100" s="140"/>
      <c r="I100" s="140"/>
      <c r="J100" s="140"/>
      <c r="K100" s="140"/>
      <c r="L100" s="140"/>
      <c r="M100" s="140"/>
      <c r="N100" s="140"/>
      <c r="O100" s="140"/>
      <c r="P100" s="140"/>
      <c r="Q100" s="140"/>
      <c r="R100" s="140"/>
      <c r="S100" s="140"/>
      <c r="T100" s="140"/>
      <c r="U100" s="141"/>
    </row>
    <row r="101" spans="1:21" ht="97.5" customHeight="1" x14ac:dyDescent="0.15">
      <c r="B101" s="106"/>
      <c r="C101" s="67" t="s">
        <v>41</v>
      </c>
      <c r="D101" s="164" t="s">
        <v>90</v>
      </c>
      <c r="E101" s="134"/>
      <c r="F101" s="134"/>
      <c r="G101" s="134"/>
      <c r="H101" s="134"/>
      <c r="I101" s="134"/>
      <c r="J101" s="134"/>
      <c r="K101" s="134"/>
      <c r="L101" s="134"/>
      <c r="M101" s="134"/>
      <c r="N101" s="134"/>
      <c r="O101" s="134"/>
      <c r="P101" s="134"/>
      <c r="Q101" s="134"/>
      <c r="R101" s="134"/>
      <c r="S101" s="134"/>
      <c r="T101" s="134"/>
      <c r="U101" s="135"/>
    </row>
    <row r="102" spans="1:21" ht="6" customHeight="1" x14ac:dyDescent="0.15"/>
    <row r="103" spans="1:21" ht="18.75" customHeight="1" x14ac:dyDescent="0.15">
      <c r="A103" s="1" t="s">
        <v>74</v>
      </c>
    </row>
    <row r="104" spans="1:21" ht="81.75" customHeight="1" x14ac:dyDescent="0.15">
      <c r="B104" s="165" t="s">
        <v>91</v>
      </c>
      <c r="C104" s="124"/>
      <c r="D104" s="124"/>
      <c r="E104" s="124"/>
      <c r="F104" s="124"/>
      <c r="G104" s="124"/>
      <c r="H104" s="124"/>
      <c r="I104" s="124"/>
      <c r="J104" s="124"/>
      <c r="K104" s="124"/>
      <c r="L104" s="124"/>
      <c r="M104" s="124"/>
      <c r="N104" s="124"/>
      <c r="O104" s="124"/>
      <c r="P104" s="124"/>
      <c r="Q104" s="124"/>
      <c r="R104" s="124"/>
      <c r="S104" s="124"/>
      <c r="T104" s="124"/>
      <c r="U104" s="125"/>
    </row>
    <row r="107" spans="1:21" ht="18" customHeight="1" x14ac:dyDescent="0.15"/>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38:J44 S38:U44 H49:J55 S49:U55 H60:J66 S60:U66 G71:J77 H27:J33" xr:uid="{7816852E-1BCF-475E-8EB8-56017351FA1F}">
      <formula1>"○"</formula1>
    </dataValidation>
    <dataValidation type="list" allowBlank="1" showInputMessage="1" showErrorMessage="1" sqref="U34 U45 E34:H34 E45:H45" xr:uid="{82ACF4D9-432B-4180-B820-841E805D98AF}">
      <formula1>"全学開講,一部開講"</formula1>
    </dataValidation>
    <dataValidation type="list" allowBlank="1" showInputMessage="1" showErrorMessage="1" sqref="L14 L7:U7" xr:uid="{45F3A5F5-A7D8-4A15-B956-757AC46A2666}">
      <formula1>"学部・学科によって、修了要件は相違する,学部・学科によって、修了要件は相違しない"</formula1>
    </dataValidation>
    <dataValidation type="list" allowBlank="1" showInputMessage="1" showErrorMessage="1" sqref="G88:J88 R88:U88" xr:uid="{86ED89D4-9D96-442E-AAF2-9836119CD11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162B540C-941D-4E98-8817-CCB6777CB9E3}">
      <formula1>$X$16:$X$18</formula1>
    </dataValidation>
    <dataValidation type="list" allowBlank="1" showInputMessage="1" showErrorMessage="1" sqref="G81:J87 R81:U87" xr:uid="{1D13295F-B9ED-4506-B635-E1243DA9BF6D}">
      <formula1>$AA$80:$AA$89</formula1>
    </dataValidation>
  </dataValidations>
  <printOptions horizontalCentered="1"/>
  <pageMargins left="0.78740157480314965" right="0.78740157480314965" top="0.78740157480314965" bottom="0.19685039370078741" header="0.31496062992125984" footer="0.19685039370078741"/>
  <pageSetup paperSize="9" scale="70"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115" zoomScaleNormal="100" zoomScaleSheetLayoutView="115" workbookViewId="0">
      <selection activeCell="S14" sqref="S14"/>
    </sheetView>
  </sheetViews>
  <sheetFormatPr defaultColWidth="9" defaultRowHeight="18.75" customHeight="1" x14ac:dyDescent="0.15"/>
  <cols>
    <col min="1" max="1" width="2.875" style="1" customWidth="1"/>
    <col min="2" max="2" width="27.875" style="1" customWidth="1"/>
    <col min="3" max="18" width="6.125" style="1" customWidth="1"/>
    <col min="19" max="19" width="6.5" style="1" customWidth="1"/>
    <col min="20" max="16384" width="9" style="1"/>
  </cols>
  <sheetData>
    <row r="1" spans="1:21" ht="18" customHeight="1" x14ac:dyDescent="0.15">
      <c r="A1" s="51"/>
      <c r="B1" s="51"/>
      <c r="C1" s="51"/>
      <c r="D1" s="51"/>
      <c r="E1" s="51"/>
      <c r="F1" s="51"/>
      <c r="G1" s="51"/>
      <c r="H1" s="51"/>
      <c r="I1" s="51"/>
      <c r="J1" s="51"/>
      <c r="K1" s="51"/>
      <c r="L1" s="51"/>
      <c r="M1" s="51"/>
      <c r="N1" s="51"/>
      <c r="O1" s="51"/>
      <c r="P1" s="51"/>
      <c r="Q1" s="51"/>
      <c r="R1" s="51"/>
      <c r="S1" s="51" t="s">
        <v>92</v>
      </c>
    </row>
    <row r="2" spans="1:21" ht="18" customHeight="1" x14ac:dyDescent="0.15">
      <c r="A2" s="51"/>
      <c r="B2" s="51"/>
      <c r="C2" s="51"/>
      <c r="D2" s="51"/>
      <c r="E2" s="51"/>
      <c r="F2" s="51"/>
      <c r="G2" s="51"/>
      <c r="H2" s="51"/>
      <c r="I2" s="51"/>
      <c r="J2" s="51"/>
      <c r="K2" s="51"/>
      <c r="L2" s="51"/>
      <c r="M2" s="51"/>
      <c r="N2" s="51"/>
      <c r="O2" s="51"/>
      <c r="P2" s="51"/>
      <c r="Q2" s="169" t="str">
        <f>'様式１－１　プログラムを構成する授業科目'!C2</f>
        <v>青森中央学院大学</v>
      </c>
      <c r="R2" s="169"/>
      <c r="S2" s="169"/>
    </row>
    <row r="3" spans="1:21" ht="18" customHeight="1" x14ac:dyDescent="0.15">
      <c r="A3" s="113" t="s">
        <v>93</v>
      </c>
      <c r="B3" s="113"/>
      <c r="C3" s="113"/>
      <c r="D3" s="113"/>
      <c r="E3" s="113"/>
      <c r="F3" s="113"/>
      <c r="G3" s="113"/>
      <c r="H3" s="113"/>
      <c r="I3" s="113"/>
      <c r="J3" s="113"/>
      <c r="K3" s="113"/>
      <c r="L3" s="113"/>
      <c r="M3" s="113"/>
      <c r="N3" s="113"/>
      <c r="O3" s="113"/>
      <c r="P3" s="113"/>
      <c r="Q3" s="113"/>
      <c r="R3" s="113"/>
      <c r="S3" s="113"/>
    </row>
    <row r="4" spans="1:21" ht="7.5" customHeight="1" x14ac:dyDescent="0.15">
      <c r="A4" s="53"/>
      <c r="B4" s="53"/>
      <c r="C4" s="53"/>
      <c r="D4" s="53"/>
      <c r="E4" s="53"/>
      <c r="F4" s="53"/>
      <c r="G4" s="53"/>
      <c r="H4" s="53"/>
      <c r="I4" s="53"/>
      <c r="J4" s="53"/>
      <c r="K4" s="53"/>
      <c r="L4" s="53"/>
      <c r="M4" s="53"/>
      <c r="N4" s="53"/>
      <c r="O4" s="53"/>
      <c r="P4" s="53"/>
      <c r="Q4" s="53"/>
      <c r="R4" s="53"/>
      <c r="S4" s="53"/>
    </row>
    <row r="5" spans="1:21" ht="18" customHeight="1" x14ac:dyDescent="0.15">
      <c r="A5" s="51" t="s">
        <v>94</v>
      </c>
      <c r="B5" s="51"/>
      <c r="C5" s="170" t="s">
        <v>95</v>
      </c>
      <c r="D5" s="171"/>
      <c r="E5" s="54" t="s">
        <v>96</v>
      </c>
      <c r="F5" s="53"/>
      <c r="G5" s="53"/>
      <c r="H5" s="53"/>
      <c r="I5" s="53"/>
      <c r="J5" s="53"/>
      <c r="K5" s="53"/>
      <c r="L5" s="53"/>
      <c r="M5" s="53"/>
      <c r="N5" s="53"/>
      <c r="O5" s="53"/>
      <c r="P5" s="53"/>
      <c r="Q5" s="53"/>
      <c r="R5" s="52"/>
      <c r="S5" s="52"/>
    </row>
    <row r="6" spans="1:21" ht="7.35" customHeight="1" x14ac:dyDescent="0.15">
      <c r="A6" s="51"/>
      <c r="B6" s="51"/>
      <c r="C6" s="72"/>
      <c r="D6" s="72"/>
      <c r="E6" s="53"/>
      <c r="F6" s="53"/>
      <c r="G6" s="53"/>
      <c r="H6" s="53"/>
      <c r="I6" s="53"/>
      <c r="J6" s="53"/>
      <c r="K6" s="53"/>
      <c r="L6" s="53"/>
      <c r="M6" s="53"/>
      <c r="N6" s="53"/>
      <c r="O6" s="53"/>
      <c r="P6" s="53"/>
      <c r="Q6" s="53"/>
      <c r="R6" s="52"/>
      <c r="S6" s="52"/>
    </row>
    <row r="7" spans="1:21" ht="18" customHeight="1" x14ac:dyDescent="0.15">
      <c r="A7" s="51" t="s">
        <v>97</v>
      </c>
      <c r="B7" s="51"/>
      <c r="C7" s="72"/>
      <c r="D7" s="72"/>
      <c r="E7" s="53" t="s">
        <v>98</v>
      </c>
      <c r="F7" s="76">
        <v>491</v>
      </c>
      <c r="G7" s="54" t="s">
        <v>99</v>
      </c>
      <c r="H7" s="53" t="s">
        <v>100</v>
      </c>
      <c r="I7" s="76">
        <v>480</v>
      </c>
      <c r="J7" s="54" t="s">
        <v>99</v>
      </c>
      <c r="K7" s="77" t="s">
        <v>101</v>
      </c>
      <c r="L7" s="53" t="s">
        <v>102</v>
      </c>
      <c r="M7" s="76">
        <f>F7+I7</f>
        <v>971</v>
      </c>
      <c r="N7" s="53" t="s">
        <v>103</v>
      </c>
      <c r="O7" s="54" t="s">
        <v>104</v>
      </c>
      <c r="P7" s="53"/>
      <c r="Q7" s="53"/>
      <c r="R7" s="52"/>
      <c r="S7" s="52"/>
    </row>
    <row r="8" spans="1:21" ht="17.45" customHeight="1" x14ac:dyDescent="0.15">
      <c r="A8" s="53"/>
      <c r="B8" s="73" t="s">
        <v>105</v>
      </c>
      <c r="C8" s="53"/>
      <c r="D8" s="53"/>
      <c r="E8" s="53"/>
      <c r="F8" s="53"/>
      <c r="G8" s="53"/>
      <c r="H8" s="53"/>
      <c r="I8" s="53"/>
      <c r="J8" s="53"/>
      <c r="K8" s="53"/>
      <c r="L8" s="53"/>
      <c r="M8" s="53"/>
      <c r="N8" s="53"/>
      <c r="O8" s="53"/>
      <c r="P8" s="53"/>
      <c r="Q8" s="53"/>
      <c r="R8" s="53"/>
      <c r="S8" s="53"/>
    </row>
    <row r="9" spans="1:21" ht="18" customHeight="1" x14ac:dyDescent="0.15">
      <c r="A9" s="51" t="s">
        <v>106</v>
      </c>
      <c r="B9" s="53"/>
      <c r="C9" s="53"/>
      <c r="D9" s="53"/>
      <c r="E9" s="53"/>
      <c r="F9" s="53"/>
      <c r="G9" s="53"/>
      <c r="H9" s="53"/>
      <c r="I9" s="53"/>
      <c r="J9" s="53"/>
      <c r="K9" s="53"/>
      <c r="L9" s="53"/>
      <c r="M9" s="53"/>
      <c r="N9" s="53"/>
      <c r="O9" s="53"/>
      <c r="P9" s="53"/>
      <c r="Q9" s="53"/>
      <c r="R9" s="53"/>
      <c r="S9" s="53"/>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2" t="s">
        <v>107</v>
      </c>
      <c r="C11" s="182" t="s">
        <v>108</v>
      </c>
      <c r="D11" s="174" t="s">
        <v>109</v>
      </c>
      <c r="E11" s="176" t="s">
        <v>110</v>
      </c>
      <c r="F11" s="168" t="s">
        <v>111</v>
      </c>
      <c r="G11" s="168"/>
      <c r="H11" s="168" t="s">
        <v>112</v>
      </c>
      <c r="I11" s="168"/>
      <c r="J11" s="168" t="s">
        <v>113</v>
      </c>
      <c r="K11" s="168"/>
      <c r="L11" s="168" t="s">
        <v>114</v>
      </c>
      <c r="M11" s="168"/>
      <c r="N11" s="168" t="s">
        <v>115</v>
      </c>
      <c r="O11" s="168"/>
      <c r="P11" s="168" t="s">
        <v>116</v>
      </c>
      <c r="Q11" s="168"/>
      <c r="R11" s="178" t="s">
        <v>117</v>
      </c>
      <c r="S11" s="180" t="s">
        <v>118</v>
      </c>
      <c r="U11" s="2"/>
    </row>
    <row r="12" spans="1:21" ht="17.100000000000001" customHeight="1" x14ac:dyDescent="0.15">
      <c r="B12" s="173"/>
      <c r="C12" s="183"/>
      <c r="D12" s="175"/>
      <c r="E12" s="177"/>
      <c r="F12" s="74" t="s">
        <v>119</v>
      </c>
      <c r="G12" s="74" t="s">
        <v>120</v>
      </c>
      <c r="H12" s="74" t="s">
        <v>119</v>
      </c>
      <c r="I12" s="74" t="s">
        <v>120</v>
      </c>
      <c r="J12" s="74" t="s">
        <v>119</v>
      </c>
      <c r="K12" s="74" t="s">
        <v>120</v>
      </c>
      <c r="L12" s="74" t="s">
        <v>119</v>
      </c>
      <c r="M12" s="74" t="s">
        <v>120</v>
      </c>
      <c r="N12" s="74" t="s">
        <v>119</v>
      </c>
      <c r="O12" s="74" t="s">
        <v>120</v>
      </c>
      <c r="P12" s="74" t="s">
        <v>119</v>
      </c>
      <c r="Q12" s="75" t="s">
        <v>120</v>
      </c>
      <c r="R12" s="179"/>
      <c r="S12" s="181"/>
      <c r="U12" s="2"/>
    </row>
    <row r="13" spans="1:21" ht="18" customHeight="1" x14ac:dyDescent="0.15">
      <c r="A13" s="6"/>
      <c r="B13" s="46" t="s">
        <v>121</v>
      </c>
      <c r="C13" s="34">
        <f>454+205</f>
        <v>659</v>
      </c>
      <c r="D13" s="35">
        <v>165</v>
      </c>
      <c r="E13" s="36">
        <v>700</v>
      </c>
      <c r="F13" s="36">
        <v>132</v>
      </c>
      <c r="G13" s="36">
        <v>129</v>
      </c>
      <c r="H13" s="78"/>
      <c r="I13" s="78"/>
      <c r="J13" s="78"/>
      <c r="K13" s="78"/>
      <c r="L13" s="78"/>
      <c r="M13" s="78"/>
      <c r="N13" s="78"/>
      <c r="O13" s="78"/>
      <c r="P13" s="78"/>
      <c r="Q13" s="79"/>
      <c r="R13" s="35">
        <f t="shared" ref="R13:R32" si="0">F13+H13+J13+L13+N13+P13</f>
        <v>132</v>
      </c>
      <c r="S13" s="47">
        <f t="shared" ref="S13:S33" si="1">R13/E13</f>
        <v>0.18857142857142858</v>
      </c>
    </row>
    <row r="14" spans="1:21" ht="18" customHeight="1" x14ac:dyDescent="0.15">
      <c r="A14" s="6"/>
      <c r="B14" s="11" t="s">
        <v>77</v>
      </c>
      <c r="C14" s="37">
        <f>37+275</f>
        <v>312</v>
      </c>
      <c r="D14" s="38">
        <v>80</v>
      </c>
      <c r="E14" s="39">
        <v>320</v>
      </c>
      <c r="F14" s="40">
        <v>71</v>
      </c>
      <c r="G14" s="40">
        <v>69</v>
      </c>
      <c r="H14" s="80">
        <v>76</v>
      </c>
      <c r="I14" s="80">
        <v>76</v>
      </c>
      <c r="J14" s="80"/>
      <c r="K14" s="80"/>
      <c r="L14" s="80"/>
      <c r="M14" s="80"/>
      <c r="N14" s="80"/>
      <c r="O14" s="80"/>
      <c r="P14" s="80"/>
      <c r="Q14" s="81"/>
      <c r="R14" s="38">
        <f t="shared" si="0"/>
        <v>147</v>
      </c>
      <c r="S14" s="16">
        <f t="shared" si="1"/>
        <v>0.45937499999999998</v>
      </c>
    </row>
    <row r="15" spans="1:21" ht="18" customHeight="1" x14ac:dyDescent="0.15">
      <c r="A15" s="6"/>
      <c r="B15" s="11"/>
      <c r="C15" s="37"/>
      <c r="D15" s="38"/>
      <c r="E15" s="39"/>
      <c r="F15" s="40"/>
      <c r="G15" s="40"/>
      <c r="H15" s="40"/>
      <c r="I15" s="40"/>
      <c r="J15" s="40"/>
      <c r="K15" s="40"/>
      <c r="L15" s="40"/>
      <c r="M15" s="40"/>
      <c r="N15" s="40"/>
      <c r="O15" s="40"/>
      <c r="P15" s="40"/>
      <c r="Q15" s="37"/>
      <c r="R15" s="38">
        <f t="shared" si="0"/>
        <v>0</v>
      </c>
      <c r="S15" s="8" t="e">
        <f t="shared" si="1"/>
        <v>#DIV/0!</v>
      </c>
    </row>
    <row r="16" spans="1:21" ht="18" customHeight="1" x14ac:dyDescent="0.15">
      <c r="A16" s="6"/>
      <c r="B16" s="11"/>
      <c r="C16" s="37"/>
      <c r="D16" s="38"/>
      <c r="E16" s="39"/>
      <c r="F16" s="40"/>
      <c r="G16" s="40"/>
      <c r="H16" s="40"/>
      <c r="I16" s="40"/>
      <c r="J16" s="40"/>
      <c r="K16" s="40"/>
      <c r="L16" s="40"/>
      <c r="M16" s="40"/>
      <c r="N16" s="40"/>
      <c r="O16" s="40"/>
      <c r="P16" s="40"/>
      <c r="Q16" s="37"/>
      <c r="R16" s="38">
        <f t="shared" si="0"/>
        <v>0</v>
      </c>
      <c r="S16" s="8" t="e">
        <f t="shared" si="1"/>
        <v>#DIV/0!</v>
      </c>
    </row>
    <row r="17" spans="1:19" ht="18" customHeight="1" x14ac:dyDescent="0.15">
      <c r="A17" s="6"/>
      <c r="B17" s="11"/>
      <c r="C17" s="37"/>
      <c r="D17" s="38"/>
      <c r="E17" s="39"/>
      <c r="F17" s="40"/>
      <c r="G17" s="40"/>
      <c r="H17" s="40"/>
      <c r="I17" s="40"/>
      <c r="J17" s="40"/>
      <c r="K17" s="40"/>
      <c r="L17" s="40"/>
      <c r="M17" s="40"/>
      <c r="N17" s="40"/>
      <c r="O17" s="40"/>
      <c r="P17" s="40"/>
      <c r="Q17" s="37"/>
      <c r="R17" s="38">
        <f t="shared" si="0"/>
        <v>0</v>
      </c>
      <c r="S17" s="8" t="e">
        <f t="shared" si="1"/>
        <v>#DIV/0!</v>
      </c>
    </row>
    <row r="18" spans="1:19" ht="18" customHeight="1" x14ac:dyDescent="0.15">
      <c r="A18" s="6"/>
      <c r="B18" s="11"/>
      <c r="C18" s="37"/>
      <c r="D18" s="38"/>
      <c r="E18" s="39"/>
      <c r="F18" s="40"/>
      <c r="G18" s="40"/>
      <c r="H18" s="40"/>
      <c r="I18" s="40"/>
      <c r="J18" s="40"/>
      <c r="K18" s="40"/>
      <c r="L18" s="40"/>
      <c r="M18" s="40"/>
      <c r="N18" s="40"/>
      <c r="O18" s="40"/>
      <c r="P18" s="40"/>
      <c r="Q18" s="37"/>
      <c r="R18" s="38">
        <f t="shared" si="0"/>
        <v>0</v>
      </c>
      <c r="S18" s="8" t="e">
        <f t="shared" si="1"/>
        <v>#DIV/0!</v>
      </c>
    </row>
    <row r="19" spans="1:19" ht="18" customHeight="1" x14ac:dyDescent="0.15">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customHeight="1" x14ac:dyDescent="0.15">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customHeight="1" x14ac:dyDescent="0.15">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customHeight="1" x14ac:dyDescent="0.15">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customHeight="1" x14ac:dyDescent="0.15">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x14ac:dyDescent="0.15">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x14ac:dyDescent="0.15">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x14ac:dyDescent="0.15">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x14ac:dyDescent="0.15">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x14ac:dyDescent="0.15">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x14ac:dyDescent="0.15">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x14ac:dyDescent="0.15">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x14ac:dyDescent="0.15">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x14ac:dyDescent="0.2">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x14ac:dyDescent="0.15">
      <c r="B33" s="13" t="s">
        <v>122</v>
      </c>
      <c r="C33" s="43">
        <f t="shared" ref="C33" si="2">SUM(C13:C32)</f>
        <v>971</v>
      </c>
      <c r="D33" s="44">
        <f t="shared" ref="D33:R33" si="3">SUM(D13:D32)</f>
        <v>245</v>
      </c>
      <c r="E33" s="45">
        <f t="shared" si="3"/>
        <v>1020</v>
      </c>
      <c r="F33" s="45">
        <f t="shared" si="3"/>
        <v>203</v>
      </c>
      <c r="G33" s="45">
        <f t="shared" ref="G33:H33" si="4">SUM(G13:G32)</f>
        <v>198</v>
      </c>
      <c r="H33" s="45">
        <f t="shared" si="4"/>
        <v>76</v>
      </c>
      <c r="I33" s="45">
        <f t="shared" ref="I33:J33" si="5">SUM(I13:I32)</f>
        <v>76</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279</v>
      </c>
      <c r="S33" s="9">
        <f t="shared" si="1"/>
        <v>0.27352941176470591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9" zoomScaleNormal="100" zoomScaleSheetLayoutView="100" workbookViewId="0">
      <selection activeCell="B20" sqref="B20"/>
    </sheetView>
  </sheetViews>
  <sheetFormatPr defaultColWidth="11.5" defaultRowHeight="18.75" customHeight="1" x14ac:dyDescent="0.15"/>
  <cols>
    <col min="1" max="1" width="2.875" style="20" customWidth="1"/>
    <col min="2" max="2" width="16.5" style="1" customWidth="1"/>
    <col min="3" max="3" width="8.875" style="1" customWidth="1"/>
    <col min="4" max="4" width="2.125" style="1" customWidth="1"/>
    <col min="5" max="5" width="16.5" style="1" customWidth="1"/>
    <col min="6" max="6" width="4.5" style="1" customWidth="1"/>
    <col min="7" max="7" width="9" style="1" customWidth="1"/>
    <col min="8" max="8" width="16.5" style="1" customWidth="1"/>
    <col min="9" max="9" width="12.125" style="1" customWidth="1"/>
    <col min="10" max="16384" width="11.5" style="1"/>
  </cols>
  <sheetData>
    <row r="1" spans="1:9" ht="18.75" customHeight="1" x14ac:dyDescent="0.15">
      <c r="A1" s="20" t="s">
        <v>123</v>
      </c>
      <c r="I1" s="18" t="s">
        <v>124</v>
      </c>
    </row>
    <row r="2" spans="1:9" ht="18.75" customHeight="1" x14ac:dyDescent="0.15">
      <c r="G2" s="18" t="s">
        <v>2</v>
      </c>
      <c r="H2" s="102" t="str">
        <f>'様式１－１　プログラムを構成する授業科目'!C2</f>
        <v>青森中央学院大学</v>
      </c>
      <c r="I2" s="104"/>
    </row>
    <row r="3" spans="1:9" ht="18.75" customHeight="1" x14ac:dyDescent="0.15">
      <c r="G3" s="18"/>
      <c r="H3" s="10"/>
      <c r="I3" s="10"/>
    </row>
    <row r="4" spans="1:9" ht="18.600000000000001" customHeight="1" x14ac:dyDescent="0.15">
      <c r="A4" s="113" t="s">
        <v>125</v>
      </c>
      <c r="B4" s="113"/>
      <c r="C4" s="113"/>
      <c r="D4" s="113"/>
      <c r="E4" s="113"/>
      <c r="F4" s="113"/>
      <c r="G4" s="113"/>
      <c r="H4" s="113"/>
      <c r="I4" s="113"/>
    </row>
    <row r="5" spans="1:9" ht="13.35" customHeight="1" x14ac:dyDescent="0.15">
      <c r="B5" s="3"/>
      <c r="C5" s="3"/>
      <c r="D5" s="3"/>
      <c r="E5" s="3"/>
      <c r="F5" s="3"/>
      <c r="G5" s="3"/>
      <c r="H5" s="3"/>
      <c r="I5" s="3"/>
    </row>
    <row r="6" spans="1:9" ht="18" customHeight="1" x14ac:dyDescent="0.15">
      <c r="A6" s="1" t="s">
        <v>126</v>
      </c>
      <c r="B6" s="10" t="s">
        <v>127</v>
      </c>
      <c r="C6" s="205" t="s">
        <v>128</v>
      </c>
      <c r="D6" s="205"/>
      <c r="E6" s="17">
        <v>67</v>
      </c>
      <c r="F6" s="3" t="s">
        <v>103</v>
      </c>
      <c r="G6" s="3" t="s">
        <v>129</v>
      </c>
      <c r="H6" s="17">
        <v>87</v>
      </c>
      <c r="I6" s="10" t="s">
        <v>103</v>
      </c>
    </row>
    <row r="7" spans="1:9" ht="12" customHeight="1" x14ac:dyDescent="0.15">
      <c r="C7" s="2"/>
      <c r="D7" s="2"/>
      <c r="E7" s="2"/>
      <c r="F7" s="2"/>
      <c r="G7" s="2"/>
      <c r="H7" s="2"/>
      <c r="I7" s="21"/>
    </row>
    <row r="8" spans="1:9" ht="18" customHeight="1" x14ac:dyDescent="0.15">
      <c r="A8" s="1" t="s">
        <v>130</v>
      </c>
      <c r="B8" s="10" t="s">
        <v>131</v>
      </c>
      <c r="E8" s="3"/>
      <c r="F8" s="3"/>
      <c r="G8" s="3"/>
      <c r="H8" s="17">
        <v>2</v>
      </c>
      <c r="I8" s="10" t="s">
        <v>103</v>
      </c>
    </row>
    <row r="9" spans="1:9" ht="9" customHeight="1" x14ac:dyDescent="0.15">
      <c r="B9" s="3"/>
      <c r="C9" s="3"/>
      <c r="D9" s="3"/>
      <c r="E9" s="3"/>
      <c r="F9" s="3"/>
      <c r="G9" s="3"/>
      <c r="H9" s="3"/>
      <c r="I9" s="3"/>
    </row>
    <row r="10" spans="1:9" ht="18" customHeight="1" x14ac:dyDescent="0.15">
      <c r="A10" s="1" t="s">
        <v>132</v>
      </c>
      <c r="B10" s="10" t="s">
        <v>133</v>
      </c>
      <c r="C10" s="3"/>
      <c r="D10" s="3"/>
      <c r="E10" s="3"/>
      <c r="F10" s="3"/>
      <c r="G10" s="3"/>
      <c r="H10" s="3"/>
      <c r="I10" s="3"/>
    </row>
    <row r="11" spans="1:9" ht="18" customHeight="1" x14ac:dyDescent="0.15">
      <c r="B11" s="18" t="s">
        <v>134</v>
      </c>
      <c r="C11" s="200" t="s">
        <v>135</v>
      </c>
      <c r="D11" s="203"/>
      <c r="E11" s="204"/>
      <c r="F11" s="21"/>
      <c r="G11" s="18" t="s">
        <v>136</v>
      </c>
      <c r="H11" s="200" t="s">
        <v>137</v>
      </c>
      <c r="I11" s="204"/>
    </row>
    <row r="12" spans="1:9" ht="10.35" customHeight="1" x14ac:dyDescent="0.15">
      <c r="B12" s="18"/>
      <c r="C12" s="10"/>
      <c r="D12" s="21"/>
      <c r="E12" s="21"/>
      <c r="F12" s="21"/>
      <c r="G12" s="18"/>
      <c r="H12" s="10"/>
      <c r="I12" s="21"/>
    </row>
    <row r="13" spans="1:9" ht="18" customHeight="1" x14ac:dyDescent="0.15">
      <c r="A13" s="1" t="s">
        <v>138</v>
      </c>
      <c r="B13" s="10" t="s">
        <v>139</v>
      </c>
      <c r="C13" s="3"/>
      <c r="D13" s="3"/>
      <c r="E13" s="3"/>
      <c r="F13" s="3"/>
      <c r="G13" s="3"/>
      <c r="H13" s="3"/>
      <c r="I13" s="3"/>
    </row>
    <row r="14" spans="1:9" ht="18" customHeight="1" x14ac:dyDescent="0.15">
      <c r="B14" s="200" t="s">
        <v>140</v>
      </c>
      <c r="C14" s="201"/>
      <c r="D14" s="201"/>
      <c r="E14" s="201"/>
      <c r="F14" s="201"/>
      <c r="G14" s="201"/>
      <c r="H14" s="201"/>
      <c r="I14" s="202"/>
    </row>
    <row r="15" spans="1:9" ht="9" customHeight="1" x14ac:dyDescent="0.15">
      <c r="B15" s="3"/>
      <c r="C15" s="3"/>
      <c r="D15" s="3"/>
      <c r="E15" s="3"/>
      <c r="F15" s="3"/>
      <c r="G15" s="3"/>
      <c r="H15" s="3"/>
      <c r="I15" s="3"/>
    </row>
    <row r="16" spans="1:9" ht="18" customHeight="1" x14ac:dyDescent="0.15">
      <c r="B16" s="18" t="s">
        <v>134</v>
      </c>
      <c r="C16" s="200" t="s">
        <v>135</v>
      </c>
      <c r="D16" s="203"/>
      <c r="E16" s="204"/>
      <c r="F16" s="21"/>
      <c r="G16" s="18" t="s">
        <v>136</v>
      </c>
      <c r="H16" s="200" t="s">
        <v>141</v>
      </c>
      <c r="I16" s="204"/>
    </row>
    <row r="17" spans="1:9" ht="18" customHeight="1" x14ac:dyDescent="0.15">
      <c r="B17" s="3"/>
      <c r="C17" s="3"/>
      <c r="D17" s="3"/>
      <c r="E17" s="3"/>
      <c r="F17" s="3"/>
      <c r="G17" s="3"/>
      <c r="H17" s="3"/>
      <c r="I17" s="3"/>
    </row>
    <row r="18" spans="1:9" ht="18.75" customHeight="1" x14ac:dyDescent="0.15">
      <c r="A18" s="1" t="s">
        <v>142</v>
      </c>
      <c r="B18" s="1" t="s">
        <v>143</v>
      </c>
      <c r="I18" s="3"/>
    </row>
    <row r="19" spans="1:9" ht="18.75" customHeight="1" x14ac:dyDescent="0.15">
      <c r="A19" s="1"/>
      <c r="B19" s="185" t="s">
        <v>206</v>
      </c>
      <c r="C19" s="186"/>
      <c r="D19" s="186"/>
      <c r="E19" s="186"/>
      <c r="F19" s="186"/>
      <c r="G19" s="186"/>
      <c r="H19" s="186"/>
      <c r="I19" s="187"/>
    </row>
    <row r="20" spans="1:9" ht="7.5" customHeight="1" x14ac:dyDescent="0.15">
      <c r="B20" s="3"/>
      <c r="C20" s="3"/>
      <c r="D20" s="3"/>
      <c r="E20" s="3"/>
      <c r="F20" s="3"/>
      <c r="G20" s="3"/>
      <c r="H20" s="3"/>
      <c r="I20" s="3"/>
    </row>
    <row r="21" spans="1:9" ht="18.75" customHeight="1" x14ac:dyDescent="0.15">
      <c r="A21" s="1" t="s">
        <v>144</v>
      </c>
      <c r="B21" s="1" t="s">
        <v>145</v>
      </c>
    </row>
    <row r="22" spans="1:9" ht="18.75" customHeight="1" x14ac:dyDescent="0.15">
      <c r="A22" s="14"/>
      <c r="B22" s="188" t="s">
        <v>146</v>
      </c>
      <c r="C22" s="189"/>
      <c r="D22" s="189"/>
      <c r="E22" s="189"/>
      <c r="F22" s="189"/>
      <c r="G22" s="189"/>
      <c r="H22" s="189"/>
      <c r="I22" s="190"/>
    </row>
    <row r="23" spans="1:9" ht="18.75" customHeight="1" x14ac:dyDescent="0.15">
      <c r="A23" s="14"/>
      <c r="B23" s="191"/>
      <c r="C23" s="192"/>
      <c r="D23" s="192"/>
      <c r="E23" s="192"/>
      <c r="F23" s="192"/>
      <c r="G23" s="192"/>
      <c r="H23" s="192"/>
      <c r="I23" s="193"/>
    </row>
    <row r="24" spans="1:9" ht="18.75" customHeight="1" x14ac:dyDescent="0.15">
      <c r="A24" s="14"/>
      <c r="B24" s="191"/>
      <c r="C24" s="192"/>
      <c r="D24" s="192"/>
      <c r="E24" s="192"/>
      <c r="F24" s="192"/>
      <c r="G24" s="192"/>
      <c r="H24" s="192"/>
      <c r="I24" s="193"/>
    </row>
    <row r="25" spans="1:9" ht="18.75" customHeight="1" x14ac:dyDescent="0.15">
      <c r="A25" s="14"/>
      <c r="B25" s="191"/>
      <c r="C25" s="192"/>
      <c r="D25" s="192"/>
      <c r="E25" s="192"/>
      <c r="F25" s="192"/>
      <c r="G25" s="192"/>
      <c r="H25" s="192"/>
      <c r="I25" s="193"/>
    </row>
    <row r="26" spans="1:9" ht="18.75" customHeight="1" x14ac:dyDescent="0.15">
      <c r="A26" s="14"/>
      <c r="B26" s="191"/>
      <c r="C26" s="192"/>
      <c r="D26" s="192"/>
      <c r="E26" s="192"/>
      <c r="F26" s="192"/>
      <c r="G26" s="192"/>
      <c r="H26" s="192"/>
      <c r="I26" s="193"/>
    </row>
    <row r="27" spans="1:9" ht="18.75" customHeight="1" x14ac:dyDescent="0.15">
      <c r="A27" s="14"/>
      <c r="B27" s="191"/>
      <c r="C27" s="192"/>
      <c r="D27" s="192"/>
      <c r="E27" s="192"/>
      <c r="F27" s="192"/>
      <c r="G27" s="192"/>
      <c r="H27" s="192"/>
      <c r="I27" s="193"/>
    </row>
    <row r="28" spans="1:9" ht="18.75" customHeight="1" x14ac:dyDescent="0.15">
      <c r="A28" s="14"/>
      <c r="B28" s="191"/>
      <c r="C28" s="192"/>
      <c r="D28" s="192"/>
      <c r="E28" s="192"/>
      <c r="F28" s="192"/>
      <c r="G28" s="192"/>
      <c r="H28" s="192"/>
      <c r="I28" s="193"/>
    </row>
    <row r="29" spans="1:9" ht="18.75" customHeight="1" x14ac:dyDescent="0.15">
      <c r="A29" s="14"/>
      <c r="B29" s="191"/>
      <c r="C29" s="192"/>
      <c r="D29" s="192"/>
      <c r="E29" s="192"/>
      <c r="F29" s="192"/>
      <c r="G29" s="192"/>
      <c r="H29" s="192"/>
      <c r="I29" s="193"/>
    </row>
    <row r="30" spans="1:9" ht="18.75" customHeight="1" x14ac:dyDescent="0.15">
      <c r="A30" s="14"/>
      <c r="B30" s="194"/>
      <c r="C30" s="195"/>
      <c r="D30" s="195"/>
      <c r="E30" s="195"/>
      <c r="F30" s="195"/>
      <c r="G30" s="195"/>
      <c r="H30" s="195"/>
      <c r="I30" s="193"/>
    </row>
    <row r="31" spans="1:9" ht="18.75" customHeight="1" x14ac:dyDescent="0.15">
      <c r="A31" s="14"/>
      <c r="B31" s="194"/>
      <c r="C31" s="195"/>
      <c r="D31" s="195"/>
      <c r="E31" s="195"/>
      <c r="F31" s="195"/>
      <c r="G31" s="195"/>
      <c r="H31" s="195"/>
      <c r="I31" s="193"/>
    </row>
    <row r="32" spans="1:9" ht="18.75" customHeight="1" x14ac:dyDescent="0.15">
      <c r="A32" s="14"/>
      <c r="B32" s="196"/>
      <c r="C32" s="197"/>
      <c r="D32" s="197"/>
      <c r="E32" s="197"/>
      <c r="F32" s="197"/>
      <c r="G32" s="197"/>
      <c r="H32" s="197"/>
      <c r="I32" s="198"/>
    </row>
    <row r="33" spans="1:9" ht="7.5" customHeight="1" x14ac:dyDescent="0.15">
      <c r="A33" s="14"/>
      <c r="B33" s="14"/>
      <c r="C33" s="14"/>
      <c r="D33" s="14"/>
      <c r="E33" s="14"/>
      <c r="F33" s="14"/>
      <c r="G33" s="14"/>
      <c r="H33" s="14"/>
      <c r="I33" s="14"/>
    </row>
    <row r="34" spans="1:9" ht="18.75" customHeight="1" x14ac:dyDescent="0.15">
      <c r="A34" s="15" t="s">
        <v>147</v>
      </c>
      <c r="B34" s="15" t="s">
        <v>148</v>
      </c>
      <c r="C34" s="10"/>
      <c r="D34" s="15"/>
      <c r="E34" s="15"/>
      <c r="F34" s="15"/>
      <c r="G34" s="15"/>
      <c r="H34" s="15"/>
      <c r="I34" s="15"/>
    </row>
    <row r="35" spans="1:9" ht="18.75" customHeight="1" x14ac:dyDescent="0.15">
      <c r="A35" s="14"/>
      <c r="B35" s="199" t="s">
        <v>149</v>
      </c>
      <c r="C35" s="189"/>
      <c r="D35" s="189"/>
      <c r="E35" s="189"/>
      <c r="F35" s="189"/>
      <c r="G35" s="189"/>
      <c r="H35" s="189"/>
      <c r="I35" s="190"/>
    </row>
    <row r="36" spans="1:9" ht="18.75" customHeight="1" x14ac:dyDescent="0.15">
      <c r="A36" s="14"/>
      <c r="B36" s="194"/>
      <c r="C36" s="195"/>
      <c r="D36" s="195"/>
      <c r="E36" s="195"/>
      <c r="F36" s="195"/>
      <c r="G36" s="195"/>
      <c r="H36" s="195"/>
      <c r="I36" s="193"/>
    </row>
    <row r="37" spans="1:9" ht="18.75" customHeight="1" x14ac:dyDescent="0.15">
      <c r="A37" s="14"/>
      <c r="B37" s="194"/>
      <c r="C37" s="195"/>
      <c r="D37" s="195"/>
      <c r="E37" s="195"/>
      <c r="F37" s="195"/>
      <c r="G37" s="195"/>
      <c r="H37" s="195"/>
      <c r="I37" s="193"/>
    </row>
    <row r="38" spans="1:9" ht="18.75" customHeight="1" x14ac:dyDescent="0.15">
      <c r="A38" s="14"/>
      <c r="B38" s="194"/>
      <c r="C38" s="195"/>
      <c r="D38" s="195"/>
      <c r="E38" s="195"/>
      <c r="F38" s="195"/>
      <c r="G38" s="195"/>
      <c r="H38" s="195"/>
      <c r="I38" s="193"/>
    </row>
    <row r="39" spans="1:9" ht="18.75" customHeight="1" x14ac:dyDescent="0.15">
      <c r="A39" s="14"/>
      <c r="B39" s="194"/>
      <c r="C39" s="195"/>
      <c r="D39" s="195"/>
      <c r="E39" s="195"/>
      <c r="F39" s="195"/>
      <c r="G39" s="195"/>
      <c r="H39" s="195"/>
      <c r="I39" s="193"/>
    </row>
    <row r="40" spans="1:9" ht="18.75" customHeight="1" x14ac:dyDescent="0.15">
      <c r="A40" s="14"/>
      <c r="B40" s="194"/>
      <c r="C40" s="195"/>
      <c r="D40" s="195"/>
      <c r="E40" s="195"/>
      <c r="F40" s="195"/>
      <c r="G40" s="195"/>
      <c r="H40" s="195"/>
      <c r="I40" s="193"/>
    </row>
    <row r="41" spans="1:9" ht="18.75" customHeight="1" x14ac:dyDescent="0.15">
      <c r="A41" s="14"/>
      <c r="B41" s="194"/>
      <c r="C41" s="195"/>
      <c r="D41" s="195"/>
      <c r="E41" s="195"/>
      <c r="F41" s="195"/>
      <c r="G41" s="195"/>
      <c r="H41" s="195"/>
      <c r="I41" s="193"/>
    </row>
    <row r="42" spans="1:9" ht="18.75" customHeight="1" x14ac:dyDescent="0.15">
      <c r="A42" s="14"/>
      <c r="B42" s="194"/>
      <c r="C42" s="195"/>
      <c r="D42" s="195"/>
      <c r="E42" s="195"/>
      <c r="F42" s="195"/>
      <c r="G42" s="195"/>
      <c r="H42" s="195"/>
      <c r="I42" s="193"/>
    </row>
    <row r="43" spans="1:9" ht="18.75" customHeight="1" x14ac:dyDescent="0.15">
      <c r="A43" s="14"/>
      <c r="B43" s="194"/>
      <c r="C43" s="195"/>
      <c r="D43" s="195"/>
      <c r="E43" s="195"/>
      <c r="F43" s="195"/>
      <c r="G43" s="195"/>
      <c r="H43" s="195"/>
      <c r="I43" s="193"/>
    </row>
    <row r="44" spans="1:9" ht="18.75" customHeight="1" x14ac:dyDescent="0.15">
      <c r="A44" s="14"/>
      <c r="B44" s="194"/>
      <c r="C44" s="195"/>
      <c r="D44" s="195"/>
      <c r="E44" s="195"/>
      <c r="F44" s="195"/>
      <c r="G44" s="195"/>
      <c r="H44" s="195"/>
      <c r="I44" s="193"/>
    </row>
    <row r="45" spans="1:9" ht="18.75" customHeight="1" x14ac:dyDescent="0.15">
      <c r="A45" s="14"/>
      <c r="B45" s="194"/>
      <c r="C45" s="195"/>
      <c r="D45" s="195"/>
      <c r="E45" s="195"/>
      <c r="F45" s="195"/>
      <c r="G45" s="195"/>
      <c r="H45" s="195"/>
      <c r="I45" s="193"/>
    </row>
    <row r="46" spans="1:9" ht="18.75" customHeight="1" x14ac:dyDescent="0.15">
      <c r="A46" s="14"/>
      <c r="B46" s="196"/>
      <c r="C46" s="197"/>
      <c r="D46" s="197"/>
      <c r="E46" s="197"/>
      <c r="F46" s="197"/>
      <c r="G46" s="197"/>
      <c r="H46" s="197"/>
      <c r="I46" s="198"/>
    </row>
    <row r="47" spans="1:9" ht="7.5" customHeight="1" x14ac:dyDescent="0.15">
      <c r="A47" s="4"/>
      <c r="B47" s="4"/>
      <c r="C47" s="4"/>
      <c r="D47" s="4"/>
      <c r="E47" s="4"/>
      <c r="F47" s="4"/>
      <c r="G47" s="4"/>
      <c r="H47" s="4"/>
      <c r="I47" s="4"/>
    </row>
    <row r="48" spans="1:9" ht="18.75" customHeight="1" x14ac:dyDescent="0.15">
      <c r="A48" s="51" t="s">
        <v>150</v>
      </c>
      <c r="B48" s="51" t="s">
        <v>205</v>
      </c>
      <c r="C48" s="51"/>
      <c r="D48" s="51"/>
      <c r="E48" s="51"/>
      <c r="F48" s="51"/>
      <c r="G48" s="51"/>
      <c r="H48" s="51"/>
      <c r="I48" s="51"/>
    </row>
    <row r="49" spans="1:15" s="3" customFormat="1" ht="18.75" customHeight="1" x14ac:dyDescent="0.15">
      <c r="A49" s="53"/>
      <c r="B49" s="82" t="s">
        <v>151</v>
      </c>
      <c r="C49" s="229">
        <f>'様式２ 履修者等数の実績'!S33</f>
        <v>0.27352941176470591</v>
      </c>
      <c r="D49" s="229"/>
      <c r="E49" s="82" t="s">
        <v>152</v>
      </c>
      <c r="F49" s="229">
        <v>1</v>
      </c>
      <c r="G49" s="229"/>
      <c r="H49" s="82" t="s">
        <v>153</v>
      </c>
      <c r="I49" s="83">
        <v>1</v>
      </c>
      <c r="J49" s="1"/>
      <c r="M49" s="1"/>
      <c r="N49" s="22"/>
    </row>
    <row r="50" spans="1:15" s="3" customFormat="1" ht="18.75" customHeight="1" x14ac:dyDescent="0.15">
      <c r="A50" s="53"/>
      <c r="B50" s="84" t="s">
        <v>154</v>
      </c>
      <c r="C50" s="210">
        <v>1</v>
      </c>
      <c r="D50" s="210"/>
      <c r="E50" s="84" t="s">
        <v>155</v>
      </c>
      <c r="F50" s="210">
        <v>1</v>
      </c>
      <c r="G50" s="210"/>
      <c r="H50" s="84" t="s">
        <v>156</v>
      </c>
      <c r="I50" s="85">
        <f>'様式２ 履修者等数の実績'!E33</f>
        <v>1020</v>
      </c>
      <c r="J50" s="1"/>
      <c r="M50" s="1"/>
      <c r="N50" s="22"/>
    </row>
    <row r="51" spans="1:15" ht="18.75" customHeight="1" x14ac:dyDescent="0.15">
      <c r="A51" s="51"/>
      <c r="B51" s="207" t="s">
        <v>157</v>
      </c>
      <c r="C51" s="208"/>
      <c r="D51" s="208"/>
      <c r="E51" s="208"/>
      <c r="F51" s="208"/>
      <c r="G51" s="208"/>
      <c r="H51" s="208"/>
      <c r="I51" s="209"/>
      <c r="N51" s="22"/>
      <c r="O51" s="3"/>
    </row>
    <row r="52" spans="1:15" ht="18.75" customHeight="1" x14ac:dyDescent="0.15">
      <c r="A52" s="51"/>
      <c r="B52" s="230" t="s">
        <v>204</v>
      </c>
      <c r="C52" s="231"/>
      <c r="D52" s="231"/>
      <c r="E52" s="231"/>
      <c r="F52" s="231"/>
      <c r="G52" s="231"/>
      <c r="H52" s="231"/>
      <c r="I52" s="232"/>
      <c r="N52" s="22"/>
      <c r="O52" s="3"/>
    </row>
    <row r="53" spans="1:15" ht="18.75" customHeight="1" x14ac:dyDescent="0.15">
      <c r="A53" s="51"/>
      <c r="B53" s="233"/>
      <c r="C53" s="234"/>
      <c r="D53" s="234"/>
      <c r="E53" s="234"/>
      <c r="F53" s="234"/>
      <c r="G53" s="234"/>
      <c r="H53" s="234"/>
      <c r="I53" s="235"/>
      <c r="N53" s="22"/>
      <c r="O53" s="3"/>
    </row>
    <row r="54" spans="1:15" ht="18.75" customHeight="1" x14ac:dyDescent="0.15">
      <c r="A54" s="51"/>
      <c r="B54" s="233"/>
      <c r="C54" s="234"/>
      <c r="D54" s="234"/>
      <c r="E54" s="234"/>
      <c r="F54" s="234"/>
      <c r="G54" s="234"/>
      <c r="H54" s="234"/>
      <c r="I54" s="235"/>
    </row>
    <row r="55" spans="1:15" ht="18.75" customHeight="1" x14ac:dyDescent="0.15">
      <c r="A55" s="51"/>
      <c r="B55" s="233"/>
      <c r="C55" s="234"/>
      <c r="D55" s="234"/>
      <c r="E55" s="234"/>
      <c r="F55" s="234"/>
      <c r="G55" s="234"/>
      <c r="H55" s="234"/>
      <c r="I55" s="235"/>
    </row>
    <row r="56" spans="1:15" ht="18.75" customHeight="1" x14ac:dyDescent="0.15">
      <c r="A56" s="51"/>
      <c r="B56" s="233"/>
      <c r="C56" s="234"/>
      <c r="D56" s="234"/>
      <c r="E56" s="234"/>
      <c r="F56" s="234"/>
      <c r="G56" s="234"/>
      <c r="H56" s="234"/>
      <c r="I56" s="235"/>
    </row>
    <row r="57" spans="1:15" ht="18.75" customHeight="1" x14ac:dyDescent="0.15">
      <c r="A57" s="51"/>
      <c r="B57" s="233"/>
      <c r="C57" s="234"/>
      <c r="D57" s="234"/>
      <c r="E57" s="234"/>
      <c r="F57" s="234"/>
      <c r="G57" s="234"/>
      <c r="H57" s="234"/>
      <c r="I57" s="235"/>
    </row>
    <row r="58" spans="1:15" ht="18.75" customHeight="1" x14ac:dyDescent="0.15">
      <c r="A58" s="51"/>
      <c r="B58" s="233"/>
      <c r="C58" s="234"/>
      <c r="D58" s="234"/>
      <c r="E58" s="234"/>
      <c r="F58" s="234"/>
      <c r="G58" s="234"/>
      <c r="H58" s="234"/>
      <c r="I58" s="235"/>
    </row>
    <row r="59" spans="1:15" ht="18.75" customHeight="1" x14ac:dyDescent="0.15">
      <c r="A59" s="51"/>
      <c r="B59" s="233"/>
      <c r="C59" s="234"/>
      <c r="D59" s="234"/>
      <c r="E59" s="234"/>
      <c r="F59" s="234"/>
      <c r="G59" s="234"/>
      <c r="H59" s="234"/>
      <c r="I59" s="235"/>
    </row>
    <row r="60" spans="1:15" ht="18.75" customHeight="1" x14ac:dyDescent="0.15">
      <c r="A60" s="51"/>
      <c r="B60" s="233"/>
      <c r="C60" s="234"/>
      <c r="D60" s="234"/>
      <c r="E60" s="234"/>
      <c r="F60" s="234"/>
      <c r="G60" s="234"/>
      <c r="H60" s="234"/>
      <c r="I60" s="235"/>
    </row>
    <row r="61" spans="1:15" ht="18.75" customHeight="1" x14ac:dyDescent="0.15">
      <c r="A61" s="51"/>
      <c r="B61" s="233"/>
      <c r="C61" s="234"/>
      <c r="D61" s="234"/>
      <c r="E61" s="234"/>
      <c r="F61" s="234"/>
      <c r="G61" s="234"/>
      <c r="H61" s="234"/>
      <c r="I61" s="235"/>
    </row>
    <row r="62" spans="1:15" ht="18.75" customHeight="1" x14ac:dyDescent="0.15">
      <c r="A62" s="51"/>
      <c r="B62" s="233"/>
      <c r="C62" s="234"/>
      <c r="D62" s="234"/>
      <c r="E62" s="234"/>
      <c r="F62" s="234"/>
      <c r="G62" s="234"/>
      <c r="H62" s="234"/>
      <c r="I62" s="235"/>
    </row>
    <row r="63" spans="1:15" ht="18.75" customHeight="1" x14ac:dyDescent="0.15">
      <c r="A63" s="51"/>
      <c r="B63" s="236"/>
      <c r="C63" s="237"/>
      <c r="D63" s="237"/>
      <c r="E63" s="237"/>
      <c r="F63" s="237"/>
      <c r="G63" s="237"/>
      <c r="H63" s="237"/>
      <c r="I63" s="238"/>
    </row>
    <row r="64" spans="1:15" ht="7.5" customHeight="1" x14ac:dyDescent="0.15">
      <c r="A64" s="86"/>
      <c r="B64" s="86"/>
      <c r="C64" s="86"/>
      <c r="D64" s="86"/>
      <c r="E64" s="86"/>
      <c r="F64" s="86"/>
      <c r="G64" s="86"/>
      <c r="H64" s="86"/>
      <c r="I64" s="86"/>
    </row>
    <row r="65" spans="1:9" ht="18.75" customHeight="1" x14ac:dyDescent="0.15">
      <c r="A65" s="87" t="s">
        <v>158</v>
      </c>
      <c r="B65" s="51" t="s">
        <v>159</v>
      </c>
      <c r="C65" s="51"/>
      <c r="D65" s="51"/>
      <c r="E65" s="51"/>
      <c r="F65" s="51"/>
      <c r="G65" s="51"/>
      <c r="H65" s="51"/>
      <c r="I65" s="87"/>
    </row>
    <row r="66" spans="1:9" ht="18.75" customHeight="1" x14ac:dyDescent="0.15">
      <c r="A66" s="88"/>
      <c r="B66" s="211" t="s">
        <v>160</v>
      </c>
      <c r="C66" s="212"/>
      <c r="D66" s="212"/>
      <c r="E66" s="212"/>
      <c r="F66" s="212"/>
      <c r="G66" s="212"/>
      <c r="H66" s="212"/>
      <c r="I66" s="213"/>
    </row>
    <row r="67" spans="1:9" ht="18.75" customHeight="1" x14ac:dyDescent="0.15">
      <c r="A67" s="88"/>
      <c r="B67" s="214"/>
      <c r="C67" s="215"/>
      <c r="D67" s="215"/>
      <c r="E67" s="215"/>
      <c r="F67" s="215"/>
      <c r="G67" s="215"/>
      <c r="H67" s="215"/>
      <c r="I67" s="216"/>
    </row>
    <row r="68" spans="1:9" ht="18.75" customHeight="1" x14ac:dyDescent="0.15">
      <c r="A68" s="88"/>
      <c r="B68" s="214"/>
      <c r="C68" s="215"/>
      <c r="D68" s="215"/>
      <c r="E68" s="215"/>
      <c r="F68" s="215"/>
      <c r="G68" s="215"/>
      <c r="H68" s="215"/>
      <c r="I68" s="216"/>
    </row>
    <row r="69" spans="1:9" ht="18.75" customHeight="1" x14ac:dyDescent="0.15">
      <c r="A69" s="88"/>
      <c r="B69" s="214"/>
      <c r="C69" s="215"/>
      <c r="D69" s="215"/>
      <c r="E69" s="215"/>
      <c r="F69" s="215"/>
      <c r="G69" s="215"/>
      <c r="H69" s="215"/>
      <c r="I69" s="216"/>
    </row>
    <row r="70" spans="1:9" ht="18.75" customHeight="1" x14ac:dyDescent="0.15">
      <c r="A70" s="88"/>
      <c r="B70" s="214"/>
      <c r="C70" s="215"/>
      <c r="D70" s="215"/>
      <c r="E70" s="215"/>
      <c r="F70" s="215"/>
      <c r="G70" s="215"/>
      <c r="H70" s="215"/>
      <c r="I70" s="216"/>
    </row>
    <row r="71" spans="1:9" ht="18.75" customHeight="1" x14ac:dyDescent="0.15">
      <c r="A71" s="88"/>
      <c r="B71" s="214"/>
      <c r="C71" s="215"/>
      <c r="D71" s="215"/>
      <c r="E71" s="215"/>
      <c r="F71" s="215"/>
      <c r="G71" s="215"/>
      <c r="H71" s="215"/>
      <c r="I71" s="216"/>
    </row>
    <row r="72" spans="1:9" ht="18.75" customHeight="1" x14ac:dyDescent="0.15">
      <c r="A72" s="88"/>
      <c r="B72" s="214"/>
      <c r="C72" s="215"/>
      <c r="D72" s="215"/>
      <c r="E72" s="215"/>
      <c r="F72" s="215"/>
      <c r="G72" s="215"/>
      <c r="H72" s="215"/>
      <c r="I72" s="216"/>
    </row>
    <row r="73" spans="1:9" ht="18.75" customHeight="1" x14ac:dyDescent="0.15">
      <c r="A73" s="88"/>
      <c r="B73" s="214"/>
      <c r="C73" s="215"/>
      <c r="D73" s="215"/>
      <c r="E73" s="215"/>
      <c r="F73" s="215"/>
      <c r="G73" s="215"/>
      <c r="H73" s="215"/>
      <c r="I73" s="216"/>
    </row>
    <row r="74" spans="1:9" ht="18.75" customHeight="1" x14ac:dyDescent="0.15">
      <c r="A74" s="88"/>
      <c r="B74" s="214"/>
      <c r="C74" s="215"/>
      <c r="D74" s="215"/>
      <c r="E74" s="215"/>
      <c r="F74" s="215"/>
      <c r="G74" s="215"/>
      <c r="H74" s="215"/>
      <c r="I74" s="216"/>
    </row>
    <row r="75" spans="1:9" ht="18.75" customHeight="1" x14ac:dyDescent="0.15">
      <c r="A75" s="88"/>
      <c r="B75" s="214"/>
      <c r="C75" s="215"/>
      <c r="D75" s="215"/>
      <c r="E75" s="215"/>
      <c r="F75" s="215"/>
      <c r="G75" s="215"/>
      <c r="H75" s="215"/>
      <c r="I75" s="216"/>
    </row>
    <row r="76" spans="1:9" ht="18.75" customHeight="1" x14ac:dyDescent="0.15">
      <c r="A76" s="88"/>
      <c r="B76" s="214"/>
      <c r="C76" s="215"/>
      <c r="D76" s="215"/>
      <c r="E76" s="215"/>
      <c r="F76" s="215"/>
      <c r="G76" s="215"/>
      <c r="H76" s="215"/>
      <c r="I76" s="216"/>
    </row>
    <row r="77" spans="1:9" ht="18.75" customHeight="1" x14ac:dyDescent="0.15">
      <c r="A77" s="88"/>
      <c r="B77" s="217"/>
      <c r="C77" s="218"/>
      <c r="D77" s="218"/>
      <c r="E77" s="218"/>
      <c r="F77" s="218"/>
      <c r="G77" s="218"/>
      <c r="H77" s="218"/>
      <c r="I77" s="219"/>
    </row>
    <row r="78" spans="1:9" ht="7.5" customHeight="1" x14ac:dyDescent="0.15">
      <c r="A78" s="4"/>
      <c r="B78" s="4"/>
      <c r="C78" s="4"/>
      <c r="D78" s="4"/>
      <c r="E78" s="4"/>
      <c r="F78" s="4"/>
      <c r="G78" s="4"/>
      <c r="H78" s="4"/>
      <c r="I78" s="4"/>
    </row>
    <row r="79" spans="1:9" ht="18.75" customHeight="1" x14ac:dyDescent="0.15">
      <c r="A79" s="1" t="s">
        <v>161</v>
      </c>
      <c r="B79" s="1" t="s">
        <v>162</v>
      </c>
    </row>
    <row r="80" spans="1:9" ht="18.75" customHeight="1" x14ac:dyDescent="0.15">
      <c r="A80" s="1"/>
      <c r="B80" s="220" t="s">
        <v>163</v>
      </c>
      <c r="C80" s="221"/>
      <c r="D80" s="221"/>
      <c r="E80" s="221"/>
      <c r="F80" s="221"/>
      <c r="G80" s="221"/>
      <c r="H80" s="221"/>
      <c r="I80" s="222"/>
    </row>
    <row r="81" spans="1:9" ht="18.75" customHeight="1" x14ac:dyDescent="0.15">
      <c r="A81" s="1"/>
      <c r="B81" s="223"/>
      <c r="C81" s="224"/>
      <c r="D81" s="224"/>
      <c r="E81" s="224"/>
      <c r="F81" s="224"/>
      <c r="G81" s="224"/>
      <c r="H81" s="224"/>
      <c r="I81" s="225"/>
    </row>
    <row r="82" spans="1:9" ht="18.75" customHeight="1" x14ac:dyDescent="0.15">
      <c r="A82" s="1"/>
      <c r="B82" s="223"/>
      <c r="C82" s="224"/>
      <c r="D82" s="224"/>
      <c r="E82" s="224"/>
      <c r="F82" s="224"/>
      <c r="G82" s="224"/>
      <c r="H82" s="224"/>
      <c r="I82" s="225"/>
    </row>
    <row r="83" spans="1:9" ht="18.75" customHeight="1" x14ac:dyDescent="0.15">
      <c r="A83" s="1"/>
      <c r="B83" s="223"/>
      <c r="C83" s="224"/>
      <c r="D83" s="224"/>
      <c r="E83" s="224"/>
      <c r="F83" s="224"/>
      <c r="G83" s="224"/>
      <c r="H83" s="224"/>
      <c r="I83" s="225"/>
    </row>
    <row r="84" spans="1:9" ht="18.75" customHeight="1" x14ac:dyDescent="0.15">
      <c r="A84" s="1"/>
      <c r="B84" s="223"/>
      <c r="C84" s="224"/>
      <c r="D84" s="224"/>
      <c r="E84" s="224"/>
      <c r="F84" s="224"/>
      <c r="G84" s="224"/>
      <c r="H84" s="224"/>
      <c r="I84" s="225"/>
    </row>
    <row r="85" spans="1:9" ht="18.75" customHeight="1" x14ac:dyDescent="0.15">
      <c r="A85" s="1"/>
      <c r="B85" s="223"/>
      <c r="C85" s="224"/>
      <c r="D85" s="224"/>
      <c r="E85" s="224"/>
      <c r="F85" s="224"/>
      <c r="G85" s="224"/>
      <c r="H85" s="224"/>
      <c r="I85" s="225"/>
    </row>
    <row r="86" spans="1:9" ht="18.75" customHeight="1" x14ac:dyDescent="0.15">
      <c r="A86" s="1"/>
      <c r="B86" s="223"/>
      <c r="C86" s="224"/>
      <c r="D86" s="224"/>
      <c r="E86" s="224"/>
      <c r="F86" s="224"/>
      <c r="G86" s="224"/>
      <c r="H86" s="224"/>
      <c r="I86" s="225"/>
    </row>
    <row r="87" spans="1:9" ht="18.75" customHeight="1" x14ac:dyDescent="0.15">
      <c r="A87" s="1"/>
      <c r="B87" s="223"/>
      <c r="C87" s="224"/>
      <c r="D87" s="224"/>
      <c r="E87" s="224"/>
      <c r="F87" s="224"/>
      <c r="G87" s="224"/>
      <c r="H87" s="224"/>
      <c r="I87" s="225"/>
    </row>
    <row r="88" spans="1:9" ht="18.75" customHeight="1" x14ac:dyDescent="0.15">
      <c r="A88" s="1"/>
      <c r="B88" s="223"/>
      <c r="C88" s="224"/>
      <c r="D88" s="224"/>
      <c r="E88" s="224"/>
      <c r="F88" s="224"/>
      <c r="G88" s="224"/>
      <c r="H88" s="224"/>
      <c r="I88" s="225"/>
    </row>
    <row r="89" spans="1:9" ht="18.75" customHeight="1" x14ac:dyDescent="0.15">
      <c r="A89" s="1"/>
      <c r="B89" s="223"/>
      <c r="C89" s="224"/>
      <c r="D89" s="224"/>
      <c r="E89" s="224"/>
      <c r="F89" s="224"/>
      <c r="G89" s="224"/>
      <c r="H89" s="224"/>
      <c r="I89" s="225"/>
    </row>
    <row r="90" spans="1:9" ht="18.75" customHeight="1" x14ac:dyDescent="0.15">
      <c r="A90" s="4"/>
      <c r="B90" s="223"/>
      <c r="C90" s="224"/>
      <c r="D90" s="224"/>
      <c r="E90" s="224"/>
      <c r="F90" s="224"/>
      <c r="G90" s="224"/>
      <c r="H90" s="224"/>
      <c r="I90" s="225"/>
    </row>
    <row r="91" spans="1:9" ht="18.75" customHeight="1" x14ac:dyDescent="0.15">
      <c r="A91" s="4"/>
      <c r="B91" s="226"/>
      <c r="C91" s="227"/>
      <c r="D91" s="227"/>
      <c r="E91" s="227"/>
      <c r="F91" s="227"/>
      <c r="G91" s="227"/>
      <c r="H91" s="227"/>
      <c r="I91" s="228"/>
    </row>
    <row r="92" spans="1:9" ht="7.5" customHeight="1" x14ac:dyDescent="0.15">
      <c r="A92" s="4"/>
      <c r="B92" s="4"/>
      <c r="C92" s="4"/>
      <c r="D92" s="4"/>
      <c r="E92" s="4"/>
      <c r="F92" s="4"/>
      <c r="G92" s="4"/>
      <c r="H92" s="4"/>
      <c r="I92" s="4"/>
    </row>
    <row r="93" spans="1:9" ht="18.75" customHeight="1" x14ac:dyDescent="0.15">
      <c r="A93" s="1" t="s">
        <v>164</v>
      </c>
      <c r="B93" s="1" t="s">
        <v>165</v>
      </c>
    </row>
    <row r="94" spans="1:9" ht="18.75" customHeight="1" x14ac:dyDescent="0.15">
      <c r="A94" s="1"/>
      <c r="B94" s="188" t="s">
        <v>166</v>
      </c>
      <c r="C94" s="189"/>
      <c r="D94" s="189"/>
      <c r="E94" s="189"/>
      <c r="F94" s="189"/>
      <c r="G94" s="189"/>
      <c r="H94" s="189"/>
      <c r="I94" s="190"/>
    </row>
    <row r="95" spans="1:9" ht="18.75" customHeight="1" x14ac:dyDescent="0.15">
      <c r="A95" s="1"/>
      <c r="B95" s="194"/>
      <c r="C95" s="195"/>
      <c r="D95" s="195"/>
      <c r="E95" s="195"/>
      <c r="F95" s="195"/>
      <c r="G95" s="195"/>
      <c r="H95" s="195"/>
      <c r="I95" s="193"/>
    </row>
    <row r="96" spans="1:9" ht="18.75" customHeight="1" x14ac:dyDescent="0.15">
      <c r="A96" s="1"/>
      <c r="B96" s="194"/>
      <c r="C96" s="195"/>
      <c r="D96" s="195"/>
      <c r="E96" s="195"/>
      <c r="F96" s="195"/>
      <c r="G96" s="195"/>
      <c r="H96" s="195"/>
      <c r="I96" s="193"/>
    </row>
    <row r="97" spans="1:9" ht="18.75" customHeight="1" x14ac:dyDescent="0.15">
      <c r="A97" s="1"/>
      <c r="B97" s="194"/>
      <c r="C97" s="195"/>
      <c r="D97" s="195"/>
      <c r="E97" s="195"/>
      <c r="F97" s="195"/>
      <c r="G97" s="195"/>
      <c r="H97" s="195"/>
      <c r="I97" s="193"/>
    </row>
    <row r="98" spans="1:9" ht="18.75" customHeight="1" x14ac:dyDescent="0.15">
      <c r="A98" s="1"/>
      <c r="B98" s="194"/>
      <c r="C98" s="195"/>
      <c r="D98" s="195"/>
      <c r="E98" s="195"/>
      <c r="F98" s="195"/>
      <c r="G98" s="195"/>
      <c r="H98" s="195"/>
      <c r="I98" s="193"/>
    </row>
    <row r="99" spans="1:9" ht="18.75" customHeight="1" x14ac:dyDescent="0.15">
      <c r="A99" s="1"/>
      <c r="B99" s="194"/>
      <c r="C99" s="195"/>
      <c r="D99" s="195"/>
      <c r="E99" s="195"/>
      <c r="F99" s="195"/>
      <c r="G99" s="195"/>
      <c r="H99" s="195"/>
      <c r="I99" s="193"/>
    </row>
    <row r="100" spans="1:9" ht="18.75" customHeight="1" x14ac:dyDescent="0.15">
      <c r="A100" s="1"/>
      <c r="B100" s="194"/>
      <c r="C100" s="195"/>
      <c r="D100" s="195"/>
      <c r="E100" s="195"/>
      <c r="F100" s="195"/>
      <c r="G100" s="195"/>
      <c r="H100" s="195"/>
      <c r="I100" s="193"/>
    </row>
    <row r="101" spans="1:9" ht="18.75" customHeight="1" x14ac:dyDescent="0.15">
      <c r="A101" s="1"/>
      <c r="B101" s="194"/>
      <c r="C101" s="195"/>
      <c r="D101" s="195"/>
      <c r="E101" s="195"/>
      <c r="F101" s="195"/>
      <c r="G101" s="195"/>
      <c r="H101" s="195"/>
      <c r="I101" s="193"/>
    </row>
    <row r="102" spans="1:9" ht="18.75" customHeight="1" x14ac:dyDescent="0.15">
      <c r="A102" s="1"/>
      <c r="B102" s="194"/>
      <c r="C102" s="195"/>
      <c r="D102" s="195"/>
      <c r="E102" s="195"/>
      <c r="F102" s="195"/>
      <c r="G102" s="195"/>
      <c r="H102" s="195"/>
      <c r="I102" s="193"/>
    </row>
    <row r="103" spans="1:9" ht="18.75" customHeight="1" x14ac:dyDescent="0.15">
      <c r="A103" s="1"/>
      <c r="B103" s="194"/>
      <c r="C103" s="195"/>
      <c r="D103" s="195"/>
      <c r="E103" s="195"/>
      <c r="F103" s="195"/>
      <c r="G103" s="195"/>
      <c r="H103" s="195"/>
      <c r="I103" s="193"/>
    </row>
    <row r="104" spans="1:9" ht="18.75" customHeight="1" x14ac:dyDescent="0.15">
      <c r="A104" s="1"/>
      <c r="B104" s="194"/>
      <c r="C104" s="195"/>
      <c r="D104" s="195"/>
      <c r="E104" s="195"/>
      <c r="F104" s="195"/>
      <c r="G104" s="195"/>
      <c r="H104" s="195"/>
      <c r="I104" s="193"/>
    </row>
    <row r="105" spans="1:9" ht="18.75" customHeight="1" x14ac:dyDescent="0.15">
      <c r="A105" s="4"/>
      <c r="B105" s="196"/>
      <c r="C105" s="197"/>
      <c r="D105" s="197"/>
      <c r="E105" s="197"/>
      <c r="F105" s="197"/>
      <c r="G105" s="197"/>
      <c r="H105" s="197"/>
      <c r="I105" s="198"/>
    </row>
    <row r="106" spans="1:9" ht="7.5" customHeight="1" x14ac:dyDescent="0.15">
      <c r="A106" s="4"/>
      <c r="B106" s="4"/>
      <c r="C106" s="4"/>
      <c r="D106" s="4"/>
      <c r="E106" s="4"/>
      <c r="F106" s="4"/>
      <c r="G106" s="4"/>
      <c r="H106" s="4"/>
      <c r="I106" s="4"/>
    </row>
    <row r="107" spans="1:9" ht="18.75" customHeight="1" x14ac:dyDescent="0.15">
      <c r="A107" s="1" t="s">
        <v>167</v>
      </c>
      <c r="B107" s="206" t="s">
        <v>168</v>
      </c>
      <c r="C107" s="206"/>
      <c r="D107" s="206"/>
      <c r="E107" s="206"/>
      <c r="F107" s="206"/>
      <c r="G107" s="206"/>
      <c r="H107" s="206"/>
      <c r="I107" s="206"/>
    </row>
    <row r="108" spans="1:9" ht="18.75" customHeight="1" x14ac:dyDescent="0.15">
      <c r="A108" s="4"/>
      <c r="B108" s="188" t="s">
        <v>169</v>
      </c>
      <c r="C108" s="189"/>
      <c r="D108" s="189"/>
      <c r="E108" s="189"/>
      <c r="F108" s="189"/>
      <c r="G108" s="189"/>
      <c r="H108" s="189"/>
      <c r="I108" s="190"/>
    </row>
    <row r="109" spans="1:9" ht="18.75" customHeight="1" x14ac:dyDescent="0.15">
      <c r="A109" s="4"/>
      <c r="B109" s="194"/>
      <c r="C109" s="195"/>
      <c r="D109" s="195"/>
      <c r="E109" s="195"/>
      <c r="F109" s="195"/>
      <c r="G109" s="195"/>
      <c r="H109" s="195"/>
      <c r="I109" s="193"/>
    </row>
    <row r="110" spans="1:9" ht="18.75" customHeight="1" x14ac:dyDescent="0.15">
      <c r="A110" s="4"/>
      <c r="B110" s="194"/>
      <c r="C110" s="195"/>
      <c r="D110" s="195"/>
      <c r="E110" s="195"/>
      <c r="F110" s="195"/>
      <c r="G110" s="195"/>
      <c r="H110" s="195"/>
      <c r="I110" s="193"/>
    </row>
    <row r="111" spans="1:9" ht="18.75" customHeight="1" x14ac:dyDescent="0.15">
      <c r="A111" s="4"/>
      <c r="B111" s="194"/>
      <c r="C111" s="195"/>
      <c r="D111" s="195"/>
      <c r="E111" s="195"/>
      <c r="F111" s="195"/>
      <c r="G111" s="195"/>
      <c r="H111" s="195"/>
      <c r="I111" s="193"/>
    </row>
    <row r="112" spans="1:9" ht="18.75" customHeight="1" x14ac:dyDescent="0.15">
      <c r="A112" s="4"/>
      <c r="B112" s="194"/>
      <c r="C112" s="195"/>
      <c r="D112" s="195"/>
      <c r="E112" s="195"/>
      <c r="F112" s="195"/>
      <c r="G112" s="195"/>
      <c r="H112" s="195"/>
      <c r="I112" s="193"/>
    </row>
    <row r="113" spans="1:9" ht="18.75" customHeight="1" x14ac:dyDescent="0.15">
      <c r="A113" s="4"/>
      <c r="B113" s="194"/>
      <c r="C113" s="195"/>
      <c r="D113" s="195"/>
      <c r="E113" s="195"/>
      <c r="F113" s="195"/>
      <c r="G113" s="195"/>
      <c r="H113" s="195"/>
      <c r="I113" s="193"/>
    </row>
    <row r="114" spans="1:9" ht="18.75" customHeight="1" x14ac:dyDescent="0.15">
      <c r="A114" s="4"/>
      <c r="B114" s="194"/>
      <c r="C114" s="195"/>
      <c r="D114" s="195"/>
      <c r="E114" s="195"/>
      <c r="F114" s="195"/>
      <c r="G114" s="195"/>
      <c r="H114" s="195"/>
      <c r="I114" s="193"/>
    </row>
    <row r="115" spans="1:9" ht="18.75" customHeight="1" x14ac:dyDescent="0.15">
      <c r="A115" s="4"/>
      <c r="B115" s="194"/>
      <c r="C115" s="195"/>
      <c r="D115" s="195"/>
      <c r="E115" s="195"/>
      <c r="F115" s="195"/>
      <c r="G115" s="195"/>
      <c r="H115" s="195"/>
      <c r="I115" s="193"/>
    </row>
    <row r="116" spans="1:9" ht="18.75" customHeight="1" x14ac:dyDescent="0.15">
      <c r="A116" s="4"/>
      <c r="B116" s="194"/>
      <c r="C116" s="195"/>
      <c r="D116" s="195"/>
      <c r="E116" s="195"/>
      <c r="F116" s="195"/>
      <c r="G116" s="195"/>
      <c r="H116" s="195"/>
      <c r="I116" s="193"/>
    </row>
    <row r="117" spans="1:9" ht="18.75" customHeight="1" x14ac:dyDescent="0.15">
      <c r="A117" s="4"/>
      <c r="B117" s="194"/>
      <c r="C117" s="195"/>
      <c r="D117" s="195"/>
      <c r="E117" s="195"/>
      <c r="F117" s="195"/>
      <c r="G117" s="195"/>
      <c r="H117" s="195"/>
      <c r="I117" s="193"/>
    </row>
    <row r="118" spans="1:9" ht="18.75" customHeight="1" x14ac:dyDescent="0.15">
      <c r="A118" s="4"/>
      <c r="B118" s="194"/>
      <c r="C118" s="195"/>
      <c r="D118" s="195"/>
      <c r="E118" s="195"/>
      <c r="F118" s="195"/>
      <c r="G118" s="195"/>
      <c r="H118" s="195"/>
      <c r="I118" s="193"/>
    </row>
    <row r="119" spans="1:9" ht="18.75" customHeight="1" x14ac:dyDescent="0.15">
      <c r="A119" s="4"/>
      <c r="B119" s="196"/>
      <c r="C119" s="197"/>
      <c r="D119" s="197"/>
      <c r="E119" s="197"/>
      <c r="F119" s="197"/>
      <c r="G119" s="197"/>
      <c r="H119" s="197"/>
      <c r="I119" s="198"/>
    </row>
    <row r="120" spans="1:9" ht="7.5" customHeight="1" x14ac:dyDescent="0.15">
      <c r="A120" s="4"/>
      <c r="B120" s="23"/>
      <c r="C120" s="23"/>
      <c r="D120" s="23"/>
      <c r="E120" s="23"/>
      <c r="F120" s="23"/>
      <c r="G120" s="23"/>
      <c r="H120" s="23"/>
      <c r="I120" s="23"/>
    </row>
    <row r="121" spans="1:9" ht="18.75" customHeight="1" x14ac:dyDescent="0.15">
      <c r="A121" s="48"/>
      <c r="B121" s="184"/>
      <c r="C121" s="184"/>
      <c r="D121" s="184"/>
      <c r="E121" s="184"/>
      <c r="F121" s="184"/>
      <c r="G121" s="184"/>
      <c r="H121" s="184"/>
      <c r="I121" s="184"/>
    </row>
    <row r="122" spans="1:9" ht="18.75" customHeight="1" x14ac:dyDescent="0.15">
      <c r="A122" s="48"/>
      <c r="B122" s="184"/>
      <c r="C122" s="184"/>
      <c r="D122" s="184"/>
      <c r="E122" s="184"/>
      <c r="F122" s="184"/>
      <c r="G122" s="184"/>
      <c r="H122" s="184"/>
      <c r="I122" s="184"/>
    </row>
    <row r="123" spans="1:9" ht="18.75" customHeight="1" x14ac:dyDescent="0.15">
      <c r="A123" s="4"/>
      <c r="B123" s="49"/>
      <c r="C123" s="49"/>
      <c r="D123" s="49"/>
      <c r="E123" s="49"/>
      <c r="F123" s="49"/>
      <c r="G123" s="49"/>
      <c r="H123" s="49"/>
      <c r="I123" s="50"/>
    </row>
    <row r="124" spans="1:9" ht="18.75" customHeight="1" x14ac:dyDescent="0.15">
      <c r="A124" s="4"/>
      <c r="B124" s="50"/>
      <c r="C124" s="50"/>
      <c r="D124" s="50"/>
      <c r="E124" s="50"/>
      <c r="F124" s="50"/>
      <c r="G124" s="50"/>
      <c r="H124" s="50"/>
      <c r="I124" s="50"/>
    </row>
    <row r="125" spans="1:9" ht="18.75" customHeight="1" x14ac:dyDescent="0.15">
      <c r="A125" s="4"/>
      <c r="B125" s="50"/>
      <c r="C125" s="50"/>
      <c r="D125" s="50"/>
      <c r="E125" s="50"/>
      <c r="F125" s="50"/>
      <c r="G125" s="50"/>
      <c r="H125" s="50"/>
      <c r="I125" s="50"/>
    </row>
    <row r="126" spans="1:9" ht="18.75" customHeight="1" x14ac:dyDescent="0.15">
      <c r="A126" s="4"/>
      <c r="B126" s="50"/>
      <c r="C126" s="50"/>
      <c r="D126" s="50"/>
      <c r="E126" s="50"/>
      <c r="F126" s="50"/>
      <c r="G126" s="50"/>
      <c r="H126" s="50"/>
      <c r="I126" s="50"/>
    </row>
    <row r="127" spans="1:9" ht="18.75" customHeight="1" x14ac:dyDescent="0.15">
      <c r="A127" s="4"/>
      <c r="B127" s="50"/>
      <c r="C127" s="50"/>
      <c r="D127" s="50"/>
      <c r="E127" s="50"/>
      <c r="F127" s="50"/>
      <c r="G127" s="50"/>
      <c r="H127" s="50"/>
      <c r="I127" s="50"/>
    </row>
    <row r="128" spans="1:9" ht="18.75" customHeight="1" x14ac:dyDescent="0.15">
      <c r="A128" s="4"/>
      <c r="B128" s="50"/>
      <c r="C128" s="50"/>
      <c r="D128" s="50"/>
      <c r="E128" s="50"/>
      <c r="F128" s="50"/>
      <c r="G128" s="50"/>
      <c r="H128" s="50"/>
      <c r="I128" s="50"/>
    </row>
    <row r="129" spans="1:9" ht="18.75" customHeight="1" x14ac:dyDescent="0.15">
      <c r="A129" s="4"/>
      <c r="B129" s="50"/>
      <c r="C129" s="50"/>
      <c r="D129" s="50"/>
      <c r="E129" s="50"/>
      <c r="F129" s="50"/>
      <c r="G129" s="50"/>
      <c r="H129" s="50"/>
      <c r="I129" s="50"/>
    </row>
    <row r="130" spans="1:9" ht="18.75" customHeight="1" x14ac:dyDescent="0.15">
      <c r="A130" s="4"/>
      <c r="B130" s="50"/>
      <c r="C130" s="50"/>
      <c r="D130" s="50"/>
      <c r="E130" s="50"/>
      <c r="F130" s="50"/>
      <c r="G130" s="50"/>
      <c r="H130" s="50"/>
      <c r="I130" s="50"/>
    </row>
    <row r="131" spans="1:9" ht="18.75" customHeight="1" x14ac:dyDescent="0.15">
      <c r="A131" s="4"/>
      <c r="B131" s="50"/>
      <c r="C131" s="50"/>
      <c r="D131" s="50"/>
      <c r="E131" s="50"/>
      <c r="F131" s="50"/>
      <c r="G131" s="50"/>
      <c r="H131" s="50"/>
      <c r="I131" s="50"/>
    </row>
    <row r="132" spans="1:9" ht="18.75" customHeight="1" x14ac:dyDescent="0.15">
      <c r="A132" s="4"/>
      <c r="B132" s="50"/>
      <c r="C132" s="50"/>
      <c r="D132" s="50"/>
      <c r="E132" s="50"/>
      <c r="F132" s="50"/>
      <c r="G132" s="50"/>
      <c r="H132" s="50"/>
      <c r="I132" s="50"/>
    </row>
    <row r="133" spans="1:9" ht="14.25" x14ac:dyDescent="0.15">
      <c r="A133" s="4"/>
      <c r="B133" s="50"/>
      <c r="C133" s="50"/>
      <c r="D133" s="50"/>
      <c r="E133" s="50"/>
      <c r="F133" s="50"/>
      <c r="G133" s="50"/>
      <c r="H133" s="50"/>
      <c r="I133" s="50"/>
    </row>
    <row r="134" spans="1:9" ht="7.5" customHeight="1" x14ac:dyDescent="0.15">
      <c r="A134" s="4"/>
      <c r="B134" s="50"/>
      <c r="C134" s="50"/>
      <c r="D134" s="50"/>
      <c r="E134" s="50"/>
      <c r="F134" s="50"/>
      <c r="G134" s="50"/>
      <c r="H134" s="50"/>
      <c r="I134" s="5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B7F3-2C2F-4040-A97A-9E9B34DA2DA4}">
  <sheetPr>
    <pageSetUpPr fitToPage="1"/>
  </sheetPr>
  <dimension ref="A1:I30"/>
  <sheetViews>
    <sheetView showZeros="0" view="pageBreakPreview" topLeftCell="A4" zoomScale="70" zoomScaleNormal="100" zoomScaleSheetLayoutView="70" workbookViewId="0">
      <selection activeCell="E13" sqref="E13:I13"/>
    </sheetView>
  </sheetViews>
  <sheetFormatPr defaultColWidth="11.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5" style="1"/>
  </cols>
  <sheetData>
    <row r="1" spans="1:9" ht="18.75" customHeight="1" x14ac:dyDescent="0.15">
      <c r="A1" s="1" t="s">
        <v>170</v>
      </c>
      <c r="I1" s="18" t="s">
        <v>171</v>
      </c>
    </row>
    <row r="2" spans="1:9" ht="18.75" customHeight="1" x14ac:dyDescent="0.15">
      <c r="H2" s="18" t="s">
        <v>2</v>
      </c>
      <c r="I2" s="17" t="str">
        <f>'様式１－１　プログラムを構成する授業科目'!C2</f>
        <v>青森中央学院大学</v>
      </c>
    </row>
    <row r="3" spans="1:9" ht="18.75" customHeight="1" x14ac:dyDescent="0.15">
      <c r="A3" s="113" t="s">
        <v>172</v>
      </c>
      <c r="B3" s="113"/>
      <c r="C3" s="113"/>
      <c r="D3" s="113"/>
      <c r="E3" s="113"/>
      <c r="F3" s="113"/>
      <c r="G3" s="113"/>
      <c r="H3" s="113"/>
      <c r="I3" s="113"/>
    </row>
    <row r="4" spans="1:9" ht="18.75" customHeight="1" x14ac:dyDescent="0.15">
      <c r="A4" s="5"/>
      <c r="B4" s="5"/>
      <c r="C4" s="5"/>
      <c r="D4" s="5"/>
      <c r="E4" s="5"/>
      <c r="F4" s="5"/>
      <c r="G4" s="5"/>
      <c r="H4" s="5"/>
      <c r="I4" s="5"/>
    </row>
    <row r="5" spans="1:9" ht="18.75" customHeight="1" x14ac:dyDescent="0.15">
      <c r="A5" s="1" t="s">
        <v>126</v>
      </c>
      <c r="B5" s="10" t="s">
        <v>173</v>
      </c>
      <c r="C5" s="5"/>
      <c r="D5" s="5"/>
      <c r="E5" s="5"/>
      <c r="F5" s="5"/>
      <c r="G5" s="5"/>
      <c r="H5" s="5"/>
      <c r="I5" s="5"/>
    </row>
    <row r="6" spans="1:9" ht="26.25" customHeight="1" x14ac:dyDescent="0.15">
      <c r="A6" s="5"/>
      <c r="B6" s="200" t="s">
        <v>174</v>
      </c>
      <c r="C6" s="239"/>
      <c r="D6" s="239"/>
      <c r="E6" s="239"/>
      <c r="F6" s="239"/>
      <c r="G6" s="239"/>
      <c r="H6" s="240"/>
      <c r="I6" s="3"/>
    </row>
    <row r="7" spans="1:9" ht="9" customHeight="1" x14ac:dyDescent="0.15">
      <c r="A7" s="5"/>
      <c r="B7" s="10"/>
      <c r="C7" s="10"/>
      <c r="D7" s="10"/>
      <c r="E7" s="10"/>
      <c r="F7" s="10"/>
      <c r="G7" s="10"/>
      <c r="H7" s="10"/>
      <c r="I7" s="3"/>
    </row>
    <row r="8" spans="1:9" ht="18.75" customHeight="1" x14ac:dyDescent="0.15">
      <c r="A8" s="5"/>
      <c r="B8" s="3"/>
      <c r="C8" s="3"/>
      <c r="D8" s="18" t="s">
        <v>134</v>
      </c>
      <c r="E8" s="19" t="s">
        <v>135</v>
      </c>
      <c r="F8" s="3"/>
      <c r="G8" s="18" t="s">
        <v>136</v>
      </c>
      <c r="H8" s="19" t="s">
        <v>141</v>
      </c>
      <c r="I8" s="3"/>
    </row>
    <row r="9" spans="1:9" ht="7.5" customHeight="1" x14ac:dyDescent="0.15">
      <c r="A9" s="5"/>
      <c r="B9" s="5"/>
      <c r="C9" s="5"/>
      <c r="D9" s="5"/>
      <c r="E9" s="5"/>
      <c r="F9" s="5"/>
      <c r="G9" s="5"/>
      <c r="H9" s="5"/>
      <c r="I9" s="5"/>
    </row>
    <row r="10" spans="1:9" ht="18.75" customHeight="1" x14ac:dyDescent="0.15">
      <c r="A10" s="1" t="s">
        <v>130</v>
      </c>
      <c r="B10" s="1" t="s">
        <v>175</v>
      </c>
      <c r="C10" s="4"/>
      <c r="D10" s="4"/>
      <c r="E10" s="4"/>
      <c r="F10" s="4"/>
      <c r="G10" s="4"/>
      <c r="H10" s="4"/>
      <c r="I10" s="4"/>
    </row>
    <row r="11" spans="1:9" ht="18.75" customHeight="1" x14ac:dyDescent="0.15">
      <c r="B11" s="102" t="s">
        <v>176</v>
      </c>
      <c r="C11" s="103"/>
      <c r="D11" s="104"/>
      <c r="E11" s="103" t="s">
        <v>177</v>
      </c>
      <c r="F11" s="103"/>
      <c r="G11" s="103"/>
      <c r="H11" s="103"/>
      <c r="I11" s="104"/>
    </row>
    <row r="12" spans="1:9" ht="26.25" customHeight="1" x14ac:dyDescent="0.15">
      <c r="B12" s="24" t="s">
        <v>178</v>
      </c>
      <c r="C12" s="31"/>
      <c r="D12" s="25"/>
      <c r="E12" s="32"/>
      <c r="F12" s="32"/>
      <c r="G12" s="32"/>
      <c r="H12" s="32"/>
      <c r="I12" s="25"/>
    </row>
    <row r="13" spans="1:9" ht="210.75" customHeight="1" x14ac:dyDescent="0.15">
      <c r="B13" s="26"/>
      <c r="C13" s="241" t="s">
        <v>179</v>
      </c>
      <c r="D13" s="242"/>
      <c r="E13" s="243" t="s">
        <v>191</v>
      </c>
      <c r="F13" s="244"/>
      <c r="G13" s="244"/>
      <c r="H13" s="244"/>
      <c r="I13" s="245"/>
    </row>
    <row r="14" spans="1:9" ht="210.75" customHeight="1" x14ac:dyDescent="0.15">
      <c r="B14" s="26"/>
      <c r="C14" s="246" t="s">
        <v>180</v>
      </c>
      <c r="D14" s="247"/>
      <c r="E14" s="243" t="s">
        <v>192</v>
      </c>
      <c r="F14" s="244"/>
      <c r="G14" s="244"/>
      <c r="H14" s="244"/>
      <c r="I14" s="245"/>
    </row>
    <row r="15" spans="1:9" ht="210.75" customHeight="1" x14ac:dyDescent="0.15">
      <c r="B15" s="26"/>
      <c r="C15" s="241" t="s">
        <v>181</v>
      </c>
      <c r="D15" s="242"/>
      <c r="E15" s="243" t="s">
        <v>197</v>
      </c>
      <c r="F15" s="244"/>
      <c r="G15" s="244"/>
      <c r="H15" s="244"/>
      <c r="I15" s="245"/>
    </row>
    <row r="16" spans="1:9" ht="210.75" customHeight="1" x14ac:dyDescent="0.15">
      <c r="B16" s="26"/>
      <c r="C16" s="241" t="s">
        <v>182</v>
      </c>
      <c r="D16" s="242"/>
      <c r="E16" s="248" t="s">
        <v>183</v>
      </c>
      <c r="F16" s="249"/>
      <c r="G16" s="249"/>
      <c r="H16" s="249"/>
      <c r="I16" s="250"/>
    </row>
    <row r="17" spans="2:9" ht="210.75" customHeight="1" x14ac:dyDescent="0.15">
      <c r="B17" s="27"/>
      <c r="C17" s="261" t="s">
        <v>184</v>
      </c>
      <c r="D17" s="262"/>
      <c r="E17" s="263" t="s">
        <v>193</v>
      </c>
      <c r="F17" s="264"/>
      <c r="G17" s="264"/>
      <c r="H17" s="264"/>
      <c r="I17" s="265"/>
    </row>
    <row r="18" spans="2:9" ht="24" customHeight="1" x14ac:dyDescent="0.15">
      <c r="B18" s="24" t="s">
        <v>185</v>
      </c>
      <c r="C18" s="28"/>
      <c r="D18" s="29"/>
      <c r="E18" s="30"/>
      <c r="F18" s="30"/>
      <c r="G18" s="30"/>
      <c r="H18" s="30"/>
      <c r="I18" s="33"/>
    </row>
    <row r="19" spans="2:9" ht="218.25" customHeight="1" x14ac:dyDescent="0.15">
      <c r="B19" s="26"/>
      <c r="C19" s="241" t="s">
        <v>186</v>
      </c>
      <c r="D19" s="242"/>
      <c r="E19" s="244" t="s">
        <v>194</v>
      </c>
      <c r="F19" s="244"/>
      <c r="G19" s="244"/>
      <c r="H19" s="244"/>
      <c r="I19" s="245"/>
    </row>
    <row r="20" spans="2:9" ht="218.25" customHeight="1" x14ac:dyDescent="0.15">
      <c r="B20" s="27"/>
      <c r="C20" s="261" t="s">
        <v>187</v>
      </c>
      <c r="D20" s="262"/>
      <c r="E20" s="266" t="s">
        <v>195</v>
      </c>
      <c r="F20" s="266"/>
      <c r="G20" s="266"/>
      <c r="H20" s="266"/>
      <c r="I20" s="267"/>
    </row>
    <row r="21" spans="2:9" ht="218.25" customHeight="1" x14ac:dyDescent="0.15">
      <c r="B21" s="251" t="s">
        <v>188</v>
      </c>
      <c r="C21" s="252"/>
      <c r="D21" s="253"/>
      <c r="E21" s="254" t="s">
        <v>196</v>
      </c>
      <c r="F21" s="254"/>
      <c r="G21" s="254"/>
      <c r="H21" s="254"/>
      <c r="I21" s="255"/>
    </row>
    <row r="22" spans="2:9" ht="218.25" customHeight="1" x14ac:dyDescent="0.15">
      <c r="B22" s="256" t="s">
        <v>189</v>
      </c>
      <c r="C22" s="257"/>
      <c r="D22" s="258"/>
      <c r="E22" s="259" t="s">
        <v>190</v>
      </c>
      <c r="F22" s="259"/>
      <c r="G22" s="259"/>
      <c r="H22" s="259"/>
      <c r="I22" s="26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1:D21"/>
    <mergeCell ref="E21:I21"/>
    <mergeCell ref="B22:D22"/>
    <mergeCell ref="E22:I22"/>
    <mergeCell ref="C17:D17"/>
    <mergeCell ref="E17:I17"/>
    <mergeCell ref="C19:D19"/>
    <mergeCell ref="E19:I19"/>
    <mergeCell ref="C20:D20"/>
    <mergeCell ref="E20:I20"/>
    <mergeCell ref="C14:D14"/>
    <mergeCell ref="E14:I14"/>
    <mergeCell ref="C15:D15"/>
    <mergeCell ref="E15:I15"/>
    <mergeCell ref="C16:D16"/>
    <mergeCell ref="E16:I16"/>
    <mergeCell ref="A3:I3"/>
    <mergeCell ref="B6:H6"/>
    <mergeCell ref="B11:D11"/>
    <mergeCell ref="E11:I11"/>
    <mergeCell ref="C13:D13"/>
    <mergeCell ref="E13:I13"/>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ECD90E7DE958D48A28EC110CC2A4B30" ma:contentTypeVersion="14" ma:contentTypeDescription="新しいドキュメントを作成します。" ma:contentTypeScope="" ma:versionID="e94b45c72cb62ac4bf25e5f57c9f721f">
  <xsd:schema xmlns:xsd="http://www.w3.org/2001/XMLSchema" xmlns:xs="http://www.w3.org/2001/XMLSchema" xmlns:p="http://schemas.microsoft.com/office/2006/metadata/properties" xmlns:ns2="88b5d61f-4299-4b06-97b9-cc0fd287495d" xmlns:ns3="b212ee61-127d-4c8f-b8c2-108185e5b5d8" targetNamespace="http://schemas.microsoft.com/office/2006/metadata/properties" ma:root="true" ma:fieldsID="32ff4a8f25f8f8c8d3fddd52cb84e2f6" ns2:_="" ns3:_="">
    <xsd:import namespace="88b5d61f-4299-4b06-97b9-cc0fd287495d"/>
    <xsd:import namespace="b212ee61-127d-4c8f-b8c2-108185e5b5d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b5d61f-4299-4b06-97b9-cc0fd28749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8b8bc3db-6a81-47c3-9380-98f7c11c96f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12ee61-127d-4c8f-b8c2-108185e5b5d8"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385c5f66-8142-44e2-8992-dce6f3bbd20e}" ma:internalName="TaxCatchAll" ma:showField="CatchAllData" ma:web="b212ee61-127d-4c8f-b8c2-108185e5b5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212ee61-127d-4c8f-b8c2-108185e5b5d8" xsi:nil="true"/>
    <lcf76f155ced4ddcb4097134ff3c332f xmlns="88b5d61f-4299-4b06-97b9-cc0fd287495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B65ED2-B869-472E-8AA3-992C9CD2D3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b5d61f-4299-4b06-97b9-cc0fd287495d"/>
    <ds:schemaRef ds:uri="b212ee61-127d-4c8f-b8c2-108185e5b5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C1D666-1154-4BEC-A35F-80A885BA2CD2}">
  <ds:schemaRefs>
    <ds:schemaRef ds:uri="http://schemas.openxmlformats.org/package/2006/metadata/core-properties"/>
    <ds:schemaRef ds:uri="http://purl.org/dc/dcmitype/"/>
    <ds:schemaRef ds:uri="http://schemas.microsoft.com/office/infopath/2007/PartnerControls"/>
    <ds:schemaRef ds:uri="http://schemas.microsoft.com/office/2006/metadata/properties"/>
    <ds:schemaRef ds:uri="http://www.w3.org/XML/1998/namespace"/>
    <ds:schemaRef ds:uri="http://purl.org/dc/terms/"/>
    <ds:schemaRef ds:uri="http://schemas.microsoft.com/office/2006/documentManagement/types"/>
    <ds:schemaRef ds:uri="http://purl.org/dc/elements/1.1/"/>
    <ds:schemaRef ds:uri="b212ee61-127d-4c8f-b8c2-108185e5b5d8"/>
    <ds:schemaRef ds:uri="88b5d61f-4299-4b06-97b9-cc0fd287495d"/>
  </ds:schemaRefs>
</ds:datastoreItem>
</file>

<file path=customXml/itemProps3.xml><?xml version="1.0" encoding="utf-8"?>
<ds:datastoreItem xmlns:ds="http://schemas.openxmlformats.org/officeDocument/2006/customXml" ds:itemID="{6F5C4D5D-14C6-4162-8B97-F3B0C9ACFF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様式１ー２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'様式１ー２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石田 壮平</cp:lastModifiedBy>
  <cp:revision/>
  <dcterms:created xsi:type="dcterms:W3CDTF">2011-06-14T05:32:50Z</dcterms:created>
  <dcterms:modified xsi:type="dcterms:W3CDTF">2025-07-10T02:45:46Z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0x0101006ECD90E7DE958D48A28EC110CC2A4B30</vt:lpwstr>
  </property>
  <property fmtid="{D5CDD505-2E9C-101B-9397-08002B2CF9AE}" pid="10" name="MediaServiceImageTags">
    <vt:lpwstr/>
  </property>
</Properties>
</file>