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2"/>
  <workbookPr defaultThemeVersion="124226"/>
  <mc:AlternateContent xmlns:mc="http://schemas.openxmlformats.org/markup-compatibility/2006">
    <mc:Choice Requires="x15">
      <x15ac:absPath xmlns:x15ac="http://schemas.microsoft.com/office/spreadsheetml/2010/11/ac" url="B:\02教育センター\事務次長\2023年度～_yoshioka\数理・データサイエンス・AI教育プログラム認定制度\【重要】公募関係_申請期間_20250310から20250512\申請書提出\"/>
    </mc:Choice>
  </mc:AlternateContent>
  <xr:revisionPtr revIDLastSave="0" documentId="13_ncr:1_{482CF232-6774-431D-B676-D407D2777FD8}" xr6:coauthVersionLast="47" xr6:coauthVersionMax="47" xr10:uidLastSave="{00000000-0000-0000-0000-000000000000}"/>
  <bookViews>
    <workbookView xWindow="-108" yWindow="-108" windowWidth="23256" windowHeight="12576" tabRatio="885" activeTab="3" xr2:uid="{00000000-000D-0000-FFFF-FFFF00000000}"/>
  </bookViews>
  <sheets>
    <sheet name="様式１－１　プログラムを構成する授業科目" sheetId="43" r:id="rId1"/>
    <sheet name="様式１－２　プログラムを構成する授業科目" sheetId="39" r:id="rId2"/>
    <sheet name="様式２ 履修者等数の実績" sheetId="40" r:id="rId3"/>
    <sheet name="様式３ 教育の質・履修者数を向上させるための体制・計画" sheetId="41" r:id="rId4"/>
    <sheet name="様式４　自己点検・評価" sheetId="42" r:id="rId5"/>
  </sheets>
  <definedNames>
    <definedName name="_xlnm._FilterDatabase" localSheetId="0" hidden="1">'様式１－１　プログラムを構成する授業科目'!$X$16:$X$18</definedName>
    <definedName name="_xlnm._FilterDatabase" localSheetId="1" hidden="1">'様式１－２　プログラムを構成する授業科目'!$X$16:$X$18</definedName>
    <definedName name="_xlnm._FilterDatabase" localSheetId="2" hidden="1">'様式２ 履修者等数の実績'!#REF!</definedName>
    <definedName name="_xlnm.Print_Area" localSheetId="0">'様式１－１　プログラムを構成する授業科目'!$A$1:$U$105</definedName>
    <definedName name="_xlnm.Print_Area" localSheetId="1">'様式１－２　プログラムを構成する授業科目'!$A$1:$U$105</definedName>
    <definedName name="_xlnm.Print_Area" localSheetId="2">'様式２ 履修者等数の実績'!$A$1:$S$33</definedName>
    <definedName name="_xlnm.Print_Area" localSheetId="3">'様式３ 教育の質・履修者数を向上させるための体制・計画'!$A$1:$I$119</definedName>
    <definedName name="_xlnm.Print_Area" localSheetId="4">'様式４　自己点検・評価'!$A$1:$I$22</definedName>
    <definedName name="_xlnm.Print_Titles" localSheetId="4">'様式４　自己点検・評価'!$11:$11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K22" i="42" l="1"/>
  <c r="K21" i="42"/>
  <c r="K20" i="42"/>
  <c r="K19" i="42"/>
  <c r="J22" i="41"/>
  <c r="K17" i="42" l="1"/>
  <c r="K16" i="42"/>
  <c r="K15" i="42"/>
  <c r="K14" i="42" l="1"/>
  <c r="K13" i="42"/>
  <c r="J108" i="41"/>
  <c r="J94" i="41"/>
  <c r="J80" i="41"/>
  <c r="J66" i="41"/>
  <c r="J52" i="41"/>
  <c r="M7" i="40"/>
  <c r="I2" i="42"/>
  <c r="H2" i="41"/>
  <c r="Q2" i="40"/>
  <c r="I33" i="40" l="1"/>
  <c r="M33" i="40"/>
  <c r="P33" i="40"/>
  <c r="Q33" i="40"/>
  <c r="O33" i="40"/>
  <c r="N33" i="40"/>
  <c r="L33" i="40"/>
  <c r="J33" i="40"/>
  <c r="K33" i="40"/>
  <c r="H33" i="40"/>
  <c r="R14" i="40" l="1"/>
  <c r="R15" i="40"/>
  <c r="R16" i="40"/>
  <c r="R17" i="40"/>
  <c r="R18" i="40"/>
  <c r="R19" i="40"/>
  <c r="R20" i="40"/>
  <c r="R21" i="40"/>
  <c r="R22" i="40"/>
  <c r="R23" i="40"/>
  <c r="R24" i="40"/>
  <c r="R25" i="40"/>
  <c r="R26" i="40"/>
  <c r="R27" i="40"/>
  <c r="R28" i="40"/>
  <c r="R29" i="40"/>
  <c r="R30" i="40"/>
  <c r="R31" i="40"/>
  <c r="R32" i="40"/>
  <c r="R13" i="40"/>
  <c r="S13" i="40" s="1"/>
  <c r="C33" i="40"/>
  <c r="G33" i="40" l="1"/>
  <c r="F33" i="40" l="1"/>
  <c r="E33" i="40"/>
  <c r="I50" i="41" s="1"/>
  <c r="D33" i="40"/>
  <c r="S32" i="40"/>
  <c r="S31" i="40"/>
  <c r="S30" i="40"/>
  <c r="S29" i="40"/>
  <c r="S28" i="40"/>
  <c r="S27" i="40"/>
  <c r="S26" i="40"/>
  <c r="S25" i="40"/>
  <c r="S24" i="40"/>
  <c r="S23" i="40"/>
  <c r="S22" i="40"/>
  <c r="S21" i="40"/>
  <c r="S20" i="40"/>
  <c r="S19" i="40"/>
  <c r="S18" i="40"/>
  <c r="S17" i="40"/>
  <c r="S16" i="40"/>
  <c r="S15" i="40"/>
  <c r="S14" i="40"/>
  <c r="R33" i="40" l="1"/>
  <c r="S33" i="40" s="1"/>
  <c r="C49" i="41" s="1"/>
</calcChain>
</file>

<file path=xl/sharedStrings.xml><?xml version="1.0" encoding="utf-8"?>
<sst xmlns="http://schemas.openxmlformats.org/spreadsheetml/2006/main" count="434" uniqueCount="194">
  <si>
    <t>①</t>
    <phoneticPr fontId="1"/>
  </si>
  <si>
    <t>人</t>
    <rPh sb="0" eb="1">
      <t>ニン</t>
    </rPh>
    <phoneticPr fontId="1"/>
  </si>
  <si>
    <t>（非常勤）</t>
    <rPh sb="1" eb="4">
      <t>ヒジョウキン</t>
    </rPh>
    <phoneticPr fontId="1"/>
  </si>
  <si>
    <t>②</t>
    <phoneticPr fontId="1"/>
  </si>
  <si>
    <t>③</t>
    <phoneticPr fontId="1"/>
  </si>
  <si>
    <t>⑤</t>
    <phoneticPr fontId="1"/>
  </si>
  <si>
    <t>⑦</t>
    <phoneticPr fontId="1"/>
  </si>
  <si>
    <t>④</t>
    <phoneticPr fontId="1"/>
  </si>
  <si>
    <t>⑥</t>
    <phoneticPr fontId="1"/>
  </si>
  <si>
    <t>具体的な構成員</t>
    <rPh sb="0" eb="3">
      <t>グタイテキ</t>
    </rPh>
    <rPh sb="4" eb="7">
      <t>コウセイイン</t>
    </rPh>
    <phoneticPr fontId="1"/>
  </si>
  <si>
    <t>（役職名）</t>
    <rPh sb="1" eb="4">
      <t>ヤクショクメイ</t>
    </rPh>
    <phoneticPr fontId="1"/>
  </si>
  <si>
    <t>⑩</t>
    <phoneticPr fontId="1"/>
  </si>
  <si>
    <t>できる限り多くの学生が履修・修得できるようなサポート体制</t>
    <rPh sb="26" eb="28">
      <t>タイセイ</t>
    </rPh>
    <phoneticPr fontId="1"/>
  </si>
  <si>
    <t>学内からの視点</t>
    <rPh sb="0" eb="2">
      <t>ガクナイ</t>
    </rPh>
    <rPh sb="5" eb="7">
      <t>シテン</t>
    </rPh>
    <phoneticPr fontId="1"/>
  </si>
  <si>
    <t>プログラムの履修・修得状況</t>
    <rPh sb="6" eb="8">
      <t>リシュウ</t>
    </rPh>
    <rPh sb="9" eb="11">
      <t>シュウトク</t>
    </rPh>
    <rPh sb="11" eb="13">
      <t>ジョウキョウ</t>
    </rPh>
    <phoneticPr fontId="1"/>
  </si>
  <si>
    <t>学修成果</t>
    <rPh sb="0" eb="2">
      <t>ガクシュウ</t>
    </rPh>
    <rPh sb="2" eb="4">
      <t>セイカ</t>
    </rPh>
    <phoneticPr fontId="1"/>
  </si>
  <si>
    <t>学生アンケート等を通じた学生の内容の理解度</t>
    <rPh sb="0" eb="2">
      <t>ガクセイ</t>
    </rPh>
    <rPh sb="7" eb="8">
      <t>トウ</t>
    </rPh>
    <rPh sb="9" eb="10">
      <t>ツウ</t>
    </rPh>
    <rPh sb="12" eb="14">
      <t>ガクセイ</t>
    </rPh>
    <rPh sb="15" eb="17">
      <t>ナイヨウ</t>
    </rPh>
    <rPh sb="18" eb="21">
      <t>リカイド</t>
    </rPh>
    <phoneticPr fontId="1"/>
  </si>
  <si>
    <t>学生アンケート等を通じた後輩等他の学生への推奨度</t>
    <rPh sb="0" eb="2">
      <t>ガクセイ</t>
    </rPh>
    <rPh sb="7" eb="8">
      <t>トウ</t>
    </rPh>
    <rPh sb="9" eb="10">
      <t>ツウ</t>
    </rPh>
    <rPh sb="12" eb="14">
      <t>コウハイ</t>
    </rPh>
    <rPh sb="14" eb="15">
      <t>トウ</t>
    </rPh>
    <rPh sb="15" eb="16">
      <t>タ</t>
    </rPh>
    <rPh sb="17" eb="19">
      <t>ガクセイ</t>
    </rPh>
    <rPh sb="21" eb="23">
      <t>スイショウ</t>
    </rPh>
    <rPh sb="23" eb="24">
      <t>ド</t>
    </rPh>
    <phoneticPr fontId="1"/>
  </si>
  <si>
    <t>全学的な履修者数、履修率向上に向けた計画の達成・進捗状況</t>
    <rPh sb="0" eb="3">
      <t>ゼンガクテキ</t>
    </rPh>
    <rPh sb="4" eb="6">
      <t>リシュウ</t>
    </rPh>
    <rPh sb="6" eb="7">
      <t>シャ</t>
    </rPh>
    <rPh sb="7" eb="8">
      <t>スウ</t>
    </rPh>
    <rPh sb="9" eb="11">
      <t>リシュウ</t>
    </rPh>
    <rPh sb="11" eb="12">
      <t>リツ</t>
    </rPh>
    <rPh sb="12" eb="14">
      <t>コウジョウ</t>
    </rPh>
    <rPh sb="15" eb="16">
      <t>ム</t>
    </rPh>
    <rPh sb="18" eb="20">
      <t>ケイカク</t>
    </rPh>
    <rPh sb="21" eb="23">
      <t>タッセイ</t>
    </rPh>
    <rPh sb="24" eb="26">
      <t>シンチョク</t>
    </rPh>
    <rPh sb="26" eb="28">
      <t>ジョウキョウ</t>
    </rPh>
    <phoneticPr fontId="1"/>
  </si>
  <si>
    <t>学外からの視点</t>
    <rPh sb="0" eb="2">
      <t>ガクガイ</t>
    </rPh>
    <rPh sb="5" eb="7">
      <t>シテン</t>
    </rPh>
    <phoneticPr fontId="1"/>
  </si>
  <si>
    <t>教育プログラム修了者の進路、活躍状況、企業等の評価</t>
    <rPh sb="0" eb="2">
      <t>キョウイク</t>
    </rPh>
    <rPh sb="7" eb="10">
      <t>シュウリョウシャ</t>
    </rPh>
    <rPh sb="11" eb="13">
      <t>シンロ</t>
    </rPh>
    <rPh sb="14" eb="16">
      <t>カツヤク</t>
    </rPh>
    <rPh sb="16" eb="18">
      <t>ジョウキョウ</t>
    </rPh>
    <rPh sb="19" eb="21">
      <t>キギョウ</t>
    </rPh>
    <rPh sb="21" eb="22">
      <t>トウ</t>
    </rPh>
    <rPh sb="23" eb="25">
      <t>ヒョウカ</t>
    </rPh>
    <phoneticPr fontId="1"/>
  </si>
  <si>
    <t>産業界からの視点を含めた教育プログラム内容・手法等への意見</t>
    <rPh sb="0" eb="3">
      <t>サンギョウカイ</t>
    </rPh>
    <rPh sb="6" eb="8">
      <t>シテン</t>
    </rPh>
    <rPh sb="9" eb="10">
      <t>フク</t>
    </rPh>
    <rPh sb="12" eb="14">
      <t>キョウイク</t>
    </rPh>
    <rPh sb="19" eb="21">
      <t>ナイヨウ</t>
    </rPh>
    <rPh sb="22" eb="24">
      <t>シュホウ</t>
    </rPh>
    <rPh sb="24" eb="25">
      <t>トウ</t>
    </rPh>
    <rPh sb="27" eb="29">
      <t>イケン</t>
    </rPh>
    <phoneticPr fontId="1"/>
  </si>
  <si>
    <t>数理・データサイエンス・ＡＩを「学ぶ楽しさ」「学ぶことの意義」を理解させること</t>
    <rPh sb="0" eb="2">
      <t>スウリ</t>
    </rPh>
    <rPh sb="16" eb="17">
      <t>マナ</t>
    </rPh>
    <rPh sb="18" eb="19">
      <t>タノ</t>
    </rPh>
    <rPh sb="23" eb="24">
      <t>マナ</t>
    </rPh>
    <rPh sb="28" eb="30">
      <t>イギ</t>
    </rPh>
    <rPh sb="32" eb="34">
      <t>リカイ</t>
    </rPh>
    <phoneticPr fontId="1"/>
  </si>
  <si>
    <t>自己点検・評価の視点</t>
    <rPh sb="0" eb="2">
      <t>ジコ</t>
    </rPh>
    <rPh sb="2" eb="4">
      <t>テンケン</t>
    </rPh>
    <rPh sb="5" eb="7">
      <t>ヒョウカ</t>
    </rPh>
    <rPh sb="8" eb="10">
      <t>シテン</t>
    </rPh>
    <phoneticPr fontId="1"/>
  </si>
  <si>
    <t>体制の目的</t>
    <rPh sb="0" eb="2">
      <t>タイセイ</t>
    </rPh>
    <rPh sb="3" eb="5">
      <t>モクテキ</t>
    </rPh>
    <phoneticPr fontId="1"/>
  </si>
  <si>
    <t>自己点検・評価体制における意見・結果・改善に向けた取組等</t>
    <rPh sb="7" eb="9">
      <t>タイセイ</t>
    </rPh>
    <rPh sb="13" eb="15">
      <t>イケン</t>
    </rPh>
    <rPh sb="16" eb="18">
      <t>ケッカ</t>
    </rPh>
    <rPh sb="19" eb="21">
      <t>カイゼン</t>
    </rPh>
    <rPh sb="22" eb="23">
      <t>ム</t>
    </rPh>
    <rPh sb="25" eb="27">
      <t>トリクミ</t>
    </rPh>
    <rPh sb="27" eb="28">
      <t>トウ</t>
    </rPh>
    <phoneticPr fontId="1"/>
  </si>
  <si>
    <t>自己点検・評価体制における意見等</t>
    <rPh sb="15" eb="16">
      <t>トウ</t>
    </rPh>
    <phoneticPr fontId="1"/>
  </si>
  <si>
    <t>自己点検・評価について</t>
    <rPh sb="0" eb="2">
      <t>ジコ</t>
    </rPh>
    <rPh sb="2" eb="4">
      <t>テンケン</t>
    </rPh>
    <rPh sb="5" eb="7">
      <t>ヒョウカ</t>
    </rPh>
    <phoneticPr fontId="1"/>
  </si>
  <si>
    <t>修了者数</t>
    <rPh sb="0" eb="3">
      <t>シュウリョウシャ</t>
    </rPh>
    <rPh sb="3" eb="4">
      <t>スウ</t>
    </rPh>
    <phoneticPr fontId="1"/>
  </si>
  <si>
    <t>⑫</t>
    <phoneticPr fontId="1"/>
  </si>
  <si>
    <t>⑧</t>
    <phoneticPr fontId="1"/>
  </si>
  <si>
    <t>履修率</t>
    <rPh sb="0" eb="2">
      <t>リシュウ</t>
    </rPh>
    <rPh sb="2" eb="3">
      <t>リツ</t>
    </rPh>
    <phoneticPr fontId="1"/>
  </si>
  <si>
    <t>合　計</t>
    <phoneticPr fontId="1"/>
  </si>
  <si>
    <t>⑨</t>
    <phoneticPr fontId="1"/>
  </si>
  <si>
    <t>履修者数
合計</t>
    <rPh sb="0" eb="2">
      <t>リシュウ</t>
    </rPh>
    <rPh sb="2" eb="3">
      <t>シャ</t>
    </rPh>
    <rPh sb="3" eb="4">
      <t>スウ</t>
    </rPh>
    <rPh sb="5" eb="7">
      <t>ゴウケイ</t>
    </rPh>
    <phoneticPr fontId="1"/>
  </si>
  <si>
    <t>教育の質・履修者数を向上させるための体制・計画について</t>
    <rPh sb="0" eb="2">
      <t>キョウイク</t>
    </rPh>
    <rPh sb="3" eb="4">
      <t>シツ</t>
    </rPh>
    <rPh sb="5" eb="7">
      <t>リシュウ</t>
    </rPh>
    <rPh sb="7" eb="8">
      <t>シャ</t>
    </rPh>
    <rPh sb="8" eb="9">
      <t>スウ</t>
    </rPh>
    <rPh sb="10" eb="12">
      <t>コウジョウ</t>
    </rPh>
    <rPh sb="18" eb="20">
      <t>タイセイ</t>
    </rPh>
    <rPh sb="21" eb="23">
      <t>ケイカク</t>
    </rPh>
    <phoneticPr fontId="1"/>
  </si>
  <si>
    <t>学部・学科に関係なく希望する学生全員が受講可能となるような必要な体制・取組等</t>
    <rPh sb="29" eb="31">
      <t>ヒツヨウ</t>
    </rPh>
    <rPh sb="32" eb="34">
      <t>タイセイ</t>
    </rPh>
    <rPh sb="35" eb="37">
      <t>トリクミ</t>
    </rPh>
    <rPh sb="37" eb="38">
      <t>トウ</t>
    </rPh>
    <phoneticPr fontId="1"/>
  </si>
  <si>
    <t>収容
定員</t>
    <rPh sb="0" eb="2">
      <t>シュウヨウ</t>
    </rPh>
    <rPh sb="3" eb="5">
      <t>テイイン</t>
    </rPh>
    <phoneticPr fontId="1"/>
  </si>
  <si>
    <t>できる限り多くの学生が履修できるような具体的な周知方法・取組</t>
    <rPh sb="3" eb="4">
      <t>カギ</t>
    </rPh>
    <rPh sb="5" eb="6">
      <t>オオ</t>
    </rPh>
    <rPh sb="8" eb="10">
      <t>ガクセイ</t>
    </rPh>
    <rPh sb="11" eb="13">
      <t>リシュウ</t>
    </rPh>
    <rPh sb="19" eb="22">
      <t>グタイテキ</t>
    </rPh>
    <rPh sb="23" eb="25">
      <t>シュウチ</t>
    </rPh>
    <rPh sb="25" eb="27">
      <t>ホウホウ</t>
    </rPh>
    <rPh sb="28" eb="30">
      <t>トリクミ</t>
    </rPh>
    <phoneticPr fontId="1"/>
  </si>
  <si>
    <t>プログラムを改善・進化させるための体制を定める規則名称</t>
    <phoneticPr fontId="1"/>
  </si>
  <si>
    <t>（責任者名）</t>
    <rPh sb="1" eb="4">
      <t>セキニンシャ</t>
    </rPh>
    <rPh sb="4" eb="5">
      <t>メイ</t>
    </rPh>
    <phoneticPr fontId="1"/>
  </si>
  <si>
    <t>⑪</t>
    <phoneticPr fontId="1"/>
  </si>
  <si>
    <t>学部・学科名称</t>
    <rPh sb="0" eb="2">
      <t>ガクブ</t>
    </rPh>
    <rPh sb="3" eb="5">
      <t>ガッカ</t>
    </rPh>
    <rPh sb="5" eb="7">
      <t>メイショウ</t>
    </rPh>
    <phoneticPr fontId="1"/>
  </si>
  <si>
    <t>授業時間内外で学習指導、質問を受け付ける具体的な仕組み</t>
    <rPh sb="20" eb="23">
      <t>グタイテキ</t>
    </rPh>
    <phoneticPr fontId="1"/>
  </si>
  <si>
    <t>入学
定員</t>
    <rPh sb="0" eb="2">
      <t>ニュウガク</t>
    </rPh>
    <rPh sb="3" eb="5">
      <t>テイイン</t>
    </rPh>
    <phoneticPr fontId="1"/>
  </si>
  <si>
    <t>令和3年度</t>
    <rPh sb="0" eb="2">
      <t>レイワ</t>
    </rPh>
    <rPh sb="3" eb="5">
      <t>ネンド</t>
    </rPh>
    <phoneticPr fontId="1"/>
  </si>
  <si>
    <t>令和2年度</t>
    <rPh sb="0" eb="2">
      <t>レイワ</t>
    </rPh>
    <rPh sb="3" eb="5">
      <t>ネンド</t>
    </rPh>
    <phoneticPr fontId="1"/>
  </si>
  <si>
    <t>授業科目</t>
    <rPh sb="0" eb="2">
      <t>ジュギョウ</t>
    </rPh>
    <rPh sb="2" eb="4">
      <t>カモク</t>
    </rPh>
    <phoneticPr fontId="1"/>
  </si>
  <si>
    <t>授業に含まれている内容・要素</t>
    <phoneticPr fontId="1"/>
  </si>
  <si>
    <t>講義内容</t>
    <rPh sb="0" eb="2">
      <t>コウギ</t>
    </rPh>
    <rPh sb="2" eb="4">
      <t>ナイヨウ</t>
    </rPh>
    <phoneticPr fontId="1"/>
  </si>
  <si>
    <t>1-1</t>
    <phoneticPr fontId="1"/>
  </si>
  <si>
    <t>2-1</t>
    <phoneticPr fontId="1"/>
  </si>
  <si>
    <t>3-1</t>
    <phoneticPr fontId="1"/>
  </si>
  <si>
    <t>1-6</t>
  </si>
  <si>
    <t>3-2</t>
    <phoneticPr fontId="1"/>
  </si>
  <si>
    <t>（１）現在進行中の社会変化（第４次産業革命、Society 5.0、データ駆動型社会等）に深く寄与しているものであり、それが自らの生活と密接に結びついている</t>
    <phoneticPr fontId="1"/>
  </si>
  <si>
    <t>（２）「社会で活用されているデータ」や「データの活用領域」は非常に広範囲であって、日常生活や社会の課題を解決する有用なツールになり得るもの</t>
    <phoneticPr fontId="1"/>
  </si>
  <si>
    <t>（３）様々なデータ利活用の現場におけるデータ利活用事例が示され、様々な適用領域（流通、製造、金融、サービス、インフラ、公共、ヘルスケア等）の知見と組み合わせることで価値を創出するもの</t>
    <phoneticPr fontId="1"/>
  </si>
  <si>
    <t>　　　　　　　　　　　　　　　　　　　　　　　　　　　　　　　　　　　　　　　　　　　　　　　　　　　　　　　　　　　　　　　　　　　　　　　　　　　　　　　　　　　　　　　　　　　　　　　　　　　　　　　　　　　　　　　　　　　　　　　　　　　　　　　　　　　　　　　　　　　　　　　　　　　　　　　　　　　　　　　　　　　　　　　　　　　　　　　　　　　　　　　　　　　　　　　　　　　　　　　　　　　　　　　　　　　　　　　　　　　　　　　　　　　　　　　　　　　　　　　　　　　　　　　　　　　　　　　　　　　　　　　　　　　　　　　　　　　　　　　　　　　　　　　　　　　　　　　　　　　　　　　　　　　　　　　　　　　　　　　　　　　　　　　　　　　　　　　　　　　　　　　　　　　　　　　　　　　　　　　　　　　　　　　　　　　　　　　　　　　　　　　　　　　　　　　　　　　　　　　　　　　　　　　　　　　　　　　　　　　　　　　　　　　　　　　　　　　　　　　　　　　　　　　　　　　　　　　　　　　　　　　　　　　　　　　　　　　　　　　　　　　　　　　　　　　　　　　　　　　　　　　　　　　　　　　　　　　　　　　　　　　　　　　　　　　　　　　　　　　　　　　　　　　　　　　　　　　　　　　　　　　　　　　　　　　　　　　　　　　　　　　　　　　　　　　　　　　　　　　　　　　　　　　　　　　　　　　　　　　　　　　　　　　　　　　　　　　　　　　　　　　　　　　　　　　　　　　　　　　　　　　　　　　　　　　　　　　　　　　　　　　　　　　　　　　　　　　　　　　　　　　　　　　　　　　　　　　　　　　　　　　　　　　　　　　　　　</t>
    <phoneticPr fontId="1"/>
  </si>
  <si>
    <t>令和７年度予定</t>
    <rPh sb="0" eb="2">
      <t>レイワ</t>
    </rPh>
    <rPh sb="3" eb="5">
      <t>ネンド</t>
    </rPh>
    <rPh sb="5" eb="7">
      <t>ヨテイ</t>
    </rPh>
    <phoneticPr fontId="1"/>
  </si>
  <si>
    <t>収容定員（名）</t>
    <rPh sb="0" eb="4">
      <t>シュウヨウテイイン</t>
    </rPh>
    <rPh sb="5" eb="6">
      <t>メイ</t>
    </rPh>
    <phoneticPr fontId="1"/>
  </si>
  <si>
    <t>具体的な計画</t>
    <rPh sb="0" eb="3">
      <t>グタイテキ</t>
    </rPh>
    <rPh sb="4" eb="6">
      <t>ケイカク</t>
    </rPh>
    <phoneticPr fontId="1"/>
  </si>
  <si>
    <t>　　　　　　　　　　　　　　　　　　　　　　　　　　　　　　　　　　　　　　　　　　　　　　　　　　　　　　　　　　　　　　　　　　　　　　　　　</t>
    <phoneticPr fontId="1"/>
  </si>
  <si>
    <t>1-2</t>
    <phoneticPr fontId="1"/>
  </si>
  <si>
    <t>1-3</t>
    <phoneticPr fontId="1"/>
  </si>
  <si>
    <t>1-4</t>
    <phoneticPr fontId="1"/>
  </si>
  <si>
    <t>1-5</t>
    <phoneticPr fontId="1"/>
  </si>
  <si>
    <t>2-2</t>
    <phoneticPr fontId="1"/>
  </si>
  <si>
    <t>2-3</t>
    <phoneticPr fontId="1"/>
  </si>
  <si>
    <t>1-6</t>
    <phoneticPr fontId="1"/>
  </si>
  <si>
    <t>（４）活用に当たっての様々な留意事項（ELSI、個人情報、データ倫理、ＡＩ社会原則等）を考慮し、情報セキュリティや情報漏洩等、データを守る上での留意事項への理解をする</t>
    <phoneticPr fontId="1"/>
  </si>
  <si>
    <t>（５）実データ・実課題（学術データ等を含む）を用いた演習など、社会での実例を題材として、「データを読む、説明する、扱う」といった数理・データサイエンス・ＡＩの基本的な活用法に関するもの</t>
    <phoneticPr fontId="1"/>
  </si>
  <si>
    <t>単位数</t>
    <rPh sb="0" eb="3">
      <t>タンイスウ</t>
    </rPh>
    <phoneticPr fontId="1"/>
  </si>
  <si>
    <t>選択項目</t>
    <rPh sb="0" eb="2">
      <t>センタク</t>
    </rPh>
    <rPh sb="2" eb="4">
      <t>コウモク</t>
    </rPh>
    <phoneticPr fontId="1"/>
  </si>
  <si>
    <t>①プログラム開設年度</t>
    <rPh sb="6" eb="8">
      <t>カイセツ</t>
    </rPh>
    <rPh sb="8" eb="10">
      <t>ネンド</t>
    </rPh>
    <phoneticPr fontId="1"/>
  </si>
  <si>
    <t>必須</t>
    <rPh sb="0" eb="2">
      <t>ヒッス</t>
    </rPh>
    <phoneticPr fontId="1"/>
  </si>
  <si>
    <t>令和4年度</t>
    <rPh sb="0" eb="2">
      <t>レイワ</t>
    </rPh>
    <rPh sb="3" eb="5">
      <t>ネンド</t>
    </rPh>
    <phoneticPr fontId="1"/>
  </si>
  <si>
    <t>学生数</t>
    <rPh sb="0" eb="3">
      <t>ガクセイスウ</t>
    </rPh>
    <phoneticPr fontId="1"/>
  </si>
  <si>
    <t>プログラムを改善・進化させるための体制（委員会・組織等）</t>
    <phoneticPr fontId="1"/>
  </si>
  <si>
    <t>令和８年度予定</t>
    <rPh sb="0" eb="2">
      <t>レイワ</t>
    </rPh>
    <rPh sb="3" eb="5">
      <t>ネンド</t>
    </rPh>
    <rPh sb="5" eb="7">
      <t>ヨテイ</t>
    </rPh>
    <phoneticPr fontId="1"/>
  </si>
  <si>
    <t>全学の教員数</t>
    <rPh sb="0" eb="2">
      <t>ゼンガク</t>
    </rPh>
    <rPh sb="3" eb="6">
      <t>キョウインスウ</t>
    </rPh>
    <phoneticPr fontId="1"/>
  </si>
  <si>
    <t>(常勤）</t>
    <rPh sb="1" eb="3">
      <t>ジョウキン</t>
    </rPh>
    <phoneticPr fontId="1"/>
  </si>
  <si>
    <t>プログラムの授業を教えている教員数</t>
    <rPh sb="6" eb="8">
      <t>ジュギョウ</t>
    </rPh>
    <rPh sb="9" eb="10">
      <t>オシ</t>
    </rPh>
    <rPh sb="14" eb="17">
      <t>キョウインスウ</t>
    </rPh>
    <phoneticPr fontId="1"/>
  </si>
  <si>
    <t>プログラムの運営責任者</t>
    <rPh sb="6" eb="8">
      <t>ウンエイ</t>
    </rPh>
    <rPh sb="8" eb="11">
      <t>セキニンシャ</t>
    </rPh>
    <phoneticPr fontId="1"/>
  </si>
  <si>
    <t>プログラムの自己点検・評価を行う体制（委員会・組織等）</t>
    <phoneticPr fontId="1"/>
  </si>
  <si>
    <t>履修者数</t>
    <rPh sb="0" eb="3">
      <t>リシュウシャ</t>
    </rPh>
    <rPh sb="3" eb="4">
      <t>スウ</t>
    </rPh>
    <phoneticPr fontId="1"/>
  </si>
  <si>
    <t>2-1</t>
  </si>
  <si>
    <t>プログラム名</t>
    <rPh sb="5" eb="6">
      <t>メイ</t>
    </rPh>
    <phoneticPr fontId="1"/>
  </si>
  <si>
    <t>【プルダウンリスト】</t>
    <phoneticPr fontId="1"/>
  </si>
  <si>
    <t>様式４</t>
    <phoneticPr fontId="1"/>
  </si>
  <si>
    <t>様式３</t>
    <phoneticPr fontId="1"/>
  </si>
  <si>
    <t>様式２</t>
    <phoneticPr fontId="1"/>
  </si>
  <si>
    <t>大学等名</t>
    <rPh sb="0" eb="2">
      <t>ダイガク</t>
    </rPh>
    <rPh sb="2" eb="3">
      <t>トウ</t>
    </rPh>
    <rPh sb="3" eb="4">
      <t>メイ</t>
    </rPh>
    <phoneticPr fontId="1"/>
  </si>
  <si>
    <t>「学部・学科によって、修了要件は相違する」場合は、本シートを複製の上＜様式１－〇＞と枝番号を付してください</t>
    <rPh sb="21" eb="23">
      <t>バアイ</t>
    </rPh>
    <rPh sb="25" eb="26">
      <t>ホン</t>
    </rPh>
    <rPh sb="30" eb="32">
      <t>フクセイ</t>
    </rPh>
    <rPh sb="33" eb="34">
      <t>ウエ</t>
    </rPh>
    <rPh sb="42" eb="45">
      <t>エダバンゴウ</t>
    </rPh>
    <rPh sb="46" eb="47">
      <t>フ</t>
    </rPh>
    <phoneticPr fontId="1"/>
  </si>
  <si>
    <t>③ 修了要件</t>
    <phoneticPr fontId="1"/>
  </si>
  <si>
    <t>④ 現在進行中の社会変化（第４次産業革命、Society 5.0、データ駆動型社会等）に深く寄与しているものであり、それが自らの生活と密接に結びついている」の内容を含む授業科目</t>
    <rPh sb="2" eb="4">
      <t>ゲンザイ</t>
    </rPh>
    <rPh sb="4" eb="6">
      <t>シンコウ</t>
    </rPh>
    <rPh sb="6" eb="7">
      <t>チュウ</t>
    </rPh>
    <rPh sb="8" eb="10">
      <t>シャカイ</t>
    </rPh>
    <rPh sb="10" eb="12">
      <t>ヘンカ</t>
    </rPh>
    <rPh sb="13" eb="14">
      <t>ダイ</t>
    </rPh>
    <rPh sb="15" eb="16">
      <t>ジ</t>
    </rPh>
    <rPh sb="16" eb="18">
      <t>サンギョウ</t>
    </rPh>
    <rPh sb="18" eb="20">
      <t>カクメイ</t>
    </rPh>
    <rPh sb="36" eb="38">
      <t>クドウ</t>
    </rPh>
    <rPh sb="38" eb="39">
      <t>ガタ</t>
    </rPh>
    <rPh sb="39" eb="41">
      <t>シャカイ</t>
    </rPh>
    <rPh sb="41" eb="42">
      <t>トウ</t>
    </rPh>
    <rPh sb="44" eb="45">
      <t>フカ</t>
    </rPh>
    <rPh sb="46" eb="48">
      <t>キヨ</t>
    </rPh>
    <rPh sb="61" eb="62">
      <t>ミズカ</t>
    </rPh>
    <rPh sb="64" eb="66">
      <t>セイカツ</t>
    </rPh>
    <rPh sb="67" eb="69">
      <t>ミッセツ</t>
    </rPh>
    <rPh sb="70" eb="71">
      <t>ムス</t>
    </rPh>
    <rPh sb="79" eb="81">
      <t>ナイヨウ</t>
    </rPh>
    <rPh sb="82" eb="83">
      <t>フク</t>
    </rPh>
    <rPh sb="84" eb="86">
      <t>ジュギョウ</t>
    </rPh>
    <rPh sb="86" eb="88">
      <t>カモク</t>
    </rPh>
    <phoneticPr fontId="1"/>
  </si>
  <si>
    <t>⑤ 「社会で活用されているデータ」や「データの活用領域」は非常に広範囲であって、日常生活や社会の課題を解決する有用なツールになり得るもの」の内容を含む授業科目</t>
    <rPh sb="3" eb="5">
      <t>シャカイ</t>
    </rPh>
    <rPh sb="6" eb="8">
      <t>カツヨウ</t>
    </rPh>
    <rPh sb="23" eb="25">
      <t>カツヨウ</t>
    </rPh>
    <rPh sb="25" eb="27">
      <t>リョウイキ</t>
    </rPh>
    <rPh sb="29" eb="31">
      <t>ヒジョウ</t>
    </rPh>
    <rPh sb="32" eb="35">
      <t>コウハンイ</t>
    </rPh>
    <rPh sb="40" eb="42">
      <t>ニチジョウ</t>
    </rPh>
    <rPh sb="42" eb="44">
      <t>セイカツ</t>
    </rPh>
    <rPh sb="45" eb="47">
      <t>シャカイ</t>
    </rPh>
    <rPh sb="48" eb="50">
      <t>カダイ</t>
    </rPh>
    <rPh sb="51" eb="53">
      <t>カイケツ</t>
    </rPh>
    <rPh sb="55" eb="57">
      <t>ユウヨウ</t>
    </rPh>
    <rPh sb="64" eb="65">
      <t>ウ</t>
    </rPh>
    <rPh sb="70" eb="72">
      <t>ナイヨウ</t>
    </rPh>
    <phoneticPr fontId="1"/>
  </si>
  <si>
    <t>⑥ 「様々なデータ利活用の現場におけるデータ利活用事例が示され、様々な適用領域（流通、製造、金融、サービス、インフラ、公共、ヘルスケア等）の知見と組み合わせることで価値を創出するもの」の内容を含む授業科目</t>
    <rPh sb="3" eb="5">
      <t>サマザマ</t>
    </rPh>
    <rPh sb="9" eb="12">
      <t>リカツヨウ</t>
    </rPh>
    <rPh sb="13" eb="15">
      <t>ゲンバ</t>
    </rPh>
    <rPh sb="22" eb="25">
      <t>リカツヨウ</t>
    </rPh>
    <rPh sb="25" eb="27">
      <t>ジレイ</t>
    </rPh>
    <rPh sb="28" eb="29">
      <t>シメ</t>
    </rPh>
    <rPh sb="32" eb="34">
      <t>サマザマ</t>
    </rPh>
    <rPh sb="35" eb="37">
      <t>テキヨウ</t>
    </rPh>
    <rPh sb="37" eb="39">
      <t>リョウイキ</t>
    </rPh>
    <rPh sb="40" eb="42">
      <t>リュウツウ</t>
    </rPh>
    <rPh sb="43" eb="45">
      <t>セイゾウ</t>
    </rPh>
    <rPh sb="46" eb="48">
      <t>キンユウ</t>
    </rPh>
    <rPh sb="59" eb="61">
      <t>コウキョウ</t>
    </rPh>
    <rPh sb="67" eb="68">
      <t>ナド</t>
    </rPh>
    <rPh sb="70" eb="72">
      <t>チケン</t>
    </rPh>
    <rPh sb="73" eb="74">
      <t>ク</t>
    </rPh>
    <rPh sb="75" eb="76">
      <t>ア</t>
    </rPh>
    <rPh sb="82" eb="84">
      <t>カチ</t>
    </rPh>
    <rPh sb="85" eb="87">
      <t>ソウシュツ</t>
    </rPh>
    <phoneticPr fontId="1"/>
  </si>
  <si>
    <t>⑦ 「活用に当たっての様々な留意事項（ELSI、個人情報、データ倫理、ＡＩ社会原則等）を考慮し、情報セキュリティや情報漏洩等、データを守る上での留意事項への理解をする」の内容を含む授業科目</t>
    <rPh sb="3" eb="5">
      <t>カツヨウ</t>
    </rPh>
    <rPh sb="6" eb="7">
      <t>ア</t>
    </rPh>
    <rPh sb="11" eb="13">
      <t>サマザマ</t>
    </rPh>
    <rPh sb="14" eb="16">
      <t>リュウイ</t>
    </rPh>
    <rPh sb="16" eb="18">
      <t>ジコウ</t>
    </rPh>
    <rPh sb="24" eb="26">
      <t>コジン</t>
    </rPh>
    <rPh sb="26" eb="28">
      <t>ジョウホウ</t>
    </rPh>
    <rPh sb="32" eb="34">
      <t>リンリ</t>
    </rPh>
    <rPh sb="37" eb="39">
      <t>シャカイ</t>
    </rPh>
    <rPh sb="39" eb="41">
      <t>ゲンソク</t>
    </rPh>
    <rPh sb="41" eb="42">
      <t>ナド</t>
    </rPh>
    <rPh sb="44" eb="46">
      <t>コウリョ</t>
    </rPh>
    <rPh sb="48" eb="50">
      <t>ジョウホウ</t>
    </rPh>
    <rPh sb="57" eb="59">
      <t>ジョウホウ</t>
    </rPh>
    <rPh sb="59" eb="61">
      <t>ロウエイ</t>
    </rPh>
    <rPh sb="61" eb="62">
      <t>ナド</t>
    </rPh>
    <rPh sb="67" eb="68">
      <t>マモ</t>
    </rPh>
    <rPh sb="69" eb="70">
      <t>ウエ</t>
    </rPh>
    <rPh sb="72" eb="74">
      <t>リュウイ</t>
    </rPh>
    <rPh sb="74" eb="76">
      <t>ジコウ</t>
    </rPh>
    <rPh sb="78" eb="80">
      <t>リカイ</t>
    </rPh>
    <phoneticPr fontId="1"/>
  </si>
  <si>
    <t>⑧ 「実データ・実課題（学術データ等を含む）を用いた演習など、社会での実例を題材として、「データを読む、説明する、扱う」といった数理・データサイエンス・ＡＩの基本的な活用法に関するもの」の内容を含む授業科目</t>
    <phoneticPr fontId="1"/>
  </si>
  <si>
    <t>⑨ 選択「４．オプション」の内容を含む授業科目</t>
    <rPh sb="14" eb="16">
      <t>ナイヨウ</t>
    </rPh>
    <rPh sb="17" eb="18">
      <t>フク</t>
    </rPh>
    <rPh sb="19" eb="21">
      <t>ジュギョウ</t>
    </rPh>
    <rPh sb="21" eb="23">
      <t>カモク</t>
    </rPh>
    <phoneticPr fontId="1"/>
  </si>
  <si>
    <t>⑩ プログラムを構成する授業の内容</t>
    <phoneticPr fontId="1"/>
  </si>
  <si>
    <t>⑪ プログラムの学修成果（学生等が身に付けられる能力等）</t>
    <phoneticPr fontId="1"/>
  </si>
  <si>
    <t>履修必須の有無</t>
    <rPh sb="0" eb="2">
      <t>リシュウ</t>
    </rPh>
    <rPh sb="2" eb="4">
      <t>ヒッス</t>
    </rPh>
    <rPh sb="5" eb="7">
      <t>ウム</t>
    </rPh>
    <phoneticPr fontId="1"/>
  </si>
  <si>
    <r>
      <t xml:space="preserve">履修者数・履修率の向上に向けた計画 </t>
    </r>
    <r>
      <rPr>
        <sz val="6"/>
        <color theme="1"/>
        <rFont val="ＭＳ Ｐゴシック"/>
        <family val="3"/>
        <charset val="128"/>
        <scheme val="minor"/>
      </rPr>
      <t>※様式１の「履修必須の有無」で「計画がある」としている場合は詳細について記載すること</t>
    </r>
    <rPh sb="5" eb="7">
      <t>リシュウ</t>
    </rPh>
    <rPh sb="7" eb="8">
      <t>リツ</t>
    </rPh>
    <rPh sb="19" eb="21">
      <t>ヨウシキ</t>
    </rPh>
    <rPh sb="34" eb="36">
      <t>ケイカク</t>
    </rPh>
    <rPh sb="45" eb="47">
      <t>バアイ</t>
    </rPh>
    <rPh sb="48" eb="50">
      <t>ショウサイ</t>
    </rPh>
    <rPh sb="54" eb="56">
      <t>キサイ</t>
    </rPh>
    <phoneticPr fontId="1"/>
  </si>
  <si>
    <t>令和5年度</t>
    <rPh sb="0" eb="2">
      <t>レイワ</t>
    </rPh>
    <rPh sb="3" eb="5">
      <t>ネンド</t>
    </rPh>
    <phoneticPr fontId="1"/>
  </si>
  <si>
    <t>科目</t>
    <rPh sb="0" eb="2">
      <t>カモク</t>
    </rPh>
    <phoneticPr fontId="1"/>
  </si>
  <si>
    <t>単位</t>
    <rPh sb="0" eb="2">
      <t>タンイ</t>
    </rPh>
    <phoneticPr fontId="1"/>
  </si>
  <si>
    <t>②大学等全体の男女別学生数</t>
    <rPh sb="1" eb="3">
      <t>ダイガク</t>
    </rPh>
    <rPh sb="3" eb="4">
      <t>トウ</t>
    </rPh>
    <rPh sb="4" eb="6">
      <t>ゼンタイ</t>
    </rPh>
    <rPh sb="7" eb="10">
      <t>ダンジョベツ</t>
    </rPh>
    <rPh sb="10" eb="13">
      <t>ガクセイスウ</t>
    </rPh>
    <phoneticPr fontId="1"/>
  </si>
  <si>
    <t>男性</t>
    <rPh sb="0" eb="2">
      <t>ダンセイ</t>
    </rPh>
    <phoneticPr fontId="1"/>
  </si>
  <si>
    <t>人</t>
    <rPh sb="0" eb="1">
      <t>ヒト</t>
    </rPh>
    <phoneticPr fontId="1"/>
  </si>
  <si>
    <t>女性</t>
    <rPh sb="0" eb="2">
      <t>ジョセイ</t>
    </rPh>
    <phoneticPr fontId="1"/>
  </si>
  <si>
    <t>（</t>
    <phoneticPr fontId="1"/>
  </si>
  <si>
    <t>合計</t>
    <rPh sb="0" eb="2">
      <t>ゴウケイ</t>
    </rPh>
    <phoneticPr fontId="1"/>
  </si>
  <si>
    <t>）</t>
    <phoneticPr fontId="1"/>
  </si>
  <si>
    <t>令和９年度予定</t>
    <rPh sb="0" eb="2">
      <t>レイワ</t>
    </rPh>
    <rPh sb="3" eb="5">
      <t>ネンド</t>
    </rPh>
    <rPh sb="5" eb="7">
      <t>ヨテイ</t>
    </rPh>
    <phoneticPr fontId="1"/>
  </si>
  <si>
    <t>学部・学科によって、修了要件は相違する</t>
  </si>
  <si>
    <t>① 教育プログラムの修了要件</t>
    <rPh sb="2" eb="4">
      <t>キョウイク</t>
    </rPh>
    <rPh sb="10" eb="14">
      <t>シュウリョウヨウケン</t>
    </rPh>
    <phoneticPr fontId="1"/>
  </si>
  <si>
    <t>② 対象となる学部・学科名称</t>
    <phoneticPr fontId="1"/>
  </si>
  <si>
    <t>必要最低科目数・単位数</t>
    <rPh sb="4" eb="7">
      <t>カモクスウ</t>
    </rPh>
    <phoneticPr fontId="1"/>
  </si>
  <si>
    <t>③履修者・修了者の実績</t>
    <rPh sb="1" eb="3">
      <t>リシュウ</t>
    </rPh>
    <rPh sb="3" eb="4">
      <t>シャ</t>
    </rPh>
    <rPh sb="5" eb="8">
      <t>シュウリョウシャ</t>
    </rPh>
    <rPh sb="9" eb="11">
      <t>ジッセキ</t>
    </rPh>
    <phoneticPr fontId="1"/>
  </si>
  <si>
    <t>内容・水準を維持・向上しつつ、より「分かりやすい」授業とすること
※社会の変化や生成AI等の技術の発展を踏まえて教育内容を継続的に見直すなど、より教育効果の高まる授業内容・方法とするための取組や仕組みについても該当があれば記載</t>
    <rPh sb="0" eb="2">
      <t>ナイヨウ</t>
    </rPh>
    <rPh sb="3" eb="5">
      <t>スイジュン</t>
    </rPh>
    <rPh sb="6" eb="8">
      <t>イジ</t>
    </rPh>
    <rPh sb="9" eb="11">
      <t>コウジョウ</t>
    </rPh>
    <rPh sb="18" eb="19">
      <t>ワ</t>
    </rPh>
    <rPh sb="25" eb="27">
      <t>ジュギョウ</t>
    </rPh>
    <rPh sb="50" eb="52">
      <t>ハッテン</t>
    </rPh>
    <rPh sb="74" eb="76">
      <t>キョウイク</t>
    </rPh>
    <rPh sb="76" eb="78">
      <t>コウカ</t>
    </rPh>
    <rPh sb="79" eb="80">
      <t>タカ</t>
    </rPh>
    <rPh sb="82" eb="84">
      <t>ジュギョウ</t>
    </rPh>
    <rPh sb="84" eb="86">
      <t>ナイヨウ</t>
    </rPh>
    <rPh sb="87" eb="89">
      <t>ホウホウ</t>
    </rPh>
    <rPh sb="95" eb="97">
      <t>トリクミ</t>
    </rPh>
    <rPh sb="98" eb="100">
      <t>シク</t>
    </rPh>
    <rPh sb="106" eb="108">
      <t>ガイトウ</t>
    </rPh>
    <rPh sb="112" eb="114">
      <t>キサイ</t>
    </rPh>
    <phoneticPr fontId="1"/>
  </si>
  <si>
    <t>令和６年度以前より、履修することが必須のプログラムとして実施</t>
    <rPh sb="0" eb="2">
      <t>レイワ</t>
    </rPh>
    <rPh sb="3" eb="5">
      <t>ネンド</t>
    </rPh>
    <rPh sb="5" eb="7">
      <t>イゼン</t>
    </rPh>
    <phoneticPr fontId="1"/>
  </si>
  <si>
    <t>令和９年度までに履修必須とする計画</t>
    <rPh sb="3" eb="4">
      <t>ネン</t>
    </rPh>
    <phoneticPr fontId="1"/>
  </si>
  <si>
    <t>令和１０年度以降に履修必須とする計画、又は未定</t>
    <rPh sb="19" eb="20">
      <t>マタ</t>
    </rPh>
    <rPh sb="21" eb="23">
      <t>ミテイ</t>
    </rPh>
    <phoneticPr fontId="1"/>
  </si>
  <si>
    <t>年度（和暦）</t>
    <rPh sb="0" eb="2">
      <t>ネンド</t>
    </rPh>
    <rPh sb="3" eb="5">
      <t>ワレキ</t>
    </rPh>
    <phoneticPr fontId="1"/>
  </si>
  <si>
    <t>令和6年度</t>
    <rPh sb="0" eb="2">
      <t>レイワ</t>
    </rPh>
    <rPh sb="3" eb="5">
      <t>ネンド</t>
    </rPh>
    <phoneticPr fontId="1"/>
  </si>
  <si>
    <t>令和元年度</t>
    <rPh sb="0" eb="2">
      <t>レイワ</t>
    </rPh>
    <rPh sb="2" eb="4">
      <t>ガンネン</t>
    </rPh>
    <rPh sb="4" eb="5">
      <t>ド</t>
    </rPh>
    <phoneticPr fontId="1"/>
  </si>
  <si>
    <t>（令和６年５月１日時点）</t>
    <rPh sb="1" eb="3">
      <t>レイワ</t>
    </rPh>
    <rPh sb="4" eb="5">
      <t>ネン</t>
    </rPh>
    <rPh sb="6" eb="7">
      <t>ガツ</t>
    </rPh>
    <rPh sb="8" eb="9">
      <t>ニチ</t>
    </rPh>
    <rPh sb="9" eb="11">
      <t>ジテン</t>
    </rPh>
    <phoneticPr fontId="1"/>
  </si>
  <si>
    <t>令和６年度実績</t>
    <rPh sb="0" eb="2">
      <t>レイワ</t>
    </rPh>
    <rPh sb="3" eb="5">
      <t>ネンド</t>
    </rPh>
    <rPh sb="5" eb="7">
      <t>ジッセキ</t>
    </rPh>
    <phoneticPr fontId="1"/>
  </si>
  <si>
    <t>令和１０年度予定</t>
    <rPh sb="0" eb="2">
      <t>レイワ</t>
    </rPh>
    <rPh sb="4" eb="6">
      <t>ネンド</t>
    </rPh>
    <rPh sb="6" eb="8">
      <t>ヨテイ</t>
    </rPh>
    <phoneticPr fontId="1"/>
  </si>
  <si>
    <t>4‐2アルゴリズム基礎</t>
    <phoneticPr fontId="1"/>
  </si>
  <si>
    <t>4‐3データ構造とプログラミング基礎</t>
    <phoneticPr fontId="1"/>
  </si>
  <si>
    <t>4‐4時系列データ解析</t>
    <phoneticPr fontId="1"/>
  </si>
  <si>
    <t>4‐7データハンドリング</t>
    <phoneticPr fontId="1"/>
  </si>
  <si>
    <t>4‐8データ活用実践（教師あり学習）</t>
    <phoneticPr fontId="1"/>
  </si>
  <si>
    <t>4‐9データ活用実践（教師なし学習）</t>
    <phoneticPr fontId="1"/>
  </si>
  <si>
    <t>その他</t>
    <phoneticPr fontId="1"/>
  </si>
  <si>
    <t>4-1統計および数理基礎</t>
    <phoneticPr fontId="1"/>
  </si>
  <si>
    <t>4‐5自然言語処理</t>
    <rPh sb="3" eb="5">
      <t>シゼン</t>
    </rPh>
    <rPh sb="5" eb="7">
      <t>ゲンゴ</t>
    </rPh>
    <rPh sb="7" eb="9">
      <t>ショリ</t>
    </rPh>
    <phoneticPr fontId="1"/>
  </si>
  <si>
    <t>4‐6画像認識</t>
    <rPh sb="5" eb="7">
      <t>ニンシキ</t>
    </rPh>
    <phoneticPr fontId="1"/>
  </si>
  <si>
    <t>リテラシーレベルのプログラムを構成する授業科目について</t>
    <phoneticPr fontId="1"/>
  </si>
  <si>
    <t>リテラシーレベルのプログラムの履修者数等の実績について</t>
    <phoneticPr fontId="1"/>
  </si>
  <si>
    <t>酪農学園大学</t>
    <rPh sb="0" eb="2">
      <t>ラクノウ</t>
    </rPh>
    <rPh sb="2" eb="4">
      <t>ガクエン</t>
    </rPh>
    <rPh sb="4" eb="6">
      <t>ダイガク</t>
    </rPh>
    <phoneticPr fontId="1"/>
  </si>
  <si>
    <t>酪農学園大学 数理・データサイエンス・AI教育プログラム</t>
    <rPh sb="0" eb="2">
      <t>ラクノウ</t>
    </rPh>
    <rPh sb="2" eb="4">
      <t>ガクエン</t>
    </rPh>
    <rPh sb="4" eb="6">
      <t>ダイガク</t>
    </rPh>
    <rPh sb="7" eb="9">
      <t>スウリ</t>
    </rPh>
    <rPh sb="21" eb="23">
      <t>キョウイク</t>
    </rPh>
    <phoneticPr fontId="1"/>
  </si>
  <si>
    <t>情報科学の基礎</t>
    <rPh sb="0" eb="2">
      <t>ジョウホウ</t>
    </rPh>
    <rPh sb="2" eb="4">
      <t>カガク</t>
    </rPh>
    <rPh sb="5" eb="7">
      <t>キソ</t>
    </rPh>
    <phoneticPr fontId="1"/>
  </si>
  <si>
    <t>○</t>
  </si>
  <si>
    <t>情報科学の基礎</t>
    <rPh sb="0" eb="4">
      <t>ジョウホウカガク</t>
    </rPh>
    <rPh sb="5" eb="7">
      <t>キソ</t>
    </rPh>
    <phoneticPr fontId="1"/>
  </si>
  <si>
    <t>情報処理基礎演習</t>
    <rPh sb="0" eb="2">
      <t>ジョウホウ</t>
    </rPh>
    <rPh sb="2" eb="4">
      <t>ショリ</t>
    </rPh>
    <rPh sb="4" eb="6">
      <t>キソ</t>
    </rPh>
    <rPh sb="6" eb="8">
      <t>エンシュウ</t>
    </rPh>
    <phoneticPr fontId="1"/>
  </si>
  <si>
    <t>統計学Ⅰ</t>
    <rPh sb="0" eb="3">
      <t>トウケイガク</t>
    </rPh>
    <phoneticPr fontId="1"/>
  </si>
  <si>
    <t>統計学Ⅱ</t>
    <rPh sb="0" eb="3">
      <t>トウケイガク</t>
    </rPh>
    <phoneticPr fontId="1"/>
  </si>
  <si>
    <t>①統計データを整理・解釈し、「データを読む、説明する、扱う」といった数理・データサイエンス・AIの基本的な活用法を身に付ける。
②数理・データサイエンス・AIがもたらす社会変化を理解する。
③データ・AIの利活用の現場や、そこで使用されている技術を理解する。
④データ・AIを利活用する際の留意事項を理解する。</t>
    <rPh sb="1" eb="3">
      <t>トウケイ</t>
    </rPh>
    <rPh sb="7" eb="9">
      <t>セイリ</t>
    </rPh>
    <rPh sb="10" eb="12">
      <t>カイシャク</t>
    </rPh>
    <rPh sb="19" eb="20">
      <t>ヨ</t>
    </rPh>
    <rPh sb="22" eb="24">
      <t>セツメイ</t>
    </rPh>
    <rPh sb="27" eb="28">
      <t>アツカ</t>
    </rPh>
    <rPh sb="34" eb="36">
      <t>スウリ</t>
    </rPh>
    <rPh sb="49" eb="52">
      <t>キホンテキ</t>
    </rPh>
    <rPh sb="53" eb="56">
      <t>カツヨウホウ</t>
    </rPh>
    <rPh sb="57" eb="58">
      <t>ミ</t>
    </rPh>
    <rPh sb="59" eb="60">
      <t>ツ</t>
    </rPh>
    <rPh sb="65" eb="67">
      <t>スウリ</t>
    </rPh>
    <rPh sb="84" eb="86">
      <t>シャカイ</t>
    </rPh>
    <rPh sb="86" eb="88">
      <t>ヘンカ</t>
    </rPh>
    <rPh sb="89" eb="91">
      <t>リカイ</t>
    </rPh>
    <rPh sb="103" eb="106">
      <t>リカツヨウ</t>
    </rPh>
    <rPh sb="107" eb="109">
      <t>ゲンバ</t>
    </rPh>
    <rPh sb="114" eb="116">
      <t>シヨウ</t>
    </rPh>
    <rPh sb="121" eb="123">
      <t>ギジュツ</t>
    </rPh>
    <rPh sb="124" eb="126">
      <t>リカイ</t>
    </rPh>
    <rPh sb="138" eb="141">
      <t>リカツヨウ</t>
    </rPh>
    <rPh sb="143" eb="144">
      <t>サイ</t>
    </rPh>
    <rPh sb="145" eb="147">
      <t>リュウイ</t>
    </rPh>
    <rPh sb="147" eb="149">
      <t>ジコウ</t>
    </rPh>
    <rPh sb="150" eb="152">
      <t>リカイ</t>
    </rPh>
    <phoneticPr fontId="1"/>
  </si>
  <si>
    <t>科目「情報科学の基礎」
〇倫理的・法的・社会的課題、個人情報保護（第14回）</t>
    <rPh sb="0" eb="2">
      <t>カモク</t>
    </rPh>
    <rPh sb="3" eb="5">
      <t>ジョウホウ</t>
    </rPh>
    <rPh sb="5" eb="7">
      <t>カガク</t>
    </rPh>
    <rPh sb="8" eb="10">
      <t>キソ</t>
    </rPh>
    <rPh sb="13" eb="16">
      <t>リンリテキ</t>
    </rPh>
    <rPh sb="17" eb="19">
      <t>ホウテキ</t>
    </rPh>
    <rPh sb="20" eb="23">
      <t>シャカイテキ</t>
    </rPh>
    <rPh sb="23" eb="25">
      <t>カダイ</t>
    </rPh>
    <rPh sb="26" eb="28">
      <t>コジン</t>
    </rPh>
    <rPh sb="28" eb="30">
      <t>ジョウホウ</t>
    </rPh>
    <rPh sb="30" eb="32">
      <t>ホゴ</t>
    </rPh>
    <rPh sb="33" eb="34">
      <t>ダイ</t>
    </rPh>
    <rPh sb="36" eb="37">
      <t>カイ</t>
    </rPh>
    <phoneticPr fontId="1"/>
  </si>
  <si>
    <t xml:space="preserve">科目「情報科学の基礎」
〇情報セキリュティの３要素（機密性、完全性、可用性）（第13回）
</t>
    <rPh sb="0" eb="2">
      <t>カモク</t>
    </rPh>
    <rPh sb="3" eb="5">
      <t>ジョウホウ</t>
    </rPh>
    <rPh sb="5" eb="7">
      <t>カガク</t>
    </rPh>
    <rPh sb="8" eb="10">
      <t>キソ</t>
    </rPh>
    <rPh sb="13" eb="15">
      <t>ジョウホウ</t>
    </rPh>
    <rPh sb="23" eb="25">
      <t>ヨウソ</t>
    </rPh>
    <rPh sb="26" eb="29">
      <t>キミツセイ</t>
    </rPh>
    <rPh sb="30" eb="33">
      <t>カンゼンセイ</t>
    </rPh>
    <rPh sb="34" eb="37">
      <t>カヨウセイ</t>
    </rPh>
    <rPh sb="39" eb="40">
      <t>ダイ</t>
    </rPh>
    <rPh sb="42" eb="43">
      <t>カイ</t>
    </rPh>
    <phoneticPr fontId="1"/>
  </si>
  <si>
    <t>科目「情報処理基礎演習」
〇データ表現（棒グラフ、折線グラフ、散布図、ヒートマップ、箱ひげ図）（第９回・第12回）
〇相手に的確かつ正確に情報を伝える技術や考え方（スライド作成、プレゼンテーションなど）（第13回・第14回）</t>
    <rPh sb="0" eb="2">
      <t>カモク</t>
    </rPh>
    <rPh sb="3" eb="5">
      <t>ジョウホウ</t>
    </rPh>
    <rPh sb="5" eb="7">
      <t>ショリ</t>
    </rPh>
    <rPh sb="7" eb="9">
      <t>キソ</t>
    </rPh>
    <rPh sb="9" eb="11">
      <t>エンシュウ</t>
    </rPh>
    <rPh sb="17" eb="19">
      <t>ヒョウゲン</t>
    </rPh>
    <rPh sb="20" eb="21">
      <t>ボウ</t>
    </rPh>
    <rPh sb="25" eb="27">
      <t>オレセン</t>
    </rPh>
    <rPh sb="31" eb="33">
      <t>サンプ</t>
    </rPh>
    <rPh sb="33" eb="34">
      <t>ズ</t>
    </rPh>
    <rPh sb="42" eb="43">
      <t>ハコ</t>
    </rPh>
    <rPh sb="45" eb="46">
      <t>ズ</t>
    </rPh>
    <rPh sb="48" eb="49">
      <t>ダイ</t>
    </rPh>
    <rPh sb="50" eb="51">
      <t>カイ</t>
    </rPh>
    <rPh sb="52" eb="53">
      <t>ダイ</t>
    </rPh>
    <rPh sb="55" eb="56">
      <t>カイ</t>
    </rPh>
    <rPh sb="59" eb="61">
      <t>アイテ</t>
    </rPh>
    <rPh sb="62" eb="64">
      <t>テキカク</t>
    </rPh>
    <rPh sb="66" eb="68">
      <t>セイカク</t>
    </rPh>
    <rPh sb="69" eb="71">
      <t>ジョウホウ</t>
    </rPh>
    <rPh sb="72" eb="73">
      <t>ツタ</t>
    </rPh>
    <rPh sb="75" eb="77">
      <t>ギジュツ</t>
    </rPh>
    <rPh sb="78" eb="79">
      <t>カンガ</t>
    </rPh>
    <rPh sb="80" eb="81">
      <t>カタ</t>
    </rPh>
    <rPh sb="86" eb="88">
      <t>サクセイ</t>
    </rPh>
    <rPh sb="102" eb="103">
      <t>ダイ</t>
    </rPh>
    <rPh sb="105" eb="106">
      <t>カイ</t>
    </rPh>
    <rPh sb="107" eb="108">
      <t>ダイ</t>
    </rPh>
    <rPh sb="110" eb="111">
      <t>カイ</t>
    </rPh>
    <phoneticPr fontId="1"/>
  </si>
  <si>
    <t>科目「情報処理基礎演習」
〇データの集計（和、平均）、データの並び替え、ランキング（第７回）</t>
    <rPh sb="0" eb="2">
      <t>カモク</t>
    </rPh>
    <rPh sb="3" eb="5">
      <t>ジョウホウ</t>
    </rPh>
    <rPh sb="5" eb="7">
      <t>ショリ</t>
    </rPh>
    <rPh sb="7" eb="9">
      <t>キソ</t>
    </rPh>
    <rPh sb="9" eb="11">
      <t>エンシュウ</t>
    </rPh>
    <rPh sb="18" eb="20">
      <t>シュウケイ</t>
    </rPh>
    <rPh sb="21" eb="22">
      <t>ワ</t>
    </rPh>
    <rPh sb="23" eb="25">
      <t>ヘイキン</t>
    </rPh>
    <rPh sb="31" eb="32">
      <t>ナラ</t>
    </rPh>
    <rPh sb="33" eb="34">
      <t>カ</t>
    </rPh>
    <rPh sb="42" eb="43">
      <t>ダイ</t>
    </rPh>
    <rPh sb="44" eb="45">
      <t>カイ</t>
    </rPh>
    <phoneticPr fontId="1"/>
  </si>
  <si>
    <t>科目「情報科学の基礎」
〇AI最新技術の活用例（深層生成モデル、強化学習、転移学習、生成AIなど）（第12回）</t>
    <rPh sb="0" eb="2">
      <t>カモク</t>
    </rPh>
    <rPh sb="3" eb="5">
      <t>ジョウホウ</t>
    </rPh>
    <rPh sb="5" eb="7">
      <t>カガク</t>
    </rPh>
    <rPh sb="8" eb="10">
      <t>キソ</t>
    </rPh>
    <rPh sb="15" eb="17">
      <t>サイシン</t>
    </rPh>
    <rPh sb="17" eb="19">
      <t>ギジュツ</t>
    </rPh>
    <rPh sb="20" eb="22">
      <t>カツヨウ</t>
    </rPh>
    <rPh sb="22" eb="23">
      <t>レイ</t>
    </rPh>
    <rPh sb="24" eb="26">
      <t>シンソウ</t>
    </rPh>
    <rPh sb="26" eb="28">
      <t>セイセイ</t>
    </rPh>
    <rPh sb="32" eb="34">
      <t>キョウカ</t>
    </rPh>
    <rPh sb="34" eb="36">
      <t>ガクシュウ</t>
    </rPh>
    <rPh sb="37" eb="39">
      <t>テンイ</t>
    </rPh>
    <rPh sb="39" eb="41">
      <t>ガクシュウ</t>
    </rPh>
    <rPh sb="42" eb="44">
      <t>セイセイ</t>
    </rPh>
    <rPh sb="50" eb="51">
      <t>ダイ</t>
    </rPh>
    <rPh sb="53" eb="54">
      <t>カイ</t>
    </rPh>
    <phoneticPr fontId="1"/>
  </si>
  <si>
    <t>科目「情報科学の基礎」
〇教育、芸術、流通、製造、金融、サービス、インフラ、公共、ヘルスケア等におけるデータ・AI利活用事例紹介（第12回）</t>
    <rPh sb="0" eb="2">
      <t>カモク</t>
    </rPh>
    <rPh sb="3" eb="5">
      <t>ジョウホウ</t>
    </rPh>
    <rPh sb="5" eb="7">
      <t>カガク</t>
    </rPh>
    <rPh sb="8" eb="10">
      <t>キソ</t>
    </rPh>
    <rPh sb="13" eb="15">
      <t>キョウイク</t>
    </rPh>
    <rPh sb="16" eb="18">
      <t>ゲイジュツ</t>
    </rPh>
    <rPh sb="19" eb="21">
      <t>リュウツウ</t>
    </rPh>
    <rPh sb="22" eb="24">
      <t>セイゾウ</t>
    </rPh>
    <rPh sb="25" eb="27">
      <t>キンユウ</t>
    </rPh>
    <rPh sb="38" eb="40">
      <t>コウキョウ</t>
    </rPh>
    <rPh sb="46" eb="47">
      <t>トウ</t>
    </rPh>
    <rPh sb="57" eb="60">
      <t>リカツヨウ</t>
    </rPh>
    <rPh sb="60" eb="62">
      <t>ジレイ</t>
    </rPh>
    <rPh sb="62" eb="64">
      <t>ショウカイ</t>
    </rPh>
    <rPh sb="65" eb="66">
      <t>ダイ</t>
    </rPh>
    <rPh sb="68" eb="69">
      <t>カイ</t>
    </rPh>
    <phoneticPr fontId="1"/>
  </si>
  <si>
    <t xml:space="preserve">科目「情報科学の基礎」
〇ビッグデータ、IoT、AI、生成AI、ロボット（第１回）
</t>
    <rPh sb="0" eb="2">
      <t>カモク</t>
    </rPh>
    <rPh sb="3" eb="5">
      <t>ジョウホウ</t>
    </rPh>
    <rPh sb="5" eb="7">
      <t>カガク</t>
    </rPh>
    <rPh sb="8" eb="10">
      <t>キソ</t>
    </rPh>
    <rPh sb="27" eb="29">
      <t>セイセイ</t>
    </rPh>
    <rPh sb="37" eb="38">
      <t>ダイ</t>
    </rPh>
    <rPh sb="39" eb="40">
      <t>カイ</t>
    </rPh>
    <phoneticPr fontId="1"/>
  </si>
  <si>
    <t>令和６</t>
    <rPh sb="0" eb="2">
      <t>レイワ</t>
    </rPh>
    <phoneticPr fontId="1"/>
  </si>
  <si>
    <t>農食環境学群</t>
    <rPh sb="0" eb="1">
      <t>ノウ</t>
    </rPh>
    <rPh sb="1" eb="2">
      <t>ショク</t>
    </rPh>
    <rPh sb="2" eb="4">
      <t>カンキョウ</t>
    </rPh>
    <rPh sb="4" eb="6">
      <t>ガクグン</t>
    </rPh>
    <phoneticPr fontId="1"/>
  </si>
  <si>
    <t>獣医学群獣医学類</t>
    <rPh sb="0" eb="2">
      <t>ジュウイ</t>
    </rPh>
    <rPh sb="2" eb="4">
      <t>ガクグン</t>
    </rPh>
    <rPh sb="4" eb="7">
      <t>ジュウイガク</t>
    </rPh>
    <rPh sb="7" eb="8">
      <t>ルイ</t>
    </rPh>
    <phoneticPr fontId="1"/>
  </si>
  <si>
    <t>獣医学群獣医保健看護学類</t>
    <rPh sb="0" eb="2">
      <t>ジュウイ</t>
    </rPh>
    <rPh sb="2" eb="4">
      <t>ガクグン</t>
    </rPh>
    <rPh sb="4" eb="6">
      <t>ジュウイ</t>
    </rPh>
    <rPh sb="6" eb="8">
      <t>ホケン</t>
    </rPh>
    <rPh sb="8" eb="10">
      <t>カンゴ</t>
    </rPh>
    <rPh sb="10" eb="11">
      <t>ガク</t>
    </rPh>
    <rPh sb="11" eb="12">
      <t>ルイ</t>
    </rPh>
    <phoneticPr fontId="1"/>
  </si>
  <si>
    <t>上野　岳史</t>
    <rPh sb="0" eb="2">
      <t>ウエノ</t>
    </rPh>
    <rPh sb="3" eb="4">
      <t>ガク</t>
    </rPh>
    <rPh sb="4" eb="5">
      <t>フミ</t>
    </rPh>
    <phoneticPr fontId="1"/>
  </si>
  <si>
    <t>教育センター長</t>
    <rPh sb="0" eb="2">
      <t>キョウイク</t>
    </rPh>
    <rPh sb="6" eb="7">
      <t>チョウ</t>
    </rPh>
    <phoneticPr fontId="1"/>
  </si>
  <si>
    <t>酪農学園大学数理・データサイエンス・AI教育プログラム推進委員会</t>
    <rPh sb="0" eb="2">
      <t>ラクノウ</t>
    </rPh>
    <rPh sb="2" eb="4">
      <t>ガクエン</t>
    </rPh>
    <rPh sb="4" eb="6">
      <t>ダイガク</t>
    </rPh>
    <rPh sb="6" eb="8">
      <t>スウリ</t>
    </rPh>
    <rPh sb="20" eb="22">
      <t>キョウイク</t>
    </rPh>
    <rPh sb="27" eb="29">
      <t>スイシン</t>
    </rPh>
    <rPh sb="29" eb="32">
      <t>イインカイ</t>
    </rPh>
    <phoneticPr fontId="1"/>
  </si>
  <si>
    <t>酪農学園大学教務委員会規程及び酪農学園大学数理・データサイエンス・AI教育プログラム推進委員会運営要領</t>
    <rPh sb="0" eb="2">
      <t>ラクノウ</t>
    </rPh>
    <rPh sb="2" eb="4">
      <t>ガクエン</t>
    </rPh>
    <rPh sb="4" eb="6">
      <t>ダイガク</t>
    </rPh>
    <rPh sb="6" eb="8">
      <t>キョウム</t>
    </rPh>
    <rPh sb="8" eb="11">
      <t>イインカイ</t>
    </rPh>
    <rPh sb="11" eb="13">
      <t>キテイ</t>
    </rPh>
    <rPh sb="13" eb="14">
      <t>オヨ</t>
    </rPh>
    <rPh sb="47" eb="49">
      <t>ウンエイ</t>
    </rPh>
    <rPh sb="49" eb="51">
      <t>ヨウリョウ</t>
    </rPh>
    <phoneticPr fontId="1"/>
  </si>
  <si>
    <t>教育センター長
　農食環境学群食と健康学類　教授　上野　岳史
学長が指名する教員３名
　農食環境学群循環農学類　講師　毛利　泰大
　農食環境学群環境共生学類　教授　星野　仏方
　獣医学群獣医学類　准教授　安井　由美子
教務課長　中村　隆文</t>
    <rPh sb="0" eb="2">
      <t>キョウイク</t>
    </rPh>
    <rPh sb="6" eb="7">
      <t>チョウ</t>
    </rPh>
    <rPh sb="9" eb="10">
      <t>ノウ</t>
    </rPh>
    <rPh sb="10" eb="11">
      <t>ショク</t>
    </rPh>
    <rPh sb="11" eb="13">
      <t>カンキョウ</t>
    </rPh>
    <rPh sb="13" eb="15">
      <t>ガクグン</t>
    </rPh>
    <rPh sb="15" eb="16">
      <t>ショク</t>
    </rPh>
    <rPh sb="17" eb="19">
      <t>ケンコウ</t>
    </rPh>
    <rPh sb="19" eb="20">
      <t>ガク</t>
    </rPh>
    <rPh sb="20" eb="21">
      <t>ルイ</t>
    </rPh>
    <rPh sb="22" eb="24">
      <t>キョウジュ</t>
    </rPh>
    <rPh sb="25" eb="27">
      <t>ウエノ</t>
    </rPh>
    <rPh sb="28" eb="29">
      <t>ガク</t>
    </rPh>
    <rPh sb="29" eb="30">
      <t>フミ</t>
    </rPh>
    <rPh sb="31" eb="33">
      <t>ガクチョウ</t>
    </rPh>
    <rPh sb="34" eb="36">
      <t>シメイ</t>
    </rPh>
    <rPh sb="38" eb="40">
      <t>キョウイン</t>
    </rPh>
    <rPh sb="41" eb="42">
      <t>メイ</t>
    </rPh>
    <rPh sb="44" eb="45">
      <t>ノウ</t>
    </rPh>
    <rPh sb="45" eb="46">
      <t>ショク</t>
    </rPh>
    <rPh sb="46" eb="48">
      <t>カンキョウ</t>
    </rPh>
    <rPh sb="48" eb="50">
      <t>ガクグン</t>
    </rPh>
    <rPh sb="50" eb="52">
      <t>ジュンカン</t>
    </rPh>
    <rPh sb="52" eb="53">
      <t>ノウ</t>
    </rPh>
    <rPh sb="53" eb="54">
      <t>ガク</t>
    </rPh>
    <rPh sb="54" eb="55">
      <t>ルイ</t>
    </rPh>
    <rPh sb="56" eb="58">
      <t>コウシ</t>
    </rPh>
    <rPh sb="59" eb="61">
      <t>モウリ</t>
    </rPh>
    <rPh sb="109" eb="112">
      <t>キョウムカ</t>
    </rPh>
    <rPh sb="112" eb="113">
      <t>チョウ</t>
    </rPh>
    <rPh sb="114" eb="116">
      <t>ナカムラ</t>
    </rPh>
    <rPh sb="117" eb="119">
      <t>タカフミ</t>
    </rPh>
    <phoneticPr fontId="1"/>
  </si>
  <si>
    <t>酪農学園大学数理・データサイエンス・AI教育プログラム推進委員会</t>
    <phoneticPr fontId="1"/>
  </si>
  <si>
    <t>様式１－１</t>
    <rPh sb="0" eb="2">
      <t>ヨウシキ</t>
    </rPh>
    <phoneticPr fontId="1"/>
  </si>
  <si>
    <t>様式１－２</t>
    <rPh sb="0" eb="2">
      <t>ヨウシキ</t>
    </rPh>
    <phoneticPr fontId="1"/>
  </si>
  <si>
    <t>以下の対象科目の単位を修得すること。
・情報科学の基礎　２単位
・情報処理基礎演習　１単位
・統計学Ⅰ　２単位</t>
    <rPh sb="0" eb="2">
      <t>イカ</t>
    </rPh>
    <rPh sb="3" eb="5">
      <t>タイショウ</t>
    </rPh>
    <rPh sb="5" eb="7">
      <t>カモク</t>
    </rPh>
    <rPh sb="8" eb="10">
      <t>タンイ</t>
    </rPh>
    <rPh sb="11" eb="13">
      <t>シュウトク</t>
    </rPh>
    <rPh sb="20" eb="22">
      <t>ジョウホウ</t>
    </rPh>
    <rPh sb="22" eb="24">
      <t>カガク</t>
    </rPh>
    <rPh sb="25" eb="27">
      <t>キソ</t>
    </rPh>
    <rPh sb="29" eb="31">
      <t>タンイ</t>
    </rPh>
    <rPh sb="33" eb="35">
      <t>ジョウホウ</t>
    </rPh>
    <rPh sb="35" eb="37">
      <t>ショリ</t>
    </rPh>
    <rPh sb="37" eb="39">
      <t>キソ</t>
    </rPh>
    <rPh sb="39" eb="41">
      <t>エンシュウ</t>
    </rPh>
    <rPh sb="43" eb="45">
      <t>タンイ</t>
    </rPh>
    <rPh sb="47" eb="50">
      <t>トウケイガク</t>
    </rPh>
    <rPh sb="53" eb="55">
      <t>タンイ</t>
    </rPh>
    <phoneticPr fontId="1"/>
  </si>
  <si>
    <t>科目「情報科学の基礎」
〇データ・AI活用領域の広がり(生産、消費、文化活動など)（第１回）</t>
    <rPh sb="0" eb="2">
      <t>カモク</t>
    </rPh>
    <rPh sb="3" eb="7">
      <t>ジョウホウカガク</t>
    </rPh>
    <rPh sb="8" eb="10">
      <t>キソ</t>
    </rPh>
    <rPh sb="42" eb="43">
      <t>ダイ</t>
    </rPh>
    <rPh sb="44" eb="45">
      <t>カイ</t>
    </rPh>
    <phoneticPr fontId="1"/>
  </si>
  <si>
    <t>科目「統計学Ⅰ」
〇データの分布（ヒストグラム）と代表値（平均値、中央値、最頻値）（第３回）
〇データのばらつき（分散、標準偏差、偏差値）（第４回）
〇相関と因果（相関係数、疑似関数、交絡）（第５回）</t>
    <rPh sb="0" eb="2">
      <t>カモク</t>
    </rPh>
    <rPh sb="3" eb="6">
      <t>トウケイガク</t>
    </rPh>
    <rPh sb="14" eb="16">
      <t>ブンプ</t>
    </rPh>
    <rPh sb="25" eb="27">
      <t>ダイヒョウ</t>
    </rPh>
    <rPh sb="27" eb="28">
      <t>アタイ</t>
    </rPh>
    <rPh sb="29" eb="32">
      <t>ヘイキンチ</t>
    </rPh>
    <rPh sb="33" eb="35">
      <t>チュウオウ</t>
    </rPh>
    <rPh sb="35" eb="36">
      <t>チ</t>
    </rPh>
    <rPh sb="37" eb="40">
      <t>サイヒンチ</t>
    </rPh>
    <rPh sb="42" eb="43">
      <t>ダイ</t>
    </rPh>
    <rPh sb="44" eb="45">
      <t>カイ</t>
    </rPh>
    <rPh sb="57" eb="59">
      <t>ブンサン</t>
    </rPh>
    <rPh sb="60" eb="62">
      <t>ヒョウジュン</t>
    </rPh>
    <rPh sb="62" eb="64">
      <t>ヘンサ</t>
    </rPh>
    <rPh sb="65" eb="68">
      <t>ヘンサチ</t>
    </rPh>
    <rPh sb="70" eb="71">
      <t>ダイ</t>
    </rPh>
    <rPh sb="72" eb="73">
      <t>カイ</t>
    </rPh>
    <rPh sb="76" eb="78">
      <t>ソウカン</t>
    </rPh>
    <rPh sb="79" eb="81">
      <t>インガ</t>
    </rPh>
    <rPh sb="82" eb="84">
      <t>ソウカン</t>
    </rPh>
    <rPh sb="84" eb="86">
      <t>ケイスウ</t>
    </rPh>
    <rPh sb="87" eb="89">
      <t>ギジ</t>
    </rPh>
    <rPh sb="89" eb="91">
      <t>カンスウ</t>
    </rPh>
    <rPh sb="92" eb="93">
      <t>マジ</t>
    </rPh>
    <rPh sb="93" eb="94">
      <t>カラ</t>
    </rPh>
    <rPh sb="96" eb="97">
      <t>ダイ</t>
    </rPh>
    <rPh sb="98" eb="99">
      <t>カイ</t>
    </rPh>
    <phoneticPr fontId="1"/>
  </si>
  <si>
    <t>獣医学群</t>
    <rPh sb="0" eb="2">
      <t>ジュウイ</t>
    </rPh>
    <rPh sb="2" eb="4">
      <t>ガクグン</t>
    </rPh>
    <phoneticPr fontId="1"/>
  </si>
  <si>
    <t>以下の対象科目の単位を修得すること。
・情報科学の基礎　２単位
・情報処理基礎演習　１単位
・統計学Ⅱ　２単位</t>
    <rPh sb="0" eb="2">
      <t>イカ</t>
    </rPh>
    <rPh sb="3" eb="5">
      <t>タイショウ</t>
    </rPh>
    <rPh sb="5" eb="7">
      <t>カモク</t>
    </rPh>
    <rPh sb="8" eb="10">
      <t>タンイ</t>
    </rPh>
    <rPh sb="11" eb="13">
      <t>シュウトク</t>
    </rPh>
    <rPh sb="20" eb="22">
      <t>ジョウホウ</t>
    </rPh>
    <rPh sb="22" eb="24">
      <t>カガク</t>
    </rPh>
    <rPh sb="25" eb="27">
      <t>キソ</t>
    </rPh>
    <rPh sb="29" eb="31">
      <t>タンイ</t>
    </rPh>
    <rPh sb="33" eb="35">
      <t>ジョウホウ</t>
    </rPh>
    <rPh sb="35" eb="37">
      <t>ショリ</t>
    </rPh>
    <rPh sb="37" eb="39">
      <t>キソ</t>
    </rPh>
    <rPh sb="39" eb="41">
      <t>エンシュウ</t>
    </rPh>
    <rPh sb="43" eb="45">
      <t>タンイ</t>
    </rPh>
    <rPh sb="47" eb="50">
      <t>トウケイガク</t>
    </rPh>
    <rPh sb="53" eb="55">
      <t>タンイ</t>
    </rPh>
    <phoneticPr fontId="1"/>
  </si>
  <si>
    <t>科目「統計学Ⅱ」
〇データの分布（ヒストグラム）と代表値（平均値、中央値、最頻値）、データのばらつき（分散、標準偏差、偏差値）、相関と因果（相関係数、疑似関数、交絡）（第２回）</t>
    <rPh sb="0" eb="2">
      <t>カモク</t>
    </rPh>
    <rPh sb="3" eb="6">
      <t>トウケイガク</t>
    </rPh>
    <phoneticPr fontId="1"/>
  </si>
  <si>
    <t>教務に関する重要な事項の協議並びに教育課程について、各学群・学類間の連絡・調整を円滑にすることを目的に設置されている「酪農学園大学教務委員会」の下に、「酪農学園大学数理・データサイエンス・AI教育プログラム（以下「プログラム」という。）」に関する事項を調査検討するための小委員会として、「酪農学園大学数理・データサイエンス・AI教育プログラム推進委員会」を設置した。
本小委員会は、プログラムの計画・策定を行い、適正に運用することを目的としており、次の事項を協議する。
（1）プログラムの開発、管理及び運営に関すること。
（2）学修支援及び情報公開に関すること。
（3）自己点検・自己評価及び改訂に関すること。
（4）その他プログラムに関すること。</t>
    <rPh sb="0" eb="2">
      <t>キョウム</t>
    </rPh>
    <rPh sb="3" eb="4">
      <t>カン</t>
    </rPh>
    <rPh sb="6" eb="8">
      <t>ジュウヨウ</t>
    </rPh>
    <rPh sb="9" eb="11">
      <t>ジコウ</t>
    </rPh>
    <rPh sb="12" eb="14">
      <t>キョウギ</t>
    </rPh>
    <rPh sb="14" eb="15">
      <t>ナラ</t>
    </rPh>
    <rPh sb="17" eb="19">
      <t>キョウイク</t>
    </rPh>
    <rPh sb="19" eb="21">
      <t>カテイ</t>
    </rPh>
    <rPh sb="26" eb="27">
      <t>カク</t>
    </rPh>
    <rPh sb="27" eb="29">
      <t>ガクグン</t>
    </rPh>
    <rPh sb="30" eb="31">
      <t>ガク</t>
    </rPh>
    <rPh sb="31" eb="32">
      <t>ルイ</t>
    </rPh>
    <rPh sb="32" eb="33">
      <t>カン</t>
    </rPh>
    <rPh sb="34" eb="36">
      <t>レンラク</t>
    </rPh>
    <rPh sb="37" eb="39">
      <t>チョウセイ</t>
    </rPh>
    <rPh sb="40" eb="42">
      <t>エンカツ</t>
    </rPh>
    <rPh sb="48" eb="50">
      <t>モクテキ</t>
    </rPh>
    <rPh sb="51" eb="53">
      <t>セッチ</t>
    </rPh>
    <rPh sb="59" eb="61">
      <t>ラクノウ</t>
    </rPh>
    <rPh sb="61" eb="63">
      <t>ガクエン</t>
    </rPh>
    <rPh sb="63" eb="65">
      <t>ダイガク</t>
    </rPh>
    <rPh sb="65" eb="67">
      <t>キョウム</t>
    </rPh>
    <rPh sb="67" eb="70">
      <t>イインカイ</t>
    </rPh>
    <rPh sb="72" eb="73">
      <t>モト</t>
    </rPh>
    <rPh sb="76" eb="78">
      <t>ラクノウ</t>
    </rPh>
    <rPh sb="78" eb="80">
      <t>ガクエン</t>
    </rPh>
    <rPh sb="80" eb="82">
      <t>ダイガク</t>
    </rPh>
    <rPh sb="82" eb="84">
      <t>スウリ</t>
    </rPh>
    <rPh sb="96" eb="98">
      <t>キョウイク</t>
    </rPh>
    <rPh sb="104" eb="106">
      <t>イカ</t>
    </rPh>
    <rPh sb="120" eb="121">
      <t>カン</t>
    </rPh>
    <rPh sb="123" eb="125">
      <t>ジコウ</t>
    </rPh>
    <rPh sb="126" eb="128">
      <t>チョウサ</t>
    </rPh>
    <rPh sb="128" eb="130">
      <t>ケントウ</t>
    </rPh>
    <rPh sb="135" eb="139">
      <t>ショウイインカイ</t>
    </rPh>
    <rPh sb="171" eb="173">
      <t>スイシン</t>
    </rPh>
    <rPh sb="173" eb="176">
      <t>イインカイ</t>
    </rPh>
    <rPh sb="178" eb="180">
      <t>セッチ</t>
    </rPh>
    <rPh sb="184" eb="185">
      <t>ホン</t>
    </rPh>
    <rPh sb="185" eb="189">
      <t>ショウイインカイ</t>
    </rPh>
    <rPh sb="197" eb="199">
      <t>ケイカク</t>
    </rPh>
    <rPh sb="200" eb="202">
      <t>サクテイ</t>
    </rPh>
    <rPh sb="203" eb="204">
      <t>オコナ</t>
    </rPh>
    <rPh sb="206" eb="208">
      <t>テキセイ</t>
    </rPh>
    <rPh sb="209" eb="211">
      <t>ウンヨウ</t>
    </rPh>
    <rPh sb="216" eb="218">
      <t>モクテキ</t>
    </rPh>
    <rPh sb="224" eb="225">
      <t>ツギ</t>
    </rPh>
    <rPh sb="226" eb="228">
      <t>ジコウ</t>
    </rPh>
    <rPh sb="229" eb="231">
      <t>キョウギ</t>
    </rPh>
    <rPh sb="244" eb="246">
      <t>カイハツ</t>
    </rPh>
    <rPh sb="247" eb="249">
      <t>カンリ</t>
    </rPh>
    <rPh sb="249" eb="250">
      <t>オヨ</t>
    </rPh>
    <rPh sb="251" eb="253">
      <t>ウンエイ</t>
    </rPh>
    <rPh sb="254" eb="255">
      <t>カン</t>
    </rPh>
    <rPh sb="264" eb="266">
      <t>ガクシュウ</t>
    </rPh>
    <rPh sb="266" eb="268">
      <t>シエン</t>
    </rPh>
    <rPh sb="268" eb="269">
      <t>オヨ</t>
    </rPh>
    <rPh sb="270" eb="272">
      <t>ジョウホウ</t>
    </rPh>
    <rPh sb="272" eb="274">
      <t>コウカイ</t>
    </rPh>
    <rPh sb="275" eb="276">
      <t>カン</t>
    </rPh>
    <rPh sb="285" eb="287">
      <t>ジコ</t>
    </rPh>
    <rPh sb="287" eb="289">
      <t>テンケン</t>
    </rPh>
    <rPh sb="290" eb="292">
      <t>ジコ</t>
    </rPh>
    <rPh sb="292" eb="294">
      <t>ヒョウカ</t>
    </rPh>
    <rPh sb="294" eb="295">
      <t>オヨ</t>
    </rPh>
    <rPh sb="296" eb="298">
      <t>カイテイ</t>
    </rPh>
    <rPh sb="299" eb="300">
      <t>カン</t>
    </rPh>
    <rPh sb="311" eb="312">
      <t>タ</t>
    </rPh>
    <rPh sb="318" eb="319">
      <t>カン</t>
    </rPh>
    <phoneticPr fontId="1"/>
  </si>
  <si>
    <t>2025年度からは、ＨＰでの周知に加え、在学生が必ず使用するｅラーニングでの周知、また、2026年４月入学者に対しては、本学入学予定者が必ず確認する「新入生サイト」において当該プログラムの概要を掲載することで、入学前から必要科目履修の意識を高める取り組みを進める。</t>
    <rPh sb="4" eb="6">
      <t>ネンド</t>
    </rPh>
    <rPh sb="14" eb="16">
      <t>シュウチ</t>
    </rPh>
    <rPh sb="17" eb="18">
      <t>クワ</t>
    </rPh>
    <rPh sb="20" eb="23">
      <t>ザイガクセイ</t>
    </rPh>
    <rPh sb="24" eb="25">
      <t>カナラ</t>
    </rPh>
    <rPh sb="26" eb="28">
      <t>シヨウ</t>
    </rPh>
    <rPh sb="38" eb="40">
      <t>シュウチ</t>
    </rPh>
    <rPh sb="48" eb="49">
      <t>ネン</t>
    </rPh>
    <rPh sb="50" eb="51">
      <t>ガツ</t>
    </rPh>
    <rPh sb="51" eb="54">
      <t>ニュウガクシャ</t>
    </rPh>
    <rPh sb="55" eb="56">
      <t>タイ</t>
    </rPh>
    <rPh sb="60" eb="62">
      <t>ホンガク</t>
    </rPh>
    <rPh sb="62" eb="64">
      <t>ニュウガク</t>
    </rPh>
    <rPh sb="64" eb="66">
      <t>ヨテイ</t>
    </rPh>
    <rPh sb="66" eb="67">
      <t>シャ</t>
    </rPh>
    <rPh sb="68" eb="69">
      <t>カナラ</t>
    </rPh>
    <rPh sb="70" eb="72">
      <t>カクニン</t>
    </rPh>
    <rPh sb="75" eb="78">
      <t>シンニュウセイ</t>
    </rPh>
    <rPh sb="86" eb="88">
      <t>トウガイ</t>
    </rPh>
    <rPh sb="94" eb="96">
      <t>ガイヨウ</t>
    </rPh>
    <rPh sb="97" eb="99">
      <t>ケイサイ</t>
    </rPh>
    <rPh sb="105" eb="108">
      <t>ニュウガクマエ</t>
    </rPh>
    <rPh sb="110" eb="112">
      <t>ヒツヨウ</t>
    </rPh>
    <rPh sb="112" eb="114">
      <t>カモク</t>
    </rPh>
    <rPh sb="114" eb="116">
      <t>リシュウ</t>
    </rPh>
    <rPh sb="117" eb="119">
      <t>イシキ</t>
    </rPh>
    <rPh sb="120" eb="121">
      <t>タカ</t>
    </rPh>
    <rPh sb="123" eb="124">
      <t>ト</t>
    </rPh>
    <rPh sb="125" eb="126">
      <t>ク</t>
    </rPh>
    <rPh sb="128" eb="129">
      <t>スス</t>
    </rPh>
    <phoneticPr fontId="1"/>
  </si>
  <si>
    <t>本学では、入学時より学生ごとに「学生担当教員」を配置し、学生の諸活動をサポートしており、その中で、教務課職員と連携した履修登録に向けた相談にも対応している。また、構内における（ほぼ）全ての建物には、無線ＬＡＮが整備され、授業中はもちろん、授業外の時間においてもインターネットの利用が可能になっており、環境面でのサポートも行っている。</t>
    <rPh sb="0" eb="2">
      <t>ホンガク</t>
    </rPh>
    <rPh sb="5" eb="7">
      <t>ニュウガク</t>
    </rPh>
    <rPh sb="7" eb="8">
      <t>ジ</t>
    </rPh>
    <rPh sb="10" eb="12">
      <t>ガクセイ</t>
    </rPh>
    <rPh sb="16" eb="18">
      <t>ガクセイ</t>
    </rPh>
    <rPh sb="18" eb="20">
      <t>タントウ</t>
    </rPh>
    <rPh sb="20" eb="22">
      <t>キョウイン</t>
    </rPh>
    <rPh sb="24" eb="26">
      <t>ハイチ</t>
    </rPh>
    <rPh sb="28" eb="30">
      <t>ガクセイ</t>
    </rPh>
    <rPh sb="31" eb="34">
      <t>ショカツドウ</t>
    </rPh>
    <rPh sb="46" eb="47">
      <t>ナカ</t>
    </rPh>
    <rPh sb="49" eb="52">
      <t>キョウムカ</t>
    </rPh>
    <rPh sb="52" eb="54">
      <t>ショクイン</t>
    </rPh>
    <rPh sb="55" eb="57">
      <t>レンケイ</t>
    </rPh>
    <rPh sb="59" eb="61">
      <t>リシュウ</t>
    </rPh>
    <rPh sb="61" eb="63">
      <t>トウロク</t>
    </rPh>
    <rPh sb="64" eb="65">
      <t>ム</t>
    </rPh>
    <rPh sb="67" eb="69">
      <t>ソウダン</t>
    </rPh>
    <rPh sb="71" eb="73">
      <t>タイオウ</t>
    </rPh>
    <rPh sb="81" eb="83">
      <t>コウナイ</t>
    </rPh>
    <rPh sb="91" eb="92">
      <t>スベ</t>
    </rPh>
    <rPh sb="94" eb="96">
      <t>タテモノ</t>
    </rPh>
    <rPh sb="99" eb="101">
      <t>ムセン</t>
    </rPh>
    <rPh sb="105" eb="107">
      <t>セイビ</t>
    </rPh>
    <rPh sb="110" eb="113">
      <t>ジュギョウチュウ</t>
    </rPh>
    <rPh sb="119" eb="121">
      <t>ジュギョウ</t>
    </rPh>
    <rPh sb="121" eb="122">
      <t>ガイ</t>
    </rPh>
    <rPh sb="123" eb="125">
      <t>ジカン</t>
    </rPh>
    <rPh sb="138" eb="140">
      <t>リヨウ</t>
    </rPh>
    <rPh sb="141" eb="143">
      <t>カノウ</t>
    </rPh>
    <rPh sb="150" eb="153">
      <t>カンキョウメン</t>
    </rPh>
    <rPh sb="160" eb="161">
      <t>オコナ</t>
    </rPh>
    <phoneticPr fontId="1"/>
  </si>
  <si>
    <t>授業時間内での学習指導や質問等への対応は、各授業担当教員が行うことはもちろんであるが、授業時間外については、オフィスアワーの活用のほか、学生・教員・保護者が利用するポータルサイトである「ＵＮＩＰＡ」を活用することにより、オンラインでの対応も行っている。</t>
    <rPh sb="0" eb="2">
      <t>ジュギョウ</t>
    </rPh>
    <rPh sb="2" eb="4">
      <t>ジカン</t>
    </rPh>
    <rPh sb="4" eb="5">
      <t>ナイ</t>
    </rPh>
    <rPh sb="7" eb="9">
      <t>ガクシュウ</t>
    </rPh>
    <rPh sb="9" eb="11">
      <t>シドウ</t>
    </rPh>
    <rPh sb="12" eb="14">
      <t>シツモン</t>
    </rPh>
    <rPh sb="14" eb="15">
      <t>トウ</t>
    </rPh>
    <rPh sb="17" eb="19">
      <t>タイオウ</t>
    </rPh>
    <rPh sb="21" eb="24">
      <t>カクジュギョウ</t>
    </rPh>
    <rPh sb="24" eb="26">
      <t>タントウ</t>
    </rPh>
    <rPh sb="26" eb="28">
      <t>キョウイン</t>
    </rPh>
    <rPh sb="29" eb="30">
      <t>オコナ</t>
    </rPh>
    <rPh sb="43" eb="45">
      <t>ジュギョウ</t>
    </rPh>
    <rPh sb="45" eb="47">
      <t>ジカン</t>
    </rPh>
    <rPh sb="47" eb="48">
      <t>ガイ</t>
    </rPh>
    <rPh sb="62" eb="64">
      <t>カツヨウ</t>
    </rPh>
    <rPh sb="68" eb="70">
      <t>ガクセイ</t>
    </rPh>
    <rPh sb="71" eb="73">
      <t>キョウイン</t>
    </rPh>
    <rPh sb="74" eb="77">
      <t>ホゴシャ</t>
    </rPh>
    <rPh sb="78" eb="80">
      <t>リヨウ</t>
    </rPh>
    <rPh sb="100" eb="102">
      <t>カツヨウ</t>
    </rPh>
    <rPh sb="117" eb="119">
      <t>タイオウ</t>
    </rPh>
    <rPh sb="120" eb="121">
      <t>オコナ</t>
    </rPh>
    <phoneticPr fontId="1"/>
  </si>
  <si>
    <t>現時点では意見収集を行っていないが、本学においては、2026年４月に開設予定の「農環境情報学類」の届出申請準備の中で、企業への聞き取り調査を行っていることから、「情報の力」をもった人材のニーズ等を把握しながら対応を進めていきたい。</t>
    <rPh sb="0" eb="3">
      <t>ゲンジテン</t>
    </rPh>
    <rPh sb="5" eb="7">
      <t>イケン</t>
    </rPh>
    <rPh sb="7" eb="9">
      <t>シュウシュウ</t>
    </rPh>
    <rPh sb="10" eb="11">
      <t>オコナ</t>
    </rPh>
    <rPh sb="18" eb="20">
      <t>ホンガク</t>
    </rPh>
    <rPh sb="30" eb="31">
      <t>ネン</t>
    </rPh>
    <rPh sb="32" eb="33">
      <t>ガツ</t>
    </rPh>
    <rPh sb="34" eb="36">
      <t>カイセツ</t>
    </rPh>
    <rPh sb="36" eb="38">
      <t>ヨテイ</t>
    </rPh>
    <rPh sb="40" eb="41">
      <t>ノウ</t>
    </rPh>
    <rPh sb="41" eb="43">
      <t>カンキョウ</t>
    </rPh>
    <rPh sb="43" eb="45">
      <t>ジョウホウ</t>
    </rPh>
    <rPh sb="45" eb="46">
      <t>ガク</t>
    </rPh>
    <rPh sb="46" eb="47">
      <t>ルイ</t>
    </rPh>
    <rPh sb="49" eb="51">
      <t>トドケデ</t>
    </rPh>
    <rPh sb="51" eb="53">
      <t>シンセイ</t>
    </rPh>
    <rPh sb="53" eb="55">
      <t>ジュンビ</t>
    </rPh>
    <rPh sb="56" eb="57">
      <t>ナカ</t>
    </rPh>
    <rPh sb="59" eb="61">
      <t>キギョウ</t>
    </rPh>
    <rPh sb="63" eb="64">
      <t>キ</t>
    </rPh>
    <rPh sb="65" eb="66">
      <t>ト</t>
    </rPh>
    <rPh sb="67" eb="69">
      <t>チョウサ</t>
    </rPh>
    <rPh sb="70" eb="71">
      <t>オコナ</t>
    </rPh>
    <rPh sb="81" eb="83">
      <t>ジョウホウ</t>
    </rPh>
    <rPh sb="84" eb="85">
      <t>チカラ</t>
    </rPh>
    <rPh sb="90" eb="92">
      <t>ジンザイ</t>
    </rPh>
    <rPh sb="96" eb="97">
      <t>トウ</t>
    </rPh>
    <rPh sb="98" eb="100">
      <t>ハアク</t>
    </rPh>
    <rPh sb="104" eb="106">
      <t>タイオウ</t>
    </rPh>
    <rPh sb="107" eb="108">
      <t>スス</t>
    </rPh>
    <phoneticPr fontId="1"/>
  </si>
  <si>
    <t>本プログラムは2024年度から開始し、２ヵ年にわたるプログラムとなるため、現在はまだ修了者はいない。
2024年４月以降に入学した学生を対象としており、現２学年で対象科目の単位を修得した学生が初めての修了者となる。その後、卒業・就職までに２年あるが、当該学生が就職後は、キャリアセンターとも連携し、企業へのアンケート調査等により状況把握を行っていきたい。</t>
    <rPh sb="0" eb="1">
      <t>ホン</t>
    </rPh>
    <rPh sb="11" eb="13">
      <t>ネンド</t>
    </rPh>
    <rPh sb="15" eb="17">
      <t>カイシ</t>
    </rPh>
    <rPh sb="21" eb="22">
      <t>ネン</t>
    </rPh>
    <rPh sb="37" eb="39">
      <t>ゲンザイ</t>
    </rPh>
    <rPh sb="42" eb="45">
      <t>シュウリョウシャ</t>
    </rPh>
    <rPh sb="55" eb="56">
      <t>ネン</t>
    </rPh>
    <rPh sb="57" eb="60">
      <t>ガツイコウ</t>
    </rPh>
    <rPh sb="61" eb="63">
      <t>ニュウガク</t>
    </rPh>
    <rPh sb="65" eb="67">
      <t>ガクセイ</t>
    </rPh>
    <rPh sb="68" eb="70">
      <t>タイショウ</t>
    </rPh>
    <rPh sb="76" eb="77">
      <t>ゲン</t>
    </rPh>
    <rPh sb="78" eb="80">
      <t>ガクネン</t>
    </rPh>
    <rPh sb="81" eb="83">
      <t>タイショウ</t>
    </rPh>
    <rPh sb="83" eb="85">
      <t>カモク</t>
    </rPh>
    <rPh sb="86" eb="88">
      <t>タンイ</t>
    </rPh>
    <rPh sb="89" eb="91">
      <t>シュウトク</t>
    </rPh>
    <rPh sb="93" eb="95">
      <t>ガクセイ</t>
    </rPh>
    <rPh sb="96" eb="97">
      <t>ハジ</t>
    </rPh>
    <rPh sb="100" eb="102">
      <t>シュウリョウ</t>
    </rPh>
    <rPh sb="102" eb="103">
      <t>シャ</t>
    </rPh>
    <rPh sb="109" eb="110">
      <t>ゴ</t>
    </rPh>
    <rPh sb="111" eb="113">
      <t>ソツギョウ</t>
    </rPh>
    <rPh sb="114" eb="116">
      <t>シュウショク</t>
    </rPh>
    <rPh sb="120" eb="121">
      <t>ネン</t>
    </rPh>
    <rPh sb="125" eb="127">
      <t>トウガイ</t>
    </rPh>
    <rPh sb="127" eb="129">
      <t>ガクセイ</t>
    </rPh>
    <rPh sb="130" eb="133">
      <t>シュウショクゴ</t>
    </rPh>
    <rPh sb="145" eb="147">
      <t>レンケイ</t>
    </rPh>
    <rPh sb="149" eb="151">
      <t>キギョウ</t>
    </rPh>
    <rPh sb="158" eb="160">
      <t>チョウサ</t>
    </rPh>
    <rPh sb="160" eb="161">
      <t>トウ</t>
    </rPh>
    <rPh sb="164" eb="166">
      <t>ジョウキョウ</t>
    </rPh>
    <rPh sb="166" eb="168">
      <t>ハアク</t>
    </rPh>
    <rPh sb="169" eb="170">
      <t>オコナ</t>
    </rPh>
    <phoneticPr fontId="1"/>
  </si>
  <si>
    <t>授業評価アンケートからは、「情報科学の基礎」及び「情報処理基礎演習」ともに、授業内容に興味を持って多くの知識を得ることができ、有意義な授業であったことが伺える。また、アンケートの自由記述に関しても批判的なコメントはなく、「社会に出た際に必要なスキルの基礎を身に付けることができる」という記述があった一方で、授業の進行速度が速いというコメントもあった。学生一人ひとりの理解度に違いがある中、どのように進行することが良いかを検討していく。</t>
    <rPh sb="0" eb="2">
      <t>ジュギョウ</t>
    </rPh>
    <rPh sb="2" eb="4">
      <t>ヒョウカ</t>
    </rPh>
    <rPh sb="14" eb="16">
      <t>ジョウホウ</t>
    </rPh>
    <rPh sb="16" eb="18">
      <t>カガク</t>
    </rPh>
    <rPh sb="19" eb="21">
      <t>キソ</t>
    </rPh>
    <rPh sb="22" eb="23">
      <t>オヨ</t>
    </rPh>
    <rPh sb="25" eb="27">
      <t>ジョウホウ</t>
    </rPh>
    <rPh sb="27" eb="29">
      <t>ショリ</t>
    </rPh>
    <rPh sb="29" eb="31">
      <t>キソ</t>
    </rPh>
    <rPh sb="31" eb="33">
      <t>エンシュウ</t>
    </rPh>
    <rPh sb="38" eb="40">
      <t>ジュギョウ</t>
    </rPh>
    <rPh sb="40" eb="42">
      <t>ナイヨウ</t>
    </rPh>
    <rPh sb="43" eb="45">
      <t>キョウミ</t>
    </rPh>
    <rPh sb="46" eb="47">
      <t>モ</t>
    </rPh>
    <rPh sb="49" eb="50">
      <t>オオ</t>
    </rPh>
    <rPh sb="52" eb="54">
      <t>チシキ</t>
    </rPh>
    <rPh sb="55" eb="56">
      <t>エ</t>
    </rPh>
    <rPh sb="63" eb="66">
      <t>ユウイギ</t>
    </rPh>
    <rPh sb="67" eb="69">
      <t>ジュギョウ</t>
    </rPh>
    <rPh sb="76" eb="77">
      <t>ウカガ</t>
    </rPh>
    <rPh sb="89" eb="91">
      <t>ジユウ</t>
    </rPh>
    <rPh sb="91" eb="93">
      <t>キジュツ</t>
    </rPh>
    <rPh sb="94" eb="95">
      <t>カン</t>
    </rPh>
    <rPh sb="98" eb="101">
      <t>ヒハンテキ</t>
    </rPh>
    <rPh sb="111" eb="113">
      <t>シャカイ</t>
    </rPh>
    <rPh sb="114" eb="115">
      <t>デ</t>
    </rPh>
    <rPh sb="116" eb="117">
      <t>サイ</t>
    </rPh>
    <rPh sb="118" eb="120">
      <t>ヒツヨウ</t>
    </rPh>
    <rPh sb="125" eb="127">
      <t>キソ</t>
    </rPh>
    <rPh sb="128" eb="129">
      <t>ミ</t>
    </rPh>
    <rPh sb="130" eb="131">
      <t>ツ</t>
    </rPh>
    <rPh sb="143" eb="145">
      <t>キジュツ</t>
    </rPh>
    <rPh sb="149" eb="151">
      <t>イッポウ</t>
    </rPh>
    <rPh sb="153" eb="155">
      <t>ジュギョウ</t>
    </rPh>
    <rPh sb="156" eb="158">
      <t>シンコウ</t>
    </rPh>
    <rPh sb="158" eb="160">
      <t>ソクド</t>
    </rPh>
    <rPh sb="161" eb="162">
      <t>ハヤ</t>
    </rPh>
    <rPh sb="175" eb="177">
      <t>ガクセイ</t>
    </rPh>
    <rPh sb="177" eb="179">
      <t>ヒトリ</t>
    </rPh>
    <rPh sb="183" eb="186">
      <t>リカイド</t>
    </rPh>
    <rPh sb="187" eb="188">
      <t>チガ</t>
    </rPh>
    <rPh sb="192" eb="193">
      <t>ナカ</t>
    </rPh>
    <rPh sb="199" eb="201">
      <t>シンコウ</t>
    </rPh>
    <rPh sb="206" eb="207">
      <t>ヨ</t>
    </rPh>
    <rPh sb="210" eb="212">
      <t>ケントウ</t>
    </rPh>
    <phoneticPr fontId="1"/>
  </si>
  <si>
    <t>科目「情報科学の基礎」
〇構造化データ、非構造化データ（文章、画像/動画、音声/音楽など）（第３回）</t>
    <rPh sb="0" eb="2">
      <t>カモク</t>
    </rPh>
    <rPh sb="3" eb="5">
      <t>ジョウホウ</t>
    </rPh>
    <rPh sb="5" eb="7">
      <t>カガク</t>
    </rPh>
    <rPh sb="8" eb="10">
      <t>キソ</t>
    </rPh>
    <rPh sb="46" eb="47">
      <t>ダイ</t>
    </rPh>
    <rPh sb="48" eb="49">
      <t>カイ</t>
    </rPh>
    <phoneticPr fontId="1"/>
  </si>
  <si>
    <t>科目「情報科学の基礎」
〇データ可視化：複合グラフ、2軸グラフ、多次元の可視化、関係性の可視化、地図上の可視化、
挙動・軌跡の可視化、リアルタイム可視化など（第11回）</t>
    <rPh sb="0" eb="2">
      <t>カモク</t>
    </rPh>
    <rPh sb="3" eb="5">
      <t>ジョウホウ</t>
    </rPh>
    <rPh sb="5" eb="7">
      <t>カガク</t>
    </rPh>
    <rPh sb="8" eb="10">
      <t>キソ</t>
    </rPh>
    <rPh sb="79" eb="80">
      <t>ダイ</t>
    </rPh>
    <rPh sb="82" eb="83">
      <t>カイ</t>
    </rPh>
    <phoneticPr fontId="1"/>
  </si>
  <si>
    <t>データの分析を通して、意外な事実や興味深い相関関係を発見する演習を実施することで、学生がデータ分析の面白さを理解できる工夫をしている。さらに、分析結果をグラフや図などの視覚的な表現を用いた発表をすることで、学生が自身の学習成果を共有し、互いに刺激し合いながら学びを深めることができるように工夫している。</t>
    <phoneticPr fontId="1"/>
  </si>
  <si>
    <t>プログラムの受講生は、この分野の基礎知識をほとんど持たず、初めて学習する学生であることを前提として講義・演習を準備している。そして、eラーニングで授業動画を活用するなど、学生が十分に自学自習できる環境を整備するとともに、科目担当教員間でeラーニングの相互登録や演習問題の共有などを行うことによって、授業内容の改善に努めている。</t>
    <phoneticPr fontId="1"/>
  </si>
  <si>
    <t>授業評価アンケートの項目には、「後輩等他の学生への推奨度」という項目はないものの、自由記述には「将来に役立つ」や「ゼミなどで活用できそう」というコメントがあることから、後輩等他の学生への推奨度は高いものと推察できる。</t>
    <rPh sb="0" eb="2">
      <t>ジュギョウ</t>
    </rPh>
    <rPh sb="2" eb="4">
      <t>ヒョウカ</t>
    </rPh>
    <rPh sb="10" eb="12">
      <t>コウモク</t>
    </rPh>
    <rPh sb="16" eb="18">
      <t>コウハイ</t>
    </rPh>
    <rPh sb="18" eb="19">
      <t>トウ</t>
    </rPh>
    <rPh sb="19" eb="20">
      <t>タ</t>
    </rPh>
    <rPh sb="21" eb="23">
      <t>ガクセイ</t>
    </rPh>
    <rPh sb="25" eb="27">
      <t>スイショウ</t>
    </rPh>
    <rPh sb="27" eb="28">
      <t>ド</t>
    </rPh>
    <rPh sb="32" eb="34">
      <t>コウモク</t>
    </rPh>
    <rPh sb="41" eb="43">
      <t>ジユウ</t>
    </rPh>
    <rPh sb="43" eb="45">
      <t>キジュツ</t>
    </rPh>
    <rPh sb="48" eb="50">
      <t>ショウライ</t>
    </rPh>
    <rPh sb="51" eb="53">
      <t>ヤクダ</t>
    </rPh>
    <rPh sb="62" eb="64">
      <t>カツヨウ</t>
    </rPh>
    <rPh sb="84" eb="86">
      <t>コウハイ</t>
    </rPh>
    <rPh sb="86" eb="87">
      <t>トウ</t>
    </rPh>
    <rPh sb="87" eb="88">
      <t>タ</t>
    </rPh>
    <rPh sb="89" eb="91">
      <t>ガクセイ</t>
    </rPh>
    <rPh sb="93" eb="95">
      <t>スイショウ</t>
    </rPh>
    <rPh sb="95" eb="96">
      <t>ド</t>
    </rPh>
    <rPh sb="97" eb="98">
      <t>タカ</t>
    </rPh>
    <rPh sb="102" eb="104">
      <t>スイサツ</t>
    </rPh>
    <phoneticPr fontId="1"/>
  </si>
  <si>
    <t>2024年度に開始したプログラムのため、学生への周知が十分に行えなった点があり、2025年度に入学した学生の履修状況は前年度と同水準となっているが、身に付ける力と社会との関連性を上手く説明することにより、学生の興味関心は高まるものと考えている。また、本学においては、国家資格取得を目指す食と健康学類（管理栄養士コース）、獣医学類、獣医保健看護学類の学生に対して、どのようにアプローチしていくかが課題と感じているため、その点を引き続き検討していきたい。</t>
    <rPh sb="4" eb="6">
      <t>ネンド</t>
    </rPh>
    <rPh sb="7" eb="9">
      <t>カイシ</t>
    </rPh>
    <rPh sb="20" eb="22">
      <t>ガクセイ</t>
    </rPh>
    <rPh sb="24" eb="26">
      <t>シュウチ</t>
    </rPh>
    <rPh sb="27" eb="29">
      <t>ジュウブン</t>
    </rPh>
    <rPh sb="30" eb="31">
      <t>オコナ</t>
    </rPh>
    <rPh sb="35" eb="36">
      <t>テン</t>
    </rPh>
    <rPh sb="44" eb="46">
      <t>ネンド</t>
    </rPh>
    <rPh sb="47" eb="49">
      <t>ニュウガク</t>
    </rPh>
    <rPh sb="51" eb="53">
      <t>ガクセイ</t>
    </rPh>
    <rPh sb="54" eb="56">
      <t>リシュウ</t>
    </rPh>
    <rPh sb="56" eb="58">
      <t>ジョウキョウ</t>
    </rPh>
    <rPh sb="59" eb="62">
      <t>ゼンネンド</t>
    </rPh>
    <rPh sb="63" eb="66">
      <t>ドウスイジュン</t>
    </rPh>
    <rPh sb="74" eb="75">
      <t>ミ</t>
    </rPh>
    <rPh sb="76" eb="77">
      <t>ツ</t>
    </rPh>
    <rPh sb="79" eb="80">
      <t>チカラ</t>
    </rPh>
    <rPh sb="81" eb="83">
      <t>シャカイ</t>
    </rPh>
    <rPh sb="85" eb="88">
      <t>カンレンセイ</t>
    </rPh>
    <rPh sb="89" eb="91">
      <t>ウマ</t>
    </rPh>
    <rPh sb="92" eb="94">
      <t>セツメイ</t>
    </rPh>
    <rPh sb="102" eb="104">
      <t>ガクセイ</t>
    </rPh>
    <rPh sb="105" eb="107">
      <t>キョウミ</t>
    </rPh>
    <rPh sb="107" eb="109">
      <t>カンシン</t>
    </rPh>
    <rPh sb="110" eb="111">
      <t>タカ</t>
    </rPh>
    <rPh sb="116" eb="117">
      <t>カンガ</t>
    </rPh>
    <rPh sb="125" eb="127">
      <t>ホンガク</t>
    </rPh>
    <rPh sb="133" eb="135">
      <t>コッカ</t>
    </rPh>
    <rPh sb="135" eb="137">
      <t>シカク</t>
    </rPh>
    <rPh sb="137" eb="139">
      <t>シュトク</t>
    </rPh>
    <rPh sb="140" eb="142">
      <t>メザ</t>
    </rPh>
    <rPh sb="143" eb="144">
      <t>ショク</t>
    </rPh>
    <rPh sb="145" eb="147">
      <t>ケンコウ</t>
    </rPh>
    <rPh sb="147" eb="148">
      <t>ガク</t>
    </rPh>
    <rPh sb="148" eb="149">
      <t>ルイ</t>
    </rPh>
    <rPh sb="150" eb="152">
      <t>カンリ</t>
    </rPh>
    <rPh sb="152" eb="155">
      <t>エイヨウシ</t>
    </rPh>
    <rPh sb="160" eb="163">
      <t>ジュウイガク</t>
    </rPh>
    <rPh sb="163" eb="164">
      <t>ルイ</t>
    </rPh>
    <rPh sb="165" eb="167">
      <t>ジュウイ</t>
    </rPh>
    <rPh sb="167" eb="169">
      <t>ホケン</t>
    </rPh>
    <rPh sb="169" eb="171">
      <t>カンゴ</t>
    </rPh>
    <rPh sb="171" eb="172">
      <t>ガク</t>
    </rPh>
    <rPh sb="172" eb="173">
      <t>ルイ</t>
    </rPh>
    <rPh sb="174" eb="176">
      <t>ガクセイ</t>
    </rPh>
    <rPh sb="177" eb="178">
      <t>タイ</t>
    </rPh>
    <rPh sb="197" eb="199">
      <t>カダイ</t>
    </rPh>
    <rPh sb="200" eb="201">
      <t>カン</t>
    </rPh>
    <rPh sb="210" eb="211">
      <t>テン</t>
    </rPh>
    <rPh sb="212" eb="213">
      <t>ヒ</t>
    </rPh>
    <rPh sb="214" eb="215">
      <t>ツヅ</t>
    </rPh>
    <rPh sb="216" eb="218">
      <t>ケントウ</t>
    </rPh>
    <phoneticPr fontId="1"/>
  </si>
  <si>
    <t>2024年度に履修した学生について、当該科目の到達目標を授業内課題及び期末試験により評価した結果は次のとおりであった。
【情報科学の基礎】
S：22名、A：30名、B：37名、C：46名、D（不合格）：56名、×（受験不可）20名
【情報処理基礎演習】
S：228名、A：177名、B：93名、C：52名、D（不合格）：7名、×（受験不可）17名
（注）受験不可：出席日数不足
「情報科学の基礎」について、D評価が多い点を懸念している。年度によるバラつきはあるものの、授業評価アンケートの結果や2025年度の状況も踏まえて、対応を検討していきたい。</t>
    <rPh sb="4" eb="6">
      <t>ネンド</t>
    </rPh>
    <rPh sb="7" eb="9">
      <t>リシュウ</t>
    </rPh>
    <rPh sb="11" eb="13">
      <t>ガクセイ</t>
    </rPh>
    <rPh sb="18" eb="20">
      <t>トウガイ</t>
    </rPh>
    <rPh sb="20" eb="22">
      <t>カモク</t>
    </rPh>
    <rPh sb="23" eb="25">
      <t>トウタツ</t>
    </rPh>
    <rPh sb="25" eb="27">
      <t>モクヒョウ</t>
    </rPh>
    <rPh sb="28" eb="30">
      <t>ジュギョウ</t>
    </rPh>
    <rPh sb="30" eb="31">
      <t>ナイ</t>
    </rPh>
    <rPh sb="31" eb="33">
      <t>カダイ</t>
    </rPh>
    <rPh sb="33" eb="34">
      <t>オヨ</t>
    </rPh>
    <rPh sb="35" eb="37">
      <t>キマツ</t>
    </rPh>
    <rPh sb="37" eb="39">
      <t>シケン</t>
    </rPh>
    <rPh sb="42" eb="44">
      <t>ヒョウカ</t>
    </rPh>
    <rPh sb="46" eb="48">
      <t>ケッカ</t>
    </rPh>
    <rPh sb="49" eb="50">
      <t>ツギ</t>
    </rPh>
    <rPh sb="61" eb="63">
      <t>ジョウホウ</t>
    </rPh>
    <rPh sb="63" eb="65">
      <t>カガク</t>
    </rPh>
    <rPh sb="66" eb="68">
      <t>キソ</t>
    </rPh>
    <rPh sb="74" eb="75">
      <t>メイ</t>
    </rPh>
    <rPh sb="80" eb="81">
      <t>メイ</t>
    </rPh>
    <rPh sb="86" eb="87">
      <t>メイ</t>
    </rPh>
    <rPh sb="92" eb="93">
      <t>メイ</t>
    </rPh>
    <rPh sb="96" eb="99">
      <t>フゴウカク</t>
    </rPh>
    <rPh sb="103" eb="104">
      <t>メイ</t>
    </rPh>
    <rPh sb="107" eb="109">
      <t>ジュケン</t>
    </rPh>
    <rPh sb="109" eb="111">
      <t>フカ</t>
    </rPh>
    <rPh sb="114" eb="115">
      <t>メイ</t>
    </rPh>
    <rPh sb="119" eb="121">
      <t>ショリ</t>
    </rPh>
    <rPh sb="121" eb="123">
      <t>キソ</t>
    </rPh>
    <rPh sb="123" eb="125">
      <t>エンシュウ</t>
    </rPh>
    <rPh sb="177" eb="179">
      <t>ジュケン</t>
    </rPh>
    <rPh sb="179" eb="181">
      <t>フカ</t>
    </rPh>
    <rPh sb="182" eb="184">
      <t>シュッセキ</t>
    </rPh>
    <rPh sb="184" eb="186">
      <t>ニッスウ</t>
    </rPh>
    <rPh sb="186" eb="188">
      <t>フソク</t>
    </rPh>
    <rPh sb="191" eb="193">
      <t>ジョウホウ</t>
    </rPh>
    <rPh sb="193" eb="195">
      <t>カガク</t>
    </rPh>
    <rPh sb="196" eb="198">
      <t>キソ</t>
    </rPh>
    <rPh sb="205" eb="207">
      <t>ヒョウカ</t>
    </rPh>
    <rPh sb="208" eb="209">
      <t>オオ</t>
    </rPh>
    <rPh sb="210" eb="211">
      <t>テン</t>
    </rPh>
    <rPh sb="212" eb="214">
      <t>ケネン</t>
    </rPh>
    <rPh sb="219" eb="221">
      <t>ネンド</t>
    </rPh>
    <rPh sb="235" eb="237">
      <t>ジュギョウ</t>
    </rPh>
    <rPh sb="237" eb="239">
      <t>ヒョウカ</t>
    </rPh>
    <rPh sb="245" eb="247">
      <t>ケッカ</t>
    </rPh>
    <rPh sb="252" eb="254">
      <t>ネンド</t>
    </rPh>
    <rPh sb="255" eb="257">
      <t>ジョウキョウ</t>
    </rPh>
    <rPh sb="258" eb="259">
      <t>フ</t>
    </rPh>
    <rPh sb="263" eb="265">
      <t>タイオウ</t>
    </rPh>
    <rPh sb="266" eb="268">
      <t>ケントウ</t>
    </rPh>
    <phoneticPr fontId="1"/>
  </si>
  <si>
    <t>2024年度から本プログラムが開始され、１年次開講科目である「情報科学の基礎」及び「情報処理基礎演習」の履修者及び単位修得者は次のとおりである。
〇農食環境学群（食と健康学類（管理栄養士コースを除く））
　情報科学の基礎：履修者 200名、単位修得者 124名
　情報処理基礎演習：履修者 359名、単位修得者 342名
〇獣医学群
　情報科学の基礎：履修者 11名、単位修得者 11名
　情報処理基礎演習：履修者 215名、単位修得者 208名
なお、2025年３月時点における「情報科学の基礎」及び「情報処理基礎演習」両方を修得した学生は135名である。</t>
    <rPh sb="4" eb="6">
      <t>ネンド</t>
    </rPh>
    <rPh sb="8" eb="9">
      <t>ホン</t>
    </rPh>
    <rPh sb="15" eb="17">
      <t>カイシ</t>
    </rPh>
    <rPh sb="21" eb="22">
      <t>ネン</t>
    </rPh>
    <rPh sb="22" eb="23">
      <t>ジ</t>
    </rPh>
    <rPh sb="23" eb="25">
      <t>カイコウ</t>
    </rPh>
    <rPh sb="25" eb="27">
      <t>カモク</t>
    </rPh>
    <rPh sb="31" eb="33">
      <t>ジョウホウ</t>
    </rPh>
    <rPh sb="33" eb="35">
      <t>カガク</t>
    </rPh>
    <rPh sb="36" eb="38">
      <t>キソ</t>
    </rPh>
    <rPh sb="39" eb="40">
      <t>オヨ</t>
    </rPh>
    <rPh sb="42" eb="44">
      <t>ジョウホウ</t>
    </rPh>
    <rPh sb="44" eb="46">
      <t>ショリ</t>
    </rPh>
    <rPh sb="46" eb="48">
      <t>キソ</t>
    </rPh>
    <rPh sb="48" eb="50">
      <t>エンシュウ</t>
    </rPh>
    <rPh sb="52" eb="54">
      <t>リシュウ</t>
    </rPh>
    <rPh sb="54" eb="55">
      <t>シャ</t>
    </rPh>
    <rPh sb="55" eb="56">
      <t>オヨ</t>
    </rPh>
    <rPh sb="57" eb="59">
      <t>タンイ</t>
    </rPh>
    <rPh sb="59" eb="61">
      <t>シュウトク</t>
    </rPh>
    <rPh sb="61" eb="62">
      <t>シャ</t>
    </rPh>
    <rPh sb="63" eb="64">
      <t>ツギ</t>
    </rPh>
    <rPh sb="74" eb="75">
      <t>ノウ</t>
    </rPh>
    <rPh sb="75" eb="76">
      <t>ショク</t>
    </rPh>
    <rPh sb="76" eb="78">
      <t>カンキョウ</t>
    </rPh>
    <rPh sb="78" eb="80">
      <t>ガクグン</t>
    </rPh>
    <rPh sb="81" eb="82">
      <t>ショク</t>
    </rPh>
    <rPh sb="83" eb="85">
      <t>ケンコウ</t>
    </rPh>
    <rPh sb="85" eb="86">
      <t>ガク</t>
    </rPh>
    <rPh sb="86" eb="87">
      <t>ルイ</t>
    </rPh>
    <rPh sb="88" eb="90">
      <t>カンリ</t>
    </rPh>
    <rPh sb="90" eb="93">
      <t>エイヨウシ</t>
    </rPh>
    <rPh sb="97" eb="98">
      <t>ノゾ</t>
    </rPh>
    <rPh sb="103" eb="105">
      <t>ジョウホウ</t>
    </rPh>
    <rPh sb="105" eb="107">
      <t>カガク</t>
    </rPh>
    <rPh sb="108" eb="110">
      <t>キソ</t>
    </rPh>
    <rPh sb="111" eb="113">
      <t>リシュウ</t>
    </rPh>
    <rPh sb="113" eb="114">
      <t>シャ</t>
    </rPh>
    <rPh sb="118" eb="119">
      <t>メイ</t>
    </rPh>
    <rPh sb="120" eb="122">
      <t>タンイ</t>
    </rPh>
    <rPh sb="122" eb="124">
      <t>シュウトク</t>
    </rPh>
    <rPh sb="124" eb="125">
      <t>シャ</t>
    </rPh>
    <rPh sb="129" eb="130">
      <t>メイ</t>
    </rPh>
    <rPh sb="132" eb="134">
      <t>ジョウホウ</t>
    </rPh>
    <rPh sb="134" eb="136">
      <t>ショリ</t>
    </rPh>
    <rPh sb="136" eb="138">
      <t>キソ</t>
    </rPh>
    <rPh sb="138" eb="140">
      <t>エンシュウ</t>
    </rPh>
    <rPh sb="141" eb="143">
      <t>リシュウ</t>
    </rPh>
    <rPh sb="143" eb="144">
      <t>シャ</t>
    </rPh>
    <rPh sb="148" eb="149">
      <t>メイ</t>
    </rPh>
    <rPh sb="150" eb="152">
      <t>タンイ</t>
    </rPh>
    <rPh sb="152" eb="154">
      <t>シュウトク</t>
    </rPh>
    <rPh sb="154" eb="155">
      <t>シャ</t>
    </rPh>
    <rPh sb="159" eb="160">
      <t>メイ</t>
    </rPh>
    <rPh sb="162" eb="164">
      <t>ジュウイ</t>
    </rPh>
    <rPh sb="164" eb="166">
      <t>ガクグン</t>
    </rPh>
    <rPh sb="232" eb="233">
      <t>ネン</t>
    </rPh>
    <rPh sb="234" eb="235">
      <t>ガツ</t>
    </rPh>
    <rPh sb="235" eb="237">
      <t>ジテン</t>
    </rPh>
    <rPh sb="242" eb="244">
      <t>ジョウホウ</t>
    </rPh>
    <rPh sb="244" eb="246">
      <t>カガク</t>
    </rPh>
    <rPh sb="247" eb="249">
      <t>キソ</t>
    </rPh>
    <rPh sb="250" eb="251">
      <t>オヨ</t>
    </rPh>
    <rPh sb="253" eb="255">
      <t>ジョウホウ</t>
    </rPh>
    <rPh sb="255" eb="257">
      <t>ショリ</t>
    </rPh>
    <rPh sb="257" eb="259">
      <t>キソ</t>
    </rPh>
    <rPh sb="259" eb="261">
      <t>エンシュウ</t>
    </rPh>
    <rPh sb="262" eb="264">
      <t>リョウホウ</t>
    </rPh>
    <rPh sb="265" eb="267">
      <t>シュウトク</t>
    </rPh>
    <rPh sb="269" eb="271">
      <t>ガクセイ</t>
    </rPh>
    <rPh sb="275" eb="276">
      <t>メイ</t>
    </rPh>
    <phoneticPr fontId="1"/>
  </si>
  <si>
    <t>本プログラムは、１年次開講科目である「情報科学の基礎」及び「情報処理基礎演習」、２年次開講科目である「統計学Ⅰ」または「統計学Ⅱ」の単位修得が修了要件となる２ヵ年にわたるプログラムとなっている。「情報科学の基礎」は選択科目となるが、他の科目は必修科目となるため、１学年に対して、どれだけ本プログラムの必要性を説明できるかが重要となる。また、本学においては、管理栄養士、獣医師、愛玩動物看護師を目指す食と健康学類管理栄養士コース（入学定員40名）、獣医学類（入学定員120名）、獣医保健看護学類（入学定員60名）があるため、この国家資格取得を目指す学生に対して、どのように当該プログラムへの理解を広めるかが、履修率向上のポイントとして捉えている。当面の計画としては、履修ガイダンスにおいて、プログラムの内容はもちろんであるが、身に付ける力と社会との関連性を重点的に説明し、当該科目の履修を促すこととし、当該プログラムを修了した学生のキャリア形成との関連性を検証することとしたい。
（注）食と健康学類管理栄養士コースの「情報科学の基礎」及び「情報処理基礎演習」は２年次開講科目となる。</t>
    <rPh sb="0" eb="1">
      <t>ホン</t>
    </rPh>
    <rPh sb="9" eb="10">
      <t>ネン</t>
    </rPh>
    <rPh sb="10" eb="11">
      <t>ジ</t>
    </rPh>
    <rPh sb="11" eb="13">
      <t>カイコウ</t>
    </rPh>
    <rPh sb="13" eb="15">
      <t>カモク</t>
    </rPh>
    <rPh sb="19" eb="21">
      <t>ジョウホウ</t>
    </rPh>
    <rPh sb="21" eb="23">
      <t>カガク</t>
    </rPh>
    <rPh sb="24" eb="26">
      <t>キソ</t>
    </rPh>
    <rPh sb="27" eb="28">
      <t>オヨ</t>
    </rPh>
    <rPh sb="30" eb="32">
      <t>ジョウホウ</t>
    </rPh>
    <rPh sb="32" eb="34">
      <t>ショリ</t>
    </rPh>
    <rPh sb="34" eb="36">
      <t>キソ</t>
    </rPh>
    <rPh sb="36" eb="38">
      <t>エンシュウ</t>
    </rPh>
    <rPh sb="41" eb="42">
      <t>ネン</t>
    </rPh>
    <rPh sb="42" eb="43">
      <t>ジ</t>
    </rPh>
    <rPh sb="43" eb="45">
      <t>カイコウ</t>
    </rPh>
    <rPh sb="45" eb="47">
      <t>カモク</t>
    </rPh>
    <rPh sb="51" eb="54">
      <t>トウケイガク</t>
    </rPh>
    <rPh sb="60" eb="63">
      <t>トウケイガク</t>
    </rPh>
    <rPh sb="66" eb="68">
      <t>タンイ</t>
    </rPh>
    <rPh sb="68" eb="70">
      <t>シュウトク</t>
    </rPh>
    <rPh sb="71" eb="73">
      <t>シュウリョウ</t>
    </rPh>
    <rPh sb="73" eb="75">
      <t>ヨウケン</t>
    </rPh>
    <rPh sb="80" eb="81">
      <t>ネン</t>
    </rPh>
    <rPh sb="98" eb="100">
      <t>ジョウホウ</t>
    </rPh>
    <rPh sb="100" eb="102">
      <t>カガク</t>
    </rPh>
    <rPh sb="103" eb="105">
      <t>キソ</t>
    </rPh>
    <rPh sb="107" eb="109">
      <t>センタク</t>
    </rPh>
    <rPh sb="109" eb="111">
      <t>カモク</t>
    </rPh>
    <rPh sb="116" eb="117">
      <t>タ</t>
    </rPh>
    <rPh sb="118" eb="120">
      <t>カモク</t>
    </rPh>
    <rPh sb="121" eb="123">
      <t>ヒッシュウ</t>
    </rPh>
    <rPh sb="123" eb="125">
      <t>カモク</t>
    </rPh>
    <rPh sb="132" eb="134">
      <t>ガクネン</t>
    </rPh>
    <rPh sb="135" eb="136">
      <t>タイ</t>
    </rPh>
    <rPh sb="143" eb="144">
      <t>ホン</t>
    </rPh>
    <rPh sb="150" eb="153">
      <t>ヒツヨウセイ</t>
    </rPh>
    <rPh sb="154" eb="156">
      <t>セツメイ</t>
    </rPh>
    <rPh sb="161" eb="163">
      <t>ジュウヨウ</t>
    </rPh>
    <rPh sb="170" eb="172">
      <t>ホンガク</t>
    </rPh>
    <rPh sb="178" eb="180">
      <t>カンリ</t>
    </rPh>
    <rPh sb="180" eb="183">
      <t>エイヨウシ</t>
    </rPh>
    <rPh sb="184" eb="187">
      <t>ジュウイシ</t>
    </rPh>
    <rPh sb="188" eb="190">
      <t>アイガン</t>
    </rPh>
    <rPh sb="190" eb="192">
      <t>ドウブツ</t>
    </rPh>
    <rPh sb="192" eb="195">
      <t>カンゴシ</t>
    </rPh>
    <rPh sb="196" eb="198">
      <t>メザ</t>
    </rPh>
    <rPh sb="199" eb="200">
      <t>ショク</t>
    </rPh>
    <rPh sb="201" eb="203">
      <t>ケンコウ</t>
    </rPh>
    <rPh sb="203" eb="204">
      <t>ガク</t>
    </rPh>
    <rPh sb="204" eb="205">
      <t>ルイ</t>
    </rPh>
    <rPh sb="205" eb="207">
      <t>カンリ</t>
    </rPh>
    <rPh sb="207" eb="210">
      <t>エイヨウシ</t>
    </rPh>
    <rPh sb="214" eb="216">
      <t>ニュウガク</t>
    </rPh>
    <rPh sb="216" eb="218">
      <t>テイイン</t>
    </rPh>
    <rPh sb="220" eb="221">
      <t>メイ</t>
    </rPh>
    <rPh sb="223" eb="226">
      <t>ジュウイガク</t>
    </rPh>
    <rPh sb="226" eb="227">
      <t>ルイ</t>
    </rPh>
    <rPh sb="228" eb="230">
      <t>ニュウガク</t>
    </rPh>
    <rPh sb="230" eb="232">
      <t>テイイン</t>
    </rPh>
    <rPh sb="235" eb="236">
      <t>メイ</t>
    </rPh>
    <rPh sb="238" eb="240">
      <t>ジュウイ</t>
    </rPh>
    <rPh sb="240" eb="242">
      <t>ホケン</t>
    </rPh>
    <rPh sb="242" eb="244">
      <t>カンゴ</t>
    </rPh>
    <rPh sb="244" eb="245">
      <t>ガク</t>
    </rPh>
    <rPh sb="245" eb="246">
      <t>ルイ</t>
    </rPh>
    <rPh sb="247" eb="249">
      <t>ニュウガク</t>
    </rPh>
    <rPh sb="249" eb="251">
      <t>テイイン</t>
    </rPh>
    <rPh sb="253" eb="254">
      <t>メイ</t>
    </rPh>
    <rPh sb="263" eb="265">
      <t>コッカ</t>
    </rPh>
    <rPh sb="265" eb="267">
      <t>シカク</t>
    </rPh>
    <rPh sb="267" eb="269">
      <t>シュトク</t>
    </rPh>
    <rPh sb="270" eb="272">
      <t>メザ</t>
    </rPh>
    <rPh sb="273" eb="275">
      <t>ガクセイ</t>
    </rPh>
    <rPh sb="276" eb="277">
      <t>タイ</t>
    </rPh>
    <rPh sb="285" eb="287">
      <t>トウガイ</t>
    </rPh>
    <rPh sb="294" eb="296">
      <t>リカイ</t>
    </rPh>
    <rPh sb="297" eb="298">
      <t>ヒロ</t>
    </rPh>
    <rPh sb="303" eb="305">
      <t>リシュウ</t>
    </rPh>
    <rPh sb="305" eb="306">
      <t>リツ</t>
    </rPh>
    <rPh sb="306" eb="308">
      <t>コウジョウ</t>
    </rPh>
    <rPh sb="316" eb="317">
      <t>トラ</t>
    </rPh>
    <rPh sb="322" eb="324">
      <t>トウメン</t>
    </rPh>
    <rPh sb="325" eb="327">
      <t>ケイカク</t>
    </rPh>
    <rPh sb="332" eb="334">
      <t>リシュウ</t>
    </rPh>
    <rPh sb="350" eb="352">
      <t>ナイヨウ</t>
    </rPh>
    <rPh sb="362" eb="363">
      <t>ミ</t>
    </rPh>
    <rPh sb="364" eb="365">
      <t>ツ</t>
    </rPh>
    <rPh sb="367" eb="368">
      <t>チカラ</t>
    </rPh>
    <rPh sb="369" eb="371">
      <t>シャカイ</t>
    </rPh>
    <rPh sb="373" eb="376">
      <t>カンレンセイ</t>
    </rPh>
    <rPh sb="377" eb="380">
      <t>ジュウテンテキ</t>
    </rPh>
    <rPh sb="381" eb="383">
      <t>セツメイ</t>
    </rPh>
    <rPh sb="385" eb="387">
      <t>トウガイ</t>
    </rPh>
    <rPh sb="387" eb="389">
      <t>カモク</t>
    </rPh>
    <rPh sb="390" eb="392">
      <t>リシュウ</t>
    </rPh>
    <rPh sb="393" eb="394">
      <t>ウナガ</t>
    </rPh>
    <rPh sb="400" eb="402">
      <t>トウガイ</t>
    </rPh>
    <rPh sb="408" eb="410">
      <t>シュウリョウ</t>
    </rPh>
    <rPh sb="412" eb="414">
      <t>ガクセイ</t>
    </rPh>
    <rPh sb="419" eb="421">
      <t>ケイセイ</t>
    </rPh>
    <rPh sb="423" eb="426">
      <t>カンレンセイ</t>
    </rPh>
    <rPh sb="427" eb="429">
      <t>ケンショウ</t>
    </rPh>
    <phoneticPr fontId="1"/>
  </si>
  <si>
    <t>本プログラムの対象科目は、農食環境学群及び獣医学群ともに「基盤教育」科目に配置されており、全学生が履修できる科目として、次のとおり開講している。
農食環境学群 ： １・２年次基盤教育科目
「情報科学の基礎」＝１年次開講科目（選択）
「情報処理基礎演習」＝１年次開講科目（必修）
「統計学Ⅰ」＝２年次開講科目（必修）
（注）食と健康学類管理栄養士コースは、全ての科目が２年次開講科目となる。
獣医学群 ： １・２年次基盤教育科目
「情報科学の基礎」＝１年次開講科目（選択）
「情報処理基礎演習」＝１年次開講科目（必修）
「統計学Ⅱ」＝２年次開講科目（必修）</t>
    <rPh sb="0" eb="1">
      <t>ホン</t>
    </rPh>
    <rPh sb="7" eb="9">
      <t>タイショウ</t>
    </rPh>
    <rPh sb="9" eb="11">
      <t>カモク</t>
    </rPh>
    <rPh sb="13" eb="14">
      <t>ノウ</t>
    </rPh>
    <rPh sb="14" eb="15">
      <t>ショク</t>
    </rPh>
    <rPh sb="15" eb="17">
      <t>カンキョウ</t>
    </rPh>
    <rPh sb="17" eb="19">
      <t>ガクグン</t>
    </rPh>
    <rPh sb="19" eb="20">
      <t>オヨ</t>
    </rPh>
    <rPh sb="21" eb="23">
      <t>ジュウイ</t>
    </rPh>
    <rPh sb="23" eb="25">
      <t>ガクグン</t>
    </rPh>
    <rPh sb="29" eb="31">
      <t>キバン</t>
    </rPh>
    <rPh sb="31" eb="33">
      <t>キョウイク</t>
    </rPh>
    <rPh sb="34" eb="36">
      <t>カモク</t>
    </rPh>
    <rPh sb="37" eb="39">
      <t>ハイチ</t>
    </rPh>
    <rPh sb="45" eb="46">
      <t>ゼン</t>
    </rPh>
    <rPh sb="46" eb="48">
      <t>ガクセイ</t>
    </rPh>
    <rPh sb="49" eb="51">
      <t>リシュウ</t>
    </rPh>
    <rPh sb="54" eb="56">
      <t>カモク</t>
    </rPh>
    <rPh sb="60" eb="61">
      <t>ツギ</t>
    </rPh>
    <rPh sb="65" eb="67">
      <t>カイコウ</t>
    </rPh>
    <rPh sb="74" eb="75">
      <t>ノウ</t>
    </rPh>
    <rPh sb="75" eb="76">
      <t>ショク</t>
    </rPh>
    <rPh sb="76" eb="78">
      <t>カンキョウ</t>
    </rPh>
    <rPh sb="78" eb="80">
      <t>ガクグン</t>
    </rPh>
    <rPh sb="86" eb="88">
      <t>ネンジ</t>
    </rPh>
    <rPh sb="88" eb="90">
      <t>キバン</t>
    </rPh>
    <rPh sb="90" eb="92">
      <t>キョウイク</t>
    </rPh>
    <rPh sb="92" eb="94">
      <t>カモク</t>
    </rPh>
    <rPh sb="96" eb="98">
      <t>ジョウホウ</t>
    </rPh>
    <rPh sb="98" eb="100">
      <t>カガク</t>
    </rPh>
    <rPh sb="101" eb="103">
      <t>キソ</t>
    </rPh>
    <rPh sb="106" eb="107">
      <t>ネン</t>
    </rPh>
    <rPh sb="107" eb="108">
      <t>ジ</t>
    </rPh>
    <rPh sb="108" eb="110">
      <t>カイコウ</t>
    </rPh>
    <rPh sb="110" eb="112">
      <t>カモク</t>
    </rPh>
    <rPh sb="113" eb="115">
      <t>センタク</t>
    </rPh>
    <rPh sb="118" eb="120">
      <t>ジョウホウ</t>
    </rPh>
    <rPh sb="120" eb="122">
      <t>ショリ</t>
    </rPh>
    <rPh sb="122" eb="124">
      <t>キソ</t>
    </rPh>
    <rPh sb="124" eb="126">
      <t>エンシュウ</t>
    </rPh>
    <rPh sb="129" eb="130">
      <t>ネン</t>
    </rPh>
    <rPh sb="130" eb="131">
      <t>ジ</t>
    </rPh>
    <rPh sb="131" eb="133">
      <t>カイコウ</t>
    </rPh>
    <rPh sb="133" eb="135">
      <t>カモク</t>
    </rPh>
    <rPh sb="136" eb="138">
      <t>ヒッシュウ</t>
    </rPh>
    <rPh sb="141" eb="144">
      <t>トウケイガク</t>
    </rPh>
    <rPh sb="148" eb="149">
      <t>ネン</t>
    </rPh>
    <rPh sb="149" eb="150">
      <t>ジ</t>
    </rPh>
    <rPh sb="150" eb="152">
      <t>カイコウ</t>
    </rPh>
    <rPh sb="152" eb="154">
      <t>カモク</t>
    </rPh>
    <rPh sb="155" eb="157">
      <t>ヒッシュウ</t>
    </rPh>
    <rPh sb="162" eb="163">
      <t>ショク</t>
    </rPh>
    <rPh sb="164" eb="166">
      <t>ケンコウ</t>
    </rPh>
    <rPh sb="166" eb="167">
      <t>ガク</t>
    </rPh>
    <rPh sb="167" eb="168">
      <t>ルイ</t>
    </rPh>
    <rPh sb="168" eb="170">
      <t>カンリ</t>
    </rPh>
    <rPh sb="170" eb="173">
      <t>エイヨウシ</t>
    </rPh>
    <rPh sb="178" eb="179">
      <t>スベ</t>
    </rPh>
    <rPh sb="181" eb="183">
      <t>カモク</t>
    </rPh>
    <rPh sb="185" eb="187">
      <t>ネンジ</t>
    </rPh>
    <rPh sb="187" eb="189">
      <t>カイコウ</t>
    </rPh>
    <rPh sb="189" eb="191">
      <t>カモク</t>
    </rPh>
    <rPh sb="197" eb="199">
      <t>ジュウイ</t>
    </rPh>
    <rPh sb="213" eb="215">
      <t>カモク</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</si>
</sst>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_ "/>
  </numFmts>
  <fonts count="13" x14ac:knownFonts="1">
    <font>
      <sz val="11"/>
      <color theme="1"/>
      <name val="ＭＳ Ｐゴシック"/>
      <family val="2"/>
      <charset val="128"/>
      <scheme val="minor"/>
    </font>
    <font>
      <sz val="6"/>
      <name val="ＭＳ Ｐゴシック"/>
      <family val="2"/>
      <charset val="128"/>
      <scheme val="minor"/>
    </font>
    <font>
      <sz val="12"/>
      <color theme="1"/>
      <name val="ＭＳ Ｐゴシック"/>
      <family val="3"/>
      <charset val="128"/>
      <scheme val="minor"/>
    </font>
    <font>
      <sz val="9"/>
      <color theme="1"/>
      <name val="ＭＳ Ｐゴシック"/>
      <family val="3"/>
      <charset val="128"/>
      <scheme val="minor"/>
    </font>
    <font>
      <sz val="11"/>
      <color theme="1"/>
      <name val="ＭＳ Ｐゴシック"/>
      <family val="2"/>
      <charset val="128"/>
      <scheme val="minor"/>
    </font>
    <font>
      <sz val="11"/>
      <color theme="1"/>
      <name val="ＭＳ Ｐゴシック"/>
      <family val="3"/>
      <charset val="128"/>
      <scheme val="minor"/>
    </font>
    <font>
      <sz val="14"/>
      <color theme="1"/>
      <name val="ＭＳ Ｐゴシック"/>
      <family val="3"/>
      <charset val="128"/>
      <scheme val="minor"/>
    </font>
    <font>
      <sz val="10"/>
      <color theme="1"/>
      <name val="ＭＳ Ｐゴシック"/>
      <family val="3"/>
      <charset val="128"/>
      <scheme val="minor"/>
    </font>
    <font>
      <sz val="7"/>
      <color theme="1"/>
      <name val="ＭＳ Ｐゴシック"/>
      <family val="3"/>
      <charset val="128"/>
      <scheme val="minor"/>
    </font>
    <font>
      <sz val="6"/>
      <color theme="1"/>
      <name val="ＭＳ Ｐゴシック"/>
      <family val="3"/>
      <charset val="128"/>
      <scheme val="minor"/>
    </font>
    <font>
      <sz val="12"/>
      <color rgb="FFFF0000"/>
      <name val="ＭＳ Ｐゴシック"/>
      <family val="3"/>
      <charset val="128"/>
      <scheme val="minor"/>
    </font>
    <font>
      <sz val="12"/>
      <name val="ＭＳ Ｐゴシック"/>
      <family val="3"/>
      <charset val="128"/>
      <scheme val="minor"/>
    </font>
    <font>
      <sz val="10"/>
      <name val="ＭＳ Ｐゴシック"/>
      <family val="3"/>
      <charset val="128"/>
      <scheme val="minor"/>
    </font>
  </fonts>
  <fills count="3">
    <fill>
      <patternFill patternType="none"/>
    </fill>
    <fill>
      <patternFill patternType="gray125"/>
    </fill>
    <fill>
      <patternFill patternType="solid">
        <fgColor theme="0" tint="-4.9989318521683403E-2"/>
        <bgColor indexed="64"/>
      </patternFill>
    </fill>
  </fills>
  <borders count="49">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hair">
        <color auto="1"/>
      </bottom>
      <diagonal/>
    </border>
    <border>
      <left style="thin">
        <color auto="1"/>
      </left>
      <right style="thin">
        <color auto="1"/>
      </right>
      <top style="thin">
        <color auto="1"/>
      </top>
      <bottom/>
      <diagonal/>
    </border>
    <border>
      <left style="hair">
        <color auto="1"/>
      </left>
      <right/>
      <top style="hair">
        <color auto="1"/>
      </top>
      <bottom style="hair">
        <color auto="1"/>
      </bottom>
      <diagonal/>
    </border>
    <border>
      <left/>
      <right style="thin">
        <color auto="1"/>
      </right>
      <top style="hair">
        <color auto="1"/>
      </top>
      <bottom style="hair">
        <color auto="1"/>
      </bottom>
      <diagonal/>
    </border>
    <border>
      <left style="thin">
        <color auto="1"/>
      </left>
      <right/>
      <top style="hair">
        <color auto="1"/>
      </top>
      <bottom style="hair">
        <color auto="1"/>
      </bottom>
      <diagonal/>
    </border>
    <border>
      <left/>
      <right/>
      <top style="hair">
        <color auto="1"/>
      </top>
      <bottom style="hair">
        <color auto="1"/>
      </bottom>
      <diagonal/>
    </border>
    <border>
      <left style="thin">
        <color auto="1"/>
      </left>
      <right style="thin">
        <color auto="1"/>
      </right>
      <top style="hair">
        <color auto="1"/>
      </top>
      <bottom style="hair">
        <color auto="1"/>
      </bottom>
      <diagonal/>
    </border>
    <border>
      <left style="thin">
        <color auto="1"/>
      </left>
      <right style="thin">
        <color auto="1"/>
      </right>
      <top style="hair">
        <color auto="1"/>
      </top>
      <bottom style="double">
        <color auto="1"/>
      </bottom>
      <diagonal/>
    </border>
    <border>
      <left style="thin">
        <color auto="1"/>
      </left>
      <right/>
      <top style="double">
        <color auto="1"/>
      </top>
      <bottom style="thin">
        <color auto="1"/>
      </bottom>
      <diagonal/>
    </border>
    <border>
      <left/>
      <right/>
      <top style="double">
        <color auto="1"/>
      </top>
      <bottom style="thin">
        <color auto="1"/>
      </bottom>
      <diagonal/>
    </border>
    <border>
      <left/>
      <right style="thin">
        <color auto="1"/>
      </right>
      <top style="double">
        <color auto="1"/>
      </top>
      <bottom style="thin">
        <color auto="1"/>
      </bottom>
      <diagonal/>
    </border>
    <border>
      <left style="thin">
        <color auto="1"/>
      </left>
      <right style="thin">
        <color auto="1"/>
      </right>
      <top style="double">
        <color auto="1"/>
      </top>
      <bottom style="thin">
        <color auto="1"/>
      </bottom>
      <diagonal/>
    </border>
    <border>
      <left style="hair">
        <color auto="1"/>
      </left>
      <right style="thin">
        <color auto="1"/>
      </right>
      <top style="hair">
        <color auto="1"/>
      </top>
      <bottom style="thin">
        <color auto="1"/>
      </bottom>
      <diagonal/>
    </border>
    <border>
      <left style="thin">
        <color auto="1"/>
      </left>
      <right style="hair">
        <color auto="1"/>
      </right>
      <top/>
      <bottom/>
      <diagonal/>
    </border>
    <border>
      <left style="hair">
        <color auto="1"/>
      </left>
      <right style="thin">
        <color auto="1"/>
      </right>
      <top style="hair">
        <color auto="1"/>
      </top>
      <bottom style="hair">
        <color auto="1"/>
      </bottom>
      <diagonal/>
    </border>
    <border>
      <left style="thin">
        <color auto="1"/>
      </left>
      <right/>
      <top style="thin">
        <color auto="1"/>
      </top>
      <bottom style="hair">
        <color auto="1"/>
      </bottom>
      <diagonal/>
    </border>
    <border>
      <left/>
      <right style="thin">
        <color auto="1"/>
      </right>
      <top style="thin">
        <color auto="1"/>
      </top>
      <bottom style="hair">
        <color auto="1"/>
      </bottom>
      <diagonal/>
    </border>
    <border>
      <left/>
      <right/>
      <top style="thin">
        <color auto="1"/>
      </top>
      <bottom style="hair">
        <color auto="1"/>
      </bottom>
      <diagonal/>
    </border>
    <border>
      <left style="thin">
        <color auto="1"/>
      </left>
      <right/>
      <top style="hair">
        <color auto="1"/>
      </top>
      <bottom style="thin">
        <color auto="1"/>
      </bottom>
      <diagonal/>
    </border>
    <border>
      <left/>
      <right/>
      <top style="hair">
        <color auto="1"/>
      </top>
      <bottom style="thin">
        <color auto="1"/>
      </bottom>
      <diagonal/>
    </border>
    <border>
      <left/>
      <right style="thin">
        <color auto="1"/>
      </right>
      <top style="hair">
        <color auto="1"/>
      </top>
      <bottom style="thin">
        <color auto="1"/>
      </bottom>
      <diagonal/>
    </border>
    <border>
      <left style="thin">
        <color auto="1"/>
      </left>
      <right style="thin">
        <color auto="1"/>
      </right>
      <top style="hair">
        <color auto="1"/>
      </top>
      <bottom style="thin">
        <color auto="1"/>
      </bottom>
      <diagonal/>
    </border>
    <border>
      <left style="thin">
        <color auto="1"/>
      </left>
      <right/>
      <top/>
      <bottom style="hair">
        <color auto="1"/>
      </bottom>
      <diagonal/>
    </border>
    <border>
      <left/>
      <right/>
      <top/>
      <bottom style="hair">
        <color auto="1"/>
      </bottom>
      <diagonal/>
    </border>
    <border>
      <left/>
      <right style="thin">
        <color auto="1"/>
      </right>
      <top/>
      <bottom style="hair">
        <color auto="1"/>
      </bottom>
      <diagonal/>
    </border>
    <border>
      <left style="hair">
        <color auto="1"/>
      </left>
      <right style="thin">
        <color auto="1"/>
      </right>
      <top style="thin">
        <color auto="1"/>
      </top>
      <bottom style="hair">
        <color auto="1"/>
      </bottom>
      <diagonal/>
    </border>
    <border>
      <left style="thin">
        <color auto="1"/>
      </left>
      <right style="hair">
        <color auto="1"/>
      </right>
      <top style="thin">
        <color auto="1"/>
      </top>
      <bottom/>
      <diagonal/>
    </border>
    <border>
      <left style="thin">
        <color auto="1"/>
      </left>
      <right style="hair">
        <color auto="1"/>
      </right>
      <top/>
      <bottom style="thin">
        <color auto="1"/>
      </bottom>
      <diagonal/>
    </border>
    <border>
      <left style="hair">
        <color auto="1"/>
      </left>
      <right style="thin">
        <color auto="1"/>
      </right>
      <top/>
      <bottom style="thin">
        <color auto="1"/>
      </bottom>
      <diagonal/>
    </border>
    <border>
      <left style="hair">
        <color auto="1"/>
      </left>
      <right style="thin">
        <color auto="1"/>
      </right>
      <top style="thin">
        <color auto="1"/>
      </top>
      <bottom/>
      <diagonal/>
    </border>
    <border>
      <left style="hair">
        <color auto="1"/>
      </left>
      <right style="thin">
        <color auto="1"/>
      </right>
      <top style="hair">
        <color auto="1"/>
      </top>
      <bottom/>
      <diagonal/>
    </border>
    <border>
      <left style="thin">
        <color auto="1"/>
      </left>
      <right style="thin">
        <color auto="1"/>
      </right>
      <top/>
      <bottom/>
      <diagonal/>
    </border>
    <border>
      <left style="thin">
        <color auto="1"/>
      </left>
      <right style="dotted">
        <color auto="1"/>
      </right>
      <top style="hair">
        <color auto="1"/>
      </top>
      <bottom style="hair">
        <color auto="1"/>
      </bottom>
      <diagonal/>
    </border>
    <border>
      <left style="hair">
        <color auto="1"/>
      </left>
      <right/>
      <top style="hair">
        <color auto="1"/>
      </top>
      <bottom style="thin">
        <color indexed="64"/>
      </bottom>
      <diagonal/>
    </border>
    <border>
      <left style="thin">
        <color auto="1"/>
      </left>
      <right style="thin">
        <color auto="1"/>
      </right>
      <top/>
      <bottom style="hair">
        <color auto="1"/>
      </bottom>
      <diagonal/>
    </border>
  </borders>
  <cellStyleXfs count="3">
    <xf numFmtId="0" fontId="0" fillId="0" borderId="0">
      <alignment vertical="center"/>
    </xf>
    <xf numFmtId="9" fontId="4" fillId="0" borderId="0" applyFont="0" applyFill="0" applyBorder="0" applyAlignment="0" applyProtection="0">
      <alignment vertical="center"/>
    </xf>
    <xf numFmtId="38" fontId="4" fillId="0" borderId="0" applyFont="0" applyFill="0" applyBorder="0" applyAlignment="0" applyProtection="0">
      <alignment vertical="center"/>
    </xf>
  </cellStyleXfs>
  <cellXfs count="262">
    <xf numFmtId="0" fontId="0" fillId="0" borderId="0" xfId="0">
      <alignment vertical="center"/>
    </xf>
    <xf numFmtId="0" fontId="2" fillId="0" borderId="0" xfId="0" applyFont="1">
      <alignment vertical="center"/>
    </xf>
    <xf numFmtId="0" fontId="5" fillId="0" borderId="0" xfId="0" applyFont="1">
      <alignment vertical="center"/>
    </xf>
    <xf numFmtId="0" fontId="2" fillId="0" borderId="0" xfId="0" applyFont="1" applyAlignment="1">
      <alignment horizontal="center" vertical="center"/>
    </xf>
    <xf numFmtId="0" fontId="3" fillId="0" borderId="0" xfId="0" applyFont="1" applyAlignment="1">
      <alignment vertical="top" wrapText="1"/>
    </xf>
    <xf numFmtId="0" fontId="6" fillId="0" borderId="0" xfId="0" applyFont="1" applyAlignment="1">
      <alignment horizontal="center" vertical="center"/>
    </xf>
    <xf numFmtId="0" fontId="2" fillId="0" borderId="0" xfId="0" applyFont="1" applyAlignment="1">
      <alignment vertical="center" shrinkToFit="1"/>
    </xf>
    <xf numFmtId="9" fontId="2" fillId="0" borderId="10" xfId="0" applyNumberFormat="1" applyFont="1" applyBorder="1" applyAlignment="1">
      <alignment vertical="center" shrinkToFit="1"/>
    </xf>
    <xf numFmtId="9" fontId="2" fillId="0" borderId="20" xfId="0" applyNumberFormat="1" applyFont="1" applyBorder="1" applyAlignment="1">
      <alignment vertical="center" shrinkToFit="1"/>
    </xf>
    <xf numFmtId="9" fontId="2" fillId="0" borderId="24" xfId="0" applyNumberFormat="1" applyFont="1" applyBorder="1" applyAlignment="1">
      <alignment vertical="center" shrinkToFit="1"/>
    </xf>
    <xf numFmtId="0" fontId="2" fillId="0" borderId="0" xfId="0" applyFont="1" applyAlignment="1">
      <alignment horizontal="left" vertical="center"/>
    </xf>
    <xf numFmtId="0" fontId="2" fillId="0" borderId="20" xfId="0" applyFont="1" applyBorder="1" applyAlignment="1">
      <alignment horizontal="left" vertical="center" shrinkToFit="1"/>
    </xf>
    <xf numFmtId="0" fontId="2" fillId="0" borderId="21" xfId="0" applyFont="1" applyBorder="1" applyAlignment="1">
      <alignment horizontal="left" vertical="center" shrinkToFit="1"/>
    </xf>
    <xf numFmtId="0" fontId="2" fillId="0" borderId="25" xfId="0" applyFont="1" applyBorder="1" applyAlignment="1">
      <alignment horizontal="center" vertical="center" shrinkToFit="1"/>
    </xf>
    <xf numFmtId="0" fontId="2" fillId="0" borderId="0" xfId="0" applyFont="1" applyAlignment="1">
      <alignment vertical="top" wrapText="1"/>
    </xf>
    <xf numFmtId="0" fontId="2" fillId="0" borderId="0" xfId="0" applyFont="1" applyAlignment="1">
      <alignment vertical="center" wrapText="1"/>
    </xf>
    <xf numFmtId="9" fontId="2" fillId="0" borderId="48" xfId="0" applyNumberFormat="1" applyFont="1" applyBorder="1" applyAlignment="1">
      <alignment vertical="center" shrinkToFit="1"/>
    </xf>
    <xf numFmtId="0" fontId="2" fillId="0" borderId="1" xfId="0" applyFont="1" applyBorder="1" applyAlignment="1">
      <alignment horizontal="center" vertical="center"/>
    </xf>
    <xf numFmtId="0" fontId="2" fillId="0" borderId="0" xfId="0" applyFont="1" applyAlignment="1">
      <alignment horizontal="right" vertical="center"/>
    </xf>
    <xf numFmtId="0" fontId="2" fillId="0" borderId="1" xfId="0" applyFont="1" applyBorder="1" applyAlignment="1">
      <alignment horizontal="left" vertical="center"/>
    </xf>
    <xf numFmtId="0" fontId="3" fillId="0" borderId="0" xfId="0" applyFont="1">
      <alignment vertical="center"/>
    </xf>
    <xf numFmtId="0" fontId="5" fillId="0" borderId="0" xfId="0" applyFont="1" applyAlignment="1">
      <alignment horizontal="left" vertical="center"/>
    </xf>
    <xf numFmtId="9" fontId="2" fillId="0" borderId="1" xfId="0" applyNumberFormat="1" applyFont="1" applyBorder="1" applyAlignment="1">
      <alignment horizontal="center" vertical="center" shrinkToFit="1"/>
    </xf>
    <xf numFmtId="9" fontId="2" fillId="0" borderId="0" xfId="1" applyFont="1" applyAlignment="1">
      <alignment horizontal="center" vertical="center"/>
    </xf>
    <xf numFmtId="176" fontId="2" fillId="0" borderId="1" xfId="0" applyNumberFormat="1" applyFont="1" applyBorder="1" applyAlignment="1">
      <alignment horizontal="center" vertical="center" shrinkToFit="1"/>
    </xf>
    <xf numFmtId="0" fontId="3" fillId="0" borderId="0" xfId="0" applyFont="1" applyAlignment="1">
      <alignment vertical="top" shrinkToFit="1"/>
    </xf>
    <xf numFmtId="0" fontId="2" fillId="2" borderId="5" xfId="0" applyFont="1" applyFill="1" applyBorder="1">
      <alignment vertical="center"/>
    </xf>
    <xf numFmtId="0" fontId="3" fillId="2" borderId="10" xfId="0" applyFont="1" applyFill="1" applyBorder="1" applyAlignment="1">
      <alignment vertical="top" wrapText="1"/>
    </xf>
    <xf numFmtId="0" fontId="3" fillId="2" borderId="5" xfId="0" applyFont="1" applyFill="1" applyBorder="1" applyAlignment="1">
      <alignment vertical="top" wrapText="1"/>
    </xf>
    <xf numFmtId="0" fontId="3" fillId="2" borderId="11" xfId="0" applyFont="1" applyFill="1" applyBorder="1" applyAlignment="1">
      <alignment vertical="top" wrapText="1"/>
    </xf>
    <xf numFmtId="0" fontId="3" fillId="2" borderId="37" xfId="0" applyFont="1" applyFill="1" applyBorder="1" applyAlignment="1">
      <alignment vertical="top" wrapText="1"/>
    </xf>
    <xf numFmtId="0" fontId="3" fillId="2" borderId="38" xfId="0" applyFont="1" applyFill="1" applyBorder="1" applyAlignment="1">
      <alignment vertical="top" wrapText="1"/>
    </xf>
    <xf numFmtId="0" fontId="3" fillId="2" borderId="37" xfId="0" applyFont="1" applyFill="1" applyBorder="1" applyAlignment="1">
      <alignment vertical="top" shrinkToFit="1"/>
    </xf>
    <xf numFmtId="0" fontId="3" fillId="2" borderId="0" xfId="0" applyFont="1" applyFill="1" applyAlignment="1">
      <alignment vertical="top" wrapText="1"/>
    </xf>
    <xf numFmtId="0" fontId="2" fillId="2" borderId="0" xfId="0" applyFont="1" applyFill="1">
      <alignment vertical="center"/>
    </xf>
    <xf numFmtId="0" fontId="3" fillId="2" borderId="38" xfId="0" applyFont="1" applyFill="1" applyBorder="1" applyAlignment="1">
      <alignment vertical="top" shrinkToFit="1"/>
    </xf>
    <xf numFmtId="38" fontId="2" fillId="0" borderId="45" xfId="2" applyFont="1" applyBorder="1" applyAlignment="1">
      <alignment vertical="center" shrinkToFit="1"/>
    </xf>
    <xf numFmtId="38" fontId="2" fillId="0" borderId="0" xfId="2" applyFont="1" applyAlignment="1">
      <alignment vertical="center" shrinkToFit="1"/>
    </xf>
    <xf numFmtId="38" fontId="2" fillId="0" borderId="5" xfId="2" applyFont="1" applyBorder="1" applyAlignment="1">
      <alignment vertical="center" shrinkToFit="1"/>
    </xf>
    <xf numFmtId="38" fontId="2" fillId="0" borderId="20" xfId="2" applyFont="1" applyBorder="1" applyAlignment="1">
      <alignment vertical="center" shrinkToFit="1"/>
    </xf>
    <xf numFmtId="38" fontId="2" fillId="0" borderId="19" xfId="2" applyFont="1" applyBorder="1" applyAlignment="1">
      <alignment vertical="center" shrinkToFit="1"/>
    </xf>
    <xf numFmtId="38" fontId="2" fillId="0" borderId="18" xfId="2" applyFont="1" applyBorder="1" applyAlignment="1">
      <alignment vertical="center" shrinkToFit="1"/>
    </xf>
    <xf numFmtId="38" fontId="2" fillId="0" borderId="46" xfId="2" applyFont="1" applyBorder="1" applyAlignment="1">
      <alignment vertical="center" shrinkToFit="1"/>
    </xf>
    <xf numFmtId="38" fontId="2" fillId="0" borderId="17" xfId="2" applyFont="1" applyBorder="1" applyAlignment="1">
      <alignment vertical="center" shrinkToFit="1"/>
    </xf>
    <xf numFmtId="38" fontId="2" fillId="0" borderId="10" xfId="2" applyFont="1" applyBorder="1" applyAlignment="1">
      <alignment vertical="center" shrinkToFit="1"/>
    </xf>
    <xf numFmtId="38" fontId="2" fillId="0" borderId="25" xfId="2" applyFont="1" applyBorder="1" applyAlignment="1">
      <alignment vertical="center" shrinkToFit="1"/>
    </xf>
    <xf numFmtId="38" fontId="2" fillId="0" borderId="23" xfId="2" applyFont="1" applyBorder="1" applyAlignment="1">
      <alignment vertical="center" shrinkToFit="1"/>
    </xf>
    <xf numFmtId="38" fontId="2" fillId="0" borderId="22" xfId="2" applyFont="1" applyBorder="1" applyAlignment="1">
      <alignment vertical="center" shrinkToFit="1"/>
    </xf>
    <xf numFmtId="0" fontId="2" fillId="0" borderId="48" xfId="0" applyFont="1" applyBorder="1" applyAlignment="1">
      <alignment horizontal="left" vertical="center" shrinkToFit="1"/>
    </xf>
    <xf numFmtId="38" fontId="2" fillId="0" borderId="48" xfId="2" applyFont="1" applyBorder="1" applyAlignment="1">
      <alignment vertical="center" shrinkToFit="1"/>
    </xf>
    <xf numFmtId="9" fontId="2" fillId="0" borderId="13" xfId="0" applyNumberFormat="1" applyFont="1" applyBorder="1" applyAlignment="1">
      <alignment vertical="center" shrinkToFit="1"/>
    </xf>
    <xf numFmtId="0" fontId="10" fillId="0" borderId="0" xfId="0" applyFont="1">
      <alignment vertical="center"/>
    </xf>
    <xf numFmtId="0" fontId="2" fillId="0" borderId="0" xfId="0" applyFont="1" applyAlignment="1">
      <alignment vertical="top" wrapText="1" shrinkToFit="1"/>
    </xf>
    <xf numFmtId="0" fontId="2" fillId="0" borderId="0" xfId="0" applyFont="1" applyAlignment="1">
      <alignment vertical="top" shrinkToFit="1"/>
    </xf>
    <xf numFmtId="0" fontId="11" fillId="0" borderId="0" xfId="0" applyFont="1">
      <alignment vertical="center"/>
    </xf>
    <xf numFmtId="0" fontId="11" fillId="0" borderId="0" xfId="0" applyFont="1" applyAlignment="1">
      <alignment vertical="center" shrinkToFit="1"/>
    </xf>
    <xf numFmtId="0" fontId="11" fillId="0" borderId="0" xfId="0" applyFont="1" applyAlignment="1">
      <alignment horizontal="center" vertical="center"/>
    </xf>
    <xf numFmtId="0" fontId="11" fillId="0" borderId="0" xfId="0" applyFont="1" applyAlignment="1">
      <alignment horizontal="right" vertical="center"/>
    </xf>
    <xf numFmtId="0" fontId="11" fillId="0" borderId="0" xfId="0" applyFont="1" applyAlignment="1">
      <alignment horizontal="left" vertical="center"/>
    </xf>
    <xf numFmtId="0" fontId="11" fillId="0" borderId="1" xfId="0" applyFont="1" applyBorder="1">
      <alignment vertical="center"/>
    </xf>
    <xf numFmtId="0" fontId="3" fillId="0" borderId="1" xfId="0" applyFont="1" applyBorder="1" applyAlignment="1">
      <alignment horizontal="center" vertical="center" shrinkToFit="1"/>
    </xf>
    <xf numFmtId="0" fontId="3" fillId="0" borderId="4" xfId="0" applyFont="1" applyBorder="1" applyAlignment="1">
      <alignment horizontal="center" vertical="center" shrinkToFit="1"/>
    </xf>
    <xf numFmtId="49" fontId="3" fillId="0" borderId="1" xfId="0" applyNumberFormat="1" applyFont="1" applyBorder="1" applyAlignment="1">
      <alignment horizontal="center" vertical="center"/>
    </xf>
    <xf numFmtId="0" fontId="2" fillId="0" borderId="14" xfId="0" applyFont="1" applyBorder="1" applyAlignment="1">
      <alignment horizontal="center" vertical="center" shrinkToFit="1"/>
    </xf>
    <xf numFmtId="0" fontId="2" fillId="0" borderId="20" xfId="0" applyFont="1" applyBorder="1" applyAlignment="1">
      <alignment horizontal="center" vertical="center" shrinkToFit="1"/>
    </xf>
    <xf numFmtId="0" fontId="2" fillId="0" borderId="13" xfId="0" applyFont="1" applyBorder="1" applyAlignment="1">
      <alignment horizontal="center" vertical="center" shrinkToFit="1"/>
    </xf>
    <xf numFmtId="0" fontId="2" fillId="0" borderId="35" xfId="0" applyFont="1" applyBorder="1" applyAlignment="1">
      <alignment horizontal="center" vertical="center" shrinkToFit="1"/>
    </xf>
    <xf numFmtId="0" fontId="2" fillId="0" borderId="0" xfId="0" applyFont="1" applyAlignment="1">
      <alignment horizontal="center" vertical="center" shrinkToFit="1"/>
    </xf>
    <xf numFmtId="49" fontId="3" fillId="0" borderId="43" xfId="0" applyNumberFormat="1" applyFont="1" applyBorder="1" applyAlignment="1">
      <alignment horizontal="center" vertical="center"/>
    </xf>
    <xf numFmtId="49" fontId="3" fillId="0" borderId="44" xfId="0" applyNumberFormat="1" applyFont="1" applyBorder="1" applyAlignment="1">
      <alignment horizontal="center" vertical="center"/>
    </xf>
    <xf numFmtId="49" fontId="3" fillId="0" borderId="39" xfId="0" applyNumberFormat="1" applyFont="1" applyBorder="1" applyAlignment="1">
      <alignment horizontal="center" vertical="center"/>
    </xf>
    <xf numFmtId="49" fontId="3" fillId="0" borderId="26" xfId="0" applyNumberFormat="1" applyFont="1" applyBorder="1" applyAlignment="1">
      <alignment horizontal="center" vertical="center"/>
    </xf>
    <xf numFmtId="49" fontId="3" fillId="0" borderId="42" xfId="0" applyNumberFormat="1" applyFont="1" applyBorder="1" applyAlignment="1">
      <alignment horizontal="center" vertical="center"/>
    </xf>
    <xf numFmtId="49" fontId="3" fillId="0" borderId="28" xfId="0" applyNumberFormat="1" applyFont="1" applyBorder="1" applyAlignment="1">
      <alignment horizontal="center" vertical="center"/>
    </xf>
    <xf numFmtId="0" fontId="2" fillId="0" borderId="0" xfId="0" applyFont="1" applyAlignment="1">
      <alignment horizontal="left" vertical="center" shrinkToFit="1"/>
    </xf>
    <xf numFmtId="0" fontId="5" fillId="0" borderId="0" xfId="0" applyFont="1" applyAlignment="1">
      <alignment horizontal="center" vertical="center"/>
    </xf>
    <xf numFmtId="0" fontId="11" fillId="0" borderId="0" xfId="0" applyFont="1" applyAlignment="1">
      <alignment horizontal="center" vertical="center" shrinkToFit="1"/>
    </xf>
    <xf numFmtId="0" fontId="12" fillId="0" borderId="0" xfId="0" applyFont="1" applyAlignment="1">
      <alignment horizontal="center" vertical="center"/>
    </xf>
    <xf numFmtId="0" fontId="8" fillId="0" borderId="32" xfId="0" applyFont="1" applyBorder="1" applyAlignment="1">
      <alignment horizontal="center" vertical="center"/>
    </xf>
    <xf numFmtId="0" fontId="8" fillId="0" borderId="35" xfId="0" applyFont="1" applyBorder="1" applyAlignment="1">
      <alignment horizontal="center" vertical="center"/>
    </xf>
    <xf numFmtId="0" fontId="2" fillId="0" borderId="1" xfId="0" applyFont="1" applyBorder="1" applyAlignment="1">
      <alignment horizontal="center" vertical="center" wrapText="1" shrinkToFit="1"/>
    </xf>
    <xf numFmtId="0" fontId="2" fillId="0" borderId="1" xfId="0" applyFont="1" applyBorder="1" applyAlignment="1">
      <alignment horizontal="center" vertical="center" shrinkToFit="1"/>
    </xf>
    <xf numFmtId="0" fontId="2" fillId="0" borderId="0" xfId="0" applyFont="1" applyAlignment="1">
      <alignment horizontal="right" vertical="center"/>
    </xf>
    <xf numFmtId="0" fontId="2" fillId="0" borderId="0" xfId="0" applyFont="1" applyAlignment="1">
      <alignment vertical="top" wrapText="1"/>
    </xf>
    <xf numFmtId="0" fontId="2" fillId="0" borderId="0" xfId="0" applyFont="1" applyAlignment="1">
      <alignment horizontal="center" vertical="center"/>
    </xf>
    <xf numFmtId="0" fontId="2" fillId="0" borderId="0" xfId="0" applyFont="1">
      <alignment vertical="center"/>
    </xf>
    <xf numFmtId="0" fontId="2" fillId="0" borderId="1" xfId="0" applyFont="1" applyFill="1" applyBorder="1" applyAlignment="1">
      <alignment horizontal="center" vertical="center"/>
    </xf>
    <xf numFmtId="0" fontId="2" fillId="0" borderId="20" xfId="0" applyFont="1" applyFill="1" applyBorder="1" applyAlignment="1">
      <alignment horizontal="center" vertical="center" shrinkToFit="1"/>
    </xf>
    <xf numFmtId="38" fontId="2" fillId="0" borderId="5" xfId="2" applyFont="1" applyFill="1" applyBorder="1" applyAlignment="1">
      <alignment vertical="center" shrinkToFit="1"/>
    </xf>
    <xf numFmtId="38" fontId="2" fillId="0" borderId="46" xfId="2" applyFont="1" applyFill="1" applyBorder="1" applyAlignment="1">
      <alignment vertical="center" shrinkToFit="1"/>
    </xf>
    <xf numFmtId="0" fontId="2" fillId="0" borderId="0" xfId="0" applyFont="1">
      <alignment vertical="center"/>
    </xf>
    <xf numFmtId="0" fontId="2" fillId="0" borderId="0" xfId="0" applyFont="1">
      <alignment vertical="center"/>
    </xf>
    <xf numFmtId="0" fontId="2" fillId="0" borderId="0" xfId="0" applyFont="1">
      <alignment vertical="center"/>
    </xf>
    <xf numFmtId="0" fontId="2" fillId="0" borderId="0" xfId="0" applyFont="1" applyAlignment="1">
      <alignment horizontal="right" vertical="center"/>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2" fillId="0" borderId="2" xfId="0" applyFont="1" applyBorder="1" applyAlignment="1">
      <alignment horizontal="center" vertical="center" shrinkToFit="1"/>
    </xf>
    <xf numFmtId="0" fontId="2" fillId="0" borderId="3" xfId="0" applyFont="1" applyBorder="1" applyAlignment="1">
      <alignment horizontal="center" vertical="center" shrinkToFit="1"/>
    </xf>
    <xf numFmtId="0" fontId="2" fillId="0" borderId="4" xfId="0" applyFont="1" applyBorder="1" applyAlignment="1">
      <alignment horizontal="center" vertical="center" shrinkToFit="1"/>
    </xf>
    <xf numFmtId="0" fontId="6" fillId="0" borderId="0" xfId="0" applyFont="1" applyAlignment="1">
      <alignment horizontal="center" vertical="center"/>
    </xf>
    <xf numFmtId="0" fontId="5" fillId="0" borderId="2" xfId="0" applyFont="1" applyBorder="1" applyAlignment="1">
      <alignment horizontal="center" vertical="center"/>
    </xf>
    <xf numFmtId="0" fontId="5" fillId="0" borderId="3" xfId="0" applyFont="1" applyBorder="1" applyAlignment="1">
      <alignment horizontal="center" vertical="center"/>
    </xf>
    <xf numFmtId="0" fontId="5" fillId="0" borderId="4" xfId="0" applyFont="1" applyBorder="1" applyAlignment="1">
      <alignment horizontal="center" vertical="center"/>
    </xf>
    <xf numFmtId="0" fontId="2" fillId="0" borderId="7" xfId="0" applyFont="1" applyBorder="1" applyAlignment="1">
      <alignment horizontal="left" vertical="center" wrapText="1"/>
    </xf>
    <xf numFmtId="0" fontId="2" fillId="0" borderId="8" xfId="0" applyFont="1" applyBorder="1" applyAlignment="1">
      <alignment horizontal="left" vertical="center" wrapText="1"/>
    </xf>
    <xf numFmtId="0" fontId="2" fillId="0" borderId="9" xfId="0" applyFont="1" applyBorder="1" applyAlignment="1">
      <alignment horizontal="left" vertical="center" wrapText="1"/>
    </xf>
    <xf numFmtId="0" fontId="2" fillId="0" borderId="11" xfId="0" applyFont="1" applyBorder="1" applyAlignment="1">
      <alignment horizontal="left" vertical="center" wrapText="1"/>
    </xf>
    <xf numFmtId="0" fontId="2" fillId="0" borderId="6" xfId="0" applyFont="1" applyBorder="1" applyAlignment="1">
      <alignment horizontal="left" vertical="center" wrapText="1"/>
    </xf>
    <xf numFmtId="0" fontId="2" fillId="0" borderId="12" xfId="0" applyFont="1" applyBorder="1" applyAlignment="1">
      <alignment horizontal="left" vertical="center" wrapText="1"/>
    </xf>
    <xf numFmtId="0" fontId="2" fillId="0" borderId="18" xfId="0" applyFont="1" applyBorder="1" applyAlignment="1">
      <alignment vertical="center" shrinkToFit="1"/>
    </xf>
    <xf numFmtId="0" fontId="2" fillId="0" borderId="19" xfId="0" applyFont="1" applyBorder="1" applyAlignment="1">
      <alignment vertical="center" shrinkToFit="1"/>
    </xf>
    <xf numFmtId="0" fontId="2" fillId="0" borderId="17" xfId="0" applyFont="1" applyBorder="1" applyAlignment="1">
      <alignment vertical="center" shrinkToFit="1"/>
    </xf>
    <xf numFmtId="0" fontId="2" fillId="0" borderId="7" xfId="0" applyFont="1" applyBorder="1" applyAlignment="1">
      <alignment horizontal="left" vertical="top" wrapText="1" shrinkToFit="1"/>
    </xf>
    <xf numFmtId="0" fontId="2" fillId="0" borderId="8" xfId="0" applyFont="1" applyBorder="1" applyAlignment="1">
      <alignment horizontal="left" vertical="top" wrapText="1" shrinkToFit="1"/>
    </xf>
    <xf numFmtId="0" fontId="2" fillId="0" borderId="9" xfId="0" applyFont="1" applyBorder="1" applyAlignment="1">
      <alignment horizontal="left" vertical="top" wrapText="1" shrinkToFit="1"/>
    </xf>
    <xf numFmtId="0" fontId="2" fillId="0" borderId="5" xfId="0" applyFont="1" applyBorder="1" applyAlignment="1">
      <alignment horizontal="left" vertical="top" wrapText="1" shrinkToFit="1"/>
    </xf>
    <xf numFmtId="0" fontId="2" fillId="0" borderId="0" xfId="0" applyFont="1" applyAlignment="1">
      <alignment horizontal="left" vertical="top" wrapText="1" shrinkToFit="1"/>
    </xf>
    <xf numFmtId="0" fontId="2" fillId="0" borderId="10" xfId="0" applyFont="1" applyBorder="1" applyAlignment="1">
      <alignment horizontal="left" vertical="top" wrapText="1" shrinkToFit="1"/>
    </xf>
    <xf numFmtId="0" fontId="2" fillId="0" borderId="11" xfId="0" applyFont="1" applyBorder="1" applyAlignment="1">
      <alignment horizontal="left" vertical="top" wrapText="1" shrinkToFit="1"/>
    </xf>
    <xf numFmtId="0" fontId="2" fillId="0" borderId="6" xfId="0" applyFont="1" applyBorder="1" applyAlignment="1">
      <alignment horizontal="left" vertical="top" wrapText="1" shrinkToFit="1"/>
    </xf>
    <xf numFmtId="0" fontId="2" fillId="0" borderId="12" xfId="0" applyFont="1" applyBorder="1" applyAlignment="1">
      <alignment horizontal="left" vertical="top" wrapText="1" shrinkToFit="1"/>
    </xf>
    <xf numFmtId="0" fontId="5" fillId="0" borderId="2" xfId="0" applyFont="1" applyBorder="1" applyAlignment="1">
      <alignment horizontal="center" vertical="center" shrinkToFit="1"/>
    </xf>
    <xf numFmtId="0" fontId="5" fillId="0" borderId="3" xfId="0" applyFont="1" applyBorder="1" applyAlignment="1">
      <alignment horizontal="center" vertical="center" shrinkToFit="1"/>
    </xf>
    <xf numFmtId="0" fontId="5" fillId="0" borderId="4" xfId="0" applyFont="1" applyBorder="1" applyAlignment="1">
      <alignment horizontal="center" vertical="center" shrinkToFit="1"/>
    </xf>
    <xf numFmtId="0" fontId="2" fillId="0" borderId="0" xfId="0" applyFont="1" applyAlignment="1">
      <alignment vertical="center" wrapText="1"/>
    </xf>
    <xf numFmtId="0" fontId="2" fillId="0" borderId="29" xfId="0" applyFont="1" applyBorder="1" applyAlignment="1">
      <alignment vertical="center" shrinkToFit="1"/>
    </xf>
    <xf numFmtId="0" fontId="2" fillId="0" borderId="31" xfId="0" applyFont="1" applyBorder="1" applyAlignment="1">
      <alignment vertical="center" shrinkToFit="1"/>
    </xf>
    <xf numFmtId="0" fontId="2" fillId="0" borderId="30" xfId="0" applyFont="1" applyBorder="1" applyAlignment="1">
      <alignment vertical="center" shrinkToFit="1"/>
    </xf>
    <xf numFmtId="0" fontId="2" fillId="0" borderId="18" xfId="0" applyFont="1" applyFill="1" applyBorder="1" applyAlignment="1">
      <alignment vertical="center" shrinkToFit="1"/>
    </xf>
    <xf numFmtId="0" fontId="2" fillId="0" borderId="19" xfId="0" applyFont="1" applyFill="1" applyBorder="1" applyAlignment="1">
      <alignment vertical="center" shrinkToFit="1"/>
    </xf>
    <xf numFmtId="0" fontId="2" fillId="0" borderId="17" xfId="0" applyFont="1" applyFill="1" applyBorder="1" applyAlignment="1">
      <alignment vertical="center" shrinkToFit="1"/>
    </xf>
    <xf numFmtId="0" fontId="2" fillId="0" borderId="32" xfId="0" applyFont="1" applyBorder="1" applyAlignment="1">
      <alignment vertical="center" shrinkToFit="1"/>
    </xf>
    <xf numFmtId="0" fontId="2" fillId="0" borderId="33" xfId="0" applyFont="1" applyBorder="1" applyAlignment="1">
      <alignment vertical="center" shrinkToFit="1"/>
    </xf>
    <xf numFmtId="0" fontId="2" fillId="0" borderId="34" xfId="0" applyFont="1" applyBorder="1" applyAlignment="1">
      <alignment vertical="center" shrinkToFit="1"/>
    </xf>
    <xf numFmtId="0" fontId="2" fillId="0" borderId="7" xfId="0" applyFont="1" applyBorder="1" applyAlignment="1">
      <alignment horizontal="center" vertical="center"/>
    </xf>
    <xf numFmtId="0" fontId="2" fillId="0" borderId="8" xfId="0" applyFont="1" applyBorder="1" applyAlignment="1">
      <alignment horizontal="center" vertical="center"/>
    </xf>
    <xf numFmtId="0" fontId="2" fillId="0" borderId="9" xfId="0" applyFont="1" applyBorder="1" applyAlignment="1">
      <alignment horizontal="center" vertical="center"/>
    </xf>
    <xf numFmtId="0" fontId="2" fillId="0" borderId="7" xfId="0" applyFont="1" applyBorder="1" applyAlignment="1">
      <alignment horizontal="center" vertical="center" shrinkToFit="1"/>
    </xf>
    <xf numFmtId="0" fontId="2" fillId="0" borderId="8" xfId="0" applyFont="1" applyBorder="1" applyAlignment="1">
      <alignment horizontal="center" vertical="center" shrinkToFit="1"/>
    </xf>
    <xf numFmtId="0" fontId="2" fillId="0" borderId="9" xfId="0" applyFont="1" applyBorder="1" applyAlignment="1">
      <alignment horizontal="center" vertical="center" shrinkToFit="1"/>
    </xf>
    <xf numFmtId="0" fontId="2" fillId="0" borderId="18" xfId="0" applyFont="1" applyBorder="1" applyAlignment="1">
      <alignment horizontal="center" vertical="center" shrinkToFit="1"/>
    </xf>
    <xf numFmtId="0" fontId="2" fillId="0" borderId="19" xfId="0" applyFont="1" applyBorder="1" applyAlignment="1">
      <alignment horizontal="center" vertical="center" shrinkToFit="1"/>
    </xf>
    <xf numFmtId="0" fontId="2" fillId="0" borderId="17" xfId="0" applyFont="1" applyBorder="1" applyAlignment="1">
      <alignment horizontal="center" vertical="center" shrinkToFit="1"/>
    </xf>
    <xf numFmtId="0" fontId="3" fillId="0" borderId="40" xfId="0" applyFont="1" applyBorder="1" applyAlignment="1">
      <alignment vertical="center" wrapText="1"/>
    </xf>
    <xf numFmtId="0" fontId="3" fillId="0" borderId="27" xfId="0" applyFont="1" applyBorder="1" applyAlignment="1">
      <alignment vertical="center" wrapText="1"/>
    </xf>
    <xf numFmtId="49" fontId="3" fillId="0" borderId="29" xfId="0" applyNumberFormat="1" applyFont="1" applyBorder="1" applyAlignment="1">
      <alignment horizontal="left" vertical="center" wrapText="1"/>
    </xf>
    <xf numFmtId="49" fontId="3" fillId="0" borderId="31" xfId="0" applyNumberFormat="1" applyFont="1" applyBorder="1" applyAlignment="1">
      <alignment horizontal="left" vertical="center"/>
    </xf>
    <xf numFmtId="49" fontId="3" fillId="0" borderId="30" xfId="0" applyNumberFormat="1" applyFont="1" applyBorder="1" applyAlignment="1">
      <alignment horizontal="left" vertical="center"/>
    </xf>
    <xf numFmtId="49" fontId="3" fillId="0" borderId="32" xfId="0" applyNumberFormat="1" applyFont="1" applyBorder="1" applyAlignment="1">
      <alignment horizontal="left" vertical="center" wrapText="1"/>
    </xf>
    <xf numFmtId="49" fontId="3" fillId="0" borderId="33" xfId="0" applyNumberFormat="1" applyFont="1" applyBorder="1" applyAlignment="1">
      <alignment horizontal="left" vertical="center"/>
    </xf>
    <xf numFmtId="49" fontId="3" fillId="0" borderId="34" xfId="0" applyNumberFormat="1" applyFont="1" applyBorder="1" applyAlignment="1">
      <alignment horizontal="left" vertical="center"/>
    </xf>
    <xf numFmtId="0" fontId="3" fillId="0" borderId="41" xfId="0" applyFont="1" applyBorder="1" applyAlignment="1">
      <alignment vertical="center" wrapText="1"/>
    </xf>
    <xf numFmtId="49" fontId="3" fillId="0" borderId="29" xfId="0" applyNumberFormat="1" applyFont="1" applyFill="1" applyBorder="1" applyAlignment="1">
      <alignment horizontal="left" vertical="center" wrapText="1"/>
    </xf>
    <xf numFmtId="49" fontId="3" fillId="0" borderId="31" xfId="0" applyNumberFormat="1" applyFont="1" applyFill="1" applyBorder="1" applyAlignment="1">
      <alignment horizontal="left" vertical="center"/>
    </xf>
    <xf numFmtId="49" fontId="3" fillId="0" borderId="30" xfId="0" applyNumberFormat="1" applyFont="1" applyFill="1" applyBorder="1" applyAlignment="1">
      <alignment horizontal="left" vertical="center"/>
    </xf>
    <xf numFmtId="49" fontId="3" fillId="0" borderId="32" xfId="0" applyNumberFormat="1" applyFont="1" applyFill="1" applyBorder="1" applyAlignment="1">
      <alignment horizontal="left" vertical="center" wrapText="1"/>
    </xf>
    <xf numFmtId="49" fontId="3" fillId="0" borderId="33" xfId="0" applyNumberFormat="1" applyFont="1" applyFill="1" applyBorder="1" applyAlignment="1">
      <alignment horizontal="left" vertical="center"/>
    </xf>
    <xf numFmtId="49" fontId="3" fillId="0" borderId="34" xfId="0" applyNumberFormat="1" applyFont="1" applyFill="1" applyBorder="1" applyAlignment="1">
      <alignment horizontal="left" vertical="center"/>
    </xf>
    <xf numFmtId="0" fontId="2" fillId="0" borderId="11" xfId="0" applyFont="1" applyBorder="1" applyAlignment="1">
      <alignment horizontal="center" vertical="center" shrinkToFit="1"/>
    </xf>
    <xf numFmtId="0" fontId="2" fillId="0" borderId="6" xfId="0" applyFont="1" applyBorder="1" applyAlignment="1">
      <alignment horizontal="center" vertical="center" shrinkToFit="1"/>
    </xf>
    <xf numFmtId="0" fontId="2" fillId="0" borderId="12" xfId="0" applyFont="1" applyBorder="1" applyAlignment="1">
      <alignment horizontal="center" vertical="center" shrinkToFit="1"/>
    </xf>
    <xf numFmtId="0" fontId="7" fillId="0" borderId="2" xfId="0" applyFont="1" applyBorder="1" applyAlignment="1">
      <alignment horizontal="center" vertical="center" shrinkToFit="1"/>
    </xf>
    <xf numFmtId="0" fontId="7" fillId="0" borderId="4" xfId="0" applyFont="1" applyBorder="1" applyAlignment="1">
      <alignment horizontal="center" vertical="center" shrinkToFit="1"/>
    </xf>
    <xf numFmtId="49" fontId="3" fillId="0" borderId="18" xfId="0" applyNumberFormat="1" applyFont="1" applyBorder="1" applyAlignment="1">
      <alignment horizontal="left" vertical="center" wrapText="1"/>
    </xf>
    <xf numFmtId="49" fontId="3" fillId="0" borderId="19" xfId="0" applyNumberFormat="1" applyFont="1" applyBorder="1" applyAlignment="1">
      <alignment horizontal="left" vertical="center"/>
    </xf>
    <xf numFmtId="49" fontId="3" fillId="0" borderId="17" xfId="0" applyNumberFormat="1" applyFont="1" applyBorder="1" applyAlignment="1">
      <alignment horizontal="left" vertical="center"/>
    </xf>
    <xf numFmtId="0" fontId="2" fillId="0" borderId="2" xfId="0" applyFont="1" applyBorder="1" applyAlignment="1">
      <alignment vertical="center" wrapText="1" shrinkToFit="1"/>
    </xf>
    <xf numFmtId="0" fontId="2" fillId="0" borderId="3" xfId="0" applyFont="1" applyBorder="1" applyAlignment="1">
      <alignment vertical="center" wrapText="1" shrinkToFit="1"/>
    </xf>
    <xf numFmtId="0" fontId="2" fillId="0" borderId="4" xfId="0" applyFont="1" applyBorder="1" applyAlignment="1">
      <alignment vertical="center" wrapText="1" shrinkToFit="1"/>
    </xf>
    <xf numFmtId="0" fontId="2" fillId="0" borderId="14" xfId="0" applyFont="1" applyBorder="1" applyAlignment="1">
      <alignment horizontal="center" vertical="center"/>
    </xf>
    <xf numFmtId="0" fontId="11" fillId="0" borderId="1" xfId="0" applyFont="1" applyBorder="1" applyAlignment="1">
      <alignment horizontal="center" vertical="center"/>
    </xf>
    <xf numFmtId="0" fontId="11" fillId="0" borderId="2" xfId="0" applyFont="1" applyBorder="1" applyAlignment="1">
      <alignment horizontal="center" vertical="center" shrinkToFit="1"/>
    </xf>
    <xf numFmtId="0" fontId="11" fillId="0" borderId="4" xfId="0" applyFont="1" applyBorder="1" applyAlignment="1">
      <alignment horizontal="center" vertical="center" shrinkToFit="1"/>
    </xf>
    <xf numFmtId="0" fontId="2" fillId="0" borderId="15" xfId="0" applyFont="1" applyBorder="1" applyAlignment="1">
      <alignment horizontal="center" vertical="center"/>
    </xf>
    <xf numFmtId="0" fontId="2" fillId="0" borderId="13" xfId="0" applyFont="1" applyBorder="1" applyAlignment="1">
      <alignment horizontal="center" vertical="center"/>
    </xf>
    <xf numFmtId="0" fontId="7" fillId="0" borderId="8" xfId="0" applyFont="1" applyBorder="1" applyAlignment="1">
      <alignment horizontal="center" vertical="center" wrapText="1"/>
    </xf>
    <xf numFmtId="0" fontId="7" fillId="0" borderId="6" xfId="0" applyFont="1" applyBorder="1" applyAlignment="1">
      <alignment horizontal="center" vertical="center" wrapText="1"/>
    </xf>
    <xf numFmtId="0" fontId="7" fillId="0" borderId="7" xfId="0" applyFont="1" applyBorder="1" applyAlignment="1">
      <alignment horizontal="center" vertical="center" wrapText="1"/>
    </xf>
    <xf numFmtId="0" fontId="7" fillId="0" borderId="11" xfId="0" applyFont="1" applyBorder="1" applyAlignment="1">
      <alignment horizontal="center" vertical="center" wrapText="1"/>
    </xf>
    <xf numFmtId="0" fontId="8" fillId="0" borderId="9" xfId="0" applyFont="1" applyBorder="1" applyAlignment="1">
      <alignment horizontal="center" vertical="center" wrapText="1"/>
    </xf>
    <xf numFmtId="0" fontId="8" fillId="0" borderId="12" xfId="0" applyFont="1" applyBorder="1" applyAlignment="1">
      <alignment horizontal="center" vertical="center" wrapText="1"/>
    </xf>
    <xf numFmtId="0" fontId="7" fillId="0" borderId="9" xfId="0" applyFont="1" applyBorder="1" applyAlignment="1">
      <alignment horizontal="center" vertical="center"/>
    </xf>
    <xf numFmtId="0" fontId="7" fillId="0" borderId="12" xfId="0" applyFont="1" applyBorder="1" applyAlignment="1">
      <alignment horizontal="center" vertical="center"/>
    </xf>
    <xf numFmtId="0" fontId="7" fillId="0" borderId="15" xfId="0" applyFont="1" applyBorder="1" applyAlignment="1">
      <alignment horizontal="center" vertical="center" wrapText="1"/>
    </xf>
    <xf numFmtId="0" fontId="7" fillId="0" borderId="13" xfId="0" applyFont="1" applyBorder="1" applyAlignment="1">
      <alignment horizontal="center" vertical="center" wrapText="1"/>
    </xf>
    <xf numFmtId="0" fontId="10" fillId="0" borderId="0" xfId="0" applyFont="1" applyAlignment="1">
      <alignment horizontal="left" vertical="center" wrapText="1"/>
    </xf>
    <xf numFmtId="0" fontId="2" fillId="0" borderId="2" xfId="0" applyFont="1" applyBorder="1" applyAlignment="1">
      <alignment vertical="center" shrinkToFit="1"/>
    </xf>
    <xf numFmtId="0" fontId="2" fillId="0" borderId="3" xfId="0" applyFont="1" applyBorder="1" applyAlignment="1">
      <alignment vertical="center" shrinkToFit="1"/>
    </xf>
    <xf numFmtId="0" fontId="2" fillId="0" borderId="4" xfId="0" applyFont="1" applyBorder="1" applyAlignment="1">
      <alignment vertical="center" shrinkToFit="1"/>
    </xf>
    <xf numFmtId="0" fontId="2" fillId="0" borderId="7" xfId="0" applyFont="1" applyBorder="1" applyAlignment="1">
      <alignment vertical="top" wrapText="1" shrinkToFit="1"/>
    </xf>
    <xf numFmtId="0" fontId="2" fillId="0" borderId="8" xfId="0" applyFont="1" applyBorder="1" applyAlignment="1">
      <alignment vertical="top" wrapText="1" shrinkToFit="1"/>
    </xf>
    <xf numFmtId="0" fontId="2" fillId="0" borderId="9" xfId="0" applyFont="1" applyBorder="1" applyAlignment="1">
      <alignment vertical="top" shrinkToFit="1"/>
    </xf>
    <xf numFmtId="0" fontId="2" fillId="0" borderId="5" xfId="0" applyFont="1" applyBorder="1" applyAlignment="1">
      <alignment vertical="top" wrapText="1" shrinkToFit="1"/>
    </xf>
    <xf numFmtId="0" fontId="2" fillId="0" borderId="0" xfId="0" applyFont="1" applyAlignment="1">
      <alignment vertical="top" wrapText="1" shrinkToFit="1"/>
    </xf>
    <xf numFmtId="0" fontId="2" fillId="0" borderId="10" xfId="0" applyFont="1" applyBorder="1" applyAlignment="1">
      <alignment vertical="top" shrinkToFit="1"/>
    </xf>
    <xf numFmtId="0" fontId="2" fillId="0" borderId="5" xfId="0" applyFont="1" applyBorder="1" applyAlignment="1">
      <alignment vertical="top" shrinkToFit="1"/>
    </xf>
    <xf numFmtId="0" fontId="2" fillId="0" borderId="0" xfId="0" applyFont="1" applyAlignment="1">
      <alignment vertical="top" shrinkToFit="1"/>
    </xf>
    <xf numFmtId="0" fontId="2" fillId="0" borderId="11" xfId="0" applyFont="1" applyBorder="1" applyAlignment="1">
      <alignment vertical="top" shrinkToFit="1"/>
    </xf>
    <xf numFmtId="0" fontId="2" fillId="0" borderId="6" xfId="0" applyFont="1" applyBorder="1" applyAlignment="1">
      <alignment vertical="top" shrinkToFit="1"/>
    </xf>
    <xf numFmtId="0" fontId="2" fillId="0" borderId="12" xfId="0" applyFont="1" applyBorder="1" applyAlignment="1">
      <alignment vertical="top" shrinkToFit="1"/>
    </xf>
    <xf numFmtId="0" fontId="2" fillId="0" borderId="2" xfId="0" applyFont="1" applyBorder="1" applyAlignment="1">
      <alignment horizontal="left" vertical="center"/>
    </xf>
    <xf numFmtId="0" fontId="5" fillId="0" borderId="3" xfId="0" applyFont="1" applyBorder="1">
      <alignment vertical="center"/>
    </xf>
    <xf numFmtId="0" fontId="5" fillId="0" borderId="4" xfId="0" applyFont="1" applyBorder="1">
      <alignment vertical="center"/>
    </xf>
    <xf numFmtId="0" fontId="5" fillId="0" borderId="3" xfId="0" applyFont="1" applyBorder="1" applyAlignment="1">
      <alignment horizontal="left" vertical="center"/>
    </xf>
    <xf numFmtId="0" fontId="5" fillId="0" borderId="4" xfId="0" applyFont="1" applyBorder="1" applyAlignment="1">
      <alignment horizontal="left" vertical="center"/>
    </xf>
    <xf numFmtId="0" fontId="2" fillId="0" borderId="0" xfId="0" applyFont="1" applyAlignment="1">
      <alignment horizontal="center" vertical="center"/>
    </xf>
    <xf numFmtId="0" fontId="2" fillId="0" borderId="0" xfId="0" applyFont="1">
      <alignment vertical="center"/>
    </xf>
    <xf numFmtId="0" fontId="2" fillId="2" borderId="5" xfId="0" applyFont="1" applyFill="1" applyBorder="1" applyAlignment="1">
      <alignment horizontal="center" vertical="center" shrinkToFit="1"/>
    </xf>
    <xf numFmtId="0" fontId="2" fillId="2" borderId="0" xfId="0" applyFont="1" applyFill="1" applyAlignment="1">
      <alignment horizontal="center" vertical="center" shrinkToFit="1"/>
    </xf>
    <xf numFmtId="0" fontId="2" fillId="2" borderId="10" xfId="0" applyFont="1" applyFill="1" applyBorder="1" applyAlignment="1">
      <alignment horizontal="center" vertical="center" shrinkToFit="1"/>
    </xf>
    <xf numFmtId="9" fontId="2" fillId="0" borderId="1" xfId="0" applyNumberFormat="1" applyFont="1" applyBorder="1" applyAlignment="1">
      <alignment horizontal="center" vertical="center" shrinkToFit="1"/>
    </xf>
    <xf numFmtId="0" fontId="2" fillId="0" borderId="7" xfId="0" applyFont="1" applyBorder="1" applyAlignment="1">
      <alignment vertical="top" wrapText="1"/>
    </xf>
    <xf numFmtId="0" fontId="2" fillId="0" borderId="8" xfId="0" applyFont="1" applyBorder="1" applyAlignment="1">
      <alignment vertical="top" wrapText="1"/>
    </xf>
    <xf numFmtId="0" fontId="2" fillId="0" borderId="9" xfId="0" applyFont="1" applyBorder="1" applyAlignment="1">
      <alignment vertical="top" wrapText="1"/>
    </xf>
    <xf numFmtId="0" fontId="2" fillId="0" borderId="5" xfId="0" applyFont="1" applyBorder="1" applyAlignment="1">
      <alignment vertical="top" wrapText="1"/>
    </xf>
    <xf numFmtId="0" fontId="2" fillId="0" borderId="0" xfId="0" applyFont="1" applyAlignment="1">
      <alignment vertical="top" wrapText="1"/>
    </xf>
    <xf numFmtId="0" fontId="2" fillId="0" borderId="10" xfId="0" applyFont="1" applyBorder="1" applyAlignment="1">
      <alignment vertical="top" wrapText="1"/>
    </xf>
    <xf numFmtId="0" fontId="2" fillId="0" borderId="11" xfId="0" applyFont="1" applyBorder="1" applyAlignment="1">
      <alignment vertical="top" wrapText="1"/>
    </xf>
    <xf numFmtId="0" fontId="2" fillId="0" borderId="6" xfId="0" applyFont="1" applyBorder="1" applyAlignment="1">
      <alignment vertical="top" wrapText="1"/>
    </xf>
    <xf numFmtId="0" fontId="2" fillId="0" borderId="12" xfId="0" applyFont="1" applyBorder="1" applyAlignment="1">
      <alignment vertical="top" wrapText="1"/>
    </xf>
    <xf numFmtId="0" fontId="2" fillId="0" borderId="9" xfId="0" applyFont="1" applyBorder="1" applyAlignment="1">
      <alignment vertical="top"/>
    </xf>
    <xf numFmtId="0" fontId="2" fillId="0" borderId="5" xfId="0" applyFont="1" applyBorder="1" applyAlignment="1">
      <alignment vertical="top"/>
    </xf>
    <xf numFmtId="0" fontId="2" fillId="0" borderId="0" xfId="0" applyFont="1" applyAlignment="1">
      <alignment vertical="top"/>
    </xf>
    <xf numFmtId="0" fontId="2" fillId="0" borderId="10" xfId="0" applyFont="1" applyBorder="1" applyAlignment="1">
      <alignment vertical="top"/>
    </xf>
    <xf numFmtId="0" fontId="2" fillId="0" borderId="11" xfId="0" applyFont="1" applyBorder="1" applyAlignment="1">
      <alignment vertical="top"/>
    </xf>
    <xf numFmtId="0" fontId="2" fillId="0" borderId="6" xfId="0" applyFont="1" applyBorder="1" applyAlignment="1">
      <alignment vertical="top"/>
    </xf>
    <xf numFmtId="0" fontId="2" fillId="0" borderId="12" xfId="0" applyFont="1" applyBorder="1" applyAlignment="1">
      <alignment vertical="top"/>
    </xf>
    <xf numFmtId="9" fontId="2" fillId="0" borderId="1" xfId="0" applyNumberFormat="1" applyFont="1" applyBorder="1" applyAlignment="1">
      <alignment horizontal="center" vertical="center" wrapText="1" shrinkToFit="1"/>
    </xf>
    <xf numFmtId="0" fontId="2" fillId="0" borderId="7" xfId="0" applyFont="1" applyBorder="1" applyAlignment="1">
      <alignment horizontal="left" vertical="top" wrapText="1"/>
    </xf>
    <xf numFmtId="0" fontId="2" fillId="0" borderId="8" xfId="0" applyFont="1" applyBorder="1" applyAlignment="1">
      <alignment horizontal="left" vertical="top" wrapText="1"/>
    </xf>
    <xf numFmtId="0" fontId="2" fillId="0" borderId="9" xfId="0" applyFont="1" applyBorder="1" applyAlignment="1">
      <alignment horizontal="left" vertical="top" wrapText="1"/>
    </xf>
    <xf numFmtId="0" fontId="2" fillId="0" borderId="5" xfId="0" applyFont="1" applyBorder="1" applyAlignment="1">
      <alignment horizontal="left" vertical="top" wrapText="1"/>
    </xf>
    <xf numFmtId="0" fontId="2" fillId="0" borderId="0" xfId="0" applyFont="1" applyAlignment="1">
      <alignment horizontal="left" vertical="top" wrapText="1"/>
    </xf>
    <xf numFmtId="0" fontId="2" fillId="0" borderId="10" xfId="0" applyFont="1" applyBorder="1" applyAlignment="1">
      <alignment horizontal="left" vertical="top" wrapText="1"/>
    </xf>
    <xf numFmtId="0" fontId="2" fillId="0" borderId="11" xfId="0" applyFont="1" applyBorder="1" applyAlignment="1">
      <alignment horizontal="left" vertical="top" wrapText="1"/>
    </xf>
    <xf numFmtId="0" fontId="2" fillId="0" borderId="6" xfId="0" applyFont="1" applyBorder="1" applyAlignment="1">
      <alignment horizontal="left" vertical="top" wrapText="1"/>
    </xf>
    <xf numFmtId="0" fontId="2" fillId="0" borderId="12" xfId="0" applyFont="1" applyBorder="1" applyAlignment="1">
      <alignment horizontal="left" vertical="top" wrapText="1"/>
    </xf>
    <xf numFmtId="0" fontId="2" fillId="0" borderId="16" xfId="0" applyFont="1" applyBorder="1">
      <alignment vertical="center"/>
    </xf>
    <xf numFmtId="0" fontId="5" fillId="0" borderId="17" xfId="0" applyFont="1" applyBorder="1">
      <alignment vertical="center"/>
    </xf>
    <xf numFmtId="0" fontId="2" fillId="0" borderId="18" xfId="0" applyFont="1" applyBorder="1" applyAlignment="1">
      <alignment vertical="top" wrapText="1" shrinkToFit="1"/>
    </xf>
    <xf numFmtId="0" fontId="2" fillId="0" borderId="19" xfId="0" applyFont="1" applyBorder="1" applyAlignment="1">
      <alignment vertical="top" wrapText="1" shrinkToFit="1"/>
    </xf>
    <xf numFmtId="0" fontId="2" fillId="0" borderId="17" xfId="0" applyFont="1" applyBorder="1" applyAlignment="1">
      <alignment vertical="top" wrapText="1" shrinkToFit="1"/>
    </xf>
    <xf numFmtId="0" fontId="2" fillId="0" borderId="16" xfId="0" applyFont="1" applyBorder="1" applyAlignment="1">
      <alignment vertical="center" wrapText="1"/>
    </xf>
    <xf numFmtId="0" fontId="2" fillId="0" borderId="17" xfId="0" applyFont="1" applyBorder="1" applyAlignment="1">
      <alignment vertical="center" wrapText="1"/>
    </xf>
    <xf numFmtId="0" fontId="2" fillId="0" borderId="3" xfId="0" applyFont="1" applyBorder="1" applyAlignment="1">
      <alignment horizontal="left" vertical="center"/>
    </xf>
    <xf numFmtId="0" fontId="2" fillId="0" borderId="4" xfId="0" applyFont="1" applyBorder="1" applyAlignment="1">
      <alignment horizontal="left" vertical="center"/>
    </xf>
    <xf numFmtId="0" fontId="2" fillId="0" borderId="47" xfId="0" applyFont="1" applyBorder="1" applyAlignment="1">
      <alignment vertical="center" wrapText="1"/>
    </xf>
    <xf numFmtId="0" fontId="2" fillId="0" borderId="34" xfId="0" applyFont="1" applyBorder="1" applyAlignment="1">
      <alignment vertical="center" wrapText="1"/>
    </xf>
    <xf numFmtId="0" fontId="2" fillId="0" borderId="32" xfId="0" applyFont="1" applyBorder="1" applyAlignment="1">
      <alignment vertical="top" wrapText="1" shrinkToFit="1"/>
    </xf>
    <xf numFmtId="0" fontId="2" fillId="0" borderId="33" xfId="0" applyFont="1" applyBorder="1" applyAlignment="1">
      <alignment vertical="top" wrapText="1" shrinkToFit="1"/>
    </xf>
    <xf numFmtId="0" fontId="2" fillId="0" borderId="34" xfId="0" applyFont="1" applyBorder="1" applyAlignment="1">
      <alignment vertical="top" wrapText="1" shrinkToFit="1"/>
    </xf>
    <xf numFmtId="0" fontId="11" fillId="0" borderId="11" xfId="0" applyFont="1" applyBorder="1" applyAlignment="1">
      <alignment vertical="center" wrapText="1"/>
    </xf>
    <xf numFmtId="0" fontId="11" fillId="0" borderId="6" xfId="0" applyFont="1" applyBorder="1" applyAlignment="1">
      <alignment vertical="center" wrapText="1"/>
    </xf>
    <xf numFmtId="0" fontId="11" fillId="0" borderId="12" xfId="0" applyFont="1" applyBorder="1" applyAlignment="1">
      <alignment vertical="center" wrapText="1"/>
    </xf>
    <xf numFmtId="0" fontId="2" fillId="0" borderId="36" xfId="0" applyFont="1" applyBorder="1" applyAlignment="1">
      <alignment vertical="center" wrapText="1"/>
    </xf>
    <xf numFmtId="0" fontId="2" fillId="0" borderId="37" xfId="0" applyFont="1" applyBorder="1" applyAlignment="1">
      <alignment vertical="center" wrapText="1"/>
    </xf>
    <xf numFmtId="0" fontId="2" fillId="0" borderId="38" xfId="0" applyFont="1" applyBorder="1" applyAlignment="1">
      <alignment vertical="center" wrapText="1"/>
    </xf>
    <xf numFmtId="0" fontId="2" fillId="0" borderId="37" xfId="0" applyFont="1" applyFill="1" applyBorder="1" applyAlignment="1">
      <alignment vertical="top" wrapText="1" shrinkToFit="1"/>
    </xf>
    <xf numFmtId="0" fontId="2" fillId="0" borderId="38" xfId="0" applyFont="1" applyFill="1" applyBorder="1" applyAlignment="1">
      <alignment vertical="top" wrapText="1" shrinkToFit="1"/>
    </xf>
    <xf numFmtId="0" fontId="2" fillId="0" borderId="6" xfId="0" applyFont="1" applyFill="1" applyBorder="1" applyAlignment="1">
      <alignment vertical="top" wrapText="1" shrinkToFit="1"/>
    </xf>
    <xf numFmtId="0" fontId="2" fillId="0" borderId="12" xfId="0" applyFont="1" applyFill="1" applyBorder="1" applyAlignment="1">
      <alignment vertical="top" wrapText="1" shrinkToFit="1"/>
    </xf>
  </cellXfs>
  <cellStyles count="3">
    <cellStyle name="パーセント" xfId="1" builtinId="5"/>
    <cellStyle name="桁区切り" xfId="2" builtinId="6"/>
    <cellStyle name="標準" xfId="0" builtinId="0"/>
  </cellStyles>
  <dxfs count="4">
    <dxf>
      <font>
        <color theme="0" tint="-0.34998626667073579"/>
      </font>
      <fill>
        <patternFill>
          <bgColor theme="0" tint="-0.34998626667073579"/>
        </patternFill>
      </fill>
    </dxf>
    <dxf>
      <fill>
        <patternFill>
          <bgColor theme="0" tint="-0.34998626667073579"/>
        </patternFill>
      </fill>
    </dxf>
    <dxf>
      <font>
        <color theme="0" tint="-0.34998626667073579"/>
      </font>
      <fill>
        <patternFill>
          <bgColor theme="0" tint="-0.34998626667073579"/>
        </patternFill>
      </fill>
    </dxf>
    <dxf>
      <fill>
        <patternFill>
          <bgColor theme="0" tint="-0.34998626667073579"/>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F0B5CC-8DC0-43DF-A42B-F2ECD5DF96A3}">
  <sheetPr>
    <pageSetUpPr fitToPage="1"/>
  </sheetPr>
  <dimension ref="A1:AA107"/>
  <sheetViews>
    <sheetView showZeros="0" view="pageBreakPreview" topLeftCell="A103" zoomScale="110" zoomScaleNormal="100" zoomScaleSheetLayoutView="110" workbookViewId="0">
      <selection activeCell="I7" sqref="I7"/>
    </sheetView>
  </sheetViews>
  <sheetFormatPr defaultColWidth="9" defaultRowHeight="18.75" customHeight="1" x14ac:dyDescent="0.2"/>
  <cols>
    <col min="1" max="1" width="2.44140625" style="85" customWidth="1"/>
    <col min="2" max="2" width="16.44140625" style="85" customWidth="1"/>
    <col min="3" max="21" width="5.6640625" style="85" customWidth="1"/>
    <col min="22" max="22" width="9" style="85"/>
    <col min="23" max="23" width="3.6640625" style="85" customWidth="1"/>
    <col min="24" max="24" width="48.6640625" style="85" hidden="1" customWidth="1"/>
    <col min="25" max="26" width="9" style="85"/>
    <col min="27" max="27" width="9" style="85" hidden="1" customWidth="1"/>
    <col min="28" max="16384" width="9" style="85"/>
  </cols>
  <sheetData>
    <row r="1" spans="1:24" ht="18.600000000000001" customHeight="1" x14ac:dyDescent="0.2">
      <c r="T1" s="93" t="s">
        <v>169</v>
      </c>
      <c r="U1" s="93"/>
      <c r="V1" s="2" t="s">
        <v>93</v>
      </c>
    </row>
    <row r="2" spans="1:24" ht="18.75" customHeight="1" x14ac:dyDescent="0.2">
      <c r="B2" s="17" t="s">
        <v>92</v>
      </c>
      <c r="C2" s="94" t="s">
        <v>143</v>
      </c>
      <c r="D2" s="95"/>
      <c r="E2" s="95"/>
      <c r="F2" s="95"/>
      <c r="G2" s="95"/>
      <c r="H2" s="95"/>
      <c r="I2" s="95"/>
      <c r="J2" s="96"/>
      <c r="K2" s="82"/>
      <c r="L2" s="6"/>
      <c r="M2" s="6"/>
      <c r="N2" s="6"/>
      <c r="O2" s="6"/>
      <c r="P2" s="6"/>
      <c r="Q2" s="6"/>
      <c r="R2" s="6"/>
      <c r="S2" s="6"/>
      <c r="T2" s="6"/>
      <c r="U2" s="6"/>
    </row>
    <row r="3" spans="1:24" ht="18.75" customHeight="1" x14ac:dyDescent="0.2">
      <c r="B3" s="17" t="s">
        <v>87</v>
      </c>
      <c r="C3" s="97" t="s">
        <v>144</v>
      </c>
      <c r="D3" s="98"/>
      <c r="E3" s="98"/>
      <c r="F3" s="98"/>
      <c r="G3" s="98"/>
      <c r="H3" s="98"/>
      <c r="I3" s="98"/>
      <c r="J3" s="99"/>
      <c r="K3" s="82"/>
      <c r="L3" s="6"/>
      <c r="M3" s="6"/>
      <c r="N3" s="6"/>
      <c r="O3" s="6"/>
      <c r="P3" s="6"/>
      <c r="Q3" s="6"/>
      <c r="R3" s="6"/>
      <c r="S3" s="6"/>
      <c r="T3" s="6"/>
      <c r="U3" s="6"/>
    </row>
    <row r="4" spans="1:24" ht="15" customHeight="1" x14ac:dyDescent="0.2">
      <c r="L4" s="82"/>
      <c r="M4" s="74"/>
      <c r="N4" s="74"/>
      <c r="O4" s="74"/>
      <c r="P4" s="74"/>
      <c r="Q4" s="74"/>
      <c r="R4" s="74"/>
      <c r="S4" s="74"/>
      <c r="T4" s="74"/>
      <c r="U4" s="74"/>
    </row>
    <row r="5" spans="1:24" ht="18" customHeight="1" x14ac:dyDescent="0.2">
      <c r="A5" s="100" t="s">
        <v>141</v>
      </c>
      <c r="B5" s="100"/>
      <c r="C5" s="100"/>
      <c r="D5" s="100"/>
      <c r="E5" s="100"/>
      <c r="F5" s="100"/>
      <c r="G5" s="100"/>
      <c r="H5" s="100"/>
      <c r="I5" s="100"/>
      <c r="J5" s="100"/>
      <c r="K5" s="100"/>
      <c r="L5" s="100"/>
      <c r="M5" s="100"/>
      <c r="N5" s="100"/>
      <c r="O5" s="100"/>
      <c r="P5" s="100"/>
      <c r="Q5" s="100"/>
      <c r="R5" s="100"/>
      <c r="S5" s="100"/>
      <c r="T5" s="100"/>
      <c r="U5" s="100"/>
    </row>
    <row r="6" spans="1:24" ht="15" customHeight="1" x14ac:dyDescent="0.2">
      <c r="B6" s="84"/>
      <c r="C6" s="84"/>
      <c r="D6" s="84"/>
      <c r="E6" s="84"/>
      <c r="F6" s="84"/>
      <c r="G6" s="84"/>
      <c r="H6" s="84"/>
      <c r="I6" s="84"/>
      <c r="J6" s="84"/>
      <c r="K6" s="84"/>
      <c r="L6" s="84"/>
      <c r="M6" s="84"/>
      <c r="N6" s="84"/>
      <c r="O6" s="84"/>
      <c r="P6" s="84"/>
      <c r="Q6" s="84"/>
      <c r="R6" s="84"/>
      <c r="S6" s="84"/>
      <c r="T6" s="84"/>
      <c r="U6" s="84"/>
    </row>
    <row r="7" spans="1:24" ht="15" customHeight="1" x14ac:dyDescent="0.2">
      <c r="A7" s="85" t="s">
        <v>117</v>
      </c>
      <c r="B7" s="84"/>
      <c r="C7" s="84"/>
      <c r="D7" s="84"/>
      <c r="E7" s="84"/>
      <c r="F7" s="2"/>
      <c r="G7" s="2"/>
      <c r="H7" s="2"/>
      <c r="I7" s="2"/>
      <c r="J7" s="2"/>
      <c r="K7" s="2"/>
      <c r="L7" s="101" t="s">
        <v>116</v>
      </c>
      <c r="M7" s="102"/>
      <c r="N7" s="102"/>
      <c r="O7" s="102"/>
      <c r="P7" s="102"/>
      <c r="Q7" s="102"/>
      <c r="R7" s="102"/>
      <c r="S7" s="102"/>
      <c r="T7" s="102"/>
      <c r="U7" s="103"/>
    </row>
    <row r="8" spans="1:24" ht="6" customHeight="1" x14ac:dyDescent="0.2">
      <c r="B8" s="84"/>
      <c r="C8" s="84"/>
      <c r="D8" s="84"/>
      <c r="E8" s="84"/>
      <c r="F8" s="84"/>
      <c r="G8" s="84"/>
      <c r="H8" s="84"/>
      <c r="I8" s="84"/>
      <c r="J8" s="84"/>
      <c r="K8" s="84"/>
      <c r="L8" s="84"/>
      <c r="M8" s="84"/>
      <c r="N8" s="84"/>
      <c r="O8" s="84"/>
      <c r="P8" s="84"/>
      <c r="Q8" s="84"/>
      <c r="R8" s="84"/>
      <c r="S8" s="84"/>
      <c r="T8" s="84"/>
      <c r="U8" s="84"/>
    </row>
    <row r="9" spans="1:24" ht="18" customHeight="1" x14ac:dyDescent="0.2">
      <c r="A9" s="85" t="s">
        <v>118</v>
      </c>
      <c r="C9" s="84"/>
      <c r="D9" s="84"/>
      <c r="K9" s="82"/>
      <c r="L9" s="2"/>
      <c r="M9" s="2"/>
      <c r="N9" s="2"/>
      <c r="O9" s="2"/>
      <c r="P9" s="2"/>
      <c r="Q9" s="2"/>
      <c r="R9" s="2"/>
      <c r="S9" s="2"/>
      <c r="T9" s="2"/>
      <c r="U9" s="2"/>
    </row>
    <row r="10" spans="1:24" ht="6" customHeight="1" x14ac:dyDescent="0.2">
      <c r="B10" s="84"/>
      <c r="C10" s="84"/>
      <c r="D10" s="84"/>
      <c r="E10" s="84"/>
      <c r="F10" s="84"/>
      <c r="G10" s="84"/>
      <c r="H10" s="84"/>
      <c r="I10" s="84"/>
      <c r="J10" s="84"/>
      <c r="K10" s="84"/>
      <c r="L10" s="10"/>
      <c r="M10" s="84"/>
      <c r="N10" s="84"/>
      <c r="O10" s="84"/>
      <c r="P10" s="84"/>
      <c r="Q10" s="84"/>
      <c r="R10" s="84"/>
      <c r="S10" s="84"/>
      <c r="T10" s="84"/>
      <c r="U10" s="84"/>
    </row>
    <row r="11" spans="1:24" ht="18" customHeight="1" x14ac:dyDescent="0.2">
      <c r="B11" s="104" t="s">
        <v>160</v>
      </c>
      <c r="C11" s="105"/>
      <c r="D11" s="105"/>
      <c r="E11" s="105"/>
      <c r="F11" s="105"/>
      <c r="G11" s="105"/>
      <c r="H11" s="105"/>
      <c r="I11" s="105"/>
      <c r="J11" s="105"/>
      <c r="K11" s="105"/>
      <c r="L11" s="105"/>
      <c r="M11" s="105"/>
      <c r="N11" s="105"/>
      <c r="O11" s="105"/>
      <c r="P11" s="105"/>
      <c r="Q11" s="105"/>
      <c r="R11" s="105"/>
      <c r="S11" s="105"/>
      <c r="T11" s="105"/>
      <c r="U11" s="106"/>
    </row>
    <row r="12" spans="1:24" ht="18" customHeight="1" x14ac:dyDescent="0.2">
      <c r="B12" s="107"/>
      <c r="C12" s="108"/>
      <c r="D12" s="108"/>
      <c r="E12" s="108"/>
      <c r="F12" s="108"/>
      <c r="G12" s="108"/>
      <c r="H12" s="108"/>
      <c r="I12" s="108"/>
      <c r="J12" s="108"/>
      <c r="K12" s="108"/>
      <c r="L12" s="108"/>
      <c r="M12" s="108"/>
      <c r="N12" s="108"/>
      <c r="O12" s="108"/>
      <c r="P12" s="108"/>
      <c r="Q12" s="108"/>
      <c r="R12" s="108"/>
      <c r="S12" s="108"/>
      <c r="T12" s="108"/>
      <c r="U12" s="109"/>
    </row>
    <row r="13" spans="1:24" ht="6" customHeight="1" x14ac:dyDescent="0.2">
      <c r="B13" s="84"/>
      <c r="C13" s="84"/>
      <c r="D13" s="84"/>
      <c r="E13" s="84"/>
      <c r="F13" s="84"/>
      <c r="G13" s="84"/>
      <c r="H13" s="84"/>
      <c r="I13" s="84"/>
      <c r="J13" s="84"/>
      <c r="K13" s="84"/>
      <c r="L13" s="10"/>
      <c r="M13" s="84"/>
      <c r="N13" s="84"/>
      <c r="O13" s="84"/>
      <c r="P13" s="84"/>
      <c r="Q13" s="84"/>
      <c r="R13" s="84"/>
      <c r="S13" s="84"/>
      <c r="T13" s="84"/>
      <c r="U13" s="84"/>
    </row>
    <row r="14" spans="1:24" ht="18" customHeight="1" x14ac:dyDescent="0.2">
      <c r="A14" s="85" t="s">
        <v>94</v>
      </c>
      <c r="B14" s="84"/>
      <c r="C14" s="84"/>
      <c r="D14" s="84"/>
      <c r="E14" s="82"/>
      <c r="F14" s="82"/>
      <c r="G14" s="82"/>
      <c r="H14" s="82"/>
      <c r="I14" s="82"/>
      <c r="J14" s="82"/>
      <c r="K14" s="82"/>
      <c r="L14" s="75"/>
      <c r="M14" s="75"/>
      <c r="N14" s="75"/>
      <c r="O14" s="75"/>
      <c r="P14" s="75"/>
      <c r="Q14" s="75"/>
      <c r="R14" s="75"/>
      <c r="S14" s="75"/>
      <c r="T14" s="75"/>
      <c r="U14" s="75"/>
    </row>
    <row r="15" spans="1:24" ht="18" customHeight="1" x14ac:dyDescent="0.2">
      <c r="B15" s="113" t="s">
        <v>171</v>
      </c>
      <c r="C15" s="114"/>
      <c r="D15" s="114"/>
      <c r="E15" s="114"/>
      <c r="F15" s="114"/>
      <c r="G15" s="114"/>
      <c r="H15" s="114"/>
      <c r="I15" s="114"/>
      <c r="J15" s="114"/>
      <c r="K15" s="114"/>
      <c r="L15" s="114"/>
      <c r="M15" s="114"/>
      <c r="N15" s="114"/>
      <c r="O15" s="114"/>
      <c r="P15" s="114"/>
      <c r="Q15" s="114"/>
      <c r="R15" s="114"/>
      <c r="S15" s="114"/>
      <c r="T15" s="114"/>
      <c r="U15" s="115"/>
      <c r="X15" s="85" t="s">
        <v>88</v>
      </c>
    </row>
    <row r="16" spans="1:24" ht="18" customHeight="1" x14ac:dyDescent="0.2">
      <c r="B16" s="116"/>
      <c r="C16" s="117"/>
      <c r="D16" s="117"/>
      <c r="E16" s="117"/>
      <c r="F16" s="117"/>
      <c r="G16" s="117"/>
      <c r="H16" s="117"/>
      <c r="I16" s="117"/>
      <c r="J16" s="117"/>
      <c r="K16" s="117"/>
      <c r="L16" s="117"/>
      <c r="M16" s="117"/>
      <c r="N16" s="117"/>
      <c r="O16" s="117"/>
      <c r="P16" s="117"/>
      <c r="Q16" s="117"/>
      <c r="R16" s="117"/>
      <c r="S16" s="117"/>
      <c r="T16" s="117"/>
      <c r="U16" s="118"/>
      <c r="X16" s="85" t="s">
        <v>122</v>
      </c>
    </row>
    <row r="17" spans="1:24" ht="18" customHeight="1" x14ac:dyDescent="0.2">
      <c r="B17" s="116"/>
      <c r="C17" s="117"/>
      <c r="D17" s="117"/>
      <c r="E17" s="117"/>
      <c r="F17" s="117"/>
      <c r="G17" s="117"/>
      <c r="H17" s="117"/>
      <c r="I17" s="117"/>
      <c r="J17" s="117"/>
      <c r="K17" s="117"/>
      <c r="L17" s="117"/>
      <c r="M17" s="117"/>
      <c r="N17" s="117"/>
      <c r="O17" s="117"/>
      <c r="P17" s="117"/>
      <c r="Q17" s="117"/>
      <c r="R17" s="117"/>
      <c r="S17" s="117"/>
      <c r="T17" s="117"/>
      <c r="U17" s="118"/>
      <c r="X17" s="85" t="s">
        <v>123</v>
      </c>
    </row>
    <row r="18" spans="1:24" ht="18" customHeight="1" x14ac:dyDescent="0.2">
      <c r="B18" s="116"/>
      <c r="C18" s="117"/>
      <c r="D18" s="117"/>
      <c r="E18" s="117"/>
      <c r="F18" s="117"/>
      <c r="G18" s="117"/>
      <c r="H18" s="117"/>
      <c r="I18" s="117"/>
      <c r="J18" s="117"/>
      <c r="K18" s="117"/>
      <c r="L18" s="117"/>
      <c r="M18" s="117"/>
      <c r="N18" s="117"/>
      <c r="O18" s="117"/>
      <c r="P18" s="117"/>
      <c r="Q18" s="117"/>
      <c r="R18" s="117"/>
      <c r="S18" s="117"/>
      <c r="T18" s="117"/>
      <c r="U18" s="118"/>
      <c r="X18" s="85" t="s">
        <v>124</v>
      </c>
    </row>
    <row r="19" spans="1:24" ht="18" customHeight="1" x14ac:dyDescent="0.2">
      <c r="B19" s="116"/>
      <c r="C19" s="117"/>
      <c r="D19" s="117"/>
      <c r="E19" s="117"/>
      <c r="F19" s="117"/>
      <c r="G19" s="117"/>
      <c r="H19" s="117"/>
      <c r="I19" s="117"/>
      <c r="J19" s="117"/>
      <c r="K19" s="117"/>
      <c r="L19" s="117"/>
      <c r="M19" s="117"/>
      <c r="N19" s="117"/>
      <c r="O19" s="117"/>
      <c r="P19" s="117"/>
      <c r="Q19" s="117"/>
      <c r="R19" s="117"/>
      <c r="S19" s="117"/>
      <c r="T19" s="117"/>
      <c r="U19" s="118"/>
    </row>
    <row r="20" spans="1:24" ht="18" customHeight="1" x14ac:dyDescent="0.2">
      <c r="B20" s="119"/>
      <c r="C20" s="120"/>
      <c r="D20" s="120"/>
      <c r="E20" s="120"/>
      <c r="F20" s="120"/>
      <c r="G20" s="120"/>
      <c r="H20" s="120"/>
      <c r="I20" s="120"/>
      <c r="J20" s="120"/>
      <c r="K20" s="120"/>
      <c r="L20" s="120"/>
      <c r="M20" s="120"/>
      <c r="N20" s="120"/>
      <c r="O20" s="120"/>
      <c r="P20" s="120"/>
      <c r="Q20" s="120"/>
      <c r="R20" s="120"/>
      <c r="S20" s="120"/>
      <c r="T20" s="120"/>
      <c r="U20" s="121"/>
    </row>
    <row r="21" spans="1:24" ht="7.5" customHeight="1" x14ac:dyDescent="0.2">
      <c r="B21" s="84"/>
      <c r="C21" s="84"/>
      <c r="D21" s="84"/>
      <c r="E21" s="84"/>
      <c r="F21" s="84"/>
      <c r="G21" s="84"/>
      <c r="H21" s="84"/>
      <c r="I21" s="84"/>
      <c r="J21" s="84"/>
      <c r="K21" s="84"/>
      <c r="L21" s="84"/>
      <c r="M21" s="84"/>
      <c r="N21" s="84"/>
      <c r="O21" s="84"/>
      <c r="P21" s="84"/>
      <c r="Q21" s="84"/>
      <c r="R21" s="84"/>
      <c r="S21" s="84"/>
      <c r="T21" s="84"/>
      <c r="U21" s="84"/>
    </row>
    <row r="22" spans="1:24" ht="19.95" customHeight="1" x14ac:dyDescent="0.2">
      <c r="B22" s="85" t="s">
        <v>119</v>
      </c>
      <c r="E22" s="17">
        <v>3</v>
      </c>
      <c r="F22" s="85" t="s">
        <v>106</v>
      </c>
      <c r="H22" s="17">
        <v>5</v>
      </c>
      <c r="I22" s="84" t="s">
        <v>107</v>
      </c>
      <c r="J22" s="84"/>
      <c r="K22" s="82"/>
      <c r="M22" s="82" t="s">
        <v>103</v>
      </c>
      <c r="N22" s="122" t="s">
        <v>124</v>
      </c>
      <c r="O22" s="123"/>
      <c r="P22" s="123"/>
      <c r="Q22" s="123"/>
      <c r="R22" s="123"/>
      <c r="S22" s="123"/>
      <c r="T22" s="123"/>
      <c r="U22" s="124"/>
    </row>
    <row r="23" spans="1:24" ht="7.5" customHeight="1" x14ac:dyDescent="0.2">
      <c r="B23" s="84"/>
      <c r="C23" s="84"/>
      <c r="D23" s="84"/>
      <c r="E23" s="84"/>
      <c r="F23" s="84"/>
      <c r="G23" s="84"/>
      <c r="H23" s="84"/>
      <c r="I23" s="84"/>
      <c r="J23" s="84"/>
      <c r="K23" s="84"/>
      <c r="L23" s="84"/>
      <c r="M23" s="84"/>
      <c r="N23" s="84"/>
      <c r="O23" s="84"/>
      <c r="P23" s="84"/>
      <c r="Q23" s="84"/>
      <c r="R23" s="84"/>
      <c r="S23" s="84"/>
      <c r="T23" s="84"/>
      <c r="U23" s="84"/>
    </row>
    <row r="24" spans="1:24" ht="18" customHeight="1" x14ac:dyDescent="0.2">
      <c r="A24" s="125" t="s">
        <v>95</v>
      </c>
      <c r="B24" s="125"/>
      <c r="C24" s="125"/>
      <c r="D24" s="125"/>
      <c r="E24" s="125"/>
      <c r="F24" s="125"/>
      <c r="G24" s="125"/>
      <c r="H24" s="125"/>
      <c r="I24" s="125"/>
      <c r="J24" s="125"/>
      <c r="K24" s="125"/>
      <c r="L24" s="125"/>
      <c r="M24" s="125"/>
      <c r="N24" s="125"/>
      <c r="O24" s="125"/>
      <c r="P24" s="125"/>
      <c r="Q24" s="125"/>
      <c r="R24" s="125"/>
      <c r="S24" s="125"/>
      <c r="T24" s="125"/>
      <c r="U24" s="125"/>
    </row>
    <row r="25" spans="1:24" ht="18" customHeight="1" x14ac:dyDescent="0.2">
      <c r="A25" s="125"/>
      <c r="B25" s="125"/>
      <c r="C25" s="125"/>
      <c r="D25" s="125"/>
      <c r="E25" s="125"/>
      <c r="F25" s="125"/>
      <c r="G25" s="125"/>
      <c r="H25" s="125"/>
      <c r="I25" s="125"/>
      <c r="J25" s="125"/>
      <c r="K25" s="125"/>
      <c r="L25" s="125"/>
      <c r="M25" s="125"/>
      <c r="N25" s="125"/>
      <c r="O25" s="125"/>
      <c r="P25" s="125"/>
      <c r="Q25" s="125"/>
      <c r="R25" s="125"/>
      <c r="S25" s="125"/>
      <c r="T25" s="125"/>
      <c r="U25" s="125"/>
    </row>
    <row r="26" spans="1:24" ht="18" customHeight="1" x14ac:dyDescent="0.2">
      <c r="B26" s="94" t="s">
        <v>47</v>
      </c>
      <c r="C26" s="95"/>
      <c r="D26" s="95"/>
      <c r="E26" s="95"/>
      <c r="F26" s="96"/>
      <c r="G26" s="60" t="s">
        <v>72</v>
      </c>
      <c r="H26" s="61" t="s">
        <v>75</v>
      </c>
      <c r="I26" s="62" t="s">
        <v>50</v>
      </c>
      <c r="J26" s="62" t="s">
        <v>53</v>
      </c>
      <c r="K26" s="94" t="s">
        <v>47</v>
      </c>
      <c r="L26" s="95"/>
      <c r="M26" s="95"/>
      <c r="N26" s="95"/>
      <c r="O26" s="95"/>
      <c r="P26" s="95"/>
      <c r="Q26" s="96"/>
      <c r="R26" s="60" t="s">
        <v>72</v>
      </c>
      <c r="S26" s="61" t="s">
        <v>75</v>
      </c>
      <c r="T26" s="62" t="s">
        <v>50</v>
      </c>
      <c r="U26" s="62" t="s">
        <v>53</v>
      </c>
    </row>
    <row r="27" spans="1:24" ht="18" customHeight="1" x14ac:dyDescent="0.2">
      <c r="B27" s="126" t="s">
        <v>145</v>
      </c>
      <c r="C27" s="127"/>
      <c r="D27" s="127"/>
      <c r="E27" s="127"/>
      <c r="F27" s="128"/>
      <c r="G27" s="63">
        <v>2</v>
      </c>
      <c r="H27" s="63" t="s">
        <v>146</v>
      </c>
      <c r="I27" s="63" t="s">
        <v>146</v>
      </c>
      <c r="J27" s="63" t="s">
        <v>146</v>
      </c>
      <c r="K27" s="126"/>
      <c r="L27" s="127"/>
      <c r="M27" s="127"/>
      <c r="N27" s="127"/>
      <c r="O27" s="127"/>
      <c r="P27" s="127"/>
      <c r="Q27" s="128"/>
      <c r="R27" s="63"/>
      <c r="S27" s="63"/>
      <c r="T27" s="63"/>
      <c r="U27" s="63"/>
    </row>
    <row r="28" spans="1:24" ht="18" customHeight="1" x14ac:dyDescent="0.2">
      <c r="B28" s="110"/>
      <c r="C28" s="111"/>
      <c r="D28" s="111"/>
      <c r="E28" s="111"/>
      <c r="F28" s="112"/>
      <c r="G28" s="64"/>
      <c r="H28" s="64"/>
      <c r="I28" s="64"/>
      <c r="J28" s="64"/>
      <c r="K28" s="110"/>
      <c r="L28" s="111"/>
      <c r="M28" s="111"/>
      <c r="N28" s="111"/>
      <c r="O28" s="111"/>
      <c r="P28" s="111"/>
      <c r="Q28" s="112"/>
      <c r="R28" s="64"/>
      <c r="S28" s="64"/>
      <c r="T28" s="64"/>
      <c r="U28" s="64"/>
    </row>
    <row r="29" spans="1:24" ht="18" customHeight="1" x14ac:dyDescent="0.2">
      <c r="B29" s="110"/>
      <c r="C29" s="111"/>
      <c r="D29" s="111"/>
      <c r="E29" s="111"/>
      <c r="F29" s="112"/>
      <c r="G29" s="64"/>
      <c r="H29" s="64"/>
      <c r="I29" s="64"/>
      <c r="J29" s="64"/>
      <c r="K29" s="110"/>
      <c r="L29" s="111"/>
      <c r="M29" s="111"/>
      <c r="N29" s="111"/>
      <c r="O29" s="111"/>
      <c r="P29" s="111"/>
      <c r="Q29" s="112"/>
      <c r="R29" s="64"/>
      <c r="S29" s="64"/>
      <c r="T29" s="64"/>
      <c r="U29" s="64"/>
    </row>
    <row r="30" spans="1:24" ht="18" customHeight="1" x14ac:dyDescent="0.2">
      <c r="B30" s="110"/>
      <c r="C30" s="111"/>
      <c r="D30" s="111"/>
      <c r="E30" s="111"/>
      <c r="F30" s="112"/>
      <c r="G30" s="64"/>
      <c r="H30" s="64"/>
      <c r="I30" s="64"/>
      <c r="J30" s="64"/>
      <c r="K30" s="110"/>
      <c r="L30" s="111"/>
      <c r="M30" s="111"/>
      <c r="N30" s="111"/>
      <c r="O30" s="111"/>
      <c r="P30" s="111"/>
      <c r="Q30" s="112"/>
      <c r="R30" s="64"/>
      <c r="S30" s="64"/>
      <c r="T30" s="64"/>
      <c r="U30" s="64"/>
    </row>
    <row r="31" spans="1:24" ht="18" customHeight="1" x14ac:dyDescent="0.2">
      <c r="B31" s="110"/>
      <c r="C31" s="111"/>
      <c r="D31" s="111"/>
      <c r="E31" s="111"/>
      <c r="F31" s="112"/>
      <c r="G31" s="64"/>
      <c r="H31" s="64"/>
      <c r="I31" s="64"/>
      <c r="J31" s="64"/>
      <c r="K31" s="110"/>
      <c r="L31" s="111"/>
      <c r="M31" s="111"/>
      <c r="N31" s="111"/>
      <c r="O31" s="111"/>
      <c r="P31" s="111"/>
      <c r="Q31" s="112"/>
      <c r="R31" s="64"/>
      <c r="S31" s="64"/>
      <c r="T31" s="64"/>
      <c r="U31" s="64"/>
    </row>
    <row r="32" spans="1:24" ht="18" customHeight="1" x14ac:dyDescent="0.2">
      <c r="A32" s="84"/>
      <c r="B32" s="110"/>
      <c r="C32" s="111"/>
      <c r="D32" s="111"/>
      <c r="E32" s="111"/>
      <c r="F32" s="112"/>
      <c r="G32" s="64"/>
      <c r="H32" s="64"/>
      <c r="I32" s="64"/>
      <c r="J32" s="64"/>
      <c r="K32" s="110"/>
      <c r="L32" s="111"/>
      <c r="M32" s="111"/>
      <c r="N32" s="111"/>
      <c r="O32" s="111"/>
      <c r="P32" s="111"/>
      <c r="Q32" s="112"/>
      <c r="R32" s="64"/>
      <c r="S32" s="64"/>
      <c r="T32" s="64"/>
      <c r="U32" s="64"/>
    </row>
    <row r="33" spans="1:21" ht="18" customHeight="1" x14ac:dyDescent="0.2">
      <c r="A33" s="84"/>
      <c r="B33" s="132"/>
      <c r="C33" s="133"/>
      <c r="D33" s="133"/>
      <c r="E33" s="133"/>
      <c r="F33" s="134"/>
      <c r="G33" s="65"/>
      <c r="H33" s="65"/>
      <c r="I33" s="66"/>
      <c r="J33" s="66"/>
      <c r="K33" s="132"/>
      <c r="L33" s="133"/>
      <c r="M33" s="133"/>
      <c r="N33" s="133"/>
      <c r="O33" s="133"/>
      <c r="P33" s="133"/>
      <c r="Q33" s="134"/>
      <c r="R33" s="65"/>
      <c r="S33" s="65"/>
      <c r="T33" s="66"/>
      <c r="U33" s="66"/>
    </row>
    <row r="34" spans="1:21" ht="7.5" customHeight="1" x14ac:dyDescent="0.2">
      <c r="A34" s="84"/>
      <c r="B34" s="6"/>
      <c r="C34" s="6"/>
      <c r="D34" s="6"/>
      <c r="E34" s="84"/>
      <c r="F34" s="84"/>
      <c r="G34" s="84"/>
      <c r="H34" s="84"/>
      <c r="I34" s="6"/>
      <c r="J34" s="6"/>
      <c r="K34" s="6"/>
      <c r="L34" s="6"/>
      <c r="M34" s="6"/>
      <c r="N34" s="6"/>
      <c r="O34" s="6"/>
      <c r="P34" s="6"/>
      <c r="Q34" s="6"/>
      <c r="R34" s="6"/>
      <c r="S34" s="6"/>
      <c r="T34" s="6"/>
      <c r="U34" s="84"/>
    </row>
    <row r="35" spans="1:21" ht="18" customHeight="1" x14ac:dyDescent="0.2">
      <c r="A35" s="125" t="s">
        <v>96</v>
      </c>
      <c r="B35" s="125"/>
      <c r="C35" s="125"/>
      <c r="D35" s="125"/>
      <c r="E35" s="125"/>
      <c r="F35" s="125"/>
      <c r="G35" s="125"/>
      <c r="H35" s="125"/>
      <c r="I35" s="125"/>
      <c r="J35" s="125"/>
      <c r="K35" s="125"/>
      <c r="L35" s="125"/>
      <c r="M35" s="125"/>
      <c r="N35" s="125"/>
      <c r="O35" s="125"/>
      <c r="P35" s="125"/>
      <c r="Q35" s="125"/>
      <c r="R35" s="125"/>
      <c r="S35" s="125"/>
      <c r="T35" s="125"/>
      <c r="U35" s="125"/>
    </row>
    <row r="36" spans="1:21" ht="18" customHeight="1" x14ac:dyDescent="0.2">
      <c r="A36" s="125"/>
      <c r="B36" s="125"/>
      <c r="C36" s="125"/>
      <c r="D36" s="125"/>
      <c r="E36" s="125"/>
      <c r="F36" s="125"/>
      <c r="G36" s="125"/>
      <c r="H36" s="125"/>
      <c r="I36" s="125"/>
      <c r="J36" s="125"/>
      <c r="K36" s="125"/>
      <c r="L36" s="125"/>
      <c r="M36" s="125"/>
      <c r="N36" s="125"/>
      <c r="O36" s="125"/>
      <c r="P36" s="125"/>
      <c r="Q36" s="125"/>
      <c r="R36" s="125"/>
      <c r="S36" s="125"/>
      <c r="T36" s="125"/>
      <c r="U36" s="125"/>
    </row>
    <row r="37" spans="1:21" ht="18" customHeight="1" x14ac:dyDescent="0.2">
      <c r="B37" s="94" t="s">
        <v>47</v>
      </c>
      <c r="C37" s="95"/>
      <c r="D37" s="95"/>
      <c r="E37" s="95"/>
      <c r="F37" s="96"/>
      <c r="G37" s="60" t="s">
        <v>72</v>
      </c>
      <c r="H37" s="61" t="s">
        <v>75</v>
      </c>
      <c r="I37" s="62" t="s">
        <v>63</v>
      </c>
      <c r="J37" s="62" t="s">
        <v>64</v>
      </c>
      <c r="K37" s="94" t="s">
        <v>47</v>
      </c>
      <c r="L37" s="95"/>
      <c r="M37" s="95"/>
      <c r="N37" s="95"/>
      <c r="O37" s="95"/>
      <c r="P37" s="95"/>
      <c r="Q37" s="96"/>
      <c r="R37" s="60" t="s">
        <v>72</v>
      </c>
      <c r="S37" s="61" t="s">
        <v>75</v>
      </c>
      <c r="T37" s="62" t="s">
        <v>63</v>
      </c>
      <c r="U37" s="62" t="s">
        <v>64</v>
      </c>
    </row>
    <row r="38" spans="1:21" ht="18" customHeight="1" x14ac:dyDescent="0.2">
      <c r="B38" s="126" t="s">
        <v>145</v>
      </c>
      <c r="C38" s="127"/>
      <c r="D38" s="127"/>
      <c r="E38" s="127"/>
      <c r="F38" s="128"/>
      <c r="G38" s="63">
        <v>2</v>
      </c>
      <c r="H38" s="63" t="s">
        <v>146</v>
      </c>
      <c r="I38" s="63" t="s">
        <v>146</v>
      </c>
      <c r="J38" s="63" t="s">
        <v>146</v>
      </c>
      <c r="K38" s="126"/>
      <c r="L38" s="127"/>
      <c r="M38" s="127"/>
      <c r="N38" s="127"/>
      <c r="O38" s="127"/>
      <c r="P38" s="127"/>
      <c r="Q38" s="128"/>
      <c r="R38" s="63"/>
      <c r="S38" s="63"/>
      <c r="T38" s="63"/>
      <c r="U38" s="63"/>
    </row>
    <row r="39" spans="1:21" ht="18" customHeight="1" x14ac:dyDescent="0.2">
      <c r="B39" s="129"/>
      <c r="C39" s="130"/>
      <c r="D39" s="130"/>
      <c r="E39" s="130"/>
      <c r="F39" s="131"/>
      <c r="G39" s="87"/>
      <c r="H39" s="87"/>
      <c r="I39" s="87"/>
      <c r="J39" s="64"/>
      <c r="K39" s="110"/>
      <c r="L39" s="111"/>
      <c r="M39" s="111"/>
      <c r="N39" s="111"/>
      <c r="O39" s="111"/>
      <c r="P39" s="111"/>
      <c r="Q39" s="112"/>
      <c r="R39" s="64"/>
      <c r="S39" s="64"/>
      <c r="T39" s="64"/>
      <c r="U39" s="64"/>
    </row>
    <row r="40" spans="1:21" ht="18" customHeight="1" x14ac:dyDescent="0.2">
      <c r="B40" s="129"/>
      <c r="C40" s="130"/>
      <c r="D40" s="130"/>
      <c r="E40" s="130"/>
      <c r="F40" s="131"/>
      <c r="G40" s="87"/>
      <c r="H40" s="87"/>
      <c r="I40" s="87"/>
      <c r="J40" s="64"/>
      <c r="K40" s="110"/>
      <c r="L40" s="111"/>
      <c r="M40" s="111"/>
      <c r="N40" s="111"/>
      <c r="O40" s="111"/>
      <c r="P40" s="111"/>
      <c r="Q40" s="112"/>
      <c r="R40" s="64"/>
      <c r="S40" s="64"/>
      <c r="T40" s="64"/>
      <c r="U40" s="64"/>
    </row>
    <row r="41" spans="1:21" ht="18" customHeight="1" x14ac:dyDescent="0.2">
      <c r="B41" s="110"/>
      <c r="C41" s="111"/>
      <c r="D41" s="111"/>
      <c r="E41" s="111"/>
      <c r="F41" s="112"/>
      <c r="G41" s="64"/>
      <c r="H41" s="64"/>
      <c r="I41" s="64"/>
      <c r="J41" s="64"/>
      <c r="K41" s="110"/>
      <c r="L41" s="111"/>
      <c r="M41" s="111"/>
      <c r="N41" s="111"/>
      <c r="O41" s="111"/>
      <c r="P41" s="111"/>
      <c r="Q41" s="112"/>
      <c r="R41" s="64"/>
      <c r="S41" s="64"/>
      <c r="T41" s="64"/>
      <c r="U41" s="64"/>
    </row>
    <row r="42" spans="1:21" ht="18" customHeight="1" x14ac:dyDescent="0.2">
      <c r="B42" s="110"/>
      <c r="C42" s="111"/>
      <c r="D42" s="111"/>
      <c r="E42" s="111"/>
      <c r="F42" s="112"/>
      <c r="G42" s="64"/>
      <c r="H42" s="64"/>
      <c r="I42" s="64"/>
      <c r="J42" s="64"/>
      <c r="K42" s="110"/>
      <c r="L42" s="111"/>
      <c r="M42" s="111"/>
      <c r="N42" s="111"/>
      <c r="O42" s="111"/>
      <c r="P42" s="111"/>
      <c r="Q42" s="112"/>
      <c r="R42" s="64"/>
      <c r="S42" s="64"/>
      <c r="T42" s="64"/>
      <c r="U42" s="64"/>
    </row>
    <row r="43" spans="1:21" ht="18" customHeight="1" x14ac:dyDescent="0.2">
      <c r="B43" s="110"/>
      <c r="C43" s="111"/>
      <c r="D43" s="111"/>
      <c r="E43" s="111"/>
      <c r="F43" s="112"/>
      <c r="G43" s="64"/>
      <c r="H43" s="64"/>
      <c r="I43" s="64"/>
      <c r="J43" s="64"/>
      <c r="K43" s="110"/>
      <c r="L43" s="111"/>
      <c r="M43" s="111"/>
      <c r="N43" s="111"/>
      <c r="O43" s="111"/>
      <c r="P43" s="111"/>
      <c r="Q43" s="112"/>
      <c r="R43" s="64"/>
      <c r="S43" s="64"/>
      <c r="T43" s="64"/>
      <c r="U43" s="64"/>
    </row>
    <row r="44" spans="1:21" ht="18" customHeight="1" x14ac:dyDescent="0.2">
      <c r="B44" s="132"/>
      <c r="C44" s="133"/>
      <c r="D44" s="133"/>
      <c r="E44" s="133"/>
      <c r="F44" s="134"/>
      <c r="G44" s="65"/>
      <c r="H44" s="65"/>
      <c r="I44" s="66"/>
      <c r="J44" s="66"/>
      <c r="K44" s="132"/>
      <c r="L44" s="133"/>
      <c r="M44" s="133"/>
      <c r="N44" s="133"/>
      <c r="O44" s="133"/>
      <c r="P44" s="133"/>
      <c r="Q44" s="134"/>
      <c r="R44" s="65"/>
      <c r="S44" s="65"/>
      <c r="T44" s="66"/>
      <c r="U44" s="66"/>
    </row>
    <row r="45" spans="1:21" ht="7.5" customHeight="1" x14ac:dyDescent="0.2">
      <c r="A45" s="84"/>
      <c r="B45" s="6"/>
      <c r="C45" s="6"/>
      <c r="D45" s="6"/>
      <c r="E45" s="84"/>
      <c r="F45" s="84"/>
      <c r="G45" s="84"/>
      <c r="H45" s="84"/>
      <c r="I45" s="6"/>
      <c r="J45" s="6"/>
      <c r="K45" s="6"/>
      <c r="L45" s="6"/>
      <c r="M45" s="6"/>
      <c r="N45" s="6"/>
      <c r="O45" s="6"/>
      <c r="P45" s="6"/>
      <c r="Q45" s="6"/>
      <c r="R45" s="6"/>
      <c r="S45" s="6"/>
      <c r="T45" s="6"/>
      <c r="U45" s="84"/>
    </row>
    <row r="46" spans="1:21" ht="18" customHeight="1" x14ac:dyDescent="0.2">
      <c r="A46" s="125" t="s">
        <v>97</v>
      </c>
      <c r="B46" s="125"/>
      <c r="C46" s="125"/>
      <c r="D46" s="125"/>
      <c r="E46" s="125"/>
      <c r="F46" s="125"/>
      <c r="G46" s="125"/>
      <c r="H46" s="125"/>
      <c r="I46" s="125"/>
      <c r="J46" s="125"/>
      <c r="K46" s="125"/>
      <c r="L46" s="125"/>
      <c r="M46" s="125"/>
      <c r="N46" s="125"/>
      <c r="O46" s="125"/>
      <c r="P46" s="125"/>
      <c r="Q46" s="125"/>
      <c r="R46" s="125"/>
      <c r="S46" s="125"/>
      <c r="T46" s="125"/>
      <c r="U46" s="125"/>
    </row>
    <row r="47" spans="1:21" ht="18" customHeight="1" x14ac:dyDescent="0.2">
      <c r="A47" s="125"/>
      <c r="B47" s="125"/>
      <c r="C47" s="125"/>
      <c r="D47" s="125"/>
      <c r="E47" s="125"/>
      <c r="F47" s="125"/>
      <c r="G47" s="125"/>
      <c r="H47" s="125"/>
      <c r="I47" s="125"/>
      <c r="J47" s="125"/>
      <c r="K47" s="125"/>
      <c r="L47" s="125"/>
      <c r="M47" s="125"/>
      <c r="N47" s="125"/>
      <c r="O47" s="125"/>
      <c r="P47" s="125"/>
      <c r="Q47" s="125"/>
      <c r="R47" s="125"/>
      <c r="S47" s="125"/>
      <c r="T47" s="125"/>
      <c r="U47" s="125"/>
    </row>
    <row r="48" spans="1:21" ht="18" customHeight="1" x14ac:dyDescent="0.2">
      <c r="B48" s="94" t="s">
        <v>47</v>
      </c>
      <c r="C48" s="95"/>
      <c r="D48" s="95"/>
      <c r="E48" s="95"/>
      <c r="F48" s="96"/>
      <c r="G48" s="60" t="s">
        <v>72</v>
      </c>
      <c r="H48" s="61" t="s">
        <v>75</v>
      </c>
      <c r="I48" s="62" t="s">
        <v>65</v>
      </c>
      <c r="J48" s="62" t="s">
        <v>66</v>
      </c>
      <c r="K48" s="94" t="s">
        <v>47</v>
      </c>
      <c r="L48" s="95"/>
      <c r="M48" s="95"/>
      <c r="N48" s="95"/>
      <c r="O48" s="95"/>
      <c r="P48" s="95"/>
      <c r="Q48" s="96"/>
      <c r="R48" s="60" t="s">
        <v>72</v>
      </c>
      <c r="S48" s="61" t="s">
        <v>75</v>
      </c>
      <c r="T48" s="62" t="s">
        <v>65</v>
      </c>
      <c r="U48" s="62" t="s">
        <v>66</v>
      </c>
    </row>
    <row r="49" spans="1:21" ht="18" customHeight="1" x14ac:dyDescent="0.2">
      <c r="A49" s="84"/>
      <c r="B49" s="126" t="s">
        <v>147</v>
      </c>
      <c r="C49" s="127"/>
      <c r="D49" s="127"/>
      <c r="E49" s="127"/>
      <c r="F49" s="128"/>
      <c r="G49" s="63">
        <v>2</v>
      </c>
      <c r="H49" s="63" t="s">
        <v>146</v>
      </c>
      <c r="I49" s="63" t="s">
        <v>146</v>
      </c>
      <c r="J49" s="63" t="s">
        <v>146</v>
      </c>
      <c r="K49" s="126"/>
      <c r="L49" s="127"/>
      <c r="M49" s="127"/>
      <c r="N49" s="127"/>
      <c r="O49" s="127"/>
      <c r="P49" s="127"/>
      <c r="Q49" s="128"/>
      <c r="R49" s="63"/>
      <c r="S49" s="63"/>
      <c r="T49" s="63"/>
      <c r="U49" s="63"/>
    </row>
    <row r="50" spans="1:21" ht="18" customHeight="1" x14ac:dyDescent="0.2">
      <c r="A50" s="84"/>
      <c r="B50" s="129"/>
      <c r="C50" s="130"/>
      <c r="D50" s="130"/>
      <c r="E50" s="130"/>
      <c r="F50" s="131"/>
      <c r="G50" s="87"/>
      <c r="H50" s="87"/>
      <c r="I50" s="87"/>
      <c r="J50" s="64"/>
      <c r="K50" s="110"/>
      <c r="L50" s="111"/>
      <c r="M50" s="111"/>
      <c r="N50" s="111"/>
      <c r="O50" s="111"/>
      <c r="P50" s="111"/>
      <c r="Q50" s="112"/>
      <c r="R50" s="64"/>
      <c r="S50" s="64"/>
      <c r="T50" s="64"/>
      <c r="U50" s="64"/>
    </row>
    <row r="51" spans="1:21" ht="18" customHeight="1" x14ac:dyDescent="0.2">
      <c r="A51" s="84"/>
      <c r="B51" s="129"/>
      <c r="C51" s="130"/>
      <c r="D51" s="130"/>
      <c r="E51" s="130"/>
      <c r="F51" s="131"/>
      <c r="G51" s="87"/>
      <c r="H51" s="87"/>
      <c r="I51" s="87"/>
      <c r="J51" s="64"/>
      <c r="K51" s="110"/>
      <c r="L51" s="111"/>
      <c r="M51" s="111"/>
      <c r="N51" s="111"/>
      <c r="O51" s="111"/>
      <c r="P51" s="111"/>
      <c r="Q51" s="112"/>
      <c r="R51" s="64"/>
      <c r="S51" s="64"/>
      <c r="T51" s="64"/>
      <c r="U51" s="64"/>
    </row>
    <row r="52" spans="1:21" ht="18" customHeight="1" x14ac:dyDescent="0.2">
      <c r="A52" s="84"/>
      <c r="B52" s="110"/>
      <c r="C52" s="111"/>
      <c r="D52" s="111"/>
      <c r="E52" s="111"/>
      <c r="F52" s="112"/>
      <c r="G52" s="64"/>
      <c r="H52" s="64"/>
      <c r="I52" s="64"/>
      <c r="J52" s="64"/>
      <c r="K52" s="110"/>
      <c r="L52" s="111"/>
      <c r="M52" s="111"/>
      <c r="N52" s="111"/>
      <c r="O52" s="111"/>
      <c r="P52" s="111"/>
      <c r="Q52" s="112"/>
      <c r="R52" s="64"/>
      <c r="S52" s="64"/>
      <c r="T52" s="64"/>
      <c r="U52" s="64"/>
    </row>
    <row r="53" spans="1:21" ht="18" customHeight="1" x14ac:dyDescent="0.2">
      <c r="A53" s="84"/>
      <c r="B53" s="110"/>
      <c r="C53" s="111"/>
      <c r="D53" s="111"/>
      <c r="E53" s="111"/>
      <c r="F53" s="112"/>
      <c r="G53" s="64"/>
      <c r="H53" s="64"/>
      <c r="I53" s="64"/>
      <c r="J53" s="64"/>
      <c r="K53" s="110"/>
      <c r="L53" s="111"/>
      <c r="M53" s="111"/>
      <c r="N53" s="111"/>
      <c r="O53" s="111"/>
      <c r="P53" s="111"/>
      <c r="Q53" s="112"/>
      <c r="R53" s="64"/>
      <c r="S53" s="64"/>
      <c r="T53" s="64"/>
      <c r="U53" s="64"/>
    </row>
    <row r="54" spans="1:21" ht="18" customHeight="1" x14ac:dyDescent="0.2">
      <c r="A54" s="84"/>
      <c r="B54" s="110"/>
      <c r="C54" s="111"/>
      <c r="D54" s="111"/>
      <c r="E54" s="111"/>
      <c r="F54" s="112"/>
      <c r="G54" s="64"/>
      <c r="H54" s="64"/>
      <c r="I54" s="64"/>
      <c r="J54" s="64"/>
      <c r="K54" s="110"/>
      <c r="L54" s="111"/>
      <c r="M54" s="111"/>
      <c r="N54" s="111"/>
      <c r="O54" s="111"/>
      <c r="P54" s="111"/>
      <c r="Q54" s="112"/>
      <c r="R54" s="64"/>
      <c r="S54" s="64"/>
      <c r="T54" s="64"/>
      <c r="U54" s="64"/>
    </row>
    <row r="55" spans="1:21" ht="18" customHeight="1" x14ac:dyDescent="0.2">
      <c r="A55" s="84"/>
      <c r="B55" s="132"/>
      <c r="C55" s="133"/>
      <c r="D55" s="133"/>
      <c r="E55" s="133"/>
      <c r="F55" s="134"/>
      <c r="G55" s="65"/>
      <c r="H55" s="65"/>
      <c r="I55" s="66"/>
      <c r="J55" s="66"/>
      <c r="K55" s="132"/>
      <c r="L55" s="133"/>
      <c r="M55" s="133"/>
      <c r="N55" s="133"/>
      <c r="O55" s="133"/>
      <c r="P55" s="133"/>
      <c r="Q55" s="134"/>
      <c r="R55" s="65"/>
      <c r="S55" s="65"/>
      <c r="T55" s="66"/>
      <c r="U55" s="66"/>
    </row>
    <row r="56" spans="1:21" ht="7.5" customHeight="1" x14ac:dyDescent="0.2">
      <c r="B56" s="83"/>
      <c r="C56" s="83"/>
      <c r="D56" s="83"/>
      <c r="E56" s="83"/>
      <c r="F56" s="83"/>
      <c r="G56" s="83"/>
      <c r="H56" s="83"/>
      <c r="I56" s="83"/>
      <c r="J56" s="83"/>
      <c r="K56" s="83"/>
      <c r="L56" s="83"/>
      <c r="M56" s="83"/>
      <c r="N56" s="83"/>
      <c r="O56" s="83"/>
      <c r="P56" s="83"/>
      <c r="Q56" s="83"/>
      <c r="R56" s="83"/>
      <c r="S56" s="83"/>
      <c r="T56" s="83"/>
    </row>
    <row r="57" spans="1:21" ht="18" customHeight="1" x14ac:dyDescent="0.2">
      <c r="A57" s="125" t="s">
        <v>98</v>
      </c>
      <c r="B57" s="125"/>
      <c r="C57" s="125"/>
      <c r="D57" s="125"/>
      <c r="E57" s="125"/>
      <c r="F57" s="125"/>
      <c r="G57" s="125"/>
      <c r="H57" s="125"/>
      <c r="I57" s="125"/>
      <c r="J57" s="125"/>
      <c r="K57" s="125"/>
      <c r="L57" s="125"/>
      <c r="M57" s="125"/>
      <c r="N57" s="125"/>
      <c r="O57" s="125"/>
      <c r="P57" s="125"/>
      <c r="Q57" s="125"/>
      <c r="R57" s="125"/>
      <c r="S57" s="125"/>
      <c r="T57" s="125"/>
      <c r="U57" s="125"/>
    </row>
    <row r="58" spans="1:21" ht="18" customHeight="1" x14ac:dyDescent="0.2">
      <c r="A58" s="125"/>
      <c r="B58" s="125"/>
      <c r="C58" s="125"/>
      <c r="D58" s="125"/>
      <c r="E58" s="125"/>
      <c r="F58" s="125"/>
      <c r="G58" s="125"/>
      <c r="H58" s="125"/>
      <c r="I58" s="125"/>
      <c r="J58" s="125"/>
      <c r="K58" s="125"/>
      <c r="L58" s="125"/>
      <c r="M58" s="125"/>
      <c r="N58" s="125"/>
      <c r="O58" s="125"/>
      <c r="P58" s="125"/>
      <c r="Q58" s="125"/>
      <c r="R58" s="125"/>
      <c r="S58" s="125"/>
      <c r="T58" s="125"/>
      <c r="U58" s="125"/>
    </row>
    <row r="59" spans="1:21" ht="18" customHeight="1" x14ac:dyDescent="0.2">
      <c r="B59" s="94" t="s">
        <v>47</v>
      </c>
      <c r="C59" s="95"/>
      <c r="D59" s="95"/>
      <c r="E59" s="95"/>
      <c r="F59" s="96"/>
      <c r="G59" s="60" t="s">
        <v>72</v>
      </c>
      <c r="H59" s="61" t="s">
        <v>75</v>
      </c>
      <c r="I59" s="62" t="s">
        <v>52</v>
      </c>
      <c r="J59" s="62" t="s">
        <v>54</v>
      </c>
      <c r="K59" s="94" t="s">
        <v>47</v>
      </c>
      <c r="L59" s="95"/>
      <c r="M59" s="95"/>
      <c r="N59" s="95"/>
      <c r="O59" s="95"/>
      <c r="P59" s="95"/>
      <c r="Q59" s="96"/>
      <c r="R59" s="60" t="s">
        <v>72</v>
      </c>
      <c r="S59" s="61" t="s">
        <v>75</v>
      </c>
      <c r="T59" s="62" t="s">
        <v>52</v>
      </c>
      <c r="U59" s="62" t="s">
        <v>54</v>
      </c>
    </row>
    <row r="60" spans="1:21" ht="18" customHeight="1" x14ac:dyDescent="0.2">
      <c r="A60" s="84"/>
      <c r="B60" s="126" t="s">
        <v>147</v>
      </c>
      <c r="C60" s="127"/>
      <c r="D60" s="127"/>
      <c r="E60" s="127"/>
      <c r="F60" s="128"/>
      <c r="G60" s="63">
        <v>2</v>
      </c>
      <c r="H60" s="63" t="s">
        <v>146</v>
      </c>
      <c r="I60" s="63" t="s">
        <v>146</v>
      </c>
      <c r="J60" s="63" t="s">
        <v>146</v>
      </c>
      <c r="K60" s="126"/>
      <c r="L60" s="127"/>
      <c r="M60" s="127"/>
      <c r="N60" s="127"/>
      <c r="O60" s="127"/>
      <c r="P60" s="127"/>
      <c r="Q60" s="128"/>
      <c r="R60" s="63"/>
      <c r="S60" s="63"/>
      <c r="T60" s="63"/>
      <c r="U60" s="63"/>
    </row>
    <row r="61" spans="1:21" ht="18" customHeight="1" x14ac:dyDescent="0.2">
      <c r="A61" s="84"/>
      <c r="B61" s="110"/>
      <c r="C61" s="111"/>
      <c r="D61" s="111"/>
      <c r="E61" s="111"/>
      <c r="F61" s="112"/>
      <c r="G61" s="64"/>
      <c r="H61" s="64"/>
      <c r="I61" s="64"/>
      <c r="J61" s="64"/>
      <c r="K61" s="110"/>
      <c r="L61" s="111"/>
      <c r="M61" s="111"/>
      <c r="N61" s="111"/>
      <c r="O61" s="111"/>
      <c r="P61" s="111"/>
      <c r="Q61" s="112"/>
      <c r="R61" s="64"/>
      <c r="S61" s="64"/>
      <c r="T61" s="64"/>
      <c r="U61" s="64"/>
    </row>
    <row r="62" spans="1:21" ht="18" customHeight="1" x14ac:dyDescent="0.2">
      <c r="A62" s="84"/>
      <c r="B62" s="110"/>
      <c r="C62" s="111"/>
      <c r="D62" s="111"/>
      <c r="E62" s="111"/>
      <c r="F62" s="112"/>
      <c r="G62" s="64"/>
      <c r="H62" s="64"/>
      <c r="I62" s="64"/>
      <c r="J62" s="64"/>
      <c r="K62" s="110"/>
      <c r="L62" s="111"/>
      <c r="M62" s="111"/>
      <c r="N62" s="111"/>
      <c r="O62" s="111"/>
      <c r="P62" s="111"/>
      <c r="Q62" s="112"/>
      <c r="R62" s="64"/>
      <c r="S62" s="64"/>
      <c r="T62" s="64"/>
      <c r="U62" s="64"/>
    </row>
    <row r="63" spans="1:21" ht="18" customHeight="1" x14ac:dyDescent="0.2">
      <c r="A63" s="84"/>
      <c r="B63" s="110"/>
      <c r="C63" s="111"/>
      <c r="D63" s="111"/>
      <c r="E63" s="111"/>
      <c r="F63" s="112"/>
      <c r="G63" s="64"/>
      <c r="H63" s="64"/>
      <c r="I63" s="64"/>
      <c r="J63" s="64"/>
      <c r="K63" s="110"/>
      <c r="L63" s="111"/>
      <c r="M63" s="111"/>
      <c r="N63" s="111"/>
      <c r="O63" s="111"/>
      <c r="P63" s="111"/>
      <c r="Q63" s="112"/>
      <c r="R63" s="64"/>
      <c r="S63" s="64"/>
      <c r="T63" s="64"/>
      <c r="U63" s="64"/>
    </row>
    <row r="64" spans="1:21" ht="18" customHeight="1" x14ac:dyDescent="0.2">
      <c r="A64" s="84"/>
      <c r="B64" s="110"/>
      <c r="C64" s="111"/>
      <c r="D64" s="111"/>
      <c r="E64" s="111"/>
      <c r="F64" s="112"/>
      <c r="G64" s="64"/>
      <c r="H64" s="64"/>
      <c r="I64" s="64"/>
      <c r="J64" s="64"/>
      <c r="K64" s="110"/>
      <c r="L64" s="111"/>
      <c r="M64" s="111"/>
      <c r="N64" s="111"/>
      <c r="O64" s="111"/>
      <c r="P64" s="111"/>
      <c r="Q64" s="112"/>
      <c r="R64" s="64"/>
      <c r="S64" s="64"/>
      <c r="T64" s="64"/>
      <c r="U64" s="64"/>
    </row>
    <row r="65" spans="1:27" ht="18" customHeight="1" x14ac:dyDescent="0.2">
      <c r="A65" s="84"/>
      <c r="B65" s="110"/>
      <c r="C65" s="111"/>
      <c r="D65" s="111"/>
      <c r="E65" s="111"/>
      <c r="F65" s="112"/>
      <c r="G65" s="64"/>
      <c r="H65" s="64"/>
      <c r="I65" s="64"/>
      <c r="J65" s="64"/>
      <c r="K65" s="110"/>
      <c r="L65" s="111"/>
      <c r="M65" s="111"/>
      <c r="N65" s="111"/>
      <c r="O65" s="111"/>
      <c r="P65" s="111"/>
      <c r="Q65" s="112"/>
      <c r="R65" s="64"/>
      <c r="S65" s="64"/>
      <c r="T65" s="64"/>
      <c r="U65" s="64"/>
    </row>
    <row r="66" spans="1:27" ht="18" customHeight="1" x14ac:dyDescent="0.2">
      <c r="A66" s="84"/>
      <c r="B66" s="132"/>
      <c r="C66" s="133"/>
      <c r="D66" s="133"/>
      <c r="E66" s="133"/>
      <c r="F66" s="134"/>
      <c r="G66" s="65"/>
      <c r="H66" s="65"/>
      <c r="I66" s="66"/>
      <c r="J66" s="66"/>
      <c r="K66" s="132"/>
      <c r="L66" s="133"/>
      <c r="M66" s="133"/>
      <c r="N66" s="133"/>
      <c r="O66" s="133"/>
      <c r="P66" s="133"/>
      <c r="Q66" s="134"/>
      <c r="R66" s="65"/>
      <c r="S66" s="65"/>
      <c r="T66" s="66"/>
      <c r="U66" s="66"/>
    </row>
    <row r="67" spans="1:27" ht="7.5" customHeight="1" x14ac:dyDescent="0.2">
      <c r="B67" s="83"/>
      <c r="C67" s="83"/>
      <c r="D67" s="83"/>
      <c r="E67" s="83"/>
      <c r="F67" s="83"/>
      <c r="G67" s="83"/>
      <c r="H67" s="83"/>
      <c r="I67" s="83"/>
      <c r="J67" s="83"/>
      <c r="K67" s="83"/>
      <c r="L67" s="83"/>
      <c r="M67" s="83"/>
      <c r="N67" s="83"/>
      <c r="O67" s="83"/>
      <c r="P67" s="83"/>
      <c r="Q67" s="83"/>
      <c r="R67" s="83"/>
      <c r="S67" s="83"/>
      <c r="T67" s="83"/>
    </row>
    <row r="68" spans="1:27" ht="18" customHeight="1" x14ac:dyDescent="0.2">
      <c r="A68" s="125" t="s">
        <v>99</v>
      </c>
      <c r="B68" s="125"/>
      <c r="C68" s="125"/>
      <c r="D68" s="125"/>
      <c r="E68" s="125"/>
      <c r="F68" s="125"/>
      <c r="G68" s="125"/>
      <c r="H68" s="125"/>
      <c r="I68" s="125"/>
      <c r="J68" s="125"/>
      <c r="K68" s="125"/>
      <c r="L68" s="125"/>
      <c r="M68" s="125"/>
      <c r="N68" s="125"/>
      <c r="O68" s="125"/>
      <c r="P68" s="125"/>
      <c r="Q68" s="125"/>
      <c r="R68" s="125"/>
      <c r="S68" s="125"/>
      <c r="T68" s="125"/>
      <c r="U68" s="125"/>
    </row>
    <row r="69" spans="1:27" ht="18" customHeight="1" x14ac:dyDescent="0.2">
      <c r="A69" s="125"/>
      <c r="B69" s="125"/>
      <c r="C69" s="125"/>
      <c r="D69" s="125"/>
      <c r="E69" s="125"/>
      <c r="F69" s="125"/>
      <c r="G69" s="125"/>
      <c r="H69" s="125"/>
      <c r="I69" s="125"/>
      <c r="J69" s="125"/>
      <c r="K69" s="125"/>
      <c r="L69" s="125"/>
      <c r="M69" s="125"/>
      <c r="N69" s="125"/>
      <c r="O69" s="125"/>
      <c r="P69" s="125"/>
      <c r="Q69" s="125"/>
      <c r="R69" s="125"/>
      <c r="S69" s="125"/>
      <c r="T69" s="125"/>
      <c r="U69" s="125"/>
    </row>
    <row r="70" spans="1:27" ht="18" customHeight="1" x14ac:dyDescent="0.2">
      <c r="B70" s="94" t="s">
        <v>47</v>
      </c>
      <c r="C70" s="95"/>
      <c r="D70" s="95"/>
      <c r="E70" s="95"/>
      <c r="F70" s="60" t="s">
        <v>72</v>
      </c>
      <c r="G70" s="61" t="s">
        <v>75</v>
      </c>
      <c r="H70" s="62" t="s">
        <v>86</v>
      </c>
      <c r="I70" s="62" t="s">
        <v>67</v>
      </c>
      <c r="J70" s="62" t="s">
        <v>68</v>
      </c>
      <c r="K70" s="94" t="s">
        <v>47</v>
      </c>
      <c r="L70" s="95"/>
      <c r="M70" s="95"/>
      <c r="N70" s="95"/>
      <c r="O70" s="95"/>
      <c r="P70" s="96"/>
      <c r="Q70" s="60" t="s">
        <v>72</v>
      </c>
      <c r="R70" s="61" t="s">
        <v>75</v>
      </c>
      <c r="S70" s="62" t="s">
        <v>86</v>
      </c>
      <c r="T70" s="62" t="s">
        <v>67</v>
      </c>
      <c r="U70" s="62" t="s">
        <v>68</v>
      </c>
    </row>
    <row r="71" spans="1:27" ht="18" customHeight="1" x14ac:dyDescent="0.2">
      <c r="A71" s="84"/>
      <c r="B71" s="126" t="s">
        <v>148</v>
      </c>
      <c r="C71" s="127"/>
      <c r="D71" s="127"/>
      <c r="E71" s="127"/>
      <c r="F71" s="63">
        <v>1</v>
      </c>
      <c r="G71" s="63" t="s">
        <v>146</v>
      </c>
      <c r="H71" s="63"/>
      <c r="I71" s="63" t="s">
        <v>146</v>
      </c>
      <c r="J71" s="63" t="s">
        <v>146</v>
      </c>
      <c r="K71" s="126"/>
      <c r="L71" s="127"/>
      <c r="M71" s="127"/>
      <c r="N71" s="127"/>
      <c r="O71" s="127"/>
      <c r="P71" s="128"/>
      <c r="Q71" s="63"/>
      <c r="R71" s="63"/>
      <c r="S71" s="63"/>
      <c r="T71" s="63"/>
      <c r="U71" s="63"/>
    </row>
    <row r="72" spans="1:27" ht="18" customHeight="1" x14ac:dyDescent="0.2">
      <c r="A72" s="84"/>
      <c r="B72" s="110" t="s">
        <v>149</v>
      </c>
      <c r="C72" s="111"/>
      <c r="D72" s="111"/>
      <c r="E72" s="111"/>
      <c r="F72" s="64">
        <v>2</v>
      </c>
      <c r="G72" s="64" t="s">
        <v>146</v>
      </c>
      <c r="H72" s="64" t="s">
        <v>146</v>
      </c>
      <c r="I72" s="64"/>
      <c r="J72" s="64"/>
      <c r="K72" s="110"/>
      <c r="L72" s="111"/>
      <c r="M72" s="111"/>
      <c r="N72" s="111"/>
      <c r="O72" s="111"/>
      <c r="P72" s="112"/>
      <c r="Q72" s="64"/>
      <c r="R72" s="64"/>
      <c r="S72" s="64"/>
      <c r="T72" s="64"/>
      <c r="U72" s="64"/>
    </row>
    <row r="73" spans="1:27" ht="18" customHeight="1" x14ac:dyDescent="0.2">
      <c r="A73" s="84"/>
      <c r="B73" s="110"/>
      <c r="C73" s="111"/>
      <c r="D73" s="111"/>
      <c r="E73" s="111"/>
      <c r="F73" s="64"/>
      <c r="G73" s="64"/>
      <c r="H73" s="64"/>
      <c r="I73" s="64"/>
      <c r="J73" s="64"/>
      <c r="K73" s="110"/>
      <c r="L73" s="111"/>
      <c r="M73" s="111"/>
      <c r="N73" s="111"/>
      <c r="O73" s="111"/>
      <c r="P73" s="112"/>
      <c r="Q73" s="64"/>
      <c r="R73" s="64"/>
      <c r="S73" s="64"/>
      <c r="T73" s="64"/>
      <c r="U73" s="64"/>
    </row>
    <row r="74" spans="1:27" ht="18" customHeight="1" x14ac:dyDescent="0.2">
      <c r="A74" s="84"/>
      <c r="B74" s="110"/>
      <c r="C74" s="111"/>
      <c r="D74" s="111"/>
      <c r="E74" s="111"/>
      <c r="F74" s="64"/>
      <c r="G74" s="64"/>
      <c r="H74" s="64"/>
      <c r="I74" s="64"/>
      <c r="J74" s="64"/>
      <c r="K74" s="110"/>
      <c r="L74" s="111"/>
      <c r="M74" s="111"/>
      <c r="N74" s="111"/>
      <c r="O74" s="111"/>
      <c r="P74" s="112"/>
      <c r="Q74" s="64"/>
      <c r="R74" s="64"/>
      <c r="S74" s="64"/>
      <c r="T74" s="64"/>
      <c r="U74" s="64"/>
    </row>
    <row r="75" spans="1:27" ht="18" customHeight="1" x14ac:dyDescent="0.2">
      <c r="A75" s="84"/>
      <c r="B75" s="110"/>
      <c r="C75" s="111"/>
      <c r="D75" s="111"/>
      <c r="E75" s="111"/>
      <c r="F75" s="64"/>
      <c r="G75" s="64"/>
      <c r="H75" s="64"/>
      <c r="I75" s="64"/>
      <c r="J75" s="64"/>
      <c r="K75" s="110"/>
      <c r="L75" s="111"/>
      <c r="M75" s="111"/>
      <c r="N75" s="111"/>
      <c r="O75" s="111"/>
      <c r="P75" s="112"/>
      <c r="Q75" s="64"/>
      <c r="R75" s="64"/>
      <c r="S75" s="64"/>
      <c r="T75" s="64"/>
      <c r="U75" s="64"/>
    </row>
    <row r="76" spans="1:27" ht="18" customHeight="1" x14ac:dyDescent="0.2">
      <c r="A76" s="84"/>
      <c r="B76" s="110"/>
      <c r="C76" s="111"/>
      <c r="D76" s="111"/>
      <c r="E76" s="111"/>
      <c r="F76" s="64"/>
      <c r="G76" s="64"/>
      <c r="H76" s="64"/>
      <c r="I76" s="64"/>
      <c r="J76" s="64"/>
      <c r="K76" s="110"/>
      <c r="L76" s="111"/>
      <c r="M76" s="111"/>
      <c r="N76" s="111"/>
      <c r="O76" s="111"/>
      <c r="P76" s="112"/>
      <c r="Q76" s="64"/>
      <c r="R76" s="64"/>
      <c r="S76" s="64"/>
      <c r="T76" s="64"/>
      <c r="U76" s="64"/>
    </row>
    <row r="77" spans="1:27" ht="18" customHeight="1" x14ac:dyDescent="0.2">
      <c r="A77" s="84"/>
      <c r="B77" s="132"/>
      <c r="C77" s="133"/>
      <c r="D77" s="133"/>
      <c r="E77" s="133"/>
      <c r="F77" s="65"/>
      <c r="G77" s="65"/>
      <c r="H77" s="66"/>
      <c r="I77" s="66"/>
      <c r="J77" s="66"/>
      <c r="K77" s="132"/>
      <c r="L77" s="133"/>
      <c r="M77" s="133"/>
      <c r="N77" s="133"/>
      <c r="O77" s="133"/>
      <c r="P77" s="134"/>
      <c r="Q77" s="65"/>
      <c r="R77" s="65"/>
      <c r="S77" s="66"/>
      <c r="T77" s="66"/>
      <c r="U77" s="66"/>
    </row>
    <row r="78" spans="1:27" ht="7.5" customHeight="1" x14ac:dyDescent="0.2">
      <c r="B78" s="83"/>
      <c r="C78" s="83"/>
      <c r="D78" s="83"/>
      <c r="E78" s="83"/>
      <c r="F78" s="83"/>
      <c r="G78" s="83"/>
      <c r="H78" s="83"/>
      <c r="I78" s="83"/>
      <c r="J78" s="83"/>
      <c r="K78" s="83"/>
      <c r="L78" s="83"/>
      <c r="M78" s="83"/>
      <c r="N78" s="83"/>
      <c r="O78" s="83"/>
      <c r="P78" s="83"/>
      <c r="Q78" s="83"/>
      <c r="R78" s="83"/>
      <c r="S78" s="83"/>
      <c r="T78" s="83"/>
    </row>
    <row r="79" spans="1:27" ht="18" customHeight="1" x14ac:dyDescent="0.2">
      <c r="A79" s="85" t="s">
        <v>100</v>
      </c>
      <c r="I79" s="84"/>
      <c r="J79" s="84"/>
      <c r="K79" s="84"/>
      <c r="L79" s="84"/>
      <c r="M79" s="84"/>
      <c r="N79" s="84"/>
      <c r="O79" s="84"/>
      <c r="P79" s="84"/>
      <c r="Q79" s="84"/>
      <c r="R79" s="84"/>
      <c r="S79" s="84"/>
      <c r="T79" s="84"/>
      <c r="U79" s="84"/>
    </row>
    <row r="80" spans="1:27" ht="18" customHeight="1" x14ac:dyDescent="0.2">
      <c r="B80" s="94" t="s">
        <v>47</v>
      </c>
      <c r="C80" s="95"/>
      <c r="D80" s="95"/>
      <c r="E80" s="95"/>
      <c r="F80" s="96"/>
      <c r="G80" s="94" t="s">
        <v>73</v>
      </c>
      <c r="H80" s="95"/>
      <c r="I80" s="95"/>
      <c r="J80" s="96"/>
      <c r="K80" s="135" t="s">
        <v>47</v>
      </c>
      <c r="L80" s="136"/>
      <c r="M80" s="136"/>
      <c r="N80" s="136"/>
      <c r="O80" s="136"/>
      <c r="P80" s="136"/>
      <c r="Q80" s="137"/>
      <c r="R80" s="94" t="s">
        <v>73</v>
      </c>
      <c r="S80" s="95"/>
      <c r="T80" s="95"/>
      <c r="U80" s="96"/>
      <c r="AA80" s="85" t="s">
        <v>138</v>
      </c>
    </row>
    <row r="81" spans="1:27" ht="18" customHeight="1" x14ac:dyDescent="0.2">
      <c r="A81" s="84"/>
      <c r="B81" s="126"/>
      <c r="C81" s="127"/>
      <c r="D81" s="127"/>
      <c r="E81" s="127"/>
      <c r="F81" s="128"/>
      <c r="G81" s="138"/>
      <c r="H81" s="139"/>
      <c r="I81" s="139"/>
      <c r="J81" s="140"/>
      <c r="K81" s="126"/>
      <c r="L81" s="127"/>
      <c r="M81" s="127"/>
      <c r="N81" s="127"/>
      <c r="O81" s="127"/>
      <c r="P81" s="127"/>
      <c r="Q81" s="128"/>
      <c r="R81" s="138"/>
      <c r="S81" s="139"/>
      <c r="T81" s="139"/>
      <c r="U81" s="140"/>
      <c r="AA81" s="85" t="s">
        <v>131</v>
      </c>
    </row>
    <row r="82" spans="1:27" ht="18" customHeight="1" x14ac:dyDescent="0.2">
      <c r="A82" s="84"/>
      <c r="B82" s="110"/>
      <c r="C82" s="111"/>
      <c r="D82" s="111"/>
      <c r="E82" s="111"/>
      <c r="F82" s="112"/>
      <c r="G82" s="141"/>
      <c r="H82" s="142"/>
      <c r="I82" s="142"/>
      <c r="J82" s="143"/>
      <c r="K82" s="110"/>
      <c r="L82" s="111"/>
      <c r="M82" s="111"/>
      <c r="N82" s="111"/>
      <c r="O82" s="111"/>
      <c r="P82" s="111"/>
      <c r="Q82" s="112"/>
      <c r="R82" s="141"/>
      <c r="S82" s="142"/>
      <c r="T82" s="142"/>
      <c r="U82" s="143"/>
      <c r="AA82" s="85" t="s">
        <v>132</v>
      </c>
    </row>
    <row r="83" spans="1:27" ht="18" customHeight="1" x14ac:dyDescent="0.2">
      <c r="A83" s="84"/>
      <c r="B83" s="110"/>
      <c r="C83" s="111"/>
      <c r="D83" s="111"/>
      <c r="E83" s="111"/>
      <c r="F83" s="112"/>
      <c r="G83" s="141"/>
      <c r="H83" s="142"/>
      <c r="I83" s="142"/>
      <c r="J83" s="143"/>
      <c r="K83" s="110"/>
      <c r="L83" s="111"/>
      <c r="M83" s="111"/>
      <c r="N83" s="111"/>
      <c r="O83" s="111"/>
      <c r="P83" s="111"/>
      <c r="Q83" s="112"/>
      <c r="R83" s="141"/>
      <c r="S83" s="142"/>
      <c r="T83" s="142"/>
      <c r="U83" s="143"/>
      <c r="AA83" s="85" t="s">
        <v>133</v>
      </c>
    </row>
    <row r="84" spans="1:27" ht="18" customHeight="1" x14ac:dyDescent="0.2">
      <c r="A84" s="84"/>
      <c r="B84" s="110"/>
      <c r="C84" s="111"/>
      <c r="D84" s="111"/>
      <c r="E84" s="111"/>
      <c r="F84" s="112"/>
      <c r="G84" s="141"/>
      <c r="H84" s="142"/>
      <c r="I84" s="142"/>
      <c r="J84" s="143"/>
      <c r="K84" s="110"/>
      <c r="L84" s="111"/>
      <c r="M84" s="111"/>
      <c r="N84" s="111"/>
      <c r="O84" s="111"/>
      <c r="P84" s="111"/>
      <c r="Q84" s="112"/>
      <c r="R84" s="141"/>
      <c r="S84" s="142"/>
      <c r="T84" s="142"/>
      <c r="U84" s="143"/>
      <c r="AA84" s="85" t="s">
        <v>139</v>
      </c>
    </row>
    <row r="85" spans="1:27" ht="18" customHeight="1" x14ac:dyDescent="0.2">
      <c r="A85" s="84"/>
      <c r="B85" s="110"/>
      <c r="C85" s="111"/>
      <c r="D85" s="111"/>
      <c r="E85" s="111"/>
      <c r="F85" s="112"/>
      <c r="G85" s="141"/>
      <c r="H85" s="142"/>
      <c r="I85" s="142"/>
      <c r="J85" s="143"/>
      <c r="K85" s="110"/>
      <c r="L85" s="111"/>
      <c r="M85" s="111"/>
      <c r="N85" s="111"/>
      <c r="O85" s="111"/>
      <c r="P85" s="111"/>
      <c r="Q85" s="112"/>
      <c r="R85" s="141"/>
      <c r="S85" s="142"/>
      <c r="T85" s="142"/>
      <c r="U85" s="143"/>
      <c r="AA85" s="85" t="s">
        <v>140</v>
      </c>
    </row>
    <row r="86" spans="1:27" ht="18" customHeight="1" x14ac:dyDescent="0.2">
      <c r="A86" s="84"/>
      <c r="B86" s="110"/>
      <c r="C86" s="111"/>
      <c r="D86" s="111"/>
      <c r="E86" s="111"/>
      <c r="F86" s="112"/>
      <c r="G86" s="141"/>
      <c r="H86" s="142"/>
      <c r="I86" s="142"/>
      <c r="J86" s="143"/>
      <c r="K86" s="110"/>
      <c r="L86" s="111"/>
      <c r="M86" s="111"/>
      <c r="N86" s="111"/>
      <c r="O86" s="111"/>
      <c r="P86" s="111"/>
      <c r="Q86" s="112"/>
      <c r="R86" s="141"/>
      <c r="S86" s="142"/>
      <c r="T86" s="142"/>
      <c r="U86" s="143"/>
      <c r="AA86" s="85" t="s">
        <v>134</v>
      </c>
    </row>
    <row r="87" spans="1:27" ht="18" customHeight="1" x14ac:dyDescent="0.2">
      <c r="A87" s="84"/>
      <c r="B87" s="132"/>
      <c r="C87" s="133"/>
      <c r="D87" s="133"/>
      <c r="E87" s="133"/>
      <c r="F87" s="134"/>
      <c r="G87" s="159"/>
      <c r="H87" s="160"/>
      <c r="I87" s="160"/>
      <c r="J87" s="161"/>
      <c r="K87" s="132"/>
      <c r="L87" s="133"/>
      <c r="M87" s="133"/>
      <c r="N87" s="133"/>
      <c r="O87" s="133"/>
      <c r="P87" s="133"/>
      <c r="Q87" s="134"/>
      <c r="R87" s="159"/>
      <c r="S87" s="160"/>
      <c r="T87" s="160"/>
      <c r="U87" s="161"/>
      <c r="AA87" s="85" t="s">
        <v>135</v>
      </c>
    </row>
    <row r="88" spans="1:27" ht="18" customHeight="1" x14ac:dyDescent="0.2">
      <c r="A88" s="84"/>
      <c r="B88" s="6"/>
      <c r="C88" s="6"/>
      <c r="D88" s="6"/>
      <c r="E88" s="6"/>
      <c r="F88" s="6"/>
      <c r="G88" s="67"/>
      <c r="H88" s="67"/>
      <c r="I88" s="67"/>
      <c r="J88" s="67"/>
      <c r="K88" s="6"/>
      <c r="L88" s="6"/>
      <c r="M88" s="6"/>
      <c r="N88" s="6"/>
      <c r="O88" s="6"/>
      <c r="P88" s="6"/>
      <c r="Q88" s="6"/>
      <c r="R88" s="67"/>
      <c r="S88" s="67"/>
      <c r="T88" s="67"/>
      <c r="U88" s="67"/>
      <c r="AA88" s="85" t="s">
        <v>136</v>
      </c>
    </row>
    <row r="89" spans="1:27" ht="18.75" customHeight="1" x14ac:dyDescent="0.2">
      <c r="A89" s="85" t="s">
        <v>101</v>
      </c>
      <c r="AA89" s="85" t="s">
        <v>137</v>
      </c>
    </row>
    <row r="90" spans="1:27" ht="18.75" customHeight="1" x14ac:dyDescent="0.2">
      <c r="B90" s="162" t="s">
        <v>48</v>
      </c>
      <c r="C90" s="163"/>
      <c r="D90" s="94" t="s">
        <v>49</v>
      </c>
      <c r="E90" s="95"/>
      <c r="F90" s="95"/>
      <c r="G90" s="95"/>
      <c r="H90" s="95"/>
      <c r="I90" s="95"/>
      <c r="J90" s="95"/>
      <c r="K90" s="95"/>
      <c r="L90" s="95"/>
      <c r="M90" s="95"/>
      <c r="N90" s="95"/>
      <c r="O90" s="95"/>
      <c r="P90" s="95"/>
      <c r="Q90" s="95"/>
      <c r="R90" s="95"/>
      <c r="S90" s="95"/>
      <c r="T90" s="95"/>
      <c r="U90" s="96"/>
    </row>
    <row r="91" spans="1:27" ht="97.5" customHeight="1" x14ac:dyDescent="0.2">
      <c r="B91" s="144" t="s">
        <v>55</v>
      </c>
      <c r="C91" s="68" t="s">
        <v>50</v>
      </c>
      <c r="D91" s="146" t="s">
        <v>158</v>
      </c>
      <c r="E91" s="147"/>
      <c r="F91" s="147"/>
      <c r="G91" s="147"/>
      <c r="H91" s="147"/>
      <c r="I91" s="147"/>
      <c r="J91" s="147"/>
      <c r="K91" s="147"/>
      <c r="L91" s="147"/>
      <c r="M91" s="147"/>
      <c r="N91" s="147"/>
      <c r="O91" s="147"/>
      <c r="P91" s="147"/>
      <c r="Q91" s="147"/>
      <c r="R91" s="147"/>
      <c r="S91" s="147"/>
      <c r="T91" s="147"/>
      <c r="U91" s="148"/>
    </row>
    <row r="92" spans="1:27" ht="97.5" customHeight="1" x14ac:dyDescent="0.2">
      <c r="B92" s="145"/>
      <c r="C92" s="69" t="s">
        <v>69</v>
      </c>
      <c r="D92" s="149" t="s">
        <v>156</v>
      </c>
      <c r="E92" s="150"/>
      <c r="F92" s="150"/>
      <c r="G92" s="150"/>
      <c r="H92" s="150"/>
      <c r="I92" s="150"/>
      <c r="J92" s="150"/>
      <c r="K92" s="150"/>
      <c r="L92" s="150"/>
      <c r="M92" s="150"/>
      <c r="N92" s="150"/>
      <c r="O92" s="150"/>
      <c r="P92" s="150"/>
      <c r="Q92" s="150"/>
      <c r="R92" s="150"/>
      <c r="S92" s="150"/>
      <c r="T92" s="150"/>
      <c r="U92" s="151"/>
    </row>
    <row r="93" spans="1:27" ht="97.5" customHeight="1" x14ac:dyDescent="0.2">
      <c r="B93" s="144" t="s">
        <v>56</v>
      </c>
      <c r="C93" s="70" t="s">
        <v>63</v>
      </c>
      <c r="D93" s="153" t="s">
        <v>184</v>
      </c>
      <c r="E93" s="154"/>
      <c r="F93" s="154"/>
      <c r="G93" s="154"/>
      <c r="H93" s="154"/>
      <c r="I93" s="154"/>
      <c r="J93" s="154"/>
      <c r="K93" s="154"/>
      <c r="L93" s="154"/>
      <c r="M93" s="154"/>
      <c r="N93" s="154"/>
      <c r="O93" s="154"/>
      <c r="P93" s="154"/>
      <c r="Q93" s="154"/>
      <c r="R93" s="154"/>
      <c r="S93" s="154"/>
      <c r="T93" s="154"/>
      <c r="U93" s="155"/>
    </row>
    <row r="94" spans="1:27" ht="97.5" customHeight="1" x14ac:dyDescent="0.2">
      <c r="B94" s="152"/>
      <c r="C94" s="71" t="s">
        <v>64</v>
      </c>
      <c r="D94" s="156" t="s">
        <v>172</v>
      </c>
      <c r="E94" s="157"/>
      <c r="F94" s="157"/>
      <c r="G94" s="157"/>
      <c r="H94" s="157"/>
      <c r="I94" s="157"/>
      <c r="J94" s="157"/>
      <c r="K94" s="157"/>
      <c r="L94" s="157"/>
      <c r="M94" s="157"/>
      <c r="N94" s="157"/>
      <c r="O94" s="157"/>
      <c r="P94" s="157"/>
      <c r="Q94" s="157"/>
      <c r="R94" s="157"/>
      <c r="S94" s="157"/>
      <c r="T94" s="157"/>
      <c r="U94" s="158"/>
    </row>
    <row r="95" spans="1:27" ht="108" customHeight="1" x14ac:dyDescent="0.2">
      <c r="B95" s="144" t="s">
        <v>57</v>
      </c>
      <c r="C95" s="70" t="s">
        <v>65</v>
      </c>
      <c r="D95" s="153" t="s">
        <v>185</v>
      </c>
      <c r="E95" s="154"/>
      <c r="F95" s="154"/>
      <c r="G95" s="154"/>
      <c r="H95" s="154"/>
      <c r="I95" s="154"/>
      <c r="J95" s="154"/>
      <c r="K95" s="154"/>
      <c r="L95" s="154"/>
      <c r="M95" s="154"/>
      <c r="N95" s="154"/>
      <c r="O95" s="154"/>
      <c r="P95" s="154"/>
      <c r="Q95" s="154"/>
      <c r="R95" s="154"/>
      <c r="S95" s="154"/>
      <c r="T95" s="154"/>
      <c r="U95" s="155"/>
    </row>
    <row r="96" spans="1:27" ht="97.5" customHeight="1" x14ac:dyDescent="0.2">
      <c r="B96" s="152"/>
      <c r="C96" s="72" t="s">
        <v>66</v>
      </c>
      <c r="D96" s="149" t="s">
        <v>157</v>
      </c>
      <c r="E96" s="150"/>
      <c r="F96" s="150"/>
      <c r="G96" s="150"/>
      <c r="H96" s="150"/>
      <c r="I96" s="150"/>
      <c r="J96" s="150"/>
      <c r="K96" s="150"/>
      <c r="L96" s="150"/>
      <c r="M96" s="150"/>
      <c r="N96" s="150"/>
      <c r="O96" s="150"/>
      <c r="P96" s="150"/>
      <c r="Q96" s="150"/>
      <c r="R96" s="150"/>
      <c r="S96" s="150"/>
      <c r="T96" s="150"/>
      <c r="U96" s="151"/>
    </row>
    <row r="97" spans="1:21" ht="97.5" customHeight="1" x14ac:dyDescent="0.2">
      <c r="B97" s="144" t="s">
        <v>70</v>
      </c>
      <c r="C97" s="68" t="s">
        <v>52</v>
      </c>
      <c r="D97" s="146" t="s">
        <v>152</v>
      </c>
      <c r="E97" s="147"/>
      <c r="F97" s="147"/>
      <c r="G97" s="147"/>
      <c r="H97" s="147"/>
      <c r="I97" s="147"/>
      <c r="J97" s="147"/>
      <c r="K97" s="147"/>
      <c r="L97" s="147"/>
      <c r="M97" s="147"/>
      <c r="N97" s="147"/>
      <c r="O97" s="147"/>
      <c r="P97" s="147"/>
      <c r="Q97" s="147"/>
      <c r="R97" s="147"/>
      <c r="S97" s="147"/>
      <c r="T97" s="147"/>
      <c r="U97" s="148"/>
    </row>
    <row r="98" spans="1:21" ht="97.5" customHeight="1" x14ac:dyDescent="0.2">
      <c r="B98" s="152"/>
      <c r="C98" s="71" t="s">
        <v>54</v>
      </c>
      <c r="D98" s="149" t="s">
        <v>153</v>
      </c>
      <c r="E98" s="150"/>
      <c r="F98" s="150"/>
      <c r="G98" s="150"/>
      <c r="H98" s="150"/>
      <c r="I98" s="150"/>
      <c r="J98" s="150"/>
      <c r="K98" s="150"/>
      <c r="L98" s="150"/>
      <c r="M98" s="150"/>
      <c r="N98" s="150"/>
      <c r="O98" s="150"/>
      <c r="P98" s="150"/>
      <c r="Q98" s="150"/>
      <c r="R98" s="150"/>
      <c r="S98" s="150"/>
      <c r="T98" s="150"/>
      <c r="U98" s="151"/>
    </row>
    <row r="99" spans="1:21" ht="97.5" customHeight="1" x14ac:dyDescent="0.2">
      <c r="B99" s="144" t="s">
        <v>71</v>
      </c>
      <c r="C99" s="70" t="s">
        <v>51</v>
      </c>
      <c r="D99" s="146" t="s">
        <v>173</v>
      </c>
      <c r="E99" s="147"/>
      <c r="F99" s="147"/>
      <c r="G99" s="147"/>
      <c r="H99" s="147"/>
      <c r="I99" s="147"/>
      <c r="J99" s="147"/>
      <c r="K99" s="147"/>
      <c r="L99" s="147"/>
      <c r="M99" s="147"/>
      <c r="N99" s="147"/>
      <c r="O99" s="147"/>
      <c r="P99" s="147"/>
      <c r="Q99" s="147"/>
      <c r="R99" s="147"/>
      <c r="S99" s="147"/>
      <c r="T99" s="147"/>
      <c r="U99" s="148"/>
    </row>
    <row r="100" spans="1:21" ht="97.5" customHeight="1" x14ac:dyDescent="0.2">
      <c r="B100" s="145"/>
      <c r="C100" s="73" t="s">
        <v>67</v>
      </c>
      <c r="D100" s="164" t="s">
        <v>154</v>
      </c>
      <c r="E100" s="165"/>
      <c r="F100" s="165"/>
      <c r="G100" s="165"/>
      <c r="H100" s="165"/>
      <c r="I100" s="165"/>
      <c r="J100" s="165"/>
      <c r="K100" s="165"/>
      <c r="L100" s="165"/>
      <c r="M100" s="165"/>
      <c r="N100" s="165"/>
      <c r="O100" s="165"/>
      <c r="P100" s="165"/>
      <c r="Q100" s="165"/>
      <c r="R100" s="165"/>
      <c r="S100" s="165"/>
      <c r="T100" s="165"/>
      <c r="U100" s="166"/>
    </row>
    <row r="101" spans="1:21" ht="97.5" customHeight="1" x14ac:dyDescent="0.2">
      <c r="B101" s="152"/>
      <c r="C101" s="72" t="s">
        <v>68</v>
      </c>
      <c r="D101" s="149" t="s">
        <v>155</v>
      </c>
      <c r="E101" s="150"/>
      <c r="F101" s="150"/>
      <c r="G101" s="150"/>
      <c r="H101" s="150"/>
      <c r="I101" s="150"/>
      <c r="J101" s="150"/>
      <c r="K101" s="150"/>
      <c r="L101" s="150"/>
      <c r="M101" s="150"/>
      <c r="N101" s="150"/>
      <c r="O101" s="150"/>
      <c r="P101" s="150"/>
      <c r="Q101" s="150"/>
      <c r="R101" s="150"/>
      <c r="S101" s="150"/>
      <c r="T101" s="150"/>
      <c r="U101" s="151"/>
    </row>
    <row r="102" spans="1:21" ht="6" customHeight="1" x14ac:dyDescent="0.2"/>
    <row r="103" spans="1:21" ht="18.75" customHeight="1" x14ac:dyDescent="0.2">
      <c r="A103" s="85" t="s">
        <v>102</v>
      </c>
    </row>
    <row r="104" spans="1:21" ht="81.75" customHeight="1" x14ac:dyDescent="0.2">
      <c r="B104" s="167" t="s">
        <v>151</v>
      </c>
      <c r="C104" s="168"/>
      <c r="D104" s="168"/>
      <c r="E104" s="168"/>
      <c r="F104" s="168"/>
      <c r="G104" s="168"/>
      <c r="H104" s="168"/>
      <c r="I104" s="168"/>
      <c r="J104" s="168"/>
      <c r="K104" s="168"/>
      <c r="L104" s="168"/>
      <c r="M104" s="168"/>
      <c r="N104" s="168"/>
      <c r="O104" s="168"/>
      <c r="P104" s="168"/>
      <c r="Q104" s="168"/>
      <c r="R104" s="168"/>
      <c r="S104" s="168"/>
      <c r="T104" s="168"/>
      <c r="U104" s="169"/>
    </row>
    <row r="107" spans="1:21" ht="18" customHeight="1" x14ac:dyDescent="0.2"/>
  </sheetData>
  <mergeCells count="144">
    <mergeCell ref="B99:B101"/>
    <mergeCell ref="D99:U99"/>
    <mergeCell ref="D100:U100"/>
    <mergeCell ref="D101:U101"/>
    <mergeCell ref="B104:U104"/>
    <mergeCell ref="B95:B96"/>
    <mergeCell ref="D95:U95"/>
    <mergeCell ref="D96:U96"/>
    <mergeCell ref="B97:B98"/>
    <mergeCell ref="D97:U97"/>
    <mergeCell ref="D98:U98"/>
    <mergeCell ref="B91:B92"/>
    <mergeCell ref="D91:U91"/>
    <mergeCell ref="D92:U92"/>
    <mergeCell ref="B93:B94"/>
    <mergeCell ref="D93:U93"/>
    <mergeCell ref="D94:U94"/>
    <mergeCell ref="B87:F87"/>
    <mergeCell ref="G87:J87"/>
    <mergeCell ref="K87:Q87"/>
    <mergeCell ref="R87:U87"/>
    <mergeCell ref="B90:C90"/>
    <mergeCell ref="D90:U90"/>
    <mergeCell ref="B85:F85"/>
    <mergeCell ref="G85:J85"/>
    <mergeCell ref="K85:Q85"/>
    <mergeCell ref="R85:U85"/>
    <mergeCell ref="B86:F86"/>
    <mergeCell ref="G86:J86"/>
    <mergeCell ref="K86:Q86"/>
    <mergeCell ref="R86:U86"/>
    <mergeCell ref="B83:F83"/>
    <mergeCell ref="G83:J83"/>
    <mergeCell ref="K83:Q83"/>
    <mergeCell ref="R83:U83"/>
    <mergeCell ref="B84:F84"/>
    <mergeCell ref="G84:J84"/>
    <mergeCell ref="K84:Q84"/>
    <mergeCell ref="R84:U84"/>
    <mergeCell ref="R80:U80"/>
    <mergeCell ref="B81:F81"/>
    <mergeCell ref="G81:J81"/>
    <mergeCell ref="K81:Q81"/>
    <mergeCell ref="R81:U81"/>
    <mergeCell ref="B82:F82"/>
    <mergeCell ref="G82:J82"/>
    <mergeCell ref="K82:Q82"/>
    <mergeCell ref="R82:U82"/>
    <mergeCell ref="B76:E76"/>
    <mergeCell ref="K76:P76"/>
    <mergeCell ref="B77:E77"/>
    <mergeCell ref="K77:P77"/>
    <mergeCell ref="B80:F80"/>
    <mergeCell ref="G80:J80"/>
    <mergeCell ref="K80:Q80"/>
    <mergeCell ref="B73:E73"/>
    <mergeCell ref="K73:P73"/>
    <mergeCell ref="B74:E74"/>
    <mergeCell ref="K74:P74"/>
    <mergeCell ref="B75:E75"/>
    <mergeCell ref="K75:P75"/>
    <mergeCell ref="A68:U69"/>
    <mergeCell ref="B70:E70"/>
    <mergeCell ref="K70:P70"/>
    <mergeCell ref="B71:E71"/>
    <mergeCell ref="K71:P71"/>
    <mergeCell ref="B72:E72"/>
    <mergeCell ref="K72:P72"/>
    <mergeCell ref="B64:F64"/>
    <mergeCell ref="K64:Q64"/>
    <mergeCell ref="B65:F65"/>
    <mergeCell ref="K65:Q65"/>
    <mergeCell ref="B66:F66"/>
    <mergeCell ref="K66:Q66"/>
    <mergeCell ref="B61:F61"/>
    <mergeCell ref="K61:Q61"/>
    <mergeCell ref="B62:F62"/>
    <mergeCell ref="K62:Q62"/>
    <mergeCell ref="B63:F63"/>
    <mergeCell ref="K63:Q63"/>
    <mergeCell ref="B55:F55"/>
    <mergeCell ref="K55:Q55"/>
    <mergeCell ref="A57:U58"/>
    <mergeCell ref="B59:F59"/>
    <mergeCell ref="K59:Q59"/>
    <mergeCell ref="B60:F60"/>
    <mergeCell ref="K60:Q60"/>
    <mergeCell ref="B52:F52"/>
    <mergeCell ref="K52:Q52"/>
    <mergeCell ref="B53:F53"/>
    <mergeCell ref="K53:Q53"/>
    <mergeCell ref="B54:F54"/>
    <mergeCell ref="K54:Q54"/>
    <mergeCell ref="B49:F49"/>
    <mergeCell ref="K49:Q49"/>
    <mergeCell ref="B50:F50"/>
    <mergeCell ref="K50:Q50"/>
    <mergeCell ref="B51:F51"/>
    <mergeCell ref="K51:Q51"/>
    <mergeCell ref="B43:F43"/>
    <mergeCell ref="K43:Q43"/>
    <mergeCell ref="B44:F44"/>
    <mergeCell ref="K44:Q44"/>
    <mergeCell ref="A46:U47"/>
    <mergeCell ref="B48:F48"/>
    <mergeCell ref="K48:Q48"/>
    <mergeCell ref="B40:F40"/>
    <mergeCell ref="K40:Q40"/>
    <mergeCell ref="B41:F41"/>
    <mergeCell ref="K41:Q41"/>
    <mergeCell ref="B42:F42"/>
    <mergeCell ref="K42:Q42"/>
    <mergeCell ref="A35:U36"/>
    <mergeCell ref="B37:F37"/>
    <mergeCell ref="K37:Q37"/>
    <mergeCell ref="B38:F38"/>
    <mergeCell ref="K38:Q38"/>
    <mergeCell ref="B39:F39"/>
    <mergeCell ref="K39:Q39"/>
    <mergeCell ref="B31:F31"/>
    <mergeCell ref="K31:Q31"/>
    <mergeCell ref="B32:F32"/>
    <mergeCell ref="K32:Q32"/>
    <mergeCell ref="B33:F33"/>
    <mergeCell ref="K33:Q33"/>
    <mergeCell ref="B30:F30"/>
    <mergeCell ref="K30:Q30"/>
    <mergeCell ref="B15:U20"/>
    <mergeCell ref="N22:U22"/>
    <mergeCell ref="A24:U25"/>
    <mergeCell ref="B26:F26"/>
    <mergeCell ref="K26:Q26"/>
    <mergeCell ref="B27:F27"/>
    <mergeCell ref="K27:Q27"/>
    <mergeCell ref="T1:U1"/>
    <mergeCell ref="C2:J2"/>
    <mergeCell ref="C3:J3"/>
    <mergeCell ref="A5:U5"/>
    <mergeCell ref="L7:U7"/>
    <mergeCell ref="B11:U12"/>
    <mergeCell ref="B28:F28"/>
    <mergeCell ref="K28:Q28"/>
    <mergeCell ref="B29:F29"/>
    <mergeCell ref="K29:Q29"/>
  </mergeCells>
  <phoneticPr fontId="1"/>
  <conditionalFormatting sqref="B11:U12">
    <cfRule type="expression" dxfId="3" priority="1">
      <formula>$L$7="学部・学科によって、修了要件は相違しない"</formula>
    </cfRule>
    <cfRule type="expression" dxfId="2" priority="2">
      <formula>$L$9="学部・学科によって、修了要件は相違しない"</formula>
    </cfRule>
  </conditionalFormatting>
  <dataValidations count="6">
    <dataValidation type="list" allowBlank="1" showInputMessage="1" showErrorMessage="1" sqref="G81:J87 R81:U87" xr:uid="{53F7B416-2DDC-405D-BC63-BF839C862538}">
      <formula1>$AA$80:$AA$89</formula1>
    </dataValidation>
    <dataValidation type="list" allowBlank="1" showInputMessage="1" showErrorMessage="1" sqref="N22:U22" xr:uid="{713DB972-3D9F-47DF-8ABD-F72BF08F2DD6}">
      <formula1>$X$16:$X$18</formula1>
    </dataValidation>
    <dataValidation type="list" allowBlank="1" showInputMessage="1" showErrorMessage="1" sqref="G88:J88 R88:U88" xr:uid="{067FA573-0321-44DE-B0A2-BCBC26A06991}">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 type="list" allowBlank="1" showInputMessage="1" showErrorMessage="1" sqref="L14 L7:U7" xr:uid="{EDE3F7B1-4400-479F-8E64-964D17E0834E}">
      <formula1>"学部・学科によって、修了要件は相違する,学部・学科によって、修了要件は相違しない"</formula1>
    </dataValidation>
    <dataValidation type="list" allowBlank="1" showInputMessage="1" showErrorMessage="1" sqref="U34 U45 E34:H34 E45:H45" xr:uid="{7E9750F9-2F6A-4805-9D4A-89D7488844CE}">
      <formula1>"全学開講,一部開講"</formula1>
    </dataValidation>
    <dataValidation type="list" allowBlank="1" showInputMessage="1" showErrorMessage="1" sqref="H27:J33 S27:U33 R71:U77 S38:U44 H38:J44 S49:U55 H60:J66 S60:U66 G71:J77 H49:J55" xr:uid="{507A2E13-BDD6-4F86-B1D1-1D70348E5DD1}">
      <formula1>"○"</formula1>
    </dataValidation>
  </dataValidations>
  <printOptions horizontalCentered="1"/>
  <pageMargins left="0.78740157480314965" right="0.78740157480314965" top="0.78740157480314965" bottom="0.19685039370078741" header="0.31496062992125984" footer="0.19685039370078741"/>
  <pageSetup paperSize="9" scale="68" fitToHeight="0" orientation="portrait" r:id="rId1"/>
  <headerFooter>
    <oddHeader>&amp;C数理・データサイエンス・AI教育プログラム認定制度【リテラシーレベル】令和７年度申請用</oddHeader>
  </headerFooter>
  <rowBreaks count="2" manualBreakCount="2">
    <brk id="67" max="20" man="1"/>
    <brk id="96" max="20"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7C4E09-CA47-4A5D-8092-9270AEEBA0DE}">
  <sheetPr>
    <pageSetUpPr fitToPage="1"/>
  </sheetPr>
  <dimension ref="A1:AA107"/>
  <sheetViews>
    <sheetView showZeros="0" view="pageBreakPreview" topLeftCell="A100" zoomScale="110" zoomScaleNormal="100" zoomScaleSheetLayoutView="110" workbookViewId="0">
      <selection activeCell="D96" sqref="D96:U96"/>
    </sheetView>
  </sheetViews>
  <sheetFormatPr defaultColWidth="9" defaultRowHeight="18.75" customHeight="1" x14ac:dyDescent="0.2"/>
  <cols>
    <col min="1" max="1" width="2.44140625" style="1" customWidth="1"/>
    <col min="2" max="2" width="16.44140625" style="1" customWidth="1"/>
    <col min="3" max="21" width="5.6640625" style="1" customWidth="1"/>
    <col min="22" max="22" width="9" style="1"/>
    <col min="23" max="23" width="3.6640625" style="1" customWidth="1"/>
    <col min="24" max="24" width="48.6640625" style="1" hidden="1" customWidth="1"/>
    <col min="25" max="26" width="9" style="1"/>
    <col min="27" max="27" width="9" style="1" hidden="1" customWidth="1"/>
    <col min="28" max="16384" width="9" style="1"/>
  </cols>
  <sheetData>
    <row r="1" spans="1:24" ht="18.600000000000001" customHeight="1" x14ac:dyDescent="0.2">
      <c r="T1" s="93" t="s">
        <v>170</v>
      </c>
      <c r="U1" s="93"/>
      <c r="V1" s="2" t="s">
        <v>93</v>
      </c>
    </row>
    <row r="2" spans="1:24" ht="18.75" customHeight="1" x14ac:dyDescent="0.2">
      <c r="B2" s="17" t="s">
        <v>92</v>
      </c>
      <c r="C2" s="94" t="s">
        <v>143</v>
      </c>
      <c r="D2" s="95"/>
      <c r="E2" s="95"/>
      <c r="F2" s="95"/>
      <c r="G2" s="95"/>
      <c r="H2" s="95"/>
      <c r="I2" s="95"/>
      <c r="J2" s="96"/>
      <c r="K2" s="18"/>
      <c r="L2" s="6"/>
      <c r="M2" s="6"/>
      <c r="N2" s="6"/>
      <c r="O2" s="6"/>
      <c r="P2" s="6"/>
      <c r="Q2" s="6"/>
      <c r="R2" s="6"/>
      <c r="S2" s="6"/>
      <c r="T2" s="6"/>
      <c r="U2" s="6"/>
    </row>
    <row r="3" spans="1:24" ht="18.75" customHeight="1" x14ac:dyDescent="0.2">
      <c r="B3" s="17" t="s">
        <v>87</v>
      </c>
      <c r="C3" s="97" t="s">
        <v>144</v>
      </c>
      <c r="D3" s="98"/>
      <c r="E3" s="98"/>
      <c r="F3" s="98"/>
      <c r="G3" s="98"/>
      <c r="H3" s="98"/>
      <c r="I3" s="98"/>
      <c r="J3" s="99"/>
      <c r="K3" s="18"/>
      <c r="L3" s="6"/>
      <c r="M3" s="6"/>
      <c r="N3" s="6"/>
      <c r="O3" s="6"/>
      <c r="P3" s="6"/>
      <c r="Q3" s="6"/>
      <c r="R3" s="6"/>
      <c r="S3" s="6"/>
      <c r="T3" s="6"/>
      <c r="U3" s="6"/>
    </row>
    <row r="4" spans="1:24" ht="15" customHeight="1" x14ac:dyDescent="0.2">
      <c r="L4" s="18"/>
      <c r="M4" s="74"/>
      <c r="N4" s="74"/>
      <c r="O4" s="74"/>
      <c r="P4" s="74"/>
      <c r="Q4" s="74"/>
      <c r="R4" s="74"/>
      <c r="S4" s="74"/>
      <c r="T4" s="74"/>
      <c r="U4" s="74"/>
    </row>
    <row r="5" spans="1:24" ht="18" customHeight="1" x14ac:dyDescent="0.2">
      <c r="A5" s="100" t="s">
        <v>141</v>
      </c>
      <c r="B5" s="100"/>
      <c r="C5" s="100"/>
      <c r="D5" s="100"/>
      <c r="E5" s="100"/>
      <c r="F5" s="100"/>
      <c r="G5" s="100"/>
      <c r="H5" s="100"/>
      <c r="I5" s="100"/>
      <c r="J5" s="100"/>
      <c r="K5" s="100"/>
      <c r="L5" s="100"/>
      <c r="M5" s="100"/>
      <c r="N5" s="100"/>
      <c r="O5" s="100"/>
      <c r="P5" s="100"/>
      <c r="Q5" s="100"/>
      <c r="R5" s="100"/>
      <c r="S5" s="100"/>
      <c r="T5" s="100"/>
      <c r="U5" s="100"/>
    </row>
    <row r="6" spans="1:24" ht="15" customHeight="1" x14ac:dyDescent="0.2">
      <c r="B6" s="3"/>
      <c r="C6" s="3"/>
      <c r="D6" s="3"/>
      <c r="E6" s="3"/>
      <c r="F6" s="3"/>
      <c r="G6" s="3"/>
      <c r="H6" s="3"/>
      <c r="I6" s="3"/>
      <c r="J6" s="3"/>
      <c r="K6" s="3"/>
      <c r="L6" s="3"/>
      <c r="M6" s="3"/>
      <c r="N6" s="3"/>
      <c r="O6" s="3"/>
      <c r="P6" s="3"/>
      <c r="Q6" s="3"/>
      <c r="R6" s="3"/>
      <c r="S6" s="3"/>
      <c r="T6" s="3"/>
      <c r="U6" s="3"/>
    </row>
    <row r="7" spans="1:24" ht="15" customHeight="1" x14ac:dyDescent="0.2">
      <c r="A7" s="1" t="s">
        <v>117</v>
      </c>
      <c r="B7" s="3"/>
      <c r="C7" s="3"/>
      <c r="D7" s="3"/>
      <c r="E7" s="3"/>
      <c r="F7" s="2"/>
      <c r="G7" s="2"/>
      <c r="H7" s="2"/>
      <c r="I7" s="2"/>
      <c r="J7" s="2"/>
      <c r="K7" s="2"/>
      <c r="L7" s="101" t="s">
        <v>116</v>
      </c>
      <c r="M7" s="102"/>
      <c r="N7" s="102"/>
      <c r="O7" s="102"/>
      <c r="P7" s="102"/>
      <c r="Q7" s="102"/>
      <c r="R7" s="102"/>
      <c r="S7" s="102"/>
      <c r="T7" s="102"/>
      <c r="U7" s="103"/>
    </row>
    <row r="8" spans="1:24" ht="6" customHeight="1" x14ac:dyDescent="0.2">
      <c r="B8" s="3"/>
      <c r="C8" s="3"/>
      <c r="D8" s="3"/>
      <c r="E8" s="3"/>
      <c r="F8" s="3"/>
      <c r="G8" s="3"/>
      <c r="H8" s="3"/>
      <c r="I8" s="3"/>
      <c r="J8" s="3"/>
      <c r="K8" s="3"/>
      <c r="L8" s="3"/>
      <c r="M8" s="3"/>
      <c r="N8" s="3"/>
      <c r="O8" s="3"/>
      <c r="P8" s="3"/>
      <c r="Q8" s="3"/>
      <c r="R8" s="3"/>
      <c r="S8" s="3"/>
      <c r="T8" s="3"/>
      <c r="U8" s="3"/>
    </row>
    <row r="9" spans="1:24" ht="18" customHeight="1" x14ac:dyDescent="0.2">
      <c r="A9" s="1" t="s">
        <v>118</v>
      </c>
      <c r="C9" s="3"/>
      <c r="D9" s="3"/>
      <c r="K9" s="18"/>
      <c r="L9" s="2"/>
      <c r="M9" s="2"/>
      <c r="N9" s="2"/>
      <c r="O9" s="2"/>
      <c r="P9" s="2"/>
      <c r="Q9" s="2"/>
      <c r="R9" s="2"/>
      <c r="S9" s="2"/>
      <c r="T9" s="2"/>
      <c r="U9" s="2"/>
    </row>
    <row r="10" spans="1:24" ht="6" customHeight="1" x14ac:dyDescent="0.2">
      <c r="B10" s="3"/>
      <c r="C10" s="3"/>
      <c r="D10" s="3"/>
      <c r="E10" s="3"/>
      <c r="F10" s="3"/>
      <c r="G10" s="3"/>
      <c r="H10" s="3"/>
      <c r="I10" s="3"/>
      <c r="J10" s="3"/>
      <c r="K10" s="3"/>
      <c r="L10" s="10"/>
      <c r="M10" s="3"/>
      <c r="N10" s="3"/>
      <c r="O10" s="3"/>
      <c r="P10" s="3"/>
      <c r="Q10" s="3"/>
      <c r="R10" s="3"/>
      <c r="S10" s="3"/>
      <c r="T10" s="3"/>
      <c r="U10" s="3"/>
    </row>
    <row r="11" spans="1:24" ht="18" customHeight="1" x14ac:dyDescent="0.2">
      <c r="B11" s="104" t="s">
        <v>174</v>
      </c>
      <c r="C11" s="105"/>
      <c r="D11" s="105"/>
      <c r="E11" s="105"/>
      <c r="F11" s="105"/>
      <c r="G11" s="105"/>
      <c r="H11" s="105"/>
      <c r="I11" s="105"/>
      <c r="J11" s="105"/>
      <c r="K11" s="105"/>
      <c r="L11" s="105"/>
      <c r="M11" s="105"/>
      <c r="N11" s="105"/>
      <c r="O11" s="105"/>
      <c r="P11" s="105"/>
      <c r="Q11" s="105"/>
      <c r="R11" s="105"/>
      <c r="S11" s="105"/>
      <c r="T11" s="105"/>
      <c r="U11" s="106"/>
    </row>
    <row r="12" spans="1:24" ht="18" customHeight="1" x14ac:dyDescent="0.2">
      <c r="B12" s="107"/>
      <c r="C12" s="108"/>
      <c r="D12" s="108"/>
      <c r="E12" s="108"/>
      <c r="F12" s="108"/>
      <c r="G12" s="108"/>
      <c r="H12" s="108"/>
      <c r="I12" s="108"/>
      <c r="J12" s="108"/>
      <c r="K12" s="108"/>
      <c r="L12" s="108"/>
      <c r="M12" s="108"/>
      <c r="N12" s="108"/>
      <c r="O12" s="108"/>
      <c r="P12" s="108"/>
      <c r="Q12" s="108"/>
      <c r="R12" s="108"/>
      <c r="S12" s="108"/>
      <c r="T12" s="108"/>
      <c r="U12" s="109"/>
    </row>
    <row r="13" spans="1:24" ht="6" customHeight="1" x14ac:dyDescent="0.2">
      <c r="B13" s="3"/>
      <c r="C13" s="3"/>
      <c r="D13" s="3"/>
      <c r="E13" s="3"/>
      <c r="F13" s="3"/>
      <c r="G13" s="3"/>
      <c r="H13" s="3"/>
      <c r="I13" s="3"/>
      <c r="J13" s="3"/>
      <c r="K13" s="3"/>
      <c r="L13" s="10"/>
      <c r="M13" s="3"/>
      <c r="N13" s="3"/>
      <c r="O13" s="3"/>
      <c r="P13" s="3"/>
      <c r="Q13" s="3"/>
      <c r="R13" s="3"/>
      <c r="S13" s="3"/>
      <c r="T13" s="3"/>
      <c r="U13" s="3"/>
    </row>
    <row r="14" spans="1:24" ht="18" customHeight="1" x14ac:dyDescent="0.2">
      <c r="A14" s="1" t="s">
        <v>94</v>
      </c>
      <c r="B14" s="3"/>
      <c r="C14" s="3"/>
      <c r="D14" s="3"/>
      <c r="E14" s="18"/>
      <c r="F14" s="18"/>
      <c r="G14" s="18"/>
      <c r="H14" s="18"/>
      <c r="I14" s="18"/>
      <c r="J14" s="18"/>
      <c r="K14" s="18"/>
      <c r="L14" s="75"/>
      <c r="M14" s="75"/>
      <c r="N14" s="75"/>
      <c r="O14" s="75"/>
      <c r="P14" s="75"/>
      <c r="Q14" s="75"/>
      <c r="R14" s="75"/>
      <c r="S14" s="75"/>
      <c r="T14" s="75"/>
      <c r="U14" s="75"/>
    </row>
    <row r="15" spans="1:24" ht="18" customHeight="1" x14ac:dyDescent="0.2">
      <c r="B15" s="113" t="s">
        <v>175</v>
      </c>
      <c r="C15" s="114"/>
      <c r="D15" s="114"/>
      <c r="E15" s="114"/>
      <c r="F15" s="114"/>
      <c r="G15" s="114"/>
      <c r="H15" s="114"/>
      <c r="I15" s="114"/>
      <c r="J15" s="114"/>
      <c r="K15" s="114"/>
      <c r="L15" s="114"/>
      <c r="M15" s="114"/>
      <c r="N15" s="114"/>
      <c r="O15" s="114"/>
      <c r="P15" s="114"/>
      <c r="Q15" s="114"/>
      <c r="R15" s="114"/>
      <c r="S15" s="114"/>
      <c r="T15" s="114"/>
      <c r="U15" s="115"/>
      <c r="X15" s="1" t="s">
        <v>88</v>
      </c>
    </row>
    <row r="16" spans="1:24" ht="18" customHeight="1" x14ac:dyDescent="0.2">
      <c r="B16" s="116"/>
      <c r="C16" s="117"/>
      <c r="D16" s="117"/>
      <c r="E16" s="117"/>
      <c r="F16" s="117"/>
      <c r="G16" s="117"/>
      <c r="H16" s="117"/>
      <c r="I16" s="117"/>
      <c r="J16" s="117"/>
      <c r="K16" s="117"/>
      <c r="L16" s="117"/>
      <c r="M16" s="117"/>
      <c r="N16" s="117"/>
      <c r="O16" s="117"/>
      <c r="P16" s="117"/>
      <c r="Q16" s="117"/>
      <c r="R16" s="117"/>
      <c r="S16" s="117"/>
      <c r="T16" s="117"/>
      <c r="U16" s="118"/>
      <c r="X16" s="1" t="s">
        <v>122</v>
      </c>
    </row>
    <row r="17" spans="1:24" ht="18" customHeight="1" x14ac:dyDescent="0.2">
      <c r="B17" s="116"/>
      <c r="C17" s="117"/>
      <c r="D17" s="117"/>
      <c r="E17" s="117"/>
      <c r="F17" s="117"/>
      <c r="G17" s="117"/>
      <c r="H17" s="117"/>
      <c r="I17" s="117"/>
      <c r="J17" s="117"/>
      <c r="K17" s="117"/>
      <c r="L17" s="117"/>
      <c r="M17" s="117"/>
      <c r="N17" s="117"/>
      <c r="O17" s="117"/>
      <c r="P17" s="117"/>
      <c r="Q17" s="117"/>
      <c r="R17" s="117"/>
      <c r="S17" s="117"/>
      <c r="T17" s="117"/>
      <c r="U17" s="118"/>
      <c r="X17" s="1" t="s">
        <v>123</v>
      </c>
    </row>
    <row r="18" spans="1:24" ht="18" customHeight="1" x14ac:dyDescent="0.2">
      <c r="B18" s="116"/>
      <c r="C18" s="117"/>
      <c r="D18" s="117"/>
      <c r="E18" s="117"/>
      <c r="F18" s="117"/>
      <c r="G18" s="117"/>
      <c r="H18" s="117"/>
      <c r="I18" s="117"/>
      <c r="J18" s="117"/>
      <c r="K18" s="117"/>
      <c r="L18" s="117"/>
      <c r="M18" s="117"/>
      <c r="N18" s="117"/>
      <c r="O18" s="117"/>
      <c r="P18" s="117"/>
      <c r="Q18" s="117"/>
      <c r="R18" s="117"/>
      <c r="S18" s="117"/>
      <c r="T18" s="117"/>
      <c r="U18" s="118"/>
      <c r="X18" s="1" t="s">
        <v>124</v>
      </c>
    </row>
    <row r="19" spans="1:24" ht="18" customHeight="1" x14ac:dyDescent="0.2">
      <c r="B19" s="116"/>
      <c r="C19" s="117"/>
      <c r="D19" s="117"/>
      <c r="E19" s="117"/>
      <c r="F19" s="117"/>
      <c r="G19" s="117"/>
      <c r="H19" s="117"/>
      <c r="I19" s="117"/>
      <c r="J19" s="117"/>
      <c r="K19" s="117"/>
      <c r="L19" s="117"/>
      <c r="M19" s="117"/>
      <c r="N19" s="117"/>
      <c r="O19" s="117"/>
      <c r="P19" s="117"/>
      <c r="Q19" s="117"/>
      <c r="R19" s="117"/>
      <c r="S19" s="117"/>
      <c r="T19" s="117"/>
      <c r="U19" s="118"/>
    </row>
    <row r="20" spans="1:24" ht="18" customHeight="1" x14ac:dyDescent="0.2">
      <c r="B20" s="119"/>
      <c r="C20" s="120"/>
      <c r="D20" s="120"/>
      <c r="E20" s="120"/>
      <c r="F20" s="120"/>
      <c r="G20" s="120"/>
      <c r="H20" s="120"/>
      <c r="I20" s="120"/>
      <c r="J20" s="120"/>
      <c r="K20" s="120"/>
      <c r="L20" s="120"/>
      <c r="M20" s="120"/>
      <c r="N20" s="120"/>
      <c r="O20" s="120"/>
      <c r="P20" s="120"/>
      <c r="Q20" s="120"/>
      <c r="R20" s="120"/>
      <c r="S20" s="120"/>
      <c r="T20" s="120"/>
      <c r="U20" s="121"/>
    </row>
    <row r="21" spans="1:24" ht="7.5" customHeight="1" x14ac:dyDescent="0.2">
      <c r="B21" s="3"/>
      <c r="C21" s="3"/>
      <c r="D21" s="3"/>
      <c r="E21" s="3"/>
      <c r="F21" s="3"/>
      <c r="G21" s="3"/>
      <c r="H21" s="3"/>
      <c r="I21" s="3"/>
      <c r="J21" s="3"/>
      <c r="K21" s="3"/>
      <c r="L21" s="3"/>
      <c r="M21" s="3"/>
      <c r="N21" s="3"/>
      <c r="O21" s="3"/>
      <c r="P21" s="3"/>
      <c r="Q21" s="3"/>
      <c r="R21" s="3"/>
      <c r="S21" s="3"/>
      <c r="T21" s="3"/>
      <c r="U21" s="3"/>
    </row>
    <row r="22" spans="1:24" ht="19.95" customHeight="1" x14ac:dyDescent="0.2">
      <c r="B22" s="1" t="s">
        <v>119</v>
      </c>
      <c r="E22" s="17">
        <v>3</v>
      </c>
      <c r="F22" s="1" t="s">
        <v>106</v>
      </c>
      <c r="H22" s="17">
        <v>5</v>
      </c>
      <c r="I22" s="3" t="s">
        <v>107</v>
      </c>
      <c r="J22" s="3"/>
      <c r="K22" s="18"/>
      <c r="M22" s="18" t="s">
        <v>103</v>
      </c>
      <c r="N22" s="122" t="s">
        <v>124</v>
      </c>
      <c r="O22" s="123"/>
      <c r="P22" s="123"/>
      <c r="Q22" s="123"/>
      <c r="R22" s="123"/>
      <c r="S22" s="123"/>
      <c r="T22" s="123"/>
      <c r="U22" s="124"/>
    </row>
    <row r="23" spans="1:24" ht="7.5" customHeight="1" x14ac:dyDescent="0.2">
      <c r="B23" s="3"/>
      <c r="C23" s="3"/>
      <c r="D23" s="3"/>
      <c r="E23" s="3"/>
      <c r="F23" s="3"/>
      <c r="G23" s="3"/>
      <c r="H23" s="3"/>
      <c r="I23" s="3"/>
      <c r="J23" s="3"/>
      <c r="K23" s="3"/>
      <c r="L23" s="3"/>
      <c r="M23" s="3"/>
      <c r="N23" s="3"/>
      <c r="O23" s="3"/>
      <c r="P23" s="3"/>
      <c r="Q23" s="3"/>
      <c r="R23" s="3"/>
      <c r="S23" s="3"/>
      <c r="T23" s="3"/>
      <c r="U23" s="3"/>
    </row>
    <row r="24" spans="1:24" ht="18" customHeight="1" x14ac:dyDescent="0.2">
      <c r="A24" s="125" t="s">
        <v>95</v>
      </c>
      <c r="B24" s="125"/>
      <c r="C24" s="125"/>
      <c r="D24" s="125"/>
      <c r="E24" s="125"/>
      <c r="F24" s="125"/>
      <c r="G24" s="125"/>
      <c r="H24" s="125"/>
      <c r="I24" s="125"/>
      <c r="J24" s="125"/>
      <c r="K24" s="125"/>
      <c r="L24" s="125"/>
      <c r="M24" s="125"/>
      <c r="N24" s="125"/>
      <c r="O24" s="125"/>
      <c r="P24" s="125"/>
      <c r="Q24" s="125"/>
      <c r="R24" s="125"/>
      <c r="S24" s="125"/>
      <c r="T24" s="125"/>
      <c r="U24" s="125"/>
    </row>
    <row r="25" spans="1:24" ht="18" customHeight="1" x14ac:dyDescent="0.2">
      <c r="A25" s="125"/>
      <c r="B25" s="125"/>
      <c r="C25" s="125"/>
      <c r="D25" s="125"/>
      <c r="E25" s="125"/>
      <c r="F25" s="125"/>
      <c r="G25" s="125"/>
      <c r="H25" s="125"/>
      <c r="I25" s="125"/>
      <c r="J25" s="125"/>
      <c r="K25" s="125"/>
      <c r="L25" s="125"/>
      <c r="M25" s="125"/>
      <c r="N25" s="125"/>
      <c r="O25" s="125"/>
      <c r="P25" s="125"/>
      <c r="Q25" s="125"/>
      <c r="R25" s="125"/>
      <c r="S25" s="125"/>
      <c r="T25" s="125"/>
      <c r="U25" s="125"/>
    </row>
    <row r="26" spans="1:24" ht="18" customHeight="1" x14ac:dyDescent="0.2">
      <c r="B26" s="94" t="s">
        <v>47</v>
      </c>
      <c r="C26" s="95"/>
      <c r="D26" s="95"/>
      <c r="E26" s="95"/>
      <c r="F26" s="96"/>
      <c r="G26" s="60" t="s">
        <v>72</v>
      </c>
      <c r="H26" s="61" t="s">
        <v>75</v>
      </c>
      <c r="I26" s="62" t="s">
        <v>50</v>
      </c>
      <c r="J26" s="62" t="s">
        <v>53</v>
      </c>
      <c r="K26" s="94" t="s">
        <v>47</v>
      </c>
      <c r="L26" s="95"/>
      <c r="M26" s="95"/>
      <c r="N26" s="95"/>
      <c r="O26" s="95"/>
      <c r="P26" s="95"/>
      <c r="Q26" s="96"/>
      <c r="R26" s="60" t="s">
        <v>72</v>
      </c>
      <c r="S26" s="61" t="s">
        <v>75</v>
      </c>
      <c r="T26" s="62" t="s">
        <v>50</v>
      </c>
      <c r="U26" s="62" t="s">
        <v>53</v>
      </c>
    </row>
    <row r="27" spans="1:24" ht="18" customHeight="1" x14ac:dyDescent="0.2">
      <c r="B27" s="126" t="s">
        <v>145</v>
      </c>
      <c r="C27" s="127"/>
      <c r="D27" s="127"/>
      <c r="E27" s="127"/>
      <c r="F27" s="128"/>
      <c r="G27" s="63">
        <v>2</v>
      </c>
      <c r="H27" s="63" t="s">
        <v>146</v>
      </c>
      <c r="I27" s="63" t="s">
        <v>146</v>
      </c>
      <c r="J27" s="63" t="s">
        <v>146</v>
      </c>
      <c r="K27" s="126"/>
      <c r="L27" s="127"/>
      <c r="M27" s="127"/>
      <c r="N27" s="127"/>
      <c r="O27" s="127"/>
      <c r="P27" s="127"/>
      <c r="Q27" s="128"/>
      <c r="R27" s="63"/>
      <c r="S27" s="63"/>
      <c r="T27" s="63"/>
      <c r="U27" s="63"/>
    </row>
    <row r="28" spans="1:24" ht="18" customHeight="1" x14ac:dyDescent="0.2">
      <c r="B28" s="110"/>
      <c r="C28" s="111"/>
      <c r="D28" s="111"/>
      <c r="E28" s="111"/>
      <c r="F28" s="112"/>
      <c r="G28" s="64"/>
      <c r="H28" s="64"/>
      <c r="I28" s="64"/>
      <c r="J28" s="64"/>
      <c r="K28" s="110"/>
      <c r="L28" s="111"/>
      <c r="M28" s="111"/>
      <c r="N28" s="111"/>
      <c r="O28" s="111"/>
      <c r="P28" s="111"/>
      <c r="Q28" s="112"/>
      <c r="R28" s="64"/>
      <c r="S28" s="64"/>
      <c r="T28" s="64"/>
      <c r="U28" s="64"/>
    </row>
    <row r="29" spans="1:24" ht="18" customHeight="1" x14ac:dyDescent="0.2">
      <c r="B29" s="110"/>
      <c r="C29" s="111"/>
      <c r="D29" s="111"/>
      <c r="E29" s="111"/>
      <c r="F29" s="112"/>
      <c r="G29" s="64"/>
      <c r="H29" s="64"/>
      <c r="I29" s="64"/>
      <c r="J29" s="64"/>
      <c r="K29" s="110"/>
      <c r="L29" s="111"/>
      <c r="M29" s="111"/>
      <c r="N29" s="111"/>
      <c r="O29" s="111"/>
      <c r="P29" s="111"/>
      <c r="Q29" s="112"/>
      <c r="R29" s="64"/>
      <c r="S29" s="64"/>
      <c r="T29" s="64"/>
      <c r="U29" s="64"/>
    </row>
    <row r="30" spans="1:24" ht="18" customHeight="1" x14ac:dyDescent="0.2">
      <c r="B30" s="110"/>
      <c r="C30" s="111"/>
      <c r="D30" s="111"/>
      <c r="E30" s="111"/>
      <c r="F30" s="112"/>
      <c r="G30" s="64"/>
      <c r="H30" s="64"/>
      <c r="I30" s="64"/>
      <c r="J30" s="64"/>
      <c r="K30" s="110"/>
      <c r="L30" s="111"/>
      <c r="M30" s="111"/>
      <c r="N30" s="111"/>
      <c r="O30" s="111"/>
      <c r="P30" s="111"/>
      <c r="Q30" s="112"/>
      <c r="R30" s="64"/>
      <c r="S30" s="64"/>
      <c r="T30" s="64"/>
      <c r="U30" s="64"/>
    </row>
    <row r="31" spans="1:24" ht="18" customHeight="1" x14ac:dyDescent="0.2">
      <c r="B31" s="110"/>
      <c r="C31" s="111"/>
      <c r="D31" s="111"/>
      <c r="E31" s="111"/>
      <c r="F31" s="112"/>
      <c r="G31" s="64"/>
      <c r="H31" s="64"/>
      <c r="I31" s="64"/>
      <c r="J31" s="64"/>
      <c r="K31" s="110"/>
      <c r="L31" s="111"/>
      <c r="M31" s="111"/>
      <c r="N31" s="111"/>
      <c r="O31" s="111"/>
      <c r="P31" s="111"/>
      <c r="Q31" s="112"/>
      <c r="R31" s="64"/>
      <c r="S31" s="64"/>
      <c r="T31" s="64"/>
      <c r="U31" s="64"/>
    </row>
    <row r="32" spans="1:24" ht="18" customHeight="1" x14ac:dyDescent="0.2">
      <c r="A32" s="3"/>
      <c r="B32" s="110"/>
      <c r="C32" s="111"/>
      <c r="D32" s="111"/>
      <c r="E32" s="111"/>
      <c r="F32" s="112"/>
      <c r="G32" s="64"/>
      <c r="H32" s="64"/>
      <c r="I32" s="64"/>
      <c r="J32" s="64"/>
      <c r="K32" s="110"/>
      <c r="L32" s="111"/>
      <c r="M32" s="111"/>
      <c r="N32" s="111"/>
      <c r="O32" s="111"/>
      <c r="P32" s="111"/>
      <c r="Q32" s="112"/>
      <c r="R32" s="64"/>
      <c r="S32" s="64"/>
      <c r="T32" s="64"/>
      <c r="U32" s="64"/>
    </row>
    <row r="33" spans="1:21" ht="18" customHeight="1" x14ac:dyDescent="0.2">
      <c r="A33" s="3"/>
      <c r="B33" s="132"/>
      <c r="C33" s="133"/>
      <c r="D33" s="133"/>
      <c r="E33" s="133"/>
      <c r="F33" s="134"/>
      <c r="G33" s="65"/>
      <c r="H33" s="65"/>
      <c r="I33" s="66"/>
      <c r="J33" s="66"/>
      <c r="K33" s="132"/>
      <c r="L33" s="133"/>
      <c r="M33" s="133"/>
      <c r="N33" s="133"/>
      <c r="O33" s="133"/>
      <c r="P33" s="133"/>
      <c r="Q33" s="134"/>
      <c r="R33" s="65"/>
      <c r="S33" s="65"/>
      <c r="T33" s="66"/>
      <c r="U33" s="66"/>
    </row>
    <row r="34" spans="1:21" ht="7.5" customHeight="1" x14ac:dyDescent="0.2">
      <c r="A34" s="3"/>
      <c r="B34" s="6"/>
      <c r="C34" s="6"/>
      <c r="D34" s="6"/>
      <c r="E34" s="3"/>
      <c r="F34" s="3"/>
      <c r="G34" s="3"/>
      <c r="H34" s="3"/>
      <c r="I34" s="6"/>
      <c r="J34" s="6"/>
      <c r="K34" s="6"/>
      <c r="L34" s="6"/>
      <c r="M34" s="6"/>
      <c r="N34" s="6"/>
      <c r="O34" s="6"/>
      <c r="P34" s="6"/>
      <c r="Q34" s="6"/>
      <c r="R34" s="6"/>
      <c r="S34" s="6"/>
      <c r="T34" s="6"/>
      <c r="U34" s="3"/>
    </row>
    <row r="35" spans="1:21" ht="18" customHeight="1" x14ac:dyDescent="0.2">
      <c r="A35" s="125" t="s">
        <v>96</v>
      </c>
      <c r="B35" s="125"/>
      <c r="C35" s="125"/>
      <c r="D35" s="125"/>
      <c r="E35" s="125"/>
      <c r="F35" s="125"/>
      <c r="G35" s="125"/>
      <c r="H35" s="125"/>
      <c r="I35" s="125"/>
      <c r="J35" s="125"/>
      <c r="K35" s="125"/>
      <c r="L35" s="125"/>
      <c r="M35" s="125"/>
      <c r="N35" s="125"/>
      <c r="O35" s="125"/>
      <c r="P35" s="125"/>
      <c r="Q35" s="125"/>
      <c r="R35" s="125"/>
      <c r="S35" s="125"/>
      <c r="T35" s="125"/>
      <c r="U35" s="125"/>
    </row>
    <row r="36" spans="1:21" ht="18" customHeight="1" x14ac:dyDescent="0.2">
      <c r="A36" s="125"/>
      <c r="B36" s="125"/>
      <c r="C36" s="125"/>
      <c r="D36" s="125"/>
      <c r="E36" s="125"/>
      <c r="F36" s="125"/>
      <c r="G36" s="125"/>
      <c r="H36" s="125"/>
      <c r="I36" s="125"/>
      <c r="J36" s="125"/>
      <c r="K36" s="125"/>
      <c r="L36" s="125"/>
      <c r="M36" s="125"/>
      <c r="N36" s="125"/>
      <c r="O36" s="125"/>
      <c r="P36" s="125"/>
      <c r="Q36" s="125"/>
      <c r="R36" s="125"/>
      <c r="S36" s="125"/>
      <c r="T36" s="125"/>
      <c r="U36" s="125"/>
    </row>
    <row r="37" spans="1:21" ht="18" customHeight="1" x14ac:dyDescent="0.2">
      <c r="B37" s="94" t="s">
        <v>47</v>
      </c>
      <c r="C37" s="95"/>
      <c r="D37" s="95"/>
      <c r="E37" s="95"/>
      <c r="F37" s="96"/>
      <c r="G37" s="60" t="s">
        <v>72</v>
      </c>
      <c r="H37" s="61" t="s">
        <v>75</v>
      </c>
      <c r="I37" s="62" t="s">
        <v>63</v>
      </c>
      <c r="J37" s="62" t="s">
        <v>64</v>
      </c>
      <c r="K37" s="94" t="s">
        <v>47</v>
      </c>
      <c r="L37" s="95"/>
      <c r="M37" s="95"/>
      <c r="N37" s="95"/>
      <c r="O37" s="95"/>
      <c r="P37" s="95"/>
      <c r="Q37" s="96"/>
      <c r="R37" s="60" t="s">
        <v>72</v>
      </c>
      <c r="S37" s="61" t="s">
        <v>75</v>
      </c>
      <c r="T37" s="62" t="s">
        <v>63</v>
      </c>
      <c r="U37" s="62" t="s">
        <v>64</v>
      </c>
    </row>
    <row r="38" spans="1:21" ht="18" customHeight="1" x14ac:dyDescent="0.2">
      <c r="B38" s="126" t="s">
        <v>145</v>
      </c>
      <c r="C38" s="127"/>
      <c r="D38" s="127"/>
      <c r="E38" s="127"/>
      <c r="F38" s="128"/>
      <c r="G38" s="63">
        <v>2</v>
      </c>
      <c r="H38" s="63" t="s">
        <v>146</v>
      </c>
      <c r="I38" s="63" t="s">
        <v>146</v>
      </c>
      <c r="J38" s="63" t="s">
        <v>146</v>
      </c>
      <c r="K38" s="126"/>
      <c r="L38" s="127"/>
      <c r="M38" s="127"/>
      <c r="N38" s="127"/>
      <c r="O38" s="127"/>
      <c r="P38" s="127"/>
      <c r="Q38" s="128"/>
      <c r="R38" s="63"/>
      <c r="S38" s="63"/>
      <c r="T38" s="63"/>
      <c r="U38" s="63"/>
    </row>
    <row r="39" spans="1:21" ht="18" customHeight="1" x14ac:dyDescent="0.2">
      <c r="B39" s="129"/>
      <c r="C39" s="130"/>
      <c r="D39" s="130"/>
      <c r="E39" s="130"/>
      <c r="F39" s="131"/>
      <c r="G39" s="87"/>
      <c r="H39" s="87"/>
      <c r="I39" s="87"/>
      <c r="J39" s="64"/>
      <c r="K39" s="110"/>
      <c r="L39" s="111"/>
      <c r="M39" s="111"/>
      <c r="N39" s="111"/>
      <c r="O39" s="111"/>
      <c r="P39" s="111"/>
      <c r="Q39" s="112"/>
      <c r="R39" s="64"/>
      <c r="S39" s="64"/>
      <c r="T39" s="64"/>
      <c r="U39" s="64"/>
    </row>
    <row r="40" spans="1:21" ht="18" customHeight="1" x14ac:dyDescent="0.2">
      <c r="B40" s="129"/>
      <c r="C40" s="130"/>
      <c r="D40" s="130"/>
      <c r="E40" s="130"/>
      <c r="F40" s="131"/>
      <c r="G40" s="87"/>
      <c r="H40" s="87"/>
      <c r="I40" s="87"/>
      <c r="J40" s="64"/>
      <c r="K40" s="110"/>
      <c r="L40" s="111"/>
      <c r="M40" s="111"/>
      <c r="N40" s="111"/>
      <c r="O40" s="111"/>
      <c r="P40" s="111"/>
      <c r="Q40" s="112"/>
      <c r="R40" s="64"/>
      <c r="S40" s="64"/>
      <c r="T40" s="64"/>
      <c r="U40" s="64"/>
    </row>
    <row r="41" spans="1:21" ht="18" customHeight="1" x14ac:dyDescent="0.2">
      <c r="B41" s="110"/>
      <c r="C41" s="111"/>
      <c r="D41" s="111"/>
      <c r="E41" s="111"/>
      <c r="F41" s="112"/>
      <c r="G41" s="64"/>
      <c r="H41" s="64"/>
      <c r="I41" s="64"/>
      <c r="J41" s="64"/>
      <c r="K41" s="110"/>
      <c r="L41" s="111"/>
      <c r="M41" s="111"/>
      <c r="N41" s="111"/>
      <c r="O41" s="111"/>
      <c r="P41" s="111"/>
      <c r="Q41" s="112"/>
      <c r="R41" s="64"/>
      <c r="S41" s="64"/>
      <c r="T41" s="64"/>
      <c r="U41" s="64"/>
    </row>
    <row r="42" spans="1:21" ht="18" customHeight="1" x14ac:dyDescent="0.2">
      <c r="B42" s="110"/>
      <c r="C42" s="111"/>
      <c r="D42" s="111"/>
      <c r="E42" s="111"/>
      <c r="F42" s="112"/>
      <c r="G42" s="64"/>
      <c r="H42" s="64"/>
      <c r="I42" s="64"/>
      <c r="J42" s="64"/>
      <c r="K42" s="110"/>
      <c r="L42" s="111"/>
      <c r="M42" s="111"/>
      <c r="N42" s="111"/>
      <c r="O42" s="111"/>
      <c r="P42" s="111"/>
      <c r="Q42" s="112"/>
      <c r="R42" s="64"/>
      <c r="S42" s="64"/>
      <c r="T42" s="64"/>
      <c r="U42" s="64"/>
    </row>
    <row r="43" spans="1:21" ht="18" customHeight="1" x14ac:dyDescent="0.2">
      <c r="B43" s="110"/>
      <c r="C43" s="111"/>
      <c r="D43" s="111"/>
      <c r="E43" s="111"/>
      <c r="F43" s="112"/>
      <c r="G43" s="64"/>
      <c r="H43" s="64"/>
      <c r="I43" s="64"/>
      <c r="J43" s="64"/>
      <c r="K43" s="110"/>
      <c r="L43" s="111"/>
      <c r="M43" s="111"/>
      <c r="N43" s="111"/>
      <c r="O43" s="111"/>
      <c r="P43" s="111"/>
      <c r="Q43" s="112"/>
      <c r="R43" s="64"/>
      <c r="S43" s="64"/>
      <c r="T43" s="64"/>
      <c r="U43" s="64"/>
    </row>
    <row r="44" spans="1:21" ht="18" customHeight="1" x14ac:dyDescent="0.2">
      <c r="B44" s="132"/>
      <c r="C44" s="133"/>
      <c r="D44" s="133"/>
      <c r="E44" s="133"/>
      <c r="F44" s="134"/>
      <c r="G44" s="65"/>
      <c r="H44" s="65"/>
      <c r="I44" s="66"/>
      <c r="J44" s="66"/>
      <c r="K44" s="132"/>
      <c r="L44" s="133"/>
      <c r="M44" s="133"/>
      <c r="N44" s="133"/>
      <c r="O44" s="133"/>
      <c r="P44" s="133"/>
      <c r="Q44" s="134"/>
      <c r="R44" s="65"/>
      <c r="S44" s="65"/>
      <c r="T44" s="66"/>
      <c r="U44" s="66"/>
    </row>
    <row r="45" spans="1:21" ht="7.5" customHeight="1" x14ac:dyDescent="0.2">
      <c r="A45" s="3"/>
      <c r="B45" s="6"/>
      <c r="C45" s="6"/>
      <c r="D45" s="6"/>
      <c r="E45" s="3"/>
      <c r="F45" s="3"/>
      <c r="G45" s="3"/>
      <c r="H45" s="3"/>
      <c r="I45" s="6"/>
      <c r="J45" s="6"/>
      <c r="K45" s="6"/>
      <c r="L45" s="6"/>
      <c r="M45" s="6"/>
      <c r="N45" s="6"/>
      <c r="O45" s="6"/>
      <c r="P45" s="6"/>
      <c r="Q45" s="6"/>
      <c r="R45" s="6"/>
      <c r="S45" s="6"/>
      <c r="T45" s="6"/>
      <c r="U45" s="3"/>
    </row>
    <row r="46" spans="1:21" ht="18" customHeight="1" x14ac:dyDescent="0.2">
      <c r="A46" s="125" t="s">
        <v>97</v>
      </c>
      <c r="B46" s="125"/>
      <c r="C46" s="125"/>
      <c r="D46" s="125"/>
      <c r="E46" s="125"/>
      <c r="F46" s="125"/>
      <c r="G46" s="125"/>
      <c r="H46" s="125"/>
      <c r="I46" s="125"/>
      <c r="J46" s="125"/>
      <c r="K46" s="125"/>
      <c r="L46" s="125"/>
      <c r="M46" s="125"/>
      <c r="N46" s="125"/>
      <c r="O46" s="125"/>
      <c r="P46" s="125"/>
      <c r="Q46" s="125"/>
      <c r="R46" s="125"/>
      <c r="S46" s="125"/>
      <c r="T46" s="125"/>
      <c r="U46" s="125"/>
    </row>
    <row r="47" spans="1:21" ht="18" customHeight="1" x14ac:dyDescent="0.2">
      <c r="A47" s="125"/>
      <c r="B47" s="125"/>
      <c r="C47" s="125"/>
      <c r="D47" s="125"/>
      <c r="E47" s="125"/>
      <c r="F47" s="125"/>
      <c r="G47" s="125"/>
      <c r="H47" s="125"/>
      <c r="I47" s="125"/>
      <c r="J47" s="125"/>
      <c r="K47" s="125"/>
      <c r="L47" s="125"/>
      <c r="M47" s="125"/>
      <c r="N47" s="125"/>
      <c r="O47" s="125"/>
      <c r="P47" s="125"/>
      <c r="Q47" s="125"/>
      <c r="R47" s="125"/>
      <c r="S47" s="125"/>
      <c r="T47" s="125"/>
      <c r="U47" s="125"/>
    </row>
    <row r="48" spans="1:21" ht="18" customHeight="1" x14ac:dyDescent="0.2">
      <c r="B48" s="94" t="s">
        <v>47</v>
      </c>
      <c r="C48" s="95"/>
      <c r="D48" s="95"/>
      <c r="E48" s="95"/>
      <c r="F48" s="96"/>
      <c r="G48" s="60" t="s">
        <v>72</v>
      </c>
      <c r="H48" s="61" t="s">
        <v>75</v>
      </c>
      <c r="I48" s="62" t="s">
        <v>65</v>
      </c>
      <c r="J48" s="62" t="s">
        <v>66</v>
      </c>
      <c r="K48" s="94" t="s">
        <v>47</v>
      </c>
      <c r="L48" s="95"/>
      <c r="M48" s="95"/>
      <c r="N48" s="95"/>
      <c r="O48" s="95"/>
      <c r="P48" s="95"/>
      <c r="Q48" s="96"/>
      <c r="R48" s="60" t="s">
        <v>72</v>
      </c>
      <c r="S48" s="61" t="s">
        <v>75</v>
      </c>
      <c r="T48" s="62" t="s">
        <v>65</v>
      </c>
      <c r="U48" s="62" t="s">
        <v>66</v>
      </c>
    </row>
    <row r="49" spans="1:21" ht="18" customHeight="1" x14ac:dyDescent="0.2">
      <c r="A49" s="3"/>
      <c r="B49" s="126" t="s">
        <v>147</v>
      </c>
      <c r="C49" s="127"/>
      <c r="D49" s="127"/>
      <c r="E49" s="127"/>
      <c r="F49" s="128"/>
      <c r="G49" s="63">
        <v>2</v>
      </c>
      <c r="H49" s="63" t="s">
        <v>146</v>
      </c>
      <c r="I49" s="63" t="s">
        <v>146</v>
      </c>
      <c r="J49" s="63" t="s">
        <v>146</v>
      </c>
      <c r="K49" s="126"/>
      <c r="L49" s="127"/>
      <c r="M49" s="127"/>
      <c r="N49" s="127"/>
      <c r="O49" s="127"/>
      <c r="P49" s="127"/>
      <c r="Q49" s="128"/>
      <c r="R49" s="63"/>
      <c r="S49" s="63"/>
      <c r="T49" s="63"/>
      <c r="U49" s="63"/>
    </row>
    <row r="50" spans="1:21" ht="18" customHeight="1" x14ac:dyDescent="0.2">
      <c r="A50" s="3"/>
      <c r="B50" s="129"/>
      <c r="C50" s="130"/>
      <c r="D50" s="130"/>
      <c r="E50" s="130"/>
      <c r="F50" s="131"/>
      <c r="G50" s="87"/>
      <c r="H50" s="87"/>
      <c r="I50" s="87"/>
      <c r="J50" s="64"/>
      <c r="K50" s="110"/>
      <c r="L50" s="111"/>
      <c r="M50" s="111"/>
      <c r="N50" s="111"/>
      <c r="O50" s="111"/>
      <c r="P50" s="111"/>
      <c r="Q50" s="112"/>
      <c r="R50" s="64"/>
      <c r="S50" s="64"/>
      <c r="T50" s="64"/>
      <c r="U50" s="64"/>
    </row>
    <row r="51" spans="1:21" ht="18" customHeight="1" x14ac:dyDescent="0.2">
      <c r="A51" s="3"/>
      <c r="B51" s="129"/>
      <c r="C51" s="130"/>
      <c r="D51" s="130"/>
      <c r="E51" s="130"/>
      <c r="F51" s="131"/>
      <c r="G51" s="87"/>
      <c r="H51" s="87"/>
      <c r="I51" s="87"/>
      <c r="J51" s="64"/>
      <c r="K51" s="110"/>
      <c r="L51" s="111"/>
      <c r="M51" s="111"/>
      <c r="N51" s="111"/>
      <c r="O51" s="111"/>
      <c r="P51" s="111"/>
      <c r="Q51" s="112"/>
      <c r="R51" s="64"/>
      <c r="S51" s="64"/>
      <c r="T51" s="64"/>
      <c r="U51" s="64"/>
    </row>
    <row r="52" spans="1:21" ht="18" customHeight="1" x14ac:dyDescent="0.2">
      <c r="A52" s="3"/>
      <c r="B52" s="110"/>
      <c r="C52" s="111"/>
      <c r="D52" s="111"/>
      <c r="E52" s="111"/>
      <c r="F52" s="112"/>
      <c r="G52" s="64"/>
      <c r="H52" s="64"/>
      <c r="I52" s="64"/>
      <c r="J52" s="64"/>
      <c r="K52" s="110"/>
      <c r="L52" s="111"/>
      <c r="M52" s="111"/>
      <c r="N52" s="111"/>
      <c r="O52" s="111"/>
      <c r="P52" s="111"/>
      <c r="Q52" s="112"/>
      <c r="R52" s="64"/>
      <c r="S52" s="64"/>
      <c r="T52" s="64"/>
      <c r="U52" s="64"/>
    </row>
    <row r="53" spans="1:21" ht="18" customHeight="1" x14ac:dyDescent="0.2">
      <c r="A53" s="3"/>
      <c r="B53" s="110"/>
      <c r="C53" s="111"/>
      <c r="D53" s="111"/>
      <c r="E53" s="111"/>
      <c r="F53" s="112"/>
      <c r="G53" s="64"/>
      <c r="H53" s="64"/>
      <c r="I53" s="64"/>
      <c r="J53" s="64"/>
      <c r="K53" s="110"/>
      <c r="L53" s="111"/>
      <c r="M53" s="111"/>
      <c r="N53" s="111"/>
      <c r="O53" s="111"/>
      <c r="P53" s="111"/>
      <c r="Q53" s="112"/>
      <c r="R53" s="64"/>
      <c r="S53" s="64"/>
      <c r="T53" s="64"/>
      <c r="U53" s="64"/>
    </row>
    <row r="54" spans="1:21" ht="18" customHeight="1" x14ac:dyDescent="0.2">
      <c r="A54" s="3"/>
      <c r="B54" s="110"/>
      <c r="C54" s="111"/>
      <c r="D54" s="111"/>
      <c r="E54" s="111"/>
      <c r="F54" s="112"/>
      <c r="G54" s="64"/>
      <c r="H54" s="64"/>
      <c r="I54" s="64"/>
      <c r="J54" s="64"/>
      <c r="K54" s="110"/>
      <c r="L54" s="111"/>
      <c r="M54" s="111"/>
      <c r="N54" s="111"/>
      <c r="O54" s="111"/>
      <c r="P54" s="111"/>
      <c r="Q54" s="112"/>
      <c r="R54" s="64"/>
      <c r="S54" s="64"/>
      <c r="T54" s="64"/>
      <c r="U54" s="64"/>
    </row>
    <row r="55" spans="1:21" ht="18" customHeight="1" x14ac:dyDescent="0.2">
      <c r="A55" s="3"/>
      <c r="B55" s="132"/>
      <c r="C55" s="133"/>
      <c r="D55" s="133"/>
      <c r="E55" s="133"/>
      <c r="F55" s="134"/>
      <c r="G55" s="65"/>
      <c r="H55" s="65"/>
      <c r="I55" s="66"/>
      <c r="J55" s="66"/>
      <c r="K55" s="132"/>
      <c r="L55" s="133"/>
      <c r="M55" s="133"/>
      <c r="N55" s="133"/>
      <c r="O55" s="133"/>
      <c r="P55" s="133"/>
      <c r="Q55" s="134"/>
      <c r="R55" s="65"/>
      <c r="S55" s="65"/>
      <c r="T55" s="66"/>
      <c r="U55" s="66"/>
    </row>
    <row r="56" spans="1:21" ht="7.5" customHeight="1" x14ac:dyDescent="0.2">
      <c r="B56" s="14"/>
      <c r="C56" s="14"/>
      <c r="D56" s="14"/>
      <c r="E56" s="14"/>
      <c r="F56" s="14"/>
      <c r="G56" s="14"/>
      <c r="H56" s="14"/>
      <c r="I56" s="14"/>
      <c r="J56" s="14"/>
      <c r="K56" s="14"/>
      <c r="L56" s="14"/>
      <c r="M56" s="14"/>
      <c r="N56" s="14"/>
      <c r="O56" s="14"/>
      <c r="P56" s="14"/>
      <c r="Q56" s="14"/>
      <c r="R56" s="14"/>
      <c r="S56" s="14"/>
      <c r="T56" s="14"/>
    </row>
    <row r="57" spans="1:21" ht="18" customHeight="1" x14ac:dyDescent="0.2">
      <c r="A57" s="125" t="s">
        <v>98</v>
      </c>
      <c r="B57" s="125"/>
      <c r="C57" s="125"/>
      <c r="D57" s="125"/>
      <c r="E57" s="125"/>
      <c r="F57" s="125"/>
      <c r="G57" s="125"/>
      <c r="H57" s="125"/>
      <c r="I57" s="125"/>
      <c r="J57" s="125"/>
      <c r="K57" s="125"/>
      <c r="L57" s="125"/>
      <c r="M57" s="125"/>
      <c r="N57" s="125"/>
      <c r="O57" s="125"/>
      <c r="P57" s="125"/>
      <c r="Q57" s="125"/>
      <c r="R57" s="125"/>
      <c r="S57" s="125"/>
      <c r="T57" s="125"/>
      <c r="U57" s="125"/>
    </row>
    <row r="58" spans="1:21" ht="18" customHeight="1" x14ac:dyDescent="0.2">
      <c r="A58" s="125"/>
      <c r="B58" s="125"/>
      <c r="C58" s="125"/>
      <c r="D58" s="125"/>
      <c r="E58" s="125"/>
      <c r="F58" s="125"/>
      <c r="G58" s="125"/>
      <c r="H58" s="125"/>
      <c r="I58" s="125"/>
      <c r="J58" s="125"/>
      <c r="K58" s="125"/>
      <c r="L58" s="125"/>
      <c r="M58" s="125"/>
      <c r="N58" s="125"/>
      <c r="O58" s="125"/>
      <c r="P58" s="125"/>
      <c r="Q58" s="125"/>
      <c r="R58" s="125"/>
      <c r="S58" s="125"/>
      <c r="T58" s="125"/>
      <c r="U58" s="125"/>
    </row>
    <row r="59" spans="1:21" ht="18" customHeight="1" x14ac:dyDescent="0.2">
      <c r="B59" s="94" t="s">
        <v>47</v>
      </c>
      <c r="C59" s="95"/>
      <c r="D59" s="95"/>
      <c r="E59" s="95"/>
      <c r="F59" s="96"/>
      <c r="G59" s="60" t="s">
        <v>72</v>
      </c>
      <c r="H59" s="61" t="s">
        <v>75</v>
      </c>
      <c r="I59" s="62" t="s">
        <v>52</v>
      </c>
      <c r="J59" s="62" t="s">
        <v>54</v>
      </c>
      <c r="K59" s="94" t="s">
        <v>47</v>
      </c>
      <c r="L59" s="95"/>
      <c r="M59" s="95"/>
      <c r="N59" s="95"/>
      <c r="O59" s="95"/>
      <c r="P59" s="95"/>
      <c r="Q59" s="96"/>
      <c r="R59" s="60" t="s">
        <v>72</v>
      </c>
      <c r="S59" s="61" t="s">
        <v>75</v>
      </c>
      <c r="T59" s="62" t="s">
        <v>52</v>
      </c>
      <c r="U59" s="62" t="s">
        <v>54</v>
      </c>
    </row>
    <row r="60" spans="1:21" ht="18" customHeight="1" x14ac:dyDescent="0.2">
      <c r="A60" s="3"/>
      <c r="B60" s="126" t="s">
        <v>147</v>
      </c>
      <c r="C60" s="127"/>
      <c r="D60" s="127"/>
      <c r="E60" s="127"/>
      <c r="F60" s="128"/>
      <c r="G60" s="63">
        <v>2</v>
      </c>
      <c r="H60" s="63" t="s">
        <v>146</v>
      </c>
      <c r="I60" s="63" t="s">
        <v>146</v>
      </c>
      <c r="J60" s="63" t="s">
        <v>146</v>
      </c>
      <c r="K60" s="126"/>
      <c r="L60" s="127"/>
      <c r="M60" s="127"/>
      <c r="N60" s="127"/>
      <c r="O60" s="127"/>
      <c r="P60" s="127"/>
      <c r="Q60" s="128"/>
      <c r="R60" s="63"/>
      <c r="S60" s="63"/>
      <c r="T60" s="63"/>
      <c r="U60" s="63"/>
    </row>
    <row r="61" spans="1:21" ht="18" customHeight="1" x14ac:dyDescent="0.2">
      <c r="A61" s="3"/>
      <c r="B61" s="110"/>
      <c r="C61" s="111"/>
      <c r="D61" s="111"/>
      <c r="E61" s="111"/>
      <c r="F61" s="112"/>
      <c r="G61" s="64"/>
      <c r="H61" s="64"/>
      <c r="I61" s="64"/>
      <c r="J61" s="64"/>
      <c r="K61" s="110"/>
      <c r="L61" s="111"/>
      <c r="M61" s="111"/>
      <c r="N61" s="111"/>
      <c r="O61" s="111"/>
      <c r="P61" s="111"/>
      <c r="Q61" s="112"/>
      <c r="R61" s="64"/>
      <c r="S61" s="64"/>
      <c r="T61" s="64"/>
      <c r="U61" s="64"/>
    </row>
    <row r="62" spans="1:21" ht="18" customHeight="1" x14ac:dyDescent="0.2">
      <c r="A62" s="3"/>
      <c r="B62" s="110"/>
      <c r="C62" s="111"/>
      <c r="D62" s="111"/>
      <c r="E62" s="111"/>
      <c r="F62" s="112"/>
      <c r="G62" s="64"/>
      <c r="H62" s="64"/>
      <c r="I62" s="64"/>
      <c r="J62" s="64"/>
      <c r="K62" s="110"/>
      <c r="L62" s="111"/>
      <c r="M62" s="111"/>
      <c r="N62" s="111"/>
      <c r="O62" s="111"/>
      <c r="P62" s="111"/>
      <c r="Q62" s="112"/>
      <c r="R62" s="64"/>
      <c r="S62" s="64"/>
      <c r="T62" s="64"/>
      <c r="U62" s="64"/>
    </row>
    <row r="63" spans="1:21" ht="18" customHeight="1" x14ac:dyDescent="0.2">
      <c r="A63" s="3"/>
      <c r="B63" s="110"/>
      <c r="C63" s="111"/>
      <c r="D63" s="111"/>
      <c r="E63" s="111"/>
      <c r="F63" s="112"/>
      <c r="G63" s="64"/>
      <c r="H63" s="64"/>
      <c r="I63" s="64"/>
      <c r="J63" s="64"/>
      <c r="K63" s="110"/>
      <c r="L63" s="111"/>
      <c r="M63" s="111"/>
      <c r="N63" s="111"/>
      <c r="O63" s="111"/>
      <c r="P63" s="111"/>
      <c r="Q63" s="112"/>
      <c r="R63" s="64"/>
      <c r="S63" s="64"/>
      <c r="T63" s="64"/>
      <c r="U63" s="64"/>
    </row>
    <row r="64" spans="1:21" ht="18" customHeight="1" x14ac:dyDescent="0.2">
      <c r="A64" s="3"/>
      <c r="B64" s="110"/>
      <c r="C64" s="111"/>
      <c r="D64" s="111"/>
      <c r="E64" s="111"/>
      <c r="F64" s="112"/>
      <c r="G64" s="64"/>
      <c r="H64" s="64"/>
      <c r="I64" s="64"/>
      <c r="J64" s="64"/>
      <c r="K64" s="110"/>
      <c r="L64" s="111"/>
      <c r="M64" s="111"/>
      <c r="N64" s="111"/>
      <c r="O64" s="111"/>
      <c r="P64" s="111"/>
      <c r="Q64" s="112"/>
      <c r="R64" s="64"/>
      <c r="S64" s="64"/>
      <c r="T64" s="64"/>
      <c r="U64" s="64"/>
    </row>
    <row r="65" spans="1:27" ht="18" customHeight="1" x14ac:dyDescent="0.2">
      <c r="A65" s="3"/>
      <c r="B65" s="110"/>
      <c r="C65" s="111"/>
      <c r="D65" s="111"/>
      <c r="E65" s="111"/>
      <c r="F65" s="112"/>
      <c r="G65" s="64"/>
      <c r="H65" s="64"/>
      <c r="I65" s="64"/>
      <c r="J65" s="64"/>
      <c r="K65" s="110"/>
      <c r="L65" s="111"/>
      <c r="M65" s="111"/>
      <c r="N65" s="111"/>
      <c r="O65" s="111"/>
      <c r="P65" s="111"/>
      <c r="Q65" s="112"/>
      <c r="R65" s="64"/>
      <c r="S65" s="64"/>
      <c r="T65" s="64"/>
      <c r="U65" s="64"/>
    </row>
    <row r="66" spans="1:27" ht="18" customHeight="1" x14ac:dyDescent="0.2">
      <c r="A66" s="3"/>
      <c r="B66" s="132"/>
      <c r="C66" s="133"/>
      <c r="D66" s="133"/>
      <c r="E66" s="133"/>
      <c r="F66" s="134"/>
      <c r="G66" s="65"/>
      <c r="H66" s="65"/>
      <c r="I66" s="66"/>
      <c r="J66" s="66"/>
      <c r="K66" s="132"/>
      <c r="L66" s="133"/>
      <c r="M66" s="133"/>
      <c r="N66" s="133"/>
      <c r="O66" s="133"/>
      <c r="P66" s="133"/>
      <c r="Q66" s="134"/>
      <c r="R66" s="65"/>
      <c r="S66" s="65"/>
      <c r="T66" s="66"/>
      <c r="U66" s="66"/>
    </row>
    <row r="67" spans="1:27" ht="7.5" customHeight="1" x14ac:dyDescent="0.2">
      <c r="B67" s="14"/>
      <c r="C67" s="14"/>
      <c r="D67" s="14"/>
      <c r="E67" s="14"/>
      <c r="F67" s="14"/>
      <c r="G67" s="14"/>
      <c r="H67" s="14"/>
      <c r="I67" s="14"/>
      <c r="J67" s="14"/>
      <c r="K67" s="14"/>
      <c r="L67" s="14"/>
      <c r="M67" s="14"/>
      <c r="N67" s="14"/>
      <c r="O67" s="14"/>
      <c r="P67" s="14"/>
      <c r="Q67" s="14"/>
      <c r="R67" s="14"/>
      <c r="S67" s="14"/>
      <c r="T67" s="14"/>
    </row>
    <row r="68" spans="1:27" ht="18" customHeight="1" x14ac:dyDescent="0.2">
      <c r="A68" s="125" t="s">
        <v>99</v>
      </c>
      <c r="B68" s="125"/>
      <c r="C68" s="125"/>
      <c r="D68" s="125"/>
      <c r="E68" s="125"/>
      <c r="F68" s="125"/>
      <c r="G68" s="125"/>
      <c r="H68" s="125"/>
      <c r="I68" s="125"/>
      <c r="J68" s="125"/>
      <c r="K68" s="125"/>
      <c r="L68" s="125"/>
      <c r="M68" s="125"/>
      <c r="N68" s="125"/>
      <c r="O68" s="125"/>
      <c r="P68" s="125"/>
      <c r="Q68" s="125"/>
      <c r="R68" s="125"/>
      <c r="S68" s="125"/>
      <c r="T68" s="125"/>
      <c r="U68" s="125"/>
    </row>
    <row r="69" spans="1:27" ht="18" customHeight="1" x14ac:dyDescent="0.2">
      <c r="A69" s="125"/>
      <c r="B69" s="125"/>
      <c r="C69" s="125"/>
      <c r="D69" s="125"/>
      <c r="E69" s="125"/>
      <c r="F69" s="125"/>
      <c r="G69" s="125"/>
      <c r="H69" s="125"/>
      <c r="I69" s="125"/>
      <c r="J69" s="125"/>
      <c r="K69" s="125"/>
      <c r="L69" s="125"/>
      <c r="M69" s="125"/>
      <c r="N69" s="125"/>
      <c r="O69" s="125"/>
      <c r="P69" s="125"/>
      <c r="Q69" s="125"/>
      <c r="R69" s="125"/>
      <c r="S69" s="125"/>
      <c r="T69" s="125"/>
      <c r="U69" s="125"/>
    </row>
    <row r="70" spans="1:27" ht="18" customHeight="1" x14ac:dyDescent="0.2">
      <c r="B70" s="94" t="s">
        <v>47</v>
      </c>
      <c r="C70" s="95"/>
      <c r="D70" s="95"/>
      <c r="E70" s="95"/>
      <c r="F70" s="60" t="s">
        <v>72</v>
      </c>
      <c r="G70" s="61" t="s">
        <v>75</v>
      </c>
      <c r="H70" s="62" t="s">
        <v>86</v>
      </c>
      <c r="I70" s="62" t="s">
        <v>67</v>
      </c>
      <c r="J70" s="62" t="s">
        <v>68</v>
      </c>
      <c r="K70" s="94" t="s">
        <v>47</v>
      </c>
      <c r="L70" s="95"/>
      <c r="M70" s="95"/>
      <c r="N70" s="95"/>
      <c r="O70" s="95"/>
      <c r="P70" s="96"/>
      <c r="Q70" s="60" t="s">
        <v>72</v>
      </c>
      <c r="R70" s="61" t="s">
        <v>75</v>
      </c>
      <c r="S70" s="62" t="s">
        <v>86</v>
      </c>
      <c r="T70" s="62" t="s">
        <v>67</v>
      </c>
      <c r="U70" s="62" t="s">
        <v>68</v>
      </c>
    </row>
    <row r="71" spans="1:27" ht="18" customHeight="1" x14ac:dyDescent="0.2">
      <c r="A71" s="3"/>
      <c r="B71" s="126" t="s">
        <v>148</v>
      </c>
      <c r="C71" s="127"/>
      <c r="D71" s="127"/>
      <c r="E71" s="127"/>
      <c r="F71" s="63">
        <v>1</v>
      </c>
      <c r="G71" s="63" t="s">
        <v>146</v>
      </c>
      <c r="H71" s="63"/>
      <c r="I71" s="63" t="s">
        <v>146</v>
      </c>
      <c r="J71" s="63" t="s">
        <v>146</v>
      </c>
      <c r="K71" s="126"/>
      <c r="L71" s="127"/>
      <c r="M71" s="127"/>
      <c r="N71" s="127"/>
      <c r="O71" s="127"/>
      <c r="P71" s="128"/>
      <c r="Q71" s="63"/>
      <c r="R71" s="63"/>
      <c r="S71" s="63"/>
      <c r="T71" s="63"/>
      <c r="U71" s="63"/>
    </row>
    <row r="72" spans="1:27" ht="18" customHeight="1" x14ac:dyDescent="0.2">
      <c r="A72" s="3"/>
      <c r="B72" s="110" t="s">
        <v>150</v>
      </c>
      <c r="C72" s="111"/>
      <c r="D72" s="111"/>
      <c r="E72" s="111"/>
      <c r="F72" s="64">
        <v>2</v>
      </c>
      <c r="G72" s="64" t="s">
        <v>146</v>
      </c>
      <c r="H72" s="64" t="s">
        <v>146</v>
      </c>
      <c r="I72" s="64"/>
      <c r="J72" s="64"/>
      <c r="K72" s="110"/>
      <c r="L72" s="111"/>
      <c r="M72" s="111"/>
      <c r="N72" s="111"/>
      <c r="O72" s="111"/>
      <c r="P72" s="112"/>
      <c r="Q72" s="64"/>
      <c r="R72" s="64"/>
      <c r="S72" s="64"/>
      <c r="T72" s="64"/>
      <c r="U72" s="64"/>
    </row>
    <row r="73" spans="1:27" ht="18" customHeight="1" x14ac:dyDescent="0.2">
      <c r="A73" s="3"/>
      <c r="B73" s="110"/>
      <c r="C73" s="111"/>
      <c r="D73" s="111"/>
      <c r="E73" s="111"/>
      <c r="F73" s="64"/>
      <c r="G73" s="64"/>
      <c r="H73" s="64"/>
      <c r="I73" s="64"/>
      <c r="J73" s="64"/>
      <c r="K73" s="110"/>
      <c r="L73" s="111"/>
      <c r="M73" s="111"/>
      <c r="N73" s="111"/>
      <c r="O73" s="111"/>
      <c r="P73" s="112"/>
      <c r="Q73" s="64"/>
      <c r="R73" s="64"/>
      <c r="S73" s="64"/>
      <c r="T73" s="64"/>
      <c r="U73" s="64"/>
    </row>
    <row r="74" spans="1:27" ht="18" customHeight="1" x14ac:dyDescent="0.2">
      <c r="A74" s="3"/>
      <c r="B74" s="110"/>
      <c r="C74" s="111"/>
      <c r="D74" s="111"/>
      <c r="E74" s="111"/>
      <c r="F74" s="64"/>
      <c r="G74" s="64"/>
      <c r="H74" s="64"/>
      <c r="I74" s="64"/>
      <c r="J74" s="64"/>
      <c r="K74" s="110"/>
      <c r="L74" s="111"/>
      <c r="M74" s="111"/>
      <c r="N74" s="111"/>
      <c r="O74" s="111"/>
      <c r="P74" s="112"/>
      <c r="Q74" s="64"/>
      <c r="R74" s="64"/>
      <c r="S74" s="64"/>
      <c r="T74" s="64"/>
      <c r="U74" s="64"/>
    </row>
    <row r="75" spans="1:27" ht="18" customHeight="1" x14ac:dyDescent="0.2">
      <c r="A75" s="3"/>
      <c r="B75" s="110"/>
      <c r="C75" s="111"/>
      <c r="D75" s="111"/>
      <c r="E75" s="111"/>
      <c r="F75" s="64"/>
      <c r="G75" s="64"/>
      <c r="H75" s="64"/>
      <c r="I75" s="64"/>
      <c r="J75" s="64"/>
      <c r="K75" s="110"/>
      <c r="L75" s="111"/>
      <c r="M75" s="111"/>
      <c r="N75" s="111"/>
      <c r="O75" s="111"/>
      <c r="P75" s="112"/>
      <c r="Q75" s="64"/>
      <c r="R75" s="64"/>
      <c r="S75" s="64"/>
      <c r="T75" s="64"/>
      <c r="U75" s="64"/>
    </row>
    <row r="76" spans="1:27" ht="18" customHeight="1" x14ac:dyDescent="0.2">
      <c r="A76" s="3"/>
      <c r="B76" s="110"/>
      <c r="C76" s="111"/>
      <c r="D76" s="111"/>
      <c r="E76" s="111"/>
      <c r="F76" s="64"/>
      <c r="G76" s="64"/>
      <c r="H76" s="64"/>
      <c r="I76" s="64"/>
      <c r="J76" s="64"/>
      <c r="K76" s="110"/>
      <c r="L76" s="111"/>
      <c r="M76" s="111"/>
      <c r="N76" s="111"/>
      <c r="O76" s="111"/>
      <c r="P76" s="112"/>
      <c r="Q76" s="64"/>
      <c r="R76" s="64"/>
      <c r="S76" s="64"/>
      <c r="T76" s="64"/>
      <c r="U76" s="64"/>
    </row>
    <row r="77" spans="1:27" ht="18" customHeight="1" x14ac:dyDescent="0.2">
      <c r="A77" s="3"/>
      <c r="B77" s="132"/>
      <c r="C77" s="133"/>
      <c r="D77" s="133"/>
      <c r="E77" s="133"/>
      <c r="F77" s="65"/>
      <c r="G77" s="65"/>
      <c r="H77" s="66"/>
      <c r="I77" s="66"/>
      <c r="J77" s="66"/>
      <c r="K77" s="132"/>
      <c r="L77" s="133"/>
      <c r="M77" s="133"/>
      <c r="N77" s="133"/>
      <c r="O77" s="133"/>
      <c r="P77" s="134"/>
      <c r="Q77" s="65"/>
      <c r="R77" s="65"/>
      <c r="S77" s="66"/>
      <c r="T77" s="66"/>
      <c r="U77" s="66"/>
    </row>
    <row r="78" spans="1:27" ht="7.5" customHeight="1" x14ac:dyDescent="0.2">
      <c r="B78" s="14"/>
      <c r="C78" s="14"/>
      <c r="D78" s="14"/>
      <c r="E78" s="14"/>
      <c r="F78" s="14"/>
      <c r="G78" s="14"/>
      <c r="H78" s="14"/>
      <c r="I78" s="14"/>
      <c r="J78" s="14"/>
      <c r="K78" s="14"/>
      <c r="L78" s="14"/>
      <c r="M78" s="14"/>
      <c r="N78" s="14"/>
      <c r="O78" s="14"/>
      <c r="P78" s="14"/>
      <c r="Q78" s="14"/>
      <c r="R78" s="14"/>
      <c r="S78" s="14"/>
      <c r="T78" s="14"/>
    </row>
    <row r="79" spans="1:27" ht="18" customHeight="1" x14ac:dyDescent="0.2">
      <c r="A79" s="1" t="s">
        <v>100</v>
      </c>
      <c r="I79" s="3"/>
      <c r="J79" s="3"/>
      <c r="K79" s="3"/>
      <c r="L79" s="3"/>
      <c r="M79" s="3"/>
      <c r="N79" s="3"/>
      <c r="O79" s="3"/>
      <c r="P79" s="3"/>
      <c r="Q79" s="3"/>
      <c r="R79" s="3"/>
      <c r="S79" s="3"/>
      <c r="T79" s="3"/>
      <c r="U79" s="3"/>
    </row>
    <row r="80" spans="1:27" ht="18" customHeight="1" x14ac:dyDescent="0.2">
      <c r="B80" s="94" t="s">
        <v>47</v>
      </c>
      <c r="C80" s="95"/>
      <c r="D80" s="95"/>
      <c r="E80" s="95"/>
      <c r="F80" s="96"/>
      <c r="G80" s="94" t="s">
        <v>73</v>
      </c>
      <c r="H80" s="95"/>
      <c r="I80" s="95"/>
      <c r="J80" s="96"/>
      <c r="K80" s="135" t="s">
        <v>47</v>
      </c>
      <c r="L80" s="136"/>
      <c r="M80" s="136"/>
      <c r="N80" s="136"/>
      <c r="O80" s="136"/>
      <c r="P80" s="136"/>
      <c r="Q80" s="137"/>
      <c r="R80" s="94" t="s">
        <v>73</v>
      </c>
      <c r="S80" s="95"/>
      <c r="T80" s="95"/>
      <c r="U80" s="96"/>
      <c r="AA80" s="1" t="s">
        <v>138</v>
      </c>
    </row>
    <row r="81" spans="1:27" ht="18" customHeight="1" x14ac:dyDescent="0.2">
      <c r="A81" s="3"/>
      <c r="B81" s="126"/>
      <c r="C81" s="127"/>
      <c r="D81" s="127"/>
      <c r="E81" s="127"/>
      <c r="F81" s="128"/>
      <c r="G81" s="138"/>
      <c r="H81" s="139"/>
      <c r="I81" s="139"/>
      <c r="J81" s="140"/>
      <c r="K81" s="126"/>
      <c r="L81" s="127"/>
      <c r="M81" s="127"/>
      <c r="N81" s="127"/>
      <c r="O81" s="127"/>
      <c r="P81" s="127"/>
      <c r="Q81" s="128"/>
      <c r="R81" s="138"/>
      <c r="S81" s="139"/>
      <c r="T81" s="139"/>
      <c r="U81" s="140"/>
      <c r="AA81" s="1" t="s">
        <v>131</v>
      </c>
    </row>
    <row r="82" spans="1:27" ht="18" customHeight="1" x14ac:dyDescent="0.2">
      <c r="A82" s="3"/>
      <c r="B82" s="110"/>
      <c r="C82" s="111"/>
      <c r="D82" s="111"/>
      <c r="E82" s="111"/>
      <c r="F82" s="112"/>
      <c r="G82" s="141"/>
      <c r="H82" s="142"/>
      <c r="I82" s="142"/>
      <c r="J82" s="143"/>
      <c r="K82" s="110"/>
      <c r="L82" s="111"/>
      <c r="M82" s="111"/>
      <c r="N82" s="111"/>
      <c r="O82" s="111"/>
      <c r="P82" s="111"/>
      <c r="Q82" s="112"/>
      <c r="R82" s="141"/>
      <c r="S82" s="142"/>
      <c r="T82" s="142"/>
      <c r="U82" s="143"/>
      <c r="AA82" s="1" t="s">
        <v>132</v>
      </c>
    </row>
    <row r="83" spans="1:27" ht="18" customHeight="1" x14ac:dyDescent="0.2">
      <c r="A83" s="3"/>
      <c r="B83" s="110"/>
      <c r="C83" s="111"/>
      <c r="D83" s="111"/>
      <c r="E83" s="111"/>
      <c r="F83" s="112"/>
      <c r="G83" s="141"/>
      <c r="H83" s="142"/>
      <c r="I83" s="142"/>
      <c r="J83" s="143"/>
      <c r="K83" s="110"/>
      <c r="L83" s="111"/>
      <c r="M83" s="111"/>
      <c r="N83" s="111"/>
      <c r="O83" s="111"/>
      <c r="P83" s="111"/>
      <c r="Q83" s="112"/>
      <c r="R83" s="141"/>
      <c r="S83" s="142"/>
      <c r="T83" s="142"/>
      <c r="U83" s="143"/>
      <c r="AA83" s="1" t="s">
        <v>133</v>
      </c>
    </row>
    <row r="84" spans="1:27" ht="18" customHeight="1" x14ac:dyDescent="0.2">
      <c r="A84" s="3"/>
      <c r="B84" s="110"/>
      <c r="C84" s="111"/>
      <c r="D84" s="111"/>
      <c r="E84" s="111"/>
      <c r="F84" s="112"/>
      <c r="G84" s="141"/>
      <c r="H84" s="142"/>
      <c r="I84" s="142"/>
      <c r="J84" s="143"/>
      <c r="K84" s="110"/>
      <c r="L84" s="111"/>
      <c r="M84" s="111"/>
      <c r="N84" s="111"/>
      <c r="O84" s="111"/>
      <c r="P84" s="111"/>
      <c r="Q84" s="112"/>
      <c r="R84" s="141"/>
      <c r="S84" s="142"/>
      <c r="T84" s="142"/>
      <c r="U84" s="143"/>
      <c r="AA84" s="1" t="s">
        <v>139</v>
      </c>
    </row>
    <row r="85" spans="1:27" ht="18" customHeight="1" x14ac:dyDescent="0.2">
      <c r="A85" s="3"/>
      <c r="B85" s="110"/>
      <c r="C85" s="111"/>
      <c r="D85" s="111"/>
      <c r="E85" s="111"/>
      <c r="F85" s="112"/>
      <c r="G85" s="141"/>
      <c r="H85" s="142"/>
      <c r="I85" s="142"/>
      <c r="J85" s="143"/>
      <c r="K85" s="110"/>
      <c r="L85" s="111"/>
      <c r="M85" s="111"/>
      <c r="N85" s="111"/>
      <c r="O85" s="111"/>
      <c r="P85" s="111"/>
      <c r="Q85" s="112"/>
      <c r="R85" s="141"/>
      <c r="S85" s="142"/>
      <c r="T85" s="142"/>
      <c r="U85" s="143"/>
      <c r="AA85" s="1" t="s">
        <v>140</v>
      </c>
    </row>
    <row r="86" spans="1:27" ht="18" customHeight="1" x14ac:dyDescent="0.2">
      <c r="A86" s="3"/>
      <c r="B86" s="110"/>
      <c r="C86" s="111"/>
      <c r="D86" s="111"/>
      <c r="E86" s="111"/>
      <c r="F86" s="112"/>
      <c r="G86" s="141"/>
      <c r="H86" s="142"/>
      <c r="I86" s="142"/>
      <c r="J86" s="143"/>
      <c r="K86" s="110"/>
      <c r="L86" s="111"/>
      <c r="M86" s="111"/>
      <c r="N86" s="111"/>
      <c r="O86" s="111"/>
      <c r="P86" s="111"/>
      <c r="Q86" s="112"/>
      <c r="R86" s="141"/>
      <c r="S86" s="142"/>
      <c r="T86" s="142"/>
      <c r="U86" s="143"/>
      <c r="AA86" s="1" t="s">
        <v>134</v>
      </c>
    </row>
    <row r="87" spans="1:27" ht="18" customHeight="1" x14ac:dyDescent="0.2">
      <c r="A87" s="3"/>
      <c r="B87" s="132"/>
      <c r="C87" s="133"/>
      <c r="D87" s="133"/>
      <c r="E87" s="133"/>
      <c r="F87" s="134"/>
      <c r="G87" s="159"/>
      <c r="H87" s="160"/>
      <c r="I87" s="160"/>
      <c r="J87" s="161"/>
      <c r="K87" s="132"/>
      <c r="L87" s="133"/>
      <c r="M87" s="133"/>
      <c r="N87" s="133"/>
      <c r="O87" s="133"/>
      <c r="P87" s="133"/>
      <c r="Q87" s="134"/>
      <c r="R87" s="159"/>
      <c r="S87" s="160"/>
      <c r="T87" s="160"/>
      <c r="U87" s="161"/>
      <c r="AA87" s="1" t="s">
        <v>135</v>
      </c>
    </row>
    <row r="88" spans="1:27" ht="18" customHeight="1" x14ac:dyDescent="0.2">
      <c r="A88" s="3"/>
      <c r="B88" s="6"/>
      <c r="C88" s="6"/>
      <c r="D88" s="6"/>
      <c r="E88" s="6"/>
      <c r="F88" s="6"/>
      <c r="G88" s="67"/>
      <c r="H88" s="67"/>
      <c r="I88" s="67"/>
      <c r="J88" s="67"/>
      <c r="K88" s="6"/>
      <c r="L88" s="6"/>
      <c r="M88" s="6"/>
      <c r="N88" s="6"/>
      <c r="O88" s="6"/>
      <c r="P88" s="6"/>
      <c r="Q88" s="6"/>
      <c r="R88" s="67"/>
      <c r="S88" s="67"/>
      <c r="T88" s="67"/>
      <c r="U88" s="67"/>
      <c r="AA88" s="1" t="s">
        <v>136</v>
      </c>
    </row>
    <row r="89" spans="1:27" ht="18.75" customHeight="1" x14ac:dyDescent="0.2">
      <c r="A89" s="1" t="s">
        <v>101</v>
      </c>
      <c r="AA89" s="1" t="s">
        <v>137</v>
      </c>
    </row>
    <row r="90" spans="1:27" ht="18.75" customHeight="1" x14ac:dyDescent="0.2">
      <c r="B90" s="162" t="s">
        <v>48</v>
      </c>
      <c r="C90" s="163"/>
      <c r="D90" s="94" t="s">
        <v>49</v>
      </c>
      <c r="E90" s="95"/>
      <c r="F90" s="95"/>
      <c r="G90" s="95"/>
      <c r="H90" s="95"/>
      <c r="I90" s="95"/>
      <c r="J90" s="95"/>
      <c r="K90" s="95"/>
      <c r="L90" s="95"/>
      <c r="M90" s="95"/>
      <c r="N90" s="95"/>
      <c r="O90" s="95"/>
      <c r="P90" s="95"/>
      <c r="Q90" s="95"/>
      <c r="R90" s="95"/>
      <c r="S90" s="95"/>
      <c r="T90" s="95"/>
      <c r="U90" s="96"/>
    </row>
    <row r="91" spans="1:27" ht="97.5" customHeight="1" x14ac:dyDescent="0.2">
      <c r="B91" s="144" t="s">
        <v>55</v>
      </c>
      <c r="C91" s="68" t="s">
        <v>50</v>
      </c>
      <c r="D91" s="146" t="s">
        <v>158</v>
      </c>
      <c r="E91" s="147"/>
      <c r="F91" s="147"/>
      <c r="G91" s="147"/>
      <c r="H91" s="147"/>
      <c r="I91" s="147"/>
      <c r="J91" s="147"/>
      <c r="K91" s="147"/>
      <c r="L91" s="147"/>
      <c r="M91" s="147"/>
      <c r="N91" s="147"/>
      <c r="O91" s="147"/>
      <c r="P91" s="147"/>
      <c r="Q91" s="147"/>
      <c r="R91" s="147"/>
      <c r="S91" s="147"/>
      <c r="T91" s="147"/>
      <c r="U91" s="148"/>
    </row>
    <row r="92" spans="1:27" ht="97.5" customHeight="1" x14ac:dyDescent="0.2">
      <c r="B92" s="145"/>
      <c r="C92" s="69" t="s">
        <v>69</v>
      </c>
      <c r="D92" s="149" t="s">
        <v>156</v>
      </c>
      <c r="E92" s="150"/>
      <c r="F92" s="150"/>
      <c r="G92" s="150"/>
      <c r="H92" s="150"/>
      <c r="I92" s="150"/>
      <c r="J92" s="150"/>
      <c r="K92" s="150"/>
      <c r="L92" s="150"/>
      <c r="M92" s="150"/>
      <c r="N92" s="150"/>
      <c r="O92" s="150"/>
      <c r="P92" s="150"/>
      <c r="Q92" s="150"/>
      <c r="R92" s="150"/>
      <c r="S92" s="150"/>
      <c r="T92" s="150"/>
      <c r="U92" s="151"/>
    </row>
    <row r="93" spans="1:27" ht="97.5" customHeight="1" x14ac:dyDescent="0.2">
      <c r="B93" s="144" t="s">
        <v>56</v>
      </c>
      <c r="C93" s="70" t="s">
        <v>63</v>
      </c>
      <c r="D93" s="153" t="s">
        <v>184</v>
      </c>
      <c r="E93" s="154"/>
      <c r="F93" s="154"/>
      <c r="G93" s="154"/>
      <c r="H93" s="154"/>
      <c r="I93" s="154"/>
      <c r="J93" s="154"/>
      <c r="K93" s="154"/>
      <c r="L93" s="154"/>
      <c r="M93" s="154"/>
      <c r="N93" s="154"/>
      <c r="O93" s="154"/>
      <c r="P93" s="154"/>
      <c r="Q93" s="154"/>
      <c r="R93" s="154"/>
      <c r="S93" s="154"/>
      <c r="T93" s="154"/>
      <c r="U93" s="155"/>
    </row>
    <row r="94" spans="1:27" ht="97.5" customHeight="1" x14ac:dyDescent="0.2">
      <c r="B94" s="152"/>
      <c r="C94" s="71" t="s">
        <v>64</v>
      </c>
      <c r="D94" s="156" t="s">
        <v>172</v>
      </c>
      <c r="E94" s="157"/>
      <c r="F94" s="157"/>
      <c r="G94" s="157"/>
      <c r="H94" s="157"/>
      <c r="I94" s="157"/>
      <c r="J94" s="157"/>
      <c r="K94" s="157"/>
      <c r="L94" s="157"/>
      <c r="M94" s="157"/>
      <c r="N94" s="157"/>
      <c r="O94" s="157"/>
      <c r="P94" s="157"/>
      <c r="Q94" s="157"/>
      <c r="R94" s="157"/>
      <c r="S94" s="157"/>
      <c r="T94" s="157"/>
      <c r="U94" s="158"/>
    </row>
    <row r="95" spans="1:27" ht="108" customHeight="1" x14ac:dyDescent="0.2">
      <c r="B95" s="144" t="s">
        <v>57</v>
      </c>
      <c r="C95" s="70" t="s">
        <v>65</v>
      </c>
      <c r="D95" s="153" t="s">
        <v>185</v>
      </c>
      <c r="E95" s="154"/>
      <c r="F95" s="154"/>
      <c r="G95" s="154"/>
      <c r="H95" s="154"/>
      <c r="I95" s="154"/>
      <c r="J95" s="154"/>
      <c r="K95" s="154"/>
      <c r="L95" s="154"/>
      <c r="M95" s="154"/>
      <c r="N95" s="154"/>
      <c r="O95" s="154"/>
      <c r="P95" s="154"/>
      <c r="Q95" s="154"/>
      <c r="R95" s="154"/>
      <c r="S95" s="154"/>
      <c r="T95" s="154"/>
      <c r="U95" s="155"/>
    </row>
    <row r="96" spans="1:27" ht="97.5" customHeight="1" x14ac:dyDescent="0.2">
      <c r="B96" s="152"/>
      <c r="C96" s="72" t="s">
        <v>66</v>
      </c>
      <c r="D96" s="149" t="s">
        <v>157</v>
      </c>
      <c r="E96" s="150"/>
      <c r="F96" s="150"/>
      <c r="G96" s="150"/>
      <c r="H96" s="150"/>
      <c r="I96" s="150"/>
      <c r="J96" s="150"/>
      <c r="K96" s="150"/>
      <c r="L96" s="150"/>
      <c r="M96" s="150"/>
      <c r="N96" s="150"/>
      <c r="O96" s="150"/>
      <c r="P96" s="150"/>
      <c r="Q96" s="150"/>
      <c r="R96" s="150"/>
      <c r="S96" s="150"/>
      <c r="T96" s="150"/>
      <c r="U96" s="151"/>
    </row>
    <row r="97" spans="1:21" ht="97.5" customHeight="1" x14ac:dyDescent="0.2">
      <c r="B97" s="144" t="s">
        <v>70</v>
      </c>
      <c r="C97" s="68" t="s">
        <v>52</v>
      </c>
      <c r="D97" s="146" t="s">
        <v>152</v>
      </c>
      <c r="E97" s="147"/>
      <c r="F97" s="147"/>
      <c r="G97" s="147"/>
      <c r="H97" s="147"/>
      <c r="I97" s="147"/>
      <c r="J97" s="147"/>
      <c r="K97" s="147"/>
      <c r="L97" s="147"/>
      <c r="M97" s="147"/>
      <c r="N97" s="147"/>
      <c r="O97" s="147"/>
      <c r="P97" s="147"/>
      <c r="Q97" s="147"/>
      <c r="R97" s="147"/>
      <c r="S97" s="147"/>
      <c r="T97" s="147"/>
      <c r="U97" s="148"/>
    </row>
    <row r="98" spans="1:21" ht="97.5" customHeight="1" x14ac:dyDescent="0.2">
      <c r="B98" s="152"/>
      <c r="C98" s="71" t="s">
        <v>54</v>
      </c>
      <c r="D98" s="149" t="s">
        <v>153</v>
      </c>
      <c r="E98" s="150"/>
      <c r="F98" s="150"/>
      <c r="G98" s="150"/>
      <c r="H98" s="150"/>
      <c r="I98" s="150"/>
      <c r="J98" s="150"/>
      <c r="K98" s="150"/>
      <c r="L98" s="150"/>
      <c r="M98" s="150"/>
      <c r="N98" s="150"/>
      <c r="O98" s="150"/>
      <c r="P98" s="150"/>
      <c r="Q98" s="150"/>
      <c r="R98" s="150"/>
      <c r="S98" s="150"/>
      <c r="T98" s="150"/>
      <c r="U98" s="151"/>
    </row>
    <row r="99" spans="1:21" ht="97.5" customHeight="1" x14ac:dyDescent="0.2">
      <c r="B99" s="144" t="s">
        <v>71</v>
      </c>
      <c r="C99" s="70" t="s">
        <v>51</v>
      </c>
      <c r="D99" s="146" t="s">
        <v>176</v>
      </c>
      <c r="E99" s="147"/>
      <c r="F99" s="147"/>
      <c r="G99" s="147"/>
      <c r="H99" s="147"/>
      <c r="I99" s="147"/>
      <c r="J99" s="147"/>
      <c r="K99" s="147"/>
      <c r="L99" s="147"/>
      <c r="M99" s="147"/>
      <c r="N99" s="147"/>
      <c r="O99" s="147"/>
      <c r="P99" s="147"/>
      <c r="Q99" s="147"/>
      <c r="R99" s="147"/>
      <c r="S99" s="147"/>
      <c r="T99" s="147"/>
      <c r="U99" s="148"/>
    </row>
    <row r="100" spans="1:21" ht="97.5" customHeight="1" x14ac:dyDescent="0.2">
      <c r="B100" s="145"/>
      <c r="C100" s="73" t="s">
        <v>67</v>
      </c>
      <c r="D100" s="164" t="s">
        <v>154</v>
      </c>
      <c r="E100" s="165"/>
      <c r="F100" s="165"/>
      <c r="G100" s="165"/>
      <c r="H100" s="165"/>
      <c r="I100" s="165"/>
      <c r="J100" s="165"/>
      <c r="K100" s="165"/>
      <c r="L100" s="165"/>
      <c r="M100" s="165"/>
      <c r="N100" s="165"/>
      <c r="O100" s="165"/>
      <c r="P100" s="165"/>
      <c r="Q100" s="165"/>
      <c r="R100" s="165"/>
      <c r="S100" s="165"/>
      <c r="T100" s="165"/>
      <c r="U100" s="166"/>
    </row>
    <row r="101" spans="1:21" ht="97.5" customHeight="1" x14ac:dyDescent="0.2">
      <c r="B101" s="152"/>
      <c r="C101" s="72" t="s">
        <v>68</v>
      </c>
      <c r="D101" s="149" t="s">
        <v>155</v>
      </c>
      <c r="E101" s="150"/>
      <c r="F101" s="150"/>
      <c r="G101" s="150"/>
      <c r="H101" s="150"/>
      <c r="I101" s="150"/>
      <c r="J101" s="150"/>
      <c r="K101" s="150"/>
      <c r="L101" s="150"/>
      <c r="M101" s="150"/>
      <c r="N101" s="150"/>
      <c r="O101" s="150"/>
      <c r="P101" s="150"/>
      <c r="Q101" s="150"/>
      <c r="R101" s="150"/>
      <c r="S101" s="150"/>
      <c r="T101" s="150"/>
      <c r="U101" s="151"/>
    </row>
    <row r="102" spans="1:21" ht="6" customHeight="1" x14ac:dyDescent="0.2"/>
    <row r="103" spans="1:21" ht="18.75" customHeight="1" x14ac:dyDescent="0.2">
      <c r="A103" s="1" t="s">
        <v>102</v>
      </c>
    </row>
    <row r="104" spans="1:21" ht="81.75" customHeight="1" x14ac:dyDescent="0.2">
      <c r="B104" s="167" t="s">
        <v>151</v>
      </c>
      <c r="C104" s="168"/>
      <c r="D104" s="168"/>
      <c r="E104" s="168"/>
      <c r="F104" s="168"/>
      <c r="G104" s="168"/>
      <c r="H104" s="168"/>
      <c r="I104" s="168"/>
      <c r="J104" s="168"/>
      <c r="K104" s="168"/>
      <c r="L104" s="168"/>
      <c r="M104" s="168"/>
      <c r="N104" s="168"/>
      <c r="O104" s="168"/>
      <c r="P104" s="168"/>
      <c r="Q104" s="168"/>
      <c r="R104" s="168"/>
      <c r="S104" s="168"/>
      <c r="T104" s="168"/>
      <c r="U104" s="169"/>
    </row>
    <row r="107" spans="1:21" ht="18" customHeight="1" x14ac:dyDescent="0.2"/>
  </sheetData>
  <mergeCells count="144">
    <mergeCell ref="N22:U22"/>
    <mergeCell ref="L7:U7"/>
    <mergeCell ref="D90:U90"/>
    <mergeCell ref="D91:U91"/>
    <mergeCell ref="D92:U92"/>
    <mergeCell ref="D93:U93"/>
    <mergeCell ref="D94:U94"/>
    <mergeCell ref="D95:U95"/>
    <mergeCell ref="D96:U96"/>
    <mergeCell ref="B11:U12"/>
    <mergeCell ref="K62:Q62"/>
    <mergeCell ref="K63:Q63"/>
    <mergeCell ref="K64:Q64"/>
    <mergeCell ref="K65:Q65"/>
    <mergeCell ref="K66:Q66"/>
    <mergeCell ref="B70:E70"/>
    <mergeCell ref="B60:F60"/>
    <mergeCell ref="B61:F61"/>
    <mergeCell ref="K37:Q37"/>
    <mergeCell ref="A57:U58"/>
    <mergeCell ref="K39:Q39"/>
    <mergeCell ref="K40:Q40"/>
    <mergeCell ref="K59:Q59"/>
    <mergeCell ref="K60:Q60"/>
    <mergeCell ref="D98:U98"/>
    <mergeCell ref="D99:U99"/>
    <mergeCell ref="D100:U100"/>
    <mergeCell ref="D101:U101"/>
    <mergeCell ref="D97:U97"/>
    <mergeCell ref="B51:F51"/>
    <mergeCell ref="K38:Q38"/>
    <mergeCell ref="B52:F52"/>
    <mergeCell ref="B53:F53"/>
    <mergeCell ref="B54:F54"/>
    <mergeCell ref="B55:F55"/>
    <mergeCell ref="K42:Q42"/>
    <mergeCell ref="K43:Q43"/>
    <mergeCell ref="K44:Q44"/>
    <mergeCell ref="A46:U47"/>
    <mergeCell ref="K41:Q41"/>
    <mergeCell ref="B48:F48"/>
    <mergeCell ref="B49:F49"/>
    <mergeCell ref="B50:F50"/>
    <mergeCell ref="K55:Q55"/>
    <mergeCell ref="B95:B96"/>
    <mergeCell ref="B91:B92"/>
    <mergeCell ref="K71:P71"/>
    <mergeCell ref="K72:P72"/>
    <mergeCell ref="A35:U36"/>
    <mergeCell ref="B37:F37"/>
    <mergeCell ref="B38:F38"/>
    <mergeCell ref="B39:F39"/>
    <mergeCell ref="B59:F59"/>
    <mergeCell ref="T1:U1"/>
    <mergeCell ref="B26:F26"/>
    <mergeCell ref="B27:F27"/>
    <mergeCell ref="B28:F28"/>
    <mergeCell ref="B29:F29"/>
    <mergeCell ref="B30:F30"/>
    <mergeCell ref="B31:F31"/>
    <mergeCell ref="B32:F32"/>
    <mergeCell ref="B33:F33"/>
    <mergeCell ref="K26:Q26"/>
    <mergeCell ref="K27:Q27"/>
    <mergeCell ref="K28:Q28"/>
    <mergeCell ref="K29:Q29"/>
    <mergeCell ref="K30:Q30"/>
    <mergeCell ref="K31:Q31"/>
    <mergeCell ref="K32:Q32"/>
    <mergeCell ref="K33:Q33"/>
    <mergeCell ref="C2:J2"/>
    <mergeCell ref="C3:J3"/>
    <mergeCell ref="A5:U5"/>
    <mergeCell ref="B15:U20"/>
    <mergeCell ref="A24:U25"/>
    <mergeCell ref="K87:Q87"/>
    <mergeCell ref="B104:U104"/>
    <mergeCell ref="R87:U87"/>
    <mergeCell ref="B82:F82"/>
    <mergeCell ref="G82:J82"/>
    <mergeCell ref="K82:Q82"/>
    <mergeCell ref="R82:U82"/>
    <mergeCell ref="B85:F85"/>
    <mergeCell ref="G85:J85"/>
    <mergeCell ref="K85:Q85"/>
    <mergeCell ref="R85:U85"/>
    <mergeCell ref="B83:F83"/>
    <mergeCell ref="B86:F86"/>
    <mergeCell ref="G86:J86"/>
    <mergeCell ref="K86:Q86"/>
    <mergeCell ref="R86:U86"/>
    <mergeCell ref="B87:F87"/>
    <mergeCell ref="G87:J87"/>
    <mergeCell ref="B99:B101"/>
    <mergeCell ref="B97:B98"/>
    <mergeCell ref="B90:C90"/>
    <mergeCell ref="B93:B94"/>
    <mergeCell ref="R84:U84"/>
    <mergeCell ref="G80:J80"/>
    <mergeCell ref="K80:Q80"/>
    <mergeCell ref="B71:E71"/>
    <mergeCell ref="B72:E72"/>
    <mergeCell ref="R83:U83"/>
    <mergeCell ref="K70:P70"/>
    <mergeCell ref="B65:F65"/>
    <mergeCell ref="B66:F66"/>
    <mergeCell ref="B73:E73"/>
    <mergeCell ref="B74:E74"/>
    <mergeCell ref="K73:P73"/>
    <mergeCell ref="B84:F84"/>
    <mergeCell ref="G83:J83"/>
    <mergeCell ref="G84:J84"/>
    <mergeCell ref="K83:Q83"/>
    <mergeCell ref="K84:Q84"/>
    <mergeCell ref="B75:E75"/>
    <mergeCell ref="B76:E76"/>
    <mergeCell ref="B77:E77"/>
    <mergeCell ref="K74:P74"/>
    <mergeCell ref="K75:P75"/>
    <mergeCell ref="K76:P76"/>
    <mergeCell ref="K53:Q53"/>
    <mergeCell ref="K54:Q54"/>
    <mergeCell ref="K77:P77"/>
    <mergeCell ref="A68:U69"/>
    <mergeCell ref="K81:Q81"/>
    <mergeCell ref="B40:F40"/>
    <mergeCell ref="B41:F41"/>
    <mergeCell ref="B42:F42"/>
    <mergeCell ref="B43:F43"/>
    <mergeCell ref="B44:F44"/>
    <mergeCell ref="K49:Q49"/>
    <mergeCell ref="K50:Q50"/>
    <mergeCell ref="K51:Q51"/>
    <mergeCell ref="K52:Q52"/>
    <mergeCell ref="R81:U81"/>
    <mergeCell ref="R80:U80"/>
    <mergeCell ref="B81:F81"/>
    <mergeCell ref="K61:Q61"/>
    <mergeCell ref="B80:F80"/>
    <mergeCell ref="G81:J81"/>
    <mergeCell ref="B62:F62"/>
    <mergeCell ref="B63:F63"/>
    <mergeCell ref="B64:F64"/>
    <mergeCell ref="K48:Q48"/>
  </mergeCells>
  <phoneticPr fontId="1"/>
  <conditionalFormatting sqref="B11:U12">
    <cfRule type="expression" dxfId="1" priority="1">
      <formula>$L$7="学部・学科によって、修了要件は相違しない"</formula>
    </cfRule>
    <cfRule type="expression" dxfId="0" priority="2">
      <formula>$L$9="学部・学科によって、修了要件は相違しない"</formula>
    </cfRule>
  </conditionalFormatting>
  <dataValidations count="6">
    <dataValidation type="list" allowBlank="1" showInputMessage="1" showErrorMessage="1" sqref="H27:J33 S27:U33 R71:U77 S38:U44 H38:J44 S49:U55 H60:J66 S60:U66 G71:J77 H49:J55" xr:uid="{4C0986EB-3601-4249-85F7-B678A400A117}">
      <formula1>"○"</formula1>
    </dataValidation>
    <dataValidation type="list" allowBlank="1" showInputMessage="1" showErrorMessage="1" sqref="U34 U45 E34:H34 E45:H45" xr:uid="{CC907DDE-86DC-4E68-BFF5-E920A71A96A6}">
      <formula1>"全学開講,一部開講"</formula1>
    </dataValidation>
    <dataValidation type="list" allowBlank="1" showInputMessage="1" showErrorMessage="1" sqref="L14 L7:U7" xr:uid="{7B985F3C-9687-4C99-93D5-E4589130E2EC}">
      <formula1>"学部・学科によって、修了要件は相違する,学部・学科によって、修了要件は相違しない"</formula1>
    </dataValidation>
    <dataValidation type="list" allowBlank="1" showInputMessage="1" showErrorMessage="1" sqref="G88:J88 R88:U88" xr:uid="{D2BB2C57-16C1-4C09-B9C3-9ECFC3635D65}">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 type="list" allowBlank="1" showInputMessage="1" showErrorMessage="1" sqref="N22:U22" xr:uid="{8D0781BD-BB46-47E4-B306-E5D299761C76}">
      <formula1>$X$16:$X$18</formula1>
    </dataValidation>
    <dataValidation type="list" allowBlank="1" showInputMessage="1" showErrorMessage="1" sqref="G81:J87 R81:U87" xr:uid="{E61772BF-11EE-43E8-BC0C-EDDA1761D40A}">
      <formula1>$AA$80:$AA$89</formula1>
    </dataValidation>
  </dataValidations>
  <printOptions horizontalCentered="1"/>
  <pageMargins left="0.78740157480314965" right="0.78740157480314965" top="0.78740157480314965" bottom="0.19685039370078741" header="0.31496062992125984" footer="0.19685039370078741"/>
  <pageSetup paperSize="9" scale="68" fitToHeight="0" orientation="portrait" r:id="rId1"/>
  <headerFooter>
    <oddHeader>&amp;C数理・データサイエンス・AI教育プログラム認定制度【リテラシーレベル】令和７年度申請用</oddHeader>
  </headerFooter>
  <rowBreaks count="2" manualBreakCount="2">
    <brk id="67" max="20" man="1"/>
    <brk id="96" max="20"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4F80AA-BA43-436E-9327-767BF1887A12}">
  <sheetPr>
    <pageSetUpPr fitToPage="1"/>
  </sheetPr>
  <dimension ref="A1:U33"/>
  <sheetViews>
    <sheetView view="pageBreakPreview" zoomScaleNormal="100" zoomScaleSheetLayoutView="100" workbookViewId="0">
      <selection activeCell="F14" sqref="F14"/>
    </sheetView>
  </sheetViews>
  <sheetFormatPr defaultColWidth="9" defaultRowHeight="18.75" customHeight="1" x14ac:dyDescent="0.2"/>
  <cols>
    <col min="1" max="1" width="2.77734375" style="1" customWidth="1"/>
    <col min="2" max="2" width="27.88671875" style="1" customWidth="1"/>
    <col min="3" max="18" width="6.109375" style="1" customWidth="1"/>
    <col min="19" max="19" width="6.6640625" style="1" customWidth="1"/>
    <col min="20" max="16384" width="9" style="1"/>
  </cols>
  <sheetData>
    <row r="1" spans="1:21" ht="18" customHeight="1" x14ac:dyDescent="0.2">
      <c r="A1" s="54"/>
      <c r="B1" s="54"/>
      <c r="C1" s="54"/>
      <c r="D1" s="54"/>
      <c r="E1" s="54"/>
      <c r="F1" s="54"/>
      <c r="G1" s="54"/>
      <c r="H1" s="54"/>
      <c r="I1" s="54"/>
      <c r="J1" s="54"/>
      <c r="K1" s="54"/>
      <c r="L1" s="54"/>
      <c r="M1" s="54"/>
      <c r="N1" s="54"/>
      <c r="O1" s="54"/>
      <c r="P1" s="54"/>
      <c r="Q1" s="54"/>
      <c r="R1" s="54"/>
      <c r="S1" s="54" t="s">
        <v>91</v>
      </c>
    </row>
    <row r="2" spans="1:21" ht="18" customHeight="1" x14ac:dyDescent="0.2">
      <c r="A2" s="54"/>
      <c r="B2" s="54"/>
      <c r="C2" s="54"/>
      <c r="D2" s="54"/>
      <c r="E2" s="54"/>
      <c r="F2" s="54"/>
      <c r="G2" s="54"/>
      <c r="H2" s="54"/>
      <c r="I2" s="54"/>
      <c r="J2" s="54"/>
      <c r="K2" s="54"/>
      <c r="L2" s="54"/>
      <c r="M2" s="54"/>
      <c r="N2" s="54"/>
      <c r="O2" s="54"/>
      <c r="P2" s="54"/>
      <c r="Q2" s="171" t="str">
        <f>'様式１－２　プログラムを構成する授業科目'!C2</f>
        <v>酪農学園大学</v>
      </c>
      <c r="R2" s="171"/>
      <c r="S2" s="171"/>
    </row>
    <row r="3" spans="1:21" ht="18" customHeight="1" x14ac:dyDescent="0.2">
      <c r="A3" s="100" t="s">
        <v>142</v>
      </c>
      <c r="B3" s="100"/>
      <c r="C3" s="100"/>
      <c r="D3" s="100"/>
      <c r="E3" s="100"/>
      <c r="F3" s="100"/>
      <c r="G3" s="100"/>
      <c r="H3" s="100"/>
      <c r="I3" s="100"/>
      <c r="J3" s="100"/>
      <c r="K3" s="100"/>
      <c r="L3" s="100"/>
      <c r="M3" s="100"/>
      <c r="N3" s="100"/>
      <c r="O3" s="100"/>
      <c r="P3" s="100"/>
      <c r="Q3" s="100"/>
      <c r="R3" s="100"/>
      <c r="S3" s="100"/>
    </row>
    <row r="4" spans="1:21" ht="7.5" customHeight="1" x14ac:dyDescent="0.2">
      <c r="A4" s="56"/>
      <c r="B4" s="56"/>
      <c r="C4" s="56"/>
      <c r="D4" s="56"/>
      <c r="E4" s="56"/>
      <c r="F4" s="56"/>
      <c r="G4" s="56"/>
      <c r="H4" s="56"/>
      <c r="I4" s="56"/>
      <c r="J4" s="56"/>
      <c r="K4" s="56"/>
      <c r="L4" s="56"/>
      <c r="M4" s="56"/>
      <c r="N4" s="56"/>
      <c r="O4" s="56"/>
      <c r="P4" s="56"/>
      <c r="Q4" s="56"/>
      <c r="R4" s="56"/>
      <c r="S4" s="56"/>
    </row>
    <row r="5" spans="1:21" ht="18" customHeight="1" x14ac:dyDescent="0.2">
      <c r="A5" s="54" t="s">
        <v>74</v>
      </c>
      <c r="B5" s="54"/>
      <c r="C5" s="172" t="s">
        <v>159</v>
      </c>
      <c r="D5" s="173"/>
      <c r="E5" s="58" t="s">
        <v>125</v>
      </c>
      <c r="F5" s="56"/>
      <c r="G5" s="56"/>
      <c r="H5" s="56"/>
      <c r="I5" s="56"/>
      <c r="J5" s="56"/>
      <c r="K5" s="56"/>
      <c r="L5" s="56"/>
      <c r="M5" s="56"/>
      <c r="N5" s="56"/>
      <c r="O5" s="56"/>
      <c r="P5" s="56"/>
      <c r="Q5" s="56"/>
      <c r="R5" s="55"/>
      <c r="S5" s="55"/>
    </row>
    <row r="6" spans="1:21" ht="7.2" customHeight="1" x14ac:dyDescent="0.2">
      <c r="A6" s="54"/>
      <c r="B6" s="54"/>
      <c r="C6" s="76"/>
      <c r="D6" s="76"/>
      <c r="E6" s="56"/>
      <c r="F6" s="56"/>
      <c r="G6" s="56"/>
      <c r="H6" s="56"/>
      <c r="I6" s="56"/>
      <c r="J6" s="56"/>
      <c r="K6" s="56"/>
      <c r="L6" s="56"/>
      <c r="M6" s="56"/>
      <c r="N6" s="56"/>
      <c r="O6" s="56"/>
      <c r="P6" s="56"/>
      <c r="Q6" s="56"/>
      <c r="R6" s="55"/>
      <c r="S6" s="55"/>
    </row>
    <row r="7" spans="1:21" ht="18" customHeight="1" x14ac:dyDescent="0.2">
      <c r="A7" s="54" t="s">
        <v>108</v>
      </c>
      <c r="B7" s="54"/>
      <c r="C7" s="76"/>
      <c r="D7" s="76"/>
      <c r="E7" s="56" t="s">
        <v>109</v>
      </c>
      <c r="F7" s="59">
        <v>1389</v>
      </c>
      <c r="G7" s="58" t="s">
        <v>110</v>
      </c>
      <c r="H7" s="56" t="s">
        <v>111</v>
      </c>
      <c r="I7" s="59">
        <v>1439</v>
      </c>
      <c r="J7" s="58" t="s">
        <v>110</v>
      </c>
      <c r="K7" s="57" t="s">
        <v>112</v>
      </c>
      <c r="L7" s="56" t="s">
        <v>113</v>
      </c>
      <c r="M7" s="59">
        <f>F7+I7</f>
        <v>2828</v>
      </c>
      <c r="N7" s="56" t="s">
        <v>1</v>
      </c>
      <c r="O7" s="58" t="s">
        <v>114</v>
      </c>
      <c r="P7" s="56"/>
      <c r="Q7" s="56"/>
      <c r="R7" s="55"/>
      <c r="S7" s="55"/>
    </row>
    <row r="8" spans="1:21" ht="17.399999999999999" customHeight="1" x14ac:dyDescent="0.2">
      <c r="A8" s="56"/>
      <c r="B8" s="77" t="s">
        <v>128</v>
      </c>
      <c r="C8" s="56"/>
      <c r="D8" s="56"/>
      <c r="E8" s="56"/>
      <c r="F8" s="56"/>
      <c r="G8" s="56"/>
      <c r="H8" s="56"/>
      <c r="I8" s="56"/>
      <c r="J8" s="56"/>
      <c r="K8" s="56"/>
      <c r="L8" s="56"/>
      <c r="M8" s="56"/>
      <c r="N8" s="56"/>
      <c r="O8" s="56"/>
      <c r="P8" s="56"/>
      <c r="Q8" s="56"/>
      <c r="R8" s="56"/>
      <c r="S8" s="56"/>
    </row>
    <row r="9" spans="1:21" ht="18" customHeight="1" x14ac:dyDescent="0.2">
      <c r="A9" s="54" t="s">
        <v>120</v>
      </c>
      <c r="B9" s="56"/>
      <c r="C9" s="56"/>
      <c r="D9" s="56"/>
      <c r="E9" s="56"/>
      <c r="F9" s="56"/>
      <c r="G9" s="56"/>
      <c r="H9" s="56"/>
      <c r="I9" s="56"/>
      <c r="J9" s="56"/>
      <c r="K9" s="56"/>
      <c r="L9" s="56"/>
      <c r="M9" s="56"/>
      <c r="N9" s="56"/>
      <c r="O9" s="56"/>
      <c r="P9" s="56"/>
      <c r="Q9" s="56"/>
      <c r="R9" s="56"/>
      <c r="S9" s="56"/>
    </row>
    <row r="10" spans="1:21" ht="6" customHeight="1" x14ac:dyDescent="0.2">
      <c r="B10" s="3"/>
      <c r="C10" s="3"/>
      <c r="D10" s="3"/>
      <c r="E10" s="3"/>
      <c r="F10" s="3"/>
      <c r="G10" s="3"/>
      <c r="H10" s="3"/>
      <c r="I10" s="3"/>
      <c r="J10" s="3"/>
      <c r="K10" s="3"/>
      <c r="L10" s="3"/>
      <c r="M10" s="3"/>
      <c r="N10" s="3"/>
      <c r="O10" s="3"/>
      <c r="P10" s="3"/>
      <c r="Q10" s="3"/>
      <c r="R10" s="3"/>
      <c r="S10" s="3"/>
    </row>
    <row r="11" spans="1:21" ht="18" customHeight="1" x14ac:dyDescent="0.2">
      <c r="B11" s="174" t="s">
        <v>42</v>
      </c>
      <c r="C11" s="184" t="s">
        <v>77</v>
      </c>
      <c r="D11" s="176" t="s">
        <v>44</v>
      </c>
      <c r="E11" s="178" t="s">
        <v>37</v>
      </c>
      <c r="F11" s="170" t="s">
        <v>126</v>
      </c>
      <c r="G11" s="170"/>
      <c r="H11" s="170" t="s">
        <v>105</v>
      </c>
      <c r="I11" s="170"/>
      <c r="J11" s="170" t="s">
        <v>76</v>
      </c>
      <c r="K11" s="170"/>
      <c r="L11" s="170" t="s">
        <v>45</v>
      </c>
      <c r="M11" s="170"/>
      <c r="N11" s="170" t="s">
        <v>46</v>
      </c>
      <c r="O11" s="170"/>
      <c r="P11" s="170" t="s">
        <v>127</v>
      </c>
      <c r="Q11" s="170"/>
      <c r="R11" s="180" t="s">
        <v>34</v>
      </c>
      <c r="S11" s="182" t="s">
        <v>31</v>
      </c>
      <c r="U11" s="2"/>
    </row>
    <row r="12" spans="1:21" ht="16.95" customHeight="1" x14ac:dyDescent="0.2">
      <c r="B12" s="175"/>
      <c r="C12" s="185"/>
      <c r="D12" s="177"/>
      <c r="E12" s="179"/>
      <c r="F12" s="78" t="s">
        <v>85</v>
      </c>
      <c r="G12" s="78" t="s">
        <v>28</v>
      </c>
      <c r="H12" s="78" t="s">
        <v>85</v>
      </c>
      <c r="I12" s="78" t="s">
        <v>28</v>
      </c>
      <c r="J12" s="78" t="s">
        <v>85</v>
      </c>
      <c r="K12" s="78" t="s">
        <v>28</v>
      </c>
      <c r="L12" s="78" t="s">
        <v>85</v>
      </c>
      <c r="M12" s="78" t="s">
        <v>28</v>
      </c>
      <c r="N12" s="78" t="s">
        <v>85</v>
      </c>
      <c r="O12" s="78" t="s">
        <v>28</v>
      </c>
      <c r="P12" s="78" t="s">
        <v>85</v>
      </c>
      <c r="Q12" s="79" t="s">
        <v>28</v>
      </c>
      <c r="R12" s="181"/>
      <c r="S12" s="183"/>
      <c r="U12" s="2"/>
    </row>
    <row r="13" spans="1:21" ht="18" customHeight="1" x14ac:dyDescent="0.2">
      <c r="A13" s="6"/>
      <c r="B13" s="48" t="s">
        <v>160</v>
      </c>
      <c r="C13" s="36">
        <v>1699</v>
      </c>
      <c r="D13" s="37">
        <v>520</v>
      </c>
      <c r="E13" s="38">
        <v>2080</v>
      </c>
      <c r="F13" s="38">
        <v>200</v>
      </c>
      <c r="G13" s="88">
        <v>0</v>
      </c>
      <c r="H13" s="38"/>
      <c r="I13" s="38"/>
      <c r="J13" s="38"/>
      <c r="K13" s="38"/>
      <c r="L13" s="38"/>
      <c r="M13" s="38"/>
      <c r="N13" s="38"/>
      <c r="O13" s="38"/>
      <c r="P13" s="38"/>
      <c r="Q13" s="49"/>
      <c r="R13" s="37">
        <f t="shared" ref="R13:R32" si="0">F13+H13+J13+L13+N13+P13</f>
        <v>200</v>
      </c>
      <c r="S13" s="50">
        <f t="shared" ref="S13:S33" si="1">R13/E13</f>
        <v>9.6153846153846159E-2</v>
      </c>
    </row>
    <row r="14" spans="1:21" ht="18" customHeight="1" x14ac:dyDescent="0.2">
      <c r="A14" s="6"/>
      <c r="B14" s="11" t="s">
        <v>161</v>
      </c>
      <c r="C14" s="39">
        <v>853</v>
      </c>
      <c r="D14" s="40">
        <v>120</v>
      </c>
      <c r="E14" s="41">
        <v>720</v>
      </c>
      <c r="F14" s="42">
        <v>9</v>
      </c>
      <c r="G14" s="89">
        <v>0</v>
      </c>
      <c r="H14" s="42"/>
      <c r="I14" s="42"/>
      <c r="J14" s="42"/>
      <c r="K14" s="42"/>
      <c r="L14" s="42"/>
      <c r="M14" s="42"/>
      <c r="N14" s="42"/>
      <c r="O14" s="42"/>
      <c r="P14" s="42"/>
      <c r="Q14" s="39"/>
      <c r="R14" s="40">
        <f t="shared" si="0"/>
        <v>9</v>
      </c>
      <c r="S14" s="16">
        <f t="shared" si="1"/>
        <v>1.2500000000000001E-2</v>
      </c>
    </row>
    <row r="15" spans="1:21" ht="18" customHeight="1" x14ac:dyDescent="0.2">
      <c r="A15" s="6"/>
      <c r="B15" s="11" t="s">
        <v>162</v>
      </c>
      <c r="C15" s="39">
        <v>276</v>
      </c>
      <c r="D15" s="40">
        <v>60</v>
      </c>
      <c r="E15" s="41">
        <v>240</v>
      </c>
      <c r="F15" s="42">
        <v>2</v>
      </c>
      <c r="G15" s="89">
        <v>0</v>
      </c>
      <c r="H15" s="42"/>
      <c r="I15" s="42"/>
      <c r="J15" s="42"/>
      <c r="K15" s="42"/>
      <c r="L15" s="42"/>
      <c r="M15" s="42"/>
      <c r="N15" s="42"/>
      <c r="O15" s="42"/>
      <c r="P15" s="42"/>
      <c r="Q15" s="39"/>
      <c r="R15" s="40">
        <f t="shared" si="0"/>
        <v>2</v>
      </c>
      <c r="S15" s="8">
        <f t="shared" si="1"/>
        <v>8.3333333333333332E-3</v>
      </c>
    </row>
    <row r="16" spans="1:21" ht="18" customHeight="1" x14ac:dyDescent="0.2">
      <c r="A16" s="6"/>
      <c r="B16" s="11"/>
      <c r="C16" s="39"/>
      <c r="D16" s="40"/>
      <c r="E16" s="41"/>
      <c r="F16" s="42"/>
      <c r="G16" s="42"/>
      <c r="H16" s="42"/>
      <c r="I16" s="42"/>
      <c r="J16" s="42"/>
      <c r="K16" s="42"/>
      <c r="L16" s="42"/>
      <c r="M16" s="42"/>
      <c r="N16" s="42"/>
      <c r="O16" s="42"/>
      <c r="P16" s="42"/>
      <c r="Q16" s="39"/>
      <c r="R16" s="40">
        <f t="shared" si="0"/>
        <v>0</v>
      </c>
      <c r="S16" s="8" t="e">
        <f t="shared" si="1"/>
        <v>#DIV/0!</v>
      </c>
    </row>
    <row r="17" spans="1:19" ht="18" customHeight="1" x14ac:dyDescent="0.2">
      <c r="A17" s="6"/>
      <c r="B17" s="11"/>
      <c r="C17" s="39"/>
      <c r="D17" s="40"/>
      <c r="E17" s="41"/>
      <c r="F17" s="42"/>
      <c r="G17" s="42"/>
      <c r="H17" s="42"/>
      <c r="I17" s="42"/>
      <c r="J17" s="42"/>
      <c r="K17" s="42"/>
      <c r="L17" s="42"/>
      <c r="M17" s="42"/>
      <c r="N17" s="42"/>
      <c r="O17" s="42"/>
      <c r="P17" s="42"/>
      <c r="Q17" s="39"/>
      <c r="R17" s="40">
        <f t="shared" si="0"/>
        <v>0</v>
      </c>
      <c r="S17" s="8" t="e">
        <f t="shared" si="1"/>
        <v>#DIV/0!</v>
      </c>
    </row>
    <row r="18" spans="1:19" ht="18" customHeight="1" x14ac:dyDescent="0.2">
      <c r="A18" s="6"/>
      <c r="B18" s="11"/>
      <c r="C18" s="39"/>
      <c r="D18" s="40"/>
      <c r="E18" s="41"/>
      <c r="F18" s="42"/>
      <c r="G18" s="42"/>
      <c r="H18" s="42"/>
      <c r="I18" s="42"/>
      <c r="J18" s="42"/>
      <c r="K18" s="42"/>
      <c r="L18" s="42"/>
      <c r="M18" s="42"/>
      <c r="N18" s="42"/>
      <c r="O18" s="42"/>
      <c r="P18" s="42"/>
      <c r="Q18" s="39"/>
      <c r="R18" s="40">
        <f t="shared" si="0"/>
        <v>0</v>
      </c>
      <c r="S18" s="8" t="e">
        <f t="shared" si="1"/>
        <v>#DIV/0!</v>
      </c>
    </row>
    <row r="19" spans="1:19" ht="18" customHeight="1" x14ac:dyDescent="0.2">
      <c r="A19" s="6"/>
      <c r="B19" s="11"/>
      <c r="C19" s="39"/>
      <c r="D19" s="40"/>
      <c r="E19" s="41"/>
      <c r="F19" s="42"/>
      <c r="G19" s="42"/>
      <c r="H19" s="42"/>
      <c r="I19" s="42"/>
      <c r="J19" s="42"/>
      <c r="K19" s="42"/>
      <c r="L19" s="42"/>
      <c r="M19" s="42"/>
      <c r="N19" s="42"/>
      <c r="O19" s="42"/>
      <c r="P19" s="42"/>
      <c r="Q19" s="39"/>
      <c r="R19" s="40">
        <f t="shared" si="0"/>
        <v>0</v>
      </c>
      <c r="S19" s="8" t="e">
        <f t="shared" si="1"/>
        <v>#DIV/0!</v>
      </c>
    </row>
    <row r="20" spans="1:19" ht="18" customHeight="1" x14ac:dyDescent="0.2">
      <c r="A20" s="6"/>
      <c r="B20" s="11"/>
      <c r="C20" s="39"/>
      <c r="D20" s="40"/>
      <c r="E20" s="41"/>
      <c r="F20" s="42"/>
      <c r="G20" s="42"/>
      <c r="H20" s="42"/>
      <c r="I20" s="42"/>
      <c r="J20" s="42"/>
      <c r="K20" s="42"/>
      <c r="L20" s="42"/>
      <c r="M20" s="42"/>
      <c r="N20" s="42"/>
      <c r="O20" s="42"/>
      <c r="P20" s="42"/>
      <c r="Q20" s="39"/>
      <c r="R20" s="40">
        <f t="shared" si="0"/>
        <v>0</v>
      </c>
      <c r="S20" s="8" t="e">
        <f t="shared" si="1"/>
        <v>#DIV/0!</v>
      </c>
    </row>
    <row r="21" spans="1:19" ht="18" customHeight="1" x14ac:dyDescent="0.2">
      <c r="A21" s="6"/>
      <c r="B21" s="11"/>
      <c r="C21" s="39"/>
      <c r="D21" s="40"/>
      <c r="E21" s="41"/>
      <c r="F21" s="42"/>
      <c r="G21" s="42"/>
      <c r="H21" s="42"/>
      <c r="I21" s="42"/>
      <c r="J21" s="42"/>
      <c r="K21" s="42"/>
      <c r="L21" s="42"/>
      <c r="M21" s="42"/>
      <c r="N21" s="42"/>
      <c r="O21" s="42"/>
      <c r="P21" s="42"/>
      <c r="Q21" s="39"/>
      <c r="R21" s="40">
        <f t="shared" si="0"/>
        <v>0</v>
      </c>
      <c r="S21" s="8" t="e">
        <f t="shared" si="1"/>
        <v>#DIV/0!</v>
      </c>
    </row>
    <row r="22" spans="1:19" ht="18" customHeight="1" x14ac:dyDescent="0.2">
      <c r="A22" s="6"/>
      <c r="B22" s="11"/>
      <c r="C22" s="39"/>
      <c r="D22" s="40"/>
      <c r="E22" s="41"/>
      <c r="F22" s="42"/>
      <c r="G22" s="42"/>
      <c r="H22" s="42"/>
      <c r="I22" s="42"/>
      <c r="J22" s="42"/>
      <c r="K22" s="42"/>
      <c r="L22" s="42"/>
      <c r="M22" s="42"/>
      <c r="N22" s="42"/>
      <c r="O22" s="42"/>
      <c r="P22" s="42"/>
      <c r="Q22" s="39"/>
      <c r="R22" s="40">
        <f t="shared" si="0"/>
        <v>0</v>
      </c>
      <c r="S22" s="8" t="e">
        <f t="shared" si="1"/>
        <v>#DIV/0!</v>
      </c>
    </row>
    <row r="23" spans="1:19" ht="18" customHeight="1" x14ac:dyDescent="0.2">
      <c r="A23" s="6"/>
      <c r="B23" s="11"/>
      <c r="C23" s="39"/>
      <c r="D23" s="40"/>
      <c r="E23" s="41"/>
      <c r="F23" s="42"/>
      <c r="G23" s="42"/>
      <c r="H23" s="42"/>
      <c r="I23" s="42"/>
      <c r="J23" s="42"/>
      <c r="K23" s="42"/>
      <c r="L23" s="42"/>
      <c r="M23" s="42"/>
      <c r="N23" s="42"/>
      <c r="O23" s="42"/>
      <c r="P23" s="42"/>
      <c r="Q23" s="39"/>
      <c r="R23" s="40">
        <f t="shared" si="0"/>
        <v>0</v>
      </c>
      <c r="S23" s="8" t="e">
        <f t="shared" si="1"/>
        <v>#DIV/0!</v>
      </c>
    </row>
    <row r="24" spans="1:19" ht="18" customHeight="1" x14ac:dyDescent="0.2">
      <c r="A24" s="6"/>
      <c r="B24" s="11"/>
      <c r="C24" s="39"/>
      <c r="D24" s="40"/>
      <c r="E24" s="41"/>
      <c r="F24" s="42"/>
      <c r="G24" s="42"/>
      <c r="H24" s="42"/>
      <c r="I24" s="42"/>
      <c r="J24" s="42"/>
      <c r="K24" s="42"/>
      <c r="L24" s="42"/>
      <c r="M24" s="42"/>
      <c r="N24" s="42"/>
      <c r="O24" s="42"/>
      <c r="P24" s="42"/>
      <c r="Q24" s="39"/>
      <c r="R24" s="40">
        <f t="shared" si="0"/>
        <v>0</v>
      </c>
      <c r="S24" s="8" t="e">
        <f t="shared" si="1"/>
        <v>#DIV/0!</v>
      </c>
    </row>
    <row r="25" spans="1:19" ht="18" customHeight="1" x14ac:dyDescent="0.2">
      <c r="A25" s="6"/>
      <c r="B25" s="11"/>
      <c r="C25" s="39"/>
      <c r="D25" s="40"/>
      <c r="E25" s="41"/>
      <c r="F25" s="42"/>
      <c r="G25" s="42"/>
      <c r="H25" s="42"/>
      <c r="I25" s="42"/>
      <c r="J25" s="42"/>
      <c r="K25" s="42"/>
      <c r="L25" s="42"/>
      <c r="M25" s="42"/>
      <c r="N25" s="42"/>
      <c r="O25" s="42"/>
      <c r="P25" s="42"/>
      <c r="Q25" s="39"/>
      <c r="R25" s="40">
        <f t="shared" si="0"/>
        <v>0</v>
      </c>
      <c r="S25" s="8" t="e">
        <f t="shared" si="1"/>
        <v>#DIV/0!</v>
      </c>
    </row>
    <row r="26" spans="1:19" ht="18" customHeight="1" x14ac:dyDescent="0.2">
      <c r="A26" s="6"/>
      <c r="B26" s="11"/>
      <c r="C26" s="39"/>
      <c r="D26" s="40"/>
      <c r="E26" s="41"/>
      <c r="F26" s="42"/>
      <c r="G26" s="42"/>
      <c r="H26" s="42"/>
      <c r="I26" s="42"/>
      <c r="J26" s="42"/>
      <c r="K26" s="42"/>
      <c r="L26" s="42"/>
      <c r="M26" s="42"/>
      <c r="N26" s="42"/>
      <c r="O26" s="42"/>
      <c r="P26" s="42"/>
      <c r="Q26" s="39"/>
      <c r="R26" s="40">
        <f t="shared" si="0"/>
        <v>0</v>
      </c>
      <c r="S26" s="8" t="e">
        <f t="shared" si="1"/>
        <v>#DIV/0!</v>
      </c>
    </row>
    <row r="27" spans="1:19" ht="18" customHeight="1" x14ac:dyDescent="0.2">
      <c r="A27" s="6"/>
      <c r="B27" s="11"/>
      <c r="C27" s="39"/>
      <c r="D27" s="40"/>
      <c r="E27" s="41"/>
      <c r="F27" s="42"/>
      <c r="G27" s="42"/>
      <c r="H27" s="42"/>
      <c r="I27" s="42"/>
      <c r="J27" s="42"/>
      <c r="K27" s="42"/>
      <c r="L27" s="42"/>
      <c r="M27" s="42"/>
      <c r="N27" s="42"/>
      <c r="O27" s="42"/>
      <c r="P27" s="42"/>
      <c r="Q27" s="39"/>
      <c r="R27" s="40">
        <f t="shared" si="0"/>
        <v>0</v>
      </c>
      <c r="S27" s="8" t="e">
        <f t="shared" si="1"/>
        <v>#DIV/0!</v>
      </c>
    </row>
    <row r="28" spans="1:19" ht="18" customHeight="1" x14ac:dyDescent="0.2">
      <c r="A28" s="6"/>
      <c r="B28" s="11"/>
      <c r="C28" s="39"/>
      <c r="D28" s="40"/>
      <c r="E28" s="41"/>
      <c r="F28" s="42"/>
      <c r="G28" s="42"/>
      <c r="H28" s="42"/>
      <c r="I28" s="42"/>
      <c r="J28" s="42"/>
      <c r="K28" s="42"/>
      <c r="L28" s="42"/>
      <c r="M28" s="42"/>
      <c r="N28" s="42"/>
      <c r="O28" s="42"/>
      <c r="P28" s="42"/>
      <c r="Q28" s="39"/>
      <c r="R28" s="40">
        <f t="shared" si="0"/>
        <v>0</v>
      </c>
      <c r="S28" s="8" t="e">
        <f t="shared" si="1"/>
        <v>#DIV/0!</v>
      </c>
    </row>
    <row r="29" spans="1:19" ht="18" customHeight="1" x14ac:dyDescent="0.2">
      <c r="A29" s="6"/>
      <c r="B29" s="11"/>
      <c r="C29" s="39"/>
      <c r="D29" s="40"/>
      <c r="E29" s="41"/>
      <c r="F29" s="42"/>
      <c r="G29" s="42"/>
      <c r="H29" s="42"/>
      <c r="I29" s="42"/>
      <c r="J29" s="42"/>
      <c r="K29" s="42"/>
      <c r="L29" s="42"/>
      <c r="M29" s="42"/>
      <c r="N29" s="42"/>
      <c r="O29" s="42"/>
      <c r="P29" s="42"/>
      <c r="Q29" s="39"/>
      <c r="R29" s="40">
        <f t="shared" si="0"/>
        <v>0</v>
      </c>
      <c r="S29" s="8" t="e">
        <f t="shared" si="1"/>
        <v>#DIV/0!</v>
      </c>
    </row>
    <row r="30" spans="1:19" ht="18" customHeight="1" x14ac:dyDescent="0.2">
      <c r="A30" s="6"/>
      <c r="B30" s="11"/>
      <c r="C30" s="39"/>
      <c r="D30" s="43"/>
      <c r="E30" s="41"/>
      <c r="F30" s="42"/>
      <c r="G30" s="42"/>
      <c r="H30" s="42"/>
      <c r="I30" s="42"/>
      <c r="J30" s="42"/>
      <c r="K30" s="42"/>
      <c r="L30" s="42"/>
      <c r="M30" s="42"/>
      <c r="N30" s="42"/>
      <c r="O30" s="42"/>
      <c r="P30" s="42"/>
      <c r="Q30" s="39"/>
      <c r="R30" s="43">
        <f t="shared" si="0"/>
        <v>0</v>
      </c>
      <c r="S30" s="8" t="e">
        <f t="shared" si="1"/>
        <v>#DIV/0!</v>
      </c>
    </row>
    <row r="31" spans="1:19" ht="18" customHeight="1" x14ac:dyDescent="0.2">
      <c r="A31" s="6"/>
      <c r="B31" s="11"/>
      <c r="C31" s="39"/>
      <c r="D31" s="43"/>
      <c r="E31" s="41"/>
      <c r="F31" s="42"/>
      <c r="G31" s="42"/>
      <c r="H31" s="42"/>
      <c r="I31" s="42"/>
      <c r="J31" s="42"/>
      <c r="K31" s="42"/>
      <c r="L31" s="42"/>
      <c r="M31" s="42"/>
      <c r="N31" s="42"/>
      <c r="O31" s="42"/>
      <c r="P31" s="42"/>
      <c r="Q31" s="39"/>
      <c r="R31" s="43">
        <f t="shared" si="0"/>
        <v>0</v>
      </c>
      <c r="S31" s="8" t="e">
        <f t="shared" si="1"/>
        <v>#DIV/0!</v>
      </c>
    </row>
    <row r="32" spans="1:19" ht="18" customHeight="1" thickBot="1" x14ac:dyDescent="0.25">
      <c r="A32" s="6"/>
      <c r="B32" s="12"/>
      <c r="C32" s="36"/>
      <c r="D32" s="44"/>
      <c r="E32" s="38"/>
      <c r="F32" s="38"/>
      <c r="G32" s="38"/>
      <c r="H32" s="38"/>
      <c r="I32" s="38"/>
      <c r="J32" s="38"/>
      <c r="K32" s="38"/>
      <c r="L32" s="38"/>
      <c r="M32" s="38"/>
      <c r="N32" s="38"/>
      <c r="O32" s="38"/>
      <c r="P32" s="38"/>
      <c r="Q32" s="39"/>
      <c r="R32" s="44">
        <f t="shared" si="0"/>
        <v>0</v>
      </c>
      <c r="S32" s="7" t="e">
        <f t="shared" si="1"/>
        <v>#DIV/0!</v>
      </c>
    </row>
    <row r="33" spans="2:19" ht="18" customHeight="1" thickTop="1" x14ac:dyDescent="0.2">
      <c r="B33" s="13" t="s">
        <v>32</v>
      </c>
      <c r="C33" s="45">
        <f t="shared" ref="C33" si="2">SUM(C13:C32)</f>
        <v>2828</v>
      </c>
      <c r="D33" s="46">
        <f t="shared" ref="D33:R33" si="3">SUM(D13:D32)</f>
        <v>700</v>
      </c>
      <c r="E33" s="47">
        <f t="shared" si="3"/>
        <v>3040</v>
      </c>
      <c r="F33" s="47">
        <f t="shared" si="3"/>
        <v>211</v>
      </c>
      <c r="G33" s="47">
        <f t="shared" ref="G33:H33" si="4">SUM(G13:G32)</f>
        <v>0</v>
      </c>
      <c r="H33" s="47">
        <f t="shared" si="4"/>
        <v>0</v>
      </c>
      <c r="I33" s="47">
        <f t="shared" ref="I33:J33" si="5">SUM(I13:I32)</f>
        <v>0</v>
      </c>
      <c r="J33" s="47">
        <f t="shared" si="5"/>
        <v>0</v>
      </c>
      <c r="K33" s="47">
        <f t="shared" ref="K33:O33" si="6">SUM(K13:K32)</f>
        <v>0</v>
      </c>
      <c r="L33" s="47">
        <f t="shared" si="6"/>
        <v>0</v>
      </c>
      <c r="M33" s="47">
        <f t="shared" si="6"/>
        <v>0</v>
      </c>
      <c r="N33" s="47">
        <f t="shared" si="6"/>
        <v>0</v>
      </c>
      <c r="O33" s="47">
        <f t="shared" si="6"/>
        <v>0</v>
      </c>
      <c r="P33" s="47">
        <f t="shared" ref="P33:Q33" si="7">SUM(P13:P32)</f>
        <v>0</v>
      </c>
      <c r="Q33" s="45">
        <f t="shared" si="7"/>
        <v>0</v>
      </c>
      <c r="R33" s="46">
        <f t="shared" si="3"/>
        <v>211</v>
      </c>
      <c r="S33" s="9">
        <f t="shared" si="1"/>
        <v>6.9407894736842099E-2</v>
      </c>
    </row>
  </sheetData>
  <mergeCells count="15">
    <mergeCell ref="H11:I11"/>
    <mergeCell ref="J11:K11"/>
    <mergeCell ref="Q2:S2"/>
    <mergeCell ref="L11:M11"/>
    <mergeCell ref="A3:S3"/>
    <mergeCell ref="C5:D5"/>
    <mergeCell ref="B11:B12"/>
    <mergeCell ref="D11:D12"/>
    <mergeCell ref="E11:E12"/>
    <mergeCell ref="F11:G11"/>
    <mergeCell ref="R11:R12"/>
    <mergeCell ref="S11:S12"/>
    <mergeCell ref="C11:C12"/>
    <mergeCell ref="N11:O11"/>
    <mergeCell ref="P11:Q11"/>
  </mergeCells>
  <phoneticPr fontId="1"/>
  <conditionalFormatting sqref="C5:D7">
    <cfRule type="cellIs" priority="1" operator="equal">
      <formula>0</formula>
    </cfRule>
  </conditionalFormatting>
  <printOptions horizontalCentered="1"/>
  <pageMargins left="0.78740157480314965" right="0.78740157480314965" top="0.78740157480314965" bottom="0.59055118110236227" header="0.31496062992125984" footer="0.31496062992125984"/>
  <pageSetup paperSize="9" scale="95" orientation="landscape" r:id="rId1"/>
  <headerFooter>
    <oddHeader>&amp;C数理・データサイエンス・AI教育プログラム認定制度【リテラシーレベル】</oddHead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3AE0C7-83C6-4345-921C-F61EEA09E522}">
  <sheetPr>
    <pageSetUpPr fitToPage="1"/>
  </sheetPr>
  <dimension ref="A1:O134"/>
  <sheetViews>
    <sheetView showZeros="0" tabSelected="1" view="pageBreakPreview" topLeftCell="A100" zoomScaleNormal="100" zoomScaleSheetLayoutView="100" workbookViewId="0">
      <selection activeCell="B66" sqref="B66:I77"/>
    </sheetView>
  </sheetViews>
  <sheetFormatPr defaultColWidth="11.33203125" defaultRowHeight="18.75" customHeight="1" x14ac:dyDescent="0.2"/>
  <cols>
    <col min="1" max="1" width="2.77734375" style="20" customWidth="1"/>
    <col min="2" max="2" width="16.6640625" style="1" customWidth="1"/>
    <col min="3" max="3" width="8.88671875" style="1" customWidth="1"/>
    <col min="4" max="4" width="2.21875" style="1" customWidth="1"/>
    <col min="5" max="5" width="16.6640625" style="1" customWidth="1"/>
    <col min="6" max="6" width="4.33203125" style="1" customWidth="1"/>
    <col min="7" max="7" width="9" style="1" customWidth="1"/>
    <col min="8" max="8" width="16.6640625" style="1" customWidth="1"/>
    <col min="9" max="9" width="12.109375" style="1" customWidth="1"/>
    <col min="10" max="16384" width="11.33203125" style="1"/>
  </cols>
  <sheetData>
    <row r="1" spans="1:9" ht="18.75" customHeight="1" x14ac:dyDescent="0.2">
      <c r="A1" s="20" t="s">
        <v>58</v>
      </c>
      <c r="I1" s="18" t="s">
        <v>90</v>
      </c>
    </row>
    <row r="2" spans="1:9" ht="18.75" customHeight="1" x14ac:dyDescent="0.2">
      <c r="G2" s="18" t="s">
        <v>92</v>
      </c>
      <c r="H2" s="94" t="str">
        <f>'様式１－２　プログラムを構成する授業科目'!C2</f>
        <v>酪農学園大学</v>
      </c>
      <c r="I2" s="96"/>
    </row>
    <row r="3" spans="1:9" ht="18.75" customHeight="1" x14ac:dyDescent="0.2">
      <c r="G3" s="18"/>
      <c r="H3" s="10"/>
      <c r="I3" s="10"/>
    </row>
    <row r="4" spans="1:9" ht="18.600000000000001" customHeight="1" x14ac:dyDescent="0.2">
      <c r="A4" s="100" t="s">
        <v>35</v>
      </c>
      <c r="B4" s="100"/>
      <c r="C4" s="100"/>
      <c r="D4" s="100"/>
      <c r="E4" s="100"/>
      <c r="F4" s="100"/>
      <c r="G4" s="100"/>
      <c r="H4" s="100"/>
      <c r="I4" s="100"/>
    </row>
    <row r="5" spans="1:9" ht="13.2" customHeight="1" x14ac:dyDescent="0.2">
      <c r="B5" s="3"/>
      <c r="C5" s="3"/>
      <c r="D5" s="3"/>
      <c r="E5" s="3"/>
      <c r="F5" s="3"/>
      <c r="G5" s="3"/>
      <c r="H5" s="3"/>
      <c r="I5" s="3"/>
    </row>
    <row r="6" spans="1:9" ht="18" customHeight="1" x14ac:dyDescent="0.2">
      <c r="A6" s="1" t="s">
        <v>0</v>
      </c>
      <c r="B6" s="10" t="s">
        <v>80</v>
      </c>
      <c r="C6" s="206" t="s">
        <v>81</v>
      </c>
      <c r="D6" s="206"/>
      <c r="E6" s="86">
        <v>194</v>
      </c>
      <c r="F6" s="3" t="s">
        <v>1</v>
      </c>
      <c r="G6" s="3" t="s">
        <v>2</v>
      </c>
      <c r="H6" s="86">
        <v>79</v>
      </c>
      <c r="I6" s="10" t="s">
        <v>1</v>
      </c>
    </row>
    <row r="7" spans="1:9" ht="12" customHeight="1" x14ac:dyDescent="0.2">
      <c r="C7" s="2"/>
      <c r="D7" s="2"/>
      <c r="E7" s="2"/>
      <c r="F7" s="2"/>
      <c r="G7" s="2"/>
      <c r="H7" s="2"/>
      <c r="I7" s="21"/>
    </row>
    <row r="8" spans="1:9" ht="18" customHeight="1" x14ac:dyDescent="0.2">
      <c r="A8" s="1" t="s">
        <v>3</v>
      </c>
      <c r="B8" s="10" t="s">
        <v>82</v>
      </c>
      <c r="E8" s="3"/>
      <c r="F8" s="3"/>
      <c r="G8" s="3"/>
      <c r="H8" s="17">
        <v>13</v>
      </c>
      <c r="I8" s="10" t="s">
        <v>1</v>
      </c>
    </row>
    <row r="9" spans="1:9" ht="9" customHeight="1" x14ac:dyDescent="0.2">
      <c r="B9" s="3"/>
      <c r="C9" s="3"/>
      <c r="D9" s="3"/>
      <c r="E9" s="3"/>
      <c r="F9" s="3"/>
      <c r="G9" s="3"/>
      <c r="H9" s="3"/>
      <c r="I9" s="3"/>
    </row>
    <row r="10" spans="1:9" ht="18" customHeight="1" x14ac:dyDescent="0.2">
      <c r="A10" s="1" t="s">
        <v>4</v>
      </c>
      <c r="B10" s="10" t="s">
        <v>83</v>
      </c>
      <c r="C10" s="3"/>
      <c r="D10" s="3"/>
      <c r="E10" s="3"/>
      <c r="F10" s="3"/>
      <c r="G10" s="3"/>
      <c r="H10" s="3"/>
      <c r="I10" s="3"/>
    </row>
    <row r="11" spans="1:9" ht="18" customHeight="1" x14ac:dyDescent="0.2">
      <c r="B11" s="18" t="s">
        <v>40</v>
      </c>
      <c r="C11" s="201" t="s">
        <v>163</v>
      </c>
      <c r="D11" s="204"/>
      <c r="E11" s="205"/>
      <c r="F11" s="21"/>
      <c r="G11" s="18" t="s">
        <v>10</v>
      </c>
      <c r="H11" s="201" t="s">
        <v>164</v>
      </c>
      <c r="I11" s="205"/>
    </row>
    <row r="12" spans="1:9" ht="10.199999999999999" customHeight="1" x14ac:dyDescent="0.2">
      <c r="B12" s="18"/>
      <c r="C12" s="10"/>
      <c r="D12" s="21"/>
      <c r="E12" s="21"/>
      <c r="F12" s="21"/>
      <c r="G12" s="18"/>
      <c r="H12" s="10"/>
      <c r="I12" s="21"/>
    </row>
    <row r="13" spans="1:9" ht="18" customHeight="1" x14ac:dyDescent="0.2">
      <c r="A13" s="1" t="s">
        <v>7</v>
      </c>
      <c r="B13" s="10" t="s">
        <v>78</v>
      </c>
      <c r="C13" s="3"/>
      <c r="D13" s="3"/>
      <c r="E13" s="3"/>
      <c r="F13" s="3"/>
      <c r="G13" s="3"/>
      <c r="H13" s="3"/>
      <c r="I13" s="3"/>
    </row>
    <row r="14" spans="1:9" ht="18" customHeight="1" x14ac:dyDescent="0.2">
      <c r="B14" s="201" t="s">
        <v>165</v>
      </c>
      <c r="C14" s="202"/>
      <c r="D14" s="202"/>
      <c r="E14" s="202"/>
      <c r="F14" s="202"/>
      <c r="G14" s="202"/>
      <c r="H14" s="202"/>
      <c r="I14" s="203"/>
    </row>
    <row r="15" spans="1:9" ht="9" customHeight="1" x14ac:dyDescent="0.2">
      <c r="B15" s="3"/>
      <c r="C15" s="3"/>
      <c r="D15" s="3"/>
      <c r="E15" s="3"/>
      <c r="F15" s="3"/>
      <c r="G15" s="3"/>
      <c r="H15" s="3"/>
      <c r="I15" s="3"/>
    </row>
    <row r="16" spans="1:9" ht="18" customHeight="1" x14ac:dyDescent="0.2">
      <c r="B16" s="18" t="s">
        <v>40</v>
      </c>
      <c r="C16" s="201" t="s">
        <v>163</v>
      </c>
      <c r="D16" s="204"/>
      <c r="E16" s="205"/>
      <c r="F16" s="21"/>
      <c r="G16" s="18" t="s">
        <v>10</v>
      </c>
      <c r="H16" s="201" t="s">
        <v>164</v>
      </c>
      <c r="I16" s="205"/>
    </row>
    <row r="17" spans="1:11" ht="18" customHeight="1" x14ac:dyDescent="0.2">
      <c r="B17" s="3"/>
      <c r="C17" s="3"/>
      <c r="D17" s="3"/>
      <c r="E17" s="3"/>
      <c r="F17" s="3"/>
      <c r="G17" s="3"/>
      <c r="H17" s="3"/>
      <c r="I17" s="3"/>
    </row>
    <row r="18" spans="1:11" ht="18.75" customHeight="1" x14ac:dyDescent="0.2">
      <c r="A18" s="1" t="s">
        <v>5</v>
      </c>
      <c r="B18" s="1" t="s">
        <v>39</v>
      </c>
      <c r="I18" s="3"/>
    </row>
    <row r="19" spans="1:11" ht="18.75" customHeight="1" x14ac:dyDescent="0.2">
      <c r="A19" s="1"/>
      <c r="B19" s="187" t="s">
        <v>166</v>
      </c>
      <c r="C19" s="188"/>
      <c r="D19" s="188"/>
      <c r="E19" s="188"/>
      <c r="F19" s="188"/>
      <c r="G19" s="188"/>
      <c r="H19" s="188"/>
      <c r="I19" s="189"/>
    </row>
    <row r="20" spans="1:11" ht="7.5" customHeight="1" x14ac:dyDescent="0.2">
      <c r="B20" s="3"/>
      <c r="C20" s="3"/>
      <c r="D20" s="3"/>
      <c r="E20" s="3"/>
      <c r="F20" s="3"/>
      <c r="G20" s="3"/>
      <c r="H20" s="3"/>
      <c r="I20" s="3"/>
    </row>
    <row r="21" spans="1:11" ht="18.75" customHeight="1" x14ac:dyDescent="0.2">
      <c r="A21" s="1" t="s">
        <v>8</v>
      </c>
      <c r="B21" s="1" t="s">
        <v>24</v>
      </c>
    </row>
    <row r="22" spans="1:11" ht="18.75" customHeight="1" x14ac:dyDescent="0.2">
      <c r="A22" s="14"/>
      <c r="B22" s="190" t="s">
        <v>177</v>
      </c>
      <c r="C22" s="191"/>
      <c r="D22" s="191"/>
      <c r="E22" s="191"/>
      <c r="F22" s="191"/>
      <c r="G22" s="191"/>
      <c r="H22" s="191"/>
      <c r="I22" s="192"/>
      <c r="J22" s="92">
        <f>LEN(B22)</f>
        <v>324</v>
      </c>
      <c r="K22" s="1">
        <v>400</v>
      </c>
    </row>
    <row r="23" spans="1:11" ht="18.75" customHeight="1" x14ac:dyDescent="0.2">
      <c r="A23" s="14"/>
      <c r="B23" s="193"/>
      <c r="C23" s="194"/>
      <c r="D23" s="194"/>
      <c r="E23" s="194"/>
      <c r="F23" s="194"/>
      <c r="G23" s="194"/>
      <c r="H23" s="194"/>
      <c r="I23" s="195"/>
    </row>
    <row r="24" spans="1:11" ht="18.75" customHeight="1" x14ac:dyDescent="0.2">
      <c r="A24" s="14"/>
      <c r="B24" s="193"/>
      <c r="C24" s="194"/>
      <c r="D24" s="194"/>
      <c r="E24" s="194"/>
      <c r="F24" s="194"/>
      <c r="G24" s="194"/>
      <c r="H24" s="194"/>
      <c r="I24" s="195"/>
    </row>
    <row r="25" spans="1:11" ht="18.75" customHeight="1" x14ac:dyDescent="0.2">
      <c r="A25" s="14"/>
      <c r="B25" s="193"/>
      <c r="C25" s="194"/>
      <c r="D25" s="194"/>
      <c r="E25" s="194"/>
      <c r="F25" s="194"/>
      <c r="G25" s="194"/>
      <c r="H25" s="194"/>
      <c r="I25" s="195"/>
    </row>
    <row r="26" spans="1:11" ht="18.75" customHeight="1" x14ac:dyDescent="0.2">
      <c r="A26" s="14"/>
      <c r="B26" s="193"/>
      <c r="C26" s="194"/>
      <c r="D26" s="194"/>
      <c r="E26" s="194"/>
      <c r="F26" s="194"/>
      <c r="G26" s="194"/>
      <c r="H26" s="194"/>
      <c r="I26" s="195"/>
    </row>
    <row r="27" spans="1:11" ht="18.75" customHeight="1" x14ac:dyDescent="0.2">
      <c r="A27" s="14"/>
      <c r="B27" s="193"/>
      <c r="C27" s="194"/>
      <c r="D27" s="194"/>
      <c r="E27" s="194"/>
      <c r="F27" s="194"/>
      <c r="G27" s="194"/>
      <c r="H27" s="194"/>
      <c r="I27" s="195"/>
    </row>
    <row r="28" spans="1:11" ht="18.75" customHeight="1" x14ac:dyDescent="0.2">
      <c r="A28" s="14"/>
      <c r="B28" s="193"/>
      <c r="C28" s="194"/>
      <c r="D28" s="194"/>
      <c r="E28" s="194"/>
      <c r="F28" s="194"/>
      <c r="G28" s="194"/>
      <c r="H28" s="194"/>
      <c r="I28" s="195"/>
    </row>
    <row r="29" spans="1:11" ht="18.75" customHeight="1" x14ac:dyDescent="0.2">
      <c r="A29" s="14"/>
      <c r="B29" s="193"/>
      <c r="C29" s="194"/>
      <c r="D29" s="194"/>
      <c r="E29" s="194"/>
      <c r="F29" s="194"/>
      <c r="G29" s="194"/>
      <c r="H29" s="194"/>
      <c r="I29" s="195"/>
    </row>
    <row r="30" spans="1:11" ht="18.75" customHeight="1" x14ac:dyDescent="0.2">
      <c r="A30" s="14"/>
      <c r="B30" s="196"/>
      <c r="C30" s="197"/>
      <c r="D30" s="197"/>
      <c r="E30" s="197"/>
      <c r="F30" s="197"/>
      <c r="G30" s="197"/>
      <c r="H30" s="197"/>
      <c r="I30" s="195"/>
    </row>
    <row r="31" spans="1:11" ht="18.75" customHeight="1" x14ac:dyDescent="0.2">
      <c r="A31" s="14"/>
      <c r="B31" s="196"/>
      <c r="C31" s="197"/>
      <c r="D31" s="197"/>
      <c r="E31" s="197"/>
      <c r="F31" s="197"/>
      <c r="G31" s="197"/>
      <c r="H31" s="197"/>
      <c r="I31" s="195"/>
    </row>
    <row r="32" spans="1:11" ht="18.75" customHeight="1" x14ac:dyDescent="0.2">
      <c r="A32" s="14"/>
      <c r="B32" s="198"/>
      <c r="C32" s="199"/>
      <c r="D32" s="199"/>
      <c r="E32" s="199"/>
      <c r="F32" s="199"/>
      <c r="G32" s="199"/>
      <c r="H32" s="199"/>
      <c r="I32" s="200"/>
    </row>
    <row r="33" spans="1:9" ht="7.5" customHeight="1" x14ac:dyDescent="0.2">
      <c r="A33" s="14"/>
      <c r="B33" s="14"/>
      <c r="C33" s="14"/>
      <c r="D33" s="14"/>
      <c r="E33" s="14"/>
      <c r="F33" s="14"/>
      <c r="G33" s="14"/>
      <c r="H33" s="14"/>
      <c r="I33" s="14"/>
    </row>
    <row r="34" spans="1:9" ht="18.75" customHeight="1" x14ac:dyDescent="0.2">
      <c r="A34" s="15" t="s">
        <v>6</v>
      </c>
      <c r="B34" s="15" t="s">
        <v>9</v>
      </c>
      <c r="C34" s="10"/>
      <c r="D34" s="15"/>
      <c r="E34" s="15"/>
      <c r="F34" s="15"/>
      <c r="G34" s="15"/>
      <c r="H34" s="15"/>
      <c r="I34" s="15"/>
    </row>
    <row r="35" spans="1:9" ht="18.75" customHeight="1" x14ac:dyDescent="0.2">
      <c r="A35" s="14"/>
      <c r="B35" s="190" t="s">
        <v>167</v>
      </c>
      <c r="C35" s="191"/>
      <c r="D35" s="191"/>
      <c r="E35" s="191"/>
      <c r="F35" s="191"/>
      <c r="G35" s="191"/>
      <c r="H35" s="191"/>
      <c r="I35" s="192"/>
    </row>
    <row r="36" spans="1:9" ht="18.75" customHeight="1" x14ac:dyDescent="0.2">
      <c r="A36" s="14"/>
      <c r="B36" s="196"/>
      <c r="C36" s="197"/>
      <c r="D36" s="197"/>
      <c r="E36" s="197"/>
      <c r="F36" s="197"/>
      <c r="G36" s="197"/>
      <c r="H36" s="197"/>
      <c r="I36" s="195"/>
    </row>
    <row r="37" spans="1:9" ht="18.75" customHeight="1" x14ac:dyDescent="0.2">
      <c r="A37" s="14"/>
      <c r="B37" s="196"/>
      <c r="C37" s="197"/>
      <c r="D37" s="197"/>
      <c r="E37" s="197"/>
      <c r="F37" s="197"/>
      <c r="G37" s="197"/>
      <c r="H37" s="197"/>
      <c r="I37" s="195"/>
    </row>
    <row r="38" spans="1:9" ht="18.75" customHeight="1" x14ac:dyDescent="0.2">
      <c r="A38" s="14"/>
      <c r="B38" s="196"/>
      <c r="C38" s="197"/>
      <c r="D38" s="197"/>
      <c r="E38" s="197"/>
      <c r="F38" s="197"/>
      <c r="G38" s="197"/>
      <c r="H38" s="197"/>
      <c r="I38" s="195"/>
    </row>
    <row r="39" spans="1:9" ht="18.75" customHeight="1" x14ac:dyDescent="0.2">
      <c r="A39" s="14"/>
      <c r="B39" s="196"/>
      <c r="C39" s="197"/>
      <c r="D39" s="197"/>
      <c r="E39" s="197"/>
      <c r="F39" s="197"/>
      <c r="G39" s="197"/>
      <c r="H39" s="197"/>
      <c r="I39" s="195"/>
    </row>
    <row r="40" spans="1:9" ht="18.75" customHeight="1" x14ac:dyDescent="0.2">
      <c r="A40" s="14"/>
      <c r="B40" s="196"/>
      <c r="C40" s="197"/>
      <c r="D40" s="197"/>
      <c r="E40" s="197"/>
      <c r="F40" s="197"/>
      <c r="G40" s="197"/>
      <c r="H40" s="197"/>
      <c r="I40" s="195"/>
    </row>
    <row r="41" spans="1:9" ht="18.75" customHeight="1" x14ac:dyDescent="0.2">
      <c r="A41" s="14"/>
      <c r="B41" s="196"/>
      <c r="C41" s="197"/>
      <c r="D41" s="197"/>
      <c r="E41" s="197"/>
      <c r="F41" s="197"/>
      <c r="G41" s="197"/>
      <c r="H41" s="197"/>
      <c r="I41" s="195"/>
    </row>
    <row r="42" spans="1:9" ht="18.75" customHeight="1" x14ac:dyDescent="0.2">
      <c r="A42" s="14"/>
      <c r="B42" s="196"/>
      <c r="C42" s="197"/>
      <c r="D42" s="197"/>
      <c r="E42" s="197"/>
      <c r="F42" s="197"/>
      <c r="G42" s="197"/>
      <c r="H42" s="197"/>
      <c r="I42" s="195"/>
    </row>
    <row r="43" spans="1:9" ht="18.75" customHeight="1" x14ac:dyDescent="0.2">
      <c r="A43" s="14"/>
      <c r="B43" s="196"/>
      <c r="C43" s="197"/>
      <c r="D43" s="197"/>
      <c r="E43" s="197"/>
      <c r="F43" s="197"/>
      <c r="G43" s="197"/>
      <c r="H43" s="197"/>
      <c r="I43" s="195"/>
    </row>
    <row r="44" spans="1:9" ht="18.75" customHeight="1" x14ac:dyDescent="0.2">
      <c r="A44" s="14"/>
      <c r="B44" s="196"/>
      <c r="C44" s="197"/>
      <c r="D44" s="197"/>
      <c r="E44" s="197"/>
      <c r="F44" s="197"/>
      <c r="G44" s="197"/>
      <c r="H44" s="197"/>
      <c r="I44" s="195"/>
    </row>
    <row r="45" spans="1:9" ht="18.75" customHeight="1" x14ac:dyDescent="0.2">
      <c r="A45" s="14"/>
      <c r="B45" s="196"/>
      <c r="C45" s="197"/>
      <c r="D45" s="197"/>
      <c r="E45" s="197"/>
      <c r="F45" s="197"/>
      <c r="G45" s="197"/>
      <c r="H45" s="197"/>
      <c r="I45" s="195"/>
    </row>
    <row r="46" spans="1:9" ht="18.75" customHeight="1" x14ac:dyDescent="0.2">
      <c r="A46" s="14"/>
      <c r="B46" s="198"/>
      <c r="C46" s="199"/>
      <c r="D46" s="199"/>
      <c r="E46" s="199"/>
      <c r="F46" s="199"/>
      <c r="G46" s="199"/>
      <c r="H46" s="199"/>
      <c r="I46" s="200"/>
    </row>
    <row r="47" spans="1:9" ht="7.5" customHeight="1" x14ac:dyDescent="0.2">
      <c r="A47" s="4"/>
      <c r="B47" s="4"/>
      <c r="C47" s="4"/>
      <c r="D47" s="4"/>
      <c r="E47" s="4"/>
      <c r="F47" s="4"/>
      <c r="G47" s="4"/>
      <c r="H47" s="4"/>
      <c r="I47" s="4"/>
    </row>
    <row r="48" spans="1:9" ht="18.75" customHeight="1" x14ac:dyDescent="0.2">
      <c r="A48" s="1" t="s">
        <v>30</v>
      </c>
      <c r="B48" s="1" t="s">
        <v>104</v>
      </c>
    </row>
    <row r="49" spans="1:15" s="3" customFormat="1" ht="18.75" customHeight="1" x14ac:dyDescent="0.2">
      <c r="B49" s="80" t="s">
        <v>129</v>
      </c>
      <c r="C49" s="228">
        <f>'様式２ 履修者等数の実績'!S33</f>
        <v>6.9407894736842099E-2</v>
      </c>
      <c r="D49" s="228"/>
      <c r="E49" s="80" t="s">
        <v>59</v>
      </c>
      <c r="F49" s="228">
        <v>0.14000000000000001</v>
      </c>
      <c r="G49" s="228"/>
      <c r="H49" s="80" t="s">
        <v>79</v>
      </c>
      <c r="I49" s="22">
        <v>0.25</v>
      </c>
      <c r="J49" s="1"/>
      <c r="M49" s="1"/>
      <c r="N49" s="23"/>
    </row>
    <row r="50" spans="1:15" s="3" customFormat="1" ht="18.75" customHeight="1" x14ac:dyDescent="0.2">
      <c r="B50" s="81" t="s">
        <v>115</v>
      </c>
      <c r="C50" s="211">
        <v>0.4</v>
      </c>
      <c r="D50" s="211"/>
      <c r="E50" s="81" t="s">
        <v>130</v>
      </c>
      <c r="F50" s="211">
        <v>0.5</v>
      </c>
      <c r="G50" s="211"/>
      <c r="H50" s="81" t="s">
        <v>60</v>
      </c>
      <c r="I50" s="24">
        <f>'様式２ 履修者等数の実績'!E33</f>
        <v>3040</v>
      </c>
      <c r="J50" s="1"/>
      <c r="M50" s="1"/>
      <c r="N50" s="23"/>
    </row>
    <row r="51" spans="1:15" ht="18.75" customHeight="1" x14ac:dyDescent="0.2">
      <c r="A51" s="1"/>
      <c r="B51" s="208" t="s">
        <v>61</v>
      </c>
      <c r="C51" s="209"/>
      <c r="D51" s="209"/>
      <c r="E51" s="209"/>
      <c r="F51" s="209"/>
      <c r="G51" s="209"/>
      <c r="H51" s="209"/>
      <c r="I51" s="210"/>
      <c r="N51" s="23"/>
      <c r="O51" s="3"/>
    </row>
    <row r="52" spans="1:15" ht="18.75" customHeight="1" x14ac:dyDescent="0.2">
      <c r="A52" s="1"/>
      <c r="B52" s="229" t="s">
        <v>192</v>
      </c>
      <c r="C52" s="230"/>
      <c r="D52" s="230"/>
      <c r="E52" s="230"/>
      <c r="F52" s="230"/>
      <c r="G52" s="230"/>
      <c r="H52" s="230"/>
      <c r="I52" s="231"/>
      <c r="J52" s="1">
        <f>LEN(B52)</f>
        <v>490</v>
      </c>
      <c r="K52" s="1">
        <v>500</v>
      </c>
      <c r="N52" s="23"/>
      <c r="O52" s="3"/>
    </row>
    <row r="53" spans="1:15" ht="18.75" customHeight="1" x14ac:dyDescent="0.2">
      <c r="A53" s="1"/>
      <c r="B53" s="232"/>
      <c r="C53" s="233"/>
      <c r="D53" s="233"/>
      <c r="E53" s="233"/>
      <c r="F53" s="233"/>
      <c r="G53" s="233"/>
      <c r="H53" s="233"/>
      <c r="I53" s="234"/>
      <c r="N53" s="23"/>
      <c r="O53" s="3"/>
    </row>
    <row r="54" spans="1:15" ht="18.75" customHeight="1" x14ac:dyDescent="0.2">
      <c r="A54" s="1"/>
      <c r="B54" s="232"/>
      <c r="C54" s="233"/>
      <c r="D54" s="233"/>
      <c r="E54" s="233"/>
      <c r="F54" s="233"/>
      <c r="G54" s="233"/>
      <c r="H54" s="233"/>
      <c r="I54" s="234"/>
    </row>
    <row r="55" spans="1:15" ht="18.75" customHeight="1" x14ac:dyDescent="0.2">
      <c r="A55" s="1"/>
      <c r="B55" s="232"/>
      <c r="C55" s="233"/>
      <c r="D55" s="233"/>
      <c r="E55" s="233"/>
      <c r="F55" s="233"/>
      <c r="G55" s="233"/>
      <c r="H55" s="233"/>
      <c r="I55" s="234"/>
    </row>
    <row r="56" spans="1:15" ht="18.75" customHeight="1" x14ac:dyDescent="0.2">
      <c r="A56" s="1"/>
      <c r="B56" s="232"/>
      <c r="C56" s="233"/>
      <c r="D56" s="233"/>
      <c r="E56" s="233"/>
      <c r="F56" s="233"/>
      <c r="G56" s="233"/>
      <c r="H56" s="233"/>
      <c r="I56" s="234"/>
    </row>
    <row r="57" spans="1:15" ht="18.75" customHeight="1" x14ac:dyDescent="0.2">
      <c r="A57" s="1"/>
      <c r="B57" s="232"/>
      <c r="C57" s="233"/>
      <c r="D57" s="233"/>
      <c r="E57" s="233"/>
      <c r="F57" s="233"/>
      <c r="G57" s="233"/>
      <c r="H57" s="233"/>
      <c r="I57" s="234"/>
    </row>
    <row r="58" spans="1:15" ht="18.75" customHeight="1" x14ac:dyDescent="0.2">
      <c r="A58" s="1"/>
      <c r="B58" s="232"/>
      <c r="C58" s="233"/>
      <c r="D58" s="233"/>
      <c r="E58" s="233"/>
      <c r="F58" s="233"/>
      <c r="G58" s="233"/>
      <c r="H58" s="233"/>
      <c r="I58" s="234"/>
    </row>
    <row r="59" spans="1:15" ht="18.75" customHeight="1" x14ac:dyDescent="0.2">
      <c r="A59" s="1"/>
      <c r="B59" s="232"/>
      <c r="C59" s="233"/>
      <c r="D59" s="233"/>
      <c r="E59" s="233"/>
      <c r="F59" s="233"/>
      <c r="G59" s="233"/>
      <c r="H59" s="233"/>
      <c r="I59" s="234"/>
    </row>
    <row r="60" spans="1:15" ht="18.75" customHeight="1" x14ac:dyDescent="0.2">
      <c r="A60" s="1"/>
      <c r="B60" s="232"/>
      <c r="C60" s="233"/>
      <c r="D60" s="233"/>
      <c r="E60" s="233"/>
      <c r="F60" s="233"/>
      <c r="G60" s="233"/>
      <c r="H60" s="233"/>
      <c r="I60" s="234"/>
    </row>
    <row r="61" spans="1:15" ht="18.75" customHeight="1" x14ac:dyDescent="0.2">
      <c r="A61" s="1"/>
      <c r="B61" s="232"/>
      <c r="C61" s="233"/>
      <c r="D61" s="233"/>
      <c r="E61" s="233"/>
      <c r="F61" s="233"/>
      <c r="G61" s="233"/>
      <c r="H61" s="233"/>
      <c r="I61" s="234"/>
    </row>
    <row r="62" spans="1:15" ht="18.75" customHeight="1" x14ac:dyDescent="0.2">
      <c r="A62" s="1"/>
      <c r="B62" s="232"/>
      <c r="C62" s="233"/>
      <c r="D62" s="233"/>
      <c r="E62" s="233"/>
      <c r="F62" s="233"/>
      <c r="G62" s="233"/>
      <c r="H62" s="233"/>
      <c r="I62" s="234"/>
    </row>
    <row r="63" spans="1:15" ht="18.75" customHeight="1" x14ac:dyDescent="0.2">
      <c r="A63" s="1"/>
      <c r="B63" s="235"/>
      <c r="C63" s="236"/>
      <c r="D63" s="236"/>
      <c r="E63" s="236"/>
      <c r="F63" s="236"/>
      <c r="G63" s="236"/>
      <c r="H63" s="236"/>
      <c r="I63" s="237"/>
    </row>
    <row r="64" spans="1:15" ht="7.5" customHeight="1" x14ac:dyDescent="0.2">
      <c r="A64" s="14"/>
      <c r="B64" s="14"/>
      <c r="C64" s="14"/>
      <c r="D64" s="14"/>
      <c r="E64" s="14"/>
      <c r="F64" s="14"/>
      <c r="G64" s="14"/>
      <c r="H64" s="14"/>
      <c r="I64" s="14"/>
    </row>
    <row r="65" spans="1:11" ht="18.75" customHeight="1" x14ac:dyDescent="0.2">
      <c r="A65" s="15" t="s">
        <v>33</v>
      </c>
      <c r="B65" s="1" t="s">
        <v>36</v>
      </c>
      <c r="I65" s="15"/>
    </row>
    <row r="66" spans="1:11" ht="18.75" customHeight="1" x14ac:dyDescent="0.2">
      <c r="A66" s="4"/>
      <c r="B66" s="212" t="s">
        <v>193</v>
      </c>
      <c r="C66" s="213"/>
      <c r="D66" s="213"/>
      <c r="E66" s="213"/>
      <c r="F66" s="213"/>
      <c r="G66" s="213"/>
      <c r="H66" s="213"/>
      <c r="I66" s="214"/>
      <c r="J66" s="90">
        <f>LEN(B66)</f>
        <v>279</v>
      </c>
      <c r="K66" s="1">
        <v>400</v>
      </c>
    </row>
    <row r="67" spans="1:11" ht="18.75" customHeight="1" x14ac:dyDescent="0.2">
      <c r="A67" s="4"/>
      <c r="B67" s="215"/>
      <c r="C67" s="216"/>
      <c r="D67" s="216"/>
      <c r="E67" s="216"/>
      <c r="F67" s="216"/>
      <c r="G67" s="216"/>
      <c r="H67" s="216"/>
      <c r="I67" s="217"/>
    </row>
    <row r="68" spans="1:11" ht="18.75" customHeight="1" x14ac:dyDescent="0.2">
      <c r="A68" s="4"/>
      <c r="B68" s="215"/>
      <c r="C68" s="216"/>
      <c r="D68" s="216"/>
      <c r="E68" s="216"/>
      <c r="F68" s="216"/>
      <c r="G68" s="216"/>
      <c r="H68" s="216"/>
      <c r="I68" s="217"/>
    </row>
    <row r="69" spans="1:11" ht="18.75" customHeight="1" x14ac:dyDescent="0.2">
      <c r="A69" s="4"/>
      <c r="B69" s="215"/>
      <c r="C69" s="216"/>
      <c r="D69" s="216"/>
      <c r="E69" s="216"/>
      <c r="F69" s="216"/>
      <c r="G69" s="216"/>
      <c r="H69" s="216"/>
      <c r="I69" s="217"/>
    </row>
    <row r="70" spans="1:11" ht="18.75" customHeight="1" x14ac:dyDescent="0.2">
      <c r="A70" s="4"/>
      <c r="B70" s="215"/>
      <c r="C70" s="216"/>
      <c r="D70" s="216"/>
      <c r="E70" s="216"/>
      <c r="F70" s="216"/>
      <c r="G70" s="216"/>
      <c r="H70" s="216"/>
      <c r="I70" s="217"/>
    </row>
    <row r="71" spans="1:11" ht="18.75" customHeight="1" x14ac:dyDescent="0.2">
      <c r="A71" s="4"/>
      <c r="B71" s="215"/>
      <c r="C71" s="216"/>
      <c r="D71" s="216"/>
      <c r="E71" s="216"/>
      <c r="F71" s="216"/>
      <c r="G71" s="216"/>
      <c r="H71" s="216"/>
      <c r="I71" s="217"/>
    </row>
    <row r="72" spans="1:11" ht="18.75" customHeight="1" x14ac:dyDescent="0.2">
      <c r="A72" s="4"/>
      <c r="B72" s="215"/>
      <c r="C72" s="216"/>
      <c r="D72" s="216"/>
      <c r="E72" s="216"/>
      <c r="F72" s="216"/>
      <c r="G72" s="216"/>
      <c r="H72" s="216"/>
      <c r="I72" s="217"/>
    </row>
    <row r="73" spans="1:11" ht="18.75" customHeight="1" x14ac:dyDescent="0.2">
      <c r="A73" s="4"/>
      <c r="B73" s="215"/>
      <c r="C73" s="216"/>
      <c r="D73" s="216"/>
      <c r="E73" s="216"/>
      <c r="F73" s="216"/>
      <c r="G73" s="216"/>
      <c r="H73" s="216"/>
      <c r="I73" s="217"/>
    </row>
    <row r="74" spans="1:11" ht="18.75" customHeight="1" x14ac:dyDescent="0.2">
      <c r="A74" s="4"/>
      <c r="B74" s="215"/>
      <c r="C74" s="216"/>
      <c r="D74" s="216"/>
      <c r="E74" s="216"/>
      <c r="F74" s="216"/>
      <c r="G74" s="216"/>
      <c r="H74" s="216"/>
      <c r="I74" s="217"/>
    </row>
    <row r="75" spans="1:11" ht="18.75" customHeight="1" x14ac:dyDescent="0.2">
      <c r="A75" s="4"/>
      <c r="B75" s="215"/>
      <c r="C75" s="216"/>
      <c r="D75" s="216"/>
      <c r="E75" s="216"/>
      <c r="F75" s="216"/>
      <c r="G75" s="216"/>
      <c r="H75" s="216"/>
      <c r="I75" s="217"/>
    </row>
    <row r="76" spans="1:11" ht="18.75" customHeight="1" x14ac:dyDescent="0.2">
      <c r="A76" s="4"/>
      <c r="B76" s="215"/>
      <c r="C76" s="216"/>
      <c r="D76" s="216"/>
      <c r="E76" s="216"/>
      <c r="F76" s="216"/>
      <c r="G76" s="216"/>
      <c r="H76" s="216"/>
      <c r="I76" s="217"/>
    </row>
    <row r="77" spans="1:11" ht="18.75" customHeight="1" x14ac:dyDescent="0.2">
      <c r="A77" s="4"/>
      <c r="B77" s="218"/>
      <c r="C77" s="219"/>
      <c r="D77" s="219"/>
      <c r="E77" s="219"/>
      <c r="F77" s="219"/>
      <c r="G77" s="219"/>
      <c r="H77" s="219"/>
      <c r="I77" s="220"/>
    </row>
    <row r="78" spans="1:11" ht="7.5" customHeight="1" x14ac:dyDescent="0.2">
      <c r="A78" s="4"/>
      <c r="B78" s="4"/>
      <c r="C78" s="4"/>
      <c r="D78" s="4"/>
      <c r="E78" s="4"/>
      <c r="F78" s="4"/>
      <c r="G78" s="4"/>
      <c r="H78" s="4"/>
      <c r="I78" s="4"/>
    </row>
    <row r="79" spans="1:11" ht="18.75" customHeight="1" x14ac:dyDescent="0.2">
      <c r="A79" s="1" t="s">
        <v>11</v>
      </c>
      <c r="B79" s="1" t="s">
        <v>38</v>
      </c>
    </row>
    <row r="80" spans="1:11" ht="18.75" customHeight="1" x14ac:dyDescent="0.2">
      <c r="A80" s="1"/>
      <c r="B80" s="212" t="s">
        <v>178</v>
      </c>
      <c r="C80" s="213"/>
      <c r="D80" s="213"/>
      <c r="E80" s="213"/>
      <c r="F80" s="213"/>
      <c r="G80" s="213"/>
      <c r="H80" s="213"/>
      <c r="I80" s="221"/>
      <c r="J80" s="90">
        <f>LEN(B80)</f>
        <v>132</v>
      </c>
      <c r="K80" s="1">
        <v>400</v>
      </c>
    </row>
    <row r="81" spans="1:11" ht="18.75" customHeight="1" x14ac:dyDescent="0.2">
      <c r="A81" s="1"/>
      <c r="B81" s="222"/>
      <c r="C81" s="223"/>
      <c r="D81" s="223"/>
      <c r="E81" s="223"/>
      <c r="F81" s="223"/>
      <c r="G81" s="223"/>
      <c r="H81" s="223"/>
      <c r="I81" s="224"/>
    </row>
    <row r="82" spans="1:11" ht="18.75" customHeight="1" x14ac:dyDescent="0.2">
      <c r="A82" s="1"/>
      <c r="B82" s="222"/>
      <c r="C82" s="223"/>
      <c r="D82" s="223"/>
      <c r="E82" s="223"/>
      <c r="F82" s="223"/>
      <c r="G82" s="223"/>
      <c r="H82" s="223"/>
      <c r="I82" s="224"/>
    </row>
    <row r="83" spans="1:11" ht="18.75" customHeight="1" x14ac:dyDescent="0.2">
      <c r="A83" s="1"/>
      <c r="B83" s="222"/>
      <c r="C83" s="223"/>
      <c r="D83" s="223"/>
      <c r="E83" s="223"/>
      <c r="F83" s="223"/>
      <c r="G83" s="223"/>
      <c r="H83" s="223"/>
      <c r="I83" s="224"/>
    </row>
    <row r="84" spans="1:11" ht="18.75" customHeight="1" x14ac:dyDescent="0.2">
      <c r="A84" s="1"/>
      <c r="B84" s="222"/>
      <c r="C84" s="223"/>
      <c r="D84" s="223"/>
      <c r="E84" s="223"/>
      <c r="F84" s="223"/>
      <c r="G84" s="223"/>
      <c r="H84" s="223"/>
      <c r="I84" s="224"/>
    </row>
    <row r="85" spans="1:11" ht="18.75" customHeight="1" x14ac:dyDescent="0.2">
      <c r="A85" s="1"/>
      <c r="B85" s="222"/>
      <c r="C85" s="223"/>
      <c r="D85" s="223"/>
      <c r="E85" s="223"/>
      <c r="F85" s="223"/>
      <c r="G85" s="223"/>
      <c r="H85" s="223"/>
      <c r="I85" s="224"/>
    </row>
    <row r="86" spans="1:11" ht="18.75" customHeight="1" x14ac:dyDescent="0.2">
      <c r="A86" s="1"/>
      <c r="B86" s="222"/>
      <c r="C86" s="223"/>
      <c r="D86" s="223"/>
      <c r="E86" s="223"/>
      <c r="F86" s="223"/>
      <c r="G86" s="223"/>
      <c r="H86" s="223"/>
      <c r="I86" s="224"/>
    </row>
    <row r="87" spans="1:11" ht="18.75" customHeight="1" x14ac:dyDescent="0.2">
      <c r="A87" s="1"/>
      <c r="B87" s="222"/>
      <c r="C87" s="223"/>
      <c r="D87" s="223"/>
      <c r="E87" s="223"/>
      <c r="F87" s="223"/>
      <c r="G87" s="223"/>
      <c r="H87" s="223"/>
      <c r="I87" s="224"/>
    </row>
    <row r="88" spans="1:11" ht="18.75" customHeight="1" x14ac:dyDescent="0.2">
      <c r="A88" s="1"/>
      <c r="B88" s="222"/>
      <c r="C88" s="223"/>
      <c r="D88" s="223"/>
      <c r="E88" s="223"/>
      <c r="F88" s="223"/>
      <c r="G88" s="223"/>
      <c r="H88" s="223"/>
      <c r="I88" s="224"/>
    </row>
    <row r="89" spans="1:11" ht="18.75" customHeight="1" x14ac:dyDescent="0.2">
      <c r="A89" s="1"/>
      <c r="B89" s="222"/>
      <c r="C89" s="223"/>
      <c r="D89" s="223"/>
      <c r="E89" s="223"/>
      <c r="F89" s="223"/>
      <c r="G89" s="223"/>
      <c r="H89" s="223"/>
      <c r="I89" s="224"/>
    </row>
    <row r="90" spans="1:11" ht="18.75" customHeight="1" x14ac:dyDescent="0.2">
      <c r="A90" s="4"/>
      <c r="B90" s="222"/>
      <c r="C90" s="223"/>
      <c r="D90" s="223"/>
      <c r="E90" s="223"/>
      <c r="F90" s="223"/>
      <c r="G90" s="223"/>
      <c r="H90" s="223"/>
      <c r="I90" s="224"/>
    </row>
    <row r="91" spans="1:11" ht="18.75" customHeight="1" x14ac:dyDescent="0.2">
      <c r="A91" s="4"/>
      <c r="B91" s="225"/>
      <c r="C91" s="226"/>
      <c r="D91" s="226"/>
      <c r="E91" s="226"/>
      <c r="F91" s="226"/>
      <c r="G91" s="226"/>
      <c r="H91" s="226"/>
      <c r="I91" s="227"/>
    </row>
    <row r="92" spans="1:11" ht="7.5" customHeight="1" x14ac:dyDescent="0.2">
      <c r="A92" s="4"/>
      <c r="B92" s="4"/>
      <c r="C92" s="4"/>
      <c r="D92" s="4"/>
      <c r="E92" s="4"/>
      <c r="F92" s="4"/>
      <c r="G92" s="4"/>
      <c r="H92" s="4"/>
      <c r="I92" s="4"/>
    </row>
    <row r="93" spans="1:11" ht="18.75" customHeight="1" x14ac:dyDescent="0.2">
      <c r="A93" s="1" t="s">
        <v>41</v>
      </c>
      <c r="B93" s="1" t="s">
        <v>12</v>
      </c>
    </row>
    <row r="94" spans="1:11" ht="18.75" customHeight="1" x14ac:dyDescent="0.2">
      <c r="A94" s="1"/>
      <c r="B94" s="190" t="s">
        <v>179</v>
      </c>
      <c r="C94" s="191"/>
      <c r="D94" s="191"/>
      <c r="E94" s="191"/>
      <c r="F94" s="191"/>
      <c r="G94" s="191"/>
      <c r="H94" s="191"/>
      <c r="I94" s="192"/>
      <c r="J94" s="90">
        <f>LEN(B94)</f>
        <v>166</v>
      </c>
      <c r="K94" s="1">
        <v>400</v>
      </c>
    </row>
    <row r="95" spans="1:11" ht="18.75" customHeight="1" x14ac:dyDescent="0.2">
      <c r="A95" s="1"/>
      <c r="B95" s="196"/>
      <c r="C95" s="197"/>
      <c r="D95" s="197"/>
      <c r="E95" s="197"/>
      <c r="F95" s="197"/>
      <c r="G95" s="197"/>
      <c r="H95" s="197"/>
      <c r="I95" s="195"/>
    </row>
    <row r="96" spans="1:11" ht="18.75" customHeight="1" x14ac:dyDescent="0.2">
      <c r="A96" s="1"/>
      <c r="B96" s="196"/>
      <c r="C96" s="197"/>
      <c r="D96" s="197"/>
      <c r="E96" s="197"/>
      <c r="F96" s="197"/>
      <c r="G96" s="197"/>
      <c r="H96" s="197"/>
      <c r="I96" s="195"/>
    </row>
    <row r="97" spans="1:11" ht="18.75" customHeight="1" x14ac:dyDescent="0.2">
      <c r="A97" s="1"/>
      <c r="B97" s="196"/>
      <c r="C97" s="197"/>
      <c r="D97" s="197"/>
      <c r="E97" s="197"/>
      <c r="F97" s="197"/>
      <c r="G97" s="197"/>
      <c r="H97" s="197"/>
      <c r="I97" s="195"/>
    </row>
    <row r="98" spans="1:11" ht="18.75" customHeight="1" x14ac:dyDescent="0.2">
      <c r="A98" s="1"/>
      <c r="B98" s="196"/>
      <c r="C98" s="197"/>
      <c r="D98" s="197"/>
      <c r="E98" s="197"/>
      <c r="F98" s="197"/>
      <c r="G98" s="197"/>
      <c r="H98" s="197"/>
      <c r="I98" s="195"/>
    </row>
    <row r="99" spans="1:11" ht="18.75" customHeight="1" x14ac:dyDescent="0.2">
      <c r="A99" s="1"/>
      <c r="B99" s="196"/>
      <c r="C99" s="197"/>
      <c r="D99" s="197"/>
      <c r="E99" s="197"/>
      <c r="F99" s="197"/>
      <c r="G99" s="197"/>
      <c r="H99" s="197"/>
      <c r="I99" s="195"/>
    </row>
    <row r="100" spans="1:11" ht="18.75" customHeight="1" x14ac:dyDescent="0.2">
      <c r="A100" s="1"/>
      <c r="B100" s="196"/>
      <c r="C100" s="197"/>
      <c r="D100" s="197"/>
      <c r="E100" s="197"/>
      <c r="F100" s="197"/>
      <c r="G100" s="197"/>
      <c r="H100" s="197"/>
      <c r="I100" s="195"/>
    </row>
    <row r="101" spans="1:11" ht="18.75" customHeight="1" x14ac:dyDescent="0.2">
      <c r="A101" s="1"/>
      <c r="B101" s="196"/>
      <c r="C101" s="197"/>
      <c r="D101" s="197"/>
      <c r="E101" s="197"/>
      <c r="F101" s="197"/>
      <c r="G101" s="197"/>
      <c r="H101" s="197"/>
      <c r="I101" s="195"/>
    </row>
    <row r="102" spans="1:11" ht="18.75" customHeight="1" x14ac:dyDescent="0.2">
      <c r="A102" s="1"/>
      <c r="B102" s="196"/>
      <c r="C102" s="197"/>
      <c r="D102" s="197"/>
      <c r="E102" s="197"/>
      <c r="F102" s="197"/>
      <c r="G102" s="197"/>
      <c r="H102" s="197"/>
      <c r="I102" s="195"/>
    </row>
    <row r="103" spans="1:11" ht="18.75" customHeight="1" x14ac:dyDescent="0.2">
      <c r="A103" s="1"/>
      <c r="B103" s="196"/>
      <c r="C103" s="197"/>
      <c r="D103" s="197"/>
      <c r="E103" s="197"/>
      <c r="F103" s="197"/>
      <c r="G103" s="197"/>
      <c r="H103" s="197"/>
      <c r="I103" s="195"/>
    </row>
    <row r="104" spans="1:11" ht="18.75" customHeight="1" x14ac:dyDescent="0.2">
      <c r="A104" s="1"/>
      <c r="B104" s="196"/>
      <c r="C104" s="197"/>
      <c r="D104" s="197"/>
      <c r="E104" s="197"/>
      <c r="F104" s="197"/>
      <c r="G104" s="197"/>
      <c r="H104" s="197"/>
      <c r="I104" s="195"/>
    </row>
    <row r="105" spans="1:11" ht="18.75" customHeight="1" x14ac:dyDescent="0.2">
      <c r="A105" s="4"/>
      <c r="B105" s="198"/>
      <c r="C105" s="199"/>
      <c r="D105" s="199"/>
      <c r="E105" s="199"/>
      <c r="F105" s="199"/>
      <c r="G105" s="199"/>
      <c r="H105" s="199"/>
      <c r="I105" s="200"/>
    </row>
    <row r="106" spans="1:11" ht="7.5" customHeight="1" x14ac:dyDescent="0.2">
      <c r="A106" s="4"/>
      <c r="B106" s="4"/>
      <c r="C106" s="4"/>
      <c r="D106" s="4"/>
      <c r="E106" s="4"/>
      <c r="F106" s="4"/>
      <c r="G106" s="4"/>
      <c r="H106" s="4"/>
      <c r="I106" s="4"/>
    </row>
    <row r="107" spans="1:11" ht="18.75" customHeight="1" x14ac:dyDescent="0.2">
      <c r="A107" s="1" t="s">
        <v>29</v>
      </c>
      <c r="B107" s="207" t="s">
        <v>43</v>
      </c>
      <c r="C107" s="207"/>
      <c r="D107" s="207"/>
      <c r="E107" s="207"/>
      <c r="F107" s="207"/>
      <c r="G107" s="207"/>
      <c r="H107" s="207"/>
      <c r="I107" s="207"/>
    </row>
    <row r="108" spans="1:11" ht="18.75" customHeight="1" x14ac:dyDescent="0.2">
      <c r="A108" s="4"/>
      <c r="B108" s="190" t="s">
        <v>180</v>
      </c>
      <c r="C108" s="191"/>
      <c r="D108" s="191"/>
      <c r="E108" s="191"/>
      <c r="F108" s="191"/>
      <c r="G108" s="191"/>
      <c r="H108" s="191"/>
      <c r="I108" s="192"/>
      <c r="J108" s="90">
        <f>LEN(B108)</f>
        <v>126</v>
      </c>
      <c r="K108" s="1">
        <v>400</v>
      </c>
    </row>
    <row r="109" spans="1:11" ht="18.75" customHeight="1" x14ac:dyDescent="0.2">
      <c r="A109" s="4"/>
      <c r="B109" s="196"/>
      <c r="C109" s="197"/>
      <c r="D109" s="197"/>
      <c r="E109" s="197"/>
      <c r="F109" s="197"/>
      <c r="G109" s="197"/>
      <c r="H109" s="197"/>
      <c r="I109" s="195"/>
    </row>
    <row r="110" spans="1:11" ht="18.75" customHeight="1" x14ac:dyDescent="0.2">
      <c r="A110" s="4"/>
      <c r="B110" s="196"/>
      <c r="C110" s="197"/>
      <c r="D110" s="197"/>
      <c r="E110" s="197"/>
      <c r="F110" s="197"/>
      <c r="G110" s="197"/>
      <c r="H110" s="197"/>
      <c r="I110" s="195"/>
    </row>
    <row r="111" spans="1:11" ht="18.75" customHeight="1" x14ac:dyDescent="0.2">
      <c r="A111" s="4"/>
      <c r="B111" s="196"/>
      <c r="C111" s="197"/>
      <c r="D111" s="197"/>
      <c r="E111" s="197"/>
      <c r="F111" s="197"/>
      <c r="G111" s="197"/>
      <c r="H111" s="197"/>
      <c r="I111" s="195"/>
    </row>
    <row r="112" spans="1:11" ht="18.75" customHeight="1" x14ac:dyDescent="0.2">
      <c r="A112" s="4"/>
      <c r="B112" s="196"/>
      <c r="C112" s="197"/>
      <c r="D112" s="197"/>
      <c r="E112" s="197"/>
      <c r="F112" s="197"/>
      <c r="G112" s="197"/>
      <c r="H112" s="197"/>
      <c r="I112" s="195"/>
    </row>
    <row r="113" spans="1:9" ht="18.75" customHeight="1" x14ac:dyDescent="0.2">
      <c r="A113" s="4"/>
      <c r="B113" s="196"/>
      <c r="C113" s="197"/>
      <c r="D113" s="197"/>
      <c r="E113" s="197"/>
      <c r="F113" s="197"/>
      <c r="G113" s="197"/>
      <c r="H113" s="197"/>
      <c r="I113" s="195"/>
    </row>
    <row r="114" spans="1:9" ht="18.75" customHeight="1" x14ac:dyDescent="0.2">
      <c r="A114" s="4"/>
      <c r="B114" s="196"/>
      <c r="C114" s="197"/>
      <c r="D114" s="197"/>
      <c r="E114" s="197"/>
      <c r="F114" s="197"/>
      <c r="G114" s="197"/>
      <c r="H114" s="197"/>
      <c r="I114" s="195"/>
    </row>
    <row r="115" spans="1:9" ht="18.75" customHeight="1" x14ac:dyDescent="0.2">
      <c r="A115" s="4"/>
      <c r="B115" s="196"/>
      <c r="C115" s="197"/>
      <c r="D115" s="197"/>
      <c r="E115" s="197"/>
      <c r="F115" s="197"/>
      <c r="G115" s="197"/>
      <c r="H115" s="197"/>
      <c r="I115" s="195"/>
    </row>
    <row r="116" spans="1:9" ht="18.75" customHeight="1" x14ac:dyDescent="0.2">
      <c r="A116" s="4"/>
      <c r="B116" s="196"/>
      <c r="C116" s="197"/>
      <c r="D116" s="197"/>
      <c r="E116" s="197"/>
      <c r="F116" s="197"/>
      <c r="G116" s="197"/>
      <c r="H116" s="197"/>
      <c r="I116" s="195"/>
    </row>
    <row r="117" spans="1:9" ht="18.75" customHeight="1" x14ac:dyDescent="0.2">
      <c r="A117" s="4"/>
      <c r="B117" s="196"/>
      <c r="C117" s="197"/>
      <c r="D117" s="197"/>
      <c r="E117" s="197"/>
      <c r="F117" s="197"/>
      <c r="G117" s="197"/>
      <c r="H117" s="197"/>
      <c r="I117" s="195"/>
    </row>
    <row r="118" spans="1:9" ht="18.75" customHeight="1" x14ac:dyDescent="0.2">
      <c r="A118" s="4"/>
      <c r="B118" s="196"/>
      <c r="C118" s="197"/>
      <c r="D118" s="197"/>
      <c r="E118" s="197"/>
      <c r="F118" s="197"/>
      <c r="G118" s="197"/>
      <c r="H118" s="197"/>
      <c r="I118" s="195"/>
    </row>
    <row r="119" spans="1:9" ht="18.75" customHeight="1" x14ac:dyDescent="0.2">
      <c r="A119" s="4"/>
      <c r="B119" s="198"/>
      <c r="C119" s="199"/>
      <c r="D119" s="199"/>
      <c r="E119" s="199"/>
      <c r="F119" s="199"/>
      <c r="G119" s="199"/>
      <c r="H119" s="199"/>
      <c r="I119" s="200"/>
    </row>
    <row r="120" spans="1:9" ht="7.5" customHeight="1" x14ac:dyDescent="0.2">
      <c r="A120" s="4"/>
      <c r="B120" s="25"/>
      <c r="C120" s="25"/>
      <c r="D120" s="25"/>
      <c r="E120" s="25"/>
      <c r="F120" s="25"/>
      <c r="G120" s="25"/>
      <c r="H120" s="25"/>
      <c r="I120" s="25"/>
    </row>
    <row r="121" spans="1:9" ht="18.75" customHeight="1" x14ac:dyDescent="0.2">
      <c r="A121" s="51"/>
      <c r="B121" s="186"/>
      <c r="C121" s="186"/>
      <c r="D121" s="186"/>
      <c r="E121" s="186"/>
      <c r="F121" s="186"/>
      <c r="G121" s="186"/>
      <c r="H121" s="186"/>
      <c r="I121" s="186"/>
    </row>
    <row r="122" spans="1:9" ht="18.75" customHeight="1" x14ac:dyDescent="0.2">
      <c r="A122" s="51"/>
      <c r="B122" s="186"/>
      <c r="C122" s="186"/>
      <c r="D122" s="186"/>
      <c r="E122" s="186"/>
      <c r="F122" s="186"/>
      <c r="G122" s="186"/>
      <c r="H122" s="186"/>
      <c r="I122" s="186"/>
    </row>
    <row r="123" spans="1:9" ht="18.75" customHeight="1" x14ac:dyDescent="0.2">
      <c r="A123" s="4"/>
      <c r="B123" s="52"/>
      <c r="C123" s="52"/>
      <c r="D123" s="52"/>
      <c r="E123" s="52"/>
      <c r="F123" s="52"/>
      <c r="G123" s="52"/>
      <c r="H123" s="52"/>
      <c r="I123" s="53"/>
    </row>
    <row r="124" spans="1:9" ht="18.75" customHeight="1" x14ac:dyDescent="0.2">
      <c r="A124" s="4"/>
      <c r="B124" s="53"/>
      <c r="C124" s="53"/>
      <c r="D124" s="53"/>
      <c r="E124" s="53"/>
      <c r="F124" s="53"/>
      <c r="G124" s="53"/>
      <c r="H124" s="53"/>
      <c r="I124" s="53"/>
    </row>
    <row r="125" spans="1:9" ht="18.75" customHeight="1" x14ac:dyDescent="0.2">
      <c r="A125" s="4"/>
      <c r="B125" s="53"/>
      <c r="C125" s="53"/>
      <c r="D125" s="53"/>
      <c r="E125" s="53"/>
      <c r="F125" s="53"/>
      <c r="G125" s="53"/>
      <c r="H125" s="53"/>
      <c r="I125" s="53"/>
    </row>
    <row r="126" spans="1:9" ht="18.75" customHeight="1" x14ac:dyDescent="0.2">
      <c r="A126" s="4"/>
      <c r="B126" s="53"/>
      <c r="C126" s="53"/>
      <c r="D126" s="53"/>
      <c r="E126" s="53"/>
      <c r="F126" s="53"/>
      <c r="G126" s="53"/>
      <c r="H126" s="53"/>
      <c r="I126" s="53"/>
    </row>
    <row r="127" spans="1:9" ht="18.75" customHeight="1" x14ac:dyDescent="0.2">
      <c r="A127" s="4"/>
      <c r="B127" s="53"/>
      <c r="C127" s="53"/>
      <c r="D127" s="53"/>
      <c r="E127" s="53"/>
      <c r="F127" s="53"/>
      <c r="G127" s="53"/>
      <c r="H127" s="53"/>
      <c r="I127" s="53"/>
    </row>
    <row r="128" spans="1:9" ht="18.75" customHeight="1" x14ac:dyDescent="0.2">
      <c r="A128" s="4"/>
      <c r="B128" s="53"/>
      <c r="C128" s="53"/>
      <c r="D128" s="53"/>
      <c r="E128" s="53"/>
      <c r="F128" s="53"/>
      <c r="G128" s="53"/>
      <c r="H128" s="53"/>
      <c r="I128" s="53"/>
    </row>
    <row r="129" spans="1:9" ht="18.75" customHeight="1" x14ac:dyDescent="0.2">
      <c r="A129" s="4"/>
      <c r="B129" s="53"/>
      <c r="C129" s="53"/>
      <c r="D129" s="53"/>
      <c r="E129" s="53"/>
      <c r="F129" s="53"/>
      <c r="G129" s="53"/>
      <c r="H129" s="53"/>
      <c r="I129" s="53"/>
    </row>
    <row r="130" spans="1:9" ht="18.75" customHeight="1" x14ac:dyDescent="0.2">
      <c r="A130" s="4"/>
      <c r="B130" s="53"/>
      <c r="C130" s="53"/>
      <c r="D130" s="53"/>
      <c r="E130" s="53"/>
      <c r="F130" s="53"/>
      <c r="G130" s="53"/>
      <c r="H130" s="53"/>
      <c r="I130" s="53"/>
    </row>
    <row r="131" spans="1:9" ht="18.75" customHeight="1" x14ac:dyDescent="0.2">
      <c r="A131" s="4"/>
      <c r="B131" s="53"/>
      <c r="C131" s="53"/>
      <c r="D131" s="53"/>
      <c r="E131" s="53"/>
      <c r="F131" s="53"/>
      <c r="G131" s="53"/>
      <c r="H131" s="53"/>
      <c r="I131" s="53"/>
    </row>
    <row r="132" spans="1:9" ht="18.75" customHeight="1" x14ac:dyDescent="0.2">
      <c r="A132" s="4"/>
      <c r="B132" s="53"/>
      <c r="C132" s="53"/>
      <c r="D132" s="53"/>
      <c r="E132" s="53"/>
      <c r="F132" s="53"/>
      <c r="G132" s="53"/>
      <c r="H132" s="53"/>
      <c r="I132" s="53"/>
    </row>
    <row r="133" spans="1:9" ht="14.4" x14ac:dyDescent="0.2">
      <c r="A133" s="4"/>
      <c r="B133" s="53"/>
      <c r="C133" s="53"/>
      <c r="D133" s="53"/>
      <c r="E133" s="53"/>
      <c r="F133" s="53"/>
      <c r="G133" s="53"/>
      <c r="H133" s="53"/>
      <c r="I133" s="53"/>
    </row>
    <row r="134" spans="1:9" ht="7.5" customHeight="1" x14ac:dyDescent="0.2">
      <c r="A134" s="4"/>
      <c r="B134" s="53"/>
      <c r="C134" s="53"/>
      <c r="D134" s="53"/>
      <c r="E134" s="53"/>
      <c r="F134" s="53"/>
      <c r="G134" s="53"/>
      <c r="H134" s="53"/>
      <c r="I134" s="53"/>
    </row>
  </sheetData>
  <mergeCells count="23">
    <mergeCell ref="F50:G50"/>
    <mergeCell ref="B66:I77"/>
    <mergeCell ref="B80:I91"/>
    <mergeCell ref="C49:D49"/>
    <mergeCell ref="C50:D50"/>
    <mergeCell ref="F49:G49"/>
    <mergeCell ref="B52:I63"/>
    <mergeCell ref="B121:I122"/>
    <mergeCell ref="H2:I2"/>
    <mergeCell ref="A4:I4"/>
    <mergeCell ref="B19:I19"/>
    <mergeCell ref="B22:I32"/>
    <mergeCell ref="B35:I46"/>
    <mergeCell ref="B14:I14"/>
    <mergeCell ref="C16:E16"/>
    <mergeCell ref="H16:I16"/>
    <mergeCell ref="C11:E11"/>
    <mergeCell ref="H11:I11"/>
    <mergeCell ref="C6:D6"/>
    <mergeCell ref="B94:I105"/>
    <mergeCell ref="B107:I107"/>
    <mergeCell ref="B108:I119"/>
    <mergeCell ref="B51:I51"/>
  </mergeCells>
  <phoneticPr fontId="1"/>
  <printOptions horizontalCentered="1"/>
  <pageMargins left="0.59055118110236227" right="0.59055118110236227" top="0.78740157480314965" bottom="0.39370078740157483" header="0.31496062992125984" footer="0.19685039370078741"/>
  <pageSetup paperSize="9" fitToHeight="0" orientation="portrait" r:id="rId1"/>
  <headerFooter>
    <oddHeader>&amp;C数理・データサイエンス・AI教育プログラム認定制度【リテラシーレベル】</oddHeader>
  </headerFooter>
  <rowBreaks count="2" manualBreakCount="2">
    <brk id="47" max="8" man="1"/>
    <brk id="92" max="8"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D52A5A-34E0-4F6E-8C0D-898E40E9B28D}">
  <sheetPr>
    <pageSetUpPr fitToPage="1"/>
  </sheetPr>
  <dimension ref="A1:L30"/>
  <sheetViews>
    <sheetView showZeros="0" view="pageBreakPreview" topLeftCell="A10" zoomScale="75" zoomScaleNormal="100" zoomScaleSheetLayoutView="75" workbookViewId="0">
      <selection activeCell="E14" sqref="E14:I14"/>
    </sheetView>
  </sheetViews>
  <sheetFormatPr defaultColWidth="11.33203125" defaultRowHeight="22.5" customHeight="1" x14ac:dyDescent="0.2"/>
  <cols>
    <col min="1" max="3" width="2.77734375" style="1" customWidth="1"/>
    <col min="4" max="4" width="22.21875" style="1" customWidth="1"/>
    <col min="5" max="5" width="30.77734375" style="1" customWidth="1"/>
    <col min="6" max="7" width="7.77734375" style="1" customWidth="1"/>
    <col min="8" max="9" width="30.77734375" style="1" customWidth="1"/>
    <col min="10" max="10" width="4.109375" style="1" customWidth="1"/>
    <col min="11" max="16384" width="11.33203125" style="1"/>
  </cols>
  <sheetData>
    <row r="1" spans="1:12" ht="18.75" customHeight="1" x14ac:dyDescent="0.2">
      <c r="A1" s="1" t="s">
        <v>62</v>
      </c>
      <c r="I1" s="18" t="s">
        <v>89</v>
      </c>
    </row>
    <row r="2" spans="1:12" ht="18.75" customHeight="1" x14ac:dyDescent="0.2">
      <c r="H2" s="18" t="s">
        <v>92</v>
      </c>
      <c r="I2" s="17" t="str">
        <f>'様式１－２　プログラムを構成する授業科目'!C2</f>
        <v>酪農学園大学</v>
      </c>
    </row>
    <row r="3" spans="1:12" ht="18.75" customHeight="1" x14ac:dyDescent="0.2">
      <c r="A3" s="100" t="s">
        <v>27</v>
      </c>
      <c r="B3" s="100"/>
      <c r="C3" s="100"/>
      <c r="D3" s="100"/>
      <c r="E3" s="100"/>
      <c r="F3" s="100"/>
      <c r="G3" s="100"/>
      <c r="H3" s="100"/>
      <c r="I3" s="100"/>
    </row>
    <row r="4" spans="1:12" ht="18.75" customHeight="1" x14ac:dyDescent="0.2">
      <c r="A4" s="5"/>
      <c r="B4" s="5"/>
      <c r="C4" s="5"/>
      <c r="D4" s="5"/>
      <c r="E4" s="5"/>
      <c r="F4" s="5"/>
      <c r="G4" s="5"/>
      <c r="H4" s="5"/>
      <c r="I4" s="5"/>
    </row>
    <row r="5" spans="1:12" ht="18.75" customHeight="1" x14ac:dyDescent="0.2">
      <c r="A5" s="1" t="s">
        <v>0</v>
      </c>
      <c r="B5" s="10" t="s">
        <v>84</v>
      </c>
      <c r="C5" s="5"/>
      <c r="D5" s="5"/>
      <c r="E5" s="5"/>
      <c r="F5" s="5"/>
      <c r="G5" s="5"/>
      <c r="H5" s="5"/>
      <c r="I5" s="5"/>
    </row>
    <row r="6" spans="1:12" ht="26.25" customHeight="1" x14ac:dyDescent="0.2">
      <c r="A6" s="5"/>
      <c r="B6" s="201" t="s">
        <v>168</v>
      </c>
      <c r="C6" s="245"/>
      <c r="D6" s="245"/>
      <c r="E6" s="245"/>
      <c r="F6" s="245"/>
      <c r="G6" s="245"/>
      <c r="H6" s="246"/>
      <c r="I6" s="3"/>
    </row>
    <row r="7" spans="1:12" ht="9" customHeight="1" x14ac:dyDescent="0.2">
      <c r="A7" s="5"/>
      <c r="B7" s="10"/>
      <c r="C7" s="10"/>
      <c r="D7" s="10"/>
      <c r="E7" s="10"/>
      <c r="F7" s="10"/>
      <c r="G7" s="10"/>
      <c r="H7" s="10"/>
      <c r="I7" s="3"/>
    </row>
    <row r="8" spans="1:12" ht="18.75" customHeight="1" x14ac:dyDescent="0.2">
      <c r="A8" s="5"/>
      <c r="B8" s="3"/>
      <c r="C8" s="3"/>
      <c r="D8" s="18" t="s">
        <v>40</v>
      </c>
      <c r="E8" s="19" t="s">
        <v>163</v>
      </c>
      <c r="F8" s="3"/>
      <c r="G8" s="18" t="s">
        <v>10</v>
      </c>
      <c r="H8" s="19" t="s">
        <v>164</v>
      </c>
      <c r="I8" s="3"/>
    </row>
    <row r="9" spans="1:12" ht="7.5" customHeight="1" x14ac:dyDescent="0.2">
      <c r="A9" s="5"/>
      <c r="B9" s="5"/>
      <c r="C9" s="5"/>
      <c r="D9" s="5"/>
      <c r="E9" s="5"/>
      <c r="F9" s="5"/>
      <c r="G9" s="5"/>
      <c r="H9" s="5"/>
      <c r="I9" s="5"/>
    </row>
    <row r="10" spans="1:12" ht="18.75" customHeight="1" x14ac:dyDescent="0.2">
      <c r="A10" s="1" t="s">
        <v>3</v>
      </c>
      <c r="B10" s="1" t="s">
        <v>26</v>
      </c>
      <c r="C10" s="4"/>
      <c r="D10" s="4"/>
      <c r="E10" s="4"/>
      <c r="F10" s="4"/>
      <c r="G10" s="4"/>
      <c r="H10" s="4"/>
      <c r="I10" s="4"/>
    </row>
    <row r="11" spans="1:12" ht="18.75" customHeight="1" x14ac:dyDescent="0.2">
      <c r="B11" s="94" t="s">
        <v>23</v>
      </c>
      <c r="C11" s="95"/>
      <c r="D11" s="96"/>
      <c r="E11" s="95" t="s">
        <v>25</v>
      </c>
      <c r="F11" s="95"/>
      <c r="G11" s="95"/>
      <c r="H11" s="95"/>
      <c r="I11" s="96"/>
    </row>
    <row r="12" spans="1:12" ht="26.25" customHeight="1" x14ac:dyDescent="0.2">
      <c r="B12" s="26" t="s">
        <v>13</v>
      </c>
      <c r="C12" s="33"/>
      <c r="D12" s="27"/>
      <c r="E12" s="34"/>
      <c r="F12" s="34"/>
      <c r="G12" s="34"/>
      <c r="H12" s="34"/>
      <c r="I12" s="27"/>
    </row>
    <row r="13" spans="1:12" ht="210.75" customHeight="1" x14ac:dyDescent="0.2">
      <c r="B13" s="28"/>
      <c r="C13" s="243" t="s">
        <v>14</v>
      </c>
      <c r="D13" s="244"/>
      <c r="E13" s="240" t="s">
        <v>191</v>
      </c>
      <c r="F13" s="241"/>
      <c r="G13" s="241"/>
      <c r="H13" s="241"/>
      <c r="I13" s="242"/>
      <c r="K13" s="91">
        <f>LEN(E13)</f>
        <v>280</v>
      </c>
      <c r="L13" s="1">
        <v>300</v>
      </c>
    </row>
    <row r="14" spans="1:12" ht="210.75" customHeight="1" x14ac:dyDescent="0.2">
      <c r="B14" s="28"/>
      <c r="C14" s="238" t="s">
        <v>15</v>
      </c>
      <c r="D14" s="239"/>
      <c r="E14" s="240" t="s">
        <v>190</v>
      </c>
      <c r="F14" s="241"/>
      <c r="G14" s="241"/>
      <c r="H14" s="241"/>
      <c r="I14" s="242"/>
      <c r="K14" s="91">
        <f>LEN(E14)</f>
        <v>275</v>
      </c>
      <c r="L14" s="1">
        <v>300</v>
      </c>
    </row>
    <row r="15" spans="1:12" ht="210.75" customHeight="1" x14ac:dyDescent="0.2">
      <c r="B15" s="28"/>
      <c r="C15" s="243" t="s">
        <v>16</v>
      </c>
      <c r="D15" s="244"/>
      <c r="E15" s="240" t="s">
        <v>183</v>
      </c>
      <c r="F15" s="241"/>
      <c r="G15" s="241"/>
      <c r="H15" s="241"/>
      <c r="I15" s="242"/>
      <c r="K15" s="91">
        <f>LEN(E15)</f>
        <v>217</v>
      </c>
      <c r="L15" s="1">
        <v>300</v>
      </c>
    </row>
    <row r="16" spans="1:12" ht="210.75" customHeight="1" x14ac:dyDescent="0.2">
      <c r="B16" s="28"/>
      <c r="C16" s="243" t="s">
        <v>17</v>
      </c>
      <c r="D16" s="244"/>
      <c r="E16" s="240" t="s">
        <v>188</v>
      </c>
      <c r="F16" s="241"/>
      <c r="G16" s="241"/>
      <c r="H16" s="241"/>
      <c r="I16" s="242"/>
      <c r="K16" s="91">
        <f t="shared" ref="K16:K22" si="0">LEN(E16)</f>
        <v>108</v>
      </c>
      <c r="L16" s="1">
        <v>300</v>
      </c>
    </row>
    <row r="17" spans="2:12" ht="210.75" customHeight="1" x14ac:dyDescent="0.2">
      <c r="B17" s="29"/>
      <c r="C17" s="247" t="s">
        <v>18</v>
      </c>
      <c r="D17" s="248"/>
      <c r="E17" s="249" t="s">
        <v>189</v>
      </c>
      <c r="F17" s="250"/>
      <c r="G17" s="250"/>
      <c r="H17" s="250"/>
      <c r="I17" s="251"/>
      <c r="K17" s="91">
        <f t="shared" si="0"/>
        <v>225</v>
      </c>
      <c r="L17" s="1">
        <v>300</v>
      </c>
    </row>
    <row r="18" spans="2:12" ht="24" customHeight="1" x14ac:dyDescent="0.2">
      <c r="B18" s="26" t="s">
        <v>19</v>
      </c>
      <c r="C18" s="30"/>
      <c r="D18" s="31"/>
      <c r="E18" s="32"/>
      <c r="F18" s="32"/>
      <c r="G18" s="32"/>
      <c r="H18" s="32"/>
      <c r="I18" s="35"/>
    </row>
    <row r="19" spans="2:12" ht="218.25" customHeight="1" x14ac:dyDescent="0.2">
      <c r="B19" s="28"/>
      <c r="C19" s="243" t="s">
        <v>20</v>
      </c>
      <c r="D19" s="244"/>
      <c r="E19" s="241" t="s">
        <v>182</v>
      </c>
      <c r="F19" s="241"/>
      <c r="G19" s="241"/>
      <c r="H19" s="241"/>
      <c r="I19" s="242"/>
      <c r="K19" s="92">
        <f t="shared" si="0"/>
        <v>177</v>
      </c>
      <c r="L19" s="1">
        <v>300</v>
      </c>
    </row>
    <row r="20" spans="2:12" ht="218.25" customHeight="1" x14ac:dyDescent="0.2">
      <c r="B20" s="29"/>
      <c r="C20" s="247" t="s">
        <v>21</v>
      </c>
      <c r="D20" s="248"/>
      <c r="E20" s="250" t="s">
        <v>181</v>
      </c>
      <c r="F20" s="250"/>
      <c r="G20" s="250"/>
      <c r="H20" s="250"/>
      <c r="I20" s="251"/>
      <c r="K20" s="92">
        <f t="shared" si="0"/>
        <v>115</v>
      </c>
      <c r="L20" s="1">
        <v>300</v>
      </c>
    </row>
    <row r="21" spans="2:12" ht="218.25" customHeight="1" x14ac:dyDescent="0.2">
      <c r="B21" s="255" t="s">
        <v>22</v>
      </c>
      <c r="C21" s="256"/>
      <c r="D21" s="257"/>
      <c r="E21" s="258" t="s">
        <v>186</v>
      </c>
      <c r="F21" s="258"/>
      <c r="G21" s="258"/>
      <c r="H21" s="258"/>
      <c r="I21" s="259"/>
      <c r="K21" s="92">
        <f t="shared" si="0"/>
        <v>151</v>
      </c>
      <c r="L21" s="1">
        <v>300</v>
      </c>
    </row>
    <row r="22" spans="2:12" ht="218.25" customHeight="1" x14ac:dyDescent="0.2">
      <c r="B22" s="252" t="s">
        <v>121</v>
      </c>
      <c r="C22" s="253"/>
      <c r="D22" s="254"/>
      <c r="E22" s="260" t="s">
        <v>187</v>
      </c>
      <c r="F22" s="260"/>
      <c r="G22" s="260"/>
      <c r="H22" s="260"/>
      <c r="I22" s="261"/>
      <c r="K22" s="92">
        <f t="shared" si="0"/>
        <v>163</v>
      </c>
      <c r="L22" s="1">
        <v>300</v>
      </c>
    </row>
    <row r="23" spans="2:12" ht="22.5" customHeight="1" x14ac:dyDescent="0.2">
      <c r="B23" s="4"/>
      <c r="C23" s="4"/>
      <c r="D23" s="4"/>
      <c r="E23" s="4"/>
      <c r="F23" s="4"/>
      <c r="G23" s="4"/>
      <c r="H23" s="4"/>
      <c r="I23" s="4"/>
    </row>
    <row r="24" spans="2:12" ht="22.5" customHeight="1" x14ac:dyDescent="0.2">
      <c r="B24" s="4"/>
      <c r="C24" s="4"/>
      <c r="D24" s="4"/>
      <c r="E24" s="4"/>
      <c r="F24" s="4"/>
      <c r="G24" s="4"/>
      <c r="H24" s="4"/>
      <c r="I24" s="4"/>
    </row>
    <row r="25" spans="2:12" ht="22.5" customHeight="1" x14ac:dyDescent="0.2">
      <c r="B25" s="4"/>
      <c r="C25" s="4"/>
      <c r="D25" s="4"/>
      <c r="E25" s="4"/>
      <c r="F25" s="4"/>
      <c r="G25" s="4"/>
      <c r="H25" s="4"/>
      <c r="I25" s="4"/>
    </row>
    <row r="26" spans="2:12" ht="22.5" customHeight="1" x14ac:dyDescent="0.2">
      <c r="B26" s="4"/>
      <c r="C26" s="4"/>
      <c r="D26" s="4"/>
      <c r="E26" s="4"/>
      <c r="F26" s="4"/>
      <c r="G26" s="4"/>
      <c r="H26" s="4"/>
      <c r="I26" s="4"/>
    </row>
    <row r="27" spans="2:12" ht="22.5" customHeight="1" x14ac:dyDescent="0.2">
      <c r="B27" s="4"/>
      <c r="C27" s="4"/>
      <c r="D27" s="4"/>
      <c r="E27" s="4"/>
      <c r="F27" s="4"/>
      <c r="G27" s="4"/>
      <c r="H27" s="4"/>
      <c r="I27" s="4"/>
    </row>
    <row r="28" spans="2:12" ht="22.5" customHeight="1" x14ac:dyDescent="0.2">
      <c r="B28" s="14"/>
      <c r="C28" s="14"/>
      <c r="D28" s="14"/>
      <c r="E28" s="14"/>
      <c r="F28" s="14"/>
      <c r="G28" s="14"/>
      <c r="H28" s="14"/>
      <c r="I28" s="14"/>
    </row>
    <row r="29" spans="2:12" ht="22.5" customHeight="1" x14ac:dyDescent="0.2">
      <c r="B29" s="14"/>
      <c r="C29" s="14"/>
      <c r="D29" s="14"/>
      <c r="E29" s="14"/>
      <c r="F29" s="14"/>
      <c r="G29" s="14"/>
      <c r="H29" s="14"/>
      <c r="I29" s="14"/>
    </row>
    <row r="30" spans="2:12" ht="22.5" customHeight="1" x14ac:dyDescent="0.2">
      <c r="B30" s="14"/>
      <c r="C30" s="14"/>
      <c r="D30" s="14"/>
      <c r="E30" s="14"/>
      <c r="F30" s="14"/>
      <c r="G30" s="14"/>
      <c r="H30" s="14"/>
      <c r="I30" s="14"/>
    </row>
  </sheetData>
  <mergeCells count="22">
    <mergeCell ref="B22:D22"/>
    <mergeCell ref="E22:I22"/>
    <mergeCell ref="C19:D19"/>
    <mergeCell ref="E19:I19"/>
    <mergeCell ref="C20:D20"/>
    <mergeCell ref="E20:I20"/>
    <mergeCell ref="B21:D21"/>
    <mergeCell ref="E21:I21"/>
    <mergeCell ref="C15:D15"/>
    <mergeCell ref="E15:I15"/>
    <mergeCell ref="C16:D16"/>
    <mergeCell ref="E16:I16"/>
    <mergeCell ref="C17:D17"/>
    <mergeCell ref="E17:I17"/>
    <mergeCell ref="C14:D14"/>
    <mergeCell ref="E14:I14"/>
    <mergeCell ref="A3:I3"/>
    <mergeCell ref="B11:D11"/>
    <mergeCell ref="E11:I11"/>
    <mergeCell ref="C13:D13"/>
    <mergeCell ref="E13:I13"/>
    <mergeCell ref="B6:H6"/>
  </mergeCells>
  <phoneticPr fontId="1"/>
  <printOptions horizontalCentered="1"/>
  <pageMargins left="0.78740157480314965" right="0.78740157480314965" top="0.78740157480314965" bottom="0.59055118110236227" header="0.31496062992125984" footer="0.31496062992125984"/>
  <pageSetup paperSize="9" scale="62" fitToHeight="0" orientation="portrait" r:id="rId1"/>
  <headerFooter>
    <oddHeader>&amp;C数理・データサイエンス・AI教育プログラム認定制度【リテラシーレベル】</oddHeader>
  </headerFooter>
  <rowBreaks count="1" manualBreakCount="1">
    <brk id="17" max="9"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5</vt:i4>
      </vt:variant>
      <vt:variant>
        <vt:lpstr>名前付き一覧</vt:lpstr>
      </vt:variant>
      <vt:variant>
        <vt:i4>6</vt:i4>
      </vt:variant>
    </vt:vector>
  </HeadingPairs>
  <TitlesOfParts>
    <vt:vector size="11" baseType="lpstr">
      <vt:lpstr>様式１－１　プログラムを構成する授業科目</vt:lpstr>
      <vt:lpstr>様式１－２　プログラムを構成する授業科目</vt:lpstr>
      <vt:lpstr>様式２ 履修者等数の実績</vt:lpstr>
      <vt:lpstr>様式３ 教育の質・履修者数を向上させるための体制・計画</vt:lpstr>
      <vt:lpstr>様式４　自己点検・評価</vt:lpstr>
      <vt:lpstr>'様式１－１　プログラムを構成する授業科目'!Print_Area</vt:lpstr>
      <vt:lpstr>'様式１－２　プログラムを構成する授業科目'!Print_Area</vt:lpstr>
      <vt:lpstr>'様式２ 履修者等数の実績'!Print_Area</vt:lpstr>
      <vt:lpstr>'様式３ 教育の質・履修者数を向上させるための体制・計画'!Print_Area</vt:lpstr>
      <vt:lpstr>'様式４　自己点検・評価'!Print_Area</vt:lpstr>
      <vt:lpstr>'様式４　自己点検・評価'!Print_Titles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吉岡　崇</cp:lastModifiedBy>
  <cp:lastPrinted>2025-03-17T01:22:06Z</cp:lastPrinted>
  <dcterms:created xsi:type="dcterms:W3CDTF">2011-06-14T05:32:50Z</dcterms:created>
  <dcterms:modified xsi:type="dcterms:W3CDTF">2025-05-02T06:53:24Z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899a617-f30e-4fb8-b81c-fb6d0b94ac5b_Enabled">
    <vt:lpwstr>true</vt:lpwstr>
  </property>
  <property fmtid="{D5CDD505-2E9C-101B-9397-08002B2CF9AE}" pid="3" name="MSIP_Label_d899a617-f30e-4fb8-b81c-fb6d0b94ac5b_SetDate">
    <vt:lpwstr>2022-02-15T08:32:27Z</vt:lpwstr>
  </property>
  <property fmtid="{D5CDD505-2E9C-101B-9397-08002B2CF9AE}" pid="4" name="MSIP_Label_d899a617-f30e-4fb8-b81c-fb6d0b94ac5b_Method">
    <vt:lpwstr>Standard</vt:lpwstr>
  </property>
  <property fmtid="{D5CDD505-2E9C-101B-9397-08002B2CF9AE}" pid="5" name="MSIP_Label_d899a617-f30e-4fb8-b81c-fb6d0b94ac5b_Name">
    <vt:lpwstr>機密性2情報</vt:lpwstr>
  </property>
  <property fmtid="{D5CDD505-2E9C-101B-9397-08002B2CF9AE}" pid="6" name="MSIP_Label_d899a617-f30e-4fb8-b81c-fb6d0b94ac5b_SiteId">
    <vt:lpwstr>545810b0-36cb-4290-8926-48dbc0f9e92f</vt:lpwstr>
  </property>
  <property fmtid="{D5CDD505-2E9C-101B-9397-08002B2CF9AE}" pid="7" name="MSIP_Label_d899a617-f30e-4fb8-b81c-fb6d0b94ac5b_ActionId">
    <vt:lpwstr>2e617815-3938-4bbf-9581-e4cafc8cacf8</vt:lpwstr>
  </property>
  <property fmtid="{D5CDD505-2E9C-101B-9397-08002B2CF9AE}" pid="8" name="MSIP_Label_d899a617-f30e-4fb8-b81c-fb6d0b94ac5b_ContentBits">
    <vt:lpwstr>0</vt:lpwstr>
  </property>
</Properties>
</file>