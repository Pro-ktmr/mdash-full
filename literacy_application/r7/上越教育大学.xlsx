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fss\jimushare\6.kyosien\2 教務支援\02教育課程\02-16_数理・データサイエンスAI\□_202507■■_申請書再提出\"/>
    </mc:Choice>
  </mc:AlternateContent>
  <xr:revisionPtr revIDLastSave="0" documentId="13_ncr:1_{E698D065-B03A-4BA0-A806-CACD780B1E5A}" xr6:coauthVersionLast="47" xr6:coauthVersionMax="47" xr10:uidLastSave="{00000000-0000-0000-0000-000000000000}"/>
  <bookViews>
    <workbookView xWindow="2868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<sst xmlns="http://schemas.openxmlformats.org/spreadsheetml/2006/main" count="280" uniqueCount="187">
  <si>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</si>
  <si>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</si>
  <si>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</si>
  <si>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</si>
  <si>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</si>
  <si>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</si>
  <si>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</si>
  <si>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</si>
  <si>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</si>
  <si>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</si>
  <si>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</si>
  <si>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</si>
  <si>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</si>
  <si>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</si>
  <si>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</si>
  <si>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</si>
  <si>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</si>
  <si>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</si>
  <si>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</si>
  <si>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</si>
  <si>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</si>
  <si>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</si>
  <si>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</si>
  <si>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</si>
  <si>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</si>
  <si>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</si>
  <si>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</si>
  <si>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</si>
  <si>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</si>
  <si>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</si>
  <si>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</si>
  <si>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</si>
  <si>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</si>
  <si>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</si>
  <si>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</si>
  <si>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</si>
  <si>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</si>
  <si>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</si>
  <si>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</si>
  <si>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</si>
  <si>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</si>
  <si>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</si>
  <si>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</si>
  <si>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</si>
  <si>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</si>
  <si>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</si>
  <si>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</si>
  <si>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</si>
  <si>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</si>
  <si>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</si>
  <si>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</si>
  <si>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</si>
  <si>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</si>
  <si>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</si>
  <si>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</si>
  <si>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</si>
  <si>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</si>
  <si>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</si>
  <si>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</si>
  <si>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</si>
  <si>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</si>
  <si>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</si>
  <si>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</si>
  <si>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</si>
  <si>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</si>
  <si>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</si>
  <si>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</si>
  <si>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</si>
  <si>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</si>
  <si>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</si>
  <si>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</si>
  <si>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</si>
  <si>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</si>
  <si>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</si>
  <si>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</si>
  <si>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</si>
  <si>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</si>
  <si>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</si>
  <si>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</si>
  <si>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</si>
  <si>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</si>
  <si>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</si>
  <si>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</si>
  <si>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</si>
  <si>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</si>
  <si>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</si>
  <si>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</si>
  <si>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</si>
  <si>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</si>
  <si>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</si>
  <si>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</si>
  <si>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</si>
  <si>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</si>
  <si>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</si>
  <si>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</si>
  <si>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</si>
  <si>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</si>
  <si>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</si>
  <si>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</si>
  <si>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</si>
  <si>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</si>
  <si>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</si>
  <si>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</si>
  <si>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</si>
  <si>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</si>
  <si>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</si>
  <si>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</si>
  <si>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</si>
  <si>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</si>
  <si>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</si>
  <si>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</si>
  <si>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</si>
  <si>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</si>
  <si>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</si>
  <si>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</si>
  <si>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</si>
  <si>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</si>
  <si>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</si>
  <si>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</si>
  <si>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</si>
  <si>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</si>
  <si>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</si>
  <si>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</si>
  <si>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</si>
  <si>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</si>
  <si>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</si>
  <si>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</si>
  <si>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</si>
  <si>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</si>
  <si>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</si>
  <si>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</si>
  <si>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</si>
  <si>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</si>
  <si>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</si>
  <si>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</si>
  <si>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</si>
  <si>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</si>
  <si>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</si>
  <si>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</si>
  <si>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</si>
  <si>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</si>
  <si>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</si>
  <si>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</si>
  <si>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上越教育大学</t>
    <rPh sb="0" eb="6">
      <t>ジョウエツキョウイクダイガク</t>
    </rPh>
    <phoneticPr fontId="1"/>
  </si>
  <si>
    <t>数理・データサイエンス・AI教育プログラム（リテラシーレベル）</t>
    <phoneticPr fontId="1"/>
  </si>
  <si>
    <t>学部・学科によって、修了要件は相違しない</t>
  </si>
  <si>
    <t>学部１年次必修科目「教育情報科学概論」の２単位を修得すること。</t>
    <phoneticPr fontId="1"/>
  </si>
  <si>
    <t>教育情報科学概論</t>
    <phoneticPr fontId="1"/>
  </si>
  <si>
    <t>○</t>
  </si>
  <si>
    <t>　将来のデジタル社会において、数理・データサイエンス・AIを日常の生活、学校教育等の場で使いこなすことができる基礎的素養を主体的に身に付ける。そして、学修した数理・データサイエンス・AIに関する知識・技能をもとに、これらを扱う際には、人間中心の適切な判断ができ、不安なく自らの意志でAI等の恩恵を享受し、これらを説明し、活用できるようになる。　</t>
    <phoneticPr fontId="1"/>
  </si>
  <si>
    <t>令和６</t>
    <rPh sb="0" eb="2">
      <t>レイワ</t>
    </rPh>
    <phoneticPr fontId="1"/>
  </si>
  <si>
    <t>学校教育学部・初等教育教員養成課程</t>
    <rPh sb="0" eb="2">
      <t>ガッコウ</t>
    </rPh>
    <rPh sb="2" eb="4">
      <t>キョウイク</t>
    </rPh>
    <rPh sb="4" eb="6">
      <t>ガクブ</t>
    </rPh>
    <rPh sb="7" eb="9">
      <t>ショトウ</t>
    </rPh>
    <rPh sb="9" eb="11">
      <t>キョウイク</t>
    </rPh>
    <rPh sb="11" eb="13">
      <t>キョウイン</t>
    </rPh>
    <rPh sb="13" eb="15">
      <t>ヨウセイ</t>
    </rPh>
    <rPh sb="15" eb="17">
      <t>カテイ</t>
    </rPh>
    <phoneticPr fontId="1"/>
  </si>
  <si>
    <t>志村　　喬</t>
    <rPh sb="0" eb="5">
      <t>シムラ</t>
    </rPh>
    <phoneticPr fontId="1"/>
  </si>
  <si>
    <t>副学長・教務委員会委員長</t>
    <rPh sb="0" eb="3">
      <t>フクガクチョウ</t>
    </rPh>
    <rPh sb="4" eb="6">
      <t>キョウム</t>
    </rPh>
    <rPh sb="6" eb="9">
      <t>イインカイ</t>
    </rPh>
    <rPh sb="9" eb="12">
      <t>イインチョウ</t>
    </rPh>
    <phoneticPr fontId="1"/>
  </si>
  <si>
    <t>上越教育大学教務委員会「情報」運営専門部会</t>
    <rPh sb="0" eb="6">
      <t>ジョウエツキョウイクダイガク</t>
    </rPh>
    <rPh sb="12" eb="14">
      <t>ジョウホウ</t>
    </rPh>
    <rPh sb="15" eb="17">
      <t>ウンエイ</t>
    </rPh>
    <rPh sb="17" eb="19">
      <t>センモン</t>
    </rPh>
    <rPh sb="19" eb="21">
      <t>ブカイ</t>
    </rPh>
    <phoneticPr fontId="1"/>
  </si>
  <si>
    <t>教授</t>
    <rPh sb="0" eb="2">
      <t>キョウジュ</t>
    </rPh>
    <phoneticPr fontId="1"/>
  </si>
  <si>
    <t>井上　久祥</t>
    <rPh sb="0" eb="5">
      <t>イノウエ</t>
    </rPh>
    <phoneticPr fontId="1"/>
  </si>
  <si>
    <t>上越教育大学教務委員会「情報」運営専門部会要項</t>
    <rPh sb="0" eb="6">
      <t>ジョウエツキョウイクダイガク</t>
    </rPh>
    <rPh sb="12" eb="14">
      <t>ジョウホウ</t>
    </rPh>
    <rPh sb="15" eb="17">
      <t>ウンエイ</t>
    </rPh>
    <rPh sb="17" eb="19">
      <t>センモン</t>
    </rPh>
    <rPh sb="19" eb="21">
      <t>ブカイ</t>
    </rPh>
    <rPh sb="21" eb="23">
      <t>ヨウコウ</t>
    </rPh>
    <phoneticPr fontId="1"/>
  </si>
  <si>
    <t>教務委員会「情報」運営専門部会は、「学生の修学に関する事項」及び「内部質保証」に関する事項を所掌し、本プログラムの点検･評価を行うとともに、プログラムの推進に向けた検討を行う。</t>
    <phoneticPr fontId="1"/>
  </si>
  <si>
    <t xml:space="preserve">
大学院学校教育研究科　教授　   井上　久祥 （部会長）
大学院学校教育研究科　教授　   大森　康正 （副学長・情報メディア教育支援センター長）
大学院学校教育研究科　教授　   石川　　 真 
大学院学校教育研究科　准教授　髙野　浩志</t>
    <phoneticPr fontId="1"/>
  </si>
  <si>
    <t>各年度の収容定員に対する履修率は以下のとおり
令和６年度　　　26％　実績
令和７年度　　　50％
令和８年度　　  75％
令和９年度　　100％
令和10年度　 100％
｢教育情報科学概論｣は１年次必修科目のため、令和６年度における１年次の履修率は100％であり、収容定員に対する履修率は学年進行により令和９年度に100％となる。</t>
    <rPh sb="0" eb="3">
      <t>カクネンド</t>
    </rPh>
    <rPh sb="4" eb="8">
      <t>シュウヨウテイイン</t>
    </rPh>
    <rPh sb="9" eb="10">
      <t>タイ</t>
    </rPh>
    <rPh sb="12" eb="15">
      <t>リシュウリツ</t>
    </rPh>
    <rPh sb="16" eb="18">
      <t>イカ</t>
    </rPh>
    <rPh sb="24" eb="26">
      <t>レイワ</t>
    </rPh>
    <rPh sb="27" eb="29">
      <t>ネンド</t>
    </rPh>
    <rPh sb="36" eb="38">
      <t>ジッセキ</t>
    </rPh>
    <rPh sb="39" eb="41">
      <t>レイワ</t>
    </rPh>
    <rPh sb="42" eb="44">
      <t>ネンド</t>
    </rPh>
    <rPh sb="91" eb="93">
      <t>キョウイク</t>
    </rPh>
    <rPh sb="93" eb="95">
      <t>ジョウホウ</t>
    </rPh>
    <rPh sb="95" eb="97">
      <t>カガク</t>
    </rPh>
    <rPh sb="97" eb="99">
      <t>ガイロン</t>
    </rPh>
    <rPh sb="102" eb="104">
      <t>ネンジ</t>
    </rPh>
    <rPh sb="104" eb="108">
      <t>ヒッシュウカモク</t>
    </rPh>
    <rPh sb="112" eb="114">
      <t>レイワ</t>
    </rPh>
    <rPh sb="115" eb="117">
      <t>ネンド</t>
    </rPh>
    <rPh sb="122" eb="124">
      <t>ネンジ</t>
    </rPh>
    <rPh sb="125" eb="127">
      <t>リシュウ</t>
    </rPh>
    <rPh sb="127" eb="128">
      <t>リツ</t>
    </rPh>
    <rPh sb="137" eb="139">
      <t>シュウヨウ</t>
    </rPh>
    <rPh sb="139" eb="141">
      <t>テイイン</t>
    </rPh>
    <rPh sb="142" eb="143">
      <t>タイ</t>
    </rPh>
    <rPh sb="145" eb="147">
      <t>リシュウ</t>
    </rPh>
    <rPh sb="147" eb="148">
      <t>リツ</t>
    </rPh>
    <rPh sb="149" eb="151">
      <t>ガクネン</t>
    </rPh>
    <rPh sb="151" eb="153">
      <t>シンコウ</t>
    </rPh>
    <rPh sb="156" eb="158">
      <t>レイワ</t>
    </rPh>
    <rPh sb="159" eb="161">
      <t>ネンド</t>
    </rPh>
    <phoneticPr fontId="1"/>
  </si>
  <si>
    <t>｢教育情報科学概論｣は卒業要件上の必修科目であるため、卒業までに全学生が受講することになる。</t>
    <rPh sb="11" eb="13">
      <t>ソツギョウ</t>
    </rPh>
    <rPh sb="13" eb="15">
      <t>ヨウケン</t>
    </rPh>
    <rPh sb="15" eb="16">
      <t>ジョウ</t>
    </rPh>
    <rPh sb="27" eb="29">
      <t>ソツギョウ</t>
    </rPh>
    <rPh sb="32" eb="35">
      <t>ゼンガクセイ</t>
    </rPh>
    <rPh sb="36" eb="38">
      <t>ジュコウ</t>
    </rPh>
    <phoneticPr fontId="1"/>
  </si>
  <si>
    <t>｢教育情報科学概論｣は１年次必修科目であり、本科目を含めた履修方法等について、新入生オリエンテーション等で説明している。</t>
    <rPh sb="29" eb="31">
      <t>リシュウ</t>
    </rPh>
    <rPh sb="31" eb="33">
      <t>ホウホウ</t>
    </rPh>
    <rPh sb="33" eb="34">
      <t>トウ</t>
    </rPh>
    <rPh sb="39" eb="42">
      <t>シンニュウセイ</t>
    </rPh>
    <rPh sb="51" eb="52">
      <t>トウ</t>
    </rPh>
    <rPh sb="53" eb="55">
      <t>セツメイ</t>
    </rPh>
    <phoneticPr fontId="1"/>
  </si>
  <si>
    <t>｢教育情報科学概論｣は１年次必修科目である。</t>
    <phoneticPr fontId="1"/>
  </si>
  <si>
    <t>本科目の講義資料の配付及び課題提出等は、Google Classroomを利用している。また、質問受付については、授業担当教員が研究室での対応が可能な時間帯であるオフィスアワーを公開しているとともにメールでの受付を行っており、授業時間内外での学習指導体制を整備している。</t>
    <rPh sb="1" eb="3">
      <t>カモク</t>
    </rPh>
    <rPh sb="9" eb="11">
      <t>ハイフ</t>
    </rPh>
    <rPh sb="11" eb="12">
      <t>オヨ</t>
    </rPh>
    <rPh sb="37" eb="39">
      <t>リヨウ</t>
    </rPh>
    <rPh sb="47" eb="49">
      <t>シツモン</t>
    </rPh>
    <rPh sb="49" eb="51">
      <t>ウケツケ</t>
    </rPh>
    <rPh sb="61" eb="63">
      <t>キョウイン</t>
    </rPh>
    <rPh sb="64" eb="67">
      <t>ケンキュウシツ</t>
    </rPh>
    <rPh sb="69" eb="71">
      <t>タイオウ</t>
    </rPh>
    <rPh sb="72" eb="74">
      <t>カノウ</t>
    </rPh>
    <rPh sb="75" eb="78">
      <t>ジカンタイ</t>
    </rPh>
    <rPh sb="89" eb="91">
      <t>コウカイ</t>
    </rPh>
    <rPh sb="104" eb="106">
      <t>ウケツケ</t>
    </rPh>
    <rPh sb="107" eb="108">
      <t>オコナ</t>
    </rPh>
    <rPh sb="113" eb="115">
      <t>ジュギョウ</t>
    </rPh>
    <rPh sb="115" eb="117">
      <t>ジカン</t>
    </rPh>
    <rPh sb="117" eb="119">
      <t>ナイガイ</t>
    </rPh>
    <rPh sb="121" eb="123">
      <t>ガクシュウ</t>
    </rPh>
    <rPh sb="123" eb="125">
      <t>シドウ</t>
    </rPh>
    <phoneticPr fontId="1"/>
  </si>
  <si>
    <t>副学長・教務委員会委員長</t>
    <rPh sb="0" eb="3">
      <t>フクガクチョウ</t>
    </rPh>
    <phoneticPr fontId="1"/>
  </si>
  <si>
    <r>
      <rPr>
        <sz val="12"/>
        <rFont val="ＭＳ Ｐゴシック"/>
        <family val="3"/>
        <charset val="128"/>
        <scheme val="minor"/>
      </rPr>
      <t>プログラムに位置付けている「教育情報科学概論」は１年次必修科目であり、令和6年度の履修率は100％であり、単位修得状況は98.2％であった。</t>
    </r>
    <r>
      <rPr>
        <sz val="12"/>
        <color rgb="FFC00000"/>
        <rFont val="ＭＳ Ｐゴシック"/>
        <family val="3"/>
        <charset val="128"/>
        <scheme val="minor"/>
      </rPr>
      <t xml:space="preserve">
</t>
    </r>
    <rPh sb="6" eb="9">
      <t>イチヅ</t>
    </rPh>
    <rPh sb="14" eb="22">
      <t>キョウイクジョウホウカガクガイロン</t>
    </rPh>
    <rPh sb="25" eb="27">
      <t>ネンジ</t>
    </rPh>
    <rPh sb="27" eb="31">
      <t>ヒッシュウカモク</t>
    </rPh>
    <rPh sb="35" eb="37">
      <t>レイワ</t>
    </rPh>
    <rPh sb="38" eb="40">
      <t>ネンド</t>
    </rPh>
    <rPh sb="41" eb="43">
      <t>リシュウ</t>
    </rPh>
    <rPh sb="43" eb="44">
      <t>リツ</t>
    </rPh>
    <rPh sb="53" eb="55">
      <t>タンイ</t>
    </rPh>
    <rPh sb="55" eb="57">
      <t>シュウトク</t>
    </rPh>
    <rPh sb="57" eb="59">
      <t>ジョウキョウ</t>
    </rPh>
    <phoneticPr fontId="1"/>
  </si>
  <si>
    <r>
      <rPr>
        <sz val="12"/>
        <rFont val="ＭＳ Ｐゴシック"/>
        <family val="3"/>
        <charset val="128"/>
        <scheme val="minor"/>
      </rPr>
      <t>例年実施している授業評価アンケート結果及び当該授業科目のみ受講学生の課題・レポートを分析することによって、授業内容の学生の理解度を把握することができ、その結果を授業担当教員間で共有し、本教育プログラムの評価・改善に活用している。</t>
    </r>
    <r>
      <rPr>
        <sz val="12"/>
        <color rgb="FFC00000"/>
        <rFont val="ＭＳ Ｐゴシック"/>
        <family val="3"/>
        <charset val="128"/>
        <scheme val="minor"/>
      </rPr>
      <t xml:space="preserve">
</t>
    </r>
    <rPh sb="0" eb="2">
      <t>レイネン</t>
    </rPh>
    <rPh sb="2" eb="4">
      <t>ジッシ</t>
    </rPh>
    <rPh sb="10" eb="12">
      <t>ヒョウカ</t>
    </rPh>
    <rPh sb="17" eb="19">
      <t>ケッカ</t>
    </rPh>
    <rPh sb="19" eb="20">
      <t>オヨ</t>
    </rPh>
    <rPh sb="21" eb="23">
      <t>トウガイ</t>
    </rPh>
    <rPh sb="23" eb="25">
      <t>ジュギョウ</t>
    </rPh>
    <rPh sb="25" eb="27">
      <t>カモク</t>
    </rPh>
    <rPh sb="31" eb="33">
      <t>ガクセイ</t>
    </rPh>
    <rPh sb="34" eb="36">
      <t>カダイ</t>
    </rPh>
    <rPh sb="80" eb="82">
      <t>ジュギョウ</t>
    </rPh>
    <rPh sb="82" eb="84">
      <t>タントウ</t>
    </rPh>
    <rPh sb="84" eb="87">
      <t>キョウインカン</t>
    </rPh>
    <rPh sb="88" eb="90">
      <t>キョウユウ</t>
    </rPh>
    <phoneticPr fontId="1"/>
  </si>
  <si>
    <t>「教育情報科学概論」は必修科目であるため、受講者から他の学生への推奨を必要としない。</t>
    <rPh sb="1" eb="9">
      <t>キョウイクジョウホウカガクガイロン</t>
    </rPh>
    <rPh sb="11" eb="15">
      <t>ヒッシュウカモク</t>
    </rPh>
    <rPh sb="21" eb="24">
      <t>ジュコウシャ</t>
    </rPh>
    <rPh sb="26" eb="27">
      <t>タ</t>
    </rPh>
    <rPh sb="28" eb="30">
      <t>ガクセイ</t>
    </rPh>
    <rPh sb="32" eb="34">
      <t>スイショウ</t>
    </rPh>
    <rPh sb="35" eb="37">
      <t>ヒツヨウ</t>
    </rPh>
    <phoneticPr fontId="1"/>
  </si>
  <si>
    <t>「教育情報科学概論」は１年次必修科目であるため、令和６年度の１年次学生は全員履修している。学年進行により令和９年度には全学部学生の履修をする予定である。</t>
    <rPh sb="1" eb="9">
      <t>キョウイクジョウホウカガクガイロン</t>
    </rPh>
    <rPh sb="12" eb="14">
      <t>ネンジ</t>
    </rPh>
    <rPh sb="14" eb="16">
      <t>ヒッシュウ</t>
    </rPh>
    <rPh sb="16" eb="18">
      <t>カモク</t>
    </rPh>
    <rPh sb="24" eb="26">
      <t>レイワ</t>
    </rPh>
    <rPh sb="27" eb="29">
      <t>ネンド</t>
    </rPh>
    <rPh sb="31" eb="33">
      <t>ネンジ</t>
    </rPh>
    <rPh sb="33" eb="35">
      <t>ガクセイ</t>
    </rPh>
    <rPh sb="36" eb="38">
      <t>ゼンイン</t>
    </rPh>
    <rPh sb="38" eb="40">
      <t>リシュウ</t>
    </rPh>
    <rPh sb="45" eb="47">
      <t>ガクネン</t>
    </rPh>
    <rPh sb="47" eb="49">
      <t>シンコウ</t>
    </rPh>
    <rPh sb="52" eb="54">
      <t>レイワ</t>
    </rPh>
    <rPh sb="55" eb="57">
      <t>ネンド</t>
    </rPh>
    <rPh sb="59" eb="62">
      <t>ゼンガクブ</t>
    </rPh>
    <rPh sb="62" eb="64">
      <t>ガクセイ</t>
    </rPh>
    <rPh sb="65" eb="67">
      <t>リシュウ</t>
    </rPh>
    <rPh sb="70" eb="72">
      <t>ヨテイ</t>
    </rPh>
    <phoneticPr fontId="1"/>
  </si>
  <si>
    <t>本プログラムは令和６年度入学者から設置しており、まだ卒業者は出ていない。なお、本学では卒業生及び修了生を対象にWebアンケートによる追跡調査を実施しており、活躍状況の確認は可能である。</t>
    <rPh sb="12" eb="14">
      <t>ニュウガク</t>
    </rPh>
    <phoneticPr fontId="1"/>
  </si>
  <si>
    <t>企業から講師を招聘して、情報モラル、情報セキュリティ等を中心とした産業界からの視点を含めた内容をプログラム（授業）に取り入れている。</t>
    <rPh sb="0" eb="2">
      <t>キギョウ</t>
    </rPh>
    <rPh sb="4" eb="6">
      <t>コウシ</t>
    </rPh>
    <rPh sb="7" eb="9">
      <t>ショウヘイ</t>
    </rPh>
    <rPh sb="12" eb="14">
      <t>ジョウホウ</t>
    </rPh>
    <rPh sb="18" eb="20">
      <t>ジョウホウ</t>
    </rPh>
    <rPh sb="26" eb="27">
      <t>トウ</t>
    </rPh>
    <rPh sb="28" eb="30">
      <t>チュウシン</t>
    </rPh>
    <rPh sb="45" eb="47">
      <t>ナイヨウ</t>
    </rPh>
    <rPh sb="54" eb="56">
      <t>ジュギョウ</t>
    </rPh>
    <rPh sb="58" eb="59">
      <t>ト</t>
    </rPh>
    <rPh sb="60" eb="61">
      <t>イ</t>
    </rPh>
    <phoneticPr fontId="1"/>
  </si>
  <si>
    <t>「学ぶ楽しさ」については、教員養成系大学の特質を活かした内容を展開し、学校現場の情報化や教育DXの動向など、教育領域での実例をもとにAI等がどのような活用をされているかを中心に好奇心を促す講義内容を盛り込んでいる。「学ぶことの意義」については、学生の授業の振り返りを活用し、その内容について評価している。</t>
    <rPh sb="1" eb="2">
      <t xml:space="preserve">マナブ </t>
    </rPh>
    <rPh sb="3" eb="4">
      <t xml:space="preserve">タノシサ </t>
    </rPh>
    <rPh sb="13" eb="18">
      <t xml:space="preserve">キョウインヨウセイケイ </t>
    </rPh>
    <rPh sb="18" eb="20">
      <t xml:space="preserve">ダイガク </t>
    </rPh>
    <rPh sb="21" eb="23">
      <t xml:space="preserve">トクシツヲ </t>
    </rPh>
    <rPh sb="24" eb="25">
      <t xml:space="preserve">イカシ </t>
    </rPh>
    <rPh sb="35" eb="37">
      <t xml:space="preserve">ガッコウ </t>
    </rPh>
    <rPh sb="37" eb="39">
      <t xml:space="preserve">ゲンバ </t>
    </rPh>
    <rPh sb="40" eb="43">
      <t xml:space="preserve">ジョウホウカ </t>
    </rPh>
    <rPh sb="44" eb="46">
      <t xml:space="preserve">キョウイク </t>
    </rPh>
    <rPh sb="49" eb="51">
      <t xml:space="preserve">ドウコウ </t>
    </rPh>
    <rPh sb="54" eb="56">
      <t xml:space="preserve">キョウイク </t>
    </rPh>
    <rPh sb="56" eb="58">
      <t xml:space="preserve">リョウイキ </t>
    </rPh>
    <rPh sb="99" eb="100">
      <t>モリ_x0000__x0001__x0001__x0004__x0003__x0001_</t>
    </rPh>
    <rPh sb="108" eb="109">
      <t xml:space="preserve">	_x000D__x0005__x0015__x0012__x0002_</t>
    </rPh>
    <rPh sb="112" eb="114">
      <t>_x001A__x0015__x0002_ _x0018__x0001_$#_x0002_)%_x0002_-</t>
    </rPh>
    <phoneticPr fontId="1"/>
  </si>
  <si>
    <t>授業評価アンケート及び授業後の学生の振り返りの記述を参考に、学生の「分かりやすさ」の観点から講義の内容・実施方法の見直しを検討している。</t>
    <rPh sb="0" eb="2">
      <t xml:space="preserve">ジュギョウ </t>
    </rPh>
    <rPh sb="2" eb="4">
      <t xml:space="preserve">ヒョウカ </t>
    </rPh>
    <rPh sb="11" eb="14">
      <t xml:space="preserve">ジュギョウゴ </t>
    </rPh>
    <rPh sb="15" eb="17">
      <t xml:space="preserve">ガクセイ </t>
    </rPh>
    <rPh sb="18" eb="19">
      <t xml:space="preserve">フリカエリノ </t>
    </rPh>
    <rPh sb="23" eb="25">
      <t xml:space="preserve">キジュツ </t>
    </rPh>
    <phoneticPr fontId="1"/>
  </si>
  <si>
    <t>「教育情報科学概論」受講者全員に授業評価アンケートを実施しており、学生の理解度を分析している。</t>
    <rPh sb="1" eb="9">
      <t>キョウイクジョウホウカガクガイロン</t>
    </rPh>
    <rPh sb="10" eb="13">
      <t>ジュコウシャ</t>
    </rPh>
    <rPh sb="13" eb="15">
      <t>ゼンイン</t>
    </rPh>
    <rPh sb="18" eb="20">
      <t>ヒョウカ</t>
    </rPh>
    <phoneticPr fontId="1"/>
  </si>
  <si>
    <t>上越教育大学教務委員会「情報」運営専門部会</t>
    <rPh sb="0" eb="2">
      <t>ジョウエツ</t>
    </rPh>
    <rPh sb="2" eb="4">
      <t>キョウイク</t>
    </rPh>
    <rPh sb="4" eb="6">
      <t>ダイガク</t>
    </rPh>
    <rPh sb="6" eb="8">
      <t>キョウム</t>
    </rPh>
    <rPh sb="8" eb="11">
      <t>イインカイ</t>
    </rPh>
    <rPh sb="12" eb="14">
      <t>ジョウホウ</t>
    </rPh>
    <rPh sb="15" eb="17">
      <t>ウンエイ</t>
    </rPh>
    <rPh sb="17" eb="19">
      <t>センモン</t>
    </rPh>
    <rPh sb="19" eb="21">
      <t>ブカイ</t>
    </rPh>
    <phoneticPr fontId="1"/>
  </si>
  <si>
    <r>
      <rPr>
        <b/>
        <sz val="10"/>
        <rFont val="ＭＳ Ｐゴシック (本文)"/>
        <family val="3"/>
        <charset val="128"/>
      </rPr>
      <t>教育情報科学概論：第10回，第11回，第14</t>
    </r>
    <r>
      <rPr>
        <b/>
        <sz val="10"/>
        <rFont val="MS UI Gothic"/>
        <family val="3"/>
        <charset val="128"/>
      </rPr>
      <t>回</t>
    </r>
    <r>
      <rPr>
        <sz val="9"/>
        <rFont val="ＭＳ Ｐゴシック (本文)"/>
        <family val="3"/>
        <charset val="128"/>
      </rPr>
      <t xml:space="preserve">
AI最新技術の日常への活用例（特に</t>
    </r>
    <r>
      <rPr>
        <b/>
        <u/>
        <sz val="9"/>
        <rFont val="ＭＳ Ｐゴシック (本文)"/>
        <family val="3"/>
        <charset val="128"/>
      </rPr>
      <t>対話、コンテンツ生成、翻訳・要約・執筆支援、コーディング支援など生成AIの応用</t>
    </r>
    <r>
      <rPr>
        <sz val="9"/>
        <rFont val="ＭＳ Ｐゴシック (本文)"/>
        <family val="3"/>
        <charset val="128"/>
      </rPr>
      <t>）を調べ，対話型生成AIを実際に活用することで，AIの効果的な利活用およびリスクなどについて発表する（グループワーク）。
　また、教育システムにおける数理・データサイエンス・AI技術の利活用（</t>
    </r>
    <r>
      <rPr>
        <b/>
        <u/>
        <sz val="9"/>
        <rFont val="ＭＳ Ｐゴシック (本文)"/>
        <family val="3"/>
        <charset val="128"/>
      </rPr>
      <t>仮説検証、知識発見、原因究明、計画策定、判断支援、活動代替、新規生成など</t>
    </r>
    <r>
      <rPr>
        <sz val="9"/>
        <rFont val="ＭＳ Ｐゴシック (本文)"/>
        <family val="3"/>
        <charset val="128"/>
      </rPr>
      <t>）について最新動向を調べ、それらを教師が日々の学校の中でどのように扱い、教育活動での</t>
    </r>
    <r>
      <rPr>
        <b/>
        <u/>
        <sz val="9"/>
        <rFont val="ＭＳ Ｐゴシック (本文)"/>
        <family val="3"/>
        <charset val="128"/>
      </rPr>
      <t>データ・AI活用領域の広がり</t>
    </r>
    <r>
      <rPr>
        <sz val="9"/>
        <rFont val="ＭＳ Ｐゴシック (本文)"/>
        <family val="3"/>
        <charset val="128"/>
      </rPr>
      <t>を得ていくべきか発表する（グループワーク）。</t>
    </r>
    <rPh sb="19" eb="20">
      <t>ダイ</t>
    </rPh>
    <rPh sb="22" eb="23">
      <t>カイ</t>
    </rPh>
    <rPh sb="226" eb="228">
      <t xml:space="preserve">キョウイク </t>
    </rPh>
    <rPh sb="232" eb="234">
      <t xml:space="preserve">カツドウノ </t>
    </rPh>
    <rPh sb="235" eb="236">
      <t xml:space="preserve">ナカデ </t>
    </rPh>
    <rPh sb="244" eb="246">
      <t xml:space="preserve">カツヨウ </t>
    </rPh>
    <rPh sb="246" eb="247">
      <t xml:space="preserve">リョウイキ </t>
    </rPh>
    <rPh sb="250" eb="251">
      <t xml:space="preserve">ヒロガリ </t>
    </rPh>
    <rPh sb="270" eb="271">
      <t xml:space="preserve">エテ </t>
    </rPh>
    <phoneticPr fontId="1"/>
  </si>
  <si>
    <r>
      <rPr>
        <b/>
        <sz val="10"/>
        <rFont val="ＭＳ Ｐゴシック (本文)"/>
        <family val="3"/>
        <charset val="128"/>
      </rPr>
      <t>教育情報科学概論：第9回,第12回</t>
    </r>
    <r>
      <rPr>
        <sz val="9"/>
        <rFont val="ＭＳ Ｐゴシック (本文)"/>
        <family val="3"/>
        <charset val="128"/>
      </rPr>
      <t xml:space="preserve">
　AIとは何か</t>
    </r>
    <r>
      <rPr>
        <sz val="9"/>
        <rFont val="游ゴシック"/>
        <family val="3"/>
        <charset val="128"/>
      </rPr>
      <t>、</t>
    </r>
    <r>
      <rPr>
        <b/>
        <u/>
        <sz val="9"/>
        <rFont val="ＭＳ Ｐゴシック (本文)"/>
        <family val="3"/>
        <charset val="128"/>
      </rPr>
      <t>特化型AIと汎用AI，今のAIで出来ることと出来ないこと，認識技術，ルールベース，生成AIの活用（プロンプトエンジニアリング）</t>
    </r>
    <r>
      <rPr>
        <sz val="9"/>
        <rFont val="ＭＳ Ｐゴシック (本文)"/>
        <family val="3"/>
        <charset val="128"/>
      </rPr>
      <t>などAI技術の概要を知る。
　また、教育データサイエンスとは何か、</t>
    </r>
    <r>
      <rPr>
        <b/>
        <u/>
        <sz val="9"/>
        <rFont val="ＭＳ Ｐゴシック (本文)"/>
        <family val="3"/>
        <charset val="128"/>
      </rPr>
      <t>認識技術、データ解析、データ可視化、非構造化データ処理、自動化技術</t>
    </r>
    <r>
      <rPr>
        <sz val="9"/>
        <rFont val="ＭＳ Ｐゴシック (本文)"/>
        <family val="3"/>
        <charset val="128"/>
      </rPr>
      <t>など学習分析（ラーニングアナリティクス）のための技術の概要を知る。また、</t>
    </r>
    <r>
      <rPr>
        <b/>
        <u/>
        <sz val="9"/>
        <rFont val="ＭＳ Ｐゴシック (本文)"/>
        <family val="3"/>
        <charset val="128"/>
      </rPr>
      <t>AIとビッグデータ</t>
    </r>
    <r>
      <rPr>
        <sz val="9"/>
        <rFont val="ＭＳ Ｐゴシック (本文)"/>
        <family val="3"/>
        <charset val="128"/>
      </rPr>
      <t>によるデータアナリティクスのプラットフォームとして、CBT（形成的評価のための学習者履歴を蓄積）、及び、LMS（総括的評価のためのeポートフォリオを蓄積）のシステム構成を知る。※CBT：Computer Based Testing、LMS：Learning Management System</t>
    </r>
    <rPh sb="125" eb="127">
      <t xml:space="preserve">カイセキ </t>
    </rPh>
    <rPh sb="131" eb="134">
      <t xml:space="preserve">カシカ </t>
    </rPh>
    <rPh sb="135" eb="136">
      <t xml:space="preserve">ヒコウゾウカ </t>
    </rPh>
    <rPh sb="136" eb="139">
      <t xml:space="preserve">コウゾウカ </t>
    </rPh>
    <rPh sb="142" eb="144">
      <t xml:space="preserve">ショリ </t>
    </rPh>
    <rPh sb="145" eb="147">
      <t xml:space="preserve">ニンシキ </t>
    </rPh>
    <rPh sb="147" eb="149">
      <t xml:space="preserve">ギジュツ </t>
    </rPh>
    <rPh sb="150" eb="153">
      <t xml:space="preserve">ジドウカ </t>
    </rPh>
    <rPh sb="153" eb="155">
      <t xml:space="preserve">ギジュツ </t>
    </rPh>
    <rPh sb="179" eb="181">
      <t xml:space="preserve">ギジュツ </t>
    </rPh>
    <rPh sb="182" eb="184">
      <t xml:space="preserve">ガイヨウ </t>
    </rPh>
    <rPh sb="185" eb="186">
      <t xml:space="preserve">シル </t>
    </rPh>
    <rPh sb="245" eb="247">
      <t xml:space="preserve">チクセキ </t>
    </rPh>
    <rPh sb="274" eb="276">
      <t xml:space="preserve">チクセキ </t>
    </rPh>
    <rPh sb="282" eb="284">
      <t xml:space="preserve">コウセイ </t>
    </rPh>
    <phoneticPr fontId="1"/>
  </si>
  <si>
    <r>
      <rPr>
        <b/>
        <sz val="10"/>
        <rFont val="ＭＳ Ｐゴシック (本文)"/>
        <family val="3"/>
        <charset val="128"/>
      </rPr>
      <t>教育情報科学概論：第8回　</t>
    </r>
    <r>
      <rPr>
        <sz val="9"/>
        <rFont val="ＭＳ Ｐゴシック (本文)"/>
        <family val="3"/>
        <charset val="128"/>
      </rPr>
      <t>　
ネットワーク社会での倫理的・法的・社会的な課題、個人情報の取り扱い</t>
    </r>
    <r>
      <rPr>
        <b/>
        <u/>
        <sz val="9"/>
        <rFont val="ＭＳ Ｐゴシック (本文)"/>
        <family val="3"/>
        <charset val="128"/>
      </rPr>
      <t>（個人情報保護、忘れられる権利、オプトアウト）、情報倫理（誹謗中傷、炎上、データのねつ造、改ざん、盗用、プライバシー保護）</t>
    </r>
    <r>
      <rPr>
        <sz val="9"/>
        <rFont val="ＭＳ Ｐゴシック (本文)"/>
        <family val="3"/>
        <charset val="128"/>
      </rPr>
      <t>についての配慮を知る。AI社会での倫理的・法的・社会的な課題</t>
    </r>
    <r>
      <rPr>
        <b/>
        <u/>
        <sz val="9"/>
        <rFont val="ＭＳ Ｐゴシック (本文)"/>
        <family val="3"/>
        <charset val="128"/>
      </rPr>
      <t>（公平性、説明責任、透明性、人間中心の判断、AIサービスの責任論）、生成AIの留意事項（ハルシネーション、データ・AI活用における負の事例紹介）</t>
    </r>
    <r>
      <rPr>
        <sz val="9"/>
        <rFont val="ＭＳ Ｐゴシック (本文)"/>
        <family val="3"/>
        <charset val="128"/>
      </rPr>
      <t>、データセットの取り扱い（データマネジメント、</t>
    </r>
    <r>
      <rPr>
        <b/>
        <u/>
        <sz val="9"/>
        <rFont val="ＭＳ Ｐゴシック (本文)"/>
        <family val="3"/>
        <charset val="128"/>
      </rPr>
      <t>データガバナンス</t>
    </r>
    <r>
      <rPr>
        <sz val="9"/>
        <rFont val="ＭＳ Ｐゴシック (本文)"/>
        <family val="3"/>
        <charset val="128"/>
      </rPr>
      <t>）についての配慮を知る。</t>
    </r>
    <rPh sb="50" eb="54">
      <t xml:space="preserve">コジンジョウホウ </t>
    </rPh>
    <rPh sb="54" eb="56">
      <t xml:space="preserve">ホゴ </t>
    </rPh>
    <rPh sb="57" eb="58">
      <t xml:space="preserve">ワスレラレル </t>
    </rPh>
    <rPh sb="62" eb="64">
      <t xml:space="preserve">ケンリ </t>
    </rPh>
    <rPh sb="78" eb="80">
      <t xml:space="preserve">ヒボウ </t>
    </rPh>
    <rPh sb="80" eb="82">
      <t xml:space="preserve">チュウショウ </t>
    </rPh>
    <rPh sb="83" eb="85">
      <t xml:space="preserve">エンジョウ </t>
    </rPh>
    <rPh sb="123" eb="125">
      <t xml:space="preserve">シャカイ </t>
    </rPh>
    <rPh sb="175" eb="177">
      <t xml:space="preserve">セイセイ </t>
    </rPh>
    <rPh sb="180" eb="185">
      <t xml:space="preserve">リュウイジコウ </t>
    </rPh>
    <phoneticPr fontId="1"/>
  </si>
  <si>
    <r>
      <rPr>
        <b/>
        <sz val="10"/>
        <rFont val="ＭＳ Ｐゴシック (本文)"/>
        <family val="3"/>
        <charset val="128"/>
      </rPr>
      <t>教育情報科学概論：第15回　　</t>
    </r>
    <r>
      <rPr>
        <sz val="9"/>
        <rFont val="ＭＳ Ｐゴシック (本文)"/>
        <family val="3"/>
        <charset val="128"/>
      </rPr>
      <t xml:space="preserve">
標的型攻撃メール訓練</t>
    </r>
    <r>
      <rPr>
        <b/>
        <u/>
        <sz val="9"/>
        <rFont val="ＭＳ Ｐゴシック (本文)"/>
        <family val="3"/>
        <charset val="128"/>
      </rPr>
      <t>（悪意ある情報搾取、ユーザ認証とパスワード、アクセス制御）</t>
    </r>
    <r>
      <rPr>
        <sz val="9"/>
        <rFont val="ＭＳ Ｐゴシック (本文)"/>
        <family val="3"/>
        <charset val="128"/>
      </rPr>
      <t>及び</t>
    </r>
    <r>
      <rPr>
        <b/>
        <u/>
        <sz val="9"/>
        <rFont val="ＭＳ Ｐゴシック (本文)"/>
        <family val="3"/>
        <charset val="128"/>
      </rPr>
      <t>情報セキュリティ研修（情報セキュリティの3要素、暗号化と復号、情報漏洩等によるセキュリティ事故の事例紹介）</t>
    </r>
    <r>
      <rPr>
        <sz val="9"/>
        <rFont val="ＭＳ Ｐゴシック (本文)"/>
        <family val="3"/>
        <charset val="128"/>
      </rPr>
      <t>を通じてデータを守るうえでの配慮を知る。</t>
    </r>
    <phoneticPr fontId="1"/>
  </si>
  <si>
    <r>
      <rPr>
        <b/>
        <sz val="10"/>
        <rFont val="ＭＳ Ｐゴシック"/>
        <family val="3"/>
        <charset val="128"/>
        <scheme val="major"/>
      </rPr>
      <t>教育情報科学概論：第5回,第13回　</t>
    </r>
    <r>
      <rPr>
        <b/>
        <sz val="10"/>
        <rFont val="ＭＳ Ｐゴシック (本文)"/>
        <family val="3"/>
        <charset val="128"/>
      </rPr>
      <t>　</t>
    </r>
    <r>
      <rPr>
        <sz val="9"/>
        <rFont val="ＭＳ Ｐゴシック (本文)"/>
        <family val="3"/>
        <charset val="128"/>
      </rPr>
      <t xml:space="preserve">
基礎的な統計についての概要（</t>
    </r>
    <r>
      <rPr>
        <b/>
        <u/>
        <sz val="9"/>
        <rFont val="ＭＳ Ｐゴシック (本文)"/>
        <family val="3"/>
        <charset val="128"/>
      </rPr>
      <t>統計情報の正しい理解、母集団と標本抽出、相関と因果</t>
    </r>
    <r>
      <rPr>
        <sz val="9"/>
        <rFont val="ＭＳ Ｐゴシック (本文)"/>
        <family val="3"/>
        <charset val="128"/>
      </rPr>
      <t>、仮説検定、</t>
    </r>
    <r>
      <rPr>
        <b/>
        <u/>
        <sz val="9"/>
        <rFont val="ＭＳ Ｐゴシック (本文)"/>
        <family val="3"/>
        <charset val="128"/>
      </rPr>
      <t>打ち切りや欠測を含むデータ</t>
    </r>
    <r>
      <rPr>
        <sz val="9"/>
        <rFont val="ＭＳ Ｐゴシック (本文)"/>
        <family val="3"/>
        <charset val="128"/>
      </rPr>
      <t>）を知る。データを読むことを通じて、尺度</t>
    </r>
    <r>
      <rPr>
        <b/>
        <u/>
        <sz val="9"/>
        <rFont val="ＭＳ Ｐゴシック (本文)"/>
        <family val="3"/>
        <charset val="128"/>
      </rPr>
      <t>（量的変数、質的変数）</t>
    </r>
    <r>
      <rPr>
        <sz val="9"/>
        <rFont val="ＭＳ Ｐゴシック (本文)"/>
        <family val="3"/>
        <charset val="128"/>
      </rPr>
      <t>、</t>
    </r>
    <r>
      <rPr>
        <b/>
        <u/>
        <sz val="9"/>
        <rFont val="ＭＳ Ｐゴシック (本文)"/>
        <family val="3"/>
        <charset val="128"/>
      </rPr>
      <t>データの分布と代表値（平均値、中央値、最頻値、代表値の性質の違い）</t>
    </r>
    <r>
      <rPr>
        <sz val="9"/>
        <rFont val="ＭＳ Ｐゴシック (本文)"/>
        <family val="3"/>
        <charset val="128"/>
      </rPr>
      <t>、散布度</t>
    </r>
    <r>
      <rPr>
        <b/>
        <u/>
        <sz val="9"/>
        <rFont val="ＭＳ Ｐゴシック (本文)"/>
        <family val="3"/>
        <charset val="128"/>
      </rPr>
      <t>（分散、標準偏差、偏差値、外れ値、誤差の扱い）</t>
    </r>
    <r>
      <rPr>
        <sz val="9"/>
        <rFont val="ＭＳ Ｐゴシック (本文)"/>
        <family val="3"/>
        <charset val="128"/>
      </rPr>
      <t>等の概念について理解する。
　また、データのデジタル化についての概要（量子化、標本化、エンコード・デコード）を知る。デジタルデータで文字、音声、画像、動画がどのように表されるか、複数データをどのように統合して（マルチモーダル）処理するか理解する。</t>
    </r>
    <rPh sb="59" eb="61">
      <t xml:space="preserve">リョウテキ </t>
    </rPh>
    <rPh sb="65" eb="67">
      <t xml:space="preserve">ヘンスウ </t>
    </rPh>
    <rPh sb="69" eb="71">
      <t xml:space="preserve">シツテキ </t>
    </rPh>
    <rPh sb="71" eb="73">
      <t xml:space="preserve">ヘンスウ </t>
    </rPh>
    <rPh sb="79" eb="81">
      <t xml:space="preserve">ブンプ </t>
    </rPh>
    <rPh sb="152" eb="154">
      <t xml:space="preserve">ゴサノ </t>
    </rPh>
    <rPh sb="155" eb="156">
      <t xml:space="preserve">アツカイ </t>
    </rPh>
    <rPh sb="260" eb="262">
      <t xml:space="preserve">フクスウデータ </t>
    </rPh>
    <rPh sb="271" eb="277">
      <t xml:space="preserve">トウゴウショリ </t>
    </rPh>
    <phoneticPr fontId="1"/>
  </si>
  <si>
    <r>
      <rPr>
        <b/>
        <sz val="10"/>
        <rFont val="ＭＳ Ｐゴシック (本文)"/>
        <family val="3"/>
        <charset val="128"/>
      </rPr>
      <t>教育情報科学概論：第6回,第13回　</t>
    </r>
    <r>
      <rPr>
        <sz val="9"/>
        <rFont val="ＭＳ Ｐゴシック (本文)"/>
        <family val="3"/>
        <charset val="128"/>
      </rPr>
      <t xml:space="preserve">
　基礎的な統計の話（</t>
    </r>
    <r>
      <rPr>
        <b/>
        <u/>
        <sz val="9"/>
        <rFont val="ＭＳ Ｐゴシック (本文)"/>
        <family val="3"/>
        <charset val="128"/>
      </rPr>
      <t>データの比較</t>
    </r>
    <r>
      <rPr>
        <sz val="9"/>
        <rFont val="ＭＳ Ｐゴシック (本文)"/>
        <family val="3"/>
        <charset val="128"/>
      </rPr>
      <t>、実験計画法、様々な</t>
    </r>
    <r>
      <rPr>
        <b/>
        <u/>
        <sz val="9"/>
        <rFont val="ＭＳ Ｐゴシック (本文)"/>
        <family val="3"/>
        <charset val="128"/>
      </rPr>
      <t>データ表現</t>
    </r>
    <r>
      <rPr>
        <u/>
        <sz val="9"/>
        <rFont val="ＭＳ Ｐゴシック (本文)"/>
        <family val="3"/>
        <charset val="128"/>
      </rPr>
      <t>、</t>
    </r>
    <r>
      <rPr>
        <b/>
        <u/>
        <sz val="9"/>
        <rFont val="ＭＳ Ｐゴシック (本文)"/>
        <family val="3"/>
        <charset val="128"/>
      </rPr>
      <t>不適切なグラフ表現</t>
    </r>
    <r>
      <rPr>
        <sz val="9"/>
        <rFont val="ＭＳ Ｐゴシック (本文)"/>
        <family val="3"/>
        <charset val="128"/>
      </rPr>
      <t>）とシミュレーション（</t>
    </r>
    <r>
      <rPr>
        <b/>
        <u/>
        <sz val="9"/>
        <rFont val="ＭＳ Ｐゴシック (本文)"/>
        <family val="3"/>
        <charset val="128"/>
      </rPr>
      <t>相手に的確かつ正確に情報を伝える</t>
    </r>
    <r>
      <rPr>
        <sz val="9"/>
        <rFont val="ＭＳ Ｐゴシック (本文)"/>
        <family val="3"/>
        <charset val="128"/>
      </rPr>
      <t>演習を含む）。データを実際に処理し、相関、回帰についての説明を</t>
    </r>
    <r>
      <rPr>
        <b/>
        <u/>
        <sz val="9"/>
        <rFont val="ＭＳ Ｐゴシック (本文)"/>
        <family val="3"/>
        <charset val="128"/>
      </rPr>
      <t>スライド作成</t>
    </r>
    <r>
      <rPr>
        <sz val="9"/>
        <rFont val="ＭＳ Ｐゴシック (本文)"/>
        <family val="3"/>
        <charset val="128"/>
      </rPr>
      <t>し、クラス全体へ</t>
    </r>
    <r>
      <rPr>
        <b/>
        <u/>
        <sz val="9"/>
        <rFont val="ＭＳ Ｐゴシック (本文)"/>
        <family val="3"/>
        <charset val="128"/>
      </rPr>
      <t>プレゼンテーション</t>
    </r>
    <r>
      <rPr>
        <sz val="9"/>
        <rFont val="ＭＳ Ｐゴシック (本文)"/>
        <family val="3"/>
        <charset val="128"/>
      </rPr>
      <t>を行う。
　また、数理科学の基本としての現象のモデル化とシミュレーションについて理解する。社会における問題解決において数理が利活用されることで、どのような価値が生まれているかを見出す。</t>
    </r>
    <rPh sb="34" eb="36">
      <t xml:space="preserve">ヒカク </t>
    </rPh>
    <rPh sb="37" eb="41">
      <t xml:space="preserve">ジッケンケイカク </t>
    </rPh>
    <rPh sb="41" eb="42">
      <t xml:space="preserve">ホウ </t>
    </rPh>
    <rPh sb="43" eb="44">
      <t xml:space="preserve">サマザマナ </t>
    </rPh>
    <rPh sb="49" eb="51">
      <t xml:space="preserve">ヒョウゲン </t>
    </rPh>
    <rPh sb="52" eb="55">
      <t xml:space="preserve">フテキセツナ </t>
    </rPh>
    <rPh sb="100" eb="102">
      <t xml:space="preserve">サクセイ </t>
    </rPh>
    <rPh sb="107" eb="109">
      <t xml:space="preserve">ゼンタイヘ </t>
    </rPh>
    <rPh sb="120" eb="121">
      <t xml:space="preserve">オコナウ </t>
    </rPh>
    <phoneticPr fontId="1"/>
  </si>
  <si>
    <r>
      <rPr>
        <b/>
        <sz val="10"/>
        <rFont val="ＭＳ Ｐゴシック (本文)"/>
        <family val="3"/>
        <charset val="128"/>
      </rPr>
      <t>教育情報科学概論：第7回,第13回　</t>
    </r>
    <r>
      <rPr>
        <sz val="9"/>
        <rFont val="ＭＳ Ｐゴシック (本文)"/>
        <family val="3"/>
        <charset val="128"/>
      </rPr>
      <t xml:space="preserve">
　社会で広く活用されている実オープンデータ（各種データ、統計情報、PISAデータ）を調べて</t>
    </r>
    <r>
      <rPr>
        <b/>
        <u/>
        <sz val="9"/>
        <rFont val="ＭＳ Ｐゴシック (本文)"/>
        <family val="3"/>
        <charset val="128"/>
      </rPr>
      <t>データの取得とデータの集計</t>
    </r>
    <r>
      <rPr>
        <sz val="9"/>
        <rFont val="ＭＳ Ｐゴシック (本文)"/>
        <family val="3"/>
        <charset val="128"/>
      </rPr>
      <t>を行い、</t>
    </r>
    <r>
      <rPr>
        <b/>
        <u/>
        <sz val="9"/>
        <rFont val="ＭＳ Ｐゴシック (本文)"/>
        <family val="3"/>
        <charset val="128"/>
      </rPr>
      <t>データ解析ツール</t>
    </r>
    <r>
      <rPr>
        <sz val="9"/>
        <rFont val="ＭＳ Ｐゴシック (本文)"/>
        <family val="3"/>
        <charset val="128"/>
      </rPr>
      <t>を実際に活用して処理することで、データサイエンス技術によって社会が得られる実益を実証的に示し発表する（グループワーク）。</t>
    </r>
    <rPh sb="69" eb="71">
      <t xml:space="preserve">シュトク </t>
    </rPh>
    <rPh sb="76" eb="78">
      <t xml:space="preserve">シュウケイ </t>
    </rPh>
    <rPh sb="98" eb="100">
      <t xml:space="preserve">ショリ </t>
    </rPh>
    <phoneticPr fontId="1"/>
  </si>
  <si>
    <r>
      <rPr>
        <b/>
        <sz val="10"/>
        <rFont val="ＭＳ Ｐゴシック"/>
        <family val="3"/>
        <charset val="128"/>
        <scheme val="major"/>
      </rPr>
      <t>教育情報科学概論：第10回,第11回,第14回</t>
    </r>
    <r>
      <rPr>
        <b/>
        <sz val="10"/>
        <rFont val="ＭＳ Ｐゴシック (本文)"/>
        <family val="3"/>
        <charset val="128"/>
      </rPr>
      <t>　</t>
    </r>
    <r>
      <rPr>
        <b/>
        <sz val="9"/>
        <rFont val="ＭＳ Ｐゴシック (本文)"/>
        <family val="3"/>
        <charset val="128"/>
      </rPr>
      <t xml:space="preserve">
</t>
    </r>
    <r>
      <rPr>
        <sz val="9"/>
        <rFont val="ＭＳ Ｐゴシック (本文)"/>
        <family val="3"/>
        <charset val="128"/>
      </rPr>
      <t xml:space="preserve">
　</t>
    </r>
    <r>
      <rPr>
        <b/>
        <u/>
        <sz val="9"/>
        <rFont val="ＭＳ Ｐゴシック (本文)"/>
        <family val="3"/>
        <charset val="128"/>
      </rPr>
      <t>流通、製造、金融、サービス、インフラ、公共等におけるデータ・AI利活用事例紹介</t>
    </r>
    <r>
      <rPr>
        <sz val="9"/>
        <rFont val="ＭＳ Ｐゴシック (本文)"/>
        <family val="3"/>
        <charset val="128"/>
      </rPr>
      <t>と同時に、ルールベース・機械学習・生成AIなどのAI技術の基礎的な仕組みを演習を通して理解し，社会における問題解決おいてAI技術が利活用されることで、どのような価値が生まれているかを見出す（小演習）。
　また、</t>
    </r>
    <r>
      <rPr>
        <b/>
        <u/>
        <sz val="9"/>
        <rFont val="ＭＳ Ｐゴシック (本文)"/>
        <family val="3"/>
        <charset val="128"/>
      </rPr>
      <t>教育、芸術、ヘルスケア等におけるデータ・AI利活用事例紹介</t>
    </r>
    <r>
      <rPr>
        <sz val="9"/>
        <rFont val="ＭＳ Ｐゴシック (本文)"/>
        <family val="3"/>
        <charset val="128"/>
      </rPr>
      <t>と同時に、SP表によるテスト問題分析の実際（表計算ソフトを用いた演習）を通して、</t>
    </r>
    <r>
      <rPr>
        <b/>
        <u/>
        <sz val="9"/>
        <rFont val="ＭＳ Ｐゴシック (本文)"/>
        <family val="3"/>
        <charset val="128"/>
      </rPr>
      <t>データサイエンスのサイクル（課題抽出と定式化、データの取得・管理・加工、探索的データ解析、データ解析と推論、結果の共有・伝達、課題解決に向けた提案）</t>
    </r>
    <r>
      <rPr>
        <sz val="9"/>
        <rFont val="ＭＳ Ｐゴシック (本文)"/>
        <family val="3"/>
        <charset val="128"/>
      </rPr>
      <t>を体験的に理解し，学校教育における問題解決においてAI技術が利活用されることで、どのような価値が生まれているかを見出す（小演習）。</t>
    </r>
    <rPh sb="73" eb="75">
      <t xml:space="preserve">ドウジニ </t>
    </rPh>
    <rPh sb="149" eb="151">
      <t xml:space="preserve">ドウジニ </t>
    </rPh>
    <rPh sb="160" eb="163">
      <t xml:space="preserve">リカツヨウ </t>
    </rPh>
    <rPh sb="180" eb="182">
      <t xml:space="preserve">ゲイジュツ </t>
    </rPh>
    <rPh sb="182" eb="183">
      <t xml:space="preserve">トウ </t>
    </rPh>
    <rPh sb="217" eb="219">
      <t xml:space="preserve">タイケン </t>
    </rPh>
    <rPh sb="219" eb="220">
      <t xml:space="preserve">テキ </t>
    </rPh>
    <phoneticPr fontId="1"/>
  </si>
  <si>
    <r>
      <rPr>
        <b/>
        <sz val="10"/>
        <rFont val="ＭＳ Ｐゴシック (本文)"/>
        <family val="3"/>
        <charset val="128"/>
      </rPr>
      <t>教育情報科学概論：第1回</t>
    </r>
    <r>
      <rPr>
        <sz val="9"/>
        <rFont val="ＭＳ Ｐゴシック (本文)"/>
        <family val="3"/>
        <charset val="128"/>
      </rPr>
      <t xml:space="preserve">
一般の情報社会での数理・データサイエンス・AIの代表的な技術（モデル化、シミュレーション、</t>
    </r>
    <r>
      <rPr>
        <b/>
        <u/>
        <sz val="9"/>
        <rFont val="ＭＳ Ｐゴシック (本文)"/>
        <family val="3"/>
        <charset val="128"/>
      </rPr>
      <t>ビッグデータ、IoT</t>
    </r>
    <r>
      <rPr>
        <sz val="9"/>
        <rFont val="ＭＳ Ｐゴシック (本文)"/>
        <family val="3"/>
        <charset val="128"/>
      </rPr>
      <t>、古典</t>
    </r>
    <r>
      <rPr>
        <b/>
        <u/>
        <sz val="9"/>
        <rFont val="ＭＳ Ｐゴシック (本文)"/>
        <family val="3"/>
        <charset val="128"/>
      </rPr>
      <t>AI、生成AI、ロボティクス</t>
    </r>
    <r>
      <rPr>
        <sz val="9"/>
        <rFont val="ＭＳ Ｐゴシック (本文)"/>
        <family val="3"/>
        <charset val="128"/>
      </rPr>
      <t>）の意義を知り、過去（Society1.0）から現在(</t>
    </r>
    <r>
      <rPr>
        <b/>
        <u/>
        <sz val="9"/>
        <rFont val="ＭＳ Ｐゴシック (本文)"/>
        <family val="3"/>
        <charset val="128"/>
      </rPr>
      <t>第4次産業革命</t>
    </r>
    <r>
      <rPr>
        <sz val="9"/>
        <rFont val="ＭＳ Ｐゴシック (本文)"/>
        <family val="3"/>
        <charset val="128"/>
      </rPr>
      <t>を経た</t>
    </r>
    <r>
      <rPr>
        <b/>
        <u/>
        <sz val="9"/>
        <rFont val="ＭＳ Ｐゴシック (本文)"/>
        <family val="3"/>
        <charset val="128"/>
      </rPr>
      <t>Society5.0</t>
    </r>
    <r>
      <rPr>
        <sz val="9"/>
        <rFont val="ＭＳ Ｐゴシック (本文)"/>
        <family val="3"/>
        <charset val="128"/>
      </rPr>
      <t>)までの社会的・歴史的な変化や動向として、</t>
    </r>
    <r>
      <rPr>
        <b/>
        <u/>
        <sz val="9"/>
        <rFont val="ＭＳ Ｐゴシック (本文)"/>
        <family val="3"/>
        <charset val="128"/>
      </rPr>
      <t>データ量の増加、計算機の処理性能の向上、AIの非連続的進化</t>
    </r>
    <r>
      <rPr>
        <sz val="9"/>
        <rFont val="ＭＳ Ｐゴシック (本文)"/>
        <family val="3"/>
        <charset val="128"/>
      </rPr>
      <t>を遂げたデータ駆動型社会を押さえる。
　さらに、学校教育での数理・データサイエンス・AIにも目を向け、</t>
    </r>
    <r>
      <rPr>
        <b/>
        <u/>
        <sz val="9"/>
        <rFont val="ＭＳ Ｐゴシック (本文)"/>
        <family val="3"/>
        <charset val="128"/>
      </rPr>
      <t>人間の知的活動とAIの関係性</t>
    </r>
    <r>
      <rPr>
        <sz val="9"/>
        <rFont val="ＭＳ Ｐゴシック (本文)"/>
        <family val="3"/>
        <charset val="128"/>
      </rPr>
      <t>を究めることの意義を知り、過去から現在まで(〜学校3.0)の社会的・歴史的な変化や動向を押さえることを通じて、</t>
    </r>
    <r>
      <rPr>
        <b/>
        <u/>
        <sz val="9"/>
        <rFont val="ＭＳ Ｐゴシック (本文)"/>
        <family val="3"/>
        <charset val="128"/>
      </rPr>
      <t>データを起点としたものの見方、人間の知的活動を起点としたものの見方</t>
    </r>
    <r>
      <rPr>
        <sz val="9"/>
        <rFont val="ＭＳ Ｐゴシック (本文)"/>
        <family val="3"/>
        <charset val="128"/>
      </rPr>
      <t>の双方を自ら知る。</t>
    </r>
    <rPh sb="0" eb="8">
      <t>キョウイクジョウホウカガクガイロン</t>
    </rPh>
    <rPh sb="38" eb="41">
      <t xml:space="preserve">ダイヒョウテキ </t>
    </rPh>
    <rPh sb="42" eb="44">
      <t xml:space="preserve">ギジュツ </t>
    </rPh>
    <rPh sb="48" eb="49">
      <t xml:space="preserve">カ </t>
    </rPh>
    <rPh sb="70" eb="72">
      <t xml:space="preserve">コテン </t>
    </rPh>
    <rPh sb="113" eb="114">
      <t xml:space="preserve">ダイ4ジ </t>
    </rPh>
    <rPh sb="116" eb="118">
      <t xml:space="preserve">サンギョウ </t>
    </rPh>
    <rPh sb="118" eb="120">
      <t xml:space="preserve">カクメイ </t>
    </rPh>
    <rPh sb="121" eb="122">
      <t xml:space="preserve">ヘタ </t>
    </rPh>
    <rPh sb="184" eb="185">
      <t xml:space="preserve">トゲタ </t>
    </rPh>
    <rPh sb="190" eb="193">
      <t xml:space="preserve">クドウガタ </t>
    </rPh>
    <rPh sb="193" eb="195">
      <t xml:space="preserve">シャカイ </t>
    </rPh>
    <rPh sb="231" eb="232">
      <t xml:space="preserve">ムケ </t>
    </rPh>
    <rPh sb="249" eb="250">
      <t xml:space="preserve">キワメル </t>
    </rPh>
    <rPh sb="337" eb="339">
      <t>_x0000__x0018__x0003__x0008__x001C__x0002__x000D_"_x0001__x000F_8_x0002__x0013_c_x0001__x0018_f</t>
    </rPh>
    <phoneticPr fontId="1"/>
  </si>
  <si>
    <r>
      <rPr>
        <b/>
        <sz val="10"/>
        <rFont val="ＭＳ Ｐゴシック"/>
        <family val="3"/>
        <charset val="128"/>
      </rPr>
      <t>教育情報科学概論：第1回,第11回,第12回</t>
    </r>
    <r>
      <rPr>
        <sz val="9"/>
        <rFont val="ＭＳ Ｐゴシック (本文)"/>
        <family val="3"/>
        <charset val="128"/>
      </rPr>
      <t xml:space="preserve">
　われわれの生活と密接に結びついている数理・データサイエンス・人工知能の利活用について、ビジネスモデルやテクノロジーの面から知る。</t>
    </r>
    <r>
      <rPr>
        <b/>
        <u/>
        <sz val="9"/>
        <rFont val="ＭＳ Ｐゴシック (本文)"/>
        <family val="3"/>
        <charset val="128"/>
      </rPr>
      <t>AI等を活用した新しいビジネスモデル</t>
    </r>
    <r>
      <rPr>
        <sz val="9"/>
        <rFont val="ＭＳ Ｐゴシック (本文)"/>
        <family val="3"/>
        <charset val="128"/>
      </rPr>
      <t>として、(</t>
    </r>
    <r>
      <rPr>
        <b/>
        <u/>
        <sz val="9"/>
        <rFont val="ＭＳ Ｐゴシック (本文)"/>
        <family val="3"/>
        <charset val="128"/>
      </rPr>
      <t>商品のレコメンデーション</t>
    </r>
    <r>
      <rPr>
        <sz val="9"/>
        <rFont val="ＭＳ Ｐゴシック (本文)"/>
        <family val="3"/>
        <charset val="128"/>
      </rPr>
      <t>など)を題材とし、そこでの</t>
    </r>
    <r>
      <rPr>
        <b/>
        <u/>
        <sz val="9"/>
        <rFont val="ＭＳ Ｐゴシック (本文)"/>
        <family val="3"/>
        <charset val="128"/>
      </rPr>
      <t>AI最新技術の活用例（深層生成モデル、強化学習、転移学習、生成AIなど）</t>
    </r>
    <r>
      <rPr>
        <sz val="9"/>
        <rFont val="ＭＳ Ｐゴシック (本文)"/>
        <family val="3"/>
        <charset val="128"/>
      </rPr>
      <t>を示す。
　また、教育でのデータ利活用の現場と最新動向として、実際の学校現場での数理・データサイエンス・人工知能の利活用について、ビジネスモデルやテクノロジーの面から知る。特に生成AIを題材とし、</t>
    </r>
    <r>
      <rPr>
        <b/>
        <u/>
        <sz val="9"/>
        <rFont val="ＭＳ Ｐゴシック (本文)"/>
        <family val="3"/>
        <charset val="128"/>
      </rPr>
      <t>基盤モデル、大規模言語モデル、拡散モデル</t>
    </r>
    <r>
      <rPr>
        <sz val="9"/>
        <rFont val="ＭＳ Ｐゴシック (本文)"/>
        <family val="3"/>
        <charset val="128"/>
      </rPr>
      <t>の活用例を示す。</t>
    </r>
    <rPh sb="13" eb="14">
      <t>ダイ</t>
    </rPh>
    <rPh sb="16" eb="17">
      <t>カイ</t>
    </rPh>
    <rPh sb="129" eb="131">
      <t xml:space="preserve">ダイザイトシ </t>
    </rPh>
    <rPh sb="175" eb="176">
      <t xml:space="preserve">シメス </t>
    </rPh>
    <rPh sb="239" eb="240">
      <t xml:space="preserve">トクニ </t>
    </rPh>
    <rPh sb="241" eb="243">
      <t xml:space="preserve">セイセイ </t>
    </rPh>
    <rPh sb="246" eb="248">
      <t xml:space="preserve">カツヨウレイ </t>
    </rPh>
    <rPh sb="270" eb="271">
      <t xml:space="preserve">シメス カツヨウレイ シメス </t>
    </rPh>
    <phoneticPr fontId="1"/>
  </si>
  <si>
    <r>
      <rPr>
        <b/>
        <sz val="10"/>
        <rFont val="ＭＳ Ｐゴシック (本文)"/>
        <family val="3"/>
        <charset val="128"/>
      </rPr>
      <t>教育情報科学概論：第1回</t>
    </r>
    <r>
      <rPr>
        <sz val="9"/>
        <rFont val="ＭＳ Ｐゴシック (本文)"/>
        <family val="3"/>
        <charset val="128"/>
      </rPr>
      <t xml:space="preserve">
社会で運用されている実データ（</t>
    </r>
    <r>
      <rPr>
        <b/>
        <u/>
        <sz val="9"/>
        <rFont val="ＭＳ Ｐゴシック (本文)"/>
        <family val="3"/>
        <charset val="128"/>
      </rPr>
      <t>調査データ、実験データ</t>
    </r>
    <r>
      <rPr>
        <sz val="9"/>
        <rFont val="ＭＳ Ｐゴシック (本文)"/>
        <family val="3"/>
        <charset val="128"/>
      </rPr>
      <t>）について取り上げ</t>
    </r>
    <r>
      <rPr>
        <b/>
        <sz val="9"/>
        <rFont val="ＭＳ Ｐゴシック (本文)"/>
        <family val="3"/>
        <charset val="128"/>
      </rPr>
      <t>、</t>
    </r>
    <r>
      <rPr>
        <b/>
        <u/>
        <sz val="9"/>
        <rFont val="ＭＳ Ｐゴシック (本文)"/>
        <family val="3"/>
        <charset val="128"/>
      </rPr>
      <t>1次データ</t>
    </r>
    <r>
      <rPr>
        <sz val="9"/>
        <rFont val="ＭＳ Ｐゴシック (本文)"/>
        <family val="3"/>
        <charset val="128"/>
      </rPr>
      <t>から</t>
    </r>
    <r>
      <rPr>
        <b/>
        <u/>
        <sz val="9"/>
        <rFont val="ＭＳ Ｐゴシック (本文)"/>
        <family val="3"/>
        <charset val="128"/>
      </rPr>
      <t>2次データ</t>
    </r>
    <r>
      <rPr>
        <sz val="9"/>
        <rFont val="ＭＳ Ｐゴシック (本文)"/>
        <family val="3"/>
        <charset val="128"/>
      </rPr>
      <t>を得るための分析手法を知る。さらに</t>
    </r>
    <r>
      <rPr>
        <u/>
        <sz val="9"/>
        <rFont val="ＭＳ Ｐゴシック (本文)"/>
        <family val="3"/>
        <charset val="128"/>
      </rPr>
      <t>、</t>
    </r>
    <r>
      <rPr>
        <b/>
        <u/>
        <sz val="9"/>
        <rFont val="ＭＳ Ｐゴシック (本文)"/>
        <family val="3"/>
        <charset val="128"/>
      </rPr>
      <t>データのオープン化</t>
    </r>
    <r>
      <rPr>
        <sz val="9"/>
        <rFont val="ＭＳ Ｐゴシック (本文)"/>
        <family val="3"/>
        <charset val="128"/>
      </rPr>
      <t>がなされたサイトへ接続し、データセットの利活用の領域や有効となる活用手法を知る。
　また、学校教育で運用されている実データ（学習教材等の</t>
    </r>
    <r>
      <rPr>
        <b/>
        <u/>
        <sz val="9"/>
        <rFont val="ＭＳ Ｐゴシック (本文)"/>
        <family val="3"/>
        <charset val="128"/>
      </rPr>
      <t>非構造化データ（文章、画像/動画、音声/音楽など</t>
    </r>
    <r>
      <rPr>
        <sz val="9"/>
        <rFont val="ＭＳ Ｐゴシック (本文)"/>
        <family val="3"/>
        <charset val="128"/>
      </rPr>
      <t>）、学習評価等の</t>
    </r>
    <r>
      <rPr>
        <b/>
        <u/>
        <sz val="9"/>
        <rFont val="ＭＳ Ｐゴシック (本文)"/>
        <family val="3"/>
        <charset val="128"/>
      </rPr>
      <t>構造化データ</t>
    </r>
    <r>
      <rPr>
        <sz val="9"/>
        <rFont val="ＭＳ Ｐゴシック (本文)"/>
        <family val="3"/>
        <charset val="128"/>
      </rPr>
      <t>）について取り上げ、そのデータセットの利活用の領域や有効となる活用手法を知る。学習教材では、</t>
    </r>
    <r>
      <rPr>
        <b/>
        <u/>
        <sz val="9"/>
        <rFont val="ＭＳ Ｐゴシック (本文)"/>
        <family val="3"/>
        <charset val="128"/>
      </rPr>
      <t>データのメタ化</t>
    </r>
    <r>
      <rPr>
        <sz val="9"/>
        <rFont val="ＭＳ Ｐゴシック (本文)"/>
        <family val="3"/>
        <charset val="128"/>
      </rPr>
      <t>の活用事例として、LOM（Learning Object Meta-data）を、学習評価では、個人やクラスの成績処理に加え、</t>
    </r>
    <r>
      <rPr>
        <b/>
        <u/>
        <sz val="9"/>
        <rFont val="ＭＳ Ｐゴシック (本文)"/>
        <family val="3"/>
        <charset val="128"/>
      </rPr>
      <t>人の行動ログデータ</t>
    </r>
    <r>
      <rPr>
        <sz val="9"/>
        <rFont val="ＭＳ Ｐゴシック (本文)"/>
        <family val="3"/>
        <charset val="128"/>
      </rPr>
      <t>の活用事例として、学習履歴に基づいた</t>
    </r>
    <r>
      <rPr>
        <b/>
        <u/>
        <sz val="9"/>
        <rFont val="ＭＳ Ｐゴシック (本文)"/>
        <family val="3"/>
        <charset val="128"/>
      </rPr>
      <t>ビッグデータとアノテーション</t>
    </r>
    <r>
      <rPr>
        <sz val="9"/>
        <rFont val="ＭＳ Ｐゴシック (本文)"/>
        <family val="3"/>
        <charset val="128"/>
      </rPr>
      <t>を紹介する。</t>
    </r>
    <rPh sb="64" eb="65">
      <t xml:space="preserve">エルタメノ </t>
    </rPh>
    <rPh sb="69" eb="71">
      <t xml:space="preserve">ブンセキ </t>
    </rPh>
    <rPh sb="71" eb="73">
      <t xml:space="preserve">シュホウ </t>
    </rPh>
    <rPh sb="74" eb="75">
      <t xml:space="preserve">シル </t>
    </rPh>
    <rPh sb="99" eb="101">
      <t xml:space="preserve">セツゾク </t>
    </rPh>
    <rPh sb="152" eb="154">
      <t xml:space="preserve">セイセキキ </t>
    </rPh>
    <rPh sb="154" eb="155">
      <t xml:space="preserve">トウノ </t>
    </rPh>
    <rPh sb="156" eb="159">
      <t xml:space="preserve">コウゾウカ </t>
    </rPh>
    <rPh sb="163" eb="165">
      <t xml:space="preserve">ガクシュウ </t>
    </rPh>
    <rPh sb="165" eb="167">
      <t xml:space="preserve">キョウザイ </t>
    </rPh>
    <rPh sb="167" eb="168">
      <t xml:space="preserve">トウノ </t>
    </rPh>
    <rPh sb="169" eb="170">
      <t xml:space="preserve">１ </t>
    </rPh>
    <rPh sb="170" eb="173">
      <t xml:space="preserve">コウゾウカ </t>
    </rPh>
    <rPh sb="184" eb="188">
      <t xml:space="preserve">ガクシュウヒョウカ </t>
    </rPh>
    <rPh sb="188" eb="189">
      <t xml:space="preserve">トウ </t>
    </rPh>
    <rPh sb="237" eb="239">
      <t xml:space="preserve">キョウザイ </t>
    </rPh>
    <rPh sb="250" eb="252">
      <t xml:space="preserve">カツヨウ </t>
    </rPh>
    <rPh sb="252" eb="254">
      <t>ジ_x0000_1_x0001_</t>
    </rPh>
    <rPh sb="290" eb="294">
      <t>_x0006_6_x0002__x000B_8_x0002__x0010_;_x0001__x0013_</t>
    </rPh>
    <rPh sb="297" eb="299">
      <t>T_x0002__x0018__x0002_</t>
    </rPh>
    <rPh sb="304" eb="308">
      <t>_x001E_</t>
    </rPh>
    <rPh sb="309" eb="310">
      <t>_x0001_"</t>
    </rPh>
    <rPh sb="312" eb="313">
      <t>_x0003_(_x0002_</t>
    </rPh>
    <rPh sb="314" eb="316">
      <t>._x0002_4_x0001_8</t>
    </rPh>
    <rPh sb="322" eb="324">
      <t>_x0001_:_x0003_</t>
    </rPh>
    <rPh sb="324" eb="326">
      <t>@¨_x0004_J</t>
    </rPh>
    <rPh sb="330" eb="334">
      <t>¬_x0001_MÝ_x0002_Sê_x0002_X</t>
    </rPh>
    <rPh sb="335" eb="336">
      <t>ì_x0002_\Ē_x0004_</t>
    </rPh>
    <rPh sb="354" eb="356">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</si>
</sst>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8">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b/>
      <sz val="12"/>
      <name val="ＭＳ Ｐゴシック"/>
      <family val="3"/>
      <charset val="128"/>
      <scheme val="minor"/>
    </font>
    <font>
      <sz val="12"/>
      <color rgb="FFC00000"/>
      <name val="ＭＳ Ｐゴシック"/>
      <family val="3"/>
      <charset val="128"/>
      <scheme val="minor"/>
    </font>
    <font>
      <sz val="12"/>
      <name val="ＭＳ Ｐゴシック"/>
      <family val="3"/>
      <charset val="128"/>
    </font>
    <font>
      <sz val="12"/>
      <name val="ＭＳ Ｐゴシック (本文)"/>
      <family val="3"/>
      <charset val="128"/>
    </font>
    <font>
      <sz val="11"/>
      <name val="ＭＳ Ｐゴシック"/>
      <family val="3"/>
      <charset val="128"/>
      <scheme val="minor"/>
    </font>
    <font>
      <sz val="9"/>
      <name val="ＭＳ Ｐゴシック"/>
      <family val="3"/>
      <charset val="128"/>
      <scheme val="minor"/>
    </font>
    <font>
      <sz val="9"/>
      <name val="ＭＳ Ｐゴシック (本文)"/>
      <family val="3"/>
      <charset val="128"/>
    </font>
    <font>
      <b/>
      <sz val="10"/>
      <name val="ＭＳ Ｐゴシック (本文)"/>
      <family val="3"/>
      <charset val="128"/>
    </font>
    <font>
      <b/>
      <sz val="9"/>
      <name val="ＭＳ Ｐゴシック (本文)"/>
      <family val="3"/>
      <charset val="128"/>
    </font>
    <font>
      <b/>
      <sz val="10"/>
      <name val="ＭＳ Ｐゴシック"/>
      <family val="3"/>
      <charset val="128"/>
    </font>
    <font>
      <b/>
      <sz val="10"/>
      <name val="MS UI Gothic"/>
      <family val="3"/>
      <charset val="128"/>
    </font>
    <font>
      <sz val="9"/>
      <name val="游ゴシック"/>
      <family val="3"/>
      <charset val="128"/>
    </font>
    <font>
      <b/>
      <sz val="10"/>
      <name val="ＭＳ Ｐゴシック"/>
      <family val="3"/>
      <charset val="128"/>
      <scheme val="major"/>
    </font>
    <font>
      <b/>
      <u/>
      <sz val="9"/>
      <name val="ＭＳ Ｐゴシック (本文)"/>
      <family val="3"/>
      <charset val="128"/>
    </font>
    <font>
      <u/>
      <sz val="9"/>
      <name val="ＭＳ Ｐゴシック (本文)"/>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3" fillId="2" borderId="36" xfId="0" applyFont="1" applyFill="1" applyBorder="1" applyAlignment="1">
      <alignment vertical="top" shrinkToFit="1"/>
    </xf>
    <xf numFmtId="49" fontId="18" fillId="0" borderId="43" xfId="0" applyNumberFormat="1" applyFont="1" applyBorder="1" applyAlignment="1">
      <alignment horizontal="center" vertical="center"/>
    </xf>
    <xf numFmtId="49" fontId="18" fillId="0" borderId="44" xfId="0" applyNumberFormat="1" applyFont="1" applyBorder="1" applyAlignment="1">
      <alignment horizontal="center" vertical="center"/>
    </xf>
    <xf numFmtId="49" fontId="18" fillId="0" borderId="39" xfId="0" applyNumberFormat="1" applyFont="1" applyBorder="1" applyAlignment="1">
      <alignment horizontal="center" vertical="center"/>
    </xf>
    <xf numFmtId="49" fontId="18" fillId="0" borderId="26" xfId="0" applyNumberFormat="1" applyFont="1" applyBorder="1" applyAlignment="1">
      <alignment horizontal="center" vertical="center"/>
    </xf>
    <xf numFmtId="49" fontId="18" fillId="0" borderId="42" xfId="0" applyNumberFormat="1" applyFont="1" applyBorder="1" applyAlignment="1">
      <alignment horizontal="center" vertical="center"/>
    </xf>
    <xf numFmtId="49" fontId="18" fillId="0" borderId="28" xfId="0" applyNumberFormat="1"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49" fontId="19" fillId="0" borderId="29" xfId="0" applyNumberFormat="1" applyFont="1" applyBorder="1" applyAlignment="1">
      <alignment horizontal="left" vertical="top" wrapText="1"/>
    </xf>
    <xf numFmtId="49" fontId="19" fillId="0" borderId="31" xfId="0" applyNumberFormat="1" applyFont="1" applyBorder="1" applyAlignment="1">
      <alignment horizontal="left" vertical="top"/>
    </xf>
    <xf numFmtId="49" fontId="19" fillId="0" borderId="30" xfId="0" applyNumberFormat="1" applyFont="1" applyBorder="1" applyAlignment="1">
      <alignment horizontal="left" vertical="top"/>
    </xf>
    <xf numFmtId="49" fontId="19" fillId="0" borderId="32" xfId="0" applyNumberFormat="1" applyFont="1" applyBorder="1" applyAlignment="1">
      <alignment horizontal="left" vertical="top" wrapText="1"/>
    </xf>
    <xf numFmtId="49" fontId="19" fillId="0" borderId="33" xfId="0" applyNumberFormat="1" applyFont="1" applyBorder="1" applyAlignment="1">
      <alignment horizontal="left" vertical="top"/>
    </xf>
    <xf numFmtId="49" fontId="19" fillId="0" borderId="34" xfId="0" applyNumberFormat="1" applyFont="1" applyBorder="1" applyAlignment="1">
      <alignment horizontal="left" vertical="top"/>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4" xfId="0" applyFont="1" applyBorder="1" applyAlignment="1">
      <alignment horizontal="center" vertical="center"/>
    </xf>
    <xf numFmtId="0" fontId="2" fillId="0" borderId="0" xfId="0" applyFont="1" applyAlignment="1">
      <alignment vertical="center" wrapText="1"/>
    </xf>
    <xf numFmtId="49" fontId="19" fillId="0" borderId="33" xfId="0" applyNumberFormat="1" applyFont="1" applyBorder="1" applyAlignment="1">
      <alignment horizontal="left" vertical="top" wrapText="1"/>
    </xf>
    <xf numFmtId="49" fontId="19" fillId="0" borderId="34" xfId="0" applyNumberFormat="1" applyFont="1" applyBorder="1" applyAlignment="1">
      <alignment horizontal="left" vertical="top" wrapText="1"/>
    </xf>
    <xf numFmtId="49" fontId="19" fillId="0" borderId="18" xfId="0" applyNumberFormat="1" applyFont="1" applyBorder="1" applyAlignment="1">
      <alignment horizontal="left" vertical="top" wrapText="1"/>
    </xf>
    <xf numFmtId="49" fontId="19" fillId="0" borderId="19" xfId="0" applyNumberFormat="1" applyFont="1" applyBorder="1" applyAlignment="1">
      <alignment horizontal="left" vertical="top"/>
    </xf>
    <xf numFmtId="49" fontId="19" fillId="0" borderId="17" xfId="0" applyNumberFormat="1" applyFont="1" applyBorder="1" applyAlignment="1">
      <alignment horizontal="left" vertical="top"/>
    </xf>
    <xf numFmtId="49" fontId="19" fillId="0" borderId="31" xfId="0" applyNumberFormat="1" applyFont="1" applyBorder="1" applyAlignment="1">
      <alignment horizontal="left" vertical="top" wrapText="1"/>
    </xf>
    <xf numFmtId="49" fontId="19" fillId="0" borderId="30" xfId="0" applyNumberFormat="1" applyFont="1" applyBorder="1" applyAlignment="1">
      <alignment horizontal="left" vertical="top" wrapText="1"/>
    </xf>
    <xf numFmtId="0" fontId="18" fillId="0" borderId="40" xfId="0" applyFont="1" applyBorder="1" applyAlignment="1">
      <alignment vertical="center" wrapText="1"/>
    </xf>
    <xf numFmtId="0" fontId="18" fillId="0" borderId="41" xfId="0" applyFont="1" applyBorder="1" applyAlignment="1">
      <alignment vertical="center" wrapText="1"/>
    </xf>
    <xf numFmtId="0" fontId="18" fillId="0" borderId="27" xfId="0" applyFont="1" applyBorder="1" applyAlignment="1">
      <alignment vertical="center" wrapText="1"/>
    </xf>
    <xf numFmtId="0" fontId="2" fillId="0" borderId="0" xfId="0" applyFont="1" applyAlignment="1">
      <alignment horizontal="right"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6" fillId="0" borderId="11" xfId="0" applyFont="1" applyBorder="1" applyAlignment="1">
      <alignment vertical="top" wrapText="1" shrinkToFit="1"/>
    </xf>
    <xf numFmtId="0" fontId="16" fillId="0" borderId="6" xfId="0" applyFont="1" applyBorder="1" applyAlignment="1">
      <alignment vertical="top" wrapText="1" shrinkToFit="1"/>
    </xf>
    <xf numFmtId="0" fontId="16"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18" xfId="0" applyFont="1" applyBorder="1" applyAlignment="1">
      <alignment vertical="top" wrapText="1" shrinkToFit="1"/>
    </xf>
    <xf numFmtId="0" fontId="14" fillId="0" borderId="19" xfId="0" applyFont="1" applyBorder="1" applyAlignment="1">
      <alignment vertical="top" wrapText="1" shrinkToFit="1"/>
    </xf>
    <xf numFmtId="0" fontId="14"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2" xfId="0" applyFont="1" applyBorder="1" applyAlignment="1">
      <alignment vertical="top" wrapText="1" shrinkToFi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5" fillId="0" borderId="36" xfId="0" applyFont="1" applyBorder="1" applyAlignment="1">
      <alignment vertical="top" wrapText="1" shrinkToFit="1"/>
    </xf>
    <xf numFmtId="0" fontId="16" fillId="0" borderId="37" xfId="0" applyFont="1" applyBorder="1" applyAlignment="1">
      <alignment vertical="top" wrapText="1" shrinkToFit="1"/>
    </xf>
    <xf numFmtId="0" fontId="16"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4" fillId="0" borderId="18" xfId="0" applyFont="1" applyBorder="1" applyAlignment="1">
      <alignment vertical="top" wrapText="1" shrinkToFit="1"/>
    </xf>
    <xf numFmtId="0" fontId="14" fillId="0" borderId="29" xfId="0" applyFont="1" applyBorder="1" applyAlignment="1">
      <alignment vertical="top" wrapText="1" shrinkToFit="1"/>
    </xf>
    <xf numFmtId="0" fontId="14" fillId="0" borderId="31" xfId="0" applyFont="1" applyBorder="1" applyAlignment="1">
      <alignment vertical="top" wrapText="1" shrinkToFit="1"/>
    </xf>
    <xf numFmtId="0" fontId="14" fillId="0" borderId="30" xfId="0" applyFont="1" applyBorder="1" applyAlignment="1">
      <alignment vertical="top" wrapText="1" shrinkToFit="1"/>
    </xf>
    <xf numFmtId="0" fontId="11" fillId="0" borderId="2" xfId="0" applyFont="1" applyBorder="1" applyAlignment="1">
      <alignment horizontal="left" vertical="center"/>
    </xf>
    <xf numFmtId="0" fontId="17" fillId="0" borderId="3" xfId="0" applyFont="1" applyBorder="1">
      <alignment vertical="center"/>
    </xf>
    <xf numFmtId="0" fontId="17" fillId="0" borderId="4" xfId="0" applyFont="1" applyBorder="1">
      <alignmen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topLeftCell="A85" zoomScale="130" zoomScaleNormal="100" zoomScaleSheetLayoutView="130" workbookViewId="0">
      <selection activeCell="D92" sqref="D92:U92"/>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c r="T1" s="127" t="s">
        <v>12</v>
      </c>
      <c r="U1" s="127"/>
      <c r="V1" s="2" t="s">
        <v>94</v>
      </c>
    </row>
    <row r="2" spans="1:24" ht="18.75" customHeight="1">
      <c r="B2" s="17" t="s">
        <v>93</v>
      </c>
      <c r="C2" s="89" t="s">
        <v>143</v>
      </c>
      <c r="D2" s="90"/>
      <c r="E2" s="90"/>
      <c r="F2" s="90"/>
      <c r="G2" s="90"/>
      <c r="H2" s="90"/>
      <c r="I2" s="90"/>
      <c r="J2" s="91"/>
      <c r="K2" s="18"/>
      <c r="L2" s="6"/>
      <c r="M2" s="6"/>
      <c r="N2" s="6"/>
      <c r="O2" s="6"/>
      <c r="P2" s="6"/>
      <c r="Q2" s="6"/>
      <c r="R2" s="6"/>
      <c r="S2" s="6"/>
      <c r="T2" s="6"/>
      <c r="U2" s="6"/>
    </row>
    <row r="3" spans="1:24" ht="18.75" customHeight="1">
      <c r="B3" s="17" t="s">
        <v>88</v>
      </c>
      <c r="C3" s="128" t="s">
        <v>144</v>
      </c>
      <c r="D3" s="129"/>
      <c r="E3" s="129"/>
      <c r="F3" s="129"/>
      <c r="G3" s="129"/>
      <c r="H3" s="129"/>
      <c r="I3" s="129"/>
      <c r="J3" s="130"/>
      <c r="K3" s="18"/>
      <c r="L3" s="6"/>
      <c r="M3" s="6"/>
      <c r="N3" s="6"/>
      <c r="O3" s="6"/>
      <c r="P3" s="6"/>
      <c r="Q3" s="6"/>
      <c r="R3" s="6"/>
      <c r="S3" s="6"/>
      <c r="T3" s="6"/>
      <c r="U3" s="6"/>
    </row>
    <row r="4" spans="1:24" ht="15" customHeight="1">
      <c r="L4" s="18"/>
      <c r="M4" s="68"/>
      <c r="N4" s="68"/>
      <c r="O4" s="68"/>
      <c r="P4" s="68"/>
      <c r="Q4" s="68"/>
      <c r="R4" s="68"/>
      <c r="S4" s="68"/>
      <c r="T4" s="68"/>
      <c r="U4" s="68"/>
    </row>
    <row r="5" spans="1:24" ht="18" customHeight="1">
      <c r="A5" s="131" t="s">
        <v>141</v>
      </c>
      <c r="B5" s="131"/>
      <c r="C5" s="131"/>
      <c r="D5" s="131"/>
      <c r="E5" s="131"/>
      <c r="F5" s="131"/>
      <c r="G5" s="131"/>
      <c r="H5" s="131"/>
      <c r="I5" s="131"/>
      <c r="J5" s="131"/>
      <c r="K5" s="131"/>
      <c r="L5" s="131"/>
      <c r="M5" s="131"/>
      <c r="N5" s="131"/>
      <c r="O5" s="131"/>
      <c r="P5" s="131"/>
      <c r="Q5" s="131"/>
      <c r="R5" s="131"/>
      <c r="S5" s="131"/>
      <c r="T5" s="131"/>
      <c r="U5" s="131"/>
    </row>
    <row r="6" spans="1:24" ht="15" customHeight="1">
      <c r="B6" s="3"/>
      <c r="C6" s="3"/>
      <c r="D6" s="3"/>
      <c r="E6" s="3"/>
      <c r="F6" s="3"/>
      <c r="G6" s="3"/>
      <c r="H6" s="3"/>
      <c r="I6" s="3"/>
      <c r="J6" s="3"/>
      <c r="K6" s="3"/>
      <c r="L6" s="3"/>
      <c r="M6" s="3"/>
      <c r="N6" s="3"/>
      <c r="O6" s="3"/>
      <c r="P6" s="3"/>
      <c r="Q6" s="3"/>
      <c r="R6" s="3"/>
      <c r="S6" s="3"/>
      <c r="T6" s="3"/>
      <c r="U6" s="3"/>
    </row>
    <row r="7" spans="1:24" ht="15" customHeight="1">
      <c r="A7" s="1" t="s">
        <v>117</v>
      </c>
      <c r="B7" s="3"/>
      <c r="C7" s="3"/>
      <c r="D7" s="3"/>
      <c r="E7" s="3"/>
      <c r="F7" s="2"/>
      <c r="G7" s="2"/>
      <c r="H7" s="2"/>
      <c r="I7" s="2"/>
      <c r="J7" s="2"/>
      <c r="K7" s="2"/>
      <c r="L7" s="86" t="s">
        <v>145</v>
      </c>
      <c r="M7" s="87"/>
      <c r="N7" s="87"/>
      <c r="O7" s="87"/>
      <c r="P7" s="87"/>
      <c r="Q7" s="87"/>
      <c r="R7" s="87"/>
      <c r="S7" s="87"/>
      <c r="T7" s="87"/>
      <c r="U7" s="88"/>
    </row>
    <row r="8" spans="1:24" ht="6" customHeight="1">
      <c r="B8" s="3"/>
      <c r="C8" s="3"/>
      <c r="D8" s="3"/>
      <c r="E8" s="3"/>
      <c r="F8" s="3"/>
      <c r="G8" s="3"/>
      <c r="H8" s="3"/>
      <c r="I8" s="3"/>
      <c r="J8" s="3"/>
      <c r="K8" s="3"/>
      <c r="L8" s="3"/>
      <c r="M8" s="3"/>
      <c r="N8" s="3"/>
      <c r="O8" s="3"/>
      <c r="P8" s="3"/>
      <c r="Q8" s="3"/>
      <c r="R8" s="3"/>
      <c r="S8" s="3"/>
      <c r="T8" s="3"/>
      <c r="U8" s="3"/>
    </row>
    <row r="9" spans="1:24" ht="18" customHeight="1">
      <c r="A9" s="1" t="s">
        <v>118</v>
      </c>
      <c r="C9" s="3"/>
      <c r="D9" s="3"/>
      <c r="K9" s="18"/>
      <c r="L9" s="2"/>
      <c r="M9" s="2"/>
      <c r="N9" s="2"/>
      <c r="O9" s="2"/>
      <c r="P9" s="2"/>
      <c r="Q9" s="2"/>
      <c r="R9" s="2"/>
      <c r="S9" s="2"/>
      <c r="T9" s="2"/>
      <c r="U9" s="2"/>
    </row>
    <row r="10" spans="1:24" ht="6" customHeight="1">
      <c r="B10" s="3"/>
      <c r="C10" s="3"/>
      <c r="D10" s="3"/>
      <c r="E10" s="3"/>
      <c r="F10" s="3"/>
      <c r="G10" s="3"/>
      <c r="H10" s="3"/>
      <c r="I10" s="3"/>
      <c r="J10" s="3"/>
      <c r="K10" s="3"/>
      <c r="L10" s="10"/>
      <c r="M10" s="3"/>
      <c r="N10" s="3"/>
      <c r="O10" s="3"/>
      <c r="P10" s="3"/>
      <c r="Q10" s="3"/>
      <c r="R10" s="3"/>
      <c r="S10" s="3"/>
      <c r="T10" s="3"/>
      <c r="U10" s="3"/>
    </row>
    <row r="11" spans="1:24" ht="18" customHeight="1">
      <c r="B11" s="98"/>
      <c r="C11" s="99"/>
      <c r="D11" s="99"/>
      <c r="E11" s="99"/>
      <c r="F11" s="99"/>
      <c r="G11" s="99"/>
      <c r="H11" s="99"/>
      <c r="I11" s="99"/>
      <c r="J11" s="99"/>
      <c r="K11" s="99"/>
      <c r="L11" s="99"/>
      <c r="M11" s="99"/>
      <c r="N11" s="99"/>
      <c r="O11" s="99"/>
      <c r="P11" s="99"/>
      <c r="Q11" s="99"/>
      <c r="R11" s="99"/>
      <c r="S11" s="99"/>
      <c r="T11" s="99"/>
      <c r="U11" s="100"/>
    </row>
    <row r="12" spans="1:24" ht="18" customHeight="1">
      <c r="B12" s="101"/>
      <c r="C12" s="102"/>
      <c r="D12" s="102"/>
      <c r="E12" s="102"/>
      <c r="F12" s="102"/>
      <c r="G12" s="102"/>
      <c r="H12" s="102"/>
      <c r="I12" s="102"/>
      <c r="J12" s="102"/>
      <c r="K12" s="102"/>
      <c r="L12" s="102"/>
      <c r="M12" s="102"/>
      <c r="N12" s="102"/>
      <c r="O12" s="102"/>
      <c r="P12" s="102"/>
      <c r="Q12" s="102"/>
      <c r="R12" s="102"/>
      <c r="S12" s="102"/>
      <c r="T12" s="102"/>
      <c r="U12" s="103"/>
    </row>
    <row r="13" spans="1:24" ht="6" customHeight="1">
      <c r="B13" s="3"/>
      <c r="C13" s="3"/>
      <c r="D13" s="3"/>
      <c r="E13" s="3"/>
      <c r="F13" s="3"/>
      <c r="G13" s="3"/>
      <c r="H13" s="3"/>
      <c r="I13" s="3"/>
      <c r="J13" s="3"/>
      <c r="K13" s="3"/>
      <c r="L13" s="10"/>
      <c r="M13" s="3"/>
      <c r="N13" s="3"/>
      <c r="O13" s="3"/>
      <c r="P13" s="3"/>
      <c r="Q13" s="3"/>
      <c r="R13" s="3"/>
      <c r="S13" s="3"/>
      <c r="T13" s="3"/>
      <c r="U13" s="3"/>
    </row>
    <row r="14" spans="1:24" ht="18" customHeight="1">
      <c r="A14" s="1" t="s">
        <v>95</v>
      </c>
      <c r="B14" s="3"/>
      <c r="C14" s="3"/>
      <c r="D14" s="3"/>
      <c r="E14" s="18"/>
      <c r="F14" s="18"/>
      <c r="G14" s="18"/>
      <c r="H14" s="18"/>
      <c r="I14" s="18"/>
      <c r="J14" s="18"/>
      <c r="K14" s="18"/>
      <c r="L14" s="69"/>
      <c r="M14" s="69"/>
      <c r="N14" s="69"/>
      <c r="O14" s="69"/>
      <c r="P14" s="69"/>
      <c r="Q14" s="69"/>
      <c r="R14" s="69"/>
      <c r="S14" s="69"/>
      <c r="T14" s="69"/>
      <c r="U14" s="69"/>
    </row>
    <row r="15" spans="1:24" ht="18" customHeight="1">
      <c r="B15" s="132" t="s">
        <v>146</v>
      </c>
      <c r="C15" s="133"/>
      <c r="D15" s="133"/>
      <c r="E15" s="133"/>
      <c r="F15" s="133"/>
      <c r="G15" s="133"/>
      <c r="H15" s="133"/>
      <c r="I15" s="133"/>
      <c r="J15" s="133"/>
      <c r="K15" s="133"/>
      <c r="L15" s="133"/>
      <c r="M15" s="133"/>
      <c r="N15" s="133"/>
      <c r="O15" s="133"/>
      <c r="P15" s="133"/>
      <c r="Q15" s="133"/>
      <c r="R15" s="133"/>
      <c r="S15" s="133"/>
      <c r="T15" s="133"/>
      <c r="U15" s="134"/>
      <c r="X15" s="1" t="s">
        <v>89</v>
      </c>
    </row>
    <row r="16" spans="1:24" ht="18" customHeight="1">
      <c r="B16" s="135"/>
      <c r="C16" s="136"/>
      <c r="D16" s="136"/>
      <c r="E16" s="136"/>
      <c r="F16" s="136"/>
      <c r="G16" s="136"/>
      <c r="H16" s="136"/>
      <c r="I16" s="136"/>
      <c r="J16" s="136"/>
      <c r="K16" s="136"/>
      <c r="L16" s="136"/>
      <c r="M16" s="136"/>
      <c r="N16" s="136"/>
      <c r="O16" s="136"/>
      <c r="P16" s="136"/>
      <c r="Q16" s="136"/>
      <c r="R16" s="136"/>
      <c r="S16" s="136"/>
      <c r="T16" s="136"/>
      <c r="U16" s="137"/>
      <c r="X16" s="1" t="s">
        <v>122</v>
      </c>
    </row>
    <row r="17" spans="1:24" ht="18" customHeight="1">
      <c r="B17" s="135"/>
      <c r="C17" s="136"/>
      <c r="D17" s="136"/>
      <c r="E17" s="136"/>
      <c r="F17" s="136"/>
      <c r="G17" s="136"/>
      <c r="H17" s="136"/>
      <c r="I17" s="136"/>
      <c r="J17" s="136"/>
      <c r="K17" s="136"/>
      <c r="L17" s="136"/>
      <c r="M17" s="136"/>
      <c r="N17" s="136"/>
      <c r="O17" s="136"/>
      <c r="P17" s="136"/>
      <c r="Q17" s="136"/>
      <c r="R17" s="136"/>
      <c r="S17" s="136"/>
      <c r="T17" s="136"/>
      <c r="U17" s="137"/>
      <c r="X17" s="1" t="s">
        <v>123</v>
      </c>
    </row>
    <row r="18" spans="1:24" ht="18" customHeight="1">
      <c r="B18" s="135"/>
      <c r="C18" s="136"/>
      <c r="D18" s="136"/>
      <c r="E18" s="136"/>
      <c r="F18" s="136"/>
      <c r="G18" s="136"/>
      <c r="H18" s="136"/>
      <c r="I18" s="136"/>
      <c r="J18" s="136"/>
      <c r="K18" s="136"/>
      <c r="L18" s="136"/>
      <c r="M18" s="136"/>
      <c r="N18" s="136"/>
      <c r="O18" s="136"/>
      <c r="P18" s="136"/>
      <c r="Q18" s="136"/>
      <c r="R18" s="136"/>
      <c r="S18" s="136"/>
      <c r="T18" s="136"/>
      <c r="U18" s="137"/>
      <c r="X18" s="1" t="s">
        <v>124</v>
      </c>
    </row>
    <row r="19" spans="1:24" ht="18" customHeight="1">
      <c r="B19" s="135"/>
      <c r="C19" s="136"/>
      <c r="D19" s="136"/>
      <c r="E19" s="136"/>
      <c r="F19" s="136"/>
      <c r="G19" s="136"/>
      <c r="H19" s="136"/>
      <c r="I19" s="136"/>
      <c r="J19" s="136"/>
      <c r="K19" s="136"/>
      <c r="L19" s="136"/>
      <c r="M19" s="136"/>
      <c r="N19" s="136"/>
      <c r="O19" s="136"/>
      <c r="P19" s="136"/>
      <c r="Q19" s="136"/>
      <c r="R19" s="136"/>
      <c r="S19" s="136"/>
      <c r="T19" s="136"/>
      <c r="U19" s="137"/>
    </row>
    <row r="20" spans="1:24" ht="18" customHeight="1">
      <c r="B20" s="138"/>
      <c r="C20" s="139"/>
      <c r="D20" s="139"/>
      <c r="E20" s="139"/>
      <c r="F20" s="139"/>
      <c r="G20" s="139"/>
      <c r="H20" s="139"/>
      <c r="I20" s="139"/>
      <c r="J20" s="139"/>
      <c r="K20" s="139"/>
      <c r="L20" s="139"/>
      <c r="M20" s="139"/>
      <c r="N20" s="139"/>
      <c r="O20" s="139"/>
      <c r="P20" s="139"/>
      <c r="Q20" s="139"/>
      <c r="R20" s="139"/>
      <c r="S20" s="139"/>
      <c r="T20" s="139"/>
      <c r="U20" s="140"/>
    </row>
    <row r="21" spans="1:24" ht="7.5" customHeight="1">
      <c r="B21" s="3"/>
      <c r="C21" s="3"/>
      <c r="D21" s="3"/>
      <c r="E21" s="3"/>
      <c r="F21" s="3"/>
      <c r="G21" s="3"/>
      <c r="H21" s="3"/>
      <c r="I21" s="3"/>
      <c r="J21" s="3"/>
      <c r="K21" s="3"/>
      <c r="L21" s="3"/>
      <c r="M21" s="3"/>
      <c r="N21" s="3"/>
      <c r="O21" s="3"/>
      <c r="P21" s="3"/>
      <c r="Q21" s="3"/>
      <c r="R21" s="3"/>
      <c r="S21" s="3"/>
      <c r="T21" s="3"/>
      <c r="U21" s="3"/>
    </row>
    <row r="22" spans="1:24" ht="19.899999999999999" customHeight="1">
      <c r="B22" s="1" t="s">
        <v>119</v>
      </c>
      <c r="E22" s="17">
        <v>1</v>
      </c>
      <c r="F22" s="1" t="s">
        <v>107</v>
      </c>
      <c r="H22" s="17">
        <v>2</v>
      </c>
      <c r="I22" s="3" t="s">
        <v>108</v>
      </c>
      <c r="J22" s="3"/>
      <c r="K22" s="18"/>
      <c r="M22" s="18" t="s">
        <v>104</v>
      </c>
      <c r="N22" s="83" t="s">
        <v>122</v>
      </c>
      <c r="O22" s="84"/>
      <c r="P22" s="84"/>
      <c r="Q22" s="84"/>
      <c r="R22" s="84"/>
      <c r="S22" s="84"/>
      <c r="T22" s="84"/>
      <c r="U22" s="85"/>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116" t="s">
        <v>96</v>
      </c>
      <c r="B24" s="116"/>
      <c r="C24" s="116"/>
      <c r="D24" s="116"/>
      <c r="E24" s="116"/>
      <c r="F24" s="116"/>
      <c r="G24" s="116"/>
      <c r="H24" s="116"/>
      <c r="I24" s="116"/>
      <c r="J24" s="116"/>
      <c r="K24" s="116"/>
      <c r="L24" s="116"/>
      <c r="M24" s="116"/>
      <c r="N24" s="116"/>
      <c r="O24" s="116"/>
      <c r="P24" s="116"/>
      <c r="Q24" s="116"/>
      <c r="R24" s="116"/>
      <c r="S24" s="116"/>
      <c r="T24" s="116"/>
      <c r="U24" s="116"/>
    </row>
    <row r="25" spans="1:24" ht="18" customHeight="1">
      <c r="A25" s="116"/>
      <c r="B25" s="116"/>
      <c r="C25" s="116"/>
      <c r="D25" s="116"/>
      <c r="E25" s="116"/>
      <c r="F25" s="116"/>
      <c r="G25" s="116"/>
      <c r="H25" s="116"/>
      <c r="I25" s="116"/>
      <c r="J25" s="116"/>
      <c r="K25" s="116"/>
      <c r="L25" s="116"/>
      <c r="M25" s="116"/>
      <c r="N25" s="116"/>
      <c r="O25" s="116"/>
      <c r="P25" s="116"/>
      <c r="Q25" s="116"/>
      <c r="R25" s="116"/>
      <c r="S25" s="116"/>
      <c r="T25" s="116"/>
      <c r="U25" s="116"/>
    </row>
    <row r="26" spans="1:24" ht="18" customHeight="1">
      <c r="B26" s="110" t="s">
        <v>48</v>
      </c>
      <c r="C26" s="111"/>
      <c r="D26" s="111"/>
      <c r="E26" s="111"/>
      <c r="F26" s="115"/>
      <c r="G26" s="60" t="s">
        <v>73</v>
      </c>
      <c r="H26" s="61" t="s">
        <v>76</v>
      </c>
      <c r="I26" s="62" t="s">
        <v>51</v>
      </c>
      <c r="J26" s="62" t="s">
        <v>54</v>
      </c>
      <c r="K26" s="110" t="s">
        <v>48</v>
      </c>
      <c r="L26" s="111"/>
      <c r="M26" s="111"/>
      <c r="N26" s="111"/>
      <c r="O26" s="111"/>
      <c r="P26" s="111"/>
      <c r="Q26" s="115"/>
      <c r="R26" s="60" t="s">
        <v>73</v>
      </c>
      <c r="S26" s="61" t="s">
        <v>76</v>
      </c>
      <c r="T26" s="62" t="s">
        <v>51</v>
      </c>
      <c r="U26" s="62" t="s">
        <v>54</v>
      </c>
    </row>
    <row r="27" spans="1:24" ht="18" customHeight="1">
      <c r="B27" s="112" t="s">
        <v>147</v>
      </c>
      <c r="C27" s="113"/>
      <c r="D27" s="113"/>
      <c r="E27" s="113"/>
      <c r="F27" s="114"/>
      <c r="G27" s="63">
        <v>2</v>
      </c>
      <c r="H27" s="63" t="s">
        <v>148</v>
      </c>
      <c r="I27" s="63" t="s">
        <v>148</v>
      </c>
      <c r="J27" s="63" t="s">
        <v>148</v>
      </c>
      <c r="K27" s="112"/>
      <c r="L27" s="113"/>
      <c r="M27" s="113"/>
      <c r="N27" s="113"/>
      <c r="O27" s="113"/>
      <c r="P27" s="113"/>
      <c r="Q27" s="114"/>
      <c r="R27" s="63"/>
      <c r="S27" s="63"/>
      <c r="T27" s="63"/>
      <c r="U27" s="63"/>
    </row>
    <row r="28" spans="1:24" ht="18" customHeight="1">
      <c r="B28" s="104"/>
      <c r="C28" s="105"/>
      <c r="D28" s="105"/>
      <c r="E28" s="105"/>
      <c r="F28" s="106"/>
      <c r="G28" s="64"/>
      <c r="H28" s="64"/>
      <c r="I28" s="64"/>
      <c r="J28" s="64"/>
      <c r="K28" s="104"/>
      <c r="L28" s="105"/>
      <c r="M28" s="105"/>
      <c r="N28" s="105"/>
      <c r="O28" s="105"/>
      <c r="P28" s="105"/>
      <c r="Q28" s="106"/>
      <c r="R28" s="64"/>
      <c r="S28" s="64"/>
      <c r="T28" s="64"/>
      <c r="U28" s="64"/>
    </row>
    <row r="29" spans="1:24" ht="18" customHeight="1">
      <c r="B29" s="104"/>
      <c r="C29" s="105"/>
      <c r="D29" s="105"/>
      <c r="E29" s="105"/>
      <c r="F29" s="106"/>
      <c r="G29" s="64"/>
      <c r="H29" s="64"/>
      <c r="I29" s="64"/>
      <c r="J29" s="64"/>
      <c r="K29" s="104"/>
      <c r="L29" s="105"/>
      <c r="M29" s="105"/>
      <c r="N29" s="105"/>
      <c r="O29" s="105"/>
      <c r="P29" s="105"/>
      <c r="Q29" s="106"/>
      <c r="R29" s="64"/>
      <c r="S29" s="64"/>
      <c r="T29" s="64"/>
      <c r="U29" s="64"/>
    </row>
    <row r="30" spans="1:24" ht="18" customHeight="1">
      <c r="B30" s="104"/>
      <c r="C30" s="105"/>
      <c r="D30" s="105"/>
      <c r="E30" s="105"/>
      <c r="F30" s="106"/>
      <c r="G30" s="64"/>
      <c r="H30" s="64"/>
      <c r="I30" s="64"/>
      <c r="J30" s="64"/>
      <c r="K30" s="104"/>
      <c r="L30" s="105"/>
      <c r="M30" s="105"/>
      <c r="N30" s="105"/>
      <c r="O30" s="105"/>
      <c r="P30" s="105"/>
      <c r="Q30" s="106"/>
      <c r="R30" s="64"/>
      <c r="S30" s="64"/>
      <c r="T30" s="64"/>
      <c r="U30" s="64"/>
    </row>
    <row r="31" spans="1:24" ht="18" customHeight="1">
      <c r="B31" s="104"/>
      <c r="C31" s="105"/>
      <c r="D31" s="105"/>
      <c r="E31" s="105"/>
      <c r="F31" s="106"/>
      <c r="G31" s="64"/>
      <c r="H31" s="64"/>
      <c r="I31" s="64"/>
      <c r="J31" s="64"/>
      <c r="K31" s="104"/>
      <c r="L31" s="105"/>
      <c r="M31" s="105"/>
      <c r="N31" s="105"/>
      <c r="O31" s="105"/>
      <c r="P31" s="105"/>
      <c r="Q31" s="106"/>
      <c r="R31" s="64"/>
      <c r="S31" s="64"/>
      <c r="T31" s="64"/>
      <c r="U31" s="64"/>
    </row>
    <row r="32" spans="1:24" ht="18" customHeight="1">
      <c r="A32" s="3"/>
      <c r="B32" s="104"/>
      <c r="C32" s="105"/>
      <c r="D32" s="105"/>
      <c r="E32" s="105"/>
      <c r="F32" s="106"/>
      <c r="G32" s="64"/>
      <c r="H32" s="64"/>
      <c r="I32" s="64"/>
      <c r="J32" s="64"/>
      <c r="K32" s="104"/>
      <c r="L32" s="105"/>
      <c r="M32" s="105"/>
      <c r="N32" s="105"/>
      <c r="O32" s="105"/>
      <c r="P32" s="105"/>
      <c r="Q32" s="106"/>
      <c r="R32" s="64"/>
      <c r="S32" s="64"/>
      <c r="T32" s="64"/>
      <c r="U32" s="64"/>
    </row>
    <row r="33" spans="1:21" ht="18" customHeight="1">
      <c r="A33" s="3"/>
      <c r="B33" s="107"/>
      <c r="C33" s="108"/>
      <c r="D33" s="108"/>
      <c r="E33" s="108"/>
      <c r="F33" s="109"/>
      <c r="G33" s="65"/>
      <c r="H33" s="65"/>
      <c r="I33" s="66"/>
      <c r="J33" s="66"/>
      <c r="K33" s="107"/>
      <c r="L33" s="108"/>
      <c r="M33" s="108"/>
      <c r="N33" s="108"/>
      <c r="O33" s="108"/>
      <c r="P33" s="108"/>
      <c r="Q33" s="109"/>
      <c r="R33" s="65"/>
      <c r="S33" s="65"/>
      <c r="T33" s="66"/>
      <c r="U33" s="66"/>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16" t="s">
        <v>97</v>
      </c>
      <c r="B35" s="116"/>
      <c r="C35" s="116"/>
      <c r="D35" s="116"/>
      <c r="E35" s="116"/>
      <c r="F35" s="116"/>
      <c r="G35" s="116"/>
      <c r="H35" s="116"/>
      <c r="I35" s="116"/>
      <c r="J35" s="116"/>
      <c r="K35" s="116"/>
      <c r="L35" s="116"/>
      <c r="M35" s="116"/>
      <c r="N35" s="116"/>
      <c r="O35" s="116"/>
      <c r="P35" s="116"/>
      <c r="Q35" s="116"/>
      <c r="R35" s="116"/>
      <c r="S35" s="116"/>
      <c r="T35" s="116"/>
      <c r="U35" s="116"/>
    </row>
    <row r="36" spans="1:21" ht="18" customHeight="1">
      <c r="A36" s="116"/>
      <c r="B36" s="116"/>
      <c r="C36" s="116"/>
      <c r="D36" s="116"/>
      <c r="E36" s="116"/>
      <c r="F36" s="116"/>
      <c r="G36" s="116"/>
      <c r="H36" s="116"/>
      <c r="I36" s="116"/>
      <c r="J36" s="116"/>
      <c r="K36" s="116"/>
      <c r="L36" s="116"/>
      <c r="M36" s="116"/>
      <c r="N36" s="116"/>
      <c r="O36" s="116"/>
      <c r="P36" s="116"/>
      <c r="Q36" s="116"/>
      <c r="R36" s="116"/>
      <c r="S36" s="116"/>
      <c r="T36" s="116"/>
      <c r="U36" s="116"/>
    </row>
    <row r="37" spans="1:21" ht="18" customHeight="1">
      <c r="B37" s="110" t="s">
        <v>48</v>
      </c>
      <c r="C37" s="111"/>
      <c r="D37" s="111"/>
      <c r="E37" s="111"/>
      <c r="F37" s="115"/>
      <c r="G37" s="60" t="s">
        <v>73</v>
      </c>
      <c r="H37" s="61" t="s">
        <v>76</v>
      </c>
      <c r="I37" s="62" t="s">
        <v>64</v>
      </c>
      <c r="J37" s="62" t="s">
        <v>65</v>
      </c>
      <c r="K37" s="110" t="s">
        <v>48</v>
      </c>
      <c r="L37" s="111"/>
      <c r="M37" s="111"/>
      <c r="N37" s="111"/>
      <c r="O37" s="111"/>
      <c r="P37" s="111"/>
      <c r="Q37" s="115"/>
      <c r="R37" s="60" t="s">
        <v>73</v>
      </c>
      <c r="S37" s="61" t="s">
        <v>76</v>
      </c>
      <c r="T37" s="62" t="s">
        <v>64</v>
      </c>
      <c r="U37" s="62" t="s">
        <v>65</v>
      </c>
    </row>
    <row r="38" spans="1:21" ht="18" customHeight="1">
      <c r="B38" s="112" t="s">
        <v>147</v>
      </c>
      <c r="C38" s="113"/>
      <c r="D38" s="113"/>
      <c r="E38" s="113"/>
      <c r="F38" s="114"/>
      <c r="G38" s="63">
        <v>2</v>
      </c>
      <c r="H38" s="63" t="s">
        <v>148</v>
      </c>
      <c r="I38" s="63" t="s">
        <v>148</v>
      </c>
      <c r="J38" s="63" t="s">
        <v>148</v>
      </c>
      <c r="K38" s="112"/>
      <c r="L38" s="113"/>
      <c r="M38" s="113"/>
      <c r="N38" s="113"/>
      <c r="O38" s="113"/>
      <c r="P38" s="113"/>
      <c r="Q38" s="114"/>
      <c r="R38" s="63"/>
      <c r="S38" s="63"/>
      <c r="T38" s="63"/>
      <c r="U38" s="63"/>
    </row>
    <row r="39" spans="1:21" ht="18" customHeight="1">
      <c r="B39" s="104"/>
      <c r="C39" s="105"/>
      <c r="D39" s="105"/>
      <c r="E39" s="105"/>
      <c r="F39" s="106"/>
      <c r="G39" s="64"/>
      <c r="H39" s="64"/>
      <c r="I39" s="64"/>
      <c r="J39" s="64"/>
      <c r="K39" s="104"/>
      <c r="L39" s="105"/>
      <c r="M39" s="105"/>
      <c r="N39" s="105"/>
      <c r="O39" s="105"/>
      <c r="P39" s="105"/>
      <c r="Q39" s="106"/>
      <c r="R39" s="64"/>
      <c r="S39" s="64"/>
      <c r="T39" s="64"/>
      <c r="U39" s="64"/>
    </row>
    <row r="40" spans="1:21" ht="18" customHeight="1">
      <c r="B40" s="104"/>
      <c r="C40" s="105"/>
      <c r="D40" s="105"/>
      <c r="E40" s="105"/>
      <c r="F40" s="106"/>
      <c r="G40" s="64"/>
      <c r="H40" s="64"/>
      <c r="I40" s="64"/>
      <c r="J40" s="64"/>
      <c r="K40" s="104"/>
      <c r="L40" s="105"/>
      <c r="M40" s="105"/>
      <c r="N40" s="105"/>
      <c r="O40" s="105"/>
      <c r="P40" s="105"/>
      <c r="Q40" s="106"/>
      <c r="R40" s="64"/>
      <c r="S40" s="64"/>
      <c r="T40" s="64"/>
      <c r="U40" s="64"/>
    </row>
    <row r="41" spans="1:21" ht="18" customHeight="1">
      <c r="B41" s="104"/>
      <c r="C41" s="105"/>
      <c r="D41" s="105"/>
      <c r="E41" s="105"/>
      <c r="F41" s="106"/>
      <c r="G41" s="64"/>
      <c r="H41" s="64"/>
      <c r="I41" s="64"/>
      <c r="J41" s="64"/>
      <c r="K41" s="104"/>
      <c r="L41" s="105"/>
      <c r="M41" s="105"/>
      <c r="N41" s="105"/>
      <c r="O41" s="105"/>
      <c r="P41" s="105"/>
      <c r="Q41" s="106"/>
      <c r="R41" s="64"/>
      <c r="S41" s="64"/>
      <c r="T41" s="64"/>
      <c r="U41" s="64"/>
    </row>
    <row r="42" spans="1:21" ht="18" customHeight="1">
      <c r="B42" s="104"/>
      <c r="C42" s="105"/>
      <c r="D42" s="105"/>
      <c r="E42" s="105"/>
      <c r="F42" s="106"/>
      <c r="G42" s="64"/>
      <c r="H42" s="64"/>
      <c r="I42" s="64"/>
      <c r="J42" s="64"/>
      <c r="K42" s="104"/>
      <c r="L42" s="105"/>
      <c r="M42" s="105"/>
      <c r="N42" s="105"/>
      <c r="O42" s="105"/>
      <c r="P42" s="105"/>
      <c r="Q42" s="106"/>
      <c r="R42" s="64"/>
      <c r="S42" s="64"/>
      <c r="T42" s="64"/>
      <c r="U42" s="64"/>
    </row>
    <row r="43" spans="1:21" ht="18" customHeight="1">
      <c r="B43" s="104"/>
      <c r="C43" s="105"/>
      <c r="D43" s="105"/>
      <c r="E43" s="105"/>
      <c r="F43" s="106"/>
      <c r="G43" s="64"/>
      <c r="H43" s="64"/>
      <c r="I43" s="64"/>
      <c r="J43" s="64"/>
      <c r="K43" s="104"/>
      <c r="L43" s="105"/>
      <c r="M43" s="105"/>
      <c r="N43" s="105"/>
      <c r="O43" s="105"/>
      <c r="P43" s="105"/>
      <c r="Q43" s="106"/>
      <c r="R43" s="64"/>
      <c r="S43" s="64"/>
      <c r="T43" s="64"/>
      <c r="U43" s="64"/>
    </row>
    <row r="44" spans="1:21" ht="18" customHeight="1">
      <c r="B44" s="107"/>
      <c r="C44" s="108"/>
      <c r="D44" s="108"/>
      <c r="E44" s="108"/>
      <c r="F44" s="109"/>
      <c r="G44" s="65"/>
      <c r="H44" s="65"/>
      <c r="I44" s="66"/>
      <c r="J44" s="66"/>
      <c r="K44" s="107"/>
      <c r="L44" s="108"/>
      <c r="M44" s="108"/>
      <c r="N44" s="108"/>
      <c r="O44" s="108"/>
      <c r="P44" s="108"/>
      <c r="Q44" s="109"/>
      <c r="R44" s="65"/>
      <c r="S44" s="65"/>
      <c r="T44" s="66"/>
      <c r="U44" s="66"/>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16" t="s">
        <v>98</v>
      </c>
      <c r="B46" s="116"/>
      <c r="C46" s="116"/>
      <c r="D46" s="116"/>
      <c r="E46" s="116"/>
      <c r="F46" s="116"/>
      <c r="G46" s="116"/>
      <c r="H46" s="116"/>
      <c r="I46" s="116"/>
      <c r="J46" s="116"/>
      <c r="K46" s="116"/>
      <c r="L46" s="116"/>
      <c r="M46" s="116"/>
      <c r="N46" s="116"/>
      <c r="O46" s="116"/>
      <c r="P46" s="116"/>
      <c r="Q46" s="116"/>
      <c r="R46" s="116"/>
      <c r="S46" s="116"/>
      <c r="T46" s="116"/>
      <c r="U46" s="116"/>
    </row>
    <row r="47" spans="1:21" ht="18" customHeight="1">
      <c r="A47" s="116"/>
      <c r="B47" s="116"/>
      <c r="C47" s="116"/>
      <c r="D47" s="116"/>
      <c r="E47" s="116"/>
      <c r="F47" s="116"/>
      <c r="G47" s="116"/>
      <c r="H47" s="116"/>
      <c r="I47" s="116"/>
      <c r="J47" s="116"/>
      <c r="K47" s="116"/>
      <c r="L47" s="116"/>
      <c r="M47" s="116"/>
      <c r="N47" s="116"/>
      <c r="O47" s="116"/>
      <c r="P47" s="116"/>
      <c r="Q47" s="116"/>
      <c r="R47" s="116"/>
      <c r="S47" s="116"/>
      <c r="T47" s="116"/>
      <c r="U47" s="116"/>
    </row>
    <row r="48" spans="1:21" ht="18" customHeight="1">
      <c r="B48" s="110" t="s">
        <v>48</v>
      </c>
      <c r="C48" s="111"/>
      <c r="D48" s="111"/>
      <c r="E48" s="111"/>
      <c r="F48" s="115"/>
      <c r="G48" s="60" t="s">
        <v>73</v>
      </c>
      <c r="H48" s="61" t="s">
        <v>76</v>
      </c>
      <c r="I48" s="62" t="s">
        <v>66</v>
      </c>
      <c r="J48" s="62" t="s">
        <v>67</v>
      </c>
      <c r="K48" s="110" t="s">
        <v>48</v>
      </c>
      <c r="L48" s="111"/>
      <c r="M48" s="111"/>
      <c r="N48" s="111"/>
      <c r="O48" s="111"/>
      <c r="P48" s="111"/>
      <c r="Q48" s="115"/>
      <c r="R48" s="60" t="s">
        <v>73</v>
      </c>
      <c r="S48" s="61" t="s">
        <v>76</v>
      </c>
      <c r="T48" s="62" t="s">
        <v>66</v>
      </c>
      <c r="U48" s="62" t="s">
        <v>67</v>
      </c>
    </row>
    <row r="49" spans="1:21" ht="18" customHeight="1">
      <c r="A49" s="3"/>
      <c r="B49" s="112" t="s">
        <v>147</v>
      </c>
      <c r="C49" s="113"/>
      <c r="D49" s="113"/>
      <c r="E49" s="113"/>
      <c r="F49" s="114"/>
      <c r="G49" s="63">
        <v>2</v>
      </c>
      <c r="H49" s="63" t="s">
        <v>148</v>
      </c>
      <c r="I49" s="63" t="s">
        <v>148</v>
      </c>
      <c r="J49" s="63" t="s">
        <v>148</v>
      </c>
      <c r="K49" s="112"/>
      <c r="L49" s="113"/>
      <c r="M49" s="113"/>
      <c r="N49" s="113"/>
      <c r="O49" s="113"/>
      <c r="P49" s="113"/>
      <c r="Q49" s="114"/>
      <c r="R49" s="63"/>
      <c r="S49" s="63"/>
      <c r="T49" s="63"/>
      <c r="U49" s="63"/>
    </row>
    <row r="50" spans="1:21" ht="18" customHeight="1">
      <c r="A50" s="3"/>
      <c r="B50" s="104"/>
      <c r="C50" s="105"/>
      <c r="D50" s="105"/>
      <c r="E50" s="105"/>
      <c r="F50" s="106"/>
      <c r="G50" s="64"/>
      <c r="H50" s="64"/>
      <c r="I50" s="64"/>
      <c r="J50" s="64"/>
      <c r="K50" s="104"/>
      <c r="L50" s="105"/>
      <c r="M50" s="105"/>
      <c r="N50" s="105"/>
      <c r="O50" s="105"/>
      <c r="P50" s="105"/>
      <c r="Q50" s="106"/>
      <c r="R50" s="64"/>
      <c r="S50" s="64"/>
      <c r="T50" s="64"/>
      <c r="U50" s="64"/>
    </row>
    <row r="51" spans="1:21" ht="18" customHeight="1">
      <c r="A51" s="3"/>
      <c r="B51" s="104"/>
      <c r="C51" s="105"/>
      <c r="D51" s="105"/>
      <c r="E51" s="105"/>
      <c r="F51" s="106"/>
      <c r="G51" s="64"/>
      <c r="H51" s="64"/>
      <c r="I51" s="64"/>
      <c r="J51" s="64"/>
      <c r="K51" s="104"/>
      <c r="L51" s="105"/>
      <c r="M51" s="105"/>
      <c r="N51" s="105"/>
      <c r="O51" s="105"/>
      <c r="P51" s="105"/>
      <c r="Q51" s="106"/>
      <c r="R51" s="64"/>
      <c r="S51" s="64"/>
      <c r="T51" s="64"/>
      <c r="U51" s="64"/>
    </row>
    <row r="52" spans="1:21" ht="18" customHeight="1">
      <c r="A52" s="3"/>
      <c r="B52" s="104"/>
      <c r="C52" s="105"/>
      <c r="D52" s="105"/>
      <c r="E52" s="105"/>
      <c r="F52" s="106"/>
      <c r="G52" s="64"/>
      <c r="H52" s="64"/>
      <c r="I52" s="64"/>
      <c r="J52" s="64"/>
      <c r="K52" s="104"/>
      <c r="L52" s="105"/>
      <c r="M52" s="105"/>
      <c r="N52" s="105"/>
      <c r="O52" s="105"/>
      <c r="P52" s="105"/>
      <c r="Q52" s="106"/>
      <c r="R52" s="64"/>
      <c r="S52" s="64"/>
      <c r="T52" s="64"/>
      <c r="U52" s="64"/>
    </row>
    <row r="53" spans="1:21" ht="18" customHeight="1">
      <c r="A53" s="3"/>
      <c r="B53" s="104"/>
      <c r="C53" s="105"/>
      <c r="D53" s="105"/>
      <c r="E53" s="105"/>
      <c r="F53" s="106"/>
      <c r="G53" s="64"/>
      <c r="H53" s="64"/>
      <c r="I53" s="64"/>
      <c r="J53" s="64"/>
      <c r="K53" s="104"/>
      <c r="L53" s="105"/>
      <c r="M53" s="105"/>
      <c r="N53" s="105"/>
      <c r="O53" s="105"/>
      <c r="P53" s="105"/>
      <c r="Q53" s="106"/>
      <c r="R53" s="64"/>
      <c r="S53" s="64"/>
      <c r="T53" s="64"/>
      <c r="U53" s="64"/>
    </row>
    <row r="54" spans="1:21" ht="18" customHeight="1">
      <c r="A54" s="3"/>
      <c r="B54" s="104"/>
      <c r="C54" s="105"/>
      <c r="D54" s="105"/>
      <c r="E54" s="105"/>
      <c r="F54" s="106"/>
      <c r="G54" s="64"/>
      <c r="H54" s="64"/>
      <c r="I54" s="64"/>
      <c r="J54" s="64"/>
      <c r="K54" s="104"/>
      <c r="L54" s="105"/>
      <c r="M54" s="105"/>
      <c r="N54" s="105"/>
      <c r="O54" s="105"/>
      <c r="P54" s="105"/>
      <c r="Q54" s="106"/>
      <c r="R54" s="64"/>
      <c r="S54" s="64"/>
      <c r="T54" s="64"/>
      <c r="U54" s="64"/>
    </row>
    <row r="55" spans="1:21" ht="18" customHeight="1">
      <c r="A55" s="3"/>
      <c r="B55" s="107"/>
      <c r="C55" s="108"/>
      <c r="D55" s="108"/>
      <c r="E55" s="108"/>
      <c r="F55" s="109"/>
      <c r="G55" s="65"/>
      <c r="H55" s="65"/>
      <c r="I55" s="66"/>
      <c r="J55" s="66"/>
      <c r="K55" s="107"/>
      <c r="L55" s="108"/>
      <c r="M55" s="108"/>
      <c r="N55" s="108"/>
      <c r="O55" s="108"/>
      <c r="P55" s="108"/>
      <c r="Q55" s="109"/>
      <c r="R55" s="65"/>
      <c r="S55" s="65"/>
      <c r="T55" s="66"/>
      <c r="U55" s="66"/>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16" t="s">
        <v>99</v>
      </c>
      <c r="B57" s="116"/>
      <c r="C57" s="116"/>
      <c r="D57" s="116"/>
      <c r="E57" s="116"/>
      <c r="F57" s="116"/>
      <c r="G57" s="116"/>
      <c r="H57" s="116"/>
      <c r="I57" s="116"/>
      <c r="J57" s="116"/>
      <c r="K57" s="116"/>
      <c r="L57" s="116"/>
      <c r="M57" s="116"/>
      <c r="N57" s="116"/>
      <c r="O57" s="116"/>
      <c r="P57" s="116"/>
      <c r="Q57" s="116"/>
      <c r="R57" s="116"/>
      <c r="S57" s="116"/>
      <c r="T57" s="116"/>
      <c r="U57" s="116"/>
    </row>
    <row r="58" spans="1:21" ht="18" customHeight="1">
      <c r="A58" s="116"/>
      <c r="B58" s="116"/>
      <c r="C58" s="116"/>
      <c r="D58" s="116"/>
      <c r="E58" s="116"/>
      <c r="F58" s="116"/>
      <c r="G58" s="116"/>
      <c r="H58" s="116"/>
      <c r="I58" s="116"/>
      <c r="J58" s="116"/>
      <c r="K58" s="116"/>
      <c r="L58" s="116"/>
      <c r="M58" s="116"/>
      <c r="N58" s="116"/>
      <c r="O58" s="116"/>
      <c r="P58" s="116"/>
      <c r="Q58" s="116"/>
      <c r="R58" s="116"/>
      <c r="S58" s="116"/>
      <c r="T58" s="116"/>
      <c r="U58" s="116"/>
    </row>
    <row r="59" spans="1:21" ht="18" customHeight="1">
      <c r="B59" s="110" t="s">
        <v>48</v>
      </c>
      <c r="C59" s="111"/>
      <c r="D59" s="111"/>
      <c r="E59" s="111"/>
      <c r="F59" s="115"/>
      <c r="G59" s="60" t="s">
        <v>73</v>
      </c>
      <c r="H59" s="61" t="s">
        <v>76</v>
      </c>
      <c r="I59" s="62" t="s">
        <v>53</v>
      </c>
      <c r="J59" s="62" t="s">
        <v>55</v>
      </c>
      <c r="K59" s="110" t="s">
        <v>48</v>
      </c>
      <c r="L59" s="111"/>
      <c r="M59" s="111"/>
      <c r="N59" s="111"/>
      <c r="O59" s="111"/>
      <c r="P59" s="111"/>
      <c r="Q59" s="115"/>
      <c r="R59" s="60" t="s">
        <v>73</v>
      </c>
      <c r="S59" s="61" t="s">
        <v>76</v>
      </c>
      <c r="T59" s="62" t="s">
        <v>53</v>
      </c>
      <c r="U59" s="62" t="s">
        <v>55</v>
      </c>
    </row>
    <row r="60" spans="1:21" ht="18" customHeight="1">
      <c r="A60" s="3"/>
      <c r="B60" s="112" t="s">
        <v>147</v>
      </c>
      <c r="C60" s="113"/>
      <c r="D60" s="113"/>
      <c r="E60" s="113"/>
      <c r="F60" s="114"/>
      <c r="G60" s="63">
        <v>2</v>
      </c>
      <c r="H60" s="63" t="s">
        <v>148</v>
      </c>
      <c r="I60" s="63" t="s">
        <v>148</v>
      </c>
      <c r="J60" s="63" t="s">
        <v>148</v>
      </c>
      <c r="K60" s="112"/>
      <c r="L60" s="113"/>
      <c r="M60" s="113"/>
      <c r="N60" s="113"/>
      <c r="O60" s="113"/>
      <c r="P60" s="113"/>
      <c r="Q60" s="114"/>
      <c r="R60" s="63"/>
      <c r="S60" s="63"/>
      <c r="T60" s="63"/>
      <c r="U60" s="63"/>
    </row>
    <row r="61" spans="1:21" ht="18" customHeight="1">
      <c r="A61" s="3"/>
      <c r="B61" s="104"/>
      <c r="C61" s="105"/>
      <c r="D61" s="105"/>
      <c r="E61" s="105"/>
      <c r="F61" s="106"/>
      <c r="G61" s="64"/>
      <c r="H61" s="64"/>
      <c r="I61" s="64"/>
      <c r="J61" s="64"/>
      <c r="K61" s="104"/>
      <c r="L61" s="105"/>
      <c r="M61" s="105"/>
      <c r="N61" s="105"/>
      <c r="O61" s="105"/>
      <c r="P61" s="105"/>
      <c r="Q61" s="106"/>
      <c r="R61" s="64"/>
      <c r="S61" s="64"/>
      <c r="T61" s="64"/>
      <c r="U61" s="64"/>
    </row>
    <row r="62" spans="1:21" ht="18" customHeight="1">
      <c r="A62" s="3"/>
      <c r="B62" s="104"/>
      <c r="C62" s="105"/>
      <c r="D62" s="105"/>
      <c r="E62" s="105"/>
      <c r="F62" s="106"/>
      <c r="G62" s="64"/>
      <c r="H62" s="64"/>
      <c r="I62" s="64"/>
      <c r="J62" s="64"/>
      <c r="K62" s="104"/>
      <c r="L62" s="105"/>
      <c r="M62" s="105"/>
      <c r="N62" s="105"/>
      <c r="O62" s="105"/>
      <c r="P62" s="105"/>
      <c r="Q62" s="106"/>
      <c r="R62" s="64"/>
      <c r="S62" s="64"/>
      <c r="T62" s="64"/>
      <c r="U62" s="64"/>
    </row>
    <row r="63" spans="1:21" ht="18" customHeight="1">
      <c r="A63" s="3"/>
      <c r="B63" s="104"/>
      <c r="C63" s="105"/>
      <c r="D63" s="105"/>
      <c r="E63" s="105"/>
      <c r="F63" s="106"/>
      <c r="G63" s="64"/>
      <c r="H63" s="64"/>
      <c r="I63" s="64"/>
      <c r="J63" s="64"/>
      <c r="K63" s="104"/>
      <c r="L63" s="105"/>
      <c r="M63" s="105"/>
      <c r="N63" s="105"/>
      <c r="O63" s="105"/>
      <c r="P63" s="105"/>
      <c r="Q63" s="106"/>
      <c r="R63" s="64"/>
      <c r="S63" s="64"/>
      <c r="T63" s="64"/>
      <c r="U63" s="64"/>
    </row>
    <row r="64" spans="1:21" ht="18" customHeight="1">
      <c r="A64" s="3"/>
      <c r="B64" s="104"/>
      <c r="C64" s="105"/>
      <c r="D64" s="105"/>
      <c r="E64" s="105"/>
      <c r="F64" s="106"/>
      <c r="G64" s="64"/>
      <c r="H64" s="64"/>
      <c r="I64" s="64"/>
      <c r="J64" s="64"/>
      <c r="K64" s="104"/>
      <c r="L64" s="105"/>
      <c r="M64" s="105"/>
      <c r="N64" s="105"/>
      <c r="O64" s="105"/>
      <c r="P64" s="105"/>
      <c r="Q64" s="106"/>
      <c r="R64" s="64"/>
      <c r="S64" s="64"/>
      <c r="T64" s="64"/>
      <c r="U64" s="64"/>
    </row>
    <row r="65" spans="1:27" ht="18" customHeight="1">
      <c r="A65" s="3"/>
      <c r="B65" s="104"/>
      <c r="C65" s="105"/>
      <c r="D65" s="105"/>
      <c r="E65" s="105"/>
      <c r="F65" s="106"/>
      <c r="G65" s="64"/>
      <c r="H65" s="64"/>
      <c r="I65" s="64"/>
      <c r="J65" s="64"/>
      <c r="K65" s="104"/>
      <c r="L65" s="105"/>
      <c r="M65" s="105"/>
      <c r="N65" s="105"/>
      <c r="O65" s="105"/>
      <c r="P65" s="105"/>
      <c r="Q65" s="106"/>
      <c r="R65" s="64"/>
      <c r="S65" s="64"/>
      <c r="T65" s="64"/>
      <c r="U65" s="64"/>
    </row>
    <row r="66" spans="1:27" ht="18" customHeight="1">
      <c r="A66" s="3"/>
      <c r="B66" s="107"/>
      <c r="C66" s="108"/>
      <c r="D66" s="108"/>
      <c r="E66" s="108"/>
      <c r="F66" s="109"/>
      <c r="G66" s="65"/>
      <c r="H66" s="65"/>
      <c r="I66" s="66"/>
      <c r="J66" s="66"/>
      <c r="K66" s="107"/>
      <c r="L66" s="108"/>
      <c r="M66" s="108"/>
      <c r="N66" s="108"/>
      <c r="O66" s="108"/>
      <c r="P66" s="108"/>
      <c r="Q66" s="109"/>
      <c r="R66" s="65"/>
      <c r="S66" s="65"/>
      <c r="T66" s="66"/>
      <c r="U66" s="66"/>
    </row>
    <row r="67" spans="1:27" ht="7.5" customHeight="1">
      <c r="B67" s="14"/>
      <c r="C67" s="14"/>
      <c r="D67" s="14"/>
      <c r="E67" s="14"/>
      <c r="F67" s="14"/>
      <c r="G67" s="14"/>
      <c r="H67" s="14"/>
      <c r="I67" s="14"/>
      <c r="J67" s="14"/>
      <c r="K67" s="14"/>
      <c r="L67" s="14"/>
      <c r="M67" s="14"/>
      <c r="N67" s="14"/>
      <c r="O67" s="14"/>
      <c r="P67" s="14"/>
      <c r="Q67" s="14"/>
      <c r="R67" s="14"/>
      <c r="S67" s="14"/>
      <c r="T67" s="14"/>
    </row>
    <row r="68" spans="1:27" ht="18" customHeight="1">
      <c r="A68" s="116" t="s">
        <v>100</v>
      </c>
      <c r="B68" s="116"/>
      <c r="C68" s="116"/>
      <c r="D68" s="116"/>
      <c r="E68" s="116"/>
      <c r="F68" s="116"/>
      <c r="G68" s="116"/>
      <c r="H68" s="116"/>
      <c r="I68" s="116"/>
      <c r="J68" s="116"/>
      <c r="K68" s="116"/>
      <c r="L68" s="116"/>
      <c r="M68" s="116"/>
      <c r="N68" s="116"/>
      <c r="O68" s="116"/>
      <c r="P68" s="116"/>
      <c r="Q68" s="116"/>
      <c r="R68" s="116"/>
      <c r="S68" s="116"/>
      <c r="T68" s="116"/>
      <c r="U68" s="116"/>
    </row>
    <row r="69" spans="1:27" ht="18" customHeight="1">
      <c r="A69" s="116"/>
      <c r="B69" s="116"/>
      <c r="C69" s="116"/>
      <c r="D69" s="116"/>
      <c r="E69" s="116"/>
      <c r="F69" s="116"/>
      <c r="G69" s="116"/>
      <c r="H69" s="116"/>
      <c r="I69" s="116"/>
      <c r="J69" s="116"/>
      <c r="K69" s="116"/>
      <c r="L69" s="116"/>
      <c r="M69" s="116"/>
      <c r="N69" s="116"/>
      <c r="O69" s="116"/>
      <c r="P69" s="116"/>
      <c r="Q69" s="116"/>
      <c r="R69" s="116"/>
      <c r="S69" s="116"/>
      <c r="T69" s="116"/>
      <c r="U69" s="116"/>
    </row>
    <row r="70" spans="1:27" ht="18" customHeight="1">
      <c r="B70" s="110" t="s">
        <v>48</v>
      </c>
      <c r="C70" s="111"/>
      <c r="D70" s="111"/>
      <c r="E70" s="111"/>
      <c r="F70" s="60" t="s">
        <v>73</v>
      </c>
      <c r="G70" s="61" t="s">
        <v>76</v>
      </c>
      <c r="H70" s="62" t="s">
        <v>87</v>
      </c>
      <c r="I70" s="62" t="s">
        <v>68</v>
      </c>
      <c r="J70" s="62" t="s">
        <v>69</v>
      </c>
      <c r="K70" s="110" t="s">
        <v>48</v>
      </c>
      <c r="L70" s="111"/>
      <c r="M70" s="111"/>
      <c r="N70" s="111"/>
      <c r="O70" s="111"/>
      <c r="P70" s="115"/>
      <c r="Q70" s="60" t="s">
        <v>73</v>
      </c>
      <c r="R70" s="61" t="s">
        <v>76</v>
      </c>
      <c r="S70" s="62" t="s">
        <v>87</v>
      </c>
      <c r="T70" s="62" t="s">
        <v>68</v>
      </c>
      <c r="U70" s="62" t="s">
        <v>69</v>
      </c>
    </row>
    <row r="71" spans="1:27" ht="18" customHeight="1">
      <c r="A71" s="3"/>
      <c r="B71" s="112" t="s">
        <v>147</v>
      </c>
      <c r="C71" s="113"/>
      <c r="D71" s="113"/>
      <c r="E71" s="114"/>
      <c r="F71" s="63">
        <v>2</v>
      </c>
      <c r="G71" s="63" t="s">
        <v>148</v>
      </c>
      <c r="H71" s="63" t="s">
        <v>148</v>
      </c>
      <c r="I71" s="63" t="s">
        <v>148</v>
      </c>
      <c r="J71" s="63" t="s">
        <v>148</v>
      </c>
      <c r="K71" s="112"/>
      <c r="L71" s="113"/>
      <c r="M71" s="113"/>
      <c r="N71" s="113"/>
      <c r="O71" s="113"/>
      <c r="P71" s="114"/>
      <c r="Q71" s="63"/>
      <c r="R71" s="63"/>
      <c r="S71" s="63"/>
      <c r="T71" s="63"/>
      <c r="U71" s="63"/>
    </row>
    <row r="72" spans="1:27" ht="18" customHeight="1">
      <c r="A72" s="3"/>
      <c r="B72" s="104"/>
      <c r="C72" s="105"/>
      <c r="D72" s="105"/>
      <c r="E72" s="105"/>
      <c r="F72" s="64"/>
      <c r="G72" s="64"/>
      <c r="H72" s="64"/>
      <c r="I72" s="64"/>
      <c r="J72" s="64"/>
      <c r="K72" s="104"/>
      <c r="L72" s="105"/>
      <c r="M72" s="105"/>
      <c r="N72" s="105"/>
      <c r="O72" s="105"/>
      <c r="P72" s="106"/>
      <c r="Q72" s="64"/>
      <c r="R72" s="64"/>
      <c r="S72" s="64"/>
      <c r="T72" s="64"/>
      <c r="U72" s="64"/>
    </row>
    <row r="73" spans="1:27" ht="18" customHeight="1">
      <c r="A73" s="3"/>
      <c r="B73" s="104"/>
      <c r="C73" s="105"/>
      <c r="D73" s="105"/>
      <c r="E73" s="105"/>
      <c r="F73" s="64"/>
      <c r="G73" s="64"/>
      <c r="H73" s="64"/>
      <c r="I73" s="64"/>
      <c r="J73" s="64"/>
      <c r="K73" s="104"/>
      <c r="L73" s="105"/>
      <c r="M73" s="105"/>
      <c r="N73" s="105"/>
      <c r="O73" s="105"/>
      <c r="P73" s="106"/>
      <c r="Q73" s="64"/>
      <c r="R73" s="64"/>
      <c r="S73" s="64"/>
      <c r="T73" s="64"/>
      <c r="U73" s="64"/>
    </row>
    <row r="74" spans="1:27" ht="18" customHeight="1">
      <c r="A74" s="3"/>
      <c r="B74" s="104"/>
      <c r="C74" s="105"/>
      <c r="D74" s="105"/>
      <c r="E74" s="105"/>
      <c r="F74" s="64"/>
      <c r="G74" s="64"/>
      <c r="H74" s="64"/>
      <c r="I74" s="64"/>
      <c r="J74" s="64"/>
      <c r="K74" s="104"/>
      <c r="L74" s="105"/>
      <c r="M74" s="105"/>
      <c r="N74" s="105"/>
      <c r="O74" s="105"/>
      <c r="P74" s="106"/>
      <c r="Q74" s="64"/>
      <c r="R74" s="64"/>
      <c r="S74" s="64"/>
      <c r="T74" s="64"/>
      <c r="U74" s="64"/>
    </row>
    <row r="75" spans="1:27" ht="18" customHeight="1">
      <c r="A75" s="3"/>
      <c r="B75" s="104"/>
      <c r="C75" s="105"/>
      <c r="D75" s="105"/>
      <c r="E75" s="105"/>
      <c r="F75" s="64"/>
      <c r="G75" s="64"/>
      <c r="H75" s="64"/>
      <c r="I75" s="64"/>
      <c r="J75" s="64"/>
      <c r="K75" s="104"/>
      <c r="L75" s="105"/>
      <c r="M75" s="105"/>
      <c r="N75" s="105"/>
      <c r="O75" s="105"/>
      <c r="P75" s="106"/>
      <c r="Q75" s="64"/>
      <c r="R75" s="64"/>
      <c r="S75" s="64"/>
      <c r="T75" s="64"/>
      <c r="U75" s="64"/>
    </row>
    <row r="76" spans="1:27" ht="18" customHeight="1">
      <c r="A76" s="3"/>
      <c r="B76" s="104"/>
      <c r="C76" s="105"/>
      <c r="D76" s="105"/>
      <c r="E76" s="105"/>
      <c r="F76" s="64"/>
      <c r="G76" s="64"/>
      <c r="H76" s="64"/>
      <c r="I76" s="64"/>
      <c r="J76" s="64"/>
      <c r="K76" s="104"/>
      <c r="L76" s="105"/>
      <c r="M76" s="105"/>
      <c r="N76" s="105"/>
      <c r="O76" s="105"/>
      <c r="P76" s="106"/>
      <c r="Q76" s="64"/>
      <c r="R76" s="64"/>
      <c r="S76" s="64"/>
      <c r="T76" s="64"/>
      <c r="U76" s="64"/>
    </row>
    <row r="77" spans="1:27" ht="18" customHeight="1">
      <c r="A77" s="3"/>
      <c r="B77" s="107"/>
      <c r="C77" s="108"/>
      <c r="D77" s="108"/>
      <c r="E77" s="108"/>
      <c r="F77" s="65"/>
      <c r="G77" s="65"/>
      <c r="H77" s="66"/>
      <c r="I77" s="66"/>
      <c r="J77" s="66"/>
      <c r="K77" s="107"/>
      <c r="L77" s="108"/>
      <c r="M77" s="108"/>
      <c r="N77" s="108"/>
      <c r="O77" s="108"/>
      <c r="P77" s="109"/>
      <c r="Q77" s="65"/>
      <c r="R77" s="65"/>
      <c r="S77" s="66"/>
      <c r="T77" s="66"/>
      <c r="U77" s="66"/>
    </row>
    <row r="78" spans="1:27" ht="7.5" customHeight="1">
      <c r="B78" s="14"/>
      <c r="C78" s="14"/>
      <c r="D78" s="14"/>
      <c r="E78" s="14"/>
      <c r="F78" s="14"/>
      <c r="G78" s="14"/>
      <c r="H78" s="14"/>
      <c r="I78" s="14"/>
      <c r="J78" s="14"/>
      <c r="K78" s="14"/>
      <c r="L78" s="14"/>
      <c r="M78" s="14"/>
      <c r="N78" s="14"/>
      <c r="O78" s="14"/>
      <c r="P78" s="14"/>
      <c r="Q78" s="14"/>
      <c r="R78" s="14"/>
      <c r="S78" s="14"/>
      <c r="T78" s="14"/>
    </row>
    <row r="79" spans="1:27" ht="18" customHeight="1">
      <c r="A79" s="1" t="s">
        <v>101</v>
      </c>
      <c r="I79" s="3"/>
      <c r="J79" s="3"/>
      <c r="K79" s="3"/>
      <c r="L79" s="3"/>
      <c r="M79" s="3"/>
      <c r="N79" s="3"/>
      <c r="O79" s="3"/>
      <c r="P79" s="3"/>
      <c r="Q79" s="3"/>
      <c r="R79" s="3"/>
      <c r="S79" s="3"/>
      <c r="T79" s="3"/>
      <c r="U79" s="3"/>
    </row>
    <row r="80" spans="1:27" ht="18" customHeight="1">
      <c r="B80" s="110" t="s">
        <v>48</v>
      </c>
      <c r="C80" s="111"/>
      <c r="D80" s="111"/>
      <c r="E80" s="111"/>
      <c r="F80" s="115"/>
      <c r="G80" s="110" t="s">
        <v>74</v>
      </c>
      <c r="H80" s="111"/>
      <c r="I80" s="111"/>
      <c r="J80" s="115"/>
      <c r="K80" s="152" t="s">
        <v>48</v>
      </c>
      <c r="L80" s="153"/>
      <c r="M80" s="153"/>
      <c r="N80" s="153"/>
      <c r="O80" s="153"/>
      <c r="P80" s="153"/>
      <c r="Q80" s="154"/>
      <c r="R80" s="110" t="s">
        <v>74</v>
      </c>
      <c r="S80" s="111"/>
      <c r="T80" s="111"/>
      <c r="U80" s="115"/>
      <c r="AA80" s="1" t="s">
        <v>138</v>
      </c>
    </row>
    <row r="81" spans="1:27" ht="18" customHeight="1">
      <c r="A81" s="3"/>
      <c r="B81" s="112"/>
      <c r="C81" s="113"/>
      <c r="D81" s="113"/>
      <c r="E81" s="113"/>
      <c r="F81" s="114"/>
      <c r="G81" s="155"/>
      <c r="H81" s="156"/>
      <c r="I81" s="156"/>
      <c r="J81" s="157"/>
      <c r="K81" s="112"/>
      <c r="L81" s="113"/>
      <c r="M81" s="113"/>
      <c r="N81" s="113"/>
      <c r="O81" s="113"/>
      <c r="P81" s="113"/>
      <c r="Q81" s="114"/>
      <c r="R81" s="155"/>
      <c r="S81" s="156"/>
      <c r="T81" s="156"/>
      <c r="U81" s="157"/>
      <c r="AA81" s="1" t="s">
        <v>131</v>
      </c>
    </row>
    <row r="82" spans="1:27" ht="18" customHeight="1">
      <c r="A82" s="3"/>
      <c r="B82" s="104"/>
      <c r="C82" s="105"/>
      <c r="D82" s="105"/>
      <c r="E82" s="105"/>
      <c r="F82" s="106"/>
      <c r="G82" s="147"/>
      <c r="H82" s="148"/>
      <c r="I82" s="148"/>
      <c r="J82" s="149"/>
      <c r="K82" s="104"/>
      <c r="L82" s="105"/>
      <c r="M82" s="105"/>
      <c r="N82" s="105"/>
      <c r="O82" s="105"/>
      <c r="P82" s="105"/>
      <c r="Q82" s="106"/>
      <c r="R82" s="147"/>
      <c r="S82" s="148"/>
      <c r="T82" s="148"/>
      <c r="U82" s="149"/>
      <c r="AA82" s="1" t="s">
        <v>132</v>
      </c>
    </row>
    <row r="83" spans="1:27" ht="18" customHeight="1">
      <c r="A83" s="3"/>
      <c r="B83" s="104"/>
      <c r="C83" s="105"/>
      <c r="D83" s="105"/>
      <c r="E83" s="105"/>
      <c r="F83" s="106"/>
      <c r="G83" s="147"/>
      <c r="H83" s="148"/>
      <c r="I83" s="148"/>
      <c r="J83" s="149"/>
      <c r="K83" s="104"/>
      <c r="L83" s="105"/>
      <c r="M83" s="105"/>
      <c r="N83" s="105"/>
      <c r="O83" s="105"/>
      <c r="P83" s="105"/>
      <c r="Q83" s="106"/>
      <c r="R83" s="147"/>
      <c r="S83" s="148"/>
      <c r="T83" s="148"/>
      <c r="U83" s="149"/>
      <c r="AA83" s="1" t="s">
        <v>133</v>
      </c>
    </row>
    <row r="84" spans="1:27" ht="18" customHeight="1">
      <c r="A84" s="3"/>
      <c r="B84" s="104"/>
      <c r="C84" s="105"/>
      <c r="D84" s="105"/>
      <c r="E84" s="105"/>
      <c r="F84" s="106"/>
      <c r="G84" s="147"/>
      <c r="H84" s="148"/>
      <c r="I84" s="148"/>
      <c r="J84" s="149"/>
      <c r="K84" s="104"/>
      <c r="L84" s="105"/>
      <c r="M84" s="105"/>
      <c r="N84" s="105"/>
      <c r="O84" s="105"/>
      <c r="P84" s="105"/>
      <c r="Q84" s="106"/>
      <c r="R84" s="147"/>
      <c r="S84" s="148"/>
      <c r="T84" s="148"/>
      <c r="U84" s="149"/>
      <c r="AA84" s="1" t="s">
        <v>139</v>
      </c>
    </row>
    <row r="85" spans="1:27" ht="18" customHeight="1">
      <c r="A85" s="3"/>
      <c r="B85" s="104"/>
      <c r="C85" s="105"/>
      <c r="D85" s="105"/>
      <c r="E85" s="105"/>
      <c r="F85" s="106"/>
      <c r="G85" s="147"/>
      <c r="H85" s="148"/>
      <c r="I85" s="148"/>
      <c r="J85" s="149"/>
      <c r="K85" s="104"/>
      <c r="L85" s="105"/>
      <c r="M85" s="105"/>
      <c r="N85" s="105"/>
      <c r="O85" s="105"/>
      <c r="P85" s="105"/>
      <c r="Q85" s="106"/>
      <c r="R85" s="147"/>
      <c r="S85" s="148"/>
      <c r="T85" s="148"/>
      <c r="U85" s="149"/>
      <c r="AA85" s="1" t="s">
        <v>140</v>
      </c>
    </row>
    <row r="86" spans="1:27" ht="18" customHeight="1">
      <c r="A86" s="3"/>
      <c r="B86" s="104"/>
      <c r="C86" s="105"/>
      <c r="D86" s="105"/>
      <c r="E86" s="105"/>
      <c r="F86" s="106"/>
      <c r="G86" s="147"/>
      <c r="H86" s="148"/>
      <c r="I86" s="148"/>
      <c r="J86" s="149"/>
      <c r="K86" s="104"/>
      <c r="L86" s="105"/>
      <c r="M86" s="105"/>
      <c r="N86" s="105"/>
      <c r="O86" s="105"/>
      <c r="P86" s="105"/>
      <c r="Q86" s="106"/>
      <c r="R86" s="147"/>
      <c r="S86" s="148"/>
      <c r="T86" s="148"/>
      <c r="U86" s="149"/>
      <c r="AA86" s="1" t="s">
        <v>134</v>
      </c>
    </row>
    <row r="87" spans="1:27" ht="18" customHeight="1">
      <c r="A87" s="3"/>
      <c r="B87" s="107"/>
      <c r="C87" s="108"/>
      <c r="D87" s="108"/>
      <c r="E87" s="108"/>
      <c r="F87" s="109"/>
      <c r="G87" s="144"/>
      <c r="H87" s="145"/>
      <c r="I87" s="145"/>
      <c r="J87" s="146"/>
      <c r="K87" s="107"/>
      <c r="L87" s="108"/>
      <c r="M87" s="108"/>
      <c r="N87" s="108"/>
      <c r="O87" s="108"/>
      <c r="P87" s="108"/>
      <c r="Q87" s="109"/>
      <c r="R87" s="144"/>
      <c r="S87" s="145"/>
      <c r="T87" s="145"/>
      <c r="U87" s="146"/>
      <c r="AA87" s="1" t="s">
        <v>135</v>
      </c>
    </row>
    <row r="88" spans="1:27" ht="18" customHeight="1">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c r="A89" s="54" t="s">
        <v>102</v>
      </c>
      <c r="B89" s="54"/>
      <c r="C89" s="54"/>
      <c r="D89" s="54"/>
      <c r="E89" s="54"/>
      <c r="F89" s="54"/>
      <c r="G89" s="54"/>
      <c r="H89" s="54"/>
      <c r="I89" s="54"/>
      <c r="J89" s="54"/>
      <c r="K89" s="54"/>
      <c r="L89" s="54"/>
      <c r="M89" s="54"/>
      <c r="N89" s="54"/>
      <c r="O89" s="54"/>
      <c r="P89" s="54"/>
      <c r="Q89" s="54"/>
      <c r="R89" s="54"/>
      <c r="S89" s="54"/>
      <c r="T89" s="54"/>
      <c r="U89" s="54"/>
      <c r="AA89" s="1" t="s">
        <v>137</v>
      </c>
    </row>
    <row r="90" spans="1:27" ht="18.75" customHeight="1">
      <c r="A90" s="54"/>
      <c r="B90" s="150" t="s">
        <v>49</v>
      </c>
      <c r="C90" s="151"/>
      <c r="D90" s="89" t="s">
        <v>50</v>
      </c>
      <c r="E90" s="90"/>
      <c r="F90" s="90"/>
      <c r="G90" s="90"/>
      <c r="H90" s="90"/>
      <c r="I90" s="90"/>
      <c r="J90" s="90"/>
      <c r="K90" s="90"/>
      <c r="L90" s="90"/>
      <c r="M90" s="90"/>
      <c r="N90" s="90"/>
      <c r="O90" s="90"/>
      <c r="P90" s="90"/>
      <c r="Q90" s="90"/>
      <c r="R90" s="90"/>
      <c r="S90" s="90"/>
      <c r="T90" s="90"/>
      <c r="U90" s="91"/>
    </row>
    <row r="91" spans="1:27" ht="97.5" customHeight="1">
      <c r="A91" s="54"/>
      <c r="B91" s="124" t="s">
        <v>56</v>
      </c>
      <c r="C91" s="77" t="s">
        <v>51</v>
      </c>
      <c r="D91" s="92" t="s">
        <v>184</v>
      </c>
      <c r="E91" s="93"/>
      <c r="F91" s="93"/>
      <c r="G91" s="93"/>
      <c r="H91" s="93"/>
      <c r="I91" s="93"/>
      <c r="J91" s="93"/>
      <c r="K91" s="93"/>
      <c r="L91" s="93"/>
      <c r="M91" s="93"/>
      <c r="N91" s="93"/>
      <c r="O91" s="93"/>
      <c r="P91" s="93"/>
      <c r="Q91" s="93"/>
      <c r="R91" s="93"/>
      <c r="S91" s="93"/>
      <c r="T91" s="93"/>
      <c r="U91" s="94"/>
    </row>
    <row r="92" spans="1:27" ht="97.5" customHeight="1">
      <c r="A92" s="54"/>
      <c r="B92" s="126"/>
      <c r="C92" s="78" t="s">
        <v>70</v>
      </c>
      <c r="D92" s="95" t="s">
        <v>185</v>
      </c>
      <c r="E92" s="96"/>
      <c r="F92" s="96"/>
      <c r="G92" s="96"/>
      <c r="H92" s="96"/>
      <c r="I92" s="96"/>
      <c r="J92" s="96"/>
      <c r="K92" s="96"/>
      <c r="L92" s="96"/>
      <c r="M92" s="96"/>
      <c r="N92" s="96"/>
      <c r="O92" s="96"/>
      <c r="P92" s="96"/>
      <c r="Q92" s="96"/>
      <c r="R92" s="96"/>
      <c r="S92" s="96"/>
      <c r="T92" s="96"/>
      <c r="U92" s="97"/>
    </row>
    <row r="93" spans="1:27" ht="101.25" customHeight="1">
      <c r="A93" s="54"/>
      <c r="B93" s="124" t="s">
        <v>57</v>
      </c>
      <c r="C93" s="79" t="s">
        <v>64</v>
      </c>
      <c r="D93" s="92" t="s">
        <v>186</v>
      </c>
      <c r="E93" s="93"/>
      <c r="F93" s="93"/>
      <c r="G93" s="93"/>
      <c r="H93" s="93"/>
      <c r="I93" s="93"/>
      <c r="J93" s="93"/>
      <c r="K93" s="93"/>
      <c r="L93" s="93"/>
      <c r="M93" s="93"/>
      <c r="N93" s="93"/>
      <c r="O93" s="93"/>
      <c r="P93" s="93"/>
      <c r="Q93" s="93"/>
      <c r="R93" s="93"/>
      <c r="S93" s="93"/>
      <c r="T93" s="93"/>
      <c r="U93" s="94"/>
    </row>
    <row r="94" spans="1:27" ht="97.5" customHeight="1">
      <c r="A94" s="54"/>
      <c r="B94" s="125"/>
      <c r="C94" s="80" t="s">
        <v>65</v>
      </c>
      <c r="D94" s="95" t="s">
        <v>176</v>
      </c>
      <c r="E94" s="96"/>
      <c r="F94" s="96"/>
      <c r="G94" s="96"/>
      <c r="H94" s="96"/>
      <c r="I94" s="96"/>
      <c r="J94" s="96"/>
      <c r="K94" s="96"/>
      <c r="L94" s="96"/>
      <c r="M94" s="96"/>
      <c r="N94" s="96"/>
      <c r="O94" s="96"/>
      <c r="P94" s="96"/>
      <c r="Q94" s="96"/>
      <c r="R94" s="96"/>
      <c r="S94" s="96"/>
      <c r="T94" s="96"/>
      <c r="U94" s="97"/>
    </row>
    <row r="95" spans="1:27" ht="103.5" customHeight="1">
      <c r="A95" s="54"/>
      <c r="B95" s="124" t="s">
        <v>58</v>
      </c>
      <c r="C95" s="79" t="s">
        <v>66</v>
      </c>
      <c r="D95" s="92" t="s">
        <v>177</v>
      </c>
      <c r="E95" s="93"/>
      <c r="F95" s="93"/>
      <c r="G95" s="93"/>
      <c r="H95" s="93"/>
      <c r="I95" s="93"/>
      <c r="J95" s="93"/>
      <c r="K95" s="93"/>
      <c r="L95" s="93"/>
      <c r="M95" s="93"/>
      <c r="N95" s="93"/>
      <c r="O95" s="93"/>
      <c r="P95" s="93"/>
      <c r="Q95" s="93"/>
      <c r="R95" s="93"/>
      <c r="S95" s="93"/>
      <c r="T95" s="93"/>
      <c r="U95" s="94"/>
    </row>
    <row r="96" spans="1:27" ht="115.5" customHeight="1">
      <c r="A96" s="54"/>
      <c r="B96" s="125"/>
      <c r="C96" s="81" t="s">
        <v>67</v>
      </c>
      <c r="D96" s="95" t="s">
        <v>183</v>
      </c>
      <c r="E96" s="96"/>
      <c r="F96" s="96"/>
      <c r="G96" s="96"/>
      <c r="H96" s="96"/>
      <c r="I96" s="96"/>
      <c r="J96" s="96"/>
      <c r="K96" s="96"/>
      <c r="L96" s="96"/>
      <c r="M96" s="96"/>
      <c r="N96" s="96"/>
      <c r="O96" s="96"/>
      <c r="P96" s="96"/>
      <c r="Q96" s="96"/>
      <c r="R96" s="96"/>
      <c r="S96" s="96"/>
      <c r="T96" s="96"/>
      <c r="U96" s="97"/>
    </row>
    <row r="97" spans="1:21" ht="87" customHeight="1">
      <c r="A97" s="54"/>
      <c r="B97" s="124" t="s">
        <v>71</v>
      </c>
      <c r="C97" s="77" t="s">
        <v>53</v>
      </c>
      <c r="D97" s="92" t="s">
        <v>178</v>
      </c>
      <c r="E97" s="122"/>
      <c r="F97" s="122"/>
      <c r="G97" s="122"/>
      <c r="H97" s="122"/>
      <c r="I97" s="122"/>
      <c r="J97" s="122"/>
      <c r="K97" s="122"/>
      <c r="L97" s="122"/>
      <c r="M97" s="122"/>
      <c r="N97" s="122"/>
      <c r="O97" s="122"/>
      <c r="P97" s="122"/>
      <c r="Q97" s="122"/>
      <c r="R97" s="122"/>
      <c r="S97" s="122"/>
      <c r="T97" s="122"/>
      <c r="U97" s="123"/>
    </row>
    <row r="98" spans="1:21" ht="87" customHeight="1">
      <c r="A98" s="54"/>
      <c r="B98" s="125"/>
      <c r="C98" s="80" t="s">
        <v>55</v>
      </c>
      <c r="D98" s="95" t="s">
        <v>179</v>
      </c>
      <c r="E98" s="117"/>
      <c r="F98" s="117"/>
      <c r="G98" s="117"/>
      <c r="H98" s="117"/>
      <c r="I98" s="117"/>
      <c r="J98" s="117"/>
      <c r="K98" s="117"/>
      <c r="L98" s="117"/>
      <c r="M98" s="117"/>
      <c r="N98" s="117"/>
      <c r="O98" s="117"/>
      <c r="P98" s="117"/>
      <c r="Q98" s="117"/>
      <c r="R98" s="117"/>
      <c r="S98" s="117"/>
      <c r="T98" s="117"/>
      <c r="U98" s="118"/>
    </row>
    <row r="99" spans="1:21" ht="96.75" customHeight="1">
      <c r="A99" s="54"/>
      <c r="B99" s="124" t="s">
        <v>72</v>
      </c>
      <c r="C99" s="79" t="s">
        <v>52</v>
      </c>
      <c r="D99" s="92" t="s">
        <v>180</v>
      </c>
      <c r="E99" s="93"/>
      <c r="F99" s="93"/>
      <c r="G99" s="93"/>
      <c r="H99" s="93"/>
      <c r="I99" s="93"/>
      <c r="J99" s="93"/>
      <c r="K99" s="93"/>
      <c r="L99" s="93"/>
      <c r="M99" s="93"/>
      <c r="N99" s="93"/>
      <c r="O99" s="93"/>
      <c r="P99" s="93"/>
      <c r="Q99" s="93"/>
      <c r="R99" s="93"/>
      <c r="S99" s="93"/>
      <c r="T99" s="93"/>
      <c r="U99" s="94"/>
    </row>
    <row r="100" spans="1:21" ht="96.75" customHeight="1">
      <c r="A100" s="54"/>
      <c r="B100" s="126"/>
      <c r="C100" s="82" t="s">
        <v>68</v>
      </c>
      <c r="D100" s="119" t="s">
        <v>181</v>
      </c>
      <c r="E100" s="120"/>
      <c r="F100" s="120"/>
      <c r="G100" s="120"/>
      <c r="H100" s="120"/>
      <c r="I100" s="120"/>
      <c r="J100" s="120"/>
      <c r="K100" s="120"/>
      <c r="L100" s="120"/>
      <c r="M100" s="120"/>
      <c r="N100" s="120"/>
      <c r="O100" s="120"/>
      <c r="P100" s="120"/>
      <c r="Q100" s="120"/>
      <c r="R100" s="120"/>
      <c r="S100" s="120"/>
      <c r="T100" s="120"/>
      <c r="U100" s="121"/>
    </row>
    <row r="101" spans="1:21" ht="75" customHeight="1">
      <c r="A101" s="54"/>
      <c r="B101" s="125"/>
      <c r="C101" s="81" t="s">
        <v>69</v>
      </c>
      <c r="D101" s="95" t="s">
        <v>182</v>
      </c>
      <c r="E101" s="96"/>
      <c r="F101" s="96"/>
      <c r="G101" s="96"/>
      <c r="H101" s="96"/>
      <c r="I101" s="96"/>
      <c r="J101" s="96"/>
      <c r="K101" s="96"/>
      <c r="L101" s="96"/>
      <c r="M101" s="96"/>
      <c r="N101" s="96"/>
      <c r="O101" s="96"/>
      <c r="P101" s="96"/>
      <c r="Q101" s="96"/>
      <c r="R101" s="96"/>
      <c r="S101" s="96"/>
      <c r="T101" s="96"/>
      <c r="U101" s="97"/>
    </row>
    <row r="102" spans="1:21" ht="6" customHeight="1"/>
    <row r="103" spans="1:21" ht="18.75" customHeight="1">
      <c r="A103" s="1" t="s">
        <v>103</v>
      </c>
    </row>
    <row r="104" spans="1:21" ht="81.75" customHeight="1">
      <c r="B104" s="141" t="s">
        <v>149</v>
      </c>
      <c r="C104" s="142"/>
      <c r="D104" s="142"/>
      <c r="E104" s="142"/>
      <c r="F104" s="142"/>
      <c r="G104" s="142"/>
      <c r="H104" s="142"/>
      <c r="I104" s="142"/>
      <c r="J104" s="142"/>
      <c r="K104" s="142"/>
      <c r="L104" s="142"/>
      <c r="M104" s="142"/>
      <c r="N104" s="142"/>
      <c r="O104" s="142"/>
      <c r="P104" s="142"/>
      <c r="Q104" s="142"/>
      <c r="R104" s="142"/>
      <c r="S104" s="142"/>
      <c r="T104" s="142"/>
      <c r="U104" s="143"/>
    </row>
    <row r="107" spans="1:21" ht="18" customHeight="1"/>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7" zoomScaleNormal="100" zoomScaleSheetLayoutView="100" workbookViewId="0">
      <selection activeCell="J36" sqref="J36"/>
    </sheetView>
  </sheetViews>
  <sheetFormatPr defaultColWidth="9" defaultRowHeight="18.75" customHeight="1"/>
  <cols>
    <col min="1" max="1" width="2.75" style="1" customWidth="1"/>
    <col min="2" max="2" width="27.875" style="1" customWidth="1"/>
    <col min="3" max="18" width="6.125" style="1" customWidth="1"/>
    <col min="19" max="19" width="6.625" style="1" customWidth="1"/>
    <col min="20" max="16384" width="9" style="1"/>
  </cols>
  <sheetData>
    <row r="1" spans="1:21" ht="18" customHeight="1">
      <c r="A1" s="54"/>
      <c r="B1" s="54"/>
      <c r="C1" s="54"/>
      <c r="D1" s="54"/>
      <c r="E1" s="54"/>
      <c r="F1" s="54"/>
      <c r="G1" s="54"/>
      <c r="H1" s="54"/>
      <c r="I1" s="54"/>
      <c r="J1" s="54"/>
      <c r="K1" s="54"/>
      <c r="L1" s="54"/>
      <c r="M1" s="54"/>
      <c r="N1" s="54"/>
      <c r="O1" s="54"/>
      <c r="P1" s="54"/>
      <c r="Q1" s="54"/>
      <c r="R1" s="54"/>
      <c r="S1" s="54" t="s">
        <v>92</v>
      </c>
    </row>
    <row r="2" spans="1:21" ht="18" customHeight="1">
      <c r="A2" s="54"/>
      <c r="B2" s="54"/>
      <c r="C2" s="54"/>
      <c r="D2" s="54"/>
      <c r="E2" s="54"/>
      <c r="F2" s="54"/>
      <c r="G2" s="54"/>
      <c r="H2" s="54"/>
      <c r="I2" s="54"/>
      <c r="J2" s="54"/>
      <c r="K2" s="54"/>
      <c r="L2" s="54"/>
      <c r="M2" s="54"/>
      <c r="N2" s="54"/>
      <c r="O2" s="54"/>
      <c r="P2" s="54"/>
      <c r="Q2" s="159" t="str">
        <f>'様式１　プログラムを構成する授業科目'!C2</f>
        <v>上越教育大学</v>
      </c>
      <c r="R2" s="159"/>
      <c r="S2" s="159"/>
    </row>
    <row r="3" spans="1:21" ht="18" customHeight="1">
      <c r="A3" s="131" t="s">
        <v>142</v>
      </c>
      <c r="B3" s="131"/>
      <c r="C3" s="131"/>
      <c r="D3" s="131"/>
      <c r="E3" s="131"/>
      <c r="F3" s="131"/>
      <c r="G3" s="131"/>
      <c r="H3" s="131"/>
      <c r="I3" s="131"/>
      <c r="J3" s="131"/>
      <c r="K3" s="131"/>
      <c r="L3" s="131"/>
      <c r="M3" s="131"/>
      <c r="N3" s="131"/>
      <c r="O3" s="131"/>
      <c r="P3" s="131"/>
      <c r="Q3" s="131"/>
      <c r="R3" s="131"/>
      <c r="S3" s="131"/>
    </row>
    <row r="4" spans="1:21" ht="7.5" customHeight="1">
      <c r="A4" s="56"/>
      <c r="B4" s="56"/>
      <c r="C4" s="56"/>
      <c r="D4" s="56"/>
      <c r="E4" s="56"/>
      <c r="F4" s="56"/>
      <c r="G4" s="56"/>
      <c r="H4" s="56"/>
      <c r="I4" s="56"/>
      <c r="J4" s="56"/>
      <c r="K4" s="56"/>
      <c r="L4" s="56"/>
      <c r="M4" s="56"/>
      <c r="N4" s="56"/>
      <c r="O4" s="56"/>
      <c r="P4" s="56"/>
      <c r="Q4" s="56"/>
      <c r="R4" s="56"/>
      <c r="S4" s="56"/>
    </row>
    <row r="5" spans="1:21" ht="18" customHeight="1">
      <c r="A5" s="54" t="s">
        <v>75</v>
      </c>
      <c r="B5" s="54"/>
      <c r="C5" s="160" t="s">
        <v>150</v>
      </c>
      <c r="D5" s="161"/>
      <c r="E5" s="58" t="s">
        <v>125</v>
      </c>
      <c r="F5" s="56"/>
      <c r="G5" s="56"/>
      <c r="H5" s="56"/>
      <c r="I5" s="56"/>
      <c r="J5" s="56"/>
      <c r="K5" s="56"/>
      <c r="L5" s="56"/>
      <c r="M5" s="56"/>
      <c r="N5" s="56"/>
      <c r="O5" s="56"/>
      <c r="P5" s="56"/>
      <c r="Q5" s="56"/>
      <c r="R5" s="55"/>
      <c r="S5" s="55"/>
    </row>
    <row r="6" spans="1:21" ht="7.15" customHeight="1">
      <c r="A6" s="54"/>
      <c r="B6" s="54"/>
      <c r="C6" s="70"/>
      <c r="D6" s="70"/>
      <c r="E6" s="56"/>
      <c r="F6" s="56"/>
      <c r="G6" s="56"/>
      <c r="H6" s="56"/>
      <c r="I6" s="56"/>
      <c r="J6" s="56"/>
      <c r="K6" s="56"/>
      <c r="L6" s="56"/>
      <c r="M6" s="56"/>
      <c r="N6" s="56"/>
      <c r="O6" s="56"/>
      <c r="P6" s="56"/>
      <c r="Q6" s="56"/>
      <c r="R6" s="55"/>
      <c r="S6" s="55"/>
    </row>
    <row r="7" spans="1:21" ht="18" customHeight="1">
      <c r="A7" s="54" t="s">
        <v>109</v>
      </c>
      <c r="B7" s="54"/>
      <c r="C7" s="70"/>
      <c r="D7" s="70"/>
      <c r="E7" s="56" t="s">
        <v>110</v>
      </c>
      <c r="F7" s="59">
        <v>308</v>
      </c>
      <c r="G7" s="58" t="s">
        <v>111</v>
      </c>
      <c r="H7" s="56" t="s">
        <v>112</v>
      </c>
      <c r="I7" s="59">
        <v>363</v>
      </c>
      <c r="J7" s="58" t="s">
        <v>111</v>
      </c>
      <c r="K7" s="57" t="s">
        <v>113</v>
      </c>
      <c r="L7" s="56" t="s">
        <v>114</v>
      </c>
      <c r="M7" s="59">
        <f>F7+I7</f>
        <v>671</v>
      </c>
      <c r="N7" s="56" t="s">
        <v>1</v>
      </c>
      <c r="O7" s="58" t="s">
        <v>115</v>
      </c>
      <c r="P7" s="56"/>
      <c r="Q7" s="56"/>
      <c r="R7" s="55"/>
      <c r="S7" s="55"/>
    </row>
    <row r="8" spans="1:21" ht="17.45" customHeight="1">
      <c r="A8" s="56"/>
      <c r="B8" s="71" t="s">
        <v>128</v>
      </c>
      <c r="C8" s="56"/>
      <c r="D8" s="56"/>
      <c r="E8" s="56"/>
      <c r="F8" s="56"/>
      <c r="G8" s="56"/>
      <c r="H8" s="56"/>
      <c r="I8" s="56"/>
      <c r="J8" s="56"/>
      <c r="K8" s="56"/>
      <c r="L8" s="56"/>
      <c r="M8" s="56"/>
      <c r="N8" s="56"/>
      <c r="O8" s="56"/>
      <c r="P8" s="56"/>
      <c r="Q8" s="56"/>
      <c r="R8" s="56"/>
      <c r="S8" s="56"/>
    </row>
    <row r="9" spans="1:21" ht="18" customHeight="1">
      <c r="A9" s="54" t="s">
        <v>120</v>
      </c>
      <c r="B9" s="56"/>
      <c r="C9" s="56"/>
      <c r="D9" s="56"/>
      <c r="E9" s="56"/>
      <c r="F9" s="56"/>
      <c r="G9" s="56"/>
      <c r="H9" s="56"/>
      <c r="I9" s="56"/>
      <c r="J9" s="56"/>
      <c r="K9" s="56"/>
      <c r="L9" s="56"/>
      <c r="M9" s="56"/>
      <c r="N9" s="56"/>
      <c r="O9" s="56"/>
      <c r="P9" s="56"/>
      <c r="Q9" s="56"/>
      <c r="R9" s="56"/>
      <c r="S9" s="56"/>
    </row>
    <row r="10" spans="1:21" ht="6" customHeight="1">
      <c r="B10" s="3"/>
      <c r="C10" s="3"/>
      <c r="D10" s="3"/>
      <c r="E10" s="3"/>
      <c r="F10" s="3"/>
      <c r="G10" s="3"/>
      <c r="H10" s="3"/>
      <c r="I10" s="3"/>
      <c r="J10" s="3"/>
      <c r="K10" s="3"/>
      <c r="L10" s="3"/>
      <c r="M10" s="3"/>
      <c r="N10" s="3"/>
      <c r="O10" s="3"/>
      <c r="P10" s="3"/>
      <c r="Q10" s="3"/>
      <c r="R10" s="3"/>
      <c r="S10" s="3"/>
    </row>
    <row r="11" spans="1:21" ht="18" customHeight="1">
      <c r="B11" s="162" t="s">
        <v>43</v>
      </c>
      <c r="C11" s="172" t="s">
        <v>78</v>
      </c>
      <c r="D11" s="164" t="s">
        <v>45</v>
      </c>
      <c r="E11" s="166" t="s">
        <v>38</v>
      </c>
      <c r="F11" s="158" t="s">
        <v>126</v>
      </c>
      <c r="G11" s="158"/>
      <c r="H11" s="158" t="s">
        <v>106</v>
      </c>
      <c r="I11" s="158"/>
      <c r="J11" s="158" t="s">
        <v>77</v>
      </c>
      <c r="K11" s="158"/>
      <c r="L11" s="158" t="s">
        <v>46</v>
      </c>
      <c r="M11" s="158"/>
      <c r="N11" s="158" t="s">
        <v>47</v>
      </c>
      <c r="O11" s="158"/>
      <c r="P11" s="158" t="s">
        <v>127</v>
      </c>
      <c r="Q11" s="158"/>
      <c r="R11" s="168" t="s">
        <v>35</v>
      </c>
      <c r="S11" s="170" t="s">
        <v>32</v>
      </c>
      <c r="U11" s="2"/>
    </row>
    <row r="12" spans="1:21" ht="16.899999999999999" customHeight="1">
      <c r="B12" s="163"/>
      <c r="C12" s="173"/>
      <c r="D12" s="165"/>
      <c r="E12" s="167"/>
      <c r="F12" s="72" t="s">
        <v>86</v>
      </c>
      <c r="G12" s="72" t="s">
        <v>29</v>
      </c>
      <c r="H12" s="72" t="s">
        <v>86</v>
      </c>
      <c r="I12" s="72" t="s">
        <v>29</v>
      </c>
      <c r="J12" s="72" t="s">
        <v>86</v>
      </c>
      <c r="K12" s="72" t="s">
        <v>29</v>
      </c>
      <c r="L12" s="72" t="s">
        <v>86</v>
      </c>
      <c r="M12" s="72" t="s">
        <v>29</v>
      </c>
      <c r="N12" s="72" t="s">
        <v>86</v>
      </c>
      <c r="O12" s="72" t="s">
        <v>29</v>
      </c>
      <c r="P12" s="72" t="s">
        <v>86</v>
      </c>
      <c r="Q12" s="73" t="s">
        <v>29</v>
      </c>
      <c r="R12" s="169"/>
      <c r="S12" s="171"/>
      <c r="U12" s="2"/>
    </row>
    <row r="13" spans="1:21" ht="18" customHeight="1">
      <c r="A13" s="6"/>
      <c r="B13" s="48" t="s">
        <v>151</v>
      </c>
      <c r="C13" s="36">
        <v>671</v>
      </c>
      <c r="D13" s="37">
        <v>160</v>
      </c>
      <c r="E13" s="38">
        <v>640</v>
      </c>
      <c r="F13" s="38">
        <v>169</v>
      </c>
      <c r="G13" s="38">
        <v>166</v>
      </c>
      <c r="H13" s="38"/>
      <c r="I13" s="38"/>
      <c r="J13" s="38"/>
      <c r="K13" s="38"/>
      <c r="L13" s="38"/>
      <c r="M13" s="38"/>
      <c r="N13" s="38"/>
      <c r="O13" s="38"/>
      <c r="P13" s="38"/>
      <c r="Q13" s="49"/>
      <c r="R13" s="37">
        <f t="shared" ref="R13:R32" si="0">F13+H13+J13+L13+N13+P13</f>
        <v>169</v>
      </c>
      <c r="S13" s="50">
        <f t="shared" ref="S13:S33" si="1">R13/E13</f>
        <v>0.26406249999999998</v>
      </c>
    </row>
    <row r="14" spans="1:21" ht="18" customHeight="1">
      <c r="A14" s="6"/>
      <c r="B14" s="11"/>
      <c r="C14" s="39"/>
      <c r="D14" s="40"/>
      <c r="E14" s="41"/>
      <c r="F14" s="42"/>
      <c r="G14" s="42"/>
      <c r="H14" s="42"/>
      <c r="I14" s="42"/>
      <c r="J14" s="42"/>
      <c r="K14" s="42"/>
      <c r="L14" s="42"/>
      <c r="M14" s="42"/>
      <c r="N14" s="42"/>
      <c r="O14" s="42"/>
      <c r="P14" s="42"/>
      <c r="Q14" s="39"/>
      <c r="R14" s="40">
        <f t="shared" si="0"/>
        <v>0</v>
      </c>
      <c r="S14" s="16" t="e">
        <f t="shared" si="1"/>
        <v>#DIV/0!</v>
      </c>
    </row>
    <row r="15" spans="1:21" ht="18" customHeight="1">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c r="B33" s="13" t="s">
        <v>33</v>
      </c>
      <c r="C33" s="45">
        <f t="shared" ref="C33" si="2">SUM(C13:C32)</f>
        <v>671</v>
      </c>
      <c r="D33" s="46">
        <f t="shared" ref="D33:R33" si="3">SUM(D13:D32)</f>
        <v>160</v>
      </c>
      <c r="E33" s="47">
        <f t="shared" si="3"/>
        <v>640</v>
      </c>
      <c r="F33" s="47">
        <f t="shared" si="3"/>
        <v>169</v>
      </c>
      <c r="G33" s="47">
        <f t="shared" ref="G33:H33" si="4">SUM(G13:G32)</f>
        <v>166</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169</v>
      </c>
      <c r="S33" s="9">
        <f t="shared" si="1"/>
        <v>0.26406249999999998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08" sqref="B108:I119"/>
    </sheetView>
  </sheetViews>
  <sheetFormatPr defaultColWidth="11.375" defaultRowHeight="18.75" customHeight="1"/>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20" t="s">
        <v>59</v>
      </c>
      <c r="I1" s="18" t="s">
        <v>91</v>
      </c>
    </row>
    <row r="2" spans="1:9" ht="18.75" customHeight="1">
      <c r="G2" s="18" t="s">
        <v>93</v>
      </c>
      <c r="H2" s="110" t="str">
        <f>'様式１　プログラムを構成する授業科目'!C2</f>
        <v>上越教育大学</v>
      </c>
      <c r="I2" s="115"/>
    </row>
    <row r="3" spans="1:9" ht="18.75" customHeight="1">
      <c r="G3" s="18"/>
      <c r="H3" s="10"/>
      <c r="I3" s="10"/>
    </row>
    <row r="4" spans="1:9" ht="18.600000000000001" customHeight="1">
      <c r="A4" s="131" t="s">
        <v>36</v>
      </c>
      <c r="B4" s="131"/>
      <c r="C4" s="131"/>
      <c r="D4" s="131"/>
      <c r="E4" s="131"/>
      <c r="F4" s="131"/>
      <c r="G4" s="131"/>
      <c r="H4" s="131"/>
      <c r="I4" s="131"/>
    </row>
    <row r="5" spans="1:9" ht="13.15" customHeight="1">
      <c r="B5" s="3"/>
      <c r="C5" s="3"/>
      <c r="D5" s="3"/>
      <c r="E5" s="3"/>
      <c r="F5" s="3"/>
      <c r="G5" s="3"/>
      <c r="H5" s="3"/>
      <c r="I5" s="3"/>
    </row>
    <row r="6" spans="1:9" ht="18" customHeight="1">
      <c r="A6" s="1" t="s">
        <v>0</v>
      </c>
      <c r="B6" s="10" t="s">
        <v>81</v>
      </c>
      <c r="C6" s="208" t="s">
        <v>82</v>
      </c>
      <c r="D6" s="208"/>
      <c r="E6" s="17">
        <v>108</v>
      </c>
      <c r="F6" s="3" t="s">
        <v>1</v>
      </c>
      <c r="G6" s="3" t="s">
        <v>2</v>
      </c>
      <c r="H6" s="17">
        <v>95</v>
      </c>
      <c r="I6" s="10" t="s">
        <v>1</v>
      </c>
    </row>
    <row r="7" spans="1:9" ht="12" customHeight="1">
      <c r="C7" s="2"/>
      <c r="D7" s="2"/>
      <c r="E7" s="2"/>
      <c r="F7" s="2"/>
      <c r="G7" s="2"/>
      <c r="H7" s="2"/>
      <c r="I7" s="21"/>
    </row>
    <row r="8" spans="1:9" ht="18" customHeight="1">
      <c r="A8" s="1" t="s">
        <v>3</v>
      </c>
      <c r="B8" s="10" t="s">
        <v>83</v>
      </c>
      <c r="E8" s="3"/>
      <c r="F8" s="3"/>
      <c r="G8" s="3"/>
      <c r="H8" s="17">
        <v>4</v>
      </c>
      <c r="I8" s="10" t="s">
        <v>1</v>
      </c>
    </row>
    <row r="9" spans="1:9" ht="9" customHeight="1">
      <c r="B9" s="3"/>
      <c r="C9" s="3"/>
      <c r="D9" s="3"/>
      <c r="E9" s="3"/>
      <c r="F9" s="3"/>
      <c r="G9" s="3"/>
      <c r="H9" s="3"/>
      <c r="I9" s="3"/>
    </row>
    <row r="10" spans="1:9" ht="18" customHeight="1">
      <c r="A10" s="1" t="s">
        <v>4</v>
      </c>
      <c r="B10" s="10" t="s">
        <v>84</v>
      </c>
      <c r="C10" s="3"/>
      <c r="D10" s="3"/>
      <c r="E10" s="3"/>
      <c r="F10" s="3"/>
      <c r="G10" s="3"/>
      <c r="H10" s="3"/>
      <c r="I10" s="3"/>
    </row>
    <row r="11" spans="1:9" ht="18" customHeight="1">
      <c r="B11" s="18" t="s">
        <v>41</v>
      </c>
      <c r="C11" s="205" t="s">
        <v>152</v>
      </c>
      <c r="D11" s="206"/>
      <c r="E11" s="207"/>
      <c r="F11" s="21"/>
      <c r="G11" s="18" t="s">
        <v>10</v>
      </c>
      <c r="H11" s="205" t="s">
        <v>153</v>
      </c>
      <c r="I11" s="207"/>
    </row>
    <row r="12" spans="1:9" ht="10.15" customHeight="1">
      <c r="B12" s="18"/>
      <c r="C12" s="10"/>
      <c r="D12" s="21"/>
      <c r="E12" s="21"/>
      <c r="F12" s="21"/>
      <c r="G12" s="18"/>
      <c r="H12" s="10"/>
      <c r="I12" s="21"/>
    </row>
    <row r="13" spans="1:9" ht="18" customHeight="1">
      <c r="A13" s="1" t="s">
        <v>7</v>
      </c>
      <c r="B13" s="10" t="s">
        <v>79</v>
      </c>
      <c r="C13" s="3"/>
      <c r="D13" s="3"/>
      <c r="E13" s="3"/>
      <c r="F13" s="3"/>
      <c r="G13" s="3"/>
      <c r="H13" s="3"/>
      <c r="I13" s="3"/>
    </row>
    <row r="14" spans="1:9" ht="18" customHeight="1">
      <c r="B14" s="202" t="s">
        <v>154</v>
      </c>
      <c r="C14" s="203"/>
      <c r="D14" s="203"/>
      <c r="E14" s="203"/>
      <c r="F14" s="203"/>
      <c r="G14" s="203"/>
      <c r="H14" s="203"/>
      <c r="I14" s="204"/>
    </row>
    <row r="15" spans="1:9" ht="9" customHeight="1">
      <c r="B15" s="3"/>
      <c r="C15" s="3"/>
      <c r="D15" s="3"/>
      <c r="E15" s="3"/>
      <c r="F15" s="3"/>
      <c r="G15" s="3"/>
      <c r="H15" s="3"/>
      <c r="I15" s="3"/>
    </row>
    <row r="16" spans="1:9" ht="18" customHeight="1">
      <c r="B16" s="18" t="s">
        <v>41</v>
      </c>
      <c r="C16" s="205" t="s">
        <v>156</v>
      </c>
      <c r="D16" s="206"/>
      <c r="E16" s="207"/>
      <c r="F16" s="21"/>
      <c r="G16" s="18" t="s">
        <v>10</v>
      </c>
      <c r="H16" s="205" t="s">
        <v>155</v>
      </c>
      <c r="I16" s="207"/>
    </row>
    <row r="17" spans="1:9" ht="18" customHeight="1">
      <c r="B17" s="3"/>
      <c r="C17" s="3"/>
      <c r="D17" s="3"/>
      <c r="E17" s="3"/>
      <c r="F17" s="3"/>
      <c r="G17" s="3"/>
      <c r="H17" s="3"/>
      <c r="I17" s="3"/>
    </row>
    <row r="18" spans="1:9" ht="18.75" customHeight="1">
      <c r="A18" s="1" t="s">
        <v>5</v>
      </c>
      <c r="B18" s="1" t="s">
        <v>40</v>
      </c>
      <c r="I18" s="3"/>
    </row>
    <row r="19" spans="1:9" ht="18.75" customHeight="1">
      <c r="A19" s="1"/>
      <c r="B19" s="202" t="s">
        <v>157</v>
      </c>
      <c r="C19" s="203"/>
      <c r="D19" s="203"/>
      <c r="E19" s="203"/>
      <c r="F19" s="203"/>
      <c r="G19" s="203"/>
      <c r="H19" s="203"/>
      <c r="I19" s="204"/>
    </row>
    <row r="20" spans="1:9" ht="7.5" customHeight="1">
      <c r="B20" s="3"/>
      <c r="C20" s="3"/>
      <c r="D20" s="3"/>
      <c r="E20" s="3"/>
      <c r="F20" s="3"/>
      <c r="G20" s="3"/>
      <c r="H20" s="3"/>
      <c r="I20" s="3"/>
    </row>
    <row r="21" spans="1:9" ht="18.75" customHeight="1">
      <c r="A21" s="1" t="s">
        <v>8</v>
      </c>
      <c r="B21" s="1" t="s">
        <v>25</v>
      </c>
    </row>
    <row r="22" spans="1:9" ht="18.75" customHeight="1">
      <c r="A22" s="14"/>
      <c r="B22" s="175" t="s">
        <v>158</v>
      </c>
      <c r="C22" s="176"/>
      <c r="D22" s="176"/>
      <c r="E22" s="176"/>
      <c r="F22" s="176"/>
      <c r="G22" s="176"/>
      <c r="H22" s="176"/>
      <c r="I22" s="184"/>
    </row>
    <row r="23" spans="1:9" ht="18.75" customHeight="1">
      <c r="A23" s="14"/>
      <c r="B23" s="178"/>
      <c r="C23" s="179"/>
      <c r="D23" s="179"/>
      <c r="E23" s="179"/>
      <c r="F23" s="179"/>
      <c r="G23" s="179"/>
      <c r="H23" s="179"/>
      <c r="I23" s="187"/>
    </row>
    <row r="24" spans="1:9" ht="18.75" customHeight="1">
      <c r="A24" s="14"/>
      <c r="B24" s="178"/>
      <c r="C24" s="179"/>
      <c r="D24" s="179"/>
      <c r="E24" s="179"/>
      <c r="F24" s="179"/>
      <c r="G24" s="179"/>
      <c r="H24" s="179"/>
      <c r="I24" s="187"/>
    </row>
    <row r="25" spans="1:9" ht="18.75" customHeight="1">
      <c r="A25" s="14"/>
      <c r="B25" s="178"/>
      <c r="C25" s="179"/>
      <c r="D25" s="179"/>
      <c r="E25" s="179"/>
      <c r="F25" s="179"/>
      <c r="G25" s="179"/>
      <c r="H25" s="179"/>
      <c r="I25" s="187"/>
    </row>
    <row r="26" spans="1:9" ht="18.75" customHeight="1">
      <c r="A26" s="14"/>
      <c r="B26" s="178"/>
      <c r="C26" s="179"/>
      <c r="D26" s="179"/>
      <c r="E26" s="179"/>
      <c r="F26" s="179"/>
      <c r="G26" s="179"/>
      <c r="H26" s="179"/>
      <c r="I26" s="187"/>
    </row>
    <row r="27" spans="1:9" ht="18.75" customHeight="1">
      <c r="A27" s="14"/>
      <c r="B27" s="178"/>
      <c r="C27" s="179"/>
      <c r="D27" s="179"/>
      <c r="E27" s="179"/>
      <c r="F27" s="179"/>
      <c r="G27" s="179"/>
      <c r="H27" s="179"/>
      <c r="I27" s="187"/>
    </row>
    <row r="28" spans="1:9" ht="18.75" customHeight="1">
      <c r="A28" s="14"/>
      <c r="B28" s="178"/>
      <c r="C28" s="179"/>
      <c r="D28" s="179"/>
      <c r="E28" s="179"/>
      <c r="F28" s="179"/>
      <c r="G28" s="179"/>
      <c r="H28" s="179"/>
      <c r="I28" s="187"/>
    </row>
    <row r="29" spans="1:9" ht="18.75" customHeight="1">
      <c r="A29" s="14"/>
      <c r="B29" s="178"/>
      <c r="C29" s="179"/>
      <c r="D29" s="179"/>
      <c r="E29" s="179"/>
      <c r="F29" s="179"/>
      <c r="G29" s="179"/>
      <c r="H29" s="179"/>
      <c r="I29" s="187"/>
    </row>
    <row r="30" spans="1:9" ht="18.75" customHeight="1">
      <c r="A30" s="14"/>
      <c r="B30" s="185"/>
      <c r="C30" s="186"/>
      <c r="D30" s="186"/>
      <c r="E30" s="186"/>
      <c r="F30" s="186"/>
      <c r="G30" s="186"/>
      <c r="H30" s="186"/>
      <c r="I30" s="187"/>
    </row>
    <row r="31" spans="1:9" ht="18.75" customHeight="1">
      <c r="A31" s="14"/>
      <c r="B31" s="185"/>
      <c r="C31" s="186"/>
      <c r="D31" s="186"/>
      <c r="E31" s="186"/>
      <c r="F31" s="186"/>
      <c r="G31" s="186"/>
      <c r="H31" s="186"/>
      <c r="I31" s="187"/>
    </row>
    <row r="32" spans="1:9" ht="18.75" customHeight="1">
      <c r="A32" s="14"/>
      <c r="B32" s="188"/>
      <c r="C32" s="189"/>
      <c r="D32" s="189"/>
      <c r="E32" s="189"/>
      <c r="F32" s="189"/>
      <c r="G32" s="189"/>
      <c r="H32" s="189"/>
      <c r="I32" s="190"/>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175" t="s">
        <v>159</v>
      </c>
      <c r="C35" s="176"/>
      <c r="D35" s="176"/>
      <c r="E35" s="176"/>
      <c r="F35" s="176"/>
      <c r="G35" s="176"/>
      <c r="H35" s="176"/>
      <c r="I35" s="184"/>
    </row>
    <row r="36" spans="1:9" ht="18.75" customHeight="1">
      <c r="A36" s="14"/>
      <c r="B36" s="185"/>
      <c r="C36" s="186"/>
      <c r="D36" s="186"/>
      <c r="E36" s="186"/>
      <c r="F36" s="186"/>
      <c r="G36" s="186"/>
      <c r="H36" s="186"/>
      <c r="I36" s="187"/>
    </row>
    <row r="37" spans="1:9" ht="18.75" customHeight="1">
      <c r="A37" s="14"/>
      <c r="B37" s="185"/>
      <c r="C37" s="186"/>
      <c r="D37" s="186"/>
      <c r="E37" s="186"/>
      <c r="F37" s="186"/>
      <c r="G37" s="186"/>
      <c r="H37" s="186"/>
      <c r="I37" s="187"/>
    </row>
    <row r="38" spans="1:9" ht="18.75" customHeight="1">
      <c r="A38" s="14"/>
      <c r="B38" s="185"/>
      <c r="C38" s="186"/>
      <c r="D38" s="186"/>
      <c r="E38" s="186"/>
      <c r="F38" s="186"/>
      <c r="G38" s="186"/>
      <c r="H38" s="186"/>
      <c r="I38" s="187"/>
    </row>
    <row r="39" spans="1:9" ht="18.75" customHeight="1">
      <c r="A39" s="14"/>
      <c r="B39" s="185"/>
      <c r="C39" s="186"/>
      <c r="D39" s="186"/>
      <c r="E39" s="186"/>
      <c r="F39" s="186"/>
      <c r="G39" s="186"/>
      <c r="H39" s="186"/>
      <c r="I39" s="187"/>
    </row>
    <row r="40" spans="1:9" ht="18.75" customHeight="1">
      <c r="A40" s="14"/>
      <c r="B40" s="185"/>
      <c r="C40" s="186"/>
      <c r="D40" s="186"/>
      <c r="E40" s="186"/>
      <c r="F40" s="186"/>
      <c r="G40" s="186"/>
      <c r="H40" s="186"/>
      <c r="I40" s="187"/>
    </row>
    <row r="41" spans="1:9" ht="18.75" customHeight="1">
      <c r="A41" s="14"/>
      <c r="B41" s="185"/>
      <c r="C41" s="186"/>
      <c r="D41" s="186"/>
      <c r="E41" s="186"/>
      <c r="F41" s="186"/>
      <c r="G41" s="186"/>
      <c r="H41" s="186"/>
      <c r="I41" s="187"/>
    </row>
    <row r="42" spans="1:9" ht="18.75" customHeight="1">
      <c r="A42" s="14"/>
      <c r="B42" s="185"/>
      <c r="C42" s="186"/>
      <c r="D42" s="186"/>
      <c r="E42" s="186"/>
      <c r="F42" s="186"/>
      <c r="G42" s="186"/>
      <c r="H42" s="186"/>
      <c r="I42" s="187"/>
    </row>
    <row r="43" spans="1:9" ht="18.75" customHeight="1">
      <c r="A43" s="14"/>
      <c r="B43" s="185"/>
      <c r="C43" s="186"/>
      <c r="D43" s="186"/>
      <c r="E43" s="186"/>
      <c r="F43" s="186"/>
      <c r="G43" s="186"/>
      <c r="H43" s="186"/>
      <c r="I43" s="187"/>
    </row>
    <row r="44" spans="1:9" ht="18.75" customHeight="1">
      <c r="A44" s="14"/>
      <c r="B44" s="185"/>
      <c r="C44" s="186"/>
      <c r="D44" s="186"/>
      <c r="E44" s="186"/>
      <c r="F44" s="186"/>
      <c r="G44" s="186"/>
      <c r="H44" s="186"/>
      <c r="I44" s="187"/>
    </row>
    <row r="45" spans="1:9" ht="18.75" customHeight="1">
      <c r="A45" s="14"/>
      <c r="B45" s="185"/>
      <c r="C45" s="186"/>
      <c r="D45" s="186"/>
      <c r="E45" s="186"/>
      <c r="F45" s="186"/>
      <c r="G45" s="186"/>
      <c r="H45" s="186"/>
      <c r="I45" s="187"/>
    </row>
    <row r="46" spans="1:9" ht="18.75" customHeight="1">
      <c r="A46" s="14"/>
      <c r="B46" s="188"/>
      <c r="C46" s="189"/>
      <c r="D46" s="189"/>
      <c r="E46" s="189"/>
      <c r="F46" s="189"/>
      <c r="G46" s="189"/>
      <c r="H46" s="189"/>
      <c r="I46" s="190"/>
    </row>
    <row r="47" spans="1:9" ht="7.5" customHeight="1">
      <c r="A47" s="4"/>
      <c r="B47" s="4"/>
      <c r="C47" s="4"/>
      <c r="D47" s="4"/>
      <c r="E47" s="4"/>
      <c r="F47" s="4"/>
      <c r="G47" s="4"/>
      <c r="H47" s="4"/>
      <c r="I47" s="4"/>
    </row>
    <row r="48" spans="1:9" ht="18.75" customHeight="1">
      <c r="A48" s="1" t="s">
        <v>31</v>
      </c>
      <c r="B48" s="1" t="s">
        <v>105</v>
      </c>
    </row>
    <row r="49" spans="1:15" s="3" customFormat="1" ht="18.75" customHeight="1">
      <c r="B49" s="74" t="s">
        <v>129</v>
      </c>
      <c r="C49" s="191">
        <f>'様式２ 履修者等数の実績'!S33</f>
        <v>0.26406249999999998</v>
      </c>
      <c r="D49" s="191"/>
      <c r="E49" s="74" t="s">
        <v>60</v>
      </c>
      <c r="F49" s="191">
        <v>0.5</v>
      </c>
      <c r="G49" s="191"/>
      <c r="H49" s="74" t="s">
        <v>80</v>
      </c>
      <c r="I49" s="22">
        <v>0.75</v>
      </c>
      <c r="J49" s="1"/>
      <c r="M49" s="1"/>
      <c r="N49" s="23"/>
    </row>
    <row r="50" spans="1:15" s="3" customFormat="1" ht="18.75" customHeight="1">
      <c r="B50" s="75" t="s">
        <v>116</v>
      </c>
      <c r="C50" s="174">
        <v>1</v>
      </c>
      <c r="D50" s="174"/>
      <c r="E50" s="75" t="s">
        <v>130</v>
      </c>
      <c r="F50" s="174">
        <v>1</v>
      </c>
      <c r="G50" s="174"/>
      <c r="H50" s="75" t="s">
        <v>61</v>
      </c>
      <c r="I50" s="24">
        <f>'様式２ 履修者等数の実績'!E33</f>
        <v>640</v>
      </c>
      <c r="J50" s="1"/>
      <c r="M50" s="1"/>
      <c r="N50" s="23"/>
    </row>
    <row r="51" spans="1:15" ht="18.75" customHeight="1">
      <c r="A51" s="1"/>
      <c r="B51" s="210" t="s">
        <v>62</v>
      </c>
      <c r="C51" s="211"/>
      <c r="D51" s="211"/>
      <c r="E51" s="211"/>
      <c r="F51" s="211"/>
      <c r="G51" s="211"/>
      <c r="H51" s="211"/>
      <c r="I51" s="212"/>
      <c r="N51" s="23"/>
      <c r="O51" s="3"/>
    </row>
    <row r="52" spans="1:15" ht="18.75" customHeight="1">
      <c r="A52" s="1"/>
      <c r="B52" s="192" t="s">
        <v>160</v>
      </c>
      <c r="C52" s="193"/>
      <c r="D52" s="193"/>
      <c r="E52" s="193"/>
      <c r="F52" s="193"/>
      <c r="G52" s="193"/>
      <c r="H52" s="193"/>
      <c r="I52" s="194"/>
      <c r="N52" s="23"/>
      <c r="O52" s="3"/>
    </row>
    <row r="53" spans="1:15" ht="18.75" customHeight="1">
      <c r="A53" s="1"/>
      <c r="B53" s="195"/>
      <c r="C53" s="196"/>
      <c r="D53" s="196"/>
      <c r="E53" s="196"/>
      <c r="F53" s="196"/>
      <c r="G53" s="196"/>
      <c r="H53" s="196"/>
      <c r="I53" s="197"/>
      <c r="N53" s="23"/>
      <c r="O53" s="3"/>
    </row>
    <row r="54" spans="1:15" ht="18.75" customHeight="1">
      <c r="A54" s="1"/>
      <c r="B54" s="195"/>
      <c r="C54" s="196"/>
      <c r="D54" s="196"/>
      <c r="E54" s="196"/>
      <c r="F54" s="196"/>
      <c r="G54" s="196"/>
      <c r="H54" s="196"/>
      <c r="I54" s="197"/>
    </row>
    <row r="55" spans="1:15" ht="18.75" customHeight="1">
      <c r="A55" s="1"/>
      <c r="B55" s="195"/>
      <c r="C55" s="196"/>
      <c r="D55" s="196"/>
      <c r="E55" s="196"/>
      <c r="F55" s="196"/>
      <c r="G55" s="196"/>
      <c r="H55" s="196"/>
      <c r="I55" s="197"/>
    </row>
    <row r="56" spans="1:15" ht="18.75" customHeight="1">
      <c r="A56" s="1"/>
      <c r="B56" s="195"/>
      <c r="C56" s="196"/>
      <c r="D56" s="196"/>
      <c r="E56" s="196"/>
      <c r="F56" s="196"/>
      <c r="G56" s="196"/>
      <c r="H56" s="196"/>
      <c r="I56" s="197"/>
    </row>
    <row r="57" spans="1:15" ht="18.75" customHeight="1">
      <c r="A57" s="1"/>
      <c r="B57" s="195"/>
      <c r="C57" s="196"/>
      <c r="D57" s="196"/>
      <c r="E57" s="196"/>
      <c r="F57" s="196"/>
      <c r="G57" s="196"/>
      <c r="H57" s="196"/>
      <c r="I57" s="197"/>
    </row>
    <row r="58" spans="1:15" ht="18.75" customHeight="1">
      <c r="A58" s="1"/>
      <c r="B58" s="195"/>
      <c r="C58" s="196"/>
      <c r="D58" s="196"/>
      <c r="E58" s="196"/>
      <c r="F58" s="196"/>
      <c r="G58" s="196"/>
      <c r="H58" s="196"/>
      <c r="I58" s="197"/>
    </row>
    <row r="59" spans="1:15" ht="18.75" customHeight="1">
      <c r="A59" s="1"/>
      <c r="B59" s="195"/>
      <c r="C59" s="196"/>
      <c r="D59" s="196"/>
      <c r="E59" s="196"/>
      <c r="F59" s="196"/>
      <c r="G59" s="196"/>
      <c r="H59" s="196"/>
      <c r="I59" s="197"/>
    </row>
    <row r="60" spans="1:15" ht="18.75" customHeight="1">
      <c r="A60" s="1"/>
      <c r="B60" s="195"/>
      <c r="C60" s="196"/>
      <c r="D60" s="196"/>
      <c r="E60" s="196"/>
      <c r="F60" s="196"/>
      <c r="G60" s="196"/>
      <c r="H60" s="196"/>
      <c r="I60" s="197"/>
    </row>
    <row r="61" spans="1:15" ht="18.75" customHeight="1">
      <c r="A61" s="1"/>
      <c r="B61" s="195"/>
      <c r="C61" s="196"/>
      <c r="D61" s="196"/>
      <c r="E61" s="196"/>
      <c r="F61" s="196"/>
      <c r="G61" s="196"/>
      <c r="H61" s="196"/>
      <c r="I61" s="197"/>
    </row>
    <row r="62" spans="1:15" ht="18.75" customHeight="1">
      <c r="A62" s="1"/>
      <c r="B62" s="195"/>
      <c r="C62" s="196"/>
      <c r="D62" s="196"/>
      <c r="E62" s="196"/>
      <c r="F62" s="196"/>
      <c r="G62" s="196"/>
      <c r="H62" s="196"/>
      <c r="I62" s="197"/>
    </row>
    <row r="63" spans="1:15" ht="18.75" customHeight="1">
      <c r="A63" s="1"/>
      <c r="B63" s="198"/>
      <c r="C63" s="199"/>
      <c r="D63" s="199"/>
      <c r="E63" s="199"/>
      <c r="F63" s="199"/>
      <c r="G63" s="199"/>
      <c r="H63" s="199"/>
      <c r="I63" s="200"/>
    </row>
    <row r="64" spans="1:15" ht="7.5" customHeight="1">
      <c r="A64" s="14"/>
      <c r="B64" s="14"/>
      <c r="C64" s="14"/>
      <c r="D64" s="14"/>
      <c r="E64" s="14"/>
      <c r="F64" s="14"/>
      <c r="G64" s="14"/>
      <c r="H64" s="14"/>
      <c r="I64" s="14"/>
    </row>
    <row r="65" spans="1:9" ht="18.75" customHeight="1">
      <c r="A65" s="15" t="s">
        <v>34</v>
      </c>
      <c r="B65" s="1" t="s">
        <v>37</v>
      </c>
      <c r="I65" s="15"/>
    </row>
    <row r="66" spans="1:9" ht="18.75" customHeight="1">
      <c r="A66" s="4"/>
      <c r="B66" s="175" t="s">
        <v>161</v>
      </c>
      <c r="C66" s="176"/>
      <c r="D66" s="176"/>
      <c r="E66" s="176"/>
      <c r="F66" s="176"/>
      <c r="G66" s="176"/>
      <c r="H66" s="176"/>
      <c r="I66" s="177"/>
    </row>
    <row r="67" spans="1:9" ht="18.75" customHeight="1">
      <c r="A67" s="4"/>
      <c r="B67" s="178"/>
      <c r="C67" s="179"/>
      <c r="D67" s="179"/>
      <c r="E67" s="179"/>
      <c r="F67" s="179"/>
      <c r="G67" s="179"/>
      <c r="H67" s="179"/>
      <c r="I67" s="180"/>
    </row>
    <row r="68" spans="1:9" ht="18.75" customHeight="1">
      <c r="A68" s="4"/>
      <c r="B68" s="178"/>
      <c r="C68" s="179"/>
      <c r="D68" s="179"/>
      <c r="E68" s="179"/>
      <c r="F68" s="179"/>
      <c r="G68" s="179"/>
      <c r="H68" s="179"/>
      <c r="I68" s="180"/>
    </row>
    <row r="69" spans="1:9" ht="18.75" customHeight="1">
      <c r="A69" s="4"/>
      <c r="B69" s="178"/>
      <c r="C69" s="179"/>
      <c r="D69" s="179"/>
      <c r="E69" s="179"/>
      <c r="F69" s="179"/>
      <c r="G69" s="179"/>
      <c r="H69" s="179"/>
      <c r="I69" s="180"/>
    </row>
    <row r="70" spans="1:9" ht="18.75" customHeight="1">
      <c r="A70" s="4"/>
      <c r="B70" s="178"/>
      <c r="C70" s="179"/>
      <c r="D70" s="179"/>
      <c r="E70" s="179"/>
      <c r="F70" s="179"/>
      <c r="G70" s="179"/>
      <c r="H70" s="179"/>
      <c r="I70" s="180"/>
    </row>
    <row r="71" spans="1:9" ht="18.75" customHeight="1">
      <c r="A71" s="4"/>
      <c r="B71" s="178"/>
      <c r="C71" s="179"/>
      <c r="D71" s="179"/>
      <c r="E71" s="179"/>
      <c r="F71" s="179"/>
      <c r="G71" s="179"/>
      <c r="H71" s="179"/>
      <c r="I71" s="180"/>
    </row>
    <row r="72" spans="1:9" ht="18.75" customHeight="1">
      <c r="A72" s="4"/>
      <c r="B72" s="178"/>
      <c r="C72" s="179"/>
      <c r="D72" s="179"/>
      <c r="E72" s="179"/>
      <c r="F72" s="179"/>
      <c r="G72" s="179"/>
      <c r="H72" s="179"/>
      <c r="I72" s="180"/>
    </row>
    <row r="73" spans="1:9" ht="18.75" customHeight="1">
      <c r="A73" s="4"/>
      <c r="B73" s="178"/>
      <c r="C73" s="179"/>
      <c r="D73" s="179"/>
      <c r="E73" s="179"/>
      <c r="F73" s="179"/>
      <c r="G73" s="179"/>
      <c r="H73" s="179"/>
      <c r="I73" s="180"/>
    </row>
    <row r="74" spans="1:9" ht="18.75" customHeight="1">
      <c r="A74" s="4"/>
      <c r="B74" s="178"/>
      <c r="C74" s="179"/>
      <c r="D74" s="179"/>
      <c r="E74" s="179"/>
      <c r="F74" s="179"/>
      <c r="G74" s="179"/>
      <c r="H74" s="179"/>
      <c r="I74" s="180"/>
    </row>
    <row r="75" spans="1:9" ht="18.75" customHeight="1">
      <c r="A75" s="4"/>
      <c r="B75" s="178"/>
      <c r="C75" s="179"/>
      <c r="D75" s="179"/>
      <c r="E75" s="179"/>
      <c r="F75" s="179"/>
      <c r="G75" s="179"/>
      <c r="H75" s="179"/>
      <c r="I75" s="180"/>
    </row>
    <row r="76" spans="1:9" ht="18.75" customHeight="1">
      <c r="A76" s="4"/>
      <c r="B76" s="178"/>
      <c r="C76" s="179"/>
      <c r="D76" s="179"/>
      <c r="E76" s="179"/>
      <c r="F76" s="179"/>
      <c r="G76" s="179"/>
      <c r="H76" s="179"/>
      <c r="I76" s="180"/>
    </row>
    <row r="77" spans="1:9" ht="18.75" customHeight="1">
      <c r="A77" s="4"/>
      <c r="B77" s="181"/>
      <c r="C77" s="182"/>
      <c r="D77" s="182"/>
      <c r="E77" s="182"/>
      <c r="F77" s="182"/>
      <c r="G77" s="182"/>
      <c r="H77" s="182"/>
      <c r="I77" s="183"/>
    </row>
    <row r="78" spans="1:9" ht="7.5" customHeight="1">
      <c r="A78" s="4"/>
      <c r="B78" s="4"/>
      <c r="C78" s="4"/>
      <c r="D78" s="4"/>
      <c r="E78" s="4"/>
      <c r="F78" s="4"/>
      <c r="G78" s="4"/>
      <c r="H78" s="4"/>
      <c r="I78" s="4"/>
    </row>
    <row r="79" spans="1:9" ht="18.75" customHeight="1">
      <c r="A79" s="1" t="s">
        <v>11</v>
      </c>
      <c r="B79" s="1" t="s">
        <v>39</v>
      </c>
    </row>
    <row r="80" spans="1:9" ht="18.75" customHeight="1">
      <c r="A80" s="1"/>
      <c r="B80" s="175" t="s">
        <v>162</v>
      </c>
      <c r="C80" s="176"/>
      <c r="D80" s="176"/>
      <c r="E80" s="176"/>
      <c r="F80" s="176"/>
      <c r="G80" s="176"/>
      <c r="H80" s="176"/>
      <c r="I80" s="184"/>
    </row>
    <row r="81" spans="1:9" ht="18.75" customHeight="1">
      <c r="A81" s="1"/>
      <c r="B81" s="185"/>
      <c r="C81" s="186"/>
      <c r="D81" s="186"/>
      <c r="E81" s="186"/>
      <c r="F81" s="186"/>
      <c r="G81" s="186"/>
      <c r="H81" s="186"/>
      <c r="I81" s="187"/>
    </row>
    <row r="82" spans="1:9" ht="18.75" customHeight="1">
      <c r="A82" s="1"/>
      <c r="B82" s="185"/>
      <c r="C82" s="186"/>
      <c r="D82" s="186"/>
      <c r="E82" s="186"/>
      <c r="F82" s="186"/>
      <c r="G82" s="186"/>
      <c r="H82" s="186"/>
      <c r="I82" s="187"/>
    </row>
    <row r="83" spans="1:9" ht="18.75" customHeight="1">
      <c r="A83" s="1"/>
      <c r="B83" s="185"/>
      <c r="C83" s="186"/>
      <c r="D83" s="186"/>
      <c r="E83" s="186"/>
      <c r="F83" s="186"/>
      <c r="G83" s="186"/>
      <c r="H83" s="186"/>
      <c r="I83" s="187"/>
    </row>
    <row r="84" spans="1:9" ht="18.75" customHeight="1">
      <c r="A84" s="1"/>
      <c r="B84" s="185"/>
      <c r="C84" s="186"/>
      <c r="D84" s="186"/>
      <c r="E84" s="186"/>
      <c r="F84" s="186"/>
      <c r="G84" s="186"/>
      <c r="H84" s="186"/>
      <c r="I84" s="187"/>
    </row>
    <row r="85" spans="1:9" ht="18.75" customHeight="1">
      <c r="A85" s="1"/>
      <c r="B85" s="185"/>
      <c r="C85" s="186"/>
      <c r="D85" s="186"/>
      <c r="E85" s="186"/>
      <c r="F85" s="186"/>
      <c r="G85" s="186"/>
      <c r="H85" s="186"/>
      <c r="I85" s="187"/>
    </row>
    <row r="86" spans="1:9" ht="18.75" customHeight="1">
      <c r="A86" s="1"/>
      <c r="B86" s="185"/>
      <c r="C86" s="186"/>
      <c r="D86" s="186"/>
      <c r="E86" s="186"/>
      <c r="F86" s="186"/>
      <c r="G86" s="186"/>
      <c r="H86" s="186"/>
      <c r="I86" s="187"/>
    </row>
    <row r="87" spans="1:9" ht="18.75" customHeight="1">
      <c r="A87" s="1"/>
      <c r="B87" s="185"/>
      <c r="C87" s="186"/>
      <c r="D87" s="186"/>
      <c r="E87" s="186"/>
      <c r="F87" s="186"/>
      <c r="G87" s="186"/>
      <c r="H87" s="186"/>
      <c r="I87" s="187"/>
    </row>
    <row r="88" spans="1:9" ht="18.75" customHeight="1">
      <c r="A88" s="1"/>
      <c r="B88" s="185"/>
      <c r="C88" s="186"/>
      <c r="D88" s="186"/>
      <c r="E88" s="186"/>
      <c r="F88" s="186"/>
      <c r="G88" s="186"/>
      <c r="H88" s="186"/>
      <c r="I88" s="187"/>
    </row>
    <row r="89" spans="1:9" ht="18.75" customHeight="1">
      <c r="A89" s="1"/>
      <c r="B89" s="185"/>
      <c r="C89" s="186"/>
      <c r="D89" s="186"/>
      <c r="E89" s="186"/>
      <c r="F89" s="186"/>
      <c r="G89" s="186"/>
      <c r="H89" s="186"/>
      <c r="I89" s="187"/>
    </row>
    <row r="90" spans="1:9" ht="18.75" customHeight="1">
      <c r="A90" s="4"/>
      <c r="B90" s="185"/>
      <c r="C90" s="186"/>
      <c r="D90" s="186"/>
      <c r="E90" s="186"/>
      <c r="F90" s="186"/>
      <c r="G90" s="186"/>
      <c r="H90" s="186"/>
      <c r="I90" s="187"/>
    </row>
    <row r="91" spans="1:9" ht="18.75" customHeight="1">
      <c r="A91" s="4"/>
      <c r="B91" s="188"/>
      <c r="C91" s="189"/>
      <c r="D91" s="189"/>
      <c r="E91" s="189"/>
      <c r="F91" s="189"/>
      <c r="G91" s="189"/>
      <c r="H91" s="189"/>
      <c r="I91" s="190"/>
    </row>
    <row r="92" spans="1:9" ht="7.5" customHeight="1">
      <c r="A92" s="4"/>
      <c r="B92" s="4"/>
      <c r="C92" s="4"/>
      <c r="D92" s="4"/>
      <c r="E92" s="4"/>
      <c r="F92" s="4"/>
      <c r="G92" s="4"/>
      <c r="H92" s="4"/>
      <c r="I92" s="4"/>
    </row>
    <row r="93" spans="1:9" ht="18.75" customHeight="1">
      <c r="A93" s="1" t="s">
        <v>42</v>
      </c>
      <c r="B93" s="1" t="s">
        <v>13</v>
      </c>
    </row>
    <row r="94" spans="1:9" ht="18.75" customHeight="1">
      <c r="A94" s="1"/>
      <c r="B94" s="175" t="s">
        <v>163</v>
      </c>
      <c r="C94" s="176"/>
      <c r="D94" s="176"/>
      <c r="E94" s="176"/>
      <c r="F94" s="176"/>
      <c r="G94" s="176"/>
      <c r="H94" s="176"/>
      <c r="I94" s="184"/>
    </row>
    <row r="95" spans="1:9" ht="18.75" customHeight="1">
      <c r="A95" s="1"/>
      <c r="B95" s="185"/>
      <c r="C95" s="186"/>
      <c r="D95" s="186"/>
      <c r="E95" s="186"/>
      <c r="F95" s="186"/>
      <c r="G95" s="186"/>
      <c r="H95" s="186"/>
      <c r="I95" s="187"/>
    </row>
    <row r="96" spans="1:9" ht="18.75" customHeight="1">
      <c r="A96" s="1"/>
      <c r="B96" s="185"/>
      <c r="C96" s="186"/>
      <c r="D96" s="186"/>
      <c r="E96" s="186"/>
      <c r="F96" s="186"/>
      <c r="G96" s="186"/>
      <c r="H96" s="186"/>
      <c r="I96" s="187"/>
    </row>
    <row r="97" spans="1:9" ht="18.75" customHeight="1">
      <c r="A97" s="1"/>
      <c r="B97" s="185"/>
      <c r="C97" s="186"/>
      <c r="D97" s="186"/>
      <c r="E97" s="186"/>
      <c r="F97" s="186"/>
      <c r="G97" s="186"/>
      <c r="H97" s="186"/>
      <c r="I97" s="187"/>
    </row>
    <row r="98" spans="1:9" ht="18.75" customHeight="1">
      <c r="A98" s="1"/>
      <c r="B98" s="185"/>
      <c r="C98" s="186"/>
      <c r="D98" s="186"/>
      <c r="E98" s="186"/>
      <c r="F98" s="186"/>
      <c r="G98" s="186"/>
      <c r="H98" s="186"/>
      <c r="I98" s="187"/>
    </row>
    <row r="99" spans="1:9" ht="18.75" customHeight="1">
      <c r="A99" s="1"/>
      <c r="B99" s="185"/>
      <c r="C99" s="186"/>
      <c r="D99" s="186"/>
      <c r="E99" s="186"/>
      <c r="F99" s="186"/>
      <c r="G99" s="186"/>
      <c r="H99" s="186"/>
      <c r="I99" s="187"/>
    </row>
    <row r="100" spans="1:9" ht="18.75" customHeight="1">
      <c r="A100" s="1"/>
      <c r="B100" s="185"/>
      <c r="C100" s="186"/>
      <c r="D100" s="186"/>
      <c r="E100" s="186"/>
      <c r="F100" s="186"/>
      <c r="G100" s="186"/>
      <c r="H100" s="186"/>
      <c r="I100" s="187"/>
    </row>
    <row r="101" spans="1:9" ht="18.75" customHeight="1">
      <c r="A101" s="1"/>
      <c r="B101" s="185"/>
      <c r="C101" s="186"/>
      <c r="D101" s="186"/>
      <c r="E101" s="186"/>
      <c r="F101" s="186"/>
      <c r="G101" s="186"/>
      <c r="H101" s="186"/>
      <c r="I101" s="187"/>
    </row>
    <row r="102" spans="1:9" ht="18.75" customHeight="1">
      <c r="A102" s="1"/>
      <c r="B102" s="185"/>
      <c r="C102" s="186"/>
      <c r="D102" s="186"/>
      <c r="E102" s="186"/>
      <c r="F102" s="186"/>
      <c r="G102" s="186"/>
      <c r="H102" s="186"/>
      <c r="I102" s="187"/>
    </row>
    <row r="103" spans="1:9" ht="18.75" customHeight="1">
      <c r="A103" s="1"/>
      <c r="B103" s="185"/>
      <c r="C103" s="186"/>
      <c r="D103" s="186"/>
      <c r="E103" s="186"/>
      <c r="F103" s="186"/>
      <c r="G103" s="186"/>
      <c r="H103" s="186"/>
      <c r="I103" s="187"/>
    </row>
    <row r="104" spans="1:9" ht="18.75" customHeight="1">
      <c r="A104" s="1"/>
      <c r="B104" s="185"/>
      <c r="C104" s="186"/>
      <c r="D104" s="186"/>
      <c r="E104" s="186"/>
      <c r="F104" s="186"/>
      <c r="G104" s="186"/>
      <c r="H104" s="186"/>
      <c r="I104" s="187"/>
    </row>
    <row r="105" spans="1:9" ht="18.75" customHeight="1">
      <c r="A105" s="4"/>
      <c r="B105" s="188"/>
      <c r="C105" s="189"/>
      <c r="D105" s="189"/>
      <c r="E105" s="189"/>
      <c r="F105" s="189"/>
      <c r="G105" s="189"/>
      <c r="H105" s="189"/>
      <c r="I105" s="190"/>
    </row>
    <row r="106" spans="1:9" ht="7.5" customHeight="1">
      <c r="A106" s="4"/>
      <c r="B106" s="4"/>
      <c r="C106" s="4"/>
      <c r="D106" s="4"/>
      <c r="E106" s="4"/>
      <c r="F106" s="4"/>
      <c r="G106" s="4"/>
      <c r="H106" s="4"/>
      <c r="I106" s="4"/>
    </row>
    <row r="107" spans="1:9" ht="18.75" customHeight="1">
      <c r="A107" s="1" t="s">
        <v>30</v>
      </c>
      <c r="B107" s="209" t="s">
        <v>44</v>
      </c>
      <c r="C107" s="209"/>
      <c r="D107" s="209"/>
      <c r="E107" s="209"/>
      <c r="F107" s="209"/>
      <c r="G107" s="209"/>
      <c r="H107" s="209"/>
      <c r="I107" s="209"/>
    </row>
    <row r="108" spans="1:9" ht="18.75" customHeight="1">
      <c r="A108" s="4"/>
      <c r="B108" s="175" t="s">
        <v>164</v>
      </c>
      <c r="C108" s="176"/>
      <c r="D108" s="176"/>
      <c r="E108" s="176"/>
      <c r="F108" s="176"/>
      <c r="G108" s="176"/>
      <c r="H108" s="176"/>
      <c r="I108" s="184"/>
    </row>
    <row r="109" spans="1:9" ht="18.75" customHeight="1">
      <c r="A109" s="4"/>
      <c r="B109" s="185"/>
      <c r="C109" s="186"/>
      <c r="D109" s="186"/>
      <c r="E109" s="186"/>
      <c r="F109" s="186"/>
      <c r="G109" s="186"/>
      <c r="H109" s="186"/>
      <c r="I109" s="187"/>
    </row>
    <row r="110" spans="1:9" ht="18.75" customHeight="1">
      <c r="A110" s="4"/>
      <c r="B110" s="185"/>
      <c r="C110" s="186"/>
      <c r="D110" s="186"/>
      <c r="E110" s="186"/>
      <c r="F110" s="186"/>
      <c r="G110" s="186"/>
      <c r="H110" s="186"/>
      <c r="I110" s="187"/>
    </row>
    <row r="111" spans="1:9" ht="18.75" customHeight="1">
      <c r="A111" s="4"/>
      <c r="B111" s="185"/>
      <c r="C111" s="186"/>
      <c r="D111" s="186"/>
      <c r="E111" s="186"/>
      <c r="F111" s="186"/>
      <c r="G111" s="186"/>
      <c r="H111" s="186"/>
      <c r="I111" s="187"/>
    </row>
    <row r="112" spans="1:9" ht="18.75" customHeight="1">
      <c r="A112" s="4"/>
      <c r="B112" s="185"/>
      <c r="C112" s="186"/>
      <c r="D112" s="186"/>
      <c r="E112" s="186"/>
      <c r="F112" s="186"/>
      <c r="G112" s="186"/>
      <c r="H112" s="186"/>
      <c r="I112" s="187"/>
    </row>
    <row r="113" spans="1:9" ht="18.75" customHeight="1">
      <c r="A113" s="4"/>
      <c r="B113" s="185"/>
      <c r="C113" s="186"/>
      <c r="D113" s="186"/>
      <c r="E113" s="186"/>
      <c r="F113" s="186"/>
      <c r="G113" s="186"/>
      <c r="H113" s="186"/>
      <c r="I113" s="187"/>
    </row>
    <row r="114" spans="1:9" ht="18.75" customHeight="1">
      <c r="A114" s="4"/>
      <c r="B114" s="185"/>
      <c r="C114" s="186"/>
      <c r="D114" s="186"/>
      <c r="E114" s="186"/>
      <c r="F114" s="186"/>
      <c r="G114" s="186"/>
      <c r="H114" s="186"/>
      <c r="I114" s="187"/>
    </row>
    <row r="115" spans="1:9" ht="18.75" customHeight="1">
      <c r="A115" s="4"/>
      <c r="B115" s="185"/>
      <c r="C115" s="186"/>
      <c r="D115" s="186"/>
      <c r="E115" s="186"/>
      <c r="F115" s="186"/>
      <c r="G115" s="186"/>
      <c r="H115" s="186"/>
      <c r="I115" s="187"/>
    </row>
    <row r="116" spans="1:9" ht="18.75" customHeight="1">
      <c r="A116" s="4"/>
      <c r="B116" s="185"/>
      <c r="C116" s="186"/>
      <c r="D116" s="186"/>
      <c r="E116" s="186"/>
      <c r="F116" s="186"/>
      <c r="G116" s="186"/>
      <c r="H116" s="186"/>
      <c r="I116" s="187"/>
    </row>
    <row r="117" spans="1:9" ht="18.75" customHeight="1">
      <c r="A117" s="4"/>
      <c r="B117" s="185"/>
      <c r="C117" s="186"/>
      <c r="D117" s="186"/>
      <c r="E117" s="186"/>
      <c r="F117" s="186"/>
      <c r="G117" s="186"/>
      <c r="H117" s="186"/>
      <c r="I117" s="187"/>
    </row>
    <row r="118" spans="1:9" ht="18.75" customHeight="1">
      <c r="A118" s="4"/>
      <c r="B118" s="185"/>
      <c r="C118" s="186"/>
      <c r="D118" s="186"/>
      <c r="E118" s="186"/>
      <c r="F118" s="186"/>
      <c r="G118" s="186"/>
      <c r="H118" s="186"/>
      <c r="I118" s="187"/>
    </row>
    <row r="119" spans="1:9" ht="18.75" customHeight="1">
      <c r="A119" s="4"/>
      <c r="B119" s="188"/>
      <c r="C119" s="189"/>
      <c r="D119" s="189"/>
      <c r="E119" s="189"/>
      <c r="F119" s="189"/>
      <c r="G119" s="189"/>
      <c r="H119" s="189"/>
      <c r="I119" s="190"/>
    </row>
    <row r="120" spans="1:9" ht="7.5" customHeight="1">
      <c r="A120" s="4"/>
      <c r="B120" s="25"/>
      <c r="C120" s="25"/>
      <c r="D120" s="25"/>
      <c r="E120" s="25"/>
      <c r="F120" s="25"/>
      <c r="G120" s="25"/>
      <c r="H120" s="25"/>
      <c r="I120" s="25"/>
    </row>
    <row r="121" spans="1:9" ht="18.75" customHeight="1">
      <c r="A121" s="51"/>
      <c r="B121" s="201"/>
      <c r="C121" s="201"/>
      <c r="D121" s="201"/>
      <c r="E121" s="201"/>
      <c r="F121" s="201"/>
      <c r="G121" s="201"/>
      <c r="H121" s="201"/>
      <c r="I121" s="201"/>
    </row>
    <row r="122" spans="1:9" ht="18.75" customHeight="1">
      <c r="A122" s="51"/>
      <c r="B122" s="201"/>
      <c r="C122" s="201"/>
      <c r="D122" s="201"/>
      <c r="E122" s="201"/>
      <c r="F122" s="201"/>
      <c r="G122" s="201"/>
      <c r="H122" s="201"/>
      <c r="I122" s="201"/>
    </row>
    <row r="123" spans="1:9" ht="18.75" customHeight="1">
      <c r="A123" s="4"/>
      <c r="B123" s="52"/>
      <c r="C123" s="52"/>
      <c r="D123" s="52"/>
      <c r="E123" s="52"/>
      <c r="F123" s="52"/>
      <c r="G123" s="52"/>
      <c r="H123" s="52"/>
      <c r="I123" s="53"/>
    </row>
    <row r="124" spans="1:9" ht="18.75" customHeight="1">
      <c r="A124" s="4"/>
      <c r="B124" s="53"/>
      <c r="C124" s="53"/>
      <c r="D124" s="53"/>
      <c r="E124" s="53"/>
      <c r="F124" s="53"/>
      <c r="G124" s="53"/>
      <c r="H124" s="53"/>
      <c r="I124" s="53"/>
    </row>
    <row r="125" spans="1:9" ht="18.75" customHeight="1">
      <c r="A125" s="4"/>
      <c r="B125" s="53"/>
      <c r="C125" s="53"/>
      <c r="D125" s="53"/>
      <c r="E125" s="53"/>
      <c r="F125" s="53"/>
      <c r="G125" s="53"/>
      <c r="H125" s="53"/>
      <c r="I125" s="53"/>
    </row>
    <row r="126" spans="1:9" ht="18.75" customHeight="1">
      <c r="A126" s="4"/>
      <c r="B126" s="53"/>
      <c r="C126" s="53"/>
      <c r="D126" s="53"/>
      <c r="E126" s="53"/>
      <c r="F126" s="53"/>
      <c r="G126" s="53"/>
      <c r="H126" s="53"/>
      <c r="I126" s="53"/>
    </row>
    <row r="127" spans="1:9" ht="18.75" customHeight="1">
      <c r="A127" s="4"/>
      <c r="B127" s="53"/>
      <c r="C127" s="53"/>
      <c r="D127" s="53"/>
      <c r="E127" s="53"/>
      <c r="F127" s="53"/>
      <c r="G127" s="53"/>
      <c r="H127" s="53"/>
      <c r="I127" s="53"/>
    </row>
    <row r="128" spans="1:9" ht="18.75" customHeight="1">
      <c r="A128" s="4"/>
      <c r="B128" s="53"/>
      <c r="C128" s="53"/>
      <c r="D128" s="53"/>
      <c r="E128" s="53"/>
      <c r="F128" s="53"/>
      <c r="G128" s="53"/>
      <c r="H128" s="53"/>
      <c r="I128" s="53"/>
    </row>
    <row r="129" spans="1:9" ht="18.75" customHeight="1">
      <c r="A129" s="4"/>
      <c r="B129" s="53"/>
      <c r="C129" s="53"/>
      <c r="D129" s="53"/>
      <c r="E129" s="53"/>
      <c r="F129" s="53"/>
      <c r="G129" s="53"/>
      <c r="H129" s="53"/>
      <c r="I129" s="53"/>
    </row>
    <row r="130" spans="1:9" ht="18.75" customHeight="1">
      <c r="A130" s="4"/>
      <c r="B130" s="53"/>
      <c r="C130" s="53"/>
      <c r="D130" s="53"/>
      <c r="E130" s="53"/>
      <c r="F130" s="53"/>
      <c r="G130" s="53"/>
      <c r="H130" s="53"/>
      <c r="I130" s="53"/>
    </row>
    <row r="131" spans="1:9" ht="18.75" customHeight="1">
      <c r="A131" s="4"/>
      <c r="B131" s="53"/>
      <c r="C131" s="53"/>
      <c r="D131" s="53"/>
      <c r="E131" s="53"/>
      <c r="F131" s="53"/>
      <c r="G131" s="53"/>
      <c r="H131" s="53"/>
      <c r="I131" s="53"/>
    </row>
    <row r="132" spans="1:9" ht="18.75" customHeight="1">
      <c r="A132" s="4"/>
      <c r="B132" s="53"/>
      <c r="C132" s="53"/>
      <c r="D132" s="53"/>
      <c r="E132" s="53"/>
      <c r="F132" s="53"/>
      <c r="G132" s="53"/>
      <c r="H132" s="53"/>
      <c r="I132" s="53"/>
    </row>
    <row r="133" spans="1:9" ht="14.25">
      <c r="A133" s="4"/>
      <c r="B133" s="53"/>
      <c r="C133" s="53"/>
      <c r="D133" s="53"/>
      <c r="E133" s="53"/>
      <c r="F133" s="53"/>
      <c r="G133" s="53"/>
      <c r="H133" s="53"/>
      <c r="I133" s="53"/>
    </row>
    <row r="134" spans="1:9" ht="7.5" customHeight="1">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40" zoomScaleNormal="100" zoomScaleSheetLayoutView="40" workbookViewId="0">
      <selection activeCell="A3" sqref="A3:I3"/>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63</v>
      </c>
      <c r="I1" s="18" t="s">
        <v>90</v>
      </c>
    </row>
    <row r="2" spans="1:9" ht="18.75" customHeight="1">
      <c r="H2" s="18" t="s">
        <v>93</v>
      </c>
      <c r="I2" s="17" t="str">
        <f>'様式１　プログラムを構成する授業科目'!C2</f>
        <v>上越教育大学</v>
      </c>
    </row>
    <row r="3" spans="1:9" ht="18.75" customHeight="1">
      <c r="A3" s="131" t="s">
        <v>28</v>
      </c>
      <c r="B3" s="131"/>
      <c r="C3" s="131"/>
      <c r="D3" s="131"/>
      <c r="E3" s="131"/>
      <c r="F3" s="131"/>
      <c r="G3" s="131"/>
      <c r="H3" s="131"/>
      <c r="I3" s="131"/>
    </row>
    <row r="4" spans="1:9" ht="18.75" customHeight="1">
      <c r="A4" s="5"/>
      <c r="B4" s="5"/>
      <c r="C4" s="5"/>
      <c r="D4" s="5"/>
      <c r="E4" s="5"/>
      <c r="F4" s="5"/>
      <c r="G4" s="5"/>
      <c r="H4" s="5"/>
      <c r="I4" s="5"/>
    </row>
    <row r="5" spans="1:9" ht="18.75" customHeight="1">
      <c r="A5" s="1" t="s">
        <v>0</v>
      </c>
      <c r="B5" s="10" t="s">
        <v>85</v>
      </c>
      <c r="C5" s="5"/>
      <c r="D5" s="5"/>
      <c r="E5" s="5"/>
      <c r="F5" s="5"/>
      <c r="G5" s="5"/>
      <c r="H5" s="5"/>
      <c r="I5" s="5"/>
    </row>
    <row r="6" spans="1:9" ht="26.25" customHeight="1">
      <c r="A6" s="5"/>
      <c r="B6" s="246" t="s">
        <v>175</v>
      </c>
      <c r="C6" s="247"/>
      <c r="D6" s="247"/>
      <c r="E6" s="247"/>
      <c r="F6" s="247"/>
      <c r="G6" s="247"/>
      <c r="H6" s="247"/>
      <c r="I6" s="248"/>
    </row>
    <row r="7" spans="1:9" ht="9" customHeight="1">
      <c r="A7" s="5"/>
      <c r="B7" s="10"/>
      <c r="C7" s="10"/>
      <c r="D7" s="10"/>
      <c r="E7" s="10"/>
      <c r="F7" s="10"/>
      <c r="G7" s="10"/>
      <c r="H7" s="10"/>
      <c r="I7" s="3"/>
    </row>
    <row r="8" spans="1:9" ht="18.75" customHeight="1">
      <c r="A8" s="5"/>
      <c r="B8" s="3"/>
      <c r="C8" s="3"/>
      <c r="D8" s="18" t="s">
        <v>41</v>
      </c>
      <c r="E8" s="19" t="s">
        <v>152</v>
      </c>
      <c r="F8" s="3"/>
      <c r="G8" s="18" t="s">
        <v>10</v>
      </c>
      <c r="H8" s="19" t="s">
        <v>165</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110" t="s">
        <v>24</v>
      </c>
      <c r="C11" s="111"/>
      <c r="D11" s="115"/>
      <c r="E11" s="111" t="s">
        <v>26</v>
      </c>
      <c r="F11" s="111"/>
      <c r="G11" s="111"/>
      <c r="H11" s="111"/>
      <c r="I11" s="115"/>
    </row>
    <row r="12" spans="1:9" ht="26.25" customHeight="1">
      <c r="B12" s="26" t="s">
        <v>14</v>
      </c>
      <c r="C12" s="33"/>
      <c r="D12" s="27"/>
      <c r="E12" s="34"/>
      <c r="F12" s="34"/>
      <c r="G12" s="34"/>
      <c r="H12" s="34"/>
      <c r="I12" s="27"/>
    </row>
    <row r="13" spans="1:9" ht="210.75" customHeight="1">
      <c r="B13" s="28"/>
      <c r="C13" s="219" t="s">
        <v>15</v>
      </c>
      <c r="D13" s="220"/>
      <c r="E13" s="243" t="s">
        <v>166</v>
      </c>
      <c r="F13" s="244"/>
      <c r="G13" s="244"/>
      <c r="H13" s="244"/>
      <c r="I13" s="245"/>
    </row>
    <row r="14" spans="1:9" ht="210.75" customHeight="1">
      <c r="B14" s="28"/>
      <c r="C14" s="240" t="s">
        <v>16</v>
      </c>
      <c r="D14" s="241"/>
      <c r="E14" s="242" t="s">
        <v>167</v>
      </c>
      <c r="F14" s="222"/>
      <c r="G14" s="222"/>
      <c r="H14" s="222"/>
      <c r="I14" s="223"/>
    </row>
    <row r="15" spans="1:9" ht="210.75" customHeight="1">
      <c r="B15" s="28"/>
      <c r="C15" s="219" t="s">
        <v>17</v>
      </c>
      <c r="D15" s="220"/>
      <c r="E15" s="235" t="s">
        <v>174</v>
      </c>
      <c r="F15" s="236"/>
      <c r="G15" s="236"/>
      <c r="H15" s="236"/>
      <c r="I15" s="237"/>
    </row>
    <row r="16" spans="1:9" ht="210.75" customHeight="1">
      <c r="B16" s="28"/>
      <c r="C16" s="219" t="s">
        <v>18</v>
      </c>
      <c r="D16" s="220"/>
      <c r="E16" s="221" t="s">
        <v>168</v>
      </c>
      <c r="F16" s="238"/>
      <c r="G16" s="238"/>
      <c r="H16" s="238"/>
      <c r="I16" s="239"/>
    </row>
    <row r="17" spans="2:9" ht="210.75" customHeight="1">
      <c r="B17" s="29"/>
      <c r="C17" s="224" t="s">
        <v>19</v>
      </c>
      <c r="D17" s="225"/>
      <c r="E17" s="221" t="s">
        <v>169</v>
      </c>
      <c r="F17" s="238"/>
      <c r="G17" s="238"/>
      <c r="H17" s="238"/>
      <c r="I17" s="239"/>
    </row>
    <row r="18" spans="2:9" ht="24" customHeight="1">
      <c r="B18" s="26" t="s">
        <v>20</v>
      </c>
      <c r="C18" s="30"/>
      <c r="D18" s="31"/>
      <c r="E18" s="76"/>
      <c r="F18" s="32"/>
      <c r="G18" s="32"/>
      <c r="H18" s="32"/>
      <c r="I18" s="35"/>
    </row>
    <row r="19" spans="2:9" ht="218.25" customHeight="1">
      <c r="B19" s="28"/>
      <c r="C19" s="219" t="s">
        <v>21</v>
      </c>
      <c r="D19" s="220"/>
      <c r="E19" s="221" t="s">
        <v>170</v>
      </c>
      <c r="F19" s="222"/>
      <c r="G19" s="222"/>
      <c r="H19" s="222"/>
      <c r="I19" s="223"/>
    </row>
    <row r="20" spans="2:9" ht="218.25" customHeight="1">
      <c r="B20" s="29"/>
      <c r="C20" s="224" t="s">
        <v>22</v>
      </c>
      <c r="D20" s="225"/>
      <c r="E20" s="226" t="s">
        <v>171</v>
      </c>
      <c r="F20" s="227"/>
      <c r="G20" s="227"/>
      <c r="H20" s="227"/>
      <c r="I20" s="228"/>
    </row>
    <row r="21" spans="2:9" ht="218.25" customHeight="1">
      <c r="B21" s="229" t="s">
        <v>23</v>
      </c>
      <c r="C21" s="230"/>
      <c r="D21" s="231"/>
      <c r="E21" s="232" t="s">
        <v>172</v>
      </c>
      <c r="F21" s="233"/>
      <c r="G21" s="233"/>
      <c r="H21" s="233"/>
      <c r="I21" s="234"/>
    </row>
    <row r="22" spans="2:9" ht="218.25" customHeight="1">
      <c r="B22" s="213" t="s">
        <v>121</v>
      </c>
      <c r="C22" s="214"/>
      <c r="D22" s="215"/>
      <c r="E22" s="216" t="s">
        <v>173</v>
      </c>
      <c r="F22" s="217"/>
      <c r="G22" s="217"/>
      <c r="H22" s="217"/>
      <c r="I22" s="218"/>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C14:D14"/>
    <mergeCell ref="E14:I14"/>
    <mergeCell ref="A3:I3"/>
    <mergeCell ref="B11:D11"/>
    <mergeCell ref="E11:I11"/>
    <mergeCell ref="C13:D13"/>
    <mergeCell ref="E13:I13"/>
    <mergeCell ref="B6:I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教務課</cp:lastModifiedBy>
  <cp:lastPrinted>2025-05-07T03:38:31Z</cp:lastPrinted>
  <dcterms:created xsi:type="dcterms:W3CDTF">2011-06-14T05:32:50Z</dcterms:created>
  <dcterms:modified xsi:type="dcterms:W3CDTF">2025-07-14T00:19:01Z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