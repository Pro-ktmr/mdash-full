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J:\教務\室内限定\203.数理データサイエンスﾌﾟﾛｸﾞﾗﾑ\申請書一式\"/>
    </mc:Choice>
  </mc:AlternateContent>
  <xr:revisionPtr revIDLastSave="0" documentId="13_ncr:1_{CC93585F-9463-4DEC-A05C-D5E09B44EAC8}" xr6:coauthVersionLast="47" xr6:coauthVersionMax="47" xr10:uidLastSave="{00000000-0000-0000-0000-000000000000}"/>
  <bookViews>
    <workbookView xWindow="-110" yWindow="-110" windowWidth="19420" windowHeight="1030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<sst xmlns="http://schemas.openxmlformats.org/spreadsheetml/2006/main" count="295" uniqueCount="186">
  <si>
    <t>様式１</t>
    <rPh sb="0" eb="2">
      <t>ヨウシキ</t>
    </rPh>
    <phoneticPr fontId="1"/>
  </si>
  <si>
    <t>大学等名</t>
    <rPh sb="0" eb="2">
      <t>ダイガク</t>
    </rPh>
    <rPh sb="2" eb="3">
      <t>トウ</t>
    </rPh>
    <rPh sb="3" eb="4">
      <t>メイ</t>
    </rPh>
    <phoneticPr fontId="1"/>
  </si>
  <si>
    <t>大同大学</t>
  </si>
  <si>
    <t>プログラム名</t>
    <rPh sb="5" eb="6">
      <t>メイ</t>
    </rPh>
    <phoneticPr fontId="1"/>
  </si>
  <si>
    <t>大同大学　数理・データサイエンス・AI教育プログラム</t>
  </si>
  <si>
    <t>リテラシーレベルのプログラムを構成する授業科目について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</si>
  <si>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</si>
  <si>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</si>
  <si>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</si>
  <si>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</si>
  <si>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情報リテラシー概論（1年次前期開講必修科目）、データサイエンス概論（1年次後期開講必修科目）の単位を修得する。
どちらの科目も卒業に必要な必修科目として設定しているため、学生の申請手続き等は不要となります。</t>
  </si>
  <si>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</si>
  <si>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</si>
  <si>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</si>
  <si>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</si>
  <si>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</si>
  <si>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</si>
  <si>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</si>
  <si>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</si>
  <si>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</si>
  <si>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</si>
  <si>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</si>
  <si>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</si>
  <si>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</si>
  <si>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</si>
  <si>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データサイエンス概論</t>
  </si>
  <si>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</si>
  <si>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</si>
  <si>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</si>
  <si>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</si>
  <si>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</si>
  <si>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</si>
  <si>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</si>
  <si>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情報リテラシー概論</t>
  </si>
  <si>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</si>
  <si>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</si>
  <si>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</si>
  <si>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</si>
  <si>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</si>
  <si>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</si>
  <si>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</si>
  <si>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</si>
  <si>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</si>
  <si>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</si>
  <si>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4-1統計および数理基礎</t>
  </si>
  <si>
    <t>4‐2アルゴリズム基礎</t>
    <phoneticPr fontId="1"/>
  </si>
  <si>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</si>
  <si>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</si>
  <si>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</si>
  <si>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</si>
  <si>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</si>
  <si>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</si>
  <si>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</si>
  <si>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</si>
  <si>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</si>
  <si>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</si>
  <si>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</si>
  <si>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</si>
  <si>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r>
      <rPr>
        <sz val="9"/>
        <color rgb="FF000000"/>
        <rFont val="ＭＳ Ｐゴシック"/>
        <family val="3"/>
        <charset val="128"/>
      </rPr>
      <t>＜キーワード＞
・ビッグデータ、IoT、AI
・データ量の増加、計算機の処理性能の向上
・第4次産業革命、Society 5.0、データ駆動型社会
＜科目名：データサイエンス概論＞
・社会の変化と社会で活</t>
    </r>
    <r>
      <rPr>
        <sz val="9"/>
        <color rgb="FF000000"/>
        <rFont val="Microsoft JhengHei UI"/>
        <family val="2"/>
        <charset val="136"/>
      </rPr>
      <t>⽤</t>
    </r>
    <r>
      <rPr>
        <sz val="9"/>
        <color rgb="FF000000"/>
        <rFont val="ＭＳ Ｐゴシック"/>
        <family val="3"/>
        <charset val="128"/>
      </rPr>
      <t>されているデータ（第2回）
・データ・AIの活</t>
    </r>
    <r>
      <rPr>
        <sz val="9"/>
        <color rgb="FF000000"/>
        <rFont val="Yu Gothic"/>
        <family val="3"/>
        <charset val="128"/>
      </rPr>
      <t>⽤</t>
    </r>
    <r>
      <rPr>
        <sz val="9"/>
        <color rgb="FF000000"/>
        <rFont val="ＭＳ Ｐゴシック"/>
        <family val="3"/>
        <charset val="128"/>
      </rPr>
      <t>領域や活</t>
    </r>
    <r>
      <rPr>
        <sz val="9"/>
        <color rgb="FF000000"/>
        <rFont val="Yu Gothic"/>
        <family val="3"/>
        <charset val="128"/>
      </rPr>
      <t>⽤</t>
    </r>
    <r>
      <rPr>
        <sz val="9"/>
        <color rgb="FF000000"/>
        <rFont val="ＭＳ Ｐゴシック"/>
        <family val="3"/>
        <charset val="128"/>
      </rPr>
      <t>のための技術（第3回）</t>
    </r>
  </si>
  <si>
    <t>1-6</t>
    <phoneticPr fontId="1"/>
  </si>
  <si>
    <r>
      <rPr>
        <sz val="9"/>
        <color rgb="FF000000"/>
        <rFont val="ＭＳ Ｐゴシック"/>
        <family val="3"/>
        <charset val="128"/>
      </rPr>
      <t>＜キーワード＞
・AI最新技術の活用例
・AI等を活用した新しいビジネスモデル（商品のレコメンデーション）
＜科目名：データサイエンス概論＞
・社会の変化と社会で活</t>
    </r>
    <r>
      <rPr>
        <sz val="9"/>
        <color rgb="FF000000"/>
        <rFont val="Yu Gothic"/>
        <family val="3"/>
        <charset val="128"/>
      </rPr>
      <t>⽤</t>
    </r>
    <r>
      <rPr>
        <sz val="9"/>
        <color rgb="FF000000"/>
        <rFont val="ＭＳ Ｐゴシック"/>
        <family val="3"/>
        <charset val="128"/>
      </rPr>
      <t>されているデータ（第2回）
・データ・AIの活</t>
    </r>
    <r>
      <rPr>
        <sz val="9"/>
        <color rgb="FF000000"/>
        <rFont val="Yu Gothic"/>
        <family val="3"/>
        <charset val="128"/>
      </rPr>
      <t>⽤</t>
    </r>
    <r>
      <rPr>
        <sz val="9"/>
        <color rgb="FF000000"/>
        <rFont val="ＭＳ Ｐゴシック"/>
        <family val="3"/>
        <charset val="128"/>
      </rPr>
      <t>領域や活</t>
    </r>
    <r>
      <rPr>
        <sz val="9"/>
        <color rgb="FF000000"/>
        <rFont val="Yu Gothic"/>
        <family val="3"/>
        <charset val="128"/>
      </rPr>
      <t>⽤</t>
    </r>
    <r>
      <rPr>
        <sz val="9"/>
        <color rgb="FF000000"/>
        <rFont val="ＭＳ Ｐゴシック"/>
        <family val="3"/>
        <charset val="128"/>
      </rPr>
      <t>のための技術（第3回）
・データ・AI利活</t>
    </r>
    <r>
      <rPr>
        <sz val="9"/>
        <color rgb="FF000000"/>
        <rFont val="Microsoft JhengHei UI"/>
        <family val="2"/>
        <charset val="136"/>
      </rPr>
      <t>⽤</t>
    </r>
    <r>
      <rPr>
        <sz val="9"/>
        <color rgb="FF000000"/>
        <rFont val="ＭＳ Ｐゴシック"/>
        <family val="3"/>
        <charset val="128"/>
      </rPr>
      <t>の現場と最新動向（第4回）</t>
    </r>
  </si>
  <si>
    <t>（２）「社会で活用されているデータ」や「データの活用領域」は非常に広範囲であって、日常生活や社会の課題を解決する有用なツールになり得るもの</t>
    <phoneticPr fontId="1"/>
  </si>
  <si>
    <r>
      <rPr>
        <sz val="9"/>
        <color rgb="FF000000"/>
        <rFont val="ＭＳ Ｐゴシック"/>
        <family val="3"/>
        <charset val="128"/>
      </rPr>
      <t>＜キーワード＞
・調査データ、実験データ、人の行動ログデータ
・データのオープン化（オープンデータ）
＜科目名：データサイエンス概論＞
・社会の変化と社会で活</t>
    </r>
    <r>
      <rPr>
        <sz val="9"/>
        <color rgb="FF000000"/>
        <rFont val="Microsoft JhengHei UI"/>
        <family val="2"/>
        <charset val="136"/>
      </rPr>
      <t>⽤</t>
    </r>
    <r>
      <rPr>
        <sz val="9"/>
        <color rgb="FF000000"/>
        <rFont val="ＭＳ Ｐゴシック"/>
        <family val="3"/>
        <charset val="128"/>
      </rPr>
      <t>されているデータ（第2回）
・データ・AIの活</t>
    </r>
    <r>
      <rPr>
        <sz val="9"/>
        <color rgb="FF000000"/>
        <rFont val="Microsoft JhengHei UI"/>
        <family val="2"/>
        <charset val="136"/>
      </rPr>
      <t>⽤</t>
    </r>
    <r>
      <rPr>
        <sz val="9"/>
        <color rgb="FF000000"/>
        <rFont val="ＭＳ Ｐゴシック"/>
        <family val="3"/>
        <charset val="128"/>
      </rPr>
      <t>領域や活</t>
    </r>
    <r>
      <rPr>
        <sz val="9"/>
        <color rgb="FF000000"/>
        <rFont val="Microsoft JhengHei UI"/>
        <family val="2"/>
        <charset val="136"/>
      </rPr>
      <t>⽤</t>
    </r>
    <r>
      <rPr>
        <sz val="9"/>
        <color rgb="FF000000"/>
        <rFont val="ＭＳ Ｐゴシック"/>
        <family val="3"/>
        <charset val="128"/>
      </rPr>
      <t>のための技術（第3回）
・データの種類と性質（第5回）</t>
    </r>
  </si>
  <si>
    <r>
      <rPr>
        <sz val="9"/>
        <color rgb="FF000000"/>
        <rFont val="ＭＳ Ｐゴシック"/>
        <family val="3"/>
        <charset val="128"/>
      </rPr>
      <t>＜キーワード＞
・データ・AI活用領域の広がり
・販売・マーケティング
・仮説検証、原因究明、判断支援
＜科目名：データサイエンス概論＞
・データ・AIの活</t>
    </r>
    <r>
      <rPr>
        <sz val="9"/>
        <color rgb="FF000000"/>
        <rFont val="Microsoft JhengHei UI"/>
        <family val="2"/>
        <charset val="136"/>
      </rPr>
      <t>⽤</t>
    </r>
    <r>
      <rPr>
        <sz val="9"/>
        <color rgb="FF000000"/>
        <rFont val="ＭＳ Ｐゴシック"/>
        <family val="3"/>
        <charset val="128"/>
      </rPr>
      <t>領域や活</t>
    </r>
    <r>
      <rPr>
        <sz val="9"/>
        <color rgb="FF000000"/>
        <rFont val="Microsoft JhengHei UI"/>
        <family val="2"/>
        <charset val="136"/>
      </rPr>
      <t>⽤</t>
    </r>
    <r>
      <rPr>
        <sz val="9"/>
        <color rgb="FF000000"/>
        <rFont val="ＭＳ Ｐゴシック"/>
        <family val="3"/>
        <charset val="128"/>
      </rPr>
      <t>のための技術（第3回）
・データ・AI利活</t>
    </r>
    <r>
      <rPr>
        <sz val="9"/>
        <color rgb="FF000000"/>
        <rFont val="Yu Gothic"/>
        <family val="3"/>
        <charset val="128"/>
      </rPr>
      <t>⽤</t>
    </r>
    <r>
      <rPr>
        <sz val="9"/>
        <color rgb="FF000000"/>
        <rFont val="ＭＳ Ｐゴシック"/>
        <family val="3"/>
        <charset val="128"/>
      </rPr>
      <t>の現場と最新動向（第4回）</t>
    </r>
  </si>
  <si>
    <t>（３）様々なデータ利活用の現場におけるデータ利活用事例が示され、様々な適用領域（流通、製造、金融、サービス、インフラ、公共、ヘルスケア等）の知見と組み合わせることで価値を創出するもの</t>
    <phoneticPr fontId="1"/>
  </si>
  <si>
    <r>
      <rPr>
        <sz val="9"/>
        <color rgb="FF000000"/>
        <rFont val="ＭＳ Ｐゴシック"/>
        <family val="3"/>
        <charset val="128"/>
      </rPr>
      <t>＜キーワード＞
・データ解析：予測、パターン発見、最適化
・データ可視化：複合グラフ、2軸グラフ、関係性の可視化
＜科目名：情報リテラシー概論＞
・表計算ソフトの使用方法（３）（第12回）
＜科目名：データサイエンス概論＞
・データ・AIの活</t>
    </r>
    <r>
      <rPr>
        <sz val="9"/>
        <color rgb="FF000000"/>
        <rFont val="Microsoft JhengHei UI"/>
        <family val="2"/>
        <charset val="136"/>
      </rPr>
      <t>⽤</t>
    </r>
    <r>
      <rPr>
        <sz val="9"/>
        <color rgb="FF000000"/>
        <rFont val="ＭＳ Ｐゴシック"/>
        <family val="3"/>
        <charset val="128"/>
      </rPr>
      <t>領域や活</t>
    </r>
    <r>
      <rPr>
        <sz val="9"/>
        <color rgb="FF000000"/>
        <rFont val="Microsoft JhengHei UI"/>
        <family val="2"/>
        <charset val="136"/>
      </rPr>
      <t>⽤</t>
    </r>
    <r>
      <rPr>
        <sz val="9"/>
        <color rgb="FF000000"/>
        <rFont val="ＭＳ Ｐゴシック"/>
        <family val="3"/>
        <charset val="128"/>
      </rPr>
      <t>のための技術（第3回）
・データ・AI利活</t>
    </r>
    <r>
      <rPr>
        <sz val="9"/>
        <color rgb="FF000000"/>
        <rFont val="Yu Gothic"/>
        <family val="3"/>
        <charset val="128"/>
      </rPr>
      <t>⽤</t>
    </r>
    <r>
      <rPr>
        <sz val="9"/>
        <color rgb="FF000000"/>
        <rFont val="ＭＳ Ｐゴシック"/>
        <family val="3"/>
        <charset val="128"/>
      </rPr>
      <t>の現場と最新動向（第4回）</t>
    </r>
  </si>
  <si>
    <r>
      <rPr>
        <sz val="9"/>
        <color rgb="FF000000"/>
        <rFont val="ＭＳ Ｐゴシック"/>
        <family val="3"/>
        <charset val="128"/>
      </rPr>
      <t>＜キーワード＞
・データサイエンスのサイクル
・マーケティング、金融、医学におけるデータ・AI利活用事例紹介
＜科目名：データサイエンス概論＞
・社会の変化と社会で活</t>
    </r>
    <r>
      <rPr>
        <sz val="9"/>
        <color rgb="FF000000"/>
        <rFont val="Yu Gothic"/>
        <family val="3"/>
        <charset val="128"/>
      </rPr>
      <t>⽤</t>
    </r>
    <r>
      <rPr>
        <sz val="9"/>
        <color rgb="FF000000"/>
        <rFont val="ＭＳ Ｐゴシック"/>
        <family val="3"/>
        <charset val="128"/>
      </rPr>
      <t>されているデータ（第2回）
・データ・AI利活</t>
    </r>
    <r>
      <rPr>
        <sz val="9"/>
        <color rgb="FF000000"/>
        <rFont val="Microsoft JhengHei UI"/>
        <family val="2"/>
        <charset val="136"/>
      </rPr>
      <t>⽤</t>
    </r>
    <r>
      <rPr>
        <sz val="9"/>
        <color rgb="FF000000"/>
        <rFont val="ＭＳ Ｐゴシック"/>
        <family val="3"/>
        <charset val="128"/>
      </rPr>
      <t>の現場と最新動向（第4回）</t>
    </r>
  </si>
  <si>
    <t>（４）活用に当たっての様々な留意事項（ELSI、個人情報、データ倫理、ＡＩ社会原則等）を考慮し、情報セキュリティや情報漏洩等、データを守る上での留意事項への理解をする</t>
    <phoneticPr fontId="1"/>
  </si>
  <si>
    <t>＜キーワード＞
・倫理的・法的・社会的課題
・個人情報保護、オプトアウト
・データ倫理：データのねつ造、改ざん、盗用、プライバシー保護
＜科目名：情報リテラシー概論＞
・インターネット利用における注意事項（第3回）
＜科目名：データサイエンス概論＞
・データを扱う上での注意事項（第13回）
・データの捏造・改ざん・盗用（第14回）
・情報セキュリティ（第15回）</t>
  </si>
  <si>
    <t>＜キーワード＞
・情報セキュリティの3要素（機密性、完全性、可用性）
・匿名加工情報、ユーザ認証とパスワード
・サイバーセキュリティ
＜科目名：情報リテラシー概論＞
・インターネット利用における注意事項（第3回）
＜科目名：データサイエンス概論＞
・データを扱う上での注意事項（第13回）
・データの捏造・改ざん・盗用（第14回）
・情報セキュリティ（第15回）</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</si>
  <si>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</si>
  <si>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</si>
  <si>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＜キーワード＞
・データの種類（量的変数、質的変数）
・データの分布（ヒストグラム）と代表値（平均値、中央値、最頻値）
・代表値の性質の違い
・データのばらつき（分散、標準偏差、偏差値）、外れ値
・相関と因果（相関係数、擬似相関）
・母集団と標本抽出（国勢調査、アンケート調査、全数調査、単純無作為抽出、層別抽出、多段抽出）
・クロス集計表
・統計情報の正しい理解
＜データサイエンス概論＞
・データの種類と性質（第5回）
・データの分布と代表値（第6回）
・データのばらつき・誤差（第7回）</t>
  </si>
  <si>
    <t>＜キーワード＞
・データ表現（棒グラフ、折線グラフ、散布図、箱ひげ図）
・データの比較（条件をそろえた比較、A/Bテスト)
・不適切なグラフ表現（チャートジャンク、不必要な視覚的要素）
・相手に的確かつ正確に情報を伝える技術や考え方（スライド作成、プレゼンテーション）
＜科目名：情報リテラシー概論＞
・プレゼンテーションソフトの使用方法（第7, 8, 9回）
・表計算ソフトの使用方法（３）（第12回）
＜科目名：データサイエンス概論＞
・相関関係と因果関係（第8回）
・標本抽出（第9回）
・データの集計・加工（第10回）
・データの適切な表現方法（第11回）</t>
  </si>
  <si>
    <t>＜キーワード＞
・データの取得（機械判読可能なデータの作成・表記方法）
・データの集計（和、平均）
・データの並び替え、ランキング
・データ解析ツール（スプレッドシート）
・表形式のデータ（csv）
＜科目名：情報リテラシー概論＞
・表計算ソフトの使用方法（第10, 11, 12回）
＜データサイエンス概論＞
・データの種類と性質（第5回）
・データの集計・加工（第10回）</t>
  </si>
  <si>
    <t>⑪ プログラムの学修成果（学生等が身に付けられる能力等）</t>
    <phoneticPr fontId="1"/>
  </si>
  <si>
    <t>・分野によらない数理・データサイエンス・AIの基礎的な能力を身につけることができる。
・データやAIというものが、社会にどのように関わっているかを理解することができる。
・データを理解し、活用することができる。</t>
  </si>
  <si>
    <t>様式２</t>
    <phoneticPr fontId="1"/>
  </si>
  <si>
    <t>リテラシーレベルのプログラムの履修者数等の実績について</t>
    <phoneticPr fontId="1"/>
  </si>
  <si>
    <t>①プログラム開設年度</t>
    <rPh sb="6" eb="8">
      <t>カイセツ</t>
    </rPh>
    <rPh sb="8" eb="10">
      <t>ネンド</t>
    </rPh>
    <phoneticPr fontId="1"/>
  </si>
  <si>
    <t>令和６</t>
  </si>
  <si>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</si>
  <si>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</si>
  <si>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</si>
  <si>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</si>
  <si>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</si>
  <si>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</si>
  <si>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</si>
  <si>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</si>
  <si>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</si>
  <si>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</si>
  <si>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</si>
  <si>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</si>
  <si>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</si>
  <si>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</si>
  <si>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</si>
  <si>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</si>
  <si>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</si>
  <si>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</si>
  <si>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</si>
  <si>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</si>
  <si>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</si>
  <si>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</si>
  <si>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</si>
  <si>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</si>
  <si>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</si>
  <si>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工学部</t>
  </si>
  <si>
    <t>建築学部</t>
  </si>
  <si>
    <t>情報学部</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</si>
  <si>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</si>
  <si>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</si>
  <si>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</si>
  <si>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</si>
  <si>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</si>
  <si>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</si>
  <si>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</si>
  <si>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</si>
  <si>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</si>
  <si>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</si>
  <si>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</si>
  <si>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</si>
  <si>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</si>
  <si>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朝倉　宏一</t>
  </si>
  <si>
    <t>（役職名）</t>
    <rPh sb="1" eb="4">
      <t>ヤクショクメイ</t>
    </rPh>
    <phoneticPr fontId="1"/>
  </si>
  <si>
    <t>副学長</t>
  </si>
  <si>
    <t>④</t>
    <phoneticPr fontId="1"/>
  </si>
  <si>
    <t>プログラムを改善・進化させるための体制（委員会・組織等）</t>
    <phoneticPr fontId="1"/>
  </si>
  <si>
    <t>副学長（主査）</t>
  </si>
  <si>
    <t>⑤</t>
    <phoneticPr fontId="1"/>
  </si>
  <si>
    <t>プログラムを改善・進化させるための体制を定める規則名称</t>
    <phoneticPr fontId="1"/>
  </si>
  <si>
    <t>データサイエンス教育運営小委員会に関する教育改革実行委員会申合せ</t>
  </si>
  <si>
    <t>⑥</t>
    <phoneticPr fontId="1"/>
  </si>
  <si>
    <t>体制の目的</t>
    <rPh sb="0" eb="2">
      <t>タイセイ</t>
    </rPh>
    <rPh sb="3" eb="5">
      <t>モクテキ</t>
    </rPh>
    <phoneticPr fontId="1"/>
  </si>
  <si>
    <t>「第４次産業革命」や「Society 5.0」という言葉に代表されるような超スマート社会が現実のものとなりつつあります。そのような社会で活躍するためには、それぞれが学修する専門分野によらず、全学生が共通したデータサイエンスやAIを理解し活用する力を身につけることが重要と考えます。
本プログラムでは、数理・データサイエンス・AIに関する基礎的な能力を身につけることを目的とし、加えてデータやAIが社会にどのように関わっているかを理解し、データを理解し活用するための方法について学修します。
そのため、全学部・学科・専攻の長が構成員である「教育改革実行委員会」の下に「データサイエンス教育運営小委員会（以下、小委員会。）」を設置しております。
小委員会は学長が指名する副学長を主査とし、各学部から１名ずつ教員を選出し、そのほか教務担当教員・事務からも構成員を選出し、実際の運用に関することをはじめ、改善・点検評価を実施する体制となっております。
小委員会で出された点検結果・改善案などは、「教育改革実行委員会」に報告され、全学部へ情報が共有される仕組みとなっており、本学として必要なデータサイエンス教育を実施・改善する体制を整えています。</t>
  </si>
  <si>
    <t>⑦</t>
    <phoneticPr fontId="1"/>
  </si>
  <si>
    <t>具体的な構成員</t>
    <rPh sb="0" eb="3">
      <t>グタイテキ</t>
    </rPh>
    <rPh sb="4" eb="7">
      <t>コウセイイン</t>
    </rPh>
    <phoneticPr fontId="1"/>
  </si>
  <si>
    <t>(1) 学長の指名する副学長　朝倉　宏一（情報学部情報システム学科教授）
(2) 各学部及び教養部から各1名
　　＜教 養 部 ＞　岡　康之（教養部　数学教室教授）
　　＜工 学 部 ＞　坪井　涼（工学部　機械工学科教授）
　　＜建築学部＞　宮嵜　靖大（建築学部　建築学科准教授）
　　＜情報学部＞　竹内　義則（情報学部　情報システム学科教授）
(3) 教務部次長　　 藤森　繁　 （建築学部　建築学科教授）
(4) 大学事務部長　大脇　嵩浩
(5) 教務室長　　　　都築　基
(6) 主査が必要と認める者
　　＜教 養 部 ＞　小屋　菜穂子（教養部　体育教室教授）
　　＜情報学部＞　浅井　淳　　（情報学部　総合情報学科教授）</t>
  </si>
  <si>
    <t>　　</t>
  </si>
  <si>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</si>
  <si>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</si>
  <si>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</si>
  <si>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</si>
  <si>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</si>
  <si>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</si>
  <si>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</si>
  <si>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</si>
  <si>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</si>
  <si>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</si>
  <si>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</si>
  <si>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必修科目として、1年次前期と1年次後期に全学科・専攻に設置している。
該当科目は遠隔授業（オンデマンド型）としており、定まった曜日時限を設定せずに、学生が履修・学修しやすい形態としている。</t>
  </si>
  <si>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</si>
  <si>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</si>
  <si>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必修科目として、1年次前期と1年次後期に全学科・専攻に設置している。
履修ガイダンス等で履修時に説明を行っている。未履修学生には、教務室よりポータルサイトなどを通して履修案内をしている。</t>
  </si>
  <si>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</si>
  <si>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</si>
  <si>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</si>
  <si>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</si>
  <si>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xml:space="preserve">Teamsを活用し、質問を常にうけつける仕組みを設けている。
なお、本学はBYODを実施しており、入学生は入学時の情報系のガイダンスにて個人所有のPCにTeamsのインストールを完了し、使用方法の指導を行っている。
</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</si>
  <si>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</si>
  <si>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</si>
  <si>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</si>
  <si>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</si>
  <si>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</si>
  <si>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</si>
  <si>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</si>
  <si>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</si>
  <si>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</si>
  <si>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全学部の1年次に、本プログラムの修了要件である「情報リテラシー概論」「データサイエンス概論」を必修科目として設定しているため、卒業するまでにすべての学生が授業を履修し単位を修得する必要がある。</t>
  </si>
  <si>
    <t>学修成果</t>
    <rPh sb="0" eb="2">
      <t>ガクシュウ</t>
    </rPh>
    <rPh sb="2" eb="4">
      <t>セイカ</t>
    </rPh>
    <phoneticPr fontId="1"/>
  </si>
  <si>
    <t>教育開発・学習支援センターが実施している「学生による授業評価」アンケートの結果を分析することによって本プログラムの授業内容に対する学生の理解度を把握することが可能である。アンケート結果は本学数理・データサイエンス・AI教育運営小委員会と共有し、本プログラムの評価・改善に活用してい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</si>
  <si>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</si>
  <si>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プログラムの最終週に受講生に対して実施したアンケートでは、「エクセルの使い方、データの扱い方などこれから活かせる能力がとても身についた」「エクセルでの実践でグラフの作成や新たな関数を使った数値の求め方、データの分析を学んだことが一番ためになりました」「Excelの使い方や個人情報の扱い方など、今後に役に立つ情報を得られたのでとても有意義な授業でした」などの意見があり、アンケートの59.5%が「理解している」「おおむね理解している」という回答であった。その反面、教科書があまり活用されていない旨の回答もあり、テキストをより活用した講義内容に改良することで、理解度の向上を図ることができると考えられる。</t>
    <rPh sb="267" eb="271">
      <t>コウギ</t>
    </rPh>
    <rPh sb="272" eb="274">
      <t>カイリョウ</t>
    </rPh>
    <rPh sb="287" eb="288">
      <t>リカイ</t>
    </rPh>
    <phoneticPr fontId="1"/>
  </si>
  <si>
    <t>学生アンケート等を通じた後輩等他の学生への推奨度</t>
  </si>
  <si>
    <t>本プログラムは全学の必修科目であるので、特に学生の推薦度については具体的に学生アンケートでは取得していない。前述したアンケート結果では、本プログラムの授業がためになった旨の回答は全体の44.5%であり、後輩等他の学生に対して受講を推薦している学生が半数程度であることがわかった。</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</si>
  <si>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</si>
  <si>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プログラムは2024年度入学生のカリキュラムから開講されたため、当該科目を修得し、単位を修得して卒業した学生はいないが、該当科目を必修化しているため、2024年度入学生以降に入学した学生は卒業する際には、プログラム修了者となるため、進路、活躍状況などを卒業生アンケートなどを通して把握することができると考えている。</t>
  </si>
  <si>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</si>
  <si>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</si>
  <si>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</si>
  <si>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関連する自治体や企業等に対して、本プログラム内容・手法や、今後強化して欲しい事項などの意見をアンケートなどを利用して改修し、改善を検討していく予定である。</t>
  </si>
  <si>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</si>
  <si>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大学生活で身近に利用できる初歩的な内容から学修したのち、数理・データサイエンス・ＡＩに関する基礎的な能力を身につけることで、より理解度を促進する学びの機会を提供し、該当授業だけでなく、卒業までの授業や体験、社会にも興味・関心がもつことができるような学修を実施することで、学修成果を高めていく。</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</si>
  <si>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</si>
  <si>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 xml:space="preserve">「分かりやすい」「理解できる」ことに注力し、受講学生の理解度を毎回の課題の取組状況などで図りながら授業を進める。
Teamsを利用し、適宜質問などを受けつけることで、受講学生に生じた疑問などを随時解消することに努めている。オンデマンド授業とすることで、対面での質問等が苦手な受講学生でも積極的に問い合わせができる及び振り返り学習などがより容易にできる仕組みと考えている。
授業内容においても、身近な事例などを交えて授業を展開することで、授業外においてもAIやデータサイエンスなどに興味・関心を持つことができるように努めている。
</t>
  </si>
  <si>
    <t>データサイエンス教育運営小委員会</t>
    <phoneticPr fontId="1"/>
  </si>
  <si>
    <t>１年次前・後期の必修科目として設置しているため、全学生は卒業するまでに履修及び単位修得は必須である。
１年次前・後期の履修ガイダンスにて、卒業要件などの説明加え、該当科目の履修指導を実施することで、卒業要件の理解と履修の周知を徹底する。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</si>
</sst>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name val="ＭＳ Ｐゴシック"/>
      <family val="3"/>
      <charset val="128"/>
    </font>
    <font>
      <sz val="10"/>
      <name val="ＭＳ Ｐゴシック"/>
      <family val="3"/>
      <charset val="128"/>
    </font>
    <font>
      <sz val="12"/>
      <color rgb="FF000000"/>
      <name val="ＭＳ Ｐゴシック"/>
      <family val="3"/>
      <charset val="128"/>
    </font>
    <font>
      <sz val="9"/>
      <color rgb="FF000000"/>
      <name val="ＭＳ Ｐゴシック"/>
      <family val="3"/>
      <charset val="128"/>
    </font>
    <font>
      <sz val="9"/>
      <color rgb="FF000000"/>
      <name val="ＭＳ Ｐゴシック"/>
      <family val="2"/>
      <charset val="128"/>
    </font>
    <font>
      <sz val="9"/>
      <color rgb="FF000000"/>
      <name val="Microsoft JhengHei UI"/>
      <family val="2"/>
      <charset val="136"/>
    </font>
    <font>
      <sz val="9"/>
      <color rgb="FF000000"/>
      <name val="ＭＳ Ｐゴシック"/>
      <family val="3"/>
      <charset val="128"/>
    </font>
    <font>
      <sz val="9"/>
      <color rgb="FF000000"/>
      <name val="Yu Gothic"/>
      <family val="3"/>
      <charset val="128"/>
    </font>
  </fonts>
  <fills count="3">
    <fill>
      <patternFill patternType="none"/>
    </fill>
    <fill>
      <patternFill patternType="gray125"/>
    </fill>
    <fill>
      <patternFill patternType="solid">
        <fgColor theme="0" tint="-4.9989318521683403E-2"/>
        <bgColor indexed="64"/>
      </patternFill>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rgb="FF000000"/>
      </right>
      <top style="thin">
        <color indexed="64"/>
      </top>
      <bottom style="thin">
        <color indexed="64"/>
      </bottom>
      <diagonal/>
    </border>
    <border>
      <left/>
      <right style="thin">
        <color rgb="FF000000"/>
      </right>
      <top style="thin">
        <color indexed="64"/>
      </top>
      <bottom style="hair">
        <color indexed="64"/>
      </bottom>
      <diagonal/>
    </border>
    <border>
      <left/>
      <right style="thin">
        <color rgb="FF000000"/>
      </right>
      <top style="hair">
        <color indexed="64"/>
      </top>
      <bottom style="hair">
        <color indexed="64"/>
      </bottom>
      <diagonal/>
    </border>
    <border>
      <left/>
      <right style="thin">
        <color rgb="FF000000"/>
      </right>
      <top style="hair">
        <color indexed="64"/>
      </top>
      <bottom style="thin">
        <color indexed="64"/>
      </bottom>
      <diagonal/>
    </border>
    <border>
      <left style="thin">
        <color indexed="64"/>
      </left>
      <right style="dotted">
        <color indexed="64"/>
      </right>
      <top/>
      <bottom style="hair">
        <color indexed="64"/>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5" fillId="0" borderId="18" xfId="0" applyFont="1" applyBorder="1">
      <alignment vertical="center"/>
    </xf>
    <xf numFmtId="0" fontId="15" fillId="0" borderId="19" xfId="0" applyFont="1" applyBorder="1">
      <alignment vertical="center"/>
    </xf>
    <xf numFmtId="0" fontId="15" fillId="0" borderId="48" xfId="0" applyFont="1" applyBorder="1">
      <alignment vertical="center"/>
    </xf>
    <xf numFmtId="0" fontId="15" fillId="0" borderId="38" xfId="0" applyFont="1" applyBorder="1">
      <alignment vertical="center"/>
    </xf>
    <xf numFmtId="0" fontId="15" fillId="0" borderId="0" xfId="0" applyFont="1">
      <alignment vertical="center"/>
    </xf>
    <xf numFmtId="0" fontId="15" fillId="0" borderId="5" xfId="0" applyFont="1" applyBorder="1">
      <alignment vertical="center"/>
    </xf>
    <xf numFmtId="3" fontId="15" fillId="0" borderId="5" xfId="0" applyNumberFormat="1" applyFont="1" applyBorder="1">
      <alignment vertical="center"/>
    </xf>
    <xf numFmtId="0" fontId="15" fillId="0" borderId="46" xfId="0" applyFont="1" applyBorder="1">
      <alignment vertical="center"/>
    </xf>
    <xf numFmtId="0" fontId="15" fillId="0" borderId="37" xfId="0" applyFont="1" applyBorder="1">
      <alignment vertical="center"/>
    </xf>
    <xf numFmtId="3" fontId="15" fillId="0" borderId="36" xfId="0" applyNumberFormat="1" applyFont="1" applyBorder="1">
      <alignment vertical="center"/>
    </xf>
    <xf numFmtId="0" fontId="15" fillId="0" borderId="53" xfId="0" applyFont="1" applyBorder="1">
      <alignment vertical="center"/>
    </xf>
    <xf numFmtId="0" fontId="15" fillId="0" borderId="1" xfId="0" applyFont="1" applyBorder="1">
      <alignment vertical="center"/>
    </xf>
    <xf numFmtId="0" fontId="15" fillId="0" borderId="10" xfId="0" applyFont="1" applyBorder="1">
      <alignment vertical="center"/>
    </xf>
    <xf numFmtId="0" fontId="15" fillId="0" borderId="17" xfId="0" applyFont="1" applyBorder="1">
      <alignment vertical="center"/>
    </xf>
    <xf numFmtId="38" fontId="2" fillId="0" borderId="5" xfId="2" applyFont="1" applyFill="1" applyBorder="1" applyAlignment="1">
      <alignment vertical="center" shrinkToFit="1"/>
    </xf>
    <xf numFmtId="38" fontId="2" fillId="0" borderId="46" xfId="2" applyFont="1" applyFill="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5" fillId="0" borderId="29" xfId="0" applyFont="1" applyBorder="1" applyAlignment="1">
      <alignment vertical="center"/>
    </xf>
    <xf numFmtId="0" fontId="15" fillId="0" borderId="31" xfId="0" applyFont="1" applyBorder="1" applyAlignment="1">
      <alignment vertical="center"/>
    </xf>
    <xf numFmtId="0" fontId="15" fillId="0" borderId="50" xfId="0" applyFont="1" applyBorder="1" applyAlignment="1">
      <alignmen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5" fillId="0" borderId="18" xfId="0" applyFont="1" applyBorder="1" applyAlignment="1">
      <alignment vertical="center"/>
    </xf>
    <xf numFmtId="0" fontId="15" fillId="0" borderId="19" xfId="0" applyFont="1" applyBorder="1" applyAlignment="1">
      <alignmen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0" fontId="13" fillId="0" borderId="2" xfId="0" applyFont="1" applyBorder="1" applyAlignment="1">
      <alignment vertical="center"/>
    </xf>
    <xf numFmtId="0" fontId="13" fillId="0" borderId="3" xfId="0" applyFont="1" applyBorder="1" applyAlignment="1">
      <alignment vertical="center"/>
    </xf>
    <xf numFmtId="0" fontId="13" fillId="0" borderId="49" xfId="0" applyFont="1" applyBorder="1" applyAlignment="1">
      <alignment vertical="center"/>
    </xf>
    <xf numFmtId="0" fontId="14" fillId="0" borderId="2" xfId="0" applyFont="1" applyBorder="1" applyAlignment="1">
      <alignment vertical="center"/>
    </xf>
    <xf numFmtId="0" fontId="14" fillId="0" borderId="3" xfId="0" applyFont="1" applyBorder="1" applyAlignment="1">
      <alignment vertical="center"/>
    </xf>
    <xf numFmtId="0" fontId="14" fillId="0" borderId="49" xfId="0" applyFont="1" applyBorder="1" applyAlignment="1">
      <alignment vertical="center"/>
    </xf>
    <xf numFmtId="0" fontId="16" fillId="0" borderId="32" xfId="0" applyFont="1" applyBorder="1" applyAlignment="1">
      <alignment vertical="center" wrapText="1"/>
    </xf>
    <xf numFmtId="0" fontId="16" fillId="0" borderId="33" xfId="0" applyFont="1" applyBorder="1" applyAlignment="1">
      <alignment vertical="center" wrapText="1"/>
    </xf>
    <xf numFmtId="0" fontId="16" fillId="0" borderId="52" xfId="0" applyFont="1" applyBorder="1" applyAlignment="1">
      <alignment vertical="center" wrapText="1"/>
    </xf>
    <xf numFmtId="0" fontId="16" fillId="0" borderId="29" xfId="0" applyFont="1" applyFill="1" applyBorder="1" applyAlignment="1">
      <alignment vertical="center" wrapText="1"/>
    </xf>
    <xf numFmtId="0" fontId="16" fillId="0" borderId="31" xfId="0" applyFont="1" applyFill="1" applyBorder="1" applyAlignment="1">
      <alignment vertical="center" wrapText="1"/>
    </xf>
    <xf numFmtId="0" fontId="16" fillId="0" borderId="50" xfId="0" applyFont="1" applyFill="1" applyBorder="1" applyAlignment="1">
      <alignment vertical="center" wrapText="1"/>
    </xf>
    <xf numFmtId="0" fontId="16" fillId="0" borderId="18" xfId="0" applyFont="1" applyFill="1" applyBorder="1" applyAlignment="1">
      <alignment vertical="center" wrapText="1"/>
    </xf>
    <xf numFmtId="0" fontId="16" fillId="0" borderId="19" xfId="0" applyFont="1" applyFill="1" applyBorder="1" applyAlignment="1">
      <alignment vertical="center" wrapText="1"/>
    </xf>
    <xf numFmtId="0" fontId="16" fillId="0" borderId="51" xfId="0" applyFont="1" applyFill="1" applyBorder="1" applyAlignment="1">
      <alignment vertical="center" wrapText="1"/>
    </xf>
    <xf numFmtId="0" fontId="16" fillId="0" borderId="32" xfId="0" applyFont="1" applyFill="1" applyBorder="1" applyAlignment="1">
      <alignment vertical="center" wrapText="1"/>
    </xf>
    <xf numFmtId="0" fontId="16" fillId="0" borderId="33" xfId="0" applyFont="1" applyFill="1" applyBorder="1" applyAlignment="1">
      <alignment vertical="center" wrapText="1"/>
    </xf>
    <xf numFmtId="0" fontId="16" fillId="0" borderId="52" xfId="0" applyFont="1" applyFill="1" applyBorder="1" applyAlignment="1">
      <alignment vertical="center" wrapText="1"/>
    </xf>
    <xf numFmtId="0" fontId="19" fillId="0" borderId="29" xfId="0" applyFont="1" applyBorder="1" applyAlignment="1">
      <alignment vertical="center" wrapText="1"/>
    </xf>
    <xf numFmtId="0" fontId="16" fillId="0" borderId="31" xfId="0" applyFont="1" applyBorder="1" applyAlignment="1">
      <alignment vertical="center" wrapText="1"/>
    </xf>
    <xf numFmtId="0" fontId="16" fillId="0" borderId="50" xfId="0" applyFont="1" applyBorder="1" applyAlignment="1">
      <alignment vertical="center" wrapText="1"/>
    </xf>
    <xf numFmtId="0" fontId="15" fillId="0" borderId="51" xfId="0" applyFont="1" applyBorder="1" applyAlignment="1">
      <alignmen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7" fillId="0" borderId="29" xfId="0" applyFont="1" applyBorder="1" applyAlignment="1">
      <alignment vertical="center" wrapText="1"/>
    </xf>
    <xf numFmtId="0" fontId="17" fillId="0" borderId="32" xfId="0" applyFont="1" applyBorder="1" applyAlignment="1">
      <alignment vertical="center" wrapText="1"/>
    </xf>
    <xf numFmtId="0" fontId="16" fillId="0" borderId="29" xfId="0" applyFont="1" applyBorder="1" applyAlignment="1">
      <alignmen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pplyAlignment="1">
      <alignment vertical="center"/>
    </xf>
    <xf numFmtId="0" fontId="5" fillId="0" borderId="17" xfId="0" applyFont="1" applyBorder="1" applyAlignment="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AA107"/>
  <sheetViews>
    <sheetView showZeros="0" tabSelected="1" topLeftCell="A23" zoomScaleNormal="100" zoomScaleSheetLayoutView="85" workbookViewId="0">
      <selection activeCell="V82" sqref="V82"/>
    </sheetView>
  </sheetViews>
  <sheetFormatPr defaultColWidth="9" defaultRowHeight="18.75" customHeight="1"/>
  <cols>
    <col min="1" max="1" width="2.453125" style="1" customWidth="1"/>
    <col min="2" max="2" width="16.453125" style="1" customWidth="1"/>
    <col min="3" max="21" width="5.7265625" style="1" customWidth="1"/>
    <col min="22" max="22" width="9" style="1"/>
    <col min="23" max="23" width="3.7265625" style="1" customWidth="1"/>
    <col min="24" max="24" width="48.7265625" style="1" hidden="1" customWidth="1"/>
    <col min="25" max="26" width="9" style="1"/>
    <col min="27" max="27" width="9" style="1" hidden="1" customWidth="1"/>
    <col min="28" max="16384" width="9" style="1"/>
  </cols>
  <sheetData>
    <row r="1" spans="1:24" ht="18.649999999999999" customHeight="1">
      <c r="T1" s="146" t="s">
        <v>0</v>
      </c>
      <c r="U1" s="146"/>
      <c r="V1" s="2"/>
    </row>
    <row r="2" spans="1:24" ht="18.75" customHeight="1">
      <c r="B2" s="17" t="s">
        <v>1</v>
      </c>
      <c r="C2" s="147" t="s">
        <v>2</v>
      </c>
      <c r="D2" s="148"/>
      <c r="E2" s="148"/>
      <c r="F2" s="148"/>
      <c r="G2" s="148"/>
      <c r="H2" s="148"/>
      <c r="I2" s="148"/>
      <c r="J2" s="149"/>
      <c r="K2" s="18"/>
      <c r="L2" s="6"/>
      <c r="M2" s="6"/>
      <c r="N2" s="6"/>
      <c r="O2" s="6"/>
      <c r="P2" s="6"/>
      <c r="Q2" s="6"/>
      <c r="R2" s="6"/>
      <c r="S2" s="6"/>
      <c r="T2" s="6"/>
      <c r="U2" s="6"/>
    </row>
    <row r="3" spans="1:24" ht="18.75" customHeight="1">
      <c r="B3" s="17" t="s">
        <v>3</v>
      </c>
      <c r="C3" s="150" t="s">
        <v>4</v>
      </c>
      <c r="D3" s="151"/>
      <c r="E3" s="151"/>
      <c r="F3" s="151"/>
      <c r="G3" s="151"/>
      <c r="H3" s="151"/>
      <c r="I3" s="151"/>
      <c r="J3" s="152"/>
      <c r="K3" s="18"/>
      <c r="L3" s="6"/>
      <c r="M3" s="6"/>
      <c r="N3" s="6"/>
      <c r="O3" s="6"/>
      <c r="P3" s="6"/>
      <c r="Q3" s="6"/>
      <c r="R3" s="6"/>
      <c r="S3" s="6"/>
      <c r="T3" s="6"/>
      <c r="U3" s="6"/>
    </row>
    <row r="4" spans="1:24" ht="15" customHeight="1">
      <c r="L4" s="18"/>
      <c r="M4" s="73"/>
      <c r="N4" s="73"/>
      <c r="O4" s="73"/>
      <c r="P4" s="73"/>
      <c r="Q4" s="73"/>
      <c r="R4" s="73"/>
      <c r="S4" s="73"/>
      <c r="T4" s="73"/>
      <c r="U4" s="73"/>
    </row>
    <row r="5" spans="1:24" ht="18" customHeight="1">
      <c r="A5" s="127" t="s">
        <v>5</v>
      </c>
      <c r="B5" s="127"/>
      <c r="C5" s="127"/>
      <c r="D5" s="127"/>
      <c r="E5" s="127"/>
      <c r="F5" s="127"/>
      <c r="G5" s="127"/>
      <c r="H5" s="127"/>
      <c r="I5" s="127"/>
      <c r="J5" s="127"/>
      <c r="K5" s="127"/>
      <c r="L5" s="127"/>
      <c r="M5" s="127"/>
      <c r="N5" s="127"/>
      <c r="O5" s="127"/>
      <c r="P5" s="127"/>
      <c r="Q5" s="127"/>
      <c r="R5" s="127"/>
      <c r="S5" s="127"/>
      <c r="T5" s="127"/>
      <c r="U5" s="127"/>
    </row>
    <row r="6" spans="1:24" ht="15" customHeight="1">
      <c r="B6" s="3"/>
      <c r="C6" s="3"/>
      <c r="D6" s="3"/>
      <c r="E6" s="3"/>
      <c r="F6" s="3"/>
      <c r="G6" s="3"/>
      <c r="H6" s="3"/>
      <c r="I6" s="3"/>
      <c r="J6" s="3"/>
      <c r="K6" s="3"/>
      <c r="L6" s="3"/>
      <c r="M6" s="3"/>
      <c r="N6" s="3"/>
      <c r="O6" s="3"/>
      <c r="P6" s="3"/>
      <c r="Q6" s="3"/>
      <c r="R6" s="3"/>
      <c r="S6" s="3"/>
      <c r="T6" s="3"/>
      <c r="U6" s="3"/>
    </row>
    <row r="7" spans="1:24" ht="15" customHeight="1">
      <c r="A7" s="1" t="s">
        <v>6</v>
      </c>
      <c r="B7" s="3"/>
      <c r="C7" s="3"/>
      <c r="D7" s="3"/>
      <c r="E7" s="3"/>
      <c r="F7" s="2"/>
      <c r="G7" s="2"/>
      <c r="H7" s="2"/>
      <c r="I7" s="2"/>
      <c r="J7" s="2"/>
      <c r="K7" s="2"/>
      <c r="L7" s="172" t="s">
        <v>7</v>
      </c>
      <c r="M7" s="173"/>
      <c r="N7" s="173"/>
      <c r="O7" s="173"/>
      <c r="P7" s="173"/>
      <c r="Q7" s="173"/>
      <c r="R7" s="173"/>
      <c r="S7" s="173"/>
      <c r="T7" s="173"/>
      <c r="U7" s="174"/>
    </row>
    <row r="8" spans="1:24" ht="6" customHeight="1">
      <c r="B8" s="3"/>
      <c r="C8" s="3"/>
      <c r="D8" s="3"/>
      <c r="E8" s="3"/>
      <c r="F8" s="3"/>
      <c r="G8" s="3"/>
      <c r="H8" s="3"/>
      <c r="I8" s="3"/>
      <c r="J8" s="3"/>
      <c r="K8" s="3"/>
      <c r="L8" s="3"/>
      <c r="M8" s="3"/>
      <c r="N8" s="3"/>
      <c r="O8" s="3"/>
      <c r="P8" s="3"/>
      <c r="Q8" s="3"/>
      <c r="R8" s="3"/>
      <c r="S8" s="3"/>
      <c r="T8" s="3"/>
      <c r="U8" s="3"/>
    </row>
    <row r="9" spans="1:24" ht="18" customHeight="1">
      <c r="A9" s="1" t="s">
        <v>8</v>
      </c>
      <c r="C9" s="3"/>
      <c r="D9" s="3"/>
      <c r="K9" s="18"/>
      <c r="L9" s="2"/>
      <c r="M9" s="2"/>
      <c r="N9" s="2"/>
      <c r="O9" s="2"/>
      <c r="P9" s="2"/>
      <c r="Q9" s="2"/>
      <c r="R9" s="2"/>
      <c r="S9" s="2"/>
      <c r="T9" s="2"/>
      <c r="U9" s="2"/>
    </row>
    <row r="10" spans="1:24" ht="6" customHeight="1">
      <c r="B10" s="3"/>
      <c r="C10" s="3"/>
      <c r="D10" s="3"/>
      <c r="E10" s="3"/>
      <c r="F10" s="3"/>
      <c r="G10" s="3"/>
      <c r="H10" s="3"/>
      <c r="I10" s="3"/>
      <c r="J10" s="3"/>
      <c r="K10" s="3"/>
      <c r="L10" s="10"/>
      <c r="M10" s="3"/>
      <c r="N10" s="3"/>
      <c r="O10" s="3"/>
      <c r="P10" s="3"/>
      <c r="Q10" s="3"/>
      <c r="R10" s="3"/>
      <c r="S10" s="3"/>
      <c r="T10" s="3"/>
      <c r="U10" s="3"/>
    </row>
    <row r="11" spans="1:24" ht="18" customHeight="1">
      <c r="B11" s="178"/>
      <c r="C11" s="179"/>
      <c r="D11" s="179"/>
      <c r="E11" s="179"/>
      <c r="F11" s="179"/>
      <c r="G11" s="179"/>
      <c r="H11" s="179"/>
      <c r="I11" s="179"/>
      <c r="J11" s="179"/>
      <c r="K11" s="179"/>
      <c r="L11" s="179"/>
      <c r="M11" s="179"/>
      <c r="N11" s="179"/>
      <c r="O11" s="179"/>
      <c r="P11" s="179"/>
      <c r="Q11" s="179"/>
      <c r="R11" s="179"/>
      <c r="S11" s="179"/>
      <c r="T11" s="179"/>
      <c r="U11" s="180"/>
    </row>
    <row r="12" spans="1:24" ht="18" customHeight="1">
      <c r="B12" s="181"/>
      <c r="C12" s="182"/>
      <c r="D12" s="182"/>
      <c r="E12" s="182"/>
      <c r="F12" s="182"/>
      <c r="G12" s="182"/>
      <c r="H12" s="182"/>
      <c r="I12" s="182"/>
      <c r="J12" s="182"/>
      <c r="K12" s="182"/>
      <c r="L12" s="182"/>
      <c r="M12" s="182"/>
      <c r="N12" s="182"/>
      <c r="O12" s="182"/>
      <c r="P12" s="182"/>
      <c r="Q12" s="182"/>
      <c r="R12" s="182"/>
      <c r="S12" s="182"/>
      <c r="T12" s="182"/>
      <c r="U12" s="183"/>
    </row>
    <row r="13" spans="1:24" ht="6" customHeight="1">
      <c r="B13" s="3"/>
      <c r="C13" s="3"/>
      <c r="D13" s="3"/>
      <c r="E13" s="3"/>
      <c r="F13" s="3"/>
      <c r="G13" s="3"/>
      <c r="H13" s="3"/>
      <c r="I13" s="3"/>
      <c r="J13" s="3"/>
      <c r="K13" s="3"/>
      <c r="L13" s="10"/>
      <c r="M13" s="3"/>
      <c r="N13" s="3"/>
      <c r="O13" s="3"/>
      <c r="P13" s="3"/>
      <c r="Q13" s="3"/>
      <c r="R13" s="3"/>
      <c r="S13" s="3"/>
      <c r="T13" s="3"/>
      <c r="U13" s="3"/>
    </row>
    <row r="14" spans="1:24" ht="18" customHeight="1">
      <c r="A14" s="1" t="s">
        <v>9</v>
      </c>
      <c r="B14" s="3"/>
      <c r="C14" s="3"/>
      <c r="D14" s="3"/>
      <c r="E14" s="18"/>
      <c r="F14" s="18"/>
      <c r="G14" s="18"/>
      <c r="H14" s="18"/>
      <c r="I14" s="18"/>
      <c r="J14" s="18"/>
      <c r="K14" s="18"/>
      <c r="L14" s="74"/>
      <c r="M14" s="74"/>
      <c r="N14" s="74"/>
      <c r="O14" s="74"/>
      <c r="P14" s="74"/>
      <c r="Q14" s="74"/>
      <c r="R14" s="74"/>
      <c r="S14" s="74"/>
      <c r="T14" s="74"/>
      <c r="U14" s="74"/>
    </row>
    <row r="15" spans="1:24" ht="18" customHeight="1">
      <c r="B15" s="128" t="s">
        <v>10</v>
      </c>
      <c r="C15" s="129"/>
      <c r="D15" s="129"/>
      <c r="E15" s="129"/>
      <c r="F15" s="129"/>
      <c r="G15" s="129"/>
      <c r="H15" s="129"/>
      <c r="I15" s="129"/>
      <c r="J15" s="129"/>
      <c r="K15" s="129"/>
      <c r="L15" s="129"/>
      <c r="M15" s="129"/>
      <c r="N15" s="129"/>
      <c r="O15" s="129"/>
      <c r="P15" s="129"/>
      <c r="Q15" s="129"/>
      <c r="R15" s="129"/>
      <c r="S15" s="129"/>
      <c r="T15" s="129"/>
      <c r="U15" s="130"/>
      <c r="X15" s="1" t="s">
        <v>11</v>
      </c>
    </row>
    <row r="16" spans="1:24" ht="18" customHeight="1">
      <c r="B16" s="131"/>
      <c r="C16" s="132"/>
      <c r="D16" s="132"/>
      <c r="E16" s="132"/>
      <c r="F16" s="132"/>
      <c r="G16" s="132"/>
      <c r="H16" s="132"/>
      <c r="I16" s="132"/>
      <c r="J16" s="132"/>
      <c r="K16" s="132"/>
      <c r="L16" s="132"/>
      <c r="M16" s="132"/>
      <c r="N16" s="132"/>
      <c r="O16" s="132"/>
      <c r="P16" s="132"/>
      <c r="Q16" s="132"/>
      <c r="R16" s="132"/>
      <c r="S16" s="132"/>
      <c r="T16" s="132"/>
      <c r="U16" s="133"/>
      <c r="X16" s="1" t="s">
        <v>12</v>
      </c>
    </row>
    <row r="17" spans="1:24" ht="18" customHeight="1">
      <c r="B17" s="131"/>
      <c r="C17" s="132"/>
      <c r="D17" s="132"/>
      <c r="E17" s="132"/>
      <c r="F17" s="132"/>
      <c r="G17" s="132"/>
      <c r="H17" s="132"/>
      <c r="I17" s="132"/>
      <c r="J17" s="132"/>
      <c r="K17" s="132"/>
      <c r="L17" s="132"/>
      <c r="M17" s="132"/>
      <c r="N17" s="132"/>
      <c r="O17" s="132"/>
      <c r="P17" s="132"/>
      <c r="Q17" s="132"/>
      <c r="R17" s="132"/>
      <c r="S17" s="132"/>
      <c r="T17" s="132"/>
      <c r="U17" s="133"/>
      <c r="X17" s="1" t="s">
        <v>13</v>
      </c>
    </row>
    <row r="18" spans="1:24" ht="18" customHeight="1">
      <c r="B18" s="131"/>
      <c r="C18" s="132"/>
      <c r="D18" s="132"/>
      <c r="E18" s="132"/>
      <c r="F18" s="132"/>
      <c r="G18" s="132"/>
      <c r="H18" s="132"/>
      <c r="I18" s="132"/>
      <c r="J18" s="132"/>
      <c r="K18" s="132"/>
      <c r="L18" s="132"/>
      <c r="M18" s="132"/>
      <c r="N18" s="132"/>
      <c r="O18" s="132"/>
      <c r="P18" s="132"/>
      <c r="Q18" s="132"/>
      <c r="R18" s="132"/>
      <c r="S18" s="132"/>
      <c r="T18" s="132"/>
      <c r="U18" s="133"/>
      <c r="X18" s="1" t="s">
        <v>14</v>
      </c>
    </row>
    <row r="19" spans="1:24" ht="18" customHeight="1">
      <c r="B19" s="131"/>
      <c r="C19" s="132"/>
      <c r="D19" s="132"/>
      <c r="E19" s="132"/>
      <c r="F19" s="132"/>
      <c r="G19" s="132"/>
      <c r="H19" s="132"/>
      <c r="I19" s="132"/>
      <c r="J19" s="132"/>
      <c r="K19" s="132"/>
      <c r="L19" s="132"/>
      <c r="M19" s="132"/>
      <c r="N19" s="132"/>
      <c r="O19" s="132"/>
      <c r="P19" s="132"/>
      <c r="Q19" s="132"/>
      <c r="R19" s="132"/>
      <c r="S19" s="132"/>
      <c r="T19" s="132"/>
      <c r="U19" s="133"/>
    </row>
    <row r="20" spans="1:24" ht="18" customHeight="1">
      <c r="B20" s="134"/>
      <c r="C20" s="135"/>
      <c r="D20" s="135"/>
      <c r="E20" s="135"/>
      <c r="F20" s="135"/>
      <c r="G20" s="135"/>
      <c r="H20" s="135"/>
      <c r="I20" s="135"/>
      <c r="J20" s="135"/>
      <c r="K20" s="135"/>
      <c r="L20" s="135"/>
      <c r="M20" s="135"/>
      <c r="N20" s="135"/>
      <c r="O20" s="135"/>
      <c r="P20" s="135"/>
      <c r="Q20" s="135"/>
      <c r="R20" s="135"/>
      <c r="S20" s="135"/>
      <c r="T20" s="135"/>
      <c r="U20" s="136"/>
    </row>
    <row r="21" spans="1:24" ht="7.5" customHeight="1">
      <c r="B21" s="3"/>
      <c r="C21" s="3"/>
      <c r="D21" s="3"/>
      <c r="E21" s="3"/>
      <c r="F21" s="3"/>
      <c r="G21" s="3"/>
      <c r="H21" s="3"/>
      <c r="I21" s="3"/>
      <c r="J21" s="3"/>
      <c r="K21" s="3"/>
      <c r="L21" s="3"/>
      <c r="M21" s="3"/>
      <c r="N21" s="3"/>
      <c r="O21" s="3"/>
      <c r="P21" s="3"/>
      <c r="Q21" s="3"/>
      <c r="R21" s="3"/>
      <c r="S21" s="3"/>
      <c r="T21" s="3"/>
      <c r="U21" s="3"/>
    </row>
    <row r="22" spans="1:24" ht="20.149999999999999" customHeight="1">
      <c r="B22" s="1" t="s">
        <v>15</v>
      </c>
      <c r="E22" s="75">
        <v>2</v>
      </c>
      <c r="F22" s="1" t="s">
        <v>16</v>
      </c>
      <c r="H22" s="19">
        <v>2</v>
      </c>
      <c r="I22" s="3" t="s">
        <v>17</v>
      </c>
      <c r="J22" s="3"/>
      <c r="K22" s="18"/>
      <c r="M22" s="18" t="s">
        <v>18</v>
      </c>
      <c r="N22" s="169" t="s">
        <v>12</v>
      </c>
      <c r="O22" s="170"/>
      <c r="P22" s="170"/>
      <c r="Q22" s="170"/>
      <c r="R22" s="170"/>
      <c r="S22" s="170"/>
      <c r="T22" s="170"/>
      <c r="U22" s="171"/>
    </row>
    <row r="23" spans="1:24" ht="7.5" customHeight="1">
      <c r="B23" s="3"/>
      <c r="C23" s="3"/>
      <c r="D23" s="3"/>
      <c r="E23" s="3"/>
      <c r="F23" s="3"/>
      <c r="G23" s="3"/>
      <c r="H23" s="3"/>
      <c r="I23" s="3"/>
      <c r="J23" s="3"/>
      <c r="K23" s="3"/>
      <c r="L23" s="3"/>
      <c r="M23" s="3"/>
      <c r="N23" s="3"/>
      <c r="O23" s="3"/>
      <c r="P23" s="3"/>
      <c r="Q23" s="3"/>
      <c r="R23" s="3"/>
      <c r="S23" s="3"/>
      <c r="T23" s="3"/>
      <c r="U23" s="3"/>
    </row>
    <row r="24" spans="1:24" ht="18" customHeight="1">
      <c r="A24" s="104" t="s">
        <v>19</v>
      </c>
      <c r="B24" s="104"/>
      <c r="C24" s="104"/>
      <c r="D24" s="104"/>
      <c r="E24" s="104"/>
      <c r="F24" s="104"/>
      <c r="G24" s="104"/>
      <c r="H24" s="104"/>
      <c r="I24" s="104"/>
      <c r="J24" s="104"/>
      <c r="K24" s="104"/>
      <c r="L24" s="104"/>
      <c r="M24" s="104"/>
      <c r="N24" s="104"/>
      <c r="O24" s="104"/>
      <c r="P24" s="104"/>
      <c r="Q24" s="104"/>
      <c r="R24" s="104"/>
      <c r="S24" s="104"/>
      <c r="T24" s="104"/>
      <c r="U24" s="104"/>
    </row>
    <row r="25" spans="1:24" ht="18" customHeight="1">
      <c r="A25" s="104"/>
      <c r="B25" s="104"/>
      <c r="C25" s="104"/>
      <c r="D25" s="104"/>
      <c r="E25" s="104"/>
      <c r="F25" s="104"/>
      <c r="G25" s="104"/>
      <c r="H25" s="104"/>
      <c r="I25" s="104"/>
      <c r="J25" s="104"/>
      <c r="K25" s="104"/>
      <c r="L25" s="104"/>
      <c r="M25" s="104"/>
      <c r="N25" s="104"/>
      <c r="O25" s="104"/>
      <c r="P25" s="104"/>
      <c r="Q25" s="104"/>
      <c r="R25" s="104"/>
      <c r="S25" s="104"/>
      <c r="T25" s="104"/>
      <c r="U25" s="104"/>
    </row>
    <row r="26" spans="1:24" ht="18" customHeight="1">
      <c r="B26" s="111" t="s">
        <v>20</v>
      </c>
      <c r="C26" s="112"/>
      <c r="D26" s="112"/>
      <c r="E26" s="112"/>
      <c r="F26" s="113"/>
      <c r="G26" s="59" t="s">
        <v>21</v>
      </c>
      <c r="H26" s="60" t="s">
        <v>22</v>
      </c>
      <c r="I26" s="61" t="s">
        <v>23</v>
      </c>
      <c r="J26" s="61" t="s">
        <v>24</v>
      </c>
      <c r="K26" s="111" t="s">
        <v>20</v>
      </c>
      <c r="L26" s="112"/>
      <c r="M26" s="112"/>
      <c r="N26" s="112"/>
      <c r="O26" s="112"/>
      <c r="P26" s="112"/>
      <c r="Q26" s="113"/>
      <c r="R26" s="59" t="s">
        <v>21</v>
      </c>
      <c r="S26" s="60" t="s">
        <v>22</v>
      </c>
      <c r="T26" s="61" t="s">
        <v>23</v>
      </c>
      <c r="U26" s="61" t="s">
        <v>24</v>
      </c>
    </row>
    <row r="27" spans="1:24" ht="18" customHeight="1">
      <c r="B27" s="114" t="s">
        <v>25</v>
      </c>
      <c r="C27" s="115"/>
      <c r="D27" s="115"/>
      <c r="E27" s="115"/>
      <c r="F27" s="116"/>
      <c r="G27" s="63">
        <v>1</v>
      </c>
      <c r="H27" s="63" t="s">
        <v>26</v>
      </c>
      <c r="I27" s="63" t="s">
        <v>26</v>
      </c>
      <c r="J27" s="63" t="s">
        <v>26</v>
      </c>
      <c r="K27" s="105"/>
      <c r="L27" s="106"/>
      <c r="M27" s="106"/>
      <c r="N27" s="106"/>
      <c r="O27" s="106"/>
      <c r="P27" s="106"/>
      <c r="Q27" s="107"/>
      <c r="R27" s="62"/>
      <c r="S27" s="62"/>
      <c r="T27" s="62"/>
      <c r="U27" s="62"/>
    </row>
    <row r="28" spans="1:24" ht="18" customHeight="1">
      <c r="B28" s="98"/>
      <c r="C28" s="99"/>
      <c r="D28" s="99"/>
      <c r="E28" s="99"/>
      <c r="F28" s="100"/>
      <c r="G28" s="63"/>
      <c r="H28" s="63"/>
      <c r="I28" s="63"/>
      <c r="J28" s="63"/>
      <c r="K28" s="98"/>
      <c r="L28" s="99"/>
      <c r="M28" s="99"/>
      <c r="N28" s="99"/>
      <c r="O28" s="99"/>
      <c r="P28" s="99"/>
      <c r="Q28" s="100"/>
      <c r="R28" s="63"/>
      <c r="S28" s="63"/>
      <c r="T28" s="63"/>
      <c r="U28" s="63"/>
    </row>
    <row r="29" spans="1:24" ht="18" customHeight="1">
      <c r="B29" s="98"/>
      <c r="C29" s="99"/>
      <c r="D29" s="99"/>
      <c r="E29" s="99"/>
      <c r="F29" s="100"/>
      <c r="G29" s="63"/>
      <c r="H29" s="63"/>
      <c r="I29" s="63"/>
      <c r="J29" s="63"/>
      <c r="K29" s="98"/>
      <c r="L29" s="99"/>
      <c r="M29" s="99"/>
      <c r="N29" s="99"/>
      <c r="O29" s="99"/>
      <c r="P29" s="99"/>
      <c r="Q29" s="100"/>
      <c r="R29" s="63"/>
      <c r="S29" s="63"/>
      <c r="T29" s="63"/>
      <c r="U29" s="63"/>
    </row>
    <row r="30" spans="1:24" ht="18" customHeight="1">
      <c r="B30" s="98"/>
      <c r="C30" s="99"/>
      <c r="D30" s="99"/>
      <c r="E30" s="99"/>
      <c r="F30" s="100"/>
      <c r="G30" s="63"/>
      <c r="H30" s="63"/>
      <c r="I30" s="63"/>
      <c r="J30" s="63"/>
      <c r="K30" s="98"/>
      <c r="L30" s="99"/>
      <c r="M30" s="99"/>
      <c r="N30" s="99"/>
      <c r="O30" s="99"/>
      <c r="P30" s="99"/>
      <c r="Q30" s="100"/>
      <c r="R30" s="63"/>
      <c r="S30" s="63"/>
      <c r="T30" s="63"/>
      <c r="U30" s="63"/>
    </row>
    <row r="31" spans="1:24" ht="18" customHeight="1">
      <c r="B31" s="98"/>
      <c r="C31" s="99"/>
      <c r="D31" s="99"/>
      <c r="E31" s="99"/>
      <c r="F31" s="100"/>
      <c r="G31" s="63"/>
      <c r="H31" s="63"/>
      <c r="I31" s="63"/>
      <c r="J31" s="63"/>
      <c r="K31" s="98"/>
      <c r="L31" s="99"/>
      <c r="M31" s="99"/>
      <c r="N31" s="99"/>
      <c r="O31" s="99"/>
      <c r="P31" s="99"/>
      <c r="Q31" s="100"/>
      <c r="R31" s="63"/>
      <c r="S31" s="63"/>
      <c r="T31" s="63"/>
      <c r="U31" s="63"/>
    </row>
    <row r="32" spans="1:24" ht="18" customHeight="1">
      <c r="A32" s="3"/>
      <c r="B32" s="98"/>
      <c r="C32" s="99"/>
      <c r="D32" s="99"/>
      <c r="E32" s="99"/>
      <c r="F32" s="100"/>
      <c r="G32" s="63"/>
      <c r="H32" s="63"/>
      <c r="I32" s="63"/>
      <c r="J32" s="63"/>
      <c r="K32" s="98"/>
      <c r="L32" s="99"/>
      <c r="M32" s="99"/>
      <c r="N32" s="99"/>
      <c r="O32" s="99"/>
      <c r="P32" s="99"/>
      <c r="Q32" s="100"/>
      <c r="R32" s="63"/>
      <c r="S32" s="63"/>
      <c r="T32" s="63"/>
      <c r="U32" s="63"/>
    </row>
    <row r="33" spans="1:21" ht="18" customHeight="1">
      <c r="A33" s="3"/>
      <c r="B33" s="101"/>
      <c r="C33" s="102"/>
      <c r="D33" s="102"/>
      <c r="E33" s="102"/>
      <c r="F33" s="103"/>
      <c r="G33" s="64"/>
      <c r="H33" s="64"/>
      <c r="I33" s="65"/>
      <c r="J33" s="65"/>
      <c r="K33" s="101"/>
      <c r="L33" s="102"/>
      <c r="M33" s="102"/>
      <c r="N33" s="102"/>
      <c r="O33" s="102"/>
      <c r="P33" s="102"/>
      <c r="Q33" s="103"/>
      <c r="R33" s="64"/>
      <c r="S33" s="64"/>
      <c r="T33" s="65"/>
      <c r="U33" s="65"/>
    </row>
    <row r="34" spans="1:21" ht="7.5" customHeight="1">
      <c r="A34" s="3"/>
      <c r="B34" s="6"/>
      <c r="C34" s="6"/>
      <c r="D34" s="6"/>
      <c r="E34" s="3"/>
      <c r="F34" s="3"/>
      <c r="G34" s="3"/>
      <c r="H34" s="3"/>
      <c r="I34" s="6"/>
      <c r="J34" s="6"/>
      <c r="K34" s="6"/>
      <c r="L34" s="6"/>
      <c r="M34" s="6"/>
      <c r="N34" s="6"/>
      <c r="O34" s="6"/>
      <c r="P34" s="6"/>
      <c r="Q34" s="6"/>
      <c r="R34" s="6"/>
      <c r="S34" s="6"/>
      <c r="T34" s="6"/>
      <c r="U34" s="3"/>
    </row>
    <row r="35" spans="1:21" ht="18" customHeight="1">
      <c r="A35" s="104" t="s">
        <v>27</v>
      </c>
      <c r="B35" s="104"/>
      <c r="C35" s="104"/>
      <c r="D35" s="104"/>
      <c r="E35" s="104"/>
      <c r="F35" s="104"/>
      <c r="G35" s="104"/>
      <c r="H35" s="104"/>
      <c r="I35" s="104"/>
      <c r="J35" s="104"/>
      <c r="K35" s="104"/>
      <c r="L35" s="104"/>
      <c r="M35" s="104"/>
      <c r="N35" s="104"/>
      <c r="O35" s="104"/>
      <c r="P35" s="104"/>
      <c r="Q35" s="104"/>
      <c r="R35" s="104"/>
      <c r="S35" s="104"/>
      <c r="T35" s="104"/>
      <c r="U35" s="104"/>
    </row>
    <row r="36" spans="1:21" ht="18" customHeight="1">
      <c r="A36" s="104"/>
      <c r="B36" s="104"/>
      <c r="C36" s="104"/>
      <c r="D36" s="104"/>
      <c r="E36" s="104"/>
      <c r="F36" s="104"/>
      <c r="G36" s="104"/>
      <c r="H36" s="104"/>
      <c r="I36" s="104"/>
      <c r="J36" s="104"/>
      <c r="K36" s="104"/>
      <c r="L36" s="104"/>
      <c r="M36" s="104"/>
      <c r="N36" s="104"/>
      <c r="O36" s="104"/>
      <c r="P36" s="104"/>
      <c r="Q36" s="104"/>
      <c r="R36" s="104"/>
      <c r="S36" s="104"/>
      <c r="T36" s="104"/>
      <c r="U36" s="104"/>
    </row>
    <row r="37" spans="1:21" ht="18" customHeight="1">
      <c r="B37" s="111" t="s">
        <v>20</v>
      </c>
      <c r="C37" s="112"/>
      <c r="D37" s="112"/>
      <c r="E37" s="112"/>
      <c r="F37" s="113"/>
      <c r="G37" s="59" t="s">
        <v>21</v>
      </c>
      <c r="H37" s="60" t="s">
        <v>22</v>
      </c>
      <c r="I37" s="61" t="s">
        <v>28</v>
      </c>
      <c r="J37" s="61" t="s">
        <v>29</v>
      </c>
      <c r="K37" s="111" t="s">
        <v>20</v>
      </c>
      <c r="L37" s="112"/>
      <c r="M37" s="112"/>
      <c r="N37" s="112"/>
      <c r="O37" s="112"/>
      <c r="P37" s="112"/>
      <c r="Q37" s="113"/>
      <c r="R37" s="59" t="s">
        <v>21</v>
      </c>
      <c r="S37" s="60" t="s">
        <v>22</v>
      </c>
      <c r="T37" s="61" t="s">
        <v>28</v>
      </c>
      <c r="U37" s="61" t="s">
        <v>29</v>
      </c>
    </row>
    <row r="38" spans="1:21" ht="18" customHeight="1">
      <c r="B38" s="114" t="s">
        <v>25</v>
      </c>
      <c r="C38" s="115"/>
      <c r="D38" s="115"/>
      <c r="E38" s="115"/>
      <c r="F38" s="116"/>
      <c r="G38" s="63">
        <v>1</v>
      </c>
      <c r="H38" s="63" t="s">
        <v>26</v>
      </c>
      <c r="I38" s="63" t="s">
        <v>26</v>
      </c>
      <c r="J38" s="63" t="s">
        <v>26</v>
      </c>
      <c r="K38" s="105"/>
      <c r="L38" s="106"/>
      <c r="M38" s="106"/>
      <c r="N38" s="106"/>
      <c r="O38" s="106"/>
      <c r="P38" s="106"/>
      <c r="Q38" s="107"/>
      <c r="R38" s="62"/>
      <c r="S38" s="62"/>
      <c r="T38" s="62"/>
      <c r="U38" s="62"/>
    </row>
    <row r="39" spans="1:21" ht="18" customHeight="1">
      <c r="B39" s="98"/>
      <c r="C39" s="99"/>
      <c r="D39" s="99"/>
      <c r="E39" s="99"/>
      <c r="F39" s="100"/>
      <c r="G39" s="63"/>
      <c r="H39" s="63"/>
      <c r="I39" s="63"/>
      <c r="J39" s="63"/>
      <c r="K39" s="98"/>
      <c r="L39" s="99"/>
      <c r="M39" s="99"/>
      <c r="N39" s="99"/>
      <c r="O39" s="99"/>
      <c r="P39" s="99"/>
      <c r="Q39" s="100"/>
      <c r="R39" s="63"/>
      <c r="S39" s="63"/>
      <c r="T39" s="63"/>
      <c r="U39" s="63"/>
    </row>
    <row r="40" spans="1:21" ht="18" customHeight="1">
      <c r="B40" s="98"/>
      <c r="C40" s="99"/>
      <c r="D40" s="99"/>
      <c r="E40" s="99"/>
      <c r="F40" s="100"/>
      <c r="G40" s="63"/>
      <c r="H40" s="63"/>
      <c r="I40" s="63"/>
      <c r="J40" s="63"/>
      <c r="K40" s="98"/>
      <c r="L40" s="99"/>
      <c r="M40" s="99"/>
      <c r="N40" s="99"/>
      <c r="O40" s="99"/>
      <c r="P40" s="99"/>
      <c r="Q40" s="100"/>
      <c r="R40" s="63"/>
      <c r="S40" s="63"/>
      <c r="T40" s="63"/>
      <c r="U40" s="63"/>
    </row>
    <row r="41" spans="1:21" ht="18" customHeight="1">
      <c r="B41" s="98"/>
      <c r="C41" s="99"/>
      <c r="D41" s="99"/>
      <c r="E41" s="99"/>
      <c r="F41" s="100"/>
      <c r="G41" s="63"/>
      <c r="H41" s="63"/>
      <c r="I41" s="63"/>
      <c r="J41" s="63"/>
      <c r="K41" s="98"/>
      <c r="L41" s="99"/>
      <c r="M41" s="99"/>
      <c r="N41" s="99"/>
      <c r="O41" s="99"/>
      <c r="P41" s="99"/>
      <c r="Q41" s="100"/>
      <c r="R41" s="63"/>
      <c r="S41" s="63"/>
      <c r="T41" s="63"/>
      <c r="U41" s="63"/>
    </row>
    <row r="42" spans="1:21" ht="18" customHeight="1">
      <c r="B42" s="98"/>
      <c r="C42" s="99"/>
      <c r="D42" s="99"/>
      <c r="E42" s="99"/>
      <c r="F42" s="100"/>
      <c r="G42" s="63"/>
      <c r="H42" s="63"/>
      <c r="I42" s="63"/>
      <c r="J42" s="63"/>
      <c r="K42" s="98"/>
      <c r="L42" s="99"/>
      <c r="M42" s="99"/>
      <c r="N42" s="99"/>
      <c r="O42" s="99"/>
      <c r="P42" s="99"/>
      <c r="Q42" s="100"/>
      <c r="R42" s="63"/>
      <c r="S42" s="63"/>
      <c r="T42" s="63"/>
      <c r="U42" s="63"/>
    </row>
    <row r="43" spans="1:21" ht="18" customHeight="1">
      <c r="B43" s="98"/>
      <c r="C43" s="99"/>
      <c r="D43" s="99"/>
      <c r="E43" s="99"/>
      <c r="F43" s="100"/>
      <c r="G43" s="63"/>
      <c r="H43" s="63"/>
      <c r="I43" s="63"/>
      <c r="J43" s="63"/>
      <c r="K43" s="98"/>
      <c r="L43" s="99"/>
      <c r="M43" s="99"/>
      <c r="N43" s="99"/>
      <c r="O43" s="99"/>
      <c r="P43" s="99"/>
      <c r="Q43" s="100"/>
      <c r="R43" s="63"/>
      <c r="S43" s="63"/>
      <c r="T43" s="63"/>
      <c r="U43" s="63"/>
    </row>
    <row r="44" spans="1:21" ht="18" customHeight="1">
      <c r="B44" s="101"/>
      <c r="C44" s="102"/>
      <c r="D44" s="102"/>
      <c r="E44" s="102"/>
      <c r="F44" s="103"/>
      <c r="G44" s="64"/>
      <c r="H44" s="64"/>
      <c r="I44" s="65"/>
      <c r="J44" s="65"/>
      <c r="K44" s="101"/>
      <c r="L44" s="102"/>
      <c r="M44" s="102"/>
      <c r="N44" s="102"/>
      <c r="O44" s="102"/>
      <c r="P44" s="102"/>
      <c r="Q44" s="103"/>
      <c r="R44" s="64"/>
      <c r="S44" s="64"/>
      <c r="T44" s="65"/>
      <c r="U44" s="65"/>
    </row>
    <row r="45" spans="1:21" ht="7.5" customHeight="1">
      <c r="A45" s="3"/>
      <c r="B45" s="6"/>
      <c r="C45" s="6"/>
      <c r="D45" s="6"/>
      <c r="E45" s="3"/>
      <c r="F45" s="3"/>
      <c r="G45" s="3"/>
      <c r="H45" s="3"/>
      <c r="I45" s="6"/>
      <c r="J45" s="6"/>
      <c r="K45" s="6"/>
      <c r="L45" s="6"/>
      <c r="M45" s="6"/>
      <c r="N45" s="6"/>
      <c r="O45" s="6"/>
      <c r="P45" s="6"/>
      <c r="Q45" s="6"/>
      <c r="R45" s="6"/>
      <c r="S45" s="6"/>
      <c r="T45" s="6"/>
      <c r="U45" s="3"/>
    </row>
    <row r="46" spans="1:21" ht="18" customHeight="1">
      <c r="A46" s="104" t="s">
        <v>30</v>
      </c>
      <c r="B46" s="104"/>
      <c r="C46" s="104"/>
      <c r="D46" s="104"/>
      <c r="E46" s="104"/>
      <c r="F46" s="104"/>
      <c r="G46" s="104"/>
      <c r="H46" s="104"/>
      <c r="I46" s="104"/>
      <c r="J46" s="104"/>
      <c r="K46" s="104"/>
      <c r="L46" s="104"/>
      <c r="M46" s="104"/>
      <c r="N46" s="104"/>
      <c r="O46" s="104"/>
      <c r="P46" s="104"/>
      <c r="Q46" s="104"/>
      <c r="R46" s="104"/>
      <c r="S46" s="104"/>
      <c r="T46" s="104"/>
      <c r="U46" s="104"/>
    </row>
    <row r="47" spans="1:21" ht="18" customHeight="1">
      <c r="A47" s="104"/>
      <c r="B47" s="104"/>
      <c r="C47" s="104"/>
      <c r="D47" s="104"/>
      <c r="E47" s="104"/>
      <c r="F47" s="104"/>
      <c r="G47" s="104"/>
      <c r="H47" s="104"/>
      <c r="I47" s="104"/>
      <c r="J47" s="104"/>
      <c r="K47" s="104"/>
      <c r="L47" s="104"/>
      <c r="M47" s="104"/>
      <c r="N47" s="104"/>
      <c r="O47" s="104"/>
      <c r="P47" s="104"/>
      <c r="Q47" s="104"/>
      <c r="R47" s="104"/>
      <c r="S47" s="104"/>
      <c r="T47" s="104"/>
      <c r="U47" s="104"/>
    </row>
    <row r="48" spans="1:21" ht="18" customHeight="1">
      <c r="B48" s="111" t="s">
        <v>20</v>
      </c>
      <c r="C48" s="112"/>
      <c r="D48" s="112"/>
      <c r="E48" s="112"/>
      <c r="F48" s="113"/>
      <c r="G48" s="59" t="s">
        <v>21</v>
      </c>
      <c r="H48" s="60" t="s">
        <v>22</v>
      </c>
      <c r="I48" s="61" t="s">
        <v>31</v>
      </c>
      <c r="J48" s="61" t="s">
        <v>32</v>
      </c>
      <c r="K48" s="111" t="s">
        <v>20</v>
      </c>
      <c r="L48" s="112"/>
      <c r="M48" s="112"/>
      <c r="N48" s="112"/>
      <c r="O48" s="112"/>
      <c r="P48" s="112"/>
      <c r="Q48" s="113"/>
      <c r="R48" s="59" t="s">
        <v>21</v>
      </c>
      <c r="S48" s="60" t="s">
        <v>22</v>
      </c>
      <c r="T48" s="61" t="s">
        <v>31</v>
      </c>
      <c r="U48" s="61" t="s">
        <v>32</v>
      </c>
    </row>
    <row r="49" spans="1:21" ht="18" customHeight="1">
      <c r="A49" s="3"/>
      <c r="B49" s="114" t="s">
        <v>33</v>
      </c>
      <c r="C49" s="115"/>
      <c r="D49" s="115"/>
      <c r="E49" s="115"/>
      <c r="F49" s="116"/>
      <c r="G49" s="63">
        <v>1</v>
      </c>
      <c r="H49" s="63" t="s">
        <v>26</v>
      </c>
      <c r="I49" s="63" t="s">
        <v>26</v>
      </c>
      <c r="J49" s="63"/>
      <c r="K49" s="105"/>
      <c r="L49" s="106"/>
      <c r="M49" s="106"/>
      <c r="N49" s="106"/>
      <c r="O49" s="106"/>
      <c r="P49" s="106"/>
      <c r="Q49" s="107"/>
      <c r="R49" s="62"/>
      <c r="S49" s="62"/>
      <c r="T49" s="62"/>
      <c r="U49" s="62"/>
    </row>
    <row r="50" spans="1:21" ht="18" customHeight="1">
      <c r="A50" s="3"/>
      <c r="B50" s="125" t="s">
        <v>25</v>
      </c>
      <c r="C50" s="126"/>
      <c r="D50" s="126"/>
      <c r="E50" s="126"/>
      <c r="F50" s="168"/>
      <c r="G50" s="63">
        <v>1</v>
      </c>
      <c r="H50" s="63" t="s">
        <v>26</v>
      </c>
      <c r="I50" s="63" t="s">
        <v>26</v>
      </c>
      <c r="J50" s="63" t="s">
        <v>26</v>
      </c>
      <c r="K50" s="98"/>
      <c r="L50" s="99"/>
      <c r="M50" s="99"/>
      <c r="N50" s="99"/>
      <c r="O50" s="99"/>
      <c r="P50" s="99"/>
      <c r="Q50" s="100"/>
      <c r="R50" s="63"/>
      <c r="S50" s="63"/>
      <c r="T50" s="63"/>
      <c r="U50" s="63"/>
    </row>
    <row r="51" spans="1:21" ht="18" customHeight="1">
      <c r="A51" s="3"/>
      <c r="B51" s="98"/>
      <c r="C51" s="99"/>
      <c r="D51" s="99"/>
      <c r="E51" s="99"/>
      <c r="F51" s="100"/>
      <c r="G51" s="63"/>
      <c r="H51" s="63"/>
      <c r="I51" s="63"/>
      <c r="J51" s="63"/>
      <c r="K51" s="98"/>
      <c r="L51" s="99"/>
      <c r="M51" s="99"/>
      <c r="N51" s="99"/>
      <c r="O51" s="99"/>
      <c r="P51" s="99"/>
      <c r="Q51" s="100"/>
      <c r="R51" s="63"/>
      <c r="S51" s="63"/>
      <c r="T51" s="63"/>
      <c r="U51" s="63"/>
    </row>
    <row r="52" spans="1:21" ht="18" customHeight="1">
      <c r="A52" s="3"/>
      <c r="B52" s="98"/>
      <c r="C52" s="99"/>
      <c r="D52" s="99"/>
      <c r="E52" s="99"/>
      <c r="F52" s="100"/>
      <c r="G52" s="63"/>
      <c r="H52" s="63"/>
      <c r="I52" s="63"/>
      <c r="J52" s="63"/>
      <c r="K52" s="98"/>
      <c r="L52" s="99"/>
      <c r="M52" s="99"/>
      <c r="N52" s="99"/>
      <c r="O52" s="99"/>
      <c r="P52" s="99"/>
      <c r="Q52" s="100"/>
      <c r="R52" s="63"/>
      <c r="S52" s="63"/>
      <c r="T52" s="63"/>
      <c r="U52" s="63"/>
    </row>
    <row r="53" spans="1:21" ht="18" customHeight="1">
      <c r="A53" s="3"/>
      <c r="B53" s="98"/>
      <c r="C53" s="99"/>
      <c r="D53" s="99"/>
      <c r="E53" s="99"/>
      <c r="F53" s="100"/>
      <c r="G53" s="63"/>
      <c r="H53" s="63"/>
      <c r="I53" s="63"/>
      <c r="J53" s="63"/>
      <c r="K53" s="98"/>
      <c r="L53" s="99"/>
      <c r="M53" s="99"/>
      <c r="N53" s="99"/>
      <c r="O53" s="99"/>
      <c r="P53" s="99"/>
      <c r="Q53" s="100"/>
      <c r="R53" s="63"/>
      <c r="S53" s="63"/>
      <c r="T53" s="63"/>
      <c r="U53" s="63"/>
    </row>
    <row r="54" spans="1:21" ht="18" customHeight="1">
      <c r="A54" s="3"/>
      <c r="B54" s="98"/>
      <c r="C54" s="99"/>
      <c r="D54" s="99"/>
      <c r="E54" s="99"/>
      <c r="F54" s="100"/>
      <c r="G54" s="63"/>
      <c r="H54" s="63"/>
      <c r="I54" s="63"/>
      <c r="J54" s="63"/>
      <c r="K54" s="98"/>
      <c r="L54" s="99"/>
      <c r="M54" s="99"/>
      <c r="N54" s="99"/>
      <c r="O54" s="99"/>
      <c r="P54" s="99"/>
      <c r="Q54" s="100"/>
      <c r="R54" s="63"/>
      <c r="S54" s="63"/>
      <c r="T54" s="63"/>
      <c r="U54" s="63"/>
    </row>
    <row r="55" spans="1:21" ht="18" customHeight="1">
      <c r="A55" s="3"/>
      <c r="B55" s="101"/>
      <c r="C55" s="102"/>
      <c r="D55" s="102"/>
      <c r="E55" s="102"/>
      <c r="F55" s="103"/>
      <c r="G55" s="64"/>
      <c r="H55" s="64"/>
      <c r="I55" s="65"/>
      <c r="J55" s="65"/>
      <c r="K55" s="101"/>
      <c r="L55" s="102"/>
      <c r="M55" s="102"/>
      <c r="N55" s="102"/>
      <c r="O55" s="102"/>
      <c r="P55" s="102"/>
      <c r="Q55" s="103"/>
      <c r="R55" s="64"/>
      <c r="S55" s="64"/>
      <c r="T55" s="65"/>
      <c r="U55" s="65"/>
    </row>
    <row r="56" spans="1:21" ht="7.5" customHeight="1">
      <c r="B56" s="14"/>
      <c r="C56" s="14"/>
      <c r="D56" s="14"/>
      <c r="E56" s="14"/>
      <c r="F56" s="14"/>
      <c r="G56" s="14"/>
      <c r="H56" s="14"/>
      <c r="I56" s="14"/>
      <c r="J56" s="14"/>
      <c r="K56" s="14"/>
      <c r="L56" s="14"/>
      <c r="M56" s="14"/>
      <c r="N56" s="14"/>
      <c r="O56" s="14"/>
      <c r="P56" s="14"/>
      <c r="Q56" s="14"/>
      <c r="R56" s="14"/>
      <c r="S56" s="14"/>
      <c r="T56" s="14"/>
    </row>
    <row r="57" spans="1:21" ht="18" customHeight="1">
      <c r="A57" s="104" t="s">
        <v>34</v>
      </c>
      <c r="B57" s="104"/>
      <c r="C57" s="104"/>
      <c r="D57" s="104"/>
      <c r="E57" s="104"/>
      <c r="F57" s="104"/>
      <c r="G57" s="104"/>
      <c r="H57" s="104"/>
      <c r="I57" s="104"/>
      <c r="J57" s="104"/>
      <c r="K57" s="104"/>
      <c r="L57" s="104"/>
      <c r="M57" s="104"/>
      <c r="N57" s="104"/>
      <c r="O57" s="104"/>
      <c r="P57" s="104"/>
      <c r="Q57" s="104"/>
      <c r="R57" s="104"/>
      <c r="S57" s="104"/>
      <c r="T57" s="104"/>
      <c r="U57" s="104"/>
    </row>
    <row r="58" spans="1:21" ht="18" customHeight="1">
      <c r="A58" s="104"/>
      <c r="B58" s="104"/>
      <c r="C58" s="104"/>
      <c r="D58" s="104"/>
      <c r="E58" s="104"/>
      <c r="F58" s="104"/>
      <c r="G58" s="104"/>
      <c r="H58" s="104"/>
      <c r="I58" s="104"/>
      <c r="J58" s="104"/>
      <c r="K58" s="104"/>
      <c r="L58" s="104"/>
      <c r="M58" s="104"/>
      <c r="N58" s="104"/>
      <c r="O58" s="104"/>
      <c r="P58" s="104"/>
      <c r="Q58" s="104"/>
      <c r="R58" s="104"/>
      <c r="S58" s="104"/>
      <c r="T58" s="104"/>
      <c r="U58" s="104"/>
    </row>
    <row r="59" spans="1:21" ht="18" customHeight="1">
      <c r="B59" s="111" t="s">
        <v>20</v>
      </c>
      <c r="C59" s="112"/>
      <c r="D59" s="112"/>
      <c r="E59" s="112"/>
      <c r="F59" s="113"/>
      <c r="G59" s="59" t="s">
        <v>21</v>
      </c>
      <c r="H59" s="60" t="s">
        <v>22</v>
      </c>
      <c r="I59" s="61" t="s">
        <v>35</v>
      </c>
      <c r="J59" s="61" t="s">
        <v>36</v>
      </c>
      <c r="K59" s="111" t="s">
        <v>20</v>
      </c>
      <c r="L59" s="112"/>
      <c r="M59" s="112"/>
      <c r="N59" s="112"/>
      <c r="O59" s="112"/>
      <c r="P59" s="112"/>
      <c r="Q59" s="113"/>
      <c r="R59" s="59" t="s">
        <v>21</v>
      </c>
      <c r="S59" s="60" t="s">
        <v>22</v>
      </c>
      <c r="T59" s="61" t="s">
        <v>35</v>
      </c>
      <c r="U59" s="61" t="s">
        <v>36</v>
      </c>
    </row>
    <row r="60" spans="1:21" ht="18" customHeight="1">
      <c r="A60" s="3"/>
      <c r="B60" s="114" t="s">
        <v>33</v>
      </c>
      <c r="C60" s="115"/>
      <c r="D60" s="115"/>
      <c r="E60" s="115"/>
      <c r="F60" s="116"/>
      <c r="G60" s="63">
        <v>1</v>
      </c>
      <c r="H60" s="63" t="s">
        <v>26</v>
      </c>
      <c r="I60" s="63" t="s">
        <v>26</v>
      </c>
      <c r="J60" s="63" t="s">
        <v>26</v>
      </c>
      <c r="K60" s="105"/>
      <c r="L60" s="106"/>
      <c r="M60" s="106"/>
      <c r="N60" s="106"/>
      <c r="O60" s="106"/>
      <c r="P60" s="106"/>
      <c r="Q60" s="107"/>
      <c r="R60" s="62"/>
      <c r="S60" s="62"/>
      <c r="T60" s="62"/>
      <c r="U60" s="62"/>
    </row>
    <row r="61" spans="1:21" ht="18" customHeight="1">
      <c r="A61" s="3"/>
      <c r="B61" s="125" t="s">
        <v>25</v>
      </c>
      <c r="C61" s="126"/>
      <c r="D61" s="126"/>
      <c r="E61" s="126"/>
      <c r="F61" s="168"/>
      <c r="G61" s="63">
        <v>1</v>
      </c>
      <c r="H61" s="63" t="s">
        <v>26</v>
      </c>
      <c r="I61" s="63" t="s">
        <v>26</v>
      </c>
      <c r="J61" s="63" t="s">
        <v>26</v>
      </c>
      <c r="K61" s="98"/>
      <c r="L61" s="99"/>
      <c r="M61" s="99"/>
      <c r="N61" s="99"/>
      <c r="O61" s="99"/>
      <c r="P61" s="99"/>
      <c r="Q61" s="100"/>
      <c r="R61" s="63"/>
      <c r="S61" s="63"/>
      <c r="T61" s="63"/>
      <c r="U61" s="63"/>
    </row>
    <row r="62" spans="1:21" ht="18" customHeight="1">
      <c r="A62" s="3"/>
      <c r="B62" s="98"/>
      <c r="C62" s="99"/>
      <c r="D62" s="99"/>
      <c r="E62" s="99"/>
      <c r="F62" s="100"/>
      <c r="G62" s="63"/>
      <c r="H62" s="63"/>
      <c r="I62" s="63"/>
      <c r="J62" s="63"/>
      <c r="K62" s="98"/>
      <c r="L62" s="99"/>
      <c r="M62" s="99"/>
      <c r="N62" s="99"/>
      <c r="O62" s="99"/>
      <c r="P62" s="99"/>
      <c r="Q62" s="100"/>
      <c r="R62" s="63"/>
      <c r="S62" s="63"/>
      <c r="T62" s="63"/>
      <c r="U62" s="63"/>
    </row>
    <row r="63" spans="1:21" ht="18" customHeight="1">
      <c r="A63" s="3"/>
      <c r="B63" s="98"/>
      <c r="C63" s="99"/>
      <c r="D63" s="99"/>
      <c r="E63" s="99"/>
      <c r="F63" s="100"/>
      <c r="G63" s="63"/>
      <c r="H63" s="63"/>
      <c r="I63" s="63"/>
      <c r="J63" s="63"/>
      <c r="K63" s="98"/>
      <c r="L63" s="99"/>
      <c r="M63" s="99"/>
      <c r="N63" s="99"/>
      <c r="O63" s="99"/>
      <c r="P63" s="99"/>
      <c r="Q63" s="100"/>
      <c r="R63" s="63"/>
      <c r="S63" s="63"/>
      <c r="T63" s="63"/>
      <c r="U63" s="63"/>
    </row>
    <row r="64" spans="1:21" ht="18" customHeight="1">
      <c r="A64" s="3"/>
      <c r="B64" s="98"/>
      <c r="C64" s="99"/>
      <c r="D64" s="99"/>
      <c r="E64" s="99"/>
      <c r="F64" s="100"/>
      <c r="G64" s="63"/>
      <c r="H64" s="63"/>
      <c r="I64" s="63"/>
      <c r="J64" s="63"/>
      <c r="K64" s="98"/>
      <c r="L64" s="99"/>
      <c r="M64" s="99"/>
      <c r="N64" s="99"/>
      <c r="O64" s="99"/>
      <c r="P64" s="99"/>
      <c r="Q64" s="100"/>
      <c r="R64" s="63"/>
      <c r="S64" s="63"/>
      <c r="T64" s="63"/>
      <c r="U64" s="63"/>
    </row>
    <row r="65" spans="1:27" ht="18" customHeight="1">
      <c r="A65" s="3"/>
      <c r="B65" s="98"/>
      <c r="C65" s="99"/>
      <c r="D65" s="99"/>
      <c r="E65" s="99"/>
      <c r="F65" s="100"/>
      <c r="G65" s="63"/>
      <c r="H65" s="63"/>
      <c r="I65" s="63"/>
      <c r="J65" s="63"/>
      <c r="K65" s="98"/>
      <c r="L65" s="99"/>
      <c r="M65" s="99"/>
      <c r="N65" s="99"/>
      <c r="O65" s="99"/>
      <c r="P65" s="99"/>
      <c r="Q65" s="100"/>
      <c r="R65" s="63"/>
      <c r="S65" s="63"/>
      <c r="T65" s="63"/>
      <c r="U65" s="63"/>
    </row>
    <row r="66" spans="1:27" ht="18" customHeight="1">
      <c r="A66" s="3"/>
      <c r="B66" s="101"/>
      <c r="C66" s="102"/>
      <c r="D66" s="102"/>
      <c r="E66" s="102"/>
      <c r="F66" s="103"/>
      <c r="G66" s="64"/>
      <c r="H66" s="64"/>
      <c r="I66" s="65"/>
      <c r="J66" s="65"/>
      <c r="K66" s="101"/>
      <c r="L66" s="102"/>
      <c r="M66" s="102"/>
      <c r="N66" s="102"/>
      <c r="O66" s="102"/>
      <c r="P66" s="102"/>
      <c r="Q66" s="103"/>
      <c r="R66" s="64"/>
      <c r="S66" s="64"/>
      <c r="T66" s="65"/>
      <c r="U66" s="65"/>
    </row>
    <row r="67" spans="1:27" ht="7.5" customHeight="1">
      <c r="B67" s="14"/>
      <c r="C67" s="14"/>
      <c r="D67" s="14"/>
      <c r="E67" s="14"/>
      <c r="F67" s="14"/>
      <c r="G67" s="14"/>
      <c r="H67" s="14"/>
      <c r="I67" s="14"/>
      <c r="J67" s="14"/>
      <c r="K67" s="14"/>
      <c r="L67" s="14"/>
      <c r="M67" s="14"/>
      <c r="N67" s="14"/>
      <c r="O67" s="14"/>
      <c r="P67" s="14"/>
      <c r="Q67" s="14"/>
      <c r="R67" s="14"/>
      <c r="S67" s="14"/>
      <c r="T67" s="14"/>
    </row>
    <row r="68" spans="1:27" ht="18" customHeight="1">
      <c r="A68" s="104" t="s">
        <v>37</v>
      </c>
      <c r="B68" s="104"/>
      <c r="C68" s="104"/>
      <c r="D68" s="104"/>
      <c r="E68" s="104"/>
      <c r="F68" s="104"/>
      <c r="G68" s="104"/>
      <c r="H68" s="104"/>
      <c r="I68" s="104"/>
      <c r="J68" s="104"/>
      <c r="K68" s="104"/>
      <c r="L68" s="104"/>
      <c r="M68" s="104"/>
      <c r="N68" s="104"/>
      <c r="O68" s="104"/>
      <c r="P68" s="104"/>
      <c r="Q68" s="104"/>
      <c r="R68" s="104"/>
      <c r="S68" s="104"/>
      <c r="T68" s="104"/>
      <c r="U68" s="104"/>
    </row>
    <row r="69" spans="1:27" ht="18" customHeight="1">
      <c r="A69" s="104"/>
      <c r="B69" s="104"/>
      <c r="C69" s="104"/>
      <c r="D69" s="104"/>
      <c r="E69" s="104"/>
      <c r="F69" s="104"/>
      <c r="G69" s="104"/>
      <c r="H69" s="104"/>
      <c r="I69" s="104"/>
      <c r="J69" s="104"/>
      <c r="K69" s="104"/>
      <c r="L69" s="104"/>
      <c r="M69" s="104"/>
      <c r="N69" s="104"/>
      <c r="O69" s="104"/>
      <c r="P69" s="104"/>
      <c r="Q69" s="104"/>
      <c r="R69" s="104"/>
      <c r="S69" s="104"/>
      <c r="T69" s="104"/>
      <c r="U69" s="104"/>
    </row>
    <row r="70" spans="1:27" ht="18" customHeight="1">
      <c r="B70" s="111" t="s">
        <v>20</v>
      </c>
      <c r="C70" s="112"/>
      <c r="D70" s="112"/>
      <c r="E70" s="112"/>
      <c r="F70" s="59" t="s">
        <v>21</v>
      </c>
      <c r="G70" s="60" t="s">
        <v>22</v>
      </c>
      <c r="H70" s="61" t="s">
        <v>38</v>
      </c>
      <c r="I70" s="61" t="s">
        <v>39</v>
      </c>
      <c r="J70" s="61" t="s">
        <v>40</v>
      </c>
      <c r="K70" s="111" t="s">
        <v>20</v>
      </c>
      <c r="L70" s="112"/>
      <c r="M70" s="112"/>
      <c r="N70" s="112"/>
      <c r="O70" s="112"/>
      <c r="P70" s="113"/>
      <c r="Q70" s="59" t="s">
        <v>21</v>
      </c>
      <c r="R70" s="60" t="s">
        <v>22</v>
      </c>
      <c r="S70" s="61" t="s">
        <v>38</v>
      </c>
      <c r="T70" s="61" t="s">
        <v>39</v>
      </c>
      <c r="U70" s="61" t="s">
        <v>40</v>
      </c>
    </row>
    <row r="71" spans="1:27" ht="18" customHeight="1">
      <c r="A71" s="3"/>
      <c r="B71" s="114" t="s">
        <v>33</v>
      </c>
      <c r="C71" s="115"/>
      <c r="D71" s="115"/>
      <c r="E71" s="116"/>
      <c r="F71" s="63">
        <v>1</v>
      </c>
      <c r="G71" s="63" t="s">
        <v>26</v>
      </c>
      <c r="H71" s="63"/>
      <c r="I71" s="63" t="s">
        <v>26</v>
      </c>
      <c r="J71" s="63" t="s">
        <v>26</v>
      </c>
      <c r="K71" s="105"/>
      <c r="L71" s="106"/>
      <c r="M71" s="106"/>
      <c r="N71" s="106"/>
      <c r="O71" s="106"/>
      <c r="P71" s="107"/>
      <c r="Q71" s="62"/>
      <c r="R71" s="62"/>
      <c r="S71" s="62"/>
      <c r="T71" s="62"/>
      <c r="U71" s="62"/>
    </row>
    <row r="72" spans="1:27" ht="18" customHeight="1">
      <c r="A72" s="3"/>
      <c r="B72" s="125" t="s">
        <v>25</v>
      </c>
      <c r="C72" s="126"/>
      <c r="D72" s="126"/>
      <c r="E72" s="126"/>
      <c r="F72" s="63">
        <v>1</v>
      </c>
      <c r="G72" s="63" t="s">
        <v>26</v>
      </c>
      <c r="H72" s="63" t="s">
        <v>26</v>
      </c>
      <c r="I72" s="63" t="s">
        <v>26</v>
      </c>
      <c r="J72" s="63" t="s">
        <v>26</v>
      </c>
      <c r="K72" s="98"/>
      <c r="L72" s="99"/>
      <c r="M72" s="99"/>
      <c r="N72" s="99"/>
      <c r="O72" s="99"/>
      <c r="P72" s="100"/>
      <c r="Q72" s="63"/>
      <c r="R72" s="63"/>
      <c r="S72" s="63"/>
      <c r="T72" s="63"/>
      <c r="U72" s="63"/>
    </row>
    <row r="73" spans="1:27" ht="18" customHeight="1">
      <c r="A73" s="3"/>
      <c r="B73" s="98"/>
      <c r="C73" s="99"/>
      <c r="D73" s="99"/>
      <c r="E73" s="99"/>
      <c r="F73" s="63"/>
      <c r="G73" s="63"/>
      <c r="H73" s="63"/>
      <c r="I73" s="63"/>
      <c r="J73" s="63"/>
      <c r="K73" s="98"/>
      <c r="L73" s="99"/>
      <c r="M73" s="99"/>
      <c r="N73" s="99"/>
      <c r="O73" s="99"/>
      <c r="P73" s="100"/>
      <c r="Q73" s="63"/>
      <c r="R73" s="63"/>
      <c r="S73" s="63"/>
      <c r="T73" s="63"/>
      <c r="U73" s="63"/>
    </row>
    <row r="74" spans="1:27" ht="18" customHeight="1">
      <c r="A74" s="3"/>
      <c r="B74" s="98"/>
      <c r="C74" s="99"/>
      <c r="D74" s="99"/>
      <c r="E74" s="99"/>
      <c r="F74" s="63"/>
      <c r="G74" s="63"/>
      <c r="H74" s="63"/>
      <c r="I74" s="63"/>
      <c r="J74" s="63"/>
      <c r="K74" s="98"/>
      <c r="L74" s="99"/>
      <c r="M74" s="99"/>
      <c r="N74" s="99"/>
      <c r="O74" s="99"/>
      <c r="P74" s="100"/>
      <c r="Q74" s="63"/>
      <c r="R74" s="63"/>
      <c r="S74" s="63"/>
      <c r="T74" s="63"/>
      <c r="U74" s="63"/>
    </row>
    <row r="75" spans="1:27" ht="18" customHeight="1">
      <c r="A75" s="3"/>
      <c r="B75" s="98"/>
      <c r="C75" s="99"/>
      <c r="D75" s="99"/>
      <c r="E75" s="99"/>
      <c r="F75" s="63"/>
      <c r="G75" s="63"/>
      <c r="H75" s="63"/>
      <c r="I75" s="63"/>
      <c r="J75" s="63"/>
      <c r="K75" s="98"/>
      <c r="L75" s="99"/>
      <c r="M75" s="99"/>
      <c r="N75" s="99"/>
      <c r="O75" s="99"/>
      <c r="P75" s="100"/>
      <c r="Q75" s="63"/>
      <c r="R75" s="63"/>
      <c r="S75" s="63"/>
      <c r="T75" s="63"/>
      <c r="U75" s="63"/>
    </row>
    <row r="76" spans="1:27" ht="18" customHeight="1">
      <c r="A76" s="3"/>
      <c r="B76" s="98"/>
      <c r="C76" s="99"/>
      <c r="D76" s="99"/>
      <c r="E76" s="99"/>
      <c r="F76" s="63"/>
      <c r="G76" s="63"/>
      <c r="H76" s="63"/>
      <c r="I76" s="63"/>
      <c r="J76" s="63"/>
      <c r="K76" s="98"/>
      <c r="L76" s="99"/>
      <c r="M76" s="99"/>
      <c r="N76" s="99"/>
      <c r="O76" s="99"/>
      <c r="P76" s="100"/>
      <c r="Q76" s="63"/>
      <c r="R76" s="63"/>
      <c r="S76" s="63"/>
      <c r="T76" s="63"/>
      <c r="U76" s="63"/>
    </row>
    <row r="77" spans="1:27" ht="18" customHeight="1">
      <c r="A77" s="3"/>
      <c r="B77" s="101"/>
      <c r="C77" s="102"/>
      <c r="D77" s="102"/>
      <c r="E77" s="102"/>
      <c r="F77" s="64"/>
      <c r="G77" s="64"/>
      <c r="H77" s="65"/>
      <c r="I77" s="65"/>
      <c r="J77" s="65"/>
      <c r="K77" s="101"/>
      <c r="L77" s="102"/>
      <c r="M77" s="102"/>
      <c r="N77" s="102"/>
      <c r="O77" s="102"/>
      <c r="P77" s="103"/>
      <c r="Q77" s="64"/>
      <c r="R77" s="64"/>
      <c r="S77" s="65"/>
      <c r="T77" s="65"/>
      <c r="U77" s="65"/>
    </row>
    <row r="78" spans="1:27" ht="7.5" customHeight="1">
      <c r="B78" s="14"/>
      <c r="C78" s="14"/>
      <c r="D78" s="14"/>
      <c r="E78" s="14"/>
      <c r="F78" s="14"/>
      <c r="G78" s="14"/>
      <c r="H78" s="14"/>
      <c r="I78" s="14"/>
      <c r="J78" s="14"/>
      <c r="K78" s="14"/>
      <c r="L78" s="14"/>
      <c r="M78" s="14"/>
      <c r="N78" s="14"/>
      <c r="O78" s="14"/>
      <c r="P78" s="14"/>
      <c r="Q78" s="14"/>
      <c r="R78" s="14"/>
      <c r="S78" s="14"/>
      <c r="T78" s="14"/>
    </row>
    <row r="79" spans="1:27" ht="18" customHeight="1">
      <c r="A79" s="1" t="s">
        <v>41</v>
      </c>
      <c r="I79" s="3"/>
      <c r="J79" s="3"/>
      <c r="K79" s="3"/>
      <c r="L79" s="3"/>
      <c r="M79" s="3"/>
      <c r="N79" s="3"/>
      <c r="O79" s="3"/>
      <c r="P79" s="3"/>
      <c r="Q79" s="3"/>
      <c r="R79" s="3"/>
      <c r="S79" s="3"/>
      <c r="T79" s="3"/>
      <c r="U79" s="3"/>
    </row>
    <row r="80" spans="1:27" ht="18" customHeight="1">
      <c r="B80" s="111" t="s">
        <v>20</v>
      </c>
      <c r="C80" s="112"/>
      <c r="D80" s="112"/>
      <c r="E80" s="112"/>
      <c r="F80" s="113"/>
      <c r="G80" s="111" t="s">
        <v>42</v>
      </c>
      <c r="H80" s="112"/>
      <c r="I80" s="112"/>
      <c r="J80" s="113"/>
      <c r="K80" s="122" t="s">
        <v>20</v>
      </c>
      <c r="L80" s="123"/>
      <c r="M80" s="123"/>
      <c r="N80" s="123"/>
      <c r="O80" s="123"/>
      <c r="P80" s="123"/>
      <c r="Q80" s="124"/>
      <c r="R80" s="111" t="s">
        <v>42</v>
      </c>
      <c r="S80" s="112"/>
      <c r="T80" s="112"/>
      <c r="U80" s="113"/>
      <c r="AA80" s="1" t="s">
        <v>43</v>
      </c>
    </row>
    <row r="81" spans="1:27" ht="18" customHeight="1">
      <c r="A81" s="3"/>
      <c r="B81" s="114" t="s">
        <v>25</v>
      </c>
      <c r="C81" s="115"/>
      <c r="D81" s="115"/>
      <c r="E81" s="115"/>
      <c r="F81" s="116"/>
      <c r="G81" s="108" t="s">
        <v>44</v>
      </c>
      <c r="H81" s="109"/>
      <c r="I81" s="109"/>
      <c r="J81" s="110"/>
      <c r="K81" s="105"/>
      <c r="L81" s="106"/>
      <c r="M81" s="106"/>
      <c r="N81" s="106"/>
      <c r="O81" s="106"/>
      <c r="P81" s="106"/>
      <c r="Q81" s="107"/>
      <c r="R81" s="108"/>
      <c r="S81" s="109"/>
      <c r="T81" s="109"/>
      <c r="U81" s="110"/>
      <c r="AA81" s="1" t="s">
        <v>45</v>
      </c>
    </row>
    <row r="82" spans="1:27" ht="18" customHeight="1">
      <c r="A82" s="3"/>
      <c r="B82" s="98"/>
      <c r="C82" s="99"/>
      <c r="D82" s="99"/>
      <c r="E82" s="99"/>
      <c r="F82" s="100"/>
      <c r="G82" s="119"/>
      <c r="H82" s="120"/>
      <c r="I82" s="120"/>
      <c r="J82" s="121"/>
      <c r="K82" s="98"/>
      <c r="L82" s="99"/>
      <c r="M82" s="99"/>
      <c r="N82" s="99"/>
      <c r="O82" s="99"/>
      <c r="P82" s="99"/>
      <c r="Q82" s="100"/>
      <c r="R82" s="119"/>
      <c r="S82" s="120"/>
      <c r="T82" s="120"/>
      <c r="U82" s="121"/>
      <c r="AA82" s="1" t="s">
        <v>46</v>
      </c>
    </row>
    <row r="83" spans="1:27" ht="18" customHeight="1">
      <c r="A83" s="3"/>
      <c r="B83" s="98"/>
      <c r="C83" s="99"/>
      <c r="D83" s="99"/>
      <c r="E83" s="99"/>
      <c r="F83" s="100"/>
      <c r="G83" s="119"/>
      <c r="H83" s="120"/>
      <c r="I83" s="120"/>
      <c r="J83" s="121"/>
      <c r="K83" s="98"/>
      <c r="L83" s="99"/>
      <c r="M83" s="99"/>
      <c r="N83" s="99"/>
      <c r="O83" s="99"/>
      <c r="P83" s="99"/>
      <c r="Q83" s="100"/>
      <c r="R83" s="119"/>
      <c r="S83" s="120"/>
      <c r="T83" s="120"/>
      <c r="U83" s="121"/>
      <c r="AA83" s="1" t="s">
        <v>47</v>
      </c>
    </row>
    <row r="84" spans="1:27" ht="18" customHeight="1">
      <c r="A84" s="3"/>
      <c r="B84" s="98"/>
      <c r="C84" s="99"/>
      <c r="D84" s="99"/>
      <c r="E84" s="99"/>
      <c r="F84" s="100"/>
      <c r="G84" s="119"/>
      <c r="H84" s="120"/>
      <c r="I84" s="120"/>
      <c r="J84" s="121"/>
      <c r="K84" s="98"/>
      <c r="L84" s="99"/>
      <c r="M84" s="99"/>
      <c r="N84" s="99"/>
      <c r="O84" s="99"/>
      <c r="P84" s="99"/>
      <c r="Q84" s="100"/>
      <c r="R84" s="119"/>
      <c r="S84" s="120"/>
      <c r="T84" s="120"/>
      <c r="U84" s="121"/>
      <c r="AA84" s="1" t="s">
        <v>48</v>
      </c>
    </row>
    <row r="85" spans="1:27" ht="18" customHeight="1">
      <c r="A85" s="3"/>
      <c r="B85" s="98"/>
      <c r="C85" s="99"/>
      <c r="D85" s="99"/>
      <c r="E85" s="99"/>
      <c r="F85" s="100"/>
      <c r="G85" s="119"/>
      <c r="H85" s="120"/>
      <c r="I85" s="120"/>
      <c r="J85" s="121"/>
      <c r="K85" s="98"/>
      <c r="L85" s="99"/>
      <c r="M85" s="99"/>
      <c r="N85" s="99"/>
      <c r="O85" s="99"/>
      <c r="P85" s="99"/>
      <c r="Q85" s="100"/>
      <c r="R85" s="119"/>
      <c r="S85" s="120"/>
      <c r="T85" s="120"/>
      <c r="U85" s="121"/>
      <c r="AA85" s="1" t="s">
        <v>49</v>
      </c>
    </row>
    <row r="86" spans="1:27" ht="18" customHeight="1">
      <c r="A86" s="3"/>
      <c r="B86" s="98"/>
      <c r="C86" s="99"/>
      <c r="D86" s="99"/>
      <c r="E86" s="99"/>
      <c r="F86" s="100"/>
      <c r="G86" s="119"/>
      <c r="H86" s="120"/>
      <c r="I86" s="120"/>
      <c r="J86" s="121"/>
      <c r="K86" s="98"/>
      <c r="L86" s="99"/>
      <c r="M86" s="99"/>
      <c r="N86" s="99"/>
      <c r="O86" s="99"/>
      <c r="P86" s="99"/>
      <c r="Q86" s="100"/>
      <c r="R86" s="119"/>
      <c r="S86" s="120"/>
      <c r="T86" s="120"/>
      <c r="U86" s="121"/>
      <c r="AA86" s="1" t="s">
        <v>50</v>
      </c>
    </row>
    <row r="87" spans="1:27" ht="18" customHeight="1">
      <c r="A87" s="3"/>
      <c r="B87" s="101"/>
      <c r="C87" s="102"/>
      <c r="D87" s="102"/>
      <c r="E87" s="102"/>
      <c r="F87" s="103"/>
      <c r="G87" s="140"/>
      <c r="H87" s="141"/>
      <c r="I87" s="141"/>
      <c r="J87" s="142"/>
      <c r="K87" s="101"/>
      <c r="L87" s="102"/>
      <c r="M87" s="102"/>
      <c r="N87" s="102"/>
      <c r="O87" s="102"/>
      <c r="P87" s="102"/>
      <c r="Q87" s="103"/>
      <c r="R87" s="140"/>
      <c r="S87" s="141"/>
      <c r="T87" s="141"/>
      <c r="U87" s="142"/>
      <c r="AA87" s="1" t="s">
        <v>51</v>
      </c>
    </row>
    <row r="88" spans="1:27" ht="18" customHeight="1">
      <c r="A88" s="3"/>
      <c r="B88" s="6"/>
      <c r="C88" s="6"/>
      <c r="D88" s="6"/>
      <c r="E88" s="6"/>
      <c r="F88" s="6"/>
      <c r="G88" s="66"/>
      <c r="H88" s="66"/>
      <c r="I88" s="66"/>
      <c r="J88" s="66"/>
      <c r="K88" s="6"/>
      <c r="L88" s="6"/>
      <c r="M88" s="6"/>
      <c r="N88" s="6"/>
      <c r="O88" s="6"/>
      <c r="P88" s="6"/>
      <c r="Q88" s="6"/>
      <c r="R88" s="66"/>
      <c r="S88" s="66"/>
      <c r="T88" s="66"/>
      <c r="U88" s="66"/>
      <c r="AA88" s="1" t="s">
        <v>52</v>
      </c>
    </row>
    <row r="89" spans="1:27" ht="18.75" customHeight="1">
      <c r="A89" s="1" t="s">
        <v>53</v>
      </c>
      <c r="AA89" s="1" t="s">
        <v>54</v>
      </c>
    </row>
    <row r="90" spans="1:27" ht="18.75" customHeight="1">
      <c r="B90" s="144" t="s">
        <v>55</v>
      </c>
      <c r="C90" s="145"/>
      <c r="D90" s="111" t="s">
        <v>56</v>
      </c>
      <c r="E90" s="112"/>
      <c r="F90" s="112"/>
      <c r="G90" s="112"/>
      <c r="H90" s="112"/>
      <c r="I90" s="112"/>
      <c r="J90" s="112"/>
      <c r="K90" s="112"/>
      <c r="L90" s="112"/>
      <c r="M90" s="112"/>
      <c r="N90" s="112"/>
      <c r="O90" s="112"/>
      <c r="P90" s="112"/>
      <c r="Q90" s="112"/>
      <c r="R90" s="112"/>
      <c r="S90" s="112"/>
      <c r="T90" s="112"/>
      <c r="U90" s="113"/>
    </row>
    <row r="91" spans="1:27" ht="97.5" customHeight="1">
      <c r="B91" s="117" t="s">
        <v>57</v>
      </c>
      <c r="C91" s="67" t="s">
        <v>23</v>
      </c>
      <c r="D91" s="175" t="s">
        <v>58</v>
      </c>
      <c r="E91" s="166"/>
      <c r="F91" s="166"/>
      <c r="G91" s="166"/>
      <c r="H91" s="166"/>
      <c r="I91" s="166"/>
      <c r="J91" s="166"/>
      <c r="K91" s="166"/>
      <c r="L91" s="166"/>
      <c r="M91" s="166"/>
      <c r="N91" s="166"/>
      <c r="O91" s="166"/>
      <c r="P91" s="166"/>
      <c r="Q91" s="166"/>
      <c r="R91" s="166"/>
      <c r="S91" s="166"/>
      <c r="T91" s="166"/>
      <c r="U91" s="167"/>
    </row>
    <row r="92" spans="1:27" ht="97.5" customHeight="1">
      <c r="B92" s="143"/>
      <c r="C92" s="68" t="s">
        <v>59</v>
      </c>
      <c r="D92" s="176" t="s">
        <v>60</v>
      </c>
      <c r="E92" s="154"/>
      <c r="F92" s="154"/>
      <c r="G92" s="154"/>
      <c r="H92" s="154"/>
      <c r="I92" s="154"/>
      <c r="J92" s="154"/>
      <c r="K92" s="154"/>
      <c r="L92" s="154"/>
      <c r="M92" s="154"/>
      <c r="N92" s="154"/>
      <c r="O92" s="154"/>
      <c r="P92" s="154"/>
      <c r="Q92" s="154"/>
      <c r="R92" s="154"/>
      <c r="S92" s="154"/>
      <c r="T92" s="154"/>
      <c r="U92" s="155"/>
    </row>
    <row r="93" spans="1:27" ht="97.5" customHeight="1">
      <c r="B93" s="117" t="s">
        <v>61</v>
      </c>
      <c r="C93" s="69" t="s">
        <v>28</v>
      </c>
      <c r="D93" s="177" t="s">
        <v>62</v>
      </c>
      <c r="E93" s="166"/>
      <c r="F93" s="166"/>
      <c r="G93" s="166"/>
      <c r="H93" s="166"/>
      <c r="I93" s="166"/>
      <c r="J93" s="166"/>
      <c r="K93" s="166"/>
      <c r="L93" s="166"/>
      <c r="M93" s="166"/>
      <c r="N93" s="166"/>
      <c r="O93" s="166"/>
      <c r="P93" s="166"/>
      <c r="Q93" s="166"/>
      <c r="R93" s="166"/>
      <c r="S93" s="166"/>
      <c r="T93" s="166"/>
      <c r="U93" s="167"/>
    </row>
    <row r="94" spans="1:27" ht="97.5" customHeight="1">
      <c r="B94" s="118"/>
      <c r="C94" s="70" t="s">
        <v>29</v>
      </c>
      <c r="D94" s="153" t="s">
        <v>63</v>
      </c>
      <c r="E94" s="154"/>
      <c r="F94" s="154"/>
      <c r="G94" s="154"/>
      <c r="H94" s="154"/>
      <c r="I94" s="154"/>
      <c r="J94" s="154"/>
      <c r="K94" s="154"/>
      <c r="L94" s="154"/>
      <c r="M94" s="154"/>
      <c r="N94" s="154"/>
      <c r="O94" s="154"/>
      <c r="P94" s="154"/>
      <c r="Q94" s="154"/>
      <c r="R94" s="154"/>
      <c r="S94" s="154"/>
      <c r="T94" s="154"/>
      <c r="U94" s="155"/>
    </row>
    <row r="95" spans="1:27" ht="113.25" customHeight="1">
      <c r="B95" s="117" t="s">
        <v>64</v>
      </c>
      <c r="C95" s="69" t="s">
        <v>31</v>
      </c>
      <c r="D95" s="177" t="s">
        <v>65</v>
      </c>
      <c r="E95" s="166"/>
      <c r="F95" s="166"/>
      <c r="G95" s="166"/>
      <c r="H95" s="166"/>
      <c r="I95" s="166"/>
      <c r="J95" s="166"/>
      <c r="K95" s="166"/>
      <c r="L95" s="166"/>
      <c r="M95" s="166"/>
      <c r="N95" s="166"/>
      <c r="O95" s="166"/>
      <c r="P95" s="166"/>
      <c r="Q95" s="166"/>
      <c r="R95" s="166"/>
      <c r="S95" s="166"/>
      <c r="T95" s="166"/>
      <c r="U95" s="167"/>
    </row>
    <row r="96" spans="1:27" ht="97.5" customHeight="1">
      <c r="B96" s="118"/>
      <c r="C96" s="71" t="s">
        <v>32</v>
      </c>
      <c r="D96" s="153" t="s">
        <v>66</v>
      </c>
      <c r="E96" s="154"/>
      <c r="F96" s="154"/>
      <c r="G96" s="154"/>
      <c r="H96" s="154"/>
      <c r="I96" s="154"/>
      <c r="J96" s="154"/>
      <c r="K96" s="154"/>
      <c r="L96" s="154"/>
      <c r="M96" s="154"/>
      <c r="N96" s="154"/>
      <c r="O96" s="154"/>
      <c r="P96" s="154"/>
      <c r="Q96" s="154"/>
      <c r="R96" s="154"/>
      <c r="S96" s="154"/>
      <c r="T96" s="154"/>
      <c r="U96" s="155"/>
    </row>
    <row r="97" spans="1:21" ht="139.5" customHeight="1">
      <c r="B97" s="117" t="s">
        <v>67</v>
      </c>
      <c r="C97" s="67" t="s">
        <v>35</v>
      </c>
      <c r="D97" s="165" t="s">
        <v>68</v>
      </c>
      <c r="E97" s="166"/>
      <c r="F97" s="166"/>
      <c r="G97" s="166"/>
      <c r="H97" s="166"/>
      <c r="I97" s="166"/>
      <c r="J97" s="166"/>
      <c r="K97" s="166"/>
      <c r="L97" s="166"/>
      <c r="M97" s="166"/>
      <c r="N97" s="166"/>
      <c r="O97" s="166"/>
      <c r="P97" s="166"/>
      <c r="Q97" s="166"/>
      <c r="R97" s="166"/>
      <c r="S97" s="166"/>
      <c r="T97" s="166"/>
      <c r="U97" s="167"/>
    </row>
    <row r="98" spans="1:21" ht="135" customHeight="1">
      <c r="B98" s="118"/>
      <c r="C98" s="70" t="s">
        <v>36</v>
      </c>
      <c r="D98" s="153" t="s">
        <v>69</v>
      </c>
      <c r="E98" s="154"/>
      <c r="F98" s="154"/>
      <c r="G98" s="154"/>
      <c r="H98" s="154"/>
      <c r="I98" s="154"/>
      <c r="J98" s="154"/>
      <c r="K98" s="154"/>
      <c r="L98" s="154"/>
      <c r="M98" s="154"/>
      <c r="N98" s="154"/>
      <c r="O98" s="154"/>
      <c r="P98" s="154"/>
      <c r="Q98" s="154"/>
      <c r="R98" s="154"/>
      <c r="S98" s="154"/>
      <c r="T98" s="154"/>
      <c r="U98" s="155"/>
    </row>
    <row r="99" spans="1:21" ht="156" customHeight="1">
      <c r="B99" s="117" t="s">
        <v>70</v>
      </c>
      <c r="C99" s="69" t="s">
        <v>71</v>
      </c>
      <c r="D99" s="156" t="s">
        <v>72</v>
      </c>
      <c r="E99" s="157"/>
      <c r="F99" s="157"/>
      <c r="G99" s="157"/>
      <c r="H99" s="157"/>
      <c r="I99" s="157"/>
      <c r="J99" s="157"/>
      <c r="K99" s="157"/>
      <c r="L99" s="157"/>
      <c r="M99" s="157"/>
      <c r="N99" s="157"/>
      <c r="O99" s="157"/>
      <c r="P99" s="157"/>
      <c r="Q99" s="157"/>
      <c r="R99" s="157"/>
      <c r="S99" s="157"/>
      <c r="T99" s="157"/>
      <c r="U99" s="158"/>
    </row>
    <row r="100" spans="1:21" ht="162" customHeight="1">
      <c r="B100" s="143"/>
      <c r="C100" s="72" t="s">
        <v>39</v>
      </c>
      <c r="D100" s="159" t="s">
        <v>73</v>
      </c>
      <c r="E100" s="160"/>
      <c r="F100" s="160"/>
      <c r="G100" s="160"/>
      <c r="H100" s="160"/>
      <c r="I100" s="160"/>
      <c r="J100" s="160"/>
      <c r="K100" s="160"/>
      <c r="L100" s="160"/>
      <c r="M100" s="160"/>
      <c r="N100" s="160"/>
      <c r="O100" s="160"/>
      <c r="P100" s="160"/>
      <c r="Q100" s="160"/>
      <c r="R100" s="160"/>
      <c r="S100" s="160"/>
      <c r="T100" s="160"/>
      <c r="U100" s="161"/>
    </row>
    <row r="101" spans="1:21" ht="141.75" customHeight="1">
      <c r="B101" s="118"/>
      <c r="C101" s="71" t="s">
        <v>40</v>
      </c>
      <c r="D101" s="162" t="s">
        <v>74</v>
      </c>
      <c r="E101" s="163"/>
      <c r="F101" s="163"/>
      <c r="G101" s="163"/>
      <c r="H101" s="163"/>
      <c r="I101" s="163"/>
      <c r="J101" s="163"/>
      <c r="K101" s="163"/>
      <c r="L101" s="163"/>
      <c r="M101" s="163"/>
      <c r="N101" s="163"/>
      <c r="O101" s="163"/>
      <c r="P101" s="163"/>
      <c r="Q101" s="163"/>
      <c r="R101" s="163"/>
      <c r="S101" s="163"/>
      <c r="T101" s="163"/>
      <c r="U101" s="164"/>
    </row>
    <row r="102" spans="1:21" ht="6" customHeight="1"/>
    <row r="103" spans="1:21" ht="18.75" customHeight="1">
      <c r="A103" s="1" t="s">
        <v>75</v>
      </c>
    </row>
    <row r="104" spans="1:21" ht="81.75" customHeight="1">
      <c r="B104" s="137" t="s">
        <v>76</v>
      </c>
      <c r="C104" s="138"/>
      <c r="D104" s="138"/>
      <c r="E104" s="138"/>
      <c r="F104" s="138"/>
      <c r="G104" s="138"/>
      <c r="H104" s="138"/>
      <c r="I104" s="138"/>
      <c r="J104" s="138"/>
      <c r="K104" s="138"/>
      <c r="L104" s="138"/>
      <c r="M104" s="138"/>
      <c r="N104" s="138"/>
      <c r="O104" s="138"/>
      <c r="P104" s="138"/>
      <c r="Q104" s="138"/>
      <c r="R104" s="138"/>
      <c r="S104" s="138"/>
      <c r="T104" s="138"/>
      <c r="U104" s="139"/>
    </row>
    <row r="107" spans="1:21" ht="18" customHeight="1"/>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S60:U66 H49:J55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55" fitToWidth="0" fitToHeight="0" orientation="portrait" r:id="rId1"/>
  <headerFooter>
    <oddHeader>&amp;C数理・データサイエンス・AI教育プログラム認定制度【リテラシーレベル】令和７年度申請用</oddHeader>
  </headerFooter>
  <rowBreaks count="1" manualBreakCount="1">
    <brk id="8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topLeftCell="A6" zoomScaleNormal="100" zoomScaleSheetLayoutView="100" workbookViewId="0">
      <selection activeCell="V15" sqref="V15"/>
    </sheetView>
  </sheetViews>
  <sheetFormatPr defaultColWidth="9" defaultRowHeight="18.75" customHeight="1"/>
  <cols>
    <col min="1" max="1" width="2.7265625" style="1" customWidth="1"/>
    <col min="2" max="2" width="27.81640625" style="1" customWidth="1"/>
    <col min="3" max="18" width="6.1796875" style="1" customWidth="1"/>
    <col min="19" max="19" width="6.7265625" style="1" customWidth="1"/>
    <col min="20" max="16384" width="9" style="1"/>
  </cols>
  <sheetData>
    <row r="1" spans="1:21" ht="18" customHeight="1">
      <c r="A1" s="53"/>
      <c r="B1" s="53"/>
      <c r="C1" s="53"/>
      <c r="D1" s="53"/>
      <c r="E1" s="53"/>
      <c r="F1" s="53"/>
      <c r="G1" s="53"/>
      <c r="H1" s="53"/>
      <c r="I1" s="53"/>
      <c r="J1" s="53"/>
      <c r="K1" s="53"/>
      <c r="L1" s="53"/>
      <c r="M1" s="53"/>
      <c r="N1" s="53"/>
      <c r="O1" s="53"/>
      <c r="P1" s="53"/>
      <c r="Q1" s="53"/>
      <c r="R1" s="53"/>
      <c r="S1" s="53" t="s">
        <v>77</v>
      </c>
    </row>
    <row r="2" spans="1:21" ht="18" customHeight="1">
      <c r="A2" s="53"/>
      <c r="B2" s="53"/>
      <c r="C2" s="53"/>
      <c r="D2" s="53"/>
      <c r="E2" s="53"/>
      <c r="F2" s="53"/>
      <c r="G2" s="53"/>
      <c r="H2" s="53"/>
      <c r="I2" s="53"/>
      <c r="J2" s="53"/>
      <c r="K2" s="53"/>
      <c r="L2" s="53"/>
      <c r="M2" s="53"/>
      <c r="N2" s="53"/>
      <c r="O2" s="53"/>
      <c r="P2" s="53"/>
      <c r="Q2" s="185" t="str">
        <f>'様式１　プログラムを構成する授業科目'!C2</f>
        <v>大同大学</v>
      </c>
      <c r="R2" s="185"/>
      <c r="S2" s="185"/>
    </row>
    <row r="3" spans="1:21" ht="18" customHeight="1">
      <c r="A3" s="127" t="s">
        <v>78</v>
      </c>
      <c r="B3" s="127"/>
      <c r="C3" s="127"/>
      <c r="D3" s="127"/>
      <c r="E3" s="127"/>
      <c r="F3" s="127"/>
      <c r="G3" s="127"/>
      <c r="H3" s="127"/>
      <c r="I3" s="127"/>
      <c r="J3" s="127"/>
      <c r="K3" s="127"/>
      <c r="L3" s="127"/>
      <c r="M3" s="127"/>
      <c r="N3" s="127"/>
      <c r="O3" s="127"/>
      <c r="P3" s="127"/>
      <c r="Q3" s="127"/>
      <c r="R3" s="127"/>
      <c r="S3" s="127"/>
    </row>
    <row r="4" spans="1:21" ht="7.5" customHeight="1">
      <c r="A4" s="55"/>
      <c r="B4" s="55"/>
      <c r="C4" s="55"/>
      <c r="D4" s="55"/>
      <c r="E4" s="55"/>
      <c r="F4" s="55"/>
      <c r="G4" s="55"/>
      <c r="H4" s="55"/>
      <c r="I4" s="55"/>
      <c r="J4" s="55"/>
      <c r="K4" s="55"/>
      <c r="L4" s="55"/>
      <c r="M4" s="55"/>
      <c r="N4" s="55"/>
      <c r="O4" s="55"/>
      <c r="P4" s="55"/>
      <c r="Q4" s="55"/>
      <c r="R4" s="55"/>
      <c r="S4" s="55"/>
    </row>
    <row r="5" spans="1:21" ht="18" customHeight="1">
      <c r="A5" s="53" t="s">
        <v>79</v>
      </c>
      <c r="B5" s="53"/>
      <c r="C5" s="186" t="s">
        <v>80</v>
      </c>
      <c r="D5" s="187"/>
      <c r="E5" s="57" t="s">
        <v>81</v>
      </c>
      <c r="F5" s="55"/>
      <c r="G5" s="55"/>
      <c r="H5" s="55"/>
      <c r="I5" s="55"/>
      <c r="J5" s="55"/>
      <c r="K5" s="55"/>
      <c r="L5" s="55"/>
      <c r="M5" s="55"/>
      <c r="N5" s="55"/>
      <c r="O5" s="55"/>
      <c r="P5" s="55"/>
      <c r="Q5" s="55"/>
      <c r="R5" s="54"/>
      <c r="S5" s="54"/>
    </row>
    <row r="6" spans="1:21" ht="7.4" customHeight="1">
      <c r="A6" s="53"/>
      <c r="B6" s="53"/>
      <c r="C6" s="76"/>
      <c r="D6" s="76"/>
      <c r="E6" s="55"/>
      <c r="F6" s="55"/>
      <c r="G6" s="55"/>
      <c r="H6" s="55"/>
      <c r="I6" s="55"/>
      <c r="J6" s="55"/>
      <c r="K6" s="55"/>
      <c r="L6" s="55"/>
      <c r="M6" s="55"/>
      <c r="N6" s="55"/>
      <c r="O6" s="55"/>
      <c r="P6" s="55"/>
      <c r="Q6" s="55"/>
      <c r="R6" s="54"/>
      <c r="S6" s="54"/>
    </row>
    <row r="7" spans="1:21" ht="18" customHeight="1">
      <c r="A7" s="53" t="s">
        <v>82</v>
      </c>
      <c r="B7" s="53"/>
      <c r="C7" s="76"/>
      <c r="D7" s="76"/>
      <c r="E7" s="55" t="s">
        <v>83</v>
      </c>
      <c r="F7" s="58">
        <v>3054</v>
      </c>
      <c r="G7" s="57" t="s">
        <v>84</v>
      </c>
      <c r="H7" s="55" t="s">
        <v>85</v>
      </c>
      <c r="I7" s="58">
        <v>516</v>
      </c>
      <c r="J7" s="57" t="s">
        <v>84</v>
      </c>
      <c r="K7" s="56" t="s">
        <v>86</v>
      </c>
      <c r="L7" s="55" t="s">
        <v>87</v>
      </c>
      <c r="M7" s="58">
        <f>F7+I7</f>
        <v>3570</v>
      </c>
      <c r="N7" s="55" t="s">
        <v>88</v>
      </c>
      <c r="O7" s="57" t="s">
        <v>89</v>
      </c>
      <c r="P7" s="55"/>
      <c r="Q7" s="55"/>
      <c r="R7" s="54"/>
      <c r="S7" s="54"/>
    </row>
    <row r="8" spans="1:21" ht="17.5" customHeight="1">
      <c r="A8" s="55"/>
      <c r="B8" s="77" t="s">
        <v>90</v>
      </c>
      <c r="C8" s="55"/>
      <c r="D8" s="55"/>
      <c r="E8" s="55"/>
      <c r="F8" s="55"/>
      <c r="G8" s="55"/>
      <c r="H8" s="55"/>
      <c r="I8" s="55"/>
      <c r="J8" s="55"/>
      <c r="K8" s="55"/>
      <c r="L8" s="55"/>
      <c r="M8" s="55"/>
      <c r="N8" s="55"/>
      <c r="O8" s="55"/>
      <c r="P8" s="55"/>
      <c r="Q8" s="55"/>
      <c r="R8" s="55"/>
      <c r="S8" s="55"/>
    </row>
    <row r="9" spans="1:21" ht="18" customHeight="1">
      <c r="A9" s="53" t="s">
        <v>91</v>
      </c>
      <c r="B9" s="55"/>
      <c r="C9" s="55"/>
      <c r="D9" s="55"/>
      <c r="E9" s="55"/>
      <c r="F9" s="55"/>
      <c r="G9" s="55"/>
      <c r="H9" s="55"/>
      <c r="I9" s="55"/>
      <c r="J9" s="55"/>
      <c r="K9" s="55"/>
      <c r="L9" s="55"/>
      <c r="M9" s="55"/>
      <c r="N9" s="55"/>
      <c r="O9" s="55"/>
      <c r="P9" s="55"/>
      <c r="Q9" s="55"/>
      <c r="R9" s="55"/>
      <c r="S9" s="55"/>
    </row>
    <row r="10" spans="1:21" ht="6" customHeight="1">
      <c r="B10" s="3"/>
      <c r="C10" s="3"/>
      <c r="D10" s="3"/>
      <c r="E10" s="3"/>
      <c r="F10" s="3"/>
      <c r="G10" s="3"/>
      <c r="H10" s="3"/>
      <c r="I10" s="3"/>
      <c r="J10" s="3"/>
      <c r="K10" s="3"/>
      <c r="L10" s="3"/>
      <c r="M10" s="3"/>
      <c r="N10" s="3"/>
      <c r="O10" s="3"/>
      <c r="P10" s="3"/>
      <c r="Q10" s="3"/>
      <c r="R10" s="3"/>
      <c r="S10" s="3"/>
    </row>
    <row r="11" spans="1:21" ht="18" customHeight="1">
      <c r="B11" s="188" t="s">
        <v>92</v>
      </c>
      <c r="C11" s="198" t="s">
        <v>93</v>
      </c>
      <c r="D11" s="190" t="s">
        <v>94</v>
      </c>
      <c r="E11" s="192" t="s">
        <v>95</v>
      </c>
      <c r="F11" s="184" t="s">
        <v>96</v>
      </c>
      <c r="G11" s="184"/>
      <c r="H11" s="184" t="s">
        <v>97</v>
      </c>
      <c r="I11" s="184"/>
      <c r="J11" s="184" t="s">
        <v>98</v>
      </c>
      <c r="K11" s="184"/>
      <c r="L11" s="184" t="s">
        <v>99</v>
      </c>
      <c r="M11" s="184"/>
      <c r="N11" s="184" t="s">
        <v>100</v>
      </c>
      <c r="O11" s="184"/>
      <c r="P11" s="184" t="s">
        <v>101</v>
      </c>
      <c r="Q11" s="184"/>
      <c r="R11" s="194" t="s">
        <v>102</v>
      </c>
      <c r="S11" s="196" t="s">
        <v>103</v>
      </c>
      <c r="U11" s="2"/>
    </row>
    <row r="12" spans="1:21" ht="17.149999999999999" customHeight="1">
      <c r="B12" s="189"/>
      <c r="C12" s="199"/>
      <c r="D12" s="191"/>
      <c r="E12" s="193"/>
      <c r="F12" s="78" t="s">
        <v>104</v>
      </c>
      <c r="G12" s="78" t="s">
        <v>105</v>
      </c>
      <c r="H12" s="78" t="s">
        <v>104</v>
      </c>
      <c r="I12" s="78" t="s">
        <v>105</v>
      </c>
      <c r="J12" s="78" t="s">
        <v>104</v>
      </c>
      <c r="K12" s="78" t="s">
        <v>105</v>
      </c>
      <c r="L12" s="78" t="s">
        <v>104</v>
      </c>
      <c r="M12" s="78" t="s">
        <v>105</v>
      </c>
      <c r="N12" s="78" t="s">
        <v>104</v>
      </c>
      <c r="O12" s="78" t="s">
        <v>105</v>
      </c>
      <c r="P12" s="78" t="s">
        <v>104</v>
      </c>
      <c r="Q12" s="79" t="s">
        <v>105</v>
      </c>
      <c r="R12" s="195"/>
      <c r="S12" s="197"/>
      <c r="U12" s="2"/>
    </row>
    <row r="13" spans="1:21" ht="18" customHeight="1">
      <c r="A13" s="6"/>
      <c r="B13" s="84" t="s">
        <v>106</v>
      </c>
      <c r="C13" s="94">
        <v>2031</v>
      </c>
      <c r="D13" s="86">
        <v>320</v>
      </c>
      <c r="E13" s="88">
        <v>1280</v>
      </c>
      <c r="F13" s="87">
        <v>308</v>
      </c>
      <c r="G13" s="96">
        <v>161</v>
      </c>
      <c r="H13" s="38"/>
      <c r="I13" s="38"/>
      <c r="J13" s="38"/>
      <c r="K13" s="38"/>
      <c r="L13" s="38"/>
      <c r="M13" s="38"/>
      <c r="N13" s="38"/>
      <c r="O13" s="38"/>
      <c r="P13" s="38"/>
      <c r="Q13" s="48"/>
      <c r="R13" s="37">
        <f t="shared" ref="R13:R32" si="0">F13+H13+J13+L13+N13+P13</f>
        <v>308</v>
      </c>
      <c r="S13" s="49">
        <f t="shared" ref="S13:S33" si="1">R13/E13</f>
        <v>0.24062500000000001</v>
      </c>
    </row>
    <row r="14" spans="1:21" ht="18" customHeight="1">
      <c r="A14" s="6"/>
      <c r="B14" s="84" t="s">
        <v>107</v>
      </c>
      <c r="C14" s="95">
        <v>195</v>
      </c>
      <c r="D14" s="83">
        <v>190</v>
      </c>
      <c r="E14" s="82">
        <v>760</v>
      </c>
      <c r="F14" s="89">
        <v>195</v>
      </c>
      <c r="G14" s="97">
        <v>145</v>
      </c>
      <c r="H14" s="42"/>
      <c r="I14" s="42"/>
      <c r="J14" s="42"/>
      <c r="K14" s="42"/>
      <c r="L14" s="42"/>
      <c r="M14" s="42"/>
      <c r="N14" s="42"/>
      <c r="O14" s="42"/>
      <c r="P14" s="42"/>
      <c r="Q14" s="39"/>
      <c r="R14" s="40">
        <f t="shared" si="0"/>
        <v>195</v>
      </c>
      <c r="S14" s="16">
        <f t="shared" si="1"/>
        <v>0.25657894736842107</v>
      </c>
    </row>
    <row r="15" spans="1:21" ht="18" customHeight="1">
      <c r="A15" s="6"/>
      <c r="B15" s="84" t="s">
        <v>108</v>
      </c>
      <c r="C15" s="85">
        <v>1344</v>
      </c>
      <c r="D15" s="90">
        <v>305</v>
      </c>
      <c r="E15" s="91">
        <v>1220</v>
      </c>
      <c r="F15" s="92">
        <v>324</v>
      </c>
      <c r="G15" s="97">
        <v>248</v>
      </c>
      <c r="H15" s="42"/>
      <c r="I15" s="42"/>
      <c r="J15" s="42"/>
      <c r="K15" s="42"/>
      <c r="L15" s="42"/>
      <c r="M15" s="42"/>
      <c r="N15" s="42"/>
      <c r="O15" s="42"/>
      <c r="P15" s="42"/>
      <c r="Q15" s="39"/>
      <c r="R15" s="40">
        <f t="shared" si="0"/>
        <v>324</v>
      </c>
      <c r="S15" s="8">
        <f t="shared" si="1"/>
        <v>0.26557377049180325</v>
      </c>
    </row>
    <row r="16" spans="1:21" ht="18" customHeight="1">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c r="B33" s="13" t="s">
        <v>109</v>
      </c>
      <c r="C33" s="45">
        <f t="shared" ref="C33" si="2">SUM(C13:C32)</f>
        <v>3570</v>
      </c>
      <c r="D33" s="46">
        <f t="shared" ref="D33:R33" si="3">SUM(D13:D32)</f>
        <v>815</v>
      </c>
      <c r="E33" s="47">
        <f t="shared" si="3"/>
        <v>3260</v>
      </c>
      <c r="F33" s="47">
        <f t="shared" si="3"/>
        <v>827</v>
      </c>
      <c r="G33" s="47">
        <f t="shared" ref="G33:H33" si="4">SUM(G13:G32)</f>
        <v>554</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827</v>
      </c>
      <c r="S33" s="9">
        <f t="shared" si="1"/>
        <v>0.253680981595092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3"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6" zoomScaleNormal="100" zoomScaleSheetLayoutView="100" workbookViewId="0">
      <selection activeCell="L91" sqref="L91"/>
    </sheetView>
  </sheetViews>
  <sheetFormatPr defaultColWidth="11.26953125" defaultRowHeight="18.75" customHeight="1"/>
  <cols>
    <col min="1" max="1" width="2.7265625" style="20" customWidth="1"/>
    <col min="2" max="2" width="16.7265625" style="1" customWidth="1"/>
    <col min="3" max="3" width="8.81640625" style="1" customWidth="1"/>
    <col min="4" max="4" width="2.26953125" style="1" customWidth="1"/>
    <col min="5" max="5" width="16.7265625" style="1" customWidth="1"/>
    <col min="6" max="6" width="4.26953125" style="1" customWidth="1"/>
    <col min="7" max="7" width="9" style="1" customWidth="1"/>
    <col min="8" max="8" width="16.7265625" style="1" customWidth="1"/>
    <col min="9" max="9" width="12.1796875" style="1" customWidth="1"/>
    <col min="10" max="16384" width="11.26953125" style="1"/>
  </cols>
  <sheetData>
    <row r="1" spans="1:9" ht="18.75" customHeight="1">
      <c r="A1" s="20" t="s">
        <v>110</v>
      </c>
      <c r="I1" s="18" t="s">
        <v>111</v>
      </c>
    </row>
    <row r="2" spans="1:9" ht="18.75" customHeight="1">
      <c r="G2" s="18" t="s">
        <v>1</v>
      </c>
      <c r="H2" s="111" t="str">
        <f>'様式１　プログラムを構成する授業科目'!C2</f>
        <v>大同大学</v>
      </c>
      <c r="I2" s="113"/>
    </row>
    <row r="3" spans="1:9" ht="18.75" customHeight="1">
      <c r="G3" s="18"/>
      <c r="H3" s="10"/>
      <c r="I3" s="10"/>
    </row>
    <row r="4" spans="1:9" ht="18.649999999999999" customHeight="1">
      <c r="A4" s="127" t="s">
        <v>112</v>
      </c>
      <c r="B4" s="127"/>
      <c r="C4" s="127"/>
      <c r="D4" s="127"/>
      <c r="E4" s="127"/>
      <c r="F4" s="127"/>
      <c r="G4" s="127"/>
      <c r="H4" s="127"/>
      <c r="I4" s="127"/>
    </row>
    <row r="5" spans="1:9" ht="13.4" customHeight="1">
      <c r="B5" s="3"/>
      <c r="C5" s="3"/>
      <c r="D5" s="3"/>
      <c r="E5" s="3"/>
      <c r="F5" s="3"/>
      <c r="G5" s="3"/>
      <c r="H5" s="3"/>
      <c r="I5" s="3"/>
    </row>
    <row r="6" spans="1:9" ht="18" customHeight="1">
      <c r="A6" s="1" t="s">
        <v>113</v>
      </c>
      <c r="B6" s="10" t="s">
        <v>114</v>
      </c>
      <c r="C6" s="220" t="s">
        <v>115</v>
      </c>
      <c r="D6" s="220"/>
      <c r="E6" s="17">
        <v>110</v>
      </c>
      <c r="F6" s="3" t="s">
        <v>88</v>
      </c>
      <c r="G6" s="3" t="s">
        <v>116</v>
      </c>
      <c r="H6" s="17">
        <v>313</v>
      </c>
      <c r="I6" s="10" t="s">
        <v>88</v>
      </c>
    </row>
    <row r="7" spans="1:9" ht="12" customHeight="1">
      <c r="C7" s="2"/>
      <c r="D7" s="2"/>
      <c r="E7" s="2"/>
      <c r="F7" s="2"/>
      <c r="G7" s="2"/>
      <c r="H7" s="2"/>
      <c r="I7" s="21"/>
    </row>
    <row r="8" spans="1:9" ht="18" customHeight="1">
      <c r="A8" s="1" t="s">
        <v>117</v>
      </c>
      <c r="B8" s="10" t="s">
        <v>118</v>
      </c>
      <c r="E8" s="3"/>
      <c r="F8" s="3"/>
      <c r="G8" s="3"/>
      <c r="H8" s="17">
        <v>3</v>
      </c>
      <c r="I8" s="10" t="s">
        <v>88</v>
      </c>
    </row>
    <row r="9" spans="1:9" ht="9" customHeight="1">
      <c r="B9" s="3"/>
      <c r="C9" s="3"/>
      <c r="D9" s="3"/>
      <c r="E9" s="3"/>
      <c r="F9" s="3"/>
      <c r="G9" s="3"/>
      <c r="H9" s="3"/>
      <c r="I9" s="3"/>
    </row>
    <row r="10" spans="1:9" ht="18" customHeight="1">
      <c r="A10" s="1" t="s">
        <v>119</v>
      </c>
      <c r="B10" s="10" t="s">
        <v>120</v>
      </c>
      <c r="C10" s="3"/>
      <c r="D10" s="3"/>
      <c r="E10" s="3"/>
      <c r="F10" s="3"/>
      <c r="G10" s="3"/>
      <c r="H10" s="3"/>
      <c r="I10" s="3"/>
    </row>
    <row r="11" spans="1:9" ht="18" customHeight="1">
      <c r="B11" s="18" t="s">
        <v>121</v>
      </c>
      <c r="C11" s="215" t="s">
        <v>122</v>
      </c>
      <c r="D11" s="218"/>
      <c r="E11" s="219"/>
      <c r="F11" s="21"/>
      <c r="G11" s="18" t="s">
        <v>123</v>
      </c>
      <c r="H11" s="215" t="s">
        <v>124</v>
      </c>
      <c r="I11" s="219"/>
    </row>
    <row r="12" spans="1:9" ht="10.4" customHeight="1">
      <c r="B12" s="18"/>
      <c r="C12" s="10"/>
      <c r="D12" s="21"/>
      <c r="E12" s="21"/>
      <c r="F12" s="21"/>
      <c r="G12" s="18"/>
      <c r="H12" s="10"/>
      <c r="I12" s="21"/>
    </row>
    <row r="13" spans="1:9" ht="18" customHeight="1">
      <c r="A13" s="1" t="s">
        <v>125</v>
      </c>
      <c r="B13" s="10" t="s">
        <v>126</v>
      </c>
      <c r="C13" s="3"/>
      <c r="D13" s="3"/>
      <c r="E13" s="3"/>
      <c r="F13" s="3"/>
      <c r="G13" s="3"/>
      <c r="H13" s="3"/>
      <c r="I13" s="3"/>
    </row>
    <row r="14" spans="1:9" ht="18" customHeight="1">
      <c r="B14" s="215" t="s">
        <v>184</v>
      </c>
      <c r="C14" s="216"/>
      <c r="D14" s="216"/>
      <c r="E14" s="216"/>
      <c r="F14" s="216"/>
      <c r="G14" s="216"/>
      <c r="H14" s="216"/>
      <c r="I14" s="217"/>
    </row>
    <row r="15" spans="1:9" ht="9" customHeight="1">
      <c r="B15" s="3"/>
      <c r="C15" s="3"/>
      <c r="D15" s="3"/>
      <c r="E15" s="3"/>
      <c r="F15" s="3"/>
      <c r="G15" s="3"/>
      <c r="H15" s="3"/>
      <c r="I15" s="3"/>
    </row>
    <row r="16" spans="1:9" ht="18" customHeight="1">
      <c r="B16" s="18" t="s">
        <v>121</v>
      </c>
      <c r="C16" s="215" t="s">
        <v>122</v>
      </c>
      <c r="D16" s="218"/>
      <c r="E16" s="219"/>
      <c r="F16" s="21"/>
      <c r="G16" s="18" t="s">
        <v>123</v>
      </c>
      <c r="H16" s="215" t="s">
        <v>127</v>
      </c>
      <c r="I16" s="219"/>
    </row>
    <row r="17" spans="1:9" ht="18" customHeight="1">
      <c r="B17" s="3"/>
      <c r="C17" s="3"/>
      <c r="D17" s="3"/>
      <c r="E17" s="3"/>
      <c r="F17" s="3"/>
      <c r="G17" s="3"/>
      <c r="H17" s="3"/>
      <c r="I17" s="3"/>
    </row>
    <row r="18" spans="1:9" ht="18.75" customHeight="1">
      <c r="A18" s="1" t="s">
        <v>128</v>
      </c>
      <c r="B18" s="1" t="s">
        <v>129</v>
      </c>
      <c r="I18" s="3"/>
    </row>
    <row r="19" spans="1:9" ht="18.75" customHeight="1">
      <c r="A19" s="1"/>
      <c r="B19" s="201" t="s">
        <v>130</v>
      </c>
      <c r="C19" s="202"/>
      <c r="D19" s="202"/>
      <c r="E19" s="202"/>
      <c r="F19" s="202"/>
      <c r="G19" s="202"/>
      <c r="H19" s="202"/>
      <c r="I19" s="203"/>
    </row>
    <row r="20" spans="1:9" ht="7.5" customHeight="1">
      <c r="B20" s="3"/>
      <c r="C20" s="3"/>
      <c r="D20" s="3"/>
      <c r="E20" s="3"/>
      <c r="F20" s="3"/>
      <c r="G20" s="3"/>
      <c r="H20" s="3"/>
      <c r="I20" s="3"/>
    </row>
    <row r="21" spans="1:9" ht="18.75" customHeight="1">
      <c r="A21" s="1" t="s">
        <v>131</v>
      </c>
      <c r="B21" s="1" t="s">
        <v>132</v>
      </c>
    </row>
    <row r="22" spans="1:9" ht="18.75" customHeight="1">
      <c r="A22" s="14"/>
      <c r="B22" s="204" t="s">
        <v>133</v>
      </c>
      <c r="C22" s="205"/>
      <c r="D22" s="205"/>
      <c r="E22" s="205"/>
      <c r="F22" s="205"/>
      <c r="G22" s="205"/>
      <c r="H22" s="205"/>
      <c r="I22" s="206"/>
    </row>
    <row r="23" spans="1:9" ht="18.75" customHeight="1">
      <c r="A23" s="14"/>
      <c r="B23" s="207"/>
      <c r="C23" s="208"/>
      <c r="D23" s="208"/>
      <c r="E23" s="208"/>
      <c r="F23" s="208"/>
      <c r="G23" s="208"/>
      <c r="H23" s="208"/>
      <c r="I23" s="209"/>
    </row>
    <row r="24" spans="1:9" ht="18.75" customHeight="1">
      <c r="A24" s="14"/>
      <c r="B24" s="207"/>
      <c r="C24" s="208"/>
      <c r="D24" s="208"/>
      <c r="E24" s="208"/>
      <c r="F24" s="208"/>
      <c r="G24" s="208"/>
      <c r="H24" s="208"/>
      <c r="I24" s="209"/>
    </row>
    <row r="25" spans="1:9" ht="18.75" customHeight="1">
      <c r="A25" s="14"/>
      <c r="B25" s="207"/>
      <c r="C25" s="208"/>
      <c r="D25" s="208"/>
      <c r="E25" s="208"/>
      <c r="F25" s="208"/>
      <c r="G25" s="208"/>
      <c r="H25" s="208"/>
      <c r="I25" s="209"/>
    </row>
    <row r="26" spans="1:9" ht="18.75" customHeight="1">
      <c r="A26" s="14"/>
      <c r="B26" s="207"/>
      <c r="C26" s="208"/>
      <c r="D26" s="208"/>
      <c r="E26" s="208"/>
      <c r="F26" s="208"/>
      <c r="G26" s="208"/>
      <c r="H26" s="208"/>
      <c r="I26" s="209"/>
    </row>
    <row r="27" spans="1:9" ht="18.75" customHeight="1">
      <c r="A27" s="14"/>
      <c r="B27" s="207"/>
      <c r="C27" s="208"/>
      <c r="D27" s="208"/>
      <c r="E27" s="208"/>
      <c r="F27" s="208"/>
      <c r="G27" s="208"/>
      <c r="H27" s="208"/>
      <c r="I27" s="209"/>
    </row>
    <row r="28" spans="1:9" ht="18.75" customHeight="1">
      <c r="A28" s="14"/>
      <c r="B28" s="207"/>
      <c r="C28" s="208"/>
      <c r="D28" s="208"/>
      <c r="E28" s="208"/>
      <c r="F28" s="208"/>
      <c r="G28" s="208"/>
      <c r="H28" s="208"/>
      <c r="I28" s="209"/>
    </row>
    <row r="29" spans="1:9" ht="18.75" customHeight="1">
      <c r="A29" s="14"/>
      <c r="B29" s="207"/>
      <c r="C29" s="208"/>
      <c r="D29" s="208"/>
      <c r="E29" s="208"/>
      <c r="F29" s="208"/>
      <c r="G29" s="208"/>
      <c r="H29" s="208"/>
      <c r="I29" s="209"/>
    </row>
    <row r="30" spans="1:9" ht="18.75" customHeight="1">
      <c r="A30" s="14"/>
      <c r="B30" s="210"/>
      <c r="C30" s="211"/>
      <c r="D30" s="211"/>
      <c r="E30" s="211"/>
      <c r="F30" s="211"/>
      <c r="G30" s="211"/>
      <c r="H30" s="211"/>
      <c r="I30" s="209"/>
    </row>
    <row r="31" spans="1:9" ht="18.75" customHeight="1">
      <c r="A31" s="14"/>
      <c r="B31" s="210"/>
      <c r="C31" s="211"/>
      <c r="D31" s="211"/>
      <c r="E31" s="211"/>
      <c r="F31" s="211"/>
      <c r="G31" s="211"/>
      <c r="H31" s="211"/>
      <c r="I31" s="209"/>
    </row>
    <row r="32" spans="1:9" ht="18.75" customHeight="1">
      <c r="A32" s="14"/>
      <c r="B32" s="212"/>
      <c r="C32" s="213"/>
      <c r="D32" s="213"/>
      <c r="E32" s="213"/>
      <c r="F32" s="213"/>
      <c r="G32" s="213"/>
      <c r="H32" s="213"/>
      <c r="I32" s="214"/>
    </row>
    <row r="33" spans="1:9" ht="7.5" customHeight="1">
      <c r="A33" s="14"/>
      <c r="B33" s="14"/>
      <c r="C33" s="14"/>
      <c r="D33" s="14"/>
      <c r="E33" s="14"/>
      <c r="F33" s="14"/>
      <c r="G33" s="14"/>
      <c r="H33" s="14"/>
      <c r="I33" s="14"/>
    </row>
    <row r="34" spans="1:9" ht="18.75" customHeight="1">
      <c r="A34" s="15" t="s">
        <v>134</v>
      </c>
      <c r="B34" s="15" t="s">
        <v>135</v>
      </c>
      <c r="C34" s="10"/>
      <c r="D34" s="15"/>
      <c r="E34" s="15"/>
      <c r="F34" s="15"/>
      <c r="G34" s="15"/>
      <c r="H34" s="15"/>
      <c r="I34" s="15"/>
    </row>
    <row r="35" spans="1:9" ht="18.75" customHeight="1">
      <c r="A35" s="14"/>
      <c r="B35" s="204" t="s">
        <v>136</v>
      </c>
      <c r="C35" s="205"/>
      <c r="D35" s="205"/>
      <c r="E35" s="205"/>
      <c r="F35" s="205"/>
      <c r="G35" s="205"/>
      <c r="H35" s="205"/>
      <c r="I35" s="206"/>
    </row>
    <row r="36" spans="1:9" ht="18.75" customHeight="1">
      <c r="A36" s="14"/>
      <c r="B36" s="210"/>
      <c r="C36" s="211"/>
      <c r="D36" s="211"/>
      <c r="E36" s="211"/>
      <c r="F36" s="211"/>
      <c r="G36" s="211"/>
      <c r="H36" s="211"/>
      <c r="I36" s="209"/>
    </row>
    <row r="37" spans="1:9" ht="18.75" customHeight="1">
      <c r="A37" s="14"/>
      <c r="B37" s="210"/>
      <c r="C37" s="211"/>
      <c r="D37" s="211"/>
      <c r="E37" s="211"/>
      <c r="F37" s="211"/>
      <c r="G37" s="211"/>
      <c r="H37" s="211"/>
      <c r="I37" s="209"/>
    </row>
    <row r="38" spans="1:9" ht="18.75" customHeight="1">
      <c r="A38" s="14"/>
      <c r="B38" s="210"/>
      <c r="C38" s="211"/>
      <c r="D38" s="211"/>
      <c r="E38" s="211"/>
      <c r="F38" s="211"/>
      <c r="G38" s="211"/>
      <c r="H38" s="211"/>
      <c r="I38" s="209"/>
    </row>
    <row r="39" spans="1:9" ht="18.75" customHeight="1">
      <c r="A39" s="14"/>
      <c r="B39" s="210"/>
      <c r="C39" s="211"/>
      <c r="D39" s="211"/>
      <c r="E39" s="211"/>
      <c r="F39" s="211"/>
      <c r="G39" s="211"/>
      <c r="H39" s="211"/>
      <c r="I39" s="209"/>
    </row>
    <row r="40" spans="1:9" ht="18.75" customHeight="1">
      <c r="A40" s="14"/>
      <c r="B40" s="210"/>
      <c r="C40" s="211"/>
      <c r="D40" s="211"/>
      <c r="E40" s="211"/>
      <c r="F40" s="211"/>
      <c r="G40" s="211"/>
      <c r="H40" s="211"/>
      <c r="I40" s="209"/>
    </row>
    <row r="41" spans="1:9" ht="18.75" customHeight="1">
      <c r="A41" s="14"/>
      <c r="B41" s="210"/>
      <c r="C41" s="211"/>
      <c r="D41" s="211"/>
      <c r="E41" s="211"/>
      <c r="F41" s="211"/>
      <c r="G41" s="211"/>
      <c r="H41" s="211"/>
      <c r="I41" s="209"/>
    </row>
    <row r="42" spans="1:9" ht="18.75" customHeight="1">
      <c r="A42" s="14"/>
      <c r="B42" s="210"/>
      <c r="C42" s="211"/>
      <c r="D42" s="211"/>
      <c r="E42" s="211"/>
      <c r="F42" s="211"/>
      <c r="G42" s="211"/>
      <c r="H42" s="211"/>
      <c r="I42" s="209"/>
    </row>
    <row r="43" spans="1:9" ht="18.75" customHeight="1">
      <c r="A43" s="14"/>
      <c r="B43" s="210"/>
      <c r="C43" s="211"/>
      <c r="D43" s="211"/>
      <c r="E43" s="211"/>
      <c r="F43" s="211"/>
      <c r="G43" s="211"/>
      <c r="H43" s="211"/>
      <c r="I43" s="209"/>
    </row>
    <row r="44" spans="1:9" ht="18.75" customHeight="1">
      <c r="A44" s="14"/>
      <c r="B44" s="210"/>
      <c r="C44" s="211"/>
      <c r="D44" s="211"/>
      <c r="E44" s="211"/>
      <c r="F44" s="211"/>
      <c r="G44" s="211"/>
      <c r="H44" s="211"/>
      <c r="I44" s="209"/>
    </row>
    <row r="45" spans="1:9" ht="18.75" customHeight="1">
      <c r="A45" s="14"/>
      <c r="B45" s="210"/>
      <c r="C45" s="211"/>
      <c r="D45" s="211"/>
      <c r="E45" s="211"/>
      <c r="F45" s="211"/>
      <c r="G45" s="211"/>
      <c r="H45" s="211"/>
      <c r="I45" s="209"/>
    </row>
    <row r="46" spans="1:9" ht="18.75" customHeight="1">
      <c r="A46" s="14"/>
      <c r="B46" s="212"/>
      <c r="C46" s="213"/>
      <c r="D46" s="213"/>
      <c r="E46" s="213"/>
      <c r="F46" s="213"/>
      <c r="G46" s="213"/>
      <c r="H46" s="213"/>
      <c r="I46" s="214"/>
    </row>
    <row r="47" spans="1:9" ht="7.5" customHeight="1">
      <c r="A47" s="4"/>
      <c r="B47" s="4" t="s">
        <v>137</v>
      </c>
      <c r="C47" s="4"/>
      <c r="D47" s="4"/>
      <c r="E47" s="4"/>
      <c r="F47" s="4"/>
      <c r="G47" s="4"/>
      <c r="H47" s="4"/>
      <c r="I47" s="4"/>
    </row>
    <row r="48" spans="1:9" ht="18.75" customHeight="1">
      <c r="A48" s="1" t="s">
        <v>138</v>
      </c>
      <c r="B48" s="1" t="s">
        <v>139</v>
      </c>
    </row>
    <row r="49" spans="1:15" s="3" customFormat="1" ht="18.75" customHeight="1">
      <c r="B49" s="80" t="s">
        <v>140</v>
      </c>
      <c r="C49" s="242">
        <f>'様式２ 履修者等数の実績'!S33</f>
        <v>0.253680981595092</v>
      </c>
      <c r="D49" s="242"/>
      <c r="E49" s="80" t="s">
        <v>141</v>
      </c>
      <c r="F49" s="242">
        <v>0.5</v>
      </c>
      <c r="G49" s="242"/>
      <c r="H49" s="80" t="s">
        <v>142</v>
      </c>
      <c r="I49" s="22">
        <v>0.75</v>
      </c>
      <c r="J49" s="1"/>
      <c r="M49" s="1"/>
      <c r="N49" s="23"/>
    </row>
    <row r="50" spans="1:15" s="3" customFormat="1" ht="18.75" customHeight="1">
      <c r="B50" s="81" t="s">
        <v>143</v>
      </c>
      <c r="C50" s="225">
        <v>1</v>
      </c>
      <c r="D50" s="225"/>
      <c r="E50" s="81" t="s">
        <v>144</v>
      </c>
      <c r="F50" s="225">
        <v>1</v>
      </c>
      <c r="G50" s="225"/>
      <c r="H50" s="81" t="s">
        <v>145</v>
      </c>
      <c r="I50" s="24">
        <f>'様式２ 履修者等数の実績'!E33</f>
        <v>3260</v>
      </c>
      <c r="J50" s="1"/>
      <c r="M50" s="1"/>
      <c r="N50" s="23"/>
    </row>
    <row r="51" spans="1:15" ht="18.75" customHeight="1">
      <c r="A51" s="1"/>
      <c r="B51" s="222" t="s">
        <v>146</v>
      </c>
      <c r="C51" s="223"/>
      <c r="D51" s="223"/>
      <c r="E51" s="223"/>
      <c r="F51" s="223"/>
      <c r="G51" s="223"/>
      <c r="H51" s="223"/>
      <c r="I51" s="224"/>
      <c r="N51" s="23"/>
      <c r="O51" s="3"/>
    </row>
    <row r="52" spans="1:15" ht="18.75" customHeight="1">
      <c r="A52" s="1"/>
      <c r="B52" s="243" t="s">
        <v>185</v>
      </c>
      <c r="C52" s="244"/>
      <c r="D52" s="244"/>
      <c r="E52" s="244"/>
      <c r="F52" s="244"/>
      <c r="G52" s="244"/>
      <c r="H52" s="244"/>
      <c r="I52" s="245"/>
      <c r="N52" s="23"/>
      <c r="O52" s="3"/>
    </row>
    <row r="53" spans="1:15" ht="18.75" customHeight="1">
      <c r="A53" s="1"/>
      <c r="B53" s="246"/>
      <c r="C53" s="247"/>
      <c r="D53" s="247"/>
      <c r="E53" s="247"/>
      <c r="F53" s="247"/>
      <c r="G53" s="247"/>
      <c r="H53" s="247"/>
      <c r="I53" s="248"/>
      <c r="N53" s="23"/>
      <c r="O53" s="3"/>
    </row>
    <row r="54" spans="1:15" ht="18.75" customHeight="1">
      <c r="A54" s="1"/>
      <c r="B54" s="246"/>
      <c r="C54" s="247"/>
      <c r="D54" s="247"/>
      <c r="E54" s="247"/>
      <c r="F54" s="247"/>
      <c r="G54" s="247"/>
      <c r="H54" s="247"/>
      <c r="I54" s="248"/>
    </row>
    <row r="55" spans="1:15" ht="18.75" customHeight="1">
      <c r="A55" s="1"/>
      <c r="B55" s="246"/>
      <c r="C55" s="247"/>
      <c r="D55" s="247"/>
      <c r="E55" s="247"/>
      <c r="F55" s="247"/>
      <c r="G55" s="247"/>
      <c r="H55" s="247"/>
      <c r="I55" s="248"/>
    </row>
    <row r="56" spans="1:15" ht="18.75" customHeight="1">
      <c r="A56" s="1"/>
      <c r="B56" s="246"/>
      <c r="C56" s="247"/>
      <c r="D56" s="247"/>
      <c r="E56" s="247"/>
      <c r="F56" s="247"/>
      <c r="G56" s="247"/>
      <c r="H56" s="247"/>
      <c r="I56" s="248"/>
    </row>
    <row r="57" spans="1:15" ht="18.75" customHeight="1">
      <c r="A57" s="1"/>
      <c r="B57" s="246"/>
      <c r="C57" s="247"/>
      <c r="D57" s="247"/>
      <c r="E57" s="247"/>
      <c r="F57" s="247"/>
      <c r="G57" s="247"/>
      <c r="H57" s="247"/>
      <c r="I57" s="248"/>
    </row>
    <row r="58" spans="1:15" ht="18.75" customHeight="1">
      <c r="A58" s="1"/>
      <c r="B58" s="246"/>
      <c r="C58" s="247"/>
      <c r="D58" s="247"/>
      <c r="E58" s="247"/>
      <c r="F58" s="247"/>
      <c r="G58" s="247"/>
      <c r="H58" s="247"/>
      <c r="I58" s="248"/>
    </row>
    <row r="59" spans="1:15" ht="18.75" customHeight="1">
      <c r="A59" s="1"/>
      <c r="B59" s="246"/>
      <c r="C59" s="247"/>
      <c r="D59" s="247"/>
      <c r="E59" s="247"/>
      <c r="F59" s="247"/>
      <c r="G59" s="247"/>
      <c r="H59" s="247"/>
      <c r="I59" s="248"/>
    </row>
    <row r="60" spans="1:15" ht="18.75" customHeight="1">
      <c r="A60" s="1"/>
      <c r="B60" s="246"/>
      <c r="C60" s="247"/>
      <c r="D60" s="247"/>
      <c r="E60" s="247"/>
      <c r="F60" s="247"/>
      <c r="G60" s="247"/>
      <c r="H60" s="247"/>
      <c r="I60" s="248"/>
    </row>
    <row r="61" spans="1:15" ht="18.75" customHeight="1">
      <c r="A61" s="1"/>
      <c r="B61" s="246"/>
      <c r="C61" s="247"/>
      <c r="D61" s="247"/>
      <c r="E61" s="247"/>
      <c r="F61" s="247"/>
      <c r="G61" s="247"/>
      <c r="H61" s="247"/>
      <c r="I61" s="248"/>
    </row>
    <row r="62" spans="1:15" ht="18.75" customHeight="1">
      <c r="A62" s="1"/>
      <c r="B62" s="246"/>
      <c r="C62" s="247"/>
      <c r="D62" s="247"/>
      <c r="E62" s="247"/>
      <c r="F62" s="247"/>
      <c r="G62" s="247"/>
      <c r="H62" s="247"/>
      <c r="I62" s="248"/>
    </row>
    <row r="63" spans="1:15" ht="18.75" customHeight="1">
      <c r="A63" s="1"/>
      <c r="B63" s="249"/>
      <c r="C63" s="250"/>
      <c r="D63" s="250"/>
      <c r="E63" s="250"/>
      <c r="F63" s="250"/>
      <c r="G63" s="250"/>
      <c r="H63" s="250"/>
      <c r="I63" s="251"/>
    </row>
    <row r="64" spans="1:15" ht="7.5" customHeight="1">
      <c r="A64" s="14"/>
      <c r="B64" s="14"/>
      <c r="C64" s="14"/>
      <c r="D64" s="14"/>
      <c r="E64" s="14"/>
      <c r="F64" s="14"/>
      <c r="G64" s="14"/>
      <c r="H64" s="14"/>
      <c r="I64" s="14"/>
    </row>
    <row r="65" spans="1:9" ht="18.75" customHeight="1">
      <c r="A65" s="15" t="s">
        <v>147</v>
      </c>
      <c r="B65" s="1" t="s">
        <v>148</v>
      </c>
      <c r="I65" s="15"/>
    </row>
    <row r="66" spans="1:9" ht="18.75" customHeight="1">
      <c r="A66" s="4"/>
      <c r="B66" s="226" t="s">
        <v>149</v>
      </c>
      <c r="C66" s="227"/>
      <c r="D66" s="227"/>
      <c r="E66" s="227"/>
      <c r="F66" s="227"/>
      <c r="G66" s="227"/>
      <c r="H66" s="227"/>
      <c r="I66" s="228"/>
    </row>
    <row r="67" spans="1:9" ht="18.75" customHeight="1">
      <c r="A67" s="4"/>
      <c r="B67" s="229"/>
      <c r="C67" s="230"/>
      <c r="D67" s="230"/>
      <c r="E67" s="230"/>
      <c r="F67" s="230"/>
      <c r="G67" s="230"/>
      <c r="H67" s="230"/>
      <c r="I67" s="231"/>
    </row>
    <row r="68" spans="1:9" ht="18.75" customHeight="1">
      <c r="A68" s="4"/>
      <c r="B68" s="229"/>
      <c r="C68" s="230"/>
      <c r="D68" s="230"/>
      <c r="E68" s="230"/>
      <c r="F68" s="230"/>
      <c r="G68" s="230"/>
      <c r="H68" s="230"/>
      <c r="I68" s="231"/>
    </row>
    <row r="69" spans="1:9" ht="18.75" customHeight="1">
      <c r="A69" s="4"/>
      <c r="B69" s="229"/>
      <c r="C69" s="230"/>
      <c r="D69" s="230"/>
      <c r="E69" s="230"/>
      <c r="F69" s="230"/>
      <c r="G69" s="230"/>
      <c r="H69" s="230"/>
      <c r="I69" s="231"/>
    </row>
    <row r="70" spans="1:9" ht="18.75" customHeight="1">
      <c r="A70" s="4"/>
      <c r="B70" s="229"/>
      <c r="C70" s="230"/>
      <c r="D70" s="230"/>
      <c r="E70" s="230"/>
      <c r="F70" s="230"/>
      <c r="G70" s="230"/>
      <c r="H70" s="230"/>
      <c r="I70" s="231"/>
    </row>
    <row r="71" spans="1:9" ht="18.75" customHeight="1">
      <c r="A71" s="4"/>
      <c r="B71" s="229"/>
      <c r="C71" s="230"/>
      <c r="D71" s="230"/>
      <c r="E71" s="230"/>
      <c r="F71" s="230"/>
      <c r="G71" s="230"/>
      <c r="H71" s="230"/>
      <c r="I71" s="231"/>
    </row>
    <row r="72" spans="1:9" ht="18.75" customHeight="1">
      <c r="A72" s="4"/>
      <c r="B72" s="229"/>
      <c r="C72" s="230"/>
      <c r="D72" s="230"/>
      <c r="E72" s="230"/>
      <c r="F72" s="230"/>
      <c r="G72" s="230"/>
      <c r="H72" s="230"/>
      <c r="I72" s="231"/>
    </row>
    <row r="73" spans="1:9" ht="18.75" customHeight="1">
      <c r="A73" s="4"/>
      <c r="B73" s="229"/>
      <c r="C73" s="230"/>
      <c r="D73" s="230"/>
      <c r="E73" s="230"/>
      <c r="F73" s="230"/>
      <c r="G73" s="230"/>
      <c r="H73" s="230"/>
      <c r="I73" s="231"/>
    </row>
    <row r="74" spans="1:9" ht="18.75" customHeight="1">
      <c r="A74" s="4"/>
      <c r="B74" s="229"/>
      <c r="C74" s="230"/>
      <c r="D74" s="230"/>
      <c r="E74" s="230"/>
      <c r="F74" s="230"/>
      <c r="G74" s="230"/>
      <c r="H74" s="230"/>
      <c r="I74" s="231"/>
    </row>
    <row r="75" spans="1:9" ht="18.75" customHeight="1">
      <c r="A75" s="4"/>
      <c r="B75" s="229"/>
      <c r="C75" s="230"/>
      <c r="D75" s="230"/>
      <c r="E75" s="230"/>
      <c r="F75" s="230"/>
      <c r="G75" s="230"/>
      <c r="H75" s="230"/>
      <c r="I75" s="231"/>
    </row>
    <row r="76" spans="1:9" ht="18.75" customHeight="1">
      <c r="A76" s="4"/>
      <c r="B76" s="229"/>
      <c r="C76" s="230"/>
      <c r="D76" s="230"/>
      <c r="E76" s="230"/>
      <c r="F76" s="230"/>
      <c r="G76" s="230"/>
      <c r="H76" s="230"/>
      <c r="I76" s="231"/>
    </row>
    <row r="77" spans="1:9" ht="18.75" customHeight="1">
      <c r="A77" s="4"/>
      <c r="B77" s="232"/>
      <c r="C77" s="233"/>
      <c r="D77" s="233"/>
      <c r="E77" s="233"/>
      <c r="F77" s="233"/>
      <c r="G77" s="233"/>
      <c r="H77" s="233"/>
      <c r="I77" s="234"/>
    </row>
    <row r="78" spans="1:9" ht="7.5" customHeight="1">
      <c r="A78" s="4"/>
      <c r="B78" s="4"/>
      <c r="C78" s="4"/>
      <c r="D78" s="4"/>
      <c r="E78" s="4"/>
      <c r="F78" s="4"/>
      <c r="G78" s="4"/>
      <c r="H78" s="4"/>
      <c r="I78" s="4"/>
    </row>
    <row r="79" spans="1:9" ht="18.75" customHeight="1">
      <c r="A79" s="1" t="s">
        <v>150</v>
      </c>
      <c r="B79" s="1" t="s">
        <v>151</v>
      </c>
    </row>
    <row r="80" spans="1:9" ht="18.75" customHeight="1">
      <c r="A80" s="1"/>
      <c r="B80" s="226" t="s">
        <v>152</v>
      </c>
      <c r="C80" s="227"/>
      <c r="D80" s="227"/>
      <c r="E80" s="227"/>
      <c r="F80" s="227"/>
      <c r="G80" s="227"/>
      <c r="H80" s="227"/>
      <c r="I80" s="235"/>
    </row>
    <row r="81" spans="1:9" ht="18.75" customHeight="1">
      <c r="A81" s="1"/>
      <c r="B81" s="236"/>
      <c r="C81" s="237"/>
      <c r="D81" s="237"/>
      <c r="E81" s="237"/>
      <c r="F81" s="237"/>
      <c r="G81" s="237"/>
      <c r="H81" s="237"/>
      <c r="I81" s="238"/>
    </row>
    <row r="82" spans="1:9" ht="18.75" customHeight="1">
      <c r="A82" s="1"/>
      <c r="B82" s="236"/>
      <c r="C82" s="237"/>
      <c r="D82" s="237"/>
      <c r="E82" s="237"/>
      <c r="F82" s="237"/>
      <c r="G82" s="237"/>
      <c r="H82" s="237"/>
      <c r="I82" s="238"/>
    </row>
    <row r="83" spans="1:9" ht="18.75" customHeight="1">
      <c r="A83" s="1"/>
      <c r="B83" s="236"/>
      <c r="C83" s="237"/>
      <c r="D83" s="237"/>
      <c r="E83" s="237"/>
      <c r="F83" s="237"/>
      <c r="G83" s="237"/>
      <c r="H83" s="237"/>
      <c r="I83" s="238"/>
    </row>
    <row r="84" spans="1:9" ht="18.75" customHeight="1">
      <c r="A84" s="1"/>
      <c r="B84" s="236"/>
      <c r="C84" s="237"/>
      <c r="D84" s="237"/>
      <c r="E84" s="237"/>
      <c r="F84" s="237"/>
      <c r="G84" s="237"/>
      <c r="H84" s="237"/>
      <c r="I84" s="238"/>
    </row>
    <row r="85" spans="1:9" ht="18.75" customHeight="1">
      <c r="A85" s="1"/>
      <c r="B85" s="236"/>
      <c r="C85" s="237"/>
      <c r="D85" s="237"/>
      <c r="E85" s="237"/>
      <c r="F85" s="237"/>
      <c r="G85" s="237"/>
      <c r="H85" s="237"/>
      <c r="I85" s="238"/>
    </row>
    <row r="86" spans="1:9" ht="18.75" customHeight="1">
      <c r="A86" s="1"/>
      <c r="B86" s="236"/>
      <c r="C86" s="237"/>
      <c r="D86" s="237"/>
      <c r="E86" s="237"/>
      <c r="F86" s="237"/>
      <c r="G86" s="237"/>
      <c r="H86" s="237"/>
      <c r="I86" s="238"/>
    </row>
    <row r="87" spans="1:9" ht="18.75" customHeight="1">
      <c r="A87" s="1"/>
      <c r="B87" s="236"/>
      <c r="C87" s="237"/>
      <c r="D87" s="237"/>
      <c r="E87" s="237"/>
      <c r="F87" s="237"/>
      <c r="G87" s="237"/>
      <c r="H87" s="237"/>
      <c r="I87" s="238"/>
    </row>
    <row r="88" spans="1:9" ht="18.75" customHeight="1">
      <c r="A88" s="1"/>
      <c r="B88" s="236"/>
      <c r="C88" s="237"/>
      <c r="D88" s="237"/>
      <c r="E88" s="237"/>
      <c r="F88" s="237"/>
      <c r="G88" s="237"/>
      <c r="H88" s="237"/>
      <c r="I88" s="238"/>
    </row>
    <row r="89" spans="1:9" ht="18.75" customHeight="1">
      <c r="A89" s="1"/>
      <c r="B89" s="236"/>
      <c r="C89" s="237"/>
      <c r="D89" s="237"/>
      <c r="E89" s="237"/>
      <c r="F89" s="237"/>
      <c r="G89" s="237"/>
      <c r="H89" s="237"/>
      <c r="I89" s="238"/>
    </row>
    <row r="90" spans="1:9" ht="18.75" customHeight="1">
      <c r="A90" s="4"/>
      <c r="B90" s="236"/>
      <c r="C90" s="237"/>
      <c r="D90" s="237"/>
      <c r="E90" s="237"/>
      <c r="F90" s="237"/>
      <c r="G90" s="237"/>
      <c r="H90" s="237"/>
      <c r="I90" s="238"/>
    </row>
    <row r="91" spans="1:9" ht="18.75" customHeight="1">
      <c r="A91" s="4"/>
      <c r="B91" s="239"/>
      <c r="C91" s="240"/>
      <c r="D91" s="240"/>
      <c r="E91" s="240"/>
      <c r="F91" s="240"/>
      <c r="G91" s="240"/>
      <c r="H91" s="240"/>
      <c r="I91" s="241"/>
    </row>
    <row r="92" spans="1:9" ht="7.5" customHeight="1">
      <c r="A92" s="4"/>
      <c r="B92" s="4"/>
      <c r="C92" s="4"/>
      <c r="D92" s="4"/>
      <c r="E92" s="4"/>
      <c r="F92" s="4"/>
      <c r="G92" s="4"/>
      <c r="H92" s="4"/>
      <c r="I92" s="4"/>
    </row>
    <row r="93" spans="1:9" ht="18.75" customHeight="1">
      <c r="A93" s="1" t="s">
        <v>153</v>
      </c>
      <c r="B93" s="1" t="s">
        <v>154</v>
      </c>
    </row>
    <row r="94" spans="1:9" ht="18.75" customHeight="1">
      <c r="A94" s="1"/>
      <c r="B94" s="204" t="s">
        <v>152</v>
      </c>
      <c r="C94" s="205"/>
      <c r="D94" s="205"/>
      <c r="E94" s="205"/>
      <c r="F94" s="205"/>
      <c r="G94" s="205"/>
      <c r="H94" s="205"/>
      <c r="I94" s="206"/>
    </row>
    <row r="95" spans="1:9" ht="18.75" customHeight="1">
      <c r="A95" s="1"/>
      <c r="B95" s="210"/>
      <c r="C95" s="211"/>
      <c r="D95" s="211"/>
      <c r="E95" s="211"/>
      <c r="F95" s="211"/>
      <c r="G95" s="211"/>
      <c r="H95" s="211"/>
      <c r="I95" s="209"/>
    </row>
    <row r="96" spans="1:9" ht="18.75" customHeight="1">
      <c r="A96" s="1"/>
      <c r="B96" s="210"/>
      <c r="C96" s="211"/>
      <c r="D96" s="211"/>
      <c r="E96" s="211"/>
      <c r="F96" s="211"/>
      <c r="G96" s="211"/>
      <c r="H96" s="211"/>
      <c r="I96" s="209"/>
    </row>
    <row r="97" spans="1:9" ht="18.75" customHeight="1">
      <c r="A97" s="1"/>
      <c r="B97" s="210"/>
      <c r="C97" s="211"/>
      <c r="D97" s="211"/>
      <c r="E97" s="211"/>
      <c r="F97" s="211"/>
      <c r="G97" s="211"/>
      <c r="H97" s="211"/>
      <c r="I97" s="209"/>
    </row>
    <row r="98" spans="1:9" ht="18.75" customHeight="1">
      <c r="A98" s="1"/>
      <c r="B98" s="210"/>
      <c r="C98" s="211"/>
      <c r="D98" s="211"/>
      <c r="E98" s="211"/>
      <c r="F98" s="211"/>
      <c r="G98" s="211"/>
      <c r="H98" s="211"/>
      <c r="I98" s="209"/>
    </row>
    <row r="99" spans="1:9" ht="18.75" customHeight="1">
      <c r="A99" s="1"/>
      <c r="B99" s="210"/>
      <c r="C99" s="211"/>
      <c r="D99" s="211"/>
      <c r="E99" s="211"/>
      <c r="F99" s="211"/>
      <c r="G99" s="211"/>
      <c r="H99" s="211"/>
      <c r="I99" s="209"/>
    </row>
    <row r="100" spans="1:9" ht="18.75" customHeight="1">
      <c r="A100" s="1"/>
      <c r="B100" s="210"/>
      <c r="C100" s="211"/>
      <c r="D100" s="211"/>
      <c r="E100" s="211"/>
      <c r="F100" s="211"/>
      <c r="G100" s="211"/>
      <c r="H100" s="211"/>
      <c r="I100" s="209"/>
    </row>
    <row r="101" spans="1:9" ht="18.75" customHeight="1">
      <c r="A101" s="1"/>
      <c r="B101" s="210"/>
      <c r="C101" s="211"/>
      <c r="D101" s="211"/>
      <c r="E101" s="211"/>
      <c r="F101" s="211"/>
      <c r="G101" s="211"/>
      <c r="H101" s="211"/>
      <c r="I101" s="209"/>
    </row>
    <row r="102" spans="1:9" ht="18.75" customHeight="1">
      <c r="A102" s="1"/>
      <c r="B102" s="210"/>
      <c r="C102" s="211"/>
      <c r="D102" s="211"/>
      <c r="E102" s="211"/>
      <c r="F102" s="211"/>
      <c r="G102" s="211"/>
      <c r="H102" s="211"/>
      <c r="I102" s="209"/>
    </row>
    <row r="103" spans="1:9" ht="18.75" customHeight="1">
      <c r="A103" s="1"/>
      <c r="B103" s="210"/>
      <c r="C103" s="211"/>
      <c r="D103" s="211"/>
      <c r="E103" s="211"/>
      <c r="F103" s="211"/>
      <c r="G103" s="211"/>
      <c r="H103" s="211"/>
      <c r="I103" s="209"/>
    </row>
    <row r="104" spans="1:9" ht="18.75" customHeight="1">
      <c r="A104" s="1"/>
      <c r="B104" s="210"/>
      <c r="C104" s="211"/>
      <c r="D104" s="211"/>
      <c r="E104" s="211"/>
      <c r="F104" s="211"/>
      <c r="G104" s="211"/>
      <c r="H104" s="211"/>
      <c r="I104" s="209"/>
    </row>
    <row r="105" spans="1:9" ht="18.75" customHeight="1">
      <c r="A105" s="4"/>
      <c r="B105" s="212"/>
      <c r="C105" s="213"/>
      <c r="D105" s="213"/>
      <c r="E105" s="213"/>
      <c r="F105" s="213"/>
      <c r="G105" s="213"/>
      <c r="H105" s="213"/>
      <c r="I105" s="214"/>
    </row>
    <row r="106" spans="1:9" ht="7.5" customHeight="1">
      <c r="A106" s="4"/>
      <c r="B106" s="4"/>
      <c r="C106" s="4"/>
      <c r="D106" s="4"/>
      <c r="E106" s="4"/>
      <c r="F106" s="4"/>
      <c r="G106" s="4"/>
      <c r="H106" s="4"/>
      <c r="I106" s="4"/>
    </row>
    <row r="107" spans="1:9" ht="18.75" customHeight="1">
      <c r="A107" s="1" t="s">
        <v>155</v>
      </c>
      <c r="B107" s="221" t="s">
        <v>156</v>
      </c>
      <c r="C107" s="221"/>
      <c r="D107" s="221"/>
      <c r="E107" s="221"/>
      <c r="F107" s="221"/>
      <c r="G107" s="221"/>
      <c r="H107" s="221"/>
      <c r="I107" s="221"/>
    </row>
    <row r="108" spans="1:9" ht="18.75" customHeight="1">
      <c r="A108" s="4"/>
      <c r="B108" s="204" t="s">
        <v>157</v>
      </c>
      <c r="C108" s="205"/>
      <c r="D108" s="205"/>
      <c r="E108" s="205"/>
      <c r="F108" s="205"/>
      <c r="G108" s="205"/>
      <c r="H108" s="205"/>
      <c r="I108" s="206"/>
    </row>
    <row r="109" spans="1:9" ht="18.75" customHeight="1">
      <c r="A109" s="4"/>
      <c r="B109" s="210"/>
      <c r="C109" s="211"/>
      <c r="D109" s="211"/>
      <c r="E109" s="211"/>
      <c r="F109" s="211"/>
      <c r="G109" s="211"/>
      <c r="H109" s="211"/>
      <c r="I109" s="209"/>
    </row>
    <row r="110" spans="1:9" ht="18.75" customHeight="1">
      <c r="A110" s="4"/>
      <c r="B110" s="210"/>
      <c r="C110" s="211"/>
      <c r="D110" s="211"/>
      <c r="E110" s="211"/>
      <c r="F110" s="211"/>
      <c r="G110" s="211"/>
      <c r="H110" s="211"/>
      <c r="I110" s="209"/>
    </row>
    <row r="111" spans="1:9" ht="18.75" customHeight="1">
      <c r="A111" s="4"/>
      <c r="B111" s="210"/>
      <c r="C111" s="211"/>
      <c r="D111" s="211"/>
      <c r="E111" s="211"/>
      <c r="F111" s="211"/>
      <c r="G111" s="211"/>
      <c r="H111" s="211"/>
      <c r="I111" s="209"/>
    </row>
    <row r="112" spans="1:9" ht="18.75" customHeight="1">
      <c r="A112" s="4"/>
      <c r="B112" s="210"/>
      <c r="C112" s="211"/>
      <c r="D112" s="211"/>
      <c r="E112" s="211"/>
      <c r="F112" s="211"/>
      <c r="G112" s="211"/>
      <c r="H112" s="211"/>
      <c r="I112" s="209"/>
    </row>
    <row r="113" spans="1:9" ht="18.75" customHeight="1">
      <c r="A113" s="4"/>
      <c r="B113" s="210"/>
      <c r="C113" s="211"/>
      <c r="D113" s="211"/>
      <c r="E113" s="211"/>
      <c r="F113" s="211"/>
      <c r="G113" s="211"/>
      <c r="H113" s="211"/>
      <c r="I113" s="209"/>
    </row>
    <row r="114" spans="1:9" ht="18.75" customHeight="1">
      <c r="A114" s="4"/>
      <c r="B114" s="210"/>
      <c r="C114" s="211"/>
      <c r="D114" s="211"/>
      <c r="E114" s="211"/>
      <c r="F114" s="211"/>
      <c r="G114" s="211"/>
      <c r="H114" s="211"/>
      <c r="I114" s="209"/>
    </row>
    <row r="115" spans="1:9" ht="18.75" customHeight="1">
      <c r="A115" s="4"/>
      <c r="B115" s="210"/>
      <c r="C115" s="211"/>
      <c r="D115" s="211"/>
      <c r="E115" s="211"/>
      <c r="F115" s="211"/>
      <c r="G115" s="211"/>
      <c r="H115" s="211"/>
      <c r="I115" s="209"/>
    </row>
    <row r="116" spans="1:9" ht="18.75" customHeight="1">
      <c r="A116" s="4"/>
      <c r="B116" s="210"/>
      <c r="C116" s="211"/>
      <c r="D116" s="211"/>
      <c r="E116" s="211"/>
      <c r="F116" s="211"/>
      <c r="G116" s="211"/>
      <c r="H116" s="211"/>
      <c r="I116" s="209"/>
    </row>
    <row r="117" spans="1:9" ht="18.75" customHeight="1">
      <c r="A117" s="4"/>
      <c r="B117" s="210"/>
      <c r="C117" s="211"/>
      <c r="D117" s="211"/>
      <c r="E117" s="211"/>
      <c r="F117" s="211"/>
      <c r="G117" s="211"/>
      <c r="H117" s="211"/>
      <c r="I117" s="209"/>
    </row>
    <row r="118" spans="1:9" ht="18.75" customHeight="1">
      <c r="A118" s="4"/>
      <c r="B118" s="210"/>
      <c r="C118" s="211"/>
      <c r="D118" s="211"/>
      <c r="E118" s="211"/>
      <c r="F118" s="211"/>
      <c r="G118" s="211"/>
      <c r="H118" s="211"/>
      <c r="I118" s="209"/>
    </row>
    <row r="119" spans="1:9" ht="18.75" customHeight="1">
      <c r="A119" s="4"/>
      <c r="B119" s="212"/>
      <c r="C119" s="213"/>
      <c r="D119" s="213"/>
      <c r="E119" s="213"/>
      <c r="F119" s="213"/>
      <c r="G119" s="213"/>
      <c r="H119" s="213"/>
      <c r="I119" s="214"/>
    </row>
    <row r="120" spans="1:9" ht="7.5" customHeight="1">
      <c r="A120" s="4"/>
      <c r="B120" s="25"/>
      <c r="C120" s="25"/>
      <c r="D120" s="25"/>
      <c r="E120" s="25"/>
      <c r="F120" s="25"/>
      <c r="G120" s="25"/>
      <c r="H120" s="25"/>
      <c r="I120" s="25"/>
    </row>
    <row r="121" spans="1:9" ht="18.75" customHeight="1">
      <c r="A121" s="50"/>
      <c r="B121" s="200"/>
      <c r="C121" s="200"/>
      <c r="D121" s="200"/>
      <c r="E121" s="200"/>
      <c r="F121" s="200"/>
      <c r="G121" s="200"/>
      <c r="H121" s="200"/>
      <c r="I121" s="200"/>
    </row>
    <row r="122" spans="1:9" ht="18.75" customHeight="1">
      <c r="A122" s="50"/>
      <c r="B122" s="200"/>
      <c r="C122" s="200"/>
      <c r="D122" s="200"/>
      <c r="E122" s="200"/>
      <c r="F122" s="200"/>
      <c r="G122" s="200"/>
      <c r="H122" s="200"/>
      <c r="I122" s="200"/>
    </row>
    <row r="123" spans="1:9" ht="18.75" customHeight="1">
      <c r="A123" s="4"/>
      <c r="B123" s="51"/>
      <c r="C123" s="51"/>
      <c r="D123" s="51"/>
      <c r="E123" s="51"/>
      <c r="F123" s="51"/>
      <c r="G123" s="51"/>
      <c r="H123" s="51"/>
      <c r="I123" s="52"/>
    </row>
    <row r="124" spans="1:9" ht="18.75" customHeight="1">
      <c r="A124" s="4"/>
      <c r="B124" s="52"/>
      <c r="C124" s="52"/>
      <c r="D124" s="52"/>
      <c r="E124" s="52"/>
      <c r="F124" s="52"/>
      <c r="G124" s="52"/>
      <c r="H124" s="52"/>
      <c r="I124" s="52"/>
    </row>
    <row r="125" spans="1:9" ht="18.75" customHeight="1">
      <c r="A125" s="4"/>
      <c r="B125" s="52"/>
      <c r="C125" s="52"/>
      <c r="D125" s="52"/>
      <c r="E125" s="52"/>
      <c r="F125" s="52"/>
      <c r="G125" s="52"/>
      <c r="H125" s="52"/>
      <c r="I125" s="52"/>
    </row>
    <row r="126" spans="1:9" ht="18.75" customHeight="1">
      <c r="A126" s="4"/>
      <c r="B126" s="52"/>
      <c r="C126" s="52"/>
      <c r="D126" s="52"/>
      <c r="E126" s="52"/>
      <c r="F126" s="52"/>
      <c r="G126" s="52"/>
      <c r="H126" s="52"/>
      <c r="I126" s="52"/>
    </row>
    <row r="127" spans="1:9" ht="18.75" customHeight="1">
      <c r="A127" s="4"/>
      <c r="B127" s="52"/>
      <c r="C127" s="52"/>
      <c r="D127" s="52"/>
      <c r="E127" s="52"/>
      <c r="F127" s="52"/>
      <c r="G127" s="52"/>
      <c r="H127" s="52"/>
      <c r="I127" s="52"/>
    </row>
    <row r="128" spans="1:9" ht="18.75" customHeight="1">
      <c r="A128" s="4"/>
      <c r="B128" s="52"/>
      <c r="C128" s="52"/>
      <c r="D128" s="52"/>
      <c r="E128" s="52"/>
      <c r="F128" s="52"/>
      <c r="G128" s="52"/>
      <c r="H128" s="52"/>
      <c r="I128" s="52"/>
    </row>
    <row r="129" spans="1:9" ht="18.75" customHeight="1">
      <c r="A129" s="4"/>
      <c r="B129" s="52"/>
      <c r="C129" s="52"/>
      <c r="D129" s="52"/>
      <c r="E129" s="52"/>
      <c r="F129" s="52"/>
      <c r="G129" s="52"/>
      <c r="H129" s="52"/>
      <c r="I129" s="52"/>
    </row>
    <row r="130" spans="1:9" ht="18.75" customHeight="1">
      <c r="A130" s="4"/>
      <c r="B130" s="52"/>
      <c r="C130" s="52"/>
      <c r="D130" s="52"/>
      <c r="E130" s="52"/>
      <c r="F130" s="52"/>
      <c r="G130" s="52"/>
      <c r="H130" s="52"/>
      <c r="I130" s="52"/>
    </row>
    <row r="131" spans="1:9" ht="18.75" customHeight="1">
      <c r="A131" s="4"/>
      <c r="B131" s="52"/>
      <c r="C131" s="52"/>
      <c r="D131" s="52"/>
      <c r="E131" s="52"/>
      <c r="F131" s="52"/>
      <c r="G131" s="52"/>
      <c r="H131" s="52"/>
      <c r="I131" s="52"/>
    </row>
    <row r="132" spans="1:9" ht="18.75" customHeight="1">
      <c r="A132" s="4"/>
      <c r="B132" s="52"/>
      <c r="C132" s="52"/>
      <c r="D132" s="52"/>
      <c r="E132" s="52"/>
      <c r="F132" s="52"/>
      <c r="G132" s="52"/>
      <c r="H132" s="52"/>
      <c r="I132" s="52"/>
    </row>
    <row r="133" spans="1:9" ht="14">
      <c r="A133" s="4"/>
      <c r="B133" s="52"/>
      <c r="C133" s="52"/>
      <c r="D133" s="52"/>
      <c r="E133" s="52"/>
      <c r="F133" s="52"/>
      <c r="G133" s="52"/>
      <c r="H133" s="52"/>
      <c r="I133" s="52"/>
    </row>
    <row r="134" spans="1:9" ht="7.5" customHeight="1">
      <c r="A134" s="4"/>
      <c r="B134" s="52"/>
      <c r="C134" s="52"/>
      <c r="D134" s="52"/>
      <c r="E134" s="52"/>
      <c r="F134" s="52"/>
      <c r="G134" s="52"/>
      <c r="H134" s="52"/>
      <c r="I134" s="52"/>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1"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9" zoomScale="120" zoomScaleNormal="100" zoomScaleSheetLayoutView="120" workbookViewId="0">
      <selection activeCell="E16" sqref="E16:I16"/>
    </sheetView>
  </sheetViews>
  <sheetFormatPr defaultColWidth="11.26953125" defaultRowHeight="22.5" customHeight="1"/>
  <cols>
    <col min="1" max="3" width="2.7265625" style="1" customWidth="1"/>
    <col min="4" max="4" width="22.26953125" style="1" customWidth="1"/>
    <col min="5" max="5" width="30.7265625" style="1" customWidth="1"/>
    <col min="6" max="7" width="7.7265625" style="1" customWidth="1"/>
    <col min="8" max="9" width="30.7265625" style="1" customWidth="1"/>
    <col min="10" max="10" width="4.1796875" style="1" customWidth="1"/>
    <col min="11" max="16384" width="11.26953125" style="1"/>
  </cols>
  <sheetData>
    <row r="1" spans="1:9" ht="18.75" customHeight="1">
      <c r="A1" s="1" t="s">
        <v>158</v>
      </c>
      <c r="I1" s="18" t="s">
        <v>159</v>
      </c>
    </row>
    <row r="2" spans="1:9" ht="18.75" customHeight="1">
      <c r="H2" s="18" t="s">
        <v>1</v>
      </c>
      <c r="I2" s="17" t="str">
        <f>'様式１　プログラムを構成する授業科目'!C2</f>
        <v>大同大学</v>
      </c>
    </row>
    <row r="3" spans="1:9" ht="18.75" customHeight="1">
      <c r="A3" s="127" t="s">
        <v>160</v>
      </c>
      <c r="B3" s="127"/>
      <c r="C3" s="127"/>
      <c r="D3" s="127"/>
      <c r="E3" s="127"/>
      <c r="F3" s="127"/>
      <c r="G3" s="127"/>
      <c r="H3" s="127"/>
      <c r="I3" s="127"/>
    </row>
    <row r="4" spans="1:9" ht="18.75" customHeight="1">
      <c r="A4" s="5"/>
      <c r="B4" s="5"/>
      <c r="C4" s="5"/>
      <c r="D4" s="5"/>
      <c r="E4" s="5"/>
      <c r="F4" s="5"/>
      <c r="G4" s="5"/>
      <c r="H4" s="5"/>
      <c r="I4" s="5"/>
    </row>
    <row r="5" spans="1:9" ht="18.75" customHeight="1">
      <c r="A5" s="1" t="s">
        <v>113</v>
      </c>
      <c r="B5" s="10" t="s">
        <v>161</v>
      </c>
      <c r="C5" s="5"/>
      <c r="D5" s="5"/>
      <c r="E5" s="5"/>
      <c r="F5" s="5"/>
      <c r="G5" s="5"/>
      <c r="H5" s="5"/>
      <c r="I5" s="5"/>
    </row>
    <row r="6" spans="1:9" ht="26.25" customHeight="1">
      <c r="A6" s="5"/>
      <c r="B6" s="215" t="s">
        <v>184</v>
      </c>
      <c r="C6" s="259"/>
      <c r="D6" s="259"/>
      <c r="E6" s="259"/>
      <c r="F6" s="259"/>
      <c r="G6" s="259"/>
      <c r="H6" s="260"/>
      <c r="I6" s="3"/>
    </row>
    <row r="7" spans="1:9" ht="9" customHeight="1">
      <c r="A7" s="5"/>
      <c r="B7" s="10"/>
      <c r="C7" s="10"/>
      <c r="D7" s="10"/>
      <c r="E7" s="10"/>
      <c r="F7" s="10"/>
      <c r="G7" s="10"/>
      <c r="H7" s="10"/>
      <c r="I7" s="3"/>
    </row>
    <row r="8" spans="1:9" ht="18.75" customHeight="1">
      <c r="A8" s="5"/>
      <c r="B8" s="3"/>
      <c r="C8" s="3"/>
      <c r="D8" s="18" t="s">
        <v>121</v>
      </c>
      <c r="E8" s="93" t="s">
        <v>122</v>
      </c>
      <c r="F8" s="3"/>
      <c r="G8" s="18" t="s">
        <v>123</v>
      </c>
      <c r="H8" s="93" t="s">
        <v>127</v>
      </c>
      <c r="I8" s="3"/>
    </row>
    <row r="9" spans="1:9" ht="7.5" customHeight="1">
      <c r="A9" s="5"/>
      <c r="B9" s="5"/>
      <c r="C9" s="5"/>
      <c r="D9" s="5"/>
      <c r="E9" s="5"/>
      <c r="F9" s="5"/>
      <c r="G9" s="5"/>
      <c r="H9" s="5"/>
      <c r="I9" s="5"/>
    </row>
    <row r="10" spans="1:9" ht="18.75" customHeight="1">
      <c r="A10" s="1" t="s">
        <v>117</v>
      </c>
      <c r="B10" s="1" t="s">
        <v>162</v>
      </c>
      <c r="C10" s="4"/>
      <c r="D10" s="4"/>
      <c r="E10" s="4"/>
      <c r="F10" s="4"/>
      <c r="G10" s="4"/>
      <c r="H10" s="4"/>
      <c r="I10" s="4"/>
    </row>
    <row r="11" spans="1:9" ht="18.75" customHeight="1">
      <c r="B11" s="111" t="s">
        <v>163</v>
      </c>
      <c r="C11" s="112"/>
      <c r="D11" s="113"/>
      <c r="E11" s="112" t="s">
        <v>164</v>
      </c>
      <c r="F11" s="112"/>
      <c r="G11" s="112"/>
      <c r="H11" s="112"/>
      <c r="I11" s="113"/>
    </row>
    <row r="12" spans="1:9" ht="26.25" customHeight="1">
      <c r="B12" s="26" t="s">
        <v>165</v>
      </c>
      <c r="C12" s="33"/>
      <c r="D12" s="27"/>
      <c r="E12" s="34"/>
      <c r="F12" s="34"/>
      <c r="G12" s="34"/>
      <c r="H12" s="34"/>
      <c r="I12" s="27"/>
    </row>
    <row r="13" spans="1:9" ht="48.5" customHeight="1">
      <c r="B13" s="28"/>
      <c r="C13" s="257" t="s">
        <v>166</v>
      </c>
      <c r="D13" s="258"/>
      <c r="E13" s="254" t="s">
        <v>167</v>
      </c>
      <c r="F13" s="255"/>
      <c r="G13" s="255"/>
      <c r="H13" s="255"/>
      <c r="I13" s="256"/>
    </row>
    <row r="14" spans="1:9" ht="60" customHeight="1">
      <c r="B14" s="28"/>
      <c r="C14" s="252" t="s">
        <v>168</v>
      </c>
      <c r="D14" s="253"/>
      <c r="E14" s="254" t="s">
        <v>169</v>
      </c>
      <c r="F14" s="255"/>
      <c r="G14" s="255"/>
      <c r="H14" s="255"/>
      <c r="I14" s="256"/>
    </row>
    <row r="15" spans="1:9" ht="125.5" customHeight="1">
      <c r="B15" s="28"/>
      <c r="C15" s="257" t="s">
        <v>170</v>
      </c>
      <c r="D15" s="258"/>
      <c r="E15" s="254" t="s">
        <v>171</v>
      </c>
      <c r="F15" s="255"/>
      <c r="G15" s="255"/>
      <c r="H15" s="255"/>
      <c r="I15" s="256"/>
    </row>
    <row r="16" spans="1:9" ht="71.5" customHeight="1">
      <c r="B16" s="28"/>
      <c r="C16" s="257" t="s">
        <v>172</v>
      </c>
      <c r="D16" s="258"/>
      <c r="E16" s="254" t="s">
        <v>173</v>
      </c>
      <c r="F16" s="255"/>
      <c r="G16" s="255"/>
      <c r="H16" s="255"/>
      <c r="I16" s="256"/>
    </row>
    <row r="17" spans="2:9" ht="95" customHeight="1">
      <c r="B17" s="29"/>
      <c r="C17" s="261" t="s">
        <v>174</v>
      </c>
      <c r="D17" s="262"/>
      <c r="E17" s="263" t="s">
        <v>175</v>
      </c>
      <c r="F17" s="264"/>
      <c r="G17" s="264"/>
      <c r="H17" s="264"/>
      <c r="I17" s="265"/>
    </row>
    <row r="18" spans="2:9" ht="24" customHeight="1">
      <c r="B18" s="26" t="s">
        <v>176</v>
      </c>
      <c r="C18" s="30"/>
      <c r="D18" s="31"/>
      <c r="E18" s="32"/>
      <c r="F18" s="32"/>
      <c r="G18" s="32"/>
      <c r="H18" s="32"/>
      <c r="I18" s="35"/>
    </row>
    <row r="19" spans="2:9" ht="79" customHeight="1">
      <c r="B19" s="28"/>
      <c r="C19" s="257" t="s">
        <v>177</v>
      </c>
      <c r="D19" s="258"/>
      <c r="E19" s="255" t="s">
        <v>175</v>
      </c>
      <c r="F19" s="255"/>
      <c r="G19" s="255"/>
      <c r="H19" s="255"/>
      <c r="I19" s="256"/>
    </row>
    <row r="20" spans="2:9" ht="82" customHeight="1">
      <c r="B20" s="29"/>
      <c r="C20" s="261" t="s">
        <v>178</v>
      </c>
      <c r="D20" s="262"/>
      <c r="E20" s="264" t="s">
        <v>179</v>
      </c>
      <c r="F20" s="264"/>
      <c r="G20" s="264"/>
      <c r="H20" s="264"/>
      <c r="I20" s="265"/>
    </row>
    <row r="21" spans="2:9" ht="91.5" customHeight="1">
      <c r="B21" s="271" t="s">
        <v>180</v>
      </c>
      <c r="C21" s="272"/>
      <c r="D21" s="273"/>
      <c r="E21" s="274" t="s">
        <v>181</v>
      </c>
      <c r="F21" s="274"/>
      <c r="G21" s="274"/>
      <c r="H21" s="274"/>
      <c r="I21" s="275"/>
    </row>
    <row r="22" spans="2:9" ht="201" customHeight="1">
      <c r="B22" s="266" t="s">
        <v>182</v>
      </c>
      <c r="C22" s="267"/>
      <c r="D22" s="268"/>
      <c r="E22" s="269" t="s">
        <v>183</v>
      </c>
      <c r="F22" s="269"/>
      <c r="G22" s="269"/>
      <c r="H22" s="269"/>
      <c r="I22" s="270"/>
    </row>
    <row r="23" spans="2:9" ht="22.5" customHeight="1">
      <c r="B23" s="4"/>
      <c r="C23" s="4"/>
      <c r="D23" s="4"/>
      <c r="E23" s="4"/>
      <c r="F23" s="4"/>
      <c r="G23" s="4"/>
      <c r="H23" s="4"/>
      <c r="I23" s="4"/>
    </row>
    <row r="24" spans="2:9" ht="22.5" customHeight="1">
      <c r="B24" s="4"/>
      <c r="C24" s="4"/>
      <c r="D24" s="4"/>
      <c r="E24" s="4"/>
      <c r="F24" s="4"/>
      <c r="G24" s="4"/>
      <c r="H24" s="4"/>
      <c r="I24" s="4"/>
    </row>
    <row r="25" spans="2:9" ht="22.5" customHeight="1">
      <c r="B25" s="4"/>
      <c r="C25" s="4"/>
      <c r="D25" s="4"/>
      <c r="E25" s="4"/>
      <c r="F25" s="4"/>
      <c r="G25" s="4"/>
      <c r="H25" s="4"/>
      <c r="I25" s="4"/>
    </row>
    <row r="26" spans="2:9" ht="22.5" customHeight="1">
      <c r="B26" s="4"/>
      <c r="C26" s="4"/>
      <c r="D26" s="4"/>
      <c r="E26" s="4"/>
      <c r="F26" s="4"/>
      <c r="G26" s="4"/>
      <c r="H26" s="4"/>
      <c r="I26" s="4"/>
    </row>
    <row r="27" spans="2:9" ht="22.5" customHeight="1">
      <c r="B27" s="4"/>
      <c r="C27" s="4"/>
      <c r="D27" s="4"/>
      <c r="E27" s="4"/>
      <c r="F27" s="4"/>
      <c r="G27" s="4"/>
      <c r="H27" s="4"/>
      <c r="I27" s="4"/>
    </row>
    <row r="28" spans="2:9" ht="22.5" customHeight="1">
      <c r="B28" s="14"/>
      <c r="C28" s="14"/>
      <c r="D28" s="14"/>
      <c r="E28" s="14"/>
      <c r="F28" s="14"/>
      <c r="G28" s="14"/>
      <c r="H28" s="14"/>
      <c r="I28" s="14"/>
    </row>
    <row r="29" spans="2:9" ht="22.5" customHeight="1">
      <c r="B29" s="14"/>
      <c r="C29" s="14"/>
      <c r="D29" s="14"/>
      <c r="E29" s="14"/>
      <c r="F29" s="14"/>
      <c r="G29" s="14"/>
      <c r="H29" s="14"/>
      <c r="I29" s="14"/>
    </row>
    <row r="30" spans="2:9" ht="22.5" customHeight="1">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様式１　プログラムを構成する授業科目</vt:lpstr>
      <vt:lpstr>様式２ 履修者等数の実績</vt:lpstr>
      <vt:lpstr>様式３ 教育の質・履修者数を向上させるための体制・計画</vt:lpstr>
      <vt:lpstr>様式４　自己点検・評価</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都築  基</cp:lastModifiedBy>
  <cp:revision/>
  <cp:lastPrinted>2025-04-23T06:14:54Z</cp:lastPrinted>
  <dcterms:created xsi:type="dcterms:W3CDTF">2011-06-14T05:32:50Z</dcterms:created>
  <dcterms:modified xsi:type="dcterms:W3CDTF">2025-04-23T06:15:12Z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