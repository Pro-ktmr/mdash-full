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4"/>
  <workbookPr defaultThemeVersion="124226"/>
  <mc:AlternateContent xmlns:mc="http://schemas.openxmlformats.org/markup-compatibility/2006">
    <mc:Choice Requires="x15">
      <x15ac:absPath xmlns:x15ac="http://schemas.microsoft.com/office/spreadsheetml/2010/11/ac" url="\\kym-ls220dn2\chief\数理データサイエンス\R7申請様式\提出資料\7月再提出時資料\01_関西医科大学_リテラシー\"/>
    </mc:Choice>
  </mc:AlternateContent>
  <xr:revisionPtr revIDLastSave="0" documentId="13_ncr:1_{C4CB2904-C543-4E78-979E-0F5D3EE6CA81}" xr6:coauthVersionLast="47" xr6:coauthVersionMax="47" xr10:uidLastSave="{00000000-0000-0000-0000-000000000000}"/>
  <bookViews>
    <workbookView xWindow="-108" yWindow="-108" windowWidth="23256" windowHeight="12456" tabRatio="799" firstSheet="2" activeTab="5" xr2:uid="{00000000-000D-0000-FFFF-FFFF00000000}"/>
  </bookViews>
  <sheets>
    <sheet name="様式1-1　プログラムを構成する授業科目（医）" sheetId="39" r:id="rId1"/>
    <sheet name="様式1-2　プログラムを構成する授業科目 (看)" sheetId="44" r:id="rId2"/>
    <sheet name="様式１-3　プログラムを構成する授業科目 (リ)" sheetId="43" r:id="rId3"/>
    <sheet name="様式２ 履修者等数の実績" sheetId="40" r:id="rId4"/>
    <sheet name="様式３ 教育の質・履修者数を向上させるための体制・計画" sheetId="41" r:id="rId5"/>
    <sheet name="様式４　自己点検・評価" sheetId="42" r:id="rId6"/>
  </sheets>
  <definedNames>
    <definedName name="_xlnm._FilterDatabase" localSheetId="0" hidden="1">'様式1-1　プログラムを構成する授業科目（医）'!$X$16:$X$18</definedName>
    <definedName name="_xlnm._FilterDatabase" localSheetId="1" hidden="1">'様式1-2　プログラムを構成する授業科目 (看)'!$X$16:$X$18</definedName>
    <definedName name="_xlnm._FilterDatabase" localSheetId="2" hidden="1">'様式１-3　プログラムを構成する授業科目 (リ)'!$X$16:$X$18</definedName>
    <definedName name="_xlnm._FilterDatabase" localSheetId="3" hidden="1">'様式２ 履修者等数の実績'!#REF!</definedName>
    <definedName name="_xlnm.Print_Area" localSheetId="0">'様式1-1　プログラムを構成する授業科目（医）'!$A$1:$U$105</definedName>
    <definedName name="_xlnm.Print_Area" localSheetId="1">'様式1-2　プログラムを構成する授業科目 (看)'!$A$1:$U$105</definedName>
    <definedName name="_xlnm.Print_Area" localSheetId="2">'様式１-3　プログラムを構成する授業科目 (リ)'!$A$1:$U$105</definedName>
    <definedName name="_xlnm.Print_Area" localSheetId="3">'様式２ 履修者等数の実績'!$A$1:$S$33</definedName>
    <definedName name="_xlnm.Print_Area" localSheetId="4">'様式３ 教育の質・履修者数を向上させるための体制・計画'!$A$1:$I$119</definedName>
    <definedName name="_xlnm.Print_Area" localSheetId="5">'様式４　自己点検・評価'!$A$1:$I$22</definedName>
    <definedName name="_xlnm.Print_Titles" localSheetId="5">'様式４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<sst xmlns="http://schemas.openxmlformats.org/spreadsheetml/2006/main" count="668" uniqueCount="234">
  <si>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</si>
  <si>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</si>
  <si>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</si>
  <si>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</si>
  <si>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</si>
  <si>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</si>
  <si>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</si>
  <si>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</si>
  <si>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</si>
  <si>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</si>
  <si>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</si>
  <si>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</si>
  <si>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</si>
  <si>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</si>
  <si>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</si>
  <si>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</si>
  <si>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</si>
  <si>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</si>
  <si>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</si>
  <si>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</si>
  <si>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</si>
  <si>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</si>
  <si>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</si>
  <si>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</si>
  <si>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</si>
  <si>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</si>
  <si>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</si>
  <si>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</si>
  <si>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</si>
  <si>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</si>
  <si>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</si>
  <si>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</si>
  <si>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</si>
  <si>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</si>
  <si>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</si>
  <si>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</si>
  <si>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</si>
  <si>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</si>
  <si>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</si>
  <si>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</si>
  <si>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</si>
  <si>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</si>
  <si>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</si>
  <si>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</si>
  <si>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</si>
  <si>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</si>
  <si>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</si>
  <si>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</si>
  <si>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</si>
  <si>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</si>
  <si>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</si>
  <si>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</si>
  <si>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</si>
  <si>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</si>
  <si>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</si>
  <si>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</si>
  <si>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</si>
  <si>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</si>
  <si>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</si>
  <si>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</si>
  <si>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</si>
  <si>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</si>
  <si>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</si>
  <si>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</si>
  <si>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</si>
  <si>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</si>
  <si>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</si>
  <si>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</si>
  <si>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</si>
  <si>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</si>
  <si>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</si>
  <si>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</si>
  <si>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</si>
  <si>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</si>
  <si>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</si>
  <si>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</si>
  <si>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</si>
  <si>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</si>
  <si>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</si>
  <si>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</si>
  <si>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</si>
  <si>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</si>
  <si>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</si>
  <si>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</si>
  <si>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</si>
  <si>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</si>
  <si>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</si>
  <si>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</si>
  <si>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</si>
  <si>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</si>
  <si>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</si>
  <si>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</si>
  <si>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</si>
  <si>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</si>
  <si>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</si>
  <si>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</si>
  <si>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</si>
  <si>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</si>
  <si>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</si>
  <si>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</si>
  <si>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</si>
  <si>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</si>
  <si>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</si>
  <si>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</si>
  <si>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</si>
  <si>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</si>
  <si>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</si>
  <si>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</si>
  <si>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</si>
  <si>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</si>
  <si>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</si>
  <si>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</si>
  <si>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</si>
  <si>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</si>
  <si>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</si>
  <si>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</si>
  <si>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学部・学科によって、修了要件は相違する</t>
  </si>
  <si>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</si>
  <si>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</si>
  <si>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</si>
  <si>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</si>
  <si>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</si>
  <si>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</si>
  <si>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</si>
  <si>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</si>
  <si>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</si>
  <si>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</si>
  <si>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</si>
  <si>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</si>
  <si>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</si>
  <si>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</si>
  <si>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</si>
  <si>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</si>
  <si>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</si>
  <si>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</si>
  <si>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</si>
  <si>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</si>
  <si>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</si>
  <si>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</si>
  <si>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</si>
  <si>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</si>
  <si>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</si>
  <si>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</si>
  <si>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令和6</t>
    <rPh sb="0" eb="2">
      <t>レイワ</t>
    </rPh>
    <phoneticPr fontId="1"/>
  </si>
  <si>
    <t>様式１-１</t>
    <rPh sb="0" eb="2">
      <t>ヨウシキ</t>
    </rPh>
    <phoneticPr fontId="1"/>
  </si>
  <si>
    <t>様式１-２</t>
    <rPh sb="0" eb="2">
      <t>ヨウシキ</t>
    </rPh>
    <phoneticPr fontId="1"/>
  </si>
  <si>
    <t>様式１-３</t>
    <rPh sb="0" eb="2">
      <t>ヨウシキ</t>
    </rPh>
    <phoneticPr fontId="1"/>
  </si>
  <si>
    <t>関西医科大学</t>
    <rPh sb="0" eb="6">
      <t>カンサイイカダイガク</t>
    </rPh>
    <phoneticPr fontId="1"/>
  </si>
  <si>
    <t>医学部</t>
    <rPh sb="0" eb="2">
      <t>イガク</t>
    </rPh>
    <rPh sb="2" eb="3">
      <t>ブ</t>
    </rPh>
    <phoneticPr fontId="1"/>
  </si>
  <si>
    <t>リハビリテーション学部</t>
    <rPh sb="9" eb="11">
      <t>ガクブ</t>
    </rPh>
    <phoneticPr fontId="1"/>
  </si>
  <si>
    <t>看護学部</t>
    <rPh sb="0" eb="2">
      <t>カンゴ</t>
    </rPh>
    <rPh sb="2" eb="4">
      <t>ガクブ</t>
    </rPh>
    <phoneticPr fontId="1"/>
  </si>
  <si>
    <t>医学部</t>
    <rPh sb="0" eb="3">
      <t>イガクブ</t>
    </rPh>
    <phoneticPr fontId="1"/>
  </si>
  <si>
    <t>関西医科大学　数理・データサイエンス・AI教育プログラム（リテラシーレベル）</t>
    <phoneticPr fontId="1"/>
  </si>
  <si>
    <t>理工学からみた医療・医学B3</t>
    <phoneticPr fontId="1"/>
  </si>
  <si>
    <t>○</t>
  </si>
  <si>
    <t>理工学からみた医療・医学P1</t>
    <phoneticPr fontId="1"/>
  </si>
  <si>
    <t>教育研究推進委員会</t>
    <rPh sb="0" eb="9">
      <t>キョウイクケンキュウスイシンイインカイ</t>
    </rPh>
    <phoneticPr fontId="1"/>
  </si>
  <si>
    <t>ITからみた医療・医学A1</t>
    <phoneticPr fontId="1"/>
  </si>
  <si>
    <t>教育研究推進委員会委員長</t>
    <rPh sb="0" eb="9">
      <t>キョウイクケンキュウスイシンイインカイ</t>
    </rPh>
    <rPh sb="9" eb="12">
      <t>イインチョウ</t>
    </rPh>
    <phoneticPr fontId="1"/>
  </si>
  <si>
    <t>情報処理技術</t>
    <phoneticPr fontId="1"/>
  </si>
  <si>
    <t>情報活用論</t>
    <phoneticPr fontId="1"/>
  </si>
  <si>
    <t>理工学からみた医療・医学A1</t>
    <phoneticPr fontId="1"/>
  </si>
  <si>
    <t>○</t>
    <phoneticPr fontId="1"/>
  </si>
  <si>
    <t>臨床実習入門P4b</t>
    <phoneticPr fontId="1"/>
  </si>
  <si>
    <t>1学年　理工学からみた医療・医学P1（1単位）、理工学からみた医療・医学A1（3単位）、ITからみた医療・医学A1(2単位）
3学年　理工学からみた医療・医学B3（1.5単位）
4学年　臨床実習入門P4b（1単位）
上記科目全てを取得すること。</t>
    <rPh sb="1" eb="3">
      <t>ガクネン</t>
    </rPh>
    <rPh sb="4" eb="6">
      <t>リコウ</t>
    </rPh>
    <rPh sb="6" eb="7">
      <t>ガク</t>
    </rPh>
    <rPh sb="11" eb="13">
      <t>イリョウ</t>
    </rPh>
    <rPh sb="14" eb="16">
      <t>イガク</t>
    </rPh>
    <rPh sb="20" eb="22">
      <t>タンイ</t>
    </rPh>
    <rPh sb="24" eb="26">
      <t>リコウ</t>
    </rPh>
    <rPh sb="26" eb="27">
      <t>ガク</t>
    </rPh>
    <rPh sb="31" eb="33">
      <t>イリョウ</t>
    </rPh>
    <rPh sb="34" eb="36">
      <t>イガク</t>
    </rPh>
    <rPh sb="40" eb="42">
      <t>タンイ</t>
    </rPh>
    <rPh sb="64" eb="66">
      <t>ガクネン</t>
    </rPh>
    <rPh sb="67" eb="69">
      <t>リコウ</t>
    </rPh>
    <rPh sb="69" eb="70">
      <t>ガク</t>
    </rPh>
    <rPh sb="74" eb="76">
      <t>イリョウ</t>
    </rPh>
    <rPh sb="77" eb="79">
      <t>イガク</t>
    </rPh>
    <rPh sb="85" eb="87">
      <t>タンイ</t>
    </rPh>
    <rPh sb="90" eb="92">
      <t>ガクネン</t>
    </rPh>
    <rPh sb="93" eb="95">
      <t>リンショウ</t>
    </rPh>
    <rPh sb="95" eb="97">
      <t>ジッシュウ</t>
    </rPh>
    <rPh sb="97" eb="99">
      <t>ニュウモン</t>
    </rPh>
    <rPh sb="104" eb="106">
      <t>タンイ</t>
    </rPh>
    <rPh sb="108" eb="110">
      <t>ジョウキ</t>
    </rPh>
    <rPh sb="110" eb="112">
      <t>カモク</t>
    </rPh>
    <rPh sb="112" eb="113">
      <t>スベ</t>
    </rPh>
    <rPh sb="115" eb="117">
      <t>シュトク</t>
    </rPh>
    <phoneticPr fontId="1"/>
  </si>
  <si>
    <t>ICTの活用により，PCでの情報収集分析が効果的にできるか実際に取り組むことで，これまでに得た思考力を実践出来る力を獲得する。
情報そのものについての理解と，データの利活用に求められる基礎知識および，保健医療分野における活用や注意点について思考する能力を獲得する。</t>
    <phoneticPr fontId="1"/>
  </si>
  <si>
    <t xml:space="preserve">将来的に医療や医学の現場において理工学的知識を応用する場面に遭遇したときに、その内容が理解できるようにすること。
IT技術の正しい使い方を理解し、道具として利用できるようになること。
医療現場において実際に利活用すること。
</t>
    <rPh sb="92" eb="94">
      <t>イリョウ</t>
    </rPh>
    <rPh sb="94" eb="96">
      <t>ゲンバ</t>
    </rPh>
    <rPh sb="100" eb="102">
      <t>ジッサイ</t>
    </rPh>
    <rPh sb="103" eb="106">
      <t>リカツヨウ</t>
    </rPh>
    <phoneticPr fontId="1"/>
  </si>
  <si>
    <t>令和６年度から開始した本教育プログラムは、医学部、看護学部およびリハビリテーション学部において全て必修科目で構成されているため、必ず全員履修する。そのため、年度が進むごとに履修率の向上が見込まれることから、令和10年度には全学部において100％の履修率となる予定である。</t>
    <rPh sb="0" eb="2">
      <t>レイワ</t>
    </rPh>
    <rPh sb="41" eb="43">
      <t>ガクブ</t>
    </rPh>
    <rPh sb="93" eb="95">
      <t>ミコ</t>
    </rPh>
    <rPh sb="103" eb="105">
      <t>レイワ</t>
    </rPh>
    <rPh sb="107" eb="109">
      <t>ネンド</t>
    </rPh>
    <rPh sb="111" eb="114">
      <t>ゼンガクブ</t>
    </rPh>
    <rPh sb="123" eb="125">
      <t>リシュウ</t>
    </rPh>
    <rPh sb="125" eb="126">
      <t>リツ</t>
    </rPh>
    <rPh sb="129" eb="131">
      <t>ヨテイ</t>
    </rPh>
    <phoneticPr fontId="1"/>
  </si>
  <si>
    <t>統計学</t>
    <phoneticPr fontId="1"/>
  </si>
  <si>
    <t>木梨　達雄</t>
    <rPh sb="0" eb="2">
      <t>キナシ</t>
    </rPh>
    <rPh sb="3" eb="5">
      <t>タツオ</t>
    </rPh>
    <phoneticPr fontId="1"/>
  </si>
  <si>
    <t>関西医科大学合同教務委員会</t>
    <phoneticPr fontId="1"/>
  </si>
  <si>
    <t>関西医科大学合同教務委員会規程</t>
    <rPh sb="0" eb="2">
      <t>カンサイ</t>
    </rPh>
    <rPh sb="2" eb="4">
      <t>イカ</t>
    </rPh>
    <rPh sb="4" eb="6">
      <t>ダイガク</t>
    </rPh>
    <rPh sb="6" eb="8">
      <t>ゴウドウ</t>
    </rPh>
    <rPh sb="8" eb="10">
      <t>キョウム</t>
    </rPh>
    <rPh sb="10" eb="13">
      <t>イインカイ</t>
    </rPh>
    <rPh sb="13" eb="15">
      <t>キテイ</t>
    </rPh>
    <phoneticPr fontId="1"/>
  </si>
  <si>
    <t xml:space="preserve">
副学長（教育担当）・医学部教務部長
看護学部教務部長
リハビリテーション学部教務部長
教育センター長
医学部事務部長
看護学部事務部事務長
リハビリテーション学部事務部事務長</t>
    <rPh sb="11" eb="13">
      <t>イガク</t>
    </rPh>
    <rPh sb="13" eb="14">
      <t>ブ</t>
    </rPh>
    <rPh sb="14" eb="16">
      <t>キョウム</t>
    </rPh>
    <rPh sb="16" eb="18">
      <t>ブチョウ</t>
    </rPh>
    <phoneticPr fontId="1"/>
  </si>
  <si>
    <t xml:space="preserve">関西医科大学合同教務委員会は関西医科大学の全学的な教務に係る重要事項である①大学教育に係る全学的な取組の実施、②全学的な大学教育の教務及び各学部間の教務に係る連絡調整③専門教育と全学共通教育の連携④その他全学的な教務事項について審議・協議することを目的とする。
</t>
    <rPh sb="81" eb="82">
      <t>タ</t>
    </rPh>
    <rPh sb="88" eb="90">
      <t>ジコウ</t>
    </rPh>
    <rPh sb="94" eb="96">
      <t>シンギ</t>
    </rPh>
    <rPh sb="97" eb="99">
      <t>キョウギ</t>
    </rPh>
    <rPh sb="104" eb="106">
      <t>モクテキ</t>
    </rPh>
    <phoneticPr fontId="1"/>
  </si>
  <si>
    <t>岡田　英孝</t>
    <rPh sb="0" eb="2">
      <t>オカダ</t>
    </rPh>
    <rPh sb="3" eb="5">
      <t>ヒデタカ</t>
    </rPh>
    <phoneticPr fontId="1"/>
  </si>
  <si>
    <t>副学長（教育担当）</t>
    <phoneticPr fontId="1"/>
  </si>
  <si>
    <t>副学長（教育担当）</t>
    <rPh sb="0" eb="3">
      <t>フクガクチョウ</t>
    </rPh>
    <rPh sb="4" eb="6">
      <t>キョウイク</t>
    </rPh>
    <rPh sb="6" eb="8">
      <t>タントウ</t>
    </rPh>
    <phoneticPr fontId="1"/>
  </si>
  <si>
    <t xml:space="preserve">
岡田英孝（教授）
李錦純（教授） 
佐藤春彦（教授） 
西屋克己（教授） 
出口育代
増田倫明
生島正也</t>
    <rPh sb="6" eb="8">
      <t>キョウジュ</t>
    </rPh>
    <rPh sb="14" eb="16">
      <t>キョウジュ</t>
    </rPh>
    <rPh sb="34" eb="36">
      <t>キョウジュ</t>
    </rPh>
    <rPh sb="39" eb="41">
      <t>デグチ</t>
    </rPh>
    <rPh sb="41" eb="43">
      <t>イクヨ</t>
    </rPh>
    <rPh sb="44" eb="46">
      <t>マスダ</t>
    </rPh>
    <rPh sb="46" eb="48">
      <t>ミチアキ</t>
    </rPh>
    <rPh sb="49" eb="51">
      <t>イクシマ</t>
    </rPh>
    <rPh sb="51" eb="53">
      <t>マサヤ</t>
    </rPh>
    <phoneticPr fontId="1"/>
  </si>
  <si>
    <t>現時点で当プログラム受講者が卒業まで至っていないことから、評価について受けてはいない。ただ、本学の卒業者のほとんどは医師、看護師、理学療法士、作業療法士等の医療従事者として勤務することから、それぞれの現場において、学んだ知識・技能を発揮していくものと考えている。確認方法としては卒業生アンケートを実施し、卒業生の状況把握につとめるものとする。</t>
    <rPh sb="0" eb="3">
      <t>ゲンジテン</t>
    </rPh>
    <rPh sb="4" eb="5">
      <t>トウ</t>
    </rPh>
    <rPh sb="10" eb="13">
      <t>ジュコウシャ</t>
    </rPh>
    <rPh sb="14" eb="16">
      <t>ソツギョウ</t>
    </rPh>
    <rPh sb="18" eb="19">
      <t>イタ</t>
    </rPh>
    <rPh sb="29" eb="31">
      <t>ヒョウカ</t>
    </rPh>
    <rPh sb="35" eb="36">
      <t>ウ</t>
    </rPh>
    <rPh sb="46" eb="48">
      <t>ホンガク</t>
    </rPh>
    <rPh sb="49" eb="51">
      <t>ソツギョウ</t>
    </rPh>
    <rPh sb="51" eb="52">
      <t>シャ</t>
    </rPh>
    <rPh sb="58" eb="60">
      <t>イシ</t>
    </rPh>
    <rPh sb="61" eb="64">
      <t>カンゴシ</t>
    </rPh>
    <rPh sb="65" eb="67">
      <t>リガク</t>
    </rPh>
    <rPh sb="67" eb="70">
      <t>リョウホウシ</t>
    </rPh>
    <rPh sb="71" eb="73">
      <t>サギョウ</t>
    </rPh>
    <rPh sb="73" eb="76">
      <t>リョウホウシ</t>
    </rPh>
    <rPh sb="76" eb="77">
      <t>トウ</t>
    </rPh>
    <rPh sb="78" eb="80">
      <t>イリョウ</t>
    </rPh>
    <rPh sb="80" eb="83">
      <t>ジュウジシャ</t>
    </rPh>
    <rPh sb="86" eb="88">
      <t>キンム</t>
    </rPh>
    <rPh sb="100" eb="102">
      <t>ゲンバ</t>
    </rPh>
    <rPh sb="107" eb="108">
      <t>マナ</t>
    </rPh>
    <rPh sb="110" eb="112">
      <t>チシキ</t>
    </rPh>
    <rPh sb="113" eb="115">
      <t>ギノウ</t>
    </rPh>
    <rPh sb="116" eb="118">
      <t>ハッキ</t>
    </rPh>
    <rPh sb="125" eb="126">
      <t>カンガ</t>
    </rPh>
    <rPh sb="131" eb="133">
      <t>カクニン</t>
    </rPh>
    <rPh sb="133" eb="135">
      <t>ホウホウ</t>
    </rPh>
    <rPh sb="139" eb="142">
      <t>ソツギョウセイ</t>
    </rPh>
    <rPh sb="148" eb="150">
      <t>ジッシ</t>
    </rPh>
    <rPh sb="152" eb="155">
      <t>ソツギョウセイ</t>
    </rPh>
    <rPh sb="156" eb="158">
      <t>ジョウキョウ</t>
    </rPh>
    <rPh sb="158" eb="160">
      <t>ハアク</t>
    </rPh>
    <phoneticPr fontId="1"/>
  </si>
  <si>
    <t>本教育プログラムを構成する全ての授業科目が全学部とも必修科目となっているため、全員が履修する体制となっており、卒業時には全員が修了していることとなる。</t>
    <rPh sb="55" eb="57">
      <t>ソツギョウ</t>
    </rPh>
    <rPh sb="57" eb="58">
      <t>ジ</t>
    </rPh>
    <rPh sb="60" eb="62">
      <t>ゼンイン</t>
    </rPh>
    <rPh sb="63" eb="65">
      <t>シュウリョウ</t>
    </rPh>
    <phoneticPr fontId="1"/>
  </si>
  <si>
    <t>全科目必修科目であるため、全学生が履修・修得する。また、講義内容についてはシラバスで明確に示されている。</t>
    <rPh sb="0" eb="1">
      <t>ゼン</t>
    </rPh>
    <rPh sb="1" eb="3">
      <t>カモク</t>
    </rPh>
    <rPh sb="3" eb="5">
      <t>ヒッシュウ</t>
    </rPh>
    <rPh sb="5" eb="7">
      <t>カモク</t>
    </rPh>
    <rPh sb="13" eb="14">
      <t>ゼン</t>
    </rPh>
    <rPh sb="14" eb="16">
      <t>ガクセイ</t>
    </rPh>
    <rPh sb="17" eb="19">
      <t>リシュウ</t>
    </rPh>
    <rPh sb="20" eb="22">
      <t>シュウトク</t>
    </rPh>
    <rPh sb="28" eb="30">
      <t>コウギ</t>
    </rPh>
    <rPh sb="30" eb="32">
      <t>ナイヨウ</t>
    </rPh>
    <rPh sb="42" eb="44">
      <t>メイカク</t>
    </rPh>
    <rPh sb="45" eb="46">
      <t>シメ</t>
    </rPh>
    <phoneticPr fontId="1"/>
  </si>
  <si>
    <t>質問等については授業前後での直接の質疑応答を行うほか、本学の学習支援システムであるKMULASを利用して、担当教員へのダイレクトなメッセージ発信ができる仕組みを構築している。</t>
    <rPh sb="0" eb="2">
      <t>シツモン</t>
    </rPh>
    <rPh sb="2" eb="3">
      <t>トウ</t>
    </rPh>
    <rPh sb="8" eb="10">
      <t>ジュギョウ</t>
    </rPh>
    <rPh sb="10" eb="12">
      <t>ゼンゴ</t>
    </rPh>
    <rPh sb="14" eb="16">
      <t>チョクセツ</t>
    </rPh>
    <rPh sb="17" eb="19">
      <t>シツギ</t>
    </rPh>
    <rPh sb="19" eb="21">
      <t>オウトウ</t>
    </rPh>
    <rPh sb="22" eb="23">
      <t>オコナ</t>
    </rPh>
    <rPh sb="27" eb="29">
      <t>ホンガク</t>
    </rPh>
    <rPh sb="30" eb="32">
      <t>ガクシュウ</t>
    </rPh>
    <rPh sb="32" eb="34">
      <t>シエン</t>
    </rPh>
    <rPh sb="48" eb="50">
      <t>リヨウ</t>
    </rPh>
    <rPh sb="53" eb="55">
      <t>タントウ</t>
    </rPh>
    <rPh sb="55" eb="57">
      <t>キョウイン</t>
    </rPh>
    <rPh sb="70" eb="72">
      <t>ハッシン</t>
    </rPh>
    <rPh sb="76" eb="78">
      <t>シク</t>
    </rPh>
    <rPh sb="80" eb="82">
      <t>コウチク</t>
    </rPh>
    <phoneticPr fontId="1"/>
  </si>
  <si>
    <t>全科目必修科目であるため、全学生が履修・修得するが、臨床実習等で使用するシステムの使用方法などを学ぶことにより、将来利用する姿を描けるような構成となっている。</t>
    <rPh sb="0" eb="1">
      <t>ゼン</t>
    </rPh>
    <rPh sb="1" eb="3">
      <t>カモク</t>
    </rPh>
    <rPh sb="3" eb="5">
      <t>ヒッシュウ</t>
    </rPh>
    <rPh sb="5" eb="7">
      <t>カモク</t>
    </rPh>
    <rPh sb="13" eb="14">
      <t>ゼン</t>
    </rPh>
    <rPh sb="14" eb="16">
      <t>ガクセイ</t>
    </rPh>
    <rPh sb="17" eb="19">
      <t>リシュウ</t>
    </rPh>
    <rPh sb="20" eb="22">
      <t>シュウトク</t>
    </rPh>
    <rPh sb="26" eb="28">
      <t>リンショウ</t>
    </rPh>
    <rPh sb="28" eb="30">
      <t>ジッシュウ</t>
    </rPh>
    <rPh sb="30" eb="31">
      <t>トウ</t>
    </rPh>
    <rPh sb="32" eb="34">
      <t>シヨウ</t>
    </rPh>
    <rPh sb="41" eb="43">
      <t>シヨウ</t>
    </rPh>
    <rPh sb="43" eb="45">
      <t>ホウホウ</t>
    </rPh>
    <rPh sb="48" eb="49">
      <t>マナ</t>
    </rPh>
    <rPh sb="56" eb="58">
      <t>ショウライ</t>
    </rPh>
    <rPh sb="58" eb="60">
      <t>リヨウ</t>
    </rPh>
    <rPh sb="62" eb="63">
      <t>スガタ</t>
    </rPh>
    <rPh sb="64" eb="65">
      <t>エガ</t>
    </rPh>
    <rPh sb="70" eb="72">
      <t>コウセイ</t>
    </rPh>
    <phoneticPr fontId="1"/>
  </si>
  <si>
    <t>本学の学習支援システムであるKMULASにおいて、事前に資料提供することで予習を、また、事後の復習テストを各回に設けることで復習をする環境を提供している。また、最終的に授業評価アンケートを実施することで、学生の理解度を把握し、授業改善に役立てている。</t>
    <rPh sb="25" eb="27">
      <t>ジゼン</t>
    </rPh>
    <rPh sb="28" eb="30">
      <t>シリョウ</t>
    </rPh>
    <rPh sb="30" eb="32">
      <t>テイキョウ</t>
    </rPh>
    <rPh sb="37" eb="39">
      <t>ヨシュウ</t>
    </rPh>
    <rPh sb="44" eb="46">
      <t>ジゴ</t>
    </rPh>
    <rPh sb="47" eb="49">
      <t>フクシュウ</t>
    </rPh>
    <rPh sb="53" eb="55">
      <t>カクカイ</t>
    </rPh>
    <rPh sb="56" eb="57">
      <t>モウ</t>
    </rPh>
    <rPh sb="62" eb="64">
      <t>フクシュウ</t>
    </rPh>
    <rPh sb="67" eb="69">
      <t>カンキョウ</t>
    </rPh>
    <rPh sb="70" eb="72">
      <t>テイキョウ</t>
    </rPh>
    <rPh sb="80" eb="83">
      <t>サイシュウテキ</t>
    </rPh>
    <rPh sb="84" eb="86">
      <t>ジュギョウ</t>
    </rPh>
    <rPh sb="86" eb="88">
      <t>ヒョウカ</t>
    </rPh>
    <rPh sb="94" eb="96">
      <t>ジッシ</t>
    </rPh>
    <rPh sb="102" eb="104">
      <t>ガクセイ</t>
    </rPh>
    <rPh sb="105" eb="108">
      <t>リカイド</t>
    </rPh>
    <rPh sb="109" eb="111">
      <t>ハアク</t>
    </rPh>
    <rPh sb="113" eb="115">
      <t>ジュギョウ</t>
    </rPh>
    <rPh sb="115" eb="117">
      <t>カイゼン</t>
    </rPh>
    <rPh sb="118" eb="120">
      <t>ヤクダ</t>
    </rPh>
    <phoneticPr fontId="1"/>
  </si>
  <si>
    <t xml:space="preserve">全学部においてプログラム構成科目が必修科目として設定されていることから、3学部ともに100％の履修率となる。また、今後、学年進行後に履修していく科目もあるが、そちらも単位修得が進級・卒業の条件になってくることから卒業時にはプログラム修得率100％となり、卒業生全員が当プログラムの修了者となる。
</t>
    <rPh sb="0" eb="3">
      <t>ゼンガクブ</t>
    </rPh>
    <rPh sb="12" eb="14">
      <t>コウセイ</t>
    </rPh>
    <rPh sb="14" eb="16">
      <t>カモク</t>
    </rPh>
    <rPh sb="17" eb="19">
      <t>ヒッシュウ</t>
    </rPh>
    <rPh sb="19" eb="21">
      <t>カモク</t>
    </rPh>
    <rPh sb="24" eb="26">
      <t>セッテイ</t>
    </rPh>
    <rPh sb="37" eb="39">
      <t>ガクブ</t>
    </rPh>
    <rPh sb="47" eb="49">
      <t>リシュウ</t>
    </rPh>
    <rPh sb="49" eb="50">
      <t>リツ</t>
    </rPh>
    <rPh sb="57" eb="59">
      <t>コンゴ</t>
    </rPh>
    <rPh sb="60" eb="62">
      <t>ガクネン</t>
    </rPh>
    <rPh sb="62" eb="64">
      <t>シンコウ</t>
    </rPh>
    <rPh sb="64" eb="65">
      <t>ゴ</t>
    </rPh>
    <rPh sb="66" eb="68">
      <t>リシュウ</t>
    </rPh>
    <rPh sb="72" eb="74">
      <t>カモク</t>
    </rPh>
    <rPh sb="83" eb="85">
      <t>タンイ</t>
    </rPh>
    <rPh sb="85" eb="87">
      <t>シュウトク</t>
    </rPh>
    <rPh sb="88" eb="90">
      <t>シンキュウ</t>
    </rPh>
    <rPh sb="91" eb="93">
      <t>ソツギョウ</t>
    </rPh>
    <rPh sb="94" eb="96">
      <t>ジョウケン</t>
    </rPh>
    <rPh sb="106" eb="108">
      <t>ソツギョウ</t>
    </rPh>
    <rPh sb="108" eb="109">
      <t>ジ</t>
    </rPh>
    <rPh sb="116" eb="118">
      <t>シュウトク</t>
    </rPh>
    <rPh sb="118" eb="119">
      <t>リツ</t>
    </rPh>
    <rPh sb="127" eb="130">
      <t>ソツギョウセイ</t>
    </rPh>
    <rPh sb="130" eb="132">
      <t>ゼンイン</t>
    </rPh>
    <rPh sb="133" eb="134">
      <t>トウ</t>
    </rPh>
    <rPh sb="140" eb="143">
      <t>シュウリョウシャ</t>
    </rPh>
    <phoneticPr fontId="1"/>
  </si>
  <si>
    <t>最終的に授業評価アンケートを実施し、難易度・満足度だけでなく、知識向上度や更なる意欲などについても測ることで、理解度の向上に努められるよう工夫している。</t>
    <rPh sb="0" eb="3">
      <t>サイシュウテキ</t>
    </rPh>
    <rPh sb="4" eb="6">
      <t>ジュギョウ</t>
    </rPh>
    <rPh sb="6" eb="8">
      <t>ヒョウカ</t>
    </rPh>
    <rPh sb="14" eb="16">
      <t>ジッシ</t>
    </rPh>
    <rPh sb="18" eb="21">
      <t>ナンイド</t>
    </rPh>
    <rPh sb="22" eb="25">
      <t>マンゾクド</t>
    </rPh>
    <rPh sb="31" eb="33">
      <t>チシキ</t>
    </rPh>
    <rPh sb="33" eb="35">
      <t>コウジョウ</t>
    </rPh>
    <rPh sb="35" eb="36">
      <t>ド</t>
    </rPh>
    <rPh sb="37" eb="38">
      <t>サラ</t>
    </rPh>
    <rPh sb="40" eb="42">
      <t>イヨク</t>
    </rPh>
    <rPh sb="49" eb="50">
      <t>ハカ</t>
    </rPh>
    <rPh sb="55" eb="58">
      <t>リカイド</t>
    </rPh>
    <rPh sb="59" eb="61">
      <t>コウジョウ</t>
    </rPh>
    <rPh sb="62" eb="63">
      <t>ツト</t>
    </rPh>
    <rPh sb="69" eb="71">
      <t>クフウ</t>
    </rPh>
    <phoneticPr fontId="1"/>
  </si>
  <si>
    <t>1学年　情報活用論（1単位）、情報処理技術（1単位）
2学年　保健統計学（2単位）
上記科目全てを取得すること。</t>
    <rPh sb="1" eb="3">
      <t>ガクネン</t>
    </rPh>
    <rPh sb="4" eb="6">
      <t>ジョウホウ</t>
    </rPh>
    <rPh sb="6" eb="8">
      <t>カツヨウ</t>
    </rPh>
    <rPh sb="8" eb="9">
      <t>ロン</t>
    </rPh>
    <rPh sb="11" eb="13">
      <t>タンイ</t>
    </rPh>
    <rPh sb="15" eb="17">
      <t>ジョウホウ</t>
    </rPh>
    <rPh sb="17" eb="19">
      <t>ショリ</t>
    </rPh>
    <rPh sb="19" eb="21">
      <t>ギジュツ</t>
    </rPh>
    <rPh sb="23" eb="25">
      <t>タンイ</t>
    </rPh>
    <rPh sb="28" eb="30">
      <t>ガクネン</t>
    </rPh>
    <rPh sb="31" eb="33">
      <t>ホケン</t>
    </rPh>
    <rPh sb="33" eb="36">
      <t>トウケイガク</t>
    </rPh>
    <rPh sb="38" eb="40">
      <t>タンイ</t>
    </rPh>
    <phoneticPr fontId="1"/>
  </si>
  <si>
    <t>保健統計学</t>
    <rPh sb="0" eb="2">
      <t>ホケン</t>
    </rPh>
    <rPh sb="2" eb="5">
      <t>トウケイガク</t>
    </rPh>
    <phoneticPr fontId="1"/>
  </si>
  <si>
    <t>○</t>
    <phoneticPr fontId="1"/>
  </si>
  <si>
    <t>前述のとおり、3学部とも全員必修の科目であるため、履修の推奨ではないが、学生アンケートを実施のうえ、担当者にフィードバックしていることから、学生の満足度を上げる努力がなされている。</t>
    <rPh sb="0" eb="2">
      <t>ゼンジュツ</t>
    </rPh>
    <rPh sb="8" eb="10">
      <t>ガクブ</t>
    </rPh>
    <rPh sb="12" eb="14">
      <t>ゼンイン</t>
    </rPh>
    <rPh sb="14" eb="16">
      <t>ヒッシュウ</t>
    </rPh>
    <rPh sb="17" eb="19">
      <t>カモク</t>
    </rPh>
    <rPh sb="25" eb="27">
      <t>リシュウ</t>
    </rPh>
    <rPh sb="28" eb="30">
      <t>スイショウ</t>
    </rPh>
    <rPh sb="36" eb="38">
      <t>ガクセイ</t>
    </rPh>
    <rPh sb="44" eb="46">
      <t>ジッシ</t>
    </rPh>
    <rPh sb="50" eb="53">
      <t>タントウシャ</t>
    </rPh>
    <rPh sb="70" eb="72">
      <t>ガクセイ</t>
    </rPh>
    <rPh sb="73" eb="76">
      <t>マンゾクド</t>
    </rPh>
    <rPh sb="77" eb="78">
      <t>ア</t>
    </rPh>
    <rPh sb="80" eb="82">
      <t>ドリョク</t>
    </rPh>
    <phoneticPr fontId="1"/>
  </si>
  <si>
    <t>3学部とも全員必修の科目であるため、プログラム完成年度には履修率、修得率が１００％になるものとする。</t>
    <rPh sb="1" eb="3">
      <t>ガクブ</t>
    </rPh>
    <rPh sb="5" eb="7">
      <t>ゼンイン</t>
    </rPh>
    <rPh sb="7" eb="9">
      <t>ヒッシュウ</t>
    </rPh>
    <rPh sb="10" eb="12">
      <t>カモク</t>
    </rPh>
    <rPh sb="23" eb="25">
      <t>カンセイ</t>
    </rPh>
    <rPh sb="25" eb="27">
      <t>ネンド</t>
    </rPh>
    <rPh sb="29" eb="31">
      <t>リシュウ</t>
    </rPh>
    <rPh sb="31" eb="32">
      <t>リツ</t>
    </rPh>
    <rPh sb="33" eb="35">
      <t>シュウトク</t>
    </rPh>
    <rPh sb="35" eb="36">
      <t>リツ</t>
    </rPh>
    <phoneticPr fontId="1"/>
  </si>
  <si>
    <t>本学は医療系大学であることから、多くの卒業生が医療従事者となる将来を見据えている。その将来像において数理・データサイエンスを学び続けることは必要不可欠であることを、授業を通じて学んでもらう場を提供している。</t>
    <rPh sb="0" eb="2">
      <t>ホンガク</t>
    </rPh>
    <rPh sb="3" eb="5">
      <t>イリョウ</t>
    </rPh>
    <rPh sb="5" eb="6">
      <t>ケイ</t>
    </rPh>
    <rPh sb="6" eb="8">
      <t>ダイガク</t>
    </rPh>
    <rPh sb="16" eb="17">
      <t>オオ</t>
    </rPh>
    <rPh sb="19" eb="22">
      <t>ソツギョウセイ</t>
    </rPh>
    <rPh sb="23" eb="25">
      <t>イリョウ</t>
    </rPh>
    <rPh sb="25" eb="28">
      <t>ジュウジシャ</t>
    </rPh>
    <rPh sb="31" eb="33">
      <t>ショウライ</t>
    </rPh>
    <rPh sb="34" eb="36">
      <t>ミス</t>
    </rPh>
    <rPh sb="43" eb="45">
      <t>ショウライ</t>
    </rPh>
    <rPh sb="45" eb="46">
      <t>ゾウ</t>
    </rPh>
    <rPh sb="50" eb="52">
      <t>スウリ</t>
    </rPh>
    <rPh sb="62" eb="63">
      <t>マナ</t>
    </rPh>
    <rPh sb="64" eb="65">
      <t>ツヅ</t>
    </rPh>
    <rPh sb="70" eb="72">
      <t>ヒツヨウ</t>
    </rPh>
    <rPh sb="72" eb="75">
      <t>フカケツ</t>
    </rPh>
    <rPh sb="82" eb="84">
      <t>ジュギョウ</t>
    </rPh>
    <rPh sb="85" eb="86">
      <t>ツウ</t>
    </rPh>
    <rPh sb="88" eb="89">
      <t>マナ</t>
    </rPh>
    <rPh sb="94" eb="95">
      <t>バ</t>
    </rPh>
    <rPh sb="96" eb="98">
      <t>テイキョウ</t>
    </rPh>
    <phoneticPr fontId="1"/>
  </si>
  <si>
    <t>情報処理技術</t>
    <rPh sb="0" eb="2">
      <t>ジョウホウ</t>
    </rPh>
    <rPh sb="2" eb="4">
      <t>ショリ</t>
    </rPh>
    <rPh sb="4" eb="6">
      <t>ギジュツ</t>
    </rPh>
    <phoneticPr fontId="1"/>
  </si>
  <si>
    <t>統計学</t>
    <rPh sb="0" eb="3">
      <t>トウケイガク</t>
    </rPh>
    <phoneticPr fontId="1"/>
  </si>
  <si>
    <t>リハビリテーション工学演習</t>
    <rPh sb="9" eb="11">
      <t>コウガク</t>
    </rPh>
    <rPh sb="11" eb="13">
      <t>エンシュウ</t>
    </rPh>
    <phoneticPr fontId="1"/>
  </si>
  <si>
    <t>情報モラル、インターネットの基礎を理解したうえでPCの活用能力を育成する。
統計学の基本的な知識や、保健、福祉、医療の領域で必要となる統計の知識を身につける。
リハビリテーション医療及び介護福祉の分野において用いられる工学的技術の理論と実践を演習を通じて学ぶ。</t>
    <rPh sb="0" eb="2">
      <t>ジョウホウ</t>
    </rPh>
    <rPh sb="14" eb="16">
      <t>キソ</t>
    </rPh>
    <rPh sb="17" eb="19">
      <t>リカイ</t>
    </rPh>
    <rPh sb="27" eb="29">
      <t>カツヨウ</t>
    </rPh>
    <rPh sb="29" eb="31">
      <t>ノウリョク</t>
    </rPh>
    <rPh sb="32" eb="34">
      <t>イクセイ</t>
    </rPh>
    <rPh sb="38" eb="41">
      <t>トウケイガク</t>
    </rPh>
    <rPh sb="42" eb="45">
      <t>キホンテキ</t>
    </rPh>
    <rPh sb="46" eb="48">
      <t>チシキ</t>
    </rPh>
    <rPh sb="50" eb="52">
      <t>ホケン</t>
    </rPh>
    <rPh sb="53" eb="55">
      <t>フクシ</t>
    </rPh>
    <rPh sb="56" eb="58">
      <t>イリョウ</t>
    </rPh>
    <rPh sb="59" eb="61">
      <t>リョウイキ</t>
    </rPh>
    <rPh sb="62" eb="64">
      <t>ヒツヨウ</t>
    </rPh>
    <rPh sb="67" eb="69">
      <t>トウケイ</t>
    </rPh>
    <rPh sb="70" eb="72">
      <t>チシキ</t>
    </rPh>
    <rPh sb="73" eb="74">
      <t>ミ</t>
    </rPh>
    <rPh sb="89" eb="91">
      <t>イリョウ</t>
    </rPh>
    <rPh sb="91" eb="92">
      <t>オヨ</t>
    </rPh>
    <rPh sb="93" eb="95">
      <t>カイゴ</t>
    </rPh>
    <rPh sb="95" eb="97">
      <t>フクシ</t>
    </rPh>
    <rPh sb="98" eb="100">
      <t>ブンヤ</t>
    </rPh>
    <rPh sb="104" eb="105">
      <t>モチ</t>
    </rPh>
    <rPh sb="109" eb="112">
      <t>コウガクテキ</t>
    </rPh>
    <rPh sb="112" eb="114">
      <t>ギジュツ</t>
    </rPh>
    <rPh sb="115" eb="117">
      <t>リロン</t>
    </rPh>
    <rPh sb="118" eb="120">
      <t>ジッセン</t>
    </rPh>
    <rPh sb="121" eb="123">
      <t>エンシュウ</t>
    </rPh>
    <rPh sb="124" eb="125">
      <t>ツウ</t>
    </rPh>
    <rPh sb="127" eb="128">
      <t>マナ</t>
    </rPh>
    <phoneticPr fontId="1"/>
  </si>
  <si>
    <t>日々進化している情報に対して対応し、特に将来を見据えたデータや統計、機材を用いながらの授業が進められるようにする。
また、学生の授業評価アンケートによると、進捗が早く難しいとの意見が多くあることから、アンケート結果も鑑みつつ、プログラムを構築する必要がある。</t>
    <phoneticPr fontId="1"/>
  </si>
  <si>
    <t>本学は医療系大学であることから、多くの卒業生が医療従事者となる将来を見据えている。その将来像において数理・データサイエンスを学び続けることは必要不可欠であることを、授業を通じて学んでもらう場を提供している。
なお、医学部においては、昨今の数理・データサイエンス教育の重要性を鑑み、令和７年度に「メディカルデータサイエンス講座」を新設することが決定し、主任教授を選考した。令和７年度内に着任予定である。</t>
    <phoneticPr fontId="1"/>
  </si>
  <si>
    <t>臨床実習入門P4b</t>
  </si>
  <si>
    <t>1学年　情報処理技術（1単位）、統計学（1単位）
上記科目を、理学療法学科、作業療法学科とも取得し、そのうえで
理学療法学科3学年　リハビリテーション工学演習（1単位）
作業療法学科3学年　アシスティブテクノロジー学（1単位）
を取得すること。</t>
    <rPh sb="1" eb="3">
      <t>ガクネン</t>
    </rPh>
    <rPh sb="16" eb="19">
      <t>トウケイガク</t>
    </rPh>
    <rPh sb="25" eb="27">
      <t>ジョウキ</t>
    </rPh>
    <rPh sb="27" eb="29">
      <t>カモク</t>
    </rPh>
    <rPh sb="31" eb="33">
      <t>リガク</t>
    </rPh>
    <rPh sb="33" eb="35">
      <t>リョウホウ</t>
    </rPh>
    <rPh sb="35" eb="37">
      <t>ガッカ</t>
    </rPh>
    <rPh sb="38" eb="40">
      <t>サギョウ</t>
    </rPh>
    <rPh sb="40" eb="42">
      <t>リョウホウ</t>
    </rPh>
    <rPh sb="42" eb="44">
      <t>ガッカ</t>
    </rPh>
    <rPh sb="46" eb="48">
      <t>シュトク</t>
    </rPh>
    <rPh sb="56" eb="58">
      <t>リガク</t>
    </rPh>
    <rPh sb="58" eb="60">
      <t>リョウホウ</t>
    </rPh>
    <rPh sb="60" eb="62">
      <t>ガッカ</t>
    </rPh>
    <rPh sb="63" eb="65">
      <t>ガクネン</t>
    </rPh>
    <rPh sb="75" eb="77">
      <t>コウガク</t>
    </rPh>
    <rPh sb="77" eb="79">
      <t>エンシュウ</t>
    </rPh>
    <rPh sb="81" eb="83">
      <t>タンイ</t>
    </rPh>
    <rPh sb="85" eb="87">
      <t>サギョウ</t>
    </rPh>
    <rPh sb="87" eb="89">
      <t>リョウホウ</t>
    </rPh>
    <rPh sb="89" eb="91">
      <t>ガッカ</t>
    </rPh>
    <rPh sb="92" eb="94">
      <t>ガクネン</t>
    </rPh>
    <rPh sb="107" eb="108">
      <t>ガク</t>
    </rPh>
    <rPh sb="110" eb="112">
      <t>タンイ</t>
    </rPh>
    <phoneticPr fontId="1"/>
  </si>
  <si>
    <t>アシスティブテクノロジー学</t>
    <phoneticPr fontId="1"/>
  </si>
  <si>
    <t>・ビッグデータ、IoT、AI、生成AI、ロボット 「リハビリテーション工学演習」第6回～第10回
・複数技術を組み合わせたAIサービス 「リハビリテーション工学演習」第6回～第10回、「アシスティブテクノロジー学」第7回、第8回</t>
    <rPh sb="35" eb="37">
      <t>コウガク</t>
    </rPh>
    <rPh sb="37" eb="39">
      <t>エンシュウ</t>
    </rPh>
    <rPh sb="40" eb="41">
      <t>ダイ</t>
    </rPh>
    <rPh sb="42" eb="43">
      <t>カイ</t>
    </rPh>
    <rPh sb="44" eb="45">
      <t>ダイ</t>
    </rPh>
    <rPh sb="47" eb="48">
      <t>カイ</t>
    </rPh>
    <rPh sb="105" eb="106">
      <t>ガク</t>
    </rPh>
    <rPh sb="107" eb="108">
      <t>ダイ</t>
    </rPh>
    <rPh sb="109" eb="110">
      <t>カイ</t>
    </rPh>
    <rPh sb="111" eb="112">
      <t>ダイ</t>
    </rPh>
    <rPh sb="113" eb="114">
      <t>カイ</t>
    </rPh>
    <phoneticPr fontId="1"/>
  </si>
  <si>
    <t>・AI最新技術の活用例（深層生成モデル、強化学習、転移学習、生成AIなど）「リハビリテーション工学演習」第6回
・AI等を活用した新しいビジネスモデル(シェアリングエコノミー、商品のレコメンデーションなど)「アシスティブテクノロジー学」第3回～第5回</t>
    <phoneticPr fontId="1"/>
  </si>
  <si>
    <t>・研究開発、調達、製造、物流、販売、マーケティング、サービスなど「リハビリテーション工学演習」第6回～第10回、「アシスティブテクノロジー学」第3回～第8回</t>
    <rPh sb="69" eb="70">
      <t>ガク</t>
    </rPh>
    <rPh sb="71" eb="72">
      <t>ダイ</t>
    </rPh>
    <rPh sb="73" eb="74">
      <t>カイ</t>
    </rPh>
    <rPh sb="75" eb="76">
      <t>ダイ</t>
    </rPh>
    <rPh sb="77" eb="78">
      <t>カイ</t>
    </rPh>
    <phoneticPr fontId="1"/>
  </si>
  <si>
    <t>・データサイエンスのサイクル（課題抽出と定式化、データの取得・管理・加工、
探索的データ解析、データ解析と推論、結果の共有・伝達、課題解決に向けた提案）「リハビリテーション工学演習」第6回
・教育、芸術、流通、製造、金融、サービス、インフラ、公共、ヘルスケア等におけるデータ・AI利活用事例紹介「アシスティブテクノロジー学」第3回～6回</t>
    <phoneticPr fontId="1"/>
  </si>
  <si>
    <t>・データ解析：予測、グルーピング、パターン発見、最適化、モデル化とシミュレーション・データ同化など「情報処理技術」第4回、「リハビリテーション工学演習」第6回、「アシスティブテクノロジー学」第7回、第8回
・データ可視化：複合グラフ、2軸グラフ、多次元の可視化、関係性の可視化、地図上の可視化、
挙動・軌跡の可視化、リアルタイム可視化など「情報処理技術」第4回～第6回、第8回</t>
    <phoneticPr fontId="1"/>
  </si>
  <si>
    <t xml:space="preserve">・情報セキュリティの3要素（機密性、完全性、可用性）「情報処理技術」第1回
</t>
    <phoneticPr fontId="1"/>
  </si>
  <si>
    <t xml:space="preserve">・倫理的・法的・社会的課題（ELSI：Ethical, Legal and Social Issues）「情報処理技術」第1回
・データ倫理：データのねつ造、改ざん、盗用、プライバシー保護「情報処理技術」第1回
・AI社会原則（公平性、説明責任、透明性、人間中心の判断）「情報処理技術」第1回
</t>
    <phoneticPr fontId="1"/>
  </si>
  <si>
    <t>・調査データ、実験データ、人の行動ログデータ、機械の稼働ログデータな
ど「リハビリテーション工学演習」第6回～第10回、「アシスティブテクノロジー学」第7回、第8回
・1次データ、2次データ、データのメタ化「統計学」第14回、第15回、「情報処理技術」第6回
・データ作成（ビッグデータとアノテーション）「統計学」第14回、第15回</t>
    <phoneticPr fontId="1"/>
  </si>
  <si>
    <t xml:space="preserve">・データの種類（量的変数、質的変数）「統計学」第2回
・データの分布(ヒストグラム)と代表値（平均値、中央値、最頻値）「統計学」第1回～第3回
・代表値の性質の違い（実社会では平均値＝最頻値でないことが多い）「統計学」第1回～第3回
・データのばらつき（分散、標準偏差、偏差値）、外れ値「統計学」第7回～第13回
・観測データに含まれる誤差の扱い「リハビリテーション工学演習」第6回～第10回、「アシスティブテクノロジー学」第7回、第8回
・打ち切りや欠測を含むデータ、層別の必要なデータ「リハビリテーション工学演習」第6回～第10回、「アシスティブテクノロジー学」第7回、第8回
</t>
    <rPh sb="281" eb="282">
      <t>ガク</t>
    </rPh>
    <rPh sb="283" eb="284">
      <t>ダイ</t>
    </rPh>
    <rPh sb="285" eb="286">
      <t>カイ</t>
    </rPh>
    <rPh sb="287" eb="288">
      <t>ダイ</t>
    </rPh>
    <rPh sb="289" eb="290">
      <t>カイ</t>
    </rPh>
    <phoneticPr fontId="1"/>
  </si>
  <si>
    <t>・優れた可視化事例の紹介（可視化することによって新たな気づきがあった事例など）「リハビリテーション工学演習」第6回～第10回、「アシスティブテクノロジー学」第7回、第8回
・相手に的確かつ正確に情報を伝える技術や考え方（スライド作成、プレゼンテーションなど）「リハビリテーション工学演習」第6回～第10回、「アシスティブテクノロジー学」第7回、第8回</t>
    <phoneticPr fontId="1"/>
  </si>
  <si>
    <t>・データの取得（機械判読可能なデータの作成・表記方法）「統計学」第2回～第3回
・データの集計（和、平均）「情報処理技術」第６回～第7回、第9回
・データ解析ツール（スプレッドシート、BIツール）「統計学」第7回～第13回「リハビリテーション工学演習」第6回～第10回、「アシスティブテクノロジー学」第7回、第8回
・表形式のデータ（csv）「情報処理技術」第６回～第7回、第9回</t>
    <phoneticPr fontId="1"/>
  </si>
  <si>
    <t>・ビッグデータ、IoT、AI、生成AI、ロボット「情報活用論」第6回
・データ量の増加、計算機の処理性能の向上、AIの非連続的進化「情報活用論」第3回
・第4次産業革命、Society 5.0、データ駆動型社会「情報活用論」第6回
・複数技術を組み合わせたAIサービス「情報活用論」第8回
・人間の知的活動とAIの関係性「情報活用論」第8回
・データを起点としたものの見方、人間の知的活動を起点としたものの見方「情報活用論」第6回</t>
    <phoneticPr fontId="1"/>
  </si>
  <si>
    <t>・AI最新技術の活用例（深層生成モデル、強化学習、転移学習、生成AIなど）「情報活用論」第8回
・AI等を活用した新しいビジネスモデル(シェアリングエコノミー、商品のレコメンデーションなど)「情報活用論」第8回</t>
    <phoneticPr fontId="1"/>
  </si>
  <si>
    <t>・調査データ、実験データ、人の行動ログデータ、機械の稼働ログデータなど「情報活用論」第3回～第5回、「情報処理技術」第1回、「保健統計学」第18回～第20回
・1次データ、2次データ、データのメタ化「情報活用論」第1回
・構造化データ、非構造化データ（文章、画像/動画、音声/音楽など）「情報活用論」第1回、第3回、第4回
・データ作成（ビッグデータとアノテーション）「情報活用論」第1回
・データのオープン化（オープンデータ）「情報活用論」第3回</t>
    <phoneticPr fontId="1"/>
  </si>
  <si>
    <t>・データ・AI活用領域の広がり(生産、消費、文化活動など)「情報活用論」第6回
・研究開発、調達、製造、物流、販売、マーケティング、サービスなど「情報活用論」第6回、第7回
・仮説検証、知識発見、原因究明、計画策定、判断支援、活動代替、新規生成など「情報活用論」第6回、第7回、「保健統計学」第15回～第17回</t>
    <phoneticPr fontId="1"/>
  </si>
  <si>
    <t>・データ解析：予測、グルーピング、パターン発見、最適化、モデル化とシミュレーション・データ同化など「情報活用論」第5回、「情報処理技術」第9回
・データ可視化：複合グラフ、2軸グラフ、多次元の可視化、関係性の可視化、地図上の可視化、挙動・軌跡の可視化、リアルタイム可視化など「情報処理技術」第9回
・非構造化データ処理：言語処理、画像/動画処理、音声/音楽処理など「情報処理技術」第1回、第10回
・特化型AIと汎用AI、今のAIで出来ることと出来ないこと、AIとビッグデータ「情報活用論」第8回
・認識技術、ルールベース、自動化技術「情報活用論」第8回</t>
    <phoneticPr fontId="1"/>
  </si>
  <si>
    <t>・データサイエンスのサイクル（課題抽出と定式化、データの取得・管理・加工、
探索的データ解析、データ解析と推論、結果の共有・伝達、課題解決に向けた提案）「情報活用論」第3回～第5回
・教育、芸術、流通、製造、金融、サービス、インフラ、公共、ヘルスケア等におけるデータ・AI利活用事例紹介「情報活用論」第8回</t>
    <phoneticPr fontId="1"/>
  </si>
  <si>
    <t>・倫理的・法的・社会的課題（ELSI：Ethical, Legal and Social Issues）「情報活用論」第10回
・個人情報保護、EU一般データ保護規則(GDPR)、忘れられる権利、オプトアウト「情報活用論」第10回
・データ倫理：データのねつ造、改ざん、盗用、プライバシー保護「情報活用論」第10回
・AI社会原則（公平性、説明責任、透明性、人間中心の判断）「情報活用論」第10回
・データバイアス、アルゴリズムバイアス「情報活用論」第10回
・AIサービスの責任論「情報活用論」第10回
・データガバナンス「情報活用論」第10回</t>
    <phoneticPr fontId="1"/>
  </si>
  <si>
    <t>・情報セキュリティの3要素（機密性、完全性、可用性）「情報活用論」第9回
・匿名加工情報、暗号化と復号、ユーザ認証と、パスワード、アクセス制御、悪意ある情報搾取「情報活用論」第9回
・情報漏洩等によるセキュリティ事故の事例紹介「情報活用論」第9回</t>
    <phoneticPr fontId="1"/>
  </si>
  <si>
    <t>・データの種類（量的変数、質的変数）「情報活用論」第4回、第5回、「保健統計学」第2回
・データの分布(ヒストグラム)と代表値（平均値、中央値、最頻値）「情報処理技術」第3回、第8回、「保健統計学」第5回～第6回
・代表値の性質の違い（実社会では平均値＝最頻値でないことが多い）「保健統計学」第5回～第6回
・データのばらつき（分散、標準偏差、偏差値）、外れ値「情報処理技術」第4回、「保健統計学」第5回～第6回
・相関と因果（相関係数、擬似相関、交絡）「保健統計学」第10回～第11回、第14回～第16回
・観測データに含まれる誤差の扱い「保健統計学」第4回
・打ち切りや欠測を含むデータ、層別の必要なデータ「保健統計学」第4回、第8回～第9回
・母集団と標本抽出（国勢調査、アンケート調査、全数調査、単純無作為抽出、層別抽出、多段抽出）「保健統計学」第3回
・クロス集計表、分割表、相関係数行列、散布図行列「保健統計学」第7回～第8回
・統計情報の正しい理解（誇張表現に惑わされない）「保健統計学」第12回～第13回</t>
    <phoneticPr fontId="1"/>
  </si>
  <si>
    <t>・データ表現（棒グラフ、折線グラフ、散布図、ヒートマップ、箱ひげ図）「情報処理技術」第8回、「保健統計学」第9回
・データの比較（条件をそろえた比較、処理の前後での比較、A/Bテスト)「保健統計学」第9回
・不適切なグラフ表現（チャートジャンク、不必要な視覚的要素）「保健統計学」第4回
・優れた可視化事例の紹介（可視化することによって新たな気づきがあった事例など）「情報処理技術」第8回、「保健統計学」第9回
・相手に的確かつ正確に情報を伝える技術や考え方（スライド作成、プレゼンテーションなど）「保健統計学」第9回</t>
    <phoneticPr fontId="1"/>
  </si>
  <si>
    <t>・データの取得（機械判読可能なデータの作成・表記方法）「情報処理技術」第2回
・データの集計（和、平均）「情報処理技術」第6回
・データの並び替え、ランキング「情報処理技術」第1回～第8回、第10回
・データ解析ツール（スプレッドシート、BIツール）「情報処理技術」第1回</t>
    <phoneticPr fontId="1"/>
  </si>
  <si>
    <t>・AI等を活用した新しいビジネスモデル(シェアリングエコノミー、商品のレコメンデーションなど)「ITからみた医療・医学A1」第12回</t>
    <phoneticPr fontId="1"/>
  </si>
  <si>
    <t>・データサイエンスのサイクル（課題抽出と定式化、データの取得・管理・加工、探索的データ解析、データ解析と推論、結果の共有・伝達、課題解決に向けた提案）「臨床実習入門P4b」第1回
・教育、芸術、流通、製造、金融、サービス、インフラ、公共、ヘルスケア等におけるデータ・AI利活用事例紹介「ITからみた医療・医学A1」第12回、第13回、「臨床実習入門P4b」第1回</t>
    <phoneticPr fontId="1"/>
  </si>
  <si>
    <t xml:space="preserve">
・データ量の増加、計算機の処理性能の向上、AIの非連続的進化「理工学からみた医療・医学B3」第17回、「理工学からみた医学・医療A1」第30回、32回、34回
・複数技術を組み合わせたAIサービス「ITからみた医療・医学A1」第10回、第12回
・人間の知的活動とAIの関係性「ITからみた医療・医学A1」第12回
</t>
    <phoneticPr fontId="1"/>
  </si>
  <si>
    <t xml:space="preserve">・データ解析：予測、グルーピング、パターン発見、最適化、モデル化とシミュレーション・データ同化など「ITからみた医療・医学A1」第13回「臨床実習入門P4b」第1回、「理工学からみた医学・医療A1」第30回、32回、34回
・非構造化データ処理：言語処理、画像/動画処理、音声/音楽処理など「ITからみた医療・医学A1」第13回、「臨床実習入門P4b」第1回
</t>
    <phoneticPr fontId="1"/>
  </si>
  <si>
    <t>・調査データ、実験データ、人の行動ログデータ、機械の稼働ログデータなど「ITからみた医療・医学A1」第10回、「理工学からみた医療・医学P1」第5回～7回
・1次データ、2次データ、データのメタ化「理工学からみた医療・医学B3」第12回～第16回</t>
    <rPh sb="56" eb="58">
      <t>リコウ</t>
    </rPh>
    <rPh sb="58" eb="59">
      <t>ガク</t>
    </rPh>
    <rPh sb="63" eb="65">
      <t>イリョウ</t>
    </rPh>
    <rPh sb="66" eb="68">
      <t>イガク</t>
    </rPh>
    <rPh sb="71" eb="72">
      <t>ダイ</t>
    </rPh>
    <rPh sb="73" eb="74">
      <t>カイ</t>
    </rPh>
    <rPh sb="76" eb="77">
      <t>カイ</t>
    </rPh>
    <phoneticPr fontId="1"/>
  </si>
  <si>
    <t>・データ・AI活用領域の広がり(生産、消費、文化活動など)「ITからみた医療・医学A1」第10回、第12回、第13回
・研究開発、調達、製造、物流、販売、マーケティング、サービスなど「ITからみた医療・医学A1」第10回、第12回、第13回、「臨床実習入門P4b」第1回
・仮説検証、知識発見、原因究明、計画策定、判断支援、活動代替、新規生成など「ITからみた医療・医学A1」第10回、第12回、第13回</t>
    <rPh sb="122" eb="124">
      <t>リンショウ</t>
    </rPh>
    <rPh sb="124" eb="126">
      <t>ジッシュウ</t>
    </rPh>
    <rPh sb="126" eb="128">
      <t>ニュウモン</t>
    </rPh>
    <rPh sb="132" eb="133">
      <t>ダイ</t>
    </rPh>
    <rPh sb="134" eb="135">
      <t>カイ</t>
    </rPh>
    <phoneticPr fontId="1"/>
  </si>
  <si>
    <t>・情報セキュリティの3要素（機密性、完全性、可用性）「ITからみた医療・医学A1」第13回、「理工学からみた医療・医学P1」第4回、第8回、「臨床実習入門P4b」第7回
・匿名加工情報、暗号化と復号、ユーザ認証と、パスワード、アクセス制御、悪意ある情報搾取「ITからみた医療・医学A1」第13回
・情報漏洩等によるセキュリティ事故の事例紹介「ITからみた医療・医学A1」第13回、「臨床実習入門P4b」第7回
・サイバーセキュリティ「ITからみた医療・医学A1」第13回</t>
    <phoneticPr fontId="1"/>
  </si>
  <si>
    <t xml:space="preserve">・倫理的・法的・社会的課題（ELSI：Ethical, Legal and Social Issues）「ITからみた医療・医学A1」第13回、「臨床実習入門P4b」第7回
・個人情報保護、EU一般データ保護規則(GDPR)、忘れられる権利、オプトアウト「ITからみた医療・医学A1」第13回、「臨床実習入門P4b」第7回
・データ倫理：データのねつ造、改ざん、盗用、プライバシー保護「ITからみた医療・医学A1」第13回「理工学からみた医療・医学P1」第4回、第8回、第10回、第14回～第16回、「臨床実習入門P4b」第7回
</t>
    <phoneticPr fontId="1"/>
  </si>
  <si>
    <t xml:space="preserve">・データの取得（機械判読可能なデータの作成・表記方法）「臨床実習入門P4b」第2回、第9回
・データ解析ツール（スプレッドシート、BIツール）「ITからみた医療・医学A1」第15回
</t>
    <rPh sb="38" eb="39">
      <t>ダイ</t>
    </rPh>
    <rPh sb="40" eb="41">
      <t>カイ</t>
    </rPh>
    <phoneticPr fontId="1"/>
  </si>
  <si>
    <t>・データの種類（量的変数、質的変数）「理工学からみた医療・医学B3」第3回、「臨床実習入門P4b」第2回、第9回
・データの分布(ヒストグラム)と代表値（平均値、中央値、最頻値）「理工学からみた医療・医学B3」第1回～第11回
・代表値の性質の違い（実社会では平均値＝最頻値でないことが多い）「理工学からみた医療・医学B3」第6回
・データのばらつき（分散、標準偏差、偏差値）、外れ値「理工学からみた医療・医学B3」第1回～第11回
・相関と因果（相関係数、擬似相関、交絡）「理工学からみた医療・医学B3」第13回～第14回
・母集団と標本抽出（国勢調査、アンケート調査、全数調査、単純無作為抽出、層別抽出、多段抽出）「理工学からみた医療・医学B3」第3回
・クロス集計表、分割表、相関係数行列、散布図行列「理工学からみた医療・医学B3」第10回
・統計情報の正しい理解（誇張表現に惑わされない）「理工学からみた医療・医学B3」第4回</t>
    <rPh sb="53" eb="54">
      <t>ダイ</t>
    </rPh>
    <rPh sb="55" eb="56">
      <t>カイ</t>
    </rPh>
    <phoneticPr fontId="1"/>
  </si>
  <si>
    <t>・データ表現（棒グラフ、折線グラフ、散布図、ヒートマップ、箱ひげ図）「理工学からみた医療・医学B3」第2回
・データの比較（条件をそろえた比較、処理の前後での比較、A/Bテスト)「理工学からみた医療・医学B3」第2回
・相手に的確かつ正確に情報を伝える技術や考え方（スライド作成、プレゼンテーションなど）「臨床実習入門P4b」第2回、第9回</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</si>
</sst>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rgb="FFFFFF0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72">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0" xfId="0" applyFont="1" applyAlignment="1">
      <alignment horizontal="right" vertical="center"/>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horizontal="right" vertical="center"/>
    </xf>
    <xf numFmtId="0" fontId="2" fillId="0" borderId="9" xfId="0" applyFont="1" applyBorder="1" applyAlignment="1">
      <alignment vertical="top" shrinkToFit="1"/>
    </xf>
    <xf numFmtId="0" fontId="2" fillId="0" borderId="10" xfId="0" applyFont="1" applyBorder="1" applyAlignment="1">
      <alignment vertical="top" shrinkToFit="1"/>
    </xf>
    <xf numFmtId="0" fontId="2" fillId="0" borderId="12" xfId="0" applyFont="1" applyBorder="1" applyAlignment="1">
      <alignment vertical="top" shrinkToFit="1"/>
    </xf>
    <xf numFmtId="38" fontId="2" fillId="0" borderId="46" xfId="2" applyFont="1" applyFill="1" applyBorder="1" applyAlignment="1">
      <alignment vertical="center" shrinkToFit="1"/>
    </xf>
    <xf numFmtId="0" fontId="2" fillId="3" borderId="20" xfId="0" applyFont="1" applyFill="1" applyBorder="1" applyAlignment="1">
      <alignment horizontal="center" vertical="center" shrinkToFit="1"/>
    </xf>
    <xf numFmtId="0" fontId="3" fillId="3" borderId="15" xfId="0" applyFont="1" applyFill="1" applyBorder="1" applyAlignment="1">
      <alignment horizontal="left" vertical="center" wrapText="1"/>
    </xf>
    <xf numFmtId="0" fontId="3" fillId="3" borderId="35" xfId="0" applyFont="1" applyFill="1" applyBorder="1" applyAlignment="1">
      <alignment horizontal="left" vertical="center" wrapTex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30" xfId="0" applyFont="1" applyBorder="1" applyAlignment="1">
      <alignment vertical="center" shrinkToFit="1"/>
    </xf>
    <xf numFmtId="0" fontId="3" fillId="3" borderId="14" xfId="0" applyFont="1" applyFill="1" applyBorder="1" applyAlignment="1">
      <alignment horizontal="left" vertical="center" wrapText="1"/>
    </xf>
    <xf numFmtId="0" fontId="3" fillId="3" borderId="13" xfId="0" applyFont="1" applyFill="1" applyBorder="1" applyAlignment="1">
      <alignment horizontal="left" vertical="center" wrapText="1"/>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0" xfId="0" applyFont="1" applyAlignment="1">
      <alignment vertical="center" wrapText="1"/>
    </xf>
    <xf numFmtId="0" fontId="3" fillId="3" borderId="20" xfId="0" applyFont="1" applyFill="1" applyBorder="1" applyAlignment="1">
      <alignment horizontal="left" vertical="center" wrapText="1"/>
    </xf>
    <xf numFmtId="0" fontId="3" fillId="0" borderId="40" xfId="0" applyFont="1" applyBorder="1" applyAlignment="1">
      <alignment vertical="center" wrapText="1"/>
    </xf>
    <xf numFmtId="0" fontId="3" fillId="0" borderId="41" xfId="0" applyFont="1" applyBorder="1" applyAlignment="1">
      <alignment vertical="center" wrapText="1"/>
    </xf>
    <xf numFmtId="0" fontId="3" fillId="0" borderId="27" xfId="0" applyFont="1" applyBorder="1" applyAlignment="1">
      <alignment vertical="center" wrapText="1"/>
    </xf>
    <xf numFmtId="0" fontId="2" fillId="0" borderId="0" xfId="0" applyFont="1" applyAlignment="1">
      <alignment horizontal="right" vertical="center"/>
    </xf>
    <xf numFmtId="0" fontId="2" fillId="0" borderId="2" xfId="0" applyFont="1" applyBorder="1" applyAlignment="1">
      <alignment horizontal="center" vertical="center" shrinkToFit="1"/>
    </xf>
    <xf numFmtId="0" fontId="2" fillId="0" borderId="3" xfId="0" applyFont="1" applyBorder="1" applyAlignment="1">
      <alignment horizontal="center" vertical="center" shrinkToFit="1"/>
    </xf>
    <xf numFmtId="0" fontId="2" fillId="0" borderId="4" xfId="0" applyFont="1" applyBorder="1" applyAlignment="1">
      <alignment horizontal="center" vertical="center" shrinkToFit="1"/>
    </xf>
    <xf numFmtId="0" fontId="6" fillId="0" borderId="0" xfId="0" applyFont="1" applyAlignment="1">
      <alignment horizontal="center"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49" fontId="3" fillId="3" borderId="15" xfId="0" applyNumberFormat="1" applyFont="1" applyFill="1" applyBorder="1" applyAlignment="1">
      <alignment horizontal="left" vertical="center" wrapText="1"/>
    </xf>
    <xf numFmtId="49" fontId="3" fillId="3" borderId="15" xfId="0" applyNumberFormat="1" applyFont="1" applyFill="1" applyBorder="1" applyAlignment="1">
      <alignment horizontal="left" vertical="center"/>
    </xf>
    <xf numFmtId="49" fontId="3" fillId="3" borderId="35" xfId="0" applyNumberFormat="1" applyFont="1" applyFill="1" applyBorder="1" applyAlignment="1">
      <alignment horizontal="left" vertical="center" wrapText="1"/>
    </xf>
    <xf numFmtId="49" fontId="3" fillId="3" borderId="35" xfId="0" applyNumberFormat="1" applyFont="1" applyFill="1" applyBorder="1" applyAlignment="1">
      <alignment horizontal="left" vertical="center"/>
    </xf>
    <xf numFmtId="0" fontId="2" fillId="3" borderId="18" xfId="0" applyFont="1" applyFill="1" applyBorder="1" applyAlignment="1">
      <alignment horizontal="left" vertical="center" shrinkToFit="1"/>
    </xf>
    <xf numFmtId="0" fontId="2" fillId="3" borderId="19" xfId="0" applyFont="1" applyFill="1" applyBorder="1" applyAlignment="1">
      <alignment horizontal="left" vertical="center" shrinkToFit="1"/>
    </xf>
    <xf numFmtId="0" fontId="2" fillId="3" borderId="18" xfId="0" applyFont="1" applyFill="1" applyBorder="1" applyAlignment="1">
      <alignment vertical="center" shrinkToFit="1"/>
    </xf>
    <xf numFmtId="0" fontId="2" fillId="3" borderId="19" xfId="0" applyFont="1" applyFill="1" applyBorder="1" applyAlignment="1">
      <alignment vertical="center" shrinkToFit="1"/>
    </xf>
    <xf numFmtId="0" fontId="2" fillId="3" borderId="17" xfId="0" applyFont="1" applyFill="1" applyBorder="1" applyAlignment="1">
      <alignment vertical="center" shrinkToFit="1"/>
    </xf>
    <xf numFmtId="0" fontId="2" fillId="3" borderId="7" xfId="0" applyFont="1" applyFill="1" applyBorder="1" applyAlignment="1">
      <alignment horizontal="left" vertical="top" wrapText="1" shrinkToFit="1"/>
    </xf>
    <xf numFmtId="0" fontId="2" fillId="3" borderId="8" xfId="0" applyFont="1" applyFill="1" applyBorder="1" applyAlignment="1">
      <alignment horizontal="left" vertical="top" wrapText="1" shrinkToFit="1"/>
    </xf>
    <xf numFmtId="0" fontId="2" fillId="3" borderId="9" xfId="0" applyFont="1" applyFill="1" applyBorder="1" applyAlignment="1">
      <alignment horizontal="left" vertical="top" wrapText="1" shrinkToFit="1"/>
    </xf>
    <xf numFmtId="0" fontId="2" fillId="3" borderId="5" xfId="0" applyFont="1" applyFill="1" applyBorder="1" applyAlignment="1">
      <alignment horizontal="left" vertical="top" wrapText="1" shrinkToFit="1"/>
    </xf>
    <xf numFmtId="0" fontId="2" fillId="3" borderId="0" xfId="0" applyFont="1" applyFill="1" applyAlignment="1">
      <alignment horizontal="left" vertical="top" wrapText="1" shrinkToFit="1"/>
    </xf>
    <xf numFmtId="0" fontId="2" fillId="3" borderId="10" xfId="0" applyFont="1" applyFill="1" applyBorder="1" applyAlignment="1">
      <alignment horizontal="left" vertical="top" wrapText="1" shrinkToFit="1"/>
    </xf>
    <xf numFmtId="0" fontId="2" fillId="3" borderId="11" xfId="0" applyFont="1" applyFill="1" applyBorder="1" applyAlignment="1">
      <alignment horizontal="left" vertical="top" wrapText="1" shrinkToFit="1"/>
    </xf>
    <xf numFmtId="0" fontId="2" fillId="3" borderId="6" xfId="0" applyFont="1" applyFill="1" applyBorder="1" applyAlignment="1">
      <alignment horizontal="left" vertical="top" wrapText="1" shrinkToFit="1"/>
    </xf>
    <xf numFmtId="0" fontId="2" fillId="3" borderId="12" xfId="0" applyFont="1" applyFill="1" applyBorder="1" applyAlignment="1">
      <alignment horizontal="left" vertical="top" wrapText="1" shrinkToFi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3" fillId="0" borderId="8" xfId="0" applyFont="1" applyBorder="1" applyAlignment="1">
      <alignment horizontal="left" vertical="top" wrapText="1" shrinkToFit="1"/>
    </xf>
    <xf numFmtId="0" fontId="3" fillId="0" borderId="0" xfId="0" applyFont="1" applyBorder="1" applyAlignment="1">
      <alignment horizontal="left" vertical="top" wrapText="1" shrinkToFit="1"/>
    </xf>
    <xf numFmtId="0" fontId="3" fillId="0" borderId="6" xfId="0" applyFont="1" applyBorder="1" applyAlignment="1">
      <alignment horizontal="left" vertical="top" wrapText="1"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3" fillId="0" borderId="7" xfId="0" applyFont="1" applyBorder="1" applyAlignment="1">
      <alignment horizontal="left" vertical="top" wrapText="1" shrinkToFit="1"/>
    </xf>
    <xf numFmtId="0" fontId="3" fillId="0" borderId="5" xfId="0" applyFont="1" applyBorder="1" applyAlignment="1">
      <alignment horizontal="left" vertical="top" wrapText="1" shrinkToFit="1"/>
    </xf>
    <xf numFmtId="0" fontId="3" fillId="0" borderId="11" xfId="0" applyFont="1" applyBorder="1" applyAlignment="1">
      <alignment horizontal="lef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xf numFmtId="0" fontId="2" fillId="0" borderId="18" xfId="0" applyFont="1" applyBorder="1" applyAlignment="1">
      <alignment vertical="top" wrapText="1" shrinkToFit="1"/>
    </xf>
    <xf numFmtId="0" fontId="2" fillId="0" borderId="32" xfId="0" applyFont="1" applyBorder="1" applyAlignment="1">
      <alignment vertical="top" wrapText="1" shrinkToFit="1"/>
    </xf>
    <xf numFmtId="0" fontId="2" fillId="0" borderId="16" xfId="0" applyFont="1" applyBorder="1">
      <alignment vertical="center"/>
    </xf>
    <xf numFmtId="0" fontId="5" fillId="0" borderId="17" xfId="0" applyFont="1" applyBorder="1">
      <alignment vertical="center"/>
    </xf>
    <xf numFmtId="0" fontId="3" fillId="0" borderId="0" xfId="0" applyFont="1" applyAlignment="1">
      <alignment vertical="center" wrapText="1"/>
    </xf>
  </cellXfs>
  <cellStyles count="3">
    <cellStyle name="パーセント" xfId="1" builtinId="5"/>
    <cellStyle name="桁区切り" xfId="2" builtinId="6"/>
    <cellStyle name="標準" xfId="0" builtinId="0"/>
  </cellStyles>
  <dxfs count="6">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pageSetUpPr fitToPage="1"/>
  </sheetPr>
  <dimension ref="A1:AB107"/>
  <sheetViews>
    <sheetView showZeros="0" view="pageBreakPreview" topLeftCell="A4" zoomScale="80" zoomScaleNormal="100" zoomScaleSheetLayoutView="80" workbookViewId="0">
      <selection activeCell="AB85" sqref="AB1:AB1048576"/>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28" width="82.77734375" style="1" customWidth="1"/>
    <col min="29" max="16384" width="9" style="1"/>
  </cols>
  <sheetData>
    <row r="1" spans="1:24" ht="18.600000000000001" customHeight="1" x14ac:dyDescent="0.2">
      <c r="T1" s="129" t="s">
        <v>144</v>
      </c>
      <c r="U1" s="129"/>
      <c r="V1" s="2" t="s">
        <v>93</v>
      </c>
    </row>
    <row r="2" spans="1:24" ht="18.75" customHeight="1" x14ac:dyDescent="0.2">
      <c r="B2" s="17" t="s">
        <v>92</v>
      </c>
      <c r="C2" s="95" t="s">
        <v>147</v>
      </c>
      <c r="D2" s="96"/>
      <c r="E2" s="96"/>
      <c r="F2" s="96"/>
      <c r="G2" s="96"/>
      <c r="H2" s="96"/>
      <c r="I2" s="96"/>
      <c r="J2" s="97"/>
      <c r="K2" s="18"/>
      <c r="L2" s="6"/>
      <c r="M2" s="6"/>
      <c r="N2" s="6"/>
      <c r="O2" s="6"/>
      <c r="P2" s="6"/>
      <c r="Q2" s="6"/>
      <c r="R2" s="6"/>
      <c r="S2" s="6"/>
      <c r="T2" s="6"/>
      <c r="U2" s="6"/>
    </row>
    <row r="3" spans="1:24" ht="18.75" customHeight="1" x14ac:dyDescent="0.2">
      <c r="B3" s="17" t="s">
        <v>87</v>
      </c>
      <c r="C3" s="130" t="s">
        <v>152</v>
      </c>
      <c r="D3" s="131"/>
      <c r="E3" s="131"/>
      <c r="F3" s="131"/>
      <c r="G3" s="131"/>
      <c r="H3" s="131"/>
      <c r="I3" s="131"/>
      <c r="J3" s="132"/>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33" t="s">
        <v>141</v>
      </c>
      <c r="B5" s="133"/>
      <c r="C5" s="133"/>
      <c r="D5" s="133"/>
      <c r="E5" s="133"/>
      <c r="F5" s="133"/>
      <c r="G5" s="133"/>
      <c r="H5" s="133"/>
      <c r="I5" s="133"/>
      <c r="J5" s="133"/>
      <c r="K5" s="133"/>
      <c r="L5" s="133"/>
      <c r="M5" s="133"/>
      <c r="N5" s="133"/>
      <c r="O5" s="133"/>
      <c r="P5" s="133"/>
      <c r="Q5" s="133"/>
      <c r="R5" s="133"/>
      <c r="S5" s="133"/>
      <c r="T5" s="133"/>
      <c r="U5" s="133"/>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37" t="s">
        <v>116</v>
      </c>
      <c r="M7" s="138"/>
      <c r="N7" s="138"/>
      <c r="O7" s="138"/>
      <c r="P7" s="138"/>
      <c r="Q7" s="138"/>
      <c r="R7" s="138"/>
      <c r="S7" s="138"/>
      <c r="T7" s="138"/>
      <c r="U7" s="139"/>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18" t="s">
        <v>148</v>
      </c>
      <c r="C11" s="119"/>
      <c r="D11" s="119"/>
      <c r="E11" s="119"/>
      <c r="F11" s="119"/>
      <c r="G11" s="119"/>
      <c r="H11" s="119"/>
      <c r="I11" s="119"/>
      <c r="J11" s="119"/>
      <c r="K11" s="119"/>
      <c r="L11" s="119"/>
      <c r="M11" s="119"/>
      <c r="N11" s="119"/>
      <c r="O11" s="119"/>
      <c r="P11" s="119"/>
      <c r="Q11" s="119"/>
      <c r="R11" s="119"/>
      <c r="S11" s="119"/>
      <c r="T11" s="119"/>
      <c r="U11" s="120"/>
    </row>
    <row r="12" spans="1:24" ht="18" customHeight="1" x14ac:dyDescent="0.2">
      <c r="B12" s="121"/>
      <c r="C12" s="122"/>
      <c r="D12" s="122"/>
      <c r="E12" s="122"/>
      <c r="F12" s="122"/>
      <c r="G12" s="122"/>
      <c r="H12" s="122"/>
      <c r="I12" s="122"/>
      <c r="J12" s="122"/>
      <c r="K12" s="122"/>
      <c r="L12" s="122"/>
      <c r="M12" s="122"/>
      <c r="N12" s="122"/>
      <c r="O12" s="122"/>
      <c r="P12" s="122"/>
      <c r="Q12" s="122"/>
      <c r="R12" s="122"/>
      <c r="S12" s="122"/>
      <c r="T12" s="122"/>
      <c r="U12" s="123"/>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94</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40" t="s">
        <v>164</v>
      </c>
      <c r="C15" s="141"/>
      <c r="D15" s="141"/>
      <c r="E15" s="141"/>
      <c r="F15" s="141"/>
      <c r="G15" s="141"/>
      <c r="H15" s="141"/>
      <c r="I15" s="141"/>
      <c r="J15" s="141"/>
      <c r="K15" s="141"/>
      <c r="L15" s="141"/>
      <c r="M15" s="141"/>
      <c r="N15" s="141"/>
      <c r="O15" s="141"/>
      <c r="P15" s="141"/>
      <c r="Q15" s="141"/>
      <c r="R15" s="141"/>
      <c r="S15" s="141"/>
      <c r="T15" s="141"/>
      <c r="U15" s="142"/>
      <c r="X15" s="1" t="s">
        <v>88</v>
      </c>
    </row>
    <row r="16" spans="1:24" ht="18" customHeight="1" x14ac:dyDescent="0.2">
      <c r="B16" s="143"/>
      <c r="C16" s="144"/>
      <c r="D16" s="144"/>
      <c r="E16" s="144"/>
      <c r="F16" s="144"/>
      <c r="G16" s="144"/>
      <c r="H16" s="144"/>
      <c r="I16" s="144"/>
      <c r="J16" s="144"/>
      <c r="K16" s="144"/>
      <c r="L16" s="144"/>
      <c r="M16" s="144"/>
      <c r="N16" s="144"/>
      <c r="O16" s="144"/>
      <c r="P16" s="144"/>
      <c r="Q16" s="144"/>
      <c r="R16" s="144"/>
      <c r="S16" s="144"/>
      <c r="T16" s="144"/>
      <c r="U16" s="145"/>
      <c r="X16" s="1" t="s">
        <v>122</v>
      </c>
    </row>
    <row r="17" spans="1:24" ht="18" customHeight="1" x14ac:dyDescent="0.2">
      <c r="B17" s="143"/>
      <c r="C17" s="144"/>
      <c r="D17" s="144"/>
      <c r="E17" s="144"/>
      <c r="F17" s="144"/>
      <c r="G17" s="144"/>
      <c r="H17" s="144"/>
      <c r="I17" s="144"/>
      <c r="J17" s="144"/>
      <c r="K17" s="144"/>
      <c r="L17" s="144"/>
      <c r="M17" s="144"/>
      <c r="N17" s="144"/>
      <c r="O17" s="144"/>
      <c r="P17" s="144"/>
      <c r="Q17" s="144"/>
      <c r="R17" s="144"/>
      <c r="S17" s="144"/>
      <c r="T17" s="144"/>
      <c r="U17" s="145"/>
      <c r="X17" s="1" t="s">
        <v>123</v>
      </c>
    </row>
    <row r="18" spans="1:24" ht="18" customHeight="1" x14ac:dyDescent="0.2">
      <c r="B18" s="143"/>
      <c r="C18" s="144"/>
      <c r="D18" s="144"/>
      <c r="E18" s="144"/>
      <c r="F18" s="144"/>
      <c r="G18" s="144"/>
      <c r="H18" s="144"/>
      <c r="I18" s="144"/>
      <c r="J18" s="144"/>
      <c r="K18" s="144"/>
      <c r="L18" s="144"/>
      <c r="M18" s="144"/>
      <c r="N18" s="144"/>
      <c r="O18" s="144"/>
      <c r="P18" s="144"/>
      <c r="Q18" s="144"/>
      <c r="R18" s="144"/>
      <c r="S18" s="144"/>
      <c r="T18" s="144"/>
      <c r="U18" s="145"/>
      <c r="X18" s="1" t="s">
        <v>124</v>
      </c>
    </row>
    <row r="19" spans="1:24" ht="18" customHeight="1" x14ac:dyDescent="0.2">
      <c r="B19" s="143"/>
      <c r="C19" s="144"/>
      <c r="D19" s="144"/>
      <c r="E19" s="144"/>
      <c r="F19" s="144"/>
      <c r="G19" s="144"/>
      <c r="H19" s="144"/>
      <c r="I19" s="144"/>
      <c r="J19" s="144"/>
      <c r="K19" s="144"/>
      <c r="L19" s="144"/>
      <c r="M19" s="144"/>
      <c r="N19" s="144"/>
      <c r="O19" s="144"/>
      <c r="P19" s="144"/>
      <c r="Q19" s="144"/>
      <c r="R19" s="144"/>
      <c r="S19" s="144"/>
      <c r="T19" s="144"/>
      <c r="U19" s="145"/>
    </row>
    <row r="20" spans="1:24" ht="18" customHeight="1" x14ac:dyDescent="0.2">
      <c r="B20" s="146"/>
      <c r="C20" s="147"/>
      <c r="D20" s="147"/>
      <c r="E20" s="147"/>
      <c r="F20" s="147"/>
      <c r="G20" s="147"/>
      <c r="H20" s="147"/>
      <c r="I20" s="147"/>
      <c r="J20" s="147"/>
      <c r="K20" s="147"/>
      <c r="L20" s="147"/>
      <c r="M20" s="147"/>
      <c r="N20" s="147"/>
      <c r="O20" s="147"/>
      <c r="P20" s="147"/>
      <c r="Q20" s="147"/>
      <c r="R20" s="147"/>
      <c r="S20" s="147"/>
      <c r="T20" s="147"/>
      <c r="U20" s="148"/>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19.95" customHeight="1" x14ac:dyDescent="0.2">
      <c r="B22" s="1" t="s">
        <v>119</v>
      </c>
      <c r="E22" s="76">
        <v>5</v>
      </c>
      <c r="F22" s="1" t="s">
        <v>106</v>
      </c>
      <c r="H22" s="19">
        <v>8.5</v>
      </c>
      <c r="I22" s="3" t="s">
        <v>107</v>
      </c>
      <c r="J22" s="3"/>
      <c r="K22" s="18"/>
      <c r="M22" s="18" t="s">
        <v>103</v>
      </c>
      <c r="N22" s="134" t="s">
        <v>123</v>
      </c>
      <c r="O22" s="135"/>
      <c r="P22" s="135"/>
      <c r="Q22" s="135"/>
      <c r="R22" s="135"/>
      <c r="S22" s="135"/>
      <c r="T22" s="135"/>
      <c r="U22" s="136"/>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124" t="s">
        <v>95</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x14ac:dyDescent="0.2">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x14ac:dyDescent="0.2">
      <c r="B26" s="95" t="s">
        <v>47</v>
      </c>
      <c r="C26" s="96"/>
      <c r="D26" s="96"/>
      <c r="E26" s="96"/>
      <c r="F26" s="97"/>
      <c r="G26" s="60" t="s">
        <v>72</v>
      </c>
      <c r="H26" s="61" t="s">
        <v>75</v>
      </c>
      <c r="I26" s="62" t="s">
        <v>50</v>
      </c>
      <c r="J26" s="62" t="s">
        <v>53</v>
      </c>
      <c r="K26" s="95" t="s">
        <v>47</v>
      </c>
      <c r="L26" s="96"/>
      <c r="M26" s="96"/>
      <c r="N26" s="96"/>
      <c r="O26" s="96"/>
      <c r="P26" s="96"/>
      <c r="Q26" s="97"/>
      <c r="R26" s="60" t="s">
        <v>72</v>
      </c>
      <c r="S26" s="61" t="s">
        <v>75</v>
      </c>
      <c r="T26" s="62" t="s">
        <v>50</v>
      </c>
      <c r="U26" s="62" t="s">
        <v>53</v>
      </c>
    </row>
    <row r="27" spans="1:24" ht="18" customHeight="1" x14ac:dyDescent="0.2">
      <c r="B27" s="106" t="s">
        <v>153</v>
      </c>
      <c r="C27" s="107"/>
      <c r="D27" s="107"/>
      <c r="E27" s="107"/>
      <c r="F27" s="108"/>
      <c r="G27" s="64">
        <v>1.5</v>
      </c>
      <c r="H27" s="64" t="s">
        <v>154</v>
      </c>
      <c r="I27" s="64" t="s">
        <v>154</v>
      </c>
      <c r="J27" s="63"/>
      <c r="K27" s="104"/>
      <c r="L27" s="105"/>
      <c r="M27" s="105"/>
      <c r="N27" s="105"/>
      <c r="O27" s="105"/>
      <c r="P27" s="105"/>
      <c r="Q27" s="115"/>
      <c r="R27" s="63"/>
      <c r="S27" s="63"/>
      <c r="T27" s="63"/>
      <c r="U27" s="63"/>
    </row>
    <row r="28" spans="1:24" ht="18" customHeight="1" x14ac:dyDescent="0.2">
      <c r="B28" s="106" t="s">
        <v>161</v>
      </c>
      <c r="C28" s="107"/>
      <c r="D28" s="107"/>
      <c r="E28" s="107"/>
      <c r="F28" s="108"/>
      <c r="G28" s="64">
        <v>3</v>
      </c>
      <c r="H28" s="64" t="s">
        <v>162</v>
      </c>
      <c r="I28" s="64" t="s">
        <v>162</v>
      </c>
      <c r="J28" s="64"/>
      <c r="K28" s="106"/>
      <c r="L28" s="107"/>
      <c r="M28" s="107"/>
      <c r="N28" s="107"/>
      <c r="O28" s="107"/>
      <c r="P28" s="107"/>
      <c r="Q28" s="108"/>
      <c r="R28" s="64"/>
      <c r="S28" s="64"/>
      <c r="T28" s="64"/>
      <c r="U28" s="64"/>
    </row>
    <row r="29" spans="1:24" ht="18" customHeight="1" x14ac:dyDescent="0.2">
      <c r="B29" s="106" t="s">
        <v>157</v>
      </c>
      <c r="C29" s="107"/>
      <c r="D29" s="107"/>
      <c r="E29" s="107"/>
      <c r="F29" s="108"/>
      <c r="G29" s="64">
        <v>2</v>
      </c>
      <c r="H29" s="64" t="s">
        <v>162</v>
      </c>
      <c r="I29" s="64" t="s">
        <v>162</v>
      </c>
      <c r="J29" s="64" t="s">
        <v>154</v>
      </c>
      <c r="K29" s="106"/>
      <c r="L29" s="107"/>
      <c r="M29" s="107"/>
      <c r="N29" s="107"/>
      <c r="O29" s="107"/>
      <c r="P29" s="107"/>
      <c r="Q29" s="108"/>
      <c r="R29" s="64"/>
      <c r="S29" s="64"/>
      <c r="T29" s="64"/>
      <c r="U29" s="64"/>
    </row>
    <row r="30" spans="1:24" ht="18" customHeight="1" x14ac:dyDescent="0.2">
      <c r="B30" s="106"/>
      <c r="C30" s="107"/>
      <c r="D30" s="107"/>
      <c r="E30" s="107"/>
      <c r="F30" s="108"/>
      <c r="G30" s="64"/>
      <c r="H30" s="64"/>
      <c r="I30" s="64"/>
      <c r="J30" s="64"/>
      <c r="K30" s="106"/>
      <c r="L30" s="107"/>
      <c r="M30" s="107"/>
      <c r="N30" s="107"/>
      <c r="O30" s="107"/>
      <c r="P30" s="107"/>
      <c r="Q30" s="108"/>
      <c r="R30" s="64"/>
      <c r="S30" s="64"/>
      <c r="T30" s="64"/>
      <c r="U30" s="64"/>
    </row>
    <row r="31" spans="1:24" ht="18" customHeight="1" x14ac:dyDescent="0.2">
      <c r="B31" s="106"/>
      <c r="C31" s="107"/>
      <c r="D31" s="107"/>
      <c r="E31" s="107"/>
      <c r="F31" s="108"/>
      <c r="G31" s="64"/>
      <c r="H31" s="64"/>
      <c r="I31" s="64"/>
      <c r="J31" s="64"/>
      <c r="K31" s="106"/>
      <c r="L31" s="107"/>
      <c r="M31" s="107"/>
      <c r="N31" s="107"/>
      <c r="O31" s="107"/>
      <c r="P31" s="107"/>
      <c r="Q31" s="108"/>
      <c r="R31" s="64"/>
      <c r="S31" s="64"/>
      <c r="T31" s="64"/>
      <c r="U31" s="64"/>
    </row>
    <row r="32" spans="1:24" ht="18" customHeight="1" x14ac:dyDescent="0.2">
      <c r="A32" s="3"/>
      <c r="B32" s="106"/>
      <c r="C32" s="107"/>
      <c r="D32" s="107"/>
      <c r="E32" s="107"/>
      <c r="F32" s="108"/>
      <c r="G32" s="64"/>
      <c r="H32" s="64"/>
      <c r="I32" s="64"/>
      <c r="J32" s="64"/>
      <c r="K32" s="106"/>
      <c r="L32" s="107"/>
      <c r="M32" s="107"/>
      <c r="N32" s="107"/>
      <c r="O32" s="107"/>
      <c r="P32" s="107"/>
      <c r="Q32" s="108"/>
      <c r="R32" s="64"/>
      <c r="S32" s="64"/>
      <c r="T32" s="64"/>
      <c r="U32" s="64"/>
    </row>
    <row r="33" spans="1:21" ht="18" customHeight="1" x14ac:dyDescent="0.2">
      <c r="A33" s="3"/>
      <c r="B33" s="98"/>
      <c r="C33" s="99"/>
      <c r="D33" s="99"/>
      <c r="E33" s="99"/>
      <c r="F33" s="100"/>
      <c r="G33" s="65"/>
      <c r="H33" s="65"/>
      <c r="I33" s="66"/>
      <c r="J33" s="66"/>
      <c r="K33" s="98"/>
      <c r="L33" s="99"/>
      <c r="M33" s="99"/>
      <c r="N33" s="99"/>
      <c r="O33" s="99"/>
      <c r="P33" s="99"/>
      <c r="Q33" s="100"/>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124" t="s">
        <v>96</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x14ac:dyDescent="0.2">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x14ac:dyDescent="0.2">
      <c r="B37" s="95" t="s">
        <v>47</v>
      </c>
      <c r="C37" s="96"/>
      <c r="D37" s="96"/>
      <c r="E37" s="96"/>
      <c r="F37" s="97"/>
      <c r="G37" s="60" t="s">
        <v>72</v>
      </c>
      <c r="H37" s="61" t="s">
        <v>75</v>
      </c>
      <c r="I37" s="62" t="s">
        <v>63</v>
      </c>
      <c r="J37" s="62" t="s">
        <v>64</v>
      </c>
      <c r="K37" s="95" t="s">
        <v>47</v>
      </c>
      <c r="L37" s="96"/>
      <c r="M37" s="96"/>
      <c r="N37" s="96"/>
      <c r="O37" s="96"/>
      <c r="P37" s="96"/>
      <c r="Q37" s="97"/>
      <c r="R37" s="60" t="s">
        <v>72</v>
      </c>
      <c r="S37" s="61" t="s">
        <v>75</v>
      </c>
      <c r="T37" s="62" t="s">
        <v>63</v>
      </c>
      <c r="U37" s="62" t="s">
        <v>64</v>
      </c>
    </row>
    <row r="38" spans="1:21" ht="18" customHeight="1" x14ac:dyDescent="0.2">
      <c r="B38" s="104" t="s">
        <v>155</v>
      </c>
      <c r="C38" s="105"/>
      <c r="D38" s="105"/>
      <c r="E38" s="105"/>
      <c r="F38" s="115"/>
      <c r="G38" s="63">
        <v>1</v>
      </c>
      <c r="H38" s="63" t="s">
        <v>154</v>
      </c>
      <c r="I38" s="63" t="s">
        <v>154</v>
      </c>
      <c r="J38" s="63"/>
      <c r="K38" s="104"/>
      <c r="L38" s="105"/>
      <c r="M38" s="105"/>
      <c r="N38" s="105"/>
      <c r="O38" s="105"/>
      <c r="P38" s="105"/>
      <c r="Q38" s="115"/>
      <c r="R38" s="63"/>
      <c r="S38" s="63"/>
      <c r="T38" s="63"/>
      <c r="U38" s="63"/>
    </row>
    <row r="39" spans="1:21" ht="18" customHeight="1" x14ac:dyDescent="0.2">
      <c r="B39" s="106" t="s">
        <v>153</v>
      </c>
      <c r="C39" s="107"/>
      <c r="D39" s="107"/>
      <c r="E39" s="107"/>
      <c r="F39" s="108"/>
      <c r="G39" s="64">
        <v>1.5</v>
      </c>
      <c r="H39" s="64" t="s">
        <v>154</v>
      </c>
      <c r="I39" s="64" t="s">
        <v>154</v>
      </c>
      <c r="J39" s="64"/>
      <c r="K39" s="106"/>
      <c r="L39" s="107"/>
      <c r="M39" s="107"/>
      <c r="N39" s="107"/>
      <c r="O39" s="107"/>
      <c r="P39" s="107"/>
      <c r="Q39" s="108"/>
      <c r="R39" s="64"/>
      <c r="S39" s="64"/>
      <c r="T39" s="64"/>
      <c r="U39" s="64"/>
    </row>
    <row r="40" spans="1:21" ht="18" customHeight="1" x14ac:dyDescent="0.2">
      <c r="B40" s="106" t="s">
        <v>157</v>
      </c>
      <c r="C40" s="107"/>
      <c r="D40" s="107"/>
      <c r="E40" s="107"/>
      <c r="F40" s="108"/>
      <c r="G40" s="64">
        <v>2</v>
      </c>
      <c r="H40" s="64" t="s">
        <v>162</v>
      </c>
      <c r="I40" s="64" t="s">
        <v>162</v>
      </c>
      <c r="J40" s="64" t="s">
        <v>154</v>
      </c>
      <c r="K40" s="106"/>
      <c r="L40" s="107"/>
      <c r="M40" s="107"/>
      <c r="N40" s="107"/>
      <c r="O40" s="107"/>
      <c r="P40" s="107"/>
      <c r="Q40" s="108"/>
      <c r="R40" s="64"/>
      <c r="S40" s="64"/>
      <c r="T40" s="64"/>
      <c r="U40" s="64"/>
    </row>
    <row r="41" spans="1:21" ht="18" customHeight="1" x14ac:dyDescent="0.2">
      <c r="B41" s="163" t="s">
        <v>163</v>
      </c>
      <c r="C41" s="164"/>
      <c r="D41" s="164"/>
      <c r="E41" s="164"/>
      <c r="F41" s="165"/>
      <c r="G41" s="92">
        <v>1</v>
      </c>
      <c r="H41" s="92" t="s">
        <v>154</v>
      </c>
      <c r="I41" s="92"/>
      <c r="J41" s="92" t="s">
        <v>154</v>
      </c>
      <c r="K41" s="106"/>
      <c r="L41" s="107"/>
      <c r="M41" s="107"/>
      <c r="N41" s="107"/>
      <c r="O41" s="107"/>
      <c r="P41" s="107"/>
      <c r="Q41" s="108"/>
      <c r="R41" s="64"/>
      <c r="S41" s="64"/>
      <c r="T41" s="64"/>
      <c r="U41" s="64"/>
    </row>
    <row r="42" spans="1:21" ht="18" customHeight="1" x14ac:dyDescent="0.2">
      <c r="B42" s="106"/>
      <c r="C42" s="107"/>
      <c r="D42" s="107"/>
      <c r="E42" s="107"/>
      <c r="F42" s="108"/>
      <c r="G42" s="64"/>
      <c r="H42" s="64"/>
      <c r="I42" s="64"/>
      <c r="J42" s="64"/>
      <c r="K42" s="106"/>
      <c r="L42" s="107"/>
      <c r="M42" s="107"/>
      <c r="N42" s="107"/>
      <c r="O42" s="107"/>
      <c r="P42" s="107"/>
      <c r="Q42" s="108"/>
      <c r="R42" s="64"/>
      <c r="S42" s="64"/>
      <c r="T42" s="64"/>
      <c r="U42" s="64"/>
    </row>
    <row r="43" spans="1:21" ht="18" customHeight="1" x14ac:dyDescent="0.2">
      <c r="B43" s="106"/>
      <c r="C43" s="107"/>
      <c r="D43" s="107"/>
      <c r="E43" s="107"/>
      <c r="F43" s="108"/>
      <c r="G43" s="64"/>
      <c r="H43" s="64"/>
      <c r="I43" s="64"/>
      <c r="J43" s="64"/>
      <c r="K43" s="106"/>
      <c r="L43" s="107"/>
      <c r="M43" s="107"/>
      <c r="N43" s="107"/>
      <c r="O43" s="107"/>
      <c r="P43" s="107"/>
      <c r="Q43" s="108"/>
      <c r="R43" s="64"/>
      <c r="S43" s="64"/>
      <c r="T43" s="64"/>
      <c r="U43" s="64"/>
    </row>
    <row r="44" spans="1:21" ht="18" customHeight="1" x14ac:dyDescent="0.2">
      <c r="B44" s="98"/>
      <c r="C44" s="99"/>
      <c r="D44" s="99"/>
      <c r="E44" s="99"/>
      <c r="F44" s="100"/>
      <c r="G44" s="65"/>
      <c r="H44" s="65"/>
      <c r="I44" s="66"/>
      <c r="J44" s="66"/>
      <c r="K44" s="98"/>
      <c r="L44" s="99"/>
      <c r="M44" s="99"/>
      <c r="N44" s="99"/>
      <c r="O44" s="99"/>
      <c r="P44" s="99"/>
      <c r="Q44" s="100"/>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124" t="s">
        <v>97</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x14ac:dyDescent="0.2">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x14ac:dyDescent="0.2">
      <c r="B48" s="95" t="s">
        <v>47</v>
      </c>
      <c r="C48" s="96"/>
      <c r="D48" s="96"/>
      <c r="E48" s="96"/>
      <c r="F48" s="97"/>
      <c r="G48" s="60" t="s">
        <v>72</v>
      </c>
      <c r="H48" s="61" t="s">
        <v>75</v>
      </c>
      <c r="I48" s="62" t="s">
        <v>65</v>
      </c>
      <c r="J48" s="62" t="s">
        <v>66</v>
      </c>
      <c r="K48" s="95" t="s">
        <v>47</v>
      </c>
      <c r="L48" s="96"/>
      <c r="M48" s="96"/>
      <c r="N48" s="96"/>
      <c r="O48" s="96"/>
      <c r="P48" s="96"/>
      <c r="Q48" s="97"/>
      <c r="R48" s="60" t="s">
        <v>72</v>
      </c>
      <c r="S48" s="61" t="s">
        <v>75</v>
      </c>
      <c r="T48" s="62" t="s">
        <v>65</v>
      </c>
      <c r="U48" s="62" t="s">
        <v>66</v>
      </c>
    </row>
    <row r="49" spans="1:21" ht="18" customHeight="1" x14ac:dyDescent="0.2">
      <c r="A49" s="3"/>
      <c r="B49" s="106" t="s">
        <v>161</v>
      </c>
      <c r="C49" s="107"/>
      <c r="D49" s="107"/>
      <c r="E49" s="107"/>
      <c r="F49" s="108"/>
      <c r="G49" s="64">
        <v>3</v>
      </c>
      <c r="H49" s="64" t="s">
        <v>162</v>
      </c>
      <c r="I49" s="64" t="s">
        <v>162</v>
      </c>
      <c r="J49" s="63"/>
      <c r="K49" s="104"/>
      <c r="L49" s="105"/>
      <c r="M49" s="105"/>
      <c r="N49" s="105"/>
      <c r="O49" s="105"/>
      <c r="P49" s="105"/>
      <c r="Q49" s="115"/>
      <c r="R49" s="63"/>
      <c r="S49" s="63"/>
      <c r="T49" s="63"/>
      <c r="U49" s="63"/>
    </row>
    <row r="50" spans="1:21" ht="18" customHeight="1" x14ac:dyDescent="0.2">
      <c r="A50" s="3"/>
      <c r="B50" s="163" t="s">
        <v>163</v>
      </c>
      <c r="C50" s="164"/>
      <c r="D50" s="164"/>
      <c r="E50" s="164"/>
      <c r="F50" s="165"/>
      <c r="G50" s="92">
        <v>1</v>
      </c>
      <c r="H50" s="92" t="s">
        <v>154</v>
      </c>
      <c r="I50" s="92" t="s">
        <v>154</v>
      </c>
      <c r="J50" s="92" t="s">
        <v>154</v>
      </c>
      <c r="K50" s="106"/>
      <c r="L50" s="107"/>
      <c r="M50" s="107"/>
      <c r="N50" s="107"/>
      <c r="O50" s="107"/>
      <c r="P50" s="107"/>
      <c r="Q50" s="108"/>
      <c r="R50" s="64"/>
      <c r="S50" s="64"/>
      <c r="T50" s="64"/>
      <c r="U50" s="64"/>
    </row>
    <row r="51" spans="1:21" ht="18" customHeight="1" x14ac:dyDescent="0.2">
      <c r="A51" s="3"/>
      <c r="B51" s="106" t="s">
        <v>157</v>
      </c>
      <c r="C51" s="107"/>
      <c r="D51" s="107"/>
      <c r="E51" s="107"/>
      <c r="F51" s="108"/>
      <c r="G51" s="64">
        <v>2</v>
      </c>
      <c r="H51" s="64" t="s">
        <v>162</v>
      </c>
      <c r="I51" s="64" t="s">
        <v>162</v>
      </c>
      <c r="J51" s="64" t="s">
        <v>154</v>
      </c>
      <c r="K51" s="106"/>
      <c r="L51" s="107"/>
      <c r="M51" s="107"/>
      <c r="N51" s="107"/>
      <c r="O51" s="107"/>
      <c r="P51" s="107"/>
      <c r="Q51" s="108"/>
      <c r="R51" s="64"/>
      <c r="S51" s="64"/>
      <c r="T51" s="64"/>
      <c r="U51" s="64"/>
    </row>
    <row r="52" spans="1:21" ht="18" customHeight="1" x14ac:dyDescent="0.2">
      <c r="A52" s="3"/>
      <c r="B52" s="106"/>
      <c r="C52" s="107"/>
      <c r="D52" s="107"/>
      <c r="E52" s="107"/>
      <c r="F52" s="108"/>
      <c r="G52" s="64"/>
      <c r="H52" s="64"/>
      <c r="I52" s="64"/>
      <c r="J52" s="64"/>
      <c r="K52" s="106"/>
      <c r="L52" s="107"/>
      <c r="M52" s="107"/>
      <c r="N52" s="107"/>
      <c r="O52" s="107"/>
      <c r="P52" s="107"/>
      <c r="Q52" s="108"/>
      <c r="R52" s="64"/>
      <c r="S52" s="64"/>
      <c r="T52" s="64"/>
      <c r="U52" s="64"/>
    </row>
    <row r="53" spans="1:21" ht="18" customHeight="1" x14ac:dyDescent="0.2">
      <c r="A53" s="3"/>
      <c r="B53" s="106"/>
      <c r="C53" s="107"/>
      <c r="D53" s="107"/>
      <c r="E53" s="107"/>
      <c r="F53" s="108"/>
      <c r="G53" s="64"/>
      <c r="H53" s="64"/>
      <c r="I53" s="64"/>
      <c r="J53" s="64"/>
      <c r="K53" s="106"/>
      <c r="L53" s="107"/>
      <c r="M53" s="107"/>
      <c r="N53" s="107"/>
      <c r="O53" s="107"/>
      <c r="P53" s="107"/>
      <c r="Q53" s="108"/>
      <c r="R53" s="64"/>
      <c r="S53" s="64"/>
      <c r="T53" s="64"/>
      <c r="U53" s="64"/>
    </row>
    <row r="54" spans="1:21" ht="18" customHeight="1" x14ac:dyDescent="0.2">
      <c r="A54" s="3"/>
      <c r="B54" s="106"/>
      <c r="C54" s="107"/>
      <c r="D54" s="107"/>
      <c r="E54" s="107"/>
      <c r="F54" s="108"/>
      <c r="G54" s="64"/>
      <c r="H54" s="64"/>
      <c r="I54" s="64"/>
      <c r="J54" s="64"/>
      <c r="K54" s="106"/>
      <c r="L54" s="107"/>
      <c r="M54" s="107"/>
      <c r="N54" s="107"/>
      <c r="O54" s="107"/>
      <c r="P54" s="107"/>
      <c r="Q54" s="108"/>
      <c r="R54" s="64"/>
      <c r="S54" s="64"/>
      <c r="T54" s="64"/>
      <c r="U54" s="64"/>
    </row>
    <row r="55" spans="1:21" ht="18" customHeight="1" x14ac:dyDescent="0.2">
      <c r="A55" s="3"/>
      <c r="B55" s="98"/>
      <c r="C55" s="99"/>
      <c r="D55" s="99"/>
      <c r="E55" s="99"/>
      <c r="F55" s="100"/>
      <c r="G55" s="65"/>
      <c r="H55" s="65"/>
      <c r="I55" s="66"/>
      <c r="J55" s="66"/>
      <c r="K55" s="98"/>
      <c r="L55" s="99"/>
      <c r="M55" s="99"/>
      <c r="N55" s="99"/>
      <c r="O55" s="99"/>
      <c r="P55" s="99"/>
      <c r="Q55" s="100"/>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124" t="s">
        <v>98</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x14ac:dyDescent="0.2">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x14ac:dyDescent="0.2">
      <c r="B59" s="95" t="s">
        <v>47</v>
      </c>
      <c r="C59" s="96"/>
      <c r="D59" s="96"/>
      <c r="E59" s="96"/>
      <c r="F59" s="97"/>
      <c r="G59" s="60" t="s">
        <v>72</v>
      </c>
      <c r="H59" s="61" t="s">
        <v>75</v>
      </c>
      <c r="I59" s="62" t="s">
        <v>52</v>
      </c>
      <c r="J59" s="62" t="s">
        <v>54</v>
      </c>
      <c r="K59" s="95" t="s">
        <v>47</v>
      </c>
      <c r="L59" s="96"/>
      <c r="M59" s="96"/>
      <c r="N59" s="96"/>
      <c r="O59" s="96"/>
      <c r="P59" s="96"/>
      <c r="Q59" s="97"/>
      <c r="R59" s="60" t="s">
        <v>72</v>
      </c>
      <c r="S59" s="61" t="s">
        <v>75</v>
      </c>
      <c r="T59" s="62" t="s">
        <v>52</v>
      </c>
      <c r="U59" s="62" t="s">
        <v>54</v>
      </c>
    </row>
    <row r="60" spans="1:21" ht="18" customHeight="1" x14ac:dyDescent="0.2">
      <c r="A60" s="3"/>
      <c r="B60" s="104" t="s">
        <v>155</v>
      </c>
      <c r="C60" s="105"/>
      <c r="D60" s="105"/>
      <c r="E60" s="105"/>
      <c r="F60" s="115"/>
      <c r="G60" s="63">
        <v>1</v>
      </c>
      <c r="H60" s="63" t="s">
        <v>154</v>
      </c>
      <c r="I60" s="63" t="s">
        <v>154</v>
      </c>
      <c r="J60" s="63" t="s">
        <v>154</v>
      </c>
      <c r="K60" s="104"/>
      <c r="L60" s="105"/>
      <c r="M60" s="105"/>
      <c r="N60" s="105"/>
      <c r="O60" s="105"/>
      <c r="P60" s="105"/>
      <c r="Q60" s="115"/>
      <c r="R60" s="63"/>
      <c r="S60" s="63"/>
      <c r="T60" s="63"/>
      <c r="U60" s="63"/>
    </row>
    <row r="61" spans="1:21" ht="18" customHeight="1" x14ac:dyDescent="0.2">
      <c r="A61" s="3"/>
      <c r="B61" s="106" t="s">
        <v>157</v>
      </c>
      <c r="C61" s="107"/>
      <c r="D61" s="107"/>
      <c r="E61" s="107"/>
      <c r="F61" s="108"/>
      <c r="G61" s="64">
        <v>2</v>
      </c>
      <c r="H61" s="64" t="s">
        <v>162</v>
      </c>
      <c r="I61" s="64" t="s">
        <v>162</v>
      </c>
      <c r="J61" s="64" t="s">
        <v>154</v>
      </c>
      <c r="K61" s="106"/>
      <c r="L61" s="107"/>
      <c r="M61" s="107"/>
      <c r="N61" s="107"/>
      <c r="O61" s="107"/>
      <c r="P61" s="107"/>
      <c r="Q61" s="108"/>
      <c r="R61" s="64"/>
      <c r="S61" s="64"/>
      <c r="T61" s="64"/>
      <c r="U61" s="64"/>
    </row>
    <row r="62" spans="1:21" ht="18" customHeight="1" x14ac:dyDescent="0.2">
      <c r="A62" s="3"/>
      <c r="B62" s="163" t="s">
        <v>163</v>
      </c>
      <c r="C62" s="164"/>
      <c r="D62" s="164"/>
      <c r="E62" s="164"/>
      <c r="F62" s="165"/>
      <c r="G62" s="92">
        <v>1</v>
      </c>
      <c r="H62" s="92" t="s">
        <v>154</v>
      </c>
      <c r="I62" s="92" t="s">
        <v>154</v>
      </c>
      <c r="J62" s="92" t="s">
        <v>154</v>
      </c>
      <c r="K62" s="106"/>
      <c r="L62" s="107"/>
      <c r="M62" s="107"/>
      <c r="N62" s="107"/>
      <c r="O62" s="107"/>
      <c r="P62" s="107"/>
      <c r="Q62" s="108"/>
      <c r="R62" s="64"/>
      <c r="S62" s="64"/>
      <c r="T62" s="64"/>
      <c r="U62" s="64"/>
    </row>
    <row r="63" spans="1:21" ht="18" customHeight="1" x14ac:dyDescent="0.2">
      <c r="A63" s="3"/>
      <c r="B63" s="106"/>
      <c r="C63" s="107"/>
      <c r="D63" s="107"/>
      <c r="E63" s="107"/>
      <c r="F63" s="108"/>
      <c r="G63" s="64"/>
      <c r="H63" s="64"/>
      <c r="I63" s="64"/>
      <c r="J63" s="64"/>
      <c r="K63" s="106"/>
      <c r="L63" s="107"/>
      <c r="M63" s="107"/>
      <c r="N63" s="107"/>
      <c r="O63" s="107"/>
      <c r="P63" s="107"/>
      <c r="Q63" s="108"/>
      <c r="R63" s="64"/>
      <c r="S63" s="64"/>
      <c r="T63" s="64"/>
      <c r="U63" s="64"/>
    </row>
    <row r="64" spans="1:21" ht="18" customHeight="1" x14ac:dyDescent="0.2">
      <c r="A64" s="3"/>
      <c r="B64" s="106"/>
      <c r="C64" s="107"/>
      <c r="D64" s="107"/>
      <c r="E64" s="107"/>
      <c r="F64" s="108"/>
      <c r="G64" s="64"/>
      <c r="H64" s="64"/>
      <c r="I64" s="64"/>
      <c r="J64" s="64"/>
      <c r="K64" s="106"/>
      <c r="L64" s="107"/>
      <c r="M64" s="107"/>
      <c r="N64" s="107"/>
      <c r="O64" s="107"/>
      <c r="P64" s="107"/>
      <c r="Q64" s="108"/>
      <c r="R64" s="64"/>
      <c r="S64" s="64"/>
      <c r="T64" s="64"/>
      <c r="U64" s="64"/>
    </row>
    <row r="65" spans="1:27" ht="18" customHeight="1" x14ac:dyDescent="0.2">
      <c r="A65" s="3"/>
      <c r="B65" s="106"/>
      <c r="C65" s="107"/>
      <c r="D65" s="107"/>
      <c r="E65" s="107"/>
      <c r="F65" s="108"/>
      <c r="G65" s="64"/>
      <c r="H65" s="64"/>
      <c r="I65" s="64"/>
      <c r="J65" s="64"/>
      <c r="K65" s="106"/>
      <c r="L65" s="107"/>
      <c r="M65" s="107"/>
      <c r="N65" s="107"/>
      <c r="O65" s="107"/>
      <c r="P65" s="107"/>
      <c r="Q65" s="108"/>
      <c r="R65" s="64"/>
      <c r="S65" s="64"/>
      <c r="T65" s="64"/>
      <c r="U65" s="64"/>
    </row>
    <row r="66" spans="1:27" ht="18" customHeight="1" x14ac:dyDescent="0.2">
      <c r="A66" s="3"/>
      <c r="B66" s="98"/>
      <c r="C66" s="99"/>
      <c r="D66" s="99"/>
      <c r="E66" s="99"/>
      <c r="F66" s="100"/>
      <c r="G66" s="65"/>
      <c r="H66" s="65"/>
      <c r="I66" s="66"/>
      <c r="J66" s="66"/>
      <c r="K66" s="98"/>
      <c r="L66" s="99"/>
      <c r="M66" s="99"/>
      <c r="N66" s="99"/>
      <c r="O66" s="99"/>
      <c r="P66" s="99"/>
      <c r="Q66" s="100"/>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124" t="s">
        <v>99</v>
      </c>
      <c r="B68" s="124"/>
      <c r="C68" s="124"/>
      <c r="D68" s="124"/>
      <c r="E68" s="124"/>
      <c r="F68" s="124"/>
      <c r="G68" s="124"/>
      <c r="H68" s="124"/>
      <c r="I68" s="124"/>
      <c r="J68" s="124"/>
      <c r="K68" s="124"/>
      <c r="L68" s="124"/>
      <c r="M68" s="124"/>
      <c r="N68" s="124"/>
      <c r="O68" s="124"/>
      <c r="P68" s="124"/>
      <c r="Q68" s="124"/>
      <c r="R68" s="124"/>
      <c r="S68" s="124"/>
      <c r="T68" s="124"/>
      <c r="U68" s="124"/>
    </row>
    <row r="69" spans="1:27" ht="18" customHeight="1" x14ac:dyDescent="0.2">
      <c r="A69" s="124"/>
      <c r="B69" s="124"/>
      <c r="C69" s="124"/>
      <c r="D69" s="124"/>
      <c r="E69" s="124"/>
      <c r="F69" s="124"/>
      <c r="G69" s="124"/>
      <c r="H69" s="124"/>
      <c r="I69" s="124"/>
      <c r="J69" s="124"/>
      <c r="K69" s="124"/>
      <c r="L69" s="124"/>
      <c r="M69" s="124"/>
      <c r="N69" s="124"/>
      <c r="O69" s="124"/>
      <c r="P69" s="124"/>
      <c r="Q69" s="124"/>
      <c r="R69" s="124"/>
      <c r="S69" s="124"/>
      <c r="T69" s="124"/>
      <c r="U69" s="124"/>
    </row>
    <row r="70" spans="1:27" ht="18" customHeight="1" x14ac:dyDescent="0.2">
      <c r="B70" s="95" t="s">
        <v>47</v>
      </c>
      <c r="C70" s="96"/>
      <c r="D70" s="96"/>
      <c r="E70" s="96"/>
      <c r="F70" s="60" t="s">
        <v>72</v>
      </c>
      <c r="G70" s="61" t="s">
        <v>75</v>
      </c>
      <c r="H70" s="62" t="s">
        <v>86</v>
      </c>
      <c r="I70" s="62" t="s">
        <v>67</v>
      </c>
      <c r="J70" s="62" t="s">
        <v>68</v>
      </c>
      <c r="K70" s="95" t="s">
        <v>47</v>
      </c>
      <c r="L70" s="96"/>
      <c r="M70" s="96"/>
      <c r="N70" s="96"/>
      <c r="O70" s="96"/>
      <c r="P70" s="97"/>
      <c r="Q70" s="60" t="s">
        <v>72</v>
      </c>
      <c r="R70" s="61" t="s">
        <v>75</v>
      </c>
      <c r="S70" s="62" t="s">
        <v>86</v>
      </c>
      <c r="T70" s="62" t="s">
        <v>67</v>
      </c>
      <c r="U70" s="62" t="s">
        <v>68</v>
      </c>
    </row>
    <row r="71" spans="1:27" ht="18" customHeight="1" x14ac:dyDescent="0.2">
      <c r="A71" s="3"/>
      <c r="B71" s="104" t="s">
        <v>153</v>
      </c>
      <c r="C71" s="105"/>
      <c r="D71" s="105"/>
      <c r="E71" s="105"/>
      <c r="F71" s="63">
        <v>1.5</v>
      </c>
      <c r="G71" s="63" t="s">
        <v>154</v>
      </c>
      <c r="H71" s="63" t="s">
        <v>154</v>
      </c>
      <c r="I71" s="63" t="s">
        <v>154</v>
      </c>
      <c r="J71" s="63"/>
      <c r="K71" s="104"/>
      <c r="L71" s="105"/>
      <c r="M71" s="105"/>
      <c r="N71" s="105"/>
      <c r="O71" s="105"/>
      <c r="P71" s="115"/>
      <c r="Q71" s="63"/>
      <c r="R71" s="63"/>
      <c r="S71" s="63"/>
      <c r="T71" s="63"/>
      <c r="U71" s="63"/>
    </row>
    <row r="72" spans="1:27" ht="18" customHeight="1" x14ac:dyDescent="0.2">
      <c r="A72" s="3"/>
      <c r="B72" s="106" t="s">
        <v>157</v>
      </c>
      <c r="C72" s="107"/>
      <c r="D72" s="107"/>
      <c r="E72" s="107"/>
      <c r="F72" s="64">
        <v>2</v>
      </c>
      <c r="G72" s="64" t="s">
        <v>154</v>
      </c>
      <c r="H72" s="64"/>
      <c r="I72" s="64"/>
      <c r="J72" s="64" t="s">
        <v>154</v>
      </c>
      <c r="K72" s="106"/>
      <c r="L72" s="107"/>
      <c r="M72" s="107"/>
      <c r="N72" s="107"/>
      <c r="O72" s="107"/>
      <c r="P72" s="108"/>
      <c r="Q72" s="64"/>
      <c r="R72" s="64"/>
      <c r="S72" s="64"/>
      <c r="T72" s="64"/>
      <c r="U72" s="64"/>
    </row>
    <row r="73" spans="1:27" ht="18" customHeight="1" x14ac:dyDescent="0.2">
      <c r="A73" s="3"/>
      <c r="B73" s="163" t="s">
        <v>198</v>
      </c>
      <c r="C73" s="164"/>
      <c r="D73" s="164"/>
      <c r="E73" s="164"/>
      <c r="F73" s="92">
        <v>1</v>
      </c>
      <c r="G73" s="92" t="s">
        <v>154</v>
      </c>
      <c r="H73" s="92" t="s">
        <v>154</v>
      </c>
      <c r="I73" s="92" t="s">
        <v>154</v>
      </c>
      <c r="J73" s="92" t="s">
        <v>154</v>
      </c>
      <c r="K73" s="106"/>
      <c r="L73" s="107"/>
      <c r="M73" s="107"/>
      <c r="N73" s="107"/>
      <c r="O73" s="107"/>
      <c r="P73" s="108"/>
      <c r="Q73" s="64"/>
      <c r="R73" s="64"/>
      <c r="S73" s="64"/>
      <c r="T73" s="64"/>
      <c r="U73" s="64"/>
    </row>
    <row r="74" spans="1:27" ht="18" customHeight="1" x14ac:dyDescent="0.2">
      <c r="A74" s="3"/>
      <c r="B74" s="106"/>
      <c r="C74" s="107"/>
      <c r="D74" s="107"/>
      <c r="E74" s="107"/>
      <c r="F74" s="64"/>
      <c r="G74" s="64"/>
      <c r="H74" s="64"/>
      <c r="I74" s="64"/>
      <c r="J74" s="64"/>
      <c r="K74" s="106"/>
      <c r="L74" s="107"/>
      <c r="M74" s="107"/>
      <c r="N74" s="107"/>
      <c r="O74" s="107"/>
      <c r="P74" s="108"/>
      <c r="Q74" s="64"/>
      <c r="R74" s="64"/>
      <c r="S74" s="64"/>
      <c r="T74" s="64"/>
      <c r="U74" s="64"/>
    </row>
    <row r="75" spans="1:27" ht="18" customHeight="1" x14ac:dyDescent="0.2">
      <c r="A75" s="3"/>
      <c r="B75" s="106"/>
      <c r="C75" s="107"/>
      <c r="D75" s="107"/>
      <c r="E75" s="107"/>
      <c r="F75" s="64"/>
      <c r="G75" s="64"/>
      <c r="H75" s="64"/>
      <c r="I75" s="64"/>
      <c r="J75" s="64"/>
      <c r="K75" s="106"/>
      <c r="L75" s="107"/>
      <c r="M75" s="107"/>
      <c r="N75" s="107"/>
      <c r="O75" s="107"/>
      <c r="P75" s="108"/>
      <c r="Q75" s="64"/>
      <c r="R75" s="64"/>
      <c r="S75" s="64"/>
      <c r="T75" s="64"/>
      <c r="U75" s="64"/>
    </row>
    <row r="76" spans="1:27" ht="18" customHeight="1" x14ac:dyDescent="0.2">
      <c r="A76" s="3"/>
      <c r="B76" s="106"/>
      <c r="C76" s="107"/>
      <c r="D76" s="107"/>
      <c r="E76" s="107"/>
      <c r="F76" s="64"/>
      <c r="G76" s="64"/>
      <c r="H76" s="64"/>
      <c r="I76" s="64"/>
      <c r="J76" s="64"/>
      <c r="K76" s="106"/>
      <c r="L76" s="107"/>
      <c r="M76" s="107"/>
      <c r="N76" s="107"/>
      <c r="O76" s="107"/>
      <c r="P76" s="108"/>
      <c r="Q76" s="64"/>
      <c r="R76" s="64"/>
      <c r="S76" s="64"/>
      <c r="T76" s="64"/>
      <c r="U76" s="64"/>
    </row>
    <row r="77" spans="1:27" ht="18" customHeight="1" x14ac:dyDescent="0.2">
      <c r="A77" s="3"/>
      <c r="B77" s="98"/>
      <c r="C77" s="99"/>
      <c r="D77" s="99"/>
      <c r="E77" s="99"/>
      <c r="F77" s="65"/>
      <c r="G77" s="65"/>
      <c r="H77" s="66"/>
      <c r="I77" s="66"/>
      <c r="J77" s="66"/>
      <c r="K77" s="98"/>
      <c r="L77" s="99"/>
      <c r="M77" s="99"/>
      <c r="N77" s="99"/>
      <c r="O77" s="99"/>
      <c r="P77" s="100"/>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100</v>
      </c>
      <c r="I79" s="3"/>
      <c r="J79" s="3"/>
      <c r="K79" s="3"/>
      <c r="L79" s="3"/>
      <c r="M79" s="3"/>
      <c r="N79" s="3"/>
      <c r="O79" s="3"/>
      <c r="P79" s="3"/>
      <c r="Q79" s="3"/>
      <c r="R79" s="3"/>
      <c r="S79" s="3"/>
      <c r="T79" s="3"/>
      <c r="U79" s="3"/>
    </row>
    <row r="80" spans="1:27" ht="18" customHeight="1" x14ac:dyDescent="0.2">
      <c r="B80" s="95" t="s">
        <v>47</v>
      </c>
      <c r="C80" s="96"/>
      <c r="D80" s="96"/>
      <c r="E80" s="96"/>
      <c r="F80" s="97"/>
      <c r="G80" s="95" t="s">
        <v>73</v>
      </c>
      <c r="H80" s="96"/>
      <c r="I80" s="96"/>
      <c r="J80" s="97"/>
      <c r="K80" s="101" t="s">
        <v>47</v>
      </c>
      <c r="L80" s="102"/>
      <c r="M80" s="102"/>
      <c r="N80" s="102"/>
      <c r="O80" s="102"/>
      <c r="P80" s="102"/>
      <c r="Q80" s="103"/>
      <c r="R80" s="95" t="s">
        <v>73</v>
      </c>
      <c r="S80" s="96"/>
      <c r="T80" s="96"/>
      <c r="U80" s="97"/>
      <c r="AA80" s="1" t="s">
        <v>138</v>
      </c>
    </row>
    <row r="81" spans="1:28" ht="18" customHeight="1" x14ac:dyDescent="0.2">
      <c r="A81" s="3"/>
      <c r="B81" s="104"/>
      <c r="C81" s="105"/>
      <c r="D81" s="105"/>
      <c r="E81" s="105"/>
      <c r="F81" s="115"/>
      <c r="G81" s="112"/>
      <c r="H81" s="113"/>
      <c r="I81" s="113"/>
      <c r="J81" s="114"/>
      <c r="K81" s="104"/>
      <c r="L81" s="105"/>
      <c r="M81" s="105"/>
      <c r="N81" s="105"/>
      <c r="O81" s="105"/>
      <c r="P81" s="105"/>
      <c r="Q81" s="115"/>
      <c r="R81" s="112"/>
      <c r="S81" s="113"/>
      <c r="T81" s="113"/>
      <c r="U81" s="114"/>
      <c r="AA81" s="1" t="s">
        <v>131</v>
      </c>
    </row>
    <row r="82" spans="1:28" ht="18" customHeight="1" x14ac:dyDescent="0.2">
      <c r="A82" s="3"/>
      <c r="B82" s="106"/>
      <c r="C82" s="107"/>
      <c r="D82" s="107"/>
      <c r="E82" s="107"/>
      <c r="F82" s="108"/>
      <c r="G82" s="109"/>
      <c r="H82" s="110"/>
      <c r="I82" s="110"/>
      <c r="J82" s="111"/>
      <c r="K82" s="106"/>
      <c r="L82" s="107"/>
      <c r="M82" s="107"/>
      <c r="N82" s="107"/>
      <c r="O82" s="107"/>
      <c r="P82" s="107"/>
      <c r="Q82" s="108"/>
      <c r="R82" s="109"/>
      <c r="S82" s="110"/>
      <c r="T82" s="110"/>
      <c r="U82" s="111"/>
      <c r="AA82" s="1" t="s">
        <v>132</v>
      </c>
    </row>
    <row r="83" spans="1:28" ht="18" customHeight="1" x14ac:dyDescent="0.2">
      <c r="A83" s="3"/>
      <c r="B83" s="106"/>
      <c r="C83" s="107"/>
      <c r="D83" s="107"/>
      <c r="E83" s="107"/>
      <c r="F83" s="108"/>
      <c r="G83" s="109"/>
      <c r="H83" s="110"/>
      <c r="I83" s="110"/>
      <c r="J83" s="111"/>
      <c r="K83" s="106"/>
      <c r="L83" s="107"/>
      <c r="M83" s="107"/>
      <c r="N83" s="107"/>
      <c r="O83" s="107"/>
      <c r="P83" s="107"/>
      <c r="Q83" s="108"/>
      <c r="R83" s="109"/>
      <c r="S83" s="110"/>
      <c r="T83" s="110"/>
      <c r="U83" s="111"/>
      <c r="AA83" s="1" t="s">
        <v>133</v>
      </c>
    </row>
    <row r="84" spans="1:28" ht="18" customHeight="1" x14ac:dyDescent="0.2">
      <c r="A84" s="3"/>
      <c r="B84" s="106"/>
      <c r="C84" s="107"/>
      <c r="D84" s="107"/>
      <c r="E84" s="107"/>
      <c r="F84" s="108"/>
      <c r="G84" s="109"/>
      <c r="H84" s="110"/>
      <c r="I84" s="110"/>
      <c r="J84" s="111"/>
      <c r="K84" s="106"/>
      <c r="L84" s="107"/>
      <c r="M84" s="107"/>
      <c r="N84" s="107"/>
      <c r="O84" s="107"/>
      <c r="P84" s="107"/>
      <c r="Q84" s="108"/>
      <c r="R84" s="109"/>
      <c r="S84" s="110"/>
      <c r="T84" s="110"/>
      <c r="U84" s="111"/>
      <c r="AA84" s="1" t="s">
        <v>139</v>
      </c>
    </row>
    <row r="85" spans="1:28" ht="18" customHeight="1" x14ac:dyDescent="0.2">
      <c r="A85" s="3"/>
      <c r="B85" s="106"/>
      <c r="C85" s="107"/>
      <c r="D85" s="107"/>
      <c r="E85" s="107"/>
      <c r="F85" s="108"/>
      <c r="G85" s="109"/>
      <c r="H85" s="110"/>
      <c r="I85" s="110"/>
      <c r="J85" s="111"/>
      <c r="K85" s="106"/>
      <c r="L85" s="107"/>
      <c r="M85" s="107"/>
      <c r="N85" s="107"/>
      <c r="O85" s="107"/>
      <c r="P85" s="107"/>
      <c r="Q85" s="108"/>
      <c r="R85" s="109"/>
      <c r="S85" s="110"/>
      <c r="T85" s="110"/>
      <c r="U85" s="111"/>
      <c r="AA85" s="1" t="s">
        <v>140</v>
      </c>
    </row>
    <row r="86" spans="1:28" ht="18" customHeight="1" x14ac:dyDescent="0.2">
      <c r="A86" s="3"/>
      <c r="B86" s="106"/>
      <c r="C86" s="107"/>
      <c r="D86" s="107"/>
      <c r="E86" s="107"/>
      <c r="F86" s="108"/>
      <c r="G86" s="109"/>
      <c r="H86" s="110"/>
      <c r="I86" s="110"/>
      <c r="J86" s="111"/>
      <c r="K86" s="106"/>
      <c r="L86" s="107"/>
      <c r="M86" s="107"/>
      <c r="N86" s="107"/>
      <c r="O86" s="107"/>
      <c r="P86" s="107"/>
      <c r="Q86" s="108"/>
      <c r="R86" s="109"/>
      <c r="S86" s="110"/>
      <c r="T86" s="110"/>
      <c r="U86" s="111"/>
      <c r="AA86" s="1" t="s">
        <v>134</v>
      </c>
    </row>
    <row r="87" spans="1:28" ht="18" customHeight="1" x14ac:dyDescent="0.2">
      <c r="A87" s="3"/>
      <c r="B87" s="98"/>
      <c r="C87" s="99"/>
      <c r="D87" s="99"/>
      <c r="E87" s="99"/>
      <c r="F87" s="100"/>
      <c r="G87" s="152"/>
      <c r="H87" s="153"/>
      <c r="I87" s="153"/>
      <c r="J87" s="154"/>
      <c r="K87" s="98"/>
      <c r="L87" s="99"/>
      <c r="M87" s="99"/>
      <c r="N87" s="99"/>
      <c r="O87" s="99"/>
      <c r="P87" s="99"/>
      <c r="Q87" s="100"/>
      <c r="R87" s="152"/>
      <c r="S87" s="153"/>
      <c r="T87" s="153"/>
      <c r="U87" s="154"/>
      <c r="AA87" s="1" t="s">
        <v>135</v>
      </c>
    </row>
    <row r="88" spans="1:28" ht="18" customHeight="1" x14ac:dyDescent="0.2">
      <c r="A88" s="3"/>
      <c r="B88" s="6"/>
      <c r="C88" s="6"/>
      <c r="D88" s="6"/>
      <c r="E88" s="6"/>
      <c r="F88" s="6"/>
      <c r="G88" s="67"/>
      <c r="H88" s="67"/>
      <c r="I88" s="67"/>
      <c r="J88" s="67"/>
      <c r="K88" s="6"/>
      <c r="L88" s="6"/>
      <c r="M88" s="6"/>
      <c r="N88" s="6"/>
      <c r="O88" s="6"/>
      <c r="P88" s="6"/>
      <c r="Q88" s="6"/>
      <c r="R88" s="67"/>
      <c r="S88" s="67"/>
      <c r="T88" s="67"/>
      <c r="U88" s="67"/>
      <c r="AA88" s="1" t="s">
        <v>136</v>
      </c>
    </row>
    <row r="89" spans="1:28" ht="18.75" customHeight="1" x14ac:dyDescent="0.2">
      <c r="A89" s="1" t="s">
        <v>101</v>
      </c>
      <c r="AA89" s="1" t="s">
        <v>137</v>
      </c>
    </row>
    <row r="90" spans="1:28" ht="18.75" customHeight="1" x14ac:dyDescent="0.2">
      <c r="B90" s="155" t="s">
        <v>48</v>
      </c>
      <c r="C90" s="156"/>
      <c r="D90" s="95" t="s">
        <v>49</v>
      </c>
      <c r="E90" s="96"/>
      <c r="F90" s="96"/>
      <c r="G90" s="96"/>
      <c r="H90" s="96"/>
      <c r="I90" s="96"/>
      <c r="J90" s="96"/>
      <c r="K90" s="96"/>
      <c r="L90" s="96"/>
      <c r="M90" s="96"/>
      <c r="N90" s="96"/>
      <c r="O90" s="96"/>
      <c r="P90" s="96"/>
      <c r="Q90" s="96"/>
      <c r="R90" s="96"/>
      <c r="S90" s="96"/>
      <c r="T90" s="96"/>
      <c r="U90" s="97"/>
    </row>
    <row r="91" spans="1:28" ht="97.5" customHeight="1" x14ac:dyDescent="0.2">
      <c r="B91" s="126" t="s">
        <v>55</v>
      </c>
      <c r="C91" s="68" t="s">
        <v>50</v>
      </c>
      <c r="D91" s="93" t="s">
        <v>225</v>
      </c>
      <c r="E91" s="93"/>
      <c r="F91" s="93"/>
      <c r="G91" s="93"/>
      <c r="H91" s="93"/>
      <c r="I91" s="93"/>
      <c r="J91" s="93"/>
      <c r="K91" s="93"/>
      <c r="L91" s="93"/>
      <c r="M91" s="93"/>
      <c r="N91" s="93"/>
      <c r="O91" s="93"/>
      <c r="P91" s="93"/>
      <c r="Q91" s="93"/>
      <c r="R91" s="93"/>
      <c r="S91" s="93"/>
      <c r="T91" s="93"/>
      <c r="U91" s="93"/>
      <c r="AB91" s="271"/>
    </row>
    <row r="92" spans="1:28" ht="97.5" customHeight="1" x14ac:dyDescent="0.2">
      <c r="B92" s="128"/>
      <c r="C92" s="69" t="s">
        <v>69</v>
      </c>
      <c r="D92" s="94" t="s">
        <v>223</v>
      </c>
      <c r="E92" s="94"/>
      <c r="F92" s="94"/>
      <c r="G92" s="94"/>
      <c r="H92" s="94"/>
      <c r="I92" s="94"/>
      <c r="J92" s="94"/>
      <c r="K92" s="94"/>
      <c r="L92" s="94"/>
      <c r="M92" s="94"/>
      <c r="N92" s="94"/>
      <c r="O92" s="94"/>
      <c r="P92" s="94"/>
      <c r="Q92" s="94"/>
      <c r="R92" s="94"/>
      <c r="S92" s="94"/>
      <c r="T92" s="94"/>
      <c r="U92" s="94"/>
      <c r="AB92" s="271"/>
    </row>
    <row r="93" spans="1:28" ht="97.5" customHeight="1" x14ac:dyDescent="0.2">
      <c r="B93" s="126" t="s">
        <v>56</v>
      </c>
      <c r="C93" s="70" t="s">
        <v>63</v>
      </c>
      <c r="D93" s="116" t="s">
        <v>227</v>
      </c>
      <c r="E93" s="116"/>
      <c r="F93" s="116"/>
      <c r="G93" s="116"/>
      <c r="H93" s="116"/>
      <c r="I93" s="116"/>
      <c r="J93" s="116"/>
      <c r="K93" s="116"/>
      <c r="L93" s="116"/>
      <c r="M93" s="116"/>
      <c r="N93" s="116"/>
      <c r="O93" s="116"/>
      <c r="P93" s="116"/>
      <c r="Q93" s="116"/>
      <c r="R93" s="116"/>
      <c r="S93" s="116"/>
      <c r="T93" s="116"/>
      <c r="U93" s="116"/>
      <c r="AB93" s="271"/>
    </row>
    <row r="94" spans="1:28" ht="97.5" customHeight="1" x14ac:dyDescent="0.2">
      <c r="B94" s="127"/>
      <c r="C94" s="71" t="s">
        <v>64</v>
      </c>
      <c r="D94" s="117" t="s">
        <v>228</v>
      </c>
      <c r="E94" s="117"/>
      <c r="F94" s="117"/>
      <c r="G94" s="117"/>
      <c r="H94" s="117"/>
      <c r="I94" s="117"/>
      <c r="J94" s="117"/>
      <c r="K94" s="117"/>
      <c r="L94" s="117"/>
      <c r="M94" s="117"/>
      <c r="N94" s="117"/>
      <c r="O94" s="117"/>
      <c r="P94" s="117"/>
      <c r="Q94" s="117"/>
      <c r="R94" s="117"/>
      <c r="S94" s="117"/>
      <c r="T94" s="117"/>
      <c r="U94" s="117"/>
      <c r="AB94" s="271"/>
    </row>
    <row r="95" spans="1:28" ht="137.4" customHeight="1" x14ac:dyDescent="0.2">
      <c r="B95" s="126" t="s">
        <v>57</v>
      </c>
      <c r="C95" s="70" t="s">
        <v>65</v>
      </c>
      <c r="D95" s="93" t="s">
        <v>226</v>
      </c>
      <c r="E95" s="93"/>
      <c r="F95" s="93"/>
      <c r="G95" s="93"/>
      <c r="H95" s="93"/>
      <c r="I95" s="93"/>
      <c r="J95" s="93"/>
      <c r="K95" s="93"/>
      <c r="L95" s="93"/>
      <c r="M95" s="93"/>
      <c r="N95" s="93"/>
      <c r="O95" s="93"/>
      <c r="P95" s="93"/>
      <c r="Q95" s="93"/>
      <c r="R95" s="93"/>
      <c r="S95" s="93"/>
      <c r="T95" s="93"/>
      <c r="U95" s="93"/>
      <c r="AB95" s="271"/>
    </row>
    <row r="96" spans="1:28" ht="97.5" customHeight="1" x14ac:dyDescent="0.2">
      <c r="B96" s="127"/>
      <c r="C96" s="72" t="s">
        <v>66</v>
      </c>
      <c r="D96" s="94" t="s">
        <v>224</v>
      </c>
      <c r="E96" s="94"/>
      <c r="F96" s="94"/>
      <c r="G96" s="94"/>
      <c r="H96" s="94"/>
      <c r="I96" s="94"/>
      <c r="J96" s="94"/>
      <c r="K96" s="94"/>
      <c r="L96" s="94"/>
      <c r="M96" s="94"/>
      <c r="N96" s="94"/>
      <c r="O96" s="94"/>
      <c r="P96" s="94"/>
      <c r="Q96" s="94"/>
      <c r="R96" s="94"/>
      <c r="S96" s="94"/>
      <c r="T96" s="94"/>
      <c r="U96" s="94"/>
      <c r="AB96" s="271"/>
    </row>
    <row r="97" spans="1:28" ht="97.5" customHeight="1" x14ac:dyDescent="0.2">
      <c r="B97" s="126" t="s">
        <v>70</v>
      </c>
      <c r="C97" s="68" t="s">
        <v>52</v>
      </c>
      <c r="D97" s="116" t="s">
        <v>230</v>
      </c>
      <c r="E97" s="116"/>
      <c r="F97" s="116"/>
      <c r="G97" s="116"/>
      <c r="H97" s="116"/>
      <c r="I97" s="116"/>
      <c r="J97" s="116"/>
      <c r="K97" s="116"/>
      <c r="L97" s="116"/>
      <c r="M97" s="116"/>
      <c r="N97" s="116"/>
      <c r="O97" s="116"/>
      <c r="P97" s="116"/>
      <c r="Q97" s="116"/>
      <c r="R97" s="116"/>
      <c r="S97" s="116"/>
      <c r="T97" s="116"/>
      <c r="U97" s="116"/>
      <c r="AB97" s="271"/>
    </row>
    <row r="98" spans="1:28" ht="97.5" customHeight="1" x14ac:dyDescent="0.2">
      <c r="B98" s="127"/>
      <c r="C98" s="71" t="s">
        <v>54</v>
      </c>
      <c r="D98" s="117" t="s">
        <v>229</v>
      </c>
      <c r="E98" s="117"/>
      <c r="F98" s="117"/>
      <c r="G98" s="117"/>
      <c r="H98" s="117"/>
      <c r="I98" s="117"/>
      <c r="J98" s="117"/>
      <c r="K98" s="117"/>
      <c r="L98" s="117"/>
      <c r="M98" s="117"/>
      <c r="N98" s="117"/>
      <c r="O98" s="117"/>
      <c r="P98" s="117"/>
      <c r="Q98" s="117"/>
      <c r="R98" s="117"/>
      <c r="S98" s="117"/>
      <c r="T98" s="117"/>
      <c r="U98" s="117"/>
      <c r="AB98" s="271"/>
    </row>
    <row r="99" spans="1:28" ht="97.5" customHeight="1" x14ac:dyDescent="0.2">
      <c r="B99" s="126" t="s">
        <v>71</v>
      </c>
      <c r="C99" s="70" t="s">
        <v>51</v>
      </c>
      <c r="D99" s="93" t="s">
        <v>232</v>
      </c>
      <c r="E99" s="93"/>
      <c r="F99" s="93"/>
      <c r="G99" s="93"/>
      <c r="H99" s="93"/>
      <c r="I99" s="93"/>
      <c r="J99" s="93"/>
      <c r="K99" s="93"/>
      <c r="L99" s="93"/>
      <c r="M99" s="93"/>
      <c r="N99" s="93"/>
      <c r="O99" s="93"/>
      <c r="P99" s="93"/>
      <c r="Q99" s="93"/>
      <c r="R99" s="93"/>
      <c r="S99" s="93"/>
      <c r="T99" s="93"/>
      <c r="U99" s="93"/>
      <c r="AB99" s="271"/>
    </row>
    <row r="100" spans="1:28" ht="97.5" customHeight="1" x14ac:dyDescent="0.2">
      <c r="B100" s="128"/>
      <c r="C100" s="73" t="s">
        <v>67</v>
      </c>
      <c r="D100" s="125" t="s">
        <v>233</v>
      </c>
      <c r="E100" s="125"/>
      <c r="F100" s="125"/>
      <c r="G100" s="125"/>
      <c r="H100" s="125"/>
      <c r="I100" s="125"/>
      <c r="J100" s="125"/>
      <c r="K100" s="125"/>
      <c r="L100" s="125"/>
      <c r="M100" s="125"/>
      <c r="N100" s="125"/>
      <c r="O100" s="125"/>
      <c r="P100" s="125"/>
      <c r="Q100" s="125"/>
      <c r="R100" s="125"/>
      <c r="S100" s="125"/>
      <c r="T100" s="125"/>
      <c r="U100" s="125"/>
      <c r="AB100" s="271"/>
    </row>
    <row r="101" spans="1:28" ht="97.5" customHeight="1" x14ac:dyDescent="0.2">
      <c r="B101" s="127"/>
      <c r="C101" s="72" t="s">
        <v>68</v>
      </c>
      <c r="D101" s="117" t="s">
        <v>231</v>
      </c>
      <c r="E101" s="117"/>
      <c r="F101" s="117"/>
      <c r="G101" s="117"/>
      <c r="H101" s="117"/>
      <c r="I101" s="117"/>
      <c r="J101" s="117"/>
      <c r="K101" s="117"/>
      <c r="L101" s="117"/>
      <c r="M101" s="117"/>
      <c r="N101" s="117"/>
      <c r="O101" s="117"/>
      <c r="P101" s="117"/>
      <c r="Q101" s="117"/>
      <c r="R101" s="117"/>
      <c r="S101" s="117"/>
      <c r="T101" s="117"/>
      <c r="U101" s="117"/>
      <c r="AB101" s="271"/>
    </row>
    <row r="102" spans="1:28" ht="6" customHeight="1" x14ac:dyDescent="0.2"/>
    <row r="103" spans="1:28" ht="18.75" customHeight="1" x14ac:dyDescent="0.2">
      <c r="A103" s="1" t="s">
        <v>102</v>
      </c>
    </row>
    <row r="104" spans="1:28" ht="81.75" customHeight="1" x14ac:dyDescent="0.2">
      <c r="B104" s="149" t="s">
        <v>166</v>
      </c>
      <c r="C104" s="150"/>
      <c r="D104" s="150"/>
      <c r="E104" s="150"/>
      <c r="F104" s="150"/>
      <c r="G104" s="150"/>
      <c r="H104" s="150"/>
      <c r="I104" s="150"/>
      <c r="J104" s="150"/>
      <c r="K104" s="150"/>
      <c r="L104" s="150"/>
      <c r="M104" s="150"/>
      <c r="N104" s="150"/>
      <c r="O104" s="150"/>
      <c r="P104" s="150"/>
      <c r="Q104" s="150"/>
      <c r="R104" s="150"/>
      <c r="S104" s="150"/>
      <c r="T104" s="150"/>
      <c r="U104" s="151"/>
    </row>
    <row r="107" spans="1:28" ht="18" customHeight="1" x14ac:dyDescent="0.2"/>
  </sheetData>
  <mergeCells count="144">
    <mergeCell ref="K61:Q61"/>
    <mergeCell ref="B80:F80"/>
    <mergeCell ref="G81:J81"/>
    <mergeCell ref="B62:F62"/>
    <mergeCell ref="B63:F63"/>
    <mergeCell ref="B64:F64"/>
    <mergeCell ref="K81:Q81"/>
    <mergeCell ref="B75:E75"/>
    <mergeCell ref="B76:E76"/>
    <mergeCell ref="B77:E77"/>
    <mergeCell ref="K74:P74"/>
    <mergeCell ref="K75:P75"/>
    <mergeCell ref="K76:P76"/>
    <mergeCell ref="K71:P71"/>
    <mergeCell ref="K72:P72"/>
    <mergeCell ref="B65:F65"/>
    <mergeCell ref="B66:F66"/>
    <mergeCell ref="B40:F40"/>
    <mergeCell ref="B41:F41"/>
    <mergeCell ref="B42:F42"/>
    <mergeCell ref="B43:F43"/>
    <mergeCell ref="B44:F44"/>
    <mergeCell ref="K49:Q49"/>
    <mergeCell ref="K50:Q50"/>
    <mergeCell ref="K51:Q51"/>
    <mergeCell ref="K52:Q52"/>
    <mergeCell ref="K48:Q48"/>
    <mergeCell ref="K53:Q53"/>
    <mergeCell ref="K54:Q54"/>
    <mergeCell ref="K77:P77"/>
    <mergeCell ref="A68:U69"/>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N22:U22"/>
    <mergeCell ref="L7:U7"/>
    <mergeCell ref="B15:U20"/>
    <mergeCell ref="A24:U25"/>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B93:B94"/>
    <mergeCell ref="R84:U84"/>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A35:U36"/>
    <mergeCell ref="B37:F37"/>
    <mergeCell ref="B38:F38"/>
    <mergeCell ref="B39:F39"/>
    <mergeCell ref="B59:F59"/>
    <mergeCell ref="D91:U91"/>
    <mergeCell ref="D92:U92"/>
    <mergeCell ref="D90:U90"/>
    <mergeCell ref="K87:Q87"/>
    <mergeCell ref="G80:J80"/>
    <mergeCell ref="K80:Q80"/>
    <mergeCell ref="B71:E71"/>
    <mergeCell ref="B72:E72"/>
    <mergeCell ref="K70:P70"/>
    <mergeCell ref="B73:E73"/>
    <mergeCell ref="B74:E74"/>
    <mergeCell ref="K73:P73"/>
    <mergeCell ref="G83:J83"/>
    <mergeCell ref="G84:J84"/>
    <mergeCell ref="K83:Q83"/>
    <mergeCell ref="K84:Q84"/>
    <mergeCell ref="R83:U83"/>
    <mergeCell ref="B84:F84"/>
    <mergeCell ref="R81:U81"/>
    <mergeCell ref="R80:U80"/>
    <mergeCell ref="B81:F81"/>
  </mergeCells>
  <phoneticPr fontId="1"/>
  <conditionalFormatting sqref="B11:U12">
    <cfRule type="expression" dxfId="5" priority="1">
      <formula>$L$7="学部・学科によって、修了要件は相違しない"</formula>
    </cfRule>
    <cfRule type="expression" dxfId="4" priority="2">
      <formula>$L$9="学部・学科によって、修了要件は相違しない"</formula>
    </cfRule>
  </conditionalFormatting>
  <dataValidations count="6">
    <dataValidation type="list" allowBlank="1" showInputMessage="1" showErrorMessage="1" sqref="R71:U77 S27:U33 H27:J33 S38:U44 H38:J44 S49:U55 G71:J77 S60:U66 H49:J55 H60:J66"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8:J88 R88:U88"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 type="list" allowBlank="1" showInputMessage="1" showErrorMessage="1" sqref="G81:J87 R81:U87" xr:uid="{00000000-0002-0000-0000-000005000000}">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pageSetUpPr fitToPage="1"/>
  </sheetPr>
  <dimension ref="A1:AA107"/>
  <sheetViews>
    <sheetView showZeros="0" view="pageBreakPreview" zoomScale="80" zoomScaleNormal="100" zoomScaleSheetLayoutView="80" workbookViewId="0">
      <selection activeCell="D101" sqref="D101:U101"/>
    </sheetView>
  </sheetViews>
  <sheetFormatPr defaultColWidth="9" defaultRowHeight="18.75" customHeight="1" x14ac:dyDescent="0.2"/>
  <cols>
    <col min="1" max="1" width="2.44140625" style="86" customWidth="1"/>
    <col min="2" max="2" width="16.44140625" style="86" customWidth="1"/>
    <col min="3" max="21" width="5.6640625" style="86" customWidth="1"/>
    <col min="22" max="22" width="9" style="86"/>
    <col min="23" max="23" width="3.6640625" style="86" customWidth="1"/>
    <col min="24" max="24" width="48.6640625" style="86" hidden="1" customWidth="1"/>
    <col min="25" max="26" width="9" style="86"/>
    <col min="27" max="27" width="9" style="86" hidden="1" customWidth="1"/>
    <col min="28" max="29" width="9" style="86"/>
    <col min="30" max="30" width="59.109375" style="86" customWidth="1"/>
    <col min="31" max="16384" width="9" style="86"/>
  </cols>
  <sheetData>
    <row r="1" spans="1:24" ht="18.600000000000001" customHeight="1" x14ac:dyDescent="0.2">
      <c r="T1" s="129" t="s">
        <v>145</v>
      </c>
      <c r="U1" s="129"/>
      <c r="V1" s="2" t="s">
        <v>93</v>
      </c>
    </row>
    <row r="2" spans="1:24" ht="18.75" customHeight="1" x14ac:dyDescent="0.2">
      <c r="B2" s="17" t="s">
        <v>92</v>
      </c>
      <c r="C2" s="95" t="s">
        <v>147</v>
      </c>
      <c r="D2" s="96"/>
      <c r="E2" s="96"/>
      <c r="F2" s="96"/>
      <c r="G2" s="96"/>
      <c r="H2" s="96"/>
      <c r="I2" s="96"/>
      <c r="J2" s="97"/>
      <c r="K2" s="83"/>
      <c r="L2" s="6"/>
      <c r="M2" s="6"/>
      <c r="N2" s="6"/>
      <c r="O2" s="6"/>
      <c r="P2" s="6"/>
      <c r="Q2" s="6"/>
      <c r="R2" s="6"/>
      <c r="S2" s="6"/>
      <c r="T2" s="6"/>
      <c r="U2" s="6"/>
    </row>
    <row r="3" spans="1:24" ht="18.75" customHeight="1" x14ac:dyDescent="0.2">
      <c r="B3" s="17" t="s">
        <v>87</v>
      </c>
      <c r="C3" s="130" t="s">
        <v>152</v>
      </c>
      <c r="D3" s="131"/>
      <c r="E3" s="131"/>
      <c r="F3" s="131"/>
      <c r="G3" s="131"/>
      <c r="H3" s="131"/>
      <c r="I3" s="131"/>
      <c r="J3" s="132"/>
      <c r="K3" s="83"/>
      <c r="L3" s="6"/>
      <c r="M3" s="6"/>
      <c r="N3" s="6"/>
      <c r="O3" s="6"/>
      <c r="P3" s="6"/>
      <c r="Q3" s="6"/>
      <c r="R3" s="6"/>
      <c r="S3" s="6"/>
      <c r="T3" s="6"/>
      <c r="U3" s="6"/>
    </row>
    <row r="4" spans="1:24" ht="15" customHeight="1" x14ac:dyDescent="0.2">
      <c r="L4" s="83"/>
      <c r="M4" s="74"/>
      <c r="N4" s="74"/>
      <c r="O4" s="74"/>
      <c r="P4" s="74"/>
      <c r="Q4" s="74"/>
      <c r="R4" s="74"/>
      <c r="S4" s="74"/>
      <c r="T4" s="74"/>
      <c r="U4" s="74"/>
    </row>
    <row r="5" spans="1:24" ht="18" customHeight="1" x14ac:dyDescent="0.2">
      <c r="A5" s="133" t="s">
        <v>141</v>
      </c>
      <c r="B5" s="133"/>
      <c r="C5" s="133"/>
      <c r="D5" s="133"/>
      <c r="E5" s="133"/>
      <c r="F5" s="133"/>
      <c r="G5" s="133"/>
      <c r="H5" s="133"/>
      <c r="I5" s="133"/>
      <c r="J5" s="133"/>
      <c r="K5" s="133"/>
      <c r="L5" s="133"/>
      <c r="M5" s="133"/>
      <c r="N5" s="133"/>
      <c r="O5" s="133"/>
      <c r="P5" s="133"/>
      <c r="Q5" s="133"/>
      <c r="R5" s="133"/>
      <c r="S5" s="133"/>
      <c r="T5" s="133"/>
      <c r="U5" s="133"/>
    </row>
    <row r="6" spans="1:24" ht="15" customHeight="1" x14ac:dyDescent="0.2">
      <c r="B6" s="85"/>
      <c r="C6" s="85"/>
      <c r="D6" s="85"/>
      <c r="E6" s="85"/>
      <c r="F6" s="85"/>
      <c r="G6" s="85"/>
      <c r="H6" s="85"/>
      <c r="I6" s="85"/>
      <c r="J6" s="85"/>
      <c r="K6" s="85"/>
      <c r="L6" s="85"/>
      <c r="M6" s="85"/>
      <c r="N6" s="85"/>
      <c r="O6" s="85"/>
      <c r="P6" s="85"/>
      <c r="Q6" s="85"/>
      <c r="R6" s="85"/>
      <c r="S6" s="85"/>
      <c r="T6" s="85"/>
      <c r="U6" s="85"/>
    </row>
    <row r="7" spans="1:24" ht="15" customHeight="1" x14ac:dyDescent="0.2">
      <c r="A7" s="86" t="s">
        <v>117</v>
      </c>
      <c r="B7" s="85"/>
      <c r="C7" s="85"/>
      <c r="D7" s="85"/>
      <c r="E7" s="85"/>
      <c r="F7" s="2"/>
      <c r="G7" s="2"/>
      <c r="H7" s="2"/>
      <c r="I7" s="2"/>
      <c r="J7" s="2"/>
      <c r="K7" s="2"/>
      <c r="L7" s="137" t="s">
        <v>116</v>
      </c>
      <c r="M7" s="138"/>
      <c r="N7" s="138"/>
      <c r="O7" s="138"/>
      <c r="P7" s="138"/>
      <c r="Q7" s="138"/>
      <c r="R7" s="138"/>
      <c r="S7" s="138"/>
      <c r="T7" s="138"/>
      <c r="U7" s="139"/>
    </row>
    <row r="8" spans="1:24" ht="6" customHeight="1" x14ac:dyDescent="0.2">
      <c r="B8" s="85"/>
      <c r="C8" s="85"/>
      <c r="D8" s="85"/>
      <c r="E8" s="85"/>
      <c r="F8" s="85"/>
      <c r="G8" s="85"/>
      <c r="H8" s="85"/>
      <c r="I8" s="85"/>
      <c r="J8" s="85"/>
      <c r="K8" s="85"/>
      <c r="L8" s="85"/>
      <c r="M8" s="85"/>
      <c r="N8" s="85"/>
      <c r="O8" s="85"/>
      <c r="P8" s="85"/>
      <c r="Q8" s="85"/>
      <c r="R8" s="85"/>
      <c r="S8" s="85"/>
      <c r="T8" s="85"/>
      <c r="U8" s="85"/>
    </row>
    <row r="9" spans="1:24" ht="18" customHeight="1" x14ac:dyDescent="0.2">
      <c r="A9" s="86" t="s">
        <v>118</v>
      </c>
      <c r="C9" s="85"/>
      <c r="D9" s="85"/>
      <c r="K9" s="83"/>
      <c r="L9" s="2"/>
      <c r="M9" s="2"/>
      <c r="N9" s="2"/>
      <c r="O9" s="2"/>
      <c r="P9" s="2"/>
      <c r="Q9" s="2"/>
      <c r="R9" s="2"/>
      <c r="S9" s="2"/>
      <c r="T9" s="2"/>
      <c r="U9" s="2"/>
    </row>
    <row r="10" spans="1:24" ht="6" customHeight="1" x14ac:dyDescent="0.2">
      <c r="B10" s="85"/>
      <c r="C10" s="85"/>
      <c r="D10" s="85"/>
      <c r="E10" s="85"/>
      <c r="F10" s="85"/>
      <c r="G10" s="85"/>
      <c r="H10" s="85"/>
      <c r="I10" s="85"/>
      <c r="J10" s="85"/>
      <c r="K10" s="85"/>
      <c r="L10" s="10"/>
      <c r="M10" s="85"/>
      <c r="N10" s="85"/>
      <c r="O10" s="85"/>
      <c r="P10" s="85"/>
      <c r="Q10" s="85"/>
      <c r="R10" s="85"/>
      <c r="S10" s="85"/>
      <c r="T10" s="85"/>
      <c r="U10" s="85"/>
    </row>
    <row r="11" spans="1:24" ht="18" customHeight="1" x14ac:dyDescent="0.2">
      <c r="B11" s="118" t="s">
        <v>150</v>
      </c>
      <c r="C11" s="119"/>
      <c r="D11" s="119"/>
      <c r="E11" s="119"/>
      <c r="F11" s="119"/>
      <c r="G11" s="119"/>
      <c r="H11" s="119"/>
      <c r="I11" s="119"/>
      <c r="J11" s="119"/>
      <c r="K11" s="119"/>
      <c r="L11" s="119"/>
      <c r="M11" s="119"/>
      <c r="N11" s="119"/>
      <c r="O11" s="119"/>
      <c r="P11" s="119"/>
      <c r="Q11" s="119"/>
      <c r="R11" s="119"/>
      <c r="S11" s="119"/>
      <c r="T11" s="119"/>
      <c r="U11" s="120"/>
    </row>
    <row r="12" spans="1:24" ht="18" customHeight="1" x14ac:dyDescent="0.2">
      <c r="B12" s="121"/>
      <c r="C12" s="122"/>
      <c r="D12" s="122"/>
      <c r="E12" s="122"/>
      <c r="F12" s="122"/>
      <c r="G12" s="122"/>
      <c r="H12" s="122"/>
      <c r="I12" s="122"/>
      <c r="J12" s="122"/>
      <c r="K12" s="122"/>
      <c r="L12" s="122"/>
      <c r="M12" s="122"/>
      <c r="N12" s="122"/>
      <c r="O12" s="122"/>
      <c r="P12" s="122"/>
      <c r="Q12" s="122"/>
      <c r="R12" s="122"/>
      <c r="S12" s="122"/>
      <c r="T12" s="122"/>
      <c r="U12" s="123"/>
    </row>
    <row r="13" spans="1:24" ht="6" customHeight="1" x14ac:dyDescent="0.2">
      <c r="B13" s="85"/>
      <c r="C13" s="85"/>
      <c r="D13" s="85"/>
      <c r="E13" s="85"/>
      <c r="F13" s="85"/>
      <c r="G13" s="85"/>
      <c r="H13" s="85"/>
      <c r="I13" s="85"/>
      <c r="J13" s="85"/>
      <c r="K13" s="85"/>
      <c r="L13" s="10"/>
      <c r="M13" s="85"/>
      <c r="N13" s="85"/>
      <c r="O13" s="85"/>
      <c r="P13" s="85"/>
      <c r="Q13" s="85"/>
      <c r="R13" s="85"/>
      <c r="S13" s="85"/>
      <c r="T13" s="85"/>
      <c r="U13" s="85"/>
    </row>
    <row r="14" spans="1:24" ht="18" customHeight="1" x14ac:dyDescent="0.2">
      <c r="A14" s="86" t="s">
        <v>94</v>
      </c>
      <c r="B14" s="85"/>
      <c r="C14" s="85"/>
      <c r="D14" s="85"/>
      <c r="E14" s="83"/>
      <c r="F14" s="83"/>
      <c r="G14" s="83"/>
      <c r="H14" s="83"/>
      <c r="I14" s="83"/>
      <c r="J14" s="83"/>
      <c r="K14" s="83"/>
      <c r="L14" s="75"/>
      <c r="M14" s="75"/>
      <c r="N14" s="75"/>
      <c r="O14" s="75"/>
      <c r="P14" s="75"/>
      <c r="Q14" s="75"/>
      <c r="R14" s="75"/>
      <c r="S14" s="75"/>
      <c r="T14" s="75"/>
      <c r="U14" s="75"/>
    </row>
    <row r="15" spans="1:24" ht="18" customHeight="1" x14ac:dyDescent="0.2">
      <c r="B15" s="140" t="s">
        <v>186</v>
      </c>
      <c r="C15" s="141"/>
      <c r="D15" s="141"/>
      <c r="E15" s="141"/>
      <c r="F15" s="141"/>
      <c r="G15" s="141"/>
      <c r="H15" s="141"/>
      <c r="I15" s="141"/>
      <c r="J15" s="141"/>
      <c r="K15" s="141"/>
      <c r="L15" s="141"/>
      <c r="M15" s="141"/>
      <c r="N15" s="141"/>
      <c r="O15" s="141"/>
      <c r="P15" s="141"/>
      <c r="Q15" s="141"/>
      <c r="R15" s="141"/>
      <c r="S15" s="141"/>
      <c r="T15" s="141"/>
      <c r="U15" s="142"/>
      <c r="X15" s="86" t="s">
        <v>88</v>
      </c>
    </row>
    <row r="16" spans="1:24" ht="18" customHeight="1" x14ac:dyDescent="0.2">
      <c r="B16" s="143"/>
      <c r="C16" s="144"/>
      <c r="D16" s="144"/>
      <c r="E16" s="144"/>
      <c r="F16" s="144"/>
      <c r="G16" s="144"/>
      <c r="H16" s="144"/>
      <c r="I16" s="144"/>
      <c r="J16" s="144"/>
      <c r="K16" s="144"/>
      <c r="L16" s="144"/>
      <c r="M16" s="144"/>
      <c r="N16" s="144"/>
      <c r="O16" s="144"/>
      <c r="P16" s="144"/>
      <c r="Q16" s="144"/>
      <c r="R16" s="144"/>
      <c r="S16" s="144"/>
      <c r="T16" s="144"/>
      <c r="U16" s="145"/>
      <c r="X16" s="86" t="s">
        <v>122</v>
      </c>
    </row>
    <row r="17" spans="1:24" ht="18" customHeight="1" x14ac:dyDescent="0.2">
      <c r="B17" s="143"/>
      <c r="C17" s="144"/>
      <c r="D17" s="144"/>
      <c r="E17" s="144"/>
      <c r="F17" s="144"/>
      <c r="G17" s="144"/>
      <c r="H17" s="144"/>
      <c r="I17" s="144"/>
      <c r="J17" s="144"/>
      <c r="K17" s="144"/>
      <c r="L17" s="144"/>
      <c r="M17" s="144"/>
      <c r="N17" s="144"/>
      <c r="O17" s="144"/>
      <c r="P17" s="144"/>
      <c r="Q17" s="144"/>
      <c r="R17" s="144"/>
      <c r="S17" s="144"/>
      <c r="T17" s="144"/>
      <c r="U17" s="145"/>
      <c r="X17" s="86" t="s">
        <v>123</v>
      </c>
    </row>
    <row r="18" spans="1:24" ht="18" customHeight="1" x14ac:dyDescent="0.2">
      <c r="B18" s="143"/>
      <c r="C18" s="144"/>
      <c r="D18" s="144"/>
      <c r="E18" s="144"/>
      <c r="F18" s="144"/>
      <c r="G18" s="144"/>
      <c r="H18" s="144"/>
      <c r="I18" s="144"/>
      <c r="J18" s="144"/>
      <c r="K18" s="144"/>
      <c r="L18" s="144"/>
      <c r="M18" s="144"/>
      <c r="N18" s="144"/>
      <c r="O18" s="144"/>
      <c r="P18" s="144"/>
      <c r="Q18" s="144"/>
      <c r="R18" s="144"/>
      <c r="S18" s="144"/>
      <c r="T18" s="144"/>
      <c r="U18" s="145"/>
      <c r="X18" s="86" t="s">
        <v>124</v>
      </c>
    </row>
    <row r="19" spans="1:24" ht="18" customHeight="1" x14ac:dyDescent="0.2">
      <c r="B19" s="143"/>
      <c r="C19" s="144"/>
      <c r="D19" s="144"/>
      <c r="E19" s="144"/>
      <c r="F19" s="144"/>
      <c r="G19" s="144"/>
      <c r="H19" s="144"/>
      <c r="I19" s="144"/>
      <c r="J19" s="144"/>
      <c r="K19" s="144"/>
      <c r="L19" s="144"/>
      <c r="M19" s="144"/>
      <c r="N19" s="144"/>
      <c r="O19" s="144"/>
      <c r="P19" s="144"/>
      <c r="Q19" s="144"/>
      <c r="R19" s="144"/>
      <c r="S19" s="144"/>
      <c r="T19" s="144"/>
      <c r="U19" s="145"/>
    </row>
    <row r="20" spans="1:24" ht="18" customHeight="1" x14ac:dyDescent="0.2">
      <c r="B20" s="146"/>
      <c r="C20" s="147"/>
      <c r="D20" s="147"/>
      <c r="E20" s="147"/>
      <c r="F20" s="147"/>
      <c r="G20" s="147"/>
      <c r="H20" s="147"/>
      <c r="I20" s="147"/>
      <c r="J20" s="147"/>
      <c r="K20" s="147"/>
      <c r="L20" s="147"/>
      <c r="M20" s="147"/>
      <c r="N20" s="147"/>
      <c r="O20" s="147"/>
      <c r="P20" s="147"/>
      <c r="Q20" s="147"/>
      <c r="R20" s="147"/>
      <c r="S20" s="147"/>
      <c r="T20" s="147"/>
      <c r="U20" s="148"/>
    </row>
    <row r="21" spans="1:24" ht="7.5" customHeight="1" x14ac:dyDescent="0.2">
      <c r="B21" s="85"/>
      <c r="C21" s="85"/>
      <c r="D21" s="85"/>
      <c r="E21" s="85"/>
      <c r="F21" s="85"/>
      <c r="G21" s="85"/>
      <c r="H21" s="85"/>
      <c r="I21" s="85"/>
      <c r="J21" s="85"/>
      <c r="K21" s="85"/>
      <c r="L21" s="85"/>
      <c r="M21" s="85"/>
      <c r="N21" s="85"/>
      <c r="O21" s="85"/>
      <c r="P21" s="85"/>
      <c r="Q21" s="85"/>
      <c r="R21" s="85"/>
      <c r="S21" s="85"/>
      <c r="T21" s="85"/>
      <c r="U21" s="85"/>
    </row>
    <row r="22" spans="1:24" ht="19.95" customHeight="1" x14ac:dyDescent="0.2">
      <c r="B22" s="86" t="s">
        <v>119</v>
      </c>
      <c r="E22" s="76">
        <v>3</v>
      </c>
      <c r="F22" s="86" t="s">
        <v>106</v>
      </c>
      <c r="H22" s="19">
        <v>4</v>
      </c>
      <c r="I22" s="85" t="s">
        <v>107</v>
      </c>
      <c r="J22" s="85"/>
      <c r="K22" s="83"/>
      <c r="M22" s="83" t="s">
        <v>103</v>
      </c>
      <c r="N22" s="134" t="s">
        <v>123</v>
      </c>
      <c r="O22" s="135"/>
      <c r="P22" s="135"/>
      <c r="Q22" s="135"/>
      <c r="R22" s="135"/>
      <c r="S22" s="135"/>
      <c r="T22" s="135"/>
      <c r="U22" s="136"/>
    </row>
    <row r="23" spans="1:24" ht="7.5" customHeight="1" x14ac:dyDescent="0.2">
      <c r="B23" s="85"/>
      <c r="C23" s="85"/>
      <c r="D23" s="85"/>
      <c r="E23" s="85"/>
      <c r="F23" s="85"/>
      <c r="G23" s="85"/>
      <c r="H23" s="85"/>
      <c r="I23" s="85"/>
      <c r="J23" s="85"/>
      <c r="K23" s="85"/>
      <c r="L23" s="85"/>
      <c r="M23" s="85"/>
      <c r="N23" s="85"/>
      <c r="O23" s="85"/>
      <c r="P23" s="85"/>
      <c r="Q23" s="85"/>
      <c r="R23" s="85"/>
      <c r="S23" s="85"/>
      <c r="T23" s="85"/>
      <c r="U23" s="85"/>
    </row>
    <row r="24" spans="1:24" ht="18" customHeight="1" x14ac:dyDescent="0.2">
      <c r="A24" s="124" t="s">
        <v>95</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x14ac:dyDescent="0.2">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x14ac:dyDescent="0.2">
      <c r="B26" s="95" t="s">
        <v>47</v>
      </c>
      <c r="C26" s="96"/>
      <c r="D26" s="96"/>
      <c r="E26" s="96"/>
      <c r="F26" s="97"/>
      <c r="G26" s="60" t="s">
        <v>72</v>
      </c>
      <c r="H26" s="61" t="s">
        <v>75</v>
      </c>
      <c r="I26" s="62" t="s">
        <v>50</v>
      </c>
      <c r="J26" s="62" t="s">
        <v>53</v>
      </c>
      <c r="K26" s="95" t="s">
        <v>47</v>
      </c>
      <c r="L26" s="96"/>
      <c r="M26" s="96"/>
      <c r="N26" s="96"/>
      <c r="O26" s="96"/>
      <c r="P26" s="96"/>
      <c r="Q26" s="97"/>
      <c r="R26" s="60" t="s">
        <v>72</v>
      </c>
      <c r="S26" s="61" t="s">
        <v>75</v>
      </c>
      <c r="T26" s="62" t="s">
        <v>50</v>
      </c>
      <c r="U26" s="62" t="s">
        <v>53</v>
      </c>
    </row>
    <row r="27" spans="1:24" ht="18" customHeight="1" x14ac:dyDescent="0.2">
      <c r="B27" s="104" t="s">
        <v>160</v>
      </c>
      <c r="C27" s="105"/>
      <c r="D27" s="105"/>
      <c r="E27" s="105"/>
      <c r="F27" s="115"/>
      <c r="G27" s="63">
        <v>1</v>
      </c>
      <c r="H27" s="63" t="s">
        <v>154</v>
      </c>
      <c r="I27" s="63" t="s">
        <v>154</v>
      </c>
      <c r="J27" s="63" t="s">
        <v>154</v>
      </c>
      <c r="K27" s="104"/>
      <c r="L27" s="105"/>
      <c r="M27" s="105"/>
      <c r="N27" s="105"/>
      <c r="O27" s="105"/>
      <c r="P27" s="105"/>
      <c r="Q27" s="115"/>
      <c r="R27" s="63"/>
      <c r="S27" s="63"/>
      <c r="T27" s="63"/>
      <c r="U27" s="63"/>
    </row>
    <row r="28" spans="1:24" ht="18" customHeight="1" x14ac:dyDescent="0.2">
      <c r="B28" s="106"/>
      <c r="C28" s="107"/>
      <c r="D28" s="107"/>
      <c r="E28" s="107"/>
      <c r="F28" s="108"/>
      <c r="G28" s="64"/>
      <c r="H28" s="64"/>
      <c r="I28" s="64"/>
      <c r="J28" s="64"/>
      <c r="K28" s="106"/>
      <c r="L28" s="107"/>
      <c r="M28" s="107"/>
      <c r="N28" s="107"/>
      <c r="O28" s="107"/>
      <c r="P28" s="107"/>
      <c r="Q28" s="108"/>
      <c r="R28" s="64"/>
      <c r="S28" s="64"/>
      <c r="T28" s="64"/>
      <c r="U28" s="64"/>
    </row>
    <row r="29" spans="1:24" ht="18" customHeight="1" x14ac:dyDescent="0.2">
      <c r="B29" s="106"/>
      <c r="C29" s="107"/>
      <c r="D29" s="107"/>
      <c r="E29" s="107"/>
      <c r="F29" s="108"/>
      <c r="G29" s="64"/>
      <c r="H29" s="64"/>
      <c r="I29" s="64"/>
      <c r="J29" s="64"/>
      <c r="K29" s="106"/>
      <c r="L29" s="107"/>
      <c r="M29" s="107"/>
      <c r="N29" s="107"/>
      <c r="O29" s="107"/>
      <c r="P29" s="107"/>
      <c r="Q29" s="108"/>
      <c r="R29" s="64"/>
      <c r="S29" s="64"/>
      <c r="T29" s="64"/>
      <c r="U29" s="64"/>
    </row>
    <row r="30" spans="1:24" ht="18" customHeight="1" x14ac:dyDescent="0.2">
      <c r="B30" s="106"/>
      <c r="C30" s="107"/>
      <c r="D30" s="107"/>
      <c r="E30" s="107"/>
      <c r="F30" s="108"/>
      <c r="G30" s="64"/>
      <c r="H30" s="64"/>
      <c r="I30" s="64"/>
      <c r="J30" s="64"/>
      <c r="K30" s="106"/>
      <c r="L30" s="107"/>
      <c r="M30" s="107"/>
      <c r="N30" s="107"/>
      <c r="O30" s="107"/>
      <c r="P30" s="107"/>
      <c r="Q30" s="108"/>
      <c r="R30" s="64"/>
      <c r="S30" s="64"/>
      <c r="T30" s="64"/>
      <c r="U30" s="64"/>
    </row>
    <row r="31" spans="1:24" ht="18" customHeight="1" x14ac:dyDescent="0.2">
      <c r="B31" s="106"/>
      <c r="C31" s="107"/>
      <c r="D31" s="107"/>
      <c r="E31" s="107"/>
      <c r="F31" s="108"/>
      <c r="G31" s="64"/>
      <c r="H31" s="64"/>
      <c r="I31" s="64"/>
      <c r="J31" s="64"/>
      <c r="K31" s="106"/>
      <c r="L31" s="107"/>
      <c r="M31" s="107"/>
      <c r="N31" s="107"/>
      <c r="O31" s="107"/>
      <c r="P31" s="107"/>
      <c r="Q31" s="108"/>
      <c r="R31" s="64"/>
      <c r="S31" s="64"/>
      <c r="T31" s="64"/>
      <c r="U31" s="64"/>
    </row>
    <row r="32" spans="1:24" ht="18" customHeight="1" x14ac:dyDescent="0.2">
      <c r="A32" s="85"/>
      <c r="B32" s="106"/>
      <c r="C32" s="107"/>
      <c r="D32" s="107"/>
      <c r="E32" s="107"/>
      <c r="F32" s="108"/>
      <c r="G32" s="64"/>
      <c r="H32" s="64"/>
      <c r="I32" s="64"/>
      <c r="J32" s="64"/>
      <c r="K32" s="106"/>
      <c r="L32" s="107"/>
      <c r="M32" s="107"/>
      <c r="N32" s="107"/>
      <c r="O32" s="107"/>
      <c r="P32" s="107"/>
      <c r="Q32" s="108"/>
      <c r="R32" s="64"/>
      <c r="S32" s="64"/>
      <c r="T32" s="64"/>
      <c r="U32" s="64"/>
    </row>
    <row r="33" spans="1:21" ht="18" customHeight="1" x14ac:dyDescent="0.2">
      <c r="A33" s="85"/>
      <c r="B33" s="98"/>
      <c r="C33" s="99"/>
      <c r="D33" s="99"/>
      <c r="E33" s="99"/>
      <c r="F33" s="100"/>
      <c r="G33" s="65"/>
      <c r="H33" s="65"/>
      <c r="I33" s="66"/>
      <c r="J33" s="66"/>
      <c r="K33" s="98"/>
      <c r="L33" s="99"/>
      <c r="M33" s="99"/>
      <c r="N33" s="99"/>
      <c r="O33" s="99"/>
      <c r="P33" s="99"/>
      <c r="Q33" s="100"/>
      <c r="R33" s="65"/>
      <c r="S33" s="65"/>
      <c r="T33" s="66"/>
      <c r="U33" s="66"/>
    </row>
    <row r="34" spans="1:21" ht="7.5" customHeight="1" x14ac:dyDescent="0.2">
      <c r="A34" s="85"/>
      <c r="B34" s="6"/>
      <c r="C34" s="6"/>
      <c r="D34" s="6"/>
      <c r="E34" s="85"/>
      <c r="F34" s="85"/>
      <c r="G34" s="85"/>
      <c r="H34" s="85"/>
      <c r="I34" s="6"/>
      <c r="J34" s="6"/>
      <c r="K34" s="6"/>
      <c r="L34" s="6"/>
      <c r="M34" s="6"/>
      <c r="N34" s="6"/>
      <c r="O34" s="6"/>
      <c r="P34" s="6"/>
      <c r="Q34" s="6"/>
      <c r="R34" s="6"/>
      <c r="S34" s="6"/>
      <c r="T34" s="6"/>
      <c r="U34" s="85"/>
    </row>
    <row r="35" spans="1:21" ht="18" customHeight="1" x14ac:dyDescent="0.2">
      <c r="A35" s="124" t="s">
        <v>96</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x14ac:dyDescent="0.2">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x14ac:dyDescent="0.2">
      <c r="B37" s="95" t="s">
        <v>47</v>
      </c>
      <c r="C37" s="96"/>
      <c r="D37" s="96"/>
      <c r="E37" s="96"/>
      <c r="F37" s="97"/>
      <c r="G37" s="60" t="s">
        <v>72</v>
      </c>
      <c r="H37" s="61" t="s">
        <v>75</v>
      </c>
      <c r="I37" s="62" t="s">
        <v>63</v>
      </c>
      <c r="J37" s="62" t="s">
        <v>64</v>
      </c>
      <c r="K37" s="95" t="s">
        <v>47</v>
      </c>
      <c r="L37" s="96"/>
      <c r="M37" s="96"/>
      <c r="N37" s="96"/>
      <c r="O37" s="96"/>
      <c r="P37" s="96"/>
      <c r="Q37" s="97"/>
      <c r="R37" s="60" t="s">
        <v>72</v>
      </c>
      <c r="S37" s="61" t="s">
        <v>75</v>
      </c>
      <c r="T37" s="62" t="s">
        <v>63</v>
      </c>
      <c r="U37" s="62" t="s">
        <v>64</v>
      </c>
    </row>
    <row r="38" spans="1:21" ht="18" customHeight="1" x14ac:dyDescent="0.2">
      <c r="B38" s="104" t="s">
        <v>160</v>
      </c>
      <c r="C38" s="105"/>
      <c r="D38" s="105"/>
      <c r="E38" s="105"/>
      <c r="F38" s="115"/>
      <c r="G38" s="63">
        <v>1</v>
      </c>
      <c r="H38" s="63" t="s">
        <v>154</v>
      </c>
      <c r="I38" s="63" t="s">
        <v>154</v>
      </c>
      <c r="J38" s="63" t="s">
        <v>154</v>
      </c>
      <c r="K38" s="104"/>
      <c r="L38" s="105"/>
      <c r="M38" s="105"/>
      <c r="N38" s="105"/>
      <c r="O38" s="105"/>
      <c r="P38" s="105"/>
      <c r="Q38" s="115"/>
      <c r="R38" s="63"/>
      <c r="S38" s="63"/>
      <c r="T38" s="63"/>
      <c r="U38" s="63"/>
    </row>
    <row r="39" spans="1:21" ht="18" customHeight="1" x14ac:dyDescent="0.2">
      <c r="B39" s="106" t="s">
        <v>159</v>
      </c>
      <c r="C39" s="107"/>
      <c r="D39" s="107"/>
      <c r="E39" s="107"/>
      <c r="F39" s="108"/>
      <c r="G39" s="64">
        <v>1</v>
      </c>
      <c r="H39" s="64" t="s">
        <v>154</v>
      </c>
      <c r="I39" s="64" t="s">
        <v>154</v>
      </c>
      <c r="J39" s="64"/>
      <c r="K39" s="106"/>
      <c r="L39" s="107"/>
      <c r="M39" s="107"/>
      <c r="N39" s="107"/>
      <c r="O39" s="107"/>
      <c r="P39" s="107"/>
      <c r="Q39" s="108"/>
      <c r="R39" s="64"/>
      <c r="S39" s="64"/>
      <c r="T39" s="64"/>
      <c r="U39" s="64"/>
    </row>
    <row r="40" spans="1:21" ht="18" customHeight="1" x14ac:dyDescent="0.2">
      <c r="B40" s="106" t="s">
        <v>187</v>
      </c>
      <c r="C40" s="107"/>
      <c r="D40" s="107"/>
      <c r="E40" s="107"/>
      <c r="F40" s="108"/>
      <c r="G40" s="64">
        <v>2</v>
      </c>
      <c r="H40" s="64" t="s">
        <v>188</v>
      </c>
      <c r="I40" s="64" t="s">
        <v>154</v>
      </c>
      <c r="J40" s="64" t="s">
        <v>154</v>
      </c>
      <c r="K40" s="106"/>
      <c r="L40" s="107"/>
      <c r="M40" s="107"/>
      <c r="N40" s="107"/>
      <c r="O40" s="107"/>
      <c r="P40" s="107"/>
      <c r="Q40" s="108"/>
      <c r="R40" s="64"/>
      <c r="S40" s="64"/>
      <c r="T40" s="64"/>
      <c r="U40" s="64"/>
    </row>
    <row r="41" spans="1:21" ht="18" customHeight="1" x14ac:dyDescent="0.2">
      <c r="B41" s="106"/>
      <c r="C41" s="107"/>
      <c r="D41" s="107"/>
      <c r="E41" s="107"/>
      <c r="F41" s="108"/>
      <c r="G41" s="64"/>
      <c r="H41" s="64"/>
      <c r="I41" s="64"/>
      <c r="J41" s="64"/>
      <c r="K41" s="106"/>
      <c r="L41" s="107"/>
      <c r="M41" s="107"/>
      <c r="N41" s="107"/>
      <c r="O41" s="107"/>
      <c r="P41" s="107"/>
      <c r="Q41" s="108"/>
      <c r="R41" s="64"/>
      <c r="S41" s="64"/>
      <c r="T41" s="64"/>
      <c r="U41" s="64"/>
    </row>
    <row r="42" spans="1:21" ht="18" customHeight="1" x14ac:dyDescent="0.2">
      <c r="B42" s="106"/>
      <c r="C42" s="107"/>
      <c r="D42" s="107"/>
      <c r="E42" s="107"/>
      <c r="F42" s="108"/>
      <c r="G42" s="64"/>
      <c r="H42" s="64"/>
      <c r="I42" s="64"/>
      <c r="J42" s="64"/>
      <c r="K42" s="106"/>
      <c r="L42" s="107"/>
      <c r="M42" s="107"/>
      <c r="N42" s="107"/>
      <c r="O42" s="107"/>
      <c r="P42" s="107"/>
      <c r="Q42" s="108"/>
      <c r="R42" s="64"/>
      <c r="S42" s="64"/>
      <c r="T42" s="64"/>
      <c r="U42" s="64"/>
    </row>
    <row r="43" spans="1:21" ht="18" customHeight="1" x14ac:dyDescent="0.2">
      <c r="B43" s="106"/>
      <c r="C43" s="107"/>
      <c r="D43" s="107"/>
      <c r="E43" s="107"/>
      <c r="F43" s="108"/>
      <c r="G43" s="64"/>
      <c r="H43" s="64"/>
      <c r="I43" s="64"/>
      <c r="J43" s="64"/>
      <c r="K43" s="106"/>
      <c r="L43" s="107"/>
      <c r="M43" s="107"/>
      <c r="N43" s="107"/>
      <c r="O43" s="107"/>
      <c r="P43" s="107"/>
      <c r="Q43" s="108"/>
      <c r="R43" s="64"/>
      <c r="S43" s="64"/>
      <c r="T43" s="64"/>
      <c r="U43" s="64"/>
    </row>
    <row r="44" spans="1:21" ht="18" customHeight="1" x14ac:dyDescent="0.2">
      <c r="B44" s="98"/>
      <c r="C44" s="99"/>
      <c r="D44" s="99"/>
      <c r="E44" s="99"/>
      <c r="F44" s="100"/>
      <c r="G44" s="65"/>
      <c r="H44" s="65"/>
      <c r="I44" s="66"/>
      <c r="J44" s="66"/>
      <c r="K44" s="98"/>
      <c r="L44" s="99"/>
      <c r="M44" s="99"/>
      <c r="N44" s="99"/>
      <c r="O44" s="99"/>
      <c r="P44" s="99"/>
      <c r="Q44" s="100"/>
      <c r="R44" s="65"/>
      <c r="S44" s="65"/>
      <c r="T44" s="66"/>
      <c r="U44" s="66"/>
    </row>
    <row r="45" spans="1:21" ht="7.5" customHeight="1" x14ac:dyDescent="0.2">
      <c r="A45" s="85"/>
      <c r="B45" s="6"/>
      <c r="C45" s="6"/>
      <c r="D45" s="6"/>
      <c r="E45" s="85"/>
      <c r="F45" s="85"/>
      <c r="G45" s="85"/>
      <c r="H45" s="85"/>
      <c r="I45" s="6"/>
      <c r="J45" s="6"/>
      <c r="K45" s="6"/>
      <c r="L45" s="6"/>
      <c r="M45" s="6"/>
      <c r="N45" s="6"/>
      <c r="O45" s="6"/>
      <c r="P45" s="6"/>
      <c r="Q45" s="6"/>
      <c r="R45" s="6"/>
      <c r="S45" s="6"/>
      <c r="T45" s="6"/>
      <c r="U45" s="85"/>
    </row>
    <row r="46" spans="1:21" ht="18" customHeight="1" x14ac:dyDescent="0.2">
      <c r="A46" s="124" t="s">
        <v>97</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x14ac:dyDescent="0.2">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x14ac:dyDescent="0.2">
      <c r="B48" s="95" t="s">
        <v>47</v>
      </c>
      <c r="C48" s="96"/>
      <c r="D48" s="96"/>
      <c r="E48" s="96"/>
      <c r="F48" s="97"/>
      <c r="G48" s="60" t="s">
        <v>72</v>
      </c>
      <c r="H48" s="61" t="s">
        <v>75</v>
      </c>
      <c r="I48" s="62" t="s">
        <v>65</v>
      </c>
      <c r="J48" s="62" t="s">
        <v>66</v>
      </c>
      <c r="K48" s="95" t="s">
        <v>47</v>
      </c>
      <c r="L48" s="96"/>
      <c r="M48" s="96"/>
      <c r="N48" s="96"/>
      <c r="O48" s="96"/>
      <c r="P48" s="96"/>
      <c r="Q48" s="97"/>
      <c r="R48" s="60" t="s">
        <v>72</v>
      </c>
      <c r="S48" s="61" t="s">
        <v>75</v>
      </c>
      <c r="T48" s="62" t="s">
        <v>65</v>
      </c>
      <c r="U48" s="62" t="s">
        <v>66</v>
      </c>
    </row>
    <row r="49" spans="1:21" ht="18" customHeight="1" x14ac:dyDescent="0.2">
      <c r="A49" s="85"/>
      <c r="B49" s="104" t="s">
        <v>160</v>
      </c>
      <c r="C49" s="105"/>
      <c r="D49" s="105"/>
      <c r="E49" s="105"/>
      <c r="F49" s="115"/>
      <c r="G49" s="63">
        <v>1</v>
      </c>
      <c r="H49" s="63" t="s">
        <v>154</v>
      </c>
      <c r="I49" s="63" t="s">
        <v>154</v>
      </c>
      <c r="J49" s="63" t="s">
        <v>154</v>
      </c>
      <c r="K49" s="104"/>
      <c r="L49" s="105"/>
      <c r="M49" s="105"/>
      <c r="N49" s="105"/>
      <c r="O49" s="105"/>
      <c r="P49" s="105"/>
      <c r="Q49" s="115"/>
      <c r="R49" s="63"/>
      <c r="S49" s="63"/>
      <c r="T49" s="63"/>
      <c r="U49" s="63"/>
    </row>
    <row r="50" spans="1:21" ht="18" customHeight="1" x14ac:dyDescent="0.2">
      <c r="A50" s="85"/>
      <c r="B50" s="106" t="s">
        <v>159</v>
      </c>
      <c r="C50" s="107"/>
      <c r="D50" s="107"/>
      <c r="E50" s="107"/>
      <c r="F50" s="108"/>
      <c r="G50" s="64">
        <v>1</v>
      </c>
      <c r="H50" s="64" t="s">
        <v>154</v>
      </c>
      <c r="I50" s="64" t="s">
        <v>154</v>
      </c>
      <c r="J50" s="64"/>
      <c r="K50" s="106"/>
      <c r="L50" s="107"/>
      <c r="M50" s="107"/>
      <c r="N50" s="107"/>
      <c r="O50" s="107"/>
      <c r="P50" s="107"/>
      <c r="Q50" s="108"/>
      <c r="R50" s="64"/>
      <c r="S50" s="64"/>
      <c r="T50" s="64"/>
      <c r="U50" s="64"/>
    </row>
    <row r="51" spans="1:21" ht="18" customHeight="1" x14ac:dyDescent="0.2">
      <c r="A51" s="85"/>
      <c r="B51" s="106"/>
      <c r="C51" s="107"/>
      <c r="D51" s="107"/>
      <c r="E51" s="107"/>
      <c r="F51" s="108"/>
      <c r="G51" s="64"/>
      <c r="H51" s="64"/>
      <c r="I51" s="64"/>
      <c r="J51" s="64"/>
      <c r="K51" s="106"/>
      <c r="L51" s="107"/>
      <c r="M51" s="107"/>
      <c r="N51" s="107"/>
      <c r="O51" s="107"/>
      <c r="P51" s="107"/>
      <c r="Q51" s="108"/>
      <c r="R51" s="64"/>
      <c r="S51" s="64"/>
      <c r="T51" s="64"/>
      <c r="U51" s="64"/>
    </row>
    <row r="52" spans="1:21" ht="18" customHeight="1" x14ac:dyDescent="0.2">
      <c r="A52" s="85"/>
      <c r="B52" s="106"/>
      <c r="C52" s="107"/>
      <c r="D52" s="107"/>
      <c r="E52" s="107"/>
      <c r="F52" s="108"/>
      <c r="G52" s="64"/>
      <c r="H52" s="64"/>
      <c r="I52" s="64"/>
      <c r="J52" s="64"/>
      <c r="K52" s="106"/>
      <c r="L52" s="107"/>
      <c r="M52" s="107"/>
      <c r="N52" s="107"/>
      <c r="O52" s="107"/>
      <c r="P52" s="107"/>
      <c r="Q52" s="108"/>
      <c r="R52" s="64"/>
      <c r="S52" s="64"/>
      <c r="T52" s="64"/>
      <c r="U52" s="64"/>
    </row>
    <row r="53" spans="1:21" ht="18" customHeight="1" x14ac:dyDescent="0.2">
      <c r="A53" s="85"/>
      <c r="B53" s="106"/>
      <c r="C53" s="107"/>
      <c r="D53" s="107"/>
      <c r="E53" s="107"/>
      <c r="F53" s="108"/>
      <c r="G53" s="64"/>
      <c r="H53" s="64"/>
      <c r="I53" s="64"/>
      <c r="J53" s="64"/>
      <c r="K53" s="106"/>
      <c r="L53" s="107"/>
      <c r="M53" s="107"/>
      <c r="N53" s="107"/>
      <c r="O53" s="107"/>
      <c r="P53" s="107"/>
      <c r="Q53" s="108"/>
      <c r="R53" s="64"/>
      <c r="S53" s="64"/>
      <c r="T53" s="64"/>
      <c r="U53" s="64"/>
    </row>
    <row r="54" spans="1:21" ht="18" customHeight="1" x14ac:dyDescent="0.2">
      <c r="A54" s="85"/>
      <c r="B54" s="106"/>
      <c r="C54" s="107"/>
      <c r="D54" s="107"/>
      <c r="E54" s="107"/>
      <c r="F54" s="108"/>
      <c r="G54" s="64"/>
      <c r="H54" s="64"/>
      <c r="I54" s="64"/>
      <c r="J54" s="64"/>
      <c r="K54" s="106"/>
      <c r="L54" s="107"/>
      <c r="M54" s="107"/>
      <c r="N54" s="107"/>
      <c r="O54" s="107"/>
      <c r="P54" s="107"/>
      <c r="Q54" s="108"/>
      <c r="R54" s="64"/>
      <c r="S54" s="64"/>
      <c r="T54" s="64"/>
      <c r="U54" s="64"/>
    </row>
    <row r="55" spans="1:21" ht="18" customHeight="1" x14ac:dyDescent="0.2">
      <c r="A55" s="85"/>
      <c r="B55" s="98"/>
      <c r="C55" s="99"/>
      <c r="D55" s="99"/>
      <c r="E55" s="99"/>
      <c r="F55" s="100"/>
      <c r="G55" s="65"/>
      <c r="H55" s="65"/>
      <c r="I55" s="66"/>
      <c r="J55" s="66"/>
      <c r="K55" s="98"/>
      <c r="L55" s="99"/>
      <c r="M55" s="99"/>
      <c r="N55" s="99"/>
      <c r="O55" s="99"/>
      <c r="P55" s="99"/>
      <c r="Q55" s="100"/>
      <c r="R55" s="65"/>
      <c r="S55" s="65"/>
      <c r="T55" s="66"/>
      <c r="U55" s="66"/>
    </row>
    <row r="56" spans="1:21" ht="7.5" customHeight="1" x14ac:dyDescent="0.2">
      <c r="B56" s="84"/>
      <c r="C56" s="84"/>
      <c r="D56" s="84"/>
      <c r="E56" s="84"/>
      <c r="F56" s="84"/>
      <c r="G56" s="84"/>
      <c r="H56" s="84"/>
      <c r="I56" s="84"/>
      <c r="J56" s="84"/>
      <c r="K56" s="84"/>
      <c r="L56" s="84"/>
      <c r="M56" s="84"/>
      <c r="N56" s="84"/>
      <c r="O56" s="84"/>
      <c r="P56" s="84"/>
      <c r="Q56" s="84"/>
      <c r="R56" s="84"/>
      <c r="S56" s="84"/>
      <c r="T56" s="84"/>
    </row>
    <row r="57" spans="1:21" ht="18" customHeight="1" x14ac:dyDescent="0.2">
      <c r="A57" s="124" t="s">
        <v>98</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x14ac:dyDescent="0.2">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x14ac:dyDescent="0.2">
      <c r="B59" s="95" t="s">
        <v>47</v>
      </c>
      <c r="C59" s="96"/>
      <c r="D59" s="96"/>
      <c r="E59" s="96"/>
      <c r="F59" s="97"/>
      <c r="G59" s="60" t="s">
        <v>72</v>
      </c>
      <c r="H59" s="61" t="s">
        <v>75</v>
      </c>
      <c r="I59" s="62" t="s">
        <v>52</v>
      </c>
      <c r="J59" s="62" t="s">
        <v>54</v>
      </c>
      <c r="K59" s="95" t="s">
        <v>47</v>
      </c>
      <c r="L59" s="96"/>
      <c r="M59" s="96"/>
      <c r="N59" s="96"/>
      <c r="O59" s="96"/>
      <c r="P59" s="96"/>
      <c r="Q59" s="97"/>
      <c r="R59" s="60" t="s">
        <v>72</v>
      </c>
      <c r="S59" s="61" t="s">
        <v>75</v>
      </c>
      <c r="T59" s="62" t="s">
        <v>52</v>
      </c>
      <c r="U59" s="62" t="s">
        <v>54</v>
      </c>
    </row>
    <row r="60" spans="1:21" ht="18" customHeight="1" x14ac:dyDescent="0.2">
      <c r="A60" s="85"/>
      <c r="B60" s="104" t="s">
        <v>160</v>
      </c>
      <c r="C60" s="105"/>
      <c r="D60" s="105"/>
      <c r="E60" s="105"/>
      <c r="F60" s="115"/>
      <c r="G60" s="63">
        <v>1</v>
      </c>
      <c r="H60" s="63" t="s">
        <v>154</v>
      </c>
      <c r="I60" s="63" t="s">
        <v>154</v>
      </c>
      <c r="J60" s="63" t="s">
        <v>154</v>
      </c>
      <c r="K60" s="104"/>
      <c r="L60" s="105"/>
      <c r="M60" s="105"/>
      <c r="N60" s="105"/>
      <c r="O60" s="105"/>
      <c r="P60" s="105"/>
      <c r="Q60" s="115"/>
      <c r="R60" s="63"/>
      <c r="S60" s="63"/>
      <c r="T60" s="63"/>
      <c r="U60" s="63"/>
    </row>
    <row r="61" spans="1:21" ht="18" customHeight="1" x14ac:dyDescent="0.2">
      <c r="A61" s="85"/>
      <c r="B61" s="106"/>
      <c r="C61" s="107"/>
      <c r="D61" s="107"/>
      <c r="E61" s="107"/>
      <c r="F61" s="108"/>
      <c r="G61" s="64"/>
      <c r="H61" s="64"/>
      <c r="I61" s="64"/>
      <c r="J61" s="64"/>
      <c r="K61" s="106"/>
      <c r="L61" s="107"/>
      <c r="M61" s="107"/>
      <c r="N61" s="107"/>
      <c r="O61" s="107"/>
      <c r="P61" s="107"/>
      <c r="Q61" s="108"/>
      <c r="R61" s="64"/>
      <c r="S61" s="64"/>
      <c r="T61" s="64"/>
      <c r="U61" s="64"/>
    </row>
    <row r="62" spans="1:21" ht="18" customHeight="1" x14ac:dyDescent="0.2">
      <c r="A62" s="85"/>
      <c r="B62" s="106"/>
      <c r="C62" s="107"/>
      <c r="D62" s="107"/>
      <c r="E62" s="107"/>
      <c r="F62" s="108"/>
      <c r="G62" s="64"/>
      <c r="H62" s="64"/>
      <c r="I62" s="64"/>
      <c r="J62" s="64"/>
      <c r="K62" s="106"/>
      <c r="L62" s="107"/>
      <c r="M62" s="107"/>
      <c r="N62" s="107"/>
      <c r="O62" s="107"/>
      <c r="P62" s="107"/>
      <c r="Q62" s="108"/>
      <c r="R62" s="64"/>
      <c r="S62" s="64"/>
      <c r="T62" s="64"/>
      <c r="U62" s="64"/>
    </row>
    <row r="63" spans="1:21" ht="18" customHeight="1" x14ac:dyDescent="0.2">
      <c r="A63" s="85"/>
      <c r="B63" s="106"/>
      <c r="C63" s="107"/>
      <c r="D63" s="107"/>
      <c r="E63" s="107"/>
      <c r="F63" s="108"/>
      <c r="G63" s="64"/>
      <c r="H63" s="64"/>
      <c r="I63" s="64"/>
      <c r="J63" s="64"/>
      <c r="K63" s="106"/>
      <c r="L63" s="107"/>
      <c r="M63" s="107"/>
      <c r="N63" s="107"/>
      <c r="O63" s="107"/>
      <c r="P63" s="107"/>
      <c r="Q63" s="108"/>
      <c r="R63" s="64"/>
      <c r="S63" s="64"/>
      <c r="T63" s="64"/>
      <c r="U63" s="64"/>
    </row>
    <row r="64" spans="1:21" ht="18" customHeight="1" x14ac:dyDescent="0.2">
      <c r="A64" s="85"/>
      <c r="B64" s="106"/>
      <c r="C64" s="107"/>
      <c r="D64" s="107"/>
      <c r="E64" s="107"/>
      <c r="F64" s="108"/>
      <c r="G64" s="64"/>
      <c r="H64" s="64"/>
      <c r="I64" s="64"/>
      <c r="J64" s="64"/>
      <c r="K64" s="106"/>
      <c r="L64" s="107"/>
      <c r="M64" s="107"/>
      <c r="N64" s="107"/>
      <c r="O64" s="107"/>
      <c r="P64" s="107"/>
      <c r="Q64" s="108"/>
      <c r="R64" s="64"/>
      <c r="S64" s="64"/>
      <c r="T64" s="64"/>
      <c r="U64" s="64"/>
    </row>
    <row r="65" spans="1:27" ht="18" customHeight="1" x14ac:dyDescent="0.2">
      <c r="A65" s="85"/>
      <c r="B65" s="106"/>
      <c r="C65" s="107"/>
      <c r="D65" s="107"/>
      <c r="E65" s="107"/>
      <c r="F65" s="108"/>
      <c r="G65" s="64"/>
      <c r="H65" s="64"/>
      <c r="I65" s="64"/>
      <c r="J65" s="64"/>
      <c r="K65" s="106"/>
      <c r="L65" s="107"/>
      <c r="M65" s="107"/>
      <c r="N65" s="107"/>
      <c r="O65" s="107"/>
      <c r="P65" s="107"/>
      <c r="Q65" s="108"/>
      <c r="R65" s="64"/>
      <c r="S65" s="64"/>
      <c r="T65" s="64"/>
      <c r="U65" s="64"/>
    </row>
    <row r="66" spans="1:27" ht="18" customHeight="1" x14ac:dyDescent="0.2">
      <c r="A66" s="85"/>
      <c r="B66" s="98"/>
      <c r="C66" s="99"/>
      <c r="D66" s="99"/>
      <c r="E66" s="99"/>
      <c r="F66" s="100"/>
      <c r="G66" s="65"/>
      <c r="H66" s="65"/>
      <c r="I66" s="66"/>
      <c r="J66" s="66"/>
      <c r="K66" s="98"/>
      <c r="L66" s="99"/>
      <c r="M66" s="99"/>
      <c r="N66" s="99"/>
      <c r="O66" s="99"/>
      <c r="P66" s="99"/>
      <c r="Q66" s="100"/>
      <c r="R66" s="65"/>
      <c r="S66" s="65"/>
      <c r="T66" s="66"/>
      <c r="U66" s="66"/>
    </row>
    <row r="67" spans="1:27" ht="7.5" customHeight="1" x14ac:dyDescent="0.2">
      <c r="B67" s="84"/>
      <c r="C67" s="84"/>
      <c r="D67" s="84"/>
      <c r="E67" s="84"/>
      <c r="F67" s="84"/>
      <c r="G67" s="84"/>
      <c r="H67" s="84"/>
      <c r="I67" s="84"/>
      <c r="J67" s="84"/>
      <c r="K67" s="84"/>
      <c r="L67" s="84"/>
      <c r="M67" s="84"/>
      <c r="N67" s="84"/>
      <c r="O67" s="84"/>
      <c r="P67" s="84"/>
      <c r="Q67" s="84"/>
      <c r="R67" s="84"/>
      <c r="S67" s="84"/>
      <c r="T67" s="84"/>
    </row>
    <row r="68" spans="1:27" ht="18" customHeight="1" x14ac:dyDescent="0.2">
      <c r="A68" s="124" t="s">
        <v>99</v>
      </c>
      <c r="B68" s="124"/>
      <c r="C68" s="124"/>
      <c r="D68" s="124"/>
      <c r="E68" s="124"/>
      <c r="F68" s="124"/>
      <c r="G68" s="124"/>
      <c r="H68" s="124"/>
      <c r="I68" s="124"/>
      <c r="J68" s="124"/>
      <c r="K68" s="124"/>
      <c r="L68" s="124"/>
      <c r="M68" s="124"/>
      <c r="N68" s="124"/>
      <c r="O68" s="124"/>
      <c r="P68" s="124"/>
      <c r="Q68" s="124"/>
      <c r="R68" s="124"/>
      <c r="S68" s="124"/>
      <c r="T68" s="124"/>
      <c r="U68" s="124"/>
    </row>
    <row r="69" spans="1:27" ht="18" customHeight="1" x14ac:dyDescent="0.2">
      <c r="A69" s="124"/>
      <c r="B69" s="124"/>
      <c r="C69" s="124"/>
      <c r="D69" s="124"/>
      <c r="E69" s="124"/>
      <c r="F69" s="124"/>
      <c r="G69" s="124"/>
      <c r="H69" s="124"/>
      <c r="I69" s="124"/>
      <c r="J69" s="124"/>
      <c r="K69" s="124"/>
      <c r="L69" s="124"/>
      <c r="M69" s="124"/>
      <c r="N69" s="124"/>
      <c r="O69" s="124"/>
      <c r="P69" s="124"/>
      <c r="Q69" s="124"/>
      <c r="R69" s="124"/>
      <c r="S69" s="124"/>
      <c r="T69" s="124"/>
      <c r="U69" s="124"/>
    </row>
    <row r="70" spans="1:27" ht="18" customHeight="1" x14ac:dyDescent="0.2">
      <c r="B70" s="95" t="s">
        <v>47</v>
      </c>
      <c r="C70" s="96"/>
      <c r="D70" s="96"/>
      <c r="E70" s="96"/>
      <c r="F70" s="60" t="s">
        <v>72</v>
      </c>
      <c r="G70" s="61" t="s">
        <v>75</v>
      </c>
      <c r="H70" s="62" t="s">
        <v>86</v>
      </c>
      <c r="I70" s="62" t="s">
        <v>67</v>
      </c>
      <c r="J70" s="62" t="s">
        <v>68</v>
      </c>
      <c r="K70" s="95" t="s">
        <v>47</v>
      </c>
      <c r="L70" s="96"/>
      <c r="M70" s="96"/>
      <c r="N70" s="96"/>
      <c r="O70" s="96"/>
      <c r="P70" s="97"/>
      <c r="Q70" s="60" t="s">
        <v>72</v>
      </c>
      <c r="R70" s="61" t="s">
        <v>75</v>
      </c>
      <c r="S70" s="62" t="s">
        <v>86</v>
      </c>
      <c r="T70" s="62" t="s">
        <v>67</v>
      </c>
      <c r="U70" s="62" t="s">
        <v>68</v>
      </c>
    </row>
    <row r="71" spans="1:27" ht="18" customHeight="1" x14ac:dyDescent="0.2">
      <c r="A71" s="85"/>
      <c r="B71" s="104" t="s">
        <v>160</v>
      </c>
      <c r="C71" s="105"/>
      <c r="D71" s="105"/>
      <c r="E71" s="115"/>
      <c r="F71" s="63">
        <v>1</v>
      </c>
      <c r="G71" s="63" t="s">
        <v>154</v>
      </c>
      <c r="H71" s="63" t="s">
        <v>154</v>
      </c>
      <c r="I71" s="63"/>
      <c r="J71" s="63"/>
      <c r="K71" s="104"/>
      <c r="L71" s="105"/>
      <c r="M71" s="105"/>
      <c r="N71" s="105"/>
      <c r="O71" s="105"/>
      <c r="P71" s="115"/>
      <c r="Q71" s="63"/>
      <c r="R71" s="63"/>
      <c r="S71" s="63"/>
      <c r="T71" s="63"/>
      <c r="U71" s="63"/>
    </row>
    <row r="72" spans="1:27" ht="18" customHeight="1" x14ac:dyDescent="0.2">
      <c r="A72" s="85"/>
      <c r="B72" s="106" t="s">
        <v>159</v>
      </c>
      <c r="C72" s="107"/>
      <c r="D72" s="107"/>
      <c r="E72" s="107"/>
      <c r="F72" s="64">
        <v>1</v>
      </c>
      <c r="G72" s="64" t="s">
        <v>154</v>
      </c>
      <c r="H72" s="64" t="s">
        <v>154</v>
      </c>
      <c r="I72" s="64" t="s">
        <v>154</v>
      </c>
      <c r="J72" s="64" t="s">
        <v>154</v>
      </c>
      <c r="K72" s="106"/>
      <c r="L72" s="107"/>
      <c r="M72" s="107"/>
      <c r="N72" s="107"/>
      <c r="O72" s="107"/>
      <c r="P72" s="108"/>
      <c r="Q72" s="64"/>
      <c r="R72" s="64"/>
      <c r="S72" s="64"/>
      <c r="T72" s="64"/>
      <c r="U72" s="64"/>
    </row>
    <row r="73" spans="1:27" ht="18" customHeight="1" x14ac:dyDescent="0.2">
      <c r="A73" s="85"/>
      <c r="B73" s="106" t="s">
        <v>187</v>
      </c>
      <c r="C73" s="107"/>
      <c r="D73" s="107"/>
      <c r="E73" s="107"/>
      <c r="F73" s="64">
        <v>2</v>
      </c>
      <c r="G73" s="64" t="s">
        <v>188</v>
      </c>
      <c r="H73" s="64" t="s">
        <v>188</v>
      </c>
      <c r="I73" s="64" t="s">
        <v>188</v>
      </c>
      <c r="J73" s="64"/>
      <c r="K73" s="106"/>
      <c r="L73" s="107"/>
      <c r="M73" s="107"/>
      <c r="N73" s="107"/>
      <c r="O73" s="107"/>
      <c r="P73" s="108"/>
      <c r="Q73" s="64"/>
      <c r="R73" s="64"/>
      <c r="S73" s="64"/>
      <c r="T73" s="64"/>
      <c r="U73" s="64"/>
    </row>
    <row r="74" spans="1:27" ht="18" customHeight="1" x14ac:dyDescent="0.2">
      <c r="A74" s="85"/>
      <c r="B74" s="106"/>
      <c r="C74" s="107"/>
      <c r="D74" s="107"/>
      <c r="E74" s="107"/>
      <c r="F74" s="64"/>
      <c r="G74" s="64"/>
      <c r="H74" s="64"/>
      <c r="I74" s="64"/>
      <c r="J74" s="64"/>
      <c r="K74" s="106"/>
      <c r="L74" s="107"/>
      <c r="M74" s="107"/>
      <c r="N74" s="107"/>
      <c r="O74" s="107"/>
      <c r="P74" s="108"/>
      <c r="Q74" s="64"/>
      <c r="R74" s="64"/>
      <c r="S74" s="64"/>
      <c r="T74" s="64"/>
      <c r="U74" s="64"/>
    </row>
    <row r="75" spans="1:27" ht="18" customHeight="1" x14ac:dyDescent="0.2">
      <c r="A75" s="85"/>
      <c r="B75" s="106"/>
      <c r="C75" s="107"/>
      <c r="D75" s="107"/>
      <c r="E75" s="107"/>
      <c r="F75" s="64"/>
      <c r="G75" s="64"/>
      <c r="H75" s="64"/>
      <c r="I75" s="64"/>
      <c r="J75" s="64"/>
      <c r="K75" s="106"/>
      <c r="L75" s="107"/>
      <c r="M75" s="107"/>
      <c r="N75" s="107"/>
      <c r="O75" s="107"/>
      <c r="P75" s="108"/>
      <c r="Q75" s="64"/>
      <c r="R75" s="64"/>
      <c r="S75" s="64"/>
      <c r="T75" s="64"/>
      <c r="U75" s="64"/>
    </row>
    <row r="76" spans="1:27" ht="18" customHeight="1" x14ac:dyDescent="0.2">
      <c r="A76" s="85"/>
      <c r="B76" s="106"/>
      <c r="C76" s="107"/>
      <c r="D76" s="107"/>
      <c r="E76" s="107"/>
      <c r="F76" s="64"/>
      <c r="G76" s="64"/>
      <c r="H76" s="64"/>
      <c r="I76" s="64"/>
      <c r="J76" s="64"/>
      <c r="K76" s="106"/>
      <c r="L76" s="107"/>
      <c r="M76" s="107"/>
      <c r="N76" s="107"/>
      <c r="O76" s="107"/>
      <c r="P76" s="108"/>
      <c r="Q76" s="64"/>
      <c r="R76" s="64"/>
      <c r="S76" s="64"/>
      <c r="T76" s="64"/>
      <c r="U76" s="64"/>
    </row>
    <row r="77" spans="1:27" ht="18" customHeight="1" x14ac:dyDescent="0.2">
      <c r="A77" s="85"/>
      <c r="B77" s="98"/>
      <c r="C77" s="99"/>
      <c r="D77" s="99"/>
      <c r="E77" s="99"/>
      <c r="F77" s="65"/>
      <c r="G77" s="65"/>
      <c r="H77" s="66"/>
      <c r="I77" s="66"/>
      <c r="J77" s="66"/>
      <c r="K77" s="98"/>
      <c r="L77" s="99"/>
      <c r="M77" s="99"/>
      <c r="N77" s="99"/>
      <c r="O77" s="99"/>
      <c r="P77" s="100"/>
      <c r="Q77" s="65"/>
      <c r="R77" s="65"/>
      <c r="S77" s="66"/>
      <c r="T77" s="66"/>
      <c r="U77" s="66"/>
    </row>
    <row r="78" spans="1:27" ht="7.5" customHeight="1" x14ac:dyDescent="0.2">
      <c r="B78" s="84"/>
      <c r="C78" s="84"/>
      <c r="D78" s="84"/>
      <c r="E78" s="84"/>
      <c r="F78" s="84"/>
      <c r="G78" s="84"/>
      <c r="H78" s="84"/>
      <c r="I78" s="84"/>
      <c r="J78" s="84"/>
      <c r="K78" s="84"/>
      <c r="L78" s="84"/>
      <c r="M78" s="84"/>
      <c r="N78" s="84"/>
      <c r="O78" s="84"/>
      <c r="P78" s="84"/>
      <c r="Q78" s="84"/>
      <c r="R78" s="84"/>
      <c r="S78" s="84"/>
      <c r="T78" s="84"/>
      <c r="AA78" s="86" t="s">
        <v>138</v>
      </c>
    </row>
    <row r="79" spans="1:27" ht="18" customHeight="1" x14ac:dyDescent="0.2">
      <c r="A79" s="86" t="s">
        <v>100</v>
      </c>
      <c r="I79" s="85"/>
      <c r="J79" s="85"/>
      <c r="K79" s="85"/>
      <c r="L79" s="85"/>
      <c r="M79" s="85"/>
      <c r="N79" s="85"/>
      <c r="O79" s="85"/>
      <c r="P79" s="85"/>
      <c r="Q79" s="85"/>
      <c r="R79" s="85"/>
      <c r="S79" s="85"/>
      <c r="T79" s="85"/>
      <c r="U79" s="85"/>
      <c r="AA79" s="86" t="s">
        <v>131</v>
      </c>
    </row>
    <row r="80" spans="1:27" ht="18" customHeight="1" x14ac:dyDescent="0.2">
      <c r="B80" s="95" t="s">
        <v>47</v>
      </c>
      <c r="C80" s="96"/>
      <c r="D80" s="96"/>
      <c r="E80" s="96"/>
      <c r="F80" s="97"/>
      <c r="G80" s="95" t="s">
        <v>73</v>
      </c>
      <c r="H80" s="96"/>
      <c r="I80" s="96"/>
      <c r="J80" s="97"/>
      <c r="K80" s="101" t="s">
        <v>47</v>
      </c>
      <c r="L80" s="102"/>
      <c r="M80" s="102"/>
      <c r="N80" s="102"/>
      <c r="O80" s="102"/>
      <c r="P80" s="102"/>
      <c r="Q80" s="103"/>
      <c r="R80" s="95" t="s">
        <v>73</v>
      </c>
      <c r="S80" s="96"/>
      <c r="T80" s="96"/>
      <c r="U80" s="97"/>
      <c r="AA80" s="86" t="s">
        <v>132</v>
      </c>
    </row>
    <row r="81" spans="1:27" ht="18" customHeight="1" x14ac:dyDescent="0.2">
      <c r="A81" s="85"/>
      <c r="B81" s="104"/>
      <c r="C81" s="105"/>
      <c r="D81" s="105"/>
      <c r="E81" s="105"/>
      <c r="F81" s="115"/>
      <c r="G81" s="112"/>
      <c r="H81" s="113"/>
      <c r="I81" s="113"/>
      <c r="J81" s="114"/>
      <c r="K81" s="104"/>
      <c r="L81" s="105"/>
      <c r="M81" s="105"/>
      <c r="N81" s="105"/>
      <c r="O81" s="105"/>
      <c r="P81" s="105"/>
      <c r="Q81" s="115"/>
      <c r="R81" s="112"/>
      <c r="S81" s="113"/>
      <c r="T81" s="113"/>
      <c r="U81" s="114"/>
      <c r="AA81" s="86" t="s">
        <v>133</v>
      </c>
    </row>
    <row r="82" spans="1:27" ht="18" customHeight="1" x14ac:dyDescent="0.2">
      <c r="A82" s="85"/>
      <c r="B82" s="106"/>
      <c r="C82" s="107"/>
      <c r="D82" s="107"/>
      <c r="E82" s="107"/>
      <c r="F82" s="108"/>
      <c r="G82" s="109"/>
      <c r="H82" s="110"/>
      <c r="I82" s="110"/>
      <c r="J82" s="111"/>
      <c r="K82" s="106"/>
      <c r="L82" s="107"/>
      <c r="M82" s="107"/>
      <c r="N82" s="107"/>
      <c r="O82" s="107"/>
      <c r="P82" s="107"/>
      <c r="Q82" s="108"/>
      <c r="R82" s="109"/>
      <c r="S82" s="110"/>
      <c r="T82" s="110"/>
      <c r="U82" s="111"/>
      <c r="AA82" s="86" t="s">
        <v>139</v>
      </c>
    </row>
    <row r="83" spans="1:27" ht="18" customHeight="1" x14ac:dyDescent="0.2">
      <c r="A83" s="85"/>
      <c r="B83" s="106"/>
      <c r="C83" s="107"/>
      <c r="D83" s="107"/>
      <c r="E83" s="107"/>
      <c r="F83" s="108"/>
      <c r="G83" s="109"/>
      <c r="H83" s="110"/>
      <c r="I83" s="110"/>
      <c r="J83" s="111"/>
      <c r="K83" s="106"/>
      <c r="L83" s="107"/>
      <c r="M83" s="107"/>
      <c r="N83" s="107"/>
      <c r="O83" s="107"/>
      <c r="P83" s="107"/>
      <c r="Q83" s="108"/>
      <c r="R83" s="109"/>
      <c r="S83" s="110"/>
      <c r="T83" s="110"/>
      <c r="U83" s="111"/>
      <c r="AA83" s="86" t="s">
        <v>140</v>
      </c>
    </row>
    <row r="84" spans="1:27" ht="18" customHeight="1" x14ac:dyDescent="0.2">
      <c r="A84" s="85"/>
      <c r="B84" s="106"/>
      <c r="C84" s="107"/>
      <c r="D84" s="107"/>
      <c r="E84" s="107"/>
      <c r="F84" s="108"/>
      <c r="G84" s="109"/>
      <c r="H84" s="110"/>
      <c r="I84" s="110"/>
      <c r="J84" s="111"/>
      <c r="K84" s="106"/>
      <c r="L84" s="107"/>
      <c r="M84" s="107"/>
      <c r="N84" s="107"/>
      <c r="O84" s="107"/>
      <c r="P84" s="107"/>
      <c r="Q84" s="108"/>
      <c r="R84" s="109"/>
      <c r="S84" s="110"/>
      <c r="T84" s="110"/>
      <c r="U84" s="111"/>
      <c r="AA84" s="86" t="s">
        <v>134</v>
      </c>
    </row>
    <row r="85" spans="1:27" ht="18" customHeight="1" x14ac:dyDescent="0.2">
      <c r="A85" s="85"/>
      <c r="B85" s="106"/>
      <c r="C85" s="107"/>
      <c r="D85" s="107"/>
      <c r="E85" s="107"/>
      <c r="F85" s="108"/>
      <c r="G85" s="109"/>
      <c r="H85" s="110"/>
      <c r="I85" s="110"/>
      <c r="J85" s="111"/>
      <c r="K85" s="106"/>
      <c r="L85" s="107"/>
      <c r="M85" s="107"/>
      <c r="N85" s="107"/>
      <c r="O85" s="107"/>
      <c r="P85" s="107"/>
      <c r="Q85" s="108"/>
      <c r="R85" s="109"/>
      <c r="S85" s="110"/>
      <c r="T85" s="110"/>
      <c r="U85" s="111"/>
      <c r="AA85" s="86" t="s">
        <v>135</v>
      </c>
    </row>
    <row r="86" spans="1:27" ht="18" customHeight="1" x14ac:dyDescent="0.2">
      <c r="A86" s="85"/>
      <c r="B86" s="106"/>
      <c r="C86" s="107"/>
      <c r="D86" s="107"/>
      <c r="E86" s="107"/>
      <c r="F86" s="108"/>
      <c r="G86" s="109"/>
      <c r="H86" s="110"/>
      <c r="I86" s="110"/>
      <c r="J86" s="111"/>
      <c r="K86" s="106"/>
      <c r="L86" s="107"/>
      <c r="M86" s="107"/>
      <c r="N86" s="107"/>
      <c r="O86" s="107"/>
      <c r="P86" s="107"/>
      <c r="Q86" s="108"/>
      <c r="R86" s="109"/>
      <c r="S86" s="110"/>
      <c r="T86" s="110"/>
      <c r="U86" s="111"/>
      <c r="AA86" s="86" t="s">
        <v>136</v>
      </c>
    </row>
    <row r="87" spans="1:27" ht="18" customHeight="1" x14ac:dyDescent="0.2">
      <c r="A87" s="85"/>
      <c r="B87" s="98"/>
      <c r="C87" s="99"/>
      <c r="D87" s="99"/>
      <c r="E87" s="99"/>
      <c r="F87" s="100"/>
      <c r="G87" s="152"/>
      <c r="H87" s="153"/>
      <c r="I87" s="153"/>
      <c r="J87" s="154"/>
      <c r="K87" s="98"/>
      <c r="L87" s="99"/>
      <c r="M87" s="99"/>
      <c r="N87" s="99"/>
      <c r="O87" s="99"/>
      <c r="P87" s="99"/>
      <c r="Q87" s="100"/>
      <c r="R87" s="152"/>
      <c r="S87" s="153"/>
      <c r="T87" s="153"/>
      <c r="U87" s="154"/>
      <c r="AA87" s="86" t="s">
        <v>137</v>
      </c>
    </row>
    <row r="88" spans="1:27" ht="18" customHeight="1" x14ac:dyDescent="0.2">
      <c r="A88" s="85"/>
      <c r="B88" s="6"/>
      <c r="C88" s="6"/>
      <c r="D88" s="6"/>
      <c r="E88" s="6"/>
      <c r="F88" s="6"/>
      <c r="G88" s="67"/>
      <c r="H88" s="67"/>
      <c r="I88" s="67"/>
      <c r="J88" s="67"/>
      <c r="K88" s="6"/>
      <c r="L88" s="6"/>
      <c r="M88" s="6"/>
      <c r="N88" s="6"/>
      <c r="O88" s="6"/>
      <c r="P88" s="6"/>
      <c r="Q88" s="6"/>
      <c r="R88" s="67"/>
      <c r="S88" s="67"/>
      <c r="T88" s="67"/>
      <c r="U88" s="67"/>
    </row>
    <row r="89" spans="1:27" ht="18.75" customHeight="1" x14ac:dyDescent="0.2">
      <c r="A89" s="86" t="s">
        <v>101</v>
      </c>
    </row>
    <row r="90" spans="1:27" ht="18.75" customHeight="1" x14ac:dyDescent="0.2">
      <c r="B90" s="155" t="s">
        <v>48</v>
      </c>
      <c r="C90" s="156"/>
      <c r="D90" s="95" t="s">
        <v>49</v>
      </c>
      <c r="E90" s="96"/>
      <c r="F90" s="96"/>
      <c r="G90" s="96"/>
      <c r="H90" s="96"/>
      <c r="I90" s="96"/>
      <c r="J90" s="96"/>
      <c r="K90" s="96"/>
      <c r="L90" s="96"/>
      <c r="M90" s="96"/>
      <c r="N90" s="96"/>
      <c r="O90" s="96"/>
      <c r="P90" s="96"/>
      <c r="Q90" s="96"/>
      <c r="R90" s="96"/>
      <c r="S90" s="96"/>
      <c r="T90" s="96"/>
      <c r="U90" s="97"/>
    </row>
    <row r="91" spans="1:27" ht="97.5" customHeight="1" x14ac:dyDescent="0.2">
      <c r="B91" s="126" t="s">
        <v>55</v>
      </c>
      <c r="C91" s="68" t="s">
        <v>50</v>
      </c>
      <c r="D91" s="93" t="s">
        <v>212</v>
      </c>
      <c r="E91" s="93"/>
      <c r="F91" s="93"/>
      <c r="G91" s="93"/>
      <c r="H91" s="93"/>
      <c r="I91" s="93"/>
      <c r="J91" s="93"/>
      <c r="K91" s="93"/>
      <c r="L91" s="93"/>
      <c r="M91" s="93"/>
      <c r="N91" s="93"/>
      <c r="O91" s="93"/>
      <c r="P91" s="93"/>
      <c r="Q91" s="93"/>
      <c r="R91" s="93"/>
      <c r="S91" s="93"/>
      <c r="T91" s="93"/>
      <c r="U91" s="93"/>
    </row>
    <row r="92" spans="1:27" ht="97.5" customHeight="1" x14ac:dyDescent="0.2">
      <c r="B92" s="128"/>
      <c r="C92" s="69" t="s">
        <v>69</v>
      </c>
      <c r="D92" s="94" t="s">
        <v>213</v>
      </c>
      <c r="E92" s="94"/>
      <c r="F92" s="94"/>
      <c r="G92" s="94"/>
      <c r="H92" s="94"/>
      <c r="I92" s="94"/>
      <c r="J92" s="94"/>
      <c r="K92" s="94"/>
      <c r="L92" s="94"/>
      <c r="M92" s="94"/>
      <c r="N92" s="94"/>
      <c r="O92" s="94"/>
      <c r="P92" s="94"/>
      <c r="Q92" s="94"/>
      <c r="R92" s="94"/>
      <c r="S92" s="94"/>
      <c r="T92" s="94"/>
      <c r="U92" s="94"/>
    </row>
    <row r="93" spans="1:27" ht="97.5" customHeight="1" x14ac:dyDescent="0.2">
      <c r="B93" s="126" t="s">
        <v>56</v>
      </c>
      <c r="C93" s="70" t="s">
        <v>63</v>
      </c>
      <c r="D93" s="116" t="s">
        <v>214</v>
      </c>
      <c r="E93" s="116"/>
      <c r="F93" s="116"/>
      <c r="G93" s="116"/>
      <c r="H93" s="116"/>
      <c r="I93" s="116"/>
      <c r="J93" s="116"/>
      <c r="K93" s="116"/>
      <c r="L93" s="116"/>
      <c r="M93" s="116"/>
      <c r="N93" s="116"/>
      <c r="O93" s="116"/>
      <c r="P93" s="116"/>
      <c r="Q93" s="116"/>
      <c r="R93" s="116"/>
      <c r="S93" s="116"/>
      <c r="T93" s="116"/>
      <c r="U93" s="116"/>
    </row>
    <row r="94" spans="1:27" ht="97.5" customHeight="1" x14ac:dyDescent="0.2">
      <c r="B94" s="127"/>
      <c r="C94" s="71" t="s">
        <v>64</v>
      </c>
      <c r="D94" s="117" t="s">
        <v>215</v>
      </c>
      <c r="E94" s="117"/>
      <c r="F94" s="117"/>
      <c r="G94" s="117"/>
      <c r="H94" s="117"/>
      <c r="I94" s="117"/>
      <c r="J94" s="117"/>
      <c r="K94" s="117"/>
      <c r="L94" s="117"/>
      <c r="M94" s="117"/>
      <c r="N94" s="117"/>
      <c r="O94" s="117"/>
      <c r="P94" s="117"/>
      <c r="Q94" s="117"/>
      <c r="R94" s="117"/>
      <c r="S94" s="117"/>
      <c r="T94" s="117"/>
      <c r="U94" s="117"/>
    </row>
    <row r="95" spans="1:27" ht="97.5" customHeight="1" x14ac:dyDescent="0.2">
      <c r="B95" s="126" t="s">
        <v>57</v>
      </c>
      <c r="C95" s="70" t="s">
        <v>65</v>
      </c>
      <c r="D95" s="93" t="s">
        <v>216</v>
      </c>
      <c r="E95" s="93"/>
      <c r="F95" s="93"/>
      <c r="G95" s="93"/>
      <c r="H95" s="93"/>
      <c r="I95" s="93"/>
      <c r="J95" s="93"/>
      <c r="K95" s="93"/>
      <c r="L95" s="93"/>
      <c r="M95" s="93"/>
      <c r="N95" s="93"/>
      <c r="O95" s="93"/>
      <c r="P95" s="93"/>
      <c r="Q95" s="93"/>
      <c r="R95" s="93"/>
      <c r="S95" s="93"/>
      <c r="T95" s="93"/>
      <c r="U95" s="93"/>
    </row>
    <row r="96" spans="1:27" ht="97.5" customHeight="1" x14ac:dyDescent="0.2">
      <c r="B96" s="127"/>
      <c r="C96" s="72" t="s">
        <v>66</v>
      </c>
      <c r="D96" s="94" t="s">
        <v>217</v>
      </c>
      <c r="E96" s="94"/>
      <c r="F96" s="94"/>
      <c r="G96" s="94"/>
      <c r="H96" s="94"/>
      <c r="I96" s="94"/>
      <c r="J96" s="94"/>
      <c r="K96" s="94"/>
      <c r="L96" s="94"/>
      <c r="M96" s="94"/>
      <c r="N96" s="94"/>
      <c r="O96" s="94"/>
      <c r="P96" s="94"/>
      <c r="Q96" s="94"/>
      <c r="R96" s="94"/>
      <c r="S96" s="94"/>
      <c r="T96" s="94"/>
      <c r="U96" s="94"/>
    </row>
    <row r="97" spans="1:21" ht="97.5" customHeight="1" x14ac:dyDescent="0.2">
      <c r="B97" s="126" t="s">
        <v>70</v>
      </c>
      <c r="C97" s="68" t="s">
        <v>52</v>
      </c>
      <c r="D97" s="116" t="s">
        <v>218</v>
      </c>
      <c r="E97" s="116"/>
      <c r="F97" s="116"/>
      <c r="G97" s="116"/>
      <c r="H97" s="116"/>
      <c r="I97" s="116"/>
      <c r="J97" s="116"/>
      <c r="K97" s="116"/>
      <c r="L97" s="116"/>
      <c r="M97" s="116"/>
      <c r="N97" s="116"/>
      <c r="O97" s="116"/>
      <c r="P97" s="116"/>
      <c r="Q97" s="116"/>
      <c r="R97" s="116"/>
      <c r="S97" s="116"/>
      <c r="T97" s="116"/>
      <c r="U97" s="116"/>
    </row>
    <row r="98" spans="1:21" ht="97.5" customHeight="1" x14ac:dyDescent="0.2">
      <c r="B98" s="127"/>
      <c r="C98" s="71" t="s">
        <v>54</v>
      </c>
      <c r="D98" s="117" t="s">
        <v>219</v>
      </c>
      <c r="E98" s="117"/>
      <c r="F98" s="117"/>
      <c r="G98" s="117"/>
      <c r="H98" s="117"/>
      <c r="I98" s="117"/>
      <c r="J98" s="117"/>
      <c r="K98" s="117"/>
      <c r="L98" s="117"/>
      <c r="M98" s="117"/>
      <c r="N98" s="117"/>
      <c r="O98" s="117"/>
      <c r="P98" s="117"/>
      <c r="Q98" s="117"/>
      <c r="R98" s="117"/>
      <c r="S98" s="117"/>
      <c r="T98" s="117"/>
      <c r="U98" s="117"/>
    </row>
    <row r="99" spans="1:21" ht="127.2" customHeight="1" x14ac:dyDescent="0.2">
      <c r="B99" s="126" t="s">
        <v>71</v>
      </c>
      <c r="C99" s="70" t="s">
        <v>51</v>
      </c>
      <c r="D99" s="93" t="s">
        <v>220</v>
      </c>
      <c r="E99" s="93"/>
      <c r="F99" s="93"/>
      <c r="G99" s="93"/>
      <c r="H99" s="93"/>
      <c r="I99" s="93"/>
      <c r="J99" s="93"/>
      <c r="K99" s="93"/>
      <c r="L99" s="93"/>
      <c r="M99" s="93"/>
      <c r="N99" s="93"/>
      <c r="O99" s="93"/>
      <c r="P99" s="93"/>
      <c r="Q99" s="93"/>
      <c r="R99" s="93"/>
      <c r="S99" s="93"/>
      <c r="T99" s="93"/>
      <c r="U99" s="93"/>
    </row>
    <row r="100" spans="1:21" ht="97.5" customHeight="1" x14ac:dyDescent="0.2">
      <c r="B100" s="128"/>
      <c r="C100" s="73" t="s">
        <v>67</v>
      </c>
      <c r="D100" s="125" t="s">
        <v>221</v>
      </c>
      <c r="E100" s="125"/>
      <c r="F100" s="125"/>
      <c r="G100" s="125"/>
      <c r="H100" s="125"/>
      <c r="I100" s="125"/>
      <c r="J100" s="125"/>
      <c r="K100" s="125"/>
      <c r="L100" s="125"/>
      <c r="M100" s="125"/>
      <c r="N100" s="125"/>
      <c r="O100" s="125"/>
      <c r="P100" s="125"/>
      <c r="Q100" s="125"/>
      <c r="R100" s="125"/>
      <c r="S100" s="125"/>
      <c r="T100" s="125"/>
      <c r="U100" s="125"/>
    </row>
    <row r="101" spans="1:21" ht="97.5" customHeight="1" x14ac:dyDescent="0.2">
      <c r="B101" s="127"/>
      <c r="C101" s="72" t="s">
        <v>68</v>
      </c>
      <c r="D101" s="117" t="s">
        <v>222</v>
      </c>
      <c r="E101" s="117"/>
      <c r="F101" s="117"/>
      <c r="G101" s="117"/>
      <c r="H101" s="117"/>
      <c r="I101" s="117"/>
      <c r="J101" s="117"/>
      <c r="K101" s="117"/>
      <c r="L101" s="117"/>
      <c r="M101" s="117"/>
      <c r="N101" s="117"/>
      <c r="O101" s="117"/>
      <c r="P101" s="117"/>
      <c r="Q101" s="117"/>
      <c r="R101" s="117"/>
      <c r="S101" s="117"/>
      <c r="T101" s="117"/>
      <c r="U101" s="117"/>
    </row>
    <row r="102" spans="1:21" ht="6" customHeight="1" x14ac:dyDescent="0.2"/>
    <row r="103" spans="1:21" ht="18.75" customHeight="1" x14ac:dyDescent="0.2">
      <c r="A103" s="86" t="s">
        <v>102</v>
      </c>
    </row>
    <row r="104" spans="1:21" ht="81.75" customHeight="1" x14ac:dyDescent="0.2">
      <c r="B104" s="149" t="s">
        <v>165</v>
      </c>
      <c r="C104" s="150"/>
      <c r="D104" s="150"/>
      <c r="E104" s="150"/>
      <c r="F104" s="150"/>
      <c r="G104" s="150"/>
      <c r="H104" s="150"/>
      <c r="I104" s="150"/>
      <c r="J104" s="150"/>
      <c r="K104" s="150"/>
      <c r="L104" s="150"/>
      <c r="M104" s="150"/>
      <c r="N104" s="150"/>
      <c r="O104" s="150"/>
      <c r="P104" s="150"/>
      <c r="Q104" s="150"/>
      <c r="R104" s="150"/>
      <c r="S104" s="150"/>
      <c r="T104" s="150"/>
      <c r="U104" s="151"/>
    </row>
    <row r="107" spans="1:21" ht="18" customHeight="1" x14ac:dyDescent="0.2"/>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3:U93"/>
    <mergeCell ref="D94:U94"/>
    <mergeCell ref="B87:F87"/>
    <mergeCell ref="G87:J87"/>
    <mergeCell ref="K87:Q87"/>
    <mergeCell ref="R87:U87"/>
    <mergeCell ref="B90:C90"/>
    <mergeCell ref="D90:U90"/>
    <mergeCell ref="B99:B101"/>
    <mergeCell ref="D99:U99"/>
    <mergeCell ref="D100:U100"/>
    <mergeCell ref="D101:U101"/>
    <mergeCell ref="B104:U104"/>
    <mergeCell ref="B95:B96"/>
    <mergeCell ref="D95:U95"/>
    <mergeCell ref="D96:U96"/>
    <mergeCell ref="B97:B98"/>
    <mergeCell ref="D97:U97"/>
    <mergeCell ref="D98:U98"/>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6">
    <dataValidation type="list" allowBlank="1" showInputMessage="1" showErrorMessage="1" sqref="H27:J33 S27:U33 R71:U77 S38:U44 H60:J66 S49:U55 H38:J44 S60:U66 G71:J77 H49:J55" xr:uid="{00000000-0002-0000-0100-000000000000}">
      <formula1>"○"</formula1>
    </dataValidation>
    <dataValidation type="list" allowBlank="1" showInputMessage="1" showErrorMessage="1" sqref="U34 U45 E34:H34 E45:H45" xr:uid="{00000000-0002-0000-0100-000001000000}">
      <formula1>"全学開講,一部開講"</formula1>
    </dataValidation>
    <dataValidation type="list" allowBlank="1" showInputMessage="1" showErrorMessage="1" sqref="L14 L7:U7" xr:uid="{00000000-0002-0000-0100-000002000000}">
      <formula1>"学部・学科によって、修了要件は相違する,学部・学科によって、修了要件は相違しない"</formula1>
    </dataValidation>
    <dataValidation type="list" allowBlank="1" showInputMessage="1" showErrorMessage="1" sqref="G88:J88 R88:U88" xr:uid="{00000000-0002-0000-01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100-000004000000}">
      <formula1>$X$16:$X$18</formula1>
    </dataValidation>
    <dataValidation type="list" allowBlank="1" showInputMessage="1" showErrorMessage="1" sqref="G81:J87 R81:U87" xr:uid="{00000000-0002-0000-0100-000005000000}">
      <formula1>$AA$78:$AA$87</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92D050"/>
    <pageSetUpPr fitToPage="1"/>
  </sheetPr>
  <dimension ref="A1:AA107"/>
  <sheetViews>
    <sheetView showZeros="0" view="pageBreakPreview" topLeftCell="A91" zoomScale="80" zoomScaleNormal="100" zoomScaleSheetLayoutView="80" workbookViewId="0">
      <selection activeCell="G72" sqref="G72"/>
    </sheetView>
  </sheetViews>
  <sheetFormatPr defaultColWidth="9" defaultRowHeight="18.75" customHeight="1" x14ac:dyDescent="0.2"/>
  <cols>
    <col min="1" max="1" width="2.44140625" style="86" customWidth="1"/>
    <col min="2" max="2" width="16.44140625" style="86" customWidth="1"/>
    <col min="3" max="21" width="5.6640625" style="86" customWidth="1"/>
    <col min="22" max="22" width="9" style="86"/>
    <col min="23" max="23" width="3.6640625" style="86" customWidth="1"/>
    <col min="24" max="24" width="48.6640625" style="86" hidden="1" customWidth="1"/>
    <col min="25" max="26" width="9" style="86"/>
    <col min="27" max="27" width="9" style="86" hidden="1" customWidth="1"/>
    <col min="28" max="29" width="9" style="86"/>
    <col min="30" max="30" width="72.88671875" style="86" customWidth="1"/>
    <col min="31" max="16384" width="9" style="86"/>
  </cols>
  <sheetData>
    <row r="1" spans="1:24" ht="18.600000000000001" customHeight="1" x14ac:dyDescent="0.2">
      <c r="T1" s="129" t="s">
        <v>146</v>
      </c>
      <c r="U1" s="129"/>
      <c r="V1" s="2" t="s">
        <v>93</v>
      </c>
    </row>
    <row r="2" spans="1:24" ht="18.75" customHeight="1" x14ac:dyDescent="0.2">
      <c r="B2" s="17" t="s">
        <v>92</v>
      </c>
      <c r="C2" s="95" t="s">
        <v>147</v>
      </c>
      <c r="D2" s="96"/>
      <c r="E2" s="96"/>
      <c r="F2" s="96"/>
      <c r="G2" s="96"/>
      <c r="H2" s="96"/>
      <c r="I2" s="96"/>
      <c r="J2" s="97"/>
      <c r="K2" s="83"/>
      <c r="L2" s="6"/>
      <c r="M2" s="6"/>
      <c r="N2" s="6"/>
      <c r="O2" s="6"/>
      <c r="P2" s="6"/>
      <c r="Q2" s="6"/>
      <c r="R2" s="6"/>
      <c r="S2" s="6"/>
      <c r="T2" s="6"/>
      <c r="U2" s="6"/>
    </row>
    <row r="3" spans="1:24" ht="18.75" customHeight="1" x14ac:dyDescent="0.2">
      <c r="B3" s="17" t="s">
        <v>87</v>
      </c>
      <c r="C3" s="130" t="s">
        <v>152</v>
      </c>
      <c r="D3" s="131"/>
      <c r="E3" s="131"/>
      <c r="F3" s="131"/>
      <c r="G3" s="131"/>
      <c r="H3" s="131"/>
      <c r="I3" s="131"/>
      <c r="J3" s="132"/>
      <c r="K3" s="83"/>
      <c r="L3" s="6"/>
      <c r="M3" s="6"/>
      <c r="N3" s="6"/>
      <c r="O3" s="6"/>
      <c r="P3" s="6"/>
      <c r="Q3" s="6"/>
      <c r="R3" s="6"/>
      <c r="S3" s="6"/>
      <c r="T3" s="6"/>
      <c r="U3" s="6"/>
    </row>
    <row r="4" spans="1:24" ht="15" customHeight="1" x14ac:dyDescent="0.2">
      <c r="L4" s="83"/>
      <c r="M4" s="74"/>
      <c r="N4" s="74"/>
      <c r="O4" s="74"/>
      <c r="P4" s="74"/>
      <c r="Q4" s="74"/>
      <c r="R4" s="74"/>
      <c r="S4" s="74"/>
      <c r="T4" s="74"/>
      <c r="U4" s="74"/>
    </row>
    <row r="5" spans="1:24" ht="18" customHeight="1" x14ac:dyDescent="0.2">
      <c r="A5" s="133" t="s">
        <v>141</v>
      </c>
      <c r="B5" s="133"/>
      <c r="C5" s="133"/>
      <c r="D5" s="133"/>
      <c r="E5" s="133"/>
      <c r="F5" s="133"/>
      <c r="G5" s="133"/>
      <c r="H5" s="133"/>
      <c r="I5" s="133"/>
      <c r="J5" s="133"/>
      <c r="K5" s="133"/>
      <c r="L5" s="133"/>
      <c r="M5" s="133"/>
      <c r="N5" s="133"/>
      <c r="O5" s="133"/>
      <c r="P5" s="133"/>
      <c r="Q5" s="133"/>
      <c r="R5" s="133"/>
      <c r="S5" s="133"/>
      <c r="T5" s="133"/>
      <c r="U5" s="133"/>
    </row>
    <row r="6" spans="1:24" ht="15" customHeight="1" x14ac:dyDescent="0.2">
      <c r="B6" s="85"/>
      <c r="C6" s="85"/>
      <c r="D6" s="85"/>
      <c r="E6" s="85"/>
      <c r="F6" s="85"/>
      <c r="G6" s="85"/>
      <c r="H6" s="85"/>
      <c r="I6" s="85"/>
      <c r="J6" s="85"/>
      <c r="K6" s="85"/>
      <c r="L6" s="85"/>
      <c r="M6" s="85"/>
      <c r="N6" s="85"/>
      <c r="O6" s="85"/>
      <c r="P6" s="85"/>
      <c r="Q6" s="85"/>
      <c r="R6" s="85"/>
      <c r="S6" s="85"/>
      <c r="T6" s="85"/>
      <c r="U6" s="85"/>
    </row>
    <row r="7" spans="1:24" ht="15" customHeight="1" x14ac:dyDescent="0.2">
      <c r="A7" s="86" t="s">
        <v>117</v>
      </c>
      <c r="B7" s="85"/>
      <c r="C7" s="85"/>
      <c r="D7" s="85"/>
      <c r="E7" s="85"/>
      <c r="F7" s="2"/>
      <c r="G7" s="2"/>
      <c r="H7" s="2"/>
      <c r="I7" s="2"/>
      <c r="J7" s="2"/>
      <c r="K7" s="2"/>
      <c r="L7" s="137" t="s">
        <v>116</v>
      </c>
      <c r="M7" s="138"/>
      <c r="N7" s="138"/>
      <c r="O7" s="138"/>
      <c r="P7" s="138"/>
      <c r="Q7" s="138"/>
      <c r="R7" s="138"/>
      <c r="S7" s="138"/>
      <c r="T7" s="138"/>
      <c r="U7" s="139"/>
    </row>
    <row r="8" spans="1:24" ht="6" customHeight="1" x14ac:dyDescent="0.2">
      <c r="B8" s="85"/>
      <c r="C8" s="85"/>
      <c r="D8" s="85"/>
      <c r="E8" s="85"/>
      <c r="F8" s="85"/>
      <c r="G8" s="85"/>
      <c r="H8" s="85"/>
      <c r="I8" s="85"/>
      <c r="J8" s="85"/>
      <c r="K8" s="85"/>
      <c r="L8" s="85"/>
      <c r="M8" s="85"/>
      <c r="N8" s="85"/>
      <c r="O8" s="85"/>
      <c r="P8" s="85"/>
      <c r="Q8" s="85"/>
      <c r="R8" s="85"/>
      <c r="S8" s="85"/>
      <c r="T8" s="85"/>
      <c r="U8" s="85"/>
    </row>
    <row r="9" spans="1:24" ht="18" customHeight="1" x14ac:dyDescent="0.2">
      <c r="A9" s="86" t="s">
        <v>118</v>
      </c>
      <c r="C9" s="85"/>
      <c r="D9" s="85"/>
      <c r="K9" s="83"/>
      <c r="L9" s="2"/>
      <c r="M9" s="2"/>
      <c r="N9" s="2"/>
      <c r="O9" s="2"/>
      <c r="P9" s="2"/>
      <c r="Q9" s="2"/>
      <c r="R9" s="2"/>
      <c r="S9" s="2"/>
      <c r="T9" s="2"/>
      <c r="U9" s="2"/>
    </row>
    <row r="10" spans="1:24" ht="6" customHeight="1" x14ac:dyDescent="0.2">
      <c r="B10" s="85"/>
      <c r="C10" s="85"/>
      <c r="D10" s="85"/>
      <c r="E10" s="85"/>
      <c r="F10" s="85"/>
      <c r="G10" s="85"/>
      <c r="H10" s="85"/>
      <c r="I10" s="85"/>
      <c r="J10" s="85"/>
      <c r="K10" s="85"/>
      <c r="L10" s="10"/>
      <c r="M10" s="85"/>
      <c r="N10" s="85"/>
      <c r="O10" s="85"/>
      <c r="P10" s="85"/>
      <c r="Q10" s="85"/>
      <c r="R10" s="85"/>
      <c r="S10" s="85"/>
      <c r="T10" s="85"/>
      <c r="U10" s="85"/>
    </row>
    <row r="11" spans="1:24" ht="18" customHeight="1" x14ac:dyDescent="0.2">
      <c r="B11" s="118" t="s">
        <v>149</v>
      </c>
      <c r="C11" s="119"/>
      <c r="D11" s="119"/>
      <c r="E11" s="119"/>
      <c r="F11" s="119"/>
      <c r="G11" s="119"/>
      <c r="H11" s="119"/>
      <c r="I11" s="119"/>
      <c r="J11" s="119"/>
      <c r="K11" s="119"/>
      <c r="L11" s="119"/>
      <c r="M11" s="119"/>
      <c r="N11" s="119"/>
      <c r="O11" s="119"/>
      <c r="P11" s="119"/>
      <c r="Q11" s="119"/>
      <c r="R11" s="119"/>
      <c r="S11" s="119"/>
      <c r="T11" s="119"/>
      <c r="U11" s="120"/>
    </row>
    <row r="12" spans="1:24" ht="18" customHeight="1" x14ac:dyDescent="0.2">
      <c r="B12" s="121"/>
      <c r="C12" s="122"/>
      <c r="D12" s="122"/>
      <c r="E12" s="122"/>
      <c r="F12" s="122"/>
      <c r="G12" s="122"/>
      <c r="H12" s="122"/>
      <c r="I12" s="122"/>
      <c r="J12" s="122"/>
      <c r="K12" s="122"/>
      <c r="L12" s="122"/>
      <c r="M12" s="122"/>
      <c r="N12" s="122"/>
      <c r="O12" s="122"/>
      <c r="P12" s="122"/>
      <c r="Q12" s="122"/>
      <c r="R12" s="122"/>
      <c r="S12" s="122"/>
      <c r="T12" s="122"/>
      <c r="U12" s="123"/>
    </row>
    <row r="13" spans="1:24" ht="6" customHeight="1" x14ac:dyDescent="0.2">
      <c r="B13" s="85"/>
      <c r="C13" s="85"/>
      <c r="D13" s="85"/>
      <c r="E13" s="85"/>
      <c r="F13" s="85"/>
      <c r="G13" s="85"/>
      <c r="H13" s="85"/>
      <c r="I13" s="85"/>
      <c r="J13" s="85"/>
      <c r="K13" s="85"/>
      <c r="L13" s="10"/>
      <c r="M13" s="85"/>
      <c r="N13" s="85"/>
      <c r="O13" s="85"/>
      <c r="P13" s="85"/>
      <c r="Q13" s="85"/>
      <c r="R13" s="85"/>
      <c r="S13" s="85"/>
      <c r="T13" s="85"/>
      <c r="U13" s="85"/>
    </row>
    <row r="14" spans="1:24" ht="18" customHeight="1" x14ac:dyDescent="0.2">
      <c r="A14" s="86" t="s">
        <v>94</v>
      </c>
      <c r="B14" s="85"/>
      <c r="C14" s="85"/>
      <c r="D14" s="85"/>
      <c r="E14" s="83"/>
      <c r="F14" s="83"/>
      <c r="G14" s="83"/>
      <c r="H14" s="83"/>
      <c r="I14" s="83"/>
      <c r="J14" s="83"/>
      <c r="K14" s="83"/>
      <c r="L14" s="75"/>
      <c r="M14" s="75"/>
      <c r="N14" s="75"/>
      <c r="O14" s="75"/>
      <c r="P14" s="75"/>
      <c r="Q14" s="75"/>
      <c r="R14" s="75"/>
      <c r="S14" s="75"/>
      <c r="T14" s="75"/>
      <c r="U14" s="75"/>
    </row>
    <row r="15" spans="1:24" ht="18" customHeight="1" x14ac:dyDescent="0.2">
      <c r="B15" s="166" t="s">
        <v>199</v>
      </c>
      <c r="C15" s="167"/>
      <c r="D15" s="167"/>
      <c r="E15" s="167"/>
      <c r="F15" s="167"/>
      <c r="G15" s="167"/>
      <c r="H15" s="167"/>
      <c r="I15" s="167"/>
      <c r="J15" s="167"/>
      <c r="K15" s="167"/>
      <c r="L15" s="167"/>
      <c r="M15" s="167"/>
      <c r="N15" s="167"/>
      <c r="O15" s="167"/>
      <c r="P15" s="167"/>
      <c r="Q15" s="167"/>
      <c r="R15" s="167"/>
      <c r="S15" s="167"/>
      <c r="T15" s="167"/>
      <c r="U15" s="168"/>
      <c r="X15" s="86" t="s">
        <v>88</v>
      </c>
    </row>
    <row r="16" spans="1:24" ht="18" customHeight="1" x14ac:dyDescent="0.2">
      <c r="B16" s="169"/>
      <c r="C16" s="170"/>
      <c r="D16" s="170"/>
      <c r="E16" s="170"/>
      <c r="F16" s="170"/>
      <c r="G16" s="170"/>
      <c r="H16" s="170"/>
      <c r="I16" s="170"/>
      <c r="J16" s="170"/>
      <c r="K16" s="170"/>
      <c r="L16" s="170"/>
      <c r="M16" s="170"/>
      <c r="N16" s="170"/>
      <c r="O16" s="170"/>
      <c r="P16" s="170"/>
      <c r="Q16" s="170"/>
      <c r="R16" s="170"/>
      <c r="S16" s="170"/>
      <c r="T16" s="170"/>
      <c r="U16" s="171"/>
      <c r="X16" s="86" t="s">
        <v>122</v>
      </c>
    </row>
    <row r="17" spans="1:24" ht="18" customHeight="1" x14ac:dyDescent="0.2">
      <c r="B17" s="169"/>
      <c r="C17" s="170"/>
      <c r="D17" s="170"/>
      <c r="E17" s="170"/>
      <c r="F17" s="170"/>
      <c r="G17" s="170"/>
      <c r="H17" s="170"/>
      <c r="I17" s="170"/>
      <c r="J17" s="170"/>
      <c r="K17" s="170"/>
      <c r="L17" s="170"/>
      <c r="M17" s="170"/>
      <c r="N17" s="170"/>
      <c r="O17" s="170"/>
      <c r="P17" s="170"/>
      <c r="Q17" s="170"/>
      <c r="R17" s="170"/>
      <c r="S17" s="170"/>
      <c r="T17" s="170"/>
      <c r="U17" s="171"/>
      <c r="X17" s="86" t="s">
        <v>123</v>
      </c>
    </row>
    <row r="18" spans="1:24" ht="18" customHeight="1" x14ac:dyDescent="0.2">
      <c r="B18" s="169"/>
      <c r="C18" s="170"/>
      <c r="D18" s="170"/>
      <c r="E18" s="170"/>
      <c r="F18" s="170"/>
      <c r="G18" s="170"/>
      <c r="H18" s="170"/>
      <c r="I18" s="170"/>
      <c r="J18" s="170"/>
      <c r="K18" s="170"/>
      <c r="L18" s="170"/>
      <c r="M18" s="170"/>
      <c r="N18" s="170"/>
      <c r="O18" s="170"/>
      <c r="P18" s="170"/>
      <c r="Q18" s="170"/>
      <c r="R18" s="170"/>
      <c r="S18" s="170"/>
      <c r="T18" s="170"/>
      <c r="U18" s="171"/>
      <c r="X18" s="86" t="s">
        <v>124</v>
      </c>
    </row>
    <row r="19" spans="1:24" ht="18" customHeight="1" x14ac:dyDescent="0.2">
      <c r="B19" s="169"/>
      <c r="C19" s="170"/>
      <c r="D19" s="170"/>
      <c r="E19" s="170"/>
      <c r="F19" s="170"/>
      <c r="G19" s="170"/>
      <c r="H19" s="170"/>
      <c r="I19" s="170"/>
      <c r="J19" s="170"/>
      <c r="K19" s="170"/>
      <c r="L19" s="170"/>
      <c r="M19" s="170"/>
      <c r="N19" s="170"/>
      <c r="O19" s="170"/>
      <c r="P19" s="170"/>
      <c r="Q19" s="170"/>
      <c r="R19" s="170"/>
      <c r="S19" s="170"/>
      <c r="T19" s="170"/>
      <c r="U19" s="171"/>
    </row>
    <row r="20" spans="1:24" ht="18" customHeight="1" x14ac:dyDescent="0.2">
      <c r="B20" s="172"/>
      <c r="C20" s="173"/>
      <c r="D20" s="173"/>
      <c r="E20" s="173"/>
      <c r="F20" s="173"/>
      <c r="G20" s="173"/>
      <c r="H20" s="173"/>
      <c r="I20" s="173"/>
      <c r="J20" s="173"/>
      <c r="K20" s="173"/>
      <c r="L20" s="173"/>
      <c r="M20" s="173"/>
      <c r="N20" s="173"/>
      <c r="O20" s="173"/>
      <c r="P20" s="173"/>
      <c r="Q20" s="173"/>
      <c r="R20" s="173"/>
      <c r="S20" s="173"/>
      <c r="T20" s="173"/>
      <c r="U20" s="174"/>
    </row>
    <row r="21" spans="1:24" ht="7.5" customHeight="1" x14ac:dyDescent="0.2">
      <c r="B21" s="85"/>
      <c r="C21" s="85"/>
      <c r="D21" s="85"/>
      <c r="E21" s="85"/>
      <c r="F21" s="85"/>
      <c r="G21" s="85"/>
      <c r="H21" s="85"/>
      <c r="I21" s="85"/>
      <c r="J21" s="85"/>
      <c r="K21" s="85"/>
      <c r="L21" s="85"/>
      <c r="M21" s="85"/>
      <c r="N21" s="85"/>
      <c r="O21" s="85"/>
      <c r="P21" s="85"/>
      <c r="Q21" s="85"/>
      <c r="R21" s="85"/>
      <c r="S21" s="85"/>
      <c r="T21" s="85"/>
      <c r="U21" s="85"/>
    </row>
    <row r="22" spans="1:24" ht="19.95" customHeight="1" x14ac:dyDescent="0.2">
      <c r="B22" s="86" t="s">
        <v>119</v>
      </c>
      <c r="E22" s="76">
        <v>3</v>
      </c>
      <c r="F22" s="86" t="s">
        <v>106</v>
      </c>
      <c r="H22" s="19">
        <v>3</v>
      </c>
      <c r="I22" s="85" t="s">
        <v>107</v>
      </c>
      <c r="J22" s="85"/>
      <c r="K22" s="83"/>
      <c r="M22" s="83" t="s">
        <v>103</v>
      </c>
      <c r="N22" s="134" t="s">
        <v>123</v>
      </c>
      <c r="O22" s="135"/>
      <c r="P22" s="135"/>
      <c r="Q22" s="135"/>
      <c r="R22" s="135"/>
      <c r="S22" s="135"/>
      <c r="T22" s="135"/>
      <c r="U22" s="136"/>
    </row>
    <row r="23" spans="1:24" ht="7.5" customHeight="1" x14ac:dyDescent="0.2">
      <c r="B23" s="85"/>
      <c r="C23" s="85"/>
      <c r="D23" s="85"/>
      <c r="E23" s="85"/>
      <c r="F23" s="85"/>
      <c r="G23" s="85"/>
      <c r="H23" s="85"/>
      <c r="I23" s="85"/>
      <c r="J23" s="85"/>
      <c r="K23" s="85"/>
      <c r="L23" s="85"/>
      <c r="M23" s="85"/>
      <c r="N23" s="85"/>
      <c r="O23" s="85"/>
      <c r="P23" s="85"/>
      <c r="Q23" s="85"/>
      <c r="R23" s="85"/>
      <c r="S23" s="85"/>
      <c r="T23" s="85"/>
      <c r="U23" s="85"/>
    </row>
    <row r="24" spans="1:24" ht="18" customHeight="1" x14ac:dyDescent="0.2">
      <c r="A24" s="124" t="s">
        <v>95</v>
      </c>
      <c r="B24" s="124"/>
      <c r="C24" s="124"/>
      <c r="D24" s="124"/>
      <c r="E24" s="124"/>
      <c r="F24" s="124"/>
      <c r="G24" s="124"/>
      <c r="H24" s="124"/>
      <c r="I24" s="124"/>
      <c r="J24" s="124"/>
      <c r="K24" s="124"/>
      <c r="L24" s="124"/>
      <c r="M24" s="124"/>
      <c r="N24" s="124"/>
      <c r="O24" s="124"/>
      <c r="P24" s="124"/>
      <c r="Q24" s="124"/>
      <c r="R24" s="124"/>
      <c r="S24" s="124"/>
      <c r="T24" s="124"/>
      <c r="U24" s="124"/>
    </row>
    <row r="25" spans="1:24" ht="18" customHeight="1" x14ac:dyDescent="0.2">
      <c r="A25" s="124"/>
      <c r="B25" s="124"/>
      <c r="C25" s="124"/>
      <c r="D25" s="124"/>
      <c r="E25" s="124"/>
      <c r="F25" s="124"/>
      <c r="G25" s="124"/>
      <c r="H25" s="124"/>
      <c r="I25" s="124"/>
      <c r="J25" s="124"/>
      <c r="K25" s="124"/>
      <c r="L25" s="124"/>
      <c r="M25" s="124"/>
      <c r="N25" s="124"/>
      <c r="O25" s="124"/>
      <c r="P25" s="124"/>
      <c r="Q25" s="124"/>
      <c r="R25" s="124"/>
      <c r="S25" s="124"/>
      <c r="T25" s="124"/>
      <c r="U25" s="124"/>
    </row>
    <row r="26" spans="1:24" ht="18" customHeight="1" x14ac:dyDescent="0.2">
      <c r="B26" s="95" t="s">
        <v>47</v>
      </c>
      <c r="C26" s="96"/>
      <c r="D26" s="96"/>
      <c r="E26" s="96"/>
      <c r="F26" s="97"/>
      <c r="G26" s="60" t="s">
        <v>72</v>
      </c>
      <c r="H26" s="61" t="s">
        <v>75</v>
      </c>
      <c r="I26" s="62" t="s">
        <v>50</v>
      </c>
      <c r="J26" s="62" t="s">
        <v>53</v>
      </c>
      <c r="K26" s="95" t="s">
        <v>47</v>
      </c>
      <c r="L26" s="96"/>
      <c r="M26" s="96"/>
      <c r="N26" s="96"/>
      <c r="O26" s="96"/>
      <c r="P26" s="96"/>
      <c r="Q26" s="97"/>
      <c r="R26" s="60" t="s">
        <v>72</v>
      </c>
      <c r="S26" s="61" t="s">
        <v>75</v>
      </c>
      <c r="T26" s="62" t="s">
        <v>50</v>
      </c>
      <c r="U26" s="62" t="s">
        <v>53</v>
      </c>
    </row>
    <row r="27" spans="1:24" ht="18" customHeight="1" x14ac:dyDescent="0.2">
      <c r="B27" s="106" t="s">
        <v>194</v>
      </c>
      <c r="C27" s="107"/>
      <c r="D27" s="107"/>
      <c r="E27" s="107"/>
      <c r="F27" s="108"/>
      <c r="G27" s="64">
        <v>1</v>
      </c>
      <c r="H27" s="64" t="s">
        <v>154</v>
      </c>
      <c r="I27" s="64" t="s">
        <v>154</v>
      </c>
      <c r="J27" s="64" t="s">
        <v>154</v>
      </c>
      <c r="K27" s="104"/>
      <c r="L27" s="105"/>
      <c r="M27" s="105"/>
      <c r="N27" s="105"/>
      <c r="O27" s="105"/>
      <c r="P27" s="105"/>
      <c r="Q27" s="115"/>
      <c r="R27" s="63"/>
      <c r="S27" s="63"/>
      <c r="T27" s="63"/>
      <c r="U27" s="63"/>
    </row>
    <row r="28" spans="1:24" ht="18" customHeight="1" x14ac:dyDescent="0.2">
      <c r="B28" s="163" t="s">
        <v>200</v>
      </c>
      <c r="C28" s="164"/>
      <c r="D28" s="164"/>
      <c r="E28" s="164"/>
      <c r="F28" s="165"/>
      <c r="G28" s="92">
        <v>1</v>
      </c>
      <c r="H28" s="92" t="s">
        <v>154</v>
      </c>
      <c r="I28" s="92" t="s">
        <v>154</v>
      </c>
      <c r="J28" s="92" t="s">
        <v>154</v>
      </c>
      <c r="K28" s="106"/>
      <c r="L28" s="107"/>
      <c r="M28" s="107"/>
      <c r="N28" s="107"/>
      <c r="O28" s="107"/>
      <c r="P28" s="107"/>
      <c r="Q28" s="108"/>
      <c r="R28" s="64"/>
      <c r="S28" s="64"/>
      <c r="T28" s="64"/>
      <c r="U28" s="64"/>
    </row>
    <row r="29" spans="1:24" ht="18" customHeight="1" x14ac:dyDescent="0.2">
      <c r="B29" s="106"/>
      <c r="C29" s="107"/>
      <c r="D29" s="107"/>
      <c r="E29" s="107"/>
      <c r="F29" s="108"/>
      <c r="G29" s="64"/>
      <c r="H29" s="64"/>
      <c r="I29" s="64"/>
      <c r="J29" s="64"/>
      <c r="K29" s="106"/>
      <c r="L29" s="107"/>
      <c r="M29" s="107"/>
      <c r="N29" s="107"/>
      <c r="O29" s="107"/>
      <c r="P29" s="107"/>
      <c r="Q29" s="108"/>
      <c r="R29" s="64"/>
      <c r="S29" s="64"/>
      <c r="T29" s="64"/>
      <c r="U29" s="64"/>
    </row>
    <row r="30" spans="1:24" ht="18" customHeight="1" x14ac:dyDescent="0.2">
      <c r="B30" s="106"/>
      <c r="C30" s="107"/>
      <c r="D30" s="107"/>
      <c r="E30" s="107"/>
      <c r="F30" s="108"/>
      <c r="G30" s="64"/>
      <c r="H30" s="64"/>
      <c r="I30" s="64"/>
      <c r="J30" s="64"/>
      <c r="K30" s="106"/>
      <c r="L30" s="107"/>
      <c r="M30" s="107"/>
      <c r="N30" s="107"/>
      <c r="O30" s="107"/>
      <c r="P30" s="107"/>
      <c r="Q30" s="108"/>
      <c r="R30" s="64"/>
      <c r="S30" s="64"/>
      <c r="T30" s="64"/>
      <c r="U30" s="64"/>
    </row>
    <row r="31" spans="1:24" ht="18" customHeight="1" x14ac:dyDescent="0.2">
      <c r="B31" s="106"/>
      <c r="C31" s="107"/>
      <c r="D31" s="107"/>
      <c r="E31" s="107"/>
      <c r="F31" s="108"/>
      <c r="G31" s="64"/>
      <c r="H31" s="64"/>
      <c r="I31" s="64"/>
      <c r="J31" s="64"/>
      <c r="K31" s="106"/>
      <c r="L31" s="107"/>
      <c r="M31" s="107"/>
      <c r="N31" s="107"/>
      <c r="O31" s="107"/>
      <c r="P31" s="107"/>
      <c r="Q31" s="108"/>
      <c r="R31" s="64"/>
      <c r="S31" s="64"/>
      <c r="T31" s="64"/>
      <c r="U31" s="64"/>
    </row>
    <row r="32" spans="1:24" ht="18" customHeight="1" x14ac:dyDescent="0.2">
      <c r="A32" s="85"/>
      <c r="B32" s="106"/>
      <c r="C32" s="107"/>
      <c r="D32" s="107"/>
      <c r="E32" s="107"/>
      <c r="F32" s="108"/>
      <c r="G32" s="64"/>
      <c r="H32" s="64"/>
      <c r="I32" s="64"/>
      <c r="J32" s="64"/>
      <c r="K32" s="106"/>
      <c r="L32" s="107"/>
      <c r="M32" s="107"/>
      <c r="N32" s="107"/>
      <c r="O32" s="107"/>
      <c r="P32" s="107"/>
      <c r="Q32" s="108"/>
      <c r="R32" s="64"/>
      <c r="S32" s="64"/>
      <c r="T32" s="64"/>
      <c r="U32" s="64"/>
    </row>
    <row r="33" spans="1:21" ht="18" customHeight="1" x14ac:dyDescent="0.2">
      <c r="A33" s="85"/>
      <c r="B33" s="98"/>
      <c r="C33" s="99"/>
      <c r="D33" s="99"/>
      <c r="E33" s="99"/>
      <c r="F33" s="100"/>
      <c r="G33" s="65"/>
      <c r="H33" s="65"/>
      <c r="I33" s="66"/>
      <c r="J33" s="66"/>
      <c r="K33" s="98"/>
      <c r="L33" s="99"/>
      <c r="M33" s="99"/>
      <c r="N33" s="99"/>
      <c r="O33" s="99"/>
      <c r="P33" s="99"/>
      <c r="Q33" s="100"/>
      <c r="R33" s="65"/>
      <c r="S33" s="65"/>
      <c r="T33" s="66"/>
      <c r="U33" s="66"/>
    </row>
    <row r="34" spans="1:21" ht="7.5" customHeight="1" x14ac:dyDescent="0.2">
      <c r="A34" s="85"/>
      <c r="B34" s="6"/>
      <c r="C34" s="6"/>
      <c r="D34" s="6"/>
      <c r="E34" s="85"/>
      <c r="F34" s="85"/>
      <c r="G34" s="85"/>
      <c r="H34" s="85"/>
      <c r="I34" s="6"/>
      <c r="J34" s="6"/>
      <c r="K34" s="6"/>
      <c r="L34" s="6"/>
      <c r="M34" s="6"/>
      <c r="N34" s="6"/>
      <c r="O34" s="6"/>
      <c r="P34" s="6"/>
      <c r="Q34" s="6"/>
      <c r="R34" s="6"/>
      <c r="S34" s="6"/>
      <c r="T34" s="6"/>
      <c r="U34" s="85"/>
    </row>
    <row r="35" spans="1:21" ht="18" customHeight="1" x14ac:dyDescent="0.2">
      <c r="A35" s="124" t="s">
        <v>96</v>
      </c>
      <c r="B35" s="124"/>
      <c r="C35" s="124"/>
      <c r="D35" s="124"/>
      <c r="E35" s="124"/>
      <c r="F35" s="124"/>
      <c r="G35" s="124"/>
      <c r="H35" s="124"/>
      <c r="I35" s="124"/>
      <c r="J35" s="124"/>
      <c r="K35" s="124"/>
      <c r="L35" s="124"/>
      <c r="M35" s="124"/>
      <c r="N35" s="124"/>
      <c r="O35" s="124"/>
      <c r="P35" s="124"/>
      <c r="Q35" s="124"/>
      <c r="R35" s="124"/>
      <c r="S35" s="124"/>
      <c r="T35" s="124"/>
      <c r="U35" s="124"/>
    </row>
    <row r="36" spans="1:21" ht="18" customHeight="1" x14ac:dyDescent="0.2">
      <c r="A36" s="124"/>
      <c r="B36" s="124"/>
      <c r="C36" s="124"/>
      <c r="D36" s="124"/>
      <c r="E36" s="124"/>
      <c r="F36" s="124"/>
      <c r="G36" s="124"/>
      <c r="H36" s="124"/>
      <c r="I36" s="124"/>
      <c r="J36" s="124"/>
      <c r="K36" s="124"/>
      <c r="L36" s="124"/>
      <c r="M36" s="124"/>
      <c r="N36" s="124"/>
      <c r="O36" s="124"/>
      <c r="P36" s="124"/>
      <c r="Q36" s="124"/>
      <c r="R36" s="124"/>
      <c r="S36" s="124"/>
      <c r="T36" s="124"/>
      <c r="U36" s="124"/>
    </row>
    <row r="37" spans="1:21" ht="18" customHeight="1" x14ac:dyDescent="0.2">
      <c r="B37" s="95" t="s">
        <v>47</v>
      </c>
      <c r="C37" s="96"/>
      <c r="D37" s="96"/>
      <c r="E37" s="96"/>
      <c r="F37" s="97"/>
      <c r="G37" s="60" t="s">
        <v>72</v>
      </c>
      <c r="H37" s="61" t="s">
        <v>75</v>
      </c>
      <c r="I37" s="62" t="s">
        <v>63</v>
      </c>
      <c r="J37" s="62" t="s">
        <v>64</v>
      </c>
      <c r="K37" s="95" t="s">
        <v>47</v>
      </c>
      <c r="L37" s="96"/>
      <c r="M37" s="96"/>
      <c r="N37" s="96"/>
      <c r="O37" s="96"/>
      <c r="P37" s="96"/>
      <c r="Q37" s="97"/>
      <c r="R37" s="60" t="s">
        <v>72</v>
      </c>
      <c r="S37" s="61" t="s">
        <v>75</v>
      </c>
      <c r="T37" s="62" t="s">
        <v>63</v>
      </c>
      <c r="U37" s="62" t="s">
        <v>64</v>
      </c>
    </row>
    <row r="38" spans="1:21" ht="18" customHeight="1" x14ac:dyDescent="0.2">
      <c r="B38" s="104" t="s">
        <v>192</v>
      </c>
      <c r="C38" s="105"/>
      <c r="D38" s="105"/>
      <c r="E38" s="105"/>
      <c r="F38" s="115"/>
      <c r="G38" s="63">
        <v>1</v>
      </c>
      <c r="H38" s="63" t="s">
        <v>154</v>
      </c>
      <c r="I38" s="63" t="s">
        <v>154</v>
      </c>
      <c r="J38" s="63"/>
      <c r="K38" s="104"/>
      <c r="L38" s="105"/>
      <c r="M38" s="105"/>
      <c r="N38" s="105"/>
      <c r="O38" s="105"/>
      <c r="P38" s="105"/>
      <c r="Q38" s="115"/>
      <c r="R38" s="63"/>
      <c r="S38" s="63"/>
      <c r="T38" s="63"/>
      <c r="U38" s="63"/>
    </row>
    <row r="39" spans="1:21" ht="18" customHeight="1" x14ac:dyDescent="0.2">
      <c r="B39" s="106" t="s">
        <v>193</v>
      </c>
      <c r="C39" s="107"/>
      <c r="D39" s="107"/>
      <c r="E39" s="107"/>
      <c r="F39" s="108"/>
      <c r="G39" s="64">
        <v>1</v>
      </c>
      <c r="H39" s="64" t="s">
        <v>154</v>
      </c>
      <c r="I39" s="64" t="s">
        <v>154</v>
      </c>
      <c r="J39" s="64"/>
      <c r="K39" s="106"/>
      <c r="L39" s="107"/>
      <c r="M39" s="107"/>
      <c r="N39" s="107"/>
      <c r="O39" s="107"/>
      <c r="P39" s="107"/>
      <c r="Q39" s="108"/>
      <c r="R39" s="64"/>
      <c r="S39" s="64"/>
      <c r="T39" s="64"/>
      <c r="U39" s="64"/>
    </row>
    <row r="40" spans="1:21" ht="18" customHeight="1" x14ac:dyDescent="0.2">
      <c r="B40" s="106" t="s">
        <v>194</v>
      </c>
      <c r="C40" s="107"/>
      <c r="D40" s="107"/>
      <c r="E40" s="107"/>
      <c r="F40" s="108"/>
      <c r="G40" s="64">
        <v>1</v>
      </c>
      <c r="H40" s="64" t="s">
        <v>154</v>
      </c>
      <c r="I40" s="64" t="s">
        <v>154</v>
      </c>
      <c r="J40" s="64" t="s">
        <v>154</v>
      </c>
      <c r="K40" s="106"/>
      <c r="L40" s="107"/>
      <c r="M40" s="107"/>
      <c r="N40" s="107"/>
      <c r="O40" s="107"/>
      <c r="P40" s="107"/>
      <c r="Q40" s="108"/>
      <c r="R40" s="64"/>
      <c r="S40" s="64"/>
      <c r="T40" s="64"/>
      <c r="U40" s="64"/>
    </row>
    <row r="41" spans="1:21" ht="18" customHeight="1" x14ac:dyDescent="0.2">
      <c r="B41" s="163" t="s">
        <v>200</v>
      </c>
      <c r="C41" s="164"/>
      <c r="D41" s="164"/>
      <c r="E41" s="164"/>
      <c r="F41" s="165"/>
      <c r="G41" s="92">
        <v>1</v>
      </c>
      <c r="H41" s="92" t="s">
        <v>154</v>
      </c>
      <c r="I41" s="92" t="s">
        <v>154</v>
      </c>
      <c r="J41" s="92" t="s">
        <v>154</v>
      </c>
      <c r="K41" s="106"/>
      <c r="L41" s="107"/>
      <c r="M41" s="107"/>
      <c r="N41" s="107"/>
      <c r="O41" s="107"/>
      <c r="P41" s="107"/>
      <c r="Q41" s="108"/>
      <c r="R41" s="64"/>
      <c r="S41" s="64"/>
      <c r="T41" s="64"/>
      <c r="U41" s="64"/>
    </row>
    <row r="42" spans="1:21" ht="18" customHeight="1" x14ac:dyDescent="0.2">
      <c r="B42" s="106"/>
      <c r="C42" s="107"/>
      <c r="D42" s="107"/>
      <c r="E42" s="107"/>
      <c r="F42" s="108"/>
      <c r="G42" s="64"/>
      <c r="H42" s="64"/>
      <c r="I42" s="64"/>
      <c r="J42" s="64"/>
      <c r="K42" s="106"/>
      <c r="L42" s="107"/>
      <c r="M42" s="107"/>
      <c r="N42" s="107"/>
      <c r="O42" s="107"/>
      <c r="P42" s="107"/>
      <c r="Q42" s="108"/>
      <c r="R42" s="64"/>
      <c r="S42" s="64"/>
      <c r="T42" s="64"/>
      <c r="U42" s="64"/>
    </row>
    <row r="43" spans="1:21" ht="18" customHeight="1" x14ac:dyDescent="0.2">
      <c r="B43" s="106"/>
      <c r="C43" s="107"/>
      <c r="D43" s="107"/>
      <c r="E43" s="107"/>
      <c r="F43" s="108"/>
      <c r="G43" s="64"/>
      <c r="H43" s="64"/>
      <c r="I43" s="64"/>
      <c r="J43" s="64"/>
      <c r="K43" s="106"/>
      <c r="L43" s="107"/>
      <c r="M43" s="107"/>
      <c r="N43" s="107"/>
      <c r="O43" s="107"/>
      <c r="P43" s="107"/>
      <c r="Q43" s="108"/>
      <c r="R43" s="64"/>
      <c r="S43" s="64"/>
      <c r="T43" s="64"/>
      <c r="U43" s="64"/>
    </row>
    <row r="44" spans="1:21" ht="18" customHeight="1" x14ac:dyDescent="0.2">
      <c r="B44" s="98"/>
      <c r="C44" s="99"/>
      <c r="D44" s="99"/>
      <c r="E44" s="99"/>
      <c r="F44" s="100"/>
      <c r="G44" s="65"/>
      <c r="H44" s="65"/>
      <c r="I44" s="66"/>
      <c r="J44" s="66"/>
      <c r="K44" s="98"/>
      <c r="L44" s="99"/>
      <c r="M44" s="99"/>
      <c r="N44" s="99"/>
      <c r="O44" s="99"/>
      <c r="P44" s="99"/>
      <c r="Q44" s="100"/>
      <c r="R44" s="65"/>
      <c r="S44" s="65"/>
      <c r="T44" s="66"/>
      <c r="U44" s="66"/>
    </row>
    <row r="45" spans="1:21" ht="7.5" customHeight="1" x14ac:dyDescent="0.2">
      <c r="A45" s="85"/>
      <c r="B45" s="6"/>
      <c r="C45" s="6"/>
      <c r="D45" s="6"/>
      <c r="E45" s="85"/>
      <c r="F45" s="85"/>
      <c r="G45" s="85"/>
      <c r="H45" s="85"/>
      <c r="I45" s="6"/>
      <c r="J45" s="6"/>
      <c r="K45" s="6"/>
      <c r="L45" s="6"/>
      <c r="M45" s="6"/>
      <c r="N45" s="6"/>
      <c r="O45" s="6"/>
      <c r="P45" s="6"/>
      <c r="Q45" s="6"/>
      <c r="R45" s="6"/>
      <c r="S45" s="6"/>
      <c r="T45" s="6"/>
      <c r="U45" s="85"/>
    </row>
    <row r="46" spans="1:21" ht="18" customHeight="1" x14ac:dyDescent="0.2">
      <c r="A46" s="124" t="s">
        <v>97</v>
      </c>
      <c r="B46" s="124"/>
      <c r="C46" s="124"/>
      <c r="D46" s="124"/>
      <c r="E46" s="124"/>
      <c r="F46" s="124"/>
      <c r="G46" s="124"/>
      <c r="H46" s="124"/>
      <c r="I46" s="124"/>
      <c r="J46" s="124"/>
      <c r="K46" s="124"/>
      <c r="L46" s="124"/>
      <c r="M46" s="124"/>
      <c r="N46" s="124"/>
      <c r="O46" s="124"/>
      <c r="P46" s="124"/>
      <c r="Q46" s="124"/>
      <c r="R46" s="124"/>
      <c r="S46" s="124"/>
      <c r="T46" s="124"/>
      <c r="U46" s="124"/>
    </row>
    <row r="47" spans="1:21" ht="18" customHeight="1" x14ac:dyDescent="0.2">
      <c r="A47" s="124"/>
      <c r="B47" s="124"/>
      <c r="C47" s="124"/>
      <c r="D47" s="124"/>
      <c r="E47" s="124"/>
      <c r="F47" s="124"/>
      <c r="G47" s="124"/>
      <c r="H47" s="124"/>
      <c r="I47" s="124"/>
      <c r="J47" s="124"/>
      <c r="K47" s="124"/>
      <c r="L47" s="124"/>
      <c r="M47" s="124"/>
      <c r="N47" s="124"/>
      <c r="O47" s="124"/>
      <c r="P47" s="124"/>
      <c r="Q47" s="124"/>
      <c r="R47" s="124"/>
      <c r="S47" s="124"/>
      <c r="T47" s="124"/>
      <c r="U47" s="124"/>
    </row>
    <row r="48" spans="1:21" ht="18" customHeight="1" x14ac:dyDescent="0.2">
      <c r="B48" s="95" t="s">
        <v>47</v>
      </c>
      <c r="C48" s="96"/>
      <c r="D48" s="96"/>
      <c r="E48" s="96"/>
      <c r="F48" s="97"/>
      <c r="G48" s="60" t="s">
        <v>72</v>
      </c>
      <c r="H48" s="61" t="s">
        <v>75</v>
      </c>
      <c r="I48" s="62" t="s">
        <v>65</v>
      </c>
      <c r="J48" s="62" t="s">
        <v>66</v>
      </c>
      <c r="K48" s="95" t="s">
        <v>47</v>
      </c>
      <c r="L48" s="96"/>
      <c r="M48" s="96"/>
      <c r="N48" s="96"/>
      <c r="O48" s="96"/>
      <c r="P48" s="96"/>
      <c r="Q48" s="97"/>
      <c r="R48" s="60" t="s">
        <v>72</v>
      </c>
      <c r="S48" s="61" t="s">
        <v>75</v>
      </c>
      <c r="T48" s="62" t="s">
        <v>65</v>
      </c>
      <c r="U48" s="62" t="s">
        <v>66</v>
      </c>
    </row>
    <row r="49" spans="1:21" ht="18" customHeight="1" x14ac:dyDescent="0.2">
      <c r="A49" s="85"/>
      <c r="B49" s="104" t="s">
        <v>192</v>
      </c>
      <c r="C49" s="105"/>
      <c r="D49" s="105"/>
      <c r="E49" s="105"/>
      <c r="F49" s="115"/>
      <c r="G49" s="63">
        <v>1</v>
      </c>
      <c r="H49" s="63" t="s">
        <v>154</v>
      </c>
      <c r="I49" s="63" t="s">
        <v>154</v>
      </c>
      <c r="J49" s="63"/>
      <c r="K49" s="104"/>
      <c r="L49" s="105"/>
      <c r="M49" s="105"/>
      <c r="N49" s="105"/>
      <c r="O49" s="105"/>
      <c r="P49" s="105"/>
      <c r="Q49" s="115"/>
      <c r="R49" s="63"/>
      <c r="S49" s="63"/>
      <c r="T49" s="63"/>
      <c r="U49" s="63"/>
    </row>
    <row r="50" spans="1:21" ht="18" customHeight="1" x14ac:dyDescent="0.2">
      <c r="A50" s="85"/>
      <c r="B50" s="106" t="s">
        <v>194</v>
      </c>
      <c r="C50" s="107"/>
      <c r="D50" s="107"/>
      <c r="E50" s="107"/>
      <c r="F50" s="108"/>
      <c r="G50" s="64">
        <v>1</v>
      </c>
      <c r="H50" s="64" t="s">
        <v>154</v>
      </c>
      <c r="I50" s="64" t="s">
        <v>154</v>
      </c>
      <c r="J50" s="64" t="s">
        <v>154</v>
      </c>
      <c r="K50" s="106"/>
      <c r="L50" s="107"/>
      <c r="M50" s="107"/>
      <c r="N50" s="107"/>
      <c r="O50" s="107"/>
      <c r="P50" s="107"/>
      <c r="Q50" s="108"/>
      <c r="R50" s="64"/>
      <c r="S50" s="64"/>
      <c r="T50" s="64"/>
      <c r="U50" s="64"/>
    </row>
    <row r="51" spans="1:21" ht="18" customHeight="1" x14ac:dyDescent="0.2">
      <c r="A51" s="85"/>
      <c r="B51" s="163" t="s">
        <v>200</v>
      </c>
      <c r="C51" s="164"/>
      <c r="D51" s="164"/>
      <c r="E51" s="164"/>
      <c r="F51" s="165"/>
      <c r="G51" s="92">
        <v>1</v>
      </c>
      <c r="H51" s="92" t="s">
        <v>154</v>
      </c>
      <c r="I51" s="92" t="s">
        <v>154</v>
      </c>
      <c r="J51" s="92" t="s">
        <v>154</v>
      </c>
      <c r="K51" s="106"/>
      <c r="L51" s="107"/>
      <c r="M51" s="107"/>
      <c r="N51" s="107"/>
      <c r="O51" s="107"/>
      <c r="P51" s="107"/>
      <c r="Q51" s="108"/>
      <c r="R51" s="64"/>
      <c r="S51" s="64"/>
      <c r="T51" s="64"/>
      <c r="U51" s="64"/>
    </row>
    <row r="52" spans="1:21" ht="18" customHeight="1" x14ac:dyDescent="0.2">
      <c r="A52" s="85"/>
      <c r="B52" s="106"/>
      <c r="C52" s="107"/>
      <c r="D52" s="107"/>
      <c r="E52" s="107"/>
      <c r="F52" s="108"/>
      <c r="G52" s="64"/>
      <c r="H52" s="64"/>
      <c r="I52" s="64"/>
      <c r="J52" s="64"/>
      <c r="K52" s="106"/>
      <c r="L52" s="107"/>
      <c r="M52" s="107"/>
      <c r="N52" s="107"/>
      <c r="O52" s="107"/>
      <c r="P52" s="107"/>
      <c r="Q52" s="108"/>
      <c r="R52" s="64"/>
      <c r="S52" s="64"/>
      <c r="T52" s="64"/>
      <c r="U52" s="64"/>
    </row>
    <row r="53" spans="1:21" ht="18" customHeight="1" x14ac:dyDescent="0.2">
      <c r="A53" s="85"/>
      <c r="B53" s="106"/>
      <c r="C53" s="107"/>
      <c r="D53" s="107"/>
      <c r="E53" s="107"/>
      <c r="F53" s="108"/>
      <c r="G53" s="64"/>
      <c r="H53" s="64"/>
      <c r="I53" s="64"/>
      <c r="J53" s="64"/>
      <c r="K53" s="106"/>
      <c r="L53" s="107"/>
      <c r="M53" s="107"/>
      <c r="N53" s="107"/>
      <c r="O53" s="107"/>
      <c r="P53" s="107"/>
      <c r="Q53" s="108"/>
      <c r="R53" s="64"/>
      <c r="S53" s="64"/>
      <c r="T53" s="64"/>
      <c r="U53" s="64"/>
    </row>
    <row r="54" spans="1:21" ht="18" customHeight="1" x14ac:dyDescent="0.2">
      <c r="A54" s="85"/>
      <c r="B54" s="106"/>
      <c r="C54" s="107"/>
      <c r="D54" s="107"/>
      <c r="E54" s="107"/>
      <c r="F54" s="108"/>
      <c r="G54" s="64"/>
      <c r="H54" s="64"/>
      <c r="I54" s="64"/>
      <c r="J54" s="64"/>
      <c r="K54" s="106"/>
      <c r="L54" s="107"/>
      <c r="M54" s="107"/>
      <c r="N54" s="107"/>
      <c r="O54" s="107"/>
      <c r="P54" s="107"/>
      <c r="Q54" s="108"/>
      <c r="R54" s="64"/>
      <c r="S54" s="64"/>
      <c r="T54" s="64"/>
      <c r="U54" s="64"/>
    </row>
    <row r="55" spans="1:21" ht="18" customHeight="1" x14ac:dyDescent="0.2">
      <c r="A55" s="85"/>
      <c r="B55" s="98"/>
      <c r="C55" s="99"/>
      <c r="D55" s="99"/>
      <c r="E55" s="99"/>
      <c r="F55" s="100"/>
      <c r="G55" s="65"/>
      <c r="H55" s="65"/>
      <c r="I55" s="66"/>
      <c r="J55" s="66"/>
      <c r="K55" s="98"/>
      <c r="L55" s="99"/>
      <c r="M55" s="99"/>
      <c r="N55" s="99"/>
      <c r="O55" s="99"/>
      <c r="P55" s="99"/>
      <c r="Q55" s="100"/>
      <c r="R55" s="65"/>
      <c r="S55" s="65"/>
      <c r="T55" s="66"/>
      <c r="U55" s="66"/>
    </row>
    <row r="56" spans="1:21" ht="7.5" customHeight="1" x14ac:dyDescent="0.2">
      <c r="B56" s="84"/>
      <c r="C56" s="84"/>
      <c r="D56" s="84"/>
      <c r="E56" s="84"/>
      <c r="F56" s="84"/>
      <c r="G56" s="84"/>
      <c r="H56" s="84"/>
      <c r="I56" s="84"/>
      <c r="J56" s="84"/>
      <c r="K56" s="84"/>
      <c r="L56" s="84"/>
      <c r="M56" s="84"/>
      <c r="N56" s="84"/>
      <c r="O56" s="84"/>
      <c r="P56" s="84"/>
      <c r="Q56" s="84"/>
      <c r="R56" s="84"/>
      <c r="S56" s="84"/>
      <c r="T56" s="84"/>
    </row>
    <row r="57" spans="1:21" ht="18" customHeight="1" x14ac:dyDescent="0.2">
      <c r="A57" s="124" t="s">
        <v>98</v>
      </c>
      <c r="B57" s="124"/>
      <c r="C57" s="124"/>
      <c r="D57" s="124"/>
      <c r="E57" s="124"/>
      <c r="F57" s="124"/>
      <c r="G57" s="124"/>
      <c r="H57" s="124"/>
      <c r="I57" s="124"/>
      <c r="J57" s="124"/>
      <c r="K57" s="124"/>
      <c r="L57" s="124"/>
      <c r="M57" s="124"/>
      <c r="N57" s="124"/>
      <c r="O57" s="124"/>
      <c r="P57" s="124"/>
      <c r="Q57" s="124"/>
      <c r="R57" s="124"/>
      <c r="S57" s="124"/>
      <c r="T57" s="124"/>
      <c r="U57" s="124"/>
    </row>
    <row r="58" spans="1:21" ht="18" customHeight="1" x14ac:dyDescent="0.2">
      <c r="A58" s="124"/>
      <c r="B58" s="124"/>
      <c r="C58" s="124"/>
      <c r="D58" s="124"/>
      <c r="E58" s="124"/>
      <c r="F58" s="124"/>
      <c r="G58" s="124"/>
      <c r="H58" s="124"/>
      <c r="I58" s="124"/>
      <c r="J58" s="124"/>
      <c r="K58" s="124"/>
      <c r="L58" s="124"/>
      <c r="M58" s="124"/>
      <c r="N58" s="124"/>
      <c r="O58" s="124"/>
      <c r="P58" s="124"/>
      <c r="Q58" s="124"/>
      <c r="R58" s="124"/>
      <c r="S58" s="124"/>
      <c r="T58" s="124"/>
      <c r="U58" s="124"/>
    </row>
    <row r="59" spans="1:21" ht="18" customHeight="1" x14ac:dyDescent="0.2">
      <c r="B59" s="95" t="s">
        <v>47</v>
      </c>
      <c r="C59" s="96"/>
      <c r="D59" s="96"/>
      <c r="E59" s="96"/>
      <c r="F59" s="97"/>
      <c r="G59" s="60" t="s">
        <v>72</v>
      </c>
      <c r="H59" s="61" t="s">
        <v>75</v>
      </c>
      <c r="I59" s="62" t="s">
        <v>52</v>
      </c>
      <c r="J59" s="62" t="s">
        <v>54</v>
      </c>
      <c r="K59" s="95" t="s">
        <v>47</v>
      </c>
      <c r="L59" s="96"/>
      <c r="M59" s="96"/>
      <c r="N59" s="96"/>
      <c r="O59" s="96"/>
      <c r="P59" s="96"/>
      <c r="Q59" s="97"/>
      <c r="R59" s="60" t="s">
        <v>72</v>
      </c>
      <c r="S59" s="61" t="s">
        <v>75</v>
      </c>
      <c r="T59" s="62" t="s">
        <v>52</v>
      </c>
      <c r="U59" s="62" t="s">
        <v>54</v>
      </c>
    </row>
    <row r="60" spans="1:21" ht="18" customHeight="1" x14ac:dyDescent="0.2">
      <c r="A60" s="85"/>
      <c r="B60" s="104" t="s">
        <v>192</v>
      </c>
      <c r="C60" s="105"/>
      <c r="D60" s="105"/>
      <c r="E60" s="105"/>
      <c r="F60" s="115"/>
      <c r="G60" s="63">
        <v>1</v>
      </c>
      <c r="H60" s="63" t="s">
        <v>154</v>
      </c>
      <c r="I60" s="63" t="s">
        <v>154</v>
      </c>
      <c r="J60" s="63" t="s">
        <v>154</v>
      </c>
      <c r="K60" s="104"/>
      <c r="L60" s="105"/>
      <c r="M60" s="105"/>
      <c r="N60" s="105"/>
      <c r="O60" s="105"/>
      <c r="P60" s="105"/>
      <c r="Q60" s="115"/>
      <c r="R60" s="63"/>
      <c r="S60" s="63"/>
      <c r="T60" s="63"/>
      <c r="U60" s="63"/>
    </row>
    <row r="61" spans="1:21" ht="18" customHeight="1" x14ac:dyDescent="0.2">
      <c r="A61" s="85"/>
      <c r="B61" s="106"/>
      <c r="C61" s="107"/>
      <c r="D61" s="107"/>
      <c r="E61" s="107"/>
      <c r="F61" s="108"/>
      <c r="G61" s="64"/>
      <c r="H61" s="64"/>
      <c r="I61" s="64"/>
      <c r="J61" s="64"/>
      <c r="K61" s="106"/>
      <c r="L61" s="107"/>
      <c r="M61" s="107"/>
      <c r="N61" s="107"/>
      <c r="O61" s="107"/>
      <c r="P61" s="107"/>
      <c r="Q61" s="108"/>
      <c r="R61" s="64"/>
      <c r="S61" s="64"/>
      <c r="T61" s="64"/>
      <c r="U61" s="64"/>
    </row>
    <row r="62" spans="1:21" ht="18" customHeight="1" x14ac:dyDescent="0.2">
      <c r="A62" s="85"/>
      <c r="B62" s="106"/>
      <c r="C62" s="107"/>
      <c r="D62" s="107"/>
      <c r="E62" s="107"/>
      <c r="F62" s="108"/>
      <c r="G62" s="64"/>
      <c r="H62" s="64"/>
      <c r="I62" s="64"/>
      <c r="J62" s="64"/>
      <c r="K62" s="106"/>
      <c r="L62" s="107"/>
      <c r="M62" s="107"/>
      <c r="N62" s="107"/>
      <c r="O62" s="107"/>
      <c r="P62" s="107"/>
      <c r="Q62" s="108"/>
      <c r="R62" s="64"/>
      <c r="S62" s="64"/>
      <c r="T62" s="64"/>
      <c r="U62" s="64"/>
    </row>
    <row r="63" spans="1:21" ht="18" customHeight="1" x14ac:dyDescent="0.2">
      <c r="A63" s="85"/>
      <c r="B63" s="106"/>
      <c r="C63" s="107"/>
      <c r="D63" s="107"/>
      <c r="E63" s="107"/>
      <c r="F63" s="108"/>
      <c r="G63" s="64"/>
      <c r="H63" s="64"/>
      <c r="I63" s="64"/>
      <c r="J63" s="64"/>
      <c r="K63" s="106"/>
      <c r="L63" s="107"/>
      <c r="M63" s="107"/>
      <c r="N63" s="107"/>
      <c r="O63" s="107"/>
      <c r="P63" s="107"/>
      <c r="Q63" s="108"/>
      <c r="R63" s="64"/>
      <c r="S63" s="64"/>
      <c r="T63" s="64"/>
      <c r="U63" s="64"/>
    </row>
    <row r="64" spans="1:21" ht="18" customHeight="1" x14ac:dyDescent="0.2">
      <c r="A64" s="85"/>
      <c r="B64" s="106"/>
      <c r="C64" s="107"/>
      <c r="D64" s="107"/>
      <c r="E64" s="107"/>
      <c r="F64" s="108"/>
      <c r="G64" s="64"/>
      <c r="H64" s="64"/>
      <c r="I64" s="64"/>
      <c r="J64" s="64"/>
      <c r="K64" s="106"/>
      <c r="L64" s="107"/>
      <c r="M64" s="107"/>
      <c r="N64" s="107"/>
      <c r="O64" s="107"/>
      <c r="P64" s="107"/>
      <c r="Q64" s="108"/>
      <c r="R64" s="64"/>
      <c r="S64" s="64"/>
      <c r="T64" s="64"/>
      <c r="U64" s="64"/>
    </row>
    <row r="65" spans="1:27" ht="18" customHeight="1" x14ac:dyDescent="0.2">
      <c r="A65" s="85"/>
      <c r="B65" s="106"/>
      <c r="C65" s="107"/>
      <c r="D65" s="107"/>
      <c r="E65" s="107"/>
      <c r="F65" s="108"/>
      <c r="G65" s="64"/>
      <c r="H65" s="64"/>
      <c r="I65" s="64"/>
      <c r="J65" s="64"/>
      <c r="K65" s="106"/>
      <c r="L65" s="107"/>
      <c r="M65" s="107"/>
      <c r="N65" s="107"/>
      <c r="O65" s="107"/>
      <c r="P65" s="107"/>
      <c r="Q65" s="108"/>
      <c r="R65" s="64"/>
      <c r="S65" s="64"/>
      <c r="T65" s="64"/>
      <c r="U65" s="64"/>
    </row>
    <row r="66" spans="1:27" ht="18" customHeight="1" x14ac:dyDescent="0.2">
      <c r="A66" s="85"/>
      <c r="B66" s="98"/>
      <c r="C66" s="99"/>
      <c r="D66" s="99"/>
      <c r="E66" s="99"/>
      <c r="F66" s="100"/>
      <c r="G66" s="65"/>
      <c r="H66" s="65"/>
      <c r="I66" s="66"/>
      <c r="J66" s="66"/>
      <c r="K66" s="98"/>
      <c r="L66" s="99"/>
      <c r="M66" s="99"/>
      <c r="N66" s="99"/>
      <c r="O66" s="99"/>
      <c r="P66" s="99"/>
      <c r="Q66" s="100"/>
      <c r="R66" s="65"/>
      <c r="S66" s="65"/>
      <c r="T66" s="66"/>
      <c r="U66" s="66"/>
    </row>
    <row r="67" spans="1:27" ht="7.5" customHeight="1" x14ac:dyDescent="0.2">
      <c r="B67" s="84"/>
      <c r="C67" s="84"/>
      <c r="D67" s="84"/>
      <c r="E67" s="84"/>
      <c r="F67" s="84"/>
      <c r="G67" s="84"/>
      <c r="H67" s="84"/>
      <c r="I67" s="84"/>
      <c r="J67" s="84"/>
      <c r="K67" s="84"/>
      <c r="L67" s="84"/>
      <c r="M67" s="84"/>
      <c r="N67" s="84"/>
      <c r="O67" s="84"/>
      <c r="P67" s="84"/>
      <c r="Q67" s="84"/>
      <c r="R67" s="84"/>
      <c r="S67" s="84"/>
      <c r="T67" s="84"/>
    </row>
    <row r="68" spans="1:27" ht="18" customHeight="1" x14ac:dyDescent="0.2">
      <c r="A68" s="124" t="s">
        <v>99</v>
      </c>
      <c r="B68" s="124"/>
      <c r="C68" s="124"/>
      <c r="D68" s="124"/>
      <c r="E68" s="124"/>
      <c r="F68" s="124"/>
      <c r="G68" s="124"/>
      <c r="H68" s="124"/>
      <c r="I68" s="124"/>
      <c r="J68" s="124"/>
      <c r="K68" s="124"/>
      <c r="L68" s="124"/>
      <c r="M68" s="124"/>
      <c r="N68" s="124"/>
      <c r="O68" s="124"/>
      <c r="P68" s="124"/>
      <c r="Q68" s="124"/>
      <c r="R68" s="124"/>
      <c r="S68" s="124"/>
      <c r="T68" s="124"/>
      <c r="U68" s="124"/>
    </row>
    <row r="69" spans="1:27" ht="18" customHeight="1" x14ac:dyDescent="0.2">
      <c r="A69" s="124"/>
      <c r="B69" s="124"/>
      <c r="C69" s="124"/>
      <c r="D69" s="124"/>
      <c r="E69" s="124"/>
      <c r="F69" s="124"/>
      <c r="G69" s="124"/>
      <c r="H69" s="124"/>
      <c r="I69" s="124"/>
      <c r="J69" s="124"/>
      <c r="K69" s="124"/>
      <c r="L69" s="124"/>
      <c r="M69" s="124"/>
      <c r="N69" s="124"/>
      <c r="O69" s="124"/>
      <c r="P69" s="124"/>
      <c r="Q69" s="124"/>
      <c r="R69" s="124"/>
      <c r="S69" s="124"/>
      <c r="T69" s="124"/>
      <c r="U69" s="124"/>
    </row>
    <row r="70" spans="1:27" ht="18" customHeight="1" x14ac:dyDescent="0.2">
      <c r="B70" s="95" t="s">
        <v>47</v>
      </c>
      <c r="C70" s="96"/>
      <c r="D70" s="96"/>
      <c r="E70" s="96"/>
      <c r="F70" s="60" t="s">
        <v>72</v>
      </c>
      <c r="G70" s="61" t="s">
        <v>75</v>
      </c>
      <c r="H70" s="62" t="s">
        <v>86</v>
      </c>
      <c r="I70" s="62" t="s">
        <v>67</v>
      </c>
      <c r="J70" s="62" t="s">
        <v>68</v>
      </c>
      <c r="K70" s="95" t="s">
        <v>47</v>
      </c>
      <c r="L70" s="96"/>
      <c r="M70" s="96"/>
      <c r="N70" s="96"/>
      <c r="O70" s="96"/>
      <c r="P70" s="97"/>
      <c r="Q70" s="60" t="s">
        <v>72</v>
      </c>
      <c r="R70" s="61" t="s">
        <v>75</v>
      </c>
      <c r="S70" s="62" t="s">
        <v>86</v>
      </c>
      <c r="T70" s="62" t="s">
        <v>67</v>
      </c>
      <c r="U70" s="62" t="s">
        <v>68</v>
      </c>
    </row>
    <row r="71" spans="1:27" ht="18" customHeight="1" x14ac:dyDescent="0.2">
      <c r="A71" s="85"/>
      <c r="B71" s="104" t="s">
        <v>192</v>
      </c>
      <c r="C71" s="105"/>
      <c r="D71" s="105"/>
      <c r="E71" s="105"/>
      <c r="F71" s="63">
        <v>1</v>
      </c>
      <c r="G71" s="63" t="s">
        <v>154</v>
      </c>
      <c r="H71" s="63" t="s">
        <v>154</v>
      </c>
      <c r="I71" s="63" t="s">
        <v>154</v>
      </c>
      <c r="J71" s="63" t="s">
        <v>154</v>
      </c>
      <c r="K71" s="104"/>
      <c r="L71" s="105"/>
      <c r="M71" s="105"/>
      <c r="N71" s="105"/>
      <c r="O71" s="105"/>
      <c r="P71" s="115"/>
      <c r="Q71" s="63"/>
      <c r="R71" s="63"/>
      <c r="S71" s="63"/>
      <c r="T71" s="63"/>
      <c r="U71" s="63"/>
    </row>
    <row r="72" spans="1:27" ht="18" customHeight="1" x14ac:dyDescent="0.2">
      <c r="A72" s="85"/>
      <c r="B72" s="106" t="s">
        <v>168</v>
      </c>
      <c r="C72" s="107"/>
      <c r="D72" s="107"/>
      <c r="E72" s="107"/>
      <c r="F72" s="64">
        <v>1</v>
      </c>
      <c r="G72" s="64" t="s">
        <v>154</v>
      </c>
      <c r="H72" s="64" t="s">
        <v>154</v>
      </c>
      <c r="I72" s="64" t="s">
        <v>154</v>
      </c>
      <c r="J72" s="64" t="s">
        <v>154</v>
      </c>
      <c r="K72" s="106"/>
      <c r="L72" s="107"/>
      <c r="M72" s="107"/>
      <c r="N72" s="107"/>
      <c r="O72" s="107"/>
      <c r="P72" s="108"/>
      <c r="Q72" s="64"/>
      <c r="R72" s="64"/>
      <c r="S72" s="64"/>
      <c r="T72" s="64"/>
      <c r="U72" s="64"/>
    </row>
    <row r="73" spans="1:27" ht="18" customHeight="1" x14ac:dyDescent="0.2">
      <c r="A73" s="85"/>
      <c r="B73" s="106" t="s">
        <v>194</v>
      </c>
      <c r="C73" s="107"/>
      <c r="D73" s="107"/>
      <c r="E73" s="107"/>
      <c r="F73" s="64">
        <v>1</v>
      </c>
      <c r="G73" s="64" t="s">
        <v>154</v>
      </c>
      <c r="H73" s="64" t="s">
        <v>154</v>
      </c>
      <c r="I73" s="64" t="s">
        <v>154</v>
      </c>
      <c r="J73" s="64" t="s">
        <v>154</v>
      </c>
      <c r="K73" s="106"/>
      <c r="L73" s="107"/>
      <c r="M73" s="107"/>
      <c r="N73" s="107"/>
      <c r="O73" s="107"/>
      <c r="P73" s="108"/>
      <c r="Q73" s="64"/>
      <c r="R73" s="64"/>
      <c r="S73" s="64"/>
      <c r="T73" s="64"/>
      <c r="U73" s="64"/>
    </row>
    <row r="74" spans="1:27" ht="18" customHeight="1" x14ac:dyDescent="0.2">
      <c r="A74" s="85"/>
      <c r="B74" s="161" t="s">
        <v>200</v>
      </c>
      <c r="C74" s="162"/>
      <c r="D74" s="162"/>
      <c r="E74" s="162"/>
      <c r="F74" s="92">
        <v>1</v>
      </c>
      <c r="G74" s="92" t="s">
        <v>154</v>
      </c>
      <c r="H74" s="92" t="s">
        <v>154</v>
      </c>
      <c r="I74" s="92" t="s">
        <v>154</v>
      </c>
      <c r="J74" s="92" t="s">
        <v>154</v>
      </c>
      <c r="K74" s="106"/>
      <c r="L74" s="107"/>
      <c r="M74" s="107"/>
      <c r="N74" s="107"/>
      <c r="O74" s="107"/>
      <c r="P74" s="108"/>
      <c r="Q74" s="64"/>
      <c r="R74" s="64"/>
      <c r="S74" s="64"/>
      <c r="T74" s="64"/>
      <c r="U74" s="64"/>
    </row>
    <row r="75" spans="1:27" ht="18" customHeight="1" x14ac:dyDescent="0.2">
      <c r="A75" s="85"/>
      <c r="B75" s="106"/>
      <c r="C75" s="107"/>
      <c r="D75" s="107"/>
      <c r="E75" s="107"/>
      <c r="F75" s="64"/>
      <c r="G75" s="64"/>
      <c r="H75" s="64"/>
      <c r="I75" s="64"/>
      <c r="J75" s="64"/>
      <c r="K75" s="106"/>
      <c r="L75" s="107"/>
      <c r="M75" s="107"/>
      <c r="N75" s="107"/>
      <c r="O75" s="107"/>
      <c r="P75" s="108"/>
      <c r="Q75" s="64"/>
      <c r="R75" s="64"/>
      <c r="S75" s="64"/>
      <c r="T75" s="64"/>
      <c r="U75" s="64"/>
    </row>
    <row r="76" spans="1:27" ht="18" customHeight="1" x14ac:dyDescent="0.2">
      <c r="A76" s="85"/>
      <c r="B76" s="106"/>
      <c r="C76" s="107"/>
      <c r="D76" s="107"/>
      <c r="E76" s="107"/>
      <c r="F76" s="64"/>
      <c r="G76" s="64"/>
      <c r="H76" s="64"/>
      <c r="I76" s="64"/>
      <c r="J76" s="64"/>
      <c r="K76" s="106"/>
      <c r="L76" s="107"/>
      <c r="M76" s="107"/>
      <c r="N76" s="107"/>
      <c r="O76" s="107"/>
      <c r="P76" s="108"/>
      <c r="Q76" s="64"/>
      <c r="R76" s="64"/>
      <c r="S76" s="64"/>
      <c r="T76" s="64"/>
      <c r="U76" s="64"/>
    </row>
    <row r="77" spans="1:27" ht="18" customHeight="1" x14ac:dyDescent="0.2">
      <c r="A77" s="85"/>
      <c r="B77" s="98"/>
      <c r="C77" s="99"/>
      <c r="D77" s="99"/>
      <c r="E77" s="99"/>
      <c r="F77" s="65"/>
      <c r="G77" s="65"/>
      <c r="H77" s="66"/>
      <c r="I77" s="66"/>
      <c r="J77" s="66"/>
      <c r="K77" s="98"/>
      <c r="L77" s="99"/>
      <c r="M77" s="99"/>
      <c r="N77" s="99"/>
      <c r="O77" s="99"/>
      <c r="P77" s="100"/>
      <c r="Q77" s="65"/>
      <c r="R77" s="65"/>
      <c r="S77" s="66"/>
      <c r="T77" s="66"/>
      <c r="U77" s="66"/>
    </row>
    <row r="78" spans="1:27" ht="7.5" customHeight="1" x14ac:dyDescent="0.2">
      <c r="B78" s="84"/>
      <c r="C78" s="84"/>
      <c r="D78" s="84"/>
      <c r="E78" s="84"/>
      <c r="F78" s="84"/>
      <c r="G78" s="84"/>
      <c r="H78" s="84"/>
      <c r="I78" s="84"/>
      <c r="J78" s="84"/>
      <c r="K78" s="84"/>
      <c r="L78" s="84"/>
      <c r="M78" s="84"/>
      <c r="N78" s="84"/>
      <c r="O78" s="84"/>
      <c r="P78" s="84"/>
      <c r="Q78" s="84"/>
      <c r="R78" s="84"/>
      <c r="S78" s="84"/>
      <c r="T78" s="84"/>
    </row>
    <row r="79" spans="1:27" ht="18" customHeight="1" x14ac:dyDescent="0.2">
      <c r="A79" s="86" t="s">
        <v>100</v>
      </c>
      <c r="I79" s="85"/>
      <c r="J79" s="85"/>
      <c r="K79" s="85"/>
      <c r="L79" s="85"/>
      <c r="M79" s="85"/>
      <c r="N79" s="85"/>
      <c r="O79" s="85"/>
      <c r="P79" s="85"/>
      <c r="Q79" s="85"/>
      <c r="R79" s="85"/>
      <c r="S79" s="85"/>
      <c r="T79" s="85"/>
      <c r="U79" s="85"/>
    </row>
    <row r="80" spans="1:27" ht="18" customHeight="1" x14ac:dyDescent="0.2">
      <c r="B80" s="95" t="s">
        <v>47</v>
      </c>
      <c r="C80" s="96"/>
      <c r="D80" s="96"/>
      <c r="E80" s="96"/>
      <c r="F80" s="97"/>
      <c r="G80" s="95" t="s">
        <v>73</v>
      </c>
      <c r="H80" s="96"/>
      <c r="I80" s="96"/>
      <c r="J80" s="97"/>
      <c r="K80" s="101" t="s">
        <v>47</v>
      </c>
      <c r="L80" s="102"/>
      <c r="M80" s="102"/>
      <c r="N80" s="102"/>
      <c r="O80" s="102"/>
      <c r="P80" s="102"/>
      <c r="Q80" s="103"/>
      <c r="R80" s="95" t="s">
        <v>73</v>
      </c>
      <c r="S80" s="96"/>
      <c r="T80" s="96"/>
      <c r="U80" s="97"/>
      <c r="AA80" s="86" t="s">
        <v>138</v>
      </c>
    </row>
    <row r="81" spans="1:27" ht="18" customHeight="1" x14ac:dyDescent="0.2">
      <c r="A81" s="85"/>
      <c r="B81" s="104"/>
      <c r="C81" s="105"/>
      <c r="D81" s="105"/>
      <c r="E81" s="105"/>
      <c r="F81" s="115"/>
      <c r="G81" s="112"/>
      <c r="H81" s="113"/>
      <c r="I81" s="113"/>
      <c r="J81" s="114"/>
      <c r="K81" s="104"/>
      <c r="L81" s="105"/>
      <c r="M81" s="105"/>
      <c r="N81" s="105"/>
      <c r="O81" s="105"/>
      <c r="P81" s="105"/>
      <c r="Q81" s="115"/>
      <c r="R81" s="112"/>
      <c r="S81" s="113"/>
      <c r="T81" s="113"/>
      <c r="U81" s="114"/>
      <c r="AA81" s="86" t="s">
        <v>131</v>
      </c>
    </row>
    <row r="82" spans="1:27" ht="18" customHeight="1" x14ac:dyDescent="0.2">
      <c r="A82" s="85"/>
      <c r="B82" s="106"/>
      <c r="C82" s="107"/>
      <c r="D82" s="107"/>
      <c r="E82" s="107"/>
      <c r="F82" s="108"/>
      <c r="G82" s="109"/>
      <c r="H82" s="110"/>
      <c r="I82" s="110"/>
      <c r="J82" s="111"/>
      <c r="K82" s="106"/>
      <c r="L82" s="107"/>
      <c r="M82" s="107"/>
      <c r="N82" s="107"/>
      <c r="O82" s="107"/>
      <c r="P82" s="107"/>
      <c r="Q82" s="108"/>
      <c r="R82" s="109"/>
      <c r="S82" s="110"/>
      <c r="T82" s="110"/>
      <c r="U82" s="111"/>
      <c r="AA82" s="86" t="s">
        <v>132</v>
      </c>
    </row>
    <row r="83" spans="1:27" ht="18" customHeight="1" x14ac:dyDescent="0.2">
      <c r="A83" s="85"/>
      <c r="B83" s="106"/>
      <c r="C83" s="107"/>
      <c r="D83" s="107"/>
      <c r="E83" s="107"/>
      <c r="F83" s="108"/>
      <c r="G83" s="109"/>
      <c r="H83" s="110"/>
      <c r="I83" s="110"/>
      <c r="J83" s="111"/>
      <c r="K83" s="106"/>
      <c r="L83" s="107"/>
      <c r="M83" s="107"/>
      <c r="N83" s="107"/>
      <c r="O83" s="107"/>
      <c r="P83" s="107"/>
      <c r="Q83" s="108"/>
      <c r="R83" s="109"/>
      <c r="S83" s="110"/>
      <c r="T83" s="110"/>
      <c r="U83" s="111"/>
      <c r="AA83" s="86" t="s">
        <v>133</v>
      </c>
    </row>
    <row r="84" spans="1:27" ht="18" customHeight="1" x14ac:dyDescent="0.2">
      <c r="A84" s="85"/>
      <c r="B84" s="106"/>
      <c r="C84" s="107"/>
      <c r="D84" s="107"/>
      <c r="E84" s="107"/>
      <c r="F84" s="108"/>
      <c r="G84" s="109"/>
      <c r="H84" s="110"/>
      <c r="I84" s="110"/>
      <c r="J84" s="111"/>
      <c r="K84" s="106"/>
      <c r="L84" s="107"/>
      <c r="M84" s="107"/>
      <c r="N84" s="107"/>
      <c r="O84" s="107"/>
      <c r="P84" s="107"/>
      <c r="Q84" s="108"/>
      <c r="R84" s="109"/>
      <c r="S84" s="110"/>
      <c r="T84" s="110"/>
      <c r="U84" s="111"/>
      <c r="AA84" s="86" t="s">
        <v>139</v>
      </c>
    </row>
    <row r="85" spans="1:27" ht="18" customHeight="1" x14ac:dyDescent="0.2">
      <c r="A85" s="85"/>
      <c r="B85" s="106"/>
      <c r="C85" s="107"/>
      <c r="D85" s="107"/>
      <c r="E85" s="107"/>
      <c r="F85" s="108"/>
      <c r="G85" s="109"/>
      <c r="H85" s="110"/>
      <c r="I85" s="110"/>
      <c r="J85" s="111"/>
      <c r="K85" s="106"/>
      <c r="L85" s="107"/>
      <c r="M85" s="107"/>
      <c r="N85" s="107"/>
      <c r="O85" s="107"/>
      <c r="P85" s="107"/>
      <c r="Q85" s="108"/>
      <c r="R85" s="109"/>
      <c r="S85" s="110"/>
      <c r="T85" s="110"/>
      <c r="U85" s="111"/>
      <c r="AA85" s="86" t="s">
        <v>140</v>
      </c>
    </row>
    <row r="86" spans="1:27" ht="18" customHeight="1" x14ac:dyDescent="0.2">
      <c r="A86" s="85"/>
      <c r="B86" s="106"/>
      <c r="C86" s="107"/>
      <c r="D86" s="107"/>
      <c r="E86" s="107"/>
      <c r="F86" s="108"/>
      <c r="G86" s="109"/>
      <c r="H86" s="110"/>
      <c r="I86" s="110"/>
      <c r="J86" s="111"/>
      <c r="K86" s="106"/>
      <c r="L86" s="107"/>
      <c r="M86" s="107"/>
      <c r="N86" s="107"/>
      <c r="O86" s="107"/>
      <c r="P86" s="107"/>
      <c r="Q86" s="108"/>
      <c r="R86" s="109"/>
      <c r="S86" s="110"/>
      <c r="T86" s="110"/>
      <c r="U86" s="111"/>
      <c r="AA86" s="86" t="s">
        <v>134</v>
      </c>
    </row>
    <row r="87" spans="1:27" ht="18" customHeight="1" x14ac:dyDescent="0.2">
      <c r="A87" s="85"/>
      <c r="B87" s="98"/>
      <c r="C87" s="99"/>
      <c r="D87" s="99"/>
      <c r="E87" s="99"/>
      <c r="F87" s="100"/>
      <c r="G87" s="152"/>
      <c r="H87" s="153"/>
      <c r="I87" s="153"/>
      <c r="J87" s="154"/>
      <c r="K87" s="98"/>
      <c r="L87" s="99"/>
      <c r="M87" s="99"/>
      <c r="N87" s="99"/>
      <c r="O87" s="99"/>
      <c r="P87" s="99"/>
      <c r="Q87" s="100"/>
      <c r="R87" s="152"/>
      <c r="S87" s="153"/>
      <c r="T87" s="153"/>
      <c r="U87" s="154"/>
      <c r="AA87" s="86" t="s">
        <v>135</v>
      </c>
    </row>
    <row r="88" spans="1:27" ht="18" customHeight="1" x14ac:dyDescent="0.2">
      <c r="A88" s="85"/>
      <c r="B88" s="6"/>
      <c r="C88" s="6"/>
      <c r="D88" s="6"/>
      <c r="E88" s="6"/>
      <c r="F88" s="6"/>
      <c r="G88" s="67"/>
      <c r="H88" s="67"/>
      <c r="I88" s="67"/>
      <c r="J88" s="67"/>
      <c r="K88" s="6"/>
      <c r="L88" s="6"/>
      <c r="M88" s="6"/>
      <c r="N88" s="6"/>
      <c r="O88" s="6"/>
      <c r="P88" s="6"/>
      <c r="Q88" s="6"/>
      <c r="R88" s="67"/>
      <c r="S88" s="67"/>
      <c r="T88" s="67"/>
      <c r="U88" s="67"/>
      <c r="AA88" s="86" t="s">
        <v>136</v>
      </c>
    </row>
    <row r="89" spans="1:27" ht="18.75" customHeight="1" x14ac:dyDescent="0.2">
      <c r="A89" s="86" t="s">
        <v>101</v>
      </c>
      <c r="AA89" s="86" t="s">
        <v>137</v>
      </c>
    </row>
    <row r="90" spans="1:27" ht="18.75" customHeight="1" x14ac:dyDescent="0.2">
      <c r="B90" s="155" t="s">
        <v>48</v>
      </c>
      <c r="C90" s="156"/>
      <c r="D90" s="95" t="s">
        <v>49</v>
      </c>
      <c r="E90" s="96"/>
      <c r="F90" s="96"/>
      <c r="G90" s="96"/>
      <c r="H90" s="96"/>
      <c r="I90" s="96"/>
      <c r="J90" s="96"/>
      <c r="K90" s="96"/>
      <c r="L90" s="96"/>
      <c r="M90" s="96"/>
      <c r="N90" s="96"/>
      <c r="O90" s="96"/>
      <c r="P90" s="96"/>
      <c r="Q90" s="96"/>
      <c r="R90" s="96"/>
      <c r="S90" s="96"/>
      <c r="T90" s="96"/>
      <c r="U90" s="97"/>
    </row>
    <row r="91" spans="1:27" ht="97.5" customHeight="1" x14ac:dyDescent="0.2">
      <c r="B91" s="126" t="s">
        <v>55</v>
      </c>
      <c r="C91" s="68" t="s">
        <v>50</v>
      </c>
      <c r="D91" s="157" t="s">
        <v>201</v>
      </c>
      <c r="E91" s="158"/>
      <c r="F91" s="158"/>
      <c r="G91" s="158"/>
      <c r="H91" s="158"/>
      <c r="I91" s="158"/>
      <c r="J91" s="158"/>
      <c r="K91" s="158"/>
      <c r="L91" s="158"/>
      <c r="M91" s="158"/>
      <c r="N91" s="158"/>
      <c r="O91" s="158"/>
      <c r="P91" s="158"/>
      <c r="Q91" s="158"/>
      <c r="R91" s="158"/>
      <c r="S91" s="158"/>
      <c r="T91" s="158"/>
      <c r="U91" s="158"/>
    </row>
    <row r="92" spans="1:27" ht="97.5" customHeight="1" x14ac:dyDescent="0.2">
      <c r="B92" s="128"/>
      <c r="C92" s="69" t="s">
        <v>69</v>
      </c>
      <c r="D92" s="159" t="s">
        <v>202</v>
      </c>
      <c r="E92" s="160"/>
      <c r="F92" s="160"/>
      <c r="G92" s="160"/>
      <c r="H92" s="160"/>
      <c r="I92" s="160"/>
      <c r="J92" s="160"/>
      <c r="K92" s="160"/>
      <c r="L92" s="160"/>
      <c r="M92" s="160"/>
      <c r="N92" s="160"/>
      <c r="O92" s="160"/>
      <c r="P92" s="160"/>
      <c r="Q92" s="160"/>
      <c r="R92" s="160"/>
      <c r="S92" s="160"/>
      <c r="T92" s="160"/>
      <c r="U92" s="160"/>
    </row>
    <row r="93" spans="1:27" ht="97.5" customHeight="1" x14ac:dyDescent="0.2">
      <c r="B93" s="126" t="s">
        <v>56</v>
      </c>
      <c r="C93" s="70" t="s">
        <v>63</v>
      </c>
      <c r="D93" s="93" t="s">
        <v>208</v>
      </c>
      <c r="E93" s="93"/>
      <c r="F93" s="93"/>
      <c r="G93" s="93"/>
      <c r="H93" s="93"/>
      <c r="I93" s="93"/>
      <c r="J93" s="93"/>
      <c r="K93" s="93"/>
      <c r="L93" s="93"/>
      <c r="M93" s="93"/>
      <c r="N93" s="93"/>
      <c r="O93" s="93"/>
      <c r="P93" s="93"/>
      <c r="Q93" s="93"/>
      <c r="R93" s="93"/>
      <c r="S93" s="93"/>
      <c r="T93" s="93"/>
      <c r="U93" s="93"/>
    </row>
    <row r="94" spans="1:27" ht="97.5" customHeight="1" x14ac:dyDescent="0.2">
      <c r="B94" s="127"/>
      <c r="C94" s="71" t="s">
        <v>64</v>
      </c>
      <c r="D94" s="159" t="s">
        <v>203</v>
      </c>
      <c r="E94" s="160"/>
      <c r="F94" s="160"/>
      <c r="G94" s="160"/>
      <c r="H94" s="160"/>
      <c r="I94" s="160"/>
      <c r="J94" s="160"/>
      <c r="K94" s="160"/>
      <c r="L94" s="160"/>
      <c r="M94" s="160"/>
      <c r="N94" s="160"/>
      <c r="O94" s="160"/>
      <c r="P94" s="160"/>
      <c r="Q94" s="160"/>
      <c r="R94" s="160"/>
      <c r="S94" s="160"/>
      <c r="T94" s="160"/>
      <c r="U94" s="160"/>
    </row>
    <row r="95" spans="1:27" ht="97.5" customHeight="1" x14ac:dyDescent="0.2">
      <c r="B95" s="126" t="s">
        <v>57</v>
      </c>
      <c r="C95" s="70" t="s">
        <v>65</v>
      </c>
      <c r="D95" s="116" t="s">
        <v>205</v>
      </c>
      <c r="E95" s="116"/>
      <c r="F95" s="116"/>
      <c r="G95" s="116"/>
      <c r="H95" s="116"/>
      <c r="I95" s="116"/>
      <c r="J95" s="116"/>
      <c r="K95" s="116"/>
      <c r="L95" s="116"/>
      <c r="M95" s="116"/>
      <c r="N95" s="116"/>
      <c r="O95" s="116"/>
      <c r="P95" s="116"/>
      <c r="Q95" s="116"/>
      <c r="R95" s="116"/>
      <c r="S95" s="116"/>
      <c r="T95" s="116"/>
      <c r="U95" s="116"/>
    </row>
    <row r="96" spans="1:27" ht="97.5" customHeight="1" x14ac:dyDescent="0.2">
      <c r="B96" s="127"/>
      <c r="C96" s="72" t="s">
        <v>66</v>
      </c>
      <c r="D96" s="94" t="s">
        <v>204</v>
      </c>
      <c r="E96" s="94"/>
      <c r="F96" s="94"/>
      <c r="G96" s="94"/>
      <c r="H96" s="94"/>
      <c r="I96" s="94"/>
      <c r="J96" s="94"/>
      <c r="K96" s="94"/>
      <c r="L96" s="94"/>
      <c r="M96" s="94"/>
      <c r="N96" s="94"/>
      <c r="O96" s="94"/>
      <c r="P96" s="94"/>
      <c r="Q96" s="94"/>
      <c r="R96" s="94"/>
      <c r="S96" s="94"/>
      <c r="T96" s="94"/>
      <c r="U96" s="94"/>
    </row>
    <row r="97" spans="1:21" ht="97.5" customHeight="1" x14ac:dyDescent="0.2">
      <c r="B97" s="126" t="s">
        <v>70</v>
      </c>
      <c r="C97" s="68" t="s">
        <v>52</v>
      </c>
      <c r="D97" s="116" t="s">
        <v>207</v>
      </c>
      <c r="E97" s="116"/>
      <c r="F97" s="116"/>
      <c r="G97" s="116"/>
      <c r="H97" s="116"/>
      <c r="I97" s="116"/>
      <c r="J97" s="116"/>
      <c r="K97" s="116"/>
      <c r="L97" s="116"/>
      <c r="M97" s="116"/>
      <c r="N97" s="116"/>
      <c r="O97" s="116"/>
      <c r="P97" s="116"/>
      <c r="Q97" s="116"/>
      <c r="R97" s="116"/>
      <c r="S97" s="116"/>
      <c r="T97" s="116"/>
      <c r="U97" s="116"/>
    </row>
    <row r="98" spans="1:21" ht="97.5" customHeight="1" x14ac:dyDescent="0.2">
      <c r="B98" s="127"/>
      <c r="C98" s="71" t="s">
        <v>54</v>
      </c>
      <c r="D98" s="117" t="s">
        <v>206</v>
      </c>
      <c r="E98" s="117"/>
      <c r="F98" s="117"/>
      <c r="G98" s="117"/>
      <c r="H98" s="117"/>
      <c r="I98" s="117"/>
      <c r="J98" s="117"/>
      <c r="K98" s="117"/>
      <c r="L98" s="117"/>
      <c r="M98" s="117"/>
      <c r="N98" s="117"/>
      <c r="O98" s="117"/>
      <c r="P98" s="117"/>
      <c r="Q98" s="117"/>
      <c r="R98" s="117"/>
      <c r="S98" s="117"/>
      <c r="T98" s="117"/>
      <c r="U98" s="117"/>
    </row>
    <row r="99" spans="1:21" ht="97.5" customHeight="1" x14ac:dyDescent="0.2">
      <c r="B99" s="126" t="s">
        <v>71</v>
      </c>
      <c r="C99" s="70" t="s">
        <v>51</v>
      </c>
      <c r="D99" s="93" t="s">
        <v>209</v>
      </c>
      <c r="E99" s="93"/>
      <c r="F99" s="93"/>
      <c r="G99" s="93"/>
      <c r="H99" s="93"/>
      <c r="I99" s="93"/>
      <c r="J99" s="93"/>
      <c r="K99" s="93"/>
      <c r="L99" s="93"/>
      <c r="M99" s="93"/>
      <c r="N99" s="93"/>
      <c r="O99" s="93"/>
      <c r="P99" s="93"/>
      <c r="Q99" s="93"/>
      <c r="R99" s="93"/>
      <c r="S99" s="93"/>
      <c r="T99" s="93"/>
      <c r="U99" s="93"/>
    </row>
    <row r="100" spans="1:21" ht="97.5" customHeight="1" x14ac:dyDescent="0.2">
      <c r="B100" s="128"/>
      <c r="C100" s="73" t="s">
        <v>67</v>
      </c>
      <c r="D100" s="125" t="s">
        <v>210</v>
      </c>
      <c r="E100" s="125"/>
      <c r="F100" s="125"/>
      <c r="G100" s="125"/>
      <c r="H100" s="125"/>
      <c r="I100" s="125"/>
      <c r="J100" s="125"/>
      <c r="K100" s="125"/>
      <c r="L100" s="125"/>
      <c r="M100" s="125"/>
      <c r="N100" s="125"/>
      <c r="O100" s="125"/>
      <c r="P100" s="125"/>
      <c r="Q100" s="125"/>
      <c r="R100" s="125"/>
      <c r="S100" s="125"/>
      <c r="T100" s="125"/>
      <c r="U100" s="125"/>
    </row>
    <row r="101" spans="1:21" ht="97.5" customHeight="1" x14ac:dyDescent="0.2">
      <c r="B101" s="127"/>
      <c r="C101" s="72" t="s">
        <v>68</v>
      </c>
      <c r="D101" s="117" t="s">
        <v>211</v>
      </c>
      <c r="E101" s="117"/>
      <c r="F101" s="117"/>
      <c r="G101" s="117"/>
      <c r="H101" s="117"/>
      <c r="I101" s="117"/>
      <c r="J101" s="117"/>
      <c r="K101" s="117"/>
      <c r="L101" s="117"/>
      <c r="M101" s="117"/>
      <c r="N101" s="117"/>
      <c r="O101" s="117"/>
      <c r="P101" s="117"/>
      <c r="Q101" s="117"/>
      <c r="R101" s="117"/>
      <c r="S101" s="117"/>
      <c r="T101" s="117"/>
      <c r="U101" s="117"/>
    </row>
    <row r="102" spans="1:21" ht="6" customHeight="1" x14ac:dyDescent="0.2"/>
    <row r="103" spans="1:21" ht="18.75" customHeight="1" x14ac:dyDescent="0.2">
      <c r="A103" s="86" t="s">
        <v>102</v>
      </c>
    </row>
    <row r="104" spans="1:21" ht="81.75" customHeight="1" x14ac:dyDescent="0.2">
      <c r="B104" s="149" t="s">
        <v>195</v>
      </c>
      <c r="C104" s="150"/>
      <c r="D104" s="150"/>
      <c r="E104" s="150"/>
      <c r="F104" s="150"/>
      <c r="G104" s="150"/>
      <c r="H104" s="150"/>
      <c r="I104" s="150"/>
      <c r="J104" s="150"/>
      <c r="K104" s="150"/>
      <c r="L104" s="150"/>
      <c r="M104" s="150"/>
      <c r="N104" s="150"/>
      <c r="O104" s="150"/>
      <c r="P104" s="150"/>
      <c r="Q104" s="150"/>
      <c r="R104" s="150"/>
      <c r="S104" s="150"/>
      <c r="T104" s="150"/>
      <c r="U104" s="151"/>
    </row>
    <row r="107" spans="1:21" ht="18" customHeight="1" x14ac:dyDescent="0.2"/>
  </sheetData>
  <mergeCells count="144">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R80:U80"/>
    <mergeCell ref="B81:F81"/>
    <mergeCell ref="G81:J81"/>
    <mergeCell ref="K81:Q81"/>
    <mergeCell ref="R81:U81"/>
    <mergeCell ref="B82:F82"/>
    <mergeCell ref="G82:J82"/>
    <mergeCell ref="K82:Q82"/>
    <mergeCell ref="R82:U82"/>
    <mergeCell ref="B85:F85"/>
    <mergeCell ref="G85:J85"/>
    <mergeCell ref="K85:Q85"/>
    <mergeCell ref="R85:U85"/>
    <mergeCell ref="B86:F86"/>
    <mergeCell ref="G86:J86"/>
    <mergeCell ref="K86:Q86"/>
    <mergeCell ref="R86:U86"/>
    <mergeCell ref="B83:F83"/>
    <mergeCell ref="G83:J83"/>
    <mergeCell ref="K83:Q83"/>
    <mergeCell ref="R83:U83"/>
    <mergeCell ref="B84:F84"/>
    <mergeCell ref="G84:J84"/>
    <mergeCell ref="K84:Q84"/>
    <mergeCell ref="R84:U84"/>
    <mergeCell ref="B91:B92"/>
    <mergeCell ref="D91:U91"/>
    <mergeCell ref="D92:U92"/>
    <mergeCell ref="B93:B94"/>
    <mergeCell ref="D94:U94"/>
    <mergeCell ref="B87:F87"/>
    <mergeCell ref="G87:J87"/>
    <mergeCell ref="K87:Q87"/>
    <mergeCell ref="R87:U87"/>
    <mergeCell ref="B90:C90"/>
    <mergeCell ref="D90:U90"/>
    <mergeCell ref="D93:U93"/>
    <mergeCell ref="B99:B101"/>
    <mergeCell ref="B104:U104"/>
    <mergeCell ref="B95:B96"/>
    <mergeCell ref="B97:B98"/>
    <mergeCell ref="D101:U101"/>
    <mergeCell ref="D100:U100"/>
    <mergeCell ref="D97:U97"/>
    <mergeCell ref="D96:U96"/>
    <mergeCell ref="D95:U95"/>
    <mergeCell ref="D98:U98"/>
    <mergeCell ref="D99:U9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G81:J87 R81:U87" xr:uid="{00000000-0002-0000-0200-000000000000}">
      <formula1>$AA$80:$AA$89</formula1>
    </dataValidation>
    <dataValidation type="list" allowBlank="1" showInputMessage="1" showErrorMessage="1" sqref="N22:U22" xr:uid="{00000000-0002-0000-0200-000001000000}">
      <formula1>$X$16:$X$18</formula1>
    </dataValidation>
    <dataValidation type="list" allowBlank="1" showInputMessage="1" showErrorMessage="1" sqref="G88:J88 R88:U88" xr:uid="{00000000-0002-0000-0200-000002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L14 L7:U7" xr:uid="{00000000-0002-0000-0200-000003000000}">
      <formula1>"学部・学科によって、修了要件は相違する,学部・学科によって、修了要件は相違しない"</formula1>
    </dataValidation>
    <dataValidation type="list" allowBlank="1" showInputMessage="1" showErrorMessage="1" sqref="U34 U45 E34:H34 E45:H45" xr:uid="{00000000-0002-0000-0200-000004000000}">
      <formula1>"全学開講,一部開講"</formula1>
    </dataValidation>
    <dataValidation type="list" allowBlank="1" showInputMessage="1" showErrorMessage="1" sqref="H38:J44 S27:U33 H49:J55 S38:U44 R71:U77 S49:U55 H27:J33 S60:U66 H60:J66 G71:J77" xr:uid="{00000000-0002-0000-0200-000005000000}">
      <formula1>"○"</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92D050"/>
    <pageSetUpPr fitToPage="1"/>
  </sheetPr>
  <dimension ref="A1:U33"/>
  <sheetViews>
    <sheetView view="pageBreakPreview" zoomScaleNormal="100" zoomScaleSheetLayoutView="100" workbookViewId="0">
      <selection activeCell="N20" sqref="N20"/>
    </sheetView>
  </sheetViews>
  <sheetFormatPr defaultColWidth="9" defaultRowHeight="18.75" customHeight="1" x14ac:dyDescent="0.2"/>
  <cols>
    <col min="1" max="1" width="2.77734375" style="1" customWidth="1"/>
    <col min="2" max="2" width="27.886718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91</v>
      </c>
    </row>
    <row r="2" spans="1:21" ht="18" customHeight="1" x14ac:dyDescent="0.2">
      <c r="A2" s="54"/>
      <c r="B2" s="54"/>
      <c r="C2" s="54"/>
      <c r="D2" s="54"/>
      <c r="E2" s="54"/>
      <c r="F2" s="54"/>
      <c r="G2" s="54"/>
      <c r="H2" s="54"/>
      <c r="I2" s="54"/>
      <c r="J2" s="54"/>
      <c r="K2" s="54"/>
      <c r="L2" s="54"/>
      <c r="M2" s="54"/>
      <c r="N2" s="54"/>
      <c r="O2" s="54"/>
      <c r="P2" s="54"/>
      <c r="Q2" s="176" t="str">
        <f>'様式1-1　プログラムを構成する授業科目（医）'!C2</f>
        <v>関西医科大学</v>
      </c>
      <c r="R2" s="176"/>
      <c r="S2" s="176"/>
    </row>
    <row r="3" spans="1:21" ht="18" customHeight="1" x14ac:dyDescent="0.2">
      <c r="A3" s="133" t="s">
        <v>142</v>
      </c>
      <c r="B3" s="133"/>
      <c r="C3" s="133"/>
      <c r="D3" s="133"/>
      <c r="E3" s="133"/>
      <c r="F3" s="133"/>
      <c r="G3" s="133"/>
      <c r="H3" s="133"/>
      <c r="I3" s="133"/>
      <c r="J3" s="133"/>
      <c r="K3" s="133"/>
      <c r="L3" s="133"/>
      <c r="M3" s="133"/>
      <c r="N3" s="133"/>
      <c r="O3" s="133"/>
      <c r="P3" s="133"/>
      <c r="Q3" s="133"/>
      <c r="R3" s="133"/>
      <c r="S3" s="133"/>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74</v>
      </c>
      <c r="B5" s="54"/>
      <c r="C5" s="177" t="s">
        <v>143</v>
      </c>
      <c r="D5" s="178"/>
      <c r="E5" s="58" t="s">
        <v>125</v>
      </c>
      <c r="F5" s="56"/>
      <c r="G5" s="56"/>
      <c r="H5" s="56"/>
      <c r="I5" s="56"/>
      <c r="J5" s="56"/>
      <c r="K5" s="56"/>
      <c r="L5" s="56"/>
      <c r="M5" s="56"/>
      <c r="N5" s="56"/>
      <c r="O5" s="56"/>
      <c r="P5" s="56"/>
      <c r="Q5" s="56"/>
      <c r="R5" s="55"/>
      <c r="S5" s="55"/>
    </row>
    <row r="6" spans="1:21" ht="7.2" customHeight="1" x14ac:dyDescent="0.2">
      <c r="A6" s="54"/>
      <c r="B6" s="54"/>
      <c r="C6" s="77"/>
      <c r="D6" s="77"/>
      <c r="E6" s="56"/>
      <c r="F6" s="56"/>
      <c r="G6" s="56"/>
      <c r="H6" s="56"/>
      <c r="I6" s="56"/>
      <c r="J6" s="56"/>
      <c r="K6" s="56"/>
      <c r="L6" s="56"/>
      <c r="M6" s="56"/>
      <c r="N6" s="56"/>
      <c r="O6" s="56"/>
      <c r="P6" s="56"/>
      <c r="Q6" s="56"/>
      <c r="R6" s="55"/>
      <c r="S6" s="55"/>
    </row>
    <row r="7" spans="1:21" ht="18" customHeight="1" x14ac:dyDescent="0.2">
      <c r="A7" s="54" t="s">
        <v>108</v>
      </c>
      <c r="B7" s="54"/>
      <c r="C7" s="77"/>
      <c r="D7" s="77"/>
      <c r="E7" s="56" t="s">
        <v>109</v>
      </c>
      <c r="F7" s="59">
        <v>598</v>
      </c>
      <c r="G7" s="58" t="s">
        <v>110</v>
      </c>
      <c r="H7" s="56" t="s">
        <v>111</v>
      </c>
      <c r="I7" s="59">
        <v>971</v>
      </c>
      <c r="J7" s="58" t="s">
        <v>110</v>
      </c>
      <c r="K7" s="57" t="s">
        <v>112</v>
      </c>
      <c r="L7" s="56" t="s">
        <v>113</v>
      </c>
      <c r="M7" s="59">
        <f>F7+I7</f>
        <v>1569</v>
      </c>
      <c r="N7" s="56" t="s">
        <v>1</v>
      </c>
      <c r="O7" s="58" t="s">
        <v>114</v>
      </c>
      <c r="P7" s="56"/>
      <c r="Q7" s="56"/>
      <c r="R7" s="55"/>
      <c r="S7" s="55"/>
    </row>
    <row r="8" spans="1:21" ht="17.399999999999999" customHeight="1" x14ac:dyDescent="0.2">
      <c r="A8" s="56"/>
      <c r="B8" s="78" t="s">
        <v>128</v>
      </c>
      <c r="C8" s="56"/>
      <c r="D8" s="56"/>
      <c r="E8" s="56"/>
      <c r="F8" s="56"/>
      <c r="G8" s="56"/>
      <c r="H8" s="56"/>
      <c r="I8" s="56"/>
      <c r="J8" s="56"/>
      <c r="K8" s="56"/>
      <c r="L8" s="56"/>
      <c r="M8" s="56"/>
      <c r="N8" s="56"/>
      <c r="O8" s="56"/>
      <c r="P8" s="56"/>
      <c r="Q8" s="56"/>
      <c r="R8" s="56"/>
      <c r="S8" s="56"/>
    </row>
    <row r="9" spans="1:21" ht="18" customHeight="1" x14ac:dyDescent="0.2">
      <c r="A9" s="54" t="s">
        <v>120</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79" t="s">
        <v>42</v>
      </c>
      <c r="C11" s="189" t="s">
        <v>77</v>
      </c>
      <c r="D11" s="181" t="s">
        <v>44</v>
      </c>
      <c r="E11" s="183" t="s">
        <v>37</v>
      </c>
      <c r="F11" s="175" t="s">
        <v>126</v>
      </c>
      <c r="G11" s="175"/>
      <c r="H11" s="175" t="s">
        <v>105</v>
      </c>
      <c r="I11" s="175"/>
      <c r="J11" s="175" t="s">
        <v>76</v>
      </c>
      <c r="K11" s="175"/>
      <c r="L11" s="175" t="s">
        <v>45</v>
      </c>
      <c r="M11" s="175"/>
      <c r="N11" s="175" t="s">
        <v>46</v>
      </c>
      <c r="O11" s="175"/>
      <c r="P11" s="175" t="s">
        <v>127</v>
      </c>
      <c r="Q11" s="175"/>
      <c r="R11" s="185" t="s">
        <v>34</v>
      </c>
      <c r="S11" s="187" t="s">
        <v>31</v>
      </c>
      <c r="U11" s="2"/>
    </row>
    <row r="12" spans="1:21" ht="16.95" customHeight="1" x14ac:dyDescent="0.2">
      <c r="B12" s="180"/>
      <c r="C12" s="190"/>
      <c r="D12" s="182"/>
      <c r="E12" s="184"/>
      <c r="F12" s="79" t="s">
        <v>85</v>
      </c>
      <c r="G12" s="79" t="s">
        <v>28</v>
      </c>
      <c r="H12" s="79" t="s">
        <v>85</v>
      </c>
      <c r="I12" s="79" t="s">
        <v>28</v>
      </c>
      <c r="J12" s="79" t="s">
        <v>85</v>
      </c>
      <c r="K12" s="79" t="s">
        <v>28</v>
      </c>
      <c r="L12" s="79" t="s">
        <v>85</v>
      </c>
      <c r="M12" s="79" t="s">
        <v>28</v>
      </c>
      <c r="N12" s="79" t="s">
        <v>85</v>
      </c>
      <c r="O12" s="79" t="s">
        <v>28</v>
      </c>
      <c r="P12" s="79" t="s">
        <v>85</v>
      </c>
      <c r="Q12" s="80" t="s">
        <v>28</v>
      </c>
      <c r="R12" s="186"/>
      <c r="S12" s="188"/>
      <c r="U12" s="2"/>
    </row>
    <row r="13" spans="1:21" ht="18" customHeight="1" x14ac:dyDescent="0.2">
      <c r="A13" s="6"/>
      <c r="B13" s="48" t="s">
        <v>151</v>
      </c>
      <c r="C13" s="36">
        <v>781</v>
      </c>
      <c r="D13" s="37">
        <v>127</v>
      </c>
      <c r="E13" s="38">
        <v>757</v>
      </c>
      <c r="F13" s="38">
        <v>130</v>
      </c>
      <c r="G13" s="38">
        <v>120</v>
      </c>
      <c r="H13" s="38"/>
      <c r="I13" s="38"/>
      <c r="J13" s="38"/>
      <c r="K13" s="38"/>
      <c r="L13" s="38"/>
      <c r="M13" s="38"/>
      <c r="N13" s="38"/>
      <c r="O13" s="38"/>
      <c r="P13" s="38"/>
      <c r="Q13" s="49"/>
      <c r="R13" s="37">
        <f t="shared" ref="R13:R32" si="0">F13+H13+J13+L13+N13+P13</f>
        <v>130</v>
      </c>
      <c r="S13" s="50">
        <f>R13/E13</f>
        <v>0.17173051519154559</v>
      </c>
    </row>
    <row r="14" spans="1:21" ht="18" customHeight="1" x14ac:dyDescent="0.2">
      <c r="A14" s="6"/>
      <c r="B14" s="11" t="s">
        <v>150</v>
      </c>
      <c r="C14" s="39">
        <v>408</v>
      </c>
      <c r="D14" s="40">
        <v>100</v>
      </c>
      <c r="E14" s="41">
        <v>400</v>
      </c>
      <c r="F14" s="42">
        <v>105</v>
      </c>
      <c r="G14" s="91">
        <v>103</v>
      </c>
      <c r="H14" s="42"/>
      <c r="I14" s="42"/>
      <c r="J14" s="42"/>
      <c r="K14" s="42"/>
      <c r="L14" s="42"/>
      <c r="M14" s="42"/>
      <c r="N14" s="42"/>
      <c r="O14" s="42"/>
      <c r="P14" s="42"/>
      <c r="Q14" s="39"/>
      <c r="R14" s="40">
        <f t="shared" si="0"/>
        <v>105</v>
      </c>
      <c r="S14" s="16">
        <f t="shared" ref="S14:S33" si="1">R14/E14</f>
        <v>0.26250000000000001</v>
      </c>
    </row>
    <row r="15" spans="1:21" ht="18" customHeight="1" x14ac:dyDescent="0.2">
      <c r="A15" s="6"/>
      <c r="B15" s="11" t="s">
        <v>149</v>
      </c>
      <c r="C15" s="39">
        <v>380</v>
      </c>
      <c r="D15" s="40">
        <v>100</v>
      </c>
      <c r="E15" s="41">
        <v>400</v>
      </c>
      <c r="F15" s="42">
        <v>114</v>
      </c>
      <c r="G15" s="91">
        <v>113</v>
      </c>
      <c r="H15" s="42"/>
      <c r="I15" s="42"/>
      <c r="J15" s="42"/>
      <c r="K15" s="42"/>
      <c r="L15" s="42"/>
      <c r="M15" s="42"/>
      <c r="N15" s="42"/>
      <c r="O15" s="42"/>
      <c r="P15" s="42"/>
      <c r="Q15" s="39"/>
      <c r="R15" s="40">
        <f t="shared" si="0"/>
        <v>114</v>
      </c>
      <c r="S15" s="8">
        <f t="shared" si="1"/>
        <v>0.28499999999999998</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32</v>
      </c>
      <c r="C33" s="45">
        <f t="shared" ref="C33" si="2">SUM(C13:C32)</f>
        <v>1569</v>
      </c>
      <c r="D33" s="46">
        <f t="shared" ref="D33:R33" si="3">SUM(D13:D32)</f>
        <v>327</v>
      </c>
      <c r="E33" s="47">
        <f t="shared" si="3"/>
        <v>1557</v>
      </c>
      <c r="F33" s="47">
        <f t="shared" si="3"/>
        <v>349</v>
      </c>
      <c r="G33" s="47">
        <f t="shared" ref="G33:H33" si="4">SUM(G13:G32)</f>
        <v>336</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349</v>
      </c>
      <c r="S33" s="9">
        <f t="shared" si="1"/>
        <v>0.22414900449582531</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pageSetUpPr fitToPage="1"/>
  </sheetPr>
  <dimension ref="A1:O134"/>
  <sheetViews>
    <sheetView showZeros="0" view="pageBreakPreview" zoomScaleNormal="100" zoomScaleSheetLayoutView="100" workbookViewId="0">
      <selection activeCell="H13" sqref="H13"/>
    </sheetView>
  </sheetViews>
  <sheetFormatPr defaultColWidth="11.33203125" defaultRowHeight="18.75" customHeight="1" x14ac:dyDescent="0.2"/>
  <cols>
    <col min="1" max="1" width="2.77734375" style="20" customWidth="1"/>
    <col min="2" max="2" width="16.6640625" style="1" customWidth="1"/>
    <col min="3" max="3" width="8.88671875" style="1" customWidth="1"/>
    <col min="4" max="4" width="2.218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58</v>
      </c>
      <c r="I1" s="18" t="s">
        <v>90</v>
      </c>
    </row>
    <row r="2" spans="1:9" ht="18.75" customHeight="1" x14ac:dyDescent="0.2">
      <c r="G2" s="18" t="s">
        <v>92</v>
      </c>
      <c r="H2" s="95" t="str">
        <f>'様式1-1　プログラムを構成する授業科目（医）'!C2</f>
        <v>関西医科大学</v>
      </c>
      <c r="I2" s="97"/>
    </row>
    <row r="3" spans="1:9" ht="18.75" customHeight="1" x14ac:dyDescent="0.2">
      <c r="G3" s="18"/>
      <c r="H3" s="10"/>
      <c r="I3" s="10"/>
    </row>
    <row r="4" spans="1:9" ht="18.600000000000001" customHeight="1" x14ac:dyDescent="0.2">
      <c r="A4" s="133" t="s">
        <v>35</v>
      </c>
      <c r="B4" s="133"/>
      <c r="C4" s="133"/>
      <c r="D4" s="133"/>
      <c r="E4" s="133"/>
      <c r="F4" s="133"/>
      <c r="G4" s="133"/>
      <c r="H4" s="133"/>
      <c r="I4" s="133"/>
    </row>
    <row r="5" spans="1:9" ht="13.2" customHeight="1" x14ac:dyDescent="0.2">
      <c r="B5" s="3"/>
      <c r="C5" s="3"/>
      <c r="D5" s="3"/>
      <c r="E5" s="3"/>
      <c r="F5" s="3"/>
      <c r="G5" s="3"/>
      <c r="H5" s="3"/>
      <c r="I5" s="3"/>
    </row>
    <row r="6" spans="1:9" ht="18" customHeight="1" x14ac:dyDescent="0.2">
      <c r="A6" s="1" t="s">
        <v>0</v>
      </c>
      <c r="B6" s="10" t="s">
        <v>80</v>
      </c>
      <c r="C6" s="241" t="s">
        <v>81</v>
      </c>
      <c r="D6" s="241"/>
      <c r="E6" s="17">
        <v>994</v>
      </c>
      <c r="F6" s="3" t="s">
        <v>1</v>
      </c>
      <c r="G6" s="3" t="s">
        <v>2</v>
      </c>
      <c r="H6" s="17">
        <v>231</v>
      </c>
      <c r="I6" s="10" t="s">
        <v>1</v>
      </c>
    </row>
    <row r="7" spans="1:9" ht="12" customHeight="1" x14ac:dyDescent="0.2">
      <c r="C7" s="2"/>
      <c r="D7" s="2"/>
      <c r="E7" s="2"/>
      <c r="F7" s="2"/>
      <c r="G7" s="2"/>
      <c r="H7" s="2"/>
      <c r="I7" s="21"/>
    </row>
    <row r="8" spans="1:9" ht="18" customHeight="1" x14ac:dyDescent="0.2">
      <c r="A8" s="1" t="s">
        <v>3</v>
      </c>
      <c r="B8" s="10" t="s">
        <v>82</v>
      </c>
      <c r="E8" s="3"/>
      <c r="F8" s="3"/>
      <c r="G8" s="3"/>
      <c r="H8" s="17">
        <v>15</v>
      </c>
      <c r="I8" s="10" t="s">
        <v>1</v>
      </c>
    </row>
    <row r="9" spans="1:9" ht="9" customHeight="1" x14ac:dyDescent="0.2">
      <c r="B9" s="3"/>
      <c r="C9" s="3"/>
      <c r="D9" s="3"/>
      <c r="E9" s="3"/>
      <c r="F9" s="3"/>
      <c r="G9" s="3"/>
      <c r="H9" s="3"/>
      <c r="I9" s="3"/>
    </row>
    <row r="10" spans="1:9" ht="18" customHeight="1" x14ac:dyDescent="0.2">
      <c r="A10" s="1" t="s">
        <v>4</v>
      </c>
      <c r="B10" s="10" t="s">
        <v>83</v>
      </c>
      <c r="C10" s="3"/>
      <c r="D10" s="3"/>
      <c r="E10" s="3"/>
      <c r="F10" s="3"/>
      <c r="G10" s="3"/>
      <c r="H10" s="3"/>
      <c r="I10" s="3"/>
    </row>
    <row r="11" spans="1:9" ht="18" customHeight="1" x14ac:dyDescent="0.2">
      <c r="B11" s="18" t="s">
        <v>40</v>
      </c>
      <c r="C11" s="236" t="s">
        <v>174</v>
      </c>
      <c r="D11" s="239"/>
      <c r="E11" s="240"/>
      <c r="F11" s="21"/>
      <c r="G11" s="87" t="s">
        <v>10</v>
      </c>
      <c r="H11" s="236" t="s">
        <v>176</v>
      </c>
      <c r="I11" s="240"/>
    </row>
    <row r="12" spans="1:9" ht="10.199999999999999" customHeight="1" x14ac:dyDescent="0.2">
      <c r="B12" s="18"/>
      <c r="C12" s="10"/>
      <c r="D12" s="21"/>
      <c r="E12" s="21"/>
      <c r="F12" s="21"/>
      <c r="G12" s="18"/>
      <c r="H12" s="10"/>
      <c r="I12" s="21"/>
    </row>
    <row r="13" spans="1:9" ht="18" customHeight="1" x14ac:dyDescent="0.2">
      <c r="A13" s="1" t="s">
        <v>7</v>
      </c>
      <c r="B13" s="10" t="s">
        <v>78</v>
      </c>
      <c r="C13" s="3"/>
      <c r="D13" s="3"/>
      <c r="E13" s="3"/>
      <c r="F13" s="3"/>
      <c r="G13" s="3"/>
      <c r="H13" s="3"/>
      <c r="I13" s="3"/>
    </row>
    <row r="14" spans="1:9" ht="18" customHeight="1" x14ac:dyDescent="0.2">
      <c r="B14" s="236" t="s">
        <v>170</v>
      </c>
      <c r="C14" s="237"/>
      <c r="D14" s="237"/>
      <c r="E14" s="237"/>
      <c r="F14" s="237"/>
      <c r="G14" s="237"/>
      <c r="H14" s="237"/>
      <c r="I14" s="238"/>
    </row>
    <row r="15" spans="1:9" ht="9" customHeight="1" x14ac:dyDescent="0.2">
      <c r="B15" s="3"/>
      <c r="C15" s="3"/>
      <c r="D15" s="3"/>
      <c r="E15" s="3"/>
      <c r="F15" s="3"/>
      <c r="G15" s="3"/>
      <c r="H15" s="3"/>
      <c r="I15" s="3"/>
    </row>
    <row r="16" spans="1:9" ht="18" customHeight="1" x14ac:dyDescent="0.2">
      <c r="B16" s="18" t="s">
        <v>40</v>
      </c>
      <c r="C16" s="236" t="s">
        <v>174</v>
      </c>
      <c r="D16" s="239"/>
      <c r="E16" s="240"/>
      <c r="F16" s="21"/>
      <c r="G16" s="18" t="s">
        <v>10</v>
      </c>
      <c r="H16" s="236" t="s">
        <v>175</v>
      </c>
      <c r="I16" s="240"/>
    </row>
    <row r="17" spans="1:9" ht="18" customHeight="1" x14ac:dyDescent="0.2">
      <c r="B17" s="3"/>
      <c r="C17" s="3"/>
      <c r="D17" s="3"/>
      <c r="E17" s="3"/>
      <c r="F17" s="3"/>
      <c r="G17" s="3"/>
      <c r="H17" s="3"/>
      <c r="I17" s="3"/>
    </row>
    <row r="18" spans="1:9" ht="18.75" customHeight="1" x14ac:dyDescent="0.2">
      <c r="A18" s="1" t="s">
        <v>5</v>
      </c>
      <c r="B18" s="1" t="s">
        <v>39</v>
      </c>
      <c r="I18" s="3"/>
    </row>
    <row r="19" spans="1:9" ht="18.75" customHeight="1" x14ac:dyDescent="0.2">
      <c r="A19" s="1"/>
      <c r="B19" s="222" t="s">
        <v>171</v>
      </c>
      <c r="C19" s="223"/>
      <c r="D19" s="223"/>
      <c r="E19" s="223"/>
      <c r="F19" s="223"/>
      <c r="G19" s="223"/>
      <c r="H19" s="223"/>
      <c r="I19" s="224"/>
    </row>
    <row r="20" spans="1:9" ht="7.5" customHeight="1" x14ac:dyDescent="0.2">
      <c r="B20" s="3"/>
      <c r="C20" s="3"/>
      <c r="D20" s="3"/>
      <c r="E20" s="3"/>
      <c r="F20" s="3"/>
      <c r="G20" s="3"/>
      <c r="H20" s="3"/>
      <c r="I20" s="3"/>
    </row>
    <row r="21" spans="1:9" ht="18.75" customHeight="1" x14ac:dyDescent="0.2">
      <c r="A21" s="1" t="s">
        <v>8</v>
      </c>
      <c r="B21" s="1" t="s">
        <v>24</v>
      </c>
    </row>
    <row r="22" spans="1:9" ht="18.75" customHeight="1" x14ac:dyDescent="0.2">
      <c r="A22" s="14"/>
      <c r="B22" s="225" t="s">
        <v>173</v>
      </c>
      <c r="C22" s="226"/>
      <c r="D22" s="226"/>
      <c r="E22" s="226"/>
      <c r="F22" s="226"/>
      <c r="G22" s="226"/>
      <c r="H22" s="226"/>
      <c r="I22" s="227"/>
    </row>
    <row r="23" spans="1:9" ht="18.75" customHeight="1" x14ac:dyDescent="0.2">
      <c r="A23" s="14"/>
      <c r="B23" s="228"/>
      <c r="C23" s="229"/>
      <c r="D23" s="229"/>
      <c r="E23" s="229"/>
      <c r="F23" s="229"/>
      <c r="G23" s="229"/>
      <c r="H23" s="229"/>
      <c r="I23" s="230"/>
    </row>
    <row r="24" spans="1:9" ht="18.75" customHeight="1" x14ac:dyDescent="0.2">
      <c r="A24" s="14"/>
      <c r="B24" s="228"/>
      <c r="C24" s="229"/>
      <c r="D24" s="229"/>
      <c r="E24" s="229"/>
      <c r="F24" s="229"/>
      <c r="G24" s="229"/>
      <c r="H24" s="229"/>
      <c r="I24" s="230"/>
    </row>
    <row r="25" spans="1:9" ht="18.75" customHeight="1" x14ac:dyDescent="0.2">
      <c r="A25" s="14"/>
      <c r="B25" s="228"/>
      <c r="C25" s="229"/>
      <c r="D25" s="229"/>
      <c r="E25" s="229"/>
      <c r="F25" s="229"/>
      <c r="G25" s="229"/>
      <c r="H25" s="229"/>
      <c r="I25" s="230"/>
    </row>
    <row r="26" spans="1:9" ht="18.75" customHeight="1" x14ac:dyDescent="0.2">
      <c r="A26" s="14"/>
      <c r="B26" s="228"/>
      <c r="C26" s="229"/>
      <c r="D26" s="229"/>
      <c r="E26" s="229"/>
      <c r="F26" s="229"/>
      <c r="G26" s="229"/>
      <c r="H26" s="229"/>
      <c r="I26" s="230"/>
    </row>
    <row r="27" spans="1:9" ht="18.75" customHeight="1" x14ac:dyDescent="0.2">
      <c r="A27" s="14"/>
      <c r="B27" s="228"/>
      <c r="C27" s="229"/>
      <c r="D27" s="229"/>
      <c r="E27" s="229"/>
      <c r="F27" s="229"/>
      <c r="G27" s="229"/>
      <c r="H27" s="229"/>
      <c r="I27" s="230"/>
    </row>
    <row r="28" spans="1:9" ht="18.75" customHeight="1" x14ac:dyDescent="0.2">
      <c r="A28" s="14"/>
      <c r="B28" s="228"/>
      <c r="C28" s="229"/>
      <c r="D28" s="229"/>
      <c r="E28" s="229"/>
      <c r="F28" s="229"/>
      <c r="G28" s="229"/>
      <c r="H28" s="229"/>
      <c r="I28" s="230"/>
    </row>
    <row r="29" spans="1:9" ht="18.75" customHeight="1" x14ac:dyDescent="0.2">
      <c r="A29" s="14"/>
      <c r="B29" s="228"/>
      <c r="C29" s="229"/>
      <c r="D29" s="229"/>
      <c r="E29" s="229"/>
      <c r="F29" s="229"/>
      <c r="G29" s="229"/>
      <c r="H29" s="229"/>
      <c r="I29" s="230"/>
    </row>
    <row r="30" spans="1:9" ht="18.75" customHeight="1" x14ac:dyDescent="0.2">
      <c r="A30" s="14"/>
      <c r="B30" s="231"/>
      <c r="C30" s="232"/>
      <c r="D30" s="232"/>
      <c r="E30" s="232"/>
      <c r="F30" s="232"/>
      <c r="G30" s="232"/>
      <c r="H30" s="232"/>
      <c r="I30" s="230"/>
    </row>
    <row r="31" spans="1:9" ht="18.75" customHeight="1" x14ac:dyDescent="0.2">
      <c r="A31" s="14"/>
      <c r="B31" s="231"/>
      <c r="C31" s="232"/>
      <c r="D31" s="232"/>
      <c r="E31" s="232"/>
      <c r="F31" s="232"/>
      <c r="G31" s="232"/>
      <c r="H31" s="232"/>
      <c r="I31" s="230"/>
    </row>
    <row r="32" spans="1:9" ht="18.75" customHeight="1" x14ac:dyDescent="0.2">
      <c r="A32" s="14"/>
      <c r="B32" s="233"/>
      <c r="C32" s="234"/>
      <c r="D32" s="234"/>
      <c r="E32" s="234"/>
      <c r="F32" s="234"/>
      <c r="G32" s="234"/>
      <c r="H32" s="234"/>
      <c r="I32" s="235"/>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246" t="s">
        <v>172</v>
      </c>
      <c r="C35" s="191"/>
      <c r="D35" s="191"/>
      <c r="E35" s="191" t="s">
        <v>177</v>
      </c>
      <c r="F35" s="191"/>
      <c r="G35" s="191"/>
      <c r="H35" s="191"/>
      <c r="I35" s="88"/>
    </row>
    <row r="36" spans="1:9" ht="18.75" customHeight="1" x14ac:dyDescent="0.2">
      <c r="A36" s="14"/>
      <c r="B36" s="247"/>
      <c r="C36" s="192"/>
      <c r="D36" s="192"/>
      <c r="E36" s="192"/>
      <c r="F36" s="192"/>
      <c r="G36" s="192"/>
      <c r="H36" s="192"/>
      <c r="I36" s="89"/>
    </row>
    <row r="37" spans="1:9" ht="18.75" customHeight="1" x14ac:dyDescent="0.2">
      <c r="A37" s="14"/>
      <c r="B37" s="247"/>
      <c r="C37" s="192"/>
      <c r="D37" s="192"/>
      <c r="E37" s="192"/>
      <c r="F37" s="192"/>
      <c r="G37" s="192"/>
      <c r="H37" s="192"/>
      <c r="I37" s="89"/>
    </row>
    <row r="38" spans="1:9" ht="18.75" customHeight="1" x14ac:dyDescent="0.2">
      <c r="A38" s="14"/>
      <c r="B38" s="247"/>
      <c r="C38" s="192"/>
      <c r="D38" s="192"/>
      <c r="E38" s="192"/>
      <c r="F38" s="192"/>
      <c r="G38" s="192"/>
      <c r="H38" s="192"/>
      <c r="I38" s="89"/>
    </row>
    <row r="39" spans="1:9" ht="18.75" customHeight="1" x14ac:dyDescent="0.2">
      <c r="A39" s="14"/>
      <c r="B39" s="247"/>
      <c r="C39" s="192"/>
      <c r="D39" s="192"/>
      <c r="E39" s="192"/>
      <c r="F39" s="192"/>
      <c r="G39" s="192"/>
      <c r="H39" s="192"/>
      <c r="I39" s="89"/>
    </row>
    <row r="40" spans="1:9" ht="18.75" customHeight="1" x14ac:dyDescent="0.2">
      <c r="A40" s="14"/>
      <c r="B40" s="247"/>
      <c r="C40" s="192"/>
      <c r="D40" s="192"/>
      <c r="E40" s="192"/>
      <c r="F40" s="192"/>
      <c r="G40" s="192"/>
      <c r="H40" s="192"/>
      <c r="I40" s="89"/>
    </row>
    <row r="41" spans="1:9" ht="18.75" customHeight="1" x14ac:dyDescent="0.2">
      <c r="A41" s="14"/>
      <c r="B41" s="247"/>
      <c r="C41" s="192"/>
      <c r="D41" s="192"/>
      <c r="E41" s="192"/>
      <c r="F41" s="192"/>
      <c r="G41" s="192"/>
      <c r="H41" s="192"/>
      <c r="I41" s="89"/>
    </row>
    <row r="42" spans="1:9" ht="18.75" customHeight="1" x14ac:dyDescent="0.2">
      <c r="A42" s="14"/>
      <c r="B42" s="247"/>
      <c r="C42" s="192"/>
      <c r="D42" s="192"/>
      <c r="E42" s="192"/>
      <c r="F42" s="192"/>
      <c r="G42" s="192"/>
      <c r="H42" s="192"/>
      <c r="I42" s="89"/>
    </row>
    <row r="43" spans="1:9" ht="18.75" customHeight="1" x14ac:dyDescent="0.2">
      <c r="A43" s="14"/>
      <c r="B43" s="247"/>
      <c r="C43" s="192"/>
      <c r="D43" s="192"/>
      <c r="E43" s="192"/>
      <c r="F43" s="192"/>
      <c r="G43" s="192"/>
      <c r="H43" s="192"/>
      <c r="I43" s="89"/>
    </row>
    <row r="44" spans="1:9" ht="18.75" customHeight="1" x14ac:dyDescent="0.2">
      <c r="A44" s="14"/>
      <c r="B44" s="247"/>
      <c r="C44" s="192"/>
      <c r="D44" s="192"/>
      <c r="E44" s="192"/>
      <c r="F44" s="192"/>
      <c r="G44" s="192"/>
      <c r="H44" s="192"/>
      <c r="I44" s="89"/>
    </row>
    <row r="45" spans="1:9" ht="18.75" customHeight="1" x14ac:dyDescent="0.2">
      <c r="A45" s="14"/>
      <c r="B45" s="247"/>
      <c r="C45" s="192"/>
      <c r="D45" s="192"/>
      <c r="E45" s="192"/>
      <c r="F45" s="192"/>
      <c r="G45" s="192"/>
      <c r="H45" s="192"/>
      <c r="I45" s="89"/>
    </row>
    <row r="46" spans="1:9" ht="18.75" customHeight="1" x14ac:dyDescent="0.2">
      <c r="A46" s="14"/>
      <c r="B46" s="248"/>
      <c r="C46" s="193"/>
      <c r="D46" s="193"/>
      <c r="E46" s="193"/>
      <c r="F46" s="193"/>
      <c r="G46" s="193"/>
      <c r="H46" s="193"/>
      <c r="I46" s="90"/>
    </row>
    <row r="47" spans="1:9" ht="7.5" customHeight="1" x14ac:dyDescent="0.2">
      <c r="A47" s="4"/>
      <c r="B47" s="4"/>
      <c r="C47" s="4"/>
      <c r="D47" s="4"/>
      <c r="E47" s="4"/>
      <c r="F47" s="4"/>
      <c r="G47" s="4"/>
      <c r="H47" s="4"/>
      <c r="I47" s="4"/>
    </row>
    <row r="48" spans="1:9" ht="18.75" customHeight="1" x14ac:dyDescent="0.2">
      <c r="A48" s="1" t="s">
        <v>30</v>
      </c>
      <c r="B48" s="1" t="s">
        <v>104</v>
      </c>
    </row>
    <row r="49" spans="1:15" s="3" customFormat="1" ht="18.75" customHeight="1" x14ac:dyDescent="0.2">
      <c r="B49" s="81" t="s">
        <v>129</v>
      </c>
      <c r="C49" s="211">
        <f>'様式２ 履修者等数の実績'!S33</f>
        <v>0.22414900449582531</v>
      </c>
      <c r="D49" s="211"/>
      <c r="E49" s="81" t="s">
        <v>59</v>
      </c>
      <c r="F49" s="211">
        <v>0.44</v>
      </c>
      <c r="G49" s="211"/>
      <c r="H49" s="81" t="s">
        <v>79</v>
      </c>
      <c r="I49" s="22">
        <v>0.65</v>
      </c>
      <c r="J49" s="1"/>
      <c r="M49" s="1"/>
      <c r="N49" s="23"/>
    </row>
    <row r="50" spans="1:15" s="3" customFormat="1" ht="18.75" customHeight="1" x14ac:dyDescent="0.2">
      <c r="B50" s="82" t="s">
        <v>115</v>
      </c>
      <c r="C50" s="194">
        <v>0.86</v>
      </c>
      <c r="D50" s="194"/>
      <c r="E50" s="82" t="s">
        <v>130</v>
      </c>
      <c r="F50" s="194">
        <v>1</v>
      </c>
      <c r="G50" s="194"/>
      <c r="H50" s="82" t="s">
        <v>60</v>
      </c>
      <c r="I50" s="24">
        <f>'様式２ 履修者等数の実績'!E33</f>
        <v>1557</v>
      </c>
      <c r="J50" s="1"/>
      <c r="M50" s="1"/>
      <c r="N50" s="23"/>
    </row>
    <row r="51" spans="1:15" ht="18.75" customHeight="1" x14ac:dyDescent="0.2">
      <c r="A51" s="1"/>
      <c r="B51" s="243" t="s">
        <v>61</v>
      </c>
      <c r="C51" s="244"/>
      <c r="D51" s="244"/>
      <c r="E51" s="244"/>
      <c r="F51" s="244"/>
      <c r="G51" s="244"/>
      <c r="H51" s="244"/>
      <c r="I51" s="245"/>
      <c r="N51" s="23"/>
      <c r="O51" s="3"/>
    </row>
    <row r="52" spans="1:15" ht="18.75" customHeight="1" x14ac:dyDescent="0.2">
      <c r="A52" s="1"/>
      <c r="B52" s="212" t="s">
        <v>167</v>
      </c>
      <c r="C52" s="213"/>
      <c r="D52" s="213"/>
      <c r="E52" s="213"/>
      <c r="F52" s="213"/>
      <c r="G52" s="213"/>
      <c r="H52" s="213"/>
      <c r="I52" s="214"/>
      <c r="N52" s="23"/>
      <c r="O52" s="3"/>
    </row>
    <row r="53" spans="1:15" ht="18.75" customHeight="1" x14ac:dyDescent="0.2">
      <c r="A53" s="1"/>
      <c r="B53" s="215"/>
      <c r="C53" s="216"/>
      <c r="D53" s="216"/>
      <c r="E53" s="216"/>
      <c r="F53" s="216"/>
      <c r="G53" s="216"/>
      <c r="H53" s="216"/>
      <c r="I53" s="217"/>
      <c r="N53" s="23"/>
      <c r="O53" s="3"/>
    </row>
    <row r="54" spans="1:15" ht="18.75" customHeight="1" x14ac:dyDescent="0.2">
      <c r="A54" s="1"/>
      <c r="B54" s="215"/>
      <c r="C54" s="216"/>
      <c r="D54" s="216"/>
      <c r="E54" s="216"/>
      <c r="F54" s="216"/>
      <c r="G54" s="216"/>
      <c r="H54" s="216"/>
      <c r="I54" s="217"/>
    </row>
    <row r="55" spans="1:15" ht="18.75" customHeight="1" x14ac:dyDescent="0.2">
      <c r="A55" s="1"/>
      <c r="B55" s="215"/>
      <c r="C55" s="216"/>
      <c r="D55" s="216"/>
      <c r="E55" s="216"/>
      <c r="F55" s="216"/>
      <c r="G55" s="216"/>
      <c r="H55" s="216"/>
      <c r="I55" s="217"/>
    </row>
    <row r="56" spans="1:15" ht="18.75" customHeight="1" x14ac:dyDescent="0.2">
      <c r="A56" s="1"/>
      <c r="B56" s="215"/>
      <c r="C56" s="216"/>
      <c r="D56" s="216"/>
      <c r="E56" s="216"/>
      <c r="F56" s="216"/>
      <c r="G56" s="216"/>
      <c r="H56" s="216"/>
      <c r="I56" s="217"/>
    </row>
    <row r="57" spans="1:15" ht="18.75" customHeight="1" x14ac:dyDescent="0.2">
      <c r="A57" s="1"/>
      <c r="B57" s="215"/>
      <c r="C57" s="216"/>
      <c r="D57" s="216"/>
      <c r="E57" s="216"/>
      <c r="F57" s="216"/>
      <c r="G57" s="216"/>
      <c r="H57" s="216"/>
      <c r="I57" s="217"/>
    </row>
    <row r="58" spans="1:15" ht="18.75" customHeight="1" x14ac:dyDescent="0.2">
      <c r="A58" s="1"/>
      <c r="B58" s="215"/>
      <c r="C58" s="216"/>
      <c r="D58" s="216"/>
      <c r="E58" s="216"/>
      <c r="F58" s="216"/>
      <c r="G58" s="216"/>
      <c r="H58" s="216"/>
      <c r="I58" s="217"/>
    </row>
    <row r="59" spans="1:15" ht="18.75" customHeight="1" x14ac:dyDescent="0.2">
      <c r="A59" s="1"/>
      <c r="B59" s="215"/>
      <c r="C59" s="216"/>
      <c r="D59" s="216"/>
      <c r="E59" s="216"/>
      <c r="F59" s="216"/>
      <c r="G59" s="216"/>
      <c r="H59" s="216"/>
      <c r="I59" s="217"/>
    </row>
    <row r="60" spans="1:15" ht="18.75" customHeight="1" x14ac:dyDescent="0.2">
      <c r="A60" s="1"/>
      <c r="B60" s="215"/>
      <c r="C60" s="216"/>
      <c r="D60" s="216"/>
      <c r="E60" s="216"/>
      <c r="F60" s="216"/>
      <c r="G60" s="216"/>
      <c r="H60" s="216"/>
      <c r="I60" s="217"/>
    </row>
    <row r="61" spans="1:15" ht="18.75" customHeight="1" x14ac:dyDescent="0.2">
      <c r="A61" s="1"/>
      <c r="B61" s="215"/>
      <c r="C61" s="216"/>
      <c r="D61" s="216"/>
      <c r="E61" s="216"/>
      <c r="F61" s="216"/>
      <c r="G61" s="216"/>
      <c r="H61" s="216"/>
      <c r="I61" s="217"/>
    </row>
    <row r="62" spans="1:15" ht="18.75" customHeight="1" x14ac:dyDescent="0.2">
      <c r="A62" s="1"/>
      <c r="B62" s="215"/>
      <c r="C62" s="216"/>
      <c r="D62" s="216"/>
      <c r="E62" s="216"/>
      <c r="F62" s="216"/>
      <c r="G62" s="216"/>
      <c r="H62" s="216"/>
      <c r="I62" s="217"/>
    </row>
    <row r="63" spans="1:15" ht="18.75" customHeight="1" x14ac:dyDescent="0.2">
      <c r="A63" s="1"/>
      <c r="B63" s="218"/>
      <c r="C63" s="219"/>
      <c r="D63" s="219"/>
      <c r="E63" s="219"/>
      <c r="F63" s="219"/>
      <c r="G63" s="219"/>
      <c r="H63" s="219"/>
      <c r="I63" s="220"/>
    </row>
    <row r="64" spans="1:15" ht="7.5" customHeight="1" x14ac:dyDescent="0.2">
      <c r="A64" s="14"/>
      <c r="B64" s="14"/>
      <c r="C64" s="14"/>
      <c r="D64" s="14"/>
      <c r="E64" s="14"/>
      <c r="F64" s="14"/>
      <c r="G64" s="14"/>
      <c r="H64" s="14"/>
      <c r="I64" s="14"/>
    </row>
    <row r="65" spans="1:9" ht="18.75" customHeight="1" x14ac:dyDescent="0.2">
      <c r="A65" s="15" t="s">
        <v>33</v>
      </c>
      <c r="B65" s="1" t="s">
        <v>36</v>
      </c>
      <c r="I65" s="15"/>
    </row>
    <row r="66" spans="1:9" ht="18.75" customHeight="1" x14ac:dyDescent="0.2">
      <c r="A66" s="4"/>
      <c r="B66" s="195" t="s">
        <v>179</v>
      </c>
      <c r="C66" s="196"/>
      <c r="D66" s="196"/>
      <c r="E66" s="196"/>
      <c r="F66" s="196"/>
      <c r="G66" s="196"/>
      <c r="H66" s="196"/>
      <c r="I66" s="197"/>
    </row>
    <row r="67" spans="1:9" ht="18.75" customHeight="1" x14ac:dyDescent="0.2">
      <c r="A67" s="4"/>
      <c r="B67" s="198"/>
      <c r="C67" s="199"/>
      <c r="D67" s="199"/>
      <c r="E67" s="199"/>
      <c r="F67" s="199"/>
      <c r="G67" s="199"/>
      <c r="H67" s="199"/>
      <c r="I67" s="200"/>
    </row>
    <row r="68" spans="1:9" ht="18.75" customHeight="1" x14ac:dyDescent="0.2">
      <c r="A68" s="4"/>
      <c r="B68" s="198"/>
      <c r="C68" s="199"/>
      <c r="D68" s="199"/>
      <c r="E68" s="199"/>
      <c r="F68" s="199"/>
      <c r="G68" s="199"/>
      <c r="H68" s="199"/>
      <c r="I68" s="200"/>
    </row>
    <row r="69" spans="1:9" ht="18.75" customHeight="1" x14ac:dyDescent="0.2">
      <c r="A69" s="4"/>
      <c r="B69" s="198"/>
      <c r="C69" s="199"/>
      <c r="D69" s="199"/>
      <c r="E69" s="199"/>
      <c r="F69" s="199"/>
      <c r="G69" s="199"/>
      <c r="H69" s="199"/>
      <c r="I69" s="200"/>
    </row>
    <row r="70" spans="1:9" ht="18.75" customHeight="1" x14ac:dyDescent="0.2">
      <c r="A70" s="4"/>
      <c r="B70" s="198"/>
      <c r="C70" s="199"/>
      <c r="D70" s="199"/>
      <c r="E70" s="199"/>
      <c r="F70" s="199"/>
      <c r="G70" s="199"/>
      <c r="H70" s="199"/>
      <c r="I70" s="200"/>
    </row>
    <row r="71" spans="1:9" ht="18.75" customHeight="1" x14ac:dyDescent="0.2">
      <c r="A71" s="4"/>
      <c r="B71" s="198"/>
      <c r="C71" s="199"/>
      <c r="D71" s="199"/>
      <c r="E71" s="199"/>
      <c r="F71" s="199"/>
      <c r="G71" s="199"/>
      <c r="H71" s="199"/>
      <c r="I71" s="200"/>
    </row>
    <row r="72" spans="1:9" ht="18.75" customHeight="1" x14ac:dyDescent="0.2">
      <c r="A72" s="4"/>
      <c r="B72" s="198"/>
      <c r="C72" s="199"/>
      <c r="D72" s="199"/>
      <c r="E72" s="199"/>
      <c r="F72" s="199"/>
      <c r="G72" s="199"/>
      <c r="H72" s="199"/>
      <c r="I72" s="200"/>
    </row>
    <row r="73" spans="1:9" ht="18.75" customHeight="1" x14ac:dyDescent="0.2">
      <c r="A73" s="4"/>
      <c r="B73" s="198"/>
      <c r="C73" s="199"/>
      <c r="D73" s="199"/>
      <c r="E73" s="199"/>
      <c r="F73" s="199"/>
      <c r="G73" s="199"/>
      <c r="H73" s="199"/>
      <c r="I73" s="200"/>
    </row>
    <row r="74" spans="1:9" ht="18.75" customHeight="1" x14ac:dyDescent="0.2">
      <c r="A74" s="4"/>
      <c r="B74" s="198"/>
      <c r="C74" s="199"/>
      <c r="D74" s="199"/>
      <c r="E74" s="199"/>
      <c r="F74" s="199"/>
      <c r="G74" s="199"/>
      <c r="H74" s="199"/>
      <c r="I74" s="200"/>
    </row>
    <row r="75" spans="1:9" ht="18.75" customHeight="1" x14ac:dyDescent="0.2">
      <c r="A75" s="4"/>
      <c r="B75" s="198"/>
      <c r="C75" s="199"/>
      <c r="D75" s="199"/>
      <c r="E75" s="199"/>
      <c r="F75" s="199"/>
      <c r="G75" s="199"/>
      <c r="H75" s="199"/>
      <c r="I75" s="200"/>
    </row>
    <row r="76" spans="1:9" ht="18.75" customHeight="1" x14ac:dyDescent="0.2">
      <c r="A76" s="4"/>
      <c r="B76" s="198"/>
      <c r="C76" s="199"/>
      <c r="D76" s="199"/>
      <c r="E76" s="199"/>
      <c r="F76" s="199"/>
      <c r="G76" s="199"/>
      <c r="H76" s="199"/>
      <c r="I76" s="200"/>
    </row>
    <row r="77" spans="1:9" ht="18.75" customHeight="1" x14ac:dyDescent="0.2">
      <c r="A77" s="4"/>
      <c r="B77" s="201"/>
      <c r="C77" s="202"/>
      <c r="D77" s="202"/>
      <c r="E77" s="202"/>
      <c r="F77" s="202"/>
      <c r="G77" s="202"/>
      <c r="H77" s="202"/>
      <c r="I77" s="203"/>
    </row>
    <row r="78" spans="1:9" ht="7.5" customHeight="1" x14ac:dyDescent="0.2">
      <c r="A78" s="4"/>
      <c r="B78" s="4"/>
      <c r="C78" s="4"/>
      <c r="D78" s="4"/>
      <c r="E78" s="4"/>
      <c r="F78" s="4"/>
      <c r="G78" s="4"/>
      <c r="H78" s="4"/>
      <c r="I78" s="4"/>
    </row>
    <row r="79" spans="1:9" ht="18.75" customHeight="1" x14ac:dyDescent="0.2">
      <c r="A79" s="1" t="s">
        <v>11</v>
      </c>
      <c r="B79" s="1" t="s">
        <v>38</v>
      </c>
    </row>
    <row r="80" spans="1:9" ht="18.75" customHeight="1" x14ac:dyDescent="0.2">
      <c r="A80" s="1"/>
      <c r="B80" s="195" t="s">
        <v>180</v>
      </c>
      <c r="C80" s="196"/>
      <c r="D80" s="196"/>
      <c r="E80" s="196"/>
      <c r="F80" s="196"/>
      <c r="G80" s="196"/>
      <c r="H80" s="196"/>
      <c r="I80" s="204"/>
    </row>
    <row r="81" spans="1:9" ht="18.75" customHeight="1" x14ac:dyDescent="0.2">
      <c r="A81" s="1"/>
      <c r="B81" s="205"/>
      <c r="C81" s="206"/>
      <c r="D81" s="206"/>
      <c r="E81" s="206"/>
      <c r="F81" s="206"/>
      <c r="G81" s="206"/>
      <c r="H81" s="206"/>
      <c r="I81" s="207"/>
    </row>
    <row r="82" spans="1:9" ht="18.75" customHeight="1" x14ac:dyDescent="0.2">
      <c r="A82" s="1"/>
      <c r="B82" s="205"/>
      <c r="C82" s="206"/>
      <c r="D82" s="206"/>
      <c r="E82" s="206"/>
      <c r="F82" s="206"/>
      <c r="G82" s="206"/>
      <c r="H82" s="206"/>
      <c r="I82" s="207"/>
    </row>
    <row r="83" spans="1:9" ht="18.75" customHeight="1" x14ac:dyDescent="0.2">
      <c r="A83" s="1"/>
      <c r="B83" s="205"/>
      <c r="C83" s="206"/>
      <c r="D83" s="206"/>
      <c r="E83" s="206"/>
      <c r="F83" s="206"/>
      <c r="G83" s="206"/>
      <c r="H83" s="206"/>
      <c r="I83" s="207"/>
    </row>
    <row r="84" spans="1:9" ht="18.75" customHeight="1" x14ac:dyDescent="0.2">
      <c r="A84" s="1"/>
      <c r="B84" s="205"/>
      <c r="C84" s="206"/>
      <c r="D84" s="206"/>
      <c r="E84" s="206"/>
      <c r="F84" s="206"/>
      <c r="G84" s="206"/>
      <c r="H84" s="206"/>
      <c r="I84" s="207"/>
    </row>
    <row r="85" spans="1:9" ht="18.75" customHeight="1" x14ac:dyDescent="0.2">
      <c r="A85" s="1"/>
      <c r="B85" s="205"/>
      <c r="C85" s="206"/>
      <c r="D85" s="206"/>
      <c r="E85" s="206"/>
      <c r="F85" s="206"/>
      <c r="G85" s="206"/>
      <c r="H85" s="206"/>
      <c r="I85" s="207"/>
    </row>
    <row r="86" spans="1:9" ht="18.75" customHeight="1" x14ac:dyDescent="0.2">
      <c r="A86" s="1"/>
      <c r="B86" s="205"/>
      <c r="C86" s="206"/>
      <c r="D86" s="206"/>
      <c r="E86" s="206"/>
      <c r="F86" s="206"/>
      <c r="G86" s="206"/>
      <c r="H86" s="206"/>
      <c r="I86" s="207"/>
    </row>
    <row r="87" spans="1:9" ht="18.75" customHeight="1" x14ac:dyDescent="0.2">
      <c r="A87" s="1"/>
      <c r="B87" s="205"/>
      <c r="C87" s="206"/>
      <c r="D87" s="206"/>
      <c r="E87" s="206"/>
      <c r="F87" s="206"/>
      <c r="G87" s="206"/>
      <c r="H87" s="206"/>
      <c r="I87" s="207"/>
    </row>
    <row r="88" spans="1:9" ht="18.75" customHeight="1" x14ac:dyDescent="0.2">
      <c r="A88" s="1"/>
      <c r="B88" s="205"/>
      <c r="C88" s="206"/>
      <c r="D88" s="206"/>
      <c r="E88" s="206"/>
      <c r="F88" s="206"/>
      <c r="G88" s="206"/>
      <c r="H88" s="206"/>
      <c r="I88" s="207"/>
    </row>
    <row r="89" spans="1:9" ht="18.75" customHeight="1" x14ac:dyDescent="0.2">
      <c r="A89" s="1"/>
      <c r="B89" s="205"/>
      <c r="C89" s="206"/>
      <c r="D89" s="206"/>
      <c r="E89" s="206"/>
      <c r="F89" s="206"/>
      <c r="G89" s="206"/>
      <c r="H89" s="206"/>
      <c r="I89" s="207"/>
    </row>
    <row r="90" spans="1:9" ht="18.75" customHeight="1" x14ac:dyDescent="0.2">
      <c r="A90" s="4"/>
      <c r="B90" s="205"/>
      <c r="C90" s="206"/>
      <c r="D90" s="206"/>
      <c r="E90" s="206"/>
      <c r="F90" s="206"/>
      <c r="G90" s="206"/>
      <c r="H90" s="206"/>
      <c r="I90" s="207"/>
    </row>
    <row r="91" spans="1:9" ht="18.75" customHeight="1" x14ac:dyDescent="0.2">
      <c r="A91" s="4"/>
      <c r="B91" s="208"/>
      <c r="C91" s="209"/>
      <c r="D91" s="209"/>
      <c r="E91" s="209"/>
      <c r="F91" s="209"/>
      <c r="G91" s="209"/>
      <c r="H91" s="209"/>
      <c r="I91" s="210"/>
    </row>
    <row r="92" spans="1:9" ht="7.5" customHeight="1" x14ac:dyDescent="0.2">
      <c r="A92" s="4"/>
      <c r="B92" s="4"/>
      <c r="C92" s="4"/>
      <c r="D92" s="4"/>
      <c r="E92" s="4"/>
      <c r="F92" s="4"/>
      <c r="G92" s="4"/>
      <c r="H92" s="4"/>
      <c r="I92" s="4"/>
    </row>
    <row r="93" spans="1:9" ht="18.75" customHeight="1" x14ac:dyDescent="0.2">
      <c r="A93" s="1" t="s">
        <v>41</v>
      </c>
      <c r="B93" s="1" t="s">
        <v>12</v>
      </c>
    </row>
    <row r="94" spans="1:9" ht="18.75" customHeight="1" x14ac:dyDescent="0.2">
      <c r="A94" s="1"/>
      <c r="B94" s="225" t="s">
        <v>182</v>
      </c>
      <c r="C94" s="226"/>
      <c r="D94" s="226"/>
      <c r="E94" s="226"/>
      <c r="F94" s="226"/>
      <c r="G94" s="226"/>
      <c r="H94" s="226"/>
      <c r="I94" s="227"/>
    </row>
    <row r="95" spans="1:9" ht="18.75" customHeight="1" x14ac:dyDescent="0.2">
      <c r="A95" s="1"/>
      <c r="B95" s="231"/>
      <c r="C95" s="232"/>
      <c r="D95" s="232"/>
      <c r="E95" s="232"/>
      <c r="F95" s="232"/>
      <c r="G95" s="232"/>
      <c r="H95" s="232"/>
      <c r="I95" s="230"/>
    </row>
    <row r="96" spans="1:9" ht="18.75" customHeight="1" x14ac:dyDescent="0.2">
      <c r="A96" s="1"/>
      <c r="B96" s="231"/>
      <c r="C96" s="232"/>
      <c r="D96" s="232"/>
      <c r="E96" s="232"/>
      <c r="F96" s="232"/>
      <c r="G96" s="232"/>
      <c r="H96" s="232"/>
      <c r="I96" s="230"/>
    </row>
    <row r="97" spans="1:9" ht="18.75" customHeight="1" x14ac:dyDescent="0.2">
      <c r="A97" s="1"/>
      <c r="B97" s="231"/>
      <c r="C97" s="232"/>
      <c r="D97" s="232"/>
      <c r="E97" s="232"/>
      <c r="F97" s="232"/>
      <c r="G97" s="232"/>
      <c r="H97" s="232"/>
      <c r="I97" s="230"/>
    </row>
    <row r="98" spans="1:9" ht="18.75" customHeight="1" x14ac:dyDescent="0.2">
      <c r="A98" s="1"/>
      <c r="B98" s="231"/>
      <c r="C98" s="232"/>
      <c r="D98" s="232"/>
      <c r="E98" s="232"/>
      <c r="F98" s="232"/>
      <c r="G98" s="232"/>
      <c r="H98" s="232"/>
      <c r="I98" s="230"/>
    </row>
    <row r="99" spans="1:9" ht="18.75" customHeight="1" x14ac:dyDescent="0.2">
      <c r="A99" s="1"/>
      <c r="B99" s="231"/>
      <c r="C99" s="232"/>
      <c r="D99" s="232"/>
      <c r="E99" s="232"/>
      <c r="F99" s="232"/>
      <c r="G99" s="232"/>
      <c r="H99" s="232"/>
      <c r="I99" s="230"/>
    </row>
    <row r="100" spans="1:9" ht="18.75" customHeight="1" x14ac:dyDescent="0.2">
      <c r="A100" s="1"/>
      <c r="B100" s="231"/>
      <c r="C100" s="232"/>
      <c r="D100" s="232"/>
      <c r="E100" s="232"/>
      <c r="F100" s="232"/>
      <c r="G100" s="232"/>
      <c r="H100" s="232"/>
      <c r="I100" s="230"/>
    </row>
    <row r="101" spans="1:9" ht="18.75" customHeight="1" x14ac:dyDescent="0.2">
      <c r="A101" s="1"/>
      <c r="B101" s="231"/>
      <c r="C101" s="232"/>
      <c r="D101" s="232"/>
      <c r="E101" s="232"/>
      <c r="F101" s="232"/>
      <c r="G101" s="232"/>
      <c r="H101" s="232"/>
      <c r="I101" s="230"/>
    </row>
    <row r="102" spans="1:9" ht="18.75" customHeight="1" x14ac:dyDescent="0.2">
      <c r="A102" s="1"/>
      <c r="B102" s="231"/>
      <c r="C102" s="232"/>
      <c r="D102" s="232"/>
      <c r="E102" s="232"/>
      <c r="F102" s="232"/>
      <c r="G102" s="232"/>
      <c r="H102" s="232"/>
      <c r="I102" s="230"/>
    </row>
    <row r="103" spans="1:9" ht="18.75" customHeight="1" x14ac:dyDescent="0.2">
      <c r="A103" s="1"/>
      <c r="B103" s="231"/>
      <c r="C103" s="232"/>
      <c r="D103" s="232"/>
      <c r="E103" s="232"/>
      <c r="F103" s="232"/>
      <c r="G103" s="232"/>
      <c r="H103" s="232"/>
      <c r="I103" s="230"/>
    </row>
    <row r="104" spans="1:9" ht="18.75" customHeight="1" x14ac:dyDescent="0.2">
      <c r="A104" s="1"/>
      <c r="B104" s="231"/>
      <c r="C104" s="232"/>
      <c r="D104" s="232"/>
      <c r="E104" s="232"/>
      <c r="F104" s="232"/>
      <c r="G104" s="232"/>
      <c r="H104" s="232"/>
      <c r="I104" s="230"/>
    </row>
    <row r="105" spans="1:9" ht="18.75" customHeight="1" x14ac:dyDescent="0.2">
      <c r="A105" s="4"/>
      <c r="B105" s="233"/>
      <c r="C105" s="234"/>
      <c r="D105" s="234"/>
      <c r="E105" s="234"/>
      <c r="F105" s="234"/>
      <c r="G105" s="234"/>
      <c r="H105" s="234"/>
      <c r="I105" s="235"/>
    </row>
    <row r="106" spans="1:9" ht="7.5" customHeight="1" x14ac:dyDescent="0.2">
      <c r="A106" s="4"/>
      <c r="B106" s="4"/>
      <c r="C106" s="4"/>
      <c r="D106" s="4"/>
      <c r="E106" s="4"/>
      <c r="F106" s="4"/>
      <c r="G106" s="4"/>
      <c r="H106" s="4"/>
      <c r="I106" s="4"/>
    </row>
    <row r="107" spans="1:9" ht="18.75" customHeight="1" x14ac:dyDescent="0.2">
      <c r="A107" s="1" t="s">
        <v>29</v>
      </c>
      <c r="B107" s="242" t="s">
        <v>43</v>
      </c>
      <c r="C107" s="242"/>
      <c r="D107" s="242"/>
      <c r="E107" s="242"/>
      <c r="F107" s="242"/>
      <c r="G107" s="242"/>
      <c r="H107" s="242"/>
      <c r="I107" s="242"/>
    </row>
    <row r="108" spans="1:9" ht="18.75" customHeight="1" x14ac:dyDescent="0.2">
      <c r="A108" s="4"/>
      <c r="B108" s="225" t="s">
        <v>181</v>
      </c>
      <c r="C108" s="226"/>
      <c r="D108" s="226"/>
      <c r="E108" s="226"/>
      <c r="F108" s="226"/>
      <c r="G108" s="226"/>
      <c r="H108" s="226"/>
      <c r="I108" s="227"/>
    </row>
    <row r="109" spans="1:9" ht="18.75" customHeight="1" x14ac:dyDescent="0.2">
      <c r="A109" s="4"/>
      <c r="B109" s="231"/>
      <c r="C109" s="232"/>
      <c r="D109" s="232"/>
      <c r="E109" s="232"/>
      <c r="F109" s="232"/>
      <c r="G109" s="232"/>
      <c r="H109" s="232"/>
      <c r="I109" s="230"/>
    </row>
    <row r="110" spans="1:9" ht="18.75" customHeight="1" x14ac:dyDescent="0.2">
      <c r="A110" s="4"/>
      <c r="B110" s="231"/>
      <c r="C110" s="232"/>
      <c r="D110" s="232"/>
      <c r="E110" s="232"/>
      <c r="F110" s="232"/>
      <c r="G110" s="232"/>
      <c r="H110" s="232"/>
      <c r="I110" s="230"/>
    </row>
    <row r="111" spans="1:9" ht="18.75" customHeight="1" x14ac:dyDescent="0.2">
      <c r="A111" s="4"/>
      <c r="B111" s="231"/>
      <c r="C111" s="232"/>
      <c r="D111" s="232"/>
      <c r="E111" s="232"/>
      <c r="F111" s="232"/>
      <c r="G111" s="232"/>
      <c r="H111" s="232"/>
      <c r="I111" s="230"/>
    </row>
    <row r="112" spans="1:9" ht="18.75" customHeight="1" x14ac:dyDescent="0.2">
      <c r="A112" s="4"/>
      <c r="B112" s="231"/>
      <c r="C112" s="232"/>
      <c r="D112" s="232"/>
      <c r="E112" s="232"/>
      <c r="F112" s="232"/>
      <c r="G112" s="232"/>
      <c r="H112" s="232"/>
      <c r="I112" s="230"/>
    </row>
    <row r="113" spans="1:9" ht="18.75" customHeight="1" x14ac:dyDescent="0.2">
      <c r="A113" s="4"/>
      <c r="B113" s="231"/>
      <c r="C113" s="232"/>
      <c r="D113" s="232"/>
      <c r="E113" s="232"/>
      <c r="F113" s="232"/>
      <c r="G113" s="232"/>
      <c r="H113" s="232"/>
      <c r="I113" s="230"/>
    </row>
    <row r="114" spans="1:9" ht="18.75" customHeight="1" x14ac:dyDescent="0.2">
      <c r="A114" s="4"/>
      <c r="B114" s="231"/>
      <c r="C114" s="232"/>
      <c r="D114" s="232"/>
      <c r="E114" s="232"/>
      <c r="F114" s="232"/>
      <c r="G114" s="232"/>
      <c r="H114" s="232"/>
      <c r="I114" s="230"/>
    </row>
    <row r="115" spans="1:9" ht="18.75" customHeight="1" x14ac:dyDescent="0.2">
      <c r="A115" s="4"/>
      <c r="B115" s="231"/>
      <c r="C115" s="232"/>
      <c r="D115" s="232"/>
      <c r="E115" s="232"/>
      <c r="F115" s="232"/>
      <c r="G115" s="232"/>
      <c r="H115" s="232"/>
      <c r="I115" s="230"/>
    </row>
    <row r="116" spans="1:9" ht="18.75" customHeight="1" x14ac:dyDescent="0.2">
      <c r="A116" s="4"/>
      <c r="B116" s="231"/>
      <c r="C116" s="232"/>
      <c r="D116" s="232"/>
      <c r="E116" s="232"/>
      <c r="F116" s="232"/>
      <c r="G116" s="232"/>
      <c r="H116" s="232"/>
      <c r="I116" s="230"/>
    </row>
    <row r="117" spans="1:9" ht="18.75" customHeight="1" x14ac:dyDescent="0.2">
      <c r="A117" s="4"/>
      <c r="B117" s="231"/>
      <c r="C117" s="232"/>
      <c r="D117" s="232"/>
      <c r="E117" s="232"/>
      <c r="F117" s="232"/>
      <c r="G117" s="232"/>
      <c r="H117" s="232"/>
      <c r="I117" s="230"/>
    </row>
    <row r="118" spans="1:9" ht="18.75" customHeight="1" x14ac:dyDescent="0.2">
      <c r="A118" s="4"/>
      <c r="B118" s="231"/>
      <c r="C118" s="232"/>
      <c r="D118" s="232"/>
      <c r="E118" s="232"/>
      <c r="F118" s="232"/>
      <c r="G118" s="232"/>
      <c r="H118" s="232"/>
      <c r="I118" s="230"/>
    </row>
    <row r="119" spans="1:9" ht="18.75" customHeight="1" x14ac:dyDescent="0.2">
      <c r="A119" s="4"/>
      <c r="B119" s="233"/>
      <c r="C119" s="234"/>
      <c r="D119" s="234"/>
      <c r="E119" s="234"/>
      <c r="F119" s="234"/>
      <c r="G119" s="234"/>
      <c r="H119" s="234"/>
      <c r="I119" s="235"/>
    </row>
    <row r="120" spans="1:9" ht="7.5" customHeight="1" x14ac:dyDescent="0.2">
      <c r="A120" s="4"/>
      <c r="B120" s="25"/>
      <c r="C120" s="25"/>
      <c r="D120" s="25"/>
      <c r="E120" s="25"/>
      <c r="F120" s="25"/>
      <c r="G120" s="25"/>
      <c r="H120" s="25"/>
      <c r="I120" s="25"/>
    </row>
    <row r="121" spans="1:9" ht="18.75" customHeight="1" x14ac:dyDescent="0.2">
      <c r="A121" s="51"/>
      <c r="B121" s="221"/>
      <c r="C121" s="221"/>
      <c r="D121" s="221"/>
      <c r="E121" s="221"/>
      <c r="F121" s="221"/>
      <c r="G121" s="221"/>
      <c r="H121" s="221"/>
      <c r="I121" s="221"/>
    </row>
    <row r="122" spans="1:9" ht="18.75" customHeight="1" x14ac:dyDescent="0.2">
      <c r="A122" s="51"/>
      <c r="B122" s="221"/>
      <c r="C122" s="221"/>
      <c r="D122" s="221"/>
      <c r="E122" s="221"/>
      <c r="F122" s="221"/>
      <c r="G122" s="221"/>
      <c r="H122" s="221"/>
      <c r="I122" s="221"/>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4">
    <mergeCell ref="B121:I122"/>
    <mergeCell ref="H2:I2"/>
    <mergeCell ref="A4:I4"/>
    <mergeCell ref="B19:I19"/>
    <mergeCell ref="B22:I32"/>
    <mergeCell ref="B14:I14"/>
    <mergeCell ref="C16:E16"/>
    <mergeCell ref="H16:I16"/>
    <mergeCell ref="C11:E11"/>
    <mergeCell ref="H11:I11"/>
    <mergeCell ref="C6:D6"/>
    <mergeCell ref="B94:I105"/>
    <mergeCell ref="B107:I107"/>
    <mergeCell ref="B108:I119"/>
    <mergeCell ref="B51:I51"/>
    <mergeCell ref="B35:D46"/>
    <mergeCell ref="E35:H46"/>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I30"/>
  <sheetViews>
    <sheetView showZeros="0" tabSelected="1" view="pageBreakPreview" zoomScale="90" zoomScaleNormal="100" zoomScaleSheetLayoutView="90" workbookViewId="0">
      <selection activeCell="E20" sqref="E20:I20"/>
    </sheetView>
  </sheetViews>
  <sheetFormatPr defaultColWidth="11.33203125" defaultRowHeight="22.5" customHeight="1" x14ac:dyDescent="0.2"/>
  <cols>
    <col min="1" max="3" width="2.77734375" style="1" customWidth="1"/>
    <col min="4" max="4" width="22.21875" style="1" customWidth="1"/>
    <col min="5" max="5" width="30.77734375" style="1" customWidth="1"/>
    <col min="6" max="7" width="7.77734375" style="1" customWidth="1"/>
    <col min="8" max="9" width="30.77734375" style="1" customWidth="1"/>
    <col min="10" max="10" width="4.109375" style="1" customWidth="1"/>
    <col min="11" max="16384" width="11.33203125" style="1"/>
  </cols>
  <sheetData>
    <row r="1" spans="1:9" ht="18.75" customHeight="1" x14ac:dyDescent="0.2">
      <c r="A1" s="1" t="s">
        <v>62</v>
      </c>
      <c r="I1" s="18" t="s">
        <v>89</v>
      </c>
    </row>
    <row r="2" spans="1:9" ht="18.75" customHeight="1" x14ac:dyDescent="0.2">
      <c r="H2" s="18" t="s">
        <v>92</v>
      </c>
      <c r="I2" s="17" t="str">
        <f>'様式1-1　プログラムを構成する授業科目（医）'!C2</f>
        <v>関西医科大学</v>
      </c>
    </row>
    <row r="3" spans="1:9" ht="18.75" customHeight="1" x14ac:dyDescent="0.2">
      <c r="A3" s="133" t="s">
        <v>27</v>
      </c>
      <c r="B3" s="133"/>
      <c r="C3" s="133"/>
      <c r="D3" s="133"/>
      <c r="E3" s="133"/>
      <c r="F3" s="133"/>
      <c r="G3" s="133"/>
      <c r="H3" s="133"/>
      <c r="I3" s="133"/>
    </row>
    <row r="4" spans="1:9" ht="18.75" customHeight="1" x14ac:dyDescent="0.2">
      <c r="A4" s="5"/>
      <c r="B4" s="5"/>
      <c r="C4" s="5"/>
      <c r="D4" s="5"/>
      <c r="E4" s="5"/>
      <c r="F4" s="5"/>
      <c r="G4" s="5"/>
      <c r="H4" s="5"/>
      <c r="I4" s="5"/>
    </row>
    <row r="5" spans="1:9" ht="18.75" customHeight="1" x14ac:dyDescent="0.2">
      <c r="A5" s="1" t="s">
        <v>0</v>
      </c>
      <c r="B5" s="10" t="s">
        <v>84</v>
      </c>
      <c r="C5" s="5"/>
      <c r="D5" s="5"/>
      <c r="E5" s="5"/>
      <c r="F5" s="5"/>
      <c r="G5" s="5"/>
      <c r="H5" s="5"/>
      <c r="I5" s="5"/>
    </row>
    <row r="6" spans="1:9" ht="26.25" customHeight="1" x14ac:dyDescent="0.2">
      <c r="A6" s="5"/>
      <c r="B6" s="236" t="s">
        <v>156</v>
      </c>
      <c r="C6" s="237"/>
      <c r="D6" s="237"/>
      <c r="E6" s="237"/>
      <c r="F6" s="237"/>
      <c r="G6" s="237"/>
      <c r="H6" s="237"/>
      <c r="I6" s="238"/>
    </row>
    <row r="7" spans="1:9" ht="9" customHeight="1" x14ac:dyDescent="0.2">
      <c r="A7" s="5"/>
      <c r="B7" s="10"/>
      <c r="C7" s="10"/>
      <c r="D7" s="10"/>
      <c r="E7" s="10"/>
      <c r="F7" s="10"/>
      <c r="G7" s="10"/>
      <c r="H7" s="10"/>
      <c r="I7" s="3"/>
    </row>
    <row r="8" spans="1:9" ht="18.75" customHeight="1" x14ac:dyDescent="0.2">
      <c r="A8" s="5"/>
      <c r="B8" s="3"/>
      <c r="C8" s="3"/>
      <c r="D8" s="18" t="s">
        <v>40</v>
      </c>
      <c r="E8" s="19" t="s">
        <v>169</v>
      </c>
      <c r="F8" s="3"/>
      <c r="G8" s="18" t="s">
        <v>10</v>
      </c>
      <c r="H8" s="19" t="s">
        <v>158</v>
      </c>
      <c r="I8" s="3"/>
    </row>
    <row r="9" spans="1:9" ht="7.5" customHeight="1" x14ac:dyDescent="0.2">
      <c r="A9" s="5"/>
      <c r="B9" s="5"/>
      <c r="C9" s="5"/>
      <c r="D9" s="5"/>
      <c r="E9" s="5"/>
      <c r="F9" s="5"/>
      <c r="G9" s="5"/>
      <c r="H9" s="5"/>
      <c r="I9" s="5"/>
    </row>
    <row r="10" spans="1:9" ht="18.75" customHeight="1" x14ac:dyDescent="0.2">
      <c r="A10" s="1" t="s">
        <v>3</v>
      </c>
      <c r="B10" s="1" t="s">
        <v>26</v>
      </c>
      <c r="C10" s="4"/>
      <c r="D10" s="4"/>
      <c r="E10" s="4"/>
      <c r="F10" s="4"/>
      <c r="G10" s="4"/>
      <c r="H10" s="4"/>
      <c r="I10" s="4"/>
    </row>
    <row r="11" spans="1:9" ht="18.75" customHeight="1" x14ac:dyDescent="0.2">
      <c r="B11" s="95" t="s">
        <v>23</v>
      </c>
      <c r="C11" s="96"/>
      <c r="D11" s="97"/>
      <c r="E11" s="96" t="s">
        <v>25</v>
      </c>
      <c r="F11" s="96"/>
      <c r="G11" s="96"/>
      <c r="H11" s="96"/>
      <c r="I11" s="97"/>
    </row>
    <row r="12" spans="1:9" ht="26.25" customHeight="1" x14ac:dyDescent="0.2">
      <c r="B12" s="26" t="s">
        <v>13</v>
      </c>
      <c r="C12" s="33"/>
      <c r="D12" s="27"/>
      <c r="E12" s="34"/>
      <c r="F12" s="34"/>
      <c r="G12" s="34"/>
      <c r="H12" s="34"/>
      <c r="I12" s="27"/>
    </row>
    <row r="13" spans="1:9" ht="210.75" customHeight="1" x14ac:dyDescent="0.2">
      <c r="B13" s="28"/>
      <c r="C13" s="254" t="s">
        <v>14</v>
      </c>
      <c r="D13" s="255"/>
      <c r="E13" s="267" t="s">
        <v>184</v>
      </c>
      <c r="F13" s="256"/>
      <c r="G13" s="256"/>
      <c r="H13" s="256"/>
      <c r="I13" s="257"/>
    </row>
    <row r="14" spans="1:9" ht="210.75" customHeight="1" x14ac:dyDescent="0.2">
      <c r="B14" s="28"/>
      <c r="C14" s="269" t="s">
        <v>15</v>
      </c>
      <c r="D14" s="270"/>
      <c r="E14" s="267" t="s">
        <v>183</v>
      </c>
      <c r="F14" s="256"/>
      <c r="G14" s="256"/>
      <c r="H14" s="256"/>
      <c r="I14" s="257"/>
    </row>
    <row r="15" spans="1:9" ht="210.75" customHeight="1" x14ac:dyDescent="0.2">
      <c r="B15" s="28"/>
      <c r="C15" s="254" t="s">
        <v>16</v>
      </c>
      <c r="D15" s="255"/>
      <c r="E15" s="267" t="s">
        <v>185</v>
      </c>
      <c r="F15" s="256"/>
      <c r="G15" s="256"/>
      <c r="H15" s="256"/>
      <c r="I15" s="257"/>
    </row>
    <row r="16" spans="1:9" ht="210.75" customHeight="1" x14ac:dyDescent="0.2">
      <c r="B16" s="28"/>
      <c r="C16" s="254" t="s">
        <v>17</v>
      </c>
      <c r="D16" s="255"/>
      <c r="E16" s="267" t="s">
        <v>189</v>
      </c>
      <c r="F16" s="256"/>
      <c r="G16" s="256"/>
      <c r="H16" s="256"/>
      <c r="I16" s="257"/>
    </row>
    <row r="17" spans="2:9" ht="210.75" customHeight="1" x14ac:dyDescent="0.2">
      <c r="B17" s="29"/>
      <c r="C17" s="258" t="s">
        <v>18</v>
      </c>
      <c r="D17" s="259"/>
      <c r="E17" s="268" t="s">
        <v>190</v>
      </c>
      <c r="F17" s="260"/>
      <c r="G17" s="260"/>
      <c r="H17" s="260"/>
      <c r="I17" s="261"/>
    </row>
    <row r="18" spans="2:9" ht="24" customHeight="1" x14ac:dyDescent="0.2">
      <c r="B18" s="26" t="s">
        <v>19</v>
      </c>
      <c r="C18" s="30"/>
      <c r="D18" s="31"/>
      <c r="E18" s="32"/>
      <c r="F18" s="32"/>
      <c r="G18" s="32"/>
      <c r="H18" s="32"/>
      <c r="I18" s="35"/>
    </row>
    <row r="19" spans="2:9" ht="218.25" customHeight="1" x14ac:dyDescent="0.2">
      <c r="B19" s="28"/>
      <c r="C19" s="254" t="s">
        <v>20</v>
      </c>
      <c r="D19" s="255"/>
      <c r="E19" s="256" t="s">
        <v>178</v>
      </c>
      <c r="F19" s="256"/>
      <c r="G19" s="256"/>
      <c r="H19" s="256"/>
      <c r="I19" s="257"/>
    </row>
    <row r="20" spans="2:9" ht="218.25" customHeight="1" x14ac:dyDescent="0.2">
      <c r="B20" s="29"/>
      <c r="C20" s="258" t="s">
        <v>21</v>
      </c>
      <c r="D20" s="259"/>
      <c r="E20" s="260" t="s">
        <v>197</v>
      </c>
      <c r="F20" s="260"/>
      <c r="G20" s="260"/>
      <c r="H20" s="260"/>
      <c r="I20" s="261"/>
    </row>
    <row r="21" spans="2:9" ht="218.25" customHeight="1" x14ac:dyDescent="0.2">
      <c r="B21" s="262" t="s">
        <v>22</v>
      </c>
      <c r="C21" s="263"/>
      <c r="D21" s="264"/>
      <c r="E21" s="265" t="s">
        <v>191</v>
      </c>
      <c r="F21" s="265"/>
      <c r="G21" s="265"/>
      <c r="H21" s="265"/>
      <c r="I21" s="266"/>
    </row>
    <row r="22" spans="2:9" ht="218.25" customHeight="1" x14ac:dyDescent="0.2">
      <c r="B22" s="249" t="s">
        <v>121</v>
      </c>
      <c r="C22" s="250"/>
      <c r="D22" s="251"/>
      <c r="E22" s="252" t="s">
        <v>196</v>
      </c>
      <c r="F22" s="252"/>
      <c r="G22" s="252"/>
      <c r="H22" s="252"/>
      <c r="I22" s="253"/>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C14:D14"/>
    <mergeCell ref="E14:I14"/>
    <mergeCell ref="A3:I3"/>
    <mergeCell ref="B11:D11"/>
    <mergeCell ref="E11:I11"/>
    <mergeCell ref="C13:D13"/>
    <mergeCell ref="E13:I13"/>
    <mergeCell ref="B6:I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6</vt:i4>
      </vt:variant>
      <vt:variant>
        <vt:lpstr>名前付き一覧</vt:lpstr>
      </vt:variant>
      <vt:variant>
        <vt:i4>7</vt:i4>
      </vt:variant>
    </vt:vector>
  </HeadingPairs>
  <TitlesOfParts>
    <vt:vector size="13" baseType="lpstr">
      <vt:lpstr>様式1-1　プログラムを構成する授業科目（医）</vt:lpstr>
      <vt:lpstr>様式1-2　プログラムを構成する授業科目 (看)</vt:lpstr>
      <vt:lpstr>様式１-3　プログラムを構成する授業科目 (リ)</vt:lpstr>
      <vt:lpstr>様式２ 履修者等数の実績</vt:lpstr>
      <vt:lpstr>様式３ 教育の質・履修者数を向上させるための体制・計画</vt:lpstr>
      <vt:lpstr>様式４　自己点検・評価</vt:lpstr>
      <vt:lpstr>'様式1-1　プログラムを構成する授業科目（医）'!Print_Area</vt:lpstr>
      <vt:lpstr>'様式1-2　プログラムを構成する授業科目 (看)'!Print_Area</vt:lpstr>
      <vt:lpstr>'様式１-3　プログラムを構成する授業科目 (リ)'!Print_Area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KAMETAKA</dc:creator>
  <cp:lastModifiedBy>Akiko K</cp:lastModifiedBy>
  <cp:lastPrinted>2025-07-11T09:47:42Z</cp:lastPrinted>
  <dcterms:created xsi:type="dcterms:W3CDTF">2011-06-14T05:32:50Z</dcterms:created>
  <dcterms:modified xsi:type="dcterms:W3CDTF">2025-07-16T10:37:48Z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