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https://kamakurauac-my.sharepoint.com/personal/manabu_kamakura-u_ac_jp/Documents/数理・データサイエンス・AI教育プログラム（MDASH）/申請/提出_再提出/01_鎌倉女子大学_リテラシー/"/>
    </mc:Choice>
  </mc:AlternateContent>
  <xr:revisionPtr revIDLastSave="232" documentId="6_{746217E4-4DAB-4C90-AF97-C309E5234A8C}" xr6:coauthVersionLast="47" xr6:coauthVersionMax="47" xr10:uidLastSave="{395921A6-3F11-4414-8782-C50BF8ED087F}"/>
  <bookViews>
    <workbookView xWindow="-110" yWindow="-110" windowWidth="24220" windowHeight="155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3" i="40" l="1"/>
  <c r="R33" i="40"/>
  <c r="S13" i="40" l="1"/>
  <c r="S14" i="40"/>
  <c r="R13" i="40"/>
  <c r="E33" i="40"/>
  <c r="M7" i="40"/>
  <c r="I33" i="40" l="1"/>
  <c r="M33" i="40"/>
  <c r="P33" i="40"/>
  <c r="Q33" i="40"/>
  <c r="O33" i="40"/>
  <c r="N33" i="40"/>
  <c r="L33" i="40"/>
  <c r="J33" i="40"/>
  <c r="K33" i="40"/>
  <c r="H33" i="40"/>
  <c r="R14" i="40" l="1"/>
  <c r="R15" i="40"/>
  <c r="C33" i="40"/>
  <c r="G33" i="40" l="1"/>
  <c r="F33" i="40" l="1"/>
  <c r="I50" i="41"/>
  <c r="D33" i="40"/>
  <c r="S15" i="40"/>
  <c r="C49" i="41" l="1"/>
</calcChain>
</file>

<file path=xl/sharedStrings.xml><?xml version="1.0" encoding="utf-8"?>
<sst xmlns="http://schemas.openxmlformats.org/spreadsheetml/2006/main" count="302" uniqueCount="188">
  <si>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</si>
  <si>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</si>
  <si>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</si>
  <si>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</si>
  <si>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</si>
  <si>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</si>
  <si>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</si>
  <si>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</si>
  <si>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</si>
  <si>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</si>
  <si>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</si>
  <si>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</si>
  <si>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</si>
  <si>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</si>
  <si>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</si>
  <si>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</si>
  <si>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</si>
  <si>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</si>
  <si>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</si>
  <si>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</si>
  <si>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</si>
  <si>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</si>
  <si>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</si>
  <si>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</si>
  <si>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</si>
  <si>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</si>
  <si>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</si>
  <si>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</si>
  <si>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</si>
  <si>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</si>
  <si>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</si>
  <si>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</si>
  <si>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</si>
  <si>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</si>
  <si>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</si>
  <si>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</si>
  <si>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</si>
  <si>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</si>
  <si>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</si>
  <si>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</si>
  <si>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</si>
  <si>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</si>
  <si>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</si>
  <si>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</si>
  <si>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</si>
  <si>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</si>
  <si>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</si>
  <si>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</si>
  <si>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</si>
  <si>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</si>
  <si>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</si>
  <si>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</si>
  <si>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</si>
  <si>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</si>
  <si>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</si>
  <si>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</si>
  <si>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</si>
  <si>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</si>
  <si>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</si>
  <si>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</si>
  <si>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</si>
  <si>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</si>
  <si>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</si>
  <si>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</si>
  <si>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</si>
  <si>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</si>
  <si>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</si>
  <si>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</si>
  <si>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</si>
  <si>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</si>
  <si>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</si>
  <si>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</si>
  <si>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</si>
  <si>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</si>
  <si>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</si>
  <si>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</si>
  <si>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</si>
  <si>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</si>
  <si>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</si>
  <si>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</si>
  <si>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</si>
  <si>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</si>
  <si>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</si>
  <si>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</si>
  <si>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</si>
  <si>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</si>
  <si>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</si>
  <si>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</si>
  <si>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</si>
  <si>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</si>
  <si>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</si>
  <si>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</si>
  <si>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</si>
  <si>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</si>
  <si>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</si>
  <si>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</si>
  <si>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</si>
  <si>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</si>
  <si>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</si>
  <si>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</si>
  <si>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</si>
  <si>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</si>
  <si>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</si>
  <si>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</si>
  <si>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</si>
  <si>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</si>
  <si>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</si>
  <si>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</si>
  <si>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</si>
  <si>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</si>
  <si>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</si>
  <si>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</si>
  <si>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</si>
  <si>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</si>
  <si>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</si>
  <si>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</si>
  <si>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</si>
  <si>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</si>
  <si>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</si>
  <si>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</si>
  <si>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</si>
  <si>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</si>
  <si>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</si>
  <si>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</si>
  <si>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</si>
  <si>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</si>
  <si>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</si>
  <si>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</si>
  <si>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</si>
  <si>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</si>
  <si>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</si>
  <si>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</si>
  <si>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</si>
  <si>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</si>
  <si>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</si>
  <si>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</si>
  <si>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</si>
  <si>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</si>
  <si>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</si>
  <si>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</si>
  <si>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</si>
  <si>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</si>
  <si>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令和６</t>
    <rPh sb="0" eb="2">
      <t>レイワ</t>
    </rPh>
    <phoneticPr fontId="1"/>
  </si>
  <si>
    <t>鎌倉女子大学</t>
    <rPh sb="0" eb="6">
      <t xml:space="preserve">カマクラジョシダイガク </t>
    </rPh>
    <phoneticPr fontId="1"/>
  </si>
  <si>
    <t>データサイエンス・AI学修プログラム リテラシーレベル</t>
    <phoneticPr fontId="1"/>
  </si>
  <si>
    <t>学部・学科によって、修了要件は相違しない</t>
  </si>
  <si>
    <t>鎌倉女子大学</t>
    <phoneticPr fontId="1"/>
  </si>
  <si>
    <t>児童学部児童学科　教授　松田 広則
学術研究所　教授　福井 文威
e-Learning Center長・教務課長　長岡 暁夫
学務課長　吉野 聡子
免許･資格指導課長　中林 謙一
家政学部家政保健学科　教授　大石 美佳
家政学部家政保健学科　教授　高橋 ひとみ
家政学部家政保健学科　准教授　杉浦 学
家政学部管理栄養学科　教授　河内 公恵
家政学部管理栄養学科　准教授　石井 健士
家政学部管理栄養学科　講師　齋藤 さゆり
児童学部児童学科　教授　佐藤 淑子
児童学部児童学科　教授　梨本 加菜
児童学部児童学科　准教授　榊原 久子
児童学部児童学科　講師　山城 久弥</t>
    <phoneticPr fontId="1"/>
  </si>
  <si>
    <t>教務委員会</t>
    <rPh sb="0" eb="2">
      <t xml:space="preserve">キョウム </t>
    </rPh>
    <rPh sb="2" eb="5">
      <t xml:space="preserve">イインカイ </t>
    </rPh>
    <phoneticPr fontId="1"/>
  </si>
  <si>
    <t>教務部長</t>
    <phoneticPr fontId="1"/>
  </si>
  <si>
    <t>松田 広則</t>
    <phoneticPr fontId="1"/>
  </si>
  <si>
    <t>　学修成果の把握については、本プログラムを構成する授業科目におけるアンケートに加えて、学事調査研究センターが全学生を対象に毎年度実施する「学修環境・行動調査」の結果を活用する。入学後の知識・能力の変化に関する調査項目のうち、「数量的スキル」「情報リテラシー」「論理的思考力」に関する調査結果を分析することで、本プログラムの学修成果の定量的な把握が可能である。
　また、本学の学生が継続的に参加している「神奈川産学チャレンジプログラム」をはじめとした、データサイエンス・AIの素養が必要とされる課外活動の成果についても、本プログラムが実践的な活動に寄与するかを評価するための指標として活用する。</t>
    <phoneticPr fontId="1"/>
  </si>
  <si>
    <t>　本プログラムの教育内容を改善することを目的として、就職センターが実施している「卒業生調査」への設問の追加や、産学連携の実績がある企業などを対象としたアンケートや意見聴取などを行う。
　令和6年度の「卒業生調査」において、「本プログラムに今後期待することや、プログラムの充実に向けて具体的に必要だと思う取り組みなど」に関する調査を行なった。回答者424名のうち、16名からの回答を得ることができた。具体的には、「Excelの使い方をはじめとする基礎的なPCスキル」「プログラミングに関する基礎的知識」「生成AIを有効に活用する力」「情報の正当性を判断する力、データ分析の限界を理解する力」などの育成が期待されていることを確認した。</t>
    <phoneticPr fontId="1"/>
  </si>
  <si>
    <t>　本プログラムを構成する授業科目では、反転授業をはじめとした様々な教育方法の工夫を積極的に取り入れ、履修者の意欲を引き出し、当該の分野の学びの楽しさと、実社会とのつながりを通じた学びの意義を実感できるような授業を実践している。
　授業科目「情報リテラシー」では、オープンデータや生成AIの活用をテーマとした演習を取り入れ、データサイエンスやAIがどのように実社会と関連しているかを楽しみながら学べる工夫を行った。
　授業科目「数と統計」では、身近なデータを用いた演習に加え、アクティブラーニングの技法を取り入れ、学生同士の対話を通じて楽しみながら学べる工夫を行なった。また、毎回コメントシートを活用し、双方向的な学びの中で、日常生活におけるデータサイエンスの意義への理解を深めた。</t>
    <phoneticPr fontId="1"/>
  </si>
  <si>
    <t>情報リテラシー</t>
    <rPh sb="0" eb="2">
      <t xml:space="preserve">ジョウホウ </t>
    </rPh>
    <phoneticPr fontId="1"/>
  </si>
  <si>
    <t>数と統計</t>
    <rPh sb="0" eb="1">
      <t xml:space="preserve">カズ </t>
    </rPh>
    <rPh sb="2" eb="4">
      <t xml:space="preserve">トウケイ </t>
    </rPh>
    <phoneticPr fontId="1"/>
  </si>
  <si>
    <t>○</t>
  </si>
  <si>
    <t>情報リテラシー</t>
    <phoneticPr fontId="1"/>
  </si>
  <si>
    <t>〔情報リテラシー〕
　・シェアリングエコノミー、商品のレコメンデーション（第13回）
　・深層生成モデル、強化学習、転移学習（第13回）
〔数と統計〕
　・AI等を活用した新しいビジネスモデル（シェアリングエコノミー、商品のレコメンデーションなど）（第1, 15回）</t>
    <phoneticPr fontId="1"/>
  </si>
  <si>
    <t>〔情報リテラシー〕
　・データ・AI活用領域の広がり（第12回）
　・研究開発、マーケティング（第12回）
　・仮説検証、知識発見、原因究明、計画策定、判断支援、活動代替、新規生成（第12回）
〔数と統計〕
　・データ・AI活用領域の広がり(生産、消費、文化活動など)（第1, 15回)
　・研究開発、販売、マーケティング、サービスなど（第1, 8, 10, 11, 12, 13回)
　・仮説検証、知識発見、原因究明、計画策定、判断支援、活動代替、新規生成（第1, 8, 10, 11, 12, 13回)</t>
    <phoneticPr fontId="1"/>
  </si>
  <si>
    <t>〔情報リテラシー〕
　・データサイエンスのサイクル（第13回）
　・データ・AI利活用事例紹介（第13回）
〔数と統計〕
　・データサイエンスのサイクル（第10回）</t>
    <phoneticPr fontId="1"/>
  </si>
  <si>
    <t>下記の2科目を履修し、合計4単位を取得すること。
・情報リテラシー（2単位）
・数と統計（2単位）</t>
    <rPh sb="0" eb="2">
      <t xml:space="preserve">カキ </t>
    </rPh>
    <rPh sb="3" eb="5">
      <t xml:space="preserve">ソウゴウ </t>
    </rPh>
    <rPh sb="5" eb="7">
      <t xml:space="preserve">キョウイク </t>
    </rPh>
    <rPh sb="7" eb="9">
      <t xml:space="preserve">ゴウケイ </t>
    </rPh>
    <rPh sb="9" eb="11">
      <t xml:space="preserve">カモク </t>
    </rPh>
    <rPh sb="11" eb="13">
      <t xml:space="preserve">ゴウケイ </t>
    </rPh>
    <rPh sb="15" eb="17">
      <t xml:space="preserve">ジョウホウ </t>
    </rPh>
    <rPh sb="21" eb="23">
      <t xml:space="preserve">タンイ </t>
    </rPh>
    <rPh sb="33" eb="35">
      <t xml:space="preserve">ジョウホウ </t>
    </rPh>
    <rPh sb="42" eb="44">
      <t xml:space="preserve">タンイ </t>
    </rPh>
    <rPh sb="47" eb="48">
      <t xml:space="preserve">カズ トウケイ タンイ シュトク </t>
    </rPh>
    <phoneticPr fontId="1"/>
  </si>
  <si>
    <t>〔情報リテラシー〕
　・予測、グルーピング（第12回）
　・複合グラフ、2軸グラフ、多次元・関係性の可視化、地図上の可視化（第12回）
　・非構造化データ処理（第12回）
　・特化型AIと汎用AI、機械学習、今のAIで出来ることと出来ないこと（第12回）
〔数と統計〕
　・予測、最適化、グルーピング（第14回）
　・複合グラフ、2軸グラフ、多次元の可視化、関係性の可視化、地図上の可視化、挙動・軌跡の可視化、リアルタイム可視化など（第4回）</t>
    <phoneticPr fontId="1"/>
  </si>
  <si>
    <t>以下の内容を学修することにより、データサイエンスとAIへの関心を高め、適切に理解し活用する基礎的な能力を修得する。
1. データ・AIによる社会と日常生活の変化を理解し、データ・AIを活用するための技術・それによって生まれる価値・最新動向などの知識を修得する。
2. データを適切に読み解き、集計と解析を行い、分かりやすく正確に表現するためのスキルを修得する。
3. データ・AIを利用する際のモラル・倫理・リスク・脅威に対する理解を深め、データを守るために留意すべき知識を修得する。</t>
    <rPh sb="3" eb="5">
      <t xml:space="preserve">ナイヨウ </t>
    </rPh>
    <rPh sb="6" eb="8">
      <t xml:space="preserve">ガクシュウ </t>
    </rPh>
    <phoneticPr fontId="1"/>
  </si>
  <si>
    <t>児童学部子ども心理学科　教授　小国 美也子
児童学部子ども心理学科　教授　藤澤 文
児童学部子ども心理学科　准教授　石川 満佐育
教育学部教育学科　教授　早石 周平
教育学部教育学科　准教授　河合 孝昭
教育学部教育学科　講師　野田 明</t>
    <phoneticPr fontId="1"/>
  </si>
  <si>
    <t>　本プログラムの概要は、全学生に配布される「履修の手引」に掲載し、プログラムの履修に関する情報は公式Webサイトの在学生向けのページの一部として公開している。家政学部では、入学直後の履修オリエンテーションにおける説明と追加資料の配布などを実施し、プログラムの意義や履修方法などの周知を行っている。
　他の免許・資格の取得手続きとは異なり、入学直後からプログラムの履修が検討できるように、履修を届け出る「課程履修登録」の期間を長く設定している。
　修了要件を満たした場合に発行する修了証は、卒業時ではなく在学中（要件を満たした学期末）に発行することで、本プログラムの履修実績を就職活動などに活用できる体制を整えている。</t>
    <phoneticPr fontId="1"/>
  </si>
  <si>
    <t>　教務委員会は、教務部長を委員長とし、授業及び試験運営、学生の学籍管理、免許・資格課程、学外教育施設との共同事業、単位履修など、大学の教務に関する事項を審議する組織である。教務委員会にて、「データサイエンス・AI学修プログラム」の運営と改善、自己点検・評価に関する検討と審議を継続的に実施する。</t>
    <rPh sb="28" eb="30">
      <t>ガクセイ</t>
    </rPh>
    <rPh sb="31" eb="33">
      <t>ガクセキ</t>
    </rPh>
    <rPh sb="33" eb="35">
      <t>カンリ</t>
    </rPh>
    <rPh sb="44" eb="46">
      <t>ガクガイ</t>
    </rPh>
    <rPh sb="46" eb="48">
      <t>キョウイク</t>
    </rPh>
    <rPh sb="48" eb="50">
      <t>シセツ</t>
    </rPh>
    <rPh sb="52" eb="54">
      <t>キョウドウ</t>
    </rPh>
    <rPh sb="54" eb="56">
      <t>ジギョウ</t>
    </rPh>
    <rPh sb="64" eb="66">
      <t>ダイガク</t>
    </rPh>
    <phoneticPr fontId="1"/>
  </si>
  <si>
    <t>　本プログラムを構成する授業科目は、所属する学部・学科によらず、全ての学生が履修可能な総合教育科目の2つの授業科目としている。
　授業科目「情報リテラシー」は、卒業要件充足のために必ず履修が必要となるため、全員が受講できる体制を整えている。授業科目「数と統計」は、学部・学科ごとに配当学年や開講時期を調整した複数のクラスを設置しており、全ての学部・学科の学生が履修可能な時間割の編成を行っている。</t>
    <rPh sb="140" eb="142">
      <t>ハイトウ</t>
    </rPh>
    <rPh sb="147" eb="149">
      <t>ジキ</t>
    </rPh>
    <rPh sb="161" eb="163">
      <t>セッチ</t>
    </rPh>
    <phoneticPr fontId="1"/>
  </si>
  <si>
    <t>　4年間で履修率を段階的に30%まで上昇させることを目標とし、以下の2点を検討する。
　① 令和7年度に開設した通信教育課程の授業科目「数と統計」を、通学課程の学生が円滑に履修できるような制度について検討する。通信教育課程の授業では、通学課程と共通のLMSを活用し、メディア授業と各種のオンラインテストで開講していることから、時間割編成や履修人数の制限を受けず、より多くの学生の受講が可能となる。
　② 現在のカリキュラムでは、総合教育科目「情報科学」の区分における卒業に必要な単位数を3単位としている。本プログラムを構成する授業科目「情報リテラシー（2単位）」は同区分に設定され、他の開講科目は「プレゼンテーション（1単位）」と「プログラミング（1単位・応用基礎レベルのプログラムを構成する授業科目）」である。現在のカリキュラムでは、授業科目「数と統計」の区分は「生活と技術」としているが、この区分を「情報科学」に変更し、同区分の卒業要件単位数を変更することを検討する。これにより、本プログラムの履修が卒業要件を充足することに直結し、履修率の向上が見込まれる。</t>
    <rPh sb="52" eb="54">
      <t>カイセツ</t>
    </rPh>
    <rPh sb="94" eb="96">
      <t>セイド</t>
    </rPh>
    <phoneticPr fontId="1"/>
  </si>
  <si>
    <t>　授業を担当する専任教員に対しては、授業時間外の質問を受け付けるオフィスアワーを設定することを義務付けており、履修者全員に対するサポート体制が確立されている。また、後述（項目⑫）する「ラーニング・アシスタント（LA）」を授業に配置することで、授業時間内での学習指導や質問対応を円滑に行うための体制を整えている。
　授業中の演習で利用する学内設置の情報機器、個人所有のパソコンに関する相談窓口として、情報教育推進室による相談カウンターを常設している。情報教育推進室では、情報機器の扱いに関する在学生用のサポートページの公開に加え、SNS等による問い合わせも随時受け付けている。</t>
    <rPh sb="85" eb="87">
      <t>コウモク</t>
    </rPh>
    <phoneticPr fontId="1"/>
  </si>
  <si>
    <t>　本プログラムの実施にあたり、従来から一部の授業に配置されていた専任助手による演習補助に加えて、学部生を中心とした演習補助者である「ラーニング・アシスタント（LA）」の制度を開始した。本プログラムを構成する授業科目では、LAの学習支援の有用性に関する調査を含めた独自のアンケートを実施し、効果の検証を行っている。令和6年度の結果（大学と短期大学部を合算）として、「情報リテラシー」の履修者の80%、「数と統計」の履修者の89%がLAによる学習支援が有用だったと回答（「とてもそう思う」・「そう思う」の合計回答数）しており、学習支援に対するLAの有効性が確認できている。
　授業時間外での学習指導や質問の受け付けについては、他の授業科目と同様に、メールやLMSを活用した担当者による学習支援のサポート体制を整えている。</t>
    <phoneticPr fontId="1"/>
  </si>
  <si>
    <t>　全学の授業科目を対象として実施している「授業改善アンケート」に加えて、本プログラムを構成する授業科目で独自に実施している理解度に関するアンケートを継続して行い、授業の内容と教育方法に関する改善を継続する。
　本プログラムの修了者を優先的にラーニング・アシスタントに採用するといった、授業の支援体制の強化を行うことと同時に、モデルカリキュラムに準じた学修内容を保証しながら、履修者の所属する学科ごとの専門性を踏まえたという意味での「分かりやすい」授業を提供していくことが課題である。</t>
    <phoneticPr fontId="1"/>
  </si>
  <si>
    <t>　全学の授業科目を対象として実施している「授業改善アンケート」に加えて、本プログラムを構成する授業科目では、内容の理解度の調査を含めた独自のアンケートを実施する。
　本プログラムを構成する2つの授業科目の履修者に対するアンケートでは、モデルカリキュラムに対応した5つの審査項目に関する理解度の自己評価を調査した。結果として、全審査項目において履修者（大学と短期大学部を合算）の80%以上から肯定的な回答（それぞれの内容について理解ができたかに対して「とてもそう思う」・「そう思う」の合計回答数）が得られた。この結果から、モデルカリキュラムの導入・基礎・心得に関する学修目標を概ね達成していると評価できる。</t>
    <phoneticPr fontId="1"/>
  </si>
  <si>
    <t>　履修者に実施するアンケートに、「この授業を後輩や他の学生に推奨しますか」という調査項目を設けることで、定量的な評価を行う。
　授業科目「数と統計」の履修者に対するアンケートでは、75%の履修者（大学と短期大学部を合算）から肯定的な回答（「他の学生に受講を強く推奨する」・「他の学生に受講を推奨する」）が得られた。受講を推奨する理由のコメント（自由記述）として、「データ分析の全般的なスキルが向上した」「反転授業で理解度が向上する」「授業で修得したスキルを他の授業の実験レポートの執筆にも活用できる」などがあげられる。</t>
    <phoneticPr fontId="1"/>
  </si>
  <si>
    <t>　本プログラムをより多くの学生に周知するため、各種オリエンテーションにおける説明時間の確保や、プログラムを紹介するWebページの内容を充実させるといった、学内広報を継続的に強化する。
　また、選択科目として履修する授業科目を受講しやすくするための工夫として、令和7年度から新設された通信教育課程の開講授業の活用や、配当学年や時間割編成の検討などを継続的に行い、より多くの学生が本プログラムの修了を目指せる環境整備を行う。</t>
    <phoneticPr fontId="1"/>
  </si>
  <si>
    <t>　本プログラムは令和6年度から開始し、令和6年度はすべての修了者が在学中であるため、卒業後のデータに基づく評価結果は得られていない。
　今後は、就職センターが実施している「卒業生調査」などを活用し、本プログラムの修了者の卒業後の調査を継続的に実施し、進路や活躍の状況などについて確認を行う。</t>
    <rPh sb="19" eb="21">
      <t>レイワ</t>
    </rPh>
    <rPh sb="22" eb="24">
      <t>ネンド</t>
    </rPh>
    <phoneticPr fontId="1"/>
  </si>
  <si>
    <t>鎌倉女子大学 教務委員会規程</t>
    <rPh sb="0" eb="6">
      <t>カマクラジョシダイガク</t>
    </rPh>
    <phoneticPr fontId="1"/>
  </si>
  <si>
    <t>〔情報リテラシー〕
　・ビッグデータ、IoT、AI、ロボット（第11回）
　・生成AI（第12回）
　・データ量の増加、計算機の処理性能の向上、AIの非連続的進化（第11回）
　・第4次産業革命、Society 5.0、データ駆動型社会（第11回）
〔数と統計〕
　・データを基点としたものの見方、人間の知的活動を基点としたものの見方（第1回）</t>
    <rPh sb="39" eb="41">
      <t>セイセイ</t>
    </rPh>
    <rPh sb="44" eb="45">
      <t>ダイ</t>
    </rPh>
    <rPh sb="47" eb="48">
      <t>カイ</t>
    </rPh>
    <phoneticPr fontId="1"/>
  </si>
  <si>
    <t>〔情報リテラシー〕
　・調査データ、実験データ、機械の稼働ログデータ（第11回）
　・1次データ、2次データ、データのメタ化（第11回）
　・構造化データ、非構造化データ（第11回）
　・ビッグデータとアノテーション（第11回）
　・オープンデータ（第11回）
〔数と統計〕
　・調査データ、実験データ、人の行動ログデータ、機械の稼働ログデータ（第2回）
　・1次データ、2次データ、データのメタ化（第2回)
　・構造化データ、非構造化データ（第2回）</t>
    <phoneticPr fontId="1"/>
  </si>
  <si>
    <t>〔情報リテラシー〕
　・倫理的・法的・社会的課題（ELSI：Ethical, Legal and Social Issues）（第14回）
　・個人情報保護、EU一般データ保護規則(GDPR)、忘れられる権利、オプトアウト（第14回）
　・データ倫理：データのねつ造、改ざん、盗用、プライバシー保護（第14回）
　・AI社会原則（第14回）
　・データバイアス、アルゴリズムバイアス（第14回）
　・AIサービスの責任論（第14回）
　・データ・AI活用における負の事例紹介（第14回）
　・生成AIの留意事項（第12回）</t>
    <rPh sb="235" eb="237">
      <t>ショウカイ</t>
    </rPh>
    <rPh sb="256" eb="257">
      <t>ダイ</t>
    </rPh>
    <rPh sb="259" eb="260">
      <t>カイ</t>
    </rPh>
    <phoneticPr fontId="1"/>
  </si>
  <si>
    <t>〔情報リテラシー〕
　・情報セキュリティの3要素（機密性、完全性、可用性）（第14回）
　・匿名加工情報、暗号化と復号、ユーザ認証と、パスワード、アクセス制御、悪意ある情報搾取（第14回）
　・情報漏洩等によるセキュリティ事故の事例紹介（第14回）</t>
    <phoneticPr fontId="1"/>
  </si>
  <si>
    <t>〔情報リテラシー〕
　・代表値（平均値、中央値、最頻値）（第10回）
　・データのばらつき（分散、標準偏差、偏差値）（第10回）
　・相関係数（第10回）
〔数と統計〕
　・データの種類（量的変数、質的変数）（第2回）
　・データの分布(ヒストグラム)と代表値（平均値、中央値、最頻値）（第5回）
　・代表値の性質の違い（実社会では平均値＝最頻値でないことが多い）（第5回）
　・データのばらつき（分散、標準偏差、偏差値）（第5, 14回）
　・観測データに含まれる誤差の扱い（第7回） 
　・打ち切りや欠測を含むデータ、層別の必要なデータ（第2, 11回）
　・相関と因果（相関係数、擬似相関、交絡）（第10, 11回）
　・母集団と標本抽出（国勢調査、アンケート調査、全数調査、単純無作為抽出、層別抽出、多段抽出）（第2回）
　・クロス集計表、分割表、相関係数行列、散布図行列（第9, 10回）
　・統計情報の正しい理解（誇張表現に惑わされない）（第3回）</t>
    <rPh sb="12" eb="14">
      <t>ダイヒョウ</t>
    </rPh>
    <rPh sb="14" eb="15">
      <t>チ</t>
    </rPh>
    <rPh sb="253" eb="255">
      <t>ケッソク</t>
    </rPh>
    <phoneticPr fontId="1"/>
  </si>
  <si>
    <t>〔情報リテラシー〕
　・棒グラフ、折線グラフ、散布図（第9, 10回）
　・チャートジャンク、不必要な視覚的要素（第9回）
〔数と統計〕
　・データ表現（棒グラフ、折線グラフ、散布図、ヒートマップ、箱ひげ図）（第4回）
　・データの比較（条件をそろえた比較、処理の前後での比較、A/Bテスト）（第10回）
　・不適切なグラフ表現（チャートジャンク、不必要な視覚的要素）（第3回）
　・優れた可視化事例の紹介（可視化することによって新たな気づきがあった事例など）（第4回）
　・相手に的確かつ正確に伝える技術や考え方（スライド作成、プレゼンテーションなど）（第3回）</t>
    <rPh sb="100" eb="101">
      <t>ハコ</t>
    </rPh>
    <rPh sb="103" eb="104">
      <t>ズ</t>
    </rPh>
    <phoneticPr fontId="1"/>
  </si>
  <si>
    <t>〔情報リテラシー〕
　・データの取得（機械判読可能なデータの作成・表記方法）（第10回）
　・データの集計（和、平均）（第10回）
　・データの並び替え、ランキング（第10回）
　・データ解析ツール（スプレッドシート）（第8回）
　・表形式のデータ（csv）（第10回）
〔数と統計〕
　・データの取得（機械判読可能なデータの作成・表記方法）（第2回）
　・データの集計（和、平均）（第3回）
　・データの並び替え、ランキング（第3回） 
　・データ解析ツール（スプレッドシート）（第3回） 
　・表形式のデータ（csv）（第3回）</t>
    <rPh sb="39" eb="40">
      <t>ダイ</t>
    </rPh>
    <rPh sb="42" eb="43">
      <t>カイ</t>
    </rPh>
    <phoneticPr fontId="1"/>
  </si>
  <si>
    <t>　教務委員会において、継続的に本プログラムを構成する授業科目の履修・修得状況の把握と分析を実施し、履修制度の改善、教育成果の確認、履修率向上のための方策を協議する。
　令和6年度の履修者数は235名（家政保健学科71名、管理栄養学科127名、児童学科6名、子ども心理学科18名、教育学科13名）である。同年度の修了者数は45名（管理栄養学科28名、児童学科3名、子ども心理学科14名）であった。家政保健学科と教育学科については、プログラムを構成する授業科目に配当学年が2年生以上のものを含むため、今年度の修了者数の実績はない。所属学科によって履修者数・修了者数の差が大きいことが課題の一つであり、統一的な履修指導の体制づくり、所属する学科のカリキュラムを考慮した時間割編成を継続して検討する。</t>
    <phoneticPr fontId="1"/>
  </si>
  <si>
    <t>児童学部</t>
    <rPh sb="0" eb="2">
      <t>ジドウ</t>
    </rPh>
    <rPh sb="2" eb="4">
      <t>ガクブ</t>
    </rPh>
    <phoneticPr fontId="1"/>
  </si>
  <si>
    <t>家政学部</t>
    <rPh sb="0" eb="2">
      <t xml:space="preserve">カセイ </t>
    </rPh>
    <rPh sb="2" eb="4">
      <t xml:space="preserve">ガクブ </t>
    </rPh>
    <phoneticPr fontId="1"/>
  </si>
  <si>
    <t>教育学部</t>
    <rPh sb="0" eb="2">
      <t xml:space="preserve">キョウイク </t>
    </rPh>
    <rPh sb="2" eb="4">
      <t xml:space="preserve">ガクブ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</si>
</sst>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2"/>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dotted">
        <color auto="1"/>
      </right>
      <top style="hair">
        <color auto="1"/>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14" xfId="2" applyFont="1" applyBorder="1" applyAlignment="1">
      <alignment vertical="center" shrinkToFit="1"/>
    </xf>
    <xf numFmtId="0" fontId="2" fillId="0" borderId="14" xfId="0" applyFont="1" applyBorder="1" applyAlignment="1">
      <alignment horizontal="left" vertical="center" shrinkToFit="1"/>
    </xf>
    <xf numFmtId="38" fontId="2" fillId="0" borderId="14" xfId="2" applyFont="1" applyFill="1" applyBorder="1" applyAlignment="1">
      <alignment vertical="center" shrinkToFit="1"/>
    </xf>
    <xf numFmtId="38" fontId="2" fillId="0" borderId="30" xfId="2" applyFont="1" applyBorder="1" applyAlignment="1">
      <alignment vertical="center" shrinkToFit="1"/>
    </xf>
    <xf numFmtId="0" fontId="2" fillId="0" borderId="37" xfId="0" applyFont="1" applyBorder="1">
      <alignment vertical="center"/>
    </xf>
    <xf numFmtId="38" fontId="2" fillId="0" borderId="45" xfId="2" applyFont="1" applyFill="1" applyBorder="1" applyAlignment="1">
      <alignment vertical="center" shrinkToFit="1"/>
    </xf>
    <xf numFmtId="0" fontId="2" fillId="0" borderId="45" xfId="0" applyFont="1" applyBorder="1" applyAlignment="1">
      <alignment horizontal="left" vertical="center" shrinkToFit="1"/>
    </xf>
    <xf numFmtId="0" fontId="2" fillId="0" borderId="10" xfId="0" applyFont="1" applyBorder="1" applyAlignment="1">
      <alignment vertical="center" shrinkToFit="1"/>
    </xf>
    <xf numFmtId="38" fontId="2" fillId="0" borderId="49" xfId="2" applyFont="1" applyBorder="1" applyAlignment="1">
      <alignment vertical="center" shrinkToFit="1"/>
    </xf>
    <xf numFmtId="38" fontId="2" fillId="0" borderId="20" xfId="2" applyFont="1" applyFill="1" applyBorder="1" applyAlignment="1">
      <alignment vertical="center" shrinkToFit="1"/>
    </xf>
    <xf numFmtId="9" fontId="2" fillId="0" borderId="30" xfId="0" applyNumberFormat="1" applyFont="1" applyBorder="1" applyAlignment="1">
      <alignment vertical="center" shrinkToFit="1"/>
    </xf>
    <xf numFmtId="9" fontId="2" fillId="0" borderId="38" xfId="0" applyNumberFormat="1" applyFont="1" applyBorder="1" applyAlignment="1">
      <alignment vertical="center" shrinkToFit="1"/>
    </xf>
    <xf numFmtId="9" fontId="2" fillId="0" borderId="17" xfId="0" applyNumberFormat="1" applyFont="1" applyBorder="1" applyAlignment="1">
      <alignment vertical="center" shrinkToFit="1"/>
    </xf>
    <xf numFmtId="38" fontId="2" fillId="0" borderId="38" xfId="2" applyFont="1" applyBorder="1" applyAlignment="1">
      <alignment vertical="center" shrinkToFit="1"/>
    </xf>
    <xf numFmtId="38" fontId="2" fillId="0" borderId="24" xfId="2" applyFont="1" applyBorder="1" applyAlignment="1">
      <alignment vertical="center" shrinkToFit="1"/>
    </xf>
    <xf numFmtId="38" fontId="2" fillId="0" borderId="21" xfId="2" applyFont="1" applyBorder="1" applyAlignment="1">
      <alignment vertical="center" shrinkToFit="1"/>
    </xf>
    <xf numFmtId="0" fontId="8" fillId="0" borderId="13" xfId="0" applyFont="1" applyBorder="1" applyAlignment="1">
      <alignment horizontal="center" vertical="center"/>
    </xf>
    <xf numFmtId="0" fontId="8" fillId="0" borderId="11"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7" fillId="0" borderId="2" xfId="0" applyFont="1" applyBorder="1" applyAlignment="1">
      <alignment vertical="center" wrapText="1" shrinkToFit="1"/>
    </xf>
    <xf numFmtId="0" fontId="7" fillId="0" borderId="3" xfId="0" applyFont="1" applyBorder="1" applyAlignment="1">
      <alignment vertical="center" wrapText="1" shrinkToFit="1"/>
    </xf>
    <xf numFmtId="0" fontId="7"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0" fillId="0" borderId="7" xfId="0" applyBorder="1" applyAlignment="1">
      <alignment horizontal="left" vertical="top" wrapText="1" shrinkToFit="1"/>
    </xf>
    <xf numFmtId="0" fontId="0" fillId="0" borderId="8" xfId="0" applyBorder="1" applyAlignment="1">
      <alignment horizontal="left" vertical="top" wrapText="1" shrinkToFit="1"/>
    </xf>
    <xf numFmtId="0" fontId="0" fillId="0" borderId="5" xfId="0" applyBorder="1" applyAlignment="1">
      <alignment horizontal="left" vertical="top" wrapText="1" shrinkToFit="1"/>
    </xf>
    <xf numFmtId="0" fontId="0" fillId="0" borderId="0" xfId="0" applyAlignment="1">
      <alignment horizontal="left" vertical="top" wrapText="1" shrinkToFit="1"/>
    </xf>
    <xf numFmtId="0" fontId="0" fillId="0" borderId="11" xfId="0" applyBorder="1" applyAlignment="1">
      <alignment horizontal="left" vertical="top" wrapText="1" shrinkToFit="1"/>
    </xf>
    <xf numFmtId="0" fontId="0" fillId="0" borderId="6" xfId="0" applyBorder="1" applyAlignment="1">
      <alignment horizontal="left" vertical="top" wrapText="1" shrinkToFit="1"/>
    </xf>
    <xf numFmtId="0" fontId="0" fillId="0" borderId="9" xfId="0" applyBorder="1" applyAlignment="1">
      <alignment horizontal="left" vertical="top" wrapText="1" shrinkToFit="1"/>
    </xf>
    <xf numFmtId="0" fontId="0" fillId="0" borderId="10" xfId="0" applyBorder="1" applyAlignment="1">
      <alignment horizontal="left" vertical="top" wrapText="1" shrinkToFit="1"/>
    </xf>
    <xf numFmtId="0" fontId="0" fillId="0" borderId="12" xfId="0" applyBorder="1" applyAlignment="1">
      <alignment horizontal="left" vertical="top" wrapText="1" shrinkToFi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11"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D101" sqref="D101:U101"/>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5" customHeight="1" x14ac:dyDescent="0.2">
      <c r="T1" s="139" t="s">
        <v>12</v>
      </c>
      <c r="U1" s="139"/>
      <c r="V1" s="2"/>
    </row>
    <row r="2" spans="1:24" ht="18.75" customHeight="1" x14ac:dyDescent="0.2">
      <c r="B2" s="16" t="s">
        <v>93</v>
      </c>
      <c r="C2" s="109" t="s">
        <v>143</v>
      </c>
      <c r="D2" s="110"/>
      <c r="E2" s="110"/>
      <c r="F2" s="110"/>
      <c r="G2" s="110"/>
      <c r="H2" s="110"/>
      <c r="I2" s="110"/>
      <c r="J2" s="111"/>
      <c r="K2" s="17"/>
      <c r="L2" s="6"/>
      <c r="M2" s="6"/>
      <c r="N2" s="6"/>
      <c r="O2" s="6"/>
      <c r="P2" s="6"/>
      <c r="Q2" s="6"/>
      <c r="R2" s="6"/>
      <c r="S2" s="6"/>
      <c r="T2" s="6"/>
      <c r="U2" s="6"/>
    </row>
    <row r="3" spans="1:24" ht="18.75" customHeight="1" x14ac:dyDescent="0.2">
      <c r="B3" s="16" t="s">
        <v>88</v>
      </c>
      <c r="C3" s="140" t="s">
        <v>144</v>
      </c>
      <c r="D3" s="141"/>
      <c r="E3" s="141"/>
      <c r="F3" s="141"/>
      <c r="G3" s="141"/>
      <c r="H3" s="141"/>
      <c r="I3" s="141"/>
      <c r="J3" s="142"/>
      <c r="K3" s="17"/>
      <c r="L3" s="6"/>
      <c r="M3" s="6"/>
      <c r="N3" s="6"/>
      <c r="O3" s="6"/>
      <c r="P3" s="6"/>
      <c r="Q3" s="6"/>
      <c r="R3" s="6"/>
      <c r="S3" s="6"/>
      <c r="T3" s="6"/>
      <c r="U3" s="6"/>
    </row>
    <row r="4" spans="1:24" ht="15" customHeight="1" x14ac:dyDescent="0.2">
      <c r="L4" s="17"/>
      <c r="M4" s="71"/>
      <c r="N4" s="71"/>
      <c r="O4" s="71"/>
      <c r="P4" s="71"/>
      <c r="Q4" s="71"/>
      <c r="R4" s="71"/>
      <c r="S4" s="71"/>
      <c r="T4" s="71"/>
      <c r="U4" s="71"/>
    </row>
    <row r="5" spans="1:24" ht="18" customHeight="1" x14ac:dyDescent="0.2">
      <c r="A5" s="120" t="s">
        <v>140</v>
      </c>
      <c r="B5" s="120"/>
      <c r="C5" s="120"/>
      <c r="D5" s="120"/>
      <c r="E5" s="120"/>
      <c r="F5" s="120"/>
      <c r="G5" s="120"/>
      <c r="H5" s="120"/>
      <c r="I5" s="120"/>
      <c r="J5" s="120"/>
      <c r="K5" s="120"/>
      <c r="L5" s="120"/>
      <c r="M5" s="120"/>
      <c r="N5" s="120"/>
      <c r="O5" s="120"/>
      <c r="P5" s="120"/>
      <c r="Q5" s="120"/>
      <c r="R5" s="120"/>
      <c r="S5" s="120"/>
      <c r="T5" s="120"/>
      <c r="U5" s="120"/>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116</v>
      </c>
      <c r="B7" s="3"/>
      <c r="C7" s="3"/>
      <c r="D7" s="3"/>
      <c r="E7" s="3"/>
      <c r="F7" s="2"/>
      <c r="G7" s="2"/>
      <c r="H7" s="2"/>
      <c r="I7" s="2"/>
      <c r="J7" s="2"/>
      <c r="K7" s="2"/>
      <c r="L7" s="152" t="s">
        <v>145</v>
      </c>
      <c r="M7" s="153"/>
      <c r="N7" s="153"/>
      <c r="O7" s="153"/>
      <c r="P7" s="153"/>
      <c r="Q7" s="153"/>
      <c r="R7" s="153"/>
      <c r="S7" s="153"/>
      <c r="T7" s="153"/>
      <c r="U7" s="154"/>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117</v>
      </c>
      <c r="C9" s="3"/>
      <c r="D9" s="3"/>
      <c r="K9" s="17"/>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57"/>
      <c r="C11" s="158"/>
      <c r="D11" s="158"/>
      <c r="E11" s="158"/>
      <c r="F11" s="158"/>
      <c r="G11" s="158"/>
      <c r="H11" s="158"/>
      <c r="I11" s="158"/>
      <c r="J11" s="158"/>
      <c r="K11" s="158"/>
      <c r="L11" s="158"/>
      <c r="M11" s="158"/>
      <c r="N11" s="158"/>
      <c r="O11" s="158"/>
      <c r="P11" s="158"/>
      <c r="Q11" s="158"/>
      <c r="R11" s="158"/>
      <c r="S11" s="158"/>
      <c r="T11" s="158"/>
      <c r="U11" s="159"/>
    </row>
    <row r="12" spans="1:24" ht="18" customHeight="1" x14ac:dyDescent="0.2">
      <c r="B12" s="160"/>
      <c r="C12" s="161"/>
      <c r="D12" s="161"/>
      <c r="E12" s="161"/>
      <c r="F12" s="161"/>
      <c r="G12" s="161"/>
      <c r="H12" s="161"/>
      <c r="I12" s="161"/>
      <c r="J12" s="161"/>
      <c r="K12" s="161"/>
      <c r="L12" s="161"/>
      <c r="M12" s="161"/>
      <c r="N12" s="161"/>
      <c r="O12" s="161"/>
      <c r="P12" s="161"/>
      <c r="Q12" s="161"/>
      <c r="R12" s="161"/>
      <c r="S12" s="161"/>
      <c r="T12" s="161"/>
      <c r="U12" s="162"/>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7"/>
      <c r="F14" s="17"/>
      <c r="G14" s="17"/>
      <c r="H14" s="17"/>
      <c r="I14" s="17"/>
      <c r="J14" s="17"/>
      <c r="K14" s="17"/>
      <c r="L14" s="72"/>
      <c r="M14" s="72"/>
      <c r="N14" s="72"/>
      <c r="O14" s="72"/>
      <c r="P14" s="72"/>
      <c r="Q14" s="72"/>
      <c r="R14" s="72"/>
      <c r="S14" s="72"/>
      <c r="T14" s="72"/>
      <c r="U14" s="72"/>
    </row>
    <row r="15" spans="1:24" ht="18" customHeight="1" x14ac:dyDescent="0.2">
      <c r="B15" s="121" t="s">
        <v>161</v>
      </c>
      <c r="C15" s="122"/>
      <c r="D15" s="122"/>
      <c r="E15" s="122"/>
      <c r="F15" s="122"/>
      <c r="G15" s="122"/>
      <c r="H15" s="122"/>
      <c r="I15" s="122"/>
      <c r="J15" s="122"/>
      <c r="K15" s="122"/>
      <c r="L15" s="122"/>
      <c r="M15" s="122"/>
      <c r="N15" s="122"/>
      <c r="O15" s="122"/>
      <c r="P15" s="122"/>
      <c r="Q15" s="122"/>
      <c r="R15" s="122"/>
      <c r="S15" s="122"/>
      <c r="T15" s="122"/>
      <c r="U15" s="123"/>
      <c r="X15" s="1" t="s">
        <v>89</v>
      </c>
    </row>
    <row r="16" spans="1:24" ht="18" customHeight="1" x14ac:dyDescent="0.2">
      <c r="B16" s="124"/>
      <c r="C16" s="125"/>
      <c r="D16" s="125"/>
      <c r="E16" s="125"/>
      <c r="F16" s="125"/>
      <c r="G16" s="125"/>
      <c r="H16" s="125"/>
      <c r="I16" s="125"/>
      <c r="J16" s="125"/>
      <c r="K16" s="125"/>
      <c r="L16" s="125"/>
      <c r="M16" s="125"/>
      <c r="N16" s="125"/>
      <c r="O16" s="125"/>
      <c r="P16" s="125"/>
      <c r="Q16" s="125"/>
      <c r="R16" s="125"/>
      <c r="S16" s="125"/>
      <c r="T16" s="125"/>
      <c r="U16" s="126"/>
      <c r="X16" s="1" t="s">
        <v>121</v>
      </c>
    </row>
    <row r="17" spans="1:24" ht="18" customHeight="1" x14ac:dyDescent="0.2">
      <c r="B17" s="124"/>
      <c r="C17" s="125"/>
      <c r="D17" s="125"/>
      <c r="E17" s="125"/>
      <c r="F17" s="125"/>
      <c r="G17" s="125"/>
      <c r="H17" s="125"/>
      <c r="I17" s="125"/>
      <c r="J17" s="125"/>
      <c r="K17" s="125"/>
      <c r="L17" s="125"/>
      <c r="M17" s="125"/>
      <c r="N17" s="125"/>
      <c r="O17" s="125"/>
      <c r="P17" s="125"/>
      <c r="Q17" s="125"/>
      <c r="R17" s="125"/>
      <c r="S17" s="125"/>
      <c r="T17" s="125"/>
      <c r="U17" s="126"/>
      <c r="X17" s="1" t="s">
        <v>122</v>
      </c>
    </row>
    <row r="18" spans="1:24" ht="18" customHeight="1" x14ac:dyDescent="0.2">
      <c r="B18" s="124"/>
      <c r="C18" s="125"/>
      <c r="D18" s="125"/>
      <c r="E18" s="125"/>
      <c r="F18" s="125"/>
      <c r="G18" s="125"/>
      <c r="H18" s="125"/>
      <c r="I18" s="125"/>
      <c r="J18" s="125"/>
      <c r="K18" s="125"/>
      <c r="L18" s="125"/>
      <c r="M18" s="125"/>
      <c r="N18" s="125"/>
      <c r="O18" s="125"/>
      <c r="P18" s="125"/>
      <c r="Q18" s="125"/>
      <c r="R18" s="125"/>
      <c r="S18" s="125"/>
      <c r="T18" s="125"/>
      <c r="U18" s="126"/>
      <c r="X18" s="1" t="s">
        <v>123</v>
      </c>
    </row>
    <row r="19" spans="1:24" ht="18" customHeight="1" x14ac:dyDescent="0.2">
      <c r="B19" s="124"/>
      <c r="C19" s="125"/>
      <c r="D19" s="125"/>
      <c r="E19" s="125"/>
      <c r="F19" s="125"/>
      <c r="G19" s="125"/>
      <c r="H19" s="125"/>
      <c r="I19" s="125"/>
      <c r="J19" s="125"/>
      <c r="K19" s="125"/>
      <c r="L19" s="125"/>
      <c r="M19" s="125"/>
      <c r="N19" s="125"/>
      <c r="O19" s="125"/>
      <c r="P19" s="125"/>
      <c r="Q19" s="125"/>
      <c r="R19" s="125"/>
      <c r="S19" s="125"/>
      <c r="T19" s="125"/>
      <c r="U19" s="126"/>
    </row>
    <row r="20" spans="1:24" ht="18" customHeight="1" x14ac:dyDescent="0.2">
      <c r="B20" s="127"/>
      <c r="C20" s="128"/>
      <c r="D20" s="128"/>
      <c r="E20" s="128"/>
      <c r="F20" s="128"/>
      <c r="G20" s="128"/>
      <c r="H20" s="128"/>
      <c r="I20" s="128"/>
      <c r="J20" s="128"/>
      <c r="K20" s="128"/>
      <c r="L20" s="128"/>
      <c r="M20" s="128"/>
      <c r="N20" s="128"/>
      <c r="O20" s="128"/>
      <c r="P20" s="128"/>
      <c r="Q20" s="128"/>
      <c r="R20" s="128"/>
      <c r="S20" s="128"/>
      <c r="T20" s="128"/>
      <c r="U20" s="129"/>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118</v>
      </c>
      <c r="E22" s="73">
        <v>2</v>
      </c>
      <c r="F22" s="1" t="s">
        <v>106</v>
      </c>
      <c r="H22" s="18">
        <v>4</v>
      </c>
      <c r="I22" s="3" t="s">
        <v>107</v>
      </c>
      <c r="J22" s="3"/>
      <c r="K22" s="17"/>
      <c r="M22" s="17" t="s">
        <v>103</v>
      </c>
      <c r="N22" s="140" t="s">
        <v>123</v>
      </c>
      <c r="O22" s="141"/>
      <c r="P22" s="141"/>
      <c r="Q22" s="141"/>
      <c r="R22" s="141"/>
      <c r="S22" s="141"/>
      <c r="T22" s="141"/>
      <c r="U22" s="142"/>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02" t="s">
        <v>95</v>
      </c>
      <c r="B24" s="102"/>
      <c r="C24" s="102"/>
      <c r="D24" s="102"/>
      <c r="E24" s="102"/>
      <c r="F24" s="102"/>
      <c r="G24" s="102"/>
      <c r="H24" s="102"/>
      <c r="I24" s="102"/>
      <c r="J24" s="102"/>
      <c r="K24" s="102"/>
      <c r="L24" s="102"/>
      <c r="M24" s="102"/>
      <c r="N24" s="102"/>
      <c r="O24" s="102"/>
      <c r="P24" s="102"/>
      <c r="Q24" s="102"/>
      <c r="R24" s="102"/>
      <c r="S24" s="102"/>
      <c r="T24" s="102"/>
      <c r="U24" s="102"/>
    </row>
    <row r="25" spans="1:24" ht="18" customHeight="1" x14ac:dyDescent="0.2">
      <c r="A25" s="102"/>
      <c r="B25" s="102"/>
      <c r="C25" s="102"/>
      <c r="D25" s="102"/>
      <c r="E25" s="102"/>
      <c r="F25" s="102"/>
      <c r="G25" s="102"/>
      <c r="H25" s="102"/>
      <c r="I25" s="102"/>
      <c r="J25" s="102"/>
      <c r="K25" s="102"/>
      <c r="L25" s="102"/>
      <c r="M25" s="102"/>
      <c r="N25" s="102"/>
      <c r="O25" s="102"/>
      <c r="P25" s="102"/>
      <c r="Q25" s="102"/>
      <c r="R25" s="102"/>
      <c r="S25" s="102"/>
      <c r="T25" s="102"/>
      <c r="U25" s="102"/>
    </row>
    <row r="26" spans="1:24" ht="18" customHeight="1" x14ac:dyDescent="0.2">
      <c r="B26" s="109" t="s">
        <v>48</v>
      </c>
      <c r="C26" s="110"/>
      <c r="D26" s="110"/>
      <c r="E26" s="110"/>
      <c r="F26" s="111"/>
      <c r="G26" s="57" t="s">
        <v>73</v>
      </c>
      <c r="H26" s="58" t="s">
        <v>76</v>
      </c>
      <c r="I26" s="59" t="s">
        <v>51</v>
      </c>
      <c r="J26" s="59" t="s">
        <v>54</v>
      </c>
      <c r="K26" s="109" t="s">
        <v>48</v>
      </c>
      <c r="L26" s="110"/>
      <c r="M26" s="110"/>
      <c r="N26" s="110"/>
      <c r="O26" s="110"/>
      <c r="P26" s="110"/>
      <c r="Q26" s="111"/>
      <c r="R26" s="57" t="s">
        <v>73</v>
      </c>
      <c r="S26" s="58" t="s">
        <v>76</v>
      </c>
      <c r="T26" s="59" t="s">
        <v>51</v>
      </c>
      <c r="U26" s="59" t="s">
        <v>54</v>
      </c>
    </row>
    <row r="27" spans="1:24" ht="18" customHeight="1" x14ac:dyDescent="0.2">
      <c r="B27" s="103" t="s">
        <v>154</v>
      </c>
      <c r="C27" s="104"/>
      <c r="D27" s="104"/>
      <c r="E27" s="104"/>
      <c r="F27" s="105"/>
      <c r="G27" s="60">
        <v>2</v>
      </c>
      <c r="H27" s="60" t="s">
        <v>156</v>
      </c>
      <c r="I27" s="60" t="s">
        <v>156</v>
      </c>
      <c r="J27" s="60" t="s">
        <v>156</v>
      </c>
      <c r="K27" s="103"/>
      <c r="L27" s="104"/>
      <c r="M27" s="104"/>
      <c r="N27" s="104"/>
      <c r="O27" s="104"/>
      <c r="P27" s="104"/>
      <c r="Q27" s="105"/>
      <c r="R27" s="60"/>
      <c r="S27" s="60"/>
      <c r="T27" s="60"/>
      <c r="U27" s="60"/>
    </row>
    <row r="28" spans="1:24" ht="18" customHeight="1" x14ac:dyDescent="0.2">
      <c r="B28" s="96" t="s">
        <v>155</v>
      </c>
      <c r="C28" s="97"/>
      <c r="D28" s="97"/>
      <c r="E28" s="97"/>
      <c r="F28" s="98"/>
      <c r="G28" s="61">
        <v>2</v>
      </c>
      <c r="H28" s="61" t="s">
        <v>156</v>
      </c>
      <c r="I28" s="61" t="s">
        <v>156</v>
      </c>
      <c r="J28" s="61" t="s">
        <v>156</v>
      </c>
      <c r="K28" s="96"/>
      <c r="L28" s="97"/>
      <c r="M28" s="97"/>
      <c r="N28" s="97"/>
      <c r="O28" s="97"/>
      <c r="P28" s="97"/>
      <c r="Q28" s="98"/>
      <c r="R28" s="61"/>
      <c r="S28" s="61"/>
      <c r="T28" s="61"/>
      <c r="U28" s="61"/>
    </row>
    <row r="29" spans="1:24" ht="18" customHeight="1" x14ac:dyDescent="0.2">
      <c r="B29" s="96"/>
      <c r="C29" s="97"/>
      <c r="D29" s="97"/>
      <c r="E29" s="97"/>
      <c r="F29" s="98"/>
      <c r="G29" s="61"/>
      <c r="H29" s="61"/>
      <c r="I29" s="61"/>
      <c r="J29" s="61"/>
      <c r="K29" s="96"/>
      <c r="L29" s="97"/>
      <c r="M29" s="97"/>
      <c r="N29" s="97"/>
      <c r="O29" s="97"/>
      <c r="P29" s="97"/>
      <c r="Q29" s="98"/>
      <c r="R29" s="61"/>
      <c r="S29" s="61"/>
      <c r="T29" s="61"/>
      <c r="U29" s="61"/>
    </row>
    <row r="30" spans="1:24" ht="18" customHeight="1" x14ac:dyDescent="0.2">
      <c r="B30" s="96"/>
      <c r="C30" s="97"/>
      <c r="D30" s="97"/>
      <c r="E30" s="97"/>
      <c r="F30" s="98"/>
      <c r="G30" s="61"/>
      <c r="H30" s="61"/>
      <c r="I30" s="61"/>
      <c r="J30" s="61"/>
      <c r="K30" s="96"/>
      <c r="L30" s="97"/>
      <c r="M30" s="97"/>
      <c r="N30" s="97"/>
      <c r="O30" s="97"/>
      <c r="P30" s="97"/>
      <c r="Q30" s="98"/>
      <c r="R30" s="61"/>
      <c r="S30" s="61"/>
      <c r="T30" s="61"/>
      <c r="U30" s="61"/>
    </row>
    <row r="31" spans="1:24" ht="18" customHeight="1" x14ac:dyDescent="0.2">
      <c r="B31" s="96"/>
      <c r="C31" s="97"/>
      <c r="D31" s="97"/>
      <c r="E31" s="97"/>
      <c r="F31" s="98"/>
      <c r="G31" s="61"/>
      <c r="H31" s="61"/>
      <c r="I31" s="61"/>
      <c r="J31" s="61"/>
      <c r="K31" s="96"/>
      <c r="L31" s="97"/>
      <c r="M31" s="97"/>
      <c r="N31" s="97"/>
      <c r="O31" s="97"/>
      <c r="P31" s="97"/>
      <c r="Q31" s="98"/>
      <c r="R31" s="61"/>
      <c r="S31" s="61"/>
      <c r="T31" s="61"/>
      <c r="U31" s="61"/>
    </row>
    <row r="32" spans="1:24" ht="18" customHeight="1" x14ac:dyDescent="0.2">
      <c r="A32" s="3"/>
      <c r="B32" s="96"/>
      <c r="C32" s="97"/>
      <c r="D32" s="97"/>
      <c r="E32" s="97"/>
      <c r="F32" s="98"/>
      <c r="G32" s="61"/>
      <c r="H32" s="61"/>
      <c r="I32" s="61"/>
      <c r="J32" s="61"/>
      <c r="K32" s="96"/>
      <c r="L32" s="97"/>
      <c r="M32" s="97"/>
      <c r="N32" s="97"/>
      <c r="O32" s="97"/>
      <c r="P32" s="97"/>
      <c r="Q32" s="98"/>
      <c r="R32" s="61"/>
      <c r="S32" s="61"/>
      <c r="T32" s="61"/>
      <c r="U32" s="61"/>
    </row>
    <row r="33" spans="1:21" ht="18" customHeight="1" x14ac:dyDescent="0.2">
      <c r="A33" s="3"/>
      <c r="B33" s="99"/>
      <c r="C33" s="100"/>
      <c r="D33" s="100"/>
      <c r="E33" s="100"/>
      <c r="F33" s="101"/>
      <c r="G33" s="62"/>
      <c r="H33" s="62"/>
      <c r="I33" s="63"/>
      <c r="J33" s="63"/>
      <c r="K33" s="99"/>
      <c r="L33" s="100"/>
      <c r="M33" s="100"/>
      <c r="N33" s="100"/>
      <c r="O33" s="100"/>
      <c r="P33" s="100"/>
      <c r="Q33" s="101"/>
      <c r="R33" s="62"/>
      <c r="S33" s="62"/>
      <c r="T33" s="63"/>
      <c r="U33" s="63"/>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02" t="s">
        <v>96</v>
      </c>
      <c r="B35" s="102"/>
      <c r="C35" s="102"/>
      <c r="D35" s="102"/>
      <c r="E35" s="102"/>
      <c r="F35" s="102"/>
      <c r="G35" s="102"/>
      <c r="H35" s="102"/>
      <c r="I35" s="102"/>
      <c r="J35" s="102"/>
      <c r="K35" s="102"/>
      <c r="L35" s="102"/>
      <c r="M35" s="102"/>
      <c r="N35" s="102"/>
      <c r="O35" s="102"/>
      <c r="P35" s="102"/>
      <c r="Q35" s="102"/>
      <c r="R35" s="102"/>
      <c r="S35" s="102"/>
      <c r="T35" s="102"/>
      <c r="U35" s="102"/>
    </row>
    <row r="36" spans="1:21" ht="18" customHeight="1" x14ac:dyDescent="0.2">
      <c r="A36" s="102"/>
      <c r="B36" s="102"/>
      <c r="C36" s="102"/>
      <c r="D36" s="102"/>
      <c r="E36" s="102"/>
      <c r="F36" s="102"/>
      <c r="G36" s="102"/>
      <c r="H36" s="102"/>
      <c r="I36" s="102"/>
      <c r="J36" s="102"/>
      <c r="K36" s="102"/>
      <c r="L36" s="102"/>
      <c r="M36" s="102"/>
      <c r="N36" s="102"/>
      <c r="O36" s="102"/>
      <c r="P36" s="102"/>
      <c r="Q36" s="102"/>
      <c r="R36" s="102"/>
      <c r="S36" s="102"/>
      <c r="T36" s="102"/>
      <c r="U36" s="102"/>
    </row>
    <row r="37" spans="1:21" ht="18" customHeight="1" x14ac:dyDescent="0.2">
      <c r="B37" s="109" t="s">
        <v>48</v>
      </c>
      <c r="C37" s="110"/>
      <c r="D37" s="110"/>
      <c r="E37" s="110"/>
      <c r="F37" s="111"/>
      <c r="G37" s="57" t="s">
        <v>73</v>
      </c>
      <c r="H37" s="58" t="s">
        <v>76</v>
      </c>
      <c r="I37" s="59" t="s">
        <v>64</v>
      </c>
      <c r="J37" s="59" t="s">
        <v>65</v>
      </c>
      <c r="K37" s="109" t="s">
        <v>48</v>
      </c>
      <c r="L37" s="110"/>
      <c r="M37" s="110"/>
      <c r="N37" s="110"/>
      <c r="O37" s="110"/>
      <c r="P37" s="110"/>
      <c r="Q37" s="111"/>
      <c r="R37" s="57" t="s">
        <v>73</v>
      </c>
      <c r="S37" s="58" t="s">
        <v>76</v>
      </c>
      <c r="T37" s="59" t="s">
        <v>64</v>
      </c>
      <c r="U37" s="59" t="s">
        <v>65</v>
      </c>
    </row>
    <row r="38" spans="1:21" ht="18" customHeight="1" x14ac:dyDescent="0.2">
      <c r="B38" s="103" t="s">
        <v>154</v>
      </c>
      <c r="C38" s="104"/>
      <c r="D38" s="104"/>
      <c r="E38" s="104"/>
      <c r="F38" s="105"/>
      <c r="G38" s="60">
        <v>2</v>
      </c>
      <c r="H38" s="60" t="s">
        <v>156</v>
      </c>
      <c r="I38" s="60" t="s">
        <v>156</v>
      </c>
      <c r="J38" s="60" t="s">
        <v>156</v>
      </c>
      <c r="K38" s="103"/>
      <c r="L38" s="104"/>
      <c r="M38" s="104"/>
      <c r="N38" s="104"/>
      <c r="O38" s="104"/>
      <c r="P38" s="104"/>
      <c r="Q38" s="105"/>
      <c r="R38" s="60"/>
      <c r="S38" s="60"/>
      <c r="T38" s="60"/>
      <c r="U38" s="60"/>
    </row>
    <row r="39" spans="1:21" ht="18" customHeight="1" x14ac:dyDescent="0.2">
      <c r="B39" s="96" t="s">
        <v>155</v>
      </c>
      <c r="C39" s="97"/>
      <c r="D39" s="97"/>
      <c r="E39" s="97"/>
      <c r="F39" s="98"/>
      <c r="G39" s="61">
        <v>2</v>
      </c>
      <c r="H39" s="61" t="s">
        <v>156</v>
      </c>
      <c r="I39" s="61" t="s">
        <v>156</v>
      </c>
      <c r="J39" s="61" t="s">
        <v>156</v>
      </c>
      <c r="K39" s="96"/>
      <c r="L39" s="97"/>
      <c r="M39" s="97"/>
      <c r="N39" s="97"/>
      <c r="O39" s="97"/>
      <c r="P39" s="97"/>
      <c r="Q39" s="98"/>
      <c r="R39" s="61"/>
      <c r="S39" s="61"/>
      <c r="T39" s="61"/>
      <c r="U39" s="61"/>
    </row>
    <row r="40" spans="1:21" ht="18" customHeight="1" x14ac:dyDescent="0.2">
      <c r="B40" s="96"/>
      <c r="C40" s="97"/>
      <c r="D40" s="97"/>
      <c r="E40" s="97"/>
      <c r="F40" s="98"/>
      <c r="G40" s="61"/>
      <c r="H40" s="61"/>
      <c r="I40" s="61"/>
      <c r="J40" s="61"/>
      <c r="K40" s="96"/>
      <c r="L40" s="97"/>
      <c r="M40" s="97"/>
      <c r="N40" s="97"/>
      <c r="O40" s="97"/>
      <c r="P40" s="97"/>
      <c r="Q40" s="98"/>
      <c r="R40" s="61"/>
      <c r="S40" s="61"/>
      <c r="T40" s="61"/>
      <c r="U40" s="61"/>
    </row>
    <row r="41" spans="1:21" ht="18" customHeight="1" x14ac:dyDescent="0.2">
      <c r="B41" s="96"/>
      <c r="C41" s="97"/>
      <c r="D41" s="97"/>
      <c r="E41" s="97"/>
      <c r="F41" s="98"/>
      <c r="G41" s="61"/>
      <c r="H41" s="61"/>
      <c r="I41" s="61"/>
      <c r="J41" s="61"/>
      <c r="K41" s="96"/>
      <c r="L41" s="97"/>
      <c r="M41" s="97"/>
      <c r="N41" s="97"/>
      <c r="O41" s="97"/>
      <c r="P41" s="97"/>
      <c r="Q41" s="98"/>
      <c r="R41" s="61"/>
      <c r="S41" s="61"/>
      <c r="T41" s="61"/>
      <c r="U41" s="61"/>
    </row>
    <row r="42" spans="1:21" ht="18" customHeight="1" x14ac:dyDescent="0.2">
      <c r="B42" s="96"/>
      <c r="C42" s="97"/>
      <c r="D42" s="97"/>
      <c r="E42" s="97"/>
      <c r="F42" s="98"/>
      <c r="G42" s="61"/>
      <c r="H42" s="61"/>
      <c r="I42" s="61"/>
      <c r="J42" s="61"/>
      <c r="K42" s="96"/>
      <c r="L42" s="97"/>
      <c r="M42" s="97"/>
      <c r="N42" s="97"/>
      <c r="O42" s="97"/>
      <c r="P42" s="97"/>
      <c r="Q42" s="98"/>
      <c r="R42" s="61"/>
      <c r="S42" s="61"/>
      <c r="T42" s="61"/>
      <c r="U42" s="61"/>
    </row>
    <row r="43" spans="1:21" ht="18" customHeight="1" x14ac:dyDescent="0.2">
      <c r="B43" s="96"/>
      <c r="C43" s="97"/>
      <c r="D43" s="97"/>
      <c r="E43" s="97"/>
      <c r="F43" s="98"/>
      <c r="G43" s="61"/>
      <c r="H43" s="61"/>
      <c r="I43" s="61"/>
      <c r="J43" s="61"/>
      <c r="K43" s="96"/>
      <c r="L43" s="97"/>
      <c r="M43" s="97"/>
      <c r="N43" s="97"/>
      <c r="O43" s="97"/>
      <c r="P43" s="97"/>
      <c r="Q43" s="98"/>
      <c r="R43" s="61"/>
      <c r="S43" s="61"/>
      <c r="T43" s="61"/>
      <c r="U43" s="61"/>
    </row>
    <row r="44" spans="1:21" ht="18" customHeight="1" x14ac:dyDescent="0.2">
      <c r="B44" s="99"/>
      <c r="C44" s="100"/>
      <c r="D44" s="100"/>
      <c r="E44" s="100"/>
      <c r="F44" s="101"/>
      <c r="G44" s="62"/>
      <c r="H44" s="62"/>
      <c r="I44" s="63"/>
      <c r="J44" s="63"/>
      <c r="K44" s="99"/>
      <c r="L44" s="100"/>
      <c r="M44" s="100"/>
      <c r="N44" s="100"/>
      <c r="O44" s="100"/>
      <c r="P44" s="100"/>
      <c r="Q44" s="101"/>
      <c r="R44" s="62"/>
      <c r="S44" s="62"/>
      <c r="T44" s="63"/>
      <c r="U44" s="63"/>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02" t="s">
        <v>97</v>
      </c>
      <c r="B46" s="102"/>
      <c r="C46" s="102"/>
      <c r="D46" s="102"/>
      <c r="E46" s="102"/>
      <c r="F46" s="102"/>
      <c r="G46" s="102"/>
      <c r="H46" s="102"/>
      <c r="I46" s="102"/>
      <c r="J46" s="102"/>
      <c r="K46" s="102"/>
      <c r="L46" s="102"/>
      <c r="M46" s="102"/>
      <c r="N46" s="102"/>
      <c r="O46" s="102"/>
      <c r="P46" s="102"/>
      <c r="Q46" s="102"/>
      <c r="R46" s="102"/>
      <c r="S46" s="102"/>
      <c r="T46" s="102"/>
      <c r="U46" s="102"/>
    </row>
    <row r="47" spans="1:21" ht="18" customHeight="1" x14ac:dyDescent="0.2">
      <c r="A47" s="102"/>
      <c r="B47" s="102"/>
      <c r="C47" s="102"/>
      <c r="D47" s="102"/>
      <c r="E47" s="102"/>
      <c r="F47" s="102"/>
      <c r="G47" s="102"/>
      <c r="H47" s="102"/>
      <c r="I47" s="102"/>
      <c r="J47" s="102"/>
      <c r="K47" s="102"/>
      <c r="L47" s="102"/>
      <c r="M47" s="102"/>
      <c r="N47" s="102"/>
      <c r="O47" s="102"/>
      <c r="P47" s="102"/>
      <c r="Q47" s="102"/>
      <c r="R47" s="102"/>
      <c r="S47" s="102"/>
      <c r="T47" s="102"/>
      <c r="U47" s="102"/>
    </row>
    <row r="48" spans="1:21" ht="18" customHeight="1" x14ac:dyDescent="0.2">
      <c r="B48" s="109" t="s">
        <v>48</v>
      </c>
      <c r="C48" s="110"/>
      <c r="D48" s="110"/>
      <c r="E48" s="110"/>
      <c r="F48" s="111"/>
      <c r="G48" s="57" t="s">
        <v>73</v>
      </c>
      <c r="H48" s="58" t="s">
        <v>76</v>
      </c>
      <c r="I48" s="59" t="s">
        <v>66</v>
      </c>
      <c r="J48" s="59" t="s">
        <v>67</v>
      </c>
      <c r="K48" s="109" t="s">
        <v>48</v>
      </c>
      <c r="L48" s="110"/>
      <c r="M48" s="110"/>
      <c r="N48" s="110"/>
      <c r="O48" s="110"/>
      <c r="P48" s="110"/>
      <c r="Q48" s="111"/>
      <c r="R48" s="57" t="s">
        <v>73</v>
      </c>
      <c r="S48" s="58" t="s">
        <v>76</v>
      </c>
      <c r="T48" s="59" t="s">
        <v>66</v>
      </c>
      <c r="U48" s="59" t="s">
        <v>67</v>
      </c>
    </row>
    <row r="49" spans="1:21" ht="18" customHeight="1" x14ac:dyDescent="0.2">
      <c r="A49" s="3"/>
      <c r="B49" s="103" t="s">
        <v>154</v>
      </c>
      <c r="C49" s="104"/>
      <c r="D49" s="104"/>
      <c r="E49" s="104"/>
      <c r="F49" s="105"/>
      <c r="G49" s="60">
        <v>2</v>
      </c>
      <c r="H49" s="60" t="s">
        <v>156</v>
      </c>
      <c r="I49" s="60" t="s">
        <v>156</v>
      </c>
      <c r="J49" s="60" t="s">
        <v>156</v>
      </c>
      <c r="K49" s="103"/>
      <c r="L49" s="104"/>
      <c r="M49" s="104"/>
      <c r="N49" s="104"/>
      <c r="O49" s="104"/>
      <c r="P49" s="104"/>
      <c r="Q49" s="105"/>
      <c r="R49" s="60"/>
      <c r="S49" s="60"/>
      <c r="T49" s="60"/>
      <c r="U49" s="60"/>
    </row>
    <row r="50" spans="1:21" ht="18" customHeight="1" x14ac:dyDescent="0.2">
      <c r="A50" s="3"/>
      <c r="B50" s="96" t="s">
        <v>155</v>
      </c>
      <c r="C50" s="97"/>
      <c r="D50" s="97"/>
      <c r="E50" s="97"/>
      <c r="F50" s="98"/>
      <c r="G50" s="61">
        <v>2</v>
      </c>
      <c r="H50" s="61" t="s">
        <v>156</v>
      </c>
      <c r="I50" s="61" t="s">
        <v>156</v>
      </c>
      <c r="J50" s="61" t="s">
        <v>156</v>
      </c>
      <c r="K50" s="96"/>
      <c r="L50" s="97"/>
      <c r="M50" s="97"/>
      <c r="N50" s="97"/>
      <c r="O50" s="97"/>
      <c r="P50" s="97"/>
      <c r="Q50" s="98"/>
      <c r="R50" s="61"/>
      <c r="S50" s="61"/>
      <c r="T50" s="61"/>
      <c r="U50" s="61"/>
    </row>
    <row r="51" spans="1:21" ht="18" customHeight="1" x14ac:dyDescent="0.2">
      <c r="A51" s="3"/>
      <c r="B51" s="96"/>
      <c r="C51" s="97"/>
      <c r="D51" s="97"/>
      <c r="E51" s="97"/>
      <c r="F51" s="98"/>
      <c r="G51" s="61"/>
      <c r="H51" s="61"/>
      <c r="I51" s="61"/>
      <c r="J51" s="61"/>
      <c r="K51" s="96"/>
      <c r="L51" s="97"/>
      <c r="M51" s="97"/>
      <c r="N51" s="97"/>
      <c r="O51" s="97"/>
      <c r="P51" s="97"/>
      <c r="Q51" s="98"/>
      <c r="R51" s="61"/>
      <c r="S51" s="61"/>
      <c r="T51" s="61"/>
      <c r="U51" s="61"/>
    </row>
    <row r="52" spans="1:21" ht="18" customHeight="1" x14ac:dyDescent="0.2">
      <c r="A52" s="3"/>
      <c r="B52" s="96"/>
      <c r="C52" s="97"/>
      <c r="D52" s="97"/>
      <c r="E52" s="97"/>
      <c r="F52" s="98"/>
      <c r="G52" s="61"/>
      <c r="H52" s="61"/>
      <c r="I52" s="61"/>
      <c r="J52" s="61"/>
      <c r="K52" s="96"/>
      <c r="L52" s="97"/>
      <c r="M52" s="97"/>
      <c r="N52" s="97"/>
      <c r="O52" s="97"/>
      <c r="P52" s="97"/>
      <c r="Q52" s="98"/>
      <c r="R52" s="61"/>
      <c r="S52" s="61"/>
      <c r="T52" s="61"/>
      <c r="U52" s="61"/>
    </row>
    <row r="53" spans="1:21" ht="18" customHeight="1" x14ac:dyDescent="0.2">
      <c r="A53" s="3"/>
      <c r="B53" s="96"/>
      <c r="C53" s="97"/>
      <c r="D53" s="97"/>
      <c r="E53" s="97"/>
      <c r="F53" s="98"/>
      <c r="G53" s="61"/>
      <c r="H53" s="61"/>
      <c r="I53" s="61"/>
      <c r="J53" s="61"/>
      <c r="K53" s="96"/>
      <c r="L53" s="97"/>
      <c r="M53" s="97"/>
      <c r="N53" s="97"/>
      <c r="O53" s="97"/>
      <c r="P53" s="97"/>
      <c r="Q53" s="98"/>
      <c r="R53" s="61"/>
      <c r="S53" s="61"/>
      <c r="T53" s="61"/>
      <c r="U53" s="61"/>
    </row>
    <row r="54" spans="1:21" ht="18" customHeight="1" x14ac:dyDescent="0.2">
      <c r="A54" s="3"/>
      <c r="B54" s="96"/>
      <c r="C54" s="97"/>
      <c r="D54" s="97"/>
      <c r="E54" s="97"/>
      <c r="F54" s="98"/>
      <c r="G54" s="61"/>
      <c r="H54" s="61"/>
      <c r="I54" s="61"/>
      <c r="J54" s="61"/>
      <c r="K54" s="96"/>
      <c r="L54" s="97"/>
      <c r="M54" s="97"/>
      <c r="N54" s="97"/>
      <c r="O54" s="97"/>
      <c r="P54" s="97"/>
      <c r="Q54" s="98"/>
      <c r="R54" s="61"/>
      <c r="S54" s="61"/>
      <c r="T54" s="61"/>
      <c r="U54" s="61"/>
    </row>
    <row r="55" spans="1:21" ht="18" customHeight="1" x14ac:dyDescent="0.2">
      <c r="A55" s="3"/>
      <c r="B55" s="99"/>
      <c r="C55" s="100"/>
      <c r="D55" s="100"/>
      <c r="E55" s="100"/>
      <c r="F55" s="101"/>
      <c r="G55" s="62"/>
      <c r="H55" s="62"/>
      <c r="I55" s="63"/>
      <c r="J55" s="63"/>
      <c r="K55" s="99"/>
      <c r="L55" s="100"/>
      <c r="M55" s="100"/>
      <c r="N55" s="100"/>
      <c r="O55" s="100"/>
      <c r="P55" s="100"/>
      <c r="Q55" s="101"/>
      <c r="R55" s="62"/>
      <c r="S55" s="62"/>
      <c r="T55" s="63"/>
      <c r="U55" s="63"/>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02" t="s">
        <v>98</v>
      </c>
      <c r="B57" s="102"/>
      <c r="C57" s="102"/>
      <c r="D57" s="102"/>
      <c r="E57" s="102"/>
      <c r="F57" s="102"/>
      <c r="G57" s="102"/>
      <c r="H57" s="102"/>
      <c r="I57" s="102"/>
      <c r="J57" s="102"/>
      <c r="K57" s="102"/>
      <c r="L57" s="102"/>
      <c r="M57" s="102"/>
      <c r="N57" s="102"/>
      <c r="O57" s="102"/>
      <c r="P57" s="102"/>
      <c r="Q57" s="102"/>
      <c r="R57" s="102"/>
      <c r="S57" s="102"/>
      <c r="T57" s="102"/>
      <c r="U57" s="102"/>
    </row>
    <row r="58" spans="1:21" ht="18" customHeight="1" x14ac:dyDescent="0.2">
      <c r="A58" s="102"/>
      <c r="B58" s="102"/>
      <c r="C58" s="102"/>
      <c r="D58" s="102"/>
      <c r="E58" s="102"/>
      <c r="F58" s="102"/>
      <c r="G58" s="102"/>
      <c r="H58" s="102"/>
      <c r="I58" s="102"/>
      <c r="J58" s="102"/>
      <c r="K58" s="102"/>
      <c r="L58" s="102"/>
      <c r="M58" s="102"/>
      <c r="N58" s="102"/>
      <c r="O58" s="102"/>
      <c r="P58" s="102"/>
      <c r="Q58" s="102"/>
      <c r="R58" s="102"/>
      <c r="S58" s="102"/>
      <c r="T58" s="102"/>
      <c r="U58" s="102"/>
    </row>
    <row r="59" spans="1:21" ht="18" customHeight="1" x14ac:dyDescent="0.2">
      <c r="B59" s="109" t="s">
        <v>48</v>
      </c>
      <c r="C59" s="110"/>
      <c r="D59" s="110"/>
      <c r="E59" s="110"/>
      <c r="F59" s="111"/>
      <c r="G59" s="57" t="s">
        <v>73</v>
      </c>
      <c r="H59" s="58" t="s">
        <v>76</v>
      </c>
      <c r="I59" s="59" t="s">
        <v>53</v>
      </c>
      <c r="J59" s="59" t="s">
        <v>55</v>
      </c>
      <c r="K59" s="109" t="s">
        <v>48</v>
      </c>
      <c r="L59" s="110"/>
      <c r="M59" s="110"/>
      <c r="N59" s="110"/>
      <c r="O59" s="110"/>
      <c r="P59" s="110"/>
      <c r="Q59" s="111"/>
      <c r="R59" s="57" t="s">
        <v>73</v>
      </c>
      <c r="S59" s="58" t="s">
        <v>76</v>
      </c>
      <c r="T59" s="59" t="s">
        <v>53</v>
      </c>
      <c r="U59" s="59" t="s">
        <v>55</v>
      </c>
    </row>
    <row r="60" spans="1:21" ht="18" customHeight="1" x14ac:dyDescent="0.2">
      <c r="A60" s="3"/>
      <c r="B60" s="103" t="s">
        <v>157</v>
      </c>
      <c r="C60" s="104"/>
      <c r="D60" s="104"/>
      <c r="E60" s="104"/>
      <c r="F60" s="105"/>
      <c r="G60" s="61">
        <v>2</v>
      </c>
      <c r="H60" s="60" t="s">
        <v>156</v>
      </c>
      <c r="I60" s="60" t="s">
        <v>156</v>
      </c>
      <c r="J60" s="60" t="s">
        <v>156</v>
      </c>
      <c r="K60" s="103"/>
      <c r="L60" s="104"/>
      <c r="M60" s="104"/>
      <c r="N60" s="104"/>
      <c r="O60" s="104"/>
      <c r="P60" s="104"/>
      <c r="Q60" s="105"/>
      <c r="R60" s="60"/>
      <c r="S60" s="60"/>
      <c r="T60" s="60"/>
      <c r="U60" s="60"/>
    </row>
    <row r="61" spans="1:21" ht="18" customHeight="1" x14ac:dyDescent="0.2">
      <c r="A61" s="3"/>
      <c r="B61" s="96"/>
      <c r="C61" s="97"/>
      <c r="D61" s="97"/>
      <c r="E61" s="97"/>
      <c r="F61" s="98"/>
      <c r="H61" s="61"/>
      <c r="I61" s="61"/>
      <c r="J61" s="61"/>
      <c r="K61" s="96"/>
      <c r="L61" s="97"/>
      <c r="M61" s="97"/>
      <c r="N61" s="97"/>
      <c r="O61" s="97"/>
      <c r="P61" s="97"/>
      <c r="Q61" s="98"/>
      <c r="R61" s="61"/>
      <c r="S61" s="61"/>
      <c r="T61" s="61"/>
      <c r="U61" s="61"/>
    </row>
    <row r="62" spans="1:21" ht="18" customHeight="1" x14ac:dyDescent="0.2">
      <c r="A62" s="3"/>
      <c r="B62" s="96"/>
      <c r="C62" s="97"/>
      <c r="D62" s="97"/>
      <c r="E62" s="97"/>
      <c r="F62" s="98"/>
      <c r="G62" s="61"/>
      <c r="H62" s="61"/>
      <c r="I62" s="61"/>
      <c r="J62" s="61"/>
      <c r="K62" s="96"/>
      <c r="L62" s="97"/>
      <c r="M62" s="97"/>
      <c r="N62" s="97"/>
      <c r="O62" s="97"/>
      <c r="P62" s="97"/>
      <c r="Q62" s="98"/>
      <c r="R62" s="61"/>
      <c r="S62" s="61"/>
      <c r="T62" s="61"/>
      <c r="U62" s="61"/>
    </row>
    <row r="63" spans="1:21" ht="18" customHeight="1" x14ac:dyDescent="0.2">
      <c r="A63" s="3"/>
      <c r="B63" s="96"/>
      <c r="C63" s="97"/>
      <c r="D63" s="97"/>
      <c r="E63" s="97"/>
      <c r="F63" s="98"/>
      <c r="G63" s="61"/>
      <c r="H63" s="61"/>
      <c r="I63" s="61"/>
      <c r="J63" s="61"/>
      <c r="K63" s="96"/>
      <c r="L63" s="97"/>
      <c r="M63" s="97"/>
      <c r="N63" s="97"/>
      <c r="O63" s="97"/>
      <c r="P63" s="97"/>
      <c r="Q63" s="98"/>
      <c r="R63" s="61"/>
      <c r="S63" s="61"/>
      <c r="T63" s="61"/>
      <c r="U63" s="61"/>
    </row>
    <row r="64" spans="1:21" ht="18" customHeight="1" x14ac:dyDescent="0.2">
      <c r="A64" s="3"/>
      <c r="B64" s="96"/>
      <c r="C64" s="97"/>
      <c r="D64" s="97"/>
      <c r="E64" s="97"/>
      <c r="F64" s="98"/>
      <c r="G64" s="61"/>
      <c r="H64" s="61"/>
      <c r="I64" s="61"/>
      <c r="J64" s="61"/>
      <c r="K64" s="96"/>
      <c r="L64" s="97"/>
      <c r="M64" s="97"/>
      <c r="N64" s="97"/>
      <c r="O64" s="97"/>
      <c r="P64" s="97"/>
      <c r="Q64" s="98"/>
      <c r="R64" s="61"/>
      <c r="S64" s="61"/>
      <c r="T64" s="61"/>
      <c r="U64" s="61"/>
    </row>
    <row r="65" spans="1:27" ht="18" customHeight="1" x14ac:dyDescent="0.2">
      <c r="A65" s="3"/>
      <c r="B65" s="96"/>
      <c r="C65" s="97"/>
      <c r="D65" s="97"/>
      <c r="E65" s="97"/>
      <c r="F65" s="98"/>
      <c r="G65" s="61"/>
      <c r="H65" s="61"/>
      <c r="I65" s="61"/>
      <c r="J65" s="61"/>
      <c r="K65" s="96"/>
      <c r="L65" s="97"/>
      <c r="M65" s="97"/>
      <c r="N65" s="97"/>
      <c r="O65" s="97"/>
      <c r="P65" s="97"/>
      <c r="Q65" s="98"/>
      <c r="R65" s="61"/>
      <c r="S65" s="61"/>
      <c r="T65" s="61"/>
      <c r="U65" s="61"/>
    </row>
    <row r="66" spans="1:27" ht="18" customHeight="1" x14ac:dyDescent="0.2">
      <c r="A66" s="3"/>
      <c r="B66" s="99"/>
      <c r="C66" s="100"/>
      <c r="D66" s="100"/>
      <c r="E66" s="100"/>
      <c r="F66" s="101"/>
      <c r="G66" s="62"/>
      <c r="H66" s="62"/>
      <c r="I66" s="63"/>
      <c r="J66" s="63"/>
      <c r="K66" s="99"/>
      <c r="L66" s="100"/>
      <c r="M66" s="100"/>
      <c r="N66" s="100"/>
      <c r="O66" s="100"/>
      <c r="P66" s="100"/>
      <c r="Q66" s="101"/>
      <c r="R66" s="62"/>
      <c r="S66" s="62"/>
      <c r="T66" s="63"/>
      <c r="U66" s="63"/>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02" t="s">
        <v>99</v>
      </c>
      <c r="B68" s="102"/>
      <c r="C68" s="102"/>
      <c r="D68" s="102"/>
      <c r="E68" s="102"/>
      <c r="F68" s="102"/>
      <c r="G68" s="102"/>
      <c r="H68" s="102"/>
      <c r="I68" s="102"/>
      <c r="J68" s="102"/>
      <c r="K68" s="102"/>
      <c r="L68" s="102"/>
      <c r="M68" s="102"/>
      <c r="N68" s="102"/>
      <c r="O68" s="102"/>
      <c r="P68" s="102"/>
      <c r="Q68" s="102"/>
      <c r="R68" s="102"/>
      <c r="S68" s="102"/>
      <c r="T68" s="102"/>
      <c r="U68" s="102"/>
    </row>
    <row r="69" spans="1:27" ht="18" customHeight="1" x14ac:dyDescent="0.2">
      <c r="A69" s="102"/>
      <c r="B69" s="102"/>
      <c r="C69" s="102"/>
      <c r="D69" s="102"/>
      <c r="E69" s="102"/>
      <c r="F69" s="102"/>
      <c r="G69" s="102"/>
      <c r="H69" s="102"/>
      <c r="I69" s="102"/>
      <c r="J69" s="102"/>
      <c r="K69" s="102"/>
      <c r="L69" s="102"/>
      <c r="M69" s="102"/>
      <c r="N69" s="102"/>
      <c r="O69" s="102"/>
      <c r="P69" s="102"/>
      <c r="Q69" s="102"/>
      <c r="R69" s="102"/>
      <c r="S69" s="102"/>
      <c r="T69" s="102"/>
      <c r="U69" s="102"/>
    </row>
    <row r="70" spans="1:27" ht="18" customHeight="1" x14ac:dyDescent="0.2">
      <c r="B70" s="109" t="s">
        <v>48</v>
      </c>
      <c r="C70" s="110"/>
      <c r="D70" s="110"/>
      <c r="E70" s="110"/>
      <c r="F70" s="57" t="s">
        <v>73</v>
      </c>
      <c r="G70" s="58" t="s">
        <v>76</v>
      </c>
      <c r="H70" s="59" t="s">
        <v>87</v>
      </c>
      <c r="I70" s="59" t="s">
        <v>68</v>
      </c>
      <c r="J70" s="59" t="s">
        <v>69</v>
      </c>
      <c r="K70" s="109" t="s">
        <v>48</v>
      </c>
      <c r="L70" s="110"/>
      <c r="M70" s="110"/>
      <c r="N70" s="110"/>
      <c r="O70" s="110"/>
      <c r="P70" s="111"/>
      <c r="Q70" s="57" t="s">
        <v>73</v>
      </c>
      <c r="R70" s="58" t="s">
        <v>76</v>
      </c>
      <c r="S70" s="59" t="s">
        <v>87</v>
      </c>
      <c r="T70" s="59" t="s">
        <v>68</v>
      </c>
      <c r="U70" s="59" t="s">
        <v>69</v>
      </c>
    </row>
    <row r="71" spans="1:27" ht="18" customHeight="1" x14ac:dyDescent="0.2">
      <c r="A71" s="3"/>
      <c r="B71" s="103" t="s">
        <v>154</v>
      </c>
      <c r="C71" s="104"/>
      <c r="D71" s="104"/>
      <c r="E71" s="105"/>
      <c r="F71" s="60">
        <v>2</v>
      </c>
      <c r="G71" s="60" t="s">
        <v>156</v>
      </c>
      <c r="H71" s="60" t="s">
        <v>156</v>
      </c>
      <c r="I71" s="60" t="s">
        <v>156</v>
      </c>
      <c r="J71" s="60" t="s">
        <v>156</v>
      </c>
      <c r="K71" s="103"/>
      <c r="L71" s="104"/>
      <c r="M71" s="104"/>
      <c r="N71" s="104"/>
      <c r="O71" s="104"/>
      <c r="P71" s="105"/>
      <c r="Q71" s="60"/>
      <c r="R71" s="60"/>
      <c r="S71" s="60"/>
      <c r="T71" s="60"/>
      <c r="U71" s="60"/>
    </row>
    <row r="72" spans="1:27" ht="18" customHeight="1" x14ac:dyDescent="0.2">
      <c r="A72" s="3"/>
      <c r="B72" s="96" t="s">
        <v>155</v>
      </c>
      <c r="C72" s="97"/>
      <c r="D72" s="97"/>
      <c r="E72" s="98"/>
      <c r="F72" s="61">
        <v>2</v>
      </c>
      <c r="G72" s="61" t="s">
        <v>156</v>
      </c>
      <c r="H72" s="61" t="s">
        <v>156</v>
      </c>
      <c r="I72" s="61" t="s">
        <v>156</v>
      </c>
      <c r="J72" s="61" t="s">
        <v>156</v>
      </c>
      <c r="K72" s="96"/>
      <c r="L72" s="97"/>
      <c r="M72" s="97"/>
      <c r="N72" s="97"/>
      <c r="O72" s="97"/>
      <c r="P72" s="98"/>
      <c r="Q72" s="61"/>
      <c r="R72" s="61"/>
      <c r="S72" s="61"/>
      <c r="T72" s="61"/>
      <c r="U72" s="61"/>
    </row>
    <row r="73" spans="1:27" ht="18" customHeight="1" x14ac:dyDescent="0.2">
      <c r="A73" s="3"/>
      <c r="B73" s="96"/>
      <c r="C73" s="97"/>
      <c r="D73" s="97"/>
      <c r="E73" s="97"/>
      <c r="F73" s="61"/>
      <c r="G73" s="61"/>
      <c r="H73" s="61"/>
      <c r="I73" s="61"/>
      <c r="J73" s="61"/>
      <c r="K73" s="96"/>
      <c r="L73" s="97"/>
      <c r="M73" s="97"/>
      <c r="N73" s="97"/>
      <c r="O73" s="97"/>
      <c r="P73" s="98"/>
      <c r="Q73" s="61"/>
      <c r="R73" s="61"/>
      <c r="S73" s="61"/>
      <c r="T73" s="61"/>
      <c r="U73" s="61"/>
    </row>
    <row r="74" spans="1:27" ht="18" customHeight="1" x14ac:dyDescent="0.2">
      <c r="A74" s="3"/>
      <c r="B74" s="96"/>
      <c r="C74" s="97"/>
      <c r="D74" s="97"/>
      <c r="E74" s="97"/>
      <c r="F74" s="61"/>
      <c r="G74" s="61"/>
      <c r="H74" s="61"/>
      <c r="I74" s="61"/>
      <c r="J74" s="61"/>
      <c r="K74" s="96"/>
      <c r="L74" s="97"/>
      <c r="M74" s="97"/>
      <c r="N74" s="97"/>
      <c r="O74" s="97"/>
      <c r="P74" s="98"/>
      <c r="Q74" s="61"/>
      <c r="R74" s="61"/>
      <c r="S74" s="61"/>
      <c r="T74" s="61"/>
      <c r="U74" s="61"/>
    </row>
    <row r="75" spans="1:27" ht="18" customHeight="1" x14ac:dyDescent="0.2">
      <c r="A75" s="3"/>
      <c r="B75" s="96"/>
      <c r="C75" s="97"/>
      <c r="D75" s="97"/>
      <c r="E75" s="97"/>
      <c r="F75" s="61"/>
      <c r="G75" s="61"/>
      <c r="H75" s="61"/>
      <c r="I75" s="61"/>
      <c r="J75" s="61"/>
      <c r="K75" s="96"/>
      <c r="L75" s="97"/>
      <c r="M75" s="97"/>
      <c r="N75" s="97"/>
      <c r="O75" s="97"/>
      <c r="P75" s="98"/>
      <c r="Q75" s="61"/>
      <c r="R75" s="61"/>
      <c r="S75" s="61"/>
      <c r="T75" s="61"/>
      <c r="U75" s="61"/>
    </row>
    <row r="76" spans="1:27" ht="18" customHeight="1" x14ac:dyDescent="0.2">
      <c r="A76" s="3"/>
      <c r="B76" s="96"/>
      <c r="C76" s="97"/>
      <c r="D76" s="97"/>
      <c r="E76" s="97"/>
      <c r="F76" s="61"/>
      <c r="G76" s="61"/>
      <c r="H76" s="61"/>
      <c r="I76" s="61"/>
      <c r="J76" s="61"/>
      <c r="K76" s="96"/>
      <c r="L76" s="97"/>
      <c r="M76" s="97"/>
      <c r="N76" s="97"/>
      <c r="O76" s="97"/>
      <c r="P76" s="98"/>
      <c r="Q76" s="61"/>
      <c r="R76" s="61"/>
      <c r="S76" s="61"/>
      <c r="T76" s="61"/>
      <c r="U76" s="61"/>
    </row>
    <row r="77" spans="1:27" ht="18" customHeight="1" x14ac:dyDescent="0.2">
      <c r="A77" s="3"/>
      <c r="B77" s="99"/>
      <c r="C77" s="100"/>
      <c r="D77" s="100"/>
      <c r="E77" s="100"/>
      <c r="F77" s="62"/>
      <c r="G77" s="62"/>
      <c r="H77" s="63"/>
      <c r="I77" s="63"/>
      <c r="J77" s="63"/>
      <c r="K77" s="99"/>
      <c r="L77" s="100"/>
      <c r="M77" s="100"/>
      <c r="N77" s="100"/>
      <c r="O77" s="100"/>
      <c r="P77" s="101"/>
      <c r="Q77" s="62"/>
      <c r="R77" s="62"/>
      <c r="S77" s="63"/>
      <c r="T77" s="63"/>
      <c r="U77" s="63"/>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109" t="s">
        <v>48</v>
      </c>
      <c r="C80" s="110"/>
      <c r="D80" s="110"/>
      <c r="E80" s="110"/>
      <c r="F80" s="111"/>
      <c r="G80" s="109" t="s">
        <v>74</v>
      </c>
      <c r="H80" s="110"/>
      <c r="I80" s="110"/>
      <c r="J80" s="111"/>
      <c r="K80" s="117" t="s">
        <v>48</v>
      </c>
      <c r="L80" s="118"/>
      <c r="M80" s="118"/>
      <c r="N80" s="118"/>
      <c r="O80" s="118"/>
      <c r="P80" s="118"/>
      <c r="Q80" s="119"/>
      <c r="R80" s="109" t="s">
        <v>74</v>
      </c>
      <c r="S80" s="110"/>
      <c r="T80" s="110"/>
      <c r="U80" s="111"/>
      <c r="AA80" s="1" t="s">
        <v>137</v>
      </c>
    </row>
    <row r="81" spans="1:27" ht="18" customHeight="1" x14ac:dyDescent="0.2">
      <c r="A81" s="3"/>
      <c r="B81" s="103"/>
      <c r="C81" s="104"/>
      <c r="D81" s="104"/>
      <c r="E81" s="104"/>
      <c r="F81" s="105"/>
      <c r="G81" s="106"/>
      <c r="H81" s="107"/>
      <c r="I81" s="107"/>
      <c r="J81" s="108"/>
      <c r="K81" s="103"/>
      <c r="L81" s="104"/>
      <c r="M81" s="104"/>
      <c r="N81" s="104"/>
      <c r="O81" s="104"/>
      <c r="P81" s="104"/>
      <c r="Q81" s="105"/>
      <c r="R81" s="106"/>
      <c r="S81" s="107"/>
      <c r="T81" s="107"/>
      <c r="U81" s="108"/>
      <c r="AA81" s="1" t="s">
        <v>130</v>
      </c>
    </row>
    <row r="82" spans="1:27" ht="18" customHeight="1" x14ac:dyDescent="0.2">
      <c r="A82" s="3"/>
      <c r="B82" s="96"/>
      <c r="C82" s="97"/>
      <c r="D82" s="97"/>
      <c r="E82" s="97"/>
      <c r="F82" s="98"/>
      <c r="G82" s="114"/>
      <c r="H82" s="115"/>
      <c r="I82" s="115"/>
      <c r="J82" s="116"/>
      <c r="K82" s="96"/>
      <c r="L82" s="97"/>
      <c r="M82" s="97"/>
      <c r="N82" s="97"/>
      <c r="O82" s="97"/>
      <c r="P82" s="97"/>
      <c r="Q82" s="98"/>
      <c r="R82" s="114"/>
      <c r="S82" s="115"/>
      <c r="T82" s="115"/>
      <c r="U82" s="116"/>
      <c r="AA82" s="1" t="s">
        <v>131</v>
      </c>
    </row>
    <row r="83" spans="1:27" ht="18" customHeight="1" x14ac:dyDescent="0.2">
      <c r="A83" s="3"/>
      <c r="B83" s="96"/>
      <c r="C83" s="97"/>
      <c r="D83" s="97"/>
      <c r="E83" s="97"/>
      <c r="F83" s="98"/>
      <c r="G83" s="114"/>
      <c r="H83" s="115"/>
      <c r="I83" s="115"/>
      <c r="J83" s="116"/>
      <c r="K83" s="96"/>
      <c r="L83" s="97"/>
      <c r="M83" s="97"/>
      <c r="N83" s="97"/>
      <c r="O83" s="97"/>
      <c r="P83" s="97"/>
      <c r="Q83" s="98"/>
      <c r="R83" s="114"/>
      <c r="S83" s="115"/>
      <c r="T83" s="115"/>
      <c r="U83" s="116"/>
      <c r="AA83" s="1" t="s">
        <v>132</v>
      </c>
    </row>
    <row r="84" spans="1:27" ht="18" customHeight="1" x14ac:dyDescent="0.2">
      <c r="A84" s="3"/>
      <c r="B84" s="96"/>
      <c r="C84" s="97"/>
      <c r="D84" s="97"/>
      <c r="E84" s="97"/>
      <c r="F84" s="98"/>
      <c r="G84" s="114"/>
      <c r="H84" s="115"/>
      <c r="I84" s="115"/>
      <c r="J84" s="116"/>
      <c r="K84" s="96"/>
      <c r="L84" s="97"/>
      <c r="M84" s="97"/>
      <c r="N84" s="97"/>
      <c r="O84" s="97"/>
      <c r="P84" s="97"/>
      <c r="Q84" s="98"/>
      <c r="R84" s="114"/>
      <c r="S84" s="115"/>
      <c r="T84" s="115"/>
      <c r="U84" s="116"/>
      <c r="AA84" s="1" t="s">
        <v>138</v>
      </c>
    </row>
    <row r="85" spans="1:27" ht="18" customHeight="1" x14ac:dyDescent="0.2">
      <c r="A85" s="3"/>
      <c r="B85" s="96"/>
      <c r="C85" s="97"/>
      <c r="D85" s="97"/>
      <c r="E85" s="97"/>
      <c r="F85" s="98"/>
      <c r="G85" s="114"/>
      <c r="H85" s="115"/>
      <c r="I85" s="115"/>
      <c r="J85" s="116"/>
      <c r="K85" s="96"/>
      <c r="L85" s="97"/>
      <c r="M85" s="97"/>
      <c r="N85" s="97"/>
      <c r="O85" s="97"/>
      <c r="P85" s="97"/>
      <c r="Q85" s="98"/>
      <c r="R85" s="114"/>
      <c r="S85" s="115"/>
      <c r="T85" s="115"/>
      <c r="U85" s="116"/>
      <c r="AA85" s="1" t="s">
        <v>139</v>
      </c>
    </row>
    <row r="86" spans="1:27" ht="18" customHeight="1" x14ac:dyDescent="0.2">
      <c r="A86" s="3"/>
      <c r="B86" s="96"/>
      <c r="C86" s="97"/>
      <c r="D86" s="97"/>
      <c r="E86" s="97"/>
      <c r="F86" s="98"/>
      <c r="G86" s="114"/>
      <c r="H86" s="115"/>
      <c r="I86" s="115"/>
      <c r="J86" s="116"/>
      <c r="K86" s="96"/>
      <c r="L86" s="97"/>
      <c r="M86" s="97"/>
      <c r="N86" s="97"/>
      <c r="O86" s="97"/>
      <c r="P86" s="97"/>
      <c r="Q86" s="98"/>
      <c r="R86" s="114"/>
      <c r="S86" s="115"/>
      <c r="T86" s="115"/>
      <c r="U86" s="116"/>
      <c r="AA86" s="1" t="s">
        <v>133</v>
      </c>
    </row>
    <row r="87" spans="1:27" ht="18" customHeight="1" x14ac:dyDescent="0.2">
      <c r="A87" s="3"/>
      <c r="B87" s="99"/>
      <c r="C87" s="100"/>
      <c r="D87" s="100"/>
      <c r="E87" s="100"/>
      <c r="F87" s="101"/>
      <c r="G87" s="133"/>
      <c r="H87" s="134"/>
      <c r="I87" s="134"/>
      <c r="J87" s="135"/>
      <c r="K87" s="99"/>
      <c r="L87" s="100"/>
      <c r="M87" s="100"/>
      <c r="N87" s="100"/>
      <c r="O87" s="100"/>
      <c r="P87" s="100"/>
      <c r="Q87" s="101"/>
      <c r="R87" s="133"/>
      <c r="S87" s="134"/>
      <c r="T87" s="134"/>
      <c r="U87" s="135"/>
      <c r="AA87" s="1" t="s">
        <v>134</v>
      </c>
    </row>
    <row r="88" spans="1:27" ht="18" customHeight="1" x14ac:dyDescent="0.2">
      <c r="A88" s="3"/>
      <c r="B88" s="6"/>
      <c r="C88" s="6"/>
      <c r="D88" s="6"/>
      <c r="E88" s="6"/>
      <c r="F88" s="6"/>
      <c r="G88" s="64"/>
      <c r="H88" s="64"/>
      <c r="I88" s="64"/>
      <c r="J88" s="64"/>
      <c r="K88" s="6"/>
      <c r="L88" s="6"/>
      <c r="M88" s="6"/>
      <c r="N88" s="6"/>
      <c r="O88" s="6"/>
      <c r="P88" s="6"/>
      <c r="Q88" s="6"/>
      <c r="R88" s="64"/>
      <c r="S88" s="64"/>
      <c r="T88" s="64"/>
      <c r="U88" s="64"/>
      <c r="AA88" s="1" t="s">
        <v>135</v>
      </c>
    </row>
    <row r="89" spans="1:27" ht="18.75" customHeight="1" x14ac:dyDescent="0.2">
      <c r="A89" s="1" t="s">
        <v>101</v>
      </c>
      <c r="AA89" s="1" t="s">
        <v>136</v>
      </c>
    </row>
    <row r="90" spans="1:27" ht="18.75" customHeight="1" x14ac:dyDescent="0.2">
      <c r="B90" s="137" t="s">
        <v>49</v>
      </c>
      <c r="C90" s="138"/>
      <c r="D90" s="109" t="s">
        <v>50</v>
      </c>
      <c r="E90" s="110"/>
      <c r="F90" s="110"/>
      <c r="G90" s="110"/>
      <c r="H90" s="110"/>
      <c r="I90" s="110"/>
      <c r="J90" s="110"/>
      <c r="K90" s="110"/>
      <c r="L90" s="110"/>
      <c r="M90" s="110"/>
      <c r="N90" s="110"/>
      <c r="O90" s="110"/>
      <c r="P90" s="110"/>
      <c r="Q90" s="110"/>
      <c r="R90" s="110"/>
      <c r="S90" s="110"/>
      <c r="T90" s="110"/>
      <c r="U90" s="111"/>
    </row>
    <row r="91" spans="1:27" ht="99" customHeight="1" x14ac:dyDescent="0.2">
      <c r="B91" s="112" t="s">
        <v>56</v>
      </c>
      <c r="C91" s="65" t="s">
        <v>51</v>
      </c>
      <c r="D91" s="146" t="s">
        <v>177</v>
      </c>
      <c r="E91" s="147"/>
      <c r="F91" s="147"/>
      <c r="G91" s="147"/>
      <c r="H91" s="147"/>
      <c r="I91" s="147"/>
      <c r="J91" s="147"/>
      <c r="K91" s="147"/>
      <c r="L91" s="147"/>
      <c r="M91" s="147"/>
      <c r="N91" s="147"/>
      <c r="O91" s="147"/>
      <c r="P91" s="147"/>
      <c r="Q91" s="147"/>
      <c r="R91" s="147"/>
      <c r="S91" s="147"/>
      <c r="T91" s="147"/>
      <c r="U91" s="148"/>
    </row>
    <row r="92" spans="1:27" ht="80" customHeight="1" x14ac:dyDescent="0.2">
      <c r="B92" s="136"/>
      <c r="C92" s="66" t="s">
        <v>70</v>
      </c>
      <c r="D92" s="143" t="s">
        <v>158</v>
      </c>
      <c r="E92" s="144"/>
      <c r="F92" s="144"/>
      <c r="G92" s="144"/>
      <c r="H92" s="144"/>
      <c r="I92" s="144"/>
      <c r="J92" s="144"/>
      <c r="K92" s="144"/>
      <c r="L92" s="144"/>
      <c r="M92" s="144"/>
      <c r="N92" s="144"/>
      <c r="O92" s="144"/>
      <c r="P92" s="144"/>
      <c r="Q92" s="144"/>
      <c r="R92" s="144"/>
      <c r="S92" s="144"/>
      <c r="T92" s="144"/>
      <c r="U92" s="145"/>
    </row>
    <row r="93" spans="1:27" ht="137" customHeight="1" x14ac:dyDescent="0.2">
      <c r="B93" s="112" t="s">
        <v>57</v>
      </c>
      <c r="C93" s="67" t="s">
        <v>64</v>
      </c>
      <c r="D93" s="146" t="s">
        <v>178</v>
      </c>
      <c r="E93" s="155"/>
      <c r="F93" s="155"/>
      <c r="G93" s="155"/>
      <c r="H93" s="155"/>
      <c r="I93" s="155"/>
      <c r="J93" s="155"/>
      <c r="K93" s="155"/>
      <c r="L93" s="155"/>
      <c r="M93" s="155"/>
      <c r="N93" s="155"/>
      <c r="O93" s="155"/>
      <c r="P93" s="155"/>
      <c r="Q93" s="155"/>
      <c r="R93" s="155"/>
      <c r="S93" s="155"/>
      <c r="T93" s="155"/>
      <c r="U93" s="156"/>
    </row>
    <row r="94" spans="1:27" ht="117.5" customHeight="1" x14ac:dyDescent="0.2">
      <c r="B94" s="113"/>
      <c r="C94" s="68" t="s">
        <v>65</v>
      </c>
      <c r="D94" s="143" t="s">
        <v>159</v>
      </c>
      <c r="E94" s="144"/>
      <c r="F94" s="144"/>
      <c r="G94" s="144"/>
      <c r="H94" s="144"/>
      <c r="I94" s="144"/>
      <c r="J94" s="144"/>
      <c r="K94" s="144"/>
      <c r="L94" s="144"/>
      <c r="M94" s="144"/>
      <c r="N94" s="144"/>
      <c r="O94" s="144"/>
      <c r="P94" s="144"/>
      <c r="Q94" s="144"/>
      <c r="R94" s="144"/>
      <c r="S94" s="144"/>
      <c r="T94" s="144"/>
      <c r="U94" s="145"/>
    </row>
    <row r="95" spans="1:27" ht="114.5" customHeight="1" x14ac:dyDescent="0.2">
      <c r="B95" s="112" t="s">
        <v>58</v>
      </c>
      <c r="C95" s="67" t="s">
        <v>66</v>
      </c>
      <c r="D95" s="146" t="s">
        <v>162</v>
      </c>
      <c r="E95" s="147"/>
      <c r="F95" s="147"/>
      <c r="G95" s="147"/>
      <c r="H95" s="147"/>
      <c r="I95" s="147"/>
      <c r="J95" s="147"/>
      <c r="K95" s="147"/>
      <c r="L95" s="147"/>
      <c r="M95" s="147"/>
      <c r="N95" s="147"/>
      <c r="O95" s="147"/>
      <c r="P95" s="147"/>
      <c r="Q95" s="147"/>
      <c r="R95" s="147"/>
      <c r="S95" s="147"/>
      <c r="T95" s="147"/>
      <c r="U95" s="148"/>
    </row>
    <row r="96" spans="1:27" ht="84" customHeight="1" x14ac:dyDescent="0.2">
      <c r="B96" s="113"/>
      <c r="C96" s="69" t="s">
        <v>67</v>
      </c>
      <c r="D96" s="143" t="s">
        <v>160</v>
      </c>
      <c r="E96" s="144"/>
      <c r="F96" s="144"/>
      <c r="G96" s="144"/>
      <c r="H96" s="144"/>
      <c r="I96" s="144"/>
      <c r="J96" s="144"/>
      <c r="K96" s="144"/>
      <c r="L96" s="144"/>
      <c r="M96" s="144"/>
      <c r="N96" s="144"/>
      <c r="O96" s="144"/>
      <c r="P96" s="144"/>
      <c r="Q96" s="144"/>
      <c r="R96" s="144"/>
      <c r="S96" s="144"/>
      <c r="T96" s="144"/>
      <c r="U96" s="145"/>
    </row>
    <row r="97" spans="1:21" ht="113.5" customHeight="1" x14ac:dyDescent="0.2">
      <c r="B97" s="112" t="s">
        <v>71</v>
      </c>
      <c r="C97" s="65" t="s">
        <v>53</v>
      </c>
      <c r="D97" s="146" t="s">
        <v>179</v>
      </c>
      <c r="E97" s="147"/>
      <c r="F97" s="147"/>
      <c r="G97" s="147"/>
      <c r="H97" s="147"/>
      <c r="I97" s="147"/>
      <c r="J97" s="147"/>
      <c r="K97" s="147"/>
      <c r="L97" s="147"/>
      <c r="M97" s="147"/>
      <c r="N97" s="147"/>
      <c r="O97" s="147"/>
      <c r="P97" s="147"/>
      <c r="Q97" s="147"/>
      <c r="R97" s="147"/>
      <c r="S97" s="147"/>
      <c r="T97" s="147"/>
      <c r="U97" s="148"/>
    </row>
    <row r="98" spans="1:21" ht="64.5" customHeight="1" x14ac:dyDescent="0.2">
      <c r="B98" s="113"/>
      <c r="C98" s="68" t="s">
        <v>55</v>
      </c>
      <c r="D98" s="143" t="s">
        <v>180</v>
      </c>
      <c r="E98" s="144"/>
      <c r="F98" s="144"/>
      <c r="G98" s="144"/>
      <c r="H98" s="144"/>
      <c r="I98" s="144"/>
      <c r="J98" s="144"/>
      <c r="K98" s="144"/>
      <c r="L98" s="144"/>
      <c r="M98" s="144"/>
      <c r="N98" s="144"/>
      <c r="O98" s="144"/>
      <c r="P98" s="144"/>
      <c r="Q98" s="144"/>
      <c r="R98" s="144"/>
      <c r="S98" s="144"/>
      <c r="T98" s="144"/>
      <c r="U98" s="145"/>
    </row>
    <row r="99" spans="1:21" ht="186.5" customHeight="1" x14ac:dyDescent="0.2">
      <c r="B99" s="112" t="s">
        <v>72</v>
      </c>
      <c r="C99" s="67" t="s">
        <v>52</v>
      </c>
      <c r="D99" s="146" t="s">
        <v>181</v>
      </c>
      <c r="E99" s="147"/>
      <c r="F99" s="147"/>
      <c r="G99" s="147"/>
      <c r="H99" s="147"/>
      <c r="I99" s="147"/>
      <c r="J99" s="147"/>
      <c r="K99" s="147"/>
      <c r="L99" s="147"/>
      <c r="M99" s="147"/>
      <c r="N99" s="147"/>
      <c r="O99" s="147"/>
      <c r="P99" s="147"/>
      <c r="Q99" s="147"/>
      <c r="R99" s="147"/>
      <c r="S99" s="147"/>
      <c r="T99" s="147"/>
      <c r="U99" s="148"/>
    </row>
    <row r="100" spans="1:21" ht="122" customHeight="1" x14ac:dyDescent="0.2">
      <c r="B100" s="136"/>
      <c r="C100" s="70" t="s">
        <v>68</v>
      </c>
      <c r="D100" s="149" t="s">
        <v>182</v>
      </c>
      <c r="E100" s="150"/>
      <c r="F100" s="150"/>
      <c r="G100" s="150"/>
      <c r="H100" s="150"/>
      <c r="I100" s="150"/>
      <c r="J100" s="150"/>
      <c r="K100" s="150"/>
      <c r="L100" s="150"/>
      <c r="M100" s="150"/>
      <c r="N100" s="150"/>
      <c r="O100" s="150"/>
      <c r="P100" s="150"/>
      <c r="Q100" s="150"/>
      <c r="R100" s="150"/>
      <c r="S100" s="150"/>
      <c r="T100" s="150"/>
      <c r="U100" s="151"/>
    </row>
    <row r="101" spans="1:21" ht="154.5" customHeight="1" x14ac:dyDescent="0.2">
      <c r="B101" s="113"/>
      <c r="C101" s="69" t="s">
        <v>69</v>
      </c>
      <c r="D101" s="143" t="s">
        <v>183</v>
      </c>
      <c r="E101" s="144"/>
      <c r="F101" s="144"/>
      <c r="G101" s="144"/>
      <c r="H101" s="144"/>
      <c r="I101" s="144"/>
      <c r="J101" s="144"/>
      <c r="K101" s="144"/>
      <c r="L101" s="144"/>
      <c r="M101" s="144"/>
      <c r="N101" s="144"/>
      <c r="O101" s="144"/>
      <c r="P101" s="144"/>
      <c r="Q101" s="144"/>
      <c r="R101" s="144"/>
      <c r="S101" s="144"/>
      <c r="T101" s="144"/>
      <c r="U101" s="145"/>
    </row>
    <row r="102" spans="1:21" ht="6" customHeight="1" x14ac:dyDescent="0.2"/>
    <row r="103" spans="1:21" ht="18.75" customHeight="1" x14ac:dyDescent="0.2">
      <c r="A103" s="1" t="s">
        <v>102</v>
      </c>
    </row>
    <row r="104" spans="1:21" ht="81.75" customHeight="1" x14ac:dyDescent="0.2">
      <c r="B104" s="130" t="s">
        <v>163</v>
      </c>
      <c r="C104" s="131"/>
      <c r="D104" s="131"/>
      <c r="E104" s="131"/>
      <c r="F104" s="131"/>
      <c r="G104" s="131"/>
      <c r="H104" s="131"/>
      <c r="I104" s="131"/>
      <c r="J104" s="131"/>
      <c r="K104" s="131"/>
      <c r="L104" s="131"/>
      <c r="M104" s="131"/>
      <c r="N104" s="131"/>
      <c r="O104" s="131"/>
      <c r="P104" s="131"/>
      <c r="Q104" s="131"/>
      <c r="R104" s="131"/>
      <c r="S104" s="131"/>
      <c r="T104" s="131"/>
      <c r="U104" s="132"/>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CQ33"/>
  <sheetViews>
    <sheetView view="pageBreakPreview" zoomScale="115" zoomScaleNormal="100" zoomScaleSheetLayoutView="115" workbookViewId="0">
      <selection activeCell="G26" sqref="G26"/>
    </sheetView>
  </sheetViews>
  <sheetFormatPr defaultColWidth="9" defaultRowHeight="18.75" customHeight="1" x14ac:dyDescent="0.2"/>
  <cols>
    <col min="1" max="1" width="2.81640625" style="1" customWidth="1"/>
    <col min="2" max="2" width="27.81640625" style="1" customWidth="1"/>
    <col min="3" max="18" width="6.1796875" style="1" customWidth="1"/>
    <col min="19" max="19" width="6.6328125" style="1" customWidth="1"/>
    <col min="20" max="16384" width="9" style="1"/>
  </cols>
  <sheetData>
    <row r="1" spans="1:95" ht="18" customHeight="1" x14ac:dyDescent="0.2">
      <c r="A1" s="51"/>
      <c r="B1" s="51"/>
      <c r="C1" s="51"/>
      <c r="D1" s="51"/>
      <c r="E1" s="51"/>
      <c r="F1" s="51"/>
      <c r="G1" s="51"/>
      <c r="H1" s="51"/>
      <c r="I1" s="51"/>
      <c r="J1" s="51"/>
      <c r="K1" s="51"/>
      <c r="L1" s="51"/>
      <c r="M1" s="51"/>
      <c r="N1" s="51"/>
      <c r="O1" s="51"/>
      <c r="P1" s="51"/>
      <c r="Q1" s="51"/>
      <c r="R1" s="51"/>
      <c r="S1" s="51" t="s">
        <v>92</v>
      </c>
    </row>
    <row r="2" spans="1:95" ht="18" customHeight="1" x14ac:dyDescent="0.2">
      <c r="A2" s="51"/>
      <c r="B2" s="51"/>
      <c r="C2" s="51"/>
      <c r="D2" s="51"/>
      <c r="E2" s="51"/>
      <c r="F2" s="51"/>
      <c r="G2" s="51"/>
      <c r="H2" s="51"/>
      <c r="I2" s="51"/>
      <c r="J2" s="51"/>
      <c r="K2" s="51"/>
      <c r="L2" s="51"/>
      <c r="M2" s="51"/>
      <c r="N2" s="51"/>
      <c r="O2" s="51"/>
      <c r="P2" s="51"/>
      <c r="Q2" s="164" t="s">
        <v>146</v>
      </c>
      <c r="R2" s="164"/>
      <c r="S2" s="164"/>
    </row>
    <row r="3" spans="1:95" ht="18" customHeight="1" x14ac:dyDescent="0.2">
      <c r="A3" s="120" t="s">
        <v>141</v>
      </c>
      <c r="B3" s="120"/>
      <c r="C3" s="120"/>
      <c r="D3" s="120"/>
      <c r="E3" s="120"/>
      <c r="F3" s="120"/>
      <c r="G3" s="120"/>
      <c r="H3" s="120"/>
      <c r="I3" s="120"/>
      <c r="J3" s="120"/>
      <c r="K3" s="120"/>
      <c r="L3" s="120"/>
      <c r="M3" s="120"/>
      <c r="N3" s="120"/>
      <c r="O3" s="120"/>
      <c r="P3" s="120"/>
      <c r="Q3" s="120"/>
      <c r="R3" s="120"/>
      <c r="S3" s="120"/>
    </row>
    <row r="4" spans="1:95" ht="7.5" customHeight="1" x14ac:dyDescent="0.2">
      <c r="A4" s="53"/>
      <c r="B4" s="53"/>
      <c r="C4" s="53"/>
      <c r="D4" s="53"/>
      <c r="E4" s="53"/>
      <c r="F4" s="53"/>
      <c r="G4" s="53"/>
      <c r="H4" s="53"/>
      <c r="I4" s="53"/>
      <c r="J4" s="53"/>
      <c r="K4" s="53"/>
      <c r="L4" s="53"/>
      <c r="M4" s="53"/>
      <c r="N4" s="53"/>
      <c r="O4" s="53"/>
      <c r="P4" s="53"/>
      <c r="Q4" s="53"/>
      <c r="R4" s="53"/>
      <c r="S4" s="53"/>
    </row>
    <row r="5" spans="1:95" ht="18" customHeight="1" x14ac:dyDescent="0.2">
      <c r="A5" s="51" t="s">
        <v>75</v>
      </c>
      <c r="B5" s="51"/>
      <c r="C5" s="165" t="s">
        <v>142</v>
      </c>
      <c r="D5" s="166"/>
      <c r="E5" s="55" t="s">
        <v>124</v>
      </c>
      <c r="F5" s="53"/>
      <c r="G5" s="53"/>
      <c r="H5" s="53"/>
      <c r="I5" s="53"/>
      <c r="J5" s="53"/>
      <c r="K5" s="53"/>
      <c r="L5" s="53"/>
      <c r="M5" s="53"/>
      <c r="N5" s="53"/>
      <c r="O5" s="53"/>
      <c r="P5" s="53"/>
      <c r="Q5" s="53"/>
      <c r="R5" s="52"/>
      <c r="S5" s="52"/>
    </row>
    <row r="6" spans="1:95" ht="7.25" customHeight="1" x14ac:dyDescent="0.2">
      <c r="A6" s="51"/>
      <c r="B6" s="51"/>
      <c r="C6" s="74"/>
      <c r="D6" s="74"/>
      <c r="E6" s="53"/>
      <c r="F6" s="53"/>
      <c r="G6" s="53"/>
      <c r="H6" s="53"/>
      <c r="I6" s="53"/>
      <c r="J6" s="53"/>
      <c r="K6" s="53"/>
      <c r="L6" s="53"/>
      <c r="M6" s="53"/>
      <c r="N6" s="53"/>
      <c r="O6" s="53"/>
      <c r="P6" s="53"/>
      <c r="Q6" s="53"/>
      <c r="R6" s="52"/>
      <c r="S6" s="52"/>
    </row>
    <row r="7" spans="1:95" ht="18" customHeight="1" x14ac:dyDescent="0.2">
      <c r="A7" s="51" t="s">
        <v>108</v>
      </c>
      <c r="B7" s="51"/>
      <c r="C7" s="74"/>
      <c r="D7" s="74"/>
      <c r="E7" s="53" t="s">
        <v>109</v>
      </c>
      <c r="F7" s="56">
        <v>0</v>
      </c>
      <c r="G7" s="55" t="s">
        <v>110</v>
      </c>
      <c r="H7" s="53" t="s">
        <v>111</v>
      </c>
      <c r="I7" s="56">
        <v>2293</v>
      </c>
      <c r="J7" s="55" t="s">
        <v>110</v>
      </c>
      <c r="K7" s="54" t="s">
        <v>112</v>
      </c>
      <c r="L7" s="53" t="s">
        <v>113</v>
      </c>
      <c r="M7" s="56">
        <f>F7+I7</f>
        <v>2293</v>
      </c>
      <c r="N7" s="53" t="s">
        <v>1</v>
      </c>
      <c r="O7" s="55" t="s">
        <v>114</v>
      </c>
      <c r="P7" s="53"/>
      <c r="Q7" s="53"/>
      <c r="R7" s="52"/>
      <c r="S7" s="52"/>
    </row>
    <row r="8" spans="1:95" ht="17.5" customHeight="1" x14ac:dyDescent="0.2">
      <c r="A8" s="53"/>
      <c r="B8" s="75" t="s">
        <v>127</v>
      </c>
      <c r="C8" s="53"/>
      <c r="D8" s="53"/>
      <c r="E8" s="53"/>
      <c r="F8" s="53"/>
      <c r="G8" s="53"/>
      <c r="H8" s="53"/>
      <c r="I8" s="53"/>
      <c r="J8" s="53"/>
      <c r="K8" s="53"/>
      <c r="L8" s="53"/>
      <c r="M8" s="53"/>
      <c r="N8" s="53"/>
      <c r="O8" s="53"/>
      <c r="P8" s="53"/>
      <c r="Q8" s="53"/>
      <c r="R8" s="53"/>
      <c r="S8" s="53"/>
    </row>
    <row r="9" spans="1:95" ht="18" customHeight="1" x14ac:dyDescent="0.2">
      <c r="A9" s="51" t="s">
        <v>119</v>
      </c>
      <c r="B9" s="53"/>
      <c r="C9" s="53"/>
      <c r="D9" s="53"/>
      <c r="E9" s="53"/>
      <c r="F9" s="53"/>
      <c r="G9" s="53"/>
      <c r="H9" s="53"/>
      <c r="I9" s="53"/>
      <c r="J9" s="53"/>
      <c r="K9" s="53"/>
      <c r="L9" s="53"/>
      <c r="M9" s="53"/>
      <c r="N9" s="53"/>
      <c r="O9" s="53"/>
      <c r="P9" s="53"/>
      <c r="Q9" s="53"/>
      <c r="R9" s="53"/>
      <c r="S9" s="53"/>
    </row>
    <row r="10" spans="1:95" ht="6" customHeight="1" x14ac:dyDescent="0.2">
      <c r="B10" s="3"/>
      <c r="C10" s="3"/>
      <c r="D10" s="3"/>
      <c r="E10" s="3"/>
      <c r="F10" s="3"/>
      <c r="G10" s="3"/>
      <c r="H10" s="3"/>
      <c r="I10" s="3"/>
      <c r="J10" s="3"/>
      <c r="K10" s="3"/>
      <c r="L10" s="3"/>
      <c r="M10" s="3"/>
      <c r="N10" s="3"/>
      <c r="O10" s="3"/>
      <c r="P10" s="3"/>
      <c r="Q10" s="3"/>
      <c r="R10" s="3"/>
      <c r="S10" s="3"/>
    </row>
    <row r="11" spans="1:95" ht="18" customHeight="1" x14ac:dyDescent="0.2">
      <c r="B11" s="167" t="s">
        <v>43</v>
      </c>
      <c r="C11" s="177" t="s">
        <v>78</v>
      </c>
      <c r="D11" s="169" t="s">
        <v>45</v>
      </c>
      <c r="E11" s="171" t="s">
        <v>38</v>
      </c>
      <c r="F11" s="163" t="s">
        <v>125</v>
      </c>
      <c r="G11" s="163"/>
      <c r="H11" s="163" t="s">
        <v>105</v>
      </c>
      <c r="I11" s="163"/>
      <c r="J11" s="163" t="s">
        <v>77</v>
      </c>
      <c r="K11" s="163"/>
      <c r="L11" s="163" t="s">
        <v>46</v>
      </c>
      <c r="M11" s="163"/>
      <c r="N11" s="163" t="s">
        <v>47</v>
      </c>
      <c r="O11" s="163"/>
      <c r="P11" s="163" t="s">
        <v>126</v>
      </c>
      <c r="Q11" s="163"/>
      <c r="R11" s="173" t="s">
        <v>35</v>
      </c>
      <c r="S11" s="175" t="s">
        <v>32</v>
      </c>
      <c r="U11" s="2"/>
    </row>
    <row r="12" spans="1:95" ht="17" customHeight="1" x14ac:dyDescent="0.2">
      <c r="B12" s="168"/>
      <c r="C12" s="178"/>
      <c r="D12" s="170"/>
      <c r="E12" s="172"/>
      <c r="F12" s="94" t="s">
        <v>86</v>
      </c>
      <c r="G12" s="95" t="s">
        <v>29</v>
      </c>
      <c r="H12" s="94" t="s">
        <v>86</v>
      </c>
      <c r="I12" s="94" t="s">
        <v>29</v>
      </c>
      <c r="J12" s="94" t="s">
        <v>86</v>
      </c>
      <c r="K12" s="94" t="s">
        <v>29</v>
      </c>
      <c r="L12" s="94" t="s">
        <v>86</v>
      </c>
      <c r="M12" s="94" t="s">
        <v>29</v>
      </c>
      <c r="N12" s="94" t="s">
        <v>86</v>
      </c>
      <c r="O12" s="94" t="s">
        <v>29</v>
      </c>
      <c r="P12" s="94" t="s">
        <v>86</v>
      </c>
      <c r="Q12" s="94" t="s">
        <v>29</v>
      </c>
      <c r="R12" s="174"/>
      <c r="S12" s="176"/>
      <c r="U12" s="2"/>
    </row>
    <row r="13" spans="1:95" ht="18" customHeight="1" x14ac:dyDescent="0.2">
      <c r="A13" s="85"/>
      <c r="B13" s="79" t="s">
        <v>186</v>
      </c>
      <c r="C13" s="78">
        <v>947</v>
      </c>
      <c r="D13" s="78">
        <v>200</v>
      </c>
      <c r="E13" s="78">
        <v>800</v>
      </c>
      <c r="F13" s="80">
        <v>198</v>
      </c>
      <c r="G13" s="78">
        <v>28</v>
      </c>
      <c r="H13" s="78"/>
      <c r="I13" s="78"/>
      <c r="J13" s="78"/>
      <c r="K13" s="78"/>
      <c r="L13" s="78"/>
      <c r="M13" s="78"/>
      <c r="N13" s="78"/>
      <c r="O13" s="81"/>
      <c r="P13" s="78"/>
      <c r="Q13" s="78"/>
      <c r="R13" s="81">
        <f>F13+H13+J13+L13+N13+P13</f>
        <v>198</v>
      </c>
      <c r="S13" s="88">
        <f>R13/E13</f>
        <v>0.2475</v>
      </c>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row>
    <row r="14" spans="1:95" ht="18" customHeight="1" x14ac:dyDescent="0.2">
      <c r="A14" s="85"/>
      <c r="B14" s="11" t="s">
        <v>185</v>
      </c>
      <c r="C14" s="37">
        <v>956</v>
      </c>
      <c r="D14" s="37">
        <v>220</v>
      </c>
      <c r="E14" s="37">
        <v>880</v>
      </c>
      <c r="F14" s="87">
        <v>24</v>
      </c>
      <c r="G14" s="37">
        <v>17</v>
      </c>
      <c r="H14" s="37"/>
      <c r="I14" s="37"/>
      <c r="J14" s="37"/>
      <c r="K14" s="37"/>
      <c r="L14" s="37"/>
      <c r="M14" s="37"/>
      <c r="N14" s="37"/>
      <c r="O14" s="37"/>
      <c r="P14" s="37"/>
      <c r="Q14" s="37"/>
      <c r="R14" s="41">
        <f t="shared" ref="R14:R15" si="0">F14+H14+J14+L14+N14+P14</f>
        <v>24</v>
      </c>
      <c r="S14" s="90">
        <f>R14/E14</f>
        <v>2.7272727272727271E-2</v>
      </c>
    </row>
    <row r="15" spans="1:95" ht="18" customHeight="1" x14ac:dyDescent="0.2">
      <c r="A15" s="85"/>
      <c r="B15" s="84" t="s">
        <v>187</v>
      </c>
      <c r="C15" s="37">
        <v>390</v>
      </c>
      <c r="D15" s="37">
        <v>80</v>
      </c>
      <c r="E15" s="35">
        <v>360</v>
      </c>
      <c r="F15" s="83">
        <v>13</v>
      </c>
      <c r="G15" s="35">
        <v>0</v>
      </c>
      <c r="H15" s="35"/>
      <c r="I15" s="35"/>
      <c r="J15" s="35"/>
      <c r="K15" s="35"/>
      <c r="L15" s="35"/>
      <c r="M15" s="35"/>
      <c r="N15" s="35"/>
      <c r="O15" s="35"/>
      <c r="P15" s="35"/>
      <c r="Q15" s="35"/>
      <c r="R15" s="41">
        <f t="shared" si="0"/>
        <v>13</v>
      </c>
      <c r="S15" s="90">
        <f t="shared" ref="S15" si="1">R15/E15</f>
        <v>3.6111111111111108E-2</v>
      </c>
    </row>
    <row r="16" spans="1:95" ht="18" customHeight="1" x14ac:dyDescent="0.2">
      <c r="A16" s="85"/>
      <c r="B16" s="11"/>
      <c r="C16" s="37"/>
      <c r="D16" s="37"/>
      <c r="E16" s="37"/>
      <c r="F16" s="87"/>
      <c r="G16" s="37"/>
      <c r="H16" s="37"/>
      <c r="I16" s="37"/>
      <c r="J16" s="37"/>
      <c r="K16" s="37"/>
      <c r="L16" s="37"/>
      <c r="M16" s="37"/>
      <c r="N16" s="37"/>
      <c r="O16" s="37"/>
      <c r="P16" s="37"/>
      <c r="Q16" s="37"/>
      <c r="R16" s="41"/>
      <c r="S16" s="90"/>
    </row>
    <row r="17" spans="1:19" ht="18" customHeight="1" x14ac:dyDescent="0.2">
      <c r="A17" s="85"/>
      <c r="B17" s="84"/>
      <c r="C17" s="37"/>
      <c r="D17" s="37"/>
      <c r="E17" s="35"/>
      <c r="F17" s="83"/>
      <c r="G17" s="35"/>
      <c r="H17" s="35"/>
      <c r="I17" s="35"/>
      <c r="J17" s="35"/>
      <c r="K17" s="35"/>
      <c r="L17" s="35"/>
      <c r="M17" s="35"/>
      <c r="N17" s="35"/>
      <c r="O17" s="35"/>
      <c r="P17" s="35"/>
      <c r="Q17" s="35"/>
      <c r="R17" s="42"/>
      <c r="S17" s="7"/>
    </row>
    <row r="18" spans="1:19" ht="18" customHeight="1" x14ac:dyDescent="0.2">
      <c r="A18" s="85"/>
      <c r="B18" s="11"/>
      <c r="C18" s="37"/>
      <c r="D18" s="37"/>
      <c r="E18" s="37"/>
      <c r="F18" s="87"/>
      <c r="G18" s="37"/>
      <c r="H18" s="37"/>
      <c r="I18" s="37"/>
      <c r="J18" s="37"/>
      <c r="K18" s="37"/>
      <c r="L18" s="37"/>
      <c r="M18" s="37"/>
      <c r="N18" s="37"/>
      <c r="O18" s="37"/>
      <c r="P18" s="37"/>
      <c r="Q18" s="37"/>
      <c r="R18" s="41"/>
      <c r="S18" s="90"/>
    </row>
    <row r="19" spans="1:19" ht="18" customHeight="1" x14ac:dyDescent="0.2">
      <c r="A19" s="85"/>
      <c r="B19" s="46"/>
      <c r="C19" s="47"/>
      <c r="D19" s="47"/>
      <c r="E19" s="47"/>
      <c r="F19" s="47"/>
      <c r="G19" s="47"/>
      <c r="H19" s="47"/>
      <c r="I19" s="47"/>
      <c r="J19" s="47"/>
      <c r="K19" s="47"/>
      <c r="L19" s="47"/>
      <c r="M19" s="47"/>
      <c r="N19" s="47"/>
      <c r="O19" s="47"/>
      <c r="P19" s="47"/>
      <c r="Q19" s="37"/>
      <c r="R19" s="91"/>
      <c r="S19" s="89"/>
    </row>
    <row r="20" spans="1:19" ht="18" customHeight="1" x14ac:dyDescent="0.2">
      <c r="A20" s="6"/>
      <c r="B20" s="11"/>
      <c r="C20" s="37"/>
      <c r="D20" s="37"/>
      <c r="E20" s="37"/>
      <c r="F20" s="37"/>
      <c r="G20" s="86"/>
      <c r="H20" s="37"/>
      <c r="I20" s="86"/>
      <c r="J20" s="40"/>
      <c r="K20" s="40"/>
      <c r="L20" s="37"/>
      <c r="M20" s="86"/>
      <c r="N20" s="37"/>
      <c r="O20" s="37"/>
      <c r="P20" s="37"/>
      <c r="Q20" s="37"/>
      <c r="R20" s="41"/>
      <c r="S20" s="90"/>
    </row>
    <row r="21" spans="1:19" ht="18" customHeight="1" x14ac:dyDescent="0.2">
      <c r="A21" s="6"/>
      <c r="B21" s="11"/>
      <c r="C21" s="37"/>
      <c r="D21" s="37"/>
      <c r="E21" s="38"/>
      <c r="F21" s="40"/>
      <c r="G21" s="40"/>
      <c r="H21" s="40"/>
      <c r="I21" s="40"/>
      <c r="J21" s="40"/>
      <c r="K21" s="40"/>
      <c r="L21" s="37"/>
      <c r="M21" s="86"/>
      <c r="N21" s="40"/>
      <c r="O21" s="40"/>
      <c r="P21" s="40"/>
      <c r="Q21" s="37"/>
      <c r="R21" s="38"/>
      <c r="S21" s="8"/>
    </row>
    <row r="22" spans="1:19" ht="18" customHeight="1" x14ac:dyDescent="0.2">
      <c r="A22" s="6"/>
      <c r="B22" s="11"/>
      <c r="C22" s="37"/>
      <c r="D22" s="37"/>
      <c r="E22" s="38"/>
      <c r="F22" s="40"/>
      <c r="G22" s="40"/>
      <c r="H22" s="40"/>
      <c r="I22" s="40"/>
      <c r="J22" s="40"/>
      <c r="K22" s="40"/>
      <c r="L22" s="40"/>
      <c r="M22" s="40"/>
      <c r="N22" s="40"/>
      <c r="O22" s="40"/>
      <c r="P22" s="40"/>
      <c r="Q22" s="37"/>
      <c r="R22" s="38"/>
      <c r="S22" s="8"/>
    </row>
    <row r="23" spans="1:19" ht="18" customHeight="1" x14ac:dyDescent="0.2">
      <c r="A23" s="6"/>
      <c r="B23" s="11"/>
      <c r="C23" s="37"/>
      <c r="D23" s="38"/>
      <c r="E23" s="39"/>
      <c r="F23" s="40"/>
      <c r="G23" s="40"/>
      <c r="H23" s="40"/>
      <c r="I23" s="40"/>
      <c r="J23" s="40"/>
      <c r="K23" s="40"/>
      <c r="L23" s="40"/>
      <c r="M23" s="40"/>
      <c r="N23" s="40"/>
      <c r="O23" s="40"/>
      <c r="P23" s="40"/>
      <c r="Q23" s="37"/>
      <c r="R23" s="38"/>
      <c r="S23" s="8"/>
    </row>
    <row r="24" spans="1:19" ht="18" customHeight="1" x14ac:dyDescent="0.2">
      <c r="A24" s="6"/>
      <c r="B24" s="11"/>
      <c r="C24" s="37"/>
      <c r="D24" s="38"/>
      <c r="E24" s="39"/>
      <c r="F24" s="40"/>
      <c r="G24" s="40"/>
      <c r="H24" s="40"/>
      <c r="I24" s="40"/>
      <c r="J24" s="40"/>
      <c r="K24" s="40"/>
      <c r="L24" s="40"/>
      <c r="M24" s="40"/>
      <c r="N24" s="40"/>
      <c r="O24" s="40"/>
      <c r="P24" s="40"/>
      <c r="Q24" s="37"/>
      <c r="R24" s="38"/>
      <c r="S24" s="8"/>
    </row>
    <row r="25" spans="1:19" ht="18" customHeight="1" x14ac:dyDescent="0.2">
      <c r="A25" s="6"/>
      <c r="B25" s="11"/>
      <c r="C25" s="37"/>
      <c r="D25" s="38"/>
      <c r="E25" s="39"/>
      <c r="F25" s="40"/>
      <c r="G25" s="40"/>
      <c r="H25" s="40"/>
      <c r="I25" s="40"/>
      <c r="J25" s="40"/>
      <c r="K25" s="40"/>
      <c r="L25" s="40"/>
      <c r="M25" s="40"/>
      <c r="N25" s="40"/>
      <c r="O25" s="40"/>
      <c r="P25" s="40"/>
      <c r="Q25" s="37"/>
      <c r="R25" s="38"/>
      <c r="S25" s="8"/>
    </row>
    <row r="26" spans="1:19" ht="18" customHeight="1" x14ac:dyDescent="0.2">
      <c r="A26" s="6"/>
      <c r="B26" s="11"/>
      <c r="C26" s="37"/>
      <c r="D26" s="38"/>
      <c r="E26" s="39"/>
      <c r="F26" s="40"/>
      <c r="G26" s="40"/>
      <c r="H26" s="40"/>
      <c r="I26" s="40"/>
      <c r="J26" s="40"/>
      <c r="K26" s="40"/>
      <c r="L26" s="40"/>
      <c r="M26" s="40"/>
      <c r="N26" s="40"/>
      <c r="O26" s="40"/>
      <c r="P26" s="40"/>
      <c r="Q26" s="37"/>
      <c r="R26" s="38"/>
      <c r="S26" s="8"/>
    </row>
    <row r="27" spans="1:19" ht="18" customHeight="1" x14ac:dyDescent="0.2">
      <c r="A27" s="6"/>
      <c r="B27" s="11"/>
      <c r="C27" s="37"/>
      <c r="D27" s="38"/>
      <c r="E27" s="39"/>
      <c r="F27" s="40"/>
      <c r="G27" s="40"/>
      <c r="H27" s="40"/>
      <c r="I27" s="40"/>
      <c r="J27" s="40"/>
      <c r="K27" s="40"/>
      <c r="L27" s="40"/>
      <c r="M27" s="40"/>
      <c r="N27" s="40"/>
      <c r="O27" s="40"/>
      <c r="P27" s="40"/>
      <c r="Q27" s="37"/>
      <c r="R27" s="38"/>
      <c r="S27" s="8"/>
    </row>
    <row r="28" spans="1:19" ht="18" customHeight="1" x14ac:dyDescent="0.2">
      <c r="A28" s="6"/>
      <c r="B28" s="11"/>
      <c r="C28" s="37"/>
      <c r="D28" s="38"/>
      <c r="E28" s="39"/>
      <c r="F28" s="40"/>
      <c r="G28" s="40"/>
      <c r="H28" s="40"/>
      <c r="I28" s="40"/>
      <c r="J28" s="40"/>
      <c r="K28" s="40"/>
      <c r="L28" s="40"/>
      <c r="M28" s="40"/>
      <c r="N28" s="40"/>
      <c r="O28" s="40"/>
      <c r="P28" s="40"/>
      <c r="Q28" s="37"/>
      <c r="R28" s="38"/>
      <c r="S28" s="8"/>
    </row>
    <row r="29" spans="1:19" ht="18" customHeight="1" x14ac:dyDescent="0.2">
      <c r="A29" s="6"/>
      <c r="B29" s="11"/>
      <c r="C29" s="37"/>
      <c r="D29" s="38"/>
      <c r="E29" s="39"/>
      <c r="F29" s="40"/>
      <c r="G29" s="40"/>
      <c r="H29" s="40"/>
      <c r="I29" s="40"/>
      <c r="J29" s="40"/>
      <c r="K29" s="40"/>
      <c r="L29" s="40"/>
      <c r="M29" s="40"/>
      <c r="N29" s="40"/>
      <c r="O29" s="40"/>
      <c r="P29" s="40"/>
      <c r="Q29" s="37"/>
      <c r="R29" s="38"/>
      <c r="S29" s="8"/>
    </row>
    <row r="30" spans="1:19" ht="18" customHeight="1" x14ac:dyDescent="0.2">
      <c r="A30" s="6"/>
      <c r="B30" s="11"/>
      <c r="C30" s="37"/>
      <c r="D30" s="41"/>
      <c r="E30" s="39"/>
      <c r="F30" s="40"/>
      <c r="G30" s="40"/>
      <c r="H30" s="40"/>
      <c r="I30" s="40"/>
      <c r="J30" s="40"/>
      <c r="K30" s="40"/>
      <c r="L30" s="40"/>
      <c r="M30" s="40"/>
      <c r="N30" s="40"/>
      <c r="O30" s="40"/>
      <c r="P30" s="40"/>
      <c r="Q30" s="37"/>
      <c r="R30" s="41"/>
      <c r="S30" s="8"/>
    </row>
    <row r="31" spans="1:19" ht="18" customHeight="1" x14ac:dyDescent="0.2">
      <c r="A31" s="6"/>
      <c r="B31" s="11"/>
      <c r="C31" s="37"/>
      <c r="D31" s="41"/>
      <c r="E31" s="39"/>
      <c r="F31" s="40"/>
      <c r="G31" s="40"/>
      <c r="H31" s="40"/>
      <c r="I31" s="40"/>
      <c r="J31" s="40"/>
      <c r="K31" s="40"/>
      <c r="L31" s="40"/>
      <c r="M31" s="40"/>
      <c r="N31" s="40"/>
      <c r="O31" s="40"/>
      <c r="P31" s="40"/>
      <c r="Q31" s="37"/>
      <c r="R31" s="41"/>
      <c r="S31" s="8"/>
    </row>
    <row r="32" spans="1:19" ht="18" customHeight="1" thickBot="1" x14ac:dyDescent="0.25">
      <c r="A32" s="6"/>
      <c r="B32" s="12"/>
      <c r="C32" s="35"/>
      <c r="D32" s="42"/>
      <c r="E32" s="36"/>
      <c r="F32" s="36"/>
      <c r="G32" s="36"/>
      <c r="H32" s="36"/>
      <c r="I32" s="36"/>
      <c r="J32" s="36"/>
      <c r="K32" s="36"/>
      <c r="L32" s="36"/>
      <c r="M32" s="36"/>
      <c r="N32" s="36"/>
      <c r="O32" s="36"/>
      <c r="P32" s="36"/>
      <c r="Q32" s="93"/>
      <c r="R32" s="42"/>
      <c r="S32" s="7"/>
    </row>
    <row r="33" spans="2:19" ht="18" customHeight="1" thickTop="1" x14ac:dyDescent="0.2">
      <c r="B33" s="13" t="s">
        <v>33</v>
      </c>
      <c r="C33" s="43">
        <f t="shared" ref="C33" si="2">SUM(C13:C32)</f>
        <v>2293</v>
      </c>
      <c r="D33" s="44">
        <f t="shared" ref="D33:F33" si="3">SUM(D13:D32)</f>
        <v>500</v>
      </c>
      <c r="E33" s="45">
        <f>SUM(E13:E32)</f>
        <v>2040</v>
      </c>
      <c r="F33" s="45">
        <f t="shared" si="3"/>
        <v>235</v>
      </c>
      <c r="G33" s="45">
        <f t="shared" ref="G33:H33" si="4">SUM(G13:G32)</f>
        <v>45</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92">
        <f>SUM(R13:R32)</f>
        <v>235</v>
      </c>
      <c r="S33" s="9">
        <f>R33/E33</f>
        <v>0.11519607843137254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L22" sqref="L22"/>
    </sheetView>
  </sheetViews>
  <sheetFormatPr defaultColWidth="11.36328125" defaultRowHeight="18.75" customHeight="1" x14ac:dyDescent="0.2"/>
  <cols>
    <col min="1" max="1" width="2.81640625" style="19" customWidth="1"/>
    <col min="2" max="2" width="16.6328125" style="1" customWidth="1"/>
    <col min="3" max="3" width="8.8164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1796875" style="1" customWidth="1"/>
    <col min="10" max="16384" width="11.36328125" style="1"/>
  </cols>
  <sheetData>
    <row r="1" spans="1:9" ht="18.75" customHeight="1" x14ac:dyDescent="0.2">
      <c r="A1" s="19" t="s">
        <v>59</v>
      </c>
      <c r="I1" s="17" t="s">
        <v>91</v>
      </c>
    </row>
    <row r="2" spans="1:9" ht="18.75" customHeight="1" x14ac:dyDescent="0.2">
      <c r="G2" s="17" t="s">
        <v>93</v>
      </c>
      <c r="H2" s="109" t="s">
        <v>146</v>
      </c>
      <c r="I2" s="111"/>
    </row>
    <row r="3" spans="1:9" ht="18.75" customHeight="1" x14ac:dyDescent="0.2">
      <c r="G3" s="17"/>
      <c r="H3" s="10"/>
      <c r="I3" s="10"/>
    </row>
    <row r="4" spans="1:9" ht="18.5" customHeight="1" x14ac:dyDescent="0.2">
      <c r="A4" s="120" t="s">
        <v>36</v>
      </c>
      <c r="B4" s="120"/>
      <c r="C4" s="120"/>
      <c r="D4" s="120"/>
      <c r="E4" s="120"/>
      <c r="F4" s="120"/>
      <c r="G4" s="120"/>
      <c r="H4" s="120"/>
      <c r="I4" s="120"/>
    </row>
    <row r="5" spans="1:9" ht="13.25" customHeight="1" x14ac:dyDescent="0.2">
      <c r="B5" s="3"/>
      <c r="C5" s="3"/>
      <c r="D5" s="3"/>
      <c r="E5" s="3"/>
      <c r="F5" s="3"/>
      <c r="G5" s="3"/>
      <c r="H5" s="3"/>
      <c r="I5" s="3"/>
    </row>
    <row r="6" spans="1:9" ht="18" customHeight="1" x14ac:dyDescent="0.2">
      <c r="A6" s="1" t="s">
        <v>0</v>
      </c>
      <c r="B6" s="10" t="s">
        <v>81</v>
      </c>
      <c r="C6" s="211" t="s">
        <v>82</v>
      </c>
      <c r="D6" s="211"/>
      <c r="E6" s="16">
        <v>106</v>
      </c>
      <c r="F6" s="3" t="s">
        <v>1</v>
      </c>
      <c r="G6" s="3" t="s">
        <v>2</v>
      </c>
      <c r="H6" s="16">
        <v>49</v>
      </c>
      <c r="I6" s="10" t="s">
        <v>1</v>
      </c>
    </row>
    <row r="7" spans="1:9" ht="12" customHeight="1" x14ac:dyDescent="0.2">
      <c r="C7" s="2"/>
      <c r="D7" s="2"/>
      <c r="E7" s="2"/>
      <c r="F7" s="2"/>
      <c r="G7" s="2"/>
      <c r="H7" s="2"/>
      <c r="I7" s="20"/>
    </row>
    <row r="8" spans="1:9" ht="18" customHeight="1" x14ac:dyDescent="0.2">
      <c r="A8" s="1" t="s">
        <v>3</v>
      </c>
      <c r="B8" s="10" t="s">
        <v>83</v>
      </c>
      <c r="E8" s="3"/>
      <c r="F8" s="3"/>
      <c r="G8" s="3"/>
      <c r="H8" s="16">
        <v>5</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7" t="s">
        <v>41</v>
      </c>
      <c r="C11" s="203" t="s">
        <v>150</v>
      </c>
      <c r="D11" s="210"/>
      <c r="E11" s="209"/>
      <c r="F11" s="20"/>
      <c r="G11" s="17" t="s">
        <v>10</v>
      </c>
      <c r="H11" s="203" t="s">
        <v>149</v>
      </c>
      <c r="I11" s="209"/>
    </row>
    <row r="12" spans="1:9" ht="10.25" customHeight="1" x14ac:dyDescent="0.2">
      <c r="B12" s="17"/>
      <c r="C12" s="10"/>
      <c r="D12" s="20"/>
      <c r="E12" s="20"/>
      <c r="F12" s="20"/>
      <c r="G12" s="17"/>
      <c r="H12" s="10"/>
      <c r="I12" s="20"/>
    </row>
    <row r="13" spans="1:9" ht="18" customHeight="1" x14ac:dyDescent="0.2">
      <c r="A13" s="1" t="s">
        <v>7</v>
      </c>
      <c r="B13" s="10" t="s">
        <v>79</v>
      </c>
      <c r="C13" s="3"/>
      <c r="D13" s="3"/>
      <c r="E13" s="3"/>
      <c r="F13" s="3"/>
      <c r="G13" s="3"/>
      <c r="H13" s="3"/>
      <c r="I13" s="3"/>
    </row>
    <row r="14" spans="1:9" ht="18" customHeight="1" x14ac:dyDescent="0.2">
      <c r="B14" s="203" t="s">
        <v>148</v>
      </c>
      <c r="C14" s="204"/>
      <c r="D14" s="204"/>
      <c r="E14" s="204"/>
      <c r="F14" s="204"/>
      <c r="G14" s="204"/>
      <c r="H14" s="204"/>
      <c r="I14" s="205"/>
    </row>
    <row r="15" spans="1:9" ht="9" customHeight="1" x14ac:dyDescent="0.2">
      <c r="B15" s="3"/>
      <c r="C15" s="3"/>
      <c r="D15" s="3"/>
      <c r="E15" s="3"/>
      <c r="F15" s="3"/>
      <c r="G15" s="3"/>
      <c r="H15" s="3"/>
      <c r="I15" s="3"/>
    </row>
    <row r="16" spans="1:9" ht="18" customHeight="1" x14ac:dyDescent="0.2">
      <c r="B16" s="17" t="s">
        <v>41</v>
      </c>
      <c r="C16" s="206" t="s">
        <v>150</v>
      </c>
      <c r="D16" s="207"/>
      <c r="E16" s="208"/>
      <c r="F16" s="20"/>
      <c r="G16" s="17" t="s">
        <v>10</v>
      </c>
      <c r="H16" s="203" t="s">
        <v>149</v>
      </c>
      <c r="I16" s="209"/>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89" t="s">
        <v>176</v>
      </c>
      <c r="C19" s="190"/>
      <c r="D19" s="190"/>
      <c r="E19" s="190"/>
      <c r="F19" s="190"/>
      <c r="G19" s="190"/>
      <c r="H19" s="190"/>
      <c r="I19" s="191"/>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92" t="s">
        <v>166</v>
      </c>
      <c r="C22" s="193"/>
      <c r="D22" s="193"/>
      <c r="E22" s="193"/>
      <c r="F22" s="193"/>
      <c r="G22" s="193"/>
      <c r="H22" s="193"/>
      <c r="I22" s="194"/>
    </row>
    <row r="23" spans="1:9" ht="18.75" customHeight="1" x14ac:dyDescent="0.2">
      <c r="A23" s="14"/>
      <c r="B23" s="195"/>
      <c r="C23" s="196"/>
      <c r="D23" s="196"/>
      <c r="E23" s="196"/>
      <c r="F23" s="196"/>
      <c r="G23" s="196"/>
      <c r="H23" s="196"/>
      <c r="I23" s="197"/>
    </row>
    <row r="24" spans="1:9" ht="18.75" customHeight="1" x14ac:dyDescent="0.2">
      <c r="A24" s="14"/>
      <c r="B24" s="195"/>
      <c r="C24" s="196"/>
      <c r="D24" s="196"/>
      <c r="E24" s="196"/>
      <c r="F24" s="196"/>
      <c r="G24" s="196"/>
      <c r="H24" s="196"/>
      <c r="I24" s="197"/>
    </row>
    <row r="25" spans="1:9" ht="18.75" customHeight="1" x14ac:dyDescent="0.2">
      <c r="A25" s="14"/>
      <c r="B25" s="195"/>
      <c r="C25" s="196"/>
      <c r="D25" s="196"/>
      <c r="E25" s="196"/>
      <c r="F25" s="196"/>
      <c r="G25" s="196"/>
      <c r="H25" s="196"/>
      <c r="I25" s="197"/>
    </row>
    <row r="26" spans="1:9" ht="18.75" customHeight="1" x14ac:dyDescent="0.2">
      <c r="A26" s="14"/>
      <c r="B26" s="195"/>
      <c r="C26" s="196"/>
      <c r="D26" s="196"/>
      <c r="E26" s="196"/>
      <c r="F26" s="196"/>
      <c r="G26" s="196"/>
      <c r="H26" s="196"/>
      <c r="I26" s="197"/>
    </row>
    <row r="27" spans="1:9" ht="18.75" customHeight="1" x14ac:dyDescent="0.2">
      <c r="A27" s="14"/>
      <c r="B27" s="195"/>
      <c r="C27" s="196"/>
      <c r="D27" s="196"/>
      <c r="E27" s="196"/>
      <c r="F27" s="196"/>
      <c r="G27" s="196"/>
      <c r="H27" s="196"/>
      <c r="I27" s="197"/>
    </row>
    <row r="28" spans="1:9" ht="18.75" customHeight="1" x14ac:dyDescent="0.2">
      <c r="A28" s="14"/>
      <c r="B28" s="195"/>
      <c r="C28" s="196"/>
      <c r="D28" s="196"/>
      <c r="E28" s="196"/>
      <c r="F28" s="196"/>
      <c r="G28" s="196"/>
      <c r="H28" s="196"/>
      <c r="I28" s="197"/>
    </row>
    <row r="29" spans="1:9" ht="18.75" customHeight="1" x14ac:dyDescent="0.2">
      <c r="A29" s="14"/>
      <c r="B29" s="195"/>
      <c r="C29" s="196"/>
      <c r="D29" s="196"/>
      <c r="E29" s="196"/>
      <c r="F29" s="196"/>
      <c r="G29" s="196"/>
      <c r="H29" s="196"/>
      <c r="I29" s="197"/>
    </row>
    <row r="30" spans="1:9" ht="18.75" customHeight="1" x14ac:dyDescent="0.2">
      <c r="A30" s="14"/>
      <c r="B30" s="198"/>
      <c r="C30" s="199"/>
      <c r="D30" s="199"/>
      <c r="E30" s="199"/>
      <c r="F30" s="199"/>
      <c r="G30" s="199"/>
      <c r="H30" s="199"/>
      <c r="I30" s="197"/>
    </row>
    <row r="31" spans="1:9" ht="18.75" customHeight="1" x14ac:dyDescent="0.2">
      <c r="A31" s="14"/>
      <c r="B31" s="198"/>
      <c r="C31" s="199"/>
      <c r="D31" s="199"/>
      <c r="E31" s="199"/>
      <c r="F31" s="199"/>
      <c r="G31" s="199"/>
      <c r="H31" s="199"/>
      <c r="I31" s="197"/>
    </row>
    <row r="32" spans="1:9" ht="18.75" customHeight="1" x14ac:dyDescent="0.2">
      <c r="A32" s="14"/>
      <c r="B32" s="200"/>
      <c r="C32" s="201"/>
      <c r="D32" s="201"/>
      <c r="E32" s="201"/>
      <c r="F32" s="201"/>
      <c r="G32" s="201"/>
      <c r="H32" s="201"/>
      <c r="I32" s="202"/>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79" t="s">
        <v>147</v>
      </c>
      <c r="C35" s="180"/>
      <c r="D35" s="180"/>
      <c r="E35" s="180"/>
      <c r="F35" s="180" t="s">
        <v>164</v>
      </c>
      <c r="G35" s="180"/>
      <c r="H35" s="180"/>
      <c r="I35" s="185"/>
    </row>
    <row r="36" spans="1:9" ht="18.75" customHeight="1" x14ac:dyDescent="0.2">
      <c r="A36" s="14"/>
      <c r="B36" s="181"/>
      <c r="C36" s="182"/>
      <c r="D36" s="182"/>
      <c r="E36" s="182"/>
      <c r="F36" s="182"/>
      <c r="G36" s="182"/>
      <c r="H36" s="182"/>
      <c r="I36" s="186"/>
    </row>
    <row r="37" spans="1:9" ht="18.75" customHeight="1" x14ac:dyDescent="0.2">
      <c r="A37" s="14"/>
      <c r="B37" s="181"/>
      <c r="C37" s="182"/>
      <c r="D37" s="182"/>
      <c r="E37" s="182"/>
      <c r="F37" s="182"/>
      <c r="G37" s="182"/>
      <c r="H37" s="182"/>
      <c r="I37" s="186"/>
    </row>
    <row r="38" spans="1:9" ht="18.75" customHeight="1" x14ac:dyDescent="0.2">
      <c r="A38" s="14"/>
      <c r="B38" s="181"/>
      <c r="C38" s="182"/>
      <c r="D38" s="182"/>
      <c r="E38" s="182"/>
      <c r="F38" s="182"/>
      <c r="G38" s="182"/>
      <c r="H38" s="182"/>
      <c r="I38" s="186"/>
    </row>
    <row r="39" spans="1:9" ht="18.75" customHeight="1" x14ac:dyDescent="0.2">
      <c r="A39" s="14"/>
      <c r="B39" s="181"/>
      <c r="C39" s="182"/>
      <c r="D39" s="182"/>
      <c r="E39" s="182"/>
      <c r="F39" s="182"/>
      <c r="G39" s="182"/>
      <c r="H39" s="182"/>
      <c r="I39" s="186"/>
    </row>
    <row r="40" spans="1:9" ht="18.75" customHeight="1" x14ac:dyDescent="0.2">
      <c r="A40" s="14"/>
      <c r="B40" s="181"/>
      <c r="C40" s="182"/>
      <c r="D40" s="182"/>
      <c r="E40" s="182"/>
      <c r="F40" s="182"/>
      <c r="G40" s="182"/>
      <c r="H40" s="182"/>
      <c r="I40" s="186"/>
    </row>
    <row r="41" spans="1:9" ht="18.75" customHeight="1" x14ac:dyDescent="0.2">
      <c r="A41" s="14"/>
      <c r="B41" s="181"/>
      <c r="C41" s="182"/>
      <c r="D41" s="182"/>
      <c r="E41" s="182"/>
      <c r="F41" s="182"/>
      <c r="G41" s="182"/>
      <c r="H41" s="182"/>
      <c r="I41" s="186"/>
    </row>
    <row r="42" spans="1:9" ht="18.75" customHeight="1" x14ac:dyDescent="0.2">
      <c r="A42" s="14"/>
      <c r="B42" s="181"/>
      <c r="C42" s="182"/>
      <c r="D42" s="182"/>
      <c r="E42" s="182"/>
      <c r="F42" s="182"/>
      <c r="G42" s="182"/>
      <c r="H42" s="182"/>
      <c r="I42" s="186"/>
    </row>
    <row r="43" spans="1:9" ht="18.75" customHeight="1" x14ac:dyDescent="0.2">
      <c r="A43" s="14"/>
      <c r="B43" s="181"/>
      <c r="C43" s="182"/>
      <c r="D43" s="182"/>
      <c r="E43" s="182"/>
      <c r="F43" s="182"/>
      <c r="G43" s="182"/>
      <c r="H43" s="182"/>
      <c r="I43" s="186"/>
    </row>
    <row r="44" spans="1:9" ht="18.75" customHeight="1" x14ac:dyDescent="0.2">
      <c r="A44" s="14"/>
      <c r="B44" s="181"/>
      <c r="C44" s="182"/>
      <c r="D44" s="182"/>
      <c r="E44" s="182"/>
      <c r="F44" s="182"/>
      <c r="G44" s="182"/>
      <c r="H44" s="182"/>
      <c r="I44" s="186"/>
    </row>
    <row r="45" spans="1:9" ht="18.75" customHeight="1" x14ac:dyDescent="0.2">
      <c r="A45" s="14"/>
      <c r="B45" s="181"/>
      <c r="C45" s="182"/>
      <c r="D45" s="182"/>
      <c r="E45" s="182"/>
      <c r="F45" s="182"/>
      <c r="G45" s="182"/>
      <c r="H45" s="182"/>
      <c r="I45" s="186"/>
    </row>
    <row r="46" spans="1:9" ht="18.75" customHeight="1" x14ac:dyDescent="0.2">
      <c r="A46" s="14"/>
      <c r="B46" s="183"/>
      <c r="C46" s="184"/>
      <c r="D46" s="184"/>
      <c r="E46" s="184"/>
      <c r="F46" s="184"/>
      <c r="G46" s="184"/>
      <c r="H46" s="184"/>
      <c r="I46" s="187"/>
    </row>
    <row r="47" spans="1:9" ht="7.5" customHeight="1" x14ac:dyDescent="0.2">
      <c r="A47" s="4"/>
      <c r="B47" s="4"/>
      <c r="C47" s="4"/>
      <c r="D47" s="4"/>
      <c r="E47" s="4"/>
      <c r="F47" s="4"/>
      <c r="G47" s="4"/>
      <c r="H47" s="4"/>
      <c r="I47" s="4"/>
    </row>
    <row r="48" spans="1:9" ht="18.75" customHeight="1" x14ac:dyDescent="0.2">
      <c r="A48" s="1" t="s">
        <v>31</v>
      </c>
      <c r="B48" s="1" t="s">
        <v>104</v>
      </c>
    </row>
    <row r="49" spans="1:15" s="3" customFormat="1" ht="18.75" customHeight="1" x14ac:dyDescent="0.2">
      <c r="B49" s="76" t="s">
        <v>128</v>
      </c>
      <c r="C49" s="233">
        <f>'様式２ 履修者等数の実績'!S33</f>
        <v>0.11519607843137254</v>
      </c>
      <c r="D49" s="233"/>
      <c r="E49" s="76" t="s">
        <v>60</v>
      </c>
      <c r="F49" s="233">
        <v>0.15</v>
      </c>
      <c r="G49" s="233"/>
      <c r="H49" s="76" t="s">
        <v>80</v>
      </c>
      <c r="I49" s="21">
        <v>0.2</v>
      </c>
      <c r="J49" s="1"/>
      <c r="M49" s="1"/>
      <c r="N49" s="22"/>
    </row>
    <row r="50" spans="1:15" s="3" customFormat="1" ht="18.75" customHeight="1" x14ac:dyDescent="0.2">
      <c r="B50" s="77" t="s">
        <v>115</v>
      </c>
      <c r="C50" s="216">
        <v>0.25</v>
      </c>
      <c r="D50" s="216"/>
      <c r="E50" s="77" t="s">
        <v>129</v>
      </c>
      <c r="F50" s="216">
        <v>0.3</v>
      </c>
      <c r="G50" s="216"/>
      <c r="H50" s="77" t="s">
        <v>61</v>
      </c>
      <c r="I50" s="23">
        <f>'様式２ 履修者等数の実績'!E33</f>
        <v>2040</v>
      </c>
      <c r="J50" s="1"/>
      <c r="M50" s="1"/>
      <c r="N50" s="22"/>
    </row>
    <row r="51" spans="1:15" ht="18.75" customHeight="1" x14ac:dyDescent="0.2">
      <c r="A51" s="1"/>
      <c r="B51" s="213" t="s">
        <v>62</v>
      </c>
      <c r="C51" s="214"/>
      <c r="D51" s="214"/>
      <c r="E51" s="214"/>
      <c r="F51" s="214"/>
      <c r="G51" s="214"/>
      <c r="H51" s="214"/>
      <c r="I51" s="215"/>
      <c r="N51" s="22"/>
      <c r="O51" s="3"/>
    </row>
    <row r="52" spans="1:15" ht="18.75" customHeight="1" x14ac:dyDescent="0.2">
      <c r="A52" s="1"/>
      <c r="B52" s="234" t="s">
        <v>168</v>
      </c>
      <c r="C52" s="235"/>
      <c r="D52" s="235"/>
      <c r="E52" s="235"/>
      <c r="F52" s="235"/>
      <c r="G52" s="235"/>
      <c r="H52" s="235"/>
      <c r="I52" s="236"/>
      <c r="N52" s="22"/>
      <c r="O52" s="3"/>
    </row>
    <row r="53" spans="1:15" ht="18.75" customHeight="1" x14ac:dyDescent="0.2">
      <c r="A53" s="1"/>
      <c r="B53" s="237"/>
      <c r="C53" s="238"/>
      <c r="D53" s="238"/>
      <c r="E53" s="238"/>
      <c r="F53" s="238"/>
      <c r="G53" s="238"/>
      <c r="H53" s="238"/>
      <c r="I53" s="239"/>
      <c r="N53" s="22"/>
      <c r="O53" s="3"/>
    </row>
    <row r="54" spans="1:15" ht="18.75" customHeight="1" x14ac:dyDescent="0.2">
      <c r="A54" s="1"/>
      <c r="B54" s="237"/>
      <c r="C54" s="238"/>
      <c r="D54" s="238"/>
      <c r="E54" s="238"/>
      <c r="F54" s="238"/>
      <c r="G54" s="238"/>
      <c r="H54" s="238"/>
      <c r="I54" s="239"/>
    </row>
    <row r="55" spans="1:15" ht="18.75" customHeight="1" x14ac:dyDescent="0.2">
      <c r="A55" s="1"/>
      <c r="B55" s="237"/>
      <c r="C55" s="238"/>
      <c r="D55" s="238"/>
      <c r="E55" s="238"/>
      <c r="F55" s="238"/>
      <c r="G55" s="238"/>
      <c r="H55" s="238"/>
      <c r="I55" s="239"/>
    </row>
    <row r="56" spans="1:15" ht="18.75" customHeight="1" x14ac:dyDescent="0.2">
      <c r="A56" s="1"/>
      <c r="B56" s="237"/>
      <c r="C56" s="238"/>
      <c r="D56" s="238"/>
      <c r="E56" s="238"/>
      <c r="F56" s="238"/>
      <c r="G56" s="238"/>
      <c r="H56" s="238"/>
      <c r="I56" s="239"/>
    </row>
    <row r="57" spans="1:15" ht="18.75" customHeight="1" x14ac:dyDescent="0.2">
      <c r="A57" s="1"/>
      <c r="B57" s="237"/>
      <c r="C57" s="238"/>
      <c r="D57" s="238"/>
      <c r="E57" s="238"/>
      <c r="F57" s="238"/>
      <c r="G57" s="238"/>
      <c r="H57" s="238"/>
      <c r="I57" s="239"/>
    </row>
    <row r="58" spans="1:15" ht="18.75" customHeight="1" x14ac:dyDescent="0.2">
      <c r="A58" s="1"/>
      <c r="B58" s="237"/>
      <c r="C58" s="238"/>
      <c r="D58" s="238"/>
      <c r="E58" s="238"/>
      <c r="F58" s="238"/>
      <c r="G58" s="238"/>
      <c r="H58" s="238"/>
      <c r="I58" s="239"/>
    </row>
    <row r="59" spans="1:15" ht="18.75" customHeight="1" x14ac:dyDescent="0.2">
      <c r="A59" s="1"/>
      <c r="B59" s="237"/>
      <c r="C59" s="238"/>
      <c r="D59" s="238"/>
      <c r="E59" s="238"/>
      <c r="F59" s="238"/>
      <c r="G59" s="238"/>
      <c r="H59" s="238"/>
      <c r="I59" s="239"/>
    </row>
    <row r="60" spans="1:15" ht="18.75" customHeight="1" x14ac:dyDescent="0.2">
      <c r="A60" s="1"/>
      <c r="B60" s="237"/>
      <c r="C60" s="238"/>
      <c r="D60" s="238"/>
      <c r="E60" s="238"/>
      <c r="F60" s="238"/>
      <c r="G60" s="238"/>
      <c r="H60" s="238"/>
      <c r="I60" s="239"/>
    </row>
    <row r="61" spans="1:15" ht="18.75" customHeight="1" x14ac:dyDescent="0.2">
      <c r="A61" s="1"/>
      <c r="B61" s="237"/>
      <c r="C61" s="238"/>
      <c r="D61" s="238"/>
      <c r="E61" s="238"/>
      <c r="F61" s="238"/>
      <c r="G61" s="238"/>
      <c r="H61" s="238"/>
      <c r="I61" s="239"/>
    </row>
    <row r="62" spans="1:15" ht="18.75" customHeight="1" x14ac:dyDescent="0.2">
      <c r="A62" s="1"/>
      <c r="B62" s="237"/>
      <c r="C62" s="238"/>
      <c r="D62" s="238"/>
      <c r="E62" s="238"/>
      <c r="F62" s="238"/>
      <c r="G62" s="238"/>
      <c r="H62" s="238"/>
      <c r="I62" s="239"/>
    </row>
    <row r="63" spans="1:15" ht="18.75" customHeight="1" x14ac:dyDescent="0.2">
      <c r="A63" s="1"/>
      <c r="B63" s="240"/>
      <c r="C63" s="241"/>
      <c r="D63" s="241"/>
      <c r="E63" s="241"/>
      <c r="F63" s="241"/>
      <c r="G63" s="241"/>
      <c r="H63" s="241"/>
      <c r="I63" s="242"/>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17" t="s">
        <v>167</v>
      </c>
      <c r="C66" s="218"/>
      <c r="D66" s="218"/>
      <c r="E66" s="218"/>
      <c r="F66" s="218"/>
      <c r="G66" s="218"/>
      <c r="H66" s="218"/>
      <c r="I66" s="219"/>
    </row>
    <row r="67" spans="1:9" ht="18.75" customHeight="1" x14ac:dyDescent="0.2">
      <c r="A67" s="4"/>
      <c r="B67" s="220"/>
      <c r="C67" s="221"/>
      <c r="D67" s="221"/>
      <c r="E67" s="221"/>
      <c r="F67" s="221"/>
      <c r="G67" s="221"/>
      <c r="H67" s="221"/>
      <c r="I67" s="222"/>
    </row>
    <row r="68" spans="1:9" ht="18.75" customHeight="1" x14ac:dyDescent="0.2">
      <c r="A68" s="4"/>
      <c r="B68" s="220"/>
      <c r="C68" s="221"/>
      <c r="D68" s="221"/>
      <c r="E68" s="221"/>
      <c r="F68" s="221"/>
      <c r="G68" s="221"/>
      <c r="H68" s="221"/>
      <c r="I68" s="222"/>
    </row>
    <row r="69" spans="1:9" ht="18.75" customHeight="1" x14ac:dyDescent="0.2">
      <c r="A69" s="4"/>
      <c r="B69" s="220"/>
      <c r="C69" s="221"/>
      <c r="D69" s="221"/>
      <c r="E69" s="221"/>
      <c r="F69" s="221"/>
      <c r="G69" s="221"/>
      <c r="H69" s="221"/>
      <c r="I69" s="222"/>
    </row>
    <row r="70" spans="1:9" ht="18.75" customHeight="1" x14ac:dyDescent="0.2">
      <c r="A70" s="4"/>
      <c r="B70" s="220"/>
      <c r="C70" s="221"/>
      <c r="D70" s="221"/>
      <c r="E70" s="221"/>
      <c r="F70" s="221"/>
      <c r="G70" s="221"/>
      <c r="H70" s="221"/>
      <c r="I70" s="222"/>
    </row>
    <row r="71" spans="1:9" ht="18.75" customHeight="1" x14ac:dyDescent="0.2">
      <c r="A71" s="4"/>
      <c r="B71" s="220"/>
      <c r="C71" s="221"/>
      <c r="D71" s="221"/>
      <c r="E71" s="221"/>
      <c r="F71" s="221"/>
      <c r="G71" s="221"/>
      <c r="H71" s="221"/>
      <c r="I71" s="222"/>
    </row>
    <row r="72" spans="1:9" ht="18.75" customHeight="1" x14ac:dyDescent="0.2">
      <c r="A72" s="4"/>
      <c r="B72" s="220"/>
      <c r="C72" s="221"/>
      <c r="D72" s="221"/>
      <c r="E72" s="221"/>
      <c r="F72" s="221"/>
      <c r="G72" s="221"/>
      <c r="H72" s="221"/>
      <c r="I72" s="222"/>
    </row>
    <row r="73" spans="1:9" ht="18.75" customHeight="1" x14ac:dyDescent="0.2">
      <c r="A73" s="4"/>
      <c r="B73" s="220"/>
      <c r="C73" s="221"/>
      <c r="D73" s="221"/>
      <c r="E73" s="221"/>
      <c r="F73" s="221"/>
      <c r="G73" s="221"/>
      <c r="H73" s="221"/>
      <c r="I73" s="222"/>
    </row>
    <row r="74" spans="1:9" ht="18.75" customHeight="1" x14ac:dyDescent="0.2">
      <c r="A74" s="4"/>
      <c r="B74" s="220"/>
      <c r="C74" s="221"/>
      <c r="D74" s="221"/>
      <c r="E74" s="221"/>
      <c r="F74" s="221"/>
      <c r="G74" s="221"/>
      <c r="H74" s="221"/>
      <c r="I74" s="222"/>
    </row>
    <row r="75" spans="1:9" ht="18.75" customHeight="1" x14ac:dyDescent="0.2">
      <c r="A75" s="4"/>
      <c r="B75" s="220"/>
      <c r="C75" s="221"/>
      <c r="D75" s="221"/>
      <c r="E75" s="221"/>
      <c r="F75" s="221"/>
      <c r="G75" s="221"/>
      <c r="H75" s="221"/>
      <c r="I75" s="222"/>
    </row>
    <row r="76" spans="1:9" ht="18.75" customHeight="1" x14ac:dyDescent="0.2">
      <c r="A76" s="4"/>
      <c r="B76" s="220"/>
      <c r="C76" s="221"/>
      <c r="D76" s="221"/>
      <c r="E76" s="221"/>
      <c r="F76" s="221"/>
      <c r="G76" s="221"/>
      <c r="H76" s="221"/>
      <c r="I76" s="222"/>
    </row>
    <row r="77" spans="1:9" ht="18.75" customHeight="1" x14ac:dyDescent="0.2">
      <c r="A77" s="4"/>
      <c r="B77" s="223"/>
      <c r="C77" s="224"/>
      <c r="D77" s="224"/>
      <c r="E77" s="224"/>
      <c r="F77" s="224"/>
      <c r="G77" s="224"/>
      <c r="H77" s="224"/>
      <c r="I77" s="225"/>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217" t="s">
        <v>165</v>
      </c>
      <c r="C80" s="218"/>
      <c r="D80" s="218"/>
      <c r="E80" s="218"/>
      <c r="F80" s="218"/>
      <c r="G80" s="218"/>
      <c r="H80" s="218"/>
      <c r="I80" s="226"/>
    </row>
    <row r="81" spans="1:9" ht="18.75" customHeight="1" x14ac:dyDescent="0.2">
      <c r="A81" s="1"/>
      <c r="B81" s="227"/>
      <c r="C81" s="228"/>
      <c r="D81" s="228"/>
      <c r="E81" s="228"/>
      <c r="F81" s="228"/>
      <c r="G81" s="228"/>
      <c r="H81" s="228"/>
      <c r="I81" s="229"/>
    </row>
    <row r="82" spans="1:9" ht="18.75" customHeight="1" x14ac:dyDescent="0.2">
      <c r="A82" s="1"/>
      <c r="B82" s="227"/>
      <c r="C82" s="228"/>
      <c r="D82" s="228"/>
      <c r="E82" s="228"/>
      <c r="F82" s="228"/>
      <c r="G82" s="228"/>
      <c r="H82" s="228"/>
      <c r="I82" s="229"/>
    </row>
    <row r="83" spans="1:9" ht="18.75" customHeight="1" x14ac:dyDescent="0.2">
      <c r="A83" s="1"/>
      <c r="B83" s="227"/>
      <c r="C83" s="228"/>
      <c r="D83" s="228"/>
      <c r="E83" s="228"/>
      <c r="F83" s="228"/>
      <c r="G83" s="228"/>
      <c r="H83" s="228"/>
      <c r="I83" s="229"/>
    </row>
    <row r="84" spans="1:9" ht="18.75" customHeight="1" x14ac:dyDescent="0.2">
      <c r="A84" s="1"/>
      <c r="B84" s="227"/>
      <c r="C84" s="228"/>
      <c r="D84" s="228"/>
      <c r="E84" s="228"/>
      <c r="F84" s="228"/>
      <c r="G84" s="228"/>
      <c r="H84" s="228"/>
      <c r="I84" s="229"/>
    </row>
    <row r="85" spans="1:9" ht="18.75" customHeight="1" x14ac:dyDescent="0.2">
      <c r="A85" s="1"/>
      <c r="B85" s="227"/>
      <c r="C85" s="228"/>
      <c r="D85" s="228"/>
      <c r="E85" s="228"/>
      <c r="F85" s="228"/>
      <c r="G85" s="228"/>
      <c r="H85" s="228"/>
      <c r="I85" s="229"/>
    </row>
    <row r="86" spans="1:9" ht="18.75" customHeight="1" x14ac:dyDescent="0.2">
      <c r="A86" s="1"/>
      <c r="B86" s="227"/>
      <c r="C86" s="228"/>
      <c r="D86" s="228"/>
      <c r="E86" s="228"/>
      <c r="F86" s="228"/>
      <c r="G86" s="228"/>
      <c r="H86" s="228"/>
      <c r="I86" s="229"/>
    </row>
    <row r="87" spans="1:9" ht="18.75" customHeight="1" x14ac:dyDescent="0.2">
      <c r="A87" s="1"/>
      <c r="B87" s="227"/>
      <c r="C87" s="228"/>
      <c r="D87" s="228"/>
      <c r="E87" s="228"/>
      <c r="F87" s="228"/>
      <c r="G87" s="228"/>
      <c r="H87" s="228"/>
      <c r="I87" s="229"/>
    </row>
    <row r="88" spans="1:9" ht="18.75" customHeight="1" x14ac:dyDescent="0.2">
      <c r="A88" s="1"/>
      <c r="B88" s="227"/>
      <c r="C88" s="228"/>
      <c r="D88" s="228"/>
      <c r="E88" s="228"/>
      <c r="F88" s="228"/>
      <c r="G88" s="228"/>
      <c r="H88" s="228"/>
      <c r="I88" s="229"/>
    </row>
    <row r="89" spans="1:9" ht="13" customHeight="1" x14ac:dyDescent="0.2">
      <c r="A89" s="1"/>
      <c r="B89" s="227"/>
      <c r="C89" s="228"/>
      <c r="D89" s="228"/>
      <c r="E89" s="228"/>
      <c r="F89" s="228"/>
      <c r="G89" s="228"/>
      <c r="H89" s="228"/>
      <c r="I89" s="229"/>
    </row>
    <row r="90" spans="1:9" ht="13.5" customHeight="1" x14ac:dyDescent="0.2">
      <c r="A90" s="4"/>
      <c r="B90" s="227"/>
      <c r="C90" s="228"/>
      <c r="D90" s="228"/>
      <c r="E90" s="228"/>
      <c r="F90" s="228"/>
      <c r="G90" s="228"/>
      <c r="H90" s="228"/>
      <c r="I90" s="229"/>
    </row>
    <row r="91" spans="1:9" ht="18.75" customHeight="1" x14ac:dyDescent="0.2">
      <c r="A91" s="4"/>
      <c r="B91" s="230"/>
      <c r="C91" s="231"/>
      <c r="D91" s="231"/>
      <c r="E91" s="231"/>
      <c r="F91" s="231"/>
      <c r="G91" s="231"/>
      <c r="H91" s="231"/>
      <c r="I91" s="232"/>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92" t="s">
        <v>169</v>
      </c>
      <c r="C94" s="193"/>
      <c r="D94" s="193"/>
      <c r="E94" s="193"/>
      <c r="F94" s="193"/>
      <c r="G94" s="193"/>
      <c r="H94" s="193"/>
      <c r="I94" s="194"/>
    </row>
    <row r="95" spans="1:9" ht="18.75" customHeight="1" x14ac:dyDescent="0.2">
      <c r="A95" s="1"/>
      <c r="B95" s="198"/>
      <c r="C95" s="199"/>
      <c r="D95" s="199"/>
      <c r="E95" s="199"/>
      <c r="F95" s="199"/>
      <c r="G95" s="199"/>
      <c r="H95" s="199"/>
      <c r="I95" s="197"/>
    </row>
    <row r="96" spans="1:9" ht="18.75" customHeight="1" x14ac:dyDescent="0.2">
      <c r="A96" s="1"/>
      <c r="B96" s="198"/>
      <c r="C96" s="199"/>
      <c r="D96" s="199"/>
      <c r="E96" s="199"/>
      <c r="F96" s="199"/>
      <c r="G96" s="199"/>
      <c r="H96" s="199"/>
      <c r="I96" s="197"/>
    </row>
    <row r="97" spans="1:9" ht="18.75" customHeight="1" x14ac:dyDescent="0.2">
      <c r="A97" s="1"/>
      <c r="B97" s="198"/>
      <c r="C97" s="199"/>
      <c r="D97" s="199"/>
      <c r="E97" s="199"/>
      <c r="F97" s="199"/>
      <c r="G97" s="199"/>
      <c r="H97" s="199"/>
      <c r="I97" s="197"/>
    </row>
    <row r="98" spans="1:9" ht="18.75" customHeight="1" x14ac:dyDescent="0.2">
      <c r="A98" s="1"/>
      <c r="B98" s="198"/>
      <c r="C98" s="199"/>
      <c r="D98" s="199"/>
      <c r="E98" s="199"/>
      <c r="F98" s="199"/>
      <c r="G98" s="199"/>
      <c r="H98" s="199"/>
      <c r="I98" s="197"/>
    </row>
    <row r="99" spans="1:9" ht="18.75" customHeight="1" x14ac:dyDescent="0.2">
      <c r="A99" s="1"/>
      <c r="B99" s="198"/>
      <c r="C99" s="199"/>
      <c r="D99" s="199"/>
      <c r="E99" s="199"/>
      <c r="F99" s="199"/>
      <c r="G99" s="199"/>
      <c r="H99" s="199"/>
      <c r="I99" s="197"/>
    </row>
    <row r="100" spans="1:9" ht="18.75" customHeight="1" x14ac:dyDescent="0.2">
      <c r="A100" s="1"/>
      <c r="B100" s="198"/>
      <c r="C100" s="199"/>
      <c r="D100" s="199"/>
      <c r="E100" s="199"/>
      <c r="F100" s="199"/>
      <c r="G100" s="199"/>
      <c r="H100" s="199"/>
      <c r="I100" s="197"/>
    </row>
    <row r="101" spans="1:9" ht="18.75" customHeight="1" x14ac:dyDescent="0.2">
      <c r="A101" s="1"/>
      <c r="B101" s="198"/>
      <c r="C101" s="199"/>
      <c r="D101" s="199"/>
      <c r="E101" s="199"/>
      <c r="F101" s="199"/>
      <c r="G101" s="199"/>
      <c r="H101" s="199"/>
      <c r="I101" s="197"/>
    </row>
    <row r="102" spans="1:9" ht="18.75" customHeight="1" x14ac:dyDescent="0.2">
      <c r="A102" s="1"/>
      <c r="B102" s="198"/>
      <c r="C102" s="199"/>
      <c r="D102" s="199"/>
      <c r="E102" s="199"/>
      <c r="F102" s="199"/>
      <c r="G102" s="199"/>
      <c r="H102" s="199"/>
      <c r="I102" s="197"/>
    </row>
    <row r="103" spans="1:9" ht="18.75" customHeight="1" x14ac:dyDescent="0.2">
      <c r="A103" s="1"/>
      <c r="B103" s="198"/>
      <c r="C103" s="199"/>
      <c r="D103" s="199"/>
      <c r="E103" s="199"/>
      <c r="F103" s="199"/>
      <c r="G103" s="199"/>
      <c r="H103" s="199"/>
      <c r="I103" s="197"/>
    </row>
    <row r="104" spans="1:9" ht="18.75" customHeight="1" x14ac:dyDescent="0.2">
      <c r="A104" s="1"/>
      <c r="B104" s="198"/>
      <c r="C104" s="199"/>
      <c r="D104" s="199"/>
      <c r="E104" s="199"/>
      <c r="F104" s="199"/>
      <c r="G104" s="199"/>
      <c r="H104" s="199"/>
      <c r="I104" s="197"/>
    </row>
    <row r="105" spans="1:9" ht="18.75" customHeight="1" x14ac:dyDescent="0.2">
      <c r="A105" s="4"/>
      <c r="B105" s="200"/>
      <c r="C105" s="201"/>
      <c r="D105" s="201"/>
      <c r="E105" s="201"/>
      <c r="F105" s="201"/>
      <c r="G105" s="201"/>
      <c r="H105" s="201"/>
      <c r="I105" s="202"/>
    </row>
    <row r="106" spans="1:9" ht="7.5" customHeight="1" x14ac:dyDescent="0.2">
      <c r="A106" s="4"/>
      <c r="B106" s="4"/>
      <c r="C106" s="4"/>
      <c r="D106" s="4"/>
      <c r="E106" s="4"/>
      <c r="F106" s="4"/>
      <c r="G106" s="4"/>
      <c r="H106" s="4"/>
      <c r="I106" s="4"/>
    </row>
    <row r="107" spans="1:9" ht="18.75" customHeight="1" x14ac:dyDescent="0.2">
      <c r="A107" s="1" t="s">
        <v>30</v>
      </c>
      <c r="B107" s="212" t="s">
        <v>44</v>
      </c>
      <c r="C107" s="212"/>
      <c r="D107" s="212"/>
      <c r="E107" s="212"/>
      <c r="F107" s="212"/>
      <c r="G107" s="212"/>
      <c r="H107" s="212"/>
      <c r="I107" s="212"/>
    </row>
    <row r="108" spans="1:9" ht="18.75" customHeight="1" x14ac:dyDescent="0.2">
      <c r="A108" s="4"/>
      <c r="B108" s="192" t="s">
        <v>170</v>
      </c>
      <c r="C108" s="193"/>
      <c r="D108" s="193"/>
      <c r="E108" s="193"/>
      <c r="F108" s="193"/>
      <c r="G108" s="193"/>
      <c r="H108" s="193"/>
      <c r="I108" s="194"/>
    </row>
    <row r="109" spans="1:9" ht="18.75" customHeight="1" x14ac:dyDescent="0.2">
      <c r="A109" s="4"/>
      <c r="B109" s="198"/>
      <c r="C109" s="199"/>
      <c r="D109" s="199"/>
      <c r="E109" s="199"/>
      <c r="F109" s="199"/>
      <c r="G109" s="199"/>
      <c r="H109" s="199"/>
      <c r="I109" s="197"/>
    </row>
    <row r="110" spans="1:9" ht="18.75" customHeight="1" x14ac:dyDescent="0.2">
      <c r="A110" s="4"/>
      <c r="B110" s="198"/>
      <c r="C110" s="199"/>
      <c r="D110" s="199"/>
      <c r="E110" s="199"/>
      <c r="F110" s="199"/>
      <c r="G110" s="199"/>
      <c r="H110" s="199"/>
      <c r="I110" s="197"/>
    </row>
    <row r="111" spans="1:9" ht="18.75" customHeight="1" x14ac:dyDescent="0.2">
      <c r="A111" s="4"/>
      <c r="B111" s="198"/>
      <c r="C111" s="199"/>
      <c r="D111" s="199"/>
      <c r="E111" s="199"/>
      <c r="F111" s="199"/>
      <c r="G111" s="199"/>
      <c r="H111" s="199"/>
      <c r="I111" s="197"/>
    </row>
    <row r="112" spans="1:9" ht="18.75" customHeight="1" x14ac:dyDescent="0.2">
      <c r="A112" s="4"/>
      <c r="B112" s="198"/>
      <c r="C112" s="199"/>
      <c r="D112" s="199"/>
      <c r="E112" s="199"/>
      <c r="F112" s="199"/>
      <c r="G112" s="199"/>
      <c r="H112" s="199"/>
      <c r="I112" s="197"/>
    </row>
    <row r="113" spans="1:9" ht="18.75" customHeight="1" x14ac:dyDescent="0.2">
      <c r="A113" s="4"/>
      <c r="B113" s="198"/>
      <c r="C113" s="199"/>
      <c r="D113" s="199"/>
      <c r="E113" s="199"/>
      <c r="F113" s="199"/>
      <c r="G113" s="199"/>
      <c r="H113" s="199"/>
      <c r="I113" s="197"/>
    </row>
    <row r="114" spans="1:9" ht="18.75" customHeight="1" x14ac:dyDescent="0.2">
      <c r="A114" s="4"/>
      <c r="B114" s="198"/>
      <c r="C114" s="199"/>
      <c r="D114" s="199"/>
      <c r="E114" s="199"/>
      <c r="F114" s="199"/>
      <c r="G114" s="199"/>
      <c r="H114" s="199"/>
      <c r="I114" s="197"/>
    </row>
    <row r="115" spans="1:9" ht="18.75" customHeight="1" x14ac:dyDescent="0.2">
      <c r="A115" s="4"/>
      <c r="B115" s="198"/>
      <c r="C115" s="199"/>
      <c r="D115" s="199"/>
      <c r="E115" s="199"/>
      <c r="F115" s="199"/>
      <c r="G115" s="199"/>
      <c r="H115" s="199"/>
      <c r="I115" s="197"/>
    </row>
    <row r="116" spans="1:9" ht="18.75" customHeight="1" x14ac:dyDescent="0.2">
      <c r="A116" s="4"/>
      <c r="B116" s="198"/>
      <c r="C116" s="199"/>
      <c r="D116" s="199"/>
      <c r="E116" s="199"/>
      <c r="F116" s="199"/>
      <c r="G116" s="199"/>
      <c r="H116" s="199"/>
      <c r="I116" s="197"/>
    </row>
    <row r="117" spans="1:9" ht="18.75" customHeight="1" x14ac:dyDescent="0.2">
      <c r="A117" s="4"/>
      <c r="B117" s="198"/>
      <c r="C117" s="199"/>
      <c r="D117" s="199"/>
      <c r="E117" s="199"/>
      <c r="F117" s="199"/>
      <c r="G117" s="199"/>
      <c r="H117" s="199"/>
      <c r="I117" s="197"/>
    </row>
    <row r="118" spans="1:9" ht="18.75" customHeight="1" x14ac:dyDescent="0.2">
      <c r="A118" s="4"/>
      <c r="B118" s="198"/>
      <c r="C118" s="199"/>
      <c r="D118" s="199"/>
      <c r="E118" s="199"/>
      <c r="F118" s="199"/>
      <c r="G118" s="199"/>
      <c r="H118" s="199"/>
      <c r="I118" s="197"/>
    </row>
    <row r="119" spans="1:9" ht="18.75" customHeight="1" x14ac:dyDescent="0.2">
      <c r="A119" s="4"/>
      <c r="B119" s="200"/>
      <c r="C119" s="201"/>
      <c r="D119" s="201"/>
      <c r="E119" s="201"/>
      <c r="F119" s="201"/>
      <c r="G119" s="201"/>
      <c r="H119" s="201"/>
      <c r="I119" s="202"/>
    </row>
    <row r="120" spans="1:9" ht="7.5" customHeight="1" x14ac:dyDescent="0.2">
      <c r="A120" s="4"/>
      <c r="B120" s="24"/>
      <c r="C120" s="24"/>
      <c r="D120" s="24"/>
      <c r="E120" s="24"/>
      <c r="F120" s="24"/>
      <c r="G120" s="24"/>
      <c r="H120" s="24"/>
      <c r="I120" s="24"/>
    </row>
    <row r="121" spans="1:9" ht="18.75" customHeight="1" x14ac:dyDescent="0.2">
      <c r="A121" s="48"/>
      <c r="B121" s="188"/>
      <c r="C121" s="188"/>
      <c r="D121" s="188"/>
      <c r="E121" s="188"/>
      <c r="F121" s="188"/>
      <c r="G121" s="188"/>
      <c r="H121" s="188"/>
      <c r="I121" s="188"/>
    </row>
    <row r="122" spans="1:9" ht="18.75" customHeight="1" x14ac:dyDescent="0.2">
      <c r="A122" s="48"/>
      <c r="B122" s="188"/>
      <c r="C122" s="188"/>
      <c r="D122" s="188"/>
      <c r="E122" s="188"/>
      <c r="F122" s="188"/>
      <c r="G122" s="188"/>
      <c r="H122" s="188"/>
      <c r="I122" s="188"/>
    </row>
    <row r="123" spans="1:9" ht="18.75" customHeight="1" x14ac:dyDescent="0.2">
      <c r="A123" s="4"/>
      <c r="B123" s="49"/>
      <c r="C123" s="49"/>
      <c r="D123" s="49"/>
      <c r="E123" s="49"/>
      <c r="F123" s="49"/>
      <c r="G123" s="49"/>
      <c r="H123" s="49"/>
      <c r="I123" s="50"/>
    </row>
    <row r="124" spans="1:9" ht="18.75" customHeight="1" x14ac:dyDescent="0.2">
      <c r="A124" s="4"/>
      <c r="B124" s="50"/>
      <c r="C124" s="50"/>
      <c r="D124" s="50"/>
      <c r="E124" s="50"/>
      <c r="F124" s="50"/>
      <c r="G124" s="50"/>
      <c r="H124" s="50"/>
      <c r="I124" s="50"/>
    </row>
    <row r="125" spans="1:9" ht="18.75" customHeight="1" x14ac:dyDescent="0.2">
      <c r="A125" s="4"/>
      <c r="B125" s="50"/>
      <c r="C125" s="50"/>
      <c r="D125" s="50"/>
      <c r="E125" s="50"/>
      <c r="F125" s="50"/>
      <c r="G125" s="50"/>
      <c r="H125" s="50"/>
      <c r="I125" s="50"/>
    </row>
    <row r="126" spans="1:9" ht="18.75" customHeight="1" x14ac:dyDescent="0.2">
      <c r="A126" s="4"/>
      <c r="B126" s="50"/>
      <c r="C126" s="50"/>
      <c r="D126" s="50"/>
      <c r="E126" s="50"/>
      <c r="F126" s="50"/>
      <c r="G126" s="50"/>
      <c r="H126" s="50"/>
      <c r="I126" s="50"/>
    </row>
    <row r="127" spans="1:9" ht="18.75" customHeight="1" x14ac:dyDescent="0.2">
      <c r="A127" s="4"/>
      <c r="B127" s="50"/>
      <c r="C127" s="50"/>
      <c r="D127" s="50"/>
      <c r="E127" s="50"/>
      <c r="F127" s="50"/>
      <c r="G127" s="50"/>
      <c r="H127" s="50"/>
      <c r="I127" s="50"/>
    </row>
    <row r="128" spans="1:9" ht="18.75" customHeight="1" x14ac:dyDescent="0.2">
      <c r="A128" s="4"/>
      <c r="B128" s="50"/>
      <c r="C128" s="50"/>
      <c r="D128" s="50"/>
      <c r="E128" s="50"/>
      <c r="F128" s="50"/>
      <c r="G128" s="50"/>
      <c r="H128" s="50"/>
      <c r="I128" s="50"/>
    </row>
    <row r="129" spans="1:9" ht="18.75" customHeight="1" x14ac:dyDescent="0.2">
      <c r="A129" s="4"/>
      <c r="B129" s="50"/>
      <c r="C129" s="50"/>
      <c r="D129" s="50"/>
      <c r="E129" s="50"/>
      <c r="F129" s="50"/>
      <c r="G129" s="50"/>
      <c r="H129" s="50"/>
      <c r="I129" s="50"/>
    </row>
    <row r="130" spans="1:9" ht="18.75" customHeight="1" x14ac:dyDescent="0.2">
      <c r="A130" s="4"/>
      <c r="B130" s="50"/>
      <c r="C130" s="50"/>
      <c r="D130" s="50"/>
      <c r="E130" s="50"/>
      <c r="F130" s="50"/>
      <c r="G130" s="50"/>
      <c r="H130" s="50"/>
      <c r="I130" s="50"/>
    </row>
    <row r="131" spans="1:9" ht="18.75" customHeight="1" x14ac:dyDescent="0.2">
      <c r="A131" s="4"/>
      <c r="B131" s="50"/>
      <c r="C131" s="50"/>
      <c r="D131" s="50"/>
      <c r="E131" s="50"/>
      <c r="F131" s="50"/>
      <c r="G131" s="50"/>
      <c r="H131" s="50"/>
      <c r="I131" s="50"/>
    </row>
    <row r="132" spans="1:9" ht="18.75" customHeight="1" x14ac:dyDescent="0.2">
      <c r="A132" s="4"/>
      <c r="B132" s="50"/>
      <c r="C132" s="50"/>
      <c r="D132" s="50"/>
      <c r="E132" s="50"/>
      <c r="F132" s="50"/>
      <c r="G132" s="50"/>
      <c r="H132" s="50"/>
      <c r="I132" s="50"/>
    </row>
    <row r="133" spans="1:9" ht="14" x14ac:dyDescent="0.2">
      <c r="A133" s="4"/>
      <c r="B133" s="50"/>
      <c r="C133" s="50"/>
      <c r="D133" s="50"/>
      <c r="E133" s="50"/>
      <c r="F133" s="50"/>
      <c r="G133" s="50"/>
      <c r="H133" s="50"/>
      <c r="I133" s="50"/>
    </row>
    <row r="134" spans="1:9" ht="7.5" customHeight="1" x14ac:dyDescent="0.2">
      <c r="A134" s="4"/>
      <c r="B134" s="50"/>
      <c r="C134" s="50"/>
      <c r="D134" s="50"/>
      <c r="E134" s="50"/>
      <c r="F134" s="50"/>
      <c r="G134" s="50"/>
      <c r="H134" s="50"/>
      <c r="I134" s="50"/>
    </row>
  </sheetData>
  <mergeCells count="24">
    <mergeCell ref="B51:I51"/>
    <mergeCell ref="F50:G50"/>
    <mergeCell ref="B66:I77"/>
    <mergeCell ref="B80:I91"/>
    <mergeCell ref="C49:D49"/>
    <mergeCell ref="C50:D50"/>
    <mergeCell ref="F49:G49"/>
    <mergeCell ref="B52:I63"/>
    <mergeCell ref="B35:E46"/>
    <mergeCell ref="F35:I46"/>
    <mergeCell ref="B121:I122"/>
    <mergeCell ref="H2:I2"/>
    <mergeCell ref="A4:I4"/>
    <mergeCell ref="B19:I19"/>
    <mergeCell ref="B22:I32"/>
    <mergeCell ref="B14:I14"/>
    <mergeCell ref="C16:E16"/>
    <mergeCell ref="H16:I16"/>
    <mergeCell ref="C11:E11"/>
    <mergeCell ref="H11:I11"/>
    <mergeCell ref="C6:D6"/>
    <mergeCell ref="B94:I105"/>
    <mergeCell ref="B107:I107"/>
    <mergeCell ref="B108:I119"/>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70" zoomScaleNormal="100" zoomScaleSheetLayoutView="70" workbookViewId="0">
      <selection activeCell="K13" sqref="K13"/>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1796875" style="1" customWidth="1"/>
    <col min="11" max="16384" width="11.36328125" style="1"/>
  </cols>
  <sheetData>
    <row r="1" spans="1:9" ht="18.75" customHeight="1" x14ac:dyDescent="0.2">
      <c r="A1" s="1" t="s">
        <v>63</v>
      </c>
      <c r="I1" s="17" t="s">
        <v>90</v>
      </c>
    </row>
    <row r="2" spans="1:9" ht="18.75" customHeight="1" x14ac:dyDescent="0.2">
      <c r="H2" s="17" t="s">
        <v>93</v>
      </c>
      <c r="I2" s="16" t="s">
        <v>146</v>
      </c>
    </row>
    <row r="3" spans="1:9" ht="18.75" customHeight="1" x14ac:dyDescent="0.2">
      <c r="A3" s="120" t="s">
        <v>28</v>
      </c>
      <c r="B3" s="120"/>
      <c r="C3" s="120"/>
      <c r="D3" s="120"/>
      <c r="E3" s="120"/>
      <c r="F3" s="120"/>
      <c r="G3" s="120"/>
      <c r="H3" s="120"/>
      <c r="I3" s="120"/>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203" t="s">
        <v>148</v>
      </c>
      <c r="C6" s="250"/>
      <c r="D6" s="250"/>
      <c r="E6" s="250"/>
      <c r="F6" s="250"/>
      <c r="G6" s="250"/>
      <c r="H6" s="251"/>
      <c r="I6" s="3"/>
    </row>
    <row r="7" spans="1:9" ht="9" customHeight="1" x14ac:dyDescent="0.2">
      <c r="A7" s="5"/>
      <c r="B7" s="10"/>
      <c r="C7" s="10"/>
      <c r="D7" s="10"/>
      <c r="E7" s="10"/>
      <c r="F7" s="10"/>
      <c r="G7" s="10"/>
      <c r="H7" s="10"/>
      <c r="I7" s="3"/>
    </row>
    <row r="8" spans="1:9" ht="18.75" customHeight="1" x14ac:dyDescent="0.2">
      <c r="A8" s="5"/>
      <c r="B8" s="3"/>
      <c r="C8" s="3"/>
      <c r="D8" s="17" t="s">
        <v>41</v>
      </c>
      <c r="E8" s="18" t="s">
        <v>150</v>
      </c>
      <c r="F8" s="3"/>
      <c r="G8" s="17" t="s">
        <v>10</v>
      </c>
      <c r="H8" s="18" t="s">
        <v>149</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9" t="s">
        <v>24</v>
      </c>
      <c r="C11" s="110"/>
      <c r="D11" s="111"/>
      <c r="E11" s="110" t="s">
        <v>26</v>
      </c>
      <c r="F11" s="110"/>
      <c r="G11" s="110"/>
      <c r="H11" s="110"/>
      <c r="I11" s="111"/>
    </row>
    <row r="12" spans="1:9" ht="26.25" customHeight="1" x14ac:dyDescent="0.2">
      <c r="B12" s="25" t="s">
        <v>14</v>
      </c>
      <c r="C12" s="32"/>
      <c r="D12" s="26"/>
      <c r="E12" s="33"/>
      <c r="F12" s="33"/>
      <c r="G12" s="33"/>
      <c r="H12" s="33"/>
      <c r="I12" s="26"/>
    </row>
    <row r="13" spans="1:9" ht="203" customHeight="1" x14ac:dyDescent="0.2">
      <c r="B13" s="27"/>
      <c r="C13" s="248" t="s">
        <v>15</v>
      </c>
      <c r="D13" s="249"/>
      <c r="E13" s="245" t="s">
        <v>184</v>
      </c>
      <c r="F13" s="246"/>
      <c r="G13" s="246"/>
      <c r="H13" s="246"/>
      <c r="I13" s="247"/>
    </row>
    <row r="14" spans="1:9" ht="210.75" customHeight="1" x14ac:dyDescent="0.2">
      <c r="B14" s="27"/>
      <c r="C14" s="243" t="s">
        <v>16</v>
      </c>
      <c r="D14" s="244"/>
      <c r="E14" s="245" t="s">
        <v>151</v>
      </c>
      <c r="F14" s="246"/>
      <c r="G14" s="246"/>
      <c r="H14" s="246"/>
      <c r="I14" s="247"/>
    </row>
    <row r="15" spans="1:9" ht="210.75" customHeight="1" x14ac:dyDescent="0.2">
      <c r="B15" s="27"/>
      <c r="C15" s="248" t="s">
        <v>17</v>
      </c>
      <c r="D15" s="249"/>
      <c r="E15" s="245" t="s">
        <v>172</v>
      </c>
      <c r="F15" s="246"/>
      <c r="G15" s="246"/>
      <c r="H15" s="246"/>
      <c r="I15" s="247"/>
    </row>
    <row r="16" spans="1:9" ht="210.75" customHeight="1" x14ac:dyDescent="0.2">
      <c r="B16" s="27"/>
      <c r="C16" s="248" t="s">
        <v>18</v>
      </c>
      <c r="D16" s="249"/>
      <c r="E16" s="245" t="s">
        <v>173</v>
      </c>
      <c r="F16" s="246"/>
      <c r="G16" s="246"/>
      <c r="H16" s="246"/>
      <c r="I16" s="247"/>
    </row>
    <row r="17" spans="2:9" ht="210.75" customHeight="1" x14ac:dyDescent="0.2">
      <c r="B17" s="28"/>
      <c r="C17" s="252" t="s">
        <v>19</v>
      </c>
      <c r="D17" s="253"/>
      <c r="E17" s="254" t="s">
        <v>174</v>
      </c>
      <c r="F17" s="255"/>
      <c r="G17" s="255"/>
      <c r="H17" s="255"/>
      <c r="I17" s="256"/>
    </row>
    <row r="18" spans="2:9" ht="24" customHeight="1" x14ac:dyDescent="0.2">
      <c r="B18" s="25" t="s">
        <v>20</v>
      </c>
      <c r="C18" s="29"/>
      <c r="D18" s="30"/>
      <c r="E18" s="31"/>
      <c r="F18" s="31"/>
      <c r="G18" s="31"/>
      <c r="H18" s="31"/>
      <c r="I18" s="34"/>
    </row>
    <row r="19" spans="2:9" ht="218.25" customHeight="1" x14ac:dyDescent="0.2">
      <c r="B19" s="27"/>
      <c r="C19" s="248" t="s">
        <v>21</v>
      </c>
      <c r="D19" s="249"/>
      <c r="E19" s="246" t="s">
        <v>175</v>
      </c>
      <c r="F19" s="246"/>
      <c r="G19" s="246"/>
      <c r="H19" s="246"/>
      <c r="I19" s="247"/>
    </row>
    <row r="20" spans="2:9" ht="218.25" customHeight="1" x14ac:dyDescent="0.2">
      <c r="B20" s="28"/>
      <c r="C20" s="252" t="s">
        <v>22</v>
      </c>
      <c r="D20" s="253"/>
      <c r="E20" s="255" t="s">
        <v>152</v>
      </c>
      <c r="F20" s="255"/>
      <c r="G20" s="255"/>
      <c r="H20" s="255"/>
      <c r="I20" s="256"/>
    </row>
    <row r="21" spans="2:9" ht="218.25" customHeight="1" x14ac:dyDescent="0.2">
      <c r="B21" s="262" t="s">
        <v>23</v>
      </c>
      <c r="C21" s="263"/>
      <c r="D21" s="264"/>
      <c r="E21" s="265" t="s">
        <v>153</v>
      </c>
      <c r="F21" s="265"/>
      <c r="G21" s="265"/>
      <c r="H21" s="265"/>
      <c r="I21" s="266"/>
    </row>
    <row r="22" spans="2:9" ht="218.25" customHeight="1" x14ac:dyDescent="0.2">
      <c r="B22" s="257" t="s">
        <v>120</v>
      </c>
      <c r="C22" s="258"/>
      <c r="D22" s="259"/>
      <c r="E22" s="260" t="s">
        <v>171</v>
      </c>
      <c r="F22" s="260"/>
      <c r="G22" s="260"/>
      <c r="H22" s="260"/>
      <c r="I22" s="261"/>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杉浦　学</cp:lastModifiedBy>
  <cp:lastPrinted>2025-05-07T13:42:58Z</cp:lastPrinted>
  <dcterms:created xsi:type="dcterms:W3CDTF">2011-06-14T05:32:50Z</dcterms:created>
  <dcterms:modified xsi:type="dcterms:W3CDTF">2025-07-07T02:57:21Z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