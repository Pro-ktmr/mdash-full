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O:\カリキュラム班\32 数理データサイエンスAIプログラム\申請\文科省様式等\R7(2025)\2025年5月提出書類\01_神戸市外国語大学_リテラシー\"/>
    </mc:Choice>
  </mc:AlternateContent>
  <bookViews>
    <workbookView xWindow="0" yWindow="0" windowWidth="20490" windowHeight="7155" tabRatio="885"/>
  </bookViews>
  <sheets>
    <sheet name="様式１　プログラムを構成する授業科目 " sheetId="43"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 '!$X$16:$X$18</definedName>
    <definedName name="_xlnm._FilterDatabase" localSheetId="1" hidden="1">'様式２ 履修者等数の実績'!#REF!</definedName>
    <definedName name="_xlnm.Print_Area" localSheetId="0">'様式１　プログラムを構成する授業科目 '!$A$1:$U$105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Q2" i="40"/>
  <c r="J17" i="42" l="1"/>
  <c r="M7" i="40" l="1"/>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<sst xmlns="http://schemas.openxmlformats.org/spreadsheetml/2006/main" count="317" uniqueCount="200">
  <si>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</si>
  <si>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</si>
  <si>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</si>
  <si>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</si>
  <si>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</si>
  <si>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</si>
  <si>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</si>
  <si>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</si>
  <si>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</si>
  <si>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</si>
  <si>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</si>
  <si>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</si>
  <si>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</si>
  <si>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</si>
  <si>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</si>
  <si>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</si>
  <si>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</si>
  <si>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</si>
  <si>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</si>
  <si>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</si>
  <si>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</si>
  <si>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</si>
  <si>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</si>
  <si>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</si>
  <si>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</si>
  <si>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</si>
  <si>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</si>
  <si>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</si>
  <si>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</si>
  <si>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</si>
  <si>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</si>
  <si>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</si>
  <si>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</si>
  <si>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</si>
  <si>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</si>
  <si>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</si>
  <si>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</si>
  <si>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</si>
  <si>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</si>
  <si>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</si>
  <si>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</si>
  <si>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</si>
  <si>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</si>
  <si>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</si>
  <si>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</si>
  <si>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</si>
  <si>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</si>
  <si>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</si>
  <si>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</si>
  <si>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</si>
  <si>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</si>
  <si>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</si>
  <si>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</si>
  <si>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</si>
  <si>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</si>
  <si>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</si>
  <si>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</si>
  <si>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</si>
  <si>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</si>
  <si>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</si>
  <si>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</si>
  <si>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</si>
  <si>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</si>
  <si>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</si>
  <si>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</si>
  <si>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</si>
  <si>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</si>
  <si>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</si>
  <si>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</si>
  <si>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</si>
  <si>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</si>
  <si>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</si>
  <si>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</si>
  <si>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</si>
  <si>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</si>
  <si>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</si>
  <si>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</si>
  <si>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</si>
  <si>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</si>
  <si>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</si>
  <si>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</si>
  <si>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</si>
  <si>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</si>
  <si>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</si>
  <si>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</si>
  <si>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</si>
  <si>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</si>
  <si>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</si>
  <si>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</si>
  <si>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</si>
  <si>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</si>
  <si>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</si>
  <si>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</si>
  <si>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</si>
  <si>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</si>
  <si>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</si>
  <si>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</si>
  <si>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</si>
  <si>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</si>
  <si>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</si>
  <si>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</si>
  <si>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</si>
  <si>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</si>
  <si>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</si>
  <si>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</si>
  <si>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</si>
  <si>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</si>
  <si>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</si>
  <si>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</si>
  <si>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</si>
  <si>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</si>
  <si>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</si>
  <si>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</si>
  <si>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</si>
  <si>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</si>
  <si>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</si>
  <si>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</si>
  <si>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</si>
  <si>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</si>
  <si>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</si>
  <si>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</si>
  <si>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</si>
  <si>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</si>
  <si>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</si>
  <si>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</si>
  <si>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</si>
  <si>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</si>
  <si>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</si>
  <si>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</si>
  <si>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</si>
  <si>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</si>
  <si>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</si>
  <si>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</si>
  <si>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</si>
  <si>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</si>
  <si>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</si>
  <si>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</si>
  <si>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</si>
  <si>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</si>
  <si>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</si>
  <si>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</si>
  <si>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</si>
  <si>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</si>
  <si>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神戸市外国語大学</t>
    <rPh sb="0" eb="6">
      <t>コウベシガイコクゴ</t>
    </rPh>
    <rPh sb="6" eb="8">
      <t>ダイガク</t>
    </rPh>
    <phoneticPr fontId="1"/>
  </si>
  <si>
    <t>神戸市外国語大学数理・データサイエンス・AI 教育プログラム(KCUFS-DASH)</t>
    <phoneticPr fontId="1"/>
  </si>
  <si>
    <t>学部・学科によって、修了要件は相違しない</t>
  </si>
  <si>
    <t>キャンパスライフ入門</t>
    <rPh sb="8" eb="10">
      <t>ニュウモン</t>
    </rPh>
    <phoneticPr fontId="1"/>
  </si>
  <si>
    <t>○</t>
  </si>
  <si>
    <t>データサイエンス入門</t>
    <rPh sb="8" eb="10">
      <t>ニュウモン</t>
    </rPh>
    <phoneticPr fontId="1"/>
  </si>
  <si>
    <t>4-1統計および数理基礎</t>
  </si>
  <si>
    <t>4‐7データハンドリング</t>
  </si>
  <si>
    <t>キャンパスライフ入門</t>
    <phoneticPr fontId="1"/>
  </si>
  <si>
    <t>4‐8データ活用実践（教師あり学習）</t>
  </si>
  <si>
    <t>データサイエンス入門</t>
    <phoneticPr fontId="1"/>
  </si>
  <si>
    <t>4‐3データ構造とプログラミング基礎</t>
  </si>
  <si>
    <t>4‐4時系列データ解析</t>
  </si>
  <si>
    <t>令和６</t>
    <rPh sb="0" eb="2">
      <t>レイワ</t>
    </rPh>
    <phoneticPr fontId="1"/>
  </si>
  <si>
    <t>外国語学部英米学科</t>
    <rPh sb="0" eb="3">
      <t>ガイコクゴ</t>
    </rPh>
    <rPh sb="3" eb="5">
      <t>ガクブ</t>
    </rPh>
    <rPh sb="5" eb="9">
      <t>エイベイガッカ</t>
    </rPh>
    <phoneticPr fontId="1"/>
  </si>
  <si>
    <t>外国語学部ロシア学科</t>
    <rPh sb="0" eb="3">
      <t>ガイコクゴ</t>
    </rPh>
    <rPh sb="3" eb="5">
      <t>ガクブ</t>
    </rPh>
    <rPh sb="8" eb="10">
      <t>ガッカ</t>
    </rPh>
    <phoneticPr fontId="1"/>
  </si>
  <si>
    <t>外国語学部中国学科</t>
    <rPh sb="0" eb="3">
      <t>ガイコクゴ</t>
    </rPh>
    <rPh sb="3" eb="5">
      <t>ガクブ</t>
    </rPh>
    <rPh sb="5" eb="7">
      <t>チュウゴク</t>
    </rPh>
    <rPh sb="7" eb="9">
      <t>ガッカ</t>
    </rPh>
    <phoneticPr fontId="1"/>
  </si>
  <si>
    <t>外国語学部イスパニア学科</t>
    <rPh sb="0" eb="3">
      <t>ガイコクゴ</t>
    </rPh>
    <rPh sb="3" eb="5">
      <t>ガクブ</t>
    </rPh>
    <rPh sb="10" eb="12">
      <t>ガッカ</t>
    </rPh>
    <phoneticPr fontId="1"/>
  </si>
  <si>
    <t>外国語学部国際関係学科</t>
    <rPh sb="0" eb="3">
      <t>ガイコクゴ</t>
    </rPh>
    <rPh sb="3" eb="5">
      <t>ガクブ</t>
    </rPh>
    <rPh sb="5" eb="7">
      <t>コクサイ</t>
    </rPh>
    <rPh sb="7" eb="9">
      <t>カンケイ</t>
    </rPh>
    <rPh sb="9" eb="11">
      <t>ガッカ</t>
    </rPh>
    <phoneticPr fontId="1"/>
  </si>
  <si>
    <t>外国語学部第２部英米学科</t>
    <rPh sb="0" eb="3">
      <t>ガイコクゴ</t>
    </rPh>
    <rPh sb="3" eb="5">
      <t>ガクブ</t>
    </rPh>
    <phoneticPr fontId="1"/>
  </si>
  <si>
    <t>林　範彦</t>
    <rPh sb="0" eb="1">
      <t>ハヤシ</t>
    </rPh>
    <rPh sb="2" eb="4">
      <t>ノリヒコ</t>
    </rPh>
    <phoneticPr fontId="1"/>
  </si>
  <si>
    <t>林　範彦</t>
  </si>
  <si>
    <t>神戸市公立大学法人教育研究評議会規則（2023年４月規則第60号）第７条第１項の規定に基づき神戸市外国語大学教育研究評議会に数理・データサイエンス・ＡＩ教育推進部会を設置する。
数理・データサイエンス・ＡＩ教育推進部会は、次の事項を審議する。
(1) 数理・データサイエンス・ＡＩ教育プログラムの企画、運営及び推進に関すること。
(2) 数理・データサイエンス・ＡＩ教育プログラムの点検、評価及び改善に関すること。
(3) その他数理・データサイエンス・ＡＩ教育プログラムに関すること。</t>
    <phoneticPr fontId="1"/>
  </si>
  <si>
    <t>　・ビッグデータ、IoT、AI、生成AI、ロボット（データサイエンス入門：第2回 ）
　・データ量の増加、計算機の処理性能の向上、AIの非連続的進化（データサイエンス入門：第2回 ）
　・第4次産業革命、Society 5.0、データ駆動型社会（データサイエンス入門：第2回 ）
　・複数技術を組み合わせたAIサービス（データサイエンス入門：第2回 ）
　・データを起点としたものの見方、人間の知的活動を起点としたものの見方（キャンパスライフ入門：第5回・第11回）</t>
    <rPh sb="183" eb="185">
      <t>キテン</t>
    </rPh>
    <rPh sb="191" eb="193">
      <t>ミカタ</t>
    </rPh>
    <rPh sb="194" eb="196">
      <t>ニンゲン</t>
    </rPh>
    <rPh sb="197" eb="201">
      <t>チテキカツドウ</t>
    </rPh>
    <rPh sb="202" eb="204">
      <t>キテン</t>
    </rPh>
    <rPh sb="210" eb="212">
      <t>ミカタ</t>
    </rPh>
    <rPh sb="221" eb="223">
      <t>ニュウモン</t>
    </rPh>
    <rPh sb="224" eb="225">
      <t>ダイ</t>
    </rPh>
    <rPh sb="226" eb="227">
      <t>カイ</t>
    </rPh>
    <phoneticPr fontId="1"/>
  </si>
  <si>
    <t xml:space="preserve">
　・データ解析：予測、グルーピング、パターン発見、最適化、モデル化とシミュレーション・データ同化など（キャンパスライフ入門：第9回・第10回）
　・データ可視化：複合グラフ、2軸グラフ、多次元の可視化、関係性の可視化、地図上の可視化（キャンパスライフ入門：第9回・第10回）
　・非構造化データ処理：言語処理、画像/動画処理、音声/音楽処理など（データサイエンス入門：第13回）
　・マルチモーダル（言語、画像、音声 など）、生成AIの活用（プロンプトエンジニアリング）（データサイエンス入門：第13回）</t>
    <phoneticPr fontId="1"/>
  </si>
  <si>
    <t>　・教育、芸術、流通、製造、金融、サービス、インフラ、公共、ヘルスケア等におけるデータ・AI利活用事例紹介（キャンパスライフ入門：第11回・第12回）
　・データサイエンスのサイクル（課題抽出と定式化、データの取得・管理・加工、 探索的データ解析、データ解析と推論、結果の共有・伝達、課題解決に向けた提案）（キャンパスライフ入門：第5回）</t>
    <rPh sb="162" eb="164">
      <t>ニュウモン</t>
    </rPh>
    <rPh sb="165" eb="166">
      <t>ダイ</t>
    </rPh>
    <rPh sb="167" eb="168">
      <t>カイ</t>
    </rPh>
    <phoneticPr fontId="1"/>
  </si>
  <si>
    <t>　・匿名加工情報、暗号化と復号、ユーザ認証と、パスワード、アクセス制御、悪意ある情報搾取（キャンパスライフ入門：第15回）
　・情報漏洩等によるセキュリティ事故の事例紹介（キャンパスライフ入門：第15回）
　・サイバーセキュリティ（キャンパスライフ入門：第15回）</t>
    <phoneticPr fontId="1"/>
  </si>
  <si>
    <t>　・データの種類（量的変数、質的変数）（キャンパスライフ入門：第5回・第7回）（データサイエンス入門：第3回）
　・代表値の性質の違い（実社会では平均値＝最頻値でないことが多い））（キャンパスライフ入門：第7回）（データサイエンス入門：第3回）
　・データのばらつき（分散、標準偏差、偏差値）、外れ値（キャンパスライフ入門：第7回）（データサイエンス入門：第4回）
　・データの分布(ヒストグラム)と代表値（平均値、中央値、最頻値））（キャンパスライフ入門：第7回）（データサイエンス入門：第3回・第4回）
　・相関と因果（相関係数、擬似相関、交絡）（キャンパスライフ入門：第9回・第10回）（データサイエンス入門：第5回)
　・クロス集計表、分割表、相関係数行列、散布図行列）（データサイエンス入門：第5回)
　・母集団と標本抽出（国勢調査、アンケート調査、全数調査、単純無作為抽出、層別抽出、多段抽出）（キャンパスライフ入門：第8回）（データサイエンス入門：第7回）
　・統計情報の正しい理解（誇張表現に惑わされない）（キャンパスライフ入門：第6回）（データサイエンス入門：第7回）
　・観測データに含まれる誤差の扱い（キャンパスライフ入門：第10回）</t>
    <rPh sb="31" eb="32">
      <t>ダイ</t>
    </rPh>
    <rPh sb="33" eb="34">
      <t>カイ</t>
    </rPh>
    <rPh sb="291" eb="292">
      <t>ダイ</t>
    </rPh>
    <rPh sb="294" eb="295">
      <t>カイ</t>
    </rPh>
    <phoneticPr fontId="1"/>
  </si>
  <si>
    <t>全学共通科目（自然・人間科学領域）から「キャンパスライフ入門」（2単位）と「データサイエンス入門」（2単位）いずれの単位も修得すること。</t>
    <rPh sb="0" eb="2">
      <t>ゼンガク</t>
    </rPh>
    <rPh sb="2" eb="4">
      <t>キョウツウ</t>
    </rPh>
    <rPh sb="4" eb="6">
      <t>カモク</t>
    </rPh>
    <rPh sb="7" eb="9">
      <t>シゼン</t>
    </rPh>
    <rPh sb="10" eb="12">
      <t>ニンゲン</t>
    </rPh>
    <rPh sb="12" eb="14">
      <t>カガク</t>
    </rPh>
    <rPh sb="14" eb="16">
      <t>リョウイキ</t>
    </rPh>
    <rPh sb="33" eb="35">
      <t>タンイ</t>
    </rPh>
    <rPh sb="51" eb="53">
      <t>タンイ</t>
    </rPh>
    <phoneticPr fontId="1"/>
  </si>
  <si>
    <t>数理・データサイエンス・AI教育推進部会　部会長　　 林　範彦 （外国語学部総合文化教授）
数理・データサイエンス・AI教育推進部会　副部会長　前村　奈央佳 （外国語学部国際関係学科准教授）
数理・データサイエンス・AI教育推進部会　部会委員　中村　嘉孝 （外国語学部国際関係学科教授）
数理・データサイエンス・AI教育推進部会　部会委員　藤井　隆雄 （外国語学部国際関係学科教授）
数理・データサイエンス・AI教育推進部会　部会委員　関　陽介（外国語学部総合文化准教授）
数理・データサイエンス・AI教育推進部会　オブザーバー　芝　勝徳（本学名誉教授）</t>
    <rPh sb="21" eb="24">
      <t>ブカイチョウ</t>
    </rPh>
    <rPh sb="33" eb="36">
      <t>ガイコクゴ</t>
    </rPh>
    <rPh sb="36" eb="38">
      <t>ガクブ</t>
    </rPh>
    <rPh sb="67" eb="68">
      <t>フク</t>
    </rPh>
    <rPh sb="68" eb="71">
      <t>ブカイチョウ</t>
    </rPh>
    <rPh sb="165" eb="167">
      <t>ブカイ</t>
    </rPh>
    <rPh sb="167" eb="169">
      <t>イイン</t>
    </rPh>
    <rPh sb="213" eb="215">
      <t>ブカイ</t>
    </rPh>
    <rPh sb="215" eb="217">
      <t>イイン</t>
    </rPh>
    <rPh sb="270" eb="272">
      <t>ホンガク</t>
    </rPh>
    <rPh sb="272" eb="274">
      <t>メイヨ</t>
    </rPh>
    <phoneticPr fontId="1"/>
  </si>
  <si>
    <r>
      <t>　本プログラムは、大学生に必要なデジタル時代の「読み・書き・そろばん」としての位置づけで１年生の必履修科目として設定している。</t>
    </r>
    <r>
      <rPr>
        <sz val="12"/>
        <rFont val="ＭＳ Ｐゴシック"/>
        <family val="3"/>
        <charset val="128"/>
      </rPr>
      <t>本学は昼間部となる「学部」と夜間部となる「第２部」を設置しているが、所属に関わりなく受講が可能なように</t>
    </r>
    <r>
      <rPr>
        <sz val="12"/>
        <rFont val="ＭＳ Ｐゴシック"/>
        <family val="3"/>
        <charset val="128"/>
        <scheme val="minor"/>
      </rPr>
      <t>前期「キャンパスライフ入門」はオンデマンドで実施して</t>
    </r>
    <r>
      <rPr>
        <sz val="12"/>
        <rFont val="ＭＳ Ｐゴシック"/>
        <family val="3"/>
        <charset val="128"/>
      </rPr>
      <t>いる</t>
    </r>
    <r>
      <rPr>
        <sz val="12"/>
        <rFont val="ＭＳ Ｐゴシック"/>
        <family val="3"/>
        <charset val="128"/>
        <scheme val="minor"/>
      </rPr>
      <t>。
　</t>
    </r>
    <r>
      <rPr>
        <sz val="12"/>
        <rFont val="ＭＳ Ｐゴシック"/>
        <family val="3"/>
        <charset val="128"/>
      </rPr>
      <t>他方、</t>
    </r>
    <r>
      <rPr>
        <sz val="12"/>
        <rFont val="ＭＳ Ｐゴシック"/>
        <family val="3"/>
        <charset val="128"/>
        <scheme val="minor"/>
      </rPr>
      <t>後期</t>
    </r>
    <r>
      <rPr>
        <sz val="12"/>
        <rFont val="ＭＳ Ｐゴシック"/>
        <family val="3"/>
        <charset val="128"/>
      </rPr>
      <t>に実施している</t>
    </r>
    <r>
      <rPr>
        <sz val="12"/>
        <rFont val="ＭＳ Ｐゴシック"/>
        <family val="3"/>
        <charset val="128"/>
        <scheme val="minor"/>
      </rPr>
      <t>「データサイエンス入門」は</t>
    </r>
    <r>
      <rPr>
        <sz val="12"/>
        <rFont val="ＭＳ Ｐゴシック"/>
        <family val="3"/>
        <charset val="128"/>
      </rPr>
      <t>実践的な側面を重視した授業である。ここでは高い学習効果が期待される対面クラスを展開するため、</t>
    </r>
    <r>
      <rPr>
        <sz val="12"/>
        <rFont val="ＭＳ Ｐゴシック"/>
        <family val="3"/>
        <charset val="128"/>
        <scheme val="minor"/>
      </rPr>
      <t>新入生クラス</t>
    </r>
    <r>
      <rPr>
        <sz val="12"/>
        <rFont val="ＭＳ Ｐゴシック"/>
        <family val="3"/>
        <charset val="128"/>
      </rPr>
      <t>については昼間部に４</t>
    </r>
    <r>
      <rPr>
        <sz val="12"/>
        <rFont val="ＭＳ Ｐゴシック"/>
        <family val="3"/>
        <charset val="128"/>
        <scheme val="minor"/>
      </rPr>
      <t>クラス、夜間部に１クラス設置</t>
    </r>
    <r>
      <rPr>
        <sz val="12"/>
        <rFont val="ＭＳ Ｐゴシック"/>
        <family val="3"/>
        <charset val="128"/>
      </rPr>
      <t>している</t>
    </r>
    <r>
      <rPr>
        <sz val="12"/>
        <rFont val="ＭＳ Ｐゴシック"/>
        <family val="3"/>
        <charset val="128"/>
        <scheme val="minor"/>
      </rPr>
      <t>。さらに２年生以上が履修できるクラスを昼間部、夜間部にそれぞれ１クラスずつ開講している。</t>
    </r>
    <rPh sb="39" eb="41">
      <t>イチ</t>
    </rPh>
    <rPh sb="45" eb="47">
      <t>ネンセイ</t>
    </rPh>
    <rPh sb="48" eb="49">
      <t>ヒツ</t>
    </rPh>
    <rPh sb="49" eb="51">
      <t>リシュウ</t>
    </rPh>
    <rPh sb="51" eb="53">
      <t>カモク</t>
    </rPh>
    <rPh sb="56" eb="58">
      <t>セッテイ</t>
    </rPh>
    <rPh sb="63" eb="65">
      <t xml:space="preserve">ホンガクハ </t>
    </rPh>
    <rPh sb="66" eb="69">
      <t xml:space="preserve">チュウカンブ </t>
    </rPh>
    <rPh sb="73" eb="75">
      <t xml:space="preserve">ガクブ </t>
    </rPh>
    <rPh sb="77" eb="80">
      <t xml:space="preserve">ヤカンブトナル </t>
    </rPh>
    <rPh sb="84" eb="85">
      <t xml:space="preserve">ダイ２ブ </t>
    </rPh>
    <rPh sb="89" eb="91">
      <t xml:space="preserve">セッチシテイル </t>
    </rPh>
    <rPh sb="97" eb="99">
      <t xml:space="preserve">ショゾクスル </t>
    </rPh>
    <rPh sb="100" eb="101">
      <t xml:space="preserve">カカワリナク </t>
    </rPh>
    <rPh sb="105" eb="107">
      <t xml:space="preserve">ジュコウガカノウナヨウニ </t>
    </rPh>
    <rPh sb="114" eb="116">
      <t>ゼンキ</t>
    </rPh>
    <rPh sb="125" eb="127">
      <t>ニュウモン</t>
    </rPh>
    <rPh sb="136" eb="138">
      <t>ジッシ</t>
    </rPh>
    <rPh sb="146" eb="148">
      <t xml:space="preserve">タホウ </t>
    </rPh>
    <rPh sb="149" eb="151">
      <t>コウキ</t>
    </rPh>
    <rPh sb="167" eb="169">
      <t>ニュウモン</t>
    </rPh>
    <rPh sb="171" eb="174">
      <t xml:space="preserve">ジッセンテキナ </t>
    </rPh>
    <rPh sb="175" eb="177">
      <t xml:space="preserve">ソクメンヲ </t>
    </rPh>
    <rPh sb="178" eb="180">
      <t xml:space="preserve">ジュウシシタ </t>
    </rPh>
    <rPh sb="182" eb="184">
      <t xml:space="preserve">ジュギョウ </t>
    </rPh>
    <rPh sb="192" eb="193">
      <t xml:space="preserve">タカイガクシュウコウカガキタイサレル </t>
    </rPh>
    <rPh sb="204" eb="206">
      <t xml:space="preserve">タイメン </t>
    </rPh>
    <rPh sb="210" eb="212">
      <t xml:space="preserve">テンカイスルタメ </t>
    </rPh>
    <rPh sb="217" eb="220">
      <t>シンニュウセイ</t>
    </rPh>
    <rPh sb="237" eb="239">
      <t>ヤカン</t>
    </rPh>
    <rPh sb="239" eb="240">
      <t>ブ</t>
    </rPh>
    <rPh sb="245" eb="247">
      <t>セッチ</t>
    </rPh>
    <rPh sb="270" eb="272">
      <t>チュウカン</t>
    </rPh>
    <rPh sb="272" eb="273">
      <t>ブ</t>
    </rPh>
    <rPh sb="274" eb="276">
      <t>ヤカン</t>
    </rPh>
    <rPh sb="276" eb="277">
      <t>ブ</t>
    </rPh>
    <rPh sb="288" eb="290">
      <t>カイコウ</t>
    </rPh>
    <phoneticPr fontId="1"/>
  </si>
  <si>
    <t xml:space="preserve">　新入生への履修ガイダンスにおいて、本学の数理・データサイエンス・AI教育プログラムについて説明、学生への周知を行っている。前期に行う「キャンパスライフ入門」のイントロダクションにおいても、同授業を含む本プログラムの全体像について説明している。また、令和５年度以前に入学した学生に対しては、本学HPやポータルサイトで案内を行いＰＲしているが、今後は広報班やキャリアサポートセンター等とも連携を行い、本プログラムの意義についてもＰＲしていきたいと考えている。
</t>
    <rPh sb="6" eb="8">
      <t>リシュウ</t>
    </rPh>
    <rPh sb="56" eb="57">
      <t>オコナ</t>
    </rPh>
    <rPh sb="125" eb="127">
      <t>レイワ</t>
    </rPh>
    <rPh sb="128" eb="130">
      <t>ネンド</t>
    </rPh>
    <rPh sb="130" eb="132">
      <t>イゼン</t>
    </rPh>
    <rPh sb="133" eb="135">
      <t>ニュウガク</t>
    </rPh>
    <rPh sb="137" eb="139">
      <t>ガクセイ</t>
    </rPh>
    <rPh sb="140" eb="141">
      <t>タイ</t>
    </rPh>
    <rPh sb="145" eb="147">
      <t>ホンガク</t>
    </rPh>
    <rPh sb="158" eb="160">
      <t>アンナイ</t>
    </rPh>
    <rPh sb="161" eb="162">
      <t>オコナ</t>
    </rPh>
    <rPh sb="171" eb="173">
      <t>コンゴ</t>
    </rPh>
    <rPh sb="174" eb="177">
      <t>コウホウハン</t>
    </rPh>
    <rPh sb="190" eb="191">
      <t>トウ</t>
    </rPh>
    <rPh sb="199" eb="200">
      <t>ホン</t>
    </rPh>
    <rPh sb="206" eb="208">
      <t>イギ</t>
    </rPh>
    <rPh sb="222" eb="223">
      <t>カンガ</t>
    </rPh>
    <phoneticPr fontId="1"/>
  </si>
  <si>
    <t>　前期「キャンパスライフ入門」は学部・学科特有の時間割に左右されないオンデマンド授業である。そのため、動画・課題は授業回毎に定められた期間内であれば何度も視聴が可能であり、個々の学生が自身の理解度にあわせて学習できる体制を整えている。後期「データサイエンス入門」では、より実践的な能力の開発を促す内容から、対面授業を展開しているが、きめ細やかな学習対応が必要となる。このため、本学ではデータサイエンス・アシスタント制度を導入している。同一法人内の神戸市立工業高等専門学校の本科4年生以上の学生の協力を得て、Excel（操作方法や関数の使用方法）やプログラミング（if、 for 等の簡単な処理）、PC 操作（主にWindows）の授業内でのサポートを行っている。</t>
    <phoneticPr fontId="1"/>
  </si>
  <si>
    <t>後期の対面で行っている「データサイエンス入門」の授業時間内では、⑪に記載したデータサイエンス・アシスタントを採用している。前期の「キャンパスライフ入門」ではオンデマンド授業のため、個別的な学習指導や質問受け付けは原則的に授業時間外となるが、本学のLMS「GAIDAI PASS」により随時質問の受付が可能である。またオフィスアワーを利用することで、対面・オンラインのいずれからも学生の質問に対応できる仕組みを用意している。</t>
    <phoneticPr fontId="1"/>
  </si>
  <si>
    <r>
      <t>本教育プログラムを修了した学生の情報をキャリアサポート部会に共有し、進路先を把握する予定である。その内の数社、ご協力いただける企業にアンケートを実施し、活躍状況、評価について伺うことを検討している。</t>
    </r>
    <r>
      <rPr>
        <sz val="12"/>
        <rFont val="ＭＳ Ｐゴシック"/>
        <family val="3"/>
        <charset val="128"/>
      </rPr>
      <t>現在</t>
    </r>
    <r>
      <rPr>
        <sz val="12"/>
        <rFont val="ＭＳ Ｐゴシック"/>
        <family val="3"/>
        <charset val="128"/>
        <scheme val="minor"/>
      </rPr>
      <t>本学のプログラム履修者は１年生が主となっていることから、主な進路先把握は2027（令和９)年度以降の予定である。</t>
    </r>
    <rPh sb="13" eb="15">
      <t>ガクセイ</t>
    </rPh>
    <rPh sb="16" eb="18">
      <t>ジョウホウ</t>
    </rPh>
    <rPh sb="27" eb="29">
      <t>ブカイ</t>
    </rPh>
    <rPh sb="30" eb="32">
      <t>キョウユウ</t>
    </rPh>
    <rPh sb="36" eb="37">
      <t>サキ</t>
    </rPh>
    <rPh sb="38" eb="40">
      <t>ハアク</t>
    </rPh>
    <rPh sb="42" eb="44">
      <t>ヨテイ</t>
    </rPh>
    <rPh sb="50" eb="51">
      <t>ウチ</t>
    </rPh>
    <rPh sb="52" eb="54">
      <t>スウシャ</t>
    </rPh>
    <rPh sb="56" eb="58">
      <t>キョウリョク</t>
    </rPh>
    <rPh sb="63" eb="65">
      <t>キギョウ</t>
    </rPh>
    <rPh sb="72" eb="74">
      <t>ジッシ</t>
    </rPh>
    <rPh sb="87" eb="88">
      <t>ウカガ</t>
    </rPh>
    <rPh sb="92" eb="94">
      <t>ケントウ</t>
    </rPh>
    <rPh sb="99" eb="101">
      <t>ゲンザイ</t>
    </rPh>
    <rPh sb="101" eb="103">
      <t>ホンガク</t>
    </rPh>
    <rPh sb="109" eb="111">
      <t>リシュウ</t>
    </rPh>
    <rPh sb="111" eb="112">
      <t>シャ</t>
    </rPh>
    <rPh sb="114" eb="116">
      <t>ネンセイ</t>
    </rPh>
    <rPh sb="117" eb="118">
      <t>シュ</t>
    </rPh>
    <rPh sb="129" eb="130">
      <t>オモ</t>
    </rPh>
    <rPh sb="131" eb="133">
      <t>シンロ</t>
    </rPh>
    <rPh sb="133" eb="134">
      <t>サキ</t>
    </rPh>
    <rPh sb="134" eb="136">
      <t>ハアク</t>
    </rPh>
    <rPh sb="142" eb="144">
      <t>レイワ</t>
    </rPh>
    <rPh sb="146" eb="148">
      <t>ネンド</t>
    </rPh>
    <rPh sb="148" eb="150">
      <t>イコウ</t>
    </rPh>
    <rPh sb="151" eb="153">
      <t>ヨテイ</t>
    </rPh>
    <phoneticPr fontId="1"/>
  </si>
  <si>
    <t>データサイエンス入門では、実習形式を採用しており、最初に統計やプログラミング、AI等の説明をした後に、ExcelまたはGoogle Colab（Python）を用いたデータ分析等の実施、課題提出を行っている。また、より実践的な作業を経験させるため、オープンデータとして公開されている気象庁の観測データや世界の人口推移、パリオリンピックのメダル数等も用いて分析している。Pythonは未経験の学生が多いため、大学側でコードを用意することで、より複雑な処理がプログラミングで可能なことを体験的に伝えている。</t>
    <rPh sb="8" eb="10">
      <t>ニュウモン</t>
    </rPh>
    <rPh sb="13" eb="17">
      <t>ジッシュウケイシキ</t>
    </rPh>
    <rPh sb="18" eb="20">
      <t>サイヨウ</t>
    </rPh>
    <rPh sb="25" eb="27">
      <t>サイショ</t>
    </rPh>
    <rPh sb="28" eb="30">
      <t>トウケイ</t>
    </rPh>
    <rPh sb="41" eb="42">
      <t>トウ</t>
    </rPh>
    <rPh sb="43" eb="45">
      <t>セツメイ</t>
    </rPh>
    <rPh sb="48" eb="49">
      <t>ノチ</t>
    </rPh>
    <rPh sb="80" eb="81">
      <t>モチ</t>
    </rPh>
    <rPh sb="86" eb="89">
      <t>ブンセキトウ</t>
    </rPh>
    <rPh sb="90" eb="92">
      <t>ジッシ</t>
    </rPh>
    <rPh sb="93" eb="95">
      <t>カダイ</t>
    </rPh>
    <rPh sb="95" eb="97">
      <t>テイシュツ</t>
    </rPh>
    <rPh sb="98" eb="99">
      <t>オコナ</t>
    </rPh>
    <rPh sb="109" eb="112">
      <t>ジッセンテキ</t>
    </rPh>
    <rPh sb="113" eb="115">
      <t>サギョウ</t>
    </rPh>
    <rPh sb="116" eb="118">
      <t>ケイケン</t>
    </rPh>
    <rPh sb="134" eb="136">
      <t>コウカイ</t>
    </rPh>
    <rPh sb="141" eb="144">
      <t>キショウチョウ</t>
    </rPh>
    <rPh sb="145" eb="147">
      <t>カンソク</t>
    </rPh>
    <rPh sb="151" eb="153">
      <t>セカイ</t>
    </rPh>
    <rPh sb="154" eb="156">
      <t>ジンコウ</t>
    </rPh>
    <rPh sb="156" eb="158">
      <t>スイイ</t>
    </rPh>
    <rPh sb="171" eb="172">
      <t>スウ</t>
    </rPh>
    <rPh sb="172" eb="173">
      <t>トウ</t>
    </rPh>
    <rPh sb="174" eb="175">
      <t>モチ</t>
    </rPh>
    <rPh sb="177" eb="179">
      <t>ブンセキ</t>
    </rPh>
    <rPh sb="191" eb="194">
      <t>ミケイケン</t>
    </rPh>
    <rPh sb="195" eb="197">
      <t>ガクセイ</t>
    </rPh>
    <rPh sb="198" eb="199">
      <t>オオ</t>
    </rPh>
    <rPh sb="203" eb="206">
      <t>ダイガクガワ</t>
    </rPh>
    <rPh sb="211" eb="213">
      <t>ヨウイ</t>
    </rPh>
    <rPh sb="221" eb="223">
      <t>フクザツ</t>
    </rPh>
    <rPh sb="224" eb="226">
      <t>ショリ</t>
    </rPh>
    <rPh sb="235" eb="237">
      <t>カノウ</t>
    </rPh>
    <rPh sb="241" eb="244">
      <t>タイケンテキ</t>
    </rPh>
    <rPh sb="245" eb="246">
      <t>ツタ</t>
    </rPh>
    <phoneticPr fontId="1"/>
  </si>
  <si>
    <t>キャンパスライフ入門ではオンデマンド講義を採用しており、学生は任意の時間に受講可能な環境を構築している。データサイエンス入門では、文系の学生を考慮して数式を用いた説明は最小限として、可能な限りグラフやイラストを用いた視覚的な資料を作成・配布している。また、実習で用いる関数等は資料に記載しており、聞き洩らした・欠席した学生が課題に取り込める工夫をしている。両講義において、AIの発展は迅速であるため、毎年最新の技術を収集して学生に伝えている。</t>
    <rPh sb="8" eb="10">
      <t>ニュウモン</t>
    </rPh>
    <rPh sb="18" eb="20">
      <t>コウギ</t>
    </rPh>
    <rPh sb="21" eb="23">
      <t>サイヨウ</t>
    </rPh>
    <rPh sb="28" eb="30">
      <t>ガクセイ</t>
    </rPh>
    <rPh sb="31" eb="33">
      <t>ニンイ</t>
    </rPh>
    <rPh sb="34" eb="36">
      <t>ジカン</t>
    </rPh>
    <rPh sb="37" eb="39">
      <t>ジュコウ</t>
    </rPh>
    <rPh sb="39" eb="41">
      <t>カノウ</t>
    </rPh>
    <rPh sb="42" eb="44">
      <t>カンキョウ</t>
    </rPh>
    <rPh sb="45" eb="47">
      <t>コウチク</t>
    </rPh>
    <rPh sb="60" eb="62">
      <t>ニュウモン</t>
    </rPh>
    <rPh sb="65" eb="67">
      <t>ブンケイ</t>
    </rPh>
    <rPh sb="68" eb="70">
      <t>ガクセイ</t>
    </rPh>
    <rPh sb="71" eb="73">
      <t>コウリョ</t>
    </rPh>
    <rPh sb="75" eb="77">
      <t>スウシキ</t>
    </rPh>
    <rPh sb="78" eb="79">
      <t>モチ</t>
    </rPh>
    <rPh sb="81" eb="83">
      <t>セツメイ</t>
    </rPh>
    <rPh sb="84" eb="87">
      <t>サイショウゲン</t>
    </rPh>
    <rPh sb="91" eb="93">
      <t>カノウ</t>
    </rPh>
    <rPh sb="94" eb="95">
      <t>カギ</t>
    </rPh>
    <rPh sb="105" eb="106">
      <t>モチ</t>
    </rPh>
    <rPh sb="108" eb="111">
      <t>シカクテキ</t>
    </rPh>
    <rPh sb="112" eb="114">
      <t>シリョウ</t>
    </rPh>
    <rPh sb="115" eb="117">
      <t>サクセイ</t>
    </rPh>
    <rPh sb="118" eb="120">
      <t>ハイフ</t>
    </rPh>
    <rPh sb="128" eb="130">
      <t>ジッシュウ</t>
    </rPh>
    <rPh sb="131" eb="132">
      <t>モチ</t>
    </rPh>
    <rPh sb="134" eb="136">
      <t>カンスウ</t>
    </rPh>
    <rPh sb="136" eb="137">
      <t>トウ</t>
    </rPh>
    <rPh sb="138" eb="140">
      <t>シリョウ</t>
    </rPh>
    <rPh sb="141" eb="143">
      <t>キサイ</t>
    </rPh>
    <rPh sb="148" eb="149">
      <t>キ</t>
    </rPh>
    <rPh sb="150" eb="151">
      <t>モ</t>
    </rPh>
    <rPh sb="155" eb="157">
      <t>ケッセキ</t>
    </rPh>
    <rPh sb="159" eb="161">
      <t>ガクセイ</t>
    </rPh>
    <rPh sb="162" eb="164">
      <t>カダイ</t>
    </rPh>
    <rPh sb="165" eb="166">
      <t>ト</t>
    </rPh>
    <rPh sb="167" eb="168">
      <t>コ</t>
    </rPh>
    <rPh sb="170" eb="172">
      <t>クフウ</t>
    </rPh>
    <rPh sb="178" eb="179">
      <t>リョウ</t>
    </rPh>
    <rPh sb="179" eb="181">
      <t>コウギ</t>
    </rPh>
    <rPh sb="189" eb="191">
      <t>ハッテン</t>
    </rPh>
    <rPh sb="192" eb="194">
      <t>コウリョ</t>
    </rPh>
    <rPh sb="196" eb="198">
      <t>ジンソク</t>
    </rPh>
    <rPh sb="203" eb="205">
      <t>マイトシ</t>
    </rPh>
    <rPh sb="206" eb="208">
      <t>サイシン</t>
    </rPh>
    <rPh sb="209" eb="211">
      <t>ギジュツ</t>
    </rPh>
    <rPh sb="212" eb="214">
      <t>シュウシュウ</t>
    </rPh>
    <rPh sb="216" eb="218">
      <t>ガクセイ</t>
    </rPh>
    <rPh sb="219" eb="220">
      <t>ツタ</t>
    </rPh>
    <phoneticPr fontId="1"/>
  </si>
  <si>
    <t>　・調査データ、実験データ、人の行動ログデータ、機械の稼働ログデータなど（キャンパスライフ入門：第5回・第11回）（データサイエンス入門：第3回）
　・構造化データ、非構造化データ（文章、画像/動画、音声/音楽など）（データサイエンス入門：第3回）
　・データ作成（ビッグデータとアノテーション）（データサイエンス入門：第3回）</t>
    <phoneticPr fontId="1"/>
  </si>
  <si>
    <t xml:space="preserve">
　・データ表現（棒グラフ、折線グラフ、散布図、ヒートマップ、箱ひげ図）（キャンパスライフ入門：第7回・第9回）（データサイエンス入門：第6回）
　・データの比較（条件をそろえた比較、処理の前後での比較、A/Bテスト)（キャンパスライフ入門：第10回）（データサイエンス入門：第6回）
　・不適切なグラフ表現（チャートジャンク、不必要な視覚的要素）（キャンパスライフ入門：第7回）（データサイエンス入門：第6回）
　・優れた可視化事例の紹介（可視化することによって新たな気づきがあった事例など）（キャンパスライフ入門：第7回）（データサイエンス入門：第6回）
　・相手に的確かつ正確に情報を伝える技術や考え方（スライド作成，プレゼンテーションなど）（データサイエンス入門：第6回）</t>
    <phoneticPr fontId="1"/>
  </si>
  <si>
    <t>　・データの取得（機械判読可能なデータの作成・表記方法）（キャンパスライフ入門：第7回・第9回・第10回）（データサイエンス入門：第3回)
　・データの集計（和、平均）（キャンパスライフ入門：第7回）（データサイエンス入門：第3回)
　・データの並び替え、ランキング（キャンパスライフ入門：第7回）（データサイエンス入門：第3回)
　・データ解析ツール（スプレッドシート、BIツール）（データサイエンス入門：第3回・第4回・第5回)
　・表形式のデータ（csv）（データサイエンス入門：第3回・第4回・第5回)</t>
    <rPh sb="48" eb="49">
      <t>ダイ</t>
    </rPh>
    <rPh sb="51" eb="52">
      <t>カイ</t>
    </rPh>
    <rPh sb="212" eb="213">
      <t>ダイ</t>
    </rPh>
    <rPh sb="214" eb="215">
      <t>カイ</t>
    </rPh>
    <rPh sb="249" eb="250">
      <t>カイ</t>
    </rPh>
    <rPh sb="251" eb="252">
      <t>ダイ</t>
    </rPh>
    <rPh sb="253" eb="254">
      <t>カイ</t>
    </rPh>
    <phoneticPr fontId="1"/>
  </si>
  <si>
    <t>神戸市外国語大学数理・データサイエンス・ＡＩ教育推進部会規程</t>
    <phoneticPr fontId="1"/>
  </si>
  <si>
    <t>神戸市外国語大学数理・データサイエンス・ＡＩ教育推進部会</t>
    <phoneticPr fontId="1"/>
  </si>
  <si>
    <t>神戸市外国語大学数理・データサイエンス・ＡＩ教育推進部会</t>
    <rPh sb="0" eb="2">
      <t>コウベ</t>
    </rPh>
    <rPh sb="2" eb="3">
      <t>シ</t>
    </rPh>
    <rPh sb="3" eb="6">
      <t>ガイコクゴ</t>
    </rPh>
    <rPh sb="6" eb="8">
      <t>ダイガク</t>
    </rPh>
    <rPh sb="8" eb="10">
      <t>スウリ</t>
    </rPh>
    <rPh sb="22" eb="24">
      <t>キョウイク</t>
    </rPh>
    <rPh sb="24" eb="26">
      <t>スイシン</t>
    </rPh>
    <rPh sb="26" eb="28">
      <t>ブカイ</t>
    </rPh>
    <phoneticPr fontId="1"/>
  </si>
  <si>
    <t>　・生成AIの留意事項（ハルシネーションによる誤情報の生成、偽情報や有害コンテンツの生成・氾濫 など）（キャンパスライフ入門：第13回 ）
　・倫理的・法的・社会的課題（ELSI：Ethical, Legal and Social Issues）（キャンパスライフ入門：第14回）
　・個人情報保護、EU一般データ保護規則(GDPR)、忘れられる権利、オプトアウト（キャンパスライフ入門：第14回）
　・データ倫理：データのねつ造、改ざん、盗用、プライバシー保護（キャンパスライフ入門：第6回・第14回）
　・AI社会原則（公平性、説明責任、透明性、人間中心の判断）（キャンパスライフ入門：第14回）
　・データバイアス、アルゴリズムバイアス（キャンパスライフ入門：第14回）
　・AIサービスの責任論（キャンパスライフ入門：第14回）
　・データ・AI活用における負の事例紹介（キャンパスライフ入門：第14回）</t>
    <rPh sb="243" eb="244">
      <t>ダイ</t>
    </rPh>
    <rPh sb="245" eb="246">
      <t>カイ</t>
    </rPh>
    <phoneticPr fontId="1"/>
  </si>
  <si>
    <t xml:space="preserve">令和６年度は「キャンパスライフ入門」の履修者数533名、単位修得者数472名で88.6%の学生が単位修得した。「データサイエンス入門」の履修者数は464名、単位修得者数415名で89.4%の学生が単位修得した。いずれも高い単位修得率であり、プログラムの履修者451名の内、修了者は381名であった。プログラムとしても84.5%と高い修得率であり、本学学生の修学意欲の高さを改めて認識したところである。
履修・単位修得状況については、教務入試班から数理・データサイエンス・AI教育推進部会に報告、当該部会は授業評価アンケートの結果とあわせて自己点検・評価を行い、評価企画会議に報告している。
</t>
    <rPh sb="0" eb="2">
      <t>レイワ</t>
    </rPh>
    <rPh sb="3" eb="5">
      <t>ネンド</t>
    </rPh>
    <rPh sb="15" eb="17">
      <t>ニュウモン</t>
    </rPh>
    <rPh sb="19" eb="22">
      <t>リシュウシャ</t>
    </rPh>
    <rPh sb="22" eb="23">
      <t>スウ</t>
    </rPh>
    <rPh sb="26" eb="27">
      <t>メイ</t>
    </rPh>
    <rPh sb="28" eb="30">
      <t>タンイ</t>
    </rPh>
    <rPh sb="30" eb="32">
      <t>シュウトク</t>
    </rPh>
    <rPh sb="32" eb="33">
      <t>シャ</t>
    </rPh>
    <rPh sb="33" eb="34">
      <t>スウ</t>
    </rPh>
    <rPh sb="37" eb="38">
      <t>メイ</t>
    </rPh>
    <rPh sb="45" eb="47">
      <t>ガクセイ</t>
    </rPh>
    <rPh sb="48" eb="50">
      <t>タンイ</t>
    </rPh>
    <rPh sb="50" eb="52">
      <t>シュウトク</t>
    </rPh>
    <rPh sb="64" eb="66">
      <t>ニュウモン</t>
    </rPh>
    <rPh sb="68" eb="71">
      <t>リシュウシャ</t>
    </rPh>
    <rPh sb="71" eb="72">
      <t>スウ</t>
    </rPh>
    <rPh sb="76" eb="77">
      <t>メイ</t>
    </rPh>
    <rPh sb="78" eb="83">
      <t>タンイシュウトクシャ</t>
    </rPh>
    <rPh sb="83" eb="84">
      <t>スウ</t>
    </rPh>
    <rPh sb="87" eb="88">
      <t>メイ</t>
    </rPh>
    <rPh sb="95" eb="97">
      <t>ガクセイ</t>
    </rPh>
    <rPh sb="98" eb="100">
      <t>タンイ</t>
    </rPh>
    <rPh sb="100" eb="102">
      <t>シュウトク</t>
    </rPh>
    <rPh sb="109" eb="110">
      <t>タカ</t>
    </rPh>
    <rPh sb="111" eb="113">
      <t>タンイ</t>
    </rPh>
    <rPh sb="113" eb="116">
      <t>シュウトクリツ</t>
    </rPh>
    <rPh sb="126" eb="129">
      <t>リシュウシャ</t>
    </rPh>
    <rPh sb="132" eb="133">
      <t>メイ</t>
    </rPh>
    <rPh sb="134" eb="135">
      <t>ウチ</t>
    </rPh>
    <rPh sb="136" eb="139">
      <t>シュウリョウシャ</t>
    </rPh>
    <rPh sb="143" eb="144">
      <t>メイ</t>
    </rPh>
    <rPh sb="164" eb="165">
      <t>タカ</t>
    </rPh>
    <rPh sb="166" eb="169">
      <t>シュウトクリツ</t>
    </rPh>
    <rPh sb="173" eb="177">
      <t>ホンガクガクセイ</t>
    </rPh>
    <rPh sb="178" eb="180">
      <t>シュウガク</t>
    </rPh>
    <rPh sb="180" eb="182">
      <t>イヨク</t>
    </rPh>
    <rPh sb="183" eb="184">
      <t>タカ</t>
    </rPh>
    <rPh sb="186" eb="187">
      <t>アラタ</t>
    </rPh>
    <rPh sb="189" eb="191">
      <t>ニンシキ</t>
    </rPh>
    <rPh sb="248" eb="250">
      <t>トウガイ</t>
    </rPh>
    <phoneticPr fontId="1"/>
  </si>
  <si>
    <t xml:space="preserve">「キャンパスライフ入門」は単位認定科目であり、各回の課題提出状況・授業評価アンケートから読み取ったのは、数学が苦手な学生が多いということである。苦手ながらも懸命に取り組む姿勢が見られ、次年度のキャンパスライフ入門では、授業内で適宜フォロー解説を入れていただくことを担当教員に依頼した。
「データサイエンス入門」はGPの分布が0～4.5と広がっており、得意・不得意の差が現れた。しかしながら授業評価アンケートの学生の評価は高く、学生の満足度も高かったことから、授業の丁寧な取組が高い学修成果（単位修得率89.4%）につながったと認識している。
</t>
    <rPh sb="9" eb="11">
      <t>ニュウモン</t>
    </rPh>
    <rPh sb="13" eb="15">
      <t>タンイ</t>
    </rPh>
    <rPh sb="15" eb="17">
      <t>ニンテイ</t>
    </rPh>
    <rPh sb="17" eb="19">
      <t>カモク</t>
    </rPh>
    <rPh sb="23" eb="25">
      <t>カクカイ</t>
    </rPh>
    <rPh sb="26" eb="28">
      <t>カダイ</t>
    </rPh>
    <rPh sb="28" eb="30">
      <t>テイシュツ</t>
    </rPh>
    <rPh sb="30" eb="32">
      <t>ジョウキョウ</t>
    </rPh>
    <rPh sb="33" eb="37">
      <t>ジュギョウヒョウカ</t>
    </rPh>
    <rPh sb="44" eb="45">
      <t>ヨ</t>
    </rPh>
    <rPh sb="46" eb="47">
      <t>ト</t>
    </rPh>
    <rPh sb="52" eb="54">
      <t>スウガク</t>
    </rPh>
    <rPh sb="55" eb="57">
      <t>ニガテ</t>
    </rPh>
    <rPh sb="58" eb="60">
      <t>ガクセイ</t>
    </rPh>
    <rPh sb="61" eb="62">
      <t>オオ</t>
    </rPh>
    <rPh sb="72" eb="74">
      <t>ニガテ</t>
    </rPh>
    <rPh sb="78" eb="80">
      <t>ケンメイ</t>
    </rPh>
    <rPh sb="81" eb="82">
      <t>ト</t>
    </rPh>
    <rPh sb="83" eb="84">
      <t>ク</t>
    </rPh>
    <rPh sb="85" eb="87">
      <t>シセイ</t>
    </rPh>
    <rPh sb="88" eb="89">
      <t>ミ</t>
    </rPh>
    <rPh sb="92" eb="95">
      <t>ジネンド</t>
    </rPh>
    <rPh sb="104" eb="106">
      <t>ニュウモン</t>
    </rPh>
    <rPh sb="132" eb="136">
      <t>タントウキョウイン</t>
    </rPh>
    <rPh sb="137" eb="139">
      <t>イライ</t>
    </rPh>
    <rPh sb="153" eb="155">
      <t>ニュウモン</t>
    </rPh>
    <rPh sb="160" eb="162">
      <t>ブンプ</t>
    </rPh>
    <rPh sb="169" eb="170">
      <t>ヒロ</t>
    </rPh>
    <rPh sb="176" eb="178">
      <t>トクイ</t>
    </rPh>
    <rPh sb="179" eb="182">
      <t>フトクイ</t>
    </rPh>
    <rPh sb="183" eb="184">
      <t>サ</t>
    </rPh>
    <rPh sb="185" eb="186">
      <t>アラワ</t>
    </rPh>
    <rPh sb="195" eb="197">
      <t>ジュギョウ</t>
    </rPh>
    <rPh sb="197" eb="199">
      <t>ヒョウカ</t>
    </rPh>
    <rPh sb="205" eb="207">
      <t>ガクセイ</t>
    </rPh>
    <rPh sb="208" eb="210">
      <t>ヒョウカ</t>
    </rPh>
    <rPh sb="211" eb="212">
      <t>タカ</t>
    </rPh>
    <rPh sb="214" eb="216">
      <t>ガクセイ</t>
    </rPh>
    <rPh sb="217" eb="220">
      <t>マンゾクド</t>
    </rPh>
    <rPh sb="221" eb="222">
      <t>タカ</t>
    </rPh>
    <rPh sb="230" eb="232">
      <t>ジュギョウ</t>
    </rPh>
    <rPh sb="233" eb="235">
      <t>テイネイ</t>
    </rPh>
    <rPh sb="236" eb="238">
      <t>トリクミ</t>
    </rPh>
    <rPh sb="239" eb="240">
      <t>タカ</t>
    </rPh>
    <rPh sb="241" eb="245">
      <t>ガクシュウセイカ</t>
    </rPh>
    <rPh sb="246" eb="248">
      <t>タンイ</t>
    </rPh>
    <rPh sb="248" eb="251">
      <t>シュウトクリツ</t>
    </rPh>
    <rPh sb="264" eb="266">
      <t>ニンシキ</t>
    </rPh>
    <phoneticPr fontId="1"/>
  </si>
  <si>
    <t xml:space="preserve">本学FD部会が実施する半期に一度の授業評価アンケートに数理・データサイエンス・AI教育プログラム独自の項目を追加し、細かな学習理解度や多面的な学修成果の把握を行っている。
「キャンパスライフ入門」「データサイエンス入門」いずれにおいても、数学の基礎的な内容で学生の理解度が低下する傾向があった。次年度は授業内で適宜フォロー解説を入れるよう担当教員に依頼している。
「キャンパスライフ入門」はオンデマンド授業であり、わからない箇所を何度も復習して見返せる点で好評であり、「データサイエンス入門」は、データサイエンス・アシスタントの導入により授業内でわからないことを聞ける点で好評であった。
</t>
    <rPh sb="79" eb="80">
      <t>オコナ</t>
    </rPh>
    <rPh sb="96" eb="98">
      <t>ニュウモン</t>
    </rPh>
    <rPh sb="108" eb="110">
      <t>ニュウモン</t>
    </rPh>
    <rPh sb="125" eb="126">
      <t>テキ</t>
    </rPh>
    <rPh sb="127" eb="129">
      <t>ナイヨウ</t>
    </rPh>
    <rPh sb="130" eb="132">
      <t>ガクセイ</t>
    </rPh>
    <rPh sb="133" eb="136">
      <t>リカイド</t>
    </rPh>
    <rPh sb="137" eb="139">
      <t>テイカ</t>
    </rPh>
    <rPh sb="141" eb="143">
      <t>ケイコウ</t>
    </rPh>
    <rPh sb="170" eb="174">
      <t>タントウキョウイン</t>
    </rPh>
    <rPh sb="175" eb="177">
      <t>イライ</t>
    </rPh>
    <rPh sb="193" eb="195">
      <t>ニュウモン</t>
    </rPh>
    <rPh sb="203" eb="205">
      <t>ジュギョウ</t>
    </rPh>
    <rPh sb="214" eb="216">
      <t>カショ</t>
    </rPh>
    <rPh sb="217" eb="219">
      <t>ナンド</t>
    </rPh>
    <rPh sb="220" eb="222">
      <t>フクシュウ</t>
    </rPh>
    <rPh sb="224" eb="226">
      <t>ミカエ</t>
    </rPh>
    <rPh sb="228" eb="229">
      <t>テン</t>
    </rPh>
    <rPh sb="230" eb="232">
      <t>コウヒョウ</t>
    </rPh>
    <rPh sb="245" eb="247">
      <t>ニュウモン</t>
    </rPh>
    <rPh sb="266" eb="268">
      <t>ドウニュウ</t>
    </rPh>
    <rPh sb="271" eb="274">
      <t>ジュギョウナイ</t>
    </rPh>
    <rPh sb="283" eb="284">
      <t>キ</t>
    </rPh>
    <rPh sb="286" eb="287">
      <t>テン</t>
    </rPh>
    <rPh sb="288" eb="290">
      <t>コウヒョウ</t>
    </rPh>
    <phoneticPr fontId="1"/>
  </si>
  <si>
    <t>授業評価アンケートに数理・データサイエンス・AI教育プログラム独自の項目を追加し、「よかった点」を記載させている。
「キャンパスライフ入門」においては、オンデマンド形式による柔軟な学習環境の提供と、幅広い分野の知識を得られる点で高い評価を得た。特に、リレー講義による多様な視点の提供や、学生自身のペースで学習できる点が好評であった。
「データサイエンス入門」においては、全体として丁寧な指導、質問しやすい環境、実践的な学びに高評価が集まった。
本学のプログラム設計上、新入生の必履修科目としているため、アンケート等による他の学生への推奨度が及ぼす影響は少ないと考えている。</t>
    <rPh sb="46" eb="47">
      <t>テン</t>
    </rPh>
    <rPh sb="49" eb="51">
      <t>キサイ</t>
    </rPh>
    <rPh sb="67" eb="69">
      <t>ニュウモン</t>
    </rPh>
    <rPh sb="177" eb="179">
      <t>ニュウモン</t>
    </rPh>
    <rPh sb="224" eb="226">
      <t>ホンガク</t>
    </rPh>
    <rPh sb="232" eb="234">
      <t>セッケイ</t>
    </rPh>
    <rPh sb="234" eb="235">
      <t>ジョウ</t>
    </rPh>
    <rPh sb="236" eb="239">
      <t>シンニュウセイ</t>
    </rPh>
    <rPh sb="240" eb="241">
      <t>ヒツ</t>
    </rPh>
    <rPh sb="241" eb="243">
      <t>リシュウ</t>
    </rPh>
    <rPh sb="243" eb="245">
      <t>カモク</t>
    </rPh>
    <rPh sb="258" eb="259">
      <t>トウ</t>
    </rPh>
    <rPh sb="272" eb="273">
      <t>オヨ</t>
    </rPh>
    <rPh sb="275" eb="277">
      <t>エイキョウ</t>
    </rPh>
    <rPh sb="278" eb="279">
      <t>スク</t>
    </rPh>
    <rPh sb="282" eb="283">
      <t>カンガ</t>
    </rPh>
    <phoneticPr fontId="1"/>
  </si>
  <si>
    <t>「キャンパスライフ入門」および「データサイエンス入門」は必履修としているため、休学者を除き、新入生の履修率は100％となる。全学的な履修率は毎年自動的にあがるプログラム設計となっており、令和５年度以前入学の学生についても、履修できるようにクラス編成を行っている。
令和６年度のプログラム履修者数451名の内1年生が436名、2～4年生が15名であったことから、次年度3・4年生の履修を増やすため、履修登録前にポータルサイト・HP等でプログラムの意義を説明するPRを行っている。</t>
    <rPh sb="39" eb="41">
      <t>キュウガク</t>
    </rPh>
    <rPh sb="41" eb="42">
      <t>シャ</t>
    </rPh>
    <rPh sb="43" eb="44">
      <t>ノゾ</t>
    </rPh>
    <rPh sb="84" eb="86">
      <t>セッケイ</t>
    </rPh>
    <rPh sb="93" eb="95">
      <t>レイワ</t>
    </rPh>
    <rPh sb="133" eb="135">
      <t>レイワ</t>
    </rPh>
    <rPh sb="136" eb="138">
      <t>ネンド</t>
    </rPh>
    <rPh sb="144" eb="147">
      <t>リシュウシャ</t>
    </rPh>
    <rPh sb="147" eb="148">
      <t>スウ</t>
    </rPh>
    <rPh sb="151" eb="152">
      <t>メイ</t>
    </rPh>
    <rPh sb="153" eb="154">
      <t>ウチ</t>
    </rPh>
    <rPh sb="155" eb="157">
      <t>ネンセイ</t>
    </rPh>
    <rPh sb="161" eb="162">
      <t>メイ</t>
    </rPh>
    <rPh sb="166" eb="168">
      <t>ネンセイ</t>
    </rPh>
    <rPh sb="171" eb="172">
      <t>メイ</t>
    </rPh>
    <rPh sb="181" eb="184">
      <t>ジネンド</t>
    </rPh>
    <rPh sb="187" eb="189">
      <t>ネンセイ</t>
    </rPh>
    <rPh sb="190" eb="192">
      <t>リシュウ</t>
    </rPh>
    <rPh sb="193" eb="194">
      <t>フ</t>
    </rPh>
    <rPh sb="199" eb="203">
      <t>リシュウトウロク</t>
    </rPh>
    <rPh sb="203" eb="204">
      <t>マエ</t>
    </rPh>
    <rPh sb="215" eb="216">
      <t>トウ</t>
    </rPh>
    <rPh sb="223" eb="225">
      <t>イギ</t>
    </rPh>
    <rPh sb="226" eb="228">
      <t>セツメイ</t>
    </rPh>
    <rPh sb="233" eb="234">
      <t>オコナ</t>
    </rPh>
    <phoneticPr fontId="1"/>
  </si>
  <si>
    <t>副学長</t>
    <rPh sb="0" eb="3">
      <t>フクガクチョウ</t>
    </rPh>
    <phoneticPr fontId="1"/>
  </si>
  <si>
    <t>副学長・部会長</t>
    <rPh sb="0" eb="1">
      <t>フク</t>
    </rPh>
    <rPh sb="1" eb="3">
      <t>ガクチョウ</t>
    </rPh>
    <rPh sb="4" eb="7">
      <t>ブカイチョウ</t>
    </rPh>
    <phoneticPr fontId="1"/>
  </si>
  <si>
    <t>副学長・部会長</t>
    <rPh sb="0" eb="3">
      <t>フクガクチョウ</t>
    </rPh>
    <rPh sb="4" eb="7">
      <t>ブカイチョウ</t>
    </rPh>
    <phoneticPr fontId="1"/>
  </si>
  <si>
    <r>
      <t>プログラム開始初年度は、経営協議会の外部委員に対してプログラム内容・手法に関するご意見を伺った。
今後は、本学学生向けの学内企業説明会に参加</t>
    </r>
    <r>
      <rPr>
        <sz val="12"/>
        <rFont val="ＭＳ Ｐゴシック"/>
        <family val="3"/>
        <charset val="128"/>
      </rPr>
      <t>して</t>
    </r>
    <r>
      <rPr>
        <sz val="12"/>
        <rFont val="ＭＳ Ｐゴシック"/>
        <family val="3"/>
        <charset val="128"/>
        <scheme val="minor"/>
      </rPr>
      <t>いる企業に対してアンケートを実施し、教育プログラムの講義内容及び実データを活用した演習等の手法について意見を収集するとともに、数理・データサイエンス・AI教育推進部会においてプログラムの改善に活用する計画である。</t>
    </r>
    <rPh sb="5" eb="7">
      <t>カイシ</t>
    </rPh>
    <rPh sb="7" eb="10">
      <t>ショネンド</t>
    </rPh>
    <rPh sb="12" eb="14">
      <t>ケイエイ</t>
    </rPh>
    <rPh sb="14" eb="17">
      <t>キョウギカイ</t>
    </rPh>
    <rPh sb="18" eb="20">
      <t>ガイブ</t>
    </rPh>
    <rPh sb="20" eb="22">
      <t>イイン</t>
    </rPh>
    <rPh sb="23" eb="24">
      <t>タイ</t>
    </rPh>
    <rPh sb="31" eb="33">
      <t>ナイヨウ</t>
    </rPh>
    <rPh sb="34" eb="36">
      <t>シュホウ</t>
    </rPh>
    <rPh sb="37" eb="38">
      <t>カン</t>
    </rPh>
    <rPh sb="41" eb="43">
      <t>イケン</t>
    </rPh>
    <rPh sb="44" eb="45">
      <t>ウカガ</t>
    </rPh>
    <rPh sb="49" eb="51">
      <t>コンゴ</t>
    </rPh>
    <rPh sb="55" eb="57">
      <t>ガクセイ</t>
    </rPh>
    <rPh sb="57" eb="58">
      <t>ム</t>
    </rPh>
    <rPh sb="60" eb="62">
      <t>ガクナイ</t>
    </rPh>
    <rPh sb="62" eb="64">
      <t>キギョウ</t>
    </rPh>
    <rPh sb="64" eb="67">
      <t>セツメイカイ</t>
    </rPh>
    <rPh sb="151" eb="153">
      <t>スイシン</t>
    </rPh>
    <rPh sb="153" eb="155">
      <t>ブカイ</t>
    </rPh>
    <rPh sb="172" eb="174">
      <t>ケイカク</t>
    </rPh>
    <phoneticPr fontId="1"/>
  </si>
  <si>
    <r>
      <t>　本プログラムを設置した令和６年度に、１年生前期の必履修科目「初年次研修」を大幅に見直し、大学生に必要なデジタル時代の「読み・書き・そろばん」である数理・データサイエンス・AIに関する内容を盛り込んだ科目「キャンパスライフ入門」を新設。令和６年度以降の入学生については、１年生の必履修科目として、新入生全員が履修している。　同様に、令和６年度後期に「データサイエンス入門」を新設。令和６年度以降に入学した学生は全員が一度は履修する科目としてプログラムを設計した。
　制度設計上は令和９年度には100%の学生が一度は履修することになるが</t>
    </r>
    <r>
      <rPr>
        <sz val="12"/>
        <rFont val="ＭＳ Ｐゴシック"/>
        <family val="3"/>
        <charset val="128"/>
      </rPr>
      <t>、</t>
    </r>
    <r>
      <rPr>
        <sz val="12"/>
        <rFont val="ＭＳ Ｐゴシック"/>
        <family val="3"/>
        <charset val="128"/>
        <scheme val="minor"/>
      </rPr>
      <t>一定</t>
    </r>
    <r>
      <rPr>
        <sz val="12"/>
        <rFont val="ＭＳ Ｐゴシック"/>
        <family val="3"/>
        <charset val="128"/>
      </rPr>
      <t>の割合で</t>
    </r>
    <r>
      <rPr>
        <sz val="12"/>
        <rFont val="ＭＳ Ｐゴシック"/>
        <family val="3"/>
        <charset val="128"/>
        <scheme val="minor"/>
      </rPr>
      <t>令和５年度以前入学生も在籍することが見込まれるため、100%となるのは制度上、令和５年度以前入学生が在学年限を迎えた後の令和12年度以降である。
　なお、令和５年度以前入学生をはじめ、未履修・単位未修得の学生も履修可能であり、履修登録の時期に学内ポータルサイト、ホームページ、You Tube動画を通じて、全学生に対して積極的に本プログラムのPRを行っている。</t>
    </r>
    <rPh sb="8" eb="10">
      <t>セッチ</t>
    </rPh>
    <rPh sb="12" eb="14">
      <t>レイワ</t>
    </rPh>
    <rPh sb="15" eb="17">
      <t>ネンド</t>
    </rPh>
    <rPh sb="20" eb="22">
      <t>ネンセイ</t>
    </rPh>
    <rPh sb="22" eb="24">
      <t>ゼンキ</t>
    </rPh>
    <rPh sb="25" eb="26">
      <t>ヒツ</t>
    </rPh>
    <rPh sb="26" eb="28">
      <t>リシュウ</t>
    </rPh>
    <rPh sb="28" eb="30">
      <t>カモク</t>
    </rPh>
    <rPh sb="31" eb="34">
      <t>ショネンジ</t>
    </rPh>
    <rPh sb="34" eb="36">
      <t>ケンシュウ</t>
    </rPh>
    <rPh sb="45" eb="48">
      <t>ダイガクセイ</t>
    </rPh>
    <rPh sb="49" eb="51">
      <t>ヒツヨウ</t>
    </rPh>
    <rPh sb="92" eb="94">
      <t>ナイヨウ</t>
    </rPh>
    <rPh sb="95" eb="96">
      <t>モ</t>
    </rPh>
    <rPh sb="97" eb="98">
      <t>コ</t>
    </rPh>
    <rPh sb="100" eb="102">
      <t>カモク</t>
    </rPh>
    <rPh sb="115" eb="117">
      <t>シンセツ</t>
    </rPh>
    <rPh sb="118" eb="120">
      <t>レイワ</t>
    </rPh>
    <rPh sb="121" eb="123">
      <t>ネンド</t>
    </rPh>
    <rPh sb="123" eb="125">
      <t>イコウ</t>
    </rPh>
    <rPh sb="136" eb="138">
      <t>ネンセイ</t>
    </rPh>
    <rPh sb="139" eb="140">
      <t>ヒツ</t>
    </rPh>
    <rPh sb="140" eb="142">
      <t>リシュウ</t>
    </rPh>
    <rPh sb="142" eb="144">
      <t>カモク</t>
    </rPh>
    <rPh sb="148" eb="151">
      <t>シンニュウセイ</t>
    </rPh>
    <rPh sb="151" eb="153">
      <t>ゼンイン</t>
    </rPh>
    <rPh sb="154" eb="156">
      <t>リシュウ</t>
    </rPh>
    <rPh sb="162" eb="164">
      <t>ドウヨウ</t>
    </rPh>
    <rPh sb="166" eb="168">
      <t>レイワ</t>
    </rPh>
    <rPh sb="169" eb="171">
      <t>ネンド</t>
    </rPh>
    <rPh sb="171" eb="173">
      <t>コウキ</t>
    </rPh>
    <rPh sb="183" eb="185">
      <t>ニュウモン</t>
    </rPh>
    <rPh sb="187" eb="189">
      <t>シンセツ</t>
    </rPh>
    <rPh sb="190" eb="192">
      <t>レイワ</t>
    </rPh>
    <rPh sb="193" eb="195">
      <t>ネンド</t>
    </rPh>
    <rPh sb="195" eb="197">
      <t>イコウ</t>
    </rPh>
    <rPh sb="198" eb="200">
      <t>ニュウガク</t>
    </rPh>
    <rPh sb="202" eb="204">
      <t>ガクセイ</t>
    </rPh>
    <rPh sb="205" eb="207">
      <t>ゼンイン</t>
    </rPh>
    <rPh sb="208" eb="210">
      <t>イチド</t>
    </rPh>
    <rPh sb="211" eb="213">
      <t>リシュウ</t>
    </rPh>
    <rPh sb="215" eb="217">
      <t>カモク</t>
    </rPh>
    <rPh sb="226" eb="228">
      <t>セッケイ</t>
    </rPh>
    <rPh sb="235" eb="237">
      <t>セイド</t>
    </rPh>
    <rPh sb="237" eb="239">
      <t>セッケイ</t>
    </rPh>
    <rPh sb="239" eb="240">
      <t>ジョウ</t>
    </rPh>
    <rPh sb="241" eb="243">
      <t>レイワ</t>
    </rPh>
    <rPh sb="244" eb="246">
      <t>ネンド</t>
    </rPh>
    <rPh sb="253" eb="255">
      <t>ガクセイ</t>
    </rPh>
    <rPh sb="256" eb="258">
      <t>イチド</t>
    </rPh>
    <rPh sb="259" eb="261">
      <t>リシュウ</t>
    </rPh>
    <rPh sb="270" eb="272">
      <t>イッテイスウ</t>
    </rPh>
    <rPh sb="276" eb="278">
      <t>レイワ</t>
    </rPh>
    <rPh sb="279" eb="281">
      <t>ネンド</t>
    </rPh>
    <rPh sb="281" eb="283">
      <t>イゼン</t>
    </rPh>
    <rPh sb="283" eb="286">
      <t>ニュウガクセイ</t>
    </rPh>
    <rPh sb="287" eb="289">
      <t>ザイセキ</t>
    </rPh>
    <rPh sb="294" eb="296">
      <t>ミコ</t>
    </rPh>
    <rPh sb="311" eb="314">
      <t>セイドジョウ</t>
    </rPh>
    <rPh sb="315" eb="317">
      <t>レイワ</t>
    </rPh>
    <rPh sb="318" eb="320">
      <t>ネンド</t>
    </rPh>
    <rPh sb="320" eb="322">
      <t>イゼン</t>
    </rPh>
    <rPh sb="326" eb="328">
      <t>ザイガク</t>
    </rPh>
    <rPh sb="328" eb="330">
      <t>ネンゲン</t>
    </rPh>
    <rPh sb="331" eb="332">
      <t>ムカ</t>
    </rPh>
    <rPh sb="334" eb="335">
      <t>アト</t>
    </rPh>
    <rPh sb="336" eb="338">
      <t>レイワ</t>
    </rPh>
    <rPh sb="340" eb="342">
      <t>ネンド</t>
    </rPh>
    <rPh sb="342" eb="344">
      <t>イコウ</t>
    </rPh>
    <rPh sb="354" eb="356">
      <t>レイワ</t>
    </rPh>
    <rPh sb="357" eb="359">
      <t>ネンド</t>
    </rPh>
    <rPh sb="359" eb="361">
      <t>イゼン</t>
    </rPh>
    <rPh sb="362" eb="364">
      <t>ガクセイ</t>
    </rPh>
    <rPh sb="369" eb="372">
      <t>ミリシュウ</t>
    </rPh>
    <rPh sb="373" eb="375">
      <t>タンイ</t>
    </rPh>
    <rPh sb="375" eb="378">
      <t>ミシュウトク</t>
    </rPh>
    <rPh sb="379" eb="381">
      <t>ガクセイ</t>
    </rPh>
    <rPh sb="382" eb="384">
      <t>リシュウ</t>
    </rPh>
    <rPh sb="384" eb="386">
      <t>カノウ</t>
    </rPh>
    <rPh sb="390" eb="394">
      <t>リシュウトウロク</t>
    </rPh>
    <rPh sb="395" eb="397">
      <t>ジキ</t>
    </rPh>
    <rPh sb="398" eb="400">
      <t>ガクナイ</t>
    </rPh>
    <rPh sb="423" eb="425">
      <t>ドウガ</t>
    </rPh>
    <rPh sb="426" eb="427">
      <t>ツウ</t>
    </rPh>
    <rPh sb="437" eb="440">
      <t>セッキョクテキ</t>
    </rPh>
    <rPh sb="451" eb="452">
      <t>オコナ</t>
    </rPh>
    <phoneticPr fontId="1"/>
  </si>
  <si>
    <t>　・AI最新技術の活用例（深層生成モデル、強化学習、転移学習、生成AIなど）（キャンパスライフ入門：第13回 ）（データサイエンス入門：第12回 ）
　・基盤モデル、大規模言語モデル、拡散モデル（キャンパスライフ入門：第13回 ）（データサイエンス入門：第12回 ）</t>
    <phoneticPr fontId="1"/>
  </si>
  <si>
    <t xml:space="preserve">　・仮説検証、知識発見、原因究明、計画策定、判断支援、活動代替、新規生成など（キャンパスライフ入門：第8回・第10回）
　・データ・AI活用領域の広がり(生産、消費、文化活動など)（キャンパスライフ入門：第12回）
　・研究開発、調達、製造、物流、販売、マーケティング、サービスなど（キャンパスライフ入門：第12回）
　・対話、コンテンツ生成、翻訳・要約・執筆支援、コーディング支援など生成AIの応用（データサイエンス入門：第12回 ）
</t>
    <phoneticPr fontId="1"/>
  </si>
  <si>
    <t>・デジタル社会において必須となる数理・データサイエンス・AIを体系的に学ぶことで、本学のディプロマポリシーである「１．能動的に学ぶ力」を涵養する。数理・データサイエンス・AIという新しい「世界共通言語」を学び、これからの国際社会の基礎知識を身につける。
・「キャンパスライフ入門」では、⼤学における学びを効果的に進めるために必要な様々な知識や技術、ものの見方や規範等のうち、初年次から不可⽋になるもの、本学における学びの基礎的な資質を育んでゆく。2024年度からは、特に情報科学分野の基礎を中⼼に学修し、「社会におけるデータ・AI利活用」「データ・AI利活用における留意事項」について学ぶ。
・「データサイエンス入門」では、社会で活用されているデータやその技術・最新動向について学ぶとともに「データリテラシー」を身につける。生成AIやプログラミング、自然言語処理の基礎を習得する。世界で活躍する人間にふさわしいリテラシーや倫理を備え、多様な背景を持つ人々と協働する力の修得を目指す。</t>
    <rPh sb="362" eb="364">
      <t xml:space="preserve">セイセイ </t>
    </rPh>
    <rPh sb="375" eb="381">
      <t xml:space="preserve">シゼンゲンゴショリノキソヲ </t>
    </rPh>
    <rPh sb="385" eb="387">
      <t xml:space="preserve">シュウトクスル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</si>
</sst>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
      <sz val="12"/>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4">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xf numFmtId="0" fontId="4" fillId="0" borderId="0">
      <alignment vertical="center"/>
    </xf>
  </cellStyleXfs>
  <cellXfs count="28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14" xfId="3" applyFont="1" applyBorder="1" applyAlignment="1">
      <alignment horizontal="center" vertical="center" shrinkToFit="1"/>
    </xf>
    <xf numFmtId="0" fontId="2" fillId="0" borderId="20" xfId="3" applyFont="1" applyBorder="1" applyAlignment="1">
      <alignment horizontal="center" vertical="center" shrinkToFit="1"/>
    </xf>
    <xf numFmtId="0" fontId="2" fillId="0" borderId="14" xfId="3" applyFont="1" applyFill="1" applyBorder="1" applyAlignment="1">
      <alignment horizontal="center" vertical="center" shrinkToFit="1"/>
    </xf>
    <xf numFmtId="0" fontId="2" fillId="0" borderId="20" xfId="3" applyFont="1" applyFill="1" applyBorder="1" applyAlignment="1">
      <alignment horizontal="center" vertical="center" shrinkToFit="1"/>
    </xf>
    <xf numFmtId="0" fontId="11" fillId="0" borderId="20" xfId="3" applyFont="1" applyFill="1" applyBorder="1" applyAlignment="1">
      <alignment horizontal="center" vertical="center" shrinkToFit="1"/>
    </xf>
    <xf numFmtId="0" fontId="2" fillId="0" borderId="0" xfId="0" applyFont="1" applyAlignment="1">
      <alignment vertical="center" wrapText="1"/>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lignment vertical="center"/>
    </xf>
    <xf numFmtId="0" fontId="2" fillId="0" borderId="1" xfId="0" applyFont="1" applyBorder="1" applyAlignment="1">
      <alignment horizontal="left" vertical="center" shrinkToFit="1"/>
    </xf>
    <xf numFmtId="0" fontId="2" fillId="0" borderId="0" xfId="0" applyFont="1">
      <alignment vertical="center"/>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49" fontId="13" fillId="0" borderId="29" xfId="3" applyNumberFormat="1" applyFont="1" applyBorder="1" applyAlignment="1">
      <alignment horizontal="left" vertical="center" wrapText="1"/>
    </xf>
    <xf numFmtId="49" fontId="13" fillId="0" borderId="31" xfId="3" applyNumberFormat="1" applyFont="1" applyBorder="1" applyAlignment="1">
      <alignment horizontal="left" vertical="center"/>
    </xf>
    <xf numFmtId="49" fontId="13" fillId="0" borderId="30" xfId="3" applyNumberFormat="1" applyFont="1" applyBorder="1" applyAlignment="1">
      <alignment horizontal="left" vertical="center"/>
    </xf>
    <xf numFmtId="49" fontId="13" fillId="0" borderId="18" xfId="3" applyNumberFormat="1" applyFont="1" applyBorder="1" applyAlignment="1">
      <alignment horizontal="left" vertical="center" wrapText="1"/>
    </xf>
    <xf numFmtId="49" fontId="13" fillId="0" borderId="19" xfId="3" applyNumberFormat="1" applyFont="1" applyBorder="1" applyAlignment="1">
      <alignment horizontal="left" vertical="center"/>
    </xf>
    <xf numFmtId="49" fontId="13" fillId="0" borderId="17" xfId="3" applyNumberFormat="1" applyFont="1" applyBorder="1" applyAlignment="1">
      <alignment horizontal="left" vertical="center"/>
    </xf>
    <xf numFmtId="49" fontId="13" fillId="0" borderId="32" xfId="3" applyNumberFormat="1" applyFont="1" applyBorder="1" applyAlignment="1">
      <alignment horizontal="left" vertical="center" wrapText="1"/>
    </xf>
    <xf numFmtId="49" fontId="13" fillId="0" borderId="33" xfId="3" applyNumberFormat="1" applyFont="1" applyBorder="1" applyAlignment="1">
      <alignment horizontal="left" vertical="center"/>
    </xf>
    <xf numFmtId="49" fontId="13" fillId="0" borderId="34" xfId="3" applyNumberFormat="1" applyFont="1" applyBorder="1" applyAlignment="1">
      <alignment horizontal="left" vertical="center"/>
    </xf>
    <xf numFmtId="0" fontId="13" fillId="0" borderId="2" xfId="0" applyFont="1" applyBorder="1" applyAlignment="1">
      <alignment vertical="center" wrapText="1" shrinkToFit="1"/>
    </xf>
    <xf numFmtId="0" fontId="13" fillId="0" borderId="3" xfId="0" applyFont="1" applyBorder="1" applyAlignment="1">
      <alignment vertical="center" wrapText="1" shrinkToFit="1"/>
    </xf>
    <xf numFmtId="0" fontId="13" fillId="0" borderId="4" xfId="0" applyFont="1" applyBorder="1" applyAlignment="1">
      <alignment vertical="center" wrapText="1" shrinkToFit="1"/>
    </xf>
    <xf numFmtId="0" fontId="2" fillId="0" borderId="32" xfId="3" applyFont="1" applyBorder="1" applyAlignment="1">
      <alignment vertical="center" shrinkToFit="1"/>
    </xf>
    <xf numFmtId="0" fontId="2" fillId="0" borderId="33" xfId="3" applyFont="1" applyBorder="1" applyAlignment="1">
      <alignment vertical="center" shrinkToFit="1"/>
    </xf>
    <xf numFmtId="0" fontId="2" fillId="0" borderId="34" xfId="3" applyFont="1" applyBorder="1" applyAlignment="1">
      <alignment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2" xfId="3" applyFont="1" applyBorder="1" applyAlignment="1">
      <alignment horizontal="center" vertical="center" shrinkToFit="1"/>
    </xf>
    <xf numFmtId="0" fontId="2" fillId="0" borderId="33" xfId="3" applyFont="1" applyBorder="1" applyAlignment="1">
      <alignment horizontal="center" vertical="center" shrinkToFit="1"/>
    </xf>
    <xf numFmtId="0" fontId="2" fillId="0" borderId="34" xfId="3"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3" applyFont="1" applyBorder="1" applyAlignment="1">
      <alignment vertical="center" shrinkToFit="1"/>
    </xf>
    <xf numFmtId="0" fontId="2" fillId="0" borderId="19" xfId="3" applyFont="1" applyBorder="1" applyAlignment="1">
      <alignment vertical="center" shrinkToFit="1"/>
    </xf>
    <xf numFmtId="0" fontId="2" fillId="0" borderId="17" xfId="3" applyFont="1" applyBorder="1" applyAlignment="1">
      <alignment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18" xfId="3" applyFont="1" applyBorder="1" applyAlignment="1">
      <alignment horizontal="center" vertical="center" shrinkToFit="1"/>
    </xf>
    <xf numFmtId="0" fontId="2" fillId="0" borderId="19" xfId="3" applyFont="1" applyBorder="1" applyAlignment="1">
      <alignment horizontal="center" vertical="center" shrinkToFit="1"/>
    </xf>
    <xf numFmtId="0" fontId="2" fillId="0" borderId="17" xfId="3" applyFont="1" applyBorder="1" applyAlignment="1">
      <alignment horizontal="center" vertical="center" shrinkToFit="1"/>
    </xf>
    <xf numFmtId="0" fontId="2" fillId="0" borderId="29" xfId="3" applyFont="1" applyBorder="1" applyAlignment="1">
      <alignment vertical="center" shrinkToFit="1"/>
    </xf>
    <xf numFmtId="0" fontId="2" fillId="0" borderId="31" xfId="3" applyFont="1" applyBorder="1" applyAlignment="1">
      <alignment vertical="center" shrinkToFit="1"/>
    </xf>
    <xf numFmtId="0" fontId="2" fillId="0" borderId="30" xfId="3" applyFont="1" applyBorder="1" applyAlignment="1">
      <alignment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vertical="center" wrapText="1"/>
    </xf>
    <xf numFmtId="0" fontId="2" fillId="0" borderId="29" xfId="3" applyFont="1" applyFill="1" applyBorder="1" applyAlignment="1">
      <alignment vertical="center" shrinkToFit="1"/>
    </xf>
    <xf numFmtId="0" fontId="2" fillId="0" borderId="31" xfId="3" applyFont="1" applyFill="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18" xfId="3" applyFont="1" applyFill="1" applyBorder="1" applyAlignment="1">
      <alignment vertical="center" shrinkToFit="1"/>
    </xf>
    <xf numFmtId="0" fontId="2" fillId="0" borderId="19" xfId="3" applyFont="1" applyFill="1" applyBorder="1" applyAlignment="1">
      <alignment vertical="center" shrinkToFit="1"/>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horizontal="righ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3" fillId="0" borderId="2" xfId="0" applyFont="1" applyBorder="1" applyAlignment="1">
      <alignment horizontal="center" vertical="center" wrapText="1"/>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1" fillId="0" borderId="33" xfId="0" applyFont="1" applyBorder="1" applyAlignment="1">
      <alignment vertical="top" wrapText="1" shrinkToFit="1"/>
    </xf>
    <xf numFmtId="0" fontId="11"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4">
    <cellStyle name="パーセント" xfId="1" builtinId="5"/>
    <cellStyle name="桁区切り" xfId="2" builtinId="6"/>
    <cellStyle name="標準" xfId="0" builtinId="0"/>
    <cellStyle name="標準 2" xfId="3"/>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7"/>
  <sheetViews>
    <sheetView showZeros="0" tabSelected="1" view="pageBreakPreview" zoomScaleNormal="100" zoomScaleSheetLayoutView="100" workbookViewId="0">
      <selection activeCell="B104" sqref="B104:U104"/>
    </sheetView>
  </sheetViews>
  <sheetFormatPr defaultColWidth="9" defaultRowHeight="18.75" customHeight="1" x14ac:dyDescent="0.15"/>
  <cols>
    <col min="1" max="1" width="2.5" style="91" customWidth="1"/>
    <col min="2" max="2" width="16.5" style="91" customWidth="1"/>
    <col min="3" max="21" width="5.625" style="91" customWidth="1"/>
    <col min="22" max="22" width="9" style="91"/>
    <col min="23" max="23" width="3.625" style="91" customWidth="1"/>
    <col min="24" max="24" width="48.625" style="91" hidden="1" customWidth="1"/>
    <col min="25" max="26" width="9" style="91"/>
    <col min="27" max="27" width="9" style="91" hidden="1" customWidth="1"/>
    <col min="28" max="16384" width="9" style="91"/>
  </cols>
  <sheetData>
    <row r="1" spans="1:24" ht="18.600000000000001" customHeight="1" x14ac:dyDescent="0.15">
      <c r="T1" s="170" t="s">
        <v>12</v>
      </c>
      <c r="U1" s="170"/>
      <c r="V1" s="2" t="s">
        <v>94</v>
      </c>
    </row>
    <row r="2" spans="1:24" ht="18.75" customHeight="1" x14ac:dyDescent="0.15">
      <c r="B2" s="17" t="s">
        <v>93</v>
      </c>
      <c r="C2" s="171" t="s">
        <v>143</v>
      </c>
      <c r="D2" s="172"/>
      <c r="E2" s="172"/>
      <c r="F2" s="172"/>
      <c r="G2" s="172"/>
      <c r="H2" s="172"/>
      <c r="I2" s="172"/>
      <c r="J2" s="173"/>
      <c r="K2" s="89"/>
      <c r="L2" s="6"/>
      <c r="M2" s="6"/>
      <c r="N2" s="6"/>
      <c r="O2" s="6"/>
      <c r="P2" s="6"/>
      <c r="Q2" s="6"/>
      <c r="R2" s="6"/>
      <c r="S2" s="6"/>
      <c r="T2" s="6"/>
      <c r="U2" s="6"/>
    </row>
    <row r="3" spans="1:24" ht="30.75" customHeight="1" x14ac:dyDescent="0.15">
      <c r="B3" s="17" t="s">
        <v>88</v>
      </c>
      <c r="C3" s="174" t="s">
        <v>144</v>
      </c>
      <c r="D3" s="175"/>
      <c r="E3" s="175"/>
      <c r="F3" s="175"/>
      <c r="G3" s="175"/>
      <c r="H3" s="175"/>
      <c r="I3" s="175"/>
      <c r="J3" s="176"/>
      <c r="K3" s="89"/>
      <c r="L3" s="6"/>
      <c r="M3" s="6"/>
      <c r="N3" s="6"/>
      <c r="O3" s="6"/>
      <c r="P3" s="6"/>
      <c r="Q3" s="6"/>
      <c r="R3" s="6"/>
      <c r="S3" s="6"/>
      <c r="T3" s="6"/>
      <c r="U3" s="6"/>
    </row>
    <row r="4" spans="1:24" ht="15" customHeight="1" x14ac:dyDescent="0.15">
      <c r="L4" s="89"/>
      <c r="M4" s="74"/>
      <c r="N4" s="74"/>
      <c r="O4" s="74"/>
      <c r="P4" s="74"/>
      <c r="Q4" s="74"/>
      <c r="R4" s="74"/>
      <c r="S4" s="74"/>
      <c r="T4" s="74"/>
      <c r="U4" s="74"/>
    </row>
    <row r="5" spans="1:24" ht="18" customHeight="1" x14ac:dyDescent="0.15">
      <c r="A5" s="177" t="s">
        <v>141</v>
      </c>
      <c r="B5" s="177"/>
      <c r="C5" s="177"/>
      <c r="D5" s="177"/>
      <c r="E5" s="177"/>
      <c r="F5" s="177"/>
      <c r="G5" s="177"/>
      <c r="H5" s="177"/>
      <c r="I5" s="177"/>
      <c r="J5" s="177"/>
      <c r="K5" s="177"/>
      <c r="L5" s="177"/>
      <c r="M5" s="177"/>
      <c r="N5" s="177"/>
      <c r="O5" s="177"/>
      <c r="P5" s="177"/>
      <c r="Q5" s="177"/>
      <c r="R5" s="177"/>
      <c r="S5" s="177"/>
      <c r="T5" s="177"/>
      <c r="U5" s="177"/>
    </row>
    <row r="6" spans="1:24" ht="15" customHeight="1" x14ac:dyDescent="0.15">
      <c r="B6" s="90"/>
      <c r="C6" s="90"/>
      <c r="D6" s="90"/>
      <c r="E6" s="90"/>
      <c r="F6" s="90"/>
      <c r="G6" s="90"/>
      <c r="H6" s="90"/>
      <c r="I6" s="90"/>
      <c r="J6" s="90"/>
      <c r="K6" s="90"/>
      <c r="L6" s="90"/>
      <c r="M6" s="90"/>
      <c r="N6" s="90"/>
      <c r="O6" s="90"/>
      <c r="P6" s="90"/>
      <c r="Q6" s="90"/>
      <c r="R6" s="90"/>
      <c r="S6" s="90"/>
      <c r="T6" s="90"/>
      <c r="U6" s="90"/>
    </row>
    <row r="7" spans="1:24" ht="15" customHeight="1" x14ac:dyDescent="0.15">
      <c r="A7" s="91" t="s">
        <v>117</v>
      </c>
      <c r="B7" s="90"/>
      <c r="C7" s="90"/>
      <c r="D7" s="90"/>
      <c r="E7" s="90"/>
      <c r="F7" s="2"/>
      <c r="G7" s="2"/>
      <c r="H7" s="2"/>
      <c r="I7" s="2"/>
      <c r="J7" s="2"/>
      <c r="K7" s="2"/>
      <c r="L7" s="178" t="s">
        <v>145</v>
      </c>
      <c r="M7" s="179"/>
      <c r="N7" s="179"/>
      <c r="O7" s="179"/>
      <c r="P7" s="179"/>
      <c r="Q7" s="179"/>
      <c r="R7" s="179"/>
      <c r="S7" s="179"/>
      <c r="T7" s="179"/>
      <c r="U7" s="180"/>
    </row>
    <row r="8" spans="1:24" ht="6" customHeight="1" x14ac:dyDescent="0.15">
      <c r="B8" s="90"/>
      <c r="C8" s="90"/>
      <c r="D8" s="90"/>
      <c r="E8" s="90"/>
      <c r="F8" s="90"/>
      <c r="G8" s="90"/>
      <c r="H8" s="90"/>
      <c r="I8" s="90"/>
      <c r="J8" s="90"/>
      <c r="K8" s="90"/>
      <c r="L8" s="90"/>
      <c r="M8" s="90"/>
      <c r="N8" s="90"/>
      <c r="O8" s="90"/>
      <c r="P8" s="90"/>
      <c r="Q8" s="90"/>
      <c r="R8" s="90"/>
      <c r="S8" s="90"/>
      <c r="T8" s="90"/>
      <c r="U8" s="90"/>
    </row>
    <row r="9" spans="1:24" ht="18" customHeight="1" x14ac:dyDescent="0.15">
      <c r="A9" s="91" t="s">
        <v>118</v>
      </c>
      <c r="C9" s="90"/>
      <c r="D9" s="90"/>
      <c r="K9" s="89"/>
      <c r="L9" s="2"/>
      <c r="M9" s="2"/>
      <c r="N9" s="2"/>
      <c r="O9" s="2"/>
      <c r="P9" s="2"/>
      <c r="Q9" s="2"/>
      <c r="R9" s="2"/>
      <c r="S9" s="2"/>
      <c r="T9" s="2"/>
      <c r="U9" s="2"/>
    </row>
    <row r="10" spans="1:24" ht="6" customHeight="1" x14ac:dyDescent="0.15">
      <c r="B10" s="90"/>
      <c r="C10" s="90"/>
      <c r="D10" s="90"/>
      <c r="E10" s="90"/>
      <c r="F10" s="90"/>
      <c r="G10" s="90"/>
      <c r="H10" s="90"/>
      <c r="I10" s="90"/>
      <c r="J10" s="90"/>
      <c r="K10" s="90"/>
      <c r="L10" s="10"/>
      <c r="M10" s="90"/>
      <c r="N10" s="90"/>
      <c r="O10" s="90"/>
      <c r="P10" s="90"/>
      <c r="Q10" s="90"/>
      <c r="R10" s="90"/>
      <c r="S10" s="90"/>
      <c r="T10" s="90"/>
      <c r="U10" s="90"/>
    </row>
    <row r="11" spans="1:24" ht="18" customHeight="1" x14ac:dyDescent="0.15">
      <c r="B11" s="181"/>
      <c r="C11" s="182"/>
      <c r="D11" s="182"/>
      <c r="E11" s="182"/>
      <c r="F11" s="182"/>
      <c r="G11" s="182"/>
      <c r="H11" s="182"/>
      <c r="I11" s="182"/>
      <c r="J11" s="182"/>
      <c r="K11" s="182"/>
      <c r="L11" s="182"/>
      <c r="M11" s="182"/>
      <c r="N11" s="182"/>
      <c r="O11" s="182"/>
      <c r="P11" s="182"/>
      <c r="Q11" s="182"/>
      <c r="R11" s="182"/>
      <c r="S11" s="182"/>
      <c r="T11" s="182"/>
      <c r="U11" s="183"/>
    </row>
    <row r="12" spans="1:24" ht="18" customHeight="1" x14ac:dyDescent="0.15">
      <c r="B12" s="184"/>
      <c r="C12" s="185"/>
      <c r="D12" s="185"/>
      <c r="E12" s="185"/>
      <c r="F12" s="185"/>
      <c r="G12" s="185"/>
      <c r="H12" s="185"/>
      <c r="I12" s="185"/>
      <c r="J12" s="185"/>
      <c r="K12" s="185"/>
      <c r="L12" s="185"/>
      <c r="M12" s="185"/>
      <c r="N12" s="185"/>
      <c r="O12" s="185"/>
      <c r="P12" s="185"/>
      <c r="Q12" s="185"/>
      <c r="R12" s="185"/>
      <c r="S12" s="185"/>
      <c r="T12" s="185"/>
      <c r="U12" s="186"/>
    </row>
    <row r="13" spans="1:24" ht="6" customHeight="1" x14ac:dyDescent="0.15">
      <c r="B13" s="90"/>
      <c r="C13" s="90"/>
      <c r="D13" s="90"/>
      <c r="E13" s="90"/>
      <c r="F13" s="90"/>
      <c r="G13" s="90"/>
      <c r="H13" s="90"/>
      <c r="I13" s="90"/>
      <c r="J13" s="90"/>
      <c r="K13" s="90"/>
      <c r="L13" s="10"/>
      <c r="M13" s="90"/>
      <c r="N13" s="90"/>
      <c r="O13" s="90"/>
      <c r="P13" s="90"/>
      <c r="Q13" s="90"/>
      <c r="R13" s="90"/>
      <c r="S13" s="90"/>
      <c r="T13" s="90"/>
      <c r="U13" s="90"/>
    </row>
    <row r="14" spans="1:24" ht="18" customHeight="1" x14ac:dyDescent="0.15">
      <c r="A14" s="91" t="s">
        <v>95</v>
      </c>
      <c r="B14" s="90"/>
      <c r="C14" s="90"/>
      <c r="D14" s="90"/>
      <c r="E14" s="89"/>
      <c r="F14" s="89"/>
      <c r="G14" s="89"/>
      <c r="H14" s="89"/>
      <c r="I14" s="89"/>
      <c r="J14" s="89"/>
      <c r="K14" s="89"/>
      <c r="L14" s="75"/>
      <c r="M14" s="75"/>
      <c r="N14" s="75"/>
      <c r="O14" s="75"/>
      <c r="P14" s="75"/>
      <c r="Q14" s="75"/>
      <c r="R14" s="75"/>
      <c r="S14" s="75"/>
      <c r="T14" s="75"/>
      <c r="U14" s="75"/>
    </row>
    <row r="15" spans="1:24" ht="18" customHeight="1" x14ac:dyDescent="0.15">
      <c r="B15" s="158" t="s">
        <v>171</v>
      </c>
      <c r="C15" s="159"/>
      <c r="D15" s="159"/>
      <c r="E15" s="159"/>
      <c r="F15" s="159"/>
      <c r="G15" s="159"/>
      <c r="H15" s="159"/>
      <c r="I15" s="159"/>
      <c r="J15" s="159"/>
      <c r="K15" s="159"/>
      <c r="L15" s="159"/>
      <c r="M15" s="159"/>
      <c r="N15" s="159"/>
      <c r="O15" s="159"/>
      <c r="P15" s="159"/>
      <c r="Q15" s="159"/>
      <c r="R15" s="159"/>
      <c r="S15" s="159"/>
      <c r="T15" s="159"/>
      <c r="U15" s="160"/>
      <c r="X15" s="91" t="s">
        <v>89</v>
      </c>
    </row>
    <row r="16" spans="1:24" ht="18" customHeight="1" x14ac:dyDescent="0.15">
      <c r="B16" s="161"/>
      <c r="C16" s="162"/>
      <c r="D16" s="162"/>
      <c r="E16" s="162"/>
      <c r="F16" s="162"/>
      <c r="G16" s="162"/>
      <c r="H16" s="162"/>
      <c r="I16" s="162"/>
      <c r="J16" s="162"/>
      <c r="K16" s="162"/>
      <c r="L16" s="162"/>
      <c r="M16" s="162"/>
      <c r="N16" s="162"/>
      <c r="O16" s="162"/>
      <c r="P16" s="162"/>
      <c r="Q16" s="162"/>
      <c r="R16" s="162"/>
      <c r="S16" s="162"/>
      <c r="T16" s="162"/>
      <c r="U16" s="163"/>
      <c r="X16" s="91" t="s">
        <v>122</v>
      </c>
    </row>
    <row r="17" spans="1:24" ht="18" customHeight="1" x14ac:dyDescent="0.15">
      <c r="B17" s="161"/>
      <c r="C17" s="162"/>
      <c r="D17" s="162"/>
      <c r="E17" s="162"/>
      <c r="F17" s="162"/>
      <c r="G17" s="162"/>
      <c r="H17" s="162"/>
      <c r="I17" s="162"/>
      <c r="J17" s="162"/>
      <c r="K17" s="162"/>
      <c r="L17" s="162"/>
      <c r="M17" s="162"/>
      <c r="N17" s="162"/>
      <c r="O17" s="162"/>
      <c r="P17" s="162"/>
      <c r="Q17" s="162"/>
      <c r="R17" s="162"/>
      <c r="S17" s="162"/>
      <c r="T17" s="162"/>
      <c r="U17" s="163"/>
      <c r="X17" s="91" t="s">
        <v>123</v>
      </c>
    </row>
    <row r="18" spans="1:24" ht="18" customHeight="1" x14ac:dyDescent="0.15">
      <c r="B18" s="161"/>
      <c r="C18" s="162"/>
      <c r="D18" s="162"/>
      <c r="E18" s="162"/>
      <c r="F18" s="162"/>
      <c r="G18" s="162"/>
      <c r="H18" s="162"/>
      <c r="I18" s="162"/>
      <c r="J18" s="162"/>
      <c r="K18" s="162"/>
      <c r="L18" s="162"/>
      <c r="M18" s="162"/>
      <c r="N18" s="162"/>
      <c r="O18" s="162"/>
      <c r="P18" s="162"/>
      <c r="Q18" s="162"/>
      <c r="R18" s="162"/>
      <c r="S18" s="162"/>
      <c r="T18" s="162"/>
      <c r="U18" s="163"/>
      <c r="X18" s="91" t="s">
        <v>124</v>
      </c>
    </row>
    <row r="19" spans="1:24" ht="18" customHeight="1" x14ac:dyDescent="0.15">
      <c r="B19" s="161"/>
      <c r="C19" s="162"/>
      <c r="D19" s="162"/>
      <c r="E19" s="162"/>
      <c r="F19" s="162"/>
      <c r="G19" s="162"/>
      <c r="H19" s="162"/>
      <c r="I19" s="162"/>
      <c r="J19" s="162"/>
      <c r="K19" s="162"/>
      <c r="L19" s="162"/>
      <c r="M19" s="162"/>
      <c r="N19" s="162"/>
      <c r="O19" s="162"/>
      <c r="P19" s="162"/>
      <c r="Q19" s="162"/>
      <c r="R19" s="162"/>
      <c r="S19" s="162"/>
      <c r="T19" s="162"/>
      <c r="U19" s="163"/>
    </row>
    <row r="20" spans="1:24" ht="18" customHeight="1" x14ac:dyDescent="0.15">
      <c r="B20" s="164"/>
      <c r="C20" s="165"/>
      <c r="D20" s="165"/>
      <c r="E20" s="165"/>
      <c r="F20" s="165"/>
      <c r="G20" s="165"/>
      <c r="H20" s="165"/>
      <c r="I20" s="165"/>
      <c r="J20" s="165"/>
      <c r="K20" s="165"/>
      <c r="L20" s="165"/>
      <c r="M20" s="165"/>
      <c r="N20" s="165"/>
      <c r="O20" s="165"/>
      <c r="P20" s="165"/>
      <c r="Q20" s="165"/>
      <c r="R20" s="165"/>
      <c r="S20" s="165"/>
      <c r="T20" s="165"/>
      <c r="U20" s="166"/>
    </row>
    <row r="21" spans="1:24" ht="7.5" customHeight="1" x14ac:dyDescent="0.15">
      <c r="B21" s="90"/>
      <c r="C21" s="90"/>
      <c r="D21" s="90"/>
      <c r="E21" s="90"/>
      <c r="F21" s="90"/>
      <c r="G21" s="90"/>
      <c r="H21" s="90"/>
      <c r="I21" s="90"/>
      <c r="J21" s="90"/>
      <c r="K21" s="90"/>
      <c r="L21" s="90"/>
      <c r="M21" s="90"/>
      <c r="N21" s="90"/>
      <c r="O21" s="90"/>
      <c r="P21" s="90"/>
      <c r="Q21" s="90"/>
      <c r="R21" s="90"/>
      <c r="S21" s="90"/>
      <c r="T21" s="90"/>
      <c r="U21" s="90"/>
    </row>
    <row r="22" spans="1:24" ht="19.899999999999999" customHeight="1" x14ac:dyDescent="0.15">
      <c r="B22" s="91" t="s">
        <v>119</v>
      </c>
      <c r="E22" s="76">
        <v>2</v>
      </c>
      <c r="F22" s="91" t="s">
        <v>107</v>
      </c>
      <c r="H22" s="19">
        <v>4</v>
      </c>
      <c r="I22" s="90" t="s">
        <v>108</v>
      </c>
      <c r="J22" s="90"/>
      <c r="K22" s="89"/>
      <c r="M22" s="89" t="s">
        <v>104</v>
      </c>
      <c r="N22" s="167" t="s">
        <v>122</v>
      </c>
      <c r="O22" s="168"/>
      <c r="P22" s="168"/>
      <c r="Q22" s="168"/>
      <c r="R22" s="168"/>
      <c r="S22" s="168"/>
      <c r="T22" s="168"/>
      <c r="U22" s="169"/>
    </row>
    <row r="23" spans="1:24" ht="7.5" customHeight="1" x14ac:dyDescent="0.15">
      <c r="B23" s="90"/>
      <c r="C23" s="90"/>
      <c r="D23" s="90"/>
      <c r="E23" s="90"/>
      <c r="F23" s="90"/>
      <c r="G23" s="90"/>
      <c r="H23" s="90"/>
      <c r="I23" s="90"/>
      <c r="J23" s="90"/>
      <c r="K23" s="90"/>
      <c r="L23" s="90"/>
      <c r="M23" s="90"/>
      <c r="N23" s="90"/>
      <c r="O23" s="90"/>
      <c r="P23" s="90"/>
      <c r="Q23" s="90"/>
      <c r="R23" s="90"/>
      <c r="S23" s="90"/>
      <c r="T23" s="90"/>
      <c r="U23" s="90"/>
    </row>
    <row r="24" spans="1:24" ht="18" customHeight="1" x14ac:dyDescent="0.15">
      <c r="A24" s="150" t="s">
        <v>96</v>
      </c>
      <c r="B24" s="150"/>
      <c r="C24" s="150"/>
      <c r="D24" s="150"/>
      <c r="E24" s="150"/>
      <c r="F24" s="150"/>
      <c r="G24" s="150"/>
      <c r="H24" s="150"/>
      <c r="I24" s="150"/>
      <c r="J24" s="150"/>
      <c r="K24" s="150"/>
      <c r="L24" s="150"/>
      <c r="M24" s="150"/>
      <c r="N24" s="150"/>
      <c r="O24" s="150"/>
      <c r="P24" s="150"/>
      <c r="Q24" s="150"/>
      <c r="R24" s="150"/>
      <c r="S24" s="150"/>
      <c r="T24" s="150"/>
      <c r="U24" s="150"/>
    </row>
    <row r="25" spans="1:24" ht="18" customHeight="1" x14ac:dyDescent="0.15">
      <c r="A25" s="150"/>
      <c r="B25" s="150"/>
      <c r="C25" s="150"/>
      <c r="D25" s="150"/>
      <c r="E25" s="150"/>
      <c r="F25" s="150"/>
      <c r="G25" s="150"/>
      <c r="H25" s="150"/>
      <c r="I25" s="150"/>
      <c r="J25" s="150"/>
      <c r="K25" s="150"/>
      <c r="L25" s="150"/>
      <c r="M25" s="150"/>
      <c r="N25" s="150"/>
      <c r="O25" s="150"/>
      <c r="P25" s="150"/>
      <c r="Q25" s="150"/>
      <c r="R25" s="150"/>
      <c r="S25" s="150"/>
      <c r="T25" s="150"/>
      <c r="U25" s="150"/>
    </row>
    <row r="26" spans="1:24" ht="18" customHeight="1" x14ac:dyDescent="0.15">
      <c r="B26" s="120" t="s">
        <v>48</v>
      </c>
      <c r="C26" s="121"/>
      <c r="D26" s="121"/>
      <c r="E26" s="121"/>
      <c r="F26" s="122"/>
      <c r="G26" s="60" t="s">
        <v>73</v>
      </c>
      <c r="H26" s="61" t="s">
        <v>76</v>
      </c>
      <c r="I26" s="62" t="s">
        <v>51</v>
      </c>
      <c r="J26" s="62" t="s">
        <v>54</v>
      </c>
      <c r="K26" s="120" t="s">
        <v>48</v>
      </c>
      <c r="L26" s="121"/>
      <c r="M26" s="121"/>
      <c r="N26" s="121"/>
      <c r="O26" s="121"/>
      <c r="P26" s="121"/>
      <c r="Q26" s="122"/>
      <c r="R26" s="60" t="s">
        <v>73</v>
      </c>
      <c r="S26" s="61" t="s">
        <v>76</v>
      </c>
      <c r="T26" s="62" t="s">
        <v>51</v>
      </c>
      <c r="U26" s="62" t="s">
        <v>54</v>
      </c>
    </row>
    <row r="27" spans="1:24" ht="18" customHeight="1" x14ac:dyDescent="0.15">
      <c r="B27" s="132" t="s">
        <v>146</v>
      </c>
      <c r="C27" s="133"/>
      <c r="D27" s="133"/>
      <c r="E27" s="133"/>
      <c r="F27" s="134"/>
      <c r="G27" s="83">
        <v>2</v>
      </c>
      <c r="H27" s="83" t="s">
        <v>147</v>
      </c>
      <c r="I27" s="83" t="s">
        <v>147</v>
      </c>
      <c r="J27" s="83" t="s">
        <v>147</v>
      </c>
      <c r="K27" s="153"/>
      <c r="L27" s="154"/>
      <c r="M27" s="154"/>
      <c r="N27" s="154"/>
      <c r="O27" s="154"/>
      <c r="P27" s="154"/>
      <c r="Q27" s="155"/>
      <c r="R27" s="63"/>
      <c r="S27" s="63"/>
      <c r="T27" s="63"/>
      <c r="U27" s="63"/>
    </row>
    <row r="28" spans="1:24" ht="18" customHeight="1" x14ac:dyDescent="0.15">
      <c r="B28" s="123" t="s">
        <v>148</v>
      </c>
      <c r="C28" s="124"/>
      <c r="D28" s="124"/>
      <c r="E28" s="124"/>
      <c r="F28" s="125"/>
      <c r="G28" s="84">
        <v>2</v>
      </c>
      <c r="H28" s="84" t="s">
        <v>147</v>
      </c>
      <c r="I28" s="84" t="s">
        <v>147</v>
      </c>
      <c r="J28" s="84" t="s">
        <v>147</v>
      </c>
      <c r="K28" s="141"/>
      <c r="L28" s="142"/>
      <c r="M28" s="142"/>
      <c r="N28" s="142"/>
      <c r="O28" s="142"/>
      <c r="P28" s="142"/>
      <c r="Q28" s="143"/>
      <c r="R28" s="64"/>
      <c r="S28" s="64"/>
      <c r="T28" s="64"/>
      <c r="U28" s="64"/>
    </row>
    <row r="29" spans="1:24" ht="18" customHeight="1" x14ac:dyDescent="0.15">
      <c r="B29" s="141"/>
      <c r="C29" s="142"/>
      <c r="D29" s="142"/>
      <c r="E29" s="142"/>
      <c r="F29" s="143"/>
      <c r="G29" s="64"/>
      <c r="H29" s="64"/>
      <c r="I29" s="64"/>
      <c r="J29" s="64"/>
      <c r="K29" s="141"/>
      <c r="L29" s="142"/>
      <c r="M29" s="142"/>
      <c r="N29" s="142"/>
      <c r="O29" s="142"/>
      <c r="P29" s="142"/>
      <c r="Q29" s="143"/>
      <c r="R29" s="64"/>
      <c r="S29" s="64"/>
      <c r="T29" s="64"/>
      <c r="U29" s="64"/>
    </row>
    <row r="30" spans="1:24" ht="18" customHeight="1" x14ac:dyDescent="0.15">
      <c r="B30" s="141"/>
      <c r="C30" s="142"/>
      <c r="D30" s="142"/>
      <c r="E30" s="142"/>
      <c r="F30" s="143"/>
      <c r="G30" s="64"/>
      <c r="H30" s="64"/>
      <c r="I30" s="64"/>
      <c r="J30" s="64"/>
      <c r="K30" s="141"/>
      <c r="L30" s="142"/>
      <c r="M30" s="142"/>
      <c r="N30" s="142"/>
      <c r="O30" s="142"/>
      <c r="P30" s="142"/>
      <c r="Q30" s="143"/>
      <c r="R30" s="64"/>
      <c r="S30" s="64"/>
      <c r="T30" s="64"/>
      <c r="U30" s="64"/>
    </row>
    <row r="31" spans="1:24" ht="18" customHeight="1" x14ac:dyDescent="0.15">
      <c r="B31" s="141"/>
      <c r="C31" s="142"/>
      <c r="D31" s="142"/>
      <c r="E31" s="142"/>
      <c r="F31" s="143"/>
      <c r="G31" s="64"/>
      <c r="H31" s="64"/>
      <c r="I31" s="64"/>
      <c r="J31" s="64"/>
      <c r="K31" s="141"/>
      <c r="L31" s="142"/>
      <c r="M31" s="142"/>
      <c r="N31" s="142"/>
      <c r="O31" s="142"/>
      <c r="P31" s="142"/>
      <c r="Q31" s="143"/>
      <c r="R31" s="64"/>
      <c r="S31" s="64"/>
      <c r="T31" s="64"/>
      <c r="U31" s="64"/>
    </row>
    <row r="32" spans="1:24" ht="18" customHeight="1" x14ac:dyDescent="0.15">
      <c r="A32" s="90"/>
      <c r="B32" s="141"/>
      <c r="C32" s="142"/>
      <c r="D32" s="142"/>
      <c r="E32" s="142"/>
      <c r="F32" s="143"/>
      <c r="G32" s="64"/>
      <c r="H32" s="64"/>
      <c r="I32" s="64"/>
      <c r="J32" s="64"/>
      <c r="K32" s="141"/>
      <c r="L32" s="142"/>
      <c r="M32" s="142"/>
      <c r="N32" s="142"/>
      <c r="O32" s="142"/>
      <c r="P32" s="142"/>
      <c r="Q32" s="143"/>
      <c r="R32" s="64"/>
      <c r="S32" s="64"/>
      <c r="T32" s="64"/>
      <c r="U32" s="64"/>
    </row>
    <row r="33" spans="1:21" ht="18" customHeight="1" x14ac:dyDescent="0.15">
      <c r="A33" s="90"/>
      <c r="B33" s="144"/>
      <c r="C33" s="145"/>
      <c r="D33" s="145"/>
      <c r="E33" s="145"/>
      <c r="F33" s="146"/>
      <c r="G33" s="65"/>
      <c r="H33" s="65"/>
      <c r="I33" s="66"/>
      <c r="J33" s="66"/>
      <c r="K33" s="144"/>
      <c r="L33" s="145"/>
      <c r="M33" s="145"/>
      <c r="N33" s="145"/>
      <c r="O33" s="145"/>
      <c r="P33" s="145"/>
      <c r="Q33" s="146"/>
      <c r="R33" s="65"/>
      <c r="S33" s="65"/>
      <c r="T33" s="66"/>
      <c r="U33" s="66"/>
    </row>
    <row r="34" spans="1:21" ht="7.5" customHeight="1" x14ac:dyDescent="0.15">
      <c r="A34" s="90"/>
      <c r="B34" s="6"/>
      <c r="C34" s="6"/>
      <c r="D34" s="6"/>
      <c r="E34" s="90"/>
      <c r="F34" s="90"/>
      <c r="G34" s="90"/>
      <c r="H34" s="90"/>
      <c r="I34" s="6"/>
      <c r="J34" s="6"/>
      <c r="K34" s="6"/>
      <c r="L34" s="6"/>
      <c r="M34" s="6"/>
      <c r="N34" s="6"/>
      <c r="O34" s="6"/>
      <c r="P34" s="6"/>
      <c r="Q34" s="6"/>
      <c r="R34" s="6"/>
      <c r="S34" s="6"/>
      <c r="T34" s="6"/>
      <c r="U34" s="90"/>
    </row>
    <row r="35" spans="1:21" ht="18" customHeight="1" x14ac:dyDescent="0.15">
      <c r="A35" s="150" t="s">
        <v>97</v>
      </c>
      <c r="B35" s="150"/>
      <c r="C35" s="150"/>
      <c r="D35" s="150"/>
      <c r="E35" s="150"/>
      <c r="F35" s="150"/>
      <c r="G35" s="150"/>
      <c r="H35" s="150"/>
      <c r="I35" s="150"/>
      <c r="J35" s="150"/>
      <c r="K35" s="150"/>
      <c r="L35" s="150"/>
      <c r="M35" s="150"/>
      <c r="N35" s="150"/>
      <c r="O35" s="150"/>
      <c r="P35" s="150"/>
      <c r="Q35" s="150"/>
      <c r="R35" s="150"/>
      <c r="S35" s="150"/>
      <c r="T35" s="150"/>
      <c r="U35" s="150"/>
    </row>
    <row r="36" spans="1:21" ht="18" customHeight="1" x14ac:dyDescent="0.15">
      <c r="A36" s="150"/>
      <c r="B36" s="150"/>
      <c r="C36" s="150"/>
      <c r="D36" s="150"/>
      <c r="E36" s="150"/>
      <c r="F36" s="150"/>
      <c r="G36" s="150"/>
      <c r="H36" s="150"/>
      <c r="I36" s="150"/>
      <c r="J36" s="150"/>
      <c r="K36" s="150"/>
      <c r="L36" s="150"/>
      <c r="M36" s="150"/>
      <c r="N36" s="150"/>
      <c r="O36" s="150"/>
      <c r="P36" s="150"/>
      <c r="Q36" s="150"/>
      <c r="R36" s="150"/>
      <c r="S36" s="150"/>
      <c r="T36" s="150"/>
      <c r="U36" s="150"/>
    </row>
    <row r="37" spans="1:21" ht="18" customHeight="1" x14ac:dyDescent="0.15">
      <c r="B37" s="120" t="s">
        <v>48</v>
      </c>
      <c r="C37" s="121"/>
      <c r="D37" s="121"/>
      <c r="E37" s="121"/>
      <c r="F37" s="122"/>
      <c r="G37" s="60" t="s">
        <v>73</v>
      </c>
      <c r="H37" s="61" t="s">
        <v>76</v>
      </c>
      <c r="I37" s="62" t="s">
        <v>64</v>
      </c>
      <c r="J37" s="62" t="s">
        <v>65</v>
      </c>
      <c r="K37" s="120" t="s">
        <v>48</v>
      </c>
      <c r="L37" s="121"/>
      <c r="M37" s="121"/>
      <c r="N37" s="121"/>
      <c r="O37" s="121"/>
      <c r="P37" s="121"/>
      <c r="Q37" s="122"/>
      <c r="R37" s="60" t="s">
        <v>73</v>
      </c>
      <c r="S37" s="61" t="s">
        <v>76</v>
      </c>
      <c r="T37" s="62" t="s">
        <v>64</v>
      </c>
      <c r="U37" s="62" t="s">
        <v>65</v>
      </c>
    </row>
    <row r="38" spans="1:21" ht="18" customHeight="1" x14ac:dyDescent="0.15">
      <c r="B38" s="132" t="s">
        <v>146</v>
      </c>
      <c r="C38" s="133"/>
      <c r="D38" s="133"/>
      <c r="E38" s="133"/>
      <c r="F38" s="134"/>
      <c r="G38" s="83">
        <v>2</v>
      </c>
      <c r="H38" s="83" t="s">
        <v>147</v>
      </c>
      <c r="I38" s="85" t="s">
        <v>147</v>
      </c>
      <c r="J38" s="83" t="s">
        <v>147</v>
      </c>
      <c r="K38" s="153"/>
      <c r="L38" s="154"/>
      <c r="M38" s="154"/>
      <c r="N38" s="154"/>
      <c r="O38" s="154"/>
      <c r="P38" s="154"/>
      <c r="Q38" s="155"/>
      <c r="R38" s="63"/>
      <c r="S38" s="63"/>
      <c r="T38" s="63"/>
      <c r="U38" s="63"/>
    </row>
    <row r="39" spans="1:21" ht="18" customHeight="1" x14ac:dyDescent="0.15">
      <c r="B39" s="123" t="s">
        <v>148</v>
      </c>
      <c r="C39" s="124"/>
      <c r="D39" s="124"/>
      <c r="E39" s="124"/>
      <c r="F39" s="125"/>
      <c r="G39" s="84">
        <v>2</v>
      </c>
      <c r="H39" s="84" t="s">
        <v>147</v>
      </c>
      <c r="I39" s="84" t="s">
        <v>147</v>
      </c>
      <c r="J39" s="84" t="s">
        <v>147</v>
      </c>
      <c r="K39" s="141"/>
      <c r="L39" s="142"/>
      <c r="M39" s="142"/>
      <c r="N39" s="142"/>
      <c r="O39" s="142"/>
      <c r="P39" s="142"/>
      <c r="Q39" s="143"/>
      <c r="R39" s="64"/>
      <c r="S39" s="64"/>
      <c r="T39" s="64"/>
      <c r="U39" s="64"/>
    </row>
    <row r="40" spans="1:21" ht="18" customHeight="1" x14ac:dyDescent="0.15">
      <c r="B40" s="141"/>
      <c r="C40" s="142"/>
      <c r="D40" s="142"/>
      <c r="E40" s="142"/>
      <c r="F40" s="143"/>
      <c r="G40" s="64"/>
      <c r="H40" s="64"/>
      <c r="I40" s="64"/>
      <c r="J40" s="64"/>
      <c r="K40" s="141"/>
      <c r="L40" s="142"/>
      <c r="M40" s="142"/>
      <c r="N40" s="142"/>
      <c r="O40" s="142"/>
      <c r="P40" s="142"/>
      <c r="Q40" s="143"/>
      <c r="R40" s="64"/>
      <c r="S40" s="64"/>
      <c r="T40" s="64"/>
      <c r="U40" s="64"/>
    </row>
    <row r="41" spans="1:21" ht="18" customHeight="1" x14ac:dyDescent="0.15">
      <c r="B41" s="141"/>
      <c r="C41" s="142"/>
      <c r="D41" s="142"/>
      <c r="E41" s="142"/>
      <c r="F41" s="143"/>
      <c r="G41" s="64"/>
      <c r="H41" s="64"/>
      <c r="I41" s="64"/>
      <c r="J41" s="64"/>
      <c r="K41" s="141"/>
      <c r="L41" s="142"/>
      <c r="M41" s="142"/>
      <c r="N41" s="142"/>
      <c r="O41" s="142"/>
      <c r="P41" s="142"/>
      <c r="Q41" s="143"/>
      <c r="R41" s="64"/>
      <c r="S41" s="64"/>
      <c r="T41" s="64"/>
      <c r="U41" s="64"/>
    </row>
    <row r="42" spans="1:21" ht="18" customHeight="1" x14ac:dyDescent="0.15">
      <c r="B42" s="141"/>
      <c r="C42" s="142"/>
      <c r="D42" s="142"/>
      <c r="E42" s="142"/>
      <c r="F42" s="143"/>
      <c r="G42" s="64"/>
      <c r="H42" s="64"/>
      <c r="I42" s="64"/>
      <c r="J42" s="64"/>
      <c r="K42" s="141"/>
      <c r="L42" s="142"/>
      <c r="M42" s="142"/>
      <c r="N42" s="142"/>
      <c r="O42" s="142"/>
      <c r="P42" s="142"/>
      <c r="Q42" s="143"/>
      <c r="R42" s="64"/>
      <c r="S42" s="64"/>
      <c r="T42" s="64"/>
      <c r="U42" s="64"/>
    </row>
    <row r="43" spans="1:21" ht="18" customHeight="1" x14ac:dyDescent="0.15">
      <c r="B43" s="141"/>
      <c r="C43" s="142"/>
      <c r="D43" s="142"/>
      <c r="E43" s="142"/>
      <c r="F43" s="143"/>
      <c r="G43" s="64"/>
      <c r="H43" s="64"/>
      <c r="I43" s="64"/>
      <c r="J43" s="64"/>
      <c r="K43" s="141"/>
      <c r="L43" s="142"/>
      <c r="M43" s="142"/>
      <c r="N43" s="142"/>
      <c r="O43" s="142"/>
      <c r="P43" s="142"/>
      <c r="Q43" s="143"/>
      <c r="R43" s="64"/>
      <c r="S43" s="64"/>
      <c r="T43" s="64"/>
      <c r="U43" s="64"/>
    </row>
    <row r="44" spans="1:21" ht="18" customHeight="1" x14ac:dyDescent="0.15">
      <c r="B44" s="144"/>
      <c r="C44" s="145"/>
      <c r="D44" s="145"/>
      <c r="E44" s="145"/>
      <c r="F44" s="146"/>
      <c r="G44" s="65"/>
      <c r="H44" s="65"/>
      <c r="I44" s="66"/>
      <c r="J44" s="66"/>
      <c r="K44" s="144"/>
      <c r="L44" s="145"/>
      <c r="M44" s="145"/>
      <c r="N44" s="145"/>
      <c r="O44" s="145"/>
      <c r="P44" s="145"/>
      <c r="Q44" s="146"/>
      <c r="R44" s="65"/>
      <c r="S44" s="65"/>
      <c r="T44" s="66"/>
      <c r="U44" s="66"/>
    </row>
    <row r="45" spans="1:21" ht="7.5" customHeight="1" x14ac:dyDescent="0.15">
      <c r="A45" s="90"/>
      <c r="B45" s="6"/>
      <c r="C45" s="6"/>
      <c r="D45" s="6"/>
      <c r="E45" s="90"/>
      <c r="F45" s="90"/>
      <c r="G45" s="90"/>
      <c r="H45" s="90"/>
      <c r="I45" s="6"/>
      <c r="J45" s="6"/>
      <c r="K45" s="6"/>
      <c r="L45" s="6"/>
      <c r="M45" s="6"/>
      <c r="N45" s="6"/>
      <c r="O45" s="6"/>
      <c r="P45" s="6"/>
      <c r="Q45" s="6"/>
      <c r="R45" s="6"/>
      <c r="S45" s="6"/>
      <c r="T45" s="6"/>
      <c r="U45" s="90"/>
    </row>
    <row r="46" spans="1:21" ht="18" customHeight="1" x14ac:dyDescent="0.15">
      <c r="A46" s="150" t="s">
        <v>98</v>
      </c>
      <c r="B46" s="150"/>
      <c r="C46" s="150"/>
      <c r="D46" s="150"/>
      <c r="E46" s="150"/>
      <c r="F46" s="150"/>
      <c r="G46" s="150"/>
      <c r="H46" s="150"/>
      <c r="I46" s="150"/>
      <c r="J46" s="150"/>
      <c r="K46" s="150"/>
      <c r="L46" s="150"/>
      <c r="M46" s="150"/>
      <c r="N46" s="150"/>
      <c r="O46" s="150"/>
      <c r="P46" s="150"/>
      <c r="Q46" s="150"/>
      <c r="R46" s="150"/>
      <c r="S46" s="150"/>
      <c r="T46" s="150"/>
      <c r="U46" s="150"/>
    </row>
    <row r="47" spans="1:21" ht="18" customHeight="1" x14ac:dyDescent="0.15">
      <c r="A47" s="150"/>
      <c r="B47" s="150"/>
      <c r="C47" s="150"/>
      <c r="D47" s="150"/>
      <c r="E47" s="150"/>
      <c r="F47" s="150"/>
      <c r="G47" s="150"/>
      <c r="H47" s="150"/>
      <c r="I47" s="150"/>
      <c r="J47" s="150"/>
      <c r="K47" s="150"/>
      <c r="L47" s="150"/>
      <c r="M47" s="150"/>
      <c r="N47" s="150"/>
      <c r="O47" s="150"/>
      <c r="P47" s="150"/>
      <c r="Q47" s="150"/>
      <c r="R47" s="150"/>
      <c r="S47" s="150"/>
      <c r="T47" s="150"/>
      <c r="U47" s="150"/>
    </row>
    <row r="48" spans="1:21" ht="18" customHeight="1" x14ac:dyDescent="0.15">
      <c r="B48" s="120" t="s">
        <v>48</v>
      </c>
      <c r="C48" s="121"/>
      <c r="D48" s="121"/>
      <c r="E48" s="121"/>
      <c r="F48" s="122"/>
      <c r="G48" s="60" t="s">
        <v>73</v>
      </c>
      <c r="H48" s="61" t="s">
        <v>76</v>
      </c>
      <c r="I48" s="62" t="s">
        <v>66</v>
      </c>
      <c r="J48" s="62" t="s">
        <v>67</v>
      </c>
      <c r="K48" s="120" t="s">
        <v>48</v>
      </c>
      <c r="L48" s="121"/>
      <c r="M48" s="121"/>
      <c r="N48" s="121"/>
      <c r="O48" s="121"/>
      <c r="P48" s="121"/>
      <c r="Q48" s="122"/>
      <c r="R48" s="60" t="s">
        <v>73</v>
      </c>
      <c r="S48" s="61" t="s">
        <v>76</v>
      </c>
      <c r="T48" s="62" t="s">
        <v>66</v>
      </c>
      <c r="U48" s="62" t="s">
        <v>67</v>
      </c>
    </row>
    <row r="49" spans="1:21" ht="18" customHeight="1" x14ac:dyDescent="0.15">
      <c r="A49" s="90"/>
      <c r="B49" s="132" t="s">
        <v>146</v>
      </c>
      <c r="C49" s="133"/>
      <c r="D49" s="133"/>
      <c r="E49" s="133"/>
      <c r="F49" s="134"/>
      <c r="G49" s="83">
        <v>2</v>
      </c>
      <c r="H49" s="83" t="s">
        <v>147</v>
      </c>
      <c r="I49" s="83" t="s">
        <v>147</v>
      </c>
      <c r="J49" s="83" t="s">
        <v>147</v>
      </c>
      <c r="K49" s="153"/>
      <c r="L49" s="154"/>
      <c r="M49" s="154"/>
      <c r="N49" s="154"/>
      <c r="O49" s="154"/>
      <c r="P49" s="154"/>
      <c r="Q49" s="155"/>
      <c r="R49" s="63"/>
      <c r="S49" s="63"/>
      <c r="T49" s="63"/>
      <c r="U49" s="63"/>
    </row>
    <row r="50" spans="1:21" ht="18" customHeight="1" x14ac:dyDescent="0.15">
      <c r="A50" s="90"/>
      <c r="B50" s="123" t="s">
        <v>148</v>
      </c>
      <c r="C50" s="124"/>
      <c r="D50" s="124"/>
      <c r="E50" s="124"/>
      <c r="F50" s="125"/>
      <c r="G50" s="84">
        <v>2</v>
      </c>
      <c r="H50" s="84" t="s">
        <v>147</v>
      </c>
      <c r="I50" s="84" t="s">
        <v>147</v>
      </c>
      <c r="J50" s="84"/>
      <c r="K50" s="141"/>
      <c r="L50" s="142"/>
      <c r="M50" s="142"/>
      <c r="N50" s="142"/>
      <c r="O50" s="142"/>
      <c r="P50" s="142"/>
      <c r="Q50" s="143"/>
      <c r="R50" s="64"/>
      <c r="S50" s="64"/>
      <c r="T50" s="64"/>
      <c r="U50" s="64"/>
    </row>
    <row r="51" spans="1:21" ht="18" customHeight="1" x14ac:dyDescent="0.15">
      <c r="A51" s="90"/>
      <c r="B51" s="141"/>
      <c r="C51" s="142"/>
      <c r="D51" s="142"/>
      <c r="E51" s="142"/>
      <c r="F51" s="143"/>
      <c r="G51" s="64"/>
      <c r="H51" s="64"/>
      <c r="I51" s="64"/>
      <c r="J51" s="64"/>
      <c r="K51" s="141"/>
      <c r="L51" s="142"/>
      <c r="M51" s="142"/>
      <c r="N51" s="142"/>
      <c r="O51" s="142"/>
      <c r="P51" s="142"/>
      <c r="Q51" s="143"/>
      <c r="R51" s="64"/>
      <c r="S51" s="64"/>
      <c r="T51" s="64"/>
      <c r="U51" s="64"/>
    </row>
    <row r="52" spans="1:21" ht="18" customHeight="1" x14ac:dyDescent="0.15">
      <c r="A52" s="90"/>
      <c r="B52" s="141"/>
      <c r="C52" s="142"/>
      <c r="D52" s="142"/>
      <c r="E52" s="142"/>
      <c r="F52" s="143"/>
      <c r="G52" s="64"/>
      <c r="H52" s="64"/>
      <c r="I52" s="64"/>
      <c r="J52" s="64"/>
      <c r="K52" s="141"/>
      <c r="L52" s="142"/>
      <c r="M52" s="142"/>
      <c r="N52" s="142"/>
      <c r="O52" s="142"/>
      <c r="P52" s="142"/>
      <c r="Q52" s="143"/>
      <c r="R52" s="64"/>
      <c r="S52" s="64"/>
      <c r="T52" s="64"/>
      <c r="U52" s="64"/>
    </row>
    <row r="53" spans="1:21" ht="18" customHeight="1" x14ac:dyDescent="0.15">
      <c r="A53" s="90"/>
      <c r="B53" s="141"/>
      <c r="C53" s="142"/>
      <c r="D53" s="142"/>
      <c r="E53" s="142"/>
      <c r="F53" s="143"/>
      <c r="G53" s="64"/>
      <c r="H53" s="64"/>
      <c r="I53" s="64"/>
      <c r="J53" s="64"/>
      <c r="K53" s="141"/>
      <c r="L53" s="142"/>
      <c r="M53" s="142"/>
      <c r="N53" s="142"/>
      <c r="O53" s="142"/>
      <c r="P53" s="142"/>
      <c r="Q53" s="143"/>
      <c r="R53" s="64"/>
      <c r="S53" s="64"/>
      <c r="T53" s="64"/>
      <c r="U53" s="64"/>
    </row>
    <row r="54" spans="1:21" ht="18" customHeight="1" x14ac:dyDescent="0.15">
      <c r="A54" s="90"/>
      <c r="B54" s="141"/>
      <c r="C54" s="142"/>
      <c r="D54" s="142"/>
      <c r="E54" s="142"/>
      <c r="F54" s="143"/>
      <c r="G54" s="64"/>
      <c r="H54" s="64"/>
      <c r="I54" s="64"/>
      <c r="J54" s="64"/>
      <c r="K54" s="141"/>
      <c r="L54" s="142"/>
      <c r="M54" s="142"/>
      <c r="N54" s="142"/>
      <c r="O54" s="142"/>
      <c r="P54" s="142"/>
      <c r="Q54" s="143"/>
      <c r="R54" s="64"/>
      <c r="S54" s="64"/>
      <c r="T54" s="64"/>
      <c r="U54" s="64"/>
    </row>
    <row r="55" spans="1:21" ht="18" customHeight="1" x14ac:dyDescent="0.15">
      <c r="A55" s="90"/>
      <c r="B55" s="144"/>
      <c r="C55" s="145"/>
      <c r="D55" s="145"/>
      <c r="E55" s="145"/>
      <c r="F55" s="146"/>
      <c r="G55" s="65"/>
      <c r="H55" s="65"/>
      <c r="I55" s="66"/>
      <c r="J55" s="66"/>
      <c r="K55" s="144"/>
      <c r="L55" s="145"/>
      <c r="M55" s="145"/>
      <c r="N55" s="145"/>
      <c r="O55" s="145"/>
      <c r="P55" s="145"/>
      <c r="Q55" s="146"/>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50" t="s">
        <v>99</v>
      </c>
      <c r="B57" s="150"/>
      <c r="C57" s="150"/>
      <c r="D57" s="150"/>
      <c r="E57" s="150"/>
      <c r="F57" s="150"/>
      <c r="G57" s="150"/>
      <c r="H57" s="150"/>
      <c r="I57" s="150"/>
      <c r="J57" s="150"/>
      <c r="K57" s="150"/>
      <c r="L57" s="150"/>
      <c r="M57" s="150"/>
      <c r="N57" s="150"/>
      <c r="O57" s="150"/>
      <c r="P57" s="150"/>
      <c r="Q57" s="150"/>
      <c r="R57" s="150"/>
      <c r="S57" s="150"/>
      <c r="T57" s="150"/>
      <c r="U57" s="150"/>
    </row>
    <row r="58" spans="1:21" ht="18" customHeight="1" x14ac:dyDescent="0.15">
      <c r="A58" s="150"/>
      <c r="B58" s="150"/>
      <c r="C58" s="150"/>
      <c r="D58" s="150"/>
      <c r="E58" s="150"/>
      <c r="F58" s="150"/>
      <c r="G58" s="150"/>
      <c r="H58" s="150"/>
      <c r="I58" s="150"/>
      <c r="J58" s="150"/>
      <c r="K58" s="150"/>
      <c r="L58" s="150"/>
      <c r="M58" s="150"/>
      <c r="N58" s="150"/>
      <c r="O58" s="150"/>
      <c r="P58" s="150"/>
      <c r="Q58" s="150"/>
      <c r="R58" s="150"/>
      <c r="S58" s="150"/>
      <c r="T58" s="150"/>
      <c r="U58" s="150"/>
    </row>
    <row r="59" spans="1:21" ht="18" customHeight="1" x14ac:dyDescent="0.15">
      <c r="B59" s="120" t="s">
        <v>48</v>
      </c>
      <c r="C59" s="121"/>
      <c r="D59" s="121"/>
      <c r="E59" s="121"/>
      <c r="F59" s="122"/>
      <c r="G59" s="60" t="s">
        <v>73</v>
      </c>
      <c r="H59" s="61" t="s">
        <v>76</v>
      </c>
      <c r="I59" s="62" t="s">
        <v>53</v>
      </c>
      <c r="J59" s="62" t="s">
        <v>55</v>
      </c>
      <c r="K59" s="120" t="s">
        <v>48</v>
      </c>
      <c r="L59" s="121"/>
      <c r="M59" s="121"/>
      <c r="N59" s="121"/>
      <c r="O59" s="121"/>
      <c r="P59" s="121"/>
      <c r="Q59" s="122"/>
      <c r="R59" s="60" t="s">
        <v>73</v>
      </c>
      <c r="S59" s="61" t="s">
        <v>76</v>
      </c>
      <c r="T59" s="62" t="s">
        <v>53</v>
      </c>
      <c r="U59" s="62" t="s">
        <v>55</v>
      </c>
    </row>
    <row r="60" spans="1:21" ht="18" customHeight="1" x14ac:dyDescent="0.15">
      <c r="A60" s="90"/>
      <c r="B60" s="132" t="s">
        <v>146</v>
      </c>
      <c r="C60" s="133"/>
      <c r="D60" s="133"/>
      <c r="E60" s="133"/>
      <c r="F60" s="134"/>
      <c r="G60" s="83">
        <v>2</v>
      </c>
      <c r="H60" s="83" t="s">
        <v>147</v>
      </c>
      <c r="I60" s="83" t="s">
        <v>147</v>
      </c>
      <c r="J60" s="83" t="s">
        <v>147</v>
      </c>
      <c r="K60" s="153"/>
      <c r="L60" s="154"/>
      <c r="M60" s="154"/>
      <c r="N60" s="154"/>
      <c r="O60" s="154"/>
      <c r="P60" s="154"/>
      <c r="Q60" s="155"/>
      <c r="R60" s="63"/>
      <c r="S60" s="63"/>
      <c r="T60" s="63"/>
      <c r="U60" s="63"/>
    </row>
    <row r="61" spans="1:21" ht="18" customHeight="1" x14ac:dyDescent="0.15">
      <c r="A61" s="90"/>
      <c r="B61" s="141"/>
      <c r="C61" s="142"/>
      <c r="D61" s="142"/>
      <c r="E61" s="142"/>
      <c r="F61" s="143"/>
      <c r="G61" s="64"/>
      <c r="H61" s="64"/>
      <c r="I61" s="64"/>
      <c r="J61" s="64"/>
      <c r="K61" s="141"/>
      <c r="L61" s="142"/>
      <c r="M61" s="142"/>
      <c r="N61" s="142"/>
      <c r="O61" s="142"/>
      <c r="P61" s="142"/>
      <c r="Q61" s="143"/>
      <c r="R61" s="64"/>
      <c r="S61" s="64"/>
      <c r="T61" s="64"/>
      <c r="U61" s="64"/>
    </row>
    <row r="62" spans="1:21" ht="18" customHeight="1" x14ac:dyDescent="0.15">
      <c r="A62" s="90"/>
      <c r="B62" s="141"/>
      <c r="C62" s="142"/>
      <c r="D62" s="142"/>
      <c r="E62" s="142"/>
      <c r="F62" s="143"/>
      <c r="G62" s="64"/>
      <c r="H62" s="64"/>
      <c r="I62" s="64"/>
      <c r="J62" s="64"/>
      <c r="K62" s="141"/>
      <c r="L62" s="142"/>
      <c r="M62" s="142"/>
      <c r="N62" s="142"/>
      <c r="O62" s="142"/>
      <c r="P62" s="142"/>
      <c r="Q62" s="143"/>
      <c r="R62" s="64"/>
      <c r="S62" s="64"/>
      <c r="T62" s="64"/>
      <c r="U62" s="64"/>
    </row>
    <row r="63" spans="1:21" ht="18" customHeight="1" x14ac:dyDescent="0.15">
      <c r="A63" s="90"/>
      <c r="B63" s="141"/>
      <c r="C63" s="142"/>
      <c r="D63" s="142"/>
      <c r="E63" s="142"/>
      <c r="F63" s="143"/>
      <c r="G63" s="64"/>
      <c r="H63" s="64"/>
      <c r="I63" s="64"/>
      <c r="J63" s="64"/>
      <c r="K63" s="141"/>
      <c r="L63" s="142"/>
      <c r="M63" s="142"/>
      <c r="N63" s="142"/>
      <c r="O63" s="142"/>
      <c r="P63" s="142"/>
      <c r="Q63" s="143"/>
      <c r="R63" s="64"/>
      <c r="S63" s="64"/>
      <c r="T63" s="64"/>
      <c r="U63" s="64"/>
    </row>
    <row r="64" spans="1:21" ht="18" customHeight="1" x14ac:dyDescent="0.15">
      <c r="A64" s="90"/>
      <c r="B64" s="141"/>
      <c r="C64" s="142"/>
      <c r="D64" s="142"/>
      <c r="E64" s="142"/>
      <c r="F64" s="143"/>
      <c r="G64" s="64"/>
      <c r="H64" s="64"/>
      <c r="I64" s="64"/>
      <c r="J64" s="64"/>
      <c r="K64" s="141"/>
      <c r="L64" s="142"/>
      <c r="M64" s="142"/>
      <c r="N64" s="142"/>
      <c r="O64" s="142"/>
      <c r="P64" s="142"/>
      <c r="Q64" s="143"/>
      <c r="R64" s="64"/>
      <c r="S64" s="64"/>
      <c r="T64" s="64"/>
      <c r="U64" s="64"/>
    </row>
    <row r="65" spans="1:27" ht="18" customHeight="1" x14ac:dyDescent="0.15">
      <c r="A65" s="90"/>
      <c r="B65" s="141"/>
      <c r="C65" s="142"/>
      <c r="D65" s="142"/>
      <c r="E65" s="142"/>
      <c r="F65" s="143"/>
      <c r="G65" s="64"/>
      <c r="H65" s="64"/>
      <c r="I65" s="64"/>
      <c r="J65" s="64"/>
      <c r="K65" s="141"/>
      <c r="L65" s="142"/>
      <c r="M65" s="142"/>
      <c r="N65" s="142"/>
      <c r="O65" s="142"/>
      <c r="P65" s="142"/>
      <c r="Q65" s="143"/>
      <c r="R65" s="64"/>
      <c r="S65" s="64"/>
      <c r="T65" s="64"/>
      <c r="U65" s="64"/>
    </row>
    <row r="66" spans="1:27" ht="18" customHeight="1" x14ac:dyDescent="0.15">
      <c r="A66" s="90"/>
      <c r="B66" s="144"/>
      <c r="C66" s="145"/>
      <c r="D66" s="145"/>
      <c r="E66" s="145"/>
      <c r="F66" s="146"/>
      <c r="G66" s="65"/>
      <c r="H66" s="65"/>
      <c r="I66" s="66"/>
      <c r="J66" s="66"/>
      <c r="K66" s="144"/>
      <c r="L66" s="145"/>
      <c r="M66" s="145"/>
      <c r="N66" s="145"/>
      <c r="O66" s="145"/>
      <c r="P66" s="145"/>
      <c r="Q66" s="146"/>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50" t="s">
        <v>100</v>
      </c>
      <c r="B68" s="150"/>
      <c r="C68" s="150"/>
      <c r="D68" s="150"/>
      <c r="E68" s="150"/>
      <c r="F68" s="150"/>
      <c r="G68" s="150"/>
      <c r="H68" s="150"/>
      <c r="I68" s="150"/>
      <c r="J68" s="150"/>
      <c r="K68" s="150"/>
      <c r="L68" s="150"/>
      <c r="M68" s="150"/>
      <c r="N68" s="150"/>
      <c r="O68" s="150"/>
      <c r="P68" s="150"/>
      <c r="Q68" s="150"/>
      <c r="R68" s="150"/>
      <c r="S68" s="150"/>
      <c r="T68" s="150"/>
      <c r="U68" s="150"/>
    </row>
    <row r="69" spans="1:27" ht="18" customHeight="1" x14ac:dyDescent="0.15">
      <c r="A69" s="150"/>
      <c r="B69" s="150"/>
      <c r="C69" s="150"/>
      <c r="D69" s="150"/>
      <c r="E69" s="150"/>
      <c r="F69" s="150"/>
      <c r="G69" s="150"/>
      <c r="H69" s="150"/>
      <c r="I69" s="150"/>
      <c r="J69" s="150"/>
      <c r="K69" s="150"/>
      <c r="L69" s="150"/>
      <c r="M69" s="150"/>
      <c r="N69" s="150"/>
      <c r="O69" s="150"/>
      <c r="P69" s="150"/>
      <c r="Q69" s="150"/>
      <c r="R69" s="150"/>
      <c r="S69" s="150"/>
      <c r="T69" s="150"/>
      <c r="U69" s="150"/>
    </row>
    <row r="70" spans="1:27" ht="18" customHeight="1" x14ac:dyDescent="0.15">
      <c r="B70" s="120" t="s">
        <v>48</v>
      </c>
      <c r="C70" s="121"/>
      <c r="D70" s="121"/>
      <c r="E70" s="121"/>
      <c r="F70" s="60" t="s">
        <v>73</v>
      </c>
      <c r="G70" s="61" t="s">
        <v>76</v>
      </c>
      <c r="H70" s="62" t="s">
        <v>87</v>
      </c>
      <c r="I70" s="62" t="s">
        <v>68</v>
      </c>
      <c r="J70" s="62" t="s">
        <v>69</v>
      </c>
      <c r="K70" s="120" t="s">
        <v>48</v>
      </c>
      <c r="L70" s="121"/>
      <c r="M70" s="121"/>
      <c r="N70" s="121"/>
      <c r="O70" s="121"/>
      <c r="P70" s="122"/>
      <c r="Q70" s="60" t="s">
        <v>73</v>
      </c>
      <c r="R70" s="61" t="s">
        <v>76</v>
      </c>
      <c r="S70" s="62" t="s">
        <v>87</v>
      </c>
      <c r="T70" s="62" t="s">
        <v>68</v>
      </c>
      <c r="U70" s="62" t="s">
        <v>69</v>
      </c>
    </row>
    <row r="71" spans="1:27" ht="18" customHeight="1" x14ac:dyDescent="0.15">
      <c r="A71" s="90"/>
      <c r="B71" s="151" t="s">
        <v>146</v>
      </c>
      <c r="C71" s="152"/>
      <c r="D71" s="152"/>
      <c r="E71" s="152"/>
      <c r="F71" s="85">
        <v>2</v>
      </c>
      <c r="G71" s="85" t="s">
        <v>147</v>
      </c>
      <c r="H71" s="85" t="s">
        <v>147</v>
      </c>
      <c r="I71" s="85" t="s">
        <v>147</v>
      </c>
      <c r="J71" s="85" t="s">
        <v>147</v>
      </c>
      <c r="K71" s="153"/>
      <c r="L71" s="154"/>
      <c r="M71" s="154"/>
      <c r="N71" s="154"/>
      <c r="O71" s="154"/>
      <c r="P71" s="155"/>
      <c r="Q71" s="63"/>
      <c r="R71" s="63"/>
      <c r="S71" s="63"/>
      <c r="T71" s="63"/>
      <c r="U71" s="63"/>
    </row>
    <row r="72" spans="1:27" ht="18" customHeight="1" x14ac:dyDescent="0.15">
      <c r="A72" s="90"/>
      <c r="B72" s="156" t="s">
        <v>148</v>
      </c>
      <c r="C72" s="157"/>
      <c r="D72" s="157"/>
      <c r="E72" s="157"/>
      <c r="F72" s="86">
        <v>2</v>
      </c>
      <c r="G72" s="86" t="s">
        <v>147</v>
      </c>
      <c r="H72" s="86" t="s">
        <v>147</v>
      </c>
      <c r="I72" s="86" t="s">
        <v>147</v>
      </c>
      <c r="J72" s="87" t="s">
        <v>147</v>
      </c>
      <c r="K72" s="141"/>
      <c r="L72" s="142"/>
      <c r="M72" s="142"/>
      <c r="N72" s="142"/>
      <c r="O72" s="142"/>
      <c r="P72" s="143"/>
      <c r="Q72" s="64"/>
      <c r="R72" s="64"/>
      <c r="S72" s="64"/>
      <c r="T72" s="64"/>
      <c r="U72" s="64"/>
    </row>
    <row r="73" spans="1:27" ht="18" customHeight="1" x14ac:dyDescent="0.15">
      <c r="A73" s="90"/>
      <c r="B73" s="141"/>
      <c r="C73" s="142"/>
      <c r="D73" s="142"/>
      <c r="E73" s="142"/>
      <c r="F73" s="64"/>
      <c r="G73" s="64"/>
      <c r="H73" s="64"/>
      <c r="I73" s="64"/>
      <c r="J73" s="64"/>
      <c r="K73" s="141"/>
      <c r="L73" s="142"/>
      <c r="M73" s="142"/>
      <c r="N73" s="142"/>
      <c r="O73" s="142"/>
      <c r="P73" s="143"/>
      <c r="Q73" s="64"/>
      <c r="R73" s="64"/>
      <c r="S73" s="64"/>
      <c r="T73" s="64"/>
      <c r="U73" s="64"/>
    </row>
    <row r="74" spans="1:27" ht="18" customHeight="1" x14ac:dyDescent="0.15">
      <c r="A74" s="90"/>
      <c r="B74" s="141"/>
      <c r="C74" s="142"/>
      <c r="D74" s="142"/>
      <c r="E74" s="142"/>
      <c r="F74" s="64"/>
      <c r="G74" s="64"/>
      <c r="H74" s="64"/>
      <c r="I74" s="64"/>
      <c r="J74" s="64"/>
      <c r="K74" s="141"/>
      <c r="L74" s="142"/>
      <c r="M74" s="142"/>
      <c r="N74" s="142"/>
      <c r="O74" s="142"/>
      <c r="P74" s="143"/>
      <c r="Q74" s="64"/>
      <c r="R74" s="64"/>
      <c r="S74" s="64"/>
      <c r="T74" s="64"/>
      <c r="U74" s="64"/>
    </row>
    <row r="75" spans="1:27" ht="18" customHeight="1" x14ac:dyDescent="0.15">
      <c r="A75" s="90"/>
      <c r="B75" s="141"/>
      <c r="C75" s="142"/>
      <c r="D75" s="142"/>
      <c r="E75" s="142"/>
      <c r="F75" s="64"/>
      <c r="G75" s="64"/>
      <c r="H75" s="64"/>
      <c r="I75" s="64"/>
      <c r="J75" s="64"/>
      <c r="K75" s="141"/>
      <c r="L75" s="142"/>
      <c r="M75" s="142"/>
      <c r="N75" s="142"/>
      <c r="O75" s="142"/>
      <c r="P75" s="143"/>
      <c r="Q75" s="64"/>
      <c r="R75" s="64"/>
      <c r="S75" s="64"/>
      <c r="T75" s="64"/>
      <c r="U75" s="64"/>
    </row>
    <row r="76" spans="1:27" ht="18" customHeight="1" x14ac:dyDescent="0.15">
      <c r="A76" s="90"/>
      <c r="B76" s="141"/>
      <c r="C76" s="142"/>
      <c r="D76" s="142"/>
      <c r="E76" s="142"/>
      <c r="F76" s="64"/>
      <c r="G76" s="64"/>
      <c r="H76" s="64"/>
      <c r="I76" s="64"/>
      <c r="J76" s="64"/>
      <c r="K76" s="141"/>
      <c r="L76" s="142"/>
      <c r="M76" s="142"/>
      <c r="N76" s="142"/>
      <c r="O76" s="142"/>
      <c r="P76" s="143"/>
      <c r="Q76" s="64"/>
      <c r="R76" s="64"/>
      <c r="S76" s="64"/>
      <c r="T76" s="64"/>
      <c r="U76" s="64"/>
    </row>
    <row r="77" spans="1:27" ht="18" customHeight="1" x14ac:dyDescent="0.15">
      <c r="A77" s="90"/>
      <c r="B77" s="144"/>
      <c r="C77" s="145"/>
      <c r="D77" s="145"/>
      <c r="E77" s="145"/>
      <c r="F77" s="65"/>
      <c r="G77" s="65"/>
      <c r="H77" s="66"/>
      <c r="I77" s="66"/>
      <c r="J77" s="66"/>
      <c r="K77" s="144"/>
      <c r="L77" s="145"/>
      <c r="M77" s="145"/>
      <c r="N77" s="145"/>
      <c r="O77" s="145"/>
      <c r="P77" s="146"/>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91" t="s">
        <v>101</v>
      </c>
      <c r="I79" s="90"/>
      <c r="J79" s="90"/>
      <c r="K79" s="90"/>
      <c r="L79" s="90"/>
      <c r="M79" s="90"/>
      <c r="N79" s="90"/>
      <c r="O79" s="90"/>
      <c r="P79" s="90"/>
      <c r="Q79" s="90"/>
      <c r="R79" s="90"/>
      <c r="S79" s="90"/>
      <c r="T79" s="90"/>
      <c r="U79" s="90"/>
    </row>
    <row r="80" spans="1:27" ht="18" customHeight="1" x14ac:dyDescent="0.15">
      <c r="B80" s="120" t="s">
        <v>48</v>
      </c>
      <c r="C80" s="121"/>
      <c r="D80" s="121"/>
      <c r="E80" s="121"/>
      <c r="F80" s="122"/>
      <c r="G80" s="120" t="s">
        <v>74</v>
      </c>
      <c r="H80" s="121"/>
      <c r="I80" s="121"/>
      <c r="J80" s="122"/>
      <c r="K80" s="147" t="s">
        <v>48</v>
      </c>
      <c r="L80" s="148"/>
      <c r="M80" s="148"/>
      <c r="N80" s="148"/>
      <c r="O80" s="148"/>
      <c r="P80" s="148"/>
      <c r="Q80" s="149"/>
      <c r="R80" s="120" t="s">
        <v>74</v>
      </c>
      <c r="S80" s="121"/>
      <c r="T80" s="121"/>
      <c r="U80" s="122"/>
      <c r="AA80" s="91" t="s">
        <v>138</v>
      </c>
    </row>
    <row r="81" spans="1:27" ht="18" customHeight="1" x14ac:dyDescent="0.15">
      <c r="A81" s="90"/>
      <c r="B81" s="132" t="s">
        <v>146</v>
      </c>
      <c r="C81" s="133"/>
      <c r="D81" s="133"/>
      <c r="E81" s="133"/>
      <c r="F81" s="134"/>
      <c r="G81" s="135" t="s">
        <v>149</v>
      </c>
      <c r="H81" s="136"/>
      <c r="I81" s="136"/>
      <c r="J81" s="137"/>
      <c r="K81" s="132" t="s">
        <v>148</v>
      </c>
      <c r="L81" s="133"/>
      <c r="M81" s="133"/>
      <c r="N81" s="133"/>
      <c r="O81" s="133"/>
      <c r="P81" s="133"/>
      <c r="Q81" s="134"/>
      <c r="R81" s="138" t="s">
        <v>150</v>
      </c>
      <c r="S81" s="139"/>
      <c r="T81" s="139"/>
      <c r="U81" s="140"/>
      <c r="AA81" s="91" t="s">
        <v>131</v>
      </c>
    </row>
    <row r="82" spans="1:27" ht="18" customHeight="1" x14ac:dyDescent="0.15">
      <c r="A82" s="90"/>
      <c r="B82" s="123" t="s">
        <v>151</v>
      </c>
      <c r="C82" s="124"/>
      <c r="D82" s="124"/>
      <c r="E82" s="124"/>
      <c r="F82" s="125"/>
      <c r="G82" s="126" t="s">
        <v>152</v>
      </c>
      <c r="H82" s="127"/>
      <c r="I82" s="127"/>
      <c r="J82" s="128"/>
      <c r="K82" s="123"/>
      <c r="L82" s="124"/>
      <c r="M82" s="124"/>
      <c r="N82" s="124"/>
      <c r="O82" s="124"/>
      <c r="P82" s="124"/>
      <c r="Q82" s="125"/>
      <c r="R82" s="129"/>
      <c r="S82" s="130"/>
      <c r="T82" s="130"/>
      <c r="U82" s="131"/>
      <c r="AA82" s="91" t="s">
        <v>132</v>
      </c>
    </row>
    <row r="83" spans="1:27" ht="18" customHeight="1" x14ac:dyDescent="0.15">
      <c r="A83" s="90"/>
      <c r="B83" s="123" t="s">
        <v>153</v>
      </c>
      <c r="C83" s="124"/>
      <c r="D83" s="124"/>
      <c r="E83" s="124"/>
      <c r="F83" s="125"/>
      <c r="G83" s="126" t="s">
        <v>149</v>
      </c>
      <c r="H83" s="127"/>
      <c r="I83" s="127"/>
      <c r="J83" s="128"/>
      <c r="K83" s="123"/>
      <c r="L83" s="124"/>
      <c r="M83" s="124"/>
      <c r="N83" s="124"/>
      <c r="O83" s="124"/>
      <c r="P83" s="124"/>
      <c r="Q83" s="125"/>
      <c r="R83" s="129"/>
      <c r="S83" s="130"/>
      <c r="T83" s="130"/>
      <c r="U83" s="131"/>
      <c r="AA83" s="91" t="s">
        <v>133</v>
      </c>
    </row>
    <row r="84" spans="1:27" ht="18" customHeight="1" x14ac:dyDescent="0.15">
      <c r="A84" s="90"/>
      <c r="B84" s="123" t="s">
        <v>153</v>
      </c>
      <c r="C84" s="124"/>
      <c r="D84" s="124"/>
      <c r="E84" s="124"/>
      <c r="F84" s="125"/>
      <c r="G84" s="126" t="s">
        <v>154</v>
      </c>
      <c r="H84" s="127"/>
      <c r="I84" s="127"/>
      <c r="J84" s="128"/>
      <c r="K84" s="123"/>
      <c r="L84" s="124"/>
      <c r="M84" s="124"/>
      <c r="N84" s="124"/>
      <c r="O84" s="124"/>
      <c r="P84" s="124"/>
      <c r="Q84" s="125"/>
      <c r="R84" s="129"/>
      <c r="S84" s="130"/>
      <c r="T84" s="130"/>
      <c r="U84" s="131"/>
      <c r="AA84" s="91" t="s">
        <v>139</v>
      </c>
    </row>
    <row r="85" spans="1:27" ht="18" customHeight="1" x14ac:dyDescent="0.15">
      <c r="A85" s="90"/>
      <c r="B85" s="123" t="s">
        <v>153</v>
      </c>
      <c r="C85" s="124"/>
      <c r="D85" s="124"/>
      <c r="E85" s="124"/>
      <c r="F85" s="125"/>
      <c r="G85" s="126" t="s">
        <v>155</v>
      </c>
      <c r="H85" s="127"/>
      <c r="I85" s="127"/>
      <c r="J85" s="128"/>
      <c r="K85" s="123"/>
      <c r="L85" s="124"/>
      <c r="M85" s="124"/>
      <c r="N85" s="124"/>
      <c r="O85" s="124"/>
      <c r="P85" s="124"/>
      <c r="Q85" s="125"/>
      <c r="R85" s="129"/>
      <c r="S85" s="130"/>
      <c r="T85" s="130"/>
      <c r="U85" s="131"/>
      <c r="AA85" s="91" t="s">
        <v>140</v>
      </c>
    </row>
    <row r="86" spans="1:27" ht="18" customHeight="1" x14ac:dyDescent="0.15">
      <c r="A86" s="90"/>
      <c r="B86" s="123" t="s">
        <v>153</v>
      </c>
      <c r="C86" s="124"/>
      <c r="D86" s="124"/>
      <c r="E86" s="124"/>
      <c r="F86" s="125"/>
      <c r="G86" s="126" t="s">
        <v>139</v>
      </c>
      <c r="H86" s="127"/>
      <c r="I86" s="127"/>
      <c r="J86" s="128"/>
      <c r="K86" s="123"/>
      <c r="L86" s="124"/>
      <c r="M86" s="124"/>
      <c r="N86" s="124"/>
      <c r="O86" s="124"/>
      <c r="P86" s="124"/>
      <c r="Q86" s="125"/>
      <c r="R86" s="129"/>
      <c r="S86" s="130"/>
      <c r="T86" s="130"/>
      <c r="U86" s="131"/>
      <c r="AA86" s="91" t="s">
        <v>134</v>
      </c>
    </row>
    <row r="87" spans="1:27" ht="18" customHeight="1" x14ac:dyDescent="0.15">
      <c r="A87" s="90"/>
      <c r="B87" s="109" t="s">
        <v>153</v>
      </c>
      <c r="C87" s="110"/>
      <c r="D87" s="110"/>
      <c r="E87" s="110"/>
      <c r="F87" s="111"/>
      <c r="G87" s="112" t="s">
        <v>140</v>
      </c>
      <c r="H87" s="113"/>
      <c r="I87" s="113"/>
      <c r="J87" s="114"/>
      <c r="K87" s="109"/>
      <c r="L87" s="110"/>
      <c r="M87" s="110"/>
      <c r="N87" s="110"/>
      <c r="O87" s="110"/>
      <c r="P87" s="110"/>
      <c r="Q87" s="111"/>
      <c r="R87" s="115"/>
      <c r="S87" s="116"/>
      <c r="T87" s="116"/>
      <c r="U87" s="117"/>
      <c r="AA87" s="91" t="s">
        <v>135</v>
      </c>
    </row>
    <row r="88" spans="1:27" ht="18" customHeight="1" x14ac:dyDescent="0.15">
      <c r="A88" s="90"/>
      <c r="B88" s="6"/>
      <c r="C88" s="6"/>
      <c r="D88" s="6"/>
      <c r="E88" s="6"/>
      <c r="F88" s="6"/>
      <c r="G88" s="67"/>
      <c r="H88" s="67"/>
      <c r="I88" s="67"/>
      <c r="J88" s="67"/>
      <c r="K88" s="6"/>
      <c r="L88" s="6"/>
      <c r="M88" s="6"/>
      <c r="N88" s="6"/>
      <c r="O88" s="6"/>
      <c r="P88" s="6"/>
      <c r="Q88" s="6"/>
      <c r="R88" s="67"/>
      <c r="S88" s="67"/>
      <c r="T88" s="67"/>
      <c r="U88" s="67"/>
      <c r="AA88" s="91" t="s">
        <v>136</v>
      </c>
    </row>
    <row r="89" spans="1:27" ht="18.75" customHeight="1" x14ac:dyDescent="0.15">
      <c r="A89" s="91" t="s">
        <v>102</v>
      </c>
      <c r="AA89" s="91" t="s">
        <v>137</v>
      </c>
    </row>
    <row r="90" spans="1:27" ht="18.75" customHeight="1" x14ac:dyDescent="0.15">
      <c r="B90" s="118" t="s">
        <v>49</v>
      </c>
      <c r="C90" s="119"/>
      <c r="D90" s="120" t="s">
        <v>50</v>
      </c>
      <c r="E90" s="121"/>
      <c r="F90" s="121"/>
      <c r="G90" s="121"/>
      <c r="H90" s="121"/>
      <c r="I90" s="121"/>
      <c r="J90" s="121"/>
      <c r="K90" s="121"/>
      <c r="L90" s="121"/>
      <c r="M90" s="121"/>
      <c r="N90" s="121"/>
      <c r="O90" s="121"/>
      <c r="P90" s="121"/>
      <c r="Q90" s="121"/>
      <c r="R90" s="121"/>
      <c r="S90" s="121"/>
      <c r="T90" s="121"/>
      <c r="U90" s="122"/>
    </row>
    <row r="91" spans="1:27" ht="97.5" customHeight="1" x14ac:dyDescent="0.15">
      <c r="B91" s="94" t="s">
        <v>56</v>
      </c>
      <c r="C91" s="68" t="s">
        <v>51</v>
      </c>
      <c r="D91" s="97" t="s">
        <v>166</v>
      </c>
      <c r="E91" s="98"/>
      <c r="F91" s="98"/>
      <c r="G91" s="98"/>
      <c r="H91" s="98"/>
      <c r="I91" s="98"/>
      <c r="J91" s="98"/>
      <c r="K91" s="98"/>
      <c r="L91" s="98"/>
      <c r="M91" s="98"/>
      <c r="N91" s="98"/>
      <c r="O91" s="98"/>
      <c r="P91" s="98"/>
      <c r="Q91" s="98"/>
      <c r="R91" s="98"/>
      <c r="S91" s="98"/>
      <c r="T91" s="98"/>
      <c r="U91" s="99"/>
    </row>
    <row r="92" spans="1:27" ht="97.5" customHeight="1" x14ac:dyDescent="0.15">
      <c r="B92" s="95"/>
      <c r="C92" s="69" t="s">
        <v>70</v>
      </c>
      <c r="D92" s="97" t="s">
        <v>197</v>
      </c>
      <c r="E92" s="98"/>
      <c r="F92" s="98"/>
      <c r="G92" s="98"/>
      <c r="H92" s="98"/>
      <c r="I92" s="98"/>
      <c r="J92" s="98"/>
      <c r="K92" s="98"/>
      <c r="L92" s="98"/>
      <c r="M92" s="98"/>
      <c r="N92" s="98"/>
      <c r="O92" s="98"/>
      <c r="P92" s="98"/>
      <c r="Q92" s="98"/>
      <c r="R92" s="98"/>
      <c r="S92" s="98"/>
      <c r="T92" s="98"/>
      <c r="U92" s="99"/>
      <c r="V92" s="88"/>
    </row>
    <row r="93" spans="1:27" ht="97.5" customHeight="1" x14ac:dyDescent="0.15">
      <c r="B93" s="94" t="s">
        <v>57</v>
      </c>
      <c r="C93" s="70" t="s">
        <v>64</v>
      </c>
      <c r="D93" s="97" t="s">
        <v>180</v>
      </c>
      <c r="E93" s="98"/>
      <c r="F93" s="98"/>
      <c r="G93" s="98"/>
      <c r="H93" s="98"/>
      <c r="I93" s="98"/>
      <c r="J93" s="98"/>
      <c r="K93" s="98"/>
      <c r="L93" s="98"/>
      <c r="M93" s="98"/>
      <c r="N93" s="98"/>
      <c r="O93" s="98"/>
      <c r="P93" s="98"/>
      <c r="Q93" s="98"/>
      <c r="R93" s="98"/>
      <c r="S93" s="98"/>
      <c r="T93" s="98"/>
      <c r="U93" s="99"/>
      <c r="V93" s="88"/>
    </row>
    <row r="94" spans="1:27" ht="97.5" customHeight="1" x14ac:dyDescent="0.15">
      <c r="B94" s="96"/>
      <c r="C94" s="71" t="s">
        <v>65</v>
      </c>
      <c r="D94" s="97" t="s">
        <v>198</v>
      </c>
      <c r="E94" s="98"/>
      <c r="F94" s="98"/>
      <c r="G94" s="98"/>
      <c r="H94" s="98"/>
      <c r="I94" s="98"/>
      <c r="J94" s="98"/>
      <c r="K94" s="98"/>
      <c r="L94" s="98"/>
      <c r="M94" s="98"/>
      <c r="N94" s="98"/>
      <c r="O94" s="98"/>
      <c r="P94" s="98"/>
      <c r="Q94" s="98"/>
      <c r="R94" s="98"/>
      <c r="S94" s="98"/>
      <c r="T94" s="98"/>
      <c r="U94" s="99"/>
    </row>
    <row r="95" spans="1:27" ht="97.5" customHeight="1" x14ac:dyDescent="0.15">
      <c r="B95" s="94" t="s">
        <v>58</v>
      </c>
      <c r="C95" s="70" t="s">
        <v>66</v>
      </c>
      <c r="D95" s="97" t="s">
        <v>167</v>
      </c>
      <c r="E95" s="98"/>
      <c r="F95" s="98"/>
      <c r="G95" s="98"/>
      <c r="H95" s="98"/>
      <c r="I95" s="98"/>
      <c r="J95" s="98"/>
      <c r="K95" s="98"/>
      <c r="L95" s="98"/>
      <c r="M95" s="98"/>
      <c r="N95" s="98"/>
      <c r="O95" s="98"/>
      <c r="P95" s="98"/>
      <c r="Q95" s="98"/>
      <c r="R95" s="98"/>
      <c r="S95" s="98"/>
      <c r="T95" s="98"/>
      <c r="U95" s="99"/>
    </row>
    <row r="96" spans="1:27" ht="97.5" customHeight="1" x14ac:dyDescent="0.15">
      <c r="B96" s="96"/>
      <c r="C96" s="72" t="s">
        <v>67</v>
      </c>
      <c r="D96" s="103" t="s">
        <v>168</v>
      </c>
      <c r="E96" s="104"/>
      <c r="F96" s="104"/>
      <c r="G96" s="104"/>
      <c r="H96" s="104"/>
      <c r="I96" s="104"/>
      <c r="J96" s="104"/>
      <c r="K96" s="104"/>
      <c r="L96" s="104"/>
      <c r="M96" s="104"/>
      <c r="N96" s="104"/>
      <c r="O96" s="104"/>
      <c r="P96" s="104"/>
      <c r="Q96" s="104"/>
      <c r="R96" s="104"/>
      <c r="S96" s="104"/>
      <c r="T96" s="104"/>
      <c r="U96" s="105"/>
    </row>
    <row r="97" spans="1:21" ht="111" customHeight="1" x14ac:dyDescent="0.15">
      <c r="B97" s="94" t="s">
        <v>71</v>
      </c>
      <c r="C97" s="68" t="s">
        <v>53</v>
      </c>
      <c r="D97" s="97" t="s">
        <v>186</v>
      </c>
      <c r="E97" s="98"/>
      <c r="F97" s="98"/>
      <c r="G97" s="98"/>
      <c r="H97" s="98"/>
      <c r="I97" s="98"/>
      <c r="J97" s="98"/>
      <c r="K97" s="98"/>
      <c r="L97" s="98"/>
      <c r="M97" s="98"/>
      <c r="N97" s="98"/>
      <c r="O97" s="98"/>
      <c r="P97" s="98"/>
      <c r="Q97" s="98"/>
      <c r="R97" s="98"/>
      <c r="S97" s="98"/>
      <c r="T97" s="98"/>
      <c r="U97" s="99"/>
    </row>
    <row r="98" spans="1:21" ht="97.5" customHeight="1" x14ac:dyDescent="0.15">
      <c r="B98" s="96"/>
      <c r="C98" s="71" t="s">
        <v>55</v>
      </c>
      <c r="D98" s="103" t="s">
        <v>169</v>
      </c>
      <c r="E98" s="104"/>
      <c r="F98" s="104"/>
      <c r="G98" s="104"/>
      <c r="H98" s="104"/>
      <c r="I98" s="104"/>
      <c r="J98" s="104"/>
      <c r="K98" s="104"/>
      <c r="L98" s="104"/>
      <c r="M98" s="104"/>
      <c r="N98" s="104"/>
      <c r="O98" s="104"/>
      <c r="P98" s="104"/>
      <c r="Q98" s="104"/>
      <c r="R98" s="104"/>
      <c r="S98" s="104"/>
      <c r="T98" s="104"/>
      <c r="U98" s="105"/>
    </row>
    <row r="99" spans="1:21" ht="152.25" customHeight="1" x14ac:dyDescent="0.15">
      <c r="B99" s="94" t="s">
        <v>72</v>
      </c>
      <c r="C99" s="70" t="s">
        <v>52</v>
      </c>
      <c r="D99" s="97" t="s">
        <v>170</v>
      </c>
      <c r="E99" s="98"/>
      <c r="F99" s="98"/>
      <c r="G99" s="98"/>
      <c r="H99" s="98"/>
      <c r="I99" s="98"/>
      <c r="J99" s="98"/>
      <c r="K99" s="98"/>
      <c r="L99" s="98"/>
      <c r="M99" s="98"/>
      <c r="N99" s="98"/>
      <c r="O99" s="98"/>
      <c r="P99" s="98"/>
      <c r="Q99" s="98"/>
      <c r="R99" s="98"/>
      <c r="S99" s="98"/>
      <c r="T99" s="98"/>
      <c r="U99" s="99"/>
    </row>
    <row r="100" spans="1:21" ht="97.5" customHeight="1" x14ac:dyDescent="0.15">
      <c r="B100" s="95"/>
      <c r="C100" s="73" t="s">
        <v>68</v>
      </c>
      <c r="D100" s="100" t="s">
        <v>181</v>
      </c>
      <c r="E100" s="101"/>
      <c r="F100" s="101"/>
      <c r="G100" s="101"/>
      <c r="H100" s="101"/>
      <c r="I100" s="101"/>
      <c r="J100" s="101"/>
      <c r="K100" s="101"/>
      <c r="L100" s="101"/>
      <c r="M100" s="101"/>
      <c r="N100" s="101"/>
      <c r="O100" s="101"/>
      <c r="P100" s="101"/>
      <c r="Q100" s="101"/>
      <c r="R100" s="101"/>
      <c r="S100" s="101"/>
      <c r="T100" s="101"/>
      <c r="U100" s="102"/>
    </row>
    <row r="101" spans="1:21" ht="97.5" customHeight="1" x14ac:dyDescent="0.15">
      <c r="B101" s="96"/>
      <c r="C101" s="72" t="s">
        <v>69</v>
      </c>
      <c r="D101" s="103" t="s">
        <v>182</v>
      </c>
      <c r="E101" s="104"/>
      <c r="F101" s="104"/>
      <c r="G101" s="104"/>
      <c r="H101" s="104"/>
      <c r="I101" s="104"/>
      <c r="J101" s="104"/>
      <c r="K101" s="104"/>
      <c r="L101" s="104"/>
      <c r="M101" s="104"/>
      <c r="N101" s="104"/>
      <c r="O101" s="104"/>
      <c r="P101" s="104"/>
      <c r="Q101" s="104"/>
      <c r="R101" s="104"/>
      <c r="S101" s="104"/>
      <c r="T101" s="104"/>
      <c r="U101" s="105"/>
    </row>
    <row r="102" spans="1:21" ht="6" customHeight="1" x14ac:dyDescent="0.15"/>
    <row r="103" spans="1:21" ht="18.75" customHeight="1" x14ac:dyDescent="0.15">
      <c r="A103" s="91" t="s">
        <v>103</v>
      </c>
    </row>
    <row r="104" spans="1:21" ht="129" customHeight="1" x14ac:dyDescent="0.15">
      <c r="B104" s="106" t="s">
        <v>199</v>
      </c>
      <c r="C104" s="107"/>
      <c r="D104" s="107"/>
      <c r="E104" s="107"/>
      <c r="F104" s="107"/>
      <c r="G104" s="107"/>
      <c r="H104" s="107"/>
      <c r="I104" s="107"/>
      <c r="J104" s="107"/>
      <c r="K104" s="107"/>
      <c r="L104" s="107"/>
      <c r="M104" s="107"/>
      <c r="N104" s="107"/>
      <c r="O104" s="107"/>
      <c r="P104" s="107"/>
      <c r="Q104" s="107"/>
      <c r="R104" s="107"/>
      <c r="S104" s="107"/>
      <c r="T104" s="107"/>
      <c r="U104" s="108"/>
    </row>
    <row r="107" spans="1:21" ht="18" customHeight="1" x14ac:dyDescent="0.15"/>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G81:J87 R81:U81">
      <formula1>$AA$80:$AA$89</formula1>
    </dataValidation>
    <dataValidation type="list" allowBlank="1" showInputMessage="1" showErrorMessage="1" sqref="N22:U22">
      <formula1>$X$16:$X$18</formula1>
    </dataValidation>
    <dataValidation type="list" allowBlank="1" showInputMessage="1" showErrorMessage="1" sqref="G88:J88 R88:U88 R82:R87 S85:U87 S82: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U34 U45 E34:H34 E45:H45">
      <formula1>"全学開講,一部開講"</formula1>
    </dataValidation>
    <dataValidation type="list" allowBlank="1" showInputMessage="1" showErrorMessage="1" sqref="R71:U77 S27:U33 H60:J66 S38:U44 H27:J33 S49:U55 H38:J44 S60:U66 H49:J55 G71:J77">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zoomScaleNormal="100" zoomScaleSheetLayoutView="100" workbookViewId="0">
      <selection activeCell="U9" sqref="U9"/>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92</v>
      </c>
    </row>
    <row r="2" spans="1:21" ht="18" customHeight="1" x14ac:dyDescent="0.15">
      <c r="A2" s="54"/>
      <c r="B2" s="54"/>
      <c r="C2" s="54"/>
      <c r="D2" s="54"/>
      <c r="E2" s="54"/>
      <c r="F2" s="54"/>
      <c r="G2" s="54"/>
      <c r="H2" s="54"/>
      <c r="I2" s="54"/>
      <c r="J2" s="54"/>
      <c r="K2" s="54"/>
      <c r="L2" s="54"/>
      <c r="M2" s="54"/>
      <c r="N2" s="54"/>
      <c r="O2" s="54"/>
      <c r="P2" s="54"/>
      <c r="Q2" s="188" t="str">
        <f>'様式１　プログラムを構成する授業科目 '!C2</f>
        <v>神戸市外国語大学</v>
      </c>
      <c r="R2" s="188"/>
      <c r="S2" s="188"/>
    </row>
    <row r="3" spans="1:21" ht="18" customHeight="1" x14ac:dyDescent="0.15">
      <c r="A3" s="177" t="s">
        <v>142</v>
      </c>
      <c r="B3" s="177"/>
      <c r="C3" s="177"/>
      <c r="D3" s="177"/>
      <c r="E3" s="177"/>
      <c r="F3" s="177"/>
      <c r="G3" s="177"/>
      <c r="H3" s="177"/>
      <c r="I3" s="177"/>
      <c r="J3" s="177"/>
      <c r="K3" s="177"/>
      <c r="L3" s="177"/>
      <c r="M3" s="177"/>
      <c r="N3" s="177"/>
      <c r="O3" s="177"/>
      <c r="P3" s="177"/>
      <c r="Q3" s="177"/>
      <c r="R3" s="177"/>
      <c r="S3" s="177"/>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75</v>
      </c>
      <c r="B5" s="54"/>
      <c r="C5" s="189" t="s">
        <v>156</v>
      </c>
      <c r="D5" s="190"/>
      <c r="E5" s="58" t="s">
        <v>125</v>
      </c>
      <c r="F5" s="56"/>
      <c r="G5" s="56"/>
      <c r="H5" s="56"/>
      <c r="I5" s="56"/>
      <c r="J5" s="56"/>
      <c r="K5" s="56"/>
      <c r="L5" s="56"/>
      <c r="M5" s="56"/>
      <c r="N5" s="56"/>
      <c r="O5" s="56"/>
      <c r="P5" s="56"/>
      <c r="Q5" s="56"/>
      <c r="R5" s="55"/>
      <c r="S5" s="55"/>
    </row>
    <row r="6" spans="1:21" ht="7.15" customHeight="1" x14ac:dyDescent="0.15">
      <c r="A6" s="54"/>
      <c r="B6" s="54"/>
      <c r="C6" s="77"/>
      <c r="D6" s="77"/>
      <c r="E6" s="56"/>
      <c r="F6" s="56"/>
      <c r="G6" s="56"/>
      <c r="H6" s="56"/>
      <c r="I6" s="56"/>
      <c r="J6" s="56"/>
      <c r="K6" s="56"/>
      <c r="L6" s="56"/>
      <c r="M6" s="56"/>
      <c r="N6" s="56"/>
      <c r="O6" s="56"/>
      <c r="P6" s="56"/>
      <c r="Q6" s="56"/>
      <c r="R6" s="55"/>
      <c r="S6" s="55"/>
    </row>
    <row r="7" spans="1:21" ht="18" customHeight="1" x14ac:dyDescent="0.15">
      <c r="A7" s="54" t="s">
        <v>109</v>
      </c>
      <c r="B7" s="54"/>
      <c r="C7" s="77"/>
      <c r="D7" s="77"/>
      <c r="E7" s="56" t="s">
        <v>110</v>
      </c>
      <c r="F7" s="59">
        <v>670</v>
      </c>
      <c r="G7" s="58" t="s">
        <v>111</v>
      </c>
      <c r="H7" s="56" t="s">
        <v>112</v>
      </c>
      <c r="I7" s="59">
        <v>1416</v>
      </c>
      <c r="J7" s="58" t="s">
        <v>111</v>
      </c>
      <c r="K7" s="57" t="s">
        <v>113</v>
      </c>
      <c r="L7" s="56" t="s">
        <v>114</v>
      </c>
      <c r="M7" s="59">
        <f>F7+I7</f>
        <v>2086</v>
      </c>
      <c r="N7" s="56" t="s">
        <v>1</v>
      </c>
      <c r="O7" s="58" t="s">
        <v>115</v>
      </c>
      <c r="P7" s="56"/>
      <c r="Q7" s="56"/>
      <c r="R7" s="55"/>
      <c r="S7" s="55"/>
    </row>
    <row r="8" spans="1:21" ht="17.45" customHeight="1" x14ac:dyDescent="0.15">
      <c r="A8" s="56"/>
      <c r="B8" s="78" t="s">
        <v>128</v>
      </c>
      <c r="C8" s="56"/>
      <c r="D8" s="56"/>
      <c r="E8" s="56"/>
      <c r="F8" s="56"/>
      <c r="G8" s="56"/>
      <c r="H8" s="56"/>
      <c r="I8" s="56"/>
      <c r="J8" s="56"/>
      <c r="K8" s="56"/>
      <c r="L8" s="56"/>
      <c r="M8" s="56"/>
      <c r="N8" s="56"/>
      <c r="O8" s="56"/>
      <c r="P8" s="56"/>
      <c r="Q8" s="56"/>
      <c r="R8" s="56"/>
      <c r="S8" s="56"/>
    </row>
    <row r="9" spans="1:21" ht="18" customHeight="1" x14ac:dyDescent="0.15">
      <c r="A9" s="54" t="s">
        <v>120</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91" t="s">
        <v>43</v>
      </c>
      <c r="C11" s="201" t="s">
        <v>78</v>
      </c>
      <c r="D11" s="193" t="s">
        <v>45</v>
      </c>
      <c r="E11" s="195" t="s">
        <v>38</v>
      </c>
      <c r="F11" s="187" t="s">
        <v>126</v>
      </c>
      <c r="G11" s="187"/>
      <c r="H11" s="187" t="s">
        <v>106</v>
      </c>
      <c r="I11" s="187"/>
      <c r="J11" s="187" t="s">
        <v>77</v>
      </c>
      <c r="K11" s="187"/>
      <c r="L11" s="187" t="s">
        <v>46</v>
      </c>
      <c r="M11" s="187"/>
      <c r="N11" s="187" t="s">
        <v>47</v>
      </c>
      <c r="O11" s="187"/>
      <c r="P11" s="187" t="s">
        <v>127</v>
      </c>
      <c r="Q11" s="187"/>
      <c r="R11" s="197" t="s">
        <v>35</v>
      </c>
      <c r="S11" s="199" t="s">
        <v>32</v>
      </c>
      <c r="U11" s="2"/>
    </row>
    <row r="12" spans="1:21" ht="16.899999999999999" customHeight="1" x14ac:dyDescent="0.15">
      <c r="B12" s="192"/>
      <c r="C12" s="202"/>
      <c r="D12" s="194"/>
      <c r="E12" s="196"/>
      <c r="F12" s="79" t="s">
        <v>86</v>
      </c>
      <c r="G12" s="79" t="s">
        <v>29</v>
      </c>
      <c r="H12" s="79" t="s">
        <v>86</v>
      </c>
      <c r="I12" s="79" t="s">
        <v>29</v>
      </c>
      <c r="J12" s="79" t="s">
        <v>86</v>
      </c>
      <c r="K12" s="79" t="s">
        <v>29</v>
      </c>
      <c r="L12" s="79" t="s">
        <v>86</v>
      </c>
      <c r="M12" s="79" t="s">
        <v>29</v>
      </c>
      <c r="N12" s="79" t="s">
        <v>86</v>
      </c>
      <c r="O12" s="79" t="s">
        <v>29</v>
      </c>
      <c r="P12" s="79" t="s">
        <v>86</v>
      </c>
      <c r="Q12" s="80" t="s">
        <v>29</v>
      </c>
      <c r="R12" s="198"/>
      <c r="S12" s="200"/>
      <c r="U12" s="2"/>
    </row>
    <row r="13" spans="1:21" ht="18" customHeight="1" x14ac:dyDescent="0.15">
      <c r="A13" s="6"/>
      <c r="B13" s="48" t="s">
        <v>157</v>
      </c>
      <c r="C13" s="36">
        <v>691</v>
      </c>
      <c r="D13" s="37">
        <v>140</v>
      </c>
      <c r="E13" s="38">
        <v>560</v>
      </c>
      <c r="F13" s="38">
        <v>143</v>
      </c>
      <c r="G13" s="38">
        <v>127</v>
      </c>
      <c r="H13" s="38"/>
      <c r="I13" s="38"/>
      <c r="J13" s="38"/>
      <c r="K13" s="38"/>
      <c r="L13" s="38"/>
      <c r="M13" s="38"/>
      <c r="N13" s="38"/>
      <c r="O13" s="38"/>
      <c r="P13" s="38"/>
      <c r="Q13" s="49"/>
      <c r="R13" s="37">
        <f t="shared" ref="R13:R32" si="0">F13+H13+J13+L13+N13+P13</f>
        <v>143</v>
      </c>
      <c r="S13" s="50">
        <f t="shared" ref="S13:S33" si="1">R13/E13</f>
        <v>0.25535714285714284</v>
      </c>
    </row>
    <row r="14" spans="1:21" ht="18" customHeight="1" x14ac:dyDescent="0.15">
      <c r="A14" s="6"/>
      <c r="B14" s="11" t="s">
        <v>158</v>
      </c>
      <c r="C14" s="39">
        <v>183</v>
      </c>
      <c r="D14" s="40">
        <v>40</v>
      </c>
      <c r="E14" s="41">
        <v>160</v>
      </c>
      <c r="F14" s="42">
        <v>45</v>
      </c>
      <c r="G14" s="42">
        <v>34</v>
      </c>
      <c r="H14" s="42"/>
      <c r="I14" s="42"/>
      <c r="J14" s="42"/>
      <c r="K14" s="42"/>
      <c r="L14" s="42"/>
      <c r="M14" s="42"/>
      <c r="N14" s="42"/>
      <c r="O14" s="42"/>
      <c r="P14" s="42"/>
      <c r="Q14" s="39"/>
      <c r="R14" s="40">
        <f t="shared" si="0"/>
        <v>45</v>
      </c>
      <c r="S14" s="16">
        <f t="shared" si="1"/>
        <v>0.28125</v>
      </c>
    </row>
    <row r="15" spans="1:21" ht="18" customHeight="1" x14ac:dyDescent="0.15">
      <c r="A15" s="6"/>
      <c r="B15" s="11" t="s">
        <v>159</v>
      </c>
      <c r="C15" s="39">
        <v>239</v>
      </c>
      <c r="D15" s="40">
        <v>50</v>
      </c>
      <c r="E15" s="41">
        <v>200</v>
      </c>
      <c r="F15" s="42">
        <v>49</v>
      </c>
      <c r="G15" s="42">
        <v>39</v>
      </c>
      <c r="H15" s="42"/>
      <c r="I15" s="42"/>
      <c r="J15" s="42"/>
      <c r="K15" s="42"/>
      <c r="L15" s="42"/>
      <c r="M15" s="42"/>
      <c r="N15" s="42"/>
      <c r="O15" s="42"/>
      <c r="P15" s="42"/>
      <c r="Q15" s="39"/>
      <c r="R15" s="40">
        <f t="shared" si="0"/>
        <v>49</v>
      </c>
      <c r="S15" s="8">
        <f t="shared" si="1"/>
        <v>0.245</v>
      </c>
    </row>
    <row r="16" spans="1:21" ht="18" customHeight="1" x14ac:dyDescent="0.15">
      <c r="A16" s="6"/>
      <c r="B16" s="11" t="s">
        <v>160</v>
      </c>
      <c r="C16" s="39">
        <v>196</v>
      </c>
      <c r="D16" s="40">
        <v>40</v>
      </c>
      <c r="E16" s="41">
        <v>160</v>
      </c>
      <c r="F16" s="42">
        <v>43</v>
      </c>
      <c r="G16" s="42">
        <v>34</v>
      </c>
      <c r="H16" s="42"/>
      <c r="I16" s="42"/>
      <c r="J16" s="42"/>
      <c r="K16" s="42"/>
      <c r="L16" s="42"/>
      <c r="M16" s="42"/>
      <c r="N16" s="42"/>
      <c r="O16" s="42"/>
      <c r="P16" s="42"/>
      <c r="Q16" s="39"/>
      <c r="R16" s="40">
        <f t="shared" si="0"/>
        <v>43</v>
      </c>
      <c r="S16" s="8">
        <f t="shared" si="1"/>
        <v>0.26874999999999999</v>
      </c>
    </row>
    <row r="17" spans="1:19" ht="18" customHeight="1" x14ac:dyDescent="0.15">
      <c r="A17" s="6"/>
      <c r="B17" s="11" t="s">
        <v>161</v>
      </c>
      <c r="C17" s="39">
        <v>392</v>
      </c>
      <c r="D17" s="40">
        <v>80</v>
      </c>
      <c r="E17" s="41">
        <v>320</v>
      </c>
      <c r="F17" s="42">
        <v>85</v>
      </c>
      <c r="G17" s="42">
        <v>75</v>
      </c>
      <c r="H17" s="42"/>
      <c r="I17" s="42"/>
      <c r="J17" s="42"/>
      <c r="K17" s="42"/>
      <c r="L17" s="42"/>
      <c r="M17" s="42"/>
      <c r="N17" s="42"/>
      <c r="O17" s="42"/>
      <c r="P17" s="42"/>
      <c r="Q17" s="39"/>
      <c r="R17" s="40">
        <f t="shared" si="0"/>
        <v>85</v>
      </c>
      <c r="S17" s="8">
        <f t="shared" si="1"/>
        <v>0.265625</v>
      </c>
    </row>
    <row r="18" spans="1:19" ht="18" customHeight="1" x14ac:dyDescent="0.15">
      <c r="A18" s="6"/>
      <c r="B18" s="11" t="s">
        <v>162</v>
      </c>
      <c r="C18" s="39">
        <v>385</v>
      </c>
      <c r="D18" s="40">
        <v>80</v>
      </c>
      <c r="E18" s="41">
        <v>320</v>
      </c>
      <c r="F18" s="42">
        <v>86</v>
      </c>
      <c r="G18" s="42">
        <v>72</v>
      </c>
      <c r="H18" s="42"/>
      <c r="I18" s="42"/>
      <c r="J18" s="42"/>
      <c r="K18" s="42"/>
      <c r="L18" s="42"/>
      <c r="M18" s="42"/>
      <c r="N18" s="42"/>
      <c r="O18" s="42"/>
      <c r="P18" s="42"/>
      <c r="Q18" s="39"/>
      <c r="R18" s="40">
        <f t="shared" si="0"/>
        <v>86</v>
      </c>
      <c r="S18" s="8">
        <f t="shared" si="1"/>
        <v>0.26874999999999999</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2086</v>
      </c>
      <c r="D33" s="46">
        <f t="shared" ref="D33:R33" si="3">SUM(D13:D32)</f>
        <v>430</v>
      </c>
      <c r="E33" s="47">
        <f t="shared" si="3"/>
        <v>1720</v>
      </c>
      <c r="F33" s="47">
        <f t="shared" si="3"/>
        <v>451</v>
      </c>
      <c r="G33" s="47">
        <f t="shared" ref="G33:H33" si="4">SUM(G13:G32)</f>
        <v>381</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451</v>
      </c>
      <c r="S33" s="9">
        <f t="shared" si="1"/>
        <v>0.26220930232558137</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6:D7">
    <cfRule type="cellIs" priority="2" operator="equal">
      <formula>0</formula>
    </cfRule>
  </conditionalFormatting>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opLeftCell="A61" zoomScaleNormal="100" zoomScaleSheetLayoutView="100" workbookViewId="0">
      <selection activeCell="H2" sqref="H2:I2"/>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120" t="str">
        <f>'様式１　プログラムを構成する授業科目 '!C2</f>
        <v>神戸市外国語大学</v>
      </c>
      <c r="I2" s="122"/>
    </row>
    <row r="3" spans="1:9" ht="18.75" customHeight="1" x14ac:dyDescent="0.15">
      <c r="G3" s="18"/>
      <c r="H3" s="10"/>
      <c r="I3" s="10"/>
    </row>
    <row r="4" spans="1:9" ht="18.600000000000001" customHeight="1" x14ac:dyDescent="0.15">
      <c r="A4" s="177" t="s">
        <v>36</v>
      </c>
      <c r="B4" s="177"/>
      <c r="C4" s="177"/>
      <c r="D4" s="177"/>
      <c r="E4" s="177"/>
      <c r="F4" s="177"/>
      <c r="G4" s="177"/>
      <c r="H4" s="177"/>
      <c r="I4" s="177"/>
    </row>
    <row r="5" spans="1:9" ht="13.15" customHeight="1" x14ac:dyDescent="0.15">
      <c r="B5" s="3"/>
      <c r="C5" s="3"/>
      <c r="D5" s="3"/>
      <c r="E5" s="3"/>
      <c r="F5" s="3"/>
      <c r="G5" s="3"/>
      <c r="H5" s="3"/>
      <c r="I5" s="3"/>
    </row>
    <row r="6" spans="1:9" ht="18" customHeight="1" x14ac:dyDescent="0.15">
      <c r="A6" s="1" t="s">
        <v>0</v>
      </c>
      <c r="B6" s="10" t="s">
        <v>81</v>
      </c>
      <c r="C6" s="254" t="s">
        <v>82</v>
      </c>
      <c r="D6" s="254"/>
      <c r="E6" s="17">
        <v>76</v>
      </c>
      <c r="F6" s="3" t="s">
        <v>1</v>
      </c>
      <c r="G6" s="3" t="s">
        <v>2</v>
      </c>
      <c r="H6" s="17">
        <v>231</v>
      </c>
      <c r="I6" s="10" t="s">
        <v>1</v>
      </c>
    </row>
    <row r="7" spans="1:9" ht="12" customHeight="1" x14ac:dyDescent="0.15">
      <c r="C7" s="2"/>
      <c r="D7" s="2"/>
      <c r="E7" s="2"/>
      <c r="F7" s="2"/>
      <c r="G7" s="2"/>
      <c r="H7" s="2"/>
      <c r="I7" s="21"/>
    </row>
    <row r="8" spans="1:9" ht="18" customHeight="1" x14ac:dyDescent="0.15">
      <c r="A8" s="1" t="s">
        <v>3</v>
      </c>
      <c r="B8" s="10" t="s">
        <v>83</v>
      </c>
      <c r="E8" s="3"/>
      <c r="F8" s="3"/>
      <c r="G8" s="3"/>
      <c r="H8" s="17">
        <v>8</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247" t="s">
        <v>163</v>
      </c>
      <c r="D11" s="250"/>
      <c r="E11" s="251"/>
      <c r="F11" s="21"/>
      <c r="G11" s="18" t="s">
        <v>10</v>
      </c>
      <c r="H11" s="252" t="s">
        <v>192</v>
      </c>
      <c r="I11" s="253"/>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47" t="s">
        <v>184</v>
      </c>
      <c r="C14" s="248"/>
      <c r="D14" s="248"/>
      <c r="E14" s="248"/>
      <c r="F14" s="248"/>
      <c r="G14" s="248"/>
      <c r="H14" s="248"/>
      <c r="I14" s="249"/>
    </row>
    <row r="15" spans="1:9" ht="9" customHeight="1" x14ac:dyDescent="0.15">
      <c r="B15" s="3"/>
      <c r="C15" s="3"/>
      <c r="D15" s="3"/>
      <c r="E15" s="3"/>
      <c r="F15" s="3"/>
      <c r="G15" s="3"/>
      <c r="H15" s="3"/>
      <c r="I15" s="3"/>
    </row>
    <row r="16" spans="1:9" ht="18" customHeight="1" x14ac:dyDescent="0.15">
      <c r="B16" s="18" t="s">
        <v>41</v>
      </c>
      <c r="C16" s="247" t="s">
        <v>164</v>
      </c>
      <c r="D16" s="250"/>
      <c r="E16" s="251"/>
      <c r="F16" s="21"/>
      <c r="G16" s="18" t="s">
        <v>10</v>
      </c>
      <c r="H16" s="252" t="s">
        <v>193</v>
      </c>
      <c r="I16" s="253"/>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33" t="s">
        <v>183</v>
      </c>
      <c r="C19" s="234"/>
      <c r="D19" s="234"/>
      <c r="E19" s="234"/>
      <c r="F19" s="234"/>
      <c r="G19" s="234"/>
      <c r="H19" s="234"/>
      <c r="I19" s="235"/>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36" t="s">
        <v>165</v>
      </c>
      <c r="C22" s="237"/>
      <c r="D22" s="237"/>
      <c r="E22" s="237"/>
      <c r="F22" s="237"/>
      <c r="G22" s="237"/>
      <c r="H22" s="237"/>
      <c r="I22" s="238"/>
    </row>
    <row r="23" spans="1:9" ht="18.75" customHeight="1" x14ac:dyDescent="0.15">
      <c r="A23" s="14"/>
      <c r="B23" s="239"/>
      <c r="C23" s="240"/>
      <c r="D23" s="240"/>
      <c r="E23" s="240"/>
      <c r="F23" s="240"/>
      <c r="G23" s="240"/>
      <c r="H23" s="240"/>
      <c r="I23" s="241"/>
    </row>
    <row r="24" spans="1:9" ht="18.75" customHeight="1" x14ac:dyDescent="0.15">
      <c r="A24" s="14"/>
      <c r="B24" s="239"/>
      <c r="C24" s="240"/>
      <c r="D24" s="240"/>
      <c r="E24" s="240"/>
      <c r="F24" s="240"/>
      <c r="G24" s="240"/>
      <c r="H24" s="240"/>
      <c r="I24" s="241"/>
    </row>
    <row r="25" spans="1:9" ht="18.75" customHeight="1" x14ac:dyDescent="0.15">
      <c r="A25" s="14"/>
      <c r="B25" s="239"/>
      <c r="C25" s="240"/>
      <c r="D25" s="240"/>
      <c r="E25" s="240"/>
      <c r="F25" s="240"/>
      <c r="G25" s="240"/>
      <c r="H25" s="240"/>
      <c r="I25" s="241"/>
    </row>
    <row r="26" spans="1:9" ht="18.75" customHeight="1" x14ac:dyDescent="0.15">
      <c r="A26" s="14"/>
      <c r="B26" s="239"/>
      <c r="C26" s="240"/>
      <c r="D26" s="240"/>
      <c r="E26" s="240"/>
      <c r="F26" s="240"/>
      <c r="G26" s="240"/>
      <c r="H26" s="240"/>
      <c r="I26" s="241"/>
    </row>
    <row r="27" spans="1:9" ht="18.75" customHeight="1" x14ac:dyDescent="0.15">
      <c r="A27" s="14"/>
      <c r="B27" s="239"/>
      <c r="C27" s="240"/>
      <c r="D27" s="240"/>
      <c r="E27" s="240"/>
      <c r="F27" s="240"/>
      <c r="G27" s="240"/>
      <c r="H27" s="240"/>
      <c r="I27" s="241"/>
    </row>
    <row r="28" spans="1:9" ht="18.75" customHeight="1" x14ac:dyDescent="0.15">
      <c r="A28" s="14"/>
      <c r="B28" s="239"/>
      <c r="C28" s="240"/>
      <c r="D28" s="240"/>
      <c r="E28" s="240"/>
      <c r="F28" s="240"/>
      <c r="G28" s="240"/>
      <c r="H28" s="240"/>
      <c r="I28" s="241"/>
    </row>
    <row r="29" spans="1:9" ht="18.75" customHeight="1" x14ac:dyDescent="0.15">
      <c r="A29" s="14"/>
      <c r="B29" s="239"/>
      <c r="C29" s="240"/>
      <c r="D29" s="240"/>
      <c r="E29" s="240"/>
      <c r="F29" s="240"/>
      <c r="G29" s="240"/>
      <c r="H29" s="240"/>
      <c r="I29" s="241"/>
    </row>
    <row r="30" spans="1:9" ht="18.75" customHeight="1" x14ac:dyDescent="0.15">
      <c r="A30" s="14"/>
      <c r="B30" s="242"/>
      <c r="C30" s="243"/>
      <c r="D30" s="243"/>
      <c r="E30" s="243"/>
      <c r="F30" s="243"/>
      <c r="G30" s="243"/>
      <c r="H30" s="243"/>
      <c r="I30" s="241"/>
    </row>
    <row r="31" spans="1:9" ht="18.75" customHeight="1" x14ac:dyDescent="0.15">
      <c r="A31" s="14"/>
      <c r="B31" s="242"/>
      <c r="C31" s="243"/>
      <c r="D31" s="243"/>
      <c r="E31" s="243"/>
      <c r="F31" s="243"/>
      <c r="G31" s="243"/>
      <c r="H31" s="243"/>
      <c r="I31" s="241"/>
    </row>
    <row r="32" spans="1:9" ht="18.75" customHeight="1" x14ac:dyDescent="0.15">
      <c r="A32" s="14"/>
      <c r="B32" s="244"/>
      <c r="C32" s="245"/>
      <c r="D32" s="245"/>
      <c r="E32" s="245"/>
      <c r="F32" s="245"/>
      <c r="G32" s="245"/>
      <c r="H32" s="245"/>
      <c r="I32" s="246"/>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36" t="s">
        <v>172</v>
      </c>
      <c r="C35" s="237"/>
      <c r="D35" s="237"/>
      <c r="E35" s="237"/>
      <c r="F35" s="237"/>
      <c r="G35" s="237"/>
      <c r="H35" s="237"/>
      <c r="I35" s="238"/>
    </row>
    <row r="36" spans="1:9" ht="18.75" customHeight="1" x14ac:dyDescent="0.15">
      <c r="A36" s="14"/>
      <c r="B36" s="242"/>
      <c r="C36" s="243"/>
      <c r="D36" s="243"/>
      <c r="E36" s="243"/>
      <c r="F36" s="243"/>
      <c r="G36" s="243"/>
      <c r="H36" s="243"/>
      <c r="I36" s="241"/>
    </row>
    <row r="37" spans="1:9" ht="18.75" customHeight="1" x14ac:dyDescent="0.15">
      <c r="A37" s="14"/>
      <c r="B37" s="242"/>
      <c r="C37" s="243"/>
      <c r="D37" s="243"/>
      <c r="E37" s="243"/>
      <c r="F37" s="243"/>
      <c r="G37" s="243"/>
      <c r="H37" s="243"/>
      <c r="I37" s="241"/>
    </row>
    <row r="38" spans="1:9" ht="18.75" customHeight="1" x14ac:dyDescent="0.15">
      <c r="A38" s="14"/>
      <c r="B38" s="242"/>
      <c r="C38" s="243"/>
      <c r="D38" s="243"/>
      <c r="E38" s="243"/>
      <c r="F38" s="243"/>
      <c r="G38" s="243"/>
      <c r="H38" s="243"/>
      <c r="I38" s="241"/>
    </row>
    <row r="39" spans="1:9" ht="18.75" customHeight="1" x14ac:dyDescent="0.15">
      <c r="A39" s="14"/>
      <c r="B39" s="242"/>
      <c r="C39" s="243"/>
      <c r="D39" s="243"/>
      <c r="E39" s="243"/>
      <c r="F39" s="243"/>
      <c r="G39" s="243"/>
      <c r="H39" s="243"/>
      <c r="I39" s="241"/>
    </row>
    <row r="40" spans="1:9" ht="18.75" customHeight="1" x14ac:dyDescent="0.15">
      <c r="A40" s="14"/>
      <c r="B40" s="242"/>
      <c r="C40" s="243"/>
      <c r="D40" s="243"/>
      <c r="E40" s="243"/>
      <c r="F40" s="243"/>
      <c r="G40" s="243"/>
      <c r="H40" s="243"/>
      <c r="I40" s="241"/>
    </row>
    <row r="41" spans="1:9" ht="18.75" customHeight="1" x14ac:dyDescent="0.15">
      <c r="A41" s="14"/>
      <c r="B41" s="242"/>
      <c r="C41" s="243"/>
      <c r="D41" s="243"/>
      <c r="E41" s="243"/>
      <c r="F41" s="243"/>
      <c r="G41" s="243"/>
      <c r="H41" s="243"/>
      <c r="I41" s="241"/>
    </row>
    <row r="42" spans="1:9" ht="18.75" customHeight="1" x14ac:dyDescent="0.15">
      <c r="A42" s="14"/>
      <c r="B42" s="242"/>
      <c r="C42" s="243"/>
      <c r="D42" s="243"/>
      <c r="E42" s="243"/>
      <c r="F42" s="243"/>
      <c r="G42" s="243"/>
      <c r="H42" s="243"/>
      <c r="I42" s="241"/>
    </row>
    <row r="43" spans="1:9" ht="18.75" customHeight="1" x14ac:dyDescent="0.15">
      <c r="A43" s="14"/>
      <c r="B43" s="242"/>
      <c r="C43" s="243"/>
      <c r="D43" s="243"/>
      <c r="E43" s="243"/>
      <c r="F43" s="243"/>
      <c r="G43" s="243"/>
      <c r="H43" s="243"/>
      <c r="I43" s="241"/>
    </row>
    <row r="44" spans="1:9" ht="18.75" customHeight="1" x14ac:dyDescent="0.15">
      <c r="A44" s="14"/>
      <c r="B44" s="242"/>
      <c r="C44" s="243"/>
      <c r="D44" s="243"/>
      <c r="E44" s="243"/>
      <c r="F44" s="243"/>
      <c r="G44" s="243"/>
      <c r="H44" s="243"/>
      <c r="I44" s="241"/>
    </row>
    <row r="45" spans="1:9" ht="18.75" customHeight="1" x14ac:dyDescent="0.15">
      <c r="A45" s="14"/>
      <c r="B45" s="242"/>
      <c r="C45" s="243"/>
      <c r="D45" s="243"/>
      <c r="E45" s="243"/>
      <c r="F45" s="243"/>
      <c r="G45" s="243"/>
      <c r="H45" s="243"/>
      <c r="I45" s="241"/>
    </row>
    <row r="46" spans="1:9" ht="18.75" customHeight="1" x14ac:dyDescent="0.15">
      <c r="A46" s="14"/>
      <c r="B46" s="244"/>
      <c r="C46" s="245"/>
      <c r="D46" s="245"/>
      <c r="E46" s="245"/>
      <c r="F46" s="245"/>
      <c r="G46" s="245"/>
      <c r="H46" s="245"/>
      <c r="I46" s="246"/>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81" t="s">
        <v>129</v>
      </c>
      <c r="C49" s="222">
        <f>'様式２ 履修者等数の実績'!S33</f>
        <v>0.26220930232558137</v>
      </c>
      <c r="D49" s="222"/>
      <c r="E49" s="81" t="s">
        <v>60</v>
      </c>
      <c r="F49" s="222">
        <v>0.5</v>
      </c>
      <c r="G49" s="222"/>
      <c r="H49" s="81" t="s">
        <v>80</v>
      </c>
      <c r="I49" s="22">
        <v>0.75</v>
      </c>
      <c r="J49" s="1"/>
      <c r="M49" s="1"/>
      <c r="N49" s="23"/>
    </row>
    <row r="50" spans="1:15" s="3" customFormat="1" ht="18.75" customHeight="1" x14ac:dyDescent="0.15">
      <c r="B50" s="82" t="s">
        <v>116</v>
      </c>
      <c r="C50" s="203">
        <v>0.95</v>
      </c>
      <c r="D50" s="203"/>
      <c r="E50" s="82" t="s">
        <v>130</v>
      </c>
      <c r="F50" s="203">
        <v>0.96</v>
      </c>
      <c r="G50" s="203"/>
      <c r="H50" s="82" t="s">
        <v>61</v>
      </c>
      <c r="I50" s="24">
        <f>'様式２ 履修者等数の実績'!E33</f>
        <v>1720</v>
      </c>
      <c r="J50" s="1"/>
      <c r="M50" s="1"/>
      <c r="N50" s="23"/>
    </row>
    <row r="51" spans="1:15" ht="18.75" customHeight="1" x14ac:dyDescent="0.15">
      <c r="A51" s="1"/>
      <c r="B51" s="256" t="s">
        <v>62</v>
      </c>
      <c r="C51" s="257"/>
      <c r="D51" s="257"/>
      <c r="E51" s="257"/>
      <c r="F51" s="257"/>
      <c r="G51" s="257"/>
      <c r="H51" s="257"/>
      <c r="I51" s="258"/>
      <c r="N51" s="23"/>
      <c r="O51" s="3"/>
    </row>
    <row r="52" spans="1:15" ht="18.75" customHeight="1" x14ac:dyDescent="0.15">
      <c r="A52" s="1"/>
      <c r="B52" s="223" t="s">
        <v>196</v>
      </c>
      <c r="C52" s="224"/>
      <c r="D52" s="224"/>
      <c r="E52" s="224"/>
      <c r="F52" s="224"/>
      <c r="G52" s="224"/>
      <c r="H52" s="224"/>
      <c r="I52" s="225"/>
      <c r="N52" s="23"/>
      <c r="O52" s="3"/>
    </row>
    <row r="53" spans="1:15" ht="18.75" customHeight="1" x14ac:dyDescent="0.15">
      <c r="A53" s="1"/>
      <c r="B53" s="226"/>
      <c r="C53" s="227"/>
      <c r="D53" s="227"/>
      <c r="E53" s="227"/>
      <c r="F53" s="227"/>
      <c r="G53" s="227"/>
      <c r="H53" s="227"/>
      <c r="I53" s="228"/>
      <c r="N53" s="23"/>
      <c r="O53" s="3"/>
    </row>
    <row r="54" spans="1:15" ht="18.75" customHeight="1" x14ac:dyDescent="0.15">
      <c r="A54" s="1"/>
      <c r="B54" s="226"/>
      <c r="C54" s="227"/>
      <c r="D54" s="227"/>
      <c r="E54" s="227"/>
      <c r="F54" s="227"/>
      <c r="G54" s="227"/>
      <c r="H54" s="227"/>
      <c r="I54" s="228"/>
    </row>
    <row r="55" spans="1:15" ht="18.75" customHeight="1" x14ac:dyDescent="0.15">
      <c r="A55" s="1"/>
      <c r="B55" s="226"/>
      <c r="C55" s="227"/>
      <c r="D55" s="227"/>
      <c r="E55" s="227"/>
      <c r="F55" s="227"/>
      <c r="G55" s="227"/>
      <c r="H55" s="227"/>
      <c r="I55" s="228"/>
    </row>
    <row r="56" spans="1:15" ht="18.75" customHeight="1" x14ac:dyDescent="0.15">
      <c r="A56" s="1"/>
      <c r="B56" s="226"/>
      <c r="C56" s="227"/>
      <c r="D56" s="227"/>
      <c r="E56" s="227"/>
      <c r="F56" s="227"/>
      <c r="G56" s="227"/>
      <c r="H56" s="227"/>
      <c r="I56" s="228"/>
    </row>
    <row r="57" spans="1:15" ht="18.75" customHeight="1" x14ac:dyDescent="0.15">
      <c r="A57" s="1"/>
      <c r="B57" s="226"/>
      <c r="C57" s="227"/>
      <c r="D57" s="227"/>
      <c r="E57" s="227"/>
      <c r="F57" s="227"/>
      <c r="G57" s="227"/>
      <c r="H57" s="227"/>
      <c r="I57" s="228"/>
    </row>
    <row r="58" spans="1:15" ht="18.75" customHeight="1" x14ac:dyDescent="0.15">
      <c r="A58" s="1"/>
      <c r="B58" s="226"/>
      <c r="C58" s="227"/>
      <c r="D58" s="227"/>
      <c r="E58" s="227"/>
      <c r="F58" s="227"/>
      <c r="G58" s="227"/>
      <c r="H58" s="227"/>
      <c r="I58" s="228"/>
    </row>
    <row r="59" spans="1:15" ht="18.75" customHeight="1" x14ac:dyDescent="0.15">
      <c r="A59" s="1"/>
      <c r="B59" s="226"/>
      <c r="C59" s="227"/>
      <c r="D59" s="227"/>
      <c r="E59" s="227"/>
      <c r="F59" s="227"/>
      <c r="G59" s="227"/>
      <c r="H59" s="227"/>
      <c r="I59" s="228"/>
    </row>
    <row r="60" spans="1:15" ht="18.75" customHeight="1" x14ac:dyDescent="0.15">
      <c r="A60" s="1"/>
      <c r="B60" s="226"/>
      <c r="C60" s="227"/>
      <c r="D60" s="227"/>
      <c r="E60" s="227"/>
      <c r="F60" s="227"/>
      <c r="G60" s="227"/>
      <c r="H60" s="227"/>
      <c r="I60" s="228"/>
    </row>
    <row r="61" spans="1:15" ht="18.75" customHeight="1" x14ac:dyDescent="0.15">
      <c r="A61" s="1"/>
      <c r="B61" s="226"/>
      <c r="C61" s="227"/>
      <c r="D61" s="227"/>
      <c r="E61" s="227"/>
      <c r="F61" s="227"/>
      <c r="G61" s="227"/>
      <c r="H61" s="227"/>
      <c r="I61" s="228"/>
    </row>
    <row r="62" spans="1:15" ht="18.75" customHeight="1" x14ac:dyDescent="0.15">
      <c r="A62" s="1"/>
      <c r="B62" s="226"/>
      <c r="C62" s="227"/>
      <c r="D62" s="227"/>
      <c r="E62" s="227"/>
      <c r="F62" s="227"/>
      <c r="G62" s="227"/>
      <c r="H62" s="227"/>
      <c r="I62" s="228"/>
    </row>
    <row r="63" spans="1:15" ht="18.75" customHeight="1" x14ac:dyDescent="0.15">
      <c r="A63" s="1"/>
      <c r="B63" s="229"/>
      <c r="C63" s="230"/>
      <c r="D63" s="230"/>
      <c r="E63" s="230"/>
      <c r="F63" s="230"/>
      <c r="G63" s="230"/>
      <c r="H63" s="230"/>
      <c r="I63" s="231"/>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04" t="s">
        <v>173</v>
      </c>
      <c r="C66" s="205"/>
      <c r="D66" s="205"/>
      <c r="E66" s="205"/>
      <c r="F66" s="205"/>
      <c r="G66" s="205"/>
      <c r="H66" s="205"/>
      <c r="I66" s="206"/>
    </row>
    <row r="67" spans="1:9" ht="18.75" customHeight="1" x14ac:dyDescent="0.15">
      <c r="A67" s="4"/>
      <c r="B67" s="207"/>
      <c r="C67" s="208"/>
      <c r="D67" s="208"/>
      <c r="E67" s="208"/>
      <c r="F67" s="208"/>
      <c r="G67" s="208"/>
      <c r="H67" s="208"/>
      <c r="I67" s="209"/>
    </row>
    <row r="68" spans="1:9" ht="18.75" customHeight="1" x14ac:dyDescent="0.15">
      <c r="A68" s="4"/>
      <c r="B68" s="207"/>
      <c r="C68" s="208"/>
      <c r="D68" s="208"/>
      <c r="E68" s="208"/>
      <c r="F68" s="208"/>
      <c r="G68" s="208"/>
      <c r="H68" s="208"/>
      <c r="I68" s="209"/>
    </row>
    <row r="69" spans="1:9" ht="18.75" customHeight="1" x14ac:dyDescent="0.15">
      <c r="A69" s="4"/>
      <c r="B69" s="207"/>
      <c r="C69" s="208"/>
      <c r="D69" s="208"/>
      <c r="E69" s="208"/>
      <c r="F69" s="208"/>
      <c r="G69" s="208"/>
      <c r="H69" s="208"/>
      <c r="I69" s="209"/>
    </row>
    <row r="70" spans="1:9" ht="18.75" customHeight="1" x14ac:dyDescent="0.15">
      <c r="A70" s="4"/>
      <c r="B70" s="207"/>
      <c r="C70" s="208"/>
      <c r="D70" s="208"/>
      <c r="E70" s="208"/>
      <c r="F70" s="208"/>
      <c r="G70" s="208"/>
      <c r="H70" s="208"/>
      <c r="I70" s="209"/>
    </row>
    <row r="71" spans="1:9" ht="18.75" customHeight="1" x14ac:dyDescent="0.15">
      <c r="A71" s="4"/>
      <c r="B71" s="207"/>
      <c r="C71" s="208"/>
      <c r="D71" s="208"/>
      <c r="E71" s="208"/>
      <c r="F71" s="208"/>
      <c r="G71" s="208"/>
      <c r="H71" s="208"/>
      <c r="I71" s="209"/>
    </row>
    <row r="72" spans="1:9" ht="18.75" customHeight="1" x14ac:dyDescent="0.15">
      <c r="A72" s="4"/>
      <c r="B72" s="207"/>
      <c r="C72" s="208"/>
      <c r="D72" s="208"/>
      <c r="E72" s="208"/>
      <c r="F72" s="208"/>
      <c r="G72" s="208"/>
      <c r="H72" s="208"/>
      <c r="I72" s="209"/>
    </row>
    <row r="73" spans="1:9" ht="18.75" customHeight="1" x14ac:dyDescent="0.15">
      <c r="A73" s="4"/>
      <c r="B73" s="207"/>
      <c r="C73" s="208"/>
      <c r="D73" s="208"/>
      <c r="E73" s="208"/>
      <c r="F73" s="208"/>
      <c r="G73" s="208"/>
      <c r="H73" s="208"/>
      <c r="I73" s="209"/>
    </row>
    <row r="74" spans="1:9" ht="18.75" customHeight="1" x14ac:dyDescent="0.15">
      <c r="A74" s="4"/>
      <c r="B74" s="207"/>
      <c r="C74" s="208"/>
      <c r="D74" s="208"/>
      <c r="E74" s="208"/>
      <c r="F74" s="208"/>
      <c r="G74" s="208"/>
      <c r="H74" s="208"/>
      <c r="I74" s="209"/>
    </row>
    <row r="75" spans="1:9" ht="18.75" customHeight="1" x14ac:dyDescent="0.15">
      <c r="A75" s="4"/>
      <c r="B75" s="207"/>
      <c r="C75" s="208"/>
      <c r="D75" s="208"/>
      <c r="E75" s="208"/>
      <c r="F75" s="208"/>
      <c r="G75" s="208"/>
      <c r="H75" s="208"/>
      <c r="I75" s="209"/>
    </row>
    <row r="76" spans="1:9" ht="18.75" customHeight="1" x14ac:dyDescent="0.15">
      <c r="A76" s="4"/>
      <c r="B76" s="207"/>
      <c r="C76" s="208"/>
      <c r="D76" s="208"/>
      <c r="E76" s="208"/>
      <c r="F76" s="208"/>
      <c r="G76" s="208"/>
      <c r="H76" s="208"/>
      <c r="I76" s="209"/>
    </row>
    <row r="77" spans="1:9" ht="18.75" customHeight="1" x14ac:dyDescent="0.15">
      <c r="A77" s="4"/>
      <c r="B77" s="210"/>
      <c r="C77" s="211"/>
      <c r="D77" s="211"/>
      <c r="E77" s="211"/>
      <c r="F77" s="211"/>
      <c r="G77" s="211"/>
      <c r="H77" s="211"/>
      <c r="I77" s="212"/>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13" t="s">
        <v>174</v>
      </c>
      <c r="C80" s="214"/>
      <c r="D80" s="214"/>
      <c r="E80" s="214"/>
      <c r="F80" s="214"/>
      <c r="G80" s="214"/>
      <c r="H80" s="214"/>
      <c r="I80" s="215"/>
    </row>
    <row r="81" spans="1:9" ht="18.75" customHeight="1" x14ac:dyDescent="0.15">
      <c r="A81" s="1"/>
      <c r="B81" s="216"/>
      <c r="C81" s="217"/>
      <c r="D81" s="217"/>
      <c r="E81" s="217"/>
      <c r="F81" s="217"/>
      <c r="G81" s="217"/>
      <c r="H81" s="217"/>
      <c r="I81" s="218"/>
    </row>
    <row r="82" spans="1:9" ht="18.75" customHeight="1" x14ac:dyDescent="0.15">
      <c r="A82" s="1"/>
      <c r="B82" s="216"/>
      <c r="C82" s="217"/>
      <c r="D82" s="217"/>
      <c r="E82" s="217"/>
      <c r="F82" s="217"/>
      <c r="G82" s="217"/>
      <c r="H82" s="217"/>
      <c r="I82" s="218"/>
    </row>
    <row r="83" spans="1:9" ht="18.75" customHeight="1" x14ac:dyDescent="0.15">
      <c r="A83" s="1"/>
      <c r="B83" s="216"/>
      <c r="C83" s="217"/>
      <c r="D83" s="217"/>
      <c r="E83" s="217"/>
      <c r="F83" s="217"/>
      <c r="G83" s="217"/>
      <c r="H83" s="217"/>
      <c r="I83" s="218"/>
    </row>
    <row r="84" spans="1:9" ht="18.75" customHeight="1" x14ac:dyDescent="0.15">
      <c r="A84" s="1"/>
      <c r="B84" s="216"/>
      <c r="C84" s="217"/>
      <c r="D84" s="217"/>
      <c r="E84" s="217"/>
      <c r="F84" s="217"/>
      <c r="G84" s="217"/>
      <c r="H84" s="217"/>
      <c r="I84" s="218"/>
    </row>
    <row r="85" spans="1:9" ht="18.75" customHeight="1" x14ac:dyDescent="0.15">
      <c r="A85" s="1"/>
      <c r="B85" s="216"/>
      <c r="C85" s="217"/>
      <c r="D85" s="217"/>
      <c r="E85" s="217"/>
      <c r="F85" s="217"/>
      <c r="G85" s="217"/>
      <c r="H85" s="217"/>
      <c r="I85" s="218"/>
    </row>
    <row r="86" spans="1:9" ht="18.75" customHeight="1" x14ac:dyDescent="0.15">
      <c r="A86" s="1"/>
      <c r="B86" s="216"/>
      <c r="C86" s="217"/>
      <c r="D86" s="217"/>
      <c r="E86" s="217"/>
      <c r="F86" s="217"/>
      <c r="G86" s="217"/>
      <c r="H86" s="217"/>
      <c r="I86" s="218"/>
    </row>
    <row r="87" spans="1:9" ht="18.75" customHeight="1" x14ac:dyDescent="0.15">
      <c r="A87" s="1"/>
      <c r="B87" s="216"/>
      <c r="C87" s="217"/>
      <c r="D87" s="217"/>
      <c r="E87" s="217"/>
      <c r="F87" s="217"/>
      <c r="G87" s="217"/>
      <c r="H87" s="217"/>
      <c r="I87" s="218"/>
    </row>
    <row r="88" spans="1:9" ht="18.75" customHeight="1" x14ac:dyDescent="0.15">
      <c r="A88" s="1"/>
      <c r="B88" s="216"/>
      <c r="C88" s="217"/>
      <c r="D88" s="217"/>
      <c r="E88" s="217"/>
      <c r="F88" s="217"/>
      <c r="G88" s="217"/>
      <c r="H88" s="217"/>
      <c r="I88" s="218"/>
    </row>
    <row r="89" spans="1:9" ht="18.75" customHeight="1" x14ac:dyDescent="0.15">
      <c r="A89" s="1"/>
      <c r="B89" s="216"/>
      <c r="C89" s="217"/>
      <c r="D89" s="217"/>
      <c r="E89" s="217"/>
      <c r="F89" s="217"/>
      <c r="G89" s="217"/>
      <c r="H89" s="217"/>
      <c r="I89" s="218"/>
    </row>
    <row r="90" spans="1:9" ht="18.75" customHeight="1" x14ac:dyDescent="0.15">
      <c r="A90" s="4"/>
      <c r="B90" s="216"/>
      <c r="C90" s="217"/>
      <c r="D90" s="217"/>
      <c r="E90" s="217"/>
      <c r="F90" s="217"/>
      <c r="G90" s="217"/>
      <c r="H90" s="217"/>
      <c r="I90" s="218"/>
    </row>
    <row r="91" spans="1:9" ht="18.75" customHeight="1" x14ac:dyDescent="0.15">
      <c r="A91" s="4"/>
      <c r="B91" s="219"/>
      <c r="C91" s="220"/>
      <c r="D91" s="220"/>
      <c r="E91" s="220"/>
      <c r="F91" s="220"/>
      <c r="G91" s="220"/>
      <c r="H91" s="220"/>
      <c r="I91" s="221"/>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236" t="s">
        <v>175</v>
      </c>
      <c r="C94" s="237"/>
      <c r="D94" s="237"/>
      <c r="E94" s="237"/>
      <c r="F94" s="237"/>
      <c r="G94" s="237"/>
      <c r="H94" s="237"/>
      <c r="I94" s="238"/>
    </row>
    <row r="95" spans="1:9" ht="18.75" customHeight="1" x14ac:dyDescent="0.15">
      <c r="A95" s="1"/>
      <c r="B95" s="242"/>
      <c r="C95" s="243"/>
      <c r="D95" s="243"/>
      <c r="E95" s="243"/>
      <c r="F95" s="243"/>
      <c r="G95" s="243"/>
      <c r="H95" s="243"/>
      <c r="I95" s="241"/>
    </row>
    <row r="96" spans="1:9" ht="18.75" customHeight="1" x14ac:dyDescent="0.15">
      <c r="A96" s="1"/>
      <c r="B96" s="242"/>
      <c r="C96" s="243"/>
      <c r="D96" s="243"/>
      <c r="E96" s="243"/>
      <c r="F96" s="243"/>
      <c r="G96" s="243"/>
      <c r="H96" s="243"/>
      <c r="I96" s="241"/>
    </row>
    <row r="97" spans="1:9" ht="18.75" customHeight="1" x14ac:dyDescent="0.15">
      <c r="A97" s="1"/>
      <c r="B97" s="242"/>
      <c r="C97" s="243"/>
      <c r="D97" s="243"/>
      <c r="E97" s="243"/>
      <c r="F97" s="243"/>
      <c r="G97" s="243"/>
      <c r="H97" s="243"/>
      <c r="I97" s="241"/>
    </row>
    <row r="98" spans="1:9" ht="18.75" customHeight="1" x14ac:dyDescent="0.15">
      <c r="A98" s="1"/>
      <c r="B98" s="242"/>
      <c r="C98" s="243"/>
      <c r="D98" s="243"/>
      <c r="E98" s="243"/>
      <c r="F98" s="243"/>
      <c r="G98" s="243"/>
      <c r="H98" s="243"/>
      <c r="I98" s="241"/>
    </row>
    <row r="99" spans="1:9" ht="18.75" customHeight="1" x14ac:dyDescent="0.15">
      <c r="A99" s="1"/>
      <c r="B99" s="242"/>
      <c r="C99" s="243"/>
      <c r="D99" s="243"/>
      <c r="E99" s="243"/>
      <c r="F99" s="243"/>
      <c r="G99" s="243"/>
      <c r="H99" s="243"/>
      <c r="I99" s="241"/>
    </row>
    <row r="100" spans="1:9" ht="18.75" customHeight="1" x14ac:dyDescent="0.15">
      <c r="A100" s="1"/>
      <c r="B100" s="242"/>
      <c r="C100" s="243"/>
      <c r="D100" s="243"/>
      <c r="E100" s="243"/>
      <c r="F100" s="243"/>
      <c r="G100" s="243"/>
      <c r="H100" s="243"/>
      <c r="I100" s="241"/>
    </row>
    <row r="101" spans="1:9" ht="18.75" customHeight="1" x14ac:dyDescent="0.15">
      <c r="A101" s="1"/>
      <c r="B101" s="242"/>
      <c r="C101" s="243"/>
      <c r="D101" s="243"/>
      <c r="E101" s="243"/>
      <c r="F101" s="243"/>
      <c r="G101" s="243"/>
      <c r="H101" s="243"/>
      <c r="I101" s="241"/>
    </row>
    <row r="102" spans="1:9" ht="18.75" customHeight="1" x14ac:dyDescent="0.15">
      <c r="A102" s="1"/>
      <c r="B102" s="242"/>
      <c r="C102" s="243"/>
      <c r="D102" s="243"/>
      <c r="E102" s="243"/>
      <c r="F102" s="243"/>
      <c r="G102" s="243"/>
      <c r="H102" s="243"/>
      <c r="I102" s="241"/>
    </row>
    <row r="103" spans="1:9" ht="18.75" customHeight="1" x14ac:dyDescent="0.15">
      <c r="A103" s="1"/>
      <c r="B103" s="242"/>
      <c r="C103" s="243"/>
      <c r="D103" s="243"/>
      <c r="E103" s="243"/>
      <c r="F103" s="243"/>
      <c r="G103" s="243"/>
      <c r="H103" s="243"/>
      <c r="I103" s="241"/>
    </row>
    <row r="104" spans="1:9" ht="18.75" customHeight="1" x14ac:dyDescent="0.15">
      <c r="A104" s="1"/>
      <c r="B104" s="242"/>
      <c r="C104" s="243"/>
      <c r="D104" s="243"/>
      <c r="E104" s="243"/>
      <c r="F104" s="243"/>
      <c r="G104" s="243"/>
      <c r="H104" s="243"/>
      <c r="I104" s="241"/>
    </row>
    <row r="105" spans="1:9" ht="18.75" customHeight="1" x14ac:dyDescent="0.15">
      <c r="A105" s="4"/>
      <c r="B105" s="244"/>
      <c r="C105" s="245"/>
      <c r="D105" s="245"/>
      <c r="E105" s="245"/>
      <c r="F105" s="245"/>
      <c r="G105" s="245"/>
      <c r="H105" s="245"/>
      <c r="I105" s="246"/>
    </row>
    <row r="106" spans="1:9" ht="7.5" customHeight="1" x14ac:dyDescent="0.15">
      <c r="A106" s="4"/>
      <c r="B106" s="4"/>
      <c r="C106" s="4"/>
      <c r="D106" s="4"/>
      <c r="E106" s="4"/>
      <c r="F106" s="4"/>
      <c r="G106" s="4"/>
      <c r="H106" s="4"/>
      <c r="I106" s="4"/>
    </row>
    <row r="107" spans="1:9" ht="18.75" customHeight="1" x14ac:dyDescent="0.15">
      <c r="A107" s="1" t="s">
        <v>30</v>
      </c>
      <c r="B107" s="255" t="s">
        <v>44</v>
      </c>
      <c r="C107" s="255"/>
      <c r="D107" s="255"/>
      <c r="E107" s="255"/>
      <c r="F107" s="255"/>
      <c r="G107" s="255"/>
      <c r="H107" s="255"/>
      <c r="I107" s="255"/>
    </row>
    <row r="108" spans="1:9" ht="18.75" customHeight="1" x14ac:dyDescent="0.15">
      <c r="A108" s="4"/>
      <c r="B108" s="236" t="s">
        <v>176</v>
      </c>
      <c r="C108" s="237"/>
      <c r="D108" s="237"/>
      <c r="E108" s="237"/>
      <c r="F108" s="237"/>
      <c r="G108" s="237"/>
      <c r="H108" s="237"/>
      <c r="I108" s="238"/>
    </row>
    <row r="109" spans="1:9" ht="18.75" customHeight="1" x14ac:dyDescent="0.15">
      <c r="A109" s="4"/>
      <c r="B109" s="242"/>
      <c r="C109" s="243"/>
      <c r="D109" s="243"/>
      <c r="E109" s="243"/>
      <c r="F109" s="243"/>
      <c r="G109" s="243"/>
      <c r="H109" s="243"/>
      <c r="I109" s="241"/>
    </row>
    <row r="110" spans="1:9" ht="18.75" customHeight="1" x14ac:dyDescent="0.15">
      <c r="A110" s="4"/>
      <c r="B110" s="242"/>
      <c r="C110" s="243"/>
      <c r="D110" s="243"/>
      <c r="E110" s="243"/>
      <c r="F110" s="243"/>
      <c r="G110" s="243"/>
      <c r="H110" s="243"/>
      <c r="I110" s="241"/>
    </row>
    <row r="111" spans="1:9" ht="18.75" customHeight="1" x14ac:dyDescent="0.15">
      <c r="A111" s="4"/>
      <c r="B111" s="242"/>
      <c r="C111" s="243"/>
      <c r="D111" s="243"/>
      <c r="E111" s="243"/>
      <c r="F111" s="243"/>
      <c r="G111" s="243"/>
      <c r="H111" s="243"/>
      <c r="I111" s="241"/>
    </row>
    <row r="112" spans="1:9" ht="18.75" customHeight="1" x14ac:dyDescent="0.15">
      <c r="A112" s="4"/>
      <c r="B112" s="242"/>
      <c r="C112" s="243"/>
      <c r="D112" s="243"/>
      <c r="E112" s="243"/>
      <c r="F112" s="243"/>
      <c r="G112" s="243"/>
      <c r="H112" s="243"/>
      <c r="I112" s="241"/>
    </row>
    <row r="113" spans="1:9" ht="18.75" customHeight="1" x14ac:dyDescent="0.15">
      <c r="A113" s="4"/>
      <c r="B113" s="242"/>
      <c r="C113" s="243"/>
      <c r="D113" s="243"/>
      <c r="E113" s="243"/>
      <c r="F113" s="243"/>
      <c r="G113" s="243"/>
      <c r="H113" s="243"/>
      <c r="I113" s="241"/>
    </row>
    <row r="114" spans="1:9" ht="18.75" customHeight="1" x14ac:dyDescent="0.15">
      <c r="A114" s="4"/>
      <c r="B114" s="242"/>
      <c r="C114" s="243"/>
      <c r="D114" s="243"/>
      <c r="E114" s="243"/>
      <c r="F114" s="243"/>
      <c r="G114" s="243"/>
      <c r="H114" s="243"/>
      <c r="I114" s="241"/>
    </row>
    <row r="115" spans="1:9" ht="18.75" customHeight="1" x14ac:dyDescent="0.15">
      <c r="A115" s="4"/>
      <c r="B115" s="242"/>
      <c r="C115" s="243"/>
      <c r="D115" s="243"/>
      <c r="E115" s="243"/>
      <c r="F115" s="243"/>
      <c r="G115" s="243"/>
      <c r="H115" s="243"/>
      <c r="I115" s="241"/>
    </row>
    <row r="116" spans="1:9" ht="18.75" customHeight="1" x14ac:dyDescent="0.15">
      <c r="A116" s="4"/>
      <c r="B116" s="242"/>
      <c r="C116" s="243"/>
      <c r="D116" s="243"/>
      <c r="E116" s="243"/>
      <c r="F116" s="243"/>
      <c r="G116" s="243"/>
      <c r="H116" s="243"/>
      <c r="I116" s="241"/>
    </row>
    <row r="117" spans="1:9" ht="18.75" customHeight="1" x14ac:dyDescent="0.15">
      <c r="A117" s="4"/>
      <c r="B117" s="242"/>
      <c r="C117" s="243"/>
      <c r="D117" s="243"/>
      <c r="E117" s="243"/>
      <c r="F117" s="243"/>
      <c r="G117" s="243"/>
      <c r="H117" s="243"/>
      <c r="I117" s="241"/>
    </row>
    <row r="118" spans="1:9" ht="18.75" customHeight="1" x14ac:dyDescent="0.15">
      <c r="A118" s="4"/>
      <c r="B118" s="242"/>
      <c r="C118" s="243"/>
      <c r="D118" s="243"/>
      <c r="E118" s="243"/>
      <c r="F118" s="243"/>
      <c r="G118" s="243"/>
      <c r="H118" s="243"/>
      <c r="I118" s="241"/>
    </row>
    <row r="119" spans="1:9" ht="18.75" customHeight="1" x14ac:dyDescent="0.15">
      <c r="A119" s="4"/>
      <c r="B119" s="244"/>
      <c r="C119" s="245"/>
      <c r="D119" s="245"/>
      <c r="E119" s="245"/>
      <c r="F119" s="245"/>
      <c r="G119" s="245"/>
      <c r="H119" s="245"/>
      <c r="I119" s="246"/>
    </row>
    <row r="120" spans="1:9" ht="7.5" customHeight="1" x14ac:dyDescent="0.15">
      <c r="A120" s="4"/>
      <c r="B120" s="25"/>
      <c r="C120" s="25"/>
      <c r="D120" s="25"/>
      <c r="E120" s="25"/>
      <c r="F120" s="25"/>
      <c r="G120" s="25"/>
      <c r="H120" s="25"/>
      <c r="I120" s="25"/>
    </row>
    <row r="121" spans="1:9" ht="18.75" customHeight="1" x14ac:dyDescent="0.15">
      <c r="A121" s="51"/>
      <c r="B121" s="232"/>
      <c r="C121" s="232"/>
      <c r="D121" s="232"/>
      <c r="E121" s="232"/>
      <c r="F121" s="232"/>
      <c r="G121" s="232"/>
      <c r="H121" s="232"/>
      <c r="I121" s="232"/>
    </row>
    <row r="122" spans="1:9" ht="18.75" customHeight="1" x14ac:dyDescent="0.15">
      <c r="A122" s="51"/>
      <c r="B122" s="232"/>
      <c r="C122" s="232"/>
      <c r="D122" s="232"/>
      <c r="E122" s="232"/>
      <c r="F122" s="232"/>
      <c r="G122" s="232"/>
      <c r="H122" s="232"/>
      <c r="I122" s="232"/>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0"/>
  <sheetViews>
    <sheetView showZeros="0" zoomScaleNormal="100" zoomScaleSheetLayoutView="90" workbookViewId="0">
      <selection activeCell="K5" sqref="K5"/>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 '!C2</f>
        <v>神戸市外国語大学</v>
      </c>
    </row>
    <row r="3" spans="1:9" ht="18.75" customHeight="1" x14ac:dyDescent="0.15">
      <c r="A3" s="177" t="s">
        <v>28</v>
      </c>
      <c r="B3" s="177"/>
      <c r="C3" s="177"/>
      <c r="D3" s="177"/>
      <c r="E3" s="177"/>
      <c r="F3" s="177"/>
      <c r="G3" s="177"/>
      <c r="H3" s="177"/>
      <c r="I3" s="177"/>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247" t="s">
        <v>185</v>
      </c>
      <c r="C6" s="285"/>
      <c r="D6" s="285"/>
      <c r="E6" s="285"/>
      <c r="F6" s="285"/>
      <c r="G6" s="285"/>
      <c r="H6" s="286"/>
      <c r="I6" s="3"/>
    </row>
    <row r="7" spans="1:9" ht="9" customHeight="1" x14ac:dyDescent="0.15">
      <c r="A7" s="5"/>
      <c r="B7" s="10"/>
      <c r="C7" s="10"/>
      <c r="D7" s="10"/>
      <c r="E7" s="10"/>
      <c r="F7" s="10"/>
      <c r="G7" s="10"/>
      <c r="H7" s="10"/>
      <c r="I7" s="3"/>
    </row>
    <row r="8" spans="1:9" ht="18.75" customHeight="1" x14ac:dyDescent="0.15">
      <c r="A8" s="5"/>
      <c r="B8" s="3"/>
      <c r="C8" s="3"/>
      <c r="D8" s="18" t="s">
        <v>41</v>
      </c>
      <c r="E8" s="19" t="s">
        <v>163</v>
      </c>
      <c r="F8" s="3"/>
      <c r="G8" s="18" t="s">
        <v>10</v>
      </c>
      <c r="H8" s="92" t="s">
        <v>194</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20" t="s">
        <v>24</v>
      </c>
      <c r="C11" s="121"/>
      <c r="D11" s="122"/>
      <c r="E11" s="121" t="s">
        <v>26</v>
      </c>
      <c r="F11" s="121"/>
      <c r="G11" s="121"/>
      <c r="H11" s="121"/>
      <c r="I11" s="122"/>
    </row>
    <row r="12" spans="1:9" ht="26.25" customHeight="1" x14ac:dyDescent="0.15">
      <c r="B12" s="26" t="s">
        <v>14</v>
      </c>
      <c r="C12" s="33"/>
      <c r="D12" s="27"/>
      <c r="E12" s="34"/>
      <c r="F12" s="34"/>
      <c r="G12" s="34"/>
      <c r="H12" s="34"/>
      <c r="I12" s="27"/>
    </row>
    <row r="13" spans="1:9" ht="210.75" customHeight="1" x14ac:dyDescent="0.15">
      <c r="B13" s="28"/>
      <c r="C13" s="264" t="s">
        <v>15</v>
      </c>
      <c r="D13" s="265"/>
      <c r="E13" s="277" t="s">
        <v>187</v>
      </c>
      <c r="F13" s="278"/>
      <c r="G13" s="278"/>
      <c r="H13" s="278"/>
      <c r="I13" s="279"/>
    </row>
    <row r="14" spans="1:9" ht="210.75" customHeight="1" x14ac:dyDescent="0.15">
      <c r="B14" s="28"/>
      <c r="C14" s="283" t="s">
        <v>16</v>
      </c>
      <c r="D14" s="284"/>
      <c r="E14" s="277" t="s">
        <v>188</v>
      </c>
      <c r="F14" s="278"/>
      <c r="G14" s="278"/>
      <c r="H14" s="278"/>
      <c r="I14" s="279"/>
    </row>
    <row r="15" spans="1:9" ht="210.75" customHeight="1" x14ac:dyDescent="0.15">
      <c r="B15" s="28"/>
      <c r="C15" s="264" t="s">
        <v>17</v>
      </c>
      <c r="D15" s="265"/>
      <c r="E15" s="277" t="s">
        <v>189</v>
      </c>
      <c r="F15" s="278"/>
      <c r="G15" s="278"/>
      <c r="H15" s="278"/>
      <c r="I15" s="279"/>
    </row>
    <row r="16" spans="1:9" ht="210.75" customHeight="1" x14ac:dyDescent="0.15">
      <c r="B16" s="28"/>
      <c r="C16" s="264" t="s">
        <v>18</v>
      </c>
      <c r="D16" s="265"/>
      <c r="E16" s="277" t="s">
        <v>190</v>
      </c>
      <c r="F16" s="278"/>
      <c r="G16" s="278"/>
      <c r="H16" s="278"/>
      <c r="I16" s="279"/>
    </row>
    <row r="17" spans="2:10" ht="210.75" customHeight="1" x14ac:dyDescent="0.15">
      <c r="B17" s="29"/>
      <c r="C17" s="268" t="s">
        <v>19</v>
      </c>
      <c r="D17" s="269"/>
      <c r="E17" s="280" t="s">
        <v>191</v>
      </c>
      <c r="F17" s="281"/>
      <c r="G17" s="281"/>
      <c r="H17" s="281"/>
      <c r="I17" s="282"/>
      <c r="J17" s="1">
        <f>LEN(E17)</f>
        <v>239</v>
      </c>
    </row>
    <row r="18" spans="2:10" ht="24" customHeight="1" x14ac:dyDescent="0.15">
      <c r="B18" s="26" t="s">
        <v>20</v>
      </c>
      <c r="C18" s="30"/>
      <c r="D18" s="31"/>
      <c r="E18" s="32"/>
      <c r="F18" s="32"/>
      <c r="G18" s="32"/>
      <c r="H18" s="32"/>
      <c r="I18" s="35"/>
    </row>
    <row r="19" spans="2:10" ht="218.25" customHeight="1" x14ac:dyDescent="0.15">
      <c r="B19" s="28"/>
      <c r="C19" s="264" t="s">
        <v>21</v>
      </c>
      <c r="D19" s="265"/>
      <c r="E19" s="266" t="s">
        <v>177</v>
      </c>
      <c r="F19" s="266"/>
      <c r="G19" s="266"/>
      <c r="H19" s="266"/>
      <c r="I19" s="267"/>
    </row>
    <row r="20" spans="2:10" ht="218.25" customHeight="1" x14ac:dyDescent="0.15">
      <c r="B20" s="29"/>
      <c r="C20" s="268" t="s">
        <v>22</v>
      </c>
      <c r="D20" s="269"/>
      <c r="E20" s="270" t="s">
        <v>195</v>
      </c>
      <c r="F20" s="270"/>
      <c r="G20" s="270"/>
      <c r="H20" s="270"/>
      <c r="I20" s="271"/>
    </row>
    <row r="21" spans="2:10" ht="218.25" customHeight="1" x14ac:dyDescent="0.15">
      <c r="B21" s="272" t="s">
        <v>23</v>
      </c>
      <c r="C21" s="273"/>
      <c r="D21" s="274"/>
      <c r="E21" s="275" t="s">
        <v>178</v>
      </c>
      <c r="F21" s="275"/>
      <c r="G21" s="275"/>
      <c r="H21" s="275"/>
      <c r="I21" s="276"/>
    </row>
    <row r="22" spans="2:10" ht="218.25" customHeight="1" x14ac:dyDescent="0.15">
      <c r="B22" s="259" t="s">
        <v>121</v>
      </c>
      <c r="C22" s="260"/>
      <c r="D22" s="261"/>
      <c r="E22" s="262" t="s">
        <v>179</v>
      </c>
      <c r="F22" s="262"/>
      <c r="G22" s="262"/>
      <c r="H22" s="262"/>
      <c r="I22" s="263"/>
      <c r="J22" s="93"/>
    </row>
    <row r="23" spans="2:10" ht="22.5" customHeight="1" x14ac:dyDescent="0.15">
      <c r="B23" s="4"/>
      <c r="C23" s="4"/>
      <c r="D23" s="4"/>
      <c r="E23" s="4"/>
      <c r="F23" s="4"/>
      <c r="G23" s="4"/>
      <c r="H23" s="4"/>
      <c r="I23" s="4"/>
    </row>
    <row r="24" spans="2:10" ht="22.5" customHeight="1" x14ac:dyDescent="0.15">
      <c r="B24" s="4"/>
      <c r="C24" s="4"/>
      <c r="D24" s="4"/>
      <c r="E24" s="4"/>
      <c r="F24" s="4"/>
      <c r="G24" s="4"/>
      <c r="H24" s="4"/>
      <c r="I24" s="4"/>
    </row>
    <row r="25" spans="2:10" ht="22.5" customHeight="1" x14ac:dyDescent="0.15">
      <c r="B25" s="4"/>
      <c r="C25" s="4"/>
      <c r="D25" s="4"/>
      <c r="E25" s="4"/>
      <c r="F25" s="4"/>
      <c r="G25" s="4"/>
      <c r="H25" s="4"/>
      <c r="I25" s="4"/>
    </row>
    <row r="26" spans="2:10" ht="22.5" customHeight="1" x14ac:dyDescent="0.15">
      <c r="B26" s="4"/>
      <c r="C26" s="4"/>
      <c r="D26" s="4"/>
      <c r="E26" s="4"/>
      <c r="F26" s="4"/>
      <c r="G26" s="4"/>
      <c r="H26" s="4"/>
      <c r="I26" s="4"/>
    </row>
    <row r="27" spans="2:10" ht="22.5" customHeight="1" x14ac:dyDescent="0.15">
      <c r="B27" s="4"/>
      <c r="C27" s="4"/>
      <c r="D27" s="4"/>
      <c r="E27" s="4"/>
      <c r="F27" s="4"/>
      <c r="G27" s="4"/>
      <c r="H27" s="4"/>
      <c r="I27" s="4"/>
    </row>
    <row r="28" spans="2:10" ht="22.5" customHeight="1" x14ac:dyDescent="0.15">
      <c r="B28" s="14"/>
      <c r="C28" s="14"/>
      <c r="D28" s="14"/>
      <c r="E28" s="14"/>
      <c r="F28" s="14"/>
      <c r="G28" s="14"/>
      <c r="H28" s="14"/>
      <c r="I28" s="14"/>
    </row>
    <row r="29" spans="2:10" ht="22.5" customHeight="1" x14ac:dyDescent="0.15">
      <c r="B29" s="14"/>
      <c r="C29" s="14"/>
      <c r="D29" s="14"/>
      <c r="E29" s="14"/>
      <c r="F29" s="14"/>
      <c r="G29" s="14"/>
      <c r="H29" s="14"/>
      <c r="I29" s="14"/>
    </row>
    <row r="30" spans="2:10"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 </vt:lpstr>
      <vt:lpstr>様式２ 履修者等数の実績</vt:lpstr>
      <vt:lpstr>様式３ 教育の質・履修者数を向上させるための体制・計画</vt:lpstr>
      <vt:lpstr>様式４　自己点検・評価</vt:lpstr>
      <vt:lpstr>'様式１　プログラムを構成する授業科目 '!Print_Area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Sawai Miki</dc:creator>
  <cp:lastModifiedBy>神戸市外国語大学</cp:lastModifiedBy>
  <cp:lastPrinted>2025-04-18T02:04:14Z</cp:lastPrinted>
  <dcterms:created xsi:type="dcterms:W3CDTF">2011-06-14T05:32:50Z</dcterms:created>
  <dcterms:modified xsi:type="dcterms:W3CDTF">2025-04-22T05:30:40Z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