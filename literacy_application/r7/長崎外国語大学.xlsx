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925"/>
  <workbookPr defaultThemeVersion="124226"/>
  <mc:AlternateContent xmlns:mc="http://schemas.openxmlformats.org/markup-compatibility/2006">
    <mc:Choice Requires="x15">
      <x15ac:absPath xmlns:x15ac="http://schemas.microsoft.com/office/spreadsheetml/2010/11/ac" url="https://nufsgaigo.sharepoint.com/DocLib/学生委員会/数理DS申請/修正_長崎外国語大学/01_長崎外国語大学_リテラシー/"/>
    </mc:Choice>
  </mc:AlternateContent>
  <xr:revisionPtr revIDLastSave="177" documentId="13_ncr:20001_{FEE2F1E5-7EE3-4DE9-862C-DA1AF1686CE9}" xr6:coauthVersionLast="47" xr6:coauthVersionMax="47" xr10:uidLastSave="{B1002B8B-0C90-46AD-ACAC-64B473B2968D}"/>
  <bookViews>
    <workbookView xWindow="-108" yWindow="-108" windowWidth="23256" windowHeight="12456" tabRatio="885" activeTab="2" xr2:uid="{00000000-000D-0000-FFFF-FFFF00000000}"/>
  </bookViews>
  <sheets>
    <sheet name="様式１　プログラムを構成する授業科目" sheetId="39" r:id="rId1"/>
    <sheet name="様式２ 履修者等数の実績" sheetId="40" r:id="rId2"/>
    <sheet name="様式３ 教育の質・履修者数を向上させるための体制・計画" sheetId="41" r:id="rId3"/>
    <sheet name="様式４　自己点検・評価" sheetId="42" r:id="rId4"/>
  </sheets>
  <definedNames>
    <definedName name="_xlnm._FilterDatabase" localSheetId="0" hidden="1">'様式１　プログラムを構成する授業科目'!$X$16:$X$18</definedName>
    <definedName name="_xlnm._FilterDatabase" localSheetId="1" hidden="1">'様式２ 履修者等数の実績'!#REF!</definedName>
    <definedName name="_xlnm.Print_Area" localSheetId="0">'様式１　プログラムを構成する授業科目'!$A$1:$U$105</definedName>
    <definedName name="_xlnm.Print_Area" localSheetId="1">'様式２ 履修者等数の実績'!$A$1:$S$33</definedName>
    <definedName name="_xlnm.Print_Area" localSheetId="2">'様式３ 教育の質・履修者数を向上させるための体制・計画'!$A$1:$I$119</definedName>
    <definedName name="_xlnm.Print_Area" localSheetId="3">'様式４　自己点検・評価'!$A$1:$I$22</definedName>
    <definedName name="_xlnm.Print_Titles" localSheetId="3">'様式４　自己点検・評価'!$11:$11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7" i="40" l="1"/>
  <c r="I2" i="42"/>
  <c r="H2" i="41"/>
  <c r="Q2" i="40"/>
  <c r="I33" i="40" l="1"/>
  <c r="M33" i="40"/>
  <c r="P33" i="40"/>
  <c r="Q33" i="40"/>
  <c r="O33" i="40"/>
  <c r="N33" i="40"/>
  <c r="L33" i="40"/>
  <c r="J33" i="40"/>
  <c r="K33" i="40"/>
  <c r="H33" i="40"/>
  <c r="R14" i="40" l="1"/>
  <c r="R15" i="40"/>
  <c r="R16" i="40"/>
  <c r="R17" i="40"/>
  <c r="R18" i="40"/>
  <c r="R19" i="40"/>
  <c r="R20" i="40"/>
  <c r="R21" i="40"/>
  <c r="R22" i="40"/>
  <c r="R23" i="40"/>
  <c r="R24" i="40"/>
  <c r="R25" i="40"/>
  <c r="R26" i="40"/>
  <c r="R27" i="40"/>
  <c r="R28" i="40"/>
  <c r="R29" i="40"/>
  <c r="R30" i="40"/>
  <c r="R31" i="40"/>
  <c r="R32" i="40"/>
  <c r="R13" i="40"/>
  <c r="S13" i="40" s="1"/>
  <c r="C33" i="40"/>
  <c r="G33" i="40" l="1"/>
  <c r="F33" i="40" l="1"/>
  <c r="E33" i="40"/>
  <c r="I50" i="41" s="1"/>
  <c r="D33" i="40"/>
  <c r="S32" i="40"/>
  <c r="S31" i="40"/>
  <c r="S30" i="40"/>
  <c r="S29" i="40"/>
  <c r="S28" i="40"/>
  <c r="S27" i="40"/>
  <c r="S26" i="40"/>
  <c r="S25" i="40"/>
  <c r="S24" i="40"/>
  <c r="S23" i="40"/>
  <c r="S22" i="40"/>
  <c r="S21" i="40"/>
  <c r="S20" i="40"/>
  <c r="S19" i="40"/>
  <c r="S18" i="40"/>
  <c r="S17" i="40"/>
  <c r="S16" i="40"/>
  <c r="S15" i="40"/>
  <c r="S14" i="40"/>
  <c r="R33" i="40" l="1"/>
  <c r="S33" i="40" s="1"/>
  <c r="C49" i="41" s="1"/>
</calcChain>
</file>

<file path=xl/sharedStrings.xml><?xml version="1.0" encoding="utf-8"?>
<sst xmlns="http://schemas.openxmlformats.org/spreadsheetml/2006/main" count="313" uniqueCount="196">
  <si>
    <t>①</t>
    <phoneticPr fontId="1"/>
  </si>
  <si>
    <t>人</t>
    <rPh sb="0" eb="1">
      <t>ニン</t>
    </rPh>
    <phoneticPr fontId="1"/>
  </si>
  <si>
    <t>（非常勤）</t>
    <rPh sb="1" eb="4">
      <t>ヒジョウキン</t>
    </rPh>
    <phoneticPr fontId="1"/>
  </si>
  <si>
    <t>②</t>
    <phoneticPr fontId="1"/>
  </si>
  <si>
    <t>③</t>
    <phoneticPr fontId="1"/>
  </si>
  <si>
    <t>⑤</t>
    <phoneticPr fontId="1"/>
  </si>
  <si>
    <t>⑦</t>
    <phoneticPr fontId="1"/>
  </si>
  <si>
    <t>④</t>
    <phoneticPr fontId="1"/>
  </si>
  <si>
    <t>⑥</t>
    <phoneticPr fontId="1"/>
  </si>
  <si>
    <t>具体的な構成員</t>
    <rPh sb="0" eb="3">
      <t>グタイテキ</t>
    </rPh>
    <rPh sb="4" eb="7">
      <t>コウセイイン</t>
    </rPh>
    <phoneticPr fontId="1"/>
  </si>
  <si>
    <t>（役職名）</t>
    <rPh sb="1" eb="4">
      <t>ヤクショクメイ</t>
    </rPh>
    <phoneticPr fontId="1"/>
  </si>
  <si>
    <t>⑩</t>
    <phoneticPr fontId="1"/>
  </si>
  <si>
    <t>様式１</t>
    <rPh sb="0" eb="2">
      <t>ヨウシキ</t>
    </rPh>
    <phoneticPr fontId="1"/>
  </si>
  <si>
    <t>できる限り多くの学生が履修・修得できるようなサポート体制</t>
    <rPh sb="26" eb="28">
      <t>タイセイ</t>
    </rPh>
    <phoneticPr fontId="1"/>
  </si>
  <si>
    <t>学内からの視点</t>
    <rPh sb="0" eb="2">
      <t>ガクナイ</t>
    </rPh>
    <rPh sb="5" eb="7">
      <t>シテン</t>
    </rPh>
    <phoneticPr fontId="1"/>
  </si>
  <si>
    <t>プログラムの履修・修得状況</t>
    <rPh sb="6" eb="8">
      <t>リシュウ</t>
    </rPh>
    <rPh sb="9" eb="11">
      <t>シュウトク</t>
    </rPh>
    <rPh sb="11" eb="13">
      <t>ジョウキョウ</t>
    </rPh>
    <phoneticPr fontId="1"/>
  </si>
  <si>
    <t>学修成果</t>
    <rPh sb="0" eb="2">
      <t>ガクシュウ</t>
    </rPh>
    <rPh sb="2" eb="4">
      <t>セイカ</t>
    </rPh>
    <phoneticPr fontId="1"/>
  </si>
  <si>
    <t>学生アンケート等を通じた学生の内容の理解度</t>
    <rPh sb="0" eb="2">
      <t>ガクセイ</t>
    </rPh>
    <rPh sb="7" eb="8">
      <t>トウ</t>
    </rPh>
    <rPh sb="9" eb="10">
      <t>ツウ</t>
    </rPh>
    <rPh sb="12" eb="14">
      <t>ガクセイ</t>
    </rPh>
    <rPh sb="15" eb="17">
      <t>ナイヨウ</t>
    </rPh>
    <rPh sb="18" eb="21">
      <t>リカイド</t>
    </rPh>
    <phoneticPr fontId="1"/>
  </si>
  <si>
    <t>学生アンケート等を通じた後輩等他の学生への推奨度</t>
    <rPh sb="0" eb="2">
      <t>ガクセイ</t>
    </rPh>
    <rPh sb="7" eb="8">
      <t>トウ</t>
    </rPh>
    <rPh sb="9" eb="10">
      <t>ツウ</t>
    </rPh>
    <rPh sb="12" eb="14">
      <t>コウハイ</t>
    </rPh>
    <rPh sb="14" eb="15">
      <t>トウ</t>
    </rPh>
    <rPh sb="15" eb="16">
      <t>タ</t>
    </rPh>
    <rPh sb="17" eb="19">
      <t>ガクセイ</t>
    </rPh>
    <rPh sb="21" eb="23">
      <t>スイショウ</t>
    </rPh>
    <rPh sb="23" eb="24">
      <t>ド</t>
    </rPh>
    <phoneticPr fontId="1"/>
  </si>
  <si>
    <t>全学的な履修者数、履修率向上に向けた計画の達成・進捗状況</t>
    <rPh sb="0" eb="3">
      <t>ゼンガクテキ</t>
    </rPh>
    <rPh sb="4" eb="6">
      <t>リシュウ</t>
    </rPh>
    <rPh sb="6" eb="7">
      <t>シャ</t>
    </rPh>
    <rPh sb="7" eb="8">
      <t>スウ</t>
    </rPh>
    <rPh sb="9" eb="11">
      <t>リシュウ</t>
    </rPh>
    <rPh sb="11" eb="12">
      <t>リツ</t>
    </rPh>
    <rPh sb="12" eb="14">
      <t>コウジョウ</t>
    </rPh>
    <rPh sb="15" eb="16">
      <t>ム</t>
    </rPh>
    <rPh sb="18" eb="20">
      <t>ケイカク</t>
    </rPh>
    <rPh sb="21" eb="23">
      <t>タッセイ</t>
    </rPh>
    <rPh sb="24" eb="26">
      <t>シンチョク</t>
    </rPh>
    <rPh sb="26" eb="28">
      <t>ジョウキョウ</t>
    </rPh>
    <phoneticPr fontId="1"/>
  </si>
  <si>
    <t>学外からの視点</t>
    <rPh sb="0" eb="2">
      <t>ガクガイ</t>
    </rPh>
    <rPh sb="5" eb="7">
      <t>シテン</t>
    </rPh>
    <phoneticPr fontId="1"/>
  </si>
  <si>
    <t>教育プログラム修了者の進路、活躍状況、企業等の評価</t>
    <rPh sb="0" eb="2">
      <t>キョウイク</t>
    </rPh>
    <rPh sb="7" eb="10">
      <t>シュウリョウシャ</t>
    </rPh>
    <rPh sb="11" eb="13">
      <t>シンロ</t>
    </rPh>
    <rPh sb="14" eb="16">
      <t>カツヤク</t>
    </rPh>
    <rPh sb="16" eb="18">
      <t>ジョウキョウ</t>
    </rPh>
    <rPh sb="19" eb="21">
      <t>キギョウ</t>
    </rPh>
    <rPh sb="21" eb="22">
      <t>トウ</t>
    </rPh>
    <rPh sb="23" eb="25">
      <t>ヒョウカ</t>
    </rPh>
    <phoneticPr fontId="1"/>
  </si>
  <si>
    <t>産業界からの視点を含めた教育プログラム内容・手法等への意見</t>
    <rPh sb="0" eb="3">
      <t>サンギョウカイ</t>
    </rPh>
    <rPh sb="6" eb="8">
      <t>シテン</t>
    </rPh>
    <rPh sb="9" eb="10">
      <t>フク</t>
    </rPh>
    <rPh sb="12" eb="14">
      <t>キョウイク</t>
    </rPh>
    <rPh sb="19" eb="21">
      <t>ナイヨウ</t>
    </rPh>
    <rPh sb="22" eb="24">
      <t>シュホウ</t>
    </rPh>
    <rPh sb="24" eb="25">
      <t>トウ</t>
    </rPh>
    <rPh sb="27" eb="29">
      <t>イケン</t>
    </rPh>
    <phoneticPr fontId="1"/>
  </si>
  <si>
    <t>数理・データサイエンス・ＡＩを「学ぶ楽しさ」「学ぶことの意義」を理解させること</t>
    <rPh sb="0" eb="2">
      <t>スウリ</t>
    </rPh>
    <rPh sb="16" eb="17">
      <t>マナ</t>
    </rPh>
    <rPh sb="18" eb="19">
      <t>タノ</t>
    </rPh>
    <rPh sb="23" eb="24">
      <t>マナ</t>
    </rPh>
    <rPh sb="28" eb="30">
      <t>イギ</t>
    </rPh>
    <rPh sb="32" eb="34">
      <t>リカイ</t>
    </rPh>
    <phoneticPr fontId="1"/>
  </si>
  <si>
    <t>自己点検・評価の視点</t>
    <rPh sb="0" eb="2">
      <t>ジコ</t>
    </rPh>
    <rPh sb="2" eb="4">
      <t>テンケン</t>
    </rPh>
    <rPh sb="5" eb="7">
      <t>ヒョウカ</t>
    </rPh>
    <rPh sb="8" eb="10">
      <t>シテン</t>
    </rPh>
    <phoneticPr fontId="1"/>
  </si>
  <si>
    <t>体制の目的</t>
    <rPh sb="0" eb="2">
      <t>タイセイ</t>
    </rPh>
    <rPh sb="3" eb="5">
      <t>モクテキ</t>
    </rPh>
    <phoneticPr fontId="1"/>
  </si>
  <si>
    <t>自己点検・評価体制における意見・結果・改善に向けた取組等</t>
    <rPh sb="7" eb="9">
      <t>タイセイ</t>
    </rPh>
    <rPh sb="13" eb="15">
      <t>イケン</t>
    </rPh>
    <rPh sb="16" eb="18">
      <t>ケッカ</t>
    </rPh>
    <rPh sb="19" eb="21">
      <t>カイゼン</t>
    </rPh>
    <rPh sb="22" eb="23">
      <t>ム</t>
    </rPh>
    <rPh sb="25" eb="27">
      <t>トリクミ</t>
    </rPh>
    <rPh sb="27" eb="28">
      <t>トウ</t>
    </rPh>
    <phoneticPr fontId="1"/>
  </si>
  <si>
    <t>自己点検・評価体制における意見等</t>
    <rPh sb="15" eb="16">
      <t>トウ</t>
    </rPh>
    <phoneticPr fontId="1"/>
  </si>
  <si>
    <t>自己点検・評価について</t>
    <rPh sb="0" eb="2">
      <t>ジコ</t>
    </rPh>
    <rPh sb="2" eb="4">
      <t>テンケン</t>
    </rPh>
    <rPh sb="5" eb="7">
      <t>ヒョウカ</t>
    </rPh>
    <phoneticPr fontId="1"/>
  </si>
  <si>
    <t>修了者数</t>
    <rPh sb="0" eb="3">
      <t>シュウリョウシャ</t>
    </rPh>
    <rPh sb="3" eb="4">
      <t>スウ</t>
    </rPh>
    <phoneticPr fontId="1"/>
  </si>
  <si>
    <t>⑫</t>
    <phoneticPr fontId="1"/>
  </si>
  <si>
    <t>⑧</t>
    <phoneticPr fontId="1"/>
  </si>
  <si>
    <t>履修率</t>
    <rPh sb="0" eb="2">
      <t>リシュウ</t>
    </rPh>
    <rPh sb="2" eb="3">
      <t>リツ</t>
    </rPh>
    <phoneticPr fontId="1"/>
  </si>
  <si>
    <t>合　計</t>
    <phoneticPr fontId="1"/>
  </si>
  <si>
    <t>⑨</t>
    <phoneticPr fontId="1"/>
  </si>
  <si>
    <t>履修者数
合計</t>
    <rPh sb="0" eb="2">
      <t>リシュウ</t>
    </rPh>
    <rPh sb="2" eb="3">
      <t>シャ</t>
    </rPh>
    <rPh sb="3" eb="4">
      <t>スウ</t>
    </rPh>
    <rPh sb="5" eb="7">
      <t>ゴウケイ</t>
    </rPh>
    <phoneticPr fontId="1"/>
  </si>
  <si>
    <t>教育の質・履修者数を向上させるための体制・計画について</t>
    <rPh sb="0" eb="2">
      <t>キョウイク</t>
    </rPh>
    <rPh sb="3" eb="4">
      <t>シツ</t>
    </rPh>
    <rPh sb="5" eb="7">
      <t>リシュウ</t>
    </rPh>
    <rPh sb="7" eb="8">
      <t>シャ</t>
    </rPh>
    <rPh sb="8" eb="9">
      <t>スウ</t>
    </rPh>
    <rPh sb="10" eb="12">
      <t>コウジョウ</t>
    </rPh>
    <rPh sb="18" eb="20">
      <t>タイセイ</t>
    </rPh>
    <rPh sb="21" eb="23">
      <t>ケイカク</t>
    </rPh>
    <phoneticPr fontId="1"/>
  </si>
  <si>
    <t>学部・学科に関係なく希望する学生全員が受講可能となるような必要な体制・取組等</t>
    <rPh sb="29" eb="31">
      <t>ヒツヨウ</t>
    </rPh>
    <rPh sb="32" eb="34">
      <t>タイセイ</t>
    </rPh>
    <rPh sb="35" eb="37">
      <t>トリクミ</t>
    </rPh>
    <rPh sb="37" eb="38">
      <t>トウ</t>
    </rPh>
    <phoneticPr fontId="1"/>
  </si>
  <si>
    <t>収容
定員</t>
    <rPh sb="0" eb="2">
      <t>シュウヨウ</t>
    </rPh>
    <rPh sb="3" eb="5">
      <t>テイイン</t>
    </rPh>
    <phoneticPr fontId="1"/>
  </si>
  <si>
    <t>できる限り多くの学生が履修できるような具体的な周知方法・取組</t>
    <rPh sb="3" eb="4">
      <t>カギ</t>
    </rPh>
    <rPh sb="5" eb="6">
      <t>オオ</t>
    </rPh>
    <rPh sb="8" eb="10">
      <t>ガクセイ</t>
    </rPh>
    <rPh sb="11" eb="13">
      <t>リシュウ</t>
    </rPh>
    <rPh sb="19" eb="22">
      <t>グタイテキ</t>
    </rPh>
    <rPh sb="23" eb="25">
      <t>シュウチ</t>
    </rPh>
    <rPh sb="25" eb="27">
      <t>ホウホウ</t>
    </rPh>
    <rPh sb="28" eb="30">
      <t>トリクミ</t>
    </rPh>
    <phoneticPr fontId="1"/>
  </si>
  <si>
    <t>プログラムを改善・進化させるための体制を定める規則名称</t>
    <phoneticPr fontId="1"/>
  </si>
  <si>
    <t>（責任者名）</t>
    <rPh sb="1" eb="4">
      <t>セキニンシャ</t>
    </rPh>
    <rPh sb="4" eb="5">
      <t>メイ</t>
    </rPh>
    <phoneticPr fontId="1"/>
  </si>
  <si>
    <t>⑪</t>
    <phoneticPr fontId="1"/>
  </si>
  <si>
    <t>学部・学科名称</t>
    <rPh sb="0" eb="2">
      <t>ガクブ</t>
    </rPh>
    <rPh sb="3" eb="5">
      <t>ガッカ</t>
    </rPh>
    <rPh sb="5" eb="7">
      <t>メイショウ</t>
    </rPh>
    <phoneticPr fontId="1"/>
  </si>
  <si>
    <t>授業時間内外で学習指導、質問を受け付ける具体的な仕組み</t>
    <rPh sb="20" eb="23">
      <t>グタイテキ</t>
    </rPh>
    <phoneticPr fontId="1"/>
  </si>
  <si>
    <t>入学
定員</t>
    <rPh sb="0" eb="2">
      <t>ニュウガク</t>
    </rPh>
    <rPh sb="3" eb="5">
      <t>テイイン</t>
    </rPh>
    <phoneticPr fontId="1"/>
  </si>
  <si>
    <t>令和3年度</t>
    <rPh sb="0" eb="2">
      <t>レイワ</t>
    </rPh>
    <rPh sb="3" eb="5">
      <t>ネンド</t>
    </rPh>
    <phoneticPr fontId="1"/>
  </si>
  <si>
    <t>令和2年度</t>
    <rPh sb="0" eb="2">
      <t>レイワ</t>
    </rPh>
    <rPh sb="3" eb="5">
      <t>ネンド</t>
    </rPh>
    <phoneticPr fontId="1"/>
  </si>
  <si>
    <t>授業科目</t>
    <rPh sb="0" eb="2">
      <t>ジュギョウ</t>
    </rPh>
    <rPh sb="2" eb="4">
      <t>カモク</t>
    </rPh>
    <phoneticPr fontId="1"/>
  </si>
  <si>
    <t>授業に含まれている内容・要素</t>
    <phoneticPr fontId="1"/>
  </si>
  <si>
    <t>講義内容</t>
    <rPh sb="0" eb="2">
      <t>コウギ</t>
    </rPh>
    <rPh sb="2" eb="4">
      <t>ナイヨウ</t>
    </rPh>
    <phoneticPr fontId="1"/>
  </si>
  <si>
    <t>1-1</t>
    <phoneticPr fontId="1"/>
  </si>
  <si>
    <t>2-1</t>
    <phoneticPr fontId="1"/>
  </si>
  <si>
    <t>3-1</t>
    <phoneticPr fontId="1"/>
  </si>
  <si>
    <t>1-6</t>
  </si>
  <si>
    <t>3-2</t>
    <phoneticPr fontId="1"/>
  </si>
  <si>
    <t>（１）現在進行中の社会変化（第４次産業革命、Society 5.0、データ駆動型社会等）に深く寄与しているものであり、それが自らの生活と密接に結びついている</t>
    <phoneticPr fontId="1"/>
  </si>
  <si>
    <t>（２）「社会で活用されているデータ」や「データの活用領域」は非常に広範囲であって、日常生活や社会の課題を解決する有用なツールになり得るもの</t>
    <phoneticPr fontId="1"/>
  </si>
  <si>
    <t>（３）様々なデータ利活用の現場におけるデータ利活用事例が示され、様々な適用領域（流通、製造、金融、サービス、インフラ、公共、ヘルスケア等）の知見と組み合わせることで価値を創出するもの</t>
    <phoneticPr fontId="1"/>
  </si>
  <si>
    <t>　　　　　　　　　　　　　　　　　　　　　　　　　　　　　　　　　　　　　　　　　　　　　　　　　　　　　　　　　　　　　　　　　　　　　　　　　　　　　　　　　　　　　　　　　　　　　　　　　　　　　　　　　　　　　　　　　　　　　　　　　　　　　　　　　　　　　　　　　　　　　　　　　　　　　　　　　　　　　　　　　　　　　　　　　　　　　　　　　　　　　　　　　　　　　　　　　　　　　　　　　　　　　　　　　　　　　　　　　　　　　　　　　　　　　　　　　　　　　　　　　　　　　　　　　　　　　　　　　　　　　　　　　　　　　　　　　　　　　　　　　　　　　　　　　　　　　　　　　　　　　　　　　　　　　　　　　　　　　　　　　　　　　　　　　　　　　　　　　　　　　　　　　　　　　　　　　　　　　　　　　　　　　　　　　　　　　　　　　　　　　　　　　　　　　　　　　　　　　　　　　　　　　　　　　　　　　　　　　　　　　　　　　　　　　　　　　　　　　　　　　　　　　　　　　　　　　　　　　　　　　　　　　　　　　　　　　　　　　　　　　　　　　　　　　　　　　　　　　　　　　　　　　　　　　　　　　　　　　　　　　　　　　　　　　　　　　　　　　　　　　　　　　　　　　　　　　　　　　　　　　　　　　　　　　　　　　　　　　　　　　　　　　　　　　　　　　　　　　　　　　　　　　　　　　　　　　　　　　　　　　　　　　　　　　　　　　　　　　　　　　　　　　　　　　　　　　　　　　　　　　　　　　　　　　　　　　　　　　　　　　　　　　　　　　　　　　　　　　　　　　　　　　　　　　　　　　　　　　　　　　　　　　　　　　　　　　　</t>
    <phoneticPr fontId="1"/>
  </si>
  <si>
    <t>令和７年度予定</t>
    <rPh sb="0" eb="2">
      <t>レイワ</t>
    </rPh>
    <rPh sb="3" eb="5">
      <t>ネンド</t>
    </rPh>
    <rPh sb="5" eb="7">
      <t>ヨテイ</t>
    </rPh>
    <phoneticPr fontId="1"/>
  </si>
  <si>
    <t>収容定員（名）</t>
    <rPh sb="0" eb="4">
      <t>シュウヨウテイイン</t>
    </rPh>
    <rPh sb="5" eb="6">
      <t>メイ</t>
    </rPh>
    <phoneticPr fontId="1"/>
  </si>
  <si>
    <t>具体的な計画</t>
    <rPh sb="0" eb="3">
      <t>グタイテキ</t>
    </rPh>
    <rPh sb="4" eb="6">
      <t>ケイカク</t>
    </rPh>
    <phoneticPr fontId="1"/>
  </si>
  <si>
    <t>　　　　　　　　　　　　　　　　　　　　　　　　　　　　　　　　　　　　　　　　　　　　　　　　　　　　　　　　　　　　　　　　　　　　　　　　　</t>
    <phoneticPr fontId="1"/>
  </si>
  <si>
    <t>1-2</t>
    <phoneticPr fontId="1"/>
  </si>
  <si>
    <t>1-3</t>
    <phoneticPr fontId="1"/>
  </si>
  <si>
    <t>1-4</t>
    <phoneticPr fontId="1"/>
  </si>
  <si>
    <t>1-5</t>
    <phoneticPr fontId="1"/>
  </si>
  <si>
    <t>2-2</t>
    <phoneticPr fontId="1"/>
  </si>
  <si>
    <t>2-3</t>
    <phoneticPr fontId="1"/>
  </si>
  <si>
    <t>1-6</t>
    <phoneticPr fontId="1"/>
  </si>
  <si>
    <t>（４）活用に当たっての様々な留意事項（ELSI、個人情報、データ倫理、ＡＩ社会原則等）を考慮し、情報セキュリティや情報漏洩等、データを守る上での留意事項への理解をする</t>
    <phoneticPr fontId="1"/>
  </si>
  <si>
    <t>（５）実データ・実課題（学術データ等を含む）を用いた演習など、社会での実例を題材として、「データを読む、説明する、扱う」といった数理・データサイエンス・ＡＩの基本的な活用法に関するもの</t>
    <phoneticPr fontId="1"/>
  </si>
  <si>
    <t>単位数</t>
    <rPh sb="0" eb="3">
      <t>タンイスウ</t>
    </rPh>
    <phoneticPr fontId="1"/>
  </si>
  <si>
    <t>選択項目</t>
    <rPh sb="0" eb="2">
      <t>センタク</t>
    </rPh>
    <rPh sb="2" eb="4">
      <t>コウモク</t>
    </rPh>
    <phoneticPr fontId="1"/>
  </si>
  <si>
    <t>①プログラム開設年度</t>
    <rPh sb="6" eb="8">
      <t>カイセツ</t>
    </rPh>
    <rPh sb="8" eb="10">
      <t>ネンド</t>
    </rPh>
    <phoneticPr fontId="1"/>
  </si>
  <si>
    <t>必須</t>
    <rPh sb="0" eb="2">
      <t>ヒッス</t>
    </rPh>
    <phoneticPr fontId="1"/>
  </si>
  <si>
    <t>令和4年度</t>
    <rPh sb="0" eb="2">
      <t>レイワ</t>
    </rPh>
    <rPh sb="3" eb="5">
      <t>ネンド</t>
    </rPh>
    <phoneticPr fontId="1"/>
  </si>
  <si>
    <t>学生数</t>
    <rPh sb="0" eb="3">
      <t>ガクセイスウ</t>
    </rPh>
    <phoneticPr fontId="1"/>
  </si>
  <si>
    <t>プログラムを改善・進化させるための体制（委員会・組織等）</t>
    <phoneticPr fontId="1"/>
  </si>
  <si>
    <t>令和８年度予定</t>
    <rPh sb="0" eb="2">
      <t>レイワ</t>
    </rPh>
    <rPh sb="3" eb="5">
      <t>ネンド</t>
    </rPh>
    <rPh sb="5" eb="7">
      <t>ヨテイ</t>
    </rPh>
    <phoneticPr fontId="1"/>
  </si>
  <si>
    <t>全学の教員数</t>
    <rPh sb="0" eb="2">
      <t>ゼンガク</t>
    </rPh>
    <rPh sb="3" eb="6">
      <t>キョウインスウ</t>
    </rPh>
    <phoneticPr fontId="1"/>
  </si>
  <si>
    <t>(常勤）</t>
    <rPh sb="1" eb="3">
      <t>ジョウキン</t>
    </rPh>
    <phoneticPr fontId="1"/>
  </si>
  <si>
    <t>プログラムの授業を教えている教員数</t>
    <rPh sb="6" eb="8">
      <t>ジュギョウ</t>
    </rPh>
    <rPh sb="9" eb="10">
      <t>オシ</t>
    </rPh>
    <rPh sb="14" eb="17">
      <t>キョウインスウ</t>
    </rPh>
    <phoneticPr fontId="1"/>
  </si>
  <si>
    <t>プログラムの運営責任者</t>
    <rPh sb="6" eb="8">
      <t>ウンエイ</t>
    </rPh>
    <rPh sb="8" eb="11">
      <t>セキニンシャ</t>
    </rPh>
    <phoneticPr fontId="1"/>
  </si>
  <si>
    <t>プログラムの自己点検・評価を行う体制（委員会・組織等）</t>
    <phoneticPr fontId="1"/>
  </si>
  <si>
    <t>履修者数</t>
    <rPh sb="0" eb="3">
      <t>リシュウシャ</t>
    </rPh>
    <rPh sb="3" eb="4">
      <t>スウ</t>
    </rPh>
    <phoneticPr fontId="1"/>
  </si>
  <si>
    <t>2-1</t>
  </si>
  <si>
    <t>プログラム名</t>
    <rPh sb="5" eb="6">
      <t>メイ</t>
    </rPh>
    <phoneticPr fontId="1"/>
  </si>
  <si>
    <t>【プルダウンリスト】</t>
    <phoneticPr fontId="1"/>
  </si>
  <si>
    <t>様式４</t>
    <phoneticPr fontId="1"/>
  </si>
  <si>
    <t>様式３</t>
    <phoneticPr fontId="1"/>
  </si>
  <si>
    <t>様式２</t>
    <phoneticPr fontId="1"/>
  </si>
  <si>
    <t>大学等名</t>
    <rPh sb="0" eb="2">
      <t>ダイガク</t>
    </rPh>
    <rPh sb="2" eb="3">
      <t>トウ</t>
    </rPh>
    <rPh sb="3" eb="4">
      <t>メイ</t>
    </rPh>
    <phoneticPr fontId="1"/>
  </si>
  <si>
    <t>「学部・学科によって、修了要件は相違する」場合は、本シートを複製の上＜様式１－〇＞と枝番号を付してください</t>
    <rPh sb="21" eb="23">
      <t>バアイ</t>
    </rPh>
    <rPh sb="25" eb="26">
      <t>ホン</t>
    </rPh>
    <rPh sb="30" eb="32">
      <t>フクセイ</t>
    </rPh>
    <rPh sb="33" eb="34">
      <t>ウエ</t>
    </rPh>
    <rPh sb="42" eb="45">
      <t>エダバンゴウ</t>
    </rPh>
    <rPh sb="46" eb="47">
      <t>フ</t>
    </rPh>
    <phoneticPr fontId="1"/>
  </si>
  <si>
    <t>③ 修了要件</t>
    <phoneticPr fontId="1"/>
  </si>
  <si>
    <t>④ 現在進行中の社会変化（第４次産業革命、Society 5.0、データ駆動型社会等）に深く寄与しているものであり、それが自らの生活と密接に結びついている」の内容を含む授業科目</t>
    <rPh sb="2" eb="4">
      <t>ゲンザイ</t>
    </rPh>
    <rPh sb="4" eb="6">
      <t>シンコウ</t>
    </rPh>
    <rPh sb="6" eb="7">
      <t>チュウ</t>
    </rPh>
    <rPh sb="8" eb="10">
      <t>シャカイ</t>
    </rPh>
    <rPh sb="10" eb="12">
      <t>ヘンカ</t>
    </rPh>
    <rPh sb="13" eb="14">
      <t>ダイ</t>
    </rPh>
    <rPh sb="15" eb="16">
      <t>ジ</t>
    </rPh>
    <rPh sb="16" eb="18">
      <t>サンギョウ</t>
    </rPh>
    <rPh sb="18" eb="20">
      <t>カクメイ</t>
    </rPh>
    <rPh sb="36" eb="38">
      <t>クドウ</t>
    </rPh>
    <rPh sb="38" eb="39">
      <t>ガタ</t>
    </rPh>
    <rPh sb="39" eb="41">
      <t>シャカイ</t>
    </rPh>
    <rPh sb="41" eb="42">
      <t>トウ</t>
    </rPh>
    <rPh sb="44" eb="45">
      <t>フカ</t>
    </rPh>
    <rPh sb="46" eb="48">
      <t>キヨ</t>
    </rPh>
    <rPh sb="61" eb="62">
      <t>ミズカ</t>
    </rPh>
    <rPh sb="64" eb="66">
      <t>セイカツ</t>
    </rPh>
    <rPh sb="67" eb="69">
      <t>ミッセツ</t>
    </rPh>
    <rPh sb="70" eb="71">
      <t>ムス</t>
    </rPh>
    <rPh sb="79" eb="81">
      <t>ナイヨウ</t>
    </rPh>
    <rPh sb="82" eb="83">
      <t>フク</t>
    </rPh>
    <rPh sb="84" eb="86">
      <t>ジュギョウ</t>
    </rPh>
    <rPh sb="86" eb="88">
      <t>カモク</t>
    </rPh>
    <phoneticPr fontId="1"/>
  </si>
  <si>
    <t>⑤ 「社会で活用されているデータ」や「データの活用領域」は非常に広範囲であって、日常生活や社会の課題を解決する有用なツールになり得るもの」の内容を含む授業科目</t>
    <rPh sb="3" eb="5">
      <t>シャカイ</t>
    </rPh>
    <rPh sb="6" eb="8">
      <t>カツヨウ</t>
    </rPh>
    <rPh sb="23" eb="25">
      <t>カツヨウ</t>
    </rPh>
    <rPh sb="25" eb="27">
      <t>リョウイキ</t>
    </rPh>
    <rPh sb="29" eb="31">
      <t>ヒジョウ</t>
    </rPh>
    <rPh sb="32" eb="35">
      <t>コウハンイ</t>
    </rPh>
    <rPh sb="40" eb="42">
      <t>ニチジョウ</t>
    </rPh>
    <rPh sb="42" eb="44">
      <t>セイカツ</t>
    </rPh>
    <rPh sb="45" eb="47">
      <t>シャカイ</t>
    </rPh>
    <rPh sb="48" eb="50">
      <t>カダイ</t>
    </rPh>
    <rPh sb="51" eb="53">
      <t>カイケツ</t>
    </rPh>
    <rPh sb="55" eb="57">
      <t>ユウヨウ</t>
    </rPh>
    <rPh sb="64" eb="65">
      <t>ウ</t>
    </rPh>
    <rPh sb="70" eb="72">
      <t>ナイヨウ</t>
    </rPh>
    <phoneticPr fontId="1"/>
  </si>
  <si>
    <t>⑥ 「様々なデータ利活用の現場におけるデータ利活用事例が示され、様々な適用領域（流通、製造、金融、サービス、インフラ、公共、ヘルスケア等）の知見と組み合わせることで価値を創出するもの」の内容を含む授業科目</t>
    <rPh sb="3" eb="5">
      <t>サマザマ</t>
    </rPh>
    <rPh sb="9" eb="12">
      <t>リカツヨウ</t>
    </rPh>
    <rPh sb="13" eb="15">
      <t>ゲンバ</t>
    </rPh>
    <rPh sb="22" eb="25">
      <t>リカツヨウ</t>
    </rPh>
    <rPh sb="25" eb="27">
      <t>ジレイ</t>
    </rPh>
    <rPh sb="28" eb="29">
      <t>シメ</t>
    </rPh>
    <rPh sb="32" eb="34">
      <t>サマザマ</t>
    </rPh>
    <rPh sb="35" eb="37">
      <t>テキヨウ</t>
    </rPh>
    <rPh sb="37" eb="39">
      <t>リョウイキ</t>
    </rPh>
    <rPh sb="40" eb="42">
      <t>リュウツウ</t>
    </rPh>
    <rPh sb="43" eb="45">
      <t>セイゾウ</t>
    </rPh>
    <rPh sb="46" eb="48">
      <t>キンユウ</t>
    </rPh>
    <rPh sb="59" eb="61">
      <t>コウキョウ</t>
    </rPh>
    <rPh sb="67" eb="68">
      <t>ナド</t>
    </rPh>
    <rPh sb="70" eb="72">
      <t>チケン</t>
    </rPh>
    <rPh sb="73" eb="74">
      <t>ク</t>
    </rPh>
    <rPh sb="75" eb="76">
      <t>ア</t>
    </rPh>
    <rPh sb="82" eb="84">
      <t>カチ</t>
    </rPh>
    <rPh sb="85" eb="87">
      <t>ソウシュツ</t>
    </rPh>
    <phoneticPr fontId="1"/>
  </si>
  <si>
    <t>⑦ 「活用に当たっての様々な留意事項（ELSI、個人情報、データ倫理、ＡＩ社会原則等）を考慮し、情報セキュリティや情報漏洩等、データを守る上での留意事項への理解をする」の内容を含む授業科目</t>
    <rPh sb="3" eb="5">
      <t>カツヨウ</t>
    </rPh>
    <rPh sb="6" eb="7">
      <t>ア</t>
    </rPh>
    <rPh sb="11" eb="13">
      <t>サマザマ</t>
    </rPh>
    <rPh sb="14" eb="16">
      <t>リュウイ</t>
    </rPh>
    <rPh sb="16" eb="18">
      <t>ジコウ</t>
    </rPh>
    <rPh sb="24" eb="26">
      <t>コジン</t>
    </rPh>
    <rPh sb="26" eb="28">
      <t>ジョウホウ</t>
    </rPh>
    <rPh sb="32" eb="34">
      <t>リンリ</t>
    </rPh>
    <rPh sb="37" eb="39">
      <t>シャカイ</t>
    </rPh>
    <rPh sb="39" eb="41">
      <t>ゲンソク</t>
    </rPh>
    <rPh sb="41" eb="42">
      <t>ナド</t>
    </rPh>
    <rPh sb="44" eb="46">
      <t>コウリョ</t>
    </rPh>
    <rPh sb="48" eb="50">
      <t>ジョウホウ</t>
    </rPh>
    <rPh sb="57" eb="59">
      <t>ジョウホウ</t>
    </rPh>
    <rPh sb="59" eb="61">
      <t>ロウエイ</t>
    </rPh>
    <rPh sb="61" eb="62">
      <t>ナド</t>
    </rPh>
    <rPh sb="67" eb="68">
      <t>マモ</t>
    </rPh>
    <rPh sb="69" eb="70">
      <t>ウエ</t>
    </rPh>
    <rPh sb="72" eb="74">
      <t>リュウイ</t>
    </rPh>
    <rPh sb="74" eb="76">
      <t>ジコウ</t>
    </rPh>
    <rPh sb="78" eb="80">
      <t>リカイ</t>
    </rPh>
    <phoneticPr fontId="1"/>
  </si>
  <si>
    <t>⑧ 「実データ・実課題（学術データ等を含む）を用いた演習など、社会での実例を題材として、「データを読む、説明する、扱う」といった数理・データサイエンス・ＡＩの基本的な活用法に関するもの」の内容を含む授業科目</t>
    <phoneticPr fontId="1"/>
  </si>
  <si>
    <t>⑨ 選択「４．オプション」の内容を含む授業科目</t>
    <rPh sb="14" eb="16">
      <t>ナイヨウ</t>
    </rPh>
    <rPh sb="17" eb="18">
      <t>フク</t>
    </rPh>
    <rPh sb="19" eb="21">
      <t>ジュギョウ</t>
    </rPh>
    <rPh sb="21" eb="23">
      <t>カモク</t>
    </rPh>
    <phoneticPr fontId="1"/>
  </si>
  <si>
    <t>⑩ プログラムを構成する授業の内容</t>
    <phoneticPr fontId="1"/>
  </si>
  <si>
    <t>⑪ プログラムの学修成果（学生等が身に付けられる能力等）</t>
    <phoneticPr fontId="1"/>
  </si>
  <si>
    <t>履修必須の有無</t>
    <rPh sb="0" eb="2">
      <t>リシュウ</t>
    </rPh>
    <rPh sb="2" eb="4">
      <t>ヒッス</t>
    </rPh>
    <rPh sb="5" eb="7">
      <t>ウム</t>
    </rPh>
    <phoneticPr fontId="1"/>
  </si>
  <si>
    <r>
      <t xml:space="preserve">履修者数・履修率の向上に向けた計画 </t>
    </r>
    <r>
      <rPr>
        <sz val="6"/>
        <color theme="1"/>
        <rFont val="ＭＳ Ｐゴシック"/>
        <family val="3"/>
        <charset val="128"/>
        <scheme val="minor"/>
      </rPr>
      <t>※様式１の「履修必須の有無」で「計画がある」としている場合は詳細について記載すること</t>
    </r>
    <rPh sb="5" eb="7">
      <t>リシュウ</t>
    </rPh>
    <rPh sb="7" eb="8">
      <t>リツ</t>
    </rPh>
    <rPh sb="19" eb="21">
      <t>ヨウシキ</t>
    </rPh>
    <rPh sb="34" eb="36">
      <t>ケイカク</t>
    </rPh>
    <rPh sb="45" eb="47">
      <t>バアイ</t>
    </rPh>
    <rPh sb="48" eb="50">
      <t>ショウサイ</t>
    </rPh>
    <rPh sb="54" eb="56">
      <t>キサイ</t>
    </rPh>
    <phoneticPr fontId="1"/>
  </si>
  <si>
    <t>令和5年度</t>
    <rPh sb="0" eb="2">
      <t>レイワ</t>
    </rPh>
    <rPh sb="3" eb="5">
      <t>ネンド</t>
    </rPh>
    <phoneticPr fontId="1"/>
  </si>
  <si>
    <t>科目</t>
    <rPh sb="0" eb="2">
      <t>カモク</t>
    </rPh>
    <phoneticPr fontId="1"/>
  </si>
  <si>
    <t>単位</t>
    <rPh sb="0" eb="2">
      <t>タンイ</t>
    </rPh>
    <phoneticPr fontId="1"/>
  </si>
  <si>
    <t>②大学等全体の男女別学生数</t>
    <rPh sb="1" eb="3">
      <t>ダイガク</t>
    </rPh>
    <rPh sb="3" eb="4">
      <t>トウ</t>
    </rPh>
    <rPh sb="4" eb="6">
      <t>ゼンタイ</t>
    </rPh>
    <rPh sb="7" eb="10">
      <t>ダンジョベツ</t>
    </rPh>
    <rPh sb="10" eb="13">
      <t>ガクセイスウ</t>
    </rPh>
    <phoneticPr fontId="1"/>
  </si>
  <si>
    <t>男性</t>
    <rPh sb="0" eb="2">
      <t>ダンセイ</t>
    </rPh>
    <phoneticPr fontId="1"/>
  </si>
  <si>
    <t>人</t>
    <rPh sb="0" eb="1">
      <t>ヒト</t>
    </rPh>
    <phoneticPr fontId="1"/>
  </si>
  <si>
    <t>女性</t>
    <rPh sb="0" eb="2">
      <t>ジョセイ</t>
    </rPh>
    <phoneticPr fontId="1"/>
  </si>
  <si>
    <t>（</t>
    <phoneticPr fontId="1"/>
  </si>
  <si>
    <t>合計</t>
    <rPh sb="0" eb="2">
      <t>ゴウケイ</t>
    </rPh>
    <phoneticPr fontId="1"/>
  </si>
  <si>
    <t>）</t>
    <phoneticPr fontId="1"/>
  </si>
  <si>
    <t>令和９年度予定</t>
    <rPh sb="0" eb="2">
      <t>レイワ</t>
    </rPh>
    <rPh sb="3" eb="5">
      <t>ネンド</t>
    </rPh>
    <rPh sb="5" eb="7">
      <t>ヨテイ</t>
    </rPh>
    <phoneticPr fontId="1"/>
  </si>
  <si>
    <t>① 教育プログラムの修了要件</t>
    <rPh sb="2" eb="4">
      <t>キョウイク</t>
    </rPh>
    <rPh sb="10" eb="14">
      <t>シュウリョウヨウケン</t>
    </rPh>
    <phoneticPr fontId="1"/>
  </si>
  <si>
    <t>② 対象となる学部・学科名称</t>
    <phoneticPr fontId="1"/>
  </si>
  <si>
    <t>必要最低科目数・単位数</t>
    <rPh sb="4" eb="7">
      <t>カモクスウ</t>
    </rPh>
    <phoneticPr fontId="1"/>
  </si>
  <si>
    <t>③履修者・修了者の実績</t>
    <rPh sb="1" eb="3">
      <t>リシュウ</t>
    </rPh>
    <rPh sb="3" eb="4">
      <t>シャ</t>
    </rPh>
    <rPh sb="5" eb="8">
      <t>シュウリョウシャ</t>
    </rPh>
    <rPh sb="9" eb="11">
      <t>ジッセキ</t>
    </rPh>
    <phoneticPr fontId="1"/>
  </si>
  <si>
    <t>内容・水準を維持・向上しつつ、より「分かりやすい」授業とすること
※社会の変化や生成AI等の技術の発展を踏まえて教育内容を継続的に見直すなど、より教育効果の高まる授業内容・方法とするための取組や仕組みについても該当があれば記載</t>
    <rPh sb="0" eb="2">
      <t>ナイヨウ</t>
    </rPh>
    <rPh sb="3" eb="5">
      <t>スイジュン</t>
    </rPh>
    <rPh sb="6" eb="8">
      <t>イジ</t>
    </rPh>
    <rPh sb="9" eb="11">
      <t>コウジョウ</t>
    </rPh>
    <rPh sb="18" eb="19">
      <t>ワ</t>
    </rPh>
    <rPh sb="25" eb="27">
      <t>ジュギョウ</t>
    </rPh>
    <rPh sb="50" eb="52">
      <t>ハッテン</t>
    </rPh>
    <rPh sb="74" eb="76">
      <t>キョウイク</t>
    </rPh>
    <rPh sb="76" eb="78">
      <t>コウカ</t>
    </rPh>
    <rPh sb="79" eb="80">
      <t>タカ</t>
    </rPh>
    <rPh sb="82" eb="84">
      <t>ジュギョウ</t>
    </rPh>
    <rPh sb="84" eb="86">
      <t>ナイヨウ</t>
    </rPh>
    <rPh sb="87" eb="89">
      <t>ホウホウ</t>
    </rPh>
    <rPh sb="95" eb="97">
      <t>トリクミ</t>
    </rPh>
    <rPh sb="98" eb="100">
      <t>シク</t>
    </rPh>
    <rPh sb="106" eb="108">
      <t>ガイトウ</t>
    </rPh>
    <rPh sb="112" eb="114">
      <t>キサイ</t>
    </rPh>
    <phoneticPr fontId="1"/>
  </si>
  <si>
    <t>令和６年度以前より、履修することが必須のプログラムとして実施</t>
    <rPh sb="0" eb="2">
      <t>レイワ</t>
    </rPh>
    <rPh sb="3" eb="5">
      <t>ネンド</t>
    </rPh>
    <rPh sb="5" eb="7">
      <t>イゼン</t>
    </rPh>
    <phoneticPr fontId="1"/>
  </si>
  <si>
    <t>令和９年度までに履修必須とする計画</t>
    <rPh sb="3" eb="4">
      <t>ネン</t>
    </rPh>
    <phoneticPr fontId="1"/>
  </si>
  <si>
    <t>令和１０年度以降に履修必須とする計画、又は未定</t>
    <rPh sb="19" eb="20">
      <t>マタ</t>
    </rPh>
    <rPh sb="21" eb="23">
      <t>ミテイ</t>
    </rPh>
    <phoneticPr fontId="1"/>
  </si>
  <si>
    <t>年度（和暦）</t>
    <rPh sb="0" eb="2">
      <t>ネンド</t>
    </rPh>
    <rPh sb="3" eb="5">
      <t>ワレキ</t>
    </rPh>
    <phoneticPr fontId="1"/>
  </si>
  <si>
    <t>令和6年度</t>
    <rPh sb="0" eb="2">
      <t>レイワ</t>
    </rPh>
    <rPh sb="3" eb="5">
      <t>ネンド</t>
    </rPh>
    <phoneticPr fontId="1"/>
  </si>
  <si>
    <t>令和元年度</t>
    <rPh sb="0" eb="2">
      <t>レイワ</t>
    </rPh>
    <rPh sb="2" eb="4">
      <t>ガンネン</t>
    </rPh>
    <rPh sb="4" eb="5">
      <t>ド</t>
    </rPh>
    <phoneticPr fontId="1"/>
  </si>
  <si>
    <t>（令和６年５月１日時点）</t>
    <rPh sb="1" eb="3">
      <t>レイワ</t>
    </rPh>
    <rPh sb="4" eb="5">
      <t>ネン</t>
    </rPh>
    <rPh sb="6" eb="7">
      <t>ガツ</t>
    </rPh>
    <rPh sb="8" eb="9">
      <t>ニチ</t>
    </rPh>
    <rPh sb="9" eb="11">
      <t>ジテン</t>
    </rPh>
    <phoneticPr fontId="1"/>
  </si>
  <si>
    <t>令和６年度実績</t>
    <rPh sb="0" eb="2">
      <t>レイワ</t>
    </rPh>
    <rPh sb="3" eb="5">
      <t>ネンド</t>
    </rPh>
    <rPh sb="5" eb="7">
      <t>ジッセキ</t>
    </rPh>
    <phoneticPr fontId="1"/>
  </si>
  <si>
    <t>令和１０年度予定</t>
    <rPh sb="0" eb="2">
      <t>レイワ</t>
    </rPh>
    <rPh sb="4" eb="6">
      <t>ネンド</t>
    </rPh>
    <rPh sb="6" eb="8">
      <t>ヨテイ</t>
    </rPh>
    <phoneticPr fontId="1"/>
  </si>
  <si>
    <t>4‐2アルゴリズム基礎</t>
    <phoneticPr fontId="1"/>
  </si>
  <si>
    <t>4‐3データ構造とプログラミング基礎</t>
    <phoneticPr fontId="1"/>
  </si>
  <si>
    <t>4‐4時系列データ解析</t>
    <phoneticPr fontId="1"/>
  </si>
  <si>
    <t>4‐7データハンドリング</t>
    <phoneticPr fontId="1"/>
  </si>
  <si>
    <t>4‐8データ活用実践（教師あり学習）</t>
    <phoneticPr fontId="1"/>
  </si>
  <si>
    <t>4‐9データ活用実践（教師なし学習）</t>
    <phoneticPr fontId="1"/>
  </si>
  <si>
    <t>その他</t>
    <phoneticPr fontId="1"/>
  </si>
  <si>
    <t>4-1統計および数理基礎</t>
    <phoneticPr fontId="1"/>
  </si>
  <si>
    <t>4‐5自然言語処理</t>
    <rPh sb="3" eb="5">
      <t>シゼン</t>
    </rPh>
    <rPh sb="5" eb="7">
      <t>ゲンゴ</t>
    </rPh>
    <rPh sb="7" eb="9">
      <t>ショリ</t>
    </rPh>
    <phoneticPr fontId="1"/>
  </si>
  <si>
    <t>4‐6画像認識</t>
    <rPh sb="5" eb="7">
      <t>ニンシキ</t>
    </rPh>
    <phoneticPr fontId="1"/>
  </si>
  <si>
    <t>リテラシーレベルのプログラムを構成する授業科目について</t>
    <phoneticPr fontId="1"/>
  </si>
  <si>
    <t>リテラシーレベルのプログラムの履修者数等の実績について</t>
    <phoneticPr fontId="1"/>
  </si>
  <si>
    <t>長崎外国語大学</t>
    <rPh sb="0" eb="7">
      <t>ナガサキガイコクゴダイガク</t>
    </rPh>
    <phoneticPr fontId="1"/>
  </si>
  <si>
    <t>NUFS DSリテラシー教育プログラム</t>
    <rPh sb="12" eb="14">
      <t>キョウイク</t>
    </rPh>
    <phoneticPr fontId="1"/>
  </si>
  <si>
    <t>学部・学科によって、修了要件は相違しない</t>
  </si>
  <si>
    <t>教養演習Ⅱ</t>
    <rPh sb="0" eb="4">
      <t>キョウヨウエンシュウ</t>
    </rPh>
    <phoneticPr fontId="1"/>
  </si>
  <si>
    <t>○</t>
  </si>
  <si>
    <t>学生委員会</t>
    <rPh sb="0" eb="5">
      <t>ガクセイイインカイ</t>
    </rPh>
    <phoneticPr fontId="1"/>
  </si>
  <si>
    <t>坂本　彩希絵</t>
    <rPh sb="0" eb="2">
      <t>サカモト</t>
    </rPh>
    <rPh sb="3" eb="6">
      <t>サキエ</t>
    </rPh>
    <phoneticPr fontId="1"/>
  </si>
  <si>
    <t>学生部長</t>
    <rPh sb="0" eb="4">
      <t>ガクセイブチョウ</t>
    </rPh>
    <phoneticPr fontId="1"/>
  </si>
  <si>
    <t>データを活用し、社会の課題を発見・解決できる人材の育成を目的として、本学では学士課程全般を管掌する「学生委員会」が、数理・データサイエンス・AI教育の全学的な普及と関連科目の整備を推進している。外国語教育を基盤に、多様な文化的背景への理解と共生を重視する人文科学系の大学として、本学はこれらの教育が言語・文化・社会に関する学びと有機的に結びつくことを重視している。学生委員会は、外国語教育に精通した委員を中心に、「NUFS DSリテラシー教育プログラム」の改善・進化、教育の質の向上、履修者数の拡大を担い、多文化的視点と数理的思考力を兼ね備えた人材の育成を目指す。あわせて、履修状況の把握、学習支援、カリキュラムの検証と提案にも継続的に取り組む。</t>
    <phoneticPr fontId="1"/>
  </si>
  <si>
    <t>学生部長　坂本 彩希絵 （外国語学部 国際コミュニケーション学科 教授）
外国語学部 教授　藤内 則光 （現代英語学科）
外国語学部 教授　松本 真輔 （国際コミュニケーション学科）
外国語学部 教授　新里 喜宣 （国際コミュニケーション学科）
外国語学部 准教授　中原 郷子 （国際コミュニケーション学科）
外国語学部 講師　辜 知愚 （国際コミュニケーション学科）
大学事務局 次長　山本 哲哉
大学事務局 課長　洲加本 周五郎 （学生部学生サポート課）
大学事務局 課長　松尾 博則 （学生部キャリア支援課）</t>
    <rPh sb="0" eb="4">
      <t>ガクセイブチョウ</t>
    </rPh>
    <rPh sb="5" eb="7">
      <t>サカモト</t>
    </rPh>
    <rPh sb="8" eb="11">
      <t>サキエ</t>
    </rPh>
    <rPh sb="13" eb="16">
      <t>ガイコクゴ</t>
    </rPh>
    <rPh sb="16" eb="18">
      <t>ガクブ</t>
    </rPh>
    <rPh sb="19" eb="21">
      <t>コクサイ</t>
    </rPh>
    <rPh sb="30" eb="32">
      <t>ガッカ</t>
    </rPh>
    <rPh sb="33" eb="35">
      <t>キョウジュ</t>
    </rPh>
    <rPh sb="37" eb="42">
      <t>ガイコクゴガクブ</t>
    </rPh>
    <rPh sb="43" eb="45">
      <t>キョウジュ</t>
    </rPh>
    <rPh sb="46" eb="48">
      <t>フジウチ</t>
    </rPh>
    <rPh sb="49" eb="50">
      <t>ノリ</t>
    </rPh>
    <rPh sb="50" eb="51">
      <t>ヒカリ</t>
    </rPh>
    <rPh sb="53" eb="59">
      <t>ゲンダイエイゴガッカ</t>
    </rPh>
    <rPh sb="129" eb="132">
      <t>ジュンキョウジュ</t>
    </rPh>
    <rPh sb="191" eb="193">
      <t>ジチョウ</t>
    </rPh>
    <rPh sb="200" eb="202">
      <t>ダイガク</t>
    </rPh>
    <rPh sb="202" eb="205">
      <t>ジムキョク</t>
    </rPh>
    <rPh sb="206" eb="208">
      <t>カチョウコウシ</t>
    </rPh>
    <phoneticPr fontId="1"/>
  </si>
  <si>
    <t>「NUFS DSリテラシー教育プログラム」の履修機会を広く周知するため、複数の機会を活用した情報発信を行う。まず、新入生オリエンテーションや学年別ガイダンスにおいて、本プログラムの概要や履修方法を紹介する時間を設ける。あわせて、学生用ポータルサイト（クラウド型教育支援システム「manaba」）やシラバスにおいて、プログラムの目的・科目構成・履修モデルをわかりやすく提示するとともに、履修ガイドを作成して配布する予定である。また、関連科目の担当教員による授業内での紹介や履修の呼びかけを通じて関心の喚起を図る。加えて、「学修支援センター」の掲示板などを活用し、履修に関する情報や支援体制を適宜発信する。こうした多角的な周知と働きかけにより、できる限り多くの学生に履修の機会を届けることを目指す。</t>
    <phoneticPr fontId="1"/>
  </si>
  <si>
    <t>自己点検・評価委員会</t>
    <phoneticPr fontId="1"/>
  </si>
  <si>
    <t>朴 永奎</t>
    <phoneticPr fontId="1"/>
  </si>
  <si>
    <t>外国語学部長</t>
    <rPh sb="0" eb="6">
      <t>ガイコクゴガクブチョウ</t>
    </rPh>
    <phoneticPr fontId="1"/>
  </si>
  <si>
    <t>「NUFS DSリテラシー教育プログラム」における学修成果の自己点検・評価は、「学修成果可視化システム Assessmentor」を活用して行う。同システムの分析機能により、プログラムを構成する各科目の履修者のGPとGPAの相関関係、さらに自己評価とGPの相関が把握可能であり、客観的かつ多面的に学修成果を検証できる。これらの分析結果は「教学IR委員会」と共有され、学修状況の傾向を踏まえたプログラムの評価・改善に活用される。今後は継続的なモニタリングとフィードバックを行うことで、教育の質保証に資する体制を強化していく。</t>
    <phoneticPr fontId="1"/>
  </si>
  <si>
    <t>「NUFS DSリテラシー教育プログラム」では、授業評価アンケートの「C 担当者と授業について」および「D 授業の成果について」の各項目の回答を分析し、学生による授業内容の理解度や到達度を把握している。特に「内容のわかりやすさ」と「授業の有益性」に関する設問結果をもとに、担当教員と学生委員会が連携して授業内容や進め方の改善を検討し、プログラム全体の質向上に反映させる。あわせて、担当教員は授業内で履修者に記述させたリフレクションペーパーの内容も分析し、学生の理解状況や関心の動向を把握しながら、授業改善に役立てている。</t>
    <phoneticPr fontId="1"/>
  </si>
  <si>
    <t>履修者による「NUFS DSリテラシー教育プログラム」履修の推奨度について、授業評価アンケートの自由記述欄や、上述のリフレクションペーパーの内容を活用している。これらの学生の率直な意見や受講の感想のうち、内容が適切なものを抜粋・編集し、大学ホームページの専用ページに掲載している。実際の履修者の声を紹介することで、他の学生が講義内容を具体的にイメージしやすくなり、履修への関心を高める推奨材料として活用している。</t>
    <phoneticPr fontId="1"/>
  </si>
  <si>
    <t>「NUFS DSリテラシー教育プログラム」は開始からの年数が浅く、現時点では修了者が卒業に至っていないため、進路や活躍状況、企業等からの評価に関する自己点検・評価は計画段階にある。ただし、今後初期の修了者が卒業を迎える時期を見据え、卒業後の進路先や社会での活躍状況を把握するための追跡調査を実施可能な体制を整えつつある。将来的には、進路情報や卒業生アンケートの結果を分析し、プログラムの社会的有効性を検証しつつ、必要に応じて教育内容の改善に反映していく予定である。</t>
    <phoneticPr fontId="1"/>
  </si>
  <si>
    <t>本学では、モデルカリキュラム・リテラシーレベルに準じた内容を展開するだけでなく、外国語運用能力や複文化主義的視点を備えた人材育成に資するような数理・データサイエンス・AI教育のカリキュラム構築・教材選定を模索している。特に、人文科学系の専門性と結びつけた教材の開発は、学生の関心と定着度を高めるうえで重要であると認識しているが、全国的にもこうした教材の整備は手薄であり、本学としても現在その改善と開発の可能性について検討を進めている段階にある。</t>
    <phoneticPr fontId="1"/>
  </si>
  <si>
    <t>上述のように、本学では、モデルカリキュラム・リテラシーレベルに準じた内容を展開するだけでなく、外国語運用能力や複文化的視点を備えた人材育成に資する数理・データサイエンス・AI教育のカリキュラム構築・教材選定を模索している。特に人文科学系の専門性と結びつけた教材開発は重要と認識しているが、全国的にも整備は手薄であり、改善途上にある。そこで本学では、学生アンケートやリフレクションペーパーを通じて得られる学生の声をもとに、内容や水準を維持・向上させつつ、より「分かりやすく、学びやすい」授業の実現に向けて、学生委員会と教員が連携し継続的に検討している。</t>
    <rPh sb="0" eb="2">
      <t>ジョウジュツ</t>
    </rPh>
    <phoneticPr fontId="1"/>
  </si>
  <si>
    <t>「NUFS DSリテラシー教育プログラム」は、学部・学科を問わず希望するすべての学生が受講可能となるよう設計されており、履修率向上に向けて更なる体制整備を進めている。現在、「学修支援センター」においては、プログラムに関する随時の学習相談を受け付けており、専門的な内容に不安を抱く学生への支援体制を整えている。今後は、プログラムを構成する必修科目の授業内で、本プログラムの全体像を理解させるガイダンスを実施し、学生の履修意欲を喚起するほか、プログラム外の語学科目や専門科目にもデータサイエンスの基礎的視点を導入し、関心を広げる全学的な取り組みを推進する予定である。こうした多面的な支援と啓発を通じて、誰もが履修しやすい環境づくりを継続的に図っていく。</t>
    <phoneticPr fontId="1"/>
  </si>
  <si>
    <t>「NUFS DSリテラシー教育プログラム」では、多様な学生が安心して履修に臨めるよう、個別支援と全学的啓発の両面から環境整備を進めている。とりわけ、プログラムの基礎を担う必修科目の担当教員は、原則としてその年次のアドバイザーを兼ねており、履修者一人ひとりの個性や関心を把握したうえで、学習や進路に応じたきめ細かなアドバイスが可能である。また、プログラム外の語学・専門科目においても、データサイエンスに関する基礎的な視点や応用事例を取り入れることで、学生の関心を喚起し、履修への動機づけを図る。さらに、学修支援センターでは、プログラム科目に関する学習相談を随時受け付けて、初学者への理解促進と履修継続を支援する。こうした取組を通じて、履修の裾野を着実に広げていく。</t>
    <rPh sb="96" eb="98">
      <t>ゲンソク</t>
    </rPh>
    <phoneticPr fontId="1"/>
  </si>
  <si>
    <t>「NUFS DSリテラシー教育プログラム」では、授業時間内外での学習支援体制を充実させ、学生が安心して履修・修得できるよう取り組んでいる。上記に述べたように、必修科目の担当教員が該当年次のアドバイザーを兼ねることで、授業内外で履修者の個性や理解度に応じたきめ細かな指導や進路相談を行うことが可能である。また、プログラム外の語学科目や専門科目においても、授業内でデータサイエンスに関する話題を取り上げることで学生の関心を喚起し、あわせて学生がいつでも質問や相談を行える学内環境の整備を進める。さらに、学修支援センターでは、授業時間外でも随時学習相談が可能であり、内容理解に不安を抱える学生に対して個別対応を実施している。こうした授業内外を通じた多層的な支援により、学生の理解促進と履修継続を強力に後押しする。</t>
    <phoneticPr fontId="1"/>
  </si>
  <si>
    <t>「NUFS DSリテラシー教育プログラム」の履修・修得状況の自己点検・評価においては、「完全一元型校務管理システムSchoolLeader」および「学修成果可視化システム Assessmentor」により、履修者数や成績分布、履修継続率などを学期ごとに分析し、履修傾向や課題を可視化する。また、「クラウド型教育支援システム「manaba」」を活用し、講義・演習における進捗状況や課題提出・回答状況を担当教員が随時把握し、授業改善や個別指導に反映している。これらのデータをもとに、学生委員会が意見を集約し、プログラムの改善につなげる。</t>
    <phoneticPr fontId="1"/>
  </si>
  <si>
    <t>「NUFS DSリテラシー教育プログラム」では、全学的な履修者数および履修率の向上に向けた進捗状況を定期的に点検し、改善に活かす計画である。まず、５科目中３科目を大多数の学生に共通する必修科目としてプログラム構成に位置付けることで、履修者数の安定的な確保を図っている。加えて、プログラム修了者に対するヒアリング結果では、内容の有用性や学びの実感に関して肯定的な声が寄せられた。現在は大学公式HP上に専用ページを設け、情報発信を強化することで、さらなる履修率の向上を目指している。</t>
    <rPh sb="74" eb="76">
      <t>カモク</t>
    </rPh>
    <rPh sb="76" eb="77">
      <t>チュウ</t>
    </rPh>
    <rPh sb="81" eb="84">
      <t>ダイタスウ</t>
    </rPh>
    <rPh sb="85" eb="87">
      <t>ガクセイ</t>
    </rPh>
    <phoneticPr fontId="1"/>
  </si>
  <si>
    <t>「基礎演習Ⅰ・Ⅱ・Ⅲ」の３科目６単位に加えて、「教養演習Ⅰ・Ⅱ」の２科目４単位の、計５科目１０単位を取得すること。</t>
    <rPh sb="1" eb="5">
      <t>キソエンシュウ</t>
    </rPh>
    <rPh sb="13" eb="15">
      <t>カモク</t>
    </rPh>
    <rPh sb="16" eb="18">
      <t>タンイ</t>
    </rPh>
    <rPh sb="19" eb="20">
      <t>クワ</t>
    </rPh>
    <rPh sb="24" eb="28">
      <t>キョウヨウエンシュウ</t>
    </rPh>
    <rPh sb="34" eb="36">
      <t>カモク</t>
    </rPh>
    <rPh sb="37" eb="39">
      <t>タンイ</t>
    </rPh>
    <rPh sb="41" eb="42">
      <t>ケイ</t>
    </rPh>
    <rPh sb="43" eb="45">
      <t>カモク</t>
    </rPh>
    <rPh sb="47" eb="49">
      <t>タンイ</t>
    </rPh>
    <rPh sb="50" eb="52">
      <t>シュトク</t>
    </rPh>
    <phoneticPr fontId="1"/>
  </si>
  <si>
    <t>教養演習Ⅰ</t>
    <rPh sb="0" eb="4">
      <t>キョウヨウエンシュウ</t>
    </rPh>
    <phoneticPr fontId="1"/>
  </si>
  <si>
    <t>教養演習Ⅱ</t>
    <phoneticPr fontId="1"/>
  </si>
  <si>
    <t>基礎演習Ⅱ</t>
    <phoneticPr fontId="1"/>
  </si>
  <si>
    <t>基礎演習Ⅰ</t>
    <rPh sb="0" eb="4">
      <t>キソエンシュウ</t>
    </rPh>
    <phoneticPr fontId="1"/>
  </si>
  <si>
    <t>基礎演習Ⅰ</t>
    <phoneticPr fontId="1"/>
  </si>
  <si>
    <t>教養演習Ⅰ</t>
    <phoneticPr fontId="1"/>
  </si>
  <si>
    <t>基礎演習Ⅲ</t>
    <rPh sb="0" eb="4">
      <t>キソエンシュウ</t>
    </rPh>
    <phoneticPr fontId="1"/>
  </si>
  <si>
    <t>・数理的思考力とデータを的確に読み解き、人工知能(AI)を含む情報技術を適切かつ効果的に活用する力
・言語や文化の多様性に対する理解とデータ思考とを関連づけ、グローバル社会における複雑な課題に対して論理的に思考し、実践的に対応できる力</t>
    <phoneticPr fontId="1"/>
  </si>
  <si>
    <t>朴 永奎</t>
    <rPh sb="0" eb="4">
      <t>パク</t>
    </rPh>
    <phoneticPr fontId="1"/>
  </si>
  <si>
    <t>学部長</t>
    <rPh sb="0" eb="3">
      <t>ガクブチョウ</t>
    </rPh>
    <phoneticPr fontId="1"/>
  </si>
  <si>
    <t>「NUFS DSリテラシー教育プログラム」の履修率向上に向けて、段階的かつ具体的な施策を講じている。構成する５科目のうち３科目は、大多数の学生にとって必修とされており、数理・データサイエンス・AIリテラシーの基礎を養う中核的な位置づけを担っている。これら３科目は、現時点では留学生には必修とはなっていないが、令和９年度からのカリキュラム改正により、留学生を含む全学生への必修化を目指している。また、任意科目の２科目については、令和９年度の改正時に、学習内容をより明確に反映した科目名へ変更する予定であり、これにより学生の関心を高め、履修率の向上が期待される。令和８年度時点で履修率は約80％と見込まれるが、改正や支援の充実により、令和10年度までに100％達成を目指す。「学修支援センター」では本プログラムに関する学習相談を随時受け付け、学修の定着と履修継続を支援する。さらに、学生委員会による履修状況の把握や学期１回の履修者アンケートを通じて継続的な改善を図り、履修率が右肩上がりで推移するよう取り組む。</t>
    <rPh sb="328" eb="330">
      <t>タッセイ</t>
    </rPh>
    <phoneticPr fontId="1"/>
  </si>
  <si>
    <t>令和６</t>
    <rPh sb="0" eb="2">
      <t>レイワ</t>
    </rPh>
    <phoneticPr fontId="1"/>
  </si>
  <si>
    <t>外国語学部現代英語学科</t>
    <rPh sb="0" eb="3">
      <t>ガイコクゴ</t>
    </rPh>
    <rPh sb="3" eb="5">
      <t>ガクブ</t>
    </rPh>
    <rPh sb="5" eb="7">
      <t>ゲンダイ</t>
    </rPh>
    <rPh sb="7" eb="9">
      <t>エイゴ</t>
    </rPh>
    <rPh sb="9" eb="11">
      <t>ガッカ</t>
    </rPh>
    <phoneticPr fontId="1"/>
  </si>
  <si>
    <t>外国語学部国際コミュニケーション学科</t>
    <rPh sb="0" eb="3">
      <t>ガイコクゴ</t>
    </rPh>
    <rPh sb="3" eb="5">
      <t>ガクブ</t>
    </rPh>
    <rPh sb="5" eb="7">
      <t>コクサイ</t>
    </rPh>
    <rPh sb="16" eb="18">
      <t>ガッカ</t>
    </rPh>
    <phoneticPr fontId="1"/>
  </si>
  <si>
    <t xml:space="preserve">・ビッグデータ、IoT、AI、生成AI、ロボット　「教養演習Ⅰ」(２回目)　「教養演習Ⅱ」(１回目)
・データ量の増加、計算機の処理性能の向上、AIの非連続的進化　「教養演習Ⅰ」(２回目)　「教養演習Ⅱ」(１回目)
・第4次産業革命、Society 5.0、データ駆動型社会　「教養演習Ⅰ」(２回目)　「教養演習Ⅱ」(１回目)
・複数技術を組み合わせたAIサービス　「教養演習Ⅱ」(１回目)
・人間の知的活動とAIの関係性　「教養演習Ⅱ」(１回目)
・データを起点としたものの見方、人間の知的活動を起点としたものの見方　「教養演習Ⅱ」(１回目)
</t>
    <phoneticPr fontId="1"/>
  </si>
  <si>
    <t>・AI最新技術の活用例（深層生成モデル、強化学習、転移学習、生成AIなど）　「教養演習Ⅱ」(６回目)
・AI等を活用した新しいビジネスモデル(シェアリングエコノミー、商品のレコメンデーションなど)　「教養演習Ⅱ」(６回目)</t>
    <phoneticPr fontId="1"/>
  </si>
  <si>
    <t>・情報セキュリティの3要素（機密性、完全性、可用性）　「教養演習Ⅱ」(７回目)
・匿名加工情報、暗号化と復号、ユーザ認証と、パスワード、アクセス制御、悪意ある情報搾取　「基礎演習Ⅰ」(１・２回目)　「教養演習Ⅱ」(７回目)
・情報漏洩等によるセキュリティ事故の事例紹介　「教養演習Ⅱ」(７回目)
・サイバーセキュリティ　「教養演習Ⅱ」(７回目)</t>
    <phoneticPr fontId="1"/>
  </si>
  <si>
    <t>・調査データ、実験データ、人の行動ログデータ、機械の稼働ログデータなど　「教養演習Ⅰ」(３回目)　「教養演習Ⅱ」(２回目)
・1次データ、2次データ、データのメタ化　「教養演習Ⅰ」(３回目)　「教養演習Ⅱ」(２回目)
・構造化データ、非構造化データ（文章、画像）　「教養演習Ⅰ」(３回目)　「教養演習Ⅱ」(２回目)
・データ作成（ビッグデータとアノテーション）　「教養演習Ⅰ」(３回目)　「教養演習Ⅱ」(２回目)
・データのオープン化（オープンデータ）　「教養演習Ⅰ」(３回目)　「教養演習Ⅱ」(２回目)</t>
    <phoneticPr fontId="1"/>
  </si>
  <si>
    <t>・データ・AI活用領域の広がり(生産、消費、文化活動など)　「教養演習Ⅱ」(３回目)
・研究開発、調達、製造、物流、販売、マーケティング、サービスなど　「教養演習Ⅱ」(３回目)
・仮説検証、知識発見、原因究明、計画策定、判断支援、活動代替、新規生成など　「教養演習Ⅱ」(３回目)
・対話、コンテンツ生成、生成AIの応用　「教養演習Ⅱ」(３回目)</t>
    <phoneticPr fontId="1"/>
  </si>
  <si>
    <t>・データ解析：予測、グルーピング、パターン発見、最適化、モデル化とシミュレーションなど　「教養演習Ⅱ」(４回目)
・データ可視化：複合グラフ、2軸グラフ、多次元の可視化、関係性の可視化　「教養演習Ⅱ」(４回目)
・非構造化データ処理：画像処理など　「教養演習Ⅱ」(２回目)
・特化型AIと汎用AI、今のAIで出来ることと出来ないこと、AIとビッグデータ　「教養演習Ⅱ」(３回目)
・認識技術、自動化技術　「教養演習Ⅱ」(４回目)</t>
    <phoneticPr fontId="1"/>
  </si>
  <si>
    <t>・データサイエンスのサイクル（課題抽出と定式化、データの取得・管理・加工、探索的データ解析、データ解析と推論、結果の共有・伝達、課題解決に向けた提案）　「教養演習Ⅱ」(５回目)
・流通、製造、サービス、インフラ、公共におけるデータ・AI利活用事例紹介　「教養演習Ⅱ」(５回目)</t>
    <phoneticPr fontId="1"/>
  </si>
  <si>
    <t>・倫理的・法的・社会的課題（ELSI：Ethical, Legal and Social Issues）　「基礎演習」Ⅱ(１回目)　「教養演習Ⅰ」(５回目)
・個人情報保護、EU一般データ保護規則(GDPR)、忘れられる権利、「基礎演習Ⅱ」(１回目)　「教養演習Ⅰ」(５回目)
・データ倫理：データのねつ造、改ざん、盗用、プライバシー保護　「基礎演習Ⅱ」(１回目)　「教養演習Ⅰ」(５回目)　「教養演習Ⅱ」(８回目)
・データ・AI活用における負の事例紹介　「教養演習Ⅱ」(１・３回目)
・生成AIの留意事項（ハルシネーションによる誤情報の生成、偽情報や有害コンテンツの生成・氾濫など）　「教養演習Ⅱ」(３回目)</t>
    <phoneticPr fontId="1"/>
  </si>
  <si>
    <t>・データの種類（量的変数、質的変数）　「基礎演習Ⅰ」(10・11回目)　「教養演習Ⅰ」(６回目)　「教養演習Ⅱ」(９回目)
・データの分布(ヒストグラム)と代表値（平均値、中央値、最頻値）　「基礎演習Ⅰ」(10・11回目)　「教養演習Ⅰ」(６回目)　「教養演習Ⅱ」(９回目)
・代表値の性質の違い（実社会では平均値＝最頻値でないことが多い）　「基礎演習Ⅰ」(10・11回目)　「教養演習Ⅰ」(６回目)
・データのばらつき（分散、標準偏差、偏差値）、外れ値　「教養演習Ⅰ」(７回目)
・相関と因果（相関係数、擬似相関、交絡）　「教養演習Ⅰ」(10・11回目)　「教養演習Ⅱ」(４回目)
・観測データに含まれる誤差の扱い　「基礎演習Ⅰ」(10・12回目)　「教養演習Ⅰ」(４回目)　
・打ち切りや欠測を含むデータ、層別の必要なデータ　「基礎演習Ⅲ」(２・３・４回目)　「教養演習Ⅰ」(８回目)
・母集団と標本抽出（国勢調査、アンケート調査、全数調査、単純無作為抽出、層別抽出、多段抽出）　「基礎演習Ⅲ」(10・11回目)　「教養演習Ⅰ」(４回目)　「教養演習Ⅱ」(12・13・14回目)
・クロス集計表　「基礎演習Ⅲ」(２・３・４回目)　「教養演習Ⅱ」(９回目)
・統計情報の正しい理解（誇張表現に惑わされない）　「基礎演習Ⅰ」(10・12回目)　「基礎演習Ⅲ」(２・３・４回目)</t>
    <phoneticPr fontId="1"/>
  </si>
  <si>
    <t>・データ表現（棒グラフ、折線グラフ、散布図、箱ひげ図）　基礎演習Ⅰ(10・11回目)　基礎演習Ⅲ(２・３・４・８・11回目)　教養演習Ⅰ(８・９回目)　教養演習Ⅱ(４回目)
・データの比較（条件をそろえた比較、処理の前後での比較)　基礎演習Ⅲ(２・３・４・８回目)　教養演習Ⅰ(８・９回目)
・不適切なグラフ表現（チャートジャンク、不必要な視覚的要素）　基礎演習Ⅲ(２・３・４回目)　教養演習Ⅰ(８回目)
・優れた可視化事例の紹介（可視化することによって新たな気づきがあった事例など）　基礎演習Ⅰ(10回目)　教養演習Ⅱ(４回目)
・相手に的確かつ正確に情報を伝える技術や考え方（スライド作成、プレゼンテーションなど）　基礎演習Ⅱ(９・10・11・12・13・14回目)　基礎演習Ⅲ(６・13・14回目)　教養演習Ⅰ(12・13・14・15回目)　教養演習Ⅱ(13・14・15回目)</t>
    <phoneticPr fontId="1"/>
  </si>
  <si>
    <t>・データの集計（和、平均）　基礎演習Ⅰ(11・12回目)　基礎演習Ⅲ(２・３・４回目)　教養演習Ⅰ(６回目)
・データの並び替え、ランキング　基礎演習Ⅰ(11・12回目)　基礎演習Ⅲ(２・３・４回目)　教養演習Ⅰ(９回目)
・データ解析ツール（スプレッドシート）　基礎演習Ⅲ(２・３・４回目)　教養演習Ⅰ(８回目)
・データの取得（機械判読可能なデータの作成・表記方法）　教養演習Ⅰ(８・９回目)
・表形式のデータ（csv）　教養演習Ⅰ(８回目)</t>
    <phoneticPr fontId="1"/>
  </si>
  <si>
    <t>本学では、卒業生を採用している企業300社以上を対象に、大学教育の効果を把握し教育改善に役立てることを目的としたアンケート調査を毎年実施している。今後はこの企業アンケートを活用し、「NUFS DSリテラシー教育プログラム」の社会的成果や実務への効果についても調査を行う予定である。これにより、教育内容と実社会での活用との接続を検証し、プログラムの継続的改善につなげたいと考えている。</t>
    <rPh sb="73" eb="75">
      <t>コンゴ</t>
    </rPh>
    <phoneticPr fontId="1"/>
  </si>
  <si>
    <t>長崎外国語大学学生委員会規程</t>
    <rPh sb="0" eb="5">
      <t>ナガサキ</t>
    </rPh>
    <rPh sb="5" eb="7">
      <t>ダイガク</t>
    </rPh>
    <rPh sb="7" eb="14">
      <t>ガクセイイインカイキテイ</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</si>
</sst>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13" x14ac:knownFonts="1">
    <font>
      <sz val="11"/>
      <color theme="1"/>
      <name val="ＭＳ Ｐゴシック"/>
      <family val="2"/>
      <charset val="128"/>
      <scheme val="minor"/>
    </font>
    <font>
      <sz val="6"/>
      <name val="ＭＳ Ｐゴシック"/>
      <family val="2"/>
      <charset val="128"/>
      <scheme val="minor"/>
    </font>
    <font>
      <sz val="12"/>
      <color theme="1"/>
      <name val="ＭＳ Ｐゴシック"/>
      <family val="3"/>
      <charset val="128"/>
      <scheme val="minor"/>
    </font>
    <font>
      <sz val="9"/>
      <color theme="1"/>
      <name val="ＭＳ Ｐゴシック"/>
      <family val="3"/>
      <charset val="128"/>
      <scheme val="minor"/>
    </font>
    <font>
      <sz val="11"/>
      <color theme="1"/>
      <name val="ＭＳ Ｐゴシック"/>
      <family val="2"/>
      <charset val="128"/>
      <scheme val="minor"/>
    </font>
    <font>
      <sz val="11"/>
      <color theme="1"/>
      <name val="ＭＳ Ｐゴシック"/>
      <family val="3"/>
      <charset val="128"/>
      <scheme val="minor"/>
    </font>
    <font>
      <sz val="14"/>
      <color theme="1"/>
      <name val="ＭＳ Ｐゴシック"/>
      <family val="3"/>
      <charset val="128"/>
      <scheme val="minor"/>
    </font>
    <font>
      <sz val="10"/>
      <color theme="1"/>
      <name val="ＭＳ Ｐゴシック"/>
      <family val="3"/>
      <charset val="128"/>
      <scheme val="minor"/>
    </font>
    <font>
      <sz val="7"/>
      <color theme="1"/>
      <name val="ＭＳ Ｐゴシック"/>
      <family val="3"/>
      <charset val="128"/>
      <scheme val="minor"/>
    </font>
    <font>
      <sz val="6"/>
      <color theme="1"/>
      <name val="ＭＳ Ｐゴシック"/>
      <family val="3"/>
      <charset val="128"/>
      <scheme val="minor"/>
    </font>
    <font>
      <sz val="12"/>
      <color rgb="FFFF0000"/>
      <name val="ＭＳ Ｐゴシック"/>
      <family val="3"/>
      <charset val="128"/>
      <scheme val="minor"/>
    </font>
    <font>
      <sz val="12"/>
      <name val="ＭＳ Ｐゴシック"/>
      <family val="3"/>
      <charset val="128"/>
      <scheme val="minor"/>
    </font>
    <font>
      <sz val="10"/>
      <name val="ＭＳ Ｐゴシック"/>
      <family val="3"/>
      <charset val="128"/>
      <scheme val="minor"/>
    </font>
  </fonts>
  <fills count="4">
    <fill>
      <patternFill patternType="none"/>
    </fill>
    <fill>
      <patternFill patternType="gray125"/>
    </fill>
    <fill>
      <patternFill patternType="solid">
        <fgColor theme="0" tint="-4.9989318521683403E-2"/>
        <bgColor indexed="64"/>
      </patternFill>
    </fill>
    <fill>
      <patternFill patternType="solid">
        <fgColor theme="0"/>
        <bgColor indexed="64"/>
      </patternFill>
    </fill>
  </fills>
  <borders count="49">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auto="1"/>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right style="thin">
        <color auto="1"/>
      </right>
      <top/>
      <bottom/>
      <diagonal/>
    </border>
    <border>
      <left style="thin">
        <color auto="1"/>
      </left>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hair">
        <color auto="1"/>
      </bottom>
      <diagonal/>
    </border>
    <border>
      <left style="thin">
        <color auto="1"/>
      </left>
      <right style="thin">
        <color auto="1"/>
      </right>
      <top style="thin">
        <color auto="1"/>
      </top>
      <bottom/>
      <diagonal/>
    </border>
    <border>
      <left style="hair">
        <color auto="1"/>
      </left>
      <right/>
      <top style="hair">
        <color auto="1"/>
      </top>
      <bottom style="hair">
        <color auto="1"/>
      </bottom>
      <diagonal/>
    </border>
    <border>
      <left/>
      <right style="thin">
        <color auto="1"/>
      </right>
      <top style="hair">
        <color auto="1"/>
      </top>
      <bottom style="hair">
        <color auto="1"/>
      </bottom>
      <diagonal/>
    </border>
    <border>
      <left style="thin">
        <color auto="1"/>
      </left>
      <right/>
      <top style="hair">
        <color auto="1"/>
      </top>
      <bottom style="hair">
        <color auto="1"/>
      </bottom>
      <diagonal/>
    </border>
    <border>
      <left/>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thin">
        <color auto="1"/>
      </right>
      <top style="hair">
        <color auto="1"/>
      </top>
      <bottom style="double">
        <color auto="1"/>
      </bottom>
      <diagonal/>
    </border>
    <border>
      <left style="thin">
        <color auto="1"/>
      </left>
      <right/>
      <top style="double">
        <color auto="1"/>
      </top>
      <bottom style="thin">
        <color auto="1"/>
      </bottom>
      <diagonal/>
    </border>
    <border>
      <left/>
      <right/>
      <top style="double">
        <color auto="1"/>
      </top>
      <bottom style="thin">
        <color auto="1"/>
      </bottom>
      <diagonal/>
    </border>
    <border>
      <left/>
      <right style="thin">
        <color auto="1"/>
      </right>
      <top style="double">
        <color auto="1"/>
      </top>
      <bottom style="thin">
        <color auto="1"/>
      </bottom>
      <diagonal/>
    </border>
    <border>
      <left style="thin">
        <color auto="1"/>
      </left>
      <right style="thin">
        <color auto="1"/>
      </right>
      <top style="double">
        <color auto="1"/>
      </top>
      <bottom style="thin">
        <color auto="1"/>
      </bottom>
      <diagonal/>
    </border>
    <border>
      <left style="hair">
        <color auto="1"/>
      </left>
      <right style="thin">
        <color auto="1"/>
      </right>
      <top style="hair">
        <color auto="1"/>
      </top>
      <bottom style="thin">
        <color auto="1"/>
      </bottom>
      <diagonal/>
    </border>
    <border>
      <left style="thin">
        <color auto="1"/>
      </left>
      <right style="hair">
        <color auto="1"/>
      </right>
      <top/>
      <bottom/>
      <diagonal/>
    </border>
    <border>
      <left style="hair">
        <color auto="1"/>
      </left>
      <right style="thin">
        <color auto="1"/>
      </right>
      <top style="hair">
        <color auto="1"/>
      </top>
      <bottom style="hair">
        <color auto="1"/>
      </bottom>
      <diagonal/>
    </border>
    <border>
      <left style="thin">
        <color auto="1"/>
      </left>
      <right/>
      <top style="thin">
        <color auto="1"/>
      </top>
      <bottom style="hair">
        <color auto="1"/>
      </bottom>
      <diagonal/>
    </border>
    <border>
      <left/>
      <right style="thin">
        <color auto="1"/>
      </right>
      <top style="thin">
        <color auto="1"/>
      </top>
      <bottom style="hair">
        <color auto="1"/>
      </bottom>
      <diagonal/>
    </border>
    <border>
      <left/>
      <right/>
      <top style="thin">
        <color auto="1"/>
      </top>
      <bottom style="hair">
        <color auto="1"/>
      </bottom>
      <diagonal/>
    </border>
    <border>
      <left style="thin">
        <color auto="1"/>
      </left>
      <right/>
      <top style="hair">
        <color auto="1"/>
      </top>
      <bottom style="thin">
        <color auto="1"/>
      </bottom>
      <diagonal/>
    </border>
    <border>
      <left/>
      <right/>
      <top style="hair">
        <color auto="1"/>
      </top>
      <bottom style="thin">
        <color auto="1"/>
      </bottom>
      <diagonal/>
    </border>
    <border>
      <left/>
      <right style="thin">
        <color auto="1"/>
      </right>
      <top style="hair">
        <color auto="1"/>
      </top>
      <bottom style="thin">
        <color auto="1"/>
      </bottom>
      <diagonal/>
    </border>
    <border>
      <left style="thin">
        <color auto="1"/>
      </left>
      <right style="thin">
        <color auto="1"/>
      </right>
      <top style="hair">
        <color auto="1"/>
      </top>
      <bottom style="thin">
        <color auto="1"/>
      </bottom>
      <diagonal/>
    </border>
    <border>
      <left style="thin">
        <color auto="1"/>
      </left>
      <right/>
      <top/>
      <bottom style="hair">
        <color auto="1"/>
      </bottom>
      <diagonal/>
    </border>
    <border>
      <left/>
      <right/>
      <top/>
      <bottom style="hair">
        <color auto="1"/>
      </bottom>
      <diagonal/>
    </border>
    <border>
      <left/>
      <right style="thin">
        <color auto="1"/>
      </right>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thin">
        <color auto="1"/>
      </top>
      <bottom/>
      <diagonal/>
    </border>
    <border>
      <left style="thin">
        <color auto="1"/>
      </left>
      <right style="hair">
        <color auto="1"/>
      </right>
      <top/>
      <bottom style="thin">
        <color auto="1"/>
      </bottom>
      <diagonal/>
    </border>
    <border>
      <left style="hair">
        <color auto="1"/>
      </left>
      <right style="thin">
        <color auto="1"/>
      </right>
      <top/>
      <bottom style="thin">
        <color auto="1"/>
      </bottom>
      <diagonal/>
    </border>
    <border>
      <left style="hair">
        <color auto="1"/>
      </left>
      <right style="thin">
        <color auto="1"/>
      </right>
      <top style="thin">
        <color auto="1"/>
      </top>
      <bottom/>
      <diagonal/>
    </border>
    <border>
      <left style="hair">
        <color auto="1"/>
      </left>
      <right style="thin">
        <color auto="1"/>
      </right>
      <top style="hair">
        <color auto="1"/>
      </top>
      <bottom/>
      <diagonal/>
    </border>
    <border>
      <left style="thin">
        <color auto="1"/>
      </left>
      <right style="thin">
        <color auto="1"/>
      </right>
      <top/>
      <bottom/>
      <diagonal/>
    </border>
    <border>
      <left style="thin">
        <color auto="1"/>
      </left>
      <right style="dotted">
        <color auto="1"/>
      </right>
      <top style="hair">
        <color auto="1"/>
      </top>
      <bottom style="hair">
        <color auto="1"/>
      </bottom>
      <diagonal/>
    </border>
    <border>
      <left style="hair">
        <color auto="1"/>
      </left>
      <right/>
      <top style="hair">
        <color auto="1"/>
      </top>
      <bottom style="thin">
        <color indexed="64"/>
      </bottom>
      <diagonal/>
    </border>
    <border>
      <left style="thin">
        <color auto="1"/>
      </left>
      <right style="thin">
        <color auto="1"/>
      </right>
      <top/>
      <bottom style="hair">
        <color auto="1"/>
      </bottom>
      <diagonal/>
    </border>
  </borders>
  <cellStyleXfs count="3">
    <xf numFmtId="0" fontId="0" fillId="0" borderId="0">
      <alignment vertical="center"/>
    </xf>
    <xf numFmtId="9" fontId="4" fillId="0" borderId="0" applyFont="0" applyFill="0" applyBorder="0" applyAlignment="0" applyProtection="0">
      <alignment vertical="center"/>
    </xf>
    <xf numFmtId="38" fontId="4" fillId="0" borderId="0" applyFont="0" applyFill="0" applyBorder="0" applyAlignment="0" applyProtection="0">
      <alignment vertical="center"/>
    </xf>
  </cellStyleXfs>
  <cellXfs count="243">
    <xf numFmtId="0" fontId="0" fillId="0" borderId="0" xfId="0">
      <alignment vertical="center"/>
    </xf>
    <xf numFmtId="0" fontId="2" fillId="0" borderId="0" xfId="0" applyFont="1">
      <alignment vertical="center"/>
    </xf>
    <xf numFmtId="0" fontId="5" fillId="0" borderId="0" xfId="0" applyFont="1">
      <alignment vertical="center"/>
    </xf>
    <xf numFmtId="0" fontId="2" fillId="0" borderId="0" xfId="0" applyFont="1" applyAlignment="1">
      <alignment horizontal="center" vertical="center"/>
    </xf>
    <xf numFmtId="0" fontId="3" fillId="0" borderId="0" xfId="0" applyFont="1" applyAlignment="1">
      <alignment vertical="top" wrapText="1"/>
    </xf>
    <xf numFmtId="0" fontId="6" fillId="0" borderId="0" xfId="0" applyFont="1" applyAlignment="1">
      <alignment horizontal="center" vertical="center"/>
    </xf>
    <xf numFmtId="0" fontId="2" fillId="0" borderId="0" xfId="0" applyFont="1" applyAlignment="1">
      <alignment vertical="center" shrinkToFit="1"/>
    </xf>
    <xf numFmtId="9" fontId="2" fillId="0" borderId="10" xfId="0" applyNumberFormat="1" applyFont="1" applyBorder="1" applyAlignment="1">
      <alignment vertical="center" shrinkToFit="1"/>
    </xf>
    <xf numFmtId="9" fontId="2" fillId="0" borderId="20" xfId="0" applyNumberFormat="1" applyFont="1" applyBorder="1" applyAlignment="1">
      <alignment vertical="center" shrinkToFit="1"/>
    </xf>
    <xf numFmtId="9" fontId="2" fillId="0" borderId="24" xfId="0" applyNumberFormat="1" applyFont="1" applyBorder="1" applyAlignment="1">
      <alignment vertical="center" shrinkToFit="1"/>
    </xf>
    <xf numFmtId="0" fontId="2" fillId="0" borderId="0" xfId="0" applyFont="1" applyAlignment="1">
      <alignment horizontal="left" vertical="center"/>
    </xf>
    <xf numFmtId="0" fontId="2" fillId="0" borderId="20" xfId="0" applyFont="1" applyBorder="1" applyAlignment="1">
      <alignment horizontal="left" vertical="center" shrinkToFit="1"/>
    </xf>
    <xf numFmtId="0" fontId="2" fillId="0" borderId="21" xfId="0" applyFont="1" applyBorder="1" applyAlignment="1">
      <alignment horizontal="left" vertical="center" shrinkToFit="1"/>
    </xf>
    <xf numFmtId="0" fontId="2" fillId="0" borderId="25" xfId="0" applyFont="1" applyBorder="1" applyAlignment="1">
      <alignment horizontal="center" vertical="center" shrinkToFit="1"/>
    </xf>
    <xf numFmtId="0" fontId="2" fillId="0" borderId="0" xfId="0" applyFont="1" applyAlignment="1">
      <alignment vertical="top" wrapText="1"/>
    </xf>
    <xf numFmtId="0" fontId="2" fillId="0" borderId="0" xfId="0" applyFont="1" applyAlignment="1">
      <alignment vertical="center" wrapText="1"/>
    </xf>
    <xf numFmtId="9" fontId="2" fillId="0" borderId="48" xfId="0" applyNumberFormat="1" applyFont="1" applyBorder="1" applyAlignment="1">
      <alignment vertical="center" shrinkToFit="1"/>
    </xf>
    <xf numFmtId="0" fontId="2" fillId="0" borderId="1" xfId="0" applyFont="1" applyBorder="1" applyAlignment="1">
      <alignment horizontal="center" vertical="center"/>
    </xf>
    <xf numFmtId="0" fontId="2" fillId="0" borderId="0" xfId="0" applyFont="1" applyAlignment="1">
      <alignment horizontal="right" vertical="center"/>
    </xf>
    <xf numFmtId="0" fontId="2" fillId="0" borderId="1" xfId="0" applyFont="1" applyBorder="1" applyAlignment="1">
      <alignment horizontal="left" vertical="center"/>
    </xf>
    <xf numFmtId="0" fontId="3" fillId="0" borderId="0" xfId="0" applyFont="1">
      <alignment vertical="center"/>
    </xf>
    <xf numFmtId="0" fontId="5" fillId="0" borderId="0" xfId="0" applyFont="1" applyAlignment="1">
      <alignment horizontal="left" vertical="center"/>
    </xf>
    <xf numFmtId="9" fontId="2" fillId="0" borderId="1" xfId="0" applyNumberFormat="1" applyFont="1" applyBorder="1" applyAlignment="1">
      <alignment horizontal="center" vertical="center" shrinkToFit="1"/>
    </xf>
    <xf numFmtId="9" fontId="2" fillId="0" borderId="0" xfId="1" applyFont="1" applyAlignment="1">
      <alignment horizontal="center" vertical="center"/>
    </xf>
    <xf numFmtId="176" fontId="2" fillId="0" borderId="1" xfId="0" applyNumberFormat="1" applyFont="1" applyBorder="1" applyAlignment="1">
      <alignment horizontal="center" vertical="center" shrinkToFit="1"/>
    </xf>
    <xf numFmtId="0" fontId="3" fillId="0" borderId="0" xfId="0" applyFont="1" applyAlignment="1">
      <alignment vertical="top" shrinkToFit="1"/>
    </xf>
    <xf numFmtId="0" fontId="2" fillId="2" borderId="5" xfId="0" applyFont="1" applyFill="1" applyBorder="1">
      <alignment vertical="center"/>
    </xf>
    <xf numFmtId="0" fontId="3" fillId="2" borderId="10" xfId="0" applyFont="1" applyFill="1" applyBorder="1" applyAlignment="1">
      <alignment vertical="top" wrapText="1"/>
    </xf>
    <xf numFmtId="0" fontId="3" fillId="2" borderId="5" xfId="0" applyFont="1" applyFill="1" applyBorder="1" applyAlignment="1">
      <alignment vertical="top" wrapText="1"/>
    </xf>
    <xf numFmtId="0" fontId="3" fillId="2" borderId="11" xfId="0" applyFont="1" applyFill="1" applyBorder="1" applyAlignment="1">
      <alignment vertical="top" wrapText="1"/>
    </xf>
    <xf numFmtId="0" fontId="3" fillId="2" borderId="37" xfId="0" applyFont="1" applyFill="1" applyBorder="1" applyAlignment="1">
      <alignment vertical="top" wrapText="1"/>
    </xf>
    <xf numFmtId="0" fontId="3" fillId="2" borderId="38" xfId="0" applyFont="1" applyFill="1" applyBorder="1" applyAlignment="1">
      <alignment vertical="top" wrapText="1"/>
    </xf>
    <xf numFmtId="0" fontId="3" fillId="2" borderId="37" xfId="0" applyFont="1" applyFill="1" applyBorder="1" applyAlignment="1">
      <alignment vertical="top" shrinkToFit="1"/>
    </xf>
    <xf numFmtId="0" fontId="3" fillId="2" borderId="0" xfId="0" applyFont="1" applyFill="1" applyAlignment="1">
      <alignment vertical="top" wrapText="1"/>
    </xf>
    <xf numFmtId="0" fontId="2" fillId="2" borderId="0" xfId="0" applyFont="1" applyFill="1">
      <alignment vertical="center"/>
    </xf>
    <xf numFmtId="0" fontId="3" fillId="2" borderId="38" xfId="0" applyFont="1" applyFill="1" applyBorder="1" applyAlignment="1">
      <alignment vertical="top" shrinkToFit="1"/>
    </xf>
    <xf numFmtId="38" fontId="2" fillId="0" borderId="45" xfId="2" applyFont="1" applyBorder="1" applyAlignment="1">
      <alignment vertical="center" shrinkToFit="1"/>
    </xf>
    <xf numFmtId="38" fontId="2" fillId="0" borderId="0" xfId="2" applyFont="1" applyAlignment="1">
      <alignment vertical="center" shrinkToFit="1"/>
    </xf>
    <xf numFmtId="38" fontId="2" fillId="0" borderId="5" xfId="2" applyFont="1" applyBorder="1" applyAlignment="1">
      <alignment vertical="center" shrinkToFit="1"/>
    </xf>
    <xf numFmtId="38" fontId="2" fillId="0" borderId="20" xfId="2" applyFont="1" applyBorder="1" applyAlignment="1">
      <alignment vertical="center" shrinkToFit="1"/>
    </xf>
    <xf numFmtId="38" fontId="2" fillId="0" borderId="19" xfId="2" applyFont="1" applyBorder="1" applyAlignment="1">
      <alignment vertical="center" shrinkToFit="1"/>
    </xf>
    <xf numFmtId="38" fontId="2" fillId="0" borderId="18" xfId="2" applyFont="1" applyBorder="1" applyAlignment="1">
      <alignment vertical="center" shrinkToFit="1"/>
    </xf>
    <xf numFmtId="38" fontId="2" fillId="0" borderId="46" xfId="2" applyFont="1" applyBorder="1" applyAlignment="1">
      <alignment vertical="center" shrinkToFit="1"/>
    </xf>
    <xf numFmtId="38" fontId="2" fillId="0" borderId="17" xfId="2" applyFont="1" applyBorder="1" applyAlignment="1">
      <alignment vertical="center" shrinkToFit="1"/>
    </xf>
    <xf numFmtId="38" fontId="2" fillId="0" borderId="10" xfId="2" applyFont="1" applyBorder="1" applyAlignment="1">
      <alignment vertical="center" shrinkToFit="1"/>
    </xf>
    <xf numFmtId="38" fontId="2" fillId="0" borderId="25" xfId="2" applyFont="1" applyBorder="1" applyAlignment="1">
      <alignment vertical="center" shrinkToFit="1"/>
    </xf>
    <xf numFmtId="38" fontId="2" fillId="0" borderId="23" xfId="2" applyFont="1" applyBorder="1" applyAlignment="1">
      <alignment vertical="center" shrinkToFit="1"/>
    </xf>
    <xf numFmtId="38" fontId="2" fillId="0" borderId="22" xfId="2" applyFont="1" applyBorder="1" applyAlignment="1">
      <alignment vertical="center" shrinkToFit="1"/>
    </xf>
    <xf numFmtId="0" fontId="2" fillId="0" borderId="48" xfId="0" applyFont="1" applyBorder="1" applyAlignment="1">
      <alignment horizontal="left" vertical="center" shrinkToFit="1"/>
    </xf>
    <xf numFmtId="38" fontId="2" fillId="0" borderId="48" xfId="2" applyFont="1" applyBorder="1" applyAlignment="1">
      <alignment vertical="center" shrinkToFit="1"/>
    </xf>
    <xf numFmtId="9" fontId="2" fillId="0" borderId="13" xfId="0" applyNumberFormat="1" applyFont="1" applyBorder="1" applyAlignment="1">
      <alignment vertical="center" shrinkToFit="1"/>
    </xf>
    <xf numFmtId="0" fontId="10" fillId="0" borderId="0" xfId="0" applyFont="1">
      <alignment vertical="center"/>
    </xf>
    <xf numFmtId="0" fontId="2" fillId="0" borderId="0" xfId="0" applyFont="1" applyAlignment="1">
      <alignment vertical="top" wrapText="1" shrinkToFit="1"/>
    </xf>
    <xf numFmtId="0" fontId="2" fillId="0" borderId="0" xfId="0" applyFont="1" applyAlignment="1">
      <alignment vertical="top" shrinkToFit="1"/>
    </xf>
    <xf numFmtId="0" fontId="11" fillId="0" borderId="0" xfId="0" applyFont="1">
      <alignment vertical="center"/>
    </xf>
    <xf numFmtId="0" fontId="11" fillId="0" borderId="0" xfId="0" applyFont="1" applyAlignment="1">
      <alignment vertical="center" shrinkToFit="1"/>
    </xf>
    <xf numFmtId="0" fontId="11" fillId="0" borderId="0" xfId="0" applyFont="1" applyAlignment="1">
      <alignment horizontal="center" vertical="center"/>
    </xf>
    <xf numFmtId="0" fontId="11" fillId="0" borderId="0" xfId="0" applyFont="1" applyAlignment="1">
      <alignment horizontal="right" vertical="center"/>
    </xf>
    <xf numFmtId="0" fontId="11" fillId="0" borderId="0" xfId="0" applyFont="1" applyAlignment="1">
      <alignment horizontal="left" vertical="center"/>
    </xf>
    <xf numFmtId="0" fontId="11" fillId="0" borderId="1" xfId="0" applyFont="1" applyBorder="1">
      <alignment vertical="center"/>
    </xf>
    <xf numFmtId="0" fontId="3" fillId="0" borderId="1" xfId="0" applyFont="1" applyBorder="1" applyAlignment="1">
      <alignment horizontal="center" vertical="center" shrinkToFit="1"/>
    </xf>
    <xf numFmtId="0" fontId="3" fillId="0" borderId="4" xfId="0" applyFont="1" applyBorder="1" applyAlignment="1">
      <alignment horizontal="center" vertical="center" shrinkToFit="1"/>
    </xf>
    <xf numFmtId="49" fontId="3" fillId="0" borderId="1" xfId="0" applyNumberFormat="1" applyFont="1" applyBorder="1" applyAlignment="1">
      <alignment horizontal="center" vertical="center"/>
    </xf>
    <xf numFmtId="0" fontId="2" fillId="0" borderId="14" xfId="0" applyFont="1" applyBorder="1" applyAlignment="1">
      <alignment horizontal="center" vertical="center" shrinkToFit="1"/>
    </xf>
    <xf numFmtId="0" fontId="2" fillId="0" borderId="20" xfId="0" applyFont="1" applyBorder="1" applyAlignment="1">
      <alignment horizontal="center" vertical="center" shrinkToFit="1"/>
    </xf>
    <xf numFmtId="0" fontId="2" fillId="0" borderId="13" xfId="0" applyFont="1" applyBorder="1" applyAlignment="1">
      <alignment horizontal="center" vertical="center" shrinkToFit="1"/>
    </xf>
    <xf numFmtId="0" fontId="2" fillId="0" borderId="35" xfId="0" applyFont="1" applyBorder="1" applyAlignment="1">
      <alignment horizontal="center" vertical="center" shrinkToFit="1"/>
    </xf>
    <xf numFmtId="0" fontId="2" fillId="0" borderId="0" xfId="0" applyFont="1" applyAlignment="1">
      <alignment horizontal="center" vertical="center" shrinkToFit="1"/>
    </xf>
    <xf numFmtId="49" fontId="3" fillId="0" borderId="43" xfId="0" applyNumberFormat="1" applyFont="1" applyBorder="1" applyAlignment="1">
      <alignment horizontal="center" vertical="center"/>
    </xf>
    <xf numFmtId="49" fontId="3" fillId="0" borderId="44" xfId="0" applyNumberFormat="1" applyFont="1" applyBorder="1" applyAlignment="1">
      <alignment horizontal="center" vertical="center"/>
    </xf>
    <xf numFmtId="49" fontId="3" fillId="0" borderId="39" xfId="0" applyNumberFormat="1" applyFont="1" applyBorder="1" applyAlignment="1">
      <alignment horizontal="center" vertical="center"/>
    </xf>
    <xf numFmtId="49" fontId="3" fillId="0" borderId="26" xfId="0" applyNumberFormat="1" applyFont="1" applyBorder="1" applyAlignment="1">
      <alignment horizontal="center" vertical="center"/>
    </xf>
    <xf numFmtId="49" fontId="3" fillId="0" borderId="42" xfId="0" applyNumberFormat="1" applyFont="1" applyBorder="1" applyAlignment="1">
      <alignment horizontal="center" vertical="center"/>
    </xf>
    <xf numFmtId="49" fontId="3" fillId="0" borderId="28" xfId="0" applyNumberFormat="1" applyFont="1" applyBorder="1" applyAlignment="1">
      <alignment horizontal="center" vertical="center"/>
    </xf>
    <xf numFmtId="0" fontId="2" fillId="0" borderId="0" xfId="0" applyFont="1" applyAlignment="1">
      <alignment horizontal="left" vertical="center" shrinkToFit="1"/>
    </xf>
    <xf numFmtId="0" fontId="5" fillId="0" borderId="0" xfId="0" applyFont="1" applyAlignment="1">
      <alignment horizontal="center" vertical="center"/>
    </xf>
    <xf numFmtId="0" fontId="2" fillId="0" borderId="1" xfId="0" applyFont="1" applyBorder="1">
      <alignment vertical="center"/>
    </xf>
    <xf numFmtId="0" fontId="11" fillId="0" borderId="0" xfId="0" applyFont="1" applyAlignment="1">
      <alignment horizontal="center" vertical="center" shrinkToFit="1"/>
    </xf>
    <xf numFmtId="0" fontId="12" fillId="0" borderId="0" xfId="0" applyFont="1" applyAlignment="1">
      <alignment horizontal="center" vertical="center"/>
    </xf>
    <xf numFmtId="0" fontId="8" fillId="0" borderId="32" xfId="0" applyFont="1" applyBorder="1" applyAlignment="1">
      <alignment horizontal="center" vertical="center"/>
    </xf>
    <xf numFmtId="0" fontId="8" fillId="0" borderId="35" xfId="0" applyFont="1" applyBorder="1" applyAlignment="1">
      <alignment horizontal="center" vertical="center"/>
    </xf>
    <xf numFmtId="0" fontId="2" fillId="0" borderId="1" xfId="0" applyFont="1" applyBorder="1" applyAlignment="1">
      <alignment horizontal="center" vertical="center" wrapText="1" shrinkToFit="1"/>
    </xf>
    <xf numFmtId="0" fontId="2" fillId="0" borderId="1" xfId="0" applyFont="1" applyBorder="1" applyAlignment="1">
      <alignment horizontal="center" vertical="center" shrinkToFit="1"/>
    </xf>
    <xf numFmtId="0" fontId="2" fillId="0" borderId="18" xfId="0" applyFont="1" applyBorder="1" applyAlignment="1">
      <alignment vertical="center" shrinkToFit="1"/>
    </xf>
    <xf numFmtId="0" fontId="2" fillId="0" borderId="19" xfId="0" applyFont="1" applyBorder="1" applyAlignment="1">
      <alignment vertical="center" shrinkToFit="1"/>
    </xf>
    <xf numFmtId="0" fontId="2" fillId="0" borderId="17" xfId="0" applyFont="1" applyBorder="1" applyAlignment="1">
      <alignment vertical="center" shrinkToFit="1"/>
    </xf>
    <xf numFmtId="0" fontId="2" fillId="0" borderId="32" xfId="0" applyFont="1" applyBorder="1" applyAlignment="1">
      <alignment vertical="center" shrinkToFit="1"/>
    </xf>
    <xf numFmtId="0" fontId="2" fillId="0" borderId="33" xfId="0" applyFont="1" applyBorder="1" applyAlignment="1">
      <alignment vertical="center" shrinkToFit="1"/>
    </xf>
    <xf numFmtId="0" fontId="2" fillId="0" borderId="34" xfId="0" applyFont="1" applyBorder="1" applyAlignment="1">
      <alignment vertical="center" shrinkToFit="1"/>
    </xf>
    <xf numFmtId="0" fontId="2" fillId="0" borderId="0" xfId="0" applyFont="1" applyAlignment="1">
      <alignment vertical="center" wrapText="1"/>
    </xf>
    <xf numFmtId="0" fontId="2" fillId="0" borderId="29" xfId="0" applyFont="1" applyBorder="1" applyAlignment="1">
      <alignment vertical="center" shrinkToFit="1"/>
    </xf>
    <xf numFmtId="0" fontId="2" fillId="0" borderId="31" xfId="0" applyFont="1" applyBorder="1" applyAlignment="1">
      <alignment vertical="center" shrinkToFit="1"/>
    </xf>
    <xf numFmtId="0" fontId="2" fillId="0" borderId="30" xfId="0" applyFont="1" applyBorder="1" applyAlignment="1">
      <alignment vertical="center" shrinkToFit="1"/>
    </xf>
    <xf numFmtId="0" fontId="2" fillId="0" borderId="7" xfId="0" applyFont="1" applyBorder="1" applyAlignment="1">
      <alignment horizontal="center" vertical="center" shrinkToFit="1"/>
    </xf>
    <xf numFmtId="0" fontId="2" fillId="0" borderId="8" xfId="0" applyFont="1" applyBorder="1" applyAlignment="1">
      <alignment horizontal="center" vertical="center" shrinkToFit="1"/>
    </xf>
    <xf numFmtId="0" fontId="2" fillId="0" borderId="9" xfId="0" applyFont="1" applyBorder="1" applyAlignment="1">
      <alignment horizontal="center" vertical="center" shrinkToFit="1"/>
    </xf>
    <xf numFmtId="0" fontId="2" fillId="0" borderId="2" xfId="0" applyFont="1" applyBorder="1" applyAlignment="1">
      <alignment horizontal="center" vertical="center"/>
    </xf>
    <xf numFmtId="0" fontId="2" fillId="0" borderId="3" xfId="0" applyFont="1" applyBorder="1" applyAlignment="1">
      <alignment horizontal="center" vertical="center"/>
    </xf>
    <xf numFmtId="0" fontId="2" fillId="0" borderId="4" xfId="0" applyFont="1" applyBorder="1" applyAlignment="1">
      <alignment horizontal="center" vertical="center"/>
    </xf>
    <xf numFmtId="0" fontId="3" fillId="0" borderId="40" xfId="0" applyFont="1" applyBorder="1" applyAlignment="1">
      <alignment vertical="center" wrapText="1"/>
    </xf>
    <xf numFmtId="0" fontId="3" fillId="0" borderId="41" xfId="0" applyFont="1" applyBorder="1" applyAlignment="1">
      <alignment vertical="center" wrapText="1"/>
    </xf>
    <xf numFmtId="0" fontId="2" fillId="0" borderId="18" xfId="0" applyFont="1" applyBorder="1" applyAlignment="1">
      <alignment horizontal="center" vertical="center" shrinkToFit="1"/>
    </xf>
    <xf numFmtId="0" fontId="2" fillId="0" borderId="19" xfId="0" applyFont="1" applyBorder="1" applyAlignment="1">
      <alignment horizontal="center" vertical="center" shrinkToFit="1"/>
    </xf>
    <xf numFmtId="0" fontId="2" fillId="0" borderId="17" xfId="0" applyFont="1" applyBorder="1" applyAlignment="1">
      <alignment horizontal="center" vertical="center" shrinkToFit="1"/>
    </xf>
    <xf numFmtId="0" fontId="2" fillId="0" borderId="7" xfId="0" applyFont="1" applyBorder="1" applyAlignment="1">
      <alignment horizontal="center" vertical="center"/>
    </xf>
    <xf numFmtId="0" fontId="2" fillId="0" borderId="8" xfId="0" applyFont="1" applyBorder="1" applyAlignment="1">
      <alignment horizontal="center" vertical="center"/>
    </xf>
    <xf numFmtId="0" fontId="2" fillId="0" borderId="9" xfId="0" applyFont="1" applyBorder="1" applyAlignment="1">
      <alignment horizontal="center" vertical="center"/>
    </xf>
    <xf numFmtId="0" fontId="6" fillId="0" borderId="0" xfId="0" applyFont="1" applyAlignment="1">
      <alignment horizontal="center" vertical="center"/>
    </xf>
    <xf numFmtId="0" fontId="2" fillId="0" borderId="7" xfId="0" applyFont="1" applyBorder="1" applyAlignment="1">
      <alignment horizontal="left" vertical="top" wrapText="1" shrinkToFit="1"/>
    </xf>
    <xf numFmtId="0" fontId="2" fillId="0" borderId="8" xfId="0" applyFont="1" applyBorder="1" applyAlignment="1">
      <alignment horizontal="left" vertical="top" wrapText="1" shrinkToFit="1"/>
    </xf>
    <xf numFmtId="0" fontId="2" fillId="0" borderId="9" xfId="0" applyFont="1" applyBorder="1" applyAlignment="1">
      <alignment horizontal="left" vertical="top" wrapText="1" shrinkToFit="1"/>
    </xf>
    <xf numFmtId="0" fontId="2" fillId="0" borderId="5" xfId="0" applyFont="1" applyBorder="1" applyAlignment="1">
      <alignment horizontal="left" vertical="top" wrapText="1" shrinkToFit="1"/>
    </xf>
    <xf numFmtId="0" fontId="2" fillId="0" borderId="0" xfId="0" applyFont="1" applyAlignment="1">
      <alignment horizontal="left" vertical="top" wrapText="1" shrinkToFit="1"/>
    </xf>
    <xf numFmtId="0" fontId="2" fillId="0" borderId="10" xfId="0" applyFont="1" applyBorder="1" applyAlignment="1">
      <alignment horizontal="left" vertical="top" wrapText="1" shrinkToFit="1"/>
    </xf>
    <xf numFmtId="0" fontId="2" fillId="0" borderId="11" xfId="0" applyFont="1" applyBorder="1" applyAlignment="1">
      <alignment horizontal="left" vertical="top" wrapText="1" shrinkToFit="1"/>
    </xf>
    <xf numFmtId="0" fontId="2" fillId="0" borderId="6" xfId="0" applyFont="1" applyBorder="1" applyAlignment="1">
      <alignment horizontal="left" vertical="top" wrapText="1" shrinkToFit="1"/>
    </xf>
    <xf numFmtId="0" fontId="2" fillId="0" borderId="12" xfId="0" applyFont="1" applyBorder="1" applyAlignment="1">
      <alignment horizontal="left" vertical="top" wrapText="1" shrinkToFit="1"/>
    </xf>
    <xf numFmtId="0" fontId="2" fillId="0" borderId="2" xfId="0" applyFont="1" applyBorder="1" applyAlignment="1">
      <alignment vertical="top" wrapText="1" shrinkToFit="1"/>
    </xf>
    <xf numFmtId="0" fontId="2" fillId="0" borderId="3" xfId="0" applyFont="1" applyBorder="1" applyAlignment="1">
      <alignment vertical="top" wrapText="1" shrinkToFit="1"/>
    </xf>
    <xf numFmtId="0" fontId="2" fillId="0" borderId="4" xfId="0" applyFont="1" applyBorder="1" applyAlignment="1">
      <alignment vertical="top" wrapText="1" shrinkToFit="1"/>
    </xf>
    <xf numFmtId="0" fontId="2" fillId="0" borderId="11" xfId="0" applyFont="1" applyBorder="1" applyAlignment="1">
      <alignment horizontal="center" vertical="center" shrinkToFit="1"/>
    </xf>
    <xf numFmtId="0" fontId="2" fillId="0" borderId="6" xfId="0" applyFont="1" applyBorder="1" applyAlignment="1">
      <alignment horizontal="center" vertical="center" shrinkToFit="1"/>
    </xf>
    <xf numFmtId="0" fontId="2" fillId="0" borderId="12" xfId="0" applyFont="1" applyBorder="1" applyAlignment="1">
      <alignment horizontal="center" vertical="center" shrinkToFit="1"/>
    </xf>
    <xf numFmtId="0" fontId="3" fillId="0" borderId="27" xfId="0" applyFont="1" applyBorder="1" applyAlignment="1">
      <alignment vertical="center" wrapText="1"/>
    </xf>
    <xf numFmtId="0" fontId="7" fillId="0" borderId="2" xfId="0" applyFont="1" applyBorder="1" applyAlignment="1">
      <alignment horizontal="center" vertical="center" shrinkToFit="1"/>
    </xf>
    <xf numFmtId="0" fontId="7" fillId="0" borderId="4" xfId="0" applyFont="1" applyBorder="1" applyAlignment="1">
      <alignment horizontal="center" vertical="center" shrinkToFit="1"/>
    </xf>
    <xf numFmtId="0" fontId="2" fillId="0" borderId="0" xfId="0" applyFont="1" applyAlignment="1">
      <alignment horizontal="right" vertical="center"/>
    </xf>
    <xf numFmtId="49" fontId="3" fillId="0" borderId="32" xfId="0" applyNumberFormat="1" applyFont="1" applyBorder="1" applyAlignment="1">
      <alignment horizontal="left" vertical="center" wrapText="1"/>
    </xf>
    <xf numFmtId="49" fontId="3" fillId="0" borderId="33" xfId="0" applyNumberFormat="1" applyFont="1" applyBorder="1" applyAlignment="1">
      <alignment horizontal="left" vertical="center"/>
    </xf>
    <xf numFmtId="49" fontId="3" fillId="0" borderId="34" xfId="0" applyNumberFormat="1" applyFont="1" applyBorder="1" applyAlignment="1">
      <alignment horizontal="left" vertical="center"/>
    </xf>
    <xf numFmtId="49" fontId="3" fillId="0" borderId="29" xfId="0" applyNumberFormat="1" applyFont="1" applyBorder="1" applyAlignment="1">
      <alignment horizontal="left" vertical="center" wrapText="1"/>
    </xf>
    <xf numFmtId="49" fontId="3" fillId="0" borderId="31" xfId="0" applyNumberFormat="1" applyFont="1" applyBorder="1" applyAlignment="1">
      <alignment horizontal="left" vertical="center"/>
    </xf>
    <xf numFmtId="49" fontId="3" fillId="0" borderId="30" xfId="0" applyNumberFormat="1" applyFont="1" applyBorder="1" applyAlignment="1">
      <alignment horizontal="left" vertical="center"/>
    </xf>
    <xf numFmtId="49" fontId="3" fillId="0" borderId="18" xfId="0" applyNumberFormat="1" applyFont="1" applyBorder="1" applyAlignment="1">
      <alignment horizontal="left" vertical="center" wrapText="1"/>
    </xf>
    <xf numFmtId="49" fontId="3" fillId="0" borderId="19" xfId="0" applyNumberFormat="1" applyFont="1" applyBorder="1" applyAlignment="1">
      <alignment horizontal="left" vertical="center"/>
    </xf>
    <xf numFmtId="49" fontId="3" fillId="0" borderId="17" xfId="0" applyNumberFormat="1" applyFont="1" applyBorder="1" applyAlignment="1">
      <alignment horizontal="left" vertical="center"/>
    </xf>
    <xf numFmtId="0" fontId="5" fillId="0" borderId="2" xfId="0" applyFont="1" applyBorder="1" applyAlignment="1">
      <alignment horizontal="center" vertical="center" shrinkToFit="1"/>
    </xf>
    <xf numFmtId="0" fontId="5" fillId="0" borderId="3" xfId="0" applyFont="1" applyBorder="1" applyAlignment="1">
      <alignment horizontal="center" vertical="center" shrinkToFit="1"/>
    </xf>
    <xf numFmtId="0" fontId="5" fillId="0" borderId="4" xfId="0" applyFont="1" applyBorder="1" applyAlignment="1">
      <alignment horizontal="center" vertical="center" shrinkToFit="1"/>
    </xf>
    <xf numFmtId="0" fontId="5" fillId="0" borderId="2" xfId="0" applyFont="1" applyBorder="1" applyAlignment="1">
      <alignment horizontal="center" vertical="center"/>
    </xf>
    <xf numFmtId="0" fontId="5" fillId="0" borderId="3" xfId="0" applyFont="1" applyBorder="1" applyAlignment="1">
      <alignment horizontal="center" vertical="center"/>
    </xf>
    <xf numFmtId="0" fontId="5" fillId="0" borderId="4" xfId="0" applyFont="1" applyBorder="1" applyAlignment="1">
      <alignment horizontal="center" vertical="center"/>
    </xf>
    <xf numFmtId="0" fontId="2" fillId="0" borderId="7"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11" xfId="0" applyFont="1" applyBorder="1" applyAlignment="1">
      <alignment horizontal="left" vertical="center" wrapText="1"/>
    </xf>
    <xf numFmtId="0" fontId="2" fillId="0" borderId="6" xfId="0" applyFont="1" applyBorder="1" applyAlignment="1">
      <alignment horizontal="left" vertical="center" wrapText="1"/>
    </xf>
    <xf numFmtId="0" fontId="2" fillId="0" borderId="12" xfId="0" applyFont="1" applyBorder="1" applyAlignment="1">
      <alignment horizontal="left" vertical="center" wrapText="1"/>
    </xf>
    <xf numFmtId="0" fontId="2" fillId="0" borderId="14" xfId="0" applyFont="1" applyBorder="1" applyAlignment="1">
      <alignment horizontal="center" vertical="center"/>
    </xf>
    <xf numFmtId="0" fontId="11" fillId="0" borderId="1" xfId="0" applyFont="1" applyBorder="1" applyAlignment="1">
      <alignment horizontal="center" vertical="center"/>
    </xf>
    <xf numFmtId="0" fontId="11" fillId="0" borderId="2" xfId="0" applyFont="1" applyBorder="1" applyAlignment="1">
      <alignment horizontal="center" vertical="center" shrinkToFit="1"/>
    </xf>
    <xf numFmtId="0" fontId="11" fillId="0" borderId="4" xfId="0" applyFont="1" applyBorder="1" applyAlignment="1">
      <alignment horizontal="center" vertical="center" shrinkToFit="1"/>
    </xf>
    <xf numFmtId="0" fontId="2" fillId="0" borderId="15" xfId="0" applyFont="1" applyBorder="1" applyAlignment="1">
      <alignment horizontal="center" vertical="center"/>
    </xf>
    <xf numFmtId="0" fontId="2" fillId="0" borderId="13" xfId="0" applyFont="1" applyBorder="1" applyAlignment="1">
      <alignment horizontal="center" vertical="center"/>
    </xf>
    <xf numFmtId="0" fontId="7" fillId="0" borderId="8" xfId="0" applyFont="1" applyBorder="1" applyAlignment="1">
      <alignment horizontal="center" vertical="center" wrapText="1"/>
    </xf>
    <xf numFmtId="0" fontId="7" fillId="0" borderId="6" xfId="0" applyFont="1" applyBorder="1" applyAlignment="1">
      <alignment horizontal="center" vertical="center" wrapText="1"/>
    </xf>
    <xf numFmtId="0" fontId="7" fillId="0" borderId="7" xfId="0" applyFont="1" applyBorder="1" applyAlignment="1">
      <alignment horizontal="center" vertical="center" wrapText="1"/>
    </xf>
    <xf numFmtId="0" fontId="7" fillId="0" borderId="11" xfId="0" applyFont="1" applyBorder="1" applyAlignment="1">
      <alignment horizontal="center" vertical="center" wrapText="1"/>
    </xf>
    <xf numFmtId="0" fontId="8" fillId="0" borderId="9" xfId="0" applyFont="1" applyBorder="1" applyAlignment="1">
      <alignment horizontal="center" vertical="center" wrapText="1"/>
    </xf>
    <xf numFmtId="0" fontId="8" fillId="0" borderId="12" xfId="0" applyFont="1" applyBorder="1" applyAlignment="1">
      <alignment horizontal="center" vertical="center" wrapText="1"/>
    </xf>
    <xf numFmtId="0" fontId="7" fillId="0" borderId="9" xfId="0" applyFont="1" applyBorder="1" applyAlignment="1">
      <alignment horizontal="center" vertical="center"/>
    </xf>
    <xf numFmtId="0" fontId="7" fillId="0" borderId="12" xfId="0" applyFont="1" applyBorder="1" applyAlignment="1">
      <alignment horizontal="center" vertical="center"/>
    </xf>
    <xf numFmtId="0" fontId="7" fillId="0" borderId="15" xfId="0" applyFont="1" applyBorder="1" applyAlignment="1">
      <alignment horizontal="center" vertical="center" wrapText="1"/>
    </xf>
    <xf numFmtId="0" fontId="7" fillId="0" borderId="13" xfId="0" applyFont="1" applyBorder="1" applyAlignment="1">
      <alignment horizontal="center" vertical="center" wrapText="1"/>
    </xf>
    <xf numFmtId="0" fontId="10" fillId="0" borderId="0" xfId="0" applyFont="1" applyAlignment="1">
      <alignment horizontal="left" vertical="center" wrapText="1"/>
    </xf>
    <xf numFmtId="0" fontId="2" fillId="0" borderId="2" xfId="0" applyFont="1" applyBorder="1" applyAlignment="1">
      <alignment vertical="center" shrinkToFit="1"/>
    </xf>
    <xf numFmtId="0" fontId="2" fillId="0" borderId="3" xfId="0" applyFont="1" applyBorder="1" applyAlignment="1">
      <alignment vertical="center" shrinkToFit="1"/>
    </xf>
    <xf numFmtId="0" fontId="2" fillId="0" borderId="4" xfId="0" applyFont="1" applyBorder="1" applyAlignment="1">
      <alignment vertical="center" shrinkToFit="1"/>
    </xf>
    <xf numFmtId="0" fontId="2" fillId="0" borderId="7" xfId="0" applyFont="1" applyBorder="1" applyAlignment="1">
      <alignment vertical="top" wrapText="1" shrinkToFit="1"/>
    </xf>
    <xf numFmtId="0" fontId="2" fillId="0" borderId="8" xfId="0" applyFont="1" applyBorder="1" applyAlignment="1">
      <alignment vertical="top" wrapText="1" shrinkToFit="1"/>
    </xf>
    <xf numFmtId="0" fontId="2" fillId="0" borderId="9" xfId="0" applyFont="1" applyBorder="1" applyAlignment="1">
      <alignment vertical="top" shrinkToFit="1"/>
    </xf>
    <xf numFmtId="0" fontId="2" fillId="0" borderId="5" xfId="0" applyFont="1" applyBorder="1" applyAlignment="1">
      <alignment vertical="top" wrapText="1" shrinkToFit="1"/>
    </xf>
    <xf numFmtId="0" fontId="2" fillId="0" borderId="0" xfId="0" applyFont="1" applyAlignment="1">
      <alignment vertical="top" wrapText="1" shrinkToFit="1"/>
    </xf>
    <xf numFmtId="0" fontId="2" fillId="0" borderId="10" xfId="0" applyFont="1" applyBorder="1" applyAlignment="1">
      <alignment vertical="top" shrinkToFit="1"/>
    </xf>
    <xf numFmtId="0" fontId="2" fillId="0" borderId="5" xfId="0" applyFont="1" applyBorder="1" applyAlignment="1">
      <alignment vertical="top" shrinkToFit="1"/>
    </xf>
    <xf numFmtId="0" fontId="2" fillId="0" borderId="0" xfId="0" applyFont="1" applyAlignment="1">
      <alignment vertical="top" shrinkToFit="1"/>
    </xf>
    <xf numFmtId="0" fontId="2" fillId="0" borderId="11" xfId="0" applyFont="1" applyBorder="1" applyAlignment="1">
      <alignment vertical="top" shrinkToFit="1"/>
    </xf>
    <xf numFmtId="0" fontId="2" fillId="0" borderId="6" xfId="0" applyFont="1" applyBorder="1" applyAlignment="1">
      <alignment vertical="top" shrinkToFit="1"/>
    </xf>
    <xf numFmtId="0" fontId="2" fillId="0" borderId="12" xfId="0" applyFont="1" applyBorder="1" applyAlignment="1">
      <alignment vertical="top" shrinkToFit="1"/>
    </xf>
    <xf numFmtId="0" fontId="2" fillId="0" borderId="2" xfId="0" applyFont="1" applyBorder="1" applyAlignment="1">
      <alignment horizontal="left" vertical="center"/>
    </xf>
    <xf numFmtId="0" fontId="5" fillId="0" borderId="3" xfId="0" applyFont="1" applyBorder="1">
      <alignment vertical="center"/>
    </xf>
    <xf numFmtId="0" fontId="5" fillId="0" borderId="4" xfId="0" applyFont="1" applyBorder="1">
      <alignment vertical="center"/>
    </xf>
    <xf numFmtId="0" fontId="5" fillId="0" borderId="3" xfId="0" applyFont="1" applyBorder="1" applyAlignment="1">
      <alignment horizontal="left" vertical="center"/>
    </xf>
    <xf numFmtId="0" fontId="5" fillId="0" borderId="4" xfId="0" applyFont="1" applyBorder="1" applyAlignment="1">
      <alignment horizontal="left" vertical="center"/>
    </xf>
    <xf numFmtId="0" fontId="2" fillId="0" borderId="0" xfId="0" applyFont="1" applyAlignment="1">
      <alignment horizontal="center" vertical="center"/>
    </xf>
    <xf numFmtId="0" fontId="2" fillId="0" borderId="0" xfId="0" applyFont="1">
      <alignment vertical="center"/>
    </xf>
    <xf numFmtId="0" fontId="2" fillId="2" borderId="5" xfId="0" applyFont="1" applyFill="1" applyBorder="1" applyAlignment="1">
      <alignment horizontal="center" vertical="center" shrinkToFit="1"/>
    </xf>
    <xf numFmtId="0" fontId="2" fillId="2" borderId="0" xfId="0" applyFont="1" applyFill="1" applyAlignment="1">
      <alignment horizontal="center" vertical="center" shrinkToFit="1"/>
    </xf>
    <xf numFmtId="0" fontId="2" fillId="2" borderId="10" xfId="0" applyFont="1" applyFill="1" applyBorder="1" applyAlignment="1">
      <alignment horizontal="center" vertical="center" shrinkToFit="1"/>
    </xf>
    <xf numFmtId="9" fontId="2" fillId="0" borderId="1" xfId="0" applyNumberFormat="1" applyFont="1" applyBorder="1" applyAlignment="1">
      <alignment horizontal="center" vertical="center" shrinkToFi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2" fillId="0" borderId="5" xfId="0" applyFont="1" applyBorder="1" applyAlignment="1">
      <alignment vertical="top" wrapText="1"/>
    </xf>
    <xf numFmtId="0" fontId="2" fillId="0" borderId="0" xfId="0" applyFont="1" applyAlignment="1">
      <alignment vertical="top" wrapText="1"/>
    </xf>
    <xf numFmtId="0" fontId="2" fillId="0" borderId="10" xfId="0" applyFont="1" applyBorder="1" applyAlignment="1">
      <alignment vertical="top" wrapText="1"/>
    </xf>
    <xf numFmtId="0" fontId="2" fillId="0" borderId="11" xfId="0" applyFont="1" applyBorder="1" applyAlignment="1">
      <alignment vertical="top" wrapText="1"/>
    </xf>
    <xf numFmtId="0" fontId="2" fillId="0" borderId="6" xfId="0" applyFont="1" applyBorder="1" applyAlignment="1">
      <alignment vertical="top" wrapText="1"/>
    </xf>
    <xf numFmtId="0" fontId="2" fillId="0" borderId="12" xfId="0" applyFont="1" applyBorder="1" applyAlignment="1">
      <alignment vertical="top" wrapText="1"/>
    </xf>
    <xf numFmtId="0" fontId="2" fillId="0" borderId="9" xfId="0" applyFont="1" applyBorder="1" applyAlignment="1">
      <alignment vertical="top"/>
    </xf>
    <xf numFmtId="0" fontId="2" fillId="0" borderId="5" xfId="0" applyFont="1" applyBorder="1" applyAlignment="1">
      <alignment vertical="top"/>
    </xf>
    <xf numFmtId="0" fontId="2" fillId="0" borderId="0" xfId="0" applyFont="1" applyAlignment="1">
      <alignment vertical="top"/>
    </xf>
    <xf numFmtId="0" fontId="2" fillId="0" borderId="10" xfId="0" applyFont="1" applyBorder="1" applyAlignment="1">
      <alignment vertical="top"/>
    </xf>
    <xf numFmtId="0" fontId="2" fillId="0" borderId="11" xfId="0" applyFont="1" applyBorder="1" applyAlignment="1">
      <alignment vertical="top"/>
    </xf>
    <xf numFmtId="0" fontId="2" fillId="0" borderId="6" xfId="0" applyFont="1" applyBorder="1" applyAlignment="1">
      <alignment vertical="top"/>
    </xf>
    <xf numFmtId="0" fontId="2" fillId="0" borderId="12" xfId="0" applyFont="1" applyBorder="1" applyAlignment="1">
      <alignment vertical="top"/>
    </xf>
    <xf numFmtId="9" fontId="2" fillId="0" borderId="1" xfId="0" applyNumberFormat="1" applyFont="1" applyBorder="1" applyAlignment="1">
      <alignment horizontal="center" vertical="center" wrapText="1" shrinkToFit="1"/>
    </xf>
    <xf numFmtId="0" fontId="2" fillId="0" borderId="7" xfId="0" applyFont="1" applyBorder="1" applyAlignment="1">
      <alignment horizontal="left" vertical="top" wrapText="1"/>
    </xf>
    <xf numFmtId="0" fontId="2" fillId="0" borderId="8" xfId="0" applyFont="1" applyBorder="1" applyAlignment="1">
      <alignment horizontal="left" vertical="top" wrapText="1"/>
    </xf>
    <xf numFmtId="0" fontId="2" fillId="0" borderId="9" xfId="0" applyFont="1" applyBorder="1" applyAlignment="1">
      <alignment horizontal="left" vertical="top" wrapText="1"/>
    </xf>
    <xf numFmtId="0" fontId="2" fillId="0" borderId="5" xfId="0" applyFont="1" applyBorder="1" applyAlignment="1">
      <alignment horizontal="left" vertical="top" wrapText="1"/>
    </xf>
    <xf numFmtId="0" fontId="2" fillId="0" borderId="0" xfId="0" applyFont="1" applyAlignment="1">
      <alignment horizontal="left" vertical="top" wrapText="1"/>
    </xf>
    <xf numFmtId="0" fontId="2" fillId="0" borderId="10" xfId="0" applyFont="1" applyBorder="1" applyAlignment="1">
      <alignment horizontal="left" vertical="top" wrapText="1"/>
    </xf>
    <xf numFmtId="0" fontId="2" fillId="0" borderId="11" xfId="0" applyFont="1" applyBorder="1" applyAlignment="1">
      <alignment horizontal="left" vertical="top" wrapText="1"/>
    </xf>
    <xf numFmtId="0" fontId="2" fillId="0" borderId="6" xfId="0" applyFont="1" applyBorder="1" applyAlignment="1">
      <alignment horizontal="left" vertical="top" wrapText="1"/>
    </xf>
    <xf numFmtId="0" fontId="2" fillId="0" borderId="12" xfId="0" applyFont="1" applyBorder="1" applyAlignment="1">
      <alignment horizontal="left" vertical="top" wrapText="1"/>
    </xf>
    <xf numFmtId="0" fontId="2" fillId="0" borderId="16" xfId="0" applyFont="1" applyBorder="1">
      <alignment vertical="center"/>
    </xf>
    <xf numFmtId="0" fontId="5" fillId="0" borderId="17" xfId="0" applyFont="1" applyBorder="1">
      <alignment vertical="center"/>
    </xf>
    <xf numFmtId="0" fontId="2" fillId="3" borderId="18" xfId="0" applyFont="1" applyFill="1" applyBorder="1" applyAlignment="1">
      <alignment vertical="top" wrapText="1" shrinkToFit="1"/>
    </xf>
    <xf numFmtId="0" fontId="2" fillId="3" borderId="19" xfId="0" applyFont="1" applyFill="1" applyBorder="1" applyAlignment="1">
      <alignment vertical="top" wrapText="1" shrinkToFit="1"/>
    </xf>
    <xf numFmtId="0" fontId="2" fillId="3" borderId="17" xfId="0" applyFont="1" applyFill="1" applyBorder="1" applyAlignment="1">
      <alignment vertical="top" wrapText="1" shrinkToFit="1"/>
    </xf>
    <xf numFmtId="0" fontId="2" fillId="0" borderId="16" xfId="0" applyFont="1" applyBorder="1" applyAlignment="1">
      <alignment vertical="center" wrapText="1"/>
    </xf>
    <xf numFmtId="0" fontId="2" fillId="0" borderId="17" xfId="0" applyFont="1" applyBorder="1" applyAlignment="1">
      <alignment vertical="center" wrapText="1"/>
    </xf>
    <xf numFmtId="0" fontId="2" fillId="0" borderId="3" xfId="0" applyFont="1" applyBorder="1" applyAlignment="1">
      <alignment horizontal="left" vertical="center"/>
    </xf>
    <xf numFmtId="0" fontId="2" fillId="0" borderId="4" xfId="0" applyFont="1" applyBorder="1" applyAlignment="1">
      <alignment horizontal="left" vertical="center"/>
    </xf>
    <xf numFmtId="0" fontId="2" fillId="0" borderId="18" xfId="0" applyFont="1" applyBorder="1" applyAlignment="1">
      <alignment vertical="top" wrapText="1" shrinkToFit="1"/>
    </xf>
    <xf numFmtId="0" fontId="2" fillId="0" borderId="19" xfId="0" applyFont="1" applyBorder="1" applyAlignment="1">
      <alignment vertical="top" wrapText="1" shrinkToFit="1"/>
    </xf>
    <xf numFmtId="0" fontId="2" fillId="0" borderId="17" xfId="0" applyFont="1" applyBorder="1" applyAlignment="1">
      <alignment vertical="top" wrapText="1" shrinkToFit="1"/>
    </xf>
    <xf numFmtId="0" fontId="2" fillId="0" borderId="47" xfId="0" applyFont="1" applyBorder="1" applyAlignment="1">
      <alignment vertical="center" wrapText="1"/>
    </xf>
    <xf numFmtId="0" fontId="2" fillId="0" borderId="34" xfId="0" applyFont="1" applyBorder="1" applyAlignment="1">
      <alignment vertical="center" wrapText="1"/>
    </xf>
    <xf numFmtId="0" fontId="2" fillId="3" borderId="32" xfId="0" applyFont="1" applyFill="1" applyBorder="1" applyAlignment="1">
      <alignment vertical="top" wrapText="1" shrinkToFit="1"/>
    </xf>
    <xf numFmtId="0" fontId="2" fillId="3" borderId="33" xfId="0" applyFont="1" applyFill="1" applyBorder="1" applyAlignment="1">
      <alignment vertical="top" wrapText="1" shrinkToFit="1"/>
    </xf>
    <xf numFmtId="0" fontId="2" fillId="3" borderId="34" xfId="0" applyFont="1" applyFill="1" applyBorder="1" applyAlignment="1">
      <alignment vertical="top" wrapText="1" shrinkToFit="1"/>
    </xf>
    <xf numFmtId="0" fontId="11" fillId="0" borderId="11" xfId="0" applyFont="1" applyBorder="1" applyAlignment="1">
      <alignment vertical="center" wrapText="1"/>
    </xf>
    <xf numFmtId="0" fontId="11" fillId="0" borderId="6" xfId="0" applyFont="1" applyBorder="1" applyAlignment="1">
      <alignment vertical="center" wrapText="1"/>
    </xf>
    <xf numFmtId="0" fontId="11" fillId="0" borderId="12" xfId="0" applyFont="1" applyBorder="1" applyAlignment="1">
      <alignment vertical="center" wrapText="1"/>
    </xf>
    <xf numFmtId="0" fontId="2" fillId="0" borderId="6" xfId="0" applyFont="1" applyBorder="1" applyAlignment="1">
      <alignment vertical="top" wrapText="1" shrinkToFit="1"/>
    </xf>
    <xf numFmtId="0" fontId="2" fillId="0" borderId="12" xfId="0" applyFont="1" applyBorder="1" applyAlignment="1">
      <alignment vertical="top" wrapText="1" shrinkToFit="1"/>
    </xf>
    <xf numFmtId="0" fontId="2" fillId="0" borderId="36" xfId="0" applyFont="1" applyBorder="1" applyAlignment="1">
      <alignment vertical="center" wrapText="1"/>
    </xf>
    <xf numFmtId="0" fontId="2" fillId="0" borderId="37" xfId="0" applyFont="1" applyBorder="1" applyAlignment="1">
      <alignment vertical="center" wrapText="1"/>
    </xf>
    <xf numFmtId="0" fontId="2" fillId="0" borderId="38" xfId="0" applyFont="1" applyBorder="1" applyAlignment="1">
      <alignment vertical="center" wrapText="1"/>
    </xf>
    <xf numFmtId="0" fontId="2" fillId="0" borderId="37" xfId="0" applyFont="1" applyBorder="1" applyAlignment="1">
      <alignment vertical="top" wrapText="1" shrinkToFit="1"/>
    </xf>
    <xf numFmtId="0" fontId="2" fillId="0" borderId="38" xfId="0" applyFont="1" applyBorder="1" applyAlignment="1">
      <alignment vertical="top" wrapText="1" shrinkToFit="1"/>
    </xf>
  </cellXfs>
  <cellStyles count="3">
    <cellStyle name="パーセント" xfId="1" builtinId="5"/>
    <cellStyle name="桁区切り" xfId="2" builtinId="6"/>
    <cellStyle name="標準" xfId="0" builtinId="0"/>
  </cellStyles>
  <dxfs count="2">
    <dxf>
      <font>
        <color theme="0" tint="-0.34998626667073579"/>
      </font>
      <fill>
        <patternFill>
          <bgColor theme="0" tint="-0.34998626667073579"/>
        </patternFill>
      </fill>
    </dxf>
    <dxf>
      <fill>
        <patternFill>
          <bgColor theme="0" tint="-0.34998626667073579"/>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11" Type="http://schemas.openxmlformats.org/officeDocument/2006/relationships/customXml" Target="../customXml/item3.xml"/><Relationship Id="rId5" Type="http://schemas.openxmlformats.org/officeDocument/2006/relationships/theme" Target="theme/theme1.xml"/><Relationship Id="rId10"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customXml" Target="../customXml/item1.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7C4E09-CA47-4A5D-8092-9270AEEBA0DE}">
  <sheetPr>
    <pageSetUpPr fitToPage="1"/>
  </sheetPr>
  <dimension ref="A1:AA107"/>
  <sheetViews>
    <sheetView showZeros="0" view="pageBreakPreview" topLeftCell="A15" zoomScale="130" zoomScaleNormal="100" zoomScaleSheetLayoutView="130" workbookViewId="0">
      <selection activeCell="G7" sqref="G7"/>
    </sheetView>
  </sheetViews>
  <sheetFormatPr defaultColWidth="9" defaultRowHeight="18.75" customHeight="1" x14ac:dyDescent="0.2"/>
  <cols>
    <col min="1" max="1" width="2.44140625" style="1" customWidth="1"/>
    <col min="2" max="2" width="16.44140625" style="1" customWidth="1"/>
    <col min="3" max="21" width="5.6640625" style="1" customWidth="1"/>
    <col min="22" max="22" width="9" style="1"/>
    <col min="23" max="23" width="3.6640625" style="1" customWidth="1"/>
    <col min="24" max="24" width="48.6640625" style="1" hidden="1" customWidth="1"/>
    <col min="25" max="26" width="9" style="1"/>
    <col min="27" max="27" width="9" style="1" hidden="1" customWidth="1"/>
    <col min="28" max="16384" width="9" style="1"/>
  </cols>
  <sheetData>
    <row r="1" spans="1:24" ht="18.600000000000001" customHeight="1" x14ac:dyDescent="0.2">
      <c r="T1" s="126" t="s">
        <v>12</v>
      </c>
      <c r="U1" s="126"/>
      <c r="V1" s="2" t="s">
        <v>94</v>
      </c>
    </row>
    <row r="2" spans="1:24" ht="18.75" customHeight="1" x14ac:dyDescent="0.2">
      <c r="B2" s="17" t="s">
        <v>93</v>
      </c>
      <c r="C2" s="96" t="s">
        <v>143</v>
      </c>
      <c r="D2" s="97"/>
      <c r="E2" s="97"/>
      <c r="F2" s="97"/>
      <c r="G2" s="97"/>
      <c r="H2" s="97"/>
      <c r="I2" s="97"/>
      <c r="J2" s="98"/>
      <c r="K2" s="18"/>
      <c r="L2" s="6"/>
      <c r="M2" s="6"/>
      <c r="N2" s="6"/>
      <c r="O2" s="6"/>
      <c r="P2" s="6"/>
      <c r="Q2" s="6"/>
      <c r="R2" s="6"/>
      <c r="S2" s="6"/>
      <c r="T2" s="6"/>
      <c r="U2" s="6"/>
    </row>
    <row r="3" spans="1:24" ht="18.75" customHeight="1" x14ac:dyDescent="0.2">
      <c r="B3" s="17" t="s">
        <v>88</v>
      </c>
      <c r="C3" s="96" t="s">
        <v>144</v>
      </c>
      <c r="D3" s="97"/>
      <c r="E3" s="97"/>
      <c r="F3" s="97"/>
      <c r="G3" s="97"/>
      <c r="H3" s="97"/>
      <c r="I3" s="97"/>
      <c r="J3" s="98"/>
      <c r="K3" s="18"/>
      <c r="L3" s="6"/>
      <c r="M3" s="6"/>
      <c r="N3" s="6"/>
      <c r="O3" s="6"/>
      <c r="P3" s="6"/>
      <c r="Q3" s="6"/>
      <c r="R3" s="6"/>
      <c r="S3" s="6"/>
      <c r="T3" s="6"/>
      <c r="U3" s="6"/>
    </row>
    <row r="4" spans="1:24" ht="15" customHeight="1" x14ac:dyDescent="0.2">
      <c r="L4" s="18"/>
      <c r="M4" s="74"/>
      <c r="N4" s="74"/>
      <c r="O4" s="74"/>
      <c r="P4" s="74"/>
      <c r="Q4" s="74"/>
      <c r="R4" s="74"/>
      <c r="S4" s="74"/>
      <c r="T4" s="74"/>
      <c r="U4" s="74"/>
    </row>
    <row r="5" spans="1:24" ht="18" customHeight="1" x14ac:dyDescent="0.2">
      <c r="A5" s="107" t="s">
        <v>141</v>
      </c>
      <c r="B5" s="107"/>
      <c r="C5" s="107"/>
      <c r="D5" s="107"/>
      <c r="E5" s="107"/>
      <c r="F5" s="107"/>
      <c r="G5" s="107"/>
      <c r="H5" s="107"/>
      <c r="I5" s="107"/>
      <c r="J5" s="107"/>
      <c r="K5" s="107"/>
      <c r="L5" s="107"/>
      <c r="M5" s="107"/>
      <c r="N5" s="107"/>
      <c r="O5" s="107"/>
      <c r="P5" s="107"/>
      <c r="Q5" s="107"/>
      <c r="R5" s="107"/>
      <c r="S5" s="107"/>
      <c r="T5" s="107"/>
      <c r="U5" s="107"/>
    </row>
    <row r="6" spans="1:24" ht="15" customHeight="1" x14ac:dyDescent="0.2">
      <c r="B6" s="3"/>
      <c r="C6" s="3"/>
      <c r="D6" s="3"/>
      <c r="E6" s="3"/>
      <c r="F6" s="3"/>
      <c r="G6" s="3"/>
      <c r="H6" s="3"/>
      <c r="I6" s="3"/>
      <c r="J6" s="3"/>
      <c r="K6" s="3"/>
      <c r="L6" s="3"/>
      <c r="M6" s="3"/>
      <c r="N6" s="3"/>
      <c r="O6" s="3"/>
      <c r="P6" s="3"/>
      <c r="Q6" s="3"/>
      <c r="R6" s="3"/>
      <c r="S6" s="3"/>
      <c r="T6" s="3"/>
      <c r="U6" s="3"/>
    </row>
    <row r="7" spans="1:24" ht="15" customHeight="1" x14ac:dyDescent="0.2">
      <c r="A7" s="1" t="s">
        <v>117</v>
      </c>
      <c r="B7" s="3"/>
      <c r="C7" s="3"/>
      <c r="D7" s="3"/>
      <c r="E7" s="3"/>
      <c r="F7" s="2"/>
      <c r="G7" s="2"/>
      <c r="H7" s="2"/>
      <c r="I7" s="2"/>
      <c r="J7" s="2"/>
      <c r="K7" s="2"/>
      <c r="L7" s="139" t="s">
        <v>145</v>
      </c>
      <c r="M7" s="140"/>
      <c r="N7" s="140"/>
      <c r="O7" s="140"/>
      <c r="P7" s="140"/>
      <c r="Q7" s="140"/>
      <c r="R7" s="140"/>
      <c r="S7" s="140"/>
      <c r="T7" s="140"/>
      <c r="U7" s="141"/>
    </row>
    <row r="8" spans="1:24" ht="6" customHeight="1" x14ac:dyDescent="0.2">
      <c r="B8" s="3"/>
      <c r="C8" s="3"/>
      <c r="D8" s="3"/>
      <c r="E8" s="3"/>
      <c r="F8" s="3"/>
      <c r="G8" s="3"/>
      <c r="H8" s="3"/>
      <c r="I8" s="3"/>
      <c r="J8" s="3"/>
      <c r="K8" s="3"/>
      <c r="L8" s="3"/>
      <c r="M8" s="3"/>
      <c r="N8" s="3"/>
      <c r="O8" s="3"/>
      <c r="P8" s="3"/>
      <c r="Q8" s="3"/>
      <c r="R8" s="3"/>
      <c r="S8" s="3"/>
      <c r="T8" s="3"/>
      <c r="U8" s="3"/>
    </row>
    <row r="9" spans="1:24" ht="18" customHeight="1" x14ac:dyDescent="0.2">
      <c r="A9" s="1" t="s">
        <v>118</v>
      </c>
      <c r="C9" s="3"/>
      <c r="D9" s="3"/>
      <c r="K9" s="18"/>
      <c r="L9" s="2"/>
      <c r="M9" s="2"/>
      <c r="N9" s="2"/>
      <c r="O9" s="2"/>
      <c r="P9" s="2"/>
      <c r="Q9" s="2"/>
      <c r="R9" s="2"/>
      <c r="S9" s="2"/>
      <c r="T9" s="2"/>
      <c r="U9" s="2"/>
    </row>
    <row r="10" spans="1:24" ht="6" customHeight="1" x14ac:dyDescent="0.2">
      <c r="B10" s="3"/>
      <c r="C10" s="3"/>
      <c r="D10" s="3"/>
      <c r="E10" s="3"/>
      <c r="F10" s="3"/>
      <c r="G10" s="3"/>
      <c r="H10" s="3"/>
      <c r="I10" s="3"/>
      <c r="J10" s="3"/>
      <c r="K10" s="3"/>
      <c r="L10" s="10"/>
      <c r="M10" s="3"/>
      <c r="N10" s="3"/>
      <c r="O10" s="3"/>
      <c r="P10" s="3"/>
      <c r="Q10" s="3"/>
      <c r="R10" s="3"/>
      <c r="S10" s="3"/>
      <c r="T10" s="3"/>
      <c r="U10" s="3"/>
    </row>
    <row r="11" spans="1:24" ht="18" customHeight="1" x14ac:dyDescent="0.2">
      <c r="B11" s="142"/>
      <c r="C11" s="143"/>
      <c r="D11" s="143"/>
      <c r="E11" s="143"/>
      <c r="F11" s="143"/>
      <c r="G11" s="143"/>
      <c r="H11" s="143"/>
      <c r="I11" s="143"/>
      <c r="J11" s="143"/>
      <c r="K11" s="143"/>
      <c r="L11" s="143"/>
      <c r="M11" s="143"/>
      <c r="N11" s="143"/>
      <c r="O11" s="143"/>
      <c r="P11" s="143"/>
      <c r="Q11" s="143"/>
      <c r="R11" s="143"/>
      <c r="S11" s="143"/>
      <c r="T11" s="143"/>
      <c r="U11" s="144"/>
    </row>
    <row r="12" spans="1:24" ht="18" customHeight="1" x14ac:dyDescent="0.2">
      <c r="B12" s="145"/>
      <c r="C12" s="146"/>
      <c r="D12" s="146"/>
      <c r="E12" s="146"/>
      <c r="F12" s="146"/>
      <c r="G12" s="146"/>
      <c r="H12" s="146"/>
      <c r="I12" s="146"/>
      <c r="J12" s="146"/>
      <c r="K12" s="146"/>
      <c r="L12" s="146"/>
      <c r="M12" s="146"/>
      <c r="N12" s="146"/>
      <c r="O12" s="146"/>
      <c r="P12" s="146"/>
      <c r="Q12" s="146"/>
      <c r="R12" s="146"/>
      <c r="S12" s="146"/>
      <c r="T12" s="146"/>
      <c r="U12" s="147"/>
    </row>
    <row r="13" spans="1:24" ht="6" customHeight="1" x14ac:dyDescent="0.2">
      <c r="B13" s="3"/>
      <c r="C13" s="3"/>
      <c r="D13" s="3"/>
      <c r="E13" s="3"/>
      <c r="F13" s="3"/>
      <c r="G13" s="3"/>
      <c r="H13" s="3"/>
      <c r="I13" s="3"/>
      <c r="J13" s="3"/>
      <c r="K13" s="3"/>
      <c r="L13" s="10"/>
      <c r="M13" s="3"/>
      <c r="N13" s="3"/>
      <c r="O13" s="3"/>
      <c r="P13" s="3"/>
      <c r="Q13" s="3"/>
      <c r="R13" s="3"/>
      <c r="S13" s="3"/>
      <c r="T13" s="3"/>
      <c r="U13" s="3"/>
    </row>
    <row r="14" spans="1:24" ht="18" customHeight="1" x14ac:dyDescent="0.2">
      <c r="A14" s="1" t="s">
        <v>95</v>
      </c>
      <c r="B14" s="3"/>
      <c r="C14" s="3"/>
      <c r="D14" s="3"/>
      <c r="E14" s="18"/>
      <c r="F14" s="18"/>
      <c r="G14" s="18"/>
      <c r="H14" s="18"/>
      <c r="I14" s="18"/>
      <c r="J14" s="18"/>
      <c r="K14" s="18"/>
      <c r="L14" s="75"/>
      <c r="M14" s="75"/>
      <c r="N14" s="75"/>
      <c r="O14" s="75"/>
      <c r="P14" s="75"/>
      <c r="Q14" s="75"/>
      <c r="R14" s="75"/>
      <c r="S14" s="75"/>
      <c r="T14" s="75"/>
      <c r="U14" s="75"/>
    </row>
    <row r="15" spans="1:24" ht="18" customHeight="1" x14ac:dyDescent="0.2">
      <c r="B15" s="108" t="s">
        <v>168</v>
      </c>
      <c r="C15" s="109"/>
      <c r="D15" s="109"/>
      <c r="E15" s="109"/>
      <c r="F15" s="109"/>
      <c r="G15" s="109"/>
      <c r="H15" s="109"/>
      <c r="I15" s="109"/>
      <c r="J15" s="109"/>
      <c r="K15" s="109"/>
      <c r="L15" s="109"/>
      <c r="M15" s="109"/>
      <c r="N15" s="109"/>
      <c r="O15" s="109"/>
      <c r="P15" s="109"/>
      <c r="Q15" s="109"/>
      <c r="R15" s="109"/>
      <c r="S15" s="109"/>
      <c r="T15" s="109"/>
      <c r="U15" s="110"/>
      <c r="X15" s="1" t="s">
        <v>89</v>
      </c>
    </row>
    <row r="16" spans="1:24" ht="18" customHeight="1" x14ac:dyDescent="0.2">
      <c r="B16" s="111"/>
      <c r="C16" s="112"/>
      <c r="D16" s="112"/>
      <c r="E16" s="112"/>
      <c r="F16" s="112"/>
      <c r="G16" s="112"/>
      <c r="H16" s="112"/>
      <c r="I16" s="112"/>
      <c r="J16" s="112"/>
      <c r="K16" s="112"/>
      <c r="L16" s="112"/>
      <c r="M16" s="112"/>
      <c r="N16" s="112"/>
      <c r="O16" s="112"/>
      <c r="P16" s="112"/>
      <c r="Q16" s="112"/>
      <c r="R16" s="112"/>
      <c r="S16" s="112"/>
      <c r="T16" s="112"/>
      <c r="U16" s="113"/>
      <c r="X16" s="1" t="s">
        <v>122</v>
      </c>
    </row>
    <row r="17" spans="1:24" ht="18" customHeight="1" x14ac:dyDescent="0.2">
      <c r="B17" s="111"/>
      <c r="C17" s="112"/>
      <c r="D17" s="112"/>
      <c r="E17" s="112"/>
      <c r="F17" s="112"/>
      <c r="G17" s="112"/>
      <c r="H17" s="112"/>
      <c r="I17" s="112"/>
      <c r="J17" s="112"/>
      <c r="K17" s="112"/>
      <c r="L17" s="112"/>
      <c r="M17" s="112"/>
      <c r="N17" s="112"/>
      <c r="O17" s="112"/>
      <c r="P17" s="112"/>
      <c r="Q17" s="112"/>
      <c r="R17" s="112"/>
      <c r="S17" s="112"/>
      <c r="T17" s="112"/>
      <c r="U17" s="113"/>
      <c r="X17" s="1" t="s">
        <v>123</v>
      </c>
    </row>
    <row r="18" spans="1:24" ht="18" customHeight="1" x14ac:dyDescent="0.2">
      <c r="B18" s="111"/>
      <c r="C18" s="112"/>
      <c r="D18" s="112"/>
      <c r="E18" s="112"/>
      <c r="F18" s="112"/>
      <c r="G18" s="112"/>
      <c r="H18" s="112"/>
      <c r="I18" s="112"/>
      <c r="J18" s="112"/>
      <c r="K18" s="112"/>
      <c r="L18" s="112"/>
      <c r="M18" s="112"/>
      <c r="N18" s="112"/>
      <c r="O18" s="112"/>
      <c r="P18" s="112"/>
      <c r="Q18" s="112"/>
      <c r="R18" s="112"/>
      <c r="S18" s="112"/>
      <c r="T18" s="112"/>
      <c r="U18" s="113"/>
      <c r="X18" s="1" t="s">
        <v>124</v>
      </c>
    </row>
    <row r="19" spans="1:24" ht="18" customHeight="1" x14ac:dyDescent="0.2">
      <c r="B19" s="111"/>
      <c r="C19" s="112"/>
      <c r="D19" s="112"/>
      <c r="E19" s="112"/>
      <c r="F19" s="112"/>
      <c r="G19" s="112"/>
      <c r="H19" s="112"/>
      <c r="I19" s="112"/>
      <c r="J19" s="112"/>
      <c r="K19" s="112"/>
      <c r="L19" s="112"/>
      <c r="M19" s="112"/>
      <c r="N19" s="112"/>
      <c r="O19" s="112"/>
      <c r="P19" s="112"/>
      <c r="Q19" s="112"/>
      <c r="R19" s="112"/>
      <c r="S19" s="112"/>
      <c r="T19" s="112"/>
      <c r="U19" s="113"/>
    </row>
    <row r="20" spans="1:24" ht="18" customHeight="1" x14ac:dyDescent="0.2">
      <c r="B20" s="114"/>
      <c r="C20" s="115"/>
      <c r="D20" s="115"/>
      <c r="E20" s="115"/>
      <c r="F20" s="115"/>
      <c r="G20" s="115"/>
      <c r="H20" s="115"/>
      <c r="I20" s="115"/>
      <c r="J20" s="115"/>
      <c r="K20" s="115"/>
      <c r="L20" s="115"/>
      <c r="M20" s="115"/>
      <c r="N20" s="115"/>
      <c r="O20" s="115"/>
      <c r="P20" s="115"/>
      <c r="Q20" s="115"/>
      <c r="R20" s="115"/>
      <c r="S20" s="115"/>
      <c r="T20" s="115"/>
      <c r="U20" s="116"/>
    </row>
    <row r="21" spans="1:24" ht="7.5" customHeight="1" x14ac:dyDescent="0.2">
      <c r="B21" s="3"/>
      <c r="C21" s="3"/>
      <c r="D21" s="3"/>
      <c r="E21" s="3"/>
      <c r="F21" s="3"/>
      <c r="G21" s="3"/>
      <c r="H21" s="3"/>
      <c r="I21" s="3"/>
      <c r="J21" s="3"/>
      <c r="K21" s="3"/>
      <c r="L21" s="3"/>
      <c r="M21" s="3"/>
      <c r="N21" s="3"/>
      <c r="O21" s="3"/>
      <c r="P21" s="3"/>
      <c r="Q21" s="3"/>
      <c r="R21" s="3"/>
      <c r="S21" s="3"/>
      <c r="T21" s="3"/>
      <c r="U21" s="3"/>
    </row>
    <row r="22" spans="1:24" ht="20.100000000000001" customHeight="1" x14ac:dyDescent="0.2">
      <c r="B22" s="1" t="s">
        <v>119</v>
      </c>
      <c r="E22" s="76">
        <v>5</v>
      </c>
      <c r="F22" s="1" t="s">
        <v>107</v>
      </c>
      <c r="H22" s="76">
        <v>10</v>
      </c>
      <c r="I22" s="3" t="s">
        <v>108</v>
      </c>
      <c r="J22" s="3"/>
      <c r="K22" s="18"/>
      <c r="M22" s="18" t="s">
        <v>104</v>
      </c>
      <c r="N22" s="136" t="s">
        <v>124</v>
      </c>
      <c r="O22" s="137"/>
      <c r="P22" s="137"/>
      <c r="Q22" s="137"/>
      <c r="R22" s="137"/>
      <c r="S22" s="137"/>
      <c r="T22" s="137"/>
      <c r="U22" s="138"/>
    </row>
    <row r="23" spans="1:24" ht="7.5" customHeight="1" x14ac:dyDescent="0.2">
      <c r="B23" s="3"/>
      <c r="C23" s="3"/>
      <c r="D23" s="3"/>
      <c r="E23" s="3"/>
      <c r="F23" s="3"/>
      <c r="G23" s="3"/>
      <c r="H23" s="3"/>
      <c r="I23" s="3"/>
      <c r="J23" s="3"/>
      <c r="K23" s="3"/>
      <c r="L23" s="3"/>
      <c r="M23" s="3"/>
      <c r="N23" s="3"/>
      <c r="O23" s="3"/>
      <c r="P23" s="3"/>
      <c r="Q23" s="3"/>
      <c r="R23" s="3"/>
      <c r="S23" s="3"/>
      <c r="T23" s="3"/>
      <c r="U23" s="3"/>
    </row>
    <row r="24" spans="1:24" ht="18" customHeight="1" x14ac:dyDescent="0.2">
      <c r="A24" s="89" t="s">
        <v>96</v>
      </c>
      <c r="B24" s="89"/>
      <c r="C24" s="89"/>
      <c r="D24" s="89"/>
      <c r="E24" s="89"/>
      <c r="F24" s="89"/>
      <c r="G24" s="89"/>
      <c r="H24" s="89"/>
      <c r="I24" s="89"/>
      <c r="J24" s="89"/>
      <c r="K24" s="89"/>
      <c r="L24" s="89"/>
      <c r="M24" s="89"/>
      <c r="N24" s="89"/>
      <c r="O24" s="89"/>
      <c r="P24" s="89"/>
      <c r="Q24" s="89"/>
      <c r="R24" s="89"/>
      <c r="S24" s="89"/>
      <c r="T24" s="89"/>
      <c r="U24" s="89"/>
    </row>
    <row r="25" spans="1:24" ht="18" customHeight="1" x14ac:dyDescent="0.2">
      <c r="A25" s="89"/>
      <c r="B25" s="89"/>
      <c r="C25" s="89"/>
      <c r="D25" s="89"/>
      <c r="E25" s="89"/>
      <c r="F25" s="89"/>
      <c r="G25" s="89"/>
      <c r="H25" s="89"/>
      <c r="I25" s="89"/>
      <c r="J25" s="89"/>
      <c r="K25" s="89"/>
      <c r="L25" s="89"/>
      <c r="M25" s="89"/>
      <c r="N25" s="89"/>
      <c r="O25" s="89"/>
      <c r="P25" s="89"/>
      <c r="Q25" s="89"/>
      <c r="R25" s="89"/>
      <c r="S25" s="89"/>
      <c r="T25" s="89"/>
      <c r="U25" s="89"/>
    </row>
    <row r="26" spans="1:24" ht="18" customHeight="1" x14ac:dyDescent="0.2">
      <c r="B26" s="96" t="s">
        <v>48</v>
      </c>
      <c r="C26" s="97"/>
      <c r="D26" s="97"/>
      <c r="E26" s="97"/>
      <c r="F26" s="98"/>
      <c r="G26" s="60" t="s">
        <v>73</v>
      </c>
      <c r="H26" s="61" t="s">
        <v>76</v>
      </c>
      <c r="I26" s="62" t="s">
        <v>51</v>
      </c>
      <c r="J26" s="62" t="s">
        <v>54</v>
      </c>
      <c r="K26" s="96" t="s">
        <v>48</v>
      </c>
      <c r="L26" s="97"/>
      <c r="M26" s="97"/>
      <c r="N26" s="97"/>
      <c r="O26" s="97"/>
      <c r="P26" s="97"/>
      <c r="Q26" s="98"/>
      <c r="R26" s="60" t="s">
        <v>73</v>
      </c>
      <c r="S26" s="61" t="s">
        <v>76</v>
      </c>
      <c r="T26" s="62" t="s">
        <v>51</v>
      </c>
      <c r="U26" s="62" t="s">
        <v>54</v>
      </c>
    </row>
    <row r="27" spans="1:24" ht="18" customHeight="1" x14ac:dyDescent="0.2">
      <c r="B27" s="90" t="s">
        <v>169</v>
      </c>
      <c r="C27" s="91"/>
      <c r="D27" s="91"/>
      <c r="E27" s="91"/>
      <c r="F27" s="92"/>
      <c r="G27" s="63">
        <v>2</v>
      </c>
      <c r="H27" s="63" t="s">
        <v>147</v>
      </c>
      <c r="I27" s="63" t="s">
        <v>147</v>
      </c>
      <c r="J27" s="63"/>
      <c r="K27" s="90"/>
      <c r="L27" s="91"/>
      <c r="M27" s="91"/>
      <c r="N27" s="91"/>
      <c r="O27" s="91"/>
      <c r="P27" s="91"/>
      <c r="Q27" s="92"/>
      <c r="R27" s="63"/>
      <c r="S27" s="63"/>
      <c r="T27" s="63"/>
      <c r="U27" s="63"/>
    </row>
    <row r="28" spans="1:24" ht="18" customHeight="1" x14ac:dyDescent="0.2">
      <c r="B28" s="83" t="s">
        <v>170</v>
      </c>
      <c r="C28" s="84"/>
      <c r="D28" s="84"/>
      <c r="E28" s="84"/>
      <c r="F28" s="85"/>
      <c r="G28" s="64">
        <v>2</v>
      </c>
      <c r="H28" s="64" t="s">
        <v>147</v>
      </c>
      <c r="I28" s="64" t="s">
        <v>147</v>
      </c>
      <c r="J28" s="64" t="s">
        <v>147</v>
      </c>
      <c r="K28" s="83"/>
      <c r="L28" s="84"/>
      <c r="M28" s="84"/>
      <c r="N28" s="84"/>
      <c r="O28" s="84"/>
      <c r="P28" s="84"/>
      <c r="Q28" s="85"/>
      <c r="R28" s="64"/>
      <c r="S28" s="64"/>
      <c r="T28" s="64"/>
      <c r="U28" s="64"/>
    </row>
    <row r="29" spans="1:24" ht="18" customHeight="1" x14ac:dyDescent="0.2">
      <c r="B29" s="83"/>
      <c r="C29" s="84"/>
      <c r="D29" s="84"/>
      <c r="E29" s="84"/>
      <c r="F29" s="85"/>
      <c r="G29" s="64"/>
      <c r="H29" s="64"/>
      <c r="I29" s="64"/>
      <c r="J29" s="64"/>
      <c r="K29" s="83"/>
      <c r="L29" s="84"/>
      <c r="M29" s="84"/>
      <c r="N29" s="84"/>
      <c r="O29" s="84"/>
      <c r="P29" s="84"/>
      <c r="Q29" s="85"/>
      <c r="R29" s="64"/>
      <c r="S29" s="64"/>
      <c r="T29" s="64"/>
      <c r="U29" s="64"/>
    </row>
    <row r="30" spans="1:24" ht="18" customHeight="1" x14ac:dyDescent="0.2">
      <c r="B30" s="83"/>
      <c r="C30" s="84"/>
      <c r="D30" s="84"/>
      <c r="E30" s="84"/>
      <c r="F30" s="85"/>
      <c r="G30" s="64"/>
      <c r="H30" s="64"/>
      <c r="I30" s="64"/>
      <c r="J30" s="64"/>
      <c r="K30" s="83"/>
      <c r="L30" s="84"/>
      <c r="M30" s="84"/>
      <c r="N30" s="84"/>
      <c r="O30" s="84"/>
      <c r="P30" s="84"/>
      <c r="Q30" s="85"/>
      <c r="R30" s="64"/>
      <c r="S30" s="64"/>
      <c r="T30" s="64"/>
      <c r="U30" s="64"/>
    </row>
    <row r="31" spans="1:24" ht="18" customHeight="1" x14ac:dyDescent="0.2">
      <c r="B31" s="83"/>
      <c r="C31" s="84"/>
      <c r="D31" s="84"/>
      <c r="E31" s="84"/>
      <c r="F31" s="85"/>
      <c r="G31" s="64"/>
      <c r="H31" s="64"/>
      <c r="I31" s="64"/>
      <c r="J31" s="64"/>
      <c r="K31" s="83"/>
      <c r="L31" s="84"/>
      <c r="M31" s="84"/>
      <c r="N31" s="84"/>
      <c r="O31" s="84"/>
      <c r="P31" s="84"/>
      <c r="Q31" s="85"/>
      <c r="R31" s="64"/>
      <c r="S31" s="64"/>
      <c r="T31" s="64"/>
      <c r="U31" s="64"/>
    </row>
    <row r="32" spans="1:24" ht="18" customHeight="1" x14ac:dyDescent="0.2">
      <c r="A32" s="3"/>
      <c r="B32" s="83"/>
      <c r="C32" s="84"/>
      <c r="D32" s="84"/>
      <c r="E32" s="84"/>
      <c r="F32" s="85"/>
      <c r="G32" s="64"/>
      <c r="H32" s="64"/>
      <c r="I32" s="64"/>
      <c r="J32" s="64"/>
      <c r="K32" s="83"/>
      <c r="L32" s="84"/>
      <c r="M32" s="84"/>
      <c r="N32" s="84"/>
      <c r="O32" s="84"/>
      <c r="P32" s="84"/>
      <c r="Q32" s="85"/>
      <c r="R32" s="64"/>
      <c r="S32" s="64"/>
      <c r="T32" s="64"/>
      <c r="U32" s="64"/>
    </row>
    <row r="33" spans="1:21" ht="18" customHeight="1" x14ac:dyDescent="0.2">
      <c r="A33" s="3"/>
      <c r="B33" s="86"/>
      <c r="C33" s="87"/>
      <c r="D33" s="87"/>
      <c r="E33" s="87"/>
      <c r="F33" s="88"/>
      <c r="G33" s="65"/>
      <c r="H33" s="65"/>
      <c r="I33" s="66"/>
      <c r="J33" s="66"/>
      <c r="K33" s="86"/>
      <c r="L33" s="87"/>
      <c r="M33" s="87"/>
      <c r="N33" s="87"/>
      <c r="O33" s="87"/>
      <c r="P33" s="87"/>
      <c r="Q33" s="88"/>
      <c r="R33" s="65"/>
      <c r="S33" s="65"/>
      <c r="T33" s="66"/>
      <c r="U33" s="66"/>
    </row>
    <row r="34" spans="1:21" ht="7.5" customHeight="1" x14ac:dyDescent="0.2">
      <c r="A34" s="3"/>
      <c r="B34" s="6"/>
      <c r="C34" s="6"/>
      <c r="D34" s="6"/>
      <c r="E34" s="3"/>
      <c r="F34" s="3"/>
      <c r="G34" s="3"/>
      <c r="H34" s="3"/>
      <c r="I34" s="6"/>
      <c r="J34" s="6"/>
      <c r="K34" s="6"/>
      <c r="L34" s="6"/>
      <c r="M34" s="6"/>
      <c r="N34" s="6"/>
      <c r="O34" s="6"/>
      <c r="P34" s="6"/>
      <c r="Q34" s="6"/>
      <c r="R34" s="6"/>
      <c r="S34" s="6"/>
      <c r="T34" s="6"/>
      <c r="U34" s="3"/>
    </row>
    <row r="35" spans="1:21" ht="18" customHeight="1" x14ac:dyDescent="0.2">
      <c r="A35" s="89" t="s">
        <v>97</v>
      </c>
      <c r="B35" s="89"/>
      <c r="C35" s="89"/>
      <c r="D35" s="89"/>
      <c r="E35" s="89"/>
      <c r="F35" s="89"/>
      <c r="G35" s="89"/>
      <c r="H35" s="89"/>
      <c r="I35" s="89"/>
      <c r="J35" s="89"/>
      <c r="K35" s="89"/>
      <c r="L35" s="89"/>
      <c r="M35" s="89"/>
      <c r="N35" s="89"/>
      <c r="O35" s="89"/>
      <c r="P35" s="89"/>
      <c r="Q35" s="89"/>
      <c r="R35" s="89"/>
      <c r="S35" s="89"/>
      <c r="T35" s="89"/>
      <c r="U35" s="89"/>
    </row>
    <row r="36" spans="1:21" ht="18" customHeight="1" x14ac:dyDescent="0.2">
      <c r="A36" s="89"/>
      <c r="B36" s="89"/>
      <c r="C36" s="89"/>
      <c r="D36" s="89"/>
      <c r="E36" s="89"/>
      <c r="F36" s="89"/>
      <c r="G36" s="89"/>
      <c r="H36" s="89"/>
      <c r="I36" s="89"/>
      <c r="J36" s="89"/>
      <c r="K36" s="89"/>
      <c r="L36" s="89"/>
      <c r="M36" s="89"/>
      <c r="N36" s="89"/>
      <c r="O36" s="89"/>
      <c r="P36" s="89"/>
      <c r="Q36" s="89"/>
      <c r="R36" s="89"/>
      <c r="S36" s="89"/>
      <c r="T36" s="89"/>
      <c r="U36" s="89"/>
    </row>
    <row r="37" spans="1:21" ht="18" customHeight="1" x14ac:dyDescent="0.2">
      <c r="B37" s="96" t="s">
        <v>48</v>
      </c>
      <c r="C37" s="97"/>
      <c r="D37" s="97"/>
      <c r="E37" s="97"/>
      <c r="F37" s="98"/>
      <c r="G37" s="60" t="s">
        <v>73</v>
      </c>
      <c r="H37" s="61" t="s">
        <v>76</v>
      </c>
      <c r="I37" s="62" t="s">
        <v>64</v>
      </c>
      <c r="J37" s="62" t="s">
        <v>65</v>
      </c>
      <c r="K37" s="96" t="s">
        <v>48</v>
      </c>
      <c r="L37" s="97"/>
      <c r="M37" s="97"/>
      <c r="N37" s="97"/>
      <c r="O37" s="97"/>
      <c r="P37" s="97"/>
      <c r="Q37" s="98"/>
      <c r="R37" s="60" t="s">
        <v>73</v>
      </c>
      <c r="S37" s="61" t="s">
        <v>76</v>
      </c>
      <c r="T37" s="62" t="s">
        <v>64</v>
      </c>
      <c r="U37" s="62" t="s">
        <v>65</v>
      </c>
    </row>
    <row r="38" spans="1:21" ht="18" customHeight="1" x14ac:dyDescent="0.2">
      <c r="B38" s="90" t="s">
        <v>169</v>
      </c>
      <c r="C38" s="91"/>
      <c r="D38" s="91"/>
      <c r="E38" s="91"/>
      <c r="F38" s="92"/>
      <c r="G38" s="63">
        <v>2</v>
      </c>
      <c r="H38" s="63" t="s">
        <v>147</v>
      </c>
      <c r="I38" s="63" t="s">
        <v>147</v>
      </c>
      <c r="J38" s="63"/>
      <c r="K38" s="90"/>
      <c r="L38" s="91"/>
      <c r="M38" s="91"/>
      <c r="N38" s="91"/>
      <c r="O38" s="91"/>
      <c r="P38" s="91"/>
      <c r="Q38" s="92"/>
      <c r="R38" s="63"/>
      <c r="S38" s="63"/>
      <c r="T38" s="63"/>
      <c r="U38" s="63"/>
    </row>
    <row r="39" spans="1:21" ht="18" customHeight="1" x14ac:dyDescent="0.2">
      <c r="B39" s="83" t="s">
        <v>170</v>
      </c>
      <c r="C39" s="84"/>
      <c r="D39" s="84"/>
      <c r="E39" s="84"/>
      <c r="F39" s="85"/>
      <c r="G39" s="64">
        <v>2</v>
      </c>
      <c r="H39" s="64" t="s">
        <v>147</v>
      </c>
      <c r="I39" s="64" t="s">
        <v>147</v>
      </c>
      <c r="J39" s="64" t="s">
        <v>147</v>
      </c>
      <c r="K39" s="83"/>
      <c r="L39" s="84"/>
      <c r="M39" s="84"/>
      <c r="N39" s="84"/>
      <c r="O39" s="84"/>
      <c r="P39" s="84"/>
      <c r="Q39" s="85"/>
      <c r="R39" s="64"/>
      <c r="S39" s="64"/>
      <c r="T39" s="64"/>
      <c r="U39" s="64"/>
    </row>
    <row r="40" spans="1:21" ht="18" customHeight="1" x14ac:dyDescent="0.2">
      <c r="B40" s="83"/>
      <c r="C40" s="84"/>
      <c r="D40" s="84"/>
      <c r="E40" s="84"/>
      <c r="F40" s="85"/>
      <c r="G40" s="64"/>
      <c r="H40" s="64"/>
      <c r="I40" s="64"/>
      <c r="J40" s="64"/>
      <c r="K40" s="83"/>
      <c r="L40" s="84"/>
      <c r="M40" s="84"/>
      <c r="N40" s="84"/>
      <c r="O40" s="84"/>
      <c r="P40" s="84"/>
      <c r="Q40" s="85"/>
      <c r="R40" s="64"/>
      <c r="S40" s="64"/>
      <c r="T40" s="64"/>
      <c r="U40" s="64"/>
    </row>
    <row r="41" spans="1:21" ht="18" customHeight="1" x14ac:dyDescent="0.2">
      <c r="B41" s="83"/>
      <c r="C41" s="84"/>
      <c r="D41" s="84"/>
      <c r="E41" s="84"/>
      <c r="F41" s="85"/>
      <c r="G41" s="64"/>
      <c r="H41" s="64"/>
      <c r="I41" s="64"/>
      <c r="J41" s="64"/>
      <c r="K41" s="83"/>
      <c r="L41" s="84"/>
      <c r="M41" s="84"/>
      <c r="N41" s="84"/>
      <c r="O41" s="84"/>
      <c r="P41" s="84"/>
      <c r="Q41" s="85"/>
      <c r="R41" s="64"/>
      <c r="S41" s="64"/>
      <c r="T41" s="64"/>
      <c r="U41" s="64"/>
    </row>
    <row r="42" spans="1:21" ht="18" customHeight="1" x14ac:dyDescent="0.2">
      <c r="B42" s="83"/>
      <c r="C42" s="84"/>
      <c r="D42" s="84"/>
      <c r="E42" s="84"/>
      <c r="F42" s="85"/>
      <c r="G42" s="64"/>
      <c r="H42" s="64"/>
      <c r="I42" s="64"/>
      <c r="J42" s="64"/>
      <c r="K42" s="83"/>
      <c r="L42" s="84"/>
      <c r="M42" s="84"/>
      <c r="N42" s="84"/>
      <c r="O42" s="84"/>
      <c r="P42" s="84"/>
      <c r="Q42" s="85"/>
      <c r="R42" s="64"/>
      <c r="S42" s="64"/>
      <c r="T42" s="64"/>
      <c r="U42" s="64"/>
    </row>
    <row r="43" spans="1:21" ht="18" customHeight="1" x14ac:dyDescent="0.2">
      <c r="B43" s="83"/>
      <c r="C43" s="84"/>
      <c r="D43" s="84"/>
      <c r="E43" s="84"/>
      <c r="F43" s="85"/>
      <c r="G43" s="64"/>
      <c r="H43" s="64"/>
      <c r="I43" s="64"/>
      <c r="J43" s="64"/>
      <c r="K43" s="83"/>
      <c r="L43" s="84"/>
      <c r="M43" s="84"/>
      <c r="N43" s="84"/>
      <c r="O43" s="84"/>
      <c r="P43" s="84"/>
      <c r="Q43" s="85"/>
      <c r="R43" s="64"/>
      <c r="S43" s="64"/>
      <c r="T43" s="64"/>
      <c r="U43" s="64"/>
    </row>
    <row r="44" spans="1:21" ht="18" customHeight="1" x14ac:dyDescent="0.2">
      <c r="B44" s="86"/>
      <c r="C44" s="87"/>
      <c r="D44" s="87"/>
      <c r="E44" s="87"/>
      <c r="F44" s="88"/>
      <c r="G44" s="65"/>
      <c r="H44" s="65"/>
      <c r="I44" s="66"/>
      <c r="J44" s="66"/>
      <c r="K44" s="86"/>
      <c r="L44" s="87"/>
      <c r="M44" s="87"/>
      <c r="N44" s="87"/>
      <c r="O44" s="87"/>
      <c r="P44" s="87"/>
      <c r="Q44" s="88"/>
      <c r="R44" s="65"/>
      <c r="S44" s="65"/>
      <c r="T44" s="66"/>
      <c r="U44" s="66"/>
    </row>
    <row r="45" spans="1:21" ht="7.5" customHeight="1" x14ac:dyDescent="0.2">
      <c r="A45" s="3"/>
      <c r="B45" s="6"/>
      <c r="C45" s="6"/>
      <c r="D45" s="6"/>
      <c r="E45" s="3"/>
      <c r="F45" s="3"/>
      <c r="G45" s="3"/>
      <c r="H45" s="3"/>
      <c r="I45" s="6"/>
      <c r="J45" s="6"/>
      <c r="K45" s="6"/>
      <c r="L45" s="6"/>
      <c r="M45" s="6"/>
      <c r="N45" s="6"/>
      <c r="O45" s="6"/>
      <c r="P45" s="6"/>
      <c r="Q45" s="6"/>
      <c r="R45" s="6"/>
      <c r="S45" s="6"/>
      <c r="T45" s="6"/>
      <c r="U45" s="3"/>
    </row>
    <row r="46" spans="1:21" ht="18" customHeight="1" x14ac:dyDescent="0.2">
      <c r="A46" s="89" t="s">
        <v>98</v>
      </c>
      <c r="B46" s="89"/>
      <c r="C46" s="89"/>
      <c r="D46" s="89"/>
      <c r="E46" s="89"/>
      <c r="F46" s="89"/>
      <c r="G46" s="89"/>
      <c r="H46" s="89"/>
      <c r="I46" s="89"/>
      <c r="J46" s="89"/>
      <c r="K46" s="89"/>
      <c r="L46" s="89"/>
      <c r="M46" s="89"/>
      <c r="N46" s="89"/>
      <c r="O46" s="89"/>
      <c r="P46" s="89"/>
      <c r="Q46" s="89"/>
      <c r="R46" s="89"/>
      <c r="S46" s="89"/>
      <c r="T46" s="89"/>
      <c r="U46" s="89"/>
    </row>
    <row r="47" spans="1:21" ht="18" customHeight="1" x14ac:dyDescent="0.2">
      <c r="A47" s="89"/>
      <c r="B47" s="89"/>
      <c r="C47" s="89"/>
      <c r="D47" s="89"/>
      <c r="E47" s="89"/>
      <c r="F47" s="89"/>
      <c r="G47" s="89"/>
      <c r="H47" s="89"/>
      <c r="I47" s="89"/>
      <c r="J47" s="89"/>
      <c r="K47" s="89"/>
      <c r="L47" s="89"/>
      <c r="M47" s="89"/>
      <c r="N47" s="89"/>
      <c r="O47" s="89"/>
      <c r="P47" s="89"/>
      <c r="Q47" s="89"/>
      <c r="R47" s="89"/>
      <c r="S47" s="89"/>
      <c r="T47" s="89"/>
      <c r="U47" s="89"/>
    </row>
    <row r="48" spans="1:21" ht="18" customHeight="1" x14ac:dyDescent="0.2">
      <c r="B48" s="96" t="s">
        <v>48</v>
      </c>
      <c r="C48" s="97"/>
      <c r="D48" s="97"/>
      <c r="E48" s="97"/>
      <c r="F48" s="98"/>
      <c r="G48" s="60" t="s">
        <v>73</v>
      </c>
      <c r="H48" s="61" t="s">
        <v>76</v>
      </c>
      <c r="I48" s="62" t="s">
        <v>66</v>
      </c>
      <c r="J48" s="62" t="s">
        <v>67</v>
      </c>
      <c r="K48" s="96" t="s">
        <v>48</v>
      </c>
      <c r="L48" s="97"/>
      <c r="M48" s="97"/>
      <c r="N48" s="97"/>
      <c r="O48" s="97"/>
      <c r="P48" s="97"/>
      <c r="Q48" s="98"/>
      <c r="R48" s="60" t="s">
        <v>73</v>
      </c>
      <c r="S48" s="61" t="s">
        <v>76</v>
      </c>
      <c r="T48" s="62" t="s">
        <v>66</v>
      </c>
      <c r="U48" s="62" t="s">
        <v>67</v>
      </c>
    </row>
    <row r="49" spans="1:21" ht="18" customHeight="1" x14ac:dyDescent="0.2">
      <c r="A49" s="3"/>
      <c r="B49" s="90" t="s">
        <v>170</v>
      </c>
      <c r="C49" s="91"/>
      <c r="D49" s="91"/>
      <c r="E49" s="91"/>
      <c r="F49" s="92"/>
      <c r="G49" s="63">
        <v>2</v>
      </c>
      <c r="H49" s="63" t="s">
        <v>147</v>
      </c>
      <c r="I49" s="63" t="s">
        <v>147</v>
      </c>
      <c r="J49" s="63" t="s">
        <v>147</v>
      </c>
      <c r="K49" s="90"/>
      <c r="L49" s="91"/>
      <c r="M49" s="91"/>
      <c r="N49" s="91"/>
      <c r="O49" s="91"/>
      <c r="P49" s="91"/>
      <c r="Q49" s="92"/>
      <c r="R49" s="63"/>
      <c r="S49" s="63"/>
      <c r="T49" s="63"/>
      <c r="U49" s="63"/>
    </row>
    <row r="50" spans="1:21" ht="18" customHeight="1" x14ac:dyDescent="0.2">
      <c r="A50" s="3"/>
      <c r="B50" s="83"/>
      <c r="C50" s="84"/>
      <c r="D50" s="84"/>
      <c r="E50" s="84"/>
      <c r="F50" s="85"/>
      <c r="G50" s="64"/>
      <c r="H50" s="64"/>
      <c r="I50" s="64"/>
      <c r="J50" s="64"/>
      <c r="K50" s="83"/>
      <c r="L50" s="84"/>
      <c r="M50" s="84"/>
      <c r="N50" s="84"/>
      <c r="O50" s="84"/>
      <c r="P50" s="84"/>
      <c r="Q50" s="85"/>
      <c r="R50" s="64"/>
      <c r="S50" s="64"/>
      <c r="T50" s="64"/>
      <c r="U50" s="64"/>
    </row>
    <row r="51" spans="1:21" ht="18" customHeight="1" x14ac:dyDescent="0.2">
      <c r="A51" s="3"/>
      <c r="B51" s="83"/>
      <c r="C51" s="84"/>
      <c r="D51" s="84"/>
      <c r="E51" s="84"/>
      <c r="F51" s="85"/>
      <c r="G51" s="64"/>
      <c r="H51" s="64"/>
      <c r="I51" s="64"/>
      <c r="J51" s="64"/>
      <c r="K51" s="83"/>
      <c r="L51" s="84"/>
      <c r="M51" s="84"/>
      <c r="N51" s="84"/>
      <c r="O51" s="84"/>
      <c r="P51" s="84"/>
      <c r="Q51" s="85"/>
      <c r="R51" s="64"/>
      <c r="S51" s="64"/>
      <c r="T51" s="64"/>
      <c r="U51" s="64"/>
    </row>
    <row r="52" spans="1:21" ht="18" customHeight="1" x14ac:dyDescent="0.2">
      <c r="A52" s="3"/>
      <c r="B52" s="83"/>
      <c r="C52" s="84"/>
      <c r="D52" s="84"/>
      <c r="E52" s="84"/>
      <c r="F52" s="85"/>
      <c r="G52" s="64"/>
      <c r="H52" s="64"/>
      <c r="I52" s="64"/>
      <c r="J52" s="64"/>
      <c r="K52" s="83"/>
      <c r="L52" s="84"/>
      <c r="M52" s="84"/>
      <c r="N52" s="84"/>
      <c r="O52" s="84"/>
      <c r="P52" s="84"/>
      <c r="Q52" s="85"/>
      <c r="R52" s="64"/>
      <c r="S52" s="64"/>
      <c r="T52" s="64"/>
      <c r="U52" s="64"/>
    </row>
    <row r="53" spans="1:21" ht="18" customHeight="1" x14ac:dyDescent="0.2">
      <c r="A53" s="3"/>
      <c r="B53" s="83"/>
      <c r="C53" s="84"/>
      <c r="D53" s="84"/>
      <c r="E53" s="84"/>
      <c r="F53" s="85"/>
      <c r="G53" s="64"/>
      <c r="H53" s="64"/>
      <c r="I53" s="64"/>
      <c r="J53" s="64"/>
      <c r="K53" s="83"/>
      <c r="L53" s="84"/>
      <c r="M53" s="84"/>
      <c r="N53" s="84"/>
      <c r="O53" s="84"/>
      <c r="P53" s="84"/>
      <c r="Q53" s="85"/>
      <c r="R53" s="64"/>
      <c r="S53" s="64"/>
      <c r="T53" s="64"/>
      <c r="U53" s="64"/>
    </row>
    <row r="54" spans="1:21" ht="18" customHeight="1" x14ac:dyDescent="0.2">
      <c r="A54" s="3"/>
      <c r="B54" s="83"/>
      <c r="C54" s="84"/>
      <c r="D54" s="84"/>
      <c r="E54" s="84"/>
      <c r="F54" s="85"/>
      <c r="G54" s="64"/>
      <c r="H54" s="64"/>
      <c r="I54" s="64"/>
      <c r="J54" s="64"/>
      <c r="K54" s="83"/>
      <c r="L54" s="84"/>
      <c r="M54" s="84"/>
      <c r="N54" s="84"/>
      <c r="O54" s="84"/>
      <c r="P54" s="84"/>
      <c r="Q54" s="85"/>
      <c r="R54" s="64"/>
      <c r="S54" s="64"/>
      <c r="T54" s="64"/>
      <c r="U54" s="64"/>
    </row>
    <row r="55" spans="1:21" ht="18" customHeight="1" x14ac:dyDescent="0.2">
      <c r="A55" s="3"/>
      <c r="B55" s="86"/>
      <c r="C55" s="87"/>
      <c r="D55" s="87"/>
      <c r="E55" s="87"/>
      <c r="F55" s="88"/>
      <c r="G55" s="65"/>
      <c r="H55" s="65"/>
      <c r="I55" s="66"/>
      <c r="J55" s="66"/>
      <c r="K55" s="86"/>
      <c r="L55" s="87"/>
      <c r="M55" s="87"/>
      <c r="N55" s="87"/>
      <c r="O55" s="87"/>
      <c r="P55" s="87"/>
      <c r="Q55" s="88"/>
      <c r="R55" s="65"/>
      <c r="S55" s="65"/>
      <c r="T55" s="66"/>
      <c r="U55" s="66"/>
    </row>
    <row r="56" spans="1:21" ht="7.5" customHeight="1" x14ac:dyDescent="0.2">
      <c r="B56" s="14"/>
      <c r="C56" s="14"/>
      <c r="D56" s="14"/>
      <c r="E56" s="14"/>
      <c r="F56" s="14"/>
      <c r="G56" s="14"/>
      <c r="H56" s="14"/>
      <c r="I56" s="14"/>
      <c r="J56" s="14"/>
      <c r="K56" s="14"/>
      <c r="L56" s="14"/>
      <c r="M56" s="14"/>
      <c r="N56" s="14"/>
      <c r="O56" s="14"/>
      <c r="P56" s="14"/>
      <c r="Q56" s="14"/>
      <c r="R56" s="14"/>
      <c r="S56" s="14"/>
      <c r="T56" s="14"/>
    </row>
    <row r="57" spans="1:21" ht="18" customHeight="1" x14ac:dyDescent="0.2">
      <c r="A57" s="89" t="s">
        <v>99</v>
      </c>
      <c r="B57" s="89"/>
      <c r="C57" s="89"/>
      <c r="D57" s="89"/>
      <c r="E57" s="89"/>
      <c r="F57" s="89"/>
      <c r="G57" s="89"/>
      <c r="H57" s="89"/>
      <c r="I57" s="89"/>
      <c r="J57" s="89"/>
      <c r="K57" s="89"/>
      <c r="L57" s="89"/>
      <c r="M57" s="89"/>
      <c r="N57" s="89"/>
      <c r="O57" s="89"/>
      <c r="P57" s="89"/>
      <c r="Q57" s="89"/>
      <c r="R57" s="89"/>
      <c r="S57" s="89"/>
      <c r="T57" s="89"/>
      <c r="U57" s="89"/>
    </row>
    <row r="58" spans="1:21" ht="18" customHeight="1" x14ac:dyDescent="0.2">
      <c r="A58" s="89"/>
      <c r="B58" s="89"/>
      <c r="C58" s="89"/>
      <c r="D58" s="89"/>
      <c r="E58" s="89"/>
      <c r="F58" s="89"/>
      <c r="G58" s="89"/>
      <c r="H58" s="89"/>
      <c r="I58" s="89"/>
      <c r="J58" s="89"/>
      <c r="K58" s="89"/>
      <c r="L58" s="89"/>
      <c r="M58" s="89"/>
      <c r="N58" s="89"/>
      <c r="O58" s="89"/>
      <c r="P58" s="89"/>
      <c r="Q58" s="89"/>
      <c r="R58" s="89"/>
      <c r="S58" s="89"/>
      <c r="T58" s="89"/>
      <c r="U58" s="89"/>
    </row>
    <row r="59" spans="1:21" ht="18" customHeight="1" x14ac:dyDescent="0.2">
      <c r="B59" s="96" t="s">
        <v>48</v>
      </c>
      <c r="C59" s="97"/>
      <c r="D59" s="97"/>
      <c r="E59" s="97"/>
      <c r="F59" s="98"/>
      <c r="G59" s="60" t="s">
        <v>73</v>
      </c>
      <c r="H59" s="61" t="s">
        <v>76</v>
      </c>
      <c r="I59" s="62" t="s">
        <v>53</v>
      </c>
      <c r="J59" s="62" t="s">
        <v>55</v>
      </c>
      <c r="K59" s="96" t="s">
        <v>48</v>
      </c>
      <c r="L59" s="97"/>
      <c r="M59" s="97"/>
      <c r="N59" s="97"/>
      <c r="O59" s="97"/>
      <c r="P59" s="97"/>
      <c r="Q59" s="98"/>
      <c r="R59" s="60" t="s">
        <v>73</v>
      </c>
      <c r="S59" s="61" t="s">
        <v>76</v>
      </c>
      <c r="T59" s="62" t="s">
        <v>53</v>
      </c>
      <c r="U59" s="62" t="s">
        <v>55</v>
      </c>
    </row>
    <row r="60" spans="1:21" ht="18" customHeight="1" x14ac:dyDescent="0.2">
      <c r="A60" s="3"/>
      <c r="B60" s="90" t="s">
        <v>172</v>
      </c>
      <c r="C60" s="91"/>
      <c r="D60" s="91"/>
      <c r="E60" s="91"/>
      <c r="F60" s="92"/>
      <c r="G60" s="63">
        <v>2</v>
      </c>
      <c r="H60" s="63" t="s">
        <v>147</v>
      </c>
      <c r="I60" s="63"/>
      <c r="J60" s="63" t="s">
        <v>147</v>
      </c>
      <c r="K60" s="90"/>
      <c r="L60" s="91"/>
      <c r="M60" s="91"/>
      <c r="N60" s="91"/>
      <c r="O60" s="91"/>
      <c r="P60" s="91"/>
      <c r="Q60" s="92"/>
      <c r="R60" s="63"/>
      <c r="S60" s="63"/>
      <c r="T60" s="63"/>
      <c r="U60" s="63"/>
    </row>
    <row r="61" spans="1:21" ht="18" customHeight="1" x14ac:dyDescent="0.2">
      <c r="A61" s="3"/>
      <c r="B61" s="83" t="s">
        <v>171</v>
      </c>
      <c r="C61" s="84"/>
      <c r="D61" s="84"/>
      <c r="E61" s="84"/>
      <c r="F61" s="85"/>
      <c r="G61" s="64">
        <v>2</v>
      </c>
      <c r="H61" s="64" t="s">
        <v>147</v>
      </c>
      <c r="I61" s="64" t="s">
        <v>147</v>
      </c>
      <c r="J61" s="64"/>
      <c r="K61" s="83"/>
      <c r="L61" s="84"/>
      <c r="M61" s="84"/>
      <c r="N61" s="84"/>
      <c r="O61" s="84"/>
      <c r="P61" s="84"/>
      <c r="Q61" s="85"/>
      <c r="R61" s="64"/>
      <c r="S61" s="64"/>
      <c r="T61" s="64"/>
      <c r="U61" s="64"/>
    </row>
    <row r="62" spans="1:21" ht="18" customHeight="1" x14ac:dyDescent="0.2">
      <c r="A62" s="3"/>
      <c r="B62" s="83" t="s">
        <v>169</v>
      </c>
      <c r="C62" s="84"/>
      <c r="D62" s="84"/>
      <c r="E62" s="84"/>
      <c r="F62" s="85"/>
      <c r="G62" s="64">
        <v>2</v>
      </c>
      <c r="H62" s="64" t="s">
        <v>147</v>
      </c>
      <c r="I62" s="64" t="s">
        <v>147</v>
      </c>
      <c r="J62" s="64"/>
      <c r="K62" s="83"/>
      <c r="L62" s="84"/>
      <c r="M62" s="84"/>
      <c r="N62" s="84"/>
      <c r="O62" s="84"/>
      <c r="P62" s="84"/>
      <c r="Q62" s="85"/>
      <c r="R62" s="64"/>
      <c r="S62" s="64"/>
      <c r="T62" s="64"/>
      <c r="U62" s="64"/>
    </row>
    <row r="63" spans="1:21" ht="18" customHeight="1" x14ac:dyDescent="0.2">
      <c r="A63" s="3"/>
      <c r="B63" s="83" t="s">
        <v>146</v>
      </c>
      <c r="C63" s="84"/>
      <c r="D63" s="84"/>
      <c r="E63" s="84"/>
      <c r="F63" s="85"/>
      <c r="G63" s="64">
        <v>2</v>
      </c>
      <c r="H63" s="64" t="s">
        <v>147</v>
      </c>
      <c r="I63" s="64" t="s">
        <v>147</v>
      </c>
      <c r="J63" s="64" t="s">
        <v>147</v>
      </c>
      <c r="K63" s="83"/>
      <c r="L63" s="84"/>
      <c r="M63" s="84"/>
      <c r="N63" s="84"/>
      <c r="O63" s="84"/>
      <c r="P63" s="84"/>
      <c r="Q63" s="85"/>
      <c r="R63" s="64"/>
      <c r="S63" s="64"/>
      <c r="T63" s="64"/>
      <c r="U63" s="64"/>
    </row>
    <row r="64" spans="1:21" ht="18" customHeight="1" x14ac:dyDescent="0.2">
      <c r="A64" s="3"/>
      <c r="B64" s="83"/>
      <c r="C64" s="84"/>
      <c r="D64" s="84"/>
      <c r="E64" s="84"/>
      <c r="F64" s="85"/>
      <c r="G64" s="64"/>
      <c r="H64" s="64"/>
      <c r="I64" s="64"/>
      <c r="J64" s="64"/>
      <c r="K64" s="83"/>
      <c r="L64" s="84"/>
      <c r="M64" s="84"/>
      <c r="N64" s="84"/>
      <c r="O64" s="84"/>
      <c r="P64" s="84"/>
      <c r="Q64" s="85"/>
      <c r="R64" s="64"/>
      <c r="S64" s="64"/>
      <c r="T64" s="64"/>
      <c r="U64" s="64"/>
    </row>
    <row r="65" spans="1:27" ht="18" customHeight="1" x14ac:dyDescent="0.2">
      <c r="A65" s="3"/>
      <c r="B65" s="83"/>
      <c r="C65" s="84"/>
      <c r="D65" s="84"/>
      <c r="E65" s="84"/>
      <c r="F65" s="85"/>
      <c r="G65" s="64"/>
      <c r="H65" s="64"/>
      <c r="I65" s="64"/>
      <c r="J65" s="64"/>
      <c r="K65" s="83"/>
      <c r="L65" s="84"/>
      <c r="M65" s="84"/>
      <c r="N65" s="84"/>
      <c r="O65" s="84"/>
      <c r="P65" s="84"/>
      <c r="Q65" s="85"/>
      <c r="R65" s="64"/>
      <c r="S65" s="64"/>
      <c r="T65" s="64"/>
      <c r="U65" s="64"/>
    </row>
    <row r="66" spans="1:27" ht="18" customHeight="1" x14ac:dyDescent="0.2">
      <c r="A66" s="3"/>
      <c r="B66" s="86"/>
      <c r="C66" s="87"/>
      <c r="D66" s="87"/>
      <c r="E66" s="87"/>
      <c r="F66" s="88"/>
      <c r="G66" s="65"/>
      <c r="H66" s="65"/>
      <c r="I66" s="66"/>
      <c r="J66" s="66"/>
      <c r="K66" s="86"/>
      <c r="L66" s="87"/>
      <c r="M66" s="87"/>
      <c r="N66" s="87"/>
      <c r="O66" s="87"/>
      <c r="P66" s="87"/>
      <c r="Q66" s="88"/>
      <c r="R66" s="65"/>
      <c r="S66" s="65"/>
      <c r="T66" s="66"/>
      <c r="U66" s="66"/>
    </row>
    <row r="67" spans="1:27" ht="7.5" customHeight="1" x14ac:dyDescent="0.2">
      <c r="B67" s="14"/>
      <c r="C67" s="14"/>
      <c r="D67" s="14"/>
      <c r="E67" s="14"/>
      <c r="F67" s="14"/>
      <c r="G67" s="14"/>
      <c r="H67" s="14"/>
      <c r="I67" s="14"/>
      <c r="J67" s="14"/>
      <c r="K67" s="14"/>
      <c r="L67" s="14"/>
      <c r="M67" s="14"/>
      <c r="N67" s="14"/>
      <c r="O67" s="14"/>
      <c r="P67" s="14"/>
      <c r="Q67" s="14"/>
      <c r="R67" s="14"/>
      <c r="S67" s="14"/>
      <c r="T67" s="14"/>
    </row>
    <row r="68" spans="1:27" ht="18" customHeight="1" x14ac:dyDescent="0.2">
      <c r="A68" s="89" t="s">
        <v>100</v>
      </c>
      <c r="B68" s="89"/>
      <c r="C68" s="89"/>
      <c r="D68" s="89"/>
      <c r="E68" s="89"/>
      <c r="F68" s="89"/>
      <c r="G68" s="89"/>
      <c r="H68" s="89"/>
      <c r="I68" s="89"/>
      <c r="J68" s="89"/>
      <c r="K68" s="89"/>
      <c r="L68" s="89"/>
      <c r="M68" s="89"/>
      <c r="N68" s="89"/>
      <c r="O68" s="89"/>
      <c r="P68" s="89"/>
      <c r="Q68" s="89"/>
      <c r="R68" s="89"/>
      <c r="S68" s="89"/>
      <c r="T68" s="89"/>
      <c r="U68" s="89"/>
    </row>
    <row r="69" spans="1:27" ht="18" customHeight="1" x14ac:dyDescent="0.2">
      <c r="A69" s="89"/>
      <c r="B69" s="89"/>
      <c r="C69" s="89"/>
      <c r="D69" s="89"/>
      <c r="E69" s="89"/>
      <c r="F69" s="89"/>
      <c r="G69" s="89"/>
      <c r="H69" s="89"/>
      <c r="I69" s="89"/>
      <c r="J69" s="89"/>
      <c r="K69" s="89"/>
      <c r="L69" s="89"/>
      <c r="M69" s="89"/>
      <c r="N69" s="89"/>
      <c r="O69" s="89"/>
      <c r="P69" s="89"/>
      <c r="Q69" s="89"/>
      <c r="R69" s="89"/>
      <c r="S69" s="89"/>
      <c r="T69" s="89"/>
      <c r="U69" s="89"/>
    </row>
    <row r="70" spans="1:27" ht="18" customHeight="1" x14ac:dyDescent="0.2">
      <c r="B70" s="96" t="s">
        <v>48</v>
      </c>
      <c r="C70" s="97"/>
      <c r="D70" s="97"/>
      <c r="E70" s="97"/>
      <c r="F70" s="60" t="s">
        <v>73</v>
      </c>
      <c r="G70" s="61" t="s">
        <v>76</v>
      </c>
      <c r="H70" s="62" t="s">
        <v>87</v>
      </c>
      <c r="I70" s="62" t="s">
        <v>68</v>
      </c>
      <c r="J70" s="62" t="s">
        <v>69</v>
      </c>
      <c r="K70" s="96" t="s">
        <v>48</v>
      </c>
      <c r="L70" s="97"/>
      <c r="M70" s="97"/>
      <c r="N70" s="97"/>
      <c r="O70" s="97"/>
      <c r="P70" s="98"/>
      <c r="Q70" s="60" t="s">
        <v>73</v>
      </c>
      <c r="R70" s="61" t="s">
        <v>76</v>
      </c>
      <c r="S70" s="62" t="s">
        <v>87</v>
      </c>
      <c r="T70" s="62" t="s">
        <v>68</v>
      </c>
      <c r="U70" s="62" t="s">
        <v>69</v>
      </c>
    </row>
    <row r="71" spans="1:27" ht="18" customHeight="1" x14ac:dyDescent="0.2">
      <c r="A71" s="3"/>
      <c r="B71" s="90" t="s">
        <v>173</v>
      </c>
      <c r="C71" s="91"/>
      <c r="D71" s="91"/>
      <c r="E71" s="92"/>
      <c r="F71" s="63">
        <v>2</v>
      </c>
      <c r="G71" s="63" t="s">
        <v>147</v>
      </c>
      <c r="H71" s="63" t="s">
        <v>147</v>
      </c>
      <c r="I71" s="63" t="s">
        <v>147</v>
      </c>
      <c r="J71" s="63" t="s">
        <v>147</v>
      </c>
      <c r="K71" s="90"/>
      <c r="L71" s="91"/>
      <c r="M71" s="91"/>
      <c r="N71" s="91"/>
      <c r="O71" s="91"/>
      <c r="P71" s="92"/>
      <c r="Q71" s="63"/>
      <c r="R71" s="63"/>
      <c r="S71" s="63"/>
      <c r="T71" s="63"/>
      <c r="U71" s="63"/>
    </row>
    <row r="72" spans="1:27" ht="18" customHeight="1" x14ac:dyDescent="0.2">
      <c r="A72" s="3"/>
      <c r="B72" s="83" t="s">
        <v>171</v>
      </c>
      <c r="C72" s="84"/>
      <c r="D72" s="84"/>
      <c r="E72" s="85"/>
      <c r="F72" s="64">
        <v>2</v>
      </c>
      <c r="G72" s="64" t="s">
        <v>147</v>
      </c>
      <c r="H72" s="64"/>
      <c r="I72" s="64" t="s">
        <v>147</v>
      </c>
      <c r="J72" s="64"/>
      <c r="K72" s="83"/>
      <c r="L72" s="84"/>
      <c r="M72" s="84"/>
      <c r="N72" s="84"/>
      <c r="O72" s="84"/>
      <c r="P72" s="85"/>
      <c r="Q72" s="64"/>
      <c r="R72" s="64"/>
      <c r="S72" s="64"/>
      <c r="T72" s="64"/>
      <c r="U72" s="64"/>
    </row>
    <row r="73" spans="1:27" ht="18" customHeight="1" x14ac:dyDescent="0.2">
      <c r="A73" s="3"/>
      <c r="B73" s="83" t="s">
        <v>175</v>
      </c>
      <c r="C73" s="84"/>
      <c r="D73" s="84"/>
      <c r="E73" s="85"/>
      <c r="F73" s="64">
        <v>2</v>
      </c>
      <c r="G73" s="64" t="s">
        <v>147</v>
      </c>
      <c r="H73" s="64" t="s">
        <v>147</v>
      </c>
      <c r="I73" s="64" t="s">
        <v>147</v>
      </c>
      <c r="J73" s="64" t="s">
        <v>147</v>
      </c>
      <c r="K73" s="83"/>
      <c r="L73" s="84"/>
      <c r="M73" s="84"/>
      <c r="N73" s="84"/>
      <c r="O73" s="84"/>
      <c r="P73" s="85"/>
      <c r="Q73" s="64"/>
      <c r="R73" s="64"/>
      <c r="S73" s="64"/>
      <c r="T73" s="64"/>
      <c r="U73" s="64"/>
    </row>
    <row r="74" spans="1:27" ht="18" customHeight="1" x14ac:dyDescent="0.2">
      <c r="A74" s="3"/>
      <c r="B74" s="83" t="s">
        <v>174</v>
      </c>
      <c r="C74" s="84"/>
      <c r="D74" s="84"/>
      <c r="E74" s="85"/>
      <c r="F74" s="64">
        <v>2</v>
      </c>
      <c r="G74" s="64" t="s">
        <v>147</v>
      </c>
      <c r="H74" s="64" t="s">
        <v>147</v>
      </c>
      <c r="I74" s="64" t="s">
        <v>147</v>
      </c>
      <c r="J74" s="64" t="s">
        <v>147</v>
      </c>
      <c r="K74" s="83"/>
      <c r="L74" s="84"/>
      <c r="M74" s="84"/>
      <c r="N74" s="84"/>
      <c r="O74" s="84"/>
      <c r="P74" s="85"/>
      <c r="Q74" s="64"/>
      <c r="R74" s="64"/>
      <c r="S74" s="64"/>
      <c r="T74" s="64"/>
      <c r="U74" s="64"/>
    </row>
    <row r="75" spans="1:27" ht="18" customHeight="1" x14ac:dyDescent="0.2">
      <c r="A75" s="3"/>
      <c r="B75" s="83" t="s">
        <v>170</v>
      </c>
      <c r="C75" s="84"/>
      <c r="D75" s="84"/>
      <c r="E75" s="85"/>
      <c r="F75" s="64">
        <v>2</v>
      </c>
      <c r="G75" s="64" t="s">
        <v>147</v>
      </c>
      <c r="H75" s="64" t="s">
        <v>147</v>
      </c>
      <c r="I75" s="64" t="s">
        <v>147</v>
      </c>
      <c r="J75" s="64"/>
      <c r="K75" s="83"/>
      <c r="L75" s="84"/>
      <c r="M75" s="84"/>
      <c r="N75" s="84"/>
      <c r="O75" s="84"/>
      <c r="P75" s="85"/>
      <c r="Q75" s="64"/>
      <c r="R75" s="64"/>
      <c r="S75" s="64"/>
      <c r="T75" s="64"/>
      <c r="U75" s="64"/>
    </row>
    <row r="76" spans="1:27" ht="18" customHeight="1" x14ac:dyDescent="0.2">
      <c r="A76" s="3"/>
      <c r="B76" s="83"/>
      <c r="C76" s="84"/>
      <c r="D76" s="84"/>
      <c r="E76" s="84"/>
      <c r="F76" s="64"/>
      <c r="G76" s="64"/>
      <c r="H76" s="64"/>
      <c r="I76" s="64"/>
      <c r="J76" s="64"/>
      <c r="K76" s="83"/>
      <c r="L76" s="84"/>
      <c r="M76" s="84"/>
      <c r="N76" s="84"/>
      <c r="O76" s="84"/>
      <c r="P76" s="85"/>
      <c r="Q76" s="64"/>
      <c r="R76" s="64"/>
      <c r="S76" s="64"/>
      <c r="T76" s="64"/>
      <c r="U76" s="64"/>
    </row>
    <row r="77" spans="1:27" ht="18" customHeight="1" x14ac:dyDescent="0.2">
      <c r="A77" s="3"/>
      <c r="B77" s="86"/>
      <c r="C77" s="87"/>
      <c r="D77" s="87"/>
      <c r="E77" s="87"/>
      <c r="F77" s="65"/>
      <c r="G77" s="65"/>
      <c r="H77" s="66"/>
      <c r="I77" s="66"/>
      <c r="J77" s="66"/>
      <c r="K77" s="86"/>
      <c r="L77" s="87"/>
      <c r="M77" s="87"/>
      <c r="N77" s="87"/>
      <c r="O77" s="87"/>
      <c r="P77" s="88"/>
      <c r="Q77" s="65"/>
      <c r="R77" s="65"/>
      <c r="S77" s="66"/>
      <c r="T77" s="66"/>
      <c r="U77" s="66"/>
    </row>
    <row r="78" spans="1:27" ht="7.5" customHeight="1" x14ac:dyDescent="0.2">
      <c r="B78" s="14"/>
      <c r="C78" s="14"/>
      <c r="D78" s="14"/>
      <c r="E78" s="14"/>
      <c r="F78" s="14"/>
      <c r="G78" s="14"/>
      <c r="H78" s="14"/>
      <c r="I78" s="14"/>
      <c r="J78" s="14"/>
      <c r="K78" s="14"/>
      <c r="L78" s="14"/>
      <c r="M78" s="14"/>
      <c r="N78" s="14"/>
      <c r="O78" s="14"/>
      <c r="P78" s="14"/>
      <c r="Q78" s="14"/>
      <c r="R78" s="14"/>
      <c r="S78" s="14"/>
      <c r="T78" s="14"/>
    </row>
    <row r="79" spans="1:27" ht="18" customHeight="1" x14ac:dyDescent="0.2">
      <c r="A79" s="1" t="s">
        <v>101</v>
      </c>
      <c r="I79" s="3"/>
      <c r="J79" s="3"/>
      <c r="K79" s="3"/>
      <c r="L79" s="3"/>
      <c r="M79" s="3"/>
      <c r="N79" s="3"/>
      <c r="O79" s="3"/>
      <c r="P79" s="3"/>
      <c r="Q79" s="3"/>
      <c r="R79" s="3"/>
      <c r="S79" s="3"/>
      <c r="T79" s="3"/>
      <c r="U79" s="3"/>
    </row>
    <row r="80" spans="1:27" ht="18" customHeight="1" x14ac:dyDescent="0.2">
      <c r="B80" s="96" t="s">
        <v>48</v>
      </c>
      <c r="C80" s="97"/>
      <c r="D80" s="97"/>
      <c r="E80" s="97"/>
      <c r="F80" s="98"/>
      <c r="G80" s="96" t="s">
        <v>74</v>
      </c>
      <c r="H80" s="97"/>
      <c r="I80" s="97"/>
      <c r="J80" s="98"/>
      <c r="K80" s="104" t="s">
        <v>48</v>
      </c>
      <c r="L80" s="105"/>
      <c r="M80" s="105"/>
      <c r="N80" s="105"/>
      <c r="O80" s="105"/>
      <c r="P80" s="105"/>
      <c r="Q80" s="106"/>
      <c r="R80" s="96" t="s">
        <v>74</v>
      </c>
      <c r="S80" s="97"/>
      <c r="T80" s="97"/>
      <c r="U80" s="98"/>
      <c r="AA80" s="1" t="s">
        <v>138</v>
      </c>
    </row>
    <row r="81" spans="1:27" ht="18" customHeight="1" x14ac:dyDescent="0.2">
      <c r="A81" s="3"/>
      <c r="B81" s="90"/>
      <c r="C81" s="91"/>
      <c r="D81" s="91"/>
      <c r="E81" s="91"/>
      <c r="F81" s="92"/>
      <c r="G81" s="93"/>
      <c r="H81" s="94"/>
      <c r="I81" s="94"/>
      <c r="J81" s="95"/>
      <c r="K81" s="90"/>
      <c r="L81" s="91"/>
      <c r="M81" s="91"/>
      <c r="N81" s="91"/>
      <c r="O81" s="91"/>
      <c r="P81" s="91"/>
      <c r="Q81" s="92"/>
      <c r="R81" s="93"/>
      <c r="S81" s="94"/>
      <c r="T81" s="94"/>
      <c r="U81" s="95"/>
      <c r="AA81" s="1" t="s">
        <v>131</v>
      </c>
    </row>
    <row r="82" spans="1:27" ht="18" customHeight="1" x14ac:dyDescent="0.2">
      <c r="A82" s="3"/>
      <c r="B82" s="83"/>
      <c r="C82" s="84"/>
      <c r="D82" s="84"/>
      <c r="E82" s="84"/>
      <c r="F82" s="85"/>
      <c r="G82" s="101"/>
      <c r="H82" s="102"/>
      <c r="I82" s="102"/>
      <c r="J82" s="103"/>
      <c r="K82" s="83"/>
      <c r="L82" s="84"/>
      <c r="M82" s="84"/>
      <c r="N82" s="84"/>
      <c r="O82" s="84"/>
      <c r="P82" s="84"/>
      <c r="Q82" s="85"/>
      <c r="R82" s="101"/>
      <c r="S82" s="102"/>
      <c r="T82" s="102"/>
      <c r="U82" s="103"/>
      <c r="AA82" s="1" t="s">
        <v>132</v>
      </c>
    </row>
    <row r="83" spans="1:27" ht="18" customHeight="1" x14ac:dyDescent="0.2">
      <c r="A83" s="3"/>
      <c r="B83" s="83"/>
      <c r="C83" s="84"/>
      <c r="D83" s="84"/>
      <c r="E83" s="84"/>
      <c r="F83" s="85"/>
      <c r="G83" s="101"/>
      <c r="H83" s="102"/>
      <c r="I83" s="102"/>
      <c r="J83" s="103"/>
      <c r="K83" s="83"/>
      <c r="L83" s="84"/>
      <c r="M83" s="84"/>
      <c r="N83" s="84"/>
      <c r="O83" s="84"/>
      <c r="P83" s="84"/>
      <c r="Q83" s="85"/>
      <c r="R83" s="101"/>
      <c r="S83" s="102"/>
      <c r="T83" s="102"/>
      <c r="U83" s="103"/>
      <c r="AA83" s="1" t="s">
        <v>133</v>
      </c>
    </row>
    <row r="84" spans="1:27" ht="18" customHeight="1" x14ac:dyDescent="0.2">
      <c r="A84" s="3"/>
      <c r="B84" s="83"/>
      <c r="C84" s="84"/>
      <c r="D84" s="84"/>
      <c r="E84" s="84"/>
      <c r="F84" s="85"/>
      <c r="G84" s="101"/>
      <c r="H84" s="102"/>
      <c r="I84" s="102"/>
      <c r="J84" s="103"/>
      <c r="K84" s="83"/>
      <c r="L84" s="84"/>
      <c r="M84" s="84"/>
      <c r="N84" s="84"/>
      <c r="O84" s="84"/>
      <c r="P84" s="84"/>
      <c r="Q84" s="85"/>
      <c r="R84" s="101"/>
      <c r="S84" s="102"/>
      <c r="T84" s="102"/>
      <c r="U84" s="103"/>
      <c r="AA84" s="1" t="s">
        <v>139</v>
      </c>
    </row>
    <row r="85" spans="1:27" ht="18" customHeight="1" x14ac:dyDescent="0.2">
      <c r="A85" s="3"/>
      <c r="B85" s="83"/>
      <c r="C85" s="84"/>
      <c r="D85" s="84"/>
      <c r="E85" s="84"/>
      <c r="F85" s="85"/>
      <c r="G85" s="101"/>
      <c r="H85" s="102"/>
      <c r="I85" s="102"/>
      <c r="J85" s="103"/>
      <c r="K85" s="83"/>
      <c r="L85" s="84"/>
      <c r="M85" s="84"/>
      <c r="N85" s="84"/>
      <c r="O85" s="84"/>
      <c r="P85" s="84"/>
      <c r="Q85" s="85"/>
      <c r="R85" s="101"/>
      <c r="S85" s="102"/>
      <c r="T85" s="102"/>
      <c r="U85" s="103"/>
      <c r="AA85" s="1" t="s">
        <v>140</v>
      </c>
    </row>
    <row r="86" spans="1:27" ht="18" customHeight="1" x14ac:dyDescent="0.2">
      <c r="A86" s="3"/>
      <c r="B86" s="83"/>
      <c r="C86" s="84"/>
      <c r="D86" s="84"/>
      <c r="E86" s="84"/>
      <c r="F86" s="85"/>
      <c r="G86" s="101"/>
      <c r="H86" s="102"/>
      <c r="I86" s="102"/>
      <c r="J86" s="103"/>
      <c r="K86" s="83"/>
      <c r="L86" s="84"/>
      <c r="M86" s="84"/>
      <c r="N86" s="84"/>
      <c r="O86" s="84"/>
      <c r="P86" s="84"/>
      <c r="Q86" s="85"/>
      <c r="R86" s="101"/>
      <c r="S86" s="102"/>
      <c r="T86" s="102"/>
      <c r="U86" s="103"/>
      <c r="AA86" s="1" t="s">
        <v>134</v>
      </c>
    </row>
    <row r="87" spans="1:27" ht="18" customHeight="1" x14ac:dyDescent="0.2">
      <c r="A87" s="3"/>
      <c r="B87" s="86"/>
      <c r="C87" s="87"/>
      <c r="D87" s="87"/>
      <c r="E87" s="87"/>
      <c r="F87" s="88"/>
      <c r="G87" s="120"/>
      <c r="H87" s="121"/>
      <c r="I87" s="121"/>
      <c r="J87" s="122"/>
      <c r="K87" s="86"/>
      <c r="L87" s="87"/>
      <c r="M87" s="87"/>
      <c r="N87" s="87"/>
      <c r="O87" s="87"/>
      <c r="P87" s="87"/>
      <c r="Q87" s="88"/>
      <c r="R87" s="120"/>
      <c r="S87" s="121"/>
      <c r="T87" s="121"/>
      <c r="U87" s="122"/>
      <c r="AA87" s="1" t="s">
        <v>135</v>
      </c>
    </row>
    <row r="88" spans="1:27" ht="18" customHeight="1" x14ac:dyDescent="0.2">
      <c r="A88" s="3"/>
      <c r="B88" s="6"/>
      <c r="C88" s="6"/>
      <c r="D88" s="6"/>
      <c r="E88" s="6"/>
      <c r="F88" s="6"/>
      <c r="G88" s="67"/>
      <c r="H88" s="67"/>
      <c r="I88" s="67"/>
      <c r="J88" s="67"/>
      <c r="K88" s="6"/>
      <c r="L88" s="6"/>
      <c r="M88" s="6"/>
      <c r="N88" s="6"/>
      <c r="O88" s="6"/>
      <c r="P88" s="6"/>
      <c r="Q88" s="6"/>
      <c r="R88" s="67"/>
      <c r="S88" s="67"/>
      <c r="T88" s="67"/>
      <c r="U88" s="67"/>
      <c r="AA88" s="1" t="s">
        <v>136</v>
      </c>
    </row>
    <row r="89" spans="1:27" ht="18.75" customHeight="1" x14ac:dyDescent="0.2">
      <c r="A89" s="1" t="s">
        <v>102</v>
      </c>
      <c r="AA89" s="1" t="s">
        <v>137</v>
      </c>
    </row>
    <row r="90" spans="1:27" ht="18.75" customHeight="1" x14ac:dyDescent="0.2">
      <c r="B90" s="124" t="s">
        <v>49</v>
      </c>
      <c r="C90" s="125"/>
      <c r="D90" s="96" t="s">
        <v>50</v>
      </c>
      <c r="E90" s="97"/>
      <c r="F90" s="97"/>
      <c r="G90" s="97"/>
      <c r="H90" s="97"/>
      <c r="I90" s="97"/>
      <c r="J90" s="97"/>
      <c r="K90" s="97"/>
      <c r="L90" s="97"/>
      <c r="M90" s="97"/>
      <c r="N90" s="97"/>
      <c r="O90" s="97"/>
      <c r="P90" s="97"/>
      <c r="Q90" s="97"/>
      <c r="R90" s="97"/>
      <c r="S90" s="97"/>
      <c r="T90" s="97"/>
      <c r="U90" s="98"/>
    </row>
    <row r="91" spans="1:27" ht="97.5" customHeight="1" x14ac:dyDescent="0.2">
      <c r="B91" s="99" t="s">
        <v>56</v>
      </c>
      <c r="C91" s="68" t="s">
        <v>51</v>
      </c>
      <c r="D91" s="130" t="s">
        <v>183</v>
      </c>
      <c r="E91" s="131"/>
      <c r="F91" s="131"/>
      <c r="G91" s="131"/>
      <c r="H91" s="131"/>
      <c r="I91" s="131"/>
      <c r="J91" s="131"/>
      <c r="K91" s="131"/>
      <c r="L91" s="131"/>
      <c r="M91" s="131"/>
      <c r="N91" s="131"/>
      <c r="O91" s="131"/>
      <c r="P91" s="131"/>
      <c r="Q91" s="131"/>
      <c r="R91" s="131"/>
      <c r="S91" s="131"/>
      <c r="T91" s="131"/>
      <c r="U91" s="132"/>
    </row>
    <row r="92" spans="1:27" ht="97.5" customHeight="1" x14ac:dyDescent="0.2">
      <c r="B92" s="123"/>
      <c r="C92" s="69" t="s">
        <v>70</v>
      </c>
      <c r="D92" s="127" t="s">
        <v>184</v>
      </c>
      <c r="E92" s="128"/>
      <c r="F92" s="128"/>
      <c r="G92" s="128"/>
      <c r="H92" s="128"/>
      <c r="I92" s="128"/>
      <c r="J92" s="128"/>
      <c r="K92" s="128"/>
      <c r="L92" s="128"/>
      <c r="M92" s="128"/>
      <c r="N92" s="128"/>
      <c r="O92" s="128"/>
      <c r="P92" s="128"/>
      <c r="Q92" s="128"/>
      <c r="R92" s="128"/>
      <c r="S92" s="128"/>
      <c r="T92" s="128"/>
      <c r="U92" s="129"/>
    </row>
    <row r="93" spans="1:27" ht="97.5" customHeight="1" x14ac:dyDescent="0.2">
      <c r="B93" s="99" t="s">
        <v>57</v>
      </c>
      <c r="C93" s="70" t="s">
        <v>64</v>
      </c>
      <c r="D93" s="130" t="s">
        <v>186</v>
      </c>
      <c r="E93" s="131"/>
      <c r="F93" s="131"/>
      <c r="G93" s="131"/>
      <c r="H93" s="131"/>
      <c r="I93" s="131"/>
      <c r="J93" s="131"/>
      <c r="K93" s="131"/>
      <c r="L93" s="131"/>
      <c r="M93" s="131"/>
      <c r="N93" s="131"/>
      <c r="O93" s="131"/>
      <c r="P93" s="131"/>
      <c r="Q93" s="131"/>
      <c r="R93" s="131"/>
      <c r="S93" s="131"/>
      <c r="T93" s="131"/>
      <c r="U93" s="132"/>
    </row>
    <row r="94" spans="1:27" ht="97.5" customHeight="1" x14ac:dyDescent="0.2">
      <c r="B94" s="100"/>
      <c r="C94" s="71" t="s">
        <v>65</v>
      </c>
      <c r="D94" s="127" t="s">
        <v>187</v>
      </c>
      <c r="E94" s="128"/>
      <c r="F94" s="128"/>
      <c r="G94" s="128"/>
      <c r="H94" s="128"/>
      <c r="I94" s="128"/>
      <c r="J94" s="128"/>
      <c r="K94" s="128"/>
      <c r="L94" s="128"/>
      <c r="M94" s="128"/>
      <c r="N94" s="128"/>
      <c r="O94" s="128"/>
      <c r="P94" s="128"/>
      <c r="Q94" s="128"/>
      <c r="R94" s="128"/>
      <c r="S94" s="128"/>
      <c r="T94" s="128"/>
      <c r="U94" s="129"/>
    </row>
    <row r="95" spans="1:27" ht="97.5" customHeight="1" x14ac:dyDescent="0.2">
      <c r="B95" s="99" t="s">
        <v>58</v>
      </c>
      <c r="C95" s="70" t="s">
        <v>66</v>
      </c>
      <c r="D95" s="130" t="s">
        <v>188</v>
      </c>
      <c r="E95" s="131"/>
      <c r="F95" s="131"/>
      <c r="G95" s="131"/>
      <c r="H95" s="131"/>
      <c r="I95" s="131"/>
      <c r="J95" s="131"/>
      <c r="K95" s="131"/>
      <c r="L95" s="131"/>
      <c r="M95" s="131"/>
      <c r="N95" s="131"/>
      <c r="O95" s="131"/>
      <c r="P95" s="131"/>
      <c r="Q95" s="131"/>
      <c r="R95" s="131"/>
      <c r="S95" s="131"/>
      <c r="T95" s="131"/>
      <c r="U95" s="132"/>
    </row>
    <row r="96" spans="1:27" ht="97.5" customHeight="1" x14ac:dyDescent="0.2">
      <c r="B96" s="100"/>
      <c r="C96" s="72" t="s">
        <v>67</v>
      </c>
      <c r="D96" s="127" t="s">
        <v>189</v>
      </c>
      <c r="E96" s="128"/>
      <c r="F96" s="128"/>
      <c r="G96" s="128"/>
      <c r="H96" s="128"/>
      <c r="I96" s="128"/>
      <c r="J96" s="128"/>
      <c r="K96" s="128"/>
      <c r="L96" s="128"/>
      <c r="M96" s="128"/>
      <c r="N96" s="128"/>
      <c r="O96" s="128"/>
      <c r="P96" s="128"/>
      <c r="Q96" s="128"/>
      <c r="R96" s="128"/>
      <c r="S96" s="128"/>
      <c r="T96" s="128"/>
      <c r="U96" s="129"/>
    </row>
    <row r="97" spans="1:21" ht="97.5" customHeight="1" x14ac:dyDescent="0.2">
      <c r="B97" s="99" t="s">
        <v>71</v>
      </c>
      <c r="C97" s="68" t="s">
        <v>53</v>
      </c>
      <c r="D97" s="130" t="s">
        <v>190</v>
      </c>
      <c r="E97" s="131"/>
      <c r="F97" s="131"/>
      <c r="G97" s="131"/>
      <c r="H97" s="131"/>
      <c r="I97" s="131"/>
      <c r="J97" s="131"/>
      <c r="K97" s="131"/>
      <c r="L97" s="131"/>
      <c r="M97" s="131"/>
      <c r="N97" s="131"/>
      <c r="O97" s="131"/>
      <c r="P97" s="131"/>
      <c r="Q97" s="131"/>
      <c r="R97" s="131"/>
      <c r="S97" s="131"/>
      <c r="T97" s="131"/>
      <c r="U97" s="132"/>
    </row>
    <row r="98" spans="1:21" ht="97.5" customHeight="1" x14ac:dyDescent="0.2">
      <c r="B98" s="100"/>
      <c r="C98" s="71" t="s">
        <v>55</v>
      </c>
      <c r="D98" s="127" t="s">
        <v>185</v>
      </c>
      <c r="E98" s="128"/>
      <c r="F98" s="128"/>
      <c r="G98" s="128"/>
      <c r="H98" s="128"/>
      <c r="I98" s="128"/>
      <c r="J98" s="128"/>
      <c r="K98" s="128"/>
      <c r="L98" s="128"/>
      <c r="M98" s="128"/>
      <c r="N98" s="128"/>
      <c r="O98" s="128"/>
      <c r="P98" s="128"/>
      <c r="Q98" s="128"/>
      <c r="R98" s="128"/>
      <c r="S98" s="128"/>
      <c r="T98" s="128"/>
      <c r="U98" s="129"/>
    </row>
    <row r="99" spans="1:21" ht="97.5" customHeight="1" x14ac:dyDescent="0.2">
      <c r="B99" s="99" t="s">
        <v>72</v>
      </c>
      <c r="C99" s="70" t="s">
        <v>52</v>
      </c>
      <c r="D99" s="130" t="s">
        <v>191</v>
      </c>
      <c r="E99" s="131"/>
      <c r="F99" s="131"/>
      <c r="G99" s="131"/>
      <c r="H99" s="131"/>
      <c r="I99" s="131"/>
      <c r="J99" s="131"/>
      <c r="K99" s="131"/>
      <c r="L99" s="131"/>
      <c r="M99" s="131"/>
      <c r="N99" s="131"/>
      <c r="O99" s="131"/>
      <c r="P99" s="131"/>
      <c r="Q99" s="131"/>
      <c r="R99" s="131"/>
      <c r="S99" s="131"/>
      <c r="T99" s="131"/>
      <c r="U99" s="132"/>
    </row>
    <row r="100" spans="1:21" ht="97.5" customHeight="1" x14ac:dyDescent="0.2">
      <c r="B100" s="123"/>
      <c r="C100" s="73" t="s">
        <v>68</v>
      </c>
      <c r="D100" s="133" t="s">
        <v>192</v>
      </c>
      <c r="E100" s="134"/>
      <c r="F100" s="134"/>
      <c r="G100" s="134"/>
      <c r="H100" s="134"/>
      <c r="I100" s="134"/>
      <c r="J100" s="134"/>
      <c r="K100" s="134"/>
      <c r="L100" s="134"/>
      <c r="M100" s="134"/>
      <c r="N100" s="134"/>
      <c r="O100" s="134"/>
      <c r="P100" s="134"/>
      <c r="Q100" s="134"/>
      <c r="R100" s="134"/>
      <c r="S100" s="134"/>
      <c r="T100" s="134"/>
      <c r="U100" s="135"/>
    </row>
    <row r="101" spans="1:21" ht="97.5" customHeight="1" x14ac:dyDescent="0.2">
      <c r="B101" s="100"/>
      <c r="C101" s="72" t="s">
        <v>69</v>
      </c>
      <c r="D101" s="127" t="s">
        <v>193</v>
      </c>
      <c r="E101" s="128"/>
      <c r="F101" s="128"/>
      <c r="G101" s="128"/>
      <c r="H101" s="128"/>
      <c r="I101" s="128"/>
      <c r="J101" s="128"/>
      <c r="K101" s="128"/>
      <c r="L101" s="128"/>
      <c r="M101" s="128"/>
      <c r="N101" s="128"/>
      <c r="O101" s="128"/>
      <c r="P101" s="128"/>
      <c r="Q101" s="128"/>
      <c r="R101" s="128"/>
      <c r="S101" s="128"/>
      <c r="T101" s="128"/>
      <c r="U101" s="129"/>
    </row>
    <row r="102" spans="1:21" ht="6" customHeight="1" x14ac:dyDescent="0.2"/>
    <row r="103" spans="1:21" ht="18.75" customHeight="1" x14ac:dyDescent="0.2">
      <c r="A103" s="1" t="s">
        <v>103</v>
      </c>
    </row>
    <row r="104" spans="1:21" ht="81.75" customHeight="1" x14ac:dyDescent="0.2">
      <c r="B104" s="117" t="s">
        <v>176</v>
      </c>
      <c r="C104" s="118"/>
      <c r="D104" s="118"/>
      <c r="E104" s="118"/>
      <c r="F104" s="118"/>
      <c r="G104" s="118"/>
      <c r="H104" s="118"/>
      <c r="I104" s="118"/>
      <c r="J104" s="118"/>
      <c r="K104" s="118"/>
      <c r="L104" s="118"/>
      <c r="M104" s="118"/>
      <c r="N104" s="118"/>
      <c r="O104" s="118"/>
      <c r="P104" s="118"/>
      <c r="Q104" s="118"/>
      <c r="R104" s="118"/>
      <c r="S104" s="118"/>
      <c r="T104" s="118"/>
      <c r="U104" s="119"/>
    </row>
    <row r="107" spans="1:21" ht="18" customHeight="1" x14ac:dyDescent="0.2"/>
  </sheetData>
  <mergeCells count="144">
    <mergeCell ref="N22:U22"/>
    <mergeCell ref="L7:U7"/>
    <mergeCell ref="D90:U90"/>
    <mergeCell ref="D91:U91"/>
    <mergeCell ref="D92:U92"/>
    <mergeCell ref="D93:U93"/>
    <mergeCell ref="D94:U94"/>
    <mergeCell ref="D95:U95"/>
    <mergeCell ref="D96:U96"/>
    <mergeCell ref="B11:U12"/>
    <mergeCell ref="K62:Q62"/>
    <mergeCell ref="K63:Q63"/>
    <mergeCell ref="K64:Q64"/>
    <mergeCell ref="K65:Q65"/>
    <mergeCell ref="K66:Q66"/>
    <mergeCell ref="B70:E70"/>
    <mergeCell ref="B60:F60"/>
    <mergeCell ref="B61:F61"/>
    <mergeCell ref="K37:Q37"/>
    <mergeCell ref="A57:U58"/>
    <mergeCell ref="K39:Q39"/>
    <mergeCell ref="K40:Q40"/>
    <mergeCell ref="K59:Q59"/>
    <mergeCell ref="K60:Q60"/>
    <mergeCell ref="D98:U98"/>
    <mergeCell ref="D99:U99"/>
    <mergeCell ref="D100:U100"/>
    <mergeCell ref="D101:U101"/>
    <mergeCell ref="D97:U97"/>
    <mergeCell ref="B51:F51"/>
    <mergeCell ref="K38:Q38"/>
    <mergeCell ref="B52:F52"/>
    <mergeCell ref="B53:F53"/>
    <mergeCell ref="B54:F54"/>
    <mergeCell ref="B55:F55"/>
    <mergeCell ref="K42:Q42"/>
    <mergeCell ref="K43:Q43"/>
    <mergeCell ref="K44:Q44"/>
    <mergeCell ref="A46:U47"/>
    <mergeCell ref="K41:Q41"/>
    <mergeCell ref="B48:F48"/>
    <mergeCell ref="B49:F49"/>
    <mergeCell ref="B50:F50"/>
    <mergeCell ref="K55:Q55"/>
    <mergeCell ref="B95:B96"/>
    <mergeCell ref="B91:B92"/>
    <mergeCell ref="K71:P71"/>
    <mergeCell ref="K72:P72"/>
    <mergeCell ref="A35:U36"/>
    <mergeCell ref="B37:F37"/>
    <mergeCell ref="B38:F38"/>
    <mergeCell ref="B39:F39"/>
    <mergeCell ref="B59:F59"/>
    <mergeCell ref="T1:U1"/>
    <mergeCell ref="B26:F26"/>
    <mergeCell ref="B27:F27"/>
    <mergeCell ref="B28:F28"/>
    <mergeCell ref="B29:F29"/>
    <mergeCell ref="B30:F30"/>
    <mergeCell ref="B31:F31"/>
    <mergeCell ref="B32:F32"/>
    <mergeCell ref="B33:F33"/>
    <mergeCell ref="K26:Q26"/>
    <mergeCell ref="K27:Q27"/>
    <mergeCell ref="K28:Q28"/>
    <mergeCell ref="K29:Q29"/>
    <mergeCell ref="K30:Q30"/>
    <mergeCell ref="K31:Q31"/>
    <mergeCell ref="K32:Q32"/>
    <mergeCell ref="K33:Q33"/>
    <mergeCell ref="C2:J2"/>
    <mergeCell ref="C3:J3"/>
    <mergeCell ref="A5:U5"/>
    <mergeCell ref="B15:U20"/>
    <mergeCell ref="A24:U25"/>
    <mergeCell ref="K87:Q87"/>
    <mergeCell ref="B104:U104"/>
    <mergeCell ref="R87:U87"/>
    <mergeCell ref="B82:F82"/>
    <mergeCell ref="G82:J82"/>
    <mergeCell ref="K82:Q82"/>
    <mergeCell ref="R82:U82"/>
    <mergeCell ref="B85:F85"/>
    <mergeCell ref="G85:J85"/>
    <mergeCell ref="K85:Q85"/>
    <mergeCell ref="R85:U85"/>
    <mergeCell ref="B83:F83"/>
    <mergeCell ref="B86:F86"/>
    <mergeCell ref="G86:J86"/>
    <mergeCell ref="K86:Q86"/>
    <mergeCell ref="R86:U86"/>
    <mergeCell ref="B87:F87"/>
    <mergeCell ref="G87:J87"/>
    <mergeCell ref="B99:B101"/>
    <mergeCell ref="B97:B98"/>
    <mergeCell ref="B90:C90"/>
    <mergeCell ref="B93:B94"/>
    <mergeCell ref="R84:U84"/>
    <mergeCell ref="G80:J80"/>
    <mergeCell ref="K80:Q80"/>
    <mergeCell ref="B71:E71"/>
    <mergeCell ref="B72:E72"/>
    <mergeCell ref="R83:U83"/>
    <mergeCell ref="K70:P70"/>
    <mergeCell ref="B65:F65"/>
    <mergeCell ref="B66:F66"/>
    <mergeCell ref="B73:E73"/>
    <mergeCell ref="B74:E74"/>
    <mergeCell ref="K73:P73"/>
    <mergeCell ref="B84:F84"/>
    <mergeCell ref="G83:J83"/>
    <mergeCell ref="G84:J84"/>
    <mergeCell ref="K83:Q83"/>
    <mergeCell ref="K84:Q84"/>
    <mergeCell ref="B75:E75"/>
    <mergeCell ref="B76:E76"/>
    <mergeCell ref="B77:E77"/>
    <mergeCell ref="K74:P74"/>
    <mergeCell ref="K75:P75"/>
    <mergeCell ref="K76:P76"/>
    <mergeCell ref="K53:Q53"/>
    <mergeCell ref="K54:Q54"/>
    <mergeCell ref="K77:P77"/>
    <mergeCell ref="A68:U69"/>
    <mergeCell ref="K81:Q81"/>
    <mergeCell ref="B40:F40"/>
    <mergeCell ref="B41:F41"/>
    <mergeCell ref="B42:F42"/>
    <mergeCell ref="B43:F43"/>
    <mergeCell ref="B44:F44"/>
    <mergeCell ref="K49:Q49"/>
    <mergeCell ref="K50:Q50"/>
    <mergeCell ref="K51:Q51"/>
    <mergeCell ref="K52:Q52"/>
    <mergeCell ref="R81:U81"/>
    <mergeCell ref="R80:U80"/>
    <mergeCell ref="B81:F81"/>
    <mergeCell ref="K61:Q61"/>
    <mergeCell ref="B80:F80"/>
    <mergeCell ref="G81:J81"/>
    <mergeCell ref="B62:F62"/>
    <mergeCell ref="B63:F63"/>
    <mergeCell ref="B64:F64"/>
    <mergeCell ref="K48:Q48"/>
  </mergeCells>
  <phoneticPr fontId="1"/>
  <conditionalFormatting sqref="B11:U12">
    <cfRule type="expression" dxfId="1" priority="1">
      <formula>$L$7="学部・学科によって、修了要件は相違しない"</formula>
    </cfRule>
    <cfRule type="expression" dxfId="0" priority="2">
      <formula>$L$9="学部・学科によって、修了要件は相違しない"</formula>
    </cfRule>
  </conditionalFormatting>
  <dataValidations count="6">
    <dataValidation type="list" allowBlank="1" showInputMessage="1" showErrorMessage="1" sqref="R71:U77 S27:U33 H27:J33 S38:U44 H49:J55 S49:U55 H60:J66 S60:U66 G71:J77 H38:J44" xr:uid="{4C0986EB-3601-4249-85F7-B678A400A117}">
      <formula1>"○"</formula1>
    </dataValidation>
    <dataValidation type="list" allowBlank="1" showInputMessage="1" showErrorMessage="1" sqref="U34 U45 E34:H34 E45:H45" xr:uid="{CC907DDE-86DC-4E68-BFF5-E920A71A96A6}">
      <formula1>"全学開講,一部開講"</formula1>
    </dataValidation>
    <dataValidation type="list" allowBlank="1" showInputMessage="1" showErrorMessage="1" sqref="L14 L7:U7" xr:uid="{7B985F3C-9687-4C99-93D5-E4589130E2EC}">
      <formula1>"学部・学科によって、修了要件は相違する,学部・学科によって、修了要件は相違しない"</formula1>
    </dataValidation>
    <dataValidation type="list" allowBlank="1" showInputMessage="1" showErrorMessage="1" sqref="G88:J88 R88:U88" xr:uid="{D2BB2C57-16C1-4C09-B9C3-9ECFC3635D65}">
      <formula1>"4-1統計および数理基礎,4‐2アルゴリズム基礎,4‐3データ構造とプログラミング基礎,4‐4時系列データ解析,4‐5テキスト解析,4‐6画像解析,4‐7データハンドリング,4‐8データ活用実践（教師あり学習）,4‐9データ活用実践（教師なし学習）,その他"</formula1>
    </dataValidation>
    <dataValidation type="list" allowBlank="1" showInputMessage="1" showErrorMessage="1" sqref="N22:U22" xr:uid="{8D0781BD-BB46-47E4-B306-E5D299761C76}">
      <formula1>$X$16:$X$18</formula1>
    </dataValidation>
    <dataValidation type="list" allowBlank="1" showInputMessage="1" showErrorMessage="1" sqref="G81:J87 R81:U87" xr:uid="{E61772BF-11EE-43E8-BC0C-EDDA1761D40A}">
      <formula1>$AA$80:$AA$89</formula1>
    </dataValidation>
  </dataValidations>
  <printOptions horizontalCentered="1"/>
  <pageMargins left="0.78740157480314965" right="0.78740157480314965" top="0.78740157480314965" bottom="0.19685039370078741" header="0.31496062992125984" footer="0.19685039370078741"/>
  <pageSetup paperSize="9" scale="68" fitToHeight="0" orientation="portrait" r:id="rId1"/>
  <headerFooter>
    <oddHeader>&amp;C数理・データサイエンス・AI教育プログラム認定制度【リテラシーレベル】令和７年度申請用</oddHeader>
  </headerFooter>
  <rowBreaks count="2" manualBreakCount="2">
    <brk id="67" max="20" man="1"/>
    <brk id="96" max="20"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4F80AA-BA43-436E-9327-767BF1887A12}">
  <sheetPr>
    <pageSetUpPr fitToPage="1"/>
  </sheetPr>
  <dimension ref="A1:U33"/>
  <sheetViews>
    <sheetView view="pageBreakPreview" zoomScaleNormal="100" zoomScaleSheetLayoutView="100" workbookViewId="0">
      <selection activeCell="J17" sqref="J17"/>
    </sheetView>
  </sheetViews>
  <sheetFormatPr defaultColWidth="9" defaultRowHeight="18.75" customHeight="1" x14ac:dyDescent="0.2"/>
  <cols>
    <col min="1" max="1" width="2.6640625" style="1" customWidth="1"/>
    <col min="2" max="2" width="27.88671875" style="1" customWidth="1"/>
    <col min="3" max="18" width="6.109375" style="1" customWidth="1"/>
    <col min="19" max="19" width="6.6640625" style="1" customWidth="1"/>
    <col min="20" max="16384" width="9" style="1"/>
  </cols>
  <sheetData>
    <row r="1" spans="1:21" ht="18" customHeight="1" x14ac:dyDescent="0.2">
      <c r="A1" s="54"/>
      <c r="B1" s="54"/>
      <c r="C1" s="54"/>
      <c r="D1" s="54"/>
      <c r="E1" s="54"/>
      <c r="F1" s="54"/>
      <c r="G1" s="54"/>
      <c r="H1" s="54"/>
      <c r="I1" s="54"/>
      <c r="J1" s="54"/>
      <c r="K1" s="54"/>
      <c r="L1" s="54"/>
      <c r="M1" s="54"/>
      <c r="N1" s="54"/>
      <c r="O1" s="54"/>
      <c r="P1" s="54"/>
      <c r="Q1" s="54"/>
      <c r="R1" s="54"/>
      <c r="S1" s="54" t="s">
        <v>92</v>
      </c>
    </row>
    <row r="2" spans="1:21" ht="18" customHeight="1" x14ac:dyDescent="0.2">
      <c r="A2" s="54"/>
      <c r="B2" s="54"/>
      <c r="C2" s="54"/>
      <c r="D2" s="54"/>
      <c r="E2" s="54"/>
      <c r="F2" s="54"/>
      <c r="G2" s="54"/>
      <c r="H2" s="54"/>
      <c r="I2" s="54"/>
      <c r="J2" s="54"/>
      <c r="K2" s="54"/>
      <c r="L2" s="54"/>
      <c r="M2" s="54"/>
      <c r="N2" s="54"/>
      <c r="O2" s="54"/>
      <c r="P2" s="54"/>
      <c r="Q2" s="149" t="str">
        <f>'様式１　プログラムを構成する授業科目'!C2</f>
        <v>長崎外国語大学</v>
      </c>
      <c r="R2" s="149"/>
      <c r="S2" s="149"/>
    </row>
    <row r="3" spans="1:21" ht="18" customHeight="1" x14ac:dyDescent="0.2">
      <c r="A3" s="107" t="s">
        <v>142</v>
      </c>
      <c r="B3" s="107"/>
      <c r="C3" s="107"/>
      <c r="D3" s="107"/>
      <c r="E3" s="107"/>
      <c r="F3" s="107"/>
      <c r="G3" s="107"/>
      <c r="H3" s="107"/>
      <c r="I3" s="107"/>
      <c r="J3" s="107"/>
      <c r="K3" s="107"/>
      <c r="L3" s="107"/>
      <c r="M3" s="107"/>
      <c r="N3" s="107"/>
      <c r="O3" s="107"/>
      <c r="P3" s="107"/>
      <c r="Q3" s="107"/>
      <c r="R3" s="107"/>
      <c r="S3" s="107"/>
    </row>
    <row r="4" spans="1:21" ht="7.5" customHeight="1" x14ac:dyDescent="0.2">
      <c r="A4" s="56"/>
      <c r="B4" s="56"/>
      <c r="C4" s="56"/>
      <c r="D4" s="56"/>
      <c r="E4" s="56"/>
      <c r="F4" s="56"/>
      <c r="G4" s="56"/>
      <c r="H4" s="56"/>
      <c r="I4" s="56"/>
      <c r="J4" s="56"/>
      <c r="K4" s="56"/>
      <c r="L4" s="56"/>
      <c r="M4" s="56"/>
      <c r="N4" s="56"/>
      <c r="O4" s="56"/>
      <c r="P4" s="56"/>
      <c r="Q4" s="56"/>
      <c r="R4" s="56"/>
      <c r="S4" s="56"/>
    </row>
    <row r="5" spans="1:21" ht="18" customHeight="1" x14ac:dyDescent="0.2">
      <c r="A5" s="54" t="s">
        <v>75</v>
      </c>
      <c r="B5" s="54"/>
      <c r="C5" s="150" t="s">
        <v>180</v>
      </c>
      <c r="D5" s="151"/>
      <c r="E5" s="58" t="s">
        <v>125</v>
      </c>
      <c r="F5" s="56"/>
      <c r="G5" s="56"/>
      <c r="H5" s="56"/>
      <c r="I5" s="56"/>
      <c r="J5" s="56"/>
      <c r="K5" s="56"/>
      <c r="L5" s="56"/>
      <c r="M5" s="56"/>
      <c r="N5" s="56"/>
      <c r="O5" s="56"/>
      <c r="P5" s="56"/>
      <c r="Q5" s="56"/>
      <c r="R5" s="55"/>
      <c r="S5" s="55"/>
    </row>
    <row r="6" spans="1:21" ht="7.35" customHeight="1" x14ac:dyDescent="0.2">
      <c r="A6" s="54"/>
      <c r="B6" s="54"/>
      <c r="C6" s="77"/>
      <c r="D6" s="77"/>
      <c r="E6" s="56"/>
      <c r="F6" s="56"/>
      <c r="G6" s="56"/>
      <c r="H6" s="56"/>
      <c r="I6" s="56"/>
      <c r="J6" s="56"/>
      <c r="K6" s="56"/>
      <c r="L6" s="56"/>
      <c r="M6" s="56"/>
      <c r="N6" s="56"/>
      <c r="O6" s="56"/>
      <c r="P6" s="56"/>
      <c r="Q6" s="56"/>
      <c r="R6" s="55"/>
      <c r="S6" s="55"/>
    </row>
    <row r="7" spans="1:21" ht="18" customHeight="1" x14ac:dyDescent="0.2">
      <c r="A7" s="54" t="s">
        <v>109</v>
      </c>
      <c r="B7" s="54"/>
      <c r="C7" s="77"/>
      <c r="D7" s="77"/>
      <c r="E7" s="56" t="s">
        <v>110</v>
      </c>
      <c r="F7" s="59">
        <v>220</v>
      </c>
      <c r="G7" s="58" t="s">
        <v>111</v>
      </c>
      <c r="H7" s="56" t="s">
        <v>112</v>
      </c>
      <c r="I7" s="59">
        <v>422</v>
      </c>
      <c r="J7" s="58" t="s">
        <v>111</v>
      </c>
      <c r="K7" s="57" t="s">
        <v>113</v>
      </c>
      <c r="L7" s="56" t="s">
        <v>114</v>
      </c>
      <c r="M7" s="59">
        <f>F7+I7</f>
        <v>642</v>
      </c>
      <c r="N7" s="56" t="s">
        <v>1</v>
      </c>
      <c r="O7" s="58" t="s">
        <v>115</v>
      </c>
      <c r="P7" s="56"/>
      <c r="Q7" s="56"/>
      <c r="R7" s="55"/>
      <c r="S7" s="55"/>
    </row>
    <row r="8" spans="1:21" ht="17.399999999999999" customHeight="1" x14ac:dyDescent="0.2">
      <c r="A8" s="56"/>
      <c r="B8" s="78" t="s">
        <v>128</v>
      </c>
      <c r="C8" s="56"/>
      <c r="D8" s="56"/>
      <c r="E8" s="56"/>
      <c r="F8" s="56"/>
      <c r="G8" s="56"/>
      <c r="H8" s="56"/>
      <c r="I8" s="56"/>
      <c r="J8" s="56"/>
      <c r="K8" s="56"/>
      <c r="L8" s="56"/>
      <c r="M8" s="56"/>
      <c r="N8" s="56"/>
      <c r="O8" s="56"/>
      <c r="P8" s="56"/>
      <c r="Q8" s="56"/>
      <c r="R8" s="56"/>
      <c r="S8" s="56"/>
    </row>
    <row r="9" spans="1:21" ht="18" customHeight="1" x14ac:dyDescent="0.2">
      <c r="A9" s="54" t="s">
        <v>120</v>
      </c>
      <c r="B9" s="56"/>
      <c r="C9" s="56"/>
      <c r="D9" s="56"/>
      <c r="E9" s="56"/>
      <c r="F9" s="56"/>
      <c r="G9" s="56"/>
      <c r="H9" s="56"/>
      <c r="I9" s="56"/>
      <c r="J9" s="56"/>
      <c r="K9" s="56"/>
      <c r="L9" s="56"/>
      <c r="M9" s="56"/>
      <c r="N9" s="56"/>
      <c r="O9" s="56"/>
      <c r="P9" s="56"/>
      <c r="Q9" s="56"/>
      <c r="R9" s="56"/>
      <c r="S9" s="56"/>
    </row>
    <row r="10" spans="1:21" ht="6" customHeight="1" x14ac:dyDescent="0.2">
      <c r="B10" s="3"/>
      <c r="C10" s="3"/>
      <c r="D10" s="3"/>
      <c r="E10" s="3"/>
      <c r="F10" s="3"/>
      <c r="G10" s="3"/>
      <c r="H10" s="3"/>
      <c r="I10" s="3"/>
      <c r="J10" s="3"/>
      <c r="K10" s="3"/>
      <c r="L10" s="3"/>
      <c r="M10" s="3"/>
      <c r="N10" s="3"/>
      <c r="O10" s="3"/>
      <c r="P10" s="3"/>
      <c r="Q10" s="3"/>
      <c r="R10" s="3"/>
      <c r="S10" s="3"/>
    </row>
    <row r="11" spans="1:21" ht="18" customHeight="1" x14ac:dyDescent="0.2">
      <c r="B11" s="152" t="s">
        <v>43</v>
      </c>
      <c r="C11" s="162" t="s">
        <v>78</v>
      </c>
      <c r="D11" s="154" t="s">
        <v>45</v>
      </c>
      <c r="E11" s="156" t="s">
        <v>38</v>
      </c>
      <c r="F11" s="148" t="s">
        <v>126</v>
      </c>
      <c r="G11" s="148"/>
      <c r="H11" s="148" t="s">
        <v>106</v>
      </c>
      <c r="I11" s="148"/>
      <c r="J11" s="148" t="s">
        <v>77</v>
      </c>
      <c r="K11" s="148"/>
      <c r="L11" s="148" t="s">
        <v>46</v>
      </c>
      <c r="M11" s="148"/>
      <c r="N11" s="148" t="s">
        <v>47</v>
      </c>
      <c r="O11" s="148"/>
      <c r="P11" s="148" t="s">
        <v>127</v>
      </c>
      <c r="Q11" s="148"/>
      <c r="R11" s="158" t="s">
        <v>35</v>
      </c>
      <c r="S11" s="160" t="s">
        <v>32</v>
      </c>
      <c r="U11" s="2"/>
    </row>
    <row r="12" spans="1:21" ht="17.100000000000001" customHeight="1" x14ac:dyDescent="0.2">
      <c r="B12" s="153"/>
      <c r="C12" s="163"/>
      <c r="D12" s="155"/>
      <c r="E12" s="157"/>
      <c r="F12" s="79" t="s">
        <v>86</v>
      </c>
      <c r="G12" s="79" t="s">
        <v>29</v>
      </c>
      <c r="H12" s="79" t="s">
        <v>86</v>
      </c>
      <c r="I12" s="79" t="s">
        <v>29</v>
      </c>
      <c r="J12" s="79" t="s">
        <v>86</v>
      </c>
      <c r="K12" s="79" t="s">
        <v>29</v>
      </c>
      <c r="L12" s="79" t="s">
        <v>86</v>
      </c>
      <c r="M12" s="79" t="s">
        <v>29</v>
      </c>
      <c r="N12" s="79" t="s">
        <v>86</v>
      </c>
      <c r="O12" s="79" t="s">
        <v>29</v>
      </c>
      <c r="P12" s="79" t="s">
        <v>86</v>
      </c>
      <c r="Q12" s="80" t="s">
        <v>29</v>
      </c>
      <c r="R12" s="159"/>
      <c r="S12" s="161"/>
      <c r="U12" s="2"/>
    </row>
    <row r="13" spans="1:21" ht="18" customHeight="1" x14ac:dyDescent="0.2">
      <c r="A13" s="6"/>
      <c r="B13" s="48" t="s">
        <v>181</v>
      </c>
      <c r="C13" s="36">
        <v>287</v>
      </c>
      <c r="D13" s="37">
        <v>85</v>
      </c>
      <c r="E13" s="38">
        <v>340</v>
      </c>
      <c r="F13" s="38">
        <v>145</v>
      </c>
      <c r="G13" s="38">
        <v>0</v>
      </c>
      <c r="H13" s="38"/>
      <c r="I13" s="38"/>
      <c r="J13" s="38"/>
      <c r="K13" s="38"/>
      <c r="L13" s="38"/>
      <c r="M13" s="38"/>
      <c r="N13" s="38"/>
      <c r="O13" s="38"/>
      <c r="P13" s="38"/>
      <c r="Q13" s="49"/>
      <c r="R13" s="37">
        <f t="shared" ref="R13:R32" si="0">F13+H13+J13+L13+N13+P13</f>
        <v>145</v>
      </c>
      <c r="S13" s="50">
        <f t="shared" ref="S13:S33" si="1">R13/E13</f>
        <v>0.4264705882352941</v>
      </c>
    </row>
    <row r="14" spans="1:21" ht="18" customHeight="1" x14ac:dyDescent="0.2">
      <c r="A14" s="6"/>
      <c r="B14" s="11" t="s">
        <v>182</v>
      </c>
      <c r="C14" s="39">
        <v>355</v>
      </c>
      <c r="D14" s="40">
        <v>85</v>
      </c>
      <c r="E14" s="41">
        <v>400</v>
      </c>
      <c r="F14" s="42">
        <v>242</v>
      </c>
      <c r="G14" s="42">
        <v>0</v>
      </c>
      <c r="H14" s="42"/>
      <c r="I14" s="42"/>
      <c r="J14" s="42"/>
      <c r="K14" s="42"/>
      <c r="L14" s="42"/>
      <c r="M14" s="42"/>
      <c r="N14" s="42"/>
      <c r="O14" s="42"/>
      <c r="P14" s="42"/>
      <c r="Q14" s="39"/>
      <c r="R14" s="40">
        <f t="shared" si="0"/>
        <v>242</v>
      </c>
      <c r="S14" s="16">
        <f t="shared" si="1"/>
        <v>0.60499999999999998</v>
      </c>
    </row>
    <row r="15" spans="1:21" ht="18" customHeight="1" x14ac:dyDescent="0.2">
      <c r="A15" s="6"/>
      <c r="B15" s="11"/>
      <c r="C15" s="39"/>
      <c r="D15" s="40"/>
      <c r="E15" s="41"/>
      <c r="F15" s="42"/>
      <c r="G15" s="42"/>
      <c r="H15" s="42"/>
      <c r="I15" s="42"/>
      <c r="J15" s="42"/>
      <c r="K15" s="42"/>
      <c r="L15" s="42"/>
      <c r="M15" s="42"/>
      <c r="N15" s="42"/>
      <c r="O15" s="42"/>
      <c r="P15" s="42"/>
      <c r="Q15" s="39"/>
      <c r="R15" s="40">
        <f t="shared" si="0"/>
        <v>0</v>
      </c>
      <c r="S15" s="8" t="e">
        <f t="shared" si="1"/>
        <v>#DIV/0!</v>
      </c>
    </row>
    <row r="16" spans="1:21" ht="18" customHeight="1" x14ac:dyDescent="0.2">
      <c r="A16" s="6"/>
      <c r="B16" s="11"/>
      <c r="C16" s="39"/>
      <c r="D16" s="40"/>
      <c r="E16" s="41"/>
      <c r="F16" s="42"/>
      <c r="G16" s="42"/>
      <c r="H16" s="42"/>
      <c r="I16" s="42"/>
      <c r="J16" s="42"/>
      <c r="K16" s="42"/>
      <c r="L16" s="42"/>
      <c r="M16" s="42"/>
      <c r="N16" s="42"/>
      <c r="O16" s="42"/>
      <c r="P16" s="42"/>
      <c r="Q16" s="39"/>
      <c r="R16" s="40">
        <f t="shared" si="0"/>
        <v>0</v>
      </c>
      <c r="S16" s="8" t="e">
        <f t="shared" si="1"/>
        <v>#DIV/0!</v>
      </c>
    </row>
    <row r="17" spans="1:19" ht="18" customHeight="1" x14ac:dyDescent="0.2">
      <c r="A17" s="6"/>
      <c r="B17" s="11"/>
      <c r="C17" s="39"/>
      <c r="D17" s="40"/>
      <c r="E17" s="41"/>
      <c r="F17" s="42"/>
      <c r="G17" s="42"/>
      <c r="H17" s="42"/>
      <c r="I17" s="42"/>
      <c r="J17" s="42"/>
      <c r="K17" s="42"/>
      <c r="L17" s="42"/>
      <c r="M17" s="42"/>
      <c r="N17" s="42"/>
      <c r="O17" s="42"/>
      <c r="P17" s="42"/>
      <c r="Q17" s="39"/>
      <c r="R17" s="40">
        <f t="shared" si="0"/>
        <v>0</v>
      </c>
      <c r="S17" s="8" t="e">
        <f t="shared" si="1"/>
        <v>#DIV/0!</v>
      </c>
    </row>
    <row r="18" spans="1:19" ht="18" customHeight="1" x14ac:dyDescent="0.2">
      <c r="A18" s="6"/>
      <c r="B18" s="11"/>
      <c r="C18" s="39"/>
      <c r="D18" s="40"/>
      <c r="E18" s="41"/>
      <c r="F18" s="42"/>
      <c r="G18" s="42"/>
      <c r="H18" s="42"/>
      <c r="I18" s="42"/>
      <c r="J18" s="42"/>
      <c r="K18" s="42"/>
      <c r="L18" s="42"/>
      <c r="M18" s="42"/>
      <c r="N18" s="42"/>
      <c r="O18" s="42"/>
      <c r="P18" s="42"/>
      <c r="Q18" s="39"/>
      <c r="R18" s="40">
        <f t="shared" si="0"/>
        <v>0</v>
      </c>
      <c r="S18" s="8" t="e">
        <f t="shared" si="1"/>
        <v>#DIV/0!</v>
      </c>
    </row>
    <row r="19" spans="1:19" ht="18" customHeight="1" x14ac:dyDescent="0.2">
      <c r="A19" s="6"/>
      <c r="B19" s="11"/>
      <c r="C19" s="39"/>
      <c r="D19" s="40"/>
      <c r="E19" s="41"/>
      <c r="F19" s="42"/>
      <c r="G19" s="42"/>
      <c r="H19" s="42"/>
      <c r="I19" s="42"/>
      <c r="J19" s="42"/>
      <c r="K19" s="42"/>
      <c r="L19" s="42"/>
      <c r="M19" s="42"/>
      <c r="N19" s="42"/>
      <c r="O19" s="42"/>
      <c r="P19" s="42"/>
      <c r="Q19" s="39"/>
      <c r="R19" s="40">
        <f t="shared" si="0"/>
        <v>0</v>
      </c>
      <c r="S19" s="8" t="e">
        <f t="shared" si="1"/>
        <v>#DIV/0!</v>
      </c>
    </row>
    <row r="20" spans="1:19" ht="18" customHeight="1" x14ac:dyDescent="0.2">
      <c r="A20" s="6"/>
      <c r="B20" s="11"/>
      <c r="C20" s="39"/>
      <c r="D20" s="40"/>
      <c r="E20" s="41"/>
      <c r="F20" s="42"/>
      <c r="G20" s="42"/>
      <c r="H20" s="42"/>
      <c r="I20" s="42"/>
      <c r="J20" s="42"/>
      <c r="K20" s="42"/>
      <c r="L20" s="42"/>
      <c r="M20" s="42"/>
      <c r="N20" s="42"/>
      <c r="O20" s="42"/>
      <c r="P20" s="42"/>
      <c r="Q20" s="39"/>
      <c r="R20" s="40">
        <f t="shared" si="0"/>
        <v>0</v>
      </c>
      <c r="S20" s="8" t="e">
        <f t="shared" si="1"/>
        <v>#DIV/0!</v>
      </c>
    </row>
    <row r="21" spans="1:19" ht="18" customHeight="1" x14ac:dyDescent="0.2">
      <c r="A21" s="6"/>
      <c r="B21" s="11"/>
      <c r="C21" s="39"/>
      <c r="D21" s="40"/>
      <c r="E21" s="41"/>
      <c r="F21" s="42"/>
      <c r="G21" s="42"/>
      <c r="H21" s="42"/>
      <c r="I21" s="42"/>
      <c r="J21" s="42"/>
      <c r="K21" s="42"/>
      <c r="L21" s="42"/>
      <c r="M21" s="42"/>
      <c r="N21" s="42"/>
      <c r="O21" s="42"/>
      <c r="P21" s="42"/>
      <c r="Q21" s="39"/>
      <c r="R21" s="40">
        <f t="shared" si="0"/>
        <v>0</v>
      </c>
      <c r="S21" s="8" t="e">
        <f t="shared" si="1"/>
        <v>#DIV/0!</v>
      </c>
    </row>
    <row r="22" spans="1:19" ht="18" customHeight="1" x14ac:dyDescent="0.2">
      <c r="A22" s="6"/>
      <c r="B22" s="11"/>
      <c r="C22" s="39"/>
      <c r="D22" s="40"/>
      <c r="E22" s="41"/>
      <c r="F22" s="42"/>
      <c r="G22" s="42"/>
      <c r="H22" s="42"/>
      <c r="I22" s="42"/>
      <c r="J22" s="42"/>
      <c r="K22" s="42"/>
      <c r="L22" s="42"/>
      <c r="M22" s="42"/>
      <c r="N22" s="42"/>
      <c r="O22" s="42"/>
      <c r="P22" s="42"/>
      <c r="Q22" s="39"/>
      <c r="R22" s="40">
        <f t="shared" si="0"/>
        <v>0</v>
      </c>
      <c r="S22" s="8" t="e">
        <f t="shared" si="1"/>
        <v>#DIV/0!</v>
      </c>
    </row>
    <row r="23" spans="1:19" ht="18" customHeight="1" x14ac:dyDescent="0.2">
      <c r="A23" s="6"/>
      <c r="B23" s="11"/>
      <c r="C23" s="39"/>
      <c r="D23" s="40"/>
      <c r="E23" s="41"/>
      <c r="F23" s="42"/>
      <c r="G23" s="42"/>
      <c r="H23" s="42"/>
      <c r="I23" s="42"/>
      <c r="J23" s="42"/>
      <c r="K23" s="42"/>
      <c r="L23" s="42"/>
      <c r="M23" s="42"/>
      <c r="N23" s="42"/>
      <c r="O23" s="42"/>
      <c r="P23" s="42"/>
      <c r="Q23" s="39"/>
      <c r="R23" s="40">
        <f t="shared" si="0"/>
        <v>0</v>
      </c>
      <c r="S23" s="8" t="e">
        <f t="shared" si="1"/>
        <v>#DIV/0!</v>
      </c>
    </row>
    <row r="24" spans="1:19" ht="18" customHeight="1" x14ac:dyDescent="0.2">
      <c r="A24" s="6"/>
      <c r="B24" s="11"/>
      <c r="C24" s="39"/>
      <c r="D24" s="40"/>
      <c r="E24" s="41"/>
      <c r="F24" s="42"/>
      <c r="G24" s="42"/>
      <c r="H24" s="42"/>
      <c r="I24" s="42"/>
      <c r="J24" s="42"/>
      <c r="K24" s="42"/>
      <c r="L24" s="42"/>
      <c r="M24" s="42"/>
      <c r="N24" s="42"/>
      <c r="O24" s="42"/>
      <c r="P24" s="42"/>
      <c r="Q24" s="39"/>
      <c r="R24" s="40">
        <f t="shared" si="0"/>
        <v>0</v>
      </c>
      <c r="S24" s="8" t="e">
        <f t="shared" si="1"/>
        <v>#DIV/0!</v>
      </c>
    </row>
    <row r="25" spans="1:19" ht="18" customHeight="1" x14ac:dyDescent="0.2">
      <c r="A25" s="6"/>
      <c r="B25" s="11"/>
      <c r="C25" s="39"/>
      <c r="D25" s="40"/>
      <c r="E25" s="41"/>
      <c r="F25" s="42"/>
      <c r="G25" s="42"/>
      <c r="H25" s="42"/>
      <c r="I25" s="42"/>
      <c r="J25" s="42"/>
      <c r="K25" s="42"/>
      <c r="L25" s="42"/>
      <c r="M25" s="42"/>
      <c r="N25" s="42"/>
      <c r="O25" s="42"/>
      <c r="P25" s="42"/>
      <c r="Q25" s="39"/>
      <c r="R25" s="40">
        <f t="shared" si="0"/>
        <v>0</v>
      </c>
      <c r="S25" s="8" t="e">
        <f t="shared" si="1"/>
        <v>#DIV/0!</v>
      </c>
    </row>
    <row r="26" spans="1:19" ht="18" customHeight="1" x14ac:dyDescent="0.2">
      <c r="A26" s="6"/>
      <c r="B26" s="11"/>
      <c r="C26" s="39"/>
      <c r="D26" s="40"/>
      <c r="E26" s="41"/>
      <c r="F26" s="42"/>
      <c r="G26" s="42"/>
      <c r="H26" s="42"/>
      <c r="I26" s="42"/>
      <c r="J26" s="42"/>
      <c r="K26" s="42"/>
      <c r="L26" s="42"/>
      <c r="M26" s="42"/>
      <c r="N26" s="42"/>
      <c r="O26" s="42"/>
      <c r="P26" s="42"/>
      <c r="Q26" s="39"/>
      <c r="R26" s="40">
        <f t="shared" si="0"/>
        <v>0</v>
      </c>
      <c r="S26" s="8" t="e">
        <f t="shared" si="1"/>
        <v>#DIV/0!</v>
      </c>
    </row>
    <row r="27" spans="1:19" ht="18" customHeight="1" x14ac:dyDescent="0.2">
      <c r="A27" s="6"/>
      <c r="B27" s="11"/>
      <c r="C27" s="39"/>
      <c r="D27" s="40"/>
      <c r="E27" s="41"/>
      <c r="F27" s="42"/>
      <c r="G27" s="42"/>
      <c r="H27" s="42"/>
      <c r="I27" s="42"/>
      <c r="J27" s="42"/>
      <c r="K27" s="42"/>
      <c r="L27" s="42"/>
      <c r="M27" s="42"/>
      <c r="N27" s="42"/>
      <c r="O27" s="42"/>
      <c r="P27" s="42"/>
      <c r="Q27" s="39"/>
      <c r="R27" s="40">
        <f t="shared" si="0"/>
        <v>0</v>
      </c>
      <c r="S27" s="8" t="e">
        <f t="shared" si="1"/>
        <v>#DIV/0!</v>
      </c>
    </row>
    <row r="28" spans="1:19" ht="18" customHeight="1" x14ac:dyDescent="0.2">
      <c r="A28" s="6"/>
      <c r="B28" s="11"/>
      <c r="C28" s="39"/>
      <c r="D28" s="40"/>
      <c r="E28" s="41"/>
      <c r="F28" s="42"/>
      <c r="G28" s="42"/>
      <c r="H28" s="42"/>
      <c r="I28" s="42"/>
      <c r="J28" s="42"/>
      <c r="K28" s="42"/>
      <c r="L28" s="42"/>
      <c r="M28" s="42"/>
      <c r="N28" s="42"/>
      <c r="O28" s="42"/>
      <c r="P28" s="42"/>
      <c r="Q28" s="39"/>
      <c r="R28" s="40">
        <f t="shared" si="0"/>
        <v>0</v>
      </c>
      <c r="S28" s="8" t="e">
        <f t="shared" si="1"/>
        <v>#DIV/0!</v>
      </c>
    </row>
    <row r="29" spans="1:19" ht="18" customHeight="1" x14ac:dyDescent="0.2">
      <c r="A29" s="6"/>
      <c r="B29" s="11"/>
      <c r="C29" s="39"/>
      <c r="D29" s="40"/>
      <c r="E29" s="41"/>
      <c r="F29" s="42"/>
      <c r="G29" s="42"/>
      <c r="H29" s="42"/>
      <c r="I29" s="42"/>
      <c r="J29" s="42"/>
      <c r="K29" s="42"/>
      <c r="L29" s="42"/>
      <c r="M29" s="42"/>
      <c r="N29" s="42"/>
      <c r="O29" s="42"/>
      <c r="P29" s="42"/>
      <c r="Q29" s="39"/>
      <c r="R29" s="40">
        <f t="shared" si="0"/>
        <v>0</v>
      </c>
      <c r="S29" s="8" t="e">
        <f t="shared" si="1"/>
        <v>#DIV/0!</v>
      </c>
    </row>
    <row r="30" spans="1:19" ht="18" customHeight="1" x14ac:dyDescent="0.2">
      <c r="A30" s="6"/>
      <c r="B30" s="11"/>
      <c r="C30" s="39"/>
      <c r="D30" s="43"/>
      <c r="E30" s="41"/>
      <c r="F30" s="42"/>
      <c r="G30" s="42"/>
      <c r="H30" s="42"/>
      <c r="I30" s="42"/>
      <c r="J30" s="42"/>
      <c r="K30" s="42"/>
      <c r="L30" s="42"/>
      <c r="M30" s="42"/>
      <c r="N30" s="42"/>
      <c r="O30" s="42"/>
      <c r="P30" s="42"/>
      <c r="Q30" s="39"/>
      <c r="R30" s="43">
        <f t="shared" si="0"/>
        <v>0</v>
      </c>
      <c r="S30" s="8" t="e">
        <f t="shared" si="1"/>
        <v>#DIV/0!</v>
      </c>
    </row>
    <row r="31" spans="1:19" ht="18" customHeight="1" x14ac:dyDescent="0.2">
      <c r="A31" s="6"/>
      <c r="B31" s="11"/>
      <c r="C31" s="39"/>
      <c r="D31" s="43"/>
      <c r="E31" s="41"/>
      <c r="F31" s="42"/>
      <c r="G31" s="42"/>
      <c r="H31" s="42"/>
      <c r="I31" s="42"/>
      <c r="J31" s="42"/>
      <c r="K31" s="42"/>
      <c r="L31" s="42"/>
      <c r="M31" s="42"/>
      <c r="N31" s="42"/>
      <c r="O31" s="42"/>
      <c r="P31" s="42"/>
      <c r="Q31" s="39"/>
      <c r="R31" s="43">
        <f t="shared" si="0"/>
        <v>0</v>
      </c>
      <c r="S31" s="8" t="e">
        <f t="shared" si="1"/>
        <v>#DIV/0!</v>
      </c>
    </row>
    <row r="32" spans="1:19" ht="18" customHeight="1" thickBot="1" x14ac:dyDescent="0.25">
      <c r="A32" s="6"/>
      <c r="B32" s="12"/>
      <c r="C32" s="36"/>
      <c r="D32" s="44"/>
      <c r="E32" s="38"/>
      <c r="F32" s="38"/>
      <c r="G32" s="38"/>
      <c r="H32" s="38"/>
      <c r="I32" s="38"/>
      <c r="J32" s="38"/>
      <c r="K32" s="38"/>
      <c r="L32" s="38"/>
      <c r="M32" s="38"/>
      <c r="N32" s="38"/>
      <c r="O32" s="38"/>
      <c r="P32" s="38"/>
      <c r="Q32" s="39"/>
      <c r="R32" s="44">
        <f t="shared" si="0"/>
        <v>0</v>
      </c>
      <c r="S32" s="7" t="e">
        <f t="shared" si="1"/>
        <v>#DIV/0!</v>
      </c>
    </row>
    <row r="33" spans="2:19" ht="18" customHeight="1" thickTop="1" x14ac:dyDescent="0.2">
      <c r="B33" s="13" t="s">
        <v>33</v>
      </c>
      <c r="C33" s="45">
        <f t="shared" ref="C33" si="2">SUM(C13:C32)</f>
        <v>642</v>
      </c>
      <c r="D33" s="46">
        <f t="shared" ref="D33:R33" si="3">SUM(D13:D32)</f>
        <v>170</v>
      </c>
      <c r="E33" s="47">
        <f t="shared" si="3"/>
        <v>740</v>
      </c>
      <c r="F33" s="47">
        <f t="shared" si="3"/>
        <v>387</v>
      </c>
      <c r="G33" s="47">
        <f t="shared" ref="G33:H33" si="4">SUM(G13:G32)</f>
        <v>0</v>
      </c>
      <c r="H33" s="47">
        <f t="shared" si="4"/>
        <v>0</v>
      </c>
      <c r="I33" s="47">
        <f t="shared" ref="I33:J33" si="5">SUM(I13:I32)</f>
        <v>0</v>
      </c>
      <c r="J33" s="47">
        <f t="shared" si="5"/>
        <v>0</v>
      </c>
      <c r="K33" s="47">
        <f t="shared" ref="K33:O33" si="6">SUM(K13:K32)</f>
        <v>0</v>
      </c>
      <c r="L33" s="47">
        <f t="shared" si="6"/>
        <v>0</v>
      </c>
      <c r="M33" s="47">
        <f t="shared" si="6"/>
        <v>0</v>
      </c>
      <c r="N33" s="47">
        <f t="shared" si="6"/>
        <v>0</v>
      </c>
      <c r="O33" s="47">
        <f t="shared" si="6"/>
        <v>0</v>
      </c>
      <c r="P33" s="47">
        <f t="shared" ref="P33:Q33" si="7">SUM(P13:P32)</f>
        <v>0</v>
      </c>
      <c r="Q33" s="45">
        <f t="shared" si="7"/>
        <v>0</v>
      </c>
      <c r="R33" s="46">
        <f t="shared" si="3"/>
        <v>387</v>
      </c>
      <c r="S33" s="9">
        <f t="shared" si="1"/>
        <v>0.52297297297297296</v>
      </c>
    </row>
  </sheetData>
  <mergeCells count="15">
    <mergeCell ref="H11:I11"/>
    <mergeCell ref="J11:K11"/>
    <mergeCell ref="Q2:S2"/>
    <mergeCell ref="L11:M11"/>
    <mergeCell ref="A3:S3"/>
    <mergeCell ref="C5:D5"/>
    <mergeCell ref="B11:B12"/>
    <mergeCell ref="D11:D12"/>
    <mergeCell ref="E11:E12"/>
    <mergeCell ref="F11:G11"/>
    <mergeCell ref="R11:R12"/>
    <mergeCell ref="S11:S12"/>
    <mergeCell ref="C11:C12"/>
    <mergeCell ref="N11:O11"/>
    <mergeCell ref="P11:Q11"/>
  </mergeCells>
  <phoneticPr fontId="1"/>
  <conditionalFormatting sqref="C5:D7">
    <cfRule type="cellIs" priority="1" operator="equal">
      <formula>0</formula>
    </cfRule>
  </conditionalFormatting>
  <printOptions horizontalCentered="1"/>
  <pageMargins left="0.78740157480314965" right="0.78740157480314965" top="0.78740157480314965" bottom="0.59055118110236227" header="0.31496062992125984" footer="0.31496062992125984"/>
  <pageSetup paperSize="9" scale="95" orientation="landscape" r:id="rId1"/>
  <headerFooter>
    <oddHeader>&amp;C数理・データサイエンス・AI教育プログラム認定制度【リテラシーレベル】</oddHead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3AE0C7-83C6-4345-921C-F61EEA09E522}">
  <sheetPr>
    <pageSetUpPr fitToPage="1"/>
  </sheetPr>
  <dimension ref="A1:O134"/>
  <sheetViews>
    <sheetView showZeros="0" tabSelected="1" view="pageBreakPreview" zoomScaleNormal="100" zoomScaleSheetLayoutView="100" workbookViewId="0">
      <selection activeCell="E18" sqref="E18"/>
    </sheetView>
  </sheetViews>
  <sheetFormatPr defaultColWidth="11.33203125" defaultRowHeight="18.75" customHeight="1" x14ac:dyDescent="0.2"/>
  <cols>
    <col min="1" max="1" width="2.6640625" style="20" customWidth="1"/>
    <col min="2" max="2" width="16.6640625" style="1" customWidth="1"/>
    <col min="3" max="3" width="8.88671875" style="1" customWidth="1"/>
    <col min="4" max="4" width="2.109375" style="1" customWidth="1"/>
    <col min="5" max="5" width="16.6640625" style="1" customWidth="1"/>
    <col min="6" max="6" width="4.33203125" style="1" customWidth="1"/>
    <col min="7" max="7" width="9" style="1" customWidth="1"/>
    <col min="8" max="8" width="16.6640625" style="1" customWidth="1"/>
    <col min="9" max="9" width="12.109375" style="1" customWidth="1"/>
    <col min="10" max="16384" width="11.33203125" style="1"/>
  </cols>
  <sheetData>
    <row r="1" spans="1:9" ht="18.75" customHeight="1" x14ac:dyDescent="0.2">
      <c r="A1" s="20" t="s">
        <v>59</v>
      </c>
      <c r="I1" s="18" t="s">
        <v>91</v>
      </c>
    </row>
    <row r="2" spans="1:9" ht="18.75" customHeight="1" x14ac:dyDescent="0.2">
      <c r="G2" s="18" t="s">
        <v>93</v>
      </c>
      <c r="H2" s="96" t="str">
        <f>'様式１　プログラムを構成する授業科目'!C2</f>
        <v>長崎外国語大学</v>
      </c>
      <c r="I2" s="98"/>
    </row>
    <row r="3" spans="1:9" ht="18.75" customHeight="1" x14ac:dyDescent="0.2">
      <c r="G3" s="18"/>
      <c r="H3" s="10"/>
      <c r="I3" s="10"/>
    </row>
    <row r="4" spans="1:9" ht="18.600000000000001" customHeight="1" x14ac:dyDescent="0.2">
      <c r="A4" s="107" t="s">
        <v>36</v>
      </c>
      <c r="B4" s="107"/>
      <c r="C4" s="107"/>
      <c r="D4" s="107"/>
      <c r="E4" s="107"/>
      <c r="F4" s="107"/>
      <c r="G4" s="107"/>
      <c r="H4" s="107"/>
      <c r="I4" s="107"/>
    </row>
    <row r="5" spans="1:9" ht="13.35" customHeight="1" x14ac:dyDescent="0.2">
      <c r="B5" s="3"/>
      <c r="C5" s="3"/>
      <c r="D5" s="3"/>
      <c r="E5" s="3"/>
      <c r="F5" s="3"/>
      <c r="G5" s="3"/>
      <c r="H5" s="3"/>
      <c r="I5" s="3"/>
    </row>
    <row r="6" spans="1:9" ht="18" customHeight="1" x14ac:dyDescent="0.2">
      <c r="A6" s="1" t="s">
        <v>0</v>
      </c>
      <c r="B6" s="10" t="s">
        <v>81</v>
      </c>
      <c r="C6" s="184" t="s">
        <v>82</v>
      </c>
      <c r="D6" s="184"/>
      <c r="E6" s="17">
        <v>40</v>
      </c>
      <c r="F6" s="3" t="s">
        <v>1</v>
      </c>
      <c r="G6" s="3" t="s">
        <v>2</v>
      </c>
      <c r="H6" s="17">
        <v>76</v>
      </c>
      <c r="I6" s="10" t="s">
        <v>1</v>
      </c>
    </row>
    <row r="7" spans="1:9" ht="12" customHeight="1" x14ac:dyDescent="0.2">
      <c r="C7" s="2"/>
      <c r="D7" s="2"/>
      <c r="E7" s="2"/>
      <c r="F7" s="2"/>
      <c r="G7" s="2"/>
      <c r="H7" s="2"/>
      <c r="I7" s="21"/>
    </row>
    <row r="8" spans="1:9" ht="18" customHeight="1" x14ac:dyDescent="0.2">
      <c r="A8" s="1" t="s">
        <v>3</v>
      </c>
      <c r="B8" s="10" t="s">
        <v>83</v>
      </c>
      <c r="E8" s="3"/>
      <c r="F8" s="3"/>
      <c r="G8" s="3"/>
      <c r="H8" s="17">
        <v>11</v>
      </c>
      <c r="I8" s="10" t="s">
        <v>1</v>
      </c>
    </row>
    <row r="9" spans="1:9" ht="9" customHeight="1" x14ac:dyDescent="0.2">
      <c r="B9" s="3"/>
      <c r="C9" s="3"/>
      <c r="D9" s="3"/>
      <c r="E9" s="3"/>
      <c r="F9" s="3"/>
      <c r="G9" s="3"/>
      <c r="H9" s="3"/>
      <c r="I9" s="3"/>
    </row>
    <row r="10" spans="1:9" ht="18" customHeight="1" x14ac:dyDescent="0.2">
      <c r="A10" s="1" t="s">
        <v>4</v>
      </c>
      <c r="B10" s="10" t="s">
        <v>84</v>
      </c>
      <c r="C10" s="3"/>
      <c r="D10" s="3"/>
      <c r="E10" s="3"/>
      <c r="F10" s="3"/>
      <c r="G10" s="3"/>
      <c r="H10" s="3"/>
      <c r="I10" s="3"/>
    </row>
    <row r="11" spans="1:9" ht="18" customHeight="1" x14ac:dyDescent="0.2">
      <c r="B11" s="18" t="s">
        <v>41</v>
      </c>
      <c r="C11" s="179" t="s">
        <v>177</v>
      </c>
      <c r="D11" s="182"/>
      <c r="E11" s="183"/>
      <c r="F11" s="21"/>
      <c r="G11" s="18" t="s">
        <v>10</v>
      </c>
      <c r="H11" s="179" t="s">
        <v>178</v>
      </c>
      <c r="I11" s="183"/>
    </row>
    <row r="12" spans="1:9" ht="10.35" customHeight="1" x14ac:dyDescent="0.2">
      <c r="B12" s="18"/>
      <c r="C12" s="10"/>
      <c r="D12" s="21"/>
      <c r="E12" s="21"/>
      <c r="F12" s="21"/>
      <c r="G12" s="18"/>
      <c r="H12" s="10"/>
      <c r="I12" s="21"/>
    </row>
    <row r="13" spans="1:9" ht="18" customHeight="1" x14ac:dyDescent="0.2">
      <c r="A13" s="1" t="s">
        <v>7</v>
      </c>
      <c r="B13" s="10" t="s">
        <v>79</v>
      </c>
      <c r="C13" s="3"/>
      <c r="D13" s="3"/>
      <c r="E13" s="3"/>
      <c r="F13" s="3"/>
      <c r="G13" s="3"/>
      <c r="H13" s="3"/>
      <c r="I13" s="3"/>
    </row>
    <row r="14" spans="1:9" ht="18" customHeight="1" x14ac:dyDescent="0.2">
      <c r="B14" s="179" t="s">
        <v>148</v>
      </c>
      <c r="C14" s="180"/>
      <c r="D14" s="180"/>
      <c r="E14" s="180"/>
      <c r="F14" s="180"/>
      <c r="G14" s="180"/>
      <c r="H14" s="180"/>
      <c r="I14" s="181"/>
    </row>
    <row r="15" spans="1:9" ht="9" customHeight="1" x14ac:dyDescent="0.2">
      <c r="B15" s="3"/>
      <c r="C15" s="3"/>
      <c r="D15" s="3"/>
      <c r="E15" s="3"/>
      <c r="F15" s="3"/>
      <c r="G15" s="3"/>
      <c r="H15" s="3"/>
      <c r="I15" s="3"/>
    </row>
    <row r="16" spans="1:9" ht="18" customHeight="1" x14ac:dyDescent="0.2">
      <c r="B16" s="18" t="s">
        <v>41</v>
      </c>
      <c r="C16" s="179" t="s">
        <v>149</v>
      </c>
      <c r="D16" s="182"/>
      <c r="E16" s="183"/>
      <c r="F16" s="21"/>
      <c r="G16" s="18" t="s">
        <v>10</v>
      </c>
      <c r="H16" s="179" t="s">
        <v>150</v>
      </c>
      <c r="I16" s="183"/>
    </row>
    <row r="17" spans="1:9" ht="18" customHeight="1" x14ac:dyDescent="0.2">
      <c r="B17" s="3"/>
      <c r="C17" s="3"/>
      <c r="D17" s="3"/>
      <c r="E17" s="3"/>
      <c r="F17" s="3"/>
      <c r="G17" s="3"/>
      <c r="H17" s="3"/>
      <c r="I17" s="3"/>
    </row>
    <row r="18" spans="1:9" ht="18.75" customHeight="1" x14ac:dyDescent="0.2">
      <c r="A18" s="1" t="s">
        <v>5</v>
      </c>
      <c r="B18" s="1" t="s">
        <v>40</v>
      </c>
      <c r="I18" s="3"/>
    </row>
    <row r="19" spans="1:9" ht="18.75" customHeight="1" x14ac:dyDescent="0.2">
      <c r="A19" s="1"/>
      <c r="B19" s="165" t="s">
        <v>195</v>
      </c>
      <c r="C19" s="166"/>
      <c r="D19" s="166"/>
      <c r="E19" s="166"/>
      <c r="F19" s="166"/>
      <c r="G19" s="166"/>
      <c r="H19" s="166"/>
      <c r="I19" s="167"/>
    </row>
    <row r="20" spans="1:9" ht="7.5" customHeight="1" x14ac:dyDescent="0.2">
      <c r="B20" s="3"/>
      <c r="C20" s="3"/>
      <c r="D20" s="3"/>
      <c r="E20" s="3"/>
      <c r="F20" s="3"/>
      <c r="G20" s="3"/>
      <c r="H20" s="3"/>
      <c r="I20" s="3"/>
    </row>
    <row r="21" spans="1:9" ht="18.75" customHeight="1" x14ac:dyDescent="0.2">
      <c r="A21" s="1" t="s">
        <v>8</v>
      </c>
      <c r="B21" s="1" t="s">
        <v>25</v>
      </c>
    </row>
    <row r="22" spans="1:9" ht="18.75" customHeight="1" x14ac:dyDescent="0.2">
      <c r="A22" s="14"/>
      <c r="B22" s="168" t="s">
        <v>151</v>
      </c>
      <c r="C22" s="169"/>
      <c r="D22" s="169"/>
      <c r="E22" s="169"/>
      <c r="F22" s="169"/>
      <c r="G22" s="169"/>
      <c r="H22" s="169"/>
      <c r="I22" s="170"/>
    </row>
    <row r="23" spans="1:9" ht="18.75" customHeight="1" x14ac:dyDescent="0.2">
      <c r="A23" s="14"/>
      <c r="B23" s="171"/>
      <c r="C23" s="172"/>
      <c r="D23" s="172"/>
      <c r="E23" s="172"/>
      <c r="F23" s="172"/>
      <c r="G23" s="172"/>
      <c r="H23" s="172"/>
      <c r="I23" s="173"/>
    </row>
    <row r="24" spans="1:9" ht="18.75" customHeight="1" x14ac:dyDescent="0.2">
      <c r="A24" s="14"/>
      <c r="B24" s="171"/>
      <c r="C24" s="172"/>
      <c r="D24" s="172"/>
      <c r="E24" s="172"/>
      <c r="F24" s="172"/>
      <c r="G24" s="172"/>
      <c r="H24" s="172"/>
      <c r="I24" s="173"/>
    </row>
    <row r="25" spans="1:9" ht="18.75" customHeight="1" x14ac:dyDescent="0.2">
      <c r="A25" s="14"/>
      <c r="B25" s="171"/>
      <c r="C25" s="172"/>
      <c r="D25" s="172"/>
      <c r="E25" s="172"/>
      <c r="F25" s="172"/>
      <c r="G25" s="172"/>
      <c r="H25" s="172"/>
      <c r="I25" s="173"/>
    </row>
    <row r="26" spans="1:9" ht="18.75" customHeight="1" x14ac:dyDescent="0.2">
      <c r="A26" s="14"/>
      <c r="B26" s="171"/>
      <c r="C26" s="172"/>
      <c r="D26" s="172"/>
      <c r="E26" s="172"/>
      <c r="F26" s="172"/>
      <c r="G26" s="172"/>
      <c r="H26" s="172"/>
      <c r="I26" s="173"/>
    </row>
    <row r="27" spans="1:9" ht="18.75" customHeight="1" x14ac:dyDescent="0.2">
      <c r="A27" s="14"/>
      <c r="B27" s="171"/>
      <c r="C27" s="172"/>
      <c r="D27" s="172"/>
      <c r="E27" s="172"/>
      <c r="F27" s="172"/>
      <c r="G27" s="172"/>
      <c r="H27" s="172"/>
      <c r="I27" s="173"/>
    </row>
    <row r="28" spans="1:9" ht="18.75" customHeight="1" x14ac:dyDescent="0.2">
      <c r="A28" s="14"/>
      <c r="B28" s="171"/>
      <c r="C28" s="172"/>
      <c r="D28" s="172"/>
      <c r="E28" s="172"/>
      <c r="F28" s="172"/>
      <c r="G28" s="172"/>
      <c r="H28" s="172"/>
      <c r="I28" s="173"/>
    </row>
    <row r="29" spans="1:9" ht="18.75" customHeight="1" x14ac:dyDescent="0.2">
      <c r="A29" s="14"/>
      <c r="B29" s="171"/>
      <c r="C29" s="172"/>
      <c r="D29" s="172"/>
      <c r="E29" s="172"/>
      <c r="F29" s="172"/>
      <c r="G29" s="172"/>
      <c r="H29" s="172"/>
      <c r="I29" s="173"/>
    </row>
    <row r="30" spans="1:9" ht="18.75" customHeight="1" x14ac:dyDescent="0.2">
      <c r="A30" s="14"/>
      <c r="B30" s="174"/>
      <c r="C30" s="175"/>
      <c r="D30" s="175"/>
      <c r="E30" s="175"/>
      <c r="F30" s="175"/>
      <c r="G30" s="175"/>
      <c r="H30" s="175"/>
      <c r="I30" s="173"/>
    </row>
    <row r="31" spans="1:9" ht="18.75" customHeight="1" x14ac:dyDescent="0.2">
      <c r="A31" s="14"/>
      <c r="B31" s="174"/>
      <c r="C31" s="175"/>
      <c r="D31" s="175"/>
      <c r="E31" s="175"/>
      <c r="F31" s="175"/>
      <c r="G31" s="175"/>
      <c r="H31" s="175"/>
      <c r="I31" s="173"/>
    </row>
    <row r="32" spans="1:9" ht="18.75" customHeight="1" x14ac:dyDescent="0.2">
      <c r="A32" s="14"/>
      <c r="B32" s="176"/>
      <c r="C32" s="177"/>
      <c r="D32" s="177"/>
      <c r="E32" s="177"/>
      <c r="F32" s="177"/>
      <c r="G32" s="177"/>
      <c r="H32" s="177"/>
      <c r="I32" s="178"/>
    </row>
    <row r="33" spans="1:9" ht="7.5" customHeight="1" x14ac:dyDescent="0.2">
      <c r="A33" s="14"/>
      <c r="B33" s="14"/>
      <c r="C33" s="14"/>
      <c r="D33" s="14"/>
      <c r="E33" s="14"/>
      <c r="F33" s="14"/>
      <c r="G33" s="14"/>
      <c r="H33" s="14"/>
      <c r="I33" s="14"/>
    </row>
    <row r="34" spans="1:9" ht="18.75" customHeight="1" x14ac:dyDescent="0.2">
      <c r="A34" s="15" t="s">
        <v>6</v>
      </c>
      <c r="B34" s="15" t="s">
        <v>9</v>
      </c>
      <c r="C34" s="10"/>
      <c r="D34" s="15"/>
      <c r="E34" s="15"/>
      <c r="F34" s="15"/>
      <c r="G34" s="15"/>
      <c r="H34" s="15"/>
      <c r="I34" s="15"/>
    </row>
    <row r="35" spans="1:9" ht="18.75" customHeight="1" x14ac:dyDescent="0.2">
      <c r="A35" s="14"/>
      <c r="B35" s="168" t="s">
        <v>152</v>
      </c>
      <c r="C35" s="169"/>
      <c r="D35" s="169"/>
      <c r="E35" s="169"/>
      <c r="F35" s="169"/>
      <c r="G35" s="169"/>
      <c r="H35" s="169"/>
      <c r="I35" s="170"/>
    </row>
    <row r="36" spans="1:9" ht="18.75" customHeight="1" x14ac:dyDescent="0.2">
      <c r="A36" s="14"/>
      <c r="B36" s="174"/>
      <c r="C36" s="175"/>
      <c r="D36" s="175"/>
      <c r="E36" s="175"/>
      <c r="F36" s="175"/>
      <c r="G36" s="175"/>
      <c r="H36" s="175"/>
      <c r="I36" s="173"/>
    </row>
    <row r="37" spans="1:9" ht="18.75" customHeight="1" x14ac:dyDescent="0.2">
      <c r="A37" s="14"/>
      <c r="B37" s="174"/>
      <c r="C37" s="175"/>
      <c r="D37" s="175"/>
      <c r="E37" s="175"/>
      <c r="F37" s="175"/>
      <c r="G37" s="175"/>
      <c r="H37" s="175"/>
      <c r="I37" s="173"/>
    </row>
    <row r="38" spans="1:9" ht="18.75" customHeight="1" x14ac:dyDescent="0.2">
      <c r="A38" s="14"/>
      <c r="B38" s="174"/>
      <c r="C38" s="175"/>
      <c r="D38" s="175"/>
      <c r="E38" s="175"/>
      <c r="F38" s="175"/>
      <c r="G38" s="175"/>
      <c r="H38" s="175"/>
      <c r="I38" s="173"/>
    </row>
    <row r="39" spans="1:9" ht="18.75" customHeight="1" x14ac:dyDescent="0.2">
      <c r="A39" s="14"/>
      <c r="B39" s="174"/>
      <c r="C39" s="175"/>
      <c r="D39" s="175"/>
      <c r="E39" s="175"/>
      <c r="F39" s="175"/>
      <c r="G39" s="175"/>
      <c r="H39" s="175"/>
      <c r="I39" s="173"/>
    </row>
    <row r="40" spans="1:9" ht="18.75" customHeight="1" x14ac:dyDescent="0.2">
      <c r="A40" s="14"/>
      <c r="B40" s="174"/>
      <c r="C40" s="175"/>
      <c r="D40" s="175"/>
      <c r="E40" s="175"/>
      <c r="F40" s="175"/>
      <c r="G40" s="175"/>
      <c r="H40" s="175"/>
      <c r="I40" s="173"/>
    </row>
    <row r="41" spans="1:9" ht="18.75" customHeight="1" x14ac:dyDescent="0.2">
      <c r="A41" s="14"/>
      <c r="B41" s="174"/>
      <c r="C41" s="175"/>
      <c r="D41" s="175"/>
      <c r="E41" s="175"/>
      <c r="F41" s="175"/>
      <c r="G41" s="175"/>
      <c r="H41" s="175"/>
      <c r="I41" s="173"/>
    </row>
    <row r="42" spans="1:9" ht="18.75" customHeight="1" x14ac:dyDescent="0.2">
      <c r="A42" s="14"/>
      <c r="B42" s="174"/>
      <c r="C42" s="175"/>
      <c r="D42" s="175"/>
      <c r="E42" s="175"/>
      <c r="F42" s="175"/>
      <c r="G42" s="175"/>
      <c r="H42" s="175"/>
      <c r="I42" s="173"/>
    </row>
    <row r="43" spans="1:9" ht="18.75" customHeight="1" x14ac:dyDescent="0.2">
      <c r="A43" s="14"/>
      <c r="B43" s="174"/>
      <c r="C43" s="175"/>
      <c r="D43" s="175"/>
      <c r="E43" s="175"/>
      <c r="F43" s="175"/>
      <c r="G43" s="175"/>
      <c r="H43" s="175"/>
      <c r="I43" s="173"/>
    </row>
    <row r="44" spans="1:9" ht="18.75" customHeight="1" x14ac:dyDescent="0.2">
      <c r="A44" s="14"/>
      <c r="B44" s="174"/>
      <c r="C44" s="175"/>
      <c r="D44" s="175"/>
      <c r="E44" s="175"/>
      <c r="F44" s="175"/>
      <c r="G44" s="175"/>
      <c r="H44" s="175"/>
      <c r="I44" s="173"/>
    </row>
    <row r="45" spans="1:9" ht="18.75" customHeight="1" x14ac:dyDescent="0.2">
      <c r="A45" s="14"/>
      <c r="B45" s="174"/>
      <c r="C45" s="175"/>
      <c r="D45" s="175"/>
      <c r="E45" s="175"/>
      <c r="F45" s="175"/>
      <c r="G45" s="175"/>
      <c r="H45" s="175"/>
      <c r="I45" s="173"/>
    </row>
    <row r="46" spans="1:9" ht="18.75" customHeight="1" x14ac:dyDescent="0.2">
      <c r="A46" s="14"/>
      <c r="B46" s="176"/>
      <c r="C46" s="177"/>
      <c r="D46" s="177"/>
      <c r="E46" s="177"/>
      <c r="F46" s="177"/>
      <c r="G46" s="177"/>
      <c r="H46" s="177"/>
      <c r="I46" s="178"/>
    </row>
    <row r="47" spans="1:9" ht="7.5" customHeight="1" x14ac:dyDescent="0.2">
      <c r="A47" s="4"/>
      <c r="B47" s="4"/>
      <c r="C47" s="4"/>
      <c r="D47" s="4"/>
      <c r="E47" s="4"/>
      <c r="F47" s="4"/>
      <c r="G47" s="4"/>
      <c r="H47" s="4"/>
      <c r="I47" s="4"/>
    </row>
    <row r="48" spans="1:9" ht="18.75" customHeight="1" x14ac:dyDescent="0.2">
      <c r="A48" s="1" t="s">
        <v>31</v>
      </c>
      <c r="B48" s="1" t="s">
        <v>105</v>
      </c>
    </row>
    <row r="49" spans="1:15" s="3" customFormat="1" ht="18.75" customHeight="1" x14ac:dyDescent="0.2">
      <c r="B49" s="81" t="s">
        <v>129</v>
      </c>
      <c r="C49" s="206">
        <f>'様式２ 履修者等数の実績'!S33</f>
        <v>0.52297297297297296</v>
      </c>
      <c r="D49" s="206"/>
      <c r="E49" s="81" t="s">
        <v>60</v>
      </c>
      <c r="F49" s="206">
        <v>0.75</v>
      </c>
      <c r="G49" s="206"/>
      <c r="H49" s="81" t="s">
        <v>80</v>
      </c>
      <c r="I49" s="22">
        <v>0.8</v>
      </c>
      <c r="J49" s="1"/>
      <c r="M49" s="1"/>
      <c r="N49" s="23"/>
    </row>
    <row r="50" spans="1:15" s="3" customFormat="1" ht="18.75" customHeight="1" x14ac:dyDescent="0.2">
      <c r="B50" s="82" t="s">
        <v>116</v>
      </c>
      <c r="C50" s="189">
        <v>0.9</v>
      </c>
      <c r="D50" s="189"/>
      <c r="E50" s="82" t="s">
        <v>130</v>
      </c>
      <c r="F50" s="189">
        <v>1</v>
      </c>
      <c r="G50" s="189"/>
      <c r="H50" s="82" t="s">
        <v>61</v>
      </c>
      <c r="I50" s="24">
        <f>'様式２ 履修者等数の実績'!E33</f>
        <v>740</v>
      </c>
      <c r="J50" s="1"/>
      <c r="M50" s="1"/>
      <c r="N50" s="23"/>
    </row>
    <row r="51" spans="1:15" ht="18.75" customHeight="1" x14ac:dyDescent="0.2">
      <c r="A51" s="1"/>
      <c r="B51" s="186" t="s">
        <v>62</v>
      </c>
      <c r="C51" s="187"/>
      <c r="D51" s="187"/>
      <c r="E51" s="187"/>
      <c r="F51" s="187"/>
      <c r="G51" s="187"/>
      <c r="H51" s="187"/>
      <c r="I51" s="188"/>
      <c r="N51" s="23"/>
      <c r="O51" s="3"/>
    </row>
    <row r="52" spans="1:15" ht="18.75" customHeight="1" x14ac:dyDescent="0.2">
      <c r="A52" s="1"/>
      <c r="B52" s="207" t="s">
        <v>179</v>
      </c>
      <c r="C52" s="208"/>
      <c r="D52" s="208"/>
      <c r="E52" s="208"/>
      <c r="F52" s="208"/>
      <c r="G52" s="208"/>
      <c r="H52" s="208"/>
      <c r="I52" s="209"/>
      <c r="N52" s="23"/>
      <c r="O52" s="3"/>
    </row>
    <row r="53" spans="1:15" ht="18.75" customHeight="1" x14ac:dyDescent="0.2">
      <c r="A53" s="1"/>
      <c r="B53" s="210"/>
      <c r="C53" s="211"/>
      <c r="D53" s="211"/>
      <c r="E53" s="211"/>
      <c r="F53" s="211"/>
      <c r="G53" s="211"/>
      <c r="H53" s="211"/>
      <c r="I53" s="212"/>
      <c r="N53" s="23"/>
      <c r="O53" s="3"/>
    </row>
    <row r="54" spans="1:15" ht="18.75" customHeight="1" x14ac:dyDescent="0.2">
      <c r="A54" s="1"/>
      <c r="B54" s="210"/>
      <c r="C54" s="211"/>
      <c r="D54" s="211"/>
      <c r="E54" s="211"/>
      <c r="F54" s="211"/>
      <c r="G54" s="211"/>
      <c r="H54" s="211"/>
      <c r="I54" s="212"/>
    </row>
    <row r="55" spans="1:15" ht="18.75" customHeight="1" x14ac:dyDescent="0.2">
      <c r="A55" s="1"/>
      <c r="B55" s="210"/>
      <c r="C55" s="211"/>
      <c r="D55" s="211"/>
      <c r="E55" s="211"/>
      <c r="F55" s="211"/>
      <c r="G55" s="211"/>
      <c r="H55" s="211"/>
      <c r="I55" s="212"/>
    </row>
    <row r="56" spans="1:15" ht="18.75" customHeight="1" x14ac:dyDescent="0.2">
      <c r="A56" s="1"/>
      <c r="B56" s="210"/>
      <c r="C56" s="211"/>
      <c r="D56" s="211"/>
      <c r="E56" s="211"/>
      <c r="F56" s="211"/>
      <c r="G56" s="211"/>
      <c r="H56" s="211"/>
      <c r="I56" s="212"/>
    </row>
    <row r="57" spans="1:15" ht="18.75" customHeight="1" x14ac:dyDescent="0.2">
      <c r="A57" s="1"/>
      <c r="B57" s="210"/>
      <c r="C57" s="211"/>
      <c r="D57" s="211"/>
      <c r="E57" s="211"/>
      <c r="F57" s="211"/>
      <c r="G57" s="211"/>
      <c r="H57" s="211"/>
      <c r="I57" s="212"/>
    </row>
    <row r="58" spans="1:15" ht="18.75" customHeight="1" x14ac:dyDescent="0.2">
      <c r="A58" s="1"/>
      <c r="B58" s="210"/>
      <c r="C58" s="211"/>
      <c r="D58" s="211"/>
      <c r="E58" s="211"/>
      <c r="F58" s="211"/>
      <c r="G58" s="211"/>
      <c r="H58" s="211"/>
      <c r="I58" s="212"/>
    </row>
    <row r="59" spans="1:15" ht="18.75" customHeight="1" x14ac:dyDescent="0.2">
      <c r="A59" s="1"/>
      <c r="B59" s="210"/>
      <c r="C59" s="211"/>
      <c r="D59" s="211"/>
      <c r="E59" s="211"/>
      <c r="F59" s="211"/>
      <c r="G59" s="211"/>
      <c r="H59" s="211"/>
      <c r="I59" s="212"/>
    </row>
    <row r="60" spans="1:15" ht="18.75" customHeight="1" x14ac:dyDescent="0.2">
      <c r="A60" s="1"/>
      <c r="B60" s="210"/>
      <c r="C60" s="211"/>
      <c r="D60" s="211"/>
      <c r="E60" s="211"/>
      <c r="F60" s="211"/>
      <c r="G60" s="211"/>
      <c r="H60" s="211"/>
      <c r="I60" s="212"/>
    </row>
    <row r="61" spans="1:15" ht="18.75" customHeight="1" x14ac:dyDescent="0.2">
      <c r="A61" s="1"/>
      <c r="B61" s="210"/>
      <c r="C61" s="211"/>
      <c r="D61" s="211"/>
      <c r="E61" s="211"/>
      <c r="F61" s="211"/>
      <c r="G61" s="211"/>
      <c r="H61" s="211"/>
      <c r="I61" s="212"/>
    </row>
    <row r="62" spans="1:15" ht="18.75" customHeight="1" x14ac:dyDescent="0.2">
      <c r="A62" s="1"/>
      <c r="B62" s="210"/>
      <c r="C62" s="211"/>
      <c r="D62" s="211"/>
      <c r="E62" s="211"/>
      <c r="F62" s="211"/>
      <c r="G62" s="211"/>
      <c r="H62" s="211"/>
      <c r="I62" s="212"/>
    </row>
    <row r="63" spans="1:15" ht="18.75" customHeight="1" x14ac:dyDescent="0.2">
      <c r="A63" s="1"/>
      <c r="B63" s="213"/>
      <c r="C63" s="214"/>
      <c r="D63" s="214"/>
      <c r="E63" s="214"/>
      <c r="F63" s="214"/>
      <c r="G63" s="214"/>
      <c r="H63" s="214"/>
      <c r="I63" s="215"/>
    </row>
    <row r="64" spans="1:15" ht="7.5" customHeight="1" x14ac:dyDescent="0.2">
      <c r="A64" s="14"/>
      <c r="B64" s="14"/>
      <c r="C64" s="14"/>
      <c r="D64" s="14"/>
      <c r="E64" s="14"/>
      <c r="F64" s="14"/>
      <c r="G64" s="14"/>
      <c r="H64" s="14"/>
      <c r="I64" s="14"/>
    </row>
    <row r="65" spans="1:9" ht="18.75" customHeight="1" x14ac:dyDescent="0.2">
      <c r="A65" s="15" t="s">
        <v>34</v>
      </c>
      <c r="B65" s="1" t="s">
        <v>37</v>
      </c>
      <c r="I65" s="15"/>
    </row>
    <row r="66" spans="1:9" ht="18.75" customHeight="1" x14ac:dyDescent="0.2">
      <c r="A66" s="4"/>
      <c r="B66" s="190" t="s">
        <v>163</v>
      </c>
      <c r="C66" s="191"/>
      <c r="D66" s="191"/>
      <c r="E66" s="191"/>
      <c r="F66" s="191"/>
      <c r="G66" s="191"/>
      <c r="H66" s="191"/>
      <c r="I66" s="192"/>
    </row>
    <row r="67" spans="1:9" ht="18.75" customHeight="1" x14ac:dyDescent="0.2">
      <c r="A67" s="4"/>
      <c r="B67" s="193"/>
      <c r="C67" s="194"/>
      <c r="D67" s="194"/>
      <c r="E67" s="194"/>
      <c r="F67" s="194"/>
      <c r="G67" s="194"/>
      <c r="H67" s="194"/>
      <c r="I67" s="195"/>
    </row>
    <row r="68" spans="1:9" ht="18.75" customHeight="1" x14ac:dyDescent="0.2">
      <c r="A68" s="4"/>
      <c r="B68" s="193"/>
      <c r="C68" s="194"/>
      <c r="D68" s="194"/>
      <c r="E68" s="194"/>
      <c r="F68" s="194"/>
      <c r="G68" s="194"/>
      <c r="H68" s="194"/>
      <c r="I68" s="195"/>
    </row>
    <row r="69" spans="1:9" ht="18.75" customHeight="1" x14ac:dyDescent="0.2">
      <c r="A69" s="4"/>
      <c r="B69" s="193"/>
      <c r="C69" s="194"/>
      <c r="D69" s="194"/>
      <c r="E69" s="194"/>
      <c r="F69" s="194"/>
      <c r="G69" s="194"/>
      <c r="H69" s="194"/>
      <c r="I69" s="195"/>
    </row>
    <row r="70" spans="1:9" ht="18.75" customHeight="1" x14ac:dyDescent="0.2">
      <c r="A70" s="4"/>
      <c r="B70" s="193"/>
      <c r="C70" s="194"/>
      <c r="D70" s="194"/>
      <c r="E70" s="194"/>
      <c r="F70" s="194"/>
      <c r="G70" s="194"/>
      <c r="H70" s="194"/>
      <c r="I70" s="195"/>
    </row>
    <row r="71" spans="1:9" ht="18.75" customHeight="1" x14ac:dyDescent="0.2">
      <c r="A71" s="4"/>
      <c r="B71" s="193"/>
      <c r="C71" s="194"/>
      <c r="D71" s="194"/>
      <c r="E71" s="194"/>
      <c r="F71" s="194"/>
      <c r="G71" s="194"/>
      <c r="H71" s="194"/>
      <c r="I71" s="195"/>
    </row>
    <row r="72" spans="1:9" ht="18.75" customHeight="1" x14ac:dyDescent="0.2">
      <c r="A72" s="4"/>
      <c r="B72" s="193"/>
      <c r="C72" s="194"/>
      <c r="D72" s="194"/>
      <c r="E72" s="194"/>
      <c r="F72" s="194"/>
      <c r="G72" s="194"/>
      <c r="H72" s="194"/>
      <c r="I72" s="195"/>
    </row>
    <row r="73" spans="1:9" ht="18.75" customHeight="1" x14ac:dyDescent="0.2">
      <c r="A73" s="4"/>
      <c r="B73" s="193"/>
      <c r="C73" s="194"/>
      <c r="D73" s="194"/>
      <c r="E73" s="194"/>
      <c r="F73" s="194"/>
      <c r="G73" s="194"/>
      <c r="H73" s="194"/>
      <c r="I73" s="195"/>
    </row>
    <row r="74" spans="1:9" ht="18.75" customHeight="1" x14ac:dyDescent="0.2">
      <c r="A74" s="4"/>
      <c r="B74" s="193"/>
      <c r="C74" s="194"/>
      <c r="D74" s="194"/>
      <c r="E74" s="194"/>
      <c r="F74" s="194"/>
      <c r="G74" s="194"/>
      <c r="H74" s="194"/>
      <c r="I74" s="195"/>
    </row>
    <row r="75" spans="1:9" ht="18.75" customHeight="1" x14ac:dyDescent="0.2">
      <c r="A75" s="4"/>
      <c r="B75" s="193"/>
      <c r="C75" s="194"/>
      <c r="D75" s="194"/>
      <c r="E75" s="194"/>
      <c r="F75" s="194"/>
      <c r="G75" s="194"/>
      <c r="H75" s="194"/>
      <c r="I75" s="195"/>
    </row>
    <row r="76" spans="1:9" ht="18.75" customHeight="1" x14ac:dyDescent="0.2">
      <c r="A76" s="4"/>
      <c r="B76" s="193"/>
      <c r="C76" s="194"/>
      <c r="D76" s="194"/>
      <c r="E76" s="194"/>
      <c r="F76" s="194"/>
      <c r="G76" s="194"/>
      <c r="H76" s="194"/>
      <c r="I76" s="195"/>
    </row>
    <row r="77" spans="1:9" ht="18.75" customHeight="1" x14ac:dyDescent="0.2">
      <c r="A77" s="4"/>
      <c r="B77" s="196"/>
      <c r="C77" s="197"/>
      <c r="D77" s="197"/>
      <c r="E77" s="197"/>
      <c r="F77" s="197"/>
      <c r="G77" s="197"/>
      <c r="H77" s="197"/>
      <c r="I77" s="198"/>
    </row>
    <row r="78" spans="1:9" ht="7.5" customHeight="1" x14ac:dyDescent="0.2">
      <c r="A78" s="4"/>
      <c r="B78" s="4"/>
      <c r="C78" s="4"/>
      <c r="D78" s="4"/>
      <c r="E78" s="4"/>
      <c r="F78" s="4"/>
      <c r="G78" s="4"/>
      <c r="H78" s="4"/>
      <c r="I78" s="4"/>
    </row>
    <row r="79" spans="1:9" ht="18.75" customHeight="1" x14ac:dyDescent="0.2">
      <c r="A79" s="1" t="s">
        <v>11</v>
      </c>
      <c r="B79" s="1" t="s">
        <v>39</v>
      </c>
    </row>
    <row r="80" spans="1:9" ht="18.75" customHeight="1" x14ac:dyDescent="0.2">
      <c r="A80" s="1"/>
      <c r="B80" s="190" t="s">
        <v>153</v>
      </c>
      <c r="C80" s="191"/>
      <c r="D80" s="191"/>
      <c r="E80" s="191"/>
      <c r="F80" s="191"/>
      <c r="G80" s="191"/>
      <c r="H80" s="191"/>
      <c r="I80" s="199"/>
    </row>
    <row r="81" spans="1:9" ht="18.75" customHeight="1" x14ac:dyDescent="0.2">
      <c r="A81" s="1"/>
      <c r="B81" s="200"/>
      <c r="C81" s="201"/>
      <c r="D81" s="201"/>
      <c r="E81" s="201"/>
      <c r="F81" s="201"/>
      <c r="G81" s="201"/>
      <c r="H81" s="201"/>
      <c r="I81" s="202"/>
    </row>
    <row r="82" spans="1:9" ht="18.75" customHeight="1" x14ac:dyDescent="0.2">
      <c r="A82" s="1"/>
      <c r="B82" s="200"/>
      <c r="C82" s="201"/>
      <c r="D82" s="201"/>
      <c r="E82" s="201"/>
      <c r="F82" s="201"/>
      <c r="G82" s="201"/>
      <c r="H82" s="201"/>
      <c r="I82" s="202"/>
    </row>
    <row r="83" spans="1:9" ht="18.75" customHeight="1" x14ac:dyDescent="0.2">
      <c r="A83" s="1"/>
      <c r="B83" s="200"/>
      <c r="C83" s="201"/>
      <c r="D83" s="201"/>
      <c r="E83" s="201"/>
      <c r="F83" s="201"/>
      <c r="G83" s="201"/>
      <c r="H83" s="201"/>
      <c r="I83" s="202"/>
    </row>
    <row r="84" spans="1:9" ht="18.75" customHeight="1" x14ac:dyDescent="0.2">
      <c r="A84" s="1"/>
      <c r="B84" s="200"/>
      <c r="C84" s="201"/>
      <c r="D84" s="201"/>
      <c r="E84" s="201"/>
      <c r="F84" s="201"/>
      <c r="G84" s="201"/>
      <c r="H84" s="201"/>
      <c r="I84" s="202"/>
    </row>
    <row r="85" spans="1:9" ht="18.75" customHeight="1" x14ac:dyDescent="0.2">
      <c r="A85" s="1"/>
      <c r="B85" s="200"/>
      <c r="C85" s="201"/>
      <c r="D85" s="201"/>
      <c r="E85" s="201"/>
      <c r="F85" s="201"/>
      <c r="G85" s="201"/>
      <c r="H85" s="201"/>
      <c r="I85" s="202"/>
    </row>
    <row r="86" spans="1:9" ht="18.75" customHeight="1" x14ac:dyDescent="0.2">
      <c r="A86" s="1"/>
      <c r="B86" s="200"/>
      <c r="C86" s="201"/>
      <c r="D86" s="201"/>
      <c r="E86" s="201"/>
      <c r="F86" s="201"/>
      <c r="G86" s="201"/>
      <c r="H86" s="201"/>
      <c r="I86" s="202"/>
    </row>
    <row r="87" spans="1:9" ht="18.75" customHeight="1" x14ac:dyDescent="0.2">
      <c r="A87" s="1"/>
      <c r="B87" s="200"/>
      <c r="C87" s="201"/>
      <c r="D87" s="201"/>
      <c r="E87" s="201"/>
      <c r="F87" s="201"/>
      <c r="G87" s="201"/>
      <c r="H87" s="201"/>
      <c r="I87" s="202"/>
    </row>
    <row r="88" spans="1:9" ht="18.75" customHeight="1" x14ac:dyDescent="0.2">
      <c r="A88" s="1"/>
      <c r="B88" s="200"/>
      <c r="C88" s="201"/>
      <c r="D88" s="201"/>
      <c r="E88" s="201"/>
      <c r="F88" s="201"/>
      <c r="G88" s="201"/>
      <c r="H88" s="201"/>
      <c r="I88" s="202"/>
    </row>
    <row r="89" spans="1:9" ht="18.75" customHeight="1" x14ac:dyDescent="0.2">
      <c r="A89" s="1"/>
      <c r="B89" s="200"/>
      <c r="C89" s="201"/>
      <c r="D89" s="201"/>
      <c r="E89" s="201"/>
      <c r="F89" s="201"/>
      <c r="G89" s="201"/>
      <c r="H89" s="201"/>
      <c r="I89" s="202"/>
    </row>
    <row r="90" spans="1:9" ht="18.75" customHeight="1" x14ac:dyDescent="0.2">
      <c r="A90" s="4"/>
      <c r="B90" s="200"/>
      <c r="C90" s="201"/>
      <c r="D90" s="201"/>
      <c r="E90" s="201"/>
      <c r="F90" s="201"/>
      <c r="G90" s="201"/>
      <c r="H90" s="201"/>
      <c r="I90" s="202"/>
    </row>
    <row r="91" spans="1:9" ht="18.75" customHeight="1" x14ac:dyDescent="0.2">
      <c r="A91" s="4"/>
      <c r="B91" s="203"/>
      <c r="C91" s="204"/>
      <c r="D91" s="204"/>
      <c r="E91" s="204"/>
      <c r="F91" s="204"/>
      <c r="G91" s="204"/>
      <c r="H91" s="204"/>
      <c r="I91" s="205"/>
    </row>
    <row r="92" spans="1:9" ht="7.5" customHeight="1" x14ac:dyDescent="0.2">
      <c r="A92" s="4"/>
      <c r="B92" s="4"/>
      <c r="C92" s="4"/>
      <c r="D92" s="4"/>
      <c r="E92" s="4"/>
      <c r="F92" s="4"/>
      <c r="G92" s="4"/>
      <c r="H92" s="4"/>
      <c r="I92" s="4"/>
    </row>
    <row r="93" spans="1:9" ht="18.75" customHeight="1" x14ac:dyDescent="0.2">
      <c r="A93" s="1" t="s">
        <v>42</v>
      </c>
      <c r="B93" s="1" t="s">
        <v>13</v>
      </c>
    </row>
    <row r="94" spans="1:9" ht="18.75" customHeight="1" x14ac:dyDescent="0.2">
      <c r="A94" s="1"/>
      <c r="B94" s="168" t="s">
        <v>164</v>
      </c>
      <c r="C94" s="169"/>
      <c r="D94" s="169"/>
      <c r="E94" s="169"/>
      <c r="F94" s="169"/>
      <c r="G94" s="169"/>
      <c r="H94" s="169"/>
      <c r="I94" s="170"/>
    </row>
    <row r="95" spans="1:9" ht="18.75" customHeight="1" x14ac:dyDescent="0.2">
      <c r="A95" s="1"/>
      <c r="B95" s="174"/>
      <c r="C95" s="175"/>
      <c r="D95" s="175"/>
      <c r="E95" s="175"/>
      <c r="F95" s="175"/>
      <c r="G95" s="175"/>
      <c r="H95" s="175"/>
      <c r="I95" s="173"/>
    </row>
    <row r="96" spans="1:9" ht="18.75" customHeight="1" x14ac:dyDescent="0.2">
      <c r="A96" s="1"/>
      <c r="B96" s="174"/>
      <c r="C96" s="175"/>
      <c r="D96" s="175"/>
      <c r="E96" s="175"/>
      <c r="F96" s="175"/>
      <c r="G96" s="175"/>
      <c r="H96" s="175"/>
      <c r="I96" s="173"/>
    </row>
    <row r="97" spans="1:9" ht="18.75" customHeight="1" x14ac:dyDescent="0.2">
      <c r="A97" s="1"/>
      <c r="B97" s="174"/>
      <c r="C97" s="175"/>
      <c r="D97" s="175"/>
      <c r="E97" s="175"/>
      <c r="F97" s="175"/>
      <c r="G97" s="175"/>
      <c r="H97" s="175"/>
      <c r="I97" s="173"/>
    </row>
    <row r="98" spans="1:9" ht="18.75" customHeight="1" x14ac:dyDescent="0.2">
      <c r="A98" s="1"/>
      <c r="B98" s="174"/>
      <c r="C98" s="175"/>
      <c r="D98" s="175"/>
      <c r="E98" s="175"/>
      <c r="F98" s="175"/>
      <c r="G98" s="175"/>
      <c r="H98" s="175"/>
      <c r="I98" s="173"/>
    </row>
    <row r="99" spans="1:9" ht="18.75" customHeight="1" x14ac:dyDescent="0.2">
      <c r="A99" s="1"/>
      <c r="B99" s="174"/>
      <c r="C99" s="175"/>
      <c r="D99" s="175"/>
      <c r="E99" s="175"/>
      <c r="F99" s="175"/>
      <c r="G99" s="175"/>
      <c r="H99" s="175"/>
      <c r="I99" s="173"/>
    </row>
    <row r="100" spans="1:9" ht="18.75" customHeight="1" x14ac:dyDescent="0.2">
      <c r="A100" s="1"/>
      <c r="B100" s="174"/>
      <c r="C100" s="175"/>
      <c r="D100" s="175"/>
      <c r="E100" s="175"/>
      <c r="F100" s="175"/>
      <c r="G100" s="175"/>
      <c r="H100" s="175"/>
      <c r="I100" s="173"/>
    </row>
    <row r="101" spans="1:9" ht="18.75" customHeight="1" x14ac:dyDescent="0.2">
      <c r="A101" s="1"/>
      <c r="B101" s="174"/>
      <c r="C101" s="175"/>
      <c r="D101" s="175"/>
      <c r="E101" s="175"/>
      <c r="F101" s="175"/>
      <c r="G101" s="175"/>
      <c r="H101" s="175"/>
      <c r="I101" s="173"/>
    </row>
    <row r="102" spans="1:9" ht="18.75" customHeight="1" x14ac:dyDescent="0.2">
      <c r="A102" s="1"/>
      <c r="B102" s="174"/>
      <c r="C102" s="175"/>
      <c r="D102" s="175"/>
      <c r="E102" s="175"/>
      <c r="F102" s="175"/>
      <c r="G102" s="175"/>
      <c r="H102" s="175"/>
      <c r="I102" s="173"/>
    </row>
    <row r="103" spans="1:9" ht="18.75" customHeight="1" x14ac:dyDescent="0.2">
      <c r="A103" s="1"/>
      <c r="B103" s="174"/>
      <c r="C103" s="175"/>
      <c r="D103" s="175"/>
      <c r="E103" s="175"/>
      <c r="F103" s="175"/>
      <c r="G103" s="175"/>
      <c r="H103" s="175"/>
      <c r="I103" s="173"/>
    </row>
    <row r="104" spans="1:9" ht="18.75" customHeight="1" x14ac:dyDescent="0.2">
      <c r="A104" s="1"/>
      <c r="B104" s="174"/>
      <c r="C104" s="175"/>
      <c r="D104" s="175"/>
      <c r="E104" s="175"/>
      <c r="F104" s="175"/>
      <c r="G104" s="175"/>
      <c r="H104" s="175"/>
      <c r="I104" s="173"/>
    </row>
    <row r="105" spans="1:9" ht="18.75" customHeight="1" x14ac:dyDescent="0.2">
      <c r="A105" s="4"/>
      <c r="B105" s="176"/>
      <c r="C105" s="177"/>
      <c r="D105" s="177"/>
      <c r="E105" s="177"/>
      <c r="F105" s="177"/>
      <c r="G105" s="177"/>
      <c r="H105" s="177"/>
      <c r="I105" s="178"/>
    </row>
    <row r="106" spans="1:9" ht="7.5" customHeight="1" x14ac:dyDescent="0.2">
      <c r="A106" s="4"/>
      <c r="B106" s="4"/>
      <c r="C106" s="4"/>
      <c r="D106" s="4"/>
      <c r="E106" s="4"/>
      <c r="F106" s="4"/>
      <c r="G106" s="4"/>
      <c r="H106" s="4"/>
      <c r="I106" s="4"/>
    </row>
    <row r="107" spans="1:9" ht="18.75" customHeight="1" x14ac:dyDescent="0.2">
      <c r="A107" s="1" t="s">
        <v>30</v>
      </c>
      <c r="B107" s="185" t="s">
        <v>44</v>
      </c>
      <c r="C107" s="185"/>
      <c r="D107" s="185"/>
      <c r="E107" s="185"/>
      <c r="F107" s="185"/>
      <c r="G107" s="185"/>
      <c r="H107" s="185"/>
      <c r="I107" s="185"/>
    </row>
    <row r="108" spans="1:9" ht="18.75" customHeight="1" x14ac:dyDescent="0.2">
      <c r="A108" s="4"/>
      <c r="B108" s="168" t="s">
        <v>165</v>
      </c>
      <c r="C108" s="169"/>
      <c r="D108" s="169"/>
      <c r="E108" s="169"/>
      <c r="F108" s="169"/>
      <c r="G108" s="169"/>
      <c r="H108" s="169"/>
      <c r="I108" s="170"/>
    </row>
    <row r="109" spans="1:9" ht="18.75" customHeight="1" x14ac:dyDescent="0.2">
      <c r="A109" s="4"/>
      <c r="B109" s="174"/>
      <c r="C109" s="175"/>
      <c r="D109" s="175"/>
      <c r="E109" s="175"/>
      <c r="F109" s="175"/>
      <c r="G109" s="175"/>
      <c r="H109" s="175"/>
      <c r="I109" s="173"/>
    </row>
    <row r="110" spans="1:9" ht="18.75" customHeight="1" x14ac:dyDescent="0.2">
      <c r="A110" s="4"/>
      <c r="B110" s="174"/>
      <c r="C110" s="175"/>
      <c r="D110" s="175"/>
      <c r="E110" s="175"/>
      <c r="F110" s="175"/>
      <c r="G110" s="175"/>
      <c r="H110" s="175"/>
      <c r="I110" s="173"/>
    </row>
    <row r="111" spans="1:9" ht="18.75" customHeight="1" x14ac:dyDescent="0.2">
      <c r="A111" s="4"/>
      <c r="B111" s="174"/>
      <c r="C111" s="175"/>
      <c r="D111" s="175"/>
      <c r="E111" s="175"/>
      <c r="F111" s="175"/>
      <c r="G111" s="175"/>
      <c r="H111" s="175"/>
      <c r="I111" s="173"/>
    </row>
    <row r="112" spans="1:9" ht="18.75" customHeight="1" x14ac:dyDescent="0.2">
      <c r="A112" s="4"/>
      <c r="B112" s="174"/>
      <c r="C112" s="175"/>
      <c r="D112" s="175"/>
      <c r="E112" s="175"/>
      <c r="F112" s="175"/>
      <c r="G112" s="175"/>
      <c r="H112" s="175"/>
      <c r="I112" s="173"/>
    </row>
    <row r="113" spans="1:9" ht="18.75" customHeight="1" x14ac:dyDescent="0.2">
      <c r="A113" s="4"/>
      <c r="B113" s="174"/>
      <c r="C113" s="175"/>
      <c r="D113" s="175"/>
      <c r="E113" s="175"/>
      <c r="F113" s="175"/>
      <c r="G113" s="175"/>
      <c r="H113" s="175"/>
      <c r="I113" s="173"/>
    </row>
    <row r="114" spans="1:9" ht="18.75" customHeight="1" x14ac:dyDescent="0.2">
      <c r="A114" s="4"/>
      <c r="B114" s="174"/>
      <c r="C114" s="175"/>
      <c r="D114" s="175"/>
      <c r="E114" s="175"/>
      <c r="F114" s="175"/>
      <c r="G114" s="175"/>
      <c r="H114" s="175"/>
      <c r="I114" s="173"/>
    </row>
    <row r="115" spans="1:9" ht="18.75" customHeight="1" x14ac:dyDescent="0.2">
      <c r="A115" s="4"/>
      <c r="B115" s="174"/>
      <c r="C115" s="175"/>
      <c r="D115" s="175"/>
      <c r="E115" s="175"/>
      <c r="F115" s="175"/>
      <c r="G115" s="175"/>
      <c r="H115" s="175"/>
      <c r="I115" s="173"/>
    </row>
    <row r="116" spans="1:9" ht="18.75" customHeight="1" x14ac:dyDescent="0.2">
      <c r="A116" s="4"/>
      <c r="B116" s="174"/>
      <c r="C116" s="175"/>
      <c r="D116" s="175"/>
      <c r="E116" s="175"/>
      <c r="F116" s="175"/>
      <c r="G116" s="175"/>
      <c r="H116" s="175"/>
      <c r="I116" s="173"/>
    </row>
    <row r="117" spans="1:9" ht="18.75" customHeight="1" x14ac:dyDescent="0.2">
      <c r="A117" s="4"/>
      <c r="B117" s="174"/>
      <c r="C117" s="175"/>
      <c r="D117" s="175"/>
      <c r="E117" s="175"/>
      <c r="F117" s="175"/>
      <c r="G117" s="175"/>
      <c r="H117" s="175"/>
      <c r="I117" s="173"/>
    </row>
    <row r="118" spans="1:9" ht="18.75" customHeight="1" x14ac:dyDescent="0.2">
      <c r="A118" s="4"/>
      <c r="B118" s="174"/>
      <c r="C118" s="175"/>
      <c r="D118" s="175"/>
      <c r="E118" s="175"/>
      <c r="F118" s="175"/>
      <c r="G118" s="175"/>
      <c r="H118" s="175"/>
      <c r="I118" s="173"/>
    </row>
    <row r="119" spans="1:9" ht="18.75" customHeight="1" x14ac:dyDescent="0.2">
      <c r="A119" s="4"/>
      <c r="B119" s="176"/>
      <c r="C119" s="177"/>
      <c r="D119" s="177"/>
      <c r="E119" s="177"/>
      <c r="F119" s="177"/>
      <c r="G119" s="177"/>
      <c r="H119" s="177"/>
      <c r="I119" s="178"/>
    </row>
    <row r="120" spans="1:9" ht="7.5" customHeight="1" x14ac:dyDescent="0.2">
      <c r="A120" s="4"/>
      <c r="B120" s="25"/>
      <c r="C120" s="25"/>
      <c r="D120" s="25"/>
      <c r="E120" s="25"/>
      <c r="F120" s="25"/>
      <c r="G120" s="25"/>
      <c r="H120" s="25"/>
      <c r="I120" s="25"/>
    </row>
    <row r="121" spans="1:9" ht="18.75" customHeight="1" x14ac:dyDescent="0.2">
      <c r="A121" s="51"/>
      <c r="B121" s="164"/>
      <c r="C121" s="164"/>
      <c r="D121" s="164"/>
      <c r="E121" s="164"/>
      <c r="F121" s="164"/>
      <c r="G121" s="164"/>
      <c r="H121" s="164"/>
      <c r="I121" s="164"/>
    </row>
    <row r="122" spans="1:9" ht="18.75" customHeight="1" x14ac:dyDescent="0.2">
      <c r="A122" s="51"/>
      <c r="B122" s="164"/>
      <c r="C122" s="164"/>
      <c r="D122" s="164"/>
      <c r="E122" s="164"/>
      <c r="F122" s="164"/>
      <c r="G122" s="164"/>
      <c r="H122" s="164"/>
      <c r="I122" s="164"/>
    </row>
    <row r="123" spans="1:9" ht="18.75" customHeight="1" x14ac:dyDescent="0.2">
      <c r="A123" s="4"/>
      <c r="B123" s="52"/>
      <c r="C123" s="52"/>
      <c r="D123" s="52"/>
      <c r="E123" s="52"/>
      <c r="F123" s="52"/>
      <c r="G123" s="52"/>
      <c r="H123" s="52"/>
      <c r="I123" s="53"/>
    </row>
    <row r="124" spans="1:9" ht="18.75" customHeight="1" x14ac:dyDescent="0.2">
      <c r="A124" s="4"/>
      <c r="B124" s="53"/>
      <c r="C124" s="53"/>
      <c r="D124" s="53"/>
      <c r="E124" s="53"/>
      <c r="F124" s="53"/>
      <c r="G124" s="53"/>
      <c r="H124" s="53"/>
      <c r="I124" s="53"/>
    </row>
    <row r="125" spans="1:9" ht="18.75" customHeight="1" x14ac:dyDescent="0.2">
      <c r="A125" s="4"/>
      <c r="B125" s="53"/>
      <c r="C125" s="53"/>
      <c r="D125" s="53"/>
      <c r="E125" s="53"/>
      <c r="F125" s="53"/>
      <c r="G125" s="53"/>
      <c r="H125" s="53"/>
      <c r="I125" s="53"/>
    </row>
    <row r="126" spans="1:9" ht="18.75" customHeight="1" x14ac:dyDescent="0.2">
      <c r="A126" s="4"/>
      <c r="B126" s="53"/>
      <c r="C126" s="53"/>
      <c r="D126" s="53"/>
      <c r="E126" s="53"/>
      <c r="F126" s="53"/>
      <c r="G126" s="53"/>
      <c r="H126" s="53"/>
      <c r="I126" s="53"/>
    </row>
    <row r="127" spans="1:9" ht="18.75" customHeight="1" x14ac:dyDescent="0.2">
      <c r="A127" s="4"/>
      <c r="B127" s="53"/>
      <c r="C127" s="53"/>
      <c r="D127" s="53"/>
      <c r="E127" s="53"/>
      <c r="F127" s="53"/>
      <c r="G127" s="53"/>
      <c r="H127" s="53"/>
      <c r="I127" s="53"/>
    </row>
    <row r="128" spans="1:9" ht="18.75" customHeight="1" x14ac:dyDescent="0.2">
      <c r="A128" s="4"/>
      <c r="B128" s="53"/>
      <c r="C128" s="53"/>
      <c r="D128" s="53"/>
      <c r="E128" s="53"/>
      <c r="F128" s="53"/>
      <c r="G128" s="53"/>
      <c r="H128" s="53"/>
      <c r="I128" s="53"/>
    </row>
    <row r="129" spans="1:9" ht="18.75" customHeight="1" x14ac:dyDescent="0.2">
      <c r="A129" s="4"/>
      <c r="B129" s="53"/>
      <c r="C129" s="53"/>
      <c r="D129" s="53"/>
      <c r="E129" s="53"/>
      <c r="F129" s="53"/>
      <c r="G129" s="53"/>
      <c r="H129" s="53"/>
      <c r="I129" s="53"/>
    </row>
    <row r="130" spans="1:9" ht="18.75" customHeight="1" x14ac:dyDescent="0.2">
      <c r="A130" s="4"/>
      <c r="B130" s="53"/>
      <c r="C130" s="53"/>
      <c r="D130" s="53"/>
      <c r="E130" s="53"/>
      <c r="F130" s="53"/>
      <c r="G130" s="53"/>
      <c r="H130" s="53"/>
      <c r="I130" s="53"/>
    </row>
    <row r="131" spans="1:9" ht="18.75" customHeight="1" x14ac:dyDescent="0.2">
      <c r="A131" s="4"/>
      <c r="B131" s="53"/>
      <c r="C131" s="53"/>
      <c r="D131" s="53"/>
      <c r="E131" s="53"/>
      <c r="F131" s="53"/>
      <c r="G131" s="53"/>
      <c r="H131" s="53"/>
      <c r="I131" s="53"/>
    </row>
    <row r="132" spans="1:9" ht="18.75" customHeight="1" x14ac:dyDescent="0.2">
      <c r="A132" s="4"/>
      <c r="B132" s="53"/>
      <c r="C132" s="53"/>
      <c r="D132" s="53"/>
      <c r="E132" s="53"/>
      <c r="F132" s="53"/>
      <c r="G132" s="53"/>
      <c r="H132" s="53"/>
      <c r="I132" s="53"/>
    </row>
    <row r="133" spans="1:9" ht="14.4" x14ac:dyDescent="0.2">
      <c r="A133" s="4"/>
      <c r="B133" s="53"/>
      <c r="C133" s="53"/>
      <c r="D133" s="53"/>
      <c r="E133" s="53"/>
      <c r="F133" s="53"/>
      <c r="G133" s="53"/>
      <c r="H133" s="53"/>
      <c r="I133" s="53"/>
    </row>
    <row r="134" spans="1:9" ht="7.5" customHeight="1" x14ac:dyDescent="0.2">
      <c r="A134" s="4"/>
      <c r="B134" s="53"/>
      <c r="C134" s="53"/>
      <c r="D134" s="53"/>
      <c r="E134" s="53"/>
      <c r="F134" s="53"/>
      <c r="G134" s="53"/>
      <c r="H134" s="53"/>
      <c r="I134" s="53"/>
    </row>
  </sheetData>
  <mergeCells count="23">
    <mergeCell ref="F50:G50"/>
    <mergeCell ref="B66:I77"/>
    <mergeCell ref="B80:I91"/>
    <mergeCell ref="C49:D49"/>
    <mergeCell ref="C50:D50"/>
    <mergeCell ref="F49:G49"/>
    <mergeCell ref="B52:I63"/>
    <mergeCell ref="B121:I122"/>
    <mergeCell ref="H2:I2"/>
    <mergeCell ref="A4:I4"/>
    <mergeCell ref="B19:I19"/>
    <mergeCell ref="B22:I32"/>
    <mergeCell ref="B35:I46"/>
    <mergeCell ref="B14:I14"/>
    <mergeCell ref="C16:E16"/>
    <mergeCell ref="H16:I16"/>
    <mergeCell ref="C11:E11"/>
    <mergeCell ref="H11:I11"/>
    <mergeCell ref="C6:D6"/>
    <mergeCell ref="B94:I105"/>
    <mergeCell ref="B107:I107"/>
    <mergeCell ref="B108:I119"/>
    <mergeCell ref="B51:I51"/>
  </mergeCells>
  <phoneticPr fontId="1"/>
  <printOptions horizontalCentered="1"/>
  <pageMargins left="0.59055118110236227" right="0.59055118110236227" top="0.78740157480314965" bottom="0.39370078740157483" header="0.31496062992125984" footer="0.19685039370078741"/>
  <pageSetup paperSize="9" fitToHeight="0" orientation="portrait" r:id="rId1"/>
  <headerFooter>
    <oddHeader>&amp;C数理・データサイエンス・AI教育プログラム認定制度【リテラシーレベル】</oddHeader>
  </headerFooter>
  <rowBreaks count="2" manualBreakCount="2">
    <brk id="47" max="8" man="1"/>
    <brk id="92" max="8" man="1"/>
  </rowBreak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52A5A-34E0-4F6E-8C0D-898E40E9B28D}">
  <sheetPr>
    <pageSetUpPr fitToPage="1"/>
  </sheetPr>
  <dimension ref="A1:I30"/>
  <sheetViews>
    <sheetView showZeros="0" view="pageBreakPreview" topLeftCell="A19" zoomScale="90" zoomScaleNormal="100" zoomScaleSheetLayoutView="90" workbookViewId="0">
      <selection activeCell="M20" sqref="M20"/>
    </sheetView>
  </sheetViews>
  <sheetFormatPr defaultColWidth="11.33203125" defaultRowHeight="22.5" customHeight="1" x14ac:dyDescent="0.2"/>
  <cols>
    <col min="1" max="3" width="2.6640625" style="1" customWidth="1"/>
    <col min="4" max="4" width="22.109375" style="1" customWidth="1"/>
    <col min="5" max="5" width="30.6640625" style="1" customWidth="1"/>
    <col min="6" max="7" width="7.6640625" style="1" customWidth="1"/>
    <col min="8" max="9" width="30.6640625" style="1" customWidth="1"/>
    <col min="10" max="10" width="4.109375" style="1" customWidth="1"/>
    <col min="11" max="16384" width="11.33203125" style="1"/>
  </cols>
  <sheetData>
    <row r="1" spans="1:9" ht="18.75" customHeight="1" x14ac:dyDescent="0.2">
      <c r="A1" s="1" t="s">
        <v>63</v>
      </c>
      <c r="I1" s="18" t="s">
        <v>90</v>
      </c>
    </row>
    <row r="2" spans="1:9" ht="18.75" customHeight="1" x14ac:dyDescent="0.2">
      <c r="H2" s="18" t="s">
        <v>93</v>
      </c>
      <c r="I2" s="17" t="str">
        <f>'様式１　プログラムを構成する授業科目'!C2</f>
        <v>長崎外国語大学</v>
      </c>
    </row>
    <row r="3" spans="1:9" ht="18.75" customHeight="1" x14ac:dyDescent="0.2">
      <c r="A3" s="107" t="s">
        <v>28</v>
      </c>
      <c r="B3" s="107"/>
      <c r="C3" s="107"/>
      <c r="D3" s="107"/>
      <c r="E3" s="107"/>
      <c r="F3" s="107"/>
      <c r="G3" s="107"/>
      <c r="H3" s="107"/>
      <c r="I3" s="107"/>
    </row>
    <row r="4" spans="1:9" ht="18.75" customHeight="1" x14ac:dyDescent="0.2">
      <c r="A4" s="5"/>
      <c r="B4" s="5"/>
      <c r="C4" s="5"/>
      <c r="D4" s="5"/>
      <c r="E4" s="5"/>
      <c r="F4" s="5"/>
      <c r="G4" s="5"/>
      <c r="H4" s="5"/>
      <c r="I4" s="5"/>
    </row>
    <row r="5" spans="1:9" ht="18.75" customHeight="1" x14ac:dyDescent="0.2">
      <c r="A5" s="1" t="s">
        <v>0</v>
      </c>
      <c r="B5" s="10" t="s">
        <v>85</v>
      </c>
      <c r="C5" s="5"/>
      <c r="D5" s="5"/>
      <c r="E5" s="5"/>
      <c r="F5" s="5"/>
      <c r="G5" s="5"/>
      <c r="H5" s="5"/>
      <c r="I5" s="5"/>
    </row>
    <row r="6" spans="1:9" ht="26.25" customHeight="1" x14ac:dyDescent="0.2">
      <c r="A6" s="5"/>
      <c r="B6" s="179" t="s">
        <v>154</v>
      </c>
      <c r="C6" s="223"/>
      <c r="D6" s="223"/>
      <c r="E6" s="223"/>
      <c r="F6" s="223"/>
      <c r="G6" s="223"/>
      <c r="H6" s="224"/>
      <c r="I6" s="3"/>
    </row>
    <row r="7" spans="1:9" ht="9" customHeight="1" x14ac:dyDescent="0.2">
      <c r="A7" s="5"/>
      <c r="B7" s="10"/>
      <c r="C7" s="10"/>
      <c r="D7" s="10"/>
      <c r="E7" s="10"/>
      <c r="F7" s="10"/>
      <c r="G7" s="10"/>
      <c r="H7" s="10"/>
      <c r="I7" s="3"/>
    </row>
    <row r="8" spans="1:9" ht="18.75" customHeight="1" x14ac:dyDescent="0.2">
      <c r="A8" s="5"/>
      <c r="B8" s="3"/>
      <c r="C8" s="3"/>
      <c r="D8" s="18" t="s">
        <v>41</v>
      </c>
      <c r="E8" s="19" t="s">
        <v>155</v>
      </c>
      <c r="F8" s="3"/>
      <c r="G8" s="18" t="s">
        <v>10</v>
      </c>
      <c r="H8" s="19" t="s">
        <v>156</v>
      </c>
      <c r="I8" s="3"/>
    </row>
    <row r="9" spans="1:9" ht="7.5" customHeight="1" x14ac:dyDescent="0.2">
      <c r="A9" s="5"/>
      <c r="B9" s="5"/>
      <c r="C9" s="5"/>
      <c r="D9" s="5"/>
      <c r="E9" s="5"/>
      <c r="F9" s="5"/>
      <c r="G9" s="5"/>
      <c r="H9" s="5"/>
      <c r="I9" s="5"/>
    </row>
    <row r="10" spans="1:9" ht="18.75" customHeight="1" x14ac:dyDescent="0.2">
      <c r="A10" s="1" t="s">
        <v>3</v>
      </c>
      <c r="B10" s="1" t="s">
        <v>27</v>
      </c>
      <c r="C10" s="4"/>
      <c r="D10" s="4"/>
      <c r="E10" s="4"/>
      <c r="F10" s="4"/>
      <c r="G10" s="4"/>
      <c r="H10" s="4"/>
      <c r="I10" s="4"/>
    </row>
    <row r="11" spans="1:9" ht="18.75" customHeight="1" x14ac:dyDescent="0.2">
      <c r="B11" s="96" t="s">
        <v>24</v>
      </c>
      <c r="C11" s="97"/>
      <c r="D11" s="98"/>
      <c r="E11" s="97" t="s">
        <v>26</v>
      </c>
      <c r="F11" s="97"/>
      <c r="G11" s="97"/>
      <c r="H11" s="97"/>
      <c r="I11" s="98"/>
    </row>
    <row r="12" spans="1:9" ht="26.25" customHeight="1" x14ac:dyDescent="0.2">
      <c r="B12" s="26" t="s">
        <v>14</v>
      </c>
      <c r="C12" s="33"/>
      <c r="D12" s="27"/>
      <c r="E12" s="34"/>
      <c r="F12" s="34"/>
      <c r="G12" s="34"/>
      <c r="H12" s="34"/>
      <c r="I12" s="27"/>
    </row>
    <row r="13" spans="1:9" ht="210.75" customHeight="1" x14ac:dyDescent="0.2">
      <c r="B13" s="28"/>
      <c r="C13" s="221" t="s">
        <v>15</v>
      </c>
      <c r="D13" s="222"/>
      <c r="E13" s="218" t="s">
        <v>166</v>
      </c>
      <c r="F13" s="219"/>
      <c r="G13" s="219"/>
      <c r="H13" s="219"/>
      <c r="I13" s="220"/>
    </row>
    <row r="14" spans="1:9" ht="210.75" customHeight="1" x14ac:dyDescent="0.2">
      <c r="B14" s="28"/>
      <c r="C14" s="216" t="s">
        <v>16</v>
      </c>
      <c r="D14" s="217"/>
      <c r="E14" s="218" t="s">
        <v>157</v>
      </c>
      <c r="F14" s="219"/>
      <c r="G14" s="219"/>
      <c r="H14" s="219"/>
      <c r="I14" s="220"/>
    </row>
    <row r="15" spans="1:9" ht="210.75" customHeight="1" x14ac:dyDescent="0.2">
      <c r="B15" s="28"/>
      <c r="C15" s="221" t="s">
        <v>17</v>
      </c>
      <c r="D15" s="222"/>
      <c r="E15" s="225" t="s">
        <v>158</v>
      </c>
      <c r="F15" s="226"/>
      <c r="G15" s="226"/>
      <c r="H15" s="226"/>
      <c r="I15" s="227"/>
    </row>
    <row r="16" spans="1:9" ht="210.75" customHeight="1" x14ac:dyDescent="0.2">
      <c r="B16" s="28"/>
      <c r="C16" s="221" t="s">
        <v>18</v>
      </c>
      <c r="D16" s="222"/>
      <c r="E16" s="225" t="s">
        <v>159</v>
      </c>
      <c r="F16" s="226"/>
      <c r="G16" s="226"/>
      <c r="H16" s="226"/>
      <c r="I16" s="227"/>
    </row>
    <row r="17" spans="2:9" ht="210.75" customHeight="1" x14ac:dyDescent="0.2">
      <c r="B17" s="29"/>
      <c r="C17" s="228" t="s">
        <v>19</v>
      </c>
      <c r="D17" s="229"/>
      <c r="E17" s="230" t="s">
        <v>167</v>
      </c>
      <c r="F17" s="231"/>
      <c r="G17" s="231"/>
      <c r="H17" s="231"/>
      <c r="I17" s="232"/>
    </row>
    <row r="18" spans="2:9" ht="24" customHeight="1" x14ac:dyDescent="0.2">
      <c r="B18" s="26" t="s">
        <v>20</v>
      </c>
      <c r="C18" s="30"/>
      <c r="D18" s="31"/>
      <c r="E18" s="32"/>
      <c r="F18" s="32"/>
      <c r="G18" s="32"/>
      <c r="H18" s="32"/>
      <c r="I18" s="35"/>
    </row>
    <row r="19" spans="2:9" ht="218.25" customHeight="1" x14ac:dyDescent="0.2">
      <c r="B19" s="28"/>
      <c r="C19" s="221" t="s">
        <v>21</v>
      </c>
      <c r="D19" s="222"/>
      <c r="E19" s="226" t="s">
        <v>160</v>
      </c>
      <c r="F19" s="226"/>
      <c r="G19" s="226"/>
      <c r="H19" s="226"/>
      <c r="I19" s="227"/>
    </row>
    <row r="20" spans="2:9" ht="218.25" customHeight="1" x14ac:dyDescent="0.2">
      <c r="B20" s="29"/>
      <c r="C20" s="228" t="s">
        <v>22</v>
      </c>
      <c r="D20" s="229"/>
      <c r="E20" s="231" t="s">
        <v>194</v>
      </c>
      <c r="F20" s="231"/>
      <c r="G20" s="231"/>
      <c r="H20" s="231"/>
      <c r="I20" s="232"/>
    </row>
    <row r="21" spans="2:9" ht="218.25" customHeight="1" x14ac:dyDescent="0.2">
      <c r="B21" s="238" t="s">
        <v>23</v>
      </c>
      <c r="C21" s="239"/>
      <c r="D21" s="240"/>
      <c r="E21" s="241" t="s">
        <v>161</v>
      </c>
      <c r="F21" s="241"/>
      <c r="G21" s="241"/>
      <c r="H21" s="241"/>
      <c r="I21" s="242"/>
    </row>
    <row r="22" spans="2:9" ht="218.25" customHeight="1" x14ac:dyDescent="0.2">
      <c r="B22" s="233" t="s">
        <v>121</v>
      </c>
      <c r="C22" s="234"/>
      <c r="D22" s="235"/>
      <c r="E22" s="236" t="s">
        <v>162</v>
      </c>
      <c r="F22" s="236"/>
      <c r="G22" s="236"/>
      <c r="H22" s="236"/>
      <c r="I22" s="237"/>
    </row>
    <row r="23" spans="2:9" ht="22.5" customHeight="1" x14ac:dyDescent="0.2">
      <c r="B23" s="4"/>
      <c r="C23" s="4"/>
      <c r="D23" s="4"/>
      <c r="E23" s="4"/>
      <c r="F23" s="4"/>
      <c r="G23" s="4"/>
      <c r="H23" s="4"/>
      <c r="I23" s="4"/>
    </row>
    <row r="24" spans="2:9" ht="22.5" customHeight="1" x14ac:dyDescent="0.2">
      <c r="B24" s="4"/>
      <c r="C24" s="4"/>
      <c r="D24" s="4"/>
      <c r="E24" s="4"/>
      <c r="F24" s="4"/>
      <c r="G24" s="4"/>
      <c r="H24" s="4"/>
      <c r="I24" s="4"/>
    </row>
    <row r="25" spans="2:9" ht="22.5" customHeight="1" x14ac:dyDescent="0.2">
      <c r="B25" s="4"/>
      <c r="C25" s="4"/>
      <c r="D25" s="4"/>
      <c r="E25" s="4"/>
      <c r="F25" s="4"/>
      <c r="G25" s="4"/>
      <c r="H25" s="4"/>
      <c r="I25" s="4"/>
    </row>
    <row r="26" spans="2:9" ht="22.5" customHeight="1" x14ac:dyDescent="0.2">
      <c r="B26" s="4"/>
      <c r="C26" s="4"/>
      <c r="D26" s="4"/>
      <c r="E26" s="4"/>
      <c r="F26" s="4"/>
      <c r="G26" s="4"/>
      <c r="H26" s="4"/>
      <c r="I26" s="4"/>
    </row>
    <row r="27" spans="2:9" ht="22.5" customHeight="1" x14ac:dyDescent="0.2">
      <c r="B27" s="4"/>
      <c r="C27" s="4"/>
      <c r="D27" s="4"/>
      <c r="E27" s="4"/>
      <c r="F27" s="4"/>
      <c r="G27" s="4"/>
      <c r="H27" s="4"/>
      <c r="I27" s="4"/>
    </row>
    <row r="28" spans="2:9" ht="22.5" customHeight="1" x14ac:dyDescent="0.2">
      <c r="B28" s="14"/>
      <c r="C28" s="14"/>
      <c r="D28" s="14"/>
      <c r="E28" s="14"/>
      <c r="F28" s="14"/>
      <c r="G28" s="14"/>
      <c r="H28" s="14"/>
      <c r="I28" s="14"/>
    </row>
    <row r="29" spans="2:9" ht="22.5" customHeight="1" x14ac:dyDescent="0.2">
      <c r="B29" s="14"/>
      <c r="C29" s="14"/>
      <c r="D29" s="14"/>
      <c r="E29" s="14"/>
      <c r="F29" s="14"/>
      <c r="G29" s="14"/>
      <c r="H29" s="14"/>
      <c r="I29" s="14"/>
    </row>
    <row r="30" spans="2:9" ht="22.5" customHeight="1" x14ac:dyDescent="0.2">
      <c r="B30" s="14"/>
      <c r="C30" s="14"/>
      <c r="D30" s="14"/>
      <c r="E30" s="14"/>
      <c r="F30" s="14"/>
      <c r="G30" s="14"/>
      <c r="H30" s="14"/>
      <c r="I30" s="14"/>
    </row>
  </sheetData>
  <mergeCells count="22">
    <mergeCell ref="B22:D22"/>
    <mergeCell ref="E22:I22"/>
    <mergeCell ref="C19:D19"/>
    <mergeCell ref="E19:I19"/>
    <mergeCell ref="C20:D20"/>
    <mergeCell ref="E20:I20"/>
    <mergeCell ref="B21:D21"/>
    <mergeCell ref="E21:I21"/>
    <mergeCell ref="C15:D15"/>
    <mergeCell ref="E15:I15"/>
    <mergeCell ref="C16:D16"/>
    <mergeCell ref="E16:I16"/>
    <mergeCell ref="C17:D17"/>
    <mergeCell ref="E17:I17"/>
    <mergeCell ref="C14:D14"/>
    <mergeCell ref="E14:I14"/>
    <mergeCell ref="A3:I3"/>
    <mergeCell ref="B11:D11"/>
    <mergeCell ref="E11:I11"/>
    <mergeCell ref="C13:D13"/>
    <mergeCell ref="E13:I13"/>
    <mergeCell ref="B6:H6"/>
  </mergeCells>
  <phoneticPr fontId="1"/>
  <printOptions horizontalCentered="1"/>
  <pageMargins left="0.78740157480314965" right="0.78740157480314965" top="0.78740157480314965" bottom="0.59055118110236227" header="0.31496062992125984" footer="0.31496062992125984"/>
  <pageSetup paperSize="9" scale="63" fitToHeight="0" orientation="portrait" r:id="rId1"/>
  <headerFooter>
    <oddHeader>&amp;C数理・データサイエンス・AI教育プログラム認定制度【リテラシーレベル】</oddHeader>
  </headerFooter>
  <rowBreaks count="1" manualBreakCount="1">
    <brk id="17" max="9"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2ac5c221-a169-45c4-abce-f1f17e24d22b">
      <Terms xmlns="http://schemas.microsoft.com/office/infopath/2007/PartnerControls"/>
    </lcf76f155ced4ddcb4097134ff3c332f>
    <TaxCatchAll xmlns="7d5d885c-c3ef-4478-865e-6a8088d835b8" xsi:nil="true"/>
  </documentManagement>
</p:properties>
</file>

<file path=customXml/item3.xml><?xml version="1.0" encoding="utf-8"?>
<ct:contentTypeSchema xmlns:ct="http://schemas.microsoft.com/office/2006/metadata/contentType" xmlns:ma="http://schemas.microsoft.com/office/2006/metadata/properties/metaAttributes" ct:_="" ma:_="" ma:contentTypeName="ドキュメント" ma:contentTypeID="0x010100C61D80C84B058A459DF56D6D960DE54E" ma:contentTypeVersion="16" ma:contentTypeDescription="新しいドキュメントを作成します。" ma:contentTypeScope="" ma:versionID="bfcc829784f6feeec6643842ece03ed6">
  <xsd:schema xmlns:xsd="http://www.w3.org/2001/XMLSchema" xmlns:xs="http://www.w3.org/2001/XMLSchema" xmlns:p="http://schemas.microsoft.com/office/2006/metadata/properties" xmlns:ns2="7d5d885c-c3ef-4478-865e-6a8088d835b8" xmlns:ns3="2ac5c221-a169-45c4-abce-f1f17e24d22b" targetNamespace="http://schemas.microsoft.com/office/2006/metadata/properties" ma:root="true" ma:fieldsID="934b97670934e5dd05b4b0a82d3763d8" ns2:_="" ns3:_="">
    <xsd:import namespace="7d5d885c-c3ef-4478-865e-6a8088d835b8"/>
    <xsd:import namespace="2ac5c221-a169-45c4-abce-f1f17e24d22b"/>
    <xsd:element name="properties">
      <xsd:complexType>
        <xsd:sequence>
          <xsd:element name="documentManagement">
            <xsd:complexType>
              <xsd:all>
                <xsd:element ref="ns2:SharedWithUsers" minOccurs="0"/>
                <xsd:element ref="ns2:SharedWithDetails" minOccurs="0"/>
                <xsd:element ref="ns3:MediaServiceMetadata" minOccurs="0"/>
                <xsd:element ref="ns3:MediaServiceFastMetadata" minOccurs="0"/>
                <xsd:element ref="ns3:MediaServiceSearchProperties" minOccurs="0"/>
                <xsd:element ref="ns3:MediaServiceObjectDetectorVersions" minOccurs="0"/>
                <xsd:element ref="ns3:lcf76f155ced4ddcb4097134ff3c332f" minOccurs="0"/>
                <xsd:element ref="ns2:TaxCatchAll" minOccurs="0"/>
                <xsd:element ref="ns3:MediaServiceDateTaken" minOccurs="0"/>
                <xsd:element ref="ns3:MediaServiceGenerationTime" minOccurs="0"/>
                <xsd:element ref="ns3:MediaServiceEventHashCode" minOccurs="0"/>
                <xsd:element ref="ns3:MediaServiceOCR" minOccurs="0"/>
                <xsd:element ref="ns3:MediaLengthInSeconds" minOccurs="0"/>
                <xsd:element ref="ns3:MediaServiceLocation" minOccurs="0"/>
                <xsd:element ref="ns3: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7d5d885c-c3ef-4478-865e-6a8088d835b8" elementFormDefault="qualified">
    <xsd:import namespace="http://schemas.microsoft.com/office/2006/documentManagement/types"/>
    <xsd:import namespace="http://schemas.microsoft.com/office/infopath/2007/PartnerControls"/>
    <xsd:element name="SharedWithUsers" ma:index="8" nillable="true" ma:displayName="共有相手"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共有相手の詳細情報" ma:internalName="SharedWithDetails" ma:readOnly="true">
      <xsd:simpleType>
        <xsd:restriction base="dms:Note">
          <xsd:maxLength value="255"/>
        </xsd:restriction>
      </xsd:simpleType>
    </xsd:element>
    <xsd:element name="TaxCatchAll" ma:index="16" nillable="true" ma:displayName="Taxonomy Catch All Column" ma:hidden="true" ma:list="{2fc87b1a-40eb-4a6f-a820-945e373118a9}" ma:internalName="TaxCatchAll" ma:showField="CatchAllData" ma:web="7d5d885c-c3ef-4478-865e-6a8088d835b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2ac5c221-a169-45c4-abce-f1f17e24d22b" elementFormDefault="qualified">
    <xsd:import namespace="http://schemas.microsoft.com/office/2006/documentManagement/types"/>
    <xsd:import namespace="http://schemas.microsoft.com/office/infopath/2007/PartnerControls"/>
    <xsd:element name="MediaServiceMetadata" ma:index="10" nillable="true" ma:displayName="MediaServiceMetadata" ma:hidden="true" ma:internalName="MediaServiceMetadata" ma:readOnly="true">
      <xsd:simpleType>
        <xsd:restriction base="dms:Note"/>
      </xsd:simpleType>
    </xsd:element>
    <xsd:element name="MediaServiceFastMetadata" ma:index="11" nillable="true" ma:displayName="MediaServiceFastMetadata" ma:hidden="true" ma:internalName="MediaServiceFastMetadata" ma:readOnly="true">
      <xsd:simpleType>
        <xsd:restriction base="dms:Note"/>
      </xsd:simpleType>
    </xsd:element>
    <xsd:element name="MediaServiceSearchProperties" ma:index="12" nillable="true" ma:displayName="MediaServiceSearchProperties" ma:hidden="true" ma:internalName="MediaServiceSearchProperties"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画像タグ" ma:readOnly="false" ma:fieldId="{5cf76f15-5ced-4ddc-b409-7134ff3c332f}" ma:taxonomyMulti="true" ma:sspId="64112c85-d02e-4a0e-ba3d-ae328fa5b0c7" ma:termSetId="09814cd3-568e-fe90-9814-8d621ff8fb84" ma:anchorId="fba54fb3-c3e1-fe81-a776-ca4b69148c4d" ma:open="true" ma:isKeyword="false">
      <xsd:complexType>
        <xsd:sequence>
          <xsd:element ref="pc:Terms" minOccurs="0" maxOccurs="1"/>
        </xsd:sequence>
      </xsd:complex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1628D72-B936-466A-A8C2-7E51D5440456}">
  <ds:schemaRefs>
    <ds:schemaRef ds:uri="http://schemas.microsoft.com/sharepoint/v3/contenttype/forms"/>
  </ds:schemaRefs>
</ds:datastoreItem>
</file>

<file path=customXml/itemProps2.xml><?xml version="1.0" encoding="utf-8"?>
<ds:datastoreItem xmlns:ds="http://schemas.openxmlformats.org/officeDocument/2006/customXml" ds:itemID="{3CC50AA1-299D-4935-A150-EC214069BDD0}">
  <ds:schemaRefs>
    <ds:schemaRef ds:uri="http://www.w3.org/XML/1998/namespace"/>
    <ds:schemaRef ds:uri="7d5d885c-c3ef-4478-865e-6a8088d835b8"/>
    <ds:schemaRef ds:uri="http://purl.org/dc/dcmitype/"/>
    <ds:schemaRef ds:uri="http://schemas.microsoft.com/office/2006/documentManagement/types"/>
    <ds:schemaRef ds:uri="http://purl.org/dc/elements/1.1/"/>
    <ds:schemaRef ds:uri="http://schemas.microsoft.com/office/2006/metadata/properties"/>
    <ds:schemaRef ds:uri="http://schemas.microsoft.com/office/infopath/2007/PartnerControls"/>
    <ds:schemaRef ds:uri="http://schemas.openxmlformats.org/package/2006/metadata/core-properties"/>
    <ds:schemaRef ds:uri="2ac5c221-a169-45c4-abce-f1f17e24d22b"/>
    <ds:schemaRef ds:uri="http://purl.org/dc/terms/"/>
  </ds:schemaRefs>
</ds:datastoreItem>
</file>

<file path=customXml/itemProps3.xml><?xml version="1.0" encoding="utf-8"?>
<ds:datastoreItem xmlns:ds="http://schemas.openxmlformats.org/officeDocument/2006/customXml" ds:itemID="{ACB0128C-5A14-4F7A-BA6E-99D045A3FE8B}"/>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5</vt:i4>
      </vt:variant>
    </vt:vector>
  </HeadingPairs>
  <TitlesOfParts>
    <vt:vector size="9" baseType="lpstr">
      <vt:lpstr>様式１　プログラムを構成する授業科目</vt:lpstr>
      <vt:lpstr>様式２ 履修者等数の実績</vt:lpstr>
      <vt:lpstr>様式３ 教育の質・履修者数を向上させるための体制・計画</vt:lpstr>
      <vt:lpstr>様式４　自己点検・評価</vt:lpstr>
      <vt:lpstr>'様式１　プログラムを構成する授業科目'!Print_Area</vt:lpstr>
      <vt:lpstr>'様式２ 履修者等数の実績'!Print_Area</vt:lpstr>
      <vt:lpstr>'様式３ 教育の質・履修者数を向上させるための体制・計画'!Print_Area</vt:lpstr>
      <vt:lpstr>'様式４　自己点検・評価'!Print_Area</vt:lpstr>
      <vt:lpstr>'様式４　自己点検・評価'!Print_Titles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坂本彩希絵</cp:lastModifiedBy>
  <cp:lastPrinted>2025-03-17T01:22:06Z</cp:lastPrinted>
  <dcterms:created xsi:type="dcterms:W3CDTF">2011-06-14T05:32:50Z</dcterms:created>
  <dcterms:modified xsi:type="dcterms:W3CDTF">2025-07-08T23:15:07Z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899a617-f30e-4fb8-b81c-fb6d0b94ac5b_Enabled">
    <vt:lpwstr>true</vt:lpwstr>
  </property>
  <property fmtid="{D5CDD505-2E9C-101B-9397-08002B2CF9AE}" pid="3" name="MSIP_Label_d899a617-f30e-4fb8-b81c-fb6d0b94ac5b_SetDate">
    <vt:lpwstr>2022-02-15T08:32:27Z</vt:lpwstr>
  </property>
  <property fmtid="{D5CDD505-2E9C-101B-9397-08002B2CF9AE}" pid="4" name="MSIP_Label_d899a617-f30e-4fb8-b81c-fb6d0b94ac5b_Method">
    <vt:lpwstr>Standard</vt:lpwstr>
  </property>
  <property fmtid="{D5CDD505-2E9C-101B-9397-08002B2CF9AE}" pid="5" name="MSIP_Label_d899a617-f30e-4fb8-b81c-fb6d0b94ac5b_Name">
    <vt:lpwstr>機密性2情報</vt:lpwstr>
  </property>
  <property fmtid="{D5CDD505-2E9C-101B-9397-08002B2CF9AE}" pid="6" name="MSIP_Label_d899a617-f30e-4fb8-b81c-fb6d0b94ac5b_SiteId">
    <vt:lpwstr>545810b0-36cb-4290-8926-48dbc0f9e92f</vt:lpwstr>
  </property>
  <property fmtid="{D5CDD505-2E9C-101B-9397-08002B2CF9AE}" pid="7" name="MSIP_Label_d899a617-f30e-4fb8-b81c-fb6d0b94ac5b_ActionId">
    <vt:lpwstr>2e617815-3938-4bbf-9581-e4cafc8cacf8</vt:lpwstr>
  </property>
  <property fmtid="{D5CDD505-2E9C-101B-9397-08002B2CF9AE}" pid="8" name="MSIP_Label_d899a617-f30e-4fb8-b81c-fb6d0b94ac5b_ContentBits">
    <vt:lpwstr>0</vt:lpwstr>
  </property>
  <property fmtid="{D5CDD505-2E9C-101B-9397-08002B2CF9AE}" pid="9" name="ContentTypeId">
    <vt:lpwstr>0x010100C61D80C84B058A459DF56D6D960DE54E</vt:lpwstr>
  </property>
  <property fmtid="{D5CDD505-2E9C-101B-9397-08002B2CF9AE}" pid="10" name="MediaServiceImageTags">
    <vt:lpwstr/>
  </property>
</Properties>
</file>