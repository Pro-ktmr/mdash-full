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SV\02.kyoumu\01.教務関係\12.教員免許申請・資格･検定\★認定　数理・データサイエンス・AI教育プログラム【短大】\2025_申請関係\★提出data\びわこ学院大学短期大学部\01_びわこ学院大学短期大学部_リテラシー\"/>
    </mc:Choice>
  </mc:AlternateContent>
  <xr:revisionPtr revIDLastSave="0" documentId="13_ncr:1_{5F7C9BD5-CF31-4DAE-BD61-76A6FD968360}" xr6:coauthVersionLast="36" xr6:coauthVersionMax="36" xr10:uidLastSave="{00000000-0000-0000-0000-000000000000}"/>
  <bookViews>
    <workbookView xWindow="29610" yWindow="-120" windowWidth="28110" windowHeight="164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<sst xmlns="http://schemas.openxmlformats.org/spreadsheetml/2006/main" count="282" uniqueCount="190">
  <si>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</si>
  <si>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</si>
  <si>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</si>
  <si>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</si>
  <si>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</si>
  <si>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</si>
  <si>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</si>
  <si>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</si>
  <si>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</si>
  <si>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</si>
  <si>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</si>
  <si>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</si>
  <si>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</si>
  <si>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</si>
  <si>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</si>
  <si>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</si>
  <si>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</si>
  <si>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</si>
  <si>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</si>
  <si>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</si>
  <si>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</si>
  <si>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</si>
  <si>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</si>
  <si>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</si>
  <si>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</si>
  <si>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</si>
  <si>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</si>
  <si>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</si>
  <si>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</si>
  <si>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</si>
  <si>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</si>
  <si>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</si>
  <si>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</si>
  <si>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</si>
  <si>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</si>
  <si>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</si>
  <si>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</si>
  <si>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</si>
  <si>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</si>
  <si>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</si>
  <si>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</si>
  <si>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</si>
  <si>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</si>
  <si>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</si>
  <si>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</si>
  <si>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</si>
  <si>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</si>
  <si>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</si>
  <si>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</si>
  <si>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</si>
  <si>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</si>
  <si>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</si>
  <si>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</si>
  <si>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</si>
  <si>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</si>
  <si>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</si>
  <si>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</si>
  <si>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</si>
  <si>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</si>
  <si>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</si>
  <si>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</si>
  <si>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</si>
  <si>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</si>
  <si>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</si>
  <si>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</si>
  <si>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</si>
  <si>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</si>
  <si>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</si>
  <si>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</si>
  <si>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</si>
  <si>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</si>
  <si>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</si>
  <si>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</si>
  <si>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</si>
  <si>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</si>
  <si>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</si>
  <si>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</si>
  <si>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</si>
  <si>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</si>
  <si>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</si>
  <si>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</si>
  <si>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</si>
  <si>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</si>
  <si>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</si>
  <si>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</si>
  <si>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</si>
  <si>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</si>
  <si>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</si>
  <si>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</si>
  <si>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</si>
  <si>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</si>
  <si>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</si>
  <si>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</si>
  <si>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</si>
  <si>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</si>
  <si>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</si>
  <si>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</si>
  <si>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</si>
  <si>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</si>
  <si>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</si>
  <si>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</si>
  <si>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</si>
  <si>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</si>
  <si>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</si>
  <si>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</si>
  <si>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</si>
  <si>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</si>
  <si>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</si>
  <si>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</si>
  <si>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</si>
  <si>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</si>
  <si>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</si>
  <si>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</si>
  <si>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</si>
  <si>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</si>
  <si>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</si>
  <si>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</si>
  <si>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</si>
  <si>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</si>
  <si>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</si>
  <si>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</si>
  <si>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</si>
  <si>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</si>
  <si>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</si>
  <si>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</si>
  <si>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</si>
  <si>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</si>
  <si>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</si>
  <si>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</si>
  <si>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</si>
  <si>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</si>
  <si>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</si>
  <si>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</si>
  <si>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</si>
  <si>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</si>
  <si>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</si>
  <si>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</si>
  <si>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</si>
  <si>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</si>
  <si>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</si>
  <si>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</si>
  <si>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</si>
  <si>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</si>
  <si>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びわこ学院大学短期大学部</t>
    <phoneticPr fontId="1"/>
  </si>
  <si>
    <t>数理・データサイエンス・AI教育プログラム</t>
    <phoneticPr fontId="1"/>
  </si>
  <si>
    <t>学部・学科によって、修了要件は相違しない</t>
  </si>
  <si>
    <t>リテラシー入門</t>
  </si>
  <si>
    <t>○</t>
  </si>
  <si>
    <t>リテラシー入門</t>
    <rPh sb="5" eb="7">
      <t>ニュウモン</t>
    </rPh>
    <phoneticPr fontId="1"/>
  </si>
  <si>
    <t>パソコン活用Ⅱ</t>
    <rPh sb="4" eb="6">
      <t>カツヨウ</t>
    </rPh>
    <phoneticPr fontId="1"/>
  </si>
  <si>
    <t>・ビッグデータ、IoT 、AI 、ロボット　「リテラシー入門」（7回目）
・データ量の増加、計算機の処理性能の向上　「リテラシー入門」（7回目）
・第４次産業革命、Society5.0、データ駆動型社会　「リテラシー入門」（7回目）
・複数技術を組み合わせたAIサービス　「リテラシー入門」（7回目）
・データを起点としたものの⾒⽅　「リテラシー入門」（7回目）</t>
    <phoneticPr fontId="1"/>
  </si>
  <si>
    <t>・AI等を活用した新しいビジネスモデル（シェアリングエコノミー、商品のレコメンデーションなど）　「リテラシー入門」（１２回目）
・AI最新技術の活用例（深層生成モデル、敵対的生成ネットワーク、強化学習、転移学習など）　「リテラシー入門」（１２回目）</t>
    <phoneticPr fontId="1"/>
  </si>
  <si>
    <t>・調査データ、実験データ、人の行動ログデータ、など　「リテラシー入門」（８回目）
・1次データ、2次データ、データのメタ化　「リテラシー入門」（８回目）
・構造化データと非構造化データ（文章、画像/動画、音声/音楽など）　「リテラシー入門」（８回目）
・データ作成（ビッグデータとアノテーション）　「リテラシー入門」（８回目）
・データのオープン化（オープンデータ）　「リテラシー入門」（８回目）</t>
    <phoneticPr fontId="1"/>
  </si>
  <si>
    <t>・データ・AI活用領域の広がり（生産、消費、文化活動など）　「リテラシー入門」（９回目）
・研究開発、調達、製造、物流、販売、マーケティング、サービスなど　「リテラシー入門」（９回目）
・仮説検証、知識発見、原因究明、計画策定、判断支援、活動代替、新規生成、　「リテラシー入門」（９回目）</t>
    <phoneticPr fontId="1"/>
  </si>
  <si>
    <t>・データ解析：予測、グルーピング、パターン発見、最適化、シミュレーション・データ同化など　「リテラシー入門」（１０回目）
・データの可視化：複合グラフ、2軸グラフ、多次元の可視化、関係性の可視化、地図上の可視化、挙動・軌跡の可視化、リアルタイム可視化　「リテラシー入門」（１０回目）
・非構造化データ処理：言語処理、画像処理、音声処理など　「リテラシー入門」（１０回目）
・特化型AIと汎用AI、今のAIに出来ることと出来ないこと、AIとビッグデータ　「リテラシー入門」（１０回目）
・認識技術、ルールベース、自動化技術　「リテラシー入門」（１０回目）</t>
    <phoneticPr fontId="1"/>
  </si>
  <si>
    <t>・データサイエンスのサイクル（課題抽出と定式化、データの取得・管理・加工、探索的データ解析、データ解析と推論、結果の共有・伝達、課題解決に向けた提案　「リテラシー入門」（１１回目）
・流通、製造、金融、サービス、インフラ、公共、ヘルスケア等におけるデータ・AI利活用事例紹介　「リテラシー入門」（１１回目）</t>
    <phoneticPr fontId="1"/>
  </si>
  <si>
    <t>・ELSI（Ethical, Legal and Social Issues）　「リテラシー入門」（１３回目）
・個人情報保護、EU一般データ保護規則（GDPR）、忘れられる権利、オプトアウト　「リテラシー入門」（１３回目）
・データ倫理：データのねつ造、改ざん、盗用、プライバシー保護　「リテラシー入門」（１３回目）
・AI社会原則（公平性、説明責任、透明性、人間中心の判断）　「リテラシー入門」（１３回目）
・データバイアス、アルゴリズムバイアス　「リテラシー入門」（１３回目）
・データ・AI活用における負の事例紹介　「リテラシー入門」（１３回目）</t>
    <phoneticPr fontId="1"/>
  </si>
  <si>
    <t>・情報セキュリティ：機密性、完全性、可用性　「リテラシー入門」（１４回目）
・匿名加工情報、暗号化、パスワード、悪意ある情報搾取　「リテラシー入門」（１４回目）
・情報漏洩等のセキュリティ事故の事例紹介　「リテラシー入門」（１４回目）</t>
    <phoneticPr fontId="1"/>
  </si>
  <si>
    <t>・データの種類（量的変数、質的変数）　「パソコン活用Ⅱ」（７回目）
・データの分布（ヒストグラム）と代表値（平均値、中央値、最頻値）　「パソコン活用Ⅱ」（７～８回目）
・代表値の性質の違い（実社会では平均値＝最頻値ではないことが多い）　「パソコン活用Ⅱ」（７回目）
・データのばらつき（標準偏差、分散、偏差値）　「パソコン活用Ⅱ」（７～８回目）
・相関と因果（相関係数、疑似相関、交絡）　「パソコン活用Ⅱ」（９～10回目）
・母集団と標本抽出（アンケート結果、全数調査、単純無作為抽出、層別抽出、多段抽出）　「パソコン活用Ⅱ」（11回目）
・クロス集計表、分割表　「パソコン活用Ⅱ」（11～12回目）
・統計情報の正しい理解（誇張表現に惑わされない）　「パソコン活用Ⅱ」（７～14回目）</t>
    <phoneticPr fontId="1"/>
  </si>
  <si>
    <t>・データ表現（棒グラフ、折線グラフ、散布図）　「パソコン活用Ⅱ」（5～15回目）
・データの図表表現（チャート化）　「パソコン活用Ⅱ」（９～10回目）
・データの比較（条件をそろえた比較、処理の前後での比較）　「パソコン活用Ⅱ」（７～８回目）
・不適切なグラフ表現（不必要な視覚的要素）　「パソコン活用Ⅱ」（９回目）
・優れた可視化事例の紹介（可視化することによって新たな気づきがあった事例など）　「パソコン活用Ⅱ」（９回目）</t>
    <phoneticPr fontId="1"/>
  </si>
  <si>
    <t>・データの編集（和、平均）　「パソコン活用Ⅱ」（1～15回目）
・データの並び替え、ランキング　「パソコン活用Ⅱ」（3～15回目）
・表形式のデータ（csv）　「パソコン活用Ⅱ」（1回目）</t>
    <phoneticPr fontId="1"/>
  </si>
  <si>
    <t>・数理・データサイエンス・AIに関する基礎的な知識やスキルが身に付けられる。
・数理・データサイエンス・AIが社会にもたらした影響について説明することができる。
・データ・AIの利活用時における留意事項およびデータを守る情報セキュリティについて理解することができる。
・様々なデータを適切に分析するための基本的なデータ処理技術が身に付けられる。
・統計解析されたデータの結果やグラフから、その特徴について理解し、説明することができる。</t>
    <rPh sb="1" eb="2">
      <t>スウ</t>
    </rPh>
    <rPh sb="16" eb="17">
      <t>カン</t>
    </rPh>
    <rPh sb="19" eb="22">
      <t>キソテキ</t>
    </rPh>
    <rPh sb="23" eb="25">
      <t>チシキ</t>
    </rPh>
    <rPh sb="30" eb="31">
      <t>ミ</t>
    </rPh>
    <rPh sb="32" eb="33">
      <t>ツ</t>
    </rPh>
    <rPh sb="40" eb="42">
      <t>スウリ</t>
    </rPh>
    <rPh sb="63" eb="65">
      <t>エイキョウ</t>
    </rPh>
    <rPh sb="166" eb="167">
      <t>ツ</t>
    </rPh>
    <phoneticPr fontId="1"/>
  </si>
  <si>
    <t>令和６</t>
    <rPh sb="0" eb="2">
      <t>レイワ</t>
    </rPh>
    <phoneticPr fontId="1"/>
  </si>
  <si>
    <t>ライフデザイン学科・児童学コース</t>
    <rPh sb="7" eb="9">
      <t>ガッカ</t>
    </rPh>
    <rPh sb="10" eb="13">
      <t>ジドウガク</t>
    </rPh>
    <phoneticPr fontId="1"/>
  </si>
  <si>
    <t>ライフデザイン学科・健康福祉コース</t>
    <rPh sb="7" eb="9">
      <t>ガッカ</t>
    </rPh>
    <rPh sb="10" eb="12">
      <t>ケンコウ</t>
    </rPh>
    <rPh sb="12" eb="14">
      <t>フクシ</t>
    </rPh>
    <phoneticPr fontId="1"/>
  </si>
  <si>
    <t>ライフデザイン学科・キャリアデザインコース</t>
    <rPh sb="7" eb="9">
      <t>ガッカ</t>
    </rPh>
    <phoneticPr fontId="1"/>
  </si>
  <si>
    <t>榎本　祐子</t>
    <phoneticPr fontId="1"/>
  </si>
  <si>
    <t>委員長・教務部長</t>
    <rPh sb="0" eb="3">
      <t>イインチョウ</t>
    </rPh>
    <rPh sb="4" eb="8">
      <t>キョウムブチョウ</t>
    </rPh>
    <phoneticPr fontId="1"/>
  </si>
  <si>
    <t>びわこ学院大学短期大学部　教務委員会規程</t>
    <phoneticPr fontId="1"/>
  </si>
  <si>
    <t>教務委員会は、びわこ学院大学短期大学部における教育全般に関する事項を審議し、管理・運営する組織であるので、数理・データサイエンス・AI教育プログラムに関する授業に対して、本学学生の学力の向上につながるような、より質の高い授業の提供を目指すことを目的とする。</t>
    <phoneticPr fontId="1"/>
  </si>
  <si>
    <t>榎本　祐子</t>
    <phoneticPr fontId="1"/>
  </si>
  <si>
    <t>委員長・教務部長</t>
    <phoneticPr fontId="1"/>
  </si>
  <si>
    <t xml:space="preserve">教務委員会委員長・教務部長　ライフデザイン学科　准教授　榎本　祐子
ライフデザイン学科　教授　長嶺　共全
ライフデザイン学科　講師　吉原　真紀
教務部教務課　課長　大西　宏樹
</t>
    <rPh sb="0" eb="5">
      <t>キョウムイインカイ</t>
    </rPh>
    <rPh sb="5" eb="8">
      <t>イインチョウ</t>
    </rPh>
    <rPh sb="9" eb="11">
      <t>キョウム</t>
    </rPh>
    <rPh sb="11" eb="13">
      <t>ブチョウ</t>
    </rPh>
    <rPh sb="46" eb="48">
      <t>ナガミネ</t>
    </rPh>
    <rPh sb="49" eb="50">
      <t>トモ</t>
    </rPh>
    <rPh sb="50" eb="51">
      <t>ゼン</t>
    </rPh>
    <rPh sb="72" eb="75">
      <t>キョウムブ</t>
    </rPh>
    <rPh sb="75" eb="78">
      <t>キョウムカ</t>
    </rPh>
    <rPh sb="79" eb="81">
      <t>カチョウ</t>
    </rPh>
    <rPh sb="82" eb="84">
      <t>オオニシ</t>
    </rPh>
    <rPh sb="85" eb="87">
      <t>ヒロキ</t>
    </rPh>
    <phoneticPr fontId="1"/>
  </si>
  <si>
    <t>本学のシラバスには、教員への連絡用のメールアドレスが記載されており、授業時間外でも授業担当の教員へ直接質問できる体制を取っている。さらに、専任教員には、オフィスアワーが設けられており、授業時間外での対面質疑が可能となっている。なお、オフィスアワーの時間は、学生ポータルサイトや学内掲示板で学生に周知されている。</t>
    <rPh sb="144" eb="146">
      <t>ガクセイ</t>
    </rPh>
    <phoneticPr fontId="1"/>
  </si>
  <si>
    <r>
      <rPr>
        <sz val="12"/>
        <color theme="1"/>
        <rFont val="ＭＳ Ｐゴシック"/>
        <family val="3"/>
        <charset val="128"/>
      </rPr>
      <t>本プログラムを構成する科目の「リテラシー入門」は、本学の卒業必修科目なので、全コースの学生が必ず受講できるような体制をとっている。
また、もうひとつの構成科目である「パソコン活用Ⅱ」は、全コースの学生が受講できるように時間割を工夫するとともに、授業機材なども考慮して、</t>
    </r>
    <r>
      <rPr>
        <sz val="12"/>
        <color theme="1"/>
        <rFont val="Century"/>
        <family val="1"/>
      </rPr>
      <t>2</t>
    </r>
    <r>
      <rPr>
        <sz val="12"/>
        <color theme="1"/>
        <rFont val="ＭＳ Ｐゴシック"/>
        <family val="3"/>
        <charset val="128"/>
      </rPr>
      <t>クラスに分割して受講対応をしている。</t>
    </r>
    <phoneticPr fontId="1"/>
  </si>
  <si>
    <r>
      <rPr>
        <sz val="12"/>
        <color theme="1"/>
        <rFont val="ＭＳ Ｐゴシック"/>
        <family val="3"/>
        <charset val="128"/>
      </rPr>
      <t>本プログラムを構成する科目の「リテラシー入門」は、本学の卒業必修科目であり、</t>
    </r>
    <r>
      <rPr>
        <sz val="12"/>
        <color theme="1"/>
        <rFont val="Century"/>
        <family val="1"/>
      </rPr>
      <t>1</t>
    </r>
    <r>
      <rPr>
        <sz val="12"/>
        <color theme="1"/>
        <rFont val="ＭＳ Ｐゴシック"/>
        <family val="3"/>
        <charset val="128"/>
      </rPr>
      <t>年生春学期科目なので、新入生オリエンテーション時に全コースの学生に必ず受講するよう履修指導している。
もうひとつの構成科目である「パソコン活用Ⅱ」は、</t>
    </r>
    <r>
      <rPr>
        <sz val="12"/>
        <color theme="1"/>
        <rFont val="Century"/>
        <family val="1"/>
      </rPr>
      <t>1</t>
    </r>
    <r>
      <rPr>
        <sz val="12"/>
        <color theme="1"/>
        <rFont val="ＭＳ Ｐゴシック"/>
        <family val="3"/>
        <charset val="128"/>
      </rPr>
      <t>年生秋学期科目なので、在学生オリエンテーションのコース別ガイダンスで、数理・データサイエンス・</t>
    </r>
    <r>
      <rPr>
        <sz val="12"/>
        <color theme="1"/>
        <rFont val="Century"/>
        <family val="1"/>
      </rPr>
      <t>AI</t>
    </r>
    <r>
      <rPr>
        <sz val="12"/>
        <color theme="1"/>
        <rFont val="ＭＳ Ｐゴシック"/>
        <family val="3"/>
        <charset val="128"/>
      </rPr>
      <t>認定プログラムを受講することの意義について説明し、履修するように指導している。
また、本学のホームページ上に、本学で実施している数理・データサイエンス・</t>
    </r>
    <r>
      <rPr>
        <sz val="12"/>
        <color theme="1"/>
        <rFont val="Century"/>
        <family val="1"/>
      </rPr>
      <t>AI</t>
    </r>
    <r>
      <rPr>
        <sz val="12"/>
        <color theme="1"/>
        <rFont val="ＭＳ Ｐゴシック"/>
        <family val="3"/>
        <charset val="128"/>
      </rPr>
      <t xml:space="preserve">認定プログラムの専用ページを作成し、入学生および在学生に向けて、本学の数理・データサイエンス・ＡＩ教育について周知する準備をしている。
</t>
    </r>
    <rPh sb="41" eb="44">
      <t>ハルガッキ</t>
    </rPh>
    <rPh sb="117" eb="120">
      <t>アキガッキ</t>
    </rPh>
    <phoneticPr fontId="1"/>
  </si>
  <si>
    <r>
      <rPr>
        <sz val="12"/>
        <color theme="1"/>
        <rFont val="ＭＳ Ｐゴシック"/>
        <family val="3"/>
        <charset val="128"/>
      </rPr>
      <t>本プログラムの構成科目である「リテラシー入門」では、毎授業において授業内容に関連する動画を見せており、授業を欠席した学生には、その動画を見て授業に遅れないように指導し、授業サポートを行っている。
また、もうひとつの構成科目である「パソコン活用Ⅱ」では、教員が作成した課題プリントやオンデマンド授業の指導動画は、学生ポータルサイトを使って配信し、自由に閲覧が可能な状態にしている。そして、教員が学生の提出課題を確認するとともに提出状況なども管理し、学生の理解度を把握することで、学生各々に応じた適切な授業サポートにつなげている。</t>
    </r>
    <phoneticPr fontId="1"/>
  </si>
  <si>
    <r>
      <rPr>
        <sz val="12"/>
        <color theme="1"/>
        <rFont val="ＭＳ Ｐゴシック"/>
        <family val="3"/>
        <charset val="128"/>
      </rPr>
      <t>本プログラムを構成する科目の「リテラシー入門」は、本学の卒業必修科目であるので、令和</t>
    </r>
    <r>
      <rPr>
        <sz val="12"/>
        <color theme="1"/>
        <rFont val="Century"/>
        <family val="1"/>
      </rPr>
      <t>6</t>
    </r>
    <r>
      <rPr>
        <sz val="12"/>
        <color theme="1"/>
        <rFont val="ＭＳ Ｐゴシック"/>
        <family val="3"/>
        <charset val="128"/>
      </rPr>
      <t>年度では</t>
    </r>
    <r>
      <rPr>
        <sz val="12"/>
        <color theme="1"/>
        <rFont val="Century"/>
        <family val="1"/>
      </rPr>
      <t>3</t>
    </r>
    <r>
      <rPr>
        <sz val="12"/>
        <color theme="1"/>
        <rFont val="ＭＳ Ｐゴシック"/>
        <family val="3"/>
        <charset val="128"/>
      </rPr>
      <t>コース（キャリアデザインコース、児童学コース、健康福祉コース）の学生全員が履修した。
また、もうひとつの構成科目である「パソコン活用Ⅱ」は、キャリアデザインコースでは卒業必修科目であり、児童学コースでは幼稚園教諭免許取得には必修科目となっているので、令和</t>
    </r>
    <r>
      <rPr>
        <sz val="12"/>
        <color theme="1"/>
        <rFont val="Century"/>
        <family val="1"/>
      </rPr>
      <t>6</t>
    </r>
    <r>
      <rPr>
        <sz val="12"/>
        <color theme="1"/>
        <rFont val="ＭＳ Ｐゴシック"/>
        <family val="3"/>
        <charset val="128"/>
      </rPr>
      <t>年度は両コースの全学生が履修した。しかしながら、健康福祉コースでは、「パソコン活用Ⅱ」の履修者がなかったため、令和</t>
    </r>
    <r>
      <rPr>
        <sz val="12"/>
        <color theme="1"/>
        <rFont val="Century"/>
        <family val="1"/>
      </rPr>
      <t>6</t>
    </r>
    <r>
      <rPr>
        <sz val="12"/>
        <color theme="1"/>
        <rFont val="ＭＳ Ｐゴシック"/>
        <family val="3"/>
        <charset val="128"/>
      </rPr>
      <t>年度の本プログラムの履修者数は</t>
    </r>
    <r>
      <rPr>
        <sz val="12"/>
        <color theme="1"/>
        <rFont val="Century"/>
        <family val="1"/>
      </rPr>
      <t>0</t>
    </r>
    <r>
      <rPr>
        <sz val="12"/>
        <color theme="1"/>
        <rFont val="ＭＳ Ｐゴシック"/>
        <family val="3"/>
        <charset val="128"/>
      </rPr>
      <t>名となった。今後、健康福祉コースの履修者を増やす取り組みとして、健康福祉コースの履修登録の説明会で、本プログラムの目的と意義について説明し、学生自身が目的意識を持って「パソコン活用Ⅱ」を履修するように指導する。さらに、「パソコン活用Ⅱ」は、秋学期科目なので春学期科目である「リテラシー入門」で、現在の福祉現場における</t>
    </r>
    <r>
      <rPr>
        <sz val="12"/>
        <color theme="1"/>
        <rFont val="Century"/>
        <family val="1"/>
      </rPr>
      <t>AI</t>
    </r>
    <r>
      <rPr>
        <sz val="12"/>
        <color theme="1"/>
        <rFont val="ＭＳ Ｐゴシック"/>
        <family val="3"/>
        <charset val="128"/>
      </rPr>
      <t>の利活用の事例をたくさん紹介し、健康福祉コースの学生の関心や興味を喚起し、履修を促す。</t>
    </r>
    <rPh sb="370" eb="373">
      <t>アキガッキ</t>
    </rPh>
    <rPh sb="378" eb="381">
      <t>ハルガッキ</t>
    </rPh>
    <phoneticPr fontId="1"/>
  </si>
  <si>
    <t xml:space="preserve">本プログラムの構成科目である「リテラシー入門」と「パソコン活用Ⅱ」のそれぞれの授業評価アンケートの結果や成績評価のGPAを踏まえて、教務委員会と授業担当教員が総合的に学修成果を把握し、今後の本プログラムの内容や方針、授業カリキュラムの改善などを検討する。
</t>
    <rPh sb="20" eb="22">
      <t>ニュウモン</t>
    </rPh>
    <rPh sb="29" eb="32">
      <t>カツヨウ2</t>
    </rPh>
    <rPh sb="39" eb="41">
      <t>ジュギョウ</t>
    </rPh>
    <rPh sb="41" eb="43">
      <t>ヒョウカ</t>
    </rPh>
    <rPh sb="49" eb="51">
      <t>ケッカ</t>
    </rPh>
    <rPh sb="52" eb="56">
      <t>セイセキヒョウカ</t>
    </rPh>
    <rPh sb="61" eb="62">
      <t>フ</t>
    </rPh>
    <rPh sb="72" eb="76">
      <t>ジュギョウタントウ</t>
    </rPh>
    <rPh sb="76" eb="78">
      <t>キョウイン</t>
    </rPh>
    <rPh sb="79" eb="82">
      <t>ソウゴウテキ</t>
    </rPh>
    <rPh sb="83" eb="85">
      <t>ガクシュウ</t>
    </rPh>
    <rPh sb="85" eb="87">
      <t>セイカ</t>
    </rPh>
    <rPh sb="88" eb="90">
      <t>ハアク</t>
    </rPh>
    <rPh sb="92" eb="94">
      <t>コンゴ</t>
    </rPh>
    <rPh sb="95" eb="96">
      <t>ホン</t>
    </rPh>
    <rPh sb="102" eb="104">
      <t>ナイヨウ</t>
    </rPh>
    <rPh sb="105" eb="107">
      <t>ホウシン</t>
    </rPh>
    <rPh sb="108" eb="110">
      <t>ジュギョウ</t>
    </rPh>
    <rPh sb="117" eb="119">
      <t>カイゼン</t>
    </rPh>
    <rPh sb="122" eb="124">
      <t>ケントウ</t>
    </rPh>
    <phoneticPr fontId="1"/>
  </si>
  <si>
    <t xml:space="preserve">令和6年度の本プログラムの履修者数は40名で、修得者数は37名（修得率：92.5％）であった。
本プログラムを構成する科目の「リテラシー入門」は、本学の卒業必修科目のため、令和6年度入学生全員が履修し、全員が単位を取得している。
しかし、もうひとつの構成科目である「パソコン活用Ⅱ」については、キャリアデザインコースと児童学コースの学生は全員履修したが、健康福祉コースでは令和6年度の履修者数が0名であった。今後は、授業評価アンケートなどを参考にして、健康福祉コースの学生も興味を持つように内容等を工夫し、履修者の増加を目指す。
</t>
    <rPh sb="86" eb="88">
      <t>レイワ</t>
    </rPh>
    <rPh sb="89" eb="91">
      <t>ネンド</t>
    </rPh>
    <rPh sb="91" eb="94">
      <t>ニュウガクセイ</t>
    </rPh>
    <rPh sb="94" eb="96">
      <t>ゼンイン</t>
    </rPh>
    <rPh sb="97" eb="99">
      <t>リシュウ</t>
    </rPh>
    <rPh sb="101" eb="103">
      <t>ゼンイン</t>
    </rPh>
    <rPh sb="104" eb="106">
      <t>タンイ</t>
    </rPh>
    <rPh sb="107" eb="109">
      <t>シュトク</t>
    </rPh>
    <rPh sb="159" eb="162">
      <t>ジドウガク</t>
    </rPh>
    <rPh sb="166" eb="168">
      <t>ガクセイ</t>
    </rPh>
    <rPh sb="169" eb="171">
      <t>ゼンイン</t>
    </rPh>
    <rPh sb="171" eb="173">
      <t>リシュウ</t>
    </rPh>
    <rPh sb="178" eb="182">
      <t>ケンコウフクシ</t>
    </rPh>
    <rPh sb="187" eb="189">
      <t>レイワ</t>
    </rPh>
    <rPh sb="193" eb="195">
      <t>リシュウ</t>
    </rPh>
    <rPh sb="195" eb="196">
      <t>スウ</t>
    </rPh>
    <rPh sb="196" eb="197">
      <t>シャ</t>
    </rPh>
    <rPh sb="198" eb="199">
      <t>メイ</t>
    </rPh>
    <rPh sb="204" eb="206">
      <t>コンゴ</t>
    </rPh>
    <rPh sb="226" eb="230">
      <t>ケンコウフクシ</t>
    </rPh>
    <rPh sb="234" eb="236">
      <t>ガクセイ</t>
    </rPh>
    <rPh sb="237" eb="239">
      <t>キョウミ</t>
    </rPh>
    <rPh sb="240" eb="241">
      <t>モ</t>
    </rPh>
    <rPh sb="245" eb="248">
      <t>ナイヨウトウ</t>
    </rPh>
    <rPh sb="249" eb="251">
      <t>クフウ</t>
    </rPh>
    <phoneticPr fontId="1"/>
  </si>
  <si>
    <t xml:space="preserve">本学の「学生による授業評価アンケート」において、『あなたはこの授業を十分理解できた。』の設問を設けている。その結果は、「リテラシー入門」では、授業履修者の86.0％が「非常にそう思う」もしくは「ある程度そう思う」と回答している。同様に「パソコン活用Ⅱ」では、授業履修者の100％が「非常にそう思う」もしくは「ある程度そう思う」と回答している。
今後は、更なる理解度の向上に向けて、授業担当教員はより分かりやすい授業となるよう改善していくとともに、教務委員会では本プログラムの内容や方針などについて協議する。
</t>
    <rPh sb="0" eb="2">
      <t>ホンガク</t>
    </rPh>
    <rPh sb="4" eb="6">
      <t>ガクセイ</t>
    </rPh>
    <rPh sb="9" eb="13">
      <t>ジュギョウヒョウカ</t>
    </rPh>
    <rPh sb="44" eb="46">
      <t>セツモン</t>
    </rPh>
    <rPh sb="47" eb="48">
      <t>モウ</t>
    </rPh>
    <rPh sb="55" eb="57">
      <t>ケッカ</t>
    </rPh>
    <rPh sb="65" eb="67">
      <t>ニュウモン</t>
    </rPh>
    <rPh sb="71" eb="73">
      <t>ジュギョウ</t>
    </rPh>
    <rPh sb="73" eb="76">
      <t>リシュウシャ</t>
    </rPh>
    <rPh sb="84" eb="86">
      <t>ヒジョウ</t>
    </rPh>
    <rPh sb="89" eb="90">
      <t>オモ</t>
    </rPh>
    <rPh sb="99" eb="101">
      <t>テイド</t>
    </rPh>
    <rPh sb="103" eb="104">
      <t>オモ</t>
    </rPh>
    <rPh sb="107" eb="109">
      <t>カイトウ</t>
    </rPh>
    <rPh sb="114" eb="116">
      <t>ドウヨウ</t>
    </rPh>
    <rPh sb="122" eb="125">
      <t>カツヨウ2</t>
    </rPh>
    <rPh sb="129" eb="134">
      <t>ジュギョウリシュウシャ</t>
    </rPh>
    <rPh sb="164" eb="166">
      <t>カイトウ</t>
    </rPh>
    <rPh sb="190" eb="192">
      <t>ジュギョウ</t>
    </rPh>
    <rPh sb="192" eb="194">
      <t>タントウ</t>
    </rPh>
    <rPh sb="194" eb="196">
      <t>キョウイン</t>
    </rPh>
    <rPh sb="199" eb="200">
      <t>ワ</t>
    </rPh>
    <rPh sb="205" eb="207">
      <t>ジュギョウ</t>
    </rPh>
    <rPh sb="223" eb="228">
      <t>キョウムイインカイ</t>
    </rPh>
    <rPh sb="230" eb="231">
      <t>ホン</t>
    </rPh>
    <rPh sb="237" eb="239">
      <t>ナイヨウ</t>
    </rPh>
    <rPh sb="240" eb="242">
      <t>ホウシン</t>
    </rPh>
    <rPh sb="248" eb="250">
      <t>キョウギ</t>
    </rPh>
    <phoneticPr fontId="1"/>
  </si>
  <si>
    <t>本プログラムの構成科目である「リテラシー入門」は、本学の卒業必修科目であり、また、同じく「パソコン活用Ⅱ」においてもキャリアデザインコースでは卒業必修科目であるため、学生アンケートに他の学生への推奨度を問う設問は設けていない。
しかし、アンケートの設問にある『この授業を通して、新たな知識を得たり、新たな考え方を身につけることができた。』や『総合的に判断すると、この授業を受講して満足した。』の結果は、4段階評価の平均が「リテラシー入門」はいずれも3.3以上、「パソコン活用Ⅱ」はいずれも3.5を超える高い評価を得た。
今後は、「パソコン活用Ⅱ」の履修者が少ない健康福祉コースに高い学生満足度を伝えつつ、AI等に興味を持つよう授業内容を工夫し、他の学生へ推奨してもらえるような授業となるように改善していく。
また、その改善効果を「学生による授業評価アンケート」等で検証する。</t>
    <rPh sb="83" eb="85">
      <t>ガクセイ</t>
    </rPh>
    <rPh sb="124" eb="126">
      <t>セツモン</t>
    </rPh>
    <rPh sb="197" eb="199">
      <t>ケッカ</t>
    </rPh>
    <rPh sb="365" eb="367">
      <t>ガクセイ</t>
    </rPh>
    <rPh sb="370" eb="374">
      <t>ジュギョウヒョウカ</t>
    </rPh>
    <rPh sb="380" eb="381">
      <t>トウ</t>
    </rPh>
    <rPh sb="382" eb="384">
      <t>ケンショウ</t>
    </rPh>
    <phoneticPr fontId="1"/>
  </si>
  <si>
    <t xml:space="preserve">本プログラムの構成科目である「リテラシー入門」は、本学の卒業必修科目なので、全学的な履修対象科目となっている。
また、もうひとつの構成科目である「パソコン活用Ⅱ」は、キャリアデザインコースと児童学コースは毎年すべての1年生が履修しているので、その履修率は100％である。
しかし、健康福祉コースでは、「パソコン活用Ⅱ」は選択科目であるため、履修率が低い。その対策として、履修ガイダンスなどを通じて、数理・データサイエンス・AI認定プログラムの説明を強化する必要がある。
</t>
    <rPh sb="155" eb="158">
      <t>カツヨウ2</t>
    </rPh>
    <phoneticPr fontId="1"/>
  </si>
  <si>
    <t>令和6年度からの実施であり、まだ本プログラムの修了者で卒業者はいない。
本学のキャリア支援センターでは、卒業生に対して卒業時アンケートと、卒業生の就職先に対して就業状況等を調査する就職先アンケートを実施している。これらにより、今後の本プログラムの修了者の進路、活躍状況、企業の評価などを把握する予定である。</t>
    <rPh sb="0" eb="2">
      <t>レイワ</t>
    </rPh>
    <rPh sb="3" eb="5">
      <t>ネンド</t>
    </rPh>
    <rPh sb="8" eb="10">
      <t>ジッシ</t>
    </rPh>
    <rPh sb="16" eb="17">
      <t>ホン</t>
    </rPh>
    <rPh sb="23" eb="26">
      <t>シュウリョウシャ</t>
    </rPh>
    <rPh sb="36" eb="38">
      <t>ホンガク</t>
    </rPh>
    <rPh sb="52" eb="55">
      <t>ソツギョウセイ</t>
    </rPh>
    <rPh sb="56" eb="57">
      <t>タイ</t>
    </rPh>
    <rPh sb="59" eb="61">
      <t>ソツギョウ</t>
    </rPh>
    <rPh sb="61" eb="62">
      <t>ジ</t>
    </rPh>
    <rPh sb="69" eb="72">
      <t>ソツギョウセイ</t>
    </rPh>
    <rPh sb="73" eb="75">
      <t>シュウショク</t>
    </rPh>
    <rPh sb="75" eb="76">
      <t>サキ</t>
    </rPh>
    <rPh sb="77" eb="78">
      <t>タイ</t>
    </rPh>
    <rPh sb="80" eb="84">
      <t>シュウギョウジョウキョウ</t>
    </rPh>
    <rPh sb="84" eb="85">
      <t>ナド</t>
    </rPh>
    <rPh sb="86" eb="88">
      <t>チョウサ</t>
    </rPh>
    <rPh sb="90" eb="93">
      <t>シュウショクサキ</t>
    </rPh>
    <rPh sb="99" eb="101">
      <t>ジッシ</t>
    </rPh>
    <rPh sb="113" eb="115">
      <t>コンゴ</t>
    </rPh>
    <rPh sb="116" eb="117">
      <t>ホン</t>
    </rPh>
    <rPh sb="123" eb="126">
      <t>シュウリョウシャ</t>
    </rPh>
    <rPh sb="127" eb="129">
      <t>シンロ</t>
    </rPh>
    <rPh sb="130" eb="132">
      <t>カツヤク</t>
    </rPh>
    <rPh sb="132" eb="134">
      <t>ジョウキョウ</t>
    </rPh>
    <rPh sb="135" eb="137">
      <t>キギョウ</t>
    </rPh>
    <rPh sb="138" eb="140">
      <t>ヒョウカ</t>
    </rPh>
    <rPh sb="143" eb="145">
      <t>ハアク</t>
    </rPh>
    <rPh sb="147" eb="149">
      <t>ヨテイ</t>
    </rPh>
    <phoneticPr fontId="1"/>
  </si>
  <si>
    <t>今後、本学の数理・データサイエンス・AI教育への期待や要望などについて、卒業生の就職先などにアンケートやヒアリングを実施して得られた意見は、今後の本プログラムへの改善などに活かす予定である。</t>
    <rPh sb="0" eb="2">
      <t>コンゴ</t>
    </rPh>
    <rPh sb="3" eb="5">
      <t>ホンガク</t>
    </rPh>
    <rPh sb="6" eb="8">
      <t>スウリ</t>
    </rPh>
    <rPh sb="20" eb="22">
      <t>キョウイク</t>
    </rPh>
    <rPh sb="24" eb="26">
      <t>キタイ</t>
    </rPh>
    <rPh sb="27" eb="29">
      <t>ヨウボウ</t>
    </rPh>
    <rPh sb="36" eb="39">
      <t>ソツギョウセイ</t>
    </rPh>
    <rPh sb="40" eb="43">
      <t>シュウショクサキ</t>
    </rPh>
    <rPh sb="58" eb="60">
      <t>ジッシ</t>
    </rPh>
    <rPh sb="62" eb="63">
      <t>エ</t>
    </rPh>
    <rPh sb="66" eb="68">
      <t>イケン</t>
    </rPh>
    <rPh sb="70" eb="72">
      <t>コンゴ</t>
    </rPh>
    <rPh sb="73" eb="74">
      <t>ホン</t>
    </rPh>
    <rPh sb="81" eb="83">
      <t>カイゼン</t>
    </rPh>
    <rPh sb="86" eb="87">
      <t>イ</t>
    </rPh>
    <rPh sb="89" eb="91">
      <t>ヨテイ</t>
    </rPh>
    <phoneticPr fontId="1"/>
  </si>
  <si>
    <t xml:space="preserve">本プログラムの構成科目である「リテラシー入門」では、毎回の授業で、内容に関連する動画を視聴しており、学生の視聴覚を通して、数理・データサイエンス・AIを学ぶ楽しさを喚起する工夫を取り入れている。
また、もうひとつの構成科目である「パソコン活用Ⅱ」では、学生の身近にあるデータを使用することで、自分の身近なところにもデータサイエンスやAIが利活用されていることを知ってもらい、数理・データサイエンス・AIを身近に感じることで、学ぶことの楽しさや学ぶことの意義を理解させ、積極的な学びを促す。
</t>
    <rPh sb="5" eb="7">
      <t>ニュウモン</t>
    </rPh>
    <rPh sb="9" eb="10">
      <t>ホン</t>
    </rPh>
    <rPh sb="20" eb="22">
      <t>ニュウモン</t>
    </rPh>
    <rPh sb="40" eb="42">
      <t>ドウガ</t>
    </rPh>
    <rPh sb="43" eb="45">
      <t>シチョウ</t>
    </rPh>
    <rPh sb="50" eb="52">
      <t>ガクセイ</t>
    </rPh>
    <rPh sb="54" eb="56">
      <t>チョウカク</t>
    </rPh>
    <rPh sb="57" eb="58">
      <t>トオ</t>
    </rPh>
    <rPh sb="61" eb="63">
      <t>スウリ</t>
    </rPh>
    <rPh sb="76" eb="77">
      <t>マナ</t>
    </rPh>
    <rPh sb="78" eb="79">
      <t>タノ</t>
    </rPh>
    <rPh sb="82" eb="84">
      <t>カンキ</t>
    </rPh>
    <rPh sb="86" eb="88">
      <t>クフウ</t>
    </rPh>
    <rPh sb="89" eb="90">
      <t>ト</t>
    </rPh>
    <rPh sb="91" eb="92">
      <t>イ</t>
    </rPh>
    <rPh sb="107" eb="111">
      <t>コウセイカモク</t>
    </rPh>
    <rPh sb="119" eb="122">
      <t>カツヨウ2</t>
    </rPh>
    <rPh sb="126" eb="128">
      <t>ガクセイ</t>
    </rPh>
    <rPh sb="129" eb="131">
      <t>ミジカ</t>
    </rPh>
    <rPh sb="137" eb="138">
      <t>オオ</t>
    </rPh>
    <rPh sb="152" eb="155">
      <t>リカツヨウ</t>
    </rPh>
    <rPh sb="160" eb="161">
      <t>シ</t>
    </rPh>
    <rPh sb="167" eb="169">
      <t>スウリ</t>
    </rPh>
    <rPh sb="182" eb="183">
      <t>マナ</t>
    </rPh>
    <rPh sb="187" eb="188">
      <t>タノ</t>
    </rPh>
    <rPh sb="191" eb="192">
      <t>マナ</t>
    </rPh>
    <rPh sb="196" eb="198">
      <t>イギ</t>
    </rPh>
    <rPh sb="199" eb="201">
      <t>ジュウブン</t>
    </rPh>
    <rPh sb="202" eb="204">
      <t>ミジカ</t>
    </rPh>
    <rPh sb="205" eb="206">
      <t>カン</t>
    </rPh>
    <rPh sb="212" eb="214">
      <t>リカイ</t>
    </rPh>
    <rPh sb="217" eb="220">
      <t>セッキョクテキ</t>
    </rPh>
    <rPh sb="221" eb="222">
      <t>マナ</t>
    </rPh>
    <rPh sb="224" eb="225">
      <t>ウナガ</t>
    </rPh>
    <phoneticPr fontId="1"/>
  </si>
  <si>
    <t xml:space="preserve">本学の「学生による授業評価アンケート」の結果を受けて、FD委員会や教務委員会、授業担当教員は、より良い授業の構築を目指してフィードバックを行っている。特に、学生の授業に対する理解度や満足度、教員による授業説明の分かりやすさ、授業で配布する教材の分かりやすさ、および同アンケートの自由回答記述などから、FD委員会や教務委員会、授業担当教員は、学生の授業に対する理解度や満足度などを把握し、より「分かりやすい」授業の提供につなげている。
</t>
    <rPh sb="0" eb="2">
      <t>ホンガク</t>
    </rPh>
    <rPh sb="4" eb="6">
      <t>ガクセイ</t>
    </rPh>
    <rPh sb="9" eb="13">
      <t>ジュギョウヒョウカ</t>
    </rPh>
    <rPh sb="20" eb="22">
      <t>ケッカ</t>
    </rPh>
    <rPh sb="23" eb="24">
      <t>ウ</t>
    </rPh>
    <rPh sb="29" eb="32">
      <t>イインカイ</t>
    </rPh>
    <rPh sb="33" eb="38">
      <t>キョウムイインカイ</t>
    </rPh>
    <rPh sb="39" eb="43">
      <t>ジュギョウタントウ</t>
    </rPh>
    <rPh sb="43" eb="45">
      <t>キョウイン</t>
    </rPh>
    <rPh sb="49" eb="50">
      <t>ヨ</t>
    </rPh>
    <rPh sb="51" eb="53">
      <t>ジュギョウ</t>
    </rPh>
    <rPh sb="54" eb="56">
      <t>コウチク</t>
    </rPh>
    <rPh sb="57" eb="59">
      <t>メザ</t>
    </rPh>
    <rPh sb="69" eb="70">
      <t>オコナ</t>
    </rPh>
    <rPh sb="75" eb="76">
      <t>トク</t>
    </rPh>
    <rPh sb="78" eb="80">
      <t>ガクセイ</t>
    </rPh>
    <rPh sb="81" eb="83">
      <t>ガクセイ</t>
    </rPh>
    <rPh sb="84" eb="85">
      <t>タイ</t>
    </rPh>
    <rPh sb="91" eb="94">
      <t>マンゾクド</t>
    </rPh>
    <rPh sb="97" eb="99">
      <t>キョウイン</t>
    </rPh>
    <rPh sb="102" eb="104">
      <t>ジュギョウ</t>
    </rPh>
    <rPh sb="105" eb="106">
      <t>ワ</t>
    </rPh>
    <rPh sb="121" eb="122">
      <t>ワ</t>
    </rPh>
    <rPh sb="142" eb="144">
      <t>キジュツ</t>
    </rPh>
    <rPh sb="152" eb="155">
      <t>イインカイ</t>
    </rPh>
    <rPh sb="156" eb="158">
      <t>キョウム</t>
    </rPh>
    <rPh sb="158" eb="161">
      <t>イインカイ</t>
    </rPh>
    <rPh sb="172" eb="174">
      <t>ジュギョウ</t>
    </rPh>
    <rPh sb="175" eb="176">
      <t>タイ</t>
    </rPh>
    <rPh sb="178" eb="181">
      <t>リカイド</t>
    </rPh>
    <rPh sb="183" eb="186">
      <t>マンゾクド</t>
    </rPh>
    <rPh sb="195" eb="196">
      <t>ワ</t>
    </rPh>
    <rPh sb="203" eb="205">
      <t>ジュギョウ</t>
    </rPh>
    <rPh sb="206" eb="208">
      <t>テイキョウ</t>
    </rPh>
    <phoneticPr fontId="1"/>
  </si>
  <si>
    <t>「数理・データサイエンス・AI教育プログラム」として、「リテラシー入門」(1単位)及び、「パソコン活用Ⅱ」(1単位)を履修し、単位を修得すること。
なお、「パソコン活用Ⅱ」は設備の関係上、全コース一斉に授業ができないため、2クラス編成とし、それぞれ科目名を「パソコン活用Ⅱａ」「パソコン活用Ⅱｂ」とする。</t>
    <rPh sb="41" eb="42">
      <t>オヨ</t>
    </rPh>
    <rPh sb="82" eb="85">
      <t>カツヨウ2</t>
    </rPh>
    <rPh sb="87" eb="89">
      <t>セツビ</t>
    </rPh>
    <rPh sb="90" eb="93">
      <t>カンケイジョウ</t>
    </rPh>
    <rPh sb="94" eb="95">
      <t>ゼン</t>
    </rPh>
    <rPh sb="107" eb="110">
      <t>ジドウガク</t>
    </rPh>
    <rPh sb="115" eb="117">
      <t>ヘンセイ</t>
    </rPh>
    <rPh sb="124" eb="127">
      <t>カモクメイ</t>
    </rPh>
    <rPh sb="129" eb="132">
      <t>カツヨウ2</t>
    </rPh>
    <rPh sb="139" eb="142">
      <t>カツヨウ2</t>
    </rPh>
    <rPh sb="147" eb="149">
      <t>カモク</t>
    </rPh>
    <phoneticPr fontId="1"/>
  </si>
  <si>
    <t>びわこ学院大学短期大学部　教務委員会</t>
    <phoneticPr fontId="1"/>
  </si>
  <si>
    <t>びわこ学院大学短期大学部　教務委員会</t>
    <rPh sb="13" eb="18">
      <t>キョウムイインカイ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</si>
</sst>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color theme="1"/>
      <name val="ＭＳ Ｐゴシック"/>
      <family val="3"/>
      <charset val="128"/>
    </font>
    <font>
      <sz val="12"/>
      <color theme="1"/>
      <name val="Century"/>
      <family val="1"/>
    </font>
    <font>
      <sz val="12"/>
      <color theme="1"/>
      <name val="ＭＳ Ｐゴシック"/>
      <family val="3"/>
      <charset val="128"/>
    </font>
    <font>
      <sz val="12"/>
      <color theme="1"/>
      <name val="Century"/>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14" xfId="0" applyNumberFormat="1"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7" fillId="0" borderId="2" xfId="0" applyFont="1" applyBorder="1" applyAlignment="1">
      <alignment vertical="center" wrapText="1" shrinkToFit="1"/>
    </xf>
    <xf numFmtId="0" fontId="7" fillId="0" borderId="3" xfId="0" applyFont="1" applyBorder="1" applyAlignment="1">
      <alignment vertical="center" wrapText="1" shrinkToFit="1"/>
    </xf>
    <xf numFmtId="0" fontId="7"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49" fontId="13" fillId="0" borderId="32" xfId="0" applyNumberFormat="1" applyFont="1" applyBorder="1" applyAlignment="1">
      <alignment horizontal="left" vertical="center" wrapText="1"/>
    </xf>
    <xf numFmtId="49" fontId="13" fillId="0" borderId="33" xfId="0" applyNumberFormat="1" applyFont="1" applyBorder="1" applyAlignment="1">
      <alignment horizontal="left" vertical="center"/>
    </xf>
    <xf numFmtId="49" fontId="13" fillId="0" borderId="34" xfId="0" applyNumberFormat="1" applyFont="1" applyBorder="1" applyAlignment="1">
      <alignment horizontal="left" vertical="center"/>
    </xf>
    <xf numFmtId="49" fontId="13" fillId="0" borderId="29" xfId="0" applyNumberFormat="1" applyFont="1" applyBorder="1" applyAlignment="1">
      <alignment horizontal="left" vertical="center" wrapText="1"/>
    </xf>
    <xf numFmtId="49" fontId="13" fillId="0" borderId="31" xfId="0" applyNumberFormat="1" applyFont="1" applyBorder="1" applyAlignment="1">
      <alignment horizontal="left" vertical="center"/>
    </xf>
    <xf numFmtId="49" fontId="13" fillId="0" borderId="30" xfId="0" applyNumberFormat="1" applyFont="1" applyBorder="1" applyAlignment="1">
      <alignment horizontal="left" vertical="center"/>
    </xf>
    <xf numFmtId="49" fontId="13" fillId="0" borderId="18" xfId="0" applyNumberFormat="1" applyFont="1" applyBorder="1" applyAlignment="1">
      <alignment horizontal="left" vertical="center" wrapText="1"/>
    </xf>
    <xf numFmtId="49" fontId="13" fillId="0" borderId="19" xfId="0" applyNumberFormat="1" applyFont="1" applyBorder="1" applyAlignment="1">
      <alignment horizontal="left" vertical="center"/>
    </xf>
    <xf numFmtId="49" fontId="1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4" fillId="0" borderId="7" xfId="0" applyFont="1" applyBorder="1" applyAlignment="1">
      <alignment vertical="top" wrapText="1" shrinkToFit="1"/>
    </xf>
    <xf numFmtId="0" fontId="14" fillId="0" borderId="8" xfId="0" applyFont="1" applyBorder="1" applyAlignment="1">
      <alignment vertical="top" wrapText="1" shrinkToFit="1"/>
    </xf>
    <xf numFmtId="0" fontId="14" fillId="0" borderId="9" xfId="0" applyFont="1" applyBorder="1" applyAlignment="1">
      <alignment vertical="top" shrinkToFit="1"/>
    </xf>
    <xf numFmtId="0" fontId="14" fillId="0" borderId="5" xfId="0" applyFont="1" applyBorder="1" applyAlignment="1">
      <alignment vertical="top" shrinkToFit="1"/>
    </xf>
    <xf numFmtId="0" fontId="14" fillId="0" borderId="0" xfId="0" applyFont="1" applyAlignment="1">
      <alignment vertical="top" shrinkToFit="1"/>
    </xf>
    <xf numFmtId="0" fontId="14" fillId="0" borderId="10" xfId="0" applyFont="1" applyBorder="1" applyAlignment="1">
      <alignment vertical="top" shrinkToFit="1"/>
    </xf>
    <xf numFmtId="0" fontId="14" fillId="0" borderId="11" xfId="0" applyFont="1" applyBorder="1" applyAlignment="1">
      <alignment vertical="top" shrinkToFit="1"/>
    </xf>
    <xf numFmtId="0" fontId="14" fillId="0" borderId="6" xfId="0" applyFont="1" applyBorder="1" applyAlignment="1">
      <alignment vertical="top" shrinkToFit="1"/>
    </xf>
    <xf numFmtId="0" fontId="14"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14" fillId="0" borderId="7" xfId="0" applyFont="1" applyBorder="1" applyAlignment="1">
      <alignment vertical="top" wrapText="1"/>
    </xf>
    <xf numFmtId="0" fontId="14" fillId="0" borderId="8" xfId="0" applyFont="1" applyBorder="1" applyAlignment="1">
      <alignment vertical="top" wrapText="1"/>
    </xf>
    <xf numFmtId="0" fontId="14" fillId="0" borderId="9" xfId="0" applyFont="1" applyBorder="1" applyAlignment="1">
      <alignment vertical="top" wrapText="1"/>
    </xf>
    <xf numFmtId="0" fontId="14" fillId="0" borderId="5" xfId="0" applyFont="1" applyBorder="1" applyAlignment="1">
      <alignment vertical="top" wrapText="1"/>
    </xf>
    <xf numFmtId="0" fontId="14" fillId="0" borderId="0" xfId="0" applyFont="1" applyAlignment="1">
      <alignment vertical="top" wrapText="1"/>
    </xf>
    <xf numFmtId="0" fontId="14" fillId="0" borderId="10" xfId="0" applyFont="1" applyBorder="1" applyAlignment="1">
      <alignment vertical="top" wrapText="1"/>
    </xf>
    <xf numFmtId="0" fontId="14" fillId="0" borderId="11" xfId="0" applyFont="1" applyBorder="1" applyAlignment="1">
      <alignment vertical="top" wrapText="1"/>
    </xf>
    <xf numFmtId="0" fontId="14" fillId="0" borderId="6" xfId="0" applyFont="1" applyBorder="1" applyAlignment="1">
      <alignment vertical="top" wrapText="1"/>
    </xf>
    <xf numFmtId="0" fontId="14" fillId="0" borderId="12" xfId="0" applyFont="1" applyBorder="1" applyAlignment="1">
      <alignment vertical="top" wrapText="1"/>
    </xf>
    <xf numFmtId="0" fontId="14" fillId="0" borderId="9" xfId="0" applyFont="1" applyBorder="1" applyAlignment="1">
      <alignment vertical="top"/>
    </xf>
    <xf numFmtId="0" fontId="14" fillId="0" borderId="5" xfId="0" applyFont="1" applyBorder="1" applyAlignment="1">
      <alignment vertical="top"/>
    </xf>
    <xf numFmtId="0" fontId="14" fillId="0" borderId="0" xfId="0" applyFont="1" applyAlignment="1">
      <alignment vertical="top"/>
    </xf>
    <xf numFmtId="0" fontId="14" fillId="0" borderId="10" xfId="0" applyFont="1" applyBorder="1" applyAlignment="1">
      <alignment vertical="top"/>
    </xf>
    <xf numFmtId="0" fontId="14" fillId="0" borderId="11" xfId="0" applyFont="1" applyBorder="1" applyAlignment="1">
      <alignment vertical="top"/>
    </xf>
    <xf numFmtId="0" fontId="14" fillId="0" borderId="6" xfId="0" applyFont="1" applyBorder="1" applyAlignment="1">
      <alignment vertical="top"/>
    </xf>
    <xf numFmtId="0" fontId="14"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6"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14" fillId="0" borderId="5" xfId="0" applyFont="1" applyBorder="1" applyAlignment="1">
      <alignment horizontal="left" vertical="top" wrapText="1"/>
    </xf>
    <xf numFmtId="0" fontId="14" fillId="0" borderId="0" xfId="0" applyFont="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6" xfId="0" applyFont="1" applyBorder="1" applyAlignment="1">
      <alignment horizontal="left" vertical="top" wrapText="1"/>
    </xf>
    <xf numFmtId="0" fontId="14"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80" zoomScaleNormal="100" zoomScaleSheetLayoutView="80" workbookViewId="0">
      <selection activeCell="G9" sqref="G9"/>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5" t="s">
        <v>12</v>
      </c>
      <c r="U1" s="125"/>
      <c r="V1" s="2" t="s">
        <v>94</v>
      </c>
    </row>
    <row r="2" spans="1:24" ht="18.75" customHeight="1" x14ac:dyDescent="0.15">
      <c r="B2" s="16" t="s">
        <v>93</v>
      </c>
      <c r="C2" s="126" t="s">
        <v>143</v>
      </c>
      <c r="D2" s="127"/>
      <c r="E2" s="127"/>
      <c r="F2" s="127"/>
      <c r="G2" s="127"/>
      <c r="H2" s="127"/>
      <c r="I2" s="127"/>
      <c r="J2" s="128"/>
      <c r="K2" s="17"/>
      <c r="L2" s="6"/>
      <c r="M2" s="6"/>
      <c r="N2" s="6"/>
      <c r="O2" s="6"/>
      <c r="P2" s="6"/>
      <c r="Q2" s="6"/>
      <c r="R2" s="6"/>
      <c r="S2" s="6"/>
      <c r="T2" s="6"/>
      <c r="U2" s="6"/>
    </row>
    <row r="3" spans="1:24" ht="18.75" customHeight="1" x14ac:dyDescent="0.15">
      <c r="B3" s="16" t="s">
        <v>88</v>
      </c>
      <c r="C3" s="126" t="s">
        <v>144</v>
      </c>
      <c r="D3" s="127"/>
      <c r="E3" s="127"/>
      <c r="F3" s="127"/>
      <c r="G3" s="127"/>
      <c r="H3" s="127"/>
      <c r="I3" s="127"/>
      <c r="J3" s="128"/>
      <c r="K3" s="17"/>
      <c r="L3" s="6"/>
      <c r="M3" s="6"/>
      <c r="N3" s="6"/>
      <c r="O3" s="6"/>
      <c r="P3" s="6"/>
      <c r="Q3" s="6"/>
      <c r="R3" s="6"/>
      <c r="S3" s="6"/>
      <c r="T3" s="6"/>
      <c r="U3" s="6"/>
    </row>
    <row r="4" spans="1:24" ht="15" customHeight="1" x14ac:dyDescent="0.15">
      <c r="L4" s="17"/>
      <c r="M4" s="72"/>
      <c r="N4" s="72"/>
      <c r="O4" s="72"/>
      <c r="P4" s="72"/>
      <c r="Q4" s="72"/>
      <c r="R4" s="72"/>
      <c r="S4" s="72"/>
      <c r="T4" s="72"/>
      <c r="U4" s="72"/>
    </row>
    <row r="5" spans="1:24" ht="18" customHeight="1" x14ac:dyDescent="0.15">
      <c r="A5" s="106" t="s">
        <v>141</v>
      </c>
      <c r="B5" s="106"/>
      <c r="C5" s="106"/>
      <c r="D5" s="106"/>
      <c r="E5" s="106"/>
      <c r="F5" s="106"/>
      <c r="G5" s="106"/>
      <c r="H5" s="106"/>
      <c r="I5" s="106"/>
      <c r="J5" s="106"/>
      <c r="K5" s="106"/>
      <c r="L5" s="106"/>
      <c r="M5" s="106"/>
      <c r="N5" s="106"/>
      <c r="O5" s="106"/>
      <c r="P5" s="106"/>
      <c r="Q5" s="106"/>
      <c r="R5" s="106"/>
      <c r="S5" s="106"/>
      <c r="T5" s="106"/>
      <c r="U5" s="106"/>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41" t="s">
        <v>145</v>
      </c>
      <c r="M7" s="142"/>
      <c r="N7" s="142"/>
      <c r="O7" s="142"/>
      <c r="P7" s="142"/>
      <c r="Q7" s="142"/>
      <c r="R7" s="142"/>
      <c r="S7" s="142"/>
      <c r="T7" s="142"/>
      <c r="U7" s="143"/>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4"/>
      <c r="C11" s="145"/>
      <c r="D11" s="145"/>
      <c r="E11" s="145"/>
      <c r="F11" s="145"/>
      <c r="G11" s="145"/>
      <c r="H11" s="145"/>
      <c r="I11" s="145"/>
      <c r="J11" s="145"/>
      <c r="K11" s="145"/>
      <c r="L11" s="145"/>
      <c r="M11" s="145"/>
      <c r="N11" s="145"/>
      <c r="O11" s="145"/>
      <c r="P11" s="145"/>
      <c r="Q11" s="145"/>
      <c r="R11" s="145"/>
      <c r="S11" s="145"/>
      <c r="T11" s="145"/>
      <c r="U11" s="146"/>
    </row>
    <row r="12" spans="1:24" ht="18" customHeight="1" x14ac:dyDescent="0.15">
      <c r="B12" s="147"/>
      <c r="C12" s="148"/>
      <c r="D12" s="148"/>
      <c r="E12" s="148"/>
      <c r="F12" s="148"/>
      <c r="G12" s="148"/>
      <c r="H12" s="148"/>
      <c r="I12" s="148"/>
      <c r="J12" s="148"/>
      <c r="K12" s="148"/>
      <c r="L12" s="148"/>
      <c r="M12" s="148"/>
      <c r="N12" s="148"/>
      <c r="O12" s="148"/>
      <c r="P12" s="148"/>
      <c r="Q12" s="148"/>
      <c r="R12" s="148"/>
      <c r="S12" s="148"/>
      <c r="T12" s="148"/>
      <c r="U12" s="149"/>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7"/>
      <c r="F14" s="17"/>
      <c r="G14" s="17"/>
      <c r="H14" s="17"/>
      <c r="I14" s="17"/>
      <c r="J14" s="17"/>
      <c r="K14" s="17"/>
      <c r="L14" s="73"/>
      <c r="M14" s="73"/>
      <c r="N14" s="73"/>
      <c r="O14" s="73"/>
      <c r="P14" s="73"/>
      <c r="Q14" s="73"/>
      <c r="R14" s="73"/>
      <c r="S14" s="73"/>
      <c r="T14" s="73"/>
      <c r="U14" s="73"/>
    </row>
    <row r="15" spans="1:24" ht="18" customHeight="1" x14ac:dyDescent="0.15">
      <c r="B15" s="107" t="s">
        <v>187</v>
      </c>
      <c r="C15" s="108"/>
      <c r="D15" s="108"/>
      <c r="E15" s="108"/>
      <c r="F15" s="108"/>
      <c r="G15" s="108"/>
      <c r="H15" s="108"/>
      <c r="I15" s="108"/>
      <c r="J15" s="108"/>
      <c r="K15" s="108"/>
      <c r="L15" s="108"/>
      <c r="M15" s="108"/>
      <c r="N15" s="108"/>
      <c r="O15" s="108"/>
      <c r="P15" s="108"/>
      <c r="Q15" s="108"/>
      <c r="R15" s="108"/>
      <c r="S15" s="108"/>
      <c r="T15" s="108"/>
      <c r="U15" s="109"/>
      <c r="X15" s="1" t="s">
        <v>89</v>
      </c>
    </row>
    <row r="16" spans="1:24" ht="18" customHeight="1" x14ac:dyDescent="0.15">
      <c r="B16" s="110"/>
      <c r="C16" s="111"/>
      <c r="D16" s="111"/>
      <c r="E16" s="111"/>
      <c r="F16" s="111"/>
      <c r="G16" s="111"/>
      <c r="H16" s="111"/>
      <c r="I16" s="111"/>
      <c r="J16" s="111"/>
      <c r="K16" s="111"/>
      <c r="L16" s="111"/>
      <c r="M16" s="111"/>
      <c r="N16" s="111"/>
      <c r="O16" s="111"/>
      <c r="P16" s="111"/>
      <c r="Q16" s="111"/>
      <c r="R16" s="111"/>
      <c r="S16" s="111"/>
      <c r="T16" s="111"/>
      <c r="U16" s="112"/>
      <c r="X16" s="1" t="s">
        <v>122</v>
      </c>
    </row>
    <row r="17" spans="1:24" ht="18" customHeight="1" x14ac:dyDescent="0.15">
      <c r="B17" s="110"/>
      <c r="C17" s="111"/>
      <c r="D17" s="111"/>
      <c r="E17" s="111"/>
      <c r="F17" s="111"/>
      <c r="G17" s="111"/>
      <c r="H17" s="111"/>
      <c r="I17" s="111"/>
      <c r="J17" s="111"/>
      <c r="K17" s="111"/>
      <c r="L17" s="111"/>
      <c r="M17" s="111"/>
      <c r="N17" s="111"/>
      <c r="O17" s="111"/>
      <c r="P17" s="111"/>
      <c r="Q17" s="111"/>
      <c r="R17" s="111"/>
      <c r="S17" s="111"/>
      <c r="T17" s="111"/>
      <c r="U17" s="112"/>
      <c r="X17" s="1" t="s">
        <v>123</v>
      </c>
    </row>
    <row r="18" spans="1:24" ht="18" customHeight="1" x14ac:dyDescent="0.15">
      <c r="B18" s="110"/>
      <c r="C18" s="111"/>
      <c r="D18" s="111"/>
      <c r="E18" s="111"/>
      <c r="F18" s="111"/>
      <c r="G18" s="111"/>
      <c r="H18" s="111"/>
      <c r="I18" s="111"/>
      <c r="J18" s="111"/>
      <c r="K18" s="111"/>
      <c r="L18" s="111"/>
      <c r="M18" s="111"/>
      <c r="N18" s="111"/>
      <c r="O18" s="111"/>
      <c r="P18" s="111"/>
      <c r="Q18" s="111"/>
      <c r="R18" s="111"/>
      <c r="S18" s="111"/>
      <c r="T18" s="111"/>
      <c r="U18" s="112"/>
      <c r="X18" s="1" t="s">
        <v>124</v>
      </c>
    </row>
    <row r="19" spans="1:24" ht="18" customHeight="1" x14ac:dyDescent="0.15">
      <c r="B19" s="110"/>
      <c r="C19" s="111"/>
      <c r="D19" s="111"/>
      <c r="E19" s="111"/>
      <c r="F19" s="111"/>
      <c r="G19" s="111"/>
      <c r="H19" s="111"/>
      <c r="I19" s="111"/>
      <c r="J19" s="111"/>
      <c r="K19" s="111"/>
      <c r="L19" s="111"/>
      <c r="M19" s="111"/>
      <c r="N19" s="111"/>
      <c r="O19" s="111"/>
      <c r="P19" s="111"/>
      <c r="Q19" s="111"/>
      <c r="R19" s="111"/>
      <c r="S19" s="111"/>
      <c r="T19" s="111"/>
      <c r="U19" s="112"/>
    </row>
    <row r="20" spans="1:24" ht="18" customHeight="1" x14ac:dyDescent="0.15">
      <c r="B20" s="113"/>
      <c r="C20" s="114"/>
      <c r="D20" s="114"/>
      <c r="E20" s="114"/>
      <c r="F20" s="114"/>
      <c r="G20" s="114"/>
      <c r="H20" s="114"/>
      <c r="I20" s="114"/>
      <c r="J20" s="114"/>
      <c r="K20" s="114"/>
      <c r="L20" s="114"/>
      <c r="M20" s="114"/>
      <c r="N20" s="114"/>
      <c r="O20" s="114"/>
      <c r="P20" s="114"/>
      <c r="Q20" s="114"/>
      <c r="R20" s="114"/>
      <c r="S20" s="114"/>
      <c r="T20" s="114"/>
      <c r="U20" s="115"/>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2</v>
      </c>
      <c r="F22" s="1" t="s">
        <v>107</v>
      </c>
      <c r="H22" s="18">
        <v>2</v>
      </c>
      <c r="I22" s="3" t="s">
        <v>108</v>
      </c>
      <c r="J22" s="3"/>
      <c r="K22" s="17"/>
      <c r="M22" s="17" t="s">
        <v>104</v>
      </c>
      <c r="N22" s="138" t="s">
        <v>124</v>
      </c>
      <c r="O22" s="139"/>
      <c r="P22" s="139"/>
      <c r="Q22" s="139"/>
      <c r="R22" s="139"/>
      <c r="S22" s="139"/>
      <c r="T22" s="139"/>
      <c r="U22" s="140"/>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88" t="s">
        <v>96</v>
      </c>
      <c r="B24" s="88"/>
      <c r="C24" s="88"/>
      <c r="D24" s="88"/>
      <c r="E24" s="88"/>
      <c r="F24" s="88"/>
      <c r="G24" s="88"/>
      <c r="H24" s="88"/>
      <c r="I24" s="88"/>
      <c r="J24" s="88"/>
      <c r="K24" s="88"/>
      <c r="L24" s="88"/>
      <c r="M24" s="88"/>
      <c r="N24" s="88"/>
      <c r="O24" s="88"/>
      <c r="P24" s="88"/>
      <c r="Q24" s="88"/>
      <c r="R24" s="88"/>
      <c r="S24" s="88"/>
      <c r="T24" s="88"/>
      <c r="U24" s="88"/>
    </row>
    <row r="25" spans="1:24" ht="18" customHeight="1" x14ac:dyDescent="0.15">
      <c r="A25" s="88"/>
      <c r="B25" s="88"/>
      <c r="C25" s="88"/>
      <c r="D25" s="88"/>
      <c r="E25" s="88"/>
      <c r="F25" s="88"/>
      <c r="G25" s="88"/>
      <c r="H25" s="88"/>
      <c r="I25" s="88"/>
      <c r="J25" s="88"/>
      <c r="K25" s="88"/>
      <c r="L25" s="88"/>
      <c r="M25" s="88"/>
      <c r="N25" s="88"/>
      <c r="O25" s="88"/>
      <c r="P25" s="88"/>
      <c r="Q25" s="88"/>
      <c r="R25" s="88"/>
      <c r="S25" s="88"/>
      <c r="T25" s="88"/>
      <c r="U25" s="88"/>
    </row>
    <row r="26" spans="1:24" ht="18" customHeight="1" x14ac:dyDescent="0.15">
      <c r="B26" s="95" t="s">
        <v>48</v>
      </c>
      <c r="C26" s="96"/>
      <c r="D26" s="96"/>
      <c r="E26" s="96"/>
      <c r="F26" s="97"/>
      <c r="G26" s="58" t="s">
        <v>73</v>
      </c>
      <c r="H26" s="59" t="s">
        <v>76</v>
      </c>
      <c r="I26" s="60" t="s">
        <v>51</v>
      </c>
      <c r="J26" s="60" t="s">
        <v>54</v>
      </c>
      <c r="K26" s="95" t="s">
        <v>48</v>
      </c>
      <c r="L26" s="96"/>
      <c r="M26" s="96"/>
      <c r="N26" s="96"/>
      <c r="O26" s="96"/>
      <c r="P26" s="96"/>
      <c r="Q26" s="97"/>
      <c r="R26" s="58" t="s">
        <v>73</v>
      </c>
      <c r="S26" s="59" t="s">
        <v>76</v>
      </c>
      <c r="T26" s="60" t="s">
        <v>51</v>
      </c>
      <c r="U26" s="60" t="s">
        <v>54</v>
      </c>
    </row>
    <row r="27" spans="1:24" ht="18" customHeight="1" x14ac:dyDescent="0.15">
      <c r="B27" s="89" t="s">
        <v>146</v>
      </c>
      <c r="C27" s="90"/>
      <c r="D27" s="90"/>
      <c r="E27" s="90"/>
      <c r="F27" s="91"/>
      <c r="G27" s="61">
        <v>1</v>
      </c>
      <c r="H27" s="61" t="s">
        <v>147</v>
      </c>
      <c r="I27" s="61" t="s">
        <v>147</v>
      </c>
      <c r="J27" s="61" t="s">
        <v>147</v>
      </c>
      <c r="K27" s="89"/>
      <c r="L27" s="90"/>
      <c r="M27" s="90"/>
      <c r="N27" s="90"/>
      <c r="O27" s="90"/>
      <c r="P27" s="90"/>
      <c r="Q27" s="91"/>
      <c r="R27" s="61"/>
      <c r="S27" s="61"/>
      <c r="T27" s="61"/>
      <c r="U27" s="61"/>
    </row>
    <row r="28" spans="1:24" ht="18" customHeight="1" x14ac:dyDescent="0.15">
      <c r="B28" s="82"/>
      <c r="C28" s="83"/>
      <c r="D28" s="83"/>
      <c r="E28" s="83"/>
      <c r="F28" s="84"/>
      <c r="G28" s="62"/>
      <c r="H28" s="62"/>
      <c r="I28" s="62"/>
      <c r="J28" s="62"/>
      <c r="K28" s="82"/>
      <c r="L28" s="83"/>
      <c r="M28" s="83"/>
      <c r="N28" s="83"/>
      <c r="O28" s="83"/>
      <c r="P28" s="83"/>
      <c r="Q28" s="84"/>
      <c r="R28" s="62"/>
      <c r="S28" s="62"/>
      <c r="T28" s="62"/>
      <c r="U28" s="62"/>
    </row>
    <row r="29" spans="1:24" ht="18" customHeight="1" x14ac:dyDescent="0.15">
      <c r="B29" s="82"/>
      <c r="C29" s="83"/>
      <c r="D29" s="83"/>
      <c r="E29" s="83"/>
      <c r="F29" s="84"/>
      <c r="G29" s="62"/>
      <c r="H29" s="62"/>
      <c r="I29" s="62"/>
      <c r="J29" s="62"/>
      <c r="K29" s="82"/>
      <c r="L29" s="83"/>
      <c r="M29" s="83"/>
      <c r="N29" s="83"/>
      <c r="O29" s="83"/>
      <c r="P29" s="83"/>
      <c r="Q29" s="84"/>
      <c r="R29" s="62"/>
      <c r="S29" s="62"/>
      <c r="T29" s="62"/>
      <c r="U29" s="62"/>
    </row>
    <row r="30" spans="1:24" ht="18" customHeight="1" x14ac:dyDescent="0.15">
      <c r="B30" s="82"/>
      <c r="C30" s="83"/>
      <c r="D30" s="83"/>
      <c r="E30" s="83"/>
      <c r="F30" s="84"/>
      <c r="G30" s="62"/>
      <c r="H30" s="62"/>
      <c r="I30" s="62"/>
      <c r="J30" s="62"/>
      <c r="K30" s="82"/>
      <c r="L30" s="83"/>
      <c r="M30" s="83"/>
      <c r="N30" s="83"/>
      <c r="O30" s="83"/>
      <c r="P30" s="83"/>
      <c r="Q30" s="84"/>
      <c r="R30" s="62"/>
      <c r="S30" s="62"/>
      <c r="T30" s="62"/>
      <c r="U30" s="62"/>
    </row>
    <row r="31" spans="1:24" ht="18" customHeight="1" x14ac:dyDescent="0.15">
      <c r="B31" s="82"/>
      <c r="C31" s="83"/>
      <c r="D31" s="83"/>
      <c r="E31" s="83"/>
      <c r="F31" s="84"/>
      <c r="G31" s="62"/>
      <c r="H31" s="62"/>
      <c r="I31" s="62"/>
      <c r="J31" s="62"/>
      <c r="K31" s="82"/>
      <c r="L31" s="83"/>
      <c r="M31" s="83"/>
      <c r="N31" s="83"/>
      <c r="O31" s="83"/>
      <c r="P31" s="83"/>
      <c r="Q31" s="84"/>
      <c r="R31" s="62"/>
      <c r="S31" s="62"/>
      <c r="T31" s="62"/>
      <c r="U31" s="62"/>
    </row>
    <row r="32" spans="1:24" ht="18" customHeight="1" x14ac:dyDescent="0.15">
      <c r="A32" s="3"/>
      <c r="B32" s="82"/>
      <c r="C32" s="83"/>
      <c r="D32" s="83"/>
      <c r="E32" s="83"/>
      <c r="F32" s="84"/>
      <c r="G32" s="62"/>
      <c r="H32" s="62"/>
      <c r="I32" s="62"/>
      <c r="J32" s="62"/>
      <c r="K32" s="82"/>
      <c r="L32" s="83"/>
      <c r="M32" s="83"/>
      <c r="N32" s="83"/>
      <c r="O32" s="83"/>
      <c r="P32" s="83"/>
      <c r="Q32" s="84"/>
      <c r="R32" s="62"/>
      <c r="S32" s="62"/>
      <c r="T32" s="62"/>
      <c r="U32" s="62"/>
    </row>
    <row r="33" spans="1:21" ht="18" customHeight="1" x14ac:dyDescent="0.15">
      <c r="A33" s="3"/>
      <c r="B33" s="85"/>
      <c r="C33" s="86"/>
      <c r="D33" s="86"/>
      <c r="E33" s="86"/>
      <c r="F33" s="87"/>
      <c r="G33" s="63"/>
      <c r="H33" s="63"/>
      <c r="I33" s="64"/>
      <c r="J33" s="64"/>
      <c r="K33" s="85"/>
      <c r="L33" s="86"/>
      <c r="M33" s="86"/>
      <c r="N33" s="86"/>
      <c r="O33" s="86"/>
      <c r="P33" s="86"/>
      <c r="Q33" s="87"/>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88" t="s">
        <v>97</v>
      </c>
      <c r="B35" s="88"/>
      <c r="C35" s="88"/>
      <c r="D35" s="88"/>
      <c r="E35" s="88"/>
      <c r="F35" s="88"/>
      <c r="G35" s="88"/>
      <c r="H35" s="88"/>
      <c r="I35" s="88"/>
      <c r="J35" s="88"/>
      <c r="K35" s="88"/>
      <c r="L35" s="88"/>
      <c r="M35" s="88"/>
      <c r="N35" s="88"/>
      <c r="O35" s="88"/>
      <c r="P35" s="88"/>
      <c r="Q35" s="88"/>
      <c r="R35" s="88"/>
      <c r="S35" s="88"/>
      <c r="T35" s="88"/>
      <c r="U35" s="88"/>
    </row>
    <row r="36" spans="1:21" ht="18" customHeight="1" x14ac:dyDescent="0.15">
      <c r="A36" s="88"/>
      <c r="B36" s="88"/>
      <c r="C36" s="88"/>
      <c r="D36" s="88"/>
      <c r="E36" s="88"/>
      <c r="F36" s="88"/>
      <c r="G36" s="88"/>
      <c r="H36" s="88"/>
      <c r="I36" s="88"/>
      <c r="J36" s="88"/>
      <c r="K36" s="88"/>
      <c r="L36" s="88"/>
      <c r="M36" s="88"/>
      <c r="N36" s="88"/>
      <c r="O36" s="88"/>
      <c r="P36" s="88"/>
      <c r="Q36" s="88"/>
      <c r="R36" s="88"/>
      <c r="S36" s="88"/>
      <c r="T36" s="88"/>
      <c r="U36" s="88"/>
    </row>
    <row r="37" spans="1:21" ht="18" customHeight="1" x14ac:dyDescent="0.15">
      <c r="B37" s="95" t="s">
        <v>48</v>
      </c>
      <c r="C37" s="96"/>
      <c r="D37" s="96"/>
      <c r="E37" s="96"/>
      <c r="F37" s="97"/>
      <c r="G37" s="58" t="s">
        <v>73</v>
      </c>
      <c r="H37" s="59" t="s">
        <v>76</v>
      </c>
      <c r="I37" s="60" t="s">
        <v>64</v>
      </c>
      <c r="J37" s="60" t="s">
        <v>65</v>
      </c>
      <c r="K37" s="95" t="s">
        <v>48</v>
      </c>
      <c r="L37" s="96"/>
      <c r="M37" s="96"/>
      <c r="N37" s="96"/>
      <c r="O37" s="96"/>
      <c r="P37" s="96"/>
      <c r="Q37" s="97"/>
      <c r="R37" s="58" t="s">
        <v>73</v>
      </c>
      <c r="S37" s="59" t="s">
        <v>76</v>
      </c>
      <c r="T37" s="60" t="s">
        <v>64</v>
      </c>
      <c r="U37" s="60" t="s">
        <v>65</v>
      </c>
    </row>
    <row r="38" spans="1:21" ht="18" customHeight="1" x14ac:dyDescent="0.15">
      <c r="B38" s="89" t="s">
        <v>148</v>
      </c>
      <c r="C38" s="90"/>
      <c r="D38" s="90"/>
      <c r="E38" s="90"/>
      <c r="F38" s="91"/>
      <c r="G38" s="61">
        <v>1</v>
      </c>
      <c r="H38" s="61" t="s">
        <v>147</v>
      </c>
      <c r="I38" s="61" t="s">
        <v>147</v>
      </c>
      <c r="J38" s="61" t="s">
        <v>147</v>
      </c>
      <c r="K38" s="89"/>
      <c r="L38" s="90"/>
      <c r="M38" s="90"/>
      <c r="N38" s="90"/>
      <c r="O38" s="90"/>
      <c r="P38" s="90"/>
      <c r="Q38" s="91"/>
      <c r="R38" s="61"/>
      <c r="S38" s="61"/>
      <c r="T38" s="61"/>
      <c r="U38" s="61"/>
    </row>
    <row r="39" spans="1:21" ht="18" customHeight="1" x14ac:dyDescent="0.15">
      <c r="B39" s="82"/>
      <c r="C39" s="83"/>
      <c r="D39" s="83"/>
      <c r="E39" s="83"/>
      <c r="F39" s="84"/>
      <c r="G39" s="62"/>
      <c r="H39" s="62"/>
      <c r="I39" s="62"/>
      <c r="J39" s="62"/>
      <c r="K39" s="82"/>
      <c r="L39" s="83"/>
      <c r="M39" s="83"/>
      <c r="N39" s="83"/>
      <c r="O39" s="83"/>
      <c r="P39" s="83"/>
      <c r="Q39" s="84"/>
      <c r="R39" s="62"/>
      <c r="S39" s="62"/>
      <c r="T39" s="62"/>
      <c r="U39" s="62"/>
    </row>
    <row r="40" spans="1:21" ht="18" customHeight="1" x14ac:dyDescent="0.15">
      <c r="B40" s="82"/>
      <c r="C40" s="83"/>
      <c r="D40" s="83"/>
      <c r="E40" s="83"/>
      <c r="F40" s="84"/>
      <c r="G40" s="62"/>
      <c r="H40" s="62"/>
      <c r="I40" s="62"/>
      <c r="J40" s="62"/>
      <c r="K40" s="82"/>
      <c r="L40" s="83"/>
      <c r="M40" s="83"/>
      <c r="N40" s="83"/>
      <c r="O40" s="83"/>
      <c r="P40" s="83"/>
      <c r="Q40" s="84"/>
      <c r="R40" s="62"/>
      <c r="S40" s="62"/>
      <c r="T40" s="62"/>
      <c r="U40" s="62"/>
    </row>
    <row r="41" spans="1:21" ht="18" customHeight="1" x14ac:dyDescent="0.15">
      <c r="B41" s="82"/>
      <c r="C41" s="83"/>
      <c r="D41" s="83"/>
      <c r="E41" s="83"/>
      <c r="F41" s="84"/>
      <c r="G41" s="62"/>
      <c r="H41" s="62"/>
      <c r="I41" s="62"/>
      <c r="J41" s="62"/>
      <c r="K41" s="82"/>
      <c r="L41" s="83"/>
      <c r="M41" s="83"/>
      <c r="N41" s="83"/>
      <c r="O41" s="83"/>
      <c r="P41" s="83"/>
      <c r="Q41" s="84"/>
      <c r="R41" s="62"/>
      <c r="S41" s="62"/>
      <c r="T41" s="62"/>
      <c r="U41" s="62"/>
    </row>
    <row r="42" spans="1:21" ht="18" customHeight="1" x14ac:dyDescent="0.15">
      <c r="B42" s="82"/>
      <c r="C42" s="83"/>
      <c r="D42" s="83"/>
      <c r="E42" s="83"/>
      <c r="F42" s="84"/>
      <c r="G42" s="62"/>
      <c r="H42" s="62"/>
      <c r="I42" s="62"/>
      <c r="J42" s="62"/>
      <c r="K42" s="82"/>
      <c r="L42" s="83"/>
      <c r="M42" s="83"/>
      <c r="N42" s="83"/>
      <c r="O42" s="83"/>
      <c r="P42" s="83"/>
      <c r="Q42" s="84"/>
      <c r="R42" s="62"/>
      <c r="S42" s="62"/>
      <c r="T42" s="62"/>
      <c r="U42" s="62"/>
    </row>
    <row r="43" spans="1:21" ht="18" customHeight="1" x14ac:dyDescent="0.15">
      <c r="B43" s="82"/>
      <c r="C43" s="83"/>
      <c r="D43" s="83"/>
      <c r="E43" s="83"/>
      <c r="F43" s="84"/>
      <c r="G43" s="62"/>
      <c r="H43" s="62"/>
      <c r="I43" s="62"/>
      <c r="J43" s="62"/>
      <c r="K43" s="82"/>
      <c r="L43" s="83"/>
      <c r="M43" s="83"/>
      <c r="N43" s="83"/>
      <c r="O43" s="83"/>
      <c r="P43" s="83"/>
      <c r="Q43" s="84"/>
      <c r="R43" s="62"/>
      <c r="S43" s="62"/>
      <c r="T43" s="62"/>
      <c r="U43" s="62"/>
    </row>
    <row r="44" spans="1:21" ht="18" customHeight="1" x14ac:dyDescent="0.15">
      <c r="B44" s="85"/>
      <c r="C44" s="86"/>
      <c r="D44" s="86"/>
      <c r="E44" s="86"/>
      <c r="F44" s="87"/>
      <c r="G44" s="63"/>
      <c r="H44" s="63"/>
      <c r="I44" s="64"/>
      <c r="J44" s="64"/>
      <c r="K44" s="85"/>
      <c r="L44" s="86"/>
      <c r="M44" s="86"/>
      <c r="N44" s="86"/>
      <c r="O44" s="86"/>
      <c r="P44" s="86"/>
      <c r="Q44" s="87"/>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88" t="s">
        <v>98</v>
      </c>
      <c r="B46" s="88"/>
      <c r="C46" s="88"/>
      <c r="D46" s="88"/>
      <c r="E46" s="88"/>
      <c r="F46" s="88"/>
      <c r="G46" s="88"/>
      <c r="H46" s="88"/>
      <c r="I46" s="88"/>
      <c r="J46" s="88"/>
      <c r="K46" s="88"/>
      <c r="L46" s="88"/>
      <c r="M46" s="88"/>
      <c r="N46" s="88"/>
      <c r="O46" s="88"/>
      <c r="P46" s="88"/>
      <c r="Q46" s="88"/>
      <c r="R46" s="88"/>
      <c r="S46" s="88"/>
      <c r="T46" s="88"/>
      <c r="U46" s="88"/>
    </row>
    <row r="47" spans="1:21" ht="18" customHeight="1" x14ac:dyDescent="0.15">
      <c r="A47" s="88"/>
      <c r="B47" s="88"/>
      <c r="C47" s="88"/>
      <c r="D47" s="88"/>
      <c r="E47" s="88"/>
      <c r="F47" s="88"/>
      <c r="G47" s="88"/>
      <c r="H47" s="88"/>
      <c r="I47" s="88"/>
      <c r="J47" s="88"/>
      <c r="K47" s="88"/>
      <c r="L47" s="88"/>
      <c r="M47" s="88"/>
      <c r="N47" s="88"/>
      <c r="O47" s="88"/>
      <c r="P47" s="88"/>
      <c r="Q47" s="88"/>
      <c r="R47" s="88"/>
      <c r="S47" s="88"/>
      <c r="T47" s="88"/>
      <c r="U47" s="88"/>
    </row>
    <row r="48" spans="1:21" ht="18" customHeight="1" x14ac:dyDescent="0.15">
      <c r="B48" s="95" t="s">
        <v>48</v>
      </c>
      <c r="C48" s="96"/>
      <c r="D48" s="96"/>
      <c r="E48" s="96"/>
      <c r="F48" s="97"/>
      <c r="G48" s="58" t="s">
        <v>73</v>
      </c>
      <c r="H48" s="59" t="s">
        <v>76</v>
      </c>
      <c r="I48" s="60" t="s">
        <v>66</v>
      </c>
      <c r="J48" s="60" t="s">
        <v>67</v>
      </c>
      <c r="K48" s="95" t="s">
        <v>48</v>
      </c>
      <c r="L48" s="96"/>
      <c r="M48" s="96"/>
      <c r="N48" s="96"/>
      <c r="O48" s="96"/>
      <c r="P48" s="96"/>
      <c r="Q48" s="97"/>
      <c r="R48" s="58" t="s">
        <v>73</v>
      </c>
      <c r="S48" s="59" t="s">
        <v>76</v>
      </c>
      <c r="T48" s="60" t="s">
        <v>66</v>
      </c>
      <c r="U48" s="60" t="s">
        <v>67</v>
      </c>
    </row>
    <row r="49" spans="1:21" ht="18" customHeight="1" x14ac:dyDescent="0.15">
      <c r="A49" s="3"/>
      <c r="B49" s="89" t="s">
        <v>148</v>
      </c>
      <c r="C49" s="90"/>
      <c r="D49" s="90"/>
      <c r="E49" s="90"/>
      <c r="F49" s="91"/>
      <c r="G49" s="61">
        <v>1</v>
      </c>
      <c r="H49" s="61" t="s">
        <v>147</v>
      </c>
      <c r="I49" s="61" t="s">
        <v>147</v>
      </c>
      <c r="J49" s="61" t="s">
        <v>147</v>
      </c>
      <c r="K49" s="89"/>
      <c r="L49" s="90"/>
      <c r="M49" s="90"/>
      <c r="N49" s="90"/>
      <c r="O49" s="90"/>
      <c r="P49" s="90"/>
      <c r="Q49" s="91"/>
      <c r="R49" s="61"/>
      <c r="S49" s="61"/>
      <c r="T49" s="61"/>
      <c r="U49" s="61"/>
    </row>
    <row r="50" spans="1:21" ht="18" customHeight="1" x14ac:dyDescent="0.15">
      <c r="A50" s="3"/>
      <c r="B50" s="82"/>
      <c r="C50" s="83"/>
      <c r="D50" s="83"/>
      <c r="E50" s="83"/>
      <c r="F50" s="84"/>
      <c r="G50" s="62"/>
      <c r="H50" s="62"/>
      <c r="I50" s="62"/>
      <c r="J50" s="62"/>
      <c r="K50" s="82"/>
      <c r="L50" s="83"/>
      <c r="M50" s="83"/>
      <c r="N50" s="83"/>
      <c r="O50" s="83"/>
      <c r="P50" s="83"/>
      <c r="Q50" s="84"/>
      <c r="R50" s="62"/>
      <c r="S50" s="62"/>
      <c r="T50" s="62"/>
      <c r="U50" s="62"/>
    </row>
    <row r="51" spans="1:21" ht="18" customHeight="1" x14ac:dyDescent="0.15">
      <c r="A51" s="3"/>
      <c r="B51" s="82"/>
      <c r="C51" s="83"/>
      <c r="D51" s="83"/>
      <c r="E51" s="83"/>
      <c r="F51" s="84"/>
      <c r="G51" s="62"/>
      <c r="H51" s="62"/>
      <c r="I51" s="62"/>
      <c r="J51" s="62"/>
      <c r="K51" s="82"/>
      <c r="L51" s="83"/>
      <c r="M51" s="83"/>
      <c r="N51" s="83"/>
      <c r="O51" s="83"/>
      <c r="P51" s="83"/>
      <c r="Q51" s="84"/>
      <c r="R51" s="62"/>
      <c r="S51" s="62"/>
      <c r="T51" s="62"/>
      <c r="U51" s="62"/>
    </row>
    <row r="52" spans="1:21" ht="18" customHeight="1" x14ac:dyDescent="0.15">
      <c r="A52" s="3"/>
      <c r="B52" s="82"/>
      <c r="C52" s="83"/>
      <c r="D52" s="83"/>
      <c r="E52" s="83"/>
      <c r="F52" s="84"/>
      <c r="G52" s="62"/>
      <c r="H52" s="62"/>
      <c r="I52" s="62"/>
      <c r="J52" s="62"/>
      <c r="K52" s="82"/>
      <c r="L52" s="83"/>
      <c r="M52" s="83"/>
      <c r="N52" s="83"/>
      <c r="O52" s="83"/>
      <c r="P52" s="83"/>
      <c r="Q52" s="84"/>
      <c r="R52" s="62"/>
      <c r="S52" s="62"/>
      <c r="T52" s="62"/>
      <c r="U52" s="62"/>
    </row>
    <row r="53" spans="1:21" ht="18" customHeight="1" x14ac:dyDescent="0.15">
      <c r="A53" s="3"/>
      <c r="B53" s="82"/>
      <c r="C53" s="83"/>
      <c r="D53" s="83"/>
      <c r="E53" s="83"/>
      <c r="F53" s="84"/>
      <c r="G53" s="62"/>
      <c r="H53" s="62"/>
      <c r="I53" s="62"/>
      <c r="J53" s="62"/>
      <c r="K53" s="82"/>
      <c r="L53" s="83"/>
      <c r="M53" s="83"/>
      <c r="N53" s="83"/>
      <c r="O53" s="83"/>
      <c r="P53" s="83"/>
      <c r="Q53" s="84"/>
      <c r="R53" s="62"/>
      <c r="S53" s="62"/>
      <c r="T53" s="62"/>
      <c r="U53" s="62"/>
    </row>
    <row r="54" spans="1:21" ht="18" customHeight="1" x14ac:dyDescent="0.15">
      <c r="A54" s="3"/>
      <c r="B54" s="82"/>
      <c r="C54" s="83"/>
      <c r="D54" s="83"/>
      <c r="E54" s="83"/>
      <c r="F54" s="84"/>
      <c r="G54" s="62"/>
      <c r="H54" s="62"/>
      <c r="I54" s="62"/>
      <c r="J54" s="62"/>
      <c r="K54" s="82"/>
      <c r="L54" s="83"/>
      <c r="M54" s="83"/>
      <c r="N54" s="83"/>
      <c r="O54" s="83"/>
      <c r="P54" s="83"/>
      <c r="Q54" s="84"/>
      <c r="R54" s="62"/>
      <c r="S54" s="62"/>
      <c r="T54" s="62"/>
      <c r="U54" s="62"/>
    </row>
    <row r="55" spans="1:21" ht="18" customHeight="1" x14ac:dyDescent="0.15">
      <c r="A55" s="3"/>
      <c r="B55" s="85"/>
      <c r="C55" s="86"/>
      <c r="D55" s="86"/>
      <c r="E55" s="86"/>
      <c r="F55" s="87"/>
      <c r="G55" s="63"/>
      <c r="H55" s="63"/>
      <c r="I55" s="64"/>
      <c r="J55" s="64"/>
      <c r="K55" s="85"/>
      <c r="L55" s="86"/>
      <c r="M55" s="86"/>
      <c r="N55" s="86"/>
      <c r="O55" s="86"/>
      <c r="P55" s="86"/>
      <c r="Q55" s="87"/>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88" t="s">
        <v>99</v>
      </c>
      <c r="B57" s="88"/>
      <c r="C57" s="88"/>
      <c r="D57" s="88"/>
      <c r="E57" s="88"/>
      <c r="F57" s="88"/>
      <c r="G57" s="88"/>
      <c r="H57" s="88"/>
      <c r="I57" s="88"/>
      <c r="J57" s="88"/>
      <c r="K57" s="88"/>
      <c r="L57" s="88"/>
      <c r="M57" s="88"/>
      <c r="N57" s="88"/>
      <c r="O57" s="88"/>
      <c r="P57" s="88"/>
      <c r="Q57" s="88"/>
      <c r="R57" s="88"/>
      <c r="S57" s="88"/>
      <c r="T57" s="88"/>
      <c r="U57" s="88"/>
    </row>
    <row r="58" spans="1:21" ht="18" customHeight="1" x14ac:dyDescent="0.15">
      <c r="A58" s="88"/>
      <c r="B58" s="88"/>
      <c r="C58" s="88"/>
      <c r="D58" s="88"/>
      <c r="E58" s="88"/>
      <c r="F58" s="88"/>
      <c r="G58" s="88"/>
      <c r="H58" s="88"/>
      <c r="I58" s="88"/>
      <c r="J58" s="88"/>
      <c r="K58" s="88"/>
      <c r="L58" s="88"/>
      <c r="M58" s="88"/>
      <c r="N58" s="88"/>
      <c r="O58" s="88"/>
      <c r="P58" s="88"/>
      <c r="Q58" s="88"/>
      <c r="R58" s="88"/>
      <c r="S58" s="88"/>
      <c r="T58" s="88"/>
      <c r="U58" s="88"/>
    </row>
    <row r="59" spans="1:21" ht="18" customHeight="1" x14ac:dyDescent="0.15">
      <c r="B59" s="95" t="s">
        <v>48</v>
      </c>
      <c r="C59" s="96"/>
      <c r="D59" s="96"/>
      <c r="E59" s="96"/>
      <c r="F59" s="97"/>
      <c r="G59" s="58" t="s">
        <v>73</v>
      </c>
      <c r="H59" s="59" t="s">
        <v>76</v>
      </c>
      <c r="I59" s="60" t="s">
        <v>53</v>
      </c>
      <c r="J59" s="60" t="s">
        <v>55</v>
      </c>
      <c r="K59" s="95" t="s">
        <v>48</v>
      </c>
      <c r="L59" s="96"/>
      <c r="M59" s="96"/>
      <c r="N59" s="96"/>
      <c r="O59" s="96"/>
      <c r="P59" s="96"/>
      <c r="Q59" s="97"/>
      <c r="R59" s="58" t="s">
        <v>73</v>
      </c>
      <c r="S59" s="59" t="s">
        <v>76</v>
      </c>
      <c r="T59" s="60" t="s">
        <v>53</v>
      </c>
      <c r="U59" s="60" t="s">
        <v>55</v>
      </c>
    </row>
    <row r="60" spans="1:21" ht="18" customHeight="1" x14ac:dyDescent="0.15">
      <c r="A60" s="3"/>
      <c r="B60" s="89" t="s">
        <v>148</v>
      </c>
      <c r="C60" s="90"/>
      <c r="D60" s="90"/>
      <c r="E60" s="90"/>
      <c r="F60" s="91"/>
      <c r="G60" s="61">
        <v>1</v>
      </c>
      <c r="H60" s="61" t="s">
        <v>147</v>
      </c>
      <c r="I60" s="61" t="s">
        <v>147</v>
      </c>
      <c r="J60" s="61" t="s">
        <v>147</v>
      </c>
      <c r="K60" s="89"/>
      <c r="L60" s="90"/>
      <c r="M60" s="90"/>
      <c r="N60" s="90"/>
      <c r="O60" s="90"/>
      <c r="P60" s="90"/>
      <c r="Q60" s="91"/>
      <c r="R60" s="61"/>
      <c r="S60" s="61"/>
      <c r="T60" s="61"/>
      <c r="U60" s="61"/>
    </row>
    <row r="61" spans="1:21" ht="18" customHeight="1" x14ac:dyDescent="0.15">
      <c r="A61" s="3"/>
      <c r="B61" s="82"/>
      <c r="C61" s="83"/>
      <c r="D61" s="83"/>
      <c r="E61" s="83"/>
      <c r="F61" s="84"/>
      <c r="G61" s="62"/>
      <c r="H61" s="62"/>
      <c r="I61" s="62"/>
      <c r="J61" s="62"/>
      <c r="K61" s="82"/>
      <c r="L61" s="83"/>
      <c r="M61" s="83"/>
      <c r="N61" s="83"/>
      <c r="O61" s="83"/>
      <c r="P61" s="83"/>
      <c r="Q61" s="84"/>
      <c r="R61" s="62"/>
      <c r="S61" s="62"/>
      <c r="T61" s="62"/>
      <c r="U61" s="62"/>
    </row>
    <row r="62" spans="1:21" ht="18" customHeight="1" x14ac:dyDescent="0.15">
      <c r="A62" s="3"/>
      <c r="B62" s="82"/>
      <c r="C62" s="83"/>
      <c r="D62" s="83"/>
      <c r="E62" s="83"/>
      <c r="F62" s="84"/>
      <c r="G62" s="62"/>
      <c r="H62" s="62"/>
      <c r="I62" s="62"/>
      <c r="J62" s="62"/>
      <c r="K62" s="82"/>
      <c r="L62" s="83"/>
      <c r="M62" s="83"/>
      <c r="N62" s="83"/>
      <c r="O62" s="83"/>
      <c r="P62" s="83"/>
      <c r="Q62" s="84"/>
      <c r="R62" s="62"/>
      <c r="S62" s="62"/>
      <c r="T62" s="62"/>
      <c r="U62" s="62"/>
    </row>
    <row r="63" spans="1:21" ht="18" customHeight="1" x14ac:dyDescent="0.15">
      <c r="A63" s="3"/>
      <c r="B63" s="82"/>
      <c r="C63" s="83"/>
      <c r="D63" s="83"/>
      <c r="E63" s="83"/>
      <c r="F63" s="84"/>
      <c r="G63" s="62"/>
      <c r="H63" s="62"/>
      <c r="I63" s="62"/>
      <c r="J63" s="62"/>
      <c r="K63" s="82"/>
      <c r="L63" s="83"/>
      <c r="M63" s="83"/>
      <c r="N63" s="83"/>
      <c r="O63" s="83"/>
      <c r="P63" s="83"/>
      <c r="Q63" s="84"/>
      <c r="R63" s="62"/>
      <c r="S63" s="62"/>
      <c r="T63" s="62"/>
      <c r="U63" s="62"/>
    </row>
    <row r="64" spans="1:21" ht="18" customHeight="1" x14ac:dyDescent="0.15">
      <c r="A64" s="3"/>
      <c r="B64" s="82"/>
      <c r="C64" s="83"/>
      <c r="D64" s="83"/>
      <c r="E64" s="83"/>
      <c r="F64" s="84"/>
      <c r="G64" s="62"/>
      <c r="H64" s="62"/>
      <c r="I64" s="62"/>
      <c r="J64" s="62"/>
      <c r="K64" s="82"/>
      <c r="L64" s="83"/>
      <c r="M64" s="83"/>
      <c r="N64" s="83"/>
      <c r="O64" s="83"/>
      <c r="P64" s="83"/>
      <c r="Q64" s="84"/>
      <c r="R64" s="62"/>
      <c r="S64" s="62"/>
      <c r="T64" s="62"/>
      <c r="U64" s="62"/>
    </row>
    <row r="65" spans="1:27" ht="18" customHeight="1" x14ac:dyDescent="0.15">
      <c r="A65" s="3"/>
      <c r="B65" s="82"/>
      <c r="C65" s="83"/>
      <c r="D65" s="83"/>
      <c r="E65" s="83"/>
      <c r="F65" s="84"/>
      <c r="G65" s="62"/>
      <c r="H65" s="62"/>
      <c r="I65" s="62"/>
      <c r="J65" s="62"/>
      <c r="K65" s="82"/>
      <c r="L65" s="83"/>
      <c r="M65" s="83"/>
      <c r="N65" s="83"/>
      <c r="O65" s="83"/>
      <c r="P65" s="83"/>
      <c r="Q65" s="84"/>
      <c r="R65" s="62"/>
      <c r="S65" s="62"/>
      <c r="T65" s="62"/>
      <c r="U65" s="62"/>
    </row>
    <row r="66" spans="1:27" ht="18" customHeight="1" x14ac:dyDescent="0.15">
      <c r="A66" s="3"/>
      <c r="B66" s="85"/>
      <c r="C66" s="86"/>
      <c r="D66" s="86"/>
      <c r="E66" s="86"/>
      <c r="F66" s="87"/>
      <c r="G66" s="63"/>
      <c r="H66" s="63"/>
      <c r="I66" s="64"/>
      <c r="J66" s="64"/>
      <c r="K66" s="85"/>
      <c r="L66" s="86"/>
      <c r="M66" s="86"/>
      <c r="N66" s="86"/>
      <c r="O66" s="86"/>
      <c r="P66" s="86"/>
      <c r="Q66" s="87"/>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88" t="s">
        <v>100</v>
      </c>
      <c r="B68" s="88"/>
      <c r="C68" s="88"/>
      <c r="D68" s="88"/>
      <c r="E68" s="88"/>
      <c r="F68" s="88"/>
      <c r="G68" s="88"/>
      <c r="H68" s="88"/>
      <c r="I68" s="88"/>
      <c r="J68" s="88"/>
      <c r="K68" s="88"/>
      <c r="L68" s="88"/>
      <c r="M68" s="88"/>
      <c r="N68" s="88"/>
      <c r="O68" s="88"/>
      <c r="P68" s="88"/>
      <c r="Q68" s="88"/>
      <c r="R68" s="88"/>
      <c r="S68" s="88"/>
      <c r="T68" s="88"/>
      <c r="U68" s="88"/>
    </row>
    <row r="69" spans="1:27" ht="18" customHeight="1" x14ac:dyDescent="0.15">
      <c r="A69" s="88"/>
      <c r="B69" s="88"/>
      <c r="C69" s="88"/>
      <c r="D69" s="88"/>
      <c r="E69" s="88"/>
      <c r="F69" s="88"/>
      <c r="G69" s="88"/>
      <c r="H69" s="88"/>
      <c r="I69" s="88"/>
      <c r="J69" s="88"/>
      <c r="K69" s="88"/>
      <c r="L69" s="88"/>
      <c r="M69" s="88"/>
      <c r="N69" s="88"/>
      <c r="O69" s="88"/>
      <c r="P69" s="88"/>
      <c r="Q69" s="88"/>
      <c r="R69" s="88"/>
      <c r="S69" s="88"/>
      <c r="T69" s="88"/>
      <c r="U69" s="88"/>
    </row>
    <row r="70" spans="1:27" ht="18" customHeight="1" x14ac:dyDescent="0.15">
      <c r="B70" s="95" t="s">
        <v>48</v>
      </c>
      <c r="C70" s="96"/>
      <c r="D70" s="96"/>
      <c r="E70" s="96"/>
      <c r="F70" s="58" t="s">
        <v>73</v>
      </c>
      <c r="G70" s="59" t="s">
        <v>76</v>
      </c>
      <c r="H70" s="60" t="s">
        <v>87</v>
      </c>
      <c r="I70" s="60" t="s">
        <v>68</v>
      </c>
      <c r="J70" s="60" t="s">
        <v>69</v>
      </c>
      <c r="K70" s="95" t="s">
        <v>48</v>
      </c>
      <c r="L70" s="96"/>
      <c r="M70" s="96"/>
      <c r="N70" s="96"/>
      <c r="O70" s="96"/>
      <c r="P70" s="97"/>
      <c r="Q70" s="58" t="s">
        <v>73</v>
      </c>
      <c r="R70" s="59" t="s">
        <v>76</v>
      </c>
      <c r="S70" s="60" t="s">
        <v>87</v>
      </c>
      <c r="T70" s="60" t="s">
        <v>68</v>
      </c>
      <c r="U70" s="60" t="s">
        <v>69</v>
      </c>
    </row>
    <row r="71" spans="1:27" ht="18" customHeight="1" x14ac:dyDescent="0.15">
      <c r="A71" s="3"/>
      <c r="B71" s="89" t="s">
        <v>149</v>
      </c>
      <c r="C71" s="90"/>
      <c r="D71" s="90"/>
      <c r="E71" s="90"/>
      <c r="F71" s="61">
        <v>1</v>
      </c>
      <c r="G71" s="61" t="s">
        <v>147</v>
      </c>
      <c r="H71" s="61" t="s">
        <v>147</v>
      </c>
      <c r="I71" s="61" t="s">
        <v>147</v>
      </c>
      <c r="J71" s="61" t="s">
        <v>147</v>
      </c>
      <c r="K71" s="89"/>
      <c r="L71" s="90"/>
      <c r="M71" s="90"/>
      <c r="N71" s="90"/>
      <c r="O71" s="90"/>
      <c r="P71" s="91"/>
      <c r="Q71" s="61"/>
      <c r="R71" s="61"/>
      <c r="S71" s="61"/>
      <c r="T71" s="61"/>
      <c r="U71" s="61"/>
    </row>
    <row r="72" spans="1:27" ht="18" customHeight="1" x14ac:dyDescent="0.15">
      <c r="A72" s="3"/>
      <c r="B72" s="82"/>
      <c r="C72" s="83"/>
      <c r="D72" s="83"/>
      <c r="E72" s="83"/>
      <c r="F72" s="62"/>
      <c r="G72" s="62"/>
      <c r="H72" s="62"/>
      <c r="I72" s="62"/>
      <c r="J72" s="62"/>
      <c r="K72" s="82"/>
      <c r="L72" s="83"/>
      <c r="M72" s="83"/>
      <c r="N72" s="83"/>
      <c r="O72" s="83"/>
      <c r="P72" s="84"/>
      <c r="Q72" s="62"/>
      <c r="R72" s="62"/>
      <c r="S72" s="62"/>
      <c r="T72" s="62"/>
      <c r="U72" s="62"/>
    </row>
    <row r="73" spans="1:27" ht="18" customHeight="1" x14ac:dyDescent="0.15">
      <c r="A73" s="3"/>
      <c r="B73" s="82"/>
      <c r="C73" s="83"/>
      <c r="D73" s="83"/>
      <c r="E73" s="83"/>
      <c r="F73" s="62"/>
      <c r="G73" s="62"/>
      <c r="H73" s="62"/>
      <c r="I73" s="62"/>
      <c r="J73" s="62"/>
      <c r="K73" s="82"/>
      <c r="L73" s="83"/>
      <c r="M73" s="83"/>
      <c r="N73" s="83"/>
      <c r="O73" s="83"/>
      <c r="P73" s="84"/>
      <c r="Q73" s="62"/>
      <c r="R73" s="62"/>
      <c r="S73" s="62"/>
      <c r="T73" s="62"/>
      <c r="U73" s="62"/>
    </row>
    <row r="74" spans="1:27" ht="18" customHeight="1" x14ac:dyDescent="0.15">
      <c r="A74" s="3"/>
      <c r="B74" s="82"/>
      <c r="C74" s="83"/>
      <c r="D74" s="83"/>
      <c r="E74" s="83"/>
      <c r="F74" s="62"/>
      <c r="G74" s="62"/>
      <c r="H74" s="62"/>
      <c r="I74" s="62"/>
      <c r="J74" s="62"/>
      <c r="K74" s="82"/>
      <c r="L74" s="83"/>
      <c r="M74" s="83"/>
      <c r="N74" s="83"/>
      <c r="O74" s="83"/>
      <c r="P74" s="84"/>
      <c r="Q74" s="62"/>
      <c r="R74" s="62"/>
      <c r="S74" s="62"/>
      <c r="T74" s="62"/>
      <c r="U74" s="62"/>
    </row>
    <row r="75" spans="1:27" ht="18" customHeight="1" x14ac:dyDescent="0.15">
      <c r="A75" s="3"/>
      <c r="B75" s="82"/>
      <c r="C75" s="83"/>
      <c r="D75" s="83"/>
      <c r="E75" s="83"/>
      <c r="F75" s="62"/>
      <c r="G75" s="62"/>
      <c r="H75" s="62"/>
      <c r="I75" s="62"/>
      <c r="J75" s="62"/>
      <c r="K75" s="82"/>
      <c r="L75" s="83"/>
      <c r="M75" s="83"/>
      <c r="N75" s="83"/>
      <c r="O75" s="83"/>
      <c r="P75" s="84"/>
      <c r="Q75" s="62"/>
      <c r="R75" s="62"/>
      <c r="S75" s="62"/>
      <c r="T75" s="62"/>
      <c r="U75" s="62"/>
    </row>
    <row r="76" spans="1:27" ht="18" customHeight="1" x14ac:dyDescent="0.15">
      <c r="A76" s="3"/>
      <c r="B76" s="82"/>
      <c r="C76" s="83"/>
      <c r="D76" s="83"/>
      <c r="E76" s="83"/>
      <c r="F76" s="62"/>
      <c r="G76" s="62"/>
      <c r="H76" s="62"/>
      <c r="I76" s="62"/>
      <c r="J76" s="62"/>
      <c r="K76" s="82"/>
      <c r="L76" s="83"/>
      <c r="M76" s="83"/>
      <c r="N76" s="83"/>
      <c r="O76" s="83"/>
      <c r="P76" s="84"/>
      <c r="Q76" s="62"/>
      <c r="R76" s="62"/>
      <c r="S76" s="62"/>
      <c r="T76" s="62"/>
      <c r="U76" s="62"/>
    </row>
    <row r="77" spans="1:27" ht="18" customHeight="1" x14ac:dyDescent="0.15">
      <c r="A77" s="3"/>
      <c r="B77" s="85"/>
      <c r="C77" s="86"/>
      <c r="D77" s="86"/>
      <c r="E77" s="86"/>
      <c r="F77" s="63"/>
      <c r="G77" s="63"/>
      <c r="H77" s="64"/>
      <c r="I77" s="64"/>
      <c r="J77" s="64"/>
      <c r="K77" s="85"/>
      <c r="L77" s="86"/>
      <c r="M77" s="86"/>
      <c r="N77" s="86"/>
      <c r="O77" s="86"/>
      <c r="P77" s="87"/>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5" t="s">
        <v>48</v>
      </c>
      <c r="C80" s="96"/>
      <c r="D80" s="96"/>
      <c r="E80" s="96"/>
      <c r="F80" s="97"/>
      <c r="G80" s="95" t="s">
        <v>74</v>
      </c>
      <c r="H80" s="96"/>
      <c r="I80" s="96"/>
      <c r="J80" s="97"/>
      <c r="K80" s="103" t="s">
        <v>48</v>
      </c>
      <c r="L80" s="104"/>
      <c r="M80" s="104"/>
      <c r="N80" s="104"/>
      <c r="O80" s="104"/>
      <c r="P80" s="104"/>
      <c r="Q80" s="105"/>
      <c r="R80" s="95" t="s">
        <v>74</v>
      </c>
      <c r="S80" s="96"/>
      <c r="T80" s="96"/>
      <c r="U80" s="97"/>
      <c r="AA80" s="1" t="s">
        <v>138</v>
      </c>
    </row>
    <row r="81" spans="1:27" ht="18" customHeight="1" x14ac:dyDescent="0.15">
      <c r="A81" s="3"/>
      <c r="B81" s="89"/>
      <c r="C81" s="90"/>
      <c r="D81" s="90"/>
      <c r="E81" s="90"/>
      <c r="F81" s="91"/>
      <c r="G81" s="92"/>
      <c r="H81" s="93"/>
      <c r="I81" s="93"/>
      <c r="J81" s="94"/>
      <c r="K81" s="89"/>
      <c r="L81" s="90"/>
      <c r="M81" s="90"/>
      <c r="N81" s="90"/>
      <c r="O81" s="90"/>
      <c r="P81" s="90"/>
      <c r="Q81" s="91"/>
      <c r="R81" s="92"/>
      <c r="S81" s="93"/>
      <c r="T81" s="93"/>
      <c r="U81" s="94"/>
      <c r="AA81" s="1" t="s">
        <v>131</v>
      </c>
    </row>
    <row r="82" spans="1:27" ht="18" customHeight="1" x14ac:dyDescent="0.15">
      <c r="A82" s="3"/>
      <c r="B82" s="82"/>
      <c r="C82" s="83"/>
      <c r="D82" s="83"/>
      <c r="E82" s="83"/>
      <c r="F82" s="84"/>
      <c r="G82" s="100"/>
      <c r="H82" s="101"/>
      <c r="I82" s="101"/>
      <c r="J82" s="102"/>
      <c r="K82" s="82"/>
      <c r="L82" s="83"/>
      <c r="M82" s="83"/>
      <c r="N82" s="83"/>
      <c r="O82" s="83"/>
      <c r="P82" s="83"/>
      <c r="Q82" s="84"/>
      <c r="R82" s="100"/>
      <c r="S82" s="101"/>
      <c r="T82" s="101"/>
      <c r="U82" s="102"/>
      <c r="AA82" s="1" t="s">
        <v>132</v>
      </c>
    </row>
    <row r="83" spans="1:27" ht="18" customHeight="1" x14ac:dyDescent="0.15">
      <c r="A83" s="3"/>
      <c r="B83" s="82"/>
      <c r="C83" s="83"/>
      <c r="D83" s="83"/>
      <c r="E83" s="83"/>
      <c r="F83" s="84"/>
      <c r="G83" s="100"/>
      <c r="H83" s="101"/>
      <c r="I83" s="101"/>
      <c r="J83" s="102"/>
      <c r="K83" s="82"/>
      <c r="L83" s="83"/>
      <c r="M83" s="83"/>
      <c r="N83" s="83"/>
      <c r="O83" s="83"/>
      <c r="P83" s="83"/>
      <c r="Q83" s="84"/>
      <c r="R83" s="100"/>
      <c r="S83" s="101"/>
      <c r="T83" s="101"/>
      <c r="U83" s="102"/>
      <c r="AA83" s="1" t="s">
        <v>133</v>
      </c>
    </row>
    <row r="84" spans="1:27" ht="18" customHeight="1" x14ac:dyDescent="0.15">
      <c r="A84" s="3"/>
      <c r="B84" s="82"/>
      <c r="C84" s="83"/>
      <c r="D84" s="83"/>
      <c r="E84" s="83"/>
      <c r="F84" s="84"/>
      <c r="G84" s="100"/>
      <c r="H84" s="101"/>
      <c r="I84" s="101"/>
      <c r="J84" s="102"/>
      <c r="K84" s="82"/>
      <c r="L84" s="83"/>
      <c r="M84" s="83"/>
      <c r="N84" s="83"/>
      <c r="O84" s="83"/>
      <c r="P84" s="83"/>
      <c r="Q84" s="84"/>
      <c r="R84" s="100"/>
      <c r="S84" s="101"/>
      <c r="T84" s="101"/>
      <c r="U84" s="102"/>
      <c r="AA84" s="1" t="s">
        <v>139</v>
      </c>
    </row>
    <row r="85" spans="1:27" ht="18" customHeight="1" x14ac:dyDescent="0.15">
      <c r="A85" s="3"/>
      <c r="B85" s="82"/>
      <c r="C85" s="83"/>
      <c r="D85" s="83"/>
      <c r="E85" s="83"/>
      <c r="F85" s="84"/>
      <c r="G85" s="100"/>
      <c r="H85" s="101"/>
      <c r="I85" s="101"/>
      <c r="J85" s="102"/>
      <c r="K85" s="82"/>
      <c r="L85" s="83"/>
      <c r="M85" s="83"/>
      <c r="N85" s="83"/>
      <c r="O85" s="83"/>
      <c r="P85" s="83"/>
      <c r="Q85" s="84"/>
      <c r="R85" s="100"/>
      <c r="S85" s="101"/>
      <c r="T85" s="101"/>
      <c r="U85" s="102"/>
      <c r="AA85" s="1" t="s">
        <v>140</v>
      </c>
    </row>
    <row r="86" spans="1:27" ht="18" customHeight="1" x14ac:dyDescent="0.15">
      <c r="A86" s="3"/>
      <c r="B86" s="82"/>
      <c r="C86" s="83"/>
      <c r="D86" s="83"/>
      <c r="E86" s="83"/>
      <c r="F86" s="84"/>
      <c r="G86" s="100"/>
      <c r="H86" s="101"/>
      <c r="I86" s="101"/>
      <c r="J86" s="102"/>
      <c r="K86" s="82"/>
      <c r="L86" s="83"/>
      <c r="M86" s="83"/>
      <c r="N86" s="83"/>
      <c r="O86" s="83"/>
      <c r="P86" s="83"/>
      <c r="Q86" s="84"/>
      <c r="R86" s="100"/>
      <c r="S86" s="101"/>
      <c r="T86" s="101"/>
      <c r="U86" s="102"/>
      <c r="AA86" s="1" t="s">
        <v>134</v>
      </c>
    </row>
    <row r="87" spans="1:27" ht="18" customHeight="1" x14ac:dyDescent="0.15">
      <c r="A87" s="3"/>
      <c r="B87" s="85"/>
      <c r="C87" s="86"/>
      <c r="D87" s="86"/>
      <c r="E87" s="86"/>
      <c r="F87" s="87"/>
      <c r="G87" s="119"/>
      <c r="H87" s="120"/>
      <c r="I87" s="120"/>
      <c r="J87" s="121"/>
      <c r="K87" s="85"/>
      <c r="L87" s="86"/>
      <c r="M87" s="86"/>
      <c r="N87" s="86"/>
      <c r="O87" s="86"/>
      <c r="P87" s="86"/>
      <c r="Q87" s="87"/>
      <c r="R87" s="119"/>
      <c r="S87" s="120"/>
      <c r="T87" s="120"/>
      <c r="U87" s="121"/>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23" t="s">
        <v>49</v>
      </c>
      <c r="C90" s="124"/>
      <c r="D90" s="95" t="s">
        <v>50</v>
      </c>
      <c r="E90" s="96"/>
      <c r="F90" s="96"/>
      <c r="G90" s="96"/>
      <c r="H90" s="96"/>
      <c r="I90" s="96"/>
      <c r="J90" s="96"/>
      <c r="K90" s="96"/>
      <c r="L90" s="96"/>
      <c r="M90" s="96"/>
      <c r="N90" s="96"/>
      <c r="O90" s="96"/>
      <c r="P90" s="96"/>
      <c r="Q90" s="96"/>
      <c r="R90" s="96"/>
      <c r="S90" s="96"/>
      <c r="T90" s="96"/>
      <c r="U90" s="97"/>
    </row>
    <row r="91" spans="1:27" ht="97.5" customHeight="1" x14ac:dyDescent="0.15">
      <c r="B91" s="98" t="s">
        <v>56</v>
      </c>
      <c r="C91" s="66" t="s">
        <v>51</v>
      </c>
      <c r="D91" s="132" t="s">
        <v>150</v>
      </c>
      <c r="E91" s="133"/>
      <c r="F91" s="133"/>
      <c r="G91" s="133"/>
      <c r="H91" s="133"/>
      <c r="I91" s="133"/>
      <c r="J91" s="133"/>
      <c r="K91" s="133"/>
      <c r="L91" s="133"/>
      <c r="M91" s="133"/>
      <c r="N91" s="133"/>
      <c r="O91" s="133"/>
      <c r="P91" s="133"/>
      <c r="Q91" s="133"/>
      <c r="R91" s="133"/>
      <c r="S91" s="133"/>
      <c r="T91" s="133"/>
      <c r="U91" s="134"/>
    </row>
    <row r="92" spans="1:27" ht="97.5" customHeight="1" x14ac:dyDescent="0.15">
      <c r="B92" s="122"/>
      <c r="C92" s="67" t="s">
        <v>70</v>
      </c>
      <c r="D92" s="129" t="s">
        <v>151</v>
      </c>
      <c r="E92" s="130"/>
      <c r="F92" s="130"/>
      <c r="G92" s="130"/>
      <c r="H92" s="130"/>
      <c r="I92" s="130"/>
      <c r="J92" s="130"/>
      <c r="K92" s="130"/>
      <c r="L92" s="130"/>
      <c r="M92" s="130"/>
      <c r="N92" s="130"/>
      <c r="O92" s="130"/>
      <c r="P92" s="130"/>
      <c r="Q92" s="130"/>
      <c r="R92" s="130"/>
      <c r="S92" s="130"/>
      <c r="T92" s="130"/>
      <c r="U92" s="131"/>
    </row>
    <row r="93" spans="1:27" ht="97.5" customHeight="1" x14ac:dyDescent="0.15">
      <c r="B93" s="98" t="s">
        <v>57</v>
      </c>
      <c r="C93" s="68" t="s">
        <v>64</v>
      </c>
      <c r="D93" s="132" t="s">
        <v>152</v>
      </c>
      <c r="E93" s="133"/>
      <c r="F93" s="133"/>
      <c r="G93" s="133"/>
      <c r="H93" s="133"/>
      <c r="I93" s="133"/>
      <c r="J93" s="133"/>
      <c r="K93" s="133"/>
      <c r="L93" s="133"/>
      <c r="M93" s="133"/>
      <c r="N93" s="133"/>
      <c r="O93" s="133"/>
      <c r="P93" s="133"/>
      <c r="Q93" s="133"/>
      <c r="R93" s="133"/>
      <c r="S93" s="133"/>
      <c r="T93" s="133"/>
      <c r="U93" s="134"/>
    </row>
    <row r="94" spans="1:27" ht="97.5" customHeight="1" x14ac:dyDescent="0.15">
      <c r="B94" s="99"/>
      <c r="C94" s="69" t="s">
        <v>65</v>
      </c>
      <c r="D94" s="129" t="s">
        <v>153</v>
      </c>
      <c r="E94" s="130"/>
      <c r="F94" s="130"/>
      <c r="G94" s="130"/>
      <c r="H94" s="130"/>
      <c r="I94" s="130"/>
      <c r="J94" s="130"/>
      <c r="K94" s="130"/>
      <c r="L94" s="130"/>
      <c r="M94" s="130"/>
      <c r="N94" s="130"/>
      <c r="O94" s="130"/>
      <c r="P94" s="130"/>
      <c r="Q94" s="130"/>
      <c r="R94" s="130"/>
      <c r="S94" s="130"/>
      <c r="T94" s="130"/>
      <c r="U94" s="131"/>
    </row>
    <row r="95" spans="1:27" ht="97.5" customHeight="1" x14ac:dyDescent="0.15">
      <c r="B95" s="98" t="s">
        <v>58</v>
      </c>
      <c r="C95" s="68" t="s">
        <v>66</v>
      </c>
      <c r="D95" s="132" t="s">
        <v>154</v>
      </c>
      <c r="E95" s="133"/>
      <c r="F95" s="133"/>
      <c r="G95" s="133"/>
      <c r="H95" s="133"/>
      <c r="I95" s="133"/>
      <c r="J95" s="133"/>
      <c r="K95" s="133"/>
      <c r="L95" s="133"/>
      <c r="M95" s="133"/>
      <c r="N95" s="133"/>
      <c r="O95" s="133"/>
      <c r="P95" s="133"/>
      <c r="Q95" s="133"/>
      <c r="R95" s="133"/>
      <c r="S95" s="133"/>
      <c r="T95" s="133"/>
      <c r="U95" s="134"/>
    </row>
    <row r="96" spans="1:27" ht="97.5" customHeight="1" x14ac:dyDescent="0.15">
      <c r="B96" s="99"/>
      <c r="C96" s="70" t="s">
        <v>67</v>
      </c>
      <c r="D96" s="129" t="s">
        <v>155</v>
      </c>
      <c r="E96" s="130"/>
      <c r="F96" s="130"/>
      <c r="G96" s="130"/>
      <c r="H96" s="130"/>
      <c r="I96" s="130"/>
      <c r="J96" s="130"/>
      <c r="K96" s="130"/>
      <c r="L96" s="130"/>
      <c r="M96" s="130"/>
      <c r="N96" s="130"/>
      <c r="O96" s="130"/>
      <c r="P96" s="130"/>
      <c r="Q96" s="130"/>
      <c r="R96" s="130"/>
      <c r="S96" s="130"/>
      <c r="T96" s="130"/>
      <c r="U96" s="131"/>
    </row>
    <row r="97" spans="1:21" ht="97.5" customHeight="1" x14ac:dyDescent="0.15">
      <c r="B97" s="98" t="s">
        <v>71</v>
      </c>
      <c r="C97" s="66" t="s">
        <v>53</v>
      </c>
      <c r="D97" s="132" t="s">
        <v>156</v>
      </c>
      <c r="E97" s="133"/>
      <c r="F97" s="133"/>
      <c r="G97" s="133"/>
      <c r="H97" s="133"/>
      <c r="I97" s="133"/>
      <c r="J97" s="133"/>
      <c r="K97" s="133"/>
      <c r="L97" s="133"/>
      <c r="M97" s="133"/>
      <c r="N97" s="133"/>
      <c r="O97" s="133"/>
      <c r="P97" s="133"/>
      <c r="Q97" s="133"/>
      <c r="R97" s="133"/>
      <c r="S97" s="133"/>
      <c r="T97" s="133"/>
      <c r="U97" s="134"/>
    </row>
    <row r="98" spans="1:21" ht="97.5" customHeight="1" x14ac:dyDescent="0.15">
      <c r="B98" s="99"/>
      <c r="C98" s="69" t="s">
        <v>55</v>
      </c>
      <c r="D98" s="129" t="s">
        <v>157</v>
      </c>
      <c r="E98" s="130"/>
      <c r="F98" s="130"/>
      <c r="G98" s="130"/>
      <c r="H98" s="130"/>
      <c r="I98" s="130"/>
      <c r="J98" s="130"/>
      <c r="K98" s="130"/>
      <c r="L98" s="130"/>
      <c r="M98" s="130"/>
      <c r="N98" s="130"/>
      <c r="O98" s="130"/>
      <c r="P98" s="130"/>
      <c r="Q98" s="130"/>
      <c r="R98" s="130"/>
      <c r="S98" s="130"/>
      <c r="T98" s="130"/>
      <c r="U98" s="131"/>
    </row>
    <row r="99" spans="1:21" ht="97.5" customHeight="1" x14ac:dyDescent="0.15">
      <c r="B99" s="98" t="s">
        <v>72</v>
      </c>
      <c r="C99" s="68" t="s">
        <v>52</v>
      </c>
      <c r="D99" s="132" t="s">
        <v>158</v>
      </c>
      <c r="E99" s="133"/>
      <c r="F99" s="133"/>
      <c r="G99" s="133"/>
      <c r="H99" s="133"/>
      <c r="I99" s="133"/>
      <c r="J99" s="133"/>
      <c r="K99" s="133"/>
      <c r="L99" s="133"/>
      <c r="M99" s="133"/>
      <c r="N99" s="133"/>
      <c r="O99" s="133"/>
      <c r="P99" s="133"/>
      <c r="Q99" s="133"/>
      <c r="R99" s="133"/>
      <c r="S99" s="133"/>
      <c r="T99" s="133"/>
      <c r="U99" s="134"/>
    </row>
    <row r="100" spans="1:21" ht="97.5" customHeight="1" x14ac:dyDescent="0.15">
      <c r="B100" s="122"/>
      <c r="C100" s="71" t="s">
        <v>68</v>
      </c>
      <c r="D100" s="135" t="s">
        <v>159</v>
      </c>
      <c r="E100" s="136"/>
      <c r="F100" s="136"/>
      <c r="G100" s="136"/>
      <c r="H100" s="136"/>
      <c r="I100" s="136"/>
      <c r="J100" s="136"/>
      <c r="K100" s="136"/>
      <c r="L100" s="136"/>
      <c r="M100" s="136"/>
      <c r="N100" s="136"/>
      <c r="O100" s="136"/>
      <c r="P100" s="136"/>
      <c r="Q100" s="136"/>
      <c r="R100" s="136"/>
      <c r="S100" s="136"/>
      <c r="T100" s="136"/>
      <c r="U100" s="137"/>
    </row>
    <row r="101" spans="1:21" ht="97.5" customHeight="1" x14ac:dyDescent="0.15">
      <c r="B101" s="99"/>
      <c r="C101" s="70" t="s">
        <v>69</v>
      </c>
      <c r="D101" s="129" t="s">
        <v>160</v>
      </c>
      <c r="E101" s="130"/>
      <c r="F101" s="130"/>
      <c r="G101" s="130"/>
      <c r="H101" s="130"/>
      <c r="I101" s="130"/>
      <c r="J101" s="130"/>
      <c r="K101" s="130"/>
      <c r="L101" s="130"/>
      <c r="M101" s="130"/>
      <c r="N101" s="130"/>
      <c r="O101" s="130"/>
      <c r="P101" s="130"/>
      <c r="Q101" s="130"/>
      <c r="R101" s="130"/>
      <c r="S101" s="130"/>
      <c r="T101" s="130"/>
      <c r="U101" s="131"/>
    </row>
    <row r="102" spans="1:21" ht="6" customHeight="1" x14ac:dyDescent="0.15"/>
    <row r="103" spans="1:21" ht="18.75" customHeight="1" x14ac:dyDescent="0.15">
      <c r="A103" s="1" t="s">
        <v>103</v>
      </c>
    </row>
    <row r="104" spans="1:21" ht="81.75" customHeight="1" x14ac:dyDescent="0.15">
      <c r="B104" s="116" t="s">
        <v>161</v>
      </c>
      <c r="C104" s="117"/>
      <c r="D104" s="117"/>
      <c r="E104" s="117"/>
      <c r="F104" s="117"/>
      <c r="G104" s="117"/>
      <c r="H104" s="117"/>
      <c r="I104" s="117"/>
      <c r="J104" s="117"/>
      <c r="K104" s="117"/>
      <c r="L104" s="117"/>
      <c r="M104" s="117"/>
      <c r="N104" s="117"/>
      <c r="O104" s="117"/>
      <c r="P104" s="117"/>
      <c r="Q104" s="117"/>
      <c r="R104" s="117"/>
      <c r="S104" s="117"/>
      <c r="T104" s="117"/>
      <c r="U104" s="118"/>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59055118110236227" right="0.59055118110236227" top="0.78740157480314965" bottom="0.19685039370078741" header="0.31496062992125984" footer="0.19685039370078741"/>
  <pageSetup paperSize="9" scale="72"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2" sqref="B2"/>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51" t="str">
        <f>'様式１　プログラムを構成する授業科目'!C2</f>
        <v>びわこ学院大学短期大学部</v>
      </c>
      <c r="R2" s="151"/>
      <c r="S2" s="151"/>
    </row>
    <row r="3" spans="1:21" ht="18" customHeight="1" x14ac:dyDescent="0.15">
      <c r="A3" s="106" t="s">
        <v>142</v>
      </c>
      <c r="B3" s="106"/>
      <c r="C3" s="106"/>
      <c r="D3" s="106"/>
      <c r="E3" s="106"/>
      <c r="F3" s="106"/>
      <c r="G3" s="106"/>
      <c r="H3" s="106"/>
      <c r="I3" s="106"/>
      <c r="J3" s="106"/>
      <c r="K3" s="106"/>
      <c r="L3" s="106"/>
      <c r="M3" s="106"/>
      <c r="N3" s="106"/>
      <c r="O3" s="106"/>
      <c r="P3" s="106"/>
      <c r="Q3" s="106"/>
      <c r="R3" s="106"/>
      <c r="S3" s="106"/>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152" t="s">
        <v>162</v>
      </c>
      <c r="D5" s="153"/>
      <c r="E5" s="56" t="s">
        <v>125</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109</v>
      </c>
      <c r="B7" s="52"/>
      <c r="C7" s="75"/>
      <c r="D7" s="75"/>
      <c r="E7" s="54" t="s">
        <v>110</v>
      </c>
      <c r="F7" s="57">
        <v>35</v>
      </c>
      <c r="G7" s="56" t="s">
        <v>111</v>
      </c>
      <c r="H7" s="54" t="s">
        <v>112</v>
      </c>
      <c r="I7" s="57">
        <v>73</v>
      </c>
      <c r="J7" s="56" t="s">
        <v>111</v>
      </c>
      <c r="K7" s="55" t="s">
        <v>113</v>
      </c>
      <c r="L7" s="54" t="s">
        <v>114</v>
      </c>
      <c r="M7" s="57">
        <f>F7+I7</f>
        <v>108</v>
      </c>
      <c r="N7" s="54" t="s">
        <v>1</v>
      </c>
      <c r="O7" s="56" t="s">
        <v>115</v>
      </c>
      <c r="P7" s="54"/>
      <c r="Q7" s="54"/>
      <c r="R7" s="53"/>
      <c r="S7" s="53"/>
    </row>
    <row r="8" spans="1:21" ht="17.45" customHeight="1" x14ac:dyDescent="0.15">
      <c r="A8" s="54"/>
      <c r="B8" s="76"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4" t="s">
        <v>43</v>
      </c>
      <c r="C11" s="164" t="s">
        <v>78</v>
      </c>
      <c r="D11" s="156" t="s">
        <v>45</v>
      </c>
      <c r="E11" s="158" t="s">
        <v>38</v>
      </c>
      <c r="F11" s="150" t="s">
        <v>126</v>
      </c>
      <c r="G11" s="150"/>
      <c r="H11" s="150" t="s">
        <v>106</v>
      </c>
      <c r="I11" s="150"/>
      <c r="J11" s="150" t="s">
        <v>77</v>
      </c>
      <c r="K11" s="150"/>
      <c r="L11" s="150" t="s">
        <v>46</v>
      </c>
      <c r="M11" s="150"/>
      <c r="N11" s="150" t="s">
        <v>47</v>
      </c>
      <c r="O11" s="150"/>
      <c r="P11" s="150" t="s">
        <v>127</v>
      </c>
      <c r="Q11" s="150"/>
      <c r="R11" s="160" t="s">
        <v>35</v>
      </c>
      <c r="S11" s="162" t="s">
        <v>32</v>
      </c>
      <c r="U11" s="2"/>
    </row>
    <row r="12" spans="1:21" ht="16.899999999999999" customHeight="1" x14ac:dyDescent="0.15">
      <c r="B12" s="155"/>
      <c r="C12" s="165"/>
      <c r="D12" s="157"/>
      <c r="E12" s="159"/>
      <c r="F12" s="77" t="s">
        <v>86</v>
      </c>
      <c r="G12" s="77" t="s">
        <v>29</v>
      </c>
      <c r="H12" s="77" t="s">
        <v>86</v>
      </c>
      <c r="I12" s="77" t="s">
        <v>29</v>
      </c>
      <c r="J12" s="77" t="s">
        <v>86</v>
      </c>
      <c r="K12" s="77" t="s">
        <v>29</v>
      </c>
      <c r="L12" s="77" t="s">
        <v>86</v>
      </c>
      <c r="M12" s="77" t="s">
        <v>29</v>
      </c>
      <c r="N12" s="77" t="s">
        <v>86</v>
      </c>
      <c r="O12" s="77" t="s">
        <v>29</v>
      </c>
      <c r="P12" s="77" t="s">
        <v>86</v>
      </c>
      <c r="Q12" s="78" t="s">
        <v>29</v>
      </c>
      <c r="R12" s="161"/>
      <c r="S12" s="163"/>
      <c r="U12" s="2"/>
    </row>
    <row r="13" spans="1:21" ht="18" customHeight="1" x14ac:dyDescent="0.15">
      <c r="A13" s="6"/>
      <c r="B13" s="47" t="s">
        <v>163</v>
      </c>
      <c r="C13" s="35">
        <v>42</v>
      </c>
      <c r="D13" s="36">
        <v>30</v>
      </c>
      <c r="E13" s="37">
        <v>60</v>
      </c>
      <c r="F13" s="37">
        <v>23</v>
      </c>
      <c r="G13" s="37">
        <v>21</v>
      </c>
      <c r="H13" s="37"/>
      <c r="I13" s="37"/>
      <c r="J13" s="37"/>
      <c r="K13" s="37"/>
      <c r="L13" s="37"/>
      <c r="M13" s="37"/>
      <c r="N13" s="37"/>
      <c r="O13" s="37"/>
      <c r="P13" s="37"/>
      <c r="Q13" s="48"/>
      <c r="R13" s="36">
        <f t="shared" ref="R13:R32" si="0">F13+H13+J13+L13+N13+P13</f>
        <v>23</v>
      </c>
      <c r="S13" s="81">
        <f t="shared" ref="S13:S33" si="1">R13/E13</f>
        <v>0.38333333333333336</v>
      </c>
    </row>
    <row r="14" spans="1:21" ht="18" customHeight="1" x14ac:dyDescent="0.15">
      <c r="A14" s="6"/>
      <c r="B14" s="11" t="s">
        <v>164</v>
      </c>
      <c r="C14" s="38">
        <v>25</v>
      </c>
      <c r="D14" s="39">
        <v>30</v>
      </c>
      <c r="E14" s="40">
        <v>60</v>
      </c>
      <c r="F14" s="41">
        <v>0</v>
      </c>
      <c r="G14" s="41">
        <v>0</v>
      </c>
      <c r="H14" s="41"/>
      <c r="I14" s="41"/>
      <c r="J14" s="41"/>
      <c r="K14" s="41"/>
      <c r="L14" s="41"/>
      <c r="M14" s="41"/>
      <c r="N14" s="41"/>
      <c r="O14" s="41"/>
      <c r="P14" s="41"/>
      <c r="Q14" s="38"/>
      <c r="R14" s="39">
        <f t="shared" si="0"/>
        <v>0</v>
      </c>
      <c r="S14" s="8">
        <f t="shared" si="1"/>
        <v>0</v>
      </c>
    </row>
    <row r="15" spans="1:21" ht="18" customHeight="1" x14ac:dyDescent="0.15">
      <c r="A15" s="6"/>
      <c r="B15" s="11" t="s">
        <v>165</v>
      </c>
      <c r="C15" s="38">
        <v>41</v>
      </c>
      <c r="D15" s="39">
        <v>20</v>
      </c>
      <c r="E15" s="40">
        <v>40</v>
      </c>
      <c r="F15" s="41">
        <v>17</v>
      </c>
      <c r="G15" s="41">
        <v>16</v>
      </c>
      <c r="H15" s="41"/>
      <c r="I15" s="41"/>
      <c r="J15" s="41"/>
      <c r="K15" s="41"/>
      <c r="L15" s="41"/>
      <c r="M15" s="41"/>
      <c r="N15" s="41"/>
      <c r="O15" s="41"/>
      <c r="P15" s="41"/>
      <c r="Q15" s="38"/>
      <c r="R15" s="39">
        <f t="shared" si="0"/>
        <v>17</v>
      </c>
      <c r="S15" s="8">
        <f t="shared" si="1"/>
        <v>0.42499999999999999</v>
      </c>
    </row>
    <row r="16" spans="1:21" ht="18" customHeight="1" x14ac:dyDescent="0.15">
      <c r="A16" s="6"/>
      <c r="B16" s="11"/>
      <c r="C16" s="38"/>
      <c r="D16" s="39"/>
      <c r="E16" s="40"/>
      <c r="F16" s="41"/>
      <c r="G16" s="41"/>
      <c r="H16" s="41"/>
      <c r="I16" s="41"/>
      <c r="J16" s="41"/>
      <c r="K16" s="41"/>
      <c r="L16" s="41"/>
      <c r="M16" s="41"/>
      <c r="N16" s="41"/>
      <c r="O16" s="41"/>
      <c r="P16" s="41"/>
      <c r="Q16" s="38"/>
      <c r="R16" s="39">
        <f t="shared" si="0"/>
        <v>0</v>
      </c>
      <c r="S16" s="8" t="e">
        <f t="shared" si="1"/>
        <v>#DIV/0!</v>
      </c>
    </row>
    <row r="17" spans="1:19" ht="18" customHeight="1" x14ac:dyDescent="0.15">
      <c r="A17" s="6"/>
      <c r="B17" s="11"/>
      <c r="C17" s="38"/>
      <c r="D17" s="39"/>
      <c r="E17" s="40"/>
      <c r="F17" s="41"/>
      <c r="G17" s="41"/>
      <c r="H17" s="41"/>
      <c r="I17" s="41"/>
      <c r="J17" s="41"/>
      <c r="K17" s="41"/>
      <c r="L17" s="41"/>
      <c r="M17" s="41"/>
      <c r="N17" s="41"/>
      <c r="O17" s="41"/>
      <c r="P17" s="41"/>
      <c r="Q17" s="38"/>
      <c r="R17" s="39">
        <f t="shared" si="0"/>
        <v>0</v>
      </c>
      <c r="S17" s="8" t="e">
        <f t="shared" si="1"/>
        <v>#DIV/0!</v>
      </c>
    </row>
    <row r="18" spans="1:19" ht="18" customHeight="1" x14ac:dyDescent="0.15">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15">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15">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15">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15">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15">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15">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15">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15">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15">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15">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15">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15">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15">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15">
      <c r="B33" s="13" t="s">
        <v>33</v>
      </c>
      <c r="C33" s="44">
        <f t="shared" ref="C33" si="2">SUM(C13:C32)</f>
        <v>108</v>
      </c>
      <c r="D33" s="45">
        <f t="shared" ref="D33:R33" si="3">SUM(D13:D32)</f>
        <v>80</v>
      </c>
      <c r="E33" s="46">
        <f t="shared" si="3"/>
        <v>160</v>
      </c>
      <c r="F33" s="46">
        <f t="shared" si="3"/>
        <v>40</v>
      </c>
      <c r="G33" s="46">
        <f t="shared" ref="G33:H33" si="4">SUM(G13:G32)</f>
        <v>37</v>
      </c>
      <c r="H33" s="46">
        <f t="shared" si="4"/>
        <v>0</v>
      </c>
      <c r="I33" s="46">
        <f t="shared" ref="I33:J33" si="5">SUM(I13:I32)</f>
        <v>0</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5">
        <f t="shared" si="3"/>
        <v>40</v>
      </c>
      <c r="S33" s="9">
        <f t="shared" si="1"/>
        <v>0.25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2" sqref="B2"/>
    </sheetView>
  </sheetViews>
  <sheetFormatPr defaultColWidth="11.375" defaultRowHeight="18.75" customHeight="1" x14ac:dyDescent="0.15"/>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9" t="s">
        <v>59</v>
      </c>
      <c r="I1" s="17" t="s">
        <v>91</v>
      </c>
    </row>
    <row r="2" spans="1:9" ht="18.75" customHeight="1" x14ac:dyDescent="0.15">
      <c r="G2" s="17" t="s">
        <v>93</v>
      </c>
      <c r="H2" s="95" t="str">
        <f>'様式１　プログラムを構成する授業科目'!C2</f>
        <v>びわこ学院大学短期大学部</v>
      </c>
      <c r="I2" s="97"/>
    </row>
    <row r="3" spans="1:9" ht="18.75" customHeight="1" x14ac:dyDescent="0.15">
      <c r="G3" s="17"/>
      <c r="H3" s="10"/>
      <c r="I3" s="10"/>
    </row>
    <row r="4" spans="1:9" ht="18.600000000000001" customHeight="1" x14ac:dyDescent="0.15">
      <c r="A4" s="106" t="s">
        <v>36</v>
      </c>
      <c r="B4" s="106"/>
      <c r="C4" s="106"/>
      <c r="D4" s="106"/>
      <c r="E4" s="106"/>
      <c r="F4" s="106"/>
      <c r="G4" s="106"/>
      <c r="H4" s="106"/>
      <c r="I4" s="106"/>
    </row>
    <row r="5" spans="1:9" ht="13.15" customHeight="1" x14ac:dyDescent="0.15">
      <c r="B5" s="3"/>
      <c r="C5" s="3"/>
      <c r="D5" s="3"/>
      <c r="E5" s="3"/>
      <c r="F5" s="3"/>
      <c r="G5" s="3"/>
      <c r="H5" s="3"/>
      <c r="I5" s="3"/>
    </row>
    <row r="6" spans="1:9" ht="18" customHeight="1" x14ac:dyDescent="0.15">
      <c r="A6" s="1" t="s">
        <v>0</v>
      </c>
      <c r="B6" s="10" t="s">
        <v>81</v>
      </c>
      <c r="C6" s="186" t="s">
        <v>82</v>
      </c>
      <c r="D6" s="186"/>
      <c r="E6" s="16">
        <v>10</v>
      </c>
      <c r="F6" s="3" t="s">
        <v>1</v>
      </c>
      <c r="G6" s="3" t="s">
        <v>2</v>
      </c>
      <c r="H6" s="16">
        <v>35</v>
      </c>
      <c r="I6" s="10" t="s">
        <v>1</v>
      </c>
    </row>
    <row r="7" spans="1:9" ht="12" customHeight="1" x14ac:dyDescent="0.15">
      <c r="C7" s="2"/>
      <c r="D7" s="2"/>
      <c r="E7" s="2"/>
      <c r="F7" s="2"/>
      <c r="G7" s="2"/>
      <c r="H7" s="2"/>
      <c r="I7" s="20"/>
    </row>
    <row r="8" spans="1:9" ht="18" customHeight="1" x14ac:dyDescent="0.15">
      <c r="A8" s="1" t="s">
        <v>3</v>
      </c>
      <c r="B8" s="10" t="s">
        <v>83</v>
      </c>
      <c r="E8" s="3"/>
      <c r="F8" s="3"/>
      <c r="G8" s="3"/>
      <c r="H8" s="16">
        <v>2</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7" t="s">
        <v>41</v>
      </c>
      <c r="C11" s="181" t="s">
        <v>166</v>
      </c>
      <c r="D11" s="184"/>
      <c r="E11" s="185"/>
      <c r="F11" s="20"/>
      <c r="G11" s="17" t="s">
        <v>10</v>
      </c>
      <c r="H11" s="181" t="s">
        <v>167</v>
      </c>
      <c r="I11" s="185"/>
    </row>
    <row r="12" spans="1:9" ht="10.15" customHeight="1" x14ac:dyDescent="0.15">
      <c r="B12" s="17"/>
      <c r="C12" s="10"/>
      <c r="D12" s="20"/>
      <c r="E12" s="20"/>
      <c r="F12" s="20"/>
      <c r="G12" s="17"/>
      <c r="H12" s="10"/>
      <c r="I12" s="20"/>
    </row>
    <row r="13" spans="1:9" ht="18" customHeight="1" x14ac:dyDescent="0.15">
      <c r="A13" s="1" t="s">
        <v>7</v>
      </c>
      <c r="B13" s="10" t="s">
        <v>79</v>
      </c>
      <c r="C13" s="3"/>
      <c r="D13" s="3"/>
      <c r="E13" s="3"/>
      <c r="F13" s="3"/>
      <c r="G13" s="3"/>
      <c r="H13" s="3"/>
      <c r="I13" s="3"/>
    </row>
    <row r="14" spans="1:9" ht="18" customHeight="1" x14ac:dyDescent="0.15">
      <c r="B14" s="181" t="s">
        <v>188</v>
      </c>
      <c r="C14" s="182"/>
      <c r="D14" s="182"/>
      <c r="E14" s="182"/>
      <c r="F14" s="182"/>
      <c r="G14" s="182"/>
      <c r="H14" s="182"/>
      <c r="I14" s="183"/>
    </row>
    <row r="15" spans="1:9" ht="9" customHeight="1" x14ac:dyDescent="0.15">
      <c r="B15" s="3"/>
      <c r="C15" s="3"/>
      <c r="D15" s="3"/>
      <c r="E15" s="3"/>
      <c r="F15" s="3"/>
      <c r="G15" s="3"/>
      <c r="H15" s="3"/>
      <c r="I15" s="3"/>
    </row>
    <row r="16" spans="1:9" ht="18" customHeight="1" x14ac:dyDescent="0.15">
      <c r="B16" s="17" t="s">
        <v>41</v>
      </c>
      <c r="C16" s="181" t="s">
        <v>166</v>
      </c>
      <c r="D16" s="184"/>
      <c r="E16" s="185"/>
      <c r="F16" s="20"/>
      <c r="G16" s="17" t="s">
        <v>10</v>
      </c>
      <c r="H16" s="181" t="s">
        <v>167</v>
      </c>
      <c r="I16" s="185"/>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67" t="s">
        <v>168</v>
      </c>
      <c r="C19" s="168"/>
      <c r="D19" s="168"/>
      <c r="E19" s="168"/>
      <c r="F19" s="168"/>
      <c r="G19" s="168"/>
      <c r="H19" s="168"/>
      <c r="I19" s="16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0" t="s">
        <v>169</v>
      </c>
      <c r="C22" s="171"/>
      <c r="D22" s="171"/>
      <c r="E22" s="171"/>
      <c r="F22" s="171"/>
      <c r="G22" s="171"/>
      <c r="H22" s="171"/>
      <c r="I22" s="172"/>
    </row>
    <row r="23" spans="1:9" ht="18.75" customHeight="1" x14ac:dyDescent="0.15">
      <c r="A23" s="14"/>
      <c r="B23" s="173"/>
      <c r="C23" s="174"/>
      <c r="D23" s="174"/>
      <c r="E23" s="174"/>
      <c r="F23" s="174"/>
      <c r="G23" s="174"/>
      <c r="H23" s="174"/>
      <c r="I23" s="175"/>
    </row>
    <row r="24" spans="1:9" ht="18.75" customHeight="1" x14ac:dyDescent="0.15">
      <c r="A24" s="14"/>
      <c r="B24" s="173"/>
      <c r="C24" s="174"/>
      <c r="D24" s="174"/>
      <c r="E24" s="174"/>
      <c r="F24" s="174"/>
      <c r="G24" s="174"/>
      <c r="H24" s="174"/>
      <c r="I24" s="175"/>
    </row>
    <row r="25" spans="1:9" ht="18.75" customHeight="1" x14ac:dyDescent="0.15">
      <c r="A25" s="14"/>
      <c r="B25" s="173"/>
      <c r="C25" s="174"/>
      <c r="D25" s="174"/>
      <c r="E25" s="174"/>
      <c r="F25" s="174"/>
      <c r="G25" s="174"/>
      <c r="H25" s="174"/>
      <c r="I25" s="175"/>
    </row>
    <row r="26" spans="1:9" ht="18.75" customHeight="1" x14ac:dyDescent="0.15">
      <c r="A26" s="14"/>
      <c r="B26" s="173"/>
      <c r="C26" s="174"/>
      <c r="D26" s="174"/>
      <c r="E26" s="174"/>
      <c r="F26" s="174"/>
      <c r="G26" s="174"/>
      <c r="H26" s="174"/>
      <c r="I26" s="175"/>
    </row>
    <row r="27" spans="1:9" ht="18.75" customHeight="1" x14ac:dyDescent="0.15">
      <c r="A27" s="14"/>
      <c r="B27" s="173"/>
      <c r="C27" s="174"/>
      <c r="D27" s="174"/>
      <c r="E27" s="174"/>
      <c r="F27" s="174"/>
      <c r="G27" s="174"/>
      <c r="H27" s="174"/>
      <c r="I27" s="175"/>
    </row>
    <row r="28" spans="1:9" ht="18.75" customHeight="1" x14ac:dyDescent="0.15">
      <c r="A28" s="14"/>
      <c r="B28" s="173"/>
      <c r="C28" s="174"/>
      <c r="D28" s="174"/>
      <c r="E28" s="174"/>
      <c r="F28" s="174"/>
      <c r="G28" s="174"/>
      <c r="H28" s="174"/>
      <c r="I28" s="175"/>
    </row>
    <row r="29" spans="1:9" ht="18.75" customHeight="1" x14ac:dyDescent="0.15">
      <c r="A29" s="14"/>
      <c r="B29" s="173"/>
      <c r="C29" s="174"/>
      <c r="D29" s="174"/>
      <c r="E29" s="174"/>
      <c r="F29" s="174"/>
      <c r="G29" s="174"/>
      <c r="H29" s="174"/>
      <c r="I29" s="175"/>
    </row>
    <row r="30" spans="1:9" ht="18.75" customHeight="1" x14ac:dyDescent="0.15">
      <c r="A30" s="14"/>
      <c r="B30" s="176"/>
      <c r="C30" s="177"/>
      <c r="D30" s="177"/>
      <c r="E30" s="177"/>
      <c r="F30" s="177"/>
      <c r="G30" s="177"/>
      <c r="H30" s="177"/>
      <c r="I30" s="175"/>
    </row>
    <row r="31" spans="1:9" ht="18.75" customHeight="1" x14ac:dyDescent="0.15">
      <c r="A31" s="14"/>
      <c r="B31" s="176"/>
      <c r="C31" s="177"/>
      <c r="D31" s="177"/>
      <c r="E31" s="177"/>
      <c r="F31" s="177"/>
      <c r="G31" s="177"/>
      <c r="H31" s="177"/>
      <c r="I31" s="175"/>
    </row>
    <row r="32" spans="1:9" ht="18.75" customHeight="1" x14ac:dyDescent="0.15">
      <c r="A32" s="14"/>
      <c r="B32" s="178"/>
      <c r="C32" s="179"/>
      <c r="D32" s="179"/>
      <c r="E32" s="179"/>
      <c r="F32" s="179"/>
      <c r="G32" s="179"/>
      <c r="H32" s="179"/>
      <c r="I32" s="180"/>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0" t="s">
        <v>172</v>
      </c>
      <c r="C35" s="171"/>
      <c r="D35" s="171"/>
      <c r="E35" s="171"/>
      <c r="F35" s="171"/>
      <c r="G35" s="171"/>
      <c r="H35" s="171"/>
      <c r="I35" s="172"/>
    </row>
    <row r="36" spans="1:9" ht="18.75" customHeight="1" x14ac:dyDescent="0.15">
      <c r="A36" s="14"/>
      <c r="B36" s="176"/>
      <c r="C36" s="177"/>
      <c r="D36" s="177"/>
      <c r="E36" s="177"/>
      <c r="F36" s="177"/>
      <c r="G36" s="177"/>
      <c r="H36" s="177"/>
      <c r="I36" s="175"/>
    </row>
    <row r="37" spans="1:9" ht="18.75" customHeight="1" x14ac:dyDescent="0.15">
      <c r="A37" s="14"/>
      <c r="B37" s="176"/>
      <c r="C37" s="177"/>
      <c r="D37" s="177"/>
      <c r="E37" s="177"/>
      <c r="F37" s="177"/>
      <c r="G37" s="177"/>
      <c r="H37" s="177"/>
      <c r="I37" s="175"/>
    </row>
    <row r="38" spans="1:9" ht="18.75" customHeight="1" x14ac:dyDescent="0.15">
      <c r="A38" s="14"/>
      <c r="B38" s="176"/>
      <c r="C38" s="177"/>
      <c r="D38" s="177"/>
      <c r="E38" s="177"/>
      <c r="F38" s="177"/>
      <c r="G38" s="177"/>
      <c r="H38" s="177"/>
      <c r="I38" s="175"/>
    </row>
    <row r="39" spans="1:9" ht="18.75" customHeight="1" x14ac:dyDescent="0.15">
      <c r="A39" s="14"/>
      <c r="B39" s="176"/>
      <c r="C39" s="177"/>
      <c r="D39" s="177"/>
      <c r="E39" s="177"/>
      <c r="F39" s="177"/>
      <c r="G39" s="177"/>
      <c r="H39" s="177"/>
      <c r="I39" s="175"/>
    </row>
    <row r="40" spans="1:9" ht="18.75" customHeight="1" x14ac:dyDescent="0.15">
      <c r="A40" s="14"/>
      <c r="B40" s="176"/>
      <c r="C40" s="177"/>
      <c r="D40" s="177"/>
      <c r="E40" s="177"/>
      <c r="F40" s="177"/>
      <c r="G40" s="177"/>
      <c r="H40" s="177"/>
      <c r="I40" s="175"/>
    </row>
    <row r="41" spans="1:9" ht="18.75" customHeight="1" x14ac:dyDescent="0.15">
      <c r="A41" s="14"/>
      <c r="B41" s="176"/>
      <c r="C41" s="177"/>
      <c r="D41" s="177"/>
      <c r="E41" s="177"/>
      <c r="F41" s="177"/>
      <c r="G41" s="177"/>
      <c r="H41" s="177"/>
      <c r="I41" s="175"/>
    </row>
    <row r="42" spans="1:9" ht="18.75" customHeight="1" x14ac:dyDescent="0.15">
      <c r="A42" s="14"/>
      <c r="B42" s="176"/>
      <c r="C42" s="177"/>
      <c r="D42" s="177"/>
      <c r="E42" s="177"/>
      <c r="F42" s="177"/>
      <c r="G42" s="177"/>
      <c r="H42" s="177"/>
      <c r="I42" s="175"/>
    </row>
    <row r="43" spans="1:9" ht="18.75" customHeight="1" x14ac:dyDescent="0.15">
      <c r="A43" s="14"/>
      <c r="B43" s="176"/>
      <c r="C43" s="177"/>
      <c r="D43" s="177"/>
      <c r="E43" s="177"/>
      <c r="F43" s="177"/>
      <c r="G43" s="177"/>
      <c r="H43" s="177"/>
      <c r="I43" s="175"/>
    </row>
    <row r="44" spans="1:9" ht="18.75" customHeight="1" x14ac:dyDescent="0.15">
      <c r="A44" s="14"/>
      <c r="B44" s="176"/>
      <c r="C44" s="177"/>
      <c r="D44" s="177"/>
      <c r="E44" s="177"/>
      <c r="F44" s="177"/>
      <c r="G44" s="177"/>
      <c r="H44" s="177"/>
      <c r="I44" s="175"/>
    </row>
    <row r="45" spans="1:9" ht="18.75" customHeight="1" x14ac:dyDescent="0.15">
      <c r="A45" s="14"/>
      <c r="B45" s="176"/>
      <c r="C45" s="177"/>
      <c r="D45" s="177"/>
      <c r="E45" s="177"/>
      <c r="F45" s="177"/>
      <c r="G45" s="177"/>
      <c r="H45" s="177"/>
      <c r="I45" s="175"/>
    </row>
    <row r="46" spans="1:9" ht="18.75" customHeight="1" x14ac:dyDescent="0.15">
      <c r="A46" s="14"/>
      <c r="B46" s="178"/>
      <c r="C46" s="179"/>
      <c r="D46" s="179"/>
      <c r="E46" s="179"/>
      <c r="F46" s="179"/>
      <c r="G46" s="179"/>
      <c r="H46" s="179"/>
      <c r="I46" s="180"/>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217">
        <f>'様式２ 履修者等数の実績'!S33</f>
        <v>0.25</v>
      </c>
      <c r="D49" s="217"/>
      <c r="E49" s="79" t="s">
        <v>60</v>
      </c>
      <c r="F49" s="217">
        <v>0.5</v>
      </c>
      <c r="G49" s="217"/>
      <c r="H49" s="79" t="s">
        <v>80</v>
      </c>
      <c r="I49" s="21">
        <v>0.52</v>
      </c>
      <c r="J49" s="1"/>
      <c r="M49" s="1"/>
      <c r="N49" s="22"/>
    </row>
    <row r="50" spans="1:15" s="3" customFormat="1" ht="18.75" customHeight="1" x14ac:dyDescent="0.15">
      <c r="B50" s="80" t="s">
        <v>116</v>
      </c>
      <c r="C50" s="200">
        <v>0.54</v>
      </c>
      <c r="D50" s="200"/>
      <c r="E50" s="80" t="s">
        <v>130</v>
      </c>
      <c r="F50" s="200">
        <v>0.56000000000000005</v>
      </c>
      <c r="G50" s="200"/>
      <c r="H50" s="80" t="s">
        <v>61</v>
      </c>
      <c r="I50" s="23">
        <f>'様式２ 履修者等数の実績'!E33</f>
        <v>160</v>
      </c>
      <c r="J50" s="1"/>
      <c r="M50" s="1"/>
      <c r="N50" s="22"/>
    </row>
    <row r="51" spans="1:15" ht="18.75" customHeight="1" x14ac:dyDescent="0.15">
      <c r="A51" s="1"/>
      <c r="B51" s="197" t="s">
        <v>62</v>
      </c>
      <c r="C51" s="198"/>
      <c r="D51" s="198"/>
      <c r="E51" s="198"/>
      <c r="F51" s="198"/>
      <c r="G51" s="198"/>
      <c r="H51" s="198"/>
      <c r="I51" s="199"/>
      <c r="N51" s="22"/>
      <c r="O51" s="3"/>
    </row>
    <row r="52" spans="1:15" ht="18.75" customHeight="1" x14ac:dyDescent="0.15">
      <c r="A52" s="1"/>
      <c r="B52" s="218" t="s">
        <v>177</v>
      </c>
      <c r="C52" s="219"/>
      <c r="D52" s="219"/>
      <c r="E52" s="219"/>
      <c r="F52" s="219"/>
      <c r="G52" s="219"/>
      <c r="H52" s="219"/>
      <c r="I52" s="220"/>
      <c r="N52" s="22"/>
      <c r="O52" s="3"/>
    </row>
    <row r="53" spans="1:15" ht="18.75" customHeight="1" x14ac:dyDescent="0.15">
      <c r="A53" s="1"/>
      <c r="B53" s="221"/>
      <c r="C53" s="222"/>
      <c r="D53" s="222"/>
      <c r="E53" s="222"/>
      <c r="F53" s="222"/>
      <c r="G53" s="222"/>
      <c r="H53" s="222"/>
      <c r="I53" s="223"/>
      <c r="N53" s="22"/>
      <c r="O53" s="3"/>
    </row>
    <row r="54" spans="1:15" ht="18.75" customHeight="1" x14ac:dyDescent="0.15">
      <c r="A54" s="1"/>
      <c r="B54" s="221"/>
      <c r="C54" s="222"/>
      <c r="D54" s="222"/>
      <c r="E54" s="222"/>
      <c r="F54" s="222"/>
      <c r="G54" s="222"/>
      <c r="H54" s="222"/>
      <c r="I54" s="223"/>
    </row>
    <row r="55" spans="1:15" ht="18.75" customHeight="1" x14ac:dyDescent="0.15">
      <c r="A55" s="1"/>
      <c r="B55" s="221"/>
      <c r="C55" s="222"/>
      <c r="D55" s="222"/>
      <c r="E55" s="222"/>
      <c r="F55" s="222"/>
      <c r="G55" s="222"/>
      <c r="H55" s="222"/>
      <c r="I55" s="223"/>
    </row>
    <row r="56" spans="1:15" ht="18.75" customHeight="1" x14ac:dyDescent="0.15">
      <c r="A56" s="1"/>
      <c r="B56" s="221"/>
      <c r="C56" s="222"/>
      <c r="D56" s="222"/>
      <c r="E56" s="222"/>
      <c r="F56" s="222"/>
      <c r="G56" s="222"/>
      <c r="H56" s="222"/>
      <c r="I56" s="223"/>
    </row>
    <row r="57" spans="1:15" ht="18.75" customHeight="1" x14ac:dyDescent="0.15">
      <c r="A57" s="1"/>
      <c r="B57" s="221"/>
      <c r="C57" s="222"/>
      <c r="D57" s="222"/>
      <c r="E57" s="222"/>
      <c r="F57" s="222"/>
      <c r="G57" s="222"/>
      <c r="H57" s="222"/>
      <c r="I57" s="223"/>
    </row>
    <row r="58" spans="1:15" ht="18.75" customHeight="1" x14ac:dyDescent="0.15">
      <c r="A58" s="1"/>
      <c r="B58" s="221"/>
      <c r="C58" s="222"/>
      <c r="D58" s="222"/>
      <c r="E58" s="222"/>
      <c r="F58" s="222"/>
      <c r="G58" s="222"/>
      <c r="H58" s="222"/>
      <c r="I58" s="223"/>
    </row>
    <row r="59" spans="1:15" ht="18.75" customHeight="1" x14ac:dyDescent="0.15">
      <c r="A59" s="1"/>
      <c r="B59" s="221"/>
      <c r="C59" s="222"/>
      <c r="D59" s="222"/>
      <c r="E59" s="222"/>
      <c r="F59" s="222"/>
      <c r="G59" s="222"/>
      <c r="H59" s="222"/>
      <c r="I59" s="223"/>
    </row>
    <row r="60" spans="1:15" ht="18.75" customHeight="1" x14ac:dyDescent="0.15">
      <c r="A60" s="1"/>
      <c r="B60" s="221"/>
      <c r="C60" s="222"/>
      <c r="D60" s="222"/>
      <c r="E60" s="222"/>
      <c r="F60" s="222"/>
      <c r="G60" s="222"/>
      <c r="H60" s="222"/>
      <c r="I60" s="223"/>
    </row>
    <row r="61" spans="1:15" ht="18.75" customHeight="1" x14ac:dyDescent="0.15">
      <c r="A61" s="1"/>
      <c r="B61" s="221"/>
      <c r="C61" s="222"/>
      <c r="D61" s="222"/>
      <c r="E61" s="222"/>
      <c r="F61" s="222"/>
      <c r="G61" s="222"/>
      <c r="H61" s="222"/>
      <c r="I61" s="223"/>
    </row>
    <row r="62" spans="1:15" ht="18.75" customHeight="1" x14ac:dyDescent="0.15">
      <c r="A62" s="1"/>
      <c r="B62" s="221"/>
      <c r="C62" s="222"/>
      <c r="D62" s="222"/>
      <c r="E62" s="222"/>
      <c r="F62" s="222"/>
      <c r="G62" s="222"/>
      <c r="H62" s="222"/>
      <c r="I62" s="223"/>
    </row>
    <row r="63" spans="1:15" ht="18.75" customHeight="1" x14ac:dyDescent="0.15">
      <c r="A63" s="1"/>
      <c r="B63" s="224"/>
      <c r="C63" s="225"/>
      <c r="D63" s="225"/>
      <c r="E63" s="225"/>
      <c r="F63" s="225"/>
      <c r="G63" s="225"/>
      <c r="H63" s="225"/>
      <c r="I63" s="226"/>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1" t="s">
        <v>174</v>
      </c>
      <c r="C66" s="202"/>
      <c r="D66" s="202"/>
      <c r="E66" s="202"/>
      <c r="F66" s="202"/>
      <c r="G66" s="202"/>
      <c r="H66" s="202"/>
      <c r="I66" s="203"/>
    </row>
    <row r="67" spans="1:9" ht="18.75" customHeight="1" x14ac:dyDescent="0.15">
      <c r="A67" s="4"/>
      <c r="B67" s="204"/>
      <c r="C67" s="205"/>
      <c r="D67" s="205"/>
      <c r="E67" s="205"/>
      <c r="F67" s="205"/>
      <c r="G67" s="205"/>
      <c r="H67" s="205"/>
      <c r="I67" s="206"/>
    </row>
    <row r="68" spans="1:9" ht="18.75" customHeight="1" x14ac:dyDescent="0.15">
      <c r="A68" s="4"/>
      <c r="B68" s="204"/>
      <c r="C68" s="205"/>
      <c r="D68" s="205"/>
      <c r="E68" s="205"/>
      <c r="F68" s="205"/>
      <c r="G68" s="205"/>
      <c r="H68" s="205"/>
      <c r="I68" s="206"/>
    </row>
    <row r="69" spans="1:9" ht="18.75" customHeight="1" x14ac:dyDescent="0.15">
      <c r="A69" s="4"/>
      <c r="B69" s="204"/>
      <c r="C69" s="205"/>
      <c r="D69" s="205"/>
      <c r="E69" s="205"/>
      <c r="F69" s="205"/>
      <c r="G69" s="205"/>
      <c r="H69" s="205"/>
      <c r="I69" s="206"/>
    </row>
    <row r="70" spans="1:9" ht="18.75" customHeight="1" x14ac:dyDescent="0.15">
      <c r="A70" s="4"/>
      <c r="B70" s="204"/>
      <c r="C70" s="205"/>
      <c r="D70" s="205"/>
      <c r="E70" s="205"/>
      <c r="F70" s="205"/>
      <c r="G70" s="205"/>
      <c r="H70" s="205"/>
      <c r="I70" s="206"/>
    </row>
    <row r="71" spans="1:9" ht="18.75" customHeight="1" x14ac:dyDescent="0.15">
      <c r="A71" s="4"/>
      <c r="B71" s="204"/>
      <c r="C71" s="205"/>
      <c r="D71" s="205"/>
      <c r="E71" s="205"/>
      <c r="F71" s="205"/>
      <c r="G71" s="205"/>
      <c r="H71" s="205"/>
      <c r="I71" s="206"/>
    </row>
    <row r="72" spans="1:9" ht="18.75" customHeight="1" x14ac:dyDescent="0.15">
      <c r="A72" s="4"/>
      <c r="B72" s="204"/>
      <c r="C72" s="205"/>
      <c r="D72" s="205"/>
      <c r="E72" s="205"/>
      <c r="F72" s="205"/>
      <c r="G72" s="205"/>
      <c r="H72" s="205"/>
      <c r="I72" s="206"/>
    </row>
    <row r="73" spans="1:9" ht="18.75" customHeight="1" x14ac:dyDescent="0.15">
      <c r="A73" s="4"/>
      <c r="B73" s="204"/>
      <c r="C73" s="205"/>
      <c r="D73" s="205"/>
      <c r="E73" s="205"/>
      <c r="F73" s="205"/>
      <c r="G73" s="205"/>
      <c r="H73" s="205"/>
      <c r="I73" s="206"/>
    </row>
    <row r="74" spans="1:9" ht="18.75" customHeight="1" x14ac:dyDescent="0.15">
      <c r="A74" s="4"/>
      <c r="B74" s="204"/>
      <c r="C74" s="205"/>
      <c r="D74" s="205"/>
      <c r="E74" s="205"/>
      <c r="F74" s="205"/>
      <c r="G74" s="205"/>
      <c r="H74" s="205"/>
      <c r="I74" s="206"/>
    </row>
    <row r="75" spans="1:9" ht="18.75" customHeight="1" x14ac:dyDescent="0.15">
      <c r="A75" s="4"/>
      <c r="B75" s="204"/>
      <c r="C75" s="205"/>
      <c r="D75" s="205"/>
      <c r="E75" s="205"/>
      <c r="F75" s="205"/>
      <c r="G75" s="205"/>
      <c r="H75" s="205"/>
      <c r="I75" s="206"/>
    </row>
    <row r="76" spans="1:9" ht="18.75" customHeight="1" x14ac:dyDescent="0.15">
      <c r="A76" s="4"/>
      <c r="B76" s="204"/>
      <c r="C76" s="205"/>
      <c r="D76" s="205"/>
      <c r="E76" s="205"/>
      <c r="F76" s="205"/>
      <c r="G76" s="205"/>
      <c r="H76" s="205"/>
      <c r="I76" s="206"/>
    </row>
    <row r="77" spans="1:9" ht="18.75" customHeight="1" x14ac:dyDescent="0.15">
      <c r="A77" s="4"/>
      <c r="B77" s="207"/>
      <c r="C77" s="208"/>
      <c r="D77" s="208"/>
      <c r="E77" s="208"/>
      <c r="F77" s="208"/>
      <c r="G77" s="208"/>
      <c r="H77" s="208"/>
      <c r="I77" s="209"/>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1" t="s">
        <v>175</v>
      </c>
      <c r="C80" s="202"/>
      <c r="D80" s="202"/>
      <c r="E80" s="202"/>
      <c r="F80" s="202"/>
      <c r="G80" s="202"/>
      <c r="H80" s="202"/>
      <c r="I80" s="210"/>
    </row>
    <row r="81" spans="1:9" ht="18.75" customHeight="1" x14ac:dyDescent="0.15">
      <c r="A81" s="1"/>
      <c r="B81" s="211"/>
      <c r="C81" s="212"/>
      <c r="D81" s="212"/>
      <c r="E81" s="212"/>
      <c r="F81" s="212"/>
      <c r="G81" s="212"/>
      <c r="H81" s="212"/>
      <c r="I81" s="213"/>
    </row>
    <row r="82" spans="1:9" ht="18.75" customHeight="1" x14ac:dyDescent="0.15">
      <c r="A82" s="1"/>
      <c r="B82" s="211"/>
      <c r="C82" s="212"/>
      <c r="D82" s="212"/>
      <c r="E82" s="212"/>
      <c r="F82" s="212"/>
      <c r="G82" s="212"/>
      <c r="H82" s="212"/>
      <c r="I82" s="213"/>
    </row>
    <row r="83" spans="1:9" ht="18.75" customHeight="1" x14ac:dyDescent="0.15">
      <c r="A83" s="1"/>
      <c r="B83" s="211"/>
      <c r="C83" s="212"/>
      <c r="D83" s="212"/>
      <c r="E83" s="212"/>
      <c r="F83" s="212"/>
      <c r="G83" s="212"/>
      <c r="H83" s="212"/>
      <c r="I83" s="213"/>
    </row>
    <row r="84" spans="1:9" ht="18.75" customHeight="1" x14ac:dyDescent="0.15">
      <c r="A84" s="1"/>
      <c r="B84" s="211"/>
      <c r="C84" s="212"/>
      <c r="D84" s="212"/>
      <c r="E84" s="212"/>
      <c r="F84" s="212"/>
      <c r="G84" s="212"/>
      <c r="H84" s="212"/>
      <c r="I84" s="213"/>
    </row>
    <row r="85" spans="1:9" ht="18.75" customHeight="1" x14ac:dyDescent="0.15">
      <c r="A85" s="1"/>
      <c r="B85" s="211"/>
      <c r="C85" s="212"/>
      <c r="D85" s="212"/>
      <c r="E85" s="212"/>
      <c r="F85" s="212"/>
      <c r="G85" s="212"/>
      <c r="H85" s="212"/>
      <c r="I85" s="213"/>
    </row>
    <row r="86" spans="1:9" ht="18.75" customHeight="1" x14ac:dyDescent="0.15">
      <c r="A86" s="1"/>
      <c r="B86" s="211"/>
      <c r="C86" s="212"/>
      <c r="D86" s="212"/>
      <c r="E86" s="212"/>
      <c r="F86" s="212"/>
      <c r="G86" s="212"/>
      <c r="H86" s="212"/>
      <c r="I86" s="213"/>
    </row>
    <row r="87" spans="1:9" ht="18.75" customHeight="1" x14ac:dyDescent="0.15">
      <c r="A87" s="1"/>
      <c r="B87" s="211"/>
      <c r="C87" s="212"/>
      <c r="D87" s="212"/>
      <c r="E87" s="212"/>
      <c r="F87" s="212"/>
      <c r="G87" s="212"/>
      <c r="H87" s="212"/>
      <c r="I87" s="213"/>
    </row>
    <row r="88" spans="1:9" ht="18.75" customHeight="1" x14ac:dyDescent="0.15">
      <c r="A88" s="1"/>
      <c r="B88" s="211"/>
      <c r="C88" s="212"/>
      <c r="D88" s="212"/>
      <c r="E88" s="212"/>
      <c r="F88" s="212"/>
      <c r="G88" s="212"/>
      <c r="H88" s="212"/>
      <c r="I88" s="213"/>
    </row>
    <row r="89" spans="1:9" ht="18.75" customHeight="1" x14ac:dyDescent="0.15">
      <c r="A89" s="1"/>
      <c r="B89" s="211"/>
      <c r="C89" s="212"/>
      <c r="D89" s="212"/>
      <c r="E89" s="212"/>
      <c r="F89" s="212"/>
      <c r="G89" s="212"/>
      <c r="H89" s="212"/>
      <c r="I89" s="213"/>
    </row>
    <row r="90" spans="1:9" ht="18.75" customHeight="1" x14ac:dyDescent="0.15">
      <c r="A90" s="4"/>
      <c r="B90" s="211"/>
      <c r="C90" s="212"/>
      <c r="D90" s="212"/>
      <c r="E90" s="212"/>
      <c r="F90" s="212"/>
      <c r="G90" s="212"/>
      <c r="H90" s="212"/>
      <c r="I90" s="213"/>
    </row>
    <row r="91" spans="1:9" ht="18.75" customHeight="1" x14ac:dyDescent="0.15">
      <c r="A91" s="4"/>
      <c r="B91" s="214"/>
      <c r="C91" s="215"/>
      <c r="D91" s="215"/>
      <c r="E91" s="215"/>
      <c r="F91" s="215"/>
      <c r="G91" s="215"/>
      <c r="H91" s="215"/>
      <c r="I91" s="216"/>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87" t="s">
        <v>176</v>
      </c>
      <c r="C94" s="188"/>
      <c r="D94" s="188"/>
      <c r="E94" s="188"/>
      <c r="F94" s="188"/>
      <c r="G94" s="188"/>
      <c r="H94" s="188"/>
      <c r="I94" s="189"/>
    </row>
    <row r="95" spans="1:9" ht="18.75" customHeight="1" x14ac:dyDescent="0.15">
      <c r="A95" s="1"/>
      <c r="B95" s="190"/>
      <c r="C95" s="191"/>
      <c r="D95" s="191"/>
      <c r="E95" s="191"/>
      <c r="F95" s="191"/>
      <c r="G95" s="191"/>
      <c r="H95" s="191"/>
      <c r="I95" s="192"/>
    </row>
    <row r="96" spans="1:9" ht="18.75" customHeight="1" x14ac:dyDescent="0.15">
      <c r="A96" s="1"/>
      <c r="B96" s="190"/>
      <c r="C96" s="191"/>
      <c r="D96" s="191"/>
      <c r="E96" s="191"/>
      <c r="F96" s="191"/>
      <c r="G96" s="191"/>
      <c r="H96" s="191"/>
      <c r="I96" s="192"/>
    </row>
    <row r="97" spans="1:9" ht="18.75" customHeight="1" x14ac:dyDescent="0.15">
      <c r="A97" s="1"/>
      <c r="B97" s="190"/>
      <c r="C97" s="191"/>
      <c r="D97" s="191"/>
      <c r="E97" s="191"/>
      <c r="F97" s="191"/>
      <c r="G97" s="191"/>
      <c r="H97" s="191"/>
      <c r="I97" s="192"/>
    </row>
    <row r="98" spans="1:9" ht="18.75" customHeight="1" x14ac:dyDescent="0.15">
      <c r="A98" s="1"/>
      <c r="B98" s="190"/>
      <c r="C98" s="191"/>
      <c r="D98" s="191"/>
      <c r="E98" s="191"/>
      <c r="F98" s="191"/>
      <c r="G98" s="191"/>
      <c r="H98" s="191"/>
      <c r="I98" s="192"/>
    </row>
    <row r="99" spans="1:9" ht="18.75" customHeight="1" x14ac:dyDescent="0.15">
      <c r="A99" s="1"/>
      <c r="B99" s="190"/>
      <c r="C99" s="191"/>
      <c r="D99" s="191"/>
      <c r="E99" s="191"/>
      <c r="F99" s="191"/>
      <c r="G99" s="191"/>
      <c r="H99" s="191"/>
      <c r="I99" s="192"/>
    </row>
    <row r="100" spans="1:9" ht="18.75" customHeight="1" x14ac:dyDescent="0.15">
      <c r="A100" s="1"/>
      <c r="B100" s="190"/>
      <c r="C100" s="191"/>
      <c r="D100" s="191"/>
      <c r="E100" s="191"/>
      <c r="F100" s="191"/>
      <c r="G100" s="191"/>
      <c r="H100" s="191"/>
      <c r="I100" s="192"/>
    </row>
    <row r="101" spans="1:9" ht="18.75" customHeight="1" x14ac:dyDescent="0.15">
      <c r="A101" s="1"/>
      <c r="B101" s="190"/>
      <c r="C101" s="191"/>
      <c r="D101" s="191"/>
      <c r="E101" s="191"/>
      <c r="F101" s="191"/>
      <c r="G101" s="191"/>
      <c r="H101" s="191"/>
      <c r="I101" s="192"/>
    </row>
    <row r="102" spans="1:9" ht="18.75" customHeight="1" x14ac:dyDescent="0.15">
      <c r="A102" s="1"/>
      <c r="B102" s="190"/>
      <c r="C102" s="191"/>
      <c r="D102" s="191"/>
      <c r="E102" s="191"/>
      <c r="F102" s="191"/>
      <c r="G102" s="191"/>
      <c r="H102" s="191"/>
      <c r="I102" s="192"/>
    </row>
    <row r="103" spans="1:9" ht="18.75" customHeight="1" x14ac:dyDescent="0.15">
      <c r="A103" s="1"/>
      <c r="B103" s="190"/>
      <c r="C103" s="191"/>
      <c r="D103" s="191"/>
      <c r="E103" s="191"/>
      <c r="F103" s="191"/>
      <c r="G103" s="191"/>
      <c r="H103" s="191"/>
      <c r="I103" s="192"/>
    </row>
    <row r="104" spans="1:9" ht="18.75" customHeight="1" x14ac:dyDescent="0.15">
      <c r="A104" s="1"/>
      <c r="B104" s="190"/>
      <c r="C104" s="191"/>
      <c r="D104" s="191"/>
      <c r="E104" s="191"/>
      <c r="F104" s="191"/>
      <c r="G104" s="191"/>
      <c r="H104" s="191"/>
      <c r="I104" s="192"/>
    </row>
    <row r="105" spans="1:9" ht="18.75" customHeight="1" x14ac:dyDescent="0.15">
      <c r="A105" s="4"/>
      <c r="B105" s="193"/>
      <c r="C105" s="194"/>
      <c r="D105" s="194"/>
      <c r="E105" s="194"/>
      <c r="F105" s="194"/>
      <c r="G105" s="194"/>
      <c r="H105" s="194"/>
      <c r="I105" s="195"/>
    </row>
    <row r="106" spans="1:9" ht="7.5" customHeight="1" x14ac:dyDescent="0.15">
      <c r="A106" s="4"/>
      <c r="B106" s="4"/>
      <c r="C106" s="4"/>
      <c r="D106" s="4"/>
      <c r="E106" s="4"/>
      <c r="F106" s="4"/>
      <c r="G106" s="4"/>
      <c r="H106" s="4"/>
      <c r="I106" s="4"/>
    </row>
    <row r="107" spans="1:9" ht="18.75" customHeight="1" x14ac:dyDescent="0.15">
      <c r="A107" s="1" t="s">
        <v>30</v>
      </c>
      <c r="B107" s="196" t="s">
        <v>44</v>
      </c>
      <c r="C107" s="196"/>
      <c r="D107" s="196"/>
      <c r="E107" s="196"/>
      <c r="F107" s="196"/>
      <c r="G107" s="196"/>
      <c r="H107" s="196"/>
      <c r="I107" s="196"/>
    </row>
    <row r="108" spans="1:9" ht="18.75" customHeight="1" x14ac:dyDescent="0.15">
      <c r="A108" s="4"/>
      <c r="B108" s="170" t="s">
        <v>173</v>
      </c>
      <c r="C108" s="171"/>
      <c r="D108" s="171"/>
      <c r="E108" s="171"/>
      <c r="F108" s="171"/>
      <c r="G108" s="171"/>
      <c r="H108" s="171"/>
      <c r="I108" s="172"/>
    </row>
    <row r="109" spans="1:9" ht="18.75" customHeight="1" x14ac:dyDescent="0.15">
      <c r="A109" s="4"/>
      <c r="B109" s="176"/>
      <c r="C109" s="177"/>
      <c r="D109" s="177"/>
      <c r="E109" s="177"/>
      <c r="F109" s="177"/>
      <c r="G109" s="177"/>
      <c r="H109" s="177"/>
      <c r="I109" s="175"/>
    </row>
    <row r="110" spans="1:9" ht="18.75" customHeight="1" x14ac:dyDescent="0.15">
      <c r="A110" s="4"/>
      <c r="B110" s="176"/>
      <c r="C110" s="177"/>
      <c r="D110" s="177"/>
      <c r="E110" s="177"/>
      <c r="F110" s="177"/>
      <c r="G110" s="177"/>
      <c r="H110" s="177"/>
      <c r="I110" s="175"/>
    </row>
    <row r="111" spans="1:9" ht="18.75" customHeight="1" x14ac:dyDescent="0.15">
      <c r="A111" s="4"/>
      <c r="B111" s="176"/>
      <c r="C111" s="177"/>
      <c r="D111" s="177"/>
      <c r="E111" s="177"/>
      <c r="F111" s="177"/>
      <c r="G111" s="177"/>
      <c r="H111" s="177"/>
      <c r="I111" s="175"/>
    </row>
    <row r="112" spans="1:9" ht="18.75" customHeight="1" x14ac:dyDescent="0.15">
      <c r="A112" s="4"/>
      <c r="B112" s="176"/>
      <c r="C112" s="177"/>
      <c r="D112" s="177"/>
      <c r="E112" s="177"/>
      <c r="F112" s="177"/>
      <c r="G112" s="177"/>
      <c r="H112" s="177"/>
      <c r="I112" s="175"/>
    </row>
    <row r="113" spans="1:9" ht="18.75" customHeight="1" x14ac:dyDescent="0.15">
      <c r="A113" s="4"/>
      <c r="B113" s="176"/>
      <c r="C113" s="177"/>
      <c r="D113" s="177"/>
      <c r="E113" s="177"/>
      <c r="F113" s="177"/>
      <c r="G113" s="177"/>
      <c r="H113" s="177"/>
      <c r="I113" s="175"/>
    </row>
    <row r="114" spans="1:9" ht="18.75" customHeight="1" x14ac:dyDescent="0.15">
      <c r="A114" s="4"/>
      <c r="B114" s="176"/>
      <c r="C114" s="177"/>
      <c r="D114" s="177"/>
      <c r="E114" s="177"/>
      <c r="F114" s="177"/>
      <c r="G114" s="177"/>
      <c r="H114" s="177"/>
      <c r="I114" s="175"/>
    </row>
    <row r="115" spans="1:9" ht="18.75" customHeight="1" x14ac:dyDescent="0.15">
      <c r="A115" s="4"/>
      <c r="B115" s="176"/>
      <c r="C115" s="177"/>
      <c r="D115" s="177"/>
      <c r="E115" s="177"/>
      <c r="F115" s="177"/>
      <c r="G115" s="177"/>
      <c r="H115" s="177"/>
      <c r="I115" s="175"/>
    </row>
    <row r="116" spans="1:9" ht="18.75" customHeight="1" x14ac:dyDescent="0.15">
      <c r="A116" s="4"/>
      <c r="B116" s="176"/>
      <c r="C116" s="177"/>
      <c r="D116" s="177"/>
      <c r="E116" s="177"/>
      <c r="F116" s="177"/>
      <c r="G116" s="177"/>
      <c r="H116" s="177"/>
      <c r="I116" s="175"/>
    </row>
    <row r="117" spans="1:9" ht="18.75" customHeight="1" x14ac:dyDescent="0.15">
      <c r="A117" s="4"/>
      <c r="B117" s="176"/>
      <c r="C117" s="177"/>
      <c r="D117" s="177"/>
      <c r="E117" s="177"/>
      <c r="F117" s="177"/>
      <c r="G117" s="177"/>
      <c r="H117" s="177"/>
      <c r="I117" s="175"/>
    </row>
    <row r="118" spans="1:9" ht="18.75" customHeight="1" x14ac:dyDescent="0.15">
      <c r="A118" s="4"/>
      <c r="B118" s="176"/>
      <c r="C118" s="177"/>
      <c r="D118" s="177"/>
      <c r="E118" s="177"/>
      <c r="F118" s="177"/>
      <c r="G118" s="177"/>
      <c r="H118" s="177"/>
      <c r="I118" s="175"/>
    </row>
    <row r="119" spans="1:9" ht="18.75" customHeight="1" x14ac:dyDescent="0.15">
      <c r="A119" s="4"/>
      <c r="B119" s="178"/>
      <c r="C119" s="179"/>
      <c r="D119" s="179"/>
      <c r="E119" s="179"/>
      <c r="F119" s="179"/>
      <c r="G119" s="179"/>
      <c r="H119" s="179"/>
      <c r="I119" s="180"/>
    </row>
    <row r="120" spans="1:9" ht="7.5" customHeight="1" x14ac:dyDescent="0.15">
      <c r="A120" s="4"/>
      <c r="B120" s="24"/>
      <c r="C120" s="24"/>
      <c r="D120" s="24"/>
      <c r="E120" s="24"/>
      <c r="F120" s="24"/>
      <c r="G120" s="24"/>
      <c r="H120" s="24"/>
      <c r="I120" s="24"/>
    </row>
    <row r="121" spans="1:9" ht="18.75" customHeight="1" x14ac:dyDescent="0.15">
      <c r="A121" s="49"/>
      <c r="B121" s="166"/>
      <c r="C121" s="166"/>
      <c r="D121" s="166"/>
      <c r="E121" s="166"/>
      <c r="F121" s="166"/>
      <c r="G121" s="166"/>
      <c r="H121" s="166"/>
      <c r="I121" s="166"/>
    </row>
    <row r="122" spans="1:9" ht="18.75" customHeight="1" x14ac:dyDescent="0.15">
      <c r="A122" s="49"/>
      <c r="B122" s="166"/>
      <c r="C122" s="166"/>
      <c r="D122" s="166"/>
      <c r="E122" s="166"/>
      <c r="F122" s="166"/>
      <c r="G122" s="166"/>
      <c r="H122" s="166"/>
      <c r="I122" s="166"/>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D2" sqref="D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7" t="s">
        <v>90</v>
      </c>
    </row>
    <row r="2" spans="1:9" ht="18.75" customHeight="1" x14ac:dyDescent="0.15">
      <c r="H2" s="17" t="s">
        <v>93</v>
      </c>
      <c r="I2" s="16" t="str">
        <f>'様式１　プログラムを構成する授業科目'!C2</f>
        <v>びわこ学院大学短期大学部</v>
      </c>
    </row>
    <row r="3" spans="1:9" ht="18.75" customHeight="1" x14ac:dyDescent="0.15">
      <c r="A3" s="106" t="s">
        <v>28</v>
      </c>
      <c r="B3" s="106"/>
      <c r="C3" s="106"/>
      <c r="D3" s="106"/>
      <c r="E3" s="106"/>
      <c r="F3" s="106"/>
      <c r="G3" s="106"/>
      <c r="H3" s="106"/>
      <c r="I3" s="106"/>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81" t="s">
        <v>189</v>
      </c>
      <c r="C6" s="234"/>
      <c r="D6" s="234"/>
      <c r="E6" s="234"/>
      <c r="F6" s="234"/>
      <c r="G6" s="234"/>
      <c r="H6" s="235"/>
      <c r="I6" s="3"/>
    </row>
    <row r="7" spans="1:9" ht="9" customHeight="1" x14ac:dyDescent="0.15">
      <c r="A7" s="5"/>
      <c r="B7" s="10"/>
      <c r="C7" s="10"/>
      <c r="D7" s="10"/>
      <c r="E7" s="10"/>
      <c r="F7" s="10"/>
      <c r="G7" s="10"/>
      <c r="H7" s="10"/>
      <c r="I7" s="3"/>
    </row>
    <row r="8" spans="1:9" ht="18.75" customHeight="1" x14ac:dyDescent="0.15">
      <c r="A8" s="5"/>
      <c r="B8" s="3"/>
      <c r="C8" s="3"/>
      <c r="D8" s="17" t="s">
        <v>41</v>
      </c>
      <c r="E8" s="18" t="s">
        <v>170</v>
      </c>
      <c r="F8" s="3"/>
      <c r="G8" s="17" t="s">
        <v>10</v>
      </c>
      <c r="H8" s="18" t="s">
        <v>171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5" t="s">
        <v>24</v>
      </c>
      <c r="C11" s="96"/>
      <c r="D11" s="97"/>
      <c r="E11" s="96" t="s">
        <v>26</v>
      </c>
      <c r="F11" s="96"/>
      <c r="G11" s="96"/>
      <c r="H11" s="96"/>
      <c r="I11" s="97"/>
    </row>
    <row r="12" spans="1:9" ht="26.25" customHeight="1" x14ac:dyDescent="0.15">
      <c r="B12" s="25" t="s">
        <v>14</v>
      </c>
      <c r="C12" s="32"/>
      <c r="D12" s="26"/>
      <c r="E12" s="33"/>
      <c r="F12" s="33"/>
      <c r="G12" s="33"/>
      <c r="H12" s="33"/>
      <c r="I12" s="26"/>
    </row>
    <row r="13" spans="1:9" ht="210.75" customHeight="1" x14ac:dyDescent="0.15">
      <c r="B13" s="27"/>
      <c r="C13" s="232" t="s">
        <v>15</v>
      </c>
      <c r="D13" s="233"/>
      <c r="E13" s="229" t="s">
        <v>179</v>
      </c>
      <c r="F13" s="230"/>
      <c r="G13" s="230"/>
      <c r="H13" s="230"/>
      <c r="I13" s="231"/>
    </row>
    <row r="14" spans="1:9" ht="210.75" customHeight="1" x14ac:dyDescent="0.15">
      <c r="B14" s="27"/>
      <c r="C14" s="227" t="s">
        <v>16</v>
      </c>
      <c r="D14" s="228"/>
      <c r="E14" s="229" t="s">
        <v>178</v>
      </c>
      <c r="F14" s="230"/>
      <c r="G14" s="230"/>
      <c r="H14" s="230"/>
      <c r="I14" s="231"/>
    </row>
    <row r="15" spans="1:9" ht="210.75" customHeight="1" x14ac:dyDescent="0.15">
      <c r="B15" s="27"/>
      <c r="C15" s="232" t="s">
        <v>17</v>
      </c>
      <c r="D15" s="233"/>
      <c r="E15" s="229" t="s">
        <v>180</v>
      </c>
      <c r="F15" s="230"/>
      <c r="G15" s="230"/>
      <c r="H15" s="230"/>
      <c r="I15" s="231"/>
    </row>
    <row r="16" spans="1:9" ht="210.75" customHeight="1" x14ac:dyDescent="0.15">
      <c r="B16" s="27"/>
      <c r="C16" s="232" t="s">
        <v>18</v>
      </c>
      <c r="D16" s="233"/>
      <c r="E16" s="229" t="s">
        <v>181</v>
      </c>
      <c r="F16" s="230"/>
      <c r="G16" s="230"/>
      <c r="H16" s="230"/>
      <c r="I16" s="231"/>
    </row>
    <row r="17" spans="2:9" ht="210.75" customHeight="1" x14ac:dyDescent="0.15">
      <c r="B17" s="28"/>
      <c r="C17" s="236" t="s">
        <v>19</v>
      </c>
      <c r="D17" s="237"/>
      <c r="E17" s="238" t="s">
        <v>182</v>
      </c>
      <c r="F17" s="239"/>
      <c r="G17" s="239"/>
      <c r="H17" s="239"/>
      <c r="I17" s="240"/>
    </row>
    <row r="18" spans="2:9" ht="24" customHeight="1" x14ac:dyDescent="0.15">
      <c r="B18" s="25" t="s">
        <v>20</v>
      </c>
      <c r="C18" s="29"/>
      <c r="D18" s="30"/>
      <c r="E18" s="31"/>
      <c r="F18" s="31"/>
      <c r="G18" s="31"/>
      <c r="H18" s="31"/>
      <c r="I18" s="34"/>
    </row>
    <row r="19" spans="2:9" ht="218.25" customHeight="1" x14ac:dyDescent="0.15">
      <c r="B19" s="27"/>
      <c r="C19" s="232" t="s">
        <v>21</v>
      </c>
      <c r="D19" s="233"/>
      <c r="E19" s="230" t="s">
        <v>183</v>
      </c>
      <c r="F19" s="230"/>
      <c r="G19" s="230"/>
      <c r="H19" s="230"/>
      <c r="I19" s="231"/>
    </row>
    <row r="20" spans="2:9" ht="218.25" customHeight="1" x14ac:dyDescent="0.15">
      <c r="B20" s="28"/>
      <c r="C20" s="236" t="s">
        <v>22</v>
      </c>
      <c r="D20" s="237"/>
      <c r="E20" s="239" t="s">
        <v>184</v>
      </c>
      <c r="F20" s="239"/>
      <c r="G20" s="239"/>
      <c r="H20" s="239"/>
      <c r="I20" s="240"/>
    </row>
    <row r="21" spans="2:9" ht="218.25" customHeight="1" x14ac:dyDescent="0.15">
      <c r="B21" s="246" t="s">
        <v>23</v>
      </c>
      <c r="C21" s="247"/>
      <c r="D21" s="248"/>
      <c r="E21" s="249" t="s">
        <v>185</v>
      </c>
      <c r="F21" s="249"/>
      <c r="G21" s="249"/>
      <c r="H21" s="249"/>
      <c r="I21" s="250"/>
    </row>
    <row r="22" spans="2:9" ht="218.25" customHeight="1" x14ac:dyDescent="0.15">
      <c r="B22" s="241" t="s">
        <v>121</v>
      </c>
      <c r="C22" s="242"/>
      <c r="D22" s="243"/>
      <c r="E22" s="244" t="s">
        <v>186</v>
      </c>
      <c r="F22" s="244"/>
      <c r="G22" s="244"/>
      <c r="H22" s="244"/>
      <c r="I22" s="24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大西 宏樹</dc:creator>
  <cp:lastModifiedBy>大西 宏樹</cp:lastModifiedBy>
  <cp:lastPrinted>2025-05-07T02:13:48Z</cp:lastPrinted>
  <dcterms:created xsi:type="dcterms:W3CDTF">2011-06-14T05:32:50Z</dcterms:created>
  <dcterms:modified xsi:type="dcterms:W3CDTF">2025-07-11T10:54:03Z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