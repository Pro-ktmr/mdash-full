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https://asahikawamedacjp-my.sharepoint.com/personal/h_moriya_asahikawa-med_ac_jp/Documents/2025.7デスクトップPCからのデータ移行/☆数理・データサイエンス・AI教育プログラム申請書類一式/☆☆☆再提出/☆旭川医科大学_再々提出_20250718/"/>
    </mc:Choice>
  </mc:AlternateContent>
  <xr:revisionPtr revIDLastSave="4" documentId="13_ncr:1_{A5CE8D2E-0D49-4F66-96B0-9AE492658FCA}" xr6:coauthVersionLast="47" xr6:coauthVersionMax="47" xr10:uidLastSave="{65FA05F0-7F1F-4AC4-B4FD-6FA109BFA6E2}"/>
  <bookViews>
    <workbookView xWindow="-108" yWindow="-108" windowWidth="23256" windowHeight="13896" tabRatio="897" activeTab="2" xr2:uid="{00000000-000D-0000-FFFF-FFFF00000000}"/>
  </bookViews>
  <sheets>
    <sheet name="様式１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様式１プログラムを構成する授業科目!$X$16:$X$18</definedName>
    <definedName name="_xlnm._FilterDatabase" localSheetId="1" hidden="1">'様式２ 履修者等数の実績'!#REF!</definedName>
    <definedName name="_xlnm.Print_Area" localSheetId="0">様式１プログラムを構成する授業科目!$A$1:$U$105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<sst xmlns="http://schemas.openxmlformats.org/spreadsheetml/2006/main" count="350" uniqueCount="197">
  <si>
    <t>様式１－１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</si>
  <si>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</si>
  <si>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</si>
  <si>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旭川医科大学</t>
    <phoneticPr fontId="1"/>
  </si>
  <si>
    <t>プログラム名</t>
    <rPh sb="5" eb="6">
      <t>メイ</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</si>
  <si>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</si>
  <si>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</si>
  <si>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学部・学科によって、修了要件は相違する</t>
  </si>
  <si>
    <t>② 対象となる学部・学科名称</t>
    <phoneticPr fontId="1"/>
  </si>
  <si>
    <t>③ 修了要件</t>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</si>
  <si>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</si>
  <si>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</si>
  <si>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</si>
  <si>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</si>
  <si>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</si>
  <si>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</si>
  <si>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</si>
  <si>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</si>
  <si>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</si>
  <si>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</si>
  <si>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</si>
  <si>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</si>
  <si>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</si>
  <si>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</si>
  <si>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t>
    <phoneticPr fontId="1"/>
  </si>
  <si>
    <t>○</t>
  </si>
  <si>
    <t>情報リテラシー</t>
    <rPh sb="0" eb="2">
      <t>ジョウホウ</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</si>
  <si>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</si>
  <si>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</si>
  <si>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</si>
  <si>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</si>
  <si>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</si>
  <si>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</si>
  <si>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情報リテラシー</t>
    <rPh sb="0" eb="2">
      <t>ジョウホウル</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</si>
  <si>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</si>
  <si>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</si>
  <si>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</si>
  <si>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</si>
  <si>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</si>
  <si>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</si>
  <si>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</si>
  <si>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</si>
  <si>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</si>
  <si>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</si>
  <si>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4‐3データ構造とプログラミング基礎</t>
  </si>
  <si>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</si>
  <si>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</si>
  <si>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</si>
  <si>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</si>
  <si>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</si>
  <si>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</si>
  <si>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</si>
  <si>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</si>
  <si>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</si>
  <si>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</si>
  <si>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</si>
  <si>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</si>
  <si>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</si>
  <si>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</si>
  <si>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</si>
  <si>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</si>
  <si>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</si>
  <si>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</si>
  <si>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</si>
  <si>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</si>
  <si>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データサイエンスの考え方やデータの扱い方。情報倫理とデータ倫理の順守。過去から変遷を通して学ぶ情報DXの習得と最新情報への日常進化。医療、看護、福祉、日常生活へ浸透したICTの考え方と活用。情報セキュリティとデータ保護の方法論と実践論。日進月歩する情報科学技術の基礎とキャッチアップ。</t>
    <rPh sb="3" eb="5">
      <t>トウケイ</t>
    </rPh>
    <rPh sb="11" eb="14">
      <t>キホn</t>
    </rPh>
    <rPh sb="15" eb="17">
      <t>ソウサ</t>
    </rPh>
    <rPh sb="18" eb="19">
      <t>トオセィ</t>
    </rPh>
    <rPh sb="21" eb="25">
      <t>ジョウホウリンリ</t>
    </rPh>
    <rPh sb="29" eb="31">
      <t>リンリ</t>
    </rPh>
    <rPh sb="32" eb="34">
      <t>ジュンシュ</t>
    </rPh>
    <rPh sb="35" eb="37">
      <t>カコ</t>
    </rPh>
    <rPh sb="39" eb="41">
      <t>ヘンセン</t>
    </rPh>
    <rPh sb="42" eb="43">
      <t>トオ</t>
    </rPh>
    <rPh sb="45" eb="46">
      <t>マナブ</t>
    </rPh>
    <rPh sb="47" eb="49">
      <t>ジョウホウ</t>
    </rPh>
    <rPh sb="52" eb="54">
      <t>シュウトク</t>
    </rPh>
    <rPh sb="72" eb="74">
      <t>フクシ</t>
    </rPh>
    <rPh sb="107" eb="109">
      <t>ホゴ</t>
    </rPh>
    <phoneticPr fontId="1"/>
  </si>
  <si>
    <t>統計学</t>
    <phoneticPr fontId="1"/>
  </si>
  <si>
    <t>○</t>
    <phoneticPr fontId="1"/>
  </si>
  <si>
    <t>保健統計</t>
    <rPh sb="0" eb="2">
      <t>ホケン</t>
    </rPh>
    <rPh sb="2" eb="4">
      <t>トウケイ</t>
    </rPh>
    <phoneticPr fontId="1"/>
  </si>
  <si>
    <t>4-1統計および数理基礎</t>
  </si>
  <si>
    <t>様式２</t>
    <phoneticPr fontId="1"/>
  </si>
  <si>
    <t>リテラシーレベルのプログラムの履修者数等の実績について</t>
    <phoneticPr fontId="1"/>
  </si>
  <si>
    <t>①プログラム開設年度</t>
    <rPh sb="6" eb="8">
      <t>カイセツ</t>
    </rPh>
    <rPh sb="8" eb="10">
      <t>ネンド</t>
    </rPh>
    <phoneticPr fontId="1"/>
  </si>
  <si>
    <t>令和5</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</si>
  <si>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</si>
  <si>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</si>
  <si>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</si>
  <si>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</si>
  <si>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</si>
  <si>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</si>
  <si>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</si>
  <si>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</si>
  <si>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</si>
  <si>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</si>
  <si>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</si>
  <si>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</si>
  <si>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</si>
  <si>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</si>
  <si>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</si>
  <si>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</si>
  <si>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</si>
  <si>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</si>
  <si>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</si>
  <si>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</si>
  <si>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</si>
  <si>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</si>
  <si>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</si>
  <si>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</si>
  <si>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</si>
  <si>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医学部 医学科</t>
    <rPh sb="0" eb="2">
      <t>イガk</t>
    </rPh>
    <phoneticPr fontId="1"/>
  </si>
  <si>
    <t>医学部 看護学科</t>
    <rPh sb="0" eb="1">
      <t>イガk</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</si>
  <si>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</si>
  <si>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</si>
  <si>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</si>
  <si>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</si>
  <si>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</si>
  <si>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</si>
  <si>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</si>
  <si>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</si>
  <si>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</si>
  <si>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</si>
  <si>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</si>
  <si>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</si>
  <si>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</si>
  <si>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(1)奥村　利勝、(2)古川　博之</t>
    <rPh sb="3" eb="5">
      <t>オクムラ</t>
    </rPh>
    <rPh sb="6" eb="8">
      <t>トシカツ</t>
    </rPh>
    <rPh sb="12" eb="14">
      <t>フルカワ</t>
    </rPh>
    <rPh sb="15" eb="17">
      <t>ヒロユキ</t>
    </rPh>
    <phoneticPr fontId="1"/>
  </si>
  <si>
    <t>（役職名）</t>
    <rPh sb="1" eb="4">
      <t>ヤクショクメイ</t>
    </rPh>
    <phoneticPr fontId="1"/>
  </si>
  <si>
    <t>(1)教育担当副学長、(2)評価担当副学長</t>
    <rPh sb="3" eb="7">
      <t>キョウイクタントウ</t>
    </rPh>
    <rPh sb="7" eb="10">
      <t>フクガクチョウ</t>
    </rPh>
    <rPh sb="14" eb="16">
      <t>ヒョウカ</t>
    </rPh>
    <rPh sb="16" eb="18">
      <t>タントウ</t>
    </rPh>
    <rPh sb="18" eb="21">
      <t>フクガクチョウ</t>
    </rPh>
    <phoneticPr fontId="1"/>
  </si>
  <si>
    <t>④</t>
    <phoneticPr fontId="1"/>
  </si>
  <si>
    <t>プログラムを改善・進化させるための体制（委員会・組織等）</t>
    <phoneticPr fontId="1"/>
  </si>
  <si>
    <t>奥村　利勝、古川　博之</t>
    <rPh sb="0" eb="2">
      <t>オクムラ</t>
    </rPh>
    <rPh sb="3" eb="5">
      <t>トシカツ</t>
    </rPh>
    <rPh sb="6" eb="8">
      <t>フルカワ</t>
    </rPh>
    <rPh sb="9" eb="11">
      <t>ヒロユキ</t>
    </rPh>
    <phoneticPr fontId="1"/>
  </si>
  <si>
    <t>教育担当副学長、評価担当副学長</t>
    <rPh sb="0" eb="4">
      <t>キョウイクタントウ</t>
    </rPh>
    <rPh sb="4" eb="7">
      <t>フクガクチョウ</t>
    </rPh>
    <rPh sb="8" eb="10">
      <t>ヒョウカ</t>
    </rPh>
    <rPh sb="10" eb="12">
      <t>タントウ</t>
    </rPh>
    <rPh sb="12" eb="15">
      <t>フクガクチョウ</t>
    </rPh>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</si>
  <si>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</si>
  <si>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</si>
  <si>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</si>
  <si>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</si>
  <si>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ビッグテータを利用した新たな価値の創出、AIを利用したデータ解析や画像解析および最適な治療計画の策定などを見据えた講義・実習を展開すること。さらに、社会の変化、特に医療現場の進化・多様化にあわせて講義・実習内容をアップデートさせる助言を与えることである。
なお、本学の体制としては、
「カリキュラム委員会」において、医学科及び看護学科のカリキュラムの立案・編成に関することを審議し、「教育プログラム評価委員会」において、点検及び評価を行っている。</t>
    <rPh sb="7" eb="9">
      <t>リヨウ</t>
    </rPh>
    <rPh sb="11" eb="12">
      <t>アラ</t>
    </rPh>
    <rPh sb="14" eb="16">
      <t>カチ</t>
    </rPh>
    <rPh sb="17" eb="19">
      <t>ソウシュツ</t>
    </rPh>
    <rPh sb="23" eb="25">
      <t>リヨウ</t>
    </rPh>
    <rPh sb="30" eb="32">
      <t>カイセキ</t>
    </rPh>
    <rPh sb="33" eb="37">
      <t>ガゾウカイセキ</t>
    </rPh>
    <rPh sb="40" eb="42">
      <t>サイテキ</t>
    </rPh>
    <rPh sb="43" eb="45">
      <t>チリョウ</t>
    </rPh>
    <rPh sb="45" eb="47">
      <t>ケイカク</t>
    </rPh>
    <rPh sb="48" eb="50">
      <t>サクテイ</t>
    </rPh>
    <rPh sb="53" eb="55">
      <t>ミス</t>
    </rPh>
    <rPh sb="57" eb="59">
      <t>コウギ</t>
    </rPh>
    <rPh sb="60" eb="62">
      <t>ジッシュウ</t>
    </rPh>
    <rPh sb="63" eb="65">
      <t>テンカイ</t>
    </rPh>
    <rPh sb="74" eb="76">
      <t>シャカイ</t>
    </rPh>
    <rPh sb="77" eb="79">
      <t>ヘンカ</t>
    </rPh>
    <rPh sb="80" eb="81">
      <t>トク</t>
    </rPh>
    <rPh sb="82" eb="86">
      <t>イリョウゲンバ</t>
    </rPh>
    <rPh sb="87" eb="89">
      <t>シンカ</t>
    </rPh>
    <rPh sb="90" eb="93">
      <t>タヨウカ</t>
    </rPh>
    <rPh sb="98" eb="100">
      <t>コウギ</t>
    </rPh>
    <rPh sb="101" eb="105">
      <t>ジッシュウナイヨウ</t>
    </rPh>
    <rPh sb="115" eb="117">
      <t>ジョゲン</t>
    </rPh>
    <rPh sb="118" eb="119">
      <t>アタ</t>
    </rPh>
    <rPh sb="132" eb="134">
      <t>ホンガク</t>
    </rPh>
    <rPh sb="135" eb="137">
      <t>タイセイ</t>
    </rPh>
    <rPh sb="150" eb="152">
      <t>イイン</t>
    </rPh>
    <rPh sb="152" eb="153">
      <t>カイ</t>
    </rPh>
    <rPh sb="159" eb="162">
      <t>イガクカ</t>
    </rPh>
    <rPh sb="162" eb="163">
      <t>オヨ</t>
    </rPh>
    <rPh sb="164" eb="166">
      <t>カンゴ</t>
    </rPh>
    <rPh sb="166" eb="168">
      <t>ガッカ</t>
    </rPh>
    <rPh sb="176" eb="178">
      <t>リツアン</t>
    </rPh>
    <rPh sb="179" eb="181">
      <t>ヘンセイ</t>
    </rPh>
    <rPh sb="182" eb="183">
      <t>カン</t>
    </rPh>
    <rPh sb="188" eb="190">
      <t>シンギ</t>
    </rPh>
    <rPh sb="193" eb="195">
      <t>キョウイク</t>
    </rPh>
    <rPh sb="200" eb="202">
      <t>ヒョウカ</t>
    </rPh>
    <rPh sb="202" eb="205">
      <t>イインカイ</t>
    </rPh>
    <rPh sb="211" eb="213">
      <t>テンケン</t>
    </rPh>
    <rPh sb="213" eb="214">
      <t>オヨ</t>
    </rPh>
    <rPh sb="215" eb="217">
      <t>ヒョウカ</t>
    </rPh>
    <rPh sb="218" eb="219">
      <t>オコナ</t>
    </rPh>
    <phoneticPr fontId="1"/>
  </si>
  <si>
    <t>⑦</t>
    <phoneticPr fontId="1"/>
  </si>
  <si>
    <t>具体的な構成員</t>
    <rPh sb="0" eb="3">
      <t>グタイテキ</t>
    </rPh>
    <rPh sb="4" eb="7">
      <t>コウセイイン</t>
    </rPh>
    <phoneticPr fontId="1"/>
  </si>
  <si>
    <t>＜カリキュラム委員会＞
奥村利勝委員長（理事・医学科長）、升田由美子副委員長（看護学科長）、佐藤伸之委員（教育センター教員）、野津 司委員（教育センター教員）、眞山博幸委員（一般教育教員）、工藤直志委員（一般教育教員）、西條泰明委員（基礎医学教員）、中山 恒委員（基礎医学教員）、中川直樹委員（臨床医学教員）、長岡泰司委員（臨床医学教員）、長谷川博亮委員（看護学科教員）、平 義樹委員（看護学科教員）、学生１０名（各学科・学年から1名）、学外有識者1名、牧野雄一委員（地域共生医育センター）、その他（委員会が必要と認めたもの）
＜医学科教育プログラム評価委員会＞
古川博之委員長（理事・副学長）、東信良委員（病院長）、井戸川みどり委員（特任看護部長）、髙澤啓（基礎医学教員）、高原幹（臨床医学教員）、池上将永（一般教育教員）、吉原秀昭（事務局長）、学外有識者５名、学生１名、その他（委員が必要と認めたもの）
＜看護学科教育プログラム評価委員会＞
古川博之委員長（理事・副学長）、東信良委員（病院長）、井戸川みどり（特任看護部長）、山根由起子（看護学科教員）、菅原峰子（看護学科教員）、高橋龍尚（一般教育教員）、吉原秀昭（事務局長）、学外委員５名、学生３名（看護・保健・助産から各１名）、その他（委員会が必要と認めたもの）</t>
    <rPh sb="7" eb="9">
      <t>イイン</t>
    </rPh>
    <rPh sb="9" eb="10">
      <t>カイ</t>
    </rPh>
    <rPh sb="12" eb="14">
      <t>オクムラ</t>
    </rPh>
    <rPh sb="14" eb="16">
      <t>トシカツ</t>
    </rPh>
    <rPh sb="16" eb="19">
      <t>イインチョウ</t>
    </rPh>
    <rPh sb="20" eb="22">
      <t>リジ</t>
    </rPh>
    <rPh sb="23" eb="25">
      <t>イガク</t>
    </rPh>
    <rPh sb="25" eb="26">
      <t>カ</t>
    </rPh>
    <rPh sb="26" eb="27">
      <t>チョウ</t>
    </rPh>
    <rPh sb="29" eb="31">
      <t>マスダ</t>
    </rPh>
    <rPh sb="31" eb="34">
      <t>ユミコ</t>
    </rPh>
    <rPh sb="34" eb="38">
      <t>フクイインチョウ</t>
    </rPh>
    <rPh sb="39" eb="41">
      <t>カンゴ</t>
    </rPh>
    <rPh sb="41" eb="43">
      <t>ガッカ</t>
    </rPh>
    <rPh sb="43" eb="44">
      <t>チョウ</t>
    </rPh>
    <rPh sb="46" eb="48">
      <t>サトウ</t>
    </rPh>
    <rPh sb="48" eb="50">
      <t>ノブユキ</t>
    </rPh>
    <rPh sb="50" eb="52">
      <t>イイン</t>
    </rPh>
    <rPh sb="53" eb="55">
      <t>キョウイク</t>
    </rPh>
    <rPh sb="59" eb="61">
      <t>キョウイン</t>
    </rPh>
    <rPh sb="63" eb="65">
      <t>ノズ</t>
    </rPh>
    <rPh sb="66" eb="67">
      <t>ツカサ</t>
    </rPh>
    <rPh sb="67" eb="69">
      <t>イイン</t>
    </rPh>
    <rPh sb="70" eb="72">
      <t>キョウイク</t>
    </rPh>
    <rPh sb="76" eb="78">
      <t>キョウイン</t>
    </rPh>
    <rPh sb="80" eb="82">
      <t>マヤマ</t>
    </rPh>
    <rPh sb="82" eb="83">
      <t>ヒロシ</t>
    </rPh>
    <rPh sb="83" eb="84">
      <t>シアワ</t>
    </rPh>
    <rPh sb="84" eb="86">
      <t>イイン</t>
    </rPh>
    <rPh sb="87" eb="89">
      <t>イッパン</t>
    </rPh>
    <rPh sb="89" eb="91">
      <t>キョウイク</t>
    </rPh>
    <rPh sb="91" eb="93">
      <t>キョウイン</t>
    </rPh>
    <rPh sb="95" eb="97">
      <t>クドウ</t>
    </rPh>
    <rPh sb="97" eb="99">
      <t>ナオシ</t>
    </rPh>
    <rPh sb="99" eb="101">
      <t>イイン</t>
    </rPh>
    <rPh sb="102" eb="104">
      <t>イッパン</t>
    </rPh>
    <rPh sb="104" eb="106">
      <t>キョウイク</t>
    </rPh>
    <rPh sb="106" eb="108">
      <t>キョウイン</t>
    </rPh>
    <rPh sb="110" eb="112">
      <t>サイジョウ</t>
    </rPh>
    <rPh sb="112" eb="114">
      <t>ヤスアキ</t>
    </rPh>
    <rPh sb="114" eb="116">
      <t>イイン</t>
    </rPh>
    <rPh sb="117" eb="119">
      <t>キソ</t>
    </rPh>
    <rPh sb="119" eb="121">
      <t>イガク</t>
    </rPh>
    <rPh sb="121" eb="123">
      <t>キョウイン</t>
    </rPh>
    <rPh sb="125" eb="127">
      <t>ナカヤマ</t>
    </rPh>
    <rPh sb="266" eb="269">
      <t>イガクカ</t>
    </rPh>
    <rPh sb="269" eb="271">
      <t>キョウイク</t>
    </rPh>
    <rPh sb="276" eb="278">
      <t>ヒョウカ</t>
    </rPh>
    <rPh sb="278" eb="281">
      <t>イインカイ</t>
    </rPh>
    <rPh sb="283" eb="285">
      <t>フルカワ</t>
    </rPh>
    <rPh sb="287" eb="290">
      <t>イインチョウ</t>
    </rPh>
    <rPh sb="291" eb="293">
      <t>リジ</t>
    </rPh>
    <rPh sb="294" eb="297">
      <t>フクガクチョウ</t>
    </rPh>
    <rPh sb="299" eb="300">
      <t>ヒガシ</t>
    </rPh>
    <rPh sb="300" eb="301">
      <t>シン</t>
    </rPh>
    <rPh sb="301" eb="302">
      <t>ヨ</t>
    </rPh>
    <rPh sb="302" eb="304">
      <t>イイン</t>
    </rPh>
    <rPh sb="305" eb="308">
      <t>ビョウインチョウ</t>
    </rPh>
    <rPh sb="310" eb="313">
      <t>イドガワ</t>
    </rPh>
    <rPh sb="316" eb="318">
      <t>イイン</t>
    </rPh>
    <rPh sb="319" eb="321">
      <t>トクニン</t>
    </rPh>
    <rPh sb="321" eb="323">
      <t>カンゴ</t>
    </rPh>
    <rPh sb="323" eb="325">
      <t>ブチョウ</t>
    </rPh>
    <rPh sb="329" eb="330">
      <t>ケイ</t>
    </rPh>
    <rPh sb="331" eb="333">
      <t>キソ</t>
    </rPh>
    <rPh sb="333" eb="335">
      <t>イガク</t>
    </rPh>
    <rPh sb="335" eb="337">
      <t>キョウイン</t>
    </rPh>
    <rPh sb="339" eb="341">
      <t>タカハラ</t>
    </rPh>
    <rPh sb="341" eb="342">
      <t>ミキ</t>
    </rPh>
    <rPh sb="343" eb="345">
      <t>リンショウ</t>
    </rPh>
    <rPh sb="345" eb="347">
      <t>イガク</t>
    </rPh>
    <rPh sb="347" eb="349">
      <t>キョウイン</t>
    </rPh>
    <rPh sb="351" eb="353">
      <t>イケガミ</t>
    </rPh>
    <rPh sb="407" eb="409">
      <t>カンゴ</t>
    </rPh>
    <rPh sb="409" eb="411">
      <t>ガッカ</t>
    </rPh>
    <rPh sb="411" eb="413">
      <t>キョウイク</t>
    </rPh>
    <rPh sb="418" eb="420">
      <t>ヒョウカ</t>
    </rPh>
    <rPh sb="420" eb="423">
      <t>イインカイ</t>
    </rPh>
    <rPh sb="425" eb="427">
      <t>フルカワ</t>
    </rPh>
    <rPh sb="459" eb="461">
      <t>トクニン</t>
    </rPh>
    <rPh sb="467" eb="469">
      <t>ヤマネ</t>
    </rPh>
    <rPh sb="469" eb="472">
      <t>ユキコ</t>
    </rPh>
    <rPh sb="473" eb="475">
      <t>カンゴ</t>
    </rPh>
    <rPh sb="475" eb="477">
      <t>ガッカ</t>
    </rPh>
    <rPh sb="477" eb="479">
      <t>キョウイン</t>
    </rPh>
    <rPh sb="481" eb="483">
      <t>スガワラ</t>
    </rPh>
    <rPh sb="483" eb="485">
      <t>ミネコ</t>
    </rPh>
    <rPh sb="486" eb="488">
      <t>カンゴ</t>
    </rPh>
    <rPh sb="488" eb="490">
      <t>ガッカ</t>
    </rPh>
    <rPh sb="490" eb="492">
      <t>キョウイン</t>
    </rPh>
    <rPh sb="494" eb="496">
      <t>タカハシ</t>
    </rPh>
    <rPh sb="496" eb="497">
      <t>リュウ</t>
    </rPh>
    <rPh sb="497" eb="498">
      <t>ナオ</t>
    </rPh>
    <rPh sb="499" eb="501">
      <t>イッパン</t>
    </rPh>
    <rPh sb="501" eb="503">
      <t>キョウイク</t>
    </rPh>
    <rPh sb="503" eb="505">
      <t>キョウイン</t>
    </rPh>
    <rPh sb="507" eb="509">
      <t>ヨシハラ</t>
    </rPh>
    <rPh sb="518" eb="520">
      <t>ガクガイ</t>
    </rPh>
    <rPh sb="520" eb="522">
      <t>イイン</t>
    </rPh>
    <rPh sb="523" eb="524">
      <t>メイ</t>
    </rPh>
    <rPh sb="525" eb="527">
      <t>ガクセイ</t>
    </rPh>
    <rPh sb="528" eb="529">
      <t>メイ</t>
    </rPh>
    <rPh sb="530" eb="532">
      <t>カンゴ</t>
    </rPh>
    <rPh sb="533" eb="535">
      <t>ホケン</t>
    </rPh>
    <rPh sb="536" eb="538">
      <t>ジョサン</t>
    </rPh>
    <rPh sb="540" eb="541">
      <t>カク</t>
    </rPh>
    <rPh sb="542" eb="543">
      <t>メイ</t>
    </rPh>
    <rPh sb="547" eb="548">
      <t>タ</t>
    </rPh>
    <rPh sb="549" eb="552">
      <t>イインカイ</t>
    </rPh>
    <rPh sb="553" eb="555">
      <t>ヒツヨウ</t>
    </rPh>
    <rPh sb="556" eb="557">
      <t>ミト</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</si>
  <si>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</si>
  <si>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</si>
  <si>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</si>
  <si>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</si>
  <si>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</si>
  <si>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</si>
  <si>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</si>
  <si>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</si>
  <si>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</si>
  <si>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入学直後に実施する「新入生オリエンテーション」において、当プログラムの概要について説明するとともに、医療における数理・データサイエンス・AIに関する知識および技術習得の必要性について周知する。本学では、プログラム構成科目はすべて必修であることから履修率１００％が原則となる。そこで、当該科目を学ぶことの重要性を強調し、単なる必修科目と考えるのではなく、真に学ぶべき目的の理解を求める。</t>
    <rPh sb="0" eb="4">
      <t>ニュウガクチョクゴ</t>
    </rPh>
    <rPh sb="5" eb="7">
      <t>ジッシ</t>
    </rPh>
    <rPh sb="10" eb="13">
      <t>シンニュウセイ</t>
    </rPh>
    <rPh sb="28" eb="29">
      <t>トウ</t>
    </rPh>
    <rPh sb="35" eb="37">
      <t>ガイヨウ</t>
    </rPh>
    <rPh sb="41" eb="43">
      <t>セツメイ</t>
    </rPh>
    <rPh sb="50" eb="52">
      <t>イリョウ</t>
    </rPh>
    <rPh sb="56" eb="58">
      <t>スウリ</t>
    </rPh>
    <rPh sb="71" eb="72">
      <t>カン</t>
    </rPh>
    <rPh sb="74" eb="76">
      <t>チシキ</t>
    </rPh>
    <rPh sb="79" eb="81">
      <t>ギジュツ</t>
    </rPh>
    <rPh sb="81" eb="83">
      <t>シュウトク</t>
    </rPh>
    <rPh sb="84" eb="86">
      <t>ヒツヨウ</t>
    </rPh>
    <rPh sb="86" eb="87">
      <t>セイ</t>
    </rPh>
    <rPh sb="91" eb="93">
      <t>シュウチ</t>
    </rPh>
    <rPh sb="96" eb="98">
      <t>ホンガク</t>
    </rPh>
    <rPh sb="106" eb="110">
      <t>コウセイカモク</t>
    </rPh>
    <rPh sb="114" eb="116">
      <t>ヒッシュウ</t>
    </rPh>
    <rPh sb="123" eb="126">
      <t>リシュウリツ</t>
    </rPh>
    <rPh sb="131" eb="133">
      <t>ゲンソク</t>
    </rPh>
    <rPh sb="141" eb="145">
      <t>トウガイカモク</t>
    </rPh>
    <rPh sb="146" eb="147">
      <t>マナブ</t>
    </rPh>
    <rPh sb="151" eb="154">
      <t>ジュウヨウセイ</t>
    </rPh>
    <rPh sb="155" eb="157">
      <t>キョウチョウ</t>
    </rPh>
    <rPh sb="159" eb="160">
      <t>タン</t>
    </rPh>
    <rPh sb="162" eb="166">
      <t>ヒッシュウカモク</t>
    </rPh>
    <rPh sb="167" eb="168">
      <t>カンガ</t>
    </rPh>
    <rPh sb="176" eb="177">
      <t>シン</t>
    </rPh>
    <rPh sb="178" eb="179">
      <t>マナ</t>
    </rPh>
    <rPh sb="182" eb="184">
      <t>モクテキ</t>
    </rPh>
    <rPh sb="185" eb="187">
      <t>リカイ</t>
    </rPh>
    <rPh sb="188" eb="189">
      <t>モト</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</si>
  <si>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</si>
  <si>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</si>
  <si>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必修科目であるため、対象となる学生は全員受講することになっている。また、他学年の学生が受講を希望する際には受講を可能とする。</t>
    <rPh sb="0" eb="1">
      <t>タ</t>
    </rPh>
    <rPh sb="36" eb="39">
      <t>タガクネン</t>
    </rPh>
    <rPh sb="40" eb="42">
      <t>ガクセイ</t>
    </rPh>
    <rPh sb="43" eb="45">
      <t>ジュコウ</t>
    </rPh>
    <rPh sb="46" eb="48">
      <t>キボウ</t>
    </rPh>
    <rPh sb="50" eb="51">
      <t>サイ</t>
    </rPh>
    <rPh sb="53" eb="55">
      <t>ジュコウ</t>
    </rPh>
    <rPh sb="56" eb="58">
      <t>カノウ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</si>
  <si>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</si>
  <si>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</si>
  <si>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直後に実施する「新入生オリエンテーション」において、必修科目および選択科目の履修方法の説明を行っている。特に、当該プログラムの単位認定の仕組みについては、国策ともいえる新しい試みであることも含め丁寧な説明を行う。また、学習支援システムmanaba上でも詳細を掲示する。</t>
    <rPh sb="0" eb="4">
      <t>ニュウガクチョクゴ</t>
    </rPh>
    <rPh sb="5" eb="7">
      <t>ジッシ</t>
    </rPh>
    <rPh sb="10" eb="13">
      <t>シンニュウセイ</t>
    </rPh>
    <rPh sb="28" eb="32">
      <t>ヒッシュウカモク</t>
    </rPh>
    <rPh sb="35" eb="39">
      <t>センタクカモク</t>
    </rPh>
    <rPh sb="40" eb="44">
      <t>リシュウホウホウ</t>
    </rPh>
    <rPh sb="45" eb="47">
      <t>セツメイ</t>
    </rPh>
    <rPh sb="48" eb="49">
      <t>オコナ</t>
    </rPh>
    <rPh sb="54" eb="55">
      <t>トク</t>
    </rPh>
    <rPh sb="57" eb="59">
      <t>トウガイ</t>
    </rPh>
    <rPh sb="65" eb="67">
      <t>タンイ</t>
    </rPh>
    <rPh sb="67" eb="69">
      <t>ニンテイ</t>
    </rPh>
    <rPh sb="70" eb="72">
      <t>シク</t>
    </rPh>
    <rPh sb="79" eb="81">
      <t>コクサク</t>
    </rPh>
    <rPh sb="86" eb="87">
      <t>アタラ</t>
    </rPh>
    <rPh sb="89" eb="90">
      <t>ココロ</t>
    </rPh>
    <rPh sb="97" eb="98">
      <t>フク</t>
    </rPh>
    <rPh sb="99" eb="101">
      <t>テイネイ</t>
    </rPh>
    <rPh sb="102" eb="104">
      <t>セツメイ</t>
    </rPh>
    <rPh sb="105" eb="106">
      <t>オコナ</t>
    </rPh>
    <rPh sb="111" eb="115">
      <t>ガクシュウシエン</t>
    </rPh>
    <rPh sb="125" eb="126">
      <t>ジョウ</t>
    </rPh>
    <rPh sb="128" eb="130">
      <t>ショウサイ</t>
    </rPh>
    <rPh sb="131" eb="133">
      <t>ケイジ</t>
    </rPh>
    <phoneticPr fontId="1"/>
  </si>
  <si>
    <t>⑪</t>
    <phoneticPr fontId="1"/>
  </si>
  <si>
    <t>できる限り多くの学生が履修・修得できるようなサポート体制</t>
    <rPh sb="26" eb="28">
      <t>タイセイ</t>
    </rPh>
    <phoneticPr fontId="1"/>
  </si>
  <si>
    <t>学習支援システムmanabaを利用して、いつでも講義資料や課題をダウンロードできる環境を整えている。</t>
    <rPh sb="0" eb="2">
      <t>ガクシュウ</t>
    </rPh>
    <rPh sb="2" eb="4">
      <t>シエン</t>
    </rPh>
    <phoneticPr fontId="1"/>
  </si>
  <si>
    <t>⑫</t>
    <phoneticPr fontId="1"/>
  </si>
  <si>
    <t>授業時間内外で学習指導、質問を受け付ける具体的な仕組み</t>
    <rPh sb="20" eb="23">
      <t>グタイテキ</t>
    </rPh>
    <phoneticPr fontId="1"/>
  </si>
  <si>
    <t xml:space="preserve">講義に関する質問は、学習支援システムmanaba やメールで常時受け付けていることをシラバスや学生生活のしおり に明記している。また、講義時間外であっても直接教員の居室に来て質問することもできることを周知している（オフィスアワー制度）。
</t>
    <rPh sb="0" eb="2">
      <t>ハ</t>
    </rPh>
    <rPh sb="47" eb="51">
      <t>ガクセイセイカツ</t>
    </rPh>
    <rPh sb="114" eb="116">
      <t>セイド</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</si>
  <si>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</si>
  <si>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</si>
  <si>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</si>
  <si>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</si>
  <si>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古川　博之</t>
    <rPh sb="0" eb="2">
      <t>フルカワ</t>
    </rPh>
    <rPh sb="3" eb="5">
      <t>ヒロユキ</t>
    </rPh>
    <phoneticPr fontId="1"/>
  </si>
  <si>
    <t>副学長（評価担当）</t>
    <rPh sb="0" eb="3">
      <t>フクガクチョウ</t>
    </rPh>
    <rPh sb="4" eb="6">
      <t>ヒョウカ</t>
    </rPh>
    <rPh sb="6" eb="8">
      <t>タントウ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</si>
  <si>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</si>
  <si>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</si>
  <si>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</si>
  <si>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</si>
  <si>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</si>
  <si>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プログラムを構成する科目の履修・修得状況は、学生支援課が集計、管理している。
科目を担当する各教員は、授業アンケートの結果をもとに、改善点を見出し次年度以降の講義に活かしている。</t>
    <rPh sb="0" eb="2">
      <t>コウセリシュ</t>
    </rPh>
    <rPh sb="22" eb="27">
      <t>ガクセイ</t>
    </rPh>
    <phoneticPr fontId="1"/>
  </si>
  <si>
    <t>学修成果</t>
    <rPh sb="0" eb="2">
      <t>ガクシュウ</t>
    </rPh>
    <rPh sb="2" eb="4">
      <t>セイカ</t>
    </rPh>
    <phoneticPr fontId="1"/>
  </si>
  <si>
    <t>プログラムを構成する科目は、主に１年生または２年生が履修する。そのため、例えば履修前では pc 操作スキルに個人差がある。各教員は、前年度に実施したアンケート調査を活用することで、このような問題点を解消する。</t>
    <rPh sb="0" eb="2">
      <t>プログラムヲ</t>
    </rPh>
    <rPh sb="17" eb="19">
      <t>ネンセイ</t>
    </rPh>
    <rPh sb="23" eb="25">
      <t>ネンセイ</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</si>
  <si>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</si>
  <si>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学生の講義内容に対する理解度を確認するために、学生アンケートを実施している。教員は学生の理解度を把握し、適切な難易度になるように講義内容を修正している。</t>
    <rPh sb="0" eb="2">
      <t>ナイヨ</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</si>
  <si>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</si>
  <si>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学生アンケート調査を実施した後、その結果を受けて教員がコメントする。コメントは公開されており、学生へのメッセージとするだけではなく、次年度以降の講義に改善点を反映させる。</t>
    <rPh sb="0" eb="1">
      <t>ガクセ</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</si>
  <si>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</si>
  <si>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プログラムを構成する科目は必修科目として展開されている。そのため、すべての学生が単位を取得できるように各教員は講義内容を工夫している。これまでにおいては、対象となる学生の履修率はすでに目標の100%を達成しており、今後も目標を維持できるようアンケート調査を実施するなどの取組を継続していきたい。</t>
    <rPh sb="0" eb="2">
      <t>コウセテn</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</si>
  <si>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</si>
  <si>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</si>
  <si>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医療現場で必要とされる卒業生の能力評価の情報は、副委員長を通じて様式３の⑦に直接伝えられる。（教育プログラム評価委員会）</t>
    <rPh sb="0" eb="2">
      <t>イリョウ</t>
    </rPh>
    <rPh sb="2" eb="4">
      <t>ゲンバ</t>
    </rPh>
    <rPh sb="5" eb="7">
      <t>ヒツヨウ</t>
    </rPh>
    <rPh sb="11" eb="14">
      <t>ソツギョウセイ</t>
    </rPh>
    <rPh sb="15" eb="17">
      <t>ノウリョク</t>
    </rPh>
    <rPh sb="17" eb="19">
      <t>ヒョウカ</t>
    </rPh>
    <rPh sb="20" eb="22">
      <t>ジョウホウ</t>
    </rPh>
    <rPh sb="24" eb="28">
      <t>フクイインチョウ</t>
    </rPh>
    <rPh sb="29" eb="30">
      <t>ツウ</t>
    </rPh>
    <rPh sb="32" eb="34">
      <t>ヨウシキ</t>
    </rPh>
    <rPh sb="38" eb="40">
      <t>チョクセツ</t>
    </rPh>
    <rPh sb="40" eb="41">
      <t>ツタ</t>
    </rPh>
    <rPh sb="47" eb="49">
      <t>キョウイク</t>
    </rPh>
    <rPh sb="54" eb="56">
      <t>ヒョウカ</t>
    </rPh>
    <rPh sb="56" eb="59">
      <t>イインカイ</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</si>
  <si>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</si>
  <si>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医療現場で必要とされる卒業生の能力の改善・向上のための要望は、病院長を通じて様式③の⑦（カリキュラム委員会）に直接伝えられる。</t>
    <rPh sb="0" eb="2">
      <t>イリョウ</t>
    </rPh>
    <rPh sb="2" eb="4">
      <t>ゲンバ</t>
    </rPh>
    <rPh sb="5" eb="7">
      <t>ヒツヨウ</t>
    </rPh>
    <rPh sb="11" eb="14">
      <t>ソツギョウセイ</t>
    </rPh>
    <rPh sb="15" eb="17">
      <t>ノウリョク</t>
    </rPh>
    <rPh sb="18" eb="20">
      <t>カイゼン</t>
    </rPh>
    <rPh sb="21" eb="23">
      <t>コウジョウ</t>
    </rPh>
    <rPh sb="27" eb="29">
      <t>ヨウボウ</t>
    </rPh>
    <rPh sb="31" eb="34">
      <t>ビョウインチョウ</t>
    </rPh>
    <rPh sb="35" eb="36">
      <t>ツウ</t>
    </rPh>
    <rPh sb="38" eb="40">
      <t>ヨウシキ</t>
    </rPh>
    <rPh sb="50" eb="52">
      <t>イイン</t>
    </rPh>
    <rPh sb="52" eb="53">
      <t>カイ</t>
    </rPh>
    <rPh sb="55" eb="57">
      <t>チョクセツ</t>
    </rPh>
    <rPh sb="57" eb="58">
      <t>ツタ</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</si>
  <si>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</si>
  <si>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近年、生成AIの発展は著しく、旬な話題としてメディア等で見聞きする機会が増えている。講義中にこうしたAIのトレンドを紹介することで数理・データサイエンス・AI を学ぶ楽しさを周知する。
データサイエンスでのプログラミング基礎（Python）や看護統計学での SPSS の基本的な使い方を学ぶことは、将来的に医療分野への応用を考える上で重要であることを理解させ、データサイエンスを学ぶ動機づけを促す。</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</si>
  <si>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</si>
  <si>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講義アンケートの結果を踏まえて、講義内容を適宜修正し、次年度以降の講義に役立てる。
数理・データサイエンス・AI 教育プログラムを構成する各科目について、特に医療への応用を念頭に学ぶ目的を明確にし、より分かりやすい講義内容にすることを目指す。</t>
    <rPh sb="0" eb="2">
      <t>ノギジュt</t>
    </rPh>
    <phoneticPr fontId="1"/>
  </si>
  <si>
    <t>数理・データサイエンス・AI教育プログラム</t>
    <rPh sb="0" eb="2">
      <t>・</t>
    </rPh>
    <phoneticPr fontId="1"/>
  </si>
  <si>
    <t>医学部医学科においては、プログラムを構成する「データサイエンス（第１学年、後期必修１単位）」、「情報リテラシー（第１学年、前期必修１単位）」すべての単位取得を要件とする。
医学部看護学科においては、プログラムを構成する「統計学（第２学年、前期必修１単位）」、「情報リテラシー（第１学年、前期必修１単位）」、「保健統計（第２学年、通年必修２単位）」すべての単位取得を要件とする。</t>
    <rPh sb="0" eb="2">
      <t>イガク</t>
    </rPh>
    <rPh sb="2" eb="3">
      <t>ブ</t>
    </rPh>
    <rPh sb="3" eb="6">
      <t>イガクカ</t>
    </rPh>
    <rPh sb="18" eb="20">
      <t>コウセイ</t>
    </rPh>
    <rPh sb="32" eb="33">
      <t>ダイ</t>
    </rPh>
    <rPh sb="34" eb="36">
      <t>ガクネン</t>
    </rPh>
    <rPh sb="56" eb="57">
      <t>ダイ</t>
    </rPh>
    <rPh sb="58" eb="60">
      <t>ガクネン</t>
    </rPh>
    <rPh sb="61" eb="63">
      <t>ゼンキ</t>
    </rPh>
    <rPh sb="74" eb="76">
      <t>タンイ</t>
    </rPh>
    <rPh sb="76" eb="78">
      <t>シュトク</t>
    </rPh>
    <phoneticPr fontId="1"/>
  </si>
  <si>
    <t>【データサイエンス】
1-2回目　ビッグデータ、IoT、Society 5.0 
近年の情報通信技術の発展に伴い、ビッグデータの入手難易度が低下したことや、IoT の普及、Society 5.0 の実現に向けた今後の情報利活用の課題などを学ぶ。
【統計学】
1回目　データを起点としたものの見方
データを起点としたものの見方、すなわちデータにおける数値それ自体は意味をもたないが、データの背景を知り、分析を行うことでデータが有する全体像を掴むことを学ぶ。
【保健統計】
18-20回目　人口統計（生命表、健康指標）</t>
    <rPh sb="1" eb="2">
      <t>カ</t>
    </rPh>
    <rPh sb="41" eb="43">
      <t>キンネn</t>
    </rPh>
    <rPh sb="44" eb="48">
      <t>ジョウホウ</t>
    </rPh>
    <rPh sb="48" eb="50">
      <t>g</t>
    </rPh>
    <rPh sb="51" eb="53">
      <t>ハッテn</t>
    </rPh>
    <rPh sb="54" eb="55">
      <t>トモナイ</t>
    </rPh>
    <rPh sb="64" eb="66">
      <t>ニュウシュ</t>
    </rPh>
    <rPh sb="66" eb="69">
      <t>ナンイ</t>
    </rPh>
    <rPh sb="70" eb="72">
      <t>テイカ</t>
    </rPh>
    <rPh sb="83" eb="85">
      <t>フキュウムケコンゴジョウホウカダイマナブ</t>
    </rPh>
    <phoneticPr fontId="1"/>
  </si>
  <si>
    <t>【データサイエンス】
4-5回目　シェアリングエコノミー、レコメンドシステム、深層生成モデル、転移学習
AI の分析により、シェアリングエコノミーのマッチング、利用価格を判断することや、EC サイトの購入履歴から商品をレコメンドする仕組みを学ぶ。また、深層生成モデル、転移学習といった最近の AI 技術についても紹介する。
【情報リテラシー】
14-15回目　AI技術の紹介（AIによるクロス集計データの解析、AIによる人工的なレントゲン画像の作成）　</t>
    <rPh sb="1" eb="2">
      <t>カ</t>
    </rPh>
    <rPh sb="56" eb="58">
      <t>ブンセキ</t>
    </rPh>
    <rPh sb="80" eb="84">
      <t>リヨウカ</t>
    </rPh>
    <rPh sb="85" eb="87">
      <t>ハンダn</t>
    </rPh>
    <rPh sb="100" eb="104">
      <t>コウニュウ</t>
    </rPh>
    <rPh sb="106" eb="108">
      <t>ショウヒn</t>
    </rPh>
    <rPh sb="116" eb="118">
      <t>シクミ</t>
    </rPh>
    <rPh sb="120" eb="121">
      <t>マナブ</t>
    </rPh>
    <rPh sb="126" eb="130">
      <t>シンソウ</t>
    </rPh>
    <rPh sb="134" eb="138">
      <t>テンイガ</t>
    </rPh>
    <rPh sb="142" eb="144">
      <t>サイキn</t>
    </rPh>
    <rPh sb="149" eb="151">
      <t>ギジュテゥ</t>
    </rPh>
    <rPh sb="156" eb="158">
      <t>ショウカイ</t>
    </rPh>
    <phoneticPr fontId="1"/>
  </si>
  <si>
    <t>【データサイエンス】
6-7回目　オープンデータの取り扱い
e-Stat などの調査データについて述べ、また気象庁のオープンデータなどを例にとり、気象データが防災や農業などの産業界に活用されていることを学ぶ。
【統計学】
5回目　国勢調査
全数調査の中で最も有名な国勢調査を挙げ、調査の意義について考える。
【保健統計】
18-20回目　人口統計（人口静態統計データ、人口動態統計データ）</t>
    <rPh sb="1" eb="2">
      <t>カ</t>
    </rPh>
    <rPh sb="40" eb="42">
      <t>チョウサ</t>
    </rPh>
    <rPh sb="49" eb="50">
      <t xml:space="preserve">ノベ </t>
    </rPh>
    <rPh sb="54" eb="56">
      <t>キショウ</t>
    </rPh>
    <rPh sb="67" eb="68">
      <t>タトエ</t>
    </rPh>
    <rPh sb="78" eb="80">
      <t>ボウサイ</t>
    </rPh>
    <rPh sb="81" eb="83">
      <t>ノウギョウ</t>
    </rPh>
    <rPh sb="86" eb="89">
      <t>サンギョウ</t>
    </rPh>
    <rPh sb="90" eb="92">
      <t>カツヨウ</t>
    </rPh>
    <rPh sb="100" eb="101">
      <t>マナブ</t>
    </rPh>
    <phoneticPr fontId="1"/>
  </si>
  <si>
    <t>【データサイエンス】
4回目　文化保護、研究開発、マーケティング
AI が利活用されている例（文化遺産の保護、医薬品で必要とされる分子の探索、POS システムを用いた商品在庫管理など）を学習する。
【統計学】
1回目　医療分野におけるデータ活用
看護統計では、医療データ（体温、脈拍、血圧の測定値など）を分析することを学ぶ。また、科学的根拠に基づいた医療ならびに保健活動の妥当性評価の定量化について学ぶ。</t>
    <rPh sb="1" eb="2">
      <t>カ</t>
    </rPh>
    <rPh sb="37" eb="40">
      <t>リカツヨウレ</t>
    </rPh>
    <rPh sb="45" eb="46">
      <t>グタイ</t>
    </rPh>
    <rPh sb="47" eb="51">
      <t>ブンカイサn</t>
    </rPh>
    <rPh sb="52" eb="54">
      <t>ホゴ</t>
    </rPh>
    <rPh sb="55" eb="58">
      <t>イヤクヒn</t>
    </rPh>
    <rPh sb="59" eb="61">
      <t>ヒツヨウ</t>
    </rPh>
    <rPh sb="65" eb="67">
      <t>ブンシノ</t>
    </rPh>
    <rPh sb="68" eb="70">
      <t>タンサク</t>
    </rPh>
    <rPh sb="80" eb="81">
      <t>モチイタ</t>
    </rPh>
    <rPh sb="83" eb="89">
      <t>ショウヒn</t>
    </rPh>
    <rPh sb="93" eb="95">
      <t>ガクシュウ</t>
    </rPh>
    <phoneticPr fontId="1"/>
  </si>
  <si>
    <t>【データサイエンス】
4-5回目　特化型 AI と汎用 AI 
汎用AI は模索段階にあること、一方で特化型AI は画像処理や音声処理を得意とすることを学ぶ。
【統計学】
2回目、13回目　多次元の可視化・関係性の可視化
2種類のデータの関係性を可視化（散布図）することを学ぶ。
【情報リテラシー】
10-11回目　データ解析と統計１・２（アンケート結果のデータ入力、データ置換、データの並び替え、データベース関数の利用、統計分析ツールの利用、単純集計表、ヒストグラム、クロス集計、集計結果のグラフ化）</t>
    <rPh sb="1" eb="4">
      <t>カシk</t>
    </rPh>
    <rPh sb="17" eb="20">
      <t>トクカガ</t>
    </rPh>
    <rPh sb="25" eb="27">
      <t>ハンヨウ</t>
    </rPh>
    <rPh sb="32" eb="34">
      <t>ハンヨウ</t>
    </rPh>
    <rPh sb="38" eb="40">
      <t>モサク</t>
    </rPh>
    <rPh sb="40" eb="42">
      <t>ダンカイ</t>
    </rPh>
    <rPh sb="48" eb="50">
      <t>イッポ</t>
    </rPh>
    <rPh sb="51" eb="54">
      <t>トッカ</t>
    </rPh>
    <rPh sb="58" eb="62">
      <t>ガゾウ</t>
    </rPh>
    <rPh sb="63" eb="67">
      <t>オンセイ</t>
    </rPh>
    <rPh sb="68" eb="70">
      <t>トクイ</t>
    </rPh>
    <rPh sb="76" eb="77">
      <t>マナブ</t>
    </rPh>
    <phoneticPr fontId="1"/>
  </si>
  <si>
    <t>【データサイエンス】
1回目　データサイエンスのサイクル
データサイエンスで課題解決をするまでの流れ（サイクル）について述べる。
4回目　ものづくり、交通、医療・介護における課題解決のための AI 利活用 
製造業における在庫管理などの課題について、AI を駆使して消費者の需要を予測し、新商品の提案に繋げ、課題の克服を目指すことを紹介する。
【情報リテラシー】
14-15回目　AI技術活用と問題解決（AIによるクロス集計データの解析、AIによる人工的なレントゲン画像の作成）</t>
    <rPh sb="1" eb="2">
      <t>カ</t>
    </rPh>
    <rPh sb="38" eb="42">
      <t>カダイ</t>
    </rPh>
    <rPh sb="48" eb="49">
      <t>ナガレ</t>
    </rPh>
    <rPh sb="60" eb="61">
      <t>ノベル</t>
    </rPh>
    <rPh sb="104" eb="107">
      <t>セイゾウギョウ</t>
    </rPh>
    <rPh sb="111" eb="115">
      <t>ザイコ</t>
    </rPh>
    <rPh sb="118" eb="120">
      <t>カダイ</t>
    </rPh>
    <rPh sb="129" eb="131">
      <t>クシセィ</t>
    </rPh>
    <rPh sb="133" eb="136">
      <t>ショウヒシャ</t>
    </rPh>
    <rPh sb="137" eb="139">
      <t>ジュヨウ</t>
    </rPh>
    <rPh sb="140" eb="142">
      <t>ヨソク</t>
    </rPh>
    <rPh sb="144" eb="147">
      <t>シンス</t>
    </rPh>
    <rPh sb="148" eb="150">
      <t>テイアn</t>
    </rPh>
    <rPh sb="151" eb="152">
      <t>ツナゲ</t>
    </rPh>
    <rPh sb="154" eb="156">
      <t>カダイ</t>
    </rPh>
    <rPh sb="157" eb="159">
      <t>コクフク</t>
    </rPh>
    <rPh sb="160" eb="162">
      <t>メザス</t>
    </rPh>
    <rPh sb="166" eb="168">
      <t>ショウカイ</t>
    </rPh>
    <phoneticPr fontId="1"/>
  </si>
  <si>
    <t>【データサイエンス】
3回目　ELSI、GDPR、データ倫理、データバイアス、AI 活用の負の事例
データの利活用において、注意すべき点（ELSI）を考える。また、個人データを保護する規則（GDPR）の施行により、オプトイン、オプトアウトの重要性が増していることを学ぶ。
【情報リテラシー】
6回目　情報収集と取り扱い（データの収集方法、著作権、ライセンス、個人情報保護、データの取扱い、蔵書検索（OPAC）、研究論文のスタイル、論文検索）
【情報リテラシー】
4回目　情報収集と取り扱い（データの収集方法、著作権、ライセンス、個人情報保護、データの取扱い、蔵書検索（OPAC）、研究論文のスタイル、論文検索）</t>
    <rPh sb="1" eb="2">
      <t>カ</t>
    </rPh>
    <rPh sb="54" eb="57">
      <t>リカツヨウ</t>
    </rPh>
    <rPh sb="62" eb="64">
      <t>チュウ</t>
    </rPh>
    <rPh sb="75" eb="76">
      <t>カンガエ</t>
    </rPh>
    <rPh sb="82" eb="84">
      <t>コジンデ</t>
    </rPh>
    <rPh sb="88" eb="90">
      <t>ホゴ</t>
    </rPh>
    <rPh sb="92" eb="94">
      <t>キソク</t>
    </rPh>
    <rPh sb="101" eb="103">
      <t>シコウ</t>
    </rPh>
    <rPh sb="120" eb="123">
      <t>ジュウヨウ</t>
    </rPh>
    <rPh sb="124" eb="125">
      <t>マシテ</t>
    </rPh>
    <rPh sb="132" eb="133">
      <t>マナブ</t>
    </rPh>
    <phoneticPr fontId="1"/>
  </si>
  <si>
    <t>【データサイエンス】
3回目　情報セキュリティ、情報セキュリティ事故の事例
データを守るための対策（機密性，完全性，可用性）を知る。セキュリティー事故の例を挙げ、対策を考えさせる。
【情報リテラシー】
1-3回目　情報セキュリティ（ユーザー認証、ID、パスワードの設定、セキュリティ事故の事例、サイバーセキュリティ、偽情報対策・対応策）
【情報リテラシー】
1-3回目　情報セキュリティ（ユーザー認証、ID、パスワードの設定、セキュリティ事故の事例、サイバーセキュリティ、偽情報対策・対応策）
13回目　VBA（マクロ、セキュリティ、ユーザーフォーム、テキストボックス、フレーム、オプションボタン、コマンドボタン）</t>
    <rPh sb="1" eb="2">
      <t>カ</t>
    </rPh>
    <rPh sb="38" eb="41">
      <t>カンゼn</t>
    </rPh>
    <rPh sb="42" eb="45">
      <t>カヨウセイ</t>
    </rPh>
    <rPh sb="55" eb="56">
      <t>マモル</t>
    </rPh>
    <rPh sb="60" eb="62">
      <t>タイサク</t>
    </rPh>
    <rPh sb="63" eb="64">
      <t>シル</t>
    </rPh>
    <rPh sb="76" eb="77">
      <t>レイ</t>
    </rPh>
    <rPh sb="78" eb="79">
      <t xml:space="preserve">アゲ </t>
    </rPh>
    <rPh sb="81" eb="83">
      <t>タイサク</t>
    </rPh>
    <rPh sb="84" eb="85">
      <t>カンガエ</t>
    </rPh>
    <rPh sb="107" eb="109">
      <t>ジョウホウ</t>
    </rPh>
    <rPh sb="120" eb="122">
      <t>ニンショウ</t>
    </rPh>
    <rPh sb="132" eb="134">
      <t>セッテイ</t>
    </rPh>
    <rPh sb="141" eb="143">
      <t>ジコ</t>
    </rPh>
    <rPh sb="144" eb="146">
      <t>ジレイ</t>
    </rPh>
    <rPh sb="158" eb="161">
      <t>ギジョウホウ</t>
    </rPh>
    <rPh sb="161" eb="163">
      <t>タイサク</t>
    </rPh>
    <rPh sb="164" eb="167">
      <t>タイオウサク</t>
    </rPh>
    <phoneticPr fontId="1"/>
  </si>
  <si>
    <t>【データサイエンス】
6-7回目　代表値、散布度 
平均や分散などの基本統計量を調べることにより、観測データからわかることを考える。
10回目　相関と因果、クロス集計表
2変量の関係を考える際の、相関関係と因果関係の違いについて学習する。
【情報リテラシー】
9-10回目　データ解析（基本統計量、平均値、標準偏差、分散、相関係数、回帰分析、外れ値、クロス集計表）
【統計学】
1回目　データの種類、代表値の違い
統計ソフトを使う際に必要な知識（データの種類）を学ぶ。代表値の定義を学び、平均値と中央値が異なる例を挙げる。
【情報リテラシー】
11回目　データ解析と統計（統計分析ツールの利用、単純集計表、ヒストグラム、クロス集計、集計結果のグラフ化）
【保健統計】
2-5回目　データの種類と分布（正規分布、二項分布）、基本統計量、散布度（分散、標準偏差、四分位数、パーセンタイル値）、関連の指標（クロス集計）
9回目　推定と検定（割合に関する推定と検定）</t>
    <rPh sb="1" eb="2">
      <t>カ</t>
    </rPh>
    <rPh sb="26" eb="28">
      <t>ヘイキn</t>
    </rPh>
    <rPh sb="29" eb="31">
      <t>ブンサn</t>
    </rPh>
    <rPh sb="34" eb="36">
      <t>キホn</t>
    </rPh>
    <rPh sb="36" eb="39">
      <t>トウケイ</t>
    </rPh>
    <rPh sb="40" eb="41">
      <t>シラベ</t>
    </rPh>
    <rPh sb="49" eb="51">
      <t>カンソク</t>
    </rPh>
    <rPh sb="62" eb="63">
      <t>カンガエ</t>
    </rPh>
    <rPh sb="86" eb="88">
      <t>ヘンリョウ</t>
    </rPh>
    <rPh sb="89" eb="91">
      <t>カンケイ</t>
    </rPh>
    <rPh sb="92" eb="93">
      <t>カンガエ</t>
    </rPh>
    <rPh sb="98" eb="102">
      <t>ソウカンク</t>
    </rPh>
    <rPh sb="103" eb="107">
      <t>インガ</t>
    </rPh>
    <rPh sb="108" eb="109">
      <t>チガイ</t>
    </rPh>
    <rPh sb="114" eb="116">
      <t>ガクシュウ</t>
    </rPh>
    <phoneticPr fontId="1"/>
  </si>
  <si>
    <t>【データサイエンス】
6-10回目　折れ線グラフ、箱ひげ図、ヒストグラム、散布図
データを可視化する代表的な例として、折れ線グラフ、ヒストグラム、箱ひげ図、散布図を挙げ、Excel で描く。
【情報リテラシー】
8-9回目　データ表現（棒グラフ、散布図、円グラフ、折れ線グラフ、ヒストグラム、回帰直線）
【統計学】
2回目　データ表現
度数分布表、ヒストグラム、度数折れ線、散布図などデータを図で表現することでデータの特徴を掴みやすくなることを学ぶ。
【情報リテラシー】
9回目　Excel（棒グラフ、グラフエリアの書式設定、グラフの種類変更、追加データのグラフへの挿入、円グラフ、積み上げグラフ、折れ線グラフ）
【保健統計】
11-17回目　多変量解析（重回帰、ロジステック回帰、相関に関する検定）</t>
    <rPh sb="1" eb="2">
      <t>カ</t>
    </rPh>
    <rPh sb="45" eb="48">
      <t>カシカ</t>
    </rPh>
    <rPh sb="50" eb="53">
      <t>ダイヒョウ</t>
    </rPh>
    <rPh sb="54" eb="55">
      <t>レイ</t>
    </rPh>
    <rPh sb="59" eb="60">
      <t>オレセn</t>
    </rPh>
    <rPh sb="73" eb="74">
      <t>ハコヘ</t>
    </rPh>
    <rPh sb="78" eb="81">
      <t>サンプズ</t>
    </rPh>
    <rPh sb="82" eb="83">
      <t xml:space="preserve">アゲ </t>
    </rPh>
    <rPh sb="92" eb="93">
      <t>エガイ</t>
    </rPh>
    <rPh sb="115" eb="117">
      <t>ヒョウゲン</t>
    </rPh>
    <rPh sb="118" eb="119">
      <t>ボウ</t>
    </rPh>
    <rPh sb="123" eb="126">
      <t>サンプズ</t>
    </rPh>
    <rPh sb="127" eb="128">
      <t>エン</t>
    </rPh>
    <rPh sb="132" eb="133">
      <t>オ</t>
    </rPh>
    <rPh sb="134" eb="135">
      <t>セン</t>
    </rPh>
    <rPh sb="146" eb="150">
      <t>カイキチョクセン</t>
    </rPh>
    <phoneticPr fontId="1"/>
  </si>
  <si>
    <t>【データサイエンス】
6-10回目　大量のデータに対する平均、標準偏差、平均の表示、csv ファイルの取り扱い
csv 形式のオープンデータファイルを適切に加工、データクリーニングし、Excel を用いて平均や標準偏差などの基本統計量を表示させ、さらにデータを可視化することで観測データからわかることを明確化する。
【情報リテラシー】
9-10回目　エクセルデータ分析ツール（基本統計量、ヒストグラム、相関、回帰分析、95％信頼区間、対応のある2群間のt検定、対応のない2群間のt検定、母分散の検定、分散分析（ANOVA））
【統計学】
13-14回目　データの集計
統計ソフトを用いて2変量データを可視化するとともに、平均や共分散などの記述統計量を出力させる方法を学ぶ。
【保健統計】
6-11回目　統計パッケージによる計算（確率分布・相関・回帰分析・クロス集計、パラメトリック検定、ノンパラメトリック検定、区間推定、分割表の検定）</t>
    <rPh sb="1" eb="2">
      <t>カ</t>
    </rPh>
    <rPh sb="63" eb="64">
      <t>モチイ</t>
    </rPh>
    <rPh sb="66" eb="68">
      <t>ヘイキn</t>
    </rPh>
    <rPh sb="69" eb="73">
      <t>ヒョウジュn</t>
    </rPh>
    <rPh sb="82" eb="84">
      <t>ケイサn</t>
    </rPh>
    <rPh sb="86" eb="88">
      <t>ホウホウ</t>
    </rPh>
    <rPh sb="89" eb="90">
      <t>マナブ</t>
    </rPh>
    <rPh sb="96" eb="98">
      <t>ケイシキ</t>
    </rPh>
    <rPh sb="111" eb="113">
      <t>テキセテゥ</t>
    </rPh>
    <rPh sb="114" eb="116">
      <t>カコ</t>
    </rPh>
    <rPh sb="118" eb="120">
      <t>ヒョウ</t>
    </rPh>
    <rPh sb="130" eb="133">
      <t>カシカ</t>
    </rPh>
    <rPh sb="138" eb="140">
      <t>カンソク</t>
    </rPh>
    <rPh sb="151" eb="154">
      <t>メイカク</t>
    </rPh>
    <rPh sb="159" eb="161">
      <t>ジョウホウ</t>
    </rPh>
    <rPh sb="172" eb="174">
      <t>カイメ</t>
    </rPh>
    <rPh sb="182" eb="184">
      <t>ブンセキ</t>
    </rPh>
    <rPh sb="188" eb="190">
      <t>キホン</t>
    </rPh>
    <rPh sb="190" eb="192">
      <t>トウケイ</t>
    </rPh>
    <rPh sb="192" eb="193">
      <t>リョウ</t>
    </rPh>
    <rPh sb="201" eb="203">
      <t>ソウカン</t>
    </rPh>
    <rPh sb="204" eb="206">
      <t>カイキ</t>
    </rPh>
    <rPh sb="206" eb="208">
      <t>ブンセキ</t>
    </rPh>
    <rPh sb="212" eb="214">
      <t>シンライ</t>
    </rPh>
    <rPh sb="214" eb="216">
      <t>クカン</t>
    </rPh>
    <rPh sb="217" eb="219">
      <t>タイオウ</t>
    </rPh>
    <rPh sb="223" eb="225">
      <t>グンカン</t>
    </rPh>
    <rPh sb="227" eb="229">
      <t>ケンテイ</t>
    </rPh>
    <rPh sb="230" eb="232">
      <t>タイオウ</t>
    </rPh>
    <rPh sb="236" eb="238">
      <t>グンカン</t>
    </rPh>
    <rPh sb="240" eb="242">
      <t>ケンテイ</t>
    </rPh>
    <rPh sb="243" eb="244">
      <t>ハハ</t>
    </rPh>
    <rPh sb="244" eb="246">
      <t>ブンサン</t>
    </rPh>
    <rPh sb="247" eb="249">
      <t>ケンテイ</t>
    </rPh>
    <rPh sb="250" eb="252">
      <t>ブンサン</t>
    </rPh>
    <rPh sb="252" eb="254">
      <t>ブンセキ</t>
    </rPh>
    <phoneticPr fontId="1"/>
  </si>
  <si>
    <t>(1)旭川医科大学カリキュラム委員会規程、(2)旭川医科大学医学部医学科教育プログラム評価規程、（3）旭川医科大学医学部看護学科教育プログラム評価規程</t>
    <rPh sb="3" eb="9">
      <t>アサヒカワイカダイガク</t>
    </rPh>
    <rPh sb="15" eb="17">
      <t>イイン</t>
    </rPh>
    <rPh sb="17" eb="18">
      <t>カイ</t>
    </rPh>
    <rPh sb="18" eb="20">
      <t>キテイ</t>
    </rPh>
    <rPh sb="24" eb="30">
      <t>アサヒカワイカダイガク</t>
    </rPh>
    <rPh sb="30" eb="33">
      <t>イガクブ</t>
    </rPh>
    <rPh sb="33" eb="36">
      <t>イガクカ</t>
    </rPh>
    <rPh sb="36" eb="38">
      <t>キョウイク</t>
    </rPh>
    <rPh sb="43" eb="45">
      <t>ヒョウカ</t>
    </rPh>
    <rPh sb="45" eb="47">
      <t>キテイ</t>
    </rPh>
    <rPh sb="51" eb="57">
      <t>アサヒカワイカダイガク</t>
    </rPh>
    <rPh sb="57" eb="60">
      <t>イガクブ</t>
    </rPh>
    <rPh sb="60" eb="64">
      <t>カンゴガッカ</t>
    </rPh>
    <rPh sb="64" eb="66">
      <t>キョウイク</t>
    </rPh>
    <rPh sb="71" eb="73">
      <t>ヒョウカ</t>
    </rPh>
    <rPh sb="73" eb="75">
      <t>キテイ</t>
    </rPh>
    <phoneticPr fontId="1"/>
  </si>
  <si>
    <t>医学部医学科教育プログラム評価委員会、医学部看護学科教育プログラム評価委員会</t>
    <rPh sb="0" eb="3">
      <t>イガクブ</t>
    </rPh>
    <rPh sb="3" eb="6">
      <t>イガクカ</t>
    </rPh>
    <rPh sb="6" eb="8">
      <t>キョウイク</t>
    </rPh>
    <rPh sb="13" eb="15">
      <t>ヒョウカ</t>
    </rPh>
    <rPh sb="15" eb="18">
      <t>イインカイ</t>
    </rPh>
    <rPh sb="19" eb="22">
      <t>イガクブ</t>
    </rPh>
    <rPh sb="22" eb="26">
      <t>カンゴガッカ</t>
    </rPh>
    <rPh sb="26" eb="28">
      <t>キョウイク</t>
    </rPh>
    <rPh sb="33" eb="35">
      <t>ヒョウカ</t>
    </rPh>
    <rPh sb="35" eb="38">
      <t>イインカイ</t>
    </rPh>
    <phoneticPr fontId="1"/>
  </si>
  <si>
    <t>医学部</t>
    <rPh sb="0" eb="1">
      <t>イgクk</t>
    </rPh>
    <phoneticPr fontId="1"/>
  </si>
  <si>
    <t>旭川医科大学カリキュラム委員会</t>
    <rPh sb="0" eb="6">
      <t>アサヒカワイカダイガク</t>
    </rPh>
    <rPh sb="12" eb="15">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</si>
</sst>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49"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11" fillId="0" borderId="1" xfId="0" applyFont="1" applyBorder="1">
      <alignment vertical="center"/>
    </xf>
    <xf numFmtId="0" fontId="11" fillId="0" borderId="0" xfId="0" applyFont="1" applyAlignment="1">
      <alignment horizontal="right" vertical="center"/>
    </xf>
    <xf numFmtId="9" fontId="2" fillId="0" borderId="14" xfId="0" applyNumberFormat="1"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top" wrapText="1" shrinkToFit="1"/>
    </xf>
    <xf numFmtId="0" fontId="2" fillId="0" borderId="0" xfId="0" applyFont="1" applyAlignment="1">
      <alignment vertical="top"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2" fillId="0" borderId="2" xfId="0" applyFont="1" applyBorder="1" applyAlignment="1">
      <alignment horizontal="lef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zoomScale="85" zoomScaleNormal="100" zoomScaleSheetLayoutView="85" workbookViewId="0">
      <selection activeCell="AD15" sqref="AD15"/>
    </sheetView>
  </sheetViews>
  <sheetFormatPr defaultColWidth="9" defaultRowHeight="18.75" customHeight="1" x14ac:dyDescent="0.2"/>
  <cols>
    <col min="1" max="1" width="2.44140625" style="1" customWidth="1"/>
    <col min="2" max="2" width="16.44140625" style="1" customWidth="1"/>
    <col min="3" max="21" width="5.44140625" style="1" customWidth="1"/>
    <col min="22" max="22" width="9" style="1"/>
    <col min="23" max="23" width="3.44140625" style="1" customWidth="1"/>
    <col min="24" max="24" width="48.44140625" style="1" hidden="1" customWidth="1"/>
    <col min="25" max="26" width="9" style="1"/>
    <col min="27" max="27" width="9" style="1" hidden="1" customWidth="1"/>
    <col min="28" max="16384" width="9" style="1"/>
  </cols>
  <sheetData>
    <row r="1" spans="1:24" ht="18.600000000000001" customHeight="1" x14ac:dyDescent="0.2">
      <c r="T1" s="134" t="s">
        <v>0</v>
      </c>
      <c r="U1" s="134"/>
      <c r="V1" s="2" t="s">
        <v>1</v>
      </c>
    </row>
    <row r="2" spans="1:24" ht="18.75" customHeight="1" x14ac:dyDescent="0.2">
      <c r="B2" s="14" t="s">
        <v>2</v>
      </c>
      <c r="C2" s="98" t="s">
        <v>3</v>
      </c>
      <c r="D2" s="99"/>
      <c r="E2" s="99"/>
      <c r="F2" s="99"/>
      <c r="G2" s="99"/>
      <c r="H2" s="99"/>
      <c r="I2" s="99"/>
      <c r="J2" s="100"/>
      <c r="K2" s="79"/>
      <c r="L2" s="5"/>
      <c r="M2" s="5"/>
      <c r="N2" s="5"/>
      <c r="O2" s="5"/>
      <c r="P2" s="5"/>
      <c r="Q2" s="5"/>
      <c r="R2" s="5"/>
      <c r="S2" s="5"/>
      <c r="T2" s="5"/>
      <c r="U2" s="5"/>
    </row>
    <row r="3" spans="1:24" ht="18.75" customHeight="1" x14ac:dyDescent="0.2">
      <c r="B3" s="14" t="s">
        <v>4</v>
      </c>
      <c r="C3" s="98" t="s">
        <v>180</v>
      </c>
      <c r="D3" s="99"/>
      <c r="E3" s="99"/>
      <c r="F3" s="99"/>
      <c r="G3" s="99"/>
      <c r="H3" s="99"/>
      <c r="I3" s="99"/>
      <c r="J3" s="100"/>
      <c r="K3" s="79"/>
      <c r="L3" s="5"/>
      <c r="M3" s="5"/>
      <c r="N3" s="5"/>
      <c r="O3" s="5"/>
      <c r="P3" s="5"/>
      <c r="Q3" s="5"/>
      <c r="R3" s="5"/>
      <c r="S3" s="5"/>
      <c r="T3" s="5"/>
      <c r="U3" s="5"/>
    </row>
    <row r="4" spans="1:24" ht="15" customHeight="1" x14ac:dyDescent="0.2">
      <c r="L4" s="79"/>
      <c r="M4" s="63"/>
      <c r="N4" s="63"/>
      <c r="O4" s="63"/>
      <c r="P4" s="63"/>
      <c r="Q4" s="63"/>
      <c r="R4" s="63"/>
      <c r="S4" s="63"/>
      <c r="T4" s="63"/>
      <c r="U4" s="63"/>
    </row>
    <row r="5" spans="1:24" ht="18" customHeight="1" x14ac:dyDescent="0.2">
      <c r="A5" s="112" t="s">
        <v>5</v>
      </c>
      <c r="B5" s="112"/>
      <c r="C5" s="112"/>
      <c r="D5" s="112"/>
      <c r="E5" s="112"/>
      <c r="F5" s="112"/>
      <c r="G5" s="112"/>
      <c r="H5" s="112"/>
      <c r="I5" s="112"/>
      <c r="J5" s="112"/>
      <c r="K5" s="112"/>
      <c r="L5" s="112"/>
      <c r="M5" s="112"/>
      <c r="N5" s="112"/>
      <c r="O5" s="112"/>
      <c r="P5" s="112"/>
      <c r="Q5" s="112"/>
      <c r="R5" s="112"/>
      <c r="S5" s="112"/>
      <c r="T5" s="112"/>
      <c r="U5" s="112"/>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6</v>
      </c>
      <c r="B7" s="3"/>
      <c r="C7" s="3"/>
      <c r="D7" s="3"/>
      <c r="E7" s="3"/>
      <c r="F7" s="2"/>
      <c r="G7" s="2"/>
      <c r="H7" s="2"/>
      <c r="I7" s="2"/>
      <c r="J7" s="2"/>
      <c r="K7" s="2"/>
      <c r="L7" s="147" t="s">
        <v>7</v>
      </c>
      <c r="M7" s="148"/>
      <c r="N7" s="148"/>
      <c r="O7" s="148"/>
      <c r="P7" s="148"/>
      <c r="Q7" s="148"/>
      <c r="R7" s="148"/>
      <c r="S7" s="148"/>
      <c r="T7" s="148"/>
      <c r="U7" s="149"/>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8</v>
      </c>
      <c r="C9" s="3"/>
      <c r="D9" s="3"/>
      <c r="K9" s="79"/>
      <c r="L9" s="2"/>
      <c r="M9" s="2"/>
      <c r="N9" s="2"/>
      <c r="O9" s="2"/>
      <c r="P9" s="2"/>
      <c r="Q9" s="2"/>
      <c r="R9" s="2"/>
      <c r="S9" s="2"/>
      <c r="T9" s="2"/>
      <c r="U9" s="2"/>
    </row>
    <row r="10" spans="1:24" ht="6" customHeight="1" x14ac:dyDescent="0.2">
      <c r="B10" s="3"/>
      <c r="C10" s="3"/>
      <c r="D10" s="3"/>
      <c r="E10" s="3"/>
      <c r="F10" s="3"/>
      <c r="G10" s="3"/>
      <c r="H10" s="3"/>
      <c r="I10" s="3"/>
      <c r="J10" s="3"/>
      <c r="K10" s="3"/>
      <c r="L10" s="9"/>
      <c r="M10" s="3"/>
      <c r="N10" s="3"/>
      <c r="O10" s="3"/>
      <c r="P10" s="3"/>
      <c r="Q10" s="3"/>
      <c r="R10" s="3"/>
      <c r="S10" s="3"/>
      <c r="T10" s="3"/>
      <c r="U10" s="3"/>
    </row>
    <row r="11" spans="1:24" ht="18" customHeight="1" x14ac:dyDescent="0.2">
      <c r="B11" s="150" t="s">
        <v>195</v>
      </c>
      <c r="C11" s="151"/>
      <c r="D11" s="151"/>
      <c r="E11" s="151"/>
      <c r="F11" s="151"/>
      <c r="G11" s="151"/>
      <c r="H11" s="151"/>
      <c r="I11" s="151"/>
      <c r="J11" s="151"/>
      <c r="K11" s="151"/>
      <c r="L11" s="151"/>
      <c r="M11" s="151"/>
      <c r="N11" s="151"/>
      <c r="O11" s="151"/>
      <c r="P11" s="151"/>
      <c r="Q11" s="151"/>
      <c r="R11" s="151"/>
      <c r="S11" s="151"/>
      <c r="T11" s="151"/>
      <c r="U11" s="152"/>
    </row>
    <row r="12" spans="1:24" ht="18" customHeight="1" x14ac:dyDescent="0.2">
      <c r="B12" s="153"/>
      <c r="C12" s="154"/>
      <c r="D12" s="154"/>
      <c r="E12" s="154"/>
      <c r="F12" s="154"/>
      <c r="G12" s="154"/>
      <c r="H12" s="154"/>
      <c r="I12" s="154"/>
      <c r="J12" s="154"/>
      <c r="K12" s="154"/>
      <c r="L12" s="154"/>
      <c r="M12" s="154"/>
      <c r="N12" s="154"/>
      <c r="O12" s="154"/>
      <c r="P12" s="154"/>
      <c r="Q12" s="154"/>
      <c r="R12" s="154"/>
      <c r="S12" s="154"/>
      <c r="T12" s="154"/>
      <c r="U12" s="155"/>
    </row>
    <row r="13" spans="1:24" ht="6" customHeight="1" x14ac:dyDescent="0.2">
      <c r="B13" s="3"/>
      <c r="C13" s="3"/>
      <c r="D13" s="3"/>
      <c r="E13" s="3"/>
      <c r="F13" s="3"/>
      <c r="G13" s="3"/>
      <c r="H13" s="3"/>
      <c r="I13" s="3"/>
      <c r="J13" s="3"/>
      <c r="K13" s="3"/>
      <c r="L13" s="9"/>
      <c r="M13" s="3"/>
      <c r="N13" s="3"/>
      <c r="O13" s="3"/>
      <c r="P13" s="3"/>
      <c r="Q13" s="3"/>
      <c r="R13" s="3"/>
      <c r="S13" s="3"/>
      <c r="T13" s="3"/>
      <c r="U13" s="3"/>
    </row>
    <row r="14" spans="1:24" ht="18" customHeight="1" x14ac:dyDescent="0.2">
      <c r="A14" s="1" t="s">
        <v>9</v>
      </c>
      <c r="B14" s="3"/>
      <c r="C14" s="3"/>
      <c r="D14" s="3"/>
      <c r="E14" s="79"/>
      <c r="F14" s="79"/>
      <c r="G14" s="79"/>
      <c r="H14" s="79"/>
      <c r="I14" s="79"/>
      <c r="J14" s="79"/>
      <c r="K14" s="79"/>
      <c r="L14" s="64"/>
      <c r="M14" s="64"/>
      <c r="N14" s="64"/>
      <c r="O14" s="64"/>
      <c r="P14" s="64"/>
      <c r="Q14" s="64"/>
      <c r="R14" s="64"/>
      <c r="S14" s="64"/>
      <c r="T14" s="64"/>
      <c r="U14" s="64"/>
    </row>
    <row r="15" spans="1:24" ht="18" customHeight="1" x14ac:dyDescent="0.2">
      <c r="B15" s="113" t="s">
        <v>181</v>
      </c>
      <c r="C15" s="114"/>
      <c r="D15" s="114"/>
      <c r="E15" s="114"/>
      <c r="F15" s="114"/>
      <c r="G15" s="114"/>
      <c r="H15" s="114"/>
      <c r="I15" s="114"/>
      <c r="J15" s="114"/>
      <c r="K15" s="114"/>
      <c r="L15" s="114"/>
      <c r="M15" s="114"/>
      <c r="N15" s="114"/>
      <c r="O15" s="114"/>
      <c r="P15" s="114"/>
      <c r="Q15" s="114"/>
      <c r="R15" s="114"/>
      <c r="S15" s="114"/>
      <c r="T15" s="114"/>
      <c r="U15" s="115"/>
      <c r="X15" s="1" t="s">
        <v>10</v>
      </c>
    </row>
    <row r="16" spans="1:24" ht="18" customHeight="1" x14ac:dyDescent="0.2">
      <c r="B16" s="116"/>
      <c r="C16" s="117"/>
      <c r="D16" s="117"/>
      <c r="E16" s="117"/>
      <c r="F16" s="117"/>
      <c r="G16" s="117"/>
      <c r="H16" s="117"/>
      <c r="I16" s="117"/>
      <c r="J16" s="117"/>
      <c r="K16" s="117"/>
      <c r="L16" s="117"/>
      <c r="M16" s="117"/>
      <c r="N16" s="117"/>
      <c r="O16" s="117"/>
      <c r="P16" s="117"/>
      <c r="Q16" s="117"/>
      <c r="R16" s="117"/>
      <c r="S16" s="117"/>
      <c r="T16" s="117"/>
      <c r="U16" s="118"/>
      <c r="X16" s="1" t="s">
        <v>11</v>
      </c>
    </row>
    <row r="17" spans="1:24" ht="18" customHeight="1" x14ac:dyDescent="0.2">
      <c r="B17" s="116"/>
      <c r="C17" s="117"/>
      <c r="D17" s="117"/>
      <c r="E17" s="117"/>
      <c r="F17" s="117"/>
      <c r="G17" s="117"/>
      <c r="H17" s="117"/>
      <c r="I17" s="117"/>
      <c r="J17" s="117"/>
      <c r="K17" s="117"/>
      <c r="L17" s="117"/>
      <c r="M17" s="117"/>
      <c r="N17" s="117"/>
      <c r="O17" s="117"/>
      <c r="P17" s="117"/>
      <c r="Q17" s="117"/>
      <c r="R17" s="117"/>
      <c r="S17" s="117"/>
      <c r="T17" s="117"/>
      <c r="U17" s="118"/>
      <c r="X17" s="1" t="s">
        <v>12</v>
      </c>
    </row>
    <row r="18" spans="1:24" ht="18" customHeight="1" x14ac:dyDescent="0.2">
      <c r="B18" s="116"/>
      <c r="C18" s="117"/>
      <c r="D18" s="117"/>
      <c r="E18" s="117"/>
      <c r="F18" s="117"/>
      <c r="G18" s="117"/>
      <c r="H18" s="117"/>
      <c r="I18" s="117"/>
      <c r="J18" s="117"/>
      <c r="K18" s="117"/>
      <c r="L18" s="117"/>
      <c r="M18" s="117"/>
      <c r="N18" s="117"/>
      <c r="O18" s="117"/>
      <c r="P18" s="117"/>
      <c r="Q18" s="117"/>
      <c r="R18" s="117"/>
      <c r="S18" s="117"/>
      <c r="T18" s="117"/>
      <c r="U18" s="118"/>
      <c r="X18" s="1" t="s">
        <v>13</v>
      </c>
    </row>
    <row r="19" spans="1:24" ht="18" customHeight="1" x14ac:dyDescent="0.2">
      <c r="B19" s="116"/>
      <c r="C19" s="117"/>
      <c r="D19" s="117"/>
      <c r="E19" s="117"/>
      <c r="F19" s="117"/>
      <c r="G19" s="117"/>
      <c r="H19" s="117"/>
      <c r="I19" s="117"/>
      <c r="J19" s="117"/>
      <c r="K19" s="117"/>
      <c r="L19" s="117"/>
      <c r="M19" s="117"/>
      <c r="N19" s="117"/>
      <c r="O19" s="117"/>
      <c r="P19" s="117"/>
      <c r="Q19" s="117"/>
      <c r="R19" s="117"/>
      <c r="S19" s="117"/>
      <c r="T19" s="117"/>
      <c r="U19" s="118"/>
    </row>
    <row r="20" spans="1:24" ht="18" customHeight="1" x14ac:dyDescent="0.2">
      <c r="B20" s="119"/>
      <c r="C20" s="120"/>
      <c r="D20" s="120"/>
      <c r="E20" s="120"/>
      <c r="F20" s="120"/>
      <c r="G20" s="120"/>
      <c r="H20" s="120"/>
      <c r="I20" s="120"/>
      <c r="J20" s="120"/>
      <c r="K20" s="120"/>
      <c r="L20" s="120"/>
      <c r="M20" s="120"/>
      <c r="N20" s="120"/>
      <c r="O20" s="120"/>
      <c r="P20" s="120"/>
      <c r="Q20" s="120"/>
      <c r="R20" s="120"/>
      <c r="S20" s="120"/>
      <c r="T20" s="120"/>
      <c r="U20" s="121"/>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14</v>
      </c>
      <c r="E22" s="14">
        <v>2</v>
      </c>
      <c r="F22" s="1" t="s">
        <v>15</v>
      </c>
      <c r="H22" s="14">
        <v>2</v>
      </c>
      <c r="I22" s="3" t="s">
        <v>16</v>
      </c>
      <c r="J22" s="3"/>
      <c r="K22" s="79"/>
      <c r="M22" s="79" t="s">
        <v>17</v>
      </c>
      <c r="N22" s="144" t="s">
        <v>11</v>
      </c>
      <c r="O22" s="145"/>
      <c r="P22" s="145"/>
      <c r="Q22" s="145"/>
      <c r="R22" s="145"/>
      <c r="S22" s="145"/>
      <c r="T22" s="145"/>
      <c r="U22" s="146"/>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1" t="s">
        <v>18</v>
      </c>
      <c r="B24" s="91"/>
      <c r="C24" s="91"/>
      <c r="D24" s="91"/>
      <c r="E24" s="91"/>
      <c r="F24" s="91"/>
      <c r="G24" s="91"/>
      <c r="H24" s="91"/>
      <c r="I24" s="91"/>
      <c r="J24" s="91"/>
      <c r="K24" s="91"/>
      <c r="L24" s="91"/>
      <c r="M24" s="91"/>
      <c r="N24" s="91"/>
      <c r="O24" s="91"/>
      <c r="P24" s="91"/>
      <c r="Q24" s="91"/>
      <c r="R24" s="91"/>
      <c r="S24" s="91"/>
      <c r="T24" s="91"/>
      <c r="U24" s="91"/>
    </row>
    <row r="25" spans="1:24" ht="18" customHeight="1" x14ac:dyDescent="0.2">
      <c r="A25" s="91"/>
      <c r="B25" s="91"/>
      <c r="C25" s="91"/>
      <c r="D25" s="91"/>
      <c r="E25" s="91"/>
      <c r="F25" s="91"/>
      <c r="G25" s="91"/>
      <c r="H25" s="91"/>
      <c r="I25" s="91"/>
      <c r="J25" s="91"/>
      <c r="K25" s="91"/>
      <c r="L25" s="91"/>
      <c r="M25" s="91"/>
      <c r="N25" s="91"/>
      <c r="O25" s="91"/>
      <c r="P25" s="91"/>
      <c r="Q25" s="91"/>
      <c r="R25" s="91"/>
      <c r="S25" s="91"/>
      <c r="T25" s="91"/>
      <c r="U25" s="91"/>
    </row>
    <row r="26" spans="1:24" ht="18" customHeight="1" x14ac:dyDescent="0.2">
      <c r="B26" s="98" t="s">
        <v>19</v>
      </c>
      <c r="C26" s="99"/>
      <c r="D26" s="99"/>
      <c r="E26" s="99"/>
      <c r="F26" s="100"/>
      <c r="G26" s="49" t="s">
        <v>20</v>
      </c>
      <c r="H26" s="50" t="s">
        <v>21</v>
      </c>
      <c r="I26" s="51" t="s">
        <v>22</v>
      </c>
      <c r="J26" s="51" t="s">
        <v>23</v>
      </c>
      <c r="K26" s="98" t="s">
        <v>19</v>
      </c>
      <c r="L26" s="99"/>
      <c r="M26" s="99"/>
      <c r="N26" s="99"/>
      <c r="O26" s="99"/>
      <c r="P26" s="99"/>
      <c r="Q26" s="100"/>
      <c r="R26" s="49" t="s">
        <v>20</v>
      </c>
      <c r="S26" s="50" t="s">
        <v>21</v>
      </c>
      <c r="T26" s="51" t="s">
        <v>22</v>
      </c>
      <c r="U26" s="51" t="s">
        <v>23</v>
      </c>
    </row>
    <row r="27" spans="1:24" ht="18" customHeight="1" x14ac:dyDescent="0.2">
      <c r="B27" s="131" t="s">
        <v>24</v>
      </c>
      <c r="C27" s="132"/>
      <c r="D27" s="132"/>
      <c r="E27" s="132"/>
      <c r="F27" s="133"/>
      <c r="G27" s="71">
        <v>1</v>
      </c>
      <c r="H27" s="71" t="s">
        <v>25</v>
      </c>
      <c r="I27" s="71" t="s">
        <v>25</v>
      </c>
      <c r="J27" s="71" t="s">
        <v>25</v>
      </c>
      <c r="K27" s="92"/>
      <c r="L27" s="93"/>
      <c r="M27" s="93"/>
      <c r="N27" s="93"/>
      <c r="O27" s="93"/>
      <c r="P27" s="93"/>
      <c r="Q27" s="94"/>
      <c r="R27" s="52"/>
      <c r="S27" s="52"/>
      <c r="T27" s="52"/>
      <c r="U27" s="52"/>
    </row>
    <row r="28" spans="1:24" ht="18" customHeight="1" x14ac:dyDescent="0.2">
      <c r="B28" s="85" t="s">
        <v>26</v>
      </c>
      <c r="C28" s="86"/>
      <c r="D28" s="86"/>
      <c r="E28" s="86"/>
      <c r="F28" s="87"/>
      <c r="G28" s="53">
        <v>1</v>
      </c>
      <c r="H28" s="53" t="s">
        <v>25</v>
      </c>
      <c r="I28" s="53"/>
      <c r="J28" s="53"/>
      <c r="K28" s="85"/>
      <c r="L28" s="86"/>
      <c r="M28" s="86"/>
      <c r="N28" s="86"/>
      <c r="O28" s="86"/>
      <c r="P28" s="86"/>
      <c r="Q28" s="87"/>
      <c r="R28" s="53"/>
      <c r="S28" s="53"/>
      <c r="T28" s="53"/>
      <c r="U28" s="53"/>
    </row>
    <row r="29" spans="1:24" ht="18" customHeight="1" x14ac:dyDescent="0.2">
      <c r="B29" s="85"/>
      <c r="C29" s="86"/>
      <c r="D29" s="86"/>
      <c r="E29" s="86"/>
      <c r="F29" s="87"/>
      <c r="G29" s="53"/>
      <c r="H29" s="53"/>
      <c r="I29" s="53"/>
      <c r="J29" s="53"/>
      <c r="K29" s="85"/>
      <c r="L29" s="86"/>
      <c r="M29" s="86"/>
      <c r="N29" s="86"/>
      <c r="O29" s="86"/>
      <c r="P29" s="86"/>
      <c r="Q29" s="87"/>
      <c r="R29" s="53"/>
      <c r="S29" s="53"/>
      <c r="T29" s="53"/>
      <c r="U29" s="53"/>
    </row>
    <row r="30" spans="1:24" ht="18" customHeight="1" x14ac:dyDescent="0.2">
      <c r="B30" s="92" t="s">
        <v>66</v>
      </c>
      <c r="C30" s="93"/>
      <c r="D30" s="93"/>
      <c r="E30" s="93"/>
      <c r="F30" s="94"/>
      <c r="G30" s="52">
        <v>1</v>
      </c>
      <c r="H30" s="52" t="s">
        <v>67</v>
      </c>
      <c r="I30" s="52" t="s">
        <v>25</v>
      </c>
      <c r="J30" s="52"/>
      <c r="K30" s="85"/>
      <c r="L30" s="86"/>
      <c r="M30" s="86"/>
      <c r="N30" s="86"/>
      <c r="O30" s="86"/>
      <c r="P30" s="86"/>
      <c r="Q30" s="87"/>
      <c r="R30" s="53"/>
      <c r="S30" s="53"/>
      <c r="T30" s="53"/>
      <c r="U30" s="53"/>
    </row>
    <row r="31" spans="1:24" ht="18" customHeight="1" x14ac:dyDescent="0.2">
      <c r="B31" s="85" t="s">
        <v>26</v>
      </c>
      <c r="C31" s="86"/>
      <c r="D31" s="86"/>
      <c r="E31" s="86"/>
      <c r="F31" s="87"/>
      <c r="G31" s="53">
        <v>1</v>
      </c>
      <c r="H31" s="53" t="s">
        <v>25</v>
      </c>
      <c r="I31" s="53"/>
      <c r="J31" s="53" t="s">
        <v>25</v>
      </c>
      <c r="K31" s="85"/>
      <c r="L31" s="86"/>
      <c r="M31" s="86"/>
      <c r="N31" s="86"/>
      <c r="O31" s="86"/>
      <c r="P31" s="86"/>
      <c r="Q31" s="87"/>
      <c r="R31" s="53"/>
      <c r="S31" s="53"/>
      <c r="T31" s="53"/>
      <c r="U31" s="53"/>
    </row>
    <row r="32" spans="1:24" ht="18" customHeight="1" x14ac:dyDescent="0.2">
      <c r="A32" s="3"/>
      <c r="B32" s="85" t="s">
        <v>68</v>
      </c>
      <c r="C32" s="86"/>
      <c r="D32" s="86"/>
      <c r="E32" s="86"/>
      <c r="F32" s="87"/>
      <c r="G32" s="53">
        <v>2</v>
      </c>
      <c r="H32" s="53" t="s">
        <v>25</v>
      </c>
      <c r="I32" s="53" t="s">
        <v>25</v>
      </c>
      <c r="J32" s="53"/>
      <c r="K32" s="85"/>
      <c r="L32" s="86"/>
      <c r="M32" s="86"/>
      <c r="N32" s="86"/>
      <c r="O32" s="86"/>
      <c r="P32" s="86"/>
      <c r="Q32" s="87"/>
      <c r="R32" s="53"/>
      <c r="S32" s="53"/>
      <c r="T32" s="53"/>
      <c r="U32" s="53"/>
    </row>
    <row r="33" spans="1:21" ht="18" customHeight="1" x14ac:dyDescent="0.2">
      <c r="A33" s="3"/>
      <c r="B33" s="88"/>
      <c r="C33" s="89"/>
      <c r="D33" s="89"/>
      <c r="E33" s="89"/>
      <c r="F33" s="90"/>
      <c r="G33" s="54"/>
      <c r="H33" s="54"/>
      <c r="I33" s="55"/>
      <c r="J33" s="55"/>
      <c r="K33" s="88"/>
      <c r="L33" s="89"/>
      <c r="M33" s="89"/>
      <c r="N33" s="89"/>
      <c r="O33" s="89"/>
      <c r="P33" s="89"/>
      <c r="Q33" s="90"/>
      <c r="R33" s="54"/>
      <c r="S33" s="54"/>
      <c r="T33" s="55"/>
      <c r="U33" s="55"/>
    </row>
    <row r="34" spans="1:21" ht="7.5" customHeight="1" x14ac:dyDescent="0.2">
      <c r="A34" s="3"/>
      <c r="B34" s="5"/>
      <c r="C34" s="5"/>
      <c r="D34" s="5"/>
      <c r="E34" s="3"/>
      <c r="F34" s="3"/>
      <c r="G34" s="3"/>
      <c r="H34" s="3"/>
      <c r="I34" s="5"/>
      <c r="J34" s="5"/>
      <c r="K34" s="5"/>
      <c r="L34" s="5"/>
      <c r="M34" s="5"/>
      <c r="N34" s="5"/>
      <c r="O34" s="5"/>
      <c r="P34" s="5"/>
      <c r="Q34" s="5"/>
      <c r="R34" s="5"/>
      <c r="S34" s="5"/>
      <c r="T34" s="5"/>
      <c r="U34" s="3"/>
    </row>
    <row r="35" spans="1:21" ht="18" customHeight="1" x14ac:dyDescent="0.2">
      <c r="A35" s="91" t="s">
        <v>27</v>
      </c>
      <c r="B35" s="91"/>
      <c r="C35" s="91"/>
      <c r="D35" s="91"/>
      <c r="E35" s="91"/>
      <c r="F35" s="91"/>
      <c r="G35" s="91"/>
      <c r="H35" s="91"/>
      <c r="I35" s="91"/>
      <c r="J35" s="91"/>
      <c r="K35" s="91"/>
      <c r="L35" s="91"/>
      <c r="M35" s="91"/>
      <c r="N35" s="91"/>
      <c r="O35" s="91"/>
      <c r="P35" s="91"/>
      <c r="Q35" s="91"/>
      <c r="R35" s="91"/>
      <c r="S35" s="91"/>
      <c r="T35" s="91"/>
      <c r="U35" s="91"/>
    </row>
    <row r="36" spans="1:21" ht="18" customHeight="1" x14ac:dyDescent="0.2">
      <c r="A36" s="91"/>
      <c r="B36" s="91"/>
      <c r="C36" s="91"/>
      <c r="D36" s="91"/>
      <c r="E36" s="91"/>
      <c r="F36" s="91"/>
      <c r="G36" s="91"/>
      <c r="H36" s="91"/>
      <c r="I36" s="91"/>
      <c r="J36" s="91"/>
      <c r="K36" s="91"/>
      <c r="L36" s="91"/>
      <c r="M36" s="91"/>
      <c r="N36" s="91"/>
      <c r="O36" s="91"/>
      <c r="P36" s="91"/>
      <c r="Q36" s="91"/>
      <c r="R36" s="91"/>
      <c r="S36" s="91"/>
      <c r="T36" s="91"/>
      <c r="U36" s="91"/>
    </row>
    <row r="37" spans="1:21" ht="18" customHeight="1" x14ac:dyDescent="0.2">
      <c r="B37" s="98" t="s">
        <v>19</v>
      </c>
      <c r="C37" s="99"/>
      <c r="D37" s="99"/>
      <c r="E37" s="99"/>
      <c r="F37" s="100"/>
      <c r="G37" s="49" t="s">
        <v>20</v>
      </c>
      <c r="H37" s="50" t="s">
        <v>21</v>
      </c>
      <c r="I37" s="51" t="s">
        <v>28</v>
      </c>
      <c r="J37" s="51" t="s">
        <v>29</v>
      </c>
      <c r="K37" s="98" t="s">
        <v>19</v>
      </c>
      <c r="L37" s="99"/>
      <c r="M37" s="99"/>
      <c r="N37" s="99"/>
      <c r="O37" s="99"/>
      <c r="P37" s="99"/>
      <c r="Q37" s="100"/>
      <c r="R37" s="49" t="s">
        <v>20</v>
      </c>
      <c r="S37" s="50" t="s">
        <v>21</v>
      </c>
      <c r="T37" s="51" t="s">
        <v>28</v>
      </c>
      <c r="U37" s="51" t="s">
        <v>29</v>
      </c>
    </row>
    <row r="38" spans="1:21" ht="18" customHeight="1" x14ac:dyDescent="0.2">
      <c r="B38" s="131" t="s">
        <v>24</v>
      </c>
      <c r="C38" s="132"/>
      <c r="D38" s="132"/>
      <c r="E38" s="132"/>
      <c r="F38" s="133"/>
      <c r="G38" s="71">
        <v>1</v>
      </c>
      <c r="H38" s="71" t="s">
        <v>25</v>
      </c>
      <c r="I38" s="71" t="s">
        <v>25</v>
      </c>
      <c r="J38" s="71" t="s">
        <v>25</v>
      </c>
      <c r="K38" s="92"/>
      <c r="L38" s="93"/>
      <c r="M38" s="93"/>
      <c r="N38" s="93"/>
      <c r="O38" s="93"/>
      <c r="P38" s="93"/>
      <c r="Q38" s="94"/>
      <c r="R38" s="52"/>
      <c r="S38" s="52"/>
      <c r="T38" s="52"/>
      <c r="U38" s="52"/>
    </row>
    <row r="39" spans="1:21" ht="18" customHeight="1" x14ac:dyDescent="0.2">
      <c r="B39" s="85" t="s">
        <v>26</v>
      </c>
      <c r="C39" s="86"/>
      <c r="D39" s="86"/>
      <c r="E39" s="86"/>
      <c r="F39" s="87"/>
      <c r="G39" s="53">
        <v>1</v>
      </c>
      <c r="H39" s="53" t="s">
        <v>25</v>
      </c>
      <c r="I39" s="53"/>
      <c r="J39" s="53"/>
      <c r="K39" s="85"/>
      <c r="L39" s="86"/>
      <c r="M39" s="86"/>
      <c r="N39" s="86"/>
      <c r="O39" s="86"/>
      <c r="P39" s="86"/>
      <c r="Q39" s="87"/>
      <c r="R39" s="53"/>
      <c r="S39" s="53"/>
      <c r="T39" s="53"/>
      <c r="U39" s="53"/>
    </row>
    <row r="40" spans="1:21" ht="18" customHeight="1" x14ac:dyDescent="0.2">
      <c r="B40" s="85"/>
      <c r="C40" s="86"/>
      <c r="D40" s="86"/>
      <c r="E40" s="86"/>
      <c r="F40" s="87"/>
      <c r="G40" s="53"/>
      <c r="H40" s="53"/>
      <c r="I40" s="53"/>
      <c r="J40" s="53"/>
      <c r="K40" s="85"/>
      <c r="L40" s="86"/>
      <c r="M40" s="86"/>
      <c r="N40" s="86"/>
      <c r="O40" s="86"/>
      <c r="P40" s="86"/>
      <c r="Q40" s="87"/>
      <c r="R40" s="53"/>
      <c r="S40" s="53"/>
      <c r="T40" s="53"/>
      <c r="U40" s="53"/>
    </row>
    <row r="41" spans="1:21" ht="18" customHeight="1" x14ac:dyDescent="0.2">
      <c r="B41" s="92" t="s">
        <v>66</v>
      </c>
      <c r="C41" s="93"/>
      <c r="D41" s="93"/>
      <c r="E41" s="93"/>
      <c r="F41" s="94"/>
      <c r="G41" s="52">
        <v>1</v>
      </c>
      <c r="H41" s="52" t="s">
        <v>25</v>
      </c>
      <c r="I41" s="52" t="s">
        <v>25</v>
      </c>
      <c r="J41" s="52" t="s">
        <v>25</v>
      </c>
      <c r="K41" s="85"/>
      <c r="L41" s="86"/>
      <c r="M41" s="86"/>
      <c r="N41" s="86"/>
      <c r="O41" s="86"/>
      <c r="P41" s="86"/>
      <c r="Q41" s="87"/>
      <c r="R41" s="53"/>
      <c r="S41" s="53"/>
      <c r="T41" s="53"/>
      <c r="U41" s="53"/>
    </row>
    <row r="42" spans="1:21" ht="18" customHeight="1" x14ac:dyDescent="0.2">
      <c r="B42" s="85" t="s">
        <v>26</v>
      </c>
      <c r="C42" s="86"/>
      <c r="D42" s="86"/>
      <c r="E42" s="86"/>
      <c r="F42" s="87"/>
      <c r="G42" s="53">
        <v>1</v>
      </c>
      <c r="H42" s="53" t="s">
        <v>25</v>
      </c>
      <c r="I42" s="53"/>
      <c r="J42" s="53"/>
      <c r="K42" s="85"/>
      <c r="L42" s="86"/>
      <c r="M42" s="86"/>
      <c r="N42" s="86"/>
      <c r="O42" s="86"/>
      <c r="P42" s="86"/>
      <c r="Q42" s="87"/>
      <c r="R42" s="53"/>
      <c r="S42" s="53"/>
      <c r="T42" s="53"/>
      <c r="U42" s="53"/>
    </row>
    <row r="43" spans="1:21" ht="18" customHeight="1" x14ac:dyDescent="0.2">
      <c r="B43" s="85" t="s">
        <v>68</v>
      </c>
      <c r="C43" s="86"/>
      <c r="D43" s="86"/>
      <c r="E43" s="86"/>
      <c r="F43" s="87"/>
      <c r="G43" s="53">
        <v>2</v>
      </c>
      <c r="H43" s="53" t="s">
        <v>25</v>
      </c>
      <c r="I43" s="53" t="s">
        <v>25</v>
      </c>
      <c r="J43" s="53"/>
      <c r="K43" s="85"/>
      <c r="L43" s="86"/>
      <c r="M43" s="86"/>
      <c r="N43" s="86"/>
      <c r="O43" s="86"/>
      <c r="P43" s="86"/>
      <c r="Q43" s="87"/>
      <c r="R43" s="53"/>
      <c r="S43" s="53"/>
      <c r="T43" s="53"/>
      <c r="U43" s="53"/>
    </row>
    <row r="44" spans="1:21" ht="18" customHeight="1" x14ac:dyDescent="0.2">
      <c r="B44" s="88"/>
      <c r="C44" s="89"/>
      <c r="D44" s="89"/>
      <c r="E44" s="89"/>
      <c r="F44" s="90"/>
      <c r="G44" s="54"/>
      <c r="H44" s="54"/>
      <c r="I44" s="55"/>
      <c r="J44" s="55"/>
      <c r="K44" s="88"/>
      <c r="L44" s="89"/>
      <c r="M44" s="89"/>
      <c r="N44" s="89"/>
      <c r="O44" s="89"/>
      <c r="P44" s="89"/>
      <c r="Q44" s="90"/>
      <c r="R44" s="54"/>
      <c r="S44" s="54"/>
      <c r="T44" s="55"/>
      <c r="U44" s="55"/>
    </row>
    <row r="45" spans="1:21" ht="7.5" customHeight="1" x14ac:dyDescent="0.2">
      <c r="A45" s="3"/>
      <c r="B45" s="5"/>
      <c r="C45" s="5"/>
      <c r="D45" s="5"/>
      <c r="E45" s="3"/>
      <c r="F45" s="3"/>
      <c r="G45" s="3"/>
      <c r="H45" s="3"/>
      <c r="I45" s="5"/>
      <c r="J45" s="5"/>
      <c r="K45" s="5"/>
      <c r="L45" s="5"/>
      <c r="M45" s="5"/>
      <c r="N45" s="5"/>
      <c r="O45" s="5"/>
      <c r="P45" s="5"/>
      <c r="Q45" s="5"/>
      <c r="R45" s="5"/>
      <c r="S45" s="5"/>
      <c r="T45" s="5"/>
      <c r="U45" s="3"/>
    </row>
    <row r="46" spans="1:21" ht="18" customHeight="1" x14ac:dyDescent="0.2">
      <c r="A46" s="91" t="s">
        <v>30</v>
      </c>
      <c r="B46" s="91"/>
      <c r="C46" s="91"/>
      <c r="D46" s="91"/>
      <c r="E46" s="91"/>
      <c r="F46" s="91"/>
      <c r="G46" s="91"/>
      <c r="H46" s="91"/>
      <c r="I46" s="91"/>
      <c r="J46" s="91"/>
      <c r="K46" s="91"/>
      <c r="L46" s="91"/>
      <c r="M46" s="91"/>
      <c r="N46" s="91"/>
      <c r="O46" s="91"/>
      <c r="P46" s="91"/>
      <c r="Q46" s="91"/>
      <c r="R46" s="91"/>
      <c r="S46" s="91"/>
      <c r="T46" s="91"/>
      <c r="U46" s="91"/>
    </row>
    <row r="47" spans="1:21" ht="18" customHeight="1" x14ac:dyDescent="0.2">
      <c r="A47" s="91"/>
      <c r="B47" s="91"/>
      <c r="C47" s="91"/>
      <c r="D47" s="91"/>
      <c r="E47" s="91"/>
      <c r="F47" s="91"/>
      <c r="G47" s="91"/>
      <c r="H47" s="91"/>
      <c r="I47" s="91"/>
      <c r="J47" s="91"/>
      <c r="K47" s="91"/>
      <c r="L47" s="91"/>
      <c r="M47" s="91"/>
      <c r="N47" s="91"/>
      <c r="O47" s="91"/>
      <c r="P47" s="91"/>
      <c r="Q47" s="91"/>
      <c r="R47" s="91"/>
      <c r="S47" s="91"/>
      <c r="T47" s="91"/>
      <c r="U47" s="91"/>
    </row>
    <row r="48" spans="1:21" ht="18" customHeight="1" x14ac:dyDescent="0.2">
      <c r="B48" s="98" t="s">
        <v>19</v>
      </c>
      <c r="C48" s="99"/>
      <c r="D48" s="99"/>
      <c r="E48" s="99"/>
      <c r="F48" s="100"/>
      <c r="G48" s="49" t="s">
        <v>20</v>
      </c>
      <c r="H48" s="50" t="s">
        <v>21</v>
      </c>
      <c r="I48" s="51" t="s">
        <v>31</v>
      </c>
      <c r="J48" s="51" t="s">
        <v>32</v>
      </c>
      <c r="K48" s="98" t="s">
        <v>19</v>
      </c>
      <c r="L48" s="99"/>
      <c r="M48" s="99"/>
      <c r="N48" s="99"/>
      <c r="O48" s="99"/>
      <c r="P48" s="99"/>
      <c r="Q48" s="100"/>
      <c r="R48" s="49" t="s">
        <v>20</v>
      </c>
      <c r="S48" s="50" t="s">
        <v>21</v>
      </c>
      <c r="T48" s="51" t="s">
        <v>31</v>
      </c>
      <c r="U48" s="51" t="s">
        <v>32</v>
      </c>
    </row>
    <row r="49" spans="1:21" ht="18" customHeight="1" x14ac:dyDescent="0.2">
      <c r="A49" s="3"/>
      <c r="B49" s="131" t="s">
        <v>24</v>
      </c>
      <c r="C49" s="132"/>
      <c r="D49" s="132"/>
      <c r="E49" s="132"/>
      <c r="F49" s="133"/>
      <c r="G49" s="71">
        <v>1</v>
      </c>
      <c r="H49" s="71" t="s">
        <v>25</v>
      </c>
      <c r="I49" s="71" t="s">
        <v>25</v>
      </c>
      <c r="J49" s="71" t="s">
        <v>25</v>
      </c>
      <c r="K49" s="92"/>
      <c r="L49" s="93"/>
      <c r="M49" s="93"/>
      <c r="N49" s="93"/>
      <c r="O49" s="93"/>
      <c r="P49" s="93"/>
      <c r="Q49" s="94"/>
      <c r="R49" s="52"/>
      <c r="S49" s="52"/>
      <c r="T49" s="52"/>
      <c r="U49" s="52"/>
    </row>
    <row r="50" spans="1:21" ht="18" customHeight="1" x14ac:dyDescent="0.2">
      <c r="A50" s="3"/>
      <c r="B50" s="85" t="s">
        <v>33</v>
      </c>
      <c r="C50" s="86"/>
      <c r="D50" s="86"/>
      <c r="E50" s="86"/>
      <c r="F50" s="87"/>
      <c r="G50" s="53">
        <v>1</v>
      </c>
      <c r="H50" s="53" t="s">
        <v>25</v>
      </c>
      <c r="I50" s="53"/>
      <c r="J50" s="53"/>
      <c r="K50" s="85"/>
      <c r="L50" s="86"/>
      <c r="M50" s="86"/>
      <c r="N50" s="86"/>
      <c r="O50" s="86"/>
      <c r="P50" s="86"/>
      <c r="Q50" s="87"/>
      <c r="R50" s="53"/>
      <c r="S50" s="53"/>
      <c r="T50" s="53"/>
      <c r="U50" s="53"/>
    </row>
    <row r="51" spans="1:21" ht="18" customHeight="1" x14ac:dyDescent="0.2">
      <c r="A51" s="3"/>
      <c r="B51" s="85"/>
      <c r="C51" s="86"/>
      <c r="D51" s="86"/>
      <c r="E51" s="86"/>
      <c r="F51" s="87"/>
      <c r="G51" s="53"/>
      <c r="H51" s="53"/>
      <c r="I51" s="53"/>
      <c r="J51" s="53"/>
      <c r="K51" s="85"/>
      <c r="L51" s="86"/>
      <c r="M51" s="86"/>
      <c r="N51" s="86"/>
      <c r="O51" s="86"/>
      <c r="P51" s="86"/>
      <c r="Q51" s="87"/>
      <c r="R51" s="53"/>
      <c r="S51" s="53"/>
      <c r="T51" s="53"/>
      <c r="U51" s="53"/>
    </row>
    <row r="52" spans="1:21" ht="18" customHeight="1" x14ac:dyDescent="0.2">
      <c r="A52" s="3"/>
      <c r="B52" s="92" t="s">
        <v>66</v>
      </c>
      <c r="C52" s="93"/>
      <c r="D52" s="93"/>
      <c r="E52" s="93"/>
      <c r="F52" s="94"/>
      <c r="G52" s="52">
        <v>1</v>
      </c>
      <c r="H52" s="52" t="s">
        <v>25</v>
      </c>
      <c r="I52" s="52" t="s">
        <v>25</v>
      </c>
      <c r="J52" s="52"/>
      <c r="K52" s="85"/>
      <c r="L52" s="86"/>
      <c r="M52" s="86"/>
      <c r="N52" s="86"/>
      <c r="O52" s="86"/>
      <c r="P52" s="86"/>
      <c r="Q52" s="87"/>
      <c r="R52" s="53"/>
      <c r="S52" s="53"/>
      <c r="T52" s="53"/>
      <c r="U52" s="53"/>
    </row>
    <row r="53" spans="1:21" ht="18" customHeight="1" x14ac:dyDescent="0.2">
      <c r="A53" s="3"/>
      <c r="B53" s="85" t="s">
        <v>26</v>
      </c>
      <c r="C53" s="86"/>
      <c r="D53" s="86"/>
      <c r="E53" s="86"/>
      <c r="F53" s="87"/>
      <c r="G53" s="53">
        <v>1</v>
      </c>
      <c r="H53" s="53" t="s">
        <v>25</v>
      </c>
      <c r="I53" s="53" t="s">
        <v>25</v>
      </c>
      <c r="J53" s="53" t="s">
        <v>25</v>
      </c>
      <c r="K53" s="85"/>
      <c r="L53" s="86"/>
      <c r="M53" s="86"/>
      <c r="N53" s="86"/>
      <c r="O53" s="86"/>
      <c r="P53" s="86"/>
      <c r="Q53" s="87"/>
      <c r="R53" s="53"/>
      <c r="S53" s="53"/>
      <c r="T53" s="53"/>
      <c r="U53" s="53"/>
    </row>
    <row r="54" spans="1:21" ht="18" customHeight="1" x14ac:dyDescent="0.2">
      <c r="A54" s="3"/>
      <c r="B54" s="85" t="s">
        <v>68</v>
      </c>
      <c r="C54" s="86"/>
      <c r="D54" s="86"/>
      <c r="E54" s="86"/>
      <c r="F54" s="87"/>
      <c r="G54" s="53">
        <v>2</v>
      </c>
      <c r="H54" s="53" t="s">
        <v>25</v>
      </c>
      <c r="I54" s="53"/>
      <c r="J54" s="53"/>
      <c r="K54" s="85"/>
      <c r="L54" s="86"/>
      <c r="M54" s="86"/>
      <c r="N54" s="86"/>
      <c r="O54" s="86"/>
      <c r="P54" s="86"/>
      <c r="Q54" s="87"/>
      <c r="R54" s="53"/>
      <c r="S54" s="53"/>
      <c r="T54" s="53"/>
      <c r="U54" s="53"/>
    </row>
    <row r="55" spans="1:21" ht="18" customHeight="1" x14ac:dyDescent="0.2">
      <c r="A55" s="3"/>
      <c r="B55" s="88"/>
      <c r="C55" s="89"/>
      <c r="D55" s="89"/>
      <c r="E55" s="89"/>
      <c r="F55" s="90"/>
      <c r="G55" s="54"/>
      <c r="H55" s="54"/>
      <c r="I55" s="55"/>
      <c r="J55" s="55"/>
      <c r="K55" s="88"/>
      <c r="L55" s="89"/>
      <c r="M55" s="89"/>
      <c r="N55" s="89"/>
      <c r="O55" s="89"/>
      <c r="P55" s="89"/>
      <c r="Q55" s="90"/>
      <c r="R55" s="54"/>
      <c r="S55" s="54"/>
      <c r="T55" s="55"/>
      <c r="U55" s="55"/>
    </row>
    <row r="56" spans="1:21" ht="7.5" customHeight="1" x14ac:dyDescent="0.2">
      <c r="B56" s="82"/>
      <c r="C56" s="82"/>
      <c r="D56" s="82"/>
      <c r="E56" s="82"/>
      <c r="F56" s="82"/>
      <c r="G56" s="82"/>
      <c r="H56" s="82"/>
      <c r="I56" s="82"/>
      <c r="J56" s="82"/>
      <c r="K56" s="82"/>
      <c r="L56" s="82"/>
      <c r="M56" s="82"/>
      <c r="N56" s="82"/>
      <c r="O56" s="82"/>
      <c r="P56" s="82"/>
      <c r="Q56" s="82"/>
      <c r="R56" s="82"/>
      <c r="S56" s="82"/>
      <c r="T56" s="82"/>
    </row>
    <row r="57" spans="1:21" ht="18" customHeight="1" x14ac:dyDescent="0.2">
      <c r="A57" s="91" t="s">
        <v>34</v>
      </c>
      <c r="B57" s="91"/>
      <c r="C57" s="91"/>
      <c r="D57" s="91"/>
      <c r="E57" s="91"/>
      <c r="F57" s="91"/>
      <c r="G57" s="91"/>
      <c r="H57" s="91"/>
      <c r="I57" s="91"/>
      <c r="J57" s="91"/>
      <c r="K57" s="91"/>
      <c r="L57" s="91"/>
      <c r="M57" s="91"/>
      <c r="N57" s="91"/>
      <c r="O57" s="91"/>
      <c r="P57" s="91"/>
      <c r="Q57" s="91"/>
      <c r="R57" s="91"/>
      <c r="S57" s="91"/>
      <c r="T57" s="91"/>
      <c r="U57" s="91"/>
    </row>
    <row r="58" spans="1:21" ht="18" customHeight="1" x14ac:dyDescent="0.2">
      <c r="A58" s="91"/>
      <c r="B58" s="91"/>
      <c r="C58" s="91"/>
      <c r="D58" s="91"/>
      <c r="E58" s="91"/>
      <c r="F58" s="91"/>
      <c r="G58" s="91"/>
      <c r="H58" s="91"/>
      <c r="I58" s="91"/>
      <c r="J58" s="91"/>
      <c r="K58" s="91"/>
      <c r="L58" s="91"/>
      <c r="M58" s="91"/>
      <c r="N58" s="91"/>
      <c r="O58" s="91"/>
      <c r="P58" s="91"/>
      <c r="Q58" s="91"/>
      <c r="R58" s="91"/>
      <c r="S58" s="91"/>
      <c r="T58" s="91"/>
      <c r="U58" s="91"/>
    </row>
    <row r="59" spans="1:21" ht="18" customHeight="1" x14ac:dyDescent="0.2">
      <c r="B59" s="98" t="s">
        <v>19</v>
      </c>
      <c r="C59" s="99"/>
      <c r="D59" s="99"/>
      <c r="E59" s="99"/>
      <c r="F59" s="100"/>
      <c r="G59" s="49" t="s">
        <v>20</v>
      </c>
      <c r="H59" s="50" t="s">
        <v>21</v>
      </c>
      <c r="I59" s="51" t="s">
        <v>35</v>
      </c>
      <c r="J59" s="51" t="s">
        <v>36</v>
      </c>
      <c r="K59" s="98" t="s">
        <v>19</v>
      </c>
      <c r="L59" s="99"/>
      <c r="M59" s="99"/>
      <c r="N59" s="99"/>
      <c r="O59" s="99"/>
      <c r="P59" s="99"/>
      <c r="Q59" s="100"/>
      <c r="R59" s="49" t="s">
        <v>20</v>
      </c>
      <c r="S59" s="50" t="s">
        <v>21</v>
      </c>
      <c r="T59" s="51" t="s">
        <v>35</v>
      </c>
      <c r="U59" s="51" t="s">
        <v>36</v>
      </c>
    </row>
    <row r="60" spans="1:21" ht="18" customHeight="1" x14ac:dyDescent="0.2">
      <c r="A60" s="3"/>
      <c r="B60" s="131" t="s">
        <v>24</v>
      </c>
      <c r="C60" s="132"/>
      <c r="D60" s="132"/>
      <c r="E60" s="132"/>
      <c r="F60" s="133"/>
      <c r="G60" s="52">
        <v>1</v>
      </c>
      <c r="H60" s="52" t="s">
        <v>25</v>
      </c>
      <c r="I60" s="52" t="s">
        <v>25</v>
      </c>
      <c r="J60" s="52" t="s">
        <v>25</v>
      </c>
      <c r="K60" s="92"/>
      <c r="L60" s="93"/>
      <c r="M60" s="93"/>
      <c r="N60" s="93"/>
      <c r="O60" s="93"/>
      <c r="P60" s="93"/>
      <c r="Q60" s="94"/>
      <c r="R60" s="52"/>
      <c r="S60" s="52"/>
      <c r="T60" s="52"/>
      <c r="U60" s="52"/>
    </row>
    <row r="61" spans="1:21" ht="18" customHeight="1" x14ac:dyDescent="0.2">
      <c r="A61" s="3"/>
      <c r="B61" s="85" t="s">
        <v>33</v>
      </c>
      <c r="C61" s="86"/>
      <c r="D61" s="86"/>
      <c r="E61" s="86"/>
      <c r="F61" s="87"/>
      <c r="G61" s="53">
        <v>1</v>
      </c>
      <c r="H61" s="53" t="s">
        <v>25</v>
      </c>
      <c r="I61" s="53" t="s">
        <v>25</v>
      </c>
      <c r="J61" s="53" t="s">
        <v>25</v>
      </c>
      <c r="K61" s="85"/>
      <c r="L61" s="86"/>
      <c r="M61" s="86"/>
      <c r="N61" s="86"/>
      <c r="O61" s="86"/>
      <c r="P61" s="86"/>
      <c r="Q61" s="87"/>
      <c r="R61" s="53"/>
      <c r="S61" s="53"/>
      <c r="T61" s="53"/>
      <c r="U61" s="53"/>
    </row>
    <row r="62" spans="1:21" ht="18" customHeight="1" x14ac:dyDescent="0.2">
      <c r="A62" s="3"/>
      <c r="B62" s="85"/>
      <c r="C62" s="86"/>
      <c r="D62" s="86"/>
      <c r="E62" s="86"/>
      <c r="F62" s="87"/>
      <c r="G62" s="53"/>
      <c r="H62" s="53"/>
      <c r="I62" s="53"/>
      <c r="J62" s="53"/>
      <c r="K62" s="85"/>
      <c r="L62" s="86"/>
      <c r="M62" s="86"/>
      <c r="N62" s="86"/>
      <c r="O62" s="86"/>
      <c r="P62" s="86"/>
      <c r="Q62" s="87"/>
      <c r="R62" s="53"/>
      <c r="S62" s="53"/>
      <c r="T62" s="53"/>
      <c r="U62" s="53"/>
    </row>
    <row r="63" spans="1:21" ht="18" customHeight="1" x14ac:dyDescent="0.2">
      <c r="A63" s="3"/>
      <c r="B63" s="92" t="s">
        <v>66</v>
      </c>
      <c r="C63" s="93"/>
      <c r="D63" s="93"/>
      <c r="E63" s="93"/>
      <c r="F63" s="94"/>
      <c r="G63" s="52">
        <v>1</v>
      </c>
      <c r="H63" s="52" t="s">
        <v>25</v>
      </c>
      <c r="I63" s="52"/>
      <c r="J63" s="52"/>
      <c r="K63" s="85"/>
      <c r="L63" s="86"/>
      <c r="M63" s="86"/>
      <c r="N63" s="86"/>
      <c r="O63" s="86"/>
      <c r="P63" s="86"/>
      <c r="Q63" s="87"/>
      <c r="R63" s="53"/>
      <c r="S63" s="53"/>
      <c r="T63" s="53"/>
      <c r="U63" s="53"/>
    </row>
    <row r="64" spans="1:21" ht="18" customHeight="1" x14ac:dyDescent="0.2">
      <c r="A64" s="3"/>
      <c r="B64" s="85" t="s">
        <v>26</v>
      </c>
      <c r="C64" s="86"/>
      <c r="D64" s="86"/>
      <c r="E64" s="86"/>
      <c r="F64" s="87"/>
      <c r="G64" s="53">
        <v>1</v>
      </c>
      <c r="H64" s="53" t="s">
        <v>25</v>
      </c>
      <c r="I64" s="53" t="s">
        <v>25</v>
      </c>
      <c r="J64" s="53" t="s">
        <v>25</v>
      </c>
      <c r="K64" s="85"/>
      <c r="L64" s="86"/>
      <c r="M64" s="86"/>
      <c r="N64" s="86"/>
      <c r="O64" s="86"/>
      <c r="P64" s="86"/>
      <c r="Q64" s="87"/>
      <c r="R64" s="53"/>
      <c r="S64" s="53"/>
      <c r="T64" s="53"/>
      <c r="U64" s="53"/>
    </row>
    <row r="65" spans="1:27" ht="18" customHeight="1" x14ac:dyDescent="0.2">
      <c r="A65" s="3"/>
      <c r="B65" s="85" t="s">
        <v>68</v>
      </c>
      <c r="C65" s="86"/>
      <c r="D65" s="86"/>
      <c r="E65" s="86"/>
      <c r="F65" s="87"/>
      <c r="G65" s="53">
        <v>2</v>
      </c>
      <c r="H65" s="53" t="s">
        <v>25</v>
      </c>
      <c r="I65" s="53"/>
      <c r="J65" s="53"/>
      <c r="K65" s="85"/>
      <c r="L65" s="86"/>
      <c r="M65" s="86"/>
      <c r="N65" s="86"/>
      <c r="O65" s="86"/>
      <c r="P65" s="86"/>
      <c r="Q65" s="87"/>
      <c r="R65" s="53"/>
      <c r="S65" s="53"/>
      <c r="T65" s="53"/>
      <c r="U65" s="53"/>
    </row>
    <row r="66" spans="1:27" ht="18" customHeight="1" x14ac:dyDescent="0.2">
      <c r="A66" s="3"/>
      <c r="B66" s="88"/>
      <c r="C66" s="89"/>
      <c r="D66" s="89"/>
      <c r="E66" s="89"/>
      <c r="F66" s="90"/>
      <c r="G66" s="54"/>
      <c r="H66" s="54"/>
      <c r="I66" s="55"/>
      <c r="J66" s="55"/>
      <c r="K66" s="88"/>
      <c r="L66" s="89"/>
      <c r="M66" s="89"/>
      <c r="N66" s="89"/>
      <c r="O66" s="89"/>
      <c r="P66" s="89"/>
      <c r="Q66" s="90"/>
      <c r="R66" s="54"/>
      <c r="S66" s="54"/>
      <c r="T66" s="55"/>
      <c r="U66" s="55"/>
    </row>
    <row r="67" spans="1:27" ht="7.5" customHeight="1" x14ac:dyDescent="0.2">
      <c r="B67" s="82"/>
      <c r="C67" s="82"/>
      <c r="D67" s="82"/>
      <c r="E67" s="82"/>
      <c r="F67" s="82"/>
      <c r="G67" s="82"/>
      <c r="H67" s="82"/>
      <c r="I67" s="82"/>
      <c r="J67" s="82"/>
      <c r="K67" s="82"/>
      <c r="L67" s="82"/>
      <c r="M67" s="82"/>
      <c r="N67" s="82"/>
      <c r="O67" s="82"/>
      <c r="P67" s="82"/>
      <c r="Q67" s="82"/>
      <c r="R67" s="82"/>
      <c r="S67" s="82"/>
      <c r="T67" s="82"/>
    </row>
    <row r="68" spans="1:27" ht="18" customHeight="1" x14ac:dyDescent="0.2">
      <c r="A68" s="91" t="s">
        <v>37</v>
      </c>
      <c r="B68" s="91"/>
      <c r="C68" s="91"/>
      <c r="D68" s="91"/>
      <c r="E68" s="91"/>
      <c r="F68" s="91"/>
      <c r="G68" s="91"/>
      <c r="H68" s="91"/>
      <c r="I68" s="91"/>
      <c r="J68" s="91"/>
      <c r="K68" s="91"/>
      <c r="L68" s="91"/>
      <c r="M68" s="91"/>
      <c r="N68" s="91"/>
      <c r="O68" s="91"/>
      <c r="P68" s="91"/>
      <c r="Q68" s="91"/>
      <c r="R68" s="91"/>
      <c r="S68" s="91"/>
      <c r="T68" s="91"/>
      <c r="U68" s="91"/>
    </row>
    <row r="69" spans="1:27" ht="18" customHeight="1" x14ac:dyDescent="0.2">
      <c r="A69" s="91"/>
      <c r="B69" s="91"/>
      <c r="C69" s="91"/>
      <c r="D69" s="91"/>
      <c r="E69" s="91"/>
      <c r="F69" s="91"/>
      <c r="G69" s="91"/>
      <c r="H69" s="91"/>
      <c r="I69" s="91"/>
      <c r="J69" s="91"/>
      <c r="K69" s="91"/>
      <c r="L69" s="91"/>
      <c r="M69" s="91"/>
      <c r="N69" s="91"/>
      <c r="O69" s="91"/>
      <c r="P69" s="91"/>
      <c r="Q69" s="91"/>
      <c r="R69" s="91"/>
      <c r="S69" s="91"/>
      <c r="T69" s="91"/>
      <c r="U69" s="91"/>
    </row>
    <row r="70" spans="1:27" ht="18" customHeight="1" x14ac:dyDescent="0.2">
      <c r="B70" s="98" t="s">
        <v>19</v>
      </c>
      <c r="C70" s="99"/>
      <c r="D70" s="99"/>
      <c r="E70" s="99"/>
      <c r="F70" s="49" t="s">
        <v>20</v>
      </c>
      <c r="G70" s="50" t="s">
        <v>21</v>
      </c>
      <c r="H70" s="51" t="s">
        <v>38</v>
      </c>
      <c r="I70" s="51" t="s">
        <v>39</v>
      </c>
      <c r="J70" s="51" t="s">
        <v>40</v>
      </c>
      <c r="K70" s="98" t="s">
        <v>19</v>
      </c>
      <c r="L70" s="99"/>
      <c r="M70" s="99"/>
      <c r="N70" s="99"/>
      <c r="O70" s="99"/>
      <c r="P70" s="100"/>
      <c r="Q70" s="49" t="s">
        <v>20</v>
      </c>
      <c r="R70" s="50" t="s">
        <v>21</v>
      </c>
      <c r="S70" s="51" t="s">
        <v>38</v>
      </c>
      <c r="T70" s="51" t="s">
        <v>39</v>
      </c>
      <c r="U70" s="51" t="s">
        <v>40</v>
      </c>
    </row>
    <row r="71" spans="1:27" ht="18" customHeight="1" x14ac:dyDescent="0.2">
      <c r="A71" s="3"/>
      <c r="B71" s="92" t="s">
        <v>24</v>
      </c>
      <c r="C71" s="93"/>
      <c r="D71" s="93"/>
      <c r="E71" s="93"/>
      <c r="F71" s="52">
        <v>1</v>
      </c>
      <c r="G71" s="52" t="s">
        <v>25</v>
      </c>
      <c r="H71" s="52" t="s">
        <v>25</v>
      </c>
      <c r="I71" s="52" t="s">
        <v>25</v>
      </c>
      <c r="J71" s="52" t="s">
        <v>25</v>
      </c>
      <c r="K71" s="92"/>
      <c r="L71" s="93"/>
      <c r="M71" s="93"/>
      <c r="N71" s="93"/>
      <c r="O71" s="93"/>
      <c r="P71" s="94"/>
      <c r="Q71" s="52"/>
      <c r="R71" s="52"/>
      <c r="S71" s="52"/>
      <c r="T71" s="52"/>
      <c r="U71" s="52"/>
    </row>
    <row r="72" spans="1:27" ht="18" customHeight="1" x14ac:dyDescent="0.2">
      <c r="A72" s="3"/>
      <c r="B72" s="85" t="s">
        <v>26</v>
      </c>
      <c r="C72" s="86"/>
      <c r="D72" s="86"/>
      <c r="E72" s="86"/>
      <c r="F72" s="53">
        <v>1</v>
      </c>
      <c r="G72" s="53" t="s">
        <v>25</v>
      </c>
      <c r="H72" s="53" t="s">
        <v>25</v>
      </c>
      <c r="I72" s="53" t="s">
        <v>25</v>
      </c>
      <c r="J72" s="53" t="s">
        <v>25</v>
      </c>
      <c r="K72" s="85"/>
      <c r="L72" s="86"/>
      <c r="M72" s="86"/>
      <c r="N72" s="86"/>
      <c r="O72" s="86"/>
      <c r="P72" s="87"/>
      <c r="Q72" s="53"/>
      <c r="R72" s="53"/>
      <c r="S72" s="53"/>
      <c r="T72" s="53"/>
      <c r="U72" s="53"/>
    </row>
    <row r="73" spans="1:27" ht="18" customHeight="1" x14ac:dyDescent="0.2">
      <c r="A73" s="3"/>
      <c r="B73" s="85"/>
      <c r="C73" s="86"/>
      <c r="D73" s="86"/>
      <c r="E73" s="86"/>
      <c r="F73" s="53"/>
      <c r="G73" s="53"/>
      <c r="H73" s="53"/>
      <c r="I73" s="53"/>
      <c r="J73" s="53"/>
      <c r="K73" s="85"/>
      <c r="L73" s="86"/>
      <c r="M73" s="86"/>
      <c r="N73" s="86"/>
      <c r="O73" s="86"/>
      <c r="P73" s="87"/>
      <c r="Q73" s="53"/>
      <c r="R73" s="53"/>
      <c r="S73" s="53"/>
      <c r="T73" s="53"/>
      <c r="U73" s="53"/>
    </row>
    <row r="74" spans="1:27" ht="18" customHeight="1" x14ac:dyDescent="0.2">
      <c r="A74" s="3"/>
      <c r="B74" s="92" t="s">
        <v>66</v>
      </c>
      <c r="C74" s="93"/>
      <c r="D74" s="93"/>
      <c r="E74" s="93"/>
      <c r="F74" s="52">
        <v>1</v>
      </c>
      <c r="G74" s="52" t="s">
        <v>25</v>
      </c>
      <c r="H74" s="52" t="s">
        <v>25</v>
      </c>
      <c r="I74" s="52" t="s">
        <v>25</v>
      </c>
      <c r="J74" s="52" t="s">
        <v>25</v>
      </c>
      <c r="K74" s="85"/>
      <c r="L74" s="86"/>
      <c r="M74" s="86"/>
      <c r="N74" s="86"/>
      <c r="O74" s="86"/>
      <c r="P74" s="87"/>
      <c r="Q74" s="53"/>
      <c r="R74" s="53"/>
      <c r="S74" s="53"/>
      <c r="T74" s="53"/>
      <c r="U74" s="53"/>
    </row>
    <row r="75" spans="1:27" ht="18" customHeight="1" x14ac:dyDescent="0.2">
      <c r="A75" s="3"/>
      <c r="B75" s="85" t="s">
        <v>26</v>
      </c>
      <c r="C75" s="86"/>
      <c r="D75" s="86"/>
      <c r="E75" s="86"/>
      <c r="F75" s="53">
        <v>1</v>
      </c>
      <c r="G75" s="53" t="s">
        <v>25</v>
      </c>
      <c r="H75" s="53" t="s">
        <v>25</v>
      </c>
      <c r="I75" s="53" t="s">
        <v>25</v>
      </c>
      <c r="J75" s="53"/>
      <c r="K75" s="85"/>
      <c r="L75" s="86"/>
      <c r="M75" s="86"/>
      <c r="N75" s="86"/>
      <c r="O75" s="86"/>
      <c r="P75" s="87"/>
      <c r="Q75" s="53"/>
      <c r="R75" s="53"/>
      <c r="S75" s="53"/>
      <c r="T75" s="53"/>
      <c r="U75" s="53"/>
    </row>
    <row r="76" spans="1:27" ht="18" customHeight="1" x14ac:dyDescent="0.2">
      <c r="A76" s="3"/>
      <c r="B76" s="85" t="s">
        <v>68</v>
      </c>
      <c r="C76" s="86"/>
      <c r="D76" s="86"/>
      <c r="E76" s="86"/>
      <c r="F76" s="53">
        <v>2</v>
      </c>
      <c r="G76" s="53" t="s">
        <v>25</v>
      </c>
      <c r="H76" s="53" t="s">
        <v>25</v>
      </c>
      <c r="I76" s="53" t="s">
        <v>25</v>
      </c>
      <c r="J76" s="53" t="s">
        <v>25</v>
      </c>
      <c r="K76" s="85"/>
      <c r="L76" s="86"/>
      <c r="M76" s="86"/>
      <c r="N76" s="86"/>
      <c r="O76" s="86"/>
      <c r="P76" s="87"/>
      <c r="Q76" s="53"/>
      <c r="R76" s="53"/>
      <c r="S76" s="53"/>
      <c r="T76" s="53"/>
      <c r="U76" s="53"/>
    </row>
    <row r="77" spans="1:27" ht="18" customHeight="1" x14ac:dyDescent="0.2">
      <c r="A77" s="3"/>
      <c r="B77" s="88"/>
      <c r="C77" s="89"/>
      <c r="D77" s="89"/>
      <c r="E77" s="89"/>
      <c r="F77" s="54"/>
      <c r="G77" s="54"/>
      <c r="H77" s="55"/>
      <c r="I77" s="55"/>
      <c r="J77" s="55"/>
      <c r="K77" s="88"/>
      <c r="L77" s="89"/>
      <c r="M77" s="89"/>
      <c r="N77" s="89"/>
      <c r="O77" s="89"/>
      <c r="P77" s="90"/>
      <c r="Q77" s="54"/>
      <c r="R77" s="54"/>
      <c r="S77" s="55"/>
      <c r="T77" s="55"/>
      <c r="U77" s="55"/>
    </row>
    <row r="78" spans="1:27" ht="7.5" customHeight="1" x14ac:dyDescent="0.2">
      <c r="B78" s="82"/>
      <c r="C78" s="82"/>
      <c r="D78" s="82"/>
      <c r="E78" s="82"/>
      <c r="F78" s="82"/>
      <c r="G78" s="82"/>
      <c r="H78" s="82"/>
      <c r="I78" s="82"/>
      <c r="J78" s="82"/>
      <c r="K78" s="82"/>
      <c r="L78" s="82"/>
      <c r="M78" s="82"/>
      <c r="N78" s="82"/>
      <c r="O78" s="82"/>
      <c r="P78" s="82"/>
      <c r="Q78" s="82"/>
      <c r="R78" s="82"/>
      <c r="S78" s="82"/>
      <c r="T78" s="82"/>
    </row>
    <row r="79" spans="1:27" ht="18" customHeight="1" x14ac:dyDescent="0.2">
      <c r="A79" s="1" t="s">
        <v>41</v>
      </c>
      <c r="I79" s="3"/>
      <c r="J79" s="3"/>
      <c r="K79" s="3"/>
      <c r="L79" s="3"/>
      <c r="M79" s="3"/>
      <c r="N79" s="3"/>
      <c r="O79" s="3"/>
      <c r="P79" s="3"/>
      <c r="Q79" s="3"/>
      <c r="R79" s="3"/>
      <c r="S79" s="3"/>
      <c r="T79" s="3"/>
      <c r="U79" s="3"/>
    </row>
    <row r="80" spans="1:27" ht="18" customHeight="1" x14ac:dyDescent="0.2">
      <c r="B80" s="98" t="s">
        <v>19</v>
      </c>
      <c r="C80" s="99"/>
      <c r="D80" s="99"/>
      <c r="E80" s="99"/>
      <c r="F80" s="100"/>
      <c r="G80" s="98" t="s">
        <v>42</v>
      </c>
      <c r="H80" s="99"/>
      <c r="I80" s="99"/>
      <c r="J80" s="100"/>
      <c r="K80" s="109" t="s">
        <v>19</v>
      </c>
      <c r="L80" s="110"/>
      <c r="M80" s="110"/>
      <c r="N80" s="110"/>
      <c r="O80" s="110"/>
      <c r="P80" s="110"/>
      <c r="Q80" s="111"/>
      <c r="R80" s="98" t="s">
        <v>42</v>
      </c>
      <c r="S80" s="99"/>
      <c r="T80" s="99"/>
      <c r="U80" s="100"/>
      <c r="AA80" s="1" t="s">
        <v>43</v>
      </c>
    </row>
    <row r="81" spans="1:27" ht="18" customHeight="1" x14ac:dyDescent="0.2">
      <c r="A81" s="3"/>
      <c r="B81" s="92" t="s">
        <v>24</v>
      </c>
      <c r="C81" s="93"/>
      <c r="D81" s="93"/>
      <c r="E81" s="93"/>
      <c r="F81" s="94"/>
      <c r="G81" s="101" t="s">
        <v>44</v>
      </c>
      <c r="H81" s="102"/>
      <c r="I81" s="102"/>
      <c r="J81" s="103"/>
      <c r="K81" s="92"/>
      <c r="L81" s="93"/>
      <c r="M81" s="93"/>
      <c r="N81" s="93"/>
      <c r="O81" s="93"/>
      <c r="P81" s="93"/>
      <c r="Q81" s="94"/>
      <c r="R81" s="95"/>
      <c r="S81" s="96"/>
      <c r="T81" s="96"/>
      <c r="U81" s="97"/>
      <c r="AA81" s="1" t="s">
        <v>45</v>
      </c>
    </row>
    <row r="82" spans="1:27" ht="18" customHeight="1" x14ac:dyDescent="0.2">
      <c r="A82" s="3"/>
      <c r="B82" s="85"/>
      <c r="C82" s="86"/>
      <c r="D82" s="86"/>
      <c r="E82" s="86"/>
      <c r="F82" s="87"/>
      <c r="G82" s="106"/>
      <c r="H82" s="107"/>
      <c r="I82" s="107"/>
      <c r="J82" s="108"/>
      <c r="K82" s="85"/>
      <c r="L82" s="86"/>
      <c r="M82" s="86"/>
      <c r="N82" s="86"/>
      <c r="O82" s="86"/>
      <c r="P82" s="86"/>
      <c r="Q82" s="87"/>
      <c r="R82" s="106"/>
      <c r="S82" s="107"/>
      <c r="T82" s="107"/>
      <c r="U82" s="108"/>
      <c r="AA82" s="1" t="s">
        <v>46</v>
      </c>
    </row>
    <row r="83" spans="1:27" ht="18" customHeight="1" x14ac:dyDescent="0.2">
      <c r="A83" s="3"/>
      <c r="B83" s="92" t="s">
        <v>66</v>
      </c>
      <c r="C83" s="93"/>
      <c r="D83" s="93"/>
      <c r="E83" s="93"/>
      <c r="F83" s="94"/>
      <c r="G83" s="101" t="s">
        <v>69</v>
      </c>
      <c r="H83" s="102"/>
      <c r="I83" s="102"/>
      <c r="J83" s="103"/>
      <c r="K83" s="85"/>
      <c r="L83" s="86"/>
      <c r="M83" s="86"/>
      <c r="N83" s="86"/>
      <c r="O83" s="86"/>
      <c r="P83" s="86"/>
      <c r="Q83" s="87"/>
      <c r="R83" s="106"/>
      <c r="S83" s="107"/>
      <c r="T83" s="107"/>
      <c r="U83" s="108"/>
      <c r="AA83" s="1" t="s">
        <v>47</v>
      </c>
    </row>
    <row r="84" spans="1:27" ht="18" customHeight="1" x14ac:dyDescent="0.2">
      <c r="A84" s="3"/>
      <c r="B84" s="85"/>
      <c r="C84" s="86"/>
      <c r="D84" s="86"/>
      <c r="E84" s="86"/>
      <c r="F84" s="87"/>
      <c r="G84" s="106"/>
      <c r="H84" s="107"/>
      <c r="I84" s="107"/>
      <c r="J84" s="108"/>
      <c r="K84" s="85"/>
      <c r="L84" s="86"/>
      <c r="M84" s="86"/>
      <c r="N84" s="86"/>
      <c r="O84" s="86"/>
      <c r="P84" s="86"/>
      <c r="Q84" s="87"/>
      <c r="R84" s="106"/>
      <c r="S84" s="107"/>
      <c r="T84" s="107"/>
      <c r="U84" s="108"/>
      <c r="AA84" s="1" t="s">
        <v>48</v>
      </c>
    </row>
    <row r="85" spans="1:27" ht="18" customHeight="1" x14ac:dyDescent="0.2">
      <c r="A85" s="3"/>
      <c r="B85" s="85"/>
      <c r="C85" s="86"/>
      <c r="D85" s="86"/>
      <c r="E85" s="86"/>
      <c r="F85" s="87"/>
      <c r="G85" s="106"/>
      <c r="H85" s="107"/>
      <c r="I85" s="107"/>
      <c r="J85" s="108"/>
      <c r="K85" s="85"/>
      <c r="L85" s="86"/>
      <c r="M85" s="86"/>
      <c r="N85" s="86"/>
      <c r="O85" s="86"/>
      <c r="P85" s="86"/>
      <c r="Q85" s="87"/>
      <c r="R85" s="106"/>
      <c r="S85" s="107"/>
      <c r="T85" s="107"/>
      <c r="U85" s="108"/>
      <c r="AA85" s="1" t="s">
        <v>49</v>
      </c>
    </row>
    <row r="86" spans="1:27" ht="18" customHeight="1" x14ac:dyDescent="0.2">
      <c r="A86" s="3"/>
      <c r="B86" s="85"/>
      <c r="C86" s="86"/>
      <c r="D86" s="86"/>
      <c r="E86" s="86"/>
      <c r="F86" s="87"/>
      <c r="G86" s="106"/>
      <c r="H86" s="107"/>
      <c r="I86" s="107"/>
      <c r="J86" s="108"/>
      <c r="K86" s="85"/>
      <c r="L86" s="86"/>
      <c r="M86" s="86"/>
      <c r="N86" s="86"/>
      <c r="O86" s="86"/>
      <c r="P86" s="86"/>
      <c r="Q86" s="87"/>
      <c r="R86" s="106"/>
      <c r="S86" s="107"/>
      <c r="T86" s="107"/>
      <c r="U86" s="108"/>
      <c r="AA86" s="1" t="s">
        <v>50</v>
      </c>
    </row>
    <row r="87" spans="1:27" ht="18" customHeight="1" x14ac:dyDescent="0.2">
      <c r="A87" s="3"/>
      <c r="B87" s="88"/>
      <c r="C87" s="89"/>
      <c r="D87" s="89"/>
      <c r="E87" s="89"/>
      <c r="F87" s="90"/>
      <c r="G87" s="125"/>
      <c r="H87" s="126"/>
      <c r="I87" s="126"/>
      <c r="J87" s="127"/>
      <c r="K87" s="88"/>
      <c r="L87" s="89"/>
      <c r="M87" s="89"/>
      <c r="N87" s="89"/>
      <c r="O87" s="89"/>
      <c r="P87" s="89"/>
      <c r="Q87" s="90"/>
      <c r="R87" s="125"/>
      <c r="S87" s="126"/>
      <c r="T87" s="126"/>
      <c r="U87" s="127"/>
      <c r="AA87" s="1" t="s">
        <v>51</v>
      </c>
    </row>
    <row r="88" spans="1:27" ht="18" customHeight="1" x14ac:dyDescent="0.2">
      <c r="A88" s="3"/>
      <c r="B88" s="5"/>
      <c r="C88" s="5"/>
      <c r="D88" s="5"/>
      <c r="E88" s="5"/>
      <c r="F88" s="5"/>
      <c r="G88" s="56"/>
      <c r="H88" s="56"/>
      <c r="I88" s="56"/>
      <c r="J88" s="56"/>
      <c r="K88" s="5"/>
      <c r="L88" s="5"/>
      <c r="M88" s="5"/>
      <c r="N88" s="5"/>
      <c r="O88" s="5"/>
      <c r="P88" s="5"/>
      <c r="Q88" s="5"/>
      <c r="R88" s="56"/>
      <c r="S88" s="56"/>
      <c r="T88" s="56"/>
      <c r="U88" s="56"/>
      <c r="AA88" s="1" t="s">
        <v>52</v>
      </c>
    </row>
    <row r="89" spans="1:27" ht="18.75" customHeight="1" x14ac:dyDescent="0.2">
      <c r="A89" s="1" t="s">
        <v>53</v>
      </c>
      <c r="AA89" s="1" t="s">
        <v>54</v>
      </c>
    </row>
    <row r="90" spans="1:27" ht="18.75" customHeight="1" x14ac:dyDescent="0.2">
      <c r="B90" s="129" t="s">
        <v>55</v>
      </c>
      <c r="C90" s="130"/>
      <c r="D90" s="98" t="s">
        <v>56</v>
      </c>
      <c r="E90" s="99"/>
      <c r="F90" s="99"/>
      <c r="G90" s="99"/>
      <c r="H90" s="99"/>
      <c r="I90" s="99"/>
      <c r="J90" s="99"/>
      <c r="K90" s="99"/>
      <c r="L90" s="99"/>
      <c r="M90" s="99"/>
      <c r="N90" s="99"/>
      <c r="O90" s="99"/>
      <c r="P90" s="99"/>
      <c r="Q90" s="99"/>
      <c r="R90" s="99"/>
      <c r="S90" s="99"/>
      <c r="T90" s="99"/>
      <c r="U90" s="100"/>
    </row>
    <row r="91" spans="1:27" ht="146.25" customHeight="1" x14ac:dyDescent="0.2">
      <c r="B91" s="104" t="s">
        <v>57</v>
      </c>
      <c r="C91" s="57" t="s">
        <v>22</v>
      </c>
      <c r="D91" s="138" t="s">
        <v>182</v>
      </c>
      <c r="E91" s="139"/>
      <c r="F91" s="139"/>
      <c r="G91" s="139"/>
      <c r="H91" s="139"/>
      <c r="I91" s="139"/>
      <c r="J91" s="139"/>
      <c r="K91" s="139"/>
      <c r="L91" s="139"/>
      <c r="M91" s="139"/>
      <c r="N91" s="139"/>
      <c r="O91" s="139"/>
      <c r="P91" s="139"/>
      <c r="Q91" s="139"/>
      <c r="R91" s="139"/>
      <c r="S91" s="139"/>
      <c r="T91" s="139"/>
      <c r="U91" s="140"/>
    </row>
    <row r="92" spans="1:27" ht="97.5" customHeight="1" x14ac:dyDescent="0.2">
      <c r="B92" s="128"/>
      <c r="C92" s="58" t="s">
        <v>58</v>
      </c>
      <c r="D92" s="135" t="s">
        <v>183</v>
      </c>
      <c r="E92" s="136"/>
      <c r="F92" s="136"/>
      <c r="G92" s="136"/>
      <c r="H92" s="136"/>
      <c r="I92" s="136"/>
      <c r="J92" s="136"/>
      <c r="K92" s="136"/>
      <c r="L92" s="136"/>
      <c r="M92" s="136"/>
      <c r="N92" s="136"/>
      <c r="O92" s="136"/>
      <c r="P92" s="136"/>
      <c r="Q92" s="136"/>
      <c r="R92" s="136"/>
      <c r="S92" s="136"/>
      <c r="T92" s="136"/>
      <c r="U92" s="137"/>
    </row>
    <row r="93" spans="1:27" ht="132.75" customHeight="1" x14ac:dyDescent="0.2">
      <c r="B93" s="104" t="s">
        <v>59</v>
      </c>
      <c r="C93" s="59" t="s">
        <v>28</v>
      </c>
      <c r="D93" s="138" t="s">
        <v>184</v>
      </c>
      <c r="E93" s="139"/>
      <c r="F93" s="139"/>
      <c r="G93" s="139"/>
      <c r="H93" s="139"/>
      <c r="I93" s="139"/>
      <c r="J93" s="139"/>
      <c r="K93" s="139"/>
      <c r="L93" s="139"/>
      <c r="M93" s="139"/>
      <c r="N93" s="139"/>
      <c r="O93" s="139"/>
      <c r="P93" s="139"/>
      <c r="Q93" s="139"/>
      <c r="R93" s="139"/>
      <c r="S93" s="139"/>
      <c r="T93" s="139"/>
      <c r="U93" s="140"/>
    </row>
    <row r="94" spans="1:27" ht="114" customHeight="1" x14ac:dyDescent="0.2">
      <c r="B94" s="105"/>
      <c r="C94" s="60" t="s">
        <v>29</v>
      </c>
      <c r="D94" s="135" t="s">
        <v>185</v>
      </c>
      <c r="E94" s="136"/>
      <c r="F94" s="136"/>
      <c r="G94" s="136"/>
      <c r="H94" s="136"/>
      <c r="I94" s="136"/>
      <c r="J94" s="136"/>
      <c r="K94" s="136"/>
      <c r="L94" s="136"/>
      <c r="M94" s="136"/>
      <c r="N94" s="136"/>
      <c r="O94" s="136"/>
      <c r="P94" s="136"/>
      <c r="Q94" s="136"/>
      <c r="R94" s="136"/>
      <c r="S94" s="136"/>
      <c r="T94" s="136"/>
      <c r="U94" s="137"/>
    </row>
    <row r="95" spans="1:27" ht="127.5" customHeight="1" x14ac:dyDescent="0.2">
      <c r="B95" s="104" t="s">
        <v>60</v>
      </c>
      <c r="C95" s="59" t="s">
        <v>31</v>
      </c>
      <c r="D95" s="138" t="s">
        <v>186</v>
      </c>
      <c r="E95" s="139"/>
      <c r="F95" s="139"/>
      <c r="G95" s="139"/>
      <c r="H95" s="139"/>
      <c r="I95" s="139"/>
      <c r="J95" s="139"/>
      <c r="K95" s="139"/>
      <c r="L95" s="139"/>
      <c r="M95" s="139"/>
      <c r="N95" s="139"/>
      <c r="O95" s="139"/>
      <c r="P95" s="139"/>
      <c r="Q95" s="139"/>
      <c r="R95" s="139"/>
      <c r="S95" s="139"/>
      <c r="T95" s="139"/>
      <c r="U95" s="140"/>
    </row>
    <row r="96" spans="1:27" ht="112.5" customHeight="1" x14ac:dyDescent="0.2">
      <c r="B96" s="105"/>
      <c r="C96" s="61" t="s">
        <v>32</v>
      </c>
      <c r="D96" s="135" t="s">
        <v>187</v>
      </c>
      <c r="E96" s="136"/>
      <c r="F96" s="136"/>
      <c r="G96" s="136"/>
      <c r="H96" s="136"/>
      <c r="I96" s="136"/>
      <c r="J96" s="136"/>
      <c r="K96" s="136"/>
      <c r="L96" s="136"/>
      <c r="M96" s="136"/>
      <c r="N96" s="136"/>
      <c r="O96" s="136"/>
      <c r="P96" s="136"/>
      <c r="Q96" s="136"/>
      <c r="R96" s="136"/>
      <c r="S96" s="136"/>
      <c r="T96" s="136"/>
      <c r="U96" s="137"/>
    </row>
    <row r="97" spans="1:21" ht="131.25" customHeight="1" x14ac:dyDescent="0.2">
      <c r="B97" s="104" t="s">
        <v>61</v>
      </c>
      <c r="C97" s="57" t="s">
        <v>35</v>
      </c>
      <c r="D97" s="138" t="s">
        <v>188</v>
      </c>
      <c r="E97" s="139"/>
      <c r="F97" s="139"/>
      <c r="G97" s="139"/>
      <c r="H97" s="139"/>
      <c r="I97" s="139"/>
      <c r="J97" s="139"/>
      <c r="K97" s="139"/>
      <c r="L97" s="139"/>
      <c r="M97" s="139"/>
      <c r="N97" s="139"/>
      <c r="O97" s="139"/>
      <c r="P97" s="139"/>
      <c r="Q97" s="139"/>
      <c r="R97" s="139"/>
      <c r="S97" s="139"/>
      <c r="T97" s="139"/>
      <c r="U97" s="140"/>
    </row>
    <row r="98" spans="1:21" ht="137.25" customHeight="1" x14ac:dyDescent="0.2">
      <c r="B98" s="105"/>
      <c r="C98" s="60" t="s">
        <v>36</v>
      </c>
      <c r="D98" s="135" t="s">
        <v>189</v>
      </c>
      <c r="E98" s="136"/>
      <c r="F98" s="136"/>
      <c r="G98" s="136"/>
      <c r="H98" s="136"/>
      <c r="I98" s="136"/>
      <c r="J98" s="136"/>
      <c r="K98" s="136"/>
      <c r="L98" s="136"/>
      <c r="M98" s="136"/>
      <c r="N98" s="136"/>
      <c r="O98" s="136"/>
      <c r="P98" s="136"/>
      <c r="Q98" s="136"/>
      <c r="R98" s="136"/>
      <c r="S98" s="136"/>
      <c r="T98" s="136"/>
      <c r="U98" s="137"/>
    </row>
    <row r="99" spans="1:21" ht="219" customHeight="1" x14ac:dyDescent="0.2">
      <c r="B99" s="104" t="s">
        <v>62</v>
      </c>
      <c r="C99" s="59" t="s">
        <v>63</v>
      </c>
      <c r="D99" s="138" t="s">
        <v>190</v>
      </c>
      <c r="E99" s="139"/>
      <c r="F99" s="139"/>
      <c r="G99" s="139"/>
      <c r="H99" s="139"/>
      <c r="I99" s="139"/>
      <c r="J99" s="139"/>
      <c r="K99" s="139"/>
      <c r="L99" s="139"/>
      <c r="M99" s="139"/>
      <c r="N99" s="139"/>
      <c r="O99" s="139"/>
      <c r="P99" s="139"/>
      <c r="Q99" s="139"/>
      <c r="R99" s="139"/>
      <c r="S99" s="139"/>
      <c r="T99" s="139"/>
      <c r="U99" s="140"/>
    </row>
    <row r="100" spans="1:21" ht="167.25" customHeight="1" x14ac:dyDescent="0.2">
      <c r="B100" s="128"/>
      <c r="C100" s="62" t="s">
        <v>39</v>
      </c>
      <c r="D100" s="141" t="s">
        <v>191</v>
      </c>
      <c r="E100" s="142"/>
      <c r="F100" s="142"/>
      <c r="G100" s="142"/>
      <c r="H100" s="142"/>
      <c r="I100" s="142"/>
      <c r="J100" s="142"/>
      <c r="K100" s="142"/>
      <c r="L100" s="142"/>
      <c r="M100" s="142"/>
      <c r="N100" s="142"/>
      <c r="O100" s="142"/>
      <c r="P100" s="142"/>
      <c r="Q100" s="142"/>
      <c r="R100" s="142"/>
      <c r="S100" s="142"/>
      <c r="T100" s="142"/>
      <c r="U100" s="143"/>
    </row>
    <row r="101" spans="1:21" ht="198" customHeight="1" x14ac:dyDescent="0.2">
      <c r="B101" s="105"/>
      <c r="C101" s="61" t="s">
        <v>40</v>
      </c>
      <c r="D101" s="135" t="s">
        <v>192</v>
      </c>
      <c r="E101" s="136"/>
      <c r="F101" s="136"/>
      <c r="G101" s="136"/>
      <c r="H101" s="136"/>
      <c r="I101" s="136"/>
      <c r="J101" s="136"/>
      <c r="K101" s="136"/>
      <c r="L101" s="136"/>
      <c r="M101" s="136"/>
      <c r="N101" s="136"/>
      <c r="O101" s="136"/>
      <c r="P101" s="136"/>
      <c r="Q101" s="136"/>
      <c r="R101" s="136"/>
      <c r="S101" s="136"/>
      <c r="T101" s="136"/>
      <c r="U101" s="137"/>
    </row>
    <row r="102" spans="1:21" ht="6" customHeight="1" x14ac:dyDescent="0.2"/>
    <row r="103" spans="1:21" ht="18.75" customHeight="1" x14ac:dyDescent="0.2">
      <c r="A103" s="1" t="s">
        <v>64</v>
      </c>
    </row>
    <row r="104" spans="1:21" ht="81.75" customHeight="1" x14ac:dyDescent="0.2">
      <c r="B104" s="122" t="s">
        <v>65</v>
      </c>
      <c r="C104" s="123"/>
      <c r="D104" s="123"/>
      <c r="E104" s="123"/>
      <c r="F104" s="123"/>
      <c r="G104" s="123"/>
      <c r="H104" s="123"/>
      <c r="I104" s="123"/>
      <c r="J104" s="123"/>
      <c r="K104" s="123"/>
      <c r="L104" s="123"/>
      <c r="M104" s="123"/>
      <c r="N104" s="123"/>
      <c r="O104" s="123"/>
      <c r="P104" s="123"/>
      <c r="Q104" s="123"/>
      <c r="R104" s="123"/>
      <c r="S104" s="123"/>
      <c r="T104" s="123"/>
      <c r="U104" s="124"/>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60:J66 S38:U44 H27:J33 S49:U55 H38:J44 S60:U66 H49:J55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G81:J81 G83:J8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R81:U87 G82:J82 G84:J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71"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V20" sqref="V20"/>
    </sheetView>
  </sheetViews>
  <sheetFormatPr defaultColWidth="9" defaultRowHeight="18.75" customHeight="1" x14ac:dyDescent="0.2"/>
  <cols>
    <col min="1" max="1" width="2.6640625" style="1" customWidth="1"/>
    <col min="2" max="2" width="27.88671875" style="1" customWidth="1"/>
    <col min="3" max="18" width="6.109375" style="1" customWidth="1"/>
    <col min="19" max="19" width="6.44140625" style="1" customWidth="1"/>
    <col min="20" max="16384" width="9" style="1"/>
  </cols>
  <sheetData>
    <row r="1" spans="1:21" ht="18" customHeight="1" x14ac:dyDescent="0.2">
      <c r="A1" s="45"/>
      <c r="B1" s="45"/>
      <c r="C1" s="45"/>
      <c r="D1" s="45"/>
      <c r="E1" s="45"/>
      <c r="F1" s="45"/>
      <c r="G1" s="45"/>
      <c r="H1" s="45"/>
      <c r="I1" s="45"/>
      <c r="J1" s="45"/>
      <c r="K1" s="45"/>
      <c r="L1" s="45"/>
      <c r="M1" s="45"/>
      <c r="N1" s="45"/>
      <c r="O1" s="45"/>
      <c r="P1" s="45"/>
      <c r="Q1" s="45"/>
      <c r="R1" s="45"/>
      <c r="S1" s="45" t="s">
        <v>70</v>
      </c>
    </row>
    <row r="2" spans="1:21" ht="18" customHeight="1" x14ac:dyDescent="0.2">
      <c r="A2" s="45"/>
      <c r="B2" s="45"/>
      <c r="C2" s="45"/>
      <c r="D2" s="45"/>
      <c r="E2" s="45"/>
      <c r="F2" s="45"/>
      <c r="G2" s="45"/>
      <c r="H2" s="45"/>
      <c r="I2" s="45"/>
      <c r="J2" s="45"/>
      <c r="K2" s="45"/>
      <c r="L2" s="45"/>
      <c r="M2" s="45"/>
      <c r="N2" s="45"/>
      <c r="O2" s="45"/>
      <c r="P2" s="45"/>
      <c r="Q2" s="157" t="str">
        <f>様式１プログラムを構成する授業科目!C2</f>
        <v>旭川医科大学</v>
      </c>
      <c r="R2" s="157"/>
      <c r="S2" s="157"/>
    </row>
    <row r="3" spans="1:21" ht="18" customHeight="1" x14ac:dyDescent="0.2">
      <c r="A3" s="112" t="s">
        <v>71</v>
      </c>
      <c r="B3" s="112"/>
      <c r="C3" s="112"/>
      <c r="D3" s="112"/>
      <c r="E3" s="112"/>
      <c r="F3" s="112"/>
      <c r="G3" s="112"/>
      <c r="H3" s="112"/>
      <c r="I3" s="112"/>
      <c r="J3" s="112"/>
      <c r="K3" s="112"/>
      <c r="L3" s="112"/>
      <c r="M3" s="112"/>
      <c r="N3" s="112"/>
      <c r="O3" s="112"/>
      <c r="P3" s="112"/>
      <c r="Q3" s="112"/>
      <c r="R3" s="112"/>
      <c r="S3" s="112"/>
    </row>
    <row r="4" spans="1:21" ht="7.5" customHeight="1" x14ac:dyDescent="0.2">
      <c r="A4" s="47"/>
      <c r="B4" s="47"/>
      <c r="C4" s="47"/>
      <c r="D4" s="47"/>
      <c r="E4" s="47"/>
      <c r="F4" s="47"/>
      <c r="G4" s="47"/>
      <c r="H4" s="47"/>
      <c r="I4" s="47"/>
      <c r="J4" s="47"/>
      <c r="K4" s="47"/>
      <c r="L4" s="47"/>
      <c r="M4" s="47"/>
      <c r="N4" s="47"/>
      <c r="O4" s="47"/>
      <c r="P4" s="47"/>
      <c r="Q4" s="47"/>
      <c r="R4" s="47"/>
      <c r="S4" s="47"/>
    </row>
    <row r="5" spans="1:21" ht="18" customHeight="1" x14ac:dyDescent="0.2">
      <c r="A5" s="45" t="s">
        <v>72</v>
      </c>
      <c r="B5" s="45"/>
      <c r="C5" s="158" t="s">
        <v>73</v>
      </c>
      <c r="D5" s="159"/>
      <c r="E5" s="48" t="s">
        <v>74</v>
      </c>
      <c r="F5" s="47"/>
      <c r="G5" s="47"/>
      <c r="H5" s="47"/>
      <c r="I5" s="47"/>
      <c r="J5" s="47"/>
      <c r="K5" s="47"/>
      <c r="L5" s="47"/>
      <c r="M5" s="47"/>
      <c r="N5" s="47"/>
      <c r="O5" s="47"/>
      <c r="P5" s="47"/>
      <c r="Q5" s="47"/>
      <c r="R5" s="46"/>
      <c r="S5" s="46"/>
    </row>
    <row r="6" spans="1:21" ht="7.2" customHeight="1" x14ac:dyDescent="0.2">
      <c r="A6" s="45"/>
      <c r="B6" s="45"/>
      <c r="C6" s="65"/>
      <c r="D6" s="65"/>
      <c r="E6" s="47"/>
      <c r="F6" s="47"/>
      <c r="G6" s="47"/>
      <c r="H6" s="47"/>
      <c r="I6" s="47"/>
      <c r="J6" s="47"/>
      <c r="K6" s="47"/>
      <c r="L6" s="47"/>
      <c r="M6" s="47"/>
      <c r="N6" s="47"/>
      <c r="O6" s="47"/>
      <c r="P6" s="47"/>
      <c r="Q6" s="47"/>
      <c r="R6" s="46"/>
      <c r="S6" s="46"/>
    </row>
    <row r="7" spans="1:21" ht="18" customHeight="1" x14ac:dyDescent="0.2">
      <c r="A7" s="45" t="s">
        <v>75</v>
      </c>
      <c r="B7" s="45"/>
      <c r="C7" s="65"/>
      <c r="D7" s="65"/>
      <c r="E7" s="47" t="s">
        <v>76</v>
      </c>
      <c r="F7" s="75">
        <v>382</v>
      </c>
      <c r="G7" s="48" t="s">
        <v>77</v>
      </c>
      <c r="H7" s="47" t="s">
        <v>78</v>
      </c>
      <c r="I7" s="75">
        <v>477</v>
      </c>
      <c r="J7" s="48" t="s">
        <v>77</v>
      </c>
      <c r="K7" s="76" t="s">
        <v>79</v>
      </c>
      <c r="L7" s="47" t="s">
        <v>80</v>
      </c>
      <c r="M7" s="75">
        <f>F7+I7</f>
        <v>859</v>
      </c>
      <c r="N7" s="47" t="s">
        <v>81</v>
      </c>
      <c r="O7" s="48" t="s">
        <v>82</v>
      </c>
      <c r="P7" s="47"/>
      <c r="Q7" s="47"/>
      <c r="R7" s="46"/>
      <c r="S7" s="46"/>
    </row>
    <row r="8" spans="1:21" ht="17.399999999999999" customHeight="1" x14ac:dyDescent="0.2">
      <c r="A8" s="47"/>
      <c r="B8" s="66" t="s">
        <v>83</v>
      </c>
      <c r="C8" s="47"/>
      <c r="D8" s="47"/>
      <c r="E8" s="47"/>
      <c r="F8" s="47"/>
      <c r="G8" s="47"/>
      <c r="H8" s="47"/>
      <c r="I8" s="47"/>
      <c r="J8" s="47"/>
      <c r="K8" s="47"/>
      <c r="L8" s="47"/>
      <c r="M8" s="47"/>
      <c r="N8" s="47"/>
      <c r="O8" s="47"/>
      <c r="P8" s="47"/>
      <c r="Q8" s="47"/>
      <c r="R8" s="47"/>
      <c r="S8" s="47"/>
    </row>
    <row r="9" spans="1:21" ht="18" customHeight="1" x14ac:dyDescent="0.2">
      <c r="A9" s="45" t="s">
        <v>84</v>
      </c>
      <c r="B9" s="47"/>
      <c r="C9" s="47"/>
      <c r="D9" s="47"/>
      <c r="E9" s="47"/>
      <c r="F9" s="47"/>
      <c r="G9" s="47"/>
      <c r="H9" s="47"/>
      <c r="I9" s="47"/>
      <c r="J9" s="47"/>
      <c r="K9" s="47"/>
      <c r="L9" s="47"/>
      <c r="M9" s="47"/>
      <c r="N9" s="47"/>
      <c r="O9" s="47"/>
      <c r="P9" s="47"/>
      <c r="Q9" s="47"/>
      <c r="R9" s="47"/>
      <c r="S9" s="47"/>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0" t="s">
        <v>85</v>
      </c>
      <c r="C11" s="170" t="s">
        <v>86</v>
      </c>
      <c r="D11" s="162" t="s">
        <v>87</v>
      </c>
      <c r="E11" s="164" t="s">
        <v>88</v>
      </c>
      <c r="F11" s="156" t="s">
        <v>89</v>
      </c>
      <c r="G11" s="156"/>
      <c r="H11" s="156" t="s">
        <v>90</v>
      </c>
      <c r="I11" s="156"/>
      <c r="J11" s="156" t="s">
        <v>91</v>
      </c>
      <c r="K11" s="156"/>
      <c r="L11" s="156" t="s">
        <v>92</v>
      </c>
      <c r="M11" s="156"/>
      <c r="N11" s="156" t="s">
        <v>93</v>
      </c>
      <c r="O11" s="156"/>
      <c r="P11" s="156" t="s">
        <v>94</v>
      </c>
      <c r="Q11" s="156"/>
      <c r="R11" s="166" t="s">
        <v>95</v>
      </c>
      <c r="S11" s="168" t="s">
        <v>96</v>
      </c>
      <c r="U11" s="2"/>
    </row>
    <row r="12" spans="1:21" ht="16.95" customHeight="1" x14ac:dyDescent="0.2">
      <c r="B12" s="161"/>
      <c r="C12" s="171"/>
      <c r="D12" s="163"/>
      <c r="E12" s="165"/>
      <c r="F12" s="67" t="s">
        <v>97</v>
      </c>
      <c r="G12" s="67" t="s">
        <v>98</v>
      </c>
      <c r="H12" s="67" t="s">
        <v>97</v>
      </c>
      <c r="I12" s="67" t="s">
        <v>98</v>
      </c>
      <c r="J12" s="67" t="s">
        <v>97</v>
      </c>
      <c r="K12" s="67" t="s">
        <v>98</v>
      </c>
      <c r="L12" s="67" t="s">
        <v>97</v>
      </c>
      <c r="M12" s="67" t="s">
        <v>98</v>
      </c>
      <c r="N12" s="67" t="s">
        <v>97</v>
      </c>
      <c r="O12" s="67" t="s">
        <v>98</v>
      </c>
      <c r="P12" s="67" t="s">
        <v>97</v>
      </c>
      <c r="Q12" s="68" t="s">
        <v>98</v>
      </c>
      <c r="R12" s="167"/>
      <c r="S12" s="169"/>
      <c r="U12" s="2"/>
    </row>
    <row r="13" spans="1:21" ht="18" customHeight="1" x14ac:dyDescent="0.2">
      <c r="A13" s="5"/>
      <c r="B13" s="42" t="s">
        <v>99</v>
      </c>
      <c r="C13" s="30">
        <v>620</v>
      </c>
      <c r="D13" s="31">
        <v>95</v>
      </c>
      <c r="E13" s="32">
        <v>620</v>
      </c>
      <c r="F13" s="73">
        <v>95</v>
      </c>
      <c r="G13" s="73">
        <v>92</v>
      </c>
      <c r="H13" s="32">
        <v>94</v>
      </c>
      <c r="I13" s="32">
        <v>94</v>
      </c>
      <c r="J13" s="32">
        <v>95</v>
      </c>
      <c r="K13" s="32">
        <v>95</v>
      </c>
      <c r="L13" s="32"/>
      <c r="M13" s="32"/>
      <c r="N13" s="32"/>
      <c r="O13" s="32"/>
      <c r="P13" s="32"/>
      <c r="Q13" s="43"/>
      <c r="R13" s="31">
        <f t="shared" ref="R13:R32" si="0">F13+H13+J13+L13+N13+P13</f>
        <v>284</v>
      </c>
      <c r="S13" s="77">
        <f t="shared" ref="S13:S33" si="1">R13/E13</f>
        <v>0.45806451612903226</v>
      </c>
    </row>
    <row r="14" spans="1:21" ht="18" customHeight="1" x14ac:dyDescent="0.2">
      <c r="A14" s="5"/>
      <c r="B14" s="10" t="s">
        <v>100</v>
      </c>
      <c r="C14" s="33">
        <v>239</v>
      </c>
      <c r="D14" s="34">
        <v>60</v>
      </c>
      <c r="E14" s="35">
        <v>240</v>
      </c>
      <c r="F14" s="74">
        <v>59</v>
      </c>
      <c r="G14" s="74">
        <v>58</v>
      </c>
      <c r="H14" s="36">
        <v>60</v>
      </c>
      <c r="I14" s="36">
        <v>60</v>
      </c>
      <c r="J14" s="36">
        <v>60</v>
      </c>
      <c r="K14" s="36">
        <v>60</v>
      </c>
      <c r="L14" s="36">
        <v>60</v>
      </c>
      <c r="M14" s="36">
        <v>60</v>
      </c>
      <c r="N14" s="36"/>
      <c r="O14" s="36"/>
      <c r="P14" s="36"/>
      <c r="Q14" s="33"/>
      <c r="R14" s="34">
        <f t="shared" si="0"/>
        <v>239</v>
      </c>
      <c r="S14" s="13">
        <f t="shared" si="1"/>
        <v>0.99583333333333335</v>
      </c>
    </row>
    <row r="15" spans="1:21" ht="18" customHeight="1" x14ac:dyDescent="0.2">
      <c r="A15" s="5"/>
      <c r="B15" s="10"/>
      <c r="C15" s="33"/>
      <c r="D15" s="34"/>
      <c r="E15" s="35"/>
      <c r="F15" s="36"/>
      <c r="G15" s="36"/>
      <c r="H15" s="36"/>
      <c r="I15" s="36"/>
      <c r="J15" s="36"/>
      <c r="K15" s="36"/>
      <c r="L15" s="36"/>
      <c r="M15" s="36"/>
      <c r="N15" s="36"/>
      <c r="O15" s="36"/>
      <c r="P15" s="36"/>
      <c r="Q15" s="33"/>
      <c r="R15" s="34">
        <f t="shared" si="0"/>
        <v>0</v>
      </c>
      <c r="S15" s="7" t="e">
        <f t="shared" si="1"/>
        <v>#DIV/0!</v>
      </c>
    </row>
    <row r="16" spans="1:21" ht="18" customHeight="1" x14ac:dyDescent="0.2">
      <c r="A16" s="5"/>
      <c r="B16" s="10"/>
      <c r="C16" s="33"/>
      <c r="D16" s="34"/>
      <c r="E16" s="35"/>
      <c r="F16" s="36"/>
      <c r="G16" s="36"/>
      <c r="H16" s="36"/>
      <c r="I16" s="36"/>
      <c r="J16" s="36"/>
      <c r="K16" s="36"/>
      <c r="L16" s="36"/>
      <c r="M16" s="36"/>
      <c r="N16" s="36"/>
      <c r="O16" s="36"/>
      <c r="P16" s="36"/>
      <c r="Q16" s="33"/>
      <c r="R16" s="34">
        <f t="shared" si="0"/>
        <v>0</v>
      </c>
      <c r="S16" s="7" t="e">
        <f t="shared" si="1"/>
        <v>#DIV/0!</v>
      </c>
    </row>
    <row r="17" spans="1:19" ht="18" customHeight="1" x14ac:dyDescent="0.2">
      <c r="A17" s="5"/>
      <c r="B17" s="10"/>
      <c r="C17" s="33"/>
      <c r="D17" s="34"/>
      <c r="E17" s="35"/>
      <c r="F17" s="36"/>
      <c r="G17" s="36"/>
      <c r="H17" s="36"/>
      <c r="I17" s="36"/>
      <c r="J17" s="36"/>
      <c r="K17" s="36"/>
      <c r="L17" s="36"/>
      <c r="M17" s="36"/>
      <c r="N17" s="36"/>
      <c r="O17" s="36"/>
      <c r="P17" s="36"/>
      <c r="Q17" s="33"/>
      <c r="R17" s="34">
        <f t="shared" si="0"/>
        <v>0</v>
      </c>
      <c r="S17" s="7" t="e">
        <f t="shared" si="1"/>
        <v>#DIV/0!</v>
      </c>
    </row>
    <row r="18" spans="1:19" ht="18" customHeight="1" x14ac:dyDescent="0.2">
      <c r="A18" s="5"/>
      <c r="B18" s="10"/>
      <c r="C18" s="33"/>
      <c r="D18" s="34"/>
      <c r="E18" s="35"/>
      <c r="F18" s="36"/>
      <c r="G18" s="36"/>
      <c r="H18" s="36"/>
      <c r="I18" s="36"/>
      <c r="J18" s="36"/>
      <c r="K18" s="36"/>
      <c r="L18" s="36"/>
      <c r="M18" s="36"/>
      <c r="N18" s="36"/>
      <c r="O18" s="36"/>
      <c r="P18" s="36"/>
      <c r="Q18" s="33"/>
      <c r="R18" s="34">
        <f t="shared" si="0"/>
        <v>0</v>
      </c>
      <c r="S18" s="7" t="e">
        <f t="shared" si="1"/>
        <v>#DIV/0!</v>
      </c>
    </row>
    <row r="19" spans="1:19" ht="18" customHeight="1" x14ac:dyDescent="0.2">
      <c r="A19" s="5"/>
      <c r="B19" s="10"/>
      <c r="C19" s="33"/>
      <c r="D19" s="34"/>
      <c r="E19" s="35"/>
      <c r="F19" s="36"/>
      <c r="G19" s="36"/>
      <c r="H19" s="36"/>
      <c r="I19" s="36"/>
      <c r="J19" s="36"/>
      <c r="K19" s="36"/>
      <c r="L19" s="36"/>
      <c r="M19" s="36"/>
      <c r="N19" s="36"/>
      <c r="O19" s="36"/>
      <c r="P19" s="36"/>
      <c r="Q19" s="33"/>
      <c r="R19" s="34">
        <f t="shared" si="0"/>
        <v>0</v>
      </c>
      <c r="S19" s="7" t="e">
        <f t="shared" si="1"/>
        <v>#DIV/0!</v>
      </c>
    </row>
    <row r="20" spans="1:19" ht="18" customHeight="1" x14ac:dyDescent="0.2">
      <c r="A20" s="5"/>
      <c r="B20" s="10"/>
      <c r="C20" s="33"/>
      <c r="D20" s="34"/>
      <c r="E20" s="35"/>
      <c r="F20" s="36"/>
      <c r="G20" s="36"/>
      <c r="H20" s="36"/>
      <c r="I20" s="36"/>
      <c r="J20" s="36"/>
      <c r="K20" s="36"/>
      <c r="L20" s="36"/>
      <c r="M20" s="36"/>
      <c r="N20" s="36"/>
      <c r="O20" s="36"/>
      <c r="P20" s="36"/>
      <c r="Q20" s="33"/>
      <c r="R20" s="34">
        <f t="shared" si="0"/>
        <v>0</v>
      </c>
      <c r="S20" s="7" t="e">
        <f t="shared" si="1"/>
        <v>#DIV/0!</v>
      </c>
    </row>
    <row r="21" spans="1:19" ht="18" customHeight="1" x14ac:dyDescent="0.2">
      <c r="A21" s="5"/>
      <c r="B21" s="10"/>
      <c r="C21" s="33"/>
      <c r="D21" s="34"/>
      <c r="E21" s="35"/>
      <c r="F21" s="36"/>
      <c r="G21" s="36"/>
      <c r="H21" s="36"/>
      <c r="I21" s="36"/>
      <c r="J21" s="36"/>
      <c r="K21" s="36"/>
      <c r="L21" s="36"/>
      <c r="M21" s="36"/>
      <c r="N21" s="36"/>
      <c r="O21" s="36"/>
      <c r="P21" s="36"/>
      <c r="Q21" s="33"/>
      <c r="R21" s="34">
        <f t="shared" si="0"/>
        <v>0</v>
      </c>
      <c r="S21" s="7" t="e">
        <f t="shared" si="1"/>
        <v>#DIV/0!</v>
      </c>
    </row>
    <row r="22" spans="1:19" ht="18" customHeight="1" x14ac:dyDescent="0.2">
      <c r="A22" s="5"/>
      <c r="B22" s="10"/>
      <c r="C22" s="33"/>
      <c r="D22" s="34"/>
      <c r="E22" s="35"/>
      <c r="F22" s="36"/>
      <c r="G22" s="36"/>
      <c r="H22" s="36"/>
      <c r="I22" s="36"/>
      <c r="J22" s="36"/>
      <c r="K22" s="36"/>
      <c r="L22" s="36"/>
      <c r="M22" s="36"/>
      <c r="N22" s="36"/>
      <c r="O22" s="36"/>
      <c r="P22" s="36"/>
      <c r="Q22" s="33"/>
      <c r="R22" s="34">
        <f t="shared" si="0"/>
        <v>0</v>
      </c>
      <c r="S22" s="7" t="e">
        <f t="shared" si="1"/>
        <v>#DIV/0!</v>
      </c>
    </row>
    <row r="23" spans="1:19" ht="18" customHeight="1" x14ac:dyDescent="0.2">
      <c r="A23" s="5"/>
      <c r="B23" s="10"/>
      <c r="C23" s="33"/>
      <c r="D23" s="34"/>
      <c r="E23" s="35"/>
      <c r="F23" s="36"/>
      <c r="G23" s="36"/>
      <c r="H23" s="36"/>
      <c r="I23" s="36"/>
      <c r="J23" s="36"/>
      <c r="K23" s="36"/>
      <c r="L23" s="36"/>
      <c r="M23" s="36"/>
      <c r="N23" s="36"/>
      <c r="O23" s="36"/>
      <c r="P23" s="36"/>
      <c r="Q23" s="33"/>
      <c r="R23" s="34">
        <f t="shared" si="0"/>
        <v>0</v>
      </c>
      <c r="S23" s="7" t="e">
        <f t="shared" si="1"/>
        <v>#DIV/0!</v>
      </c>
    </row>
    <row r="24" spans="1:19" ht="18" customHeight="1" x14ac:dyDescent="0.2">
      <c r="A24" s="5"/>
      <c r="B24" s="10"/>
      <c r="C24" s="33"/>
      <c r="D24" s="34"/>
      <c r="E24" s="35"/>
      <c r="F24" s="36"/>
      <c r="G24" s="36"/>
      <c r="H24" s="36"/>
      <c r="I24" s="36"/>
      <c r="J24" s="36"/>
      <c r="K24" s="36"/>
      <c r="L24" s="36"/>
      <c r="M24" s="36"/>
      <c r="N24" s="36"/>
      <c r="O24" s="36"/>
      <c r="P24" s="36"/>
      <c r="Q24" s="33"/>
      <c r="R24" s="34">
        <f t="shared" si="0"/>
        <v>0</v>
      </c>
      <c r="S24" s="7" t="e">
        <f t="shared" si="1"/>
        <v>#DIV/0!</v>
      </c>
    </row>
    <row r="25" spans="1:19" ht="18" customHeight="1" x14ac:dyDescent="0.2">
      <c r="A25" s="5"/>
      <c r="B25" s="10"/>
      <c r="C25" s="33"/>
      <c r="D25" s="34"/>
      <c r="E25" s="35"/>
      <c r="F25" s="36"/>
      <c r="G25" s="36"/>
      <c r="H25" s="36"/>
      <c r="I25" s="36"/>
      <c r="J25" s="36"/>
      <c r="K25" s="36"/>
      <c r="L25" s="36"/>
      <c r="M25" s="36"/>
      <c r="N25" s="36"/>
      <c r="O25" s="36"/>
      <c r="P25" s="36"/>
      <c r="Q25" s="33"/>
      <c r="R25" s="34">
        <f t="shared" si="0"/>
        <v>0</v>
      </c>
      <c r="S25" s="7" t="e">
        <f t="shared" si="1"/>
        <v>#DIV/0!</v>
      </c>
    </row>
    <row r="26" spans="1:19" ht="18" customHeight="1" x14ac:dyDescent="0.2">
      <c r="A26" s="5"/>
      <c r="B26" s="10"/>
      <c r="C26" s="33"/>
      <c r="D26" s="34"/>
      <c r="E26" s="35"/>
      <c r="F26" s="36"/>
      <c r="G26" s="36"/>
      <c r="H26" s="36"/>
      <c r="I26" s="36"/>
      <c r="J26" s="36"/>
      <c r="K26" s="36"/>
      <c r="L26" s="36"/>
      <c r="M26" s="36"/>
      <c r="N26" s="36"/>
      <c r="O26" s="36"/>
      <c r="P26" s="36"/>
      <c r="Q26" s="33"/>
      <c r="R26" s="34">
        <f t="shared" si="0"/>
        <v>0</v>
      </c>
      <c r="S26" s="7" t="e">
        <f t="shared" si="1"/>
        <v>#DIV/0!</v>
      </c>
    </row>
    <row r="27" spans="1:19" ht="18" customHeight="1" x14ac:dyDescent="0.2">
      <c r="A27" s="5"/>
      <c r="B27" s="10"/>
      <c r="C27" s="33"/>
      <c r="D27" s="34"/>
      <c r="E27" s="35"/>
      <c r="F27" s="36"/>
      <c r="G27" s="36"/>
      <c r="H27" s="36"/>
      <c r="I27" s="36"/>
      <c r="J27" s="36"/>
      <c r="K27" s="36"/>
      <c r="L27" s="36"/>
      <c r="M27" s="36"/>
      <c r="N27" s="36"/>
      <c r="O27" s="36"/>
      <c r="P27" s="36"/>
      <c r="Q27" s="33"/>
      <c r="R27" s="34">
        <f t="shared" si="0"/>
        <v>0</v>
      </c>
      <c r="S27" s="7" t="e">
        <f t="shared" si="1"/>
        <v>#DIV/0!</v>
      </c>
    </row>
    <row r="28" spans="1:19" ht="18" customHeight="1" x14ac:dyDescent="0.2">
      <c r="A28" s="5"/>
      <c r="B28" s="10"/>
      <c r="C28" s="33"/>
      <c r="D28" s="34"/>
      <c r="E28" s="35"/>
      <c r="F28" s="36"/>
      <c r="G28" s="36"/>
      <c r="H28" s="36"/>
      <c r="I28" s="36"/>
      <c r="J28" s="36"/>
      <c r="K28" s="36"/>
      <c r="L28" s="36"/>
      <c r="M28" s="36"/>
      <c r="N28" s="36"/>
      <c r="O28" s="36"/>
      <c r="P28" s="36"/>
      <c r="Q28" s="33"/>
      <c r="R28" s="34">
        <f t="shared" si="0"/>
        <v>0</v>
      </c>
      <c r="S28" s="7" t="e">
        <f t="shared" si="1"/>
        <v>#DIV/0!</v>
      </c>
    </row>
    <row r="29" spans="1:19" ht="18" customHeight="1" x14ac:dyDescent="0.2">
      <c r="A29" s="5"/>
      <c r="B29" s="10"/>
      <c r="C29" s="33"/>
      <c r="D29" s="34"/>
      <c r="E29" s="35"/>
      <c r="F29" s="36"/>
      <c r="G29" s="36"/>
      <c r="H29" s="36"/>
      <c r="I29" s="36"/>
      <c r="J29" s="36"/>
      <c r="K29" s="36"/>
      <c r="L29" s="36"/>
      <c r="M29" s="36"/>
      <c r="N29" s="36"/>
      <c r="O29" s="36"/>
      <c r="P29" s="36"/>
      <c r="Q29" s="33"/>
      <c r="R29" s="34">
        <f t="shared" si="0"/>
        <v>0</v>
      </c>
      <c r="S29" s="7" t="e">
        <f t="shared" si="1"/>
        <v>#DIV/0!</v>
      </c>
    </row>
    <row r="30" spans="1:19" ht="18" customHeight="1" x14ac:dyDescent="0.2">
      <c r="A30" s="5"/>
      <c r="B30" s="10"/>
      <c r="C30" s="33"/>
      <c r="D30" s="37"/>
      <c r="E30" s="35"/>
      <c r="F30" s="36"/>
      <c r="G30" s="36"/>
      <c r="H30" s="36"/>
      <c r="I30" s="36"/>
      <c r="J30" s="36"/>
      <c r="K30" s="36"/>
      <c r="L30" s="36"/>
      <c r="M30" s="36"/>
      <c r="N30" s="36"/>
      <c r="O30" s="36"/>
      <c r="P30" s="36"/>
      <c r="Q30" s="33"/>
      <c r="R30" s="37">
        <f t="shared" si="0"/>
        <v>0</v>
      </c>
      <c r="S30" s="7" t="e">
        <f t="shared" si="1"/>
        <v>#DIV/0!</v>
      </c>
    </row>
    <row r="31" spans="1:19" ht="18" customHeight="1" x14ac:dyDescent="0.2">
      <c r="A31" s="5"/>
      <c r="B31" s="10"/>
      <c r="C31" s="33"/>
      <c r="D31" s="37"/>
      <c r="E31" s="35"/>
      <c r="F31" s="36"/>
      <c r="G31" s="36"/>
      <c r="H31" s="36"/>
      <c r="I31" s="36"/>
      <c r="J31" s="36"/>
      <c r="K31" s="36"/>
      <c r="L31" s="36"/>
      <c r="M31" s="36"/>
      <c r="N31" s="36"/>
      <c r="O31" s="36"/>
      <c r="P31" s="36"/>
      <c r="Q31" s="33"/>
      <c r="R31" s="37">
        <f t="shared" si="0"/>
        <v>0</v>
      </c>
      <c r="S31" s="7" t="e">
        <f t="shared" si="1"/>
        <v>#DIV/0!</v>
      </c>
    </row>
    <row r="32" spans="1:19" ht="18" customHeight="1" thickBot="1" x14ac:dyDescent="0.25">
      <c r="A32" s="5"/>
      <c r="B32" s="11"/>
      <c r="C32" s="30"/>
      <c r="D32" s="38"/>
      <c r="E32" s="32"/>
      <c r="F32" s="32"/>
      <c r="G32" s="32"/>
      <c r="H32" s="32"/>
      <c r="I32" s="32"/>
      <c r="J32" s="32"/>
      <c r="K32" s="32"/>
      <c r="L32" s="32"/>
      <c r="M32" s="32"/>
      <c r="N32" s="32"/>
      <c r="O32" s="32"/>
      <c r="P32" s="32"/>
      <c r="Q32" s="33"/>
      <c r="R32" s="38">
        <f t="shared" si="0"/>
        <v>0</v>
      </c>
      <c r="S32" s="6" t="e">
        <f t="shared" si="1"/>
        <v>#DIV/0!</v>
      </c>
    </row>
    <row r="33" spans="2:19" ht="18" customHeight="1" thickTop="1" x14ac:dyDescent="0.2">
      <c r="B33" s="12" t="s">
        <v>101</v>
      </c>
      <c r="C33" s="39">
        <f t="shared" ref="C33" si="2">SUM(C13:C32)</f>
        <v>859</v>
      </c>
      <c r="D33" s="40">
        <f t="shared" ref="D33:R33" si="3">SUM(D13:D32)</f>
        <v>155</v>
      </c>
      <c r="E33" s="41">
        <f t="shared" si="3"/>
        <v>860</v>
      </c>
      <c r="F33" s="41">
        <f t="shared" si="3"/>
        <v>154</v>
      </c>
      <c r="G33" s="41">
        <f t="shared" ref="G33:H33" si="4">SUM(G13:G32)</f>
        <v>150</v>
      </c>
      <c r="H33" s="41">
        <f t="shared" si="4"/>
        <v>154</v>
      </c>
      <c r="I33" s="41">
        <f t="shared" ref="I33:J33" si="5">SUM(I13:I32)</f>
        <v>154</v>
      </c>
      <c r="J33" s="41">
        <f t="shared" si="5"/>
        <v>155</v>
      </c>
      <c r="K33" s="41">
        <f t="shared" ref="K33:O33" si="6">SUM(K13:K32)</f>
        <v>155</v>
      </c>
      <c r="L33" s="41">
        <f t="shared" si="6"/>
        <v>60</v>
      </c>
      <c r="M33" s="41">
        <f t="shared" si="6"/>
        <v>60</v>
      </c>
      <c r="N33" s="41">
        <f t="shared" si="6"/>
        <v>0</v>
      </c>
      <c r="O33" s="41">
        <f t="shared" si="6"/>
        <v>0</v>
      </c>
      <c r="P33" s="41">
        <f t="shared" ref="P33:Q33" si="7">SUM(P13:P32)</f>
        <v>0</v>
      </c>
      <c r="Q33" s="39">
        <f t="shared" si="7"/>
        <v>0</v>
      </c>
      <c r="R33" s="40">
        <f t="shared" si="3"/>
        <v>523</v>
      </c>
      <c r="S33" s="8">
        <f t="shared" si="1"/>
        <v>0.60813953488372097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M13" sqref="M13"/>
    </sheetView>
  </sheetViews>
  <sheetFormatPr defaultColWidth="11.44140625" defaultRowHeight="18.75" customHeight="1" x14ac:dyDescent="0.2"/>
  <cols>
    <col min="1" max="1" width="2.6640625" style="16" customWidth="1"/>
    <col min="2" max="2" width="16.44140625" style="1" customWidth="1"/>
    <col min="3" max="3" width="8.88671875" style="1" customWidth="1"/>
    <col min="4" max="4" width="2.33203125" style="1" customWidth="1"/>
    <col min="5" max="5" width="16.44140625" style="1" customWidth="1"/>
    <col min="6" max="6" width="4.44140625" style="1" customWidth="1"/>
    <col min="7" max="7" width="9" style="1" customWidth="1"/>
    <col min="8" max="8" width="16.44140625" style="1" customWidth="1"/>
    <col min="9" max="9" width="12.109375" style="1" customWidth="1"/>
    <col min="10" max="16384" width="11.44140625" style="1"/>
  </cols>
  <sheetData>
    <row r="1" spans="1:9" ht="18.75" customHeight="1" x14ac:dyDescent="0.2">
      <c r="A1" s="16" t="s">
        <v>102</v>
      </c>
      <c r="I1" s="79" t="s">
        <v>103</v>
      </c>
    </row>
    <row r="2" spans="1:9" ht="18.75" customHeight="1" x14ac:dyDescent="0.2">
      <c r="G2" s="79" t="s">
        <v>2</v>
      </c>
      <c r="H2" s="98" t="str">
        <f>様式１プログラムを構成する授業科目!C2</f>
        <v>旭川医科大学</v>
      </c>
      <c r="I2" s="100"/>
    </row>
    <row r="3" spans="1:9" ht="18.75" customHeight="1" x14ac:dyDescent="0.2">
      <c r="G3" s="79"/>
      <c r="H3" s="9"/>
      <c r="I3" s="9"/>
    </row>
    <row r="4" spans="1:9" ht="18.600000000000001" customHeight="1" x14ac:dyDescent="0.2">
      <c r="A4" s="112" t="s">
        <v>104</v>
      </c>
      <c r="B4" s="112"/>
      <c r="C4" s="112"/>
      <c r="D4" s="112"/>
      <c r="E4" s="112"/>
      <c r="F4" s="112"/>
      <c r="G4" s="112"/>
      <c r="H4" s="112"/>
      <c r="I4" s="112"/>
    </row>
    <row r="5" spans="1:9" ht="13.2" customHeight="1" x14ac:dyDescent="0.2">
      <c r="B5" s="3"/>
      <c r="C5" s="3"/>
      <c r="D5" s="3"/>
      <c r="E5" s="3"/>
      <c r="F5" s="3"/>
      <c r="G5" s="3"/>
      <c r="H5" s="3"/>
      <c r="I5" s="3"/>
    </row>
    <row r="6" spans="1:9" ht="18" customHeight="1" x14ac:dyDescent="0.2">
      <c r="A6" s="1" t="s">
        <v>105</v>
      </c>
      <c r="B6" s="9" t="s">
        <v>106</v>
      </c>
      <c r="C6" s="201" t="s">
        <v>107</v>
      </c>
      <c r="D6" s="201"/>
      <c r="E6" s="14">
        <v>343</v>
      </c>
      <c r="F6" s="3" t="s">
        <v>81</v>
      </c>
      <c r="G6" s="3" t="s">
        <v>108</v>
      </c>
      <c r="H6" s="14">
        <v>128</v>
      </c>
      <c r="I6" s="9" t="s">
        <v>81</v>
      </c>
    </row>
    <row r="7" spans="1:9" ht="12" customHeight="1" x14ac:dyDescent="0.2">
      <c r="C7" s="2"/>
      <c r="D7" s="2"/>
      <c r="E7" s="2"/>
      <c r="F7" s="2"/>
      <c r="G7" s="2"/>
      <c r="H7" s="2"/>
      <c r="I7" s="17"/>
    </row>
    <row r="8" spans="1:9" ht="18" customHeight="1" x14ac:dyDescent="0.2">
      <c r="A8" s="1" t="s">
        <v>109</v>
      </c>
      <c r="B8" s="9" t="s">
        <v>110</v>
      </c>
      <c r="E8" s="3"/>
      <c r="F8" s="3"/>
      <c r="G8" s="3"/>
      <c r="H8" s="14">
        <v>9</v>
      </c>
      <c r="I8" s="9" t="s">
        <v>81</v>
      </c>
    </row>
    <row r="9" spans="1:9" ht="9" customHeight="1" x14ac:dyDescent="0.2">
      <c r="B9" s="3"/>
      <c r="C9" s="3"/>
      <c r="D9" s="3"/>
      <c r="E9" s="3"/>
      <c r="F9" s="3"/>
      <c r="G9" s="3"/>
      <c r="H9" s="3"/>
      <c r="I9" s="3"/>
    </row>
    <row r="10" spans="1:9" ht="18" customHeight="1" x14ac:dyDescent="0.2">
      <c r="A10" s="1" t="s">
        <v>111</v>
      </c>
      <c r="B10" s="9" t="s">
        <v>112</v>
      </c>
      <c r="C10" s="3"/>
      <c r="D10" s="3"/>
      <c r="E10" s="3"/>
      <c r="F10" s="3"/>
      <c r="G10" s="3"/>
      <c r="H10" s="3"/>
      <c r="I10" s="3"/>
    </row>
    <row r="11" spans="1:9" ht="18" customHeight="1" x14ac:dyDescent="0.2">
      <c r="B11" s="79" t="s">
        <v>113</v>
      </c>
      <c r="C11" s="196" t="s">
        <v>114</v>
      </c>
      <c r="D11" s="197"/>
      <c r="E11" s="198"/>
      <c r="F11" s="17"/>
      <c r="G11" s="79" t="s">
        <v>115</v>
      </c>
      <c r="H11" s="199" t="s">
        <v>116</v>
      </c>
      <c r="I11" s="200"/>
    </row>
    <row r="12" spans="1:9" ht="10.199999999999999" customHeight="1" x14ac:dyDescent="0.2">
      <c r="B12" s="79"/>
      <c r="C12" s="9"/>
      <c r="D12" s="17"/>
      <c r="E12" s="17"/>
      <c r="F12" s="17"/>
      <c r="G12" s="79"/>
      <c r="H12" s="9"/>
      <c r="I12" s="17"/>
    </row>
    <row r="13" spans="1:9" ht="18" customHeight="1" x14ac:dyDescent="0.2">
      <c r="A13" s="1" t="s">
        <v>117</v>
      </c>
      <c r="B13" s="9" t="s">
        <v>118</v>
      </c>
      <c r="C13" s="3"/>
      <c r="D13" s="3"/>
      <c r="E13" s="3"/>
      <c r="F13" s="3"/>
      <c r="G13" s="3"/>
      <c r="H13" s="3"/>
      <c r="I13" s="3"/>
    </row>
    <row r="14" spans="1:9" ht="42" customHeight="1" x14ac:dyDescent="0.2">
      <c r="B14" s="193" t="s">
        <v>196</v>
      </c>
      <c r="C14" s="194"/>
      <c r="D14" s="194"/>
      <c r="E14" s="194"/>
      <c r="F14" s="194"/>
      <c r="G14" s="194"/>
      <c r="H14" s="194"/>
      <c r="I14" s="195"/>
    </row>
    <row r="15" spans="1:9" ht="9" customHeight="1" x14ac:dyDescent="0.2">
      <c r="B15" s="3"/>
      <c r="C15" s="3"/>
      <c r="D15" s="3"/>
      <c r="E15" s="3"/>
      <c r="F15" s="3"/>
      <c r="G15" s="3"/>
      <c r="H15" s="3"/>
      <c r="I15" s="3"/>
    </row>
    <row r="16" spans="1:9" ht="18" customHeight="1" x14ac:dyDescent="0.2">
      <c r="B16" s="79" t="s">
        <v>113</v>
      </c>
      <c r="C16" s="196" t="s">
        <v>119</v>
      </c>
      <c r="D16" s="197"/>
      <c r="E16" s="198"/>
      <c r="F16" s="17"/>
      <c r="G16" s="79" t="s">
        <v>115</v>
      </c>
      <c r="H16" s="199" t="s">
        <v>120</v>
      </c>
      <c r="I16" s="200"/>
    </row>
    <row r="17" spans="1:9" ht="18" customHeight="1" x14ac:dyDescent="0.2">
      <c r="B17" s="3"/>
      <c r="C17" s="3"/>
      <c r="D17" s="3"/>
      <c r="E17" s="3"/>
      <c r="F17" s="3"/>
      <c r="G17" s="3"/>
      <c r="H17" s="3"/>
      <c r="I17" s="3"/>
    </row>
    <row r="18" spans="1:9" ht="18.75" customHeight="1" x14ac:dyDescent="0.2">
      <c r="A18" s="1" t="s">
        <v>121</v>
      </c>
      <c r="B18" s="1" t="s">
        <v>122</v>
      </c>
      <c r="I18" s="3"/>
    </row>
    <row r="19" spans="1:9" ht="43.5" customHeight="1" x14ac:dyDescent="0.2">
      <c r="A19" s="1"/>
      <c r="B19" s="122" t="s">
        <v>193</v>
      </c>
      <c r="C19" s="123"/>
      <c r="D19" s="123"/>
      <c r="E19" s="123"/>
      <c r="F19" s="123"/>
      <c r="G19" s="123"/>
      <c r="H19" s="123"/>
      <c r="I19" s="124"/>
    </row>
    <row r="20" spans="1:9" ht="7.5" customHeight="1" x14ac:dyDescent="0.2">
      <c r="B20" s="3"/>
      <c r="C20" s="3"/>
      <c r="D20" s="3"/>
      <c r="E20" s="3"/>
      <c r="F20" s="3"/>
      <c r="G20" s="3"/>
      <c r="H20" s="3"/>
      <c r="I20" s="3"/>
    </row>
    <row r="21" spans="1:9" ht="18.75" customHeight="1" x14ac:dyDescent="0.2">
      <c r="A21" s="1" t="s">
        <v>123</v>
      </c>
      <c r="B21" s="1" t="s">
        <v>124</v>
      </c>
    </row>
    <row r="22" spans="1:9" ht="18.75" customHeight="1" x14ac:dyDescent="0.2">
      <c r="A22" s="82"/>
      <c r="B22" s="173" t="s">
        <v>125</v>
      </c>
      <c r="C22" s="174"/>
      <c r="D22" s="174"/>
      <c r="E22" s="174"/>
      <c r="F22" s="174"/>
      <c r="G22" s="174"/>
      <c r="H22" s="174"/>
      <c r="I22" s="175"/>
    </row>
    <row r="23" spans="1:9" ht="18.75" customHeight="1" x14ac:dyDescent="0.2">
      <c r="A23" s="82"/>
      <c r="B23" s="176"/>
      <c r="C23" s="177"/>
      <c r="D23" s="177"/>
      <c r="E23" s="177"/>
      <c r="F23" s="177"/>
      <c r="G23" s="177"/>
      <c r="H23" s="177"/>
      <c r="I23" s="178"/>
    </row>
    <row r="24" spans="1:9" ht="18.75" customHeight="1" x14ac:dyDescent="0.2">
      <c r="A24" s="82"/>
      <c r="B24" s="176"/>
      <c r="C24" s="177"/>
      <c r="D24" s="177"/>
      <c r="E24" s="177"/>
      <c r="F24" s="177"/>
      <c r="G24" s="177"/>
      <c r="H24" s="177"/>
      <c r="I24" s="178"/>
    </row>
    <row r="25" spans="1:9" ht="18.75" customHeight="1" x14ac:dyDescent="0.2">
      <c r="A25" s="82"/>
      <c r="B25" s="176"/>
      <c r="C25" s="177"/>
      <c r="D25" s="177"/>
      <c r="E25" s="177"/>
      <c r="F25" s="177"/>
      <c r="G25" s="177"/>
      <c r="H25" s="177"/>
      <c r="I25" s="178"/>
    </row>
    <row r="26" spans="1:9" ht="18.75" customHeight="1" x14ac:dyDescent="0.2">
      <c r="A26" s="82"/>
      <c r="B26" s="176"/>
      <c r="C26" s="177"/>
      <c r="D26" s="177"/>
      <c r="E26" s="177"/>
      <c r="F26" s="177"/>
      <c r="G26" s="177"/>
      <c r="H26" s="177"/>
      <c r="I26" s="178"/>
    </row>
    <row r="27" spans="1:9" ht="18.75" customHeight="1" x14ac:dyDescent="0.2">
      <c r="A27" s="82"/>
      <c r="B27" s="176"/>
      <c r="C27" s="177"/>
      <c r="D27" s="177"/>
      <c r="E27" s="177"/>
      <c r="F27" s="177"/>
      <c r="G27" s="177"/>
      <c r="H27" s="177"/>
      <c r="I27" s="178"/>
    </row>
    <row r="28" spans="1:9" ht="18.75" customHeight="1" x14ac:dyDescent="0.2">
      <c r="A28" s="82"/>
      <c r="B28" s="176"/>
      <c r="C28" s="177"/>
      <c r="D28" s="177"/>
      <c r="E28" s="177"/>
      <c r="F28" s="177"/>
      <c r="G28" s="177"/>
      <c r="H28" s="177"/>
      <c r="I28" s="178"/>
    </row>
    <row r="29" spans="1:9" ht="18.75" customHeight="1" x14ac:dyDescent="0.2">
      <c r="A29" s="82"/>
      <c r="B29" s="176"/>
      <c r="C29" s="177"/>
      <c r="D29" s="177"/>
      <c r="E29" s="177"/>
      <c r="F29" s="177"/>
      <c r="G29" s="177"/>
      <c r="H29" s="177"/>
      <c r="I29" s="178"/>
    </row>
    <row r="30" spans="1:9" ht="18.75" customHeight="1" x14ac:dyDescent="0.2">
      <c r="A30" s="82"/>
      <c r="B30" s="179"/>
      <c r="C30" s="180"/>
      <c r="D30" s="180"/>
      <c r="E30" s="180"/>
      <c r="F30" s="180"/>
      <c r="G30" s="180"/>
      <c r="H30" s="180"/>
      <c r="I30" s="178"/>
    </row>
    <row r="31" spans="1:9" ht="18.75" customHeight="1" x14ac:dyDescent="0.2">
      <c r="A31" s="82"/>
      <c r="B31" s="179"/>
      <c r="C31" s="180"/>
      <c r="D31" s="180"/>
      <c r="E31" s="180"/>
      <c r="F31" s="180"/>
      <c r="G31" s="180"/>
      <c r="H31" s="180"/>
      <c r="I31" s="178"/>
    </row>
    <row r="32" spans="1:9" ht="18.75" customHeight="1" x14ac:dyDescent="0.2">
      <c r="A32" s="82"/>
      <c r="B32" s="181"/>
      <c r="C32" s="182"/>
      <c r="D32" s="182"/>
      <c r="E32" s="182"/>
      <c r="F32" s="182"/>
      <c r="G32" s="182"/>
      <c r="H32" s="182"/>
      <c r="I32" s="183"/>
    </row>
    <row r="33" spans="1:9" ht="7.5" customHeight="1" x14ac:dyDescent="0.2">
      <c r="A33" s="82"/>
      <c r="B33" s="82"/>
      <c r="C33" s="82"/>
      <c r="D33" s="82"/>
      <c r="E33" s="82"/>
      <c r="F33" s="82"/>
      <c r="G33" s="82"/>
      <c r="H33" s="82"/>
      <c r="I33" s="82"/>
    </row>
    <row r="34" spans="1:9" ht="18.75" customHeight="1" x14ac:dyDescent="0.2">
      <c r="A34" s="78" t="s">
        <v>126</v>
      </c>
      <c r="B34" s="78" t="s">
        <v>127</v>
      </c>
      <c r="C34" s="9"/>
      <c r="D34" s="78"/>
      <c r="E34" s="78"/>
      <c r="F34" s="78"/>
      <c r="G34" s="78"/>
      <c r="H34" s="78"/>
      <c r="I34" s="78"/>
    </row>
    <row r="35" spans="1:9" ht="18.75" customHeight="1" x14ac:dyDescent="0.2">
      <c r="A35" s="82"/>
      <c r="B35" s="184" t="s">
        <v>128</v>
      </c>
      <c r="C35" s="185"/>
      <c r="D35" s="185"/>
      <c r="E35" s="185"/>
      <c r="F35" s="185"/>
      <c r="G35" s="185"/>
      <c r="H35" s="185"/>
      <c r="I35" s="186"/>
    </row>
    <row r="36" spans="1:9" ht="18.75" customHeight="1" x14ac:dyDescent="0.2">
      <c r="A36" s="82"/>
      <c r="B36" s="187"/>
      <c r="C36" s="188"/>
      <c r="D36" s="188"/>
      <c r="E36" s="188"/>
      <c r="F36" s="188"/>
      <c r="G36" s="188"/>
      <c r="H36" s="188"/>
      <c r="I36" s="189"/>
    </row>
    <row r="37" spans="1:9" ht="18.75" customHeight="1" x14ac:dyDescent="0.2">
      <c r="A37" s="82"/>
      <c r="B37" s="187"/>
      <c r="C37" s="188"/>
      <c r="D37" s="188"/>
      <c r="E37" s="188"/>
      <c r="F37" s="188"/>
      <c r="G37" s="188"/>
      <c r="H37" s="188"/>
      <c r="I37" s="189"/>
    </row>
    <row r="38" spans="1:9" ht="18.75" customHeight="1" x14ac:dyDescent="0.2">
      <c r="A38" s="82"/>
      <c r="B38" s="187"/>
      <c r="C38" s="188"/>
      <c r="D38" s="188"/>
      <c r="E38" s="188"/>
      <c r="F38" s="188"/>
      <c r="G38" s="188"/>
      <c r="H38" s="188"/>
      <c r="I38" s="189"/>
    </row>
    <row r="39" spans="1:9" ht="18.75" customHeight="1" x14ac:dyDescent="0.2">
      <c r="A39" s="82"/>
      <c r="B39" s="187"/>
      <c r="C39" s="188"/>
      <c r="D39" s="188"/>
      <c r="E39" s="188"/>
      <c r="F39" s="188"/>
      <c r="G39" s="188"/>
      <c r="H39" s="188"/>
      <c r="I39" s="189"/>
    </row>
    <row r="40" spans="1:9" ht="18.75" customHeight="1" x14ac:dyDescent="0.2">
      <c r="A40" s="82"/>
      <c r="B40" s="187"/>
      <c r="C40" s="188"/>
      <c r="D40" s="188"/>
      <c r="E40" s="188"/>
      <c r="F40" s="188"/>
      <c r="G40" s="188"/>
      <c r="H40" s="188"/>
      <c r="I40" s="189"/>
    </row>
    <row r="41" spans="1:9" ht="18.75" customHeight="1" x14ac:dyDescent="0.2">
      <c r="A41" s="82"/>
      <c r="B41" s="187"/>
      <c r="C41" s="188"/>
      <c r="D41" s="188"/>
      <c r="E41" s="188"/>
      <c r="F41" s="188"/>
      <c r="G41" s="188"/>
      <c r="H41" s="188"/>
      <c r="I41" s="189"/>
    </row>
    <row r="42" spans="1:9" ht="18.75" customHeight="1" x14ac:dyDescent="0.2">
      <c r="A42" s="82"/>
      <c r="B42" s="187"/>
      <c r="C42" s="188"/>
      <c r="D42" s="188"/>
      <c r="E42" s="188"/>
      <c r="F42" s="188"/>
      <c r="G42" s="188"/>
      <c r="H42" s="188"/>
      <c r="I42" s="189"/>
    </row>
    <row r="43" spans="1:9" ht="18.75" customHeight="1" x14ac:dyDescent="0.2">
      <c r="A43" s="82"/>
      <c r="B43" s="187"/>
      <c r="C43" s="188"/>
      <c r="D43" s="188"/>
      <c r="E43" s="188"/>
      <c r="F43" s="188"/>
      <c r="G43" s="188"/>
      <c r="H43" s="188"/>
      <c r="I43" s="189"/>
    </row>
    <row r="44" spans="1:9" ht="18.75" customHeight="1" x14ac:dyDescent="0.2">
      <c r="A44" s="82"/>
      <c r="B44" s="187"/>
      <c r="C44" s="188"/>
      <c r="D44" s="188"/>
      <c r="E44" s="188"/>
      <c r="F44" s="188"/>
      <c r="G44" s="188"/>
      <c r="H44" s="188"/>
      <c r="I44" s="189"/>
    </row>
    <row r="45" spans="1:9" ht="18.75" customHeight="1" x14ac:dyDescent="0.2">
      <c r="A45" s="82"/>
      <c r="B45" s="187"/>
      <c r="C45" s="188"/>
      <c r="D45" s="188"/>
      <c r="E45" s="188"/>
      <c r="F45" s="188"/>
      <c r="G45" s="188"/>
      <c r="H45" s="188"/>
      <c r="I45" s="189"/>
    </row>
    <row r="46" spans="1:9" ht="18.75" customHeight="1" x14ac:dyDescent="0.2">
      <c r="A46" s="82"/>
      <c r="B46" s="190"/>
      <c r="C46" s="191"/>
      <c r="D46" s="191"/>
      <c r="E46" s="191"/>
      <c r="F46" s="191"/>
      <c r="G46" s="191"/>
      <c r="H46" s="191"/>
      <c r="I46" s="192"/>
    </row>
    <row r="47" spans="1:9" ht="7.5" customHeight="1" x14ac:dyDescent="0.2">
      <c r="A47" s="4"/>
      <c r="B47" s="4"/>
      <c r="C47" s="4"/>
      <c r="D47" s="4"/>
      <c r="E47" s="4"/>
      <c r="F47" s="4"/>
      <c r="G47" s="4"/>
      <c r="H47" s="4"/>
      <c r="I47" s="4"/>
    </row>
    <row r="48" spans="1:9" ht="18.75" customHeight="1" x14ac:dyDescent="0.2">
      <c r="A48" s="1" t="s">
        <v>129</v>
      </c>
      <c r="B48" s="1" t="s">
        <v>130</v>
      </c>
    </row>
    <row r="49" spans="1:15" s="3" customFormat="1" ht="18.75" customHeight="1" x14ac:dyDescent="0.2">
      <c r="B49" s="69" t="s">
        <v>131</v>
      </c>
      <c r="C49" s="223">
        <f>'様式２ 履修者等数の実績'!S33</f>
        <v>0.60813953488372097</v>
      </c>
      <c r="D49" s="223"/>
      <c r="E49" s="69" t="s">
        <v>132</v>
      </c>
      <c r="F49" s="223">
        <v>0.74</v>
      </c>
      <c r="G49" s="223"/>
      <c r="H49" s="69" t="s">
        <v>133</v>
      </c>
      <c r="I49" s="81">
        <v>0.87</v>
      </c>
      <c r="J49" s="1"/>
      <c r="M49" s="1"/>
      <c r="N49" s="18"/>
    </row>
    <row r="50" spans="1:15" s="3" customFormat="1" ht="18.75" customHeight="1" x14ac:dyDescent="0.2">
      <c r="B50" s="70" t="s">
        <v>134</v>
      </c>
      <c r="C50" s="206">
        <v>1</v>
      </c>
      <c r="D50" s="206"/>
      <c r="E50" s="70" t="s">
        <v>135</v>
      </c>
      <c r="F50" s="206">
        <v>1</v>
      </c>
      <c r="G50" s="206"/>
      <c r="H50" s="70" t="s">
        <v>136</v>
      </c>
      <c r="I50" s="72">
        <f>'様式２ 履修者等数の実績'!E33</f>
        <v>860</v>
      </c>
      <c r="J50" s="1"/>
      <c r="M50" s="1"/>
      <c r="N50" s="18"/>
    </row>
    <row r="51" spans="1:15" ht="18.75" customHeight="1" x14ac:dyDescent="0.2">
      <c r="A51" s="1"/>
      <c r="B51" s="203" t="s">
        <v>137</v>
      </c>
      <c r="C51" s="204"/>
      <c r="D51" s="204"/>
      <c r="E51" s="204"/>
      <c r="F51" s="204"/>
      <c r="G51" s="204"/>
      <c r="H51" s="204"/>
      <c r="I51" s="205"/>
      <c r="N51" s="18"/>
      <c r="O51" s="3"/>
    </row>
    <row r="52" spans="1:15" ht="18.75" customHeight="1" x14ac:dyDescent="0.2">
      <c r="A52" s="1"/>
      <c r="B52" s="224" t="s">
        <v>138</v>
      </c>
      <c r="C52" s="225"/>
      <c r="D52" s="225"/>
      <c r="E52" s="225"/>
      <c r="F52" s="225"/>
      <c r="G52" s="225"/>
      <c r="H52" s="225"/>
      <c r="I52" s="226"/>
      <c r="N52" s="18"/>
      <c r="O52" s="3"/>
    </row>
    <row r="53" spans="1:15" ht="18.75" customHeight="1" x14ac:dyDescent="0.2">
      <c r="A53" s="1"/>
      <c r="B53" s="227"/>
      <c r="C53" s="228"/>
      <c r="D53" s="228"/>
      <c r="E53" s="228"/>
      <c r="F53" s="228"/>
      <c r="G53" s="228"/>
      <c r="H53" s="228"/>
      <c r="I53" s="229"/>
      <c r="N53" s="18"/>
      <c r="O53" s="3"/>
    </row>
    <row r="54" spans="1:15" ht="18.75" customHeight="1" x14ac:dyDescent="0.2">
      <c r="A54" s="1"/>
      <c r="B54" s="227"/>
      <c r="C54" s="228"/>
      <c r="D54" s="228"/>
      <c r="E54" s="228"/>
      <c r="F54" s="228"/>
      <c r="G54" s="228"/>
      <c r="H54" s="228"/>
      <c r="I54" s="229"/>
    </row>
    <row r="55" spans="1:15" ht="18.75" customHeight="1" x14ac:dyDescent="0.2">
      <c r="A55" s="1"/>
      <c r="B55" s="227"/>
      <c r="C55" s="228"/>
      <c r="D55" s="228"/>
      <c r="E55" s="228"/>
      <c r="F55" s="228"/>
      <c r="G55" s="228"/>
      <c r="H55" s="228"/>
      <c r="I55" s="229"/>
    </row>
    <row r="56" spans="1:15" ht="18.75" customHeight="1" x14ac:dyDescent="0.2">
      <c r="A56" s="1"/>
      <c r="B56" s="227"/>
      <c r="C56" s="228"/>
      <c r="D56" s="228"/>
      <c r="E56" s="228"/>
      <c r="F56" s="228"/>
      <c r="G56" s="228"/>
      <c r="H56" s="228"/>
      <c r="I56" s="229"/>
    </row>
    <row r="57" spans="1:15" ht="18.75" customHeight="1" x14ac:dyDescent="0.2">
      <c r="A57" s="1"/>
      <c r="B57" s="227"/>
      <c r="C57" s="228"/>
      <c r="D57" s="228"/>
      <c r="E57" s="228"/>
      <c r="F57" s="228"/>
      <c r="G57" s="228"/>
      <c r="H57" s="228"/>
      <c r="I57" s="229"/>
    </row>
    <row r="58" spans="1:15" ht="18.75" customHeight="1" x14ac:dyDescent="0.2">
      <c r="A58" s="1"/>
      <c r="B58" s="227"/>
      <c r="C58" s="228"/>
      <c r="D58" s="228"/>
      <c r="E58" s="228"/>
      <c r="F58" s="228"/>
      <c r="G58" s="228"/>
      <c r="H58" s="228"/>
      <c r="I58" s="229"/>
    </row>
    <row r="59" spans="1:15" ht="18.75" customHeight="1" x14ac:dyDescent="0.2">
      <c r="A59" s="1"/>
      <c r="B59" s="227"/>
      <c r="C59" s="228"/>
      <c r="D59" s="228"/>
      <c r="E59" s="228"/>
      <c r="F59" s="228"/>
      <c r="G59" s="228"/>
      <c r="H59" s="228"/>
      <c r="I59" s="229"/>
    </row>
    <row r="60" spans="1:15" ht="18.75" customHeight="1" x14ac:dyDescent="0.2">
      <c r="A60" s="1"/>
      <c r="B60" s="227"/>
      <c r="C60" s="228"/>
      <c r="D60" s="228"/>
      <c r="E60" s="228"/>
      <c r="F60" s="228"/>
      <c r="G60" s="228"/>
      <c r="H60" s="228"/>
      <c r="I60" s="229"/>
    </row>
    <row r="61" spans="1:15" ht="18.75" customHeight="1" x14ac:dyDescent="0.2">
      <c r="A61" s="1"/>
      <c r="B61" s="227"/>
      <c r="C61" s="228"/>
      <c r="D61" s="228"/>
      <c r="E61" s="228"/>
      <c r="F61" s="228"/>
      <c r="G61" s="228"/>
      <c r="H61" s="228"/>
      <c r="I61" s="229"/>
    </row>
    <row r="62" spans="1:15" ht="18.75" customHeight="1" x14ac:dyDescent="0.2">
      <c r="A62" s="1"/>
      <c r="B62" s="227"/>
      <c r="C62" s="228"/>
      <c r="D62" s="228"/>
      <c r="E62" s="228"/>
      <c r="F62" s="228"/>
      <c r="G62" s="228"/>
      <c r="H62" s="228"/>
      <c r="I62" s="229"/>
    </row>
    <row r="63" spans="1:15" ht="18.75" customHeight="1" x14ac:dyDescent="0.2">
      <c r="A63" s="1"/>
      <c r="B63" s="230"/>
      <c r="C63" s="231"/>
      <c r="D63" s="231"/>
      <c r="E63" s="231"/>
      <c r="F63" s="231"/>
      <c r="G63" s="231"/>
      <c r="H63" s="231"/>
      <c r="I63" s="232"/>
    </row>
    <row r="64" spans="1:15" ht="7.5" customHeight="1" x14ac:dyDescent="0.2">
      <c r="A64" s="82"/>
      <c r="B64" s="82"/>
      <c r="C64" s="82"/>
      <c r="D64" s="82"/>
      <c r="E64" s="82"/>
      <c r="F64" s="82"/>
      <c r="G64" s="82"/>
      <c r="H64" s="82"/>
      <c r="I64" s="82"/>
    </row>
    <row r="65" spans="1:9" ht="18.75" customHeight="1" x14ac:dyDescent="0.2">
      <c r="A65" s="78" t="s">
        <v>139</v>
      </c>
      <c r="B65" s="1" t="s">
        <v>140</v>
      </c>
      <c r="I65" s="78"/>
    </row>
    <row r="66" spans="1:9" ht="18.75" customHeight="1" x14ac:dyDescent="0.2">
      <c r="A66" s="4"/>
      <c r="B66" s="207" t="s">
        <v>141</v>
      </c>
      <c r="C66" s="208"/>
      <c r="D66" s="208"/>
      <c r="E66" s="208"/>
      <c r="F66" s="208"/>
      <c r="G66" s="208"/>
      <c r="H66" s="208"/>
      <c r="I66" s="209"/>
    </row>
    <row r="67" spans="1:9" ht="18.75" customHeight="1" x14ac:dyDescent="0.2">
      <c r="A67" s="4"/>
      <c r="B67" s="210"/>
      <c r="C67" s="211"/>
      <c r="D67" s="211"/>
      <c r="E67" s="211"/>
      <c r="F67" s="211"/>
      <c r="G67" s="211"/>
      <c r="H67" s="211"/>
      <c r="I67" s="212"/>
    </row>
    <row r="68" spans="1:9" ht="18.75" customHeight="1" x14ac:dyDescent="0.2">
      <c r="A68" s="4"/>
      <c r="B68" s="210"/>
      <c r="C68" s="211"/>
      <c r="D68" s="211"/>
      <c r="E68" s="211"/>
      <c r="F68" s="211"/>
      <c r="G68" s="211"/>
      <c r="H68" s="211"/>
      <c r="I68" s="212"/>
    </row>
    <row r="69" spans="1:9" ht="18.75" customHeight="1" x14ac:dyDescent="0.2">
      <c r="A69" s="4"/>
      <c r="B69" s="210"/>
      <c r="C69" s="211"/>
      <c r="D69" s="211"/>
      <c r="E69" s="211"/>
      <c r="F69" s="211"/>
      <c r="G69" s="211"/>
      <c r="H69" s="211"/>
      <c r="I69" s="212"/>
    </row>
    <row r="70" spans="1:9" ht="18.75" customHeight="1" x14ac:dyDescent="0.2">
      <c r="A70" s="4"/>
      <c r="B70" s="210"/>
      <c r="C70" s="211"/>
      <c r="D70" s="211"/>
      <c r="E70" s="211"/>
      <c r="F70" s="211"/>
      <c r="G70" s="211"/>
      <c r="H70" s="211"/>
      <c r="I70" s="212"/>
    </row>
    <row r="71" spans="1:9" ht="18.75" customHeight="1" x14ac:dyDescent="0.2">
      <c r="A71" s="4"/>
      <c r="B71" s="210"/>
      <c r="C71" s="211"/>
      <c r="D71" s="211"/>
      <c r="E71" s="211"/>
      <c r="F71" s="211"/>
      <c r="G71" s="211"/>
      <c r="H71" s="211"/>
      <c r="I71" s="212"/>
    </row>
    <row r="72" spans="1:9" ht="18.75" customHeight="1" x14ac:dyDescent="0.2">
      <c r="A72" s="4"/>
      <c r="B72" s="210"/>
      <c r="C72" s="211"/>
      <c r="D72" s="211"/>
      <c r="E72" s="211"/>
      <c r="F72" s="211"/>
      <c r="G72" s="211"/>
      <c r="H72" s="211"/>
      <c r="I72" s="212"/>
    </row>
    <row r="73" spans="1:9" ht="18.75" customHeight="1" x14ac:dyDescent="0.2">
      <c r="A73" s="4"/>
      <c r="B73" s="210"/>
      <c r="C73" s="211"/>
      <c r="D73" s="211"/>
      <c r="E73" s="211"/>
      <c r="F73" s="211"/>
      <c r="G73" s="211"/>
      <c r="H73" s="211"/>
      <c r="I73" s="212"/>
    </row>
    <row r="74" spans="1:9" ht="18.75" customHeight="1" x14ac:dyDescent="0.2">
      <c r="A74" s="4"/>
      <c r="B74" s="210"/>
      <c r="C74" s="211"/>
      <c r="D74" s="211"/>
      <c r="E74" s="211"/>
      <c r="F74" s="211"/>
      <c r="G74" s="211"/>
      <c r="H74" s="211"/>
      <c r="I74" s="212"/>
    </row>
    <row r="75" spans="1:9" ht="18.75" customHeight="1" x14ac:dyDescent="0.2">
      <c r="A75" s="4"/>
      <c r="B75" s="210"/>
      <c r="C75" s="211"/>
      <c r="D75" s="211"/>
      <c r="E75" s="211"/>
      <c r="F75" s="211"/>
      <c r="G75" s="211"/>
      <c r="H75" s="211"/>
      <c r="I75" s="212"/>
    </row>
    <row r="76" spans="1:9" ht="18.75" customHeight="1" x14ac:dyDescent="0.2">
      <c r="A76" s="4"/>
      <c r="B76" s="210"/>
      <c r="C76" s="211"/>
      <c r="D76" s="211"/>
      <c r="E76" s="211"/>
      <c r="F76" s="211"/>
      <c r="G76" s="211"/>
      <c r="H76" s="211"/>
      <c r="I76" s="212"/>
    </row>
    <row r="77" spans="1:9" ht="18.75" customHeight="1" x14ac:dyDescent="0.2">
      <c r="A77" s="4"/>
      <c r="B77" s="213"/>
      <c r="C77" s="214"/>
      <c r="D77" s="214"/>
      <c r="E77" s="214"/>
      <c r="F77" s="214"/>
      <c r="G77" s="214"/>
      <c r="H77" s="214"/>
      <c r="I77" s="215"/>
    </row>
    <row r="78" spans="1:9" ht="7.5" customHeight="1" x14ac:dyDescent="0.2">
      <c r="A78" s="4"/>
      <c r="B78" s="4"/>
      <c r="C78" s="4"/>
      <c r="D78" s="4"/>
      <c r="E78" s="4"/>
      <c r="F78" s="4"/>
      <c r="G78" s="4"/>
      <c r="H78" s="4"/>
      <c r="I78" s="4"/>
    </row>
    <row r="79" spans="1:9" ht="18.75" customHeight="1" x14ac:dyDescent="0.2">
      <c r="A79" s="1" t="s">
        <v>142</v>
      </c>
      <c r="B79" s="1" t="s">
        <v>143</v>
      </c>
    </row>
    <row r="80" spans="1:9" ht="18.75" customHeight="1" x14ac:dyDescent="0.2">
      <c r="A80" s="1"/>
      <c r="B80" s="207" t="s">
        <v>144</v>
      </c>
      <c r="C80" s="208"/>
      <c r="D80" s="208"/>
      <c r="E80" s="208"/>
      <c r="F80" s="208"/>
      <c r="G80" s="208"/>
      <c r="H80" s="208"/>
      <c r="I80" s="216"/>
    </row>
    <row r="81" spans="1:9" ht="18.75" customHeight="1" x14ac:dyDescent="0.2">
      <c r="A81" s="1"/>
      <c r="B81" s="217"/>
      <c r="C81" s="218"/>
      <c r="D81" s="218"/>
      <c r="E81" s="218"/>
      <c r="F81" s="218"/>
      <c r="G81" s="218"/>
      <c r="H81" s="218"/>
      <c r="I81" s="219"/>
    </row>
    <row r="82" spans="1:9" ht="18.75" customHeight="1" x14ac:dyDescent="0.2">
      <c r="A82" s="1"/>
      <c r="B82" s="217"/>
      <c r="C82" s="218"/>
      <c r="D82" s="218"/>
      <c r="E82" s="218"/>
      <c r="F82" s="218"/>
      <c r="G82" s="218"/>
      <c r="H82" s="218"/>
      <c r="I82" s="219"/>
    </row>
    <row r="83" spans="1:9" ht="18.75" customHeight="1" x14ac:dyDescent="0.2">
      <c r="A83" s="1"/>
      <c r="B83" s="217"/>
      <c r="C83" s="218"/>
      <c r="D83" s="218"/>
      <c r="E83" s="218"/>
      <c r="F83" s="218"/>
      <c r="G83" s="218"/>
      <c r="H83" s="218"/>
      <c r="I83" s="219"/>
    </row>
    <row r="84" spans="1:9" ht="18.75" customHeight="1" x14ac:dyDescent="0.2">
      <c r="A84" s="1"/>
      <c r="B84" s="217"/>
      <c r="C84" s="218"/>
      <c r="D84" s="218"/>
      <c r="E84" s="218"/>
      <c r="F84" s="218"/>
      <c r="G84" s="218"/>
      <c r="H84" s="218"/>
      <c r="I84" s="219"/>
    </row>
    <row r="85" spans="1:9" ht="18.75" customHeight="1" x14ac:dyDescent="0.2">
      <c r="A85" s="1"/>
      <c r="B85" s="217"/>
      <c r="C85" s="218"/>
      <c r="D85" s="218"/>
      <c r="E85" s="218"/>
      <c r="F85" s="218"/>
      <c r="G85" s="218"/>
      <c r="H85" s="218"/>
      <c r="I85" s="219"/>
    </row>
    <row r="86" spans="1:9" ht="18.75" customHeight="1" x14ac:dyDescent="0.2">
      <c r="A86" s="1"/>
      <c r="B86" s="217"/>
      <c r="C86" s="218"/>
      <c r="D86" s="218"/>
      <c r="E86" s="218"/>
      <c r="F86" s="218"/>
      <c r="G86" s="218"/>
      <c r="H86" s="218"/>
      <c r="I86" s="219"/>
    </row>
    <row r="87" spans="1:9" ht="18.75" customHeight="1" x14ac:dyDescent="0.2">
      <c r="A87" s="1"/>
      <c r="B87" s="217"/>
      <c r="C87" s="218"/>
      <c r="D87" s="218"/>
      <c r="E87" s="218"/>
      <c r="F87" s="218"/>
      <c r="G87" s="218"/>
      <c r="H87" s="218"/>
      <c r="I87" s="219"/>
    </row>
    <row r="88" spans="1:9" ht="18.75" customHeight="1" x14ac:dyDescent="0.2">
      <c r="A88" s="1"/>
      <c r="B88" s="217"/>
      <c r="C88" s="218"/>
      <c r="D88" s="218"/>
      <c r="E88" s="218"/>
      <c r="F88" s="218"/>
      <c r="G88" s="218"/>
      <c r="H88" s="218"/>
      <c r="I88" s="219"/>
    </row>
    <row r="89" spans="1:9" ht="18.75" customHeight="1" x14ac:dyDescent="0.2">
      <c r="A89" s="1"/>
      <c r="B89" s="217"/>
      <c r="C89" s="218"/>
      <c r="D89" s="218"/>
      <c r="E89" s="218"/>
      <c r="F89" s="218"/>
      <c r="G89" s="218"/>
      <c r="H89" s="218"/>
      <c r="I89" s="219"/>
    </row>
    <row r="90" spans="1:9" ht="18.75" customHeight="1" x14ac:dyDescent="0.2">
      <c r="A90" s="4"/>
      <c r="B90" s="217"/>
      <c r="C90" s="218"/>
      <c r="D90" s="218"/>
      <c r="E90" s="218"/>
      <c r="F90" s="218"/>
      <c r="G90" s="218"/>
      <c r="H90" s="218"/>
      <c r="I90" s="219"/>
    </row>
    <row r="91" spans="1:9" ht="18.75" customHeight="1" x14ac:dyDescent="0.2">
      <c r="A91" s="4"/>
      <c r="B91" s="220"/>
      <c r="C91" s="221"/>
      <c r="D91" s="221"/>
      <c r="E91" s="221"/>
      <c r="F91" s="221"/>
      <c r="G91" s="221"/>
      <c r="H91" s="221"/>
      <c r="I91" s="222"/>
    </row>
    <row r="92" spans="1:9" ht="7.5" customHeight="1" x14ac:dyDescent="0.2">
      <c r="A92" s="4"/>
      <c r="B92" s="4"/>
      <c r="C92" s="4"/>
      <c r="D92" s="4"/>
      <c r="E92" s="4"/>
      <c r="F92" s="4"/>
      <c r="G92" s="4"/>
      <c r="H92" s="4"/>
      <c r="I92" s="4"/>
    </row>
    <row r="93" spans="1:9" ht="18.75" customHeight="1" x14ac:dyDescent="0.2">
      <c r="A93" s="1" t="s">
        <v>145</v>
      </c>
      <c r="B93" s="1" t="s">
        <v>146</v>
      </c>
    </row>
    <row r="94" spans="1:9" ht="18.75" customHeight="1" x14ac:dyDescent="0.2">
      <c r="A94" s="1"/>
      <c r="B94" s="173" t="s">
        <v>147</v>
      </c>
      <c r="C94" s="174"/>
      <c r="D94" s="174"/>
      <c r="E94" s="174"/>
      <c r="F94" s="174"/>
      <c r="G94" s="174"/>
      <c r="H94" s="174"/>
      <c r="I94" s="175"/>
    </row>
    <row r="95" spans="1:9" ht="18.75" customHeight="1" x14ac:dyDescent="0.2">
      <c r="A95" s="1"/>
      <c r="B95" s="179"/>
      <c r="C95" s="180"/>
      <c r="D95" s="180"/>
      <c r="E95" s="180"/>
      <c r="F95" s="180"/>
      <c r="G95" s="180"/>
      <c r="H95" s="180"/>
      <c r="I95" s="178"/>
    </row>
    <row r="96" spans="1:9" ht="18.75" customHeight="1" x14ac:dyDescent="0.2">
      <c r="A96" s="1"/>
      <c r="B96" s="179"/>
      <c r="C96" s="180"/>
      <c r="D96" s="180"/>
      <c r="E96" s="180"/>
      <c r="F96" s="180"/>
      <c r="G96" s="180"/>
      <c r="H96" s="180"/>
      <c r="I96" s="178"/>
    </row>
    <row r="97" spans="1:9" ht="18.75" customHeight="1" x14ac:dyDescent="0.2">
      <c r="A97" s="1"/>
      <c r="B97" s="179"/>
      <c r="C97" s="180"/>
      <c r="D97" s="180"/>
      <c r="E97" s="180"/>
      <c r="F97" s="180"/>
      <c r="G97" s="180"/>
      <c r="H97" s="180"/>
      <c r="I97" s="178"/>
    </row>
    <row r="98" spans="1:9" ht="18.75" customHeight="1" x14ac:dyDescent="0.2">
      <c r="A98" s="1"/>
      <c r="B98" s="179"/>
      <c r="C98" s="180"/>
      <c r="D98" s="180"/>
      <c r="E98" s="180"/>
      <c r="F98" s="180"/>
      <c r="G98" s="180"/>
      <c r="H98" s="180"/>
      <c r="I98" s="178"/>
    </row>
    <row r="99" spans="1:9" ht="18.75" customHeight="1" x14ac:dyDescent="0.2">
      <c r="A99" s="1"/>
      <c r="B99" s="179"/>
      <c r="C99" s="180"/>
      <c r="D99" s="180"/>
      <c r="E99" s="180"/>
      <c r="F99" s="180"/>
      <c r="G99" s="180"/>
      <c r="H99" s="180"/>
      <c r="I99" s="178"/>
    </row>
    <row r="100" spans="1:9" ht="18.75" customHeight="1" x14ac:dyDescent="0.2">
      <c r="A100" s="1"/>
      <c r="B100" s="179"/>
      <c r="C100" s="180"/>
      <c r="D100" s="180"/>
      <c r="E100" s="180"/>
      <c r="F100" s="180"/>
      <c r="G100" s="180"/>
      <c r="H100" s="180"/>
      <c r="I100" s="178"/>
    </row>
    <row r="101" spans="1:9" ht="18.75" customHeight="1" x14ac:dyDescent="0.2">
      <c r="A101" s="1"/>
      <c r="B101" s="179"/>
      <c r="C101" s="180"/>
      <c r="D101" s="180"/>
      <c r="E101" s="180"/>
      <c r="F101" s="180"/>
      <c r="G101" s="180"/>
      <c r="H101" s="180"/>
      <c r="I101" s="178"/>
    </row>
    <row r="102" spans="1:9" ht="18.75" customHeight="1" x14ac:dyDescent="0.2">
      <c r="A102" s="1"/>
      <c r="B102" s="179"/>
      <c r="C102" s="180"/>
      <c r="D102" s="180"/>
      <c r="E102" s="180"/>
      <c r="F102" s="180"/>
      <c r="G102" s="180"/>
      <c r="H102" s="180"/>
      <c r="I102" s="178"/>
    </row>
    <row r="103" spans="1:9" ht="18.75" customHeight="1" x14ac:dyDescent="0.2">
      <c r="A103" s="1"/>
      <c r="B103" s="179"/>
      <c r="C103" s="180"/>
      <c r="D103" s="180"/>
      <c r="E103" s="180"/>
      <c r="F103" s="180"/>
      <c r="G103" s="180"/>
      <c r="H103" s="180"/>
      <c r="I103" s="178"/>
    </row>
    <row r="104" spans="1:9" ht="18.75" customHeight="1" x14ac:dyDescent="0.2">
      <c r="A104" s="1"/>
      <c r="B104" s="179"/>
      <c r="C104" s="180"/>
      <c r="D104" s="180"/>
      <c r="E104" s="180"/>
      <c r="F104" s="180"/>
      <c r="G104" s="180"/>
      <c r="H104" s="180"/>
      <c r="I104" s="178"/>
    </row>
    <row r="105" spans="1:9" ht="18.75" customHeight="1" x14ac:dyDescent="0.2">
      <c r="A105" s="4"/>
      <c r="B105" s="181"/>
      <c r="C105" s="182"/>
      <c r="D105" s="182"/>
      <c r="E105" s="182"/>
      <c r="F105" s="182"/>
      <c r="G105" s="182"/>
      <c r="H105" s="182"/>
      <c r="I105" s="183"/>
    </row>
    <row r="106" spans="1:9" ht="7.5" customHeight="1" x14ac:dyDescent="0.2">
      <c r="A106" s="4"/>
      <c r="B106" s="4"/>
      <c r="C106" s="4"/>
      <c r="D106" s="4"/>
      <c r="E106" s="4"/>
      <c r="F106" s="4"/>
      <c r="G106" s="4"/>
      <c r="H106" s="4"/>
      <c r="I106" s="4"/>
    </row>
    <row r="107" spans="1:9" ht="18.75" customHeight="1" x14ac:dyDescent="0.2">
      <c r="A107" s="1" t="s">
        <v>148</v>
      </c>
      <c r="B107" s="202" t="s">
        <v>149</v>
      </c>
      <c r="C107" s="202"/>
      <c r="D107" s="202"/>
      <c r="E107" s="202"/>
      <c r="F107" s="202"/>
      <c r="G107" s="202"/>
      <c r="H107" s="202"/>
      <c r="I107" s="202"/>
    </row>
    <row r="108" spans="1:9" ht="18.75" customHeight="1" x14ac:dyDescent="0.2">
      <c r="A108" s="4"/>
      <c r="B108" s="173" t="s">
        <v>150</v>
      </c>
      <c r="C108" s="174"/>
      <c r="D108" s="174"/>
      <c r="E108" s="174"/>
      <c r="F108" s="174"/>
      <c r="G108" s="174"/>
      <c r="H108" s="174"/>
      <c r="I108" s="175"/>
    </row>
    <row r="109" spans="1:9" ht="18.75" customHeight="1" x14ac:dyDescent="0.2">
      <c r="A109" s="4"/>
      <c r="B109" s="179"/>
      <c r="C109" s="180"/>
      <c r="D109" s="180"/>
      <c r="E109" s="180"/>
      <c r="F109" s="180"/>
      <c r="G109" s="180"/>
      <c r="H109" s="180"/>
      <c r="I109" s="178"/>
    </row>
    <row r="110" spans="1:9" ht="18.75" customHeight="1" x14ac:dyDescent="0.2">
      <c r="A110" s="4"/>
      <c r="B110" s="179"/>
      <c r="C110" s="180"/>
      <c r="D110" s="180"/>
      <c r="E110" s="180"/>
      <c r="F110" s="180"/>
      <c r="G110" s="180"/>
      <c r="H110" s="180"/>
      <c r="I110" s="178"/>
    </row>
    <row r="111" spans="1:9" ht="18.75" customHeight="1" x14ac:dyDescent="0.2">
      <c r="A111" s="4"/>
      <c r="B111" s="179"/>
      <c r="C111" s="180"/>
      <c r="D111" s="180"/>
      <c r="E111" s="180"/>
      <c r="F111" s="180"/>
      <c r="G111" s="180"/>
      <c r="H111" s="180"/>
      <c r="I111" s="178"/>
    </row>
    <row r="112" spans="1:9" ht="18.75" customHeight="1" x14ac:dyDescent="0.2">
      <c r="A112" s="4"/>
      <c r="B112" s="179"/>
      <c r="C112" s="180"/>
      <c r="D112" s="180"/>
      <c r="E112" s="180"/>
      <c r="F112" s="180"/>
      <c r="G112" s="180"/>
      <c r="H112" s="180"/>
      <c r="I112" s="178"/>
    </row>
    <row r="113" spans="1:9" ht="18.75" customHeight="1" x14ac:dyDescent="0.2">
      <c r="A113" s="4"/>
      <c r="B113" s="179"/>
      <c r="C113" s="180"/>
      <c r="D113" s="180"/>
      <c r="E113" s="180"/>
      <c r="F113" s="180"/>
      <c r="G113" s="180"/>
      <c r="H113" s="180"/>
      <c r="I113" s="178"/>
    </row>
    <row r="114" spans="1:9" ht="18.75" customHeight="1" x14ac:dyDescent="0.2">
      <c r="A114" s="4"/>
      <c r="B114" s="179"/>
      <c r="C114" s="180"/>
      <c r="D114" s="180"/>
      <c r="E114" s="180"/>
      <c r="F114" s="180"/>
      <c r="G114" s="180"/>
      <c r="H114" s="180"/>
      <c r="I114" s="178"/>
    </row>
    <row r="115" spans="1:9" ht="18.75" customHeight="1" x14ac:dyDescent="0.2">
      <c r="A115" s="4"/>
      <c r="B115" s="179"/>
      <c r="C115" s="180"/>
      <c r="D115" s="180"/>
      <c r="E115" s="180"/>
      <c r="F115" s="180"/>
      <c r="G115" s="180"/>
      <c r="H115" s="180"/>
      <c r="I115" s="178"/>
    </row>
    <row r="116" spans="1:9" ht="18.75" customHeight="1" x14ac:dyDescent="0.2">
      <c r="A116" s="4"/>
      <c r="B116" s="179"/>
      <c r="C116" s="180"/>
      <c r="D116" s="180"/>
      <c r="E116" s="180"/>
      <c r="F116" s="180"/>
      <c r="G116" s="180"/>
      <c r="H116" s="180"/>
      <c r="I116" s="178"/>
    </row>
    <row r="117" spans="1:9" ht="18.75" customHeight="1" x14ac:dyDescent="0.2">
      <c r="A117" s="4"/>
      <c r="B117" s="179"/>
      <c r="C117" s="180"/>
      <c r="D117" s="180"/>
      <c r="E117" s="180"/>
      <c r="F117" s="180"/>
      <c r="G117" s="180"/>
      <c r="H117" s="180"/>
      <c r="I117" s="178"/>
    </row>
    <row r="118" spans="1:9" ht="18.75" customHeight="1" x14ac:dyDescent="0.2">
      <c r="A118" s="4"/>
      <c r="B118" s="179"/>
      <c r="C118" s="180"/>
      <c r="D118" s="180"/>
      <c r="E118" s="180"/>
      <c r="F118" s="180"/>
      <c r="G118" s="180"/>
      <c r="H118" s="180"/>
      <c r="I118" s="178"/>
    </row>
    <row r="119" spans="1:9" ht="18.75" customHeight="1" x14ac:dyDescent="0.2">
      <c r="A119" s="4"/>
      <c r="B119" s="181"/>
      <c r="C119" s="182"/>
      <c r="D119" s="182"/>
      <c r="E119" s="182"/>
      <c r="F119" s="182"/>
      <c r="G119" s="182"/>
      <c r="H119" s="182"/>
      <c r="I119" s="183"/>
    </row>
    <row r="120" spans="1:9" ht="7.5" customHeight="1" x14ac:dyDescent="0.2">
      <c r="A120" s="4"/>
      <c r="B120" s="19"/>
      <c r="C120" s="19"/>
      <c r="D120" s="19"/>
      <c r="E120" s="19"/>
      <c r="F120" s="19"/>
      <c r="G120" s="19"/>
      <c r="H120" s="19"/>
      <c r="I120" s="19"/>
    </row>
    <row r="121" spans="1:9" ht="18.75" customHeight="1" x14ac:dyDescent="0.2">
      <c r="A121" s="44"/>
      <c r="B121" s="172"/>
      <c r="C121" s="172"/>
      <c r="D121" s="172"/>
      <c r="E121" s="172"/>
      <c r="F121" s="172"/>
      <c r="G121" s="172"/>
      <c r="H121" s="172"/>
      <c r="I121" s="172"/>
    </row>
    <row r="122" spans="1:9" ht="18.75" customHeight="1" x14ac:dyDescent="0.2">
      <c r="A122" s="44"/>
      <c r="B122" s="172"/>
      <c r="C122" s="172"/>
      <c r="D122" s="172"/>
      <c r="E122" s="172"/>
      <c r="F122" s="172"/>
      <c r="G122" s="172"/>
      <c r="H122" s="172"/>
      <c r="I122" s="172"/>
    </row>
    <row r="123" spans="1:9" ht="18.75" customHeight="1" x14ac:dyDescent="0.2">
      <c r="A123" s="4"/>
      <c r="B123" s="83"/>
      <c r="C123" s="83"/>
      <c r="D123" s="83"/>
      <c r="E123" s="83"/>
      <c r="F123" s="83"/>
      <c r="G123" s="83"/>
      <c r="H123" s="83"/>
      <c r="I123" s="84"/>
    </row>
    <row r="124" spans="1:9" ht="18.75" customHeight="1" x14ac:dyDescent="0.2">
      <c r="A124" s="4"/>
      <c r="B124" s="84"/>
      <c r="C124" s="84"/>
      <c r="D124" s="84"/>
      <c r="E124" s="84"/>
      <c r="F124" s="84"/>
      <c r="G124" s="84"/>
      <c r="H124" s="84"/>
      <c r="I124" s="84"/>
    </row>
    <row r="125" spans="1:9" ht="18.75" customHeight="1" x14ac:dyDescent="0.2">
      <c r="A125" s="4"/>
      <c r="B125" s="84"/>
      <c r="C125" s="84"/>
      <c r="D125" s="84"/>
      <c r="E125" s="84"/>
      <c r="F125" s="84"/>
      <c r="G125" s="84"/>
      <c r="H125" s="84"/>
      <c r="I125" s="84"/>
    </row>
    <row r="126" spans="1:9" ht="18.75" customHeight="1" x14ac:dyDescent="0.2">
      <c r="A126" s="4"/>
      <c r="B126" s="84"/>
      <c r="C126" s="84"/>
      <c r="D126" s="84"/>
      <c r="E126" s="84"/>
      <c r="F126" s="84"/>
      <c r="G126" s="84"/>
      <c r="H126" s="84"/>
      <c r="I126" s="84"/>
    </row>
    <row r="127" spans="1:9" ht="18.75" customHeight="1" x14ac:dyDescent="0.2">
      <c r="A127" s="4"/>
      <c r="B127" s="84"/>
      <c r="C127" s="84"/>
      <c r="D127" s="84"/>
      <c r="E127" s="84"/>
      <c r="F127" s="84"/>
      <c r="G127" s="84"/>
      <c r="H127" s="84"/>
      <c r="I127" s="84"/>
    </row>
    <row r="128" spans="1:9" ht="18.75" customHeight="1" x14ac:dyDescent="0.2">
      <c r="A128" s="4"/>
      <c r="B128" s="84"/>
      <c r="C128" s="84"/>
      <c r="D128" s="84"/>
      <c r="E128" s="84"/>
      <c r="F128" s="84"/>
      <c r="G128" s="84"/>
      <c r="H128" s="84"/>
      <c r="I128" s="84"/>
    </row>
    <row r="129" spans="1:9" ht="18.75" customHeight="1" x14ac:dyDescent="0.2">
      <c r="A129" s="4"/>
      <c r="B129" s="84"/>
      <c r="C129" s="84"/>
      <c r="D129" s="84"/>
      <c r="E129" s="84"/>
      <c r="F129" s="84"/>
      <c r="G129" s="84"/>
      <c r="H129" s="84"/>
      <c r="I129" s="84"/>
    </row>
    <row r="130" spans="1:9" ht="18.75" customHeight="1" x14ac:dyDescent="0.2">
      <c r="A130" s="4"/>
      <c r="B130" s="84"/>
      <c r="C130" s="84"/>
      <c r="D130" s="84"/>
      <c r="E130" s="84"/>
      <c r="F130" s="84"/>
      <c r="G130" s="84"/>
      <c r="H130" s="84"/>
      <c r="I130" s="84"/>
    </row>
    <row r="131" spans="1:9" ht="18.75" customHeight="1" x14ac:dyDescent="0.2">
      <c r="A131" s="4"/>
      <c r="B131" s="84"/>
      <c r="C131" s="84"/>
      <c r="D131" s="84"/>
      <c r="E131" s="84"/>
      <c r="F131" s="84"/>
      <c r="G131" s="84"/>
      <c r="H131" s="84"/>
      <c r="I131" s="84"/>
    </row>
    <row r="132" spans="1:9" ht="18.75" customHeight="1" x14ac:dyDescent="0.2">
      <c r="A132" s="4"/>
      <c r="B132" s="84"/>
      <c r="C132" s="84"/>
      <c r="D132" s="84"/>
      <c r="E132" s="84"/>
      <c r="F132" s="84"/>
      <c r="G132" s="84"/>
      <c r="H132" s="84"/>
      <c r="I132" s="84"/>
    </row>
    <row r="133" spans="1:9" ht="14.4" x14ac:dyDescent="0.2">
      <c r="A133" s="4"/>
      <c r="B133" s="84"/>
      <c r="C133" s="84"/>
      <c r="D133" s="84"/>
      <c r="E133" s="84"/>
      <c r="F133" s="84"/>
      <c r="G133" s="84"/>
      <c r="H133" s="84"/>
      <c r="I133" s="84"/>
    </row>
    <row r="134" spans="1:9" ht="7.5" customHeight="1" x14ac:dyDescent="0.2">
      <c r="A134" s="4"/>
      <c r="B134" s="84"/>
      <c r="C134" s="84"/>
      <c r="D134" s="84"/>
      <c r="E134" s="84"/>
      <c r="F134" s="84"/>
      <c r="G134" s="84"/>
      <c r="H134" s="84"/>
      <c r="I134" s="8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L9" sqref="L9"/>
    </sheetView>
  </sheetViews>
  <sheetFormatPr defaultColWidth="11.44140625" defaultRowHeight="22.5" customHeight="1" x14ac:dyDescent="0.2"/>
  <cols>
    <col min="1" max="3" width="2.6640625" style="1" customWidth="1"/>
    <col min="4" max="4" width="22.33203125" style="1" customWidth="1"/>
    <col min="5" max="5" width="30.6640625" style="1" customWidth="1"/>
    <col min="6" max="7" width="7.6640625" style="1" customWidth="1"/>
    <col min="8" max="9" width="30.6640625" style="1" customWidth="1"/>
    <col min="10" max="10" width="4.109375" style="1" customWidth="1"/>
    <col min="11" max="16384" width="11.44140625" style="1"/>
  </cols>
  <sheetData>
    <row r="1" spans="1:9" ht="18.75" customHeight="1" x14ac:dyDescent="0.2">
      <c r="A1" s="1" t="s">
        <v>151</v>
      </c>
      <c r="I1" s="79" t="s">
        <v>152</v>
      </c>
    </row>
    <row r="2" spans="1:9" ht="18.75" customHeight="1" x14ac:dyDescent="0.2">
      <c r="H2" s="79" t="s">
        <v>2</v>
      </c>
      <c r="I2" s="14" t="str">
        <f>様式１プログラムを構成する授業科目!C2</f>
        <v>旭川医科大学</v>
      </c>
    </row>
    <row r="3" spans="1:9" ht="18.75" customHeight="1" x14ac:dyDescent="0.2">
      <c r="A3" s="112" t="s">
        <v>153</v>
      </c>
      <c r="B3" s="112"/>
      <c r="C3" s="112"/>
      <c r="D3" s="112"/>
      <c r="E3" s="112"/>
      <c r="F3" s="112"/>
      <c r="G3" s="112"/>
      <c r="H3" s="112"/>
      <c r="I3" s="112"/>
    </row>
    <row r="4" spans="1:9" ht="18.75" customHeight="1" x14ac:dyDescent="0.2">
      <c r="A4" s="80"/>
      <c r="B4" s="80"/>
      <c r="C4" s="80"/>
      <c r="D4" s="80"/>
      <c r="E4" s="80"/>
      <c r="F4" s="80"/>
      <c r="G4" s="80"/>
      <c r="H4" s="80"/>
      <c r="I4" s="80"/>
    </row>
    <row r="5" spans="1:9" ht="18.75" customHeight="1" x14ac:dyDescent="0.2">
      <c r="A5" s="1" t="s">
        <v>105</v>
      </c>
      <c r="B5" s="9" t="s">
        <v>154</v>
      </c>
      <c r="C5" s="80"/>
      <c r="D5" s="80"/>
      <c r="E5" s="80"/>
      <c r="F5" s="80"/>
      <c r="G5" s="80"/>
      <c r="H5" s="80"/>
      <c r="I5" s="80"/>
    </row>
    <row r="6" spans="1:9" ht="26.25" customHeight="1" x14ac:dyDescent="0.2">
      <c r="A6" s="80"/>
      <c r="B6" s="196" t="s">
        <v>194</v>
      </c>
      <c r="C6" s="240"/>
      <c r="D6" s="240"/>
      <c r="E6" s="240"/>
      <c r="F6" s="240"/>
      <c r="G6" s="240"/>
      <c r="H6" s="241"/>
      <c r="I6" s="3"/>
    </row>
    <row r="7" spans="1:9" ht="9" customHeight="1" x14ac:dyDescent="0.2">
      <c r="A7" s="80"/>
      <c r="B7" s="9"/>
      <c r="C7" s="9"/>
      <c r="D7" s="9"/>
      <c r="E7" s="9"/>
      <c r="F7" s="9"/>
      <c r="G7" s="9"/>
      <c r="H7" s="9"/>
      <c r="I7" s="3"/>
    </row>
    <row r="8" spans="1:9" ht="18.75" customHeight="1" x14ac:dyDescent="0.2">
      <c r="A8" s="80"/>
      <c r="B8" s="3"/>
      <c r="C8" s="3"/>
      <c r="D8" s="79" t="s">
        <v>113</v>
      </c>
      <c r="E8" s="15" t="s">
        <v>155</v>
      </c>
      <c r="F8" s="3"/>
      <c r="G8" s="79" t="s">
        <v>115</v>
      </c>
      <c r="H8" s="15" t="s">
        <v>156</v>
      </c>
      <c r="I8" s="3"/>
    </row>
    <row r="9" spans="1:9" ht="7.5" customHeight="1" x14ac:dyDescent="0.2">
      <c r="A9" s="80"/>
      <c r="B9" s="80"/>
      <c r="C9" s="80"/>
      <c r="D9" s="80"/>
      <c r="E9" s="80"/>
      <c r="F9" s="80"/>
      <c r="G9" s="80"/>
      <c r="H9" s="80"/>
      <c r="I9" s="80"/>
    </row>
    <row r="10" spans="1:9" ht="18.75" customHeight="1" x14ac:dyDescent="0.2">
      <c r="A10" s="1" t="s">
        <v>109</v>
      </c>
      <c r="B10" s="1" t="s">
        <v>157</v>
      </c>
      <c r="C10" s="4"/>
      <c r="D10" s="4"/>
      <c r="E10" s="4"/>
      <c r="F10" s="4"/>
      <c r="G10" s="4"/>
      <c r="H10" s="4"/>
      <c r="I10" s="4"/>
    </row>
    <row r="11" spans="1:9" ht="18.75" customHeight="1" x14ac:dyDescent="0.2">
      <c r="B11" s="98" t="s">
        <v>158</v>
      </c>
      <c r="C11" s="99"/>
      <c r="D11" s="100"/>
      <c r="E11" s="99" t="s">
        <v>159</v>
      </c>
      <c r="F11" s="99"/>
      <c r="G11" s="99"/>
      <c r="H11" s="99"/>
      <c r="I11" s="100"/>
    </row>
    <row r="12" spans="1:9" ht="26.25" customHeight="1" x14ac:dyDescent="0.2">
      <c r="B12" s="20" t="s">
        <v>160</v>
      </c>
      <c r="C12" s="27"/>
      <c r="D12" s="21"/>
      <c r="E12" s="28"/>
      <c r="F12" s="28"/>
      <c r="G12" s="28"/>
      <c r="H12" s="28"/>
      <c r="I12" s="21"/>
    </row>
    <row r="13" spans="1:9" ht="210.75" customHeight="1" x14ac:dyDescent="0.2">
      <c r="B13" s="22"/>
      <c r="C13" s="238" t="s">
        <v>161</v>
      </c>
      <c r="D13" s="239"/>
      <c r="E13" s="235" t="s">
        <v>162</v>
      </c>
      <c r="F13" s="236"/>
      <c r="G13" s="236"/>
      <c r="H13" s="236"/>
      <c r="I13" s="237"/>
    </row>
    <row r="14" spans="1:9" ht="210.75" customHeight="1" x14ac:dyDescent="0.2">
      <c r="B14" s="22"/>
      <c r="C14" s="233" t="s">
        <v>163</v>
      </c>
      <c r="D14" s="234"/>
      <c r="E14" s="235" t="s">
        <v>164</v>
      </c>
      <c r="F14" s="236"/>
      <c r="G14" s="236"/>
      <c r="H14" s="236"/>
      <c r="I14" s="237"/>
    </row>
    <row r="15" spans="1:9" ht="210.75" customHeight="1" x14ac:dyDescent="0.2">
      <c r="B15" s="22"/>
      <c r="C15" s="238" t="s">
        <v>165</v>
      </c>
      <c r="D15" s="239"/>
      <c r="E15" s="235" t="s">
        <v>166</v>
      </c>
      <c r="F15" s="236"/>
      <c r="G15" s="236"/>
      <c r="H15" s="236"/>
      <c r="I15" s="237"/>
    </row>
    <row r="16" spans="1:9" ht="210.75" customHeight="1" x14ac:dyDescent="0.2">
      <c r="B16" s="22"/>
      <c r="C16" s="238" t="s">
        <v>167</v>
      </c>
      <c r="D16" s="239"/>
      <c r="E16" s="235" t="s">
        <v>168</v>
      </c>
      <c r="F16" s="236"/>
      <c r="G16" s="236"/>
      <c r="H16" s="236"/>
      <c r="I16" s="237"/>
    </row>
    <row r="17" spans="2:9" ht="210.75" customHeight="1" x14ac:dyDescent="0.2">
      <c r="B17" s="23"/>
      <c r="C17" s="242" t="s">
        <v>169</v>
      </c>
      <c r="D17" s="243"/>
      <c r="E17" s="244" t="s">
        <v>170</v>
      </c>
      <c r="F17" s="245"/>
      <c r="G17" s="245"/>
      <c r="H17" s="245"/>
      <c r="I17" s="246"/>
    </row>
    <row r="18" spans="2:9" ht="24" customHeight="1" x14ac:dyDescent="0.2">
      <c r="B18" s="20" t="s">
        <v>171</v>
      </c>
      <c r="C18" s="24"/>
      <c r="D18" s="25"/>
      <c r="E18" s="26"/>
      <c r="F18" s="26"/>
      <c r="G18" s="26"/>
      <c r="H18" s="26"/>
      <c r="I18" s="29"/>
    </row>
    <row r="19" spans="2:9" ht="218.25" customHeight="1" x14ac:dyDescent="0.2">
      <c r="B19" s="22"/>
      <c r="C19" s="238" t="s">
        <v>172</v>
      </c>
      <c r="D19" s="239"/>
      <c r="E19" s="236" t="s">
        <v>173</v>
      </c>
      <c r="F19" s="236"/>
      <c r="G19" s="236"/>
      <c r="H19" s="236"/>
      <c r="I19" s="237"/>
    </row>
    <row r="20" spans="2:9" ht="218.25" customHeight="1" x14ac:dyDescent="0.2">
      <c r="B20" s="23"/>
      <c r="C20" s="242" t="s">
        <v>174</v>
      </c>
      <c r="D20" s="243"/>
      <c r="E20" s="245" t="s">
        <v>175</v>
      </c>
      <c r="F20" s="245"/>
      <c r="G20" s="245"/>
      <c r="H20" s="245"/>
      <c r="I20" s="246"/>
    </row>
    <row r="21" spans="2:9" ht="218.25" customHeight="1" x14ac:dyDescent="0.2">
      <c r="B21" s="252" t="s">
        <v>176</v>
      </c>
      <c r="C21" s="253"/>
      <c r="D21" s="254"/>
      <c r="E21" s="255" t="s">
        <v>177</v>
      </c>
      <c r="F21" s="255"/>
      <c r="G21" s="255"/>
      <c r="H21" s="255"/>
      <c r="I21" s="256"/>
    </row>
    <row r="22" spans="2:9" ht="218.25" customHeight="1" x14ac:dyDescent="0.2">
      <c r="B22" s="247" t="s">
        <v>178</v>
      </c>
      <c r="C22" s="248"/>
      <c r="D22" s="249"/>
      <c r="E22" s="250" t="s">
        <v>179</v>
      </c>
      <c r="F22" s="250"/>
      <c r="G22" s="250"/>
      <c r="H22" s="250"/>
      <c r="I22" s="251"/>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82"/>
      <c r="C28" s="82"/>
      <c r="D28" s="82"/>
      <c r="E28" s="82"/>
      <c r="F28" s="82"/>
      <c r="G28" s="82"/>
      <c r="H28" s="82"/>
      <c r="I28" s="82"/>
    </row>
    <row r="29" spans="2:9" ht="22.5" customHeight="1" x14ac:dyDescent="0.2">
      <c r="B29" s="82"/>
      <c r="C29" s="82"/>
      <c r="D29" s="82"/>
      <c r="E29" s="82"/>
      <c r="F29" s="82"/>
      <c r="G29" s="82"/>
      <c r="H29" s="82"/>
      <c r="I29" s="82"/>
    </row>
    <row r="30" spans="2:9" ht="22.5" customHeight="1" x14ac:dyDescent="0.2">
      <c r="B30" s="82"/>
      <c r="C30" s="82"/>
      <c r="D30" s="82"/>
      <c r="E30" s="82"/>
      <c r="F30" s="82"/>
      <c r="G30" s="82"/>
      <c r="H30" s="82"/>
      <c r="I30" s="82"/>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様式１プログラムを構成する授業科目</vt:lpstr>
      <vt:lpstr>様式２ 履修者等数の実績</vt:lpstr>
      <vt:lpstr>様式３ 教育の質・履修者数を向上させるための体制・計画</vt:lpstr>
      <vt:lpstr>様式４　自己点検・評価</vt:lpstr>
      <vt:lpstr>様式１プログラムを構成する授業科目!Print_Area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AMU</dc:creator>
  <cp:keywords/>
  <dc:description/>
  <cp:lastModifiedBy>守屋大紀</cp:lastModifiedBy>
  <cp:revision/>
  <cp:lastPrinted>2025-06-25T04:09:18Z</cp:lastPrinted>
  <dcterms:created xsi:type="dcterms:W3CDTF">2011-06-14T05:32:50Z</dcterms:created>
  <dcterms:modified xsi:type="dcterms:W3CDTF">2025-07-18T03:57:09Z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