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C:\Users\atsuk\Downloads\★リテラシー_再提出済\016_250430摂南大学\"/>
    </mc:Choice>
  </mc:AlternateContent>
  <xr:revisionPtr revIDLastSave="0" documentId="13_ncr:1_{E451D9C6-4265-4313-8184-4101A6CA4326}" xr6:coauthVersionLast="47" xr6:coauthVersionMax="47" xr10:uidLastSave="{00000000-0000-0000-0000-000000000000}"/>
  <bookViews>
    <workbookView xWindow="-108" yWindow="-108" windowWidth="18648" windowHeight="11784" tabRatio="885" xr2:uid="{00000000-000D-0000-FFFF-FFFF00000000}"/>
  </bookViews>
  <sheets>
    <sheet name="様式１－１　プログラムを構成する授業科目" sheetId="39" r:id="rId1"/>
    <sheet name="様式１－２　プログラムを構成する授業科目" sheetId="43" r:id="rId2"/>
    <sheet name="様式１－３　プログラムを構成する授業科目" sheetId="44" r:id="rId3"/>
    <sheet name="様式１－４　プログラムを構成する授業科目" sheetId="45" r:id="rId4"/>
    <sheet name="様式１－５　プログラムを構成する授業科目" sheetId="46" r:id="rId5"/>
    <sheet name="様式２ 履修者等数の実績" sheetId="40" r:id="rId6"/>
    <sheet name="様式３ 教育の質・履修者数を向上させるための体制・計画" sheetId="41" r:id="rId7"/>
    <sheet name="様式４　自己点検・評価" sheetId="42" r:id="rId8"/>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'様式１－３　プログラムを構成する授業科目'!$X$16:$X$18</definedName>
    <definedName name="_xlnm._FilterDatabase" localSheetId="3" hidden="1">'様式１－４　プログラムを構成する授業科目'!$X$16:$X$18</definedName>
    <definedName name="_xlnm._FilterDatabase" localSheetId="4" hidden="1">'様式１－５　プログラムを構成する授業科目'!$X$16:$X$18</definedName>
    <definedName name="_xlnm._FilterDatabase" localSheetId="5" hidden="1">'様式２ 履修者等数の実績'!#REF!</definedName>
    <definedName name="_xlnm.Print_Area" localSheetId="0">'様式１－１　プログラムを構成する授業科目'!$A$1:$U$104</definedName>
    <definedName name="_xlnm.Print_Area" localSheetId="1">'様式１－２　プログラムを構成する授業科目'!$A$1:$U$104</definedName>
    <definedName name="_xlnm.Print_Area" localSheetId="2">'様式１－３　プログラムを構成する授業科目'!$A$1:$U$104</definedName>
    <definedName name="_xlnm.Print_Area" localSheetId="3">'様式１－４　プログラムを構成する授業科目'!$A$1:$U$104</definedName>
    <definedName name="_xlnm.Print_Area" localSheetId="4">'様式１－５　プログラムを構成する授業科目'!$A$1:$U$104</definedName>
    <definedName name="_xlnm.Print_Area" localSheetId="5">'様式２ 履修者等数の実績'!$A$1:$S$33</definedName>
    <definedName name="_xlnm.Print_Area" localSheetId="7">'様式４　自己点検・評価'!$A$1:$I$22</definedName>
    <definedName name="_xlnm.Print_Titles" localSheetId="7">'様式４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13" i="40"/>
  <c r="S13" i="40" s="1"/>
  <c r="C33" i="40"/>
  <c r="G33" i="40" l="1"/>
  <c r="F33" i="40" l="1"/>
  <c r="E33" i="40"/>
  <c r="I50" i="41" s="1"/>
  <c r="D3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<sst xmlns="http://schemas.openxmlformats.org/spreadsheetml/2006/main" count="933" uniqueCount="269">
  <si>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</si>
  <si>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</si>
  <si>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</si>
  <si>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</si>
  <si>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</si>
  <si>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</si>
  <si>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</si>
  <si>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</si>
  <si>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</si>
  <si>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</si>
  <si>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</si>
  <si>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</si>
  <si>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</si>
  <si>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</si>
  <si>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</si>
  <si>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</si>
  <si>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</si>
  <si>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</si>
  <si>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</si>
  <si>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</si>
  <si>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</si>
  <si>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</si>
  <si>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</si>
  <si>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</si>
  <si>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</si>
  <si>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</si>
  <si>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</si>
  <si>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</si>
  <si>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</si>
  <si>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</si>
  <si>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</si>
  <si>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</si>
  <si>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</si>
  <si>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</si>
  <si>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</si>
  <si>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</si>
  <si>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</si>
  <si>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</si>
  <si>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</si>
  <si>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</si>
  <si>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</si>
  <si>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</si>
  <si>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</si>
  <si>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</si>
  <si>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</si>
  <si>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</si>
  <si>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</si>
  <si>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</si>
  <si>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</si>
  <si>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</si>
  <si>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</si>
  <si>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</si>
  <si>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</si>
  <si>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</si>
  <si>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</si>
  <si>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</si>
  <si>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</si>
  <si>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</si>
  <si>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</si>
  <si>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</si>
  <si>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</si>
  <si>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</si>
  <si>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</si>
  <si>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</si>
  <si>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</si>
  <si>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</si>
  <si>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</si>
  <si>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</si>
  <si>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</si>
  <si>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</si>
  <si>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</si>
  <si>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</si>
  <si>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</si>
  <si>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</si>
  <si>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</si>
  <si>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</si>
  <si>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</si>
  <si>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</si>
  <si>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</si>
  <si>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</si>
  <si>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</si>
  <si>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</si>
  <si>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</si>
  <si>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</si>
  <si>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</si>
  <si>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</si>
  <si>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</si>
  <si>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</si>
  <si>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</si>
  <si>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</si>
  <si>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</si>
  <si>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</si>
  <si>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</si>
  <si>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</si>
  <si>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</si>
  <si>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</si>
  <si>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</si>
  <si>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</si>
  <si>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</si>
  <si>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</si>
  <si>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</si>
  <si>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</si>
  <si>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</si>
  <si>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</si>
  <si>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</si>
  <si>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</si>
  <si>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</si>
  <si>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</si>
  <si>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</si>
  <si>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</si>
  <si>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</si>
  <si>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</si>
  <si>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</si>
  <si>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</si>
  <si>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</si>
  <si>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</si>
  <si>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</si>
  <si>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</si>
  <si>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</si>
  <si>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</si>
  <si>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</si>
  <si>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</si>
  <si>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</si>
  <si>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</si>
  <si>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</si>
  <si>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</si>
  <si>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</si>
  <si>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</si>
  <si>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</si>
  <si>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</si>
  <si>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</si>
  <si>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</si>
  <si>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</si>
  <si>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</si>
  <si>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</si>
  <si>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</si>
  <si>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</si>
  <si>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</si>
  <si>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</si>
  <si>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</si>
  <si>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</si>
  <si>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</si>
  <si>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</si>
  <si>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理工学部</t>
    <rPh sb="0" eb="4">
      <t>リコウガクブ</t>
    </rPh>
    <phoneticPr fontId="1"/>
  </si>
  <si>
    <t>国際学部</t>
    <rPh sb="0" eb="4">
      <t>コクサイガクブ</t>
    </rPh>
    <phoneticPr fontId="1"/>
  </si>
  <si>
    <t>経営学部</t>
    <rPh sb="0" eb="4">
      <t>ケイエイガクブ</t>
    </rPh>
    <phoneticPr fontId="1"/>
  </si>
  <si>
    <t>薬学部</t>
    <rPh sb="0" eb="3">
      <t>ヤクガクブ</t>
    </rPh>
    <phoneticPr fontId="1"/>
  </si>
  <si>
    <t>法学部</t>
    <rPh sb="0" eb="3">
      <t>ホウガクブ</t>
    </rPh>
    <phoneticPr fontId="1"/>
  </si>
  <si>
    <t>経済学部</t>
    <rPh sb="0" eb="4">
      <t>ケイザイガクブ</t>
    </rPh>
    <phoneticPr fontId="1"/>
  </si>
  <si>
    <t>看護学部</t>
    <rPh sb="0" eb="2">
      <t>カンゴ</t>
    </rPh>
    <rPh sb="2" eb="4">
      <t>ガクブ</t>
    </rPh>
    <phoneticPr fontId="1"/>
  </si>
  <si>
    <t>農学部</t>
    <rPh sb="0" eb="3">
      <t>ノウガクブ</t>
    </rPh>
    <phoneticPr fontId="1"/>
  </si>
  <si>
    <t>現代社会学部</t>
    <rPh sb="0" eb="6">
      <t>ゲンダイシャカイガクブ</t>
    </rPh>
    <phoneticPr fontId="1"/>
  </si>
  <si>
    <t>摂南大学</t>
    <rPh sb="0" eb="4">
      <t>セツナンダイガク</t>
    </rPh>
    <phoneticPr fontId="1"/>
  </si>
  <si>
    <t>摂南大学 数理・データサイエンス・AI教育プログラム（リテラシーレベル）</t>
    <phoneticPr fontId="1"/>
  </si>
  <si>
    <t>諏訪晴彦</t>
    <rPh sb="0" eb="4">
      <t>スワハルヒコ</t>
    </rPh>
    <phoneticPr fontId="1"/>
  </si>
  <si>
    <t>全学教育機構長</t>
    <rPh sb="0" eb="7">
      <t>ゼンガクキョウイクキコウチョウ</t>
    </rPh>
    <phoneticPr fontId="1"/>
  </si>
  <si>
    <t>摂南大学 教育推進会議</t>
    <phoneticPr fontId="1"/>
  </si>
  <si>
    <t>全学教育機構長</t>
    <rPh sb="0" eb="6">
      <t>ゼンガクキョウイクキコウ</t>
    </rPh>
    <rPh sb="6" eb="7">
      <t>チョウ</t>
    </rPh>
    <phoneticPr fontId="1"/>
  </si>
  <si>
    <t>摂南大学教育推進会議規定</t>
    <rPh sb="0" eb="10">
      <t>セツナンダイガクキョウイクスイシンカイギ</t>
    </rPh>
    <rPh sb="10" eb="12">
      <t>キテイ</t>
    </rPh>
    <phoneticPr fontId="1"/>
  </si>
  <si>
    <t>教育推進会議は、教育推進戦略に関する基本方針や、全学共通教養教育に関する事等の審議を行う組織である。教育推進会議では、文理問わず、全学部の学生が数理・データサイエンス・AIへの関心を高め、かつ、数理・データサイエンス・AIを適切に理解し、各専門分野でそれらを使いこなすことができる基礎的な力の育成を目的とした本プログラムの内容や全学的な普及状況を確認し、必要に応じてプログラムの改善・進化を検討する。そして、教育推進会議規定に基づく委員会として、教育推進会議の下に本プログラムの日常的な運営および改善に資する取り組み行う数理・データサイエンス・AI教育プログラム委員会を設置している。</t>
    <rPh sb="0" eb="6">
      <t>キョウイクスイシンカイギ</t>
    </rPh>
    <rPh sb="8" eb="14">
      <t>キョウイクスイシンセンリャク</t>
    </rPh>
    <rPh sb="15" eb="16">
      <t>カン</t>
    </rPh>
    <rPh sb="18" eb="22">
      <t>キホンホウシン</t>
    </rPh>
    <rPh sb="24" eb="32">
      <t>ゼンガクキョウツウキョウヨウキョウイク</t>
    </rPh>
    <rPh sb="33" eb="34">
      <t>カン</t>
    </rPh>
    <rPh sb="37" eb="38">
      <t>ナド</t>
    </rPh>
    <rPh sb="50" eb="56">
      <t>キョウイクスイシンカイギ</t>
    </rPh>
    <rPh sb="189" eb="191">
      <t>カイゼン</t>
    </rPh>
    <rPh sb="192" eb="194">
      <t>シンカ</t>
    </rPh>
    <rPh sb="204" eb="212">
      <t>キョウイクスイシンカイギキテイ</t>
    </rPh>
    <rPh sb="213" eb="214">
      <t>モト</t>
    </rPh>
    <rPh sb="216" eb="219">
      <t>イインカイ</t>
    </rPh>
    <rPh sb="232" eb="233">
      <t>ホン</t>
    </rPh>
    <rPh sb="239" eb="242">
      <t>ニチジョウテキ</t>
    </rPh>
    <rPh sb="243" eb="245">
      <t>ウンエイ</t>
    </rPh>
    <rPh sb="248" eb="250">
      <t>カイゼン</t>
    </rPh>
    <rPh sb="285" eb="287">
      <t>セッチ</t>
    </rPh>
    <phoneticPr fontId="1"/>
  </si>
  <si>
    <t>【教育推進会議構成員】　　　　　　　　　　　　　　
全学教育機構長　諏訪　晴彦　　　　　　　　　　　　
グローバル教育センター長　西川　眞由美
全学教育機構課長　山田　敬
全学教育機構課長　中村　智大
理工学部長　池内　淳子
国際学部長　鳥居　祐介
経営学部長　岩坪　加紋
薬学部長　佐久間　信至
法学部長　河原　匡見
経済学部長　柳川　隆
看護学部長　鎌田　佳奈美
農学部長　椎名　隆
現代社会学部長　浅野　慎一
【数理・データサイエンス・AI教育プログラム委員会】
経済学部教授　小塚　匡文（委員長）
理工学部講師　久保田　誠也
全学教育機構講師　新居　英志</t>
    <rPh sb="1" eb="7">
      <t>キョウイクスイシンカイギ</t>
    </rPh>
    <rPh sb="7" eb="10">
      <t>コウセイイン</t>
    </rPh>
    <rPh sb="26" eb="33">
      <t>ゼンガクキョウイクキコウチョウ</t>
    </rPh>
    <rPh sb="57" eb="59">
      <t>キョウイク</t>
    </rPh>
    <rPh sb="63" eb="64">
      <t>チョウ</t>
    </rPh>
    <rPh sb="72" eb="78">
      <t>ゼンガクキョウイクキコウ</t>
    </rPh>
    <rPh sb="78" eb="80">
      <t>カチョウ</t>
    </rPh>
    <rPh sb="86" eb="92">
      <t>ゼンガクキョウイクキコウ</t>
    </rPh>
    <rPh sb="92" eb="94">
      <t>カチョウ</t>
    </rPh>
    <rPh sb="101" eb="106">
      <t>リコウガクブチョウ</t>
    </rPh>
    <rPh sb="113" eb="117">
      <t>コクサイガクブ</t>
    </rPh>
    <rPh sb="117" eb="118">
      <t>チョウ</t>
    </rPh>
    <rPh sb="125" eb="130">
      <t>ケイエイガクブチョウ</t>
    </rPh>
    <rPh sb="137" eb="141">
      <t>ヤクガクブチョウ</t>
    </rPh>
    <rPh sb="149" eb="153">
      <t>ホウガクブチョウ</t>
    </rPh>
    <rPh sb="160" eb="165">
      <t>ケイザイガクブチョウ</t>
    </rPh>
    <rPh sb="171" eb="176">
      <t>カンゴガクブチョウ</t>
    </rPh>
    <rPh sb="184" eb="188">
      <t>ノウガクブチョウ</t>
    </rPh>
    <rPh sb="194" eb="201">
      <t>ゲンダイシャカイガクブチョウ</t>
    </rPh>
    <rPh sb="257" eb="259">
      <t>コウシ</t>
    </rPh>
    <rPh sb="267" eb="273">
      <t>ゼンガクキョウイクキコウ</t>
    </rPh>
    <rPh sb="273" eb="275">
      <t>コウシ</t>
    </rPh>
    <phoneticPr fontId="1"/>
  </si>
  <si>
    <t>令和６</t>
    <rPh sb="0" eb="2">
      <t>レイワ</t>
    </rPh>
    <phoneticPr fontId="1"/>
  </si>
  <si>
    <t>外国語学部（募集停止）</t>
    <rPh sb="0" eb="3">
      <t>ガイコクゴ</t>
    </rPh>
    <rPh sb="3" eb="5">
      <t>ガクブ</t>
    </rPh>
    <rPh sb="6" eb="8">
      <t>ボシュウ</t>
    </rPh>
    <rPh sb="8" eb="10">
      <t>テイシ</t>
    </rPh>
    <phoneticPr fontId="1"/>
  </si>
  <si>
    <t>-</t>
    <phoneticPr fontId="1"/>
  </si>
  <si>
    <t>学部によって必修科目としており、年次進行に伴い該当学部の履修者数は増加していく予定である。このほか、大学全体の動きとして現在、全学教養教育科目の見直しを予定している。新しい全学教養教育では、初年次教育科目に数理・データサイエンス・AI教育プログラムのリテラシーレベルを学ぶ「データサイエンス基礎」を必修科目として開講することとしている。この全学教養教育科目は、2027年度より随時、学部のカリキュラム改正のタイミングなどに応じた導入を予定しており、最終的には全学必修科目としての「データサイエンス基礎」の開講を目指している。</t>
    <rPh sb="0" eb="2">
      <t>ガクブ</t>
    </rPh>
    <rPh sb="6" eb="10">
      <t>ヒッシュウカモク</t>
    </rPh>
    <rPh sb="16" eb="20">
      <t>ネンジシンコウ</t>
    </rPh>
    <rPh sb="21" eb="22">
      <t>トモナ</t>
    </rPh>
    <rPh sb="23" eb="27">
      <t>ガイトウガクブ</t>
    </rPh>
    <rPh sb="28" eb="32">
      <t>リシュウシャスウ</t>
    </rPh>
    <rPh sb="33" eb="35">
      <t>ゾウカ</t>
    </rPh>
    <rPh sb="39" eb="41">
      <t>ヨテイ</t>
    </rPh>
    <rPh sb="50" eb="54">
      <t>ダイガクゼンタイ</t>
    </rPh>
    <rPh sb="55" eb="56">
      <t>ウゴ</t>
    </rPh>
    <rPh sb="60" eb="62">
      <t>ゲンザイ</t>
    </rPh>
    <rPh sb="63" eb="69">
      <t>ゼンガクキョウヨウキョウイク</t>
    </rPh>
    <rPh sb="69" eb="71">
      <t>カモク</t>
    </rPh>
    <rPh sb="72" eb="74">
      <t>ミナオ</t>
    </rPh>
    <rPh sb="76" eb="78">
      <t>ヨテイ</t>
    </rPh>
    <rPh sb="83" eb="84">
      <t>アタラ</t>
    </rPh>
    <rPh sb="86" eb="92">
      <t>ゼンガクキョウヨウキョウイク</t>
    </rPh>
    <rPh sb="217" eb="219">
      <t>ヨテイ</t>
    </rPh>
    <rPh sb="224" eb="227">
      <t>サイシュウテキ</t>
    </rPh>
    <rPh sb="248" eb="250">
      <t>キソ</t>
    </rPh>
    <rPh sb="255" eb="257">
      <t>メザ</t>
    </rPh>
    <phoneticPr fontId="1"/>
  </si>
  <si>
    <t>各学部において、 既存の授業科目として開講しており、必修科目として開講している学部では全員が受講できるほか、それ以外の学部においても希望する学生が受講可能である。</t>
    <rPh sb="19" eb="21">
      <t>カイコウ</t>
    </rPh>
    <rPh sb="26" eb="30">
      <t>ヒッシュウカモク</t>
    </rPh>
    <rPh sb="33" eb="35">
      <t>カイコウ</t>
    </rPh>
    <rPh sb="39" eb="41">
      <t>ガクブ</t>
    </rPh>
    <rPh sb="43" eb="45">
      <t>ゼンイン</t>
    </rPh>
    <rPh sb="46" eb="48">
      <t>ジュコウ</t>
    </rPh>
    <rPh sb="56" eb="58">
      <t>イガイ</t>
    </rPh>
    <rPh sb="59" eb="61">
      <t>ガクブ</t>
    </rPh>
    <rPh sb="66" eb="70">
      <t>ヒッシュウカモク</t>
    </rPh>
    <phoneticPr fontId="1"/>
  </si>
  <si>
    <t>本教育プログラムの科目の大半は１年次配当科目としている。また、学部によっては必修科目としている。必修科目としていない学部の中でも、履修が望ましい科目と位置付け、必履修科目として事前に履修登録を行い、多くの学生が履修できるような取り組みを行っている。</t>
    <rPh sb="50" eb="52">
      <t>カモク</t>
    </rPh>
    <rPh sb="58" eb="60">
      <t>ガクブ</t>
    </rPh>
    <rPh sb="61" eb="62">
      <t>ナカ</t>
    </rPh>
    <rPh sb="80" eb="85">
      <t>ヒツリシュウカモク</t>
    </rPh>
    <rPh sb="88" eb="90">
      <t>ジゼン</t>
    </rPh>
    <rPh sb="91" eb="95">
      <t>リシュウトウロク</t>
    </rPh>
    <rPh sb="96" eb="97">
      <t>オコナ</t>
    </rPh>
    <rPh sb="99" eb="100">
      <t>オオ</t>
    </rPh>
    <rPh sb="102" eb="104">
      <t>ガクセイ</t>
    </rPh>
    <rPh sb="105" eb="107">
      <t>リシュウ</t>
    </rPh>
    <rPh sb="113" eb="114">
      <t>ト</t>
    </rPh>
    <rPh sb="115" eb="116">
      <t>ク</t>
    </rPh>
    <rPh sb="118" eb="119">
      <t>オコナ</t>
    </rPh>
    <phoneticPr fontId="1"/>
  </si>
  <si>
    <t>授業内での質疑応答を受け付けるとともに、授業担当者は原則週1回のオフィスアワーを設定し、曜日・時間・場所等をシラバスに明記している。学生は授業の内外問わず、相談に行くことができる環境を整備している。</t>
    <rPh sb="5" eb="9">
      <t>シツギオウトウ</t>
    </rPh>
    <rPh sb="10" eb="11">
      <t>ウ</t>
    </rPh>
    <rPh sb="12" eb="13">
      <t>ツ</t>
    </rPh>
    <rPh sb="26" eb="28">
      <t>ゲンソク</t>
    </rPh>
    <rPh sb="28" eb="29">
      <t>シュウ</t>
    </rPh>
    <rPh sb="30" eb="31">
      <t>カイ</t>
    </rPh>
    <rPh sb="69" eb="71">
      <t>ジュギョウ</t>
    </rPh>
    <rPh sb="72" eb="75">
      <t>ナイガイト</t>
    </rPh>
    <phoneticPr fontId="1"/>
  </si>
  <si>
    <t>様式１－１</t>
    <rPh sb="0" eb="2">
      <t>ヨウシキ</t>
    </rPh>
    <phoneticPr fontId="1"/>
  </si>
  <si>
    <t>理工学部</t>
    <rPh sb="0" eb="4">
      <t>リコウガクブ</t>
    </rPh>
    <phoneticPr fontId="1"/>
  </si>
  <si>
    <t>生命科学・統計情報処理</t>
  </si>
  <si>
    <t>○</t>
  </si>
  <si>
    <t>情報メディアデザイン</t>
  </si>
  <si>
    <t>統計情報処理</t>
  </si>
  <si>
    <t>統計情報処理</t>
    <rPh sb="0" eb="6">
      <t>トウケイジョウホウショリ</t>
    </rPh>
    <phoneticPr fontId="1"/>
  </si>
  <si>
    <t>生命科学科：「生命科学・統計情報処理」の２単位を取得すること。
建築学科：「情報メディアデザイン」の２単位を取得すること。
住環境デザイン学科、都市環境工学科、機械工学科、電気電子工学科：「統計情報処理」の１単位を取得すること。</t>
    <rPh sb="0" eb="5">
      <t>セイメイカガクカ</t>
    </rPh>
    <rPh sb="32" eb="36">
      <t>ケンチクガッカ</t>
    </rPh>
    <rPh sb="62" eb="65">
      <t>ジュウカンキョウ</t>
    </rPh>
    <rPh sb="69" eb="71">
      <t>ガッカ</t>
    </rPh>
    <rPh sb="72" eb="79">
      <t>トシカンキョウコウガッカ</t>
    </rPh>
    <rPh sb="80" eb="85">
      <t>キカイコウガッカ</t>
    </rPh>
    <rPh sb="86" eb="93">
      <t>デンキデンシコウガッカ</t>
    </rPh>
    <phoneticPr fontId="1"/>
  </si>
  <si>
    <t>様式１－２</t>
    <rPh sb="0" eb="2">
      <t>ヨウシキ</t>
    </rPh>
    <phoneticPr fontId="1"/>
  </si>
  <si>
    <t>本プログラム修了者は、データ駆動型社会の現状やデータの特徴、データやAIを活用する上での留意事項を理解するだけではなく、Excelを使ったデータ分析方法についても修得することができる。</t>
    <rPh sb="0" eb="1">
      <t>ホン</t>
    </rPh>
    <rPh sb="6" eb="8">
      <t>シュウリョウ</t>
    </rPh>
    <rPh sb="8" eb="9">
      <t>シャ</t>
    </rPh>
    <rPh sb="14" eb="17">
      <t>クドウガタ</t>
    </rPh>
    <rPh sb="17" eb="19">
      <t>シャカイ</t>
    </rPh>
    <rPh sb="20" eb="22">
      <t>ゲンジョウ</t>
    </rPh>
    <rPh sb="27" eb="29">
      <t>トクチョウ</t>
    </rPh>
    <rPh sb="37" eb="39">
      <t>カツヨウ</t>
    </rPh>
    <rPh sb="41" eb="42">
      <t>ウエ</t>
    </rPh>
    <rPh sb="44" eb="46">
      <t>リュウイ</t>
    </rPh>
    <rPh sb="46" eb="48">
      <t>ジコウ</t>
    </rPh>
    <rPh sb="49" eb="51">
      <t>リカイ</t>
    </rPh>
    <rPh sb="66" eb="67">
      <t>ツカ</t>
    </rPh>
    <rPh sb="72" eb="74">
      <t>ブンセキ</t>
    </rPh>
    <rPh sb="74" eb="76">
      <t>ホウホウ</t>
    </rPh>
    <rPh sb="81" eb="83">
      <t>シュウトク</t>
    </rPh>
    <phoneticPr fontId="1"/>
  </si>
  <si>
    <t>国際学部、農学部、経済学部</t>
    <rPh sb="0" eb="4">
      <t>コクサイガク</t>
    </rPh>
    <rPh sb="5" eb="8">
      <t>ノウガク</t>
    </rPh>
    <rPh sb="9" eb="13">
      <t>ケイザイ</t>
    </rPh>
    <phoneticPr fontId="1"/>
  </si>
  <si>
    <t>・AIの歴史やデータサイエンスの利活用の事例、利活用のための技術などの基礎的な知識
・Excelを用いて実際にデータを分析し傾向などを読み解く力
・ITに関するリテラシーや情報モラルに関する知識</t>
    <rPh sb="4" eb="6">
      <t>レキセィ</t>
    </rPh>
    <rPh sb="16" eb="17">
      <t>リカツヨウ</t>
    </rPh>
    <rPh sb="17" eb="19">
      <t>カツヨウ</t>
    </rPh>
    <rPh sb="20" eb="22">
      <t>ジレイ</t>
    </rPh>
    <rPh sb="23" eb="26">
      <t>リカツヨウ</t>
    </rPh>
    <rPh sb="30" eb="32">
      <t>ギジュテゥ</t>
    </rPh>
    <rPh sb="35" eb="38">
      <t>キソテキ</t>
    </rPh>
    <rPh sb="39" eb="41">
      <t>チシキ</t>
    </rPh>
    <rPh sb="48" eb="49">
      <t>モチイ</t>
    </rPh>
    <rPh sb="51" eb="52">
      <t>ギジュテゥ</t>
    </rPh>
    <rPh sb="52" eb="54">
      <t>ジッサイ</t>
    </rPh>
    <rPh sb="58" eb="60">
      <t>ブンセキ</t>
    </rPh>
    <rPh sb="62" eb="64">
      <t>ケイコウ</t>
    </rPh>
    <rPh sb="67" eb="68">
      <t>ヨミ</t>
    </rPh>
    <rPh sb="71" eb="72">
      <t>チカラ</t>
    </rPh>
    <rPh sb="73" eb="74">
      <t>_x0000__x0004__x0002_</t>
    </rPh>
    <rPh sb="86" eb="88">
      <t>_x0004__x0010__x0001_	_x0011_</t>
    </rPh>
    <rPh sb="95" eb="97">
      <t/>
    </rPh>
    <phoneticPr fontId="1"/>
  </si>
  <si>
    <t>「情報リテラシーⅡ」の１単位を取得すること。</t>
    <rPh sb="1" eb="3">
      <t>ジョウホウ</t>
    </rPh>
    <rPh sb="12" eb="14">
      <t>タンイ</t>
    </rPh>
    <rPh sb="15" eb="17">
      <t>シュトク</t>
    </rPh>
    <phoneticPr fontId="1"/>
  </si>
  <si>
    <t xml:space="preserve">・ビッグデータ、AI　「生命科学・統計情報処理」（1回目）、「情報メディアデザイン」（1回目）、「統計情報処理」（都市環境工学科、機械工学科、電気電子工学科）（1回目）
・ビッグデータ、AI、Society 5.0　「統計情報処理」（住環境デザイン学科）（14回目）
</t>
    <rPh sb="117" eb="120">
      <t>ジュウカンキョウ</t>
    </rPh>
    <rPh sb="124" eb="126">
      <t>ガッカ</t>
    </rPh>
    <phoneticPr fontId="1"/>
  </si>
  <si>
    <t>・AI最新技術の活用例　「生命科学・統計情報処理」（10回目）、「情報メディアデザイン」（6回目）、「統計情報処理」（住環境デザイン学科）（15回目）、「統計情報処理」（都市環境工学科、機械工学科、電気電子工学科）（13回目）</t>
    <rPh sb="3" eb="7">
      <t>サイシンギジュツ</t>
    </rPh>
    <rPh sb="8" eb="11">
      <t>カツヨウレイ</t>
    </rPh>
    <rPh sb="28" eb="30">
      <t>カイメ</t>
    </rPh>
    <phoneticPr fontId="1"/>
  </si>
  <si>
    <t>・調査データ、実験データ　「生命科学・統計情報処理」（1回目）、「情報メディアデザイン」（1、2回目）、「統計情報処理」（住環境デザイン学科）（5、6、7、11回目）、「統計情報処理」（都市環境工学科、機械工学科、電気電子工学科）（1回目）</t>
    <rPh sb="1" eb="3">
      <t>チョウサ</t>
    </rPh>
    <rPh sb="7" eb="9">
      <t>ジッケン</t>
    </rPh>
    <rPh sb="28" eb="30">
      <t>カイメ</t>
    </rPh>
    <phoneticPr fontId="1"/>
  </si>
  <si>
    <t>・データ・AI活用領域の広がり　「生命科学・統計情報処理」（1回目）、「情報メディアデザイン」（6回目）、「統計情報処理」（住環境デザイン学科）（14回目）、「統計情報処理」（都市環境工学科、機械工学科、電気電子工学科）（1回目）</t>
    <rPh sb="7" eb="11">
      <t>カツヨウリョウイキ</t>
    </rPh>
    <rPh sb="12" eb="13">
      <t>ヒロ</t>
    </rPh>
    <phoneticPr fontId="1"/>
  </si>
  <si>
    <t>・データ解析　「生命科学・統計情報処理」（1、5、7、8、9回目）、「情報メディアデザイン」（5、8、9回目）、「統計情報処理」（住環境デザイン学科）（5、6、8、10、11、12、13、14回目）、「統計情報処理」（都市環境工学科、機械工学科、電気電子工学科）（1、5、7、8、9、10、11、12、15回目）</t>
    <rPh sb="4" eb="6">
      <t>カイセキ</t>
    </rPh>
    <phoneticPr fontId="1"/>
  </si>
  <si>
    <t>・データ・AI利活用事例紹介　「生命科学・統計情報処理」（10回目）、「情報メディアデザイン」（6回目）、「統計情報処理」（住環境デザイン学科）（15回目）、「統計情報処理」（都市環境工学科、機械工学科、電気電子工学科）（13回目）</t>
    <rPh sb="7" eb="10">
      <t>リカツヨウ</t>
    </rPh>
    <rPh sb="10" eb="12">
      <t>ジレイ</t>
    </rPh>
    <rPh sb="12" eb="14">
      <t>ショウカイ</t>
    </rPh>
    <phoneticPr fontId="1"/>
  </si>
  <si>
    <t>・個人情報保護　「生命科学・統計情報処理」（11回目）、「情報メディアデザイン」（10回目）、「統計情報処理」（住環境デザイン学科）（15回目）、　「統計情報処理」（都市環境工学科、機械工学科、電気電子工学科）（14回目）
・データバイアス　「生命科学・統計情報処理」（11回目）、　「統計情報処理」（住環境デザイン学科）（15回目）、「統計情報処理」（都市環境工学科、機械工学科、電気電子工学科）（14回目）</t>
    <rPh sb="1" eb="7">
      <t>コジンジョウホウホゴ</t>
    </rPh>
    <phoneticPr fontId="1"/>
  </si>
  <si>
    <t>・情報セキュリティの３要素　「生命科学・統計情報処理」（11回目）、「情報メディアデザイン」（10回目）、「統計情報処理」（住環境デザイン学科）（15回目）、「統計情報処理」（都市環境工学科、機械工学科、電気電子工学科）（14回目）
・匿名加工情報　「情報メディアデザイン」（10回目）</t>
    <rPh sb="1" eb="3">
      <t>ジョウホウ</t>
    </rPh>
    <rPh sb="11" eb="13">
      <t>ヨウソ</t>
    </rPh>
    <phoneticPr fontId="1"/>
  </si>
  <si>
    <t>・データの種類　「生命科学・統計情報処理」（2回目）、　「情報メディアデザイン」（2回目）、　「統計情報処理」（都市環境工学科、機械工学科、電気電子工学科）（2回目）
・データの分布と代表値　「生命科学・統計情報処理」（2、3、4、6回目）、「情報メディアデザイン」（4、5、7回目）、　「統計情報処理」（住環境デザイン学科）（7回目）、「統計情報処理」（都市環境工学科、機械工学科、電気電子工学科）（2、3、4、6回目）
・データのばらつき、外れ値　　「生命科学・統計情報処理」（4、5、6回目）、「情報メディアデザイン」（4、5、7回目）、「統計情報処理」（住環境デザイン学科）（7、8、9、13回目）、「統計情報処理」（都市環境工学科、機械工学科、電気電子工学科）（4、5、6回目）
・相関と因果　　「生命科学・統計情報処理」（7回目）、「情報メディアデザイン」（8回目）、「統計情報処理」（住環境デザイン学科）（6、10、11回目）、「統計情報処理」（都市環境工学科、機械工学科、電気電子工学科）（8、11回目）
・母集団と標本抽出　　「統計情報処理」（住環境デザイン学科）（12、13回目）
・統計情報の正しい理解　　「統計情報処理」（住環境デザイン学科）（12、13回目）</t>
    <rPh sb="5" eb="7">
      <t>シュルイ</t>
    </rPh>
    <rPh sb="89" eb="91">
      <t>ブンプ</t>
    </rPh>
    <rPh sb="92" eb="95">
      <t>ダイヒョウチ</t>
    </rPh>
    <rPh sb="221" eb="222">
      <t>ハズ</t>
    </rPh>
    <rPh sb="223" eb="224">
      <t>チ</t>
    </rPh>
    <rPh sb="345" eb="347">
      <t>ソウカン</t>
    </rPh>
    <rPh sb="348" eb="350">
      <t>インガ</t>
    </rPh>
    <phoneticPr fontId="1"/>
  </si>
  <si>
    <t>・データ表現　「生命科学・統計情報処理」（3、7、8回目）、「情報メディアデザイン」（3、8、9回目）、「統計情報処理」（住環境デザイン学科）（1、4、5、10回目）、「統計情報処理」（都市環境工学科、機械工学科、電気電子工学科）（3、8、9回目）
・データの比較　「生命科学・統計情報処理」（6回目）、「情報メディアデザイン」（7回目）、「統計情報処理」（住環境デザイン学科）（9、13回目）、「統計情報処理」（都市環境工学科、機械工学科、電気電子工学科）（6回目）</t>
    <rPh sb="4" eb="6">
      <t>ヒョウゲン</t>
    </rPh>
    <rPh sb="130" eb="132">
      <t>ヒカク</t>
    </rPh>
    <phoneticPr fontId="1"/>
  </si>
  <si>
    <t>・データの集計　「生命科学・統計情報処理」（2回目）、「情報メディアデザイン」（2回目）、「統計情報処理」（都市環境工学科、機械工学科、電気電子工学科）（2回目）
・データ解析ツール　　「生命科学・統計情報処理」（2、3、4、5、6、7、8、9回目）、「情報メディアデザイン」（2、3、4、5、6、7、8、9、10回目）、「統計情報処理」（住環境デザイン学科）（1、2、3、4、5、6、7、8、9、10、11、13、14回目）、「統計情報処理」（都市環境工学科、機械工学科、電気電子工学科）（2、3、4、5、6、7、8、9、10、11、12、14、15回目）
・データの並び替え　　「統計情報処理」（住環境デザイン学科）（3回目）</t>
    <rPh sb="5" eb="7">
      <t>シュウケイ</t>
    </rPh>
    <rPh sb="86" eb="88">
      <t>カイセキ</t>
    </rPh>
    <rPh sb="122" eb="124">
      <t>カイメ</t>
    </rPh>
    <rPh sb="127" eb="129">
      <t>ジョウホウ</t>
    </rPh>
    <rPh sb="157" eb="159">
      <t>カイメ</t>
    </rPh>
    <rPh sb="162" eb="164">
      <t>トウケイ</t>
    </rPh>
    <rPh sb="164" eb="166">
      <t>ジョウホウ</t>
    </rPh>
    <rPh sb="166" eb="168">
      <t>ショリ</t>
    </rPh>
    <rPh sb="170" eb="173">
      <t>ジュウカンキョウ</t>
    </rPh>
    <phoneticPr fontId="1"/>
  </si>
  <si>
    <t>情報リテラシーⅡ</t>
    <rPh sb="0" eb="2">
      <t>ジョウホウ</t>
    </rPh>
    <phoneticPr fontId="1"/>
  </si>
  <si>
    <t>・ビッグデータ、IoT、AI「情報リテラシーⅡ」（1回目）
・第4次産業革命、Society5.0、データ駆動型社会「情報リテラシーⅡ」（3回目）</t>
    <rPh sb="27" eb="29">
      <t>カイ</t>
    </rPh>
    <rPh sb="32" eb="33">
      <t xml:space="preserve">ダイ </t>
    </rPh>
    <rPh sb="34" eb="35">
      <t xml:space="preserve">ジ </t>
    </rPh>
    <rPh sb="54" eb="57">
      <t>クドウ</t>
    </rPh>
    <rPh sb="57" eb="59">
      <t>シャカ</t>
    </rPh>
    <rPh sb="60" eb="62">
      <t>ジョウホウ</t>
    </rPh>
    <phoneticPr fontId="1"/>
  </si>
  <si>
    <t>・AI等を活用した新しいビジネスモデル（シェアリングエコノミー、商品のレコメンデーションなど）、深層生成モデル、強化学習、転移学習「情報リテラシーⅡ」（12回目）</t>
    <rPh sb="3" eb="4">
      <t>トウヲ</t>
    </rPh>
    <rPh sb="5" eb="7">
      <t>カツヨウ</t>
    </rPh>
    <rPh sb="9" eb="10">
      <t>アタラセィ</t>
    </rPh>
    <rPh sb="32" eb="34">
      <t>ショウヒn</t>
    </rPh>
    <rPh sb="48" eb="52">
      <t>シンソウ</t>
    </rPh>
    <rPh sb="56" eb="60">
      <t>キョウカガクシュウ</t>
    </rPh>
    <rPh sb="61" eb="65">
      <t>テn</t>
    </rPh>
    <rPh sb="68" eb="70">
      <t>カイ</t>
    </rPh>
    <phoneticPr fontId="1"/>
  </si>
  <si>
    <t>・調査データ、実験データ、人の行動ログデータ、機械の稼働ログデータ、1次データ、2次データ「情報リテラシーⅡ」（4回目）
・構造化データ、非構造化データ、アノテーション、オープンデータ「情報リテラシーⅡ」（5回目）</t>
    <rPh sb="1" eb="3">
      <t>チョウサ</t>
    </rPh>
    <rPh sb="7" eb="9">
      <t>ジッケn</t>
    </rPh>
    <rPh sb="13" eb="14">
      <t>ヒトノ</t>
    </rPh>
    <rPh sb="15" eb="17">
      <t>コウドウ</t>
    </rPh>
    <rPh sb="23" eb="25">
      <t>キカイ</t>
    </rPh>
    <rPh sb="26" eb="28">
      <t>カドウ</t>
    </rPh>
    <rPh sb="35" eb="36">
      <t>ツギ</t>
    </rPh>
    <rPh sb="41" eb="42">
      <t>ツギ</t>
    </rPh>
    <rPh sb="47" eb="49">
      <t>カイム</t>
    </rPh>
    <rPh sb="57" eb="61">
      <t>ヒコウ</t>
    </rPh>
    <phoneticPr fontId="1"/>
  </si>
  <si>
    <t>・データ・AI活用領域の広がり、製造「情報リテラシーⅡ」（6回目）</t>
    <rPh sb="7" eb="11">
      <t>カツヨウ</t>
    </rPh>
    <rPh sb="12" eb="13">
      <t>ヒロガリ</t>
    </rPh>
    <rPh sb="16" eb="18">
      <t>セイゾウ</t>
    </rPh>
    <rPh sb="20" eb="22">
      <t>カイ</t>
    </rPh>
    <phoneticPr fontId="1"/>
  </si>
  <si>
    <t>・複合グラフ、２軸グラフ、地図上の可視化「情報リテラシーⅡ」（7回目）
・予測、グルーピング、パターン発見、最適化、シミュレーション、データ同化、非構造化データ処理、特化型AIと汎用AI「情報リテラシーⅡ」（8回目）</t>
    <rPh sb="1" eb="2">
      <t>ヨソク</t>
    </rPh>
    <rPh sb="14" eb="16">
      <t>ハッケn</t>
    </rPh>
    <rPh sb="17" eb="20">
      <t>サイテキ</t>
    </rPh>
    <rPh sb="32" eb="34">
      <t>🙏</t>
    </rPh>
    <rPh sb="35" eb="37">
      <t>フクゴウ</t>
    </rPh>
    <rPh sb="42" eb="43">
      <t>ジク</t>
    </rPh>
    <rPh sb="47" eb="50">
      <t>チズジョウン</t>
    </rPh>
    <rPh sb="61" eb="62">
      <t>🔥</t>
    </rPh>
    <rPh sb="62" eb="65">
      <t>コウゾウ</t>
    </rPh>
    <rPh sb="68" eb="70">
      <t>ショリ</t>
    </rPh>
    <rPh sb="78" eb="80">
      <t>ハンヨウ</t>
    </rPh>
    <rPh sb="84" eb="86">
      <t>カイ</t>
    </rPh>
    <phoneticPr fontId="1"/>
  </si>
  <si>
    <t>・データサイエンスのサイクル（課題抽出と定式化、データの取得・管理・加工、探索的データ解析、データ解析と推論、結果の共有・伝達、課題解決に向けた提案）「情報リテラシーⅡ」（9回目）</t>
  </si>
  <si>
    <t>・データの集計（和、平均）「情報リテラシーⅡ」（6回目）</t>
    <rPh sb="5" eb="7">
      <t>シュウケイ</t>
    </rPh>
    <rPh sb="8" eb="9">
      <t xml:space="preserve">ワ </t>
    </rPh>
    <rPh sb="10" eb="12">
      <t>ヘイキn</t>
    </rPh>
    <rPh sb="15" eb="17">
      <t>カイ</t>
    </rPh>
    <phoneticPr fontId="1"/>
  </si>
  <si>
    <t>様式１－３</t>
    <rPh sb="0" eb="2">
      <t>ヨウシキ</t>
    </rPh>
    <phoneticPr fontId="1"/>
  </si>
  <si>
    <t>ICTビジネス入門</t>
    <rPh sb="7" eb="9">
      <t>ニュウモン</t>
    </rPh>
    <phoneticPr fontId="1"/>
  </si>
  <si>
    <t>ビジネス情報処理Ⅱ</t>
    <rPh sb="4" eb="8">
      <t>ジョウホウショリ</t>
    </rPh>
    <phoneticPr fontId="1"/>
  </si>
  <si>
    <t>情報倫理</t>
    <rPh sb="0" eb="2">
      <t>ジョウホウ</t>
    </rPh>
    <rPh sb="2" eb="4">
      <t>リンリ</t>
    </rPh>
    <phoneticPr fontId="1"/>
  </si>
  <si>
    <t>ビジネス情報処理Ⅰ</t>
    <rPh sb="4" eb="8">
      <t>ジョウホウショリ</t>
    </rPh>
    <phoneticPr fontId="1"/>
  </si>
  <si>
    <t>ビジネス情報処理Ⅰ</t>
  </si>
  <si>
    <t>ビジネス情報処理Ⅱ</t>
  </si>
  <si>
    <t>・デジタルデータとデータサイエンスの社会的・技術的背景を学びます。
・データ駆動型社会の特徴・課題と、そのような社会におけるデータの効用と価値を理解します。
・コンピュータの基本操作を修得します。
・Officeなどのソフトウェアの基本的な使い方を修得します。
・各研究分野での学修・研究において必要なコンピュータを有効活用できるようになることを目指します。
・実務に応用できる、統計学的な情報（数値データ）の処理方法と基本的分析方法の修得を目指します。</t>
  </si>
  <si>
    <t>・データ表現（棒グラフ、折れ線グラフ）「情報リテラシーⅡ」（2、3、4、5回目）
・データ表現（箱ひげ図）「情報リテラシーⅡ」（10、11回目）
・データ表現（散布図）「情報リテラシーⅡ」（13回目）</t>
    <rPh sb="4" eb="6">
      <t>ヒョウゲn</t>
    </rPh>
    <rPh sb="7" eb="8">
      <t>ボウグラヘゥ</t>
    </rPh>
    <rPh sb="12" eb="13">
      <t>オレセングラ</t>
    </rPh>
    <rPh sb="23" eb="25">
      <t>_x0000__x0004_</t>
    </rPh>
    <rPh sb="37" eb="38">
      <t>_x0002__x0005_</t>
    </rPh>
    <rPh sb="40" eb="41">
      <t>_x0007__x0001_</t>
    </rPh>
    <rPh sb="48" eb="50">
      <t>_x000B__x000C_</t>
    </rPh>
    <rPh sb="58" eb="61">
      <t>_x0001__x0011__x0017__x0002_</t>
    </rPh>
    <rPh sb="64" eb="66">
      <t/>
    </rPh>
    <phoneticPr fontId="1"/>
  </si>
  <si>
    <t xml:space="preserve">・データのばらつき（分散、標準偏差、偏差値）「情報リテラシーⅡ」（7回目）
・代表値（平均値、中央値、最頻値）「情報リテラシーⅡ」（10、11回目）
・データの分布（ヒストグラム）「情報リテラシーⅡ」（12回目）
・相関と因果「情報リテラシーⅡ」（13回目）
</t>
    <rPh sb="10" eb="12">
      <t>ブンサn</t>
    </rPh>
    <rPh sb="13" eb="17">
      <t>ヒョウジュn</t>
    </rPh>
    <rPh sb="18" eb="21">
      <t>ヘンサ</t>
    </rPh>
    <rPh sb="24" eb="26">
      <t>カイ</t>
    </rPh>
    <rPh sb="32" eb="34">
      <t>ブンプ</t>
    </rPh>
    <rPh sb="51" eb="53">
      <t>カイ</t>
    </rPh>
    <rPh sb="56" eb="58">
      <t>カイ</t>
    </rPh>
    <rPh sb="59" eb="61">
      <t>ダイヒョウ</t>
    </rPh>
    <rPh sb="61" eb="62">
      <t>アタイ</t>
    </rPh>
    <rPh sb="73" eb="75">
      <t xml:space="preserve">ソウカント </t>
    </rPh>
    <rPh sb="76" eb="78">
      <t>インガ</t>
    </rPh>
    <rPh sb="81" eb="83">
      <t>カイ</t>
    </rPh>
    <phoneticPr fontId="1"/>
  </si>
  <si>
    <t>・個人情報保護「情報倫理」（6回目）
・プライバシー保護「情報倫理」（6回目）
・データ倫理（知的財産権と著作権「情報倫理」（11回目））</t>
    <rPh sb="5" eb="7">
      <t>ホゴ</t>
    </rPh>
    <rPh sb="16" eb="17">
      <t>メ</t>
    </rPh>
    <rPh sb="37" eb="38">
      <t>メ</t>
    </rPh>
    <rPh sb="44" eb="46">
      <t>リンリ</t>
    </rPh>
    <rPh sb="65" eb="66">
      <t>カイ</t>
    </rPh>
    <rPh sb="66" eb="67">
      <t>メ</t>
    </rPh>
    <phoneticPr fontId="1"/>
  </si>
  <si>
    <t>・Society 5.0「ICTビジネス入門」（1回目）
・AI「ICTビジネス入門」（6、9、11回目）
・ビッグデータ「ICTビジネス入門」（12回目）</t>
    <rPh sb="25" eb="26">
      <t>カイ</t>
    </rPh>
    <rPh sb="26" eb="27">
      <t>メ</t>
    </rPh>
    <rPh sb="50" eb="51">
      <t>カイ</t>
    </rPh>
    <rPh sb="51" eb="52">
      <t>メ</t>
    </rPh>
    <rPh sb="75" eb="76">
      <t>カイ</t>
    </rPh>
    <rPh sb="76" eb="77">
      <t>メ</t>
    </rPh>
    <phoneticPr fontId="1"/>
  </si>
  <si>
    <t xml:space="preserve">
・AI等を活用した新しいビジネスモデル「ICTビジネス入門」（6、11回目）
</t>
    <rPh sb="36" eb="37">
      <t>カイ</t>
    </rPh>
    <rPh sb="37" eb="38">
      <t>メ</t>
    </rPh>
    <phoneticPr fontId="1"/>
  </si>
  <si>
    <t>・データ・AI活用領域の広がり「ICTビジネス入門」（9回目）</t>
    <rPh sb="28" eb="30">
      <t>カイメ</t>
    </rPh>
    <phoneticPr fontId="1"/>
  </si>
  <si>
    <t>・流通、製造、金融、サービス、インフラ、公共、ヘルスケア等におけるデータ・AI利活用事例紹介「ICTビジネス入門」（6回目）</t>
    <rPh sb="59" eb="60">
      <t>カイ</t>
    </rPh>
    <rPh sb="60" eb="61">
      <t>メ</t>
    </rPh>
    <phoneticPr fontId="1"/>
  </si>
  <si>
    <t>・データの種類「ICTビジネス入門」（3回目）
・クロス集計表、分割表「ビジネス情報処理Ⅱ」（5回目）
・データの分布（ヒストグラム）と代表値（平均値、中央値、最頻値）「ビジネス情報処理Ⅱ」（6回目）
・代表値の性質の違い、データのばらつき（分散、標準偏差、偏差値）「ビジネス情報処理Ⅱ」（6回目）
・相関と因果（相関係数、疑似相関、交絡）、相関係数行列「ビジネス情報処理Ⅱ」（7回目）</t>
    <rPh sb="21" eb="22">
      <t>メ</t>
    </rPh>
    <rPh sb="49" eb="50">
      <t>メ</t>
    </rPh>
    <rPh sb="57" eb="59">
      <t>ブンプ</t>
    </rPh>
    <rPh sb="68" eb="71">
      <t>ダイヒョウチ</t>
    </rPh>
    <rPh sb="72" eb="75">
      <t>ヘイキンチ</t>
    </rPh>
    <rPh sb="76" eb="79">
      <t>チュウオウチ</t>
    </rPh>
    <rPh sb="80" eb="83">
      <t>サイヒンチ</t>
    </rPh>
    <rPh sb="97" eb="98">
      <t>カイ</t>
    </rPh>
    <rPh sb="98" eb="99">
      <t>メ</t>
    </rPh>
    <rPh sb="147" eb="148">
      <t>メ</t>
    </rPh>
    <rPh sb="151" eb="153">
      <t>ソウカン</t>
    </rPh>
    <rPh sb="154" eb="156">
      <t>インガ</t>
    </rPh>
    <rPh sb="157" eb="161">
      <t>ソウカンケイスウ</t>
    </rPh>
    <rPh sb="162" eb="164">
      <t>ギジ</t>
    </rPh>
    <rPh sb="164" eb="166">
      <t>ソウカン</t>
    </rPh>
    <rPh sb="167" eb="169">
      <t>コウラク</t>
    </rPh>
    <rPh sb="171" eb="175">
      <t>ソウカンケイスウ</t>
    </rPh>
    <rPh sb="175" eb="177">
      <t>ギョウレツ</t>
    </rPh>
    <rPh sb="190" eb="191">
      <t>カイ</t>
    </rPh>
    <rPh sb="191" eb="192">
      <t>メ</t>
    </rPh>
    <phoneticPr fontId="1"/>
  </si>
  <si>
    <t>・データのオープン化（オープンデータ）「ICTビジネス入門」（第13回）「ビジネス情報処理Ⅱ」（9回目）</t>
    <rPh sb="9" eb="10">
      <t>カ</t>
    </rPh>
    <rPh sb="31" eb="32">
      <t>ダイ</t>
    </rPh>
    <rPh sb="34" eb="35">
      <t>カイ</t>
    </rPh>
    <rPh sb="49" eb="50">
      <t>カイ</t>
    </rPh>
    <rPh sb="50" eb="51">
      <t>メ</t>
    </rPh>
    <phoneticPr fontId="1"/>
  </si>
  <si>
    <t>・特化型AIと汎用AI「ICTビジネス入門」（9回目）</t>
    <rPh sb="1" eb="3">
      <t>トッカ</t>
    </rPh>
    <rPh sb="3" eb="4">
      <t>ガタ</t>
    </rPh>
    <rPh sb="7" eb="9">
      <t>ハンヨウ</t>
    </rPh>
    <phoneticPr fontId="1"/>
  </si>
  <si>
    <t xml:space="preserve">・情報漏洩等によるセキュリティ事故の事例紹介「ビジネス情報処理Ⅰ」（3回目）
・情報セキュリティの３要素「情報倫理」（2、9回目）
・サイバーセキュリティ「情報倫理」（2回目）
</t>
    <rPh sb="35" eb="36">
      <t>カイ</t>
    </rPh>
    <rPh sb="36" eb="37">
      <t>メ</t>
    </rPh>
    <rPh sb="40" eb="42">
      <t>ジョウホウ</t>
    </rPh>
    <rPh sb="50" eb="52">
      <t>ヨウソ</t>
    </rPh>
    <rPh sb="62" eb="63">
      <t>カイ</t>
    </rPh>
    <rPh sb="63" eb="64">
      <t>メ</t>
    </rPh>
    <rPh sb="85" eb="86">
      <t>カイ</t>
    </rPh>
    <rPh sb="86" eb="87">
      <t>メ</t>
    </rPh>
    <phoneticPr fontId="1"/>
  </si>
  <si>
    <t xml:space="preserve">・データ表現（棒グラフ、折線グラフ、散布図）「ビジネス情報処理Ⅰ」（11回目）
・優れた可視化事例の紹介、相手に的確かつ正確に情報を伝える技術や考え方「ビジネス情報処理Ⅰ」（8、13、14回目）
</t>
    <rPh sb="37" eb="38">
      <t>メ</t>
    </rPh>
    <rPh sb="41" eb="42">
      <t>スグ</t>
    </rPh>
    <rPh sb="44" eb="46">
      <t>カシ</t>
    </rPh>
    <rPh sb="46" eb="47">
      <t>カ</t>
    </rPh>
    <rPh sb="47" eb="49">
      <t>ジレイ</t>
    </rPh>
    <rPh sb="50" eb="52">
      <t>ショウカイ</t>
    </rPh>
    <rPh sb="53" eb="55">
      <t>アイテ</t>
    </rPh>
    <rPh sb="56" eb="58">
      <t>テキカク</t>
    </rPh>
    <rPh sb="60" eb="62">
      <t>セイカク</t>
    </rPh>
    <rPh sb="63" eb="65">
      <t>ジョウホウ</t>
    </rPh>
    <rPh sb="66" eb="67">
      <t>ツタ</t>
    </rPh>
    <rPh sb="69" eb="71">
      <t>ギジュツ</t>
    </rPh>
    <rPh sb="72" eb="73">
      <t>カンガ</t>
    </rPh>
    <rPh sb="74" eb="75">
      <t>カタ</t>
    </rPh>
    <rPh sb="92" eb="93">
      <t>カイ</t>
    </rPh>
    <rPh sb="95" eb="96">
      <t>メ</t>
    </rPh>
    <phoneticPr fontId="1"/>
  </si>
  <si>
    <t xml:space="preserve">
・データの取得「ビジネス情報処理Ⅱ」（9回目）
・データの集計（和、平均）「ビジネス情報処理Ⅰ」（10回目）
・データの並び替え、ランキング「ビジネス情報処理Ⅱ」（3回目）
</t>
    <rPh sb="6" eb="8">
      <t>シュトク</t>
    </rPh>
    <rPh sb="21" eb="22">
      <t>カイ</t>
    </rPh>
    <rPh sb="22" eb="23">
      <t>メ</t>
    </rPh>
    <rPh sb="53" eb="54">
      <t>メ</t>
    </rPh>
    <rPh sb="61" eb="62">
      <t>ナラ</t>
    </rPh>
    <rPh sb="63" eb="64">
      <t>カ</t>
    </rPh>
    <rPh sb="84" eb="85">
      <t>カイ</t>
    </rPh>
    <rPh sb="85" eb="86">
      <t>メ</t>
    </rPh>
    <phoneticPr fontId="1"/>
  </si>
  <si>
    <t>・情報セキュリティの3要素、匿名加工情報、情報漏洩等によるセキュリティ事故の事例紹介「情報リテラシーⅡ」（15回目）</t>
    <rPh sb="1" eb="3">
      <t>ジョウホウ</t>
    </rPh>
    <rPh sb="11" eb="13">
      <t>ヨウ</t>
    </rPh>
    <rPh sb="14" eb="20">
      <t>トクメイ</t>
    </rPh>
    <rPh sb="21" eb="25">
      <t>ジョウホウロウエイ</t>
    </rPh>
    <rPh sb="25" eb="26">
      <t>トウ</t>
    </rPh>
    <rPh sb="35" eb="37">
      <t>ジコ</t>
    </rPh>
    <rPh sb="38" eb="42">
      <t>ジレイ</t>
    </rPh>
    <rPh sb="56" eb="57">
      <t>_x0000__x0001__x0002__x0005__x000B__x0002_</t>
    </rPh>
    <phoneticPr fontId="1"/>
  </si>
  <si>
    <t>様式１－４</t>
    <rPh sb="0" eb="2">
      <t>ヨウシキ</t>
    </rPh>
    <phoneticPr fontId="1"/>
  </si>
  <si>
    <t>看護学部</t>
    <rPh sb="0" eb="2">
      <t>カンゴ</t>
    </rPh>
    <rPh sb="2" eb="4">
      <t>ガク</t>
    </rPh>
    <phoneticPr fontId="1"/>
  </si>
  <si>
    <t>「情報リテラシーⅠ」の１単位を取得すること。</t>
    <rPh sb="1" eb="3">
      <t>ジョウホウ</t>
    </rPh>
    <rPh sb="12" eb="14">
      <t>タンイ</t>
    </rPh>
    <rPh sb="15" eb="17">
      <t>シュトク</t>
    </rPh>
    <phoneticPr fontId="1"/>
  </si>
  <si>
    <t>情報リテラシーⅠ</t>
    <rPh sb="0" eb="2">
      <t>ジョウホウ</t>
    </rPh>
    <phoneticPr fontId="1"/>
  </si>
  <si>
    <t>情報リテラシーⅠ</t>
    <phoneticPr fontId="1"/>
  </si>
  <si>
    <t>・ビッグデータ、IoT、AI「情報リテラシーⅠ」（1回目）
・第4次産業革命、Society5.0、データ駆動型社会「情報リテラシーⅠ」（2回目）</t>
    <rPh sb="25" eb="26">
      <t xml:space="preserve">ダイ </t>
    </rPh>
    <rPh sb="27" eb="28">
      <t xml:space="preserve">ジ </t>
    </rPh>
    <rPh sb="28" eb="32">
      <t>サンギョウ</t>
    </rPh>
    <rPh sb="50" eb="52">
      <t>シャカ</t>
    </rPh>
    <rPh sb="53" eb="55">
      <t>ジョウホウ</t>
    </rPh>
    <phoneticPr fontId="1"/>
  </si>
  <si>
    <t>・AI等を活用した新しいビジネスモデル（シェアリングエコノミー、商品のレコメンデーションなど）、深層生成モデル、強化学習、転移学習「情報リテラシーⅠ」（6回目）</t>
    <rPh sb="3" eb="4">
      <t>トウヲ</t>
    </rPh>
    <rPh sb="5" eb="7">
      <t>カツヨウ</t>
    </rPh>
    <rPh sb="9" eb="10">
      <t>アタラセィ</t>
    </rPh>
    <rPh sb="32" eb="34">
      <t>ショウヒn</t>
    </rPh>
    <rPh sb="48" eb="52">
      <t>シンソウ</t>
    </rPh>
    <rPh sb="56" eb="60">
      <t>キョウカガクシュウ</t>
    </rPh>
    <rPh sb="61" eb="65">
      <t>テn</t>
    </rPh>
    <phoneticPr fontId="1"/>
  </si>
  <si>
    <t>・調査データ、実験データ、人の行動ログデータ、機械の稼働ログデータ、1次データ、2次データ、構造化データ、非構造化データ、アノテーション、オープンデータ「情報リテラシーⅠ」（10回目）</t>
    <rPh sb="1" eb="3">
      <t>チョウサ</t>
    </rPh>
    <rPh sb="7" eb="9">
      <t>ジッケn</t>
    </rPh>
    <rPh sb="13" eb="14">
      <t>ヒトノ</t>
    </rPh>
    <rPh sb="15" eb="17">
      <t>コウドウ</t>
    </rPh>
    <rPh sb="23" eb="25">
      <t>キカイ</t>
    </rPh>
    <rPh sb="26" eb="28">
      <t>カドウ</t>
    </rPh>
    <rPh sb="35" eb="36">
      <t>ツギ</t>
    </rPh>
    <rPh sb="41" eb="42">
      <t>ツギ</t>
    </rPh>
    <phoneticPr fontId="1"/>
  </si>
  <si>
    <t>・データ・AI活用領域の広がり、製造「情報リテラシーⅠ」（5回目）</t>
    <rPh sb="7" eb="11">
      <t>カツヨウ</t>
    </rPh>
    <rPh sb="12" eb="13">
      <t>ヒロガリ</t>
    </rPh>
    <rPh sb="16" eb="18">
      <t>セイゾウ</t>
    </rPh>
    <phoneticPr fontId="1"/>
  </si>
  <si>
    <t>・複合グラフ、２軸グラフ、地図上の可視化「情報リテラシーⅠ」（10回目）
・予測、グルーピング、パターン発見、最適化、シミュレーション、データ同化、非構造化データ処理、特化型AIと汎用AI「情報リテラシーⅠ」（12回目）</t>
    <rPh sb="1" eb="2">
      <t>ヨソク</t>
    </rPh>
    <rPh sb="14" eb="16">
      <t>ハッケn</t>
    </rPh>
    <rPh sb="17" eb="20">
      <t>サイテキ</t>
    </rPh>
    <rPh sb="33" eb="35">
      <t>🙏</t>
    </rPh>
    <rPh sb="36" eb="38">
      <t>フクゴウ</t>
    </rPh>
    <rPh sb="43" eb="44">
      <t>ジク</t>
    </rPh>
    <rPh sb="48" eb="51">
      <t>チズジョウン</t>
    </rPh>
    <rPh sb="62" eb="63">
      <t>🔥</t>
    </rPh>
    <rPh sb="63" eb="66">
      <t>コウゾウ</t>
    </rPh>
    <rPh sb="69" eb="71">
      <t>ショリ</t>
    </rPh>
    <rPh sb="79" eb="81">
      <t>ハンヨウ</t>
    </rPh>
    <rPh sb="85" eb="87">
      <t>カイ</t>
    </rPh>
    <phoneticPr fontId="1"/>
  </si>
  <si>
    <t>・データサイエンスのサイクル（課題抽出と定式化、データの取得・管理・加工、探索的データ解析、データ解析と推論、結果の共有・伝達、課題解決に向けた提案）「情報リテラシーⅠ」（13回目）</t>
  </si>
  <si>
    <t xml:space="preserve">・データのばらつき（分散、標準偏差、偏差値）、代表値（平均値、中央値、最頻値）、データの分布（ヒストグラム）「情報リテラシーⅠ」（9回目）
・相関と因果「情報リテラシーⅠ」（14回目）
</t>
    <rPh sb="10" eb="12">
      <t>ブンサn</t>
    </rPh>
    <rPh sb="13" eb="17">
      <t>ヒョウジュn</t>
    </rPh>
    <rPh sb="18" eb="21">
      <t>ヘンサ</t>
    </rPh>
    <rPh sb="35" eb="37">
      <t>カイ</t>
    </rPh>
    <rPh sb="40" eb="42">
      <t xml:space="preserve">ソウカント </t>
    </rPh>
    <rPh sb="43" eb="45">
      <t>インガ</t>
    </rPh>
    <rPh sb="48" eb="50">
      <t>カイ</t>
    </rPh>
    <phoneticPr fontId="1"/>
  </si>
  <si>
    <t>・データ表現（棒グラフ、折れ線グラフ、箱ひげ図、散布図）「情報リテラシーⅠ」（10回目）</t>
    <rPh sb="7" eb="9">
      <t>_x000B__x000C_</t>
    </rPh>
    <phoneticPr fontId="1"/>
  </si>
  <si>
    <t>・データの集計（和、平均）「情報リテラシーⅠ」（9回目）</t>
    <rPh sb="5" eb="7">
      <t>シュウケイ</t>
    </rPh>
    <rPh sb="8" eb="9">
      <t xml:space="preserve">ワ </t>
    </rPh>
    <rPh sb="10" eb="12">
      <t>ヘイキn</t>
    </rPh>
    <phoneticPr fontId="1"/>
  </si>
  <si>
    <t>・倫理的・法的・社会的課題（ELSI：Ethical、 Legal and Social Issues）、AIサービスの責任論「情報リテラシーⅠ」（2回目）
・EU一般データ保護規則（GDPR）、忘れられる権利、オプトアウト、データ倫理、データのねつ造、改ざん、盗用、プライバシー保護「情報リテラシーⅠ」（3回目）
・AI社会原則「情報リテラシーⅠ」（4回目）
・データバイアス、データ・AI活用における負の事例紹介「情報リテラシーⅠ」（5回目）</t>
    <rPh sb="1" eb="4">
      <t>リンリ</t>
    </rPh>
    <rPh sb="5" eb="7">
      <t>ホウテキ</t>
    </rPh>
    <rPh sb="8" eb="11">
      <t>シャカイ</t>
    </rPh>
    <rPh sb="11" eb="13">
      <t>カダイ</t>
    </rPh>
    <rPh sb="60" eb="62">
      <t>セキニn</t>
    </rPh>
    <rPh sb="75" eb="77">
      <t>カツヨウ</t>
    </rPh>
    <rPh sb="83" eb="87">
      <t>シャカイ</t>
    </rPh>
    <rPh sb="206" eb="208">
      <t>ショウカイ</t>
    </rPh>
    <phoneticPr fontId="1"/>
  </si>
  <si>
    <t>・情報セキュリティの3要素、匿名加工情報、情報漏洩等によるセキュリティ事故の事例紹介「情報リテラシーⅠ」（3回目）</t>
    <rPh sb="1" eb="3">
      <t>ジョウホウ</t>
    </rPh>
    <rPh sb="11" eb="13">
      <t>ヨウ</t>
    </rPh>
    <rPh sb="14" eb="20">
      <t>トクメイ</t>
    </rPh>
    <rPh sb="21" eb="25">
      <t>ジョウホウロウエイ</t>
    </rPh>
    <rPh sb="25" eb="26">
      <t>トウ</t>
    </rPh>
    <rPh sb="35" eb="37">
      <t>ジコ</t>
    </rPh>
    <rPh sb="38" eb="42">
      <t>ジレイ</t>
    </rPh>
    <rPh sb="55" eb="56">
      <t>_x0000__x0001__x0002__x0005__x000B__x0002_</t>
    </rPh>
    <phoneticPr fontId="1"/>
  </si>
  <si>
    <t>・AIの歴史やデータサイエンスの利活用の事例，利活用のための技術などの基礎的な知識
・Excelを用いて実際にデータを分析し傾向などを読み解く力
・ITに関するリテラシーや情報モラルに関する知識</t>
    <phoneticPr fontId="1"/>
  </si>
  <si>
    <t>・倫理的・法的・社会的課題（ELSI：Ethical、 Legal and Social Issues）、AIサービスの責任論、EU一般データ保護規則（GDPR）、忘れられる権利、オプトアウト、データ倫理、データのねつ造、改ざん、盗用、プライバシー保護「情報リテラシーⅡ」（13回目）
・データバイアス、データ・AI活用における負の事例紹介「情報リテラシーⅡ」（14回目）</t>
    <rPh sb="1" eb="4">
      <t>リンリ</t>
    </rPh>
    <rPh sb="5" eb="7">
      <t>ホウテキ</t>
    </rPh>
    <rPh sb="8" eb="11">
      <t>シャカイ</t>
    </rPh>
    <rPh sb="11" eb="13">
      <t>カダイ</t>
    </rPh>
    <rPh sb="60" eb="62">
      <t>セキニn</t>
    </rPh>
    <rPh sb="65" eb="67">
      <t>イッパn</t>
    </rPh>
    <rPh sb="70" eb="74">
      <t>ホゴ</t>
    </rPh>
    <rPh sb="86" eb="88">
      <t>ケンリ</t>
    </rPh>
    <rPh sb="108" eb="109">
      <t>🦣</t>
    </rPh>
    <rPh sb="128" eb="130">
      <t>カイ</t>
    </rPh>
    <rPh sb="139" eb="141">
      <t>カツヨウ</t>
    </rPh>
    <rPh sb="153" eb="154">
      <t>フノジ</t>
    </rPh>
    <rPh sb="160" eb="162">
      <t>カイ</t>
    </rPh>
    <rPh sb="168" eb="170">
      <t>ショウカイ</t>
    </rPh>
    <phoneticPr fontId="1"/>
  </si>
  <si>
    <t>様式１－５</t>
    <rPh sb="0" eb="2">
      <t>ヨウシキ</t>
    </rPh>
    <phoneticPr fontId="1"/>
  </si>
  <si>
    <t>「データサイエンス基礎」の１単位を取得すること．</t>
    <rPh sb="9" eb="11">
      <t>キソ</t>
    </rPh>
    <rPh sb="14" eb="16">
      <t>タンイ</t>
    </rPh>
    <rPh sb="17" eb="19">
      <t>シュトク</t>
    </rPh>
    <phoneticPr fontId="1"/>
  </si>
  <si>
    <t>データサイエンス基礎</t>
    <rPh sb="8" eb="10">
      <t>キソ</t>
    </rPh>
    <phoneticPr fontId="1"/>
  </si>
  <si>
    <t>データサイエンス基礎</t>
  </si>
  <si>
    <t>・データサイエンスのサイクル（課題抽出と定式化、データの取得・管理・加工、探索的データ解析、データ解析と推論、結果の共有・伝達、課題解決に向けた提案）「データサイエンス基礎」（9回目）</t>
  </si>
  <si>
    <t>・ビッグデータ、IoT、AI「データサイエンス基礎」（1回目）
・第4次産業革命、Society5.0、データ駆動型社会「データサイエンス基礎」（3回目）</t>
    <rPh sb="23" eb="25">
      <t>キソ</t>
    </rPh>
    <rPh sb="28" eb="30">
      <t>カイ</t>
    </rPh>
    <rPh sb="33" eb="34">
      <t xml:space="preserve">ダイ </t>
    </rPh>
    <rPh sb="35" eb="36">
      <t xml:space="preserve">ジ </t>
    </rPh>
    <rPh sb="36" eb="40">
      <t>サンギョウ</t>
    </rPh>
    <rPh sb="55" eb="58">
      <t>クドウ</t>
    </rPh>
    <rPh sb="58" eb="60">
      <t>シャカ</t>
    </rPh>
    <rPh sb="62" eb="64">
      <t>カイ</t>
    </rPh>
    <phoneticPr fontId="1"/>
  </si>
  <si>
    <t>・AI等を活用した新しいビジネスモデル（シェアリングエコノミー、商品のレコメンデーションなど）、深層生成モデル、強化学習、転移学習「データサイエンス基礎」（12回目）</t>
    <rPh sb="3" eb="4">
      <t>トウヲ</t>
    </rPh>
    <rPh sb="5" eb="7">
      <t>カツヨウ</t>
    </rPh>
    <rPh sb="9" eb="10">
      <t>アタラセィ</t>
    </rPh>
    <rPh sb="32" eb="34">
      <t>ショウヒn</t>
    </rPh>
    <rPh sb="48" eb="52">
      <t>シンソウ</t>
    </rPh>
    <rPh sb="56" eb="60">
      <t>キョウカガクシュウ</t>
    </rPh>
    <rPh sb="61" eb="65">
      <t>テn</t>
    </rPh>
    <rPh sb="68" eb="70">
      <t>カイ</t>
    </rPh>
    <phoneticPr fontId="1"/>
  </si>
  <si>
    <t>・調査データ、実験データ、人の行動ログデータ、機械の稼働ログデータ、1次データ、2次データ「データサイエンス基礎」（4回目）
・構造化データ、非構造化データ、アノテーション、オープンデータ「データサイエンス基礎」（5回目）</t>
    <rPh sb="1" eb="3">
      <t>チョウサ</t>
    </rPh>
    <rPh sb="7" eb="9">
      <t>ジッケn</t>
    </rPh>
    <rPh sb="13" eb="14">
      <t>ヒトノ</t>
    </rPh>
    <rPh sb="15" eb="17">
      <t>コウドウ</t>
    </rPh>
    <rPh sb="23" eb="25">
      <t>キカイ</t>
    </rPh>
    <rPh sb="26" eb="28">
      <t>カドウ</t>
    </rPh>
    <rPh sb="35" eb="36">
      <t>ツギ</t>
    </rPh>
    <rPh sb="41" eb="42">
      <t>ツギ</t>
    </rPh>
    <rPh sb="47" eb="49">
      <t>カイム</t>
    </rPh>
    <rPh sb="50" eb="54">
      <t>コウゾウ</t>
    </rPh>
    <rPh sb="58" eb="62">
      <t>ヒコウ</t>
    </rPh>
    <rPh sb="84" eb="86">
      <t>カイ</t>
    </rPh>
    <phoneticPr fontId="1"/>
  </si>
  <si>
    <t>・データ・AI活用領域の広がり、製造「データサイエンス基礎」（6回目）</t>
    <rPh sb="7" eb="11">
      <t>カツヨウ</t>
    </rPh>
    <rPh sb="12" eb="13">
      <t>ヒロガリ</t>
    </rPh>
    <rPh sb="16" eb="18">
      <t>セイゾウ</t>
    </rPh>
    <rPh sb="20" eb="22">
      <t>カイ</t>
    </rPh>
    <phoneticPr fontId="1"/>
  </si>
  <si>
    <t>・複合グラフ、２軸グラフ、地図上の可視化「データサイエンス基礎」（7回目）
・予測、グルーピング、パターン発見、最適化、シミュレーション、データ同化、非構造化データ処理、特化型AIと汎用AI「データサイエンス基礎」（8回目）</t>
    <rPh sb="1" eb="2">
      <t>ヨソク</t>
    </rPh>
    <rPh sb="14" eb="16">
      <t>ハッケn</t>
    </rPh>
    <rPh sb="17" eb="20">
      <t>サイテキ</t>
    </rPh>
    <rPh sb="33" eb="35">
      <t>🙏</t>
    </rPh>
    <rPh sb="36" eb="38">
      <t>フクゴウ</t>
    </rPh>
    <rPh sb="43" eb="44">
      <t>ジク</t>
    </rPh>
    <rPh sb="52" eb="55">
      <t>カセィ</t>
    </rPh>
    <rPh sb="57" eb="59">
      <t>カイ</t>
    </rPh>
    <rPh sb="62" eb="63">
      <t>🔥</t>
    </rPh>
    <rPh sb="63" eb="66">
      <t>コウゾウ</t>
    </rPh>
    <rPh sb="69" eb="71">
      <t>ショリ</t>
    </rPh>
    <rPh sb="79" eb="81">
      <t>ハンヨウ</t>
    </rPh>
    <rPh sb="85" eb="87">
      <t>カイ</t>
    </rPh>
    <phoneticPr fontId="1"/>
  </si>
  <si>
    <t>・データの集計（和、平均）「データサイエンス基礎」（6回目）</t>
    <rPh sb="5" eb="7">
      <t>シュウケイ</t>
    </rPh>
    <rPh sb="8" eb="9">
      <t xml:space="preserve">ワ </t>
    </rPh>
    <rPh sb="10" eb="12">
      <t>ヘイキn</t>
    </rPh>
    <rPh sb="15" eb="17">
      <t>カイ</t>
    </rPh>
    <phoneticPr fontId="1"/>
  </si>
  <si>
    <t>・データ表現（棒グラフ、折れ線グラフ）「データサイエンス基礎」（2、3、4、5回目）
・データ表現（箱ひげ図）「データサイエンス基礎」（10、11回目）
・データ表現（散布図）「データサイエンス基礎」（13回目）</t>
    <rPh sb="4" eb="6">
      <t>ヒョウゲn</t>
    </rPh>
    <rPh sb="7" eb="8">
      <t>ボウグラヘゥ</t>
    </rPh>
    <rPh sb="12" eb="13">
      <t>オレセングラ</t>
    </rPh>
    <rPh sb="23" eb="25">
      <t>_x0000__x0004_</t>
    </rPh>
    <rPh sb="38" eb="39">
      <t>_x0002__x0005_</t>
    </rPh>
    <rPh sb="41" eb="42">
      <t>_x0007__x0001_</t>
    </rPh>
    <rPh sb="49" eb="51">
      <t>_x000B__x000C_</t>
    </rPh>
    <rPh sb="59" eb="62">
      <t>_x0001__x0011__x0017__x0002_</t>
    </rPh>
    <rPh sb="66" eb="68">
      <t/>
    </rPh>
    <phoneticPr fontId="1"/>
  </si>
  <si>
    <t>・倫理的・法的・社会的課題（ELSI：Ethical、 Legal and Social Issues）、AIサービスの責任論、EU一般データ保護規則（GDPR）、忘れられる権利、オプトアウト、データ倫理、データのねつ造、改ざん、盗用、プライバシー保護「データサイエンス基礎」（13回目）
・データバイアス、データ・AI活用における負の事例紹介「データサイエンス基礎」（14回目）</t>
    <rPh sb="1" eb="4">
      <t>リンリ</t>
    </rPh>
    <rPh sb="5" eb="7">
      <t>ホウテキ</t>
    </rPh>
    <rPh sb="8" eb="11">
      <t>シャカイ</t>
    </rPh>
    <rPh sb="11" eb="13">
      <t>カダイ</t>
    </rPh>
    <rPh sb="60" eb="62">
      <t>セキニn</t>
    </rPh>
    <rPh sb="65" eb="67">
      <t>イッパn</t>
    </rPh>
    <rPh sb="70" eb="74">
      <t>ホゴ</t>
    </rPh>
    <rPh sb="86" eb="88">
      <t>ケンリ</t>
    </rPh>
    <rPh sb="108" eb="109">
      <t>🦣</t>
    </rPh>
    <rPh sb="128" eb="130">
      <t>カイ</t>
    </rPh>
    <rPh sb="140" eb="142">
      <t>カツヨウ</t>
    </rPh>
    <rPh sb="154" eb="155">
      <t>フノジ</t>
    </rPh>
    <rPh sb="161" eb="163">
      <t>カイ</t>
    </rPh>
    <rPh sb="170" eb="172">
      <t>ショウカイ</t>
    </rPh>
    <phoneticPr fontId="1"/>
  </si>
  <si>
    <t>・情報セキュリティの3要素、匿名加工情報、情報漏洩等によるセキュリティ事故の事例紹介「データサイエンス基礎」（15回目）</t>
    <rPh sb="1" eb="3">
      <t>ジョウホウ</t>
    </rPh>
    <rPh sb="11" eb="13">
      <t>ヨウ</t>
    </rPh>
    <rPh sb="14" eb="20">
      <t>トクメイ</t>
    </rPh>
    <rPh sb="21" eb="25">
      <t>ジョウホウロウエイ</t>
    </rPh>
    <rPh sb="25" eb="26">
      <t>トウ</t>
    </rPh>
    <rPh sb="35" eb="37">
      <t>ジコ</t>
    </rPh>
    <rPh sb="38" eb="42">
      <t>ジレイ</t>
    </rPh>
    <rPh sb="57" eb="58">
      <t>_x0000__x0001__x0002__x0005__x000B__x0002_</t>
    </rPh>
    <phoneticPr fontId="1"/>
  </si>
  <si>
    <t xml:space="preserve">・データのばらつき（分散、標準偏差、偏差値）「データサイエンス基礎」（7回目）
・代表値（平均値、中央値、最頻値）「データサイエンス基礎」（10、11回目）
・データの分布（ヒストグラム）「データサイエンス基礎」（12回目）
・相関と因果「データサイエンス基礎」（13回目）
</t>
    <rPh sb="10" eb="12">
      <t>ブンサn</t>
    </rPh>
    <rPh sb="13" eb="17">
      <t>ヒョウジュn</t>
    </rPh>
    <rPh sb="18" eb="21">
      <t>ヘンサ</t>
    </rPh>
    <rPh sb="24" eb="26">
      <t>カイ</t>
    </rPh>
    <rPh sb="33" eb="35">
      <t>ブンプ</t>
    </rPh>
    <rPh sb="57" eb="59">
      <t>カイ</t>
    </rPh>
    <rPh sb="60" eb="62">
      <t>ダイヒョウ</t>
    </rPh>
    <rPh sb="62" eb="63">
      <t>アタイ</t>
    </rPh>
    <rPh sb="64" eb="67">
      <t>ヘイキn</t>
    </rPh>
    <rPh sb="68" eb="71">
      <t>チュウ</t>
    </rPh>
    <rPh sb="78" eb="80">
      <t xml:space="preserve">ソウカント </t>
    </rPh>
    <rPh sb="81" eb="83">
      <t>インガ</t>
    </rPh>
    <rPh sb="86" eb="88">
      <t>カイ</t>
    </rPh>
    <phoneticPr fontId="1"/>
  </si>
  <si>
    <t>諏訪晴彦</t>
    <rPh sb="0" eb="2">
      <t>スワ</t>
    </rPh>
    <rPh sb="2" eb="4">
      <t>ハルヒコ</t>
    </rPh>
    <phoneticPr fontId="1"/>
  </si>
  <si>
    <t>摂南大学 教育推進会議、数理・データサイエンス・AI教育プログラム委員会</t>
    <phoneticPr fontId="1"/>
  </si>
  <si>
    <t>　本プログラム対象科目共通のアンケートの結果では、データサイエンスの活用事例、分析方法に関する知識、そして留意点についての理解度を尋ねている。このアンケートを初回講義と最終回に履修者に実施することで、講義を一通り受講した後の学修成果を把握している。このアンケートを集計した結果、個人差はあるものの、全体的に講義を通して理解度が向上していることが示されていることが確認できた。ただし、最終回における本プログラム対象科目共通のアンケートの回収率は全体的に低調であった。これは出席率とも関係している可能性があるため、今後は履修ガイダンスでもMDASHの意義を周知するとともに、あわせて授業改善のためのアンケートへの協力を呼びかける。
　また、全学で実施する通常の授業アンケートの結果によれば、講義で取得できた能力として、多くの履修者が「一般的な教養」と「専門的な知識」を挙げていた。データサイエンスの基本的な知識を習得する、というプログラムの目的に沿った成果が得られた、と多くの履修者が認識していることがうかがえる。また個人差はあるものの、全体的に講義を通して理解度が向上していることも確認できた。</t>
    <rPh sb="1" eb="2">
      <t>ホン</t>
    </rPh>
    <rPh sb="20" eb="22">
      <t>ケッカ</t>
    </rPh>
    <rPh sb="44" eb="45">
      <t>カン</t>
    </rPh>
    <rPh sb="65" eb="66">
      <t>タズ</t>
    </rPh>
    <rPh sb="81" eb="83">
      <t>コウギ</t>
    </rPh>
    <rPh sb="132" eb="134">
      <t>シュウケイ</t>
    </rPh>
    <rPh sb="136" eb="138">
      <t>ケッカ</t>
    </rPh>
    <rPh sb="139" eb="142">
      <t>コジンサ</t>
    </rPh>
    <rPh sb="149" eb="152">
      <t>ゼンタイテキ</t>
    </rPh>
    <rPh sb="181" eb="183">
      <t>カクニン</t>
    </rPh>
    <rPh sb="191" eb="194">
      <t>サイシュウカイ</t>
    </rPh>
    <rPh sb="217" eb="219">
      <t>カイシュウ</t>
    </rPh>
    <rPh sb="219" eb="220">
      <t>リツ</t>
    </rPh>
    <rPh sb="221" eb="224">
      <t>ゼンタイテキ</t>
    </rPh>
    <rPh sb="225" eb="227">
      <t>テイチョウ</t>
    </rPh>
    <rPh sb="235" eb="238">
      <t>シュッセキリツ</t>
    </rPh>
    <rPh sb="240" eb="242">
      <t>カンケイ</t>
    </rPh>
    <rPh sb="246" eb="249">
      <t>カノウセイ</t>
    </rPh>
    <rPh sb="255" eb="257">
      <t>コンゴ</t>
    </rPh>
    <rPh sb="258" eb="260">
      <t>リシュウ</t>
    </rPh>
    <rPh sb="273" eb="275">
      <t>イギ</t>
    </rPh>
    <rPh sb="276" eb="278">
      <t>シュウチ</t>
    </rPh>
    <rPh sb="289" eb="291">
      <t>ジュギョウ</t>
    </rPh>
    <rPh sb="291" eb="293">
      <t>カイゼン</t>
    </rPh>
    <rPh sb="304" eb="306">
      <t>キョウリョク</t>
    </rPh>
    <rPh sb="307" eb="308">
      <t>ヨ</t>
    </rPh>
    <rPh sb="318" eb="320">
      <t>ゼンガク</t>
    </rPh>
    <rPh sb="321" eb="323">
      <t>ジッシ</t>
    </rPh>
    <rPh sb="325" eb="327">
      <t>ツウジョウ</t>
    </rPh>
    <rPh sb="328" eb="330">
      <t>ジュギョウ</t>
    </rPh>
    <rPh sb="433" eb="434">
      <t>オオ</t>
    </rPh>
    <rPh sb="436" eb="439">
      <t>リシュウシャ</t>
    </rPh>
    <rPh sb="440" eb="442">
      <t>ニンシキ</t>
    </rPh>
    <phoneticPr fontId="3"/>
  </si>
  <si>
    <t>　シラバスでは授業計画で何を学ぶかを具体的に示し、適切な到達目標を設定している。多くの学部・学科で、本プログラム対象科目共通のアンケートを実施し、データサイエンスの活用事例、分析方法についての知識、留意点についての理解度を聞いている。このアンケートは初回と最終回に履修者に対して実施し、該当する講義を履修する前と後での変化を調査している。これによって学修成果を把握し、評価・改善に活用している。
　また、全学で実施する通常の授業アンケートでは、修得できたと考える能力、理解度、関心度の高さなどについて尋ねている。このアンケートを期末に実施することで、該当する講義を履修することで得られた効果や講義運営上の課題を明らかにしている。これによって学修成果を把握し、評価・改善に活用している。</t>
    <rPh sb="40" eb="41">
      <t>オオ</t>
    </rPh>
    <rPh sb="43" eb="45">
      <t>ガクブ</t>
    </rPh>
    <rPh sb="46" eb="48">
      <t>ガッカ</t>
    </rPh>
    <rPh sb="69" eb="71">
      <t>ジッシ</t>
    </rPh>
    <rPh sb="82" eb="84">
      <t>カツヨウ</t>
    </rPh>
    <rPh sb="84" eb="86">
      <t>ジレイ</t>
    </rPh>
    <rPh sb="87" eb="89">
      <t>ブンセキ</t>
    </rPh>
    <rPh sb="89" eb="91">
      <t>ホウホウ</t>
    </rPh>
    <rPh sb="96" eb="98">
      <t>チシキ</t>
    </rPh>
    <rPh sb="111" eb="112">
      <t>キ</t>
    </rPh>
    <rPh sb="125" eb="127">
      <t>ショカイ</t>
    </rPh>
    <rPh sb="128" eb="131">
      <t>サイシュウカイ</t>
    </rPh>
    <rPh sb="132" eb="135">
      <t>リシュウシャ</t>
    </rPh>
    <rPh sb="136" eb="137">
      <t>タイ</t>
    </rPh>
    <rPh sb="139" eb="141">
      <t>ジッシ</t>
    </rPh>
    <rPh sb="154" eb="155">
      <t>マエ</t>
    </rPh>
    <rPh sb="156" eb="157">
      <t>アト</t>
    </rPh>
    <rPh sb="159" eb="161">
      <t>ヘンカ</t>
    </rPh>
    <rPh sb="162" eb="164">
      <t>チョウサゼンガクジッシシュウケイケッカ</t>
    </rPh>
    <rPh sb="212" eb="214">
      <t>ジュギョウ</t>
    </rPh>
    <phoneticPr fontId="3"/>
  </si>
  <si>
    <t>　全学で実施するアンケートや本プログラム対象科目共通のアンケートおよび数理・データサイエンス・AI教育プログラム委員会による自己点検・評価を通じて、改善に向けた課題が明らかになっており、これらについて、順を追って改善を進めていく。得られた意見等については、教育推進会議を通じて全学的に共有を行う。
　なお、このプログラムは2024年度に開始したものであり、まだ履修経験のある卒業生はいないため、産業界（企業）からの意見は得られていない。</t>
    <rPh sb="1" eb="3">
      <t>ゼンガク</t>
    </rPh>
    <rPh sb="4" eb="6">
      <t>ジッシ</t>
    </rPh>
    <rPh sb="62" eb="66">
      <t>ジコテンケン</t>
    </rPh>
    <rPh sb="67" eb="69">
      <t>ヒョウカ</t>
    </rPh>
    <rPh sb="83" eb="84">
      <t>アキ</t>
    </rPh>
    <rPh sb="101" eb="102">
      <t>ジュン</t>
    </rPh>
    <rPh sb="103" eb="104">
      <t>オ</t>
    </rPh>
    <rPh sb="106" eb="108">
      <t>カイゼン</t>
    </rPh>
    <rPh sb="109" eb="110">
      <t>スス</t>
    </rPh>
    <rPh sb="128" eb="134">
      <t>キョウイクスイシンカイギ</t>
    </rPh>
    <rPh sb="145" eb="146">
      <t>オコナ</t>
    </rPh>
    <rPh sb="165" eb="167">
      <t>ネンド</t>
    </rPh>
    <rPh sb="168" eb="170">
      <t>カイシ</t>
    </rPh>
    <rPh sb="180" eb="184">
      <t>リシュウケイケン</t>
    </rPh>
    <rPh sb="187" eb="190">
      <t>ソツギョウセイ</t>
    </rPh>
    <rPh sb="197" eb="200">
      <t>サンギョウカイ</t>
    </rPh>
    <rPh sb="201" eb="203">
      <t>キギョウ</t>
    </rPh>
    <rPh sb="207" eb="209">
      <t>イケン</t>
    </rPh>
    <rPh sb="210" eb="211">
      <t>エ</t>
    </rPh>
    <phoneticPr fontId="3"/>
  </si>
  <si>
    <t>「ICTビジネス入門」「ビジネス情報処理Ⅰ」「ビジネス情報処理Ⅱ」「情報倫理」の４科目計８単位を取得すること。</t>
    <rPh sb="8" eb="10">
      <t>ニュウモン</t>
    </rPh>
    <rPh sb="16" eb="18">
      <t>ジョウホウ</t>
    </rPh>
    <rPh sb="18" eb="20">
      <t>ショリ</t>
    </rPh>
    <rPh sb="27" eb="31">
      <t>ジョウホウショリ</t>
    </rPh>
    <rPh sb="34" eb="36">
      <t>ジョウホウ</t>
    </rPh>
    <rPh sb="36" eb="38">
      <t>リンリ</t>
    </rPh>
    <rPh sb="41" eb="43">
      <t>カモク</t>
    </rPh>
    <rPh sb="43" eb="44">
      <t>ケイ</t>
    </rPh>
    <rPh sb="45" eb="47">
      <t>タンイ</t>
    </rPh>
    <rPh sb="48" eb="50">
      <t>シュトク</t>
    </rPh>
    <phoneticPr fontId="1"/>
  </si>
  <si>
    <t>現代社会学部、法学部、薬学部</t>
    <phoneticPr fontId="1"/>
  </si>
  <si>
    <t>PCを常設した自習室を設置しており、開室時間内であれば自由にＰＣを使用し学修できる環境を整備している。一部の学部で開講している「データサイエンス基礎」は完全オンデマンド授業として開講している。オンデマンド授業の利点を生かし、学生個人の学修ペースに合わせて任意に振り返り学修を行うことができるように教材提供を行っている。</t>
    <rPh sb="3" eb="5">
      <t>ジョウセツ</t>
    </rPh>
    <rPh sb="7" eb="10">
      <t>ジシュウシツ</t>
    </rPh>
    <rPh sb="11" eb="13">
      <t>セッチ</t>
    </rPh>
    <rPh sb="18" eb="23">
      <t>カイシツジカンナイ</t>
    </rPh>
    <rPh sb="27" eb="29">
      <t>ジユウ</t>
    </rPh>
    <rPh sb="33" eb="35">
      <t>シヨウ</t>
    </rPh>
    <rPh sb="36" eb="38">
      <t>ガクシュウ</t>
    </rPh>
    <phoneticPr fontId="1"/>
  </si>
  <si>
    <t>　数理・データサイエンス・AI教育プログラム委員会において、MDASHの教育プログラムの修得状況についての分析を実施した。これらは履修者に関する各種情報に基づくものである。
　2024年度における、本プログラムの修了要件は、学部・学科ごとに定められている。現代社会学部、理工学部住環境デザイン学科、同生命科学科、経済学部、国際学部、看護学部では、本プログラム修了要件の科目を必修科目に、その他の学部・学科では選択科目・選択必修科目としている。
　本プログラムは2024年度開講であり、主に１年次生が履修するため、2024年度は収容定員に対する履修率は低い。しかし、選択科目・選択必修科目としている学部・学科があるにもかかわらず、入学者数に対する履修率は高い。そのため、将来的には本プログラム対象科目の収容定員に対する履修率・履修済み学生の割合は向上するものと期待される。
　また、2024年度における本プログラム対象科目の修了率は、70％～100%となっている。ほとんどの学部で修了率が80%を超えており、多くの学生が内容を修得できているものと考えられる。　　　　　　　　　　</t>
    <rPh sb="35" eb="37">
      <t>キョウイク</t>
    </rPh>
    <rPh sb="43" eb="45">
      <t>シュウトク</t>
    </rPh>
    <rPh sb="45" eb="47">
      <t>ジョウキョウ</t>
    </rPh>
    <rPh sb="52" eb="54">
      <t>ブンセキ</t>
    </rPh>
    <rPh sb="55" eb="57">
      <t>ジッシ</t>
    </rPh>
    <rPh sb="73" eb="75">
      <t>ジョウホウ</t>
    </rPh>
    <rPh sb="76" eb="77">
      <t>モト</t>
    </rPh>
    <rPh sb="134" eb="136">
      <t>リコウ</t>
    </rPh>
    <rPh sb="136" eb="138">
      <t>ガクブ</t>
    </rPh>
    <rPh sb="138" eb="141">
      <t>ジュウカンキョウ</t>
    </rPh>
    <rPh sb="145" eb="147">
      <t>ガッカ</t>
    </rPh>
    <rPh sb="148" eb="149">
      <t>ドウ</t>
    </rPh>
    <rPh sb="149" eb="151">
      <t>セイメイ</t>
    </rPh>
    <rPh sb="151" eb="154">
      <t>カガクカ</t>
    </rPh>
    <rPh sb="155" eb="157">
      <t>ケイザイ</t>
    </rPh>
    <rPh sb="157" eb="159">
      <t>ガクブ</t>
    </rPh>
    <rPh sb="160" eb="162">
      <t>コクサイ</t>
    </rPh>
    <rPh sb="162" eb="164">
      <t>ガクブ</t>
    </rPh>
    <rPh sb="165" eb="167">
      <t>カンゴ</t>
    </rPh>
    <rPh sb="167" eb="169">
      <t>ガクブ</t>
    </rPh>
    <rPh sb="172" eb="173">
      <t>ホン</t>
    </rPh>
    <rPh sb="183" eb="185">
      <t>カモク</t>
    </rPh>
    <rPh sb="194" eb="195">
      <t>ホカ</t>
    </rPh>
    <rPh sb="196" eb="198">
      <t>ガクブ</t>
    </rPh>
    <rPh sb="199" eb="201">
      <t>ガッカ</t>
    </rPh>
    <rPh sb="203" eb="207">
      <t>センタクカモク</t>
    </rPh>
    <rPh sb="208" eb="210">
      <t>センタク</t>
    </rPh>
    <rPh sb="210" eb="214">
      <t>ヒッシュウカモク</t>
    </rPh>
    <rPh sb="242" eb="243">
      <t>オモ</t>
    </rPh>
    <rPh sb="245" eb="247">
      <t>ネンジ</t>
    </rPh>
    <rPh sb="247" eb="248">
      <t>セイ</t>
    </rPh>
    <rPh sb="249" eb="251">
      <t>リシュウ</t>
    </rPh>
    <rPh sb="260" eb="262">
      <t>ネンド</t>
    </rPh>
    <rPh sb="331" eb="332">
      <t>ネン</t>
    </rPh>
    <rPh sb="332" eb="333">
      <t>ド</t>
    </rPh>
    <rPh sb="334" eb="337">
      <t>ショウライテキ</t>
    </rPh>
    <rPh sb="342" eb="344">
      <t>ゼンタイ</t>
    </rPh>
    <rPh sb="350" eb="354">
      <t>シュウヨウテイイン</t>
    </rPh>
    <rPh sb="355" eb="356">
      <t>タイ</t>
    </rPh>
    <rPh sb="360" eb="361">
      <t>リツ</t>
    </rPh>
    <rPh sb="362" eb="364">
      <t>リシュウ</t>
    </rPh>
    <rPh sb="364" eb="365">
      <t>ズ</t>
    </rPh>
    <rPh sb="366" eb="368">
      <t>ガクセイ</t>
    </rPh>
    <rPh sb="369" eb="371">
      <t>ワリアイ</t>
    </rPh>
    <rPh sb="377" eb="380">
      <t>リシュウシャ</t>
    </rPh>
    <rPh sb="381" eb="383">
      <t>ワリアイ</t>
    </rPh>
    <rPh sb="384" eb="385">
      <t>タカ</t>
    </rPh>
    <rPh sb="439" eb="441">
      <t>シュウリョウ</t>
    </rPh>
    <rPh sb="441" eb="442">
      <t>リツ</t>
    </rPh>
    <rPh sb="448" eb="450">
      <t>タイショウ</t>
    </rPh>
    <rPh sb="450" eb="452">
      <t>カモク</t>
    </rPh>
    <rPh sb="453" eb="456">
      <t>シュウリョウリツリシュウリツ</t>
    </rPh>
    <rPh sb="478" eb="480">
      <t>ガクブ</t>
    </rPh>
    <rPh sb="485" eb="486">
      <t>コオオガクセイナイヨウシュウトクカンガ</t>
    </rPh>
    <phoneticPr fontId="3"/>
  </si>
  <si>
    <t>　一部の学部・学科を除いて実施した本プログラム対象科目共通のアンケートでは、最終回実施分において、他の学生への推奨度を尋ねている。アンケートの結果、選択肢「１．（推奨が）十分にできる」「２．少しできる」と回答したものが60%～76％を占めていることが判明した。これは、当該科目の履修者が今後の入学生に対して、履修を推奨することが期待できる結果である。</t>
    <rPh sb="1" eb="3">
      <t>イチブ</t>
    </rPh>
    <rPh sb="4" eb="6">
      <t>ガクブ</t>
    </rPh>
    <rPh sb="7" eb="9">
      <t>ガッカ</t>
    </rPh>
    <rPh sb="10" eb="11">
      <t>ノゾ</t>
    </rPh>
    <rPh sb="13" eb="15">
      <t>ジッシ</t>
    </rPh>
    <rPh sb="38" eb="41">
      <t>サイシュウカイ</t>
    </rPh>
    <rPh sb="41" eb="43">
      <t>ジッシ</t>
    </rPh>
    <rPh sb="43" eb="44">
      <t>ブン</t>
    </rPh>
    <rPh sb="71" eb="73">
      <t>ケッカ</t>
    </rPh>
    <rPh sb="81" eb="83">
      <t>スイショウ</t>
    </rPh>
    <rPh sb="102" eb="104">
      <t>カイトウ</t>
    </rPh>
    <rPh sb="117" eb="118">
      <t>シ</t>
    </rPh>
    <rPh sb="125" eb="127">
      <t>ハンメイ</t>
    </rPh>
    <rPh sb="134" eb="138">
      <t>トウガイカモク</t>
    </rPh>
    <rPh sb="139" eb="142">
      <t>リシュウシャ</t>
    </rPh>
    <rPh sb="143" eb="145">
      <t>コンゴ</t>
    </rPh>
    <rPh sb="146" eb="149">
      <t>ニュウガクセイ</t>
    </rPh>
    <rPh sb="150" eb="151">
      <t>タイ</t>
    </rPh>
    <rPh sb="154" eb="156">
      <t>リシュウ</t>
    </rPh>
    <rPh sb="157" eb="159">
      <t>スイショウ</t>
    </rPh>
    <rPh sb="164" eb="166">
      <t>キタイ</t>
    </rPh>
    <rPh sb="169" eb="171">
      <t>ケッカ</t>
    </rPh>
    <phoneticPr fontId="3"/>
  </si>
  <si>
    <t>　データサイエンス・AIを学ぶ楽しさや意義を理解させるため、過去の具体的な成功事例を交えてデータ分析が有意義であることを示す講義内容としている。さらに、学生自身が使っているAIツールの使い方やツールを構成する技術内容にも触れることで、AIをより身近に感じ興味を持てるような仕組みを取り入れている。</t>
    <rPh sb="33" eb="36">
      <t>グタイ</t>
    </rPh>
    <rPh sb="81" eb="82">
      <t>ツカッテ</t>
    </rPh>
    <rPh sb="92" eb="93">
      <t>ツカイ</t>
    </rPh>
    <rPh sb="100" eb="102">
      <t>コウセイキョウミモテシクミ_x0000_ _x0003__x0003_P_x0001__x0007_[_x0001_
c_x0002__x000E__x0002__x0012__x0001__x0014__x0002__x0017__x0001__x001B__x0001_ _x0001_%_x0001_*_x0001_/_x0001_4_x0001_8_x0001_&lt;_x0001_@_x0001_D</t>
    </rPh>
    <phoneticPr fontId="1"/>
  </si>
  <si>
    <t>　授業資料に加えて随時ニュース記事などを用いることで、普遍的な知識・技術に加えて社会情勢を踏まえたAI技術などの最新動向を知ることができる構成としている。また、大学独自の授業アンケートを受講者全員を対象に実施し、その結果や自由記述欄のコメントをもとに改善点の洗い出しを行うことで、授業の質向上に努めている。</t>
    <rPh sb="1" eb="5">
      <t>ジュギョウ</t>
    </rPh>
    <rPh sb="6" eb="7">
      <t>クワエ</t>
    </rPh>
    <rPh sb="9" eb="11">
      <t>ズイジ</t>
    </rPh>
    <rPh sb="20" eb="21">
      <t>モチイ</t>
    </rPh>
    <rPh sb="27" eb="30">
      <t>フヘn</t>
    </rPh>
    <rPh sb="31" eb="33">
      <t>チシキ</t>
    </rPh>
    <rPh sb="34" eb="36">
      <t>ギジュテゥ</t>
    </rPh>
    <rPh sb="37" eb="38">
      <t>クワエ</t>
    </rPh>
    <rPh sb="40" eb="44">
      <t>シャカイ</t>
    </rPh>
    <rPh sb="45" eb="46">
      <t>フマエタ</t>
    </rPh>
    <rPh sb="51" eb="53">
      <t>ギジュテゥ</t>
    </rPh>
    <rPh sb="56" eb="60">
      <t>サイシn</t>
    </rPh>
    <rPh sb="61" eb="62">
      <t>シル</t>
    </rPh>
    <rPh sb="69" eb="71">
      <t>コウセイ</t>
    </rPh>
    <rPh sb="80" eb="84">
      <t>ダイガク</t>
    </rPh>
    <rPh sb="85" eb="87">
      <t>ジュギョウア</t>
    </rPh>
    <rPh sb="93" eb="98">
      <t>ジュコウシャゼン</t>
    </rPh>
    <rPh sb="99" eb="101">
      <t>タイショウ</t>
    </rPh>
    <rPh sb="102" eb="104">
      <t>ジッセィ</t>
    </rPh>
    <rPh sb="111" eb="116">
      <t>ジユウ</t>
    </rPh>
    <rPh sb="125" eb="128">
      <t>カイゼn</t>
    </rPh>
    <rPh sb="129" eb="130">
      <t>アライダセィ</t>
    </rPh>
    <rPh sb="134" eb="135">
      <t>オコナイ</t>
    </rPh>
    <rPh sb="140" eb="142">
      <t>ジュギョウ</t>
    </rPh>
    <rPh sb="143" eb="144">
      <t>シテゥ</t>
    </rPh>
    <rPh sb="144" eb="146">
      <t>コウジョウ</t>
    </rPh>
    <rPh sb="147" eb="148">
      <t>ツトメ</t>
    </rPh>
    <phoneticPr fontId="1"/>
  </si>
  <si>
    <t>　プログラムは2024年度開始であり、本プログラムの対象科目は、２年次配当科目である経営学部の「情報倫理」を除き、１年次配当科目となっている。そのため、2024年度末の時点で、本プログラムを修了した卒業者は０名である。このうような事情から、具体的な企業の評価や進路は不明であるが、今後は就職課の協力を得て、入社先の企業を対象としたアンケートを実施することで、意見を募ることを検討したい。</t>
    <rPh sb="11" eb="15">
      <t>ネンドカイシ</t>
    </rPh>
    <rPh sb="19" eb="20">
      <t>ホン</t>
    </rPh>
    <rPh sb="26" eb="28">
      <t>タイショウ</t>
    </rPh>
    <rPh sb="28" eb="30">
      <t>カモク</t>
    </rPh>
    <rPh sb="33" eb="35">
      <t>ネンジ</t>
    </rPh>
    <rPh sb="35" eb="37">
      <t>ハイトウ</t>
    </rPh>
    <rPh sb="37" eb="39">
      <t>カモク</t>
    </rPh>
    <rPh sb="42" eb="44">
      <t>ケイエイ</t>
    </rPh>
    <rPh sb="44" eb="46">
      <t>ガクブ</t>
    </rPh>
    <rPh sb="48" eb="50">
      <t>ジョウホウ</t>
    </rPh>
    <rPh sb="50" eb="52">
      <t>リンリ</t>
    </rPh>
    <rPh sb="54" eb="55">
      <t>ノゾ</t>
    </rPh>
    <rPh sb="58" eb="60">
      <t>ネンジ</t>
    </rPh>
    <rPh sb="60" eb="62">
      <t>ハイトウ</t>
    </rPh>
    <rPh sb="62" eb="64">
      <t>カモク</t>
    </rPh>
    <rPh sb="80" eb="82">
      <t>ネンド</t>
    </rPh>
    <rPh sb="82" eb="83">
      <t>マツ</t>
    </rPh>
    <rPh sb="84" eb="86">
      <t>ジテン</t>
    </rPh>
    <rPh sb="88" eb="89">
      <t>ホン</t>
    </rPh>
    <rPh sb="95" eb="97">
      <t>シュウリョウ</t>
    </rPh>
    <rPh sb="99" eb="102">
      <t>ソツギョウシャ</t>
    </rPh>
    <rPh sb="104" eb="105">
      <t>メイ</t>
    </rPh>
    <rPh sb="115" eb="117">
      <t>ジジョウ</t>
    </rPh>
    <rPh sb="120" eb="123">
      <t>グタイテキ</t>
    </rPh>
    <rPh sb="124" eb="126">
      <t>キギョウ</t>
    </rPh>
    <rPh sb="127" eb="129">
      <t>ヒョウカ</t>
    </rPh>
    <rPh sb="130" eb="132">
      <t>シンロ</t>
    </rPh>
    <rPh sb="133" eb="135">
      <t>フメイ</t>
    </rPh>
    <rPh sb="140" eb="142">
      <t>コンゴ</t>
    </rPh>
    <rPh sb="143" eb="146">
      <t>シュウショクカ</t>
    </rPh>
    <rPh sb="147" eb="149">
      <t>キョウリョク</t>
    </rPh>
    <rPh sb="150" eb="151">
      <t>エ</t>
    </rPh>
    <rPh sb="160" eb="162">
      <t>タイショウ</t>
    </rPh>
    <rPh sb="171" eb="173">
      <t>ジッシ</t>
    </rPh>
    <rPh sb="187" eb="189">
      <t>ケントウ</t>
    </rPh>
    <phoneticPr fontId="3"/>
  </si>
  <si>
    <t>　2024年度において、本プログラムを構成する講義は、５学部６学科で必修科目として開講した。2024年度において必修科目としていない学部・学科も含めて、全学教養教育科目「データサイエンス基礎」を開講し、2027年度以降に全学部で必修科目とする方針である。それまでは、履修者数増加のため、データサイエンス教育の重要性を学生に説明する。また履修者に対しては、課題の提出率を向上させ、講義内容修得の効果が得られることを目指す。具体的には、成績評価に占める課題の割合を見直すこと、さらにこれら課題のうち、講義中に取り組むものを設定するなどの方策が有効と考えられる。</t>
    <rPh sb="5" eb="6">
      <t>ネン</t>
    </rPh>
    <rPh sb="6" eb="7">
      <t>ド</t>
    </rPh>
    <rPh sb="12" eb="13">
      <t>ホン</t>
    </rPh>
    <rPh sb="19" eb="21">
      <t>コウセイ</t>
    </rPh>
    <rPh sb="23" eb="25">
      <t>コウギ</t>
    </rPh>
    <rPh sb="28" eb="30">
      <t>ガクブ</t>
    </rPh>
    <rPh sb="31" eb="33">
      <t>ガッカ</t>
    </rPh>
    <rPh sb="50" eb="52">
      <t>ネンド</t>
    </rPh>
    <rPh sb="56" eb="60">
      <t>ヒッシュウカモク</t>
    </rPh>
    <rPh sb="66" eb="68">
      <t>ガクブ</t>
    </rPh>
    <rPh sb="69" eb="71">
      <t>ガッカ</t>
    </rPh>
    <rPh sb="72" eb="73">
      <t>フク</t>
    </rPh>
    <rPh sb="93" eb="95">
      <t>キソ</t>
    </rPh>
    <rPh sb="97" eb="99">
      <t>カイコウ</t>
    </rPh>
    <rPh sb="105" eb="109">
      <t>ネンドイコウ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</si>
</sst>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44" xfId="0" applyNumberFormat="1" applyFont="1" applyBorder="1" applyAlignment="1">
      <alignment vertical="center" shrinkToFit="1"/>
    </xf>
    <xf numFmtId="9" fontId="2" fillId="0" borderId="24" xfId="0" applyNumberFormat="1" applyFont="1" applyBorder="1" applyAlignment="1">
      <alignment vertical="center" shrinkToFit="1"/>
    </xf>
    <xf numFmtId="38" fontId="2" fillId="0" borderId="19" xfId="2" applyFont="1" applyBorder="1" applyAlignment="1">
      <alignment horizontal="right" vertical="center" shrinkToFit="1"/>
    </xf>
    <xf numFmtId="38" fontId="11" fillId="0" borderId="1" xfId="2" applyFont="1" applyBorder="1">
      <alignment vertical="center"/>
    </xf>
    <xf numFmtId="38" fontId="11" fillId="0" borderId="1" xfId="2"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0" xfId="0" applyFont="1" applyAlignment="1">
      <alignment vertical="center" wrapTex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1"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cellXfs>
  <cellStyles count="3">
    <cellStyle name="パーセント" xfId="1" builtinId="5"/>
    <cellStyle name="桁区切り" xfId="2" builtinId="6"/>
    <cellStyle name="標準" xfId="0" builtinId="0"/>
  </cellStyles>
  <dxfs count="10">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B29" sqref="B29:F29"/>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7" t="s">
        <v>168</v>
      </c>
      <c r="U1" s="127"/>
      <c r="V1" s="2" t="s">
        <v>93</v>
      </c>
    </row>
    <row r="2" spans="1:24" ht="18.75" customHeight="1" x14ac:dyDescent="0.2">
      <c r="B2" s="15" t="s">
        <v>92</v>
      </c>
      <c r="C2" s="97" t="s">
        <v>152</v>
      </c>
      <c r="D2" s="98"/>
      <c r="E2" s="98"/>
      <c r="F2" s="98"/>
      <c r="G2" s="98"/>
      <c r="H2" s="98"/>
      <c r="I2" s="98"/>
      <c r="J2" s="99"/>
      <c r="K2" s="16"/>
      <c r="L2" s="6"/>
      <c r="M2" s="6"/>
      <c r="N2" s="6"/>
      <c r="O2" s="6"/>
      <c r="P2" s="6"/>
      <c r="Q2" s="6"/>
      <c r="R2" s="6"/>
      <c r="S2" s="6"/>
      <c r="T2" s="6"/>
      <c r="U2" s="6"/>
    </row>
    <row r="3" spans="1:24" ht="18.75" customHeight="1" x14ac:dyDescent="0.2">
      <c r="B3" s="15" t="s">
        <v>87</v>
      </c>
      <c r="C3" s="128" t="s">
        <v>153</v>
      </c>
      <c r="D3" s="129"/>
      <c r="E3" s="129"/>
      <c r="F3" s="129"/>
      <c r="G3" s="129"/>
      <c r="H3" s="129"/>
      <c r="I3" s="129"/>
      <c r="J3" s="130"/>
      <c r="K3" s="16"/>
      <c r="L3" s="6"/>
      <c r="M3" s="6"/>
      <c r="N3" s="6"/>
      <c r="O3" s="6"/>
      <c r="P3" s="6"/>
      <c r="Q3" s="6"/>
      <c r="R3" s="6"/>
      <c r="S3" s="6"/>
      <c r="T3" s="6"/>
      <c r="U3" s="6"/>
    </row>
    <row r="4" spans="1:24" ht="15" customHeight="1" x14ac:dyDescent="0.2">
      <c r="L4" s="16"/>
      <c r="M4" s="70"/>
      <c r="N4" s="70"/>
      <c r="O4" s="70"/>
      <c r="P4" s="70"/>
      <c r="Q4" s="70"/>
      <c r="R4" s="70"/>
      <c r="S4" s="70"/>
      <c r="T4" s="70"/>
      <c r="U4" s="70"/>
    </row>
    <row r="5" spans="1:24" ht="18" customHeight="1" x14ac:dyDescent="0.2">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3" t="s">
        <v>116</v>
      </c>
      <c r="M7" s="144"/>
      <c r="N7" s="144"/>
      <c r="O7" s="144"/>
      <c r="P7" s="144"/>
      <c r="Q7" s="144"/>
      <c r="R7" s="144"/>
      <c r="S7" s="144"/>
      <c r="T7" s="144"/>
      <c r="U7" s="145"/>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6"/>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46" t="s">
        <v>169</v>
      </c>
      <c r="C11" s="147"/>
      <c r="D11" s="147"/>
      <c r="E11" s="147"/>
      <c r="F11" s="147"/>
      <c r="G11" s="147"/>
      <c r="H11" s="147"/>
      <c r="I11" s="147"/>
      <c r="J11" s="147"/>
      <c r="K11" s="147"/>
      <c r="L11" s="147"/>
      <c r="M11" s="147"/>
      <c r="N11" s="147"/>
      <c r="O11" s="147"/>
      <c r="P11" s="147"/>
      <c r="Q11" s="147"/>
      <c r="R11" s="147"/>
      <c r="S11" s="147"/>
      <c r="T11" s="147"/>
      <c r="U11" s="148"/>
    </row>
    <row r="12" spans="1:24" ht="18" customHeight="1" x14ac:dyDescent="0.2">
      <c r="B12" s="149"/>
      <c r="C12" s="150"/>
      <c r="D12" s="150"/>
      <c r="E12" s="150"/>
      <c r="F12" s="150"/>
      <c r="G12" s="150"/>
      <c r="H12" s="150"/>
      <c r="I12" s="150"/>
      <c r="J12" s="150"/>
      <c r="K12" s="150"/>
      <c r="L12" s="150"/>
      <c r="M12" s="150"/>
      <c r="N12" s="150"/>
      <c r="O12" s="150"/>
      <c r="P12" s="150"/>
      <c r="Q12" s="150"/>
      <c r="R12" s="150"/>
      <c r="S12" s="150"/>
      <c r="T12" s="150"/>
      <c r="U12" s="151"/>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94</v>
      </c>
      <c r="B14" s="3"/>
      <c r="C14" s="3"/>
      <c r="D14" s="3"/>
      <c r="E14" s="16"/>
      <c r="F14" s="16"/>
      <c r="G14" s="16"/>
      <c r="H14" s="16"/>
      <c r="I14" s="16"/>
      <c r="J14" s="16"/>
      <c r="K14" s="16"/>
      <c r="L14" s="71"/>
      <c r="M14" s="71"/>
      <c r="N14" s="71"/>
      <c r="O14" s="71"/>
      <c r="P14" s="71"/>
      <c r="Q14" s="71"/>
      <c r="R14" s="71"/>
      <c r="S14" s="71"/>
      <c r="T14" s="71"/>
      <c r="U14" s="71"/>
    </row>
    <row r="15" spans="1:24" ht="18" customHeight="1" x14ac:dyDescent="0.2">
      <c r="B15" s="109" t="s">
        <v>175</v>
      </c>
      <c r="C15" s="110"/>
      <c r="D15" s="110"/>
      <c r="E15" s="110"/>
      <c r="F15" s="110"/>
      <c r="G15" s="110"/>
      <c r="H15" s="110"/>
      <c r="I15" s="110"/>
      <c r="J15" s="110"/>
      <c r="K15" s="110"/>
      <c r="L15" s="110"/>
      <c r="M15" s="110"/>
      <c r="N15" s="110"/>
      <c r="O15" s="110"/>
      <c r="P15" s="110"/>
      <c r="Q15" s="110"/>
      <c r="R15" s="110"/>
      <c r="S15" s="110"/>
      <c r="T15" s="110"/>
      <c r="U15" s="111"/>
      <c r="X15" s="1" t="s">
        <v>88</v>
      </c>
    </row>
    <row r="16" spans="1:24" ht="18"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2">
        <v>1</v>
      </c>
      <c r="F22" s="1" t="s">
        <v>106</v>
      </c>
      <c r="H22" s="17">
        <v>1</v>
      </c>
      <c r="I22" s="3" t="s">
        <v>107</v>
      </c>
      <c r="J22" s="3"/>
      <c r="K22" s="16"/>
      <c r="M22" s="16" t="s">
        <v>103</v>
      </c>
      <c r="N22" s="140" t="s">
        <v>124</v>
      </c>
      <c r="O22" s="141"/>
      <c r="P22" s="141"/>
      <c r="Q22" s="141"/>
      <c r="R22" s="141"/>
      <c r="S22" s="141"/>
      <c r="T22" s="141"/>
      <c r="U22" s="142"/>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0" t="s">
        <v>95</v>
      </c>
      <c r="B24" s="90"/>
      <c r="C24" s="90"/>
      <c r="D24" s="90"/>
      <c r="E24" s="90"/>
      <c r="F24" s="90"/>
      <c r="G24" s="90"/>
      <c r="H24" s="90"/>
      <c r="I24" s="90"/>
      <c r="J24" s="90"/>
      <c r="K24" s="90"/>
      <c r="L24" s="90"/>
      <c r="M24" s="90"/>
      <c r="N24" s="90"/>
      <c r="O24" s="90"/>
      <c r="P24" s="90"/>
      <c r="Q24" s="90"/>
      <c r="R24" s="90"/>
      <c r="S24" s="90"/>
      <c r="T24" s="90"/>
      <c r="U24" s="90"/>
    </row>
    <row r="25" spans="1:24" ht="18" customHeight="1" x14ac:dyDescent="0.2">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2">
      <c r="B26" s="97" t="s">
        <v>47</v>
      </c>
      <c r="C26" s="98"/>
      <c r="D26" s="98"/>
      <c r="E26" s="98"/>
      <c r="F26" s="99"/>
      <c r="G26" s="56" t="s">
        <v>72</v>
      </c>
      <c r="H26" s="57" t="s">
        <v>75</v>
      </c>
      <c r="I26" s="58" t="s">
        <v>50</v>
      </c>
      <c r="J26" s="58" t="s">
        <v>53</v>
      </c>
      <c r="K26" s="97" t="s">
        <v>47</v>
      </c>
      <c r="L26" s="98"/>
      <c r="M26" s="98"/>
      <c r="N26" s="98"/>
      <c r="O26" s="98"/>
      <c r="P26" s="98"/>
      <c r="Q26" s="99"/>
      <c r="R26" s="56" t="s">
        <v>72</v>
      </c>
      <c r="S26" s="57" t="s">
        <v>75</v>
      </c>
      <c r="T26" s="58" t="s">
        <v>50</v>
      </c>
      <c r="U26" s="58" t="s">
        <v>53</v>
      </c>
    </row>
    <row r="27" spans="1:24" ht="18" customHeight="1" x14ac:dyDescent="0.2">
      <c r="B27" s="91" t="s">
        <v>170</v>
      </c>
      <c r="C27" s="92"/>
      <c r="D27" s="92"/>
      <c r="E27" s="92"/>
      <c r="F27" s="93"/>
      <c r="G27" s="59">
        <v>2</v>
      </c>
      <c r="H27" s="59" t="s">
        <v>171</v>
      </c>
      <c r="I27" s="59" t="s">
        <v>171</v>
      </c>
      <c r="J27" s="59" t="s">
        <v>171</v>
      </c>
      <c r="K27" s="91"/>
      <c r="L27" s="92"/>
      <c r="M27" s="92"/>
      <c r="N27" s="92"/>
      <c r="O27" s="92"/>
      <c r="P27" s="92"/>
      <c r="Q27" s="93"/>
      <c r="R27" s="59"/>
      <c r="S27" s="59"/>
      <c r="T27" s="59"/>
      <c r="U27" s="59"/>
    </row>
    <row r="28" spans="1:24" ht="18" customHeight="1" x14ac:dyDescent="0.2">
      <c r="B28" s="84" t="s">
        <v>172</v>
      </c>
      <c r="C28" s="85"/>
      <c r="D28" s="85"/>
      <c r="E28" s="85"/>
      <c r="F28" s="86"/>
      <c r="G28" s="60">
        <v>2</v>
      </c>
      <c r="H28" s="60" t="s">
        <v>171</v>
      </c>
      <c r="I28" s="60" t="s">
        <v>171</v>
      </c>
      <c r="J28" s="60" t="s">
        <v>171</v>
      </c>
      <c r="K28" s="84"/>
      <c r="L28" s="85"/>
      <c r="M28" s="85"/>
      <c r="N28" s="85"/>
      <c r="O28" s="85"/>
      <c r="P28" s="85"/>
      <c r="Q28" s="86"/>
      <c r="R28" s="60"/>
      <c r="S28" s="60"/>
      <c r="T28" s="60"/>
      <c r="U28" s="60"/>
    </row>
    <row r="29" spans="1:24" ht="18" customHeight="1" x14ac:dyDescent="0.2">
      <c r="B29" s="84" t="s">
        <v>173</v>
      </c>
      <c r="C29" s="85"/>
      <c r="D29" s="85"/>
      <c r="E29" s="85"/>
      <c r="F29" s="86"/>
      <c r="G29" s="60">
        <v>1</v>
      </c>
      <c r="H29" s="60" t="s">
        <v>171</v>
      </c>
      <c r="I29" s="60" t="s">
        <v>171</v>
      </c>
      <c r="J29" s="60" t="s">
        <v>171</v>
      </c>
      <c r="K29" s="84"/>
      <c r="L29" s="85"/>
      <c r="M29" s="85"/>
      <c r="N29" s="85"/>
      <c r="O29" s="85"/>
      <c r="P29" s="85"/>
      <c r="Q29" s="86"/>
      <c r="R29" s="60"/>
      <c r="S29" s="60"/>
      <c r="T29" s="60"/>
      <c r="U29" s="60"/>
    </row>
    <row r="30" spans="1:24" ht="18" customHeight="1" x14ac:dyDescent="0.2">
      <c r="B30" s="84"/>
      <c r="C30" s="85"/>
      <c r="D30" s="85"/>
      <c r="E30" s="85"/>
      <c r="F30" s="86"/>
      <c r="G30" s="60"/>
      <c r="H30" s="60"/>
      <c r="I30" s="60"/>
      <c r="J30" s="60"/>
      <c r="K30" s="84"/>
      <c r="L30" s="85"/>
      <c r="M30" s="85"/>
      <c r="N30" s="85"/>
      <c r="O30" s="85"/>
      <c r="P30" s="85"/>
      <c r="Q30" s="86"/>
      <c r="R30" s="60"/>
      <c r="S30" s="60"/>
      <c r="T30" s="60"/>
      <c r="U30" s="60"/>
    </row>
    <row r="31" spans="1:24" ht="18" customHeight="1" x14ac:dyDescent="0.2">
      <c r="B31" s="84"/>
      <c r="C31" s="85"/>
      <c r="D31" s="85"/>
      <c r="E31" s="85"/>
      <c r="F31" s="86"/>
      <c r="G31" s="60"/>
      <c r="H31" s="60"/>
      <c r="I31" s="60"/>
      <c r="J31" s="60"/>
      <c r="K31" s="84"/>
      <c r="L31" s="85"/>
      <c r="M31" s="85"/>
      <c r="N31" s="85"/>
      <c r="O31" s="85"/>
      <c r="P31" s="85"/>
      <c r="Q31" s="86"/>
      <c r="R31" s="60"/>
      <c r="S31" s="60"/>
      <c r="T31" s="60"/>
      <c r="U31" s="60"/>
    </row>
    <row r="32" spans="1:24" ht="18" customHeight="1" x14ac:dyDescent="0.2">
      <c r="A32" s="3"/>
      <c r="B32" s="84"/>
      <c r="C32" s="85"/>
      <c r="D32" s="85"/>
      <c r="E32" s="85"/>
      <c r="F32" s="86"/>
      <c r="G32" s="60"/>
      <c r="H32" s="60"/>
      <c r="I32" s="60"/>
      <c r="J32" s="60"/>
      <c r="K32" s="84"/>
      <c r="L32" s="85"/>
      <c r="M32" s="85"/>
      <c r="N32" s="85"/>
      <c r="O32" s="85"/>
      <c r="P32" s="85"/>
      <c r="Q32" s="86"/>
      <c r="R32" s="60"/>
      <c r="S32" s="60"/>
      <c r="T32" s="60"/>
      <c r="U32" s="60"/>
    </row>
    <row r="33" spans="1:21" ht="18" customHeight="1" x14ac:dyDescent="0.2">
      <c r="A33" s="3"/>
      <c r="B33" s="87"/>
      <c r="C33" s="88"/>
      <c r="D33" s="88"/>
      <c r="E33" s="88"/>
      <c r="F33" s="89"/>
      <c r="G33" s="61"/>
      <c r="H33" s="61"/>
      <c r="I33" s="62"/>
      <c r="J33" s="62"/>
      <c r="K33" s="87"/>
      <c r="L33" s="88"/>
      <c r="M33" s="88"/>
      <c r="N33" s="88"/>
      <c r="O33" s="88"/>
      <c r="P33" s="88"/>
      <c r="Q33" s="89"/>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0" t="s">
        <v>96</v>
      </c>
      <c r="B35" s="90"/>
      <c r="C35" s="90"/>
      <c r="D35" s="90"/>
      <c r="E35" s="90"/>
      <c r="F35" s="90"/>
      <c r="G35" s="90"/>
      <c r="H35" s="90"/>
      <c r="I35" s="90"/>
      <c r="J35" s="90"/>
      <c r="K35" s="90"/>
      <c r="L35" s="90"/>
      <c r="M35" s="90"/>
      <c r="N35" s="90"/>
      <c r="O35" s="90"/>
      <c r="P35" s="90"/>
      <c r="Q35" s="90"/>
      <c r="R35" s="90"/>
      <c r="S35" s="90"/>
      <c r="T35" s="90"/>
      <c r="U35" s="90"/>
    </row>
    <row r="36" spans="1:21" ht="18" customHeight="1" x14ac:dyDescent="0.2">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2">
      <c r="B37" s="97" t="s">
        <v>47</v>
      </c>
      <c r="C37" s="98"/>
      <c r="D37" s="98"/>
      <c r="E37" s="98"/>
      <c r="F37" s="99"/>
      <c r="G37" s="56" t="s">
        <v>72</v>
      </c>
      <c r="H37" s="57" t="s">
        <v>75</v>
      </c>
      <c r="I37" s="58" t="s">
        <v>63</v>
      </c>
      <c r="J37" s="58" t="s">
        <v>64</v>
      </c>
      <c r="K37" s="97" t="s">
        <v>47</v>
      </c>
      <c r="L37" s="98"/>
      <c r="M37" s="98"/>
      <c r="N37" s="98"/>
      <c r="O37" s="98"/>
      <c r="P37" s="98"/>
      <c r="Q37" s="99"/>
      <c r="R37" s="56" t="s">
        <v>72</v>
      </c>
      <c r="S37" s="57" t="s">
        <v>75</v>
      </c>
      <c r="T37" s="58" t="s">
        <v>63</v>
      </c>
      <c r="U37" s="58" t="s">
        <v>64</v>
      </c>
    </row>
    <row r="38" spans="1:21" ht="18" customHeight="1" x14ac:dyDescent="0.2">
      <c r="B38" s="91" t="s">
        <v>170</v>
      </c>
      <c r="C38" s="92"/>
      <c r="D38" s="92"/>
      <c r="E38" s="92"/>
      <c r="F38" s="93"/>
      <c r="G38" s="59">
        <v>2</v>
      </c>
      <c r="H38" s="59" t="s">
        <v>171</v>
      </c>
      <c r="I38" s="59" t="s">
        <v>171</v>
      </c>
      <c r="J38" s="59" t="s">
        <v>171</v>
      </c>
      <c r="K38" s="91"/>
      <c r="L38" s="92"/>
      <c r="M38" s="92"/>
      <c r="N38" s="92"/>
      <c r="O38" s="92"/>
      <c r="P38" s="92"/>
      <c r="Q38" s="93"/>
      <c r="R38" s="59"/>
      <c r="S38" s="59"/>
      <c r="T38" s="59"/>
      <c r="U38" s="59"/>
    </row>
    <row r="39" spans="1:21" ht="18" customHeight="1" x14ac:dyDescent="0.2">
      <c r="B39" s="84" t="s">
        <v>172</v>
      </c>
      <c r="C39" s="85"/>
      <c r="D39" s="85"/>
      <c r="E39" s="85"/>
      <c r="F39" s="86"/>
      <c r="G39" s="60">
        <v>2</v>
      </c>
      <c r="H39" s="60" t="s">
        <v>171</v>
      </c>
      <c r="I39" s="60" t="s">
        <v>171</v>
      </c>
      <c r="J39" s="60" t="s">
        <v>171</v>
      </c>
      <c r="K39" s="84"/>
      <c r="L39" s="85"/>
      <c r="M39" s="85"/>
      <c r="N39" s="85"/>
      <c r="O39" s="85"/>
      <c r="P39" s="85"/>
      <c r="Q39" s="86"/>
      <c r="R39" s="60"/>
      <c r="S39" s="60"/>
      <c r="T39" s="60"/>
      <c r="U39" s="60"/>
    </row>
    <row r="40" spans="1:21" ht="18" customHeight="1" x14ac:dyDescent="0.2">
      <c r="B40" s="84" t="s">
        <v>173</v>
      </c>
      <c r="C40" s="85"/>
      <c r="D40" s="85"/>
      <c r="E40" s="85"/>
      <c r="F40" s="86"/>
      <c r="G40" s="60">
        <v>1</v>
      </c>
      <c r="H40" s="60" t="s">
        <v>171</v>
      </c>
      <c r="I40" s="60" t="s">
        <v>171</v>
      </c>
      <c r="J40" s="60" t="s">
        <v>171</v>
      </c>
      <c r="K40" s="84"/>
      <c r="L40" s="85"/>
      <c r="M40" s="85"/>
      <c r="N40" s="85"/>
      <c r="O40" s="85"/>
      <c r="P40" s="85"/>
      <c r="Q40" s="86"/>
      <c r="R40" s="60"/>
      <c r="S40" s="60"/>
      <c r="T40" s="60"/>
      <c r="U40" s="60"/>
    </row>
    <row r="41" spans="1:21" ht="18" customHeight="1" x14ac:dyDescent="0.2">
      <c r="B41" s="84"/>
      <c r="C41" s="85"/>
      <c r="D41" s="85"/>
      <c r="E41" s="85"/>
      <c r="F41" s="86"/>
      <c r="G41" s="60"/>
      <c r="H41" s="60"/>
      <c r="I41" s="60"/>
      <c r="J41" s="60"/>
      <c r="K41" s="84"/>
      <c r="L41" s="85"/>
      <c r="M41" s="85"/>
      <c r="N41" s="85"/>
      <c r="O41" s="85"/>
      <c r="P41" s="85"/>
      <c r="Q41" s="86"/>
      <c r="R41" s="60"/>
      <c r="S41" s="60"/>
      <c r="T41" s="60"/>
      <c r="U41" s="60"/>
    </row>
    <row r="42" spans="1:21" ht="18" customHeight="1" x14ac:dyDescent="0.2">
      <c r="B42" s="84"/>
      <c r="C42" s="85"/>
      <c r="D42" s="85"/>
      <c r="E42" s="85"/>
      <c r="F42" s="86"/>
      <c r="G42" s="60"/>
      <c r="H42" s="60"/>
      <c r="I42" s="60"/>
      <c r="J42" s="60"/>
      <c r="K42" s="84"/>
      <c r="L42" s="85"/>
      <c r="M42" s="85"/>
      <c r="N42" s="85"/>
      <c r="O42" s="85"/>
      <c r="P42" s="85"/>
      <c r="Q42" s="86"/>
      <c r="R42" s="60"/>
      <c r="S42" s="60"/>
      <c r="T42" s="60"/>
      <c r="U42" s="60"/>
    </row>
    <row r="43" spans="1:21" ht="18" customHeight="1" x14ac:dyDescent="0.2">
      <c r="B43" s="84"/>
      <c r="C43" s="85"/>
      <c r="D43" s="85"/>
      <c r="E43" s="85"/>
      <c r="F43" s="86"/>
      <c r="G43" s="60"/>
      <c r="H43" s="60"/>
      <c r="I43" s="60"/>
      <c r="J43" s="60"/>
      <c r="K43" s="84"/>
      <c r="L43" s="85"/>
      <c r="M43" s="85"/>
      <c r="N43" s="85"/>
      <c r="O43" s="85"/>
      <c r="P43" s="85"/>
      <c r="Q43" s="86"/>
      <c r="R43" s="60"/>
      <c r="S43" s="60"/>
      <c r="T43" s="60"/>
      <c r="U43" s="60"/>
    </row>
    <row r="44" spans="1:21" ht="18" customHeight="1" x14ac:dyDescent="0.2">
      <c r="B44" s="87"/>
      <c r="C44" s="88"/>
      <c r="D44" s="88"/>
      <c r="E44" s="88"/>
      <c r="F44" s="89"/>
      <c r="G44" s="61"/>
      <c r="H44" s="61"/>
      <c r="I44" s="62"/>
      <c r="J44" s="62"/>
      <c r="K44" s="87"/>
      <c r="L44" s="88"/>
      <c r="M44" s="88"/>
      <c r="N44" s="88"/>
      <c r="O44" s="88"/>
      <c r="P44" s="88"/>
      <c r="Q44" s="89"/>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0" t="s">
        <v>97</v>
      </c>
      <c r="B46" s="90"/>
      <c r="C46" s="90"/>
      <c r="D46" s="90"/>
      <c r="E46" s="90"/>
      <c r="F46" s="90"/>
      <c r="G46" s="90"/>
      <c r="H46" s="90"/>
      <c r="I46" s="90"/>
      <c r="J46" s="90"/>
      <c r="K46" s="90"/>
      <c r="L46" s="90"/>
      <c r="M46" s="90"/>
      <c r="N46" s="90"/>
      <c r="O46" s="90"/>
      <c r="P46" s="90"/>
      <c r="Q46" s="90"/>
      <c r="R46" s="90"/>
      <c r="S46" s="90"/>
      <c r="T46" s="90"/>
      <c r="U46" s="90"/>
    </row>
    <row r="47" spans="1:21" ht="18" customHeight="1" x14ac:dyDescent="0.2">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2">
      <c r="B48" s="97" t="s">
        <v>47</v>
      </c>
      <c r="C48" s="98"/>
      <c r="D48" s="98"/>
      <c r="E48" s="98"/>
      <c r="F48" s="99"/>
      <c r="G48" s="56" t="s">
        <v>72</v>
      </c>
      <c r="H48" s="57" t="s">
        <v>75</v>
      </c>
      <c r="I48" s="58" t="s">
        <v>65</v>
      </c>
      <c r="J48" s="58" t="s">
        <v>66</v>
      </c>
      <c r="K48" s="97" t="s">
        <v>47</v>
      </c>
      <c r="L48" s="98"/>
      <c r="M48" s="98"/>
      <c r="N48" s="98"/>
      <c r="O48" s="98"/>
      <c r="P48" s="98"/>
      <c r="Q48" s="99"/>
      <c r="R48" s="56" t="s">
        <v>72</v>
      </c>
      <c r="S48" s="57" t="s">
        <v>75</v>
      </c>
      <c r="T48" s="58" t="s">
        <v>65</v>
      </c>
      <c r="U48" s="58" t="s">
        <v>66</v>
      </c>
    </row>
    <row r="49" spans="1:21" ht="18" customHeight="1" x14ac:dyDescent="0.2">
      <c r="A49" s="3"/>
      <c r="B49" s="91" t="s">
        <v>170</v>
      </c>
      <c r="C49" s="92"/>
      <c r="D49" s="92"/>
      <c r="E49" s="92"/>
      <c r="F49" s="93"/>
      <c r="G49" s="59">
        <v>2</v>
      </c>
      <c r="H49" s="59" t="s">
        <v>171</v>
      </c>
      <c r="I49" s="59" t="s">
        <v>171</v>
      </c>
      <c r="J49" s="59" t="s">
        <v>171</v>
      </c>
      <c r="K49" s="91"/>
      <c r="L49" s="92"/>
      <c r="M49" s="92"/>
      <c r="N49" s="92"/>
      <c r="O49" s="92"/>
      <c r="P49" s="92"/>
      <c r="Q49" s="93"/>
      <c r="R49" s="59"/>
      <c r="S49" s="59"/>
      <c r="T49" s="59"/>
      <c r="U49" s="59"/>
    </row>
    <row r="50" spans="1:21" ht="18" customHeight="1" x14ac:dyDescent="0.2">
      <c r="A50" s="3"/>
      <c r="B50" s="84" t="s">
        <v>172</v>
      </c>
      <c r="C50" s="85"/>
      <c r="D50" s="85"/>
      <c r="E50" s="85"/>
      <c r="F50" s="86"/>
      <c r="G50" s="60">
        <v>2</v>
      </c>
      <c r="H50" s="60" t="s">
        <v>171</v>
      </c>
      <c r="I50" s="60" t="s">
        <v>171</v>
      </c>
      <c r="J50" s="60" t="s">
        <v>171</v>
      </c>
      <c r="K50" s="84"/>
      <c r="L50" s="85"/>
      <c r="M50" s="85"/>
      <c r="N50" s="85"/>
      <c r="O50" s="85"/>
      <c r="P50" s="85"/>
      <c r="Q50" s="86"/>
      <c r="R50" s="60"/>
      <c r="S50" s="60"/>
      <c r="T50" s="60"/>
      <c r="U50" s="60"/>
    </row>
    <row r="51" spans="1:21" ht="18" customHeight="1" x14ac:dyDescent="0.2">
      <c r="A51" s="3"/>
      <c r="B51" s="84" t="s">
        <v>173</v>
      </c>
      <c r="C51" s="85"/>
      <c r="D51" s="85"/>
      <c r="E51" s="85"/>
      <c r="F51" s="86"/>
      <c r="G51" s="60">
        <v>1</v>
      </c>
      <c r="H51" s="60" t="s">
        <v>171</v>
      </c>
      <c r="I51" s="60" t="s">
        <v>171</v>
      </c>
      <c r="J51" s="60" t="s">
        <v>171</v>
      </c>
      <c r="K51" s="84"/>
      <c r="L51" s="85"/>
      <c r="M51" s="85"/>
      <c r="N51" s="85"/>
      <c r="O51" s="85"/>
      <c r="P51" s="85"/>
      <c r="Q51" s="86"/>
      <c r="R51" s="60"/>
      <c r="S51" s="60"/>
      <c r="T51" s="60"/>
      <c r="U51" s="60"/>
    </row>
    <row r="52" spans="1:21" ht="18" customHeight="1" x14ac:dyDescent="0.2">
      <c r="A52" s="3"/>
      <c r="B52" s="84"/>
      <c r="C52" s="85"/>
      <c r="D52" s="85"/>
      <c r="E52" s="85"/>
      <c r="F52" s="86"/>
      <c r="G52" s="60"/>
      <c r="H52" s="60"/>
      <c r="I52" s="60"/>
      <c r="J52" s="60"/>
      <c r="K52" s="84"/>
      <c r="L52" s="85"/>
      <c r="M52" s="85"/>
      <c r="N52" s="85"/>
      <c r="O52" s="85"/>
      <c r="P52" s="85"/>
      <c r="Q52" s="86"/>
      <c r="R52" s="60"/>
      <c r="S52" s="60"/>
      <c r="T52" s="60"/>
      <c r="U52" s="60"/>
    </row>
    <row r="53" spans="1:21" ht="18" customHeight="1" x14ac:dyDescent="0.2">
      <c r="A53" s="3"/>
      <c r="B53" s="84"/>
      <c r="C53" s="85"/>
      <c r="D53" s="85"/>
      <c r="E53" s="85"/>
      <c r="F53" s="86"/>
      <c r="G53" s="60"/>
      <c r="H53" s="60"/>
      <c r="I53" s="60"/>
      <c r="J53" s="60"/>
      <c r="K53" s="84"/>
      <c r="L53" s="85"/>
      <c r="M53" s="85"/>
      <c r="N53" s="85"/>
      <c r="O53" s="85"/>
      <c r="P53" s="85"/>
      <c r="Q53" s="86"/>
      <c r="R53" s="60"/>
      <c r="S53" s="60"/>
      <c r="T53" s="60"/>
      <c r="U53" s="60"/>
    </row>
    <row r="54" spans="1:21" ht="18" customHeight="1" x14ac:dyDescent="0.2">
      <c r="A54" s="3"/>
      <c r="B54" s="84"/>
      <c r="C54" s="85"/>
      <c r="D54" s="85"/>
      <c r="E54" s="85"/>
      <c r="F54" s="86"/>
      <c r="G54" s="60"/>
      <c r="H54" s="60"/>
      <c r="I54" s="60"/>
      <c r="J54" s="60"/>
      <c r="K54" s="84"/>
      <c r="L54" s="85"/>
      <c r="M54" s="85"/>
      <c r="N54" s="85"/>
      <c r="O54" s="85"/>
      <c r="P54" s="85"/>
      <c r="Q54" s="86"/>
      <c r="R54" s="60"/>
      <c r="S54" s="60"/>
      <c r="T54" s="60"/>
      <c r="U54" s="60"/>
    </row>
    <row r="55" spans="1:21" ht="18" customHeight="1" x14ac:dyDescent="0.2">
      <c r="A55" s="3"/>
      <c r="B55" s="87"/>
      <c r="C55" s="88"/>
      <c r="D55" s="88"/>
      <c r="E55" s="88"/>
      <c r="F55" s="89"/>
      <c r="G55" s="61"/>
      <c r="H55" s="61"/>
      <c r="I55" s="62"/>
      <c r="J55" s="62"/>
      <c r="K55" s="87"/>
      <c r="L55" s="88"/>
      <c r="M55" s="88"/>
      <c r="N55" s="88"/>
      <c r="O55" s="88"/>
      <c r="P55" s="88"/>
      <c r="Q55" s="89"/>
      <c r="R55" s="61"/>
      <c r="S55" s="61"/>
      <c r="T55" s="62"/>
      <c r="U55" s="62"/>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90" t="s">
        <v>98</v>
      </c>
      <c r="B57" s="90"/>
      <c r="C57" s="90"/>
      <c r="D57" s="90"/>
      <c r="E57" s="90"/>
      <c r="F57" s="90"/>
      <c r="G57" s="90"/>
      <c r="H57" s="90"/>
      <c r="I57" s="90"/>
      <c r="J57" s="90"/>
      <c r="K57" s="90"/>
      <c r="L57" s="90"/>
      <c r="M57" s="90"/>
      <c r="N57" s="90"/>
      <c r="O57" s="90"/>
      <c r="P57" s="90"/>
      <c r="Q57" s="90"/>
      <c r="R57" s="90"/>
      <c r="S57" s="90"/>
      <c r="T57" s="90"/>
      <c r="U57" s="90"/>
    </row>
    <row r="58" spans="1:21" ht="18" customHeight="1" x14ac:dyDescent="0.2">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2">
      <c r="B59" s="97" t="s">
        <v>47</v>
      </c>
      <c r="C59" s="98"/>
      <c r="D59" s="98"/>
      <c r="E59" s="98"/>
      <c r="F59" s="99"/>
      <c r="G59" s="56" t="s">
        <v>72</v>
      </c>
      <c r="H59" s="57" t="s">
        <v>75</v>
      </c>
      <c r="I59" s="58" t="s">
        <v>52</v>
      </c>
      <c r="J59" s="58" t="s">
        <v>54</v>
      </c>
      <c r="K59" s="97" t="s">
        <v>47</v>
      </c>
      <c r="L59" s="98"/>
      <c r="M59" s="98"/>
      <c r="N59" s="98"/>
      <c r="O59" s="98"/>
      <c r="P59" s="98"/>
      <c r="Q59" s="99"/>
      <c r="R59" s="56" t="s">
        <v>72</v>
      </c>
      <c r="S59" s="57" t="s">
        <v>75</v>
      </c>
      <c r="T59" s="58" t="s">
        <v>52</v>
      </c>
      <c r="U59" s="58" t="s">
        <v>54</v>
      </c>
    </row>
    <row r="60" spans="1:21" ht="18" customHeight="1" x14ac:dyDescent="0.2">
      <c r="A60" s="3"/>
      <c r="B60" s="91" t="s">
        <v>170</v>
      </c>
      <c r="C60" s="92"/>
      <c r="D60" s="92"/>
      <c r="E60" s="92"/>
      <c r="F60" s="93"/>
      <c r="G60" s="59">
        <v>2</v>
      </c>
      <c r="H60" s="59" t="s">
        <v>171</v>
      </c>
      <c r="I60" s="59" t="s">
        <v>171</v>
      </c>
      <c r="J60" s="59" t="s">
        <v>171</v>
      </c>
      <c r="K60" s="91"/>
      <c r="L60" s="92"/>
      <c r="M60" s="92"/>
      <c r="N60" s="92"/>
      <c r="O60" s="92"/>
      <c r="P60" s="92"/>
      <c r="Q60" s="93"/>
      <c r="R60" s="59"/>
      <c r="S60" s="59"/>
      <c r="T60" s="59"/>
      <c r="U60" s="59"/>
    </row>
    <row r="61" spans="1:21" ht="18" customHeight="1" x14ac:dyDescent="0.2">
      <c r="A61" s="3"/>
      <c r="B61" s="84" t="s">
        <v>172</v>
      </c>
      <c r="C61" s="85"/>
      <c r="D61" s="85"/>
      <c r="E61" s="85"/>
      <c r="F61" s="86"/>
      <c r="G61" s="60">
        <v>2</v>
      </c>
      <c r="H61" s="60" t="s">
        <v>171</v>
      </c>
      <c r="I61" s="60" t="s">
        <v>171</v>
      </c>
      <c r="J61" s="60" t="s">
        <v>171</v>
      </c>
      <c r="K61" s="84"/>
      <c r="L61" s="85"/>
      <c r="M61" s="85"/>
      <c r="N61" s="85"/>
      <c r="O61" s="85"/>
      <c r="P61" s="85"/>
      <c r="Q61" s="86"/>
      <c r="R61" s="60"/>
      <c r="S61" s="60"/>
      <c r="T61" s="60"/>
      <c r="U61" s="60"/>
    </row>
    <row r="62" spans="1:21" ht="18" customHeight="1" x14ac:dyDescent="0.2">
      <c r="A62" s="3"/>
      <c r="B62" s="84" t="s">
        <v>173</v>
      </c>
      <c r="C62" s="85"/>
      <c r="D62" s="85"/>
      <c r="E62" s="85"/>
      <c r="F62" s="86"/>
      <c r="G62" s="60">
        <v>1</v>
      </c>
      <c r="H62" s="60" t="s">
        <v>171</v>
      </c>
      <c r="I62" s="60" t="s">
        <v>171</v>
      </c>
      <c r="J62" s="60" t="s">
        <v>171</v>
      </c>
      <c r="K62" s="84"/>
      <c r="L62" s="85"/>
      <c r="M62" s="85"/>
      <c r="N62" s="85"/>
      <c r="O62" s="85"/>
      <c r="P62" s="85"/>
      <c r="Q62" s="86"/>
      <c r="R62" s="60"/>
      <c r="S62" s="60"/>
      <c r="T62" s="60"/>
      <c r="U62" s="60"/>
    </row>
    <row r="63" spans="1:21" ht="18" customHeight="1" x14ac:dyDescent="0.2">
      <c r="A63" s="3"/>
      <c r="B63" s="84"/>
      <c r="C63" s="85"/>
      <c r="D63" s="85"/>
      <c r="E63" s="85"/>
      <c r="F63" s="86"/>
      <c r="G63" s="60"/>
      <c r="H63" s="60"/>
      <c r="I63" s="60"/>
      <c r="J63" s="60"/>
      <c r="K63" s="84"/>
      <c r="L63" s="85"/>
      <c r="M63" s="85"/>
      <c r="N63" s="85"/>
      <c r="O63" s="85"/>
      <c r="P63" s="85"/>
      <c r="Q63" s="86"/>
      <c r="R63" s="60"/>
      <c r="S63" s="60"/>
      <c r="T63" s="60"/>
      <c r="U63" s="60"/>
    </row>
    <row r="64" spans="1:21" ht="18" customHeight="1" x14ac:dyDescent="0.2">
      <c r="A64" s="3"/>
      <c r="B64" s="84"/>
      <c r="C64" s="85"/>
      <c r="D64" s="85"/>
      <c r="E64" s="85"/>
      <c r="F64" s="86"/>
      <c r="G64" s="60"/>
      <c r="H64" s="60"/>
      <c r="I64" s="60"/>
      <c r="J64" s="60"/>
      <c r="K64" s="84"/>
      <c r="L64" s="85"/>
      <c r="M64" s="85"/>
      <c r="N64" s="85"/>
      <c r="O64" s="85"/>
      <c r="P64" s="85"/>
      <c r="Q64" s="86"/>
      <c r="R64" s="60"/>
      <c r="S64" s="60"/>
      <c r="T64" s="60"/>
      <c r="U64" s="60"/>
    </row>
    <row r="65" spans="1:27" ht="18" customHeight="1" x14ac:dyDescent="0.2">
      <c r="A65" s="3"/>
      <c r="B65" s="84"/>
      <c r="C65" s="85"/>
      <c r="D65" s="85"/>
      <c r="E65" s="85"/>
      <c r="F65" s="86"/>
      <c r="G65" s="60"/>
      <c r="H65" s="60"/>
      <c r="I65" s="60"/>
      <c r="J65" s="60"/>
      <c r="K65" s="84"/>
      <c r="L65" s="85"/>
      <c r="M65" s="85"/>
      <c r="N65" s="85"/>
      <c r="O65" s="85"/>
      <c r="P65" s="85"/>
      <c r="Q65" s="86"/>
      <c r="R65" s="60"/>
      <c r="S65" s="60"/>
      <c r="T65" s="60"/>
      <c r="U65" s="60"/>
    </row>
    <row r="66" spans="1:27" ht="18" customHeight="1" x14ac:dyDescent="0.2">
      <c r="A66" s="3"/>
      <c r="B66" s="87"/>
      <c r="C66" s="88"/>
      <c r="D66" s="88"/>
      <c r="E66" s="88"/>
      <c r="F66" s="89"/>
      <c r="G66" s="61"/>
      <c r="H66" s="61"/>
      <c r="I66" s="62"/>
      <c r="J66" s="62"/>
      <c r="K66" s="87"/>
      <c r="L66" s="88"/>
      <c r="M66" s="88"/>
      <c r="N66" s="88"/>
      <c r="O66" s="88"/>
      <c r="P66" s="88"/>
      <c r="Q66" s="89"/>
      <c r="R66" s="61"/>
      <c r="S66" s="61"/>
      <c r="T66" s="62"/>
      <c r="U66" s="62"/>
    </row>
    <row r="67" spans="1:27" ht="7.5" customHeight="1" x14ac:dyDescent="0.2">
      <c r="B67" s="13"/>
      <c r="C67" s="13"/>
      <c r="D67" s="13"/>
      <c r="E67" s="13"/>
      <c r="F67" s="13"/>
      <c r="G67" s="13"/>
      <c r="H67" s="13"/>
      <c r="I67" s="13"/>
      <c r="J67" s="13"/>
      <c r="K67" s="13"/>
      <c r="L67" s="13"/>
      <c r="M67" s="13"/>
      <c r="N67" s="13"/>
      <c r="O67" s="13"/>
      <c r="P67" s="13"/>
      <c r="Q67" s="13"/>
      <c r="R67" s="13"/>
      <c r="S67" s="13"/>
      <c r="T67" s="13"/>
    </row>
    <row r="68" spans="1:27" ht="18" customHeight="1" x14ac:dyDescent="0.2">
      <c r="A68" s="90" t="s">
        <v>99</v>
      </c>
      <c r="B68" s="90"/>
      <c r="C68" s="90"/>
      <c r="D68" s="90"/>
      <c r="E68" s="90"/>
      <c r="F68" s="90"/>
      <c r="G68" s="90"/>
      <c r="H68" s="90"/>
      <c r="I68" s="90"/>
      <c r="J68" s="90"/>
      <c r="K68" s="90"/>
      <c r="L68" s="90"/>
      <c r="M68" s="90"/>
      <c r="N68" s="90"/>
      <c r="O68" s="90"/>
      <c r="P68" s="90"/>
      <c r="Q68" s="90"/>
      <c r="R68" s="90"/>
      <c r="S68" s="90"/>
      <c r="T68" s="90"/>
      <c r="U68" s="90"/>
    </row>
    <row r="69" spans="1:27" ht="18" customHeight="1" x14ac:dyDescent="0.2">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2">
      <c r="B70" s="97" t="s">
        <v>47</v>
      </c>
      <c r="C70" s="98"/>
      <c r="D70" s="98"/>
      <c r="E70" s="98"/>
      <c r="F70" s="56" t="s">
        <v>72</v>
      </c>
      <c r="G70" s="57" t="s">
        <v>75</v>
      </c>
      <c r="H70" s="58" t="s">
        <v>86</v>
      </c>
      <c r="I70" s="58" t="s">
        <v>67</v>
      </c>
      <c r="J70" s="58" t="s">
        <v>68</v>
      </c>
      <c r="K70" s="97" t="s">
        <v>47</v>
      </c>
      <c r="L70" s="98"/>
      <c r="M70" s="98"/>
      <c r="N70" s="98"/>
      <c r="O70" s="98"/>
      <c r="P70" s="99"/>
      <c r="Q70" s="56" t="s">
        <v>72</v>
      </c>
      <c r="R70" s="57" t="s">
        <v>75</v>
      </c>
      <c r="S70" s="58" t="s">
        <v>86</v>
      </c>
      <c r="T70" s="58" t="s">
        <v>67</v>
      </c>
      <c r="U70" s="58" t="s">
        <v>68</v>
      </c>
    </row>
    <row r="71" spans="1:27" ht="18" customHeight="1" x14ac:dyDescent="0.2">
      <c r="A71" s="3"/>
      <c r="B71" s="91" t="s">
        <v>170</v>
      </c>
      <c r="C71" s="92"/>
      <c r="D71" s="92"/>
      <c r="E71" s="92"/>
      <c r="F71" s="59">
        <v>2</v>
      </c>
      <c r="G71" s="59" t="s">
        <v>171</v>
      </c>
      <c r="H71" s="59" t="s">
        <v>171</v>
      </c>
      <c r="I71" s="59" t="s">
        <v>171</v>
      </c>
      <c r="J71" s="59" t="s">
        <v>171</v>
      </c>
      <c r="K71" s="91"/>
      <c r="L71" s="92"/>
      <c r="M71" s="92"/>
      <c r="N71" s="92"/>
      <c r="O71" s="92"/>
      <c r="P71" s="93"/>
      <c r="Q71" s="59"/>
      <c r="R71" s="59"/>
      <c r="S71" s="59"/>
      <c r="T71" s="59"/>
      <c r="U71" s="59"/>
    </row>
    <row r="72" spans="1:27" ht="18" customHeight="1" x14ac:dyDescent="0.2">
      <c r="A72" s="3"/>
      <c r="B72" s="84" t="s">
        <v>172</v>
      </c>
      <c r="C72" s="85"/>
      <c r="D72" s="85"/>
      <c r="E72" s="85"/>
      <c r="F72" s="60">
        <v>2</v>
      </c>
      <c r="G72" s="60" t="s">
        <v>171</v>
      </c>
      <c r="H72" s="60" t="s">
        <v>171</v>
      </c>
      <c r="I72" s="60" t="s">
        <v>171</v>
      </c>
      <c r="J72" s="60" t="s">
        <v>171</v>
      </c>
      <c r="K72" s="84"/>
      <c r="L72" s="85"/>
      <c r="M72" s="85"/>
      <c r="N72" s="85"/>
      <c r="O72" s="85"/>
      <c r="P72" s="86"/>
      <c r="Q72" s="60"/>
      <c r="R72" s="60"/>
      <c r="S72" s="60"/>
      <c r="T72" s="60"/>
      <c r="U72" s="60"/>
    </row>
    <row r="73" spans="1:27" ht="18" customHeight="1" x14ac:dyDescent="0.2">
      <c r="A73" s="3"/>
      <c r="B73" s="84" t="s">
        <v>174</v>
      </c>
      <c r="C73" s="85"/>
      <c r="D73" s="85"/>
      <c r="E73" s="85"/>
      <c r="F73" s="60">
        <v>1</v>
      </c>
      <c r="G73" s="60" t="s">
        <v>171</v>
      </c>
      <c r="H73" s="60" t="s">
        <v>171</v>
      </c>
      <c r="I73" s="60" t="s">
        <v>171</v>
      </c>
      <c r="J73" s="60" t="s">
        <v>171</v>
      </c>
      <c r="K73" s="84"/>
      <c r="L73" s="85"/>
      <c r="M73" s="85"/>
      <c r="N73" s="85"/>
      <c r="O73" s="85"/>
      <c r="P73" s="86"/>
      <c r="Q73" s="60"/>
      <c r="R73" s="60"/>
      <c r="S73" s="60"/>
      <c r="T73" s="60"/>
      <c r="U73" s="60"/>
    </row>
    <row r="74" spans="1:27" ht="18" customHeight="1" x14ac:dyDescent="0.2">
      <c r="A74" s="3"/>
      <c r="B74" s="84"/>
      <c r="C74" s="85"/>
      <c r="D74" s="85"/>
      <c r="E74" s="85"/>
      <c r="F74" s="60"/>
      <c r="G74" s="60"/>
      <c r="H74" s="60"/>
      <c r="I74" s="60"/>
      <c r="J74" s="60"/>
      <c r="K74" s="84"/>
      <c r="L74" s="85"/>
      <c r="M74" s="85"/>
      <c r="N74" s="85"/>
      <c r="O74" s="85"/>
      <c r="P74" s="86"/>
      <c r="Q74" s="60"/>
      <c r="R74" s="60"/>
      <c r="S74" s="60"/>
      <c r="T74" s="60"/>
      <c r="U74" s="60"/>
    </row>
    <row r="75" spans="1:27" ht="18" customHeight="1" x14ac:dyDescent="0.2">
      <c r="A75" s="3"/>
      <c r="B75" s="84"/>
      <c r="C75" s="85"/>
      <c r="D75" s="85"/>
      <c r="E75" s="85"/>
      <c r="F75" s="60"/>
      <c r="G75" s="60"/>
      <c r="H75" s="60"/>
      <c r="I75" s="60"/>
      <c r="J75" s="60"/>
      <c r="K75" s="84"/>
      <c r="L75" s="85"/>
      <c r="M75" s="85"/>
      <c r="N75" s="85"/>
      <c r="O75" s="85"/>
      <c r="P75" s="86"/>
      <c r="Q75" s="60"/>
      <c r="R75" s="60"/>
      <c r="S75" s="60"/>
      <c r="T75" s="60"/>
      <c r="U75" s="60"/>
    </row>
    <row r="76" spans="1:27" ht="18" customHeight="1" x14ac:dyDescent="0.2">
      <c r="A76" s="3"/>
      <c r="B76" s="84"/>
      <c r="C76" s="85"/>
      <c r="D76" s="85"/>
      <c r="E76" s="85"/>
      <c r="F76" s="60"/>
      <c r="G76" s="60"/>
      <c r="H76" s="60"/>
      <c r="I76" s="60"/>
      <c r="J76" s="60"/>
      <c r="K76" s="84"/>
      <c r="L76" s="85"/>
      <c r="M76" s="85"/>
      <c r="N76" s="85"/>
      <c r="O76" s="85"/>
      <c r="P76" s="86"/>
      <c r="Q76" s="60"/>
      <c r="R76" s="60"/>
      <c r="S76" s="60"/>
      <c r="T76" s="60"/>
      <c r="U76" s="60"/>
    </row>
    <row r="77" spans="1:27" ht="18" customHeight="1" x14ac:dyDescent="0.2">
      <c r="A77" s="3"/>
      <c r="B77" s="87"/>
      <c r="C77" s="88"/>
      <c r="D77" s="88"/>
      <c r="E77" s="88"/>
      <c r="F77" s="61"/>
      <c r="G77" s="61"/>
      <c r="H77" s="62"/>
      <c r="I77" s="62"/>
      <c r="J77" s="62"/>
      <c r="K77" s="87"/>
      <c r="L77" s="88"/>
      <c r="M77" s="88"/>
      <c r="N77" s="88"/>
      <c r="O77" s="88"/>
      <c r="P77" s="89"/>
      <c r="Q77" s="61"/>
      <c r="R77" s="61"/>
      <c r="S77" s="62"/>
      <c r="T77" s="62"/>
      <c r="U77" s="62"/>
    </row>
    <row r="78" spans="1:27" ht="7.5" customHeight="1" x14ac:dyDescent="0.2">
      <c r="B78" s="13"/>
      <c r="C78" s="13"/>
      <c r="D78" s="13"/>
      <c r="E78" s="13"/>
      <c r="F78" s="13"/>
      <c r="G78" s="13"/>
      <c r="H78" s="13"/>
      <c r="I78" s="13"/>
      <c r="J78" s="13"/>
      <c r="K78" s="13"/>
      <c r="L78" s="13"/>
      <c r="M78" s="13"/>
      <c r="N78" s="13"/>
      <c r="O78" s="13"/>
      <c r="P78" s="13"/>
      <c r="Q78" s="13"/>
      <c r="R78" s="13"/>
      <c r="S78" s="13"/>
      <c r="T78" s="13"/>
    </row>
    <row r="79" spans="1:27" ht="18" customHeight="1" x14ac:dyDescent="0.2">
      <c r="A79" s="1" t="s">
        <v>100</v>
      </c>
      <c r="I79" s="3"/>
      <c r="J79" s="3"/>
      <c r="K79" s="3"/>
      <c r="L79" s="3"/>
      <c r="M79" s="3"/>
      <c r="N79" s="3"/>
      <c r="O79" s="3"/>
      <c r="P79" s="3"/>
      <c r="Q79" s="3"/>
      <c r="R79" s="3"/>
      <c r="S79" s="3"/>
      <c r="T79" s="3"/>
      <c r="U79" s="3"/>
    </row>
    <row r="80" spans="1:27" ht="18" customHeight="1" x14ac:dyDescent="0.2">
      <c r="B80" s="97" t="s">
        <v>47</v>
      </c>
      <c r="C80" s="98"/>
      <c r="D80" s="98"/>
      <c r="E80" s="98"/>
      <c r="F80" s="99"/>
      <c r="G80" s="97" t="s">
        <v>73</v>
      </c>
      <c r="H80" s="98"/>
      <c r="I80" s="98"/>
      <c r="J80" s="99"/>
      <c r="K80" s="105" t="s">
        <v>47</v>
      </c>
      <c r="L80" s="106"/>
      <c r="M80" s="106"/>
      <c r="N80" s="106"/>
      <c r="O80" s="106"/>
      <c r="P80" s="106"/>
      <c r="Q80" s="107"/>
      <c r="R80" s="97" t="s">
        <v>73</v>
      </c>
      <c r="S80" s="98"/>
      <c r="T80" s="98"/>
      <c r="U80" s="99"/>
      <c r="AA80" s="1" t="s">
        <v>138</v>
      </c>
    </row>
    <row r="81" spans="1:27" ht="18" customHeight="1" x14ac:dyDescent="0.2">
      <c r="A81" s="3"/>
      <c r="B81" s="91"/>
      <c r="C81" s="92"/>
      <c r="D81" s="92"/>
      <c r="E81" s="92"/>
      <c r="F81" s="93"/>
      <c r="G81" s="94"/>
      <c r="H81" s="95"/>
      <c r="I81" s="95"/>
      <c r="J81" s="96"/>
      <c r="K81" s="91"/>
      <c r="L81" s="92"/>
      <c r="M81" s="92"/>
      <c r="N81" s="92"/>
      <c r="O81" s="92"/>
      <c r="P81" s="92"/>
      <c r="Q81" s="93"/>
      <c r="R81" s="94"/>
      <c r="S81" s="95"/>
      <c r="T81" s="95"/>
      <c r="U81" s="96"/>
      <c r="AA81" s="1" t="s">
        <v>131</v>
      </c>
    </row>
    <row r="82" spans="1:27" ht="18" customHeight="1" x14ac:dyDescent="0.2">
      <c r="A82" s="3"/>
      <c r="B82" s="84"/>
      <c r="C82" s="85"/>
      <c r="D82" s="85"/>
      <c r="E82" s="85"/>
      <c r="F82" s="86"/>
      <c r="G82" s="102"/>
      <c r="H82" s="103"/>
      <c r="I82" s="103"/>
      <c r="J82" s="104"/>
      <c r="K82" s="84"/>
      <c r="L82" s="85"/>
      <c r="M82" s="85"/>
      <c r="N82" s="85"/>
      <c r="O82" s="85"/>
      <c r="P82" s="85"/>
      <c r="Q82" s="86"/>
      <c r="R82" s="102"/>
      <c r="S82" s="103"/>
      <c r="T82" s="103"/>
      <c r="U82" s="104"/>
      <c r="AA82" s="1" t="s">
        <v>132</v>
      </c>
    </row>
    <row r="83" spans="1:27" ht="18" customHeight="1" x14ac:dyDescent="0.2">
      <c r="A83" s="3"/>
      <c r="B83" s="84"/>
      <c r="C83" s="85"/>
      <c r="D83" s="85"/>
      <c r="E83" s="85"/>
      <c r="F83" s="86"/>
      <c r="G83" s="102"/>
      <c r="H83" s="103"/>
      <c r="I83" s="103"/>
      <c r="J83" s="104"/>
      <c r="K83" s="84"/>
      <c r="L83" s="85"/>
      <c r="M83" s="85"/>
      <c r="N83" s="85"/>
      <c r="O83" s="85"/>
      <c r="P83" s="85"/>
      <c r="Q83" s="86"/>
      <c r="R83" s="102"/>
      <c r="S83" s="103"/>
      <c r="T83" s="103"/>
      <c r="U83" s="104"/>
      <c r="AA83" s="1" t="s">
        <v>133</v>
      </c>
    </row>
    <row r="84" spans="1:27" ht="18" customHeight="1" x14ac:dyDescent="0.2">
      <c r="A84" s="3"/>
      <c r="B84" s="84"/>
      <c r="C84" s="85"/>
      <c r="D84" s="85"/>
      <c r="E84" s="85"/>
      <c r="F84" s="86"/>
      <c r="G84" s="102"/>
      <c r="H84" s="103"/>
      <c r="I84" s="103"/>
      <c r="J84" s="104"/>
      <c r="K84" s="84"/>
      <c r="L84" s="85"/>
      <c r="M84" s="85"/>
      <c r="N84" s="85"/>
      <c r="O84" s="85"/>
      <c r="P84" s="85"/>
      <c r="Q84" s="86"/>
      <c r="R84" s="102"/>
      <c r="S84" s="103"/>
      <c r="T84" s="103"/>
      <c r="U84" s="104"/>
      <c r="AA84" s="1" t="s">
        <v>139</v>
      </c>
    </row>
    <row r="85" spans="1:27" ht="18" customHeight="1" x14ac:dyDescent="0.2">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x14ac:dyDescent="0.2">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x14ac:dyDescent="0.2">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101</v>
      </c>
      <c r="AA89" s="1" t="s">
        <v>137</v>
      </c>
    </row>
    <row r="90" spans="1:27" ht="18.75" customHeight="1" x14ac:dyDescent="0.2">
      <c r="B90" s="125" t="s">
        <v>48</v>
      </c>
      <c r="C90" s="126"/>
      <c r="D90" s="97" t="s">
        <v>49</v>
      </c>
      <c r="E90" s="98"/>
      <c r="F90" s="98"/>
      <c r="G90" s="98"/>
      <c r="H90" s="98"/>
      <c r="I90" s="98"/>
      <c r="J90" s="98"/>
      <c r="K90" s="98"/>
      <c r="L90" s="98"/>
      <c r="M90" s="98"/>
      <c r="N90" s="98"/>
      <c r="O90" s="98"/>
      <c r="P90" s="98"/>
      <c r="Q90" s="98"/>
      <c r="R90" s="98"/>
      <c r="S90" s="98"/>
      <c r="T90" s="98"/>
      <c r="U90" s="99"/>
    </row>
    <row r="91" spans="1:27" ht="97.5" customHeight="1" x14ac:dyDescent="0.2">
      <c r="B91" s="100" t="s">
        <v>55</v>
      </c>
      <c r="C91" s="64" t="s">
        <v>50</v>
      </c>
      <c r="D91" s="134" t="s">
        <v>181</v>
      </c>
      <c r="E91" s="135"/>
      <c r="F91" s="135"/>
      <c r="G91" s="135"/>
      <c r="H91" s="135"/>
      <c r="I91" s="135"/>
      <c r="J91" s="135"/>
      <c r="K91" s="135"/>
      <c r="L91" s="135"/>
      <c r="M91" s="135"/>
      <c r="N91" s="135"/>
      <c r="O91" s="135"/>
      <c r="P91" s="135"/>
      <c r="Q91" s="135"/>
      <c r="R91" s="135"/>
      <c r="S91" s="135"/>
      <c r="T91" s="135"/>
      <c r="U91" s="136"/>
    </row>
    <row r="92" spans="1:27" ht="97.5" customHeight="1" x14ac:dyDescent="0.2">
      <c r="B92" s="124"/>
      <c r="C92" s="65" t="s">
        <v>69</v>
      </c>
      <c r="D92" s="131" t="s">
        <v>182</v>
      </c>
      <c r="E92" s="132"/>
      <c r="F92" s="132"/>
      <c r="G92" s="132"/>
      <c r="H92" s="132"/>
      <c r="I92" s="132"/>
      <c r="J92" s="132"/>
      <c r="K92" s="132"/>
      <c r="L92" s="132"/>
      <c r="M92" s="132"/>
      <c r="N92" s="132"/>
      <c r="O92" s="132"/>
      <c r="P92" s="132"/>
      <c r="Q92" s="132"/>
      <c r="R92" s="132"/>
      <c r="S92" s="132"/>
      <c r="T92" s="132"/>
      <c r="U92" s="133"/>
    </row>
    <row r="93" spans="1:27" ht="97.5" customHeight="1" x14ac:dyDescent="0.2">
      <c r="B93" s="100" t="s">
        <v>56</v>
      </c>
      <c r="C93" s="66" t="s">
        <v>63</v>
      </c>
      <c r="D93" s="134" t="s">
        <v>183</v>
      </c>
      <c r="E93" s="135"/>
      <c r="F93" s="135"/>
      <c r="G93" s="135"/>
      <c r="H93" s="135"/>
      <c r="I93" s="135"/>
      <c r="J93" s="135"/>
      <c r="K93" s="135"/>
      <c r="L93" s="135"/>
      <c r="M93" s="135"/>
      <c r="N93" s="135"/>
      <c r="O93" s="135"/>
      <c r="P93" s="135"/>
      <c r="Q93" s="135"/>
      <c r="R93" s="135"/>
      <c r="S93" s="135"/>
      <c r="T93" s="135"/>
      <c r="U93" s="136"/>
    </row>
    <row r="94" spans="1:27" ht="97.5" customHeight="1" x14ac:dyDescent="0.2">
      <c r="B94" s="101"/>
      <c r="C94" s="67" t="s">
        <v>64</v>
      </c>
      <c r="D94" s="131" t="s">
        <v>184</v>
      </c>
      <c r="E94" s="132"/>
      <c r="F94" s="132"/>
      <c r="G94" s="132"/>
      <c r="H94" s="132"/>
      <c r="I94" s="132"/>
      <c r="J94" s="132"/>
      <c r="K94" s="132"/>
      <c r="L94" s="132"/>
      <c r="M94" s="132"/>
      <c r="N94" s="132"/>
      <c r="O94" s="132"/>
      <c r="P94" s="132"/>
      <c r="Q94" s="132"/>
      <c r="R94" s="132"/>
      <c r="S94" s="132"/>
      <c r="T94" s="132"/>
      <c r="U94" s="133"/>
    </row>
    <row r="95" spans="1:27" ht="97.5" customHeight="1" x14ac:dyDescent="0.2">
      <c r="B95" s="100" t="s">
        <v>57</v>
      </c>
      <c r="C95" s="66" t="s">
        <v>65</v>
      </c>
      <c r="D95" s="134" t="s">
        <v>185</v>
      </c>
      <c r="E95" s="135"/>
      <c r="F95" s="135"/>
      <c r="G95" s="135"/>
      <c r="H95" s="135"/>
      <c r="I95" s="135"/>
      <c r="J95" s="135"/>
      <c r="K95" s="135"/>
      <c r="L95" s="135"/>
      <c r="M95" s="135"/>
      <c r="N95" s="135"/>
      <c r="O95" s="135"/>
      <c r="P95" s="135"/>
      <c r="Q95" s="135"/>
      <c r="R95" s="135"/>
      <c r="S95" s="135"/>
      <c r="T95" s="135"/>
      <c r="U95" s="136"/>
    </row>
    <row r="96" spans="1:27" ht="97.5" customHeight="1" x14ac:dyDescent="0.2">
      <c r="B96" s="101"/>
      <c r="C96" s="68" t="s">
        <v>66</v>
      </c>
      <c r="D96" s="131" t="s">
        <v>186</v>
      </c>
      <c r="E96" s="132"/>
      <c r="F96" s="132"/>
      <c r="G96" s="132"/>
      <c r="H96" s="132"/>
      <c r="I96" s="132"/>
      <c r="J96" s="132"/>
      <c r="K96" s="132"/>
      <c r="L96" s="132"/>
      <c r="M96" s="132"/>
      <c r="N96" s="132"/>
      <c r="O96" s="132"/>
      <c r="P96" s="132"/>
      <c r="Q96" s="132"/>
      <c r="R96" s="132"/>
      <c r="S96" s="132"/>
      <c r="T96" s="132"/>
      <c r="U96" s="133"/>
    </row>
    <row r="97" spans="1:21" ht="97.5" customHeight="1" x14ac:dyDescent="0.2">
      <c r="B97" s="100" t="s">
        <v>70</v>
      </c>
      <c r="C97" s="64" t="s">
        <v>52</v>
      </c>
      <c r="D97" s="134" t="s">
        <v>187</v>
      </c>
      <c r="E97" s="135"/>
      <c r="F97" s="135"/>
      <c r="G97" s="135"/>
      <c r="H97" s="135"/>
      <c r="I97" s="135"/>
      <c r="J97" s="135"/>
      <c r="K97" s="135"/>
      <c r="L97" s="135"/>
      <c r="M97" s="135"/>
      <c r="N97" s="135"/>
      <c r="O97" s="135"/>
      <c r="P97" s="135"/>
      <c r="Q97" s="135"/>
      <c r="R97" s="135"/>
      <c r="S97" s="135"/>
      <c r="T97" s="135"/>
      <c r="U97" s="136"/>
    </row>
    <row r="98" spans="1:21" ht="97.5" customHeight="1" x14ac:dyDescent="0.2">
      <c r="B98" s="101"/>
      <c r="C98" s="67" t="s">
        <v>54</v>
      </c>
      <c r="D98" s="131" t="s">
        <v>188</v>
      </c>
      <c r="E98" s="132"/>
      <c r="F98" s="132"/>
      <c r="G98" s="132"/>
      <c r="H98" s="132"/>
      <c r="I98" s="132"/>
      <c r="J98" s="132"/>
      <c r="K98" s="132"/>
      <c r="L98" s="132"/>
      <c r="M98" s="132"/>
      <c r="N98" s="132"/>
      <c r="O98" s="132"/>
      <c r="P98" s="132"/>
      <c r="Q98" s="132"/>
      <c r="R98" s="132"/>
      <c r="S98" s="132"/>
      <c r="T98" s="132"/>
      <c r="U98" s="133"/>
    </row>
    <row r="99" spans="1:21" ht="131.25" customHeight="1" x14ac:dyDescent="0.2">
      <c r="B99" s="100" t="s">
        <v>71</v>
      </c>
      <c r="C99" s="66" t="s">
        <v>51</v>
      </c>
      <c r="D99" s="134" t="s">
        <v>189</v>
      </c>
      <c r="E99" s="135"/>
      <c r="F99" s="135"/>
      <c r="G99" s="135"/>
      <c r="H99" s="135"/>
      <c r="I99" s="135"/>
      <c r="J99" s="135"/>
      <c r="K99" s="135"/>
      <c r="L99" s="135"/>
      <c r="M99" s="135"/>
      <c r="N99" s="135"/>
      <c r="O99" s="135"/>
      <c r="P99" s="135"/>
      <c r="Q99" s="135"/>
      <c r="R99" s="135"/>
      <c r="S99" s="135"/>
      <c r="T99" s="135"/>
      <c r="U99" s="136"/>
    </row>
    <row r="100" spans="1:21" ht="84.75" customHeight="1" x14ac:dyDescent="0.2">
      <c r="B100" s="124"/>
      <c r="C100" s="69" t="s">
        <v>67</v>
      </c>
      <c r="D100" s="137" t="s">
        <v>190</v>
      </c>
      <c r="E100" s="138"/>
      <c r="F100" s="138"/>
      <c r="G100" s="138"/>
      <c r="H100" s="138"/>
      <c r="I100" s="138"/>
      <c r="J100" s="138"/>
      <c r="K100" s="138"/>
      <c r="L100" s="138"/>
      <c r="M100" s="138"/>
      <c r="N100" s="138"/>
      <c r="O100" s="138"/>
      <c r="P100" s="138"/>
      <c r="Q100" s="138"/>
      <c r="R100" s="138"/>
      <c r="S100" s="138"/>
      <c r="T100" s="138"/>
      <c r="U100" s="139"/>
    </row>
    <row r="101" spans="1:21" ht="97.5" customHeight="1" x14ac:dyDescent="0.2">
      <c r="B101" s="101"/>
      <c r="C101" s="68" t="s">
        <v>68</v>
      </c>
      <c r="D101" s="131" t="s">
        <v>191</v>
      </c>
      <c r="E101" s="132"/>
      <c r="F101" s="132"/>
      <c r="G101" s="132"/>
      <c r="H101" s="132"/>
      <c r="I101" s="132"/>
      <c r="J101" s="132"/>
      <c r="K101" s="132"/>
      <c r="L101" s="132"/>
      <c r="M101" s="132"/>
      <c r="N101" s="132"/>
      <c r="O101" s="132"/>
      <c r="P101" s="132"/>
      <c r="Q101" s="132"/>
      <c r="R101" s="132"/>
      <c r="S101" s="132"/>
      <c r="T101" s="132"/>
      <c r="U101" s="133"/>
    </row>
    <row r="102" spans="1:21" ht="6" customHeight="1" x14ac:dyDescent="0.2"/>
    <row r="103" spans="1:21" ht="18.75" customHeight="1" x14ac:dyDescent="0.2">
      <c r="A103" s="1" t="s">
        <v>102</v>
      </c>
    </row>
    <row r="104" spans="1:21" ht="81.75" customHeight="1" x14ac:dyDescent="0.2">
      <c r="B104" s="118" t="s">
        <v>177</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9" priority="1">
      <formula>$L$7="学部・学科によって、修了要件は相違しない"</formula>
    </cfRule>
    <cfRule type="expression" dxfId="8"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&amp;C数理・データサイエンス・AI教育プログラム認定制度【リテラシーレベル】令和7年度申請用</oddHeader>
  </headerFooter>
  <rowBreaks count="2" manualBreakCount="2">
    <brk id="67" max="16383" man="1"/>
    <brk id="9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9279-CDE8-4A42-9EFE-6FD81D0A278F}">
  <sheetPr>
    <pageSetUpPr fitToPage="1"/>
  </sheetPr>
  <dimension ref="A1:AA107"/>
  <sheetViews>
    <sheetView showZeros="0" view="pageBreakPreview" topLeftCell="A75" zoomScaleNormal="100" zoomScaleSheetLayoutView="100" workbookViewId="0">
      <selection activeCell="B15" sqref="B15:U20"/>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7" t="s">
        <v>176</v>
      </c>
      <c r="U1" s="127"/>
      <c r="V1" s="2" t="s">
        <v>93</v>
      </c>
    </row>
    <row r="2" spans="1:24" ht="18.75" customHeight="1" x14ac:dyDescent="0.2">
      <c r="B2" s="15" t="s">
        <v>92</v>
      </c>
      <c r="C2" s="97" t="s">
        <v>152</v>
      </c>
      <c r="D2" s="98"/>
      <c r="E2" s="98"/>
      <c r="F2" s="98"/>
      <c r="G2" s="98"/>
      <c r="H2" s="98"/>
      <c r="I2" s="98"/>
      <c r="J2" s="99"/>
      <c r="K2" s="16"/>
      <c r="L2" s="6"/>
      <c r="M2" s="6"/>
      <c r="N2" s="6"/>
      <c r="O2" s="6"/>
      <c r="P2" s="6"/>
      <c r="Q2" s="6"/>
      <c r="R2" s="6"/>
      <c r="S2" s="6"/>
      <c r="T2" s="6"/>
      <c r="U2" s="6"/>
    </row>
    <row r="3" spans="1:24" ht="18.75" customHeight="1" x14ac:dyDescent="0.2">
      <c r="B3" s="15" t="s">
        <v>87</v>
      </c>
      <c r="C3" s="128" t="s">
        <v>153</v>
      </c>
      <c r="D3" s="129"/>
      <c r="E3" s="129"/>
      <c r="F3" s="129"/>
      <c r="G3" s="129"/>
      <c r="H3" s="129"/>
      <c r="I3" s="129"/>
      <c r="J3" s="130"/>
      <c r="K3" s="16"/>
      <c r="L3" s="6"/>
      <c r="M3" s="6"/>
      <c r="N3" s="6"/>
      <c r="O3" s="6"/>
      <c r="P3" s="6"/>
      <c r="Q3" s="6"/>
      <c r="R3" s="6"/>
      <c r="S3" s="6"/>
      <c r="T3" s="6"/>
      <c r="U3" s="6"/>
    </row>
    <row r="4" spans="1:24" ht="15" customHeight="1" x14ac:dyDescent="0.2">
      <c r="L4" s="16"/>
      <c r="M4" s="70"/>
      <c r="N4" s="70"/>
      <c r="O4" s="70"/>
      <c r="P4" s="70"/>
      <c r="Q4" s="70"/>
      <c r="R4" s="70"/>
      <c r="S4" s="70"/>
      <c r="T4" s="70"/>
      <c r="U4" s="70"/>
    </row>
    <row r="5" spans="1:24" ht="18" customHeight="1" x14ac:dyDescent="0.2">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3" t="s">
        <v>116</v>
      </c>
      <c r="M7" s="144"/>
      <c r="N7" s="144"/>
      <c r="O7" s="144"/>
      <c r="P7" s="144"/>
      <c r="Q7" s="144"/>
      <c r="R7" s="144"/>
      <c r="S7" s="144"/>
      <c r="T7" s="144"/>
      <c r="U7" s="145"/>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6"/>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46" t="s">
        <v>178</v>
      </c>
      <c r="C11" s="147"/>
      <c r="D11" s="147"/>
      <c r="E11" s="147"/>
      <c r="F11" s="147"/>
      <c r="G11" s="147"/>
      <c r="H11" s="147"/>
      <c r="I11" s="147"/>
      <c r="J11" s="147"/>
      <c r="K11" s="147"/>
      <c r="L11" s="147"/>
      <c r="M11" s="147"/>
      <c r="N11" s="147"/>
      <c r="O11" s="147"/>
      <c r="P11" s="147"/>
      <c r="Q11" s="147"/>
      <c r="R11" s="147"/>
      <c r="S11" s="147"/>
      <c r="T11" s="147"/>
      <c r="U11" s="148"/>
    </row>
    <row r="12" spans="1:24" ht="18" customHeight="1" x14ac:dyDescent="0.2">
      <c r="B12" s="149"/>
      <c r="C12" s="150"/>
      <c r="D12" s="150"/>
      <c r="E12" s="150"/>
      <c r="F12" s="150"/>
      <c r="G12" s="150"/>
      <c r="H12" s="150"/>
      <c r="I12" s="150"/>
      <c r="J12" s="150"/>
      <c r="K12" s="150"/>
      <c r="L12" s="150"/>
      <c r="M12" s="150"/>
      <c r="N12" s="150"/>
      <c r="O12" s="150"/>
      <c r="P12" s="150"/>
      <c r="Q12" s="150"/>
      <c r="R12" s="150"/>
      <c r="S12" s="150"/>
      <c r="T12" s="150"/>
      <c r="U12" s="151"/>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94</v>
      </c>
      <c r="B14" s="3"/>
      <c r="C14" s="3"/>
      <c r="D14" s="3"/>
      <c r="E14" s="16"/>
      <c r="F14" s="16"/>
      <c r="G14" s="16"/>
      <c r="H14" s="16"/>
      <c r="I14" s="16"/>
      <c r="J14" s="16"/>
      <c r="K14" s="16"/>
      <c r="L14" s="71"/>
      <c r="M14" s="71"/>
      <c r="N14" s="71"/>
      <c r="O14" s="71"/>
      <c r="P14" s="71"/>
      <c r="Q14" s="71"/>
      <c r="R14" s="71"/>
      <c r="S14" s="71"/>
      <c r="T14" s="71"/>
      <c r="U14" s="71"/>
    </row>
    <row r="15" spans="1:24" ht="18" customHeight="1" x14ac:dyDescent="0.2">
      <c r="B15" s="109" t="s">
        <v>180</v>
      </c>
      <c r="C15" s="110"/>
      <c r="D15" s="110"/>
      <c r="E15" s="110"/>
      <c r="F15" s="110"/>
      <c r="G15" s="110"/>
      <c r="H15" s="110"/>
      <c r="I15" s="110"/>
      <c r="J15" s="110"/>
      <c r="K15" s="110"/>
      <c r="L15" s="110"/>
      <c r="M15" s="110"/>
      <c r="N15" s="110"/>
      <c r="O15" s="110"/>
      <c r="P15" s="110"/>
      <c r="Q15" s="110"/>
      <c r="R15" s="110"/>
      <c r="S15" s="110"/>
      <c r="T15" s="110"/>
      <c r="U15" s="111"/>
      <c r="X15" s="1" t="s">
        <v>88</v>
      </c>
    </row>
    <row r="16" spans="1:24" ht="18"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2">
        <v>1</v>
      </c>
      <c r="F22" s="1" t="s">
        <v>106</v>
      </c>
      <c r="H22" s="17">
        <v>1</v>
      </c>
      <c r="I22" s="3" t="s">
        <v>107</v>
      </c>
      <c r="J22" s="3"/>
      <c r="K22" s="16"/>
      <c r="M22" s="16" t="s">
        <v>103</v>
      </c>
      <c r="N22" s="140" t="s">
        <v>124</v>
      </c>
      <c r="O22" s="141"/>
      <c r="P22" s="141"/>
      <c r="Q22" s="141"/>
      <c r="R22" s="141"/>
      <c r="S22" s="141"/>
      <c r="T22" s="141"/>
      <c r="U22" s="142"/>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0" t="s">
        <v>95</v>
      </c>
      <c r="B24" s="90"/>
      <c r="C24" s="90"/>
      <c r="D24" s="90"/>
      <c r="E24" s="90"/>
      <c r="F24" s="90"/>
      <c r="G24" s="90"/>
      <c r="H24" s="90"/>
      <c r="I24" s="90"/>
      <c r="J24" s="90"/>
      <c r="K24" s="90"/>
      <c r="L24" s="90"/>
      <c r="M24" s="90"/>
      <c r="N24" s="90"/>
      <c r="O24" s="90"/>
      <c r="P24" s="90"/>
      <c r="Q24" s="90"/>
      <c r="R24" s="90"/>
      <c r="S24" s="90"/>
      <c r="T24" s="90"/>
      <c r="U24" s="90"/>
    </row>
    <row r="25" spans="1:24" ht="18" customHeight="1" x14ac:dyDescent="0.2">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2">
      <c r="B26" s="97" t="s">
        <v>47</v>
      </c>
      <c r="C26" s="98"/>
      <c r="D26" s="98"/>
      <c r="E26" s="98"/>
      <c r="F26" s="99"/>
      <c r="G26" s="56" t="s">
        <v>72</v>
      </c>
      <c r="H26" s="57" t="s">
        <v>75</v>
      </c>
      <c r="I26" s="58" t="s">
        <v>50</v>
      </c>
      <c r="J26" s="58" t="s">
        <v>53</v>
      </c>
      <c r="K26" s="97" t="s">
        <v>47</v>
      </c>
      <c r="L26" s="98"/>
      <c r="M26" s="98"/>
      <c r="N26" s="98"/>
      <c r="O26" s="98"/>
      <c r="P26" s="98"/>
      <c r="Q26" s="99"/>
      <c r="R26" s="56" t="s">
        <v>72</v>
      </c>
      <c r="S26" s="57" t="s">
        <v>75</v>
      </c>
      <c r="T26" s="58" t="s">
        <v>50</v>
      </c>
      <c r="U26" s="58" t="s">
        <v>53</v>
      </c>
    </row>
    <row r="27" spans="1:24" ht="18" customHeight="1" x14ac:dyDescent="0.2">
      <c r="B27" s="91" t="s">
        <v>192</v>
      </c>
      <c r="C27" s="92"/>
      <c r="D27" s="92"/>
      <c r="E27" s="92"/>
      <c r="F27" s="93"/>
      <c r="G27" s="59">
        <v>1</v>
      </c>
      <c r="H27" s="59" t="s">
        <v>171</v>
      </c>
      <c r="I27" s="59" t="s">
        <v>171</v>
      </c>
      <c r="J27" s="59" t="s">
        <v>171</v>
      </c>
      <c r="K27" s="91"/>
      <c r="L27" s="92"/>
      <c r="M27" s="92"/>
      <c r="N27" s="92"/>
      <c r="O27" s="92"/>
      <c r="P27" s="92"/>
      <c r="Q27" s="93"/>
      <c r="R27" s="59"/>
      <c r="S27" s="59"/>
      <c r="T27" s="59"/>
      <c r="U27" s="59"/>
    </row>
    <row r="28" spans="1:24" ht="18" customHeight="1" x14ac:dyDescent="0.2">
      <c r="B28" s="84"/>
      <c r="C28" s="85"/>
      <c r="D28" s="85"/>
      <c r="E28" s="85"/>
      <c r="F28" s="86"/>
      <c r="G28" s="60"/>
      <c r="H28" s="60"/>
      <c r="I28" s="60"/>
      <c r="J28" s="60"/>
      <c r="K28" s="84"/>
      <c r="L28" s="85"/>
      <c r="M28" s="85"/>
      <c r="N28" s="85"/>
      <c r="O28" s="85"/>
      <c r="P28" s="85"/>
      <c r="Q28" s="86"/>
      <c r="R28" s="60"/>
      <c r="S28" s="60"/>
      <c r="T28" s="60"/>
      <c r="U28" s="60"/>
    </row>
    <row r="29" spans="1:24" ht="18" customHeight="1" x14ac:dyDescent="0.2">
      <c r="B29" s="84"/>
      <c r="C29" s="85"/>
      <c r="D29" s="85"/>
      <c r="E29" s="85"/>
      <c r="F29" s="86"/>
      <c r="G29" s="60"/>
      <c r="H29" s="60"/>
      <c r="I29" s="60"/>
      <c r="J29" s="60"/>
      <c r="K29" s="84"/>
      <c r="L29" s="85"/>
      <c r="M29" s="85"/>
      <c r="N29" s="85"/>
      <c r="O29" s="85"/>
      <c r="P29" s="85"/>
      <c r="Q29" s="86"/>
      <c r="R29" s="60"/>
      <c r="S29" s="60"/>
      <c r="T29" s="60"/>
      <c r="U29" s="60"/>
    </row>
    <row r="30" spans="1:24" ht="18" customHeight="1" x14ac:dyDescent="0.2">
      <c r="B30" s="84"/>
      <c r="C30" s="85"/>
      <c r="D30" s="85"/>
      <c r="E30" s="85"/>
      <c r="F30" s="86"/>
      <c r="G30" s="60"/>
      <c r="H30" s="60"/>
      <c r="I30" s="60"/>
      <c r="J30" s="60"/>
      <c r="K30" s="84"/>
      <c r="L30" s="85"/>
      <c r="M30" s="85"/>
      <c r="N30" s="85"/>
      <c r="O30" s="85"/>
      <c r="P30" s="85"/>
      <c r="Q30" s="86"/>
      <c r="R30" s="60"/>
      <c r="S30" s="60"/>
      <c r="T30" s="60"/>
      <c r="U30" s="60"/>
    </row>
    <row r="31" spans="1:24" ht="18" customHeight="1" x14ac:dyDescent="0.2">
      <c r="B31" s="84"/>
      <c r="C31" s="85"/>
      <c r="D31" s="85"/>
      <c r="E31" s="85"/>
      <c r="F31" s="86"/>
      <c r="G31" s="60"/>
      <c r="H31" s="60"/>
      <c r="I31" s="60"/>
      <c r="J31" s="60"/>
      <c r="K31" s="84"/>
      <c r="L31" s="85"/>
      <c r="M31" s="85"/>
      <c r="N31" s="85"/>
      <c r="O31" s="85"/>
      <c r="P31" s="85"/>
      <c r="Q31" s="86"/>
      <c r="R31" s="60"/>
      <c r="S31" s="60"/>
      <c r="T31" s="60"/>
      <c r="U31" s="60"/>
    </row>
    <row r="32" spans="1:24" ht="18" customHeight="1" x14ac:dyDescent="0.2">
      <c r="A32" s="3"/>
      <c r="B32" s="84"/>
      <c r="C32" s="85"/>
      <c r="D32" s="85"/>
      <c r="E32" s="85"/>
      <c r="F32" s="86"/>
      <c r="G32" s="60"/>
      <c r="H32" s="60"/>
      <c r="I32" s="60"/>
      <c r="J32" s="60"/>
      <c r="K32" s="84"/>
      <c r="L32" s="85"/>
      <c r="M32" s="85"/>
      <c r="N32" s="85"/>
      <c r="O32" s="85"/>
      <c r="P32" s="85"/>
      <c r="Q32" s="86"/>
      <c r="R32" s="60"/>
      <c r="S32" s="60"/>
      <c r="T32" s="60"/>
      <c r="U32" s="60"/>
    </row>
    <row r="33" spans="1:21" ht="18" customHeight="1" x14ac:dyDescent="0.2">
      <c r="A33" s="3"/>
      <c r="B33" s="87"/>
      <c r="C33" s="88"/>
      <c r="D33" s="88"/>
      <c r="E33" s="88"/>
      <c r="F33" s="89"/>
      <c r="G33" s="61"/>
      <c r="H33" s="61"/>
      <c r="I33" s="62"/>
      <c r="J33" s="62"/>
      <c r="K33" s="87"/>
      <c r="L33" s="88"/>
      <c r="M33" s="88"/>
      <c r="N33" s="88"/>
      <c r="O33" s="88"/>
      <c r="P33" s="88"/>
      <c r="Q33" s="89"/>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0" t="s">
        <v>96</v>
      </c>
      <c r="B35" s="90"/>
      <c r="C35" s="90"/>
      <c r="D35" s="90"/>
      <c r="E35" s="90"/>
      <c r="F35" s="90"/>
      <c r="G35" s="90"/>
      <c r="H35" s="90"/>
      <c r="I35" s="90"/>
      <c r="J35" s="90"/>
      <c r="K35" s="90"/>
      <c r="L35" s="90"/>
      <c r="M35" s="90"/>
      <c r="N35" s="90"/>
      <c r="O35" s="90"/>
      <c r="P35" s="90"/>
      <c r="Q35" s="90"/>
      <c r="R35" s="90"/>
      <c r="S35" s="90"/>
      <c r="T35" s="90"/>
      <c r="U35" s="90"/>
    </row>
    <row r="36" spans="1:21" ht="18" customHeight="1" x14ac:dyDescent="0.2">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2">
      <c r="B37" s="97" t="s">
        <v>47</v>
      </c>
      <c r="C37" s="98"/>
      <c r="D37" s="98"/>
      <c r="E37" s="98"/>
      <c r="F37" s="99"/>
      <c r="G37" s="56" t="s">
        <v>72</v>
      </c>
      <c r="H37" s="57" t="s">
        <v>75</v>
      </c>
      <c r="I37" s="58" t="s">
        <v>63</v>
      </c>
      <c r="J37" s="58" t="s">
        <v>64</v>
      </c>
      <c r="K37" s="97" t="s">
        <v>47</v>
      </c>
      <c r="L37" s="98"/>
      <c r="M37" s="98"/>
      <c r="N37" s="98"/>
      <c r="O37" s="98"/>
      <c r="P37" s="98"/>
      <c r="Q37" s="99"/>
      <c r="R37" s="56" t="s">
        <v>72</v>
      </c>
      <c r="S37" s="57" t="s">
        <v>75</v>
      </c>
      <c r="T37" s="58" t="s">
        <v>63</v>
      </c>
      <c r="U37" s="58" t="s">
        <v>64</v>
      </c>
    </row>
    <row r="38" spans="1:21" ht="18" customHeight="1" x14ac:dyDescent="0.2">
      <c r="B38" s="91" t="s">
        <v>192</v>
      </c>
      <c r="C38" s="92"/>
      <c r="D38" s="92"/>
      <c r="E38" s="92"/>
      <c r="F38" s="93"/>
      <c r="G38" s="59">
        <v>1</v>
      </c>
      <c r="H38" s="59" t="s">
        <v>171</v>
      </c>
      <c r="I38" s="59" t="s">
        <v>171</v>
      </c>
      <c r="J38" s="59" t="s">
        <v>171</v>
      </c>
      <c r="K38" s="91"/>
      <c r="L38" s="92"/>
      <c r="M38" s="92"/>
      <c r="N38" s="92"/>
      <c r="O38" s="92"/>
      <c r="P38" s="92"/>
      <c r="Q38" s="93"/>
      <c r="R38" s="59"/>
      <c r="S38" s="59"/>
      <c r="T38" s="59"/>
      <c r="U38" s="59"/>
    </row>
    <row r="39" spans="1:21" ht="18" customHeight="1" x14ac:dyDescent="0.2">
      <c r="B39" s="84"/>
      <c r="C39" s="85"/>
      <c r="D39" s="85"/>
      <c r="E39" s="85"/>
      <c r="F39" s="86"/>
      <c r="G39" s="60"/>
      <c r="H39" s="60"/>
      <c r="I39" s="60"/>
      <c r="J39" s="60"/>
      <c r="K39" s="84"/>
      <c r="L39" s="85"/>
      <c r="M39" s="85"/>
      <c r="N39" s="85"/>
      <c r="O39" s="85"/>
      <c r="P39" s="85"/>
      <c r="Q39" s="86"/>
      <c r="R39" s="60"/>
      <c r="S39" s="60"/>
      <c r="T39" s="60"/>
      <c r="U39" s="60"/>
    </row>
    <row r="40" spans="1:21" ht="18" customHeight="1" x14ac:dyDescent="0.2">
      <c r="B40" s="84"/>
      <c r="C40" s="85"/>
      <c r="D40" s="85"/>
      <c r="E40" s="85"/>
      <c r="F40" s="86"/>
      <c r="G40" s="60"/>
      <c r="H40" s="60"/>
      <c r="I40" s="60"/>
      <c r="J40" s="60"/>
      <c r="K40" s="84"/>
      <c r="L40" s="85"/>
      <c r="M40" s="85"/>
      <c r="N40" s="85"/>
      <c r="O40" s="85"/>
      <c r="P40" s="85"/>
      <c r="Q40" s="86"/>
      <c r="R40" s="60"/>
      <c r="S40" s="60"/>
      <c r="T40" s="60"/>
      <c r="U40" s="60"/>
    </row>
    <row r="41" spans="1:21" ht="18" customHeight="1" x14ac:dyDescent="0.2">
      <c r="B41" s="84"/>
      <c r="C41" s="85"/>
      <c r="D41" s="85"/>
      <c r="E41" s="85"/>
      <c r="F41" s="86"/>
      <c r="G41" s="60"/>
      <c r="H41" s="60"/>
      <c r="I41" s="60"/>
      <c r="J41" s="60"/>
      <c r="K41" s="84"/>
      <c r="L41" s="85"/>
      <c r="M41" s="85"/>
      <c r="N41" s="85"/>
      <c r="O41" s="85"/>
      <c r="P41" s="85"/>
      <c r="Q41" s="86"/>
      <c r="R41" s="60"/>
      <c r="S41" s="60"/>
      <c r="T41" s="60"/>
      <c r="U41" s="60"/>
    </row>
    <row r="42" spans="1:21" ht="18" customHeight="1" x14ac:dyDescent="0.2">
      <c r="B42" s="84"/>
      <c r="C42" s="85"/>
      <c r="D42" s="85"/>
      <c r="E42" s="85"/>
      <c r="F42" s="86"/>
      <c r="G42" s="60"/>
      <c r="H42" s="60"/>
      <c r="I42" s="60"/>
      <c r="J42" s="60"/>
      <c r="K42" s="84"/>
      <c r="L42" s="85"/>
      <c r="M42" s="85"/>
      <c r="N42" s="85"/>
      <c r="O42" s="85"/>
      <c r="P42" s="85"/>
      <c r="Q42" s="86"/>
      <c r="R42" s="60"/>
      <c r="S42" s="60"/>
      <c r="T42" s="60"/>
      <c r="U42" s="60"/>
    </row>
    <row r="43" spans="1:21" ht="18" customHeight="1" x14ac:dyDescent="0.2">
      <c r="B43" s="84"/>
      <c r="C43" s="85"/>
      <c r="D43" s="85"/>
      <c r="E43" s="85"/>
      <c r="F43" s="86"/>
      <c r="G43" s="60"/>
      <c r="H43" s="60"/>
      <c r="I43" s="60"/>
      <c r="J43" s="60"/>
      <c r="K43" s="84"/>
      <c r="L43" s="85"/>
      <c r="M43" s="85"/>
      <c r="N43" s="85"/>
      <c r="O43" s="85"/>
      <c r="P43" s="85"/>
      <c r="Q43" s="86"/>
      <c r="R43" s="60"/>
      <c r="S43" s="60"/>
      <c r="T43" s="60"/>
      <c r="U43" s="60"/>
    </row>
    <row r="44" spans="1:21" ht="18" customHeight="1" x14ac:dyDescent="0.2">
      <c r="B44" s="87"/>
      <c r="C44" s="88"/>
      <c r="D44" s="88"/>
      <c r="E44" s="88"/>
      <c r="F44" s="89"/>
      <c r="G44" s="61"/>
      <c r="H44" s="61"/>
      <c r="I44" s="62"/>
      <c r="J44" s="62"/>
      <c r="K44" s="87"/>
      <c r="L44" s="88"/>
      <c r="M44" s="88"/>
      <c r="N44" s="88"/>
      <c r="O44" s="88"/>
      <c r="P44" s="88"/>
      <c r="Q44" s="89"/>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0" t="s">
        <v>97</v>
      </c>
      <c r="B46" s="90"/>
      <c r="C46" s="90"/>
      <c r="D46" s="90"/>
      <c r="E46" s="90"/>
      <c r="F46" s="90"/>
      <c r="G46" s="90"/>
      <c r="H46" s="90"/>
      <c r="I46" s="90"/>
      <c r="J46" s="90"/>
      <c r="K46" s="90"/>
      <c r="L46" s="90"/>
      <c r="M46" s="90"/>
      <c r="N46" s="90"/>
      <c r="O46" s="90"/>
      <c r="P46" s="90"/>
      <c r="Q46" s="90"/>
      <c r="R46" s="90"/>
      <c r="S46" s="90"/>
      <c r="T46" s="90"/>
      <c r="U46" s="90"/>
    </row>
    <row r="47" spans="1:21" ht="18" customHeight="1" x14ac:dyDescent="0.2">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2">
      <c r="B48" s="97" t="s">
        <v>47</v>
      </c>
      <c r="C48" s="98"/>
      <c r="D48" s="98"/>
      <c r="E48" s="98"/>
      <c r="F48" s="99"/>
      <c r="G48" s="56" t="s">
        <v>72</v>
      </c>
      <c r="H48" s="57" t="s">
        <v>75</v>
      </c>
      <c r="I48" s="58" t="s">
        <v>65</v>
      </c>
      <c r="J48" s="58" t="s">
        <v>66</v>
      </c>
      <c r="K48" s="97" t="s">
        <v>47</v>
      </c>
      <c r="L48" s="98"/>
      <c r="M48" s="98"/>
      <c r="N48" s="98"/>
      <c r="O48" s="98"/>
      <c r="P48" s="98"/>
      <c r="Q48" s="99"/>
      <c r="R48" s="56" t="s">
        <v>72</v>
      </c>
      <c r="S48" s="57" t="s">
        <v>75</v>
      </c>
      <c r="T48" s="58" t="s">
        <v>65</v>
      </c>
      <c r="U48" s="58" t="s">
        <v>66</v>
      </c>
    </row>
    <row r="49" spans="1:21" ht="18" customHeight="1" x14ac:dyDescent="0.2">
      <c r="A49" s="3"/>
      <c r="B49" s="91" t="s">
        <v>192</v>
      </c>
      <c r="C49" s="92"/>
      <c r="D49" s="92"/>
      <c r="E49" s="92"/>
      <c r="F49" s="93"/>
      <c r="G49" s="59">
        <v>1</v>
      </c>
      <c r="H49" s="59" t="s">
        <v>171</v>
      </c>
      <c r="I49" s="59" t="s">
        <v>171</v>
      </c>
      <c r="J49" s="59" t="s">
        <v>171</v>
      </c>
      <c r="K49" s="91"/>
      <c r="L49" s="92"/>
      <c r="M49" s="92"/>
      <c r="N49" s="92"/>
      <c r="O49" s="92"/>
      <c r="P49" s="92"/>
      <c r="Q49" s="93"/>
      <c r="R49" s="59"/>
      <c r="S49" s="59"/>
      <c r="T49" s="59"/>
      <c r="U49" s="59"/>
    </row>
    <row r="50" spans="1:21" ht="18" customHeight="1" x14ac:dyDescent="0.2">
      <c r="A50" s="3"/>
      <c r="B50" s="84"/>
      <c r="C50" s="85"/>
      <c r="D50" s="85"/>
      <c r="E50" s="85"/>
      <c r="F50" s="86"/>
      <c r="G50" s="60"/>
      <c r="H50" s="60"/>
      <c r="I50" s="60"/>
      <c r="J50" s="60"/>
      <c r="K50" s="84"/>
      <c r="L50" s="85"/>
      <c r="M50" s="85"/>
      <c r="N50" s="85"/>
      <c r="O50" s="85"/>
      <c r="P50" s="85"/>
      <c r="Q50" s="86"/>
      <c r="R50" s="60"/>
      <c r="S50" s="60"/>
      <c r="T50" s="60"/>
      <c r="U50" s="60"/>
    </row>
    <row r="51" spans="1:21" ht="18" customHeight="1" x14ac:dyDescent="0.2">
      <c r="A51" s="3"/>
      <c r="B51" s="84"/>
      <c r="C51" s="85"/>
      <c r="D51" s="85"/>
      <c r="E51" s="85"/>
      <c r="F51" s="86"/>
      <c r="G51" s="60"/>
      <c r="H51" s="60"/>
      <c r="I51" s="60"/>
      <c r="J51" s="60"/>
      <c r="K51" s="84"/>
      <c r="L51" s="85"/>
      <c r="M51" s="85"/>
      <c r="N51" s="85"/>
      <c r="O51" s="85"/>
      <c r="P51" s="85"/>
      <c r="Q51" s="86"/>
      <c r="R51" s="60"/>
      <c r="S51" s="60"/>
      <c r="T51" s="60"/>
      <c r="U51" s="60"/>
    </row>
    <row r="52" spans="1:21" ht="18" customHeight="1" x14ac:dyDescent="0.2">
      <c r="A52" s="3"/>
      <c r="B52" s="84"/>
      <c r="C52" s="85"/>
      <c r="D52" s="85"/>
      <c r="E52" s="85"/>
      <c r="F52" s="86"/>
      <c r="G52" s="60"/>
      <c r="H52" s="60"/>
      <c r="I52" s="60"/>
      <c r="J52" s="60"/>
      <c r="K52" s="84"/>
      <c r="L52" s="85"/>
      <c r="M52" s="85"/>
      <c r="N52" s="85"/>
      <c r="O52" s="85"/>
      <c r="P52" s="85"/>
      <c r="Q52" s="86"/>
      <c r="R52" s="60"/>
      <c r="S52" s="60"/>
      <c r="T52" s="60"/>
      <c r="U52" s="60"/>
    </row>
    <row r="53" spans="1:21" ht="18" customHeight="1" x14ac:dyDescent="0.2">
      <c r="A53" s="3"/>
      <c r="B53" s="84"/>
      <c r="C53" s="85"/>
      <c r="D53" s="85"/>
      <c r="E53" s="85"/>
      <c r="F53" s="86"/>
      <c r="G53" s="60"/>
      <c r="H53" s="60"/>
      <c r="I53" s="60"/>
      <c r="J53" s="60"/>
      <c r="K53" s="84"/>
      <c r="L53" s="85"/>
      <c r="M53" s="85"/>
      <c r="N53" s="85"/>
      <c r="O53" s="85"/>
      <c r="P53" s="85"/>
      <c r="Q53" s="86"/>
      <c r="R53" s="60"/>
      <c r="S53" s="60"/>
      <c r="T53" s="60"/>
      <c r="U53" s="60"/>
    </row>
    <row r="54" spans="1:21" ht="18" customHeight="1" x14ac:dyDescent="0.2">
      <c r="A54" s="3"/>
      <c r="B54" s="84"/>
      <c r="C54" s="85"/>
      <c r="D54" s="85"/>
      <c r="E54" s="85"/>
      <c r="F54" s="86"/>
      <c r="G54" s="60"/>
      <c r="H54" s="60"/>
      <c r="I54" s="60"/>
      <c r="J54" s="60"/>
      <c r="K54" s="84"/>
      <c r="L54" s="85"/>
      <c r="M54" s="85"/>
      <c r="N54" s="85"/>
      <c r="O54" s="85"/>
      <c r="P54" s="85"/>
      <c r="Q54" s="86"/>
      <c r="R54" s="60"/>
      <c r="S54" s="60"/>
      <c r="T54" s="60"/>
      <c r="U54" s="60"/>
    </row>
    <row r="55" spans="1:21" ht="18" customHeight="1" x14ac:dyDescent="0.2">
      <c r="A55" s="3"/>
      <c r="B55" s="87"/>
      <c r="C55" s="88"/>
      <c r="D55" s="88"/>
      <c r="E55" s="88"/>
      <c r="F55" s="89"/>
      <c r="G55" s="61"/>
      <c r="H55" s="61"/>
      <c r="I55" s="62"/>
      <c r="J55" s="62"/>
      <c r="K55" s="87"/>
      <c r="L55" s="88"/>
      <c r="M55" s="88"/>
      <c r="N55" s="88"/>
      <c r="O55" s="88"/>
      <c r="P55" s="88"/>
      <c r="Q55" s="89"/>
      <c r="R55" s="61"/>
      <c r="S55" s="61"/>
      <c r="T55" s="62"/>
      <c r="U55" s="62"/>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90" t="s">
        <v>98</v>
      </c>
      <c r="B57" s="90"/>
      <c r="C57" s="90"/>
      <c r="D57" s="90"/>
      <c r="E57" s="90"/>
      <c r="F57" s="90"/>
      <c r="G57" s="90"/>
      <c r="H57" s="90"/>
      <c r="I57" s="90"/>
      <c r="J57" s="90"/>
      <c r="K57" s="90"/>
      <c r="L57" s="90"/>
      <c r="M57" s="90"/>
      <c r="N57" s="90"/>
      <c r="O57" s="90"/>
      <c r="P57" s="90"/>
      <c r="Q57" s="90"/>
      <c r="R57" s="90"/>
      <c r="S57" s="90"/>
      <c r="T57" s="90"/>
      <c r="U57" s="90"/>
    </row>
    <row r="58" spans="1:21" ht="18" customHeight="1" x14ac:dyDescent="0.2">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2">
      <c r="B59" s="97" t="s">
        <v>47</v>
      </c>
      <c r="C59" s="98"/>
      <c r="D59" s="98"/>
      <c r="E59" s="98"/>
      <c r="F59" s="99"/>
      <c r="G59" s="56" t="s">
        <v>72</v>
      </c>
      <c r="H59" s="57" t="s">
        <v>75</v>
      </c>
      <c r="I59" s="58" t="s">
        <v>52</v>
      </c>
      <c r="J59" s="58" t="s">
        <v>54</v>
      </c>
      <c r="K59" s="97" t="s">
        <v>47</v>
      </c>
      <c r="L59" s="98"/>
      <c r="M59" s="98"/>
      <c r="N59" s="98"/>
      <c r="O59" s="98"/>
      <c r="P59" s="98"/>
      <c r="Q59" s="99"/>
      <c r="R59" s="56" t="s">
        <v>72</v>
      </c>
      <c r="S59" s="57" t="s">
        <v>75</v>
      </c>
      <c r="T59" s="58" t="s">
        <v>52</v>
      </c>
      <c r="U59" s="58" t="s">
        <v>54</v>
      </c>
    </row>
    <row r="60" spans="1:21" ht="18" customHeight="1" x14ac:dyDescent="0.2">
      <c r="A60" s="3"/>
      <c r="B60" s="91" t="s">
        <v>192</v>
      </c>
      <c r="C60" s="92"/>
      <c r="D60" s="92"/>
      <c r="E60" s="92"/>
      <c r="F60" s="93"/>
      <c r="G60" s="59">
        <v>1</v>
      </c>
      <c r="H60" s="59" t="s">
        <v>171</v>
      </c>
      <c r="I60" s="59" t="s">
        <v>171</v>
      </c>
      <c r="J60" s="59" t="s">
        <v>171</v>
      </c>
      <c r="K60" s="91"/>
      <c r="L60" s="92"/>
      <c r="M60" s="92"/>
      <c r="N60" s="92"/>
      <c r="O60" s="92"/>
      <c r="P60" s="92"/>
      <c r="Q60" s="93"/>
      <c r="R60" s="59"/>
      <c r="S60" s="59"/>
      <c r="T60" s="59"/>
      <c r="U60" s="59"/>
    </row>
    <row r="61" spans="1:21" ht="18" customHeight="1" x14ac:dyDescent="0.2">
      <c r="A61" s="3"/>
      <c r="B61" s="84"/>
      <c r="C61" s="85"/>
      <c r="D61" s="85"/>
      <c r="E61" s="85"/>
      <c r="F61" s="86"/>
      <c r="G61" s="60"/>
      <c r="H61" s="60"/>
      <c r="I61" s="60"/>
      <c r="J61" s="60"/>
      <c r="K61" s="84"/>
      <c r="L61" s="85"/>
      <c r="M61" s="85"/>
      <c r="N61" s="85"/>
      <c r="O61" s="85"/>
      <c r="P61" s="85"/>
      <c r="Q61" s="86"/>
      <c r="R61" s="60"/>
      <c r="S61" s="60"/>
      <c r="T61" s="60"/>
      <c r="U61" s="60"/>
    </row>
    <row r="62" spans="1:21" ht="18" customHeight="1" x14ac:dyDescent="0.2">
      <c r="A62" s="3"/>
      <c r="B62" s="84"/>
      <c r="C62" s="85"/>
      <c r="D62" s="85"/>
      <c r="E62" s="85"/>
      <c r="F62" s="86"/>
      <c r="G62" s="60"/>
      <c r="H62" s="60"/>
      <c r="I62" s="60"/>
      <c r="J62" s="60"/>
      <c r="K62" s="84"/>
      <c r="L62" s="85"/>
      <c r="M62" s="85"/>
      <c r="N62" s="85"/>
      <c r="O62" s="85"/>
      <c r="P62" s="85"/>
      <c r="Q62" s="86"/>
      <c r="R62" s="60"/>
      <c r="S62" s="60"/>
      <c r="T62" s="60"/>
      <c r="U62" s="60"/>
    </row>
    <row r="63" spans="1:21" ht="18" customHeight="1" x14ac:dyDescent="0.2">
      <c r="A63" s="3"/>
      <c r="B63" s="84"/>
      <c r="C63" s="85"/>
      <c r="D63" s="85"/>
      <c r="E63" s="85"/>
      <c r="F63" s="86"/>
      <c r="G63" s="60"/>
      <c r="H63" s="60"/>
      <c r="I63" s="60"/>
      <c r="J63" s="60"/>
      <c r="K63" s="84"/>
      <c r="L63" s="85"/>
      <c r="M63" s="85"/>
      <c r="N63" s="85"/>
      <c r="O63" s="85"/>
      <c r="P63" s="85"/>
      <c r="Q63" s="86"/>
      <c r="R63" s="60"/>
      <c r="S63" s="60"/>
      <c r="T63" s="60"/>
      <c r="U63" s="60"/>
    </row>
    <row r="64" spans="1:21" ht="18" customHeight="1" x14ac:dyDescent="0.2">
      <c r="A64" s="3"/>
      <c r="B64" s="84"/>
      <c r="C64" s="85"/>
      <c r="D64" s="85"/>
      <c r="E64" s="85"/>
      <c r="F64" s="86"/>
      <c r="G64" s="60"/>
      <c r="H64" s="60"/>
      <c r="I64" s="60"/>
      <c r="J64" s="60"/>
      <c r="K64" s="84"/>
      <c r="L64" s="85"/>
      <c r="M64" s="85"/>
      <c r="N64" s="85"/>
      <c r="O64" s="85"/>
      <c r="P64" s="85"/>
      <c r="Q64" s="86"/>
      <c r="R64" s="60"/>
      <c r="S64" s="60"/>
      <c r="T64" s="60"/>
      <c r="U64" s="60"/>
    </row>
    <row r="65" spans="1:27" ht="18" customHeight="1" x14ac:dyDescent="0.2">
      <c r="A65" s="3"/>
      <c r="B65" s="84"/>
      <c r="C65" s="85"/>
      <c r="D65" s="85"/>
      <c r="E65" s="85"/>
      <c r="F65" s="86"/>
      <c r="G65" s="60"/>
      <c r="H65" s="60"/>
      <c r="I65" s="60"/>
      <c r="J65" s="60"/>
      <c r="K65" s="84"/>
      <c r="L65" s="85"/>
      <c r="M65" s="85"/>
      <c r="N65" s="85"/>
      <c r="O65" s="85"/>
      <c r="P65" s="85"/>
      <c r="Q65" s="86"/>
      <c r="R65" s="60"/>
      <c r="S65" s="60"/>
      <c r="T65" s="60"/>
      <c r="U65" s="60"/>
    </row>
    <row r="66" spans="1:27" ht="18" customHeight="1" x14ac:dyDescent="0.2">
      <c r="A66" s="3"/>
      <c r="B66" s="87"/>
      <c r="C66" s="88"/>
      <c r="D66" s="88"/>
      <c r="E66" s="88"/>
      <c r="F66" s="89"/>
      <c r="G66" s="61"/>
      <c r="H66" s="61"/>
      <c r="I66" s="62"/>
      <c r="J66" s="62"/>
      <c r="K66" s="87"/>
      <c r="L66" s="88"/>
      <c r="M66" s="88"/>
      <c r="N66" s="88"/>
      <c r="O66" s="88"/>
      <c r="P66" s="88"/>
      <c r="Q66" s="89"/>
      <c r="R66" s="61"/>
      <c r="S66" s="61"/>
      <c r="T66" s="62"/>
      <c r="U66" s="62"/>
    </row>
    <row r="67" spans="1:27" ht="7.5" customHeight="1" x14ac:dyDescent="0.2">
      <c r="B67" s="13"/>
      <c r="C67" s="13"/>
      <c r="D67" s="13"/>
      <c r="E67" s="13"/>
      <c r="F67" s="13"/>
      <c r="G67" s="13"/>
      <c r="H67" s="13"/>
      <c r="I67" s="13"/>
      <c r="J67" s="13"/>
      <c r="K67" s="13"/>
      <c r="L67" s="13"/>
      <c r="M67" s="13"/>
      <c r="N67" s="13"/>
      <c r="O67" s="13"/>
      <c r="P67" s="13"/>
      <c r="Q67" s="13"/>
      <c r="R67" s="13"/>
      <c r="S67" s="13"/>
      <c r="T67" s="13"/>
    </row>
    <row r="68" spans="1:27" ht="18" customHeight="1" x14ac:dyDescent="0.2">
      <c r="A68" s="90" t="s">
        <v>99</v>
      </c>
      <c r="B68" s="90"/>
      <c r="C68" s="90"/>
      <c r="D68" s="90"/>
      <c r="E68" s="90"/>
      <c r="F68" s="90"/>
      <c r="G68" s="90"/>
      <c r="H68" s="90"/>
      <c r="I68" s="90"/>
      <c r="J68" s="90"/>
      <c r="K68" s="90"/>
      <c r="L68" s="90"/>
      <c r="M68" s="90"/>
      <c r="N68" s="90"/>
      <c r="O68" s="90"/>
      <c r="P68" s="90"/>
      <c r="Q68" s="90"/>
      <c r="R68" s="90"/>
      <c r="S68" s="90"/>
      <c r="T68" s="90"/>
      <c r="U68" s="90"/>
    </row>
    <row r="69" spans="1:27" ht="18" customHeight="1" x14ac:dyDescent="0.2">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2">
      <c r="B70" s="97" t="s">
        <v>47</v>
      </c>
      <c r="C70" s="98"/>
      <c r="D70" s="98"/>
      <c r="E70" s="98"/>
      <c r="F70" s="56" t="s">
        <v>72</v>
      </c>
      <c r="G70" s="57" t="s">
        <v>75</v>
      </c>
      <c r="H70" s="58" t="s">
        <v>86</v>
      </c>
      <c r="I70" s="58" t="s">
        <v>67</v>
      </c>
      <c r="J70" s="58" t="s">
        <v>68</v>
      </c>
      <c r="K70" s="97" t="s">
        <v>47</v>
      </c>
      <c r="L70" s="98"/>
      <c r="M70" s="98"/>
      <c r="N70" s="98"/>
      <c r="O70" s="98"/>
      <c r="P70" s="99"/>
      <c r="Q70" s="56" t="s">
        <v>72</v>
      </c>
      <c r="R70" s="57" t="s">
        <v>75</v>
      </c>
      <c r="S70" s="58" t="s">
        <v>86</v>
      </c>
      <c r="T70" s="58" t="s">
        <v>67</v>
      </c>
      <c r="U70" s="58" t="s">
        <v>68</v>
      </c>
    </row>
    <row r="71" spans="1:27" ht="18" customHeight="1" x14ac:dyDescent="0.2">
      <c r="A71" s="3"/>
      <c r="B71" s="91" t="s">
        <v>192</v>
      </c>
      <c r="C71" s="92"/>
      <c r="D71" s="92"/>
      <c r="E71" s="92"/>
      <c r="F71" s="59">
        <v>1</v>
      </c>
      <c r="G71" s="59" t="s">
        <v>171</v>
      </c>
      <c r="H71" s="59" t="s">
        <v>171</v>
      </c>
      <c r="I71" s="59" t="s">
        <v>171</v>
      </c>
      <c r="J71" s="59" t="s">
        <v>171</v>
      </c>
      <c r="K71" s="91"/>
      <c r="L71" s="92"/>
      <c r="M71" s="92"/>
      <c r="N71" s="92"/>
      <c r="O71" s="92"/>
      <c r="P71" s="93"/>
      <c r="Q71" s="59"/>
      <c r="R71" s="59"/>
      <c r="S71" s="59"/>
      <c r="T71" s="59"/>
      <c r="U71" s="59"/>
    </row>
    <row r="72" spans="1:27" ht="18" customHeight="1" x14ac:dyDescent="0.2">
      <c r="A72" s="3"/>
      <c r="B72" s="84"/>
      <c r="C72" s="85"/>
      <c r="D72" s="85"/>
      <c r="E72" s="85"/>
      <c r="F72" s="60"/>
      <c r="G72" s="60"/>
      <c r="H72" s="60"/>
      <c r="I72" s="60"/>
      <c r="J72" s="60"/>
      <c r="K72" s="84"/>
      <c r="L72" s="85"/>
      <c r="M72" s="85"/>
      <c r="N72" s="85"/>
      <c r="O72" s="85"/>
      <c r="P72" s="86"/>
      <c r="Q72" s="60"/>
      <c r="R72" s="60"/>
      <c r="S72" s="60"/>
      <c r="T72" s="60"/>
      <c r="U72" s="60"/>
    </row>
    <row r="73" spans="1:27" ht="18" customHeight="1" x14ac:dyDescent="0.2">
      <c r="A73" s="3"/>
      <c r="B73" s="84"/>
      <c r="C73" s="85"/>
      <c r="D73" s="85"/>
      <c r="E73" s="85"/>
      <c r="F73" s="60"/>
      <c r="G73" s="60"/>
      <c r="H73" s="60"/>
      <c r="I73" s="60"/>
      <c r="J73" s="60"/>
      <c r="K73" s="84"/>
      <c r="L73" s="85"/>
      <c r="M73" s="85"/>
      <c r="N73" s="85"/>
      <c r="O73" s="85"/>
      <c r="P73" s="86"/>
      <c r="Q73" s="60"/>
      <c r="R73" s="60"/>
      <c r="S73" s="60"/>
      <c r="T73" s="60"/>
      <c r="U73" s="60"/>
    </row>
    <row r="74" spans="1:27" ht="18" customHeight="1" x14ac:dyDescent="0.2">
      <c r="A74" s="3"/>
      <c r="B74" s="84"/>
      <c r="C74" s="85"/>
      <c r="D74" s="85"/>
      <c r="E74" s="85"/>
      <c r="F74" s="60"/>
      <c r="G74" s="60"/>
      <c r="H74" s="60"/>
      <c r="I74" s="60"/>
      <c r="J74" s="60"/>
      <c r="K74" s="84"/>
      <c r="L74" s="85"/>
      <c r="M74" s="85"/>
      <c r="N74" s="85"/>
      <c r="O74" s="85"/>
      <c r="P74" s="86"/>
      <c r="Q74" s="60"/>
      <c r="R74" s="60"/>
      <c r="S74" s="60"/>
      <c r="T74" s="60"/>
      <c r="U74" s="60"/>
    </row>
    <row r="75" spans="1:27" ht="18" customHeight="1" x14ac:dyDescent="0.2">
      <c r="A75" s="3"/>
      <c r="B75" s="84"/>
      <c r="C75" s="85"/>
      <c r="D75" s="85"/>
      <c r="E75" s="85"/>
      <c r="F75" s="60"/>
      <c r="G75" s="60"/>
      <c r="H75" s="60"/>
      <c r="I75" s="60"/>
      <c r="J75" s="60"/>
      <c r="K75" s="84"/>
      <c r="L75" s="85"/>
      <c r="M75" s="85"/>
      <c r="N75" s="85"/>
      <c r="O75" s="85"/>
      <c r="P75" s="86"/>
      <c r="Q75" s="60"/>
      <c r="R75" s="60"/>
      <c r="S75" s="60"/>
      <c r="T75" s="60"/>
      <c r="U75" s="60"/>
    </row>
    <row r="76" spans="1:27" ht="18" customHeight="1" x14ac:dyDescent="0.2">
      <c r="A76" s="3"/>
      <c r="B76" s="84"/>
      <c r="C76" s="85"/>
      <c r="D76" s="85"/>
      <c r="E76" s="85"/>
      <c r="F76" s="60"/>
      <c r="G76" s="60"/>
      <c r="H76" s="60"/>
      <c r="I76" s="60"/>
      <c r="J76" s="60"/>
      <c r="K76" s="84"/>
      <c r="L76" s="85"/>
      <c r="M76" s="85"/>
      <c r="N76" s="85"/>
      <c r="O76" s="85"/>
      <c r="P76" s="86"/>
      <c r="Q76" s="60"/>
      <c r="R76" s="60"/>
      <c r="S76" s="60"/>
      <c r="T76" s="60"/>
      <c r="U76" s="60"/>
    </row>
    <row r="77" spans="1:27" ht="18" customHeight="1" x14ac:dyDescent="0.2">
      <c r="A77" s="3"/>
      <c r="B77" s="87"/>
      <c r="C77" s="88"/>
      <c r="D77" s="88"/>
      <c r="E77" s="88"/>
      <c r="F77" s="61"/>
      <c r="G77" s="61"/>
      <c r="H77" s="62"/>
      <c r="I77" s="62"/>
      <c r="J77" s="62"/>
      <c r="K77" s="87"/>
      <c r="L77" s="88"/>
      <c r="M77" s="88"/>
      <c r="N77" s="88"/>
      <c r="O77" s="88"/>
      <c r="P77" s="89"/>
      <c r="Q77" s="61"/>
      <c r="R77" s="61"/>
      <c r="S77" s="62"/>
      <c r="T77" s="62"/>
      <c r="U77" s="62"/>
    </row>
    <row r="78" spans="1:27" ht="7.5" customHeight="1" x14ac:dyDescent="0.2">
      <c r="B78" s="13"/>
      <c r="C78" s="13"/>
      <c r="D78" s="13"/>
      <c r="E78" s="13"/>
      <c r="F78" s="13"/>
      <c r="G78" s="13"/>
      <c r="H78" s="13"/>
      <c r="I78" s="13"/>
      <c r="J78" s="13"/>
      <c r="K78" s="13"/>
      <c r="L78" s="13"/>
      <c r="M78" s="13"/>
      <c r="N78" s="13"/>
      <c r="O78" s="13"/>
      <c r="P78" s="13"/>
      <c r="Q78" s="13"/>
      <c r="R78" s="13"/>
      <c r="S78" s="13"/>
      <c r="T78" s="13"/>
    </row>
    <row r="79" spans="1:27" ht="18" customHeight="1" x14ac:dyDescent="0.2">
      <c r="A79" s="1" t="s">
        <v>100</v>
      </c>
      <c r="I79" s="3"/>
      <c r="J79" s="3"/>
      <c r="K79" s="3"/>
      <c r="L79" s="3"/>
      <c r="M79" s="3"/>
      <c r="N79" s="3"/>
      <c r="O79" s="3"/>
      <c r="P79" s="3"/>
      <c r="Q79" s="3"/>
      <c r="R79" s="3"/>
      <c r="S79" s="3"/>
      <c r="T79" s="3"/>
      <c r="U79" s="3"/>
    </row>
    <row r="80" spans="1:27" ht="18" customHeight="1" x14ac:dyDescent="0.2">
      <c r="B80" s="97" t="s">
        <v>47</v>
      </c>
      <c r="C80" s="98"/>
      <c r="D80" s="98"/>
      <c r="E80" s="98"/>
      <c r="F80" s="99"/>
      <c r="G80" s="97" t="s">
        <v>73</v>
      </c>
      <c r="H80" s="98"/>
      <c r="I80" s="98"/>
      <c r="J80" s="99"/>
      <c r="K80" s="105" t="s">
        <v>47</v>
      </c>
      <c r="L80" s="106"/>
      <c r="M80" s="106"/>
      <c r="N80" s="106"/>
      <c r="O80" s="106"/>
      <c r="P80" s="106"/>
      <c r="Q80" s="107"/>
      <c r="R80" s="97" t="s">
        <v>73</v>
      </c>
      <c r="S80" s="98"/>
      <c r="T80" s="98"/>
      <c r="U80" s="99"/>
      <c r="AA80" s="1" t="s">
        <v>138</v>
      </c>
    </row>
    <row r="81" spans="1:27" ht="18" customHeight="1" x14ac:dyDescent="0.2">
      <c r="A81" s="3"/>
      <c r="B81" s="91"/>
      <c r="C81" s="92"/>
      <c r="D81" s="92"/>
      <c r="E81" s="92"/>
      <c r="F81" s="93"/>
      <c r="G81" s="94"/>
      <c r="H81" s="95"/>
      <c r="I81" s="95"/>
      <c r="J81" s="96"/>
      <c r="K81" s="91"/>
      <c r="L81" s="92"/>
      <c r="M81" s="92"/>
      <c r="N81" s="92"/>
      <c r="O81" s="92"/>
      <c r="P81" s="92"/>
      <c r="Q81" s="93"/>
      <c r="R81" s="94"/>
      <c r="S81" s="95"/>
      <c r="T81" s="95"/>
      <c r="U81" s="96"/>
      <c r="AA81" s="1" t="s">
        <v>131</v>
      </c>
    </row>
    <row r="82" spans="1:27" ht="18" customHeight="1" x14ac:dyDescent="0.2">
      <c r="A82" s="3"/>
      <c r="B82" s="84"/>
      <c r="C82" s="85"/>
      <c r="D82" s="85"/>
      <c r="E82" s="85"/>
      <c r="F82" s="86"/>
      <c r="G82" s="102"/>
      <c r="H82" s="103"/>
      <c r="I82" s="103"/>
      <c r="J82" s="104"/>
      <c r="K82" s="84"/>
      <c r="L82" s="85"/>
      <c r="M82" s="85"/>
      <c r="N82" s="85"/>
      <c r="O82" s="85"/>
      <c r="P82" s="85"/>
      <c r="Q82" s="86"/>
      <c r="R82" s="102"/>
      <c r="S82" s="103"/>
      <c r="T82" s="103"/>
      <c r="U82" s="104"/>
      <c r="AA82" s="1" t="s">
        <v>132</v>
      </c>
    </row>
    <row r="83" spans="1:27" ht="18" customHeight="1" x14ac:dyDescent="0.2">
      <c r="A83" s="3"/>
      <c r="B83" s="84"/>
      <c r="C83" s="85"/>
      <c r="D83" s="85"/>
      <c r="E83" s="85"/>
      <c r="F83" s="86"/>
      <c r="G83" s="102"/>
      <c r="H83" s="103"/>
      <c r="I83" s="103"/>
      <c r="J83" s="104"/>
      <c r="K83" s="84"/>
      <c r="L83" s="85"/>
      <c r="M83" s="85"/>
      <c r="N83" s="85"/>
      <c r="O83" s="85"/>
      <c r="P83" s="85"/>
      <c r="Q83" s="86"/>
      <c r="R83" s="102"/>
      <c r="S83" s="103"/>
      <c r="T83" s="103"/>
      <c r="U83" s="104"/>
      <c r="AA83" s="1" t="s">
        <v>133</v>
      </c>
    </row>
    <row r="84" spans="1:27" ht="18" customHeight="1" x14ac:dyDescent="0.2">
      <c r="A84" s="3"/>
      <c r="B84" s="84"/>
      <c r="C84" s="85"/>
      <c r="D84" s="85"/>
      <c r="E84" s="85"/>
      <c r="F84" s="86"/>
      <c r="G84" s="102"/>
      <c r="H84" s="103"/>
      <c r="I84" s="103"/>
      <c r="J84" s="104"/>
      <c r="K84" s="84"/>
      <c r="L84" s="85"/>
      <c r="M84" s="85"/>
      <c r="N84" s="85"/>
      <c r="O84" s="85"/>
      <c r="P84" s="85"/>
      <c r="Q84" s="86"/>
      <c r="R84" s="102"/>
      <c r="S84" s="103"/>
      <c r="T84" s="103"/>
      <c r="U84" s="104"/>
      <c r="AA84" s="1" t="s">
        <v>139</v>
      </c>
    </row>
    <row r="85" spans="1:27" ht="18" customHeight="1" x14ac:dyDescent="0.2">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x14ac:dyDescent="0.2">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x14ac:dyDescent="0.2">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101</v>
      </c>
      <c r="AA89" s="1" t="s">
        <v>137</v>
      </c>
    </row>
    <row r="90" spans="1:27" ht="18.75" customHeight="1" x14ac:dyDescent="0.2">
      <c r="B90" s="125" t="s">
        <v>48</v>
      </c>
      <c r="C90" s="126"/>
      <c r="D90" s="97" t="s">
        <v>49</v>
      </c>
      <c r="E90" s="98"/>
      <c r="F90" s="98"/>
      <c r="G90" s="98"/>
      <c r="H90" s="98"/>
      <c r="I90" s="98"/>
      <c r="J90" s="98"/>
      <c r="K90" s="98"/>
      <c r="L90" s="98"/>
      <c r="M90" s="98"/>
      <c r="N90" s="98"/>
      <c r="O90" s="98"/>
      <c r="P90" s="98"/>
      <c r="Q90" s="98"/>
      <c r="R90" s="98"/>
      <c r="S90" s="98"/>
      <c r="T90" s="98"/>
      <c r="U90" s="99"/>
    </row>
    <row r="91" spans="1:27" ht="97.5" customHeight="1" x14ac:dyDescent="0.2">
      <c r="B91" s="100" t="s">
        <v>55</v>
      </c>
      <c r="C91" s="64" t="s">
        <v>50</v>
      </c>
      <c r="D91" s="134" t="s">
        <v>193</v>
      </c>
      <c r="E91" s="135"/>
      <c r="F91" s="135"/>
      <c r="G91" s="135"/>
      <c r="H91" s="135"/>
      <c r="I91" s="135"/>
      <c r="J91" s="135"/>
      <c r="K91" s="135"/>
      <c r="L91" s="135"/>
      <c r="M91" s="135"/>
      <c r="N91" s="135"/>
      <c r="O91" s="135"/>
      <c r="P91" s="135"/>
      <c r="Q91" s="135"/>
      <c r="R91" s="135"/>
      <c r="S91" s="135"/>
      <c r="T91" s="135"/>
      <c r="U91" s="136"/>
    </row>
    <row r="92" spans="1:27" ht="97.5" customHeight="1" x14ac:dyDescent="0.2">
      <c r="B92" s="124"/>
      <c r="C92" s="65" t="s">
        <v>69</v>
      </c>
      <c r="D92" s="131" t="s">
        <v>194</v>
      </c>
      <c r="E92" s="132"/>
      <c r="F92" s="132"/>
      <c r="G92" s="132"/>
      <c r="H92" s="132"/>
      <c r="I92" s="132"/>
      <c r="J92" s="132"/>
      <c r="K92" s="132"/>
      <c r="L92" s="132"/>
      <c r="M92" s="132"/>
      <c r="N92" s="132"/>
      <c r="O92" s="132"/>
      <c r="P92" s="132"/>
      <c r="Q92" s="132"/>
      <c r="R92" s="132"/>
      <c r="S92" s="132"/>
      <c r="T92" s="132"/>
      <c r="U92" s="133"/>
    </row>
    <row r="93" spans="1:27" ht="97.5" customHeight="1" x14ac:dyDescent="0.2">
      <c r="B93" s="100" t="s">
        <v>56</v>
      </c>
      <c r="C93" s="66" t="s">
        <v>63</v>
      </c>
      <c r="D93" s="134" t="s">
        <v>195</v>
      </c>
      <c r="E93" s="135"/>
      <c r="F93" s="135"/>
      <c r="G93" s="135"/>
      <c r="H93" s="135"/>
      <c r="I93" s="135"/>
      <c r="J93" s="135"/>
      <c r="K93" s="135"/>
      <c r="L93" s="135"/>
      <c r="M93" s="135"/>
      <c r="N93" s="135"/>
      <c r="O93" s="135"/>
      <c r="P93" s="135"/>
      <c r="Q93" s="135"/>
      <c r="R93" s="135"/>
      <c r="S93" s="135"/>
      <c r="T93" s="135"/>
      <c r="U93" s="136"/>
    </row>
    <row r="94" spans="1:27" ht="97.5" customHeight="1" x14ac:dyDescent="0.2">
      <c r="B94" s="101"/>
      <c r="C94" s="67" t="s">
        <v>64</v>
      </c>
      <c r="D94" s="131" t="s">
        <v>196</v>
      </c>
      <c r="E94" s="132"/>
      <c r="F94" s="132"/>
      <c r="G94" s="132"/>
      <c r="H94" s="132"/>
      <c r="I94" s="132"/>
      <c r="J94" s="132"/>
      <c r="K94" s="132"/>
      <c r="L94" s="132"/>
      <c r="M94" s="132"/>
      <c r="N94" s="132"/>
      <c r="O94" s="132"/>
      <c r="P94" s="132"/>
      <c r="Q94" s="132"/>
      <c r="R94" s="132"/>
      <c r="S94" s="132"/>
      <c r="T94" s="132"/>
      <c r="U94" s="133"/>
    </row>
    <row r="95" spans="1:27" ht="97.5" customHeight="1" x14ac:dyDescent="0.2">
      <c r="B95" s="100" t="s">
        <v>57</v>
      </c>
      <c r="C95" s="66" t="s">
        <v>65</v>
      </c>
      <c r="D95" s="134" t="s">
        <v>197</v>
      </c>
      <c r="E95" s="135"/>
      <c r="F95" s="135"/>
      <c r="G95" s="135"/>
      <c r="H95" s="135"/>
      <c r="I95" s="135"/>
      <c r="J95" s="135"/>
      <c r="K95" s="135"/>
      <c r="L95" s="135"/>
      <c r="M95" s="135"/>
      <c r="N95" s="135"/>
      <c r="O95" s="135"/>
      <c r="P95" s="135"/>
      <c r="Q95" s="135"/>
      <c r="R95" s="135"/>
      <c r="S95" s="135"/>
      <c r="T95" s="135"/>
      <c r="U95" s="136"/>
    </row>
    <row r="96" spans="1:27" ht="97.5" customHeight="1" x14ac:dyDescent="0.2">
      <c r="B96" s="101"/>
      <c r="C96" s="68" t="s">
        <v>66</v>
      </c>
      <c r="D96" s="131" t="s">
        <v>198</v>
      </c>
      <c r="E96" s="132"/>
      <c r="F96" s="132"/>
      <c r="G96" s="132"/>
      <c r="H96" s="132"/>
      <c r="I96" s="132"/>
      <c r="J96" s="132"/>
      <c r="K96" s="132"/>
      <c r="L96" s="132"/>
      <c r="M96" s="132"/>
      <c r="N96" s="132"/>
      <c r="O96" s="132"/>
      <c r="P96" s="132"/>
      <c r="Q96" s="132"/>
      <c r="R96" s="132"/>
      <c r="S96" s="132"/>
      <c r="T96" s="132"/>
      <c r="U96" s="133"/>
    </row>
    <row r="97" spans="1:21" ht="97.5" customHeight="1" x14ac:dyDescent="0.2">
      <c r="B97" s="100" t="s">
        <v>70</v>
      </c>
      <c r="C97" s="64" t="s">
        <v>52</v>
      </c>
      <c r="D97" s="134" t="s">
        <v>239</v>
      </c>
      <c r="E97" s="135"/>
      <c r="F97" s="135"/>
      <c r="G97" s="135"/>
      <c r="H97" s="135"/>
      <c r="I97" s="135"/>
      <c r="J97" s="135"/>
      <c r="K97" s="135"/>
      <c r="L97" s="135"/>
      <c r="M97" s="135"/>
      <c r="N97" s="135"/>
      <c r="O97" s="135"/>
      <c r="P97" s="135"/>
      <c r="Q97" s="135"/>
      <c r="R97" s="135"/>
      <c r="S97" s="135"/>
      <c r="T97" s="135"/>
      <c r="U97" s="136"/>
    </row>
    <row r="98" spans="1:21" ht="97.5" customHeight="1" x14ac:dyDescent="0.2">
      <c r="B98" s="101"/>
      <c r="C98" s="67" t="s">
        <v>54</v>
      </c>
      <c r="D98" s="131" t="s">
        <v>221</v>
      </c>
      <c r="E98" s="132"/>
      <c r="F98" s="132"/>
      <c r="G98" s="132"/>
      <c r="H98" s="132"/>
      <c r="I98" s="132"/>
      <c r="J98" s="132"/>
      <c r="K98" s="132"/>
      <c r="L98" s="132"/>
      <c r="M98" s="132"/>
      <c r="N98" s="132"/>
      <c r="O98" s="132"/>
      <c r="P98" s="132"/>
      <c r="Q98" s="132"/>
      <c r="R98" s="132"/>
      <c r="S98" s="132"/>
      <c r="T98" s="132"/>
      <c r="U98" s="133"/>
    </row>
    <row r="99" spans="1:21" ht="97.5" customHeight="1" x14ac:dyDescent="0.2">
      <c r="B99" s="100" t="s">
        <v>71</v>
      </c>
      <c r="C99" s="66" t="s">
        <v>51</v>
      </c>
      <c r="D99" s="134" t="s">
        <v>209</v>
      </c>
      <c r="E99" s="135"/>
      <c r="F99" s="135"/>
      <c r="G99" s="135"/>
      <c r="H99" s="135"/>
      <c r="I99" s="135"/>
      <c r="J99" s="135"/>
      <c r="K99" s="135"/>
      <c r="L99" s="135"/>
      <c r="M99" s="135"/>
      <c r="N99" s="135"/>
      <c r="O99" s="135"/>
      <c r="P99" s="135"/>
      <c r="Q99" s="135"/>
      <c r="R99" s="135"/>
      <c r="S99" s="135"/>
      <c r="T99" s="135"/>
      <c r="U99" s="136"/>
    </row>
    <row r="100" spans="1:21" ht="97.5" customHeight="1" x14ac:dyDescent="0.2">
      <c r="B100" s="124"/>
      <c r="C100" s="69" t="s">
        <v>67</v>
      </c>
      <c r="D100" s="137" t="s">
        <v>208</v>
      </c>
      <c r="E100" s="138"/>
      <c r="F100" s="138"/>
      <c r="G100" s="138"/>
      <c r="H100" s="138"/>
      <c r="I100" s="138"/>
      <c r="J100" s="138"/>
      <c r="K100" s="138"/>
      <c r="L100" s="138"/>
      <c r="M100" s="138"/>
      <c r="N100" s="138"/>
      <c r="O100" s="138"/>
      <c r="P100" s="138"/>
      <c r="Q100" s="138"/>
      <c r="R100" s="138"/>
      <c r="S100" s="138"/>
      <c r="T100" s="138"/>
      <c r="U100" s="139"/>
    </row>
    <row r="101" spans="1:21" ht="97.5" customHeight="1" x14ac:dyDescent="0.2">
      <c r="B101" s="101"/>
      <c r="C101" s="68" t="s">
        <v>68</v>
      </c>
      <c r="D101" s="131" t="s">
        <v>199</v>
      </c>
      <c r="E101" s="132"/>
      <c r="F101" s="132"/>
      <c r="G101" s="132"/>
      <c r="H101" s="132"/>
      <c r="I101" s="132"/>
      <c r="J101" s="132"/>
      <c r="K101" s="132"/>
      <c r="L101" s="132"/>
      <c r="M101" s="132"/>
      <c r="N101" s="132"/>
      <c r="O101" s="132"/>
      <c r="P101" s="132"/>
      <c r="Q101" s="132"/>
      <c r="R101" s="132"/>
      <c r="S101" s="132"/>
      <c r="T101" s="132"/>
      <c r="U101" s="133"/>
    </row>
    <row r="102" spans="1:21" ht="6" customHeight="1" x14ac:dyDescent="0.2"/>
    <row r="103" spans="1:21" ht="18.75" customHeight="1" x14ac:dyDescent="0.2">
      <c r="A103" s="1" t="s">
        <v>102</v>
      </c>
    </row>
    <row r="104" spans="1:21" ht="81.75" customHeight="1" x14ac:dyDescent="0.2">
      <c r="B104" s="118" t="s">
        <v>179</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2"/>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7" priority="1">
      <formula>$L$7="学部・学科によって、修了要件は相違しない"</formula>
    </cfRule>
    <cfRule type="expression" dxfId="6" priority="2">
      <formula>$L$9="学部・学科によって、修了要件は相違しない"</formula>
    </cfRule>
  </conditionalFormatting>
  <dataValidations count="6">
    <dataValidation type="list" allowBlank="1" showInputMessage="1" showErrorMessage="1" sqref="G81:J87 R81:U87" xr:uid="{D4479612-7F3E-48C5-8ADC-43F144076DA6}">
      <formula1>$AA$80:$AA$89</formula1>
    </dataValidation>
    <dataValidation type="list" allowBlank="1" showInputMessage="1" showErrorMessage="1" sqref="N22:U22" xr:uid="{D7E653B2-7689-4769-A654-2478D3C6528B}">
      <formula1>$X$16:$X$18</formula1>
    </dataValidation>
    <dataValidation type="list" allowBlank="1" showInputMessage="1" showErrorMessage="1" sqref="G88:J88 R88:U88" xr:uid="{F7A62C39-EF3D-4D65-A815-AA394B80594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91593768-90CC-47B6-A794-B06B611F81F9}">
      <formula1>"学部・学科によって、修了要件は相違する,学部・学科によって、修了要件は相違しない"</formula1>
    </dataValidation>
    <dataValidation type="list" allowBlank="1" showInputMessage="1" showErrorMessage="1" sqref="U34 U45 E34:H34 E45:H45" xr:uid="{85DDB005-A9B4-4FFA-8798-32272EC6E02B}">
      <formula1>"全学開講,一部開講"</formula1>
    </dataValidation>
    <dataValidation type="list" allowBlank="1" showInputMessage="1" showErrorMessage="1" sqref="H27:J33 S27:U33 H38:J44 S38:U44 H49:J55 S49:U55 H60:J66 S60:U66 G71:J77 R71:U77" xr:uid="{92A2536F-5CCC-43AD-86D9-381401D62CA6}">
      <formula1>"○"</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&amp;C数理・データサイエンス・AI教育プログラム認定制度【リテラシーレベル】令和7年度申請用</oddHeader>
  </headerFooter>
  <rowBreaks count="2" manualBreakCount="2">
    <brk id="67" max="16383" man="1"/>
    <brk id="9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268A7-FDC4-4BEF-AF1F-BF2FD205C1E8}">
  <sheetPr>
    <pageSetUpPr fitToPage="1"/>
  </sheetPr>
  <dimension ref="A1:AA107"/>
  <sheetViews>
    <sheetView showZeros="0" view="pageBreakPreview" topLeftCell="A40" zoomScaleNormal="100" zoomScaleSheetLayoutView="100" workbookViewId="0">
      <selection activeCell="G71" sqref="G71"/>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7" t="s">
        <v>200</v>
      </c>
      <c r="U1" s="127"/>
      <c r="V1" s="2" t="s">
        <v>93</v>
      </c>
    </row>
    <row r="2" spans="1:24" ht="18.75" customHeight="1" x14ac:dyDescent="0.2">
      <c r="B2" s="15" t="s">
        <v>92</v>
      </c>
      <c r="C2" s="97" t="s">
        <v>152</v>
      </c>
      <c r="D2" s="98"/>
      <c r="E2" s="98"/>
      <c r="F2" s="98"/>
      <c r="G2" s="98"/>
      <c r="H2" s="98"/>
      <c r="I2" s="98"/>
      <c r="J2" s="99"/>
      <c r="K2" s="16"/>
      <c r="L2" s="6"/>
      <c r="M2" s="6"/>
      <c r="N2" s="6"/>
      <c r="O2" s="6"/>
      <c r="P2" s="6"/>
      <c r="Q2" s="6"/>
      <c r="R2" s="6"/>
      <c r="S2" s="6"/>
      <c r="T2" s="6"/>
      <c r="U2" s="6"/>
    </row>
    <row r="3" spans="1:24" ht="18.75" customHeight="1" x14ac:dyDescent="0.2">
      <c r="B3" s="15" t="s">
        <v>87</v>
      </c>
      <c r="C3" s="128" t="s">
        <v>153</v>
      </c>
      <c r="D3" s="129"/>
      <c r="E3" s="129"/>
      <c r="F3" s="129"/>
      <c r="G3" s="129"/>
      <c r="H3" s="129"/>
      <c r="I3" s="129"/>
      <c r="J3" s="130"/>
      <c r="K3" s="16"/>
      <c r="L3" s="6"/>
      <c r="M3" s="6"/>
      <c r="N3" s="6"/>
      <c r="O3" s="6"/>
      <c r="P3" s="6"/>
      <c r="Q3" s="6"/>
      <c r="R3" s="6"/>
      <c r="S3" s="6"/>
      <c r="T3" s="6"/>
      <c r="U3" s="6"/>
    </row>
    <row r="4" spans="1:24" ht="15" customHeight="1" x14ac:dyDescent="0.2">
      <c r="L4" s="16"/>
      <c r="M4" s="70"/>
      <c r="N4" s="70"/>
      <c r="O4" s="70"/>
      <c r="P4" s="70"/>
      <c r="Q4" s="70"/>
      <c r="R4" s="70"/>
      <c r="S4" s="70"/>
      <c r="T4" s="70"/>
      <c r="U4" s="70"/>
    </row>
    <row r="5" spans="1:24" ht="18" customHeight="1" x14ac:dyDescent="0.2">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3" t="s">
        <v>116</v>
      </c>
      <c r="M7" s="144"/>
      <c r="N7" s="144"/>
      <c r="O7" s="144"/>
      <c r="P7" s="144"/>
      <c r="Q7" s="144"/>
      <c r="R7" s="144"/>
      <c r="S7" s="144"/>
      <c r="T7" s="144"/>
      <c r="U7" s="145"/>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6"/>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46" t="s">
        <v>145</v>
      </c>
      <c r="C11" s="147"/>
      <c r="D11" s="147"/>
      <c r="E11" s="147"/>
      <c r="F11" s="147"/>
      <c r="G11" s="147"/>
      <c r="H11" s="147"/>
      <c r="I11" s="147"/>
      <c r="J11" s="147"/>
      <c r="K11" s="147"/>
      <c r="L11" s="147"/>
      <c r="M11" s="147"/>
      <c r="N11" s="147"/>
      <c r="O11" s="147"/>
      <c r="P11" s="147"/>
      <c r="Q11" s="147"/>
      <c r="R11" s="147"/>
      <c r="S11" s="147"/>
      <c r="T11" s="147"/>
      <c r="U11" s="148"/>
    </row>
    <row r="12" spans="1:24" ht="18" customHeight="1" x14ac:dyDescent="0.2">
      <c r="B12" s="149"/>
      <c r="C12" s="150"/>
      <c r="D12" s="150"/>
      <c r="E12" s="150"/>
      <c r="F12" s="150"/>
      <c r="G12" s="150"/>
      <c r="H12" s="150"/>
      <c r="I12" s="150"/>
      <c r="J12" s="150"/>
      <c r="K12" s="150"/>
      <c r="L12" s="150"/>
      <c r="M12" s="150"/>
      <c r="N12" s="150"/>
      <c r="O12" s="150"/>
      <c r="P12" s="150"/>
      <c r="Q12" s="150"/>
      <c r="R12" s="150"/>
      <c r="S12" s="150"/>
      <c r="T12" s="150"/>
      <c r="U12" s="151"/>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94</v>
      </c>
      <c r="B14" s="3"/>
      <c r="C14" s="3"/>
      <c r="D14" s="3"/>
      <c r="E14" s="16"/>
      <c r="F14" s="16"/>
      <c r="G14" s="16"/>
      <c r="H14" s="16"/>
      <c r="I14" s="16"/>
      <c r="J14" s="16"/>
      <c r="K14" s="16"/>
      <c r="L14" s="71"/>
      <c r="M14" s="71"/>
      <c r="N14" s="71"/>
      <c r="O14" s="71"/>
      <c r="P14" s="71"/>
      <c r="Q14" s="71"/>
      <c r="R14" s="71"/>
      <c r="S14" s="71"/>
      <c r="T14" s="71"/>
      <c r="U14" s="71"/>
    </row>
    <row r="15" spans="1:24" ht="18" customHeight="1" x14ac:dyDescent="0.2">
      <c r="B15" s="109" t="s">
        <v>260</v>
      </c>
      <c r="C15" s="110"/>
      <c r="D15" s="110"/>
      <c r="E15" s="110"/>
      <c r="F15" s="110"/>
      <c r="G15" s="110"/>
      <c r="H15" s="110"/>
      <c r="I15" s="110"/>
      <c r="J15" s="110"/>
      <c r="K15" s="110"/>
      <c r="L15" s="110"/>
      <c r="M15" s="110"/>
      <c r="N15" s="110"/>
      <c r="O15" s="110"/>
      <c r="P15" s="110"/>
      <c r="Q15" s="110"/>
      <c r="R15" s="110"/>
      <c r="S15" s="110"/>
      <c r="T15" s="110"/>
      <c r="U15" s="111"/>
      <c r="X15" s="1" t="s">
        <v>88</v>
      </c>
    </row>
    <row r="16" spans="1:24" ht="18"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2">
        <v>4</v>
      </c>
      <c r="F22" s="1" t="s">
        <v>106</v>
      </c>
      <c r="H22" s="17">
        <v>8</v>
      </c>
      <c r="I22" s="3" t="s">
        <v>107</v>
      </c>
      <c r="J22" s="3"/>
      <c r="K22" s="16"/>
      <c r="M22" s="16" t="s">
        <v>103</v>
      </c>
      <c r="N22" s="140" t="s">
        <v>124</v>
      </c>
      <c r="O22" s="141"/>
      <c r="P22" s="141"/>
      <c r="Q22" s="141"/>
      <c r="R22" s="141"/>
      <c r="S22" s="141"/>
      <c r="T22" s="141"/>
      <c r="U22" s="142"/>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0" t="s">
        <v>95</v>
      </c>
      <c r="B24" s="90"/>
      <c r="C24" s="90"/>
      <c r="D24" s="90"/>
      <c r="E24" s="90"/>
      <c r="F24" s="90"/>
      <c r="G24" s="90"/>
      <c r="H24" s="90"/>
      <c r="I24" s="90"/>
      <c r="J24" s="90"/>
      <c r="K24" s="90"/>
      <c r="L24" s="90"/>
      <c r="M24" s="90"/>
      <c r="N24" s="90"/>
      <c r="O24" s="90"/>
      <c r="P24" s="90"/>
      <c r="Q24" s="90"/>
      <c r="R24" s="90"/>
      <c r="S24" s="90"/>
      <c r="T24" s="90"/>
      <c r="U24" s="90"/>
    </row>
    <row r="25" spans="1:24" ht="18" customHeight="1" x14ac:dyDescent="0.2">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2">
      <c r="B26" s="97" t="s">
        <v>47</v>
      </c>
      <c r="C26" s="98"/>
      <c r="D26" s="98"/>
      <c r="E26" s="98"/>
      <c r="F26" s="99"/>
      <c r="G26" s="56" t="s">
        <v>72</v>
      </c>
      <c r="H26" s="57" t="s">
        <v>75</v>
      </c>
      <c r="I26" s="58" t="s">
        <v>50</v>
      </c>
      <c r="J26" s="58" t="s">
        <v>53</v>
      </c>
      <c r="K26" s="97" t="s">
        <v>47</v>
      </c>
      <c r="L26" s="98"/>
      <c r="M26" s="98"/>
      <c r="N26" s="98"/>
      <c r="O26" s="98"/>
      <c r="P26" s="98"/>
      <c r="Q26" s="99"/>
      <c r="R26" s="56" t="s">
        <v>72</v>
      </c>
      <c r="S26" s="57" t="s">
        <v>75</v>
      </c>
      <c r="T26" s="58" t="s">
        <v>50</v>
      </c>
      <c r="U26" s="58" t="s">
        <v>53</v>
      </c>
    </row>
    <row r="27" spans="1:24" ht="18" customHeight="1" x14ac:dyDescent="0.2">
      <c r="B27" s="91" t="s">
        <v>201</v>
      </c>
      <c r="C27" s="92"/>
      <c r="D27" s="92"/>
      <c r="E27" s="92"/>
      <c r="F27" s="93"/>
      <c r="G27" s="59">
        <v>2</v>
      </c>
      <c r="H27" s="59" t="s">
        <v>171</v>
      </c>
      <c r="I27" s="59" t="s">
        <v>171</v>
      </c>
      <c r="J27" s="59" t="s">
        <v>171</v>
      </c>
      <c r="K27" s="91"/>
      <c r="L27" s="92"/>
      <c r="M27" s="92"/>
      <c r="N27" s="92"/>
      <c r="O27" s="92"/>
      <c r="P27" s="92"/>
      <c r="Q27" s="93"/>
      <c r="R27" s="59"/>
      <c r="S27" s="59"/>
      <c r="T27" s="59"/>
      <c r="U27" s="59"/>
    </row>
    <row r="28" spans="1:24" ht="18" customHeight="1" x14ac:dyDescent="0.2">
      <c r="B28" s="84"/>
      <c r="C28" s="85"/>
      <c r="D28" s="85"/>
      <c r="E28" s="85"/>
      <c r="F28" s="86"/>
      <c r="G28" s="60"/>
      <c r="H28" s="60"/>
      <c r="I28" s="60"/>
      <c r="J28" s="60"/>
      <c r="K28" s="84"/>
      <c r="L28" s="85"/>
      <c r="M28" s="85"/>
      <c r="N28" s="85"/>
      <c r="O28" s="85"/>
      <c r="P28" s="85"/>
      <c r="Q28" s="86"/>
      <c r="R28" s="60"/>
      <c r="S28" s="60"/>
      <c r="T28" s="60"/>
      <c r="U28" s="60"/>
    </row>
    <row r="29" spans="1:24" ht="18" customHeight="1" x14ac:dyDescent="0.2">
      <c r="B29" s="84"/>
      <c r="C29" s="85"/>
      <c r="D29" s="85"/>
      <c r="E29" s="85"/>
      <c r="F29" s="86"/>
      <c r="G29" s="60"/>
      <c r="H29" s="60"/>
      <c r="I29" s="60"/>
      <c r="J29" s="60"/>
      <c r="K29" s="84"/>
      <c r="L29" s="85"/>
      <c r="M29" s="85"/>
      <c r="N29" s="85"/>
      <c r="O29" s="85"/>
      <c r="P29" s="85"/>
      <c r="Q29" s="86"/>
      <c r="R29" s="60"/>
      <c r="S29" s="60"/>
      <c r="T29" s="60"/>
      <c r="U29" s="60"/>
    </row>
    <row r="30" spans="1:24" ht="18" customHeight="1" x14ac:dyDescent="0.2">
      <c r="B30" s="84"/>
      <c r="C30" s="85"/>
      <c r="D30" s="85"/>
      <c r="E30" s="85"/>
      <c r="F30" s="86"/>
      <c r="G30" s="60"/>
      <c r="H30" s="60"/>
      <c r="I30" s="60"/>
      <c r="J30" s="60"/>
      <c r="K30" s="84"/>
      <c r="L30" s="85"/>
      <c r="M30" s="85"/>
      <c r="N30" s="85"/>
      <c r="O30" s="85"/>
      <c r="P30" s="85"/>
      <c r="Q30" s="86"/>
      <c r="R30" s="60"/>
      <c r="S30" s="60"/>
      <c r="T30" s="60"/>
      <c r="U30" s="60"/>
    </row>
    <row r="31" spans="1:24" ht="18" customHeight="1" x14ac:dyDescent="0.2">
      <c r="B31" s="84"/>
      <c r="C31" s="85"/>
      <c r="D31" s="85"/>
      <c r="E31" s="85"/>
      <c r="F31" s="86"/>
      <c r="G31" s="60"/>
      <c r="H31" s="60"/>
      <c r="I31" s="60"/>
      <c r="J31" s="60"/>
      <c r="K31" s="84"/>
      <c r="L31" s="85"/>
      <c r="M31" s="85"/>
      <c r="N31" s="85"/>
      <c r="O31" s="85"/>
      <c r="P31" s="85"/>
      <c r="Q31" s="86"/>
      <c r="R31" s="60"/>
      <c r="S31" s="60"/>
      <c r="T31" s="60"/>
      <c r="U31" s="60"/>
    </row>
    <row r="32" spans="1:24" ht="18" customHeight="1" x14ac:dyDescent="0.2">
      <c r="A32" s="3"/>
      <c r="B32" s="84"/>
      <c r="C32" s="85"/>
      <c r="D32" s="85"/>
      <c r="E32" s="85"/>
      <c r="F32" s="86"/>
      <c r="G32" s="60"/>
      <c r="H32" s="60"/>
      <c r="I32" s="60"/>
      <c r="J32" s="60"/>
      <c r="K32" s="84"/>
      <c r="L32" s="85"/>
      <c r="M32" s="85"/>
      <c r="N32" s="85"/>
      <c r="O32" s="85"/>
      <c r="P32" s="85"/>
      <c r="Q32" s="86"/>
      <c r="R32" s="60"/>
      <c r="S32" s="60"/>
      <c r="T32" s="60"/>
      <c r="U32" s="60"/>
    </row>
    <row r="33" spans="1:21" ht="18" customHeight="1" x14ac:dyDescent="0.2">
      <c r="A33" s="3"/>
      <c r="B33" s="87"/>
      <c r="C33" s="88"/>
      <c r="D33" s="88"/>
      <c r="E33" s="88"/>
      <c r="F33" s="89"/>
      <c r="G33" s="61"/>
      <c r="H33" s="61"/>
      <c r="I33" s="62"/>
      <c r="J33" s="62"/>
      <c r="K33" s="87"/>
      <c r="L33" s="88"/>
      <c r="M33" s="88"/>
      <c r="N33" s="88"/>
      <c r="O33" s="88"/>
      <c r="P33" s="88"/>
      <c r="Q33" s="89"/>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0" t="s">
        <v>96</v>
      </c>
      <c r="B35" s="90"/>
      <c r="C35" s="90"/>
      <c r="D35" s="90"/>
      <c r="E35" s="90"/>
      <c r="F35" s="90"/>
      <c r="G35" s="90"/>
      <c r="H35" s="90"/>
      <c r="I35" s="90"/>
      <c r="J35" s="90"/>
      <c r="K35" s="90"/>
      <c r="L35" s="90"/>
      <c r="M35" s="90"/>
      <c r="N35" s="90"/>
      <c r="O35" s="90"/>
      <c r="P35" s="90"/>
      <c r="Q35" s="90"/>
      <c r="R35" s="90"/>
      <c r="S35" s="90"/>
      <c r="T35" s="90"/>
      <c r="U35" s="90"/>
    </row>
    <row r="36" spans="1:21" ht="18" customHeight="1" x14ac:dyDescent="0.2">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2">
      <c r="B37" s="97" t="s">
        <v>47</v>
      </c>
      <c r="C37" s="98"/>
      <c r="D37" s="98"/>
      <c r="E37" s="98"/>
      <c r="F37" s="99"/>
      <c r="G37" s="56" t="s">
        <v>72</v>
      </c>
      <c r="H37" s="57" t="s">
        <v>75</v>
      </c>
      <c r="I37" s="58" t="s">
        <v>63</v>
      </c>
      <c r="J37" s="58" t="s">
        <v>64</v>
      </c>
      <c r="K37" s="97" t="s">
        <v>47</v>
      </c>
      <c r="L37" s="98"/>
      <c r="M37" s="98"/>
      <c r="N37" s="98"/>
      <c r="O37" s="98"/>
      <c r="P37" s="98"/>
      <c r="Q37" s="99"/>
      <c r="R37" s="56" t="s">
        <v>72</v>
      </c>
      <c r="S37" s="57" t="s">
        <v>75</v>
      </c>
      <c r="T37" s="58" t="s">
        <v>63</v>
      </c>
      <c r="U37" s="58" t="s">
        <v>64</v>
      </c>
    </row>
    <row r="38" spans="1:21" ht="18" customHeight="1" x14ac:dyDescent="0.2">
      <c r="B38" s="91" t="s">
        <v>201</v>
      </c>
      <c r="C38" s="92"/>
      <c r="D38" s="92"/>
      <c r="E38" s="92"/>
      <c r="F38" s="93"/>
      <c r="G38" s="59">
        <v>2</v>
      </c>
      <c r="H38" s="59" t="s">
        <v>171</v>
      </c>
      <c r="I38" s="59" t="s">
        <v>171</v>
      </c>
      <c r="J38" s="59" t="s">
        <v>171</v>
      </c>
      <c r="K38" s="91"/>
      <c r="L38" s="92"/>
      <c r="M38" s="92"/>
      <c r="N38" s="92"/>
      <c r="O38" s="92"/>
      <c r="P38" s="92"/>
      <c r="Q38" s="93"/>
      <c r="R38" s="59"/>
      <c r="S38" s="59"/>
      <c r="T38" s="59"/>
      <c r="U38" s="59"/>
    </row>
    <row r="39" spans="1:21" ht="18" customHeight="1" x14ac:dyDescent="0.2">
      <c r="B39" s="84" t="s">
        <v>202</v>
      </c>
      <c r="C39" s="85"/>
      <c r="D39" s="85"/>
      <c r="E39" s="85"/>
      <c r="F39" s="86"/>
      <c r="G39" s="60">
        <v>2</v>
      </c>
      <c r="H39" s="60" t="s">
        <v>171</v>
      </c>
      <c r="I39" s="60" t="s">
        <v>171</v>
      </c>
      <c r="J39" s="60"/>
      <c r="K39" s="84"/>
      <c r="L39" s="85"/>
      <c r="M39" s="85"/>
      <c r="N39" s="85"/>
      <c r="O39" s="85"/>
      <c r="P39" s="85"/>
      <c r="Q39" s="86"/>
      <c r="R39" s="60"/>
      <c r="S39" s="60"/>
      <c r="T39" s="60"/>
      <c r="U39" s="60"/>
    </row>
    <row r="40" spans="1:21" ht="18" customHeight="1" x14ac:dyDescent="0.2">
      <c r="B40" s="84"/>
      <c r="C40" s="85"/>
      <c r="D40" s="85"/>
      <c r="E40" s="85"/>
      <c r="F40" s="86"/>
      <c r="G40" s="60"/>
      <c r="H40" s="60"/>
      <c r="I40" s="60"/>
      <c r="J40" s="60"/>
      <c r="K40" s="84"/>
      <c r="L40" s="85"/>
      <c r="M40" s="85"/>
      <c r="N40" s="85"/>
      <c r="O40" s="85"/>
      <c r="P40" s="85"/>
      <c r="Q40" s="86"/>
      <c r="R40" s="60"/>
      <c r="S40" s="60"/>
      <c r="T40" s="60"/>
      <c r="U40" s="60"/>
    </row>
    <row r="41" spans="1:21" ht="18" customHeight="1" x14ac:dyDescent="0.2">
      <c r="B41" s="84"/>
      <c r="C41" s="85"/>
      <c r="D41" s="85"/>
      <c r="E41" s="85"/>
      <c r="F41" s="86"/>
      <c r="G41" s="60"/>
      <c r="H41" s="60"/>
      <c r="I41" s="60"/>
      <c r="J41" s="60"/>
      <c r="K41" s="84"/>
      <c r="L41" s="85"/>
      <c r="M41" s="85"/>
      <c r="N41" s="85"/>
      <c r="O41" s="85"/>
      <c r="P41" s="85"/>
      <c r="Q41" s="86"/>
      <c r="R41" s="60"/>
      <c r="S41" s="60"/>
      <c r="T41" s="60"/>
      <c r="U41" s="60"/>
    </row>
    <row r="42" spans="1:21" ht="18" customHeight="1" x14ac:dyDescent="0.2">
      <c r="B42" s="84"/>
      <c r="C42" s="85"/>
      <c r="D42" s="85"/>
      <c r="E42" s="85"/>
      <c r="F42" s="86"/>
      <c r="G42" s="60"/>
      <c r="H42" s="60"/>
      <c r="I42" s="60"/>
      <c r="J42" s="60"/>
      <c r="K42" s="84"/>
      <c r="L42" s="85"/>
      <c r="M42" s="85"/>
      <c r="N42" s="85"/>
      <c r="O42" s="85"/>
      <c r="P42" s="85"/>
      <c r="Q42" s="86"/>
      <c r="R42" s="60"/>
      <c r="S42" s="60"/>
      <c r="T42" s="60"/>
      <c r="U42" s="60"/>
    </row>
    <row r="43" spans="1:21" ht="18" customHeight="1" x14ac:dyDescent="0.2">
      <c r="B43" s="84"/>
      <c r="C43" s="85"/>
      <c r="D43" s="85"/>
      <c r="E43" s="85"/>
      <c r="F43" s="86"/>
      <c r="G43" s="60"/>
      <c r="H43" s="60"/>
      <c r="I43" s="60"/>
      <c r="J43" s="60"/>
      <c r="K43" s="84"/>
      <c r="L43" s="85"/>
      <c r="M43" s="85"/>
      <c r="N43" s="85"/>
      <c r="O43" s="85"/>
      <c r="P43" s="85"/>
      <c r="Q43" s="86"/>
      <c r="R43" s="60"/>
      <c r="S43" s="60"/>
      <c r="T43" s="60"/>
      <c r="U43" s="60"/>
    </row>
    <row r="44" spans="1:21" ht="18" customHeight="1" x14ac:dyDescent="0.2">
      <c r="B44" s="87"/>
      <c r="C44" s="88"/>
      <c r="D44" s="88"/>
      <c r="E44" s="88"/>
      <c r="F44" s="89"/>
      <c r="G44" s="61"/>
      <c r="H44" s="61"/>
      <c r="I44" s="62"/>
      <c r="J44" s="62"/>
      <c r="K44" s="87"/>
      <c r="L44" s="88"/>
      <c r="M44" s="88"/>
      <c r="N44" s="88"/>
      <c r="O44" s="88"/>
      <c r="P44" s="88"/>
      <c r="Q44" s="89"/>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0" t="s">
        <v>97</v>
      </c>
      <c r="B46" s="90"/>
      <c r="C46" s="90"/>
      <c r="D46" s="90"/>
      <c r="E46" s="90"/>
      <c r="F46" s="90"/>
      <c r="G46" s="90"/>
      <c r="H46" s="90"/>
      <c r="I46" s="90"/>
      <c r="J46" s="90"/>
      <c r="K46" s="90"/>
      <c r="L46" s="90"/>
      <c r="M46" s="90"/>
      <c r="N46" s="90"/>
      <c r="O46" s="90"/>
      <c r="P46" s="90"/>
      <c r="Q46" s="90"/>
      <c r="R46" s="90"/>
      <c r="S46" s="90"/>
      <c r="T46" s="90"/>
      <c r="U46" s="90"/>
    </row>
    <row r="47" spans="1:21" ht="18" customHeight="1" x14ac:dyDescent="0.2">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2">
      <c r="B48" s="97" t="s">
        <v>47</v>
      </c>
      <c r="C48" s="98"/>
      <c r="D48" s="98"/>
      <c r="E48" s="98"/>
      <c r="F48" s="99"/>
      <c r="G48" s="56" t="s">
        <v>72</v>
      </c>
      <c r="H48" s="57" t="s">
        <v>75</v>
      </c>
      <c r="I48" s="58" t="s">
        <v>65</v>
      </c>
      <c r="J48" s="58" t="s">
        <v>66</v>
      </c>
      <c r="K48" s="97" t="s">
        <v>47</v>
      </c>
      <c r="L48" s="98"/>
      <c r="M48" s="98"/>
      <c r="N48" s="98"/>
      <c r="O48" s="98"/>
      <c r="P48" s="98"/>
      <c r="Q48" s="99"/>
      <c r="R48" s="56" t="s">
        <v>72</v>
      </c>
      <c r="S48" s="57" t="s">
        <v>75</v>
      </c>
      <c r="T48" s="58" t="s">
        <v>65</v>
      </c>
      <c r="U48" s="58" t="s">
        <v>66</v>
      </c>
    </row>
    <row r="49" spans="1:21" ht="18" customHeight="1" x14ac:dyDescent="0.2">
      <c r="A49" s="3"/>
      <c r="B49" s="91" t="s">
        <v>201</v>
      </c>
      <c r="C49" s="92"/>
      <c r="D49" s="92"/>
      <c r="E49" s="92"/>
      <c r="F49" s="93"/>
      <c r="G49" s="59">
        <v>2</v>
      </c>
      <c r="H49" s="59" t="s">
        <v>171</v>
      </c>
      <c r="I49" s="59" t="s">
        <v>171</v>
      </c>
      <c r="J49" s="59" t="s">
        <v>171</v>
      </c>
      <c r="K49" s="91"/>
      <c r="L49" s="92"/>
      <c r="M49" s="92"/>
      <c r="N49" s="92"/>
      <c r="O49" s="92"/>
      <c r="P49" s="92"/>
      <c r="Q49" s="93"/>
      <c r="R49" s="59"/>
      <c r="S49" s="59"/>
      <c r="T49" s="59"/>
      <c r="U49" s="59"/>
    </row>
    <row r="50" spans="1:21" ht="18" customHeight="1" x14ac:dyDescent="0.2">
      <c r="A50" s="3"/>
      <c r="B50" s="84"/>
      <c r="C50" s="85"/>
      <c r="D50" s="85"/>
      <c r="E50" s="85"/>
      <c r="F50" s="86"/>
      <c r="G50" s="60"/>
      <c r="H50" s="60"/>
      <c r="I50" s="60"/>
      <c r="J50" s="60"/>
      <c r="K50" s="84"/>
      <c r="L50" s="85"/>
      <c r="M50" s="85"/>
      <c r="N50" s="85"/>
      <c r="O50" s="85"/>
      <c r="P50" s="85"/>
      <c r="Q50" s="86"/>
      <c r="R50" s="60"/>
      <c r="S50" s="60"/>
      <c r="T50" s="60"/>
      <c r="U50" s="60"/>
    </row>
    <row r="51" spans="1:21" ht="18" customHeight="1" x14ac:dyDescent="0.2">
      <c r="A51" s="3"/>
      <c r="B51" s="84"/>
      <c r="C51" s="85"/>
      <c r="D51" s="85"/>
      <c r="E51" s="85"/>
      <c r="F51" s="86"/>
      <c r="G51" s="60"/>
      <c r="H51" s="60"/>
      <c r="I51" s="60"/>
      <c r="J51" s="60"/>
      <c r="K51" s="84"/>
      <c r="L51" s="85"/>
      <c r="M51" s="85"/>
      <c r="N51" s="85"/>
      <c r="O51" s="85"/>
      <c r="P51" s="85"/>
      <c r="Q51" s="86"/>
      <c r="R51" s="60"/>
      <c r="S51" s="60"/>
      <c r="T51" s="60"/>
      <c r="U51" s="60"/>
    </row>
    <row r="52" spans="1:21" ht="18" customHeight="1" x14ac:dyDescent="0.2">
      <c r="A52" s="3"/>
      <c r="B52" s="84"/>
      <c r="C52" s="85"/>
      <c r="D52" s="85"/>
      <c r="E52" s="85"/>
      <c r="F52" s="86"/>
      <c r="G52" s="60"/>
      <c r="H52" s="60"/>
      <c r="I52" s="60"/>
      <c r="J52" s="60"/>
      <c r="K52" s="84"/>
      <c r="L52" s="85"/>
      <c r="M52" s="85"/>
      <c r="N52" s="85"/>
      <c r="O52" s="85"/>
      <c r="P52" s="85"/>
      <c r="Q52" s="86"/>
      <c r="R52" s="60"/>
      <c r="S52" s="60"/>
      <c r="T52" s="60"/>
      <c r="U52" s="60"/>
    </row>
    <row r="53" spans="1:21" ht="18" customHeight="1" x14ac:dyDescent="0.2">
      <c r="A53" s="3"/>
      <c r="B53" s="84"/>
      <c r="C53" s="85"/>
      <c r="D53" s="85"/>
      <c r="E53" s="85"/>
      <c r="F53" s="86"/>
      <c r="G53" s="60"/>
      <c r="H53" s="60"/>
      <c r="I53" s="60"/>
      <c r="J53" s="60"/>
      <c r="K53" s="84"/>
      <c r="L53" s="85"/>
      <c r="M53" s="85"/>
      <c r="N53" s="85"/>
      <c r="O53" s="85"/>
      <c r="P53" s="85"/>
      <c r="Q53" s="86"/>
      <c r="R53" s="60"/>
      <c r="S53" s="60"/>
      <c r="T53" s="60"/>
      <c r="U53" s="60"/>
    </row>
    <row r="54" spans="1:21" ht="18" customHeight="1" x14ac:dyDescent="0.2">
      <c r="A54" s="3"/>
      <c r="B54" s="84"/>
      <c r="C54" s="85"/>
      <c r="D54" s="85"/>
      <c r="E54" s="85"/>
      <c r="F54" s="86"/>
      <c r="G54" s="60"/>
      <c r="H54" s="60"/>
      <c r="I54" s="60"/>
      <c r="J54" s="60"/>
      <c r="K54" s="84"/>
      <c r="L54" s="85"/>
      <c r="M54" s="85"/>
      <c r="N54" s="85"/>
      <c r="O54" s="85"/>
      <c r="P54" s="85"/>
      <c r="Q54" s="86"/>
      <c r="R54" s="60"/>
      <c r="S54" s="60"/>
      <c r="T54" s="60"/>
      <c r="U54" s="60"/>
    </row>
    <row r="55" spans="1:21" ht="18" customHeight="1" x14ac:dyDescent="0.2">
      <c r="A55" s="3"/>
      <c r="B55" s="87"/>
      <c r="C55" s="88"/>
      <c r="D55" s="88"/>
      <c r="E55" s="88"/>
      <c r="F55" s="89"/>
      <c r="G55" s="61"/>
      <c r="H55" s="61"/>
      <c r="I55" s="62"/>
      <c r="J55" s="62"/>
      <c r="K55" s="87"/>
      <c r="L55" s="88"/>
      <c r="M55" s="88"/>
      <c r="N55" s="88"/>
      <c r="O55" s="88"/>
      <c r="P55" s="88"/>
      <c r="Q55" s="89"/>
      <c r="R55" s="61"/>
      <c r="S55" s="61"/>
      <c r="T55" s="62"/>
      <c r="U55" s="62"/>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90" t="s">
        <v>98</v>
      </c>
      <c r="B57" s="90"/>
      <c r="C57" s="90"/>
      <c r="D57" s="90"/>
      <c r="E57" s="90"/>
      <c r="F57" s="90"/>
      <c r="G57" s="90"/>
      <c r="H57" s="90"/>
      <c r="I57" s="90"/>
      <c r="J57" s="90"/>
      <c r="K57" s="90"/>
      <c r="L57" s="90"/>
      <c r="M57" s="90"/>
      <c r="N57" s="90"/>
      <c r="O57" s="90"/>
      <c r="P57" s="90"/>
      <c r="Q57" s="90"/>
      <c r="R57" s="90"/>
      <c r="S57" s="90"/>
      <c r="T57" s="90"/>
      <c r="U57" s="90"/>
    </row>
    <row r="58" spans="1:21" ht="18" customHeight="1" x14ac:dyDescent="0.2">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2">
      <c r="B59" s="97" t="s">
        <v>47</v>
      </c>
      <c r="C59" s="98"/>
      <c r="D59" s="98"/>
      <c r="E59" s="98"/>
      <c r="F59" s="99"/>
      <c r="G59" s="56" t="s">
        <v>72</v>
      </c>
      <c r="H59" s="57" t="s">
        <v>75</v>
      </c>
      <c r="I59" s="58" t="s">
        <v>52</v>
      </c>
      <c r="J59" s="58" t="s">
        <v>54</v>
      </c>
      <c r="K59" s="97" t="s">
        <v>47</v>
      </c>
      <c r="L59" s="98"/>
      <c r="M59" s="98"/>
      <c r="N59" s="98"/>
      <c r="O59" s="98"/>
      <c r="P59" s="98"/>
      <c r="Q59" s="99"/>
      <c r="R59" s="56" t="s">
        <v>72</v>
      </c>
      <c r="S59" s="57" t="s">
        <v>75</v>
      </c>
      <c r="T59" s="58" t="s">
        <v>52</v>
      </c>
      <c r="U59" s="58" t="s">
        <v>54</v>
      </c>
    </row>
    <row r="60" spans="1:21" ht="18" customHeight="1" x14ac:dyDescent="0.2">
      <c r="A60" s="3"/>
      <c r="B60" s="91" t="s">
        <v>203</v>
      </c>
      <c r="C60" s="92"/>
      <c r="D60" s="92"/>
      <c r="E60" s="92"/>
      <c r="F60" s="93"/>
      <c r="G60" s="59">
        <v>2</v>
      </c>
      <c r="H60" s="59" t="s">
        <v>171</v>
      </c>
      <c r="I60" s="59" t="s">
        <v>171</v>
      </c>
      <c r="J60" s="59" t="s">
        <v>171</v>
      </c>
      <c r="K60" s="91"/>
      <c r="L60" s="92"/>
      <c r="M60" s="92"/>
      <c r="N60" s="92"/>
      <c r="O60" s="92"/>
      <c r="P60" s="92"/>
      <c r="Q60" s="93"/>
      <c r="R60" s="59"/>
      <c r="S60" s="59"/>
      <c r="T60" s="59"/>
      <c r="U60" s="59"/>
    </row>
    <row r="61" spans="1:21" ht="18" customHeight="1" x14ac:dyDescent="0.2">
      <c r="A61" s="3"/>
      <c r="B61" s="84" t="s">
        <v>204</v>
      </c>
      <c r="C61" s="85"/>
      <c r="D61" s="85"/>
      <c r="E61" s="85"/>
      <c r="F61" s="86"/>
      <c r="G61" s="60">
        <v>2</v>
      </c>
      <c r="H61" s="60" t="s">
        <v>171</v>
      </c>
      <c r="I61" s="60"/>
      <c r="J61" s="60" t="s">
        <v>171</v>
      </c>
      <c r="K61" s="84"/>
      <c r="L61" s="85"/>
      <c r="M61" s="85"/>
      <c r="N61" s="85"/>
      <c r="O61" s="85"/>
      <c r="P61" s="85"/>
      <c r="Q61" s="86"/>
      <c r="R61" s="60"/>
      <c r="S61" s="60"/>
      <c r="T61" s="60"/>
      <c r="U61" s="60"/>
    </row>
    <row r="62" spans="1:21" ht="18" customHeight="1" x14ac:dyDescent="0.2">
      <c r="A62" s="3"/>
      <c r="B62" s="84"/>
      <c r="C62" s="85"/>
      <c r="D62" s="85"/>
      <c r="E62" s="85"/>
      <c r="F62" s="86"/>
      <c r="G62" s="60"/>
      <c r="H62" s="60"/>
      <c r="I62" s="60"/>
      <c r="J62" s="60"/>
      <c r="K62" s="84"/>
      <c r="L62" s="85"/>
      <c r="M62" s="85"/>
      <c r="N62" s="85"/>
      <c r="O62" s="85"/>
      <c r="P62" s="85"/>
      <c r="Q62" s="86"/>
      <c r="R62" s="60"/>
      <c r="S62" s="60"/>
      <c r="T62" s="60"/>
      <c r="U62" s="60"/>
    </row>
    <row r="63" spans="1:21" ht="18" customHeight="1" x14ac:dyDescent="0.2">
      <c r="A63" s="3"/>
      <c r="B63" s="84"/>
      <c r="C63" s="85"/>
      <c r="D63" s="85"/>
      <c r="E63" s="85"/>
      <c r="F63" s="86"/>
      <c r="G63" s="60"/>
      <c r="H63" s="60"/>
      <c r="I63" s="60"/>
      <c r="J63" s="60"/>
      <c r="K63" s="84"/>
      <c r="L63" s="85"/>
      <c r="M63" s="85"/>
      <c r="N63" s="85"/>
      <c r="O63" s="85"/>
      <c r="P63" s="85"/>
      <c r="Q63" s="86"/>
      <c r="R63" s="60"/>
      <c r="S63" s="60"/>
      <c r="T63" s="60"/>
      <c r="U63" s="60"/>
    </row>
    <row r="64" spans="1:21" ht="18" customHeight="1" x14ac:dyDescent="0.2">
      <c r="A64" s="3"/>
      <c r="B64" s="84"/>
      <c r="C64" s="85"/>
      <c r="D64" s="85"/>
      <c r="E64" s="85"/>
      <c r="F64" s="86"/>
      <c r="G64" s="60"/>
      <c r="H64" s="60"/>
      <c r="I64" s="60"/>
      <c r="J64" s="60"/>
      <c r="K64" s="84"/>
      <c r="L64" s="85"/>
      <c r="M64" s="85"/>
      <c r="N64" s="85"/>
      <c r="O64" s="85"/>
      <c r="P64" s="85"/>
      <c r="Q64" s="86"/>
      <c r="R64" s="60"/>
      <c r="S64" s="60"/>
      <c r="T64" s="60"/>
      <c r="U64" s="60"/>
    </row>
    <row r="65" spans="1:27" ht="18" customHeight="1" x14ac:dyDescent="0.2">
      <c r="A65" s="3"/>
      <c r="B65" s="84"/>
      <c r="C65" s="85"/>
      <c r="D65" s="85"/>
      <c r="E65" s="85"/>
      <c r="F65" s="86"/>
      <c r="G65" s="60"/>
      <c r="H65" s="60"/>
      <c r="I65" s="60"/>
      <c r="J65" s="60"/>
      <c r="K65" s="84"/>
      <c r="L65" s="85"/>
      <c r="M65" s="85"/>
      <c r="N65" s="85"/>
      <c r="O65" s="85"/>
      <c r="P65" s="85"/>
      <c r="Q65" s="86"/>
      <c r="R65" s="60"/>
      <c r="S65" s="60"/>
      <c r="T65" s="60"/>
      <c r="U65" s="60"/>
    </row>
    <row r="66" spans="1:27" ht="18" customHeight="1" x14ac:dyDescent="0.2">
      <c r="A66" s="3"/>
      <c r="B66" s="87"/>
      <c r="C66" s="88"/>
      <c r="D66" s="88"/>
      <c r="E66" s="88"/>
      <c r="F66" s="89"/>
      <c r="G66" s="61"/>
      <c r="H66" s="61"/>
      <c r="I66" s="62"/>
      <c r="J66" s="62"/>
      <c r="K66" s="87"/>
      <c r="L66" s="88"/>
      <c r="M66" s="88"/>
      <c r="N66" s="88"/>
      <c r="O66" s="88"/>
      <c r="P66" s="88"/>
      <c r="Q66" s="89"/>
      <c r="R66" s="61"/>
      <c r="S66" s="61"/>
      <c r="T66" s="62"/>
      <c r="U66" s="62"/>
    </row>
    <row r="67" spans="1:27" ht="7.5" customHeight="1" x14ac:dyDescent="0.2">
      <c r="B67" s="13"/>
      <c r="C67" s="13"/>
      <c r="D67" s="13"/>
      <c r="E67" s="13"/>
      <c r="F67" s="13"/>
      <c r="G67" s="13"/>
      <c r="H67" s="13"/>
      <c r="I67" s="13"/>
      <c r="J67" s="13"/>
      <c r="K67" s="13"/>
      <c r="L67" s="13"/>
      <c r="M67" s="13"/>
      <c r="N67" s="13"/>
      <c r="O67" s="13"/>
      <c r="P67" s="13"/>
      <c r="Q67" s="13"/>
      <c r="R67" s="13"/>
      <c r="S67" s="13"/>
      <c r="T67" s="13"/>
    </row>
    <row r="68" spans="1:27" ht="18" customHeight="1" x14ac:dyDescent="0.2">
      <c r="A68" s="90" t="s">
        <v>99</v>
      </c>
      <c r="B68" s="90"/>
      <c r="C68" s="90"/>
      <c r="D68" s="90"/>
      <c r="E68" s="90"/>
      <c r="F68" s="90"/>
      <c r="G68" s="90"/>
      <c r="H68" s="90"/>
      <c r="I68" s="90"/>
      <c r="J68" s="90"/>
      <c r="K68" s="90"/>
      <c r="L68" s="90"/>
      <c r="M68" s="90"/>
      <c r="N68" s="90"/>
      <c r="O68" s="90"/>
      <c r="P68" s="90"/>
      <c r="Q68" s="90"/>
      <c r="R68" s="90"/>
      <c r="S68" s="90"/>
      <c r="T68" s="90"/>
      <c r="U68" s="90"/>
    </row>
    <row r="69" spans="1:27" ht="18" customHeight="1" x14ac:dyDescent="0.2">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2">
      <c r="B70" s="97" t="s">
        <v>47</v>
      </c>
      <c r="C70" s="98"/>
      <c r="D70" s="98"/>
      <c r="E70" s="98"/>
      <c r="F70" s="56" t="s">
        <v>72</v>
      </c>
      <c r="G70" s="57" t="s">
        <v>75</v>
      </c>
      <c r="H70" s="58" t="s">
        <v>86</v>
      </c>
      <c r="I70" s="58" t="s">
        <v>67</v>
      </c>
      <c r="J70" s="58" t="s">
        <v>68</v>
      </c>
      <c r="K70" s="97" t="s">
        <v>47</v>
      </c>
      <c r="L70" s="98"/>
      <c r="M70" s="98"/>
      <c r="N70" s="98"/>
      <c r="O70" s="98"/>
      <c r="P70" s="99"/>
      <c r="Q70" s="56" t="s">
        <v>72</v>
      </c>
      <c r="R70" s="57" t="s">
        <v>75</v>
      </c>
      <c r="S70" s="58" t="s">
        <v>86</v>
      </c>
      <c r="T70" s="58" t="s">
        <v>67</v>
      </c>
      <c r="U70" s="58" t="s">
        <v>68</v>
      </c>
    </row>
    <row r="71" spans="1:27" ht="18" customHeight="1" x14ac:dyDescent="0.2">
      <c r="A71" s="3"/>
      <c r="B71" s="91" t="s">
        <v>201</v>
      </c>
      <c r="C71" s="92"/>
      <c r="D71" s="92"/>
      <c r="E71" s="92"/>
      <c r="F71" s="59">
        <v>2</v>
      </c>
      <c r="G71" s="59" t="s">
        <v>171</v>
      </c>
      <c r="H71" s="59" t="s">
        <v>171</v>
      </c>
      <c r="I71" s="59"/>
      <c r="J71" s="59"/>
      <c r="K71" s="91"/>
      <c r="L71" s="92"/>
      <c r="M71" s="92"/>
      <c r="N71" s="92"/>
      <c r="O71" s="92"/>
      <c r="P71" s="93"/>
      <c r="Q71" s="59"/>
      <c r="R71" s="59"/>
      <c r="S71" s="59"/>
      <c r="T71" s="59"/>
      <c r="U71" s="59"/>
    </row>
    <row r="72" spans="1:27" ht="18" customHeight="1" x14ac:dyDescent="0.2">
      <c r="A72" s="3"/>
      <c r="B72" s="84" t="s">
        <v>205</v>
      </c>
      <c r="C72" s="85"/>
      <c r="D72" s="85"/>
      <c r="E72" s="85"/>
      <c r="F72" s="60">
        <v>2</v>
      </c>
      <c r="G72" s="60" t="s">
        <v>171</v>
      </c>
      <c r="H72" s="60"/>
      <c r="I72" s="60" t="s">
        <v>171</v>
      </c>
      <c r="J72" s="60" t="s">
        <v>171</v>
      </c>
      <c r="K72" s="84"/>
      <c r="L72" s="85"/>
      <c r="M72" s="85"/>
      <c r="N72" s="85"/>
      <c r="O72" s="85"/>
      <c r="P72" s="86"/>
      <c r="Q72" s="60"/>
      <c r="R72" s="60"/>
      <c r="S72" s="60"/>
      <c r="T72" s="60"/>
      <c r="U72" s="60"/>
    </row>
    <row r="73" spans="1:27" ht="18" customHeight="1" x14ac:dyDescent="0.2">
      <c r="A73" s="3"/>
      <c r="B73" s="84" t="s">
        <v>206</v>
      </c>
      <c r="C73" s="85"/>
      <c r="D73" s="85"/>
      <c r="E73" s="85"/>
      <c r="F73" s="60">
        <v>2</v>
      </c>
      <c r="G73" s="60" t="s">
        <v>171</v>
      </c>
      <c r="H73" s="60" t="s">
        <v>171</v>
      </c>
      <c r="I73" s="60"/>
      <c r="J73" s="60" t="s">
        <v>171</v>
      </c>
      <c r="K73" s="84"/>
      <c r="L73" s="85"/>
      <c r="M73" s="85"/>
      <c r="N73" s="85"/>
      <c r="O73" s="85"/>
      <c r="P73" s="86"/>
      <c r="Q73" s="60"/>
      <c r="R73" s="60"/>
      <c r="S73" s="60"/>
      <c r="T73" s="60"/>
      <c r="U73" s="60"/>
    </row>
    <row r="74" spans="1:27" ht="18" customHeight="1" x14ac:dyDescent="0.2">
      <c r="A74" s="3"/>
      <c r="B74" s="84"/>
      <c r="C74" s="85"/>
      <c r="D74" s="85"/>
      <c r="E74" s="85"/>
      <c r="F74" s="60"/>
      <c r="G74" s="60"/>
      <c r="H74" s="60"/>
      <c r="I74" s="60"/>
      <c r="J74" s="60"/>
      <c r="K74" s="84"/>
      <c r="L74" s="85"/>
      <c r="M74" s="85"/>
      <c r="N74" s="85"/>
      <c r="O74" s="85"/>
      <c r="P74" s="86"/>
      <c r="Q74" s="60"/>
      <c r="R74" s="60"/>
      <c r="S74" s="60"/>
      <c r="T74" s="60"/>
      <c r="U74" s="60"/>
    </row>
    <row r="75" spans="1:27" ht="18" customHeight="1" x14ac:dyDescent="0.2">
      <c r="A75" s="3"/>
      <c r="B75" s="84"/>
      <c r="C75" s="85"/>
      <c r="D75" s="85"/>
      <c r="E75" s="85"/>
      <c r="F75" s="60"/>
      <c r="G75" s="60"/>
      <c r="H75" s="60"/>
      <c r="I75" s="60"/>
      <c r="J75" s="60"/>
      <c r="K75" s="84"/>
      <c r="L75" s="85"/>
      <c r="M75" s="85"/>
      <c r="N75" s="85"/>
      <c r="O75" s="85"/>
      <c r="P75" s="86"/>
      <c r="Q75" s="60"/>
      <c r="R75" s="60"/>
      <c r="S75" s="60"/>
      <c r="T75" s="60"/>
      <c r="U75" s="60"/>
    </row>
    <row r="76" spans="1:27" ht="18" customHeight="1" x14ac:dyDescent="0.2">
      <c r="A76" s="3"/>
      <c r="B76" s="84"/>
      <c r="C76" s="85"/>
      <c r="D76" s="85"/>
      <c r="E76" s="85"/>
      <c r="F76" s="60"/>
      <c r="G76" s="60"/>
      <c r="H76" s="60"/>
      <c r="I76" s="60"/>
      <c r="J76" s="60"/>
      <c r="K76" s="84"/>
      <c r="L76" s="85"/>
      <c r="M76" s="85"/>
      <c r="N76" s="85"/>
      <c r="O76" s="85"/>
      <c r="P76" s="86"/>
      <c r="Q76" s="60"/>
      <c r="R76" s="60"/>
      <c r="S76" s="60"/>
      <c r="T76" s="60"/>
      <c r="U76" s="60"/>
    </row>
    <row r="77" spans="1:27" ht="18" customHeight="1" x14ac:dyDescent="0.2">
      <c r="A77" s="3"/>
      <c r="B77" s="87"/>
      <c r="C77" s="88"/>
      <c r="D77" s="88"/>
      <c r="E77" s="88"/>
      <c r="F77" s="61"/>
      <c r="G77" s="61"/>
      <c r="H77" s="62"/>
      <c r="I77" s="62"/>
      <c r="J77" s="62"/>
      <c r="K77" s="87"/>
      <c r="L77" s="88"/>
      <c r="M77" s="88"/>
      <c r="N77" s="88"/>
      <c r="O77" s="88"/>
      <c r="P77" s="89"/>
      <c r="Q77" s="61"/>
      <c r="R77" s="61"/>
      <c r="S77" s="62"/>
      <c r="T77" s="62"/>
      <c r="U77" s="62"/>
    </row>
    <row r="78" spans="1:27" ht="7.5" customHeight="1" x14ac:dyDescent="0.2">
      <c r="B78" s="13"/>
      <c r="C78" s="13"/>
      <c r="D78" s="13"/>
      <c r="E78" s="13"/>
      <c r="F78" s="13"/>
      <c r="G78" s="13"/>
      <c r="H78" s="13"/>
      <c r="I78" s="13"/>
      <c r="J78" s="13"/>
      <c r="K78" s="13"/>
      <c r="L78" s="13"/>
      <c r="M78" s="13"/>
      <c r="N78" s="13"/>
      <c r="O78" s="13"/>
      <c r="P78" s="13"/>
      <c r="Q78" s="13"/>
      <c r="R78" s="13"/>
      <c r="S78" s="13"/>
      <c r="T78" s="13"/>
    </row>
    <row r="79" spans="1:27" ht="18" customHeight="1" x14ac:dyDescent="0.2">
      <c r="A79" s="1" t="s">
        <v>100</v>
      </c>
      <c r="I79" s="3"/>
      <c r="J79" s="3"/>
      <c r="K79" s="3"/>
      <c r="L79" s="3"/>
      <c r="M79" s="3"/>
      <c r="N79" s="3"/>
      <c r="O79" s="3"/>
      <c r="P79" s="3"/>
      <c r="Q79" s="3"/>
      <c r="R79" s="3"/>
      <c r="S79" s="3"/>
      <c r="T79" s="3"/>
      <c r="U79" s="3"/>
    </row>
    <row r="80" spans="1:27" ht="18" customHeight="1" x14ac:dyDescent="0.2">
      <c r="B80" s="97" t="s">
        <v>47</v>
      </c>
      <c r="C80" s="98"/>
      <c r="D80" s="98"/>
      <c r="E80" s="98"/>
      <c r="F80" s="99"/>
      <c r="G80" s="97" t="s">
        <v>73</v>
      </c>
      <c r="H80" s="98"/>
      <c r="I80" s="98"/>
      <c r="J80" s="99"/>
      <c r="K80" s="105" t="s">
        <v>47</v>
      </c>
      <c r="L80" s="106"/>
      <c r="M80" s="106"/>
      <c r="N80" s="106"/>
      <c r="O80" s="106"/>
      <c r="P80" s="106"/>
      <c r="Q80" s="107"/>
      <c r="R80" s="97" t="s">
        <v>73</v>
      </c>
      <c r="S80" s="98"/>
      <c r="T80" s="98"/>
      <c r="U80" s="99"/>
      <c r="AA80" s="1" t="s">
        <v>138</v>
      </c>
    </row>
    <row r="81" spans="1:27" ht="18" customHeight="1" x14ac:dyDescent="0.2">
      <c r="A81" s="3"/>
      <c r="B81" s="91"/>
      <c r="C81" s="92"/>
      <c r="D81" s="92"/>
      <c r="E81" s="92"/>
      <c r="F81" s="93"/>
      <c r="G81" s="94"/>
      <c r="H81" s="95"/>
      <c r="I81" s="95"/>
      <c r="J81" s="96"/>
      <c r="K81" s="91"/>
      <c r="L81" s="92"/>
      <c r="M81" s="92"/>
      <c r="N81" s="92"/>
      <c r="O81" s="92"/>
      <c r="P81" s="92"/>
      <c r="Q81" s="93"/>
      <c r="R81" s="94"/>
      <c r="S81" s="95"/>
      <c r="T81" s="95"/>
      <c r="U81" s="96"/>
      <c r="AA81" s="1" t="s">
        <v>131</v>
      </c>
    </row>
    <row r="82" spans="1:27" ht="18" customHeight="1" x14ac:dyDescent="0.2">
      <c r="A82" s="3"/>
      <c r="B82" s="84"/>
      <c r="C82" s="85"/>
      <c r="D82" s="85"/>
      <c r="E82" s="85"/>
      <c r="F82" s="86"/>
      <c r="G82" s="102"/>
      <c r="H82" s="103"/>
      <c r="I82" s="103"/>
      <c r="J82" s="104"/>
      <c r="K82" s="84"/>
      <c r="L82" s="85"/>
      <c r="M82" s="85"/>
      <c r="N82" s="85"/>
      <c r="O82" s="85"/>
      <c r="P82" s="85"/>
      <c r="Q82" s="86"/>
      <c r="R82" s="102"/>
      <c r="S82" s="103"/>
      <c r="T82" s="103"/>
      <c r="U82" s="104"/>
      <c r="AA82" s="1" t="s">
        <v>132</v>
      </c>
    </row>
    <row r="83" spans="1:27" ht="18" customHeight="1" x14ac:dyDescent="0.2">
      <c r="A83" s="3"/>
      <c r="B83" s="84"/>
      <c r="C83" s="85"/>
      <c r="D83" s="85"/>
      <c r="E83" s="85"/>
      <c r="F83" s="86"/>
      <c r="G83" s="102"/>
      <c r="H83" s="103"/>
      <c r="I83" s="103"/>
      <c r="J83" s="104"/>
      <c r="K83" s="84"/>
      <c r="L83" s="85"/>
      <c r="M83" s="85"/>
      <c r="N83" s="85"/>
      <c r="O83" s="85"/>
      <c r="P83" s="85"/>
      <c r="Q83" s="86"/>
      <c r="R83" s="102"/>
      <c r="S83" s="103"/>
      <c r="T83" s="103"/>
      <c r="U83" s="104"/>
      <c r="AA83" s="1" t="s">
        <v>133</v>
      </c>
    </row>
    <row r="84" spans="1:27" ht="18" customHeight="1" x14ac:dyDescent="0.2">
      <c r="A84" s="3"/>
      <c r="B84" s="84"/>
      <c r="C84" s="85"/>
      <c r="D84" s="85"/>
      <c r="E84" s="85"/>
      <c r="F84" s="86"/>
      <c r="G84" s="102"/>
      <c r="H84" s="103"/>
      <c r="I84" s="103"/>
      <c r="J84" s="104"/>
      <c r="K84" s="84"/>
      <c r="L84" s="85"/>
      <c r="M84" s="85"/>
      <c r="N84" s="85"/>
      <c r="O84" s="85"/>
      <c r="P84" s="85"/>
      <c r="Q84" s="86"/>
      <c r="R84" s="102"/>
      <c r="S84" s="103"/>
      <c r="T84" s="103"/>
      <c r="U84" s="104"/>
      <c r="AA84" s="1" t="s">
        <v>139</v>
      </c>
    </row>
    <row r="85" spans="1:27" ht="18" customHeight="1" x14ac:dyDescent="0.2">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x14ac:dyDescent="0.2">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x14ac:dyDescent="0.2">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101</v>
      </c>
      <c r="AA89" s="1" t="s">
        <v>137</v>
      </c>
    </row>
    <row r="90" spans="1:27" ht="18.75" customHeight="1" x14ac:dyDescent="0.2">
      <c r="B90" s="125" t="s">
        <v>48</v>
      </c>
      <c r="C90" s="126"/>
      <c r="D90" s="97" t="s">
        <v>49</v>
      </c>
      <c r="E90" s="98"/>
      <c r="F90" s="98"/>
      <c r="G90" s="98"/>
      <c r="H90" s="98"/>
      <c r="I90" s="98"/>
      <c r="J90" s="98"/>
      <c r="K90" s="98"/>
      <c r="L90" s="98"/>
      <c r="M90" s="98"/>
      <c r="N90" s="98"/>
      <c r="O90" s="98"/>
      <c r="P90" s="98"/>
      <c r="Q90" s="98"/>
      <c r="R90" s="98"/>
      <c r="S90" s="98"/>
      <c r="T90" s="98"/>
      <c r="U90" s="99"/>
    </row>
    <row r="91" spans="1:27" ht="97.5" customHeight="1" x14ac:dyDescent="0.2">
      <c r="B91" s="100" t="s">
        <v>55</v>
      </c>
      <c r="C91" s="64" t="s">
        <v>50</v>
      </c>
      <c r="D91" s="134" t="s">
        <v>211</v>
      </c>
      <c r="E91" s="135"/>
      <c r="F91" s="135"/>
      <c r="G91" s="135"/>
      <c r="H91" s="135"/>
      <c r="I91" s="135"/>
      <c r="J91" s="135"/>
      <c r="K91" s="135"/>
      <c r="L91" s="135"/>
      <c r="M91" s="135"/>
      <c r="N91" s="135"/>
      <c r="O91" s="135"/>
      <c r="P91" s="135"/>
      <c r="Q91" s="135"/>
      <c r="R91" s="135"/>
      <c r="S91" s="135"/>
      <c r="T91" s="135"/>
      <c r="U91" s="136"/>
    </row>
    <row r="92" spans="1:27" ht="97.5" customHeight="1" x14ac:dyDescent="0.2">
      <c r="B92" s="124"/>
      <c r="C92" s="65" t="s">
        <v>69</v>
      </c>
      <c r="D92" s="131" t="s">
        <v>212</v>
      </c>
      <c r="E92" s="132"/>
      <c r="F92" s="132"/>
      <c r="G92" s="132"/>
      <c r="H92" s="132"/>
      <c r="I92" s="132"/>
      <c r="J92" s="132"/>
      <c r="K92" s="132"/>
      <c r="L92" s="132"/>
      <c r="M92" s="132"/>
      <c r="N92" s="132"/>
      <c r="O92" s="132"/>
      <c r="P92" s="132"/>
      <c r="Q92" s="132"/>
      <c r="R92" s="132"/>
      <c r="S92" s="132"/>
      <c r="T92" s="132"/>
      <c r="U92" s="133"/>
    </row>
    <row r="93" spans="1:27" ht="97.5" customHeight="1" x14ac:dyDescent="0.2">
      <c r="B93" s="100" t="s">
        <v>56</v>
      </c>
      <c r="C93" s="66" t="s">
        <v>63</v>
      </c>
      <c r="D93" s="134" t="s">
        <v>216</v>
      </c>
      <c r="E93" s="135"/>
      <c r="F93" s="135"/>
      <c r="G93" s="135"/>
      <c r="H93" s="135"/>
      <c r="I93" s="135"/>
      <c r="J93" s="135"/>
      <c r="K93" s="135"/>
      <c r="L93" s="135"/>
      <c r="M93" s="135"/>
      <c r="N93" s="135"/>
      <c r="O93" s="135"/>
      <c r="P93" s="135"/>
      <c r="Q93" s="135"/>
      <c r="R93" s="135"/>
      <c r="S93" s="135"/>
      <c r="T93" s="135"/>
      <c r="U93" s="136"/>
    </row>
    <row r="94" spans="1:27" ht="97.5" customHeight="1" x14ac:dyDescent="0.2">
      <c r="B94" s="101"/>
      <c r="C94" s="67" t="s">
        <v>64</v>
      </c>
      <c r="D94" s="131" t="s">
        <v>213</v>
      </c>
      <c r="E94" s="132"/>
      <c r="F94" s="132"/>
      <c r="G94" s="132"/>
      <c r="H94" s="132"/>
      <c r="I94" s="132"/>
      <c r="J94" s="132"/>
      <c r="K94" s="132"/>
      <c r="L94" s="132"/>
      <c r="M94" s="132"/>
      <c r="N94" s="132"/>
      <c r="O94" s="132"/>
      <c r="P94" s="132"/>
      <c r="Q94" s="132"/>
      <c r="R94" s="132"/>
      <c r="S94" s="132"/>
      <c r="T94" s="132"/>
      <c r="U94" s="133"/>
    </row>
    <row r="95" spans="1:27" ht="97.5" customHeight="1" x14ac:dyDescent="0.2">
      <c r="B95" s="100" t="s">
        <v>57</v>
      </c>
      <c r="C95" s="66" t="s">
        <v>65</v>
      </c>
      <c r="D95" s="134" t="s">
        <v>217</v>
      </c>
      <c r="E95" s="135"/>
      <c r="F95" s="135"/>
      <c r="G95" s="135"/>
      <c r="H95" s="135"/>
      <c r="I95" s="135"/>
      <c r="J95" s="135"/>
      <c r="K95" s="135"/>
      <c r="L95" s="135"/>
      <c r="M95" s="135"/>
      <c r="N95" s="135"/>
      <c r="O95" s="135"/>
      <c r="P95" s="135"/>
      <c r="Q95" s="135"/>
      <c r="R95" s="135"/>
      <c r="S95" s="135"/>
      <c r="T95" s="135"/>
      <c r="U95" s="136"/>
    </row>
    <row r="96" spans="1:27" ht="97.5" customHeight="1" x14ac:dyDescent="0.2">
      <c r="B96" s="101"/>
      <c r="C96" s="68" t="s">
        <v>66</v>
      </c>
      <c r="D96" s="131" t="s">
        <v>214</v>
      </c>
      <c r="E96" s="132"/>
      <c r="F96" s="132"/>
      <c r="G96" s="132"/>
      <c r="H96" s="132"/>
      <c r="I96" s="132"/>
      <c r="J96" s="132"/>
      <c r="K96" s="132"/>
      <c r="L96" s="132"/>
      <c r="M96" s="132"/>
      <c r="N96" s="132"/>
      <c r="O96" s="132"/>
      <c r="P96" s="132"/>
      <c r="Q96" s="132"/>
      <c r="R96" s="132"/>
      <c r="S96" s="132"/>
      <c r="T96" s="132"/>
      <c r="U96" s="133"/>
    </row>
    <row r="97" spans="1:21" ht="97.5" customHeight="1" x14ac:dyDescent="0.2">
      <c r="B97" s="100" t="s">
        <v>70</v>
      </c>
      <c r="C97" s="64" t="s">
        <v>52</v>
      </c>
      <c r="D97" s="134" t="s">
        <v>210</v>
      </c>
      <c r="E97" s="135"/>
      <c r="F97" s="135"/>
      <c r="G97" s="135"/>
      <c r="H97" s="135"/>
      <c r="I97" s="135"/>
      <c r="J97" s="135"/>
      <c r="K97" s="135"/>
      <c r="L97" s="135"/>
      <c r="M97" s="135"/>
      <c r="N97" s="135"/>
      <c r="O97" s="135"/>
      <c r="P97" s="135"/>
      <c r="Q97" s="135"/>
      <c r="R97" s="135"/>
      <c r="S97" s="135"/>
      <c r="T97" s="135"/>
      <c r="U97" s="136"/>
    </row>
    <row r="98" spans="1:21" ht="97.5" customHeight="1" x14ac:dyDescent="0.2">
      <c r="B98" s="101"/>
      <c r="C98" s="67" t="s">
        <v>54</v>
      </c>
      <c r="D98" s="131" t="s">
        <v>218</v>
      </c>
      <c r="E98" s="132"/>
      <c r="F98" s="132"/>
      <c r="G98" s="132"/>
      <c r="H98" s="132"/>
      <c r="I98" s="132"/>
      <c r="J98" s="132"/>
      <c r="K98" s="132"/>
      <c r="L98" s="132"/>
      <c r="M98" s="132"/>
      <c r="N98" s="132"/>
      <c r="O98" s="132"/>
      <c r="P98" s="132"/>
      <c r="Q98" s="132"/>
      <c r="R98" s="132"/>
      <c r="S98" s="132"/>
      <c r="T98" s="132"/>
      <c r="U98" s="133"/>
    </row>
    <row r="99" spans="1:21" ht="97.5" customHeight="1" x14ac:dyDescent="0.2">
      <c r="B99" s="100" t="s">
        <v>71</v>
      </c>
      <c r="C99" s="66" t="s">
        <v>51</v>
      </c>
      <c r="D99" s="134" t="s">
        <v>215</v>
      </c>
      <c r="E99" s="135"/>
      <c r="F99" s="135"/>
      <c r="G99" s="135"/>
      <c r="H99" s="135"/>
      <c r="I99" s="135"/>
      <c r="J99" s="135"/>
      <c r="K99" s="135"/>
      <c r="L99" s="135"/>
      <c r="M99" s="135"/>
      <c r="N99" s="135"/>
      <c r="O99" s="135"/>
      <c r="P99" s="135"/>
      <c r="Q99" s="135"/>
      <c r="R99" s="135"/>
      <c r="S99" s="135"/>
      <c r="T99" s="135"/>
      <c r="U99" s="136"/>
    </row>
    <row r="100" spans="1:21" ht="97.5" customHeight="1" x14ac:dyDescent="0.2">
      <c r="B100" s="124"/>
      <c r="C100" s="69" t="s">
        <v>67</v>
      </c>
      <c r="D100" s="137" t="s">
        <v>219</v>
      </c>
      <c r="E100" s="138"/>
      <c r="F100" s="138"/>
      <c r="G100" s="138"/>
      <c r="H100" s="138"/>
      <c r="I100" s="138"/>
      <c r="J100" s="138"/>
      <c r="K100" s="138"/>
      <c r="L100" s="138"/>
      <c r="M100" s="138"/>
      <c r="N100" s="138"/>
      <c r="O100" s="138"/>
      <c r="P100" s="138"/>
      <c r="Q100" s="138"/>
      <c r="R100" s="138"/>
      <c r="S100" s="138"/>
      <c r="T100" s="138"/>
      <c r="U100" s="139"/>
    </row>
    <row r="101" spans="1:21" ht="97.5" customHeight="1" x14ac:dyDescent="0.2">
      <c r="B101" s="101"/>
      <c r="C101" s="68" t="s">
        <v>68</v>
      </c>
      <c r="D101" s="131" t="s">
        <v>220</v>
      </c>
      <c r="E101" s="132"/>
      <c r="F101" s="132"/>
      <c r="G101" s="132"/>
      <c r="H101" s="132"/>
      <c r="I101" s="132"/>
      <c r="J101" s="132"/>
      <c r="K101" s="132"/>
      <c r="L101" s="132"/>
      <c r="M101" s="132"/>
      <c r="N101" s="132"/>
      <c r="O101" s="132"/>
      <c r="P101" s="132"/>
      <c r="Q101" s="132"/>
      <c r="R101" s="132"/>
      <c r="S101" s="132"/>
      <c r="T101" s="132"/>
      <c r="U101" s="133"/>
    </row>
    <row r="102" spans="1:21" ht="6" customHeight="1" x14ac:dyDescent="0.2"/>
    <row r="103" spans="1:21" ht="18.75" customHeight="1" x14ac:dyDescent="0.2">
      <c r="A103" s="1" t="s">
        <v>102</v>
      </c>
    </row>
    <row r="104" spans="1:21" ht="111.75" customHeight="1" x14ac:dyDescent="0.2">
      <c r="B104" s="118" t="s">
        <v>207</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2"/>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74BC97DC-7876-4395-A038-812B993D082E}">
      <formula1>"○"</formula1>
    </dataValidation>
    <dataValidation type="list" allowBlank="1" showInputMessage="1" showErrorMessage="1" sqref="U34 U45 E34:H34 E45:H45" xr:uid="{3C98BF42-3E2A-4B66-999D-5A89B2814B5B}">
      <formula1>"全学開講,一部開講"</formula1>
    </dataValidation>
    <dataValidation type="list" allowBlank="1" showInputMessage="1" showErrorMessage="1" sqref="L14 L7:U7" xr:uid="{B51E6F79-0363-4A28-83C1-4B4B5584F197}">
      <formula1>"学部・学科によって、修了要件は相違する,学部・学科によって、修了要件は相違しない"</formula1>
    </dataValidation>
    <dataValidation type="list" allowBlank="1" showInputMessage="1" showErrorMessage="1" sqref="G88:J88 R88:U88" xr:uid="{614905B3-BFD1-4075-A5E0-2456C96FA75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A0C37144-1E05-49E2-AD05-ED5681C2E34A}">
      <formula1>$X$16:$X$18</formula1>
    </dataValidation>
    <dataValidation type="list" allowBlank="1" showInputMessage="1" showErrorMessage="1" sqref="G81:J87 R81:U87" xr:uid="{3EE67A3B-7F0A-4F48-86D3-1623B26140BE}">
      <formula1>$AA$80:$AA$89</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&amp;C数理・データサイエンス・AI教育プログラム認定制度【リテラシーレベル】令和7年度申請用</oddHeader>
  </headerFooter>
  <rowBreaks count="2" manualBreakCount="2">
    <brk id="67" max="16383" man="1"/>
    <brk id="9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65DE-B32A-4C95-B83C-F774CD05267A}">
  <sheetPr>
    <pageSetUpPr fitToPage="1"/>
  </sheetPr>
  <dimension ref="A1:AA107"/>
  <sheetViews>
    <sheetView showZeros="0" view="pageBreakPreview" topLeftCell="A25" zoomScaleNormal="100" zoomScaleSheetLayoutView="100" workbookViewId="0">
      <selection activeCell="Z59" sqref="Z59"/>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7" t="s">
        <v>222</v>
      </c>
      <c r="U1" s="127"/>
      <c r="V1" s="2" t="s">
        <v>93</v>
      </c>
    </row>
    <row r="2" spans="1:24" ht="18.75" customHeight="1" x14ac:dyDescent="0.2">
      <c r="B2" s="15" t="s">
        <v>92</v>
      </c>
      <c r="C2" s="97" t="s">
        <v>152</v>
      </c>
      <c r="D2" s="98"/>
      <c r="E2" s="98"/>
      <c r="F2" s="98"/>
      <c r="G2" s="98"/>
      <c r="H2" s="98"/>
      <c r="I2" s="98"/>
      <c r="J2" s="99"/>
      <c r="K2" s="16"/>
      <c r="L2" s="6"/>
      <c r="M2" s="6"/>
      <c r="N2" s="6"/>
      <c r="O2" s="6"/>
      <c r="P2" s="6"/>
      <c r="Q2" s="6"/>
      <c r="R2" s="6"/>
      <c r="S2" s="6"/>
      <c r="T2" s="6"/>
      <c r="U2" s="6"/>
    </row>
    <row r="3" spans="1:24" ht="18.75" customHeight="1" x14ac:dyDescent="0.2">
      <c r="B3" s="15" t="s">
        <v>87</v>
      </c>
      <c r="C3" s="128" t="s">
        <v>153</v>
      </c>
      <c r="D3" s="129"/>
      <c r="E3" s="129"/>
      <c r="F3" s="129"/>
      <c r="G3" s="129"/>
      <c r="H3" s="129"/>
      <c r="I3" s="129"/>
      <c r="J3" s="130"/>
      <c r="K3" s="16"/>
      <c r="L3" s="6"/>
      <c r="M3" s="6"/>
      <c r="N3" s="6"/>
      <c r="O3" s="6"/>
      <c r="P3" s="6"/>
      <c r="Q3" s="6"/>
      <c r="R3" s="6"/>
      <c r="S3" s="6"/>
      <c r="T3" s="6"/>
      <c r="U3" s="6"/>
    </row>
    <row r="4" spans="1:24" ht="15" customHeight="1" x14ac:dyDescent="0.2">
      <c r="L4" s="16"/>
      <c r="M4" s="70"/>
      <c r="N4" s="70"/>
      <c r="O4" s="70"/>
      <c r="P4" s="70"/>
      <c r="Q4" s="70"/>
      <c r="R4" s="70"/>
      <c r="S4" s="70"/>
      <c r="T4" s="70"/>
      <c r="U4" s="70"/>
    </row>
    <row r="5" spans="1:24" ht="18" customHeight="1" x14ac:dyDescent="0.2">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3" t="s">
        <v>116</v>
      </c>
      <c r="M7" s="144"/>
      <c r="N7" s="144"/>
      <c r="O7" s="144"/>
      <c r="P7" s="144"/>
      <c r="Q7" s="144"/>
      <c r="R7" s="144"/>
      <c r="S7" s="144"/>
      <c r="T7" s="144"/>
      <c r="U7" s="145"/>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6"/>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46" t="s">
        <v>223</v>
      </c>
      <c r="C11" s="147"/>
      <c r="D11" s="147"/>
      <c r="E11" s="147"/>
      <c r="F11" s="147"/>
      <c r="G11" s="147"/>
      <c r="H11" s="147"/>
      <c r="I11" s="147"/>
      <c r="J11" s="147"/>
      <c r="K11" s="147"/>
      <c r="L11" s="147"/>
      <c r="M11" s="147"/>
      <c r="N11" s="147"/>
      <c r="O11" s="147"/>
      <c r="P11" s="147"/>
      <c r="Q11" s="147"/>
      <c r="R11" s="147"/>
      <c r="S11" s="147"/>
      <c r="T11" s="147"/>
      <c r="U11" s="148"/>
    </row>
    <row r="12" spans="1:24" ht="18" customHeight="1" x14ac:dyDescent="0.2">
      <c r="B12" s="149"/>
      <c r="C12" s="150"/>
      <c r="D12" s="150"/>
      <c r="E12" s="150"/>
      <c r="F12" s="150"/>
      <c r="G12" s="150"/>
      <c r="H12" s="150"/>
      <c r="I12" s="150"/>
      <c r="J12" s="150"/>
      <c r="K12" s="150"/>
      <c r="L12" s="150"/>
      <c r="M12" s="150"/>
      <c r="N12" s="150"/>
      <c r="O12" s="150"/>
      <c r="P12" s="150"/>
      <c r="Q12" s="150"/>
      <c r="R12" s="150"/>
      <c r="S12" s="150"/>
      <c r="T12" s="150"/>
      <c r="U12" s="151"/>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94</v>
      </c>
      <c r="B14" s="3"/>
      <c r="C14" s="3"/>
      <c r="D14" s="3"/>
      <c r="E14" s="16"/>
      <c r="F14" s="16"/>
      <c r="G14" s="16"/>
      <c r="H14" s="16"/>
      <c r="I14" s="16"/>
      <c r="J14" s="16"/>
      <c r="K14" s="16"/>
      <c r="L14" s="71"/>
      <c r="M14" s="71"/>
      <c r="N14" s="71"/>
      <c r="O14" s="71"/>
      <c r="P14" s="71"/>
      <c r="Q14" s="71"/>
      <c r="R14" s="71"/>
      <c r="S14" s="71"/>
      <c r="T14" s="71"/>
      <c r="U14" s="71"/>
    </row>
    <row r="15" spans="1:24" ht="18" customHeight="1" x14ac:dyDescent="0.2">
      <c r="B15" s="109" t="s">
        <v>224</v>
      </c>
      <c r="C15" s="110"/>
      <c r="D15" s="110"/>
      <c r="E15" s="110"/>
      <c r="F15" s="110"/>
      <c r="G15" s="110"/>
      <c r="H15" s="110"/>
      <c r="I15" s="110"/>
      <c r="J15" s="110"/>
      <c r="K15" s="110"/>
      <c r="L15" s="110"/>
      <c r="M15" s="110"/>
      <c r="N15" s="110"/>
      <c r="O15" s="110"/>
      <c r="P15" s="110"/>
      <c r="Q15" s="110"/>
      <c r="R15" s="110"/>
      <c r="S15" s="110"/>
      <c r="T15" s="110"/>
      <c r="U15" s="111"/>
      <c r="X15" s="1" t="s">
        <v>88</v>
      </c>
    </row>
    <row r="16" spans="1:24" ht="18"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2">
        <v>1</v>
      </c>
      <c r="F22" s="1" t="s">
        <v>106</v>
      </c>
      <c r="H22" s="17">
        <v>1</v>
      </c>
      <c r="I22" s="3" t="s">
        <v>107</v>
      </c>
      <c r="J22" s="3"/>
      <c r="K22" s="16"/>
      <c r="M22" s="16" t="s">
        <v>103</v>
      </c>
      <c r="N22" s="140" t="s">
        <v>122</v>
      </c>
      <c r="O22" s="141"/>
      <c r="P22" s="141"/>
      <c r="Q22" s="141"/>
      <c r="R22" s="141"/>
      <c r="S22" s="141"/>
      <c r="T22" s="141"/>
      <c r="U22" s="142"/>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0" t="s">
        <v>95</v>
      </c>
      <c r="B24" s="90"/>
      <c r="C24" s="90"/>
      <c r="D24" s="90"/>
      <c r="E24" s="90"/>
      <c r="F24" s="90"/>
      <c r="G24" s="90"/>
      <c r="H24" s="90"/>
      <c r="I24" s="90"/>
      <c r="J24" s="90"/>
      <c r="K24" s="90"/>
      <c r="L24" s="90"/>
      <c r="M24" s="90"/>
      <c r="N24" s="90"/>
      <c r="O24" s="90"/>
      <c r="P24" s="90"/>
      <c r="Q24" s="90"/>
      <c r="R24" s="90"/>
      <c r="S24" s="90"/>
      <c r="T24" s="90"/>
      <c r="U24" s="90"/>
    </row>
    <row r="25" spans="1:24" ht="18" customHeight="1" x14ac:dyDescent="0.2">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2">
      <c r="B26" s="97" t="s">
        <v>47</v>
      </c>
      <c r="C26" s="98"/>
      <c r="D26" s="98"/>
      <c r="E26" s="98"/>
      <c r="F26" s="99"/>
      <c r="G26" s="56" t="s">
        <v>72</v>
      </c>
      <c r="H26" s="57" t="s">
        <v>75</v>
      </c>
      <c r="I26" s="58" t="s">
        <v>50</v>
      </c>
      <c r="J26" s="58" t="s">
        <v>53</v>
      </c>
      <c r="K26" s="97" t="s">
        <v>47</v>
      </c>
      <c r="L26" s="98"/>
      <c r="M26" s="98"/>
      <c r="N26" s="98"/>
      <c r="O26" s="98"/>
      <c r="P26" s="98"/>
      <c r="Q26" s="99"/>
      <c r="R26" s="56" t="s">
        <v>72</v>
      </c>
      <c r="S26" s="57" t="s">
        <v>75</v>
      </c>
      <c r="T26" s="58" t="s">
        <v>50</v>
      </c>
      <c r="U26" s="58" t="s">
        <v>53</v>
      </c>
    </row>
    <row r="27" spans="1:24" ht="18" customHeight="1" x14ac:dyDescent="0.2">
      <c r="B27" s="91" t="s">
        <v>225</v>
      </c>
      <c r="C27" s="92"/>
      <c r="D27" s="92"/>
      <c r="E27" s="92"/>
      <c r="F27" s="93"/>
      <c r="G27" s="59">
        <v>1</v>
      </c>
      <c r="H27" s="59" t="s">
        <v>171</v>
      </c>
      <c r="I27" s="59" t="s">
        <v>171</v>
      </c>
      <c r="J27" s="59" t="s">
        <v>171</v>
      </c>
      <c r="K27" s="91"/>
      <c r="L27" s="92"/>
      <c r="M27" s="92"/>
      <c r="N27" s="92"/>
      <c r="O27" s="92"/>
      <c r="P27" s="92"/>
      <c r="Q27" s="93"/>
      <c r="R27" s="59"/>
      <c r="S27" s="59"/>
      <c r="T27" s="59"/>
      <c r="U27" s="59"/>
    </row>
    <row r="28" spans="1:24" ht="18" customHeight="1" x14ac:dyDescent="0.2">
      <c r="B28" s="84"/>
      <c r="C28" s="85"/>
      <c r="D28" s="85"/>
      <c r="E28" s="85"/>
      <c r="F28" s="86"/>
      <c r="G28" s="60"/>
      <c r="H28" s="60"/>
      <c r="I28" s="60"/>
      <c r="J28" s="60"/>
      <c r="K28" s="84"/>
      <c r="L28" s="85"/>
      <c r="M28" s="85"/>
      <c r="N28" s="85"/>
      <c r="O28" s="85"/>
      <c r="P28" s="85"/>
      <c r="Q28" s="86"/>
      <c r="R28" s="60"/>
      <c r="S28" s="60"/>
      <c r="T28" s="60"/>
      <c r="U28" s="60"/>
    </row>
    <row r="29" spans="1:24" ht="18" customHeight="1" x14ac:dyDescent="0.2">
      <c r="B29" s="84"/>
      <c r="C29" s="85"/>
      <c r="D29" s="85"/>
      <c r="E29" s="85"/>
      <c r="F29" s="86"/>
      <c r="G29" s="60"/>
      <c r="H29" s="60"/>
      <c r="I29" s="60"/>
      <c r="J29" s="60"/>
      <c r="K29" s="84"/>
      <c r="L29" s="85"/>
      <c r="M29" s="85"/>
      <c r="N29" s="85"/>
      <c r="O29" s="85"/>
      <c r="P29" s="85"/>
      <c r="Q29" s="86"/>
      <c r="R29" s="60"/>
      <c r="S29" s="60"/>
      <c r="T29" s="60"/>
      <c r="U29" s="60"/>
    </row>
    <row r="30" spans="1:24" ht="18" customHeight="1" x14ac:dyDescent="0.2">
      <c r="B30" s="84"/>
      <c r="C30" s="85"/>
      <c r="D30" s="85"/>
      <c r="E30" s="85"/>
      <c r="F30" s="86"/>
      <c r="G30" s="60"/>
      <c r="H30" s="60"/>
      <c r="I30" s="60"/>
      <c r="J30" s="60"/>
      <c r="K30" s="84"/>
      <c r="L30" s="85"/>
      <c r="M30" s="85"/>
      <c r="N30" s="85"/>
      <c r="O30" s="85"/>
      <c r="P30" s="85"/>
      <c r="Q30" s="86"/>
      <c r="R30" s="60"/>
      <c r="S30" s="60"/>
      <c r="T30" s="60"/>
      <c r="U30" s="60"/>
    </row>
    <row r="31" spans="1:24" ht="18" customHeight="1" x14ac:dyDescent="0.2">
      <c r="B31" s="84"/>
      <c r="C31" s="85"/>
      <c r="D31" s="85"/>
      <c r="E31" s="85"/>
      <c r="F31" s="86"/>
      <c r="G31" s="60"/>
      <c r="H31" s="60"/>
      <c r="I31" s="60"/>
      <c r="J31" s="60"/>
      <c r="K31" s="84"/>
      <c r="L31" s="85"/>
      <c r="M31" s="85"/>
      <c r="N31" s="85"/>
      <c r="O31" s="85"/>
      <c r="P31" s="85"/>
      <c r="Q31" s="86"/>
      <c r="R31" s="60"/>
      <c r="S31" s="60"/>
      <c r="T31" s="60"/>
      <c r="U31" s="60"/>
    </row>
    <row r="32" spans="1:24" ht="18" customHeight="1" x14ac:dyDescent="0.2">
      <c r="A32" s="3"/>
      <c r="B32" s="84"/>
      <c r="C32" s="85"/>
      <c r="D32" s="85"/>
      <c r="E32" s="85"/>
      <c r="F32" s="86"/>
      <c r="G32" s="60"/>
      <c r="H32" s="60"/>
      <c r="I32" s="60"/>
      <c r="J32" s="60"/>
      <c r="K32" s="84"/>
      <c r="L32" s="85"/>
      <c r="M32" s="85"/>
      <c r="N32" s="85"/>
      <c r="O32" s="85"/>
      <c r="P32" s="85"/>
      <c r="Q32" s="86"/>
      <c r="R32" s="60"/>
      <c r="S32" s="60"/>
      <c r="T32" s="60"/>
      <c r="U32" s="60"/>
    </row>
    <row r="33" spans="1:21" ht="18" customHeight="1" x14ac:dyDescent="0.2">
      <c r="A33" s="3"/>
      <c r="B33" s="87"/>
      <c r="C33" s="88"/>
      <c r="D33" s="88"/>
      <c r="E33" s="88"/>
      <c r="F33" s="89"/>
      <c r="G33" s="61"/>
      <c r="H33" s="61"/>
      <c r="I33" s="62"/>
      <c r="J33" s="62"/>
      <c r="K33" s="87"/>
      <c r="L33" s="88"/>
      <c r="M33" s="88"/>
      <c r="N33" s="88"/>
      <c r="O33" s="88"/>
      <c r="P33" s="88"/>
      <c r="Q33" s="89"/>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0" t="s">
        <v>96</v>
      </c>
      <c r="B35" s="90"/>
      <c r="C35" s="90"/>
      <c r="D35" s="90"/>
      <c r="E35" s="90"/>
      <c r="F35" s="90"/>
      <c r="G35" s="90"/>
      <c r="H35" s="90"/>
      <c r="I35" s="90"/>
      <c r="J35" s="90"/>
      <c r="K35" s="90"/>
      <c r="L35" s="90"/>
      <c r="M35" s="90"/>
      <c r="N35" s="90"/>
      <c r="O35" s="90"/>
      <c r="P35" s="90"/>
      <c r="Q35" s="90"/>
      <c r="R35" s="90"/>
      <c r="S35" s="90"/>
      <c r="T35" s="90"/>
      <c r="U35" s="90"/>
    </row>
    <row r="36" spans="1:21" ht="18" customHeight="1" x14ac:dyDescent="0.2">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2">
      <c r="B37" s="97" t="s">
        <v>47</v>
      </c>
      <c r="C37" s="98"/>
      <c r="D37" s="98"/>
      <c r="E37" s="98"/>
      <c r="F37" s="99"/>
      <c r="G37" s="56" t="s">
        <v>72</v>
      </c>
      <c r="H37" s="57" t="s">
        <v>75</v>
      </c>
      <c r="I37" s="58" t="s">
        <v>63</v>
      </c>
      <c r="J37" s="58" t="s">
        <v>64</v>
      </c>
      <c r="K37" s="97" t="s">
        <v>47</v>
      </c>
      <c r="L37" s="98"/>
      <c r="M37" s="98"/>
      <c r="N37" s="98"/>
      <c r="O37" s="98"/>
      <c r="P37" s="98"/>
      <c r="Q37" s="99"/>
      <c r="R37" s="56" t="s">
        <v>72</v>
      </c>
      <c r="S37" s="57" t="s">
        <v>75</v>
      </c>
      <c r="T37" s="58" t="s">
        <v>63</v>
      </c>
      <c r="U37" s="58" t="s">
        <v>64</v>
      </c>
    </row>
    <row r="38" spans="1:21" ht="18" customHeight="1" x14ac:dyDescent="0.2">
      <c r="B38" s="91" t="s">
        <v>225</v>
      </c>
      <c r="C38" s="92"/>
      <c r="D38" s="92"/>
      <c r="E38" s="92"/>
      <c r="F38" s="93"/>
      <c r="G38" s="59">
        <v>1</v>
      </c>
      <c r="H38" s="59" t="s">
        <v>171</v>
      </c>
      <c r="I38" s="59" t="s">
        <v>171</v>
      </c>
      <c r="J38" s="59" t="s">
        <v>171</v>
      </c>
      <c r="K38" s="91"/>
      <c r="L38" s="92"/>
      <c r="M38" s="92"/>
      <c r="N38" s="92"/>
      <c r="O38" s="92"/>
      <c r="P38" s="92"/>
      <c r="Q38" s="93"/>
      <c r="R38" s="59"/>
      <c r="S38" s="59"/>
      <c r="T38" s="59"/>
      <c r="U38" s="59"/>
    </row>
    <row r="39" spans="1:21" ht="18" customHeight="1" x14ac:dyDescent="0.2">
      <c r="B39" s="84"/>
      <c r="C39" s="85"/>
      <c r="D39" s="85"/>
      <c r="E39" s="85"/>
      <c r="F39" s="86"/>
      <c r="G39" s="60"/>
      <c r="H39" s="60"/>
      <c r="I39" s="60"/>
      <c r="J39" s="60"/>
      <c r="K39" s="84"/>
      <c r="L39" s="85"/>
      <c r="M39" s="85"/>
      <c r="N39" s="85"/>
      <c r="O39" s="85"/>
      <c r="P39" s="85"/>
      <c r="Q39" s="86"/>
      <c r="R39" s="60"/>
      <c r="S39" s="60"/>
      <c r="T39" s="60"/>
      <c r="U39" s="60"/>
    </row>
    <row r="40" spans="1:21" ht="18" customHeight="1" x14ac:dyDescent="0.2">
      <c r="B40" s="84"/>
      <c r="C40" s="85"/>
      <c r="D40" s="85"/>
      <c r="E40" s="85"/>
      <c r="F40" s="86"/>
      <c r="G40" s="60"/>
      <c r="H40" s="60"/>
      <c r="I40" s="60"/>
      <c r="J40" s="60"/>
      <c r="K40" s="84"/>
      <c r="L40" s="85"/>
      <c r="M40" s="85"/>
      <c r="N40" s="85"/>
      <c r="O40" s="85"/>
      <c r="P40" s="85"/>
      <c r="Q40" s="86"/>
      <c r="R40" s="60"/>
      <c r="S40" s="60"/>
      <c r="T40" s="60"/>
      <c r="U40" s="60"/>
    </row>
    <row r="41" spans="1:21" ht="18" customHeight="1" x14ac:dyDescent="0.2">
      <c r="B41" s="84"/>
      <c r="C41" s="85"/>
      <c r="D41" s="85"/>
      <c r="E41" s="85"/>
      <c r="F41" s="86"/>
      <c r="G41" s="60"/>
      <c r="H41" s="60"/>
      <c r="I41" s="60"/>
      <c r="J41" s="60"/>
      <c r="K41" s="84"/>
      <c r="L41" s="85"/>
      <c r="M41" s="85"/>
      <c r="N41" s="85"/>
      <c r="O41" s="85"/>
      <c r="P41" s="85"/>
      <c r="Q41" s="86"/>
      <c r="R41" s="60"/>
      <c r="S41" s="60"/>
      <c r="T41" s="60"/>
      <c r="U41" s="60"/>
    </row>
    <row r="42" spans="1:21" ht="18" customHeight="1" x14ac:dyDescent="0.2">
      <c r="B42" s="84"/>
      <c r="C42" s="85"/>
      <c r="D42" s="85"/>
      <c r="E42" s="85"/>
      <c r="F42" s="86"/>
      <c r="G42" s="60"/>
      <c r="H42" s="60"/>
      <c r="I42" s="60"/>
      <c r="J42" s="60"/>
      <c r="K42" s="84"/>
      <c r="L42" s="85"/>
      <c r="M42" s="85"/>
      <c r="N42" s="85"/>
      <c r="O42" s="85"/>
      <c r="P42" s="85"/>
      <c r="Q42" s="86"/>
      <c r="R42" s="60"/>
      <c r="S42" s="60"/>
      <c r="T42" s="60"/>
      <c r="U42" s="60"/>
    </row>
    <row r="43" spans="1:21" ht="18" customHeight="1" x14ac:dyDescent="0.2">
      <c r="B43" s="84"/>
      <c r="C43" s="85"/>
      <c r="D43" s="85"/>
      <c r="E43" s="85"/>
      <c r="F43" s="86"/>
      <c r="G43" s="60"/>
      <c r="H43" s="60"/>
      <c r="I43" s="60"/>
      <c r="J43" s="60"/>
      <c r="K43" s="84"/>
      <c r="L43" s="85"/>
      <c r="M43" s="85"/>
      <c r="N43" s="85"/>
      <c r="O43" s="85"/>
      <c r="P43" s="85"/>
      <c r="Q43" s="86"/>
      <c r="R43" s="60"/>
      <c r="S43" s="60"/>
      <c r="T43" s="60"/>
      <c r="U43" s="60"/>
    </row>
    <row r="44" spans="1:21" ht="18" customHeight="1" x14ac:dyDescent="0.2">
      <c r="B44" s="87"/>
      <c r="C44" s="88"/>
      <c r="D44" s="88"/>
      <c r="E44" s="88"/>
      <c r="F44" s="89"/>
      <c r="G44" s="61"/>
      <c r="H44" s="61"/>
      <c r="I44" s="62"/>
      <c r="J44" s="62"/>
      <c r="K44" s="87"/>
      <c r="L44" s="88"/>
      <c r="M44" s="88"/>
      <c r="N44" s="88"/>
      <c r="O44" s="88"/>
      <c r="P44" s="88"/>
      <c r="Q44" s="89"/>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0" t="s">
        <v>97</v>
      </c>
      <c r="B46" s="90"/>
      <c r="C46" s="90"/>
      <c r="D46" s="90"/>
      <c r="E46" s="90"/>
      <c r="F46" s="90"/>
      <c r="G46" s="90"/>
      <c r="H46" s="90"/>
      <c r="I46" s="90"/>
      <c r="J46" s="90"/>
      <c r="K46" s="90"/>
      <c r="L46" s="90"/>
      <c r="M46" s="90"/>
      <c r="N46" s="90"/>
      <c r="O46" s="90"/>
      <c r="P46" s="90"/>
      <c r="Q46" s="90"/>
      <c r="R46" s="90"/>
      <c r="S46" s="90"/>
      <c r="T46" s="90"/>
      <c r="U46" s="90"/>
    </row>
    <row r="47" spans="1:21" ht="18" customHeight="1" x14ac:dyDescent="0.2">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2">
      <c r="B48" s="97" t="s">
        <v>47</v>
      </c>
      <c r="C48" s="98"/>
      <c r="D48" s="98"/>
      <c r="E48" s="98"/>
      <c r="F48" s="99"/>
      <c r="G48" s="56" t="s">
        <v>72</v>
      </c>
      <c r="H48" s="57" t="s">
        <v>75</v>
      </c>
      <c r="I48" s="58" t="s">
        <v>65</v>
      </c>
      <c r="J48" s="58" t="s">
        <v>66</v>
      </c>
      <c r="K48" s="97" t="s">
        <v>47</v>
      </c>
      <c r="L48" s="98"/>
      <c r="M48" s="98"/>
      <c r="N48" s="98"/>
      <c r="O48" s="98"/>
      <c r="P48" s="98"/>
      <c r="Q48" s="99"/>
      <c r="R48" s="56" t="s">
        <v>72</v>
      </c>
      <c r="S48" s="57" t="s">
        <v>75</v>
      </c>
      <c r="T48" s="58" t="s">
        <v>65</v>
      </c>
      <c r="U48" s="58" t="s">
        <v>66</v>
      </c>
    </row>
    <row r="49" spans="1:21" ht="18" customHeight="1" x14ac:dyDescent="0.2">
      <c r="A49" s="3"/>
      <c r="B49" s="91" t="s">
        <v>225</v>
      </c>
      <c r="C49" s="92"/>
      <c r="D49" s="92"/>
      <c r="E49" s="92"/>
      <c r="F49" s="93"/>
      <c r="G49" s="59">
        <v>1</v>
      </c>
      <c r="H49" s="59" t="s">
        <v>171</v>
      </c>
      <c r="I49" s="59" t="s">
        <v>171</v>
      </c>
      <c r="J49" s="59" t="s">
        <v>171</v>
      </c>
      <c r="K49" s="91"/>
      <c r="L49" s="92"/>
      <c r="M49" s="92"/>
      <c r="N49" s="92"/>
      <c r="O49" s="92"/>
      <c r="P49" s="92"/>
      <c r="Q49" s="93"/>
      <c r="R49" s="59"/>
      <c r="S49" s="59"/>
      <c r="T49" s="59"/>
      <c r="U49" s="59"/>
    </row>
    <row r="50" spans="1:21" ht="18" customHeight="1" x14ac:dyDescent="0.2">
      <c r="A50" s="3"/>
      <c r="B50" s="84"/>
      <c r="C50" s="85"/>
      <c r="D50" s="85"/>
      <c r="E50" s="85"/>
      <c r="F50" s="86"/>
      <c r="G50" s="60"/>
      <c r="H50" s="60"/>
      <c r="I50" s="60"/>
      <c r="J50" s="60"/>
      <c r="K50" s="84"/>
      <c r="L50" s="85"/>
      <c r="M50" s="85"/>
      <c r="N50" s="85"/>
      <c r="O50" s="85"/>
      <c r="P50" s="85"/>
      <c r="Q50" s="86"/>
      <c r="R50" s="60"/>
      <c r="S50" s="60"/>
      <c r="T50" s="60"/>
      <c r="U50" s="60"/>
    </row>
    <row r="51" spans="1:21" ht="18" customHeight="1" x14ac:dyDescent="0.2">
      <c r="A51" s="3"/>
      <c r="B51" s="84"/>
      <c r="C51" s="85"/>
      <c r="D51" s="85"/>
      <c r="E51" s="85"/>
      <c r="F51" s="86"/>
      <c r="G51" s="60"/>
      <c r="H51" s="60"/>
      <c r="I51" s="60"/>
      <c r="J51" s="60"/>
      <c r="K51" s="84"/>
      <c r="L51" s="85"/>
      <c r="M51" s="85"/>
      <c r="N51" s="85"/>
      <c r="O51" s="85"/>
      <c r="P51" s="85"/>
      <c r="Q51" s="86"/>
      <c r="R51" s="60"/>
      <c r="S51" s="60"/>
      <c r="T51" s="60"/>
      <c r="U51" s="60"/>
    </row>
    <row r="52" spans="1:21" ht="18" customHeight="1" x14ac:dyDescent="0.2">
      <c r="A52" s="3"/>
      <c r="B52" s="84"/>
      <c r="C52" s="85"/>
      <c r="D52" s="85"/>
      <c r="E52" s="85"/>
      <c r="F52" s="86"/>
      <c r="G52" s="60"/>
      <c r="H52" s="60"/>
      <c r="I52" s="60"/>
      <c r="J52" s="60"/>
      <c r="K52" s="84"/>
      <c r="L52" s="85"/>
      <c r="M52" s="85"/>
      <c r="N52" s="85"/>
      <c r="O52" s="85"/>
      <c r="P52" s="85"/>
      <c r="Q52" s="86"/>
      <c r="R52" s="60"/>
      <c r="S52" s="60"/>
      <c r="T52" s="60"/>
      <c r="U52" s="60"/>
    </row>
    <row r="53" spans="1:21" ht="18" customHeight="1" x14ac:dyDescent="0.2">
      <c r="A53" s="3"/>
      <c r="B53" s="84"/>
      <c r="C53" s="85"/>
      <c r="D53" s="85"/>
      <c r="E53" s="85"/>
      <c r="F53" s="86"/>
      <c r="G53" s="60"/>
      <c r="H53" s="60"/>
      <c r="I53" s="60"/>
      <c r="J53" s="60"/>
      <c r="K53" s="84"/>
      <c r="L53" s="85"/>
      <c r="M53" s="85"/>
      <c r="N53" s="85"/>
      <c r="O53" s="85"/>
      <c r="P53" s="85"/>
      <c r="Q53" s="86"/>
      <c r="R53" s="60"/>
      <c r="S53" s="60"/>
      <c r="T53" s="60"/>
      <c r="U53" s="60"/>
    </row>
    <row r="54" spans="1:21" ht="18" customHeight="1" x14ac:dyDescent="0.2">
      <c r="A54" s="3"/>
      <c r="B54" s="84"/>
      <c r="C54" s="85"/>
      <c r="D54" s="85"/>
      <c r="E54" s="85"/>
      <c r="F54" s="86"/>
      <c r="G54" s="60"/>
      <c r="H54" s="60"/>
      <c r="I54" s="60"/>
      <c r="J54" s="60"/>
      <c r="K54" s="84"/>
      <c r="L54" s="85"/>
      <c r="M54" s="85"/>
      <c r="N54" s="85"/>
      <c r="O54" s="85"/>
      <c r="P54" s="85"/>
      <c r="Q54" s="86"/>
      <c r="R54" s="60"/>
      <c r="S54" s="60"/>
      <c r="T54" s="60"/>
      <c r="U54" s="60"/>
    </row>
    <row r="55" spans="1:21" ht="18" customHeight="1" x14ac:dyDescent="0.2">
      <c r="A55" s="3"/>
      <c r="B55" s="87"/>
      <c r="C55" s="88"/>
      <c r="D55" s="88"/>
      <c r="E55" s="88"/>
      <c r="F55" s="89"/>
      <c r="G55" s="61"/>
      <c r="H55" s="61"/>
      <c r="I55" s="62"/>
      <c r="J55" s="62"/>
      <c r="K55" s="87"/>
      <c r="L55" s="88"/>
      <c r="M55" s="88"/>
      <c r="N55" s="88"/>
      <c r="O55" s="88"/>
      <c r="P55" s="88"/>
      <c r="Q55" s="89"/>
      <c r="R55" s="61"/>
      <c r="S55" s="61"/>
      <c r="T55" s="62"/>
      <c r="U55" s="62"/>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90" t="s">
        <v>98</v>
      </c>
      <c r="B57" s="90"/>
      <c r="C57" s="90"/>
      <c r="D57" s="90"/>
      <c r="E57" s="90"/>
      <c r="F57" s="90"/>
      <c r="G57" s="90"/>
      <c r="H57" s="90"/>
      <c r="I57" s="90"/>
      <c r="J57" s="90"/>
      <c r="K57" s="90"/>
      <c r="L57" s="90"/>
      <c r="M57" s="90"/>
      <c r="N57" s="90"/>
      <c r="O57" s="90"/>
      <c r="P57" s="90"/>
      <c r="Q57" s="90"/>
      <c r="R57" s="90"/>
      <c r="S57" s="90"/>
      <c r="T57" s="90"/>
      <c r="U57" s="90"/>
    </row>
    <row r="58" spans="1:21" ht="18" customHeight="1" x14ac:dyDescent="0.2">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2">
      <c r="B59" s="97" t="s">
        <v>47</v>
      </c>
      <c r="C59" s="98"/>
      <c r="D59" s="98"/>
      <c r="E59" s="98"/>
      <c r="F59" s="99"/>
      <c r="G59" s="56" t="s">
        <v>72</v>
      </c>
      <c r="H59" s="57" t="s">
        <v>75</v>
      </c>
      <c r="I59" s="58" t="s">
        <v>52</v>
      </c>
      <c r="J59" s="58" t="s">
        <v>54</v>
      </c>
      <c r="K59" s="97" t="s">
        <v>47</v>
      </c>
      <c r="L59" s="98"/>
      <c r="M59" s="98"/>
      <c r="N59" s="98"/>
      <c r="O59" s="98"/>
      <c r="P59" s="98"/>
      <c r="Q59" s="99"/>
      <c r="R59" s="56" t="s">
        <v>72</v>
      </c>
      <c r="S59" s="57" t="s">
        <v>75</v>
      </c>
      <c r="T59" s="58" t="s">
        <v>52</v>
      </c>
      <c r="U59" s="58" t="s">
        <v>54</v>
      </c>
    </row>
    <row r="60" spans="1:21" ht="18" customHeight="1" x14ac:dyDescent="0.2">
      <c r="A60" s="3"/>
      <c r="B60" s="91" t="s">
        <v>225</v>
      </c>
      <c r="C60" s="92"/>
      <c r="D60" s="92"/>
      <c r="E60" s="92"/>
      <c r="F60" s="93"/>
      <c r="G60" s="59">
        <v>1</v>
      </c>
      <c r="H60" s="59" t="s">
        <v>171</v>
      </c>
      <c r="I60" s="59" t="s">
        <v>171</v>
      </c>
      <c r="J60" s="59" t="s">
        <v>171</v>
      </c>
      <c r="K60" s="91"/>
      <c r="L60" s="92"/>
      <c r="M60" s="92"/>
      <c r="N60" s="92"/>
      <c r="O60" s="92"/>
      <c r="P60" s="92"/>
      <c r="Q60" s="93"/>
      <c r="R60" s="59"/>
      <c r="S60" s="59"/>
      <c r="T60" s="59"/>
      <c r="U60" s="59"/>
    </row>
    <row r="61" spans="1:21" ht="18" customHeight="1" x14ac:dyDescent="0.2">
      <c r="A61" s="3"/>
      <c r="B61" s="84"/>
      <c r="C61" s="85"/>
      <c r="D61" s="85"/>
      <c r="E61" s="85"/>
      <c r="F61" s="86"/>
      <c r="G61" s="60"/>
      <c r="H61" s="60"/>
      <c r="I61" s="60"/>
      <c r="J61" s="60"/>
      <c r="K61" s="84"/>
      <c r="L61" s="85"/>
      <c r="M61" s="85"/>
      <c r="N61" s="85"/>
      <c r="O61" s="85"/>
      <c r="P61" s="85"/>
      <c r="Q61" s="86"/>
      <c r="R61" s="60"/>
      <c r="S61" s="60"/>
      <c r="T61" s="60"/>
      <c r="U61" s="60"/>
    </row>
    <row r="62" spans="1:21" ht="18" customHeight="1" x14ac:dyDescent="0.2">
      <c r="A62" s="3"/>
      <c r="B62" s="84"/>
      <c r="C62" s="85"/>
      <c r="D62" s="85"/>
      <c r="E62" s="85"/>
      <c r="F62" s="86"/>
      <c r="G62" s="60"/>
      <c r="H62" s="60"/>
      <c r="I62" s="60"/>
      <c r="J62" s="60"/>
      <c r="K62" s="84"/>
      <c r="L62" s="85"/>
      <c r="M62" s="85"/>
      <c r="N62" s="85"/>
      <c r="O62" s="85"/>
      <c r="P62" s="85"/>
      <c r="Q62" s="86"/>
      <c r="R62" s="60"/>
      <c r="S62" s="60"/>
      <c r="T62" s="60"/>
      <c r="U62" s="60"/>
    </row>
    <row r="63" spans="1:21" ht="18" customHeight="1" x14ac:dyDescent="0.2">
      <c r="A63" s="3"/>
      <c r="B63" s="84"/>
      <c r="C63" s="85"/>
      <c r="D63" s="85"/>
      <c r="E63" s="85"/>
      <c r="F63" s="86"/>
      <c r="G63" s="60"/>
      <c r="H63" s="60"/>
      <c r="I63" s="60"/>
      <c r="J63" s="60"/>
      <c r="K63" s="84"/>
      <c r="L63" s="85"/>
      <c r="M63" s="85"/>
      <c r="N63" s="85"/>
      <c r="O63" s="85"/>
      <c r="P63" s="85"/>
      <c r="Q63" s="86"/>
      <c r="R63" s="60"/>
      <c r="S63" s="60"/>
      <c r="T63" s="60"/>
      <c r="U63" s="60"/>
    </row>
    <row r="64" spans="1:21" ht="18" customHeight="1" x14ac:dyDescent="0.2">
      <c r="A64" s="3"/>
      <c r="B64" s="84"/>
      <c r="C64" s="85"/>
      <c r="D64" s="85"/>
      <c r="E64" s="85"/>
      <c r="F64" s="86"/>
      <c r="G64" s="60"/>
      <c r="H64" s="60"/>
      <c r="I64" s="60"/>
      <c r="J64" s="60"/>
      <c r="K64" s="84"/>
      <c r="L64" s="85"/>
      <c r="M64" s="85"/>
      <c r="N64" s="85"/>
      <c r="O64" s="85"/>
      <c r="P64" s="85"/>
      <c r="Q64" s="86"/>
      <c r="R64" s="60"/>
      <c r="S64" s="60"/>
      <c r="T64" s="60"/>
      <c r="U64" s="60"/>
    </row>
    <row r="65" spans="1:27" ht="18" customHeight="1" x14ac:dyDescent="0.2">
      <c r="A65" s="3"/>
      <c r="B65" s="84"/>
      <c r="C65" s="85"/>
      <c r="D65" s="85"/>
      <c r="E65" s="85"/>
      <c r="F65" s="86"/>
      <c r="G65" s="60"/>
      <c r="H65" s="60"/>
      <c r="I65" s="60"/>
      <c r="J65" s="60"/>
      <c r="K65" s="84"/>
      <c r="L65" s="85"/>
      <c r="M65" s="85"/>
      <c r="N65" s="85"/>
      <c r="O65" s="85"/>
      <c r="P65" s="85"/>
      <c r="Q65" s="86"/>
      <c r="R65" s="60"/>
      <c r="S65" s="60"/>
      <c r="T65" s="60"/>
      <c r="U65" s="60"/>
    </row>
    <row r="66" spans="1:27" ht="18" customHeight="1" x14ac:dyDescent="0.2">
      <c r="A66" s="3"/>
      <c r="B66" s="87"/>
      <c r="C66" s="88"/>
      <c r="D66" s="88"/>
      <c r="E66" s="88"/>
      <c r="F66" s="89"/>
      <c r="G66" s="61"/>
      <c r="H66" s="61"/>
      <c r="I66" s="62"/>
      <c r="J66" s="62"/>
      <c r="K66" s="87"/>
      <c r="L66" s="88"/>
      <c r="M66" s="88"/>
      <c r="N66" s="88"/>
      <c r="O66" s="88"/>
      <c r="P66" s="88"/>
      <c r="Q66" s="89"/>
      <c r="R66" s="61"/>
      <c r="S66" s="61"/>
      <c r="T66" s="62"/>
      <c r="U66" s="62"/>
    </row>
    <row r="67" spans="1:27" ht="7.5" customHeight="1" x14ac:dyDescent="0.2">
      <c r="B67" s="13"/>
      <c r="C67" s="13"/>
      <c r="D67" s="13"/>
      <c r="E67" s="13"/>
      <c r="F67" s="13"/>
      <c r="G67" s="13"/>
      <c r="H67" s="13"/>
      <c r="I67" s="13"/>
      <c r="J67" s="13"/>
      <c r="K67" s="13"/>
      <c r="L67" s="13"/>
      <c r="M67" s="13"/>
      <c r="N67" s="13"/>
      <c r="O67" s="13"/>
      <c r="P67" s="13"/>
      <c r="Q67" s="13"/>
      <c r="R67" s="13"/>
      <c r="S67" s="13"/>
      <c r="T67" s="13"/>
    </row>
    <row r="68" spans="1:27" ht="18" customHeight="1" x14ac:dyDescent="0.2">
      <c r="A68" s="90" t="s">
        <v>99</v>
      </c>
      <c r="B68" s="90"/>
      <c r="C68" s="90"/>
      <c r="D68" s="90"/>
      <c r="E68" s="90"/>
      <c r="F68" s="90"/>
      <c r="G68" s="90"/>
      <c r="H68" s="90"/>
      <c r="I68" s="90"/>
      <c r="J68" s="90"/>
      <c r="K68" s="90"/>
      <c r="L68" s="90"/>
      <c r="M68" s="90"/>
      <c r="N68" s="90"/>
      <c r="O68" s="90"/>
      <c r="P68" s="90"/>
      <c r="Q68" s="90"/>
      <c r="R68" s="90"/>
      <c r="S68" s="90"/>
      <c r="T68" s="90"/>
      <c r="U68" s="90"/>
    </row>
    <row r="69" spans="1:27" ht="18" customHeight="1" x14ac:dyDescent="0.2">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2">
      <c r="B70" s="97" t="s">
        <v>47</v>
      </c>
      <c r="C70" s="98"/>
      <c r="D70" s="98"/>
      <c r="E70" s="98"/>
      <c r="F70" s="56" t="s">
        <v>72</v>
      </c>
      <c r="G70" s="57" t="s">
        <v>75</v>
      </c>
      <c r="H70" s="58" t="s">
        <v>86</v>
      </c>
      <c r="I70" s="58" t="s">
        <v>67</v>
      </c>
      <c r="J70" s="58" t="s">
        <v>68</v>
      </c>
      <c r="K70" s="97" t="s">
        <v>47</v>
      </c>
      <c r="L70" s="98"/>
      <c r="M70" s="98"/>
      <c r="N70" s="98"/>
      <c r="O70" s="98"/>
      <c r="P70" s="99"/>
      <c r="Q70" s="56" t="s">
        <v>72</v>
      </c>
      <c r="R70" s="57" t="s">
        <v>75</v>
      </c>
      <c r="S70" s="58" t="s">
        <v>86</v>
      </c>
      <c r="T70" s="58" t="s">
        <v>67</v>
      </c>
      <c r="U70" s="58" t="s">
        <v>68</v>
      </c>
    </row>
    <row r="71" spans="1:27" ht="18" customHeight="1" x14ac:dyDescent="0.2">
      <c r="A71" s="3"/>
      <c r="B71" s="91" t="s">
        <v>226</v>
      </c>
      <c r="C71" s="92"/>
      <c r="D71" s="92"/>
      <c r="E71" s="92"/>
      <c r="F71" s="59">
        <v>1</v>
      </c>
      <c r="G71" s="59" t="s">
        <v>171</v>
      </c>
      <c r="H71" s="59" t="s">
        <v>171</v>
      </c>
      <c r="I71" s="59" t="s">
        <v>171</v>
      </c>
      <c r="J71" s="59" t="s">
        <v>171</v>
      </c>
      <c r="K71" s="91"/>
      <c r="L71" s="92"/>
      <c r="M71" s="92"/>
      <c r="N71" s="92"/>
      <c r="O71" s="92"/>
      <c r="P71" s="93"/>
      <c r="Q71" s="59"/>
      <c r="R71" s="59"/>
      <c r="S71" s="59"/>
      <c r="T71" s="59"/>
      <c r="U71" s="59"/>
    </row>
    <row r="72" spans="1:27" ht="18" customHeight="1" x14ac:dyDescent="0.2">
      <c r="A72" s="3"/>
      <c r="B72" s="84"/>
      <c r="C72" s="85"/>
      <c r="D72" s="85"/>
      <c r="E72" s="85"/>
      <c r="F72" s="60"/>
      <c r="G72" s="60"/>
      <c r="H72" s="60"/>
      <c r="I72" s="60"/>
      <c r="J72" s="60"/>
      <c r="K72" s="84"/>
      <c r="L72" s="85"/>
      <c r="M72" s="85"/>
      <c r="N72" s="85"/>
      <c r="O72" s="85"/>
      <c r="P72" s="86"/>
      <c r="Q72" s="60"/>
      <c r="R72" s="60"/>
      <c r="S72" s="60"/>
      <c r="T72" s="60"/>
      <c r="U72" s="60"/>
    </row>
    <row r="73" spans="1:27" ht="18" customHeight="1" x14ac:dyDescent="0.2">
      <c r="A73" s="3"/>
      <c r="B73" s="84"/>
      <c r="C73" s="85"/>
      <c r="D73" s="85"/>
      <c r="E73" s="85"/>
      <c r="F73" s="60"/>
      <c r="G73" s="60"/>
      <c r="H73" s="60"/>
      <c r="I73" s="60"/>
      <c r="J73" s="60"/>
      <c r="K73" s="84"/>
      <c r="L73" s="85"/>
      <c r="M73" s="85"/>
      <c r="N73" s="85"/>
      <c r="O73" s="85"/>
      <c r="P73" s="86"/>
      <c r="Q73" s="60"/>
      <c r="R73" s="60"/>
      <c r="S73" s="60"/>
      <c r="T73" s="60"/>
      <c r="U73" s="60"/>
    </row>
    <row r="74" spans="1:27" ht="18" customHeight="1" x14ac:dyDescent="0.2">
      <c r="A74" s="3"/>
      <c r="B74" s="84"/>
      <c r="C74" s="85"/>
      <c r="D74" s="85"/>
      <c r="E74" s="85"/>
      <c r="F74" s="60"/>
      <c r="G74" s="60"/>
      <c r="H74" s="60"/>
      <c r="I74" s="60"/>
      <c r="J74" s="60"/>
      <c r="K74" s="84"/>
      <c r="L74" s="85"/>
      <c r="M74" s="85"/>
      <c r="N74" s="85"/>
      <c r="O74" s="85"/>
      <c r="P74" s="86"/>
      <c r="Q74" s="60"/>
      <c r="R74" s="60"/>
      <c r="S74" s="60"/>
      <c r="T74" s="60"/>
      <c r="U74" s="60"/>
    </row>
    <row r="75" spans="1:27" ht="18" customHeight="1" x14ac:dyDescent="0.2">
      <c r="A75" s="3"/>
      <c r="B75" s="84"/>
      <c r="C75" s="85"/>
      <c r="D75" s="85"/>
      <c r="E75" s="85"/>
      <c r="F75" s="60"/>
      <c r="G75" s="60"/>
      <c r="H75" s="60"/>
      <c r="I75" s="60"/>
      <c r="J75" s="60"/>
      <c r="K75" s="84"/>
      <c r="L75" s="85"/>
      <c r="M75" s="85"/>
      <c r="N75" s="85"/>
      <c r="O75" s="85"/>
      <c r="P75" s="86"/>
      <c r="Q75" s="60"/>
      <c r="R75" s="60"/>
      <c r="S75" s="60"/>
      <c r="T75" s="60"/>
      <c r="U75" s="60"/>
    </row>
    <row r="76" spans="1:27" ht="18" customHeight="1" x14ac:dyDescent="0.2">
      <c r="A76" s="3"/>
      <c r="B76" s="84"/>
      <c r="C76" s="85"/>
      <c r="D76" s="85"/>
      <c r="E76" s="85"/>
      <c r="F76" s="60"/>
      <c r="G76" s="60"/>
      <c r="H76" s="60"/>
      <c r="I76" s="60"/>
      <c r="J76" s="60"/>
      <c r="K76" s="84"/>
      <c r="L76" s="85"/>
      <c r="M76" s="85"/>
      <c r="N76" s="85"/>
      <c r="O76" s="85"/>
      <c r="P76" s="86"/>
      <c r="Q76" s="60"/>
      <c r="R76" s="60"/>
      <c r="S76" s="60"/>
      <c r="T76" s="60"/>
      <c r="U76" s="60"/>
    </row>
    <row r="77" spans="1:27" ht="18" customHeight="1" x14ac:dyDescent="0.2">
      <c r="A77" s="3"/>
      <c r="B77" s="87"/>
      <c r="C77" s="88"/>
      <c r="D77" s="88"/>
      <c r="E77" s="88"/>
      <c r="F77" s="61"/>
      <c r="G77" s="61"/>
      <c r="H77" s="62"/>
      <c r="I77" s="62"/>
      <c r="J77" s="62"/>
      <c r="K77" s="87"/>
      <c r="L77" s="88"/>
      <c r="M77" s="88"/>
      <c r="N77" s="88"/>
      <c r="O77" s="88"/>
      <c r="P77" s="89"/>
      <c r="Q77" s="61"/>
      <c r="R77" s="61"/>
      <c r="S77" s="62"/>
      <c r="T77" s="62"/>
      <c r="U77" s="62"/>
    </row>
    <row r="78" spans="1:27" ht="7.5" customHeight="1" x14ac:dyDescent="0.2">
      <c r="B78" s="13"/>
      <c r="C78" s="13"/>
      <c r="D78" s="13"/>
      <c r="E78" s="13"/>
      <c r="F78" s="13"/>
      <c r="G78" s="13"/>
      <c r="H78" s="13"/>
      <c r="I78" s="13"/>
      <c r="J78" s="13"/>
      <c r="K78" s="13"/>
      <c r="L78" s="13"/>
      <c r="M78" s="13"/>
      <c r="N78" s="13"/>
      <c r="O78" s="13"/>
      <c r="P78" s="13"/>
      <c r="Q78" s="13"/>
      <c r="R78" s="13"/>
      <c r="S78" s="13"/>
      <c r="T78" s="13"/>
    </row>
    <row r="79" spans="1:27" ht="18" customHeight="1" x14ac:dyDescent="0.2">
      <c r="A79" s="1" t="s">
        <v>100</v>
      </c>
      <c r="I79" s="3"/>
      <c r="J79" s="3"/>
      <c r="K79" s="3"/>
      <c r="L79" s="3"/>
      <c r="M79" s="3"/>
      <c r="N79" s="3"/>
      <c r="O79" s="3"/>
      <c r="P79" s="3"/>
      <c r="Q79" s="3"/>
      <c r="R79" s="3"/>
      <c r="S79" s="3"/>
      <c r="T79" s="3"/>
      <c r="U79" s="3"/>
    </row>
    <row r="80" spans="1:27" ht="18" customHeight="1" x14ac:dyDescent="0.2">
      <c r="B80" s="97" t="s">
        <v>47</v>
      </c>
      <c r="C80" s="98"/>
      <c r="D80" s="98"/>
      <c r="E80" s="98"/>
      <c r="F80" s="99"/>
      <c r="G80" s="97" t="s">
        <v>73</v>
      </c>
      <c r="H80" s="98"/>
      <c r="I80" s="98"/>
      <c r="J80" s="99"/>
      <c r="K80" s="105" t="s">
        <v>47</v>
      </c>
      <c r="L80" s="106"/>
      <c r="M80" s="106"/>
      <c r="N80" s="106"/>
      <c r="O80" s="106"/>
      <c r="P80" s="106"/>
      <c r="Q80" s="107"/>
      <c r="R80" s="97" t="s">
        <v>73</v>
      </c>
      <c r="S80" s="98"/>
      <c r="T80" s="98"/>
      <c r="U80" s="99"/>
      <c r="AA80" s="1" t="s">
        <v>138</v>
      </c>
    </row>
    <row r="81" spans="1:27" ht="18" customHeight="1" x14ac:dyDescent="0.2">
      <c r="A81" s="3"/>
      <c r="B81" s="91"/>
      <c r="C81" s="92"/>
      <c r="D81" s="92"/>
      <c r="E81" s="92"/>
      <c r="F81" s="93"/>
      <c r="G81" s="94"/>
      <c r="H81" s="95"/>
      <c r="I81" s="95"/>
      <c r="J81" s="96"/>
      <c r="K81" s="91"/>
      <c r="L81" s="92"/>
      <c r="M81" s="92"/>
      <c r="N81" s="92"/>
      <c r="O81" s="92"/>
      <c r="P81" s="92"/>
      <c r="Q81" s="93"/>
      <c r="R81" s="94"/>
      <c r="S81" s="95"/>
      <c r="T81" s="95"/>
      <c r="U81" s="96"/>
      <c r="AA81" s="1" t="s">
        <v>131</v>
      </c>
    </row>
    <row r="82" spans="1:27" ht="18" customHeight="1" x14ac:dyDescent="0.2">
      <c r="A82" s="3"/>
      <c r="B82" s="84"/>
      <c r="C82" s="85"/>
      <c r="D82" s="85"/>
      <c r="E82" s="85"/>
      <c r="F82" s="86"/>
      <c r="G82" s="102"/>
      <c r="H82" s="103"/>
      <c r="I82" s="103"/>
      <c r="J82" s="104"/>
      <c r="K82" s="84"/>
      <c r="L82" s="85"/>
      <c r="M82" s="85"/>
      <c r="N82" s="85"/>
      <c r="O82" s="85"/>
      <c r="P82" s="85"/>
      <c r="Q82" s="86"/>
      <c r="R82" s="102"/>
      <c r="S82" s="103"/>
      <c r="T82" s="103"/>
      <c r="U82" s="104"/>
      <c r="AA82" s="1" t="s">
        <v>132</v>
      </c>
    </row>
    <row r="83" spans="1:27" ht="18" customHeight="1" x14ac:dyDescent="0.2">
      <c r="A83" s="3"/>
      <c r="B83" s="84"/>
      <c r="C83" s="85"/>
      <c r="D83" s="85"/>
      <c r="E83" s="85"/>
      <c r="F83" s="86"/>
      <c r="G83" s="102"/>
      <c r="H83" s="103"/>
      <c r="I83" s="103"/>
      <c r="J83" s="104"/>
      <c r="K83" s="84"/>
      <c r="L83" s="85"/>
      <c r="M83" s="85"/>
      <c r="N83" s="85"/>
      <c r="O83" s="85"/>
      <c r="P83" s="85"/>
      <c r="Q83" s="86"/>
      <c r="R83" s="102"/>
      <c r="S83" s="103"/>
      <c r="T83" s="103"/>
      <c r="U83" s="104"/>
      <c r="AA83" s="1" t="s">
        <v>133</v>
      </c>
    </row>
    <row r="84" spans="1:27" ht="18" customHeight="1" x14ac:dyDescent="0.2">
      <c r="A84" s="3"/>
      <c r="B84" s="84"/>
      <c r="C84" s="85"/>
      <c r="D84" s="85"/>
      <c r="E84" s="85"/>
      <c r="F84" s="86"/>
      <c r="G84" s="102"/>
      <c r="H84" s="103"/>
      <c r="I84" s="103"/>
      <c r="J84" s="104"/>
      <c r="K84" s="84"/>
      <c r="L84" s="85"/>
      <c r="M84" s="85"/>
      <c r="N84" s="85"/>
      <c r="O84" s="85"/>
      <c r="P84" s="85"/>
      <c r="Q84" s="86"/>
      <c r="R84" s="102"/>
      <c r="S84" s="103"/>
      <c r="T84" s="103"/>
      <c r="U84" s="104"/>
      <c r="AA84" s="1" t="s">
        <v>139</v>
      </c>
    </row>
    <row r="85" spans="1:27" ht="18" customHeight="1" x14ac:dyDescent="0.2">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x14ac:dyDescent="0.2">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x14ac:dyDescent="0.2">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101</v>
      </c>
      <c r="AA89" s="1" t="s">
        <v>137</v>
      </c>
    </row>
    <row r="90" spans="1:27" ht="18.75" customHeight="1" x14ac:dyDescent="0.2">
      <c r="B90" s="125" t="s">
        <v>48</v>
      </c>
      <c r="C90" s="126"/>
      <c r="D90" s="97" t="s">
        <v>49</v>
      </c>
      <c r="E90" s="98"/>
      <c r="F90" s="98"/>
      <c r="G90" s="98"/>
      <c r="H90" s="98"/>
      <c r="I90" s="98"/>
      <c r="J90" s="98"/>
      <c r="K90" s="98"/>
      <c r="L90" s="98"/>
      <c r="M90" s="98"/>
      <c r="N90" s="98"/>
      <c r="O90" s="98"/>
      <c r="P90" s="98"/>
      <c r="Q90" s="98"/>
      <c r="R90" s="98"/>
      <c r="S90" s="98"/>
      <c r="T90" s="98"/>
      <c r="U90" s="99"/>
    </row>
    <row r="91" spans="1:27" ht="97.5" customHeight="1" x14ac:dyDescent="0.2">
      <c r="B91" s="100" t="s">
        <v>55</v>
      </c>
      <c r="C91" s="64" t="s">
        <v>50</v>
      </c>
      <c r="D91" s="134" t="s">
        <v>227</v>
      </c>
      <c r="E91" s="135"/>
      <c r="F91" s="135"/>
      <c r="G91" s="135"/>
      <c r="H91" s="135"/>
      <c r="I91" s="135"/>
      <c r="J91" s="135"/>
      <c r="K91" s="135"/>
      <c r="L91" s="135"/>
      <c r="M91" s="135"/>
      <c r="N91" s="135"/>
      <c r="O91" s="135"/>
      <c r="P91" s="135"/>
      <c r="Q91" s="135"/>
      <c r="R91" s="135"/>
      <c r="S91" s="135"/>
      <c r="T91" s="135"/>
      <c r="U91" s="136"/>
    </row>
    <row r="92" spans="1:27" ht="97.5" customHeight="1" x14ac:dyDescent="0.2">
      <c r="B92" s="124"/>
      <c r="C92" s="65" t="s">
        <v>69</v>
      </c>
      <c r="D92" s="131" t="s">
        <v>228</v>
      </c>
      <c r="E92" s="132"/>
      <c r="F92" s="132"/>
      <c r="G92" s="132"/>
      <c r="H92" s="132"/>
      <c r="I92" s="132"/>
      <c r="J92" s="132"/>
      <c r="K92" s="132"/>
      <c r="L92" s="132"/>
      <c r="M92" s="132"/>
      <c r="N92" s="132"/>
      <c r="O92" s="132"/>
      <c r="P92" s="132"/>
      <c r="Q92" s="132"/>
      <c r="R92" s="132"/>
      <c r="S92" s="132"/>
      <c r="T92" s="132"/>
      <c r="U92" s="133"/>
    </row>
    <row r="93" spans="1:27" ht="97.5" customHeight="1" x14ac:dyDescent="0.2">
      <c r="B93" s="100" t="s">
        <v>56</v>
      </c>
      <c r="C93" s="66" t="s">
        <v>63</v>
      </c>
      <c r="D93" s="134" t="s">
        <v>229</v>
      </c>
      <c r="E93" s="135"/>
      <c r="F93" s="135"/>
      <c r="G93" s="135"/>
      <c r="H93" s="135"/>
      <c r="I93" s="135"/>
      <c r="J93" s="135"/>
      <c r="K93" s="135"/>
      <c r="L93" s="135"/>
      <c r="M93" s="135"/>
      <c r="N93" s="135"/>
      <c r="O93" s="135"/>
      <c r="P93" s="135"/>
      <c r="Q93" s="135"/>
      <c r="R93" s="135"/>
      <c r="S93" s="135"/>
      <c r="T93" s="135"/>
      <c r="U93" s="136"/>
    </row>
    <row r="94" spans="1:27" ht="97.5" customHeight="1" x14ac:dyDescent="0.2">
      <c r="B94" s="101"/>
      <c r="C94" s="67" t="s">
        <v>64</v>
      </c>
      <c r="D94" s="131" t="s">
        <v>230</v>
      </c>
      <c r="E94" s="132"/>
      <c r="F94" s="132"/>
      <c r="G94" s="132"/>
      <c r="H94" s="132"/>
      <c r="I94" s="132"/>
      <c r="J94" s="132"/>
      <c r="K94" s="132"/>
      <c r="L94" s="132"/>
      <c r="M94" s="132"/>
      <c r="N94" s="132"/>
      <c r="O94" s="132"/>
      <c r="P94" s="132"/>
      <c r="Q94" s="132"/>
      <c r="R94" s="132"/>
      <c r="S94" s="132"/>
      <c r="T94" s="132"/>
      <c r="U94" s="133"/>
    </row>
    <row r="95" spans="1:27" ht="97.5" customHeight="1" x14ac:dyDescent="0.2">
      <c r="B95" s="100" t="s">
        <v>57</v>
      </c>
      <c r="C95" s="66" t="s">
        <v>65</v>
      </c>
      <c r="D95" s="134" t="s">
        <v>231</v>
      </c>
      <c r="E95" s="135"/>
      <c r="F95" s="135"/>
      <c r="G95" s="135"/>
      <c r="H95" s="135"/>
      <c r="I95" s="135"/>
      <c r="J95" s="135"/>
      <c r="K95" s="135"/>
      <c r="L95" s="135"/>
      <c r="M95" s="135"/>
      <c r="N95" s="135"/>
      <c r="O95" s="135"/>
      <c r="P95" s="135"/>
      <c r="Q95" s="135"/>
      <c r="R95" s="135"/>
      <c r="S95" s="135"/>
      <c r="T95" s="135"/>
      <c r="U95" s="136"/>
    </row>
    <row r="96" spans="1:27" ht="97.5" customHeight="1" x14ac:dyDescent="0.2">
      <c r="B96" s="101"/>
      <c r="C96" s="68" t="s">
        <v>66</v>
      </c>
      <c r="D96" s="131" t="s">
        <v>232</v>
      </c>
      <c r="E96" s="132"/>
      <c r="F96" s="132"/>
      <c r="G96" s="132"/>
      <c r="H96" s="132"/>
      <c r="I96" s="132"/>
      <c r="J96" s="132"/>
      <c r="K96" s="132"/>
      <c r="L96" s="132"/>
      <c r="M96" s="132"/>
      <c r="N96" s="132"/>
      <c r="O96" s="132"/>
      <c r="P96" s="132"/>
      <c r="Q96" s="132"/>
      <c r="R96" s="132"/>
      <c r="S96" s="132"/>
      <c r="T96" s="132"/>
      <c r="U96" s="133"/>
    </row>
    <row r="97" spans="1:21" ht="97.5" customHeight="1" x14ac:dyDescent="0.2">
      <c r="B97" s="100" t="s">
        <v>70</v>
      </c>
      <c r="C97" s="64" t="s">
        <v>52</v>
      </c>
      <c r="D97" s="134" t="s">
        <v>236</v>
      </c>
      <c r="E97" s="135"/>
      <c r="F97" s="135"/>
      <c r="G97" s="135"/>
      <c r="H97" s="135"/>
      <c r="I97" s="135"/>
      <c r="J97" s="135"/>
      <c r="K97" s="135"/>
      <c r="L97" s="135"/>
      <c r="M97" s="135"/>
      <c r="N97" s="135"/>
      <c r="O97" s="135"/>
      <c r="P97" s="135"/>
      <c r="Q97" s="135"/>
      <c r="R97" s="135"/>
      <c r="S97" s="135"/>
      <c r="T97" s="135"/>
      <c r="U97" s="136"/>
    </row>
    <row r="98" spans="1:21" ht="97.5" customHeight="1" x14ac:dyDescent="0.2">
      <c r="B98" s="101"/>
      <c r="C98" s="67" t="s">
        <v>54</v>
      </c>
      <c r="D98" s="131" t="s">
        <v>237</v>
      </c>
      <c r="E98" s="132"/>
      <c r="F98" s="132"/>
      <c r="G98" s="132"/>
      <c r="H98" s="132"/>
      <c r="I98" s="132"/>
      <c r="J98" s="132"/>
      <c r="K98" s="132"/>
      <c r="L98" s="132"/>
      <c r="M98" s="132"/>
      <c r="N98" s="132"/>
      <c r="O98" s="132"/>
      <c r="P98" s="132"/>
      <c r="Q98" s="132"/>
      <c r="R98" s="132"/>
      <c r="S98" s="132"/>
      <c r="T98" s="132"/>
      <c r="U98" s="133"/>
    </row>
    <row r="99" spans="1:21" ht="97.5" customHeight="1" x14ac:dyDescent="0.2">
      <c r="B99" s="100" t="s">
        <v>71</v>
      </c>
      <c r="C99" s="66" t="s">
        <v>51</v>
      </c>
      <c r="D99" s="134" t="s">
        <v>233</v>
      </c>
      <c r="E99" s="135"/>
      <c r="F99" s="135"/>
      <c r="G99" s="135"/>
      <c r="H99" s="135"/>
      <c r="I99" s="135"/>
      <c r="J99" s="135"/>
      <c r="K99" s="135"/>
      <c r="L99" s="135"/>
      <c r="M99" s="135"/>
      <c r="N99" s="135"/>
      <c r="O99" s="135"/>
      <c r="P99" s="135"/>
      <c r="Q99" s="135"/>
      <c r="R99" s="135"/>
      <c r="S99" s="135"/>
      <c r="T99" s="135"/>
      <c r="U99" s="136"/>
    </row>
    <row r="100" spans="1:21" ht="97.5" customHeight="1" x14ac:dyDescent="0.2">
      <c r="B100" s="124"/>
      <c r="C100" s="69" t="s">
        <v>67</v>
      </c>
      <c r="D100" s="137" t="s">
        <v>234</v>
      </c>
      <c r="E100" s="138"/>
      <c r="F100" s="138"/>
      <c r="G100" s="138"/>
      <c r="H100" s="138"/>
      <c r="I100" s="138"/>
      <c r="J100" s="138"/>
      <c r="K100" s="138"/>
      <c r="L100" s="138"/>
      <c r="M100" s="138"/>
      <c r="N100" s="138"/>
      <c r="O100" s="138"/>
      <c r="P100" s="138"/>
      <c r="Q100" s="138"/>
      <c r="R100" s="138"/>
      <c r="S100" s="138"/>
      <c r="T100" s="138"/>
      <c r="U100" s="139"/>
    </row>
    <row r="101" spans="1:21" ht="97.5" customHeight="1" x14ac:dyDescent="0.2">
      <c r="B101" s="101"/>
      <c r="C101" s="68" t="s">
        <v>68</v>
      </c>
      <c r="D101" s="131" t="s">
        <v>235</v>
      </c>
      <c r="E101" s="132"/>
      <c r="F101" s="132"/>
      <c r="G101" s="132"/>
      <c r="H101" s="132"/>
      <c r="I101" s="132"/>
      <c r="J101" s="132"/>
      <c r="K101" s="132"/>
      <c r="L101" s="132"/>
      <c r="M101" s="132"/>
      <c r="N101" s="132"/>
      <c r="O101" s="132"/>
      <c r="P101" s="132"/>
      <c r="Q101" s="132"/>
      <c r="R101" s="132"/>
      <c r="S101" s="132"/>
      <c r="T101" s="132"/>
      <c r="U101" s="133"/>
    </row>
    <row r="102" spans="1:21" ht="6" customHeight="1" x14ac:dyDescent="0.2"/>
    <row r="103" spans="1:21" ht="18.75" customHeight="1" x14ac:dyDescent="0.2">
      <c r="A103" s="1" t="s">
        <v>102</v>
      </c>
    </row>
    <row r="104" spans="1:21" ht="81.75" customHeight="1" x14ac:dyDescent="0.2">
      <c r="B104" s="118" t="s">
        <v>238</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2"/>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G81:J87 R81:U87" xr:uid="{AD88D852-30DC-4977-AABE-256D325BE714}">
      <formula1>$AA$80:$AA$89</formula1>
    </dataValidation>
    <dataValidation type="list" allowBlank="1" showInputMessage="1" showErrorMessage="1" sqref="N22:U22" xr:uid="{F7F7E5BF-5F61-4B9A-BA53-77C92136A776}">
      <formula1>$X$16:$X$18</formula1>
    </dataValidation>
    <dataValidation type="list" allowBlank="1" showInputMessage="1" showErrorMessage="1" sqref="G88:J88 R88:U88" xr:uid="{9191BC70-9439-4859-8E33-028A51CC8E8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8FD523FA-3E2A-4D67-820C-A3C27662FE48}">
      <formula1>"学部・学科によって、修了要件は相違する,学部・学科によって、修了要件は相違しない"</formula1>
    </dataValidation>
    <dataValidation type="list" allowBlank="1" showInputMessage="1" showErrorMessage="1" sqref="U34 U45 E34:H34 E45:H45" xr:uid="{C1B5536B-E875-4199-B258-89471B208279}">
      <formula1>"全学開講,一部開講"</formula1>
    </dataValidation>
    <dataValidation type="list" allowBlank="1" showInputMessage="1" showErrorMessage="1" sqref="H27:J33 S27:U33 H38:J44 S38:U44 H49:J55 S49:U55 H60:J66 S60:U66 G71:J77 R71:U77" xr:uid="{9805F8A4-C96C-4C11-BF73-B6470E6031CD}">
      <formula1>"○"</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&amp;C数理・データサイエンス・AI教育プログラム認定制度【リテラシーレベル】令和7年度申請用</oddHeader>
  </headerFooter>
  <rowBreaks count="2" manualBreakCount="2">
    <brk id="67" max="16383" man="1"/>
    <brk id="9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453B-29EA-4A6F-A8E5-1EA605E9E894}">
  <sheetPr>
    <pageSetUpPr fitToPage="1"/>
  </sheetPr>
  <dimension ref="A1:AA107"/>
  <sheetViews>
    <sheetView showZeros="0" view="pageBreakPreview" zoomScaleNormal="100" zoomScaleSheetLayoutView="100" workbookViewId="0">
      <selection activeCell="B104" sqref="B104:U104"/>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7" t="s">
        <v>240</v>
      </c>
      <c r="U1" s="127"/>
      <c r="V1" s="2" t="s">
        <v>93</v>
      </c>
    </row>
    <row r="2" spans="1:24" ht="18.75" customHeight="1" x14ac:dyDescent="0.2">
      <c r="B2" s="15" t="s">
        <v>92</v>
      </c>
      <c r="C2" s="97" t="s">
        <v>152</v>
      </c>
      <c r="D2" s="98"/>
      <c r="E2" s="98"/>
      <c r="F2" s="98"/>
      <c r="G2" s="98"/>
      <c r="H2" s="98"/>
      <c r="I2" s="98"/>
      <c r="J2" s="99"/>
      <c r="K2" s="16"/>
      <c r="L2" s="6"/>
      <c r="M2" s="6"/>
      <c r="N2" s="6"/>
      <c r="O2" s="6"/>
      <c r="P2" s="6"/>
      <c r="Q2" s="6"/>
      <c r="R2" s="6"/>
      <c r="S2" s="6"/>
      <c r="T2" s="6"/>
      <c r="U2" s="6"/>
    </row>
    <row r="3" spans="1:24" ht="18.75" customHeight="1" x14ac:dyDescent="0.2">
      <c r="B3" s="15" t="s">
        <v>87</v>
      </c>
      <c r="C3" s="128" t="s">
        <v>153</v>
      </c>
      <c r="D3" s="129"/>
      <c r="E3" s="129"/>
      <c r="F3" s="129"/>
      <c r="G3" s="129"/>
      <c r="H3" s="129"/>
      <c r="I3" s="129"/>
      <c r="J3" s="130"/>
      <c r="K3" s="16"/>
      <c r="L3" s="6"/>
      <c r="M3" s="6"/>
      <c r="N3" s="6"/>
      <c r="O3" s="6"/>
      <c r="P3" s="6"/>
      <c r="Q3" s="6"/>
      <c r="R3" s="6"/>
      <c r="S3" s="6"/>
      <c r="T3" s="6"/>
      <c r="U3" s="6"/>
    </row>
    <row r="4" spans="1:24" ht="15" customHeight="1" x14ac:dyDescent="0.2">
      <c r="L4" s="16"/>
      <c r="M4" s="70"/>
      <c r="N4" s="70"/>
      <c r="O4" s="70"/>
      <c r="P4" s="70"/>
      <c r="Q4" s="70"/>
      <c r="R4" s="70"/>
      <c r="S4" s="70"/>
      <c r="T4" s="70"/>
      <c r="U4" s="70"/>
    </row>
    <row r="5" spans="1:24" ht="18" customHeight="1" x14ac:dyDescent="0.2">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3" t="s">
        <v>116</v>
      </c>
      <c r="M7" s="144"/>
      <c r="N7" s="144"/>
      <c r="O7" s="144"/>
      <c r="P7" s="144"/>
      <c r="Q7" s="144"/>
      <c r="R7" s="144"/>
      <c r="S7" s="144"/>
      <c r="T7" s="144"/>
      <c r="U7" s="145"/>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6"/>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46" t="s">
        <v>261</v>
      </c>
      <c r="C11" s="147"/>
      <c r="D11" s="147"/>
      <c r="E11" s="147"/>
      <c r="F11" s="147"/>
      <c r="G11" s="147"/>
      <c r="H11" s="147"/>
      <c r="I11" s="147"/>
      <c r="J11" s="147"/>
      <c r="K11" s="147"/>
      <c r="L11" s="147"/>
      <c r="M11" s="147"/>
      <c r="N11" s="147"/>
      <c r="O11" s="147"/>
      <c r="P11" s="147"/>
      <c r="Q11" s="147"/>
      <c r="R11" s="147"/>
      <c r="S11" s="147"/>
      <c r="T11" s="147"/>
      <c r="U11" s="148"/>
    </row>
    <row r="12" spans="1:24" ht="18" customHeight="1" x14ac:dyDescent="0.2">
      <c r="B12" s="149"/>
      <c r="C12" s="150"/>
      <c r="D12" s="150"/>
      <c r="E12" s="150"/>
      <c r="F12" s="150"/>
      <c r="G12" s="150"/>
      <c r="H12" s="150"/>
      <c r="I12" s="150"/>
      <c r="J12" s="150"/>
      <c r="K12" s="150"/>
      <c r="L12" s="150"/>
      <c r="M12" s="150"/>
      <c r="N12" s="150"/>
      <c r="O12" s="150"/>
      <c r="P12" s="150"/>
      <c r="Q12" s="150"/>
      <c r="R12" s="150"/>
      <c r="S12" s="150"/>
      <c r="T12" s="150"/>
      <c r="U12" s="151"/>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94</v>
      </c>
      <c r="B14" s="3"/>
      <c r="C14" s="3"/>
      <c r="D14" s="3"/>
      <c r="E14" s="16"/>
      <c r="F14" s="16"/>
      <c r="G14" s="16"/>
      <c r="H14" s="16"/>
      <c r="I14" s="16"/>
      <c r="J14" s="16"/>
      <c r="K14" s="16"/>
      <c r="L14" s="71"/>
      <c r="M14" s="71"/>
      <c r="N14" s="71"/>
      <c r="O14" s="71"/>
      <c r="P14" s="71"/>
      <c r="Q14" s="71"/>
      <c r="R14" s="71"/>
      <c r="S14" s="71"/>
      <c r="T14" s="71"/>
      <c r="U14" s="71"/>
    </row>
    <row r="15" spans="1:24" ht="18" customHeight="1" x14ac:dyDescent="0.2">
      <c r="B15" s="109" t="s">
        <v>241</v>
      </c>
      <c r="C15" s="110"/>
      <c r="D15" s="110"/>
      <c r="E15" s="110"/>
      <c r="F15" s="110"/>
      <c r="G15" s="110"/>
      <c r="H15" s="110"/>
      <c r="I15" s="110"/>
      <c r="J15" s="110"/>
      <c r="K15" s="110"/>
      <c r="L15" s="110"/>
      <c r="M15" s="110"/>
      <c r="N15" s="110"/>
      <c r="O15" s="110"/>
      <c r="P15" s="110"/>
      <c r="Q15" s="110"/>
      <c r="R15" s="110"/>
      <c r="S15" s="110"/>
      <c r="T15" s="110"/>
      <c r="U15" s="111"/>
      <c r="X15" s="1" t="s">
        <v>88</v>
      </c>
    </row>
    <row r="16" spans="1:24" ht="18"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2">
        <v>1</v>
      </c>
      <c r="F22" s="1" t="s">
        <v>106</v>
      </c>
      <c r="H22" s="17">
        <v>1</v>
      </c>
      <c r="I22" s="3" t="s">
        <v>107</v>
      </c>
      <c r="J22" s="3"/>
      <c r="K22" s="16"/>
      <c r="M22" s="16" t="s">
        <v>103</v>
      </c>
      <c r="N22" s="140" t="s">
        <v>124</v>
      </c>
      <c r="O22" s="141"/>
      <c r="P22" s="141"/>
      <c r="Q22" s="141"/>
      <c r="R22" s="141"/>
      <c r="S22" s="141"/>
      <c r="T22" s="141"/>
      <c r="U22" s="142"/>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0" t="s">
        <v>95</v>
      </c>
      <c r="B24" s="90"/>
      <c r="C24" s="90"/>
      <c r="D24" s="90"/>
      <c r="E24" s="90"/>
      <c r="F24" s="90"/>
      <c r="G24" s="90"/>
      <c r="H24" s="90"/>
      <c r="I24" s="90"/>
      <c r="J24" s="90"/>
      <c r="K24" s="90"/>
      <c r="L24" s="90"/>
      <c r="M24" s="90"/>
      <c r="N24" s="90"/>
      <c r="O24" s="90"/>
      <c r="P24" s="90"/>
      <c r="Q24" s="90"/>
      <c r="R24" s="90"/>
      <c r="S24" s="90"/>
      <c r="T24" s="90"/>
      <c r="U24" s="90"/>
    </row>
    <row r="25" spans="1:24" ht="18" customHeight="1" x14ac:dyDescent="0.2">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2">
      <c r="B26" s="97" t="s">
        <v>47</v>
      </c>
      <c r="C26" s="98"/>
      <c r="D26" s="98"/>
      <c r="E26" s="98"/>
      <c r="F26" s="99"/>
      <c r="G26" s="56" t="s">
        <v>72</v>
      </c>
      <c r="H26" s="57" t="s">
        <v>75</v>
      </c>
      <c r="I26" s="58" t="s">
        <v>50</v>
      </c>
      <c r="J26" s="58" t="s">
        <v>53</v>
      </c>
      <c r="K26" s="97" t="s">
        <v>47</v>
      </c>
      <c r="L26" s="98"/>
      <c r="M26" s="98"/>
      <c r="N26" s="98"/>
      <c r="O26" s="98"/>
      <c r="P26" s="98"/>
      <c r="Q26" s="99"/>
      <c r="R26" s="56" t="s">
        <v>72</v>
      </c>
      <c r="S26" s="57" t="s">
        <v>75</v>
      </c>
      <c r="T26" s="58" t="s">
        <v>50</v>
      </c>
      <c r="U26" s="58" t="s">
        <v>53</v>
      </c>
    </row>
    <row r="27" spans="1:24" ht="18" customHeight="1" x14ac:dyDescent="0.2">
      <c r="B27" s="91" t="s">
        <v>242</v>
      </c>
      <c r="C27" s="92"/>
      <c r="D27" s="92"/>
      <c r="E27" s="92"/>
      <c r="F27" s="93"/>
      <c r="G27" s="59">
        <v>1</v>
      </c>
      <c r="H27" s="59" t="s">
        <v>171</v>
      </c>
      <c r="I27" s="59" t="s">
        <v>171</v>
      </c>
      <c r="J27" s="59" t="s">
        <v>171</v>
      </c>
      <c r="K27" s="91"/>
      <c r="L27" s="92"/>
      <c r="M27" s="92"/>
      <c r="N27" s="92"/>
      <c r="O27" s="92"/>
      <c r="P27" s="92"/>
      <c r="Q27" s="93"/>
      <c r="R27" s="59"/>
      <c r="S27" s="59"/>
      <c r="T27" s="59"/>
      <c r="U27" s="59"/>
    </row>
    <row r="28" spans="1:24" ht="18" customHeight="1" x14ac:dyDescent="0.2">
      <c r="B28" s="84"/>
      <c r="C28" s="85"/>
      <c r="D28" s="85"/>
      <c r="E28" s="85"/>
      <c r="F28" s="86"/>
      <c r="G28" s="60"/>
      <c r="H28" s="60"/>
      <c r="I28" s="60"/>
      <c r="J28" s="60"/>
      <c r="K28" s="84"/>
      <c r="L28" s="85"/>
      <c r="M28" s="85"/>
      <c r="N28" s="85"/>
      <c r="O28" s="85"/>
      <c r="P28" s="85"/>
      <c r="Q28" s="86"/>
      <c r="R28" s="60"/>
      <c r="S28" s="60"/>
      <c r="T28" s="60"/>
      <c r="U28" s="60"/>
    </row>
    <row r="29" spans="1:24" ht="18" customHeight="1" x14ac:dyDescent="0.2">
      <c r="B29" s="84"/>
      <c r="C29" s="85"/>
      <c r="D29" s="85"/>
      <c r="E29" s="85"/>
      <c r="F29" s="86"/>
      <c r="G29" s="60"/>
      <c r="H29" s="60"/>
      <c r="I29" s="60"/>
      <c r="J29" s="60"/>
      <c r="K29" s="84"/>
      <c r="L29" s="85"/>
      <c r="M29" s="85"/>
      <c r="N29" s="85"/>
      <c r="O29" s="85"/>
      <c r="P29" s="85"/>
      <c r="Q29" s="86"/>
      <c r="R29" s="60"/>
      <c r="S29" s="60"/>
      <c r="T29" s="60"/>
      <c r="U29" s="60"/>
    </row>
    <row r="30" spans="1:24" ht="18" customHeight="1" x14ac:dyDescent="0.2">
      <c r="B30" s="84"/>
      <c r="C30" s="85"/>
      <c r="D30" s="85"/>
      <c r="E30" s="85"/>
      <c r="F30" s="86"/>
      <c r="G30" s="60"/>
      <c r="H30" s="60"/>
      <c r="I30" s="60"/>
      <c r="J30" s="60"/>
      <c r="K30" s="84"/>
      <c r="L30" s="85"/>
      <c r="M30" s="85"/>
      <c r="N30" s="85"/>
      <c r="O30" s="85"/>
      <c r="P30" s="85"/>
      <c r="Q30" s="86"/>
      <c r="R30" s="60"/>
      <c r="S30" s="60"/>
      <c r="T30" s="60"/>
      <c r="U30" s="60"/>
    </row>
    <row r="31" spans="1:24" ht="18" customHeight="1" x14ac:dyDescent="0.2">
      <c r="B31" s="84"/>
      <c r="C31" s="85"/>
      <c r="D31" s="85"/>
      <c r="E31" s="85"/>
      <c r="F31" s="86"/>
      <c r="G31" s="60"/>
      <c r="H31" s="60"/>
      <c r="I31" s="60"/>
      <c r="J31" s="60"/>
      <c r="K31" s="84"/>
      <c r="L31" s="85"/>
      <c r="M31" s="85"/>
      <c r="N31" s="85"/>
      <c r="O31" s="85"/>
      <c r="P31" s="85"/>
      <c r="Q31" s="86"/>
      <c r="R31" s="60"/>
      <c r="S31" s="60"/>
      <c r="T31" s="60"/>
      <c r="U31" s="60"/>
    </row>
    <row r="32" spans="1:24" ht="18" customHeight="1" x14ac:dyDescent="0.2">
      <c r="A32" s="3"/>
      <c r="B32" s="84"/>
      <c r="C32" s="85"/>
      <c r="D32" s="85"/>
      <c r="E32" s="85"/>
      <c r="F32" s="86"/>
      <c r="G32" s="60"/>
      <c r="H32" s="60"/>
      <c r="I32" s="60"/>
      <c r="J32" s="60"/>
      <c r="K32" s="84"/>
      <c r="L32" s="85"/>
      <c r="M32" s="85"/>
      <c r="N32" s="85"/>
      <c r="O32" s="85"/>
      <c r="P32" s="85"/>
      <c r="Q32" s="86"/>
      <c r="R32" s="60"/>
      <c r="S32" s="60"/>
      <c r="T32" s="60"/>
      <c r="U32" s="60"/>
    </row>
    <row r="33" spans="1:21" ht="18" customHeight="1" x14ac:dyDescent="0.2">
      <c r="A33" s="3"/>
      <c r="B33" s="87"/>
      <c r="C33" s="88"/>
      <c r="D33" s="88"/>
      <c r="E33" s="88"/>
      <c r="F33" s="89"/>
      <c r="G33" s="61"/>
      <c r="H33" s="61"/>
      <c r="I33" s="62"/>
      <c r="J33" s="62"/>
      <c r="K33" s="87"/>
      <c r="L33" s="88"/>
      <c r="M33" s="88"/>
      <c r="N33" s="88"/>
      <c r="O33" s="88"/>
      <c r="P33" s="88"/>
      <c r="Q33" s="89"/>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0" t="s">
        <v>96</v>
      </c>
      <c r="B35" s="90"/>
      <c r="C35" s="90"/>
      <c r="D35" s="90"/>
      <c r="E35" s="90"/>
      <c r="F35" s="90"/>
      <c r="G35" s="90"/>
      <c r="H35" s="90"/>
      <c r="I35" s="90"/>
      <c r="J35" s="90"/>
      <c r="K35" s="90"/>
      <c r="L35" s="90"/>
      <c r="M35" s="90"/>
      <c r="N35" s="90"/>
      <c r="O35" s="90"/>
      <c r="P35" s="90"/>
      <c r="Q35" s="90"/>
      <c r="R35" s="90"/>
      <c r="S35" s="90"/>
      <c r="T35" s="90"/>
      <c r="U35" s="90"/>
    </row>
    <row r="36" spans="1:21" ht="18" customHeight="1" x14ac:dyDescent="0.2">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2">
      <c r="B37" s="97" t="s">
        <v>47</v>
      </c>
      <c r="C37" s="98"/>
      <c r="D37" s="98"/>
      <c r="E37" s="98"/>
      <c r="F37" s="99"/>
      <c r="G37" s="56" t="s">
        <v>72</v>
      </c>
      <c r="H37" s="57" t="s">
        <v>75</v>
      </c>
      <c r="I37" s="58" t="s">
        <v>63</v>
      </c>
      <c r="J37" s="58" t="s">
        <v>64</v>
      </c>
      <c r="K37" s="97" t="s">
        <v>47</v>
      </c>
      <c r="L37" s="98"/>
      <c r="M37" s="98"/>
      <c r="N37" s="98"/>
      <c r="O37" s="98"/>
      <c r="P37" s="98"/>
      <c r="Q37" s="99"/>
      <c r="R37" s="56" t="s">
        <v>72</v>
      </c>
      <c r="S37" s="57" t="s">
        <v>75</v>
      </c>
      <c r="T37" s="58" t="s">
        <v>63</v>
      </c>
      <c r="U37" s="58" t="s">
        <v>64</v>
      </c>
    </row>
    <row r="38" spans="1:21" ht="18" customHeight="1" x14ac:dyDescent="0.2">
      <c r="B38" s="91" t="s">
        <v>242</v>
      </c>
      <c r="C38" s="92"/>
      <c r="D38" s="92"/>
      <c r="E38" s="92"/>
      <c r="F38" s="93"/>
      <c r="G38" s="59">
        <v>1</v>
      </c>
      <c r="H38" s="59" t="s">
        <v>171</v>
      </c>
      <c r="I38" s="59" t="s">
        <v>171</v>
      </c>
      <c r="J38" s="59" t="s">
        <v>171</v>
      </c>
      <c r="K38" s="91"/>
      <c r="L38" s="92"/>
      <c r="M38" s="92"/>
      <c r="N38" s="92"/>
      <c r="O38" s="92"/>
      <c r="P38" s="92"/>
      <c r="Q38" s="93"/>
      <c r="R38" s="59"/>
      <c r="S38" s="59"/>
      <c r="T38" s="59"/>
      <c r="U38" s="59"/>
    </row>
    <row r="39" spans="1:21" ht="18" customHeight="1" x14ac:dyDescent="0.2">
      <c r="B39" s="84"/>
      <c r="C39" s="85"/>
      <c r="D39" s="85"/>
      <c r="E39" s="85"/>
      <c r="F39" s="86"/>
      <c r="G39" s="60"/>
      <c r="H39" s="60"/>
      <c r="I39" s="60"/>
      <c r="J39" s="60"/>
      <c r="K39" s="84"/>
      <c r="L39" s="85"/>
      <c r="M39" s="85"/>
      <c r="N39" s="85"/>
      <c r="O39" s="85"/>
      <c r="P39" s="85"/>
      <c r="Q39" s="86"/>
      <c r="R39" s="60"/>
      <c r="S39" s="60"/>
      <c r="T39" s="60"/>
      <c r="U39" s="60"/>
    </row>
    <row r="40" spans="1:21" ht="18" customHeight="1" x14ac:dyDescent="0.2">
      <c r="B40" s="84"/>
      <c r="C40" s="85"/>
      <c r="D40" s="85"/>
      <c r="E40" s="85"/>
      <c r="F40" s="86"/>
      <c r="G40" s="60"/>
      <c r="H40" s="60"/>
      <c r="I40" s="60"/>
      <c r="J40" s="60"/>
      <c r="K40" s="84"/>
      <c r="L40" s="85"/>
      <c r="M40" s="85"/>
      <c r="N40" s="85"/>
      <c r="O40" s="85"/>
      <c r="P40" s="85"/>
      <c r="Q40" s="86"/>
      <c r="R40" s="60"/>
      <c r="S40" s="60"/>
      <c r="T40" s="60"/>
      <c r="U40" s="60"/>
    </row>
    <row r="41" spans="1:21" ht="18" customHeight="1" x14ac:dyDescent="0.2">
      <c r="B41" s="84"/>
      <c r="C41" s="85"/>
      <c r="D41" s="85"/>
      <c r="E41" s="85"/>
      <c r="F41" s="86"/>
      <c r="G41" s="60"/>
      <c r="H41" s="60"/>
      <c r="I41" s="60"/>
      <c r="J41" s="60"/>
      <c r="K41" s="84"/>
      <c r="L41" s="85"/>
      <c r="M41" s="85"/>
      <c r="N41" s="85"/>
      <c r="O41" s="85"/>
      <c r="P41" s="85"/>
      <c r="Q41" s="86"/>
      <c r="R41" s="60"/>
      <c r="S41" s="60"/>
      <c r="T41" s="60"/>
      <c r="U41" s="60"/>
    </row>
    <row r="42" spans="1:21" ht="18" customHeight="1" x14ac:dyDescent="0.2">
      <c r="B42" s="84"/>
      <c r="C42" s="85"/>
      <c r="D42" s="85"/>
      <c r="E42" s="85"/>
      <c r="F42" s="86"/>
      <c r="G42" s="60"/>
      <c r="H42" s="60"/>
      <c r="I42" s="60"/>
      <c r="J42" s="60"/>
      <c r="K42" s="84"/>
      <c r="L42" s="85"/>
      <c r="M42" s="85"/>
      <c r="N42" s="85"/>
      <c r="O42" s="85"/>
      <c r="P42" s="85"/>
      <c r="Q42" s="86"/>
      <c r="R42" s="60"/>
      <c r="S42" s="60"/>
      <c r="T42" s="60"/>
      <c r="U42" s="60"/>
    </row>
    <row r="43" spans="1:21" ht="18" customHeight="1" x14ac:dyDescent="0.2">
      <c r="B43" s="84"/>
      <c r="C43" s="85"/>
      <c r="D43" s="85"/>
      <c r="E43" s="85"/>
      <c r="F43" s="86"/>
      <c r="G43" s="60"/>
      <c r="H43" s="60"/>
      <c r="I43" s="60"/>
      <c r="J43" s="60"/>
      <c r="K43" s="84"/>
      <c r="L43" s="85"/>
      <c r="M43" s="85"/>
      <c r="N43" s="85"/>
      <c r="O43" s="85"/>
      <c r="P43" s="85"/>
      <c r="Q43" s="86"/>
      <c r="R43" s="60"/>
      <c r="S43" s="60"/>
      <c r="T43" s="60"/>
      <c r="U43" s="60"/>
    </row>
    <row r="44" spans="1:21" ht="18" customHeight="1" x14ac:dyDescent="0.2">
      <c r="B44" s="87"/>
      <c r="C44" s="88"/>
      <c r="D44" s="88"/>
      <c r="E44" s="88"/>
      <c r="F44" s="89"/>
      <c r="G44" s="61"/>
      <c r="H44" s="61"/>
      <c r="I44" s="62"/>
      <c r="J44" s="62"/>
      <c r="K44" s="87"/>
      <c r="L44" s="88"/>
      <c r="M44" s="88"/>
      <c r="N44" s="88"/>
      <c r="O44" s="88"/>
      <c r="P44" s="88"/>
      <c r="Q44" s="89"/>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0" t="s">
        <v>97</v>
      </c>
      <c r="B46" s="90"/>
      <c r="C46" s="90"/>
      <c r="D46" s="90"/>
      <c r="E46" s="90"/>
      <c r="F46" s="90"/>
      <c r="G46" s="90"/>
      <c r="H46" s="90"/>
      <c r="I46" s="90"/>
      <c r="J46" s="90"/>
      <c r="K46" s="90"/>
      <c r="L46" s="90"/>
      <c r="M46" s="90"/>
      <c r="N46" s="90"/>
      <c r="O46" s="90"/>
      <c r="P46" s="90"/>
      <c r="Q46" s="90"/>
      <c r="R46" s="90"/>
      <c r="S46" s="90"/>
      <c r="T46" s="90"/>
      <c r="U46" s="90"/>
    </row>
    <row r="47" spans="1:21" ht="18" customHeight="1" x14ac:dyDescent="0.2">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2">
      <c r="B48" s="97" t="s">
        <v>47</v>
      </c>
      <c r="C48" s="98"/>
      <c r="D48" s="98"/>
      <c r="E48" s="98"/>
      <c r="F48" s="99"/>
      <c r="G48" s="56" t="s">
        <v>72</v>
      </c>
      <c r="H48" s="57" t="s">
        <v>75</v>
      </c>
      <c r="I48" s="58" t="s">
        <v>65</v>
      </c>
      <c r="J48" s="58" t="s">
        <v>66</v>
      </c>
      <c r="K48" s="97" t="s">
        <v>47</v>
      </c>
      <c r="L48" s="98"/>
      <c r="M48" s="98"/>
      <c r="N48" s="98"/>
      <c r="O48" s="98"/>
      <c r="P48" s="98"/>
      <c r="Q48" s="99"/>
      <c r="R48" s="56" t="s">
        <v>72</v>
      </c>
      <c r="S48" s="57" t="s">
        <v>75</v>
      </c>
      <c r="T48" s="58" t="s">
        <v>65</v>
      </c>
      <c r="U48" s="58" t="s">
        <v>66</v>
      </c>
    </row>
    <row r="49" spans="1:21" ht="18" customHeight="1" x14ac:dyDescent="0.2">
      <c r="A49" s="3"/>
      <c r="B49" s="91" t="s">
        <v>243</v>
      </c>
      <c r="C49" s="92"/>
      <c r="D49" s="92"/>
      <c r="E49" s="92"/>
      <c r="F49" s="93"/>
      <c r="G49" s="59">
        <v>1</v>
      </c>
      <c r="H49" s="59" t="s">
        <v>171</v>
      </c>
      <c r="I49" s="59" t="s">
        <v>171</v>
      </c>
      <c r="J49" s="59" t="s">
        <v>171</v>
      </c>
      <c r="K49" s="91"/>
      <c r="L49" s="92"/>
      <c r="M49" s="92"/>
      <c r="N49" s="92"/>
      <c r="O49" s="92"/>
      <c r="P49" s="92"/>
      <c r="Q49" s="93"/>
      <c r="R49" s="59"/>
      <c r="S49" s="59"/>
      <c r="T49" s="59"/>
      <c r="U49" s="59"/>
    </row>
    <row r="50" spans="1:21" ht="18" customHeight="1" x14ac:dyDescent="0.2">
      <c r="A50" s="3"/>
      <c r="B50" s="84"/>
      <c r="C50" s="85"/>
      <c r="D50" s="85"/>
      <c r="E50" s="85"/>
      <c r="F50" s="86"/>
      <c r="G50" s="60"/>
      <c r="H50" s="60"/>
      <c r="I50" s="60"/>
      <c r="J50" s="60"/>
      <c r="K50" s="84"/>
      <c r="L50" s="85"/>
      <c r="M50" s="85"/>
      <c r="N50" s="85"/>
      <c r="O50" s="85"/>
      <c r="P50" s="85"/>
      <c r="Q50" s="86"/>
      <c r="R50" s="60"/>
      <c r="S50" s="60"/>
      <c r="T50" s="60"/>
      <c r="U50" s="60"/>
    </row>
    <row r="51" spans="1:21" ht="18" customHeight="1" x14ac:dyDescent="0.2">
      <c r="A51" s="3"/>
      <c r="B51" s="84"/>
      <c r="C51" s="85"/>
      <c r="D51" s="85"/>
      <c r="E51" s="85"/>
      <c r="F51" s="86"/>
      <c r="G51" s="60"/>
      <c r="H51" s="60"/>
      <c r="I51" s="60"/>
      <c r="J51" s="60"/>
      <c r="K51" s="84"/>
      <c r="L51" s="85"/>
      <c r="M51" s="85"/>
      <c r="N51" s="85"/>
      <c r="O51" s="85"/>
      <c r="P51" s="85"/>
      <c r="Q51" s="86"/>
      <c r="R51" s="60"/>
      <c r="S51" s="60"/>
      <c r="T51" s="60"/>
      <c r="U51" s="60"/>
    </row>
    <row r="52" spans="1:21" ht="18" customHeight="1" x14ac:dyDescent="0.2">
      <c r="A52" s="3"/>
      <c r="B52" s="84"/>
      <c r="C52" s="85"/>
      <c r="D52" s="85"/>
      <c r="E52" s="85"/>
      <c r="F52" s="86"/>
      <c r="G52" s="60"/>
      <c r="H52" s="60"/>
      <c r="I52" s="60"/>
      <c r="J52" s="60"/>
      <c r="K52" s="84"/>
      <c r="L52" s="85"/>
      <c r="M52" s="85"/>
      <c r="N52" s="85"/>
      <c r="O52" s="85"/>
      <c r="P52" s="85"/>
      <c r="Q52" s="86"/>
      <c r="R52" s="60"/>
      <c r="S52" s="60"/>
      <c r="T52" s="60"/>
      <c r="U52" s="60"/>
    </row>
    <row r="53" spans="1:21" ht="18" customHeight="1" x14ac:dyDescent="0.2">
      <c r="A53" s="3"/>
      <c r="B53" s="84"/>
      <c r="C53" s="85"/>
      <c r="D53" s="85"/>
      <c r="E53" s="85"/>
      <c r="F53" s="86"/>
      <c r="G53" s="60"/>
      <c r="H53" s="60"/>
      <c r="I53" s="60"/>
      <c r="J53" s="60"/>
      <c r="K53" s="84"/>
      <c r="L53" s="85"/>
      <c r="M53" s="85"/>
      <c r="N53" s="85"/>
      <c r="O53" s="85"/>
      <c r="P53" s="85"/>
      <c r="Q53" s="86"/>
      <c r="R53" s="60"/>
      <c r="S53" s="60"/>
      <c r="T53" s="60"/>
      <c r="U53" s="60"/>
    </row>
    <row r="54" spans="1:21" ht="18" customHeight="1" x14ac:dyDescent="0.2">
      <c r="A54" s="3"/>
      <c r="B54" s="84"/>
      <c r="C54" s="85"/>
      <c r="D54" s="85"/>
      <c r="E54" s="85"/>
      <c r="F54" s="86"/>
      <c r="G54" s="60"/>
      <c r="H54" s="60"/>
      <c r="I54" s="60"/>
      <c r="J54" s="60"/>
      <c r="K54" s="84"/>
      <c r="L54" s="85"/>
      <c r="M54" s="85"/>
      <c r="N54" s="85"/>
      <c r="O54" s="85"/>
      <c r="P54" s="85"/>
      <c r="Q54" s="86"/>
      <c r="R54" s="60"/>
      <c r="S54" s="60"/>
      <c r="T54" s="60"/>
      <c r="U54" s="60"/>
    </row>
    <row r="55" spans="1:21" ht="18" customHeight="1" x14ac:dyDescent="0.2">
      <c r="A55" s="3"/>
      <c r="B55" s="87"/>
      <c r="C55" s="88"/>
      <c r="D55" s="88"/>
      <c r="E55" s="88"/>
      <c r="F55" s="89"/>
      <c r="G55" s="61"/>
      <c r="H55" s="61"/>
      <c r="I55" s="62"/>
      <c r="J55" s="62"/>
      <c r="K55" s="87"/>
      <c r="L55" s="88"/>
      <c r="M55" s="88"/>
      <c r="N55" s="88"/>
      <c r="O55" s="88"/>
      <c r="P55" s="88"/>
      <c r="Q55" s="89"/>
      <c r="R55" s="61"/>
      <c r="S55" s="61"/>
      <c r="T55" s="62"/>
      <c r="U55" s="62"/>
    </row>
    <row r="56" spans="1:21" ht="7.5" customHeight="1" x14ac:dyDescent="0.2">
      <c r="B56" s="13"/>
      <c r="C56" s="13"/>
      <c r="D56" s="13"/>
      <c r="E56" s="13"/>
      <c r="F56" s="13"/>
      <c r="G56" s="13"/>
      <c r="H56" s="13"/>
      <c r="I56" s="13"/>
      <c r="J56" s="13"/>
      <c r="K56" s="13"/>
      <c r="L56" s="13"/>
      <c r="M56" s="13"/>
      <c r="N56" s="13"/>
      <c r="O56" s="13"/>
      <c r="P56" s="13"/>
      <c r="Q56" s="13"/>
      <c r="R56" s="13"/>
      <c r="S56" s="13"/>
      <c r="T56" s="13"/>
    </row>
    <row r="57" spans="1:21" ht="18" customHeight="1" x14ac:dyDescent="0.2">
      <c r="A57" s="90" t="s">
        <v>98</v>
      </c>
      <c r="B57" s="90"/>
      <c r="C57" s="90"/>
      <c r="D57" s="90"/>
      <c r="E57" s="90"/>
      <c r="F57" s="90"/>
      <c r="G57" s="90"/>
      <c r="H57" s="90"/>
      <c r="I57" s="90"/>
      <c r="J57" s="90"/>
      <c r="K57" s="90"/>
      <c r="L57" s="90"/>
      <c r="M57" s="90"/>
      <c r="N57" s="90"/>
      <c r="O57" s="90"/>
      <c r="P57" s="90"/>
      <c r="Q57" s="90"/>
      <c r="R57" s="90"/>
      <c r="S57" s="90"/>
      <c r="T57" s="90"/>
      <c r="U57" s="90"/>
    </row>
    <row r="58" spans="1:21" ht="18" customHeight="1" x14ac:dyDescent="0.2">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2">
      <c r="B59" s="97" t="s">
        <v>47</v>
      </c>
      <c r="C59" s="98"/>
      <c r="D59" s="98"/>
      <c r="E59" s="98"/>
      <c r="F59" s="99"/>
      <c r="G59" s="56" t="s">
        <v>72</v>
      </c>
      <c r="H59" s="57" t="s">
        <v>75</v>
      </c>
      <c r="I59" s="58" t="s">
        <v>52</v>
      </c>
      <c r="J59" s="58" t="s">
        <v>54</v>
      </c>
      <c r="K59" s="97" t="s">
        <v>47</v>
      </c>
      <c r="L59" s="98"/>
      <c r="M59" s="98"/>
      <c r="N59" s="98"/>
      <c r="O59" s="98"/>
      <c r="P59" s="98"/>
      <c r="Q59" s="99"/>
      <c r="R59" s="56" t="s">
        <v>72</v>
      </c>
      <c r="S59" s="57" t="s">
        <v>75</v>
      </c>
      <c r="T59" s="58" t="s">
        <v>52</v>
      </c>
      <c r="U59" s="58" t="s">
        <v>54</v>
      </c>
    </row>
    <row r="60" spans="1:21" ht="18" customHeight="1" x14ac:dyDescent="0.2">
      <c r="A60" s="3"/>
      <c r="B60" s="91" t="s">
        <v>243</v>
      </c>
      <c r="C60" s="92"/>
      <c r="D60" s="92"/>
      <c r="E60" s="92"/>
      <c r="F60" s="93"/>
      <c r="G60" s="59">
        <v>1</v>
      </c>
      <c r="H60" s="59" t="s">
        <v>171</v>
      </c>
      <c r="I60" s="59" t="s">
        <v>171</v>
      </c>
      <c r="J60" s="59" t="s">
        <v>171</v>
      </c>
      <c r="K60" s="91"/>
      <c r="L60" s="92"/>
      <c r="M60" s="92"/>
      <c r="N60" s="92"/>
      <c r="O60" s="92"/>
      <c r="P60" s="92"/>
      <c r="Q60" s="93"/>
      <c r="R60" s="59"/>
      <c r="S60" s="59"/>
      <c r="T60" s="59"/>
      <c r="U60" s="59"/>
    </row>
    <row r="61" spans="1:21" ht="18" customHeight="1" x14ac:dyDescent="0.2">
      <c r="A61" s="3"/>
      <c r="B61" s="84"/>
      <c r="C61" s="85"/>
      <c r="D61" s="85"/>
      <c r="E61" s="85"/>
      <c r="F61" s="86"/>
      <c r="G61" s="60"/>
      <c r="H61" s="60"/>
      <c r="I61" s="60"/>
      <c r="J61" s="60"/>
      <c r="K61" s="84"/>
      <c r="L61" s="85"/>
      <c r="M61" s="85"/>
      <c r="N61" s="85"/>
      <c r="O61" s="85"/>
      <c r="P61" s="85"/>
      <c r="Q61" s="86"/>
      <c r="R61" s="60"/>
      <c r="S61" s="60"/>
      <c r="T61" s="60"/>
      <c r="U61" s="60"/>
    </row>
    <row r="62" spans="1:21" ht="18" customHeight="1" x14ac:dyDescent="0.2">
      <c r="A62" s="3"/>
      <c r="B62" s="84"/>
      <c r="C62" s="85"/>
      <c r="D62" s="85"/>
      <c r="E62" s="85"/>
      <c r="F62" s="86"/>
      <c r="G62" s="60"/>
      <c r="H62" s="60"/>
      <c r="I62" s="60"/>
      <c r="J62" s="60"/>
      <c r="K62" s="84"/>
      <c r="L62" s="85"/>
      <c r="M62" s="85"/>
      <c r="N62" s="85"/>
      <c r="O62" s="85"/>
      <c r="P62" s="85"/>
      <c r="Q62" s="86"/>
      <c r="R62" s="60"/>
      <c r="S62" s="60"/>
      <c r="T62" s="60"/>
      <c r="U62" s="60"/>
    </row>
    <row r="63" spans="1:21" ht="18" customHeight="1" x14ac:dyDescent="0.2">
      <c r="A63" s="3"/>
      <c r="B63" s="84"/>
      <c r="C63" s="85"/>
      <c r="D63" s="85"/>
      <c r="E63" s="85"/>
      <c r="F63" s="86"/>
      <c r="G63" s="60"/>
      <c r="H63" s="60"/>
      <c r="I63" s="60"/>
      <c r="J63" s="60"/>
      <c r="K63" s="84"/>
      <c r="L63" s="85"/>
      <c r="M63" s="85"/>
      <c r="N63" s="85"/>
      <c r="O63" s="85"/>
      <c r="P63" s="85"/>
      <c r="Q63" s="86"/>
      <c r="R63" s="60"/>
      <c r="S63" s="60"/>
      <c r="T63" s="60"/>
      <c r="U63" s="60"/>
    </row>
    <row r="64" spans="1:21" ht="18" customHeight="1" x14ac:dyDescent="0.2">
      <c r="A64" s="3"/>
      <c r="B64" s="84"/>
      <c r="C64" s="85"/>
      <c r="D64" s="85"/>
      <c r="E64" s="85"/>
      <c r="F64" s="86"/>
      <c r="G64" s="60"/>
      <c r="H64" s="60"/>
      <c r="I64" s="60"/>
      <c r="J64" s="60"/>
      <c r="K64" s="84"/>
      <c r="L64" s="85"/>
      <c r="M64" s="85"/>
      <c r="N64" s="85"/>
      <c r="O64" s="85"/>
      <c r="P64" s="85"/>
      <c r="Q64" s="86"/>
      <c r="R64" s="60"/>
      <c r="S64" s="60"/>
      <c r="T64" s="60"/>
      <c r="U64" s="60"/>
    </row>
    <row r="65" spans="1:27" ht="18" customHeight="1" x14ac:dyDescent="0.2">
      <c r="A65" s="3"/>
      <c r="B65" s="84"/>
      <c r="C65" s="85"/>
      <c r="D65" s="85"/>
      <c r="E65" s="85"/>
      <c r="F65" s="86"/>
      <c r="G65" s="60"/>
      <c r="H65" s="60"/>
      <c r="I65" s="60"/>
      <c r="J65" s="60"/>
      <c r="K65" s="84"/>
      <c r="L65" s="85"/>
      <c r="M65" s="85"/>
      <c r="N65" s="85"/>
      <c r="O65" s="85"/>
      <c r="P65" s="85"/>
      <c r="Q65" s="86"/>
      <c r="R65" s="60"/>
      <c r="S65" s="60"/>
      <c r="T65" s="60"/>
      <c r="U65" s="60"/>
    </row>
    <row r="66" spans="1:27" ht="18" customHeight="1" x14ac:dyDescent="0.2">
      <c r="A66" s="3"/>
      <c r="B66" s="87"/>
      <c r="C66" s="88"/>
      <c r="D66" s="88"/>
      <c r="E66" s="88"/>
      <c r="F66" s="89"/>
      <c r="G66" s="61"/>
      <c r="H66" s="61"/>
      <c r="I66" s="62"/>
      <c r="J66" s="62"/>
      <c r="K66" s="87"/>
      <c r="L66" s="88"/>
      <c r="M66" s="88"/>
      <c r="N66" s="88"/>
      <c r="O66" s="88"/>
      <c r="P66" s="88"/>
      <c r="Q66" s="89"/>
      <c r="R66" s="61"/>
      <c r="S66" s="61"/>
      <c r="T66" s="62"/>
      <c r="U66" s="62"/>
    </row>
    <row r="67" spans="1:27" ht="7.5" customHeight="1" x14ac:dyDescent="0.2">
      <c r="B67" s="13"/>
      <c r="C67" s="13"/>
      <c r="D67" s="13"/>
      <c r="E67" s="13"/>
      <c r="F67" s="13"/>
      <c r="G67" s="13"/>
      <c r="H67" s="13"/>
      <c r="I67" s="13"/>
      <c r="J67" s="13"/>
      <c r="K67" s="13"/>
      <c r="L67" s="13"/>
      <c r="M67" s="13"/>
      <c r="N67" s="13"/>
      <c r="O67" s="13"/>
      <c r="P67" s="13"/>
      <c r="Q67" s="13"/>
      <c r="R67" s="13"/>
      <c r="S67" s="13"/>
      <c r="T67" s="13"/>
    </row>
    <row r="68" spans="1:27" ht="18" customHeight="1" x14ac:dyDescent="0.2">
      <c r="A68" s="90" t="s">
        <v>99</v>
      </c>
      <c r="B68" s="90"/>
      <c r="C68" s="90"/>
      <c r="D68" s="90"/>
      <c r="E68" s="90"/>
      <c r="F68" s="90"/>
      <c r="G68" s="90"/>
      <c r="H68" s="90"/>
      <c r="I68" s="90"/>
      <c r="J68" s="90"/>
      <c r="K68" s="90"/>
      <c r="L68" s="90"/>
      <c r="M68" s="90"/>
      <c r="N68" s="90"/>
      <c r="O68" s="90"/>
      <c r="P68" s="90"/>
      <c r="Q68" s="90"/>
      <c r="R68" s="90"/>
      <c r="S68" s="90"/>
      <c r="T68" s="90"/>
      <c r="U68" s="90"/>
    </row>
    <row r="69" spans="1:27" ht="18" customHeight="1" x14ac:dyDescent="0.2">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2">
      <c r="B70" s="97" t="s">
        <v>47</v>
      </c>
      <c r="C70" s="98"/>
      <c r="D70" s="98"/>
      <c r="E70" s="98"/>
      <c r="F70" s="56" t="s">
        <v>72</v>
      </c>
      <c r="G70" s="57" t="s">
        <v>75</v>
      </c>
      <c r="H70" s="58" t="s">
        <v>86</v>
      </c>
      <c r="I70" s="58" t="s">
        <v>67</v>
      </c>
      <c r="J70" s="58" t="s">
        <v>68</v>
      </c>
      <c r="K70" s="97" t="s">
        <v>47</v>
      </c>
      <c r="L70" s="98"/>
      <c r="M70" s="98"/>
      <c r="N70" s="98"/>
      <c r="O70" s="98"/>
      <c r="P70" s="99"/>
      <c r="Q70" s="56" t="s">
        <v>72</v>
      </c>
      <c r="R70" s="57" t="s">
        <v>75</v>
      </c>
      <c r="S70" s="58" t="s">
        <v>86</v>
      </c>
      <c r="T70" s="58" t="s">
        <v>67</v>
      </c>
      <c r="U70" s="58" t="s">
        <v>68</v>
      </c>
    </row>
    <row r="71" spans="1:27" ht="18" customHeight="1" x14ac:dyDescent="0.2">
      <c r="A71" s="3"/>
      <c r="B71" s="91" t="s">
        <v>243</v>
      </c>
      <c r="C71" s="92"/>
      <c r="D71" s="92"/>
      <c r="E71" s="92"/>
      <c r="F71" s="59">
        <v>1</v>
      </c>
      <c r="G71" s="59" t="s">
        <v>171</v>
      </c>
      <c r="H71" s="59" t="s">
        <v>171</v>
      </c>
      <c r="I71" s="59" t="s">
        <v>171</v>
      </c>
      <c r="J71" s="59" t="s">
        <v>171</v>
      </c>
      <c r="K71" s="91"/>
      <c r="L71" s="92"/>
      <c r="M71" s="92"/>
      <c r="N71" s="92"/>
      <c r="O71" s="92"/>
      <c r="P71" s="93"/>
      <c r="Q71" s="59"/>
      <c r="R71" s="59"/>
      <c r="S71" s="59"/>
      <c r="T71" s="59"/>
      <c r="U71" s="59"/>
    </row>
    <row r="72" spans="1:27" ht="18" customHeight="1" x14ac:dyDescent="0.2">
      <c r="A72" s="3"/>
      <c r="B72" s="84"/>
      <c r="C72" s="85"/>
      <c r="D72" s="85"/>
      <c r="E72" s="85"/>
      <c r="F72" s="60"/>
      <c r="G72" s="60"/>
      <c r="H72" s="60"/>
      <c r="I72" s="60"/>
      <c r="J72" s="60"/>
      <c r="K72" s="84"/>
      <c r="L72" s="85"/>
      <c r="M72" s="85"/>
      <c r="N72" s="85"/>
      <c r="O72" s="85"/>
      <c r="P72" s="86"/>
      <c r="Q72" s="60"/>
      <c r="R72" s="60"/>
      <c r="S72" s="60"/>
      <c r="T72" s="60"/>
      <c r="U72" s="60"/>
    </row>
    <row r="73" spans="1:27" ht="18" customHeight="1" x14ac:dyDescent="0.2">
      <c r="A73" s="3"/>
      <c r="B73" s="84"/>
      <c r="C73" s="85"/>
      <c r="D73" s="85"/>
      <c r="E73" s="85"/>
      <c r="F73" s="60"/>
      <c r="G73" s="60"/>
      <c r="H73" s="60"/>
      <c r="I73" s="60"/>
      <c r="J73" s="60"/>
      <c r="K73" s="84"/>
      <c r="L73" s="85"/>
      <c r="M73" s="85"/>
      <c r="N73" s="85"/>
      <c r="O73" s="85"/>
      <c r="P73" s="86"/>
      <c r="Q73" s="60"/>
      <c r="R73" s="60"/>
      <c r="S73" s="60"/>
      <c r="T73" s="60"/>
      <c r="U73" s="60"/>
    </row>
    <row r="74" spans="1:27" ht="18" customHeight="1" x14ac:dyDescent="0.2">
      <c r="A74" s="3"/>
      <c r="B74" s="84"/>
      <c r="C74" s="85"/>
      <c r="D74" s="85"/>
      <c r="E74" s="85"/>
      <c r="F74" s="60"/>
      <c r="G74" s="60"/>
      <c r="H74" s="60"/>
      <c r="I74" s="60"/>
      <c r="J74" s="60"/>
      <c r="K74" s="84"/>
      <c r="L74" s="85"/>
      <c r="M74" s="85"/>
      <c r="N74" s="85"/>
      <c r="O74" s="85"/>
      <c r="P74" s="86"/>
      <c r="Q74" s="60"/>
      <c r="R74" s="60"/>
      <c r="S74" s="60"/>
      <c r="T74" s="60"/>
      <c r="U74" s="60"/>
    </row>
    <row r="75" spans="1:27" ht="18" customHeight="1" x14ac:dyDescent="0.2">
      <c r="A75" s="3"/>
      <c r="B75" s="84"/>
      <c r="C75" s="85"/>
      <c r="D75" s="85"/>
      <c r="E75" s="85"/>
      <c r="F75" s="60"/>
      <c r="G75" s="60"/>
      <c r="H75" s="60"/>
      <c r="I75" s="60"/>
      <c r="J75" s="60"/>
      <c r="K75" s="84"/>
      <c r="L75" s="85"/>
      <c r="M75" s="85"/>
      <c r="N75" s="85"/>
      <c r="O75" s="85"/>
      <c r="P75" s="86"/>
      <c r="Q75" s="60"/>
      <c r="R75" s="60"/>
      <c r="S75" s="60"/>
      <c r="T75" s="60"/>
      <c r="U75" s="60"/>
    </row>
    <row r="76" spans="1:27" ht="18" customHeight="1" x14ac:dyDescent="0.2">
      <c r="A76" s="3"/>
      <c r="B76" s="84"/>
      <c r="C76" s="85"/>
      <c r="D76" s="85"/>
      <c r="E76" s="85"/>
      <c r="F76" s="60"/>
      <c r="G76" s="60"/>
      <c r="H76" s="60"/>
      <c r="I76" s="60"/>
      <c r="J76" s="60"/>
      <c r="K76" s="84"/>
      <c r="L76" s="85"/>
      <c r="M76" s="85"/>
      <c r="N76" s="85"/>
      <c r="O76" s="85"/>
      <c r="P76" s="86"/>
      <c r="Q76" s="60"/>
      <c r="R76" s="60"/>
      <c r="S76" s="60"/>
      <c r="T76" s="60"/>
      <c r="U76" s="60"/>
    </row>
    <row r="77" spans="1:27" ht="18" customHeight="1" x14ac:dyDescent="0.2">
      <c r="A77" s="3"/>
      <c r="B77" s="87"/>
      <c r="C77" s="88"/>
      <c r="D77" s="88"/>
      <c r="E77" s="88"/>
      <c r="F77" s="61"/>
      <c r="G77" s="61"/>
      <c r="H77" s="62"/>
      <c r="I77" s="62"/>
      <c r="J77" s="62"/>
      <c r="K77" s="87"/>
      <c r="L77" s="88"/>
      <c r="M77" s="88"/>
      <c r="N77" s="88"/>
      <c r="O77" s="88"/>
      <c r="P77" s="89"/>
      <c r="Q77" s="61"/>
      <c r="R77" s="61"/>
      <c r="S77" s="62"/>
      <c r="T77" s="62"/>
      <c r="U77" s="62"/>
    </row>
    <row r="78" spans="1:27" ht="7.5" customHeight="1" x14ac:dyDescent="0.2">
      <c r="B78" s="13"/>
      <c r="C78" s="13"/>
      <c r="D78" s="13"/>
      <c r="E78" s="13"/>
      <c r="F78" s="13"/>
      <c r="G78" s="13"/>
      <c r="H78" s="13"/>
      <c r="I78" s="13"/>
      <c r="J78" s="13"/>
      <c r="K78" s="13"/>
      <c r="L78" s="13"/>
      <c r="M78" s="13"/>
      <c r="N78" s="13"/>
      <c r="O78" s="13"/>
      <c r="P78" s="13"/>
      <c r="Q78" s="13"/>
      <c r="R78" s="13"/>
      <c r="S78" s="13"/>
      <c r="T78" s="13"/>
    </row>
    <row r="79" spans="1:27" ht="18" customHeight="1" x14ac:dyDescent="0.2">
      <c r="A79" s="1" t="s">
        <v>100</v>
      </c>
      <c r="I79" s="3"/>
      <c r="J79" s="3"/>
      <c r="K79" s="3"/>
      <c r="L79" s="3"/>
      <c r="M79" s="3"/>
      <c r="N79" s="3"/>
      <c r="O79" s="3"/>
      <c r="P79" s="3"/>
      <c r="Q79" s="3"/>
      <c r="R79" s="3"/>
      <c r="S79" s="3"/>
      <c r="T79" s="3"/>
      <c r="U79" s="3"/>
    </row>
    <row r="80" spans="1:27" ht="18" customHeight="1" x14ac:dyDescent="0.2">
      <c r="B80" s="97" t="s">
        <v>47</v>
      </c>
      <c r="C80" s="98"/>
      <c r="D80" s="98"/>
      <c r="E80" s="98"/>
      <c r="F80" s="99"/>
      <c r="G80" s="97" t="s">
        <v>73</v>
      </c>
      <c r="H80" s="98"/>
      <c r="I80" s="98"/>
      <c r="J80" s="99"/>
      <c r="K80" s="105" t="s">
        <v>47</v>
      </c>
      <c r="L80" s="106"/>
      <c r="M80" s="106"/>
      <c r="N80" s="106"/>
      <c r="O80" s="106"/>
      <c r="P80" s="106"/>
      <c r="Q80" s="107"/>
      <c r="R80" s="97" t="s">
        <v>73</v>
      </c>
      <c r="S80" s="98"/>
      <c r="T80" s="98"/>
      <c r="U80" s="99"/>
      <c r="AA80" s="1" t="s">
        <v>138</v>
      </c>
    </row>
    <row r="81" spans="1:27" ht="18" customHeight="1" x14ac:dyDescent="0.2">
      <c r="A81" s="3"/>
      <c r="B81" s="91"/>
      <c r="C81" s="92"/>
      <c r="D81" s="92"/>
      <c r="E81" s="92"/>
      <c r="F81" s="93"/>
      <c r="G81" s="94"/>
      <c r="H81" s="95"/>
      <c r="I81" s="95"/>
      <c r="J81" s="96"/>
      <c r="K81" s="91"/>
      <c r="L81" s="92"/>
      <c r="M81" s="92"/>
      <c r="N81" s="92"/>
      <c r="O81" s="92"/>
      <c r="P81" s="92"/>
      <c r="Q81" s="93"/>
      <c r="R81" s="94"/>
      <c r="S81" s="95"/>
      <c r="T81" s="95"/>
      <c r="U81" s="96"/>
      <c r="AA81" s="1" t="s">
        <v>131</v>
      </c>
    </row>
    <row r="82" spans="1:27" ht="18" customHeight="1" x14ac:dyDescent="0.2">
      <c r="A82" s="3"/>
      <c r="B82" s="84"/>
      <c r="C82" s="85"/>
      <c r="D82" s="85"/>
      <c r="E82" s="85"/>
      <c r="F82" s="86"/>
      <c r="G82" s="102"/>
      <c r="H82" s="103"/>
      <c r="I82" s="103"/>
      <c r="J82" s="104"/>
      <c r="K82" s="84"/>
      <c r="L82" s="85"/>
      <c r="M82" s="85"/>
      <c r="N82" s="85"/>
      <c r="O82" s="85"/>
      <c r="P82" s="85"/>
      <c r="Q82" s="86"/>
      <c r="R82" s="102"/>
      <c r="S82" s="103"/>
      <c r="T82" s="103"/>
      <c r="U82" s="104"/>
      <c r="AA82" s="1" t="s">
        <v>132</v>
      </c>
    </row>
    <row r="83" spans="1:27" ht="18" customHeight="1" x14ac:dyDescent="0.2">
      <c r="A83" s="3"/>
      <c r="B83" s="84"/>
      <c r="C83" s="85"/>
      <c r="D83" s="85"/>
      <c r="E83" s="85"/>
      <c r="F83" s="86"/>
      <c r="G83" s="102"/>
      <c r="H83" s="103"/>
      <c r="I83" s="103"/>
      <c r="J83" s="104"/>
      <c r="K83" s="84"/>
      <c r="L83" s="85"/>
      <c r="M83" s="85"/>
      <c r="N83" s="85"/>
      <c r="O83" s="85"/>
      <c r="P83" s="85"/>
      <c r="Q83" s="86"/>
      <c r="R83" s="102"/>
      <c r="S83" s="103"/>
      <c r="T83" s="103"/>
      <c r="U83" s="104"/>
      <c r="AA83" s="1" t="s">
        <v>133</v>
      </c>
    </row>
    <row r="84" spans="1:27" ht="18" customHeight="1" x14ac:dyDescent="0.2">
      <c r="A84" s="3"/>
      <c r="B84" s="84"/>
      <c r="C84" s="85"/>
      <c r="D84" s="85"/>
      <c r="E84" s="85"/>
      <c r="F84" s="86"/>
      <c r="G84" s="102"/>
      <c r="H84" s="103"/>
      <c r="I84" s="103"/>
      <c r="J84" s="104"/>
      <c r="K84" s="84"/>
      <c r="L84" s="85"/>
      <c r="M84" s="85"/>
      <c r="N84" s="85"/>
      <c r="O84" s="85"/>
      <c r="P84" s="85"/>
      <c r="Q84" s="86"/>
      <c r="R84" s="102"/>
      <c r="S84" s="103"/>
      <c r="T84" s="103"/>
      <c r="U84" s="104"/>
      <c r="AA84" s="1" t="s">
        <v>139</v>
      </c>
    </row>
    <row r="85" spans="1:27" ht="18" customHeight="1" x14ac:dyDescent="0.2">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x14ac:dyDescent="0.2">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x14ac:dyDescent="0.2">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101</v>
      </c>
      <c r="AA89" s="1" t="s">
        <v>137</v>
      </c>
    </row>
    <row r="90" spans="1:27" ht="18.75" customHeight="1" x14ac:dyDescent="0.2">
      <c r="B90" s="125" t="s">
        <v>48</v>
      </c>
      <c r="C90" s="126"/>
      <c r="D90" s="97" t="s">
        <v>49</v>
      </c>
      <c r="E90" s="98"/>
      <c r="F90" s="98"/>
      <c r="G90" s="98"/>
      <c r="H90" s="98"/>
      <c r="I90" s="98"/>
      <c r="J90" s="98"/>
      <c r="K90" s="98"/>
      <c r="L90" s="98"/>
      <c r="M90" s="98"/>
      <c r="N90" s="98"/>
      <c r="O90" s="98"/>
      <c r="P90" s="98"/>
      <c r="Q90" s="98"/>
      <c r="R90" s="98"/>
      <c r="S90" s="98"/>
      <c r="T90" s="98"/>
      <c r="U90" s="99"/>
    </row>
    <row r="91" spans="1:27" ht="97.5" customHeight="1" x14ac:dyDescent="0.2">
      <c r="B91" s="100" t="s">
        <v>55</v>
      </c>
      <c r="C91" s="64" t="s">
        <v>50</v>
      </c>
      <c r="D91" s="134" t="s">
        <v>245</v>
      </c>
      <c r="E91" s="135"/>
      <c r="F91" s="135"/>
      <c r="G91" s="135"/>
      <c r="H91" s="135"/>
      <c r="I91" s="135"/>
      <c r="J91" s="135"/>
      <c r="K91" s="135"/>
      <c r="L91" s="135"/>
      <c r="M91" s="135"/>
      <c r="N91" s="135"/>
      <c r="O91" s="135"/>
      <c r="P91" s="135"/>
      <c r="Q91" s="135"/>
      <c r="R91" s="135"/>
      <c r="S91" s="135"/>
      <c r="T91" s="135"/>
      <c r="U91" s="136"/>
    </row>
    <row r="92" spans="1:27" ht="97.5" customHeight="1" x14ac:dyDescent="0.2">
      <c r="B92" s="124"/>
      <c r="C92" s="65" t="s">
        <v>69</v>
      </c>
      <c r="D92" s="131" t="s">
        <v>246</v>
      </c>
      <c r="E92" s="132"/>
      <c r="F92" s="132"/>
      <c r="G92" s="132"/>
      <c r="H92" s="132"/>
      <c r="I92" s="132"/>
      <c r="J92" s="132"/>
      <c r="K92" s="132"/>
      <c r="L92" s="132"/>
      <c r="M92" s="132"/>
      <c r="N92" s="132"/>
      <c r="O92" s="132"/>
      <c r="P92" s="132"/>
      <c r="Q92" s="132"/>
      <c r="R92" s="132"/>
      <c r="S92" s="132"/>
      <c r="T92" s="132"/>
      <c r="U92" s="133"/>
    </row>
    <row r="93" spans="1:27" ht="97.5" customHeight="1" x14ac:dyDescent="0.2">
      <c r="B93" s="100" t="s">
        <v>56</v>
      </c>
      <c r="C93" s="66" t="s">
        <v>63</v>
      </c>
      <c r="D93" s="134" t="s">
        <v>247</v>
      </c>
      <c r="E93" s="135"/>
      <c r="F93" s="135"/>
      <c r="G93" s="135"/>
      <c r="H93" s="135"/>
      <c r="I93" s="135"/>
      <c r="J93" s="135"/>
      <c r="K93" s="135"/>
      <c r="L93" s="135"/>
      <c r="M93" s="135"/>
      <c r="N93" s="135"/>
      <c r="O93" s="135"/>
      <c r="P93" s="135"/>
      <c r="Q93" s="135"/>
      <c r="R93" s="135"/>
      <c r="S93" s="135"/>
      <c r="T93" s="135"/>
      <c r="U93" s="136"/>
    </row>
    <row r="94" spans="1:27" ht="97.5" customHeight="1" x14ac:dyDescent="0.2">
      <c r="B94" s="101"/>
      <c r="C94" s="67" t="s">
        <v>64</v>
      </c>
      <c r="D94" s="131" t="s">
        <v>248</v>
      </c>
      <c r="E94" s="132"/>
      <c r="F94" s="132"/>
      <c r="G94" s="132"/>
      <c r="H94" s="132"/>
      <c r="I94" s="132"/>
      <c r="J94" s="132"/>
      <c r="K94" s="132"/>
      <c r="L94" s="132"/>
      <c r="M94" s="132"/>
      <c r="N94" s="132"/>
      <c r="O94" s="132"/>
      <c r="P94" s="132"/>
      <c r="Q94" s="132"/>
      <c r="R94" s="132"/>
      <c r="S94" s="132"/>
      <c r="T94" s="132"/>
      <c r="U94" s="133"/>
    </row>
    <row r="95" spans="1:27" ht="97.5" customHeight="1" x14ac:dyDescent="0.2">
      <c r="B95" s="100" t="s">
        <v>57</v>
      </c>
      <c r="C95" s="66" t="s">
        <v>65</v>
      </c>
      <c r="D95" s="134" t="s">
        <v>249</v>
      </c>
      <c r="E95" s="135"/>
      <c r="F95" s="135"/>
      <c r="G95" s="135"/>
      <c r="H95" s="135"/>
      <c r="I95" s="135"/>
      <c r="J95" s="135"/>
      <c r="K95" s="135"/>
      <c r="L95" s="135"/>
      <c r="M95" s="135"/>
      <c r="N95" s="135"/>
      <c r="O95" s="135"/>
      <c r="P95" s="135"/>
      <c r="Q95" s="135"/>
      <c r="R95" s="135"/>
      <c r="S95" s="135"/>
      <c r="T95" s="135"/>
      <c r="U95" s="136"/>
    </row>
    <row r="96" spans="1:27" ht="97.5" customHeight="1" x14ac:dyDescent="0.2">
      <c r="B96" s="101"/>
      <c r="C96" s="68" t="s">
        <v>66</v>
      </c>
      <c r="D96" s="131" t="s">
        <v>244</v>
      </c>
      <c r="E96" s="132"/>
      <c r="F96" s="132"/>
      <c r="G96" s="132"/>
      <c r="H96" s="132"/>
      <c r="I96" s="132"/>
      <c r="J96" s="132"/>
      <c r="K96" s="132"/>
      <c r="L96" s="132"/>
      <c r="M96" s="132"/>
      <c r="N96" s="132"/>
      <c r="O96" s="132"/>
      <c r="P96" s="132"/>
      <c r="Q96" s="132"/>
      <c r="R96" s="132"/>
      <c r="S96" s="132"/>
      <c r="T96" s="132"/>
      <c r="U96" s="133"/>
    </row>
    <row r="97" spans="1:21" ht="97.5" customHeight="1" x14ac:dyDescent="0.2">
      <c r="B97" s="100" t="s">
        <v>70</v>
      </c>
      <c r="C97" s="64" t="s">
        <v>52</v>
      </c>
      <c r="D97" s="134" t="s">
        <v>252</v>
      </c>
      <c r="E97" s="135"/>
      <c r="F97" s="135"/>
      <c r="G97" s="135"/>
      <c r="H97" s="135"/>
      <c r="I97" s="135"/>
      <c r="J97" s="135"/>
      <c r="K97" s="135"/>
      <c r="L97" s="135"/>
      <c r="M97" s="135"/>
      <c r="N97" s="135"/>
      <c r="O97" s="135"/>
      <c r="P97" s="135"/>
      <c r="Q97" s="135"/>
      <c r="R97" s="135"/>
      <c r="S97" s="135"/>
      <c r="T97" s="135"/>
      <c r="U97" s="136"/>
    </row>
    <row r="98" spans="1:21" ht="97.5" customHeight="1" x14ac:dyDescent="0.2">
      <c r="B98" s="101"/>
      <c r="C98" s="67" t="s">
        <v>54</v>
      </c>
      <c r="D98" s="131" t="s">
        <v>253</v>
      </c>
      <c r="E98" s="132"/>
      <c r="F98" s="132"/>
      <c r="G98" s="132"/>
      <c r="H98" s="132"/>
      <c r="I98" s="132"/>
      <c r="J98" s="132"/>
      <c r="K98" s="132"/>
      <c r="L98" s="132"/>
      <c r="M98" s="132"/>
      <c r="N98" s="132"/>
      <c r="O98" s="132"/>
      <c r="P98" s="132"/>
      <c r="Q98" s="132"/>
      <c r="R98" s="132"/>
      <c r="S98" s="132"/>
      <c r="T98" s="132"/>
      <c r="U98" s="133"/>
    </row>
    <row r="99" spans="1:21" ht="97.5" customHeight="1" x14ac:dyDescent="0.2">
      <c r="B99" s="100" t="s">
        <v>71</v>
      </c>
      <c r="C99" s="66" t="s">
        <v>51</v>
      </c>
      <c r="D99" s="134" t="s">
        <v>254</v>
      </c>
      <c r="E99" s="135"/>
      <c r="F99" s="135"/>
      <c r="G99" s="135"/>
      <c r="H99" s="135"/>
      <c r="I99" s="135"/>
      <c r="J99" s="135"/>
      <c r="K99" s="135"/>
      <c r="L99" s="135"/>
      <c r="M99" s="135"/>
      <c r="N99" s="135"/>
      <c r="O99" s="135"/>
      <c r="P99" s="135"/>
      <c r="Q99" s="135"/>
      <c r="R99" s="135"/>
      <c r="S99" s="135"/>
      <c r="T99" s="135"/>
      <c r="U99" s="136"/>
    </row>
    <row r="100" spans="1:21" ht="97.5" customHeight="1" x14ac:dyDescent="0.2">
      <c r="B100" s="124"/>
      <c r="C100" s="69" t="s">
        <v>67</v>
      </c>
      <c r="D100" s="137" t="s">
        <v>251</v>
      </c>
      <c r="E100" s="138"/>
      <c r="F100" s="138"/>
      <c r="G100" s="138"/>
      <c r="H100" s="138"/>
      <c r="I100" s="138"/>
      <c r="J100" s="138"/>
      <c r="K100" s="138"/>
      <c r="L100" s="138"/>
      <c r="M100" s="138"/>
      <c r="N100" s="138"/>
      <c r="O100" s="138"/>
      <c r="P100" s="138"/>
      <c r="Q100" s="138"/>
      <c r="R100" s="138"/>
      <c r="S100" s="138"/>
      <c r="T100" s="138"/>
      <c r="U100" s="139"/>
    </row>
    <row r="101" spans="1:21" ht="97.5" customHeight="1" x14ac:dyDescent="0.2">
      <c r="B101" s="101"/>
      <c r="C101" s="68" t="s">
        <v>68</v>
      </c>
      <c r="D101" s="131" t="s">
        <v>250</v>
      </c>
      <c r="E101" s="132"/>
      <c r="F101" s="132"/>
      <c r="G101" s="132"/>
      <c r="H101" s="132"/>
      <c r="I101" s="132"/>
      <c r="J101" s="132"/>
      <c r="K101" s="132"/>
      <c r="L101" s="132"/>
      <c r="M101" s="132"/>
      <c r="N101" s="132"/>
      <c r="O101" s="132"/>
      <c r="P101" s="132"/>
      <c r="Q101" s="132"/>
      <c r="R101" s="132"/>
      <c r="S101" s="132"/>
      <c r="T101" s="132"/>
      <c r="U101" s="133"/>
    </row>
    <row r="102" spans="1:21" ht="6" customHeight="1" x14ac:dyDescent="0.2"/>
    <row r="103" spans="1:21" ht="18.75" customHeight="1" x14ac:dyDescent="0.2">
      <c r="A103" s="1" t="s">
        <v>102</v>
      </c>
    </row>
    <row r="104" spans="1:21" ht="81.75" customHeight="1" x14ac:dyDescent="0.2">
      <c r="B104" s="118" t="s">
        <v>179</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2"/>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C710B49F-BEB6-4852-9D36-8B9C77AE638F}">
      <formula1>"○"</formula1>
    </dataValidation>
    <dataValidation type="list" allowBlank="1" showInputMessage="1" showErrorMessage="1" sqref="U34 U45 E34:H34 E45:H45" xr:uid="{DB4A9854-DC43-4420-B133-3F5A23614705}">
      <formula1>"全学開講,一部開講"</formula1>
    </dataValidation>
    <dataValidation type="list" allowBlank="1" showInputMessage="1" showErrorMessage="1" sqref="L14 L7:U7" xr:uid="{9FA1A79E-01CD-4CA9-9915-A8E70F3FE2FF}">
      <formula1>"学部・学科によって、修了要件は相違する,学部・学科によって、修了要件は相違しない"</formula1>
    </dataValidation>
    <dataValidation type="list" allowBlank="1" showInputMessage="1" showErrorMessage="1" sqref="G88:J88 R88:U88" xr:uid="{EF9336CB-C606-4AC2-8D71-A6073D5C0A1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1B598D27-FB5C-4AF9-9288-5C3CAA464C86}">
      <formula1>$X$16:$X$18</formula1>
    </dataValidation>
    <dataValidation type="list" allowBlank="1" showInputMessage="1" showErrorMessage="1" sqref="G81:J87 R81:U87" xr:uid="{AAB8B694-8812-4D40-B9CA-446605404499}">
      <formula1>$AA$80:$AA$89</formula1>
    </dataValidation>
  </dataValidations>
  <printOptions horizontalCentered="1"/>
  <pageMargins left="0.78740157480314965" right="0.78740157480314965" top="0.78740157480314965" bottom="0.19685039370078741" header="0.31496062992125984" footer="0.19685039370078741"/>
  <pageSetup paperSize="9" scale="67" fitToHeight="0" orientation="portrait" r:id="rId1"/>
  <headerFooter>
    <oddHeader>&amp;C数理・データサイエンス・AI教育プログラム認定制度【リテラシーレベル】令和7年度申請用</oddHeader>
  </headerFooter>
  <rowBreaks count="2" manualBreakCount="2">
    <brk id="67" max="16383" man="1"/>
    <brk id="9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U7" sqref="U7"/>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1"/>
      <c r="B1" s="51"/>
      <c r="C1" s="51"/>
      <c r="D1" s="51"/>
      <c r="E1" s="51"/>
      <c r="F1" s="51"/>
      <c r="G1" s="51"/>
      <c r="H1" s="51"/>
      <c r="I1" s="51"/>
      <c r="J1" s="51"/>
      <c r="K1" s="51"/>
      <c r="L1" s="51"/>
      <c r="M1" s="51"/>
      <c r="N1" s="51"/>
      <c r="O1" s="51"/>
      <c r="P1" s="51"/>
      <c r="Q1" s="51"/>
      <c r="R1" s="51"/>
      <c r="S1" s="51" t="s">
        <v>91</v>
      </c>
    </row>
    <row r="2" spans="1:21" ht="18" customHeight="1" x14ac:dyDescent="0.2">
      <c r="A2" s="51"/>
      <c r="B2" s="51"/>
      <c r="C2" s="51"/>
      <c r="D2" s="51"/>
      <c r="E2" s="51"/>
      <c r="F2" s="51"/>
      <c r="G2" s="51"/>
      <c r="H2" s="51"/>
      <c r="I2" s="51"/>
      <c r="J2" s="51"/>
      <c r="K2" s="51"/>
      <c r="L2" s="51"/>
      <c r="M2" s="51"/>
      <c r="N2" s="51"/>
      <c r="O2" s="51"/>
      <c r="P2" s="51"/>
      <c r="Q2" s="153" t="str">
        <f>'様式１－１　プログラムを構成する授業科目'!C2</f>
        <v>摂南大学</v>
      </c>
      <c r="R2" s="153"/>
      <c r="S2" s="153"/>
    </row>
    <row r="3" spans="1:21" ht="18" customHeight="1" x14ac:dyDescent="0.2">
      <c r="A3" s="108" t="s">
        <v>142</v>
      </c>
      <c r="B3" s="108"/>
      <c r="C3" s="108"/>
      <c r="D3" s="108"/>
      <c r="E3" s="108"/>
      <c r="F3" s="108"/>
      <c r="G3" s="108"/>
      <c r="H3" s="108"/>
      <c r="I3" s="108"/>
      <c r="J3" s="108"/>
      <c r="K3" s="108"/>
      <c r="L3" s="108"/>
      <c r="M3" s="108"/>
      <c r="N3" s="108"/>
      <c r="O3" s="108"/>
      <c r="P3" s="108"/>
      <c r="Q3" s="108"/>
      <c r="R3" s="108"/>
      <c r="S3" s="108"/>
    </row>
    <row r="4" spans="1:21" ht="7.5" customHeight="1" x14ac:dyDescent="0.2">
      <c r="A4" s="53"/>
      <c r="B4" s="53"/>
      <c r="C4" s="53"/>
      <c r="D4" s="53"/>
      <c r="E4" s="53"/>
      <c r="F4" s="53"/>
      <c r="G4" s="53"/>
      <c r="H4" s="53"/>
      <c r="I4" s="53"/>
      <c r="J4" s="53"/>
      <c r="K4" s="53"/>
      <c r="L4" s="53"/>
      <c r="M4" s="53"/>
      <c r="N4" s="53"/>
      <c r="O4" s="53"/>
      <c r="P4" s="53"/>
      <c r="Q4" s="53"/>
      <c r="R4" s="53"/>
      <c r="S4" s="53"/>
    </row>
    <row r="5" spans="1:21" ht="18" customHeight="1" x14ac:dyDescent="0.2">
      <c r="A5" s="51" t="s">
        <v>74</v>
      </c>
      <c r="B5" s="51"/>
      <c r="C5" s="154" t="s">
        <v>161</v>
      </c>
      <c r="D5" s="155"/>
      <c r="E5" s="55" t="s">
        <v>125</v>
      </c>
      <c r="F5" s="53"/>
      <c r="G5" s="53"/>
      <c r="H5" s="53"/>
      <c r="I5" s="53"/>
      <c r="J5" s="53"/>
      <c r="K5" s="53"/>
      <c r="L5" s="53"/>
      <c r="M5" s="53"/>
      <c r="N5" s="53"/>
      <c r="O5" s="53"/>
      <c r="P5" s="53"/>
      <c r="Q5" s="53"/>
      <c r="R5" s="52"/>
      <c r="S5" s="52"/>
    </row>
    <row r="6" spans="1:21" ht="7.2" customHeight="1" x14ac:dyDescent="0.2">
      <c r="A6" s="51"/>
      <c r="B6" s="51"/>
      <c r="C6" s="73"/>
      <c r="D6" s="73"/>
      <c r="E6" s="53"/>
      <c r="F6" s="53"/>
      <c r="G6" s="53"/>
      <c r="H6" s="53"/>
      <c r="I6" s="53"/>
      <c r="J6" s="53"/>
      <c r="K6" s="53"/>
      <c r="L6" s="53"/>
      <c r="M6" s="53"/>
      <c r="N6" s="53"/>
      <c r="O6" s="53"/>
      <c r="P6" s="53"/>
      <c r="Q6" s="53"/>
      <c r="R6" s="52"/>
      <c r="S6" s="52"/>
    </row>
    <row r="7" spans="1:21" ht="18" customHeight="1" x14ac:dyDescent="0.2">
      <c r="A7" s="51" t="s">
        <v>108</v>
      </c>
      <c r="B7" s="51"/>
      <c r="C7" s="73"/>
      <c r="D7" s="73"/>
      <c r="E7" s="53" t="s">
        <v>109</v>
      </c>
      <c r="F7" s="82">
        <v>6802</v>
      </c>
      <c r="G7" s="55" t="s">
        <v>110</v>
      </c>
      <c r="H7" s="53" t="s">
        <v>111</v>
      </c>
      <c r="I7" s="82">
        <v>3424</v>
      </c>
      <c r="J7" s="55" t="s">
        <v>110</v>
      </c>
      <c r="K7" s="54" t="s">
        <v>112</v>
      </c>
      <c r="L7" s="53" t="s">
        <v>113</v>
      </c>
      <c r="M7" s="83">
        <f>F7+I7</f>
        <v>10226</v>
      </c>
      <c r="N7" s="53" t="s">
        <v>1</v>
      </c>
      <c r="O7" s="55" t="s">
        <v>114</v>
      </c>
      <c r="P7" s="53"/>
      <c r="Q7" s="53"/>
      <c r="R7" s="52"/>
      <c r="S7" s="52"/>
    </row>
    <row r="8" spans="1:21" ht="17.399999999999999" customHeight="1" x14ac:dyDescent="0.2">
      <c r="A8" s="53"/>
      <c r="B8" s="74" t="s">
        <v>128</v>
      </c>
      <c r="C8" s="53"/>
      <c r="D8" s="53"/>
      <c r="E8" s="53"/>
      <c r="F8" s="53"/>
      <c r="G8" s="53"/>
      <c r="H8" s="53"/>
      <c r="I8" s="53"/>
      <c r="J8" s="53"/>
      <c r="K8" s="53"/>
      <c r="L8" s="53"/>
      <c r="M8" s="53"/>
      <c r="N8" s="53"/>
      <c r="O8" s="53"/>
      <c r="P8" s="53"/>
      <c r="Q8" s="53"/>
      <c r="R8" s="53"/>
      <c r="S8" s="53"/>
    </row>
    <row r="9" spans="1:21" ht="18" customHeight="1" x14ac:dyDescent="0.2">
      <c r="A9" s="51" t="s">
        <v>120</v>
      </c>
      <c r="B9" s="53"/>
      <c r="C9" s="53"/>
      <c r="D9" s="53"/>
      <c r="E9" s="53"/>
      <c r="F9" s="53"/>
      <c r="G9" s="53"/>
      <c r="H9" s="53"/>
      <c r="I9" s="53"/>
      <c r="J9" s="53"/>
      <c r="K9" s="53"/>
      <c r="L9" s="53"/>
      <c r="M9" s="53"/>
      <c r="N9" s="53"/>
      <c r="O9" s="53"/>
      <c r="P9" s="53"/>
      <c r="Q9" s="53"/>
      <c r="R9" s="53"/>
      <c r="S9" s="53"/>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6" t="s">
        <v>42</v>
      </c>
      <c r="C11" s="166" t="s">
        <v>77</v>
      </c>
      <c r="D11" s="158" t="s">
        <v>44</v>
      </c>
      <c r="E11" s="160" t="s">
        <v>37</v>
      </c>
      <c r="F11" s="152" t="s">
        <v>126</v>
      </c>
      <c r="G11" s="152"/>
      <c r="H11" s="152" t="s">
        <v>105</v>
      </c>
      <c r="I11" s="152"/>
      <c r="J11" s="152" t="s">
        <v>76</v>
      </c>
      <c r="K11" s="152"/>
      <c r="L11" s="152" t="s">
        <v>45</v>
      </c>
      <c r="M11" s="152"/>
      <c r="N11" s="152" t="s">
        <v>46</v>
      </c>
      <c r="O11" s="152"/>
      <c r="P11" s="152" t="s">
        <v>127</v>
      </c>
      <c r="Q11" s="152"/>
      <c r="R11" s="162" t="s">
        <v>34</v>
      </c>
      <c r="S11" s="164" t="s">
        <v>31</v>
      </c>
      <c r="U11" s="2"/>
    </row>
    <row r="12" spans="1:21" ht="16.95" customHeight="1" x14ac:dyDescent="0.2">
      <c r="B12" s="157"/>
      <c r="C12" s="167"/>
      <c r="D12" s="159"/>
      <c r="E12" s="161"/>
      <c r="F12" s="75" t="s">
        <v>85</v>
      </c>
      <c r="G12" s="75" t="s">
        <v>28</v>
      </c>
      <c r="H12" s="75" t="s">
        <v>85</v>
      </c>
      <c r="I12" s="75" t="s">
        <v>28</v>
      </c>
      <c r="J12" s="75" t="s">
        <v>85</v>
      </c>
      <c r="K12" s="75" t="s">
        <v>28</v>
      </c>
      <c r="L12" s="75" t="s">
        <v>85</v>
      </c>
      <c r="M12" s="75" t="s">
        <v>28</v>
      </c>
      <c r="N12" s="75" t="s">
        <v>85</v>
      </c>
      <c r="O12" s="75" t="s">
        <v>28</v>
      </c>
      <c r="P12" s="75" t="s">
        <v>85</v>
      </c>
      <c r="Q12" s="76" t="s">
        <v>28</v>
      </c>
      <c r="R12" s="163"/>
      <c r="S12" s="165"/>
      <c r="U12" s="2"/>
    </row>
    <row r="13" spans="1:21" ht="18" customHeight="1" x14ac:dyDescent="0.2">
      <c r="A13" s="6"/>
      <c r="B13" s="46" t="s">
        <v>143</v>
      </c>
      <c r="C13" s="34">
        <v>2266</v>
      </c>
      <c r="D13" s="35">
        <v>585</v>
      </c>
      <c r="E13" s="36">
        <v>2400</v>
      </c>
      <c r="F13" s="36">
        <v>362</v>
      </c>
      <c r="G13" s="36">
        <v>320</v>
      </c>
      <c r="H13" s="36"/>
      <c r="I13" s="36"/>
      <c r="J13" s="36"/>
      <c r="K13" s="36"/>
      <c r="L13" s="36"/>
      <c r="M13" s="36"/>
      <c r="N13" s="36"/>
      <c r="O13" s="36"/>
      <c r="P13" s="36"/>
      <c r="Q13" s="47"/>
      <c r="R13" s="35">
        <f t="shared" ref="R13:R22" si="0">F13+H13+J13+L13+N13+P13</f>
        <v>362</v>
      </c>
      <c r="S13" s="79">
        <f>R13/E13</f>
        <v>0.15083333333333335</v>
      </c>
    </row>
    <row r="14" spans="1:21" ht="18" customHeight="1" x14ac:dyDescent="0.2">
      <c r="A14" s="6"/>
      <c r="B14" s="10" t="s">
        <v>162</v>
      </c>
      <c r="C14" s="37">
        <v>204</v>
      </c>
      <c r="D14" s="81" t="s">
        <v>163</v>
      </c>
      <c r="E14" s="39">
        <v>225</v>
      </c>
      <c r="F14" s="40">
        <v>0</v>
      </c>
      <c r="G14" s="40">
        <v>0</v>
      </c>
      <c r="H14" s="40"/>
      <c r="I14" s="40"/>
      <c r="J14" s="40"/>
      <c r="K14" s="40"/>
      <c r="L14" s="40"/>
      <c r="M14" s="40"/>
      <c r="N14" s="40"/>
      <c r="O14" s="40"/>
      <c r="P14" s="40"/>
      <c r="Q14" s="37"/>
      <c r="R14" s="38">
        <f t="shared" si="0"/>
        <v>0</v>
      </c>
      <c r="S14" s="8">
        <f t="shared" ref="S14:S33" si="1">R14/E14</f>
        <v>0</v>
      </c>
    </row>
    <row r="15" spans="1:21" ht="18" customHeight="1" x14ac:dyDescent="0.2">
      <c r="A15" s="6"/>
      <c r="B15" s="10" t="s">
        <v>144</v>
      </c>
      <c r="C15" s="37">
        <v>730</v>
      </c>
      <c r="D15" s="38">
        <v>250</v>
      </c>
      <c r="E15" s="39">
        <v>755</v>
      </c>
      <c r="F15" s="40">
        <v>243</v>
      </c>
      <c r="G15" s="40">
        <v>222</v>
      </c>
      <c r="H15" s="40"/>
      <c r="I15" s="40"/>
      <c r="J15" s="40"/>
      <c r="K15" s="40"/>
      <c r="L15" s="40"/>
      <c r="M15" s="40"/>
      <c r="N15" s="40"/>
      <c r="O15" s="40"/>
      <c r="P15" s="40"/>
      <c r="Q15" s="37"/>
      <c r="R15" s="38">
        <f t="shared" si="0"/>
        <v>243</v>
      </c>
      <c r="S15" s="8">
        <f t="shared" si="1"/>
        <v>0.32185430463576159</v>
      </c>
    </row>
    <row r="16" spans="1:21" ht="18" customHeight="1" x14ac:dyDescent="0.2">
      <c r="A16" s="6"/>
      <c r="B16" s="10" t="s">
        <v>145</v>
      </c>
      <c r="C16" s="37">
        <v>1189</v>
      </c>
      <c r="D16" s="38">
        <v>280</v>
      </c>
      <c r="E16" s="39">
        <v>1124</v>
      </c>
      <c r="F16" s="40">
        <v>269</v>
      </c>
      <c r="G16" s="40">
        <v>0</v>
      </c>
      <c r="H16" s="40"/>
      <c r="I16" s="40"/>
      <c r="J16" s="40"/>
      <c r="K16" s="40"/>
      <c r="L16" s="40"/>
      <c r="M16" s="40"/>
      <c r="N16" s="40"/>
      <c r="O16" s="40"/>
      <c r="P16" s="40"/>
      <c r="Q16" s="37"/>
      <c r="R16" s="38">
        <f t="shared" si="0"/>
        <v>269</v>
      </c>
      <c r="S16" s="8">
        <f t="shared" si="1"/>
        <v>0.23932384341637011</v>
      </c>
    </row>
    <row r="17" spans="1:19" ht="18" customHeight="1" x14ac:dyDescent="0.2">
      <c r="A17" s="6"/>
      <c r="B17" s="10" t="s">
        <v>146</v>
      </c>
      <c r="C17" s="37">
        <v>1305</v>
      </c>
      <c r="D17" s="38">
        <v>220</v>
      </c>
      <c r="E17" s="39">
        <v>1320</v>
      </c>
      <c r="F17" s="40">
        <v>212</v>
      </c>
      <c r="G17" s="40">
        <v>201</v>
      </c>
      <c r="H17" s="40"/>
      <c r="I17" s="40"/>
      <c r="J17" s="40"/>
      <c r="K17" s="40"/>
      <c r="L17" s="40"/>
      <c r="M17" s="40"/>
      <c r="N17" s="40"/>
      <c r="O17" s="40"/>
      <c r="P17" s="40"/>
      <c r="Q17" s="37"/>
      <c r="R17" s="38">
        <f t="shared" si="0"/>
        <v>212</v>
      </c>
      <c r="S17" s="8">
        <f t="shared" si="1"/>
        <v>0.16060606060606061</v>
      </c>
    </row>
    <row r="18" spans="1:19" ht="18" customHeight="1" x14ac:dyDescent="0.2">
      <c r="A18" s="6"/>
      <c r="B18" s="10" t="s">
        <v>147</v>
      </c>
      <c r="C18" s="37">
        <v>1152</v>
      </c>
      <c r="D18" s="38">
        <v>280</v>
      </c>
      <c r="E18" s="39">
        <v>1130</v>
      </c>
      <c r="F18" s="40">
        <v>167</v>
      </c>
      <c r="G18" s="40">
        <v>118</v>
      </c>
      <c r="H18" s="40"/>
      <c r="I18" s="40"/>
      <c r="J18" s="40"/>
      <c r="K18" s="40"/>
      <c r="L18" s="40"/>
      <c r="M18" s="40"/>
      <c r="N18" s="40"/>
      <c r="O18" s="40"/>
      <c r="P18" s="40"/>
      <c r="Q18" s="37"/>
      <c r="R18" s="38">
        <f t="shared" si="0"/>
        <v>167</v>
      </c>
      <c r="S18" s="8">
        <f t="shared" si="1"/>
        <v>0.14778761061946902</v>
      </c>
    </row>
    <row r="19" spans="1:19" ht="18" customHeight="1" x14ac:dyDescent="0.2">
      <c r="A19" s="6"/>
      <c r="B19" s="10" t="s">
        <v>148</v>
      </c>
      <c r="C19" s="37">
        <v>1159</v>
      </c>
      <c r="D19" s="38">
        <v>280</v>
      </c>
      <c r="E19" s="39">
        <v>1128</v>
      </c>
      <c r="F19" s="40">
        <v>272</v>
      </c>
      <c r="G19" s="40">
        <v>237</v>
      </c>
      <c r="H19" s="40"/>
      <c r="I19" s="40"/>
      <c r="J19" s="40"/>
      <c r="K19" s="40"/>
      <c r="L19" s="40"/>
      <c r="M19" s="40"/>
      <c r="N19" s="40"/>
      <c r="O19" s="40"/>
      <c r="P19" s="40"/>
      <c r="Q19" s="37"/>
      <c r="R19" s="38">
        <f t="shared" si="0"/>
        <v>272</v>
      </c>
      <c r="S19" s="8">
        <f t="shared" si="1"/>
        <v>0.24113475177304963</v>
      </c>
    </row>
    <row r="20" spans="1:19" ht="18" customHeight="1" x14ac:dyDescent="0.2">
      <c r="A20" s="6"/>
      <c r="B20" s="10" t="s">
        <v>149</v>
      </c>
      <c r="C20" s="37">
        <v>408</v>
      </c>
      <c r="D20" s="38">
        <v>100</v>
      </c>
      <c r="E20" s="39">
        <v>400</v>
      </c>
      <c r="F20" s="40">
        <v>92</v>
      </c>
      <c r="G20" s="40">
        <v>92</v>
      </c>
      <c r="H20" s="40"/>
      <c r="I20" s="40"/>
      <c r="J20" s="40"/>
      <c r="K20" s="40"/>
      <c r="L20" s="40"/>
      <c r="M20" s="40"/>
      <c r="N20" s="40"/>
      <c r="O20" s="40"/>
      <c r="P20" s="40"/>
      <c r="Q20" s="37"/>
      <c r="R20" s="38">
        <f t="shared" si="0"/>
        <v>92</v>
      </c>
      <c r="S20" s="8">
        <f t="shared" si="1"/>
        <v>0.23</v>
      </c>
    </row>
    <row r="21" spans="1:19" ht="18" customHeight="1" x14ac:dyDescent="0.2">
      <c r="A21" s="6"/>
      <c r="B21" s="10" t="s">
        <v>150</v>
      </c>
      <c r="C21" s="37">
        <v>1301</v>
      </c>
      <c r="D21" s="38">
        <v>340</v>
      </c>
      <c r="E21" s="39">
        <v>1360</v>
      </c>
      <c r="F21" s="40">
        <v>184</v>
      </c>
      <c r="G21" s="40">
        <v>177</v>
      </c>
      <c r="H21" s="40"/>
      <c r="I21" s="40"/>
      <c r="J21" s="40"/>
      <c r="K21" s="40"/>
      <c r="L21" s="40"/>
      <c r="M21" s="40"/>
      <c r="N21" s="40"/>
      <c r="O21" s="40"/>
      <c r="P21" s="40"/>
      <c r="Q21" s="37"/>
      <c r="R21" s="38">
        <f t="shared" si="0"/>
        <v>184</v>
      </c>
      <c r="S21" s="8">
        <f t="shared" si="1"/>
        <v>0.13529411764705881</v>
      </c>
    </row>
    <row r="22" spans="1:19" ht="18" customHeight="1" x14ac:dyDescent="0.2">
      <c r="A22" s="6"/>
      <c r="B22" s="10" t="s">
        <v>151</v>
      </c>
      <c r="C22" s="37">
        <v>512</v>
      </c>
      <c r="D22" s="38">
        <v>250</v>
      </c>
      <c r="E22" s="39">
        <v>500</v>
      </c>
      <c r="F22" s="40">
        <v>224</v>
      </c>
      <c r="G22" s="40">
        <v>198</v>
      </c>
      <c r="H22" s="40"/>
      <c r="I22" s="40"/>
      <c r="J22" s="40"/>
      <c r="K22" s="40"/>
      <c r="L22" s="40"/>
      <c r="M22" s="40"/>
      <c r="N22" s="40"/>
      <c r="O22" s="40"/>
      <c r="P22" s="40"/>
      <c r="Q22" s="37"/>
      <c r="R22" s="38">
        <f t="shared" si="0"/>
        <v>224</v>
      </c>
      <c r="S22" s="8">
        <f t="shared" si="1"/>
        <v>0.44800000000000001</v>
      </c>
    </row>
    <row r="23" spans="1:19" ht="18" customHeight="1" x14ac:dyDescent="0.2">
      <c r="A23" s="6"/>
      <c r="B23" s="10"/>
      <c r="C23" s="37"/>
      <c r="D23" s="38"/>
      <c r="E23" s="39"/>
      <c r="F23" s="40"/>
      <c r="G23" s="40"/>
      <c r="H23" s="40"/>
      <c r="I23" s="40"/>
      <c r="J23" s="40"/>
      <c r="K23" s="40"/>
      <c r="L23" s="40"/>
      <c r="M23" s="40"/>
      <c r="N23" s="40"/>
      <c r="O23" s="40"/>
      <c r="P23" s="40"/>
      <c r="Q23" s="37"/>
      <c r="R23" s="38"/>
      <c r="S23" s="8"/>
    </row>
    <row r="24" spans="1:19" ht="18" customHeight="1" x14ac:dyDescent="0.2">
      <c r="A24" s="6"/>
      <c r="B24" s="10"/>
      <c r="C24" s="37"/>
      <c r="D24" s="38"/>
      <c r="E24" s="39"/>
      <c r="F24" s="40"/>
      <c r="G24" s="40"/>
      <c r="H24" s="40"/>
      <c r="I24" s="40"/>
      <c r="J24" s="40"/>
      <c r="K24" s="40"/>
      <c r="L24" s="40"/>
      <c r="M24" s="40"/>
      <c r="N24" s="40"/>
      <c r="O24" s="40"/>
      <c r="P24" s="40"/>
      <c r="Q24" s="37"/>
      <c r="R24" s="38"/>
      <c r="S24" s="8"/>
    </row>
    <row r="25" spans="1:19" ht="18" customHeight="1" x14ac:dyDescent="0.2">
      <c r="A25" s="6"/>
      <c r="B25" s="10"/>
      <c r="C25" s="37"/>
      <c r="D25" s="38"/>
      <c r="E25" s="39"/>
      <c r="F25" s="40"/>
      <c r="G25" s="40"/>
      <c r="H25" s="40"/>
      <c r="I25" s="40"/>
      <c r="J25" s="40"/>
      <c r="K25" s="40"/>
      <c r="L25" s="40"/>
      <c r="M25" s="40"/>
      <c r="N25" s="40"/>
      <c r="O25" s="40"/>
      <c r="P25" s="40"/>
      <c r="Q25" s="37"/>
      <c r="R25" s="38"/>
      <c r="S25" s="8"/>
    </row>
    <row r="26" spans="1:19" ht="18" customHeight="1" x14ac:dyDescent="0.2">
      <c r="A26" s="6"/>
      <c r="B26" s="10"/>
      <c r="C26" s="37"/>
      <c r="D26" s="38"/>
      <c r="E26" s="39"/>
      <c r="F26" s="40"/>
      <c r="G26" s="40"/>
      <c r="H26" s="40"/>
      <c r="I26" s="40"/>
      <c r="J26" s="40"/>
      <c r="K26" s="40"/>
      <c r="L26" s="40"/>
      <c r="M26" s="40"/>
      <c r="N26" s="40"/>
      <c r="O26" s="40"/>
      <c r="P26" s="40"/>
      <c r="Q26" s="37"/>
      <c r="R26" s="38"/>
      <c r="S26" s="8"/>
    </row>
    <row r="27" spans="1:19" ht="18" customHeight="1" x14ac:dyDescent="0.2">
      <c r="A27" s="6"/>
      <c r="B27" s="10"/>
      <c r="C27" s="37"/>
      <c r="D27" s="38"/>
      <c r="E27" s="39"/>
      <c r="F27" s="40"/>
      <c r="G27" s="40"/>
      <c r="H27" s="40"/>
      <c r="I27" s="40"/>
      <c r="J27" s="40"/>
      <c r="K27" s="40"/>
      <c r="L27" s="40"/>
      <c r="M27" s="40"/>
      <c r="N27" s="40"/>
      <c r="O27" s="40"/>
      <c r="P27" s="40"/>
      <c r="Q27" s="37"/>
      <c r="R27" s="38"/>
      <c r="S27" s="8"/>
    </row>
    <row r="28" spans="1:19" ht="18" customHeight="1" x14ac:dyDescent="0.2">
      <c r="A28" s="6"/>
      <c r="B28" s="10"/>
      <c r="C28" s="37"/>
      <c r="D28" s="38"/>
      <c r="E28" s="39"/>
      <c r="F28" s="40"/>
      <c r="G28" s="40"/>
      <c r="H28" s="40"/>
      <c r="I28" s="40"/>
      <c r="J28" s="40"/>
      <c r="K28" s="40"/>
      <c r="L28" s="40"/>
      <c r="M28" s="40"/>
      <c r="N28" s="40"/>
      <c r="O28" s="40"/>
      <c r="P28" s="40"/>
      <c r="Q28" s="37"/>
      <c r="R28" s="38"/>
      <c r="S28" s="8"/>
    </row>
    <row r="29" spans="1:19" ht="18" customHeight="1" x14ac:dyDescent="0.2">
      <c r="A29" s="6"/>
      <c r="B29" s="10"/>
      <c r="C29" s="37"/>
      <c r="D29" s="38"/>
      <c r="E29" s="39"/>
      <c r="F29" s="40"/>
      <c r="G29" s="40"/>
      <c r="H29" s="40"/>
      <c r="I29" s="40"/>
      <c r="J29" s="40"/>
      <c r="K29" s="40"/>
      <c r="L29" s="40"/>
      <c r="M29" s="40"/>
      <c r="N29" s="40"/>
      <c r="O29" s="40"/>
      <c r="P29" s="40"/>
      <c r="Q29" s="37"/>
      <c r="R29" s="38"/>
      <c r="S29" s="8"/>
    </row>
    <row r="30" spans="1:19" ht="18" customHeight="1" x14ac:dyDescent="0.2">
      <c r="A30" s="6"/>
      <c r="B30" s="10"/>
      <c r="C30" s="37"/>
      <c r="D30" s="41"/>
      <c r="E30" s="39"/>
      <c r="F30" s="40"/>
      <c r="G30" s="40"/>
      <c r="H30" s="40"/>
      <c r="I30" s="40"/>
      <c r="J30" s="40"/>
      <c r="K30" s="40"/>
      <c r="L30" s="40"/>
      <c r="M30" s="40"/>
      <c r="N30" s="40"/>
      <c r="O30" s="40"/>
      <c r="P30" s="40"/>
      <c r="Q30" s="37"/>
      <c r="R30" s="41"/>
      <c r="S30" s="8"/>
    </row>
    <row r="31" spans="1:19" ht="18" customHeight="1" x14ac:dyDescent="0.2">
      <c r="A31" s="6"/>
      <c r="B31" s="10"/>
      <c r="C31" s="37"/>
      <c r="D31" s="41"/>
      <c r="E31" s="39"/>
      <c r="F31" s="40"/>
      <c r="G31" s="40"/>
      <c r="H31" s="40"/>
      <c r="I31" s="40"/>
      <c r="J31" s="40"/>
      <c r="K31" s="40"/>
      <c r="L31" s="40"/>
      <c r="M31" s="40"/>
      <c r="N31" s="40"/>
      <c r="O31" s="40"/>
      <c r="P31" s="40"/>
      <c r="Q31" s="37"/>
      <c r="R31" s="41"/>
      <c r="S31" s="8"/>
    </row>
    <row r="32" spans="1:19" ht="18" customHeight="1" thickBot="1" x14ac:dyDescent="0.25">
      <c r="A32" s="6"/>
      <c r="B32" s="11"/>
      <c r="C32" s="34"/>
      <c r="D32" s="42"/>
      <c r="E32" s="36"/>
      <c r="F32" s="36"/>
      <c r="G32" s="36"/>
      <c r="H32" s="36"/>
      <c r="I32" s="36"/>
      <c r="J32" s="36"/>
      <c r="K32" s="36"/>
      <c r="L32" s="36"/>
      <c r="M32" s="36"/>
      <c r="N32" s="36"/>
      <c r="O32" s="36"/>
      <c r="P32" s="36"/>
      <c r="Q32" s="37"/>
      <c r="R32" s="42"/>
      <c r="S32" s="7"/>
    </row>
    <row r="33" spans="2:19" ht="18" customHeight="1" thickTop="1" x14ac:dyDescent="0.2">
      <c r="B33" s="12" t="s">
        <v>32</v>
      </c>
      <c r="C33" s="43">
        <f t="shared" ref="C33" si="2">SUM(C13:C32)</f>
        <v>10226</v>
      </c>
      <c r="D33" s="44">
        <f t="shared" ref="D33:R33" si="3">SUM(D13:D32)</f>
        <v>2585</v>
      </c>
      <c r="E33" s="45">
        <f t="shared" si="3"/>
        <v>10342</v>
      </c>
      <c r="F33" s="45">
        <f t="shared" si="3"/>
        <v>2025</v>
      </c>
      <c r="G33" s="45">
        <f t="shared" ref="G33:H33" si="4">SUM(G13:G32)</f>
        <v>1565</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2025</v>
      </c>
      <c r="S33" s="80">
        <f t="shared" si="1"/>
        <v>0.19580351962869852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4" orientation="landscape" r:id="rId1"/>
  <headerFooter>
    <oddHeader>&amp;C数理・データサイエンス・AI教育プログラム認定制度【リテラシーレベル】</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97" zoomScaleNormal="100" zoomScaleSheetLayoutView="100" workbookViewId="0">
      <selection activeCell="B108" sqref="B108:I119"/>
    </sheetView>
  </sheetViews>
  <sheetFormatPr defaultColWidth="11.33203125" defaultRowHeight="18.75" customHeight="1" x14ac:dyDescent="0.2"/>
  <cols>
    <col min="1" max="1" width="2.77734375" style="18"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18" t="s">
        <v>58</v>
      </c>
      <c r="I1" s="16" t="s">
        <v>90</v>
      </c>
    </row>
    <row r="2" spans="1:9" ht="18.75" customHeight="1" x14ac:dyDescent="0.2">
      <c r="G2" s="16" t="s">
        <v>92</v>
      </c>
      <c r="H2" s="97" t="str">
        <f>'様式１－１　プログラムを構成する授業科目'!C2</f>
        <v>摂南大学</v>
      </c>
      <c r="I2" s="99"/>
    </row>
    <row r="3" spans="1:9" ht="18.75" customHeight="1" x14ac:dyDescent="0.2">
      <c r="G3" s="16"/>
      <c r="H3" s="9"/>
      <c r="I3" s="9"/>
    </row>
    <row r="4" spans="1:9" ht="18.600000000000001" customHeight="1" x14ac:dyDescent="0.2">
      <c r="A4" s="108" t="s">
        <v>35</v>
      </c>
      <c r="B4" s="108"/>
      <c r="C4" s="108"/>
      <c r="D4" s="108"/>
      <c r="E4" s="108"/>
      <c r="F4" s="108"/>
      <c r="G4" s="108"/>
      <c r="H4" s="108"/>
      <c r="I4" s="108"/>
    </row>
    <row r="5" spans="1:9" ht="13.2" customHeight="1" x14ac:dyDescent="0.2">
      <c r="B5" s="3"/>
      <c r="C5" s="3"/>
      <c r="D5" s="3"/>
      <c r="E5" s="3"/>
      <c r="F5" s="3"/>
      <c r="G5" s="3"/>
      <c r="H5" s="3"/>
      <c r="I5" s="3"/>
    </row>
    <row r="6" spans="1:9" ht="18" customHeight="1" x14ac:dyDescent="0.2">
      <c r="A6" s="1" t="s">
        <v>0</v>
      </c>
      <c r="B6" s="9" t="s">
        <v>80</v>
      </c>
      <c r="C6" s="197" t="s">
        <v>81</v>
      </c>
      <c r="D6" s="197"/>
      <c r="E6" s="15">
        <v>396</v>
      </c>
      <c r="F6" s="3" t="s">
        <v>1</v>
      </c>
      <c r="G6" s="3" t="s">
        <v>2</v>
      </c>
      <c r="H6" s="15">
        <v>531</v>
      </c>
      <c r="I6" s="9" t="s">
        <v>1</v>
      </c>
    </row>
    <row r="7" spans="1:9" ht="12" customHeight="1" x14ac:dyDescent="0.2">
      <c r="C7" s="2"/>
      <c r="D7" s="2"/>
      <c r="E7" s="2"/>
      <c r="F7" s="2"/>
      <c r="G7" s="2"/>
      <c r="H7" s="2"/>
      <c r="I7" s="19"/>
    </row>
    <row r="8" spans="1:9" ht="18" customHeight="1" x14ac:dyDescent="0.2">
      <c r="A8" s="1" t="s">
        <v>3</v>
      </c>
      <c r="B8" s="9" t="s">
        <v>82</v>
      </c>
      <c r="E8" s="3"/>
      <c r="F8" s="3"/>
      <c r="G8" s="3"/>
      <c r="H8" s="15">
        <v>16</v>
      </c>
      <c r="I8" s="9" t="s">
        <v>1</v>
      </c>
    </row>
    <row r="9" spans="1:9" ht="9" customHeight="1" x14ac:dyDescent="0.2">
      <c r="B9" s="3"/>
      <c r="C9" s="3"/>
      <c r="D9" s="3"/>
      <c r="E9" s="3"/>
      <c r="F9" s="3"/>
      <c r="G9" s="3"/>
      <c r="H9" s="3"/>
      <c r="I9" s="3"/>
    </row>
    <row r="10" spans="1:9" ht="18" customHeight="1" x14ac:dyDescent="0.2">
      <c r="A10" s="1" t="s">
        <v>4</v>
      </c>
      <c r="B10" s="9" t="s">
        <v>83</v>
      </c>
      <c r="C10" s="3"/>
      <c r="D10" s="3"/>
      <c r="E10" s="3"/>
      <c r="F10" s="3"/>
      <c r="G10" s="3"/>
      <c r="H10" s="3"/>
      <c r="I10" s="3"/>
    </row>
    <row r="11" spans="1:9" ht="18" customHeight="1" x14ac:dyDescent="0.2">
      <c r="B11" s="16" t="s">
        <v>40</v>
      </c>
      <c r="C11" s="192" t="s">
        <v>154</v>
      </c>
      <c r="D11" s="195"/>
      <c r="E11" s="196"/>
      <c r="F11" s="19"/>
      <c r="G11" s="16" t="s">
        <v>10</v>
      </c>
      <c r="H11" s="192" t="s">
        <v>155</v>
      </c>
      <c r="I11" s="196"/>
    </row>
    <row r="12" spans="1:9" ht="10.199999999999999" customHeight="1" x14ac:dyDescent="0.2">
      <c r="B12" s="16"/>
      <c r="C12" s="9"/>
      <c r="D12" s="19"/>
      <c r="E12" s="19"/>
      <c r="F12" s="19"/>
      <c r="G12" s="16"/>
      <c r="H12" s="9"/>
      <c r="I12" s="19"/>
    </row>
    <row r="13" spans="1:9" ht="18" customHeight="1" x14ac:dyDescent="0.2">
      <c r="A13" s="1" t="s">
        <v>7</v>
      </c>
      <c r="B13" s="9" t="s">
        <v>78</v>
      </c>
      <c r="C13" s="3"/>
      <c r="D13" s="3"/>
      <c r="E13" s="3"/>
      <c r="F13" s="3"/>
      <c r="G13" s="3"/>
      <c r="H13" s="3"/>
      <c r="I13" s="3"/>
    </row>
    <row r="14" spans="1:9" ht="18" customHeight="1" x14ac:dyDescent="0.2">
      <c r="B14" s="192" t="s">
        <v>156</v>
      </c>
      <c r="C14" s="193"/>
      <c r="D14" s="193"/>
      <c r="E14" s="193"/>
      <c r="F14" s="193"/>
      <c r="G14" s="193"/>
      <c r="H14" s="193"/>
      <c r="I14" s="194"/>
    </row>
    <row r="15" spans="1:9" ht="9" customHeight="1" x14ac:dyDescent="0.2">
      <c r="B15" s="3"/>
      <c r="C15" s="3"/>
      <c r="D15" s="3"/>
      <c r="E15" s="3"/>
      <c r="F15" s="3"/>
      <c r="G15" s="3"/>
      <c r="H15" s="3"/>
      <c r="I15" s="3"/>
    </row>
    <row r="16" spans="1:9" ht="18" customHeight="1" x14ac:dyDescent="0.2">
      <c r="B16" s="16" t="s">
        <v>40</v>
      </c>
      <c r="C16" s="192" t="s">
        <v>154</v>
      </c>
      <c r="D16" s="195"/>
      <c r="E16" s="196"/>
      <c r="F16" s="19"/>
      <c r="G16" s="16" t="s">
        <v>10</v>
      </c>
      <c r="H16" s="192" t="s">
        <v>157</v>
      </c>
      <c r="I16" s="196"/>
    </row>
    <row r="17" spans="1:9" ht="18" customHeight="1" x14ac:dyDescent="0.2">
      <c r="B17" s="3"/>
      <c r="C17" s="3"/>
      <c r="D17" s="3"/>
      <c r="E17" s="3"/>
      <c r="F17" s="3"/>
      <c r="G17" s="3"/>
      <c r="H17" s="3"/>
      <c r="I17" s="3"/>
    </row>
    <row r="18" spans="1:9" ht="18.75" customHeight="1" x14ac:dyDescent="0.2">
      <c r="A18" s="1" t="s">
        <v>5</v>
      </c>
      <c r="B18" s="1" t="s">
        <v>39</v>
      </c>
      <c r="I18" s="3"/>
    </row>
    <row r="19" spans="1:9" ht="18.75" customHeight="1" x14ac:dyDescent="0.2">
      <c r="A19" s="1"/>
      <c r="B19" s="169" t="s">
        <v>158</v>
      </c>
      <c r="C19" s="170"/>
      <c r="D19" s="170"/>
      <c r="E19" s="170"/>
      <c r="F19" s="170"/>
      <c r="G19" s="170"/>
      <c r="H19" s="170"/>
      <c r="I19" s="171"/>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3"/>
      <c r="B22" s="172" t="s">
        <v>159</v>
      </c>
      <c r="C22" s="173"/>
      <c r="D22" s="173"/>
      <c r="E22" s="173"/>
      <c r="F22" s="173"/>
      <c r="G22" s="173"/>
      <c r="H22" s="173"/>
      <c r="I22" s="174"/>
    </row>
    <row r="23" spans="1:9" ht="18.75" customHeight="1" x14ac:dyDescent="0.2">
      <c r="A23" s="13"/>
      <c r="B23" s="175"/>
      <c r="C23" s="176"/>
      <c r="D23" s="176"/>
      <c r="E23" s="176"/>
      <c r="F23" s="176"/>
      <c r="G23" s="176"/>
      <c r="H23" s="176"/>
      <c r="I23" s="177"/>
    </row>
    <row r="24" spans="1:9" ht="18.75" customHeight="1" x14ac:dyDescent="0.2">
      <c r="A24" s="13"/>
      <c r="B24" s="175"/>
      <c r="C24" s="176"/>
      <c r="D24" s="176"/>
      <c r="E24" s="176"/>
      <c r="F24" s="176"/>
      <c r="G24" s="176"/>
      <c r="H24" s="176"/>
      <c r="I24" s="177"/>
    </row>
    <row r="25" spans="1:9" ht="18.75" customHeight="1" x14ac:dyDescent="0.2">
      <c r="A25" s="13"/>
      <c r="B25" s="175"/>
      <c r="C25" s="176"/>
      <c r="D25" s="176"/>
      <c r="E25" s="176"/>
      <c r="F25" s="176"/>
      <c r="G25" s="176"/>
      <c r="H25" s="176"/>
      <c r="I25" s="177"/>
    </row>
    <row r="26" spans="1:9" ht="18.75" customHeight="1" x14ac:dyDescent="0.2">
      <c r="A26" s="13"/>
      <c r="B26" s="175"/>
      <c r="C26" s="176"/>
      <c r="D26" s="176"/>
      <c r="E26" s="176"/>
      <c r="F26" s="176"/>
      <c r="G26" s="176"/>
      <c r="H26" s="176"/>
      <c r="I26" s="177"/>
    </row>
    <row r="27" spans="1:9" ht="18.75" customHeight="1" x14ac:dyDescent="0.2">
      <c r="A27" s="13"/>
      <c r="B27" s="175"/>
      <c r="C27" s="176"/>
      <c r="D27" s="176"/>
      <c r="E27" s="176"/>
      <c r="F27" s="176"/>
      <c r="G27" s="176"/>
      <c r="H27" s="176"/>
      <c r="I27" s="177"/>
    </row>
    <row r="28" spans="1:9" ht="18.75" customHeight="1" x14ac:dyDescent="0.2">
      <c r="A28" s="13"/>
      <c r="B28" s="175"/>
      <c r="C28" s="176"/>
      <c r="D28" s="176"/>
      <c r="E28" s="176"/>
      <c r="F28" s="176"/>
      <c r="G28" s="176"/>
      <c r="H28" s="176"/>
      <c r="I28" s="177"/>
    </row>
    <row r="29" spans="1:9" ht="18.75" customHeight="1" x14ac:dyDescent="0.2">
      <c r="A29" s="13"/>
      <c r="B29" s="175"/>
      <c r="C29" s="176"/>
      <c r="D29" s="176"/>
      <c r="E29" s="176"/>
      <c r="F29" s="176"/>
      <c r="G29" s="176"/>
      <c r="H29" s="176"/>
      <c r="I29" s="177"/>
    </row>
    <row r="30" spans="1:9" ht="18.75" customHeight="1" x14ac:dyDescent="0.2">
      <c r="A30" s="13"/>
      <c r="B30" s="178"/>
      <c r="C30" s="179"/>
      <c r="D30" s="179"/>
      <c r="E30" s="179"/>
      <c r="F30" s="179"/>
      <c r="G30" s="179"/>
      <c r="H30" s="179"/>
      <c r="I30" s="177"/>
    </row>
    <row r="31" spans="1:9" ht="18.75" customHeight="1" x14ac:dyDescent="0.2">
      <c r="A31" s="13"/>
      <c r="B31" s="178"/>
      <c r="C31" s="179"/>
      <c r="D31" s="179"/>
      <c r="E31" s="179"/>
      <c r="F31" s="179"/>
      <c r="G31" s="179"/>
      <c r="H31" s="179"/>
      <c r="I31" s="177"/>
    </row>
    <row r="32" spans="1:9" ht="18.75" customHeight="1" x14ac:dyDescent="0.2">
      <c r="A32" s="13"/>
      <c r="B32" s="180"/>
      <c r="C32" s="181"/>
      <c r="D32" s="181"/>
      <c r="E32" s="181"/>
      <c r="F32" s="181"/>
      <c r="G32" s="181"/>
      <c r="H32" s="181"/>
      <c r="I32" s="182"/>
    </row>
    <row r="33" spans="1:9" ht="7.5" customHeight="1" x14ac:dyDescent="0.2">
      <c r="A33" s="13"/>
      <c r="B33" s="13"/>
      <c r="C33" s="13"/>
      <c r="D33" s="13"/>
      <c r="E33" s="13"/>
      <c r="F33" s="13"/>
      <c r="G33" s="13"/>
      <c r="H33" s="13"/>
      <c r="I33" s="13"/>
    </row>
    <row r="34" spans="1:9" ht="18.75" customHeight="1" x14ac:dyDescent="0.2">
      <c r="A34" s="14" t="s">
        <v>6</v>
      </c>
      <c r="B34" s="14" t="s">
        <v>9</v>
      </c>
      <c r="C34" s="9"/>
      <c r="D34" s="14"/>
      <c r="E34" s="14"/>
      <c r="F34" s="14"/>
      <c r="G34" s="14"/>
      <c r="H34" s="14"/>
      <c r="I34" s="14"/>
    </row>
    <row r="35" spans="1:9" ht="18.75" customHeight="1" x14ac:dyDescent="0.2">
      <c r="A35" s="13"/>
      <c r="B35" s="183" t="s">
        <v>160</v>
      </c>
      <c r="C35" s="184"/>
      <c r="D35" s="184"/>
      <c r="E35" s="184"/>
      <c r="F35" s="184"/>
      <c r="G35" s="184"/>
      <c r="H35" s="184"/>
      <c r="I35" s="185"/>
    </row>
    <row r="36" spans="1:9" ht="18.75" customHeight="1" x14ac:dyDescent="0.2">
      <c r="A36" s="13"/>
      <c r="B36" s="186"/>
      <c r="C36" s="187"/>
      <c r="D36" s="187"/>
      <c r="E36" s="187"/>
      <c r="F36" s="187"/>
      <c r="G36" s="187"/>
      <c r="H36" s="187"/>
      <c r="I36" s="188"/>
    </row>
    <row r="37" spans="1:9" ht="18.75" customHeight="1" x14ac:dyDescent="0.2">
      <c r="A37" s="13"/>
      <c r="B37" s="186"/>
      <c r="C37" s="187"/>
      <c r="D37" s="187"/>
      <c r="E37" s="187"/>
      <c r="F37" s="187"/>
      <c r="G37" s="187"/>
      <c r="H37" s="187"/>
      <c r="I37" s="188"/>
    </row>
    <row r="38" spans="1:9" ht="18.75" customHeight="1" x14ac:dyDescent="0.2">
      <c r="A38" s="13"/>
      <c r="B38" s="186"/>
      <c r="C38" s="187"/>
      <c r="D38" s="187"/>
      <c r="E38" s="187"/>
      <c r="F38" s="187"/>
      <c r="G38" s="187"/>
      <c r="H38" s="187"/>
      <c r="I38" s="188"/>
    </row>
    <row r="39" spans="1:9" ht="18.75" customHeight="1" x14ac:dyDescent="0.2">
      <c r="A39" s="13"/>
      <c r="B39" s="186"/>
      <c r="C39" s="187"/>
      <c r="D39" s="187"/>
      <c r="E39" s="187"/>
      <c r="F39" s="187"/>
      <c r="G39" s="187"/>
      <c r="H39" s="187"/>
      <c r="I39" s="188"/>
    </row>
    <row r="40" spans="1:9" ht="18.75" customHeight="1" x14ac:dyDescent="0.2">
      <c r="A40" s="13"/>
      <c r="B40" s="186"/>
      <c r="C40" s="187"/>
      <c r="D40" s="187"/>
      <c r="E40" s="187"/>
      <c r="F40" s="187"/>
      <c r="G40" s="187"/>
      <c r="H40" s="187"/>
      <c r="I40" s="188"/>
    </row>
    <row r="41" spans="1:9" ht="18.75" customHeight="1" x14ac:dyDescent="0.2">
      <c r="A41" s="13"/>
      <c r="B41" s="186"/>
      <c r="C41" s="187"/>
      <c r="D41" s="187"/>
      <c r="E41" s="187"/>
      <c r="F41" s="187"/>
      <c r="G41" s="187"/>
      <c r="H41" s="187"/>
      <c r="I41" s="188"/>
    </row>
    <row r="42" spans="1:9" ht="18.75" customHeight="1" x14ac:dyDescent="0.2">
      <c r="A42" s="13"/>
      <c r="B42" s="186"/>
      <c r="C42" s="187"/>
      <c r="D42" s="187"/>
      <c r="E42" s="187"/>
      <c r="F42" s="187"/>
      <c r="G42" s="187"/>
      <c r="H42" s="187"/>
      <c r="I42" s="188"/>
    </row>
    <row r="43" spans="1:9" ht="18.75" customHeight="1" x14ac:dyDescent="0.2">
      <c r="A43" s="13"/>
      <c r="B43" s="186"/>
      <c r="C43" s="187"/>
      <c r="D43" s="187"/>
      <c r="E43" s="187"/>
      <c r="F43" s="187"/>
      <c r="G43" s="187"/>
      <c r="H43" s="187"/>
      <c r="I43" s="188"/>
    </row>
    <row r="44" spans="1:9" ht="18.75" customHeight="1" x14ac:dyDescent="0.2">
      <c r="A44" s="13"/>
      <c r="B44" s="186"/>
      <c r="C44" s="187"/>
      <c r="D44" s="187"/>
      <c r="E44" s="187"/>
      <c r="F44" s="187"/>
      <c r="G44" s="187"/>
      <c r="H44" s="187"/>
      <c r="I44" s="188"/>
    </row>
    <row r="45" spans="1:9" ht="18.75" customHeight="1" x14ac:dyDescent="0.2">
      <c r="A45" s="13"/>
      <c r="B45" s="186"/>
      <c r="C45" s="187"/>
      <c r="D45" s="187"/>
      <c r="E45" s="187"/>
      <c r="F45" s="187"/>
      <c r="G45" s="187"/>
      <c r="H45" s="187"/>
      <c r="I45" s="188"/>
    </row>
    <row r="46" spans="1:9" ht="18.75" customHeight="1" x14ac:dyDescent="0.2">
      <c r="A46" s="13"/>
      <c r="B46" s="189"/>
      <c r="C46" s="190"/>
      <c r="D46" s="190"/>
      <c r="E46" s="190"/>
      <c r="F46" s="190"/>
      <c r="G46" s="190"/>
      <c r="H46" s="190"/>
      <c r="I46" s="191"/>
    </row>
    <row r="47" spans="1:9" ht="7.5" customHeight="1" x14ac:dyDescent="0.2">
      <c r="A47" s="4"/>
      <c r="B47" s="4"/>
      <c r="C47" s="4"/>
      <c r="D47" s="4"/>
      <c r="E47" s="4"/>
      <c r="F47" s="4"/>
      <c r="G47" s="4"/>
      <c r="H47" s="4"/>
      <c r="I47" s="4"/>
    </row>
    <row r="48" spans="1:9" ht="18.75" customHeight="1" x14ac:dyDescent="0.2">
      <c r="A48" s="1" t="s">
        <v>30</v>
      </c>
      <c r="B48" s="1" t="s">
        <v>104</v>
      </c>
    </row>
    <row r="49" spans="1:15" s="3" customFormat="1" ht="18.75" customHeight="1" x14ac:dyDescent="0.2">
      <c r="B49" s="77" t="s">
        <v>129</v>
      </c>
      <c r="C49" s="219">
        <f>'様式２ 履修者等数の実績'!S33</f>
        <v>0.19580351962869852</v>
      </c>
      <c r="D49" s="219"/>
      <c r="E49" s="77" t="s">
        <v>59</v>
      </c>
      <c r="F49" s="219">
        <v>0.4</v>
      </c>
      <c r="G49" s="219"/>
      <c r="H49" s="77" t="s">
        <v>79</v>
      </c>
      <c r="I49" s="20">
        <v>0.6</v>
      </c>
      <c r="J49" s="1"/>
      <c r="M49" s="1"/>
      <c r="N49" s="21"/>
    </row>
    <row r="50" spans="1:15" s="3" customFormat="1" ht="18.75" customHeight="1" x14ac:dyDescent="0.2">
      <c r="B50" s="78" t="s">
        <v>115</v>
      </c>
      <c r="C50" s="202">
        <v>0.8</v>
      </c>
      <c r="D50" s="202"/>
      <c r="E50" s="78" t="s">
        <v>130</v>
      </c>
      <c r="F50" s="202">
        <v>0.85</v>
      </c>
      <c r="G50" s="202"/>
      <c r="H50" s="78" t="s">
        <v>60</v>
      </c>
      <c r="I50" s="22">
        <f>'様式２ 履修者等数の実績'!E33</f>
        <v>10342</v>
      </c>
      <c r="J50" s="1"/>
      <c r="M50" s="1"/>
      <c r="N50" s="21"/>
    </row>
    <row r="51" spans="1:15" ht="18.75" customHeight="1" x14ac:dyDescent="0.2">
      <c r="A51" s="1"/>
      <c r="B51" s="199" t="s">
        <v>61</v>
      </c>
      <c r="C51" s="200"/>
      <c r="D51" s="200"/>
      <c r="E51" s="200"/>
      <c r="F51" s="200"/>
      <c r="G51" s="200"/>
      <c r="H51" s="200"/>
      <c r="I51" s="201"/>
      <c r="N51" s="21"/>
      <c r="O51" s="3"/>
    </row>
    <row r="52" spans="1:15" ht="18.75" customHeight="1" x14ac:dyDescent="0.2">
      <c r="A52" s="1"/>
      <c r="B52" s="220" t="s">
        <v>164</v>
      </c>
      <c r="C52" s="221"/>
      <c r="D52" s="221"/>
      <c r="E52" s="221"/>
      <c r="F52" s="221"/>
      <c r="G52" s="221"/>
      <c r="H52" s="221"/>
      <c r="I52" s="222"/>
      <c r="N52" s="21"/>
      <c r="O52" s="3"/>
    </row>
    <row r="53" spans="1:15" ht="18.75" customHeight="1" x14ac:dyDescent="0.2">
      <c r="A53" s="1"/>
      <c r="B53" s="223"/>
      <c r="C53" s="224"/>
      <c r="D53" s="224"/>
      <c r="E53" s="224"/>
      <c r="F53" s="224"/>
      <c r="G53" s="224"/>
      <c r="H53" s="224"/>
      <c r="I53" s="225"/>
      <c r="N53" s="21"/>
      <c r="O53" s="3"/>
    </row>
    <row r="54" spans="1:15" ht="18.75" customHeight="1" x14ac:dyDescent="0.2">
      <c r="A54" s="1"/>
      <c r="B54" s="223"/>
      <c r="C54" s="224"/>
      <c r="D54" s="224"/>
      <c r="E54" s="224"/>
      <c r="F54" s="224"/>
      <c r="G54" s="224"/>
      <c r="H54" s="224"/>
      <c r="I54" s="225"/>
    </row>
    <row r="55" spans="1:15" ht="18.75" customHeight="1" x14ac:dyDescent="0.2">
      <c r="A55" s="1"/>
      <c r="B55" s="223"/>
      <c r="C55" s="224"/>
      <c r="D55" s="224"/>
      <c r="E55" s="224"/>
      <c r="F55" s="224"/>
      <c r="G55" s="224"/>
      <c r="H55" s="224"/>
      <c r="I55" s="225"/>
    </row>
    <row r="56" spans="1:15" ht="18.75" customHeight="1" x14ac:dyDescent="0.2">
      <c r="A56" s="1"/>
      <c r="B56" s="223"/>
      <c r="C56" s="224"/>
      <c r="D56" s="224"/>
      <c r="E56" s="224"/>
      <c r="F56" s="224"/>
      <c r="G56" s="224"/>
      <c r="H56" s="224"/>
      <c r="I56" s="225"/>
    </row>
    <row r="57" spans="1:15" ht="18.75" customHeight="1" x14ac:dyDescent="0.2">
      <c r="A57" s="1"/>
      <c r="B57" s="223"/>
      <c r="C57" s="224"/>
      <c r="D57" s="224"/>
      <c r="E57" s="224"/>
      <c r="F57" s="224"/>
      <c r="G57" s="224"/>
      <c r="H57" s="224"/>
      <c r="I57" s="225"/>
    </row>
    <row r="58" spans="1:15" ht="18.75" customHeight="1" x14ac:dyDescent="0.2">
      <c r="A58" s="1"/>
      <c r="B58" s="223"/>
      <c r="C58" s="224"/>
      <c r="D58" s="224"/>
      <c r="E58" s="224"/>
      <c r="F58" s="224"/>
      <c r="G58" s="224"/>
      <c r="H58" s="224"/>
      <c r="I58" s="225"/>
    </row>
    <row r="59" spans="1:15" ht="18.75" customHeight="1" x14ac:dyDescent="0.2">
      <c r="A59" s="1"/>
      <c r="B59" s="223"/>
      <c r="C59" s="224"/>
      <c r="D59" s="224"/>
      <c r="E59" s="224"/>
      <c r="F59" s="224"/>
      <c r="G59" s="224"/>
      <c r="H59" s="224"/>
      <c r="I59" s="225"/>
    </row>
    <row r="60" spans="1:15" ht="18.75" customHeight="1" x14ac:dyDescent="0.2">
      <c r="A60" s="1"/>
      <c r="B60" s="223"/>
      <c r="C60" s="224"/>
      <c r="D60" s="224"/>
      <c r="E60" s="224"/>
      <c r="F60" s="224"/>
      <c r="G60" s="224"/>
      <c r="H60" s="224"/>
      <c r="I60" s="225"/>
    </row>
    <row r="61" spans="1:15" ht="18.75" customHeight="1" x14ac:dyDescent="0.2">
      <c r="A61" s="1"/>
      <c r="B61" s="223"/>
      <c r="C61" s="224"/>
      <c r="D61" s="224"/>
      <c r="E61" s="224"/>
      <c r="F61" s="224"/>
      <c r="G61" s="224"/>
      <c r="H61" s="224"/>
      <c r="I61" s="225"/>
    </row>
    <row r="62" spans="1:15" ht="18.75" customHeight="1" x14ac:dyDescent="0.2">
      <c r="A62" s="1"/>
      <c r="B62" s="223"/>
      <c r="C62" s="224"/>
      <c r="D62" s="224"/>
      <c r="E62" s="224"/>
      <c r="F62" s="224"/>
      <c r="G62" s="224"/>
      <c r="H62" s="224"/>
      <c r="I62" s="225"/>
    </row>
    <row r="63" spans="1:15" ht="18.75" customHeight="1" x14ac:dyDescent="0.2">
      <c r="A63" s="1"/>
      <c r="B63" s="226"/>
      <c r="C63" s="227"/>
      <c r="D63" s="227"/>
      <c r="E63" s="227"/>
      <c r="F63" s="227"/>
      <c r="G63" s="227"/>
      <c r="H63" s="227"/>
      <c r="I63" s="228"/>
    </row>
    <row r="64" spans="1:15" ht="7.5" customHeight="1" x14ac:dyDescent="0.2">
      <c r="A64" s="13"/>
      <c r="B64" s="13"/>
      <c r="C64" s="13"/>
      <c r="D64" s="13"/>
      <c r="E64" s="13"/>
      <c r="F64" s="13"/>
      <c r="G64" s="13"/>
      <c r="H64" s="13"/>
      <c r="I64" s="13"/>
    </row>
    <row r="65" spans="1:9" ht="18.75" customHeight="1" x14ac:dyDescent="0.2">
      <c r="A65" s="14" t="s">
        <v>33</v>
      </c>
      <c r="B65" s="1" t="s">
        <v>36</v>
      </c>
      <c r="I65" s="14"/>
    </row>
    <row r="66" spans="1:9" ht="18.75" customHeight="1" x14ac:dyDescent="0.2">
      <c r="A66" s="4"/>
      <c r="B66" s="203" t="s">
        <v>165</v>
      </c>
      <c r="C66" s="204"/>
      <c r="D66" s="204"/>
      <c r="E66" s="204"/>
      <c r="F66" s="204"/>
      <c r="G66" s="204"/>
      <c r="H66" s="204"/>
      <c r="I66" s="205"/>
    </row>
    <row r="67" spans="1:9" ht="18.75" customHeight="1" x14ac:dyDescent="0.2">
      <c r="A67" s="4"/>
      <c r="B67" s="206"/>
      <c r="C67" s="207"/>
      <c r="D67" s="207"/>
      <c r="E67" s="207"/>
      <c r="F67" s="207"/>
      <c r="G67" s="207"/>
      <c r="H67" s="207"/>
      <c r="I67" s="208"/>
    </row>
    <row r="68" spans="1:9" ht="18.75" customHeight="1" x14ac:dyDescent="0.2">
      <c r="A68" s="4"/>
      <c r="B68" s="206"/>
      <c r="C68" s="207"/>
      <c r="D68" s="207"/>
      <c r="E68" s="207"/>
      <c r="F68" s="207"/>
      <c r="G68" s="207"/>
      <c r="H68" s="207"/>
      <c r="I68" s="208"/>
    </row>
    <row r="69" spans="1:9" ht="18.75" customHeight="1" x14ac:dyDescent="0.2">
      <c r="A69" s="4"/>
      <c r="B69" s="206"/>
      <c r="C69" s="207"/>
      <c r="D69" s="207"/>
      <c r="E69" s="207"/>
      <c r="F69" s="207"/>
      <c r="G69" s="207"/>
      <c r="H69" s="207"/>
      <c r="I69" s="208"/>
    </row>
    <row r="70" spans="1:9" ht="18.75" customHeight="1" x14ac:dyDescent="0.2">
      <c r="A70" s="4"/>
      <c r="B70" s="206"/>
      <c r="C70" s="207"/>
      <c r="D70" s="207"/>
      <c r="E70" s="207"/>
      <c r="F70" s="207"/>
      <c r="G70" s="207"/>
      <c r="H70" s="207"/>
      <c r="I70" s="208"/>
    </row>
    <row r="71" spans="1:9" ht="18.75" customHeight="1" x14ac:dyDescent="0.2">
      <c r="A71" s="4"/>
      <c r="B71" s="206"/>
      <c r="C71" s="207"/>
      <c r="D71" s="207"/>
      <c r="E71" s="207"/>
      <c r="F71" s="207"/>
      <c r="G71" s="207"/>
      <c r="H71" s="207"/>
      <c r="I71" s="208"/>
    </row>
    <row r="72" spans="1:9" ht="18.75" customHeight="1" x14ac:dyDescent="0.2">
      <c r="A72" s="4"/>
      <c r="B72" s="206"/>
      <c r="C72" s="207"/>
      <c r="D72" s="207"/>
      <c r="E72" s="207"/>
      <c r="F72" s="207"/>
      <c r="G72" s="207"/>
      <c r="H72" s="207"/>
      <c r="I72" s="208"/>
    </row>
    <row r="73" spans="1:9" ht="18.75" customHeight="1" x14ac:dyDescent="0.2">
      <c r="A73" s="4"/>
      <c r="B73" s="206"/>
      <c r="C73" s="207"/>
      <c r="D73" s="207"/>
      <c r="E73" s="207"/>
      <c r="F73" s="207"/>
      <c r="G73" s="207"/>
      <c r="H73" s="207"/>
      <c r="I73" s="208"/>
    </row>
    <row r="74" spans="1:9" ht="18.75" customHeight="1" x14ac:dyDescent="0.2">
      <c r="A74" s="4"/>
      <c r="B74" s="206"/>
      <c r="C74" s="207"/>
      <c r="D74" s="207"/>
      <c r="E74" s="207"/>
      <c r="F74" s="207"/>
      <c r="G74" s="207"/>
      <c r="H74" s="207"/>
      <c r="I74" s="208"/>
    </row>
    <row r="75" spans="1:9" ht="18.75" customHeight="1" x14ac:dyDescent="0.2">
      <c r="A75" s="4"/>
      <c r="B75" s="206"/>
      <c r="C75" s="207"/>
      <c r="D75" s="207"/>
      <c r="E75" s="207"/>
      <c r="F75" s="207"/>
      <c r="G75" s="207"/>
      <c r="H75" s="207"/>
      <c r="I75" s="208"/>
    </row>
    <row r="76" spans="1:9" ht="18.75" customHeight="1" x14ac:dyDescent="0.2">
      <c r="A76" s="4"/>
      <c r="B76" s="206"/>
      <c r="C76" s="207"/>
      <c r="D76" s="207"/>
      <c r="E76" s="207"/>
      <c r="F76" s="207"/>
      <c r="G76" s="207"/>
      <c r="H76" s="207"/>
      <c r="I76" s="208"/>
    </row>
    <row r="77" spans="1:9" ht="18.75" customHeight="1" x14ac:dyDescent="0.2">
      <c r="A77" s="4"/>
      <c r="B77" s="209"/>
      <c r="C77" s="210"/>
      <c r="D77" s="210"/>
      <c r="E77" s="210"/>
      <c r="F77" s="210"/>
      <c r="G77" s="210"/>
      <c r="H77" s="210"/>
      <c r="I77" s="211"/>
    </row>
    <row r="78" spans="1:9" ht="7.5" customHeight="1" x14ac:dyDescent="0.2">
      <c r="A78" s="4"/>
      <c r="B78" s="4"/>
      <c r="C78" s="4"/>
      <c r="D78" s="4"/>
      <c r="E78" s="4"/>
      <c r="F78" s="4"/>
      <c r="G78" s="4"/>
      <c r="H78" s="4"/>
      <c r="I78" s="4"/>
    </row>
    <row r="79" spans="1:9" ht="18.75" customHeight="1" x14ac:dyDescent="0.2">
      <c r="A79" s="1" t="s">
        <v>11</v>
      </c>
      <c r="B79" s="1" t="s">
        <v>38</v>
      </c>
    </row>
    <row r="80" spans="1:9" ht="18.75" customHeight="1" x14ac:dyDescent="0.2">
      <c r="A80" s="1"/>
      <c r="B80" s="203" t="s">
        <v>166</v>
      </c>
      <c r="C80" s="204"/>
      <c r="D80" s="204"/>
      <c r="E80" s="204"/>
      <c r="F80" s="204"/>
      <c r="G80" s="204"/>
      <c r="H80" s="204"/>
      <c r="I80" s="212"/>
    </row>
    <row r="81" spans="1:9" ht="18.75" customHeight="1" x14ac:dyDescent="0.2">
      <c r="A81" s="1"/>
      <c r="B81" s="213"/>
      <c r="C81" s="214"/>
      <c r="D81" s="214"/>
      <c r="E81" s="214"/>
      <c r="F81" s="214"/>
      <c r="G81" s="214"/>
      <c r="H81" s="214"/>
      <c r="I81" s="215"/>
    </row>
    <row r="82" spans="1:9" ht="18.75" customHeight="1" x14ac:dyDescent="0.2">
      <c r="A82" s="1"/>
      <c r="B82" s="213"/>
      <c r="C82" s="214"/>
      <c r="D82" s="214"/>
      <c r="E82" s="214"/>
      <c r="F82" s="214"/>
      <c r="G82" s="214"/>
      <c r="H82" s="214"/>
      <c r="I82" s="215"/>
    </row>
    <row r="83" spans="1:9" ht="18.75" customHeight="1" x14ac:dyDescent="0.2">
      <c r="A83" s="1"/>
      <c r="B83" s="213"/>
      <c r="C83" s="214"/>
      <c r="D83" s="214"/>
      <c r="E83" s="214"/>
      <c r="F83" s="214"/>
      <c r="G83" s="214"/>
      <c r="H83" s="214"/>
      <c r="I83" s="215"/>
    </row>
    <row r="84" spans="1:9" ht="18.75" customHeight="1" x14ac:dyDescent="0.2">
      <c r="A84" s="1"/>
      <c r="B84" s="213"/>
      <c r="C84" s="214"/>
      <c r="D84" s="214"/>
      <c r="E84" s="214"/>
      <c r="F84" s="214"/>
      <c r="G84" s="214"/>
      <c r="H84" s="214"/>
      <c r="I84" s="215"/>
    </row>
    <row r="85" spans="1:9" ht="18.75" customHeight="1" x14ac:dyDescent="0.2">
      <c r="A85" s="1"/>
      <c r="B85" s="213"/>
      <c r="C85" s="214"/>
      <c r="D85" s="214"/>
      <c r="E85" s="214"/>
      <c r="F85" s="214"/>
      <c r="G85" s="214"/>
      <c r="H85" s="214"/>
      <c r="I85" s="215"/>
    </row>
    <row r="86" spans="1:9" ht="18.75" customHeight="1" x14ac:dyDescent="0.2">
      <c r="A86" s="1"/>
      <c r="B86" s="213"/>
      <c r="C86" s="214"/>
      <c r="D86" s="214"/>
      <c r="E86" s="214"/>
      <c r="F86" s="214"/>
      <c r="G86" s="214"/>
      <c r="H86" s="214"/>
      <c r="I86" s="215"/>
    </row>
    <row r="87" spans="1:9" ht="18.75" customHeight="1" x14ac:dyDescent="0.2">
      <c r="A87" s="1"/>
      <c r="B87" s="213"/>
      <c r="C87" s="214"/>
      <c r="D87" s="214"/>
      <c r="E87" s="214"/>
      <c r="F87" s="214"/>
      <c r="G87" s="214"/>
      <c r="H87" s="214"/>
      <c r="I87" s="215"/>
    </row>
    <row r="88" spans="1:9" ht="18.75" customHeight="1" x14ac:dyDescent="0.2">
      <c r="A88" s="1"/>
      <c r="B88" s="213"/>
      <c r="C88" s="214"/>
      <c r="D88" s="214"/>
      <c r="E88" s="214"/>
      <c r="F88" s="214"/>
      <c r="G88" s="214"/>
      <c r="H88" s="214"/>
      <c r="I88" s="215"/>
    </row>
    <row r="89" spans="1:9" ht="18.75" customHeight="1" x14ac:dyDescent="0.2">
      <c r="A89" s="1"/>
      <c r="B89" s="213"/>
      <c r="C89" s="214"/>
      <c r="D89" s="214"/>
      <c r="E89" s="214"/>
      <c r="F89" s="214"/>
      <c r="G89" s="214"/>
      <c r="H89" s="214"/>
      <c r="I89" s="215"/>
    </row>
    <row r="90" spans="1:9" ht="18.75" customHeight="1" x14ac:dyDescent="0.2">
      <c r="A90" s="4"/>
      <c r="B90" s="213"/>
      <c r="C90" s="214"/>
      <c r="D90" s="214"/>
      <c r="E90" s="214"/>
      <c r="F90" s="214"/>
      <c r="G90" s="214"/>
      <c r="H90" s="214"/>
      <c r="I90" s="215"/>
    </row>
    <row r="91" spans="1:9" ht="18.75" customHeight="1" x14ac:dyDescent="0.2">
      <c r="A91" s="4"/>
      <c r="B91" s="216"/>
      <c r="C91" s="217"/>
      <c r="D91" s="217"/>
      <c r="E91" s="217"/>
      <c r="F91" s="217"/>
      <c r="G91" s="217"/>
      <c r="H91" s="217"/>
      <c r="I91" s="218"/>
    </row>
    <row r="92" spans="1:9" ht="7.5" customHeight="1" x14ac:dyDescent="0.2">
      <c r="A92" s="4"/>
      <c r="B92" s="4"/>
      <c r="C92" s="4"/>
      <c r="D92" s="4"/>
      <c r="E92" s="4"/>
      <c r="F92" s="4"/>
      <c r="G92" s="4"/>
      <c r="H92" s="4"/>
      <c r="I92" s="4"/>
    </row>
    <row r="93" spans="1:9" ht="18.75" customHeight="1" x14ac:dyDescent="0.2">
      <c r="A93" s="1" t="s">
        <v>41</v>
      </c>
      <c r="B93" s="1" t="s">
        <v>12</v>
      </c>
    </row>
    <row r="94" spans="1:9" ht="18.75" customHeight="1" x14ac:dyDescent="0.2">
      <c r="A94" s="1"/>
      <c r="B94" s="172" t="s">
        <v>262</v>
      </c>
      <c r="C94" s="173"/>
      <c r="D94" s="173"/>
      <c r="E94" s="173"/>
      <c r="F94" s="173"/>
      <c r="G94" s="173"/>
      <c r="H94" s="173"/>
      <c r="I94" s="174"/>
    </row>
    <row r="95" spans="1:9" ht="18.75" customHeight="1" x14ac:dyDescent="0.2">
      <c r="A95" s="1"/>
      <c r="B95" s="178"/>
      <c r="C95" s="179"/>
      <c r="D95" s="179"/>
      <c r="E95" s="179"/>
      <c r="F95" s="179"/>
      <c r="G95" s="179"/>
      <c r="H95" s="179"/>
      <c r="I95" s="177"/>
    </row>
    <row r="96" spans="1:9" ht="18.75" customHeight="1" x14ac:dyDescent="0.2">
      <c r="A96" s="1"/>
      <c r="B96" s="178"/>
      <c r="C96" s="179"/>
      <c r="D96" s="179"/>
      <c r="E96" s="179"/>
      <c r="F96" s="179"/>
      <c r="G96" s="179"/>
      <c r="H96" s="179"/>
      <c r="I96" s="177"/>
    </row>
    <row r="97" spans="1:9" ht="18.75" customHeight="1" x14ac:dyDescent="0.2">
      <c r="A97" s="1"/>
      <c r="B97" s="178"/>
      <c r="C97" s="179"/>
      <c r="D97" s="179"/>
      <c r="E97" s="179"/>
      <c r="F97" s="179"/>
      <c r="G97" s="179"/>
      <c r="H97" s="179"/>
      <c r="I97" s="177"/>
    </row>
    <row r="98" spans="1:9" ht="18.75" customHeight="1" x14ac:dyDescent="0.2">
      <c r="A98" s="1"/>
      <c r="B98" s="178"/>
      <c r="C98" s="179"/>
      <c r="D98" s="179"/>
      <c r="E98" s="179"/>
      <c r="F98" s="179"/>
      <c r="G98" s="179"/>
      <c r="H98" s="179"/>
      <c r="I98" s="177"/>
    </row>
    <row r="99" spans="1:9" ht="18.75" customHeight="1" x14ac:dyDescent="0.2">
      <c r="A99" s="1"/>
      <c r="B99" s="178"/>
      <c r="C99" s="179"/>
      <c r="D99" s="179"/>
      <c r="E99" s="179"/>
      <c r="F99" s="179"/>
      <c r="G99" s="179"/>
      <c r="H99" s="179"/>
      <c r="I99" s="177"/>
    </row>
    <row r="100" spans="1:9" ht="18.75" customHeight="1" x14ac:dyDescent="0.2">
      <c r="A100" s="1"/>
      <c r="B100" s="178"/>
      <c r="C100" s="179"/>
      <c r="D100" s="179"/>
      <c r="E100" s="179"/>
      <c r="F100" s="179"/>
      <c r="G100" s="179"/>
      <c r="H100" s="179"/>
      <c r="I100" s="177"/>
    </row>
    <row r="101" spans="1:9" ht="18.75" customHeight="1" x14ac:dyDescent="0.2">
      <c r="A101" s="1"/>
      <c r="B101" s="178"/>
      <c r="C101" s="179"/>
      <c r="D101" s="179"/>
      <c r="E101" s="179"/>
      <c r="F101" s="179"/>
      <c r="G101" s="179"/>
      <c r="H101" s="179"/>
      <c r="I101" s="177"/>
    </row>
    <row r="102" spans="1:9" ht="18.75" customHeight="1" x14ac:dyDescent="0.2">
      <c r="A102" s="1"/>
      <c r="B102" s="178"/>
      <c r="C102" s="179"/>
      <c r="D102" s="179"/>
      <c r="E102" s="179"/>
      <c r="F102" s="179"/>
      <c r="G102" s="179"/>
      <c r="H102" s="179"/>
      <c r="I102" s="177"/>
    </row>
    <row r="103" spans="1:9" ht="18.75" customHeight="1" x14ac:dyDescent="0.2">
      <c r="A103" s="1"/>
      <c r="B103" s="178"/>
      <c r="C103" s="179"/>
      <c r="D103" s="179"/>
      <c r="E103" s="179"/>
      <c r="F103" s="179"/>
      <c r="G103" s="179"/>
      <c r="H103" s="179"/>
      <c r="I103" s="177"/>
    </row>
    <row r="104" spans="1:9" ht="18.75" customHeight="1" x14ac:dyDescent="0.2">
      <c r="A104" s="1"/>
      <c r="B104" s="178"/>
      <c r="C104" s="179"/>
      <c r="D104" s="179"/>
      <c r="E104" s="179"/>
      <c r="F104" s="179"/>
      <c r="G104" s="179"/>
      <c r="H104" s="179"/>
      <c r="I104" s="177"/>
    </row>
    <row r="105" spans="1:9" ht="18.75" customHeight="1" x14ac:dyDescent="0.2">
      <c r="A105" s="4"/>
      <c r="B105" s="180"/>
      <c r="C105" s="181"/>
      <c r="D105" s="181"/>
      <c r="E105" s="181"/>
      <c r="F105" s="181"/>
      <c r="G105" s="181"/>
      <c r="H105" s="181"/>
      <c r="I105" s="182"/>
    </row>
    <row r="106" spans="1:9" ht="7.5" customHeight="1" x14ac:dyDescent="0.2">
      <c r="A106" s="4"/>
      <c r="B106" s="4"/>
      <c r="C106" s="4"/>
      <c r="D106" s="4"/>
      <c r="E106" s="4"/>
      <c r="F106" s="4"/>
      <c r="G106" s="4"/>
      <c r="H106" s="4"/>
      <c r="I106" s="4"/>
    </row>
    <row r="107" spans="1:9" ht="18.75" customHeight="1" x14ac:dyDescent="0.2">
      <c r="A107" s="1" t="s">
        <v>29</v>
      </c>
      <c r="B107" s="198" t="s">
        <v>43</v>
      </c>
      <c r="C107" s="198"/>
      <c r="D107" s="198"/>
      <c r="E107" s="198"/>
      <c r="F107" s="198"/>
      <c r="G107" s="198"/>
      <c r="H107" s="198"/>
      <c r="I107" s="198"/>
    </row>
    <row r="108" spans="1:9" ht="18.75" customHeight="1" x14ac:dyDescent="0.2">
      <c r="A108" s="4"/>
      <c r="B108" s="172" t="s">
        <v>167</v>
      </c>
      <c r="C108" s="173"/>
      <c r="D108" s="173"/>
      <c r="E108" s="173"/>
      <c r="F108" s="173"/>
      <c r="G108" s="173"/>
      <c r="H108" s="173"/>
      <c r="I108" s="174"/>
    </row>
    <row r="109" spans="1:9" ht="18.75" customHeight="1" x14ac:dyDescent="0.2">
      <c r="A109" s="4"/>
      <c r="B109" s="178"/>
      <c r="C109" s="179"/>
      <c r="D109" s="179"/>
      <c r="E109" s="179"/>
      <c r="F109" s="179"/>
      <c r="G109" s="179"/>
      <c r="H109" s="179"/>
      <c r="I109" s="177"/>
    </row>
    <row r="110" spans="1:9" ht="18.75" customHeight="1" x14ac:dyDescent="0.2">
      <c r="A110" s="4"/>
      <c r="B110" s="178"/>
      <c r="C110" s="179"/>
      <c r="D110" s="179"/>
      <c r="E110" s="179"/>
      <c r="F110" s="179"/>
      <c r="G110" s="179"/>
      <c r="H110" s="179"/>
      <c r="I110" s="177"/>
    </row>
    <row r="111" spans="1:9" ht="18.75" customHeight="1" x14ac:dyDescent="0.2">
      <c r="A111" s="4"/>
      <c r="B111" s="178"/>
      <c r="C111" s="179"/>
      <c r="D111" s="179"/>
      <c r="E111" s="179"/>
      <c r="F111" s="179"/>
      <c r="G111" s="179"/>
      <c r="H111" s="179"/>
      <c r="I111" s="177"/>
    </row>
    <row r="112" spans="1:9" ht="18.75" customHeight="1" x14ac:dyDescent="0.2">
      <c r="A112" s="4"/>
      <c r="B112" s="178"/>
      <c r="C112" s="179"/>
      <c r="D112" s="179"/>
      <c r="E112" s="179"/>
      <c r="F112" s="179"/>
      <c r="G112" s="179"/>
      <c r="H112" s="179"/>
      <c r="I112" s="177"/>
    </row>
    <row r="113" spans="1:9" ht="18.75" customHeight="1" x14ac:dyDescent="0.2">
      <c r="A113" s="4"/>
      <c r="B113" s="178"/>
      <c r="C113" s="179"/>
      <c r="D113" s="179"/>
      <c r="E113" s="179"/>
      <c r="F113" s="179"/>
      <c r="G113" s="179"/>
      <c r="H113" s="179"/>
      <c r="I113" s="177"/>
    </row>
    <row r="114" spans="1:9" ht="18.75" customHeight="1" x14ac:dyDescent="0.2">
      <c r="A114" s="4"/>
      <c r="B114" s="178"/>
      <c r="C114" s="179"/>
      <c r="D114" s="179"/>
      <c r="E114" s="179"/>
      <c r="F114" s="179"/>
      <c r="G114" s="179"/>
      <c r="H114" s="179"/>
      <c r="I114" s="177"/>
    </row>
    <row r="115" spans="1:9" ht="18.75" customHeight="1" x14ac:dyDescent="0.2">
      <c r="A115" s="4"/>
      <c r="B115" s="178"/>
      <c r="C115" s="179"/>
      <c r="D115" s="179"/>
      <c r="E115" s="179"/>
      <c r="F115" s="179"/>
      <c r="G115" s="179"/>
      <c r="H115" s="179"/>
      <c r="I115" s="177"/>
    </row>
    <row r="116" spans="1:9" ht="18.75" customHeight="1" x14ac:dyDescent="0.2">
      <c r="A116" s="4"/>
      <c r="B116" s="178"/>
      <c r="C116" s="179"/>
      <c r="D116" s="179"/>
      <c r="E116" s="179"/>
      <c r="F116" s="179"/>
      <c r="G116" s="179"/>
      <c r="H116" s="179"/>
      <c r="I116" s="177"/>
    </row>
    <row r="117" spans="1:9" ht="18.75" customHeight="1" x14ac:dyDescent="0.2">
      <c r="A117" s="4"/>
      <c r="B117" s="178"/>
      <c r="C117" s="179"/>
      <c r="D117" s="179"/>
      <c r="E117" s="179"/>
      <c r="F117" s="179"/>
      <c r="G117" s="179"/>
      <c r="H117" s="179"/>
      <c r="I117" s="177"/>
    </row>
    <row r="118" spans="1:9" ht="18.75" customHeight="1" x14ac:dyDescent="0.2">
      <c r="A118" s="4"/>
      <c r="B118" s="178"/>
      <c r="C118" s="179"/>
      <c r="D118" s="179"/>
      <c r="E118" s="179"/>
      <c r="F118" s="179"/>
      <c r="G118" s="179"/>
      <c r="H118" s="179"/>
      <c r="I118" s="177"/>
    </row>
    <row r="119" spans="1:9" ht="18.75" customHeight="1" x14ac:dyDescent="0.2">
      <c r="A119" s="4"/>
      <c r="B119" s="180"/>
      <c r="C119" s="181"/>
      <c r="D119" s="181"/>
      <c r="E119" s="181"/>
      <c r="F119" s="181"/>
      <c r="G119" s="181"/>
      <c r="H119" s="181"/>
      <c r="I119" s="182"/>
    </row>
    <row r="120" spans="1:9" ht="7.5" customHeight="1" x14ac:dyDescent="0.2">
      <c r="A120" s="4"/>
      <c r="B120" s="23"/>
      <c r="C120" s="23"/>
      <c r="D120" s="23"/>
      <c r="E120" s="23"/>
      <c r="F120" s="23"/>
      <c r="G120" s="23"/>
      <c r="H120" s="23"/>
      <c r="I120" s="23"/>
    </row>
    <row r="121" spans="1:9" ht="18.75" customHeight="1" x14ac:dyDescent="0.2">
      <c r="A121" s="48"/>
      <c r="B121" s="168"/>
      <c r="C121" s="168"/>
      <c r="D121" s="168"/>
      <c r="E121" s="168"/>
      <c r="F121" s="168"/>
      <c r="G121" s="168"/>
      <c r="H121" s="168"/>
      <c r="I121" s="168"/>
    </row>
    <row r="122" spans="1:9" ht="18.75" customHeight="1" x14ac:dyDescent="0.2">
      <c r="A122" s="48"/>
      <c r="B122" s="168"/>
      <c r="C122" s="168"/>
      <c r="D122" s="168"/>
      <c r="E122" s="168"/>
      <c r="F122" s="168"/>
      <c r="G122" s="168"/>
      <c r="H122" s="168"/>
      <c r="I122" s="168"/>
    </row>
    <row r="123" spans="1:9" ht="18.75" customHeight="1" x14ac:dyDescent="0.2">
      <c r="A123" s="4"/>
      <c r="B123" s="49"/>
      <c r="C123" s="49"/>
      <c r="D123" s="49"/>
      <c r="E123" s="49"/>
      <c r="F123" s="49"/>
      <c r="G123" s="49"/>
      <c r="H123" s="49"/>
      <c r="I123" s="50"/>
    </row>
    <row r="124" spans="1:9" ht="18.75" customHeight="1" x14ac:dyDescent="0.2">
      <c r="A124" s="4"/>
      <c r="B124" s="50"/>
      <c r="C124" s="50"/>
      <c r="D124" s="50"/>
      <c r="E124" s="50"/>
      <c r="F124" s="50"/>
      <c r="G124" s="50"/>
      <c r="H124" s="50"/>
      <c r="I124" s="50"/>
    </row>
    <row r="125" spans="1:9" ht="18.75" customHeight="1" x14ac:dyDescent="0.2">
      <c r="A125" s="4"/>
      <c r="B125" s="50"/>
      <c r="C125" s="50"/>
      <c r="D125" s="50"/>
      <c r="E125" s="50"/>
      <c r="F125" s="50"/>
      <c r="G125" s="50"/>
      <c r="H125" s="50"/>
      <c r="I125" s="50"/>
    </row>
    <row r="126" spans="1:9" ht="18.75" customHeight="1" x14ac:dyDescent="0.2">
      <c r="A126" s="4"/>
      <c r="B126" s="50"/>
      <c r="C126" s="50"/>
      <c r="D126" s="50"/>
      <c r="E126" s="50"/>
      <c r="F126" s="50"/>
      <c r="G126" s="50"/>
      <c r="H126" s="50"/>
      <c r="I126" s="50"/>
    </row>
    <row r="127" spans="1:9" ht="18.75" customHeight="1" x14ac:dyDescent="0.2">
      <c r="A127" s="4"/>
      <c r="B127" s="50"/>
      <c r="C127" s="50"/>
      <c r="D127" s="50"/>
      <c r="E127" s="50"/>
      <c r="F127" s="50"/>
      <c r="G127" s="50"/>
      <c r="H127" s="50"/>
      <c r="I127" s="50"/>
    </row>
    <row r="128" spans="1:9" ht="18.75" customHeight="1" x14ac:dyDescent="0.2">
      <c r="A128" s="4"/>
      <c r="B128" s="50"/>
      <c r="C128" s="50"/>
      <c r="D128" s="50"/>
      <c r="E128" s="50"/>
      <c r="F128" s="50"/>
      <c r="G128" s="50"/>
      <c r="H128" s="50"/>
      <c r="I128" s="50"/>
    </row>
    <row r="129" spans="1:9" ht="18.75" customHeight="1" x14ac:dyDescent="0.2">
      <c r="A129" s="4"/>
      <c r="B129" s="50"/>
      <c r="C129" s="50"/>
      <c r="D129" s="50"/>
      <c r="E129" s="50"/>
      <c r="F129" s="50"/>
      <c r="G129" s="50"/>
      <c r="H129" s="50"/>
      <c r="I129" s="50"/>
    </row>
    <row r="130" spans="1:9" ht="18.75" customHeight="1" x14ac:dyDescent="0.2">
      <c r="A130" s="4"/>
      <c r="B130" s="50"/>
      <c r="C130" s="50"/>
      <c r="D130" s="50"/>
      <c r="E130" s="50"/>
      <c r="F130" s="50"/>
      <c r="G130" s="50"/>
      <c r="H130" s="50"/>
      <c r="I130" s="50"/>
    </row>
    <row r="131" spans="1:9" ht="18.75" customHeight="1" x14ac:dyDescent="0.2">
      <c r="A131" s="4"/>
      <c r="B131" s="50"/>
      <c r="C131" s="50"/>
      <c r="D131" s="50"/>
      <c r="E131" s="50"/>
      <c r="F131" s="50"/>
      <c r="G131" s="50"/>
      <c r="H131" s="50"/>
      <c r="I131" s="50"/>
    </row>
    <row r="132" spans="1:9" ht="18.75" customHeight="1" x14ac:dyDescent="0.2">
      <c r="A132" s="4"/>
      <c r="B132" s="50"/>
      <c r="C132" s="50"/>
      <c r="D132" s="50"/>
      <c r="E132" s="50"/>
      <c r="F132" s="50"/>
      <c r="G132" s="50"/>
      <c r="H132" s="50"/>
      <c r="I132" s="50"/>
    </row>
    <row r="133" spans="1:9" ht="14.4" x14ac:dyDescent="0.2">
      <c r="A133" s="4"/>
      <c r="B133" s="50"/>
      <c r="C133" s="50"/>
      <c r="D133" s="50"/>
      <c r="E133" s="50"/>
      <c r="F133" s="50"/>
      <c r="G133" s="50"/>
      <c r="H133" s="50"/>
      <c r="I133" s="50"/>
    </row>
    <row r="134" spans="1:9" ht="7.5" customHeight="1" x14ac:dyDescent="0.2">
      <c r="A134" s="4"/>
      <c r="B134" s="50"/>
      <c r="C134" s="50"/>
      <c r="D134" s="50"/>
      <c r="E134" s="50"/>
      <c r="F134" s="50"/>
      <c r="G134" s="50"/>
      <c r="H134" s="50"/>
      <c r="I134" s="5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16383" man="1"/>
    <brk id="92"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2" zoomScale="90" zoomScaleNormal="100" zoomScaleSheetLayoutView="90" workbookViewId="0">
      <selection activeCell="E22" sqref="E22:I22"/>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62</v>
      </c>
      <c r="I1" s="16" t="s">
        <v>89</v>
      </c>
    </row>
    <row r="2" spans="1:9" ht="18.75" customHeight="1" x14ac:dyDescent="0.2">
      <c r="H2" s="16" t="s">
        <v>92</v>
      </c>
      <c r="I2" s="15" t="str">
        <f>'様式１－１　プログラムを構成する授業科目'!C2</f>
        <v>摂南大学</v>
      </c>
    </row>
    <row r="3" spans="1:9" ht="18.75" customHeight="1" x14ac:dyDescent="0.2">
      <c r="A3" s="108" t="s">
        <v>27</v>
      </c>
      <c r="B3" s="108"/>
      <c r="C3" s="108"/>
      <c r="D3" s="108"/>
      <c r="E3" s="108"/>
      <c r="F3" s="108"/>
      <c r="G3" s="108"/>
      <c r="H3" s="108"/>
      <c r="I3" s="108"/>
    </row>
    <row r="4" spans="1:9" ht="18.75" customHeight="1" x14ac:dyDescent="0.2">
      <c r="A4" s="5"/>
      <c r="B4" s="5"/>
      <c r="C4" s="5"/>
      <c r="D4" s="5"/>
      <c r="E4" s="5"/>
      <c r="F4" s="5"/>
      <c r="G4" s="5"/>
      <c r="H4" s="5"/>
      <c r="I4" s="5"/>
    </row>
    <row r="5" spans="1:9" ht="18.75" customHeight="1" x14ac:dyDescent="0.2">
      <c r="A5" s="1" t="s">
        <v>0</v>
      </c>
      <c r="B5" s="9" t="s">
        <v>84</v>
      </c>
      <c r="C5" s="5"/>
      <c r="D5" s="5"/>
      <c r="E5" s="5"/>
      <c r="F5" s="5"/>
      <c r="G5" s="5"/>
      <c r="H5" s="5"/>
      <c r="I5" s="5"/>
    </row>
    <row r="6" spans="1:9" ht="26.25" customHeight="1" x14ac:dyDescent="0.2">
      <c r="A6" s="5"/>
      <c r="B6" s="192" t="s">
        <v>256</v>
      </c>
      <c r="C6" s="236"/>
      <c r="D6" s="236"/>
      <c r="E6" s="236"/>
      <c r="F6" s="236"/>
      <c r="G6" s="236"/>
      <c r="H6" s="237"/>
      <c r="I6" s="3"/>
    </row>
    <row r="7" spans="1:9" ht="9" customHeight="1" x14ac:dyDescent="0.2">
      <c r="A7" s="5"/>
      <c r="B7" s="9"/>
      <c r="C7" s="9"/>
      <c r="D7" s="9"/>
      <c r="E7" s="9"/>
      <c r="F7" s="9"/>
      <c r="G7" s="9"/>
      <c r="H7" s="9"/>
      <c r="I7" s="3"/>
    </row>
    <row r="8" spans="1:9" ht="18.75" customHeight="1" x14ac:dyDescent="0.2">
      <c r="A8" s="5"/>
      <c r="B8" s="3"/>
      <c r="C8" s="3"/>
      <c r="D8" s="16" t="s">
        <v>40</v>
      </c>
      <c r="E8" s="17" t="s">
        <v>255</v>
      </c>
      <c r="F8" s="3"/>
      <c r="G8" s="16" t="s">
        <v>10</v>
      </c>
      <c r="H8" s="17" t="s">
        <v>155</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7" t="s">
        <v>23</v>
      </c>
      <c r="C11" s="98"/>
      <c r="D11" s="99"/>
      <c r="E11" s="98" t="s">
        <v>25</v>
      </c>
      <c r="F11" s="98"/>
      <c r="G11" s="98"/>
      <c r="H11" s="98"/>
      <c r="I11" s="99"/>
    </row>
    <row r="12" spans="1:9" ht="26.25" customHeight="1" x14ac:dyDescent="0.2">
      <c r="B12" s="24" t="s">
        <v>13</v>
      </c>
      <c r="C12" s="31"/>
      <c r="D12" s="25"/>
      <c r="E12" s="32"/>
      <c r="F12" s="32"/>
      <c r="G12" s="32"/>
      <c r="H12" s="32"/>
      <c r="I12" s="25"/>
    </row>
    <row r="13" spans="1:9" ht="210.75" customHeight="1" x14ac:dyDescent="0.2">
      <c r="B13" s="26"/>
      <c r="C13" s="234" t="s">
        <v>14</v>
      </c>
      <c r="D13" s="235"/>
      <c r="E13" s="231" t="s">
        <v>263</v>
      </c>
      <c r="F13" s="232"/>
      <c r="G13" s="232"/>
      <c r="H13" s="232"/>
      <c r="I13" s="233"/>
    </row>
    <row r="14" spans="1:9" ht="210.75" customHeight="1" x14ac:dyDescent="0.2">
      <c r="B14" s="26"/>
      <c r="C14" s="229" t="s">
        <v>15</v>
      </c>
      <c r="D14" s="230"/>
      <c r="E14" s="231" t="s">
        <v>258</v>
      </c>
      <c r="F14" s="232"/>
      <c r="G14" s="232"/>
      <c r="H14" s="232"/>
      <c r="I14" s="233"/>
    </row>
    <row r="15" spans="1:9" ht="210.75" customHeight="1" x14ac:dyDescent="0.2">
      <c r="B15" s="26"/>
      <c r="C15" s="234" t="s">
        <v>16</v>
      </c>
      <c r="D15" s="235"/>
      <c r="E15" s="231" t="s">
        <v>257</v>
      </c>
      <c r="F15" s="232"/>
      <c r="G15" s="232"/>
      <c r="H15" s="232"/>
      <c r="I15" s="233"/>
    </row>
    <row r="16" spans="1:9" ht="210.75" customHeight="1" x14ac:dyDescent="0.2">
      <c r="B16" s="26"/>
      <c r="C16" s="234" t="s">
        <v>17</v>
      </c>
      <c r="D16" s="235"/>
      <c r="E16" s="231" t="s">
        <v>264</v>
      </c>
      <c r="F16" s="232"/>
      <c r="G16" s="232"/>
      <c r="H16" s="232"/>
      <c r="I16" s="233"/>
    </row>
    <row r="17" spans="2:9" ht="210.75" customHeight="1" x14ac:dyDescent="0.2">
      <c r="B17" s="27"/>
      <c r="C17" s="238" t="s">
        <v>18</v>
      </c>
      <c r="D17" s="239"/>
      <c r="E17" s="240" t="s">
        <v>268</v>
      </c>
      <c r="F17" s="241"/>
      <c r="G17" s="241"/>
      <c r="H17" s="241"/>
      <c r="I17" s="242"/>
    </row>
    <row r="18" spans="2:9" ht="24" customHeight="1" x14ac:dyDescent="0.2">
      <c r="B18" s="24" t="s">
        <v>19</v>
      </c>
      <c r="C18" s="28"/>
      <c r="D18" s="29"/>
      <c r="E18" s="30"/>
      <c r="F18" s="30"/>
      <c r="G18" s="30"/>
      <c r="H18" s="30"/>
      <c r="I18" s="33"/>
    </row>
    <row r="19" spans="2:9" ht="218.25" customHeight="1" x14ac:dyDescent="0.2">
      <c r="B19" s="26"/>
      <c r="C19" s="234" t="s">
        <v>20</v>
      </c>
      <c r="D19" s="235"/>
      <c r="E19" s="232" t="s">
        <v>267</v>
      </c>
      <c r="F19" s="232"/>
      <c r="G19" s="232"/>
      <c r="H19" s="232"/>
      <c r="I19" s="233"/>
    </row>
    <row r="20" spans="2:9" ht="218.25" customHeight="1" x14ac:dyDescent="0.2">
      <c r="B20" s="27"/>
      <c r="C20" s="238" t="s">
        <v>21</v>
      </c>
      <c r="D20" s="239"/>
      <c r="E20" s="241" t="s">
        <v>259</v>
      </c>
      <c r="F20" s="241"/>
      <c r="G20" s="241"/>
      <c r="H20" s="241"/>
      <c r="I20" s="242"/>
    </row>
    <row r="21" spans="2:9" ht="218.25" customHeight="1" x14ac:dyDescent="0.2">
      <c r="B21" s="248" t="s">
        <v>22</v>
      </c>
      <c r="C21" s="249"/>
      <c r="D21" s="250"/>
      <c r="E21" s="251" t="s">
        <v>265</v>
      </c>
      <c r="F21" s="251"/>
      <c r="G21" s="251"/>
      <c r="H21" s="251"/>
      <c r="I21" s="252"/>
    </row>
    <row r="22" spans="2:9" ht="218.25" customHeight="1" x14ac:dyDescent="0.2">
      <c r="B22" s="243" t="s">
        <v>121</v>
      </c>
      <c r="C22" s="244"/>
      <c r="D22" s="245"/>
      <c r="E22" s="246" t="s">
        <v>266</v>
      </c>
      <c r="F22" s="246"/>
      <c r="G22" s="246"/>
      <c r="H22" s="246"/>
      <c r="I22" s="24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3"/>
      <c r="C28" s="13"/>
      <c r="D28" s="13"/>
      <c r="E28" s="13"/>
      <c r="F28" s="13"/>
      <c r="G28" s="13"/>
      <c r="H28" s="13"/>
      <c r="I28" s="13"/>
    </row>
    <row r="29" spans="2:9" ht="22.5" customHeight="1" x14ac:dyDescent="0.2">
      <c r="B29" s="13"/>
      <c r="C29" s="13"/>
      <c r="D29" s="13"/>
      <c r="E29" s="13"/>
      <c r="F29" s="13"/>
      <c r="G29" s="13"/>
      <c r="H29" s="13"/>
      <c r="I29" s="13"/>
    </row>
    <row r="30" spans="2:9" ht="22.5" customHeight="1" x14ac:dyDescent="0.2">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様式１－１　プログラムを構成する授業科目</vt:lpstr>
      <vt:lpstr>様式１－２　プログラムを構成する授業科目</vt:lpstr>
      <vt:lpstr>様式１－３　プログラムを構成する授業科目</vt:lpstr>
      <vt:lpstr>様式１－４　プログラムを構成する授業科目</vt:lpstr>
      <vt:lpstr>様式１－５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'様式１－３　プログラムを構成する授業科目'!Print_Area</vt:lpstr>
      <vt:lpstr>'様式１－４　プログラムを構成する授業科目'!Print_Area</vt:lpstr>
      <vt:lpstr>'様式１－５　プログラムを構成する授業科目'!Print_Area</vt:lpstr>
      <vt:lpstr>'様式２ 履修者等数の実績'!Print_Area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Atsuko Saito</cp:lastModifiedBy>
  <cp:lastPrinted>2025-07-03T03:38:05Z</cp:lastPrinted>
  <dcterms:created xsi:type="dcterms:W3CDTF">2011-06-14T05:32:50Z</dcterms:created>
  <dcterms:modified xsi:type="dcterms:W3CDTF">2025-07-03T03:38:44Z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