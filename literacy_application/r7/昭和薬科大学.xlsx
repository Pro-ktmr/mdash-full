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jimunas02.staff.shoyaku.ac.jp\kyoumu-c\05.ワーキング・グループ（WG）\WG11「数理・データサイエンス・AI教育プログラム認定制度」\提出書類【再提出】\"/>
    </mc:Choice>
  </mc:AlternateContent>
  <xr:revisionPtr revIDLastSave="0" documentId="13_ncr:1_{62212DB9-D0FF-4ABF-8CA7-02112C679706}" xr6:coauthVersionLast="47" xr6:coauthVersionMax="47" xr10:uidLastSave="{00000000-0000-0000-0000-000000000000}"/>
  <bookViews>
    <workbookView xWindow="14295" yWindow="0" windowWidth="14610" windowHeight="1558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<sst xmlns="http://schemas.openxmlformats.org/spreadsheetml/2006/main" count="343" uniqueCount="199">
  <si>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</si>
  <si>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</si>
  <si>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</si>
  <si>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</si>
  <si>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</si>
  <si>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</si>
  <si>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</si>
  <si>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</si>
  <si>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</si>
  <si>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</si>
  <si>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</si>
  <si>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</si>
  <si>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</si>
  <si>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</si>
  <si>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</si>
  <si>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</si>
  <si>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</si>
  <si>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</si>
  <si>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</si>
  <si>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</si>
  <si>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</si>
  <si>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</si>
  <si>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</si>
  <si>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</si>
  <si>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</si>
  <si>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</si>
  <si>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</si>
  <si>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</si>
  <si>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</si>
  <si>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</si>
  <si>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</si>
  <si>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</si>
  <si>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</si>
  <si>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</si>
  <si>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</si>
  <si>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</si>
  <si>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</si>
  <si>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</si>
  <si>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</si>
  <si>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</si>
  <si>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</si>
  <si>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</si>
  <si>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</si>
  <si>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</si>
  <si>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</si>
  <si>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</si>
  <si>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</si>
  <si>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</si>
  <si>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</si>
  <si>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</si>
  <si>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</si>
  <si>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</si>
  <si>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</si>
  <si>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</si>
  <si>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</si>
  <si>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</si>
  <si>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</si>
  <si>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</si>
  <si>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</si>
  <si>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</si>
  <si>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</si>
  <si>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</si>
  <si>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</si>
  <si>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</si>
  <si>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</si>
  <si>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</si>
  <si>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</si>
  <si>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</si>
  <si>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</si>
  <si>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</si>
  <si>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</si>
  <si>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</si>
  <si>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</si>
  <si>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</si>
  <si>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</si>
  <si>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</si>
  <si>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</si>
  <si>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</si>
  <si>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</si>
  <si>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</si>
  <si>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</si>
  <si>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</si>
  <si>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</si>
  <si>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</si>
  <si>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</si>
  <si>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</si>
  <si>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</si>
  <si>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</si>
  <si>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</si>
  <si>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</si>
  <si>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</si>
  <si>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</si>
  <si>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</si>
  <si>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</si>
  <si>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</si>
  <si>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</si>
  <si>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</si>
  <si>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</si>
  <si>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</si>
  <si>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</si>
  <si>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</si>
  <si>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</si>
  <si>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</si>
  <si>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</si>
  <si>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</si>
  <si>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</si>
  <si>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</si>
  <si>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</si>
  <si>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</si>
  <si>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</si>
  <si>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</si>
  <si>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</si>
  <si>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</si>
  <si>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</si>
  <si>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</si>
  <si>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</si>
  <si>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</si>
  <si>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</si>
  <si>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</si>
  <si>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</si>
  <si>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</si>
  <si>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</si>
  <si>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</si>
  <si>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</si>
  <si>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</si>
  <si>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</si>
  <si>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</si>
  <si>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</si>
  <si>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</si>
  <si>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</si>
  <si>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</si>
  <si>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</si>
  <si>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</si>
  <si>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</si>
  <si>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</si>
  <si>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</si>
  <si>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</si>
  <si>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</si>
  <si>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</si>
  <si>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</si>
  <si>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</si>
  <si>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</si>
  <si>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</si>
  <si>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昭和薬科大学</t>
  </si>
  <si>
    <t>学部・学科によって、修了要件は相違しない</t>
  </si>
  <si>
    <t>情報科学実習</t>
    <phoneticPr fontId="1"/>
  </si>
  <si>
    <t>○</t>
  </si>
  <si>
    <t>メディシナルケミストリー実習</t>
    <phoneticPr fontId="1"/>
  </si>
  <si>
    <t>公衆衛生学</t>
    <phoneticPr fontId="1"/>
  </si>
  <si>
    <t>医薬品情報学</t>
    <phoneticPr fontId="1"/>
  </si>
  <si>
    <t>臨床統計学</t>
    <phoneticPr fontId="1"/>
  </si>
  <si>
    <t>基礎統計学</t>
    <rPh sb="0" eb="5">
      <t xml:space="preserve">キソトウケイガク </t>
    </rPh>
    <phoneticPr fontId="1"/>
  </si>
  <si>
    <t>医療倫理学</t>
    <phoneticPr fontId="1"/>
  </si>
  <si>
    <t>基礎統計学</t>
    <phoneticPr fontId="1"/>
  </si>
  <si>
    <t>微分積分学</t>
    <phoneticPr fontId="1"/>
  </si>
  <si>
    <t>4-1統計および数理基礎</t>
  </si>
  <si>
    <t>調査データ、実験データ、人の行動ログデータ、機械の稼働ログデータなど「臨床統計学」（9回目）
1次データ、2次データ、データのメタ化「情報科学実習」（17回目),「医薬品情報学」(2回目)
データのオープン化（オープンデータ「情報科学実習」（19回目),,「医薬品情報学」(2回目)、「公衆衛生学」(2回目)</t>
    <phoneticPr fontId="1"/>
  </si>
  <si>
    <t>情報セキュリティの3要素（機密性、完全性、可用性）「情報科学実習」(18回目)</t>
    <phoneticPr fontId="1"/>
  </si>
  <si>
    <t>データの種類（量的変数、質的変数）「基礎統計学」(1回目)、「臨床統計学」(1回目)
データの分布(ヒストグラム)と代表値（平均値、中央値、最頻値）「基礎統計学」(2回目)、「医薬品情報学」(7回目)、「臨床統計学」(1回目)
代表値の性質の違い（実社会では平均値＝最頻値でないことが多い）「基礎統計学」(2回目)、「医薬品情報学」(7回目)、「臨床統計学」(1回目)
相関と因果（相関係数、擬似相関、交絡）「基礎統計学」(10回目)、「医薬品情報学」(8回目)、「臨床統計学」(1回目)
母集団と標本抽出（国勢調査、アンケート調査、全数調査、単純無作為抽出、層別抽出、多段抽出）「臨床統計学」(1回目)、「公衆衛生学」(2回目)</t>
    <phoneticPr fontId="1"/>
  </si>
  <si>
    <t>リベラルアーツ/教養系教育８ 線形代数学</t>
    <phoneticPr fontId="1"/>
  </si>
  <si>
    <t>薬学部・薬学科</t>
    <rPh sb="0" eb="3">
      <t>ヤクガクブ</t>
    </rPh>
    <rPh sb="4" eb="7">
      <t>ヤクガッカ</t>
    </rPh>
    <phoneticPr fontId="1"/>
  </si>
  <si>
    <t>令和６</t>
    <rPh sb="0" eb="2">
      <t>レイワ</t>
    </rPh>
    <phoneticPr fontId="1"/>
  </si>
  <si>
    <t>岸本 成史</t>
    <phoneticPr fontId="1"/>
  </si>
  <si>
    <t>教務委員会委員長</t>
    <rPh sb="0" eb="5">
      <t>キョウムイインカイ</t>
    </rPh>
    <rPh sb="5" eb="8">
      <t>イインチョウ</t>
    </rPh>
    <phoneticPr fontId="1"/>
  </si>
  <si>
    <t>教務委員会　数理・データサイエンス・ＡＩ教育ワーキンググループ</t>
    <rPh sb="0" eb="5">
      <t>キョウムイインカイ</t>
    </rPh>
    <phoneticPr fontId="1"/>
  </si>
  <si>
    <t>原 梓</t>
    <rPh sb="0" eb="1">
      <t>ハラ</t>
    </rPh>
    <rPh sb="2" eb="3">
      <t>アズサ</t>
    </rPh>
    <phoneticPr fontId="1"/>
  </si>
  <si>
    <t>情報教育運営委員会委員長</t>
    <rPh sb="0" eb="2">
      <t>ジョウホウ</t>
    </rPh>
    <rPh sb="2" eb="4">
      <t>キョウイク</t>
    </rPh>
    <rPh sb="4" eb="6">
      <t>ウンエイ</t>
    </rPh>
    <rPh sb="6" eb="9">
      <t>イインカイ</t>
    </rPh>
    <rPh sb="9" eb="12">
      <t>イインチョウ</t>
    </rPh>
    <phoneticPr fontId="1"/>
  </si>
  <si>
    <t>教務委員会内規</t>
  </si>
  <si>
    <t>近年、薬学分野においても、電子カルテ情報や診療報酬明細情報等の大規模医療情報データベースや人工知能(AI)の活用が期待されており、データを適切に活用して社会へ貢献できる人材の育成が求められている。このような教育を推進するため、令和４年度改訂版の薬学教育モデル・コア・カリキュラム（令和６年度開始）においても、新たな資質・能力の一つとして「情報・科学技術を活かす能力」が加えられた。そこで、昭和薬科大学では、教務委員会内に、数理・データサイエンス・AI教育に関して関連科目の整備を行い、６年間をとおして知識および実践能力を身に付けることができるカリキュラムの構築および改善を行うことを目的とした数理・データサイエンス・ＡＩ教育ワーキンググループを設置し、運用がなされている。</t>
    <phoneticPr fontId="1"/>
  </si>
  <si>
    <t>岸本 成史   （教務委員会委員長・薬学教育推進センター薬学教育推進研究室 教授）
原 梓         （情報教育運営委員会委員長・教務委員会委員・社会薬学研究室 教授）
繁田 岳美   （教務委員会委員・情報教育運営委員会委員・応用数学 繁田研究室 教授）
井上 能博   （教務委員会委員・統合薬学教育研究室 教授）
伊藤 俊将   （教務委員会委員・医薬分子化学研究室 教授）
庄野 あい子（公衆衛生学研究室 准教授）
瀧澤 誠      （教務委員会委員・情報教育運営委員会委員・数理科学 瀧澤研究室 講師）
大和 幹枝  （臨床薬学教育研究センター医薬品情報部門 助教）</t>
    <phoneticPr fontId="1"/>
  </si>
  <si>
    <t>本プログラム修了要件となる全ての科目は必修科目であるため、全学生がプログラムを履修する。各年度、新たな入学者が履修を開始することにより、履修率は上昇する。
また、履修者の修得をサポートするため、授業時間内外での学習指導、質問を受け付ける仕組みを既に全学で整えている。引き続き、ワーキンググループにてシステム等の検討を行い、改善していく予定である。</t>
    <rPh sb="0" eb="1">
      <t>ホン</t>
    </rPh>
    <rPh sb="6" eb="8">
      <t>シュウリョウ</t>
    </rPh>
    <rPh sb="8" eb="10">
      <t>ヨウケン</t>
    </rPh>
    <rPh sb="13" eb="14">
      <t>スベ</t>
    </rPh>
    <rPh sb="16" eb="18">
      <t>カモク</t>
    </rPh>
    <rPh sb="19" eb="23">
      <t>ヒッシュウカモク</t>
    </rPh>
    <rPh sb="29" eb="31">
      <t>ゼンガク</t>
    </rPh>
    <rPh sb="31" eb="32">
      <t>セイ</t>
    </rPh>
    <rPh sb="39" eb="41">
      <t>リシュウ</t>
    </rPh>
    <rPh sb="44" eb="47">
      <t>カクネンド</t>
    </rPh>
    <rPh sb="48" eb="49">
      <t>アラ</t>
    </rPh>
    <rPh sb="51" eb="54">
      <t>ニュウガクシャ</t>
    </rPh>
    <rPh sb="55" eb="57">
      <t>リシュウ</t>
    </rPh>
    <rPh sb="58" eb="60">
      <t>カイシ</t>
    </rPh>
    <rPh sb="68" eb="70">
      <t>リシュウ</t>
    </rPh>
    <rPh sb="70" eb="71">
      <t>リツ</t>
    </rPh>
    <rPh sb="72" eb="74">
      <t>ジョウショウ</t>
    </rPh>
    <rPh sb="81" eb="83">
      <t>リシュウ</t>
    </rPh>
    <rPh sb="83" eb="84">
      <t>シャ</t>
    </rPh>
    <rPh sb="85" eb="87">
      <t>シュウトク</t>
    </rPh>
    <rPh sb="153" eb="154">
      <t>ナド</t>
    </rPh>
    <phoneticPr fontId="1"/>
  </si>
  <si>
    <t>全学生にとって、「昭和薬科大学 薬学データサイエンス教育プログラム」の修了要件となる全ての科目は必修科目であるので、全員の受講が可能である。さらに選択必修科目の受講により高度な内容を修得することが可能である。</t>
    <phoneticPr fontId="1"/>
  </si>
  <si>
    <t>宇都口 直樹</t>
    <phoneticPr fontId="1"/>
  </si>
  <si>
    <t>学長</t>
    <phoneticPr fontId="1"/>
  </si>
  <si>
    <t>　各講義・実習終了後、講義・実習に関する評価アンケートを受講学生対象に実施している。これにより、学生自身の講義への取り組み姿勢や、講義の内容・進度・わかりやすさ等の評価を教員は把握できている。
　本学のディプロマ・ポリシー（令和6年度版）の達成度評価のためのルーブリックの観点の一つに「情報・科学技術を活かす力」が設定されており、関連科目の成績を反映させた直接評価と学生自身の達成度自己評価による間接評価を実施することにより、学修成果を把握・評価している。
　各科目の成績はAが29％〜80％、Bが20％〜36％、Cが0％〜38％、Dが0％〜14％の範囲で分布し、全体として良好な成績である。</t>
    <phoneticPr fontId="1"/>
  </si>
  <si>
    <t>　本学では、講義および実習終了後に受講学生を対象とした授業評価アンケートを実施している。アンケート結果を通じて、学生の講義や実習に対する理解度を把握している。これらのアンケート結果に基づき、各講義・実習の担当教員は授業改善計画を作成し、自己点検・評価委員会に提出することで自己点検・評価を行っている。
　特に、公衆衛生学および臨床統計学では、講義内で講義内容に関するアンケートや演習を随時実施し、理解度を確認している。
　今後は、4年次終了時に本プログラムに該当する科目を対象としてアンケートを集計し、IR運営委員会によるデータ分析を計画している。</t>
    <phoneticPr fontId="1"/>
  </si>
  <si>
    <t>　「学生アンケート等を通じた学生の内容の理解度」で記載した通り、現在、授業評価アンケートの結果に基づき、自己点検・評価を行うことで、講義内容や水準の維持・改善に努めている。</t>
    <phoneticPr fontId="1"/>
  </si>
  <si>
    <t>昭和薬科大学　薬学データサイエンス教育プログラム</t>
    <phoneticPr fontId="1"/>
  </si>
  <si>
    <t>臨床試験</t>
    <phoneticPr fontId="1"/>
  </si>
  <si>
    <t>ビッグデータ、IoT、AI、生成AI、ロボット「情報科学実習」（1～3回目),「メディシナルケミストリー実習」（1～8回目)
人間の知的活動とAIの関係性「情報科学実習」（1、2回目)</t>
    <rPh sb="60" eb="61">
      <t>メ</t>
    </rPh>
    <phoneticPr fontId="1"/>
  </si>
  <si>
    <t>AI最新技術の活用例（深層生成モデル、敵対的生成ネットワーク、強化学習、転移学習、生成AIなど）「情報科学実習」（1～3回目)</t>
    <phoneticPr fontId="1"/>
  </si>
  <si>
    <t>データ・AI活用領域の広がり(生産、消費、文化活動など)「情報科学実習」（19回目)
研究開発、調達、製造、物流、販売、マーケティング、サービスなど「メディシナルケミストリー実習」（1～8回目)
仮説検証、知識発見、原因究明、計画策定、判断支援、活動代替、新規生成など「基礎統計学」（8、9回目)、「臨床統計学」（1回目）、医薬品情報学(7回目)、臨床試験（1～10回目）</t>
    <rPh sb="174" eb="178">
      <t>リンショウシケン</t>
    </rPh>
    <phoneticPr fontId="1"/>
  </si>
  <si>
    <t>流通、製造、金融、サービス、インフラ、公共、ヘルスケア等におけるデータ・AI利活用「情報科学実習」（17回目),「公衆衛生」(2回目)、「臨床統計学」(9回目)、「医薬品情報学」(1～6回目)</t>
    <phoneticPr fontId="1"/>
  </si>
  <si>
    <t>倫理的・法的・社会的課題（ELSI：Ethical, Legal and Social Issues）「情報科学実習」(18,19回目),
個人情報保護、EU一般データ保護規則(GDPR)、忘れられる権利、オプトアウト「医薬品情報学」(10～12回目)
データ倫理：データのねつ造、改ざん、盗用、プライバシー保護「医療倫理学」(9,10回目)
データバイアス、アルゴリズムバイアス「医薬品情報学」(9回目)、「臨床統計学」(5回目)
生成AIの留意事項（ハルシネーションによる誤情報の生成、偽情報や有害コンテンツの生成・氾濫 など「情報科学実習」(1～3回目)</t>
    <phoneticPr fontId="1"/>
  </si>
  <si>
    <t>データ表現（棒グラフ、折線グラフ、散布図、ヒートマップ、箱ひげ図）「情報科学実習」(7～12回目)
相手に的確かつ正確に情報を伝える技術や考え方（スライド作成，プレゼンテーションなど）「情報科学実習」(4～6回目)</t>
    <phoneticPr fontId="1"/>
  </si>
  <si>
    <t>データの集計（和、平均）「情報科学実習」(7～12回目)
データの並び替え、ランキング「情報科学実習」(7～12回目)
データ解析ツール（スプレッドシート、BIツール）「情報科学実習」(7～12回目)
表形式のデータ（csv））「情報科学実習」(7～12回目)</t>
    <phoneticPr fontId="1"/>
  </si>
  <si>
    <t>数学・統計学・データサイエンス・AIに関して、基礎的概念から臨床現場で適切に活用するために必要となる知識、技能、態度を身に着け、情報・科学技術を活かす能力を修得</t>
    <rPh sb="78" eb="80">
      <t>シュウトク</t>
    </rPh>
    <phoneticPr fontId="1"/>
  </si>
  <si>
    <t>入学時および毎年度初めに行われる履修ガイダンスにて、「昭和薬科大学 薬学データサイエンス教育プログラム」を周知する。また、本プログラム修了要件となる全ての科目が必修科目であり、それらの単位を取得することで、プログラム修了となり、認定を受けられることを説明する。また、選択必修科目の受講により高度な内容を修得できることも紹介し、受講を促進する。なお、選択必修科目は、全ての学生が履修を選択することが可能である。さらに、e-Learningシステムmanabaで、本プログラムに関するコースを作成し、各科目のコースを連動させることで、本プログラム全体の理解を深めることができる。</t>
    <rPh sb="95" eb="97">
      <t>シュトク</t>
    </rPh>
    <phoneticPr fontId="1"/>
  </si>
  <si>
    <t>e-Learningシステムmanabaで公開されている授業録画は、履修中の科目のみならず、単位取得済み科目についても視聴できることから、いつでも関連科目の授業を振り返ることが可能である。また、サポート体制については、授業時間内外での学習指導、質問を受け付ける体制が既に整っている。また、オンラインでのサポート体制も充実しており、e-Learningシステムmanabaの掲示板機能を用いて、オンラインでの質問対応も可能である。</t>
    <rPh sb="48" eb="50">
      <t>シュトク</t>
    </rPh>
    <phoneticPr fontId="1"/>
  </si>
  <si>
    <t>本学では、e-Learningシステムmanabaにおいて、単位取得済み科目を含めて授業録画を公開し、いつでも講義の閲覧が可能な環境を構築している。また、授業コンテンツや小テスト・レポート提出の機能が非常に多く活用されており、学生が授業時間外に自己学習を行うことが可能である。また、掲示板機能を用いて、オンラインでの質問対応が可能である。さらに、本学では、教員の授業時間外での教育対応が可能なオフィスアワーを設定し、質問を受け付け学習指導を行うことが可能である。さらに、教員のメールアドレスを学生にも公開し、学外からもいつでも質問ができる体制を整備している。</t>
    <phoneticPr fontId="1"/>
  </si>
  <si>
    <t>　本学では、本プログラムの修了要件に関わる科目は全て必修であるため、先輩が後輩に履修済み科目を推奨する必要はない。一方で、本学にはピアサポート制度があり、先輩が後輩に対して様々な支援を行っている。また、部活動やサークル活動、ピアサポート制度を通じて、各講義の難易度などが後輩に伝達されていると考えられる。</t>
    <rPh sb="24" eb="25">
      <t>スベ</t>
    </rPh>
    <phoneticPr fontId="1"/>
  </si>
  <si>
    <t>　本学では、本プログラムの修了要件に関わる科目は全て必修であるため、該当しない。</t>
    <phoneticPr fontId="1"/>
  </si>
  <si>
    <t>　卒業生の就職先に対して、本学のディプロマポリシー・ルーブリックを用いた卒業生の学修成果の達成度に関する調査を実施している。卒業式までに概ね95％以上の卒業生の進路先に関する情報を把握している。活躍されている卒業生数名を呼び、活躍状況を在学生へ伝える「ようこそ先輩」の企画を実施している。
　卒業生が就職した20社程度の企業に対して、他社への異動が少ない就職後3年目の卒業生へのアンケートを実施している。アンケート内容は本学のディプロマポリシー・ルーブリックを用いた卒業生の学修成果の達成度調査である。
　今後は本プログラム修了者の活躍状況の把握も進める予定である。</t>
    <phoneticPr fontId="1"/>
  </si>
  <si>
    <t>　今後の計画として、産業界で求められる実践的スキルや倫理的判断力の育成をより一層重視し、本プログラム関連科目における教育内容の充実を図る。特に、創薬シミュレーションや生成AIの活用など、実務との接点が多い分野については、医療業界を含む共同研究機関や提携企業の意見を参考にしながら教育手法の改善を検討する。また、インターンシップや産学連携の機会の拡充を通じて、学生が社会との接点を持ち、より実践的な学びを得られるような仕組みづくりにも取り組む。本学在籍の企業からの研究生の意見も反映する予定である。　</t>
    <phoneticPr fontId="1"/>
  </si>
  <si>
    <t>　情報科学実習では、生成AIを用いた課題により、プロンプト設計や出力の吟味を通じて思考と表現を行き来する力を養っている。微分積分学では、数理的に考える姿勢を育む。基礎統計学では、社会課題の解決に統計がどう活用されているかを実例から学ぶ。医薬品倫理学では、データ不正やプライバシー問題を取り上げ、倫理的判断力の涵養を図る。公衆衛生学と臨床統計学では、医療統計や疫学が社会にどう貢献するかを伝える。メディシナルケミストリー実習では、構造可視化や創薬シミュレーションを通じてタンパク質変異の理解を深め、将来的にAI技術の導入も予定している。医薬品情報学では臨床データを活用し、科学的思考を体験的に学ばせている。</t>
    <phoneticPr fontId="1"/>
  </si>
  <si>
    <t>自己点検・評価委員会</t>
    <phoneticPr fontId="1"/>
  </si>
  <si>
    <t>情報科学実習(1年、1単位）、微分積分学(1年、1.5単位）、基礎統計学(1年、1単位)、医療倫理学(2年、1.5単位)、臨床統計学(3年、1.5単位)、メディシナルケミストリー実習(3年、1単位）、医薬品情報学(4年、1.5単位)、公衆衛生学(4年、1.5単位）、以上のすべての科目の単位を取得すること。</t>
    <rPh sb="146" eb="148">
      <t>シュトク</t>
    </rPh>
    <phoneticPr fontId="1"/>
  </si>
  <si>
    <t>　本プログラムの修了要件に関わる科目は全て必修科目であり、全学生が履修している。本学で半期ごとに実施される自己点検・評価委員会への授業改善計画の提出により、本プログラムの履修・修得状況の把握が可能である。
　関連科目の修得率は高く、いずれの科目においても履修者の95%以上の学生が再履修することなく単位を取得している。具体的には、微分積分学では履修者の95%、情報科学実習では100%、基礎統計学では99%、医薬品情報学では99%、メディシナルケミストリー実習では100%、医療倫理学では96%、公衆衛生学では100%、臨床統計学では99%の学生が再履修することなく単位を取得している。</t>
    <rPh sb="8" eb="12">
      <t>シュウリョウヨウケン</t>
    </rPh>
    <rPh sb="19" eb="20">
      <t>スベ</t>
    </rPh>
    <rPh sb="286" eb="288">
      <t>シュトク</t>
    </rPh>
    <phoneticPr fontId="1"/>
  </si>
  <si>
    <t>データ解析：予測、グルーピング、パターン発見、最適化、モデル化とシミュレーション・データ同化など「臨床統計学」(10回目)、「メディシナルケミストリー実習」（1～8回目)
データ可視化：複合グラフ、2軸グラフ、多次元の可視化、関係性の可視化、地図上の可視化、挙動・軌跡の可視化、リアルタイム可視化など「情報科学実習」(7～12回目)
特化型AIと汎用AI、今のAIで出来ることと出来ないこと、AIとビッグデータ「情報科学実習」(1～3回目)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</si>
</sst>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14" xfId="0" applyFont="1" applyBorder="1" applyAlignment="1">
      <alignment horizontal="center" vertical="center" shrinkToFit="1"/>
    </xf>
    <xf numFmtId="0" fontId="11" fillId="0" borderId="1" xfId="0" applyFont="1" applyBorder="1" applyAlignment="1">
      <alignment horizontal="center" vertical="center"/>
    </xf>
    <xf numFmtId="0" fontId="11" fillId="0" borderId="13" xfId="0" applyFont="1" applyBorder="1" applyAlignment="1">
      <alignment horizontal="center" vertical="center" shrinkToFit="1"/>
    </xf>
    <xf numFmtId="0" fontId="11" fillId="0" borderId="35"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3"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xf>
    <xf numFmtId="49" fontId="13" fillId="0" borderId="30" xfId="0" applyNumberFormat="1" applyFont="1" applyBorder="1" applyAlignment="1">
      <alignment horizontal="left" vertical="center"/>
    </xf>
    <xf numFmtId="49" fontId="13" fillId="0" borderId="32" xfId="0" applyNumberFormat="1" applyFont="1" applyBorder="1" applyAlignment="1">
      <alignment horizontal="left" vertical="center"/>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49" fontId="13" fillId="0" borderId="32"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10" fillId="0" borderId="29" xfId="0" applyFont="1" applyBorder="1" applyAlignment="1">
      <alignment vertical="center" shrinkToFit="1"/>
    </xf>
    <xf numFmtId="0" fontId="10" fillId="0" borderId="31" xfId="0" applyFont="1" applyBorder="1" applyAlignment="1">
      <alignment vertical="center" shrinkToFit="1"/>
    </xf>
    <xf numFmtId="0" fontId="10" fillId="0" borderId="30" xfId="0" applyFont="1" applyBorder="1" applyAlignment="1">
      <alignment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11" fillId="0" borderId="18" xfId="0" applyFont="1" applyBorder="1" applyAlignment="1">
      <alignment vertical="top" wrapText="1" shrinkToFit="1"/>
    </xf>
    <xf numFmtId="0" fontId="11"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topLeftCell="A26" zoomScale="85" zoomScaleNormal="85" zoomScaleSheetLayoutView="85" workbookViewId="0">
      <selection activeCell="D92" sqref="D92:U9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9" t="s">
        <v>12</v>
      </c>
      <c r="U1" s="129"/>
      <c r="V1" s="2" t="s">
        <v>94</v>
      </c>
    </row>
    <row r="2" spans="1:24" ht="18.75" customHeight="1" x14ac:dyDescent="0.15">
      <c r="B2" s="17" t="s">
        <v>93</v>
      </c>
      <c r="C2" s="94" t="s">
        <v>143</v>
      </c>
      <c r="D2" s="95"/>
      <c r="E2" s="95"/>
      <c r="F2" s="95"/>
      <c r="G2" s="95"/>
      <c r="H2" s="95"/>
      <c r="I2" s="95"/>
      <c r="J2" s="96"/>
      <c r="K2" s="18"/>
      <c r="L2" s="6"/>
      <c r="M2" s="6"/>
      <c r="N2" s="6"/>
      <c r="O2" s="6"/>
      <c r="P2" s="6"/>
      <c r="Q2" s="6"/>
      <c r="R2" s="6"/>
      <c r="S2" s="6"/>
      <c r="T2" s="6"/>
      <c r="U2" s="6"/>
    </row>
    <row r="3" spans="1:24" ht="18.75" customHeight="1" x14ac:dyDescent="0.15">
      <c r="B3" s="17" t="s">
        <v>88</v>
      </c>
      <c r="C3" s="130" t="s">
        <v>177</v>
      </c>
      <c r="D3" s="131"/>
      <c r="E3" s="131"/>
      <c r="F3" s="131"/>
      <c r="G3" s="131"/>
      <c r="H3" s="131"/>
      <c r="I3" s="131"/>
      <c r="J3" s="132"/>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33" t="s">
        <v>141</v>
      </c>
      <c r="B5" s="133"/>
      <c r="C5" s="133"/>
      <c r="D5" s="133"/>
      <c r="E5" s="133"/>
      <c r="F5" s="133"/>
      <c r="G5" s="133"/>
      <c r="H5" s="133"/>
      <c r="I5" s="133"/>
      <c r="J5" s="133"/>
      <c r="K5" s="133"/>
      <c r="L5" s="133"/>
      <c r="M5" s="133"/>
      <c r="N5" s="133"/>
      <c r="O5" s="133"/>
      <c r="P5" s="133"/>
      <c r="Q5" s="133"/>
      <c r="R5" s="133"/>
      <c r="S5" s="133"/>
      <c r="T5" s="133"/>
      <c r="U5" s="13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91" t="s">
        <v>144</v>
      </c>
      <c r="M7" s="92"/>
      <c r="N7" s="92"/>
      <c r="O7" s="92"/>
      <c r="P7" s="92"/>
      <c r="Q7" s="92"/>
      <c r="R7" s="92"/>
      <c r="S7" s="92"/>
      <c r="T7" s="92"/>
      <c r="U7" s="9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4"/>
      <c r="C11" s="105"/>
      <c r="D11" s="105"/>
      <c r="E11" s="105"/>
      <c r="F11" s="105"/>
      <c r="G11" s="105"/>
      <c r="H11" s="105"/>
      <c r="I11" s="105"/>
      <c r="J11" s="105"/>
      <c r="K11" s="105"/>
      <c r="L11" s="105"/>
      <c r="M11" s="105"/>
      <c r="N11" s="105"/>
      <c r="O11" s="105"/>
      <c r="P11" s="105"/>
      <c r="Q11" s="105"/>
      <c r="R11" s="105"/>
      <c r="S11" s="105"/>
      <c r="T11" s="105"/>
      <c r="U11" s="106"/>
    </row>
    <row r="12" spans="1:24" ht="18" customHeight="1" x14ac:dyDescent="0.15">
      <c r="B12" s="107"/>
      <c r="C12" s="108"/>
      <c r="D12" s="108"/>
      <c r="E12" s="108"/>
      <c r="F12" s="108"/>
      <c r="G12" s="108"/>
      <c r="H12" s="108"/>
      <c r="I12" s="108"/>
      <c r="J12" s="108"/>
      <c r="K12" s="108"/>
      <c r="L12" s="108"/>
      <c r="M12" s="108"/>
      <c r="N12" s="108"/>
      <c r="O12" s="108"/>
      <c r="P12" s="108"/>
      <c r="Q12" s="108"/>
      <c r="R12" s="108"/>
      <c r="S12" s="108"/>
      <c r="T12" s="108"/>
      <c r="U12" s="109"/>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34" t="s">
        <v>196</v>
      </c>
      <c r="C15" s="135"/>
      <c r="D15" s="135"/>
      <c r="E15" s="135"/>
      <c r="F15" s="135"/>
      <c r="G15" s="135"/>
      <c r="H15" s="135"/>
      <c r="I15" s="135"/>
      <c r="J15" s="135"/>
      <c r="K15" s="135"/>
      <c r="L15" s="135"/>
      <c r="M15" s="135"/>
      <c r="N15" s="135"/>
      <c r="O15" s="135"/>
      <c r="P15" s="135"/>
      <c r="Q15" s="135"/>
      <c r="R15" s="135"/>
      <c r="S15" s="135"/>
      <c r="T15" s="135"/>
      <c r="U15" s="136"/>
      <c r="X15" s="1" t="s">
        <v>89</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1" t="s">
        <v>122</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1" t="s">
        <v>123</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1" t="s">
        <v>124</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6">
        <v>8</v>
      </c>
      <c r="F22" s="1" t="s">
        <v>107</v>
      </c>
      <c r="H22" s="19">
        <v>10.5</v>
      </c>
      <c r="I22" s="3" t="s">
        <v>108</v>
      </c>
      <c r="J22" s="3"/>
      <c r="K22" s="18"/>
      <c r="M22" s="18" t="s">
        <v>104</v>
      </c>
      <c r="N22" s="88" t="s">
        <v>122</v>
      </c>
      <c r="O22" s="89"/>
      <c r="P22" s="89"/>
      <c r="Q22" s="89"/>
      <c r="R22" s="89"/>
      <c r="S22" s="89"/>
      <c r="T22" s="89"/>
      <c r="U22" s="9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9" t="s">
        <v>96</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x14ac:dyDescent="0.15">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x14ac:dyDescent="0.15">
      <c r="B26" s="94" t="s">
        <v>48</v>
      </c>
      <c r="C26" s="95"/>
      <c r="D26" s="95"/>
      <c r="E26" s="95"/>
      <c r="F26" s="96"/>
      <c r="G26" s="60" t="s">
        <v>73</v>
      </c>
      <c r="H26" s="61" t="s">
        <v>76</v>
      </c>
      <c r="I26" s="62" t="s">
        <v>51</v>
      </c>
      <c r="J26" s="62" t="s">
        <v>54</v>
      </c>
      <c r="K26" s="94" t="s">
        <v>48</v>
      </c>
      <c r="L26" s="95"/>
      <c r="M26" s="95"/>
      <c r="N26" s="95"/>
      <c r="O26" s="95"/>
      <c r="P26" s="95"/>
      <c r="Q26" s="96"/>
      <c r="R26" s="60" t="s">
        <v>73</v>
      </c>
      <c r="S26" s="61" t="s">
        <v>76</v>
      </c>
      <c r="T26" s="62" t="s">
        <v>51</v>
      </c>
      <c r="U26" s="62" t="s">
        <v>54</v>
      </c>
    </row>
    <row r="27" spans="1:24" ht="18" customHeight="1" x14ac:dyDescent="0.15">
      <c r="B27" s="116" t="s">
        <v>145</v>
      </c>
      <c r="C27" s="117"/>
      <c r="D27" s="117"/>
      <c r="E27" s="117"/>
      <c r="F27" s="118"/>
      <c r="G27" s="63">
        <v>1</v>
      </c>
      <c r="H27" s="63" t="s">
        <v>146</v>
      </c>
      <c r="I27" s="63" t="s">
        <v>146</v>
      </c>
      <c r="J27" s="63" t="s">
        <v>146</v>
      </c>
      <c r="K27" s="116"/>
      <c r="L27" s="117"/>
      <c r="M27" s="117"/>
      <c r="N27" s="117"/>
      <c r="O27" s="117"/>
      <c r="P27" s="117"/>
      <c r="Q27" s="118"/>
      <c r="R27" s="63"/>
      <c r="S27" s="63"/>
      <c r="T27" s="63"/>
      <c r="U27" s="63"/>
    </row>
    <row r="28" spans="1:24" ht="18" customHeight="1" x14ac:dyDescent="0.15">
      <c r="B28" s="110" t="s">
        <v>147</v>
      </c>
      <c r="C28" s="111"/>
      <c r="D28" s="111"/>
      <c r="E28" s="111"/>
      <c r="F28" s="112"/>
      <c r="G28" s="64">
        <v>1</v>
      </c>
      <c r="H28" s="64" t="s">
        <v>146</v>
      </c>
      <c r="I28" s="64" t="s">
        <v>146</v>
      </c>
      <c r="J28" s="64"/>
      <c r="K28" s="110"/>
      <c r="L28" s="111"/>
      <c r="M28" s="111"/>
      <c r="N28" s="111"/>
      <c r="O28" s="111"/>
      <c r="P28" s="111"/>
      <c r="Q28" s="112"/>
      <c r="R28" s="64"/>
      <c r="S28" s="64"/>
      <c r="T28" s="64"/>
      <c r="U28" s="64"/>
    </row>
    <row r="29" spans="1:24" ht="18" customHeight="1" x14ac:dyDescent="0.15">
      <c r="B29" s="110"/>
      <c r="C29" s="111"/>
      <c r="D29" s="111"/>
      <c r="E29" s="111"/>
      <c r="F29" s="112"/>
      <c r="G29" s="64"/>
      <c r="H29" s="64"/>
      <c r="I29" s="64"/>
      <c r="J29" s="64"/>
      <c r="K29" s="110"/>
      <c r="L29" s="111"/>
      <c r="M29" s="111"/>
      <c r="N29" s="111"/>
      <c r="O29" s="111"/>
      <c r="P29" s="111"/>
      <c r="Q29" s="112"/>
      <c r="R29" s="64"/>
      <c r="S29" s="64"/>
      <c r="T29" s="64"/>
      <c r="U29" s="64"/>
    </row>
    <row r="30" spans="1:24" ht="18" customHeight="1" x14ac:dyDescent="0.15">
      <c r="B30" s="110"/>
      <c r="C30" s="111"/>
      <c r="D30" s="111"/>
      <c r="E30" s="111"/>
      <c r="F30" s="112"/>
      <c r="G30" s="64"/>
      <c r="H30" s="64"/>
      <c r="I30" s="64"/>
      <c r="J30" s="64"/>
      <c r="K30" s="110"/>
      <c r="L30" s="111"/>
      <c r="M30" s="111"/>
      <c r="N30" s="111"/>
      <c r="O30" s="111"/>
      <c r="P30" s="111"/>
      <c r="Q30" s="112"/>
      <c r="R30" s="64"/>
      <c r="S30" s="64"/>
      <c r="T30" s="64"/>
      <c r="U30" s="64"/>
    </row>
    <row r="31" spans="1:24" ht="18" customHeight="1" x14ac:dyDescent="0.15">
      <c r="B31" s="110"/>
      <c r="C31" s="111"/>
      <c r="D31" s="111"/>
      <c r="E31" s="111"/>
      <c r="F31" s="112"/>
      <c r="G31" s="64"/>
      <c r="H31" s="64"/>
      <c r="I31" s="64"/>
      <c r="J31" s="64"/>
      <c r="K31" s="110"/>
      <c r="L31" s="111"/>
      <c r="M31" s="111"/>
      <c r="N31" s="111"/>
      <c r="O31" s="111"/>
      <c r="P31" s="111"/>
      <c r="Q31" s="112"/>
      <c r="R31" s="64"/>
      <c r="S31" s="64"/>
      <c r="T31" s="64"/>
      <c r="U31" s="64"/>
    </row>
    <row r="32" spans="1:24" ht="18" customHeight="1" x14ac:dyDescent="0.15">
      <c r="A32" s="3"/>
      <c r="B32" s="110"/>
      <c r="C32" s="111"/>
      <c r="D32" s="111"/>
      <c r="E32" s="111"/>
      <c r="F32" s="112"/>
      <c r="G32" s="64"/>
      <c r="H32" s="64"/>
      <c r="I32" s="64"/>
      <c r="J32" s="64"/>
      <c r="K32" s="110"/>
      <c r="L32" s="111"/>
      <c r="M32" s="111"/>
      <c r="N32" s="111"/>
      <c r="O32" s="111"/>
      <c r="P32" s="111"/>
      <c r="Q32" s="112"/>
      <c r="R32" s="64"/>
      <c r="S32" s="64"/>
      <c r="T32" s="64"/>
      <c r="U32" s="64"/>
    </row>
    <row r="33" spans="1:21" ht="18" customHeight="1" x14ac:dyDescent="0.15">
      <c r="A33" s="3"/>
      <c r="B33" s="113"/>
      <c r="C33" s="114"/>
      <c r="D33" s="114"/>
      <c r="E33" s="114"/>
      <c r="F33" s="115"/>
      <c r="G33" s="65"/>
      <c r="H33" s="65"/>
      <c r="I33" s="66"/>
      <c r="J33" s="66"/>
      <c r="K33" s="113"/>
      <c r="L33" s="114"/>
      <c r="M33" s="114"/>
      <c r="N33" s="114"/>
      <c r="O33" s="114"/>
      <c r="P33" s="114"/>
      <c r="Q33" s="115"/>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9" t="s">
        <v>97</v>
      </c>
      <c r="B35" s="119"/>
      <c r="C35" s="119"/>
      <c r="D35" s="119"/>
      <c r="E35" s="119"/>
      <c r="F35" s="119"/>
      <c r="G35" s="119"/>
      <c r="H35" s="119"/>
      <c r="I35" s="119"/>
      <c r="J35" s="119"/>
      <c r="K35" s="119"/>
      <c r="L35" s="119"/>
      <c r="M35" s="119"/>
      <c r="N35" s="119"/>
      <c r="O35" s="119"/>
      <c r="P35" s="119"/>
      <c r="Q35" s="119"/>
      <c r="R35" s="119"/>
      <c r="S35" s="119"/>
      <c r="T35" s="119"/>
      <c r="U35" s="119"/>
    </row>
    <row r="36" spans="1:21" ht="18" customHeight="1" x14ac:dyDescent="0.15">
      <c r="A36" s="119"/>
      <c r="B36" s="119"/>
      <c r="C36" s="119"/>
      <c r="D36" s="119"/>
      <c r="E36" s="119"/>
      <c r="F36" s="119"/>
      <c r="G36" s="119"/>
      <c r="H36" s="119"/>
      <c r="I36" s="119"/>
      <c r="J36" s="119"/>
      <c r="K36" s="119"/>
      <c r="L36" s="119"/>
      <c r="M36" s="119"/>
      <c r="N36" s="119"/>
      <c r="O36" s="119"/>
      <c r="P36" s="119"/>
      <c r="Q36" s="119"/>
      <c r="R36" s="119"/>
      <c r="S36" s="119"/>
      <c r="T36" s="119"/>
      <c r="U36" s="119"/>
    </row>
    <row r="37" spans="1:21" ht="18" customHeight="1" x14ac:dyDescent="0.15">
      <c r="B37" s="94" t="s">
        <v>48</v>
      </c>
      <c r="C37" s="95"/>
      <c r="D37" s="95"/>
      <c r="E37" s="95"/>
      <c r="F37" s="96"/>
      <c r="G37" s="60" t="s">
        <v>73</v>
      </c>
      <c r="H37" s="61" t="s">
        <v>76</v>
      </c>
      <c r="I37" s="62" t="s">
        <v>64</v>
      </c>
      <c r="J37" s="62" t="s">
        <v>65</v>
      </c>
      <c r="K37" s="94" t="s">
        <v>48</v>
      </c>
      <c r="L37" s="95"/>
      <c r="M37" s="95"/>
      <c r="N37" s="95"/>
      <c r="O37" s="95"/>
      <c r="P37" s="95"/>
      <c r="Q37" s="96"/>
      <c r="R37" s="60" t="s">
        <v>73</v>
      </c>
      <c r="S37" s="61" t="s">
        <v>76</v>
      </c>
      <c r="T37" s="62" t="s">
        <v>64</v>
      </c>
      <c r="U37" s="62" t="s">
        <v>65</v>
      </c>
    </row>
    <row r="38" spans="1:21" ht="18" customHeight="1" x14ac:dyDescent="0.15">
      <c r="B38" s="116" t="s">
        <v>145</v>
      </c>
      <c r="C38" s="117"/>
      <c r="D38" s="117"/>
      <c r="E38" s="117"/>
      <c r="F38" s="118"/>
      <c r="G38" s="63">
        <v>1</v>
      </c>
      <c r="H38" s="63" t="s">
        <v>146</v>
      </c>
      <c r="I38" s="63" t="s">
        <v>146</v>
      </c>
      <c r="J38" s="63" t="s">
        <v>146</v>
      </c>
      <c r="K38" s="123"/>
      <c r="L38" s="124"/>
      <c r="M38" s="124"/>
      <c r="N38" s="124"/>
      <c r="O38" s="124"/>
      <c r="P38" s="124"/>
      <c r="Q38" s="125"/>
      <c r="R38" s="84"/>
      <c r="S38" s="84"/>
      <c r="T38" s="84"/>
      <c r="U38" s="84"/>
    </row>
    <row r="39" spans="1:21" ht="18" customHeight="1" x14ac:dyDescent="0.15">
      <c r="B39" s="110" t="s">
        <v>147</v>
      </c>
      <c r="C39" s="111"/>
      <c r="D39" s="111"/>
      <c r="E39" s="111"/>
      <c r="F39" s="112"/>
      <c r="G39" s="64">
        <v>1</v>
      </c>
      <c r="H39" s="64" t="s">
        <v>146</v>
      </c>
      <c r="I39" s="64"/>
      <c r="J39" s="64" t="s">
        <v>146</v>
      </c>
      <c r="K39" s="110"/>
      <c r="L39" s="111"/>
      <c r="M39" s="111"/>
      <c r="N39" s="111"/>
      <c r="O39" s="111"/>
      <c r="P39" s="111"/>
      <c r="Q39" s="112"/>
      <c r="R39" s="64"/>
      <c r="S39" s="64"/>
      <c r="T39" s="64"/>
      <c r="U39" s="64"/>
    </row>
    <row r="40" spans="1:21" ht="18" customHeight="1" x14ac:dyDescent="0.15">
      <c r="B40" s="110" t="s">
        <v>148</v>
      </c>
      <c r="C40" s="111"/>
      <c r="D40" s="111"/>
      <c r="E40" s="111"/>
      <c r="F40" s="112"/>
      <c r="G40" s="64">
        <v>1.5</v>
      </c>
      <c r="H40" s="64" t="s">
        <v>146</v>
      </c>
      <c r="I40" s="64" t="s">
        <v>146</v>
      </c>
      <c r="J40" s="64"/>
      <c r="K40" s="110"/>
      <c r="L40" s="111"/>
      <c r="M40" s="111"/>
      <c r="N40" s="111"/>
      <c r="O40" s="111"/>
      <c r="P40" s="111"/>
      <c r="Q40" s="112"/>
      <c r="R40" s="64"/>
      <c r="S40" s="64"/>
      <c r="T40" s="64"/>
      <c r="U40" s="64"/>
    </row>
    <row r="41" spans="1:21" ht="18" customHeight="1" x14ac:dyDescent="0.15">
      <c r="B41" s="110" t="s">
        <v>149</v>
      </c>
      <c r="C41" s="111"/>
      <c r="D41" s="111"/>
      <c r="E41" s="111"/>
      <c r="F41" s="112"/>
      <c r="G41" s="64">
        <v>1.5</v>
      </c>
      <c r="H41" s="64" t="s">
        <v>146</v>
      </c>
      <c r="I41" s="64" t="s">
        <v>146</v>
      </c>
      <c r="J41" s="64" t="s">
        <v>146</v>
      </c>
      <c r="K41" s="110"/>
      <c r="L41" s="111"/>
      <c r="M41" s="111"/>
      <c r="N41" s="111"/>
      <c r="O41" s="111"/>
      <c r="P41" s="111"/>
      <c r="Q41" s="112"/>
      <c r="R41" s="64"/>
      <c r="S41" s="64"/>
      <c r="T41" s="64"/>
      <c r="U41" s="64"/>
    </row>
    <row r="42" spans="1:21" ht="18" customHeight="1" x14ac:dyDescent="0.15">
      <c r="B42" s="110" t="s">
        <v>150</v>
      </c>
      <c r="C42" s="111"/>
      <c r="D42" s="111"/>
      <c r="E42" s="111"/>
      <c r="F42" s="112"/>
      <c r="G42" s="64">
        <v>1.5</v>
      </c>
      <c r="H42" s="64" t="s">
        <v>146</v>
      </c>
      <c r="I42" s="64" t="s">
        <v>146</v>
      </c>
      <c r="J42" s="64" t="s">
        <v>146</v>
      </c>
      <c r="K42" s="110"/>
      <c r="L42" s="111"/>
      <c r="M42" s="111"/>
      <c r="N42" s="111"/>
      <c r="O42" s="111"/>
      <c r="P42" s="111"/>
      <c r="Q42" s="112"/>
      <c r="R42" s="64"/>
      <c r="S42" s="64"/>
      <c r="T42" s="64"/>
      <c r="U42" s="64"/>
    </row>
    <row r="43" spans="1:21" ht="18" customHeight="1" x14ac:dyDescent="0.15">
      <c r="B43" s="110" t="s">
        <v>151</v>
      </c>
      <c r="C43" s="111"/>
      <c r="D43" s="111"/>
      <c r="E43" s="111"/>
      <c r="F43" s="112"/>
      <c r="G43" s="64">
        <v>1</v>
      </c>
      <c r="H43" s="64" t="s">
        <v>146</v>
      </c>
      <c r="I43" s="64"/>
      <c r="J43" s="64" t="s">
        <v>146</v>
      </c>
      <c r="K43" s="110"/>
      <c r="L43" s="111"/>
      <c r="M43" s="111"/>
      <c r="N43" s="111"/>
      <c r="O43" s="111"/>
      <c r="P43" s="111"/>
      <c r="Q43" s="112"/>
      <c r="R43" s="64"/>
      <c r="S43" s="64"/>
      <c r="T43" s="64"/>
      <c r="U43" s="64"/>
    </row>
    <row r="44" spans="1:21" ht="18" customHeight="1" x14ac:dyDescent="0.15">
      <c r="B44" s="165" t="s">
        <v>178</v>
      </c>
      <c r="C44" s="166"/>
      <c r="D44" s="166"/>
      <c r="E44" s="166"/>
      <c r="F44" s="167"/>
      <c r="G44" s="86">
        <v>1</v>
      </c>
      <c r="H44" s="86"/>
      <c r="I44" s="87"/>
      <c r="J44" s="87" t="s">
        <v>146</v>
      </c>
      <c r="K44" s="113"/>
      <c r="L44" s="114"/>
      <c r="M44" s="114"/>
      <c r="N44" s="114"/>
      <c r="O44" s="114"/>
      <c r="P44" s="114"/>
      <c r="Q44" s="115"/>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9" t="s">
        <v>98</v>
      </c>
      <c r="B46" s="119"/>
      <c r="C46" s="119"/>
      <c r="D46" s="119"/>
      <c r="E46" s="119"/>
      <c r="F46" s="119"/>
      <c r="G46" s="119"/>
      <c r="H46" s="119"/>
      <c r="I46" s="119"/>
      <c r="J46" s="119"/>
      <c r="K46" s="119"/>
      <c r="L46" s="119"/>
      <c r="M46" s="119"/>
      <c r="N46" s="119"/>
      <c r="O46" s="119"/>
      <c r="P46" s="119"/>
      <c r="Q46" s="119"/>
      <c r="R46" s="119"/>
      <c r="S46" s="119"/>
      <c r="T46" s="119"/>
      <c r="U46" s="119"/>
    </row>
    <row r="47" spans="1:21" ht="18" customHeight="1" x14ac:dyDescent="0.15">
      <c r="A47" s="119"/>
      <c r="B47" s="119"/>
      <c r="C47" s="119"/>
      <c r="D47" s="119"/>
      <c r="E47" s="119"/>
      <c r="F47" s="119"/>
      <c r="G47" s="119"/>
      <c r="H47" s="119"/>
      <c r="I47" s="119"/>
      <c r="J47" s="119"/>
      <c r="K47" s="119"/>
      <c r="L47" s="119"/>
      <c r="M47" s="119"/>
      <c r="N47" s="119"/>
      <c r="O47" s="119"/>
      <c r="P47" s="119"/>
      <c r="Q47" s="119"/>
      <c r="R47" s="119"/>
      <c r="S47" s="119"/>
      <c r="T47" s="119"/>
      <c r="U47" s="119"/>
    </row>
    <row r="48" spans="1:21" ht="18" customHeight="1" x14ac:dyDescent="0.15">
      <c r="B48" s="94" t="s">
        <v>48</v>
      </c>
      <c r="C48" s="95"/>
      <c r="D48" s="95"/>
      <c r="E48" s="95"/>
      <c r="F48" s="96"/>
      <c r="G48" s="60" t="s">
        <v>73</v>
      </c>
      <c r="H48" s="61" t="s">
        <v>76</v>
      </c>
      <c r="I48" s="62" t="s">
        <v>66</v>
      </c>
      <c r="J48" s="62" t="s">
        <v>67</v>
      </c>
      <c r="K48" s="94" t="s">
        <v>48</v>
      </c>
      <c r="L48" s="95"/>
      <c r="M48" s="95"/>
      <c r="N48" s="95"/>
      <c r="O48" s="95"/>
      <c r="P48" s="95"/>
      <c r="Q48" s="96"/>
      <c r="R48" s="60" t="s">
        <v>73</v>
      </c>
      <c r="S48" s="61" t="s">
        <v>76</v>
      </c>
      <c r="T48" s="62" t="s">
        <v>66</v>
      </c>
      <c r="U48" s="62" t="s">
        <v>67</v>
      </c>
    </row>
    <row r="49" spans="1:21" ht="18" customHeight="1" x14ac:dyDescent="0.15">
      <c r="A49" s="3"/>
      <c r="B49" s="116" t="s">
        <v>145</v>
      </c>
      <c r="C49" s="117"/>
      <c r="D49" s="117"/>
      <c r="E49" s="117"/>
      <c r="F49" s="118"/>
      <c r="G49" s="63">
        <v>1</v>
      </c>
      <c r="H49" s="63" t="s">
        <v>146</v>
      </c>
      <c r="I49" s="63" t="s">
        <v>146</v>
      </c>
      <c r="J49" s="63" t="s">
        <v>146</v>
      </c>
      <c r="K49" s="116"/>
      <c r="L49" s="117"/>
      <c r="M49" s="117"/>
      <c r="N49" s="117"/>
      <c r="O49" s="117"/>
      <c r="P49" s="117"/>
      <c r="Q49" s="118"/>
      <c r="R49" s="63"/>
      <c r="S49" s="63"/>
      <c r="T49" s="63"/>
      <c r="U49" s="63"/>
    </row>
    <row r="50" spans="1:21" ht="18" customHeight="1" x14ac:dyDescent="0.15">
      <c r="A50" s="3"/>
      <c r="B50" s="110" t="s">
        <v>147</v>
      </c>
      <c r="C50" s="111"/>
      <c r="D50" s="111"/>
      <c r="E50" s="111"/>
      <c r="F50" s="112"/>
      <c r="G50" s="64">
        <v>1</v>
      </c>
      <c r="H50" s="64" t="s">
        <v>146</v>
      </c>
      <c r="I50" s="64" t="s">
        <v>146</v>
      </c>
      <c r="J50" s="64"/>
      <c r="K50" s="110"/>
      <c r="L50" s="111"/>
      <c r="M50" s="111"/>
      <c r="N50" s="111"/>
      <c r="O50" s="111"/>
      <c r="P50" s="111"/>
      <c r="Q50" s="112"/>
      <c r="R50" s="64"/>
      <c r="S50" s="64"/>
      <c r="T50" s="64"/>
      <c r="U50" s="64"/>
    </row>
    <row r="51" spans="1:21" ht="18" customHeight="1" x14ac:dyDescent="0.15">
      <c r="A51" s="3"/>
      <c r="B51" s="110" t="s">
        <v>148</v>
      </c>
      <c r="C51" s="111"/>
      <c r="D51" s="111"/>
      <c r="E51" s="111"/>
      <c r="F51" s="112"/>
      <c r="G51" s="64">
        <v>1.5</v>
      </c>
      <c r="H51" s="64" t="s">
        <v>146</v>
      </c>
      <c r="I51" s="64"/>
      <c r="J51" s="64" t="s">
        <v>146</v>
      </c>
      <c r="K51" s="110"/>
      <c r="L51" s="111"/>
      <c r="M51" s="111"/>
      <c r="N51" s="111"/>
      <c r="O51" s="111"/>
      <c r="P51" s="111"/>
      <c r="Q51" s="112"/>
      <c r="R51" s="64"/>
      <c r="S51" s="64"/>
      <c r="T51" s="64"/>
      <c r="U51" s="64"/>
    </row>
    <row r="52" spans="1:21" ht="18" customHeight="1" x14ac:dyDescent="0.15">
      <c r="A52" s="3"/>
      <c r="B52" s="110" t="s">
        <v>149</v>
      </c>
      <c r="C52" s="111"/>
      <c r="D52" s="111"/>
      <c r="E52" s="111"/>
      <c r="F52" s="112"/>
      <c r="G52" s="64">
        <v>1.5</v>
      </c>
      <c r="H52" s="64" t="s">
        <v>146</v>
      </c>
      <c r="I52" s="64"/>
      <c r="J52" s="64" t="s">
        <v>146</v>
      </c>
      <c r="K52" s="110"/>
      <c r="L52" s="111"/>
      <c r="M52" s="111"/>
      <c r="N52" s="111"/>
      <c r="O52" s="111"/>
      <c r="P52" s="111"/>
      <c r="Q52" s="112"/>
      <c r="R52" s="64"/>
      <c r="S52" s="64"/>
      <c r="T52" s="64"/>
      <c r="U52" s="64"/>
    </row>
    <row r="53" spans="1:21" ht="18" customHeight="1" x14ac:dyDescent="0.15">
      <c r="A53" s="3"/>
      <c r="B53" s="110" t="s">
        <v>150</v>
      </c>
      <c r="C53" s="111"/>
      <c r="D53" s="111"/>
      <c r="E53" s="111"/>
      <c r="F53" s="112"/>
      <c r="G53" s="64">
        <v>1.5</v>
      </c>
      <c r="H53" s="64" t="s">
        <v>146</v>
      </c>
      <c r="I53" s="64" t="s">
        <v>146</v>
      </c>
      <c r="J53" s="64" t="s">
        <v>146</v>
      </c>
      <c r="K53" s="110"/>
      <c r="L53" s="111"/>
      <c r="M53" s="111"/>
      <c r="N53" s="111"/>
      <c r="O53" s="111"/>
      <c r="P53" s="111"/>
      <c r="Q53" s="112"/>
      <c r="R53" s="64"/>
      <c r="S53" s="64"/>
      <c r="T53" s="64"/>
      <c r="U53" s="64"/>
    </row>
    <row r="54" spans="1:21" ht="18" customHeight="1" x14ac:dyDescent="0.15">
      <c r="A54" s="3"/>
      <c r="B54" s="110"/>
      <c r="C54" s="111"/>
      <c r="D54" s="111"/>
      <c r="E54" s="111"/>
      <c r="F54" s="112"/>
      <c r="G54" s="64"/>
      <c r="H54" s="64"/>
      <c r="I54" s="64"/>
      <c r="J54" s="64"/>
      <c r="K54" s="110"/>
      <c r="L54" s="111"/>
      <c r="M54" s="111"/>
      <c r="N54" s="111"/>
      <c r="O54" s="111"/>
      <c r="P54" s="111"/>
      <c r="Q54" s="112"/>
      <c r="R54" s="64"/>
      <c r="S54" s="64"/>
      <c r="T54" s="64"/>
      <c r="U54" s="64"/>
    </row>
    <row r="55" spans="1:21" ht="18" customHeight="1" x14ac:dyDescent="0.15">
      <c r="A55" s="3"/>
      <c r="B55" s="113"/>
      <c r="C55" s="114"/>
      <c r="D55" s="114"/>
      <c r="E55" s="114"/>
      <c r="F55" s="115"/>
      <c r="G55" s="65"/>
      <c r="H55" s="65"/>
      <c r="I55" s="66"/>
      <c r="J55" s="66"/>
      <c r="K55" s="113"/>
      <c r="L55" s="114"/>
      <c r="M55" s="114"/>
      <c r="N55" s="114"/>
      <c r="O55" s="114"/>
      <c r="P55" s="114"/>
      <c r="Q55" s="115"/>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9" t="s">
        <v>99</v>
      </c>
      <c r="B57" s="119"/>
      <c r="C57" s="119"/>
      <c r="D57" s="119"/>
      <c r="E57" s="119"/>
      <c r="F57" s="119"/>
      <c r="G57" s="119"/>
      <c r="H57" s="119"/>
      <c r="I57" s="119"/>
      <c r="J57" s="119"/>
      <c r="K57" s="119"/>
      <c r="L57" s="119"/>
      <c r="M57" s="119"/>
      <c r="N57" s="119"/>
      <c r="O57" s="119"/>
      <c r="P57" s="119"/>
      <c r="Q57" s="119"/>
      <c r="R57" s="119"/>
      <c r="S57" s="119"/>
      <c r="T57" s="119"/>
      <c r="U57" s="119"/>
    </row>
    <row r="58" spans="1:21" ht="18" customHeight="1" x14ac:dyDescent="0.15">
      <c r="A58" s="119"/>
      <c r="B58" s="119"/>
      <c r="C58" s="119"/>
      <c r="D58" s="119"/>
      <c r="E58" s="119"/>
      <c r="F58" s="119"/>
      <c r="G58" s="119"/>
      <c r="H58" s="119"/>
      <c r="I58" s="119"/>
      <c r="J58" s="119"/>
      <c r="K58" s="119"/>
      <c r="L58" s="119"/>
      <c r="M58" s="119"/>
      <c r="N58" s="119"/>
      <c r="O58" s="119"/>
      <c r="P58" s="119"/>
      <c r="Q58" s="119"/>
      <c r="R58" s="119"/>
      <c r="S58" s="119"/>
      <c r="T58" s="119"/>
      <c r="U58" s="119"/>
    </row>
    <row r="59" spans="1:21" ht="18" customHeight="1" x14ac:dyDescent="0.15">
      <c r="B59" s="94" t="s">
        <v>48</v>
      </c>
      <c r="C59" s="95"/>
      <c r="D59" s="95"/>
      <c r="E59" s="95"/>
      <c r="F59" s="96"/>
      <c r="G59" s="60" t="s">
        <v>73</v>
      </c>
      <c r="H59" s="61" t="s">
        <v>76</v>
      </c>
      <c r="I59" s="62" t="s">
        <v>53</v>
      </c>
      <c r="J59" s="62" t="s">
        <v>55</v>
      </c>
      <c r="K59" s="94" t="s">
        <v>48</v>
      </c>
      <c r="L59" s="95"/>
      <c r="M59" s="95"/>
      <c r="N59" s="95"/>
      <c r="O59" s="95"/>
      <c r="P59" s="95"/>
      <c r="Q59" s="96"/>
      <c r="R59" s="60" t="s">
        <v>73</v>
      </c>
      <c r="S59" s="61" t="s">
        <v>76</v>
      </c>
      <c r="T59" s="62" t="s">
        <v>53</v>
      </c>
      <c r="U59" s="62" t="s">
        <v>55</v>
      </c>
    </row>
    <row r="60" spans="1:21" ht="18" customHeight="1" x14ac:dyDescent="0.15">
      <c r="A60" s="3"/>
      <c r="B60" s="116" t="s">
        <v>145</v>
      </c>
      <c r="C60" s="117"/>
      <c r="D60" s="117"/>
      <c r="E60" s="117"/>
      <c r="F60" s="118"/>
      <c r="G60" s="63">
        <v>1</v>
      </c>
      <c r="H60" s="63" t="s">
        <v>146</v>
      </c>
      <c r="I60" s="63" t="s">
        <v>146</v>
      </c>
      <c r="J60" s="63" t="s">
        <v>146</v>
      </c>
      <c r="K60" s="116"/>
      <c r="L60" s="117"/>
      <c r="M60" s="117"/>
      <c r="N60" s="117"/>
      <c r="O60" s="117"/>
      <c r="P60" s="117"/>
      <c r="Q60" s="118"/>
      <c r="R60" s="63"/>
      <c r="S60" s="63"/>
      <c r="T60" s="63"/>
      <c r="U60" s="63"/>
    </row>
    <row r="61" spans="1:21" ht="18" customHeight="1" x14ac:dyDescent="0.15">
      <c r="A61" s="3"/>
      <c r="B61" s="110" t="s">
        <v>150</v>
      </c>
      <c r="C61" s="111"/>
      <c r="D61" s="111"/>
      <c r="E61" s="111"/>
      <c r="F61" s="112"/>
      <c r="G61" s="64">
        <v>1.5</v>
      </c>
      <c r="H61" s="64" t="s">
        <v>146</v>
      </c>
      <c r="I61" s="64" t="s">
        <v>146</v>
      </c>
      <c r="J61" s="64"/>
      <c r="K61" s="110"/>
      <c r="L61" s="111"/>
      <c r="M61" s="111"/>
      <c r="N61" s="111"/>
      <c r="O61" s="111"/>
      <c r="P61" s="111"/>
      <c r="Q61" s="112"/>
      <c r="R61" s="64"/>
      <c r="S61" s="64"/>
      <c r="T61" s="64"/>
      <c r="U61" s="64"/>
    </row>
    <row r="62" spans="1:21" ht="18" customHeight="1" x14ac:dyDescent="0.15">
      <c r="A62" s="3"/>
      <c r="B62" s="110" t="s">
        <v>149</v>
      </c>
      <c r="C62" s="111"/>
      <c r="D62" s="111"/>
      <c r="E62" s="111"/>
      <c r="F62" s="112"/>
      <c r="G62" s="64">
        <v>1.5</v>
      </c>
      <c r="H62" s="64" t="s">
        <v>146</v>
      </c>
      <c r="I62" s="64" t="s">
        <v>146</v>
      </c>
      <c r="J62" s="64"/>
      <c r="K62" s="110"/>
      <c r="L62" s="111"/>
      <c r="M62" s="111"/>
      <c r="N62" s="111"/>
      <c r="O62" s="111"/>
      <c r="P62" s="111"/>
      <c r="Q62" s="112"/>
      <c r="R62" s="64"/>
      <c r="S62" s="64"/>
      <c r="T62" s="64"/>
      <c r="U62" s="64"/>
    </row>
    <row r="63" spans="1:21" ht="18" customHeight="1" x14ac:dyDescent="0.15">
      <c r="A63" s="3"/>
      <c r="B63" s="110" t="s">
        <v>152</v>
      </c>
      <c r="C63" s="111"/>
      <c r="D63" s="111"/>
      <c r="E63" s="111"/>
      <c r="F63" s="112"/>
      <c r="G63" s="64">
        <v>1.5</v>
      </c>
      <c r="H63" s="64" t="s">
        <v>146</v>
      </c>
      <c r="I63" s="64" t="s">
        <v>146</v>
      </c>
      <c r="J63" s="64"/>
      <c r="K63" s="110"/>
      <c r="L63" s="111"/>
      <c r="M63" s="111"/>
      <c r="N63" s="111"/>
      <c r="O63" s="111"/>
      <c r="P63" s="111"/>
      <c r="Q63" s="112"/>
      <c r="R63" s="64"/>
      <c r="S63" s="64"/>
      <c r="T63" s="64"/>
      <c r="U63" s="64"/>
    </row>
    <row r="64" spans="1:21" ht="18" customHeight="1" x14ac:dyDescent="0.15">
      <c r="A64" s="3"/>
      <c r="B64" s="110"/>
      <c r="C64" s="111"/>
      <c r="D64" s="111"/>
      <c r="E64" s="111"/>
      <c r="F64" s="112"/>
      <c r="G64" s="64"/>
      <c r="H64" s="64"/>
      <c r="I64" s="64"/>
      <c r="J64" s="64"/>
      <c r="K64" s="110"/>
      <c r="L64" s="111"/>
      <c r="M64" s="111"/>
      <c r="N64" s="111"/>
      <c r="O64" s="111"/>
      <c r="P64" s="111"/>
      <c r="Q64" s="112"/>
      <c r="R64" s="64"/>
      <c r="S64" s="64"/>
      <c r="T64" s="64"/>
      <c r="U64" s="64"/>
    </row>
    <row r="65" spans="1:27" ht="18" customHeight="1" x14ac:dyDescent="0.15">
      <c r="A65" s="3"/>
      <c r="B65" s="110"/>
      <c r="C65" s="111"/>
      <c r="D65" s="111"/>
      <c r="E65" s="111"/>
      <c r="F65" s="112"/>
      <c r="G65" s="64"/>
      <c r="H65" s="64"/>
      <c r="I65" s="64"/>
      <c r="J65" s="64"/>
      <c r="K65" s="110"/>
      <c r="L65" s="111"/>
      <c r="M65" s="111"/>
      <c r="N65" s="111"/>
      <c r="O65" s="111"/>
      <c r="P65" s="111"/>
      <c r="Q65" s="112"/>
      <c r="R65" s="64"/>
      <c r="S65" s="64"/>
      <c r="T65" s="64"/>
      <c r="U65" s="64"/>
    </row>
    <row r="66" spans="1:27" ht="18" customHeight="1" x14ac:dyDescent="0.15">
      <c r="A66" s="3"/>
      <c r="B66" s="113"/>
      <c r="C66" s="114"/>
      <c r="D66" s="114"/>
      <c r="E66" s="114"/>
      <c r="F66" s="115"/>
      <c r="G66" s="65"/>
      <c r="H66" s="65"/>
      <c r="I66" s="66"/>
      <c r="J66" s="66"/>
      <c r="K66" s="113"/>
      <c r="L66" s="114"/>
      <c r="M66" s="114"/>
      <c r="N66" s="114"/>
      <c r="O66" s="114"/>
      <c r="P66" s="114"/>
      <c r="Q66" s="115"/>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9" t="s">
        <v>100</v>
      </c>
      <c r="B68" s="119"/>
      <c r="C68" s="119"/>
      <c r="D68" s="119"/>
      <c r="E68" s="119"/>
      <c r="F68" s="119"/>
      <c r="G68" s="119"/>
      <c r="H68" s="119"/>
      <c r="I68" s="119"/>
      <c r="J68" s="119"/>
      <c r="K68" s="119"/>
      <c r="L68" s="119"/>
      <c r="M68" s="119"/>
      <c r="N68" s="119"/>
      <c r="O68" s="119"/>
      <c r="P68" s="119"/>
      <c r="Q68" s="119"/>
      <c r="R68" s="119"/>
      <c r="S68" s="119"/>
      <c r="T68" s="119"/>
      <c r="U68" s="119"/>
    </row>
    <row r="69" spans="1:27" ht="18" customHeight="1" x14ac:dyDescent="0.15">
      <c r="A69" s="119"/>
      <c r="B69" s="119"/>
      <c r="C69" s="119"/>
      <c r="D69" s="119"/>
      <c r="E69" s="119"/>
      <c r="F69" s="119"/>
      <c r="G69" s="119"/>
      <c r="H69" s="119"/>
      <c r="I69" s="119"/>
      <c r="J69" s="119"/>
      <c r="K69" s="119"/>
      <c r="L69" s="119"/>
      <c r="M69" s="119"/>
      <c r="N69" s="119"/>
      <c r="O69" s="119"/>
      <c r="P69" s="119"/>
      <c r="Q69" s="119"/>
      <c r="R69" s="119"/>
      <c r="S69" s="119"/>
      <c r="T69" s="119"/>
      <c r="U69" s="119"/>
    </row>
    <row r="70" spans="1:27" ht="18" customHeight="1" x14ac:dyDescent="0.15">
      <c r="B70" s="94" t="s">
        <v>48</v>
      </c>
      <c r="C70" s="95"/>
      <c r="D70" s="95"/>
      <c r="E70" s="95"/>
      <c r="F70" s="60" t="s">
        <v>73</v>
      </c>
      <c r="G70" s="61" t="s">
        <v>76</v>
      </c>
      <c r="H70" s="62" t="s">
        <v>87</v>
      </c>
      <c r="I70" s="62" t="s">
        <v>68</v>
      </c>
      <c r="J70" s="62" t="s">
        <v>69</v>
      </c>
      <c r="K70" s="94" t="s">
        <v>48</v>
      </c>
      <c r="L70" s="95"/>
      <c r="M70" s="95"/>
      <c r="N70" s="95"/>
      <c r="O70" s="95"/>
      <c r="P70" s="96"/>
      <c r="Q70" s="60" t="s">
        <v>73</v>
      </c>
      <c r="R70" s="61" t="s">
        <v>76</v>
      </c>
      <c r="S70" s="62" t="s">
        <v>87</v>
      </c>
      <c r="T70" s="62" t="s">
        <v>68</v>
      </c>
      <c r="U70" s="62" t="s">
        <v>69</v>
      </c>
    </row>
    <row r="71" spans="1:27" ht="18" customHeight="1" x14ac:dyDescent="0.15">
      <c r="A71" s="3"/>
      <c r="B71" s="116" t="s">
        <v>145</v>
      </c>
      <c r="C71" s="117"/>
      <c r="D71" s="117"/>
      <c r="E71" s="117"/>
      <c r="F71" s="63">
        <v>1</v>
      </c>
      <c r="G71" s="63" t="s">
        <v>146</v>
      </c>
      <c r="H71" s="63"/>
      <c r="I71" s="63" t="s">
        <v>146</v>
      </c>
      <c r="J71" s="63" t="s">
        <v>146</v>
      </c>
      <c r="K71" s="116"/>
      <c r="L71" s="117"/>
      <c r="M71" s="117"/>
      <c r="N71" s="117"/>
      <c r="O71" s="117"/>
      <c r="P71" s="118"/>
      <c r="Q71" s="63"/>
      <c r="R71" s="63"/>
      <c r="S71" s="63"/>
      <c r="T71" s="63"/>
      <c r="U71" s="63"/>
    </row>
    <row r="72" spans="1:27" ht="18" customHeight="1" x14ac:dyDescent="0.15">
      <c r="A72" s="3"/>
      <c r="B72" s="110" t="s">
        <v>153</v>
      </c>
      <c r="C72" s="111"/>
      <c r="D72" s="111"/>
      <c r="E72" s="111"/>
      <c r="F72" s="64">
        <v>1</v>
      </c>
      <c r="G72" s="64" t="s">
        <v>146</v>
      </c>
      <c r="H72" s="64" t="s">
        <v>146</v>
      </c>
      <c r="I72" s="64"/>
      <c r="J72" s="64"/>
      <c r="K72" s="110"/>
      <c r="L72" s="111"/>
      <c r="M72" s="111"/>
      <c r="N72" s="111"/>
      <c r="O72" s="111"/>
      <c r="P72" s="112"/>
      <c r="Q72" s="64"/>
      <c r="R72" s="64"/>
      <c r="S72" s="64"/>
      <c r="T72" s="64"/>
      <c r="U72" s="64"/>
    </row>
    <row r="73" spans="1:27" ht="18" customHeight="1" x14ac:dyDescent="0.15">
      <c r="A73" s="3"/>
      <c r="B73" s="110" t="s">
        <v>148</v>
      </c>
      <c r="C73" s="111"/>
      <c r="D73" s="111"/>
      <c r="E73" s="111"/>
      <c r="F73" s="64">
        <v>1.5</v>
      </c>
      <c r="G73" s="64" t="s">
        <v>146</v>
      </c>
      <c r="H73" s="64" t="s">
        <v>146</v>
      </c>
      <c r="I73" s="64"/>
      <c r="J73" s="64"/>
      <c r="K73" s="110"/>
      <c r="L73" s="111"/>
      <c r="M73" s="111"/>
      <c r="N73" s="111"/>
      <c r="O73" s="111"/>
      <c r="P73" s="112"/>
      <c r="Q73" s="64"/>
      <c r="R73" s="64"/>
      <c r="S73" s="64"/>
      <c r="T73" s="64"/>
      <c r="U73" s="64"/>
    </row>
    <row r="74" spans="1:27" ht="18" customHeight="1" x14ac:dyDescent="0.15">
      <c r="A74" s="3"/>
      <c r="B74" s="110" t="s">
        <v>149</v>
      </c>
      <c r="C74" s="111"/>
      <c r="D74" s="111"/>
      <c r="E74" s="111"/>
      <c r="F74" s="64">
        <v>1.5</v>
      </c>
      <c r="G74" s="64" t="s">
        <v>146</v>
      </c>
      <c r="H74" s="64" t="s">
        <v>146</v>
      </c>
      <c r="I74" s="64"/>
      <c r="J74" s="64"/>
      <c r="K74" s="110"/>
      <c r="L74" s="111"/>
      <c r="M74" s="111"/>
      <c r="N74" s="111"/>
      <c r="O74" s="111"/>
      <c r="P74" s="112"/>
      <c r="Q74" s="64"/>
      <c r="R74" s="64"/>
      <c r="S74" s="64"/>
      <c r="T74" s="64"/>
      <c r="U74" s="64"/>
    </row>
    <row r="75" spans="1:27" ht="18" customHeight="1" x14ac:dyDescent="0.15">
      <c r="A75" s="3"/>
      <c r="B75" s="110" t="s">
        <v>150</v>
      </c>
      <c r="C75" s="111"/>
      <c r="D75" s="111"/>
      <c r="E75" s="111"/>
      <c r="F75" s="64">
        <v>1.5</v>
      </c>
      <c r="G75" s="64" t="s">
        <v>146</v>
      </c>
      <c r="H75" s="64" t="s">
        <v>146</v>
      </c>
      <c r="I75" s="64"/>
      <c r="J75" s="64"/>
      <c r="K75" s="110"/>
      <c r="L75" s="111"/>
      <c r="M75" s="111"/>
      <c r="N75" s="111"/>
      <c r="O75" s="111"/>
      <c r="P75" s="112"/>
      <c r="Q75" s="64"/>
      <c r="R75" s="64"/>
      <c r="S75" s="64"/>
      <c r="T75" s="64"/>
      <c r="U75" s="64"/>
    </row>
    <row r="76" spans="1:27" ht="18" customHeight="1" x14ac:dyDescent="0.15">
      <c r="A76" s="3"/>
      <c r="B76" s="163"/>
      <c r="C76" s="164"/>
      <c r="D76" s="164"/>
      <c r="E76" s="164"/>
      <c r="F76" s="83"/>
      <c r="G76" s="83"/>
      <c r="H76" s="83"/>
      <c r="I76" s="64"/>
      <c r="J76" s="64"/>
      <c r="K76" s="110"/>
      <c r="L76" s="111"/>
      <c r="M76" s="111"/>
      <c r="N76" s="111"/>
      <c r="O76" s="111"/>
      <c r="P76" s="112"/>
      <c r="Q76" s="64"/>
      <c r="R76" s="64"/>
      <c r="S76" s="64"/>
      <c r="T76" s="64"/>
      <c r="U76" s="64"/>
    </row>
    <row r="77" spans="1:27" ht="18" customHeight="1" x14ac:dyDescent="0.15">
      <c r="A77" s="3"/>
      <c r="B77" s="113"/>
      <c r="C77" s="114"/>
      <c r="D77" s="114"/>
      <c r="E77" s="114"/>
      <c r="F77" s="65"/>
      <c r="G77" s="65"/>
      <c r="H77" s="66"/>
      <c r="I77" s="66"/>
      <c r="J77" s="66"/>
      <c r="K77" s="113"/>
      <c r="L77" s="114"/>
      <c r="M77" s="114"/>
      <c r="N77" s="114"/>
      <c r="O77" s="114"/>
      <c r="P77" s="115"/>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4" t="s">
        <v>48</v>
      </c>
      <c r="C80" s="95"/>
      <c r="D80" s="95"/>
      <c r="E80" s="95"/>
      <c r="F80" s="96"/>
      <c r="G80" s="94" t="s">
        <v>74</v>
      </c>
      <c r="H80" s="95"/>
      <c r="I80" s="95"/>
      <c r="J80" s="96"/>
      <c r="K80" s="154" t="s">
        <v>48</v>
      </c>
      <c r="L80" s="155"/>
      <c r="M80" s="155"/>
      <c r="N80" s="155"/>
      <c r="O80" s="155"/>
      <c r="P80" s="155"/>
      <c r="Q80" s="156"/>
      <c r="R80" s="94" t="s">
        <v>74</v>
      </c>
      <c r="S80" s="95"/>
      <c r="T80" s="95"/>
      <c r="U80" s="96"/>
      <c r="AA80" s="1" t="s">
        <v>138</v>
      </c>
    </row>
    <row r="81" spans="1:27" ht="18" customHeight="1" x14ac:dyDescent="0.15">
      <c r="A81" s="3"/>
      <c r="B81" s="116" t="s">
        <v>154</v>
      </c>
      <c r="C81" s="117"/>
      <c r="D81" s="117"/>
      <c r="E81" s="117"/>
      <c r="F81" s="118"/>
      <c r="G81" s="168" t="s">
        <v>155</v>
      </c>
      <c r="H81" s="169"/>
      <c r="I81" s="169"/>
      <c r="J81" s="170"/>
      <c r="K81" s="116"/>
      <c r="L81" s="117"/>
      <c r="M81" s="117"/>
      <c r="N81" s="117"/>
      <c r="O81" s="117"/>
      <c r="P81" s="117"/>
      <c r="Q81" s="118"/>
      <c r="R81" s="168"/>
      <c r="S81" s="169"/>
      <c r="T81" s="169"/>
      <c r="U81" s="170"/>
      <c r="AA81" s="1" t="s">
        <v>131</v>
      </c>
    </row>
    <row r="82" spans="1:27" ht="18" customHeight="1" x14ac:dyDescent="0.15">
      <c r="A82" s="3"/>
      <c r="B82" s="110" t="s">
        <v>153</v>
      </c>
      <c r="C82" s="111"/>
      <c r="D82" s="111"/>
      <c r="E82" s="111"/>
      <c r="F82" s="112"/>
      <c r="G82" s="149" t="s">
        <v>155</v>
      </c>
      <c r="H82" s="150"/>
      <c r="I82" s="150"/>
      <c r="J82" s="151"/>
      <c r="K82" s="110"/>
      <c r="L82" s="111"/>
      <c r="M82" s="111"/>
      <c r="N82" s="111"/>
      <c r="O82" s="111"/>
      <c r="P82" s="111"/>
      <c r="Q82" s="112"/>
      <c r="R82" s="149"/>
      <c r="S82" s="150"/>
      <c r="T82" s="150"/>
      <c r="U82" s="151"/>
      <c r="AA82" s="1" t="s">
        <v>132</v>
      </c>
    </row>
    <row r="83" spans="1:27" ht="18" customHeight="1" x14ac:dyDescent="0.15">
      <c r="A83" s="3"/>
      <c r="B83" s="110" t="s">
        <v>150</v>
      </c>
      <c r="C83" s="111"/>
      <c r="D83" s="111"/>
      <c r="E83" s="111"/>
      <c r="F83" s="112"/>
      <c r="G83" s="149" t="s">
        <v>155</v>
      </c>
      <c r="H83" s="150"/>
      <c r="I83" s="150"/>
      <c r="J83" s="151"/>
      <c r="K83" s="110"/>
      <c r="L83" s="111"/>
      <c r="M83" s="111"/>
      <c r="N83" s="111"/>
      <c r="O83" s="111"/>
      <c r="P83" s="111"/>
      <c r="Q83" s="112"/>
      <c r="R83" s="149"/>
      <c r="S83" s="150"/>
      <c r="T83" s="150"/>
      <c r="U83" s="151"/>
      <c r="AA83" s="1" t="s">
        <v>133</v>
      </c>
    </row>
    <row r="84" spans="1:27" ht="18" customHeight="1" x14ac:dyDescent="0.15">
      <c r="A84" s="3"/>
      <c r="B84" s="157" t="s">
        <v>159</v>
      </c>
      <c r="C84" s="158"/>
      <c r="D84" s="158"/>
      <c r="E84" s="158"/>
      <c r="F84" s="159"/>
      <c r="G84" s="160" t="s">
        <v>155</v>
      </c>
      <c r="H84" s="161"/>
      <c r="I84" s="161"/>
      <c r="J84" s="162"/>
      <c r="K84" s="110"/>
      <c r="L84" s="111"/>
      <c r="M84" s="111"/>
      <c r="N84" s="111"/>
      <c r="O84" s="111"/>
      <c r="P84" s="111"/>
      <c r="Q84" s="112"/>
      <c r="R84" s="149"/>
      <c r="S84" s="150"/>
      <c r="T84" s="150"/>
      <c r="U84" s="151"/>
      <c r="AA84" s="1" t="s">
        <v>139</v>
      </c>
    </row>
    <row r="85" spans="1:27" ht="18" customHeight="1" x14ac:dyDescent="0.15">
      <c r="A85" s="3"/>
      <c r="B85" s="110"/>
      <c r="C85" s="111"/>
      <c r="D85" s="111"/>
      <c r="E85" s="111"/>
      <c r="F85" s="112"/>
      <c r="G85" s="149"/>
      <c r="H85" s="150"/>
      <c r="I85" s="150"/>
      <c r="J85" s="151"/>
      <c r="K85" s="110"/>
      <c r="L85" s="111"/>
      <c r="M85" s="111"/>
      <c r="N85" s="111"/>
      <c r="O85" s="111"/>
      <c r="P85" s="111"/>
      <c r="Q85" s="112"/>
      <c r="R85" s="149"/>
      <c r="S85" s="150"/>
      <c r="T85" s="150"/>
      <c r="U85" s="151"/>
      <c r="AA85" s="1" t="s">
        <v>140</v>
      </c>
    </row>
    <row r="86" spans="1:27" ht="18" customHeight="1" x14ac:dyDescent="0.15">
      <c r="A86" s="3"/>
      <c r="B86" s="110"/>
      <c r="C86" s="111"/>
      <c r="D86" s="111"/>
      <c r="E86" s="111"/>
      <c r="F86" s="112"/>
      <c r="G86" s="149"/>
      <c r="H86" s="150"/>
      <c r="I86" s="150"/>
      <c r="J86" s="151"/>
      <c r="K86" s="110"/>
      <c r="L86" s="111"/>
      <c r="M86" s="111"/>
      <c r="N86" s="111"/>
      <c r="O86" s="111"/>
      <c r="P86" s="111"/>
      <c r="Q86" s="112"/>
      <c r="R86" s="149"/>
      <c r="S86" s="150"/>
      <c r="T86" s="150"/>
      <c r="U86" s="151"/>
      <c r="AA86" s="1" t="s">
        <v>134</v>
      </c>
    </row>
    <row r="87" spans="1:27" ht="18" customHeight="1" x14ac:dyDescent="0.15">
      <c r="A87" s="3"/>
      <c r="B87" s="113"/>
      <c r="C87" s="114"/>
      <c r="D87" s="114"/>
      <c r="E87" s="114"/>
      <c r="F87" s="115"/>
      <c r="G87" s="146"/>
      <c r="H87" s="147"/>
      <c r="I87" s="147"/>
      <c r="J87" s="148"/>
      <c r="K87" s="113"/>
      <c r="L87" s="114"/>
      <c r="M87" s="114"/>
      <c r="N87" s="114"/>
      <c r="O87" s="114"/>
      <c r="P87" s="114"/>
      <c r="Q87" s="115"/>
      <c r="R87" s="146"/>
      <c r="S87" s="147"/>
      <c r="T87" s="147"/>
      <c r="U87" s="148"/>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52" t="s">
        <v>49</v>
      </c>
      <c r="C90" s="153"/>
      <c r="D90" s="94" t="s">
        <v>50</v>
      </c>
      <c r="E90" s="95"/>
      <c r="F90" s="95"/>
      <c r="G90" s="95"/>
      <c r="H90" s="95"/>
      <c r="I90" s="95"/>
      <c r="J90" s="95"/>
      <c r="K90" s="95"/>
      <c r="L90" s="95"/>
      <c r="M90" s="95"/>
      <c r="N90" s="95"/>
      <c r="O90" s="95"/>
      <c r="P90" s="95"/>
      <c r="Q90" s="95"/>
      <c r="R90" s="95"/>
      <c r="S90" s="95"/>
      <c r="T90" s="95"/>
      <c r="U90" s="96"/>
    </row>
    <row r="91" spans="1:27" ht="97.5" customHeight="1" x14ac:dyDescent="0.15">
      <c r="B91" s="126" t="s">
        <v>56</v>
      </c>
      <c r="C91" s="68" t="s">
        <v>51</v>
      </c>
      <c r="D91" s="97" t="s">
        <v>179</v>
      </c>
      <c r="E91" s="98"/>
      <c r="F91" s="98"/>
      <c r="G91" s="98"/>
      <c r="H91" s="98"/>
      <c r="I91" s="98"/>
      <c r="J91" s="98"/>
      <c r="K91" s="98"/>
      <c r="L91" s="98"/>
      <c r="M91" s="98"/>
      <c r="N91" s="98"/>
      <c r="O91" s="98"/>
      <c r="P91" s="98"/>
      <c r="Q91" s="98"/>
      <c r="R91" s="98"/>
      <c r="S91" s="98"/>
      <c r="T91" s="98"/>
      <c r="U91" s="99"/>
    </row>
    <row r="92" spans="1:27" ht="97.5" customHeight="1" x14ac:dyDescent="0.15">
      <c r="B92" s="128"/>
      <c r="C92" s="69" t="s">
        <v>70</v>
      </c>
      <c r="D92" s="100" t="s">
        <v>180</v>
      </c>
      <c r="E92" s="101"/>
      <c r="F92" s="101"/>
      <c r="G92" s="101"/>
      <c r="H92" s="101"/>
      <c r="I92" s="101"/>
      <c r="J92" s="101"/>
      <c r="K92" s="101"/>
      <c r="L92" s="101"/>
      <c r="M92" s="101"/>
      <c r="N92" s="101"/>
      <c r="O92" s="101"/>
      <c r="P92" s="101"/>
      <c r="Q92" s="101"/>
      <c r="R92" s="101"/>
      <c r="S92" s="101"/>
      <c r="T92" s="101"/>
      <c r="U92" s="102"/>
    </row>
    <row r="93" spans="1:27" ht="97.5" customHeight="1" x14ac:dyDescent="0.15">
      <c r="B93" s="126" t="s">
        <v>57</v>
      </c>
      <c r="C93" s="70" t="s">
        <v>64</v>
      </c>
      <c r="D93" s="97" t="s">
        <v>156</v>
      </c>
      <c r="E93" s="98"/>
      <c r="F93" s="98"/>
      <c r="G93" s="98"/>
      <c r="H93" s="98"/>
      <c r="I93" s="98"/>
      <c r="J93" s="98"/>
      <c r="K93" s="98"/>
      <c r="L93" s="98"/>
      <c r="M93" s="98"/>
      <c r="N93" s="98"/>
      <c r="O93" s="98"/>
      <c r="P93" s="98"/>
      <c r="Q93" s="98"/>
      <c r="R93" s="98"/>
      <c r="S93" s="98"/>
      <c r="T93" s="98"/>
      <c r="U93" s="99"/>
    </row>
    <row r="94" spans="1:27" ht="97.5" customHeight="1" x14ac:dyDescent="0.15">
      <c r="B94" s="127"/>
      <c r="C94" s="71" t="s">
        <v>65</v>
      </c>
      <c r="D94" s="103" t="s">
        <v>181</v>
      </c>
      <c r="E94" s="101"/>
      <c r="F94" s="101"/>
      <c r="G94" s="101"/>
      <c r="H94" s="101"/>
      <c r="I94" s="101"/>
      <c r="J94" s="101"/>
      <c r="K94" s="101"/>
      <c r="L94" s="101"/>
      <c r="M94" s="101"/>
      <c r="N94" s="101"/>
      <c r="O94" s="101"/>
      <c r="P94" s="101"/>
      <c r="Q94" s="101"/>
      <c r="R94" s="101"/>
      <c r="S94" s="101"/>
      <c r="T94" s="101"/>
      <c r="U94" s="102"/>
    </row>
    <row r="95" spans="1:27" ht="97.5" customHeight="1" x14ac:dyDescent="0.15">
      <c r="B95" s="126" t="s">
        <v>58</v>
      </c>
      <c r="C95" s="70" t="s">
        <v>66</v>
      </c>
      <c r="D95" s="97" t="s">
        <v>198</v>
      </c>
      <c r="E95" s="98"/>
      <c r="F95" s="98"/>
      <c r="G95" s="98"/>
      <c r="H95" s="98"/>
      <c r="I95" s="98"/>
      <c r="J95" s="98"/>
      <c r="K95" s="98"/>
      <c r="L95" s="98"/>
      <c r="M95" s="98"/>
      <c r="N95" s="98"/>
      <c r="O95" s="98"/>
      <c r="P95" s="98"/>
      <c r="Q95" s="98"/>
      <c r="R95" s="98"/>
      <c r="S95" s="98"/>
      <c r="T95" s="98"/>
      <c r="U95" s="99"/>
    </row>
    <row r="96" spans="1:27" ht="97.5" customHeight="1" x14ac:dyDescent="0.15">
      <c r="B96" s="127"/>
      <c r="C96" s="72" t="s">
        <v>67</v>
      </c>
      <c r="D96" s="103" t="s">
        <v>182</v>
      </c>
      <c r="E96" s="101"/>
      <c r="F96" s="101"/>
      <c r="G96" s="101"/>
      <c r="H96" s="101"/>
      <c r="I96" s="101"/>
      <c r="J96" s="101"/>
      <c r="K96" s="101"/>
      <c r="L96" s="101"/>
      <c r="M96" s="101"/>
      <c r="N96" s="101"/>
      <c r="O96" s="101"/>
      <c r="P96" s="101"/>
      <c r="Q96" s="101"/>
      <c r="R96" s="101"/>
      <c r="S96" s="101"/>
      <c r="T96" s="101"/>
      <c r="U96" s="102"/>
    </row>
    <row r="97" spans="1:21" ht="97.5" customHeight="1" x14ac:dyDescent="0.15">
      <c r="B97" s="126" t="s">
        <v>71</v>
      </c>
      <c r="C97" s="68" t="s">
        <v>53</v>
      </c>
      <c r="D97" s="97" t="s">
        <v>183</v>
      </c>
      <c r="E97" s="98"/>
      <c r="F97" s="98"/>
      <c r="G97" s="98"/>
      <c r="H97" s="98"/>
      <c r="I97" s="98"/>
      <c r="J97" s="98"/>
      <c r="K97" s="98"/>
      <c r="L97" s="98"/>
      <c r="M97" s="98"/>
      <c r="N97" s="98"/>
      <c r="O97" s="98"/>
      <c r="P97" s="98"/>
      <c r="Q97" s="98"/>
      <c r="R97" s="98"/>
      <c r="S97" s="98"/>
      <c r="T97" s="98"/>
      <c r="U97" s="99"/>
    </row>
    <row r="98" spans="1:21" ht="97.5" customHeight="1" x14ac:dyDescent="0.15">
      <c r="B98" s="127"/>
      <c r="C98" s="71" t="s">
        <v>55</v>
      </c>
      <c r="D98" s="100" t="s">
        <v>157</v>
      </c>
      <c r="E98" s="101"/>
      <c r="F98" s="101"/>
      <c r="G98" s="101"/>
      <c r="H98" s="101"/>
      <c r="I98" s="101"/>
      <c r="J98" s="101"/>
      <c r="K98" s="101"/>
      <c r="L98" s="101"/>
      <c r="M98" s="101"/>
      <c r="N98" s="101"/>
      <c r="O98" s="101"/>
      <c r="P98" s="101"/>
      <c r="Q98" s="101"/>
      <c r="R98" s="101"/>
      <c r="S98" s="101"/>
      <c r="T98" s="101"/>
      <c r="U98" s="102"/>
    </row>
    <row r="99" spans="1:21" ht="97.5" customHeight="1" x14ac:dyDescent="0.15">
      <c r="B99" s="126" t="s">
        <v>72</v>
      </c>
      <c r="C99" s="70" t="s">
        <v>52</v>
      </c>
      <c r="D99" s="97" t="s">
        <v>158</v>
      </c>
      <c r="E99" s="98"/>
      <c r="F99" s="98"/>
      <c r="G99" s="98"/>
      <c r="H99" s="98"/>
      <c r="I99" s="98"/>
      <c r="J99" s="98"/>
      <c r="K99" s="98"/>
      <c r="L99" s="98"/>
      <c r="M99" s="98"/>
      <c r="N99" s="98"/>
      <c r="O99" s="98"/>
      <c r="P99" s="98"/>
      <c r="Q99" s="98"/>
      <c r="R99" s="98"/>
      <c r="S99" s="98"/>
      <c r="T99" s="98"/>
      <c r="U99" s="99"/>
    </row>
    <row r="100" spans="1:21" ht="97.5" customHeight="1" x14ac:dyDescent="0.15">
      <c r="B100" s="128"/>
      <c r="C100" s="73" t="s">
        <v>68</v>
      </c>
      <c r="D100" s="120" t="s">
        <v>184</v>
      </c>
      <c r="E100" s="121"/>
      <c r="F100" s="121"/>
      <c r="G100" s="121"/>
      <c r="H100" s="121"/>
      <c r="I100" s="121"/>
      <c r="J100" s="121"/>
      <c r="K100" s="121"/>
      <c r="L100" s="121"/>
      <c r="M100" s="121"/>
      <c r="N100" s="121"/>
      <c r="O100" s="121"/>
      <c r="P100" s="121"/>
      <c r="Q100" s="121"/>
      <c r="R100" s="121"/>
      <c r="S100" s="121"/>
      <c r="T100" s="121"/>
      <c r="U100" s="122"/>
    </row>
    <row r="101" spans="1:21" ht="97.5" customHeight="1" x14ac:dyDescent="0.15">
      <c r="B101" s="127"/>
      <c r="C101" s="72" t="s">
        <v>69</v>
      </c>
      <c r="D101" s="103" t="s">
        <v>185</v>
      </c>
      <c r="E101" s="101"/>
      <c r="F101" s="101"/>
      <c r="G101" s="101"/>
      <c r="H101" s="101"/>
      <c r="I101" s="101"/>
      <c r="J101" s="101"/>
      <c r="K101" s="101"/>
      <c r="L101" s="101"/>
      <c r="M101" s="101"/>
      <c r="N101" s="101"/>
      <c r="O101" s="101"/>
      <c r="P101" s="101"/>
      <c r="Q101" s="101"/>
      <c r="R101" s="101"/>
      <c r="S101" s="101"/>
      <c r="T101" s="101"/>
      <c r="U101" s="102"/>
    </row>
    <row r="102" spans="1:21" ht="6" customHeight="1" x14ac:dyDescent="0.15"/>
    <row r="103" spans="1:21" ht="18.75" customHeight="1" x14ac:dyDescent="0.15">
      <c r="A103" s="1" t="s">
        <v>103</v>
      </c>
    </row>
    <row r="104" spans="1:21" ht="81.75" customHeight="1" x14ac:dyDescent="0.15">
      <c r="B104" s="143" t="s">
        <v>186</v>
      </c>
      <c r="C104" s="144"/>
      <c r="D104" s="144"/>
      <c r="E104" s="144"/>
      <c r="F104" s="144"/>
      <c r="G104" s="144"/>
      <c r="H104" s="144"/>
      <c r="I104" s="144"/>
      <c r="J104" s="144"/>
      <c r="K104" s="144"/>
      <c r="L104" s="144"/>
      <c r="M104" s="144"/>
      <c r="N104" s="144"/>
      <c r="O104" s="144"/>
      <c r="P104" s="144"/>
      <c r="Q104" s="144"/>
      <c r="R104" s="144"/>
      <c r="S104" s="144"/>
      <c r="T104" s="144"/>
      <c r="U104" s="145"/>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1: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70" zoomScaleNormal="100" zoomScaleSheetLayoutView="70" workbookViewId="0">
      <selection activeCell="O6" sqref="O6"/>
    </sheetView>
  </sheetViews>
  <sheetFormatPr defaultColWidth="9" defaultRowHeight="18.75" customHeight="1" x14ac:dyDescent="0.15"/>
  <cols>
    <col min="1" max="1" width="2.62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72" t="str">
        <f>'様式１　プログラムを構成する授業科目'!C2</f>
        <v>昭和薬科大学</v>
      </c>
      <c r="R2" s="172"/>
      <c r="S2" s="172"/>
    </row>
    <row r="3" spans="1:21" ht="18" customHeight="1" x14ac:dyDescent="0.15">
      <c r="A3" s="133" t="s">
        <v>142</v>
      </c>
      <c r="B3" s="133"/>
      <c r="C3" s="133"/>
      <c r="D3" s="133"/>
      <c r="E3" s="133"/>
      <c r="F3" s="133"/>
      <c r="G3" s="133"/>
      <c r="H3" s="133"/>
      <c r="I3" s="133"/>
      <c r="J3" s="133"/>
      <c r="K3" s="133"/>
      <c r="L3" s="133"/>
      <c r="M3" s="133"/>
      <c r="N3" s="133"/>
      <c r="O3" s="133"/>
      <c r="P3" s="133"/>
      <c r="Q3" s="133"/>
      <c r="R3" s="133"/>
      <c r="S3" s="133"/>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73" t="s">
        <v>161</v>
      </c>
      <c r="D5" s="174"/>
      <c r="E5" s="58" t="s">
        <v>125</v>
      </c>
      <c r="F5" s="56"/>
      <c r="G5" s="56"/>
      <c r="H5" s="56"/>
      <c r="I5" s="56"/>
      <c r="J5" s="56"/>
      <c r="K5" s="56"/>
      <c r="L5" s="56"/>
      <c r="M5" s="56"/>
      <c r="N5" s="56"/>
      <c r="O5" s="56"/>
      <c r="P5" s="56"/>
      <c r="Q5" s="56"/>
      <c r="R5" s="55"/>
      <c r="S5" s="55"/>
    </row>
    <row r="6" spans="1:21" ht="7.3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520</v>
      </c>
      <c r="G7" s="58" t="s">
        <v>111</v>
      </c>
      <c r="H7" s="56" t="s">
        <v>112</v>
      </c>
      <c r="I7" s="59">
        <v>1017</v>
      </c>
      <c r="J7" s="58" t="s">
        <v>111</v>
      </c>
      <c r="K7" s="57" t="s">
        <v>113</v>
      </c>
      <c r="L7" s="56" t="s">
        <v>114</v>
      </c>
      <c r="M7" s="59">
        <f>F7+I7</f>
        <v>1537</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5" t="s">
        <v>43</v>
      </c>
      <c r="C11" s="185" t="s">
        <v>78</v>
      </c>
      <c r="D11" s="177" t="s">
        <v>45</v>
      </c>
      <c r="E11" s="179" t="s">
        <v>38</v>
      </c>
      <c r="F11" s="171" t="s">
        <v>126</v>
      </c>
      <c r="G11" s="171"/>
      <c r="H11" s="171" t="s">
        <v>106</v>
      </c>
      <c r="I11" s="171"/>
      <c r="J11" s="171" t="s">
        <v>77</v>
      </c>
      <c r="K11" s="171"/>
      <c r="L11" s="171" t="s">
        <v>46</v>
      </c>
      <c r="M11" s="171"/>
      <c r="N11" s="171" t="s">
        <v>47</v>
      </c>
      <c r="O11" s="171"/>
      <c r="P11" s="171" t="s">
        <v>127</v>
      </c>
      <c r="Q11" s="171"/>
      <c r="R11" s="181" t="s">
        <v>35</v>
      </c>
      <c r="S11" s="183" t="s">
        <v>32</v>
      </c>
      <c r="U11" s="2"/>
    </row>
    <row r="12" spans="1:21" ht="17.100000000000001" customHeight="1" x14ac:dyDescent="0.15">
      <c r="B12" s="176"/>
      <c r="C12" s="186"/>
      <c r="D12" s="178"/>
      <c r="E12" s="180"/>
      <c r="F12" s="79" t="s">
        <v>86</v>
      </c>
      <c r="G12" s="79" t="s">
        <v>29</v>
      </c>
      <c r="H12" s="79" t="s">
        <v>86</v>
      </c>
      <c r="I12" s="79" t="s">
        <v>29</v>
      </c>
      <c r="J12" s="79" t="s">
        <v>86</v>
      </c>
      <c r="K12" s="79" t="s">
        <v>29</v>
      </c>
      <c r="L12" s="79" t="s">
        <v>86</v>
      </c>
      <c r="M12" s="79" t="s">
        <v>29</v>
      </c>
      <c r="N12" s="79" t="s">
        <v>86</v>
      </c>
      <c r="O12" s="79" t="s">
        <v>29</v>
      </c>
      <c r="P12" s="79" t="s">
        <v>86</v>
      </c>
      <c r="Q12" s="80" t="s">
        <v>29</v>
      </c>
      <c r="R12" s="182"/>
      <c r="S12" s="184"/>
      <c r="U12" s="2"/>
    </row>
    <row r="13" spans="1:21" ht="18" customHeight="1" x14ac:dyDescent="0.15">
      <c r="A13" s="6"/>
      <c r="B13" s="48" t="s">
        <v>160</v>
      </c>
      <c r="C13" s="36">
        <v>1537</v>
      </c>
      <c r="D13" s="37">
        <v>240</v>
      </c>
      <c r="E13" s="38">
        <v>1440</v>
      </c>
      <c r="F13" s="38">
        <v>291</v>
      </c>
      <c r="G13" s="38">
        <v>0</v>
      </c>
      <c r="H13" s="38"/>
      <c r="I13" s="38"/>
      <c r="J13" s="38"/>
      <c r="K13" s="38"/>
      <c r="L13" s="38"/>
      <c r="M13" s="38"/>
      <c r="N13" s="38"/>
      <c r="O13" s="38"/>
      <c r="P13" s="38"/>
      <c r="Q13" s="49"/>
      <c r="R13" s="37">
        <f t="shared" ref="R13:R32" si="0">F13+H13+J13+L13+N13+P13</f>
        <v>291</v>
      </c>
      <c r="S13" s="50">
        <f t="shared" ref="S13:S33" si="1">R13/E13</f>
        <v>0.20208333333333334</v>
      </c>
    </row>
    <row r="14" spans="1:21" ht="18" customHeight="1" x14ac:dyDescent="0.15">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1537</v>
      </c>
      <c r="D33" s="46">
        <f t="shared" ref="D33:R33" si="3">SUM(D13:D32)</f>
        <v>240</v>
      </c>
      <c r="E33" s="47">
        <f t="shared" si="3"/>
        <v>1440</v>
      </c>
      <c r="F33" s="47">
        <f t="shared" si="3"/>
        <v>291</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291</v>
      </c>
      <c r="S33" s="9">
        <f t="shared" si="1"/>
        <v>0.20208333333333334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opLeftCell="A7" zoomScale="145" zoomScaleNormal="145" zoomScaleSheetLayoutView="100" workbookViewId="0">
      <selection activeCell="B108" sqref="B108:I119"/>
    </sheetView>
  </sheetViews>
  <sheetFormatPr defaultColWidth="11.375" defaultRowHeight="18.75" customHeight="1" x14ac:dyDescent="0.15"/>
  <cols>
    <col min="1" max="1" width="2.62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4" t="str">
        <f>'様式１　プログラムを構成する授業科目'!C2</f>
        <v>昭和薬科大学</v>
      </c>
      <c r="I2" s="96"/>
    </row>
    <row r="3" spans="1:9" ht="18.75" customHeight="1" x14ac:dyDescent="0.15">
      <c r="G3" s="18"/>
      <c r="H3" s="10"/>
      <c r="I3" s="10"/>
    </row>
    <row r="4" spans="1:9" ht="18.600000000000001" customHeight="1" x14ac:dyDescent="0.15">
      <c r="A4" s="133" t="s">
        <v>36</v>
      </c>
      <c r="B4" s="133"/>
      <c r="C4" s="133"/>
      <c r="D4" s="133"/>
      <c r="E4" s="133"/>
      <c r="F4" s="133"/>
      <c r="G4" s="133"/>
      <c r="H4" s="133"/>
      <c r="I4" s="133"/>
    </row>
    <row r="5" spans="1:9" ht="13.35" customHeight="1" x14ac:dyDescent="0.15">
      <c r="B5" s="3"/>
      <c r="C5" s="3"/>
      <c r="D5" s="3"/>
      <c r="E5" s="3"/>
      <c r="F5" s="3"/>
      <c r="G5" s="3"/>
      <c r="H5" s="3"/>
      <c r="I5" s="3"/>
    </row>
    <row r="6" spans="1:9" ht="18" customHeight="1" x14ac:dyDescent="0.15">
      <c r="A6" s="1" t="s">
        <v>0</v>
      </c>
      <c r="B6" s="10" t="s">
        <v>81</v>
      </c>
      <c r="C6" s="236" t="s">
        <v>82</v>
      </c>
      <c r="D6" s="236"/>
      <c r="E6" s="17">
        <v>73</v>
      </c>
      <c r="F6" s="3" t="s">
        <v>1</v>
      </c>
      <c r="G6" s="3" t="s">
        <v>2</v>
      </c>
      <c r="H6" s="17">
        <v>112</v>
      </c>
      <c r="I6" s="10" t="s">
        <v>1</v>
      </c>
    </row>
    <row r="7" spans="1:9" ht="12" customHeight="1" x14ac:dyDescent="0.15">
      <c r="C7" s="2"/>
      <c r="D7" s="2"/>
      <c r="E7" s="2"/>
      <c r="F7" s="2"/>
      <c r="G7" s="2"/>
      <c r="H7" s="2"/>
      <c r="I7" s="21"/>
    </row>
    <row r="8" spans="1:9" ht="18" customHeight="1" x14ac:dyDescent="0.15">
      <c r="A8" s="1" t="s">
        <v>3</v>
      </c>
      <c r="B8" s="10" t="s">
        <v>83</v>
      </c>
      <c r="E8" s="3"/>
      <c r="F8" s="3"/>
      <c r="G8" s="3"/>
      <c r="H8" s="85">
        <v>14</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31" t="s">
        <v>162</v>
      </c>
      <c r="D11" s="234"/>
      <c r="E11" s="235"/>
      <c r="F11" s="21"/>
      <c r="G11" s="18" t="s">
        <v>10</v>
      </c>
      <c r="H11" s="231" t="s">
        <v>163</v>
      </c>
      <c r="I11" s="235"/>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31" t="s">
        <v>164</v>
      </c>
      <c r="C14" s="232"/>
      <c r="D14" s="232"/>
      <c r="E14" s="232"/>
      <c r="F14" s="232"/>
      <c r="G14" s="232"/>
      <c r="H14" s="232"/>
      <c r="I14" s="233"/>
    </row>
    <row r="15" spans="1:9" ht="9" customHeight="1" x14ac:dyDescent="0.15">
      <c r="B15" s="3"/>
      <c r="C15" s="3"/>
      <c r="D15" s="3"/>
      <c r="E15" s="3"/>
      <c r="F15" s="3"/>
      <c r="G15" s="3"/>
      <c r="H15" s="3"/>
      <c r="I15" s="3"/>
    </row>
    <row r="16" spans="1:9" ht="18" customHeight="1" x14ac:dyDescent="0.15">
      <c r="B16" s="18" t="s">
        <v>41</v>
      </c>
      <c r="C16" s="231" t="s">
        <v>165</v>
      </c>
      <c r="D16" s="234"/>
      <c r="E16" s="235"/>
      <c r="F16" s="21"/>
      <c r="G16" s="18" t="s">
        <v>10</v>
      </c>
      <c r="H16" s="231" t="s">
        <v>166</v>
      </c>
      <c r="I16" s="23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17" t="s">
        <v>167</v>
      </c>
      <c r="C19" s="218"/>
      <c r="D19" s="218"/>
      <c r="E19" s="218"/>
      <c r="F19" s="218"/>
      <c r="G19" s="218"/>
      <c r="H19" s="218"/>
      <c r="I19" s="21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20" t="s">
        <v>168</v>
      </c>
      <c r="C22" s="221"/>
      <c r="D22" s="221"/>
      <c r="E22" s="221"/>
      <c r="F22" s="221"/>
      <c r="G22" s="221"/>
      <c r="H22" s="221"/>
      <c r="I22" s="222"/>
    </row>
    <row r="23" spans="1:9" ht="18.75" customHeight="1" x14ac:dyDescent="0.15">
      <c r="A23" s="14"/>
      <c r="B23" s="223"/>
      <c r="C23" s="224"/>
      <c r="D23" s="224"/>
      <c r="E23" s="224"/>
      <c r="F23" s="224"/>
      <c r="G23" s="224"/>
      <c r="H23" s="224"/>
      <c r="I23" s="225"/>
    </row>
    <row r="24" spans="1:9" ht="18.75" customHeight="1" x14ac:dyDescent="0.15">
      <c r="A24" s="14"/>
      <c r="B24" s="223"/>
      <c r="C24" s="224"/>
      <c r="D24" s="224"/>
      <c r="E24" s="224"/>
      <c r="F24" s="224"/>
      <c r="G24" s="224"/>
      <c r="H24" s="224"/>
      <c r="I24" s="225"/>
    </row>
    <row r="25" spans="1:9" ht="18.75" customHeight="1" x14ac:dyDescent="0.15">
      <c r="A25" s="14"/>
      <c r="B25" s="223"/>
      <c r="C25" s="224"/>
      <c r="D25" s="224"/>
      <c r="E25" s="224"/>
      <c r="F25" s="224"/>
      <c r="G25" s="224"/>
      <c r="H25" s="224"/>
      <c r="I25" s="225"/>
    </row>
    <row r="26" spans="1:9" ht="18.75" customHeight="1" x14ac:dyDescent="0.15">
      <c r="A26" s="14"/>
      <c r="B26" s="223"/>
      <c r="C26" s="224"/>
      <c r="D26" s="224"/>
      <c r="E26" s="224"/>
      <c r="F26" s="224"/>
      <c r="G26" s="224"/>
      <c r="H26" s="224"/>
      <c r="I26" s="225"/>
    </row>
    <row r="27" spans="1:9" ht="18.75" customHeight="1" x14ac:dyDescent="0.15">
      <c r="A27" s="14"/>
      <c r="B27" s="223"/>
      <c r="C27" s="224"/>
      <c r="D27" s="224"/>
      <c r="E27" s="224"/>
      <c r="F27" s="224"/>
      <c r="G27" s="224"/>
      <c r="H27" s="224"/>
      <c r="I27" s="225"/>
    </row>
    <row r="28" spans="1:9" ht="18.75" customHeight="1" x14ac:dyDescent="0.15">
      <c r="A28" s="14"/>
      <c r="B28" s="223"/>
      <c r="C28" s="224"/>
      <c r="D28" s="224"/>
      <c r="E28" s="224"/>
      <c r="F28" s="224"/>
      <c r="G28" s="224"/>
      <c r="H28" s="224"/>
      <c r="I28" s="225"/>
    </row>
    <row r="29" spans="1:9" ht="18.75" customHeight="1" x14ac:dyDescent="0.15">
      <c r="A29" s="14"/>
      <c r="B29" s="223"/>
      <c r="C29" s="224"/>
      <c r="D29" s="224"/>
      <c r="E29" s="224"/>
      <c r="F29" s="224"/>
      <c r="G29" s="224"/>
      <c r="H29" s="224"/>
      <c r="I29" s="225"/>
    </row>
    <row r="30" spans="1:9" ht="18.75" customHeight="1" x14ac:dyDescent="0.15">
      <c r="A30" s="14"/>
      <c r="B30" s="226"/>
      <c r="C30" s="227"/>
      <c r="D30" s="227"/>
      <c r="E30" s="227"/>
      <c r="F30" s="227"/>
      <c r="G30" s="227"/>
      <c r="H30" s="227"/>
      <c r="I30" s="225"/>
    </row>
    <row r="31" spans="1:9" ht="18.75" customHeight="1" x14ac:dyDescent="0.15">
      <c r="A31" s="14"/>
      <c r="B31" s="226"/>
      <c r="C31" s="227"/>
      <c r="D31" s="227"/>
      <c r="E31" s="227"/>
      <c r="F31" s="227"/>
      <c r="G31" s="227"/>
      <c r="H31" s="227"/>
      <c r="I31" s="225"/>
    </row>
    <row r="32" spans="1:9" ht="18.75" customHeight="1" x14ac:dyDescent="0.15">
      <c r="A32" s="14"/>
      <c r="B32" s="228"/>
      <c r="C32" s="229"/>
      <c r="D32" s="229"/>
      <c r="E32" s="229"/>
      <c r="F32" s="229"/>
      <c r="G32" s="229"/>
      <c r="H32" s="229"/>
      <c r="I32" s="230"/>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20" t="s">
        <v>169</v>
      </c>
      <c r="C35" s="221"/>
      <c r="D35" s="221"/>
      <c r="E35" s="221"/>
      <c r="F35" s="221"/>
      <c r="G35" s="221"/>
      <c r="H35" s="221"/>
      <c r="I35" s="222"/>
    </row>
    <row r="36" spans="1:9" ht="18.75" customHeight="1" x14ac:dyDescent="0.15">
      <c r="A36" s="14"/>
      <c r="B36" s="226"/>
      <c r="C36" s="227"/>
      <c r="D36" s="227"/>
      <c r="E36" s="227"/>
      <c r="F36" s="227"/>
      <c r="G36" s="227"/>
      <c r="H36" s="227"/>
      <c r="I36" s="225"/>
    </row>
    <row r="37" spans="1:9" ht="18.75" customHeight="1" x14ac:dyDescent="0.15">
      <c r="A37" s="14"/>
      <c r="B37" s="226"/>
      <c r="C37" s="227"/>
      <c r="D37" s="227"/>
      <c r="E37" s="227"/>
      <c r="F37" s="227"/>
      <c r="G37" s="227"/>
      <c r="H37" s="227"/>
      <c r="I37" s="225"/>
    </row>
    <row r="38" spans="1:9" ht="18.75" customHeight="1" x14ac:dyDescent="0.15">
      <c r="A38" s="14"/>
      <c r="B38" s="226"/>
      <c r="C38" s="227"/>
      <c r="D38" s="227"/>
      <c r="E38" s="227"/>
      <c r="F38" s="227"/>
      <c r="G38" s="227"/>
      <c r="H38" s="227"/>
      <c r="I38" s="225"/>
    </row>
    <row r="39" spans="1:9" ht="18.75" customHeight="1" x14ac:dyDescent="0.15">
      <c r="A39" s="14"/>
      <c r="B39" s="226"/>
      <c r="C39" s="227"/>
      <c r="D39" s="227"/>
      <c r="E39" s="227"/>
      <c r="F39" s="227"/>
      <c r="G39" s="227"/>
      <c r="H39" s="227"/>
      <c r="I39" s="225"/>
    </row>
    <row r="40" spans="1:9" ht="18.75" customHeight="1" x14ac:dyDescent="0.15">
      <c r="A40" s="14"/>
      <c r="B40" s="226"/>
      <c r="C40" s="227"/>
      <c r="D40" s="227"/>
      <c r="E40" s="227"/>
      <c r="F40" s="227"/>
      <c r="G40" s="227"/>
      <c r="H40" s="227"/>
      <c r="I40" s="225"/>
    </row>
    <row r="41" spans="1:9" ht="18.75" customHeight="1" x14ac:dyDescent="0.15">
      <c r="A41" s="14"/>
      <c r="B41" s="226"/>
      <c r="C41" s="227"/>
      <c r="D41" s="227"/>
      <c r="E41" s="227"/>
      <c r="F41" s="227"/>
      <c r="G41" s="227"/>
      <c r="H41" s="227"/>
      <c r="I41" s="225"/>
    </row>
    <row r="42" spans="1:9" ht="18.75" customHeight="1" x14ac:dyDescent="0.15">
      <c r="A42" s="14"/>
      <c r="B42" s="226"/>
      <c r="C42" s="227"/>
      <c r="D42" s="227"/>
      <c r="E42" s="227"/>
      <c r="F42" s="227"/>
      <c r="G42" s="227"/>
      <c r="H42" s="227"/>
      <c r="I42" s="225"/>
    </row>
    <row r="43" spans="1:9" ht="18.75" customHeight="1" x14ac:dyDescent="0.15">
      <c r="A43" s="14"/>
      <c r="B43" s="226"/>
      <c r="C43" s="227"/>
      <c r="D43" s="227"/>
      <c r="E43" s="227"/>
      <c r="F43" s="227"/>
      <c r="G43" s="227"/>
      <c r="H43" s="227"/>
      <c r="I43" s="225"/>
    </row>
    <row r="44" spans="1:9" ht="18.75" customHeight="1" x14ac:dyDescent="0.15">
      <c r="A44" s="14"/>
      <c r="B44" s="226"/>
      <c r="C44" s="227"/>
      <c r="D44" s="227"/>
      <c r="E44" s="227"/>
      <c r="F44" s="227"/>
      <c r="G44" s="227"/>
      <c r="H44" s="227"/>
      <c r="I44" s="225"/>
    </row>
    <row r="45" spans="1:9" ht="18.75" customHeight="1" x14ac:dyDescent="0.15">
      <c r="A45" s="14"/>
      <c r="B45" s="226"/>
      <c r="C45" s="227"/>
      <c r="D45" s="227"/>
      <c r="E45" s="227"/>
      <c r="F45" s="227"/>
      <c r="G45" s="227"/>
      <c r="H45" s="227"/>
      <c r="I45" s="225"/>
    </row>
    <row r="46" spans="1:9" ht="18.75" customHeight="1" x14ac:dyDescent="0.15">
      <c r="A46" s="14"/>
      <c r="B46" s="228"/>
      <c r="C46" s="229"/>
      <c r="D46" s="229"/>
      <c r="E46" s="229"/>
      <c r="F46" s="229"/>
      <c r="G46" s="229"/>
      <c r="H46" s="229"/>
      <c r="I46" s="230"/>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206">
        <f>'様式２ 履修者等数の実績'!S33</f>
        <v>0.20208333333333334</v>
      </c>
      <c r="D49" s="206"/>
      <c r="E49" s="81" t="s">
        <v>60</v>
      </c>
      <c r="F49" s="206">
        <v>0.38</v>
      </c>
      <c r="G49" s="206"/>
      <c r="H49" s="81" t="s">
        <v>80</v>
      </c>
      <c r="I49" s="22">
        <v>0.54</v>
      </c>
      <c r="J49" s="1"/>
      <c r="M49" s="1"/>
      <c r="N49" s="23"/>
    </row>
    <row r="50" spans="1:15" s="3" customFormat="1" ht="18.75" customHeight="1" x14ac:dyDescent="0.15">
      <c r="B50" s="82" t="s">
        <v>116</v>
      </c>
      <c r="C50" s="187">
        <v>0.71</v>
      </c>
      <c r="D50" s="187"/>
      <c r="E50" s="82" t="s">
        <v>130</v>
      </c>
      <c r="F50" s="187">
        <v>0.88</v>
      </c>
      <c r="G50" s="187"/>
      <c r="H50" s="82" t="s">
        <v>61</v>
      </c>
      <c r="I50" s="24">
        <f>'様式２ 履修者等数の実績'!E33</f>
        <v>1440</v>
      </c>
      <c r="J50" s="1"/>
      <c r="M50" s="1"/>
      <c r="N50" s="23"/>
    </row>
    <row r="51" spans="1:15" ht="18.75" customHeight="1" x14ac:dyDescent="0.15">
      <c r="A51" s="1"/>
      <c r="B51" s="247" t="s">
        <v>62</v>
      </c>
      <c r="C51" s="248"/>
      <c r="D51" s="248"/>
      <c r="E51" s="248"/>
      <c r="F51" s="248"/>
      <c r="G51" s="248"/>
      <c r="H51" s="248"/>
      <c r="I51" s="249"/>
      <c r="N51" s="23"/>
      <c r="O51" s="3"/>
    </row>
    <row r="52" spans="1:15" ht="18.75" customHeight="1" x14ac:dyDescent="0.15">
      <c r="A52" s="1"/>
      <c r="B52" s="207" t="s">
        <v>170</v>
      </c>
      <c r="C52" s="208"/>
      <c r="D52" s="208"/>
      <c r="E52" s="208"/>
      <c r="F52" s="208"/>
      <c r="G52" s="208"/>
      <c r="H52" s="208"/>
      <c r="I52" s="209"/>
      <c r="N52" s="23"/>
      <c r="O52" s="3"/>
    </row>
    <row r="53" spans="1:15" ht="18.75" customHeight="1" x14ac:dyDescent="0.15">
      <c r="A53" s="1"/>
      <c r="B53" s="210"/>
      <c r="C53" s="211"/>
      <c r="D53" s="211"/>
      <c r="E53" s="211"/>
      <c r="F53" s="211"/>
      <c r="G53" s="211"/>
      <c r="H53" s="211"/>
      <c r="I53" s="212"/>
      <c r="N53" s="23"/>
      <c r="O53" s="3"/>
    </row>
    <row r="54" spans="1:15" ht="18.75" customHeight="1" x14ac:dyDescent="0.15">
      <c r="A54" s="1"/>
      <c r="B54" s="210"/>
      <c r="C54" s="211"/>
      <c r="D54" s="211"/>
      <c r="E54" s="211"/>
      <c r="F54" s="211"/>
      <c r="G54" s="211"/>
      <c r="H54" s="211"/>
      <c r="I54" s="212"/>
    </row>
    <row r="55" spans="1:15" ht="18.75" customHeight="1" x14ac:dyDescent="0.15">
      <c r="A55" s="1"/>
      <c r="B55" s="210"/>
      <c r="C55" s="211"/>
      <c r="D55" s="211"/>
      <c r="E55" s="211"/>
      <c r="F55" s="211"/>
      <c r="G55" s="211"/>
      <c r="H55" s="211"/>
      <c r="I55" s="212"/>
    </row>
    <row r="56" spans="1:15" ht="18.75" customHeight="1" x14ac:dyDescent="0.15">
      <c r="A56" s="1"/>
      <c r="B56" s="210"/>
      <c r="C56" s="211"/>
      <c r="D56" s="211"/>
      <c r="E56" s="211"/>
      <c r="F56" s="211"/>
      <c r="G56" s="211"/>
      <c r="H56" s="211"/>
      <c r="I56" s="212"/>
    </row>
    <row r="57" spans="1:15" ht="18.75" customHeight="1" x14ac:dyDescent="0.15">
      <c r="A57" s="1"/>
      <c r="B57" s="210"/>
      <c r="C57" s="211"/>
      <c r="D57" s="211"/>
      <c r="E57" s="211"/>
      <c r="F57" s="211"/>
      <c r="G57" s="211"/>
      <c r="H57" s="211"/>
      <c r="I57" s="212"/>
    </row>
    <row r="58" spans="1:15" ht="18.75" customHeight="1" x14ac:dyDescent="0.15">
      <c r="A58" s="1"/>
      <c r="B58" s="210"/>
      <c r="C58" s="211"/>
      <c r="D58" s="211"/>
      <c r="E58" s="211"/>
      <c r="F58" s="211"/>
      <c r="G58" s="211"/>
      <c r="H58" s="211"/>
      <c r="I58" s="212"/>
    </row>
    <row r="59" spans="1:15" ht="18.75" customHeight="1" x14ac:dyDescent="0.15">
      <c r="A59" s="1"/>
      <c r="B59" s="210"/>
      <c r="C59" s="211"/>
      <c r="D59" s="211"/>
      <c r="E59" s="211"/>
      <c r="F59" s="211"/>
      <c r="G59" s="211"/>
      <c r="H59" s="211"/>
      <c r="I59" s="212"/>
    </row>
    <row r="60" spans="1:15" ht="18.75" customHeight="1" x14ac:dyDescent="0.15">
      <c r="A60" s="1"/>
      <c r="B60" s="210"/>
      <c r="C60" s="211"/>
      <c r="D60" s="211"/>
      <c r="E60" s="211"/>
      <c r="F60" s="211"/>
      <c r="G60" s="211"/>
      <c r="H60" s="211"/>
      <c r="I60" s="212"/>
    </row>
    <row r="61" spans="1:15" ht="18.75" customHeight="1" x14ac:dyDescent="0.15">
      <c r="A61" s="1"/>
      <c r="B61" s="210"/>
      <c r="C61" s="211"/>
      <c r="D61" s="211"/>
      <c r="E61" s="211"/>
      <c r="F61" s="211"/>
      <c r="G61" s="211"/>
      <c r="H61" s="211"/>
      <c r="I61" s="212"/>
    </row>
    <row r="62" spans="1:15" ht="18.75" customHeight="1" x14ac:dyDescent="0.15">
      <c r="A62" s="1"/>
      <c r="B62" s="210"/>
      <c r="C62" s="211"/>
      <c r="D62" s="211"/>
      <c r="E62" s="211"/>
      <c r="F62" s="211"/>
      <c r="G62" s="211"/>
      <c r="H62" s="211"/>
      <c r="I62" s="212"/>
    </row>
    <row r="63" spans="1:15" ht="18.75" customHeight="1" x14ac:dyDescent="0.15">
      <c r="A63" s="1"/>
      <c r="B63" s="213"/>
      <c r="C63" s="214"/>
      <c r="D63" s="214"/>
      <c r="E63" s="214"/>
      <c r="F63" s="214"/>
      <c r="G63" s="214"/>
      <c r="H63" s="214"/>
      <c r="I63" s="215"/>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8" t="s">
        <v>171</v>
      </c>
      <c r="C66" s="189"/>
      <c r="D66" s="189"/>
      <c r="E66" s="189"/>
      <c r="F66" s="189"/>
      <c r="G66" s="189"/>
      <c r="H66" s="189"/>
      <c r="I66" s="190"/>
    </row>
    <row r="67" spans="1:9" ht="18.75" customHeight="1" x14ac:dyDescent="0.15">
      <c r="A67" s="4"/>
      <c r="B67" s="191"/>
      <c r="C67" s="192"/>
      <c r="D67" s="192"/>
      <c r="E67" s="192"/>
      <c r="F67" s="192"/>
      <c r="G67" s="192"/>
      <c r="H67" s="192"/>
      <c r="I67" s="193"/>
    </row>
    <row r="68" spans="1:9" ht="18.75" customHeight="1" x14ac:dyDescent="0.15">
      <c r="A68" s="4"/>
      <c r="B68" s="191"/>
      <c r="C68" s="192"/>
      <c r="D68" s="192"/>
      <c r="E68" s="192"/>
      <c r="F68" s="192"/>
      <c r="G68" s="192"/>
      <c r="H68" s="192"/>
      <c r="I68" s="193"/>
    </row>
    <row r="69" spans="1:9" ht="18.75" customHeight="1" x14ac:dyDescent="0.15">
      <c r="A69" s="4"/>
      <c r="B69" s="191"/>
      <c r="C69" s="192"/>
      <c r="D69" s="192"/>
      <c r="E69" s="192"/>
      <c r="F69" s="192"/>
      <c r="G69" s="192"/>
      <c r="H69" s="192"/>
      <c r="I69" s="193"/>
    </row>
    <row r="70" spans="1:9" ht="18.75" customHeight="1" x14ac:dyDescent="0.15">
      <c r="A70" s="4"/>
      <c r="B70" s="191"/>
      <c r="C70" s="192"/>
      <c r="D70" s="192"/>
      <c r="E70" s="192"/>
      <c r="F70" s="192"/>
      <c r="G70" s="192"/>
      <c r="H70" s="192"/>
      <c r="I70" s="193"/>
    </row>
    <row r="71" spans="1:9" ht="18.75" customHeight="1" x14ac:dyDescent="0.15">
      <c r="A71" s="4"/>
      <c r="B71" s="191"/>
      <c r="C71" s="192"/>
      <c r="D71" s="192"/>
      <c r="E71" s="192"/>
      <c r="F71" s="192"/>
      <c r="G71" s="192"/>
      <c r="H71" s="192"/>
      <c r="I71" s="193"/>
    </row>
    <row r="72" spans="1:9" ht="18.75" customHeight="1" x14ac:dyDescent="0.15">
      <c r="A72" s="4"/>
      <c r="B72" s="191"/>
      <c r="C72" s="192"/>
      <c r="D72" s="192"/>
      <c r="E72" s="192"/>
      <c r="F72" s="192"/>
      <c r="G72" s="192"/>
      <c r="H72" s="192"/>
      <c r="I72" s="193"/>
    </row>
    <row r="73" spans="1:9" ht="18.75" customHeight="1" x14ac:dyDescent="0.15">
      <c r="A73" s="4"/>
      <c r="B73" s="191"/>
      <c r="C73" s="192"/>
      <c r="D73" s="192"/>
      <c r="E73" s="192"/>
      <c r="F73" s="192"/>
      <c r="G73" s="192"/>
      <c r="H73" s="192"/>
      <c r="I73" s="193"/>
    </row>
    <row r="74" spans="1:9" ht="18.75" customHeight="1" x14ac:dyDescent="0.15">
      <c r="A74" s="4"/>
      <c r="B74" s="191"/>
      <c r="C74" s="192"/>
      <c r="D74" s="192"/>
      <c r="E74" s="192"/>
      <c r="F74" s="192"/>
      <c r="G74" s="192"/>
      <c r="H74" s="192"/>
      <c r="I74" s="193"/>
    </row>
    <row r="75" spans="1:9" ht="18.75" customHeight="1" x14ac:dyDescent="0.15">
      <c r="A75" s="4"/>
      <c r="B75" s="191"/>
      <c r="C75" s="192"/>
      <c r="D75" s="192"/>
      <c r="E75" s="192"/>
      <c r="F75" s="192"/>
      <c r="G75" s="192"/>
      <c r="H75" s="192"/>
      <c r="I75" s="193"/>
    </row>
    <row r="76" spans="1:9" ht="18.75" customHeight="1" x14ac:dyDescent="0.15">
      <c r="A76" s="4"/>
      <c r="B76" s="191"/>
      <c r="C76" s="192"/>
      <c r="D76" s="192"/>
      <c r="E76" s="192"/>
      <c r="F76" s="192"/>
      <c r="G76" s="192"/>
      <c r="H76" s="192"/>
      <c r="I76" s="193"/>
    </row>
    <row r="77" spans="1:9" ht="18.75" customHeight="1" x14ac:dyDescent="0.15">
      <c r="A77" s="4"/>
      <c r="B77" s="194"/>
      <c r="C77" s="195"/>
      <c r="D77" s="195"/>
      <c r="E77" s="195"/>
      <c r="F77" s="195"/>
      <c r="G77" s="195"/>
      <c r="H77" s="195"/>
      <c r="I77" s="196"/>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7" t="s">
        <v>187</v>
      </c>
      <c r="C80" s="198"/>
      <c r="D80" s="198"/>
      <c r="E80" s="198"/>
      <c r="F80" s="198"/>
      <c r="G80" s="198"/>
      <c r="H80" s="198"/>
      <c r="I80" s="199"/>
    </row>
    <row r="81" spans="1:9" ht="18.75" customHeight="1" x14ac:dyDescent="0.15">
      <c r="A81" s="1"/>
      <c r="B81" s="200"/>
      <c r="C81" s="201"/>
      <c r="D81" s="201"/>
      <c r="E81" s="201"/>
      <c r="F81" s="201"/>
      <c r="G81" s="201"/>
      <c r="H81" s="201"/>
      <c r="I81" s="202"/>
    </row>
    <row r="82" spans="1:9" ht="18.75" customHeight="1" x14ac:dyDescent="0.15">
      <c r="A82" s="1"/>
      <c r="B82" s="200"/>
      <c r="C82" s="201"/>
      <c r="D82" s="201"/>
      <c r="E82" s="201"/>
      <c r="F82" s="201"/>
      <c r="G82" s="201"/>
      <c r="H82" s="201"/>
      <c r="I82" s="202"/>
    </row>
    <row r="83" spans="1:9" ht="18.75" customHeight="1" x14ac:dyDescent="0.15">
      <c r="A83" s="1"/>
      <c r="B83" s="200"/>
      <c r="C83" s="201"/>
      <c r="D83" s="201"/>
      <c r="E83" s="201"/>
      <c r="F83" s="201"/>
      <c r="G83" s="201"/>
      <c r="H83" s="201"/>
      <c r="I83" s="202"/>
    </row>
    <row r="84" spans="1:9" ht="18.75" customHeight="1" x14ac:dyDescent="0.15">
      <c r="A84" s="1"/>
      <c r="B84" s="200"/>
      <c r="C84" s="201"/>
      <c r="D84" s="201"/>
      <c r="E84" s="201"/>
      <c r="F84" s="201"/>
      <c r="G84" s="201"/>
      <c r="H84" s="201"/>
      <c r="I84" s="202"/>
    </row>
    <row r="85" spans="1:9" ht="18.75" customHeight="1" x14ac:dyDescent="0.15">
      <c r="A85" s="1"/>
      <c r="B85" s="200"/>
      <c r="C85" s="201"/>
      <c r="D85" s="201"/>
      <c r="E85" s="201"/>
      <c r="F85" s="201"/>
      <c r="G85" s="201"/>
      <c r="H85" s="201"/>
      <c r="I85" s="202"/>
    </row>
    <row r="86" spans="1:9" ht="18.75" customHeight="1" x14ac:dyDescent="0.15">
      <c r="A86" s="1"/>
      <c r="B86" s="200"/>
      <c r="C86" s="201"/>
      <c r="D86" s="201"/>
      <c r="E86" s="201"/>
      <c r="F86" s="201"/>
      <c r="G86" s="201"/>
      <c r="H86" s="201"/>
      <c r="I86" s="202"/>
    </row>
    <row r="87" spans="1:9" ht="18.75" customHeight="1" x14ac:dyDescent="0.15">
      <c r="A87" s="1"/>
      <c r="B87" s="200"/>
      <c r="C87" s="201"/>
      <c r="D87" s="201"/>
      <c r="E87" s="201"/>
      <c r="F87" s="201"/>
      <c r="G87" s="201"/>
      <c r="H87" s="201"/>
      <c r="I87" s="202"/>
    </row>
    <row r="88" spans="1:9" ht="18.75" customHeight="1" x14ac:dyDescent="0.15">
      <c r="A88" s="1"/>
      <c r="B88" s="200"/>
      <c r="C88" s="201"/>
      <c r="D88" s="201"/>
      <c r="E88" s="201"/>
      <c r="F88" s="201"/>
      <c r="G88" s="201"/>
      <c r="H88" s="201"/>
      <c r="I88" s="202"/>
    </row>
    <row r="89" spans="1:9" ht="18.75" customHeight="1" x14ac:dyDescent="0.15">
      <c r="A89" s="1"/>
      <c r="B89" s="200"/>
      <c r="C89" s="201"/>
      <c r="D89" s="201"/>
      <c r="E89" s="201"/>
      <c r="F89" s="201"/>
      <c r="G89" s="201"/>
      <c r="H89" s="201"/>
      <c r="I89" s="202"/>
    </row>
    <row r="90" spans="1:9" ht="18.75" customHeight="1" x14ac:dyDescent="0.15">
      <c r="A90" s="4"/>
      <c r="B90" s="200"/>
      <c r="C90" s="201"/>
      <c r="D90" s="201"/>
      <c r="E90" s="201"/>
      <c r="F90" s="201"/>
      <c r="G90" s="201"/>
      <c r="H90" s="201"/>
      <c r="I90" s="202"/>
    </row>
    <row r="91" spans="1:9" ht="18.75" customHeight="1" x14ac:dyDescent="0.15">
      <c r="A91" s="4"/>
      <c r="B91" s="203"/>
      <c r="C91" s="204"/>
      <c r="D91" s="204"/>
      <c r="E91" s="204"/>
      <c r="F91" s="204"/>
      <c r="G91" s="204"/>
      <c r="H91" s="204"/>
      <c r="I91" s="205"/>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37" t="s">
        <v>188</v>
      </c>
      <c r="C94" s="238"/>
      <c r="D94" s="238"/>
      <c r="E94" s="238"/>
      <c r="F94" s="238"/>
      <c r="G94" s="238"/>
      <c r="H94" s="238"/>
      <c r="I94" s="239"/>
    </row>
    <row r="95" spans="1:9" ht="18.75" customHeight="1" x14ac:dyDescent="0.15">
      <c r="A95" s="1"/>
      <c r="B95" s="240"/>
      <c r="C95" s="241"/>
      <c r="D95" s="241"/>
      <c r="E95" s="241"/>
      <c r="F95" s="241"/>
      <c r="G95" s="241"/>
      <c r="H95" s="241"/>
      <c r="I95" s="242"/>
    </row>
    <row r="96" spans="1:9" ht="18.75" customHeight="1" x14ac:dyDescent="0.15">
      <c r="A96" s="1"/>
      <c r="B96" s="240"/>
      <c r="C96" s="241"/>
      <c r="D96" s="241"/>
      <c r="E96" s="241"/>
      <c r="F96" s="241"/>
      <c r="G96" s="241"/>
      <c r="H96" s="241"/>
      <c r="I96" s="242"/>
    </row>
    <row r="97" spans="1:9" ht="18.75" customHeight="1" x14ac:dyDescent="0.15">
      <c r="A97" s="1"/>
      <c r="B97" s="240"/>
      <c r="C97" s="241"/>
      <c r="D97" s="241"/>
      <c r="E97" s="241"/>
      <c r="F97" s="241"/>
      <c r="G97" s="241"/>
      <c r="H97" s="241"/>
      <c r="I97" s="242"/>
    </row>
    <row r="98" spans="1:9" ht="18.75" customHeight="1" x14ac:dyDescent="0.15">
      <c r="A98" s="1"/>
      <c r="B98" s="240"/>
      <c r="C98" s="241"/>
      <c r="D98" s="241"/>
      <c r="E98" s="241"/>
      <c r="F98" s="241"/>
      <c r="G98" s="241"/>
      <c r="H98" s="241"/>
      <c r="I98" s="242"/>
    </row>
    <row r="99" spans="1:9" ht="18.75" customHeight="1" x14ac:dyDescent="0.15">
      <c r="A99" s="1"/>
      <c r="B99" s="240"/>
      <c r="C99" s="241"/>
      <c r="D99" s="241"/>
      <c r="E99" s="241"/>
      <c r="F99" s="241"/>
      <c r="G99" s="241"/>
      <c r="H99" s="241"/>
      <c r="I99" s="242"/>
    </row>
    <row r="100" spans="1:9" ht="18.75" customHeight="1" x14ac:dyDescent="0.15">
      <c r="A100" s="1"/>
      <c r="B100" s="240"/>
      <c r="C100" s="241"/>
      <c r="D100" s="241"/>
      <c r="E100" s="241"/>
      <c r="F100" s="241"/>
      <c r="G100" s="241"/>
      <c r="H100" s="241"/>
      <c r="I100" s="242"/>
    </row>
    <row r="101" spans="1:9" ht="18.75" customHeight="1" x14ac:dyDescent="0.15">
      <c r="A101" s="1"/>
      <c r="B101" s="240"/>
      <c r="C101" s="241"/>
      <c r="D101" s="241"/>
      <c r="E101" s="241"/>
      <c r="F101" s="241"/>
      <c r="G101" s="241"/>
      <c r="H101" s="241"/>
      <c r="I101" s="242"/>
    </row>
    <row r="102" spans="1:9" ht="18.75" customHeight="1" x14ac:dyDescent="0.15">
      <c r="A102" s="1"/>
      <c r="B102" s="240"/>
      <c r="C102" s="241"/>
      <c r="D102" s="241"/>
      <c r="E102" s="241"/>
      <c r="F102" s="241"/>
      <c r="G102" s="241"/>
      <c r="H102" s="241"/>
      <c r="I102" s="242"/>
    </row>
    <row r="103" spans="1:9" ht="18.75" customHeight="1" x14ac:dyDescent="0.15">
      <c r="A103" s="1"/>
      <c r="B103" s="240"/>
      <c r="C103" s="241"/>
      <c r="D103" s="241"/>
      <c r="E103" s="241"/>
      <c r="F103" s="241"/>
      <c r="G103" s="241"/>
      <c r="H103" s="241"/>
      <c r="I103" s="242"/>
    </row>
    <row r="104" spans="1:9" ht="18.75" customHeight="1" x14ac:dyDescent="0.15">
      <c r="A104" s="1"/>
      <c r="B104" s="240"/>
      <c r="C104" s="241"/>
      <c r="D104" s="241"/>
      <c r="E104" s="241"/>
      <c r="F104" s="241"/>
      <c r="G104" s="241"/>
      <c r="H104" s="241"/>
      <c r="I104" s="242"/>
    </row>
    <row r="105" spans="1:9" ht="18.75" customHeight="1" x14ac:dyDescent="0.15">
      <c r="A105" s="4"/>
      <c r="B105" s="243"/>
      <c r="C105" s="244"/>
      <c r="D105" s="244"/>
      <c r="E105" s="244"/>
      <c r="F105" s="244"/>
      <c r="G105" s="244"/>
      <c r="H105" s="244"/>
      <c r="I105" s="245"/>
    </row>
    <row r="106" spans="1:9" ht="7.5" customHeight="1" x14ac:dyDescent="0.15">
      <c r="A106" s="4"/>
      <c r="B106" s="4"/>
      <c r="C106" s="4"/>
      <c r="D106" s="4"/>
      <c r="E106" s="4"/>
      <c r="F106" s="4"/>
      <c r="G106" s="4"/>
      <c r="H106" s="4"/>
      <c r="I106" s="4"/>
    </row>
    <row r="107" spans="1:9" ht="18.75" customHeight="1" x14ac:dyDescent="0.15">
      <c r="A107" s="1" t="s">
        <v>30</v>
      </c>
      <c r="B107" s="246" t="s">
        <v>44</v>
      </c>
      <c r="C107" s="246"/>
      <c r="D107" s="246"/>
      <c r="E107" s="246"/>
      <c r="F107" s="246"/>
      <c r="G107" s="246"/>
      <c r="H107" s="246"/>
      <c r="I107" s="246"/>
    </row>
    <row r="108" spans="1:9" ht="18.75" customHeight="1" x14ac:dyDescent="0.15">
      <c r="A108" s="4"/>
      <c r="B108" s="237" t="s">
        <v>189</v>
      </c>
      <c r="C108" s="238"/>
      <c r="D108" s="238"/>
      <c r="E108" s="238"/>
      <c r="F108" s="238"/>
      <c r="G108" s="238"/>
      <c r="H108" s="238"/>
      <c r="I108" s="239"/>
    </row>
    <row r="109" spans="1:9" ht="18.75" customHeight="1" x14ac:dyDescent="0.15">
      <c r="A109" s="4"/>
      <c r="B109" s="240"/>
      <c r="C109" s="241"/>
      <c r="D109" s="241"/>
      <c r="E109" s="241"/>
      <c r="F109" s="241"/>
      <c r="G109" s="241"/>
      <c r="H109" s="241"/>
      <c r="I109" s="242"/>
    </row>
    <row r="110" spans="1:9" ht="18.75" customHeight="1" x14ac:dyDescent="0.15">
      <c r="A110" s="4"/>
      <c r="B110" s="240"/>
      <c r="C110" s="241"/>
      <c r="D110" s="241"/>
      <c r="E110" s="241"/>
      <c r="F110" s="241"/>
      <c r="G110" s="241"/>
      <c r="H110" s="241"/>
      <c r="I110" s="242"/>
    </row>
    <row r="111" spans="1:9" ht="18.75" customHeight="1" x14ac:dyDescent="0.15">
      <c r="A111" s="4"/>
      <c r="B111" s="240"/>
      <c r="C111" s="241"/>
      <c r="D111" s="241"/>
      <c r="E111" s="241"/>
      <c r="F111" s="241"/>
      <c r="G111" s="241"/>
      <c r="H111" s="241"/>
      <c r="I111" s="242"/>
    </row>
    <row r="112" spans="1:9" ht="18.75" customHeight="1" x14ac:dyDescent="0.15">
      <c r="A112" s="4"/>
      <c r="B112" s="240"/>
      <c r="C112" s="241"/>
      <c r="D112" s="241"/>
      <c r="E112" s="241"/>
      <c r="F112" s="241"/>
      <c r="G112" s="241"/>
      <c r="H112" s="241"/>
      <c r="I112" s="242"/>
    </row>
    <row r="113" spans="1:9" ht="18.75" customHeight="1" x14ac:dyDescent="0.15">
      <c r="A113" s="4"/>
      <c r="B113" s="240"/>
      <c r="C113" s="241"/>
      <c r="D113" s="241"/>
      <c r="E113" s="241"/>
      <c r="F113" s="241"/>
      <c r="G113" s="241"/>
      <c r="H113" s="241"/>
      <c r="I113" s="242"/>
    </row>
    <row r="114" spans="1:9" ht="18.75" customHeight="1" x14ac:dyDescent="0.15">
      <c r="A114" s="4"/>
      <c r="B114" s="240"/>
      <c r="C114" s="241"/>
      <c r="D114" s="241"/>
      <c r="E114" s="241"/>
      <c r="F114" s="241"/>
      <c r="G114" s="241"/>
      <c r="H114" s="241"/>
      <c r="I114" s="242"/>
    </row>
    <row r="115" spans="1:9" ht="18.75" customHeight="1" x14ac:dyDescent="0.15">
      <c r="A115" s="4"/>
      <c r="B115" s="240"/>
      <c r="C115" s="241"/>
      <c r="D115" s="241"/>
      <c r="E115" s="241"/>
      <c r="F115" s="241"/>
      <c r="G115" s="241"/>
      <c r="H115" s="241"/>
      <c r="I115" s="242"/>
    </row>
    <row r="116" spans="1:9" ht="18.75" customHeight="1" x14ac:dyDescent="0.15">
      <c r="A116" s="4"/>
      <c r="B116" s="240"/>
      <c r="C116" s="241"/>
      <c r="D116" s="241"/>
      <c r="E116" s="241"/>
      <c r="F116" s="241"/>
      <c r="G116" s="241"/>
      <c r="H116" s="241"/>
      <c r="I116" s="242"/>
    </row>
    <row r="117" spans="1:9" ht="18.75" customHeight="1" x14ac:dyDescent="0.15">
      <c r="A117" s="4"/>
      <c r="B117" s="240"/>
      <c r="C117" s="241"/>
      <c r="D117" s="241"/>
      <c r="E117" s="241"/>
      <c r="F117" s="241"/>
      <c r="G117" s="241"/>
      <c r="H117" s="241"/>
      <c r="I117" s="242"/>
    </row>
    <row r="118" spans="1:9" ht="18.75" customHeight="1" x14ac:dyDescent="0.15">
      <c r="A118" s="4"/>
      <c r="B118" s="240"/>
      <c r="C118" s="241"/>
      <c r="D118" s="241"/>
      <c r="E118" s="241"/>
      <c r="F118" s="241"/>
      <c r="G118" s="241"/>
      <c r="H118" s="241"/>
      <c r="I118" s="242"/>
    </row>
    <row r="119" spans="1:9" ht="18.75" customHeight="1" x14ac:dyDescent="0.15">
      <c r="A119" s="4"/>
      <c r="B119" s="243"/>
      <c r="C119" s="244"/>
      <c r="D119" s="244"/>
      <c r="E119" s="244"/>
      <c r="F119" s="244"/>
      <c r="G119" s="244"/>
      <c r="H119" s="244"/>
      <c r="I119" s="245"/>
    </row>
    <row r="120" spans="1:9" ht="7.5" customHeight="1" x14ac:dyDescent="0.15">
      <c r="A120" s="4"/>
      <c r="B120" s="25"/>
      <c r="C120" s="25"/>
      <c r="D120" s="25"/>
      <c r="E120" s="25"/>
      <c r="F120" s="25"/>
      <c r="G120" s="25"/>
      <c r="H120" s="25"/>
      <c r="I120" s="25"/>
    </row>
    <row r="121" spans="1:9" ht="18.75" customHeight="1" x14ac:dyDescent="0.15">
      <c r="A121" s="51"/>
      <c r="B121" s="216"/>
      <c r="C121" s="216"/>
      <c r="D121" s="216"/>
      <c r="E121" s="216"/>
      <c r="F121" s="216"/>
      <c r="G121" s="216"/>
      <c r="H121" s="216"/>
      <c r="I121" s="216"/>
    </row>
    <row r="122" spans="1:9" ht="18.75" customHeight="1" x14ac:dyDescent="0.15">
      <c r="A122" s="51"/>
      <c r="B122" s="216"/>
      <c r="C122" s="216"/>
      <c r="D122" s="216"/>
      <c r="E122" s="216"/>
      <c r="F122" s="216"/>
      <c r="G122" s="216"/>
      <c r="H122" s="216"/>
      <c r="I122" s="216"/>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115" zoomScaleNormal="115" zoomScaleSheetLayoutView="70" workbookViewId="0">
      <selection activeCell="A3" sqref="A3:I3"/>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昭和薬科大学</v>
      </c>
    </row>
    <row r="3" spans="1:9" ht="18.75" customHeight="1" x14ac:dyDescent="0.15">
      <c r="A3" s="133" t="s">
        <v>28</v>
      </c>
      <c r="B3" s="133"/>
      <c r="C3" s="133"/>
      <c r="D3" s="133"/>
      <c r="E3" s="133"/>
      <c r="F3" s="133"/>
      <c r="G3" s="133"/>
      <c r="H3" s="133"/>
      <c r="I3" s="133"/>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31" t="s">
        <v>195</v>
      </c>
      <c r="C6" s="275"/>
      <c r="D6" s="275"/>
      <c r="E6" s="275"/>
      <c r="F6" s="275"/>
      <c r="G6" s="275"/>
      <c r="H6" s="276"/>
      <c r="I6" s="3"/>
    </row>
    <row r="7" spans="1:9" ht="9" customHeight="1" x14ac:dyDescent="0.15">
      <c r="A7" s="5"/>
      <c r="B7" s="10"/>
      <c r="C7" s="10"/>
      <c r="D7" s="10"/>
      <c r="E7" s="10"/>
      <c r="F7" s="10"/>
      <c r="G7" s="10"/>
      <c r="H7" s="10"/>
      <c r="I7" s="3"/>
    </row>
    <row r="8" spans="1:9" ht="18.75" customHeight="1" x14ac:dyDescent="0.15">
      <c r="A8" s="5"/>
      <c r="B8" s="3"/>
      <c r="C8" s="3"/>
      <c r="D8" s="18" t="s">
        <v>41</v>
      </c>
      <c r="E8" s="19" t="s">
        <v>172</v>
      </c>
      <c r="F8" s="3"/>
      <c r="G8" s="18" t="s">
        <v>10</v>
      </c>
      <c r="H8" s="19" t="s">
        <v>173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26" t="s">
        <v>14</v>
      </c>
      <c r="C12" s="33"/>
      <c r="D12" s="27"/>
      <c r="E12" s="34"/>
      <c r="F12" s="34"/>
      <c r="G12" s="34"/>
      <c r="H12" s="34"/>
      <c r="I12" s="27"/>
    </row>
    <row r="13" spans="1:9" ht="210.75" customHeight="1" x14ac:dyDescent="0.15">
      <c r="B13" s="28"/>
      <c r="C13" s="255" t="s">
        <v>15</v>
      </c>
      <c r="D13" s="256"/>
      <c r="E13" s="271" t="s">
        <v>197</v>
      </c>
      <c r="F13" s="257"/>
      <c r="G13" s="257"/>
      <c r="H13" s="257"/>
      <c r="I13" s="258"/>
    </row>
    <row r="14" spans="1:9" ht="210.75" customHeight="1" x14ac:dyDescent="0.15">
      <c r="B14" s="28"/>
      <c r="C14" s="273" t="s">
        <v>16</v>
      </c>
      <c r="D14" s="274"/>
      <c r="E14" s="268" t="s">
        <v>174</v>
      </c>
      <c r="F14" s="269"/>
      <c r="G14" s="269"/>
      <c r="H14" s="269"/>
      <c r="I14" s="270"/>
    </row>
    <row r="15" spans="1:9" ht="210.75" customHeight="1" x14ac:dyDescent="0.15">
      <c r="B15" s="28"/>
      <c r="C15" s="255" t="s">
        <v>17</v>
      </c>
      <c r="D15" s="256"/>
      <c r="E15" s="268" t="s">
        <v>175</v>
      </c>
      <c r="F15" s="269"/>
      <c r="G15" s="269"/>
      <c r="H15" s="269"/>
      <c r="I15" s="270"/>
    </row>
    <row r="16" spans="1:9" ht="210.75" customHeight="1" x14ac:dyDescent="0.15">
      <c r="B16" s="28"/>
      <c r="C16" s="255" t="s">
        <v>18</v>
      </c>
      <c r="D16" s="256"/>
      <c r="E16" s="271" t="s">
        <v>190</v>
      </c>
      <c r="F16" s="257"/>
      <c r="G16" s="257"/>
      <c r="H16" s="257"/>
      <c r="I16" s="258"/>
    </row>
    <row r="17" spans="2:9" ht="210.75" customHeight="1" x14ac:dyDescent="0.15">
      <c r="B17" s="29"/>
      <c r="C17" s="259" t="s">
        <v>19</v>
      </c>
      <c r="D17" s="260"/>
      <c r="E17" s="272" t="s">
        <v>191</v>
      </c>
      <c r="F17" s="261"/>
      <c r="G17" s="261"/>
      <c r="H17" s="261"/>
      <c r="I17" s="262"/>
    </row>
    <row r="18" spans="2:9" ht="24" customHeight="1" x14ac:dyDescent="0.15">
      <c r="B18" s="26" t="s">
        <v>20</v>
      </c>
      <c r="C18" s="30"/>
      <c r="D18" s="31"/>
      <c r="E18" s="32"/>
      <c r="F18" s="32"/>
      <c r="G18" s="32"/>
      <c r="H18" s="32"/>
      <c r="I18" s="35"/>
    </row>
    <row r="19" spans="2:9" ht="218.25" customHeight="1" x14ac:dyDescent="0.15">
      <c r="B19" s="28"/>
      <c r="C19" s="255" t="s">
        <v>21</v>
      </c>
      <c r="D19" s="256"/>
      <c r="E19" s="257" t="s">
        <v>192</v>
      </c>
      <c r="F19" s="257"/>
      <c r="G19" s="257"/>
      <c r="H19" s="257"/>
      <c r="I19" s="258"/>
    </row>
    <row r="20" spans="2:9" ht="218.25" customHeight="1" x14ac:dyDescent="0.15">
      <c r="B20" s="29"/>
      <c r="C20" s="259" t="s">
        <v>22</v>
      </c>
      <c r="D20" s="260"/>
      <c r="E20" s="261" t="s">
        <v>193</v>
      </c>
      <c r="F20" s="261"/>
      <c r="G20" s="261"/>
      <c r="H20" s="261"/>
      <c r="I20" s="262"/>
    </row>
    <row r="21" spans="2:9" ht="218.25" customHeight="1" x14ac:dyDescent="0.15">
      <c r="B21" s="263" t="s">
        <v>23</v>
      </c>
      <c r="C21" s="264"/>
      <c r="D21" s="265"/>
      <c r="E21" s="266" t="s">
        <v>194</v>
      </c>
      <c r="F21" s="266"/>
      <c r="G21" s="266"/>
      <c r="H21" s="266"/>
      <c r="I21" s="267"/>
    </row>
    <row r="22" spans="2:9" ht="218.25" customHeight="1" x14ac:dyDescent="0.15">
      <c r="B22" s="250" t="s">
        <v>121</v>
      </c>
      <c r="C22" s="251"/>
      <c r="D22" s="252"/>
      <c r="E22" s="253" t="s">
        <v>176</v>
      </c>
      <c r="F22" s="253"/>
      <c r="G22" s="253"/>
      <c r="H22" s="253"/>
      <c r="I22" s="25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Azusa Hara</dc:creator>
  <cp:lastModifiedBy>原 梓</cp:lastModifiedBy>
  <cp:lastPrinted>2025-07-09T01:44:17Z</cp:lastPrinted>
  <dcterms:created xsi:type="dcterms:W3CDTF">2011-06-14T05:32:50Z</dcterms:created>
  <dcterms:modified xsi:type="dcterms:W3CDTF">2025-07-10T05:12:01Z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