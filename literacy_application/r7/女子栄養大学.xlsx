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file\kyoyu\GakumuShare\数理・データサイエンス・AI教育プログラム認定制度\2025年度\★提出ファイル\"/>
    </mc:Choice>
  </mc:AlternateContent>
  <xr:revisionPtr revIDLastSave="0" documentId="13_ncr:1_{81E27840-05C7-44B2-90F4-C421D2B67C4B}" xr6:coauthVersionLast="47" xr6:coauthVersionMax="47" xr10:uidLastSave="{00000000-0000-0000-0000-000000000000}"/>
  <bookViews>
    <workbookView xWindow="-108" yWindow="-108" windowWidth="23256" windowHeight="12456"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プログラムを構成する授業科目'!$A$1:$U$107</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4" i="40" l="1"/>
  <c r="R14" i="40"/>
  <c r="S15" i="40"/>
  <c r="R15" i="40"/>
  <c r="R13" i="40"/>
  <c r="S13" i="40" s="1"/>
  <c r="M7" i="40" l="1"/>
  <c r="I2" i="42"/>
  <c r="H2" i="41"/>
  <c r="Q2" i="40"/>
  <c r="I33" i="40" l="1"/>
  <c r="M33" i="40"/>
  <c r="P33" i="40"/>
  <c r="Q33" i="40"/>
  <c r="O33" i="40"/>
  <c r="N33" i="40"/>
  <c r="L33" i="40"/>
  <c r="J33" i="40"/>
  <c r="K33" i="40"/>
  <c r="H33" i="40"/>
  <c r="R16" i="40" l="1"/>
  <c r="R17" i="40"/>
  <c r="R18" i="40"/>
  <c r="R19" i="40"/>
  <c r="R20" i="40"/>
  <c r="R21" i="40"/>
  <c r="R22" i="40"/>
  <c r="R23" i="40"/>
  <c r="R24" i="40"/>
  <c r="R25" i="40"/>
  <c r="R26" i="40"/>
  <c r="R27" i="40"/>
  <c r="R28" i="40"/>
  <c r="R29" i="40"/>
  <c r="R30" i="40"/>
  <c r="R31" i="40"/>
  <c r="R32" i="40"/>
  <c r="C33" i="40"/>
  <c r="G33" i="40" l="1"/>
  <c r="F33" i="40" l="1"/>
  <c r="E33" i="40"/>
  <c r="I50" i="41" s="1"/>
  <c r="D33" i="40"/>
  <c r="S32" i="40"/>
  <c r="S31" i="40"/>
  <c r="S30" i="40"/>
  <c r="S29" i="40"/>
  <c r="S28" i="40"/>
  <c r="S27" i="40"/>
  <c r="S26" i="40"/>
  <c r="S25" i="40"/>
  <c r="S24" i="40"/>
  <c r="S23" i="40"/>
  <c r="S22" i="40"/>
  <c r="S21" i="40"/>
  <c r="S20" i="40"/>
  <c r="S19" i="40"/>
  <c r="S18" i="40"/>
  <c r="S17" i="40"/>
  <c r="S16" i="40"/>
  <c r="R33" i="40" l="1"/>
  <c r="S33" i="40" l="1"/>
  <c r="C49" i="41" s="1"/>
</calcChain>
</file>

<file path=xl/sharedStrings.xml><?xml version="1.0" encoding="utf-8"?>
<sst xmlns="http://schemas.openxmlformats.org/spreadsheetml/2006/main" count="376" uniqueCount="198">
  <si>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</si>
  <si>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</si>
  <si>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</si>
  <si>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</si>
  <si>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</si>
  <si>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</si>
  <si>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</si>
  <si>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</si>
  <si>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</si>
  <si>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</si>
  <si>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</si>
  <si>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</si>
  <si>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</si>
  <si>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</si>
  <si>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</si>
  <si>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</si>
  <si>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</si>
  <si>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</si>
  <si>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</si>
  <si>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</si>
  <si>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</si>
  <si>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</si>
  <si>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</si>
  <si>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</si>
  <si>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</si>
  <si>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</si>
  <si>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</si>
  <si>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</si>
  <si>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</si>
  <si>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</si>
  <si>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</si>
  <si>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</si>
  <si>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</si>
  <si>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</si>
  <si>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</si>
  <si>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</si>
  <si>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</si>
  <si>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</si>
  <si>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</si>
  <si>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</si>
  <si>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</si>
  <si>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</si>
  <si>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</si>
  <si>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</si>
  <si>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</si>
  <si>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</si>
  <si>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</si>
  <si>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</si>
  <si>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</si>
  <si>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</si>
  <si>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</si>
  <si>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</si>
  <si>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</si>
  <si>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</si>
  <si>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</si>
  <si>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</si>
  <si>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</si>
  <si>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</si>
  <si>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</si>
  <si>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</si>
  <si>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</si>
  <si>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</si>
  <si>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</si>
  <si>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</si>
  <si>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</si>
  <si>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</si>
  <si>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</si>
  <si>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</si>
  <si>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</si>
  <si>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</si>
  <si>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</si>
  <si>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</si>
  <si>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</si>
  <si>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</si>
  <si>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</si>
  <si>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</si>
  <si>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</si>
  <si>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</si>
  <si>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</si>
  <si>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</si>
  <si>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</si>
  <si>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</si>
  <si>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</si>
  <si>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</si>
  <si>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</si>
  <si>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</si>
  <si>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</si>
  <si>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</si>
  <si>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</si>
  <si>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</si>
  <si>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</si>
  <si>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</si>
  <si>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</si>
  <si>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</si>
  <si>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</si>
  <si>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</si>
  <si>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</si>
  <si>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</si>
  <si>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</si>
  <si>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</si>
  <si>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</si>
  <si>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</si>
  <si>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</si>
  <si>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</si>
  <si>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</si>
  <si>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</si>
  <si>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</si>
  <si>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</si>
  <si>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</si>
  <si>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</si>
  <si>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</si>
  <si>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</si>
  <si>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</si>
  <si>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</si>
  <si>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</si>
  <si>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</si>
  <si>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</si>
  <si>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</si>
  <si>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</si>
  <si>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</si>
  <si>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</si>
  <si>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</si>
  <si>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</si>
  <si>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</si>
  <si>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</si>
  <si>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</si>
  <si>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</si>
  <si>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</si>
  <si>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</si>
  <si>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</si>
  <si>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</si>
  <si>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</si>
  <si>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</si>
  <si>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</si>
  <si>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</si>
  <si>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</si>
  <si>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</si>
  <si>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</si>
  <si>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</si>
  <si>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</si>
  <si>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</si>
  <si>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</si>
  <si>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</si>
  <si>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女子栄養大学</t>
    <rPh sb="0" eb="6">
      <t>ジョシエイヨウダイガク</t>
    </rPh>
    <phoneticPr fontId="1"/>
  </si>
  <si>
    <t>栄養学部・実践栄養学科</t>
    <rPh sb="0" eb="4">
      <t>エイヨウガクブ</t>
    </rPh>
    <rPh sb="5" eb="11">
      <t>ジッセンエイヨウガッカ</t>
    </rPh>
    <phoneticPr fontId="1"/>
  </si>
  <si>
    <t>栄養学部・保健栄養学科</t>
    <rPh sb="0" eb="4">
      <t>エイヨウガクブ</t>
    </rPh>
    <rPh sb="5" eb="11">
      <t>ホケンエイヨウガッカ</t>
    </rPh>
    <phoneticPr fontId="1"/>
  </si>
  <si>
    <t>栄養学部・食文化栄養学科</t>
    <rPh sb="0" eb="4">
      <t>エイヨウガクブ</t>
    </rPh>
    <rPh sb="5" eb="12">
      <t>ショクブンカエイヨウガッカ</t>
    </rPh>
    <phoneticPr fontId="1"/>
  </si>
  <si>
    <t>女子栄養大学データサイエンス教育運営委員会</t>
    <phoneticPr fontId="1"/>
  </si>
  <si>
    <t>女子栄養大学データサイエンス教育運営委員会規程</t>
    <phoneticPr fontId="1"/>
  </si>
  <si>
    <t>副学長（教学担当）</t>
    <rPh sb="0" eb="3">
      <t>フクガクチョウ</t>
    </rPh>
    <rPh sb="4" eb="8">
      <t>キョウガクタントウ</t>
    </rPh>
    <phoneticPr fontId="1"/>
  </si>
  <si>
    <t>令和6</t>
    <rPh sb="0" eb="2">
      <t>レイワ</t>
    </rPh>
    <phoneticPr fontId="1"/>
  </si>
  <si>
    <t>令和７年度入学生からは学部共通の必修科目をプログラムに取り込んでおり、履修者数及び履修率の向上を見込んでいる。</t>
    <rPh sb="27" eb="28">
      <t>ト</t>
    </rPh>
    <rPh sb="29" eb="30">
      <t>コ</t>
    </rPh>
    <rPh sb="35" eb="39">
      <t>リシュウシャスウ</t>
    </rPh>
    <rPh sb="39" eb="40">
      <t>オヨ</t>
    </rPh>
    <rPh sb="41" eb="44">
      <t>リシュウリツ</t>
    </rPh>
    <rPh sb="45" eb="47">
      <t>コウジョウ</t>
    </rPh>
    <rPh sb="48" eb="50">
      <t>ミコ</t>
    </rPh>
    <phoneticPr fontId="1"/>
  </si>
  <si>
    <t>内部質保証の一環として、学外からの意見を聞く機会はあるが、令和6年度はプログラム開始初年度であるため、学外者の意見に基づく点検・評価には至っていない。今後は、本学卒業生が多く就職する業界・分野を中心に、本プログラムへの意見を求めるとともに、教育内容への反映を検討する。</t>
    <rPh sb="0" eb="2">
      <t>ナイブ</t>
    </rPh>
    <rPh sb="2" eb="3">
      <t>シツ</t>
    </rPh>
    <rPh sb="3" eb="5">
      <t>ホショウ</t>
    </rPh>
    <rPh sb="6" eb="8">
      <t>イッカン</t>
    </rPh>
    <rPh sb="12" eb="14">
      <t>ガクガイ</t>
    </rPh>
    <rPh sb="17" eb="19">
      <t>イケン</t>
    </rPh>
    <rPh sb="20" eb="21">
      <t>キ</t>
    </rPh>
    <rPh sb="22" eb="24">
      <t>キカイ</t>
    </rPh>
    <rPh sb="29" eb="31">
      <t>レイワ</t>
    </rPh>
    <rPh sb="32" eb="34">
      <t>ネンド</t>
    </rPh>
    <rPh sb="40" eb="42">
      <t>カイシ</t>
    </rPh>
    <rPh sb="42" eb="45">
      <t>ショネンド</t>
    </rPh>
    <rPh sb="51" eb="54">
      <t>ガクガイシャ</t>
    </rPh>
    <rPh sb="55" eb="57">
      <t>イケン</t>
    </rPh>
    <rPh sb="58" eb="59">
      <t>モト</t>
    </rPh>
    <rPh sb="61" eb="63">
      <t>テンケン</t>
    </rPh>
    <rPh sb="64" eb="66">
      <t>ヒョウカ</t>
    </rPh>
    <rPh sb="68" eb="69">
      <t>イタ</t>
    </rPh>
    <rPh sb="75" eb="77">
      <t>コンゴ</t>
    </rPh>
    <rPh sb="79" eb="84">
      <t>ホンガクソツギョウセイ</t>
    </rPh>
    <rPh sb="85" eb="86">
      <t>オオ</t>
    </rPh>
    <rPh sb="87" eb="89">
      <t>シュウショク</t>
    </rPh>
    <rPh sb="91" eb="93">
      <t>ギョウカイ</t>
    </rPh>
    <rPh sb="94" eb="96">
      <t>ブンヤ</t>
    </rPh>
    <rPh sb="97" eb="99">
      <t>チュウシン</t>
    </rPh>
    <rPh sb="101" eb="102">
      <t>ホン</t>
    </rPh>
    <rPh sb="109" eb="111">
      <t>イケン</t>
    </rPh>
    <rPh sb="112" eb="113">
      <t>モト</t>
    </rPh>
    <rPh sb="120" eb="124">
      <t>キョウイクナイヨウ</t>
    </rPh>
    <rPh sb="126" eb="128">
      <t>ハンエイ</t>
    </rPh>
    <rPh sb="129" eb="131">
      <t>ケントウ</t>
    </rPh>
    <phoneticPr fontId="1"/>
  </si>
  <si>
    <t>疫学・生物統計学</t>
    <rPh sb="0" eb="2">
      <t>エキガク</t>
    </rPh>
    <rPh sb="3" eb="5">
      <t>セイブツ</t>
    </rPh>
    <rPh sb="5" eb="8">
      <t>トウケイガク</t>
    </rPh>
    <phoneticPr fontId="1"/>
  </si>
  <si>
    <t>○</t>
  </si>
  <si>
    <t>情報処理基礎実習</t>
    <rPh sb="0" eb="2">
      <t>ジョウホウ</t>
    </rPh>
    <rPh sb="2" eb="4">
      <t>ショリ</t>
    </rPh>
    <rPh sb="4" eb="8">
      <t>キソジッシュウ</t>
    </rPh>
    <phoneticPr fontId="1"/>
  </si>
  <si>
    <t>情報社会リテラシー論</t>
    <rPh sb="0" eb="2">
      <t>ジョウホウ</t>
    </rPh>
    <rPh sb="2" eb="4">
      <t>シャカイ</t>
    </rPh>
    <rPh sb="9" eb="10">
      <t>ロン</t>
    </rPh>
    <phoneticPr fontId="1"/>
  </si>
  <si>
    <t>情報処理実習</t>
    <rPh sb="0" eb="4">
      <t>ジョウホウショリ</t>
    </rPh>
    <rPh sb="4" eb="6">
      <t>ジッシュウ</t>
    </rPh>
    <phoneticPr fontId="1"/>
  </si>
  <si>
    <t>情報処理実習</t>
    <phoneticPr fontId="1"/>
  </si>
  <si>
    <t>情報社会リテラシー論</t>
    <phoneticPr fontId="1"/>
  </si>
  <si>
    <t>○実践栄養学科：大規模言語モデル，AI最新技術の活用例「情報処理基礎実習」（5回目）
○保健栄養学科
　・栄養科学専攻：生成AI，大規模言語モデル，強化学習，転移学習「情報処理統計学実習」（5回目）
　・保健養護専攻：AI最新技術の活用例「情報処理統計学実習」（3回目）
○食文化栄養学科：生成AI，大規模言語モデル，強化学習，転移学習「情報処理実習」（5回目）</t>
    <rPh sb="1" eb="7">
      <t>ジッセンエイヨウガッカ</t>
    </rPh>
    <rPh sb="8" eb="11">
      <t>ダイキボ</t>
    </rPh>
    <rPh sb="11" eb="13">
      <t>ゲンゴ</t>
    </rPh>
    <rPh sb="19" eb="21">
      <t>サイシン</t>
    </rPh>
    <rPh sb="21" eb="23">
      <t>ギジュツ</t>
    </rPh>
    <rPh sb="24" eb="27">
      <t>カツヨウレイ</t>
    </rPh>
    <rPh sb="28" eb="30">
      <t>ジョウホウ</t>
    </rPh>
    <rPh sb="30" eb="32">
      <t>ショリ</t>
    </rPh>
    <rPh sb="32" eb="36">
      <t>キソジッシュウ</t>
    </rPh>
    <rPh sb="39" eb="41">
      <t>カイメ</t>
    </rPh>
    <rPh sb="44" eb="50">
      <t>ホケンエイヨウガッカ</t>
    </rPh>
    <rPh sb="53" eb="59">
      <t>エイヨウカガクセンコウ</t>
    </rPh>
    <phoneticPr fontId="1"/>
  </si>
  <si>
    <t>○実践栄養学科：調査データ，実験データ「疫学・生物統計学」（1回目）
○保健栄養学科
　・栄養科学専攻：ログデータ，構造化データ，非構造化データ「情報処理統計学」（1回目）
　・保健養護専攻：調査データ，実験データ，１次データ，2次データ「情報処理統計学」（1回目）
○食文化栄養学科：調査データ，実験データ，人の行動ログデータ「情報社会リテラシー論」（2回目）</t>
    <rPh sb="1" eb="7">
      <t>ジッセンエイヨウガッカ</t>
    </rPh>
    <rPh sb="8" eb="10">
      <t>チョウサ</t>
    </rPh>
    <rPh sb="14" eb="16">
      <t>ジッケン</t>
    </rPh>
    <rPh sb="20" eb="22">
      <t>エキガク</t>
    </rPh>
    <rPh sb="23" eb="25">
      <t>セイブツ</t>
    </rPh>
    <rPh sb="25" eb="28">
      <t>トウケイガク</t>
    </rPh>
    <rPh sb="31" eb="33">
      <t>カイメ</t>
    </rPh>
    <rPh sb="36" eb="42">
      <t>ホケンエイヨウガッカ</t>
    </rPh>
    <rPh sb="45" eb="51">
      <t>エイヨウカガクセンコウ</t>
    </rPh>
    <rPh sb="89" eb="95">
      <t>ホケンヨウゴセンコウ</t>
    </rPh>
    <rPh sb="135" eb="142">
      <t>ショクブンカエイヨウガッカ</t>
    </rPh>
    <phoneticPr fontId="1"/>
  </si>
  <si>
    <t>○実践栄養学科：生産，消費，文化活動「情報処理基礎実習」（6回目）
○保健栄養学科
　・栄養科学専攻：生産，消費，文化活動，物流，製造，マーケティング，サービス「情報処理統計学実習」（6回目）
　・保健養護専攻：データ・AI活用領域の広がり（生産，消費，文化活動など）「情報処理統計学実習」（3回目）
○食文化栄養学科：生産，消費，文化活動，流通，製造，サービス，マーケティング「情報処理実習」（6回目）</t>
    <rPh sb="1" eb="7">
      <t>ジッセンエイヨウガッカ</t>
    </rPh>
    <rPh sb="8" eb="10">
      <t>セイサン</t>
    </rPh>
    <rPh sb="11" eb="13">
      <t>ショウヒ</t>
    </rPh>
    <rPh sb="14" eb="18">
      <t>ブンカカツドウ</t>
    </rPh>
    <rPh sb="19" eb="21">
      <t>ジョウホウ</t>
    </rPh>
    <rPh sb="21" eb="23">
      <t>ショリ</t>
    </rPh>
    <rPh sb="23" eb="27">
      <t>キソジッシュウ</t>
    </rPh>
    <rPh sb="30" eb="32">
      <t>カイメ</t>
    </rPh>
    <rPh sb="35" eb="41">
      <t>ホケンエイヨウガッカ</t>
    </rPh>
    <rPh sb="44" eb="50">
      <t>エイヨウカガクセンコウ</t>
    </rPh>
    <phoneticPr fontId="1"/>
  </si>
  <si>
    <t>○実践栄養学科：言語処理，画像処理，音声処理「情報処理基礎実習」（5回目）
○保健栄養学科
　・栄養科学専攻：データ解析，データ可視化「情報処理統計学実習」（7～16回目）
　・保健養護専攻：データ解析，データ可視化「情報処理統計学実習」（4～11回目）
○食文化栄養学科：データ解析，データ可視化「情報処理実習」（7～16回目）</t>
    <rPh sb="8" eb="10">
      <t>ゲンゴ</t>
    </rPh>
    <rPh sb="10" eb="12">
      <t>ショリ</t>
    </rPh>
    <rPh sb="13" eb="17">
      <t>ガゾウショリ</t>
    </rPh>
    <rPh sb="18" eb="22">
      <t>オンセイショリ</t>
    </rPh>
    <rPh sb="23" eb="25">
      <t>ジョウホウ</t>
    </rPh>
    <rPh sb="25" eb="27">
      <t>ショリ</t>
    </rPh>
    <rPh sb="27" eb="31">
      <t>キソジッシュウ</t>
    </rPh>
    <rPh sb="34" eb="36">
      <t>カイメ</t>
    </rPh>
    <rPh sb="39" eb="45">
      <t>ホケンエイヨウガッカ</t>
    </rPh>
    <rPh sb="48" eb="54">
      <t>エイヨウカガクセンコウ</t>
    </rPh>
    <phoneticPr fontId="1"/>
  </si>
  <si>
    <t>○実践栄養学科：流通，製造，サービス，インフラ，ヘルスケア「情報処理基礎実習」（6回目）
○保健栄養学科
　・栄養科学専攻：流通，製造，サービス，インフラ，問題解決に向けた提案「情報処理統計学実習」（6回目）
　・保健養護専攻：データの取得・管理・加工，探索的データ解析，データ解析と推論「情報処理統計学実習」（4～11回目）
○食文化栄養学科：流通，製造，サービス，インフラ，問題解決に向けた提案「情報処理実習」（6回目）</t>
    <rPh sb="8" eb="10">
      <t>リュウツウ</t>
    </rPh>
    <rPh sb="11" eb="13">
      <t>セイゾウ</t>
    </rPh>
    <rPh sb="30" eb="32">
      <t>ジョウホウ</t>
    </rPh>
    <rPh sb="32" eb="34">
      <t>ショリ</t>
    </rPh>
    <rPh sb="34" eb="38">
      <t>キソジッシュウ</t>
    </rPh>
    <rPh sb="41" eb="43">
      <t>カイメ</t>
    </rPh>
    <phoneticPr fontId="1"/>
  </si>
  <si>
    <t>○実践栄養学科：ELSI，個人情報保護，データ倫理「疫学・生物統計学」（14回目）
○保健栄養学科
　・栄養科学専攻：ELSI，データ倫理「情報処理統計学」（2回目）
　・保健養護専攻：個人情報保護，データ倫理「情報処理統計学」（14回目）
○食文化栄養学科：個人情報保護，プライバシー保護「情報社会リテラシー論」（4回目）</t>
    <rPh sb="13" eb="17">
      <t>コジンジョウホウ</t>
    </rPh>
    <rPh sb="17" eb="19">
      <t>ホゴ</t>
    </rPh>
    <rPh sb="23" eb="25">
      <t>リンリ</t>
    </rPh>
    <rPh sb="26" eb="28">
      <t>エキガク</t>
    </rPh>
    <rPh sb="29" eb="31">
      <t>セイブツ</t>
    </rPh>
    <rPh sb="31" eb="34">
      <t>トウケイガク</t>
    </rPh>
    <rPh sb="38" eb="40">
      <t>カイメ</t>
    </rPh>
    <phoneticPr fontId="1"/>
  </si>
  <si>
    <t>○実践栄養学科：情報セキュリティの３要素（機密性，完全性，可用性）「疫学・生物統計学」（14回目）
○保健栄養学科
　・栄養科学専攻：情報セキュリティの３要素（機密性，完全性，可用性），情報漏洩等におけるセキュリティ事故の事例紹介「情報処理統計学」（2回目）
　・保健養護専攻：情報セキュリティの３要素（機密性，完全性，可用性）「情報処理統計学」（14回目）
○食文化栄養学科：情報セキュリティの３要素（機密性，完全性，可用性）「情報社会リテラシー論」（4回目）</t>
    <rPh sb="8" eb="10">
      <t>ジョウホウ</t>
    </rPh>
    <rPh sb="18" eb="20">
      <t>ヨウソ</t>
    </rPh>
    <rPh sb="21" eb="24">
      <t>キミツセイ</t>
    </rPh>
    <rPh sb="25" eb="28">
      <t>カンゼンセイ</t>
    </rPh>
    <rPh sb="29" eb="32">
      <t>カヨウセイ</t>
    </rPh>
    <rPh sb="34" eb="36">
      <t>エキガク</t>
    </rPh>
    <rPh sb="37" eb="39">
      <t>セイブツ</t>
    </rPh>
    <rPh sb="39" eb="42">
      <t>トウケイガク</t>
    </rPh>
    <rPh sb="46" eb="48">
      <t>カイメ</t>
    </rPh>
    <phoneticPr fontId="1"/>
  </si>
  <si>
    <t>○実践栄養学科：母集団と標本抽出「疫学・生物統計学」（7回目）、データの分布，データのばらつき「情報処理基礎実習」（13回目）
○保健栄養学科
　・栄養科学専攻：データの種類，データの分布，データのばらつき，相関係数「情報処理統計学」（3～5回目）「情報処理統計学実習」（10回目）
　・保健養護専攻：データの種類，データの分布，データのばらつき「情報処理統計学」（1・2回目）、相関係数「情報処理統計学実習」（6回目）
○食文化栄養学科：データの種類，データの分布，データのばらつき，相関と因果，クロス集計表「情報処理実習」（7～14回目）</t>
    <rPh sb="8" eb="11">
      <t>ボシュウダン</t>
    </rPh>
    <rPh sb="12" eb="14">
      <t>ヒョウホン</t>
    </rPh>
    <rPh sb="14" eb="16">
      <t>チュウシュツ</t>
    </rPh>
    <rPh sb="17" eb="19">
      <t>エキガク</t>
    </rPh>
    <rPh sb="20" eb="22">
      <t>セイブツ</t>
    </rPh>
    <rPh sb="22" eb="25">
      <t>トウケイガク</t>
    </rPh>
    <rPh sb="28" eb="30">
      <t>カイメ</t>
    </rPh>
    <rPh sb="36" eb="38">
      <t>ブンプ</t>
    </rPh>
    <rPh sb="48" eb="50">
      <t>ジョウホウ</t>
    </rPh>
    <rPh sb="50" eb="52">
      <t>ショリ</t>
    </rPh>
    <rPh sb="52" eb="56">
      <t>キソジッシュウ</t>
    </rPh>
    <rPh sb="60" eb="62">
      <t>カイメ</t>
    </rPh>
    <phoneticPr fontId="1"/>
  </si>
  <si>
    <t>○実践栄養学科：データの比較「疫学・生物統計学」（9～11回目）、データ表現「情報処理基礎実習」（12回目）
○保健栄養学科
　・栄養科学専攻：データ表現，データの比較「情報処理統計学」（4～7回目）「情報処理統計学実習」（12～16回目）
　・保健養護専攻：データ表現，データの比較「情報処理統計学実習」（4・5回目）
○食文化栄養学科：データ表現，データの比較「情報処理実習」（9～14回目）</t>
    <rPh sb="12" eb="14">
      <t>ヒカク</t>
    </rPh>
    <rPh sb="15" eb="17">
      <t>エキガク</t>
    </rPh>
    <rPh sb="18" eb="20">
      <t>セイブツ</t>
    </rPh>
    <rPh sb="20" eb="23">
      <t>トウケイガク</t>
    </rPh>
    <rPh sb="29" eb="31">
      <t>カイメ</t>
    </rPh>
    <rPh sb="36" eb="38">
      <t>ヒョウゲン</t>
    </rPh>
    <rPh sb="39" eb="41">
      <t>ジョウホウ</t>
    </rPh>
    <rPh sb="41" eb="43">
      <t>ショリ</t>
    </rPh>
    <rPh sb="43" eb="47">
      <t>キソジッシュウ</t>
    </rPh>
    <rPh sb="51" eb="53">
      <t>カイメ</t>
    </rPh>
    <phoneticPr fontId="1"/>
  </si>
  <si>
    <t>○実践栄養学科：データの取得「疫学・生物統計学」（6・7回目）、データの集計，データの並び替え「情報処理基礎実習」（14～17回目）
○保健栄養学科
　・栄養科学専攻：データの取得「情報処理統計学」（6回目）、データの集計，データの並び替え「情報処理統計学実習」（10～14回目）
　・保健養護専攻：データの取得，データの集計，データの並び替え「情報処理統計学」（1～3回目）「情報処理統計学実習」（1・2・4・5回目）
○食文化栄養学科：データの集計，データの並び替え「情報処理実習」（13・14回目）</t>
    <rPh sb="12" eb="14">
      <t>シュトク</t>
    </rPh>
    <rPh sb="15" eb="17">
      <t>エキガク</t>
    </rPh>
    <rPh sb="18" eb="20">
      <t>セイブツ</t>
    </rPh>
    <rPh sb="20" eb="23">
      <t>トウケイガク</t>
    </rPh>
    <rPh sb="28" eb="30">
      <t>カイメ</t>
    </rPh>
    <rPh sb="36" eb="38">
      <t>シュウケイ</t>
    </rPh>
    <rPh sb="43" eb="44">
      <t>ナラ</t>
    </rPh>
    <rPh sb="45" eb="46">
      <t>カ</t>
    </rPh>
    <rPh sb="48" eb="50">
      <t>ジョウホウ</t>
    </rPh>
    <rPh sb="50" eb="52">
      <t>ショリ</t>
    </rPh>
    <rPh sb="52" eb="56">
      <t>キソジッシュウ</t>
    </rPh>
    <rPh sb="63" eb="65">
      <t>カイメ</t>
    </rPh>
    <phoneticPr fontId="1"/>
  </si>
  <si>
    <t>○実践栄養学科：AI，生成AI，データ量の増加「疫学・生物統計学」（1回目）
○保健栄養学科
　・栄養科学専攻：ビッグデータ，IoT，AI，Society5.0，データ駆動型社会，第4次産業革命「情報処理統計学」（1回目）
　・保健養護専攻：ビッグデータ，データ量の増加「情報処理統計学」（14回目）、生成AI，Society5.0，データ駆動型社会「情報処理統計学実習」（3回目）
○食文化栄養学科：ビッグデータ，IoT，AI，第4次産業革命，Society5.0，データ駆動型社会「情報社会リテラシー論」（1回目）</t>
    <rPh sb="1" eb="7">
      <t>ジッセンエイヨウガッカ</t>
    </rPh>
    <rPh sb="11" eb="13">
      <t>セイセイ</t>
    </rPh>
    <rPh sb="19" eb="20">
      <t>リョウ</t>
    </rPh>
    <rPh sb="21" eb="23">
      <t>ゾウカ</t>
    </rPh>
    <rPh sb="24" eb="26">
      <t>エキガク</t>
    </rPh>
    <rPh sb="27" eb="29">
      <t>セイブツ</t>
    </rPh>
    <rPh sb="29" eb="32">
      <t>トウケイガク</t>
    </rPh>
    <rPh sb="35" eb="37">
      <t>カイメ</t>
    </rPh>
    <rPh sb="40" eb="46">
      <t>ホケンエイヨウガッカ</t>
    </rPh>
    <rPh sb="49" eb="55">
      <t>エイヨウカガクセンコウ</t>
    </rPh>
    <phoneticPr fontId="1"/>
  </si>
  <si>
    <t>すべての科目において実施している授業評価や、定期試験、提出課題、または発表等を通じて、学生の理解度を把握している。
全てのプログラム履修者が修了時期を迎えていないことから、全体的な評価はできないが、進級後の授業科目に、プログラムを通して得た知識・技術の活用の機会を織り込むことで、プログラムの満足度の向上に繋がるものと見込まれる。</t>
    <rPh sb="4" eb="6">
      <t>カモク</t>
    </rPh>
    <rPh sb="10" eb="12">
      <t>ジッシ</t>
    </rPh>
    <rPh sb="16" eb="20">
      <t>ジュギョウヒョウカ</t>
    </rPh>
    <rPh sb="35" eb="37">
      <t>ハッピョウ</t>
    </rPh>
    <rPh sb="37" eb="38">
      <t>トウ</t>
    </rPh>
    <rPh sb="39" eb="40">
      <t>ツウ</t>
    </rPh>
    <rPh sb="58" eb="59">
      <t>スベ</t>
    </rPh>
    <rPh sb="66" eb="69">
      <t>リシュウシャ</t>
    </rPh>
    <rPh sb="72" eb="74">
      <t>ジキ</t>
    </rPh>
    <rPh sb="75" eb="76">
      <t>ムカ</t>
    </rPh>
    <rPh sb="86" eb="89">
      <t>ゼンタイテキ</t>
    </rPh>
    <rPh sb="90" eb="92">
      <t>ヒョウカ</t>
    </rPh>
    <rPh sb="99" eb="101">
      <t>シンキュウ</t>
    </rPh>
    <rPh sb="101" eb="102">
      <t>ゴ</t>
    </rPh>
    <rPh sb="103" eb="107">
      <t>ジュギョウカモク</t>
    </rPh>
    <rPh sb="115" eb="116">
      <t>トオ</t>
    </rPh>
    <rPh sb="118" eb="119">
      <t>エ</t>
    </rPh>
    <rPh sb="120" eb="122">
      <t>チシキ</t>
    </rPh>
    <rPh sb="123" eb="125">
      <t>ギジュツ</t>
    </rPh>
    <rPh sb="126" eb="128">
      <t>カツヨウ</t>
    </rPh>
    <rPh sb="129" eb="131">
      <t>キカイ</t>
    </rPh>
    <rPh sb="132" eb="133">
      <t>オ</t>
    </rPh>
    <rPh sb="134" eb="135">
      <t>コ</t>
    </rPh>
    <rPh sb="146" eb="149">
      <t>マンゾクド</t>
    </rPh>
    <rPh sb="150" eb="152">
      <t>コウジョウ</t>
    </rPh>
    <rPh sb="153" eb="154">
      <t>ツナ</t>
    </rPh>
    <rPh sb="159" eb="161">
      <t>ミコ</t>
    </rPh>
    <phoneticPr fontId="1"/>
  </si>
  <si>
    <t>AI技術を使ったサービスやデータサイエンスによる問題解決の事例を，動画や演習等で視覚的かつ体験的に学ぶ機会が多くなるように工夫している。具体的には，言葉を知らないチャットボットと会話を繰り返していくうちに次第に会話が成立していく様子や，プログラミングによって複雑なデータ処理や解析が行えることの体験を通じて，AIやデータサイエンスを学ぶ楽しさを感じながら理解するための独自の教材を使っている。また本学には栄養や食生活に関するデータの蓄積があり，それらのデータから得られた結果を栄養学の知識に基づいて解釈し，栄養指導や健康管理のために活用するという明確な目的があるため，本学での学修が数理・データサイエンス・AIを学ぶことの意義の理解に直結している。</t>
    <rPh sb="2" eb="4">
      <t>ギジュツ</t>
    </rPh>
    <rPh sb="5" eb="6">
      <t>ツカ</t>
    </rPh>
    <rPh sb="24" eb="28">
      <t>モンダイカイケツ</t>
    </rPh>
    <rPh sb="29" eb="31">
      <t>ジレイ</t>
    </rPh>
    <rPh sb="33" eb="35">
      <t>ドウガ</t>
    </rPh>
    <rPh sb="36" eb="38">
      <t>エンシュウ</t>
    </rPh>
    <rPh sb="38" eb="39">
      <t>ナド</t>
    </rPh>
    <rPh sb="40" eb="43">
      <t>シカクテキ</t>
    </rPh>
    <rPh sb="45" eb="47">
      <t>タイケン</t>
    </rPh>
    <rPh sb="47" eb="48">
      <t>テキ</t>
    </rPh>
    <rPh sb="49" eb="50">
      <t>マナ</t>
    </rPh>
    <rPh sb="51" eb="53">
      <t>キカイ</t>
    </rPh>
    <rPh sb="54" eb="55">
      <t>オオ</t>
    </rPh>
    <rPh sb="61" eb="63">
      <t>クフウ</t>
    </rPh>
    <rPh sb="68" eb="71">
      <t>グタイテキ</t>
    </rPh>
    <rPh sb="74" eb="76">
      <t>コトバ</t>
    </rPh>
    <rPh sb="77" eb="78">
      <t>シ</t>
    </rPh>
    <rPh sb="89" eb="91">
      <t>カイワ</t>
    </rPh>
    <rPh sb="92" eb="93">
      <t>ク</t>
    </rPh>
    <rPh sb="94" eb="95">
      <t>カエ</t>
    </rPh>
    <rPh sb="102" eb="104">
      <t>シダイ</t>
    </rPh>
    <rPh sb="105" eb="107">
      <t>カイワ</t>
    </rPh>
    <rPh sb="108" eb="110">
      <t>セイリツ</t>
    </rPh>
    <rPh sb="114" eb="116">
      <t>ヨウス</t>
    </rPh>
    <rPh sb="129" eb="131">
      <t>フクザツ</t>
    </rPh>
    <rPh sb="135" eb="137">
      <t>ショリ</t>
    </rPh>
    <rPh sb="138" eb="140">
      <t>カイセキ</t>
    </rPh>
    <rPh sb="141" eb="142">
      <t>オコナ</t>
    </rPh>
    <rPh sb="147" eb="149">
      <t>タイケン</t>
    </rPh>
    <rPh sb="150" eb="151">
      <t>ツウ</t>
    </rPh>
    <rPh sb="166" eb="167">
      <t>マナ</t>
    </rPh>
    <rPh sb="168" eb="169">
      <t>タノ</t>
    </rPh>
    <rPh sb="172" eb="173">
      <t>カン</t>
    </rPh>
    <rPh sb="177" eb="179">
      <t>リカイ</t>
    </rPh>
    <rPh sb="184" eb="186">
      <t>ドクジ</t>
    </rPh>
    <rPh sb="187" eb="189">
      <t>キョウザイ</t>
    </rPh>
    <rPh sb="190" eb="191">
      <t>ツカ</t>
    </rPh>
    <rPh sb="198" eb="200">
      <t>ホンガク</t>
    </rPh>
    <rPh sb="202" eb="204">
      <t>エイヨウ</t>
    </rPh>
    <rPh sb="205" eb="208">
      <t>ショクセイカツ</t>
    </rPh>
    <rPh sb="209" eb="210">
      <t>カン</t>
    </rPh>
    <rPh sb="216" eb="218">
      <t>チクセキ</t>
    </rPh>
    <rPh sb="231" eb="232">
      <t>エ</t>
    </rPh>
    <rPh sb="235" eb="237">
      <t>ケッカ</t>
    </rPh>
    <rPh sb="238" eb="241">
      <t>エイヨウガク</t>
    </rPh>
    <rPh sb="242" eb="244">
      <t>チシキ</t>
    </rPh>
    <rPh sb="245" eb="246">
      <t>モト</t>
    </rPh>
    <rPh sb="249" eb="251">
      <t>カイシャク</t>
    </rPh>
    <rPh sb="253" eb="257">
      <t>エイヨウシドウ</t>
    </rPh>
    <rPh sb="258" eb="262">
      <t>ケンコウカンリ</t>
    </rPh>
    <rPh sb="266" eb="268">
      <t>カツヨウ</t>
    </rPh>
    <rPh sb="273" eb="275">
      <t>メイカク</t>
    </rPh>
    <rPh sb="276" eb="278">
      <t>モクテキ</t>
    </rPh>
    <rPh sb="284" eb="286">
      <t>ホンガク</t>
    </rPh>
    <rPh sb="288" eb="290">
      <t>ガクシュウ</t>
    </rPh>
    <rPh sb="291" eb="293">
      <t>スウリ</t>
    </rPh>
    <rPh sb="306" eb="307">
      <t>マナ</t>
    </rPh>
    <rPh sb="311" eb="313">
      <t>イギ</t>
    </rPh>
    <rPh sb="314" eb="316">
      <t>リカイ</t>
    </rPh>
    <rPh sb="317" eb="319">
      <t>チョッケツ</t>
    </rPh>
    <phoneticPr fontId="1"/>
  </si>
  <si>
    <t>社会の変化や生成AI等の技術の発展に応じながら学生の興味関心に沿ったテーマや話題を選択して教材を常に更新するよう努めている。また授業では毎回学生のリアクションペーパーから疑問や質問を吸い上げてフィードバックを行ったり，学期終了時の授業アンケートから教材や授業方法等の改善点を洗い出すなどして分かりやすい授業の構築に反映させる。</t>
    <rPh sb="0" eb="2">
      <t>シャカイ</t>
    </rPh>
    <rPh sb="3" eb="5">
      <t>ヘンカ</t>
    </rPh>
    <rPh sb="6" eb="8">
      <t>セイセイ</t>
    </rPh>
    <rPh sb="10" eb="11">
      <t>ナド</t>
    </rPh>
    <rPh sb="12" eb="14">
      <t>ギジュツ</t>
    </rPh>
    <rPh sb="15" eb="17">
      <t>ハッテン</t>
    </rPh>
    <rPh sb="18" eb="19">
      <t>オウ</t>
    </rPh>
    <rPh sb="23" eb="25">
      <t>ガクセイ</t>
    </rPh>
    <rPh sb="26" eb="30">
      <t>キョウミカンシン</t>
    </rPh>
    <rPh sb="31" eb="32">
      <t>ソ</t>
    </rPh>
    <rPh sb="38" eb="40">
      <t>ワダイ</t>
    </rPh>
    <rPh sb="41" eb="43">
      <t>センタク</t>
    </rPh>
    <rPh sb="45" eb="47">
      <t>キョウザイ</t>
    </rPh>
    <rPh sb="48" eb="49">
      <t>ツネ</t>
    </rPh>
    <rPh sb="50" eb="52">
      <t>コウシン</t>
    </rPh>
    <rPh sb="56" eb="57">
      <t>ツト</t>
    </rPh>
    <rPh sb="64" eb="66">
      <t>ジュギョウ</t>
    </rPh>
    <rPh sb="68" eb="70">
      <t>マイカイ</t>
    </rPh>
    <rPh sb="70" eb="72">
      <t>ガクセイ</t>
    </rPh>
    <rPh sb="85" eb="87">
      <t>ギモン</t>
    </rPh>
    <rPh sb="88" eb="90">
      <t>シツモン</t>
    </rPh>
    <rPh sb="91" eb="92">
      <t>ス</t>
    </rPh>
    <rPh sb="93" eb="94">
      <t>ア</t>
    </rPh>
    <rPh sb="104" eb="105">
      <t>オコナ</t>
    </rPh>
    <rPh sb="109" eb="111">
      <t>ガッキ</t>
    </rPh>
    <rPh sb="111" eb="114">
      <t>シュウリョウジ</t>
    </rPh>
    <rPh sb="115" eb="117">
      <t>ジュギョウ</t>
    </rPh>
    <rPh sb="124" eb="126">
      <t>キョウザイ</t>
    </rPh>
    <rPh sb="127" eb="131">
      <t>ジュギョウホウホウ</t>
    </rPh>
    <rPh sb="131" eb="132">
      <t>ナド</t>
    </rPh>
    <rPh sb="133" eb="135">
      <t>カイゼン</t>
    </rPh>
    <rPh sb="135" eb="136">
      <t>テン</t>
    </rPh>
    <rPh sb="137" eb="138">
      <t>アラ</t>
    </rPh>
    <rPh sb="139" eb="140">
      <t>ダ</t>
    </rPh>
    <rPh sb="145" eb="146">
      <t>ワ</t>
    </rPh>
    <rPh sb="151" eb="153">
      <t>ジュギョウ</t>
    </rPh>
    <rPh sb="154" eb="156">
      <t>コウチク</t>
    </rPh>
    <rPh sb="157" eb="159">
      <t>ハンエイ</t>
    </rPh>
    <phoneticPr fontId="1"/>
  </si>
  <si>
    <t>女子栄養大学データサイエンス・AI教育プログラム</t>
    <rPh sb="0" eb="2">
      <t>ジョシ</t>
    </rPh>
    <rPh sb="2" eb="4">
      <t>エイヨウ</t>
    </rPh>
    <rPh sb="4" eb="6">
      <t>ダイガク</t>
    </rPh>
    <rPh sb="17" eb="19">
      <t>キョウイク</t>
    </rPh>
    <phoneticPr fontId="1"/>
  </si>
  <si>
    <t>武見　ゆかり</t>
    <rPh sb="0" eb="2">
      <t>タケミ</t>
    </rPh>
    <phoneticPr fontId="1"/>
  </si>
  <si>
    <t>女子栄養大学データサイエンス教育運営委員会は、本学栄養学部の学生を対象に行う「女子栄養大学データサイエンス・AI教育プログラム」の実施、運営及び改善を目的とする。
「女子栄養大学データサイエンス・AI教育プログラム」は栄養学部の授業科目から構成されることに照らし、教授会のもとで活動する組織としている。
委員会の主な審議事項は、①プログラムの対象科目の選定と実施・運営、②プログラムの点検・評価とその結果に基づく改善、③プログラム修了者の認定であり、プログラムの全般に携わることとしている。</t>
    <rPh sb="27" eb="29">
      <t>ガクブ</t>
    </rPh>
    <rPh sb="109" eb="113">
      <t>エイヨウガクブ</t>
    </rPh>
    <rPh sb="114" eb="118">
      <t>ジュギョウカモク</t>
    </rPh>
    <rPh sb="120" eb="122">
      <t>コウセイ</t>
    </rPh>
    <rPh sb="128" eb="129">
      <t>テ</t>
    </rPh>
    <rPh sb="132" eb="135">
      <t>キョウジュカイ</t>
    </rPh>
    <rPh sb="139" eb="141">
      <t>カツドウ</t>
    </rPh>
    <rPh sb="152" eb="155">
      <t>イインカイ</t>
    </rPh>
    <rPh sb="156" eb="157">
      <t>オモ</t>
    </rPh>
    <rPh sb="158" eb="162">
      <t>シンギジコウ</t>
    </rPh>
    <rPh sb="203" eb="204">
      <t>モト</t>
    </rPh>
    <rPh sb="231" eb="233">
      <t>ゼンパン</t>
    </rPh>
    <rPh sb="234" eb="235">
      <t>タズサ</t>
    </rPh>
    <phoneticPr fontId="1"/>
  </si>
  <si>
    <t>令和6年度よりプログラムを開始し、履修者数は339人であり、令和6年度入学者数の83.9％が履修した。プログラムの修了者数については、2年時の開講科目の成績と合わせて修了判定を行う学科もあることから、全体の結果は出ていないが、令和6年度終了時点で72人（プログラム履修者の21.2％）が修了している。
令和7年度以降は、学部共通の必修科目を含める等の工夫を行い、履修者数及び修了者数の向上を図る。</t>
    <rPh sb="0" eb="2">
      <t>レイワ</t>
    </rPh>
    <rPh sb="3" eb="5">
      <t>ネンド</t>
    </rPh>
    <rPh sb="13" eb="15">
      <t>カイシ</t>
    </rPh>
    <rPh sb="17" eb="21">
      <t>リシュウシャスウ</t>
    </rPh>
    <rPh sb="25" eb="26">
      <t>ニン</t>
    </rPh>
    <rPh sb="30" eb="32">
      <t>レイワ</t>
    </rPh>
    <rPh sb="33" eb="35">
      <t>ネンド</t>
    </rPh>
    <rPh sb="35" eb="39">
      <t>ニュウガクシャスウ</t>
    </rPh>
    <rPh sb="46" eb="48">
      <t>リシュウ</t>
    </rPh>
    <rPh sb="57" eb="61">
      <t>シュウリョウシャスウ</t>
    </rPh>
    <rPh sb="68" eb="70">
      <t>ネンジ</t>
    </rPh>
    <rPh sb="71" eb="73">
      <t>カイコウ</t>
    </rPh>
    <rPh sb="73" eb="75">
      <t>カモク</t>
    </rPh>
    <rPh sb="76" eb="78">
      <t>セイセキ</t>
    </rPh>
    <rPh sb="79" eb="80">
      <t>ア</t>
    </rPh>
    <rPh sb="83" eb="85">
      <t>シュウリョウ</t>
    </rPh>
    <rPh sb="85" eb="87">
      <t>ハンテイ</t>
    </rPh>
    <rPh sb="88" eb="89">
      <t>オコナ</t>
    </rPh>
    <rPh sb="90" eb="92">
      <t>ガッカ</t>
    </rPh>
    <rPh sb="100" eb="102">
      <t>ゼンタイ</t>
    </rPh>
    <rPh sb="103" eb="105">
      <t>ケッカ</t>
    </rPh>
    <rPh sb="106" eb="107">
      <t>デ</t>
    </rPh>
    <rPh sb="113" eb="115">
      <t>レイワ</t>
    </rPh>
    <rPh sb="116" eb="118">
      <t>ネンド</t>
    </rPh>
    <rPh sb="118" eb="122">
      <t>シュウリョウジテン</t>
    </rPh>
    <rPh sb="125" eb="126">
      <t>ニン</t>
    </rPh>
    <rPh sb="132" eb="135">
      <t>リシュウシャ</t>
    </rPh>
    <rPh sb="143" eb="145">
      <t>シュウリョウ</t>
    </rPh>
    <rPh sb="151" eb="153">
      <t>レイワ</t>
    </rPh>
    <rPh sb="154" eb="158">
      <t>ネンドイコウ</t>
    </rPh>
    <rPh sb="165" eb="169">
      <t>ヒッシュウカモク</t>
    </rPh>
    <rPh sb="170" eb="171">
      <t>フク</t>
    </rPh>
    <rPh sb="173" eb="174">
      <t>トウ</t>
    </rPh>
    <rPh sb="175" eb="177">
      <t>クフウ</t>
    </rPh>
    <rPh sb="178" eb="179">
      <t>オコナ</t>
    </rPh>
    <rPh sb="181" eb="185">
      <t>リシュウシャスウ</t>
    </rPh>
    <rPh sb="185" eb="186">
      <t>オヨ</t>
    </rPh>
    <rPh sb="187" eb="191">
      <t>シュウリョウシャスウ</t>
    </rPh>
    <rPh sb="192" eb="194">
      <t>コウジョウ</t>
    </rPh>
    <rPh sb="195" eb="196">
      <t>ハカ</t>
    </rPh>
    <phoneticPr fontId="1"/>
  </si>
  <si>
    <r>
      <t>プログラム修了者の卒業までに間があり、修了者に対する学外の評価を得るのは、先のこととなる。
一方、学生の就職先を対象にしたアンケートを毎年</t>
    </r>
    <r>
      <rPr>
        <sz val="12"/>
        <rFont val="ＭＳ Ｐゴシック"/>
        <family val="3"/>
        <charset val="128"/>
        <scheme val="minor"/>
      </rPr>
      <t>実施するほか、適宜、教育への意見を伺っている。その際、採用する学生に求める能力として、ITスキルやプログラミングスキルを挙げる企業も確認しており、今後、プログラムの改善においても参照・反映していく予定である。また、就職の際に求められる能力を反映していることを学生に伝え、履修あるいは学習意欲の向上に繋げたい。</t>
    </r>
    <rPh sb="5" eb="8">
      <t>シュウリョウシャ</t>
    </rPh>
    <rPh sb="9" eb="11">
      <t>ソツギョウ</t>
    </rPh>
    <rPh sb="14" eb="15">
      <t>マ</t>
    </rPh>
    <rPh sb="19" eb="22">
      <t>シュウリョウシャ</t>
    </rPh>
    <rPh sb="23" eb="24">
      <t>タイ</t>
    </rPh>
    <rPh sb="26" eb="28">
      <t>ガクガイ</t>
    </rPh>
    <rPh sb="29" eb="31">
      <t>ヒョウカ</t>
    </rPh>
    <rPh sb="32" eb="33">
      <t>エ</t>
    </rPh>
    <rPh sb="37" eb="38">
      <t>サキ</t>
    </rPh>
    <rPh sb="46" eb="48">
      <t>イッポウ</t>
    </rPh>
    <rPh sb="49" eb="51">
      <t>ガクセイ</t>
    </rPh>
    <rPh sb="52" eb="55">
      <t>シュウショクサキ</t>
    </rPh>
    <rPh sb="56" eb="58">
      <t>タイショウ</t>
    </rPh>
    <rPh sb="67" eb="71">
      <t>マイトシジッシ</t>
    </rPh>
    <rPh sb="79" eb="81">
      <t>キョウイク</t>
    </rPh>
    <rPh sb="83" eb="85">
      <t>イケン</t>
    </rPh>
    <rPh sb="86" eb="87">
      <t>ウカガ</t>
    </rPh>
    <rPh sb="94" eb="95">
      <t>サイ</t>
    </rPh>
    <rPh sb="96" eb="98">
      <t>サイヨウ</t>
    </rPh>
    <rPh sb="129" eb="130">
      <t>ア</t>
    </rPh>
    <rPh sb="132" eb="134">
      <t>キギョウ</t>
    </rPh>
    <rPh sb="135" eb="137">
      <t>カクニン</t>
    </rPh>
    <rPh sb="142" eb="144">
      <t>コンゴ</t>
    </rPh>
    <rPh sb="151" eb="153">
      <t>カイゼン</t>
    </rPh>
    <rPh sb="158" eb="160">
      <t>サンショウ</t>
    </rPh>
    <rPh sb="161" eb="163">
      <t>ハンエイ</t>
    </rPh>
    <rPh sb="167" eb="169">
      <t>ヨテイ</t>
    </rPh>
    <rPh sb="181" eb="182">
      <t>モト</t>
    </rPh>
    <rPh sb="186" eb="188">
      <t>ノウリョク</t>
    </rPh>
    <rPh sb="189" eb="191">
      <t>ハンエイ</t>
    </rPh>
    <rPh sb="198" eb="200">
      <t>ガクセイ</t>
    </rPh>
    <rPh sb="201" eb="202">
      <t>ツタ</t>
    </rPh>
    <rPh sb="204" eb="206">
      <t>リシュウ</t>
    </rPh>
    <rPh sb="210" eb="214">
      <t>ガクシュウイヨク</t>
    </rPh>
    <rPh sb="215" eb="217">
      <t>コウジョウ</t>
    </rPh>
    <rPh sb="218" eb="219">
      <t>ツナ</t>
    </rPh>
    <phoneticPr fontId="1"/>
  </si>
  <si>
    <t xml:space="preserve">令和6年度は学科によってプログラム対象科目が異なっていることや、令和7年度にプログラム対象科目として開講される科目もあることから，全体的な理解度の評価はまだ行えていないが、実習科目においてAIの体験教材の開発を担っている教員が実施した学生アンケートでは，「この授業科目全体を通しての到達目標を、どの程度達成できたと感じていますか？」の項目に対して75%の学生（n=148）が「ほぼ100%」「80%程度」と回答した。また「この授業科目を通して得た学修成果（知識や技能など）に、どの程度満足していますか？」の項目に対しては85%の学生（n=148）が「非常に満足している」「かなり満足している」と回答した。自由記述にも「チャットAIが言っていることは必ずしも正解であるとは限らないのでAIに頼りすぎないようにすることが大事で何事も調べることが大事だとわかった。」「AIのプログラミングを通して、コンピュータの学習の仕方、させ方も学んだ。完璧にみえてもやはりそんなことはないのだなと思った。」などのコメントを得た。
</t>
    <rPh sb="0" eb="2">
      <t>レイワ</t>
    </rPh>
    <rPh sb="3" eb="5">
      <t>ネンド</t>
    </rPh>
    <rPh sb="6" eb="8">
      <t>ガッカ</t>
    </rPh>
    <rPh sb="17" eb="19">
      <t>タイショウ</t>
    </rPh>
    <rPh sb="19" eb="21">
      <t>カモク</t>
    </rPh>
    <rPh sb="22" eb="23">
      <t>コト</t>
    </rPh>
    <rPh sb="32" eb="34">
      <t>レイワ</t>
    </rPh>
    <rPh sb="35" eb="37">
      <t>ネンド</t>
    </rPh>
    <rPh sb="43" eb="45">
      <t>タイショウ</t>
    </rPh>
    <rPh sb="45" eb="47">
      <t>カモク</t>
    </rPh>
    <rPh sb="50" eb="52">
      <t>カイコウ</t>
    </rPh>
    <rPh sb="55" eb="57">
      <t>カモク</t>
    </rPh>
    <rPh sb="65" eb="68">
      <t>ゼンタイテキ</t>
    </rPh>
    <rPh sb="69" eb="72">
      <t>リカイド</t>
    </rPh>
    <rPh sb="73" eb="75">
      <t>ヒョウカ</t>
    </rPh>
    <rPh sb="78" eb="79">
      <t>オコナ</t>
    </rPh>
    <rPh sb="86" eb="90">
      <t>ジッシュウカモク</t>
    </rPh>
    <rPh sb="97" eb="99">
      <t>タイケン</t>
    </rPh>
    <rPh sb="99" eb="101">
      <t>キョウザイ</t>
    </rPh>
    <rPh sb="102" eb="104">
      <t>カイハツ</t>
    </rPh>
    <rPh sb="105" eb="106">
      <t>ニナ</t>
    </rPh>
    <rPh sb="110" eb="112">
      <t>キョウイン</t>
    </rPh>
    <rPh sb="113" eb="115">
      <t>ジッシ</t>
    </rPh>
    <rPh sb="117" eb="119">
      <t>ガクセイ</t>
    </rPh>
    <rPh sb="167" eb="169">
      <t>コウモク</t>
    </rPh>
    <rPh sb="170" eb="171">
      <t>タイ</t>
    </rPh>
    <rPh sb="177" eb="179">
      <t>ガクセイ</t>
    </rPh>
    <rPh sb="199" eb="201">
      <t>テイド</t>
    </rPh>
    <rPh sb="203" eb="205">
      <t>カイトウ</t>
    </rPh>
    <rPh sb="253" eb="255">
      <t>コウモク</t>
    </rPh>
    <rPh sb="256" eb="257">
      <t>タイ</t>
    </rPh>
    <rPh sb="264" eb="266">
      <t>ガクセイ</t>
    </rPh>
    <rPh sb="275" eb="277">
      <t>ヒジョウ</t>
    </rPh>
    <rPh sb="278" eb="280">
      <t>マンゾク</t>
    </rPh>
    <rPh sb="289" eb="291">
      <t>マンゾク</t>
    </rPh>
    <rPh sb="297" eb="299">
      <t>カイトウ</t>
    </rPh>
    <rPh sb="302" eb="306">
      <t>ジユウキジュツ</t>
    </rPh>
    <rPh sb="452" eb="453">
      <t>エ</t>
    </rPh>
    <phoneticPr fontId="1"/>
  </si>
  <si>
    <t>全てのプログラム履修者が修了時期を迎えていないため、プログラム全体へのアンケート評価は実施できていない。令和７年度入学生からは学部共通の必修科目をプログラムに取り込むとともに、新入生ガイダンスにおいて、対象科目の履修を促している今後の社会に求められる資質・能力を身に付ける機会であること、また、令和６年度の開講科目における授業評価から履修者の感想等を伝え、履修を促している。
学生アンケートには「後輩等他の学生への推奨度」を問う項目がないが、チャットの仕組みやAIの学習の原理、プログラミング等の授業を行った後「この授業を後輩にも薦めたいと思いますか」という独自のアンケートを実施したところ、93%の学生（n=144）が「思う」と回答した。また「この授業を受けて、AIに対する理解は深まりましたか」の項目には97%の学生が「深まった」と回答した。</t>
    <rPh sb="0" eb="1">
      <t>スベ</t>
    </rPh>
    <rPh sb="8" eb="11">
      <t>リシュウシャ</t>
    </rPh>
    <rPh sb="12" eb="16">
      <t>シュウリョウジキ</t>
    </rPh>
    <rPh sb="17" eb="18">
      <t>ムカ</t>
    </rPh>
    <rPh sb="31" eb="33">
      <t>ゼンタイ</t>
    </rPh>
    <rPh sb="40" eb="42">
      <t>ヒョウカ</t>
    </rPh>
    <rPh sb="43" eb="45">
      <t>ジッシ</t>
    </rPh>
    <rPh sb="52" eb="54">
      <t>レイワ</t>
    </rPh>
    <rPh sb="57" eb="60">
      <t>ニュウガクセイ</t>
    </rPh>
    <rPh sb="63" eb="67">
      <t>ガクブキョウツウ</t>
    </rPh>
    <rPh sb="68" eb="72">
      <t>ヒッシュウカモク</t>
    </rPh>
    <rPh sb="79" eb="80">
      <t>ト</t>
    </rPh>
    <rPh sb="81" eb="82">
      <t>コ</t>
    </rPh>
    <rPh sb="88" eb="91">
      <t>シンニュウセイ</t>
    </rPh>
    <rPh sb="101" eb="105">
      <t>タイショウカモク</t>
    </rPh>
    <rPh sb="106" eb="108">
      <t>リシュウ</t>
    </rPh>
    <rPh sb="109" eb="110">
      <t>ウナガ</t>
    </rPh>
    <rPh sb="188" eb="190">
      <t>ガクセイ</t>
    </rPh>
    <rPh sb="198" eb="200">
      <t>コウハイ</t>
    </rPh>
    <rPh sb="200" eb="201">
      <t>ナド</t>
    </rPh>
    <rPh sb="201" eb="202">
      <t>ホカ</t>
    </rPh>
    <rPh sb="203" eb="205">
      <t>ガクセイ</t>
    </rPh>
    <rPh sb="207" eb="210">
      <t>スイショウド</t>
    </rPh>
    <rPh sb="212" eb="213">
      <t>ト</t>
    </rPh>
    <rPh sb="214" eb="216">
      <t>コウモク</t>
    </rPh>
    <rPh sb="226" eb="228">
      <t>シク</t>
    </rPh>
    <rPh sb="233" eb="235">
      <t>ガクシュウ</t>
    </rPh>
    <rPh sb="236" eb="238">
      <t>ゲンリ</t>
    </rPh>
    <rPh sb="246" eb="247">
      <t>ナド</t>
    </rPh>
    <rPh sb="248" eb="250">
      <t>ジュギョウ</t>
    </rPh>
    <rPh sb="251" eb="252">
      <t>オコナ</t>
    </rPh>
    <rPh sb="254" eb="255">
      <t>ノチ</t>
    </rPh>
    <rPh sb="258" eb="260">
      <t>ジュギョウ</t>
    </rPh>
    <rPh sb="261" eb="263">
      <t>コウハイ</t>
    </rPh>
    <rPh sb="265" eb="266">
      <t>スス</t>
    </rPh>
    <rPh sb="270" eb="271">
      <t>オモ</t>
    </rPh>
    <rPh sb="279" eb="281">
      <t>ドクジ</t>
    </rPh>
    <rPh sb="288" eb="290">
      <t>ジッシ</t>
    </rPh>
    <rPh sb="300" eb="302">
      <t>ガクセイ</t>
    </rPh>
    <rPh sb="311" eb="312">
      <t>オモ</t>
    </rPh>
    <rPh sb="315" eb="317">
      <t>カイトウ</t>
    </rPh>
    <rPh sb="325" eb="327">
      <t>ジュギョウ</t>
    </rPh>
    <rPh sb="328" eb="329">
      <t>ウ</t>
    </rPh>
    <rPh sb="335" eb="336">
      <t>タイ</t>
    </rPh>
    <rPh sb="338" eb="340">
      <t>リカイ</t>
    </rPh>
    <rPh sb="341" eb="342">
      <t>フカ</t>
    </rPh>
    <rPh sb="350" eb="352">
      <t>コウモク</t>
    </rPh>
    <rPh sb="358" eb="360">
      <t>ガクセイ</t>
    </rPh>
    <rPh sb="362" eb="363">
      <t>フカ</t>
    </rPh>
    <rPh sb="368" eb="370">
      <t>カイトウ</t>
    </rPh>
    <phoneticPr fontId="1"/>
  </si>
  <si>
    <t xml:space="preserve">武見　ゆかり　　副学長（教学担当）／栄養学部教授
遠藤　伸子　　　栄養学部長／栄養学部教授
平口　嘉典　　　情報教育システム委員長／栄養学部准教授
緒方　裕光　　　栄養学部教授
藤倉　純子　　　栄養学部教授
宮内　正　　　　 栄養学部教授
山田　耕太郎　 栄養学部教授
</t>
    <rPh sb="0" eb="2">
      <t>タケミ</t>
    </rPh>
    <rPh sb="8" eb="11">
      <t>フクガクチョウ</t>
    </rPh>
    <rPh sb="12" eb="16">
      <t>キョウガクタントウ</t>
    </rPh>
    <rPh sb="18" eb="22">
      <t>エイヨウガクブ</t>
    </rPh>
    <rPh sb="22" eb="24">
      <t>キョウジュ</t>
    </rPh>
    <rPh sb="25" eb="27">
      <t>エンドウ</t>
    </rPh>
    <rPh sb="28" eb="30">
      <t>ノブコ</t>
    </rPh>
    <rPh sb="33" eb="38">
      <t>エイヨウガクブチョウ</t>
    </rPh>
    <rPh sb="39" eb="45">
      <t>エイヨウガクブキョウジュ</t>
    </rPh>
    <rPh sb="49" eb="51">
      <t>ヨシノリ</t>
    </rPh>
    <rPh sb="66" eb="73">
      <t>エイヨウガクブジュンキョウジュ</t>
    </rPh>
    <rPh sb="74" eb="76">
      <t>オガタ</t>
    </rPh>
    <rPh sb="77" eb="79">
      <t>ヒロミツ</t>
    </rPh>
    <rPh sb="89" eb="91">
      <t>フジクラ</t>
    </rPh>
    <rPh sb="92" eb="94">
      <t>ジュンコ</t>
    </rPh>
    <rPh sb="104" eb="106">
      <t>ミヤウチ</t>
    </rPh>
    <rPh sb="107" eb="108">
      <t>タダ</t>
    </rPh>
    <rPh sb="113" eb="119">
      <t>エイヨウガクブキョウジュ</t>
    </rPh>
    <rPh sb="120" eb="122">
      <t>ヤマダ</t>
    </rPh>
    <rPh sb="123" eb="126">
      <t>コウタロウ</t>
    </rPh>
    <phoneticPr fontId="1"/>
  </si>
  <si>
    <t>本学は栄養学部のみであるが、令和６年度は数理・データサイエンス・AIプログラム認定制度（リテラシーレベル）のモデルカリキュラムに準拠した科目群を、学科ごとに異なる科目名称・開講学年の科目で構成し、学生全員が受講可能となる体制でプログラムを実施した。令和７年度からはカリキュラムを再編し、学科に関係なく１年次で同一名称の科目を履修する体制としたため、学生全員が分かりやすい仕組みで受講可能となっている。</t>
    <rPh sb="0" eb="2">
      <t>ホンガク</t>
    </rPh>
    <rPh sb="3" eb="5">
      <t>エイヨウ</t>
    </rPh>
    <rPh sb="5" eb="7">
      <t>ガクブ</t>
    </rPh>
    <rPh sb="14" eb="16">
      <t>レイワ</t>
    </rPh>
    <rPh sb="17" eb="19">
      <t>ネンド</t>
    </rPh>
    <rPh sb="20" eb="22">
      <t>スウリ</t>
    </rPh>
    <rPh sb="39" eb="43">
      <t>ニンテイセイド</t>
    </rPh>
    <rPh sb="64" eb="66">
      <t>ジュンキョ</t>
    </rPh>
    <rPh sb="68" eb="70">
      <t>カモク</t>
    </rPh>
    <rPh sb="70" eb="71">
      <t>グン</t>
    </rPh>
    <rPh sb="73" eb="75">
      <t>ガッカ</t>
    </rPh>
    <rPh sb="78" eb="79">
      <t>コト</t>
    </rPh>
    <rPh sb="86" eb="88">
      <t>カイコウ</t>
    </rPh>
    <rPh sb="88" eb="90">
      <t>ガクネン</t>
    </rPh>
    <rPh sb="91" eb="93">
      <t>カモク</t>
    </rPh>
    <rPh sb="94" eb="96">
      <t>コウセイ</t>
    </rPh>
    <rPh sb="98" eb="100">
      <t>ガクセイ</t>
    </rPh>
    <rPh sb="100" eb="102">
      <t>ゼンイン</t>
    </rPh>
    <rPh sb="103" eb="105">
      <t>ジュコウ</t>
    </rPh>
    <rPh sb="105" eb="107">
      <t>カノウ</t>
    </rPh>
    <rPh sb="110" eb="112">
      <t>タイセイ</t>
    </rPh>
    <rPh sb="119" eb="121">
      <t>ジッシ</t>
    </rPh>
    <rPh sb="124" eb="126">
      <t>レイワ</t>
    </rPh>
    <rPh sb="127" eb="129">
      <t>ネンド</t>
    </rPh>
    <rPh sb="139" eb="141">
      <t>サイヘン</t>
    </rPh>
    <rPh sb="143" eb="145">
      <t>ガッカ</t>
    </rPh>
    <rPh sb="146" eb="148">
      <t>カンケイ</t>
    </rPh>
    <rPh sb="151" eb="153">
      <t>ネンジ</t>
    </rPh>
    <rPh sb="154" eb="158">
      <t>ドウイツメイショウ</t>
    </rPh>
    <rPh sb="159" eb="161">
      <t>カモク</t>
    </rPh>
    <rPh sb="162" eb="164">
      <t>リシュウ</t>
    </rPh>
    <rPh sb="166" eb="168">
      <t>タイセイ</t>
    </rPh>
    <rPh sb="174" eb="176">
      <t>ガクセイ</t>
    </rPh>
    <rPh sb="176" eb="178">
      <t>ゼンイン</t>
    </rPh>
    <rPh sb="179" eb="180">
      <t>ワ</t>
    </rPh>
    <rPh sb="185" eb="187">
      <t>シク</t>
    </rPh>
    <rPh sb="189" eb="191">
      <t>ジュコウ</t>
    </rPh>
    <rPh sb="191" eb="193">
      <t>カノウ</t>
    </rPh>
    <phoneticPr fontId="1"/>
  </si>
  <si>
    <t>履修登録ガイダンスにおいて全学生へのアナウンスで周知するとともに、担任による履修指導においても履修を促す取組を行う。</t>
    <rPh sb="0" eb="4">
      <t>リシュウトウロク</t>
    </rPh>
    <rPh sb="13" eb="16">
      <t>ゼンガクセイ</t>
    </rPh>
    <rPh sb="24" eb="26">
      <t>シュウチ</t>
    </rPh>
    <rPh sb="33" eb="35">
      <t>タンニン</t>
    </rPh>
    <rPh sb="38" eb="42">
      <t>リシュウシドウ</t>
    </rPh>
    <rPh sb="47" eb="49">
      <t>リシュウ</t>
    </rPh>
    <rPh sb="50" eb="51">
      <t>ウナガ</t>
    </rPh>
    <rPh sb="52" eb="54">
      <t>トリクミ</t>
    </rPh>
    <rPh sb="55" eb="56">
      <t>オコナ</t>
    </rPh>
    <phoneticPr fontId="1"/>
  </si>
  <si>
    <t>授業担当者が作成した教材や説明資料はMicrosoftのTeamsにて履修者に公開し、いつでも参照できるようになっている。また、PCでの作業が多い演習授業においては、教員が操作するPC画面を、教室での説明音声付で録画を行い、欠席者や復習が必要な学生が視聴して学習を進めることができる体制を整えている。</t>
    <rPh sb="0" eb="5">
      <t>ジュギョウタントウシャ</t>
    </rPh>
    <rPh sb="6" eb="8">
      <t>サクセイ</t>
    </rPh>
    <rPh sb="10" eb="12">
      <t>キョウザイ</t>
    </rPh>
    <rPh sb="13" eb="15">
      <t>セツメイ</t>
    </rPh>
    <rPh sb="15" eb="17">
      <t>シリョウ</t>
    </rPh>
    <rPh sb="35" eb="38">
      <t>リシュウシャ</t>
    </rPh>
    <rPh sb="39" eb="41">
      <t>コウカイ</t>
    </rPh>
    <rPh sb="47" eb="49">
      <t>サンショウ</t>
    </rPh>
    <rPh sb="68" eb="70">
      <t>サギョウ</t>
    </rPh>
    <rPh sb="71" eb="72">
      <t>オオ</t>
    </rPh>
    <rPh sb="73" eb="75">
      <t>エンシュウ</t>
    </rPh>
    <rPh sb="75" eb="77">
      <t>ジュギョウ</t>
    </rPh>
    <rPh sb="83" eb="85">
      <t>キョウイン</t>
    </rPh>
    <rPh sb="86" eb="88">
      <t>ソウサ</t>
    </rPh>
    <rPh sb="92" eb="94">
      <t>ガメン</t>
    </rPh>
    <rPh sb="96" eb="98">
      <t>キョウシツ</t>
    </rPh>
    <rPh sb="100" eb="102">
      <t>セツメイ</t>
    </rPh>
    <rPh sb="102" eb="104">
      <t>オンセイ</t>
    </rPh>
    <rPh sb="104" eb="105">
      <t>ツキ</t>
    </rPh>
    <rPh sb="106" eb="108">
      <t>ロクガ</t>
    </rPh>
    <rPh sb="109" eb="110">
      <t>オコナ</t>
    </rPh>
    <rPh sb="112" eb="115">
      <t>ケッセキシャ</t>
    </rPh>
    <rPh sb="116" eb="118">
      <t>フクシュウ</t>
    </rPh>
    <rPh sb="119" eb="121">
      <t>ヒツヨウ</t>
    </rPh>
    <rPh sb="122" eb="124">
      <t>ガクセイ</t>
    </rPh>
    <rPh sb="125" eb="127">
      <t>シチョウ</t>
    </rPh>
    <rPh sb="129" eb="131">
      <t>ガクシュウ</t>
    </rPh>
    <rPh sb="132" eb="133">
      <t>スス</t>
    </rPh>
    <rPh sb="141" eb="143">
      <t>タイセイ</t>
    </rPh>
    <rPh sb="144" eb="145">
      <t>トトノ</t>
    </rPh>
    <phoneticPr fontId="1"/>
  </si>
  <si>
    <t>教員のオフィスアワーをWebで公開しており、授業時間外の学習指導や質問を対面やメール、MicrosoftのTeams等を通じて受け付ける体制を整えている。またパソコンの自習室には、情報・ネットワーク部所属のサポート職員を配置し、教職員が連携して情報機器の操作や設定、トラブルに関する支援を行っている。
演習の授業では教員と学生補助を行うスタッフを配置し、授業中の質問や機器のトラブル対応に当たっている。</t>
    <rPh sb="0" eb="2">
      <t>キョウイン</t>
    </rPh>
    <rPh sb="15" eb="17">
      <t>コウカイ</t>
    </rPh>
    <rPh sb="22" eb="26">
      <t>ジュギョウジカン</t>
    </rPh>
    <rPh sb="26" eb="27">
      <t>ガイ</t>
    </rPh>
    <rPh sb="28" eb="32">
      <t>ガクシュウシドウ</t>
    </rPh>
    <rPh sb="33" eb="35">
      <t>シツモン</t>
    </rPh>
    <rPh sb="36" eb="38">
      <t>タイメン</t>
    </rPh>
    <rPh sb="58" eb="59">
      <t>ナド</t>
    </rPh>
    <rPh sb="60" eb="61">
      <t>ツウ</t>
    </rPh>
    <rPh sb="63" eb="64">
      <t>ウ</t>
    </rPh>
    <rPh sb="65" eb="66">
      <t>ツ</t>
    </rPh>
    <rPh sb="68" eb="70">
      <t>タイセイ</t>
    </rPh>
    <rPh sb="71" eb="72">
      <t>トトノ</t>
    </rPh>
    <rPh sb="84" eb="87">
      <t>ジシュウシツ</t>
    </rPh>
    <rPh sb="90" eb="92">
      <t>ジョウホウ</t>
    </rPh>
    <rPh sb="99" eb="100">
      <t>ブ</t>
    </rPh>
    <rPh sb="100" eb="102">
      <t>ショゾク</t>
    </rPh>
    <rPh sb="110" eb="112">
      <t>ハイチ</t>
    </rPh>
    <rPh sb="114" eb="117">
      <t>キョウショクイン</t>
    </rPh>
    <rPh sb="118" eb="120">
      <t>レンケイ</t>
    </rPh>
    <rPh sb="122" eb="126">
      <t>ジョウホウキキ</t>
    </rPh>
    <rPh sb="127" eb="129">
      <t>ソウサ</t>
    </rPh>
    <rPh sb="130" eb="132">
      <t>セッテイ</t>
    </rPh>
    <rPh sb="138" eb="139">
      <t>カン</t>
    </rPh>
    <rPh sb="141" eb="143">
      <t>シエン</t>
    </rPh>
    <rPh sb="144" eb="145">
      <t>オコナ</t>
    </rPh>
    <rPh sb="151" eb="153">
      <t>エンシュウ</t>
    </rPh>
    <rPh sb="154" eb="156">
      <t>ジュギョウ</t>
    </rPh>
    <rPh sb="158" eb="160">
      <t>キョウイン</t>
    </rPh>
    <rPh sb="161" eb="163">
      <t>ガクセイ</t>
    </rPh>
    <rPh sb="163" eb="165">
      <t>ホジョ</t>
    </rPh>
    <rPh sb="166" eb="167">
      <t>オコナ</t>
    </rPh>
    <rPh sb="173" eb="175">
      <t>ハイチ</t>
    </rPh>
    <rPh sb="177" eb="180">
      <t>ジュギョウチュウ</t>
    </rPh>
    <rPh sb="181" eb="183">
      <t>シツモン</t>
    </rPh>
    <rPh sb="184" eb="186">
      <t>キキ</t>
    </rPh>
    <rPh sb="191" eb="193">
      <t>タイオウ</t>
    </rPh>
    <rPh sb="194" eb="195">
      <t>ア</t>
    </rPh>
    <phoneticPr fontId="1"/>
  </si>
  <si>
    <t>令和６年度は学科によって配当科目や開講学年が異なっており、プログラムに含まれる必修科目の履修者が未確定な時期であったことから、履修率が若干小さくなっているが、令和７年度以降はプログラムを構成する科目に必修科目を含めており、履修率は年度を追って増加すると見込まれる。
令和７年度は、1年時に必修科目の配当がある学生を加算して計656名（35.7%）となる見込みである。ガイダンス等での周知・推奨の強化、また、令和８年度以降は編入生の履修も含め、新たに400名を加え計1,056名（57.5%）の履修を目指す。令和９年度までには全学生に必修とする予定であることから、令和９年度は計1,493名（81.2%）、令和10年度は計1,591名（86.6%）の履修を見込んでいる。</t>
    <rPh sb="0" eb="2">
      <t>レイワ</t>
    </rPh>
    <rPh sb="3" eb="5">
      <t>ネンド</t>
    </rPh>
    <rPh sb="6" eb="8">
      <t>ガッカ</t>
    </rPh>
    <rPh sb="12" eb="14">
      <t>ハイトウ</t>
    </rPh>
    <rPh sb="14" eb="16">
      <t>カモク</t>
    </rPh>
    <rPh sb="17" eb="19">
      <t>カイコウ</t>
    </rPh>
    <rPh sb="19" eb="21">
      <t>ガクネン</t>
    </rPh>
    <rPh sb="22" eb="23">
      <t>コト</t>
    </rPh>
    <rPh sb="35" eb="36">
      <t>フク</t>
    </rPh>
    <rPh sb="39" eb="43">
      <t>ヒッシュウカモク</t>
    </rPh>
    <rPh sb="44" eb="47">
      <t>リシュウシャ</t>
    </rPh>
    <rPh sb="48" eb="51">
      <t>ミカクテイ</t>
    </rPh>
    <rPh sb="52" eb="54">
      <t>ジキ</t>
    </rPh>
    <rPh sb="63" eb="66">
      <t>リシュウリツ</t>
    </rPh>
    <rPh sb="67" eb="69">
      <t>ジャッカン</t>
    </rPh>
    <rPh sb="69" eb="70">
      <t>チイ</t>
    </rPh>
    <rPh sb="79" eb="81">
      <t>レイワ</t>
    </rPh>
    <rPh sb="82" eb="84">
      <t>ネンド</t>
    </rPh>
    <rPh sb="84" eb="86">
      <t>イコウ</t>
    </rPh>
    <rPh sb="93" eb="95">
      <t>コウセイ</t>
    </rPh>
    <rPh sb="97" eb="99">
      <t>カモク</t>
    </rPh>
    <rPh sb="100" eb="104">
      <t>ヒッシュウカモク</t>
    </rPh>
    <rPh sb="105" eb="106">
      <t>フク</t>
    </rPh>
    <rPh sb="111" eb="114">
      <t>リシュウリツ</t>
    </rPh>
    <rPh sb="126" eb="128">
      <t>ミコ</t>
    </rPh>
    <rPh sb="133" eb="135">
      <t>レイワ</t>
    </rPh>
    <rPh sb="136" eb="138">
      <t>ネンド</t>
    </rPh>
    <rPh sb="141" eb="143">
      <t>ネンジ</t>
    </rPh>
    <rPh sb="144" eb="148">
      <t>ヒッシュウカモク</t>
    </rPh>
    <rPh sb="149" eb="151">
      <t>ハイトウ</t>
    </rPh>
    <rPh sb="154" eb="156">
      <t>ガクセイ</t>
    </rPh>
    <rPh sb="157" eb="159">
      <t>カサン</t>
    </rPh>
    <rPh sb="194" eb="196">
      <t>スイショウ</t>
    </rPh>
    <rPh sb="203" eb="205">
      <t>レイワ</t>
    </rPh>
    <rPh sb="206" eb="208">
      <t>ネンド</t>
    </rPh>
    <rPh sb="208" eb="210">
      <t>イコウ</t>
    </rPh>
    <rPh sb="211" eb="214">
      <t>ヘンニュウセイ</t>
    </rPh>
    <rPh sb="215" eb="217">
      <t>リシュウ</t>
    </rPh>
    <rPh sb="218" eb="219">
      <t>フク</t>
    </rPh>
    <rPh sb="221" eb="222">
      <t>アラ</t>
    </rPh>
    <rPh sb="227" eb="228">
      <t>メイ</t>
    </rPh>
    <rPh sb="231" eb="232">
      <t>ケイ</t>
    </rPh>
    <rPh sb="237" eb="238">
      <t>メイ</t>
    </rPh>
    <rPh sb="246" eb="248">
      <t>リシュウ</t>
    </rPh>
    <rPh sb="249" eb="251">
      <t>メザ</t>
    </rPh>
    <rPh sb="253" eb="255">
      <t>レイワ</t>
    </rPh>
    <rPh sb="256" eb="258">
      <t>ネンド</t>
    </rPh>
    <rPh sb="262" eb="265">
      <t>ゼンガクセイ</t>
    </rPh>
    <rPh sb="266" eb="268">
      <t>ヒッシュウ</t>
    </rPh>
    <rPh sb="271" eb="273">
      <t>ヨテイ</t>
    </rPh>
    <rPh sb="281" eb="283">
      <t>レイワ</t>
    </rPh>
    <rPh sb="284" eb="286">
      <t>ネンド</t>
    </rPh>
    <rPh sb="287" eb="288">
      <t>ケイ</t>
    </rPh>
    <rPh sb="302" eb="304">
      <t>レイワ</t>
    </rPh>
    <rPh sb="306" eb="308">
      <t>ネンド</t>
    </rPh>
    <rPh sb="309" eb="310">
      <t>ケイ</t>
    </rPh>
    <rPh sb="315" eb="316">
      <t>メイ</t>
    </rPh>
    <rPh sb="324" eb="326">
      <t>リシュウ</t>
    </rPh>
    <rPh sb="327" eb="329">
      <t>ミコ</t>
    </rPh>
    <phoneticPr fontId="1"/>
  </si>
  <si>
    <t>学部・学科によって、修了要件は相違しない</t>
  </si>
  <si>
    <t>AIの仕組みを理解し、適切に利用できる能力。
人びとの栄養や健康にかかわるデータの取り扱いや分析を、高い倫理観を持って実行するための情報リテラシー力。
本学の建学の精神「食により人間の健康の維持・改善を図る」を、データサイエンスで実現するための知識と技能の修得。</t>
    <rPh sb="3" eb="5">
      <t>シク</t>
    </rPh>
    <rPh sb="7" eb="9">
      <t>リカイ</t>
    </rPh>
    <rPh sb="11" eb="13">
      <t>テキセツ</t>
    </rPh>
    <rPh sb="14" eb="16">
      <t>リヨウ</t>
    </rPh>
    <rPh sb="19" eb="21">
      <t>ノウリョク</t>
    </rPh>
    <rPh sb="23" eb="24">
      <t>ヒト</t>
    </rPh>
    <rPh sb="27" eb="29">
      <t>エイヨウ</t>
    </rPh>
    <rPh sb="30" eb="32">
      <t>ケンコウ</t>
    </rPh>
    <rPh sb="41" eb="42">
      <t>ト</t>
    </rPh>
    <rPh sb="43" eb="44">
      <t>アツカ</t>
    </rPh>
    <rPh sb="46" eb="48">
      <t>ブンセキ</t>
    </rPh>
    <rPh sb="50" eb="51">
      <t>タカ</t>
    </rPh>
    <rPh sb="52" eb="55">
      <t>リンリカン</t>
    </rPh>
    <rPh sb="56" eb="57">
      <t>モ</t>
    </rPh>
    <rPh sb="59" eb="61">
      <t>ジッコウ</t>
    </rPh>
    <rPh sb="66" eb="68">
      <t>ジョウホウ</t>
    </rPh>
    <rPh sb="73" eb="74">
      <t>チカラ</t>
    </rPh>
    <rPh sb="76" eb="78">
      <t>ホンガク</t>
    </rPh>
    <rPh sb="79" eb="81">
      <t>ケンガク</t>
    </rPh>
    <rPh sb="82" eb="84">
      <t>セイシン</t>
    </rPh>
    <rPh sb="115" eb="117">
      <t>ジツゲン</t>
    </rPh>
    <rPh sb="122" eb="124">
      <t>チシキ</t>
    </rPh>
    <rPh sb="125" eb="127">
      <t>ギノウ</t>
    </rPh>
    <rPh sb="128" eb="130">
      <t>シュウトク</t>
    </rPh>
    <phoneticPr fontId="1"/>
  </si>
  <si>
    <t>栄養学部の３学科（実践栄養学科、保健栄養学科、食文化栄養学科）について、下記の修了要件を定める。
実践栄養学科では、「疫学・生物統計学」（2単位）と「情報処理基礎実習」（1単位）の2科目3単位の修得を修了要件とする。
保健栄養学科（栄養科学専攻、保健養護専攻）では、「情報処理統計学」（2単位）と「情報処理統計学実習」（1単位）の2科目3単位の修得を修了要件とする。
食文化栄養学科では、「情報社会リテラシー論」（2単位）と「情報処理実習」（1単位）の2科目3単位の修得を修了要件とする。</t>
    <rPh sb="0" eb="4">
      <t>エイヨウガクブ</t>
    </rPh>
    <rPh sb="6" eb="8">
      <t>ガッカ</t>
    </rPh>
    <rPh sb="9" eb="15">
      <t>ジッセンエイヨウガッカ</t>
    </rPh>
    <rPh sb="16" eb="22">
      <t>ホケンエイヨウガッカ</t>
    </rPh>
    <rPh sb="23" eb="30">
      <t>ショクブンカエイヨウガッカ</t>
    </rPh>
    <rPh sb="36" eb="38">
      <t>カキ</t>
    </rPh>
    <rPh sb="39" eb="43">
      <t>シュウリョウヨウケン</t>
    </rPh>
    <rPh sb="44" eb="45">
      <t>サダ</t>
    </rPh>
    <rPh sb="49" eb="55">
      <t>ジッセンエイヨウガッカ</t>
    </rPh>
    <rPh sb="70" eb="72">
      <t>タンイ</t>
    </rPh>
    <rPh sb="86" eb="88">
      <t>タンイ</t>
    </rPh>
    <rPh sb="91" eb="93">
      <t>カモク</t>
    </rPh>
    <rPh sb="94" eb="96">
      <t>タンイ</t>
    </rPh>
    <rPh sb="109" eb="115">
      <t>ホケンエイヨウガッカ</t>
    </rPh>
    <rPh sb="116" eb="122">
      <t>エイヨウカガクセンコウ</t>
    </rPh>
    <rPh sb="123" eb="129">
      <t>ホケンヨウゴセンコウ</t>
    </rPh>
    <rPh sb="144" eb="146">
      <t>タンイ</t>
    </rPh>
    <rPh sb="161" eb="163">
      <t>タンイ</t>
    </rPh>
    <rPh sb="166" eb="168">
      <t>カモク</t>
    </rPh>
    <rPh sb="169" eb="171">
      <t>タンイ</t>
    </rPh>
    <rPh sb="184" eb="191">
      <t>ショクブンカエイヨウガッカ</t>
    </rPh>
    <rPh sb="208" eb="210">
      <t>タンイ</t>
    </rPh>
    <rPh sb="222" eb="224">
      <t>タンイ</t>
    </rPh>
    <rPh sb="227" eb="229">
      <t>カモク</t>
    </rPh>
    <rPh sb="230" eb="232">
      <t>タンイ</t>
    </rPh>
    <phoneticPr fontId="1"/>
  </si>
  <si>
    <r>
      <t>情報処理統計学　</t>
    </r>
    <r>
      <rPr>
        <sz val="10"/>
        <rFont val="ＭＳ Ｐゴシック"/>
        <family val="3"/>
        <charset val="128"/>
        <scheme val="minor"/>
      </rPr>
      <t>※栄養科学専攻</t>
    </r>
    <rPh sb="0" eb="6">
      <t>ジョウホウショリトウケイ</t>
    </rPh>
    <rPh sb="6" eb="7">
      <t>ガク</t>
    </rPh>
    <phoneticPr fontId="1"/>
  </si>
  <si>
    <r>
      <t>情報処理統計学　</t>
    </r>
    <r>
      <rPr>
        <sz val="10"/>
        <rFont val="ＭＳ Ｐゴシック"/>
        <family val="3"/>
        <charset val="128"/>
        <scheme val="minor"/>
      </rPr>
      <t>※保健養護専攻</t>
    </r>
    <rPh sb="0" eb="6">
      <t>ジョウホウショリトウケイ</t>
    </rPh>
    <rPh sb="6" eb="7">
      <t>ガク</t>
    </rPh>
    <phoneticPr fontId="1"/>
  </si>
  <si>
    <r>
      <t>情報処理統計学実習</t>
    </r>
    <r>
      <rPr>
        <sz val="10"/>
        <rFont val="ＭＳ Ｐゴシック"/>
        <family val="3"/>
        <charset val="128"/>
        <scheme val="minor"/>
      </rPr>
      <t>　※栄養科学専攻</t>
    </r>
    <rPh sb="0" eb="4">
      <t>ジョウホウショリ</t>
    </rPh>
    <rPh sb="4" eb="7">
      <t>トウケイガク</t>
    </rPh>
    <rPh sb="7" eb="9">
      <t>ジッシュウ</t>
    </rPh>
    <rPh sb="11" eb="17">
      <t>エイヨウカガクセンコウ</t>
    </rPh>
    <phoneticPr fontId="1"/>
  </si>
  <si>
    <r>
      <t>情報処理統計学実習</t>
    </r>
    <r>
      <rPr>
        <sz val="10"/>
        <rFont val="ＭＳ Ｐゴシック"/>
        <family val="3"/>
        <charset val="128"/>
        <scheme val="minor"/>
      </rPr>
      <t>　※保健養護専攻</t>
    </r>
    <rPh sb="0" eb="4">
      <t>ジョウホウショリ</t>
    </rPh>
    <rPh sb="4" eb="7">
      <t>トウケイガク</t>
    </rPh>
    <rPh sb="7" eb="9">
      <t>ジッシュウ</t>
    </rPh>
    <rPh sb="11" eb="15">
      <t>ホケンヨウゴ</t>
    </rPh>
    <phoneticPr fontId="1"/>
  </si>
  <si>
    <r>
      <t>情報処理統計学</t>
    </r>
    <r>
      <rPr>
        <sz val="10"/>
        <rFont val="ＭＳ Ｐゴシック"/>
        <family val="3"/>
        <charset val="128"/>
        <scheme val="minor"/>
      </rPr>
      <t xml:space="preserve"> 　※栄養科学専攻</t>
    </r>
    <rPh sb="0" eb="2">
      <t>ジョウホウ</t>
    </rPh>
    <rPh sb="2" eb="4">
      <t>ショリ</t>
    </rPh>
    <rPh sb="4" eb="6">
      <t>トウケイ</t>
    </rPh>
    <rPh sb="6" eb="7">
      <t>ガク</t>
    </rPh>
    <rPh sb="10" eb="16">
      <t>エイヨウカガクセンコウ</t>
    </rPh>
    <phoneticPr fontId="1"/>
  </si>
  <si>
    <r>
      <t>情報処理統計学</t>
    </r>
    <r>
      <rPr>
        <sz val="10"/>
        <rFont val="ＭＳ Ｐゴシック"/>
        <family val="3"/>
        <charset val="128"/>
        <scheme val="minor"/>
      </rPr>
      <t xml:space="preserve"> 　※保健養護専攻</t>
    </r>
    <rPh sb="0" eb="2">
      <t>ジョウホウ</t>
    </rPh>
    <rPh sb="2" eb="4">
      <t>ショリ</t>
    </rPh>
    <rPh sb="4" eb="6">
      <t>トウケイ</t>
    </rPh>
    <rPh sb="6" eb="7">
      <t>ガク</t>
    </rPh>
    <rPh sb="10" eb="14">
      <t>ホケンヨウゴ</t>
    </rPh>
    <phoneticPr fontId="1"/>
  </si>
  <si>
    <r>
      <t xml:space="preserve">情報処理統計学実習 </t>
    </r>
    <r>
      <rPr>
        <sz val="10"/>
        <rFont val="ＭＳ Ｐゴシック"/>
        <family val="3"/>
        <charset val="128"/>
        <scheme val="minor"/>
      </rPr>
      <t>※栄養科学専攻</t>
    </r>
    <rPh sb="0" eb="2">
      <t>ジョウホウ</t>
    </rPh>
    <rPh sb="2" eb="4">
      <t>ショリ</t>
    </rPh>
    <rPh sb="4" eb="7">
      <t>トウケイガク</t>
    </rPh>
    <rPh sb="7" eb="9">
      <t>ジッシュウ</t>
    </rPh>
    <phoneticPr fontId="1"/>
  </si>
  <si>
    <r>
      <t xml:space="preserve">情報処理統計学実習 </t>
    </r>
    <r>
      <rPr>
        <sz val="10"/>
        <rFont val="ＭＳ Ｐゴシック"/>
        <family val="3"/>
        <charset val="128"/>
        <scheme val="minor"/>
      </rPr>
      <t>※保健養護専攻</t>
    </r>
    <rPh sb="0" eb="2">
      <t>ジョウホウ</t>
    </rPh>
    <rPh sb="2" eb="4">
      <t>ショリ</t>
    </rPh>
    <rPh sb="4" eb="7">
      <t>トウケイガク</t>
    </rPh>
    <rPh sb="7" eb="9">
      <t>ジッシュウ</t>
    </rPh>
    <rPh sb="11" eb="15">
      <t>ホケンヨウゴ</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</si>
</sst>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11" fillId="0" borderId="1" xfId="0" applyFont="1" applyBorder="1" applyAlignment="1">
      <alignment horizontal="left" vertical="center"/>
    </xf>
    <xf numFmtId="0" fontId="11" fillId="0" borderId="1" xfId="0" applyFont="1" applyBorder="1" applyAlignment="1">
      <alignment horizontal="center" vertical="center" shrinkToFit="1"/>
    </xf>
    <xf numFmtId="9" fontId="2" fillId="0" borderId="1" xfId="0" applyNumberFormat="1" applyFont="1" applyBorder="1" applyAlignment="1">
      <alignment horizontal="center" vertical="center" shrinkToFit="1"/>
    </xf>
    <xf numFmtId="0" fontId="11" fillId="0" borderId="1" xfId="0" applyFont="1" applyBorder="1" applyAlignment="1">
      <alignment horizontal="center" vertical="center"/>
    </xf>
    <xf numFmtId="0" fontId="11" fillId="0" borderId="0" xfId="0" applyFont="1" applyAlignment="1">
      <alignmen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0" xfId="0" applyFont="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11" fillId="0" borderId="2" xfId="0" applyFont="1" applyBorder="1" applyAlignment="1">
      <alignment horizontal="left" vertical="center"/>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11" fillId="0" borderId="1" xfId="0" applyNumberFormat="1" applyFont="1" applyBorder="1" applyAlignment="1">
      <alignment horizontal="center" vertical="center" shrinkToFit="1"/>
    </xf>
    <xf numFmtId="0" fontId="11"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1" fillId="0" borderId="18" xfId="0" applyFont="1" applyBorder="1" applyAlignment="1">
      <alignment vertical="top" wrapText="1" shrinkToFit="1"/>
    </xf>
    <xf numFmtId="0" fontId="11" fillId="0" borderId="19" xfId="0" applyFont="1" applyBorder="1" applyAlignment="1">
      <alignment vertical="top" wrapText="1" shrinkToFit="1"/>
    </xf>
    <xf numFmtId="0" fontId="11"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1" fillId="0" borderId="37" xfId="0" applyFont="1" applyBorder="1" applyAlignment="1">
      <alignment vertical="top" wrapText="1" shrinkToFit="1"/>
    </xf>
    <xf numFmtId="0" fontId="11" fillId="0" borderId="38" xfId="0" applyFont="1" applyBorder="1" applyAlignment="1">
      <alignment vertical="top" wrapText="1" shrinkToFit="1"/>
    </xf>
    <xf numFmtId="0" fontId="11" fillId="0" borderId="0" xfId="0" applyFont="1" applyAlignment="1">
      <alignment horizontal="right" vertical="center"/>
    </xf>
    <xf numFmtId="0" fontId="13" fillId="0" borderId="0" xfId="0" applyFont="1">
      <alignmen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0" xfId="0" applyFont="1" applyAlignment="1">
      <alignment horizontal="left" vertical="center" shrinkToFit="1"/>
    </xf>
    <xf numFmtId="0" fontId="14" fillId="0" borderId="0" xfId="0" applyFont="1" applyAlignment="1">
      <alignment horizontal="center" vertical="center"/>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4" xfId="0" applyFont="1" applyFill="1" applyBorder="1" applyAlignment="1">
      <alignment horizontal="center"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13"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1" fillId="0" borderId="0" xfId="0" applyFont="1" applyAlignment="1">
      <alignment vertical="center" wrapText="1"/>
    </xf>
    <xf numFmtId="0" fontId="15" fillId="0" borderId="1" xfId="0" applyFont="1" applyBorder="1" applyAlignment="1">
      <alignment horizontal="center" vertical="center" shrinkToFit="1"/>
    </xf>
    <xf numFmtId="0" fontId="15" fillId="0" borderId="4" xfId="0" applyFont="1" applyBorder="1" applyAlignment="1">
      <alignment horizontal="center" vertical="center" shrinkToFit="1"/>
    </xf>
    <xf numFmtId="49" fontId="15" fillId="0" borderId="1" xfId="0" applyNumberFormat="1" applyFont="1" applyBorder="1" applyAlignment="1">
      <alignment horizontal="center" vertical="center"/>
    </xf>
    <xf numFmtId="0" fontId="11" fillId="0" borderId="29" xfId="0" applyFont="1" applyBorder="1" applyAlignment="1">
      <alignment vertical="center" shrinkToFit="1"/>
    </xf>
    <xf numFmtId="0" fontId="11" fillId="0" borderId="31" xfId="0" applyFont="1" applyBorder="1" applyAlignment="1">
      <alignment vertical="center" shrinkToFit="1"/>
    </xf>
    <xf numFmtId="0" fontId="11" fillId="0" borderId="30" xfId="0" applyFont="1" applyBorder="1" applyAlignment="1">
      <alignment vertical="center" shrinkToFit="1"/>
    </xf>
    <xf numFmtId="0" fontId="11" fillId="0" borderId="14" xfId="0" applyFont="1" applyBorder="1" applyAlignment="1">
      <alignment horizontal="center" vertical="center" shrinkToFit="1"/>
    </xf>
    <xf numFmtId="0" fontId="11" fillId="0" borderId="18" xfId="0" applyFont="1" applyBorder="1" applyAlignment="1">
      <alignment vertical="center" shrinkToFit="1"/>
    </xf>
    <xf numFmtId="0" fontId="11" fillId="0" borderId="19" xfId="0" applyFont="1" applyBorder="1" applyAlignment="1">
      <alignment vertical="center" shrinkToFit="1"/>
    </xf>
    <xf numFmtId="0" fontId="11" fillId="0" borderId="17" xfId="0" applyFont="1" applyBorder="1" applyAlignment="1">
      <alignment vertical="center" shrinkToFit="1"/>
    </xf>
    <xf numFmtId="0" fontId="11" fillId="0" borderId="20" xfId="0" applyFont="1" applyBorder="1" applyAlignment="1">
      <alignment horizontal="center" vertical="center" shrinkToFit="1"/>
    </xf>
    <xf numFmtId="0" fontId="11" fillId="0" borderId="32" xfId="0" applyFont="1" applyBorder="1" applyAlignment="1">
      <alignment vertical="center" shrinkToFit="1"/>
    </xf>
    <xf numFmtId="0" fontId="11" fillId="0" borderId="33" xfId="0" applyFont="1" applyBorder="1" applyAlignment="1">
      <alignment vertical="center" shrinkToFit="1"/>
    </xf>
    <xf numFmtId="0" fontId="11" fillId="0" borderId="34" xfId="0" applyFont="1" applyBorder="1" applyAlignment="1">
      <alignment vertical="center" shrinkToFit="1"/>
    </xf>
    <xf numFmtId="0" fontId="11" fillId="0" borderId="13"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7" xfId="0" applyFont="1" applyBorder="1" applyAlignment="1">
      <alignment horizontal="center" vertical="center" shrinkToFit="1"/>
    </xf>
    <xf numFmtId="0" fontId="11" fillId="0" borderId="8" xfId="0" applyFont="1" applyBorder="1" applyAlignment="1">
      <alignment horizontal="center" vertical="center" shrinkToFit="1"/>
    </xf>
    <xf numFmtId="0" fontId="11" fillId="0" borderId="9"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17" xfId="0" applyFont="1" applyBorder="1" applyAlignment="1">
      <alignment horizontal="center" vertical="center" shrinkToFit="1"/>
    </xf>
    <xf numFmtId="0" fontId="11" fillId="0" borderId="11" xfId="0" applyFont="1" applyBorder="1" applyAlignment="1">
      <alignment horizontal="center" vertical="center" shrinkToFit="1"/>
    </xf>
    <xf numFmtId="0" fontId="11" fillId="0" borderId="6" xfId="0" applyFont="1" applyBorder="1" applyAlignment="1">
      <alignment horizontal="center" vertical="center" shrinkToFit="1"/>
    </xf>
    <xf numFmtId="0" fontId="11" fillId="0" borderId="12" xfId="0" applyFont="1" applyBorder="1" applyAlignment="1">
      <alignment horizontal="center" vertical="center" shrinkToFit="1"/>
    </xf>
    <xf numFmtId="0" fontId="12" fillId="0" borderId="2" xfId="0" applyFont="1" applyBorder="1" applyAlignment="1">
      <alignment horizontal="center" vertical="center" shrinkToFit="1"/>
    </xf>
    <xf numFmtId="0" fontId="12" fillId="0" borderId="4" xfId="0" applyFont="1" applyBorder="1" applyAlignment="1">
      <alignment horizontal="center" vertical="center" shrinkToFit="1"/>
    </xf>
    <xf numFmtId="0" fontId="15" fillId="0" borderId="40" xfId="0" applyFont="1" applyBorder="1" applyAlignment="1">
      <alignment vertical="center" wrapText="1"/>
    </xf>
    <xf numFmtId="49" fontId="15" fillId="0" borderId="43" xfId="0" applyNumberFormat="1" applyFont="1" applyBorder="1" applyAlignment="1">
      <alignment horizontal="center" vertical="center"/>
    </xf>
    <xf numFmtId="49" fontId="12" fillId="0" borderId="29" xfId="0" applyNumberFormat="1" applyFont="1" applyBorder="1" applyAlignment="1">
      <alignment horizontal="left" vertical="center" wrapText="1"/>
    </xf>
    <xf numFmtId="49" fontId="12" fillId="0" borderId="31" xfId="0" applyNumberFormat="1" applyFont="1" applyBorder="1" applyAlignment="1">
      <alignment horizontal="left" vertical="center"/>
    </xf>
    <xf numFmtId="49" fontId="12" fillId="0" borderId="30" xfId="0" applyNumberFormat="1" applyFont="1" applyBorder="1" applyAlignment="1">
      <alignment horizontal="left" vertical="center"/>
    </xf>
    <xf numFmtId="0" fontId="15" fillId="0" borderId="27" xfId="0" applyFont="1" applyBorder="1" applyAlignment="1">
      <alignment vertical="center" wrapText="1"/>
    </xf>
    <xf numFmtId="49" fontId="15" fillId="0" borderId="44" xfId="0" applyNumberFormat="1" applyFont="1" applyBorder="1" applyAlignment="1">
      <alignment horizontal="center" vertical="center"/>
    </xf>
    <xf numFmtId="49" fontId="12" fillId="0" borderId="32" xfId="0" applyNumberFormat="1" applyFont="1" applyBorder="1" applyAlignment="1">
      <alignment horizontal="left" vertical="center" wrapText="1"/>
    </xf>
    <xf numFmtId="49" fontId="12" fillId="0" borderId="33" xfId="0" applyNumberFormat="1" applyFont="1" applyBorder="1" applyAlignment="1">
      <alignment horizontal="left" vertical="center"/>
    </xf>
    <xf numFmtId="49" fontId="12" fillId="0" borderId="34" xfId="0" applyNumberFormat="1" applyFont="1" applyBorder="1" applyAlignment="1">
      <alignment horizontal="left" vertical="center"/>
    </xf>
    <xf numFmtId="49" fontId="15" fillId="0" borderId="39" xfId="0" applyNumberFormat="1" applyFont="1" applyBorder="1" applyAlignment="1">
      <alignment horizontal="center" vertical="center"/>
    </xf>
    <xf numFmtId="0" fontId="15" fillId="0" borderId="41" xfId="0" applyFont="1" applyBorder="1" applyAlignment="1">
      <alignment vertical="center" wrapText="1"/>
    </xf>
    <xf numFmtId="49" fontId="15" fillId="0" borderId="26" xfId="0" applyNumberFormat="1" applyFont="1" applyBorder="1" applyAlignment="1">
      <alignment horizontal="center" vertical="center"/>
    </xf>
    <xf numFmtId="49" fontId="15" fillId="0" borderId="42" xfId="0" applyNumberFormat="1" applyFont="1" applyBorder="1" applyAlignment="1">
      <alignment horizontal="center" vertical="center"/>
    </xf>
    <xf numFmtId="49" fontId="12" fillId="0" borderId="11" xfId="0" applyNumberFormat="1" applyFont="1" applyBorder="1" applyAlignment="1">
      <alignment horizontal="left" vertical="center" wrapText="1"/>
    </xf>
    <xf numFmtId="49" fontId="12" fillId="0" borderId="6" xfId="0" applyNumberFormat="1" applyFont="1" applyBorder="1" applyAlignment="1">
      <alignment horizontal="left" vertical="center"/>
    </xf>
    <xf numFmtId="49" fontId="12" fillId="0" borderId="12" xfId="0" applyNumberFormat="1" applyFont="1" applyBorder="1" applyAlignment="1">
      <alignment horizontal="left" vertical="center"/>
    </xf>
    <xf numFmtId="49" fontId="12" fillId="0" borderId="36" xfId="0" applyNumberFormat="1" applyFont="1" applyBorder="1" applyAlignment="1">
      <alignment horizontal="left" vertical="center" wrapText="1"/>
    </xf>
    <xf numFmtId="49" fontId="12" fillId="0" borderId="37" xfId="0" applyNumberFormat="1" applyFont="1" applyBorder="1" applyAlignment="1">
      <alignment horizontal="left" vertical="center"/>
    </xf>
    <xf numFmtId="49" fontId="12" fillId="0" borderId="38" xfId="0" applyNumberFormat="1" applyFont="1" applyBorder="1" applyAlignment="1">
      <alignment horizontal="left" vertical="center"/>
    </xf>
    <xf numFmtId="49" fontId="15" fillId="0" borderId="28" xfId="0" applyNumberFormat="1" applyFont="1" applyBorder="1" applyAlignment="1">
      <alignment horizontal="center" vertical="center"/>
    </xf>
    <xf numFmtId="0" fontId="11" fillId="0" borderId="2" xfId="0" applyFont="1" applyBorder="1" applyAlignment="1">
      <alignment vertical="center" wrapText="1" shrinkToFit="1"/>
    </xf>
    <xf numFmtId="0" fontId="11" fillId="0" borderId="3" xfId="0" applyFont="1" applyBorder="1" applyAlignment="1">
      <alignment vertical="center" wrapText="1" shrinkToFit="1"/>
    </xf>
    <xf numFmtId="0" fontId="11" fillId="0" borderId="4" xfId="0" applyFont="1" applyBorder="1" applyAlignment="1">
      <alignment vertical="center"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0000FF"/>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9"/>
  <sheetViews>
    <sheetView showZeros="0" tabSelected="1" view="pageBreakPreview" zoomScale="80" zoomScaleNormal="100" zoomScaleSheetLayoutView="80" workbookViewId="0"/>
  </sheetViews>
  <sheetFormatPr defaultColWidth="9" defaultRowHeight="18.75" customHeight="1" x14ac:dyDescent="0.2"/>
  <cols>
    <col min="1" max="1" width="2.44140625" style="53" customWidth="1"/>
    <col min="2" max="2" width="16.44140625" style="53" customWidth="1"/>
    <col min="3" max="21" width="5.6640625" style="53" customWidth="1"/>
    <col min="22" max="22" width="9" style="53"/>
    <col min="23" max="23" width="3.6640625" style="53" customWidth="1"/>
    <col min="24" max="24" width="48.6640625" style="53" hidden="1" customWidth="1"/>
    <col min="25" max="26" width="9" style="53"/>
    <col min="27" max="27" width="9" style="53" hidden="1" customWidth="1"/>
    <col min="28" max="16384" width="9" style="53"/>
  </cols>
  <sheetData>
    <row r="1" spans="1:24" ht="18.600000000000001" customHeight="1" x14ac:dyDescent="0.2">
      <c r="T1" s="185" t="s">
        <v>12</v>
      </c>
      <c r="U1" s="185"/>
      <c r="V1" s="186" t="s">
        <v>94</v>
      </c>
    </row>
    <row r="2" spans="1:24" ht="18.75" customHeight="1" x14ac:dyDescent="0.2">
      <c r="B2" s="68" t="s">
        <v>93</v>
      </c>
      <c r="C2" s="187" t="s">
        <v>143</v>
      </c>
      <c r="D2" s="188"/>
      <c r="E2" s="188"/>
      <c r="F2" s="188"/>
      <c r="G2" s="188"/>
      <c r="H2" s="188"/>
      <c r="I2" s="188"/>
      <c r="J2" s="189"/>
      <c r="K2" s="56"/>
      <c r="L2" s="54"/>
      <c r="M2" s="54"/>
      <c r="N2" s="54"/>
      <c r="O2" s="54"/>
      <c r="P2" s="54"/>
      <c r="Q2" s="54"/>
      <c r="R2" s="54"/>
      <c r="S2" s="54"/>
      <c r="T2" s="54"/>
      <c r="U2" s="54"/>
    </row>
    <row r="3" spans="1:24" ht="18.75" customHeight="1" x14ac:dyDescent="0.2">
      <c r="B3" s="68" t="s">
        <v>88</v>
      </c>
      <c r="C3" s="74" t="s">
        <v>174</v>
      </c>
      <c r="D3" s="75"/>
      <c r="E3" s="75"/>
      <c r="F3" s="75"/>
      <c r="G3" s="75"/>
      <c r="H3" s="75"/>
      <c r="I3" s="75"/>
      <c r="J3" s="76"/>
      <c r="K3" s="56"/>
      <c r="L3" s="54"/>
      <c r="M3" s="54"/>
      <c r="N3" s="54"/>
      <c r="O3" s="54"/>
      <c r="P3" s="54"/>
      <c r="Q3" s="54"/>
      <c r="R3" s="54"/>
      <c r="S3" s="54"/>
      <c r="T3" s="54"/>
      <c r="U3" s="54"/>
    </row>
    <row r="4" spans="1:24" ht="15" customHeight="1" x14ac:dyDescent="0.2">
      <c r="L4" s="56"/>
      <c r="M4" s="190"/>
      <c r="N4" s="190"/>
      <c r="O4" s="190"/>
      <c r="P4" s="190"/>
      <c r="Q4" s="190"/>
      <c r="R4" s="190"/>
      <c r="S4" s="190"/>
      <c r="T4" s="190"/>
      <c r="U4" s="190"/>
    </row>
    <row r="5" spans="1:24" ht="18" customHeight="1" x14ac:dyDescent="0.2">
      <c r="A5" s="191" t="s">
        <v>141</v>
      </c>
      <c r="B5" s="191"/>
      <c r="C5" s="191"/>
      <c r="D5" s="191"/>
      <c r="E5" s="191"/>
      <c r="F5" s="191"/>
      <c r="G5" s="191"/>
      <c r="H5" s="191"/>
      <c r="I5" s="191"/>
      <c r="J5" s="191"/>
      <c r="K5" s="191"/>
      <c r="L5" s="191"/>
      <c r="M5" s="191"/>
      <c r="N5" s="191"/>
      <c r="O5" s="191"/>
      <c r="P5" s="191"/>
      <c r="Q5" s="191"/>
      <c r="R5" s="191"/>
      <c r="S5" s="191"/>
      <c r="T5" s="191"/>
      <c r="U5" s="191"/>
    </row>
    <row r="6" spans="1:24" ht="15" customHeight="1" x14ac:dyDescent="0.2">
      <c r="B6" s="55"/>
      <c r="C6" s="55"/>
      <c r="D6" s="55"/>
      <c r="E6" s="55"/>
      <c r="F6" s="55"/>
      <c r="G6" s="55"/>
      <c r="H6" s="55"/>
      <c r="I6" s="55"/>
      <c r="J6" s="55"/>
      <c r="K6" s="55"/>
      <c r="L6" s="55"/>
      <c r="M6" s="55"/>
      <c r="N6" s="55"/>
      <c r="O6" s="55"/>
      <c r="P6" s="55"/>
      <c r="Q6" s="55"/>
      <c r="R6" s="55"/>
      <c r="S6" s="55"/>
      <c r="T6" s="55"/>
      <c r="U6" s="55"/>
    </row>
    <row r="7" spans="1:24" ht="15" customHeight="1" x14ac:dyDescent="0.2">
      <c r="A7" s="53" t="s">
        <v>117</v>
      </c>
      <c r="B7" s="55"/>
      <c r="C7" s="55"/>
      <c r="D7" s="55"/>
      <c r="E7" s="55"/>
      <c r="F7" s="186"/>
      <c r="G7" s="186"/>
      <c r="H7" s="186"/>
      <c r="I7" s="186"/>
      <c r="J7" s="186"/>
      <c r="K7" s="186"/>
      <c r="L7" s="192" t="s">
        <v>187</v>
      </c>
      <c r="M7" s="193"/>
      <c r="N7" s="193"/>
      <c r="O7" s="193"/>
      <c r="P7" s="193"/>
      <c r="Q7" s="193"/>
      <c r="R7" s="193"/>
      <c r="S7" s="193"/>
      <c r="T7" s="193"/>
      <c r="U7" s="194"/>
    </row>
    <row r="8" spans="1:24" ht="6" customHeight="1" x14ac:dyDescent="0.2">
      <c r="B8" s="55"/>
      <c r="C8" s="55"/>
      <c r="D8" s="55"/>
      <c r="E8" s="55"/>
      <c r="F8" s="55"/>
      <c r="G8" s="55"/>
      <c r="H8" s="55"/>
      <c r="I8" s="55"/>
      <c r="J8" s="55"/>
      <c r="K8" s="55"/>
      <c r="L8" s="55"/>
      <c r="M8" s="55"/>
      <c r="N8" s="55"/>
      <c r="O8" s="55"/>
      <c r="P8" s="55"/>
      <c r="Q8" s="55"/>
      <c r="R8" s="55"/>
      <c r="S8" s="55"/>
      <c r="T8" s="55"/>
      <c r="U8" s="55"/>
    </row>
    <row r="9" spans="1:24" ht="18" customHeight="1" x14ac:dyDescent="0.2">
      <c r="A9" s="53" t="s">
        <v>118</v>
      </c>
      <c r="C9" s="55"/>
      <c r="D9" s="55"/>
      <c r="K9" s="56"/>
      <c r="L9" s="186"/>
      <c r="M9" s="186"/>
      <c r="N9" s="186"/>
      <c r="O9" s="186"/>
      <c r="P9" s="186"/>
      <c r="Q9" s="186"/>
      <c r="R9" s="186"/>
      <c r="S9" s="186"/>
      <c r="T9" s="186"/>
      <c r="U9" s="186"/>
    </row>
    <row r="10" spans="1:24" ht="6" customHeight="1" x14ac:dyDescent="0.2">
      <c r="B10" s="55"/>
      <c r="C10" s="55"/>
      <c r="D10" s="55"/>
      <c r="E10" s="55"/>
      <c r="F10" s="55"/>
      <c r="G10" s="55"/>
      <c r="H10" s="55"/>
      <c r="I10" s="55"/>
      <c r="J10" s="55"/>
      <c r="K10" s="55"/>
      <c r="L10" s="57"/>
      <c r="M10" s="55"/>
      <c r="N10" s="55"/>
      <c r="O10" s="55"/>
      <c r="P10" s="55"/>
      <c r="Q10" s="55"/>
      <c r="R10" s="55"/>
      <c r="S10" s="55"/>
      <c r="T10" s="55"/>
      <c r="U10" s="55"/>
    </row>
    <row r="11" spans="1:24" ht="18" customHeight="1" x14ac:dyDescent="0.2">
      <c r="B11" s="195"/>
      <c r="C11" s="196"/>
      <c r="D11" s="196"/>
      <c r="E11" s="196"/>
      <c r="F11" s="196"/>
      <c r="G11" s="196"/>
      <c r="H11" s="196"/>
      <c r="I11" s="196"/>
      <c r="J11" s="196"/>
      <c r="K11" s="196"/>
      <c r="L11" s="196"/>
      <c r="M11" s="196"/>
      <c r="N11" s="196"/>
      <c r="O11" s="196"/>
      <c r="P11" s="196"/>
      <c r="Q11" s="196"/>
      <c r="R11" s="196"/>
      <c r="S11" s="196"/>
      <c r="T11" s="196"/>
      <c r="U11" s="197"/>
    </row>
    <row r="12" spans="1:24" ht="18" customHeight="1" x14ac:dyDescent="0.2">
      <c r="B12" s="198"/>
      <c r="C12" s="199"/>
      <c r="D12" s="199"/>
      <c r="E12" s="199"/>
      <c r="F12" s="199"/>
      <c r="G12" s="199"/>
      <c r="H12" s="199"/>
      <c r="I12" s="199"/>
      <c r="J12" s="199"/>
      <c r="K12" s="199"/>
      <c r="L12" s="199"/>
      <c r="M12" s="199"/>
      <c r="N12" s="199"/>
      <c r="O12" s="199"/>
      <c r="P12" s="199"/>
      <c r="Q12" s="199"/>
      <c r="R12" s="199"/>
      <c r="S12" s="199"/>
      <c r="T12" s="199"/>
      <c r="U12" s="200"/>
    </row>
    <row r="13" spans="1:24" ht="6" customHeight="1" x14ac:dyDescent="0.2">
      <c r="B13" s="55"/>
      <c r="C13" s="55"/>
      <c r="D13" s="55"/>
      <c r="E13" s="55"/>
      <c r="F13" s="55"/>
      <c r="G13" s="55"/>
      <c r="H13" s="55"/>
      <c r="I13" s="55"/>
      <c r="J13" s="55"/>
      <c r="K13" s="55"/>
      <c r="L13" s="57"/>
      <c r="M13" s="55"/>
      <c r="N13" s="55"/>
      <c r="O13" s="55"/>
      <c r="P13" s="55"/>
      <c r="Q13" s="55"/>
      <c r="R13" s="55"/>
      <c r="S13" s="55"/>
      <c r="T13" s="55"/>
      <c r="U13" s="55"/>
    </row>
    <row r="14" spans="1:24" ht="18" customHeight="1" x14ac:dyDescent="0.2">
      <c r="A14" s="53" t="s">
        <v>95</v>
      </c>
      <c r="B14" s="55"/>
      <c r="C14" s="55"/>
      <c r="D14" s="55"/>
      <c r="E14" s="56"/>
      <c r="F14" s="56"/>
      <c r="G14" s="56"/>
      <c r="H14" s="56"/>
      <c r="I14" s="56"/>
      <c r="J14" s="56"/>
      <c r="K14" s="56"/>
      <c r="L14" s="201"/>
      <c r="M14" s="201"/>
      <c r="N14" s="201"/>
      <c r="O14" s="201"/>
      <c r="P14" s="201"/>
      <c r="Q14" s="201"/>
      <c r="R14" s="201"/>
      <c r="S14" s="201"/>
      <c r="T14" s="201"/>
      <c r="U14" s="201"/>
    </row>
    <row r="15" spans="1:24" ht="18" customHeight="1" x14ac:dyDescent="0.2">
      <c r="B15" s="202" t="s">
        <v>189</v>
      </c>
      <c r="C15" s="203"/>
      <c r="D15" s="203"/>
      <c r="E15" s="203"/>
      <c r="F15" s="203"/>
      <c r="G15" s="203"/>
      <c r="H15" s="203"/>
      <c r="I15" s="203"/>
      <c r="J15" s="203"/>
      <c r="K15" s="203"/>
      <c r="L15" s="203"/>
      <c r="M15" s="203"/>
      <c r="N15" s="203"/>
      <c r="O15" s="203"/>
      <c r="P15" s="203"/>
      <c r="Q15" s="203"/>
      <c r="R15" s="203"/>
      <c r="S15" s="203"/>
      <c r="T15" s="203"/>
      <c r="U15" s="204"/>
      <c r="X15" s="53" t="s">
        <v>89</v>
      </c>
    </row>
    <row r="16" spans="1:24" ht="18" customHeight="1" x14ac:dyDescent="0.2">
      <c r="B16" s="205"/>
      <c r="C16" s="206"/>
      <c r="D16" s="206"/>
      <c r="E16" s="206"/>
      <c r="F16" s="206"/>
      <c r="G16" s="206"/>
      <c r="H16" s="206"/>
      <c r="I16" s="206"/>
      <c r="J16" s="206"/>
      <c r="K16" s="206"/>
      <c r="L16" s="206"/>
      <c r="M16" s="206"/>
      <c r="N16" s="206"/>
      <c r="O16" s="206"/>
      <c r="P16" s="206"/>
      <c r="Q16" s="206"/>
      <c r="R16" s="206"/>
      <c r="S16" s="206"/>
      <c r="T16" s="206"/>
      <c r="U16" s="207"/>
      <c r="X16" s="53" t="s">
        <v>122</v>
      </c>
    </row>
    <row r="17" spans="1:24" ht="18" customHeight="1" x14ac:dyDescent="0.2">
      <c r="B17" s="205"/>
      <c r="C17" s="206"/>
      <c r="D17" s="206"/>
      <c r="E17" s="206"/>
      <c r="F17" s="206"/>
      <c r="G17" s="206"/>
      <c r="H17" s="206"/>
      <c r="I17" s="206"/>
      <c r="J17" s="206"/>
      <c r="K17" s="206"/>
      <c r="L17" s="206"/>
      <c r="M17" s="206"/>
      <c r="N17" s="206"/>
      <c r="O17" s="206"/>
      <c r="P17" s="206"/>
      <c r="Q17" s="206"/>
      <c r="R17" s="206"/>
      <c r="S17" s="206"/>
      <c r="T17" s="206"/>
      <c r="U17" s="207"/>
      <c r="X17" s="53" t="s">
        <v>123</v>
      </c>
    </row>
    <row r="18" spans="1:24" ht="18" customHeight="1" x14ac:dyDescent="0.2">
      <c r="B18" s="205"/>
      <c r="C18" s="206"/>
      <c r="D18" s="206"/>
      <c r="E18" s="206"/>
      <c r="F18" s="206"/>
      <c r="G18" s="206"/>
      <c r="H18" s="206"/>
      <c r="I18" s="206"/>
      <c r="J18" s="206"/>
      <c r="K18" s="206"/>
      <c r="L18" s="206"/>
      <c r="M18" s="206"/>
      <c r="N18" s="206"/>
      <c r="O18" s="206"/>
      <c r="P18" s="206"/>
      <c r="Q18" s="206"/>
      <c r="R18" s="206"/>
      <c r="S18" s="206"/>
      <c r="T18" s="206"/>
      <c r="U18" s="207"/>
      <c r="X18" s="53" t="s">
        <v>124</v>
      </c>
    </row>
    <row r="19" spans="1:24" ht="18" customHeight="1" x14ac:dyDescent="0.2">
      <c r="B19" s="205"/>
      <c r="C19" s="206"/>
      <c r="D19" s="206"/>
      <c r="E19" s="206"/>
      <c r="F19" s="206"/>
      <c r="G19" s="206"/>
      <c r="H19" s="206"/>
      <c r="I19" s="206"/>
      <c r="J19" s="206"/>
      <c r="K19" s="206"/>
      <c r="L19" s="206"/>
      <c r="M19" s="206"/>
      <c r="N19" s="206"/>
      <c r="O19" s="206"/>
      <c r="P19" s="206"/>
      <c r="Q19" s="206"/>
      <c r="R19" s="206"/>
      <c r="S19" s="206"/>
      <c r="T19" s="206"/>
      <c r="U19" s="207"/>
    </row>
    <row r="20" spans="1:24" ht="18" customHeight="1" x14ac:dyDescent="0.2">
      <c r="B20" s="208"/>
      <c r="C20" s="209"/>
      <c r="D20" s="209"/>
      <c r="E20" s="209"/>
      <c r="F20" s="209"/>
      <c r="G20" s="209"/>
      <c r="H20" s="209"/>
      <c r="I20" s="209"/>
      <c r="J20" s="209"/>
      <c r="K20" s="209"/>
      <c r="L20" s="209"/>
      <c r="M20" s="209"/>
      <c r="N20" s="209"/>
      <c r="O20" s="209"/>
      <c r="P20" s="209"/>
      <c r="Q20" s="209"/>
      <c r="R20" s="209"/>
      <c r="S20" s="209"/>
      <c r="T20" s="209"/>
      <c r="U20" s="210"/>
    </row>
    <row r="21" spans="1:24" ht="7.5" customHeight="1" x14ac:dyDescent="0.2">
      <c r="B21" s="55"/>
      <c r="C21" s="55"/>
      <c r="D21" s="55"/>
      <c r="E21" s="55"/>
      <c r="F21" s="55"/>
      <c r="G21" s="55"/>
      <c r="H21" s="55"/>
      <c r="I21" s="55"/>
      <c r="J21" s="55"/>
      <c r="K21" s="55"/>
      <c r="L21" s="55"/>
      <c r="M21" s="55"/>
      <c r="N21" s="55"/>
      <c r="O21" s="55"/>
      <c r="P21" s="55"/>
      <c r="Q21" s="55"/>
      <c r="R21" s="55"/>
      <c r="S21" s="55"/>
      <c r="T21" s="55"/>
      <c r="U21" s="55"/>
    </row>
    <row r="22" spans="1:24" ht="19.95" customHeight="1" x14ac:dyDescent="0.2">
      <c r="B22" s="53" t="s">
        <v>119</v>
      </c>
      <c r="E22" s="58">
        <v>2</v>
      </c>
      <c r="F22" s="53" t="s">
        <v>107</v>
      </c>
      <c r="H22" s="65">
        <v>3</v>
      </c>
      <c r="I22" s="55" t="s">
        <v>108</v>
      </c>
      <c r="J22" s="55"/>
      <c r="K22" s="56"/>
      <c r="M22" s="56" t="s">
        <v>104</v>
      </c>
      <c r="N22" s="211" t="s">
        <v>123</v>
      </c>
      <c r="O22" s="212"/>
      <c r="P22" s="212"/>
      <c r="Q22" s="212"/>
      <c r="R22" s="212"/>
      <c r="S22" s="212"/>
      <c r="T22" s="212"/>
      <c r="U22" s="213"/>
    </row>
    <row r="23" spans="1:24" ht="7.5" customHeight="1" x14ac:dyDescent="0.2">
      <c r="B23" s="55"/>
      <c r="C23" s="55"/>
      <c r="D23" s="55"/>
      <c r="E23" s="55"/>
      <c r="F23" s="55"/>
      <c r="G23" s="55"/>
      <c r="H23" s="55"/>
      <c r="I23" s="55"/>
      <c r="J23" s="55"/>
      <c r="K23" s="55"/>
      <c r="L23" s="55"/>
      <c r="M23" s="55"/>
      <c r="N23" s="55"/>
      <c r="O23" s="55"/>
      <c r="P23" s="55"/>
      <c r="Q23" s="55"/>
      <c r="R23" s="55"/>
      <c r="S23" s="55"/>
      <c r="T23" s="55"/>
      <c r="U23" s="55"/>
    </row>
    <row r="24" spans="1:24" ht="18" customHeight="1" x14ac:dyDescent="0.2">
      <c r="A24" s="214" t="s">
        <v>96</v>
      </c>
      <c r="B24" s="214"/>
      <c r="C24" s="214"/>
      <c r="D24" s="214"/>
      <c r="E24" s="214"/>
      <c r="F24" s="214"/>
      <c r="G24" s="214"/>
      <c r="H24" s="214"/>
      <c r="I24" s="214"/>
      <c r="J24" s="214"/>
      <c r="K24" s="214"/>
      <c r="L24" s="214"/>
      <c r="M24" s="214"/>
      <c r="N24" s="214"/>
      <c r="O24" s="214"/>
      <c r="P24" s="214"/>
      <c r="Q24" s="214"/>
      <c r="R24" s="214"/>
      <c r="S24" s="214"/>
      <c r="T24" s="214"/>
      <c r="U24" s="214"/>
    </row>
    <row r="25" spans="1:24" ht="18" customHeight="1" x14ac:dyDescent="0.2">
      <c r="A25" s="214"/>
      <c r="B25" s="214"/>
      <c r="C25" s="214"/>
      <c r="D25" s="214"/>
      <c r="E25" s="214"/>
      <c r="F25" s="214"/>
      <c r="G25" s="214"/>
      <c r="H25" s="214"/>
      <c r="I25" s="214"/>
      <c r="J25" s="214"/>
      <c r="K25" s="214"/>
      <c r="L25" s="214"/>
      <c r="M25" s="214"/>
      <c r="N25" s="214"/>
      <c r="O25" s="214"/>
      <c r="P25" s="214"/>
      <c r="Q25" s="214"/>
      <c r="R25" s="214"/>
      <c r="S25" s="214"/>
      <c r="T25" s="214"/>
      <c r="U25" s="214"/>
    </row>
    <row r="26" spans="1:24" ht="18" customHeight="1" x14ac:dyDescent="0.2">
      <c r="B26" s="187" t="s">
        <v>48</v>
      </c>
      <c r="C26" s="188"/>
      <c r="D26" s="188"/>
      <c r="E26" s="188"/>
      <c r="F26" s="189"/>
      <c r="G26" s="215" t="s">
        <v>73</v>
      </c>
      <c r="H26" s="216" t="s">
        <v>76</v>
      </c>
      <c r="I26" s="217" t="s">
        <v>51</v>
      </c>
      <c r="J26" s="217" t="s">
        <v>54</v>
      </c>
      <c r="K26" s="187" t="s">
        <v>48</v>
      </c>
      <c r="L26" s="188"/>
      <c r="M26" s="188"/>
      <c r="N26" s="188"/>
      <c r="O26" s="188"/>
      <c r="P26" s="188"/>
      <c r="Q26" s="189"/>
      <c r="R26" s="215" t="s">
        <v>73</v>
      </c>
      <c r="S26" s="216" t="s">
        <v>76</v>
      </c>
      <c r="T26" s="217" t="s">
        <v>51</v>
      </c>
      <c r="U26" s="217" t="s">
        <v>54</v>
      </c>
    </row>
    <row r="27" spans="1:24" ht="18" customHeight="1" x14ac:dyDescent="0.2">
      <c r="B27" s="218" t="s">
        <v>153</v>
      </c>
      <c r="C27" s="219"/>
      <c r="D27" s="219"/>
      <c r="E27" s="219"/>
      <c r="F27" s="220"/>
      <c r="G27" s="221">
        <v>2</v>
      </c>
      <c r="H27" s="221" t="s">
        <v>154</v>
      </c>
      <c r="I27" s="221" t="s">
        <v>154</v>
      </c>
      <c r="J27" s="221"/>
      <c r="K27" s="218"/>
      <c r="L27" s="219"/>
      <c r="M27" s="219"/>
      <c r="N27" s="219"/>
      <c r="O27" s="219"/>
      <c r="P27" s="219"/>
      <c r="Q27" s="220"/>
      <c r="R27" s="221"/>
      <c r="S27" s="221"/>
      <c r="T27" s="221"/>
      <c r="U27" s="221"/>
    </row>
    <row r="28" spans="1:24" ht="18" customHeight="1" x14ac:dyDescent="0.2">
      <c r="B28" s="222" t="s">
        <v>155</v>
      </c>
      <c r="C28" s="223"/>
      <c r="D28" s="223"/>
      <c r="E28" s="223"/>
      <c r="F28" s="224"/>
      <c r="G28" s="225">
        <v>1</v>
      </c>
      <c r="H28" s="225" t="s">
        <v>154</v>
      </c>
      <c r="I28" s="225"/>
      <c r="J28" s="225" t="s">
        <v>154</v>
      </c>
      <c r="K28" s="222"/>
      <c r="L28" s="223"/>
      <c r="M28" s="223"/>
      <c r="N28" s="223"/>
      <c r="O28" s="223"/>
      <c r="P28" s="223"/>
      <c r="Q28" s="224"/>
      <c r="R28" s="225"/>
      <c r="S28" s="225"/>
      <c r="T28" s="225"/>
      <c r="U28" s="225"/>
    </row>
    <row r="29" spans="1:24" ht="18" customHeight="1" x14ac:dyDescent="0.2">
      <c r="B29" s="222" t="s">
        <v>190</v>
      </c>
      <c r="C29" s="223"/>
      <c r="D29" s="223"/>
      <c r="E29" s="223"/>
      <c r="F29" s="224"/>
      <c r="G29" s="225">
        <v>2</v>
      </c>
      <c r="H29" s="225" t="s">
        <v>154</v>
      </c>
      <c r="I29" s="225" t="s">
        <v>154</v>
      </c>
      <c r="J29" s="225"/>
      <c r="K29" s="222"/>
      <c r="L29" s="223"/>
      <c r="M29" s="223"/>
      <c r="N29" s="223"/>
      <c r="O29" s="223"/>
      <c r="P29" s="223"/>
      <c r="Q29" s="224"/>
      <c r="R29" s="225"/>
      <c r="S29" s="225"/>
      <c r="T29" s="225"/>
      <c r="U29" s="225"/>
    </row>
    <row r="30" spans="1:24" ht="18" customHeight="1" x14ac:dyDescent="0.2">
      <c r="B30" s="222" t="s">
        <v>191</v>
      </c>
      <c r="C30" s="223"/>
      <c r="D30" s="223"/>
      <c r="E30" s="223"/>
      <c r="F30" s="224"/>
      <c r="G30" s="225">
        <v>2</v>
      </c>
      <c r="H30" s="225" t="s">
        <v>154</v>
      </c>
      <c r="I30" s="225" t="s">
        <v>154</v>
      </c>
      <c r="J30" s="225"/>
      <c r="K30" s="222"/>
      <c r="L30" s="223"/>
      <c r="M30" s="223"/>
      <c r="N30" s="223"/>
      <c r="O30" s="223"/>
      <c r="P30" s="223"/>
      <c r="Q30" s="224"/>
      <c r="R30" s="225"/>
      <c r="S30" s="225"/>
      <c r="T30" s="225"/>
      <c r="U30" s="225"/>
    </row>
    <row r="31" spans="1:24" ht="18" customHeight="1" x14ac:dyDescent="0.2">
      <c r="B31" s="222" t="s">
        <v>192</v>
      </c>
      <c r="C31" s="223"/>
      <c r="D31" s="223"/>
      <c r="E31" s="223"/>
      <c r="F31" s="224"/>
      <c r="G31" s="225">
        <v>1</v>
      </c>
      <c r="H31" s="225" t="s">
        <v>154</v>
      </c>
      <c r="I31" s="225"/>
      <c r="J31" s="225" t="s">
        <v>154</v>
      </c>
      <c r="K31" s="222"/>
      <c r="L31" s="223"/>
      <c r="M31" s="223"/>
      <c r="N31" s="223"/>
      <c r="O31" s="223"/>
      <c r="P31" s="223"/>
      <c r="Q31" s="224"/>
      <c r="R31" s="225"/>
      <c r="S31" s="225"/>
      <c r="T31" s="225"/>
      <c r="U31" s="225"/>
    </row>
    <row r="32" spans="1:24" ht="18" customHeight="1" x14ac:dyDescent="0.2">
      <c r="B32" s="222" t="s">
        <v>193</v>
      </c>
      <c r="C32" s="223"/>
      <c r="D32" s="223"/>
      <c r="E32" s="223"/>
      <c r="F32" s="224"/>
      <c r="G32" s="225">
        <v>1</v>
      </c>
      <c r="H32" s="225" t="s">
        <v>154</v>
      </c>
      <c r="I32" s="225" t="s">
        <v>154</v>
      </c>
      <c r="J32" s="225" t="s">
        <v>154</v>
      </c>
      <c r="K32" s="222"/>
      <c r="L32" s="223"/>
      <c r="M32" s="223"/>
      <c r="N32" s="223"/>
      <c r="O32" s="223"/>
      <c r="P32" s="223"/>
      <c r="Q32" s="224"/>
      <c r="R32" s="225"/>
      <c r="S32" s="225"/>
      <c r="T32" s="225"/>
      <c r="U32" s="225"/>
    </row>
    <row r="33" spans="1:21" ht="18" customHeight="1" x14ac:dyDescent="0.2">
      <c r="A33" s="55"/>
      <c r="B33" s="222" t="s">
        <v>159</v>
      </c>
      <c r="C33" s="223"/>
      <c r="D33" s="223"/>
      <c r="E33" s="223"/>
      <c r="F33" s="224"/>
      <c r="G33" s="225">
        <v>2</v>
      </c>
      <c r="H33" s="225" t="s">
        <v>154</v>
      </c>
      <c r="I33" s="225" t="s">
        <v>154</v>
      </c>
      <c r="J33" s="225"/>
      <c r="K33" s="222"/>
      <c r="L33" s="223"/>
      <c r="M33" s="223"/>
      <c r="N33" s="223"/>
      <c r="O33" s="223"/>
      <c r="P33" s="223"/>
      <c r="Q33" s="224"/>
      <c r="R33" s="225"/>
      <c r="S33" s="225"/>
      <c r="T33" s="225"/>
      <c r="U33" s="225"/>
    </row>
    <row r="34" spans="1:21" ht="18" customHeight="1" x14ac:dyDescent="0.2">
      <c r="A34" s="55"/>
      <c r="B34" s="226" t="s">
        <v>158</v>
      </c>
      <c r="C34" s="227"/>
      <c r="D34" s="227"/>
      <c r="E34" s="227"/>
      <c r="F34" s="228"/>
      <c r="G34" s="229">
        <v>1</v>
      </c>
      <c r="H34" s="229" t="s">
        <v>154</v>
      </c>
      <c r="I34" s="230"/>
      <c r="J34" s="230" t="s">
        <v>154</v>
      </c>
      <c r="K34" s="226"/>
      <c r="L34" s="227"/>
      <c r="M34" s="227"/>
      <c r="N34" s="227"/>
      <c r="O34" s="227"/>
      <c r="P34" s="227"/>
      <c r="Q34" s="228"/>
      <c r="R34" s="229"/>
      <c r="S34" s="229"/>
      <c r="T34" s="230"/>
      <c r="U34" s="230"/>
    </row>
    <row r="35" spans="1:21" ht="7.5" customHeight="1" x14ac:dyDescent="0.2">
      <c r="A35" s="55"/>
      <c r="B35" s="54"/>
      <c r="C35" s="54"/>
      <c r="D35" s="54"/>
      <c r="E35" s="55"/>
      <c r="F35" s="55"/>
      <c r="G35" s="55"/>
      <c r="H35" s="55"/>
      <c r="I35" s="54"/>
      <c r="J35" s="54"/>
      <c r="K35" s="54"/>
      <c r="L35" s="54"/>
      <c r="M35" s="54"/>
      <c r="N35" s="54"/>
      <c r="O35" s="54"/>
      <c r="P35" s="54"/>
      <c r="Q35" s="54"/>
      <c r="R35" s="54"/>
      <c r="S35" s="54"/>
      <c r="T35" s="54"/>
      <c r="U35" s="55"/>
    </row>
    <row r="36" spans="1:21" ht="18" customHeight="1" x14ac:dyDescent="0.2">
      <c r="A36" s="214" t="s">
        <v>97</v>
      </c>
      <c r="B36" s="214"/>
      <c r="C36" s="214"/>
      <c r="D36" s="214"/>
      <c r="E36" s="214"/>
      <c r="F36" s="214"/>
      <c r="G36" s="214"/>
      <c r="H36" s="214"/>
      <c r="I36" s="214"/>
      <c r="J36" s="214"/>
      <c r="K36" s="214"/>
      <c r="L36" s="214"/>
      <c r="M36" s="214"/>
      <c r="N36" s="214"/>
      <c r="O36" s="214"/>
      <c r="P36" s="214"/>
      <c r="Q36" s="214"/>
      <c r="R36" s="214"/>
      <c r="S36" s="214"/>
      <c r="T36" s="214"/>
      <c r="U36" s="214"/>
    </row>
    <row r="37" spans="1:21" ht="18" customHeight="1" x14ac:dyDescent="0.2">
      <c r="A37" s="214"/>
      <c r="B37" s="214"/>
      <c r="C37" s="214"/>
      <c r="D37" s="214"/>
      <c r="E37" s="214"/>
      <c r="F37" s="214"/>
      <c r="G37" s="214"/>
      <c r="H37" s="214"/>
      <c r="I37" s="214"/>
      <c r="J37" s="214"/>
      <c r="K37" s="214"/>
      <c r="L37" s="214"/>
      <c r="M37" s="214"/>
      <c r="N37" s="214"/>
      <c r="O37" s="214"/>
      <c r="P37" s="214"/>
      <c r="Q37" s="214"/>
      <c r="R37" s="214"/>
      <c r="S37" s="214"/>
      <c r="T37" s="214"/>
      <c r="U37" s="214"/>
    </row>
    <row r="38" spans="1:21" ht="18" customHeight="1" x14ac:dyDescent="0.2">
      <c r="B38" s="187" t="s">
        <v>48</v>
      </c>
      <c r="C38" s="188"/>
      <c r="D38" s="188"/>
      <c r="E38" s="188"/>
      <c r="F38" s="189"/>
      <c r="G38" s="215" t="s">
        <v>73</v>
      </c>
      <c r="H38" s="216" t="s">
        <v>76</v>
      </c>
      <c r="I38" s="217" t="s">
        <v>64</v>
      </c>
      <c r="J38" s="217" t="s">
        <v>65</v>
      </c>
      <c r="K38" s="187" t="s">
        <v>48</v>
      </c>
      <c r="L38" s="188"/>
      <c r="M38" s="188"/>
      <c r="N38" s="188"/>
      <c r="O38" s="188"/>
      <c r="P38" s="188"/>
      <c r="Q38" s="189"/>
      <c r="R38" s="215" t="s">
        <v>73</v>
      </c>
      <c r="S38" s="216" t="s">
        <v>76</v>
      </c>
      <c r="T38" s="217" t="s">
        <v>64</v>
      </c>
      <c r="U38" s="217" t="s">
        <v>65</v>
      </c>
    </row>
    <row r="39" spans="1:21" ht="18" customHeight="1" x14ac:dyDescent="0.2">
      <c r="B39" s="218" t="s">
        <v>153</v>
      </c>
      <c r="C39" s="219"/>
      <c r="D39" s="219"/>
      <c r="E39" s="219"/>
      <c r="F39" s="220"/>
      <c r="G39" s="221">
        <v>2</v>
      </c>
      <c r="H39" s="221" t="s">
        <v>154</v>
      </c>
      <c r="I39" s="221" t="s">
        <v>154</v>
      </c>
      <c r="J39" s="221"/>
      <c r="K39" s="218"/>
      <c r="L39" s="219"/>
      <c r="M39" s="219"/>
      <c r="N39" s="219"/>
      <c r="O39" s="219"/>
      <c r="P39" s="219"/>
      <c r="Q39" s="220"/>
      <c r="R39" s="221"/>
      <c r="S39" s="221"/>
      <c r="T39" s="221"/>
      <c r="U39" s="221"/>
    </row>
    <row r="40" spans="1:21" ht="18" customHeight="1" x14ac:dyDescent="0.2">
      <c r="B40" s="222" t="s">
        <v>155</v>
      </c>
      <c r="C40" s="223"/>
      <c r="D40" s="223"/>
      <c r="E40" s="223"/>
      <c r="F40" s="224"/>
      <c r="G40" s="225">
        <v>1</v>
      </c>
      <c r="H40" s="225" t="s">
        <v>154</v>
      </c>
      <c r="I40" s="225"/>
      <c r="J40" s="225" t="s">
        <v>154</v>
      </c>
      <c r="K40" s="222"/>
      <c r="L40" s="223"/>
      <c r="M40" s="223"/>
      <c r="N40" s="223"/>
      <c r="O40" s="223"/>
      <c r="P40" s="223"/>
      <c r="Q40" s="224"/>
      <c r="R40" s="225"/>
      <c r="S40" s="225"/>
      <c r="T40" s="225"/>
      <c r="U40" s="225"/>
    </row>
    <row r="41" spans="1:21" ht="18" customHeight="1" x14ac:dyDescent="0.2">
      <c r="B41" s="222" t="s">
        <v>190</v>
      </c>
      <c r="C41" s="223"/>
      <c r="D41" s="223"/>
      <c r="E41" s="223"/>
      <c r="F41" s="224"/>
      <c r="G41" s="225">
        <v>2</v>
      </c>
      <c r="H41" s="225" t="s">
        <v>154</v>
      </c>
      <c r="I41" s="225" t="s">
        <v>154</v>
      </c>
      <c r="J41" s="225"/>
      <c r="K41" s="222"/>
      <c r="L41" s="223"/>
      <c r="M41" s="223"/>
      <c r="N41" s="223"/>
      <c r="O41" s="223"/>
      <c r="P41" s="223"/>
      <c r="Q41" s="224"/>
      <c r="R41" s="225"/>
      <c r="S41" s="225"/>
      <c r="T41" s="225"/>
      <c r="U41" s="225"/>
    </row>
    <row r="42" spans="1:21" ht="18" customHeight="1" x14ac:dyDescent="0.2">
      <c r="B42" s="222" t="s">
        <v>191</v>
      </c>
      <c r="C42" s="223"/>
      <c r="D42" s="223"/>
      <c r="E42" s="223"/>
      <c r="F42" s="224"/>
      <c r="G42" s="225">
        <v>2</v>
      </c>
      <c r="H42" s="225" t="s">
        <v>154</v>
      </c>
      <c r="I42" s="225" t="s">
        <v>154</v>
      </c>
      <c r="J42" s="225"/>
      <c r="K42" s="222"/>
      <c r="L42" s="223"/>
      <c r="M42" s="223"/>
      <c r="N42" s="223"/>
      <c r="O42" s="223"/>
      <c r="P42" s="223"/>
      <c r="Q42" s="224"/>
      <c r="R42" s="225"/>
      <c r="S42" s="225"/>
      <c r="T42" s="225"/>
      <c r="U42" s="225"/>
    </row>
    <row r="43" spans="1:21" ht="18" customHeight="1" x14ac:dyDescent="0.2">
      <c r="B43" s="222" t="s">
        <v>192</v>
      </c>
      <c r="C43" s="223"/>
      <c r="D43" s="223"/>
      <c r="E43" s="223"/>
      <c r="F43" s="224"/>
      <c r="G43" s="225">
        <v>1</v>
      </c>
      <c r="H43" s="225" t="s">
        <v>154</v>
      </c>
      <c r="I43" s="225"/>
      <c r="J43" s="225" t="s">
        <v>154</v>
      </c>
      <c r="K43" s="222"/>
      <c r="L43" s="223"/>
      <c r="M43" s="223"/>
      <c r="N43" s="223"/>
      <c r="O43" s="223"/>
      <c r="P43" s="223"/>
      <c r="Q43" s="224"/>
      <c r="R43" s="225"/>
      <c r="S43" s="225"/>
      <c r="T43" s="225"/>
      <c r="U43" s="225"/>
    </row>
    <row r="44" spans="1:21" ht="18" customHeight="1" x14ac:dyDescent="0.2">
      <c r="B44" s="222" t="s">
        <v>193</v>
      </c>
      <c r="C44" s="223"/>
      <c r="D44" s="223"/>
      <c r="E44" s="223"/>
      <c r="F44" s="224"/>
      <c r="G44" s="225">
        <v>1</v>
      </c>
      <c r="H44" s="225" t="s">
        <v>154</v>
      </c>
      <c r="I44" s="225"/>
      <c r="J44" s="225" t="s">
        <v>154</v>
      </c>
      <c r="K44" s="222"/>
      <c r="L44" s="223"/>
      <c r="M44" s="223"/>
      <c r="N44" s="223"/>
      <c r="O44" s="223"/>
      <c r="P44" s="223"/>
      <c r="Q44" s="224"/>
      <c r="R44" s="225"/>
      <c r="S44" s="225"/>
      <c r="T44" s="225"/>
      <c r="U44" s="225"/>
    </row>
    <row r="45" spans="1:21" ht="18" customHeight="1" x14ac:dyDescent="0.2">
      <c r="B45" s="222" t="s">
        <v>156</v>
      </c>
      <c r="C45" s="223"/>
      <c r="D45" s="223"/>
      <c r="E45" s="223"/>
      <c r="F45" s="224"/>
      <c r="G45" s="225">
        <v>2</v>
      </c>
      <c r="H45" s="225" t="s">
        <v>154</v>
      </c>
      <c r="I45" s="225" t="s">
        <v>154</v>
      </c>
      <c r="J45" s="225"/>
      <c r="K45" s="222"/>
      <c r="L45" s="223"/>
      <c r="M45" s="223"/>
      <c r="N45" s="223"/>
      <c r="O45" s="223"/>
      <c r="P45" s="223"/>
      <c r="Q45" s="224"/>
      <c r="R45" s="225"/>
      <c r="S45" s="225"/>
      <c r="T45" s="225"/>
      <c r="U45" s="225"/>
    </row>
    <row r="46" spans="1:21" ht="18" customHeight="1" x14ac:dyDescent="0.2">
      <c r="B46" s="226" t="s">
        <v>158</v>
      </c>
      <c r="C46" s="227"/>
      <c r="D46" s="227"/>
      <c r="E46" s="227"/>
      <c r="F46" s="228"/>
      <c r="G46" s="229">
        <v>1</v>
      </c>
      <c r="H46" s="229" t="s">
        <v>154</v>
      </c>
      <c r="I46" s="230"/>
      <c r="J46" s="230" t="s">
        <v>154</v>
      </c>
      <c r="K46" s="226"/>
      <c r="L46" s="227"/>
      <c r="M46" s="227"/>
      <c r="N46" s="227"/>
      <c r="O46" s="227"/>
      <c r="P46" s="227"/>
      <c r="Q46" s="228"/>
      <c r="R46" s="229"/>
      <c r="S46" s="229"/>
      <c r="T46" s="230"/>
      <c r="U46" s="230"/>
    </row>
    <row r="47" spans="1:21" ht="7.5" customHeight="1" x14ac:dyDescent="0.2">
      <c r="A47" s="55"/>
      <c r="B47" s="54"/>
      <c r="C47" s="54"/>
      <c r="D47" s="54"/>
      <c r="E47" s="55"/>
      <c r="F47" s="55"/>
      <c r="G47" s="55"/>
      <c r="H47" s="55"/>
      <c r="I47" s="54"/>
      <c r="J47" s="54"/>
      <c r="K47" s="54"/>
      <c r="L47" s="54"/>
      <c r="M47" s="54"/>
      <c r="N47" s="54"/>
      <c r="O47" s="54"/>
      <c r="P47" s="54"/>
      <c r="Q47" s="54"/>
      <c r="R47" s="54"/>
      <c r="S47" s="54"/>
      <c r="T47" s="54"/>
      <c r="U47" s="55"/>
    </row>
    <row r="48" spans="1:21" ht="18" customHeight="1" x14ac:dyDescent="0.2">
      <c r="A48" s="214" t="s">
        <v>98</v>
      </c>
      <c r="B48" s="214"/>
      <c r="C48" s="214"/>
      <c r="D48" s="214"/>
      <c r="E48" s="214"/>
      <c r="F48" s="214"/>
      <c r="G48" s="214"/>
      <c r="H48" s="214"/>
      <c r="I48" s="214"/>
      <c r="J48" s="214"/>
      <c r="K48" s="214"/>
      <c r="L48" s="214"/>
      <c r="M48" s="214"/>
      <c r="N48" s="214"/>
      <c r="O48" s="214"/>
      <c r="P48" s="214"/>
      <c r="Q48" s="214"/>
      <c r="R48" s="214"/>
      <c r="S48" s="214"/>
      <c r="T48" s="214"/>
      <c r="U48" s="214"/>
    </row>
    <row r="49" spans="1:21" ht="18" customHeight="1" x14ac:dyDescent="0.2">
      <c r="A49" s="214"/>
      <c r="B49" s="214"/>
      <c r="C49" s="214"/>
      <c r="D49" s="214"/>
      <c r="E49" s="214"/>
      <c r="F49" s="214"/>
      <c r="G49" s="214"/>
      <c r="H49" s="214"/>
      <c r="I49" s="214"/>
      <c r="J49" s="214"/>
      <c r="K49" s="214"/>
      <c r="L49" s="214"/>
      <c r="M49" s="214"/>
      <c r="N49" s="214"/>
      <c r="O49" s="214"/>
      <c r="P49" s="214"/>
      <c r="Q49" s="214"/>
      <c r="R49" s="214"/>
      <c r="S49" s="214"/>
      <c r="T49" s="214"/>
      <c r="U49" s="214"/>
    </row>
    <row r="50" spans="1:21" ht="18" customHeight="1" x14ac:dyDescent="0.2">
      <c r="B50" s="187" t="s">
        <v>48</v>
      </c>
      <c r="C50" s="188"/>
      <c r="D50" s="188"/>
      <c r="E50" s="188"/>
      <c r="F50" s="189"/>
      <c r="G50" s="215" t="s">
        <v>73</v>
      </c>
      <c r="H50" s="216" t="s">
        <v>76</v>
      </c>
      <c r="I50" s="217" t="s">
        <v>66</v>
      </c>
      <c r="J50" s="217" t="s">
        <v>67</v>
      </c>
      <c r="K50" s="187" t="s">
        <v>48</v>
      </c>
      <c r="L50" s="188"/>
      <c r="M50" s="188"/>
      <c r="N50" s="188"/>
      <c r="O50" s="188"/>
      <c r="P50" s="188"/>
      <c r="Q50" s="189"/>
      <c r="R50" s="215" t="s">
        <v>73</v>
      </c>
      <c r="S50" s="216" t="s">
        <v>76</v>
      </c>
      <c r="T50" s="217" t="s">
        <v>66</v>
      </c>
      <c r="U50" s="217" t="s">
        <v>67</v>
      </c>
    </row>
    <row r="51" spans="1:21" ht="18" customHeight="1" x14ac:dyDescent="0.2">
      <c r="A51" s="55"/>
      <c r="B51" s="218" t="s">
        <v>155</v>
      </c>
      <c r="C51" s="219"/>
      <c r="D51" s="219"/>
      <c r="E51" s="219"/>
      <c r="F51" s="220"/>
      <c r="G51" s="221">
        <v>1</v>
      </c>
      <c r="H51" s="221" t="s">
        <v>154</v>
      </c>
      <c r="I51" s="221" t="s">
        <v>154</v>
      </c>
      <c r="J51" s="221" t="s">
        <v>154</v>
      </c>
      <c r="K51" s="218"/>
      <c r="L51" s="219"/>
      <c r="M51" s="219"/>
      <c r="N51" s="219"/>
      <c r="O51" s="219"/>
      <c r="P51" s="219"/>
      <c r="Q51" s="220"/>
      <c r="R51" s="221"/>
      <c r="S51" s="221"/>
      <c r="T51" s="221"/>
      <c r="U51" s="221"/>
    </row>
    <row r="52" spans="1:21" ht="18" customHeight="1" x14ac:dyDescent="0.2">
      <c r="A52" s="55"/>
      <c r="B52" s="222" t="s">
        <v>192</v>
      </c>
      <c r="C52" s="223"/>
      <c r="D52" s="223"/>
      <c r="E52" s="223"/>
      <c r="F52" s="224"/>
      <c r="G52" s="225">
        <v>1</v>
      </c>
      <c r="H52" s="225" t="s">
        <v>154</v>
      </c>
      <c r="I52" s="225" t="s">
        <v>154</v>
      </c>
      <c r="J52" s="225" t="s">
        <v>154</v>
      </c>
      <c r="K52" s="222"/>
      <c r="L52" s="223"/>
      <c r="M52" s="223"/>
      <c r="N52" s="223"/>
      <c r="O52" s="223"/>
      <c r="P52" s="223"/>
      <c r="Q52" s="224"/>
      <c r="R52" s="225"/>
      <c r="S52" s="225"/>
      <c r="T52" s="225"/>
      <c r="U52" s="225"/>
    </row>
    <row r="53" spans="1:21" ht="18" customHeight="1" x14ac:dyDescent="0.2">
      <c r="A53" s="55"/>
      <c r="B53" s="222" t="s">
        <v>193</v>
      </c>
      <c r="C53" s="223"/>
      <c r="D53" s="223"/>
      <c r="E53" s="223"/>
      <c r="F53" s="224"/>
      <c r="G53" s="225">
        <v>1</v>
      </c>
      <c r="H53" s="225" t="s">
        <v>154</v>
      </c>
      <c r="I53" s="225" t="s">
        <v>154</v>
      </c>
      <c r="J53" s="225" t="s">
        <v>154</v>
      </c>
      <c r="K53" s="222"/>
      <c r="L53" s="223"/>
      <c r="M53" s="223"/>
      <c r="N53" s="223"/>
      <c r="O53" s="223"/>
      <c r="P53" s="223"/>
      <c r="Q53" s="224"/>
      <c r="R53" s="225"/>
      <c r="S53" s="225"/>
      <c r="T53" s="225"/>
      <c r="U53" s="225"/>
    </row>
    <row r="54" spans="1:21" ht="18" customHeight="1" x14ac:dyDescent="0.2">
      <c r="A54" s="55"/>
      <c r="B54" s="222" t="s">
        <v>157</v>
      </c>
      <c r="C54" s="223"/>
      <c r="D54" s="223"/>
      <c r="E54" s="223"/>
      <c r="F54" s="224"/>
      <c r="G54" s="225">
        <v>1</v>
      </c>
      <c r="H54" s="225" t="s">
        <v>154</v>
      </c>
      <c r="I54" s="225" t="s">
        <v>154</v>
      </c>
      <c r="J54" s="225" t="s">
        <v>154</v>
      </c>
      <c r="K54" s="222"/>
      <c r="L54" s="223"/>
      <c r="M54" s="223"/>
      <c r="N54" s="223"/>
      <c r="O54" s="223"/>
      <c r="P54" s="223"/>
      <c r="Q54" s="224"/>
      <c r="R54" s="225"/>
      <c r="S54" s="225"/>
      <c r="T54" s="225"/>
      <c r="U54" s="225"/>
    </row>
    <row r="55" spans="1:21" ht="18" customHeight="1" x14ac:dyDescent="0.2">
      <c r="A55" s="55"/>
      <c r="B55" s="222"/>
      <c r="C55" s="223"/>
      <c r="D55" s="223"/>
      <c r="E55" s="223"/>
      <c r="F55" s="224"/>
      <c r="G55" s="225"/>
      <c r="H55" s="225"/>
      <c r="I55" s="225"/>
      <c r="J55" s="225"/>
      <c r="K55" s="222"/>
      <c r="L55" s="223"/>
      <c r="M55" s="223"/>
      <c r="N55" s="223"/>
      <c r="O55" s="223"/>
      <c r="P55" s="223"/>
      <c r="Q55" s="224"/>
      <c r="R55" s="225"/>
      <c r="S55" s="225"/>
      <c r="T55" s="225"/>
      <c r="U55" s="225"/>
    </row>
    <row r="56" spans="1:21" ht="18" customHeight="1" x14ac:dyDescent="0.2">
      <c r="A56" s="55"/>
      <c r="B56" s="222"/>
      <c r="C56" s="223"/>
      <c r="D56" s="223"/>
      <c r="E56" s="223"/>
      <c r="F56" s="224"/>
      <c r="G56" s="225"/>
      <c r="H56" s="225"/>
      <c r="I56" s="225"/>
      <c r="J56" s="225"/>
      <c r="K56" s="222"/>
      <c r="L56" s="223"/>
      <c r="M56" s="223"/>
      <c r="N56" s="223"/>
      <c r="O56" s="223"/>
      <c r="P56" s="223"/>
      <c r="Q56" s="224"/>
      <c r="R56" s="225"/>
      <c r="S56" s="225"/>
      <c r="T56" s="225"/>
      <c r="U56" s="225"/>
    </row>
    <row r="57" spans="1:21" ht="18" customHeight="1" x14ac:dyDescent="0.2">
      <c r="A57" s="55"/>
      <c r="B57" s="226"/>
      <c r="C57" s="227"/>
      <c r="D57" s="227"/>
      <c r="E57" s="227"/>
      <c r="F57" s="228"/>
      <c r="G57" s="229"/>
      <c r="H57" s="229"/>
      <c r="I57" s="230"/>
      <c r="J57" s="230"/>
      <c r="K57" s="226"/>
      <c r="L57" s="227"/>
      <c r="M57" s="227"/>
      <c r="N57" s="227"/>
      <c r="O57" s="227"/>
      <c r="P57" s="227"/>
      <c r="Q57" s="228"/>
      <c r="R57" s="229"/>
      <c r="S57" s="229"/>
      <c r="T57" s="230"/>
      <c r="U57" s="230"/>
    </row>
    <row r="58" spans="1:21" ht="7.5" customHeight="1" x14ac:dyDescent="0.2">
      <c r="B58" s="69"/>
      <c r="C58" s="69"/>
      <c r="D58" s="69"/>
      <c r="E58" s="69"/>
      <c r="F58" s="69"/>
      <c r="G58" s="69"/>
      <c r="H58" s="69"/>
      <c r="I58" s="69"/>
      <c r="J58" s="69"/>
      <c r="K58" s="69"/>
      <c r="L58" s="69"/>
      <c r="M58" s="69"/>
      <c r="N58" s="69"/>
      <c r="O58" s="69"/>
      <c r="P58" s="69"/>
      <c r="Q58" s="69"/>
      <c r="R58" s="69"/>
      <c r="S58" s="69"/>
      <c r="T58" s="69"/>
    </row>
    <row r="59" spans="1:21" ht="18" customHeight="1" x14ac:dyDescent="0.2">
      <c r="A59" s="214" t="s">
        <v>99</v>
      </c>
      <c r="B59" s="214"/>
      <c r="C59" s="214"/>
      <c r="D59" s="214"/>
      <c r="E59" s="214"/>
      <c r="F59" s="214"/>
      <c r="G59" s="214"/>
      <c r="H59" s="214"/>
      <c r="I59" s="214"/>
      <c r="J59" s="214"/>
      <c r="K59" s="214"/>
      <c r="L59" s="214"/>
      <c r="M59" s="214"/>
      <c r="N59" s="214"/>
      <c r="O59" s="214"/>
      <c r="P59" s="214"/>
      <c r="Q59" s="214"/>
      <c r="R59" s="214"/>
      <c r="S59" s="214"/>
      <c r="T59" s="214"/>
      <c r="U59" s="214"/>
    </row>
    <row r="60" spans="1:21" ht="18" customHeight="1" x14ac:dyDescent="0.2">
      <c r="A60" s="214"/>
      <c r="B60" s="214"/>
      <c r="C60" s="214"/>
      <c r="D60" s="214"/>
      <c r="E60" s="214"/>
      <c r="F60" s="214"/>
      <c r="G60" s="214"/>
      <c r="H60" s="214"/>
      <c r="I60" s="214"/>
      <c r="J60" s="214"/>
      <c r="K60" s="214"/>
      <c r="L60" s="214"/>
      <c r="M60" s="214"/>
      <c r="N60" s="214"/>
      <c r="O60" s="214"/>
      <c r="P60" s="214"/>
      <c r="Q60" s="214"/>
      <c r="R60" s="214"/>
      <c r="S60" s="214"/>
      <c r="T60" s="214"/>
      <c r="U60" s="214"/>
    </row>
    <row r="61" spans="1:21" ht="18" customHeight="1" x14ac:dyDescent="0.2">
      <c r="B61" s="187" t="s">
        <v>48</v>
      </c>
      <c r="C61" s="188"/>
      <c r="D61" s="188"/>
      <c r="E61" s="188"/>
      <c r="F61" s="189"/>
      <c r="G61" s="215" t="s">
        <v>73</v>
      </c>
      <c r="H61" s="216" t="s">
        <v>76</v>
      </c>
      <c r="I61" s="217" t="s">
        <v>53</v>
      </c>
      <c r="J61" s="217" t="s">
        <v>55</v>
      </c>
      <c r="K61" s="187" t="s">
        <v>48</v>
      </c>
      <c r="L61" s="188"/>
      <c r="M61" s="188"/>
      <c r="N61" s="188"/>
      <c r="O61" s="188"/>
      <c r="P61" s="188"/>
      <c r="Q61" s="189"/>
      <c r="R61" s="215" t="s">
        <v>73</v>
      </c>
      <c r="S61" s="216" t="s">
        <v>76</v>
      </c>
      <c r="T61" s="217" t="s">
        <v>53</v>
      </c>
      <c r="U61" s="217" t="s">
        <v>55</v>
      </c>
    </row>
    <row r="62" spans="1:21" ht="18" customHeight="1" x14ac:dyDescent="0.2">
      <c r="A62" s="55"/>
      <c r="B62" s="218" t="s">
        <v>153</v>
      </c>
      <c r="C62" s="219"/>
      <c r="D62" s="219"/>
      <c r="E62" s="219"/>
      <c r="F62" s="220"/>
      <c r="G62" s="221">
        <v>2</v>
      </c>
      <c r="H62" s="221" t="s">
        <v>154</v>
      </c>
      <c r="I62" s="221" t="s">
        <v>154</v>
      </c>
      <c r="J62" s="221" t="s">
        <v>154</v>
      </c>
      <c r="K62" s="218"/>
      <c r="L62" s="219"/>
      <c r="M62" s="219"/>
      <c r="N62" s="219"/>
      <c r="O62" s="219"/>
      <c r="P62" s="219"/>
      <c r="Q62" s="220"/>
      <c r="R62" s="221"/>
      <c r="S62" s="221"/>
      <c r="T62" s="221"/>
      <c r="U62" s="221"/>
    </row>
    <row r="63" spans="1:21" ht="18" customHeight="1" x14ac:dyDescent="0.2">
      <c r="A63" s="55"/>
      <c r="B63" s="222" t="s">
        <v>190</v>
      </c>
      <c r="C63" s="223"/>
      <c r="D63" s="223"/>
      <c r="E63" s="223"/>
      <c r="F63" s="224"/>
      <c r="G63" s="225">
        <v>2</v>
      </c>
      <c r="H63" s="225" t="s">
        <v>154</v>
      </c>
      <c r="I63" s="225" t="s">
        <v>154</v>
      </c>
      <c r="J63" s="225" t="s">
        <v>154</v>
      </c>
      <c r="K63" s="222"/>
      <c r="L63" s="223"/>
      <c r="M63" s="223"/>
      <c r="N63" s="223"/>
      <c r="O63" s="223"/>
      <c r="P63" s="223"/>
      <c r="Q63" s="224"/>
      <c r="R63" s="225"/>
      <c r="S63" s="225"/>
      <c r="T63" s="225"/>
      <c r="U63" s="225"/>
    </row>
    <row r="64" spans="1:21" ht="18" customHeight="1" x14ac:dyDescent="0.2">
      <c r="A64" s="55"/>
      <c r="B64" s="222" t="s">
        <v>191</v>
      </c>
      <c r="C64" s="223"/>
      <c r="D64" s="223"/>
      <c r="E64" s="223"/>
      <c r="F64" s="224"/>
      <c r="G64" s="225">
        <v>2</v>
      </c>
      <c r="H64" s="225" t="s">
        <v>154</v>
      </c>
      <c r="I64" s="225" t="s">
        <v>154</v>
      </c>
      <c r="J64" s="225" t="s">
        <v>154</v>
      </c>
      <c r="K64" s="222"/>
      <c r="L64" s="223"/>
      <c r="M64" s="223"/>
      <c r="N64" s="223"/>
      <c r="O64" s="223"/>
      <c r="P64" s="223"/>
      <c r="Q64" s="224"/>
      <c r="R64" s="225"/>
      <c r="S64" s="225"/>
      <c r="T64" s="225"/>
      <c r="U64" s="225"/>
    </row>
    <row r="65" spans="1:21" ht="18" customHeight="1" x14ac:dyDescent="0.2">
      <c r="A65" s="55"/>
      <c r="B65" s="222" t="s">
        <v>156</v>
      </c>
      <c r="C65" s="223"/>
      <c r="D65" s="223"/>
      <c r="E65" s="223"/>
      <c r="F65" s="224"/>
      <c r="G65" s="225">
        <v>2</v>
      </c>
      <c r="H65" s="225" t="s">
        <v>154</v>
      </c>
      <c r="I65" s="225" t="s">
        <v>154</v>
      </c>
      <c r="J65" s="225" t="s">
        <v>154</v>
      </c>
      <c r="K65" s="222"/>
      <c r="L65" s="223"/>
      <c r="M65" s="223"/>
      <c r="N65" s="223"/>
      <c r="O65" s="223"/>
      <c r="P65" s="223"/>
      <c r="Q65" s="224"/>
      <c r="R65" s="225"/>
      <c r="S65" s="225"/>
      <c r="T65" s="225"/>
      <c r="U65" s="225"/>
    </row>
    <row r="66" spans="1:21" ht="18" customHeight="1" x14ac:dyDescent="0.2">
      <c r="A66" s="55"/>
      <c r="B66" s="222"/>
      <c r="C66" s="223"/>
      <c r="D66" s="223"/>
      <c r="E66" s="223"/>
      <c r="F66" s="224"/>
      <c r="G66" s="225"/>
      <c r="H66" s="225"/>
      <c r="I66" s="225"/>
      <c r="J66" s="225"/>
      <c r="K66" s="222"/>
      <c r="L66" s="223"/>
      <c r="M66" s="223"/>
      <c r="N66" s="223"/>
      <c r="O66" s="223"/>
      <c r="P66" s="223"/>
      <c r="Q66" s="224"/>
      <c r="R66" s="225"/>
      <c r="S66" s="225"/>
      <c r="T66" s="225"/>
      <c r="U66" s="225"/>
    </row>
    <row r="67" spans="1:21" ht="18" customHeight="1" x14ac:dyDescent="0.2">
      <c r="A67" s="55"/>
      <c r="B67" s="222"/>
      <c r="C67" s="223"/>
      <c r="D67" s="223"/>
      <c r="E67" s="223"/>
      <c r="F67" s="224"/>
      <c r="G67" s="225"/>
      <c r="H67" s="225"/>
      <c r="I67" s="225"/>
      <c r="J67" s="225"/>
      <c r="K67" s="222"/>
      <c r="L67" s="223"/>
      <c r="M67" s="223"/>
      <c r="N67" s="223"/>
      <c r="O67" s="223"/>
      <c r="P67" s="223"/>
      <c r="Q67" s="224"/>
      <c r="R67" s="225"/>
      <c r="S67" s="225"/>
      <c r="T67" s="225"/>
      <c r="U67" s="225"/>
    </row>
    <row r="68" spans="1:21" ht="18" customHeight="1" x14ac:dyDescent="0.2">
      <c r="A68" s="55"/>
      <c r="B68" s="226"/>
      <c r="C68" s="227"/>
      <c r="D68" s="227"/>
      <c r="E68" s="227"/>
      <c r="F68" s="228"/>
      <c r="G68" s="229"/>
      <c r="H68" s="229"/>
      <c r="I68" s="230"/>
      <c r="J68" s="230"/>
      <c r="K68" s="226"/>
      <c r="L68" s="227"/>
      <c r="M68" s="227"/>
      <c r="N68" s="227"/>
      <c r="O68" s="227"/>
      <c r="P68" s="227"/>
      <c r="Q68" s="228"/>
      <c r="R68" s="229"/>
      <c r="S68" s="229"/>
      <c r="T68" s="230"/>
      <c r="U68" s="230"/>
    </row>
    <row r="69" spans="1:21" ht="7.5" customHeight="1" x14ac:dyDescent="0.2">
      <c r="B69" s="69"/>
      <c r="C69" s="69"/>
      <c r="D69" s="69"/>
      <c r="E69" s="69"/>
      <c r="F69" s="69"/>
      <c r="G69" s="69"/>
      <c r="H69" s="69"/>
      <c r="I69" s="69"/>
      <c r="J69" s="69"/>
      <c r="K69" s="69"/>
      <c r="L69" s="69"/>
      <c r="M69" s="69"/>
      <c r="N69" s="69"/>
      <c r="O69" s="69"/>
      <c r="P69" s="69"/>
      <c r="Q69" s="69"/>
      <c r="R69" s="69"/>
      <c r="S69" s="69"/>
      <c r="T69" s="69"/>
    </row>
    <row r="70" spans="1:21" ht="18" customHeight="1" x14ac:dyDescent="0.2">
      <c r="A70" s="214" t="s">
        <v>100</v>
      </c>
      <c r="B70" s="214"/>
      <c r="C70" s="214"/>
      <c r="D70" s="214"/>
      <c r="E70" s="214"/>
      <c r="F70" s="214"/>
      <c r="G70" s="214"/>
      <c r="H70" s="214"/>
      <c r="I70" s="214"/>
      <c r="J70" s="214"/>
      <c r="K70" s="214"/>
      <c r="L70" s="214"/>
      <c r="M70" s="214"/>
      <c r="N70" s="214"/>
      <c r="O70" s="214"/>
      <c r="P70" s="214"/>
      <c r="Q70" s="214"/>
      <c r="R70" s="214"/>
      <c r="S70" s="214"/>
      <c r="T70" s="214"/>
      <c r="U70" s="214"/>
    </row>
    <row r="71" spans="1:21" ht="18" customHeight="1" x14ac:dyDescent="0.2">
      <c r="A71" s="214"/>
      <c r="B71" s="214"/>
      <c r="C71" s="214"/>
      <c r="D71" s="214"/>
      <c r="E71" s="214"/>
      <c r="F71" s="214"/>
      <c r="G71" s="214"/>
      <c r="H71" s="214"/>
      <c r="I71" s="214"/>
      <c r="J71" s="214"/>
      <c r="K71" s="214"/>
      <c r="L71" s="214"/>
      <c r="M71" s="214"/>
      <c r="N71" s="214"/>
      <c r="O71" s="214"/>
      <c r="P71" s="214"/>
      <c r="Q71" s="214"/>
      <c r="R71" s="214"/>
      <c r="S71" s="214"/>
      <c r="T71" s="214"/>
      <c r="U71" s="214"/>
    </row>
    <row r="72" spans="1:21" ht="18" customHeight="1" x14ac:dyDescent="0.2">
      <c r="B72" s="187" t="s">
        <v>48</v>
      </c>
      <c r="C72" s="188"/>
      <c r="D72" s="188"/>
      <c r="E72" s="188"/>
      <c r="F72" s="215" t="s">
        <v>73</v>
      </c>
      <c r="G72" s="216" t="s">
        <v>76</v>
      </c>
      <c r="H72" s="217" t="s">
        <v>87</v>
      </c>
      <c r="I72" s="217" t="s">
        <v>68</v>
      </c>
      <c r="J72" s="217" t="s">
        <v>69</v>
      </c>
      <c r="K72" s="187" t="s">
        <v>48</v>
      </c>
      <c r="L72" s="188"/>
      <c r="M72" s="188"/>
      <c r="N72" s="188"/>
      <c r="O72" s="188"/>
      <c r="P72" s="189"/>
      <c r="Q72" s="215" t="s">
        <v>73</v>
      </c>
      <c r="R72" s="216" t="s">
        <v>76</v>
      </c>
      <c r="S72" s="217" t="s">
        <v>87</v>
      </c>
      <c r="T72" s="217" t="s">
        <v>68</v>
      </c>
      <c r="U72" s="217" t="s">
        <v>69</v>
      </c>
    </row>
    <row r="73" spans="1:21" ht="18" customHeight="1" x14ac:dyDescent="0.2">
      <c r="A73" s="55"/>
      <c r="B73" s="218" t="s">
        <v>153</v>
      </c>
      <c r="C73" s="219"/>
      <c r="D73" s="219"/>
      <c r="E73" s="219"/>
      <c r="F73" s="221">
        <v>2</v>
      </c>
      <c r="G73" s="221" t="s">
        <v>154</v>
      </c>
      <c r="H73" s="221" t="s">
        <v>154</v>
      </c>
      <c r="I73" s="221" t="s">
        <v>154</v>
      </c>
      <c r="J73" s="221" t="s">
        <v>154</v>
      </c>
      <c r="K73" s="218"/>
      <c r="L73" s="219"/>
      <c r="M73" s="219"/>
      <c r="N73" s="219"/>
      <c r="O73" s="219"/>
      <c r="P73" s="220"/>
      <c r="Q73" s="221"/>
      <c r="R73" s="221"/>
      <c r="S73" s="221"/>
      <c r="T73" s="221"/>
      <c r="U73" s="221"/>
    </row>
    <row r="74" spans="1:21" ht="18" customHeight="1" x14ac:dyDescent="0.2">
      <c r="A74" s="55"/>
      <c r="B74" s="222" t="s">
        <v>155</v>
      </c>
      <c r="C74" s="223"/>
      <c r="D74" s="223"/>
      <c r="E74" s="223"/>
      <c r="F74" s="225">
        <v>1</v>
      </c>
      <c r="G74" s="225" t="s">
        <v>154</v>
      </c>
      <c r="H74" s="225" t="s">
        <v>154</v>
      </c>
      <c r="I74" s="225" t="s">
        <v>154</v>
      </c>
      <c r="J74" s="225" t="s">
        <v>154</v>
      </c>
      <c r="K74" s="222"/>
      <c r="L74" s="223"/>
      <c r="M74" s="223"/>
      <c r="N74" s="223"/>
      <c r="O74" s="223"/>
      <c r="P74" s="224"/>
      <c r="Q74" s="225"/>
      <c r="R74" s="225"/>
      <c r="S74" s="225"/>
      <c r="T74" s="225"/>
      <c r="U74" s="225"/>
    </row>
    <row r="75" spans="1:21" ht="18" customHeight="1" x14ac:dyDescent="0.2">
      <c r="A75" s="55"/>
      <c r="B75" s="222" t="s">
        <v>194</v>
      </c>
      <c r="C75" s="223"/>
      <c r="D75" s="223"/>
      <c r="E75" s="223"/>
      <c r="F75" s="225">
        <v>2</v>
      </c>
      <c r="G75" s="225" t="s">
        <v>154</v>
      </c>
      <c r="H75" s="225" t="s">
        <v>154</v>
      </c>
      <c r="I75" s="225" t="s">
        <v>154</v>
      </c>
      <c r="J75" s="225" t="s">
        <v>154</v>
      </c>
      <c r="K75" s="222"/>
      <c r="L75" s="223"/>
      <c r="M75" s="223"/>
      <c r="N75" s="223"/>
      <c r="O75" s="223"/>
      <c r="P75" s="224"/>
      <c r="Q75" s="225"/>
      <c r="R75" s="225"/>
      <c r="S75" s="225"/>
      <c r="T75" s="225"/>
      <c r="U75" s="225"/>
    </row>
    <row r="76" spans="1:21" ht="18" customHeight="1" x14ac:dyDescent="0.2">
      <c r="A76" s="55"/>
      <c r="B76" s="222" t="s">
        <v>195</v>
      </c>
      <c r="C76" s="223"/>
      <c r="D76" s="223"/>
      <c r="E76" s="223"/>
      <c r="F76" s="225">
        <v>2</v>
      </c>
      <c r="G76" s="225" t="s">
        <v>154</v>
      </c>
      <c r="H76" s="225" t="s">
        <v>154</v>
      </c>
      <c r="I76" s="225"/>
      <c r="J76" s="225" t="s">
        <v>154</v>
      </c>
      <c r="K76" s="222"/>
      <c r="L76" s="223"/>
      <c r="M76" s="223"/>
      <c r="N76" s="223"/>
      <c r="O76" s="223"/>
      <c r="P76" s="224"/>
      <c r="Q76" s="225"/>
      <c r="R76" s="225"/>
      <c r="S76" s="225"/>
      <c r="T76" s="225"/>
      <c r="U76" s="225"/>
    </row>
    <row r="77" spans="1:21" ht="18" customHeight="1" x14ac:dyDescent="0.2">
      <c r="A77" s="55"/>
      <c r="B77" s="222" t="s">
        <v>196</v>
      </c>
      <c r="C77" s="223"/>
      <c r="D77" s="223"/>
      <c r="E77" s="224"/>
      <c r="F77" s="225">
        <v>1</v>
      </c>
      <c r="G77" s="225" t="s">
        <v>154</v>
      </c>
      <c r="H77" s="225" t="s">
        <v>154</v>
      </c>
      <c r="I77" s="225" t="s">
        <v>154</v>
      </c>
      <c r="J77" s="225" t="s">
        <v>154</v>
      </c>
      <c r="K77" s="222"/>
      <c r="L77" s="223"/>
      <c r="M77" s="223"/>
      <c r="N77" s="223"/>
      <c r="O77" s="223"/>
      <c r="P77" s="224"/>
      <c r="Q77" s="225"/>
      <c r="R77" s="225"/>
      <c r="S77" s="225"/>
      <c r="T77" s="225"/>
      <c r="U77" s="225"/>
    </row>
    <row r="78" spans="1:21" ht="18" customHeight="1" x14ac:dyDescent="0.2">
      <c r="A78" s="55"/>
      <c r="B78" s="222" t="s">
        <v>197</v>
      </c>
      <c r="C78" s="223"/>
      <c r="D78" s="223"/>
      <c r="E78" s="224"/>
      <c r="F78" s="225">
        <v>1</v>
      </c>
      <c r="G78" s="225" t="s">
        <v>154</v>
      </c>
      <c r="H78" s="225" t="s">
        <v>154</v>
      </c>
      <c r="I78" s="225" t="s">
        <v>154</v>
      </c>
      <c r="J78" s="225" t="s">
        <v>154</v>
      </c>
      <c r="K78" s="222"/>
      <c r="L78" s="223"/>
      <c r="M78" s="223"/>
      <c r="N78" s="223"/>
      <c r="O78" s="223"/>
      <c r="P78" s="224"/>
      <c r="Q78" s="225"/>
      <c r="R78" s="225"/>
      <c r="S78" s="225"/>
      <c r="T78" s="225"/>
      <c r="U78" s="225"/>
    </row>
    <row r="79" spans="1:21" ht="18" customHeight="1" x14ac:dyDescent="0.2">
      <c r="A79" s="55"/>
      <c r="B79" s="226" t="s">
        <v>158</v>
      </c>
      <c r="C79" s="227"/>
      <c r="D79" s="227"/>
      <c r="E79" s="227"/>
      <c r="F79" s="229">
        <v>1</v>
      </c>
      <c r="G79" s="229" t="s">
        <v>154</v>
      </c>
      <c r="H79" s="230" t="s">
        <v>154</v>
      </c>
      <c r="I79" s="230" t="s">
        <v>154</v>
      </c>
      <c r="J79" s="230" t="s">
        <v>154</v>
      </c>
      <c r="K79" s="226"/>
      <c r="L79" s="227"/>
      <c r="M79" s="227"/>
      <c r="N79" s="227"/>
      <c r="O79" s="227"/>
      <c r="P79" s="228"/>
      <c r="Q79" s="229"/>
      <c r="R79" s="229"/>
      <c r="S79" s="230"/>
      <c r="T79" s="230"/>
      <c r="U79" s="230"/>
    </row>
    <row r="80" spans="1:21" ht="7.5" customHeight="1" x14ac:dyDescent="0.2">
      <c r="B80" s="69"/>
      <c r="C80" s="69"/>
      <c r="D80" s="69"/>
      <c r="E80" s="69"/>
      <c r="F80" s="69"/>
      <c r="G80" s="69"/>
      <c r="H80" s="69"/>
      <c r="I80" s="69"/>
      <c r="J80" s="69"/>
      <c r="K80" s="69"/>
      <c r="L80" s="69"/>
      <c r="M80" s="69"/>
      <c r="N80" s="69"/>
      <c r="O80" s="69"/>
      <c r="P80" s="69"/>
      <c r="Q80" s="69"/>
      <c r="R80" s="69"/>
      <c r="S80" s="69"/>
      <c r="T80" s="69"/>
    </row>
    <row r="81" spans="1:27" ht="18" customHeight="1" x14ac:dyDescent="0.2">
      <c r="A81" s="53" t="s">
        <v>101</v>
      </c>
      <c r="I81" s="55"/>
      <c r="J81" s="55"/>
      <c r="K81" s="55"/>
      <c r="L81" s="55"/>
      <c r="M81" s="55"/>
      <c r="N81" s="55"/>
      <c r="O81" s="55"/>
      <c r="P81" s="55"/>
      <c r="Q81" s="55"/>
      <c r="R81" s="55"/>
      <c r="S81" s="55"/>
      <c r="T81" s="55"/>
      <c r="U81" s="55"/>
    </row>
    <row r="82" spans="1:27" ht="18" customHeight="1" x14ac:dyDescent="0.2">
      <c r="B82" s="187" t="s">
        <v>48</v>
      </c>
      <c r="C82" s="188"/>
      <c r="D82" s="188"/>
      <c r="E82" s="188"/>
      <c r="F82" s="189"/>
      <c r="G82" s="187" t="s">
        <v>74</v>
      </c>
      <c r="H82" s="188"/>
      <c r="I82" s="188"/>
      <c r="J82" s="189"/>
      <c r="K82" s="231" t="s">
        <v>48</v>
      </c>
      <c r="L82" s="232"/>
      <c r="M82" s="232"/>
      <c r="N82" s="232"/>
      <c r="O82" s="232"/>
      <c r="P82" s="232"/>
      <c r="Q82" s="233"/>
      <c r="R82" s="187" t="s">
        <v>74</v>
      </c>
      <c r="S82" s="188"/>
      <c r="T82" s="188"/>
      <c r="U82" s="189"/>
      <c r="AA82" s="53" t="s">
        <v>138</v>
      </c>
    </row>
    <row r="83" spans="1:27" ht="18" customHeight="1" x14ac:dyDescent="0.2">
      <c r="A83" s="55"/>
      <c r="B83" s="218"/>
      <c r="C83" s="219"/>
      <c r="D83" s="219"/>
      <c r="E83" s="219"/>
      <c r="F83" s="220"/>
      <c r="G83" s="234"/>
      <c r="H83" s="235"/>
      <c r="I83" s="235"/>
      <c r="J83" s="236"/>
      <c r="K83" s="218"/>
      <c r="L83" s="219"/>
      <c r="M83" s="219"/>
      <c r="N83" s="219"/>
      <c r="O83" s="219"/>
      <c r="P83" s="219"/>
      <c r="Q83" s="220"/>
      <c r="R83" s="234"/>
      <c r="S83" s="235"/>
      <c r="T83" s="235"/>
      <c r="U83" s="236"/>
      <c r="AA83" s="53" t="s">
        <v>131</v>
      </c>
    </row>
    <row r="84" spans="1:27" ht="18" customHeight="1" x14ac:dyDescent="0.2">
      <c r="A84" s="55"/>
      <c r="B84" s="222"/>
      <c r="C84" s="223"/>
      <c r="D84" s="223"/>
      <c r="E84" s="223"/>
      <c r="F84" s="224"/>
      <c r="G84" s="237"/>
      <c r="H84" s="238"/>
      <c r="I84" s="238"/>
      <c r="J84" s="239"/>
      <c r="K84" s="222"/>
      <c r="L84" s="223"/>
      <c r="M84" s="223"/>
      <c r="N84" s="223"/>
      <c r="O84" s="223"/>
      <c r="P84" s="223"/>
      <c r="Q84" s="224"/>
      <c r="R84" s="237"/>
      <c r="S84" s="238"/>
      <c r="T84" s="238"/>
      <c r="U84" s="239"/>
      <c r="AA84" s="53" t="s">
        <v>132</v>
      </c>
    </row>
    <row r="85" spans="1:27" ht="18" customHeight="1" x14ac:dyDescent="0.2">
      <c r="A85" s="55"/>
      <c r="B85" s="222"/>
      <c r="C85" s="223"/>
      <c r="D85" s="223"/>
      <c r="E85" s="223"/>
      <c r="F85" s="224"/>
      <c r="G85" s="237"/>
      <c r="H85" s="238"/>
      <c r="I85" s="238"/>
      <c r="J85" s="239"/>
      <c r="K85" s="222"/>
      <c r="L85" s="223"/>
      <c r="M85" s="223"/>
      <c r="N85" s="223"/>
      <c r="O85" s="223"/>
      <c r="P85" s="223"/>
      <c r="Q85" s="224"/>
      <c r="R85" s="237"/>
      <c r="S85" s="238"/>
      <c r="T85" s="238"/>
      <c r="U85" s="239"/>
      <c r="AA85" s="53" t="s">
        <v>133</v>
      </c>
    </row>
    <row r="86" spans="1:27" ht="18" customHeight="1" x14ac:dyDescent="0.2">
      <c r="A86" s="55"/>
      <c r="B86" s="222"/>
      <c r="C86" s="223"/>
      <c r="D86" s="223"/>
      <c r="E86" s="223"/>
      <c r="F86" s="224"/>
      <c r="G86" s="237"/>
      <c r="H86" s="238"/>
      <c r="I86" s="238"/>
      <c r="J86" s="239"/>
      <c r="K86" s="222"/>
      <c r="L86" s="223"/>
      <c r="M86" s="223"/>
      <c r="N86" s="223"/>
      <c r="O86" s="223"/>
      <c r="P86" s="223"/>
      <c r="Q86" s="224"/>
      <c r="R86" s="237"/>
      <c r="S86" s="238"/>
      <c r="T86" s="238"/>
      <c r="U86" s="239"/>
      <c r="AA86" s="53" t="s">
        <v>139</v>
      </c>
    </row>
    <row r="87" spans="1:27" ht="18" customHeight="1" x14ac:dyDescent="0.2">
      <c r="A87" s="55"/>
      <c r="B87" s="222"/>
      <c r="C87" s="223"/>
      <c r="D87" s="223"/>
      <c r="E87" s="223"/>
      <c r="F87" s="224"/>
      <c r="G87" s="237"/>
      <c r="H87" s="238"/>
      <c r="I87" s="238"/>
      <c r="J87" s="239"/>
      <c r="K87" s="222"/>
      <c r="L87" s="223"/>
      <c r="M87" s="223"/>
      <c r="N87" s="223"/>
      <c r="O87" s="223"/>
      <c r="P87" s="223"/>
      <c r="Q87" s="224"/>
      <c r="R87" s="237"/>
      <c r="S87" s="238"/>
      <c r="T87" s="238"/>
      <c r="U87" s="239"/>
      <c r="AA87" s="53" t="s">
        <v>140</v>
      </c>
    </row>
    <row r="88" spans="1:27" ht="18" customHeight="1" x14ac:dyDescent="0.2">
      <c r="A88" s="55"/>
      <c r="B88" s="222"/>
      <c r="C88" s="223"/>
      <c r="D88" s="223"/>
      <c r="E88" s="223"/>
      <c r="F88" s="224"/>
      <c r="G88" s="237"/>
      <c r="H88" s="238"/>
      <c r="I88" s="238"/>
      <c r="J88" s="239"/>
      <c r="K88" s="222"/>
      <c r="L88" s="223"/>
      <c r="M88" s="223"/>
      <c r="N88" s="223"/>
      <c r="O88" s="223"/>
      <c r="P88" s="223"/>
      <c r="Q88" s="224"/>
      <c r="R88" s="237"/>
      <c r="S88" s="238"/>
      <c r="T88" s="238"/>
      <c r="U88" s="239"/>
      <c r="AA88" s="53" t="s">
        <v>134</v>
      </c>
    </row>
    <row r="89" spans="1:27" ht="18" customHeight="1" x14ac:dyDescent="0.2">
      <c r="A89" s="55"/>
      <c r="B89" s="226"/>
      <c r="C89" s="227"/>
      <c r="D89" s="227"/>
      <c r="E89" s="227"/>
      <c r="F89" s="228"/>
      <c r="G89" s="240"/>
      <c r="H89" s="241"/>
      <c r="I89" s="241"/>
      <c r="J89" s="242"/>
      <c r="K89" s="226"/>
      <c r="L89" s="227"/>
      <c r="M89" s="227"/>
      <c r="N89" s="227"/>
      <c r="O89" s="227"/>
      <c r="P89" s="227"/>
      <c r="Q89" s="228"/>
      <c r="R89" s="240"/>
      <c r="S89" s="241"/>
      <c r="T89" s="241"/>
      <c r="U89" s="242"/>
      <c r="AA89" s="53" t="s">
        <v>135</v>
      </c>
    </row>
    <row r="90" spans="1:27" ht="18" customHeight="1" x14ac:dyDescent="0.2">
      <c r="A90" s="55"/>
      <c r="B90" s="54"/>
      <c r="C90" s="54"/>
      <c r="D90" s="54"/>
      <c r="E90" s="54"/>
      <c r="F90" s="54"/>
      <c r="G90" s="59"/>
      <c r="H90" s="59"/>
      <c r="I90" s="59"/>
      <c r="J90" s="59"/>
      <c r="K90" s="54"/>
      <c r="L90" s="54"/>
      <c r="M90" s="54"/>
      <c r="N90" s="54"/>
      <c r="O90" s="54"/>
      <c r="P90" s="54"/>
      <c r="Q90" s="54"/>
      <c r="R90" s="59"/>
      <c r="S90" s="59"/>
      <c r="T90" s="59"/>
      <c r="U90" s="59"/>
      <c r="AA90" s="53" t="s">
        <v>136</v>
      </c>
    </row>
    <row r="91" spans="1:27" ht="18.75" customHeight="1" x14ac:dyDescent="0.2">
      <c r="A91" s="53" t="s">
        <v>102</v>
      </c>
      <c r="AA91" s="53" t="s">
        <v>137</v>
      </c>
    </row>
    <row r="92" spans="1:27" ht="18.75" customHeight="1" x14ac:dyDescent="0.2">
      <c r="B92" s="243" t="s">
        <v>49</v>
      </c>
      <c r="C92" s="244"/>
      <c r="D92" s="187" t="s">
        <v>50</v>
      </c>
      <c r="E92" s="188"/>
      <c r="F92" s="188"/>
      <c r="G92" s="188"/>
      <c r="H92" s="188"/>
      <c r="I92" s="188"/>
      <c r="J92" s="188"/>
      <c r="K92" s="188"/>
      <c r="L92" s="188"/>
      <c r="M92" s="188"/>
      <c r="N92" s="188"/>
      <c r="O92" s="188"/>
      <c r="P92" s="188"/>
      <c r="Q92" s="188"/>
      <c r="R92" s="188"/>
      <c r="S92" s="188"/>
      <c r="T92" s="188"/>
      <c r="U92" s="189"/>
    </row>
    <row r="93" spans="1:27" ht="97.5" customHeight="1" x14ac:dyDescent="0.2">
      <c r="B93" s="245" t="s">
        <v>56</v>
      </c>
      <c r="C93" s="246" t="s">
        <v>51</v>
      </c>
      <c r="D93" s="247" t="s">
        <v>170</v>
      </c>
      <c r="E93" s="248"/>
      <c r="F93" s="248"/>
      <c r="G93" s="248"/>
      <c r="H93" s="248"/>
      <c r="I93" s="248"/>
      <c r="J93" s="248"/>
      <c r="K93" s="248"/>
      <c r="L93" s="248"/>
      <c r="M93" s="248"/>
      <c r="N93" s="248"/>
      <c r="O93" s="248"/>
      <c r="P93" s="248"/>
      <c r="Q93" s="248"/>
      <c r="R93" s="248"/>
      <c r="S93" s="248"/>
      <c r="T93" s="248"/>
      <c r="U93" s="249"/>
    </row>
    <row r="94" spans="1:27" ht="97.5" customHeight="1" x14ac:dyDescent="0.2">
      <c r="B94" s="250"/>
      <c r="C94" s="251" t="s">
        <v>70</v>
      </c>
      <c r="D94" s="252" t="s">
        <v>160</v>
      </c>
      <c r="E94" s="253"/>
      <c r="F94" s="253"/>
      <c r="G94" s="253"/>
      <c r="H94" s="253"/>
      <c r="I94" s="253"/>
      <c r="J94" s="253"/>
      <c r="K94" s="253"/>
      <c r="L94" s="253"/>
      <c r="M94" s="253"/>
      <c r="N94" s="253"/>
      <c r="O94" s="253"/>
      <c r="P94" s="253"/>
      <c r="Q94" s="253"/>
      <c r="R94" s="253"/>
      <c r="S94" s="253"/>
      <c r="T94" s="253"/>
      <c r="U94" s="254"/>
    </row>
    <row r="95" spans="1:27" ht="97.5" customHeight="1" x14ac:dyDescent="0.2">
      <c r="B95" s="245" t="s">
        <v>57</v>
      </c>
      <c r="C95" s="255" t="s">
        <v>64</v>
      </c>
      <c r="D95" s="247" t="s">
        <v>161</v>
      </c>
      <c r="E95" s="248"/>
      <c r="F95" s="248"/>
      <c r="G95" s="248"/>
      <c r="H95" s="248"/>
      <c r="I95" s="248"/>
      <c r="J95" s="248"/>
      <c r="K95" s="248"/>
      <c r="L95" s="248"/>
      <c r="M95" s="248"/>
      <c r="N95" s="248"/>
      <c r="O95" s="248"/>
      <c r="P95" s="248"/>
      <c r="Q95" s="248"/>
      <c r="R95" s="248"/>
      <c r="S95" s="248"/>
      <c r="T95" s="248"/>
      <c r="U95" s="249"/>
    </row>
    <row r="96" spans="1:27" ht="97.5" customHeight="1" x14ac:dyDescent="0.2">
      <c r="B96" s="256"/>
      <c r="C96" s="257" t="s">
        <v>65</v>
      </c>
      <c r="D96" s="252" t="s">
        <v>162</v>
      </c>
      <c r="E96" s="253"/>
      <c r="F96" s="253"/>
      <c r="G96" s="253"/>
      <c r="H96" s="253"/>
      <c r="I96" s="253"/>
      <c r="J96" s="253"/>
      <c r="K96" s="253"/>
      <c r="L96" s="253"/>
      <c r="M96" s="253"/>
      <c r="N96" s="253"/>
      <c r="O96" s="253"/>
      <c r="P96" s="253"/>
      <c r="Q96" s="253"/>
      <c r="R96" s="253"/>
      <c r="S96" s="253"/>
      <c r="T96" s="253"/>
      <c r="U96" s="254"/>
    </row>
    <row r="97" spans="1:21" ht="97.5" customHeight="1" x14ac:dyDescent="0.2">
      <c r="B97" s="245" t="s">
        <v>58</v>
      </c>
      <c r="C97" s="255" t="s">
        <v>66</v>
      </c>
      <c r="D97" s="247" t="s">
        <v>163</v>
      </c>
      <c r="E97" s="248"/>
      <c r="F97" s="248"/>
      <c r="G97" s="248"/>
      <c r="H97" s="248"/>
      <c r="I97" s="248"/>
      <c r="J97" s="248"/>
      <c r="K97" s="248"/>
      <c r="L97" s="248"/>
      <c r="M97" s="248"/>
      <c r="N97" s="248"/>
      <c r="O97" s="248"/>
      <c r="P97" s="248"/>
      <c r="Q97" s="248"/>
      <c r="R97" s="248"/>
      <c r="S97" s="248"/>
      <c r="T97" s="248"/>
      <c r="U97" s="249"/>
    </row>
    <row r="98" spans="1:21" ht="97.5" customHeight="1" x14ac:dyDescent="0.2">
      <c r="B98" s="256"/>
      <c r="C98" s="258" t="s">
        <v>67</v>
      </c>
      <c r="D98" s="259" t="s">
        <v>164</v>
      </c>
      <c r="E98" s="260"/>
      <c r="F98" s="260"/>
      <c r="G98" s="260"/>
      <c r="H98" s="260"/>
      <c r="I98" s="260"/>
      <c r="J98" s="260"/>
      <c r="K98" s="260"/>
      <c r="L98" s="260"/>
      <c r="M98" s="260"/>
      <c r="N98" s="260"/>
      <c r="O98" s="260"/>
      <c r="P98" s="260"/>
      <c r="Q98" s="260"/>
      <c r="R98" s="260"/>
      <c r="S98" s="260"/>
      <c r="T98" s="260"/>
      <c r="U98" s="261"/>
    </row>
    <row r="99" spans="1:21" ht="97.5" customHeight="1" x14ac:dyDescent="0.2">
      <c r="B99" s="245" t="s">
        <v>71</v>
      </c>
      <c r="C99" s="246" t="s">
        <v>53</v>
      </c>
      <c r="D99" s="247" t="s">
        <v>165</v>
      </c>
      <c r="E99" s="248"/>
      <c r="F99" s="248"/>
      <c r="G99" s="248"/>
      <c r="H99" s="248"/>
      <c r="I99" s="248"/>
      <c r="J99" s="248"/>
      <c r="K99" s="248"/>
      <c r="L99" s="248"/>
      <c r="M99" s="248"/>
      <c r="N99" s="248"/>
      <c r="O99" s="248"/>
      <c r="P99" s="248"/>
      <c r="Q99" s="248"/>
      <c r="R99" s="248"/>
      <c r="S99" s="248"/>
      <c r="T99" s="248"/>
      <c r="U99" s="249"/>
    </row>
    <row r="100" spans="1:21" ht="97.5" customHeight="1" x14ac:dyDescent="0.2">
      <c r="B100" s="256"/>
      <c r="C100" s="257" t="s">
        <v>55</v>
      </c>
      <c r="D100" s="262" t="s">
        <v>166</v>
      </c>
      <c r="E100" s="263"/>
      <c r="F100" s="263"/>
      <c r="G100" s="263"/>
      <c r="H100" s="263"/>
      <c r="I100" s="263"/>
      <c r="J100" s="263"/>
      <c r="K100" s="263"/>
      <c r="L100" s="263"/>
      <c r="M100" s="263"/>
      <c r="N100" s="263"/>
      <c r="O100" s="263"/>
      <c r="P100" s="263"/>
      <c r="Q100" s="263"/>
      <c r="R100" s="263"/>
      <c r="S100" s="263"/>
      <c r="T100" s="263"/>
      <c r="U100" s="264"/>
    </row>
    <row r="101" spans="1:21" ht="97.5" customHeight="1" x14ac:dyDescent="0.2">
      <c r="B101" s="245" t="s">
        <v>72</v>
      </c>
      <c r="C101" s="255" t="s">
        <v>52</v>
      </c>
      <c r="D101" s="247" t="s">
        <v>167</v>
      </c>
      <c r="E101" s="248"/>
      <c r="F101" s="248"/>
      <c r="G101" s="248"/>
      <c r="H101" s="248"/>
      <c r="I101" s="248"/>
      <c r="J101" s="248"/>
      <c r="K101" s="248"/>
      <c r="L101" s="248"/>
      <c r="M101" s="248"/>
      <c r="N101" s="248"/>
      <c r="O101" s="248"/>
      <c r="P101" s="248"/>
      <c r="Q101" s="248"/>
      <c r="R101" s="248"/>
      <c r="S101" s="248"/>
      <c r="T101" s="248"/>
      <c r="U101" s="249"/>
    </row>
    <row r="102" spans="1:21" ht="97.5" customHeight="1" x14ac:dyDescent="0.2">
      <c r="B102" s="250"/>
      <c r="C102" s="265" t="s">
        <v>68</v>
      </c>
      <c r="D102" s="262" t="s">
        <v>168</v>
      </c>
      <c r="E102" s="263"/>
      <c r="F102" s="263"/>
      <c r="G102" s="263"/>
      <c r="H102" s="263"/>
      <c r="I102" s="263"/>
      <c r="J102" s="263"/>
      <c r="K102" s="263"/>
      <c r="L102" s="263"/>
      <c r="M102" s="263"/>
      <c r="N102" s="263"/>
      <c r="O102" s="263"/>
      <c r="P102" s="263"/>
      <c r="Q102" s="263"/>
      <c r="R102" s="263"/>
      <c r="S102" s="263"/>
      <c r="T102" s="263"/>
      <c r="U102" s="264"/>
    </row>
    <row r="103" spans="1:21" ht="97.5" customHeight="1" x14ac:dyDescent="0.2">
      <c r="B103" s="256"/>
      <c r="C103" s="258" t="s">
        <v>69</v>
      </c>
      <c r="D103" s="259" t="s">
        <v>169</v>
      </c>
      <c r="E103" s="260"/>
      <c r="F103" s="260"/>
      <c r="G103" s="260"/>
      <c r="H103" s="260"/>
      <c r="I103" s="260"/>
      <c r="J103" s="260"/>
      <c r="K103" s="260"/>
      <c r="L103" s="260"/>
      <c r="M103" s="260"/>
      <c r="N103" s="260"/>
      <c r="O103" s="260"/>
      <c r="P103" s="260"/>
      <c r="Q103" s="260"/>
      <c r="R103" s="260"/>
      <c r="S103" s="260"/>
      <c r="T103" s="260"/>
      <c r="U103" s="261"/>
    </row>
    <row r="104" spans="1:21" ht="6" customHeight="1" x14ac:dyDescent="0.2"/>
    <row r="105" spans="1:21" ht="18.75" customHeight="1" x14ac:dyDescent="0.2">
      <c r="A105" s="53" t="s">
        <v>103</v>
      </c>
    </row>
    <row r="106" spans="1:21" ht="81.75" customHeight="1" x14ac:dyDescent="0.2">
      <c r="B106" s="266" t="s">
        <v>188</v>
      </c>
      <c r="C106" s="267"/>
      <c r="D106" s="267"/>
      <c r="E106" s="267"/>
      <c r="F106" s="267"/>
      <c r="G106" s="267"/>
      <c r="H106" s="267"/>
      <c r="I106" s="267"/>
      <c r="J106" s="267"/>
      <c r="K106" s="267"/>
      <c r="L106" s="267"/>
      <c r="M106" s="267"/>
      <c r="N106" s="267"/>
      <c r="O106" s="267"/>
      <c r="P106" s="267"/>
      <c r="Q106" s="267"/>
      <c r="R106" s="267"/>
      <c r="S106" s="267"/>
      <c r="T106" s="267"/>
      <c r="U106" s="268"/>
    </row>
    <row r="109" spans="1:21" ht="18" customHeight="1" x14ac:dyDescent="0.2"/>
  </sheetData>
  <mergeCells count="148">
    <mergeCell ref="K38:Q38"/>
    <mergeCell ref="A59:U60"/>
    <mergeCell ref="K40:Q40"/>
    <mergeCell ref="K41:Q41"/>
    <mergeCell ref="K61:Q61"/>
    <mergeCell ref="K62:Q62"/>
    <mergeCell ref="K43:Q43"/>
    <mergeCell ref="B50:F50"/>
    <mergeCell ref="B51:F51"/>
    <mergeCell ref="B52:F52"/>
    <mergeCell ref="K57:Q57"/>
    <mergeCell ref="B97:B98"/>
    <mergeCell ref="B93:B94"/>
    <mergeCell ref="K73:P73"/>
    <mergeCell ref="K74:P74"/>
    <mergeCell ref="D92:U92"/>
    <mergeCell ref="D93:U93"/>
    <mergeCell ref="D94:U94"/>
    <mergeCell ref="D95:U95"/>
    <mergeCell ref="D96:U96"/>
    <mergeCell ref="D97:U97"/>
    <mergeCell ref="D98:U98"/>
    <mergeCell ref="K64:Q64"/>
    <mergeCell ref="K65:Q65"/>
    <mergeCell ref="K66:Q66"/>
    <mergeCell ref="K67:Q67"/>
    <mergeCell ref="K68:Q68"/>
    <mergeCell ref="B72:E72"/>
    <mergeCell ref="B62:F62"/>
    <mergeCell ref="B63:F63"/>
    <mergeCell ref="T1:U1"/>
    <mergeCell ref="B26:F26"/>
    <mergeCell ref="B27:F27"/>
    <mergeCell ref="B28:F28"/>
    <mergeCell ref="B29:F29"/>
    <mergeCell ref="B31:F31"/>
    <mergeCell ref="B32:F32"/>
    <mergeCell ref="B33:F33"/>
    <mergeCell ref="B34:F34"/>
    <mergeCell ref="K26:Q26"/>
    <mergeCell ref="K27:Q27"/>
    <mergeCell ref="K28:Q28"/>
    <mergeCell ref="K29:Q29"/>
    <mergeCell ref="K31:Q31"/>
    <mergeCell ref="K32:Q32"/>
    <mergeCell ref="K33:Q33"/>
    <mergeCell ref="K34:Q34"/>
    <mergeCell ref="C2:J2"/>
    <mergeCell ref="C3:J3"/>
    <mergeCell ref="N22:U22"/>
    <mergeCell ref="L7:U7"/>
    <mergeCell ref="B11:U12"/>
    <mergeCell ref="G89:J89"/>
    <mergeCell ref="B101:B103"/>
    <mergeCell ref="B99:B100"/>
    <mergeCell ref="B92:C92"/>
    <mergeCell ref="A36:U37"/>
    <mergeCell ref="B38:F38"/>
    <mergeCell ref="B39:F39"/>
    <mergeCell ref="B40:F40"/>
    <mergeCell ref="B61:F61"/>
    <mergeCell ref="D100:U100"/>
    <mergeCell ref="D101:U101"/>
    <mergeCell ref="D102:U102"/>
    <mergeCell ref="D103:U103"/>
    <mergeCell ref="D99:U99"/>
    <mergeCell ref="B53:F53"/>
    <mergeCell ref="K39:Q39"/>
    <mergeCell ref="B54:F54"/>
    <mergeCell ref="B55:F55"/>
    <mergeCell ref="B56:F56"/>
    <mergeCell ref="B57:F57"/>
    <mergeCell ref="K44:Q44"/>
    <mergeCell ref="K45:Q45"/>
    <mergeCell ref="K46:Q46"/>
    <mergeCell ref="A48:U49"/>
    <mergeCell ref="B79:E79"/>
    <mergeCell ref="K76:P76"/>
    <mergeCell ref="K77:P77"/>
    <mergeCell ref="K78:P78"/>
    <mergeCell ref="A5:U5"/>
    <mergeCell ref="B15:U20"/>
    <mergeCell ref="A24:U25"/>
    <mergeCell ref="K89:Q89"/>
    <mergeCell ref="B106:U106"/>
    <mergeCell ref="R89:U89"/>
    <mergeCell ref="B84:F84"/>
    <mergeCell ref="G84:J84"/>
    <mergeCell ref="K84:Q84"/>
    <mergeCell ref="R84:U84"/>
    <mergeCell ref="B87:F87"/>
    <mergeCell ref="G87:J87"/>
    <mergeCell ref="K87:Q87"/>
    <mergeCell ref="R87:U87"/>
    <mergeCell ref="B85:F85"/>
    <mergeCell ref="B88:F88"/>
    <mergeCell ref="G88:J88"/>
    <mergeCell ref="K88:Q88"/>
    <mergeCell ref="R88:U88"/>
    <mergeCell ref="B89:F89"/>
    <mergeCell ref="B64:F64"/>
    <mergeCell ref="B65:F65"/>
    <mergeCell ref="B66:F66"/>
    <mergeCell ref="K50:Q50"/>
    <mergeCell ref="B95:B96"/>
    <mergeCell ref="R86:U86"/>
    <mergeCell ref="G82:J82"/>
    <mergeCell ref="K82:Q82"/>
    <mergeCell ref="B73:E73"/>
    <mergeCell ref="B74:E74"/>
    <mergeCell ref="R85:U85"/>
    <mergeCell ref="K72:P72"/>
    <mergeCell ref="B67:F67"/>
    <mergeCell ref="B68:F68"/>
    <mergeCell ref="B75:E75"/>
    <mergeCell ref="B76:E76"/>
    <mergeCell ref="K75:P75"/>
    <mergeCell ref="B86:F86"/>
    <mergeCell ref="G85:J85"/>
    <mergeCell ref="G86:J86"/>
    <mergeCell ref="K85:Q85"/>
    <mergeCell ref="K86:Q86"/>
    <mergeCell ref="B77:E77"/>
    <mergeCell ref="B78:E78"/>
    <mergeCell ref="B30:F30"/>
    <mergeCell ref="K30:Q30"/>
    <mergeCell ref="B42:F42"/>
    <mergeCell ref="K42:Q42"/>
    <mergeCell ref="K55:Q55"/>
    <mergeCell ref="K56:Q56"/>
    <mergeCell ref="K79:P79"/>
    <mergeCell ref="A70:U71"/>
    <mergeCell ref="K83:Q83"/>
    <mergeCell ref="B41:F41"/>
    <mergeCell ref="B43:F43"/>
    <mergeCell ref="B44:F44"/>
    <mergeCell ref="B45:F45"/>
    <mergeCell ref="B46:F46"/>
    <mergeCell ref="K51:Q51"/>
    <mergeCell ref="K52:Q52"/>
    <mergeCell ref="K53:Q53"/>
    <mergeCell ref="K54:Q54"/>
    <mergeCell ref="R83:U83"/>
    <mergeCell ref="R82:U82"/>
    <mergeCell ref="B83:F83"/>
    <mergeCell ref="K63:Q63"/>
    <mergeCell ref="B82:F82"/>
    <mergeCell ref="G83:J83"/>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3:U79 G73:J79 S27:U34 S51:U57 H39:J46 S62:U68 H51:J57 H27:J34 S39:U46 H62:J68" xr:uid="{4C0986EB-3601-4249-85F7-B678A400A117}">
      <formula1>"○"</formula1>
    </dataValidation>
    <dataValidation type="list" allowBlank="1" showInputMessage="1" showErrorMessage="1" sqref="U35 U47 E35:H35 E47:H47"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90:J90 R90:U9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3:J89 R83:U89" xr:uid="{E61772BF-11EE-43E8-BC0C-EDDA1761D40A}">
      <formula1>$AA$82:$AA$91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&amp;C数理・データサイエンス・AI教育プログラム認定制度【リテラシーレベル】令和7年度申請用</oddHeader>
  </headerFooter>
  <rowBreaks count="2" manualBreakCount="2">
    <brk id="69" max="20" man="1"/>
    <brk id="98"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A12" zoomScaleNormal="100" zoomScaleSheetLayoutView="100" workbookViewId="0">
      <selection activeCell="B1" sqref="B1"/>
    </sheetView>
  </sheetViews>
  <sheetFormatPr defaultColWidth="9" defaultRowHeight="18.75" customHeight="1" x14ac:dyDescent="0.2"/>
  <cols>
    <col min="1" max="1" width="2.77734375" style="1" customWidth="1"/>
    <col min="2" max="2" width="27.77734375" style="1" customWidth="1"/>
    <col min="3" max="18" width="6.109375" style="1" customWidth="1"/>
    <col min="19" max="19" width="6.6640625" style="1" customWidth="1"/>
    <col min="20" max="16384" width="9" style="1"/>
  </cols>
  <sheetData>
    <row r="1" spans="1:21" ht="18" customHeight="1" x14ac:dyDescent="0.2">
      <c r="A1" s="53"/>
      <c r="B1" s="53"/>
      <c r="C1" s="53"/>
      <c r="D1" s="53"/>
      <c r="E1" s="53"/>
      <c r="F1" s="53"/>
      <c r="G1" s="53"/>
      <c r="H1" s="53"/>
      <c r="I1" s="53"/>
      <c r="J1" s="53"/>
      <c r="K1" s="53"/>
      <c r="L1" s="53"/>
      <c r="M1" s="53"/>
      <c r="N1" s="53"/>
      <c r="O1" s="53"/>
      <c r="P1" s="53"/>
      <c r="Q1" s="53"/>
      <c r="R1" s="53"/>
      <c r="S1" s="53" t="s">
        <v>92</v>
      </c>
    </row>
    <row r="2" spans="1:21" ht="18" customHeight="1" x14ac:dyDescent="0.2">
      <c r="A2" s="53"/>
      <c r="B2" s="53"/>
      <c r="C2" s="53"/>
      <c r="D2" s="53"/>
      <c r="E2" s="53"/>
      <c r="F2" s="53"/>
      <c r="G2" s="53"/>
      <c r="H2" s="53"/>
      <c r="I2" s="53"/>
      <c r="J2" s="53"/>
      <c r="K2" s="53"/>
      <c r="L2" s="53"/>
      <c r="M2" s="53"/>
      <c r="N2" s="53"/>
      <c r="O2" s="53"/>
      <c r="P2" s="53"/>
      <c r="Q2" s="78" t="str">
        <f>'様式１　プログラムを構成する授業科目'!C2</f>
        <v>女子栄養大学</v>
      </c>
      <c r="R2" s="78"/>
      <c r="S2" s="78"/>
    </row>
    <row r="3" spans="1:21" ht="18" customHeight="1" x14ac:dyDescent="0.2">
      <c r="A3" s="73" t="s">
        <v>142</v>
      </c>
      <c r="B3" s="73"/>
      <c r="C3" s="73"/>
      <c r="D3" s="73"/>
      <c r="E3" s="73"/>
      <c r="F3" s="73"/>
      <c r="G3" s="73"/>
      <c r="H3" s="73"/>
      <c r="I3" s="73"/>
      <c r="J3" s="73"/>
      <c r="K3" s="73"/>
      <c r="L3" s="73"/>
      <c r="M3" s="73"/>
      <c r="N3" s="73"/>
      <c r="O3" s="73"/>
      <c r="P3" s="73"/>
      <c r="Q3" s="73"/>
      <c r="R3" s="73"/>
      <c r="S3" s="73"/>
    </row>
    <row r="4" spans="1:21" ht="7.5" customHeight="1" x14ac:dyDescent="0.2">
      <c r="A4" s="55"/>
      <c r="B4" s="55"/>
      <c r="C4" s="55"/>
      <c r="D4" s="55"/>
      <c r="E4" s="55"/>
      <c r="F4" s="55"/>
      <c r="G4" s="55"/>
      <c r="H4" s="55"/>
      <c r="I4" s="55"/>
      <c r="J4" s="55"/>
      <c r="K4" s="55"/>
      <c r="L4" s="55"/>
      <c r="M4" s="55"/>
      <c r="N4" s="55"/>
      <c r="O4" s="55"/>
      <c r="P4" s="55"/>
      <c r="Q4" s="55"/>
      <c r="R4" s="55"/>
      <c r="S4" s="55"/>
    </row>
    <row r="5" spans="1:21" ht="18" customHeight="1" x14ac:dyDescent="0.2">
      <c r="A5" s="53" t="s">
        <v>75</v>
      </c>
      <c r="B5" s="53"/>
      <c r="C5" s="79" t="s">
        <v>150</v>
      </c>
      <c r="D5" s="80"/>
      <c r="E5" s="57" t="s">
        <v>125</v>
      </c>
      <c r="F5" s="55"/>
      <c r="G5" s="55"/>
      <c r="H5" s="55"/>
      <c r="I5" s="55"/>
      <c r="J5" s="55"/>
      <c r="K5" s="55"/>
      <c r="L5" s="55"/>
      <c r="M5" s="55"/>
      <c r="N5" s="55"/>
      <c r="O5" s="55"/>
      <c r="P5" s="55"/>
      <c r="Q5" s="55"/>
      <c r="R5" s="54"/>
      <c r="S5" s="54"/>
    </row>
    <row r="6" spans="1:21" ht="7.2" customHeight="1" x14ac:dyDescent="0.2">
      <c r="A6" s="53"/>
      <c r="B6" s="53"/>
      <c r="C6" s="59"/>
      <c r="D6" s="59"/>
      <c r="E6" s="55"/>
      <c r="F6" s="55"/>
      <c r="G6" s="55"/>
      <c r="H6" s="55"/>
      <c r="I6" s="55"/>
      <c r="J6" s="55"/>
      <c r="K6" s="55"/>
      <c r="L6" s="55"/>
      <c r="M6" s="55"/>
      <c r="N6" s="55"/>
      <c r="O6" s="55"/>
      <c r="P6" s="55"/>
      <c r="Q6" s="55"/>
      <c r="R6" s="54"/>
      <c r="S6" s="54"/>
    </row>
    <row r="7" spans="1:21" ht="18" customHeight="1" x14ac:dyDescent="0.2">
      <c r="A7" s="53" t="s">
        <v>109</v>
      </c>
      <c r="B7" s="53"/>
      <c r="C7" s="59"/>
      <c r="D7" s="59"/>
      <c r="E7" s="55" t="s">
        <v>110</v>
      </c>
      <c r="F7" s="58">
        <v>0</v>
      </c>
      <c r="G7" s="57" t="s">
        <v>111</v>
      </c>
      <c r="H7" s="55" t="s">
        <v>112</v>
      </c>
      <c r="I7" s="58">
        <v>1814</v>
      </c>
      <c r="J7" s="57" t="s">
        <v>111</v>
      </c>
      <c r="K7" s="56" t="s">
        <v>113</v>
      </c>
      <c r="L7" s="55" t="s">
        <v>114</v>
      </c>
      <c r="M7" s="58">
        <f>F7+I7</f>
        <v>1814</v>
      </c>
      <c r="N7" s="55" t="s">
        <v>1</v>
      </c>
      <c r="O7" s="57" t="s">
        <v>115</v>
      </c>
      <c r="P7" s="55"/>
      <c r="Q7" s="55"/>
      <c r="R7" s="54"/>
      <c r="S7" s="54"/>
    </row>
    <row r="8" spans="1:21" ht="17.55" customHeight="1" x14ac:dyDescent="0.2">
      <c r="A8" s="55"/>
      <c r="B8" s="60" t="s">
        <v>128</v>
      </c>
      <c r="C8" s="55"/>
      <c r="D8" s="55"/>
      <c r="E8" s="55"/>
      <c r="F8" s="55"/>
      <c r="G8" s="55"/>
      <c r="H8" s="55"/>
      <c r="I8" s="55"/>
      <c r="J8" s="55"/>
      <c r="K8" s="55"/>
      <c r="L8" s="55"/>
      <c r="M8" s="55"/>
      <c r="N8" s="55"/>
      <c r="O8" s="55"/>
      <c r="P8" s="55"/>
      <c r="Q8" s="55"/>
      <c r="R8" s="55"/>
      <c r="S8" s="55"/>
    </row>
    <row r="9" spans="1:21" ht="18" customHeight="1" x14ac:dyDescent="0.2">
      <c r="A9" s="53" t="s">
        <v>120</v>
      </c>
      <c r="B9" s="55"/>
      <c r="C9" s="55"/>
      <c r="D9" s="55"/>
      <c r="E9" s="55"/>
      <c r="F9" s="55"/>
      <c r="G9" s="55"/>
      <c r="H9" s="55"/>
      <c r="I9" s="55"/>
      <c r="J9" s="55"/>
      <c r="K9" s="55"/>
      <c r="L9" s="55"/>
      <c r="M9" s="55"/>
      <c r="N9" s="55"/>
      <c r="O9" s="55"/>
      <c r="P9" s="55"/>
      <c r="Q9" s="55"/>
      <c r="R9" s="55"/>
      <c r="S9" s="55"/>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81" t="s">
        <v>43</v>
      </c>
      <c r="C11" s="91" t="s">
        <v>78</v>
      </c>
      <c r="D11" s="83" t="s">
        <v>45</v>
      </c>
      <c r="E11" s="85" t="s">
        <v>38</v>
      </c>
      <c r="F11" s="77" t="s">
        <v>126</v>
      </c>
      <c r="G11" s="77"/>
      <c r="H11" s="77" t="s">
        <v>106</v>
      </c>
      <c r="I11" s="77"/>
      <c r="J11" s="77" t="s">
        <v>77</v>
      </c>
      <c r="K11" s="77"/>
      <c r="L11" s="77" t="s">
        <v>46</v>
      </c>
      <c r="M11" s="77"/>
      <c r="N11" s="77" t="s">
        <v>47</v>
      </c>
      <c r="O11" s="77"/>
      <c r="P11" s="77" t="s">
        <v>127</v>
      </c>
      <c r="Q11" s="77"/>
      <c r="R11" s="87" t="s">
        <v>35</v>
      </c>
      <c r="S11" s="89" t="s">
        <v>32</v>
      </c>
      <c r="U11" s="2"/>
    </row>
    <row r="12" spans="1:21" ht="16.95" customHeight="1" x14ac:dyDescent="0.2">
      <c r="B12" s="82"/>
      <c r="C12" s="92"/>
      <c r="D12" s="84"/>
      <c r="E12" s="86"/>
      <c r="F12" s="61" t="s">
        <v>86</v>
      </c>
      <c r="G12" s="61" t="s">
        <v>29</v>
      </c>
      <c r="H12" s="61" t="s">
        <v>86</v>
      </c>
      <c r="I12" s="61" t="s">
        <v>29</v>
      </c>
      <c r="J12" s="61" t="s">
        <v>86</v>
      </c>
      <c r="K12" s="61" t="s">
        <v>29</v>
      </c>
      <c r="L12" s="61" t="s">
        <v>86</v>
      </c>
      <c r="M12" s="61" t="s">
        <v>29</v>
      </c>
      <c r="N12" s="61" t="s">
        <v>86</v>
      </c>
      <c r="O12" s="61" t="s">
        <v>29</v>
      </c>
      <c r="P12" s="61" t="s">
        <v>86</v>
      </c>
      <c r="Q12" s="62" t="s">
        <v>29</v>
      </c>
      <c r="R12" s="88"/>
      <c r="S12" s="90"/>
      <c r="U12" s="2"/>
    </row>
    <row r="13" spans="1:21" ht="18" customHeight="1" x14ac:dyDescent="0.2">
      <c r="A13" s="6"/>
      <c r="B13" s="47" t="s">
        <v>144</v>
      </c>
      <c r="C13" s="35">
        <v>916</v>
      </c>
      <c r="D13" s="36">
        <v>200</v>
      </c>
      <c r="E13" s="37">
        <v>840</v>
      </c>
      <c r="F13" s="37">
        <v>166</v>
      </c>
      <c r="G13" s="37">
        <v>0</v>
      </c>
      <c r="H13" s="37">
        <v>0</v>
      </c>
      <c r="I13" s="37">
        <v>0</v>
      </c>
      <c r="J13" s="37">
        <v>0</v>
      </c>
      <c r="K13" s="37">
        <v>0</v>
      </c>
      <c r="L13" s="37">
        <v>0</v>
      </c>
      <c r="M13" s="37">
        <v>0</v>
      </c>
      <c r="N13" s="37">
        <v>0</v>
      </c>
      <c r="O13" s="37">
        <v>0</v>
      </c>
      <c r="P13" s="37">
        <v>0</v>
      </c>
      <c r="Q13" s="48">
        <v>0</v>
      </c>
      <c r="R13" s="36">
        <f>F13+H13+J13+L13+N13+P13</f>
        <v>166</v>
      </c>
      <c r="S13" s="49">
        <f>R13/E13</f>
        <v>0.19761904761904761</v>
      </c>
    </row>
    <row r="14" spans="1:21" ht="18" customHeight="1" x14ac:dyDescent="0.2">
      <c r="A14" s="6"/>
      <c r="B14" s="11" t="s">
        <v>145</v>
      </c>
      <c r="C14" s="38">
        <v>600</v>
      </c>
      <c r="D14" s="39">
        <v>150</v>
      </c>
      <c r="E14" s="40">
        <v>610</v>
      </c>
      <c r="F14" s="41">
        <v>129</v>
      </c>
      <c r="G14" s="41">
        <v>65</v>
      </c>
      <c r="H14" s="41">
        <v>0</v>
      </c>
      <c r="I14" s="41">
        <v>0</v>
      </c>
      <c r="J14" s="41">
        <v>0</v>
      </c>
      <c r="K14" s="41">
        <v>0</v>
      </c>
      <c r="L14" s="41">
        <v>0</v>
      </c>
      <c r="M14" s="41">
        <v>0</v>
      </c>
      <c r="N14" s="41">
        <v>0</v>
      </c>
      <c r="O14" s="41">
        <v>0</v>
      </c>
      <c r="P14" s="41">
        <v>0</v>
      </c>
      <c r="Q14" s="38">
        <v>0</v>
      </c>
      <c r="R14" s="39">
        <f>F14+H14+J14+L14+N14+P14</f>
        <v>129</v>
      </c>
      <c r="S14" s="16">
        <f>R14/E14</f>
        <v>0.21147540983606558</v>
      </c>
    </row>
    <row r="15" spans="1:21" ht="18" customHeight="1" x14ac:dyDescent="0.2">
      <c r="A15" s="6"/>
      <c r="B15" s="11" t="s">
        <v>146</v>
      </c>
      <c r="C15" s="38">
        <v>298</v>
      </c>
      <c r="D15" s="39">
        <v>87</v>
      </c>
      <c r="E15" s="40">
        <v>388</v>
      </c>
      <c r="F15" s="41">
        <v>44</v>
      </c>
      <c r="G15" s="41">
        <v>7</v>
      </c>
      <c r="H15" s="41">
        <v>0</v>
      </c>
      <c r="I15" s="41">
        <v>0</v>
      </c>
      <c r="J15" s="41">
        <v>0</v>
      </c>
      <c r="K15" s="41">
        <v>0</v>
      </c>
      <c r="L15" s="41">
        <v>0</v>
      </c>
      <c r="M15" s="41">
        <v>0</v>
      </c>
      <c r="N15" s="41">
        <v>0</v>
      </c>
      <c r="O15" s="41">
        <v>0</v>
      </c>
      <c r="P15" s="41">
        <v>0</v>
      </c>
      <c r="Q15" s="38">
        <v>0</v>
      </c>
      <c r="R15" s="39">
        <f>F15+H15+J15+L15+N15+P15</f>
        <v>44</v>
      </c>
      <c r="S15" s="8">
        <f>R15/E15</f>
        <v>0.1134020618556701</v>
      </c>
    </row>
    <row r="16" spans="1:21" ht="18" customHeight="1" x14ac:dyDescent="0.2">
      <c r="A16" s="6"/>
      <c r="B16" s="11"/>
      <c r="C16" s="38"/>
      <c r="D16" s="39"/>
      <c r="E16" s="40"/>
      <c r="F16" s="41"/>
      <c r="G16" s="41"/>
      <c r="H16" s="41"/>
      <c r="I16" s="41"/>
      <c r="J16" s="41"/>
      <c r="K16" s="41"/>
      <c r="L16" s="41"/>
      <c r="M16" s="41"/>
      <c r="N16" s="41"/>
      <c r="O16" s="41"/>
      <c r="P16" s="41"/>
      <c r="Q16" s="38"/>
      <c r="R16" s="39">
        <f t="shared" ref="R16:R32" si="0">F16+H16+J16+L16+N16+P16</f>
        <v>0</v>
      </c>
      <c r="S16" s="8" t="e">
        <f t="shared" ref="S16:S32" si="1">R16/E16</f>
        <v>#DIV/0!</v>
      </c>
    </row>
    <row r="17" spans="1:19" ht="18" customHeight="1" x14ac:dyDescent="0.2">
      <c r="A17" s="6"/>
      <c r="B17" s="11"/>
      <c r="C17" s="38"/>
      <c r="D17" s="39"/>
      <c r="E17" s="40"/>
      <c r="F17" s="41"/>
      <c r="G17" s="41"/>
      <c r="H17" s="41"/>
      <c r="I17" s="41"/>
      <c r="J17" s="41"/>
      <c r="K17" s="41"/>
      <c r="L17" s="41"/>
      <c r="M17" s="41"/>
      <c r="N17" s="41"/>
      <c r="O17" s="41"/>
      <c r="P17" s="41"/>
      <c r="Q17" s="38"/>
      <c r="R17" s="39">
        <f t="shared" si="0"/>
        <v>0</v>
      </c>
      <c r="S17" s="8" t="e">
        <f t="shared" si="1"/>
        <v>#DIV/0!</v>
      </c>
    </row>
    <row r="18" spans="1:19" ht="18" customHeight="1" x14ac:dyDescent="0.2">
      <c r="A18" s="6"/>
      <c r="B18" s="11"/>
      <c r="C18" s="38"/>
      <c r="D18" s="39"/>
      <c r="E18" s="40"/>
      <c r="F18" s="41"/>
      <c r="G18" s="41"/>
      <c r="H18" s="41"/>
      <c r="I18" s="41"/>
      <c r="J18" s="41"/>
      <c r="K18" s="41"/>
      <c r="L18" s="41"/>
      <c r="M18" s="41"/>
      <c r="N18" s="41"/>
      <c r="O18" s="41"/>
      <c r="P18" s="41"/>
      <c r="Q18" s="38"/>
      <c r="R18" s="39">
        <f t="shared" si="0"/>
        <v>0</v>
      </c>
      <c r="S18" s="8" t="e">
        <f t="shared" si="1"/>
        <v>#DIV/0!</v>
      </c>
    </row>
    <row r="19" spans="1:19" ht="18" customHeight="1" x14ac:dyDescent="0.2">
      <c r="A19" s="6"/>
      <c r="B19" s="11"/>
      <c r="C19" s="38"/>
      <c r="D19" s="39"/>
      <c r="E19" s="40"/>
      <c r="F19" s="41"/>
      <c r="G19" s="41"/>
      <c r="H19" s="41"/>
      <c r="I19" s="41"/>
      <c r="J19" s="41"/>
      <c r="K19" s="41"/>
      <c r="L19" s="41"/>
      <c r="M19" s="41"/>
      <c r="N19" s="41"/>
      <c r="O19" s="41"/>
      <c r="P19" s="41"/>
      <c r="Q19" s="38"/>
      <c r="R19" s="39">
        <f t="shared" si="0"/>
        <v>0</v>
      </c>
      <c r="S19" s="8" t="e">
        <f t="shared" si="1"/>
        <v>#DIV/0!</v>
      </c>
    </row>
    <row r="20" spans="1:19" ht="18" customHeight="1" x14ac:dyDescent="0.2">
      <c r="A20" s="6"/>
      <c r="B20" s="11"/>
      <c r="C20" s="38"/>
      <c r="D20" s="39"/>
      <c r="E20" s="40"/>
      <c r="F20" s="41"/>
      <c r="G20" s="41"/>
      <c r="H20" s="41"/>
      <c r="I20" s="41"/>
      <c r="J20" s="41"/>
      <c r="K20" s="41"/>
      <c r="L20" s="41"/>
      <c r="M20" s="41"/>
      <c r="N20" s="41"/>
      <c r="O20" s="41"/>
      <c r="P20" s="41"/>
      <c r="Q20" s="38"/>
      <c r="R20" s="39">
        <f t="shared" si="0"/>
        <v>0</v>
      </c>
      <c r="S20" s="8" t="e">
        <f t="shared" si="1"/>
        <v>#DIV/0!</v>
      </c>
    </row>
    <row r="21" spans="1:19" ht="18" customHeight="1" x14ac:dyDescent="0.2">
      <c r="A21" s="6"/>
      <c r="B21" s="11"/>
      <c r="C21" s="38"/>
      <c r="D21" s="39"/>
      <c r="E21" s="40"/>
      <c r="F21" s="41"/>
      <c r="G21" s="41"/>
      <c r="H21" s="41"/>
      <c r="I21" s="41"/>
      <c r="J21" s="41"/>
      <c r="K21" s="41"/>
      <c r="L21" s="41"/>
      <c r="M21" s="41"/>
      <c r="N21" s="41"/>
      <c r="O21" s="41"/>
      <c r="P21" s="41"/>
      <c r="Q21" s="38"/>
      <c r="R21" s="39">
        <f t="shared" si="0"/>
        <v>0</v>
      </c>
      <c r="S21" s="8" t="e">
        <f t="shared" si="1"/>
        <v>#DIV/0!</v>
      </c>
    </row>
    <row r="22" spans="1:19" ht="18" customHeight="1" x14ac:dyDescent="0.2">
      <c r="A22" s="6"/>
      <c r="B22" s="11"/>
      <c r="C22" s="38"/>
      <c r="D22" s="39"/>
      <c r="E22" s="40"/>
      <c r="F22" s="41"/>
      <c r="G22" s="41"/>
      <c r="H22" s="41"/>
      <c r="I22" s="41"/>
      <c r="J22" s="41"/>
      <c r="K22" s="41"/>
      <c r="L22" s="41"/>
      <c r="M22" s="41"/>
      <c r="N22" s="41"/>
      <c r="O22" s="41"/>
      <c r="P22" s="41"/>
      <c r="Q22" s="38"/>
      <c r="R22" s="39">
        <f t="shared" si="0"/>
        <v>0</v>
      </c>
      <c r="S22" s="8" t="e">
        <f t="shared" si="1"/>
        <v>#DIV/0!</v>
      </c>
    </row>
    <row r="23" spans="1:19" ht="18" customHeight="1" x14ac:dyDescent="0.2">
      <c r="A23" s="6"/>
      <c r="B23" s="11"/>
      <c r="C23" s="38"/>
      <c r="D23" s="39"/>
      <c r="E23" s="40"/>
      <c r="F23" s="41"/>
      <c r="G23" s="41"/>
      <c r="H23" s="41"/>
      <c r="I23" s="41"/>
      <c r="J23" s="41"/>
      <c r="K23" s="41"/>
      <c r="L23" s="41"/>
      <c r="M23" s="41"/>
      <c r="N23" s="41"/>
      <c r="O23" s="41"/>
      <c r="P23" s="41"/>
      <c r="Q23" s="38"/>
      <c r="R23" s="39">
        <f t="shared" si="0"/>
        <v>0</v>
      </c>
      <c r="S23" s="8" t="e">
        <f t="shared" si="1"/>
        <v>#DIV/0!</v>
      </c>
    </row>
    <row r="24" spans="1:19" ht="18" customHeight="1" x14ac:dyDescent="0.2">
      <c r="A24" s="6"/>
      <c r="B24" s="11"/>
      <c r="C24" s="38"/>
      <c r="D24" s="39"/>
      <c r="E24" s="40"/>
      <c r="F24" s="41"/>
      <c r="G24" s="41"/>
      <c r="H24" s="41"/>
      <c r="I24" s="41"/>
      <c r="J24" s="41"/>
      <c r="K24" s="41"/>
      <c r="L24" s="41"/>
      <c r="M24" s="41"/>
      <c r="N24" s="41"/>
      <c r="O24" s="41"/>
      <c r="P24" s="41"/>
      <c r="Q24" s="38"/>
      <c r="R24" s="39">
        <f t="shared" si="0"/>
        <v>0</v>
      </c>
      <c r="S24" s="8" t="e">
        <f t="shared" si="1"/>
        <v>#DIV/0!</v>
      </c>
    </row>
    <row r="25" spans="1:19" ht="18" customHeight="1" x14ac:dyDescent="0.2">
      <c r="A25" s="6"/>
      <c r="B25" s="11"/>
      <c r="C25" s="38"/>
      <c r="D25" s="39"/>
      <c r="E25" s="40"/>
      <c r="F25" s="41"/>
      <c r="G25" s="41"/>
      <c r="H25" s="41"/>
      <c r="I25" s="41"/>
      <c r="J25" s="41"/>
      <c r="K25" s="41"/>
      <c r="L25" s="41"/>
      <c r="M25" s="41"/>
      <c r="N25" s="41"/>
      <c r="O25" s="41"/>
      <c r="P25" s="41"/>
      <c r="Q25" s="38"/>
      <c r="R25" s="39">
        <f t="shared" si="0"/>
        <v>0</v>
      </c>
      <c r="S25" s="8" t="e">
        <f t="shared" si="1"/>
        <v>#DIV/0!</v>
      </c>
    </row>
    <row r="26" spans="1:19" ht="18" customHeight="1" x14ac:dyDescent="0.2">
      <c r="A26" s="6"/>
      <c r="B26" s="11"/>
      <c r="C26" s="38"/>
      <c r="D26" s="39"/>
      <c r="E26" s="40"/>
      <c r="F26" s="41"/>
      <c r="G26" s="41"/>
      <c r="H26" s="41"/>
      <c r="I26" s="41"/>
      <c r="J26" s="41"/>
      <c r="K26" s="41"/>
      <c r="L26" s="41"/>
      <c r="M26" s="41"/>
      <c r="N26" s="41"/>
      <c r="O26" s="41"/>
      <c r="P26" s="41"/>
      <c r="Q26" s="38"/>
      <c r="R26" s="39">
        <f t="shared" si="0"/>
        <v>0</v>
      </c>
      <c r="S26" s="8" t="e">
        <f t="shared" si="1"/>
        <v>#DIV/0!</v>
      </c>
    </row>
    <row r="27" spans="1:19" ht="18" customHeight="1" x14ac:dyDescent="0.2">
      <c r="A27" s="6"/>
      <c r="B27" s="11"/>
      <c r="C27" s="38"/>
      <c r="D27" s="39"/>
      <c r="E27" s="40"/>
      <c r="F27" s="41"/>
      <c r="G27" s="41"/>
      <c r="H27" s="41"/>
      <c r="I27" s="41"/>
      <c r="J27" s="41"/>
      <c r="K27" s="41"/>
      <c r="L27" s="41"/>
      <c r="M27" s="41"/>
      <c r="N27" s="41"/>
      <c r="O27" s="41"/>
      <c r="P27" s="41"/>
      <c r="Q27" s="38"/>
      <c r="R27" s="39">
        <f t="shared" si="0"/>
        <v>0</v>
      </c>
      <c r="S27" s="8" t="e">
        <f t="shared" si="1"/>
        <v>#DIV/0!</v>
      </c>
    </row>
    <row r="28" spans="1:19" ht="18" customHeight="1" x14ac:dyDescent="0.2">
      <c r="A28" s="6"/>
      <c r="B28" s="11"/>
      <c r="C28" s="38"/>
      <c r="D28" s="39"/>
      <c r="E28" s="40"/>
      <c r="F28" s="41"/>
      <c r="G28" s="41"/>
      <c r="H28" s="41"/>
      <c r="I28" s="41"/>
      <c r="J28" s="41"/>
      <c r="K28" s="41"/>
      <c r="L28" s="41"/>
      <c r="M28" s="41"/>
      <c r="N28" s="41"/>
      <c r="O28" s="41"/>
      <c r="P28" s="41"/>
      <c r="Q28" s="38"/>
      <c r="R28" s="39">
        <f t="shared" si="0"/>
        <v>0</v>
      </c>
      <c r="S28" s="8" t="e">
        <f t="shared" si="1"/>
        <v>#DIV/0!</v>
      </c>
    </row>
    <row r="29" spans="1:19" ht="18" customHeight="1" x14ac:dyDescent="0.2">
      <c r="A29" s="6"/>
      <c r="B29" s="11"/>
      <c r="C29" s="38"/>
      <c r="D29" s="39"/>
      <c r="E29" s="40"/>
      <c r="F29" s="41"/>
      <c r="G29" s="41"/>
      <c r="H29" s="41"/>
      <c r="I29" s="41"/>
      <c r="J29" s="41"/>
      <c r="K29" s="41"/>
      <c r="L29" s="41"/>
      <c r="M29" s="41"/>
      <c r="N29" s="41"/>
      <c r="O29" s="41"/>
      <c r="P29" s="41"/>
      <c r="Q29" s="38"/>
      <c r="R29" s="39">
        <f t="shared" si="0"/>
        <v>0</v>
      </c>
      <c r="S29" s="8" t="e">
        <f t="shared" si="1"/>
        <v>#DIV/0!</v>
      </c>
    </row>
    <row r="30" spans="1:19" ht="18" customHeight="1" x14ac:dyDescent="0.2">
      <c r="A30" s="6"/>
      <c r="B30" s="11"/>
      <c r="C30" s="38"/>
      <c r="D30" s="42"/>
      <c r="E30" s="40"/>
      <c r="F30" s="41"/>
      <c r="G30" s="41"/>
      <c r="H30" s="41"/>
      <c r="I30" s="41"/>
      <c r="J30" s="41"/>
      <c r="K30" s="41"/>
      <c r="L30" s="41"/>
      <c r="M30" s="41"/>
      <c r="N30" s="41"/>
      <c r="O30" s="41"/>
      <c r="P30" s="41"/>
      <c r="Q30" s="38"/>
      <c r="R30" s="42">
        <f t="shared" si="0"/>
        <v>0</v>
      </c>
      <c r="S30" s="8" t="e">
        <f t="shared" si="1"/>
        <v>#DIV/0!</v>
      </c>
    </row>
    <row r="31" spans="1:19" ht="18" customHeight="1" x14ac:dyDescent="0.2">
      <c r="A31" s="6"/>
      <c r="B31" s="11"/>
      <c r="C31" s="38"/>
      <c r="D31" s="42"/>
      <c r="E31" s="40"/>
      <c r="F31" s="41"/>
      <c r="G31" s="41"/>
      <c r="H31" s="41"/>
      <c r="I31" s="41"/>
      <c r="J31" s="41"/>
      <c r="K31" s="41"/>
      <c r="L31" s="41"/>
      <c r="M31" s="41"/>
      <c r="N31" s="41"/>
      <c r="O31" s="41"/>
      <c r="P31" s="41"/>
      <c r="Q31" s="38"/>
      <c r="R31" s="42">
        <f t="shared" si="0"/>
        <v>0</v>
      </c>
      <c r="S31" s="8" t="e">
        <f t="shared" si="1"/>
        <v>#DIV/0!</v>
      </c>
    </row>
    <row r="32" spans="1:19" ht="18" customHeight="1" thickBot="1" x14ac:dyDescent="0.25">
      <c r="A32" s="6"/>
      <c r="B32" s="12"/>
      <c r="C32" s="35"/>
      <c r="D32" s="43"/>
      <c r="E32" s="37"/>
      <c r="F32" s="37"/>
      <c r="G32" s="37"/>
      <c r="H32" s="37"/>
      <c r="I32" s="37"/>
      <c r="J32" s="37"/>
      <c r="K32" s="37"/>
      <c r="L32" s="37"/>
      <c r="M32" s="37"/>
      <c r="N32" s="37"/>
      <c r="O32" s="37"/>
      <c r="P32" s="37"/>
      <c r="Q32" s="38"/>
      <c r="R32" s="43">
        <f t="shared" si="0"/>
        <v>0</v>
      </c>
      <c r="S32" s="7" t="e">
        <f t="shared" si="1"/>
        <v>#DIV/0!</v>
      </c>
    </row>
    <row r="33" spans="2:19" ht="18" customHeight="1" thickTop="1" x14ac:dyDescent="0.2">
      <c r="B33" s="13" t="s">
        <v>33</v>
      </c>
      <c r="C33" s="44">
        <f t="shared" ref="C33" si="2">SUM(C13:C32)</f>
        <v>1814</v>
      </c>
      <c r="D33" s="45">
        <f t="shared" ref="D33:R33" si="3">SUM(D13:D32)</f>
        <v>437</v>
      </c>
      <c r="E33" s="46">
        <f t="shared" si="3"/>
        <v>1838</v>
      </c>
      <c r="F33" s="46">
        <f t="shared" si="3"/>
        <v>339</v>
      </c>
      <c r="G33" s="46">
        <f t="shared" ref="G33:H33" si="4">SUM(G13:G32)</f>
        <v>72</v>
      </c>
      <c r="H33" s="46">
        <f t="shared" si="4"/>
        <v>0</v>
      </c>
      <c r="I33" s="46">
        <f t="shared" ref="I33:J33" si="5">SUM(I13:I32)</f>
        <v>0</v>
      </c>
      <c r="J33" s="46">
        <f t="shared" si="5"/>
        <v>0</v>
      </c>
      <c r="K33" s="46">
        <f t="shared" ref="K33:O33" si="6">SUM(K13:K32)</f>
        <v>0</v>
      </c>
      <c r="L33" s="46">
        <f t="shared" si="6"/>
        <v>0</v>
      </c>
      <c r="M33" s="46">
        <f t="shared" si="6"/>
        <v>0</v>
      </c>
      <c r="N33" s="46">
        <f t="shared" si="6"/>
        <v>0</v>
      </c>
      <c r="O33" s="46">
        <f t="shared" si="6"/>
        <v>0</v>
      </c>
      <c r="P33" s="46">
        <f t="shared" ref="P33:Q33" si="7">SUM(P13:P32)</f>
        <v>0</v>
      </c>
      <c r="Q33" s="44">
        <f t="shared" si="7"/>
        <v>0</v>
      </c>
      <c r="R33" s="45">
        <f t="shared" si="3"/>
        <v>339</v>
      </c>
      <c r="S33" s="9">
        <f>R33/E33</f>
        <v>0.18443960826985853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46" zoomScaleNormal="100" zoomScaleSheetLayoutView="100" workbookViewId="0">
      <selection activeCell="L56" sqref="L56"/>
    </sheetView>
  </sheetViews>
  <sheetFormatPr defaultColWidth="11.33203125" defaultRowHeight="18.75" customHeight="1" x14ac:dyDescent="0.2"/>
  <cols>
    <col min="1" max="1" width="2.77734375" style="20" customWidth="1"/>
    <col min="2" max="2" width="16.6640625" style="1" customWidth="1"/>
    <col min="3" max="3" width="8.777343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0" t="s">
        <v>59</v>
      </c>
      <c r="I1" s="18" t="s">
        <v>91</v>
      </c>
    </row>
    <row r="2" spans="1:9" ht="18.75" customHeight="1" x14ac:dyDescent="0.2">
      <c r="G2" s="18" t="s">
        <v>93</v>
      </c>
      <c r="H2" s="70" t="str">
        <f>'様式１　プログラムを構成する授業科目'!C2</f>
        <v>女子栄養大学</v>
      </c>
      <c r="I2" s="72"/>
    </row>
    <row r="3" spans="1:9" ht="18.75" customHeight="1" x14ac:dyDescent="0.2">
      <c r="G3" s="18"/>
      <c r="H3" s="10"/>
      <c r="I3" s="10"/>
    </row>
    <row r="4" spans="1:9" ht="18.600000000000001" customHeight="1" x14ac:dyDescent="0.2">
      <c r="A4" s="73" t="s">
        <v>36</v>
      </c>
      <c r="B4" s="73"/>
      <c r="C4" s="73"/>
      <c r="D4" s="73"/>
      <c r="E4" s="73"/>
      <c r="F4" s="73"/>
      <c r="G4" s="73"/>
      <c r="H4" s="73"/>
      <c r="I4" s="73"/>
    </row>
    <row r="5" spans="1:9" ht="13.2" customHeight="1" x14ac:dyDescent="0.2">
      <c r="B5" s="3"/>
      <c r="C5" s="3"/>
      <c r="D5" s="3"/>
      <c r="E5" s="3"/>
      <c r="F5" s="3"/>
      <c r="G5" s="3"/>
      <c r="H5" s="3"/>
      <c r="I5" s="3"/>
    </row>
    <row r="6" spans="1:9" ht="18" customHeight="1" x14ac:dyDescent="0.2">
      <c r="A6" s="1" t="s">
        <v>0</v>
      </c>
      <c r="B6" s="10" t="s">
        <v>81</v>
      </c>
      <c r="C6" s="124" t="s">
        <v>82</v>
      </c>
      <c r="D6" s="124"/>
      <c r="E6" s="17">
        <v>74</v>
      </c>
      <c r="F6" s="3" t="s">
        <v>1</v>
      </c>
      <c r="G6" s="3" t="s">
        <v>2</v>
      </c>
      <c r="H6" s="17">
        <v>182</v>
      </c>
      <c r="I6" s="10" t="s">
        <v>1</v>
      </c>
    </row>
    <row r="7" spans="1:9" ht="12" customHeight="1" x14ac:dyDescent="0.2">
      <c r="C7" s="2"/>
      <c r="D7" s="2"/>
      <c r="E7" s="2"/>
      <c r="F7" s="2"/>
      <c r="G7" s="2"/>
      <c r="H7" s="2"/>
      <c r="I7" s="21"/>
    </row>
    <row r="8" spans="1:9" ht="18" customHeight="1" x14ac:dyDescent="0.2">
      <c r="A8" s="1" t="s">
        <v>3</v>
      </c>
      <c r="B8" s="10" t="s">
        <v>83</v>
      </c>
      <c r="E8" s="3"/>
      <c r="F8" s="3"/>
      <c r="G8" s="3"/>
      <c r="H8" s="17">
        <v>4</v>
      </c>
      <c r="I8" s="10" t="s">
        <v>1</v>
      </c>
    </row>
    <row r="9" spans="1:9" ht="9" customHeight="1" x14ac:dyDescent="0.2">
      <c r="B9" s="3"/>
      <c r="C9" s="3"/>
      <c r="D9" s="3"/>
      <c r="E9" s="3"/>
      <c r="F9" s="3"/>
      <c r="G9" s="3"/>
      <c r="H9" s="3"/>
      <c r="I9" s="3"/>
    </row>
    <row r="10" spans="1:9" ht="18" customHeight="1" x14ac:dyDescent="0.2">
      <c r="A10" s="1" t="s">
        <v>4</v>
      </c>
      <c r="B10" s="10" t="s">
        <v>84</v>
      </c>
      <c r="C10" s="3"/>
      <c r="D10" s="3"/>
      <c r="E10" s="3"/>
      <c r="F10" s="3"/>
      <c r="G10" s="3"/>
      <c r="H10" s="3"/>
      <c r="I10" s="3"/>
    </row>
    <row r="11" spans="1:9" ht="18" customHeight="1" x14ac:dyDescent="0.2">
      <c r="B11" s="18" t="s">
        <v>41</v>
      </c>
      <c r="C11" s="120" t="s">
        <v>175</v>
      </c>
      <c r="D11" s="121"/>
      <c r="E11" s="122"/>
      <c r="F11" s="21"/>
      <c r="G11" s="18" t="s">
        <v>10</v>
      </c>
      <c r="H11" s="120" t="s">
        <v>149</v>
      </c>
      <c r="I11" s="122"/>
    </row>
    <row r="12" spans="1:9" ht="10.199999999999999" customHeight="1" x14ac:dyDescent="0.2">
      <c r="B12" s="18"/>
      <c r="C12" s="10"/>
      <c r="D12" s="21"/>
      <c r="E12" s="21"/>
      <c r="F12" s="21"/>
      <c r="G12" s="18"/>
      <c r="H12" s="10"/>
      <c r="I12" s="21"/>
    </row>
    <row r="13" spans="1:9" ht="18" customHeight="1" x14ac:dyDescent="0.2">
      <c r="A13" s="1" t="s">
        <v>7</v>
      </c>
      <c r="B13" s="10" t="s">
        <v>79</v>
      </c>
      <c r="C13" s="3"/>
      <c r="D13" s="3"/>
      <c r="E13" s="3"/>
      <c r="F13" s="3"/>
      <c r="G13" s="3"/>
      <c r="H13" s="3"/>
      <c r="I13" s="3"/>
    </row>
    <row r="14" spans="1:9" ht="18" customHeight="1" x14ac:dyDescent="0.2">
      <c r="B14" s="117" t="s">
        <v>147</v>
      </c>
      <c r="C14" s="118"/>
      <c r="D14" s="118"/>
      <c r="E14" s="118"/>
      <c r="F14" s="118"/>
      <c r="G14" s="118"/>
      <c r="H14" s="118"/>
      <c r="I14" s="119"/>
    </row>
    <row r="15" spans="1:9" ht="9" customHeight="1" x14ac:dyDescent="0.2">
      <c r="B15" s="3"/>
      <c r="C15" s="3"/>
      <c r="D15" s="3"/>
      <c r="E15" s="3"/>
      <c r="F15" s="3"/>
      <c r="G15" s="3"/>
      <c r="H15" s="3"/>
      <c r="I15" s="3"/>
    </row>
    <row r="16" spans="1:9" ht="18" customHeight="1" x14ac:dyDescent="0.2">
      <c r="B16" s="18" t="s">
        <v>41</v>
      </c>
      <c r="C16" s="120" t="s">
        <v>175</v>
      </c>
      <c r="D16" s="121"/>
      <c r="E16" s="122"/>
      <c r="F16" s="21"/>
      <c r="G16" s="18" t="s">
        <v>10</v>
      </c>
      <c r="H16" s="117" t="s">
        <v>149</v>
      </c>
      <c r="I16" s="123"/>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94" t="s">
        <v>148</v>
      </c>
      <c r="C19" s="95"/>
      <c r="D19" s="95"/>
      <c r="E19" s="95"/>
      <c r="F19" s="95"/>
      <c r="G19" s="95"/>
      <c r="H19" s="95"/>
      <c r="I19" s="96"/>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97" t="s">
        <v>176</v>
      </c>
      <c r="C22" s="98"/>
      <c r="D22" s="98"/>
      <c r="E22" s="98"/>
      <c r="F22" s="98"/>
      <c r="G22" s="98"/>
      <c r="H22" s="98"/>
      <c r="I22" s="99"/>
    </row>
    <row r="23" spans="1:9" ht="18.75" customHeight="1" x14ac:dyDescent="0.2">
      <c r="A23" s="14"/>
      <c r="B23" s="100"/>
      <c r="C23" s="101"/>
      <c r="D23" s="101"/>
      <c r="E23" s="101"/>
      <c r="F23" s="101"/>
      <c r="G23" s="101"/>
      <c r="H23" s="101"/>
      <c r="I23" s="102"/>
    </row>
    <row r="24" spans="1:9" ht="18.75" customHeight="1" x14ac:dyDescent="0.2">
      <c r="A24" s="14"/>
      <c r="B24" s="100"/>
      <c r="C24" s="101"/>
      <c r="D24" s="101"/>
      <c r="E24" s="101"/>
      <c r="F24" s="101"/>
      <c r="G24" s="101"/>
      <c r="H24" s="101"/>
      <c r="I24" s="102"/>
    </row>
    <row r="25" spans="1:9" ht="18.75" customHeight="1" x14ac:dyDescent="0.2">
      <c r="A25" s="14"/>
      <c r="B25" s="100"/>
      <c r="C25" s="101"/>
      <c r="D25" s="101"/>
      <c r="E25" s="101"/>
      <c r="F25" s="101"/>
      <c r="G25" s="101"/>
      <c r="H25" s="101"/>
      <c r="I25" s="102"/>
    </row>
    <row r="26" spans="1:9" ht="18.75" customHeight="1" x14ac:dyDescent="0.2">
      <c r="A26" s="14"/>
      <c r="B26" s="100"/>
      <c r="C26" s="101"/>
      <c r="D26" s="101"/>
      <c r="E26" s="101"/>
      <c r="F26" s="101"/>
      <c r="G26" s="101"/>
      <c r="H26" s="101"/>
      <c r="I26" s="102"/>
    </row>
    <row r="27" spans="1:9" ht="18.75" customHeight="1" x14ac:dyDescent="0.2">
      <c r="A27" s="14"/>
      <c r="B27" s="100"/>
      <c r="C27" s="101"/>
      <c r="D27" s="101"/>
      <c r="E27" s="101"/>
      <c r="F27" s="101"/>
      <c r="G27" s="101"/>
      <c r="H27" s="101"/>
      <c r="I27" s="102"/>
    </row>
    <row r="28" spans="1:9" ht="18.75" customHeight="1" x14ac:dyDescent="0.2">
      <c r="A28" s="14"/>
      <c r="B28" s="100"/>
      <c r="C28" s="101"/>
      <c r="D28" s="101"/>
      <c r="E28" s="101"/>
      <c r="F28" s="101"/>
      <c r="G28" s="101"/>
      <c r="H28" s="101"/>
      <c r="I28" s="102"/>
    </row>
    <row r="29" spans="1:9" ht="18.75" customHeight="1" x14ac:dyDescent="0.2">
      <c r="A29" s="14"/>
      <c r="B29" s="100"/>
      <c r="C29" s="101"/>
      <c r="D29" s="101"/>
      <c r="E29" s="101"/>
      <c r="F29" s="101"/>
      <c r="G29" s="101"/>
      <c r="H29" s="101"/>
      <c r="I29" s="102"/>
    </row>
    <row r="30" spans="1:9" ht="18.75" customHeight="1" x14ac:dyDescent="0.2">
      <c r="A30" s="14"/>
      <c r="B30" s="103"/>
      <c r="C30" s="104"/>
      <c r="D30" s="104"/>
      <c r="E30" s="104"/>
      <c r="F30" s="104"/>
      <c r="G30" s="104"/>
      <c r="H30" s="104"/>
      <c r="I30" s="102"/>
    </row>
    <row r="31" spans="1:9" ht="18.75" customHeight="1" x14ac:dyDescent="0.2">
      <c r="A31" s="14"/>
      <c r="B31" s="103"/>
      <c r="C31" s="104"/>
      <c r="D31" s="104"/>
      <c r="E31" s="104"/>
      <c r="F31" s="104"/>
      <c r="G31" s="104"/>
      <c r="H31" s="104"/>
      <c r="I31" s="102"/>
    </row>
    <row r="32" spans="1:9" ht="18.75" customHeight="1" x14ac:dyDescent="0.2">
      <c r="A32" s="14"/>
      <c r="B32" s="105"/>
      <c r="C32" s="106"/>
      <c r="D32" s="106"/>
      <c r="E32" s="106"/>
      <c r="F32" s="106"/>
      <c r="G32" s="106"/>
      <c r="H32" s="106"/>
      <c r="I32" s="107"/>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08" t="s">
        <v>181</v>
      </c>
      <c r="C35" s="109"/>
      <c r="D35" s="109"/>
      <c r="E35" s="109"/>
      <c r="F35" s="109"/>
      <c r="G35" s="109"/>
      <c r="H35" s="109"/>
      <c r="I35" s="110"/>
    </row>
    <row r="36" spans="1:9" ht="18.75" customHeight="1" x14ac:dyDescent="0.2">
      <c r="A36" s="14"/>
      <c r="B36" s="111"/>
      <c r="C36" s="112"/>
      <c r="D36" s="112"/>
      <c r="E36" s="112"/>
      <c r="F36" s="112"/>
      <c r="G36" s="112"/>
      <c r="H36" s="112"/>
      <c r="I36" s="113"/>
    </row>
    <row r="37" spans="1:9" ht="18.75" customHeight="1" x14ac:dyDescent="0.2">
      <c r="A37" s="14"/>
      <c r="B37" s="111"/>
      <c r="C37" s="112"/>
      <c r="D37" s="112"/>
      <c r="E37" s="112"/>
      <c r="F37" s="112"/>
      <c r="G37" s="112"/>
      <c r="H37" s="112"/>
      <c r="I37" s="113"/>
    </row>
    <row r="38" spans="1:9" ht="18.75" customHeight="1" x14ac:dyDescent="0.2">
      <c r="A38" s="14"/>
      <c r="B38" s="111"/>
      <c r="C38" s="112"/>
      <c r="D38" s="112"/>
      <c r="E38" s="112"/>
      <c r="F38" s="112"/>
      <c r="G38" s="112"/>
      <c r="H38" s="112"/>
      <c r="I38" s="113"/>
    </row>
    <row r="39" spans="1:9" ht="18.75" customHeight="1" x14ac:dyDescent="0.2">
      <c r="A39" s="14"/>
      <c r="B39" s="111"/>
      <c r="C39" s="112"/>
      <c r="D39" s="112"/>
      <c r="E39" s="112"/>
      <c r="F39" s="112"/>
      <c r="G39" s="112"/>
      <c r="H39" s="112"/>
      <c r="I39" s="113"/>
    </row>
    <row r="40" spans="1:9" ht="18.75" customHeight="1" x14ac:dyDescent="0.2">
      <c r="A40" s="14"/>
      <c r="B40" s="111"/>
      <c r="C40" s="112"/>
      <c r="D40" s="112"/>
      <c r="E40" s="112"/>
      <c r="F40" s="112"/>
      <c r="G40" s="112"/>
      <c r="H40" s="112"/>
      <c r="I40" s="113"/>
    </row>
    <row r="41" spans="1:9" ht="18.75" customHeight="1" x14ac:dyDescent="0.2">
      <c r="A41" s="14"/>
      <c r="B41" s="111"/>
      <c r="C41" s="112"/>
      <c r="D41" s="112"/>
      <c r="E41" s="112"/>
      <c r="F41" s="112"/>
      <c r="G41" s="112"/>
      <c r="H41" s="112"/>
      <c r="I41" s="113"/>
    </row>
    <row r="42" spans="1:9" ht="18.75" customHeight="1" x14ac:dyDescent="0.2">
      <c r="A42" s="14"/>
      <c r="B42" s="111"/>
      <c r="C42" s="112"/>
      <c r="D42" s="112"/>
      <c r="E42" s="112"/>
      <c r="F42" s="112"/>
      <c r="G42" s="112"/>
      <c r="H42" s="112"/>
      <c r="I42" s="113"/>
    </row>
    <row r="43" spans="1:9" ht="18.75" customHeight="1" x14ac:dyDescent="0.2">
      <c r="A43" s="14"/>
      <c r="B43" s="111"/>
      <c r="C43" s="112"/>
      <c r="D43" s="112"/>
      <c r="E43" s="112"/>
      <c r="F43" s="112"/>
      <c r="G43" s="112"/>
      <c r="H43" s="112"/>
      <c r="I43" s="113"/>
    </row>
    <row r="44" spans="1:9" ht="18.75" customHeight="1" x14ac:dyDescent="0.2">
      <c r="A44" s="14"/>
      <c r="B44" s="111"/>
      <c r="C44" s="112"/>
      <c r="D44" s="112"/>
      <c r="E44" s="112"/>
      <c r="F44" s="112"/>
      <c r="G44" s="112"/>
      <c r="H44" s="112"/>
      <c r="I44" s="113"/>
    </row>
    <row r="45" spans="1:9" ht="18.75" customHeight="1" x14ac:dyDescent="0.2">
      <c r="A45" s="14"/>
      <c r="B45" s="111"/>
      <c r="C45" s="112"/>
      <c r="D45" s="112"/>
      <c r="E45" s="112"/>
      <c r="F45" s="112"/>
      <c r="G45" s="112"/>
      <c r="H45" s="112"/>
      <c r="I45" s="113"/>
    </row>
    <row r="46" spans="1:9" ht="18.75" customHeight="1" x14ac:dyDescent="0.2">
      <c r="A46" s="14"/>
      <c r="B46" s="114"/>
      <c r="C46" s="115"/>
      <c r="D46" s="115"/>
      <c r="E46" s="115"/>
      <c r="F46" s="115"/>
      <c r="G46" s="115"/>
      <c r="H46" s="115"/>
      <c r="I46" s="116"/>
    </row>
    <row r="47" spans="1:9" ht="7.5" customHeight="1" x14ac:dyDescent="0.2">
      <c r="A47" s="4"/>
      <c r="B47" s="4"/>
      <c r="C47" s="4"/>
      <c r="D47" s="4"/>
      <c r="E47" s="4"/>
      <c r="F47" s="4"/>
      <c r="G47" s="4"/>
      <c r="H47" s="4"/>
      <c r="I47" s="4"/>
    </row>
    <row r="48" spans="1:9" ht="18.75" customHeight="1" x14ac:dyDescent="0.2">
      <c r="A48" s="1" t="s">
        <v>31</v>
      </c>
      <c r="B48" s="1" t="s">
        <v>105</v>
      </c>
    </row>
    <row r="49" spans="1:15" s="3" customFormat="1" ht="18.75" customHeight="1" x14ac:dyDescent="0.2">
      <c r="B49" s="63" t="s">
        <v>129</v>
      </c>
      <c r="C49" s="148">
        <f>'様式２ 履修者等数の実績'!S33</f>
        <v>0.18443960826985853</v>
      </c>
      <c r="D49" s="148"/>
      <c r="E49" s="63" t="s">
        <v>60</v>
      </c>
      <c r="F49" s="148">
        <v>0.36</v>
      </c>
      <c r="G49" s="148"/>
      <c r="H49" s="63" t="s">
        <v>80</v>
      </c>
      <c r="I49" s="67">
        <v>0.57999999999999996</v>
      </c>
      <c r="J49" s="1"/>
      <c r="M49" s="1"/>
      <c r="N49" s="22"/>
    </row>
    <row r="50" spans="1:15" s="3" customFormat="1" ht="18.75" customHeight="1" x14ac:dyDescent="0.2">
      <c r="B50" s="64" t="s">
        <v>116</v>
      </c>
      <c r="C50" s="129">
        <v>0.81</v>
      </c>
      <c r="D50" s="129"/>
      <c r="E50" s="66" t="s">
        <v>130</v>
      </c>
      <c r="F50" s="129">
        <v>0.87</v>
      </c>
      <c r="G50" s="129"/>
      <c r="H50" s="64" t="s">
        <v>61</v>
      </c>
      <c r="I50" s="23">
        <f>'様式２ 履修者等数の実績'!E33</f>
        <v>1838</v>
      </c>
      <c r="J50" s="1"/>
      <c r="M50" s="1"/>
      <c r="N50" s="22"/>
    </row>
    <row r="51" spans="1:15" ht="18.75" customHeight="1" x14ac:dyDescent="0.2">
      <c r="A51" s="1"/>
      <c r="B51" s="126" t="s">
        <v>62</v>
      </c>
      <c r="C51" s="127"/>
      <c r="D51" s="127"/>
      <c r="E51" s="127"/>
      <c r="F51" s="127"/>
      <c r="G51" s="127"/>
      <c r="H51" s="127"/>
      <c r="I51" s="128"/>
      <c r="N51" s="22"/>
      <c r="O51" s="3"/>
    </row>
    <row r="52" spans="1:15" ht="18.75" customHeight="1" x14ac:dyDescent="0.2">
      <c r="A52" s="1"/>
      <c r="B52" s="149" t="s">
        <v>186</v>
      </c>
      <c r="C52" s="150"/>
      <c r="D52" s="150"/>
      <c r="E52" s="150"/>
      <c r="F52" s="150"/>
      <c r="G52" s="150"/>
      <c r="H52" s="150"/>
      <c r="I52" s="151"/>
      <c r="N52" s="22"/>
      <c r="O52" s="3"/>
    </row>
    <row r="53" spans="1:15" ht="18.75" customHeight="1" x14ac:dyDescent="0.2">
      <c r="A53" s="1"/>
      <c r="B53" s="152"/>
      <c r="C53" s="153"/>
      <c r="D53" s="153"/>
      <c r="E53" s="153"/>
      <c r="F53" s="153"/>
      <c r="G53" s="153"/>
      <c r="H53" s="153"/>
      <c r="I53" s="154"/>
      <c r="N53" s="22"/>
      <c r="O53" s="3"/>
    </row>
    <row r="54" spans="1:15" ht="18.75" customHeight="1" x14ac:dyDescent="0.2">
      <c r="A54" s="1"/>
      <c r="B54" s="152"/>
      <c r="C54" s="153"/>
      <c r="D54" s="153"/>
      <c r="E54" s="153"/>
      <c r="F54" s="153"/>
      <c r="G54" s="153"/>
      <c r="H54" s="153"/>
      <c r="I54" s="154"/>
    </row>
    <row r="55" spans="1:15" ht="18.75" customHeight="1" x14ac:dyDescent="0.2">
      <c r="A55" s="1"/>
      <c r="B55" s="152"/>
      <c r="C55" s="153"/>
      <c r="D55" s="153"/>
      <c r="E55" s="153"/>
      <c r="F55" s="153"/>
      <c r="G55" s="153"/>
      <c r="H55" s="153"/>
      <c r="I55" s="154"/>
    </row>
    <row r="56" spans="1:15" ht="18.75" customHeight="1" x14ac:dyDescent="0.2">
      <c r="A56" s="1"/>
      <c r="B56" s="152"/>
      <c r="C56" s="153"/>
      <c r="D56" s="153"/>
      <c r="E56" s="153"/>
      <c r="F56" s="153"/>
      <c r="G56" s="153"/>
      <c r="H56" s="153"/>
      <c r="I56" s="154"/>
    </row>
    <row r="57" spans="1:15" ht="18.75" customHeight="1" x14ac:dyDescent="0.2">
      <c r="A57" s="1"/>
      <c r="B57" s="152"/>
      <c r="C57" s="153"/>
      <c r="D57" s="153"/>
      <c r="E57" s="153"/>
      <c r="F57" s="153"/>
      <c r="G57" s="153"/>
      <c r="H57" s="153"/>
      <c r="I57" s="154"/>
    </row>
    <row r="58" spans="1:15" ht="18.75" customHeight="1" x14ac:dyDescent="0.2">
      <c r="A58" s="1"/>
      <c r="B58" s="152"/>
      <c r="C58" s="153"/>
      <c r="D58" s="153"/>
      <c r="E58" s="153"/>
      <c r="F58" s="153"/>
      <c r="G58" s="153"/>
      <c r="H58" s="153"/>
      <c r="I58" s="154"/>
    </row>
    <row r="59" spans="1:15" ht="18.75" customHeight="1" x14ac:dyDescent="0.2">
      <c r="A59" s="1"/>
      <c r="B59" s="152"/>
      <c r="C59" s="153"/>
      <c r="D59" s="153"/>
      <c r="E59" s="153"/>
      <c r="F59" s="153"/>
      <c r="G59" s="153"/>
      <c r="H59" s="153"/>
      <c r="I59" s="154"/>
    </row>
    <row r="60" spans="1:15" ht="18.75" customHeight="1" x14ac:dyDescent="0.2">
      <c r="A60" s="1"/>
      <c r="B60" s="152"/>
      <c r="C60" s="153"/>
      <c r="D60" s="153"/>
      <c r="E60" s="153"/>
      <c r="F60" s="153"/>
      <c r="G60" s="153"/>
      <c r="H60" s="153"/>
      <c r="I60" s="154"/>
    </row>
    <row r="61" spans="1:15" ht="18.75" customHeight="1" x14ac:dyDescent="0.2">
      <c r="A61" s="1"/>
      <c r="B61" s="152"/>
      <c r="C61" s="153"/>
      <c r="D61" s="153"/>
      <c r="E61" s="153"/>
      <c r="F61" s="153"/>
      <c r="G61" s="153"/>
      <c r="H61" s="153"/>
      <c r="I61" s="154"/>
    </row>
    <row r="62" spans="1:15" ht="18.75" customHeight="1" x14ac:dyDescent="0.2">
      <c r="A62" s="1"/>
      <c r="B62" s="152"/>
      <c r="C62" s="153"/>
      <c r="D62" s="153"/>
      <c r="E62" s="153"/>
      <c r="F62" s="153"/>
      <c r="G62" s="153"/>
      <c r="H62" s="153"/>
      <c r="I62" s="154"/>
    </row>
    <row r="63" spans="1:15" ht="18.75" customHeight="1" x14ac:dyDescent="0.2">
      <c r="A63" s="1"/>
      <c r="B63" s="155"/>
      <c r="C63" s="156"/>
      <c r="D63" s="156"/>
      <c r="E63" s="156"/>
      <c r="F63" s="156"/>
      <c r="G63" s="156"/>
      <c r="H63" s="156"/>
      <c r="I63" s="157"/>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130" t="s">
        <v>182</v>
      </c>
      <c r="C66" s="131"/>
      <c r="D66" s="131"/>
      <c r="E66" s="131"/>
      <c r="F66" s="131"/>
      <c r="G66" s="131"/>
      <c r="H66" s="131"/>
      <c r="I66" s="132"/>
    </row>
    <row r="67" spans="1:9" ht="18.75" customHeight="1" x14ac:dyDescent="0.2">
      <c r="A67" s="4"/>
      <c r="B67" s="133"/>
      <c r="C67" s="134"/>
      <c r="D67" s="134"/>
      <c r="E67" s="134"/>
      <c r="F67" s="134"/>
      <c r="G67" s="134"/>
      <c r="H67" s="134"/>
      <c r="I67" s="135"/>
    </row>
    <row r="68" spans="1:9" ht="18.75" customHeight="1" x14ac:dyDescent="0.2">
      <c r="A68" s="4"/>
      <c r="B68" s="133"/>
      <c r="C68" s="134"/>
      <c r="D68" s="134"/>
      <c r="E68" s="134"/>
      <c r="F68" s="134"/>
      <c r="G68" s="134"/>
      <c r="H68" s="134"/>
      <c r="I68" s="135"/>
    </row>
    <row r="69" spans="1:9" ht="18.75" customHeight="1" x14ac:dyDescent="0.2">
      <c r="A69" s="4"/>
      <c r="B69" s="133"/>
      <c r="C69" s="134"/>
      <c r="D69" s="134"/>
      <c r="E69" s="134"/>
      <c r="F69" s="134"/>
      <c r="G69" s="134"/>
      <c r="H69" s="134"/>
      <c r="I69" s="135"/>
    </row>
    <row r="70" spans="1:9" ht="18.75" customHeight="1" x14ac:dyDescent="0.2">
      <c r="A70" s="4"/>
      <c r="B70" s="133"/>
      <c r="C70" s="134"/>
      <c r="D70" s="134"/>
      <c r="E70" s="134"/>
      <c r="F70" s="134"/>
      <c r="G70" s="134"/>
      <c r="H70" s="134"/>
      <c r="I70" s="135"/>
    </row>
    <row r="71" spans="1:9" ht="18.75" customHeight="1" x14ac:dyDescent="0.2">
      <c r="A71" s="4"/>
      <c r="B71" s="133"/>
      <c r="C71" s="134"/>
      <c r="D71" s="134"/>
      <c r="E71" s="134"/>
      <c r="F71" s="134"/>
      <c r="G71" s="134"/>
      <c r="H71" s="134"/>
      <c r="I71" s="135"/>
    </row>
    <row r="72" spans="1:9" ht="18.75" customHeight="1" x14ac:dyDescent="0.2">
      <c r="A72" s="4"/>
      <c r="B72" s="133"/>
      <c r="C72" s="134"/>
      <c r="D72" s="134"/>
      <c r="E72" s="134"/>
      <c r="F72" s="134"/>
      <c r="G72" s="134"/>
      <c r="H72" s="134"/>
      <c r="I72" s="135"/>
    </row>
    <row r="73" spans="1:9" ht="18.75" customHeight="1" x14ac:dyDescent="0.2">
      <c r="A73" s="4"/>
      <c r="B73" s="133"/>
      <c r="C73" s="134"/>
      <c r="D73" s="134"/>
      <c r="E73" s="134"/>
      <c r="F73" s="134"/>
      <c r="G73" s="134"/>
      <c r="H73" s="134"/>
      <c r="I73" s="135"/>
    </row>
    <row r="74" spans="1:9" ht="18.75" customHeight="1" x14ac:dyDescent="0.2">
      <c r="A74" s="4"/>
      <c r="B74" s="133"/>
      <c r="C74" s="134"/>
      <c r="D74" s="134"/>
      <c r="E74" s="134"/>
      <c r="F74" s="134"/>
      <c r="G74" s="134"/>
      <c r="H74" s="134"/>
      <c r="I74" s="135"/>
    </row>
    <row r="75" spans="1:9" ht="18.75" customHeight="1" x14ac:dyDescent="0.2">
      <c r="A75" s="4"/>
      <c r="B75" s="133"/>
      <c r="C75" s="134"/>
      <c r="D75" s="134"/>
      <c r="E75" s="134"/>
      <c r="F75" s="134"/>
      <c r="G75" s="134"/>
      <c r="H75" s="134"/>
      <c r="I75" s="135"/>
    </row>
    <row r="76" spans="1:9" ht="18.75" customHeight="1" x14ac:dyDescent="0.2">
      <c r="A76" s="4"/>
      <c r="B76" s="133"/>
      <c r="C76" s="134"/>
      <c r="D76" s="134"/>
      <c r="E76" s="134"/>
      <c r="F76" s="134"/>
      <c r="G76" s="134"/>
      <c r="H76" s="134"/>
      <c r="I76" s="135"/>
    </row>
    <row r="77" spans="1:9" ht="18.75" customHeight="1" x14ac:dyDescent="0.2">
      <c r="A77" s="4"/>
      <c r="B77" s="136"/>
      <c r="C77" s="137"/>
      <c r="D77" s="137"/>
      <c r="E77" s="137"/>
      <c r="F77" s="137"/>
      <c r="G77" s="137"/>
      <c r="H77" s="137"/>
      <c r="I77" s="138"/>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139" t="s">
        <v>183</v>
      </c>
      <c r="C80" s="140"/>
      <c r="D80" s="140"/>
      <c r="E80" s="140"/>
      <c r="F80" s="140"/>
      <c r="G80" s="140"/>
      <c r="H80" s="140"/>
      <c r="I80" s="141"/>
    </row>
    <row r="81" spans="1:9" ht="18.75" customHeight="1" x14ac:dyDescent="0.2">
      <c r="A81" s="1"/>
      <c r="B81" s="142"/>
      <c r="C81" s="143"/>
      <c r="D81" s="143"/>
      <c r="E81" s="143"/>
      <c r="F81" s="143"/>
      <c r="G81" s="143"/>
      <c r="H81" s="143"/>
      <c r="I81" s="144"/>
    </row>
    <row r="82" spans="1:9" ht="18.75" customHeight="1" x14ac:dyDescent="0.2">
      <c r="A82" s="1"/>
      <c r="B82" s="142"/>
      <c r="C82" s="143"/>
      <c r="D82" s="143"/>
      <c r="E82" s="143"/>
      <c r="F82" s="143"/>
      <c r="G82" s="143"/>
      <c r="H82" s="143"/>
      <c r="I82" s="144"/>
    </row>
    <row r="83" spans="1:9" ht="18.75" customHeight="1" x14ac:dyDescent="0.2">
      <c r="A83" s="1"/>
      <c r="B83" s="142"/>
      <c r="C83" s="143"/>
      <c r="D83" s="143"/>
      <c r="E83" s="143"/>
      <c r="F83" s="143"/>
      <c r="G83" s="143"/>
      <c r="H83" s="143"/>
      <c r="I83" s="144"/>
    </row>
    <row r="84" spans="1:9" ht="18.75" customHeight="1" x14ac:dyDescent="0.2">
      <c r="A84" s="1"/>
      <c r="B84" s="142"/>
      <c r="C84" s="143"/>
      <c r="D84" s="143"/>
      <c r="E84" s="143"/>
      <c r="F84" s="143"/>
      <c r="G84" s="143"/>
      <c r="H84" s="143"/>
      <c r="I84" s="144"/>
    </row>
    <row r="85" spans="1:9" ht="18.75" customHeight="1" x14ac:dyDescent="0.2">
      <c r="A85" s="1"/>
      <c r="B85" s="142"/>
      <c r="C85" s="143"/>
      <c r="D85" s="143"/>
      <c r="E85" s="143"/>
      <c r="F85" s="143"/>
      <c r="G85" s="143"/>
      <c r="H85" s="143"/>
      <c r="I85" s="144"/>
    </row>
    <row r="86" spans="1:9" ht="18.75" customHeight="1" x14ac:dyDescent="0.2">
      <c r="A86" s="1"/>
      <c r="B86" s="142"/>
      <c r="C86" s="143"/>
      <c r="D86" s="143"/>
      <c r="E86" s="143"/>
      <c r="F86" s="143"/>
      <c r="G86" s="143"/>
      <c r="H86" s="143"/>
      <c r="I86" s="144"/>
    </row>
    <row r="87" spans="1:9" ht="18.75" customHeight="1" x14ac:dyDescent="0.2">
      <c r="A87" s="1"/>
      <c r="B87" s="142"/>
      <c r="C87" s="143"/>
      <c r="D87" s="143"/>
      <c r="E87" s="143"/>
      <c r="F87" s="143"/>
      <c r="G87" s="143"/>
      <c r="H87" s="143"/>
      <c r="I87" s="144"/>
    </row>
    <row r="88" spans="1:9" ht="18.75" customHeight="1" x14ac:dyDescent="0.2">
      <c r="A88" s="1"/>
      <c r="B88" s="142"/>
      <c r="C88" s="143"/>
      <c r="D88" s="143"/>
      <c r="E88" s="143"/>
      <c r="F88" s="143"/>
      <c r="G88" s="143"/>
      <c r="H88" s="143"/>
      <c r="I88" s="144"/>
    </row>
    <row r="89" spans="1:9" ht="18.75" customHeight="1" x14ac:dyDescent="0.2">
      <c r="A89" s="1"/>
      <c r="B89" s="142"/>
      <c r="C89" s="143"/>
      <c r="D89" s="143"/>
      <c r="E89" s="143"/>
      <c r="F89" s="143"/>
      <c r="G89" s="143"/>
      <c r="H89" s="143"/>
      <c r="I89" s="144"/>
    </row>
    <row r="90" spans="1:9" ht="18.75" customHeight="1" x14ac:dyDescent="0.2">
      <c r="A90" s="4"/>
      <c r="B90" s="142"/>
      <c r="C90" s="143"/>
      <c r="D90" s="143"/>
      <c r="E90" s="143"/>
      <c r="F90" s="143"/>
      <c r="G90" s="143"/>
      <c r="H90" s="143"/>
      <c r="I90" s="144"/>
    </row>
    <row r="91" spans="1:9" ht="18.75" customHeight="1" x14ac:dyDescent="0.2">
      <c r="A91" s="4"/>
      <c r="B91" s="145"/>
      <c r="C91" s="146"/>
      <c r="D91" s="146"/>
      <c r="E91" s="146"/>
      <c r="F91" s="146"/>
      <c r="G91" s="146"/>
      <c r="H91" s="146"/>
      <c r="I91" s="147"/>
    </row>
    <row r="92" spans="1:9" ht="7.5" customHeight="1" x14ac:dyDescent="0.2">
      <c r="A92" s="4"/>
      <c r="B92" s="4"/>
      <c r="C92" s="4"/>
      <c r="D92" s="4"/>
      <c r="E92" s="4"/>
      <c r="F92" s="4"/>
      <c r="G92" s="4"/>
      <c r="H92" s="4"/>
      <c r="I92" s="4"/>
    </row>
    <row r="93" spans="1:9" ht="18.75" customHeight="1" x14ac:dyDescent="0.2">
      <c r="A93" s="1" t="s">
        <v>42</v>
      </c>
      <c r="B93" s="1" t="s">
        <v>13</v>
      </c>
    </row>
    <row r="94" spans="1:9" ht="18.75" customHeight="1" x14ac:dyDescent="0.2">
      <c r="A94" s="1"/>
      <c r="B94" s="108" t="s">
        <v>184</v>
      </c>
      <c r="C94" s="109"/>
      <c r="D94" s="109"/>
      <c r="E94" s="109"/>
      <c r="F94" s="109"/>
      <c r="G94" s="109"/>
      <c r="H94" s="109"/>
      <c r="I94" s="110"/>
    </row>
    <row r="95" spans="1:9" ht="18.75" customHeight="1" x14ac:dyDescent="0.2">
      <c r="A95" s="1"/>
      <c r="B95" s="111"/>
      <c r="C95" s="112"/>
      <c r="D95" s="112"/>
      <c r="E95" s="112"/>
      <c r="F95" s="112"/>
      <c r="G95" s="112"/>
      <c r="H95" s="112"/>
      <c r="I95" s="113"/>
    </row>
    <row r="96" spans="1:9" ht="18.75" customHeight="1" x14ac:dyDescent="0.2">
      <c r="A96" s="1"/>
      <c r="B96" s="111"/>
      <c r="C96" s="112"/>
      <c r="D96" s="112"/>
      <c r="E96" s="112"/>
      <c r="F96" s="112"/>
      <c r="G96" s="112"/>
      <c r="H96" s="112"/>
      <c r="I96" s="113"/>
    </row>
    <row r="97" spans="1:9" ht="18.75" customHeight="1" x14ac:dyDescent="0.2">
      <c r="A97" s="1"/>
      <c r="B97" s="111"/>
      <c r="C97" s="112"/>
      <c r="D97" s="112"/>
      <c r="E97" s="112"/>
      <c r="F97" s="112"/>
      <c r="G97" s="112"/>
      <c r="H97" s="112"/>
      <c r="I97" s="113"/>
    </row>
    <row r="98" spans="1:9" ht="18.75" customHeight="1" x14ac:dyDescent="0.2">
      <c r="A98" s="1"/>
      <c r="B98" s="111"/>
      <c r="C98" s="112"/>
      <c r="D98" s="112"/>
      <c r="E98" s="112"/>
      <c r="F98" s="112"/>
      <c r="G98" s="112"/>
      <c r="H98" s="112"/>
      <c r="I98" s="113"/>
    </row>
    <row r="99" spans="1:9" ht="18.75" customHeight="1" x14ac:dyDescent="0.2">
      <c r="A99" s="1"/>
      <c r="B99" s="111"/>
      <c r="C99" s="112"/>
      <c r="D99" s="112"/>
      <c r="E99" s="112"/>
      <c r="F99" s="112"/>
      <c r="G99" s="112"/>
      <c r="H99" s="112"/>
      <c r="I99" s="113"/>
    </row>
    <row r="100" spans="1:9" ht="18.75" customHeight="1" x14ac:dyDescent="0.2">
      <c r="A100" s="1"/>
      <c r="B100" s="111"/>
      <c r="C100" s="112"/>
      <c r="D100" s="112"/>
      <c r="E100" s="112"/>
      <c r="F100" s="112"/>
      <c r="G100" s="112"/>
      <c r="H100" s="112"/>
      <c r="I100" s="113"/>
    </row>
    <row r="101" spans="1:9" ht="18.75" customHeight="1" x14ac:dyDescent="0.2">
      <c r="A101" s="1"/>
      <c r="B101" s="111"/>
      <c r="C101" s="112"/>
      <c r="D101" s="112"/>
      <c r="E101" s="112"/>
      <c r="F101" s="112"/>
      <c r="G101" s="112"/>
      <c r="H101" s="112"/>
      <c r="I101" s="113"/>
    </row>
    <row r="102" spans="1:9" ht="18.75" customHeight="1" x14ac:dyDescent="0.2">
      <c r="A102" s="1"/>
      <c r="B102" s="111"/>
      <c r="C102" s="112"/>
      <c r="D102" s="112"/>
      <c r="E102" s="112"/>
      <c r="F102" s="112"/>
      <c r="G102" s="112"/>
      <c r="H102" s="112"/>
      <c r="I102" s="113"/>
    </row>
    <row r="103" spans="1:9" ht="18.75" customHeight="1" x14ac:dyDescent="0.2">
      <c r="A103" s="1"/>
      <c r="B103" s="111"/>
      <c r="C103" s="112"/>
      <c r="D103" s="112"/>
      <c r="E103" s="112"/>
      <c r="F103" s="112"/>
      <c r="G103" s="112"/>
      <c r="H103" s="112"/>
      <c r="I103" s="113"/>
    </row>
    <row r="104" spans="1:9" ht="18.75" customHeight="1" x14ac:dyDescent="0.2">
      <c r="A104" s="1"/>
      <c r="B104" s="111"/>
      <c r="C104" s="112"/>
      <c r="D104" s="112"/>
      <c r="E104" s="112"/>
      <c r="F104" s="112"/>
      <c r="G104" s="112"/>
      <c r="H104" s="112"/>
      <c r="I104" s="113"/>
    </row>
    <row r="105" spans="1:9" ht="18.75" customHeight="1" x14ac:dyDescent="0.2">
      <c r="A105" s="4"/>
      <c r="B105" s="114"/>
      <c r="C105" s="115"/>
      <c r="D105" s="115"/>
      <c r="E105" s="115"/>
      <c r="F105" s="115"/>
      <c r="G105" s="115"/>
      <c r="H105" s="115"/>
      <c r="I105" s="116"/>
    </row>
    <row r="106" spans="1:9" ht="7.5" customHeight="1" x14ac:dyDescent="0.2">
      <c r="A106" s="4"/>
      <c r="B106" s="4"/>
      <c r="C106" s="4"/>
      <c r="D106" s="4"/>
      <c r="E106" s="4"/>
      <c r="F106" s="4"/>
      <c r="G106" s="4"/>
      <c r="H106" s="4"/>
      <c r="I106" s="4"/>
    </row>
    <row r="107" spans="1:9" ht="18.75" customHeight="1" x14ac:dyDescent="0.2">
      <c r="A107" s="1" t="s">
        <v>30</v>
      </c>
      <c r="B107" s="125" t="s">
        <v>44</v>
      </c>
      <c r="C107" s="125"/>
      <c r="D107" s="125"/>
      <c r="E107" s="125"/>
      <c r="F107" s="125"/>
      <c r="G107" s="125"/>
      <c r="H107" s="125"/>
      <c r="I107" s="125"/>
    </row>
    <row r="108" spans="1:9" ht="18.75" customHeight="1" x14ac:dyDescent="0.2">
      <c r="A108" s="4"/>
      <c r="B108" s="97" t="s">
        <v>185</v>
      </c>
      <c r="C108" s="98"/>
      <c r="D108" s="98"/>
      <c r="E108" s="98"/>
      <c r="F108" s="98"/>
      <c r="G108" s="98"/>
      <c r="H108" s="98"/>
      <c r="I108" s="99"/>
    </row>
    <row r="109" spans="1:9" ht="18.75" customHeight="1" x14ac:dyDescent="0.2">
      <c r="A109" s="4"/>
      <c r="B109" s="103"/>
      <c r="C109" s="104"/>
      <c r="D109" s="104"/>
      <c r="E109" s="104"/>
      <c r="F109" s="104"/>
      <c r="G109" s="104"/>
      <c r="H109" s="104"/>
      <c r="I109" s="102"/>
    </row>
    <row r="110" spans="1:9" ht="18.75" customHeight="1" x14ac:dyDescent="0.2">
      <c r="A110" s="4"/>
      <c r="B110" s="103"/>
      <c r="C110" s="104"/>
      <c r="D110" s="104"/>
      <c r="E110" s="104"/>
      <c r="F110" s="104"/>
      <c r="G110" s="104"/>
      <c r="H110" s="104"/>
      <c r="I110" s="102"/>
    </row>
    <row r="111" spans="1:9" ht="18.75" customHeight="1" x14ac:dyDescent="0.2">
      <c r="A111" s="4"/>
      <c r="B111" s="103"/>
      <c r="C111" s="104"/>
      <c r="D111" s="104"/>
      <c r="E111" s="104"/>
      <c r="F111" s="104"/>
      <c r="G111" s="104"/>
      <c r="H111" s="104"/>
      <c r="I111" s="102"/>
    </row>
    <row r="112" spans="1:9" ht="18.75" customHeight="1" x14ac:dyDescent="0.2">
      <c r="A112" s="4"/>
      <c r="B112" s="103"/>
      <c r="C112" s="104"/>
      <c r="D112" s="104"/>
      <c r="E112" s="104"/>
      <c r="F112" s="104"/>
      <c r="G112" s="104"/>
      <c r="H112" s="104"/>
      <c r="I112" s="102"/>
    </row>
    <row r="113" spans="1:9" ht="18.75" customHeight="1" x14ac:dyDescent="0.2">
      <c r="A113" s="4"/>
      <c r="B113" s="103"/>
      <c r="C113" s="104"/>
      <c r="D113" s="104"/>
      <c r="E113" s="104"/>
      <c r="F113" s="104"/>
      <c r="G113" s="104"/>
      <c r="H113" s="104"/>
      <c r="I113" s="102"/>
    </row>
    <row r="114" spans="1:9" ht="18.75" customHeight="1" x14ac:dyDescent="0.2">
      <c r="A114" s="4"/>
      <c r="B114" s="103"/>
      <c r="C114" s="104"/>
      <c r="D114" s="104"/>
      <c r="E114" s="104"/>
      <c r="F114" s="104"/>
      <c r="G114" s="104"/>
      <c r="H114" s="104"/>
      <c r="I114" s="102"/>
    </row>
    <row r="115" spans="1:9" ht="18.75" customHeight="1" x14ac:dyDescent="0.2">
      <c r="A115" s="4"/>
      <c r="B115" s="103"/>
      <c r="C115" s="104"/>
      <c r="D115" s="104"/>
      <c r="E115" s="104"/>
      <c r="F115" s="104"/>
      <c r="G115" s="104"/>
      <c r="H115" s="104"/>
      <c r="I115" s="102"/>
    </row>
    <row r="116" spans="1:9" ht="18.75" customHeight="1" x14ac:dyDescent="0.2">
      <c r="A116" s="4"/>
      <c r="B116" s="103"/>
      <c r="C116" s="104"/>
      <c r="D116" s="104"/>
      <c r="E116" s="104"/>
      <c r="F116" s="104"/>
      <c r="G116" s="104"/>
      <c r="H116" s="104"/>
      <c r="I116" s="102"/>
    </row>
    <row r="117" spans="1:9" ht="18.75" customHeight="1" x14ac:dyDescent="0.2">
      <c r="A117" s="4"/>
      <c r="B117" s="103"/>
      <c r="C117" s="104"/>
      <c r="D117" s="104"/>
      <c r="E117" s="104"/>
      <c r="F117" s="104"/>
      <c r="G117" s="104"/>
      <c r="H117" s="104"/>
      <c r="I117" s="102"/>
    </row>
    <row r="118" spans="1:9" ht="18.75" customHeight="1" x14ac:dyDescent="0.2">
      <c r="A118" s="4"/>
      <c r="B118" s="103"/>
      <c r="C118" s="104"/>
      <c r="D118" s="104"/>
      <c r="E118" s="104"/>
      <c r="F118" s="104"/>
      <c r="G118" s="104"/>
      <c r="H118" s="104"/>
      <c r="I118" s="102"/>
    </row>
    <row r="119" spans="1:9" ht="18.75" customHeight="1" x14ac:dyDescent="0.2">
      <c r="A119" s="4"/>
      <c r="B119" s="105"/>
      <c r="C119" s="106"/>
      <c r="D119" s="106"/>
      <c r="E119" s="106"/>
      <c r="F119" s="106"/>
      <c r="G119" s="106"/>
      <c r="H119" s="106"/>
      <c r="I119" s="107"/>
    </row>
    <row r="120" spans="1:9" ht="7.5" customHeight="1" x14ac:dyDescent="0.2">
      <c r="A120" s="4"/>
      <c r="B120" s="24"/>
      <c r="C120" s="24"/>
      <c r="D120" s="24"/>
      <c r="E120" s="24"/>
      <c r="F120" s="24"/>
      <c r="G120" s="24"/>
      <c r="H120" s="24"/>
      <c r="I120" s="24"/>
    </row>
    <row r="121" spans="1:9" ht="18.75" customHeight="1" x14ac:dyDescent="0.2">
      <c r="A121" s="50"/>
      <c r="B121" s="93"/>
      <c r="C121" s="93"/>
      <c r="D121" s="93"/>
      <c r="E121" s="93"/>
      <c r="F121" s="93"/>
      <c r="G121" s="93"/>
      <c r="H121" s="93"/>
      <c r="I121" s="93"/>
    </row>
    <row r="122" spans="1:9" ht="18.75" customHeight="1" x14ac:dyDescent="0.2">
      <c r="A122" s="50"/>
      <c r="B122" s="93"/>
      <c r="C122" s="93"/>
      <c r="D122" s="93"/>
      <c r="E122" s="93"/>
      <c r="F122" s="93"/>
      <c r="G122" s="93"/>
      <c r="H122" s="93"/>
      <c r="I122" s="93"/>
    </row>
    <row r="123" spans="1:9" ht="18.75" customHeight="1" x14ac:dyDescent="0.2">
      <c r="A123" s="4"/>
      <c r="B123" s="51"/>
      <c r="C123" s="51"/>
      <c r="D123" s="51"/>
      <c r="E123" s="51"/>
      <c r="F123" s="51"/>
      <c r="G123" s="51"/>
      <c r="H123" s="51"/>
      <c r="I123" s="52"/>
    </row>
    <row r="124" spans="1:9" ht="18.75" customHeight="1" x14ac:dyDescent="0.2">
      <c r="A124" s="4"/>
      <c r="B124" s="52"/>
      <c r="C124" s="52"/>
      <c r="D124" s="52"/>
      <c r="E124" s="52"/>
      <c r="F124" s="52"/>
      <c r="G124" s="52"/>
      <c r="H124" s="52"/>
      <c r="I124" s="52"/>
    </row>
    <row r="125" spans="1:9" ht="18.75" customHeight="1" x14ac:dyDescent="0.2">
      <c r="A125" s="4"/>
      <c r="B125" s="52"/>
      <c r="C125" s="52"/>
      <c r="D125" s="52"/>
      <c r="E125" s="52"/>
      <c r="F125" s="52"/>
      <c r="G125" s="52"/>
      <c r="H125" s="52"/>
      <c r="I125" s="52"/>
    </row>
    <row r="126" spans="1:9" ht="18.75" customHeight="1" x14ac:dyDescent="0.2">
      <c r="A126" s="4"/>
      <c r="B126" s="52"/>
      <c r="C126" s="52"/>
      <c r="D126" s="52"/>
      <c r="E126" s="52"/>
      <c r="F126" s="52"/>
      <c r="G126" s="52"/>
      <c r="H126" s="52"/>
      <c r="I126" s="52"/>
    </row>
    <row r="127" spans="1:9" ht="18.75" customHeight="1" x14ac:dyDescent="0.2">
      <c r="A127" s="4"/>
      <c r="B127" s="52"/>
      <c r="C127" s="52"/>
      <c r="D127" s="52"/>
      <c r="E127" s="52"/>
      <c r="F127" s="52"/>
      <c r="G127" s="52"/>
      <c r="H127" s="52"/>
      <c r="I127" s="52"/>
    </row>
    <row r="128" spans="1:9" ht="18.75" customHeight="1" x14ac:dyDescent="0.2">
      <c r="A128" s="4"/>
      <c r="B128" s="52"/>
      <c r="C128" s="52"/>
      <c r="D128" s="52"/>
      <c r="E128" s="52"/>
      <c r="F128" s="52"/>
      <c r="G128" s="52"/>
      <c r="H128" s="52"/>
      <c r="I128" s="52"/>
    </row>
    <row r="129" spans="1:9" ht="18.75" customHeight="1" x14ac:dyDescent="0.2">
      <c r="A129" s="4"/>
      <c r="B129" s="52"/>
      <c r="C129" s="52"/>
      <c r="D129" s="52"/>
      <c r="E129" s="52"/>
      <c r="F129" s="52"/>
      <c r="G129" s="52"/>
      <c r="H129" s="52"/>
      <c r="I129" s="52"/>
    </row>
    <row r="130" spans="1:9" ht="18.75" customHeight="1" x14ac:dyDescent="0.2">
      <c r="A130" s="4"/>
      <c r="B130" s="52"/>
      <c r="C130" s="52"/>
      <c r="D130" s="52"/>
      <c r="E130" s="52"/>
      <c r="F130" s="52"/>
      <c r="G130" s="52"/>
      <c r="H130" s="52"/>
      <c r="I130" s="52"/>
    </row>
    <row r="131" spans="1:9" ht="18.75" customHeight="1" x14ac:dyDescent="0.2">
      <c r="A131" s="4"/>
      <c r="B131" s="52"/>
      <c r="C131" s="52"/>
      <c r="D131" s="52"/>
      <c r="E131" s="52"/>
      <c r="F131" s="52"/>
      <c r="G131" s="52"/>
      <c r="H131" s="52"/>
      <c r="I131" s="52"/>
    </row>
    <row r="132" spans="1:9" ht="18.75" customHeight="1" x14ac:dyDescent="0.2">
      <c r="A132" s="4"/>
      <c r="B132" s="52"/>
      <c r="C132" s="52"/>
      <c r="D132" s="52"/>
      <c r="E132" s="52"/>
      <c r="F132" s="52"/>
      <c r="G132" s="52"/>
      <c r="H132" s="52"/>
      <c r="I132" s="52"/>
    </row>
    <row r="133" spans="1:9" ht="14.4" x14ac:dyDescent="0.2">
      <c r="A133" s="4"/>
      <c r="B133" s="52"/>
      <c r="C133" s="52"/>
      <c r="D133" s="52"/>
      <c r="E133" s="52"/>
      <c r="F133" s="52"/>
      <c r="G133" s="52"/>
      <c r="H133" s="52"/>
      <c r="I133" s="52"/>
    </row>
    <row r="134" spans="1:9" ht="7.5" customHeight="1" x14ac:dyDescent="0.2">
      <c r="A134" s="4"/>
      <c r="B134" s="52"/>
      <c r="C134" s="52"/>
      <c r="D134" s="52"/>
      <c r="E134" s="52"/>
      <c r="F134" s="52"/>
      <c r="G134" s="52"/>
      <c r="H134" s="52"/>
      <c r="I134" s="5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85" zoomScaleNormal="100" zoomScaleSheetLayoutView="85" workbookViewId="0">
      <selection activeCell="B1" sqref="B1"/>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63</v>
      </c>
      <c r="I1" s="18" t="s">
        <v>90</v>
      </c>
    </row>
    <row r="2" spans="1:9" ht="18.75" customHeight="1" x14ac:dyDescent="0.2">
      <c r="H2" s="18" t="s">
        <v>93</v>
      </c>
      <c r="I2" s="17" t="str">
        <f>'様式１　プログラムを構成する授業科目'!C2</f>
        <v>女子栄養大学</v>
      </c>
    </row>
    <row r="3" spans="1:9" ht="18.75" customHeight="1" x14ac:dyDescent="0.2">
      <c r="A3" s="73" t="s">
        <v>28</v>
      </c>
      <c r="B3" s="73"/>
      <c r="C3" s="73"/>
      <c r="D3" s="73"/>
      <c r="E3" s="73"/>
      <c r="F3" s="73"/>
      <c r="G3" s="73"/>
      <c r="H3" s="73"/>
      <c r="I3" s="73"/>
    </row>
    <row r="4" spans="1:9" ht="18.75" customHeight="1" x14ac:dyDescent="0.2">
      <c r="A4" s="5"/>
      <c r="B4" s="5"/>
      <c r="C4" s="5"/>
      <c r="D4" s="5"/>
      <c r="E4" s="5"/>
      <c r="F4" s="5"/>
      <c r="G4" s="5"/>
      <c r="H4" s="5"/>
      <c r="I4" s="5"/>
    </row>
    <row r="5" spans="1:9" ht="18.75" customHeight="1" x14ac:dyDescent="0.2">
      <c r="A5" s="1" t="s">
        <v>0</v>
      </c>
      <c r="B5" s="10" t="s">
        <v>85</v>
      </c>
      <c r="C5" s="5"/>
      <c r="D5" s="5"/>
      <c r="E5" s="5"/>
      <c r="F5" s="5"/>
      <c r="G5" s="5"/>
      <c r="H5" s="5"/>
      <c r="I5" s="5"/>
    </row>
    <row r="6" spans="1:9" ht="26.25" customHeight="1" x14ac:dyDescent="0.2">
      <c r="A6" s="5"/>
      <c r="B6" s="117" t="s">
        <v>147</v>
      </c>
      <c r="C6" s="165"/>
      <c r="D6" s="165"/>
      <c r="E6" s="165"/>
      <c r="F6" s="165"/>
      <c r="G6" s="165"/>
      <c r="H6" s="166"/>
      <c r="I6" s="3"/>
    </row>
    <row r="7" spans="1:9" ht="9" customHeight="1" x14ac:dyDescent="0.2">
      <c r="A7" s="5"/>
      <c r="B7" s="10"/>
      <c r="C7" s="10"/>
      <c r="D7" s="10"/>
      <c r="E7" s="10"/>
      <c r="F7" s="10"/>
      <c r="G7" s="10"/>
      <c r="H7" s="10"/>
      <c r="I7" s="3"/>
    </row>
    <row r="8" spans="1:9" ht="18.75" customHeight="1" x14ac:dyDescent="0.2">
      <c r="A8" s="5"/>
      <c r="B8" s="3"/>
      <c r="C8" s="3"/>
      <c r="D8" s="18" t="s">
        <v>41</v>
      </c>
      <c r="E8" s="65" t="s">
        <v>175</v>
      </c>
      <c r="F8" s="3"/>
      <c r="G8" s="18" t="s">
        <v>10</v>
      </c>
      <c r="H8" s="19" t="s">
        <v>149</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70" t="s">
        <v>24</v>
      </c>
      <c r="C11" s="71"/>
      <c r="D11" s="72"/>
      <c r="E11" s="71" t="s">
        <v>26</v>
      </c>
      <c r="F11" s="71"/>
      <c r="G11" s="71"/>
      <c r="H11" s="71"/>
      <c r="I11" s="72"/>
    </row>
    <row r="12" spans="1:9" ht="26.25" customHeight="1" x14ac:dyDescent="0.2">
      <c r="B12" s="25" t="s">
        <v>14</v>
      </c>
      <c r="C12" s="32"/>
      <c r="D12" s="26"/>
      <c r="E12" s="33"/>
      <c r="F12" s="33"/>
      <c r="G12" s="33"/>
      <c r="H12" s="33"/>
      <c r="I12" s="26"/>
    </row>
    <row r="13" spans="1:9" ht="210.75" customHeight="1" x14ac:dyDescent="0.2">
      <c r="B13" s="27"/>
      <c r="C13" s="163" t="s">
        <v>15</v>
      </c>
      <c r="D13" s="164"/>
      <c r="E13" s="160" t="s">
        <v>177</v>
      </c>
      <c r="F13" s="161"/>
      <c r="G13" s="161"/>
      <c r="H13" s="161"/>
      <c r="I13" s="162"/>
    </row>
    <row r="14" spans="1:9" ht="210.75" customHeight="1" x14ac:dyDescent="0.2">
      <c r="B14" s="27"/>
      <c r="C14" s="158" t="s">
        <v>16</v>
      </c>
      <c r="D14" s="159"/>
      <c r="E14" s="160" t="s">
        <v>171</v>
      </c>
      <c r="F14" s="161"/>
      <c r="G14" s="161"/>
      <c r="H14" s="161"/>
      <c r="I14" s="162"/>
    </row>
    <row r="15" spans="1:9" ht="210.75" customHeight="1" x14ac:dyDescent="0.2">
      <c r="B15" s="27"/>
      <c r="C15" s="163" t="s">
        <v>17</v>
      </c>
      <c r="D15" s="164"/>
      <c r="E15" s="167" t="s">
        <v>179</v>
      </c>
      <c r="F15" s="168"/>
      <c r="G15" s="168"/>
      <c r="H15" s="168"/>
      <c r="I15" s="169"/>
    </row>
    <row r="16" spans="1:9" ht="210.75" customHeight="1" x14ac:dyDescent="0.2">
      <c r="B16" s="27"/>
      <c r="C16" s="163" t="s">
        <v>18</v>
      </c>
      <c r="D16" s="164"/>
      <c r="E16" s="167" t="s">
        <v>180</v>
      </c>
      <c r="F16" s="168"/>
      <c r="G16" s="168"/>
      <c r="H16" s="168"/>
      <c r="I16" s="169"/>
    </row>
    <row r="17" spans="2:9" ht="210.75" customHeight="1" x14ac:dyDescent="0.2">
      <c r="B17" s="28"/>
      <c r="C17" s="170" t="s">
        <v>19</v>
      </c>
      <c r="D17" s="171"/>
      <c r="E17" s="172" t="s">
        <v>151</v>
      </c>
      <c r="F17" s="173"/>
      <c r="G17" s="173"/>
      <c r="H17" s="173"/>
      <c r="I17" s="174"/>
    </row>
    <row r="18" spans="2:9" ht="24" customHeight="1" x14ac:dyDescent="0.2">
      <c r="B18" s="25" t="s">
        <v>20</v>
      </c>
      <c r="C18" s="29"/>
      <c r="D18" s="30"/>
      <c r="E18" s="31"/>
      <c r="F18" s="31"/>
      <c r="G18" s="31"/>
      <c r="H18" s="31"/>
      <c r="I18" s="34"/>
    </row>
    <row r="19" spans="2:9" ht="218.25" customHeight="1" x14ac:dyDescent="0.2">
      <c r="B19" s="27"/>
      <c r="C19" s="163" t="s">
        <v>21</v>
      </c>
      <c r="D19" s="164"/>
      <c r="E19" s="161" t="s">
        <v>178</v>
      </c>
      <c r="F19" s="161"/>
      <c r="G19" s="161"/>
      <c r="H19" s="161"/>
      <c r="I19" s="162"/>
    </row>
    <row r="20" spans="2:9" ht="218.25" customHeight="1" x14ac:dyDescent="0.2">
      <c r="B20" s="28"/>
      <c r="C20" s="170" t="s">
        <v>22</v>
      </c>
      <c r="D20" s="171"/>
      <c r="E20" s="173" t="s">
        <v>152</v>
      </c>
      <c r="F20" s="173"/>
      <c r="G20" s="173"/>
      <c r="H20" s="173"/>
      <c r="I20" s="174"/>
    </row>
    <row r="21" spans="2:9" ht="218.25" customHeight="1" x14ac:dyDescent="0.2">
      <c r="B21" s="180" t="s">
        <v>23</v>
      </c>
      <c r="C21" s="181"/>
      <c r="D21" s="182"/>
      <c r="E21" s="183" t="s">
        <v>172</v>
      </c>
      <c r="F21" s="183"/>
      <c r="G21" s="183"/>
      <c r="H21" s="183"/>
      <c r="I21" s="184"/>
    </row>
    <row r="22" spans="2:9" ht="218.25" customHeight="1" x14ac:dyDescent="0.2">
      <c r="B22" s="175" t="s">
        <v>121</v>
      </c>
      <c r="C22" s="176"/>
      <c r="D22" s="177"/>
      <c r="E22" s="178" t="s">
        <v>173</v>
      </c>
      <c r="F22" s="178"/>
      <c r="G22" s="178"/>
      <c r="H22" s="178"/>
      <c r="I22" s="179"/>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武尾　亮</dc:creator>
  <cp:lastModifiedBy>武尾　亮</cp:lastModifiedBy>
  <cp:lastPrinted>2025-07-07T05:07:40Z</cp:lastPrinted>
  <dcterms:created xsi:type="dcterms:W3CDTF">2011-06-14T05:32:50Z</dcterms:created>
  <dcterms:modified xsi:type="dcterms:W3CDTF">2025-07-09T01:48:40Z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