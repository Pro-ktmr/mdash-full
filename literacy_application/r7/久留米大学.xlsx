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24226"/>
  <mc:AlternateContent xmlns:mc="http://schemas.openxmlformats.org/markup-compatibility/2006">
    <mc:Choice Requires="x15">
      <x15ac:absPath xmlns:x15ac="http://schemas.microsoft.com/office/spreadsheetml/2010/11/ac" url="Q:\数理・データサイエンス・AI教育認定制度申請\2025\★文部科学省への申請書類一式 【再提出】\"/>
    </mc:Choice>
  </mc:AlternateContent>
  <xr:revisionPtr revIDLastSave="0" documentId="8_{77F644EB-6F09-499E-962D-04F28E1028A9}" xr6:coauthVersionLast="47" xr6:coauthVersionMax="47" xr10:uidLastSave="{00000000-0000-0000-0000-000000000000}"/>
  <bookViews>
    <workbookView xWindow="-120" yWindow="-120" windowWidth="29040" windowHeight="15720" tabRatio="885" xr2:uid="{00000000-000D-0000-FFFF-FFFF00000000}"/>
  </bookViews>
  <sheets>
    <sheet name="様式１-1　プログラムを構成する授業科目（文系学部)" sheetId="39" r:id="rId1"/>
    <sheet name="様式１-2　プログラムを構成する授業科目（医学部）" sheetId="49" r:id="rId2"/>
    <sheet name="様式２ 履修者等数の実績" sheetId="40" r:id="rId3"/>
    <sheet name="様式３ 教育の質・履修者数を向上させるための体制・計画" sheetId="51" r:id="rId4"/>
    <sheet name="様式４　自己点検・評価" sheetId="42" r:id="rId5"/>
  </sheets>
  <externalReferences>
    <externalReference r:id="rId6"/>
  </externalReferences>
  <definedNames>
    <definedName name="_xlnm._FilterDatabase" localSheetId="0" hidden="1">'様式１-1　プログラムを構成する授業科目（文系学部)'!$X$16:$X$18</definedName>
    <definedName name="_xlnm._FilterDatabase" localSheetId="1" hidden="1">'様式１-2　プログラムを構成する授業科目（医学部）'!$X$16:$X$18</definedName>
    <definedName name="_xlnm._FilterDatabase" localSheetId="2" hidden="1">'様式２ 履修者等数の実績'!#REF!</definedName>
    <definedName name="_xlnm.Print_Area" localSheetId="0">'様式１-1　プログラムを構成する授業科目（文系学部)'!$A$1:$U$105</definedName>
    <definedName name="_xlnm.Print_Area" localSheetId="1">'様式１-2　プログラムを構成する授業科目（医学部）'!$A$1:$U$105</definedName>
    <definedName name="_xlnm.Print_Area" localSheetId="2">'様式２ 履修者等数の実績'!$A$1:$S$29</definedName>
    <definedName name="_xlnm.Print_Area" localSheetId="3">'様式３ 教育の質・履修者数を向上させるための体制・計画'!$A$1:$I$119</definedName>
    <definedName name="_xlnm.Print_Area" localSheetId="4">'様式４　自己点検・評価'!$A$1:$I$22</definedName>
    <definedName name="_xlnm.Print_Titles" localSheetId="4">'様式４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 i="51" l="1"/>
  <c r="C49" i="51"/>
  <c r="I50" i="51"/>
  <c r="S29" i="40" l="1"/>
  <c r="S24" i="40"/>
  <c r="S23" i="40"/>
  <c r="S22" i="40"/>
  <c r="S21" i="40"/>
  <c r="S20" i="40"/>
  <c r="S19" i="40"/>
  <c r="S18" i="40"/>
  <c r="S17" i="40"/>
  <c r="S16" i="40"/>
  <c r="S15" i="40"/>
  <c r="S14" i="40"/>
  <c r="S13" i="40"/>
  <c r="R13" i="40"/>
  <c r="R29" i="40"/>
  <c r="C29" i="40"/>
  <c r="D29" i="40"/>
  <c r="E29" i="40"/>
  <c r="F29" i="40"/>
  <c r="G29" i="40"/>
  <c r="R14" i="40"/>
  <c r="R21" i="40"/>
  <c r="M7" i="40" l="1"/>
  <c r="I2" i="42"/>
  <c r="Q2" i="40"/>
  <c r="I29" i="40" l="1"/>
  <c r="M29" i="40"/>
  <c r="P29" i="40"/>
  <c r="Q29" i="40"/>
  <c r="O29" i="40"/>
  <c r="N29" i="40"/>
  <c r="L29" i="40"/>
  <c r="J29" i="40"/>
  <c r="K29" i="40"/>
  <c r="H29" i="40"/>
  <c r="R15" i="40" l="1"/>
  <c r="R16" i="40"/>
  <c r="R17" i="40"/>
  <c r="R18" i="40"/>
  <c r="R19" i="40"/>
  <c r="R20" i="40"/>
  <c r="R22" i="40"/>
  <c r="R23" i="40"/>
  <c r="R24" i="40"/>
  <c r="R25" i="40"/>
  <c r="R26" i="40"/>
  <c r="R27" i="40"/>
  <c r="R28" i="40"/>
  <c r="S28" i="40" l="1"/>
  <c r="S27" i="40"/>
  <c r="S26" i="40"/>
  <c r="S25" i="40"/>
</calcChain>
</file>

<file path=xl/sharedStrings.xml><?xml version="1.0" encoding="utf-8"?>
<sst xmlns="http://schemas.openxmlformats.org/spreadsheetml/2006/main" count="584" uniqueCount="228">
  <si>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</si>
  <si>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</si>
  <si>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</si>
  <si>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</si>
  <si>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</si>
  <si>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</si>
  <si>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</si>
  <si>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</si>
  <si>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</si>
  <si>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</si>
  <si>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</si>
  <si>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</si>
  <si>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</si>
  <si>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</si>
  <si>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</si>
  <si>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</si>
  <si>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</si>
  <si>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</si>
  <si>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</si>
  <si>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</si>
  <si>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</si>
  <si>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</si>
  <si>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</si>
  <si>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</si>
  <si>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</si>
  <si>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</si>
  <si>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</si>
  <si>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</si>
  <si>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</si>
  <si>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</si>
  <si>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</si>
  <si>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</si>
  <si>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</si>
  <si>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</si>
  <si>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</si>
  <si>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</si>
  <si>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</si>
  <si>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</si>
  <si>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</si>
  <si>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</si>
  <si>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</si>
  <si>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</si>
  <si>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</si>
  <si>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</si>
  <si>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</si>
  <si>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令和3年度</t>
    <rPh sb="0" eb="2">
      <t>レイワ</t>
    </rPh>
    <rPh sb="3" eb="5">
      <t>ネンド</t>
    </rPh>
    <phoneticPr fontId="1"/>
  </si>
  <si>
    <t>令和2年度</t>
    <rPh sb="0" eb="2">
      <t>レイワ</t>
    </rPh>
    <rPh sb="3" eb="5">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</si>
  <si>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</si>
  <si>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</si>
  <si>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</si>
  <si>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</si>
  <si>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</si>
  <si>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</si>
  <si>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</si>
  <si>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</si>
  <si>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</si>
  <si>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</si>
  <si>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</si>
  <si>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</si>
  <si>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</si>
  <si>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</si>
  <si>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</si>
  <si>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</si>
  <si>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</si>
  <si>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</si>
  <si>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</si>
  <si>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</si>
  <si>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</si>
  <si>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</si>
  <si>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</si>
  <si>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</si>
  <si>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</si>
  <si>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</si>
  <si>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</si>
  <si>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</si>
  <si>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</si>
  <si>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</si>
  <si>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</si>
  <si>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</si>
  <si>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</si>
  <si>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</si>
  <si>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</si>
  <si>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</si>
  <si>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</si>
  <si>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</si>
  <si>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</si>
  <si>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</si>
  <si>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</si>
  <si>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</si>
  <si>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</si>
  <si>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</si>
  <si>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</si>
  <si>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</si>
  <si>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</si>
  <si>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</si>
  <si>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</si>
  <si>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</si>
  <si>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</si>
  <si>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</si>
  <si>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</si>
  <si>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</si>
  <si>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</si>
  <si>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</si>
  <si>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</si>
  <si>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</si>
  <si>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</si>
  <si>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</si>
  <si>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</si>
  <si>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</si>
  <si>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</si>
  <si>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</si>
  <si>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</si>
  <si>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</si>
  <si>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</si>
  <si>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</si>
  <si>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令和９年度予定</t>
    <rPh sb="0" eb="2">
      <t>レイワ</t>
    </rPh>
    <rPh sb="3" eb="5">
      <t>ネンド</t>
    </rPh>
    <rPh sb="5" eb="7">
      <t>ヨテイ</t>
    </rPh>
    <phoneticPr fontId="1"/>
  </si>
  <si>
    <t>学部・学科によって、修了要件は相違する</t>
  </si>
  <si>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</si>
  <si>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</si>
  <si>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</si>
  <si>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</si>
  <si>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</si>
  <si>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令和６年度以前より、履修することが必須のプログラムとして実施</t>
    <rPh sb="0" eb="2">
      <t>レイワ</t>
    </rPh>
    <rPh sb="3" eb="5">
      <t>ネンド</t>
    </rPh>
    <rPh sb="5" eb="7">
      <t>イゼン</t>
    </rPh>
    <phoneticPr fontId="1"/>
  </si>
  <si>
    <t>令和９年度までに履修必須とする計画</t>
    <rPh sb="3" eb="4">
      <t>ネン</t>
    </rPh>
    <phoneticPr fontId="1"/>
  </si>
  <si>
    <t>令和１０年度以降に履修必須とする計画、又は未定</t>
    <rPh sb="19" eb="20">
      <t>マタ</t>
    </rPh>
    <rPh sb="21" eb="23">
      <t>ミテイ</t>
    </rPh>
    <phoneticPr fontId="1"/>
  </si>
  <si>
    <t>年度（和暦）</t>
    <rPh sb="0" eb="2">
      <t>ネンド</t>
    </rPh>
    <rPh sb="3" eb="5">
      <t>ワレキ</t>
    </rPh>
    <phoneticPr fontId="1"/>
  </si>
  <si>
    <t>令和6年度</t>
    <rPh sb="0" eb="2">
      <t>レイワ</t>
    </rPh>
    <rPh sb="3" eb="5">
      <t>ネンド</t>
    </rPh>
    <phoneticPr fontId="1"/>
  </si>
  <si>
    <t>令和元年度</t>
    <rPh sb="0" eb="2">
      <t>レイワ</t>
    </rPh>
    <rPh sb="2" eb="4">
      <t>ガンネン</t>
    </rPh>
    <rPh sb="4" eb="5">
      <t>ド</t>
    </rPh>
    <phoneticPr fontId="1"/>
  </si>
  <si>
    <t>（令和６年５月１日時点）</t>
    <rPh sb="1" eb="3">
      <t>レイワ</t>
    </rPh>
    <rPh sb="4" eb="5">
      <t>ネン</t>
    </rPh>
    <rPh sb="6" eb="7">
      <t>ガツ</t>
    </rPh>
    <rPh sb="8" eb="9">
      <t>ニチ</t>
    </rPh>
    <rPh sb="9" eb="11">
      <t>ジテン</t>
    </rPh>
    <phoneticPr fontId="1"/>
  </si>
  <si>
    <t>令和６年度実績</t>
    <rPh sb="0" eb="2">
      <t>レイワ</t>
    </rPh>
    <rPh sb="3" eb="5">
      <t>ネンド</t>
    </rPh>
    <rPh sb="5" eb="7">
      <t>ジッセキ</t>
    </rPh>
    <phoneticPr fontId="1"/>
  </si>
  <si>
    <t>令和１０年度予定</t>
    <rPh sb="0" eb="2">
      <t>レイワ</t>
    </rPh>
    <rPh sb="4" eb="6">
      <t>ネンド</t>
    </rPh>
    <rPh sb="6" eb="8">
      <t>ヨテイ</t>
    </rPh>
    <phoneticPr fontId="1"/>
  </si>
  <si>
    <t>4‐2アルゴリズム基礎</t>
    <phoneticPr fontId="1"/>
  </si>
  <si>
    <t>4‐3データ構造とプログラミング基礎</t>
    <phoneticPr fontId="1"/>
  </si>
  <si>
    <t>4‐4時系列データ解析</t>
    <phoneticPr fontId="1"/>
  </si>
  <si>
    <t>4‐7データハンドリング</t>
    <phoneticPr fontId="1"/>
  </si>
  <si>
    <t>4‐8データ活用実践（教師あり学習）</t>
    <phoneticPr fontId="1"/>
  </si>
  <si>
    <t>4‐9データ活用実践（教師なし学習）</t>
    <phoneticPr fontId="1"/>
  </si>
  <si>
    <t>その他</t>
    <phoneticPr fontId="1"/>
  </si>
  <si>
    <t>4-1統計および数理基礎</t>
    <phoneticPr fontId="1"/>
  </si>
  <si>
    <t>4‐5自然言語処理</t>
    <rPh sb="3" eb="5">
      <t>シゼン</t>
    </rPh>
    <rPh sb="5" eb="7">
      <t>ゲンゴ</t>
    </rPh>
    <rPh sb="7" eb="9">
      <t>ショリ</t>
    </rPh>
    <phoneticPr fontId="1"/>
  </si>
  <si>
    <t>4‐6画像認識</t>
    <rPh sb="5" eb="7">
      <t>ニンシキ</t>
    </rPh>
    <phoneticPr fontId="1"/>
  </si>
  <si>
    <t>リテラシーレベルのプログラムを構成する授業科目について</t>
    <phoneticPr fontId="1"/>
  </si>
  <si>
    <t>リテラシーレベルのプログラムの履修者数等の実績について</t>
    <phoneticPr fontId="1"/>
  </si>
  <si>
    <t>久留米大学</t>
    <phoneticPr fontId="1"/>
  </si>
  <si>
    <t>データサイエンス教育プログラム（リテラシーレベル）</t>
    <phoneticPr fontId="1"/>
  </si>
  <si>
    <t>様式１－１</t>
    <rPh sb="0" eb="2">
      <t>ヨウシキ</t>
    </rPh>
    <phoneticPr fontId="1"/>
  </si>
  <si>
    <t>様式１－２</t>
    <rPh sb="0" eb="2">
      <t>ヨウシキ</t>
    </rPh>
    <phoneticPr fontId="1"/>
  </si>
  <si>
    <t>文学部、人間健康学部、法学部、経済学部、商学部</t>
    <phoneticPr fontId="1"/>
  </si>
  <si>
    <t>「データサイエンス概論」の2単位を修得すること。</t>
    <phoneticPr fontId="1"/>
  </si>
  <si>
    <t>データサイエンス概論</t>
    <phoneticPr fontId="1"/>
  </si>
  <si>
    <t>○</t>
  </si>
  <si>
    <t>4-1統計および数理基礎</t>
  </si>
  <si>
    <t>4‐2アルゴリズム基礎</t>
  </si>
  <si>
    <t>4‐3データ構造とプログラミング基礎</t>
  </si>
  <si>
    <t>・AI等を活用した新しいビジネスモデル(シェアリングエコノミー、商品のレコメンデーションなど)「データサイエンス概論」（２回目）</t>
    <phoneticPr fontId="1"/>
  </si>
  <si>
    <t>・調査データ、実験データ、人の行動ログデータ、機械の稼働ログデータなど「データサイエンス概論」（２回目）
・構造化データ、非構造化データ（文章、画像/動画、音声/音楽など）「データサイエンス概論」（６回目）
・データのオープン化（オープンデータ）「データサイエンス概論」（１４回目）</t>
    <phoneticPr fontId="1"/>
  </si>
  <si>
    <t>・データ・AI活用領域の広がり(生産、消費、文化活動など)「データサイエンス概論」（２回目）
・研究開発、調達、製造、物流、販売、マーケティング、サービスなど「データサイエンス概論」（２回目）</t>
    <phoneticPr fontId="1"/>
  </si>
  <si>
    <t>・データ解析：予測、グルーピング、パターン発見、最適化「データサイエンス概論」（１２,１３回目）
・データ可視化：複合グラフ、２軸グラフ、多次元の可視化、関係性の可視化「データサイエンス概論」（５,１３回目）
・非構造化データ処理：言語処理、画像/動画処理、音声/音楽処理など「データサイエンス概論」（１３回目）</t>
    <phoneticPr fontId="1"/>
  </si>
  <si>
    <t>・データサイエンスのサイクル（課題抽出と定式化、データの取得・管理・加工、探索的データ解析、データ解析と推論、結果の共有・伝達、課題解決に向けた提案）「データサイエンス概論」（３回目）
・流通、製造、金融、サービス、インフラ、公共、ヘルスケア等におけるデータ・AI利活用事例紹介「データサイエンス概論」（２回目）</t>
    <phoneticPr fontId="1"/>
  </si>
  <si>
    <t xml:space="preserve">・データサイエンスの全体像を俯瞰的に説明できる。
・ビッグデータの活用事例を説明できる。
・今日の情報技術のDSにおける役割を説明できる。
・AIの仕組みや統計学の考え方を説明できる。 </t>
    <phoneticPr fontId="1"/>
  </si>
  <si>
    <t>アカデミックリテラシー</t>
    <phoneticPr fontId="1"/>
  </si>
  <si>
    <t>医学統計学（基礎）</t>
    <phoneticPr fontId="1"/>
  </si>
  <si>
    <t>医学統計学（応用）</t>
    <phoneticPr fontId="1"/>
  </si>
  <si>
    <t>情報学</t>
    <phoneticPr fontId="1"/>
  </si>
  <si>
    <t>統計・推計学</t>
    <phoneticPr fontId="1"/>
  </si>
  <si>
    <t>4‐8データ活用実践（教師あり学習）</t>
  </si>
  <si>
    <t>統計学</t>
    <phoneticPr fontId="1"/>
  </si>
  <si>
    <t>データサイエンス基礎Ⅰ</t>
    <phoneticPr fontId="1"/>
  </si>
  <si>
    <t>データサイエンス基礎Ⅱ</t>
    <phoneticPr fontId="1"/>
  </si>
  <si>
    <t>令和6</t>
    <rPh sb="0" eb="2">
      <t>レイワ</t>
    </rPh>
    <phoneticPr fontId="1"/>
  </si>
  <si>
    <t>法学部学科未定（1年次のみ）</t>
    <phoneticPr fontId="1"/>
  </si>
  <si>
    <t>法学部法律学科</t>
    <phoneticPr fontId="1"/>
  </si>
  <si>
    <t>法学部国際政治学科</t>
    <phoneticPr fontId="1"/>
  </si>
  <si>
    <t>経済学部学科未定（1年次のみ）</t>
    <phoneticPr fontId="1"/>
  </si>
  <si>
    <t>経済学部経済学科</t>
    <phoneticPr fontId="1"/>
  </si>
  <si>
    <t>経済学部文化経済学科</t>
    <phoneticPr fontId="1"/>
  </si>
  <si>
    <t>商学部商学科</t>
    <phoneticPr fontId="1"/>
  </si>
  <si>
    <t>医学部医学科</t>
    <phoneticPr fontId="1"/>
  </si>
  <si>
    <t>医学部看護学科</t>
    <phoneticPr fontId="1"/>
  </si>
  <si>
    <t>医学部医療検査学科</t>
    <phoneticPr fontId="1"/>
  </si>
  <si>
    <t>穴澤　　務</t>
    <phoneticPr fontId="1"/>
  </si>
  <si>
    <t>「数理・データサイエンス・AI教育プログラム認定制度」ワーキンググループ委員長</t>
    <phoneticPr fontId="1"/>
  </si>
  <si>
    <t>久留米大学教務協議会、「数理・データサイエンス・AI教育プログラム認定制度」ワーキンググループ</t>
    <phoneticPr fontId="1"/>
  </si>
  <si>
    <t>山村　靖彦</t>
    <phoneticPr fontId="1"/>
  </si>
  <si>
    <t>教務協議会委員長</t>
    <phoneticPr fontId="1"/>
  </si>
  <si>
    <t>久留米大学教務協議会規程</t>
    <phoneticPr fontId="1"/>
  </si>
  <si>
    <t>　文系学部では、新入生向けの配布書類に追加し、低学年からDSへの関心を刺激する。年度当初に配布されている「学修ガイドブック」に本プログラムに関する関連ページを新設し、特設サイトの案内を掲載する。また、学生が多く往来する場所にポスターを掲示する。
　なお、医学部（医学科、看護学科及び医療検査学科）では、プログラムを構成する科目が必修科目となっている。</t>
    <phoneticPr fontId="1"/>
  </si>
  <si>
    <t>　上述のとおり、年度を追うごとに受講者数を増やすことができている（令和3年度：39名、令和4年度：47名、令和5年度：143名、令和6年度：297名）。また将来的に対象科目とすることを想定した科目を令和7年度に新設しており、より受講者数を増やすことができると考えている。
　また、各講義の冒頭で、前回の確認テストを実施し、解説を行っている。また授業途中においても確認テストを行うことでインプットとアウトプットを反復し、知識と技能の修得を促す授業展開を行っている。授業中に使用した教材については、学内イントラネットに保存しており、受講者がいつでも閲覧することが可能となっている（講義期間終了後も公開している）。
　上記のサポート体制から、履修者に対する科目修得率は、過去４年間75％以上を維持できている。
　なお、医学部（医学科、看護学科及び医療検査学科）では、プログラムを構成する科目が必修科目となっている。</t>
    <phoneticPr fontId="1"/>
  </si>
  <si>
    <t>　文系学部では、授業時間中に実施する実技演習では、オンライン上でプログラムを実行する等を行っており、学習状況をリアルタイムに把握することができる。
　また、質問については、授業前後・シラバスに提示しているオフィスアワーを活用・前述のE-learningの質問機能も公開して、質問を受け付け、指導している。
　医学部（医学科、看護学科及び医療検査学科）では、各科目担当教員のオフィスアワーを設けており、授業時間外に教員に質問をすることができる。また、電子シラバスまたはカリキュラムブック等で担当教員のメールアドレスを公開し、メールや質疑応答掲示板等で質問をすることができる。</t>
    <phoneticPr fontId="1"/>
  </si>
  <si>
    <t>「数理・データサイエンス・AI教育プログラム」ワーキンググループ</t>
    <phoneticPr fontId="1"/>
  </si>
  <si>
    <t xml:space="preserve">穴澤　　務 </t>
    <phoneticPr fontId="1"/>
  </si>
  <si>
    <t>　「数理・データサイエンス・AI教育プログラム」ワーキンググループでは、客観的なデータである履修状況や、単位修得状況に加え、授業評価アンケート結果に基づき、理解度や達成度等に関する学修成果について確認し、当プログラムの評価や改善に活用している。また、その結果については、上部組織である教務協議会、学部教授会等で共有することとしている。</t>
    <phoneticPr fontId="1"/>
  </si>
  <si>
    <t>　文系学部では令和3年度に教養科目として、「データサイエンス概論」を新設し、その後、受講者数を徐々に増やし、令和6年度はクラス分割を行っている。また、令和4年度からは全学副専攻課程として「データサイエンス副専攻コース」も新設し、データサイエンスを学習する機運を高めている。令和5年度には初めてこの副専攻コース修了者が卒業を迎えて、今後更なる修了者の増加と履修者の増加を目指したいと考えている。
　具体的には、学部だけではなく各種センターと連携を行い、学生への周知強化を行うこととしている。
　なお、医学部（医学科、看護学科及び医療検査学科）では、プログラムを構成する科目が必修科目となっている。</t>
    <phoneticPr fontId="1"/>
  </si>
  <si>
    <t>　本プログラムは、令和6年度から開始したプログラムのため、現時点においては修了者はいない。今後、オープンバッジ等の導入を検討して、企業にアピールを行うなかで、修了者の追跡方法、活躍状況や企業等における評価を得る方法について検討することとしている。</t>
    <phoneticPr fontId="1"/>
  </si>
  <si>
    <t>　今後は、学内のバイオ統計センター等の機関だけでなく、所属するコンソーシアム久留米や地元のデータ分析関連企業等に依頼して、教育プログラムに関する意見交換を検討中である。</t>
    <phoneticPr fontId="1"/>
  </si>
  <si>
    <t>　文系学部ではDSがビジネスや社会生活に活かされている事を俯瞰的に概説する。データや数字に苦手意識を持つ傾向にあるが、プログラム終了後「データの世界に入った様で楽しかった」等の感想が多く寄せられた。
　医学科、看護学科では医療との関りを重視しAI等の情報技術を活用できる事を目指している。PythonのプログラミングやVR技術、ChatGPTとの対話等、実体験、実例を示すことで数理・DS・AIの重要性と意義を実感できる。
　医療検査学科ではAIも含む医療との関りを重視した内容にJMPやRを活用した臨床研究の探索的データ解析技法の習得及び臨床試験、臨床研究の計画に必要な統計的知識を実例を通じ学習する事で活きた医療データ解析の楽しさを実感できる。</t>
    <phoneticPr fontId="1"/>
  </si>
  <si>
    <t>　文系学部では、有資格者であっても初心者であっても「満足できる」という授業への感想があったが「一部の内容が難しく理解するのに時間がかかった」といった感想もあり、補足資料や追加の演習問題の提供を行いたいと考えている。
　医学部（医学科、看護学科及び医療検査学科）における授業はコンピュータとデジタルデータを用いた実習・実践を主体とし、授業内容や到達目的に応じ、協同・反転学習、グループワーク等のアクティブラーニングを取り入れながら行う。デジタル技術は日進月歩であるため、バイオ統計センターと医学教育研究センター（医学教育専門家）の助言を受け、医学教育の潮流に合わせて最新の情報技術を取り入れ改変・改修を行う。</t>
    <phoneticPr fontId="1"/>
  </si>
  <si>
    <t>　教務協議会は、本学における部門間に関連する教務事項について協議し、学部、研究所、センターの調整を図ることを目的として設置されている。この度、教務協議会の下に「数理・データサイエンス・AI教育プログラム」の申請にあたり、プログラムの内容等を具体的に検討するワーキンググループを設置し、ワーキンググループにおいて検討を行った。
　当ワーキンググループにおいては、教育プログラムの検討、改善、自己点検・評価までを実施し、プログラムの申請にあたっては、上部組織である教務協議会、学部教授会等の承認を得ることとする。
　また、毎年の自己点検・評価内容等については、教務協議会、学部教授会等へ報告を行い、適宜助言等をいただくこととした。</t>
    <phoneticPr fontId="1"/>
  </si>
  <si>
    <t>-</t>
  </si>
  <si>
    <t>・ビッグデータ、IoT、AI、生成AI、ロボット「データサイエンス概論」（１,２,１４回目）
・データ量の増加、計算機の処理性能の向上、AIの非連続的進化「データサイエンス概論」（２,６,１２回目）
・第４次産業革命、Society ５.0、データ駆動型社会「データサイエンス概論」（１,３回目）</t>
    <rPh sb="15" eb="17">
      <t>セイセイ</t>
    </rPh>
    <phoneticPr fontId="1"/>
  </si>
  <si>
    <t>・倫理的・法的・社会的課題（ELSI：Ethical, Legal and Social Issues）「データサイエンス概論」（１４回目）
・個人情報保護「データサイエンス概論」（１４回目）
・データ倫理：データのねつ造、改ざん、盗用、プライバシー保護「データサイエンス概論」（１４回目）
・データ・AI活用における負の事例紹介「データサイエンス概論」（１,１４回目）</t>
    <rPh sb="1" eb="4">
      <t>リンリテキ</t>
    </rPh>
    <rPh sb="5" eb="7">
      <t>ホウテキ</t>
    </rPh>
    <rPh sb="8" eb="11">
      <t>シャカイテキ</t>
    </rPh>
    <rPh sb="11" eb="13">
      <t>カダイ</t>
    </rPh>
    <phoneticPr fontId="1"/>
  </si>
  <si>
    <t>・情報セキュリティの3要素（機密性、完全性、可用性）「データサイエンス概論」（１５回目）
・匿名加工情報、暗号化と復号、ユーザ認証とパスワード、悪意ある情報搾取「データサイエンス概論」（１４,１５回目）</t>
    <rPh sb="57" eb="59">
      <t>フクゴウ</t>
    </rPh>
    <rPh sb="63" eb="65">
      <t>ニンショウ</t>
    </rPh>
    <phoneticPr fontId="1"/>
  </si>
  <si>
    <t>・データの種類（量的変数、質的変数）「データサイエンス概論」（４回目）
・データの分布(ヒストグラム)と代表値（平均値、中央値、最頻値）「データサイエンス概論」（５回目）
・代表値の性質の違い（実社会では平均値＝最頻値でないことが多い）「データサイエンス概論」（５回目）
・データのばらつき（分散、標準偏差、偏差値）、外れ値「データサイエンス概論」（５回目）
・相関と因果（相関係数、擬似相関、交絡）「データサイエンス概論」（５回目）
・母集団と標本抽出（国勢調査、アンケート調査、全数調査、単純無作為抽出）「データサイエンス概論」（１0回目）
・クロス集計表、分割表「データサイエンス概論」（４回目）</t>
    <rPh sb="159" eb="160">
      <t>ハズ</t>
    </rPh>
    <rPh sb="161" eb="162">
      <t>チ</t>
    </rPh>
    <phoneticPr fontId="1"/>
  </si>
  <si>
    <t>・データ表現（棒グラフ、折線グラフ、散布図、箱ひげ図）「データサイエンス概論」（５回目）
・不適切なグラフ表現（チャートジャンク、不必要な視覚的要素）「データサイエンス概論」（８回目）
・優れた可視化事例の紹介（可視化することによって新たな気づきがあった事例など）「データサイエンス概論」（８回目）</t>
    <rPh sb="22" eb="23">
      <t>ハコ</t>
    </rPh>
    <rPh sb="25" eb="26">
      <t>ズ</t>
    </rPh>
    <phoneticPr fontId="1"/>
  </si>
  <si>
    <t>・データの集計（和、平均）「データサイエンス概論」（４,５回目）
・データの並び替え、ランキング「データサイエンス概論」（３回目）
・データ解析ツール（スプレッドシート、BIツール）「データサイエンス概論」（４回目）
・表形式のデータ（csv）「データサイエンス概論」（４回目）</t>
    <phoneticPr fontId="1"/>
  </si>
  <si>
    <t>　文系学部では、「後輩や他の学生に勧めたいか」という質問を行い、「勧めたい」が90％以上の回答となった。
　文系学部においては、数学や統計学に対する苦手意識から忌避する学生が多い傾向にある。しかし、このプログラムを通じて、丁寧に用語の解説や演習を行うことで、より深く学習したいという意欲を持つ学生がでてきており、発展科目を新設する等でより充実した環境を整えたい。
　医学科では、回答者の80％以上が後輩へ推奨できると回答した。
　看護学科では、回答者の70％程度が後輩へ推奨できると回答した。
　医療検査学科において、当プログラムは1～3年次科目を対象としているため、3年次科目終了後に科目評価アンケートを実施する。</t>
    <rPh sb="196" eb="198">
      <t>イジョウ</t>
    </rPh>
    <phoneticPr fontId="1"/>
  </si>
  <si>
    <t>（教務協議会）
・教務協議会委員長・文学部教務委員長　山村　靖彦　（文学部　教授）
・人間健康学部教務委員長　右田　孝志（人間健康学部　教授）
・法学部教務委員長　前田　俊文（法学部　教授）
・経済学部教務委員長　野崎　竜太郎（経済学部　教授）
・商学部教務委員長　木下　和也（商学部　教授）
・医学部医学科教務委員長　井川　掌（医学部医学科　教授）
・医学部看護学科教務委員長　田中　佳代（医学部看護学科　教授）
・医学部医療検査学科教務委員長　武谷　三恵（医学部医療検査学科　教授）
・文学部　矢毛　達之（文学部　教授）
・人間健康学部　原子　純（人間健康学部　准教授）
・法学部　大藪　志保子（法学部　教授）
・経済学部　高畑　雄嗣（経済学部　教授）
・商学部　浦田　隆広（商学部　教授）
・医学部医学科　谷原　真一（医学部医学科　教授）
・医学部看護学科　加悦　美恵（医学部看護学科　教授）
・医学部医療検査学科　室谷　健太（医学部医療検査学科　教授）
・外国語教育研究所　李　煕卿（外国語教育研究所　教授）
・基盤教育研究センター長　吉田　洋一（文学部　教授）
（「数理・データサイエンス・AI教育プログラム認定制度」ワーキンググループ）
・数理・データサイエンス・AI教育プログラムワーキンググループ委員長　穴澤　務（商学部　教授）
・柏木　孝仁（医学部医学科　教授）
・室谷　健太（医学部医療検査学科　教授）</t>
    <rPh sb="283" eb="284">
      <t>ジュン</t>
    </rPh>
    <phoneticPr fontId="1"/>
  </si>
  <si>
    <t>　履修者数及び単位修得状況については、科目担当者が把握しており、その分析等については、「数理・データサイエンス・AI教育プログラム」ワーキンググループ（科目担当者含む）が行い、常時把握をしている。令和6年度は、全体の履修者が614名で、単位修得率が75.2％となった。</t>
    <rPh sb="98" eb="100">
      <t>レイワ</t>
    </rPh>
    <rPh sb="101" eb="103">
      <t>ネンド</t>
    </rPh>
    <rPh sb="115" eb="116">
      <t>メイ</t>
    </rPh>
    <rPh sb="122" eb="123">
      <t>リツ</t>
    </rPh>
    <phoneticPr fontId="1"/>
  </si>
  <si>
    <t>　文系学部では、科目の理解度について、80％近くの学生が「理解できた」としている。総合評価も90％近くの学生が満足と感じている。
　医学科では、科目の理解度について、回答者の80％近くが「理解できた」としている。自由記述で理解度に対する理由を記載できるようにしており、結果は科目担当者にフィードバックし、次年度以降の見直しに活用できるようにしている。
　看護学科では、科目の理解度について、回答者の80％以上が「理解できた」と回答した。自由記述で改善してほしい点などを記載できるようにしており、次年度以降に改善し、より良いプログラムになる仕組みにしている。
　医療検査学科学生へのアンケートは、3年次科目終了後に実施する。</t>
    <rPh sb="90" eb="91">
      <t>チカ</t>
    </rPh>
    <phoneticPr fontId="1"/>
  </si>
  <si>
    <t>人間健康学部</t>
    <phoneticPr fontId="1"/>
  </si>
  <si>
    <t>文学部</t>
    <phoneticPr fontId="1"/>
  </si>
  <si>
    <t>医学部医学科、医学部看護学科、医学部医療検査学科</t>
    <phoneticPr fontId="1"/>
  </si>
  <si>
    <t>（医学部医学科）
「アカデミックリテラシー」（0.5単位）、「医学統計学（基礎）」（1.5単位）及び「医学統計学（応用）」（1.5単位）を履修し、単位を修得すること。
（医学部看護学科）
「情報学」（1単位）及び「統計・推計学」（1単位）を履修し、単位を修得すること。
（医学部医療検査学科）
「統計学（2単位）」、「データサイエンス基礎Ⅰ（2単位）」及び「データサイエンス基礎Ⅱ（1単位）」を履修し、単位を修得すること。</t>
    <rPh sb="1" eb="4">
      <t>イガクブ</t>
    </rPh>
    <rPh sb="4" eb="5">
      <t>イ</t>
    </rPh>
    <rPh sb="5" eb="7">
      <t>ガッカ</t>
    </rPh>
    <rPh sb="88" eb="92">
      <t>カンゴガッカ</t>
    </rPh>
    <rPh sb="136" eb="139">
      <t>イガクブ</t>
    </rPh>
    <rPh sb="139" eb="145">
      <t>イリョウケンサガッカ</t>
    </rPh>
    <phoneticPr fontId="1"/>
  </si>
  <si>
    <t>データサイエンス基礎Ⅱ</t>
  </si>
  <si>
    <t>（医学部医学科）
「アカデミックリテラシー」
次の５つの学修成果を期待している。1) 数理・データサイエンス・AIを活用するために必須の情報リテラシーを身に付ける。2) 数理・データサイエンス・AIに関わる倫理的課題に対応し関連法規を理解できる。3) データやAIの医療や社会での活用を理解しさらに新しい価値を創造できる。4)  医療データや患者情報を守るためのセキュリティ対策とリスクを説明できる。5) データ処理のアルゴリズムを理解しロジックに基づくプログラミング的思考を身に付ける。
「医学統計学（基礎）」
次の６つの学修成果を期待している。1）基本的な確率の計算ができる。2）基本的な医学研究デザインについて説明できる。3）二項分布や正規分布などの基本的な確率分布について説明できる。4）基本的な仮説検定の考え方や信頼区間の概念を理解し、簡単なものについては計算することができる。5）仮説検定の結果や信頼区間について正しく解釈できる。6）データ科学AIの基礎を学び、さまざまな領域でデータ・AIが活用されていることを理解できる。
「医学統計学（応用）」
次の７つの学修成果を期待している。1）統計的推測（仮説検定，信頼区間）について説明できる。2）医学研究のデザインの特徴、交絡について説明できる。3）連続型データに対する二標本検定、線形回帰分析を行うことができる。4）分割表解析におけるピアソンカイ二乗検定やロジスティック回帰分析を行うことができる。5）生存時間解析を行うことができる。6）データ・AI利活用における留意事項について理解する。7）簡単なプログラミングを行うことができる。
（医学部看護学科）
次の５つの学修成果を期待している。1) 数理・データサイエンス・AIを活用するために必須の情報リテラシーを身に着ける。2) 数理・データサイエンス・AIに関わる倫理的課題に対応し関連法規を理解できる。3) データやAIの医療や社会での活用を理解しさらに新しい価値を創造できる。4)  医療データや患者情報を守るためのセキュリティ対策とリスクを説明できる。5) データ処理のアルゴリズムを理解しロジックに基づくプログラミング的思考を身に着ける。
（医学部医療検査学科）
本プログラムを通じて、これからの臨床検査技師が身に着けておくべき、特に医学に関わるデータサイエンスの考え方が身に着く。具体的には、統計学の基礎（統計的推測、統計的検定）、データ可視化の方法、回帰分析をはじめとする医学で頻用される多変量解析手法、臨床試験／臨床研究のデザイン、基本的な機械学習法の習得と実行、AIの活用方法、エクセル、JMP、Rの場面ごとの適切な活用、研究計画における倫理審査といった事項が習得される。将来的に医師らと共同してデータ駆動型の臨床研究を計画・実行できる次世代型の臨床検査技師になることが期待される。</t>
    <rPh sb="1" eb="4">
      <t>イガクブ</t>
    </rPh>
    <rPh sb="704" eb="708">
      <t>カンゴガッカ</t>
    </rPh>
    <phoneticPr fontId="1"/>
  </si>
  <si>
    <t>（医学科）
・１次データ、非構造化データ（文章、画像/動画、音声/音楽）、「アカデミックリテラシー」（２，８，１３，１４，１５，１７回目）
・調査データ、実験データ、人の行動ログデータ、機会の稼働ログデータなど「医学統計学（基礎）」（１，２回目）／「医学統計学（応用）」（５，６，７，８回目）
（看護学科）
・非構造化データ（文章、画像/動画、音声/音楽）「情報学」（８回目）
・調査データ、１次データ、２次データ「情報学」（９回目）
（医療検査学科）
・調査データ、実験データ、人の行動ログデータ「統計学」（１、２、１１、１２回）
・構造化データ、データ作成、データのオープン化「データサイエンス基礎Ⅰ」（７、８回）
・データのメタ化「データサイエンス基礎Ⅱ」（８回）</t>
    <phoneticPr fontId="1"/>
  </si>
  <si>
    <t>（医学科）
・データ・AI活用領域の広がり、判断支援、対話、コーディング支援「アカデミックリテラシー」（２，１３，１４，１５，１８回目）
（看護学科）
・判断支援「情報学」（１１回目）
・コーディング支援などの生成AIの応用「情報学」（１０回目）
・データ・AI活用領域の広がり、対話、コンテンツ生成、翻訳・要約・執筆支援など生成AIの応用「情報学」（１３回目）
（医療検査学科）
・生成AIの応用、仮説検証「統計学」（１、６回）
・データ・AI活用領域の広がり（生産、消費、文化活動など）「データサイエンス基礎Ⅰ」（１３回）、「データサイエンス基礎Ⅱ」（３，４回）</t>
    <phoneticPr fontId="1"/>
  </si>
  <si>
    <t>（医学科）
・データ解析、予測、モデル化とシミュレーション、言語処理、画像/動画処理、「アカデミックリテラシー」（１２，１３，１４，１５回目）
・データ解析：予測、グルーピング、パターン発見、最適化、シミュレーション・データ同化など「医学統計学（応用）」（１１，１２，１５，１６，１９，２０回目）
（看護学科）
・データ解析「情報学」（５回目）
・非構造化データの処理（画像）「情報学」（７回目）
・予測、モデル化とシミュレーション「情報学」（１０回目）
・非構造化データの処理（言語処理）「情報学」（１１回目）
・特化型AIと汎用AI、今のAIで出来ることと出来ないこと、AIとビッグデータ 「情報学」（１３回目）
（医療検査学科）
・データ解析：グルーピング、パターン発見、モデル化とシミュレーション、データ可視化：2軸グラフ、関係性の可視化「統計学」（３，４，５，６，７，８，９，１０，１１，１２回）
・データ解析：予測、最適化、データ同化、データ可視化：複合グラフ、生成AIの活用「データサイエンス基礎Ⅰ」（１３，１４，１５回）
・データ解析：モデル化とシミュレーション、データ可視化：リアルタイム可視化、地図上の可視化、マルチモーダル「データサイエンス基礎Ⅱ」（３，４回）</t>
    <phoneticPr fontId="1"/>
  </si>
  <si>
    <t>（医学科）
・データサイエンスのサイクル、データ解析と推論、教育、公共、ヘルスケアにおけるデータ・AI利活用事例紹介「アカデミックリテラシー」（２，１３，１４，１５回目）
・流通、製造、金融、サービス、インフラ、公共、ヘルスケア等におけるデータ・AI利活用事例紹介「医学統計学（基礎）」（２３，２４回目）／「医学統計学（応用）」（２１，２２回目）
（看護学科）
・データ解析と推論「情報学」（６回目）
・教育、芸術、流通、製造、金融、サービス、インフラ、公共、ヘルスケア等におけるデータ・AI利活用事例紹介 「情報学」（１３回目）
（医療検査学科）
・探索的データ解析、データ解析と推論、結果の共有・伝達、課題解決に向けた提案「統計学」（１４,１５回）
・データサイエンスのサイクル（データの取得・管理・加工）「データサイエンス基礎Ⅰ」（６，７，８回）
・探索的データ解析、データ解析と推論、結果の共有・伝達「データサイエンス基礎Ⅱ」（１，２，３，４回）</t>
    <phoneticPr fontId="1"/>
  </si>
  <si>
    <t>（医学科）
・倫理的・法的・社会的課題、個人情報保護、データの捏造、改ざん、プライバシー保護「アカデミックリテラシー」（３，１９回目）
・ELSI、データ倫理「医学統計学（応用）」（２１，２２回目）
（看護学科）
・倫理的・法的・社会的課題、個人情報保護、データの捏造、改ざん、プライバシー保護「情報学」（２回目）
・生成AIの留意事項（ハルシネーションによる誤情報の生成、偽情報や有害コンテンツの生成・氾濫 など） 「情報学」（１４回目）
（医療検査学科）
・プライバシー保護「統計学」（２回目）
・個人情報保護、データの捏造、改ざん「データサイエンス基礎Ⅰ」（６、８回）
・生成AIの留意事項「データサイエンス基礎Ⅱ」（３，４回）</t>
    <phoneticPr fontId="1"/>
  </si>
  <si>
    <t>（医学科）
・暗号化と復号、ユーザ認証とパスワード、アクセス制限、サイバーセキュリティ「アカデミックリテラシー」（３，４回目）
（看護学科）
・暗号化と復号、ユーザ認証とパスワード、アクセス制限、サイバーセキュリティ「情報学」（２回目）
（医療検査学科）
・暗号化と復号、ユーザ認証とパスワード、アクセス制限「データサイエンス基礎Ⅰ」（６、８回）</t>
    <phoneticPr fontId="1"/>
  </si>
  <si>
    <t>（医学科）
・データの種類、データの分布、統計情報の正しい理解「アカデミックリテラシー」（４，１０，１１，１２回目）
・データの種類、データの分布、データのばらつき、打ち切りや欠測を含むデータ、相関と因果、母集団と標本抽出、分割表「医学統計学（基礎）」（７，８，９，１０，１５，１６回目）／「医学統計学（応用）」（５～２０回目）
（看護学科）
・データの種類、データの分布、統計情報の正しい理解「情報学」（３回目）
・データの種類、データの分布と代表値、代表値の性質の違い、母集団と標本抽出「統計・推計学」（１回目）
・データのばらつき、外れ値「統計・推計学」（２回目）
・相関と因果「統計・推計学」（９、１４回目）
・クロス集計表、分割表、相関係数行列、散布図行列「統計・推計学」（１２～１５回目）
（医療検査学科）
・データの種類（量的変数、質的変数）、データの分布、代表値の性質の違い、データのばらつき、相関と因果、統計情報の正しい理解、母集団と標本抽出「統計学」（３，４，５，６，７，８，９，１０回）
・データの種類、相関と因果、打ち切りや欠測を含むデータ「データサイエンス基礎Ⅰ」（１，２，３，４，５，１１，１２回）
・データの種類、データの分布、相関と因果「データサイエンス基礎Ⅱ」（１，２回）</t>
    <rPh sb="88" eb="90">
      <t>ケッソク</t>
    </rPh>
    <phoneticPr fontId="1"/>
  </si>
  <si>
    <t>（医学科）
・データ表現、データの比較、不適切なグラフ表現「アカデミックリテラシー」（４，５，６，９，１０，１１，１２回目）
・データ表現「医学統計学（基礎）」（７～２２回目）／「医学統計学（応用）」（５～２０回目）
（看護学科）
・データ表現、データの比較、不適切なグラフ表現「情報学」（８回目）
・優れた可視化事例の紹介「情報学」（９回目）
・データの比較「統計・推計学」（３～９回目）
・データ表現「統計・推計学」（１１～１５回目）
（医療検査学科）
・データ表現、データの比較、不適切なグラフ表現「統計学」（１，２，６，７，８，９，１０回）
・データ表現、データの比較「データサイエンス基礎Ⅰ」（１，２，３，４，５、１１，１２回）</t>
    <phoneticPr fontId="1"/>
  </si>
  <si>
    <t>（医学科）
・データの集計（和、平均）、データの並び替え「アカデミックリテラシー」（１０，１１，１２回目）
・データの集計、データ解析ツール「医学統計学（応用）」（７，８，１１，１２，１５，１６，１９，２０回目）
（看護学科）
・データの取得、データの集計、データの並び替え「情報学」（６回目）
・データの取得、データの集計、データの並べ替え、ランキング、データ解析ツール、表形式のデータ「統計・推計学」（１１～１５回目）
（医療検査学科）
・データの取得、データの集計、表形式のデータ、データ解析ツール「統計学」（２，１４，１５回）
・データの取得、データの並び替え、ランキング、表形式のデータ「データサイエンス基礎Ⅰ」（１，１１，１２，１３，１４，１５回）</t>
    <rPh sb="11" eb="13">
      <t>シュウケイ</t>
    </rPh>
    <rPh sb="14" eb="15">
      <t>ワ</t>
    </rPh>
    <rPh sb="16" eb="18">
      <t>ヘイキン</t>
    </rPh>
    <rPh sb="24" eb="25">
      <t>ナラ</t>
    </rPh>
    <rPh sb="26" eb="27">
      <t>カ</t>
    </rPh>
    <phoneticPr fontId="1"/>
  </si>
  <si>
    <t>（医学科）
・AI最新技術の活用性、深層生成モデル、強化学習「アカデミックリテラシー」（１，２，１３，１４，１５，１７回目）
・AI最新技術の活用例「医学統計学（基礎）」（２３，２４回目）
（看護学科）
・AI最新技術の活用例（深層生成モデル）「情報学」（１１回目）
・強化学習、転移学習、生成AI「情報学」（１３回目）
・基盤モデル、大規模言語モデル、拡散モデル「情報学」（１４回目）
（医療検査学科）
・AI最新技術の活用例（生成AI）「「データサイエンス基礎Ⅰ」（１３回）
・AI最新技術の活用例（深層生成モデル、強化学習、転移学習）「データサイエンス基礎Ⅱ」（３，４回）</t>
    <phoneticPr fontId="1"/>
  </si>
  <si>
    <t>（医学科）
・ビッグデータ、IoT、AI、ロボット、第四次産業革命、Society 5.0、データ駆動型社会「アカデミックリテラシー」（１，２，５回目）
（看護学科）
・IoT、ロボット、第四次産業革命、Society 5.0、データ駆動型社会「情報学」（１回目）
・データ量の増加、ビッグデータ、AI、生成AI、計算機の処理能力の向上、AIの非連続的進化「情報学」（１３回目）
・人間の知的活動とAIの関係性「情報学」（１５回目）
（医療検査学科）
・IoT、第4次産業革命、Society 5.0、データ駆動型社会「統計学」（１，２回）
・AI、生成AI、計算機の処理性能の向上、データ量の増加、「データサイエンス基礎Ⅰ」（１１，１３回）
・AIの非連続的進化「データサイエンス基礎Ⅱ」（３回）</t>
    <rPh sb="1" eb="4">
      <t>イガッカ</t>
    </rPh>
    <rPh sb="78" eb="82">
      <t>カンゴガッカ</t>
    </rPh>
    <phoneticPr fontId="1"/>
  </si>
  <si>
    <t>　文系学部では、教養科目の選択科目の一つとして「データサイエンス概論」は位置付けられている。令和6年度からは「データサイエンス概論」をクラス分割し、約300名の受講者となった。受講者の授業評価アンケートの結果についても概ね高評価であり、更に学習したいという学生の声や情勢から必要性を感じており、令和7年度からは更に「データサイエンス基礎Ⅰ/Ⅱ」という発展科目を立ち上げることとしている。また、商学部では学部内の系列に「データサイエンス系」を追加し、在学生は無論、入学希望者に対してもデータサイエンスを意識させることとしている。
　令和6年度は履修定員を超える希望者数となったことから、令和7・8年度は、現行の「データサイエンス概論」の定員数やクラス増加を検討している。また、「データサイエンス教育プログラム」と合わせて全学副専攻課程「データサイエンス副専攻コース」の広報を強化、データサイエンスの学習機運の醸成を目指し、令和9年度以降に「データサイエンス基礎Ⅰ/Ⅱ」を修了要件の科目に追加を目指し、履修率21％を当面の目標とする。
　なお、医学部（医学科、看護学科及び医療検査学科）では、プログラムを構成する科目が必修科目となっている。</t>
    <rPh sb="265" eb="267">
      <t>レイワ</t>
    </rPh>
    <rPh sb="268" eb="270">
      <t>ネンド</t>
    </rPh>
    <rPh sb="271" eb="273">
      <t>リシュウ</t>
    </rPh>
    <rPh sb="273" eb="275">
      <t>テイイン</t>
    </rPh>
    <rPh sb="276" eb="277">
      <t>コ</t>
    </rPh>
    <rPh sb="279" eb="283">
      <t>キボウシャスウ</t>
    </rPh>
    <rPh sb="317" eb="319">
      <t>テイイン</t>
    </rPh>
    <rPh sb="319" eb="320">
      <t>スウ</t>
    </rPh>
    <rPh sb="324" eb="326">
      <t>ゾウカ</t>
    </rPh>
    <rPh sb="327" eb="329">
      <t>ケントウ</t>
    </rPh>
    <phoneticPr fontId="1"/>
  </si>
  <si>
    <t>　文系学部では全学部が履修できる共通教育科目として開講している。令和3年度は定員40名で開始したものを、令和4年度には定員50名、令和5年度には定員145名、令和6年度には定員150名で前期と後期にクラス分けすることで合計定員300名へと受講可能者数を増やすことを進めている。
　当初コンピュータ教室で実施していたことや新型コロナウィルス禍もあり、受講者数の制限を行っていたものの、令和6年度時点ではノートパソコンの必携科目とすることで一般の大教室で実施できるようになり、受講者数を大幅に増員することができた。
　令和6年度は履修定員を超え、受講できない学生が散見されたことから、令和7年度から段階的に定員やクラスを増加し、より多くの受講者数を受け入れる体制を整える。
　令和7年度開講で発展科目である「データサイエンス基礎Ⅰ/Ⅱ」についても、全学部で開講することが承認されている。
　なお、医学部（医学科、看護学科及び医療検査学科）では、プログラムを構成する科目が必修科目となっており、原則、他学部・他学科の受講は認められていない。</t>
    <rPh sb="257" eb="259">
      <t>レイワ</t>
    </rPh>
    <rPh sb="260" eb="262">
      <t>ネンド</t>
    </rPh>
    <rPh sb="263" eb="265">
      <t>リシュウ</t>
    </rPh>
    <rPh sb="265" eb="267">
      <t>テイイン</t>
    </rPh>
    <rPh sb="268" eb="269">
      <t>コ</t>
    </rPh>
    <rPh sb="271" eb="273">
      <t>ジュコウ</t>
    </rPh>
    <rPh sb="277" eb="279">
      <t>ガクセイ</t>
    </rPh>
    <rPh sb="280" eb="282">
      <t>サンケン</t>
    </rPh>
    <rPh sb="290" eb="292">
      <t>レイワ</t>
    </rPh>
    <rPh sb="293" eb="295">
      <t>ネンド</t>
    </rPh>
    <rPh sb="297" eb="300">
      <t>ダンカイテキ</t>
    </rPh>
    <rPh sb="301" eb="303">
      <t>テイイン</t>
    </rPh>
    <rPh sb="308" eb="310">
      <t>ゾウカ</t>
    </rPh>
    <rPh sb="314" eb="315">
      <t>オオ</t>
    </rPh>
    <rPh sb="317" eb="321">
      <t>ジュコウシャスウ</t>
    </rPh>
    <rPh sb="322" eb="323">
      <t>ウ</t>
    </rPh>
    <rPh sb="324" eb="325">
      <t>イ</t>
    </rPh>
    <rPh sb="327" eb="329">
      <t>タイセイ</t>
    </rPh>
    <rPh sb="330" eb="331">
      <t>トトノ</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</si>
</sst>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5"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10"/>
      <name val="ＭＳ Ｐゴシック"/>
      <family val="3"/>
      <charset val="128"/>
      <scheme val="minor"/>
    </font>
    <font>
      <sz val="6.3"/>
      <color theme="1"/>
      <name val="ＭＳ Ｐゴシック"/>
      <family val="3"/>
      <charset val="128"/>
      <scheme val="minor"/>
    </font>
    <font>
      <sz val="9"/>
      <name val="ＭＳ Ｐゴシック"/>
      <family val="3"/>
      <charset val="128"/>
      <scheme val="minor"/>
    </font>
  </fonts>
  <fills count="4">
    <fill>
      <patternFill patternType="none"/>
    </fill>
    <fill>
      <patternFill patternType="gray125"/>
    </fill>
    <fill>
      <patternFill patternType="solid">
        <fgColor theme="0" tint="-4.9989318521683403E-2"/>
        <bgColor indexed="64"/>
      </patternFill>
    </fill>
    <fill>
      <patternFill patternType="solid">
        <fgColor theme="0"/>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89">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9" fontId="2" fillId="0" borderId="0" xfId="1" applyFont="1" applyAlignment="1">
      <alignment horizontal="center" vertical="center"/>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38" fontId="2" fillId="0" borderId="45" xfId="2" applyFont="1" applyBorder="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10" fillId="0" borderId="0" xfId="0" applyFont="1">
      <alignment vertical="center"/>
    </xf>
    <xf numFmtId="0" fontId="2" fillId="0" borderId="0" xfId="0" applyFont="1" applyAlignment="1">
      <alignment vertical="top" wrapText="1" shrinkToFit="1"/>
    </xf>
    <xf numFmtId="0" fontId="2" fillId="0" borderId="0" xfId="0" applyFont="1" applyAlignment="1">
      <alignment vertical="top" shrinkToFit="1"/>
    </xf>
    <xf numFmtId="0" fontId="11" fillId="0" borderId="0" xfId="0" applyFont="1">
      <alignment vertical="center"/>
    </xf>
    <xf numFmtId="0" fontId="11" fillId="0" borderId="0" xfId="0" applyFont="1" applyAlignment="1">
      <alignment vertical="center" shrinkToFit="1"/>
    </xf>
    <xf numFmtId="0" fontId="11"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center"/>
    </xf>
    <xf numFmtId="0" fontId="11" fillId="0" borderId="1" xfId="0" applyFont="1" applyBorder="1">
      <alignment vertical="center"/>
    </xf>
    <xf numFmtId="0" fontId="3" fillId="0" borderId="1" xfId="0" applyFont="1" applyBorder="1" applyAlignment="1">
      <alignment horizontal="center" vertical="center" shrinkToFit="1"/>
    </xf>
    <xf numFmtId="0" fontId="3" fillId="0" borderId="4" xfId="0" applyFont="1" applyBorder="1" applyAlignment="1">
      <alignment horizontal="center"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0" xfId="0" applyFont="1" applyAlignment="1">
      <alignment horizontal="left" vertical="center" shrinkToFit="1"/>
    </xf>
    <xf numFmtId="0" fontId="5" fillId="0" borderId="0" xfId="0" applyFont="1" applyAlignment="1">
      <alignment horizontal="center" vertical="center"/>
    </xf>
    <xf numFmtId="0" fontId="2" fillId="0" borderId="1" xfId="0" applyFont="1" applyBorder="1">
      <alignment vertical="center"/>
    </xf>
    <xf numFmtId="0" fontId="11" fillId="0" borderId="0" xfId="0" applyFont="1" applyAlignment="1">
      <alignment horizontal="center" vertical="center" shrinkToFit="1"/>
    </xf>
    <xf numFmtId="0" fontId="12" fillId="0" borderId="0" xfId="0" applyFont="1" applyAlignment="1">
      <alignment horizontal="center" vertical="center"/>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1" xfId="0" applyFont="1" applyBorder="1" applyAlignment="1">
      <alignment horizontal="center" vertical="center" wrapText="1" shrinkToFit="1"/>
    </xf>
    <xf numFmtId="0" fontId="2" fillId="0" borderId="1" xfId="0" applyFont="1" applyBorder="1" applyAlignment="1">
      <alignment horizontal="center" vertical="center" shrinkToFit="1"/>
    </xf>
    <xf numFmtId="0" fontId="9" fillId="0" borderId="1" xfId="0" applyFont="1" applyBorder="1" applyAlignment="1">
      <alignment horizontal="left" vertical="center" wrapText="1"/>
    </xf>
    <xf numFmtId="38" fontId="2" fillId="0" borderId="19" xfId="2" applyFont="1" applyBorder="1" applyAlignment="1">
      <alignment horizontal="center" vertical="center" shrinkToFit="1"/>
    </xf>
    <xf numFmtId="38" fontId="11" fillId="0" borderId="46" xfId="2" applyFont="1" applyBorder="1" applyAlignment="1">
      <alignment vertical="center" shrinkToFit="1"/>
    </xf>
    <xf numFmtId="38" fontId="11" fillId="0" borderId="46" xfId="2" applyFont="1" applyFill="1" applyBorder="1" applyAlignment="1">
      <alignment vertical="center" shrinkToFit="1"/>
    </xf>
    <xf numFmtId="38" fontId="2" fillId="0" borderId="0" xfId="2" applyFont="1" applyFill="1" applyAlignment="1">
      <alignment vertical="center" shrinkToFit="1"/>
    </xf>
    <xf numFmtId="9" fontId="2" fillId="0" borderId="14" xfId="0" applyNumberFormat="1" applyFont="1" applyBorder="1" applyAlignment="1">
      <alignment vertical="center" shrinkToFit="1"/>
    </xf>
    <xf numFmtId="0" fontId="2" fillId="0" borderId="45" xfId="0" applyFont="1" applyBorder="1" applyAlignment="1">
      <alignment horizontal="left" vertical="center"/>
    </xf>
    <xf numFmtId="38" fontId="2" fillId="0" borderId="45" xfId="2" applyFont="1" applyBorder="1" applyAlignment="1">
      <alignment horizontal="right" vertical="center" wrapText="1"/>
    </xf>
    <xf numFmtId="38" fontId="2" fillId="0" borderId="0" xfId="2" applyFont="1" applyBorder="1" applyAlignment="1">
      <alignment horizontal="right" vertical="center" wrapText="1"/>
    </xf>
    <xf numFmtId="38" fontId="2" fillId="0" borderId="5" xfId="2" applyFont="1" applyBorder="1" applyAlignment="1">
      <alignment horizontal="right" vertical="center" wrapText="1"/>
    </xf>
    <xf numFmtId="38" fontId="2" fillId="0" borderId="5" xfId="2" applyFont="1" applyBorder="1" applyAlignment="1">
      <alignment horizontal="center" vertical="center"/>
    </xf>
    <xf numFmtId="38" fontId="2" fillId="0" borderId="45" xfId="2" applyFont="1" applyBorder="1" applyAlignment="1">
      <alignment horizontal="center" vertical="center"/>
    </xf>
    <xf numFmtId="0" fontId="11" fillId="0" borderId="1" xfId="0" applyFont="1" applyBorder="1" applyAlignment="1">
      <alignment horizontal="center" vertical="center" wrapText="1" shrinkToFit="1"/>
    </xf>
    <xf numFmtId="9" fontId="11" fillId="0" borderId="1" xfId="0" applyNumberFormat="1" applyFont="1" applyBorder="1" applyAlignment="1">
      <alignment horizontal="center" vertical="center" shrinkToFit="1"/>
    </xf>
    <xf numFmtId="0" fontId="11" fillId="0" borderId="1" xfId="0" applyFont="1" applyBorder="1" applyAlignment="1">
      <alignment horizontal="center" vertical="center" shrinkToFit="1"/>
    </xf>
    <xf numFmtId="176" fontId="11" fillId="0" borderId="1" xfId="0" applyNumberFormat="1" applyFont="1" applyBorder="1" applyAlignment="1">
      <alignment horizontal="center" vertical="center" shrinkToFit="1"/>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49" fontId="14" fillId="0" borderId="29" xfId="0" applyNumberFormat="1" applyFont="1" applyBorder="1" applyAlignment="1">
      <alignment horizontal="left" vertical="center" wrapText="1"/>
    </xf>
    <xf numFmtId="49" fontId="14" fillId="0" borderId="31" xfId="0" applyNumberFormat="1" applyFont="1" applyBorder="1" applyAlignment="1">
      <alignment horizontal="left" vertical="center"/>
    </xf>
    <xf numFmtId="49" fontId="14" fillId="0" borderId="30" xfId="0" applyNumberFormat="1" applyFont="1" applyBorder="1" applyAlignment="1">
      <alignment horizontal="left" vertical="center"/>
    </xf>
    <xf numFmtId="49" fontId="3" fillId="0" borderId="32" xfId="0" applyNumberFormat="1" applyFont="1" applyBorder="1" applyAlignment="1">
      <alignment horizontal="left" vertical="center"/>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3" fillId="0" borderId="32" xfId="0" applyNumberFormat="1" applyFont="1" applyBorder="1" applyAlignment="1">
      <alignment horizontal="left" vertical="center" wrapTex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49" fontId="14" fillId="0" borderId="32" xfId="0" applyNumberFormat="1" applyFont="1" applyBorder="1" applyAlignment="1">
      <alignment horizontal="left" vertical="center" wrapText="1"/>
    </xf>
    <xf numFmtId="49" fontId="14" fillId="0" borderId="33" xfId="0" applyNumberFormat="1" applyFont="1" applyBorder="1" applyAlignment="1">
      <alignment horizontal="left" vertical="center"/>
    </xf>
    <xf numFmtId="49" fontId="14" fillId="0" borderId="34" xfId="0" applyNumberFormat="1" applyFont="1" applyBorder="1" applyAlignment="1">
      <alignment horizontal="left" vertical="center"/>
    </xf>
    <xf numFmtId="49" fontId="14" fillId="0" borderId="18" xfId="0" applyNumberFormat="1" applyFont="1" applyBorder="1" applyAlignment="1">
      <alignment horizontal="left" vertical="center" wrapText="1"/>
    </xf>
    <xf numFmtId="49" fontId="14" fillId="0" borderId="19" xfId="0" applyNumberFormat="1" applyFont="1" applyBorder="1" applyAlignment="1">
      <alignment horizontal="left" vertical="center"/>
    </xf>
    <xf numFmtId="49" fontId="14" fillId="0" borderId="17" xfId="0" applyNumberFormat="1" applyFont="1" applyBorder="1" applyAlignment="1">
      <alignment horizontal="left" vertical="center"/>
    </xf>
    <xf numFmtId="0" fontId="3" fillId="0" borderId="40" xfId="0" applyFont="1" applyBorder="1" applyAlignment="1">
      <alignment vertical="center" wrapText="1"/>
    </xf>
    <xf numFmtId="0" fontId="3" fillId="0" borderId="41" xfId="0" applyFont="1" applyBorder="1" applyAlignment="1">
      <alignment vertical="center" wrapText="1"/>
    </xf>
    <xf numFmtId="0" fontId="3" fillId="0" borderId="27" xfId="0" applyFont="1" applyBorder="1" applyAlignment="1">
      <alignment vertical="center" wrapText="1"/>
    </xf>
    <xf numFmtId="0" fontId="2" fillId="0" borderId="0" xfId="0" applyFont="1" applyAlignment="1">
      <alignment horizontal="right" vertical="center"/>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11" xfId="0" applyFont="1" applyBorder="1" applyAlignment="1">
      <alignment horizontal="center" vertical="center" shrinkToFit="1"/>
    </xf>
    <xf numFmtId="0" fontId="2" fillId="0" borderId="6" xfId="0" applyFont="1" applyBorder="1" applyAlignment="1">
      <alignment horizontal="center" vertical="center" shrinkToFit="1"/>
    </xf>
    <xf numFmtId="0" fontId="2" fillId="0" borderId="12"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7" xfId="0" applyFont="1" applyBorder="1" applyAlignment="1">
      <alignment horizontal="center" vertical="center" shrinkToFit="1"/>
    </xf>
    <xf numFmtId="0" fontId="2" fillId="0" borderId="8" xfId="0" applyFont="1" applyBorder="1" applyAlignment="1">
      <alignment horizontal="center" vertical="center" shrinkToFit="1"/>
    </xf>
    <xf numFmtId="0" fontId="2" fillId="0" borderId="9" xfId="0" applyFont="1" applyBorder="1" applyAlignment="1">
      <alignment horizontal="center" vertical="center" shrinkToFit="1"/>
    </xf>
    <xf numFmtId="0" fontId="2" fillId="0" borderId="36" xfId="0" applyFont="1" applyBorder="1" applyAlignment="1">
      <alignmen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6" xfId="0" applyFont="1" applyBorder="1" applyAlignment="1">
      <alignment horizontal="center" vertical="center"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4" xfId="0" applyFont="1" applyBorder="1" applyAlignment="1">
      <alignment horizontal="center" vertical="center" shrinkToFit="1"/>
    </xf>
    <xf numFmtId="49" fontId="14" fillId="3" borderId="32" xfId="0" applyNumberFormat="1" applyFont="1" applyFill="1" applyBorder="1" applyAlignment="1">
      <alignment horizontal="left" vertical="center" wrapText="1"/>
    </xf>
    <xf numFmtId="49" fontId="14" fillId="3" borderId="33" xfId="0" applyNumberFormat="1" applyFont="1" applyFill="1" applyBorder="1" applyAlignment="1">
      <alignment horizontal="left" vertical="center"/>
    </xf>
    <xf numFmtId="49" fontId="14" fillId="3" borderId="34" xfId="0" applyNumberFormat="1" applyFont="1" applyFill="1" applyBorder="1" applyAlignment="1">
      <alignment horizontal="left" vertical="center"/>
    </xf>
    <xf numFmtId="0" fontId="3" fillId="0" borderId="2" xfId="0" applyFont="1" applyBorder="1" applyAlignment="1">
      <alignment vertical="center" wrapText="1" shrinkToFit="1"/>
    </xf>
    <xf numFmtId="0" fontId="3" fillId="0" borderId="3" xfId="0" applyFont="1" applyBorder="1" applyAlignment="1">
      <alignment vertical="center" wrapText="1" shrinkToFit="1"/>
    </xf>
    <xf numFmtId="0" fontId="3" fillId="0" borderId="4" xfId="0" applyFont="1" applyBorder="1" applyAlignment="1">
      <alignment vertical="center" wrapText="1" shrinkToFit="1"/>
    </xf>
    <xf numFmtId="0" fontId="2" fillId="0" borderId="14" xfId="0" applyFont="1" applyBorder="1" applyAlignment="1">
      <alignment horizontal="center" vertical="center"/>
    </xf>
    <xf numFmtId="0" fontId="11" fillId="0" borderId="1" xfId="0" applyFont="1" applyBorder="1" applyAlignment="1">
      <alignment horizontal="center" vertical="center"/>
    </xf>
    <xf numFmtId="0" fontId="11" fillId="0" borderId="2" xfId="0" applyFont="1" applyBorder="1" applyAlignment="1">
      <alignment horizontal="center" vertical="center" shrinkToFit="1"/>
    </xf>
    <xf numFmtId="0" fontId="11"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10" fillId="0" borderId="0" xfId="0" applyFont="1" applyAlignment="1">
      <alignment horizontal="left" vertical="center" wrapTex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13" fillId="0" borderId="7" xfId="0" applyFont="1" applyBorder="1" applyAlignment="1">
      <alignment vertical="top" wrapText="1" shrinkToFit="1"/>
    </xf>
    <xf numFmtId="0" fontId="13" fillId="0" borderId="8" xfId="0" applyFont="1" applyBorder="1" applyAlignment="1">
      <alignment vertical="top" wrapText="1" shrinkToFit="1"/>
    </xf>
    <xf numFmtId="0" fontId="13" fillId="0" borderId="9" xfId="0" applyFont="1" applyBorder="1" applyAlignment="1">
      <alignment vertical="top" shrinkToFit="1"/>
    </xf>
    <xf numFmtId="0" fontId="13" fillId="0" borderId="5" xfId="0" applyFont="1" applyBorder="1" applyAlignment="1">
      <alignment vertical="top" shrinkToFit="1"/>
    </xf>
    <xf numFmtId="0" fontId="13" fillId="0" borderId="0" xfId="0" applyFont="1" applyAlignment="1">
      <alignment vertical="top" shrinkToFit="1"/>
    </xf>
    <xf numFmtId="0" fontId="13" fillId="0" borderId="10" xfId="0" applyFont="1" applyBorder="1" applyAlignment="1">
      <alignment vertical="top" shrinkToFit="1"/>
    </xf>
    <xf numFmtId="0" fontId="13" fillId="0" borderId="11" xfId="0" applyFont="1" applyBorder="1" applyAlignment="1">
      <alignment vertical="top" shrinkToFit="1"/>
    </xf>
    <xf numFmtId="0" fontId="13" fillId="0" borderId="6" xfId="0" applyFont="1" applyBorder="1" applyAlignment="1">
      <alignment vertical="top" shrinkToFit="1"/>
    </xf>
    <xf numFmtId="0" fontId="13" fillId="0" borderId="12" xfId="0" applyFont="1" applyBorder="1" applyAlignment="1">
      <alignment vertical="top" shrinkToFit="1"/>
    </xf>
    <xf numFmtId="0" fontId="5"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2" fillId="0" borderId="2" xfId="0" applyFont="1" applyBorder="1" applyAlignment="1">
      <alignment horizontal="lef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11" fillId="0" borderId="1" xfId="0" applyNumberFormat="1" applyFont="1" applyBorder="1" applyAlignment="1">
      <alignment horizontal="center" vertical="center" shrinkToFit="1"/>
    </xf>
    <xf numFmtId="0" fontId="11" fillId="0" borderId="7" xfId="0" applyFont="1" applyBorder="1" applyAlignment="1">
      <alignment vertical="top" wrapText="1"/>
    </xf>
    <xf numFmtId="0" fontId="11" fillId="0" borderId="8" xfId="0" applyFont="1" applyBorder="1" applyAlignment="1">
      <alignment vertical="top" wrapText="1"/>
    </xf>
    <xf numFmtId="0" fontId="11" fillId="0" borderId="9" xfId="0" applyFont="1" applyBorder="1" applyAlignment="1">
      <alignment vertical="top" wrapText="1"/>
    </xf>
    <xf numFmtId="0" fontId="11" fillId="0" borderId="5" xfId="0" applyFont="1" applyBorder="1" applyAlignment="1">
      <alignment vertical="top" wrapText="1"/>
    </xf>
    <xf numFmtId="0" fontId="11" fillId="0" borderId="0" xfId="0" applyFont="1" applyAlignment="1">
      <alignment vertical="top" wrapText="1"/>
    </xf>
    <xf numFmtId="0" fontId="11" fillId="0" borderId="10" xfId="0" applyFont="1" applyBorder="1" applyAlignment="1">
      <alignment vertical="top" wrapText="1"/>
    </xf>
    <xf numFmtId="0" fontId="11" fillId="0" borderId="11" xfId="0" applyFont="1" applyBorder="1" applyAlignment="1">
      <alignment vertical="top" wrapText="1"/>
    </xf>
    <xf numFmtId="0" fontId="11" fillId="0" borderId="6" xfId="0" applyFont="1" applyBorder="1" applyAlignment="1">
      <alignment vertical="top" wrapText="1"/>
    </xf>
    <xf numFmtId="0" fontId="11" fillId="0" borderId="12"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11" fillId="0" borderId="1" xfId="0" applyNumberFormat="1" applyFont="1" applyBorder="1" applyAlignment="1">
      <alignment horizontal="center" vertical="center" wrapText="1" shrinkToFit="1"/>
    </xf>
    <xf numFmtId="0" fontId="11" fillId="0" borderId="7" xfId="0" applyFont="1" applyBorder="1" applyAlignment="1">
      <alignment horizontal="left" vertical="top" wrapText="1"/>
    </xf>
    <xf numFmtId="0" fontId="11" fillId="0" borderId="8" xfId="0" applyFont="1" applyBorder="1" applyAlignment="1">
      <alignment horizontal="left" vertical="top" wrapText="1"/>
    </xf>
    <xf numFmtId="0" fontId="11" fillId="0" borderId="9" xfId="0" applyFont="1" applyBorder="1" applyAlignment="1">
      <alignment horizontal="left" vertical="top" wrapText="1"/>
    </xf>
    <xf numFmtId="0" fontId="11" fillId="0" borderId="5" xfId="0" applyFont="1" applyBorder="1" applyAlignment="1">
      <alignment horizontal="left" vertical="top" wrapText="1"/>
    </xf>
    <xf numFmtId="0" fontId="11" fillId="0" borderId="0" xfId="0" applyFont="1" applyAlignment="1">
      <alignment horizontal="left" vertical="top" wrapText="1"/>
    </xf>
    <xf numFmtId="0" fontId="11" fillId="0" borderId="10" xfId="0" applyFont="1" applyBorder="1" applyAlignment="1">
      <alignment horizontal="left" vertical="top" wrapText="1"/>
    </xf>
    <xf numFmtId="0" fontId="11" fillId="0" borderId="11" xfId="0" applyFont="1" applyBorder="1" applyAlignment="1">
      <alignment horizontal="left" vertical="top" wrapText="1"/>
    </xf>
    <xf numFmtId="0" fontId="11" fillId="0" borderId="6" xfId="0" applyFont="1" applyBorder="1" applyAlignment="1">
      <alignment horizontal="left" vertical="top" wrapText="1"/>
    </xf>
    <xf numFmtId="0" fontId="11" fillId="0" borderId="12" xfId="0" applyFont="1" applyBorder="1" applyAlignment="1">
      <alignment horizontal="left" vertical="top" wrapText="1"/>
    </xf>
    <xf numFmtId="0" fontId="9" fillId="0" borderId="2" xfId="0" applyFont="1" applyBorder="1" applyAlignment="1">
      <alignment horizontal="left" vertical="center" wrapText="1"/>
    </xf>
    <xf numFmtId="0" fontId="9" fillId="0" borderId="4" xfId="0" applyFont="1" applyBorder="1" applyAlignment="1">
      <alignment horizontal="left" vertical="center" wrapText="1"/>
    </xf>
    <xf numFmtId="0" fontId="2" fillId="0" borderId="0" xfId="0" applyFont="1" applyAlignment="1">
      <alignment horizontal="center" vertical="center"/>
    </xf>
    <xf numFmtId="0" fontId="11" fillId="0" borderId="11" xfId="0" applyFont="1" applyBorder="1" applyAlignment="1">
      <alignment vertical="center" wrapText="1"/>
    </xf>
    <xf numFmtId="0" fontId="11" fillId="0" borderId="6" xfId="0" applyFont="1" applyBorder="1" applyAlignment="1">
      <alignment vertical="center" wrapText="1"/>
    </xf>
    <xf numFmtId="0" fontId="11"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11" fillId="0" borderId="18" xfId="0" applyFont="1" applyBorder="1" applyAlignment="1">
      <alignment vertical="top" wrapText="1" shrinkToFit="1"/>
    </xf>
    <xf numFmtId="0" fontId="11" fillId="0" borderId="19" xfId="0" applyFont="1" applyBorder="1" applyAlignment="1">
      <alignment vertical="top" wrapText="1" shrinkToFit="1"/>
    </xf>
    <xf numFmtId="0" fontId="11" fillId="0" borderId="17" xfId="0" applyFont="1" applyBorder="1" applyAlignment="1">
      <alignment vertical="top" wrapText="1" shrinkToFit="1"/>
    </xf>
    <xf numFmtId="0" fontId="2" fillId="0" borderId="32" xfId="0" applyFont="1" applyBorder="1" applyAlignment="1">
      <alignment vertical="top" wrapText="1" shrinkToFit="1"/>
    </xf>
    <xf numFmtId="0" fontId="2" fillId="0" borderId="16" xfId="0" applyFont="1" applyBorder="1">
      <alignment vertical="center"/>
    </xf>
    <xf numFmtId="0" fontId="5" fillId="0" borderId="17" xfId="0" applyFont="1" applyBorder="1">
      <alignment vertical="center"/>
    </xf>
    <xf numFmtId="0" fontId="2" fillId="0" borderId="18" xfId="0" applyFont="1" applyBorder="1" applyAlignment="1">
      <alignment vertical="top" wrapText="1" shrinkToFit="1"/>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4">
    <dxf>
      <font>
        <color theme="0" tint="-0.34998626667073579"/>
      </font>
      <fill>
        <patternFill>
          <bgColor theme="0" tint="-0.34998626667073579"/>
        </patternFill>
      </fill>
    </dxf>
    <dxf>
      <fill>
        <patternFill>
          <bgColor theme="0" tint="-0.34998626667073579"/>
        </patternFill>
      </fill>
    </dxf>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kune_kanako\Downloads\01-1_&#20037;&#30041;&#31859;&#22823;&#23398;_&#30003;&#35531;&#27096;&#24335;_&#12522;&#12486;&#12521;&#12471;&#12540;%20&#12304;&#27096;&#24335;3&#20462;&#27491;&#29256;&#12305;%20(1).xlsx" TargetMode="External"/><Relationship Id="rId1" Type="http://schemas.openxmlformats.org/officeDocument/2006/relationships/externalLinkPath" Target="file:///C:\Users\akune_kanako\Downloads\01-1_&#20037;&#30041;&#31859;&#22823;&#23398;_&#30003;&#35531;&#27096;&#24335;_&#12522;&#12486;&#12521;&#12471;&#12540;%20&#12304;&#27096;&#24335;3&#20462;&#27491;&#29256;&#12305;%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様式１-1　プログラムを構成する授業科目（文系学部)"/>
      <sheetName val="様式１-2　プログラムを構成する授業科目（医学科）"/>
      <sheetName val="様式１-3 プログラムを構成する授業科目 （看護学科）"/>
      <sheetName val="様式１-4 プログラムを構成する授業科目 （医療検査学)"/>
      <sheetName val="様式２ 履修者等数の実績"/>
      <sheetName val="様式３ 教育の質・履修者数を向上させるための体制・計画"/>
      <sheetName val="様式４　自己点検・評価"/>
    </sheetNames>
    <sheetDataSet>
      <sheetData sheetId="0">
        <row r="2">
          <cell r="C2" t="str">
            <v>久留米大学</v>
          </cell>
        </row>
      </sheetData>
      <sheetData sheetId="1"/>
      <sheetData sheetId="2"/>
      <sheetData sheetId="3"/>
      <sheetData sheetId="4">
        <row r="33">
          <cell r="E33">
            <v>6110</v>
          </cell>
          <cell r="S33">
            <v>0.10049099836333879</v>
          </cell>
        </row>
      </sheetData>
      <sheetData sheetId="5"/>
      <sheetData sheetId="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A107"/>
  <sheetViews>
    <sheetView showZeros="0" tabSelected="1" view="pageBreakPreview" zoomScaleNormal="100" zoomScaleSheetLayoutView="100" workbookViewId="0">
      <selection activeCell="Y24" sqref="Y24"/>
    </sheetView>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26" width="9" style="1"/>
    <col min="27" max="27" width="9" style="1" hidden="1" customWidth="1"/>
    <col min="28" max="16384" width="9" style="1"/>
  </cols>
  <sheetData>
    <row r="1" spans="1:24" ht="18.600000000000001" customHeight="1" x14ac:dyDescent="0.15">
      <c r="T1" s="137" t="s">
        <v>145</v>
      </c>
      <c r="U1" s="137"/>
      <c r="V1" s="2" t="s">
        <v>93</v>
      </c>
    </row>
    <row r="2" spans="1:24" ht="18.75" customHeight="1" x14ac:dyDescent="0.15">
      <c r="B2" s="17" t="s">
        <v>92</v>
      </c>
      <c r="C2" s="99" t="s">
        <v>143</v>
      </c>
      <c r="D2" s="100"/>
      <c r="E2" s="100"/>
      <c r="F2" s="100"/>
      <c r="G2" s="100"/>
      <c r="H2" s="100"/>
      <c r="I2" s="100"/>
      <c r="J2" s="101"/>
      <c r="K2" s="18"/>
      <c r="L2" s="6"/>
      <c r="M2" s="6"/>
      <c r="N2" s="6"/>
      <c r="O2" s="6"/>
      <c r="P2" s="6"/>
      <c r="Q2" s="6"/>
      <c r="R2" s="6"/>
      <c r="S2" s="6"/>
      <c r="T2" s="6"/>
      <c r="U2" s="6"/>
    </row>
    <row r="3" spans="1:24" ht="18.75" customHeight="1" x14ac:dyDescent="0.15">
      <c r="B3" s="17" t="s">
        <v>87</v>
      </c>
      <c r="C3" s="96" t="s">
        <v>144</v>
      </c>
      <c r="D3" s="97"/>
      <c r="E3" s="97"/>
      <c r="F3" s="97"/>
      <c r="G3" s="97"/>
      <c r="H3" s="97"/>
      <c r="I3" s="97"/>
      <c r="J3" s="98"/>
      <c r="K3" s="18"/>
      <c r="L3" s="6"/>
      <c r="M3" s="6"/>
      <c r="N3" s="6"/>
      <c r="O3" s="6"/>
      <c r="P3" s="6"/>
      <c r="Q3" s="6"/>
      <c r="R3" s="6"/>
      <c r="S3" s="6"/>
      <c r="T3" s="6"/>
      <c r="U3" s="6"/>
    </row>
    <row r="4" spans="1:24" ht="15" customHeight="1" x14ac:dyDescent="0.15">
      <c r="L4" s="18"/>
      <c r="M4" s="68"/>
      <c r="N4" s="68"/>
      <c r="O4" s="68"/>
      <c r="P4" s="68"/>
      <c r="Q4" s="68"/>
      <c r="R4" s="68"/>
      <c r="S4" s="68"/>
      <c r="T4" s="68"/>
      <c r="U4" s="68"/>
    </row>
    <row r="5" spans="1:24" ht="18" customHeight="1" x14ac:dyDescent="0.15">
      <c r="A5" s="138" t="s">
        <v>141</v>
      </c>
      <c r="B5" s="138"/>
      <c r="C5" s="138"/>
      <c r="D5" s="138"/>
      <c r="E5" s="138"/>
      <c r="F5" s="138"/>
      <c r="G5" s="138"/>
      <c r="H5" s="138"/>
      <c r="I5" s="138"/>
      <c r="J5" s="138"/>
      <c r="K5" s="138"/>
      <c r="L5" s="138"/>
      <c r="M5" s="138"/>
      <c r="N5" s="138"/>
      <c r="O5" s="138"/>
      <c r="P5" s="138"/>
      <c r="Q5" s="138"/>
      <c r="R5" s="138"/>
      <c r="S5" s="138"/>
      <c r="T5" s="138"/>
      <c r="U5" s="138"/>
    </row>
    <row r="6" spans="1:24" ht="15" customHeight="1" x14ac:dyDescent="0.15">
      <c r="B6" s="3"/>
      <c r="C6" s="3"/>
      <c r="D6" s="3"/>
      <c r="E6" s="3"/>
      <c r="F6" s="3"/>
      <c r="G6" s="3"/>
      <c r="H6" s="3"/>
      <c r="I6" s="3"/>
      <c r="J6" s="3"/>
      <c r="K6" s="3"/>
      <c r="L6" s="3"/>
      <c r="M6" s="3"/>
      <c r="N6" s="3"/>
      <c r="O6" s="3"/>
      <c r="P6" s="3"/>
      <c r="Q6" s="3"/>
      <c r="R6" s="3"/>
      <c r="S6" s="3"/>
      <c r="T6" s="3"/>
      <c r="U6" s="3"/>
    </row>
    <row r="7" spans="1:24" ht="15" customHeight="1" x14ac:dyDescent="0.15">
      <c r="A7" s="1" t="s">
        <v>117</v>
      </c>
      <c r="B7" s="3"/>
      <c r="C7" s="3"/>
      <c r="D7" s="3"/>
      <c r="E7" s="3"/>
      <c r="F7" s="2"/>
      <c r="G7" s="2"/>
      <c r="H7" s="2"/>
      <c r="I7" s="2"/>
      <c r="J7" s="2"/>
      <c r="K7" s="2"/>
      <c r="L7" s="96" t="s">
        <v>116</v>
      </c>
      <c r="M7" s="97"/>
      <c r="N7" s="97"/>
      <c r="O7" s="97"/>
      <c r="P7" s="97"/>
      <c r="Q7" s="97"/>
      <c r="R7" s="97"/>
      <c r="S7" s="97"/>
      <c r="T7" s="97"/>
      <c r="U7" s="98"/>
    </row>
    <row r="8" spans="1:24" ht="6" customHeight="1" x14ac:dyDescent="0.15">
      <c r="B8" s="3"/>
      <c r="C8" s="3"/>
      <c r="D8" s="3"/>
      <c r="E8" s="3"/>
      <c r="F8" s="3"/>
      <c r="G8" s="3"/>
      <c r="H8" s="3"/>
      <c r="I8" s="3"/>
      <c r="J8" s="3"/>
      <c r="K8" s="3"/>
      <c r="L8" s="3"/>
      <c r="M8" s="3"/>
      <c r="N8" s="3"/>
      <c r="O8" s="3"/>
      <c r="P8" s="3"/>
      <c r="Q8" s="3"/>
      <c r="R8" s="3"/>
      <c r="S8" s="3"/>
      <c r="T8" s="3"/>
      <c r="U8" s="3"/>
    </row>
    <row r="9" spans="1:24" ht="18" customHeight="1" x14ac:dyDescent="0.15">
      <c r="A9" s="1" t="s">
        <v>118</v>
      </c>
      <c r="C9" s="3"/>
      <c r="D9" s="3"/>
      <c r="K9" s="18"/>
      <c r="L9" s="2"/>
      <c r="M9" s="2"/>
      <c r="N9" s="2"/>
      <c r="O9" s="2"/>
      <c r="P9" s="2"/>
      <c r="Q9" s="2"/>
      <c r="R9" s="2"/>
      <c r="S9" s="2"/>
      <c r="T9" s="2"/>
      <c r="U9" s="2"/>
    </row>
    <row r="10" spans="1:24" ht="6" customHeight="1" x14ac:dyDescent="0.15">
      <c r="B10" s="3"/>
      <c r="C10" s="3"/>
      <c r="D10" s="3"/>
      <c r="E10" s="3"/>
      <c r="F10" s="3"/>
      <c r="G10" s="3"/>
      <c r="H10" s="3"/>
      <c r="I10" s="3"/>
      <c r="J10" s="3"/>
      <c r="K10" s="3"/>
      <c r="L10" s="10"/>
      <c r="M10" s="3"/>
      <c r="N10" s="3"/>
      <c r="O10" s="3"/>
      <c r="P10" s="3"/>
      <c r="Q10" s="3"/>
      <c r="R10" s="3"/>
      <c r="S10" s="3"/>
      <c r="T10" s="3"/>
      <c r="U10" s="3"/>
    </row>
    <row r="11" spans="1:24" ht="18" customHeight="1" x14ac:dyDescent="0.15">
      <c r="B11" s="112" t="s">
        <v>147</v>
      </c>
      <c r="C11" s="113"/>
      <c r="D11" s="113"/>
      <c r="E11" s="113"/>
      <c r="F11" s="113"/>
      <c r="G11" s="113"/>
      <c r="H11" s="113"/>
      <c r="I11" s="113"/>
      <c r="J11" s="113"/>
      <c r="K11" s="113"/>
      <c r="L11" s="113"/>
      <c r="M11" s="113"/>
      <c r="N11" s="113"/>
      <c r="O11" s="113"/>
      <c r="P11" s="113"/>
      <c r="Q11" s="113"/>
      <c r="R11" s="113"/>
      <c r="S11" s="113"/>
      <c r="T11" s="113"/>
      <c r="U11" s="114"/>
    </row>
    <row r="12" spans="1:24" ht="18" customHeight="1" x14ac:dyDescent="0.15">
      <c r="B12" s="115"/>
      <c r="C12" s="116"/>
      <c r="D12" s="116"/>
      <c r="E12" s="116"/>
      <c r="F12" s="116"/>
      <c r="G12" s="116"/>
      <c r="H12" s="116"/>
      <c r="I12" s="116"/>
      <c r="J12" s="116"/>
      <c r="K12" s="116"/>
      <c r="L12" s="116"/>
      <c r="M12" s="116"/>
      <c r="N12" s="116"/>
      <c r="O12" s="116"/>
      <c r="P12" s="116"/>
      <c r="Q12" s="116"/>
      <c r="R12" s="116"/>
      <c r="S12" s="116"/>
      <c r="T12" s="116"/>
      <c r="U12" s="117"/>
    </row>
    <row r="13" spans="1:24" ht="6" customHeight="1" x14ac:dyDescent="0.15">
      <c r="B13" s="3"/>
      <c r="C13" s="3"/>
      <c r="D13" s="3"/>
      <c r="E13" s="3"/>
      <c r="F13" s="3"/>
      <c r="G13" s="3"/>
      <c r="H13" s="3"/>
      <c r="I13" s="3"/>
      <c r="J13" s="3"/>
      <c r="K13" s="3"/>
      <c r="L13" s="10"/>
      <c r="M13" s="3"/>
      <c r="N13" s="3"/>
      <c r="O13" s="3"/>
      <c r="P13" s="3"/>
      <c r="Q13" s="3"/>
      <c r="R13" s="3"/>
      <c r="S13" s="3"/>
      <c r="T13" s="3"/>
      <c r="U13" s="3"/>
    </row>
    <row r="14" spans="1:24" ht="18" customHeight="1" x14ac:dyDescent="0.15">
      <c r="A14" s="1" t="s">
        <v>94</v>
      </c>
      <c r="B14" s="3"/>
      <c r="C14" s="3"/>
      <c r="D14" s="3"/>
      <c r="E14" s="18"/>
      <c r="F14" s="18"/>
      <c r="G14" s="18"/>
      <c r="H14" s="18"/>
      <c r="I14" s="18"/>
      <c r="J14" s="18"/>
      <c r="K14" s="18"/>
      <c r="L14" s="69"/>
      <c r="M14" s="69"/>
      <c r="N14" s="69"/>
      <c r="O14" s="69"/>
      <c r="P14" s="69"/>
      <c r="Q14" s="69"/>
      <c r="R14" s="69"/>
      <c r="S14" s="69"/>
      <c r="T14" s="69"/>
      <c r="U14" s="69"/>
    </row>
    <row r="15" spans="1:24" ht="18" customHeight="1" x14ac:dyDescent="0.15">
      <c r="B15" s="139" t="s">
        <v>148</v>
      </c>
      <c r="C15" s="140"/>
      <c r="D15" s="140"/>
      <c r="E15" s="140"/>
      <c r="F15" s="140"/>
      <c r="G15" s="140"/>
      <c r="H15" s="140"/>
      <c r="I15" s="140"/>
      <c r="J15" s="140"/>
      <c r="K15" s="140"/>
      <c r="L15" s="140"/>
      <c r="M15" s="140"/>
      <c r="N15" s="140"/>
      <c r="O15" s="140"/>
      <c r="P15" s="140"/>
      <c r="Q15" s="140"/>
      <c r="R15" s="140"/>
      <c r="S15" s="140"/>
      <c r="T15" s="140"/>
      <c r="U15" s="141"/>
      <c r="X15" s="1" t="s">
        <v>88</v>
      </c>
    </row>
    <row r="16" spans="1:24" ht="18" customHeight="1" x14ac:dyDescent="0.15">
      <c r="B16" s="142"/>
      <c r="C16" s="143"/>
      <c r="D16" s="143"/>
      <c r="E16" s="143"/>
      <c r="F16" s="143"/>
      <c r="G16" s="143"/>
      <c r="H16" s="143"/>
      <c r="I16" s="143"/>
      <c r="J16" s="143"/>
      <c r="K16" s="143"/>
      <c r="L16" s="143"/>
      <c r="M16" s="143"/>
      <c r="N16" s="143"/>
      <c r="O16" s="143"/>
      <c r="P16" s="143"/>
      <c r="Q16" s="143"/>
      <c r="R16" s="143"/>
      <c r="S16" s="143"/>
      <c r="T16" s="143"/>
      <c r="U16" s="144"/>
      <c r="X16" s="1" t="s">
        <v>122</v>
      </c>
    </row>
    <row r="17" spans="1:24" ht="18" customHeight="1" x14ac:dyDescent="0.15">
      <c r="B17" s="142"/>
      <c r="C17" s="143"/>
      <c r="D17" s="143"/>
      <c r="E17" s="143"/>
      <c r="F17" s="143"/>
      <c r="G17" s="143"/>
      <c r="H17" s="143"/>
      <c r="I17" s="143"/>
      <c r="J17" s="143"/>
      <c r="K17" s="143"/>
      <c r="L17" s="143"/>
      <c r="M17" s="143"/>
      <c r="N17" s="143"/>
      <c r="O17" s="143"/>
      <c r="P17" s="143"/>
      <c r="Q17" s="143"/>
      <c r="R17" s="143"/>
      <c r="S17" s="143"/>
      <c r="T17" s="143"/>
      <c r="U17" s="144"/>
      <c r="X17" s="1" t="s">
        <v>123</v>
      </c>
    </row>
    <row r="18" spans="1:24" ht="18" customHeight="1" x14ac:dyDescent="0.15">
      <c r="B18" s="142"/>
      <c r="C18" s="143"/>
      <c r="D18" s="143"/>
      <c r="E18" s="143"/>
      <c r="F18" s="143"/>
      <c r="G18" s="143"/>
      <c r="H18" s="143"/>
      <c r="I18" s="143"/>
      <c r="J18" s="143"/>
      <c r="K18" s="143"/>
      <c r="L18" s="143"/>
      <c r="M18" s="143"/>
      <c r="N18" s="143"/>
      <c r="O18" s="143"/>
      <c r="P18" s="143"/>
      <c r="Q18" s="143"/>
      <c r="R18" s="143"/>
      <c r="S18" s="143"/>
      <c r="T18" s="143"/>
      <c r="U18" s="144"/>
      <c r="X18" s="1" t="s">
        <v>124</v>
      </c>
    </row>
    <row r="19" spans="1:24" ht="18" customHeight="1" x14ac:dyDescent="0.15">
      <c r="B19" s="142"/>
      <c r="C19" s="143"/>
      <c r="D19" s="143"/>
      <c r="E19" s="143"/>
      <c r="F19" s="143"/>
      <c r="G19" s="143"/>
      <c r="H19" s="143"/>
      <c r="I19" s="143"/>
      <c r="J19" s="143"/>
      <c r="K19" s="143"/>
      <c r="L19" s="143"/>
      <c r="M19" s="143"/>
      <c r="N19" s="143"/>
      <c r="O19" s="143"/>
      <c r="P19" s="143"/>
      <c r="Q19" s="143"/>
      <c r="R19" s="143"/>
      <c r="S19" s="143"/>
      <c r="T19" s="143"/>
      <c r="U19" s="144"/>
    </row>
    <row r="20" spans="1:24" ht="18" customHeight="1" x14ac:dyDescent="0.15">
      <c r="B20" s="145"/>
      <c r="C20" s="146"/>
      <c r="D20" s="146"/>
      <c r="E20" s="146"/>
      <c r="F20" s="146"/>
      <c r="G20" s="146"/>
      <c r="H20" s="146"/>
      <c r="I20" s="146"/>
      <c r="J20" s="146"/>
      <c r="K20" s="146"/>
      <c r="L20" s="146"/>
      <c r="M20" s="146"/>
      <c r="N20" s="146"/>
      <c r="O20" s="146"/>
      <c r="P20" s="146"/>
      <c r="Q20" s="146"/>
      <c r="R20" s="146"/>
      <c r="S20" s="146"/>
      <c r="T20" s="146"/>
      <c r="U20" s="147"/>
    </row>
    <row r="21" spans="1:24" ht="7.5" customHeight="1" x14ac:dyDescent="0.15">
      <c r="B21" s="3"/>
      <c r="C21" s="3"/>
      <c r="D21" s="3"/>
      <c r="E21" s="3"/>
      <c r="F21" s="3"/>
      <c r="G21" s="3"/>
      <c r="H21" s="3"/>
      <c r="I21" s="3"/>
      <c r="J21" s="3"/>
      <c r="K21" s="3"/>
      <c r="L21" s="3"/>
      <c r="M21" s="3"/>
      <c r="N21" s="3"/>
      <c r="O21" s="3"/>
      <c r="P21" s="3"/>
      <c r="Q21" s="3"/>
      <c r="R21" s="3"/>
      <c r="S21" s="3"/>
      <c r="T21" s="3"/>
      <c r="U21" s="3"/>
    </row>
    <row r="22" spans="1:24" ht="19.899999999999999" customHeight="1" x14ac:dyDescent="0.15">
      <c r="B22" s="1" t="s">
        <v>119</v>
      </c>
      <c r="E22" s="70">
        <v>1</v>
      </c>
      <c r="F22" s="1" t="s">
        <v>106</v>
      </c>
      <c r="H22" s="19">
        <v>2</v>
      </c>
      <c r="I22" s="3" t="s">
        <v>107</v>
      </c>
      <c r="J22" s="3"/>
      <c r="K22" s="18"/>
      <c r="M22" s="18" t="s">
        <v>103</v>
      </c>
      <c r="N22" s="93" t="s">
        <v>124</v>
      </c>
      <c r="O22" s="94"/>
      <c r="P22" s="94"/>
      <c r="Q22" s="94"/>
      <c r="R22" s="94"/>
      <c r="S22" s="94"/>
      <c r="T22" s="94"/>
      <c r="U22" s="95"/>
    </row>
    <row r="23" spans="1:24" ht="7.5" customHeight="1" x14ac:dyDescent="0.15">
      <c r="B23" s="3"/>
      <c r="C23" s="3"/>
      <c r="D23" s="3"/>
      <c r="E23" s="3"/>
      <c r="F23" s="3"/>
      <c r="G23" s="3"/>
      <c r="H23" s="3"/>
      <c r="I23" s="3"/>
      <c r="J23" s="3"/>
      <c r="K23" s="3"/>
      <c r="L23" s="3"/>
      <c r="M23" s="3"/>
      <c r="N23" s="3"/>
      <c r="O23" s="3"/>
      <c r="P23" s="3"/>
      <c r="Q23" s="3"/>
      <c r="R23" s="3"/>
      <c r="S23" s="3"/>
      <c r="T23" s="3"/>
      <c r="U23" s="3"/>
    </row>
    <row r="24" spans="1:24" ht="18" customHeight="1" x14ac:dyDescent="0.15">
      <c r="A24" s="127" t="s">
        <v>95</v>
      </c>
      <c r="B24" s="127"/>
      <c r="C24" s="127"/>
      <c r="D24" s="127"/>
      <c r="E24" s="127"/>
      <c r="F24" s="127"/>
      <c r="G24" s="127"/>
      <c r="H24" s="127"/>
      <c r="I24" s="127"/>
      <c r="J24" s="127"/>
      <c r="K24" s="127"/>
      <c r="L24" s="127"/>
      <c r="M24" s="127"/>
      <c r="N24" s="127"/>
      <c r="O24" s="127"/>
      <c r="P24" s="127"/>
      <c r="Q24" s="127"/>
      <c r="R24" s="127"/>
      <c r="S24" s="127"/>
      <c r="T24" s="127"/>
      <c r="U24" s="127"/>
    </row>
    <row r="25" spans="1:24" ht="18" customHeight="1" x14ac:dyDescent="0.15">
      <c r="A25" s="127"/>
      <c r="B25" s="127"/>
      <c r="C25" s="127"/>
      <c r="D25" s="127"/>
      <c r="E25" s="127"/>
      <c r="F25" s="127"/>
      <c r="G25" s="127"/>
      <c r="H25" s="127"/>
      <c r="I25" s="127"/>
      <c r="J25" s="127"/>
      <c r="K25" s="127"/>
      <c r="L25" s="127"/>
      <c r="M25" s="127"/>
      <c r="N25" s="127"/>
      <c r="O25" s="127"/>
      <c r="P25" s="127"/>
      <c r="Q25" s="127"/>
      <c r="R25" s="127"/>
      <c r="S25" s="127"/>
      <c r="T25" s="127"/>
      <c r="U25" s="127"/>
    </row>
    <row r="26" spans="1:24" ht="18" customHeight="1" x14ac:dyDescent="0.15">
      <c r="B26" s="99" t="s">
        <v>47</v>
      </c>
      <c r="C26" s="100"/>
      <c r="D26" s="100"/>
      <c r="E26" s="100"/>
      <c r="F26" s="101"/>
      <c r="G26" s="54" t="s">
        <v>72</v>
      </c>
      <c r="H26" s="55" t="s">
        <v>75</v>
      </c>
      <c r="I26" s="56" t="s">
        <v>50</v>
      </c>
      <c r="J26" s="56" t="s">
        <v>53</v>
      </c>
      <c r="K26" s="99" t="s">
        <v>47</v>
      </c>
      <c r="L26" s="100"/>
      <c r="M26" s="100"/>
      <c r="N26" s="100"/>
      <c r="O26" s="100"/>
      <c r="P26" s="100"/>
      <c r="Q26" s="101"/>
      <c r="R26" s="54" t="s">
        <v>72</v>
      </c>
      <c r="S26" s="55" t="s">
        <v>75</v>
      </c>
      <c r="T26" s="56" t="s">
        <v>50</v>
      </c>
      <c r="U26" s="56" t="s">
        <v>53</v>
      </c>
    </row>
    <row r="27" spans="1:24" ht="18" customHeight="1" x14ac:dyDescent="0.15">
      <c r="B27" s="124" t="s">
        <v>149</v>
      </c>
      <c r="C27" s="125"/>
      <c r="D27" s="125"/>
      <c r="E27" s="125"/>
      <c r="F27" s="126"/>
      <c r="G27" s="57">
        <v>2</v>
      </c>
      <c r="H27" s="57" t="s">
        <v>150</v>
      </c>
      <c r="I27" s="57" t="s">
        <v>150</v>
      </c>
      <c r="J27" s="57" t="s">
        <v>150</v>
      </c>
      <c r="K27" s="124"/>
      <c r="L27" s="125"/>
      <c r="M27" s="125"/>
      <c r="N27" s="125"/>
      <c r="O27" s="125"/>
      <c r="P27" s="125"/>
      <c r="Q27" s="126"/>
      <c r="R27" s="57"/>
      <c r="S27" s="57"/>
      <c r="T27" s="57"/>
      <c r="U27" s="57"/>
    </row>
    <row r="28" spans="1:24" ht="18" customHeight="1" x14ac:dyDescent="0.15">
      <c r="B28" s="118"/>
      <c r="C28" s="119"/>
      <c r="D28" s="119"/>
      <c r="E28" s="119"/>
      <c r="F28" s="120"/>
      <c r="G28" s="58"/>
      <c r="H28" s="58"/>
      <c r="I28" s="58"/>
      <c r="J28" s="58"/>
      <c r="K28" s="118"/>
      <c r="L28" s="119"/>
      <c r="M28" s="119"/>
      <c r="N28" s="119"/>
      <c r="O28" s="119"/>
      <c r="P28" s="119"/>
      <c r="Q28" s="120"/>
      <c r="R28" s="58"/>
      <c r="S28" s="58"/>
      <c r="T28" s="58"/>
      <c r="U28" s="58"/>
    </row>
    <row r="29" spans="1:24" ht="18" customHeight="1" x14ac:dyDescent="0.15">
      <c r="B29" s="118"/>
      <c r="C29" s="119"/>
      <c r="D29" s="119"/>
      <c r="E29" s="119"/>
      <c r="F29" s="120"/>
      <c r="G29" s="58"/>
      <c r="H29" s="58"/>
      <c r="I29" s="58"/>
      <c r="J29" s="58"/>
      <c r="K29" s="118"/>
      <c r="L29" s="119"/>
      <c r="M29" s="119"/>
      <c r="N29" s="119"/>
      <c r="O29" s="119"/>
      <c r="P29" s="119"/>
      <c r="Q29" s="120"/>
      <c r="R29" s="58"/>
      <c r="S29" s="58"/>
      <c r="T29" s="58"/>
      <c r="U29" s="58"/>
    </row>
    <row r="30" spans="1:24" ht="18" customHeight="1" x14ac:dyDescent="0.15">
      <c r="B30" s="118"/>
      <c r="C30" s="119"/>
      <c r="D30" s="119"/>
      <c r="E30" s="119"/>
      <c r="F30" s="120"/>
      <c r="G30" s="58"/>
      <c r="H30" s="58"/>
      <c r="I30" s="58"/>
      <c r="J30" s="58"/>
      <c r="K30" s="118"/>
      <c r="L30" s="119"/>
      <c r="M30" s="119"/>
      <c r="N30" s="119"/>
      <c r="O30" s="119"/>
      <c r="P30" s="119"/>
      <c r="Q30" s="120"/>
      <c r="R30" s="58"/>
      <c r="S30" s="58"/>
      <c r="T30" s="58"/>
      <c r="U30" s="58"/>
    </row>
    <row r="31" spans="1:24" ht="18" customHeight="1" x14ac:dyDescent="0.15">
      <c r="B31" s="118"/>
      <c r="C31" s="119"/>
      <c r="D31" s="119"/>
      <c r="E31" s="119"/>
      <c r="F31" s="120"/>
      <c r="G31" s="58"/>
      <c r="H31" s="58"/>
      <c r="I31" s="58"/>
      <c r="J31" s="58"/>
      <c r="K31" s="118"/>
      <c r="L31" s="119"/>
      <c r="M31" s="119"/>
      <c r="N31" s="119"/>
      <c r="O31" s="119"/>
      <c r="P31" s="119"/>
      <c r="Q31" s="120"/>
      <c r="R31" s="58"/>
      <c r="S31" s="58"/>
      <c r="T31" s="58"/>
      <c r="U31" s="58"/>
    </row>
    <row r="32" spans="1:24" ht="18" customHeight="1" x14ac:dyDescent="0.15">
      <c r="A32" s="3"/>
      <c r="B32" s="118"/>
      <c r="C32" s="119"/>
      <c r="D32" s="119"/>
      <c r="E32" s="119"/>
      <c r="F32" s="120"/>
      <c r="G32" s="58"/>
      <c r="H32" s="58"/>
      <c r="I32" s="58"/>
      <c r="J32" s="58"/>
      <c r="K32" s="118"/>
      <c r="L32" s="119"/>
      <c r="M32" s="119"/>
      <c r="N32" s="119"/>
      <c r="O32" s="119"/>
      <c r="P32" s="119"/>
      <c r="Q32" s="120"/>
      <c r="R32" s="58"/>
      <c r="S32" s="58"/>
      <c r="T32" s="58"/>
      <c r="U32" s="58"/>
    </row>
    <row r="33" spans="1:21" ht="18" customHeight="1" x14ac:dyDescent="0.15">
      <c r="A33" s="3"/>
      <c r="B33" s="121"/>
      <c r="C33" s="122"/>
      <c r="D33" s="122"/>
      <c r="E33" s="122"/>
      <c r="F33" s="123"/>
      <c r="G33" s="59"/>
      <c r="H33" s="59"/>
      <c r="I33" s="60"/>
      <c r="J33" s="60"/>
      <c r="K33" s="121"/>
      <c r="L33" s="122"/>
      <c r="M33" s="122"/>
      <c r="N33" s="122"/>
      <c r="O33" s="122"/>
      <c r="P33" s="122"/>
      <c r="Q33" s="123"/>
      <c r="R33" s="59"/>
      <c r="S33" s="59"/>
      <c r="T33" s="60"/>
      <c r="U33" s="60"/>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127" t="s">
        <v>96</v>
      </c>
      <c r="B35" s="127"/>
      <c r="C35" s="127"/>
      <c r="D35" s="127"/>
      <c r="E35" s="127"/>
      <c r="F35" s="127"/>
      <c r="G35" s="127"/>
      <c r="H35" s="127"/>
      <c r="I35" s="127"/>
      <c r="J35" s="127"/>
      <c r="K35" s="127"/>
      <c r="L35" s="127"/>
      <c r="M35" s="127"/>
      <c r="N35" s="127"/>
      <c r="O35" s="127"/>
      <c r="P35" s="127"/>
      <c r="Q35" s="127"/>
      <c r="R35" s="127"/>
      <c r="S35" s="127"/>
      <c r="T35" s="127"/>
      <c r="U35" s="127"/>
    </row>
    <row r="36" spans="1:21" ht="18" customHeight="1" x14ac:dyDescent="0.15">
      <c r="A36" s="127"/>
      <c r="B36" s="127"/>
      <c r="C36" s="127"/>
      <c r="D36" s="127"/>
      <c r="E36" s="127"/>
      <c r="F36" s="127"/>
      <c r="G36" s="127"/>
      <c r="H36" s="127"/>
      <c r="I36" s="127"/>
      <c r="J36" s="127"/>
      <c r="K36" s="127"/>
      <c r="L36" s="127"/>
      <c r="M36" s="127"/>
      <c r="N36" s="127"/>
      <c r="O36" s="127"/>
      <c r="P36" s="127"/>
      <c r="Q36" s="127"/>
      <c r="R36" s="127"/>
      <c r="S36" s="127"/>
      <c r="T36" s="127"/>
      <c r="U36" s="127"/>
    </row>
    <row r="37" spans="1:21" ht="18" customHeight="1" x14ac:dyDescent="0.15">
      <c r="B37" s="99" t="s">
        <v>47</v>
      </c>
      <c r="C37" s="100"/>
      <c r="D37" s="100"/>
      <c r="E37" s="100"/>
      <c r="F37" s="101"/>
      <c r="G37" s="54" t="s">
        <v>72</v>
      </c>
      <c r="H37" s="55" t="s">
        <v>75</v>
      </c>
      <c r="I37" s="56" t="s">
        <v>63</v>
      </c>
      <c r="J37" s="56" t="s">
        <v>64</v>
      </c>
      <c r="K37" s="99" t="s">
        <v>47</v>
      </c>
      <c r="L37" s="100"/>
      <c r="M37" s="100"/>
      <c r="N37" s="100"/>
      <c r="O37" s="100"/>
      <c r="P37" s="100"/>
      <c r="Q37" s="101"/>
      <c r="R37" s="54" t="s">
        <v>72</v>
      </c>
      <c r="S37" s="55" t="s">
        <v>75</v>
      </c>
      <c r="T37" s="56" t="s">
        <v>63</v>
      </c>
      <c r="U37" s="56" t="s">
        <v>64</v>
      </c>
    </row>
    <row r="38" spans="1:21" ht="18" customHeight="1" x14ac:dyDescent="0.15">
      <c r="B38" s="124" t="s">
        <v>149</v>
      </c>
      <c r="C38" s="125"/>
      <c r="D38" s="125"/>
      <c r="E38" s="125"/>
      <c r="F38" s="126"/>
      <c r="G38" s="57">
        <v>2</v>
      </c>
      <c r="H38" s="57" t="s">
        <v>150</v>
      </c>
      <c r="I38" s="57" t="s">
        <v>150</v>
      </c>
      <c r="J38" s="57" t="s">
        <v>150</v>
      </c>
      <c r="K38" s="124"/>
      <c r="L38" s="125"/>
      <c r="M38" s="125"/>
      <c r="N38" s="125"/>
      <c r="O38" s="125"/>
      <c r="P38" s="125"/>
      <c r="Q38" s="126"/>
      <c r="R38" s="57"/>
      <c r="S38" s="57"/>
      <c r="T38" s="57"/>
      <c r="U38" s="57"/>
    </row>
    <row r="39" spans="1:21" ht="18" customHeight="1" x14ac:dyDescent="0.15">
      <c r="B39" s="118"/>
      <c r="C39" s="119"/>
      <c r="D39" s="119"/>
      <c r="E39" s="119"/>
      <c r="F39" s="120"/>
      <c r="G39" s="58"/>
      <c r="H39" s="58"/>
      <c r="I39" s="58"/>
      <c r="J39" s="58"/>
      <c r="K39" s="118"/>
      <c r="L39" s="119"/>
      <c r="M39" s="119"/>
      <c r="N39" s="119"/>
      <c r="O39" s="119"/>
      <c r="P39" s="119"/>
      <c r="Q39" s="120"/>
      <c r="R39" s="58"/>
      <c r="S39" s="58"/>
      <c r="T39" s="58"/>
      <c r="U39" s="58"/>
    </row>
    <row r="40" spans="1:21" ht="18" customHeight="1" x14ac:dyDescent="0.15">
      <c r="B40" s="118"/>
      <c r="C40" s="119"/>
      <c r="D40" s="119"/>
      <c r="E40" s="119"/>
      <c r="F40" s="120"/>
      <c r="G40" s="58"/>
      <c r="H40" s="58"/>
      <c r="I40" s="58"/>
      <c r="J40" s="58"/>
      <c r="K40" s="118"/>
      <c r="L40" s="119"/>
      <c r="M40" s="119"/>
      <c r="N40" s="119"/>
      <c r="O40" s="119"/>
      <c r="P40" s="119"/>
      <c r="Q40" s="120"/>
      <c r="R40" s="58"/>
      <c r="S40" s="58"/>
      <c r="T40" s="58"/>
      <c r="U40" s="58"/>
    </row>
    <row r="41" spans="1:21" ht="18" customHeight="1" x14ac:dyDescent="0.15">
      <c r="B41" s="118"/>
      <c r="C41" s="119"/>
      <c r="D41" s="119"/>
      <c r="E41" s="119"/>
      <c r="F41" s="120"/>
      <c r="G41" s="58"/>
      <c r="H41" s="58"/>
      <c r="I41" s="58"/>
      <c r="J41" s="58"/>
      <c r="K41" s="118"/>
      <c r="L41" s="119"/>
      <c r="M41" s="119"/>
      <c r="N41" s="119"/>
      <c r="O41" s="119"/>
      <c r="P41" s="119"/>
      <c r="Q41" s="120"/>
      <c r="R41" s="58"/>
      <c r="S41" s="58"/>
      <c r="T41" s="58"/>
      <c r="U41" s="58"/>
    </row>
    <row r="42" spans="1:21" ht="18" customHeight="1" x14ac:dyDescent="0.15">
      <c r="B42" s="118"/>
      <c r="C42" s="119"/>
      <c r="D42" s="119"/>
      <c r="E42" s="119"/>
      <c r="F42" s="120"/>
      <c r="G42" s="58"/>
      <c r="H42" s="58"/>
      <c r="I42" s="58"/>
      <c r="J42" s="58"/>
      <c r="K42" s="118"/>
      <c r="L42" s="119"/>
      <c r="M42" s="119"/>
      <c r="N42" s="119"/>
      <c r="O42" s="119"/>
      <c r="P42" s="119"/>
      <c r="Q42" s="120"/>
      <c r="R42" s="58"/>
      <c r="S42" s="58"/>
      <c r="T42" s="58"/>
      <c r="U42" s="58"/>
    </row>
    <row r="43" spans="1:21" ht="18" customHeight="1" x14ac:dyDescent="0.15">
      <c r="B43" s="118"/>
      <c r="C43" s="119"/>
      <c r="D43" s="119"/>
      <c r="E43" s="119"/>
      <c r="F43" s="120"/>
      <c r="G43" s="58"/>
      <c r="H43" s="58"/>
      <c r="I43" s="58"/>
      <c r="J43" s="58"/>
      <c r="K43" s="118"/>
      <c r="L43" s="119"/>
      <c r="M43" s="119"/>
      <c r="N43" s="119"/>
      <c r="O43" s="119"/>
      <c r="P43" s="119"/>
      <c r="Q43" s="120"/>
      <c r="R43" s="58"/>
      <c r="S43" s="58"/>
      <c r="T43" s="58"/>
      <c r="U43" s="58"/>
    </row>
    <row r="44" spans="1:21" ht="18" customHeight="1" x14ac:dyDescent="0.15">
      <c r="B44" s="121"/>
      <c r="C44" s="122"/>
      <c r="D44" s="122"/>
      <c r="E44" s="122"/>
      <c r="F44" s="123"/>
      <c r="G44" s="59"/>
      <c r="H44" s="59"/>
      <c r="I44" s="60"/>
      <c r="J44" s="60"/>
      <c r="K44" s="121"/>
      <c r="L44" s="122"/>
      <c r="M44" s="122"/>
      <c r="N44" s="122"/>
      <c r="O44" s="122"/>
      <c r="P44" s="122"/>
      <c r="Q44" s="123"/>
      <c r="R44" s="59"/>
      <c r="S44" s="59"/>
      <c r="T44" s="60"/>
      <c r="U44" s="60"/>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127" t="s">
        <v>97</v>
      </c>
      <c r="B46" s="127"/>
      <c r="C46" s="127"/>
      <c r="D46" s="127"/>
      <c r="E46" s="127"/>
      <c r="F46" s="127"/>
      <c r="G46" s="127"/>
      <c r="H46" s="127"/>
      <c r="I46" s="127"/>
      <c r="J46" s="127"/>
      <c r="K46" s="127"/>
      <c r="L46" s="127"/>
      <c r="M46" s="127"/>
      <c r="N46" s="127"/>
      <c r="O46" s="127"/>
      <c r="P46" s="127"/>
      <c r="Q46" s="127"/>
      <c r="R46" s="127"/>
      <c r="S46" s="127"/>
      <c r="T46" s="127"/>
      <c r="U46" s="127"/>
    </row>
    <row r="47" spans="1:21" ht="18" customHeight="1" x14ac:dyDescent="0.15">
      <c r="A47" s="127"/>
      <c r="B47" s="127"/>
      <c r="C47" s="127"/>
      <c r="D47" s="127"/>
      <c r="E47" s="127"/>
      <c r="F47" s="127"/>
      <c r="G47" s="127"/>
      <c r="H47" s="127"/>
      <c r="I47" s="127"/>
      <c r="J47" s="127"/>
      <c r="K47" s="127"/>
      <c r="L47" s="127"/>
      <c r="M47" s="127"/>
      <c r="N47" s="127"/>
      <c r="O47" s="127"/>
      <c r="P47" s="127"/>
      <c r="Q47" s="127"/>
      <c r="R47" s="127"/>
      <c r="S47" s="127"/>
      <c r="T47" s="127"/>
      <c r="U47" s="127"/>
    </row>
    <row r="48" spans="1:21" ht="18" customHeight="1" x14ac:dyDescent="0.15">
      <c r="B48" s="99" t="s">
        <v>47</v>
      </c>
      <c r="C48" s="100"/>
      <c r="D48" s="100"/>
      <c r="E48" s="100"/>
      <c r="F48" s="101"/>
      <c r="G48" s="54" t="s">
        <v>72</v>
      </c>
      <c r="H48" s="55" t="s">
        <v>75</v>
      </c>
      <c r="I48" s="56" t="s">
        <v>65</v>
      </c>
      <c r="J48" s="56" t="s">
        <v>66</v>
      </c>
      <c r="K48" s="99" t="s">
        <v>47</v>
      </c>
      <c r="L48" s="100"/>
      <c r="M48" s="100"/>
      <c r="N48" s="100"/>
      <c r="O48" s="100"/>
      <c r="P48" s="100"/>
      <c r="Q48" s="101"/>
      <c r="R48" s="54" t="s">
        <v>72</v>
      </c>
      <c r="S48" s="55" t="s">
        <v>75</v>
      </c>
      <c r="T48" s="56" t="s">
        <v>65</v>
      </c>
      <c r="U48" s="56" t="s">
        <v>66</v>
      </c>
    </row>
    <row r="49" spans="1:21" ht="18" customHeight="1" x14ac:dyDescent="0.15">
      <c r="A49" s="3"/>
      <c r="B49" s="124" t="s">
        <v>149</v>
      </c>
      <c r="C49" s="125"/>
      <c r="D49" s="125"/>
      <c r="E49" s="125"/>
      <c r="F49" s="126"/>
      <c r="G49" s="57">
        <v>2</v>
      </c>
      <c r="H49" s="57" t="s">
        <v>150</v>
      </c>
      <c r="I49" s="57" t="s">
        <v>150</v>
      </c>
      <c r="J49" s="57" t="s">
        <v>150</v>
      </c>
      <c r="K49" s="124"/>
      <c r="L49" s="125"/>
      <c r="M49" s="125"/>
      <c r="N49" s="125"/>
      <c r="O49" s="125"/>
      <c r="P49" s="125"/>
      <c r="Q49" s="126"/>
      <c r="R49" s="57"/>
      <c r="S49" s="57"/>
      <c r="T49" s="57"/>
      <c r="U49" s="57"/>
    </row>
    <row r="50" spans="1:21" ht="18" customHeight="1" x14ac:dyDescent="0.15">
      <c r="A50" s="3"/>
      <c r="B50" s="118"/>
      <c r="C50" s="119"/>
      <c r="D50" s="119"/>
      <c r="E50" s="119"/>
      <c r="F50" s="120"/>
      <c r="G50" s="58"/>
      <c r="H50" s="58"/>
      <c r="I50" s="58"/>
      <c r="J50" s="58"/>
      <c r="K50" s="118"/>
      <c r="L50" s="119"/>
      <c r="M50" s="119"/>
      <c r="N50" s="119"/>
      <c r="O50" s="119"/>
      <c r="P50" s="119"/>
      <c r="Q50" s="120"/>
      <c r="R50" s="58"/>
      <c r="S50" s="58"/>
      <c r="T50" s="58"/>
      <c r="U50" s="58"/>
    </row>
    <row r="51" spans="1:21" ht="18" customHeight="1" x14ac:dyDescent="0.15">
      <c r="A51" s="3"/>
      <c r="B51" s="118"/>
      <c r="C51" s="119"/>
      <c r="D51" s="119"/>
      <c r="E51" s="119"/>
      <c r="F51" s="120"/>
      <c r="G51" s="58"/>
      <c r="H51" s="58"/>
      <c r="I51" s="58"/>
      <c r="J51" s="58"/>
      <c r="K51" s="118"/>
      <c r="L51" s="119"/>
      <c r="M51" s="119"/>
      <c r="N51" s="119"/>
      <c r="O51" s="119"/>
      <c r="P51" s="119"/>
      <c r="Q51" s="120"/>
      <c r="R51" s="58"/>
      <c r="S51" s="58"/>
      <c r="T51" s="58"/>
      <c r="U51" s="58"/>
    </row>
    <row r="52" spans="1:21" ht="18" customHeight="1" x14ac:dyDescent="0.15">
      <c r="A52" s="3"/>
      <c r="B52" s="118"/>
      <c r="C52" s="119"/>
      <c r="D52" s="119"/>
      <c r="E52" s="119"/>
      <c r="F52" s="120"/>
      <c r="G52" s="58"/>
      <c r="H52" s="58"/>
      <c r="I52" s="58"/>
      <c r="J52" s="58"/>
      <c r="K52" s="118"/>
      <c r="L52" s="119"/>
      <c r="M52" s="119"/>
      <c r="N52" s="119"/>
      <c r="O52" s="119"/>
      <c r="P52" s="119"/>
      <c r="Q52" s="120"/>
      <c r="R52" s="58"/>
      <c r="S52" s="58"/>
      <c r="T52" s="58"/>
      <c r="U52" s="58"/>
    </row>
    <row r="53" spans="1:21" ht="18" customHeight="1" x14ac:dyDescent="0.15">
      <c r="A53" s="3"/>
      <c r="B53" s="118"/>
      <c r="C53" s="119"/>
      <c r="D53" s="119"/>
      <c r="E53" s="119"/>
      <c r="F53" s="120"/>
      <c r="G53" s="58"/>
      <c r="H53" s="58"/>
      <c r="I53" s="58"/>
      <c r="J53" s="58"/>
      <c r="K53" s="118"/>
      <c r="L53" s="119"/>
      <c r="M53" s="119"/>
      <c r="N53" s="119"/>
      <c r="O53" s="119"/>
      <c r="P53" s="119"/>
      <c r="Q53" s="120"/>
      <c r="R53" s="58"/>
      <c r="S53" s="58"/>
      <c r="T53" s="58"/>
      <c r="U53" s="58"/>
    </row>
    <row r="54" spans="1:21" ht="18" customHeight="1" x14ac:dyDescent="0.15">
      <c r="A54" s="3"/>
      <c r="B54" s="118"/>
      <c r="C54" s="119"/>
      <c r="D54" s="119"/>
      <c r="E54" s="119"/>
      <c r="F54" s="120"/>
      <c r="G54" s="58"/>
      <c r="H54" s="58"/>
      <c r="I54" s="58"/>
      <c r="J54" s="58"/>
      <c r="K54" s="118"/>
      <c r="L54" s="119"/>
      <c r="M54" s="119"/>
      <c r="N54" s="119"/>
      <c r="O54" s="119"/>
      <c r="P54" s="119"/>
      <c r="Q54" s="120"/>
      <c r="R54" s="58"/>
      <c r="S54" s="58"/>
      <c r="T54" s="58"/>
      <c r="U54" s="58"/>
    </row>
    <row r="55" spans="1:21" ht="18" customHeight="1" x14ac:dyDescent="0.15">
      <c r="A55" s="3"/>
      <c r="B55" s="121"/>
      <c r="C55" s="122"/>
      <c r="D55" s="122"/>
      <c r="E55" s="122"/>
      <c r="F55" s="123"/>
      <c r="G55" s="59"/>
      <c r="H55" s="59"/>
      <c r="I55" s="60"/>
      <c r="J55" s="60"/>
      <c r="K55" s="121"/>
      <c r="L55" s="122"/>
      <c r="M55" s="122"/>
      <c r="N55" s="122"/>
      <c r="O55" s="122"/>
      <c r="P55" s="122"/>
      <c r="Q55" s="123"/>
      <c r="R55" s="59"/>
      <c r="S55" s="59"/>
      <c r="T55" s="60"/>
      <c r="U55" s="60"/>
    </row>
    <row r="56" spans="1:21" ht="7.5" customHeight="1" x14ac:dyDescent="0.15">
      <c r="B56" s="14"/>
      <c r="C56" s="14"/>
      <c r="D56" s="14"/>
      <c r="E56" s="14"/>
      <c r="F56" s="14"/>
      <c r="G56" s="14"/>
      <c r="H56" s="14"/>
      <c r="I56" s="14"/>
      <c r="J56" s="14"/>
      <c r="K56" s="14"/>
      <c r="L56" s="14"/>
      <c r="M56" s="14"/>
      <c r="N56" s="14"/>
      <c r="O56" s="14"/>
      <c r="P56" s="14"/>
      <c r="Q56" s="14"/>
      <c r="R56" s="14"/>
      <c r="S56" s="14"/>
      <c r="T56" s="14"/>
    </row>
    <row r="57" spans="1:21" ht="18" customHeight="1" x14ac:dyDescent="0.15">
      <c r="A57" s="127" t="s">
        <v>98</v>
      </c>
      <c r="B57" s="127"/>
      <c r="C57" s="127"/>
      <c r="D57" s="127"/>
      <c r="E57" s="127"/>
      <c r="F57" s="127"/>
      <c r="G57" s="127"/>
      <c r="H57" s="127"/>
      <c r="I57" s="127"/>
      <c r="J57" s="127"/>
      <c r="K57" s="127"/>
      <c r="L57" s="127"/>
      <c r="M57" s="127"/>
      <c r="N57" s="127"/>
      <c r="O57" s="127"/>
      <c r="P57" s="127"/>
      <c r="Q57" s="127"/>
      <c r="R57" s="127"/>
      <c r="S57" s="127"/>
      <c r="T57" s="127"/>
      <c r="U57" s="127"/>
    </row>
    <row r="58" spans="1:21" ht="18" customHeight="1" x14ac:dyDescent="0.15">
      <c r="A58" s="127"/>
      <c r="B58" s="127"/>
      <c r="C58" s="127"/>
      <c r="D58" s="127"/>
      <c r="E58" s="127"/>
      <c r="F58" s="127"/>
      <c r="G58" s="127"/>
      <c r="H58" s="127"/>
      <c r="I58" s="127"/>
      <c r="J58" s="127"/>
      <c r="K58" s="127"/>
      <c r="L58" s="127"/>
      <c r="M58" s="127"/>
      <c r="N58" s="127"/>
      <c r="O58" s="127"/>
      <c r="P58" s="127"/>
      <c r="Q58" s="127"/>
      <c r="R58" s="127"/>
      <c r="S58" s="127"/>
      <c r="T58" s="127"/>
      <c r="U58" s="127"/>
    </row>
    <row r="59" spans="1:21" ht="18" customHeight="1" x14ac:dyDescent="0.15">
      <c r="B59" s="99" t="s">
        <v>47</v>
      </c>
      <c r="C59" s="100"/>
      <c r="D59" s="100"/>
      <c r="E59" s="100"/>
      <c r="F59" s="101"/>
      <c r="G59" s="54" t="s">
        <v>72</v>
      </c>
      <c r="H59" s="55" t="s">
        <v>75</v>
      </c>
      <c r="I59" s="56" t="s">
        <v>52</v>
      </c>
      <c r="J59" s="56" t="s">
        <v>54</v>
      </c>
      <c r="K59" s="99" t="s">
        <v>47</v>
      </c>
      <c r="L59" s="100"/>
      <c r="M59" s="100"/>
      <c r="N59" s="100"/>
      <c r="O59" s="100"/>
      <c r="P59" s="100"/>
      <c r="Q59" s="101"/>
      <c r="R59" s="54" t="s">
        <v>72</v>
      </c>
      <c r="S59" s="55" t="s">
        <v>75</v>
      </c>
      <c r="T59" s="56" t="s">
        <v>52</v>
      </c>
      <c r="U59" s="56" t="s">
        <v>54</v>
      </c>
    </row>
    <row r="60" spans="1:21" ht="18" customHeight="1" x14ac:dyDescent="0.15">
      <c r="A60" s="3"/>
      <c r="B60" s="124" t="s">
        <v>149</v>
      </c>
      <c r="C60" s="125"/>
      <c r="D60" s="125"/>
      <c r="E60" s="125"/>
      <c r="F60" s="126"/>
      <c r="G60" s="57">
        <v>2</v>
      </c>
      <c r="H60" s="57" t="s">
        <v>150</v>
      </c>
      <c r="I60" s="57" t="s">
        <v>150</v>
      </c>
      <c r="J60" s="57" t="s">
        <v>150</v>
      </c>
      <c r="K60" s="124"/>
      <c r="L60" s="125"/>
      <c r="M60" s="125"/>
      <c r="N60" s="125"/>
      <c r="O60" s="125"/>
      <c r="P60" s="125"/>
      <c r="Q60" s="126"/>
      <c r="R60" s="57"/>
      <c r="S60" s="57"/>
      <c r="T60" s="57"/>
      <c r="U60" s="57"/>
    </row>
    <row r="61" spans="1:21" ht="18" customHeight="1" x14ac:dyDescent="0.15">
      <c r="A61" s="3"/>
      <c r="B61" s="118"/>
      <c r="C61" s="119"/>
      <c r="D61" s="119"/>
      <c r="E61" s="119"/>
      <c r="F61" s="120"/>
      <c r="G61" s="58"/>
      <c r="H61" s="58"/>
      <c r="I61" s="58"/>
      <c r="J61" s="58"/>
      <c r="K61" s="118"/>
      <c r="L61" s="119"/>
      <c r="M61" s="119"/>
      <c r="N61" s="119"/>
      <c r="O61" s="119"/>
      <c r="P61" s="119"/>
      <c r="Q61" s="120"/>
      <c r="R61" s="58"/>
      <c r="S61" s="58"/>
      <c r="T61" s="58"/>
      <c r="U61" s="58"/>
    </row>
    <row r="62" spans="1:21" ht="18" customHeight="1" x14ac:dyDescent="0.15">
      <c r="A62" s="3"/>
      <c r="B62" s="118"/>
      <c r="C62" s="119"/>
      <c r="D62" s="119"/>
      <c r="E62" s="119"/>
      <c r="F62" s="120"/>
      <c r="G62" s="58"/>
      <c r="H62" s="58"/>
      <c r="I62" s="58"/>
      <c r="J62" s="58"/>
      <c r="K62" s="118"/>
      <c r="L62" s="119"/>
      <c r="M62" s="119"/>
      <c r="N62" s="119"/>
      <c r="O62" s="119"/>
      <c r="P62" s="119"/>
      <c r="Q62" s="120"/>
      <c r="R62" s="58"/>
      <c r="S62" s="58"/>
      <c r="T62" s="58"/>
      <c r="U62" s="58"/>
    </row>
    <row r="63" spans="1:21" ht="18" customHeight="1" x14ac:dyDescent="0.15">
      <c r="A63" s="3"/>
      <c r="B63" s="118"/>
      <c r="C63" s="119"/>
      <c r="D63" s="119"/>
      <c r="E63" s="119"/>
      <c r="F63" s="120"/>
      <c r="G63" s="58"/>
      <c r="H63" s="58"/>
      <c r="I63" s="58"/>
      <c r="J63" s="58"/>
      <c r="K63" s="118"/>
      <c r="L63" s="119"/>
      <c r="M63" s="119"/>
      <c r="N63" s="119"/>
      <c r="O63" s="119"/>
      <c r="P63" s="119"/>
      <c r="Q63" s="120"/>
      <c r="R63" s="58"/>
      <c r="S63" s="58"/>
      <c r="T63" s="58"/>
      <c r="U63" s="58"/>
    </row>
    <row r="64" spans="1:21" ht="18" customHeight="1" x14ac:dyDescent="0.15">
      <c r="A64" s="3"/>
      <c r="B64" s="118"/>
      <c r="C64" s="119"/>
      <c r="D64" s="119"/>
      <c r="E64" s="119"/>
      <c r="F64" s="120"/>
      <c r="G64" s="58"/>
      <c r="H64" s="58"/>
      <c r="I64" s="58"/>
      <c r="J64" s="58"/>
      <c r="K64" s="118"/>
      <c r="L64" s="119"/>
      <c r="M64" s="119"/>
      <c r="N64" s="119"/>
      <c r="O64" s="119"/>
      <c r="P64" s="119"/>
      <c r="Q64" s="120"/>
      <c r="R64" s="58"/>
      <c r="S64" s="58"/>
      <c r="T64" s="58"/>
      <c r="U64" s="58"/>
    </row>
    <row r="65" spans="1:27" ht="18" customHeight="1" x14ac:dyDescent="0.15">
      <c r="A65" s="3"/>
      <c r="B65" s="118"/>
      <c r="C65" s="119"/>
      <c r="D65" s="119"/>
      <c r="E65" s="119"/>
      <c r="F65" s="120"/>
      <c r="G65" s="58"/>
      <c r="H65" s="58"/>
      <c r="I65" s="58"/>
      <c r="J65" s="58"/>
      <c r="K65" s="118"/>
      <c r="L65" s="119"/>
      <c r="M65" s="119"/>
      <c r="N65" s="119"/>
      <c r="O65" s="119"/>
      <c r="P65" s="119"/>
      <c r="Q65" s="120"/>
      <c r="R65" s="58"/>
      <c r="S65" s="58"/>
      <c r="T65" s="58"/>
      <c r="U65" s="58"/>
    </row>
    <row r="66" spans="1:27" ht="18" customHeight="1" x14ac:dyDescent="0.15">
      <c r="A66" s="3"/>
      <c r="B66" s="121"/>
      <c r="C66" s="122"/>
      <c r="D66" s="122"/>
      <c r="E66" s="122"/>
      <c r="F66" s="123"/>
      <c r="G66" s="59"/>
      <c r="H66" s="59"/>
      <c r="I66" s="60"/>
      <c r="J66" s="60"/>
      <c r="K66" s="121"/>
      <c r="L66" s="122"/>
      <c r="M66" s="122"/>
      <c r="N66" s="122"/>
      <c r="O66" s="122"/>
      <c r="P66" s="122"/>
      <c r="Q66" s="123"/>
      <c r="R66" s="59"/>
      <c r="S66" s="59"/>
      <c r="T66" s="60"/>
      <c r="U66" s="60"/>
    </row>
    <row r="67" spans="1:27" ht="7.5" customHeight="1" x14ac:dyDescent="0.15">
      <c r="B67" s="14"/>
      <c r="C67" s="14"/>
      <c r="D67" s="14"/>
      <c r="E67" s="14"/>
      <c r="F67" s="14"/>
      <c r="G67" s="14"/>
      <c r="H67" s="14"/>
      <c r="I67" s="14"/>
      <c r="J67" s="14"/>
      <c r="K67" s="14"/>
      <c r="L67" s="14"/>
      <c r="M67" s="14"/>
      <c r="N67" s="14"/>
      <c r="O67" s="14"/>
      <c r="P67" s="14"/>
      <c r="Q67" s="14"/>
      <c r="R67" s="14"/>
      <c r="S67" s="14"/>
      <c r="T67" s="14"/>
    </row>
    <row r="68" spans="1:27" ht="18" customHeight="1" x14ac:dyDescent="0.15">
      <c r="A68" s="127" t="s">
        <v>99</v>
      </c>
      <c r="B68" s="127"/>
      <c r="C68" s="127"/>
      <c r="D68" s="127"/>
      <c r="E68" s="127"/>
      <c r="F68" s="127"/>
      <c r="G68" s="127"/>
      <c r="H68" s="127"/>
      <c r="I68" s="127"/>
      <c r="J68" s="127"/>
      <c r="K68" s="127"/>
      <c r="L68" s="127"/>
      <c r="M68" s="127"/>
      <c r="N68" s="127"/>
      <c r="O68" s="127"/>
      <c r="P68" s="127"/>
      <c r="Q68" s="127"/>
      <c r="R68" s="127"/>
      <c r="S68" s="127"/>
      <c r="T68" s="127"/>
      <c r="U68" s="127"/>
    </row>
    <row r="69" spans="1:27" ht="18" customHeight="1" x14ac:dyDescent="0.15">
      <c r="A69" s="127"/>
      <c r="B69" s="127"/>
      <c r="C69" s="127"/>
      <c r="D69" s="127"/>
      <c r="E69" s="127"/>
      <c r="F69" s="127"/>
      <c r="G69" s="127"/>
      <c r="H69" s="127"/>
      <c r="I69" s="127"/>
      <c r="J69" s="127"/>
      <c r="K69" s="127"/>
      <c r="L69" s="127"/>
      <c r="M69" s="127"/>
      <c r="N69" s="127"/>
      <c r="O69" s="127"/>
      <c r="P69" s="127"/>
      <c r="Q69" s="127"/>
      <c r="R69" s="127"/>
      <c r="S69" s="127"/>
      <c r="T69" s="127"/>
      <c r="U69" s="127"/>
    </row>
    <row r="70" spans="1:27" ht="18" customHeight="1" x14ac:dyDescent="0.15">
      <c r="B70" s="99" t="s">
        <v>47</v>
      </c>
      <c r="C70" s="100"/>
      <c r="D70" s="100"/>
      <c r="E70" s="100"/>
      <c r="F70" s="54" t="s">
        <v>72</v>
      </c>
      <c r="G70" s="55" t="s">
        <v>75</v>
      </c>
      <c r="H70" s="56" t="s">
        <v>86</v>
      </c>
      <c r="I70" s="56" t="s">
        <v>67</v>
      </c>
      <c r="J70" s="56" t="s">
        <v>68</v>
      </c>
      <c r="K70" s="99" t="s">
        <v>47</v>
      </c>
      <c r="L70" s="100"/>
      <c r="M70" s="100"/>
      <c r="N70" s="100"/>
      <c r="O70" s="100"/>
      <c r="P70" s="101"/>
      <c r="Q70" s="54" t="s">
        <v>72</v>
      </c>
      <c r="R70" s="55" t="s">
        <v>75</v>
      </c>
      <c r="S70" s="56" t="s">
        <v>86</v>
      </c>
      <c r="T70" s="56" t="s">
        <v>67</v>
      </c>
      <c r="U70" s="56" t="s">
        <v>68</v>
      </c>
    </row>
    <row r="71" spans="1:27" ht="18" customHeight="1" x14ac:dyDescent="0.15">
      <c r="A71" s="3"/>
      <c r="B71" s="124" t="s">
        <v>149</v>
      </c>
      <c r="C71" s="125"/>
      <c r="D71" s="125"/>
      <c r="E71" s="125"/>
      <c r="F71" s="57">
        <v>2</v>
      </c>
      <c r="G71" s="57" t="s">
        <v>150</v>
      </c>
      <c r="H71" s="57" t="s">
        <v>150</v>
      </c>
      <c r="I71" s="57" t="s">
        <v>150</v>
      </c>
      <c r="J71" s="57" t="s">
        <v>150</v>
      </c>
      <c r="K71" s="124"/>
      <c r="L71" s="125"/>
      <c r="M71" s="125"/>
      <c r="N71" s="125"/>
      <c r="O71" s="125"/>
      <c r="P71" s="126"/>
      <c r="Q71" s="57"/>
      <c r="R71" s="57"/>
      <c r="S71" s="57"/>
      <c r="T71" s="57"/>
      <c r="U71" s="57"/>
    </row>
    <row r="72" spans="1:27" ht="18" customHeight="1" x14ac:dyDescent="0.15">
      <c r="A72" s="3"/>
      <c r="B72" s="118"/>
      <c r="C72" s="119"/>
      <c r="D72" s="119"/>
      <c r="E72" s="119"/>
      <c r="F72" s="58"/>
      <c r="G72" s="58"/>
      <c r="H72" s="58"/>
      <c r="I72" s="58"/>
      <c r="J72" s="58"/>
      <c r="K72" s="118"/>
      <c r="L72" s="119"/>
      <c r="M72" s="119"/>
      <c r="N72" s="119"/>
      <c r="O72" s="119"/>
      <c r="P72" s="120"/>
      <c r="Q72" s="58"/>
      <c r="R72" s="58"/>
      <c r="S72" s="58"/>
      <c r="T72" s="58"/>
      <c r="U72" s="58"/>
    </row>
    <row r="73" spans="1:27" ht="18" customHeight="1" x14ac:dyDescent="0.15">
      <c r="A73" s="3"/>
      <c r="B73" s="118"/>
      <c r="C73" s="119"/>
      <c r="D73" s="119"/>
      <c r="E73" s="119"/>
      <c r="F73" s="58"/>
      <c r="G73" s="58"/>
      <c r="H73" s="58"/>
      <c r="I73" s="58"/>
      <c r="J73" s="58"/>
      <c r="K73" s="118"/>
      <c r="L73" s="119"/>
      <c r="M73" s="119"/>
      <c r="N73" s="119"/>
      <c r="O73" s="119"/>
      <c r="P73" s="120"/>
      <c r="Q73" s="58"/>
      <c r="R73" s="58"/>
      <c r="S73" s="58"/>
      <c r="T73" s="58"/>
      <c r="U73" s="58"/>
    </row>
    <row r="74" spans="1:27" ht="18" customHeight="1" x14ac:dyDescent="0.15">
      <c r="A74" s="3"/>
      <c r="B74" s="118"/>
      <c r="C74" s="119"/>
      <c r="D74" s="119"/>
      <c r="E74" s="119"/>
      <c r="F74" s="58"/>
      <c r="G74" s="58"/>
      <c r="H74" s="58"/>
      <c r="I74" s="58"/>
      <c r="J74" s="58"/>
      <c r="K74" s="118"/>
      <c r="L74" s="119"/>
      <c r="M74" s="119"/>
      <c r="N74" s="119"/>
      <c r="O74" s="119"/>
      <c r="P74" s="120"/>
      <c r="Q74" s="58"/>
      <c r="R74" s="58"/>
      <c r="S74" s="58"/>
      <c r="T74" s="58"/>
      <c r="U74" s="58"/>
    </row>
    <row r="75" spans="1:27" ht="18" customHeight="1" x14ac:dyDescent="0.15">
      <c r="A75" s="3"/>
      <c r="B75" s="118"/>
      <c r="C75" s="119"/>
      <c r="D75" s="119"/>
      <c r="E75" s="119"/>
      <c r="F75" s="58"/>
      <c r="G75" s="58"/>
      <c r="H75" s="58"/>
      <c r="I75" s="58"/>
      <c r="J75" s="58"/>
      <c r="K75" s="118"/>
      <c r="L75" s="119"/>
      <c r="M75" s="119"/>
      <c r="N75" s="119"/>
      <c r="O75" s="119"/>
      <c r="P75" s="120"/>
      <c r="Q75" s="58"/>
      <c r="R75" s="58"/>
      <c r="S75" s="58"/>
      <c r="T75" s="58"/>
      <c r="U75" s="58"/>
    </row>
    <row r="76" spans="1:27" ht="18" customHeight="1" x14ac:dyDescent="0.15">
      <c r="A76" s="3"/>
      <c r="B76" s="118"/>
      <c r="C76" s="119"/>
      <c r="D76" s="119"/>
      <c r="E76" s="119"/>
      <c r="F76" s="58"/>
      <c r="G76" s="58"/>
      <c r="H76" s="58"/>
      <c r="I76" s="58"/>
      <c r="J76" s="58"/>
      <c r="K76" s="118"/>
      <c r="L76" s="119"/>
      <c r="M76" s="119"/>
      <c r="N76" s="119"/>
      <c r="O76" s="119"/>
      <c r="P76" s="120"/>
      <c r="Q76" s="58"/>
      <c r="R76" s="58"/>
      <c r="S76" s="58"/>
      <c r="T76" s="58"/>
      <c r="U76" s="58"/>
    </row>
    <row r="77" spans="1:27" ht="18" customHeight="1" x14ac:dyDescent="0.15">
      <c r="A77" s="3"/>
      <c r="B77" s="121"/>
      <c r="C77" s="122"/>
      <c r="D77" s="122"/>
      <c r="E77" s="122"/>
      <c r="F77" s="59"/>
      <c r="G77" s="59"/>
      <c r="H77" s="60"/>
      <c r="I77" s="60"/>
      <c r="J77" s="60"/>
      <c r="K77" s="121"/>
      <c r="L77" s="122"/>
      <c r="M77" s="122"/>
      <c r="N77" s="122"/>
      <c r="O77" s="122"/>
      <c r="P77" s="123"/>
      <c r="Q77" s="59"/>
      <c r="R77" s="59"/>
      <c r="S77" s="60"/>
      <c r="T77" s="60"/>
      <c r="U77" s="60"/>
    </row>
    <row r="78" spans="1:27" ht="7.5" customHeight="1" x14ac:dyDescent="0.15">
      <c r="B78" s="14"/>
      <c r="C78" s="14"/>
      <c r="D78" s="14"/>
      <c r="E78" s="14"/>
      <c r="F78" s="14"/>
      <c r="G78" s="14"/>
      <c r="H78" s="14"/>
      <c r="I78" s="14"/>
      <c r="J78" s="14"/>
      <c r="K78" s="14"/>
      <c r="L78" s="14"/>
      <c r="M78" s="14"/>
      <c r="N78" s="14"/>
      <c r="O78" s="14"/>
      <c r="P78" s="14"/>
      <c r="Q78" s="14"/>
      <c r="R78" s="14"/>
      <c r="S78" s="14"/>
      <c r="T78" s="14"/>
    </row>
    <row r="79" spans="1:27" ht="18" customHeight="1" x14ac:dyDescent="0.15">
      <c r="A79" s="1" t="s">
        <v>100</v>
      </c>
      <c r="I79" s="3"/>
      <c r="J79" s="3"/>
      <c r="K79" s="3"/>
      <c r="L79" s="3"/>
      <c r="M79" s="3"/>
      <c r="N79" s="3"/>
      <c r="O79" s="3"/>
      <c r="P79" s="3"/>
      <c r="Q79" s="3"/>
      <c r="R79" s="3"/>
      <c r="S79" s="3"/>
      <c r="T79" s="3"/>
      <c r="U79" s="3"/>
    </row>
    <row r="80" spans="1:27" ht="18" customHeight="1" x14ac:dyDescent="0.15">
      <c r="B80" s="99" t="s">
        <v>47</v>
      </c>
      <c r="C80" s="100"/>
      <c r="D80" s="100"/>
      <c r="E80" s="100"/>
      <c r="F80" s="101"/>
      <c r="G80" s="99" t="s">
        <v>73</v>
      </c>
      <c r="H80" s="100"/>
      <c r="I80" s="100"/>
      <c r="J80" s="101"/>
      <c r="K80" s="159" t="s">
        <v>47</v>
      </c>
      <c r="L80" s="160"/>
      <c r="M80" s="160"/>
      <c r="N80" s="160"/>
      <c r="O80" s="160"/>
      <c r="P80" s="160"/>
      <c r="Q80" s="161"/>
      <c r="R80" s="99" t="s">
        <v>73</v>
      </c>
      <c r="S80" s="100"/>
      <c r="T80" s="100"/>
      <c r="U80" s="101"/>
      <c r="AA80" s="1" t="s">
        <v>138</v>
      </c>
    </row>
    <row r="81" spans="1:27" ht="18" customHeight="1" x14ac:dyDescent="0.15">
      <c r="A81" s="3"/>
      <c r="B81" s="124" t="s">
        <v>149</v>
      </c>
      <c r="C81" s="125"/>
      <c r="D81" s="125"/>
      <c r="E81" s="125"/>
      <c r="F81" s="126"/>
      <c r="G81" s="162" t="s">
        <v>151</v>
      </c>
      <c r="H81" s="163"/>
      <c r="I81" s="163"/>
      <c r="J81" s="164"/>
      <c r="K81" s="124"/>
      <c r="L81" s="125"/>
      <c r="M81" s="125"/>
      <c r="N81" s="125"/>
      <c r="O81" s="125"/>
      <c r="P81" s="125"/>
      <c r="Q81" s="126"/>
      <c r="R81" s="162"/>
      <c r="S81" s="163"/>
      <c r="T81" s="163"/>
      <c r="U81" s="164"/>
      <c r="AA81" s="1" t="s">
        <v>131</v>
      </c>
    </row>
    <row r="82" spans="1:27" ht="18" customHeight="1" x14ac:dyDescent="0.15">
      <c r="A82" s="3"/>
      <c r="B82" s="118" t="s">
        <v>149</v>
      </c>
      <c r="C82" s="119"/>
      <c r="D82" s="119"/>
      <c r="E82" s="119"/>
      <c r="F82" s="120"/>
      <c r="G82" s="154" t="s">
        <v>152</v>
      </c>
      <c r="H82" s="155"/>
      <c r="I82" s="155"/>
      <c r="J82" s="156"/>
      <c r="K82" s="118"/>
      <c r="L82" s="119"/>
      <c r="M82" s="119"/>
      <c r="N82" s="119"/>
      <c r="O82" s="119"/>
      <c r="P82" s="119"/>
      <c r="Q82" s="120"/>
      <c r="R82" s="154"/>
      <c r="S82" s="155"/>
      <c r="T82" s="155"/>
      <c r="U82" s="156"/>
      <c r="AA82" s="1" t="s">
        <v>132</v>
      </c>
    </row>
    <row r="83" spans="1:27" ht="18" customHeight="1" x14ac:dyDescent="0.15">
      <c r="A83" s="3"/>
      <c r="B83" s="118" t="s">
        <v>149</v>
      </c>
      <c r="C83" s="119"/>
      <c r="D83" s="119"/>
      <c r="E83" s="119"/>
      <c r="F83" s="120"/>
      <c r="G83" s="154" t="s">
        <v>153</v>
      </c>
      <c r="H83" s="155"/>
      <c r="I83" s="155"/>
      <c r="J83" s="156"/>
      <c r="K83" s="118"/>
      <c r="L83" s="119"/>
      <c r="M83" s="119"/>
      <c r="N83" s="119"/>
      <c r="O83" s="119"/>
      <c r="P83" s="119"/>
      <c r="Q83" s="120"/>
      <c r="R83" s="154"/>
      <c r="S83" s="155"/>
      <c r="T83" s="155"/>
      <c r="U83" s="156"/>
      <c r="AA83" s="1" t="s">
        <v>133</v>
      </c>
    </row>
    <row r="84" spans="1:27" ht="18" customHeight="1" x14ac:dyDescent="0.15">
      <c r="A84" s="3"/>
      <c r="B84" s="118"/>
      <c r="C84" s="119"/>
      <c r="D84" s="119"/>
      <c r="E84" s="119"/>
      <c r="F84" s="120"/>
      <c r="G84" s="154"/>
      <c r="H84" s="155"/>
      <c r="I84" s="155"/>
      <c r="J84" s="156"/>
      <c r="K84" s="118"/>
      <c r="L84" s="119"/>
      <c r="M84" s="119"/>
      <c r="N84" s="119"/>
      <c r="O84" s="119"/>
      <c r="P84" s="119"/>
      <c r="Q84" s="120"/>
      <c r="R84" s="154"/>
      <c r="S84" s="155"/>
      <c r="T84" s="155"/>
      <c r="U84" s="156"/>
      <c r="AA84" s="1" t="s">
        <v>139</v>
      </c>
    </row>
    <row r="85" spans="1:27" ht="18" customHeight="1" x14ac:dyDescent="0.15">
      <c r="A85" s="3"/>
      <c r="B85" s="118"/>
      <c r="C85" s="119"/>
      <c r="D85" s="119"/>
      <c r="E85" s="119"/>
      <c r="F85" s="120"/>
      <c r="G85" s="154"/>
      <c r="H85" s="155"/>
      <c r="I85" s="155"/>
      <c r="J85" s="156"/>
      <c r="K85" s="118"/>
      <c r="L85" s="119"/>
      <c r="M85" s="119"/>
      <c r="N85" s="119"/>
      <c r="O85" s="119"/>
      <c r="P85" s="119"/>
      <c r="Q85" s="120"/>
      <c r="R85" s="154"/>
      <c r="S85" s="155"/>
      <c r="T85" s="155"/>
      <c r="U85" s="156"/>
      <c r="AA85" s="1" t="s">
        <v>140</v>
      </c>
    </row>
    <row r="86" spans="1:27" ht="18" customHeight="1" x14ac:dyDescent="0.15">
      <c r="A86" s="3"/>
      <c r="B86" s="118"/>
      <c r="C86" s="119"/>
      <c r="D86" s="119"/>
      <c r="E86" s="119"/>
      <c r="F86" s="120"/>
      <c r="G86" s="154"/>
      <c r="H86" s="155"/>
      <c r="I86" s="155"/>
      <c r="J86" s="156"/>
      <c r="K86" s="118"/>
      <c r="L86" s="119"/>
      <c r="M86" s="119"/>
      <c r="N86" s="119"/>
      <c r="O86" s="119"/>
      <c r="P86" s="119"/>
      <c r="Q86" s="120"/>
      <c r="R86" s="154"/>
      <c r="S86" s="155"/>
      <c r="T86" s="155"/>
      <c r="U86" s="156"/>
      <c r="AA86" s="1" t="s">
        <v>134</v>
      </c>
    </row>
    <row r="87" spans="1:27" ht="18" customHeight="1" x14ac:dyDescent="0.15">
      <c r="A87" s="3"/>
      <c r="B87" s="121"/>
      <c r="C87" s="122"/>
      <c r="D87" s="122"/>
      <c r="E87" s="122"/>
      <c r="F87" s="123"/>
      <c r="G87" s="151"/>
      <c r="H87" s="152"/>
      <c r="I87" s="152"/>
      <c r="J87" s="153"/>
      <c r="K87" s="121"/>
      <c r="L87" s="122"/>
      <c r="M87" s="122"/>
      <c r="N87" s="122"/>
      <c r="O87" s="122"/>
      <c r="P87" s="122"/>
      <c r="Q87" s="123"/>
      <c r="R87" s="151"/>
      <c r="S87" s="152"/>
      <c r="T87" s="152"/>
      <c r="U87" s="153"/>
      <c r="AA87" s="1" t="s">
        <v>135</v>
      </c>
    </row>
    <row r="88" spans="1:27" ht="18" customHeight="1" x14ac:dyDescent="0.15">
      <c r="A88" s="3"/>
      <c r="B88" s="6"/>
      <c r="C88" s="6"/>
      <c r="D88" s="6"/>
      <c r="E88" s="6"/>
      <c r="F88" s="6"/>
      <c r="G88" s="61"/>
      <c r="H88" s="61"/>
      <c r="I88" s="61"/>
      <c r="J88" s="61"/>
      <c r="K88" s="6"/>
      <c r="L88" s="6"/>
      <c r="M88" s="6"/>
      <c r="N88" s="6"/>
      <c r="O88" s="6"/>
      <c r="P88" s="6"/>
      <c r="Q88" s="6"/>
      <c r="R88" s="61"/>
      <c r="S88" s="61"/>
      <c r="T88" s="61"/>
      <c r="U88" s="61"/>
      <c r="AA88" s="1" t="s">
        <v>136</v>
      </c>
    </row>
    <row r="89" spans="1:27" ht="18.75" customHeight="1" x14ac:dyDescent="0.15">
      <c r="A89" s="1" t="s">
        <v>101</v>
      </c>
      <c r="AA89" s="1" t="s">
        <v>137</v>
      </c>
    </row>
    <row r="90" spans="1:27" ht="18.75" customHeight="1" x14ac:dyDescent="0.15">
      <c r="B90" s="157" t="s">
        <v>48</v>
      </c>
      <c r="C90" s="158"/>
      <c r="D90" s="99" t="s">
        <v>49</v>
      </c>
      <c r="E90" s="100"/>
      <c r="F90" s="100"/>
      <c r="G90" s="100"/>
      <c r="H90" s="100"/>
      <c r="I90" s="100"/>
      <c r="J90" s="100"/>
      <c r="K90" s="100"/>
      <c r="L90" s="100"/>
      <c r="M90" s="100"/>
      <c r="N90" s="100"/>
      <c r="O90" s="100"/>
      <c r="P90" s="100"/>
      <c r="Q90" s="100"/>
      <c r="R90" s="100"/>
      <c r="S90" s="100"/>
      <c r="T90" s="100"/>
      <c r="U90" s="101"/>
    </row>
    <row r="91" spans="1:27" ht="97.5" customHeight="1" x14ac:dyDescent="0.15">
      <c r="B91" s="134" t="s">
        <v>55</v>
      </c>
      <c r="C91" s="62" t="s">
        <v>50</v>
      </c>
      <c r="D91" s="102" t="s">
        <v>199</v>
      </c>
      <c r="E91" s="103"/>
      <c r="F91" s="103"/>
      <c r="G91" s="103"/>
      <c r="H91" s="103"/>
      <c r="I91" s="103"/>
      <c r="J91" s="103"/>
      <c r="K91" s="103"/>
      <c r="L91" s="103"/>
      <c r="M91" s="103"/>
      <c r="N91" s="103"/>
      <c r="O91" s="103"/>
      <c r="P91" s="103"/>
      <c r="Q91" s="103"/>
      <c r="R91" s="103"/>
      <c r="S91" s="103"/>
      <c r="T91" s="103"/>
      <c r="U91" s="104"/>
    </row>
    <row r="92" spans="1:27" ht="97.5" customHeight="1" x14ac:dyDescent="0.15">
      <c r="B92" s="136"/>
      <c r="C92" s="63" t="s">
        <v>69</v>
      </c>
      <c r="D92" s="105" t="s">
        <v>154</v>
      </c>
      <c r="E92" s="106"/>
      <c r="F92" s="106"/>
      <c r="G92" s="106"/>
      <c r="H92" s="106"/>
      <c r="I92" s="106"/>
      <c r="J92" s="106"/>
      <c r="K92" s="106"/>
      <c r="L92" s="106"/>
      <c r="M92" s="106"/>
      <c r="N92" s="106"/>
      <c r="O92" s="106"/>
      <c r="P92" s="106"/>
      <c r="Q92" s="106"/>
      <c r="R92" s="106"/>
      <c r="S92" s="106"/>
      <c r="T92" s="106"/>
      <c r="U92" s="107"/>
    </row>
    <row r="93" spans="1:27" ht="97.5" customHeight="1" x14ac:dyDescent="0.15">
      <c r="B93" s="134" t="s">
        <v>56</v>
      </c>
      <c r="C93" s="64" t="s">
        <v>63</v>
      </c>
      <c r="D93" s="108" t="s">
        <v>155</v>
      </c>
      <c r="E93" s="109"/>
      <c r="F93" s="109"/>
      <c r="G93" s="109"/>
      <c r="H93" s="109"/>
      <c r="I93" s="109"/>
      <c r="J93" s="109"/>
      <c r="K93" s="109"/>
      <c r="L93" s="109"/>
      <c r="M93" s="109"/>
      <c r="N93" s="109"/>
      <c r="O93" s="109"/>
      <c r="P93" s="109"/>
      <c r="Q93" s="109"/>
      <c r="R93" s="109"/>
      <c r="S93" s="109"/>
      <c r="T93" s="109"/>
      <c r="U93" s="110"/>
    </row>
    <row r="94" spans="1:27" ht="97.5" customHeight="1" x14ac:dyDescent="0.15">
      <c r="B94" s="135"/>
      <c r="C94" s="65" t="s">
        <v>64</v>
      </c>
      <c r="D94" s="111" t="s">
        <v>156</v>
      </c>
      <c r="E94" s="106"/>
      <c r="F94" s="106"/>
      <c r="G94" s="106"/>
      <c r="H94" s="106"/>
      <c r="I94" s="106"/>
      <c r="J94" s="106"/>
      <c r="K94" s="106"/>
      <c r="L94" s="106"/>
      <c r="M94" s="106"/>
      <c r="N94" s="106"/>
      <c r="O94" s="106"/>
      <c r="P94" s="106"/>
      <c r="Q94" s="106"/>
      <c r="R94" s="106"/>
      <c r="S94" s="106"/>
      <c r="T94" s="106"/>
      <c r="U94" s="107"/>
    </row>
    <row r="95" spans="1:27" ht="97.5" customHeight="1" x14ac:dyDescent="0.15">
      <c r="B95" s="134" t="s">
        <v>57</v>
      </c>
      <c r="C95" s="64" t="s">
        <v>65</v>
      </c>
      <c r="D95" s="108" t="s">
        <v>157</v>
      </c>
      <c r="E95" s="109"/>
      <c r="F95" s="109"/>
      <c r="G95" s="109"/>
      <c r="H95" s="109"/>
      <c r="I95" s="109"/>
      <c r="J95" s="109"/>
      <c r="K95" s="109"/>
      <c r="L95" s="109"/>
      <c r="M95" s="109"/>
      <c r="N95" s="109"/>
      <c r="O95" s="109"/>
      <c r="P95" s="109"/>
      <c r="Q95" s="109"/>
      <c r="R95" s="109"/>
      <c r="S95" s="109"/>
      <c r="T95" s="109"/>
      <c r="U95" s="110"/>
    </row>
    <row r="96" spans="1:27" ht="97.5" customHeight="1" x14ac:dyDescent="0.15">
      <c r="B96" s="135"/>
      <c r="C96" s="66" t="s">
        <v>66</v>
      </c>
      <c r="D96" s="111" t="s">
        <v>158</v>
      </c>
      <c r="E96" s="106"/>
      <c r="F96" s="106"/>
      <c r="G96" s="106"/>
      <c r="H96" s="106"/>
      <c r="I96" s="106"/>
      <c r="J96" s="106"/>
      <c r="K96" s="106"/>
      <c r="L96" s="106"/>
      <c r="M96" s="106"/>
      <c r="N96" s="106"/>
      <c r="O96" s="106"/>
      <c r="P96" s="106"/>
      <c r="Q96" s="106"/>
      <c r="R96" s="106"/>
      <c r="S96" s="106"/>
      <c r="T96" s="106"/>
      <c r="U96" s="107"/>
    </row>
    <row r="97" spans="1:21" ht="97.5" customHeight="1" x14ac:dyDescent="0.15">
      <c r="B97" s="134" t="s">
        <v>70</v>
      </c>
      <c r="C97" s="62" t="s">
        <v>52</v>
      </c>
      <c r="D97" s="102" t="s">
        <v>200</v>
      </c>
      <c r="E97" s="103"/>
      <c r="F97" s="103"/>
      <c r="G97" s="103"/>
      <c r="H97" s="103"/>
      <c r="I97" s="103"/>
      <c r="J97" s="103"/>
      <c r="K97" s="103"/>
      <c r="L97" s="103"/>
      <c r="M97" s="103"/>
      <c r="N97" s="103"/>
      <c r="O97" s="103"/>
      <c r="P97" s="103"/>
      <c r="Q97" s="103"/>
      <c r="R97" s="103"/>
      <c r="S97" s="103"/>
      <c r="T97" s="103"/>
      <c r="U97" s="104"/>
    </row>
    <row r="98" spans="1:21" ht="97.5" customHeight="1" x14ac:dyDescent="0.15">
      <c r="B98" s="135"/>
      <c r="C98" s="65" t="s">
        <v>54</v>
      </c>
      <c r="D98" s="128" t="s">
        <v>201</v>
      </c>
      <c r="E98" s="129"/>
      <c r="F98" s="129"/>
      <c r="G98" s="129"/>
      <c r="H98" s="129"/>
      <c r="I98" s="129"/>
      <c r="J98" s="129"/>
      <c r="K98" s="129"/>
      <c r="L98" s="129"/>
      <c r="M98" s="129"/>
      <c r="N98" s="129"/>
      <c r="O98" s="129"/>
      <c r="P98" s="129"/>
      <c r="Q98" s="129"/>
      <c r="R98" s="129"/>
      <c r="S98" s="129"/>
      <c r="T98" s="129"/>
      <c r="U98" s="130"/>
    </row>
    <row r="99" spans="1:21" ht="97.5" customHeight="1" x14ac:dyDescent="0.15">
      <c r="B99" s="134" t="s">
        <v>71</v>
      </c>
      <c r="C99" s="64" t="s">
        <v>51</v>
      </c>
      <c r="D99" s="102" t="s">
        <v>202</v>
      </c>
      <c r="E99" s="103"/>
      <c r="F99" s="103"/>
      <c r="G99" s="103"/>
      <c r="H99" s="103"/>
      <c r="I99" s="103"/>
      <c r="J99" s="103"/>
      <c r="K99" s="103"/>
      <c r="L99" s="103"/>
      <c r="M99" s="103"/>
      <c r="N99" s="103"/>
      <c r="O99" s="103"/>
      <c r="P99" s="103"/>
      <c r="Q99" s="103"/>
      <c r="R99" s="103"/>
      <c r="S99" s="103"/>
      <c r="T99" s="103"/>
      <c r="U99" s="104"/>
    </row>
    <row r="100" spans="1:21" ht="97.5" customHeight="1" x14ac:dyDescent="0.15">
      <c r="B100" s="136"/>
      <c r="C100" s="67" t="s">
        <v>67</v>
      </c>
      <c r="D100" s="131" t="s">
        <v>203</v>
      </c>
      <c r="E100" s="132"/>
      <c r="F100" s="132"/>
      <c r="G100" s="132"/>
      <c r="H100" s="132"/>
      <c r="I100" s="132"/>
      <c r="J100" s="132"/>
      <c r="K100" s="132"/>
      <c r="L100" s="132"/>
      <c r="M100" s="132"/>
      <c r="N100" s="132"/>
      <c r="O100" s="132"/>
      <c r="P100" s="132"/>
      <c r="Q100" s="132"/>
      <c r="R100" s="132"/>
      <c r="S100" s="132"/>
      <c r="T100" s="132"/>
      <c r="U100" s="133"/>
    </row>
    <row r="101" spans="1:21" ht="97.5" customHeight="1" x14ac:dyDescent="0.15">
      <c r="B101" s="135"/>
      <c r="C101" s="66" t="s">
        <v>68</v>
      </c>
      <c r="D101" s="128" t="s">
        <v>204</v>
      </c>
      <c r="E101" s="129"/>
      <c r="F101" s="129"/>
      <c r="G101" s="129"/>
      <c r="H101" s="129"/>
      <c r="I101" s="129"/>
      <c r="J101" s="129"/>
      <c r="K101" s="129"/>
      <c r="L101" s="129"/>
      <c r="M101" s="129"/>
      <c r="N101" s="129"/>
      <c r="O101" s="129"/>
      <c r="P101" s="129"/>
      <c r="Q101" s="129"/>
      <c r="R101" s="129"/>
      <c r="S101" s="129"/>
      <c r="T101" s="129"/>
      <c r="U101" s="130"/>
    </row>
    <row r="102" spans="1:21" ht="6" customHeight="1" x14ac:dyDescent="0.15"/>
    <row r="103" spans="1:21" ht="18.75" customHeight="1" x14ac:dyDescent="0.15">
      <c r="A103" s="1" t="s">
        <v>102</v>
      </c>
    </row>
    <row r="104" spans="1:21" ht="81.75" customHeight="1" x14ac:dyDescent="0.15">
      <c r="B104" s="148" t="s">
        <v>159</v>
      </c>
      <c r="C104" s="149"/>
      <c r="D104" s="149"/>
      <c r="E104" s="149"/>
      <c r="F104" s="149"/>
      <c r="G104" s="149"/>
      <c r="H104" s="149"/>
      <c r="I104" s="149"/>
      <c r="J104" s="149"/>
      <c r="K104" s="149"/>
      <c r="L104" s="149"/>
      <c r="M104" s="149"/>
      <c r="N104" s="149"/>
      <c r="O104" s="149"/>
      <c r="P104" s="149"/>
      <c r="Q104" s="149"/>
      <c r="R104" s="149"/>
      <c r="S104" s="149"/>
      <c r="T104" s="149"/>
      <c r="U104" s="150"/>
    </row>
    <row r="107" spans="1:21" ht="18" customHeight="1" x14ac:dyDescent="0.15"/>
  </sheetData>
  <mergeCells count="144">
    <mergeCell ref="K53:Q53"/>
    <mergeCell ref="K54:Q54"/>
    <mergeCell ref="K77:P77"/>
    <mergeCell ref="A68:U69"/>
    <mergeCell ref="K81:Q81"/>
    <mergeCell ref="B40:F40"/>
    <mergeCell ref="B41:F41"/>
    <mergeCell ref="B42:F42"/>
    <mergeCell ref="B43:F43"/>
    <mergeCell ref="B44:F44"/>
    <mergeCell ref="K49:Q49"/>
    <mergeCell ref="K50:Q50"/>
    <mergeCell ref="K51:Q51"/>
    <mergeCell ref="K52:Q52"/>
    <mergeCell ref="R81:U81"/>
    <mergeCell ref="R80:U80"/>
    <mergeCell ref="B81:F81"/>
    <mergeCell ref="K61:Q61"/>
    <mergeCell ref="B80:F80"/>
    <mergeCell ref="G81:J81"/>
    <mergeCell ref="B62:F62"/>
    <mergeCell ref="B63:F63"/>
    <mergeCell ref="B64:F64"/>
    <mergeCell ref="K48:Q48"/>
    <mergeCell ref="B93:B94"/>
    <mergeCell ref="R84:U84"/>
    <mergeCell ref="G80:J80"/>
    <mergeCell ref="K80:Q80"/>
    <mergeCell ref="B71:E71"/>
    <mergeCell ref="B72:E72"/>
    <mergeCell ref="R83:U83"/>
    <mergeCell ref="K70:P70"/>
    <mergeCell ref="B65:F65"/>
    <mergeCell ref="B66:F66"/>
    <mergeCell ref="B73:E73"/>
    <mergeCell ref="B74:E74"/>
    <mergeCell ref="K73:P73"/>
    <mergeCell ref="B84:F84"/>
    <mergeCell ref="G83:J83"/>
    <mergeCell ref="G84:J84"/>
    <mergeCell ref="K83:Q83"/>
    <mergeCell ref="K84:Q84"/>
    <mergeCell ref="B75:E75"/>
    <mergeCell ref="B76:E76"/>
    <mergeCell ref="B77:E77"/>
    <mergeCell ref="K74:P74"/>
    <mergeCell ref="K75:P75"/>
    <mergeCell ref="K76:P76"/>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D98:U98"/>
    <mergeCell ref="D99:U99"/>
    <mergeCell ref="D100:U100"/>
    <mergeCell ref="D101:U101"/>
    <mergeCell ref="D97:U97"/>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K55:Q55"/>
    <mergeCell ref="B95:B96"/>
    <mergeCell ref="B91:B92"/>
    <mergeCell ref="K71:P71"/>
    <mergeCell ref="K72:P72"/>
    <mergeCell ref="N22:U22"/>
    <mergeCell ref="L7:U7"/>
    <mergeCell ref="D90:U90"/>
    <mergeCell ref="D91:U91"/>
    <mergeCell ref="D92:U92"/>
    <mergeCell ref="D93:U93"/>
    <mergeCell ref="D94:U94"/>
    <mergeCell ref="D95:U95"/>
    <mergeCell ref="D96:U96"/>
    <mergeCell ref="B11:U12"/>
    <mergeCell ref="K62:Q62"/>
    <mergeCell ref="K63:Q63"/>
    <mergeCell ref="K64:Q64"/>
    <mergeCell ref="K65:Q65"/>
    <mergeCell ref="K66:Q66"/>
    <mergeCell ref="B70:E70"/>
    <mergeCell ref="B60:F60"/>
    <mergeCell ref="B61:F61"/>
    <mergeCell ref="K37:Q37"/>
    <mergeCell ref="A57:U58"/>
    <mergeCell ref="K39:Q39"/>
    <mergeCell ref="K40:Q40"/>
    <mergeCell ref="K59:Q59"/>
    <mergeCell ref="K60:Q60"/>
  </mergeCells>
  <phoneticPr fontId="1"/>
  <conditionalFormatting sqref="B11:U12">
    <cfRule type="expression" dxfId="3" priority="1">
      <formula>$L$7="学部・学科によって、修了要件は相違しない"</formula>
    </cfRule>
    <cfRule type="expression" dxfId="2" priority="2">
      <formula>$L$9="学部・学科によって、修了要件は相違しない"</formula>
    </cfRule>
  </conditionalFormatting>
  <dataValidations count="6">
    <dataValidation type="list" allowBlank="1" showInputMessage="1" showErrorMessage="1" sqref="H27:J33 S27:U33 H38:J44 S38:U44 H49:J55 S49:U55 H60:J66 S60:U66 G71:J77 R71:U77" xr:uid="{00000000-0002-0000-0000-000000000000}">
      <formula1>"○"</formula1>
    </dataValidation>
    <dataValidation type="list" allowBlank="1" showInputMessage="1" showErrorMessage="1" sqref="U34 U45 E34:H34 E45:H45" xr:uid="{00000000-0002-0000-0000-000001000000}">
      <formula1>"全学開講,一部開講"</formula1>
    </dataValidation>
    <dataValidation type="list" allowBlank="1" showInputMessage="1" showErrorMessage="1" sqref="L14 L7:U7" xr:uid="{00000000-0002-0000-0000-000002000000}">
      <formula1>"学部・学科によって、修了要件は相違する,学部・学科によって、修了要件は相違しない"</formula1>
    </dataValidation>
    <dataValidation type="list" allowBlank="1" showInputMessage="1" showErrorMessage="1" sqref="G88:J88 R88:U88" xr:uid="{00000000-0002-0000-0000-000003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00000000-0002-0000-0000-000004000000}">
      <formula1>$X$16:$X$18</formula1>
    </dataValidation>
    <dataValidation type="list" allowBlank="1" showInputMessage="1" showErrorMessage="1" sqref="G81:J87 R81:U87" xr:uid="{00000000-0002-0000-0000-000005000000}">
      <formula1>$AA$80:$AA$89</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&amp;C数理・データサイエンス・AI教育プログラム認定制度【リテラシーレベル】令和7年度申請用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B31A8-DDC7-43AF-AACD-6A313804B823}">
  <sheetPr>
    <pageSetUpPr fitToPage="1"/>
  </sheetPr>
  <dimension ref="A1:AA107"/>
  <sheetViews>
    <sheetView showZeros="0" view="pageBreakPreview" zoomScaleNormal="100" zoomScaleSheetLayoutView="100" workbookViewId="0">
      <selection activeCell="Q79" sqref="Q79"/>
    </sheetView>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26" width="9" style="1"/>
    <col min="27" max="27" width="9" style="1" hidden="1" customWidth="1"/>
    <col min="28" max="16384" width="9" style="1"/>
  </cols>
  <sheetData>
    <row r="1" spans="1:24" ht="18.600000000000001" customHeight="1" x14ac:dyDescent="0.15">
      <c r="T1" s="137" t="s">
        <v>146</v>
      </c>
      <c r="U1" s="137"/>
      <c r="V1" s="2" t="s">
        <v>93</v>
      </c>
    </row>
    <row r="2" spans="1:24" ht="18.75" customHeight="1" x14ac:dyDescent="0.15">
      <c r="B2" s="17" t="s">
        <v>92</v>
      </c>
      <c r="C2" s="99" t="s">
        <v>143</v>
      </c>
      <c r="D2" s="100"/>
      <c r="E2" s="100"/>
      <c r="F2" s="100"/>
      <c r="G2" s="100"/>
      <c r="H2" s="100"/>
      <c r="I2" s="100"/>
      <c r="J2" s="101"/>
      <c r="K2" s="18"/>
      <c r="L2" s="6"/>
      <c r="M2" s="6"/>
      <c r="N2" s="6"/>
      <c r="O2" s="6"/>
      <c r="P2" s="6"/>
      <c r="Q2" s="6"/>
      <c r="R2" s="6"/>
      <c r="S2" s="6"/>
      <c r="T2" s="6"/>
      <c r="U2" s="6"/>
    </row>
    <row r="3" spans="1:24" ht="18.75" customHeight="1" x14ac:dyDescent="0.15">
      <c r="B3" s="17" t="s">
        <v>87</v>
      </c>
      <c r="C3" s="96" t="s">
        <v>144</v>
      </c>
      <c r="D3" s="97"/>
      <c r="E3" s="97"/>
      <c r="F3" s="97"/>
      <c r="G3" s="97"/>
      <c r="H3" s="97"/>
      <c r="I3" s="97"/>
      <c r="J3" s="98"/>
      <c r="K3" s="18"/>
      <c r="L3" s="6"/>
      <c r="M3" s="6"/>
      <c r="N3" s="6"/>
      <c r="O3" s="6"/>
      <c r="P3" s="6"/>
      <c r="Q3" s="6"/>
      <c r="R3" s="6"/>
      <c r="S3" s="6"/>
      <c r="T3" s="6"/>
      <c r="U3" s="6"/>
    </row>
    <row r="4" spans="1:24" ht="15" customHeight="1" x14ac:dyDescent="0.15">
      <c r="L4" s="18"/>
      <c r="M4" s="68"/>
      <c r="N4" s="68"/>
      <c r="O4" s="68"/>
      <c r="P4" s="68"/>
      <c r="Q4" s="68"/>
      <c r="R4" s="68"/>
      <c r="S4" s="68"/>
      <c r="T4" s="68"/>
      <c r="U4" s="68"/>
    </row>
    <row r="5" spans="1:24" ht="18" customHeight="1" x14ac:dyDescent="0.15">
      <c r="A5" s="138" t="s">
        <v>141</v>
      </c>
      <c r="B5" s="138"/>
      <c r="C5" s="138"/>
      <c r="D5" s="138"/>
      <c r="E5" s="138"/>
      <c r="F5" s="138"/>
      <c r="G5" s="138"/>
      <c r="H5" s="138"/>
      <c r="I5" s="138"/>
      <c r="J5" s="138"/>
      <c r="K5" s="138"/>
      <c r="L5" s="138"/>
      <c r="M5" s="138"/>
      <c r="N5" s="138"/>
      <c r="O5" s="138"/>
      <c r="P5" s="138"/>
      <c r="Q5" s="138"/>
      <c r="R5" s="138"/>
      <c r="S5" s="138"/>
      <c r="T5" s="138"/>
      <c r="U5" s="138"/>
    </row>
    <row r="6" spans="1:24" ht="15" customHeight="1" x14ac:dyDescent="0.15">
      <c r="B6" s="3"/>
      <c r="C6" s="3"/>
      <c r="D6" s="3"/>
      <c r="E6" s="3"/>
      <c r="F6" s="3"/>
      <c r="G6" s="3"/>
      <c r="H6" s="3"/>
      <c r="I6" s="3"/>
      <c r="J6" s="3"/>
      <c r="K6" s="3"/>
      <c r="L6" s="3"/>
      <c r="M6" s="3"/>
      <c r="N6" s="3"/>
      <c r="O6" s="3"/>
      <c r="P6" s="3"/>
      <c r="Q6" s="3"/>
      <c r="R6" s="3"/>
      <c r="S6" s="3"/>
      <c r="T6" s="3"/>
      <c r="U6" s="3"/>
    </row>
    <row r="7" spans="1:24" ht="15" customHeight="1" x14ac:dyDescent="0.15">
      <c r="A7" s="1" t="s">
        <v>117</v>
      </c>
      <c r="B7" s="3"/>
      <c r="C7" s="3"/>
      <c r="D7" s="3"/>
      <c r="E7" s="3"/>
      <c r="F7" s="2"/>
      <c r="G7" s="2"/>
      <c r="H7" s="2"/>
      <c r="I7" s="2"/>
      <c r="J7" s="2"/>
      <c r="K7" s="2"/>
      <c r="L7" s="96" t="s">
        <v>116</v>
      </c>
      <c r="M7" s="97"/>
      <c r="N7" s="97"/>
      <c r="O7" s="97"/>
      <c r="P7" s="97"/>
      <c r="Q7" s="97"/>
      <c r="R7" s="97"/>
      <c r="S7" s="97"/>
      <c r="T7" s="97"/>
      <c r="U7" s="98"/>
    </row>
    <row r="8" spans="1:24" ht="6" customHeight="1" x14ac:dyDescent="0.15">
      <c r="B8" s="3"/>
      <c r="C8" s="3"/>
      <c r="D8" s="3"/>
      <c r="E8" s="3"/>
      <c r="F8" s="3"/>
      <c r="G8" s="3"/>
      <c r="H8" s="3"/>
      <c r="I8" s="3"/>
      <c r="J8" s="3"/>
      <c r="K8" s="3"/>
      <c r="L8" s="3"/>
      <c r="M8" s="3"/>
      <c r="N8" s="3"/>
      <c r="O8" s="3"/>
      <c r="P8" s="3"/>
      <c r="Q8" s="3"/>
      <c r="R8" s="3"/>
      <c r="S8" s="3"/>
      <c r="T8" s="3"/>
      <c r="U8" s="3"/>
    </row>
    <row r="9" spans="1:24" ht="18" customHeight="1" x14ac:dyDescent="0.15">
      <c r="A9" s="1" t="s">
        <v>118</v>
      </c>
      <c r="C9" s="3"/>
      <c r="D9" s="3"/>
      <c r="K9" s="18"/>
      <c r="L9" s="2"/>
      <c r="M9" s="2"/>
      <c r="N9" s="2"/>
      <c r="O9" s="2"/>
      <c r="P9" s="2"/>
      <c r="Q9" s="2"/>
      <c r="R9" s="2"/>
      <c r="S9" s="2"/>
      <c r="T9" s="2"/>
      <c r="U9" s="2"/>
    </row>
    <row r="10" spans="1:24" ht="6" customHeight="1" x14ac:dyDescent="0.15">
      <c r="B10" s="3"/>
      <c r="C10" s="3"/>
      <c r="D10" s="3"/>
      <c r="E10" s="3"/>
      <c r="F10" s="3"/>
      <c r="G10" s="3"/>
      <c r="H10" s="3"/>
      <c r="I10" s="3"/>
      <c r="J10" s="3"/>
      <c r="K10" s="3"/>
      <c r="L10" s="10"/>
      <c r="M10" s="3"/>
      <c r="N10" s="3"/>
      <c r="O10" s="3"/>
      <c r="P10" s="3"/>
      <c r="Q10" s="3"/>
      <c r="R10" s="3"/>
      <c r="S10" s="3"/>
      <c r="T10" s="3"/>
      <c r="U10" s="3"/>
    </row>
    <row r="11" spans="1:24" ht="18" customHeight="1" x14ac:dyDescent="0.15">
      <c r="B11" s="112" t="s">
        <v>211</v>
      </c>
      <c r="C11" s="113"/>
      <c r="D11" s="113"/>
      <c r="E11" s="113"/>
      <c r="F11" s="113"/>
      <c r="G11" s="113"/>
      <c r="H11" s="113"/>
      <c r="I11" s="113"/>
      <c r="J11" s="113"/>
      <c r="K11" s="113"/>
      <c r="L11" s="113"/>
      <c r="M11" s="113"/>
      <c r="N11" s="113"/>
      <c r="O11" s="113"/>
      <c r="P11" s="113"/>
      <c r="Q11" s="113"/>
      <c r="R11" s="113"/>
      <c r="S11" s="113"/>
      <c r="T11" s="113"/>
      <c r="U11" s="114"/>
    </row>
    <row r="12" spans="1:24" ht="18" customHeight="1" x14ac:dyDescent="0.15">
      <c r="B12" s="115"/>
      <c r="C12" s="116"/>
      <c r="D12" s="116"/>
      <c r="E12" s="116"/>
      <c r="F12" s="116"/>
      <c r="G12" s="116"/>
      <c r="H12" s="116"/>
      <c r="I12" s="116"/>
      <c r="J12" s="116"/>
      <c r="K12" s="116"/>
      <c r="L12" s="116"/>
      <c r="M12" s="116"/>
      <c r="N12" s="116"/>
      <c r="O12" s="116"/>
      <c r="P12" s="116"/>
      <c r="Q12" s="116"/>
      <c r="R12" s="116"/>
      <c r="S12" s="116"/>
      <c r="T12" s="116"/>
      <c r="U12" s="117"/>
    </row>
    <row r="13" spans="1:24" ht="6" customHeight="1" x14ac:dyDescent="0.15">
      <c r="B13" s="3"/>
      <c r="C13" s="3"/>
      <c r="D13" s="3"/>
      <c r="E13" s="3"/>
      <c r="F13" s="3"/>
      <c r="G13" s="3"/>
      <c r="H13" s="3"/>
      <c r="I13" s="3"/>
      <c r="J13" s="3"/>
      <c r="K13" s="3"/>
      <c r="L13" s="10"/>
      <c r="M13" s="3"/>
      <c r="N13" s="3"/>
      <c r="O13" s="3"/>
      <c r="P13" s="3"/>
      <c r="Q13" s="3"/>
      <c r="R13" s="3"/>
      <c r="S13" s="3"/>
      <c r="T13" s="3"/>
      <c r="U13" s="3"/>
    </row>
    <row r="14" spans="1:24" ht="18" customHeight="1" x14ac:dyDescent="0.15">
      <c r="A14" s="1" t="s">
        <v>94</v>
      </c>
      <c r="B14" s="3"/>
      <c r="C14" s="3"/>
      <c r="D14" s="3"/>
      <c r="E14" s="18"/>
      <c r="F14" s="18"/>
      <c r="G14" s="18"/>
      <c r="H14" s="18"/>
      <c r="I14" s="18"/>
      <c r="J14" s="18"/>
      <c r="K14" s="18"/>
      <c r="L14" s="69"/>
      <c r="M14" s="69"/>
      <c r="N14" s="69"/>
      <c r="O14" s="69"/>
      <c r="P14" s="69"/>
      <c r="Q14" s="69"/>
      <c r="R14" s="69"/>
      <c r="S14" s="69"/>
      <c r="T14" s="69"/>
      <c r="U14" s="69"/>
    </row>
    <row r="15" spans="1:24" ht="18" customHeight="1" x14ac:dyDescent="0.15">
      <c r="B15" s="139" t="s">
        <v>212</v>
      </c>
      <c r="C15" s="140"/>
      <c r="D15" s="140"/>
      <c r="E15" s="140"/>
      <c r="F15" s="140"/>
      <c r="G15" s="140"/>
      <c r="H15" s="140"/>
      <c r="I15" s="140"/>
      <c r="J15" s="140"/>
      <c r="K15" s="140"/>
      <c r="L15" s="140"/>
      <c r="M15" s="140"/>
      <c r="N15" s="140"/>
      <c r="O15" s="140"/>
      <c r="P15" s="140"/>
      <c r="Q15" s="140"/>
      <c r="R15" s="140"/>
      <c r="S15" s="140"/>
      <c r="T15" s="140"/>
      <c r="U15" s="141"/>
      <c r="X15" s="1" t="s">
        <v>88</v>
      </c>
    </row>
    <row r="16" spans="1:24" ht="18" customHeight="1" x14ac:dyDescent="0.15">
      <c r="B16" s="142"/>
      <c r="C16" s="143"/>
      <c r="D16" s="143"/>
      <c r="E16" s="143"/>
      <c r="F16" s="143"/>
      <c r="G16" s="143"/>
      <c r="H16" s="143"/>
      <c r="I16" s="143"/>
      <c r="J16" s="143"/>
      <c r="K16" s="143"/>
      <c r="L16" s="143"/>
      <c r="M16" s="143"/>
      <c r="N16" s="143"/>
      <c r="O16" s="143"/>
      <c r="P16" s="143"/>
      <c r="Q16" s="143"/>
      <c r="R16" s="143"/>
      <c r="S16" s="143"/>
      <c r="T16" s="143"/>
      <c r="U16" s="144"/>
      <c r="X16" s="1" t="s">
        <v>122</v>
      </c>
    </row>
    <row r="17" spans="1:24" ht="18" customHeight="1" x14ac:dyDescent="0.15">
      <c r="B17" s="142"/>
      <c r="C17" s="143"/>
      <c r="D17" s="143"/>
      <c r="E17" s="143"/>
      <c r="F17" s="143"/>
      <c r="G17" s="143"/>
      <c r="H17" s="143"/>
      <c r="I17" s="143"/>
      <c r="J17" s="143"/>
      <c r="K17" s="143"/>
      <c r="L17" s="143"/>
      <c r="M17" s="143"/>
      <c r="N17" s="143"/>
      <c r="O17" s="143"/>
      <c r="P17" s="143"/>
      <c r="Q17" s="143"/>
      <c r="R17" s="143"/>
      <c r="S17" s="143"/>
      <c r="T17" s="143"/>
      <c r="U17" s="144"/>
      <c r="X17" s="1" t="s">
        <v>123</v>
      </c>
    </row>
    <row r="18" spans="1:24" ht="18" customHeight="1" x14ac:dyDescent="0.15">
      <c r="B18" s="142"/>
      <c r="C18" s="143"/>
      <c r="D18" s="143"/>
      <c r="E18" s="143"/>
      <c r="F18" s="143"/>
      <c r="G18" s="143"/>
      <c r="H18" s="143"/>
      <c r="I18" s="143"/>
      <c r="J18" s="143"/>
      <c r="K18" s="143"/>
      <c r="L18" s="143"/>
      <c r="M18" s="143"/>
      <c r="N18" s="143"/>
      <c r="O18" s="143"/>
      <c r="P18" s="143"/>
      <c r="Q18" s="143"/>
      <c r="R18" s="143"/>
      <c r="S18" s="143"/>
      <c r="T18" s="143"/>
      <c r="U18" s="144"/>
      <c r="X18" s="1" t="s">
        <v>124</v>
      </c>
    </row>
    <row r="19" spans="1:24" ht="18" customHeight="1" x14ac:dyDescent="0.15">
      <c r="B19" s="142"/>
      <c r="C19" s="143"/>
      <c r="D19" s="143"/>
      <c r="E19" s="143"/>
      <c r="F19" s="143"/>
      <c r="G19" s="143"/>
      <c r="H19" s="143"/>
      <c r="I19" s="143"/>
      <c r="J19" s="143"/>
      <c r="K19" s="143"/>
      <c r="L19" s="143"/>
      <c r="M19" s="143"/>
      <c r="N19" s="143"/>
      <c r="O19" s="143"/>
      <c r="P19" s="143"/>
      <c r="Q19" s="143"/>
      <c r="R19" s="143"/>
      <c r="S19" s="143"/>
      <c r="T19" s="143"/>
      <c r="U19" s="144"/>
    </row>
    <row r="20" spans="1:24" ht="18" customHeight="1" x14ac:dyDescent="0.15">
      <c r="B20" s="145"/>
      <c r="C20" s="146"/>
      <c r="D20" s="146"/>
      <c r="E20" s="146"/>
      <c r="F20" s="146"/>
      <c r="G20" s="146"/>
      <c r="H20" s="146"/>
      <c r="I20" s="146"/>
      <c r="J20" s="146"/>
      <c r="K20" s="146"/>
      <c r="L20" s="146"/>
      <c r="M20" s="146"/>
      <c r="N20" s="146"/>
      <c r="O20" s="146"/>
      <c r="P20" s="146"/>
      <c r="Q20" s="146"/>
      <c r="R20" s="146"/>
      <c r="S20" s="146"/>
      <c r="T20" s="146"/>
      <c r="U20" s="147"/>
    </row>
    <row r="21" spans="1:24" ht="7.5" customHeight="1" x14ac:dyDescent="0.15">
      <c r="B21" s="3"/>
      <c r="C21" s="3"/>
      <c r="D21" s="3"/>
      <c r="E21" s="3"/>
      <c r="F21" s="3"/>
      <c r="G21" s="3"/>
      <c r="H21" s="3"/>
      <c r="I21" s="3"/>
      <c r="J21" s="3"/>
      <c r="K21" s="3"/>
      <c r="L21" s="3"/>
      <c r="M21" s="3"/>
      <c r="N21" s="3"/>
      <c r="O21" s="3"/>
      <c r="P21" s="3"/>
      <c r="Q21" s="3"/>
      <c r="R21" s="3"/>
      <c r="S21" s="3"/>
      <c r="T21" s="3"/>
      <c r="U21" s="3"/>
    </row>
    <row r="22" spans="1:24" ht="19.899999999999999" customHeight="1" x14ac:dyDescent="0.15">
      <c r="B22" s="1" t="s">
        <v>119</v>
      </c>
      <c r="E22" s="70">
        <v>2</v>
      </c>
      <c r="F22" s="1" t="s">
        <v>106</v>
      </c>
      <c r="H22" s="19">
        <v>2</v>
      </c>
      <c r="I22" s="3" t="s">
        <v>107</v>
      </c>
      <c r="J22" s="3"/>
      <c r="K22" s="18"/>
      <c r="M22" s="18" t="s">
        <v>103</v>
      </c>
      <c r="N22" s="93" t="s">
        <v>122</v>
      </c>
      <c r="O22" s="94"/>
      <c r="P22" s="94"/>
      <c r="Q22" s="94"/>
      <c r="R22" s="94"/>
      <c r="S22" s="94"/>
      <c r="T22" s="94"/>
      <c r="U22" s="95"/>
    </row>
    <row r="23" spans="1:24" ht="7.5" customHeight="1" x14ac:dyDescent="0.15">
      <c r="B23" s="3"/>
      <c r="C23" s="3"/>
      <c r="D23" s="3"/>
      <c r="E23" s="3"/>
      <c r="F23" s="3"/>
      <c r="G23" s="3"/>
      <c r="H23" s="3"/>
      <c r="I23" s="3"/>
      <c r="J23" s="3"/>
      <c r="K23" s="3"/>
      <c r="L23" s="3"/>
      <c r="M23" s="3"/>
      <c r="N23" s="3"/>
      <c r="O23" s="3"/>
      <c r="P23" s="3"/>
      <c r="Q23" s="3"/>
      <c r="R23" s="3"/>
      <c r="S23" s="3"/>
      <c r="T23" s="3"/>
      <c r="U23" s="3"/>
    </row>
    <row r="24" spans="1:24" ht="18" customHeight="1" x14ac:dyDescent="0.15">
      <c r="A24" s="127" t="s">
        <v>95</v>
      </c>
      <c r="B24" s="127"/>
      <c r="C24" s="127"/>
      <c r="D24" s="127"/>
      <c r="E24" s="127"/>
      <c r="F24" s="127"/>
      <c r="G24" s="127"/>
      <c r="H24" s="127"/>
      <c r="I24" s="127"/>
      <c r="J24" s="127"/>
      <c r="K24" s="127"/>
      <c r="L24" s="127"/>
      <c r="M24" s="127"/>
      <c r="N24" s="127"/>
      <c r="O24" s="127"/>
      <c r="P24" s="127"/>
      <c r="Q24" s="127"/>
      <c r="R24" s="127"/>
      <c r="S24" s="127"/>
      <c r="T24" s="127"/>
      <c r="U24" s="127"/>
    </row>
    <row r="25" spans="1:24" ht="18" customHeight="1" x14ac:dyDescent="0.15">
      <c r="A25" s="127"/>
      <c r="B25" s="127"/>
      <c r="C25" s="127"/>
      <c r="D25" s="127"/>
      <c r="E25" s="127"/>
      <c r="F25" s="127"/>
      <c r="G25" s="127"/>
      <c r="H25" s="127"/>
      <c r="I25" s="127"/>
      <c r="J25" s="127"/>
      <c r="K25" s="127"/>
      <c r="L25" s="127"/>
      <c r="M25" s="127"/>
      <c r="N25" s="127"/>
      <c r="O25" s="127"/>
      <c r="P25" s="127"/>
      <c r="Q25" s="127"/>
      <c r="R25" s="127"/>
      <c r="S25" s="127"/>
      <c r="T25" s="127"/>
      <c r="U25" s="127"/>
    </row>
    <row r="26" spans="1:24" ht="18" customHeight="1" x14ac:dyDescent="0.15">
      <c r="B26" s="99" t="s">
        <v>47</v>
      </c>
      <c r="C26" s="100"/>
      <c r="D26" s="100"/>
      <c r="E26" s="100"/>
      <c r="F26" s="101"/>
      <c r="G26" s="54" t="s">
        <v>72</v>
      </c>
      <c r="H26" s="55" t="s">
        <v>75</v>
      </c>
      <c r="I26" s="56" t="s">
        <v>50</v>
      </c>
      <c r="J26" s="56" t="s">
        <v>53</v>
      </c>
      <c r="K26" s="99" t="s">
        <v>47</v>
      </c>
      <c r="L26" s="100"/>
      <c r="M26" s="100"/>
      <c r="N26" s="100"/>
      <c r="O26" s="100"/>
      <c r="P26" s="100"/>
      <c r="Q26" s="101"/>
      <c r="R26" s="54" t="s">
        <v>72</v>
      </c>
      <c r="S26" s="55" t="s">
        <v>75</v>
      </c>
      <c r="T26" s="56" t="s">
        <v>50</v>
      </c>
      <c r="U26" s="56" t="s">
        <v>53</v>
      </c>
    </row>
    <row r="27" spans="1:24" ht="18" customHeight="1" x14ac:dyDescent="0.15">
      <c r="B27" s="124" t="s">
        <v>160</v>
      </c>
      <c r="C27" s="125"/>
      <c r="D27" s="125"/>
      <c r="E27" s="125"/>
      <c r="F27" s="126"/>
      <c r="G27" s="57">
        <v>0.5</v>
      </c>
      <c r="H27" s="57" t="s">
        <v>150</v>
      </c>
      <c r="I27" s="57" t="s">
        <v>150</v>
      </c>
      <c r="J27" s="57" t="s">
        <v>150</v>
      </c>
      <c r="K27" s="124"/>
      <c r="L27" s="125"/>
      <c r="M27" s="125"/>
      <c r="N27" s="125"/>
      <c r="O27" s="125"/>
      <c r="P27" s="125"/>
      <c r="Q27" s="126"/>
      <c r="R27" s="57"/>
      <c r="S27" s="57"/>
      <c r="T27" s="57"/>
      <c r="U27" s="57"/>
    </row>
    <row r="28" spans="1:24" ht="18" customHeight="1" x14ac:dyDescent="0.15">
      <c r="B28" s="118" t="s">
        <v>161</v>
      </c>
      <c r="C28" s="119"/>
      <c r="D28" s="119"/>
      <c r="E28" s="119"/>
      <c r="F28" s="120"/>
      <c r="G28" s="58">
        <v>1.5</v>
      </c>
      <c r="H28" s="58" t="s">
        <v>150</v>
      </c>
      <c r="I28" s="58"/>
      <c r="J28" s="58" t="s">
        <v>150</v>
      </c>
      <c r="K28" s="118"/>
      <c r="L28" s="119"/>
      <c r="M28" s="119"/>
      <c r="N28" s="119"/>
      <c r="O28" s="119"/>
      <c r="P28" s="119"/>
      <c r="Q28" s="120"/>
      <c r="R28" s="58"/>
      <c r="S28" s="58"/>
      <c r="T28" s="58"/>
      <c r="U28" s="58"/>
    </row>
    <row r="29" spans="1:24" ht="18" customHeight="1" x14ac:dyDescent="0.15">
      <c r="B29" s="124" t="s">
        <v>163</v>
      </c>
      <c r="C29" s="125"/>
      <c r="D29" s="125"/>
      <c r="E29" s="125"/>
      <c r="F29" s="126"/>
      <c r="G29" s="57">
        <v>1</v>
      </c>
      <c r="H29" s="57" t="s">
        <v>150</v>
      </c>
      <c r="I29" s="57" t="s">
        <v>150</v>
      </c>
      <c r="J29" s="57" t="s">
        <v>150</v>
      </c>
      <c r="K29" s="118"/>
      <c r="L29" s="119"/>
      <c r="M29" s="119"/>
      <c r="N29" s="119"/>
      <c r="O29" s="119"/>
      <c r="P29" s="119"/>
      <c r="Q29" s="120"/>
      <c r="R29" s="58"/>
      <c r="S29" s="58"/>
      <c r="T29" s="58"/>
      <c r="U29" s="58"/>
    </row>
    <row r="30" spans="1:24" ht="18" customHeight="1" x14ac:dyDescent="0.15">
      <c r="B30" s="124" t="s">
        <v>166</v>
      </c>
      <c r="C30" s="125"/>
      <c r="D30" s="125"/>
      <c r="E30" s="125"/>
      <c r="F30" s="126"/>
      <c r="G30" s="57">
        <v>2</v>
      </c>
      <c r="H30" s="57" t="s">
        <v>150</v>
      </c>
      <c r="I30" s="57" t="s">
        <v>150</v>
      </c>
      <c r="J30" s="57"/>
      <c r="K30" s="118"/>
      <c r="L30" s="119"/>
      <c r="M30" s="119"/>
      <c r="N30" s="119"/>
      <c r="O30" s="119"/>
      <c r="P30" s="119"/>
      <c r="Q30" s="120"/>
      <c r="R30" s="58"/>
      <c r="S30" s="58"/>
      <c r="T30" s="58"/>
      <c r="U30" s="58"/>
    </row>
    <row r="31" spans="1:24" ht="18" customHeight="1" x14ac:dyDescent="0.15">
      <c r="B31" s="118" t="s">
        <v>167</v>
      </c>
      <c r="C31" s="119"/>
      <c r="D31" s="119"/>
      <c r="E31" s="119"/>
      <c r="F31" s="120"/>
      <c r="G31" s="58">
        <v>2</v>
      </c>
      <c r="H31" s="58" t="s">
        <v>150</v>
      </c>
      <c r="I31" s="58" t="s">
        <v>150</v>
      </c>
      <c r="J31" s="58" t="s">
        <v>150</v>
      </c>
      <c r="K31" s="118"/>
      <c r="L31" s="119"/>
      <c r="M31" s="119"/>
      <c r="N31" s="119"/>
      <c r="O31" s="119"/>
      <c r="P31" s="119"/>
      <c r="Q31" s="120"/>
      <c r="R31" s="58"/>
      <c r="S31" s="58"/>
      <c r="T31" s="58"/>
      <c r="U31" s="58"/>
    </row>
    <row r="32" spans="1:24" ht="18" customHeight="1" x14ac:dyDescent="0.15">
      <c r="A32" s="3"/>
      <c r="B32" s="118" t="s">
        <v>168</v>
      </c>
      <c r="C32" s="119"/>
      <c r="D32" s="119"/>
      <c r="E32" s="119"/>
      <c r="F32" s="120"/>
      <c r="G32" s="58">
        <v>1</v>
      </c>
      <c r="H32" s="58" t="s">
        <v>150</v>
      </c>
      <c r="I32" s="58" t="s">
        <v>150</v>
      </c>
      <c r="J32" s="58" t="s">
        <v>150</v>
      </c>
      <c r="K32" s="118"/>
      <c r="L32" s="119"/>
      <c r="M32" s="119"/>
      <c r="N32" s="119"/>
      <c r="O32" s="119"/>
      <c r="P32" s="119"/>
      <c r="Q32" s="120"/>
      <c r="R32" s="58"/>
      <c r="S32" s="58"/>
      <c r="T32" s="58"/>
      <c r="U32" s="58"/>
    </row>
    <row r="33" spans="1:21" ht="18" customHeight="1" x14ac:dyDescent="0.15">
      <c r="A33" s="3"/>
      <c r="B33" s="121"/>
      <c r="C33" s="122"/>
      <c r="D33" s="122"/>
      <c r="E33" s="122"/>
      <c r="F33" s="123"/>
      <c r="G33" s="59"/>
      <c r="H33" s="59"/>
      <c r="I33" s="60"/>
      <c r="J33" s="60"/>
      <c r="K33" s="121"/>
      <c r="L33" s="122"/>
      <c r="M33" s="122"/>
      <c r="N33" s="122"/>
      <c r="O33" s="122"/>
      <c r="P33" s="122"/>
      <c r="Q33" s="123"/>
      <c r="R33" s="59"/>
      <c r="S33" s="59"/>
      <c r="T33" s="60"/>
      <c r="U33" s="60"/>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127" t="s">
        <v>96</v>
      </c>
      <c r="B35" s="127"/>
      <c r="C35" s="127"/>
      <c r="D35" s="127"/>
      <c r="E35" s="127"/>
      <c r="F35" s="127"/>
      <c r="G35" s="127"/>
      <c r="H35" s="127"/>
      <c r="I35" s="127"/>
      <c r="J35" s="127"/>
      <c r="K35" s="127"/>
      <c r="L35" s="127"/>
      <c r="M35" s="127"/>
      <c r="N35" s="127"/>
      <c r="O35" s="127"/>
      <c r="P35" s="127"/>
      <c r="Q35" s="127"/>
      <c r="R35" s="127"/>
      <c r="S35" s="127"/>
      <c r="T35" s="127"/>
      <c r="U35" s="127"/>
    </row>
    <row r="36" spans="1:21" ht="18" customHeight="1" x14ac:dyDescent="0.15">
      <c r="A36" s="127"/>
      <c r="B36" s="127"/>
      <c r="C36" s="127"/>
      <c r="D36" s="127"/>
      <c r="E36" s="127"/>
      <c r="F36" s="127"/>
      <c r="G36" s="127"/>
      <c r="H36" s="127"/>
      <c r="I36" s="127"/>
      <c r="J36" s="127"/>
      <c r="K36" s="127"/>
      <c r="L36" s="127"/>
      <c r="M36" s="127"/>
      <c r="N36" s="127"/>
      <c r="O36" s="127"/>
      <c r="P36" s="127"/>
      <c r="Q36" s="127"/>
      <c r="R36" s="127"/>
      <c r="S36" s="127"/>
      <c r="T36" s="127"/>
      <c r="U36" s="127"/>
    </row>
    <row r="37" spans="1:21" ht="18" customHeight="1" x14ac:dyDescent="0.15">
      <c r="B37" s="99" t="s">
        <v>47</v>
      </c>
      <c r="C37" s="100"/>
      <c r="D37" s="100"/>
      <c r="E37" s="100"/>
      <c r="F37" s="101"/>
      <c r="G37" s="54" t="s">
        <v>72</v>
      </c>
      <c r="H37" s="55" t="s">
        <v>75</v>
      </c>
      <c r="I37" s="56" t="s">
        <v>63</v>
      </c>
      <c r="J37" s="56" t="s">
        <v>64</v>
      </c>
      <c r="K37" s="99" t="s">
        <v>47</v>
      </c>
      <c r="L37" s="100"/>
      <c r="M37" s="100"/>
      <c r="N37" s="100"/>
      <c r="O37" s="100"/>
      <c r="P37" s="100"/>
      <c r="Q37" s="101"/>
      <c r="R37" s="54" t="s">
        <v>72</v>
      </c>
      <c r="S37" s="55" t="s">
        <v>75</v>
      </c>
      <c r="T37" s="56" t="s">
        <v>63</v>
      </c>
      <c r="U37" s="56" t="s">
        <v>64</v>
      </c>
    </row>
    <row r="38" spans="1:21" ht="18" customHeight="1" x14ac:dyDescent="0.15">
      <c r="B38" s="124" t="s">
        <v>160</v>
      </c>
      <c r="C38" s="125"/>
      <c r="D38" s="125"/>
      <c r="E38" s="125"/>
      <c r="F38" s="126"/>
      <c r="G38" s="57">
        <v>0.5</v>
      </c>
      <c r="H38" s="57" t="s">
        <v>150</v>
      </c>
      <c r="I38" s="57" t="s">
        <v>150</v>
      </c>
      <c r="J38" s="57" t="s">
        <v>150</v>
      </c>
      <c r="K38" s="124"/>
      <c r="L38" s="125"/>
      <c r="M38" s="125"/>
      <c r="N38" s="125"/>
      <c r="O38" s="125"/>
      <c r="P38" s="125"/>
      <c r="Q38" s="126"/>
      <c r="R38" s="57"/>
      <c r="S38" s="57"/>
      <c r="T38" s="57"/>
      <c r="U38" s="57"/>
    </row>
    <row r="39" spans="1:21" ht="18" customHeight="1" x14ac:dyDescent="0.15">
      <c r="B39" s="118" t="s">
        <v>161</v>
      </c>
      <c r="C39" s="119"/>
      <c r="D39" s="119"/>
      <c r="E39" s="119"/>
      <c r="F39" s="120"/>
      <c r="G39" s="58">
        <v>1.5</v>
      </c>
      <c r="H39" s="58" t="s">
        <v>150</v>
      </c>
      <c r="I39" s="58" t="s">
        <v>150</v>
      </c>
      <c r="J39" s="58"/>
      <c r="K39" s="118"/>
      <c r="L39" s="119"/>
      <c r="M39" s="119"/>
      <c r="N39" s="119"/>
      <c r="O39" s="119"/>
      <c r="P39" s="119"/>
      <c r="Q39" s="120"/>
      <c r="R39" s="58"/>
      <c r="S39" s="58"/>
      <c r="T39" s="58"/>
      <c r="U39" s="58"/>
    </row>
    <row r="40" spans="1:21" ht="18" customHeight="1" x14ac:dyDescent="0.15">
      <c r="B40" s="118" t="s">
        <v>162</v>
      </c>
      <c r="C40" s="119"/>
      <c r="D40" s="119"/>
      <c r="E40" s="119"/>
      <c r="F40" s="120"/>
      <c r="G40" s="58">
        <v>1.5</v>
      </c>
      <c r="H40" s="58" t="s">
        <v>150</v>
      </c>
      <c r="I40" s="58" t="s">
        <v>150</v>
      </c>
      <c r="J40" s="58"/>
      <c r="K40" s="118"/>
      <c r="L40" s="119"/>
      <c r="M40" s="119"/>
      <c r="N40" s="119"/>
      <c r="O40" s="119"/>
      <c r="P40" s="119"/>
      <c r="Q40" s="120"/>
      <c r="R40" s="58"/>
      <c r="S40" s="58"/>
      <c r="T40" s="58"/>
      <c r="U40" s="58"/>
    </row>
    <row r="41" spans="1:21" ht="18" customHeight="1" x14ac:dyDescent="0.15">
      <c r="B41" s="124" t="s">
        <v>163</v>
      </c>
      <c r="C41" s="125"/>
      <c r="D41" s="125"/>
      <c r="E41" s="125"/>
      <c r="F41" s="126"/>
      <c r="G41" s="57">
        <v>1</v>
      </c>
      <c r="H41" s="57" t="s">
        <v>150</v>
      </c>
      <c r="I41" s="57" t="s">
        <v>150</v>
      </c>
      <c r="J41" s="57" t="s">
        <v>150</v>
      </c>
      <c r="K41" s="118"/>
      <c r="L41" s="119"/>
      <c r="M41" s="119"/>
      <c r="N41" s="119"/>
      <c r="O41" s="119"/>
      <c r="P41" s="119"/>
      <c r="Q41" s="120"/>
      <c r="R41" s="58"/>
      <c r="S41" s="58"/>
      <c r="T41" s="58"/>
      <c r="U41" s="58"/>
    </row>
    <row r="42" spans="1:21" ht="18" customHeight="1" x14ac:dyDescent="0.15">
      <c r="B42" s="124" t="s">
        <v>166</v>
      </c>
      <c r="C42" s="125"/>
      <c r="D42" s="125"/>
      <c r="E42" s="125"/>
      <c r="F42" s="126"/>
      <c r="G42" s="57">
        <v>2</v>
      </c>
      <c r="H42" s="57" t="s">
        <v>150</v>
      </c>
      <c r="I42" s="57" t="s">
        <v>150</v>
      </c>
      <c r="J42" s="57" t="s">
        <v>150</v>
      </c>
      <c r="K42" s="118"/>
      <c r="L42" s="119"/>
      <c r="M42" s="119"/>
      <c r="N42" s="119"/>
      <c r="O42" s="119"/>
      <c r="P42" s="119"/>
      <c r="Q42" s="120"/>
      <c r="R42" s="58"/>
      <c r="S42" s="58"/>
      <c r="T42" s="58"/>
      <c r="U42" s="58"/>
    </row>
    <row r="43" spans="1:21" ht="18" customHeight="1" x14ac:dyDescent="0.15">
      <c r="B43" s="118" t="s">
        <v>167</v>
      </c>
      <c r="C43" s="119"/>
      <c r="D43" s="119"/>
      <c r="E43" s="119"/>
      <c r="F43" s="120"/>
      <c r="G43" s="58">
        <v>2</v>
      </c>
      <c r="H43" s="58" t="s">
        <v>150</v>
      </c>
      <c r="I43" s="58" t="s">
        <v>150</v>
      </c>
      <c r="J43" s="58" t="s">
        <v>150</v>
      </c>
      <c r="K43" s="118"/>
      <c r="L43" s="119"/>
      <c r="M43" s="119"/>
      <c r="N43" s="119"/>
      <c r="O43" s="119"/>
      <c r="P43" s="119"/>
      <c r="Q43" s="120"/>
      <c r="R43" s="58"/>
      <c r="S43" s="58"/>
      <c r="T43" s="58"/>
      <c r="U43" s="58"/>
    </row>
    <row r="44" spans="1:21" ht="18" customHeight="1" x14ac:dyDescent="0.15">
      <c r="B44" s="121" t="s">
        <v>168</v>
      </c>
      <c r="C44" s="122"/>
      <c r="D44" s="122"/>
      <c r="E44" s="122"/>
      <c r="F44" s="123"/>
      <c r="G44" s="60">
        <v>1</v>
      </c>
      <c r="H44" s="60" t="s">
        <v>150</v>
      </c>
      <c r="I44" s="60" t="s">
        <v>150</v>
      </c>
      <c r="J44" s="60" t="s">
        <v>150</v>
      </c>
      <c r="K44" s="121"/>
      <c r="L44" s="122"/>
      <c r="M44" s="122"/>
      <c r="N44" s="122"/>
      <c r="O44" s="122"/>
      <c r="P44" s="122"/>
      <c r="Q44" s="123"/>
      <c r="R44" s="59"/>
      <c r="S44" s="59"/>
      <c r="T44" s="60"/>
      <c r="U44" s="60"/>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127" t="s">
        <v>97</v>
      </c>
      <c r="B46" s="127"/>
      <c r="C46" s="127"/>
      <c r="D46" s="127"/>
      <c r="E46" s="127"/>
      <c r="F46" s="127"/>
      <c r="G46" s="127"/>
      <c r="H46" s="127"/>
      <c r="I46" s="127"/>
      <c r="J46" s="127"/>
      <c r="K46" s="127"/>
      <c r="L46" s="127"/>
      <c r="M46" s="127"/>
      <c r="N46" s="127"/>
      <c r="O46" s="127"/>
      <c r="P46" s="127"/>
      <c r="Q46" s="127"/>
      <c r="R46" s="127"/>
      <c r="S46" s="127"/>
      <c r="T46" s="127"/>
      <c r="U46" s="127"/>
    </row>
    <row r="47" spans="1:21" ht="18" customHeight="1" x14ac:dyDescent="0.15">
      <c r="A47" s="127"/>
      <c r="B47" s="127"/>
      <c r="C47" s="127"/>
      <c r="D47" s="127"/>
      <c r="E47" s="127"/>
      <c r="F47" s="127"/>
      <c r="G47" s="127"/>
      <c r="H47" s="127"/>
      <c r="I47" s="127"/>
      <c r="J47" s="127"/>
      <c r="K47" s="127"/>
      <c r="L47" s="127"/>
      <c r="M47" s="127"/>
      <c r="N47" s="127"/>
      <c r="O47" s="127"/>
      <c r="P47" s="127"/>
      <c r="Q47" s="127"/>
      <c r="R47" s="127"/>
      <c r="S47" s="127"/>
      <c r="T47" s="127"/>
      <c r="U47" s="127"/>
    </row>
    <row r="48" spans="1:21" ht="18" customHeight="1" x14ac:dyDescent="0.15">
      <c r="B48" s="99" t="s">
        <v>47</v>
      </c>
      <c r="C48" s="100"/>
      <c r="D48" s="100"/>
      <c r="E48" s="100"/>
      <c r="F48" s="101"/>
      <c r="G48" s="54" t="s">
        <v>72</v>
      </c>
      <c r="H48" s="55" t="s">
        <v>75</v>
      </c>
      <c r="I48" s="56" t="s">
        <v>65</v>
      </c>
      <c r="J48" s="56" t="s">
        <v>66</v>
      </c>
      <c r="K48" s="99" t="s">
        <v>47</v>
      </c>
      <c r="L48" s="100"/>
      <c r="M48" s="100"/>
      <c r="N48" s="100"/>
      <c r="O48" s="100"/>
      <c r="P48" s="100"/>
      <c r="Q48" s="101"/>
      <c r="R48" s="54" t="s">
        <v>72</v>
      </c>
      <c r="S48" s="55" t="s">
        <v>75</v>
      </c>
      <c r="T48" s="56" t="s">
        <v>65</v>
      </c>
      <c r="U48" s="56" t="s">
        <v>66</v>
      </c>
    </row>
    <row r="49" spans="1:21" ht="18" customHeight="1" x14ac:dyDescent="0.15">
      <c r="A49" s="3"/>
      <c r="B49" s="124" t="s">
        <v>160</v>
      </c>
      <c r="C49" s="125"/>
      <c r="D49" s="125"/>
      <c r="E49" s="125"/>
      <c r="F49" s="126"/>
      <c r="G49" s="57">
        <v>0.5</v>
      </c>
      <c r="H49" s="57" t="s">
        <v>150</v>
      </c>
      <c r="I49" s="57" t="s">
        <v>150</v>
      </c>
      <c r="J49" s="57" t="s">
        <v>150</v>
      </c>
      <c r="K49" s="124"/>
      <c r="L49" s="125"/>
      <c r="M49" s="125"/>
      <c r="N49" s="125"/>
      <c r="O49" s="125"/>
      <c r="P49" s="125"/>
      <c r="Q49" s="126"/>
      <c r="R49" s="57"/>
      <c r="S49" s="57"/>
      <c r="T49" s="57"/>
      <c r="U49" s="57"/>
    </row>
    <row r="50" spans="1:21" ht="18" customHeight="1" x14ac:dyDescent="0.15">
      <c r="A50" s="3"/>
      <c r="B50" s="118" t="s">
        <v>161</v>
      </c>
      <c r="C50" s="119"/>
      <c r="D50" s="119"/>
      <c r="E50" s="119"/>
      <c r="F50" s="120"/>
      <c r="G50" s="58">
        <v>1.5</v>
      </c>
      <c r="H50" s="58" t="s">
        <v>150</v>
      </c>
      <c r="I50" s="58"/>
      <c r="J50" s="58" t="s">
        <v>150</v>
      </c>
      <c r="K50" s="118"/>
      <c r="L50" s="119"/>
      <c r="M50" s="119"/>
      <c r="N50" s="119"/>
      <c r="O50" s="119"/>
      <c r="P50" s="119"/>
      <c r="Q50" s="120"/>
      <c r="R50" s="58"/>
      <c r="S50" s="58"/>
      <c r="T50" s="58"/>
      <c r="U50" s="58"/>
    </row>
    <row r="51" spans="1:21" ht="18" customHeight="1" x14ac:dyDescent="0.15">
      <c r="A51" s="3"/>
      <c r="B51" s="118" t="s">
        <v>162</v>
      </c>
      <c r="C51" s="119"/>
      <c r="D51" s="119"/>
      <c r="E51" s="119"/>
      <c r="F51" s="120"/>
      <c r="G51" s="58">
        <v>1.5</v>
      </c>
      <c r="H51" s="58" t="s">
        <v>150</v>
      </c>
      <c r="I51" s="58" t="s">
        <v>150</v>
      </c>
      <c r="J51" s="58" t="s">
        <v>150</v>
      </c>
      <c r="K51" s="118"/>
      <c r="L51" s="119"/>
      <c r="M51" s="119"/>
      <c r="N51" s="119"/>
      <c r="O51" s="119"/>
      <c r="P51" s="119"/>
      <c r="Q51" s="120"/>
      <c r="R51" s="58"/>
      <c r="S51" s="58"/>
      <c r="T51" s="58"/>
      <c r="U51" s="58"/>
    </row>
    <row r="52" spans="1:21" ht="18" customHeight="1" x14ac:dyDescent="0.15">
      <c r="A52" s="3"/>
      <c r="B52" s="124" t="s">
        <v>163</v>
      </c>
      <c r="C52" s="125"/>
      <c r="D52" s="125"/>
      <c r="E52" s="125"/>
      <c r="F52" s="126"/>
      <c r="G52" s="57">
        <v>1</v>
      </c>
      <c r="H52" s="57" t="s">
        <v>150</v>
      </c>
      <c r="I52" s="57" t="s">
        <v>150</v>
      </c>
      <c r="J52" s="57" t="s">
        <v>150</v>
      </c>
      <c r="K52" s="118"/>
      <c r="L52" s="119"/>
      <c r="M52" s="119"/>
      <c r="N52" s="119"/>
      <c r="O52" s="119"/>
      <c r="P52" s="119"/>
      <c r="Q52" s="120"/>
      <c r="R52" s="58"/>
      <c r="S52" s="58"/>
      <c r="T52" s="58"/>
      <c r="U52" s="58"/>
    </row>
    <row r="53" spans="1:21" ht="18" customHeight="1" x14ac:dyDescent="0.15">
      <c r="A53" s="3"/>
      <c r="B53" s="124" t="s">
        <v>166</v>
      </c>
      <c r="C53" s="125"/>
      <c r="D53" s="125"/>
      <c r="E53" s="125"/>
      <c r="F53" s="126"/>
      <c r="G53" s="57">
        <v>2</v>
      </c>
      <c r="H53" s="57" t="s">
        <v>150</v>
      </c>
      <c r="I53" s="57" t="s">
        <v>150</v>
      </c>
      <c r="J53" s="57" t="s">
        <v>150</v>
      </c>
      <c r="K53" s="118"/>
      <c r="L53" s="119"/>
      <c r="M53" s="119"/>
      <c r="N53" s="119"/>
      <c r="O53" s="119"/>
      <c r="P53" s="119"/>
      <c r="Q53" s="120"/>
      <c r="R53" s="58"/>
      <c r="S53" s="58"/>
      <c r="T53" s="58"/>
      <c r="U53" s="58"/>
    </row>
    <row r="54" spans="1:21" ht="18" customHeight="1" x14ac:dyDescent="0.15">
      <c r="A54" s="3"/>
      <c r="B54" s="118" t="s">
        <v>167</v>
      </c>
      <c r="C54" s="119"/>
      <c r="D54" s="119"/>
      <c r="E54" s="119"/>
      <c r="F54" s="120"/>
      <c r="G54" s="58">
        <v>2</v>
      </c>
      <c r="H54" s="58" t="s">
        <v>150</v>
      </c>
      <c r="I54" s="58" t="s">
        <v>150</v>
      </c>
      <c r="J54" s="58" t="s">
        <v>150</v>
      </c>
      <c r="K54" s="118"/>
      <c r="L54" s="119"/>
      <c r="M54" s="119"/>
      <c r="N54" s="119"/>
      <c r="O54" s="119"/>
      <c r="P54" s="119"/>
      <c r="Q54" s="120"/>
      <c r="R54" s="58"/>
      <c r="S54" s="58"/>
      <c r="T54" s="58"/>
      <c r="U54" s="58"/>
    </row>
    <row r="55" spans="1:21" ht="18" customHeight="1" x14ac:dyDescent="0.15">
      <c r="A55" s="3"/>
      <c r="B55" s="121" t="s">
        <v>168</v>
      </c>
      <c r="C55" s="122"/>
      <c r="D55" s="122"/>
      <c r="E55" s="122"/>
      <c r="F55" s="123"/>
      <c r="G55" s="60">
        <v>1</v>
      </c>
      <c r="H55" s="60" t="s">
        <v>150</v>
      </c>
      <c r="I55" s="60" t="s">
        <v>150</v>
      </c>
      <c r="J55" s="60" t="s">
        <v>150</v>
      </c>
      <c r="K55" s="121"/>
      <c r="L55" s="122"/>
      <c r="M55" s="122"/>
      <c r="N55" s="122"/>
      <c r="O55" s="122"/>
      <c r="P55" s="122"/>
      <c r="Q55" s="123"/>
      <c r="R55" s="59"/>
      <c r="S55" s="59"/>
      <c r="T55" s="60"/>
      <c r="U55" s="60"/>
    </row>
    <row r="56" spans="1:21" ht="7.5" customHeight="1" x14ac:dyDescent="0.15">
      <c r="B56" s="14"/>
      <c r="C56" s="14"/>
      <c r="D56" s="14"/>
      <c r="E56" s="14"/>
      <c r="F56" s="14"/>
      <c r="G56" s="14"/>
      <c r="H56" s="14"/>
      <c r="I56" s="14"/>
      <c r="J56" s="14"/>
      <c r="K56" s="14"/>
      <c r="L56" s="14"/>
      <c r="M56" s="14"/>
      <c r="N56" s="14"/>
      <c r="O56" s="14"/>
      <c r="P56" s="14"/>
      <c r="Q56" s="14"/>
      <c r="R56" s="14"/>
      <c r="S56" s="14"/>
      <c r="T56" s="14"/>
    </row>
    <row r="57" spans="1:21" ht="18" customHeight="1" x14ac:dyDescent="0.15">
      <c r="A57" s="127" t="s">
        <v>98</v>
      </c>
      <c r="B57" s="127"/>
      <c r="C57" s="127"/>
      <c r="D57" s="127"/>
      <c r="E57" s="127"/>
      <c r="F57" s="127"/>
      <c r="G57" s="127"/>
      <c r="H57" s="127"/>
      <c r="I57" s="127"/>
      <c r="J57" s="127"/>
      <c r="K57" s="127"/>
      <c r="L57" s="127"/>
      <c r="M57" s="127"/>
      <c r="N57" s="127"/>
      <c r="O57" s="127"/>
      <c r="P57" s="127"/>
      <c r="Q57" s="127"/>
      <c r="R57" s="127"/>
      <c r="S57" s="127"/>
      <c r="T57" s="127"/>
      <c r="U57" s="127"/>
    </row>
    <row r="58" spans="1:21" ht="18" customHeight="1" x14ac:dyDescent="0.15">
      <c r="A58" s="127"/>
      <c r="B58" s="127"/>
      <c r="C58" s="127"/>
      <c r="D58" s="127"/>
      <c r="E58" s="127"/>
      <c r="F58" s="127"/>
      <c r="G58" s="127"/>
      <c r="H58" s="127"/>
      <c r="I58" s="127"/>
      <c r="J58" s="127"/>
      <c r="K58" s="127"/>
      <c r="L58" s="127"/>
      <c r="M58" s="127"/>
      <c r="N58" s="127"/>
      <c r="O58" s="127"/>
      <c r="P58" s="127"/>
      <c r="Q58" s="127"/>
      <c r="R58" s="127"/>
      <c r="S58" s="127"/>
      <c r="T58" s="127"/>
      <c r="U58" s="127"/>
    </row>
    <row r="59" spans="1:21" ht="18" customHeight="1" x14ac:dyDescent="0.15">
      <c r="B59" s="99" t="s">
        <v>47</v>
      </c>
      <c r="C59" s="100"/>
      <c r="D59" s="100"/>
      <c r="E59" s="100"/>
      <c r="F59" s="101"/>
      <c r="G59" s="54" t="s">
        <v>72</v>
      </c>
      <c r="H59" s="55" t="s">
        <v>75</v>
      </c>
      <c r="I59" s="56" t="s">
        <v>52</v>
      </c>
      <c r="J59" s="56" t="s">
        <v>54</v>
      </c>
      <c r="K59" s="99" t="s">
        <v>47</v>
      </c>
      <c r="L59" s="100"/>
      <c r="M59" s="100"/>
      <c r="N59" s="100"/>
      <c r="O59" s="100"/>
      <c r="P59" s="100"/>
      <c r="Q59" s="101"/>
      <c r="R59" s="54" t="s">
        <v>72</v>
      </c>
      <c r="S59" s="55" t="s">
        <v>75</v>
      </c>
      <c r="T59" s="56" t="s">
        <v>52</v>
      </c>
      <c r="U59" s="56" t="s">
        <v>54</v>
      </c>
    </row>
    <row r="60" spans="1:21" ht="18" customHeight="1" x14ac:dyDescent="0.15">
      <c r="A60" s="3"/>
      <c r="B60" s="124" t="s">
        <v>160</v>
      </c>
      <c r="C60" s="125"/>
      <c r="D60" s="125"/>
      <c r="E60" s="125"/>
      <c r="F60" s="126"/>
      <c r="G60" s="57">
        <v>0.5</v>
      </c>
      <c r="H60" s="57" t="s">
        <v>150</v>
      </c>
      <c r="I60" s="57" t="s">
        <v>150</v>
      </c>
      <c r="J60" s="57" t="s">
        <v>150</v>
      </c>
      <c r="K60" s="124"/>
      <c r="L60" s="125"/>
      <c r="M60" s="125"/>
      <c r="N60" s="125"/>
      <c r="O60" s="125"/>
      <c r="P60" s="125"/>
      <c r="Q60" s="126"/>
      <c r="R60" s="57"/>
      <c r="S60" s="57"/>
      <c r="T60" s="57"/>
      <c r="U60" s="57"/>
    </row>
    <row r="61" spans="1:21" ht="18" customHeight="1" x14ac:dyDescent="0.15">
      <c r="A61" s="3"/>
      <c r="B61" s="118" t="s">
        <v>162</v>
      </c>
      <c r="C61" s="119"/>
      <c r="D61" s="119"/>
      <c r="E61" s="119"/>
      <c r="F61" s="120"/>
      <c r="G61" s="58">
        <v>1.5</v>
      </c>
      <c r="H61" s="58" t="s">
        <v>150</v>
      </c>
      <c r="I61" s="58" t="s">
        <v>150</v>
      </c>
      <c r="J61" s="58" t="s">
        <v>150</v>
      </c>
      <c r="K61" s="118"/>
      <c r="L61" s="119"/>
      <c r="M61" s="119"/>
      <c r="N61" s="119"/>
      <c r="O61" s="119"/>
      <c r="P61" s="119"/>
      <c r="Q61" s="120"/>
      <c r="R61" s="58"/>
      <c r="S61" s="58"/>
      <c r="T61" s="58"/>
      <c r="U61" s="58"/>
    </row>
    <row r="62" spans="1:21" ht="18" customHeight="1" x14ac:dyDescent="0.15">
      <c r="A62" s="3"/>
      <c r="B62" s="124" t="s">
        <v>163</v>
      </c>
      <c r="C62" s="125"/>
      <c r="D62" s="125"/>
      <c r="E62" s="125"/>
      <c r="F62" s="126"/>
      <c r="G62" s="57">
        <v>1</v>
      </c>
      <c r="H62" s="57" t="s">
        <v>150</v>
      </c>
      <c r="I62" s="57" t="s">
        <v>150</v>
      </c>
      <c r="J62" s="57" t="s">
        <v>150</v>
      </c>
      <c r="K62" s="118"/>
      <c r="L62" s="119"/>
      <c r="M62" s="119"/>
      <c r="N62" s="119"/>
      <c r="O62" s="119"/>
      <c r="P62" s="119"/>
      <c r="Q62" s="120"/>
      <c r="R62" s="58"/>
      <c r="S62" s="58"/>
      <c r="T62" s="58"/>
      <c r="U62" s="58"/>
    </row>
    <row r="63" spans="1:21" ht="18" customHeight="1" x14ac:dyDescent="0.15">
      <c r="A63" s="3"/>
      <c r="B63" s="124" t="s">
        <v>166</v>
      </c>
      <c r="C63" s="125"/>
      <c r="D63" s="125"/>
      <c r="E63" s="125"/>
      <c r="F63" s="126"/>
      <c r="G63" s="57">
        <v>2</v>
      </c>
      <c r="H63" s="57" t="s">
        <v>150</v>
      </c>
      <c r="I63" s="57" t="s">
        <v>150</v>
      </c>
      <c r="J63" s="57"/>
      <c r="K63" s="118"/>
      <c r="L63" s="119"/>
      <c r="M63" s="119"/>
      <c r="N63" s="119"/>
      <c r="O63" s="119"/>
      <c r="P63" s="119"/>
      <c r="Q63" s="120"/>
      <c r="R63" s="58"/>
      <c r="S63" s="58"/>
      <c r="T63" s="58"/>
      <c r="U63" s="58"/>
    </row>
    <row r="64" spans="1:21" ht="18" customHeight="1" x14ac:dyDescent="0.15">
      <c r="A64" s="3"/>
      <c r="B64" s="118" t="s">
        <v>167</v>
      </c>
      <c r="C64" s="119"/>
      <c r="D64" s="119"/>
      <c r="E64" s="119"/>
      <c r="F64" s="120"/>
      <c r="G64" s="58">
        <v>2</v>
      </c>
      <c r="H64" s="58" t="s">
        <v>150</v>
      </c>
      <c r="I64" s="58" t="s">
        <v>150</v>
      </c>
      <c r="J64" s="58" t="s">
        <v>150</v>
      </c>
      <c r="K64" s="118"/>
      <c r="L64" s="119"/>
      <c r="M64" s="119"/>
      <c r="N64" s="119"/>
      <c r="O64" s="119"/>
      <c r="P64" s="119"/>
      <c r="Q64" s="120"/>
      <c r="R64" s="58"/>
      <c r="S64" s="58"/>
      <c r="T64" s="58"/>
      <c r="U64" s="58"/>
    </row>
    <row r="65" spans="1:27" ht="18" customHeight="1" x14ac:dyDescent="0.15">
      <c r="A65" s="3"/>
      <c r="B65" s="118" t="s">
        <v>168</v>
      </c>
      <c r="C65" s="119"/>
      <c r="D65" s="119"/>
      <c r="E65" s="119"/>
      <c r="F65" s="120"/>
      <c r="G65" s="58">
        <v>1</v>
      </c>
      <c r="H65" s="58" t="s">
        <v>150</v>
      </c>
      <c r="I65" s="58" t="s">
        <v>150</v>
      </c>
      <c r="J65" s="58"/>
      <c r="K65" s="118"/>
      <c r="L65" s="119"/>
      <c r="M65" s="119"/>
      <c r="N65" s="119"/>
      <c r="O65" s="119"/>
      <c r="P65" s="119"/>
      <c r="Q65" s="120"/>
      <c r="R65" s="58"/>
      <c r="S65" s="58"/>
      <c r="T65" s="58"/>
      <c r="U65" s="58"/>
    </row>
    <row r="66" spans="1:27" ht="18" customHeight="1" x14ac:dyDescent="0.15">
      <c r="A66" s="3"/>
      <c r="B66" s="121"/>
      <c r="C66" s="122"/>
      <c r="D66" s="122"/>
      <c r="E66" s="122"/>
      <c r="F66" s="123"/>
      <c r="G66" s="59"/>
      <c r="H66" s="59"/>
      <c r="I66" s="60"/>
      <c r="J66" s="60"/>
      <c r="K66" s="121"/>
      <c r="L66" s="122"/>
      <c r="M66" s="122"/>
      <c r="N66" s="122"/>
      <c r="O66" s="122"/>
      <c r="P66" s="122"/>
      <c r="Q66" s="123"/>
      <c r="R66" s="59"/>
      <c r="S66" s="59"/>
      <c r="T66" s="60"/>
      <c r="U66" s="60"/>
    </row>
    <row r="67" spans="1:27" ht="7.5" customHeight="1" x14ac:dyDescent="0.15">
      <c r="B67" s="14"/>
      <c r="C67" s="14"/>
      <c r="D67" s="14"/>
      <c r="E67" s="14"/>
      <c r="F67" s="14"/>
      <c r="G67" s="14"/>
      <c r="H67" s="14"/>
      <c r="I67" s="14"/>
      <c r="J67" s="14"/>
      <c r="K67" s="14"/>
      <c r="L67" s="14"/>
      <c r="M67" s="14"/>
      <c r="N67" s="14"/>
      <c r="O67" s="14"/>
      <c r="P67" s="14"/>
      <c r="Q67" s="14"/>
      <c r="R67" s="14"/>
      <c r="S67" s="14"/>
      <c r="T67" s="14"/>
    </row>
    <row r="68" spans="1:27" ht="18" customHeight="1" x14ac:dyDescent="0.15">
      <c r="A68" s="127" t="s">
        <v>99</v>
      </c>
      <c r="B68" s="127"/>
      <c r="C68" s="127"/>
      <c r="D68" s="127"/>
      <c r="E68" s="127"/>
      <c r="F68" s="127"/>
      <c r="G68" s="127"/>
      <c r="H68" s="127"/>
      <c r="I68" s="127"/>
      <c r="J68" s="127"/>
      <c r="K68" s="127"/>
      <c r="L68" s="127"/>
      <c r="M68" s="127"/>
      <c r="N68" s="127"/>
      <c r="O68" s="127"/>
      <c r="P68" s="127"/>
      <c r="Q68" s="127"/>
      <c r="R68" s="127"/>
      <c r="S68" s="127"/>
      <c r="T68" s="127"/>
      <c r="U68" s="127"/>
    </row>
    <row r="69" spans="1:27" ht="18" customHeight="1" x14ac:dyDescent="0.15">
      <c r="A69" s="127"/>
      <c r="B69" s="127"/>
      <c r="C69" s="127"/>
      <c r="D69" s="127"/>
      <c r="E69" s="127"/>
      <c r="F69" s="127"/>
      <c r="G69" s="127"/>
      <c r="H69" s="127"/>
      <c r="I69" s="127"/>
      <c r="J69" s="127"/>
      <c r="K69" s="127"/>
      <c r="L69" s="127"/>
      <c r="M69" s="127"/>
      <c r="N69" s="127"/>
      <c r="O69" s="127"/>
      <c r="P69" s="127"/>
      <c r="Q69" s="127"/>
      <c r="R69" s="127"/>
      <c r="S69" s="127"/>
      <c r="T69" s="127"/>
      <c r="U69" s="127"/>
    </row>
    <row r="70" spans="1:27" ht="18" customHeight="1" x14ac:dyDescent="0.15">
      <c r="B70" s="99" t="s">
        <v>47</v>
      </c>
      <c r="C70" s="100"/>
      <c r="D70" s="100"/>
      <c r="E70" s="100"/>
      <c r="F70" s="54" t="s">
        <v>72</v>
      </c>
      <c r="G70" s="55" t="s">
        <v>75</v>
      </c>
      <c r="H70" s="56" t="s">
        <v>86</v>
      </c>
      <c r="I70" s="56" t="s">
        <v>67</v>
      </c>
      <c r="J70" s="56" t="s">
        <v>68</v>
      </c>
      <c r="K70" s="99" t="s">
        <v>47</v>
      </c>
      <c r="L70" s="100"/>
      <c r="M70" s="100"/>
      <c r="N70" s="100"/>
      <c r="O70" s="100"/>
      <c r="P70" s="101"/>
      <c r="Q70" s="54" t="s">
        <v>72</v>
      </c>
      <c r="R70" s="55" t="s">
        <v>75</v>
      </c>
      <c r="S70" s="56" t="s">
        <v>86</v>
      </c>
      <c r="T70" s="56" t="s">
        <v>67</v>
      </c>
      <c r="U70" s="56" t="s">
        <v>68</v>
      </c>
    </row>
    <row r="71" spans="1:27" ht="18" customHeight="1" x14ac:dyDescent="0.15">
      <c r="A71" s="3"/>
      <c r="B71" s="124" t="s">
        <v>160</v>
      </c>
      <c r="C71" s="125"/>
      <c r="D71" s="125"/>
      <c r="E71" s="125"/>
      <c r="F71" s="57">
        <v>0.5</v>
      </c>
      <c r="G71" s="57" t="s">
        <v>150</v>
      </c>
      <c r="H71" s="57" t="s">
        <v>150</v>
      </c>
      <c r="I71" s="57" t="s">
        <v>150</v>
      </c>
      <c r="J71" s="57" t="s">
        <v>150</v>
      </c>
      <c r="K71" s="124" t="s">
        <v>213</v>
      </c>
      <c r="L71" s="125"/>
      <c r="M71" s="125"/>
      <c r="N71" s="125"/>
      <c r="O71" s="125"/>
      <c r="P71" s="126"/>
      <c r="Q71" s="58">
        <v>1</v>
      </c>
      <c r="R71" s="58" t="s">
        <v>150</v>
      </c>
      <c r="S71" s="58" t="s">
        <v>150</v>
      </c>
      <c r="T71" s="57"/>
      <c r="U71" s="57"/>
    </row>
    <row r="72" spans="1:27" ht="18" customHeight="1" x14ac:dyDescent="0.15">
      <c r="A72" s="3"/>
      <c r="B72" s="118" t="s">
        <v>161</v>
      </c>
      <c r="C72" s="119"/>
      <c r="D72" s="119"/>
      <c r="E72" s="119"/>
      <c r="F72" s="58">
        <v>1.5</v>
      </c>
      <c r="G72" s="58" t="s">
        <v>150</v>
      </c>
      <c r="H72" s="58" t="s">
        <v>150</v>
      </c>
      <c r="I72" s="58" t="s">
        <v>150</v>
      </c>
      <c r="J72" s="58"/>
      <c r="K72" s="118"/>
      <c r="L72" s="119"/>
      <c r="M72" s="119"/>
      <c r="N72" s="119"/>
      <c r="O72" s="119"/>
      <c r="P72" s="120"/>
      <c r="Q72" s="58"/>
      <c r="R72" s="58"/>
      <c r="S72" s="58"/>
      <c r="T72" s="58"/>
      <c r="U72" s="58"/>
    </row>
    <row r="73" spans="1:27" ht="18" customHeight="1" x14ac:dyDescent="0.15">
      <c r="A73" s="3"/>
      <c r="B73" s="118" t="s">
        <v>162</v>
      </c>
      <c r="C73" s="119"/>
      <c r="D73" s="119"/>
      <c r="E73" s="119"/>
      <c r="F73" s="58">
        <v>1.5</v>
      </c>
      <c r="G73" s="58" t="s">
        <v>150</v>
      </c>
      <c r="H73" s="58" t="s">
        <v>150</v>
      </c>
      <c r="I73" s="58" t="s">
        <v>150</v>
      </c>
      <c r="J73" s="58" t="s">
        <v>150</v>
      </c>
      <c r="K73" s="118"/>
      <c r="L73" s="119"/>
      <c r="M73" s="119"/>
      <c r="N73" s="119"/>
      <c r="O73" s="119"/>
      <c r="P73" s="120"/>
      <c r="Q73" s="58"/>
      <c r="R73" s="58"/>
      <c r="S73" s="58"/>
      <c r="T73" s="58"/>
      <c r="U73" s="58"/>
    </row>
    <row r="74" spans="1:27" ht="18" customHeight="1" x14ac:dyDescent="0.15">
      <c r="A74" s="3"/>
      <c r="B74" s="124" t="s">
        <v>163</v>
      </c>
      <c r="C74" s="125"/>
      <c r="D74" s="125"/>
      <c r="E74" s="125"/>
      <c r="F74" s="57">
        <v>1</v>
      </c>
      <c r="G74" s="57" t="s">
        <v>150</v>
      </c>
      <c r="H74" s="57" t="s">
        <v>150</v>
      </c>
      <c r="I74" s="57" t="s">
        <v>150</v>
      </c>
      <c r="J74" s="57" t="s">
        <v>150</v>
      </c>
      <c r="K74" s="118"/>
      <c r="L74" s="119"/>
      <c r="M74" s="119"/>
      <c r="N74" s="119"/>
      <c r="O74" s="119"/>
      <c r="P74" s="120"/>
      <c r="Q74" s="58"/>
      <c r="R74" s="58"/>
      <c r="S74" s="58"/>
      <c r="T74" s="58"/>
      <c r="U74" s="58"/>
    </row>
    <row r="75" spans="1:27" ht="18" customHeight="1" x14ac:dyDescent="0.15">
      <c r="A75" s="3"/>
      <c r="B75" s="118" t="s">
        <v>164</v>
      </c>
      <c r="C75" s="119"/>
      <c r="D75" s="119"/>
      <c r="E75" s="119"/>
      <c r="F75" s="58">
        <v>1</v>
      </c>
      <c r="G75" s="58" t="s">
        <v>150</v>
      </c>
      <c r="H75" s="58" t="s">
        <v>150</v>
      </c>
      <c r="I75" s="58" t="s">
        <v>150</v>
      </c>
      <c r="J75" s="58" t="s">
        <v>150</v>
      </c>
      <c r="K75" s="118"/>
      <c r="L75" s="119"/>
      <c r="M75" s="119"/>
      <c r="N75" s="119"/>
      <c r="O75" s="119"/>
      <c r="P75" s="120"/>
      <c r="Q75" s="58"/>
      <c r="R75" s="58"/>
      <c r="S75" s="58"/>
      <c r="T75" s="58"/>
      <c r="U75" s="58"/>
    </row>
    <row r="76" spans="1:27" ht="18" customHeight="1" x14ac:dyDescent="0.15">
      <c r="A76" s="3"/>
      <c r="B76" s="124" t="s">
        <v>166</v>
      </c>
      <c r="C76" s="125"/>
      <c r="D76" s="125"/>
      <c r="E76" s="125"/>
      <c r="F76" s="57">
        <v>2</v>
      </c>
      <c r="G76" s="57" t="s">
        <v>150</v>
      </c>
      <c r="H76" s="57" t="s">
        <v>150</v>
      </c>
      <c r="I76" s="57" t="s">
        <v>150</v>
      </c>
      <c r="J76" s="57" t="s">
        <v>150</v>
      </c>
      <c r="K76" s="118"/>
      <c r="L76" s="119"/>
      <c r="M76" s="119"/>
      <c r="N76" s="119"/>
      <c r="O76" s="119"/>
      <c r="P76" s="120"/>
      <c r="Q76" s="58"/>
      <c r="R76" s="58"/>
      <c r="S76" s="58"/>
      <c r="T76" s="58"/>
      <c r="U76" s="58"/>
    </row>
    <row r="77" spans="1:27" ht="18" customHeight="1" x14ac:dyDescent="0.15">
      <c r="A77" s="3"/>
      <c r="B77" s="121" t="s">
        <v>167</v>
      </c>
      <c r="C77" s="122"/>
      <c r="D77" s="122"/>
      <c r="E77" s="122"/>
      <c r="F77" s="60">
        <v>2</v>
      </c>
      <c r="G77" s="60" t="s">
        <v>150</v>
      </c>
      <c r="H77" s="60" t="s">
        <v>150</v>
      </c>
      <c r="I77" s="60" t="s">
        <v>150</v>
      </c>
      <c r="J77" s="60" t="s">
        <v>150</v>
      </c>
      <c r="K77" s="121"/>
      <c r="L77" s="122"/>
      <c r="M77" s="122"/>
      <c r="N77" s="122"/>
      <c r="O77" s="122"/>
      <c r="P77" s="123"/>
      <c r="Q77" s="59"/>
      <c r="R77" s="59"/>
      <c r="S77" s="60"/>
      <c r="T77" s="60"/>
      <c r="U77" s="60"/>
    </row>
    <row r="78" spans="1:27" ht="7.5" customHeight="1" x14ac:dyDescent="0.15">
      <c r="B78" s="14"/>
      <c r="C78" s="14"/>
      <c r="D78" s="14"/>
      <c r="E78" s="14"/>
      <c r="F78" s="14"/>
      <c r="G78" s="14"/>
      <c r="H78" s="14"/>
      <c r="I78" s="14"/>
      <c r="J78" s="14"/>
      <c r="K78" s="14"/>
      <c r="L78" s="14"/>
      <c r="M78" s="14"/>
      <c r="N78" s="14"/>
      <c r="O78" s="14"/>
      <c r="P78" s="14"/>
      <c r="Q78" s="14"/>
      <c r="R78" s="14"/>
      <c r="S78" s="14"/>
      <c r="T78" s="14"/>
    </row>
    <row r="79" spans="1:27" ht="18" customHeight="1" x14ac:dyDescent="0.15">
      <c r="A79" s="1" t="s">
        <v>100</v>
      </c>
      <c r="I79" s="3"/>
      <c r="J79" s="3"/>
      <c r="K79" s="3"/>
      <c r="L79" s="3"/>
      <c r="M79" s="3"/>
      <c r="N79" s="3"/>
      <c r="O79" s="3"/>
      <c r="P79" s="3"/>
      <c r="Q79" s="3"/>
      <c r="R79" s="3"/>
      <c r="S79" s="3"/>
      <c r="T79" s="3"/>
      <c r="U79" s="3"/>
    </row>
    <row r="80" spans="1:27" ht="18" customHeight="1" x14ac:dyDescent="0.15">
      <c r="B80" s="99" t="s">
        <v>47</v>
      </c>
      <c r="C80" s="100"/>
      <c r="D80" s="100"/>
      <c r="E80" s="100"/>
      <c r="F80" s="101"/>
      <c r="G80" s="99" t="s">
        <v>73</v>
      </c>
      <c r="H80" s="100"/>
      <c r="I80" s="100"/>
      <c r="J80" s="101"/>
      <c r="K80" s="159" t="s">
        <v>47</v>
      </c>
      <c r="L80" s="160"/>
      <c r="M80" s="160"/>
      <c r="N80" s="160"/>
      <c r="O80" s="160"/>
      <c r="P80" s="160"/>
      <c r="Q80" s="161"/>
      <c r="R80" s="99" t="s">
        <v>73</v>
      </c>
      <c r="S80" s="100"/>
      <c r="T80" s="100"/>
      <c r="U80" s="101"/>
      <c r="AA80" s="1" t="s">
        <v>138</v>
      </c>
    </row>
    <row r="81" spans="1:27" ht="18" customHeight="1" x14ac:dyDescent="0.15">
      <c r="A81" s="3"/>
      <c r="B81" s="124" t="s">
        <v>160</v>
      </c>
      <c r="C81" s="125"/>
      <c r="D81" s="125"/>
      <c r="E81" s="125"/>
      <c r="F81" s="126"/>
      <c r="G81" s="162" t="s">
        <v>152</v>
      </c>
      <c r="H81" s="163"/>
      <c r="I81" s="163"/>
      <c r="J81" s="164"/>
      <c r="K81" s="124" t="s">
        <v>163</v>
      </c>
      <c r="L81" s="125"/>
      <c r="M81" s="125"/>
      <c r="N81" s="125"/>
      <c r="O81" s="125"/>
      <c r="P81" s="125"/>
      <c r="Q81" s="126"/>
      <c r="R81" s="162" t="s">
        <v>153</v>
      </c>
      <c r="S81" s="163"/>
      <c r="T81" s="163"/>
      <c r="U81" s="164"/>
      <c r="AA81" s="1" t="s">
        <v>131</v>
      </c>
    </row>
    <row r="82" spans="1:27" ht="18" customHeight="1" x14ac:dyDescent="0.15">
      <c r="A82" s="3"/>
      <c r="B82" s="118" t="s">
        <v>160</v>
      </c>
      <c r="C82" s="119"/>
      <c r="D82" s="119"/>
      <c r="E82" s="119"/>
      <c r="F82" s="120"/>
      <c r="G82" s="154" t="s">
        <v>153</v>
      </c>
      <c r="H82" s="155"/>
      <c r="I82" s="155"/>
      <c r="J82" s="156"/>
      <c r="K82" s="118" t="s">
        <v>163</v>
      </c>
      <c r="L82" s="119"/>
      <c r="M82" s="119"/>
      <c r="N82" s="119"/>
      <c r="O82" s="119"/>
      <c r="P82" s="119"/>
      <c r="Q82" s="120"/>
      <c r="R82" s="154" t="s">
        <v>139</v>
      </c>
      <c r="S82" s="155"/>
      <c r="T82" s="155"/>
      <c r="U82" s="156"/>
      <c r="AA82" s="1" t="s">
        <v>132</v>
      </c>
    </row>
    <row r="83" spans="1:27" ht="18" customHeight="1" x14ac:dyDescent="0.15">
      <c r="A83" s="3"/>
      <c r="B83" s="118" t="s">
        <v>160</v>
      </c>
      <c r="C83" s="119"/>
      <c r="D83" s="119"/>
      <c r="E83" s="119"/>
      <c r="F83" s="120"/>
      <c r="G83" s="154" t="s">
        <v>139</v>
      </c>
      <c r="H83" s="155"/>
      <c r="I83" s="155"/>
      <c r="J83" s="156"/>
      <c r="K83" s="118" t="s">
        <v>163</v>
      </c>
      <c r="L83" s="119"/>
      <c r="M83" s="119"/>
      <c r="N83" s="119"/>
      <c r="O83" s="119"/>
      <c r="P83" s="119"/>
      <c r="Q83" s="120"/>
      <c r="R83" s="154" t="s">
        <v>140</v>
      </c>
      <c r="S83" s="155"/>
      <c r="T83" s="155"/>
      <c r="U83" s="156"/>
      <c r="AA83" s="1" t="s">
        <v>133</v>
      </c>
    </row>
    <row r="84" spans="1:27" ht="18" customHeight="1" x14ac:dyDescent="0.15">
      <c r="A84" s="3"/>
      <c r="B84" s="118" t="s">
        <v>160</v>
      </c>
      <c r="C84" s="119"/>
      <c r="D84" s="119"/>
      <c r="E84" s="119"/>
      <c r="F84" s="120"/>
      <c r="G84" s="154" t="s">
        <v>140</v>
      </c>
      <c r="H84" s="155"/>
      <c r="I84" s="155"/>
      <c r="J84" s="156"/>
      <c r="K84" s="121" t="s">
        <v>163</v>
      </c>
      <c r="L84" s="122"/>
      <c r="M84" s="122"/>
      <c r="N84" s="122"/>
      <c r="O84" s="122"/>
      <c r="P84" s="122"/>
      <c r="Q84" s="123"/>
      <c r="R84" s="171" t="s">
        <v>165</v>
      </c>
      <c r="S84" s="172"/>
      <c r="T84" s="172"/>
      <c r="U84" s="173"/>
      <c r="AA84" s="1" t="s">
        <v>139</v>
      </c>
    </row>
    <row r="85" spans="1:27" ht="18" customHeight="1" x14ac:dyDescent="0.15">
      <c r="A85" s="3"/>
      <c r="B85" s="118" t="s">
        <v>160</v>
      </c>
      <c r="C85" s="119"/>
      <c r="D85" s="119"/>
      <c r="E85" s="119"/>
      <c r="F85" s="120"/>
      <c r="G85" s="154" t="s">
        <v>165</v>
      </c>
      <c r="H85" s="155"/>
      <c r="I85" s="155"/>
      <c r="J85" s="156"/>
      <c r="K85" s="165"/>
      <c r="L85" s="166"/>
      <c r="M85" s="166"/>
      <c r="N85" s="166"/>
      <c r="O85" s="166"/>
      <c r="P85" s="166"/>
      <c r="Q85" s="167"/>
      <c r="R85" s="168"/>
      <c r="S85" s="169"/>
      <c r="T85" s="169"/>
      <c r="U85" s="170"/>
      <c r="AA85" s="1" t="s">
        <v>140</v>
      </c>
    </row>
    <row r="86" spans="1:27" ht="18" customHeight="1" x14ac:dyDescent="0.15">
      <c r="A86" s="3"/>
      <c r="B86" s="124" t="s">
        <v>164</v>
      </c>
      <c r="C86" s="125"/>
      <c r="D86" s="125"/>
      <c r="E86" s="125"/>
      <c r="F86" s="126"/>
      <c r="G86" s="162" t="s">
        <v>151</v>
      </c>
      <c r="H86" s="163"/>
      <c r="I86" s="163"/>
      <c r="J86" s="164"/>
      <c r="K86" s="118"/>
      <c r="L86" s="119"/>
      <c r="M86" s="119"/>
      <c r="N86" s="119"/>
      <c r="O86" s="119"/>
      <c r="P86" s="119"/>
      <c r="Q86" s="120"/>
      <c r="R86" s="154"/>
      <c r="S86" s="155"/>
      <c r="T86" s="155"/>
      <c r="U86" s="156"/>
      <c r="AA86" s="1" t="s">
        <v>134</v>
      </c>
    </row>
    <row r="87" spans="1:27" ht="18" customHeight="1" x14ac:dyDescent="0.15">
      <c r="A87" s="3"/>
      <c r="B87" s="121" t="s">
        <v>163</v>
      </c>
      <c r="C87" s="122"/>
      <c r="D87" s="122"/>
      <c r="E87" s="122"/>
      <c r="F87" s="123"/>
      <c r="G87" s="171" t="s">
        <v>152</v>
      </c>
      <c r="H87" s="172"/>
      <c r="I87" s="172"/>
      <c r="J87" s="173"/>
      <c r="K87" s="121"/>
      <c r="L87" s="122"/>
      <c r="M87" s="122"/>
      <c r="N87" s="122"/>
      <c r="O87" s="122"/>
      <c r="P87" s="122"/>
      <c r="Q87" s="123"/>
      <c r="R87" s="151"/>
      <c r="S87" s="152"/>
      <c r="T87" s="152"/>
      <c r="U87" s="153"/>
      <c r="AA87" s="1" t="s">
        <v>135</v>
      </c>
    </row>
    <row r="88" spans="1:27" ht="18" customHeight="1" x14ac:dyDescent="0.15">
      <c r="A88" s="3"/>
      <c r="B88" s="6"/>
      <c r="C88" s="6"/>
      <c r="D88" s="6"/>
      <c r="E88" s="6"/>
      <c r="F88" s="6"/>
      <c r="G88" s="61"/>
      <c r="H88" s="61"/>
      <c r="I88" s="61"/>
      <c r="J88" s="61"/>
      <c r="K88" s="6"/>
      <c r="L88" s="6"/>
      <c r="M88" s="6"/>
      <c r="N88" s="6"/>
      <c r="O88" s="6"/>
      <c r="P88" s="6"/>
      <c r="Q88" s="6"/>
      <c r="R88" s="61"/>
      <c r="S88" s="61"/>
      <c r="T88" s="61"/>
      <c r="U88" s="61"/>
      <c r="AA88" s="1" t="s">
        <v>136</v>
      </c>
    </row>
    <row r="89" spans="1:27" ht="18.75" customHeight="1" x14ac:dyDescent="0.15">
      <c r="A89" s="1" t="s">
        <v>101</v>
      </c>
      <c r="AA89" s="1" t="s">
        <v>137</v>
      </c>
    </row>
    <row r="90" spans="1:27" ht="18.75" customHeight="1" x14ac:dyDescent="0.15">
      <c r="B90" s="157" t="s">
        <v>48</v>
      </c>
      <c r="C90" s="158"/>
      <c r="D90" s="99" t="s">
        <v>49</v>
      </c>
      <c r="E90" s="100"/>
      <c r="F90" s="100"/>
      <c r="G90" s="100"/>
      <c r="H90" s="100"/>
      <c r="I90" s="100"/>
      <c r="J90" s="100"/>
      <c r="K90" s="100"/>
      <c r="L90" s="100"/>
      <c r="M90" s="100"/>
      <c r="N90" s="100"/>
      <c r="O90" s="100"/>
      <c r="P90" s="100"/>
      <c r="Q90" s="100"/>
      <c r="R90" s="100"/>
      <c r="S90" s="100"/>
      <c r="T90" s="100"/>
      <c r="U90" s="101"/>
    </row>
    <row r="91" spans="1:27" ht="120" customHeight="1" x14ac:dyDescent="0.15">
      <c r="B91" s="134" t="s">
        <v>55</v>
      </c>
      <c r="C91" s="62" t="s">
        <v>50</v>
      </c>
      <c r="D91" s="108" t="s">
        <v>225</v>
      </c>
      <c r="E91" s="109"/>
      <c r="F91" s="109"/>
      <c r="G91" s="109"/>
      <c r="H91" s="109"/>
      <c r="I91" s="109"/>
      <c r="J91" s="109"/>
      <c r="K91" s="109"/>
      <c r="L91" s="109"/>
      <c r="M91" s="109"/>
      <c r="N91" s="109"/>
      <c r="O91" s="109"/>
      <c r="P91" s="109"/>
      <c r="Q91" s="109"/>
      <c r="R91" s="109"/>
      <c r="S91" s="109"/>
      <c r="T91" s="109"/>
      <c r="U91" s="110"/>
    </row>
    <row r="92" spans="1:27" ht="120" customHeight="1" x14ac:dyDescent="0.15">
      <c r="B92" s="136"/>
      <c r="C92" s="63" t="s">
        <v>69</v>
      </c>
      <c r="D92" s="111" t="s">
        <v>224</v>
      </c>
      <c r="E92" s="106"/>
      <c r="F92" s="106"/>
      <c r="G92" s="106"/>
      <c r="H92" s="106"/>
      <c r="I92" s="106"/>
      <c r="J92" s="106"/>
      <c r="K92" s="106"/>
      <c r="L92" s="106"/>
      <c r="M92" s="106"/>
      <c r="N92" s="106"/>
      <c r="O92" s="106"/>
      <c r="P92" s="106"/>
      <c r="Q92" s="106"/>
      <c r="R92" s="106"/>
      <c r="S92" s="106"/>
      <c r="T92" s="106"/>
      <c r="U92" s="107"/>
    </row>
    <row r="93" spans="1:27" ht="129.94999999999999" customHeight="1" x14ac:dyDescent="0.15">
      <c r="B93" s="134" t="s">
        <v>56</v>
      </c>
      <c r="C93" s="64" t="s">
        <v>63</v>
      </c>
      <c r="D93" s="108" t="s">
        <v>215</v>
      </c>
      <c r="E93" s="109"/>
      <c r="F93" s="109"/>
      <c r="G93" s="109"/>
      <c r="H93" s="109"/>
      <c r="I93" s="109"/>
      <c r="J93" s="109"/>
      <c r="K93" s="109"/>
      <c r="L93" s="109"/>
      <c r="M93" s="109"/>
      <c r="N93" s="109"/>
      <c r="O93" s="109"/>
      <c r="P93" s="109"/>
      <c r="Q93" s="109"/>
      <c r="R93" s="109"/>
      <c r="S93" s="109"/>
      <c r="T93" s="109"/>
      <c r="U93" s="110"/>
    </row>
    <row r="94" spans="1:27" ht="110.1" customHeight="1" x14ac:dyDescent="0.15">
      <c r="B94" s="135"/>
      <c r="C94" s="65" t="s">
        <v>64</v>
      </c>
      <c r="D94" s="111" t="s">
        <v>216</v>
      </c>
      <c r="E94" s="106"/>
      <c r="F94" s="106"/>
      <c r="G94" s="106"/>
      <c r="H94" s="106"/>
      <c r="I94" s="106"/>
      <c r="J94" s="106"/>
      <c r="K94" s="106"/>
      <c r="L94" s="106"/>
      <c r="M94" s="106"/>
      <c r="N94" s="106"/>
      <c r="O94" s="106"/>
      <c r="P94" s="106"/>
      <c r="Q94" s="106"/>
      <c r="R94" s="106"/>
      <c r="S94" s="106"/>
      <c r="T94" s="106"/>
      <c r="U94" s="107"/>
    </row>
    <row r="95" spans="1:27" ht="185.1" customHeight="1" x14ac:dyDescent="0.15">
      <c r="B95" s="134" t="s">
        <v>57</v>
      </c>
      <c r="C95" s="64" t="s">
        <v>65</v>
      </c>
      <c r="D95" s="108" t="s">
        <v>217</v>
      </c>
      <c r="E95" s="109"/>
      <c r="F95" s="109"/>
      <c r="G95" s="109"/>
      <c r="H95" s="109"/>
      <c r="I95" s="109"/>
      <c r="J95" s="109"/>
      <c r="K95" s="109"/>
      <c r="L95" s="109"/>
      <c r="M95" s="109"/>
      <c r="N95" s="109"/>
      <c r="O95" s="109"/>
      <c r="P95" s="109"/>
      <c r="Q95" s="109"/>
      <c r="R95" s="109"/>
      <c r="S95" s="109"/>
      <c r="T95" s="109"/>
      <c r="U95" s="110"/>
    </row>
    <row r="96" spans="1:27" ht="140.1" customHeight="1" x14ac:dyDescent="0.15">
      <c r="B96" s="135"/>
      <c r="C96" s="66" t="s">
        <v>66</v>
      </c>
      <c r="D96" s="111" t="s">
        <v>218</v>
      </c>
      <c r="E96" s="106"/>
      <c r="F96" s="106"/>
      <c r="G96" s="106"/>
      <c r="H96" s="106"/>
      <c r="I96" s="106"/>
      <c r="J96" s="106"/>
      <c r="K96" s="106"/>
      <c r="L96" s="106"/>
      <c r="M96" s="106"/>
      <c r="N96" s="106"/>
      <c r="O96" s="106"/>
      <c r="P96" s="106"/>
      <c r="Q96" s="106"/>
      <c r="R96" s="106"/>
      <c r="S96" s="106"/>
      <c r="T96" s="106"/>
      <c r="U96" s="107"/>
    </row>
    <row r="97" spans="1:21" ht="120" customHeight="1" x14ac:dyDescent="0.15">
      <c r="B97" s="134" t="s">
        <v>70</v>
      </c>
      <c r="C97" s="62" t="s">
        <v>52</v>
      </c>
      <c r="D97" s="108" t="s">
        <v>219</v>
      </c>
      <c r="E97" s="109"/>
      <c r="F97" s="109"/>
      <c r="G97" s="109"/>
      <c r="H97" s="109"/>
      <c r="I97" s="109"/>
      <c r="J97" s="109"/>
      <c r="K97" s="109"/>
      <c r="L97" s="109"/>
      <c r="M97" s="109"/>
      <c r="N97" s="109"/>
      <c r="O97" s="109"/>
      <c r="P97" s="109"/>
      <c r="Q97" s="109"/>
      <c r="R97" s="109"/>
      <c r="S97" s="109"/>
      <c r="T97" s="109"/>
      <c r="U97" s="110"/>
    </row>
    <row r="98" spans="1:21" ht="97.5" customHeight="1" x14ac:dyDescent="0.15">
      <c r="B98" s="135"/>
      <c r="C98" s="65" t="s">
        <v>54</v>
      </c>
      <c r="D98" s="111" t="s">
        <v>220</v>
      </c>
      <c r="E98" s="106"/>
      <c r="F98" s="106"/>
      <c r="G98" s="106"/>
      <c r="H98" s="106"/>
      <c r="I98" s="106"/>
      <c r="J98" s="106"/>
      <c r="K98" s="106"/>
      <c r="L98" s="106"/>
      <c r="M98" s="106"/>
      <c r="N98" s="106"/>
      <c r="O98" s="106"/>
      <c r="P98" s="106"/>
      <c r="Q98" s="106"/>
      <c r="R98" s="106"/>
      <c r="S98" s="106"/>
      <c r="T98" s="106"/>
      <c r="U98" s="107"/>
    </row>
    <row r="99" spans="1:21" ht="180" customHeight="1" x14ac:dyDescent="0.15">
      <c r="B99" s="134" t="s">
        <v>71</v>
      </c>
      <c r="C99" s="64" t="s">
        <v>51</v>
      </c>
      <c r="D99" s="102" t="s">
        <v>221</v>
      </c>
      <c r="E99" s="103"/>
      <c r="F99" s="103"/>
      <c r="G99" s="103"/>
      <c r="H99" s="103"/>
      <c r="I99" s="103"/>
      <c r="J99" s="103"/>
      <c r="K99" s="103"/>
      <c r="L99" s="103"/>
      <c r="M99" s="103"/>
      <c r="N99" s="103"/>
      <c r="O99" s="103"/>
      <c r="P99" s="103"/>
      <c r="Q99" s="103"/>
      <c r="R99" s="103"/>
      <c r="S99" s="103"/>
      <c r="T99" s="103"/>
      <c r="U99" s="104"/>
    </row>
    <row r="100" spans="1:21" ht="140.1" customHeight="1" x14ac:dyDescent="0.15">
      <c r="B100" s="136"/>
      <c r="C100" s="67" t="s">
        <v>67</v>
      </c>
      <c r="D100" s="131" t="s">
        <v>222</v>
      </c>
      <c r="E100" s="132"/>
      <c r="F100" s="132"/>
      <c r="G100" s="132"/>
      <c r="H100" s="132"/>
      <c r="I100" s="132"/>
      <c r="J100" s="132"/>
      <c r="K100" s="132"/>
      <c r="L100" s="132"/>
      <c r="M100" s="132"/>
      <c r="N100" s="132"/>
      <c r="O100" s="132"/>
      <c r="P100" s="132"/>
      <c r="Q100" s="132"/>
      <c r="R100" s="132"/>
      <c r="S100" s="132"/>
      <c r="T100" s="132"/>
      <c r="U100" s="133"/>
    </row>
    <row r="101" spans="1:21" ht="110.1" customHeight="1" x14ac:dyDescent="0.15">
      <c r="B101" s="135"/>
      <c r="C101" s="66" t="s">
        <v>68</v>
      </c>
      <c r="D101" s="174" t="s">
        <v>223</v>
      </c>
      <c r="E101" s="175"/>
      <c r="F101" s="175"/>
      <c r="G101" s="175"/>
      <c r="H101" s="175"/>
      <c r="I101" s="175"/>
      <c r="J101" s="175"/>
      <c r="K101" s="175"/>
      <c r="L101" s="175"/>
      <c r="M101" s="175"/>
      <c r="N101" s="175"/>
      <c r="O101" s="175"/>
      <c r="P101" s="175"/>
      <c r="Q101" s="175"/>
      <c r="R101" s="175"/>
      <c r="S101" s="175"/>
      <c r="T101" s="175"/>
      <c r="U101" s="176"/>
    </row>
    <row r="102" spans="1:21" ht="6" customHeight="1" x14ac:dyDescent="0.15"/>
    <row r="103" spans="1:21" ht="18.75" customHeight="1" x14ac:dyDescent="0.15">
      <c r="A103" s="1" t="s">
        <v>102</v>
      </c>
    </row>
    <row r="104" spans="1:21" ht="278.25" customHeight="1" x14ac:dyDescent="0.15">
      <c r="B104" s="177" t="s">
        <v>214</v>
      </c>
      <c r="C104" s="178"/>
      <c r="D104" s="178"/>
      <c r="E104" s="178"/>
      <c r="F104" s="178"/>
      <c r="G104" s="178"/>
      <c r="H104" s="178"/>
      <c r="I104" s="178"/>
      <c r="J104" s="178"/>
      <c r="K104" s="178"/>
      <c r="L104" s="178"/>
      <c r="M104" s="178"/>
      <c r="N104" s="178"/>
      <c r="O104" s="178"/>
      <c r="P104" s="178"/>
      <c r="Q104" s="178"/>
      <c r="R104" s="178"/>
      <c r="S104" s="178"/>
      <c r="T104" s="178"/>
      <c r="U104" s="179"/>
    </row>
    <row r="107" spans="1:21" ht="18" customHeight="1" x14ac:dyDescent="0.15"/>
  </sheetData>
  <mergeCells count="144">
    <mergeCell ref="B99:B101"/>
    <mergeCell ref="D99:U99"/>
    <mergeCell ref="D100:U100"/>
    <mergeCell ref="D101:U101"/>
    <mergeCell ref="B104:U104"/>
    <mergeCell ref="B95:B96"/>
    <mergeCell ref="D95:U95"/>
    <mergeCell ref="D96:U96"/>
    <mergeCell ref="B97:B98"/>
    <mergeCell ref="D97:U97"/>
    <mergeCell ref="D98:U98"/>
    <mergeCell ref="B91:B92"/>
    <mergeCell ref="D91:U91"/>
    <mergeCell ref="D92:U92"/>
    <mergeCell ref="B93:B94"/>
    <mergeCell ref="D93:U93"/>
    <mergeCell ref="D94:U94"/>
    <mergeCell ref="B87:F87"/>
    <mergeCell ref="G87:J87"/>
    <mergeCell ref="K87:Q87"/>
    <mergeCell ref="R87:U87"/>
    <mergeCell ref="B90:C90"/>
    <mergeCell ref="D90:U90"/>
    <mergeCell ref="B85:F85"/>
    <mergeCell ref="G85:J85"/>
    <mergeCell ref="K85:Q85"/>
    <mergeCell ref="R85:U85"/>
    <mergeCell ref="B86:F86"/>
    <mergeCell ref="G86:J86"/>
    <mergeCell ref="K86:Q86"/>
    <mergeCell ref="R86:U86"/>
    <mergeCell ref="B83:F83"/>
    <mergeCell ref="G83:J83"/>
    <mergeCell ref="K83:Q83"/>
    <mergeCell ref="R83:U83"/>
    <mergeCell ref="B84:F84"/>
    <mergeCell ref="G84:J84"/>
    <mergeCell ref="K84:Q84"/>
    <mergeCell ref="R84:U84"/>
    <mergeCell ref="R80:U80"/>
    <mergeCell ref="B81:F81"/>
    <mergeCell ref="G81:J81"/>
    <mergeCell ref="K81:Q81"/>
    <mergeCell ref="R81:U81"/>
    <mergeCell ref="B82:F82"/>
    <mergeCell ref="G82:J82"/>
    <mergeCell ref="K82:Q82"/>
    <mergeCell ref="R82:U82"/>
    <mergeCell ref="B76:E76"/>
    <mergeCell ref="K76:P76"/>
    <mergeCell ref="B77:E77"/>
    <mergeCell ref="K77:P77"/>
    <mergeCell ref="B80:F80"/>
    <mergeCell ref="G80:J80"/>
    <mergeCell ref="K80:Q80"/>
    <mergeCell ref="B73:E73"/>
    <mergeCell ref="K73:P73"/>
    <mergeCell ref="B74:E74"/>
    <mergeCell ref="K74:P74"/>
    <mergeCell ref="B75:E75"/>
    <mergeCell ref="K75:P75"/>
    <mergeCell ref="A68:U69"/>
    <mergeCell ref="B70:E70"/>
    <mergeCell ref="K70:P70"/>
    <mergeCell ref="B71:E71"/>
    <mergeCell ref="K71:P71"/>
    <mergeCell ref="B72:E72"/>
    <mergeCell ref="K72:P72"/>
    <mergeCell ref="B64:F64"/>
    <mergeCell ref="K64:Q64"/>
    <mergeCell ref="B65:F65"/>
    <mergeCell ref="K65:Q65"/>
    <mergeCell ref="B66:F66"/>
    <mergeCell ref="K66:Q66"/>
    <mergeCell ref="B61:F61"/>
    <mergeCell ref="K61:Q61"/>
    <mergeCell ref="B62:F62"/>
    <mergeCell ref="K62:Q62"/>
    <mergeCell ref="B63:F63"/>
    <mergeCell ref="K63:Q63"/>
    <mergeCell ref="B55:F55"/>
    <mergeCell ref="K55:Q55"/>
    <mergeCell ref="A57:U58"/>
    <mergeCell ref="B59:F59"/>
    <mergeCell ref="K59:Q59"/>
    <mergeCell ref="B60:F60"/>
    <mergeCell ref="K60:Q60"/>
    <mergeCell ref="B52:F52"/>
    <mergeCell ref="K52:Q52"/>
    <mergeCell ref="B53:F53"/>
    <mergeCell ref="K53:Q53"/>
    <mergeCell ref="B54:F54"/>
    <mergeCell ref="K54:Q54"/>
    <mergeCell ref="B49:F49"/>
    <mergeCell ref="K49:Q49"/>
    <mergeCell ref="B50:F50"/>
    <mergeCell ref="K50:Q50"/>
    <mergeCell ref="B51:F51"/>
    <mergeCell ref="K51:Q51"/>
    <mergeCell ref="B43:F43"/>
    <mergeCell ref="K43:Q43"/>
    <mergeCell ref="B44:F44"/>
    <mergeCell ref="K44:Q44"/>
    <mergeCell ref="A46:U47"/>
    <mergeCell ref="B48:F48"/>
    <mergeCell ref="K48:Q48"/>
    <mergeCell ref="B40:F40"/>
    <mergeCell ref="K40:Q40"/>
    <mergeCell ref="B41:F41"/>
    <mergeCell ref="K41:Q41"/>
    <mergeCell ref="B42:F42"/>
    <mergeCell ref="K42:Q42"/>
    <mergeCell ref="A35:U36"/>
    <mergeCell ref="B37:F37"/>
    <mergeCell ref="K37:Q37"/>
    <mergeCell ref="B38:F38"/>
    <mergeCell ref="K38:Q38"/>
    <mergeCell ref="B39:F39"/>
    <mergeCell ref="K39:Q39"/>
    <mergeCell ref="B31:F31"/>
    <mergeCell ref="K31:Q31"/>
    <mergeCell ref="B32:F32"/>
    <mergeCell ref="K32:Q32"/>
    <mergeCell ref="B33:F33"/>
    <mergeCell ref="K33:Q33"/>
    <mergeCell ref="B30:F30"/>
    <mergeCell ref="K30:Q30"/>
    <mergeCell ref="B15:U20"/>
    <mergeCell ref="N22:U22"/>
    <mergeCell ref="A24:U25"/>
    <mergeCell ref="B26:F26"/>
    <mergeCell ref="K26:Q26"/>
    <mergeCell ref="B27:F27"/>
    <mergeCell ref="K27:Q27"/>
    <mergeCell ref="T1:U1"/>
    <mergeCell ref="C2:J2"/>
    <mergeCell ref="C3:J3"/>
    <mergeCell ref="A5:U5"/>
    <mergeCell ref="L7:U7"/>
    <mergeCell ref="B11:U12"/>
    <mergeCell ref="B28:F28"/>
    <mergeCell ref="K28:Q28"/>
    <mergeCell ref="B29:F29"/>
    <mergeCell ref="K29:Q29"/>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6">
    <dataValidation type="list" allowBlank="1" showInputMessage="1" showErrorMessage="1" sqref="R81:U87 G81:J87" xr:uid="{7C999B80-9AAA-4B1C-876B-0225C7B93542}">
      <formula1>$AA$80:$AA$89</formula1>
    </dataValidation>
    <dataValidation type="list" allowBlank="1" showInputMessage="1" showErrorMessage="1" sqref="N22:U22" xr:uid="{F6CCAA00-8C9A-42CB-BBA0-2A37D8A32063}">
      <formula1>$X$16:$X$18</formula1>
    </dataValidation>
    <dataValidation type="list" allowBlank="1" showInputMessage="1" showErrorMessage="1" sqref="G88:J88 R88:U88" xr:uid="{76AC0AEA-58F1-488A-ACD9-6339DE6FB94F}">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L14 L7:U7" xr:uid="{AEA6DB41-B2C2-41CB-8E50-ECAF1E4C06C4}">
      <formula1>"学部・学科によって、修了要件は相違する,学部・学科によって、修了要件は相違しない"</formula1>
    </dataValidation>
    <dataValidation type="list" allowBlank="1" showInputMessage="1" showErrorMessage="1" sqref="U34 U45 E34:H34 E45:H45" xr:uid="{6690FDB9-A534-4331-AD68-72BE11091A06}">
      <formula1>"全学開講,一部開講"</formula1>
    </dataValidation>
    <dataValidation type="list" allowBlank="1" showInputMessage="1" showErrorMessage="1" sqref="G71:J77 S27:U33 H27:J33 S38:U44 H38:J44 S49:U55 H49:J55 S60:U66 H60:J66 R71:U77" xr:uid="{F2A8B449-35D3-43C2-97B7-C2CD41CA89B0}">
      <formula1>"○"</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&amp;C数理・データサイエンス・AI教育プログラム認定制度【リテラシーレベル】令和7年度申請用</oddHeader>
  </headerFooter>
  <rowBreaks count="2" manualBreakCount="2">
    <brk id="67" max="20" man="1"/>
    <brk id="96" max="20"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U29"/>
  <sheetViews>
    <sheetView view="pageBreakPreview" topLeftCell="A4" zoomScale="136" zoomScaleNormal="100" zoomScaleSheetLayoutView="136" workbookViewId="0">
      <selection activeCell="B14" sqref="B14"/>
    </sheetView>
  </sheetViews>
  <sheetFormatPr defaultColWidth="9" defaultRowHeight="18.75" customHeight="1" x14ac:dyDescent="0.15"/>
  <cols>
    <col min="1" max="1" width="2.75" style="1" customWidth="1"/>
    <col min="2" max="2" width="27.875" style="1" customWidth="1"/>
    <col min="3" max="18" width="6.125" style="1" customWidth="1"/>
    <col min="19" max="19" width="6.625" style="1" customWidth="1"/>
    <col min="20" max="16384" width="9" style="1"/>
  </cols>
  <sheetData>
    <row r="1" spans="1:21" ht="18" customHeight="1" x14ac:dyDescent="0.15">
      <c r="A1" s="48"/>
      <c r="B1" s="48"/>
      <c r="C1" s="48"/>
      <c r="D1" s="48"/>
      <c r="E1" s="48"/>
      <c r="F1" s="48"/>
      <c r="G1" s="48"/>
      <c r="H1" s="48"/>
      <c r="I1" s="48"/>
      <c r="J1" s="48"/>
      <c r="K1" s="48"/>
      <c r="L1" s="48"/>
      <c r="M1" s="48"/>
      <c r="N1" s="48"/>
      <c r="O1" s="48"/>
      <c r="P1" s="48"/>
      <c r="Q1" s="48"/>
      <c r="R1" s="48"/>
      <c r="S1" s="48" t="s">
        <v>91</v>
      </c>
    </row>
    <row r="2" spans="1:21" ht="18" customHeight="1" x14ac:dyDescent="0.15">
      <c r="A2" s="48"/>
      <c r="B2" s="48"/>
      <c r="C2" s="48"/>
      <c r="D2" s="48"/>
      <c r="E2" s="48"/>
      <c r="F2" s="48"/>
      <c r="G2" s="48"/>
      <c r="H2" s="48"/>
      <c r="I2" s="48"/>
      <c r="J2" s="48"/>
      <c r="K2" s="48"/>
      <c r="L2" s="48"/>
      <c r="M2" s="48"/>
      <c r="N2" s="48"/>
      <c r="O2" s="48"/>
      <c r="P2" s="48"/>
      <c r="Q2" s="181" t="str">
        <f>'様式１-1　プログラムを構成する授業科目（文系学部)'!C2</f>
        <v>久留米大学</v>
      </c>
      <c r="R2" s="181"/>
      <c r="S2" s="181"/>
    </row>
    <row r="3" spans="1:21" ht="18" customHeight="1" x14ac:dyDescent="0.15">
      <c r="A3" s="138" t="s">
        <v>142</v>
      </c>
      <c r="B3" s="138"/>
      <c r="C3" s="138"/>
      <c r="D3" s="138"/>
      <c r="E3" s="138"/>
      <c r="F3" s="138"/>
      <c r="G3" s="138"/>
      <c r="H3" s="138"/>
      <c r="I3" s="138"/>
      <c r="J3" s="138"/>
      <c r="K3" s="138"/>
      <c r="L3" s="138"/>
      <c r="M3" s="138"/>
      <c r="N3" s="138"/>
      <c r="O3" s="138"/>
      <c r="P3" s="138"/>
      <c r="Q3" s="138"/>
      <c r="R3" s="138"/>
      <c r="S3" s="138"/>
    </row>
    <row r="4" spans="1:21" ht="7.5" customHeight="1" x14ac:dyDescent="0.15">
      <c r="A4" s="50"/>
      <c r="B4" s="50"/>
      <c r="C4" s="50"/>
      <c r="D4" s="50"/>
      <c r="E4" s="50"/>
      <c r="F4" s="50"/>
      <c r="G4" s="50"/>
      <c r="H4" s="50"/>
      <c r="I4" s="50"/>
      <c r="J4" s="50"/>
      <c r="K4" s="50"/>
      <c r="L4" s="50"/>
      <c r="M4" s="50"/>
      <c r="N4" s="50"/>
      <c r="O4" s="50"/>
      <c r="P4" s="50"/>
      <c r="Q4" s="50"/>
      <c r="R4" s="50"/>
      <c r="S4" s="50"/>
    </row>
    <row r="5" spans="1:21" ht="18" customHeight="1" x14ac:dyDescent="0.15">
      <c r="A5" s="48" t="s">
        <v>74</v>
      </c>
      <c r="B5" s="48"/>
      <c r="C5" s="182" t="s">
        <v>169</v>
      </c>
      <c r="D5" s="183"/>
      <c r="E5" s="52" t="s">
        <v>125</v>
      </c>
      <c r="F5" s="50"/>
      <c r="G5" s="50"/>
      <c r="H5" s="50"/>
      <c r="I5" s="50"/>
      <c r="J5" s="50"/>
      <c r="K5" s="50"/>
      <c r="L5" s="50"/>
      <c r="M5" s="50"/>
      <c r="N5" s="50"/>
      <c r="O5" s="50"/>
      <c r="P5" s="50"/>
      <c r="Q5" s="50"/>
      <c r="R5" s="49"/>
      <c r="S5" s="49"/>
    </row>
    <row r="6" spans="1:21" ht="7.15" customHeight="1" x14ac:dyDescent="0.15">
      <c r="A6" s="48"/>
      <c r="B6" s="48"/>
      <c r="C6" s="71"/>
      <c r="D6" s="71"/>
      <c r="E6" s="50"/>
      <c r="F6" s="50"/>
      <c r="G6" s="50"/>
      <c r="H6" s="50"/>
      <c r="I6" s="50"/>
      <c r="J6" s="50"/>
      <c r="K6" s="50"/>
      <c r="L6" s="50"/>
      <c r="M6" s="50"/>
      <c r="N6" s="50"/>
      <c r="O6" s="50"/>
      <c r="P6" s="50"/>
      <c r="Q6" s="50"/>
      <c r="R6" s="49"/>
      <c r="S6" s="49"/>
    </row>
    <row r="7" spans="1:21" ht="18" customHeight="1" x14ac:dyDescent="0.15">
      <c r="A7" s="48" t="s">
        <v>108</v>
      </c>
      <c r="B7" s="48"/>
      <c r="C7" s="71"/>
      <c r="D7" s="71"/>
      <c r="E7" s="50" t="s">
        <v>109</v>
      </c>
      <c r="F7" s="53">
        <v>3933</v>
      </c>
      <c r="G7" s="52" t="s">
        <v>110</v>
      </c>
      <c r="H7" s="50" t="s">
        <v>111</v>
      </c>
      <c r="I7" s="53">
        <v>2621</v>
      </c>
      <c r="J7" s="52" t="s">
        <v>110</v>
      </c>
      <c r="K7" s="51" t="s">
        <v>112</v>
      </c>
      <c r="L7" s="50" t="s">
        <v>113</v>
      </c>
      <c r="M7" s="53">
        <f>F7+I7</f>
        <v>6554</v>
      </c>
      <c r="N7" s="50" t="s">
        <v>1</v>
      </c>
      <c r="O7" s="52" t="s">
        <v>114</v>
      </c>
      <c r="P7" s="50"/>
      <c r="Q7" s="50"/>
      <c r="R7" s="49"/>
      <c r="S7" s="49"/>
    </row>
    <row r="8" spans="1:21" ht="17.45" customHeight="1" x14ac:dyDescent="0.15">
      <c r="A8" s="50"/>
      <c r="B8" s="72" t="s">
        <v>128</v>
      </c>
      <c r="C8" s="50"/>
      <c r="D8" s="50"/>
      <c r="E8" s="50"/>
      <c r="F8" s="50"/>
      <c r="G8" s="50"/>
      <c r="H8" s="50"/>
      <c r="I8" s="50"/>
      <c r="J8" s="50"/>
      <c r="K8" s="50"/>
      <c r="L8" s="50"/>
      <c r="M8" s="50"/>
      <c r="N8" s="50"/>
      <c r="O8" s="50"/>
      <c r="P8" s="50"/>
      <c r="Q8" s="50"/>
      <c r="R8" s="50"/>
      <c r="S8" s="50"/>
    </row>
    <row r="9" spans="1:21" ht="18" customHeight="1" x14ac:dyDescent="0.15">
      <c r="A9" s="48" t="s">
        <v>120</v>
      </c>
      <c r="B9" s="50"/>
      <c r="C9" s="50"/>
      <c r="D9" s="50"/>
      <c r="E9" s="50"/>
      <c r="F9" s="50"/>
      <c r="G9" s="50"/>
      <c r="H9" s="50"/>
      <c r="I9" s="50"/>
      <c r="J9" s="50"/>
      <c r="K9" s="50"/>
      <c r="L9" s="50"/>
      <c r="M9" s="50"/>
      <c r="N9" s="50"/>
      <c r="O9" s="50"/>
      <c r="P9" s="50"/>
      <c r="Q9" s="50"/>
      <c r="R9" s="50"/>
      <c r="S9" s="50"/>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84" t="s">
        <v>42</v>
      </c>
      <c r="C11" s="194" t="s">
        <v>77</v>
      </c>
      <c r="D11" s="186" t="s">
        <v>44</v>
      </c>
      <c r="E11" s="188" t="s">
        <v>37</v>
      </c>
      <c r="F11" s="180" t="s">
        <v>126</v>
      </c>
      <c r="G11" s="180"/>
      <c r="H11" s="180" t="s">
        <v>105</v>
      </c>
      <c r="I11" s="180"/>
      <c r="J11" s="180" t="s">
        <v>76</v>
      </c>
      <c r="K11" s="180"/>
      <c r="L11" s="180" t="s">
        <v>45</v>
      </c>
      <c r="M11" s="180"/>
      <c r="N11" s="180" t="s">
        <v>46</v>
      </c>
      <c r="O11" s="180"/>
      <c r="P11" s="180" t="s">
        <v>127</v>
      </c>
      <c r="Q11" s="180"/>
      <c r="R11" s="190" t="s">
        <v>34</v>
      </c>
      <c r="S11" s="192" t="s">
        <v>31</v>
      </c>
      <c r="U11" s="2"/>
    </row>
    <row r="12" spans="1:21" ht="16.899999999999999" customHeight="1" x14ac:dyDescent="0.15">
      <c r="B12" s="185"/>
      <c r="C12" s="195"/>
      <c r="D12" s="187"/>
      <c r="E12" s="189"/>
      <c r="F12" s="73" t="s">
        <v>85</v>
      </c>
      <c r="G12" s="73" t="s">
        <v>28</v>
      </c>
      <c r="H12" s="73" t="s">
        <v>85</v>
      </c>
      <c r="I12" s="73" t="s">
        <v>28</v>
      </c>
      <c r="J12" s="73" t="s">
        <v>85</v>
      </c>
      <c r="K12" s="73" t="s">
        <v>28</v>
      </c>
      <c r="L12" s="73" t="s">
        <v>85</v>
      </c>
      <c r="M12" s="73" t="s">
        <v>28</v>
      </c>
      <c r="N12" s="73" t="s">
        <v>85</v>
      </c>
      <c r="O12" s="73" t="s">
        <v>28</v>
      </c>
      <c r="P12" s="73" t="s">
        <v>85</v>
      </c>
      <c r="Q12" s="74" t="s">
        <v>28</v>
      </c>
      <c r="R12" s="191"/>
      <c r="S12" s="193"/>
      <c r="U12" s="2"/>
    </row>
    <row r="13" spans="1:21" ht="16.899999999999999" customHeight="1" x14ac:dyDescent="0.15">
      <c r="B13" s="83" t="s">
        <v>210</v>
      </c>
      <c r="C13" s="84">
        <v>1287</v>
      </c>
      <c r="D13" s="85">
        <v>299</v>
      </c>
      <c r="E13" s="86">
        <v>1206</v>
      </c>
      <c r="F13" s="86">
        <v>45</v>
      </c>
      <c r="G13" s="86">
        <v>34</v>
      </c>
      <c r="H13" s="87"/>
      <c r="I13" s="87"/>
      <c r="J13" s="87"/>
      <c r="K13" s="87"/>
      <c r="L13" s="87"/>
      <c r="M13" s="87"/>
      <c r="N13" s="87"/>
      <c r="O13" s="87"/>
      <c r="P13" s="87"/>
      <c r="Q13" s="88"/>
      <c r="R13" s="81">
        <f>F13+H13+J13+L13+N13+P13</f>
        <v>45</v>
      </c>
      <c r="S13" s="82">
        <f t="shared" ref="S13:S24" si="0">R13/E13</f>
        <v>3.7313432835820892E-2</v>
      </c>
      <c r="U13" s="2"/>
    </row>
    <row r="14" spans="1:21" ht="18" customHeight="1" x14ac:dyDescent="0.15">
      <c r="A14" s="6"/>
      <c r="B14" s="11" t="s">
        <v>209</v>
      </c>
      <c r="C14" s="36">
        <v>524</v>
      </c>
      <c r="D14" s="37">
        <v>120</v>
      </c>
      <c r="E14" s="38">
        <v>480</v>
      </c>
      <c r="F14" s="79">
        <v>9</v>
      </c>
      <c r="G14" s="79">
        <v>4</v>
      </c>
      <c r="H14" s="39"/>
      <c r="I14" s="39"/>
      <c r="J14" s="39"/>
      <c r="K14" s="39"/>
      <c r="L14" s="39"/>
      <c r="M14" s="39"/>
      <c r="N14" s="39"/>
      <c r="O14" s="39"/>
      <c r="P14" s="39"/>
      <c r="Q14" s="36"/>
      <c r="R14" s="37">
        <f>F14+H14+J14+L14+N14+P14</f>
        <v>9</v>
      </c>
      <c r="S14" s="16">
        <f t="shared" si="0"/>
        <v>1.8749999999999999E-2</v>
      </c>
    </row>
    <row r="15" spans="1:21" ht="18" customHeight="1" x14ac:dyDescent="0.15">
      <c r="A15" s="6"/>
      <c r="B15" s="11" t="s">
        <v>170</v>
      </c>
      <c r="C15" s="36">
        <v>268</v>
      </c>
      <c r="D15" s="37">
        <v>294</v>
      </c>
      <c r="E15" s="38">
        <v>294</v>
      </c>
      <c r="F15" s="79">
        <v>1</v>
      </c>
      <c r="G15" s="79">
        <v>1</v>
      </c>
      <c r="H15" s="39"/>
      <c r="I15" s="39"/>
      <c r="J15" s="39"/>
      <c r="K15" s="39"/>
      <c r="L15" s="39"/>
      <c r="M15" s="39"/>
      <c r="N15" s="39"/>
      <c r="O15" s="39"/>
      <c r="P15" s="39"/>
      <c r="Q15" s="36"/>
      <c r="R15" s="37">
        <f t="shared" ref="R15:R28" si="1">F15+H15+J15+L15+N15+P15</f>
        <v>1</v>
      </c>
      <c r="S15" s="8">
        <f t="shared" si="0"/>
        <v>3.4013605442176869E-3</v>
      </c>
    </row>
    <row r="16" spans="1:21" ht="18" customHeight="1" x14ac:dyDescent="0.15">
      <c r="A16" s="6"/>
      <c r="B16" s="11" t="s">
        <v>171</v>
      </c>
      <c r="C16" s="36">
        <v>693</v>
      </c>
      <c r="D16" s="78" t="s">
        <v>198</v>
      </c>
      <c r="E16" s="38">
        <v>680</v>
      </c>
      <c r="F16" s="79">
        <v>4</v>
      </c>
      <c r="G16" s="79">
        <v>2</v>
      </c>
      <c r="H16" s="39"/>
      <c r="I16" s="39"/>
      <c r="J16" s="39"/>
      <c r="K16" s="39"/>
      <c r="L16" s="39"/>
      <c r="M16" s="39"/>
      <c r="N16" s="39"/>
      <c r="O16" s="39"/>
      <c r="P16" s="39"/>
      <c r="Q16" s="36"/>
      <c r="R16" s="37">
        <f t="shared" si="1"/>
        <v>4</v>
      </c>
      <c r="S16" s="8">
        <f t="shared" si="0"/>
        <v>5.8823529411764705E-3</v>
      </c>
    </row>
    <row r="17" spans="1:19" ht="18" customHeight="1" x14ac:dyDescent="0.15">
      <c r="A17" s="6"/>
      <c r="B17" s="11" t="s">
        <v>172</v>
      </c>
      <c r="C17" s="36">
        <v>217</v>
      </c>
      <c r="D17" s="78" t="s">
        <v>198</v>
      </c>
      <c r="E17" s="38">
        <v>210</v>
      </c>
      <c r="F17" s="79">
        <v>1</v>
      </c>
      <c r="G17" s="79">
        <v>1</v>
      </c>
      <c r="H17" s="39"/>
      <c r="I17" s="39"/>
      <c r="J17" s="39"/>
      <c r="K17" s="39"/>
      <c r="L17" s="39"/>
      <c r="M17" s="39"/>
      <c r="N17" s="39"/>
      <c r="O17" s="39"/>
      <c r="P17" s="39"/>
      <c r="Q17" s="36"/>
      <c r="R17" s="37">
        <f t="shared" si="1"/>
        <v>1</v>
      </c>
      <c r="S17" s="8">
        <f t="shared" si="0"/>
        <v>4.7619047619047623E-3</v>
      </c>
    </row>
    <row r="18" spans="1:19" ht="18" customHeight="1" x14ac:dyDescent="0.15">
      <c r="A18" s="6"/>
      <c r="B18" s="11" t="s">
        <v>173</v>
      </c>
      <c r="C18" s="36">
        <v>309</v>
      </c>
      <c r="D18" s="37">
        <v>257</v>
      </c>
      <c r="E18" s="38">
        <v>257</v>
      </c>
      <c r="F18" s="79">
        <v>40</v>
      </c>
      <c r="G18" s="79">
        <v>28</v>
      </c>
      <c r="H18" s="39"/>
      <c r="I18" s="39"/>
      <c r="J18" s="39"/>
      <c r="K18" s="39"/>
      <c r="L18" s="39"/>
      <c r="M18" s="39"/>
      <c r="N18" s="39"/>
      <c r="O18" s="39"/>
      <c r="P18" s="39"/>
      <c r="Q18" s="36"/>
      <c r="R18" s="37">
        <f t="shared" si="1"/>
        <v>40</v>
      </c>
      <c r="S18" s="8">
        <f t="shared" si="0"/>
        <v>0.1556420233463035</v>
      </c>
    </row>
    <row r="19" spans="1:19" ht="18" customHeight="1" x14ac:dyDescent="0.15">
      <c r="A19" s="6"/>
      <c r="B19" s="11" t="s">
        <v>174</v>
      </c>
      <c r="C19" s="36">
        <v>514</v>
      </c>
      <c r="D19" s="78" t="s">
        <v>198</v>
      </c>
      <c r="E19" s="38">
        <v>475</v>
      </c>
      <c r="F19" s="79">
        <v>61</v>
      </c>
      <c r="G19" s="79">
        <v>48</v>
      </c>
      <c r="H19" s="39"/>
      <c r="I19" s="39"/>
      <c r="J19" s="39"/>
      <c r="K19" s="39"/>
      <c r="L19" s="39"/>
      <c r="M19" s="39"/>
      <c r="N19" s="39"/>
      <c r="O19" s="39"/>
      <c r="P19" s="39"/>
      <c r="Q19" s="36"/>
      <c r="R19" s="37">
        <f t="shared" si="1"/>
        <v>61</v>
      </c>
      <c r="S19" s="8">
        <f t="shared" si="0"/>
        <v>0.12842105263157894</v>
      </c>
    </row>
    <row r="20" spans="1:19" ht="18" customHeight="1" x14ac:dyDescent="0.15">
      <c r="A20" s="6"/>
      <c r="B20" s="11" t="s">
        <v>175</v>
      </c>
      <c r="C20" s="36">
        <v>328</v>
      </c>
      <c r="D20" s="78" t="s">
        <v>198</v>
      </c>
      <c r="E20" s="38">
        <v>304</v>
      </c>
      <c r="F20" s="79">
        <v>16</v>
      </c>
      <c r="G20" s="79">
        <v>13</v>
      </c>
      <c r="H20" s="39"/>
      <c r="I20" s="39"/>
      <c r="J20" s="39"/>
      <c r="K20" s="39"/>
      <c r="L20" s="39"/>
      <c r="M20" s="39"/>
      <c r="N20" s="39"/>
      <c r="O20" s="39"/>
      <c r="P20" s="39"/>
      <c r="Q20" s="36"/>
      <c r="R20" s="37">
        <f t="shared" si="1"/>
        <v>16</v>
      </c>
      <c r="S20" s="8">
        <f t="shared" si="0"/>
        <v>5.2631578947368418E-2</v>
      </c>
    </row>
    <row r="21" spans="1:19" ht="18" customHeight="1" x14ac:dyDescent="0.15">
      <c r="A21" s="6"/>
      <c r="B21" s="11" t="s">
        <v>176</v>
      </c>
      <c r="C21" s="36">
        <v>1119</v>
      </c>
      <c r="D21" s="37">
        <v>250</v>
      </c>
      <c r="E21" s="38">
        <v>1000</v>
      </c>
      <c r="F21" s="79">
        <v>120</v>
      </c>
      <c r="G21" s="79">
        <v>99</v>
      </c>
      <c r="H21" s="39"/>
      <c r="I21" s="39"/>
      <c r="J21" s="39"/>
      <c r="K21" s="39"/>
      <c r="L21" s="39"/>
      <c r="M21" s="39"/>
      <c r="N21" s="39"/>
      <c r="O21" s="39"/>
      <c r="P21" s="39"/>
      <c r="Q21" s="36"/>
      <c r="R21" s="37">
        <f>F21+H21+J21+L21+N21+P21</f>
        <v>120</v>
      </c>
      <c r="S21" s="8">
        <f t="shared" si="0"/>
        <v>0.12</v>
      </c>
    </row>
    <row r="22" spans="1:19" ht="18" customHeight="1" x14ac:dyDescent="0.15">
      <c r="A22" s="6"/>
      <c r="B22" s="11" t="s">
        <v>177</v>
      </c>
      <c r="C22" s="36">
        <v>745</v>
      </c>
      <c r="D22" s="37">
        <v>115</v>
      </c>
      <c r="E22" s="38">
        <v>690</v>
      </c>
      <c r="F22" s="79">
        <v>123</v>
      </c>
      <c r="G22" s="79">
        <v>112</v>
      </c>
      <c r="H22" s="39"/>
      <c r="I22" s="39"/>
      <c r="J22" s="39"/>
      <c r="K22" s="39"/>
      <c r="L22" s="39"/>
      <c r="M22" s="39"/>
      <c r="N22" s="39"/>
      <c r="O22" s="39"/>
      <c r="P22" s="39"/>
      <c r="Q22" s="36"/>
      <c r="R22" s="37">
        <f t="shared" si="1"/>
        <v>123</v>
      </c>
      <c r="S22" s="8">
        <f t="shared" si="0"/>
        <v>0.17826086956521739</v>
      </c>
    </row>
    <row r="23" spans="1:19" ht="18" customHeight="1" x14ac:dyDescent="0.15">
      <c r="A23" s="6"/>
      <c r="B23" s="11" t="s">
        <v>178</v>
      </c>
      <c r="C23" s="36">
        <v>473</v>
      </c>
      <c r="D23" s="37">
        <v>110</v>
      </c>
      <c r="E23" s="38">
        <v>440</v>
      </c>
      <c r="F23" s="79">
        <v>120</v>
      </c>
      <c r="G23" s="79">
        <v>120</v>
      </c>
      <c r="H23" s="39"/>
      <c r="I23" s="39"/>
      <c r="J23" s="39"/>
      <c r="K23" s="39"/>
      <c r="L23" s="39"/>
      <c r="M23" s="39"/>
      <c r="N23" s="39"/>
      <c r="O23" s="39"/>
      <c r="P23" s="39"/>
      <c r="Q23" s="36"/>
      <c r="R23" s="37">
        <f t="shared" si="1"/>
        <v>120</v>
      </c>
      <c r="S23" s="8">
        <f t="shared" si="0"/>
        <v>0.27272727272727271</v>
      </c>
    </row>
    <row r="24" spans="1:19" ht="18" customHeight="1" x14ac:dyDescent="0.15">
      <c r="A24" s="6"/>
      <c r="B24" s="11" t="s">
        <v>179</v>
      </c>
      <c r="C24" s="36">
        <v>77</v>
      </c>
      <c r="D24" s="37">
        <v>74</v>
      </c>
      <c r="E24" s="38">
        <v>74</v>
      </c>
      <c r="F24" s="79">
        <v>74</v>
      </c>
      <c r="G24" s="80">
        <v>0</v>
      </c>
      <c r="H24" s="39"/>
      <c r="I24" s="39"/>
      <c r="J24" s="39"/>
      <c r="K24" s="39"/>
      <c r="L24" s="39"/>
      <c r="M24" s="39"/>
      <c r="N24" s="39"/>
      <c r="O24" s="39"/>
      <c r="P24" s="39"/>
      <c r="Q24" s="36"/>
      <c r="R24" s="37">
        <f t="shared" si="1"/>
        <v>74</v>
      </c>
      <c r="S24" s="8">
        <f t="shared" si="0"/>
        <v>1</v>
      </c>
    </row>
    <row r="25" spans="1:19" ht="18" customHeight="1" x14ac:dyDescent="0.15">
      <c r="A25" s="6"/>
      <c r="B25" s="11"/>
      <c r="C25" s="36"/>
      <c r="D25" s="37"/>
      <c r="E25" s="38"/>
      <c r="F25" s="39"/>
      <c r="G25" s="39"/>
      <c r="H25" s="39"/>
      <c r="I25" s="39"/>
      <c r="J25" s="39"/>
      <c r="K25" s="39"/>
      <c r="L25" s="39"/>
      <c r="M25" s="39"/>
      <c r="N25" s="39"/>
      <c r="O25" s="39"/>
      <c r="P25" s="39"/>
      <c r="Q25" s="36"/>
      <c r="R25" s="37">
        <f t="shared" si="1"/>
        <v>0</v>
      </c>
      <c r="S25" s="8" t="e">
        <f t="shared" ref="S25:S28" si="2">R25/E25</f>
        <v>#DIV/0!</v>
      </c>
    </row>
    <row r="26" spans="1:19" ht="18" customHeight="1" x14ac:dyDescent="0.15">
      <c r="A26" s="6"/>
      <c r="B26" s="11"/>
      <c r="C26" s="36"/>
      <c r="D26" s="40"/>
      <c r="E26" s="38"/>
      <c r="F26" s="39"/>
      <c r="G26" s="39"/>
      <c r="H26" s="39"/>
      <c r="I26" s="39"/>
      <c r="J26" s="39"/>
      <c r="K26" s="39"/>
      <c r="L26" s="39"/>
      <c r="M26" s="39"/>
      <c r="N26" s="39"/>
      <c r="O26" s="39"/>
      <c r="P26" s="39"/>
      <c r="Q26" s="36"/>
      <c r="R26" s="40">
        <f t="shared" si="1"/>
        <v>0</v>
      </c>
      <c r="S26" s="8" t="e">
        <f t="shared" si="2"/>
        <v>#DIV/0!</v>
      </c>
    </row>
    <row r="27" spans="1:19" ht="18" customHeight="1" x14ac:dyDescent="0.15">
      <c r="A27" s="6"/>
      <c r="B27" s="11"/>
      <c r="C27" s="36"/>
      <c r="D27" s="40"/>
      <c r="E27" s="38"/>
      <c r="F27" s="39"/>
      <c r="G27" s="39"/>
      <c r="H27" s="39"/>
      <c r="I27" s="39"/>
      <c r="J27" s="39"/>
      <c r="K27" s="39"/>
      <c r="L27" s="39"/>
      <c r="M27" s="39"/>
      <c r="N27" s="39"/>
      <c r="O27" s="39"/>
      <c r="P27" s="39"/>
      <c r="Q27" s="36"/>
      <c r="R27" s="40">
        <f t="shared" si="1"/>
        <v>0</v>
      </c>
      <c r="S27" s="8" t="e">
        <f t="shared" si="2"/>
        <v>#DIV/0!</v>
      </c>
    </row>
    <row r="28" spans="1:19" ht="18" customHeight="1" thickBot="1" x14ac:dyDescent="0.2">
      <c r="A28" s="6"/>
      <c r="B28" s="12"/>
      <c r="C28" s="34"/>
      <c r="D28" s="41"/>
      <c r="E28" s="35"/>
      <c r="F28" s="35"/>
      <c r="G28" s="35"/>
      <c r="H28" s="35"/>
      <c r="I28" s="35"/>
      <c r="J28" s="35"/>
      <c r="K28" s="35"/>
      <c r="L28" s="35"/>
      <c r="M28" s="35"/>
      <c r="N28" s="35"/>
      <c r="O28" s="35"/>
      <c r="P28" s="35"/>
      <c r="Q28" s="36"/>
      <c r="R28" s="41">
        <f t="shared" si="1"/>
        <v>0</v>
      </c>
      <c r="S28" s="7" t="e">
        <f t="shared" si="2"/>
        <v>#DIV/0!</v>
      </c>
    </row>
    <row r="29" spans="1:19" ht="18" customHeight="1" thickTop="1" x14ac:dyDescent="0.15">
      <c r="B29" s="13" t="s">
        <v>32</v>
      </c>
      <c r="C29" s="42">
        <f>SUM(C13:C28)</f>
        <v>6554</v>
      </c>
      <c r="D29" s="43">
        <f>SUM(D13:D28)</f>
        <v>1519</v>
      </c>
      <c r="E29" s="44">
        <f>SUM(E13:E28)</f>
        <v>6110</v>
      </c>
      <c r="F29" s="44">
        <f>SUM(F13:F28)</f>
        <v>614</v>
      </c>
      <c r="G29" s="44">
        <f>SUM(G13:G28)</f>
        <v>462</v>
      </c>
      <c r="H29" s="44">
        <f t="shared" ref="H29:Q29" si="3">SUM(H14:H28)</f>
        <v>0</v>
      </c>
      <c r="I29" s="44">
        <f t="shared" si="3"/>
        <v>0</v>
      </c>
      <c r="J29" s="44">
        <f t="shared" si="3"/>
        <v>0</v>
      </c>
      <c r="K29" s="44">
        <f t="shared" si="3"/>
        <v>0</v>
      </c>
      <c r="L29" s="44">
        <f t="shared" si="3"/>
        <v>0</v>
      </c>
      <c r="M29" s="44">
        <f t="shared" si="3"/>
        <v>0</v>
      </c>
      <c r="N29" s="44">
        <f t="shared" si="3"/>
        <v>0</v>
      </c>
      <c r="O29" s="44">
        <f t="shared" si="3"/>
        <v>0</v>
      </c>
      <c r="P29" s="44">
        <f t="shared" si="3"/>
        <v>0</v>
      </c>
      <c r="Q29" s="42">
        <f t="shared" si="3"/>
        <v>0</v>
      </c>
      <c r="R29" s="42">
        <f>SUM(R13:R28)</f>
        <v>614</v>
      </c>
      <c r="S29" s="9">
        <f>R29/E29</f>
        <v>0.10049099836333879</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7" orientation="landscape" r:id="rId1"/>
  <headerFooter>
    <oddHeader>&amp;C数理・データサイエンス・AI教育プログラム認定制度【リテラシーレベル】</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479F0-E34D-4C1E-9338-4DCFE884B537}">
  <sheetPr>
    <pageSetUpPr fitToPage="1"/>
  </sheetPr>
  <dimension ref="A1:O134"/>
  <sheetViews>
    <sheetView showZeros="0" view="pageBreakPreview" topLeftCell="A31" zoomScaleNormal="100" zoomScaleSheetLayoutView="100" workbookViewId="0">
      <selection activeCell="B52" sqref="B52:I63"/>
    </sheetView>
  </sheetViews>
  <sheetFormatPr defaultColWidth="11.375" defaultRowHeight="18.75" customHeight="1" x14ac:dyDescent="0.15"/>
  <cols>
    <col min="1" max="1" width="2.75" style="20"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20" t="s">
        <v>58</v>
      </c>
      <c r="I1" s="18" t="s">
        <v>90</v>
      </c>
    </row>
    <row r="2" spans="1:9" ht="18.75" customHeight="1" x14ac:dyDescent="0.15">
      <c r="G2" s="18" t="s">
        <v>92</v>
      </c>
      <c r="H2" s="99" t="str">
        <f>'[1]様式１-1　プログラムを構成する授業科目（文系学部)'!C2</f>
        <v>久留米大学</v>
      </c>
      <c r="I2" s="101"/>
    </row>
    <row r="3" spans="1:9" ht="18.75" customHeight="1" x14ac:dyDescent="0.15">
      <c r="G3" s="18"/>
      <c r="H3" s="10"/>
      <c r="I3" s="10"/>
    </row>
    <row r="4" spans="1:9" ht="18.600000000000001" customHeight="1" x14ac:dyDescent="0.15">
      <c r="A4" s="138" t="s">
        <v>35</v>
      </c>
      <c r="B4" s="138"/>
      <c r="C4" s="138"/>
      <c r="D4" s="138"/>
      <c r="E4" s="138"/>
      <c r="F4" s="138"/>
      <c r="G4" s="138"/>
      <c r="H4" s="138"/>
      <c r="I4" s="138"/>
    </row>
    <row r="5" spans="1:9" ht="13.15" customHeight="1" x14ac:dyDescent="0.15">
      <c r="B5" s="3"/>
      <c r="C5" s="3"/>
      <c r="D5" s="3"/>
      <c r="E5" s="3"/>
      <c r="F5" s="3"/>
      <c r="G5" s="3"/>
      <c r="H5" s="3"/>
      <c r="I5" s="3"/>
    </row>
    <row r="6" spans="1:9" ht="18" customHeight="1" x14ac:dyDescent="0.15">
      <c r="A6" s="1" t="s">
        <v>0</v>
      </c>
      <c r="B6" s="10" t="s">
        <v>80</v>
      </c>
      <c r="C6" s="261" t="s">
        <v>81</v>
      </c>
      <c r="D6" s="261"/>
      <c r="E6" s="17">
        <v>1655</v>
      </c>
      <c r="F6" s="3" t="s">
        <v>1</v>
      </c>
      <c r="G6" s="3" t="s">
        <v>2</v>
      </c>
      <c r="H6" s="17">
        <v>415</v>
      </c>
      <c r="I6" s="10" t="s">
        <v>1</v>
      </c>
    </row>
    <row r="7" spans="1:9" ht="12" customHeight="1" x14ac:dyDescent="0.15">
      <c r="C7" s="2"/>
      <c r="D7" s="2"/>
      <c r="E7" s="2"/>
      <c r="F7" s="2"/>
      <c r="G7" s="2"/>
      <c r="H7" s="2"/>
      <c r="I7" s="21"/>
    </row>
    <row r="8" spans="1:9" ht="18" customHeight="1" x14ac:dyDescent="0.15">
      <c r="A8" s="1" t="s">
        <v>3</v>
      </c>
      <c r="B8" s="10" t="s">
        <v>82</v>
      </c>
      <c r="E8" s="3"/>
      <c r="F8" s="3"/>
      <c r="G8" s="3"/>
      <c r="H8" s="17">
        <v>20</v>
      </c>
      <c r="I8" s="10" t="s">
        <v>1</v>
      </c>
    </row>
    <row r="9" spans="1:9" ht="9" customHeight="1" x14ac:dyDescent="0.15">
      <c r="B9" s="3"/>
      <c r="C9" s="3"/>
      <c r="D9" s="3"/>
      <c r="E9" s="3"/>
      <c r="F9" s="3"/>
      <c r="G9" s="3"/>
      <c r="H9" s="3"/>
      <c r="I9" s="3"/>
    </row>
    <row r="10" spans="1:9" ht="18" customHeight="1" x14ac:dyDescent="0.15">
      <c r="A10" s="1" t="s">
        <v>4</v>
      </c>
      <c r="B10" s="10" t="s">
        <v>83</v>
      </c>
      <c r="C10" s="3"/>
      <c r="D10" s="3"/>
      <c r="E10" s="3"/>
      <c r="F10" s="3"/>
      <c r="G10" s="3"/>
      <c r="H10" s="3"/>
      <c r="I10" s="3"/>
    </row>
    <row r="11" spans="1:9" ht="18" customHeight="1" x14ac:dyDescent="0.15">
      <c r="B11" s="18" t="s">
        <v>40</v>
      </c>
      <c r="C11" s="223" t="s">
        <v>180</v>
      </c>
      <c r="D11" s="224"/>
      <c r="E11" s="225"/>
      <c r="F11" s="21"/>
      <c r="G11" s="18" t="s">
        <v>10</v>
      </c>
      <c r="H11" s="259" t="s">
        <v>181</v>
      </c>
      <c r="I11" s="260"/>
    </row>
    <row r="12" spans="1:9" ht="10.15" customHeight="1" x14ac:dyDescent="0.15">
      <c r="B12" s="18"/>
      <c r="C12" s="10"/>
      <c r="D12" s="21"/>
      <c r="E12" s="21"/>
      <c r="F12" s="21"/>
      <c r="G12" s="18"/>
      <c r="H12" s="10"/>
      <c r="I12" s="21"/>
    </row>
    <row r="13" spans="1:9" ht="18" customHeight="1" x14ac:dyDescent="0.15">
      <c r="A13" s="1" t="s">
        <v>7</v>
      </c>
      <c r="B13" s="10" t="s">
        <v>78</v>
      </c>
      <c r="C13" s="3"/>
      <c r="D13" s="3"/>
      <c r="E13" s="3"/>
      <c r="F13" s="3"/>
      <c r="G13" s="3"/>
      <c r="H13" s="3"/>
      <c r="I13" s="3"/>
    </row>
    <row r="14" spans="1:9" ht="18" customHeight="1" x14ac:dyDescent="0.15">
      <c r="B14" s="220" t="s">
        <v>182</v>
      </c>
      <c r="C14" s="221"/>
      <c r="D14" s="221"/>
      <c r="E14" s="221"/>
      <c r="F14" s="221"/>
      <c r="G14" s="221"/>
      <c r="H14" s="221"/>
      <c r="I14" s="222"/>
    </row>
    <row r="15" spans="1:9" ht="9" customHeight="1" x14ac:dyDescent="0.15">
      <c r="B15" s="3"/>
      <c r="C15" s="3"/>
      <c r="D15" s="3"/>
      <c r="E15" s="3"/>
      <c r="F15" s="3"/>
      <c r="G15" s="3"/>
      <c r="H15" s="3"/>
      <c r="I15" s="3"/>
    </row>
    <row r="16" spans="1:9" ht="18" customHeight="1" x14ac:dyDescent="0.15">
      <c r="B16" s="18" t="s">
        <v>40</v>
      </c>
      <c r="C16" s="223" t="s">
        <v>183</v>
      </c>
      <c r="D16" s="224"/>
      <c r="E16" s="225"/>
      <c r="F16" s="21"/>
      <c r="G16" s="18" t="s">
        <v>10</v>
      </c>
      <c r="H16" s="223" t="s">
        <v>184</v>
      </c>
      <c r="I16" s="225"/>
    </row>
    <row r="17" spans="1:9" ht="18" customHeight="1" x14ac:dyDescent="0.15">
      <c r="B17" s="3"/>
      <c r="C17" s="3"/>
      <c r="D17" s="3"/>
      <c r="E17" s="3"/>
      <c r="F17" s="3"/>
      <c r="G17" s="3"/>
      <c r="H17" s="3"/>
      <c r="I17" s="3"/>
    </row>
    <row r="18" spans="1:9" ht="18.75" customHeight="1" x14ac:dyDescent="0.15">
      <c r="A18" s="1" t="s">
        <v>5</v>
      </c>
      <c r="B18" s="1" t="s">
        <v>39</v>
      </c>
      <c r="I18" s="3"/>
    </row>
    <row r="19" spans="1:9" ht="18.75" customHeight="1" x14ac:dyDescent="0.15">
      <c r="A19" s="1"/>
      <c r="B19" s="197" t="s">
        <v>185</v>
      </c>
      <c r="C19" s="198"/>
      <c r="D19" s="198"/>
      <c r="E19" s="198"/>
      <c r="F19" s="198"/>
      <c r="G19" s="198"/>
      <c r="H19" s="198"/>
      <c r="I19" s="199"/>
    </row>
    <row r="20" spans="1:9" ht="7.5" customHeight="1" x14ac:dyDescent="0.15">
      <c r="B20" s="3"/>
      <c r="C20" s="3"/>
      <c r="D20" s="3"/>
      <c r="E20" s="3"/>
      <c r="F20" s="3"/>
      <c r="G20" s="3"/>
      <c r="H20" s="3"/>
      <c r="I20" s="3"/>
    </row>
    <row r="21" spans="1:9" ht="18.75" customHeight="1" x14ac:dyDescent="0.15">
      <c r="A21" s="1" t="s">
        <v>8</v>
      </c>
      <c r="B21" s="1" t="s">
        <v>24</v>
      </c>
    </row>
    <row r="22" spans="1:9" ht="18.75" customHeight="1" x14ac:dyDescent="0.15">
      <c r="A22" s="14"/>
      <c r="B22" s="200" t="s">
        <v>197</v>
      </c>
      <c r="C22" s="201"/>
      <c r="D22" s="201"/>
      <c r="E22" s="201"/>
      <c r="F22" s="201"/>
      <c r="G22" s="201"/>
      <c r="H22" s="201"/>
      <c r="I22" s="202"/>
    </row>
    <row r="23" spans="1:9" ht="18.75" customHeight="1" x14ac:dyDescent="0.15">
      <c r="A23" s="14"/>
      <c r="B23" s="203"/>
      <c r="C23" s="204"/>
      <c r="D23" s="204"/>
      <c r="E23" s="204"/>
      <c r="F23" s="204"/>
      <c r="G23" s="204"/>
      <c r="H23" s="204"/>
      <c r="I23" s="205"/>
    </row>
    <row r="24" spans="1:9" ht="18.75" customHeight="1" x14ac:dyDescent="0.15">
      <c r="A24" s="14"/>
      <c r="B24" s="203"/>
      <c r="C24" s="204"/>
      <c r="D24" s="204"/>
      <c r="E24" s="204"/>
      <c r="F24" s="204"/>
      <c r="G24" s="204"/>
      <c r="H24" s="204"/>
      <c r="I24" s="205"/>
    </row>
    <row r="25" spans="1:9" ht="18.75" customHeight="1" x14ac:dyDescent="0.15">
      <c r="A25" s="14"/>
      <c r="B25" s="203"/>
      <c r="C25" s="204"/>
      <c r="D25" s="204"/>
      <c r="E25" s="204"/>
      <c r="F25" s="204"/>
      <c r="G25" s="204"/>
      <c r="H25" s="204"/>
      <c r="I25" s="205"/>
    </row>
    <row r="26" spans="1:9" ht="18.75" customHeight="1" x14ac:dyDescent="0.15">
      <c r="A26" s="14"/>
      <c r="B26" s="203"/>
      <c r="C26" s="204"/>
      <c r="D26" s="204"/>
      <c r="E26" s="204"/>
      <c r="F26" s="204"/>
      <c r="G26" s="204"/>
      <c r="H26" s="204"/>
      <c r="I26" s="205"/>
    </row>
    <row r="27" spans="1:9" ht="18.75" customHeight="1" x14ac:dyDescent="0.15">
      <c r="A27" s="14"/>
      <c r="B27" s="203"/>
      <c r="C27" s="204"/>
      <c r="D27" s="204"/>
      <c r="E27" s="204"/>
      <c r="F27" s="204"/>
      <c r="G27" s="204"/>
      <c r="H27" s="204"/>
      <c r="I27" s="205"/>
    </row>
    <row r="28" spans="1:9" ht="18.75" customHeight="1" x14ac:dyDescent="0.15">
      <c r="A28" s="14"/>
      <c r="B28" s="203"/>
      <c r="C28" s="204"/>
      <c r="D28" s="204"/>
      <c r="E28" s="204"/>
      <c r="F28" s="204"/>
      <c r="G28" s="204"/>
      <c r="H28" s="204"/>
      <c r="I28" s="205"/>
    </row>
    <row r="29" spans="1:9" ht="18.75" customHeight="1" x14ac:dyDescent="0.15">
      <c r="A29" s="14"/>
      <c r="B29" s="203"/>
      <c r="C29" s="204"/>
      <c r="D29" s="204"/>
      <c r="E29" s="204"/>
      <c r="F29" s="204"/>
      <c r="G29" s="204"/>
      <c r="H29" s="204"/>
      <c r="I29" s="205"/>
    </row>
    <row r="30" spans="1:9" ht="18.75" customHeight="1" x14ac:dyDescent="0.15">
      <c r="A30" s="14"/>
      <c r="B30" s="206"/>
      <c r="C30" s="207"/>
      <c r="D30" s="207"/>
      <c r="E30" s="207"/>
      <c r="F30" s="207"/>
      <c r="G30" s="207"/>
      <c r="H30" s="207"/>
      <c r="I30" s="205"/>
    </row>
    <row r="31" spans="1:9" ht="18.75" customHeight="1" x14ac:dyDescent="0.15">
      <c r="A31" s="14"/>
      <c r="B31" s="206"/>
      <c r="C31" s="207"/>
      <c r="D31" s="207"/>
      <c r="E31" s="207"/>
      <c r="F31" s="207"/>
      <c r="G31" s="207"/>
      <c r="H31" s="207"/>
      <c r="I31" s="205"/>
    </row>
    <row r="32" spans="1:9" ht="18.75" customHeight="1" x14ac:dyDescent="0.15">
      <c r="A32" s="14"/>
      <c r="B32" s="208"/>
      <c r="C32" s="209"/>
      <c r="D32" s="209"/>
      <c r="E32" s="209"/>
      <c r="F32" s="209"/>
      <c r="G32" s="209"/>
      <c r="H32" s="209"/>
      <c r="I32" s="210"/>
    </row>
    <row r="33" spans="1:9" ht="7.5" customHeight="1" x14ac:dyDescent="0.15">
      <c r="A33" s="14"/>
      <c r="B33" s="14"/>
      <c r="C33" s="14"/>
      <c r="D33" s="14"/>
      <c r="E33" s="14"/>
      <c r="F33" s="14"/>
      <c r="G33" s="14"/>
      <c r="H33" s="14"/>
      <c r="I33" s="14"/>
    </row>
    <row r="34" spans="1:9" ht="18.75" customHeight="1" x14ac:dyDescent="0.15">
      <c r="A34" s="15" t="s">
        <v>6</v>
      </c>
      <c r="B34" s="15" t="s">
        <v>9</v>
      </c>
      <c r="C34" s="10"/>
      <c r="D34" s="15"/>
      <c r="E34" s="15"/>
      <c r="F34" s="15"/>
      <c r="G34" s="15"/>
      <c r="H34" s="15"/>
      <c r="I34" s="15"/>
    </row>
    <row r="35" spans="1:9" ht="18.75" customHeight="1" x14ac:dyDescent="0.15">
      <c r="A35" s="14"/>
      <c r="B35" s="211" t="s">
        <v>206</v>
      </c>
      <c r="C35" s="212"/>
      <c r="D35" s="212"/>
      <c r="E35" s="212"/>
      <c r="F35" s="212"/>
      <c r="G35" s="212"/>
      <c r="H35" s="212"/>
      <c r="I35" s="213"/>
    </row>
    <row r="36" spans="1:9" ht="18.75" customHeight="1" x14ac:dyDescent="0.15">
      <c r="A36" s="14"/>
      <c r="B36" s="214"/>
      <c r="C36" s="215"/>
      <c r="D36" s="215"/>
      <c r="E36" s="215"/>
      <c r="F36" s="215"/>
      <c r="G36" s="215"/>
      <c r="H36" s="215"/>
      <c r="I36" s="216"/>
    </row>
    <row r="37" spans="1:9" ht="18.75" customHeight="1" x14ac:dyDescent="0.15">
      <c r="A37" s="14"/>
      <c r="B37" s="214"/>
      <c r="C37" s="215"/>
      <c r="D37" s="215"/>
      <c r="E37" s="215"/>
      <c r="F37" s="215"/>
      <c r="G37" s="215"/>
      <c r="H37" s="215"/>
      <c r="I37" s="216"/>
    </row>
    <row r="38" spans="1:9" ht="18.75" customHeight="1" x14ac:dyDescent="0.15">
      <c r="A38" s="14"/>
      <c r="B38" s="214"/>
      <c r="C38" s="215"/>
      <c r="D38" s="215"/>
      <c r="E38" s="215"/>
      <c r="F38" s="215"/>
      <c r="G38" s="215"/>
      <c r="H38" s="215"/>
      <c r="I38" s="216"/>
    </row>
    <row r="39" spans="1:9" ht="18.75" customHeight="1" x14ac:dyDescent="0.15">
      <c r="A39" s="14"/>
      <c r="B39" s="214"/>
      <c r="C39" s="215"/>
      <c r="D39" s="215"/>
      <c r="E39" s="215"/>
      <c r="F39" s="215"/>
      <c r="G39" s="215"/>
      <c r="H39" s="215"/>
      <c r="I39" s="216"/>
    </row>
    <row r="40" spans="1:9" ht="18.75" customHeight="1" x14ac:dyDescent="0.15">
      <c r="A40" s="14"/>
      <c r="B40" s="214"/>
      <c r="C40" s="215"/>
      <c r="D40" s="215"/>
      <c r="E40" s="215"/>
      <c r="F40" s="215"/>
      <c r="G40" s="215"/>
      <c r="H40" s="215"/>
      <c r="I40" s="216"/>
    </row>
    <row r="41" spans="1:9" ht="18.75" customHeight="1" x14ac:dyDescent="0.15">
      <c r="A41" s="14"/>
      <c r="B41" s="214"/>
      <c r="C41" s="215"/>
      <c r="D41" s="215"/>
      <c r="E41" s="215"/>
      <c r="F41" s="215"/>
      <c r="G41" s="215"/>
      <c r="H41" s="215"/>
      <c r="I41" s="216"/>
    </row>
    <row r="42" spans="1:9" ht="18.75" customHeight="1" x14ac:dyDescent="0.15">
      <c r="A42" s="14"/>
      <c r="B42" s="214"/>
      <c r="C42" s="215"/>
      <c r="D42" s="215"/>
      <c r="E42" s="215"/>
      <c r="F42" s="215"/>
      <c r="G42" s="215"/>
      <c r="H42" s="215"/>
      <c r="I42" s="216"/>
    </row>
    <row r="43" spans="1:9" ht="18.75" customHeight="1" x14ac:dyDescent="0.15">
      <c r="A43" s="14"/>
      <c r="B43" s="214"/>
      <c r="C43" s="215"/>
      <c r="D43" s="215"/>
      <c r="E43" s="215"/>
      <c r="F43" s="215"/>
      <c r="G43" s="215"/>
      <c r="H43" s="215"/>
      <c r="I43" s="216"/>
    </row>
    <row r="44" spans="1:9" ht="18.75" customHeight="1" x14ac:dyDescent="0.15">
      <c r="A44" s="14"/>
      <c r="B44" s="214"/>
      <c r="C44" s="215"/>
      <c r="D44" s="215"/>
      <c r="E44" s="215"/>
      <c r="F44" s="215"/>
      <c r="G44" s="215"/>
      <c r="H44" s="215"/>
      <c r="I44" s="216"/>
    </row>
    <row r="45" spans="1:9" ht="18.75" customHeight="1" x14ac:dyDescent="0.15">
      <c r="A45" s="14"/>
      <c r="B45" s="214"/>
      <c r="C45" s="215"/>
      <c r="D45" s="215"/>
      <c r="E45" s="215"/>
      <c r="F45" s="215"/>
      <c r="G45" s="215"/>
      <c r="H45" s="215"/>
      <c r="I45" s="216"/>
    </row>
    <row r="46" spans="1:9" ht="18.75" customHeight="1" x14ac:dyDescent="0.15">
      <c r="A46" s="14"/>
      <c r="B46" s="217"/>
      <c r="C46" s="218"/>
      <c r="D46" s="218"/>
      <c r="E46" s="218"/>
      <c r="F46" s="218"/>
      <c r="G46" s="218"/>
      <c r="H46" s="218"/>
      <c r="I46" s="219"/>
    </row>
    <row r="47" spans="1:9" ht="7.5" customHeight="1" x14ac:dyDescent="0.15">
      <c r="A47" s="4"/>
      <c r="B47" s="4"/>
      <c r="C47" s="4"/>
      <c r="D47" s="4"/>
      <c r="E47" s="4"/>
      <c r="F47" s="4"/>
      <c r="G47" s="4"/>
      <c r="H47" s="4"/>
      <c r="I47" s="4"/>
    </row>
    <row r="48" spans="1:9" ht="18.75" customHeight="1" x14ac:dyDescent="0.15">
      <c r="A48" s="1" t="s">
        <v>30</v>
      </c>
      <c r="B48" s="1" t="s">
        <v>104</v>
      </c>
    </row>
    <row r="49" spans="1:15" s="3" customFormat="1" ht="18.75" customHeight="1" x14ac:dyDescent="0.15">
      <c r="B49" s="75" t="s">
        <v>129</v>
      </c>
      <c r="C49" s="249">
        <f>'[1]様式２ 履修者等数の実績'!S33</f>
        <v>0.10049099836333879</v>
      </c>
      <c r="D49" s="249"/>
      <c r="E49" s="89" t="s">
        <v>59</v>
      </c>
      <c r="F49" s="249">
        <v>0.13</v>
      </c>
      <c r="G49" s="249"/>
      <c r="H49" s="89" t="s">
        <v>79</v>
      </c>
      <c r="I49" s="90">
        <v>0.15</v>
      </c>
      <c r="J49" s="1"/>
      <c r="M49" s="1"/>
      <c r="N49" s="22"/>
    </row>
    <row r="50" spans="1:15" s="3" customFormat="1" ht="18.75" customHeight="1" x14ac:dyDescent="0.15">
      <c r="B50" s="76" t="s">
        <v>115</v>
      </c>
      <c r="C50" s="230">
        <v>0.19</v>
      </c>
      <c r="D50" s="230"/>
      <c r="E50" s="91" t="s">
        <v>130</v>
      </c>
      <c r="F50" s="230">
        <v>0.21</v>
      </c>
      <c r="G50" s="230"/>
      <c r="H50" s="91" t="s">
        <v>60</v>
      </c>
      <c r="I50" s="92">
        <f>'[1]様式２ 履修者等数の実績'!E33</f>
        <v>6110</v>
      </c>
      <c r="J50" s="1"/>
      <c r="M50" s="1"/>
      <c r="N50" s="22"/>
    </row>
    <row r="51" spans="1:15" ht="18.75" customHeight="1" x14ac:dyDescent="0.15">
      <c r="A51" s="1"/>
      <c r="B51" s="227" t="s">
        <v>61</v>
      </c>
      <c r="C51" s="228"/>
      <c r="D51" s="228"/>
      <c r="E51" s="228"/>
      <c r="F51" s="228"/>
      <c r="G51" s="228"/>
      <c r="H51" s="228"/>
      <c r="I51" s="229"/>
      <c r="N51" s="22"/>
      <c r="O51" s="3"/>
    </row>
    <row r="52" spans="1:15" ht="18.75" customHeight="1" x14ac:dyDescent="0.15">
      <c r="A52" s="1"/>
      <c r="B52" s="250" t="s">
        <v>226</v>
      </c>
      <c r="C52" s="251"/>
      <c r="D52" s="251"/>
      <c r="E52" s="251"/>
      <c r="F52" s="251"/>
      <c r="G52" s="251"/>
      <c r="H52" s="251"/>
      <c r="I52" s="252"/>
      <c r="N52" s="22"/>
      <c r="O52" s="3"/>
    </row>
    <row r="53" spans="1:15" ht="18.75" customHeight="1" x14ac:dyDescent="0.15">
      <c r="A53" s="1"/>
      <c r="B53" s="253"/>
      <c r="C53" s="254"/>
      <c r="D53" s="254"/>
      <c r="E53" s="254"/>
      <c r="F53" s="254"/>
      <c r="G53" s="254"/>
      <c r="H53" s="254"/>
      <c r="I53" s="255"/>
      <c r="N53" s="22"/>
      <c r="O53" s="3"/>
    </row>
    <row r="54" spans="1:15" ht="18.75" customHeight="1" x14ac:dyDescent="0.15">
      <c r="A54" s="1"/>
      <c r="B54" s="253"/>
      <c r="C54" s="254"/>
      <c r="D54" s="254"/>
      <c r="E54" s="254"/>
      <c r="F54" s="254"/>
      <c r="G54" s="254"/>
      <c r="H54" s="254"/>
      <c r="I54" s="255"/>
    </row>
    <row r="55" spans="1:15" ht="18.75" customHeight="1" x14ac:dyDescent="0.15">
      <c r="A55" s="1"/>
      <c r="B55" s="253"/>
      <c r="C55" s="254"/>
      <c r="D55" s="254"/>
      <c r="E55" s="254"/>
      <c r="F55" s="254"/>
      <c r="G55" s="254"/>
      <c r="H55" s="254"/>
      <c r="I55" s="255"/>
    </row>
    <row r="56" spans="1:15" ht="18.75" customHeight="1" x14ac:dyDescent="0.15">
      <c r="A56" s="1"/>
      <c r="B56" s="253"/>
      <c r="C56" s="254"/>
      <c r="D56" s="254"/>
      <c r="E56" s="254"/>
      <c r="F56" s="254"/>
      <c r="G56" s="254"/>
      <c r="H56" s="254"/>
      <c r="I56" s="255"/>
    </row>
    <row r="57" spans="1:15" ht="18.75" customHeight="1" x14ac:dyDescent="0.15">
      <c r="A57" s="1"/>
      <c r="B57" s="253"/>
      <c r="C57" s="254"/>
      <c r="D57" s="254"/>
      <c r="E57" s="254"/>
      <c r="F57" s="254"/>
      <c r="G57" s="254"/>
      <c r="H57" s="254"/>
      <c r="I57" s="255"/>
    </row>
    <row r="58" spans="1:15" ht="18.75" customHeight="1" x14ac:dyDescent="0.15">
      <c r="A58" s="1"/>
      <c r="B58" s="253"/>
      <c r="C58" s="254"/>
      <c r="D58" s="254"/>
      <c r="E58" s="254"/>
      <c r="F58" s="254"/>
      <c r="G58" s="254"/>
      <c r="H58" s="254"/>
      <c r="I58" s="255"/>
    </row>
    <row r="59" spans="1:15" ht="18.75" customHeight="1" x14ac:dyDescent="0.15">
      <c r="A59" s="1"/>
      <c r="B59" s="253"/>
      <c r="C59" s="254"/>
      <c r="D59" s="254"/>
      <c r="E59" s="254"/>
      <c r="F59" s="254"/>
      <c r="G59" s="254"/>
      <c r="H59" s="254"/>
      <c r="I59" s="255"/>
    </row>
    <row r="60" spans="1:15" ht="18.75" customHeight="1" x14ac:dyDescent="0.15">
      <c r="A60" s="1"/>
      <c r="B60" s="253"/>
      <c r="C60" s="254"/>
      <c r="D60" s="254"/>
      <c r="E60" s="254"/>
      <c r="F60" s="254"/>
      <c r="G60" s="254"/>
      <c r="H60" s="254"/>
      <c r="I60" s="255"/>
    </row>
    <row r="61" spans="1:15" ht="18.75" customHeight="1" x14ac:dyDescent="0.15">
      <c r="A61" s="1"/>
      <c r="B61" s="253"/>
      <c r="C61" s="254"/>
      <c r="D61" s="254"/>
      <c r="E61" s="254"/>
      <c r="F61" s="254"/>
      <c r="G61" s="254"/>
      <c r="H61" s="254"/>
      <c r="I61" s="255"/>
    </row>
    <row r="62" spans="1:15" ht="18.75" customHeight="1" x14ac:dyDescent="0.15">
      <c r="A62" s="1"/>
      <c r="B62" s="253"/>
      <c r="C62" s="254"/>
      <c r="D62" s="254"/>
      <c r="E62" s="254"/>
      <c r="F62" s="254"/>
      <c r="G62" s="254"/>
      <c r="H62" s="254"/>
      <c r="I62" s="255"/>
    </row>
    <row r="63" spans="1:15" ht="18.75" customHeight="1" x14ac:dyDescent="0.15">
      <c r="A63" s="1"/>
      <c r="B63" s="256"/>
      <c r="C63" s="257"/>
      <c r="D63" s="257"/>
      <c r="E63" s="257"/>
      <c r="F63" s="257"/>
      <c r="G63" s="257"/>
      <c r="H63" s="257"/>
      <c r="I63" s="258"/>
    </row>
    <row r="64" spans="1:15" ht="7.5" customHeight="1" x14ac:dyDescent="0.15">
      <c r="A64" s="14"/>
      <c r="B64" s="14"/>
      <c r="C64" s="14"/>
      <c r="D64" s="14"/>
      <c r="E64" s="14"/>
      <c r="F64" s="14"/>
      <c r="G64" s="14"/>
      <c r="H64" s="14"/>
      <c r="I64" s="14"/>
    </row>
    <row r="65" spans="1:9" ht="18.75" customHeight="1" x14ac:dyDescent="0.15">
      <c r="A65" s="15" t="s">
        <v>33</v>
      </c>
      <c r="B65" s="1" t="s">
        <v>36</v>
      </c>
      <c r="I65" s="15"/>
    </row>
    <row r="66" spans="1:9" ht="18.75" customHeight="1" x14ac:dyDescent="0.15">
      <c r="A66" s="4"/>
      <c r="B66" s="231" t="s">
        <v>227</v>
      </c>
      <c r="C66" s="232"/>
      <c r="D66" s="232"/>
      <c r="E66" s="232"/>
      <c r="F66" s="232"/>
      <c r="G66" s="232"/>
      <c r="H66" s="232"/>
      <c r="I66" s="233"/>
    </row>
    <row r="67" spans="1:9" ht="18.75" customHeight="1" x14ac:dyDescent="0.15">
      <c r="A67" s="4"/>
      <c r="B67" s="234"/>
      <c r="C67" s="235"/>
      <c r="D67" s="235"/>
      <c r="E67" s="235"/>
      <c r="F67" s="235"/>
      <c r="G67" s="235"/>
      <c r="H67" s="235"/>
      <c r="I67" s="236"/>
    </row>
    <row r="68" spans="1:9" ht="18.75" customHeight="1" x14ac:dyDescent="0.15">
      <c r="A68" s="4"/>
      <c r="B68" s="234"/>
      <c r="C68" s="235"/>
      <c r="D68" s="235"/>
      <c r="E68" s="235"/>
      <c r="F68" s="235"/>
      <c r="G68" s="235"/>
      <c r="H68" s="235"/>
      <c r="I68" s="236"/>
    </row>
    <row r="69" spans="1:9" ht="18.75" customHeight="1" x14ac:dyDescent="0.15">
      <c r="A69" s="4"/>
      <c r="B69" s="234"/>
      <c r="C69" s="235"/>
      <c r="D69" s="235"/>
      <c r="E69" s="235"/>
      <c r="F69" s="235"/>
      <c r="G69" s="235"/>
      <c r="H69" s="235"/>
      <c r="I69" s="236"/>
    </row>
    <row r="70" spans="1:9" ht="18.75" customHeight="1" x14ac:dyDescent="0.15">
      <c r="A70" s="4"/>
      <c r="B70" s="234"/>
      <c r="C70" s="235"/>
      <c r="D70" s="235"/>
      <c r="E70" s="235"/>
      <c r="F70" s="235"/>
      <c r="G70" s="235"/>
      <c r="H70" s="235"/>
      <c r="I70" s="236"/>
    </row>
    <row r="71" spans="1:9" ht="18.75" customHeight="1" x14ac:dyDescent="0.15">
      <c r="A71" s="4"/>
      <c r="B71" s="234"/>
      <c r="C71" s="235"/>
      <c r="D71" s="235"/>
      <c r="E71" s="235"/>
      <c r="F71" s="235"/>
      <c r="G71" s="235"/>
      <c r="H71" s="235"/>
      <c r="I71" s="236"/>
    </row>
    <row r="72" spans="1:9" ht="18.75" customHeight="1" x14ac:dyDescent="0.15">
      <c r="A72" s="4"/>
      <c r="B72" s="234"/>
      <c r="C72" s="235"/>
      <c r="D72" s="235"/>
      <c r="E72" s="235"/>
      <c r="F72" s="235"/>
      <c r="G72" s="235"/>
      <c r="H72" s="235"/>
      <c r="I72" s="236"/>
    </row>
    <row r="73" spans="1:9" ht="18.75" customHeight="1" x14ac:dyDescent="0.15">
      <c r="A73" s="4"/>
      <c r="B73" s="234"/>
      <c r="C73" s="235"/>
      <c r="D73" s="235"/>
      <c r="E73" s="235"/>
      <c r="F73" s="235"/>
      <c r="G73" s="235"/>
      <c r="H73" s="235"/>
      <c r="I73" s="236"/>
    </row>
    <row r="74" spans="1:9" ht="18.75" customHeight="1" x14ac:dyDescent="0.15">
      <c r="A74" s="4"/>
      <c r="B74" s="234"/>
      <c r="C74" s="235"/>
      <c r="D74" s="235"/>
      <c r="E74" s="235"/>
      <c r="F74" s="235"/>
      <c r="G74" s="235"/>
      <c r="H74" s="235"/>
      <c r="I74" s="236"/>
    </row>
    <row r="75" spans="1:9" ht="18.75" customHeight="1" x14ac:dyDescent="0.15">
      <c r="A75" s="4"/>
      <c r="B75" s="234"/>
      <c r="C75" s="235"/>
      <c r="D75" s="235"/>
      <c r="E75" s="235"/>
      <c r="F75" s="235"/>
      <c r="G75" s="235"/>
      <c r="H75" s="235"/>
      <c r="I75" s="236"/>
    </row>
    <row r="76" spans="1:9" ht="18.75" customHeight="1" x14ac:dyDescent="0.15">
      <c r="A76" s="4"/>
      <c r="B76" s="234"/>
      <c r="C76" s="235"/>
      <c r="D76" s="235"/>
      <c r="E76" s="235"/>
      <c r="F76" s="235"/>
      <c r="G76" s="235"/>
      <c r="H76" s="235"/>
      <c r="I76" s="236"/>
    </row>
    <row r="77" spans="1:9" ht="18.75" customHeight="1" x14ac:dyDescent="0.15">
      <c r="A77" s="4"/>
      <c r="B77" s="237"/>
      <c r="C77" s="238"/>
      <c r="D77" s="238"/>
      <c r="E77" s="238"/>
      <c r="F77" s="238"/>
      <c r="G77" s="238"/>
      <c r="H77" s="238"/>
      <c r="I77" s="239"/>
    </row>
    <row r="78" spans="1:9" ht="7.5" customHeight="1" x14ac:dyDescent="0.15">
      <c r="A78" s="4"/>
      <c r="B78" s="4"/>
      <c r="C78" s="4"/>
      <c r="D78" s="4"/>
      <c r="E78" s="4"/>
      <c r="F78" s="4"/>
      <c r="G78" s="4"/>
      <c r="H78" s="4"/>
      <c r="I78" s="4"/>
    </row>
    <row r="79" spans="1:9" ht="18.75" customHeight="1" x14ac:dyDescent="0.15">
      <c r="A79" s="1" t="s">
        <v>11</v>
      </c>
      <c r="B79" s="1" t="s">
        <v>38</v>
      </c>
    </row>
    <row r="80" spans="1:9" ht="18.75" customHeight="1" x14ac:dyDescent="0.15">
      <c r="A80" s="1"/>
      <c r="B80" s="240" t="s">
        <v>186</v>
      </c>
      <c r="C80" s="241"/>
      <c r="D80" s="241"/>
      <c r="E80" s="241"/>
      <c r="F80" s="241"/>
      <c r="G80" s="241"/>
      <c r="H80" s="241"/>
      <c r="I80" s="242"/>
    </row>
    <row r="81" spans="1:9" ht="18.75" customHeight="1" x14ac:dyDescent="0.15">
      <c r="A81" s="1"/>
      <c r="B81" s="243"/>
      <c r="C81" s="244"/>
      <c r="D81" s="244"/>
      <c r="E81" s="244"/>
      <c r="F81" s="244"/>
      <c r="G81" s="244"/>
      <c r="H81" s="244"/>
      <c r="I81" s="245"/>
    </row>
    <row r="82" spans="1:9" ht="18.75" customHeight="1" x14ac:dyDescent="0.15">
      <c r="A82" s="1"/>
      <c r="B82" s="243"/>
      <c r="C82" s="244"/>
      <c r="D82" s="244"/>
      <c r="E82" s="244"/>
      <c r="F82" s="244"/>
      <c r="G82" s="244"/>
      <c r="H82" s="244"/>
      <c r="I82" s="245"/>
    </row>
    <row r="83" spans="1:9" ht="18.75" customHeight="1" x14ac:dyDescent="0.15">
      <c r="A83" s="1"/>
      <c r="B83" s="243"/>
      <c r="C83" s="244"/>
      <c r="D83" s="244"/>
      <c r="E83" s="244"/>
      <c r="F83" s="244"/>
      <c r="G83" s="244"/>
      <c r="H83" s="244"/>
      <c r="I83" s="245"/>
    </row>
    <row r="84" spans="1:9" ht="18.75" customHeight="1" x14ac:dyDescent="0.15">
      <c r="A84" s="1"/>
      <c r="B84" s="243"/>
      <c r="C84" s="244"/>
      <c r="D84" s="244"/>
      <c r="E84" s="244"/>
      <c r="F84" s="244"/>
      <c r="G84" s="244"/>
      <c r="H84" s="244"/>
      <c r="I84" s="245"/>
    </row>
    <row r="85" spans="1:9" ht="18.75" customHeight="1" x14ac:dyDescent="0.15">
      <c r="A85" s="1"/>
      <c r="B85" s="243"/>
      <c r="C85" s="244"/>
      <c r="D85" s="244"/>
      <c r="E85" s="244"/>
      <c r="F85" s="244"/>
      <c r="G85" s="244"/>
      <c r="H85" s="244"/>
      <c r="I85" s="245"/>
    </row>
    <row r="86" spans="1:9" ht="18.75" customHeight="1" x14ac:dyDescent="0.15">
      <c r="A86" s="1"/>
      <c r="B86" s="243"/>
      <c r="C86" s="244"/>
      <c r="D86" s="244"/>
      <c r="E86" s="244"/>
      <c r="F86" s="244"/>
      <c r="G86" s="244"/>
      <c r="H86" s="244"/>
      <c r="I86" s="245"/>
    </row>
    <row r="87" spans="1:9" ht="18.75" customHeight="1" x14ac:dyDescent="0.15">
      <c r="A87" s="1"/>
      <c r="B87" s="243"/>
      <c r="C87" s="244"/>
      <c r="D87" s="244"/>
      <c r="E87" s="244"/>
      <c r="F87" s="244"/>
      <c r="G87" s="244"/>
      <c r="H87" s="244"/>
      <c r="I87" s="245"/>
    </row>
    <row r="88" spans="1:9" ht="18.75" customHeight="1" x14ac:dyDescent="0.15">
      <c r="A88" s="1"/>
      <c r="B88" s="243"/>
      <c r="C88" s="244"/>
      <c r="D88" s="244"/>
      <c r="E88" s="244"/>
      <c r="F88" s="244"/>
      <c r="G88" s="244"/>
      <c r="H88" s="244"/>
      <c r="I88" s="245"/>
    </row>
    <row r="89" spans="1:9" ht="18.75" customHeight="1" x14ac:dyDescent="0.15">
      <c r="A89" s="1"/>
      <c r="B89" s="243"/>
      <c r="C89" s="244"/>
      <c r="D89" s="244"/>
      <c r="E89" s="244"/>
      <c r="F89" s="244"/>
      <c r="G89" s="244"/>
      <c r="H89" s="244"/>
      <c r="I89" s="245"/>
    </row>
    <row r="90" spans="1:9" ht="18.75" customHeight="1" x14ac:dyDescent="0.15">
      <c r="A90" s="4"/>
      <c r="B90" s="243"/>
      <c r="C90" s="244"/>
      <c r="D90" s="244"/>
      <c r="E90" s="244"/>
      <c r="F90" s="244"/>
      <c r="G90" s="244"/>
      <c r="H90" s="244"/>
      <c r="I90" s="245"/>
    </row>
    <row r="91" spans="1:9" ht="18.75" customHeight="1" x14ac:dyDescent="0.15">
      <c r="A91" s="4"/>
      <c r="B91" s="246"/>
      <c r="C91" s="247"/>
      <c r="D91" s="247"/>
      <c r="E91" s="247"/>
      <c r="F91" s="247"/>
      <c r="G91" s="247"/>
      <c r="H91" s="247"/>
      <c r="I91" s="248"/>
    </row>
    <row r="92" spans="1:9" ht="7.5" customHeight="1" x14ac:dyDescent="0.15">
      <c r="A92" s="4"/>
      <c r="B92" s="4"/>
      <c r="C92" s="4"/>
      <c r="D92" s="4"/>
      <c r="E92" s="4"/>
      <c r="F92" s="4"/>
      <c r="G92" s="4"/>
      <c r="H92" s="4"/>
      <c r="I92" s="4"/>
    </row>
    <row r="93" spans="1:9" ht="18.75" customHeight="1" x14ac:dyDescent="0.15">
      <c r="A93" s="1" t="s">
        <v>41</v>
      </c>
      <c r="B93" s="1" t="s">
        <v>12</v>
      </c>
    </row>
    <row r="94" spans="1:9" ht="18.75" customHeight="1" x14ac:dyDescent="0.15">
      <c r="A94" s="1"/>
      <c r="B94" s="200" t="s">
        <v>187</v>
      </c>
      <c r="C94" s="201"/>
      <c r="D94" s="201"/>
      <c r="E94" s="201"/>
      <c r="F94" s="201"/>
      <c r="G94" s="201"/>
      <c r="H94" s="201"/>
      <c r="I94" s="202"/>
    </row>
    <row r="95" spans="1:9" ht="18.75" customHeight="1" x14ac:dyDescent="0.15">
      <c r="A95" s="1"/>
      <c r="B95" s="206"/>
      <c r="C95" s="207"/>
      <c r="D95" s="207"/>
      <c r="E95" s="207"/>
      <c r="F95" s="207"/>
      <c r="G95" s="207"/>
      <c r="H95" s="207"/>
      <c r="I95" s="205"/>
    </row>
    <row r="96" spans="1:9" ht="18.75" customHeight="1" x14ac:dyDescent="0.15">
      <c r="A96" s="1"/>
      <c r="B96" s="206"/>
      <c r="C96" s="207"/>
      <c r="D96" s="207"/>
      <c r="E96" s="207"/>
      <c r="F96" s="207"/>
      <c r="G96" s="207"/>
      <c r="H96" s="207"/>
      <c r="I96" s="205"/>
    </row>
    <row r="97" spans="1:9" ht="18.75" customHeight="1" x14ac:dyDescent="0.15">
      <c r="A97" s="1"/>
      <c r="B97" s="206"/>
      <c r="C97" s="207"/>
      <c r="D97" s="207"/>
      <c r="E97" s="207"/>
      <c r="F97" s="207"/>
      <c r="G97" s="207"/>
      <c r="H97" s="207"/>
      <c r="I97" s="205"/>
    </row>
    <row r="98" spans="1:9" ht="18.75" customHeight="1" x14ac:dyDescent="0.15">
      <c r="A98" s="1"/>
      <c r="B98" s="206"/>
      <c r="C98" s="207"/>
      <c r="D98" s="207"/>
      <c r="E98" s="207"/>
      <c r="F98" s="207"/>
      <c r="G98" s="207"/>
      <c r="H98" s="207"/>
      <c r="I98" s="205"/>
    </row>
    <row r="99" spans="1:9" ht="18.75" customHeight="1" x14ac:dyDescent="0.15">
      <c r="A99" s="1"/>
      <c r="B99" s="206"/>
      <c r="C99" s="207"/>
      <c r="D99" s="207"/>
      <c r="E99" s="207"/>
      <c r="F99" s="207"/>
      <c r="G99" s="207"/>
      <c r="H99" s="207"/>
      <c r="I99" s="205"/>
    </row>
    <row r="100" spans="1:9" ht="18.75" customHeight="1" x14ac:dyDescent="0.15">
      <c r="A100" s="1"/>
      <c r="B100" s="206"/>
      <c r="C100" s="207"/>
      <c r="D100" s="207"/>
      <c r="E100" s="207"/>
      <c r="F100" s="207"/>
      <c r="G100" s="207"/>
      <c r="H100" s="207"/>
      <c r="I100" s="205"/>
    </row>
    <row r="101" spans="1:9" ht="18.75" customHeight="1" x14ac:dyDescent="0.15">
      <c r="A101" s="1"/>
      <c r="B101" s="206"/>
      <c r="C101" s="207"/>
      <c r="D101" s="207"/>
      <c r="E101" s="207"/>
      <c r="F101" s="207"/>
      <c r="G101" s="207"/>
      <c r="H101" s="207"/>
      <c r="I101" s="205"/>
    </row>
    <row r="102" spans="1:9" ht="18.75" customHeight="1" x14ac:dyDescent="0.15">
      <c r="A102" s="1"/>
      <c r="B102" s="206"/>
      <c r="C102" s="207"/>
      <c r="D102" s="207"/>
      <c r="E102" s="207"/>
      <c r="F102" s="207"/>
      <c r="G102" s="207"/>
      <c r="H102" s="207"/>
      <c r="I102" s="205"/>
    </row>
    <row r="103" spans="1:9" ht="18.75" customHeight="1" x14ac:dyDescent="0.15">
      <c r="A103" s="1"/>
      <c r="B103" s="206"/>
      <c r="C103" s="207"/>
      <c r="D103" s="207"/>
      <c r="E103" s="207"/>
      <c r="F103" s="207"/>
      <c r="G103" s="207"/>
      <c r="H103" s="207"/>
      <c r="I103" s="205"/>
    </row>
    <row r="104" spans="1:9" ht="18.75" customHeight="1" x14ac:dyDescent="0.15">
      <c r="A104" s="1"/>
      <c r="B104" s="206"/>
      <c r="C104" s="207"/>
      <c r="D104" s="207"/>
      <c r="E104" s="207"/>
      <c r="F104" s="207"/>
      <c r="G104" s="207"/>
      <c r="H104" s="207"/>
      <c r="I104" s="205"/>
    </row>
    <row r="105" spans="1:9" ht="18.75" customHeight="1" x14ac:dyDescent="0.15">
      <c r="A105" s="4"/>
      <c r="B105" s="208"/>
      <c r="C105" s="209"/>
      <c r="D105" s="209"/>
      <c r="E105" s="209"/>
      <c r="F105" s="209"/>
      <c r="G105" s="209"/>
      <c r="H105" s="209"/>
      <c r="I105" s="210"/>
    </row>
    <row r="106" spans="1:9" ht="7.5" customHeight="1" x14ac:dyDescent="0.15">
      <c r="A106" s="4"/>
      <c r="B106" s="4"/>
      <c r="C106" s="4"/>
      <c r="D106" s="4"/>
      <c r="E106" s="4"/>
      <c r="F106" s="4"/>
      <c r="G106" s="4"/>
      <c r="H106" s="4"/>
      <c r="I106" s="4"/>
    </row>
    <row r="107" spans="1:9" ht="18.75" customHeight="1" x14ac:dyDescent="0.15">
      <c r="A107" s="1" t="s">
        <v>29</v>
      </c>
      <c r="B107" s="226" t="s">
        <v>43</v>
      </c>
      <c r="C107" s="226"/>
      <c r="D107" s="226"/>
      <c r="E107" s="226"/>
      <c r="F107" s="226"/>
      <c r="G107" s="226"/>
      <c r="H107" s="226"/>
      <c r="I107" s="226"/>
    </row>
    <row r="108" spans="1:9" ht="18.75" customHeight="1" x14ac:dyDescent="0.15">
      <c r="A108" s="4"/>
      <c r="B108" s="200" t="s">
        <v>188</v>
      </c>
      <c r="C108" s="201"/>
      <c r="D108" s="201"/>
      <c r="E108" s="201"/>
      <c r="F108" s="201"/>
      <c r="G108" s="201"/>
      <c r="H108" s="201"/>
      <c r="I108" s="202"/>
    </row>
    <row r="109" spans="1:9" ht="18.75" customHeight="1" x14ac:dyDescent="0.15">
      <c r="A109" s="4"/>
      <c r="B109" s="206"/>
      <c r="C109" s="207"/>
      <c r="D109" s="207"/>
      <c r="E109" s="207"/>
      <c r="F109" s="207"/>
      <c r="G109" s="207"/>
      <c r="H109" s="207"/>
      <c r="I109" s="205"/>
    </row>
    <row r="110" spans="1:9" ht="18.75" customHeight="1" x14ac:dyDescent="0.15">
      <c r="A110" s="4"/>
      <c r="B110" s="206"/>
      <c r="C110" s="207"/>
      <c r="D110" s="207"/>
      <c r="E110" s="207"/>
      <c r="F110" s="207"/>
      <c r="G110" s="207"/>
      <c r="H110" s="207"/>
      <c r="I110" s="205"/>
    </row>
    <row r="111" spans="1:9" ht="18.75" customHeight="1" x14ac:dyDescent="0.15">
      <c r="A111" s="4"/>
      <c r="B111" s="206"/>
      <c r="C111" s="207"/>
      <c r="D111" s="207"/>
      <c r="E111" s="207"/>
      <c r="F111" s="207"/>
      <c r="G111" s="207"/>
      <c r="H111" s="207"/>
      <c r="I111" s="205"/>
    </row>
    <row r="112" spans="1:9" ht="18.75" customHeight="1" x14ac:dyDescent="0.15">
      <c r="A112" s="4"/>
      <c r="B112" s="206"/>
      <c r="C112" s="207"/>
      <c r="D112" s="207"/>
      <c r="E112" s="207"/>
      <c r="F112" s="207"/>
      <c r="G112" s="207"/>
      <c r="H112" s="207"/>
      <c r="I112" s="205"/>
    </row>
    <row r="113" spans="1:9" ht="18.75" customHeight="1" x14ac:dyDescent="0.15">
      <c r="A113" s="4"/>
      <c r="B113" s="206"/>
      <c r="C113" s="207"/>
      <c r="D113" s="207"/>
      <c r="E113" s="207"/>
      <c r="F113" s="207"/>
      <c r="G113" s="207"/>
      <c r="H113" s="207"/>
      <c r="I113" s="205"/>
    </row>
    <row r="114" spans="1:9" ht="18.75" customHeight="1" x14ac:dyDescent="0.15">
      <c r="A114" s="4"/>
      <c r="B114" s="206"/>
      <c r="C114" s="207"/>
      <c r="D114" s="207"/>
      <c r="E114" s="207"/>
      <c r="F114" s="207"/>
      <c r="G114" s="207"/>
      <c r="H114" s="207"/>
      <c r="I114" s="205"/>
    </row>
    <row r="115" spans="1:9" ht="18.75" customHeight="1" x14ac:dyDescent="0.15">
      <c r="A115" s="4"/>
      <c r="B115" s="206"/>
      <c r="C115" s="207"/>
      <c r="D115" s="207"/>
      <c r="E115" s="207"/>
      <c r="F115" s="207"/>
      <c r="G115" s="207"/>
      <c r="H115" s="207"/>
      <c r="I115" s="205"/>
    </row>
    <row r="116" spans="1:9" ht="18.75" customHeight="1" x14ac:dyDescent="0.15">
      <c r="A116" s="4"/>
      <c r="B116" s="206"/>
      <c r="C116" s="207"/>
      <c r="D116" s="207"/>
      <c r="E116" s="207"/>
      <c r="F116" s="207"/>
      <c r="G116" s="207"/>
      <c r="H116" s="207"/>
      <c r="I116" s="205"/>
    </row>
    <row r="117" spans="1:9" ht="18.75" customHeight="1" x14ac:dyDescent="0.15">
      <c r="A117" s="4"/>
      <c r="B117" s="206"/>
      <c r="C117" s="207"/>
      <c r="D117" s="207"/>
      <c r="E117" s="207"/>
      <c r="F117" s="207"/>
      <c r="G117" s="207"/>
      <c r="H117" s="207"/>
      <c r="I117" s="205"/>
    </row>
    <row r="118" spans="1:9" ht="18.75" customHeight="1" x14ac:dyDescent="0.15">
      <c r="A118" s="4"/>
      <c r="B118" s="206"/>
      <c r="C118" s="207"/>
      <c r="D118" s="207"/>
      <c r="E118" s="207"/>
      <c r="F118" s="207"/>
      <c r="G118" s="207"/>
      <c r="H118" s="207"/>
      <c r="I118" s="205"/>
    </row>
    <row r="119" spans="1:9" ht="18.75" customHeight="1" x14ac:dyDescent="0.15">
      <c r="A119" s="4"/>
      <c r="B119" s="208"/>
      <c r="C119" s="209"/>
      <c r="D119" s="209"/>
      <c r="E119" s="209"/>
      <c r="F119" s="209"/>
      <c r="G119" s="209"/>
      <c r="H119" s="209"/>
      <c r="I119" s="210"/>
    </row>
    <row r="120" spans="1:9" ht="7.5" customHeight="1" x14ac:dyDescent="0.15">
      <c r="A120" s="4"/>
      <c r="B120" s="23"/>
      <c r="C120" s="23"/>
      <c r="D120" s="23"/>
      <c r="E120" s="23"/>
      <c r="F120" s="23"/>
      <c r="G120" s="23"/>
      <c r="H120" s="23"/>
      <c r="I120" s="23"/>
    </row>
    <row r="121" spans="1:9" ht="18.75" customHeight="1" x14ac:dyDescent="0.15">
      <c r="A121" s="45"/>
      <c r="B121" s="196"/>
      <c r="C121" s="196"/>
      <c r="D121" s="196"/>
      <c r="E121" s="196"/>
      <c r="F121" s="196"/>
      <c r="G121" s="196"/>
      <c r="H121" s="196"/>
      <c r="I121" s="196"/>
    </row>
    <row r="122" spans="1:9" ht="18.75" customHeight="1" x14ac:dyDescent="0.15">
      <c r="A122" s="45"/>
      <c r="B122" s="196"/>
      <c r="C122" s="196"/>
      <c r="D122" s="196"/>
      <c r="E122" s="196"/>
      <c r="F122" s="196"/>
      <c r="G122" s="196"/>
      <c r="H122" s="196"/>
      <c r="I122" s="196"/>
    </row>
    <row r="123" spans="1:9" ht="18.75" customHeight="1" x14ac:dyDescent="0.15">
      <c r="A123" s="4"/>
      <c r="B123" s="46"/>
      <c r="C123" s="46"/>
      <c r="D123" s="46"/>
      <c r="E123" s="46"/>
      <c r="F123" s="46"/>
      <c r="G123" s="46"/>
      <c r="H123" s="46"/>
      <c r="I123" s="47"/>
    </row>
    <row r="124" spans="1:9" ht="18.75" customHeight="1" x14ac:dyDescent="0.15">
      <c r="A124" s="4"/>
      <c r="B124" s="47"/>
      <c r="C124" s="47"/>
      <c r="D124" s="47"/>
      <c r="E124" s="47"/>
      <c r="F124" s="47"/>
      <c r="G124" s="47"/>
      <c r="H124" s="47"/>
      <c r="I124" s="47"/>
    </row>
    <row r="125" spans="1:9" ht="18.75" customHeight="1" x14ac:dyDescent="0.15">
      <c r="A125" s="4"/>
      <c r="B125" s="47"/>
      <c r="C125" s="47"/>
      <c r="D125" s="47"/>
      <c r="E125" s="47"/>
      <c r="F125" s="47"/>
      <c r="G125" s="47"/>
      <c r="H125" s="47"/>
      <c r="I125" s="47"/>
    </row>
    <row r="126" spans="1:9" ht="18.75" customHeight="1" x14ac:dyDescent="0.15">
      <c r="A126" s="4"/>
      <c r="B126" s="47"/>
      <c r="C126" s="47"/>
      <c r="D126" s="47"/>
      <c r="E126" s="47"/>
      <c r="F126" s="47"/>
      <c r="G126" s="47"/>
      <c r="H126" s="47"/>
      <c r="I126" s="47"/>
    </row>
    <row r="127" spans="1:9" ht="18.75" customHeight="1" x14ac:dyDescent="0.15">
      <c r="A127" s="4"/>
      <c r="B127" s="47"/>
      <c r="C127" s="47"/>
      <c r="D127" s="47"/>
      <c r="E127" s="47"/>
      <c r="F127" s="47"/>
      <c r="G127" s="47"/>
      <c r="H127" s="47"/>
      <c r="I127" s="47"/>
    </row>
    <row r="128" spans="1:9" ht="18.75" customHeight="1" x14ac:dyDescent="0.15">
      <c r="A128" s="4"/>
      <c r="B128" s="47"/>
      <c r="C128" s="47"/>
      <c r="D128" s="47"/>
      <c r="E128" s="47"/>
      <c r="F128" s="47"/>
      <c r="G128" s="47"/>
      <c r="H128" s="47"/>
      <c r="I128" s="47"/>
    </row>
    <row r="129" spans="1:9" ht="18.75" customHeight="1" x14ac:dyDescent="0.15">
      <c r="A129" s="4"/>
      <c r="B129" s="47"/>
      <c r="C129" s="47"/>
      <c r="D129" s="47"/>
      <c r="E129" s="47"/>
      <c r="F129" s="47"/>
      <c r="G129" s="47"/>
      <c r="H129" s="47"/>
      <c r="I129" s="47"/>
    </row>
    <row r="130" spans="1:9" ht="18.75" customHeight="1" x14ac:dyDescent="0.15">
      <c r="A130" s="4"/>
      <c r="B130" s="47"/>
      <c r="C130" s="47"/>
      <c r="D130" s="47"/>
      <c r="E130" s="47"/>
      <c r="F130" s="47"/>
      <c r="G130" s="47"/>
      <c r="H130" s="47"/>
      <c r="I130" s="47"/>
    </row>
    <row r="131" spans="1:9" ht="18.75" customHeight="1" x14ac:dyDescent="0.15">
      <c r="A131" s="4"/>
      <c r="B131" s="47"/>
      <c r="C131" s="47"/>
      <c r="D131" s="47"/>
      <c r="E131" s="47"/>
      <c r="F131" s="47"/>
      <c r="G131" s="47"/>
      <c r="H131" s="47"/>
      <c r="I131" s="47"/>
    </row>
    <row r="132" spans="1:9" ht="18.75" customHeight="1" x14ac:dyDescent="0.15">
      <c r="A132" s="4"/>
      <c r="B132" s="47"/>
      <c r="C132" s="47"/>
      <c r="D132" s="47"/>
      <c r="E132" s="47"/>
      <c r="F132" s="47"/>
      <c r="G132" s="47"/>
      <c r="H132" s="47"/>
      <c r="I132" s="47"/>
    </row>
    <row r="133" spans="1:9" ht="14.25" x14ac:dyDescent="0.15">
      <c r="A133" s="4"/>
      <c r="B133" s="47"/>
      <c r="C133" s="47"/>
      <c r="D133" s="47"/>
      <c r="E133" s="47"/>
      <c r="F133" s="47"/>
      <c r="G133" s="47"/>
      <c r="H133" s="47"/>
      <c r="I133" s="47"/>
    </row>
    <row r="134" spans="1:9" ht="7.5" customHeight="1" x14ac:dyDescent="0.15">
      <c r="A134" s="4"/>
      <c r="B134" s="47"/>
      <c r="C134" s="47"/>
      <c r="D134" s="47"/>
      <c r="E134" s="47"/>
      <c r="F134" s="47"/>
      <c r="G134" s="47"/>
      <c r="H134" s="47"/>
      <c r="I134" s="47"/>
    </row>
  </sheetData>
  <mergeCells count="23">
    <mergeCell ref="C6:D6"/>
    <mergeCell ref="C49:D49"/>
    <mergeCell ref="B80:I91"/>
    <mergeCell ref="C50:D50"/>
    <mergeCell ref="F49:G49"/>
    <mergeCell ref="B52:I63"/>
    <mergeCell ref="H11:I11"/>
    <mergeCell ref="B121:I122"/>
    <mergeCell ref="H2:I2"/>
    <mergeCell ref="A4:I4"/>
    <mergeCell ref="B19:I19"/>
    <mergeCell ref="B22:I32"/>
    <mergeCell ref="B35:I46"/>
    <mergeCell ref="B14:I14"/>
    <mergeCell ref="C16:E16"/>
    <mergeCell ref="H16:I16"/>
    <mergeCell ref="C11:E11"/>
    <mergeCell ref="B94:I105"/>
    <mergeCell ref="B107:I107"/>
    <mergeCell ref="B108:I119"/>
    <mergeCell ref="B51:I51"/>
    <mergeCell ref="F50:G50"/>
    <mergeCell ref="B66:I77"/>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I30"/>
  <sheetViews>
    <sheetView showZeros="0" view="pageBreakPreview" zoomScale="78" zoomScaleNormal="100" zoomScaleSheetLayoutView="78" workbookViewId="0">
      <selection activeCell="E15" sqref="E15:I15"/>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62</v>
      </c>
      <c r="I1" s="18" t="s">
        <v>89</v>
      </c>
    </row>
    <row r="2" spans="1:9" ht="18.75" customHeight="1" x14ac:dyDescent="0.15">
      <c r="H2" s="18" t="s">
        <v>92</v>
      </c>
      <c r="I2" s="17" t="str">
        <f>'様式１-1　プログラムを構成する授業科目（文系学部)'!C2</f>
        <v>久留米大学</v>
      </c>
    </row>
    <row r="3" spans="1:9" ht="18.75" customHeight="1" x14ac:dyDescent="0.15">
      <c r="A3" s="138" t="s">
        <v>27</v>
      </c>
      <c r="B3" s="138"/>
      <c r="C3" s="138"/>
      <c r="D3" s="138"/>
      <c r="E3" s="138"/>
      <c r="F3" s="138"/>
      <c r="G3" s="138"/>
      <c r="H3" s="138"/>
      <c r="I3" s="138"/>
    </row>
    <row r="4" spans="1:9" ht="18.75" customHeight="1" x14ac:dyDescent="0.15">
      <c r="A4" s="5"/>
      <c r="B4" s="5"/>
      <c r="C4" s="5"/>
      <c r="D4" s="5"/>
      <c r="E4" s="5"/>
      <c r="F4" s="5"/>
      <c r="G4" s="5"/>
      <c r="H4" s="5"/>
      <c r="I4" s="5"/>
    </row>
    <row r="5" spans="1:9" ht="18.75" customHeight="1" x14ac:dyDescent="0.15">
      <c r="A5" s="1" t="s">
        <v>0</v>
      </c>
      <c r="B5" s="10" t="s">
        <v>84</v>
      </c>
      <c r="C5" s="5"/>
      <c r="D5" s="5"/>
      <c r="E5" s="5"/>
      <c r="F5" s="5"/>
      <c r="G5" s="5"/>
      <c r="H5" s="5"/>
      <c r="I5" s="5"/>
    </row>
    <row r="6" spans="1:9" ht="26.25" customHeight="1" x14ac:dyDescent="0.15">
      <c r="A6" s="5"/>
      <c r="B6" s="223" t="s">
        <v>189</v>
      </c>
      <c r="C6" s="287"/>
      <c r="D6" s="287"/>
      <c r="E6" s="287"/>
      <c r="F6" s="287"/>
      <c r="G6" s="287"/>
      <c r="H6" s="288"/>
      <c r="I6" s="3"/>
    </row>
    <row r="7" spans="1:9" ht="9" customHeight="1" x14ac:dyDescent="0.15">
      <c r="A7" s="5"/>
      <c r="B7" s="10"/>
      <c r="C7" s="10"/>
      <c r="D7" s="10"/>
      <c r="E7" s="10"/>
      <c r="F7" s="10"/>
      <c r="G7" s="10"/>
      <c r="H7" s="10"/>
      <c r="I7" s="3"/>
    </row>
    <row r="8" spans="1:9" ht="18.75" customHeight="1" x14ac:dyDescent="0.15">
      <c r="A8" s="5"/>
      <c r="B8" s="3"/>
      <c r="C8" s="3"/>
      <c r="D8" s="18" t="s">
        <v>40</v>
      </c>
      <c r="E8" s="19" t="s">
        <v>190</v>
      </c>
      <c r="F8" s="3"/>
      <c r="G8" s="18" t="s">
        <v>10</v>
      </c>
      <c r="H8" s="77" t="s">
        <v>181</v>
      </c>
      <c r="I8" s="3"/>
    </row>
    <row r="9" spans="1:9" ht="7.5" customHeight="1" x14ac:dyDescent="0.15">
      <c r="A9" s="5"/>
      <c r="B9" s="5"/>
      <c r="C9" s="5"/>
      <c r="D9" s="5"/>
      <c r="E9" s="5"/>
      <c r="F9" s="5"/>
      <c r="G9" s="5"/>
      <c r="H9" s="5"/>
      <c r="I9" s="5"/>
    </row>
    <row r="10" spans="1:9" ht="18.75" customHeight="1" x14ac:dyDescent="0.15">
      <c r="A10" s="1" t="s">
        <v>3</v>
      </c>
      <c r="B10" s="1" t="s">
        <v>26</v>
      </c>
      <c r="C10" s="4"/>
      <c r="D10" s="4"/>
      <c r="E10" s="4"/>
      <c r="F10" s="4"/>
      <c r="G10" s="4"/>
      <c r="H10" s="4"/>
      <c r="I10" s="4"/>
    </row>
    <row r="11" spans="1:9" ht="18.75" customHeight="1" x14ac:dyDescent="0.15">
      <c r="B11" s="99" t="s">
        <v>23</v>
      </c>
      <c r="C11" s="100"/>
      <c r="D11" s="101"/>
      <c r="E11" s="100" t="s">
        <v>25</v>
      </c>
      <c r="F11" s="100"/>
      <c r="G11" s="100"/>
      <c r="H11" s="100"/>
      <c r="I11" s="101"/>
    </row>
    <row r="12" spans="1:9" ht="26.25" customHeight="1" x14ac:dyDescent="0.15">
      <c r="B12" s="24" t="s">
        <v>13</v>
      </c>
      <c r="C12" s="31"/>
      <c r="D12" s="25"/>
      <c r="E12" s="32"/>
      <c r="F12" s="32"/>
      <c r="G12" s="32"/>
      <c r="H12" s="32"/>
      <c r="I12" s="25"/>
    </row>
    <row r="13" spans="1:9" ht="210.75" customHeight="1" x14ac:dyDescent="0.15">
      <c r="B13" s="26"/>
      <c r="C13" s="267" t="s">
        <v>14</v>
      </c>
      <c r="D13" s="268"/>
      <c r="E13" s="286" t="s">
        <v>207</v>
      </c>
      <c r="F13" s="269"/>
      <c r="G13" s="269"/>
      <c r="H13" s="269"/>
      <c r="I13" s="270"/>
    </row>
    <row r="14" spans="1:9" ht="210.75" customHeight="1" x14ac:dyDescent="0.15">
      <c r="B14" s="26"/>
      <c r="C14" s="284" t="s">
        <v>15</v>
      </c>
      <c r="D14" s="285"/>
      <c r="E14" s="286" t="s">
        <v>191</v>
      </c>
      <c r="F14" s="269"/>
      <c r="G14" s="269"/>
      <c r="H14" s="269"/>
      <c r="I14" s="270"/>
    </row>
    <row r="15" spans="1:9" ht="210.75" customHeight="1" x14ac:dyDescent="0.15">
      <c r="B15" s="26"/>
      <c r="C15" s="267" t="s">
        <v>16</v>
      </c>
      <c r="D15" s="268"/>
      <c r="E15" s="280" t="s">
        <v>208</v>
      </c>
      <c r="F15" s="281"/>
      <c r="G15" s="281"/>
      <c r="H15" s="281"/>
      <c r="I15" s="282"/>
    </row>
    <row r="16" spans="1:9" ht="210.75" customHeight="1" x14ac:dyDescent="0.15">
      <c r="B16" s="26"/>
      <c r="C16" s="267" t="s">
        <v>17</v>
      </c>
      <c r="D16" s="268"/>
      <c r="E16" s="280" t="s">
        <v>205</v>
      </c>
      <c r="F16" s="281"/>
      <c r="G16" s="281"/>
      <c r="H16" s="281"/>
      <c r="I16" s="282"/>
    </row>
    <row r="17" spans="2:9" ht="210.75" customHeight="1" x14ac:dyDescent="0.15">
      <c r="B17" s="27"/>
      <c r="C17" s="271" t="s">
        <v>18</v>
      </c>
      <c r="D17" s="272"/>
      <c r="E17" s="283" t="s">
        <v>192</v>
      </c>
      <c r="F17" s="273"/>
      <c r="G17" s="273"/>
      <c r="H17" s="273"/>
      <c r="I17" s="274"/>
    </row>
    <row r="18" spans="2:9" ht="24" customHeight="1" x14ac:dyDescent="0.15">
      <c r="B18" s="24" t="s">
        <v>19</v>
      </c>
      <c r="C18" s="28"/>
      <c r="D18" s="29"/>
      <c r="E18" s="30"/>
      <c r="F18" s="30"/>
      <c r="G18" s="30"/>
      <c r="H18" s="30"/>
      <c r="I18" s="33"/>
    </row>
    <row r="19" spans="2:9" ht="218.25" customHeight="1" x14ac:dyDescent="0.15">
      <c r="B19" s="26"/>
      <c r="C19" s="267" t="s">
        <v>20</v>
      </c>
      <c r="D19" s="268"/>
      <c r="E19" s="269" t="s">
        <v>193</v>
      </c>
      <c r="F19" s="269"/>
      <c r="G19" s="269"/>
      <c r="H19" s="269"/>
      <c r="I19" s="270"/>
    </row>
    <row r="20" spans="2:9" ht="218.25" customHeight="1" x14ac:dyDescent="0.15">
      <c r="B20" s="27"/>
      <c r="C20" s="271" t="s">
        <v>21</v>
      </c>
      <c r="D20" s="272"/>
      <c r="E20" s="273" t="s">
        <v>194</v>
      </c>
      <c r="F20" s="273"/>
      <c r="G20" s="273"/>
      <c r="H20" s="273"/>
      <c r="I20" s="274"/>
    </row>
    <row r="21" spans="2:9" ht="218.25" customHeight="1" x14ac:dyDescent="0.15">
      <c r="B21" s="275" t="s">
        <v>22</v>
      </c>
      <c r="C21" s="276"/>
      <c r="D21" s="277"/>
      <c r="E21" s="278" t="s">
        <v>195</v>
      </c>
      <c r="F21" s="278"/>
      <c r="G21" s="278"/>
      <c r="H21" s="278"/>
      <c r="I21" s="279"/>
    </row>
    <row r="22" spans="2:9" ht="218.25" customHeight="1" x14ac:dyDescent="0.15">
      <c r="B22" s="262" t="s">
        <v>121</v>
      </c>
      <c r="C22" s="263"/>
      <c r="D22" s="264"/>
      <c r="E22" s="265" t="s">
        <v>196</v>
      </c>
      <c r="F22" s="265"/>
      <c r="G22" s="265"/>
      <c r="H22" s="265"/>
      <c r="I22" s="266"/>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4"/>
      <c r="C28" s="14"/>
      <c r="D28" s="14"/>
      <c r="E28" s="14"/>
      <c r="F28" s="14"/>
      <c r="G28" s="14"/>
      <c r="H28" s="14"/>
      <c r="I28" s="14"/>
    </row>
    <row r="29" spans="2:9" ht="22.5" customHeight="1" x14ac:dyDescent="0.15">
      <c r="B29" s="14"/>
      <c r="C29" s="14"/>
      <c r="D29" s="14"/>
      <c r="E29" s="14"/>
      <c r="F29" s="14"/>
      <c r="G29" s="14"/>
      <c r="H29" s="14"/>
      <c r="I29" s="14"/>
    </row>
    <row r="30" spans="2:9" ht="22.5" customHeight="1" x14ac:dyDescent="0.15">
      <c r="B30" s="14"/>
      <c r="C30" s="14"/>
      <c r="D30" s="14"/>
      <c r="E30" s="14"/>
      <c r="F30" s="14"/>
      <c r="G30" s="14"/>
      <c r="H30" s="14"/>
      <c r="I30" s="14"/>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6</vt:i4>
      </vt:variant>
    </vt:vector>
  </HeadingPairs>
  <TitlesOfParts>
    <vt:vector size="11" baseType="lpstr">
      <vt:lpstr>様式１-1　プログラムを構成する授業科目（文系学部)</vt:lpstr>
      <vt:lpstr>様式１-2　プログラムを構成する授業科目（医学部）</vt:lpstr>
      <vt:lpstr>様式２ 履修者等数の実績</vt:lpstr>
      <vt:lpstr>様式３ 教育の質・履修者数を向上させるための体制・計画</vt:lpstr>
      <vt:lpstr>様式４　自己点検・評価</vt:lpstr>
      <vt:lpstr>'様式１-1　プログラムを構成する授業科目（文系学部)'!Print_Area</vt:lpstr>
      <vt:lpstr>'様式１-2　プログラムを構成する授業科目（医学部）'!Print_Area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野田　智之</cp:lastModifiedBy>
  <cp:lastPrinted>2025-07-09T04:21:57Z</cp:lastPrinted>
  <dcterms:created xsi:type="dcterms:W3CDTF">2011-06-14T05:32:50Z</dcterms:created>
  <dcterms:modified xsi:type="dcterms:W3CDTF">2025-07-11T07:30:34Z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