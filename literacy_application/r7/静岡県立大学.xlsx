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133.33.8.162\共有データー\共有データ\common2025（R7）\04.教務共通\04.全学共通科目\★数理・データサイエンス・AI教育プログラム\申請\申請書用データ\0708_1600 (再提出)\リテラシーレベル：01_静岡県立大学_リテラシー\"/>
    </mc:Choice>
  </mc:AlternateContent>
  <xr:revisionPtr revIDLastSave="0" documentId="8_{C19AAF9A-ECB0-47C2-BC31-482C52025AF4}" xr6:coauthVersionLast="36" xr6:coauthVersionMax="36" xr10:uidLastSave="{00000000-0000-0000-0000-000000000000}"/>
  <bookViews>
    <workbookView xWindow="0" yWindow="0" windowWidth="20490" windowHeight="7455" tabRatio="868" firstSheet="4" activeTab="7" xr2:uid="{00000000-000D-0000-FFFF-FFFF00000000}"/>
  </bookViews>
  <sheets>
    <sheet name="様式１-１　プログラムを構成する授業科目 (薬学部)" sheetId="45" r:id="rId1"/>
    <sheet name="様式１-２　プログラムを構成する授業科目 (食品栄養科学部)" sheetId="44" r:id="rId2"/>
    <sheet name="様式１-３　プログラムを構成する授業科目 (国際関係学部" sheetId="49" r:id="rId3"/>
    <sheet name="様式１-４　プログラムを構成する授業科目 (経営情報学部" sheetId="46" r:id="rId4"/>
    <sheet name="様式１-５　プログラムを構成する授業科目 (看護学部)" sheetId="43" r:id="rId5"/>
    <sheet name="様式２ 履修者等数の実績" sheetId="40" r:id="rId6"/>
    <sheet name="様式３ 教育の質・履修者数を向上させるための体制・計画" sheetId="41" r:id="rId7"/>
    <sheet name="様式４　自己点検・評価" sheetId="42" r:id="rId8"/>
  </sheets>
  <definedNames>
    <definedName name="_xlnm._FilterDatabase" localSheetId="0" hidden="1">'様式１-１　プログラムを構成する授業科目 (薬学部)'!$X$16:$X$18</definedName>
    <definedName name="_xlnm._FilterDatabase" localSheetId="1" hidden="1">'様式１-２　プログラムを構成する授業科目 (食品栄養科学部)'!$X$16:$X$18</definedName>
    <definedName name="_xlnm._FilterDatabase" localSheetId="2" hidden="1">'様式１-３　プログラムを構成する授業科目 (国際関係学部'!$X$16:$X$18</definedName>
    <definedName name="_xlnm._FilterDatabase" localSheetId="3" hidden="1">'様式１-４　プログラムを構成する授業科目 (経営情報学部'!$X$16:$X$18</definedName>
    <definedName name="_xlnm._FilterDatabase" localSheetId="4" hidden="1">'様式１-５　プログラムを構成する授業科目 (看護学部)'!$X$16:$X$18</definedName>
    <definedName name="_xlnm._FilterDatabase" localSheetId="5" hidden="1">'様式２ 履修者等数の実績'!#REF!</definedName>
    <definedName name="_xlnm.Print_Area" localSheetId="0">'様式１-１　プログラムを構成する授業科目 (薬学部)'!$A$1:$U$105</definedName>
    <definedName name="_xlnm.Print_Area" localSheetId="1">'様式１-２　プログラムを構成する授業科目 (食品栄養科学部)'!$A$1:$U$105</definedName>
    <definedName name="_xlnm.Print_Area" localSheetId="2">'様式１-３　プログラムを構成する授業科目 (国際関係学部'!$A$1:$U$105</definedName>
    <definedName name="_xlnm.Print_Area" localSheetId="3">'様式１-４　プログラムを構成する授業科目 (経営情報学部'!$A$1:$U$105</definedName>
    <definedName name="_xlnm.Print_Area" localSheetId="4">'様式１-５　プログラムを構成する授業科目 (看護学部)'!$A$1:$U$105</definedName>
    <definedName name="_xlnm.Print_Area" localSheetId="5">'様式２ 履修者等数の実績'!$A$1:$S$33</definedName>
    <definedName name="_xlnm.Print_Area" localSheetId="6">'様式３ 教育の質・履修者数を向上させるための体制・計画'!$A$1:$I$119</definedName>
    <definedName name="_xlnm.Print_Titles" localSheetId="7">'様式４　自己点検・評価'!$11:$11</definedName>
  </definedNames>
  <calcPr calcId="191029"/>
</workbook>
</file>

<file path=xl/calcChain.xml><?xml version="1.0" encoding="utf-8"?>
<calcChain xmlns="http://schemas.openxmlformats.org/spreadsheetml/2006/main">
  <c r="C49" i="41" l="1"/>
  <c r="R18" i="40" l="1"/>
  <c r="R13" i="40" l="1"/>
  <c r="S13" i="40" s="1"/>
  <c r="M7" i="40" l="1"/>
  <c r="I33" i="40" l="1"/>
  <c r="M33" i="40"/>
  <c r="P33" i="40"/>
  <c r="Q33" i="40"/>
  <c r="O33" i="40"/>
  <c r="N33" i="40"/>
  <c r="L33" i="40"/>
  <c r="J33" i="40"/>
  <c r="K33" i="40"/>
  <c r="H33" i="40"/>
  <c r="R14" i="40" l="1"/>
  <c r="R15" i="40"/>
  <c r="S15" i="40" s="1"/>
  <c r="R16" i="40"/>
  <c r="R17" i="40"/>
  <c r="R19" i="40"/>
  <c r="R20" i="40"/>
  <c r="R21" i="40"/>
  <c r="R22" i="40"/>
  <c r="R23" i="40"/>
  <c r="R24" i="40"/>
  <c r="R25" i="40"/>
  <c r="R26" i="40"/>
  <c r="R27" i="40"/>
  <c r="R28" i="40"/>
  <c r="R29" i="40"/>
  <c r="R30" i="40"/>
  <c r="R31" i="40"/>
  <c r="R32" i="40"/>
  <c r="C33" i="40"/>
  <c r="G33" i="40" l="1"/>
  <c r="F33" i="40" l="1"/>
  <c r="E33" i="40"/>
  <c r="I50" i="41" s="1"/>
  <c r="D33" i="40"/>
  <c r="S32" i="40"/>
  <c r="S31" i="40"/>
  <c r="S30" i="40"/>
  <c r="S29" i="40"/>
  <c r="S28" i="40"/>
  <c r="S27" i="40"/>
  <c r="S26" i="40"/>
  <c r="S25" i="40"/>
  <c r="S24" i="40"/>
  <c r="S23" i="40"/>
  <c r="S22" i="40"/>
  <c r="S21" i="40"/>
  <c r="S20" i="40"/>
  <c r="S19" i="40"/>
  <c r="S18" i="40"/>
  <c r="S17" i="40"/>
  <c r="S16" i="40"/>
  <c r="S14" i="40"/>
  <c r="R33" i="40" l="1"/>
  <c r="S33" i="40" s="1"/>
</calcChain>
</file>

<file path=xl/sharedStrings.xml><?xml version="1.0" encoding="utf-8"?>
<sst xmlns="http://schemas.openxmlformats.org/spreadsheetml/2006/main" count="965" uniqueCount="240">
  <si>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</si>
  <si>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</si>
  <si>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</si>
  <si>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</si>
  <si>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</si>
  <si>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</si>
  <si>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</si>
  <si>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</si>
  <si>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</si>
  <si>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</si>
  <si>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</si>
  <si>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</si>
  <si>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</si>
  <si>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</si>
  <si>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</si>
  <si>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</si>
  <si>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</si>
  <si>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</si>
  <si>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</si>
  <si>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</si>
  <si>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</si>
  <si>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</si>
  <si>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</si>
  <si>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</si>
  <si>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</si>
  <si>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</si>
  <si>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</si>
  <si>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</si>
  <si>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</si>
  <si>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</si>
  <si>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</si>
  <si>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</si>
  <si>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</si>
  <si>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</si>
  <si>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</si>
  <si>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</si>
  <si>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</si>
  <si>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</si>
  <si>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</si>
  <si>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</si>
  <si>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</si>
  <si>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</si>
  <si>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</si>
  <si>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</si>
  <si>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</si>
  <si>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</si>
  <si>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</si>
  <si>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</si>
  <si>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</si>
  <si>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</si>
  <si>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</si>
  <si>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</si>
  <si>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</si>
  <si>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</si>
  <si>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</si>
  <si>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</si>
  <si>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</si>
  <si>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</si>
  <si>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</si>
  <si>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</si>
  <si>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</si>
  <si>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</si>
  <si>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</si>
  <si>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</si>
  <si>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</si>
  <si>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</si>
  <si>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</si>
  <si>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</si>
  <si>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</si>
  <si>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</si>
  <si>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</si>
  <si>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</si>
  <si>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</si>
  <si>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</si>
  <si>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</si>
  <si>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</si>
  <si>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</si>
  <si>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</si>
  <si>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</si>
  <si>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</si>
  <si>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</si>
  <si>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</si>
  <si>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</si>
  <si>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</si>
  <si>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</si>
  <si>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</si>
  <si>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</si>
  <si>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</si>
  <si>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</si>
  <si>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</si>
  <si>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</si>
  <si>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</si>
  <si>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</si>
  <si>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</si>
  <si>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</si>
  <si>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</si>
  <si>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</si>
  <si>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</si>
  <si>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</si>
  <si>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</si>
  <si>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</si>
  <si>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</si>
  <si>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</si>
  <si>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</si>
  <si>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</si>
  <si>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</si>
  <si>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</si>
  <si>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</si>
  <si>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</si>
  <si>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</si>
  <si>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</si>
  <si>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</si>
  <si>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</si>
  <si>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</si>
  <si>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</si>
  <si>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学部・学科によって、修了要件は相違する</t>
  </si>
  <si>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</si>
  <si>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</si>
  <si>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</si>
  <si>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</si>
  <si>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</si>
  <si>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</si>
  <si>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</si>
  <si>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</si>
  <si>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</si>
  <si>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</si>
  <si>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</si>
  <si>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</si>
  <si>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</si>
  <si>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</si>
  <si>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</si>
  <si>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</si>
  <si>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</si>
  <si>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</si>
  <si>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</si>
  <si>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</si>
  <si>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</si>
  <si>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</si>
  <si>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</si>
  <si>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</si>
  <si>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</si>
  <si>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</si>
  <si>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静岡県立大学</t>
  </si>
  <si>
    <t>数理・データサイエンス・AI教育プログラム</t>
  </si>
  <si>
    <t>数理・データサイエンス・AI入門</t>
    <phoneticPr fontId="1"/>
  </si>
  <si>
    <t>○</t>
  </si>
  <si>
    <t>・1次データ、2次データ、データのメタ化 [数理・データサイエンス・AI入門](2回目)
・構造化データ、非構造化データ（文章、画像/動画、音声/音楽など） [数理・データサイエンス・AI入門](4回目)</t>
    <phoneticPr fontId="1"/>
  </si>
  <si>
    <t>・データサイエンスのサイクル（課題抽出と定式化、データの取得・管理・加工、探索的データ解析、データ解析と推論、結果の共有・伝達、課題解決に向けた提案） [数理・データサイエンス・AI入門](5, 8回目)</t>
    <phoneticPr fontId="1"/>
  </si>
  <si>
    <t>国際関係学部</t>
    <rPh sb="0" eb="2">
      <t>コクサイ</t>
    </rPh>
    <rPh sb="2" eb="6">
      <t>カンケイガクブ</t>
    </rPh>
    <phoneticPr fontId="1"/>
  </si>
  <si>
    <t>経営情報学部</t>
    <rPh sb="0" eb="6">
      <t>ケイエイジョウホウガクブ</t>
    </rPh>
    <phoneticPr fontId="1"/>
  </si>
  <si>
    <t>令和６</t>
    <rPh sb="0" eb="2">
      <t>レイワ</t>
    </rPh>
    <phoneticPr fontId="1"/>
  </si>
  <si>
    <t>武藤 伸明</t>
    <phoneticPr fontId="1"/>
  </si>
  <si>
    <t>教授</t>
    <phoneticPr fontId="1"/>
  </si>
  <si>
    <t>静岡県立大学情報教育部会内規</t>
    <phoneticPr fontId="1"/>
  </si>
  <si>
    <t>情報教育部会は、情報教育に関する科目の実施・運営及び情報教育に関する科目の将来方向等を調査、審議することを目的とする。
情報教育に関する多様な情報教育のうち、文部科学省の数理・データサイエンス・AI教育プログラム（リテラシーレベル）（以下、「教育プログラム」）を含む専門の事項を調査・審議するため以下の専門部門を置く。ただし、MDASH推進部門とMDASH自己点検・評価部門の双方に所属することはできない。
１. 情報教育部会 MDASH推進部門
（１）教育プログラムの立案、実施に関すること。
（２）教育プログラムの改善に関すること。
（３）その他前２号に掲げる事項に付随すること。
２. 情報教育部会 MDASH自己点検・評価部門
（１）教育プログラムの自己点検・評価に関すること。
（２）教育プログラムの改善に関すること。
（３）その他前２号に掲げる事項に付随すること。</t>
    <phoneticPr fontId="1"/>
  </si>
  <si>
    <t>栗木 清典</t>
    <phoneticPr fontId="1"/>
  </si>
  <si>
    <t>本教育プログラムは令和６年度に開始し、まだ卒業生を輩出していないため、現在のところ、本教育プログラム修了者の進路調査や活躍状況調査を実施しておらず、企業からの評価は受けていない。本学では、キャリア支援室および本学部キャリア支援委員会において、卒業生の進路調査、就活、活躍状況を統計調査していることから、本教育プログラムの開始前後で比較することで、本教育プログラムが進路、就職、活躍状況に及ぼす影響について検証できるよう整備している。</t>
    <rPh sb="66" eb="68">
      <t>ジッシ</t>
    </rPh>
    <phoneticPr fontId="1"/>
  </si>
  <si>
    <t>様式１-１</t>
    <rPh sb="0" eb="2">
      <t>ヨウシキ</t>
    </rPh>
    <phoneticPr fontId="1"/>
  </si>
  <si>
    <t>様式１-５</t>
    <rPh sb="0" eb="2">
      <t>ヨウシキ</t>
    </rPh>
    <phoneticPr fontId="1"/>
  </si>
  <si>
    <t>様式１-４</t>
    <rPh sb="0" eb="2">
      <t>ヨウシキ</t>
    </rPh>
    <phoneticPr fontId="1"/>
  </si>
  <si>
    <t>様式１-３</t>
    <rPh sb="0" eb="2">
      <t>ヨウシキ</t>
    </rPh>
    <phoneticPr fontId="1"/>
  </si>
  <si>
    <t>様式１-２</t>
    <rPh sb="0" eb="2">
      <t>ヨウシキ</t>
    </rPh>
    <phoneticPr fontId="1"/>
  </si>
  <si>
    <t>食品栄養科学部</t>
    <phoneticPr fontId="1"/>
  </si>
  <si>
    <t>薬学部</t>
    <phoneticPr fontId="1"/>
  </si>
  <si>
    <t>経営情報学部</t>
    <phoneticPr fontId="1"/>
  </si>
  <si>
    <t>国際関係学部</t>
    <phoneticPr fontId="1"/>
  </si>
  <si>
    <t>看護学部</t>
    <phoneticPr fontId="1"/>
  </si>
  <si>
    <t>薬学部</t>
    <phoneticPr fontId="1"/>
  </si>
  <si>
    <t>*看護学部の収容定員は編入学生を含む</t>
    <rPh sb="1" eb="5">
      <t>カンゴガクブ</t>
    </rPh>
    <rPh sb="6" eb="8">
      <t>シュウヨウ</t>
    </rPh>
    <rPh sb="8" eb="10">
      <t>テイイン</t>
    </rPh>
    <rPh sb="11" eb="13">
      <t>ヘンニュウ</t>
    </rPh>
    <rPh sb="13" eb="14">
      <t>ガク</t>
    </rPh>
    <rPh sb="14" eb="15">
      <t>セイ</t>
    </rPh>
    <rPh sb="16" eb="17">
      <t>フク</t>
    </rPh>
    <phoneticPr fontId="1"/>
  </si>
  <si>
    <t>情報科学演習</t>
    <phoneticPr fontId="1"/>
  </si>
  <si>
    <t>情報科学(栄養)</t>
    <phoneticPr fontId="1"/>
  </si>
  <si>
    <t>情報科学(環境)</t>
    <phoneticPr fontId="1"/>
  </si>
  <si>
    <t>科学演習</t>
    <phoneticPr fontId="1"/>
  </si>
  <si>
    <t>情報リテラシI</t>
    <phoneticPr fontId="1"/>
  </si>
  <si>
    <t>コンピュータ・リテラシー (e)</t>
    <phoneticPr fontId="1"/>
  </si>
  <si>
    <t>コンピュータ・リテラシー (a)</t>
    <phoneticPr fontId="1"/>
  </si>
  <si>
    <t>コンピュータ・リテラシー (b)</t>
    <phoneticPr fontId="1"/>
  </si>
  <si>
    <t>コンピュータ・リテラシー (d)</t>
    <phoneticPr fontId="1"/>
  </si>
  <si>
    <t>コンピュータ・リテラシー (f)</t>
    <phoneticPr fontId="1"/>
  </si>
  <si>
    <t>コンピュータ・リテラシー (g)
(R７年度より開講)</t>
    <phoneticPr fontId="1"/>
  </si>
  <si>
    <t>全学部で共通の講座1科目1単位、および、各学部のPCを用いたデータリテラシーなどで構成される１科目１～２単位、合計２科目２～３単位 (各学部の卒業要件で定められた科目：学部 (・学科) の必修科目) を履修すること。 
1. 全学部共通 (全５学部)：数理・データサイエンス・AI入門 (必修科目、１年前期、１単位)
2. 薬学部：科学演習 (学部の必修科目、１年通年、１単位)
　＊薬学科 (6年制) と薬科学科 (4年制) の2学科で共通</t>
    <rPh sb="27" eb="28">
      <t>モチ</t>
    </rPh>
    <rPh sb="84" eb="86">
      <t>ガクブ</t>
    </rPh>
    <rPh sb="89" eb="91">
      <t>ガッカ</t>
    </rPh>
    <rPh sb="172" eb="174">
      <t>ガクブ</t>
    </rPh>
    <phoneticPr fontId="1"/>
  </si>
  <si>
    <t>・ビッグデータ、IoT、AI、生成AI、ロボット  [数理・データサイエンス・AI入門](1回目)
・データ量の増加、計算機の処理性能の向上、AIの非連続的進化  [数理・データサイエンス・AI入門](1回目)
・第4次産業革命、Society 5.0、データ駆動型社会  [数理・データサイエンス・AI入門](1回目)
・複数技術を組み合わせたAIサービス  [数理・データサイエンス・AI入門](1回目)
・人間の知的活動とAIの関係性  [数理・データサイエンス・AI入門](1回目)
・データを起点としたものの見方、人間の知的活動を起点としたものの見方 [数理・データサイエンス・AI入門](1回目)</t>
    <rPh sb="15" eb="17">
      <t>セイセイ</t>
    </rPh>
    <phoneticPr fontId="1"/>
  </si>
  <si>
    <t>・AI最新技術の活用例（深層生成モデル、強化学習、転移学習、生成AIなど） [数理・データサイエンス・AI入門](8回目)
・基礎モデル、大規模言語モデル、拡散モデル  [数理・データサイエンス・AI入門](2回目)</t>
    <rPh sb="30" eb="32">
      <t>セイセイ</t>
    </rPh>
    <rPh sb="63" eb="65">
      <t>キソ</t>
    </rPh>
    <rPh sb="69" eb="72">
      <t>ダイキボ</t>
    </rPh>
    <rPh sb="72" eb="74">
      <t>ゲンゴ</t>
    </rPh>
    <rPh sb="78" eb="80">
      <t>カクサン</t>
    </rPh>
    <phoneticPr fontId="1"/>
  </si>
  <si>
    <t>・研究開発、調達、製造、物流、販売、マーケティング、サービスなど [数理・データサイエンス・AI入門](1回目)
・仮説検証、知識発見、原因究明、計画策定、判断支援、活動代替、新規生成など [数理・データサイエンス・AI入門](1回目)
・対話、コンテンツ生成、翻訳・要約・執筆支援、コーディング支援など生成AIの応用  [数理・データサイエンス・AI入門](4回目)</t>
    <rPh sb="120" eb="122">
      <t>タイワ</t>
    </rPh>
    <rPh sb="128" eb="130">
      <t>セイセイ</t>
    </rPh>
    <rPh sb="131" eb="133">
      <t>ホンヤク</t>
    </rPh>
    <rPh sb="134" eb="136">
      <t>ヨウヤク</t>
    </rPh>
    <rPh sb="137" eb="139">
      <t>シッピツ</t>
    </rPh>
    <rPh sb="139" eb="141">
      <t>シエン</t>
    </rPh>
    <rPh sb="148" eb="150">
      <t>シエン</t>
    </rPh>
    <phoneticPr fontId="1"/>
  </si>
  <si>
    <t>・データ解析：予測、グルーピング、パターン発見、最適化、モデル化とシミュレーション・データ同化など [数理・データサイエンス・AI入門](5, 8回目)
・非構造化データ処理：言語処理、画像/動画処理、音声/音楽処理など [数理・データサイエンス・AI入門](8回目)
・特化型AIと汎用AI、今のAIで出来ることと出来ないこと、AIとビッグデータ [数理・データサイエンス・AI入門](8回目)
・マルチモーダル（言語、画像、音声など）、生成AIの活用（プロンプトエンジニアリング） [数理・データサイエンス・AI入門](4回目)</t>
    <rPh sb="31" eb="32">
      <t>カ</t>
    </rPh>
    <rPh sb="208" eb="210">
      <t>ゲンゴ</t>
    </rPh>
    <rPh sb="211" eb="213">
      <t>ガゾウ</t>
    </rPh>
    <rPh sb="214" eb="216">
      <t>オンセイ</t>
    </rPh>
    <rPh sb="220" eb="222">
      <t>セイセイ</t>
    </rPh>
    <rPh sb="225" eb="227">
      <t>カツヨウ</t>
    </rPh>
    <phoneticPr fontId="1"/>
  </si>
  <si>
    <t>・データの種類（量的変数、質的変数） [数理・データサイエンス・AI入門](2回目)
・データの分布(ヒストグラム)と代表値（平均値、中央値、最頻値）[数理・データサイエンス・AI入門](3回目)、[科学演習](3回目)
・代表値の性質の違い（実社会では平均値＝最頻値でないことが多い） [数理・データサイエンス・AI入門](2回目)
・データのばらつき（分散、標準偏差、偏差値）、外れ値 [数理・データサイエンス・AI入門](3回目)、[科学演習](5回目)
・観測データに含まれる誤差の扱い [数理・データサイエンス・AI入門](7回目)
・打ち切りや欠測を含むデータ、層別の必要なデータ [数理・データサイエンス・AI入門](2, 5回目)
・相関と因果（相関係数、擬似相関、交絡） [数理・データサイエンス・AI入門](4, 5回目)</t>
    <rPh sb="220" eb="224">
      <t>カガクエンシュウ</t>
    </rPh>
    <rPh sb="227" eb="229">
      <t>カイメ</t>
    </rPh>
    <rPh sb="278" eb="280">
      <t>ケッソク</t>
    </rPh>
    <phoneticPr fontId="1"/>
  </si>
  <si>
    <t>・データ表現（棒グラフ、折線グラフ、散布図、ヒートマップ、箱ひげ図） [数理・データサイエンス・AI入門](3, 4回目)、[科学演習](3回目)
・データの比較（条件をそろえた比較、処理の前後での比較、A/Bテスト) [数理・データサイエンス・AI入門](4回目)、[科学演習](5回目)
・不適切なグラフ表現（チャートジャンク、不必要な視覚的要素） [数理・データサイエンス・AI入門](4回目)、[科学演習](3回目)
・優れた可視化事例の紹介（可視化することによって新たな気づきがあった事例など） [数理・データサイエンス・AI入門](4回目)、[科学演習](3回目)
・相手に的確かつ正確に情報を伝える技術や考え方（スライド作成、プレゼンテーションなど）[科学演習](2回目)</t>
    <rPh sb="29" eb="30">
      <t>ハコ</t>
    </rPh>
    <rPh sb="32" eb="33">
      <t>ズ</t>
    </rPh>
    <rPh sb="63" eb="65">
      <t>カガク</t>
    </rPh>
    <rPh sb="290" eb="292">
      <t>アイテ</t>
    </rPh>
    <rPh sb="293" eb="295">
      <t>テキカク</t>
    </rPh>
    <rPh sb="297" eb="299">
      <t>セイカク</t>
    </rPh>
    <rPh sb="300" eb="302">
      <t>ジョウホウ</t>
    </rPh>
    <rPh sb="303" eb="304">
      <t>ツタ</t>
    </rPh>
    <rPh sb="306" eb="308">
      <t>ギジュツ</t>
    </rPh>
    <rPh sb="309" eb="310">
      <t>カンガ</t>
    </rPh>
    <rPh sb="311" eb="312">
      <t>カタ</t>
    </rPh>
    <rPh sb="317" eb="319">
      <t>サクセイ</t>
    </rPh>
    <phoneticPr fontId="1"/>
  </si>
  <si>
    <t>・データの取得（機械判読可能なデータの作成・表記方法）[科学演習](3回目)
・データの集計（和、平均）[科学演習](3回目)
・データの並び替え、ランキング [科学演習](4回目)
・データ解析ツール（スプレッドシート、BIツール）[科学演習](5回目)
・表形式のデータ（csv）[科学演習](4回目)</t>
    <rPh sb="5" eb="7">
      <t>シュトク</t>
    </rPh>
    <rPh sb="8" eb="10">
      <t>キカイ</t>
    </rPh>
    <rPh sb="10" eb="12">
      <t>ハンドク</t>
    </rPh>
    <rPh sb="12" eb="14">
      <t>カノウ</t>
    </rPh>
    <rPh sb="19" eb="21">
      <t>サクセイ</t>
    </rPh>
    <rPh sb="22" eb="24">
      <t>ヒョウキ</t>
    </rPh>
    <rPh sb="24" eb="26">
      <t>ホウホウ</t>
    </rPh>
    <rPh sb="53" eb="55">
      <t>カガク</t>
    </rPh>
    <phoneticPr fontId="1"/>
  </si>
  <si>
    <t xml:space="preserve">全学部で共通の講座1科目1単位、および、各学部のPCを用いたデータリテラシーなどで構成される１科目１～２単位、合計２科目２～３単位 (各学部の卒業要件で定められた科目：学部 (・学科) の必修科目) を履修すること。 
1. 全学部共通 (全５学部)：数理・データサイエンス・AI入門 (必修科目、１年前期、１単位)
2. 食品栄養科学部 (３学科)
　・情報科学演習 (学部・学科の必修科目、１年前期、１単位)
　・情報科学(栄養) (学部・学科の必修科目、１年前期、２単位)
　・情報科学(環境) (学部・学科必修科目、１年前期、２単位)
</t>
    <rPh sb="27" eb="28">
      <t>モチ</t>
    </rPh>
    <rPh sb="84" eb="86">
      <t>ガクブ</t>
    </rPh>
    <rPh sb="89" eb="91">
      <t>ガッカ</t>
    </rPh>
    <rPh sb="120" eb="121">
      <t>ゼン</t>
    </rPh>
    <rPh sb="186" eb="188">
      <t>ガクブ</t>
    </rPh>
    <rPh sb="219" eb="221">
      <t>ガクブ</t>
    </rPh>
    <rPh sb="222" eb="224">
      <t>ガッカ</t>
    </rPh>
    <rPh sb="252" eb="254">
      <t>ガクブ</t>
    </rPh>
    <rPh sb="255" eb="257">
      <t>ガッカ</t>
    </rPh>
    <phoneticPr fontId="1"/>
  </si>
  <si>
    <t>・AI最新技術の活用例（深層生成モデル、強化学習、転移学習、生成AIなど） [数理・データサイエンス・AI入門](8回目)
・基礎モデル、大規模言語モデル、拡散モデル  [数理・データサイエンス・AI入門](2回目)、[情報科学演習](1回目)、[情報科学(栄養)](6, 15回目)、[情報科学(環境)](8回目)</t>
    <rPh sb="30" eb="32">
      <t>セイセイ</t>
    </rPh>
    <rPh sb="63" eb="65">
      <t>キソ</t>
    </rPh>
    <rPh sb="69" eb="72">
      <t>ダイキボ</t>
    </rPh>
    <rPh sb="72" eb="74">
      <t>ゲンゴ</t>
    </rPh>
    <rPh sb="78" eb="80">
      <t>カクサン</t>
    </rPh>
    <phoneticPr fontId="1"/>
  </si>
  <si>
    <t>・研究開発、調達、製造、物流、販売、マーケティング、サービスなど [数理・データサイエンス・AI入門](1回目)
・仮説検証、知識発見、原因究明、計画策定、判断支援、活動代替、新規生成など [数理・データサイエンス・AI入門](1回目)
・対話、コンテンツ生成、翻訳・要約・執筆支援、コーディング支援など生成AIの応用  [数理・データサイエンス・AI入門](4回目)、[情報科学演習](1回目)、[情報科学(栄養)](15回目)、[情報科学(環境)](9回目)</t>
    <rPh sb="120" eb="122">
      <t>タイワ</t>
    </rPh>
    <rPh sb="128" eb="130">
      <t>セイセイ</t>
    </rPh>
    <rPh sb="131" eb="133">
      <t>ホンヤク</t>
    </rPh>
    <rPh sb="134" eb="136">
      <t>ヨウヤク</t>
    </rPh>
    <rPh sb="137" eb="139">
      <t>シッピツ</t>
    </rPh>
    <rPh sb="139" eb="141">
      <t>シエン</t>
    </rPh>
    <rPh sb="148" eb="150">
      <t>シエン</t>
    </rPh>
    <phoneticPr fontId="1"/>
  </si>
  <si>
    <t>・情報セキュリティの3要素 (機密性、完全性、可用性) [数理・データサイエンス・AI入門](6回目)
・匿名加工情報、暗号化と復号、ユーザ承認、パスワード、アクセス制限、悪意ある情報搾取 [数理・データサイエンス・AI入門](6回目)
・情報漏洩等によるセキュリティ事故の事例紹介 [数理・データサイエンス・AI入門](6回目)
・サイバーセキュリティ [情報科学演習](1, 2回目)、[情報科学(栄養)](1, 2回目)、[情報科学(環境)](1回目)</t>
    <rPh sb="11" eb="13">
      <t>ヨウソ</t>
    </rPh>
    <rPh sb="64" eb="66">
      <t>フクゴウ</t>
    </rPh>
    <rPh sb="70" eb="72">
      <t>ショウニン</t>
    </rPh>
    <rPh sb="83" eb="85">
      <t>セイゲン</t>
    </rPh>
    <phoneticPr fontId="1"/>
  </si>
  <si>
    <t>・データの種類（量的変数、質的変数） [数理・データサイエンス・AI入門](2回目)、[情報科学演習](12回目)、[情報科学(栄養)](15回目)、[情報科学(環境)](3回目)
・データの分布(ヒストグラム)と代表値（平均値、中央値、最頻値）[数理・データサイエンス・AI入門](3回目)、[情報科学演習](13回目)、[情報科学(栄養)](15回目)、[情報科学(環境)](3, 5回目)
・代表値の性質の違い（実社会では平均値＝最頻値でないことが多い） [数理・データサイエンス・AI入門](2回目)、[情報科学演習](13回目)、[情報科学(栄養)](12～14回目)、[情報科学(環境)](3, 5回目)
・データのばらつき（分散、標準偏差、偏差値）、外れ値 [数理・データサイエンス・AI入門](3回目)、[情報科学演習](13回目)、[情報科学(栄養)](12～14回目)、[情報科学(環境)](3, 5回目)
・観測データに含まれる誤差の扱い [数理・データサイエンス・AI入門](7回目)、[情報科学演習](12回目)、[情報科学(栄養)](12-14回目)、[情報科学(環境)](3, 5回目)
・打ち切りや欠測を含むデータ、層別の必要なデータ [数理・データサイエンス・AI入門](2, 5回目)、[情報科学演習](12回目)、[情報科学(栄養)](15回目)、[情報科学(環境)](3, 5回目)
・相関と因果（相関係数、擬似相関、交絡） [数理・データサイエンス・AI入門](4, 5回目)、[情報科学演習](11回目)、[情報科学(栄養)](15回目)、[情報科学(環境)](6回目)
・母集団と標本抽出（国勢調査、アンケート調査、全数調査、単純無作為抽出、層別抽出、多段抽出）[情報科学演習](12回目)、[情報科学(栄養)](15回目)、[情報科学(環境)](3回目)
・クロス集計表、分割表、相関係数行列、散布図行列 [数理・データサイエンス・AI入門](4, 7回目)、[情報科学演習](12回目)、[情報科学(栄養)](12-14回目)、[情報科学(環境)](6回目)
・統計情報の正しい理解（誇張表現に惑わされない）[情報科学演習](12回目)、[情報科学(栄養)](15回目)、[情報科学(環境)](5回目)</t>
    <rPh sb="515" eb="517">
      <t>ケッソク</t>
    </rPh>
    <phoneticPr fontId="1"/>
  </si>
  <si>
    <t>・データ表現（棒グラフ、折線グラフ、散布図、ヒートマップ、箱ひげ図） [数理・データサイエンス・AI入門](3, 4回目)、[情報科学演習](11回目)、[情報科学(栄養)](15回目)、[情報科学(環境)](5回目)
・データの比較（条件をそろえた比較、処理の前後での比較、A/Bテスト) [数理・データサイエンス・AI入門](4回目)、[情報科学演習](12回目)、[情報科学(栄養)](15回目)、[情報科学(環境)](6回目)
・不適切なグラフ表現（チャートジャンク、不必要な視覚的要素） [数理・データサイエンス・AI入門](4回目)、[情報科学演習](6～8回目)、[情報科学(栄養)](15回目)、[情報科学(環境)](5回目)
・優れた可視化事例の紹介（可視化することによって新たな気づきがあった事例など） [数理・データサイエンス・AI入門](4回目)、[情報科学演習](12回目)、[情報科学(栄養)](15回目)、[情報科学(環境)](6回目)
・相手に的確かつ正確に情報を伝える技術や考え方（スライド作成、プレゼンテーションなど）、[情報科学演習](6～8回目)、[情報科学(栄養)](4, 5, 8, 10, 11回目)、[情報科学(環境)](12, 13回目)</t>
    <rPh sb="29" eb="30">
      <t>ハコ</t>
    </rPh>
    <rPh sb="32" eb="33">
      <t>ズ</t>
    </rPh>
    <rPh sb="435" eb="437">
      <t>アイテ</t>
    </rPh>
    <rPh sb="438" eb="440">
      <t>テキカク</t>
    </rPh>
    <rPh sb="442" eb="444">
      <t>セイカク</t>
    </rPh>
    <rPh sb="445" eb="447">
      <t>ジョウホウ</t>
    </rPh>
    <rPh sb="448" eb="449">
      <t>ツタ</t>
    </rPh>
    <rPh sb="451" eb="453">
      <t>ギジュツ</t>
    </rPh>
    <rPh sb="454" eb="455">
      <t>カンガ</t>
    </rPh>
    <rPh sb="456" eb="457">
      <t>カタ</t>
    </rPh>
    <rPh sb="462" eb="464">
      <t>サクセイ</t>
    </rPh>
    <phoneticPr fontId="1"/>
  </si>
  <si>
    <t>・データの取得（機械判読可能なデータの作成・表記方法）[情報科学演習](9～13回目)、[情報科学(栄養)](12～14回目)、[情報科学(環境)](4回目)
・データの集計（和、平均）[情報科学演習](10回目)、[情報科学(栄養)](15回目)、[情報科学(環境)](4回目)
・データの並び替え、ランキング [情報科学演習](11回目)、[情報科学(栄養)](15回目)、[情報科学(環境)](4回目)
・データ解析ツール（スプレッドシート、BIツール）[情報科学演習](10回目)、[情報科学(栄養)](12～14回目)、[情報科学(環境)](4回目)
・表形式のデータ（csv）[情報科学演習](10回目)、[情報科学(栄養)](15回目)、[情報科学(環境)](5回目)</t>
    <rPh sb="5" eb="7">
      <t>シュトク</t>
    </rPh>
    <rPh sb="8" eb="10">
      <t>キカイ</t>
    </rPh>
    <rPh sb="10" eb="12">
      <t>ハンドク</t>
    </rPh>
    <rPh sb="12" eb="14">
      <t>カノウ</t>
    </rPh>
    <rPh sb="19" eb="21">
      <t>サクセイ</t>
    </rPh>
    <rPh sb="22" eb="24">
      <t>ヒョウキ</t>
    </rPh>
    <rPh sb="24" eb="26">
      <t>ホウホウ</t>
    </rPh>
    <phoneticPr fontId="1"/>
  </si>
  <si>
    <t>情報検索実習（全学共通科目)
(R７年度廃止)</t>
    <rPh sb="4" eb="6">
      <t>ジッシュウ</t>
    </rPh>
    <phoneticPr fontId="1"/>
  </si>
  <si>
    <t>・情報セキュリティの3要素 (機密性、完全性、可用性) [数理・データサイエンス・AI入門](6回目)
・匿名加工情報、暗号化と復号、ユーザ承認、パスワード、アクセス制限、悪意ある情報搾取 [数理・データサイエンス・AI入門](6回目)
・情報漏洩等によるセキュリティ事故の事例紹介 [数理・データサイエンス・AI入門](6回目)
・サイバーセキュリティ [コンピュータ・リテラシー (a, g)](1, 2, 12回目)、 [コンピュータ・リテラシー (b)](1回目)、 [コンピュータ・リテラシー (c)](1, 2回目)、 [コンピュータ・リテラシー (d, e, f)](1, 2回目)</t>
    <rPh sb="11" eb="13">
      <t>ヨウソ</t>
    </rPh>
    <rPh sb="64" eb="66">
      <t>フクゴウ</t>
    </rPh>
    <rPh sb="70" eb="72">
      <t>ショウニン</t>
    </rPh>
    <rPh sb="83" eb="85">
      <t>セイゲン</t>
    </rPh>
    <phoneticPr fontId="1"/>
  </si>
  <si>
    <t>・データの種類（量的変数、質的変数） [数理・データサイエンス・AI入門](2回目)、[コンピュータ・リテラシー (b)](6回目)、[コンピュータ・リテラシー (c)](9回目)、[コンピュータ・リテラシー (d, e, f)](11, 13回目)
・データの分布(ヒストグラム)と代表値（平均値、中央値、最頻値）[数理・データサイエンス・AI入門](3回目)、[コンピュータ・リテラシー (a, g)](7回目)、[コンピュータ・リテラシー (b)](5回目)、[コンピュータ・リテラシー (c)](10回目)、[コンピュータ・リテラシー (f)](12回目)、[情報検索実習](8回目)
・代表値の性質の違い（実社会では平均値＝最頻値でないことが多い） [数理・データサイエンス・AI入門](2回目)、[コンピュータ・リテラシー (a, g)](7回目)、[コンピュータ・リテラシー (b)](5, 9回目)、[コンピュータ・リテラシー (c)](10, 11回目)、[コンピュータ・リテラシー (d, e)](12, 13回目)、[コンピュータ・リテラシー (f)](12回目)
・データのばらつき（分散、標準偏差、偏差値）、外れ値 [数理・データサイエンス・AI入門](3回目)、[コンピュータ・リテラシー (a, g)](7, 8回目)、[コンピュータ・リテラシー (b)](5, 6, 9回目)、[コンピュータ・リテラシー (c)](10, 11回目)、[コンピュータ・リテラシー (d, e, f)](11-13回目)
・観測データに含まれる誤差の扱い [数理・データサイエンス・AI入門](7回目)
・打ち切りや欠測を含むデータ、層別の必要なデータ [数理・データサイエンス・AI入門](2, 5回目)
・相関と因果（相関係数、擬似相関、交絡） [数理・データサイエンス・AI入門](4, 5回目)[コンピュータ・リテラシー (a, g)](7回目)、[コンピュータ・リテラシー (b)](5, 9回目)、[コンピュータ・リテラシー (c)](10, 11回目)、[コンピュータ・リテラシー (d, e, f)](11-13回目)
・クロス集計表、分割表、相関係数行列、散布図行列 [数理・データサイエンス・AI入門](4, 7回目)、[コンピュータ・リテラシー (b)](7回目)</t>
    <rPh sb="715" eb="717">
      <t>ケッソク</t>
    </rPh>
    <phoneticPr fontId="1"/>
  </si>
  <si>
    <t>・データ表現（棒グラフ、折線グラフ、散布図、ヒートマップ、箱ひげ図） [数理・データサイエンス・AI入門](3, 4回目)、[コンピュータ・リテラシー (a, g)](7, 8回目)、[コンピュータ・リテラシー (b)](5, 8回目)、[コンピュータ・リテラシー (c)](12回目)、[コンピュータ・リテラシー (d, e)](12, 13回目)、[コンピュータ・リテラシー (f)](12回目)、[情報検索実習](8回目)
・データの比較（条件をそろえた比較、処理の前後での比較、A/Bテスト) [数理・データサイエンス・AI入門](4回目)、[情報検索実習](8回目)
・不適切なグラフ表現（チャートジャンク、不必要な視覚的要素） [数理・データサイエンス・AI入門](4回目)、[コンピュータ・リテラシー (f)](11回目)、[情報検索実習](8回目)
・優れた可視化事例の紹介（可視化することによって新たな気づきがあった事例など） [数理・データサイエンス・AI入門](4回目)、[コンピュータ・リテラシー (a, g)](8回目)、[コンピュータ・リテラシー (b)](8回目)、[コンピュータ・リテラシー (c)](12回目)、[コンピュータ・リテラシー (d, e)](13回目)、[情報検索実習](8回目)
・相手に的確かつ正確に情報を伝える技術や考え方（スライド作成、プレゼンテーションなど） [コンピュータ・リテラシー (a, g)](9, 10, 11, 14, 15回目)、 [コンピュータ・リテラシー (b)](10～12回目)、 [コンピュータ・リテラシー (c)](13～15回目)、 [コンピュータ・リテラシー (d, e, f)](14, 15回目)</t>
    <rPh sb="29" eb="30">
      <t>ハコ</t>
    </rPh>
    <rPh sb="32" eb="33">
      <t>ズ</t>
    </rPh>
    <phoneticPr fontId="1"/>
  </si>
  <si>
    <t>・データの集計（和、平均）[コンピュータ・リテラシー (a, g)](7, 8回目)、[コンピュータ・リテラシー (b)](5回目)、[コンピュータ・リテラシー (c)](10, 11回目)、[コンピュータ・リテラシー (d, e, f )](12, 13回目)、[情報検索実習](8回目)
・データの並び替え、ランキング [コンピュータ・リテラシー (a, g)](7回目)、[コンピュータ・リテラシー (b)](5回目)、[コンピュータ・リテラシー (c)](10, 11回目)、[コンピュータ・リテラシー (d, e)](13回目)、[コンピュータ・リテラシー (f)](11, 13回目)、[情報検索実習](8回目)
・データ解析ツール（スプレッドシート、BIツール）[情報検索実習](8回目)
・表形式のデータ（csv）[コンピュータ・リテラシー (b)](7回目)、[情報検索実習](8回目)</t>
    <phoneticPr fontId="1"/>
  </si>
  <si>
    <t>全学部で共通の講座1科目1単位、および、各学部のPCを用いたデータリテラシーなどで構成される１科目１～２単位、合計２科目２～３単位 (各学部の卒業要件で定められた科目：学部 (・学科) の必修科目) を履修すること。 
1. 全学部共通 (全５学部)：数理・データサイエンス・AI入門 (必修科目、１年前期、１単位)
2. 経営情報学部：情報リテラシⅠ( 学部の必修科目、１年前期、２単位)</t>
    <rPh sb="27" eb="28">
      <t>モチ</t>
    </rPh>
    <rPh sb="84" eb="86">
      <t>ガクブ</t>
    </rPh>
    <rPh sb="89" eb="91">
      <t>ガッカ</t>
    </rPh>
    <rPh sb="178" eb="180">
      <t>ガクブ</t>
    </rPh>
    <phoneticPr fontId="1"/>
  </si>
  <si>
    <t>・情報セキュリティの3要素 (機密性、完全性、可用性) [数理・データサイエンス・AI入門](6回目)
・匿名加工情報、暗号化と復号、ユーザ承認、パスワード、アクセス制限、悪意ある情報搾取 [数理・データサイエンス・AI入門](6回目)
・情報漏洩等によるセキュリティ事故の事例紹介 [数理・データサイエンス・AI入門](6回目)
・サイバーセキュリティ[情報リテラシⅠ](1,3,4回目)</t>
    <rPh sb="11" eb="13">
      <t>ヨウソ</t>
    </rPh>
    <rPh sb="64" eb="66">
      <t>フクゴウ</t>
    </rPh>
    <rPh sb="70" eb="72">
      <t>ショウニン</t>
    </rPh>
    <rPh sb="83" eb="85">
      <t>セイゲン</t>
    </rPh>
    <phoneticPr fontId="1"/>
  </si>
  <si>
    <t>・データの集計（和、平均）[情報リテラシⅠ](10回目)
・データの並び替え、ランキング [情報リテラシI](10回目)
・データ解析ツール（スプレッドシート、BIツール）[情報リテラシI](10回目)
・表形式のデータ（csv）[情報リテラシI](10回目)</t>
    <phoneticPr fontId="2"/>
  </si>
  <si>
    <t>全学部で共通の講座1科目1単位、および、各学部のPCを用いたデータリテラシーなどで構成される１科目１～２単位、合計２科目２～３単位 (各学部の卒業要件で定められた科目：学部 (・学科) の必修科目) を履修すること。 
1. 全学部共通 (全５学部)：数理・データサイエンス・AI入門 (必修科目、１年前期、１単位)
2. 看護学部：情報処理演習 (学部の必修科目、１年後期、１単位)
　＊看護学部の3年次編入学生は、前期に数理・データサイエンス・AI入門、後期に情報処理演習を卒業要件として履修する。</t>
    <rPh sb="27" eb="28">
      <t>モチ</t>
    </rPh>
    <rPh sb="84" eb="86">
      <t>ガクブ</t>
    </rPh>
    <rPh sb="89" eb="91">
      <t>ガッカ</t>
    </rPh>
    <rPh sb="120" eb="121">
      <t>ゼン</t>
    </rPh>
    <rPh sb="175" eb="177">
      <t>ガクブ</t>
    </rPh>
    <rPh sb="195" eb="199">
      <t>カンゴガクブ</t>
    </rPh>
    <rPh sb="201" eb="203">
      <t>ネンジ</t>
    </rPh>
    <rPh sb="239" eb="243">
      <t>ソツギョウヨウケン</t>
    </rPh>
    <phoneticPr fontId="1"/>
  </si>
  <si>
    <t>情報処理演習</t>
    <rPh sb="2" eb="4">
      <t>ショリ</t>
    </rPh>
    <rPh sb="4" eb="6">
      <t>エンシュウ</t>
    </rPh>
    <phoneticPr fontId="1"/>
  </si>
  <si>
    <t>・データの種類（量的変数、質的変数） [数理・データサイエンス・AI入門](2回目)、[情報処理演習](8回目)
・データの分布(ヒストグラム)と代表値（平均値、中央値、最頻値）[数理・データサイエンス・AI入門](3回目)、[情報処理演習](8, 11回目)、
・代表値の性質の違い（実社会では平均値＝最頻値でないことが多い） [数理・データサイエンス・AI入門](2回目)、[情報処理演習](8, 10回目)
・データのばらつき（分散、標準偏差、偏差値）、外れ値 [数理・データサイエンス・AI入門](3回目)、[情報処理演習](8, 11回目)
・観測データに含まれる誤差の扱い [数理・データサイエンス・AI入門](7回目)、[情報処理演習](10, 12回目)
・打ち切りや欠測を含むデータ、層別の必要なデータ [数理・データサイエンス・AI入門](2, 5回目)、[情報処理演習](8, 9回目)
・相関と因果（相関係数、擬似相関、交絡） [数理・データサイエンス・AI入門](4, 5回目)、[情報処理演習](9, 10回目)
・母集団と標本抽出（国勢調査、アンケート調査、全数調査、単純無作為抽出、層別抽出、多段抽出[情報処理演習](11回目)
・クロス集計表、分割表、相関係数行列、散布図行列 [数理・データサイエンス・AI入門](4, 7回目)、[情報処理演習](8, 13回目)
・統計情報の正しい理解（誇張表現に惑わされない[情報処理演習](8回目)</t>
    <rPh sb="342" eb="344">
      <t>ケッソク</t>
    </rPh>
    <phoneticPr fontId="1"/>
  </si>
  <si>
    <t>・データ表現（棒グラフ、折線グラフ、散布図、ヒートマップ、箱ひげ図） [数理・データサイエンス・AI入門](3, 4回目)[情報処理演習](6回目)
・データの比較（条件をそろえた比較、処理の前後での比較、A/Bテスト) [数理・データサイエンス・AI入門](4回目)[情報処理演習](13, 14回目)
・不適切なグラフ表現（チャートジャンク、不必要な視覚的要素） [数理・データサイエンス・AI入門](4回目)、[情報処理演習](8, 9回目)
・優れた可視化事例の紹介（可視化することによって新たな気づきがあった事例など） [数理・データサイエンス・AI入門](4回目)、[情報処理演習](6, 8回目)、
・相手に的確かつ正確に情報を伝える技術や考え方（スライド作成、プレゼンテーションなど）［情報処理演習］(6、8、9回)</t>
    <rPh sb="29" eb="30">
      <t>ハコ</t>
    </rPh>
    <rPh sb="32" eb="33">
      <t>ズ</t>
    </rPh>
    <rPh sb="308" eb="310">
      <t>アイテ</t>
    </rPh>
    <rPh sb="311" eb="313">
      <t>テキカク</t>
    </rPh>
    <rPh sb="315" eb="317">
      <t>セイカク</t>
    </rPh>
    <rPh sb="318" eb="320">
      <t>ジョウホウ</t>
    </rPh>
    <rPh sb="321" eb="322">
      <t>ツタ</t>
    </rPh>
    <rPh sb="324" eb="326">
      <t>ギジュツ</t>
    </rPh>
    <rPh sb="327" eb="328">
      <t>カンガ</t>
    </rPh>
    <rPh sb="329" eb="330">
      <t>カタ</t>
    </rPh>
    <rPh sb="335" eb="337">
      <t>サクセイ</t>
    </rPh>
    <rPh sb="351" eb="353">
      <t>ジョウホウ</t>
    </rPh>
    <rPh sb="353" eb="355">
      <t>ショリ</t>
    </rPh>
    <rPh sb="355" eb="357">
      <t>エンシュウ</t>
    </rPh>
    <rPh sb="364" eb="365">
      <t>カイ</t>
    </rPh>
    <phoneticPr fontId="1"/>
  </si>
  <si>
    <t>・データの取得（機械判読可能なデータの作成・表記方法）［情報処理演習］(6、8、9回)
・データの集計（和、平均[情報処理演習](5回目)]
・データの並び替え、ランキング[情報処理演習](5回目)
・データ解析ツール（スプレッドシート、BIツール）[情報処理演習](6回目)
・表形式のデータ（csv）[情報処理演習](5回目)</t>
    <rPh sb="5" eb="7">
      <t>シュトク</t>
    </rPh>
    <rPh sb="8" eb="10">
      <t>キカイ</t>
    </rPh>
    <rPh sb="10" eb="12">
      <t>ハンドク</t>
    </rPh>
    <rPh sb="12" eb="14">
      <t>カノウ</t>
    </rPh>
    <rPh sb="19" eb="21">
      <t>サクセイ</t>
    </rPh>
    <rPh sb="22" eb="24">
      <t>ヒョウキ</t>
    </rPh>
    <rPh sb="24" eb="26">
      <t>ホウホウ</t>
    </rPh>
    <phoneticPr fontId="1"/>
  </si>
  <si>
    <t>本教育プログラムは２科目で構成されており、そのうちの1科目を全５学部がオンデマンド教材を用いたフルオンライン授業によるアクティブラーニングの全学共通科目を必修 (卒業要件) 科目としている。５学部のうち４学部が、PC演習を含むデータリテラシーの科目を必修 (卒業要件) としている。残る1学部も、選択 (卒業要件) 科目として開講しているが、令和７年度の学則変更により必修 (卒業要件) 科目となった。したがって、本教育プログラムの全２科目は、すべての学部、すべての学生の卒業要件科目となり、すべての学生は修了者として卒業する。令和６年度入学の薬学部 (薬学科) の６年次学生が修了者となる令和11年に、履修率が100％となると期待している。</t>
    <rPh sb="10" eb="12">
      <t>カモク</t>
    </rPh>
    <rPh sb="13" eb="15">
      <t>コウセイ</t>
    </rPh>
    <rPh sb="27" eb="29">
      <t>カモク</t>
    </rPh>
    <rPh sb="41" eb="43">
      <t>キョウザイ</t>
    </rPh>
    <rPh sb="44" eb="45">
      <t>モチ</t>
    </rPh>
    <rPh sb="70" eb="72">
      <t>ゼンガク</t>
    </rPh>
    <rPh sb="72" eb="76">
      <t>キョウツウカモク</t>
    </rPh>
    <rPh sb="77" eb="79">
      <t>ヒッシュウ</t>
    </rPh>
    <rPh sb="81" eb="85">
      <t>ソツギョウヨウケン</t>
    </rPh>
    <rPh sb="108" eb="110">
      <t>エンシュウ</t>
    </rPh>
    <rPh sb="111" eb="112">
      <t>フク</t>
    </rPh>
    <rPh sb="122" eb="124">
      <t>カモク</t>
    </rPh>
    <rPh sb="125" eb="127">
      <t>ヒッシュウ</t>
    </rPh>
    <rPh sb="129" eb="133">
      <t>ソツギョウヨウケン</t>
    </rPh>
    <rPh sb="141" eb="142">
      <t>ノコ</t>
    </rPh>
    <rPh sb="144" eb="146">
      <t>ガクブ</t>
    </rPh>
    <rPh sb="148" eb="150">
      <t>センタク</t>
    </rPh>
    <rPh sb="158" eb="160">
      <t>カモク</t>
    </rPh>
    <rPh sb="163" eb="165">
      <t>カイコウ</t>
    </rPh>
    <rPh sb="171" eb="173">
      <t>レイワ</t>
    </rPh>
    <rPh sb="174" eb="175">
      <t>ネン</t>
    </rPh>
    <rPh sb="175" eb="176">
      <t>ド</t>
    </rPh>
    <rPh sb="177" eb="179">
      <t>ガクソク</t>
    </rPh>
    <rPh sb="179" eb="181">
      <t>ヘンコウ</t>
    </rPh>
    <rPh sb="184" eb="186">
      <t>ヒッシュウ</t>
    </rPh>
    <rPh sb="188" eb="192">
      <t>ソツギョウヨウケン</t>
    </rPh>
    <rPh sb="194" eb="196">
      <t>カモク</t>
    </rPh>
    <rPh sb="207" eb="210">
      <t>ホンキョウイク</t>
    </rPh>
    <rPh sb="216" eb="217">
      <t>ゼン</t>
    </rPh>
    <rPh sb="218" eb="220">
      <t>カモク</t>
    </rPh>
    <rPh sb="226" eb="228">
      <t>ガクブ</t>
    </rPh>
    <rPh sb="233" eb="235">
      <t>ガクセイ</t>
    </rPh>
    <rPh sb="236" eb="238">
      <t>ソツギョウ</t>
    </rPh>
    <rPh sb="238" eb="240">
      <t>ヨウケン</t>
    </rPh>
    <rPh sb="240" eb="242">
      <t>カモク</t>
    </rPh>
    <rPh sb="250" eb="252">
      <t>ガクセイ</t>
    </rPh>
    <rPh sb="259" eb="261">
      <t>ソツギョウ</t>
    </rPh>
    <rPh sb="264" eb="266">
      <t>レイワ</t>
    </rPh>
    <rPh sb="267" eb="269">
      <t>ネンド</t>
    </rPh>
    <rPh sb="269" eb="271">
      <t>ニュウガク</t>
    </rPh>
    <rPh sb="272" eb="275">
      <t>ヤクガクブ</t>
    </rPh>
    <rPh sb="286" eb="288">
      <t>ガクセイ</t>
    </rPh>
    <rPh sb="289" eb="292">
      <t>シュウリョウシャ</t>
    </rPh>
    <rPh sb="314" eb="316">
      <t>キタイ</t>
    </rPh>
    <phoneticPr fontId="1"/>
  </si>
  <si>
    <t xml:space="preserve">本教育プログラムは２科目で構成されており、そのうちの１科目「数理・データサイエンス・AI入門」は、全５学部の１年次に必修 (卒業要件) 科目の全学共通科目として履修し、もう１つの学部別のPC演習を含むデータリテラシ―の科目は、４学部 (看護学部の編入生を含む) で必修 (卒業要件) 科目である。
　残る１学部は国際関係学部で、海外留学を希望する学生に配慮した１～２年次の履修としており、令和６年度入学生には、データリテラシ―の科目「コンピュータ・リテラシー」(６講座) と、開講日時の異なる全学共通科目の選択 (卒業要件) 科目「情報検索実習」で補完できるように実施した。令和７年度より、カリキュラム編成と学則変更に則って「情報検索実習」を廃止するが、「コンピュータ・リテラシー」の選択 (卒業要件) 科目を必修 (卒業要件) 科目に変更し、かつ、１講座増やして計７講座とした。
　これより、令和７年度以降は、すべての学部の、すべての学生が本教育プログラムを履修する体制を整えた。
</t>
    <rPh sb="13" eb="15">
      <t>コウセイ</t>
    </rPh>
    <rPh sb="90" eb="91">
      <t>ブ</t>
    </rPh>
    <rPh sb="150" eb="151">
      <t>ノコ</t>
    </rPh>
    <rPh sb="287" eb="289">
      <t>レイワ</t>
    </rPh>
    <rPh sb="368" eb="370">
      <t>ヘンコウ</t>
    </rPh>
    <rPh sb="434" eb="436">
      <t>タイセイ</t>
    </rPh>
    <rPh sb="437" eb="438">
      <t>トトノ</t>
    </rPh>
    <phoneticPr fontId="1"/>
  </si>
  <si>
    <t>本教育プログラムの２科目のうち１つはフルオンライン授業で、かつ、アクティブラーニングであることから、すべての学部の、すべての学生が、平日や土日の時間を問わず、いつでもどこでも受講できる。各学部の建物の１階はPC等で修学できる電源タップ、Wi-Fiルーター、テーブルと椅子を設置し学習支援している。空きコマの時間帯は、各学部の建物にあるPC室を利用できる。学生からの質問は、オンライン上で質疑応答を行っている。
　なお、令和７年度以降、すべての学部の、すべての学生が、PC演習のある科目を含む２科目で構成された本教育プログラムを履修する体制を整えた際、サポート体制に問題がないことを確認している。</t>
    <rPh sb="235" eb="237">
      <t>エンシュウ</t>
    </rPh>
    <rPh sb="240" eb="242">
      <t>カモク</t>
    </rPh>
    <rPh sb="243" eb="244">
      <t>フク</t>
    </rPh>
    <rPh sb="246" eb="248">
      <t>カモク</t>
    </rPh>
    <rPh sb="249" eb="251">
      <t>コウセイ</t>
    </rPh>
    <rPh sb="273" eb="274">
      <t>サイ</t>
    </rPh>
    <rPh sb="279" eb="281">
      <t>タイセイ</t>
    </rPh>
    <rPh sb="282" eb="284">
      <t>モンダイ</t>
    </rPh>
    <rPh sb="290" eb="292">
      <t>カクニン</t>
    </rPh>
    <phoneticPr fontId="1"/>
  </si>
  <si>
    <t>本教育プログラムのフルオンライン授業について、すべての学生の出席は、１コマ毎のオンデマンド教材の視聴後に問う小問題の提出 (必要条件) と正答率 (十分条件) で出席状況と修学度を確認し、モニタリングしている。学生の理解できなかったことや質問などはオンラインシステムの掲示板を通じて教員とやり取りすることで、すべての学部の、すべての学生と教員がコミュニケーションを図って教育を行っている。対面授業のPC演習を含むデータリテラシーの科目では、授業時間内で質問し、その時、その場で回答やアドバイスを受けて理解できる教育を行っている。なお、本大学では、すべての教員がオフィスアワーを設け、シラバスに明記することで、学生が質問を気軽に行える環境を整備している。</t>
    <rPh sb="47" eb="49">
      <t>キョウザイ</t>
    </rPh>
    <rPh sb="60" eb="62">
      <t>テイシュツ</t>
    </rPh>
    <rPh sb="64" eb="66">
      <t>ヒツヨウ</t>
    </rPh>
    <rPh sb="66" eb="68">
      <t>ジョウケン</t>
    </rPh>
    <rPh sb="76" eb="80">
      <t>ジュウブンジョウケン</t>
    </rPh>
    <rPh sb="160" eb="162">
      <t>ガクブ</t>
    </rPh>
    <rPh sb="206" eb="207">
      <t>フク</t>
    </rPh>
    <rPh sb="217" eb="219">
      <t>カモク</t>
    </rPh>
    <phoneticPr fontId="1"/>
  </si>
  <si>
    <t>栗木 清典</t>
    <rPh sb="0" eb="2">
      <t>クリキ</t>
    </rPh>
    <rPh sb="3" eb="5">
      <t>キヨノリ</t>
    </rPh>
    <phoneticPr fontId="1"/>
  </si>
  <si>
    <t>教授</t>
    <rPh sb="0" eb="2">
      <t>キョウジュ</t>
    </rPh>
    <phoneticPr fontId="1"/>
  </si>
  <si>
    <t>静岡県立大学</t>
    <phoneticPr fontId="1"/>
  </si>
  <si>
    <t>毎年、各々の授業科目で実施する学生 (授業評価) アンケートの結果を要約する。
　令和６年度、多くの学生は、本教育プログラムのフルオンライン授業によるオンデマンド教材を用いたアクティブラーニング (主体的な学習) の科目とPC演習を含むデータリテラシーの科目により、数理・データサイエンス・AIの知識や技術が深まったと評価していた。ただし、文系学生の修学度は高いものの、難しさを感じるとの意見があった。
　今後は、学生間のスキルの差に配慮した授業設計が課題である。国際関係学部では、講座数の増設やAI活用事例の導入など、学習負担の軽減と満足度向上を図る。</t>
    <rPh sb="0" eb="2">
      <t>マイトシ</t>
    </rPh>
    <rPh sb="3" eb="5">
      <t>オノオノ</t>
    </rPh>
    <rPh sb="6" eb="8">
      <t>ジュギョウ</t>
    </rPh>
    <rPh sb="8" eb="10">
      <t>カモク</t>
    </rPh>
    <rPh sb="11" eb="13">
      <t>ジッシ</t>
    </rPh>
    <rPh sb="15" eb="17">
      <t>ガクセイ</t>
    </rPh>
    <rPh sb="19" eb="23">
      <t>ジュギョウヒョウカ</t>
    </rPh>
    <rPh sb="31" eb="33">
      <t>ケッカ</t>
    </rPh>
    <rPh sb="34" eb="36">
      <t>ヨウヤク</t>
    </rPh>
    <rPh sb="70" eb="72">
      <t>ジュギョウ</t>
    </rPh>
    <rPh sb="81" eb="83">
      <t>キョウザイ</t>
    </rPh>
    <rPh sb="84" eb="85">
      <t>モチ</t>
    </rPh>
    <rPh sb="108" eb="110">
      <t>カモク</t>
    </rPh>
    <rPh sb="113" eb="115">
      <t>エンシュウ</t>
    </rPh>
    <rPh sb="116" eb="117">
      <t>フク</t>
    </rPh>
    <rPh sb="127" eb="129">
      <t>カモク</t>
    </rPh>
    <rPh sb="194" eb="196">
      <t>イケン</t>
    </rPh>
    <phoneticPr fontId="1"/>
  </si>
  <si>
    <t>受講生に実施する学生 (授業評価) アンケートを参考とする。
　令和６年度、本教育プログラムは、５学部のうち４学部で必修 (卒業要件) 科目としていることから、学生間の推奨ではく、(配当年次が１年次のため、) 新入生オリエンテーションやガイダンスで教員による履修を徹底している。
　残る１学部 (国際関係学部) では、PC演習を含むデータリテラシーの科目は、海外留学の機会を考慮して配当年次を１～２年次、履修時期を前期もしくは後期と分散し、選択 (卒業要件) 科目としていたが、学生間の推奨は把握できていない。そこで、令和７年度以降、カリキュラム編成と学則変更により、当該科目を必修 (卒業要件) 科目とし、現在の６講座から１講座を増やした７講座とした。
　以上より、令和７年度以降、全学部で履修が統一されるたことにより、すべての学部の、すべての学生が、本教育プログラムで修学する体制を整えた。</t>
    <rPh sb="8" eb="10">
      <t>ガクセイ</t>
    </rPh>
    <rPh sb="24" eb="26">
      <t>サンコウ</t>
    </rPh>
    <rPh sb="32" eb="34">
      <t>レイワ</t>
    </rPh>
    <rPh sb="35" eb="37">
      <t>ネンド</t>
    </rPh>
    <rPh sb="62" eb="66">
      <t>ソツギョウヨウケン</t>
    </rPh>
    <rPh sb="68" eb="70">
      <t>カモク</t>
    </rPh>
    <rPh sb="91" eb="93">
      <t>ハイトウ</t>
    </rPh>
    <rPh sb="93" eb="95">
      <t>ネンジ</t>
    </rPh>
    <rPh sb="97" eb="99">
      <t>ネンジ</t>
    </rPh>
    <rPh sb="105" eb="108">
      <t>シンニュウセイ</t>
    </rPh>
    <rPh sb="132" eb="134">
      <t>テッテイ</t>
    </rPh>
    <rPh sb="148" eb="154">
      <t>コクサイカンケイガクブ</t>
    </rPh>
    <rPh sb="179" eb="183">
      <t>カイガイリュウガク</t>
    </rPh>
    <rPh sb="184" eb="186">
      <t>キカイ</t>
    </rPh>
    <rPh sb="187" eb="189">
      <t>コウリョ</t>
    </rPh>
    <rPh sb="207" eb="209">
      <t>ゼンキ</t>
    </rPh>
    <rPh sb="213" eb="215">
      <t>コウキ</t>
    </rPh>
    <rPh sb="224" eb="228">
      <t>ソツギョウヨウケン</t>
    </rPh>
    <rPh sb="259" eb="261">
      <t>レイワ</t>
    </rPh>
    <rPh sb="262" eb="264">
      <t>ネンド</t>
    </rPh>
    <rPh sb="264" eb="266">
      <t>イコウ</t>
    </rPh>
    <rPh sb="284" eb="286">
      <t>トウガイ</t>
    </rPh>
    <rPh sb="286" eb="288">
      <t>カモク</t>
    </rPh>
    <rPh sb="293" eb="297">
      <t>ソツギョウヨウケン</t>
    </rPh>
    <rPh sb="299" eb="301">
      <t>カモク</t>
    </rPh>
    <rPh sb="304" eb="306">
      <t>ゲンザイ</t>
    </rPh>
    <rPh sb="308" eb="310">
      <t>コウザ</t>
    </rPh>
    <rPh sb="313" eb="315">
      <t>コウザ</t>
    </rPh>
    <rPh sb="316" eb="317">
      <t>フ</t>
    </rPh>
    <rPh sb="329" eb="331">
      <t>イジョウ</t>
    </rPh>
    <rPh sb="365" eb="367">
      <t>ガクブ</t>
    </rPh>
    <rPh sb="373" eb="375">
      <t>ガクセイ</t>
    </rPh>
    <rPh sb="377" eb="380">
      <t>ホンキョウイク</t>
    </rPh>
    <rPh sb="386" eb="388">
      <t>シュウガク</t>
    </rPh>
    <rPh sb="390" eb="392">
      <t>タイセイ</t>
    </rPh>
    <rPh sb="393" eb="394">
      <t>トトノ</t>
    </rPh>
    <phoneticPr fontId="1"/>
  </si>
  <si>
    <t>企業等との連携や共同研究等の様々な機会をとらえて産業界からの意見を伺い、教育プログラム改善の参考とする。また、各部局で、OB・OGなどとも定期的に意見交換を行い、本教育プログラムへの要望・期待などを取り入れる。なお、令和５年度の半ばに東海デジタル人材育成プラットフォーム (名古屋大学 数理データ科学教育センター： https://www.mds.nagoya-u.ac.jp/tokai-digital-human-resource-education-platform) の会員校となったことを受け、教育モジュール検討会議や教育カリキュラム検討会議で議論した産業界への橋渡しの意見・内容、また、会員企業からの産業界の取り組み紹介などで得られた知見を学内で共有して、産業界の幅広い視点を取り入れた教育プログラムに改善する。</t>
    <rPh sb="55" eb="58">
      <t>カクブキョク</t>
    </rPh>
    <rPh sb="81" eb="82">
      <t>ホン</t>
    </rPh>
    <rPh sb="137" eb="142">
      <t>ナゴヤダイガク</t>
    </rPh>
    <rPh sb="143" eb="145">
      <t>スウリ</t>
    </rPh>
    <rPh sb="148" eb="150">
      <t>カガク</t>
    </rPh>
    <rPh sb="150" eb="152">
      <t>キョウイク</t>
    </rPh>
    <phoneticPr fontId="1"/>
  </si>
  <si>
    <t>学生が「学ぶ楽しさ」や「学ぶことの意義」を実感できるよう、本教育プログラムは、「専門性を探求する『データリテラシー』×『AI』の実践的基礎力を養う！」を特徴としている。本教育プログラムを構成２科目のうち１科目は、数理・データサイエンス・AIの基礎的な能力を全５学部で共通のオンデマンド教材を用いてアクティブラーニングで学習する。講義期間中、オンデマンド教材は何度も視聴きることから、この科目を苦手とする学生は繰り返し視聴して理解を深めることができる。夏季の一定期間も復習できるようにしている。もう１科目の、各学部で実施され、各分野の専門性を探求するPC演習を含むデータリテラシーの科目は、様々な分野のデータの集計、作図、比較、解析等の操作技術を習得し、データを可視化して説明すること、理解することで、各分野における専門性の高い問題解決に向けた提案ができる実践的基礎力を養うことをめざしている。そこで、本教育プログラムの全学的な到達目標 (様式１, ⑪) とは別に、各学部の修学のねらいを次のように設定した。
　1. 薬学部：Society 5.0の実現に向けて、数理・データサイエンス・AIの基礎を身につけ、データ収集・解析・可視化を通して、「データ+根拠」に基づく薬学的判断力および説明力を養うとともに、科学的根拠に基づいた医療（EBM）への理解を深め、研究や医療の場で活躍できる実践的基礎力を培うことができる。
　2. 食品栄養科学部：Society 5.0時代に必要とされる数理・データサイエンス・AIの基礎を修得し、データの収集・分析・可視化を通じて、科学的根拠に基づいた課題解決の提案力を養い、「食」の知識を有する専門家として活躍できる実践的基礎力を培う。
　3. 国際関係学部：Society 5.0時代に不可欠な数理・データサイエンス・AIの基礎を理解し、データ収集・分析・可視化を通じて、実社会における国際的課題の解決に向けた提案力を養い、国際社会で活躍できる実践的基礎力を培う。
　4. 経営情報学部：Society 5.0時代に不可欠な数理・データサイエンス・AIの意義を理解し、データ収集・分析・可視化の能力を修得することで、現代社会でのイノベーションの担い手として課題を論理的に探求し克服していくための実践的基礎力を培う。
　5. 看護学部：Society 5.0時代に対応するため、数理・データサイエンス・AIの基礎を理解し、データの収集・分析・可視化する能力を修得することで、科学的根拠に基づいた課題解決の提案力を養い、看護職として活躍できる実践的基礎力を培う。
　このように、すべての学部の、すべての学生に学ぶことの意義を明確にし、数理・データサイエンス・AIの基礎知識を深めた上で、学生間および学生・教員間のコミュニケーションを図り、学生自身が各分野の専門性の高いデータを可視化することで、数理・データサイエンス・AIの理解が深まり、データの可視化や解釈への好奇心が高まるよう工夫しており、楽しく学べる学習環境を提供している。
　</t>
    <rPh sb="84" eb="87">
      <t>ホンキョウイク</t>
    </rPh>
    <rPh sb="93" eb="95">
      <t>コウセイ</t>
    </rPh>
    <rPh sb="96" eb="98">
      <t>カモク</t>
    </rPh>
    <rPh sb="102" eb="104">
      <t>カモク</t>
    </rPh>
    <rPh sb="123" eb="124">
      <t>テキ</t>
    </rPh>
    <rPh sb="125" eb="127">
      <t>ノウリョク</t>
    </rPh>
    <rPh sb="133" eb="135">
      <t>キョウツウ</t>
    </rPh>
    <rPh sb="142" eb="144">
      <t>キョウザイ</t>
    </rPh>
    <rPh sb="145" eb="146">
      <t>モチ</t>
    </rPh>
    <rPh sb="159" eb="161">
      <t>ガクシュウ</t>
    </rPh>
    <rPh sb="164" eb="169">
      <t>コウギキカンチュウ</t>
    </rPh>
    <rPh sb="176" eb="178">
      <t>キョウザイ</t>
    </rPh>
    <rPh sb="179" eb="181">
      <t>ナンド</t>
    </rPh>
    <rPh sb="182" eb="184">
      <t>シチョウ</t>
    </rPh>
    <rPh sb="204" eb="205">
      <t>ク</t>
    </rPh>
    <rPh sb="206" eb="207">
      <t>カエ</t>
    </rPh>
    <rPh sb="208" eb="210">
      <t>シチョウ</t>
    </rPh>
    <rPh sb="212" eb="214">
      <t>リカイ</t>
    </rPh>
    <rPh sb="215" eb="216">
      <t>フカ</t>
    </rPh>
    <rPh sb="225" eb="227">
      <t>カキ</t>
    </rPh>
    <rPh sb="228" eb="232">
      <t>イッテイキカン</t>
    </rPh>
    <rPh sb="233" eb="235">
      <t>フクシュウ</t>
    </rPh>
    <rPh sb="257" eb="259">
      <t>ジッシ</t>
    </rPh>
    <rPh sb="262" eb="265">
      <t>カクブンヤ</t>
    </rPh>
    <rPh sb="266" eb="269">
      <t>センモンセイ</t>
    </rPh>
    <rPh sb="270" eb="272">
      <t>タンキュウ</t>
    </rPh>
    <rPh sb="279" eb="280">
      <t>フク</t>
    </rPh>
    <rPh sb="290" eb="292">
      <t>カモク</t>
    </rPh>
    <rPh sb="294" eb="296">
      <t>サマザマ</t>
    </rPh>
    <rPh sb="297" eb="299">
      <t>ブンヤ</t>
    </rPh>
    <rPh sb="300" eb="301">
      <t>ナド</t>
    </rPh>
    <rPh sb="302" eb="304">
      <t>ソウサ</t>
    </rPh>
    <rPh sb="304" eb="306">
      <t>ギジュツ</t>
    </rPh>
    <rPh sb="307" eb="309">
      <t>シュウトク</t>
    </rPh>
    <rPh sb="332" eb="335">
      <t>カクブンヤ</t>
    </rPh>
    <rPh sb="344" eb="346">
      <t>カイケツ</t>
    </rPh>
    <rPh sb="347" eb="348">
      <t>ム</t>
    </rPh>
    <rPh sb="350" eb="352">
      <t>テイアン</t>
    </rPh>
    <rPh sb="359" eb="361">
      <t>ジッセン</t>
    </rPh>
    <rPh sb="361" eb="362">
      <t>テキ</t>
    </rPh>
    <rPh sb="362" eb="365">
      <t>キソリョク</t>
    </rPh>
    <rPh sb="366" eb="367">
      <t>ヤシナ</t>
    </rPh>
    <rPh sb="400" eb="403">
      <t>ホンキョウイク</t>
    </rPh>
    <rPh sb="409" eb="412">
      <t>ゼンガクテキ</t>
    </rPh>
    <rPh sb="413" eb="417">
      <t>トウタツモクヒョウ</t>
    </rPh>
    <rPh sb="419" eb="421">
      <t>ヨウシキ</t>
    </rPh>
    <rPh sb="429" eb="430">
      <t>ベツ</t>
    </rPh>
    <rPh sb="1107" eb="1109">
      <t>ガクブ</t>
    </rPh>
    <rPh sb="1115" eb="1117">
      <t>ガクセイ</t>
    </rPh>
    <rPh sb="1118" eb="1119">
      <t>マナ</t>
    </rPh>
    <rPh sb="1123" eb="1125">
      <t>イギ</t>
    </rPh>
    <rPh sb="1126" eb="1128">
      <t>メイカク</t>
    </rPh>
    <rPh sb="1140" eb="1143">
      <t>ガクセイカン</t>
    </rPh>
    <rPh sb="1146" eb="1148">
      <t>ガクセイ</t>
    </rPh>
    <rPh sb="1149" eb="1152">
      <t>キョウインカン</t>
    </rPh>
    <rPh sb="1163" eb="1164">
      <t>ハカ</t>
    </rPh>
    <phoneticPr fontId="1"/>
  </si>
  <si>
    <t>本教育プログラムにおいて、アクティブラーニングで修学する科目「数理・データサイエンス・AI入門」で用いる全５学部共通のオンデマンド教材 (生成AIを含む) は、国立大学法人静岡大学の数理データサイエンス教育プロジェクト研究所にて作成された教材を本学で利用することの契約下で利用している。本学の受講生の特性を鑑みて、受講内容を確認する小問題は、本学の推進部門と自己点検・評価部門の教員が意見交換を重ねて作成しており、単位を認定する課題も本学の同教員が作成している。すべての学部の、すべての学生が履修するPC演習を含むデータリテラシーの科目 (生成AIの授業を含む・含める) とともに、本教育プログラムの全２科目の内容や水準は、受講確認の小テストの正答率や、課題レポート (定期試験を含む) などの成績に基づく修学度、出席状況、および、学生 (授業評価) アンケート結果を自己点検・評価部門で解析し、その結果を推進部門にフィードバックして、本教育プログラムをより良いものにPDCAサイクルする。また、その結果は、全５学部の各学部にフィードバックし、本教育プログラムの科目以外においても活用されるようして、各学部の専門分野に役立ててもらうようにして「AI」とのダブルメジャーの特性を高めることで、学生の興味・関心と修学の意欲を高める。「知りたい」という意欲が、「分かりやすさ」となり修学度が高まるように工夫する。さらに、東海デジタル人材育成プラットホームの教育モジュール検討会議、カリキュラムモジュール検討会議、会員企業からの産業界の取組紹介など、他大学や企業の視点・外部評価を組み入れて、本教育プログラムの内容・水準を維持・向上し、より「分かりやすい」授業とする。
　なお、文系学生への課題の難易度と分量を考慮し、すべての学生の修学度と満足度が高い状態を維持しつつ、分かりやすいAI・生成AIの授業内容を増やし、AI・生成AIの講義内容を展開するよう、本教育プログラムを精査し改善を進める。</t>
    <rPh sb="24" eb="26">
      <t>シュウガク</t>
    </rPh>
    <rPh sb="28" eb="30">
      <t>カモク</t>
    </rPh>
    <rPh sb="45" eb="47">
      <t>ニュウモン</t>
    </rPh>
    <rPh sb="49" eb="50">
      <t>モチ</t>
    </rPh>
    <rPh sb="65" eb="67">
      <t>キョウザイ</t>
    </rPh>
    <rPh sb="69" eb="71">
      <t>セイセイ</t>
    </rPh>
    <rPh sb="74" eb="75">
      <t>フク</t>
    </rPh>
    <rPh sb="80" eb="86">
      <t>コクリツダイガクホウジン</t>
    </rPh>
    <rPh sb="86" eb="90">
      <t>シズオカダイガク</t>
    </rPh>
    <rPh sb="91" eb="93">
      <t>スウリ</t>
    </rPh>
    <rPh sb="101" eb="103">
      <t>キョウイク</t>
    </rPh>
    <rPh sb="109" eb="112">
      <t>ケンキュウジョ</t>
    </rPh>
    <rPh sb="114" eb="116">
      <t>サクセイ</t>
    </rPh>
    <rPh sb="119" eb="121">
      <t>キョウザイ</t>
    </rPh>
    <rPh sb="122" eb="124">
      <t>ホンガク</t>
    </rPh>
    <rPh sb="125" eb="127">
      <t>リヨウ</t>
    </rPh>
    <rPh sb="132" eb="134">
      <t>ケイヤク</t>
    </rPh>
    <rPh sb="134" eb="135">
      <t>カ</t>
    </rPh>
    <rPh sb="136" eb="138">
      <t>リヨウ</t>
    </rPh>
    <rPh sb="143" eb="145">
      <t>ホンガク</t>
    </rPh>
    <rPh sb="146" eb="149">
      <t>ジュコウセイ</t>
    </rPh>
    <rPh sb="150" eb="152">
      <t>トクセイ</t>
    </rPh>
    <rPh sb="153" eb="154">
      <t>カンガ</t>
    </rPh>
    <rPh sb="157" eb="161">
      <t>ジュコウナイヨウ</t>
    </rPh>
    <rPh sb="162" eb="164">
      <t>カクニン</t>
    </rPh>
    <rPh sb="171" eb="173">
      <t>ホンガク</t>
    </rPh>
    <rPh sb="174" eb="178">
      <t>スイシンブモン</t>
    </rPh>
    <rPh sb="179" eb="183">
      <t>ジコテンケン</t>
    </rPh>
    <rPh sb="184" eb="188">
      <t>ヒョウカブモン</t>
    </rPh>
    <rPh sb="189" eb="191">
      <t>キョウイン</t>
    </rPh>
    <rPh sb="192" eb="196">
      <t>イケンコウカン</t>
    </rPh>
    <rPh sb="197" eb="198">
      <t>カサ</t>
    </rPh>
    <rPh sb="200" eb="202">
      <t>サクセイ</t>
    </rPh>
    <rPh sb="214" eb="216">
      <t>カダイ</t>
    </rPh>
    <rPh sb="217" eb="219">
      <t>ホンガク</t>
    </rPh>
    <rPh sb="220" eb="221">
      <t>ドウ</t>
    </rPh>
    <rPh sb="221" eb="223">
      <t>キョウイン</t>
    </rPh>
    <rPh sb="224" eb="226">
      <t>サクセイ</t>
    </rPh>
    <rPh sb="235" eb="237">
      <t>ガクブ</t>
    </rPh>
    <rPh sb="243" eb="245">
      <t>ガクセイ</t>
    </rPh>
    <rPh sb="246" eb="248">
      <t>リシュウ</t>
    </rPh>
    <rPh sb="252" eb="254">
      <t>エンシュウ</t>
    </rPh>
    <rPh sb="255" eb="256">
      <t>フク</t>
    </rPh>
    <rPh sb="266" eb="268">
      <t>カモク</t>
    </rPh>
    <rPh sb="270" eb="272">
      <t>セイセイ</t>
    </rPh>
    <rPh sb="275" eb="277">
      <t>ジュギョウ</t>
    </rPh>
    <rPh sb="278" eb="279">
      <t>フク</t>
    </rPh>
    <rPh sb="281" eb="282">
      <t>フク</t>
    </rPh>
    <rPh sb="500" eb="503">
      <t>カクガクブ</t>
    </rPh>
    <rPh sb="504" eb="508">
      <t>センモンブンヤ</t>
    </rPh>
    <rPh sb="509" eb="511">
      <t>ヤクダ</t>
    </rPh>
    <rPh sb="535" eb="537">
      <t>トクセイ</t>
    </rPh>
    <rPh sb="538" eb="539">
      <t>タカ</t>
    </rPh>
    <rPh sb="545" eb="547">
      <t>ガクセイ</t>
    </rPh>
    <rPh sb="548" eb="550">
      <t>キョウミ</t>
    </rPh>
    <rPh sb="551" eb="553">
      <t>カンシン</t>
    </rPh>
    <rPh sb="554" eb="556">
      <t>シュウガク</t>
    </rPh>
    <rPh sb="557" eb="559">
      <t>イヨク</t>
    </rPh>
    <rPh sb="560" eb="561">
      <t>タカ</t>
    </rPh>
    <rPh sb="565" eb="566">
      <t>シ</t>
    </rPh>
    <rPh sb="573" eb="575">
      <t>イヨク</t>
    </rPh>
    <rPh sb="578" eb="579">
      <t>ワ</t>
    </rPh>
    <rPh sb="588" eb="591">
      <t>シュウガクド</t>
    </rPh>
    <rPh sb="592" eb="593">
      <t>タカ</t>
    </rPh>
    <rPh sb="598" eb="600">
      <t>クフウ</t>
    </rPh>
    <rPh sb="762" eb="764">
      <t>シュウガク</t>
    </rPh>
    <rPh sb="790" eb="792">
      <t>セイセイ</t>
    </rPh>
    <rPh sb="807" eb="809">
      <t>セイセイホンキョウイクゼンカモクセイセキドヒョウカショウモンダイセイトウリツシュッセキジョウキョウケッカカイセキケッカゼンガクブカクガクブヒョウカケッカスイシンブモンホンキョウイクヨトウカイジンザイイクセイキョウイクケントウカイギケントウカイギカイインキギョウサンギョウカイトリクミショウカイタダイガクキギョウシテンクイ</t>
    </rPh>
    <phoneticPr fontId="1"/>
  </si>
  <si>
    <t xml:space="preserve">本教育プログラムを構成する２科目のうちの１つは、全５学部で共通の全学共通科目科で１年生・前期のオンデマンド教材を用いたアクティブラーニングのフルオンライン授業であることから、各部局の入学者ガイダンスやオリエンテーションなどで、「必修 (卒業要件) 科目であること」、「履修の仕方」、「修了要件」、「単位取得までの流れ」を丁寧に説明している。フルオンライン授業への履修登録漏れがないよう、他の科目で履修方法に慣れた時期に履修登録するよう工夫している。そのうえで、すべての学生が履修したことを各学部の学生室の事務員、および、担当教員により履修登録を確認している。履修を終えていない学生には、履修するよう個別に連絡し、履修登録完了の返信をもらうようにしている。
　もう１つのPC演習を含むデータリテラシーの科目も４学部で１年次の必修 (卒業要件) 科目であるため、前期の開講分は、入学者ガイダンスやオリエンテーションなどで、後期の開講分は、学生へのメールで漏れなく周知している。令和７年度より、必修 (卒業要件) 科目となる国際関係学部も同様で、留学希望者への配慮として１～２年次に、多くの講座 (異なる曜日、時間、講師) で履修できるようカリキュラムを工夫している。教員志望者の必修 (卒業要件) 科目であることもリマインドして履修漏れを防いでいる。
</t>
    <rPh sb="0" eb="1">
      <t>ホン</t>
    </rPh>
    <rPh sb="1" eb="3">
      <t>キョウイク</t>
    </rPh>
    <rPh sb="9" eb="11">
      <t>コウセイ</t>
    </rPh>
    <rPh sb="14" eb="16">
      <t>カモク</t>
    </rPh>
    <rPh sb="24" eb="25">
      <t>ゼン</t>
    </rPh>
    <rPh sb="53" eb="55">
      <t>キョウザイ</t>
    </rPh>
    <rPh sb="56" eb="57">
      <t>モチ</t>
    </rPh>
    <rPh sb="114" eb="116">
      <t>ヒッシュウ</t>
    </rPh>
    <rPh sb="124" eb="126">
      <t>カモク</t>
    </rPh>
    <rPh sb="142" eb="144">
      <t>シュウリョウ</t>
    </rPh>
    <rPh sb="144" eb="146">
      <t>ヨウケン</t>
    </rPh>
    <rPh sb="206" eb="208">
      <t>ジキ</t>
    </rPh>
    <rPh sb="209" eb="213">
      <t>リシュウトウロク</t>
    </rPh>
    <rPh sb="217" eb="219">
      <t>クフウ</t>
    </rPh>
    <rPh sb="336" eb="338">
      <t>エンシュウ</t>
    </rPh>
    <rPh sb="339" eb="340">
      <t>フク</t>
    </rPh>
    <rPh sb="350" eb="352">
      <t>カモク</t>
    </rPh>
    <rPh sb="354" eb="356">
      <t>ガクブ</t>
    </rPh>
    <rPh sb="358" eb="360">
      <t>ネンジ</t>
    </rPh>
    <rPh sb="361" eb="363">
      <t>ヒッシュウ</t>
    </rPh>
    <rPh sb="365" eb="369">
      <t>ソツギョウヨウケン</t>
    </rPh>
    <rPh sb="371" eb="373">
      <t>カモク</t>
    </rPh>
    <rPh sb="379" eb="381">
      <t>ゼンキ</t>
    </rPh>
    <rPh sb="382" eb="384">
      <t>カイコウ</t>
    </rPh>
    <rPh sb="384" eb="385">
      <t>ブン</t>
    </rPh>
    <rPh sb="409" eb="411">
      <t>コウキ</t>
    </rPh>
    <rPh sb="412" eb="414">
      <t>カイコウ</t>
    </rPh>
    <rPh sb="414" eb="415">
      <t>ブン</t>
    </rPh>
    <rPh sb="417" eb="419">
      <t>ガクセイ</t>
    </rPh>
    <rPh sb="425" eb="426">
      <t>モ</t>
    </rPh>
    <rPh sb="429" eb="431">
      <t>シュウチ</t>
    </rPh>
    <rPh sb="459" eb="465">
      <t>コクサイカンケイガクブ</t>
    </rPh>
    <rPh sb="466" eb="468">
      <t>ドウヨウ</t>
    </rPh>
    <rPh sb="489" eb="490">
      <t>オオ</t>
    </rPh>
    <rPh sb="492" eb="494">
      <t>コウザ</t>
    </rPh>
    <rPh sb="496" eb="497">
      <t>コト</t>
    </rPh>
    <rPh sb="537" eb="539">
      <t>ヒッシュウ</t>
    </rPh>
    <rPh sb="541" eb="545">
      <t>ソツギョウヨウケン</t>
    </rPh>
    <phoneticPr fontId="1"/>
  </si>
  <si>
    <t>・倫理的・法的・社会的課題 (ELSI：Ethical, Legal and Social Issues） [数理・データサイエンス・AI入門](6回目)
・個人情報保護、EU一般データ保護規則(GDPR)、忘れられる権利、オプトアウト [数理・データサイエンス・AI入門](6回目)
・データ倫理：データのねつ造、改ざん、盗用、プライバシー保護 [数理・データサイエンス・AI入門](7回目)
・AI社会原則（公平性、説明責任、透明性、人間中心の判断） [数理・データサイエンス・AI入門](6回目)
・データ・AI活用における負の事例紹介 [数理・データサイエンス・AI入門](7回目)
・生成AIの留意事項（ハルシネーションによる誤情報の生成）、偽情報や有害コンテンツの生成・氾濫など） [数理・データサイエンス・AI入門](4回目)</t>
    <rPh sb="1" eb="4">
      <t>リンリテキ</t>
    </rPh>
    <rPh sb="5" eb="7">
      <t>ホウテキ</t>
    </rPh>
    <rPh sb="8" eb="11">
      <t>シャカイテキ</t>
    </rPh>
    <rPh sb="11" eb="13">
      <t>カダイ</t>
    </rPh>
    <rPh sb="297" eb="299">
      <t>セイセイ</t>
    </rPh>
    <rPh sb="302" eb="306">
      <t>リュウイジコウ</t>
    </rPh>
    <rPh sb="318" eb="319">
      <t>ゴ</t>
    </rPh>
    <rPh sb="319" eb="321">
      <t>ジョウホウ</t>
    </rPh>
    <rPh sb="322" eb="324">
      <t>セイセイ</t>
    </rPh>
    <rPh sb="326" eb="327">
      <t>ニセ</t>
    </rPh>
    <rPh sb="327" eb="329">
      <t>ジョウホウ</t>
    </rPh>
    <rPh sb="330" eb="332">
      <t>ユウガイ</t>
    </rPh>
    <rPh sb="338" eb="340">
      <t>セイセイ</t>
    </rPh>
    <rPh sb="341" eb="343">
      <t>ハンラン</t>
    </rPh>
    <phoneticPr fontId="1"/>
  </si>
  <si>
    <t>コンピュータ・リテラシー (g)</t>
    <phoneticPr fontId="1"/>
  </si>
  <si>
    <t>・情報セキュリティの3要素 (機密性、完全性、可用性) [数理・データサイエンス・AI入門](6回目)
・匿名加工情報、暗号化と復号、ユーザ承認、パスワード、アクセス制限、悪意ある情報搾取 [数理・データサイエンス・AI入門](6回目)
・情報漏洩等によるセキュリティ事故の事例紹介 [数理・データサイエンス・AI入門](6回目)</t>
    <rPh sb="11" eb="13">
      <t>ヨウソ</t>
    </rPh>
    <rPh sb="64" eb="66">
      <t>フクゴウ</t>
    </rPh>
    <rPh sb="70" eb="72">
      <t>ショウニン</t>
    </rPh>
    <rPh sb="83" eb="85">
      <t>セイゲン</t>
    </rPh>
    <phoneticPr fontId="1"/>
  </si>
  <si>
    <t>情報リテラシI</t>
  </si>
  <si>
    <t>５学部全体の到達目標
・Society 5.0時代の礎である数理・データサイエンス・AIを学ぶことの意義を理解する。
・データ倫理、情報セキュリティ、AI社会原則などデータ・AI利活用の基礎を理解する。
・目的に応じてPCでデータを分析・可視化 (図表化) し結果を説明する基礎的な能力を養う。
・データ利活用により、実課題解決に向けた提案ができる基礎力を養う。</t>
    <phoneticPr fontId="1"/>
  </si>
  <si>
    <r>
      <t>コンピュータ・リテラシー (c</t>
    </r>
    <r>
      <rPr>
        <sz val="6"/>
        <rFont val="ＭＳ Ｐゴシック"/>
        <family val="3"/>
        <charset val="128"/>
        <scheme val="minor"/>
      </rPr>
      <t>'</t>
    </r>
    <r>
      <rPr>
        <sz val="12"/>
        <rFont val="ＭＳ Ｐゴシック"/>
        <family val="3"/>
        <charset val="128"/>
        <scheme val="minor"/>
      </rPr>
      <t>)</t>
    </r>
    <phoneticPr fontId="1"/>
  </si>
  <si>
    <r>
      <t>コンピュータ・リテラシー (e</t>
    </r>
    <r>
      <rPr>
        <sz val="6"/>
        <rFont val="ＭＳ Ｐゴシック"/>
        <family val="3"/>
        <charset val="128"/>
        <scheme val="minor"/>
      </rPr>
      <t>'</t>
    </r>
    <r>
      <rPr>
        <sz val="12"/>
        <rFont val="ＭＳ Ｐゴシック"/>
        <family val="3"/>
        <charset val="128"/>
        <scheme val="minor"/>
      </rPr>
      <t>)</t>
    </r>
    <phoneticPr fontId="1"/>
  </si>
  <si>
    <r>
      <t>コンピュータ・リテラシー  (c</t>
    </r>
    <r>
      <rPr>
        <sz val="2"/>
        <rFont val="ＭＳ Ｐゴシック"/>
        <family val="3"/>
        <charset val="128"/>
        <scheme val="minor"/>
      </rPr>
      <t>.</t>
    </r>
    <r>
      <rPr>
        <sz val="12"/>
        <rFont val="ＭＳ Ｐゴシック"/>
        <family val="3"/>
        <charset val="128"/>
        <scheme val="minor"/>
      </rPr>
      <t>)</t>
    </r>
    <phoneticPr fontId="1"/>
  </si>
  <si>
    <t>・データの種類（量的変数、質的変数） [数理・データサイエンス・AI入門](2回目)
・データの分布(ヒストグラム)と代表値（平均値、中央値、最頻値）[数理・データサイエンス・AI入門](3回目)
・代表値の性質の違い（実社会では平均値＝最頻値でないことが多い） [数理・データサイエンス・AI入門](2回目)
・データのばらつき（分散、標準偏差、偏差値）、外れ値 [数理・データサイエンス・AI入門](3回目)、[情報リテラシI](10回目)
・観測データに含まれる誤差の扱い [数理・データサイエンス・AI入門](7回目)
・打ち切りや欠測を含むデータ、層別の必要なデータ [数理・データサイエンス・AI入門](2, 5回目)
・相関と因果（相関係数、擬似相関、交絡） [数理・データサイエンス・AI入門](4, 5回目)、[情報リテラシI](10回目)
・クロス集計表、分割表、相関係数行列、散布図行列 [数理・データサイエンス・AI入門](4, 7回目)</t>
    <phoneticPr fontId="1"/>
  </si>
  <si>
    <t>・データ表現（棒グラフ、折線グラフ、散布図、ヒートマップ、箱ひげ図） [数理・データサイエンス・AI入門](3, 4回目)、[情報リテラシⅠ](12回目)
・データの比較（条件をそろえた比較、処理の前後での比較、A/Bテスト) [数理・データサイエンス・AI入門](4回目)、[情報リテラシI](12回目)
・不適切なグラフ表現（チャートジャンク、不必要な視覚的要素） [数理・データサイエンス・AI入門](4回目)、[情報リテラシI](12回目)
・優れた可視化事例の紹介（可視化することによって新たな気づきがあった事例など） [数理・データサイエンス・AI入門](4回目)、[情報リテラシI](12回目)</t>
    <rPh sb="29" eb="30">
      <t>ハコ</t>
    </rPh>
    <rPh sb="32" eb="33">
      <t>ズ</t>
    </rPh>
    <phoneticPr fontId="2"/>
  </si>
  <si>
    <r>
      <t xml:space="preserve">看護学部 </t>
    </r>
    <r>
      <rPr>
        <vertAlign val="superscript"/>
        <sz val="12"/>
        <rFont val="ＭＳ Ｐゴシック"/>
        <family val="3"/>
        <charset val="128"/>
        <scheme val="minor"/>
      </rPr>
      <t>*</t>
    </r>
    <rPh sb="0" eb="4">
      <t>カンゴガクブ</t>
    </rPh>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</si>
  <si>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</si>
  <si>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本教育プログラムでは、５学部全体の到達目標、および、各学部の学修のねらいを設定し、学習成果は、５学部全体の到達目標に対する修学度を重視し、各学部の専門性に応じた学修のねらいへの修学度を考慮して総合的に評価している。履修成果である受講確認の小テストや、課題レポート (定期試験を含む) などの成績で修学度を確認している。本学では、すべての科目に学生 (授業評価) アンケートを実施していることから、本教育プログラムに関する科目も学生アンケートを実施し、その結果を基に学生の学習動機や学修成果を把握し、FD活動に活用している。学生アンケートでは、具体的に、学習時間、分量、スピード、難易度、満足度を定量的に問い、改善項目については記述式で問うて確認している。
　推進部門は、全５学部の教務委員会の協力の下、学修成果、履修記録、学生アンケート等から学生の学習動機や学修成果との関連を把握し、本教育プログラムが目指す基本指針と、５学部全体の到達目標、および、学部別の学修のねらいについて継続的に検討している。自己点検・評価部門は、修学成果や学生アンケート結果より、本教育プログラムが目指す基本指針と、５学部全体、および、学部別の到達目標の達成について総合的に評価し、改善案を協議して具体的な案を提示する他、実施体制の強化などを総合的に検討している。
　なお、各学部における教授会・教員総会、および、全学の教務委員会で、本教育プログラムが目指す基本方針を報告し、検討することで、効果的な授業方法や適切な成績評価について情報共有し、継続的に議論している。</t>
    <rPh sb="0" eb="3">
      <t>ホンキョウイク</t>
    </rPh>
    <rPh sb="30" eb="32">
      <t>ガクシュウ</t>
    </rPh>
    <rPh sb="37" eb="39">
      <t>セッテイ</t>
    </rPh>
    <rPh sb="48" eb="50">
      <t>ガクブ</t>
    </rPh>
    <rPh sb="50" eb="52">
      <t>ゼンタイ</t>
    </rPh>
    <rPh sb="61" eb="64">
      <t>シュウガクド</t>
    </rPh>
    <rPh sb="80" eb="82">
      <t>ガクシュウ</t>
    </rPh>
    <rPh sb="105" eb="108">
      <t>シュウガクド</t>
    </rPh>
    <rPh sb="116" eb="120">
      <t>リシュウセイカ</t>
    </rPh>
    <rPh sb="280" eb="283">
      <t>グタイテキ</t>
    </rPh>
    <rPh sb="338" eb="340">
      <t>スイシン</t>
    </rPh>
    <rPh sb="340" eb="342">
      <t>ブモン</t>
    </rPh>
    <rPh sb="365" eb="367">
      <t>リシュウ</t>
    </rPh>
    <rPh sb="367" eb="369">
      <t>キロク</t>
    </rPh>
    <rPh sb="370" eb="372">
      <t>ガクセイ</t>
    </rPh>
    <rPh sb="394" eb="396">
      <t>カンレン</t>
    </rPh>
    <rPh sb="425" eb="427">
      <t>ガクブ</t>
    </rPh>
    <rPh sb="427" eb="429">
      <t>ゼンタイ</t>
    </rPh>
    <rPh sb="429" eb="431">
      <t>ガクシュウ</t>
    </rPh>
    <rPh sb="436" eb="439">
      <t>ガクブベツ</t>
    </rPh>
    <rPh sb="440" eb="444">
      <t>トウタツモクヒョウ</t>
    </rPh>
    <rPh sb="459" eb="463">
      <t>ジコテンケン</t>
    </rPh>
    <rPh sb="464" eb="466">
      <t>ヒョウカ</t>
    </rPh>
    <rPh sb="466" eb="468">
      <t>ブモン</t>
    </rPh>
    <rPh sb="475" eb="477">
      <t>ガクセイ</t>
    </rPh>
    <rPh sb="482" eb="484">
      <t>ケッカ</t>
    </rPh>
    <rPh sb="524" eb="526">
      <t>タッセイ</t>
    </rPh>
    <rPh sb="530" eb="533">
      <t>ソウゴウテキ</t>
    </rPh>
    <rPh sb="534" eb="536">
      <t>ヒョウカ</t>
    </rPh>
    <rPh sb="538" eb="540">
      <t>カイゼン</t>
    </rPh>
    <rPh sb="540" eb="541">
      <t>アン</t>
    </rPh>
    <rPh sb="542" eb="544">
      <t>キョウギ</t>
    </rPh>
    <rPh sb="546" eb="549">
      <t>グタイテキ</t>
    </rPh>
    <rPh sb="550" eb="551">
      <t>アン</t>
    </rPh>
    <rPh sb="552" eb="554">
      <t>テイジ</t>
    </rPh>
    <rPh sb="556" eb="557">
      <t>ホカ</t>
    </rPh>
    <rPh sb="563" eb="565">
      <t>キョウカ</t>
    </rPh>
    <rPh sb="572" eb="574">
      <t>ケントウ</t>
    </rPh>
    <rPh sb="584" eb="587">
      <t>カクガクブ</t>
    </rPh>
    <rPh sb="595" eb="599">
      <t>キョウインソウカイ</t>
    </rPh>
    <rPh sb="604" eb="606">
      <t>ゼンガク</t>
    </rPh>
    <rPh sb="607" eb="609">
      <t>キョウム</t>
    </rPh>
    <rPh sb="609" eb="612">
      <t>イインカイ</t>
    </rPh>
    <rPh sb="652" eb="654">
      <t>テキセツケイゾクテキ</t>
    </rPh>
    <phoneticPr fontId="1"/>
  </si>
  <si>
    <t xml:space="preserve">全学部で共通の講座1科目1単位、および、各学部のPCを用いたデータリテラシーなどで構成される１科目１～２単位、合計２科目２～３単位 (各学部の卒業要件で定められた科目：学部 (・学科) の必修科目) を履修すること。 
1. 全学部共通 (全５学部)：数理・データサイエンス・AI入門 (必修科目、１年前期、１単位)
2. 国際関係学部：コンピュータ・リテラシー (a, b, c, d, e, f) [選択 (卒業要件) 科目、１、２年前期 (a～e)・後期 (f)、２単位]、もしくは、情報検索実習 [全学共通の選択 (卒業要件) の科目、１年生前期、２単位]
＊カリキュラム編成と学則変更により、2025年度の入学生から、コンピュータ・リテラシーは選択 (卒業要件) 科目から必修 (卒業要件) 科目となる。また、情報検索実習は「廃止」し、コンピュータ・リテラシーは現在の６講座より前期に１講座増やした７講座 (a～f, g)  [前期 (a～e, g)・後期 (f)] となる。
</t>
    <rPh sb="27" eb="28">
      <t>モチ</t>
    </rPh>
    <rPh sb="84" eb="86">
      <t>ガクブ</t>
    </rPh>
    <rPh sb="89" eb="91">
      <t>ガッカ</t>
    </rPh>
    <rPh sb="202" eb="204">
      <t>センタク</t>
    </rPh>
    <rPh sb="228" eb="230">
      <t>コウキ</t>
    </rPh>
    <rPh sb="249" eb="251">
      <t>ジッシュウ</t>
    </rPh>
    <rPh sb="290" eb="292">
      <t>ヘンセイ</t>
    </rPh>
    <rPh sb="293" eb="297">
      <t>ガクソクヘンコウ</t>
    </rPh>
    <rPh sb="333" eb="335">
      <t>ヨウケン</t>
    </rPh>
    <rPh sb="341" eb="343">
      <t>ヒッシュウ</t>
    </rPh>
    <rPh sb="347" eb="349">
      <t>ヨウケン</t>
    </rPh>
    <rPh sb="386" eb="388">
      <t>ゲンザイ</t>
    </rPh>
    <rPh sb="390" eb="392">
      <t>コウザ</t>
    </rPh>
    <rPh sb="394" eb="396">
      <t>ゼンキ</t>
    </rPh>
    <rPh sb="398" eb="400">
      <t>コウザ</t>
    </rPh>
    <rPh sb="400" eb="401">
      <t>フ</t>
    </rPh>
    <rPh sb="405" eb="407">
      <t>コウザ</t>
    </rPh>
    <phoneticPr fontId="1"/>
  </si>
  <si>
    <t>教務委員会 情報教育部会 MDASH推進部門</t>
    <phoneticPr fontId="1"/>
  </si>
  <si>
    <r>
      <t xml:space="preserve">１．教務委員会 情報教育部会 MDASH推進部門
経営情報学部　　   教授　　 武藤 伸明
薬学部　　　　　  　  教授　　 橋本　博
食品栄養科学部　 </t>
    </r>
    <r>
      <rPr>
        <sz val="8"/>
        <rFont val="ＭＳ Ｐゴシック"/>
        <family val="3"/>
        <charset val="128"/>
        <scheme val="minor"/>
      </rPr>
      <t xml:space="preserve"> </t>
    </r>
    <r>
      <rPr>
        <sz val="12"/>
        <rFont val="ＭＳ Ｐゴシック"/>
        <family val="3"/>
        <charset val="128"/>
        <scheme val="minor"/>
      </rPr>
      <t xml:space="preserve">准教授   中野 祥吾
国際関係学部　　  </t>
    </r>
    <r>
      <rPr>
        <sz val="8"/>
        <rFont val="ＭＳ Ｐゴシック"/>
        <family val="3"/>
        <charset val="128"/>
        <scheme val="minor"/>
      </rPr>
      <t xml:space="preserve"> </t>
    </r>
    <r>
      <rPr>
        <sz val="12"/>
        <rFont val="ＭＳ Ｐゴシック"/>
        <family val="3"/>
        <charset val="128"/>
        <scheme val="minor"/>
      </rPr>
      <t xml:space="preserve">准教授　 宮崎 晋生
看護学部　　　　　  </t>
    </r>
    <r>
      <rPr>
        <sz val="8"/>
        <rFont val="ＭＳ Ｐゴシック"/>
        <family val="3"/>
        <charset val="128"/>
        <scheme val="minor"/>
      </rPr>
      <t xml:space="preserve"> </t>
    </r>
    <r>
      <rPr>
        <sz val="12"/>
        <rFont val="ＭＳ Ｐゴシック"/>
        <family val="3"/>
        <charset val="128"/>
        <scheme val="minor"/>
      </rPr>
      <t>教授　 　 山田  紋子 (令和7年3月31日まで)
　　　　　　　　　  　　</t>
    </r>
    <r>
      <rPr>
        <sz val="8"/>
        <rFont val="ＭＳ Ｐゴシック"/>
        <family val="3"/>
        <charset val="128"/>
        <scheme val="minor"/>
      </rPr>
      <t xml:space="preserve"> </t>
    </r>
    <r>
      <rPr>
        <sz val="12"/>
        <rFont val="ＭＳ Ｐゴシック"/>
        <family val="3"/>
        <charset val="128"/>
        <scheme val="minor"/>
      </rPr>
      <t xml:space="preserve">教授　　  富安  眞理 (令和7年4月1日から)
２．教務委員会 情報教育部会 MDASH自己点検・評価部門
食品栄養科学部　教授　　  栗木 清典
薬学部　　　　　　　講師　　  伊藤 由彦
国際関係学部　　 助教　 　 青山 知靖
経営情報学部　　 教授　 　 六井　淳
看護学部　　　　 　准教授　 堀  芽久美 (令和7年3月31日まで) 
                      </t>
    </r>
    <r>
      <rPr>
        <sz val="8"/>
        <rFont val="ＭＳ Ｐゴシック"/>
        <family val="3"/>
        <charset val="128"/>
        <scheme val="minor"/>
      </rPr>
      <t xml:space="preserve"> </t>
    </r>
    <r>
      <rPr>
        <sz val="12"/>
        <rFont val="ＭＳ Ｐゴシック"/>
        <family val="3"/>
        <charset val="128"/>
        <scheme val="minor"/>
      </rPr>
      <t xml:space="preserve"> </t>
    </r>
    <r>
      <rPr>
        <sz val="6"/>
        <rFont val="ＭＳ Ｐゴシック"/>
        <family val="3"/>
        <charset val="128"/>
        <scheme val="minor"/>
      </rPr>
      <t xml:space="preserve">    </t>
    </r>
    <r>
      <rPr>
        <sz val="12"/>
        <rFont val="ＭＳ Ｐゴシック"/>
        <family val="3"/>
        <charset val="128"/>
        <scheme val="minor"/>
      </rPr>
      <t xml:space="preserve">准教授   </t>
    </r>
    <r>
      <rPr>
        <sz val="6"/>
        <rFont val="ＭＳ Ｐゴシック"/>
        <family val="3"/>
        <charset val="128"/>
        <scheme val="minor"/>
      </rPr>
      <t xml:space="preserve"> </t>
    </r>
    <r>
      <rPr>
        <sz val="12"/>
        <rFont val="ＭＳ Ｐゴシック"/>
        <family val="3"/>
        <charset val="128"/>
        <scheme val="minor"/>
      </rPr>
      <t>榊原 直喜 (令和7年4月1日から)</t>
    </r>
    <rPh sb="4" eb="7">
      <t>イインカイ</t>
    </rPh>
    <rPh sb="167" eb="169">
      <t>キョウジュ</t>
    </rPh>
    <rPh sb="198" eb="201">
      <t>イインカイ</t>
    </rPh>
    <rPh sb="330" eb="332">
      <t>レイワ</t>
    </rPh>
    <rPh sb="333" eb="334">
      <t>ネン</t>
    </rPh>
    <rPh sb="335" eb="336">
      <t>ガツ</t>
    </rPh>
    <rPh sb="338" eb="339">
      <t>ニチ</t>
    </rPh>
    <phoneticPr fontId="1"/>
  </si>
  <si>
    <t>教務委員会 情報教育部会 MDASH自己点検・評価部門</t>
    <rPh sb="2" eb="5">
      <t>イインカイ</t>
    </rPh>
    <phoneticPr fontId="1"/>
  </si>
  <si>
    <t>本学では、本教育プログラムを含むすべての科目の開講状況、履修状況、単位修得状況を、学生室の各学部に専属の担当事務員、および、各学部の教務委員が把握しており、当教務委員会 情報教育部会 MDASH推進部門 (以下、推進部門という) は、本教育プログラムに関する情報を共有している。推進部門は、学生室の各学部に専属の担当事務員、および、各学部の教務委員と協力して全学の学内質保証規程に基づき、毎年度、本教育プログラムを検証することで、本教育プログラムの開発、管理、運営、質の向上を図り、見つかった課題を推進部門が中心となって改善に向けて取り組む体制を整備している。なお、本教育プログラムの開始年度である令和６年度の履修率は20％以上で、４年生が卒業する令和９年度の履修率は92％ (様式２の③)、薬学部薬学科 (６年制) が卒業する令和11年度に履修率が100％となる見込みである。</t>
    <rPh sb="14" eb="15">
      <t>フク</t>
    </rPh>
    <rPh sb="49" eb="51">
      <t>センゾク</t>
    </rPh>
    <rPh sb="62" eb="65">
      <t>カクガクブ</t>
    </rPh>
    <rPh sb="79" eb="81">
      <t>キョウム</t>
    </rPh>
    <rPh sb="85" eb="87">
      <t>ジョウホウ</t>
    </rPh>
    <rPh sb="87" eb="91">
      <t>キョウイクブカイ</t>
    </rPh>
    <rPh sb="97" eb="101">
      <t>スイシンブモン</t>
    </rPh>
    <rPh sb="126" eb="127">
      <t>カン</t>
    </rPh>
    <rPh sb="139" eb="141">
      <t>スイシン</t>
    </rPh>
    <rPh sb="141" eb="143">
      <t>ブモン</t>
    </rPh>
    <rPh sb="166" eb="169">
      <t>カクガクブ</t>
    </rPh>
    <rPh sb="179" eb="181">
      <t>ゼンガク</t>
    </rPh>
    <rPh sb="182" eb="184">
      <t>ガクナイ</t>
    </rPh>
    <rPh sb="187" eb="189">
      <t>キテイ</t>
    </rPh>
    <rPh sb="273" eb="275">
      <t>セイビ</t>
    </rPh>
    <rPh sb="283" eb="284">
      <t>ホン</t>
    </rPh>
    <rPh sb="284" eb="286">
      <t>キョウイク</t>
    </rPh>
    <rPh sb="292" eb="296">
      <t>カイシネンド</t>
    </rPh>
    <rPh sb="299" eb="301">
      <t>レイワ</t>
    </rPh>
    <rPh sb="302" eb="304">
      <t>ネンド</t>
    </rPh>
    <rPh sb="305" eb="308">
      <t>リシュウリツ</t>
    </rPh>
    <rPh sb="312" eb="314">
      <t>イジョウ</t>
    </rPh>
    <rPh sb="317" eb="319">
      <t>ネンセイ</t>
    </rPh>
    <rPh sb="320" eb="322">
      <t>ソツギョウ</t>
    </rPh>
    <rPh sb="349" eb="352">
      <t>ヤクガッカ</t>
    </rPh>
    <rPh sb="355" eb="357">
      <t>ネンセイ</t>
    </rPh>
    <rPh sb="360" eb="362">
      <t>ソツギョウ</t>
    </rPh>
    <rPh sb="369" eb="370">
      <t>ド</t>
    </rPh>
    <rPh sb="371" eb="373">
      <t>リシュウ</t>
    </rPh>
    <rPh sb="373" eb="374">
      <t>リツ</t>
    </rPh>
    <rPh sb="382" eb="384">
      <t>ミコ</t>
    </rPh>
    <phoneticPr fontId="1"/>
  </si>
  <si>
    <t>本教育プログラムの２科目のうちの１科目「数理・データサイエンス・AI教育入門」は、全５学部の１年次に必修 (卒業要件) 科目の全学共通科目として履修し、もう１科目の学部別のPC演習を含むデータリテラシ―の科目は、全５学部のち４学部 (看護学部の編入生を含む) で必修 (卒業要件) 科目である。残る１学部 (国際関係学部：海外留学を希望する学生に配慮した１～２年次の履修) では、令和７年度から当該の選択 (卒業要件) 科目を必修 (卒業要件) 科目とするカリキュラム編成により、学則変更した。これより、令和７年度以降は、すべての学部の、すべての学生が本教育プログラムを履修することになる。
　なお、当該の１学部の令和６年度入学生には、データリテラシ―の科目「コンピュータ・リテラシー」(6講座) と、開講日時の異なる全学共通科目の選択 (卒業要件) 科目「情報検索実習」で補完できるように実施した。2025年度より、カリキュラム編成と学則変更に則って「情報検索実習」を廃止するが、「コンピュータ・リテラシー」を1講座増やして計7講座とした。
　なお、教務委員会 情報教育部会 MDASH自己点検・評価部門は、情報教育部会 MDASH推進部門と共に、さらには学生室の学部担当事務員と学部教務委員と協力して、本教育プログラムの受講生の履修状況を見守り、すべての履修者が修了できるアドバイス提供の体制作りに励んでいる。</t>
    <rPh sb="50" eb="52">
      <t>ヒッシュウ</t>
    </rPh>
    <rPh sb="54" eb="58">
      <t>ソツギョウヨウケン</t>
    </rPh>
    <rPh sb="60" eb="62">
      <t>カモク</t>
    </rPh>
    <rPh sb="79" eb="81">
      <t>カモク</t>
    </rPh>
    <rPh sb="91" eb="92">
      <t>フク</t>
    </rPh>
    <rPh sb="102" eb="104">
      <t>カモク</t>
    </rPh>
    <rPh sb="131" eb="133">
      <t>ヒッシュウ</t>
    </rPh>
    <rPh sb="147" eb="148">
      <t>ノコ</t>
    </rPh>
    <rPh sb="150" eb="152">
      <t>ガクブ</t>
    </rPh>
    <rPh sb="154" eb="156">
      <t>コクサイ</t>
    </rPh>
    <rPh sb="156" eb="160">
      <t>カンケイガクブ</t>
    </rPh>
    <rPh sb="161" eb="163">
      <t>カイガイ</t>
    </rPh>
    <rPh sb="163" eb="165">
      <t>リュウガク</t>
    </rPh>
    <rPh sb="166" eb="168">
      <t>キボウ</t>
    </rPh>
    <rPh sb="170" eb="172">
      <t>ガクセイ</t>
    </rPh>
    <rPh sb="173" eb="175">
      <t>ハイリョ</t>
    </rPh>
    <rPh sb="180" eb="182">
      <t>ネンジ</t>
    </rPh>
    <rPh sb="183" eb="185">
      <t>リシュウ</t>
    </rPh>
    <rPh sb="240" eb="242">
      <t>ガクソク</t>
    </rPh>
    <rPh sb="242" eb="244">
      <t>ヘンコウ</t>
    </rPh>
    <rPh sb="252" eb="254">
      <t>レイワ</t>
    </rPh>
    <rPh sb="255" eb="257">
      <t>ネンド</t>
    </rPh>
    <rPh sb="257" eb="259">
      <t>イコウ</t>
    </rPh>
    <rPh sb="265" eb="267">
      <t>ガクブ</t>
    </rPh>
    <rPh sb="273" eb="275">
      <t>ガクセイ</t>
    </rPh>
    <rPh sb="276" eb="279">
      <t>ホンキョウイク</t>
    </rPh>
    <rPh sb="285" eb="287">
      <t>リシュウ</t>
    </rPh>
    <rPh sb="307" eb="309">
      <t>レイワ</t>
    </rPh>
    <rPh sb="310" eb="312">
      <t>ネンド</t>
    </rPh>
    <rPh sb="345" eb="347">
      <t>コウザ</t>
    </rPh>
    <rPh sb="351" eb="353">
      <t>カイコウ</t>
    </rPh>
    <rPh sb="353" eb="355">
      <t>ニチジ</t>
    </rPh>
    <rPh sb="356" eb="357">
      <t>コト</t>
    </rPh>
    <rPh sb="359" eb="365">
      <t>ゼンガクキョウツウカモク</t>
    </rPh>
    <rPh sb="366" eb="368">
      <t>センタク</t>
    </rPh>
    <rPh sb="387" eb="389">
      <t>ホカン</t>
    </rPh>
    <rPh sb="395" eb="397">
      <t>ジッシ</t>
    </rPh>
    <rPh sb="404" eb="406">
      <t>ネンド</t>
    </rPh>
    <rPh sb="415" eb="417">
      <t>ヘンセイ</t>
    </rPh>
    <rPh sb="457" eb="459">
      <t>コウザ</t>
    </rPh>
    <rPh sb="459" eb="460">
      <t>フ</t>
    </rPh>
    <rPh sb="463" eb="464">
      <t>ケイ</t>
    </rPh>
    <rPh sb="465" eb="467">
      <t>コウザ</t>
    </rPh>
    <rPh sb="478" eb="481">
      <t>イインカイ</t>
    </rPh>
    <rPh sb="522" eb="523">
      <t>トモ</t>
    </rPh>
    <rPh sb="562" eb="565">
      <t>ジュコウセイ</t>
    </rPh>
    <rPh sb="566" eb="570">
      <t>リシュウジョウキョウ</t>
    </rPh>
    <rPh sb="571" eb="573">
      <t>ミマモ</t>
    </rPh>
    <rPh sb="583" eb="585">
      <t>シュウリョウ</t>
    </rPh>
    <rPh sb="593" eb="595">
      <t>テイキョウ</t>
    </rPh>
    <rPh sb="596" eb="598">
      <t>タイセイ</t>
    </rPh>
    <rPh sb="598" eb="599">
      <t>ヅク</t>
    </rPh>
    <rPh sb="601" eb="602">
      <t>ハゲ</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</si>
</sst>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sz val="12"/>
      <name val="ＭＳ Ｐゴシック"/>
      <family val="3"/>
      <charset val="128"/>
      <scheme val="minor"/>
    </font>
    <font>
      <sz val="10"/>
      <name val="ＭＳ Ｐゴシック"/>
      <family val="3"/>
      <charset val="128"/>
      <scheme val="minor"/>
    </font>
    <font>
      <sz val="12"/>
      <color theme="1"/>
      <name val="ＭＳ Ｐゴシック"/>
      <family val="2"/>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6"/>
      <name val="ＭＳ Ｐゴシック"/>
      <family val="3"/>
      <charset val="128"/>
      <scheme val="minor"/>
    </font>
    <font>
      <sz val="2"/>
      <name val="ＭＳ Ｐゴシック"/>
      <family val="3"/>
      <charset val="128"/>
      <scheme val="minor"/>
    </font>
    <font>
      <sz val="7"/>
      <name val="ＭＳ Ｐゴシック"/>
      <family val="3"/>
      <charset val="128"/>
      <scheme val="minor"/>
    </font>
    <font>
      <vertAlign val="superscript"/>
      <sz val="12"/>
      <name val="ＭＳ Ｐゴシック"/>
      <family val="3"/>
      <charset val="128"/>
      <scheme val="minor"/>
    </font>
    <font>
      <sz val="8"/>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4">
    <xf numFmtId="0" fontId="0" fillId="0" borderId="0">
      <alignment vertical="center"/>
    </xf>
    <xf numFmtId="9" fontId="3" fillId="0" borderId="0" applyFont="0" applyFill="0" applyBorder="0" applyAlignment="0" applyProtection="0">
      <alignment vertical="center"/>
    </xf>
    <xf numFmtId="38" fontId="3" fillId="0" borderId="0" applyFont="0" applyFill="0" applyBorder="0" applyAlignment="0" applyProtection="0">
      <alignment vertical="center"/>
    </xf>
    <xf numFmtId="0" fontId="6" fillId="0" borderId="0">
      <alignment vertical="center"/>
    </xf>
  </cellStyleXfs>
  <cellXfs count="278">
    <xf numFmtId="0" fontId="0" fillId="0" borderId="0" xfId="0">
      <alignment vertical="center"/>
    </xf>
    <xf numFmtId="0" fontId="4" fillId="0" borderId="0" xfId="0" applyFont="1" applyAlignment="1">
      <alignment vertical="center" shrinkToFit="1"/>
    </xf>
    <xf numFmtId="0" fontId="4" fillId="0" borderId="0" xfId="0" applyFont="1" applyAlignment="1">
      <alignment horizontal="left" vertical="center"/>
    </xf>
    <xf numFmtId="0" fontId="4" fillId="0" borderId="0" xfId="0" applyFont="1" applyAlignment="1">
      <alignment horizontal="center" vertical="center" shrinkToFit="1"/>
    </xf>
    <xf numFmtId="0" fontId="5" fillId="0" borderId="0" xfId="0" applyFont="1" applyAlignment="1">
      <alignment horizontal="center"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4" fillId="0" borderId="1" xfId="0" applyFont="1" applyFill="1" applyBorder="1">
      <alignment vertical="center"/>
    </xf>
    <xf numFmtId="0" fontId="4" fillId="0" borderId="0" xfId="0" applyFont="1" applyFill="1">
      <alignment vertical="center"/>
    </xf>
    <xf numFmtId="0" fontId="7" fillId="0" borderId="0" xfId="0" applyFont="1" applyFill="1">
      <alignment vertical="center"/>
    </xf>
    <xf numFmtId="0" fontId="4" fillId="0" borderId="1" xfId="0" applyFont="1" applyFill="1" applyBorder="1" applyAlignment="1">
      <alignment horizontal="center" vertical="center"/>
    </xf>
    <xf numFmtId="0" fontId="4" fillId="0" borderId="0" xfId="0" applyFont="1" applyFill="1" applyAlignment="1">
      <alignment vertical="center" shrinkToFit="1"/>
    </xf>
    <xf numFmtId="0" fontId="4" fillId="0" borderId="0" xfId="0" applyFont="1" applyFill="1" applyAlignment="1">
      <alignment horizontal="left" vertical="center" shrinkToFit="1"/>
    </xf>
    <xf numFmtId="0" fontId="7" fillId="0" borderId="0" xfId="0" applyFont="1" applyFill="1" applyAlignment="1">
      <alignment horizontal="center" vertical="center"/>
    </xf>
    <xf numFmtId="0" fontId="9" fillId="0" borderId="1" xfId="0" applyFont="1" applyFill="1" applyBorder="1" applyAlignment="1">
      <alignment horizontal="center" vertical="center" shrinkToFit="1"/>
    </xf>
    <xf numFmtId="0" fontId="9" fillId="0" borderId="4" xfId="0" applyFont="1" applyFill="1" applyBorder="1" applyAlignment="1">
      <alignment horizontal="center" vertical="center" shrinkToFit="1"/>
    </xf>
    <xf numFmtId="49" fontId="9" fillId="0" borderId="1" xfId="0" applyNumberFormat="1" applyFont="1" applyFill="1" applyBorder="1" applyAlignment="1">
      <alignment horizontal="center" vertical="center"/>
    </xf>
    <xf numFmtId="0" fontId="4" fillId="0" borderId="14" xfId="0" applyFont="1" applyFill="1" applyBorder="1" applyAlignment="1">
      <alignment horizontal="center" vertical="center" shrinkToFit="1"/>
    </xf>
    <xf numFmtId="0" fontId="4" fillId="0" borderId="20" xfId="0" applyFont="1" applyFill="1" applyBorder="1" applyAlignment="1">
      <alignment horizontal="center" vertical="center" shrinkToFit="1"/>
    </xf>
    <xf numFmtId="0" fontId="4" fillId="0" borderId="13" xfId="0" applyFont="1" applyFill="1" applyBorder="1" applyAlignment="1">
      <alignment horizontal="center" vertical="center" shrinkToFit="1"/>
    </xf>
    <xf numFmtId="0" fontId="4" fillId="0" borderId="35" xfId="0" applyFont="1" applyFill="1" applyBorder="1" applyAlignment="1">
      <alignment horizontal="center" vertical="center" shrinkToFit="1"/>
    </xf>
    <xf numFmtId="0" fontId="4" fillId="0" borderId="0" xfId="0" applyFont="1" applyFill="1" applyAlignment="1">
      <alignment horizontal="center" vertical="center" shrinkToFit="1"/>
    </xf>
    <xf numFmtId="49" fontId="9" fillId="0" borderId="43" xfId="0" applyNumberFormat="1" applyFont="1" applyFill="1" applyBorder="1" applyAlignment="1">
      <alignment horizontal="center" vertical="center"/>
    </xf>
    <xf numFmtId="49" fontId="9" fillId="0" borderId="44" xfId="0" applyNumberFormat="1" applyFont="1" applyFill="1" applyBorder="1" applyAlignment="1">
      <alignment horizontal="center" vertical="center"/>
    </xf>
    <xf numFmtId="49" fontId="9" fillId="0" borderId="39" xfId="0" applyNumberFormat="1" applyFont="1" applyFill="1" applyBorder="1" applyAlignment="1">
      <alignment horizontal="center" vertical="center"/>
    </xf>
    <xf numFmtId="49" fontId="9" fillId="0" borderId="26" xfId="0" applyNumberFormat="1" applyFont="1" applyFill="1" applyBorder="1" applyAlignment="1">
      <alignment horizontal="center" vertical="center"/>
    </xf>
    <xf numFmtId="49" fontId="9" fillId="0" borderId="42" xfId="0" applyNumberFormat="1" applyFont="1" applyFill="1" applyBorder="1" applyAlignment="1">
      <alignment horizontal="center" vertical="center"/>
    </xf>
    <xf numFmtId="49" fontId="9" fillId="0" borderId="28" xfId="0" applyNumberFormat="1" applyFont="1" applyFill="1" applyBorder="1" applyAlignment="1">
      <alignment horizontal="center" vertical="center"/>
    </xf>
    <xf numFmtId="0" fontId="7" fillId="0" borderId="0" xfId="0" applyFont="1">
      <alignment vertical="center"/>
    </xf>
    <xf numFmtId="0" fontId="12" fillId="0" borderId="32" xfId="0" applyFont="1" applyBorder="1" applyAlignment="1">
      <alignment horizontal="center" vertical="center"/>
    </xf>
    <xf numFmtId="0" fontId="12" fillId="0" borderId="35" xfId="0" applyFont="1" applyBorder="1" applyAlignment="1">
      <alignment horizontal="center" vertical="center"/>
    </xf>
    <xf numFmtId="0" fontId="4" fillId="0" borderId="48" xfId="0" applyFont="1" applyBorder="1" applyAlignment="1">
      <alignment horizontal="left" vertical="center" shrinkToFit="1"/>
    </xf>
    <xf numFmtId="38" fontId="4" fillId="0" borderId="45" xfId="2" applyFont="1" applyFill="1" applyBorder="1" applyAlignment="1">
      <alignment vertical="center" shrinkToFit="1"/>
    </xf>
    <xf numFmtId="38" fontId="4" fillId="0" borderId="0" xfId="2" applyFont="1" applyFill="1" applyAlignment="1">
      <alignment vertical="center" shrinkToFit="1"/>
    </xf>
    <xf numFmtId="38" fontId="4" fillId="0" borderId="5" xfId="2" applyFont="1" applyFill="1" applyBorder="1" applyAlignment="1">
      <alignment vertical="center" shrinkToFit="1"/>
    </xf>
    <xf numFmtId="38" fontId="4" fillId="0" borderId="5" xfId="2" applyFont="1" applyBorder="1" applyAlignment="1">
      <alignment vertical="center" shrinkToFit="1"/>
    </xf>
    <xf numFmtId="38" fontId="4" fillId="0" borderId="48" xfId="2" applyFont="1" applyBorder="1" applyAlignment="1">
      <alignment vertical="center" shrinkToFit="1"/>
    </xf>
    <xf numFmtId="38" fontId="4" fillId="0" borderId="0" xfId="2" applyFont="1" applyAlignment="1">
      <alignment vertical="center" shrinkToFit="1"/>
    </xf>
    <xf numFmtId="9" fontId="4" fillId="0" borderId="13" xfId="0" applyNumberFormat="1" applyFont="1" applyBorder="1" applyAlignment="1">
      <alignment vertical="center" shrinkToFit="1"/>
    </xf>
    <xf numFmtId="0" fontId="4" fillId="0" borderId="20" xfId="0" applyFont="1" applyBorder="1" applyAlignment="1">
      <alignment horizontal="left" vertical="center" shrinkToFit="1"/>
    </xf>
    <xf numFmtId="38" fontId="4" fillId="0" borderId="20" xfId="2" applyFont="1" applyFill="1" applyBorder="1" applyAlignment="1">
      <alignment vertical="center" shrinkToFit="1"/>
    </xf>
    <xf numFmtId="38" fontId="4" fillId="0" borderId="19" xfId="2" applyFont="1" applyFill="1" applyBorder="1" applyAlignment="1">
      <alignment vertical="center" shrinkToFit="1"/>
    </xf>
    <xf numFmtId="38" fontId="4" fillId="0" borderId="18" xfId="2" applyFont="1" applyFill="1" applyBorder="1" applyAlignment="1">
      <alignment vertical="center" shrinkToFit="1"/>
    </xf>
    <xf numFmtId="38" fontId="4" fillId="0" borderId="46" xfId="2" applyFont="1" applyFill="1" applyBorder="1" applyAlignment="1">
      <alignment vertical="center" shrinkToFit="1"/>
    </xf>
    <xf numFmtId="38" fontId="4" fillId="0" borderId="46" xfId="2" applyFont="1" applyBorder="1" applyAlignment="1">
      <alignment vertical="center" shrinkToFit="1"/>
    </xf>
    <xf numFmtId="38" fontId="4" fillId="0" borderId="20" xfId="2" applyFont="1" applyBorder="1" applyAlignment="1">
      <alignment vertical="center" shrinkToFit="1"/>
    </xf>
    <xf numFmtId="38" fontId="4" fillId="0" borderId="19" xfId="2" applyFont="1" applyBorder="1" applyAlignment="1">
      <alignment vertical="center" shrinkToFit="1"/>
    </xf>
    <xf numFmtId="9" fontId="4" fillId="0" borderId="48" xfId="0" applyNumberFormat="1" applyFont="1" applyBorder="1" applyAlignment="1">
      <alignment vertical="center" shrinkToFit="1"/>
    </xf>
    <xf numFmtId="9" fontId="4" fillId="0" borderId="20" xfId="0" applyNumberFormat="1" applyFont="1" applyBorder="1" applyAlignment="1">
      <alignment vertical="center" shrinkToFit="1"/>
    </xf>
    <xf numFmtId="38" fontId="4" fillId="0" borderId="18" xfId="2" applyFont="1" applyBorder="1" applyAlignment="1">
      <alignment vertical="center" shrinkToFit="1"/>
    </xf>
    <xf numFmtId="38" fontId="4" fillId="0" borderId="17" xfId="2" applyFont="1" applyBorder="1" applyAlignment="1">
      <alignment vertical="center" shrinkToFit="1"/>
    </xf>
    <xf numFmtId="0" fontId="4" fillId="0" borderId="21" xfId="0" applyFont="1" applyBorder="1" applyAlignment="1">
      <alignment horizontal="left" vertical="center" shrinkToFit="1"/>
    </xf>
    <xf numFmtId="38" fontId="4" fillId="0" borderId="45" xfId="2" applyFont="1" applyBorder="1" applyAlignment="1">
      <alignment vertical="center" shrinkToFit="1"/>
    </xf>
    <xf numFmtId="38" fontId="4" fillId="0" borderId="10" xfId="2" applyFont="1" applyBorder="1" applyAlignment="1">
      <alignment vertical="center" shrinkToFit="1"/>
    </xf>
    <xf numFmtId="9" fontId="4" fillId="0" borderId="10" xfId="0" applyNumberFormat="1" applyFont="1" applyBorder="1" applyAlignment="1">
      <alignment vertical="center" shrinkToFit="1"/>
    </xf>
    <xf numFmtId="0" fontId="4" fillId="0" borderId="25" xfId="0" applyFont="1" applyBorder="1" applyAlignment="1">
      <alignment horizontal="center" vertical="center" shrinkToFit="1"/>
    </xf>
    <xf numFmtId="38" fontId="4" fillId="0" borderId="25" xfId="2" applyFont="1" applyBorder="1" applyAlignment="1">
      <alignment vertical="center" shrinkToFit="1"/>
    </xf>
    <xf numFmtId="38" fontId="4" fillId="0" borderId="23" xfId="2" applyFont="1" applyBorder="1" applyAlignment="1">
      <alignment vertical="center" shrinkToFit="1"/>
    </xf>
    <xf numFmtId="38" fontId="4" fillId="0" borderId="22" xfId="2" applyFont="1" applyBorder="1" applyAlignment="1">
      <alignment vertical="center" shrinkToFit="1"/>
    </xf>
    <xf numFmtId="9" fontId="4" fillId="0" borderId="24" xfId="0" applyNumberFormat="1" applyFont="1" applyBorder="1" applyAlignment="1">
      <alignment vertical="center" shrinkToFit="1"/>
    </xf>
    <xf numFmtId="0" fontId="9" fillId="0" borderId="0" xfId="0" applyFont="1">
      <alignment vertical="center"/>
    </xf>
    <xf numFmtId="0" fontId="4" fillId="0" borderId="0" xfId="0" applyFont="1" applyAlignment="1">
      <alignment horizontal="right" vertical="center"/>
    </xf>
    <xf numFmtId="0" fontId="7" fillId="0" borderId="0" xfId="0" applyFont="1" applyAlignment="1">
      <alignment horizontal="left" vertical="center"/>
    </xf>
    <xf numFmtId="0" fontId="7" fillId="0" borderId="0" xfId="0" applyFont="1" applyFill="1" applyAlignment="1">
      <alignment horizontal="left" vertical="center"/>
    </xf>
    <xf numFmtId="0" fontId="4" fillId="0" borderId="0" xfId="0" applyFont="1" applyAlignment="1">
      <alignment vertical="top" wrapText="1"/>
    </xf>
    <xf numFmtId="0" fontId="4" fillId="0" borderId="0" xfId="0" applyFont="1" applyAlignment="1">
      <alignment vertical="center" wrapText="1"/>
    </xf>
    <xf numFmtId="0" fontId="9" fillId="0" borderId="0" xfId="0" applyFont="1" applyAlignment="1">
      <alignment vertical="top" wrapText="1"/>
    </xf>
    <xf numFmtId="0" fontId="4" fillId="0" borderId="1" xfId="0" applyFont="1" applyBorder="1" applyAlignment="1">
      <alignment horizontal="center" vertical="center" wrapText="1" shrinkToFit="1"/>
    </xf>
    <xf numFmtId="9" fontId="4" fillId="0" borderId="0" xfId="1" applyFont="1" applyAlignment="1">
      <alignment horizontal="center" vertical="center"/>
    </xf>
    <xf numFmtId="0" fontId="4" fillId="0" borderId="1" xfId="0" applyFont="1" applyBorder="1" applyAlignment="1">
      <alignment horizontal="center" vertical="center" shrinkToFit="1"/>
    </xf>
    <xf numFmtId="176" fontId="4" fillId="0" borderId="1" xfId="0" applyNumberFormat="1" applyFont="1" applyBorder="1" applyAlignment="1">
      <alignment horizontal="center" vertical="center" shrinkToFit="1"/>
    </xf>
    <xf numFmtId="0" fontId="9" fillId="0" borderId="0" xfId="0" applyFont="1" applyAlignment="1">
      <alignment vertical="top" shrinkToFit="1"/>
    </xf>
    <xf numFmtId="0" fontId="4" fillId="0" borderId="1" xfId="0" applyFont="1" applyBorder="1" applyAlignment="1">
      <alignment horizontal="left" vertical="center"/>
    </xf>
    <xf numFmtId="0" fontId="4" fillId="2" borderId="5" xfId="0" applyFont="1" applyFill="1" applyBorder="1">
      <alignment vertical="center"/>
    </xf>
    <xf numFmtId="0" fontId="9" fillId="2" borderId="0" xfId="0" applyFont="1" applyFill="1" applyAlignment="1">
      <alignment vertical="top" wrapText="1"/>
    </xf>
    <xf numFmtId="0" fontId="9" fillId="2" borderId="10" xfId="0" applyFont="1" applyFill="1" applyBorder="1" applyAlignment="1">
      <alignment vertical="top" wrapText="1"/>
    </xf>
    <xf numFmtId="0" fontId="9" fillId="0" borderId="10" xfId="0" applyFont="1" applyFill="1" applyBorder="1" applyAlignment="1">
      <alignment vertical="top" wrapText="1"/>
    </xf>
    <xf numFmtId="0" fontId="9" fillId="2" borderId="5" xfId="0" applyFont="1" applyFill="1" applyBorder="1" applyAlignment="1">
      <alignment vertical="top" wrapText="1"/>
    </xf>
    <xf numFmtId="0" fontId="9" fillId="2" borderId="11" xfId="0" applyFont="1" applyFill="1" applyBorder="1" applyAlignment="1">
      <alignment vertical="top" wrapText="1"/>
    </xf>
    <xf numFmtId="0" fontId="9" fillId="2" borderId="37" xfId="0" applyFont="1" applyFill="1" applyBorder="1" applyAlignment="1">
      <alignment vertical="top" wrapText="1"/>
    </xf>
    <xf numFmtId="0" fontId="9" fillId="2" borderId="38" xfId="0" applyFont="1" applyFill="1" applyBorder="1" applyAlignment="1">
      <alignment vertical="top" wrapText="1"/>
    </xf>
    <xf numFmtId="0" fontId="9" fillId="0" borderId="37" xfId="0" applyFont="1" applyFill="1" applyBorder="1" applyAlignment="1">
      <alignment vertical="top" shrinkToFit="1"/>
    </xf>
    <xf numFmtId="0" fontId="9" fillId="0" borderId="38" xfId="0" applyFont="1" applyFill="1" applyBorder="1" applyAlignment="1">
      <alignment vertical="top" shrinkToFit="1"/>
    </xf>
    <xf numFmtId="0" fontId="4" fillId="0" borderId="0" xfId="0" applyFont="1" applyFill="1" applyAlignment="1">
      <alignment horizontal="right" vertical="center"/>
    </xf>
    <xf numFmtId="0" fontId="4" fillId="0" borderId="1" xfId="0" applyFont="1" applyBorder="1" applyAlignment="1">
      <alignment horizontal="center" vertical="center"/>
    </xf>
    <xf numFmtId="0" fontId="8" fillId="0" borderId="0" xfId="0" applyFont="1" applyAlignment="1">
      <alignment horizontal="center" vertical="center"/>
    </xf>
    <xf numFmtId="0" fontId="4" fillId="0" borderId="0" xfId="0" applyFont="1" applyAlignment="1">
      <alignment vertical="top" wrapText="1" shrinkToFit="1"/>
    </xf>
    <xf numFmtId="0" fontId="4" fillId="0" borderId="0" xfId="0" applyFont="1" applyAlignment="1">
      <alignment vertical="top" shrinkToFit="1"/>
    </xf>
    <xf numFmtId="0" fontId="4" fillId="0" borderId="0" xfId="0" applyFont="1" applyAlignment="1">
      <alignment horizontal="center" vertical="center"/>
    </xf>
    <xf numFmtId="0" fontId="4" fillId="0" borderId="0" xfId="0" applyFont="1">
      <alignment vertical="center"/>
    </xf>
    <xf numFmtId="9" fontId="4" fillId="0" borderId="1" xfId="0" applyNumberFormat="1" applyFont="1" applyBorder="1" applyAlignment="1">
      <alignment horizontal="center" vertical="center" shrinkToFit="1"/>
    </xf>
    <xf numFmtId="0" fontId="4" fillId="0" borderId="0" xfId="0" applyFont="1" applyFill="1" applyAlignment="1">
      <alignment vertical="top" wrapText="1"/>
    </xf>
    <xf numFmtId="0" fontId="9" fillId="0" borderId="40" xfId="0" applyFont="1" applyFill="1" applyBorder="1" applyAlignment="1">
      <alignment vertical="center" wrapText="1"/>
    </xf>
    <xf numFmtId="0" fontId="9" fillId="0" borderId="27" xfId="0" applyFont="1" applyFill="1" applyBorder="1" applyAlignment="1">
      <alignment vertical="center" wrapText="1"/>
    </xf>
    <xf numFmtId="0" fontId="9" fillId="0" borderId="41" xfId="0" applyFont="1" applyFill="1" applyBorder="1" applyAlignment="1">
      <alignment vertical="center" wrapText="1"/>
    </xf>
    <xf numFmtId="49" fontId="4" fillId="0" borderId="29" xfId="0" applyNumberFormat="1" applyFont="1" applyFill="1" applyBorder="1" applyAlignment="1">
      <alignment horizontal="left" vertical="center" wrapText="1"/>
    </xf>
    <xf numFmtId="49" fontId="4" fillId="0" borderId="31" xfId="0" applyNumberFormat="1" applyFont="1" applyFill="1" applyBorder="1" applyAlignment="1">
      <alignment horizontal="left" vertical="center"/>
    </xf>
    <xf numFmtId="49" fontId="4" fillId="0" borderId="30" xfId="0" applyNumberFormat="1" applyFont="1" applyFill="1" applyBorder="1" applyAlignment="1">
      <alignment horizontal="left" vertical="center"/>
    </xf>
    <xf numFmtId="49" fontId="4" fillId="0" borderId="18" xfId="0" applyNumberFormat="1" applyFont="1" applyFill="1" applyBorder="1" applyAlignment="1">
      <alignment horizontal="left" vertical="center" wrapText="1"/>
    </xf>
    <xf numFmtId="49" fontId="4" fillId="0" borderId="19" xfId="0" applyNumberFormat="1" applyFont="1" applyFill="1" applyBorder="1" applyAlignment="1">
      <alignment horizontal="left" vertical="center"/>
    </xf>
    <xf numFmtId="49" fontId="4" fillId="0" borderId="17" xfId="0" applyNumberFormat="1" applyFont="1" applyFill="1" applyBorder="1" applyAlignment="1">
      <alignment horizontal="left" vertical="center"/>
    </xf>
    <xf numFmtId="49" fontId="4" fillId="0" borderId="32" xfId="0" applyNumberFormat="1" applyFont="1" applyFill="1" applyBorder="1" applyAlignment="1">
      <alignment horizontal="left" vertical="center" wrapText="1"/>
    </xf>
    <xf numFmtId="49" fontId="4" fillId="0" borderId="33" xfId="0" applyNumberFormat="1" applyFont="1" applyFill="1" applyBorder="1" applyAlignment="1">
      <alignment horizontal="left" vertical="center"/>
    </xf>
    <xf numFmtId="49" fontId="4" fillId="0" borderId="34" xfId="0" applyNumberFormat="1" applyFont="1" applyFill="1" applyBorder="1" applyAlignment="1">
      <alignment horizontal="left" vertical="center"/>
    </xf>
    <xf numFmtId="0" fontId="4" fillId="0" borderId="2" xfId="0" applyFont="1" applyFill="1" applyBorder="1" applyAlignment="1">
      <alignment vertical="center" wrapText="1" shrinkToFit="1"/>
    </xf>
    <xf numFmtId="0" fontId="4" fillId="0" borderId="3" xfId="0" applyFont="1" applyFill="1" applyBorder="1" applyAlignment="1">
      <alignment vertical="center" wrapText="1" shrinkToFit="1"/>
    </xf>
    <xf numFmtId="0" fontId="4" fillId="0" borderId="4" xfId="0" applyFont="1" applyFill="1" applyBorder="1" applyAlignment="1">
      <alignment vertical="center" wrapText="1" shrinkToFit="1"/>
    </xf>
    <xf numFmtId="0" fontId="4" fillId="0" borderId="32" xfId="0" applyFont="1" applyFill="1" applyBorder="1" applyAlignment="1">
      <alignment vertical="center" shrinkToFit="1"/>
    </xf>
    <xf numFmtId="0" fontId="4" fillId="0" borderId="33" xfId="0" applyFont="1" applyFill="1" applyBorder="1" applyAlignment="1">
      <alignment vertical="center" shrinkToFit="1"/>
    </xf>
    <xf numFmtId="0" fontId="4" fillId="0" borderId="34" xfId="0" applyFont="1" applyFill="1" applyBorder="1" applyAlignment="1">
      <alignment vertical="center" shrinkToFit="1"/>
    </xf>
    <xf numFmtId="0" fontId="4" fillId="0" borderId="11" xfId="0" applyFont="1" applyFill="1" applyBorder="1" applyAlignment="1">
      <alignment horizontal="center" vertical="center" shrinkToFit="1"/>
    </xf>
    <xf numFmtId="0" fontId="4" fillId="0" borderId="6" xfId="0" applyFont="1" applyFill="1" applyBorder="1" applyAlignment="1">
      <alignment horizontal="center" vertical="center" shrinkToFit="1"/>
    </xf>
    <xf numFmtId="0" fontId="4" fillId="0" borderId="12" xfId="0" applyFont="1" applyFill="1" applyBorder="1" applyAlignment="1">
      <alignment horizontal="center" vertical="center" shrinkToFit="1"/>
    </xf>
    <xf numFmtId="0" fontId="5" fillId="0" borderId="2" xfId="0" applyFont="1" applyFill="1" applyBorder="1" applyAlignment="1">
      <alignment horizontal="center" vertical="center" shrinkToFit="1"/>
    </xf>
    <xf numFmtId="0" fontId="5" fillId="0" borderId="4" xfId="0" applyFont="1" applyFill="1" applyBorder="1" applyAlignment="1">
      <alignment horizontal="center" vertical="center" shrinkToFit="1"/>
    </xf>
    <xf numFmtId="0" fontId="4" fillId="0" borderId="2"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4" fillId="0" borderId="18" xfId="0" applyFont="1" applyFill="1" applyBorder="1" applyAlignment="1">
      <alignment vertical="center" shrinkToFit="1"/>
    </xf>
    <xf numFmtId="0" fontId="4" fillId="0" borderId="19" xfId="0" applyFont="1" applyFill="1" applyBorder="1" applyAlignment="1">
      <alignment vertical="center" shrinkToFit="1"/>
    </xf>
    <xf numFmtId="0" fontId="4" fillId="0" borderId="17" xfId="0" applyFont="1" applyFill="1" applyBorder="1" applyAlignment="1">
      <alignment vertical="center" shrinkToFit="1"/>
    </xf>
    <xf numFmtId="0" fontId="4" fillId="0" borderId="18" xfId="0" applyFont="1" applyFill="1" applyBorder="1" applyAlignment="1">
      <alignment horizontal="center" vertical="center" shrinkToFit="1"/>
    </xf>
    <xf numFmtId="0" fontId="4" fillId="0" borderId="19" xfId="0" applyFont="1" applyFill="1" applyBorder="1" applyAlignment="1">
      <alignment horizontal="center" vertical="center" shrinkToFit="1"/>
    </xf>
    <xf numFmtId="0" fontId="4" fillId="0" borderId="17" xfId="0" applyFont="1" applyFill="1" applyBorder="1" applyAlignment="1">
      <alignment horizontal="center" vertical="center" shrinkToFit="1"/>
    </xf>
    <xf numFmtId="0" fontId="4" fillId="0" borderId="29" xfId="0" applyFont="1" applyFill="1" applyBorder="1" applyAlignment="1">
      <alignment vertical="center" shrinkToFit="1"/>
    </xf>
    <xf numFmtId="0" fontId="4" fillId="0" borderId="31" xfId="0" applyFont="1" applyFill="1" applyBorder="1" applyAlignment="1">
      <alignment vertical="center" shrinkToFit="1"/>
    </xf>
    <xf numFmtId="0" fontId="4" fillId="0" borderId="30" xfId="0" applyFont="1" applyFill="1" applyBorder="1" applyAlignment="1">
      <alignment vertical="center" shrinkToFit="1"/>
    </xf>
    <xf numFmtId="0" fontId="4" fillId="0" borderId="7" xfId="0" applyFont="1" applyFill="1" applyBorder="1" applyAlignment="1">
      <alignment horizontal="center" vertical="center" shrinkToFit="1"/>
    </xf>
    <xf numFmtId="0" fontId="4" fillId="0" borderId="8" xfId="0" applyFont="1" applyFill="1" applyBorder="1" applyAlignment="1">
      <alignment horizontal="center" vertical="center" shrinkToFit="1"/>
    </xf>
    <xf numFmtId="0" fontId="4" fillId="0" borderId="9" xfId="0" applyFont="1" applyFill="1" applyBorder="1" applyAlignment="1">
      <alignment horizontal="center" vertical="center" shrinkToFit="1"/>
    </xf>
    <xf numFmtId="0" fontId="4" fillId="0" borderId="7" xfId="0" applyFont="1" applyFill="1" applyBorder="1" applyAlignment="1">
      <alignment horizontal="center" vertical="center"/>
    </xf>
    <xf numFmtId="0" fontId="4" fillId="0" borderId="8" xfId="0" applyFont="1" applyFill="1" applyBorder="1" applyAlignment="1">
      <alignment horizontal="center" vertical="center"/>
    </xf>
    <xf numFmtId="0" fontId="4" fillId="0" borderId="9" xfId="0" applyFont="1" applyFill="1" applyBorder="1" applyAlignment="1">
      <alignment horizontal="center" vertical="center"/>
    </xf>
    <xf numFmtId="0" fontId="4" fillId="0" borderId="0" xfId="0" applyFont="1" applyFill="1" applyAlignment="1">
      <alignment vertical="center" wrapText="1"/>
    </xf>
    <xf numFmtId="0" fontId="4" fillId="0" borderId="7" xfId="0" applyFont="1" applyFill="1" applyBorder="1" applyAlignment="1">
      <alignment horizontal="left" vertical="top" wrapText="1" shrinkToFit="1"/>
    </xf>
    <xf numFmtId="0" fontId="4" fillId="0" borderId="8" xfId="0" applyFont="1" applyFill="1" applyBorder="1" applyAlignment="1">
      <alignment horizontal="left" vertical="top" wrapText="1" shrinkToFit="1"/>
    </xf>
    <xf numFmtId="0" fontId="4" fillId="0" borderId="9" xfId="0" applyFont="1" applyFill="1" applyBorder="1" applyAlignment="1">
      <alignment horizontal="left" vertical="top" wrapText="1" shrinkToFit="1"/>
    </xf>
    <xf numFmtId="0" fontId="4" fillId="0" borderId="5" xfId="0" applyFont="1" applyFill="1" applyBorder="1" applyAlignment="1">
      <alignment horizontal="left" vertical="top" wrapText="1" shrinkToFit="1"/>
    </xf>
    <xf numFmtId="0" fontId="4" fillId="0" borderId="0" xfId="0" applyFont="1" applyFill="1" applyAlignment="1">
      <alignment horizontal="left" vertical="top" wrapText="1" shrinkToFit="1"/>
    </xf>
    <xf numFmtId="0" fontId="4" fillId="0" borderId="10" xfId="0" applyFont="1" applyFill="1" applyBorder="1" applyAlignment="1">
      <alignment horizontal="left" vertical="top" wrapText="1" shrinkToFit="1"/>
    </xf>
    <xf numFmtId="0" fontId="4" fillId="0" borderId="11" xfId="0" applyFont="1" applyFill="1" applyBorder="1" applyAlignment="1">
      <alignment horizontal="left" vertical="top" wrapText="1" shrinkToFit="1"/>
    </xf>
    <xf numFmtId="0" fontId="4" fillId="0" borderId="6" xfId="0" applyFont="1" applyFill="1" applyBorder="1" applyAlignment="1">
      <alignment horizontal="left" vertical="top" wrapText="1" shrinkToFit="1"/>
    </xf>
    <xf numFmtId="0" fontId="4" fillId="0" borderId="12" xfId="0" applyFont="1" applyFill="1" applyBorder="1" applyAlignment="1">
      <alignment horizontal="left" vertical="top" wrapText="1" shrinkToFit="1"/>
    </xf>
    <xf numFmtId="0" fontId="7" fillId="0" borderId="2" xfId="0" applyFont="1" applyFill="1" applyBorder="1" applyAlignment="1">
      <alignment horizontal="center" vertical="center" shrinkToFit="1"/>
    </xf>
    <xf numFmtId="0" fontId="7" fillId="0" borderId="3" xfId="0" applyFont="1" applyFill="1" applyBorder="1" applyAlignment="1">
      <alignment horizontal="center" vertical="center" shrinkToFit="1"/>
    </xf>
    <xf numFmtId="0" fontId="7" fillId="0" borderId="4" xfId="0" applyFont="1" applyFill="1" applyBorder="1" applyAlignment="1">
      <alignment horizontal="center" vertical="center" shrinkToFit="1"/>
    </xf>
    <xf numFmtId="0" fontId="4" fillId="0" borderId="0" xfId="0" applyFont="1" applyFill="1" applyAlignment="1">
      <alignment horizontal="right" vertical="center"/>
    </xf>
    <xf numFmtId="0" fontId="8" fillId="0" borderId="0" xfId="0" applyFont="1" applyFill="1" applyAlignment="1">
      <alignment horizontal="center" vertical="center"/>
    </xf>
    <xf numFmtId="0" fontId="7" fillId="0" borderId="2" xfId="0" applyFont="1" applyFill="1" applyBorder="1" applyAlignment="1">
      <alignment horizontal="center" vertical="center"/>
    </xf>
    <xf numFmtId="0" fontId="7" fillId="0" borderId="3" xfId="0" applyFont="1" applyFill="1" applyBorder="1" applyAlignment="1">
      <alignment horizontal="center" vertical="center"/>
    </xf>
    <xf numFmtId="0" fontId="7" fillId="0" borderId="4" xfId="0" applyFont="1" applyFill="1" applyBorder="1" applyAlignment="1">
      <alignment horizontal="center" vertical="center"/>
    </xf>
    <xf numFmtId="0" fontId="4" fillId="0" borderId="7" xfId="0" applyFont="1" applyFill="1" applyBorder="1" applyAlignment="1">
      <alignment horizontal="left" vertical="center" wrapText="1"/>
    </xf>
    <xf numFmtId="0" fontId="4" fillId="0" borderId="8" xfId="0" applyFont="1" applyFill="1" applyBorder="1" applyAlignment="1">
      <alignment horizontal="left" vertical="center" wrapText="1"/>
    </xf>
    <xf numFmtId="0" fontId="4" fillId="0" borderId="9" xfId="0" applyFont="1" applyFill="1" applyBorder="1" applyAlignment="1">
      <alignment horizontal="left" vertical="center" wrapText="1"/>
    </xf>
    <xf numFmtId="0" fontId="4" fillId="0" borderId="11" xfId="0" applyFont="1" applyFill="1" applyBorder="1" applyAlignment="1">
      <alignment horizontal="left" vertical="center" wrapText="1"/>
    </xf>
    <xf numFmtId="0" fontId="4" fillId="0" borderId="6" xfId="0" applyFont="1" applyFill="1" applyBorder="1" applyAlignment="1">
      <alignment horizontal="left" vertical="center" wrapText="1"/>
    </xf>
    <xf numFmtId="0" fontId="4" fillId="0" borderId="12" xfId="0" applyFont="1" applyFill="1" applyBorder="1" applyAlignment="1">
      <alignment horizontal="left" vertical="center" wrapText="1"/>
    </xf>
    <xf numFmtId="0" fontId="4" fillId="0" borderId="18" xfId="0" applyFont="1" applyFill="1" applyBorder="1" applyAlignment="1">
      <alignment horizontal="left" vertical="center" wrapText="1" shrinkToFit="1"/>
    </xf>
    <xf numFmtId="0" fontId="4" fillId="0" borderId="19" xfId="0" applyFont="1" applyFill="1" applyBorder="1" applyAlignment="1">
      <alignment horizontal="left" vertical="center" wrapText="1" shrinkToFit="1"/>
    </xf>
    <xf numFmtId="0" fontId="4" fillId="0" borderId="17" xfId="0" applyFont="1" applyFill="1" applyBorder="1" applyAlignment="1">
      <alignment horizontal="left" vertical="center" wrapText="1" shrinkToFit="1"/>
    </xf>
    <xf numFmtId="0" fontId="4" fillId="0" borderId="32" xfId="0" applyFont="1" applyFill="1" applyBorder="1" applyAlignment="1">
      <alignment horizontal="left" vertical="center" wrapText="1" shrinkToFit="1"/>
    </xf>
    <xf numFmtId="0" fontId="4" fillId="0" borderId="33" xfId="0" applyFont="1" applyFill="1" applyBorder="1" applyAlignment="1">
      <alignment horizontal="left" vertical="center" shrinkToFit="1"/>
    </xf>
    <xf numFmtId="0" fontId="4" fillId="0" borderId="34" xfId="0" applyFont="1" applyFill="1" applyBorder="1" applyAlignment="1">
      <alignment horizontal="left" vertical="center" shrinkToFit="1"/>
    </xf>
    <xf numFmtId="0" fontId="4" fillId="0" borderId="29" xfId="0" applyFont="1" applyFill="1" applyBorder="1" applyAlignment="1">
      <alignment vertical="center" wrapText="1" shrinkToFit="1"/>
    </xf>
    <xf numFmtId="0" fontId="4" fillId="0" borderId="31" xfId="0" applyFont="1" applyFill="1" applyBorder="1" applyAlignment="1">
      <alignment vertical="center" wrapText="1" shrinkToFit="1"/>
    </xf>
    <xf numFmtId="0" fontId="4" fillId="0" borderId="30" xfId="0" applyFont="1" applyFill="1" applyBorder="1" applyAlignment="1">
      <alignment vertical="center" wrapText="1" shrinkToFit="1"/>
    </xf>
    <xf numFmtId="0" fontId="4" fillId="0" borderId="18" xfId="0" applyFont="1" applyFill="1" applyBorder="1" applyAlignment="1">
      <alignment vertical="center" wrapText="1" shrinkToFit="1"/>
    </xf>
    <xf numFmtId="0" fontId="4" fillId="0" borderId="19" xfId="0" applyFont="1" applyFill="1" applyBorder="1" applyAlignment="1">
      <alignment vertical="center" wrapText="1" shrinkToFit="1"/>
    </xf>
    <xf numFmtId="0" fontId="4" fillId="0" borderId="17" xfId="0" applyFont="1" applyFill="1" applyBorder="1" applyAlignment="1">
      <alignment vertical="center" wrapText="1" shrinkToFit="1"/>
    </xf>
    <xf numFmtId="0" fontId="4" fillId="0" borderId="14" xfId="0" applyFont="1" applyBorder="1" applyAlignment="1">
      <alignment horizontal="center" vertical="center"/>
    </xf>
    <xf numFmtId="0" fontId="4" fillId="0" borderId="1" xfId="0" applyFont="1" applyBorder="1" applyAlignment="1">
      <alignment horizontal="center" vertical="center"/>
    </xf>
    <xf numFmtId="0" fontId="8" fillId="0" borderId="0" xfId="0" applyFont="1" applyAlignment="1">
      <alignment horizontal="center" vertical="center"/>
    </xf>
    <xf numFmtId="0" fontId="4" fillId="0" borderId="2" xfId="0" applyFont="1" applyFill="1" applyBorder="1" applyAlignment="1">
      <alignment horizontal="center" vertical="center" shrinkToFit="1"/>
    </xf>
    <xf numFmtId="0" fontId="4" fillId="0" borderId="4" xfId="0" applyFont="1" applyFill="1" applyBorder="1" applyAlignment="1">
      <alignment horizontal="center" vertical="center" shrinkToFit="1"/>
    </xf>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5" fillId="0" borderId="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1"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2" xfId="0" applyFont="1" applyBorder="1" applyAlignment="1">
      <alignment horizontal="center" vertical="center" wrapText="1"/>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15" xfId="0" applyFont="1" applyBorder="1" applyAlignment="1">
      <alignment horizontal="center" vertical="center" wrapText="1"/>
    </xf>
    <xf numFmtId="0" fontId="5" fillId="0" borderId="13" xfId="0" applyFont="1" applyBorder="1" applyAlignment="1">
      <alignment horizontal="center" vertical="center" wrapText="1"/>
    </xf>
    <xf numFmtId="9" fontId="4" fillId="0" borderId="1" xfId="0" applyNumberFormat="1" applyFont="1" applyBorder="1" applyAlignment="1">
      <alignment horizontal="center" vertical="center" shrinkToFit="1"/>
    </xf>
    <xf numFmtId="0" fontId="4" fillId="0" borderId="7" xfId="0" applyFont="1" applyFill="1" applyBorder="1" applyAlignment="1">
      <alignment vertical="top" wrapText="1"/>
    </xf>
    <xf numFmtId="0" fontId="4" fillId="0" borderId="8" xfId="0" applyFont="1" applyFill="1" applyBorder="1" applyAlignment="1">
      <alignment vertical="top" wrapText="1"/>
    </xf>
    <xf numFmtId="0" fontId="4" fillId="0" borderId="9" xfId="0" applyFont="1" applyFill="1" applyBorder="1" applyAlignment="1">
      <alignment vertical="top" wrapText="1"/>
    </xf>
    <xf numFmtId="0" fontId="4" fillId="0" borderId="5" xfId="0" applyFont="1" applyFill="1" applyBorder="1" applyAlignment="1">
      <alignment vertical="top" wrapText="1"/>
    </xf>
    <xf numFmtId="0" fontId="4" fillId="0" borderId="0" xfId="0" applyFont="1" applyFill="1" applyAlignment="1">
      <alignment vertical="top" wrapText="1"/>
    </xf>
    <xf numFmtId="0" fontId="4" fillId="0" borderId="10" xfId="0" applyFont="1" applyFill="1" applyBorder="1" applyAlignment="1">
      <alignment vertical="top" wrapText="1"/>
    </xf>
    <xf numFmtId="0" fontId="4" fillId="0" borderId="11" xfId="0" applyFont="1" applyFill="1" applyBorder="1" applyAlignment="1">
      <alignment vertical="top" wrapText="1"/>
    </xf>
    <xf numFmtId="0" fontId="4" fillId="0" borderId="6" xfId="0" applyFont="1" applyFill="1" applyBorder="1" applyAlignment="1">
      <alignment vertical="top" wrapText="1"/>
    </xf>
    <xf numFmtId="0" fontId="4" fillId="0" borderId="12" xfId="0" applyFont="1" applyFill="1" applyBorder="1" applyAlignment="1">
      <alignment vertical="top" wrapText="1"/>
    </xf>
    <xf numFmtId="0" fontId="4" fillId="0" borderId="9" xfId="0" applyFont="1" applyFill="1" applyBorder="1" applyAlignment="1">
      <alignment vertical="top"/>
    </xf>
    <xf numFmtId="0" fontId="4" fillId="0" borderId="5" xfId="0" applyFont="1" applyFill="1" applyBorder="1" applyAlignment="1">
      <alignment vertical="top"/>
    </xf>
    <xf numFmtId="0" fontId="4" fillId="0" borderId="0" xfId="0" applyFont="1" applyFill="1" applyAlignment="1">
      <alignment vertical="top"/>
    </xf>
    <xf numFmtId="0" fontId="4" fillId="0" borderId="10" xfId="0" applyFont="1" applyFill="1" applyBorder="1" applyAlignment="1">
      <alignment vertical="top"/>
    </xf>
    <xf numFmtId="0" fontId="4" fillId="0" borderId="11" xfId="0" applyFont="1" applyFill="1" applyBorder="1" applyAlignment="1">
      <alignment vertical="top"/>
    </xf>
    <xf numFmtId="0" fontId="4" fillId="0" borderId="6" xfId="0" applyFont="1" applyFill="1" applyBorder="1" applyAlignment="1">
      <alignment vertical="top"/>
    </xf>
    <xf numFmtId="0" fontId="4" fillId="0" borderId="12" xfId="0" applyFont="1" applyFill="1" applyBorder="1" applyAlignment="1">
      <alignment vertical="top"/>
    </xf>
    <xf numFmtId="9" fontId="4" fillId="0" borderId="1" xfId="0" applyNumberFormat="1" applyFont="1" applyFill="1" applyBorder="1" applyAlignment="1">
      <alignment horizontal="center" vertical="center" wrapText="1" shrinkToFit="1"/>
    </xf>
    <xf numFmtId="9" fontId="4" fillId="0" borderId="1" xfId="0" applyNumberFormat="1" applyFont="1" applyBorder="1" applyAlignment="1">
      <alignment horizontal="center" vertical="center" wrapText="1" shrinkToFit="1"/>
    </xf>
    <xf numFmtId="0" fontId="4" fillId="0" borderId="7" xfId="0" applyFont="1" applyFill="1" applyBorder="1" applyAlignment="1">
      <alignment horizontal="left" vertical="top" wrapText="1"/>
    </xf>
    <xf numFmtId="0" fontId="4" fillId="0" borderId="8" xfId="0" applyFont="1" applyFill="1" applyBorder="1" applyAlignment="1">
      <alignment horizontal="left" vertical="top" wrapText="1"/>
    </xf>
    <xf numFmtId="0" fontId="4" fillId="0" borderId="9" xfId="0" applyFont="1" applyFill="1" applyBorder="1" applyAlignment="1">
      <alignment horizontal="left" vertical="top" wrapText="1"/>
    </xf>
    <xf numFmtId="0" fontId="4" fillId="0" borderId="5" xfId="0" applyFont="1" applyFill="1" applyBorder="1" applyAlignment="1">
      <alignment horizontal="left" vertical="top" wrapText="1"/>
    </xf>
    <xf numFmtId="0" fontId="4" fillId="0" borderId="0" xfId="0" applyFont="1" applyFill="1" applyAlignment="1">
      <alignment horizontal="left" vertical="top" wrapText="1"/>
    </xf>
    <xf numFmtId="0" fontId="4" fillId="0" borderId="10" xfId="0" applyFont="1" applyFill="1" applyBorder="1" applyAlignment="1">
      <alignment horizontal="left" vertical="top" wrapText="1"/>
    </xf>
    <xf numFmtId="0" fontId="4" fillId="0" borderId="11" xfId="0" applyFont="1" applyFill="1" applyBorder="1" applyAlignment="1">
      <alignment horizontal="left" vertical="top" wrapText="1"/>
    </xf>
    <xf numFmtId="0" fontId="4" fillId="0" borderId="6" xfId="0" applyFont="1" applyFill="1" applyBorder="1" applyAlignment="1">
      <alignment horizontal="left" vertical="top" wrapText="1"/>
    </xf>
    <xf numFmtId="0" fontId="4" fillId="0" borderId="12" xfId="0" applyFont="1" applyFill="1" applyBorder="1" applyAlignment="1">
      <alignment horizontal="left" vertical="top" wrapText="1"/>
    </xf>
    <xf numFmtId="0" fontId="4" fillId="0" borderId="0" xfId="0" applyFont="1" applyAlignment="1">
      <alignment horizontal="left" vertical="center" wrapText="1"/>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vertical="center" shrinkToFit="1"/>
    </xf>
    <xf numFmtId="0" fontId="4" fillId="0" borderId="3" xfId="0" applyFont="1" applyBorder="1" applyAlignment="1">
      <alignment vertical="center" shrinkToFit="1"/>
    </xf>
    <xf numFmtId="0" fontId="4" fillId="0" borderId="4" xfId="0" applyFont="1" applyBorder="1" applyAlignment="1">
      <alignment vertical="center" shrinkToFit="1"/>
    </xf>
    <xf numFmtId="0" fontId="4" fillId="0" borderId="7" xfId="0" applyFont="1" applyBorder="1" applyAlignment="1">
      <alignment vertical="top" wrapText="1" shrinkToFit="1"/>
    </xf>
    <xf numFmtId="0" fontId="4" fillId="0" borderId="8" xfId="0" applyFont="1" applyBorder="1" applyAlignment="1">
      <alignment vertical="top" wrapText="1" shrinkToFit="1"/>
    </xf>
    <xf numFmtId="0" fontId="4" fillId="0" borderId="9" xfId="0" applyFont="1" applyBorder="1" applyAlignment="1">
      <alignment vertical="top" shrinkToFit="1"/>
    </xf>
    <xf numFmtId="0" fontId="4" fillId="0" borderId="5" xfId="0" applyFont="1" applyBorder="1" applyAlignment="1">
      <alignment vertical="top" wrapText="1" shrinkToFit="1"/>
    </xf>
    <xf numFmtId="0" fontId="4" fillId="0" borderId="0" xfId="0" applyFont="1" applyAlignment="1">
      <alignment vertical="top" wrapText="1" shrinkToFit="1"/>
    </xf>
    <xf numFmtId="0" fontId="4" fillId="0" borderId="10" xfId="0" applyFont="1" applyBorder="1" applyAlignment="1">
      <alignment vertical="top" shrinkToFit="1"/>
    </xf>
    <xf numFmtId="0" fontId="4" fillId="0" borderId="5" xfId="0" applyFont="1" applyBorder="1" applyAlignment="1">
      <alignment vertical="top" shrinkToFit="1"/>
    </xf>
    <xf numFmtId="0" fontId="4" fillId="0" borderId="0" xfId="0" applyFont="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4" fillId="0" borderId="2" xfId="0" applyFont="1" applyBorder="1" applyAlignment="1">
      <alignment horizontal="left" vertical="center"/>
    </xf>
    <xf numFmtId="0" fontId="7" fillId="0" borderId="3" xfId="0" applyFont="1" applyBorder="1">
      <alignment vertical="center"/>
    </xf>
    <xf numFmtId="0" fontId="7" fillId="0" borderId="4" xfId="0" applyFont="1" applyBorder="1">
      <alignmen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4" fillId="0" borderId="2" xfId="0" applyFont="1" applyFill="1" applyBorder="1" applyAlignment="1">
      <alignment horizontal="left" vertical="center"/>
    </xf>
    <xf numFmtId="0" fontId="7" fillId="0" borderId="3" xfId="0" applyFont="1" applyFill="1" applyBorder="1" applyAlignment="1">
      <alignment horizontal="left" vertical="center"/>
    </xf>
    <xf numFmtId="0" fontId="7" fillId="0" borderId="4" xfId="0" applyFont="1" applyFill="1" applyBorder="1" applyAlignment="1">
      <alignment horizontal="left" vertical="center"/>
    </xf>
    <xf numFmtId="0" fontId="4" fillId="0" borderId="0" xfId="0" applyFont="1" applyAlignment="1">
      <alignment horizontal="center" vertical="center"/>
    </xf>
    <xf numFmtId="0" fontId="4" fillId="0" borderId="7" xfId="0" applyFont="1" applyFill="1" applyBorder="1" applyAlignment="1">
      <alignment vertical="top" wrapText="1" shrinkToFit="1"/>
    </xf>
    <xf numFmtId="0" fontId="4" fillId="0" borderId="8" xfId="0" applyFont="1" applyFill="1" applyBorder="1" applyAlignment="1">
      <alignment vertical="top" wrapText="1" shrinkToFit="1"/>
    </xf>
    <xf numFmtId="0" fontId="4" fillId="0" borderId="9" xfId="0" applyFont="1" applyFill="1" applyBorder="1" applyAlignment="1">
      <alignment vertical="top" shrinkToFit="1"/>
    </xf>
    <xf numFmtId="0" fontId="4" fillId="0" borderId="5" xfId="0" applyFont="1" applyFill="1" applyBorder="1" applyAlignment="1">
      <alignment vertical="top" shrinkToFit="1"/>
    </xf>
    <xf numFmtId="0" fontId="4" fillId="0" borderId="0" xfId="0" applyFont="1" applyFill="1" applyAlignment="1">
      <alignment vertical="top" shrinkToFit="1"/>
    </xf>
    <xf numFmtId="0" fontId="4" fillId="0" borderId="10" xfId="0" applyFont="1" applyFill="1" applyBorder="1" applyAlignment="1">
      <alignment vertical="top" shrinkToFit="1"/>
    </xf>
    <xf numFmtId="0" fontId="4" fillId="0" borderId="11" xfId="0" applyFont="1" applyFill="1" applyBorder="1" applyAlignment="1">
      <alignment vertical="top" shrinkToFit="1"/>
    </xf>
    <xf numFmtId="0" fontId="4" fillId="0" borderId="6" xfId="0" applyFont="1" applyFill="1" applyBorder="1" applyAlignment="1">
      <alignment vertical="top" shrinkToFit="1"/>
    </xf>
    <xf numFmtId="0" fontId="4" fillId="0" borderId="12" xfId="0" applyFont="1" applyFill="1" applyBorder="1" applyAlignment="1">
      <alignment vertical="top" shrinkToFit="1"/>
    </xf>
    <xf numFmtId="0" fontId="4" fillId="0" borderId="0" xfId="0" applyFont="1">
      <alignment vertical="center"/>
    </xf>
    <xf numFmtId="0" fontId="4" fillId="2" borderId="5" xfId="0" applyFont="1" applyFill="1" applyBorder="1" applyAlignment="1">
      <alignment horizontal="center" vertical="center" shrinkToFit="1"/>
    </xf>
    <xf numFmtId="0" fontId="4" fillId="2" borderId="0" xfId="0" applyFont="1" applyFill="1" applyAlignment="1">
      <alignment horizontal="center" vertical="center" shrinkToFit="1"/>
    </xf>
    <xf numFmtId="0" fontId="4" fillId="2" borderId="10" xfId="0" applyFont="1" applyFill="1" applyBorder="1" applyAlignment="1">
      <alignment horizontal="center" vertical="center" shrinkToFit="1"/>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vertical="center" wrapText="1"/>
    </xf>
    <xf numFmtId="0" fontId="4" fillId="0" borderId="6" xfId="0" applyFont="1" applyFill="1" applyBorder="1" applyAlignment="1">
      <alignment vertical="top" wrapText="1" shrinkToFit="1"/>
    </xf>
    <xf numFmtId="0" fontId="4" fillId="0" borderId="12" xfId="0" applyFont="1" applyFill="1" applyBorder="1" applyAlignment="1">
      <alignment vertical="top" wrapText="1" shrinkToFit="1"/>
    </xf>
    <xf numFmtId="0" fontId="4" fillId="0" borderId="16" xfId="0" applyFont="1" applyBorder="1" applyAlignment="1">
      <alignment vertical="center" wrapText="1"/>
    </xf>
    <xf numFmtId="0" fontId="4" fillId="0" borderId="17" xfId="0" applyFont="1" applyBorder="1" applyAlignment="1">
      <alignment vertical="center" wrapText="1"/>
    </xf>
    <xf numFmtId="0" fontId="4" fillId="0" borderId="19" xfId="0" applyFont="1" applyFill="1" applyBorder="1" applyAlignment="1">
      <alignment vertical="top" wrapText="1" shrinkToFit="1"/>
    </xf>
    <xf numFmtId="0" fontId="4" fillId="0" borderId="17" xfId="0" applyFont="1" applyFill="1" applyBorder="1" applyAlignment="1">
      <alignment vertical="top" wrapText="1" shrinkToFit="1"/>
    </xf>
    <xf numFmtId="0" fontId="4" fillId="0" borderId="47" xfId="0" applyFont="1" applyBorder="1" applyAlignment="1">
      <alignment vertical="center" wrapText="1"/>
    </xf>
    <xf numFmtId="0" fontId="4" fillId="0" borderId="34" xfId="0" applyFont="1" applyBorder="1" applyAlignment="1">
      <alignment vertical="center" wrapText="1"/>
    </xf>
    <xf numFmtId="0" fontId="4" fillId="0" borderId="33" xfId="0" applyFont="1" applyFill="1" applyBorder="1" applyAlignment="1">
      <alignment vertical="top" wrapText="1" shrinkToFit="1"/>
    </xf>
    <xf numFmtId="0" fontId="4" fillId="0" borderId="34" xfId="0" applyFont="1" applyFill="1" applyBorder="1" applyAlignment="1">
      <alignment vertical="top" wrapText="1" shrinkToFit="1"/>
    </xf>
    <xf numFmtId="0" fontId="4" fillId="0" borderId="36" xfId="0" applyFont="1" applyBorder="1" applyAlignment="1">
      <alignment vertical="center" wrapText="1"/>
    </xf>
    <xf numFmtId="0" fontId="4" fillId="0" borderId="37" xfId="0" applyFont="1" applyBorder="1" applyAlignment="1">
      <alignment vertical="center" wrapText="1"/>
    </xf>
    <xf numFmtId="0" fontId="4" fillId="0" borderId="38" xfId="0" applyFont="1" applyBorder="1" applyAlignment="1">
      <alignment vertical="center" wrapText="1"/>
    </xf>
    <xf numFmtId="0" fontId="4" fillId="0" borderId="37" xfId="0" applyFont="1" applyFill="1" applyBorder="1" applyAlignment="1">
      <alignment vertical="top" wrapText="1" shrinkToFit="1"/>
    </xf>
    <xf numFmtId="0" fontId="4" fillId="0" borderId="38" xfId="0" applyFont="1" applyFill="1" applyBorder="1" applyAlignment="1">
      <alignment vertical="top" wrapText="1" shrinkToFit="1"/>
    </xf>
    <xf numFmtId="0" fontId="4" fillId="0" borderId="18" xfId="0" applyFont="1" applyFill="1" applyBorder="1" applyAlignment="1">
      <alignment vertical="top" wrapText="1" shrinkToFit="1"/>
    </xf>
    <xf numFmtId="0" fontId="4" fillId="0" borderId="32" xfId="0" applyFont="1" applyFill="1" applyBorder="1" applyAlignment="1">
      <alignment vertical="top" wrapText="1" shrinkToFit="1"/>
    </xf>
    <xf numFmtId="0" fontId="4" fillId="0" borderId="16" xfId="0" applyFont="1" applyBorder="1">
      <alignment vertical="center"/>
    </xf>
    <xf numFmtId="0" fontId="7" fillId="0" borderId="17" xfId="0" applyFont="1" applyBorder="1">
      <alignment vertical="center"/>
    </xf>
    <xf numFmtId="0" fontId="4" fillId="0" borderId="3" xfId="0" applyFont="1" applyBorder="1" applyAlignment="1">
      <alignment horizontal="center" vertical="center"/>
    </xf>
    <xf numFmtId="0" fontId="4" fillId="0" borderId="3" xfId="0" applyFont="1" applyBorder="1" applyAlignment="1">
      <alignment horizontal="left" vertical="center"/>
    </xf>
    <xf numFmtId="0" fontId="4" fillId="0" borderId="4" xfId="0" applyFont="1" applyBorder="1" applyAlignment="1">
      <alignment horizontal="left" vertical="center"/>
    </xf>
  </cellXfs>
  <cellStyles count="4">
    <cellStyle name="パーセント" xfId="1" builtinId="5"/>
    <cellStyle name="桁区切り" xfId="2" builtinId="6"/>
    <cellStyle name="標準" xfId="0" builtinId="0"/>
    <cellStyle name="標準 2" xfId="3" xr:uid="{00000000-0005-0000-0000-000003000000}"/>
  </cellStyles>
  <dxfs count="10">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7"/>
  <sheetViews>
    <sheetView showZeros="0" view="pageBreakPreview" topLeftCell="A67" zoomScaleNormal="100" zoomScaleSheetLayoutView="100" workbookViewId="0">
      <selection activeCell="A67" sqref="A1:XFD1048576"/>
    </sheetView>
  </sheetViews>
  <sheetFormatPr defaultColWidth="9" defaultRowHeight="18.75" customHeight="1" x14ac:dyDescent="0.15"/>
  <cols>
    <col min="1" max="1" width="2.5" style="8" customWidth="1"/>
    <col min="2" max="2" width="16.5" style="8" customWidth="1"/>
    <col min="3" max="21" width="5.625" style="8" customWidth="1"/>
    <col min="22" max="22" width="9" style="8"/>
    <col min="23" max="23" width="3.625" style="8" customWidth="1"/>
    <col min="24" max="24" width="48.625" style="8" hidden="1" customWidth="1"/>
    <col min="25" max="26" width="9" style="8"/>
    <col min="27" max="27" width="9" style="8" hidden="1" customWidth="1"/>
    <col min="28" max="16384" width="9" style="8"/>
  </cols>
  <sheetData>
    <row r="1" spans="1:24" ht="18.600000000000001" customHeight="1" x14ac:dyDescent="0.15">
      <c r="T1" s="146" t="s">
        <v>157</v>
      </c>
      <c r="U1" s="146"/>
      <c r="V1" s="9" t="s">
        <v>93</v>
      </c>
    </row>
    <row r="2" spans="1:24" ht="18.75" customHeight="1" x14ac:dyDescent="0.15">
      <c r="B2" s="10" t="s">
        <v>92</v>
      </c>
      <c r="C2" s="115" t="s">
        <v>142</v>
      </c>
      <c r="D2" s="116"/>
      <c r="E2" s="116"/>
      <c r="F2" s="116"/>
      <c r="G2" s="116"/>
      <c r="H2" s="116"/>
      <c r="I2" s="116"/>
      <c r="J2" s="117"/>
      <c r="K2" s="83"/>
      <c r="L2" s="11"/>
      <c r="M2" s="11"/>
      <c r="N2" s="11"/>
      <c r="O2" s="11"/>
      <c r="P2" s="11"/>
      <c r="Q2" s="11"/>
      <c r="R2" s="11"/>
      <c r="S2" s="11"/>
      <c r="T2" s="11"/>
      <c r="U2" s="11"/>
    </row>
    <row r="3" spans="1:24" ht="18.75" customHeight="1" x14ac:dyDescent="0.15">
      <c r="B3" s="10" t="s">
        <v>87</v>
      </c>
      <c r="C3" s="115" t="s">
        <v>143</v>
      </c>
      <c r="D3" s="116"/>
      <c r="E3" s="116"/>
      <c r="F3" s="116"/>
      <c r="G3" s="116"/>
      <c r="H3" s="116"/>
      <c r="I3" s="116"/>
      <c r="J3" s="117"/>
      <c r="K3" s="83"/>
      <c r="L3" s="11"/>
      <c r="M3" s="11"/>
      <c r="N3" s="11"/>
      <c r="O3" s="11"/>
      <c r="P3" s="11"/>
      <c r="Q3" s="11"/>
      <c r="R3" s="11"/>
      <c r="S3" s="11"/>
      <c r="T3" s="11"/>
      <c r="U3" s="11"/>
    </row>
    <row r="4" spans="1:24" ht="15" customHeight="1" x14ac:dyDescent="0.15">
      <c r="L4" s="83"/>
      <c r="M4" s="12"/>
      <c r="N4" s="12"/>
      <c r="O4" s="12"/>
      <c r="P4" s="12"/>
      <c r="Q4" s="12"/>
      <c r="R4" s="12"/>
      <c r="S4" s="12"/>
      <c r="T4" s="12"/>
      <c r="U4" s="12"/>
    </row>
    <row r="5" spans="1:24" ht="18" customHeight="1" x14ac:dyDescent="0.15">
      <c r="A5" s="147" t="s">
        <v>140</v>
      </c>
      <c r="B5" s="147"/>
      <c r="C5" s="147"/>
      <c r="D5" s="147"/>
      <c r="E5" s="147"/>
      <c r="F5" s="147"/>
      <c r="G5" s="147"/>
      <c r="H5" s="147"/>
      <c r="I5" s="147"/>
      <c r="J5" s="147"/>
      <c r="K5" s="147"/>
      <c r="L5" s="147"/>
      <c r="M5" s="147"/>
      <c r="N5" s="147"/>
      <c r="O5" s="147"/>
      <c r="P5" s="147"/>
      <c r="Q5" s="147"/>
      <c r="R5" s="147"/>
      <c r="S5" s="147"/>
      <c r="T5" s="147"/>
      <c r="U5" s="147"/>
    </row>
    <row r="6" spans="1:24" ht="15" customHeight="1" x14ac:dyDescent="0.15">
      <c r="B6" s="6"/>
      <c r="C6" s="6"/>
      <c r="D6" s="6"/>
      <c r="E6" s="6"/>
      <c r="F6" s="6"/>
      <c r="G6" s="6"/>
      <c r="H6" s="6"/>
      <c r="I6" s="6"/>
      <c r="J6" s="6"/>
      <c r="K6" s="6"/>
      <c r="L6" s="6"/>
      <c r="M6" s="6"/>
      <c r="N6" s="6"/>
      <c r="O6" s="6"/>
      <c r="P6" s="6"/>
      <c r="Q6" s="6"/>
      <c r="R6" s="6"/>
      <c r="S6" s="6"/>
      <c r="T6" s="6"/>
      <c r="U6" s="6"/>
    </row>
    <row r="7" spans="1:24" ht="15" customHeight="1" x14ac:dyDescent="0.15">
      <c r="A7" s="8" t="s">
        <v>116</v>
      </c>
      <c r="B7" s="6"/>
      <c r="C7" s="6"/>
      <c r="D7" s="6"/>
      <c r="E7" s="6"/>
      <c r="F7" s="9"/>
      <c r="G7" s="9"/>
      <c r="H7" s="9"/>
      <c r="I7" s="9"/>
      <c r="J7" s="9"/>
      <c r="K7" s="9"/>
      <c r="L7" s="148" t="s">
        <v>115</v>
      </c>
      <c r="M7" s="149"/>
      <c r="N7" s="149"/>
      <c r="O7" s="149"/>
      <c r="P7" s="149"/>
      <c r="Q7" s="149"/>
      <c r="R7" s="149"/>
      <c r="S7" s="149"/>
      <c r="T7" s="149"/>
      <c r="U7" s="150"/>
    </row>
    <row r="8" spans="1:24" ht="6" customHeight="1" x14ac:dyDescent="0.15">
      <c r="B8" s="6"/>
      <c r="C8" s="6"/>
      <c r="D8" s="6"/>
      <c r="E8" s="6"/>
      <c r="F8" s="6"/>
      <c r="G8" s="6"/>
      <c r="H8" s="6"/>
      <c r="I8" s="6"/>
      <c r="J8" s="6"/>
      <c r="K8" s="6"/>
      <c r="L8" s="6"/>
      <c r="M8" s="6"/>
      <c r="N8" s="6"/>
      <c r="O8" s="6"/>
      <c r="P8" s="6"/>
      <c r="Q8" s="6"/>
      <c r="R8" s="6"/>
      <c r="S8" s="6"/>
      <c r="T8" s="6"/>
      <c r="U8" s="6"/>
    </row>
    <row r="9" spans="1:24" ht="18" customHeight="1" x14ac:dyDescent="0.15">
      <c r="A9" s="8" t="s">
        <v>117</v>
      </c>
      <c r="C9" s="6"/>
      <c r="D9" s="6"/>
      <c r="K9" s="83"/>
      <c r="L9" s="9"/>
      <c r="M9" s="9"/>
      <c r="N9" s="9"/>
      <c r="O9" s="9"/>
      <c r="P9" s="9"/>
      <c r="Q9" s="9"/>
      <c r="R9" s="9"/>
      <c r="S9" s="9"/>
      <c r="T9" s="9"/>
      <c r="U9" s="9"/>
    </row>
    <row r="10" spans="1:24" ht="6" customHeight="1" x14ac:dyDescent="0.15">
      <c r="B10" s="6"/>
      <c r="C10" s="6"/>
      <c r="D10" s="6"/>
      <c r="E10" s="6"/>
      <c r="F10" s="6"/>
      <c r="G10" s="6"/>
      <c r="H10" s="6"/>
      <c r="I10" s="6"/>
      <c r="J10" s="6"/>
      <c r="K10" s="6"/>
      <c r="L10" s="5"/>
      <c r="M10" s="6"/>
      <c r="N10" s="6"/>
      <c r="O10" s="6"/>
      <c r="P10" s="6"/>
      <c r="Q10" s="6"/>
      <c r="R10" s="6"/>
      <c r="S10" s="6"/>
      <c r="T10" s="6"/>
      <c r="U10" s="6"/>
    </row>
    <row r="11" spans="1:24" ht="18" customHeight="1" x14ac:dyDescent="0.15">
      <c r="B11" s="151" t="s">
        <v>163</v>
      </c>
      <c r="C11" s="152"/>
      <c r="D11" s="152"/>
      <c r="E11" s="152"/>
      <c r="F11" s="152"/>
      <c r="G11" s="152"/>
      <c r="H11" s="152"/>
      <c r="I11" s="152"/>
      <c r="J11" s="152"/>
      <c r="K11" s="152"/>
      <c r="L11" s="152"/>
      <c r="M11" s="152"/>
      <c r="N11" s="152"/>
      <c r="O11" s="152"/>
      <c r="P11" s="152"/>
      <c r="Q11" s="152"/>
      <c r="R11" s="152"/>
      <c r="S11" s="152"/>
      <c r="T11" s="152"/>
      <c r="U11" s="153"/>
    </row>
    <row r="12" spans="1:24" ht="18" customHeight="1" x14ac:dyDescent="0.15">
      <c r="B12" s="154"/>
      <c r="C12" s="155"/>
      <c r="D12" s="155"/>
      <c r="E12" s="155"/>
      <c r="F12" s="155"/>
      <c r="G12" s="155"/>
      <c r="H12" s="155"/>
      <c r="I12" s="155"/>
      <c r="J12" s="155"/>
      <c r="K12" s="155"/>
      <c r="L12" s="155"/>
      <c r="M12" s="155"/>
      <c r="N12" s="155"/>
      <c r="O12" s="155"/>
      <c r="P12" s="155"/>
      <c r="Q12" s="155"/>
      <c r="R12" s="155"/>
      <c r="S12" s="155"/>
      <c r="T12" s="155"/>
      <c r="U12" s="156"/>
    </row>
    <row r="13" spans="1:24" ht="6" customHeight="1" x14ac:dyDescent="0.15">
      <c r="B13" s="6"/>
      <c r="C13" s="6"/>
      <c r="D13" s="6"/>
      <c r="E13" s="6"/>
      <c r="F13" s="6"/>
      <c r="G13" s="6"/>
      <c r="H13" s="6"/>
      <c r="I13" s="6"/>
      <c r="J13" s="6"/>
      <c r="K13" s="6"/>
      <c r="L13" s="5"/>
      <c r="M13" s="6"/>
      <c r="N13" s="6"/>
      <c r="O13" s="6"/>
      <c r="P13" s="6"/>
      <c r="Q13" s="6"/>
      <c r="R13" s="6"/>
      <c r="S13" s="6"/>
      <c r="T13" s="6"/>
      <c r="U13" s="6"/>
    </row>
    <row r="14" spans="1:24" ht="18" customHeight="1" x14ac:dyDescent="0.15">
      <c r="A14" s="8" t="s">
        <v>94</v>
      </c>
      <c r="B14" s="6"/>
      <c r="C14" s="6"/>
      <c r="D14" s="6"/>
      <c r="E14" s="83"/>
      <c r="F14" s="83"/>
      <c r="G14" s="83"/>
      <c r="H14" s="83"/>
      <c r="I14" s="83"/>
      <c r="J14" s="83"/>
      <c r="K14" s="83"/>
      <c r="L14" s="13"/>
      <c r="M14" s="13"/>
      <c r="N14" s="13"/>
      <c r="O14" s="13"/>
      <c r="P14" s="13"/>
      <c r="Q14" s="13"/>
      <c r="R14" s="13"/>
      <c r="S14" s="13"/>
      <c r="T14" s="13"/>
      <c r="U14" s="13"/>
    </row>
    <row r="15" spans="1:24" ht="18" customHeight="1" x14ac:dyDescent="0.15">
      <c r="B15" s="134" t="s">
        <v>180</v>
      </c>
      <c r="C15" s="135"/>
      <c r="D15" s="135"/>
      <c r="E15" s="135"/>
      <c r="F15" s="135"/>
      <c r="G15" s="135"/>
      <c r="H15" s="135"/>
      <c r="I15" s="135"/>
      <c r="J15" s="135"/>
      <c r="K15" s="135"/>
      <c r="L15" s="135"/>
      <c r="M15" s="135"/>
      <c r="N15" s="135"/>
      <c r="O15" s="135"/>
      <c r="P15" s="135"/>
      <c r="Q15" s="135"/>
      <c r="R15" s="135"/>
      <c r="S15" s="135"/>
      <c r="T15" s="135"/>
      <c r="U15" s="136"/>
      <c r="X15" s="8" t="s">
        <v>88</v>
      </c>
    </row>
    <row r="16" spans="1:24" ht="18" customHeight="1" x14ac:dyDescent="0.15">
      <c r="B16" s="137"/>
      <c r="C16" s="138"/>
      <c r="D16" s="138"/>
      <c r="E16" s="138"/>
      <c r="F16" s="138"/>
      <c r="G16" s="138"/>
      <c r="H16" s="138"/>
      <c r="I16" s="138"/>
      <c r="J16" s="138"/>
      <c r="K16" s="138"/>
      <c r="L16" s="138"/>
      <c r="M16" s="138"/>
      <c r="N16" s="138"/>
      <c r="O16" s="138"/>
      <c r="P16" s="138"/>
      <c r="Q16" s="138"/>
      <c r="R16" s="138"/>
      <c r="S16" s="138"/>
      <c r="T16" s="138"/>
      <c r="U16" s="139"/>
      <c r="X16" s="8" t="s">
        <v>121</v>
      </c>
    </row>
    <row r="17" spans="1:24" ht="18" customHeight="1" x14ac:dyDescent="0.15">
      <c r="B17" s="137"/>
      <c r="C17" s="138"/>
      <c r="D17" s="138"/>
      <c r="E17" s="138"/>
      <c r="F17" s="138"/>
      <c r="G17" s="138"/>
      <c r="H17" s="138"/>
      <c r="I17" s="138"/>
      <c r="J17" s="138"/>
      <c r="K17" s="138"/>
      <c r="L17" s="138"/>
      <c r="M17" s="138"/>
      <c r="N17" s="138"/>
      <c r="O17" s="138"/>
      <c r="P17" s="138"/>
      <c r="Q17" s="138"/>
      <c r="R17" s="138"/>
      <c r="S17" s="138"/>
      <c r="T17" s="138"/>
      <c r="U17" s="139"/>
      <c r="X17" s="8" t="s">
        <v>122</v>
      </c>
    </row>
    <row r="18" spans="1:24" ht="18" customHeight="1" x14ac:dyDescent="0.15">
      <c r="B18" s="137"/>
      <c r="C18" s="138"/>
      <c r="D18" s="138"/>
      <c r="E18" s="138"/>
      <c r="F18" s="138"/>
      <c r="G18" s="138"/>
      <c r="H18" s="138"/>
      <c r="I18" s="138"/>
      <c r="J18" s="138"/>
      <c r="K18" s="138"/>
      <c r="L18" s="138"/>
      <c r="M18" s="138"/>
      <c r="N18" s="138"/>
      <c r="O18" s="138"/>
      <c r="P18" s="138"/>
      <c r="Q18" s="138"/>
      <c r="R18" s="138"/>
      <c r="S18" s="138"/>
      <c r="T18" s="138"/>
      <c r="U18" s="139"/>
      <c r="X18" s="8" t="s">
        <v>123</v>
      </c>
    </row>
    <row r="19" spans="1:24" ht="18" customHeight="1" x14ac:dyDescent="0.15">
      <c r="B19" s="137"/>
      <c r="C19" s="138"/>
      <c r="D19" s="138"/>
      <c r="E19" s="138"/>
      <c r="F19" s="138"/>
      <c r="G19" s="138"/>
      <c r="H19" s="138"/>
      <c r="I19" s="138"/>
      <c r="J19" s="138"/>
      <c r="K19" s="138"/>
      <c r="L19" s="138"/>
      <c r="M19" s="138"/>
      <c r="N19" s="138"/>
      <c r="O19" s="138"/>
      <c r="P19" s="138"/>
      <c r="Q19" s="138"/>
      <c r="R19" s="138"/>
      <c r="S19" s="138"/>
      <c r="T19" s="138"/>
      <c r="U19" s="139"/>
    </row>
    <row r="20" spans="1:24" ht="107.1" customHeight="1" x14ac:dyDescent="0.15">
      <c r="B20" s="140"/>
      <c r="C20" s="141"/>
      <c r="D20" s="141"/>
      <c r="E20" s="141"/>
      <c r="F20" s="141"/>
      <c r="G20" s="141"/>
      <c r="H20" s="141"/>
      <c r="I20" s="141"/>
      <c r="J20" s="141"/>
      <c r="K20" s="141"/>
      <c r="L20" s="141"/>
      <c r="M20" s="141"/>
      <c r="N20" s="141"/>
      <c r="O20" s="141"/>
      <c r="P20" s="141"/>
      <c r="Q20" s="141"/>
      <c r="R20" s="141"/>
      <c r="S20" s="141"/>
      <c r="T20" s="141"/>
      <c r="U20" s="142"/>
    </row>
    <row r="21" spans="1:24" ht="7.5" customHeight="1" x14ac:dyDescent="0.15">
      <c r="B21" s="6"/>
      <c r="C21" s="6"/>
      <c r="D21" s="6"/>
      <c r="E21" s="6"/>
      <c r="F21" s="6"/>
      <c r="G21" s="6"/>
      <c r="H21" s="6"/>
      <c r="I21" s="6"/>
      <c r="J21" s="6"/>
      <c r="K21" s="6"/>
      <c r="L21" s="6"/>
      <c r="M21" s="6"/>
      <c r="N21" s="6"/>
      <c r="O21" s="6"/>
      <c r="P21" s="6"/>
      <c r="Q21" s="6"/>
      <c r="R21" s="6"/>
      <c r="S21" s="6"/>
      <c r="T21" s="6"/>
      <c r="U21" s="6"/>
    </row>
    <row r="22" spans="1:24" ht="20.100000000000001" customHeight="1" x14ac:dyDescent="0.15">
      <c r="B22" s="8" t="s">
        <v>118</v>
      </c>
      <c r="E22" s="10">
        <v>2</v>
      </c>
      <c r="F22" s="8" t="s">
        <v>105</v>
      </c>
      <c r="H22" s="10">
        <v>2</v>
      </c>
      <c r="I22" s="6" t="s">
        <v>106</v>
      </c>
      <c r="J22" s="6"/>
      <c r="K22" s="83"/>
      <c r="M22" s="83" t="s">
        <v>103</v>
      </c>
      <c r="N22" s="143" t="s">
        <v>121</v>
      </c>
      <c r="O22" s="144"/>
      <c r="P22" s="144"/>
      <c r="Q22" s="144"/>
      <c r="R22" s="144"/>
      <c r="S22" s="144"/>
      <c r="T22" s="144"/>
      <c r="U22" s="145"/>
    </row>
    <row r="23" spans="1:24" ht="7.5" customHeight="1" x14ac:dyDescent="0.15">
      <c r="B23" s="6"/>
      <c r="C23" s="6"/>
      <c r="D23" s="6"/>
      <c r="E23" s="6"/>
      <c r="F23" s="6"/>
      <c r="G23" s="6"/>
      <c r="H23" s="6"/>
      <c r="I23" s="6"/>
      <c r="J23" s="6"/>
      <c r="K23" s="6"/>
      <c r="L23" s="6"/>
      <c r="M23" s="6"/>
      <c r="N23" s="6"/>
      <c r="O23" s="6"/>
      <c r="P23" s="6"/>
      <c r="Q23" s="6"/>
      <c r="R23" s="6"/>
      <c r="S23" s="6"/>
      <c r="T23" s="6"/>
      <c r="U23" s="6"/>
    </row>
    <row r="24" spans="1:24" ht="18" customHeight="1" x14ac:dyDescent="0.15">
      <c r="A24" s="133" t="s">
        <v>95</v>
      </c>
      <c r="B24" s="133"/>
      <c r="C24" s="133"/>
      <c r="D24" s="133"/>
      <c r="E24" s="133"/>
      <c r="F24" s="133"/>
      <c r="G24" s="133"/>
      <c r="H24" s="133"/>
      <c r="I24" s="133"/>
      <c r="J24" s="133"/>
      <c r="K24" s="133"/>
      <c r="L24" s="133"/>
      <c r="M24" s="133"/>
      <c r="N24" s="133"/>
      <c r="O24" s="133"/>
      <c r="P24" s="133"/>
      <c r="Q24" s="133"/>
      <c r="R24" s="133"/>
      <c r="S24" s="133"/>
      <c r="T24" s="133"/>
      <c r="U24" s="133"/>
    </row>
    <row r="25" spans="1:24" ht="18" customHeight="1" x14ac:dyDescent="0.15">
      <c r="A25" s="133"/>
      <c r="B25" s="133"/>
      <c r="C25" s="133"/>
      <c r="D25" s="133"/>
      <c r="E25" s="133"/>
      <c r="F25" s="133"/>
      <c r="G25" s="133"/>
      <c r="H25" s="133"/>
      <c r="I25" s="133"/>
      <c r="J25" s="133"/>
      <c r="K25" s="133"/>
      <c r="L25" s="133"/>
      <c r="M25" s="133"/>
      <c r="N25" s="133"/>
      <c r="O25" s="133"/>
      <c r="P25" s="133"/>
      <c r="Q25" s="133"/>
      <c r="R25" s="133"/>
      <c r="S25" s="133"/>
      <c r="T25" s="133"/>
      <c r="U25" s="133"/>
    </row>
    <row r="26" spans="1:24" ht="18" customHeight="1" x14ac:dyDescent="0.15">
      <c r="B26" s="115" t="s">
        <v>47</v>
      </c>
      <c r="C26" s="116"/>
      <c r="D26" s="116"/>
      <c r="E26" s="116"/>
      <c r="F26" s="117"/>
      <c r="G26" s="14" t="s">
        <v>72</v>
      </c>
      <c r="H26" s="15" t="s">
        <v>75</v>
      </c>
      <c r="I26" s="16" t="s">
        <v>50</v>
      </c>
      <c r="J26" s="16" t="s">
        <v>53</v>
      </c>
      <c r="K26" s="115" t="s">
        <v>47</v>
      </c>
      <c r="L26" s="116"/>
      <c r="M26" s="116"/>
      <c r="N26" s="116"/>
      <c r="O26" s="116"/>
      <c r="P26" s="116"/>
      <c r="Q26" s="117"/>
      <c r="R26" s="14" t="s">
        <v>72</v>
      </c>
      <c r="S26" s="15" t="s">
        <v>75</v>
      </c>
      <c r="T26" s="16" t="s">
        <v>50</v>
      </c>
      <c r="U26" s="16" t="s">
        <v>53</v>
      </c>
    </row>
    <row r="27" spans="1:24" ht="18" customHeight="1" x14ac:dyDescent="0.15">
      <c r="B27" s="124" t="s">
        <v>144</v>
      </c>
      <c r="C27" s="125"/>
      <c r="D27" s="125"/>
      <c r="E27" s="125"/>
      <c r="F27" s="126"/>
      <c r="G27" s="17">
        <v>1</v>
      </c>
      <c r="H27" s="17" t="s">
        <v>145</v>
      </c>
      <c r="I27" s="17" t="s">
        <v>145</v>
      </c>
      <c r="J27" s="17" t="s">
        <v>145</v>
      </c>
      <c r="K27" s="124"/>
      <c r="L27" s="125"/>
      <c r="M27" s="125"/>
      <c r="N27" s="125"/>
      <c r="O27" s="125"/>
      <c r="P27" s="125"/>
      <c r="Q27" s="126"/>
      <c r="R27" s="17"/>
      <c r="S27" s="17"/>
      <c r="T27" s="17"/>
      <c r="U27" s="17"/>
    </row>
    <row r="28" spans="1:24" ht="18" customHeight="1" x14ac:dyDescent="0.15">
      <c r="B28" s="118"/>
      <c r="C28" s="119"/>
      <c r="D28" s="119"/>
      <c r="E28" s="119"/>
      <c r="F28" s="120"/>
      <c r="G28" s="18"/>
      <c r="H28" s="18"/>
      <c r="I28" s="18"/>
      <c r="J28" s="18"/>
      <c r="K28" s="118"/>
      <c r="L28" s="119"/>
      <c r="M28" s="119"/>
      <c r="N28" s="119"/>
      <c r="O28" s="119"/>
      <c r="P28" s="119"/>
      <c r="Q28" s="120"/>
      <c r="R28" s="18"/>
      <c r="S28" s="18"/>
      <c r="T28" s="18"/>
      <c r="U28" s="18"/>
    </row>
    <row r="29" spans="1:24" ht="18" customHeight="1" x14ac:dyDescent="0.15">
      <c r="B29" s="118"/>
      <c r="C29" s="119"/>
      <c r="D29" s="119"/>
      <c r="E29" s="119"/>
      <c r="F29" s="120"/>
      <c r="G29" s="18"/>
      <c r="H29" s="18"/>
      <c r="I29" s="18"/>
      <c r="J29" s="18"/>
      <c r="K29" s="118"/>
      <c r="L29" s="119"/>
      <c r="M29" s="119"/>
      <c r="N29" s="119"/>
      <c r="O29" s="119"/>
      <c r="P29" s="119"/>
      <c r="Q29" s="120"/>
      <c r="R29" s="18"/>
      <c r="S29" s="18"/>
      <c r="T29" s="18"/>
      <c r="U29" s="18"/>
    </row>
    <row r="30" spans="1:24" ht="18" customHeight="1" x14ac:dyDescent="0.15">
      <c r="B30" s="118"/>
      <c r="C30" s="119"/>
      <c r="D30" s="119"/>
      <c r="E30" s="119"/>
      <c r="F30" s="120"/>
      <c r="G30" s="18"/>
      <c r="H30" s="18"/>
      <c r="I30" s="18"/>
      <c r="J30" s="18"/>
      <c r="K30" s="118"/>
      <c r="L30" s="119"/>
      <c r="M30" s="119"/>
      <c r="N30" s="119"/>
      <c r="O30" s="119"/>
      <c r="P30" s="119"/>
      <c r="Q30" s="120"/>
      <c r="R30" s="18"/>
      <c r="S30" s="18"/>
      <c r="T30" s="18"/>
      <c r="U30" s="18"/>
    </row>
    <row r="31" spans="1:24" ht="18" customHeight="1" x14ac:dyDescent="0.15">
      <c r="B31" s="118"/>
      <c r="C31" s="119"/>
      <c r="D31" s="119"/>
      <c r="E31" s="119"/>
      <c r="F31" s="120"/>
      <c r="G31" s="18"/>
      <c r="H31" s="18"/>
      <c r="I31" s="18"/>
      <c r="J31" s="18"/>
      <c r="K31" s="118"/>
      <c r="L31" s="119"/>
      <c r="M31" s="119"/>
      <c r="N31" s="119"/>
      <c r="O31" s="119"/>
      <c r="P31" s="119"/>
      <c r="Q31" s="120"/>
      <c r="R31" s="18"/>
      <c r="S31" s="18"/>
      <c r="T31" s="18"/>
      <c r="U31" s="18"/>
    </row>
    <row r="32" spans="1:24" ht="18" customHeight="1" x14ac:dyDescent="0.15">
      <c r="A32" s="6"/>
      <c r="B32" s="118"/>
      <c r="C32" s="119"/>
      <c r="D32" s="119"/>
      <c r="E32" s="119"/>
      <c r="F32" s="120"/>
      <c r="G32" s="18"/>
      <c r="H32" s="18"/>
      <c r="I32" s="18"/>
      <c r="J32" s="18"/>
      <c r="K32" s="118"/>
      <c r="L32" s="119"/>
      <c r="M32" s="119"/>
      <c r="N32" s="119"/>
      <c r="O32" s="119"/>
      <c r="P32" s="119"/>
      <c r="Q32" s="120"/>
      <c r="R32" s="18"/>
      <c r="S32" s="18"/>
      <c r="T32" s="18"/>
      <c r="U32" s="18"/>
    </row>
    <row r="33" spans="1:21" ht="18" customHeight="1" x14ac:dyDescent="0.15">
      <c r="A33" s="6"/>
      <c r="B33" s="107"/>
      <c r="C33" s="108"/>
      <c r="D33" s="108"/>
      <c r="E33" s="108"/>
      <c r="F33" s="109"/>
      <c r="G33" s="19"/>
      <c r="H33" s="19"/>
      <c r="I33" s="20"/>
      <c r="J33" s="20"/>
      <c r="K33" s="107"/>
      <c r="L33" s="108"/>
      <c r="M33" s="108"/>
      <c r="N33" s="108"/>
      <c r="O33" s="108"/>
      <c r="P33" s="108"/>
      <c r="Q33" s="109"/>
      <c r="R33" s="19"/>
      <c r="S33" s="19"/>
      <c r="T33" s="20"/>
      <c r="U33" s="20"/>
    </row>
    <row r="34" spans="1:21" ht="7.5" customHeight="1" x14ac:dyDescent="0.15">
      <c r="A34" s="6"/>
      <c r="B34" s="11"/>
      <c r="C34" s="11"/>
      <c r="D34" s="11"/>
      <c r="E34" s="6"/>
      <c r="F34" s="6"/>
      <c r="G34" s="6"/>
      <c r="H34" s="6"/>
      <c r="I34" s="11"/>
      <c r="J34" s="11"/>
      <c r="K34" s="11"/>
      <c r="L34" s="11"/>
      <c r="M34" s="11"/>
      <c r="N34" s="11"/>
      <c r="O34" s="11"/>
      <c r="P34" s="11"/>
      <c r="Q34" s="11"/>
      <c r="R34" s="11"/>
      <c r="S34" s="11"/>
      <c r="T34" s="11"/>
      <c r="U34" s="6"/>
    </row>
    <row r="35" spans="1:21" ht="18" customHeight="1" x14ac:dyDescent="0.15">
      <c r="A35" s="133" t="s">
        <v>96</v>
      </c>
      <c r="B35" s="133"/>
      <c r="C35" s="133"/>
      <c r="D35" s="133"/>
      <c r="E35" s="133"/>
      <c r="F35" s="133"/>
      <c r="G35" s="133"/>
      <c r="H35" s="133"/>
      <c r="I35" s="133"/>
      <c r="J35" s="133"/>
      <c r="K35" s="133"/>
      <c r="L35" s="133"/>
      <c r="M35" s="133"/>
      <c r="N35" s="133"/>
      <c r="O35" s="133"/>
      <c r="P35" s="133"/>
      <c r="Q35" s="133"/>
      <c r="R35" s="133"/>
      <c r="S35" s="133"/>
      <c r="T35" s="133"/>
      <c r="U35" s="133"/>
    </row>
    <row r="36" spans="1:21" ht="18" customHeight="1" x14ac:dyDescent="0.15">
      <c r="A36" s="133"/>
      <c r="B36" s="133"/>
      <c r="C36" s="133"/>
      <c r="D36" s="133"/>
      <c r="E36" s="133"/>
      <c r="F36" s="133"/>
      <c r="G36" s="133"/>
      <c r="H36" s="133"/>
      <c r="I36" s="133"/>
      <c r="J36" s="133"/>
      <c r="K36" s="133"/>
      <c r="L36" s="133"/>
      <c r="M36" s="133"/>
      <c r="N36" s="133"/>
      <c r="O36" s="133"/>
      <c r="P36" s="133"/>
      <c r="Q36" s="133"/>
      <c r="R36" s="133"/>
      <c r="S36" s="133"/>
      <c r="T36" s="133"/>
      <c r="U36" s="133"/>
    </row>
    <row r="37" spans="1:21" ht="18" customHeight="1" x14ac:dyDescent="0.15">
      <c r="B37" s="115" t="s">
        <v>47</v>
      </c>
      <c r="C37" s="116"/>
      <c r="D37" s="116"/>
      <c r="E37" s="116"/>
      <c r="F37" s="117"/>
      <c r="G37" s="14" t="s">
        <v>72</v>
      </c>
      <c r="H37" s="15" t="s">
        <v>75</v>
      </c>
      <c r="I37" s="16" t="s">
        <v>63</v>
      </c>
      <c r="J37" s="16" t="s">
        <v>64</v>
      </c>
      <c r="K37" s="115" t="s">
        <v>47</v>
      </c>
      <c r="L37" s="116"/>
      <c r="M37" s="116"/>
      <c r="N37" s="116"/>
      <c r="O37" s="116"/>
      <c r="P37" s="116"/>
      <c r="Q37" s="117"/>
      <c r="R37" s="14" t="s">
        <v>72</v>
      </c>
      <c r="S37" s="15" t="s">
        <v>75</v>
      </c>
      <c r="T37" s="16" t="s">
        <v>63</v>
      </c>
      <c r="U37" s="16" t="s">
        <v>64</v>
      </c>
    </row>
    <row r="38" spans="1:21" ht="18" customHeight="1" x14ac:dyDescent="0.15">
      <c r="B38" s="124" t="s">
        <v>144</v>
      </c>
      <c r="C38" s="125"/>
      <c r="D38" s="125"/>
      <c r="E38" s="125"/>
      <c r="F38" s="126"/>
      <c r="G38" s="17">
        <v>1</v>
      </c>
      <c r="H38" s="17" t="s">
        <v>145</v>
      </c>
      <c r="I38" s="17" t="s">
        <v>145</v>
      </c>
      <c r="J38" s="17" t="s">
        <v>145</v>
      </c>
      <c r="K38" s="124"/>
      <c r="L38" s="125"/>
      <c r="M38" s="125"/>
      <c r="N38" s="125"/>
      <c r="O38" s="125"/>
      <c r="P38" s="125"/>
      <c r="Q38" s="126"/>
      <c r="R38" s="17"/>
      <c r="S38" s="17"/>
      <c r="T38" s="17"/>
      <c r="U38" s="17"/>
    </row>
    <row r="39" spans="1:21" ht="18" customHeight="1" x14ac:dyDescent="0.15">
      <c r="B39" s="118"/>
      <c r="C39" s="119"/>
      <c r="D39" s="119"/>
      <c r="E39" s="119"/>
      <c r="F39" s="120"/>
      <c r="G39" s="18"/>
      <c r="H39" s="18"/>
      <c r="I39" s="18"/>
      <c r="J39" s="18"/>
      <c r="K39" s="118"/>
      <c r="L39" s="119"/>
      <c r="M39" s="119"/>
      <c r="N39" s="119"/>
      <c r="O39" s="119"/>
      <c r="P39" s="119"/>
      <c r="Q39" s="120"/>
      <c r="R39" s="18"/>
      <c r="S39" s="18"/>
      <c r="T39" s="18"/>
      <c r="U39" s="18"/>
    </row>
    <row r="40" spans="1:21" ht="18" customHeight="1" x14ac:dyDescent="0.15">
      <c r="B40" s="118"/>
      <c r="C40" s="119"/>
      <c r="D40" s="119"/>
      <c r="E40" s="119"/>
      <c r="F40" s="120"/>
      <c r="G40" s="18"/>
      <c r="H40" s="18"/>
      <c r="I40" s="18"/>
      <c r="J40" s="18"/>
      <c r="K40" s="118"/>
      <c r="L40" s="119"/>
      <c r="M40" s="119"/>
      <c r="N40" s="119"/>
      <c r="O40" s="119"/>
      <c r="P40" s="119"/>
      <c r="Q40" s="120"/>
      <c r="R40" s="18"/>
      <c r="S40" s="18"/>
      <c r="T40" s="18"/>
      <c r="U40" s="18"/>
    </row>
    <row r="41" spans="1:21" ht="18" customHeight="1" x14ac:dyDescent="0.15">
      <c r="B41" s="118"/>
      <c r="C41" s="119"/>
      <c r="D41" s="119"/>
      <c r="E41" s="119"/>
      <c r="F41" s="120"/>
      <c r="G41" s="18"/>
      <c r="H41" s="18"/>
      <c r="I41" s="18"/>
      <c r="J41" s="18"/>
      <c r="K41" s="118"/>
      <c r="L41" s="119"/>
      <c r="M41" s="119"/>
      <c r="N41" s="119"/>
      <c r="O41" s="119"/>
      <c r="P41" s="119"/>
      <c r="Q41" s="120"/>
      <c r="R41" s="18"/>
      <c r="S41" s="18"/>
      <c r="T41" s="18"/>
      <c r="U41" s="18"/>
    </row>
    <row r="42" spans="1:21" ht="18" customHeight="1" x14ac:dyDescent="0.15">
      <c r="B42" s="118"/>
      <c r="C42" s="119"/>
      <c r="D42" s="119"/>
      <c r="E42" s="119"/>
      <c r="F42" s="120"/>
      <c r="G42" s="18"/>
      <c r="H42" s="18"/>
      <c r="I42" s="18"/>
      <c r="J42" s="18"/>
      <c r="K42" s="118"/>
      <c r="L42" s="119"/>
      <c r="M42" s="119"/>
      <c r="N42" s="119"/>
      <c r="O42" s="119"/>
      <c r="P42" s="119"/>
      <c r="Q42" s="120"/>
      <c r="R42" s="18"/>
      <c r="S42" s="18"/>
      <c r="T42" s="18"/>
      <c r="U42" s="18"/>
    </row>
    <row r="43" spans="1:21" ht="18" customHeight="1" x14ac:dyDescent="0.15">
      <c r="B43" s="118"/>
      <c r="C43" s="119"/>
      <c r="D43" s="119"/>
      <c r="E43" s="119"/>
      <c r="F43" s="120"/>
      <c r="G43" s="18"/>
      <c r="H43" s="18"/>
      <c r="I43" s="18"/>
      <c r="J43" s="18"/>
      <c r="K43" s="118"/>
      <c r="L43" s="119"/>
      <c r="M43" s="119"/>
      <c r="N43" s="119"/>
      <c r="O43" s="119"/>
      <c r="P43" s="119"/>
      <c r="Q43" s="120"/>
      <c r="R43" s="18"/>
      <c r="S43" s="18"/>
      <c r="T43" s="18"/>
      <c r="U43" s="18"/>
    </row>
    <row r="44" spans="1:21" ht="18" customHeight="1" x14ac:dyDescent="0.15">
      <c r="B44" s="107"/>
      <c r="C44" s="108"/>
      <c r="D44" s="108"/>
      <c r="E44" s="108"/>
      <c r="F44" s="109"/>
      <c r="G44" s="19"/>
      <c r="H44" s="19"/>
      <c r="I44" s="20"/>
      <c r="J44" s="20"/>
      <c r="K44" s="107"/>
      <c r="L44" s="108"/>
      <c r="M44" s="108"/>
      <c r="N44" s="108"/>
      <c r="O44" s="108"/>
      <c r="P44" s="108"/>
      <c r="Q44" s="109"/>
      <c r="R44" s="19"/>
      <c r="S44" s="19"/>
      <c r="T44" s="20"/>
      <c r="U44" s="20"/>
    </row>
    <row r="45" spans="1:21" ht="7.5" customHeight="1" x14ac:dyDescent="0.15">
      <c r="A45" s="6"/>
      <c r="B45" s="11"/>
      <c r="C45" s="11"/>
      <c r="D45" s="11"/>
      <c r="E45" s="6"/>
      <c r="F45" s="6"/>
      <c r="G45" s="6"/>
      <c r="H45" s="6"/>
      <c r="I45" s="11"/>
      <c r="J45" s="11"/>
      <c r="K45" s="11"/>
      <c r="L45" s="11"/>
      <c r="M45" s="11"/>
      <c r="N45" s="11"/>
      <c r="O45" s="11"/>
      <c r="P45" s="11"/>
      <c r="Q45" s="11"/>
      <c r="R45" s="11"/>
      <c r="S45" s="11"/>
      <c r="T45" s="11"/>
      <c r="U45" s="6"/>
    </row>
    <row r="46" spans="1:21" ht="18" customHeight="1" x14ac:dyDescent="0.15">
      <c r="A46" s="133" t="s">
        <v>97</v>
      </c>
      <c r="B46" s="133"/>
      <c r="C46" s="133"/>
      <c r="D46" s="133"/>
      <c r="E46" s="133"/>
      <c r="F46" s="133"/>
      <c r="G46" s="133"/>
      <c r="H46" s="133"/>
      <c r="I46" s="133"/>
      <c r="J46" s="133"/>
      <c r="K46" s="133"/>
      <c r="L46" s="133"/>
      <c r="M46" s="133"/>
      <c r="N46" s="133"/>
      <c r="O46" s="133"/>
      <c r="P46" s="133"/>
      <c r="Q46" s="133"/>
      <c r="R46" s="133"/>
      <c r="S46" s="133"/>
      <c r="T46" s="133"/>
      <c r="U46" s="133"/>
    </row>
    <row r="47" spans="1:21" ht="18" customHeight="1" x14ac:dyDescent="0.15">
      <c r="A47" s="133"/>
      <c r="B47" s="133"/>
      <c r="C47" s="133"/>
      <c r="D47" s="133"/>
      <c r="E47" s="133"/>
      <c r="F47" s="133"/>
      <c r="G47" s="133"/>
      <c r="H47" s="133"/>
      <c r="I47" s="133"/>
      <c r="J47" s="133"/>
      <c r="K47" s="133"/>
      <c r="L47" s="133"/>
      <c r="M47" s="133"/>
      <c r="N47" s="133"/>
      <c r="O47" s="133"/>
      <c r="P47" s="133"/>
      <c r="Q47" s="133"/>
      <c r="R47" s="133"/>
      <c r="S47" s="133"/>
      <c r="T47" s="133"/>
      <c r="U47" s="133"/>
    </row>
    <row r="48" spans="1:21" ht="18" customHeight="1" x14ac:dyDescent="0.15">
      <c r="B48" s="115" t="s">
        <v>47</v>
      </c>
      <c r="C48" s="116"/>
      <c r="D48" s="116"/>
      <c r="E48" s="116"/>
      <c r="F48" s="117"/>
      <c r="G48" s="14" t="s">
        <v>72</v>
      </c>
      <c r="H48" s="15" t="s">
        <v>75</v>
      </c>
      <c r="I48" s="16" t="s">
        <v>65</v>
      </c>
      <c r="J48" s="16" t="s">
        <v>66</v>
      </c>
      <c r="K48" s="115" t="s">
        <v>47</v>
      </c>
      <c r="L48" s="116"/>
      <c r="M48" s="116"/>
      <c r="N48" s="116"/>
      <c r="O48" s="116"/>
      <c r="P48" s="116"/>
      <c r="Q48" s="117"/>
      <c r="R48" s="14" t="s">
        <v>72</v>
      </c>
      <c r="S48" s="15" t="s">
        <v>75</v>
      </c>
      <c r="T48" s="16" t="s">
        <v>65</v>
      </c>
      <c r="U48" s="16" t="s">
        <v>66</v>
      </c>
    </row>
    <row r="49" spans="1:21" ht="18" customHeight="1" x14ac:dyDescent="0.15">
      <c r="A49" s="6"/>
      <c r="B49" s="124" t="s">
        <v>144</v>
      </c>
      <c r="C49" s="125"/>
      <c r="D49" s="125"/>
      <c r="E49" s="125"/>
      <c r="F49" s="126"/>
      <c r="G49" s="17">
        <v>1</v>
      </c>
      <c r="H49" s="17" t="s">
        <v>145</v>
      </c>
      <c r="I49" s="17" t="s">
        <v>145</v>
      </c>
      <c r="J49" s="17" t="s">
        <v>145</v>
      </c>
      <c r="K49" s="124"/>
      <c r="L49" s="125"/>
      <c r="M49" s="125"/>
      <c r="N49" s="125"/>
      <c r="O49" s="125"/>
      <c r="P49" s="125"/>
      <c r="Q49" s="126"/>
      <c r="R49" s="17"/>
      <c r="S49" s="17"/>
      <c r="T49" s="17"/>
      <c r="U49" s="17"/>
    </row>
    <row r="50" spans="1:21" ht="18" customHeight="1" x14ac:dyDescent="0.15">
      <c r="A50" s="6"/>
      <c r="B50" s="118"/>
      <c r="C50" s="119"/>
      <c r="D50" s="119"/>
      <c r="E50" s="119"/>
      <c r="F50" s="120"/>
      <c r="G50" s="18"/>
      <c r="H50" s="18"/>
      <c r="I50" s="18"/>
      <c r="J50" s="18"/>
      <c r="K50" s="118"/>
      <c r="L50" s="119"/>
      <c r="M50" s="119"/>
      <c r="N50" s="119"/>
      <c r="O50" s="119"/>
      <c r="P50" s="119"/>
      <c r="Q50" s="120"/>
      <c r="R50" s="18"/>
      <c r="S50" s="18"/>
      <c r="T50" s="18"/>
      <c r="U50" s="18"/>
    </row>
    <row r="51" spans="1:21" ht="18" customHeight="1" x14ac:dyDescent="0.15">
      <c r="A51" s="6"/>
      <c r="B51" s="118"/>
      <c r="C51" s="119"/>
      <c r="D51" s="119"/>
      <c r="E51" s="119"/>
      <c r="F51" s="120"/>
      <c r="G51" s="18"/>
      <c r="H51" s="18"/>
      <c r="I51" s="18"/>
      <c r="J51" s="18"/>
      <c r="K51" s="118"/>
      <c r="L51" s="119"/>
      <c r="M51" s="119"/>
      <c r="N51" s="119"/>
      <c r="O51" s="119"/>
      <c r="P51" s="119"/>
      <c r="Q51" s="120"/>
      <c r="R51" s="18"/>
      <c r="S51" s="18"/>
      <c r="T51" s="18"/>
      <c r="U51" s="18"/>
    </row>
    <row r="52" spans="1:21" ht="18" customHeight="1" x14ac:dyDescent="0.15">
      <c r="A52" s="6"/>
      <c r="B52" s="118"/>
      <c r="C52" s="119"/>
      <c r="D52" s="119"/>
      <c r="E52" s="119"/>
      <c r="F52" s="120"/>
      <c r="G52" s="18"/>
      <c r="H52" s="18"/>
      <c r="I52" s="18"/>
      <c r="J52" s="18"/>
      <c r="K52" s="118"/>
      <c r="L52" s="119"/>
      <c r="M52" s="119"/>
      <c r="N52" s="119"/>
      <c r="O52" s="119"/>
      <c r="P52" s="119"/>
      <c r="Q52" s="120"/>
      <c r="R52" s="18"/>
      <c r="S52" s="18"/>
      <c r="T52" s="18"/>
      <c r="U52" s="18"/>
    </row>
    <row r="53" spans="1:21" ht="18" customHeight="1" x14ac:dyDescent="0.15">
      <c r="A53" s="6"/>
      <c r="B53" s="118"/>
      <c r="C53" s="119"/>
      <c r="D53" s="119"/>
      <c r="E53" s="119"/>
      <c r="F53" s="120"/>
      <c r="G53" s="18"/>
      <c r="H53" s="18"/>
      <c r="I53" s="18"/>
      <c r="J53" s="18"/>
      <c r="K53" s="118"/>
      <c r="L53" s="119"/>
      <c r="M53" s="119"/>
      <c r="N53" s="119"/>
      <c r="O53" s="119"/>
      <c r="P53" s="119"/>
      <c r="Q53" s="120"/>
      <c r="R53" s="18"/>
      <c r="S53" s="18"/>
      <c r="T53" s="18"/>
      <c r="U53" s="18"/>
    </row>
    <row r="54" spans="1:21" ht="18" customHeight="1" x14ac:dyDescent="0.15">
      <c r="A54" s="6"/>
      <c r="B54" s="118"/>
      <c r="C54" s="119"/>
      <c r="D54" s="119"/>
      <c r="E54" s="119"/>
      <c r="F54" s="120"/>
      <c r="G54" s="18"/>
      <c r="H54" s="18"/>
      <c r="I54" s="18"/>
      <c r="J54" s="18"/>
      <c r="K54" s="118"/>
      <c r="L54" s="119"/>
      <c r="M54" s="119"/>
      <c r="N54" s="119"/>
      <c r="O54" s="119"/>
      <c r="P54" s="119"/>
      <c r="Q54" s="120"/>
      <c r="R54" s="18"/>
      <c r="S54" s="18"/>
      <c r="T54" s="18"/>
      <c r="U54" s="18"/>
    </row>
    <row r="55" spans="1:21" ht="18" customHeight="1" x14ac:dyDescent="0.15">
      <c r="A55" s="6"/>
      <c r="B55" s="107"/>
      <c r="C55" s="108"/>
      <c r="D55" s="108"/>
      <c r="E55" s="108"/>
      <c r="F55" s="109"/>
      <c r="G55" s="19"/>
      <c r="H55" s="19"/>
      <c r="I55" s="20"/>
      <c r="J55" s="20"/>
      <c r="K55" s="107"/>
      <c r="L55" s="108"/>
      <c r="M55" s="108"/>
      <c r="N55" s="108"/>
      <c r="O55" s="108"/>
      <c r="P55" s="108"/>
      <c r="Q55" s="109"/>
      <c r="R55" s="19"/>
      <c r="S55" s="19"/>
      <c r="T55" s="20"/>
      <c r="U55" s="20"/>
    </row>
    <row r="56" spans="1:21" ht="7.5" customHeight="1" x14ac:dyDescent="0.15">
      <c r="B56" s="91"/>
      <c r="C56" s="91"/>
      <c r="D56" s="91"/>
      <c r="E56" s="91"/>
      <c r="F56" s="91"/>
      <c r="G56" s="91"/>
      <c r="H56" s="91"/>
      <c r="I56" s="91"/>
      <c r="J56" s="91"/>
      <c r="K56" s="91"/>
      <c r="L56" s="91"/>
      <c r="M56" s="91"/>
      <c r="N56" s="91"/>
      <c r="O56" s="91"/>
      <c r="P56" s="91"/>
      <c r="Q56" s="91"/>
      <c r="R56" s="91"/>
      <c r="S56" s="91"/>
      <c r="T56" s="91"/>
    </row>
    <row r="57" spans="1:21" ht="18" customHeight="1" x14ac:dyDescent="0.15">
      <c r="A57" s="133" t="s">
        <v>98</v>
      </c>
      <c r="B57" s="133"/>
      <c r="C57" s="133"/>
      <c r="D57" s="133"/>
      <c r="E57" s="133"/>
      <c r="F57" s="133"/>
      <c r="G57" s="133"/>
      <c r="H57" s="133"/>
      <c r="I57" s="133"/>
      <c r="J57" s="133"/>
      <c r="K57" s="133"/>
      <c r="L57" s="133"/>
      <c r="M57" s="133"/>
      <c r="N57" s="133"/>
      <c r="O57" s="133"/>
      <c r="P57" s="133"/>
      <c r="Q57" s="133"/>
      <c r="R57" s="133"/>
      <c r="S57" s="133"/>
      <c r="T57" s="133"/>
      <c r="U57" s="133"/>
    </row>
    <row r="58" spans="1:21" ht="18" customHeight="1" x14ac:dyDescent="0.15">
      <c r="A58" s="133"/>
      <c r="B58" s="133"/>
      <c r="C58" s="133"/>
      <c r="D58" s="133"/>
      <c r="E58" s="133"/>
      <c r="F58" s="133"/>
      <c r="G58" s="133"/>
      <c r="H58" s="133"/>
      <c r="I58" s="133"/>
      <c r="J58" s="133"/>
      <c r="K58" s="133"/>
      <c r="L58" s="133"/>
      <c r="M58" s="133"/>
      <c r="N58" s="133"/>
      <c r="O58" s="133"/>
      <c r="P58" s="133"/>
      <c r="Q58" s="133"/>
      <c r="R58" s="133"/>
      <c r="S58" s="133"/>
      <c r="T58" s="133"/>
      <c r="U58" s="133"/>
    </row>
    <row r="59" spans="1:21" ht="18" customHeight="1" x14ac:dyDescent="0.15">
      <c r="B59" s="115" t="s">
        <v>47</v>
      </c>
      <c r="C59" s="116"/>
      <c r="D59" s="116"/>
      <c r="E59" s="116"/>
      <c r="F59" s="117"/>
      <c r="G59" s="14" t="s">
        <v>72</v>
      </c>
      <c r="H59" s="15" t="s">
        <v>75</v>
      </c>
      <c r="I59" s="16" t="s">
        <v>52</v>
      </c>
      <c r="J59" s="16" t="s">
        <v>54</v>
      </c>
      <c r="K59" s="115" t="s">
        <v>47</v>
      </c>
      <c r="L59" s="116"/>
      <c r="M59" s="116"/>
      <c r="N59" s="116"/>
      <c r="O59" s="116"/>
      <c r="P59" s="116"/>
      <c r="Q59" s="117"/>
      <c r="R59" s="14" t="s">
        <v>72</v>
      </c>
      <c r="S59" s="15" t="s">
        <v>75</v>
      </c>
      <c r="T59" s="16" t="s">
        <v>52</v>
      </c>
      <c r="U59" s="16" t="s">
        <v>54</v>
      </c>
    </row>
    <row r="60" spans="1:21" ht="18" customHeight="1" x14ac:dyDescent="0.15">
      <c r="A60" s="6"/>
      <c r="B60" s="124" t="s">
        <v>144</v>
      </c>
      <c r="C60" s="125"/>
      <c r="D60" s="125"/>
      <c r="E60" s="125"/>
      <c r="F60" s="126"/>
      <c r="G60" s="17">
        <v>1</v>
      </c>
      <c r="H60" s="17" t="s">
        <v>145</v>
      </c>
      <c r="I60" s="17" t="s">
        <v>145</v>
      </c>
      <c r="J60" s="17" t="s">
        <v>145</v>
      </c>
      <c r="K60" s="124"/>
      <c r="L60" s="125"/>
      <c r="M60" s="125"/>
      <c r="N60" s="125"/>
      <c r="O60" s="125"/>
      <c r="P60" s="125"/>
      <c r="Q60" s="126"/>
      <c r="R60" s="17"/>
      <c r="S60" s="17"/>
      <c r="T60" s="17"/>
      <c r="U60" s="17"/>
    </row>
    <row r="61" spans="1:21" ht="18" customHeight="1" x14ac:dyDescent="0.15">
      <c r="A61" s="6"/>
      <c r="B61" s="118"/>
      <c r="C61" s="119"/>
      <c r="D61" s="119"/>
      <c r="E61" s="119"/>
      <c r="F61" s="120"/>
      <c r="G61" s="18"/>
      <c r="H61" s="18"/>
      <c r="I61" s="18"/>
      <c r="J61" s="18"/>
      <c r="K61" s="118"/>
      <c r="L61" s="119"/>
      <c r="M61" s="119"/>
      <c r="N61" s="119"/>
      <c r="O61" s="119"/>
      <c r="P61" s="119"/>
      <c r="Q61" s="120"/>
      <c r="R61" s="18"/>
      <c r="S61" s="18"/>
      <c r="T61" s="18"/>
      <c r="U61" s="18"/>
    </row>
    <row r="62" spans="1:21" ht="18" customHeight="1" x14ac:dyDescent="0.15">
      <c r="A62" s="6"/>
      <c r="B62" s="118"/>
      <c r="C62" s="119"/>
      <c r="D62" s="119"/>
      <c r="E62" s="119"/>
      <c r="F62" s="120"/>
      <c r="G62" s="18"/>
      <c r="H62" s="18"/>
      <c r="I62" s="18"/>
      <c r="J62" s="18"/>
      <c r="K62" s="118"/>
      <c r="L62" s="119"/>
      <c r="M62" s="119"/>
      <c r="N62" s="119"/>
      <c r="O62" s="119"/>
      <c r="P62" s="119"/>
      <c r="Q62" s="120"/>
      <c r="R62" s="18"/>
      <c r="S62" s="18"/>
      <c r="T62" s="18"/>
      <c r="U62" s="18"/>
    </row>
    <row r="63" spans="1:21" ht="18" customHeight="1" x14ac:dyDescent="0.15">
      <c r="A63" s="6"/>
      <c r="B63" s="118"/>
      <c r="C63" s="119"/>
      <c r="D63" s="119"/>
      <c r="E63" s="119"/>
      <c r="F63" s="120"/>
      <c r="G63" s="18"/>
      <c r="H63" s="18"/>
      <c r="I63" s="18"/>
      <c r="J63" s="18"/>
      <c r="K63" s="118"/>
      <c r="L63" s="119"/>
      <c r="M63" s="119"/>
      <c r="N63" s="119"/>
      <c r="O63" s="119"/>
      <c r="P63" s="119"/>
      <c r="Q63" s="120"/>
      <c r="R63" s="18"/>
      <c r="S63" s="18"/>
      <c r="T63" s="18"/>
      <c r="U63" s="18"/>
    </row>
    <row r="64" spans="1:21" ht="18" customHeight="1" x14ac:dyDescent="0.15">
      <c r="A64" s="6"/>
      <c r="B64" s="118"/>
      <c r="C64" s="119"/>
      <c r="D64" s="119"/>
      <c r="E64" s="119"/>
      <c r="F64" s="120"/>
      <c r="G64" s="18"/>
      <c r="H64" s="18"/>
      <c r="I64" s="18"/>
      <c r="J64" s="18"/>
      <c r="K64" s="118"/>
      <c r="L64" s="119"/>
      <c r="M64" s="119"/>
      <c r="N64" s="119"/>
      <c r="O64" s="119"/>
      <c r="P64" s="119"/>
      <c r="Q64" s="120"/>
      <c r="R64" s="18"/>
      <c r="S64" s="18"/>
      <c r="T64" s="18"/>
      <c r="U64" s="18"/>
    </row>
    <row r="65" spans="1:27" ht="18" customHeight="1" x14ac:dyDescent="0.15">
      <c r="A65" s="6"/>
      <c r="B65" s="118"/>
      <c r="C65" s="119"/>
      <c r="D65" s="119"/>
      <c r="E65" s="119"/>
      <c r="F65" s="120"/>
      <c r="G65" s="18"/>
      <c r="H65" s="18"/>
      <c r="I65" s="18"/>
      <c r="J65" s="18"/>
      <c r="K65" s="118"/>
      <c r="L65" s="119"/>
      <c r="M65" s="119"/>
      <c r="N65" s="119"/>
      <c r="O65" s="119"/>
      <c r="P65" s="119"/>
      <c r="Q65" s="120"/>
      <c r="R65" s="18"/>
      <c r="S65" s="18"/>
      <c r="T65" s="18"/>
      <c r="U65" s="18"/>
    </row>
    <row r="66" spans="1:27" ht="18" customHeight="1" x14ac:dyDescent="0.15">
      <c r="A66" s="6"/>
      <c r="B66" s="107"/>
      <c r="C66" s="108"/>
      <c r="D66" s="108"/>
      <c r="E66" s="108"/>
      <c r="F66" s="109"/>
      <c r="G66" s="19"/>
      <c r="H66" s="19"/>
      <c r="I66" s="20"/>
      <c r="J66" s="20"/>
      <c r="K66" s="107"/>
      <c r="L66" s="108"/>
      <c r="M66" s="108"/>
      <c r="N66" s="108"/>
      <c r="O66" s="108"/>
      <c r="P66" s="108"/>
      <c r="Q66" s="109"/>
      <c r="R66" s="19"/>
      <c r="S66" s="19"/>
      <c r="T66" s="20"/>
      <c r="U66" s="20"/>
    </row>
    <row r="67" spans="1:27" ht="7.5" customHeight="1" x14ac:dyDescent="0.15">
      <c r="B67" s="91"/>
      <c r="C67" s="91"/>
      <c r="D67" s="91"/>
      <c r="E67" s="91"/>
      <c r="F67" s="91"/>
      <c r="G67" s="91"/>
      <c r="H67" s="91"/>
      <c r="I67" s="91"/>
      <c r="J67" s="91"/>
      <c r="K67" s="91"/>
      <c r="L67" s="91"/>
      <c r="M67" s="91"/>
      <c r="N67" s="91"/>
      <c r="O67" s="91"/>
      <c r="P67" s="91"/>
      <c r="Q67" s="91"/>
      <c r="R67" s="91"/>
      <c r="S67" s="91"/>
      <c r="T67" s="91"/>
    </row>
    <row r="68" spans="1:27" ht="18" customHeight="1" x14ac:dyDescent="0.15">
      <c r="A68" s="133" t="s">
        <v>99</v>
      </c>
      <c r="B68" s="133"/>
      <c r="C68" s="133"/>
      <c r="D68" s="133"/>
      <c r="E68" s="133"/>
      <c r="F68" s="133"/>
      <c r="G68" s="133"/>
      <c r="H68" s="133"/>
      <c r="I68" s="133"/>
      <c r="J68" s="133"/>
      <c r="K68" s="133"/>
      <c r="L68" s="133"/>
      <c r="M68" s="133"/>
      <c r="N68" s="133"/>
      <c r="O68" s="133"/>
      <c r="P68" s="133"/>
      <c r="Q68" s="133"/>
      <c r="R68" s="133"/>
      <c r="S68" s="133"/>
      <c r="T68" s="133"/>
      <c r="U68" s="133"/>
    </row>
    <row r="69" spans="1:27" ht="18" customHeight="1" x14ac:dyDescent="0.15">
      <c r="A69" s="133"/>
      <c r="B69" s="133"/>
      <c r="C69" s="133"/>
      <c r="D69" s="133"/>
      <c r="E69" s="133"/>
      <c r="F69" s="133"/>
      <c r="G69" s="133"/>
      <c r="H69" s="133"/>
      <c r="I69" s="133"/>
      <c r="J69" s="133"/>
      <c r="K69" s="133"/>
      <c r="L69" s="133"/>
      <c r="M69" s="133"/>
      <c r="N69" s="133"/>
      <c r="O69" s="133"/>
      <c r="P69" s="133"/>
      <c r="Q69" s="133"/>
      <c r="R69" s="133"/>
      <c r="S69" s="133"/>
      <c r="T69" s="133"/>
      <c r="U69" s="133"/>
    </row>
    <row r="70" spans="1:27" ht="18" customHeight="1" x14ac:dyDescent="0.15">
      <c r="B70" s="115" t="s">
        <v>47</v>
      </c>
      <c r="C70" s="116"/>
      <c r="D70" s="116"/>
      <c r="E70" s="116"/>
      <c r="F70" s="14" t="s">
        <v>72</v>
      </c>
      <c r="G70" s="15" t="s">
        <v>75</v>
      </c>
      <c r="H70" s="16" t="s">
        <v>86</v>
      </c>
      <c r="I70" s="16" t="s">
        <v>67</v>
      </c>
      <c r="J70" s="16" t="s">
        <v>68</v>
      </c>
      <c r="K70" s="115" t="s">
        <v>47</v>
      </c>
      <c r="L70" s="116"/>
      <c r="M70" s="116"/>
      <c r="N70" s="116"/>
      <c r="O70" s="116"/>
      <c r="P70" s="117"/>
      <c r="Q70" s="14" t="s">
        <v>72</v>
      </c>
      <c r="R70" s="15" t="s">
        <v>75</v>
      </c>
      <c r="S70" s="16" t="s">
        <v>86</v>
      </c>
      <c r="T70" s="16" t="s">
        <v>67</v>
      </c>
      <c r="U70" s="16" t="s">
        <v>68</v>
      </c>
    </row>
    <row r="71" spans="1:27" ht="18" customHeight="1" x14ac:dyDescent="0.15">
      <c r="A71" s="6"/>
      <c r="B71" s="124" t="s">
        <v>144</v>
      </c>
      <c r="C71" s="125"/>
      <c r="D71" s="125"/>
      <c r="E71" s="125"/>
      <c r="F71" s="17">
        <v>1</v>
      </c>
      <c r="G71" s="17" t="s">
        <v>145</v>
      </c>
      <c r="H71" s="17" t="s">
        <v>145</v>
      </c>
      <c r="I71" s="17" t="s">
        <v>145</v>
      </c>
      <c r="J71" s="17"/>
      <c r="K71" s="124"/>
      <c r="L71" s="125"/>
      <c r="M71" s="125"/>
      <c r="N71" s="125"/>
      <c r="O71" s="125"/>
      <c r="P71" s="126"/>
      <c r="Q71" s="17"/>
      <c r="R71" s="17"/>
      <c r="S71" s="17"/>
      <c r="T71" s="17"/>
      <c r="U71" s="17"/>
    </row>
    <row r="72" spans="1:27" ht="18" customHeight="1" x14ac:dyDescent="0.15">
      <c r="A72" s="6"/>
      <c r="B72" s="118" t="s">
        <v>172</v>
      </c>
      <c r="C72" s="119"/>
      <c r="D72" s="119"/>
      <c r="E72" s="119"/>
      <c r="F72" s="18">
        <v>1</v>
      </c>
      <c r="G72" s="18" t="s">
        <v>145</v>
      </c>
      <c r="H72" s="18" t="s">
        <v>145</v>
      </c>
      <c r="I72" s="18" t="s">
        <v>145</v>
      </c>
      <c r="J72" s="18" t="s">
        <v>145</v>
      </c>
      <c r="K72" s="118"/>
      <c r="L72" s="119"/>
      <c r="M72" s="119"/>
      <c r="N72" s="119"/>
      <c r="O72" s="119"/>
      <c r="P72" s="120"/>
      <c r="Q72" s="18"/>
      <c r="R72" s="18"/>
      <c r="S72" s="18"/>
      <c r="T72" s="18"/>
      <c r="U72" s="18"/>
    </row>
    <row r="73" spans="1:27" ht="18" customHeight="1" x14ac:dyDescent="0.15">
      <c r="A73" s="6"/>
      <c r="B73" s="118"/>
      <c r="C73" s="119"/>
      <c r="D73" s="119"/>
      <c r="E73" s="119"/>
      <c r="F73" s="18"/>
      <c r="G73" s="18"/>
      <c r="H73" s="18"/>
      <c r="I73" s="18"/>
      <c r="J73" s="18"/>
      <c r="K73" s="118"/>
      <c r="L73" s="119"/>
      <c r="M73" s="119"/>
      <c r="N73" s="119"/>
      <c r="O73" s="119"/>
      <c r="P73" s="120"/>
      <c r="Q73" s="18"/>
      <c r="R73" s="18"/>
      <c r="S73" s="18"/>
      <c r="T73" s="18"/>
      <c r="U73" s="18"/>
    </row>
    <row r="74" spans="1:27" ht="18" customHeight="1" x14ac:dyDescent="0.15">
      <c r="A74" s="6"/>
      <c r="B74" s="118"/>
      <c r="C74" s="119"/>
      <c r="D74" s="119"/>
      <c r="E74" s="119"/>
      <c r="F74" s="18"/>
      <c r="G74" s="18"/>
      <c r="H74" s="18"/>
      <c r="I74" s="18"/>
      <c r="J74" s="18"/>
      <c r="K74" s="118"/>
      <c r="L74" s="119"/>
      <c r="M74" s="119"/>
      <c r="N74" s="119"/>
      <c r="O74" s="119"/>
      <c r="P74" s="120"/>
      <c r="Q74" s="18"/>
      <c r="R74" s="18"/>
      <c r="S74" s="18"/>
      <c r="T74" s="18"/>
      <c r="U74" s="18"/>
    </row>
    <row r="75" spans="1:27" ht="18" customHeight="1" x14ac:dyDescent="0.15">
      <c r="A75" s="6"/>
      <c r="B75" s="118"/>
      <c r="C75" s="119"/>
      <c r="D75" s="119"/>
      <c r="E75" s="119"/>
      <c r="F75" s="18"/>
      <c r="G75" s="18"/>
      <c r="H75" s="18"/>
      <c r="I75" s="18"/>
      <c r="J75" s="18"/>
      <c r="K75" s="118"/>
      <c r="L75" s="119"/>
      <c r="M75" s="119"/>
      <c r="N75" s="119"/>
      <c r="O75" s="119"/>
      <c r="P75" s="120"/>
      <c r="Q75" s="18"/>
      <c r="R75" s="18"/>
      <c r="S75" s="18"/>
      <c r="T75" s="18"/>
      <c r="U75" s="18"/>
    </row>
    <row r="76" spans="1:27" ht="18" customHeight="1" x14ac:dyDescent="0.15">
      <c r="A76" s="6"/>
      <c r="B76" s="118"/>
      <c r="C76" s="119"/>
      <c r="D76" s="119"/>
      <c r="E76" s="119"/>
      <c r="F76" s="18"/>
      <c r="G76" s="18"/>
      <c r="H76" s="18"/>
      <c r="I76" s="18"/>
      <c r="J76" s="18"/>
      <c r="K76" s="118"/>
      <c r="L76" s="119"/>
      <c r="M76" s="119"/>
      <c r="N76" s="119"/>
      <c r="O76" s="119"/>
      <c r="P76" s="120"/>
      <c r="Q76" s="18"/>
      <c r="R76" s="18"/>
      <c r="S76" s="18"/>
      <c r="T76" s="18"/>
      <c r="U76" s="18"/>
    </row>
    <row r="77" spans="1:27" ht="18" customHeight="1" x14ac:dyDescent="0.15">
      <c r="A77" s="6"/>
      <c r="B77" s="107"/>
      <c r="C77" s="108"/>
      <c r="D77" s="108"/>
      <c r="E77" s="108"/>
      <c r="F77" s="19"/>
      <c r="G77" s="19"/>
      <c r="H77" s="20"/>
      <c r="I77" s="20"/>
      <c r="J77" s="20"/>
      <c r="K77" s="107"/>
      <c r="L77" s="108"/>
      <c r="M77" s="108"/>
      <c r="N77" s="108"/>
      <c r="O77" s="108"/>
      <c r="P77" s="109"/>
      <c r="Q77" s="19"/>
      <c r="R77" s="19"/>
      <c r="S77" s="20"/>
      <c r="T77" s="20"/>
      <c r="U77" s="20"/>
    </row>
    <row r="78" spans="1:27" ht="7.5" customHeight="1" x14ac:dyDescent="0.15">
      <c r="B78" s="91"/>
      <c r="C78" s="91"/>
      <c r="D78" s="91"/>
      <c r="E78" s="91"/>
      <c r="F78" s="91"/>
      <c r="G78" s="91"/>
      <c r="H78" s="91"/>
      <c r="I78" s="91"/>
      <c r="J78" s="91"/>
      <c r="K78" s="91"/>
      <c r="L78" s="91"/>
      <c r="M78" s="91"/>
      <c r="N78" s="91"/>
      <c r="O78" s="91"/>
      <c r="P78" s="91"/>
      <c r="Q78" s="91"/>
      <c r="R78" s="91"/>
      <c r="S78" s="91"/>
      <c r="T78" s="91"/>
    </row>
    <row r="79" spans="1:27" ht="18" customHeight="1" x14ac:dyDescent="0.15">
      <c r="A79" s="8" t="s">
        <v>100</v>
      </c>
      <c r="I79" s="6"/>
      <c r="J79" s="6"/>
      <c r="K79" s="6"/>
      <c r="L79" s="6"/>
      <c r="M79" s="6"/>
      <c r="N79" s="6"/>
      <c r="O79" s="6"/>
      <c r="P79" s="6"/>
      <c r="Q79" s="6"/>
      <c r="R79" s="6"/>
      <c r="S79" s="6"/>
      <c r="T79" s="6"/>
      <c r="U79" s="6"/>
    </row>
    <row r="80" spans="1:27" ht="18" customHeight="1" x14ac:dyDescent="0.15">
      <c r="B80" s="115" t="s">
        <v>47</v>
      </c>
      <c r="C80" s="116"/>
      <c r="D80" s="116"/>
      <c r="E80" s="116"/>
      <c r="F80" s="117"/>
      <c r="G80" s="115" t="s">
        <v>73</v>
      </c>
      <c r="H80" s="116"/>
      <c r="I80" s="116"/>
      <c r="J80" s="117"/>
      <c r="K80" s="130" t="s">
        <v>47</v>
      </c>
      <c r="L80" s="131"/>
      <c r="M80" s="131"/>
      <c r="N80" s="131"/>
      <c r="O80" s="131"/>
      <c r="P80" s="131"/>
      <c r="Q80" s="132"/>
      <c r="R80" s="115" t="s">
        <v>73</v>
      </c>
      <c r="S80" s="116"/>
      <c r="T80" s="116"/>
      <c r="U80" s="117"/>
      <c r="AA80" s="8" t="s">
        <v>137</v>
      </c>
    </row>
    <row r="81" spans="1:27" ht="18" customHeight="1" x14ac:dyDescent="0.15">
      <c r="A81" s="6"/>
      <c r="B81" s="124"/>
      <c r="C81" s="125"/>
      <c r="D81" s="125"/>
      <c r="E81" s="125"/>
      <c r="F81" s="126"/>
      <c r="G81" s="127"/>
      <c r="H81" s="128"/>
      <c r="I81" s="128"/>
      <c r="J81" s="129"/>
      <c r="K81" s="124"/>
      <c r="L81" s="125"/>
      <c r="M81" s="125"/>
      <c r="N81" s="125"/>
      <c r="O81" s="125"/>
      <c r="P81" s="125"/>
      <c r="Q81" s="126"/>
      <c r="R81" s="127"/>
      <c r="S81" s="128"/>
      <c r="T81" s="128"/>
      <c r="U81" s="129"/>
      <c r="AA81" s="8" t="s">
        <v>130</v>
      </c>
    </row>
    <row r="82" spans="1:27" ht="18" customHeight="1" x14ac:dyDescent="0.15">
      <c r="A82" s="6"/>
      <c r="B82" s="118"/>
      <c r="C82" s="119"/>
      <c r="D82" s="119"/>
      <c r="E82" s="119"/>
      <c r="F82" s="120"/>
      <c r="G82" s="121"/>
      <c r="H82" s="122"/>
      <c r="I82" s="122"/>
      <c r="J82" s="123"/>
      <c r="K82" s="118"/>
      <c r="L82" s="119"/>
      <c r="M82" s="119"/>
      <c r="N82" s="119"/>
      <c r="O82" s="119"/>
      <c r="P82" s="119"/>
      <c r="Q82" s="120"/>
      <c r="R82" s="121"/>
      <c r="S82" s="122"/>
      <c r="T82" s="122"/>
      <c r="U82" s="123"/>
      <c r="AA82" s="8" t="s">
        <v>131</v>
      </c>
    </row>
    <row r="83" spans="1:27" ht="18" customHeight="1" x14ac:dyDescent="0.15">
      <c r="A83" s="6"/>
      <c r="B83" s="118"/>
      <c r="C83" s="119"/>
      <c r="D83" s="119"/>
      <c r="E83" s="119"/>
      <c r="F83" s="120"/>
      <c r="G83" s="121"/>
      <c r="H83" s="122"/>
      <c r="I83" s="122"/>
      <c r="J83" s="123"/>
      <c r="K83" s="118"/>
      <c r="L83" s="119"/>
      <c r="M83" s="119"/>
      <c r="N83" s="119"/>
      <c r="O83" s="119"/>
      <c r="P83" s="119"/>
      <c r="Q83" s="120"/>
      <c r="R83" s="121"/>
      <c r="S83" s="122"/>
      <c r="T83" s="122"/>
      <c r="U83" s="123"/>
      <c r="AA83" s="8" t="s">
        <v>132</v>
      </c>
    </row>
    <row r="84" spans="1:27" ht="18" customHeight="1" x14ac:dyDescent="0.15">
      <c r="A84" s="6"/>
      <c r="B84" s="118"/>
      <c r="C84" s="119"/>
      <c r="D84" s="119"/>
      <c r="E84" s="119"/>
      <c r="F84" s="120"/>
      <c r="G84" s="121"/>
      <c r="H84" s="122"/>
      <c r="I84" s="122"/>
      <c r="J84" s="123"/>
      <c r="K84" s="118"/>
      <c r="L84" s="119"/>
      <c r="M84" s="119"/>
      <c r="N84" s="119"/>
      <c r="O84" s="119"/>
      <c r="P84" s="119"/>
      <c r="Q84" s="120"/>
      <c r="R84" s="121"/>
      <c r="S84" s="122"/>
      <c r="T84" s="122"/>
      <c r="U84" s="123"/>
      <c r="AA84" s="8" t="s">
        <v>138</v>
      </c>
    </row>
    <row r="85" spans="1:27" ht="18" customHeight="1" x14ac:dyDescent="0.15">
      <c r="A85" s="6"/>
      <c r="B85" s="118"/>
      <c r="C85" s="119"/>
      <c r="D85" s="119"/>
      <c r="E85" s="119"/>
      <c r="F85" s="120"/>
      <c r="G85" s="121"/>
      <c r="H85" s="122"/>
      <c r="I85" s="122"/>
      <c r="J85" s="123"/>
      <c r="K85" s="118"/>
      <c r="L85" s="119"/>
      <c r="M85" s="119"/>
      <c r="N85" s="119"/>
      <c r="O85" s="119"/>
      <c r="P85" s="119"/>
      <c r="Q85" s="120"/>
      <c r="R85" s="121"/>
      <c r="S85" s="122"/>
      <c r="T85" s="122"/>
      <c r="U85" s="123"/>
      <c r="AA85" s="8" t="s">
        <v>139</v>
      </c>
    </row>
    <row r="86" spans="1:27" ht="18" customHeight="1" x14ac:dyDescent="0.15">
      <c r="A86" s="6"/>
      <c r="B86" s="118"/>
      <c r="C86" s="119"/>
      <c r="D86" s="119"/>
      <c r="E86" s="119"/>
      <c r="F86" s="120"/>
      <c r="G86" s="121"/>
      <c r="H86" s="122"/>
      <c r="I86" s="122"/>
      <c r="J86" s="123"/>
      <c r="K86" s="118"/>
      <c r="L86" s="119"/>
      <c r="M86" s="119"/>
      <c r="N86" s="119"/>
      <c r="O86" s="119"/>
      <c r="P86" s="119"/>
      <c r="Q86" s="120"/>
      <c r="R86" s="121"/>
      <c r="S86" s="122"/>
      <c r="T86" s="122"/>
      <c r="U86" s="123"/>
      <c r="AA86" s="8" t="s">
        <v>133</v>
      </c>
    </row>
    <row r="87" spans="1:27" ht="18" customHeight="1" x14ac:dyDescent="0.15">
      <c r="A87" s="6"/>
      <c r="B87" s="107"/>
      <c r="C87" s="108"/>
      <c r="D87" s="108"/>
      <c r="E87" s="108"/>
      <c r="F87" s="109"/>
      <c r="G87" s="110"/>
      <c r="H87" s="111"/>
      <c r="I87" s="111"/>
      <c r="J87" s="112"/>
      <c r="K87" s="107"/>
      <c r="L87" s="108"/>
      <c r="M87" s="108"/>
      <c r="N87" s="108"/>
      <c r="O87" s="108"/>
      <c r="P87" s="108"/>
      <c r="Q87" s="109"/>
      <c r="R87" s="110"/>
      <c r="S87" s="111"/>
      <c r="T87" s="111"/>
      <c r="U87" s="112"/>
      <c r="AA87" s="8" t="s">
        <v>134</v>
      </c>
    </row>
    <row r="88" spans="1:27" ht="18" customHeight="1" x14ac:dyDescent="0.15">
      <c r="A88" s="6"/>
      <c r="B88" s="11"/>
      <c r="C88" s="11"/>
      <c r="D88" s="11"/>
      <c r="E88" s="11"/>
      <c r="F88" s="11"/>
      <c r="G88" s="21"/>
      <c r="H88" s="21"/>
      <c r="I88" s="21"/>
      <c r="J88" s="21"/>
      <c r="K88" s="11"/>
      <c r="L88" s="11"/>
      <c r="M88" s="11"/>
      <c r="N88" s="11"/>
      <c r="O88" s="11"/>
      <c r="P88" s="11"/>
      <c r="Q88" s="11"/>
      <c r="R88" s="21"/>
      <c r="S88" s="21"/>
      <c r="T88" s="21"/>
      <c r="U88" s="21"/>
      <c r="AA88" s="8" t="s">
        <v>135</v>
      </c>
    </row>
    <row r="89" spans="1:27" ht="18.75" customHeight="1" x14ac:dyDescent="0.15">
      <c r="A89" s="8" t="s">
        <v>101</v>
      </c>
      <c r="AA89" s="8" t="s">
        <v>136</v>
      </c>
    </row>
    <row r="90" spans="1:27" ht="18.75" customHeight="1" x14ac:dyDescent="0.15">
      <c r="B90" s="113" t="s">
        <v>48</v>
      </c>
      <c r="C90" s="114"/>
      <c r="D90" s="115" t="s">
        <v>49</v>
      </c>
      <c r="E90" s="116"/>
      <c r="F90" s="116"/>
      <c r="G90" s="116"/>
      <c r="H90" s="116"/>
      <c r="I90" s="116"/>
      <c r="J90" s="116"/>
      <c r="K90" s="116"/>
      <c r="L90" s="116"/>
      <c r="M90" s="116"/>
      <c r="N90" s="116"/>
      <c r="O90" s="116"/>
      <c r="P90" s="116"/>
      <c r="Q90" s="116"/>
      <c r="R90" s="116"/>
      <c r="S90" s="116"/>
      <c r="T90" s="116"/>
      <c r="U90" s="117"/>
    </row>
    <row r="91" spans="1:27" ht="114" customHeight="1" x14ac:dyDescent="0.15">
      <c r="B91" s="92" t="s">
        <v>55</v>
      </c>
      <c r="C91" s="22" t="s">
        <v>50</v>
      </c>
      <c r="D91" s="95" t="s">
        <v>181</v>
      </c>
      <c r="E91" s="96"/>
      <c r="F91" s="96"/>
      <c r="G91" s="96"/>
      <c r="H91" s="96"/>
      <c r="I91" s="96"/>
      <c r="J91" s="96"/>
      <c r="K91" s="96"/>
      <c r="L91" s="96"/>
      <c r="M91" s="96"/>
      <c r="N91" s="96"/>
      <c r="O91" s="96"/>
      <c r="P91" s="96"/>
      <c r="Q91" s="96"/>
      <c r="R91" s="96"/>
      <c r="S91" s="96"/>
      <c r="T91" s="96"/>
      <c r="U91" s="97"/>
    </row>
    <row r="92" spans="1:27" ht="97.5" customHeight="1" x14ac:dyDescent="0.15">
      <c r="B92" s="93"/>
      <c r="C92" s="23" t="s">
        <v>69</v>
      </c>
      <c r="D92" s="101" t="s">
        <v>182</v>
      </c>
      <c r="E92" s="102"/>
      <c r="F92" s="102"/>
      <c r="G92" s="102"/>
      <c r="H92" s="102"/>
      <c r="I92" s="102"/>
      <c r="J92" s="102"/>
      <c r="K92" s="102"/>
      <c r="L92" s="102"/>
      <c r="M92" s="102"/>
      <c r="N92" s="102"/>
      <c r="O92" s="102"/>
      <c r="P92" s="102"/>
      <c r="Q92" s="102"/>
      <c r="R92" s="102"/>
      <c r="S92" s="102"/>
      <c r="T92" s="102"/>
      <c r="U92" s="103"/>
    </row>
    <row r="93" spans="1:27" ht="97.5" customHeight="1" x14ac:dyDescent="0.15">
      <c r="B93" s="92" t="s">
        <v>56</v>
      </c>
      <c r="C93" s="24" t="s">
        <v>63</v>
      </c>
      <c r="D93" s="95" t="s">
        <v>146</v>
      </c>
      <c r="E93" s="96"/>
      <c r="F93" s="96"/>
      <c r="G93" s="96"/>
      <c r="H93" s="96"/>
      <c r="I93" s="96"/>
      <c r="J93" s="96"/>
      <c r="K93" s="96"/>
      <c r="L93" s="96"/>
      <c r="M93" s="96"/>
      <c r="N93" s="96"/>
      <c r="O93" s="96"/>
      <c r="P93" s="96"/>
      <c r="Q93" s="96"/>
      <c r="R93" s="96"/>
      <c r="S93" s="96"/>
      <c r="T93" s="96"/>
      <c r="U93" s="97"/>
    </row>
    <row r="94" spans="1:27" ht="97.5" customHeight="1" x14ac:dyDescent="0.15">
      <c r="B94" s="94"/>
      <c r="C94" s="25" t="s">
        <v>64</v>
      </c>
      <c r="D94" s="101" t="s">
        <v>183</v>
      </c>
      <c r="E94" s="102"/>
      <c r="F94" s="102"/>
      <c r="G94" s="102"/>
      <c r="H94" s="102"/>
      <c r="I94" s="102"/>
      <c r="J94" s="102"/>
      <c r="K94" s="102"/>
      <c r="L94" s="102"/>
      <c r="M94" s="102"/>
      <c r="N94" s="102"/>
      <c r="O94" s="102"/>
      <c r="P94" s="102"/>
      <c r="Q94" s="102"/>
      <c r="R94" s="102"/>
      <c r="S94" s="102"/>
      <c r="T94" s="102"/>
      <c r="U94" s="103"/>
    </row>
    <row r="95" spans="1:27" ht="129.94999999999999" customHeight="1" x14ac:dyDescent="0.15">
      <c r="B95" s="92" t="s">
        <v>57</v>
      </c>
      <c r="C95" s="24" t="s">
        <v>65</v>
      </c>
      <c r="D95" s="95" t="s">
        <v>184</v>
      </c>
      <c r="E95" s="96"/>
      <c r="F95" s="96"/>
      <c r="G95" s="96"/>
      <c r="H95" s="96"/>
      <c r="I95" s="96"/>
      <c r="J95" s="96"/>
      <c r="K95" s="96"/>
      <c r="L95" s="96"/>
      <c r="M95" s="96"/>
      <c r="N95" s="96"/>
      <c r="O95" s="96"/>
      <c r="P95" s="96"/>
      <c r="Q95" s="96"/>
      <c r="R95" s="96"/>
      <c r="S95" s="96"/>
      <c r="T95" s="96"/>
      <c r="U95" s="97"/>
    </row>
    <row r="96" spans="1:27" ht="97.5" customHeight="1" x14ac:dyDescent="0.15">
      <c r="B96" s="94"/>
      <c r="C96" s="26" t="s">
        <v>66</v>
      </c>
      <c r="D96" s="101" t="s">
        <v>147</v>
      </c>
      <c r="E96" s="102"/>
      <c r="F96" s="102"/>
      <c r="G96" s="102"/>
      <c r="H96" s="102"/>
      <c r="I96" s="102"/>
      <c r="J96" s="102"/>
      <c r="K96" s="102"/>
      <c r="L96" s="102"/>
      <c r="M96" s="102"/>
      <c r="N96" s="102"/>
      <c r="O96" s="102"/>
      <c r="P96" s="102"/>
      <c r="Q96" s="102"/>
      <c r="R96" s="102"/>
      <c r="S96" s="102"/>
      <c r="T96" s="102"/>
      <c r="U96" s="103"/>
    </row>
    <row r="97" spans="1:21" ht="156.94999999999999" customHeight="1" x14ac:dyDescent="0.15">
      <c r="B97" s="92" t="s">
        <v>70</v>
      </c>
      <c r="C97" s="22" t="s">
        <v>52</v>
      </c>
      <c r="D97" s="95" t="s">
        <v>221</v>
      </c>
      <c r="E97" s="96"/>
      <c r="F97" s="96"/>
      <c r="G97" s="96"/>
      <c r="H97" s="96"/>
      <c r="I97" s="96"/>
      <c r="J97" s="96"/>
      <c r="K97" s="96"/>
      <c r="L97" s="96"/>
      <c r="M97" s="96"/>
      <c r="N97" s="96"/>
      <c r="O97" s="96"/>
      <c r="P97" s="96"/>
      <c r="Q97" s="96"/>
      <c r="R97" s="96"/>
      <c r="S97" s="96"/>
      <c r="T97" s="96"/>
      <c r="U97" s="97"/>
    </row>
    <row r="98" spans="1:21" ht="97.5" customHeight="1" x14ac:dyDescent="0.15">
      <c r="B98" s="94"/>
      <c r="C98" s="25" t="s">
        <v>54</v>
      </c>
      <c r="D98" s="101" t="s">
        <v>223</v>
      </c>
      <c r="E98" s="102"/>
      <c r="F98" s="102"/>
      <c r="G98" s="102"/>
      <c r="H98" s="102"/>
      <c r="I98" s="102"/>
      <c r="J98" s="102"/>
      <c r="K98" s="102"/>
      <c r="L98" s="102"/>
      <c r="M98" s="102"/>
      <c r="N98" s="102"/>
      <c r="O98" s="102"/>
      <c r="P98" s="102"/>
      <c r="Q98" s="102"/>
      <c r="R98" s="102"/>
      <c r="S98" s="102"/>
      <c r="T98" s="102"/>
      <c r="U98" s="103"/>
    </row>
    <row r="99" spans="1:21" ht="143.1" customHeight="1" x14ac:dyDescent="0.15">
      <c r="B99" s="92" t="s">
        <v>71</v>
      </c>
      <c r="C99" s="24" t="s">
        <v>51</v>
      </c>
      <c r="D99" s="95" t="s">
        <v>185</v>
      </c>
      <c r="E99" s="96"/>
      <c r="F99" s="96"/>
      <c r="G99" s="96"/>
      <c r="H99" s="96"/>
      <c r="I99" s="96"/>
      <c r="J99" s="96"/>
      <c r="K99" s="96"/>
      <c r="L99" s="96"/>
      <c r="M99" s="96"/>
      <c r="N99" s="96"/>
      <c r="O99" s="96"/>
      <c r="P99" s="96"/>
      <c r="Q99" s="96"/>
      <c r="R99" s="96"/>
      <c r="S99" s="96"/>
      <c r="T99" s="96"/>
      <c r="U99" s="97"/>
    </row>
    <row r="100" spans="1:21" ht="147.94999999999999" customHeight="1" x14ac:dyDescent="0.15">
      <c r="B100" s="93"/>
      <c r="C100" s="27" t="s">
        <v>67</v>
      </c>
      <c r="D100" s="98" t="s">
        <v>186</v>
      </c>
      <c r="E100" s="99"/>
      <c r="F100" s="99"/>
      <c r="G100" s="99"/>
      <c r="H100" s="99"/>
      <c r="I100" s="99"/>
      <c r="J100" s="99"/>
      <c r="K100" s="99"/>
      <c r="L100" s="99"/>
      <c r="M100" s="99"/>
      <c r="N100" s="99"/>
      <c r="O100" s="99"/>
      <c r="P100" s="99"/>
      <c r="Q100" s="99"/>
      <c r="R100" s="99"/>
      <c r="S100" s="99"/>
      <c r="T100" s="99"/>
      <c r="U100" s="100"/>
    </row>
    <row r="101" spans="1:21" ht="90" customHeight="1" x14ac:dyDescent="0.15">
      <c r="B101" s="94"/>
      <c r="C101" s="26" t="s">
        <v>68</v>
      </c>
      <c r="D101" s="101" t="s">
        <v>187</v>
      </c>
      <c r="E101" s="102"/>
      <c r="F101" s="102"/>
      <c r="G101" s="102"/>
      <c r="H101" s="102"/>
      <c r="I101" s="102"/>
      <c r="J101" s="102"/>
      <c r="K101" s="102"/>
      <c r="L101" s="102"/>
      <c r="M101" s="102"/>
      <c r="N101" s="102"/>
      <c r="O101" s="102"/>
      <c r="P101" s="102"/>
      <c r="Q101" s="102"/>
      <c r="R101" s="102"/>
      <c r="S101" s="102"/>
      <c r="T101" s="102"/>
      <c r="U101" s="103"/>
    </row>
    <row r="102" spans="1:21" ht="6" customHeight="1" x14ac:dyDescent="0.15"/>
    <row r="103" spans="1:21" ht="18.75" customHeight="1" x14ac:dyDescent="0.15">
      <c r="A103" s="8" t="s">
        <v>102</v>
      </c>
    </row>
    <row r="104" spans="1:21" ht="95.1" customHeight="1" x14ac:dyDescent="0.15">
      <c r="B104" s="104" t="s">
        <v>225</v>
      </c>
      <c r="C104" s="105"/>
      <c r="D104" s="105"/>
      <c r="E104" s="105"/>
      <c r="F104" s="105"/>
      <c r="G104" s="105"/>
      <c r="H104" s="105"/>
      <c r="I104" s="105"/>
      <c r="J104" s="105"/>
      <c r="K104" s="105"/>
      <c r="L104" s="105"/>
      <c r="M104" s="105"/>
      <c r="N104" s="105"/>
      <c r="O104" s="105"/>
      <c r="P104" s="105"/>
      <c r="Q104" s="105"/>
      <c r="R104" s="105"/>
      <c r="S104" s="105"/>
      <c r="T104" s="105"/>
      <c r="U104" s="106"/>
    </row>
    <row r="107" spans="1:21" ht="18" customHeight="1" x14ac:dyDescent="0.15"/>
  </sheetData>
  <mergeCells count="144">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R80:U80"/>
    <mergeCell ref="B81:F81"/>
    <mergeCell ref="G81:J81"/>
    <mergeCell ref="K81:Q81"/>
    <mergeCell ref="R81:U81"/>
    <mergeCell ref="B82:F82"/>
    <mergeCell ref="G82:J82"/>
    <mergeCell ref="K82:Q82"/>
    <mergeCell ref="R82:U82"/>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91:B92"/>
    <mergeCell ref="D91:U91"/>
    <mergeCell ref="D92:U92"/>
    <mergeCell ref="B93:B94"/>
    <mergeCell ref="D93:U93"/>
    <mergeCell ref="D94:U94"/>
    <mergeCell ref="B87:F87"/>
    <mergeCell ref="G87:J87"/>
    <mergeCell ref="K87:Q87"/>
    <mergeCell ref="R87:U87"/>
    <mergeCell ref="B90:C90"/>
    <mergeCell ref="D90:U90"/>
    <mergeCell ref="B99:B101"/>
    <mergeCell ref="D99:U99"/>
    <mergeCell ref="D100:U100"/>
    <mergeCell ref="D101:U101"/>
    <mergeCell ref="B104:U104"/>
    <mergeCell ref="B95:B96"/>
    <mergeCell ref="D95:U95"/>
    <mergeCell ref="D96:U96"/>
    <mergeCell ref="B97:B98"/>
    <mergeCell ref="D97:U97"/>
    <mergeCell ref="D98:U98"/>
  </mergeCells>
  <phoneticPr fontId="1"/>
  <conditionalFormatting sqref="B11:U12">
    <cfRule type="expression" dxfId="9" priority="1">
      <formula>$L$7="学部・学科によって、修了要件は相違しない"</formula>
    </cfRule>
    <cfRule type="expression" dxfId="8" priority="2">
      <formula>$L$9="学部・学科によって、修了要件は相違しない"</formula>
    </cfRule>
  </conditionalFormatting>
  <dataValidations count="6">
    <dataValidation type="list" allowBlank="1" showInputMessage="1" showErrorMessage="1" sqref="G81:J87 R81:U87" xr:uid="{00000000-0002-0000-0000-000000000000}">
      <formula1>$AA$80:$AA$89</formula1>
    </dataValidation>
    <dataValidation type="list" allowBlank="1" showInputMessage="1" showErrorMessage="1" sqref="N22:U22" xr:uid="{00000000-0002-0000-0000-000001000000}">
      <formula1>$X$16:$X$18</formula1>
    </dataValidation>
    <dataValidation type="list" allowBlank="1" showInputMessage="1" showErrorMessage="1" sqref="G88:J88 R88:U88" xr:uid="{00000000-0002-0000-0000-000002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00000000-0002-0000-0000-000003000000}">
      <formula1>"学部・学科によって、修了要件は相違する,学部・学科によって、修了要件は相違しない"</formula1>
    </dataValidation>
    <dataValidation type="list" allowBlank="1" showInputMessage="1" showErrorMessage="1" sqref="U34 U45 E34:H34 E45:H45" xr:uid="{00000000-0002-0000-0000-000004000000}">
      <formula1>"全学開講,一部開講"</formula1>
    </dataValidation>
    <dataValidation type="list" allowBlank="1" showInputMessage="1" showErrorMessage="1" sqref="H60:J66 S27:U33 H27:J33 S38:U44 H38:J44 S49:U55 H49:J55 S60:U66 R71:U77 G71:J77" xr:uid="{00000000-0002-0000-0000-000005000000}">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107"/>
  <sheetViews>
    <sheetView showZeros="0" view="pageBreakPreview" topLeftCell="A101" zoomScaleNormal="100" zoomScaleSheetLayoutView="100" workbookViewId="0">
      <selection activeCell="A101" sqref="A1:XFD1048576"/>
    </sheetView>
  </sheetViews>
  <sheetFormatPr defaultColWidth="9" defaultRowHeight="18.75" customHeight="1" x14ac:dyDescent="0.15"/>
  <cols>
    <col min="1" max="1" width="2.5" style="8" customWidth="1"/>
    <col min="2" max="2" width="16.5" style="8" customWidth="1"/>
    <col min="3" max="21" width="5.625" style="8" customWidth="1"/>
    <col min="22" max="22" width="9" style="8"/>
    <col min="23" max="23" width="3.625" style="8" customWidth="1"/>
    <col min="24" max="24" width="48.625" style="8" hidden="1" customWidth="1"/>
    <col min="25" max="26" width="9" style="8"/>
    <col min="27" max="27" width="9" style="8" hidden="1" customWidth="1"/>
    <col min="28" max="16384" width="9" style="8"/>
  </cols>
  <sheetData>
    <row r="1" spans="1:24" ht="18.600000000000001" customHeight="1" x14ac:dyDescent="0.15">
      <c r="T1" s="146" t="s">
        <v>161</v>
      </c>
      <c r="U1" s="146"/>
      <c r="V1" s="9" t="s">
        <v>93</v>
      </c>
    </row>
    <row r="2" spans="1:24" ht="18.75" customHeight="1" x14ac:dyDescent="0.15">
      <c r="B2" s="10" t="s">
        <v>92</v>
      </c>
      <c r="C2" s="115" t="s">
        <v>142</v>
      </c>
      <c r="D2" s="116"/>
      <c r="E2" s="116"/>
      <c r="F2" s="116"/>
      <c r="G2" s="116"/>
      <c r="H2" s="116"/>
      <c r="I2" s="116"/>
      <c r="J2" s="117"/>
      <c r="K2" s="83"/>
      <c r="L2" s="11"/>
      <c r="M2" s="11"/>
      <c r="N2" s="11"/>
      <c r="O2" s="11"/>
      <c r="P2" s="11"/>
      <c r="Q2" s="11"/>
      <c r="R2" s="11"/>
      <c r="S2" s="11"/>
      <c r="T2" s="11"/>
      <c r="U2" s="11"/>
    </row>
    <row r="3" spans="1:24" ht="18.75" customHeight="1" x14ac:dyDescent="0.15">
      <c r="B3" s="10" t="s">
        <v>87</v>
      </c>
      <c r="C3" s="115" t="s">
        <v>143</v>
      </c>
      <c r="D3" s="116"/>
      <c r="E3" s="116"/>
      <c r="F3" s="116"/>
      <c r="G3" s="116"/>
      <c r="H3" s="116"/>
      <c r="I3" s="116"/>
      <c r="J3" s="117"/>
      <c r="K3" s="83"/>
      <c r="L3" s="11"/>
      <c r="M3" s="11"/>
      <c r="N3" s="11"/>
      <c r="O3" s="11"/>
      <c r="P3" s="11"/>
      <c r="Q3" s="11"/>
      <c r="R3" s="11"/>
      <c r="S3" s="11"/>
      <c r="T3" s="11"/>
      <c r="U3" s="11"/>
    </row>
    <row r="4" spans="1:24" ht="15" customHeight="1" x14ac:dyDescent="0.15">
      <c r="L4" s="83"/>
      <c r="M4" s="12"/>
      <c r="N4" s="12"/>
      <c r="O4" s="12"/>
      <c r="P4" s="12"/>
      <c r="Q4" s="12"/>
      <c r="R4" s="12"/>
      <c r="S4" s="12"/>
      <c r="T4" s="12"/>
      <c r="U4" s="12"/>
    </row>
    <row r="5" spans="1:24" ht="18" customHeight="1" x14ac:dyDescent="0.15">
      <c r="A5" s="147" t="s">
        <v>140</v>
      </c>
      <c r="B5" s="147"/>
      <c r="C5" s="147"/>
      <c r="D5" s="147"/>
      <c r="E5" s="147"/>
      <c r="F5" s="147"/>
      <c r="G5" s="147"/>
      <c r="H5" s="147"/>
      <c r="I5" s="147"/>
      <c r="J5" s="147"/>
      <c r="K5" s="147"/>
      <c r="L5" s="147"/>
      <c r="M5" s="147"/>
      <c r="N5" s="147"/>
      <c r="O5" s="147"/>
      <c r="P5" s="147"/>
      <c r="Q5" s="147"/>
      <c r="R5" s="147"/>
      <c r="S5" s="147"/>
      <c r="T5" s="147"/>
      <c r="U5" s="147"/>
    </row>
    <row r="6" spans="1:24" ht="15" customHeight="1" x14ac:dyDescent="0.15">
      <c r="B6" s="6"/>
      <c r="C6" s="6"/>
      <c r="D6" s="6"/>
      <c r="E6" s="6"/>
      <c r="F6" s="6"/>
      <c r="G6" s="6"/>
      <c r="H6" s="6"/>
      <c r="I6" s="6"/>
      <c r="J6" s="6"/>
      <c r="K6" s="6"/>
      <c r="L6" s="6"/>
      <c r="M6" s="6"/>
      <c r="N6" s="6"/>
      <c r="O6" s="6"/>
      <c r="P6" s="6"/>
      <c r="Q6" s="6"/>
      <c r="R6" s="6"/>
      <c r="S6" s="6"/>
      <c r="T6" s="6"/>
      <c r="U6" s="6"/>
    </row>
    <row r="7" spans="1:24" ht="15" customHeight="1" x14ac:dyDescent="0.15">
      <c r="A7" s="8" t="s">
        <v>116</v>
      </c>
      <c r="B7" s="6"/>
      <c r="C7" s="6"/>
      <c r="D7" s="6"/>
      <c r="E7" s="6"/>
      <c r="F7" s="9"/>
      <c r="G7" s="9"/>
      <c r="H7" s="9"/>
      <c r="I7" s="9"/>
      <c r="J7" s="9"/>
      <c r="K7" s="9"/>
      <c r="L7" s="148" t="s">
        <v>115</v>
      </c>
      <c r="M7" s="149"/>
      <c r="N7" s="149"/>
      <c r="O7" s="149"/>
      <c r="P7" s="149"/>
      <c r="Q7" s="149"/>
      <c r="R7" s="149"/>
      <c r="S7" s="149"/>
      <c r="T7" s="149"/>
      <c r="U7" s="150"/>
    </row>
    <row r="8" spans="1:24" ht="6" customHeight="1" x14ac:dyDescent="0.15">
      <c r="B8" s="6"/>
      <c r="C8" s="6"/>
      <c r="D8" s="6"/>
      <c r="E8" s="6"/>
      <c r="F8" s="6"/>
      <c r="G8" s="6"/>
      <c r="H8" s="6"/>
      <c r="I8" s="6"/>
      <c r="J8" s="6"/>
      <c r="K8" s="6"/>
      <c r="L8" s="6"/>
      <c r="M8" s="6"/>
      <c r="N8" s="6"/>
      <c r="O8" s="6"/>
      <c r="P8" s="6"/>
      <c r="Q8" s="6"/>
      <c r="R8" s="6"/>
      <c r="S8" s="6"/>
      <c r="T8" s="6"/>
      <c r="U8" s="6"/>
    </row>
    <row r="9" spans="1:24" ht="18" customHeight="1" x14ac:dyDescent="0.15">
      <c r="A9" s="8" t="s">
        <v>117</v>
      </c>
      <c r="C9" s="6"/>
      <c r="D9" s="6"/>
      <c r="K9" s="83"/>
      <c r="L9" s="9"/>
      <c r="M9" s="9"/>
      <c r="N9" s="9"/>
      <c r="O9" s="9"/>
      <c r="P9" s="9"/>
      <c r="Q9" s="9"/>
      <c r="R9" s="9"/>
      <c r="S9" s="9"/>
      <c r="T9" s="9"/>
      <c r="U9" s="9"/>
    </row>
    <row r="10" spans="1:24" ht="6" customHeight="1" x14ac:dyDescent="0.15">
      <c r="B10" s="6"/>
      <c r="C10" s="6"/>
      <c r="D10" s="6"/>
      <c r="E10" s="6"/>
      <c r="F10" s="6"/>
      <c r="G10" s="6"/>
      <c r="H10" s="6"/>
      <c r="I10" s="6"/>
      <c r="J10" s="6"/>
      <c r="K10" s="6"/>
      <c r="L10" s="5"/>
      <c r="M10" s="6"/>
      <c r="N10" s="6"/>
      <c r="O10" s="6"/>
      <c r="P10" s="6"/>
      <c r="Q10" s="6"/>
      <c r="R10" s="6"/>
      <c r="S10" s="6"/>
      <c r="T10" s="6"/>
      <c r="U10" s="6"/>
    </row>
    <row r="11" spans="1:24" ht="18" customHeight="1" x14ac:dyDescent="0.15">
      <c r="B11" s="151" t="s">
        <v>162</v>
      </c>
      <c r="C11" s="152"/>
      <c r="D11" s="152"/>
      <c r="E11" s="152"/>
      <c r="F11" s="152"/>
      <c r="G11" s="152"/>
      <c r="H11" s="152"/>
      <c r="I11" s="152"/>
      <c r="J11" s="152"/>
      <c r="K11" s="152"/>
      <c r="L11" s="152"/>
      <c r="M11" s="152"/>
      <c r="N11" s="152"/>
      <c r="O11" s="152"/>
      <c r="P11" s="152"/>
      <c r="Q11" s="152"/>
      <c r="R11" s="152"/>
      <c r="S11" s="152"/>
      <c r="T11" s="152"/>
      <c r="U11" s="153"/>
    </row>
    <row r="12" spans="1:24" ht="18" customHeight="1" x14ac:dyDescent="0.15">
      <c r="B12" s="154"/>
      <c r="C12" s="155"/>
      <c r="D12" s="155"/>
      <c r="E12" s="155"/>
      <c r="F12" s="155"/>
      <c r="G12" s="155"/>
      <c r="H12" s="155"/>
      <c r="I12" s="155"/>
      <c r="J12" s="155"/>
      <c r="K12" s="155"/>
      <c r="L12" s="155"/>
      <c r="M12" s="155"/>
      <c r="N12" s="155"/>
      <c r="O12" s="155"/>
      <c r="P12" s="155"/>
      <c r="Q12" s="155"/>
      <c r="R12" s="155"/>
      <c r="S12" s="155"/>
      <c r="T12" s="155"/>
      <c r="U12" s="156"/>
    </row>
    <row r="13" spans="1:24" ht="6" customHeight="1" x14ac:dyDescent="0.15">
      <c r="B13" s="6"/>
      <c r="C13" s="6"/>
      <c r="D13" s="6"/>
      <c r="E13" s="6"/>
      <c r="F13" s="6"/>
      <c r="G13" s="6"/>
      <c r="H13" s="6"/>
      <c r="I13" s="6"/>
      <c r="J13" s="6"/>
      <c r="K13" s="6"/>
      <c r="L13" s="5"/>
      <c r="M13" s="6"/>
      <c r="N13" s="6"/>
      <c r="O13" s="6"/>
      <c r="P13" s="6"/>
      <c r="Q13" s="6"/>
      <c r="R13" s="6"/>
      <c r="S13" s="6"/>
      <c r="T13" s="6"/>
      <c r="U13" s="6"/>
    </row>
    <row r="14" spans="1:24" ht="18" customHeight="1" x14ac:dyDescent="0.15">
      <c r="A14" s="8" t="s">
        <v>94</v>
      </c>
      <c r="B14" s="6"/>
      <c r="C14" s="6"/>
      <c r="D14" s="6"/>
      <c r="E14" s="83"/>
      <c r="F14" s="83"/>
      <c r="G14" s="83"/>
      <c r="H14" s="83"/>
      <c r="I14" s="83"/>
      <c r="J14" s="83"/>
      <c r="K14" s="83"/>
      <c r="L14" s="13"/>
      <c r="M14" s="13"/>
      <c r="N14" s="13"/>
      <c r="O14" s="13"/>
      <c r="P14" s="13"/>
      <c r="Q14" s="13"/>
      <c r="R14" s="13"/>
      <c r="S14" s="13"/>
      <c r="T14" s="13"/>
      <c r="U14" s="13"/>
    </row>
    <row r="15" spans="1:24" ht="18" customHeight="1" x14ac:dyDescent="0.15">
      <c r="B15" s="134" t="s">
        <v>188</v>
      </c>
      <c r="C15" s="135"/>
      <c r="D15" s="135"/>
      <c r="E15" s="135"/>
      <c r="F15" s="135"/>
      <c r="G15" s="135"/>
      <c r="H15" s="135"/>
      <c r="I15" s="135"/>
      <c r="J15" s="135"/>
      <c r="K15" s="135"/>
      <c r="L15" s="135"/>
      <c r="M15" s="135"/>
      <c r="N15" s="135"/>
      <c r="O15" s="135"/>
      <c r="P15" s="135"/>
      <c r="Q15" s="135"/>
      <c r="R15" s="135"/>
      <c r="S15" s="135"/>
      <c r="T15" s="135"/>
      <c r="U15" s="136"/>
      <c r="X15" s="8" t="s">
        <v>88</v>
      </c>
    </row>
    <row r="16" spans="1:24" ht="18" customHeight="1" x14ac:dyDescent="0.15">
      <c r="B16" s="137"/>
      <c r="C16" s="138"/>
      <c r="D16" s="138"/>
      <c r="E16" s="138"/>
      <c r="F16" s="138"/>
      <c r="G16" s="138"/>
      <c r="H16" s="138"/>
      <c r="I16" s="138"/>
      <c r="J16" s="138"/>
      <c r="K16" s="138"/>
      <c r="L16" s="138"/>
      <c r="M16" s="138"/>
      <c r="N16" s="138"/>
      <c r="O16" s="138"/>
      <c r="P16" s="138"/>
      <c r="Q16" s="138"/>
      <c r="R16" s="138"/>
      <c r="S16" s="138"/>
      <c r="T16" s="138"/>
      <c r="U16" s="139"/>
      <c r="X16" s="8" t="s">
        <v>121</v>
      </c>
    </row>
    <row r="17" spans="1:24" ht="18" customHeight="1" x14ac:dyDescent="0.15">
      <c r="B17" s="137"/>
      <c r="C17" s="138"/>
      <c r="D17" s="138"/>
      <c r="E17" s="138"/>
      <c r="F17" s="138"/>
      <c r="G17" s="138"/>
      <c r="H17" s="138"/>
      <c r="I17" s="138"/>
      <c r="J17" s="138"/>
      <c r="K17" s="138"/>
      <c r="L17" s="138"/>
      <c r="M17" s="138"/>
      <c r="N17" s="138"/>
      <c r="O17" s="138"/>
      <c r="P17" s="138"/>
      <c r="Q17" s="138"/>
      <c r="R17" s="138"/>
      <c r="S17" s="138"/>
      <c r="T17" s="138"/>
      <c r="U17" s="139"/>
      <c r="X17" s="8" t="s">
        <v>122</v>
      </c>
    </row>
    <row r="18" spans="1:24" ht="18" customHeight="1" x14ac:dyDescent="0.15">
      <c r="B18" s="137"/>
      <c r="C18" s="138"/>
      <c r="D18" s="138"/>
      <c r="E18" s="138"/>
      <c r="F18" s="138"/>
      <c r="G18" s="138"/>
      <c r="H18" s="138"/>
      <c r="I18" s="138"/>
      <c r="J18" s="138"/>
      <c r="K18" s="138"/>
      <c r="L18" s="138"/>
      <c r="M18" s="138"/>
      <c r="N18" s="138"/>
      <c r="O18" s="138"/>
      <c r="P18" s="138"/>
      <c r="Q18" s="138"/>
      <c r="R18" s="138"/>
      <c r="S18" s="138"/>
      <c r="T18" s="138"/>
      <c r="U18" s="139"/>
      <c r="X18" s="8" t="s">
        <v>123</v>
      </c>
    </row>
    <row r="19" spans="1:24" ht="18" customHeight="1" x14ac:dyDescent="0.15">
      <c r="B19" s="137"/>
      <c r="C19" s="138"/>
      <c r="D19" s="138"/>
      <c r="E19" s="138"/>
      <c r="F19" s="138"/>
      <c r="G19" s="138"/>
      <c r="H19" s="138"/>
      <c r="I19" s="138"/>
      <c r="J19" s="138"/>
      <c r="K19" s="138"/>
      <c r="L19" s="138"/>
      <c r="M19" s="138"/>
      <c r="N19" s="138"/>
      <c r="O19" s="138"/>
      <c r="P19" s="138"/>
      <c r="Q19" s="138"/>
      <c r="R19" s="138"/>
      <c r="S19" s="138"/>
      <c r="T19" s="138"/>
      <c r="U19" s="139"/>
    </row>
    <row r="20" spans="1:24" ht="107.1" customHeight="1" x14ac:dyDescent="0.15">
      <c r="B20" s="140"/>
      <c r="C20" s="141"/>
      <c r="D20" s="141"/>
      <c r="E20" s="141"/>
      <c r="F20" s="141"/>
      <c r="G20" s="141"/>
      <c r="H20" s="141"/>
      <c r="I20" s="141"/>
      <c r="J20" s="141"/>
      <c r="K20" s="141"/>
      <c r="L20" s="141"/>
      <c r="M20" s="141"/>
      <c r="N20" s="141"/>
      <c r="O20" s="141"/>
      <c r="P20" s="141"/>
      <c r="Q20" s="141"/>
      <c r="R20" s="141"/>
      <c r="S20" s="141"/>
      <c r="T20" s="141"/>
      <c r="U20" s="142"/>
    </row>
    <row r="21" spans="1:24" ht="7.5" customHeight="1" x14ac:dyDescent="0.15">
      <c r="B21" s="6"/>
      <c r="C21" s="6"/>
      <c r="D21" s="6"/>
      <c r="E21" s="6"/>
      <c r="F21" s="6"/>
      <c r="G21" s="6"/>
      <c r="H21" s="6"/>
      <c r="I21" s="6"/>
      <c r="J21" s="6"/>
      <c r="K21" s="6"/>
      <c r="L21" s="6"/>
      <c r="M21" s="6"/>
      <c r="N21" s="6"/>
      <c r="O21" s="6"/>
      <c r="P21" s="6"/>
      <c r="Q21" s="6"/>
      <c r="R21" s="6"/>
      <c r="S21" s="6"/>
      <c r="T21" s="6"/>
      <c r="U21" s="6"/>
    </row>
    <row r="22" spans="1:24" ht="20.100000000000001" customHeight="1" x14ac:dyDescent="0.15">
      <c r="B22" s="8" t="s">
        <v>118</v>
      </c>
      <c r="E22" s="10">
        <v>2</v>
      </c>
      <c r="F22" s="8" t="s">
        <v>105</v>
      </c>
      <c r="H22" s="10">
        <v>2</v>
      </c>
      <c r="I22" s="6" t="s">
        <v>106</v>
      </c>
      <c r="J22" s="6"/>
      <c r="K22" s="83"/>
      <c r="M22" s="83" t="s">
        <v>103</v>
      </c>
      <c r="N22" s="143" t="s">
        <v>121</v>
      </c>
      <c r="O22" s="144"/>
      <c r="P22" s="144"/>
      <c r="Q22" s="144"/>
      <c r="R22" s="144"/>
      <c r="S22" s="144"/>
      <c r="T22" s="144"/>
      <c r="U22" s="145"/>
    </row>
    <row r="23" spans="1:24" ht="7.5" customHeight="1" x14ac:dyDescent="0.15">
      <c r="B23" s="6"/>
      <c r="C23" s="6"/>
      <c r="D23" s="6"/>
      <c r="E23" s="6"/>
      <c r="F23" s="6"/>
      <c r="G23" s="6"/>
      <c r="H23" s="6"/>
      <c r="I23" s="6"/>
      <c r="J23" s="6"/>
      <c r="K23" s="6"/>
      <c r="L23" s="6"/>
      <c r="M23" s="6"/>
      <c r="N23" s="6"/>
      <c r="O23" s="6"/>
      <c r="P23" s="6"/>
      <c r="Q23" s="6"/>
      <c r="R23" s="6"/>
      <c r="S23" s="6"/>
      <c r="T23" s="6"/>
      <c r="U23" s="6"/>
    </row>
    <row r="24" spans="1:24" ht="18" customHeight="1" x14ac:dyDescent="0.15">
      <c r="A24" s="133" t="s">
        <v>95</v>
      </c>
      <c r="B24" s="133"/>
      <c r="C24" s="133"/>
      <c r="D24" s="133"/>
      <c r="E24" s="133"/>
      <c r="F24" s="133"/>
      <c r="G24" s="133"/>
      <c r="H24" s="133"/>
      <c r="I24" s="133"/>
      <c r="J24" s="133"/>
      <c r="K24" s="133"/>
      <c r="L24" s="133"/>
      <c r="M24" s="133"/>
      <c r="N24" s="133"/>
      <c r="O24" s="133"/>
      <c r="P24" s="133"/>
      <c r="Q24" s="133"/>
      <c r="R24" s="133"/>
      <c r="S24" s="133"/>
      <c r="T24" s="133"/>
      <c r="U24" s="133"/>
    </row>
    <row r="25" spans="1:24" ht="18" customHeight="1" x14ac:dyDescent="0.15">
      <c r="A25" s="133"/>
      <c r="B25" s="133"/>
      <c r="C25" s="133"/>
      <c r="D25" s="133"/>
      <c r="E25" s="133"/>
      <c r="F25" s="133"/>
      <c r="G25" s="133"/>
      <c r="H25" s="133"/>
      <c r="I25" s="133"/>
      <c r="J25" s="133"/>
      <c r="K25" s="133"/>
      <c r="L25" s="133"/>
      <c r="M25" s="133"/>
      <c r="N25" s="133"/>
      <c r="O25" s="133"/>
      <c r="P25" s="133"/>
      <c r="Q25" s="133"/>
      <c r="R25" s="133"/>
      <c r="S25" s="133"/>
      <c r="T25" s="133"/>
      <c r="U25" s="133"/>
    </row>
    <row r="26" spans="1:24" ht="18" customHeight="1" x14ac:dyDescent="0.15">
      <c r="B26" s="115" t="s">
        <v>47</v>
      </c>
      <c r="C26" s="116"/>
      <c r="D26" s="116"/>
      <c r="E26" s="116"/>
      <c r="F26" s="117"/>
      <c r="G26" s="14" t="s">
        <v>72</v>
      </c>
      <c r="H26" s="15" t="s">
        <v>75</v>
      </c>
      <c r="I26" s="16" t="s">
        <v>50</v>
      </c>
      <c r="J26" s="16" t="s">
        <v>53</v>
      </c>
      <c r="K26" s="115" t="s">
        <v>47</v>
      </c>
      <c r="L26" s="116"/>
      <c r="M26" s="116"/>
      <c r="N26" s="116"/>
      <c r="O26" s="116"/>
      <c r="P26" s="116"/>
      <c r="Q26" s="117"/>
      <c r="R26" s="14" t="s">
        <v>72</v>
      </c>
      <c r="S26" s="15" t="s">
        <v>75</v>
      </c>
      <c r="T26" s="16" t="s">
        <v>50</v>
      </c>
      <c r="U26" s="16" t="s">
        <v>53</v>
      </c>
    </row>
    <row r="27" spans="1:24" ht="18" customHeight="1" x14ac:dyDescent="0.15">
      <c r="B27" s="124" t="s">
        <v>144</v>
      </c>
      <c r="C27" s="125"/>
      <c r="D27" s="125"/>
      <c r="E27" s="125"/>
      <c r="F27" s="126"/>
      <c r="G27" s="17">
        <v>1</v>
      </c>
      <c r="H27" s="17" t="s">
        <v>145</v>
      </c>
      <c r="I27" s="17" t="s">
        <v>145</v>
      </c>
      <c r="J27" s="17" t="s">
        <v>145</v>
      </c>
      <c r="K27" s="124"/>
      <c r="L27" s="125"/>
      <c r="M27" s="125"/>
      <c r="N27" s="125"/>
      <c r="O27" s="125"/>
      <c r="P27" s="125"/>
      <c r="Q27" s="126"/>
      <c r="R27" s="17"/>
      <c r="S27" s="17"/>
      <c r="T27" s="17"/>
      <c r="U27" s="17"/>
    </row>
    <row r="28" spans="1:24" ht="18" customHeight="1" x14ac:dyDescent="0.15">
      <c r="B28" s="118" t="s">
        <v>169</v>
      </c>
      <c r="C28" s="119"/>
      <c r="D28" s="119"/>
      <c r="E28" s="119"/>
      <c r="F28" s="120"/>
      <c r="G28" s="18">
        <v>1</v>
      </c>
      <c r="H28" s="18"/>
      <c r="I28" s="18"/>
      <c r="J28" s="18" t="s">
        <v>145</v>
      </c>
      <c r="K28" s="118"/>
      <c r="L28" s="119"/>
      <c r="M28" s="119"/>
      <c r="N28" s="119"/>
      <c r="O28" s="119"/>
      <c r="P28" s="119"/>
      <c r="Q28" s="120"/>
      <c r="R28" s="18"/>
      <c r="S28" s="18"/>
      <c r="T28" s="18"/>
      <c r="U28" s="18"/>
    </row>
    <row r="29" spans="1:24" ht="18" customHeight="1" x14ac:dyDescent="0.15">
      <c r="B29" s="118" t="s">
        <v>170</v>
      </c>
      <c r="C29" s="119"/>
      <c r="D29" s="119"/>
      <c r="E29" s="119"/>
      <c r="F29" s="120"/>
      <c r="G29" s="18">
        <v>2</v>
      </c>
      <c r="H29" s="18"/>
      <c r="I29" s="18"/>
      <c r="J29" s="18" t="s">
        <v>145</v>
      </c>
      <c r="K29" s="118"/>
      <c r="L29" s="119"/>
      <c r="M29" s="119"/>
      <c r="N29" s="119"/>
      <c r="O29" s="119"/>
      <c r="P29" s="119"/>
      <c r="Q29" s="120"/>
      <c r="R29" s="18"/>
      <c r="S29" s="18"/>
      <c r="T29" s="18"/>
      <c r="U29" s="18"/>
    </row>
    <row r="30" spans="1:24" ht="18" customHeight="1" x14ac:dyDescent="0.15">
      <c r="B30" s="118" t="s">
        <v>171</v>
      </c>
      <c r="C30" s="119"/>
      <c r="D30" s="119"/>
      <c r="E30" s="119"/>
      <c r="F30" s="120"/>
      <c r="G30" s="18">
        <v>2</v>
      </c>
      <c r="H30" s="18"/>
      <c r="I30" s="18"/>
      <c r="J30" s="18" t="s">
        <v>145</v>
      </c>
      <c r="K30" s="118"/>
      <c r="L30" s="119"/>
      <c r="M30" s="119"/>
      <c r="N30" s="119"/>
      <c r="O30" s="119"/>
      <c r="P30" s="119"/>
      <c r="Q30" s="120"/>
      <c r="R30" s="18"/>
      <c r="S30" s="18"/>
      <c r="T30" s="18"/>
      <c r="U30" s="18"/>
    </row>
    <row r="31" spans="1:24" ht="18" customHeight="1" x14ac:dyDescent="0.15">
      <c r="B31" s="118"/>
      <c r="C31" s="119"/>
      <c r="D31" s="119"/>
      <c r="E31" s="119"/>
      <c r="F31" s="120"/>
      <c r="G31" s="18"/>
      <c r="H31" s="18"/>
      <c r="I31" s="18"/>
      <c r="J31" s="18"/>
      <c r="K31" s="118"/>
      <c r="L31" s="119"/>
      <c r="M31" s="119"/>
      <c r="N31" s="119"/>
      <c r="O31" s="119"/>
      <c r="P31" s="119"/>
      <c r="Q31" s="120"/>
      <c r="R31" s="18"/>
      <c r="S31" s="18"/>
      <c r="T31" s="18"/>
      <c r="U31" s="18"/>
    </row>
    <row r="32" spans="1:24" ht="18" customHeight="1" x14ac:dyDescent="0.15">
      <c r="A32" s="6"/>
      <c r="B32" s="118"/>
      <c r="C32" s="119"/>
      <c r="D32" s="119"/>
      <c r="E32" s="119"/>
      <c r="F32" s="120"/>
      <c r="G32" s="18"/>
      <c r="H32" s="18"/>
      <c r="I32" s="18"/>
      <c r="J32" s="18"/>
      <c r="K32" s="118"/>
      <c r="L32" s="119"/>
      <c r="M32" s="119"/>
      <c r="N32" s="119"/>
      <c r="O32" s="119"/>
      <c r="P32" s="119"/>
      <c r="Q32" s="120"/>
      <c r="R32" s="18"/>
      <c r="S32" s="18"/>
      <c r="T32" s="18"/>
      <c r="U32" s="18"/>
    </row>
    <row r="33" spans="1:21" ht="18" customHeight="1" x14ac:dyDescent="0.15">
      <c r="A33" s="6"/>
      <c r="B33" s="107"/>
      <c r="C33" s="108"/>
      <c r="D33" s="108"/>
      <c r="E33" s="108"/>
      <c r="F33" s="109"/>
      <c r="G33" s="19"/>
      <c r="H33" s="19"/>
      <c r="I33" s="20"/>
      <c r="J33" s="20"/>
      <c r="K33" s="107"/>
      <c r="L33" s="108"/>
      <c r="M33" s="108"/>
      <c r="N33" s="108"/>
      <c r="O33" s="108"/>
      <c r="P33" s="108"/>
      <c r="Q33" s="109"/>
      <c r="R33" s="19"/>
      <c r="S33" s="19"/>
      <c r="T33" s="20"/>
      <c r="U33" s="20"/>
    </row>
    <row r="34" spans="1:21" ht="7.5" customHeight="1" x14ac:dyDescent="0.15">
      <c r="A34" s="6"/>
      <c r="B34" s="11"/>
      <c r="C34" s="11"/>
      <c r="D34" s="11"/>
      <c r="E34" s="6"/>
      <c r="F34" s="6"/>
      <c r="G34" s="6"/>
      <c r="H34" s="6"/>
      <c r="I34" s="11"/>
      <c r="J34" s="11"/>
      <c r="K34" s="11"/>
      <c r="L34" s="11"/>
      <c r="M34" s="11"/>
      <c r="N34" s="11"/>
      <c r="O34" s="11"/>
      <c r="P34" s="11"/>
      <c r="Q34" s="11"/>
      <c r="R34" s="11"/>
      <c r="S34" s="11"/>
      <c r="T34" s="11"/>
      <c r="U34" s="6"/>
    </row>
    <row r="35" spans="1:21" ht="18" customHeight="1" x14ac:dyDescent="0.15">
      <c r="A35" s="133" t="s">
        <v>96</v>
      </c>
      <c r="B35" s="133"/>
      <c r="C35" s="133"/>
      <c r="D35" s="133"/>
      <c r="E35" s="133"/>
      <c r="F35" s="133"/>
      <c r="G35" s="133"/>
      <c r="H35" s="133"/>
      <c r="I35" s="133"/>
      <c r="J35" s="133"/>
      <c r="K35" s="133"/>
      <c r="L35" s="133"/>
      <c r="M35" s="133"/>
      <c r="N35" s="133"/>
      <c r="O35" s="133"/>
      <c r="P35" s="133"/>
      <c r="Q35" s="133"/>
      <c r="R35" s="133"/>
      <c r="S35" s="133"/>
      <c r="T35" s="133"/>
      <c r="U35" s="133"/>
    </row>
    <row r="36" spans="1:21" ht="18" customHeight="1" x14ac:dyDescent="0.15">
      <c r="A36" s="133"/>
      <c r="B36" s="133"/>
      <c r="C36" s="133"/>
      <c r="D36" s="133"/>
      <c r="E36" s="133"/>
      <c r="F36" s="133"/>
      <c r="G36" s="133"/>
      <c r="H36" s="133"/>
      <c r="I36" s="133"/>
      <c r="J36" s="133"/>
      <c r="K36" s="133"/>
      <c r="L36" s="133"/>
      <c r="M36" s="133"/>
      <c r="N36" s="133"/>
      <c r="O36" s="133"/>
      <c r="P36" s="133"/>
      <c r="Q36" s="133"/>
      <c r="R36" s="133"/>
      <c r="S36" s="133"/>
      <c r="T36" s="133"/>
      <c r="U36" s="133"/>
    </row>
    <row r="37" spans="1:21" ht="18" customHeight="1" x14ac:dyDescent="0.15">
      <c r="B37" s="115" t="s">
        <v>47</v>
      </c>
      <c r="C37" s="116"/>
      <c r="D37" s="116"/>
      <c r="E37" s="116"/>
      <c r="F37" s="117"/>
      <c r="G37" s="14" t="s">
        <v>72</v>
      </c>
      <c r="H37" s="15" t="s">
        <v>75</v>
      </c>
      <c r="I37" s="16" t="s">
        <v>63</v>
      </c>
      <c r="J37" s="16" t="s">
        <v>64</v>
      </c>
      <c r="K37" s="115" t="s">
        <v>47</v>
      </c>
      <c r="L37" s="116"/>
      <c r="M37" s="116"/>
      <c r="N37" s="116"/>
      <c r="O37" s="116"/>
      <c r="P37" s="116"/>
      <c r="Q37" s="117"/>
      <c r="R37" s="14" t="s">
        <v>72</v>
      </c>
      <c r="S37" s="15" t="s">
        <v>75</v>
      </c>
      <c r="T37" s="16" t="s">
        <v>63</v>
      </c>
      <c r="U37" s="16" t="s">
        <v>64</v>
      </c>
    </row>
    <row r="38" spans="1:21" ht="18" customHeight="1" x14ac:dyDescent="0.15">
      <c r="B38" s="124" t="s">
        <v>144</v>
      </c>
      <c r="C38" s="125"/>
      <c r="D38" s="125"/>
      <c r="E38" s="125"/>
      <c r="F38" s="126"/>
      <c r="G38" s="17">
        <v>1</v>
      </c>
      <c r="H38" s="17" t="s">
        <v>145</v>
      </c>
      <c r="I38" s="17" t="s">
        <v>145</v>
      </c>
      <c r="J38" s="17" t="s">
        <v>145</v>
      </c>
      <c r="K38" s="124"/>
      <c r="L38" s="125"/>
      <c r="M38" s="125"/>
      <c r="N38" s="125"/>
      <c r="O38" s="125"/>
      <c r="P38" s="125"/>
      <c r="Q38" s="126"/>
      <c r="R38" s="17"/>
      <c r="S38" s="17"/>
      <c r="T38" s="17"/>
      <c r="U38" s="17"/>
    </row>
    <row r="39" spans="1:21" ht="18" customHeight="1" x14ac:dyDescent="0.15">
      <c r="B39" s="118" t="s">
        <v>169</v>
      </c>
      <c r="C39" s="119"/>
      <c r="D39" s="119"/>
      <c r="E39" s="119"/>
      <c r="F39" s="120"/>
      <c r="G39" s="18">
        <v>1</v>
      </c>
      <c r="H39" s="18"/>
      <c r="I39" s="18"/>
      <c r="J39" s="18" t="s">
        <v>145</v>
      </c>
      <c r="K39" s="118"/>
      <c r="L39" s="119"/>
      <c r="M39" s="119"/>
      <c r="N39" s="119"/>
      <c r="O39" s="119"/>
      <c r="P39" s="119"/>
      <c r="Q39" s="120"/>
      <c r="R39" s="18"/>
      <c r="S39" s="18"/>
      <c r="T39" s="18"/>
      <c r="U39" s="18"/>
    </row>
    <row r="40" spans="1:21" ht="18" customHeight="1" x14ac:dyDescent="0.15">
      <c r="B40" s="118" t="s">
        <v>170</v>
      </c>
      <c r="C40" s="119"/>
      <c r="D40" s="119"/>
      <c r="E40" s="119"/>
      <c r="F40" s="120"/>
      <c r="G40" s="18">
        <v>2</v>
      </c>
      <c r="H40" s="18"/>
      <c r="I40" s="18"/>
      <c r="J40" s="18" t="s">
        <v>145</v>
      </c>
      <c r="K40" s="118"/>
      <c r="L40" s="119"/>
      <c r="M40" s="119"/>
      <c r="N40" s="119"/>
      <c r="O40" s="119"/>
      <c r="P40" s="119"/>
      <c r="Q40" s="120"/>
      <c r="R40" s="18"/>
      <c r="S40" s="18"/>
      <c r="T40" s="18"/>
      <c r="U40" s="18"/>
    </row>
    <row r="41" spans="1:21" ht="18" customHeight="1" x14ac:dyDescent="0.15">
      <c r="B41" s="118" t="s">
        <v>171</v>
      </c>
      <c r="C41" s="119"/>
      <c r="D41" s="119"/>
      <c r="E41" s="119"/>
      <c r="F41" s="120"/>
      <c r="G41" s="18">
        <v>2</v>
      </c>
      <c r="H41" s="18"/>
      <c r="I41" s="18"/>
      <c r="J41" s="18" t="s">
        <v>145</v>
      </c>
      <c r="K41" s="118"/>
      <c r="L41" s="119"/>
      <c r="M41" s="119"/>
      <c r="N41" s="119"/>
      <c r="O41" s="119"/>
      <c r="P41" s="119"/>
      <c r="Q41" s="120"/>
      <c r="R41" s="18"/>
      <c r="S41" s="18"/>
      <c r="T41" s="18"/>
      <c r="U41" s="18"/>
    </row>
    <row r="42" spans="1:21" ht="18" customHeight="1" x14ac:dyDescent="0.15">
      <c r="B42" s="118"/>
      <c r="C42" s="119"/>
      <c r="D42" s="119"/>
      <c r="E42" s="119"/>
      <c r="F42" s="120"/>
      <c r="G42" s="18"/>
      <c r="H42" s="18"/>
      <c r="I42" s="18"/>
      <c r="J42" s="18"/>
      <c r="K42" s="118"/>
      <c r="L42" s="119"/>
      <c r="M42" s="119"/>
      <c r="N42" s="119"/>
      <c r="O42" s="119"/>
      <c r="P42" s="119"/>
      <c r="Q42" s="120"/>
      <c r="R42" s="18"/>
      <c r="S42" s="18"/>
      <c r="T42" s="18"/>
      <c r="U42" s="18"/>
    </row>
    <row r="43" spans="1:21" ht="18" customHeight="1" x14ac:dyDescent="0.15">
      <c r="B43" s="118"/>
      <c r="C43" s="119"/>
      <c r="D43" s="119"/>
      <c r="E43" s="119"/>
      <c r="F43" s="120"/>
      <c r="G43" s="18"/>
      <c r="H43" s="18"/>
      <c r="I43" s="18"/>
      <c r="J43" s="18"/>
      <c r="K43" s="118"/>
      <c r="L43" s="119"/>
      <c r="M43" s="119"/>
      <c r="N43" s="119"/>
      <c r="O43" s="119"/>
      <c r="P43" s="119"/>
      <c r="Q43" s="120"/>
      <c r="R43" s="18"/>
      <c r="S43" s="18"/>
      <c r="T43" s="18"/>
      <c r="U43" s="18"/>
    </row>
    <row r="44" spans="1:21" ht="18" customHeight="1" x14ac:dyDescent="0.15">
      <c r="B44" s="107"/>
      <c r="C44" s="108"/>
      <c r="D44" s="108"/>
      <c r="E44" s="108"/>
      <c r="F44" s="109"/>
      <c r="G44" s="19"/>
      <c r="H44" s="19"/>
      <c r="I44" s="20"/>
      <c r="J44" s="20"/>
      <c r="K44" s="107"/>
      <c r="L44" s="108"/>
      <c r="M44" s="108"/>
      <c r="N44" s="108"/>
      <c r="O44" s="108"/>
      <c r="P44" s="108"/>
      <c r="Q44" s="109"/>
      <c r="R44" s="19"/>
      <c r="S44" s="19"/>
      <c r="T44" s="20"/>
      <c r="U44" s="20"/>
    </row>
    <row r="45" spans="1:21" ht="7.5" customHeight="1" x14ac:dyDescent="0.15">
      <c r="A45" s="6"/>
      <c r="B45" s="11"/>
      <c r="C45" s="11"/>
      <c r="D45" s="11"/>
      <c r="E45" s="6"/>
      <c r="F45" s="6"/>
      <c r="G45" s="6"/>
      <c r="H45" s="6"/>
      <c r="I45" s="11"/>
      <c r="J45" s="11"/>
      <c r="K45" s="11"/>
      <c r="L45" s="11"/>
      <c r="M45" s="11"/>
      <c r="N45" s="11"/>
      <c r="O45" s="11"/>
      <c r="P45" s="11"/>
      <c r="Q45" s="11"/>
      <c r="R45" s="11"/>
      <c r="S45" s="11"/>
      <c r="T45" s="11"/>
      <c r="U45" s="6"/>
    </row>
    <row r="46" spans="1:21" ht="18" customHeight="1" x14ac:dyDescent="0.15">
      <c r="A46" s="133" t="s">
        <v>97</v>
      </c>
      <c r="B46" s="133"/>
      <c r="C46" s="133"/>
      <c r="D46" s="133"/>
      <c r="E46" s="133"/>
      <c r="F46" s="133"/>
      <c r="G46" s="133"/>
      <c r="H46" s="133"/>
      <c r="I46" s="133"/>
      <c r="J46" s="133"/>
      <c r="K46" s="133"/>
      <c r="L46" s="133"/>
      <c r="M46" s="133"/>
      <c r="N46" s="133"/>
      <c r="O46" s="133"/>
      <c r="P46" s="133"/>
      <c r="Q46" s="133"/>
      <c r="R46" s="133"/>
      <c r="S46" s="133"/>
      <c r="T46" s="133"/>
      <c r="U46" s="133"/>
    </row>
    <row r="47" spans="1:21" ht="18" customHeight="1" x14ac:dyDescent="0.15">
      <c r="A47" s="133"/>
      <c r="B47" s="133"/>
      <c r="C47" s="133"/>
      <c r="D47" s="133"/>
      <c r="E47" s="133"/>
      <c r="F47" s="133"/>
      <c r="G47" s="133"/>
      <c r="H47" s="133"/>
      <c r="I47" s="133"/>
      <c r="J47" s="133"/>
      <c r="K47" s="133"/>
      <c r="L47" s="133"/>
      <c r="M47" s="133"/>
      <c r="N47" s="133"/>
      <c r="O47" s="133"/>
      <c r="P47" s="133"/>
      <c r="Q47" s="133"/>
      <c r="R47" s="133"/>
      <c r="S47" s="133"/>
      <c r="T47" s="133"/>
      <c r="U47" s="133"/>
    </row>
    <row r="48" spans="1:21" ht="18" customHeight="1" x14ac:dyDescent="0.15">
      <c r="B48" s="115" t="s">
        <v>47</v>
      </c>
      <c r="C48" s="116"/>
      <c r="D48" s="116"/>
      <c r="E48" s="116"/>
      <c r="F48" s="117"/>
      <c r="G48" s="14" t="s">
        <v>72</v>
      </c>
      <c r="H48" s="15" t="s">
        <v>75</v>
      </c>
      <c r="I48" s="16" t="s">
        <v>65</v>
      </c>
      <c r="J48" s="16" t="s">
        <v>66</v>
      </c>
      <c r="K48" s="115" t="s">
        <v>47</v>
      </c>
      <c r="L48" s="116"/>
      <c r="M48" s="116"/>
      <c r="N48" s="116"/>
      <c r="O48" s="116"/>
      <c r="P48" s="116"/>
      <c r="Q48" s="117"/>
      <c r="R48" s="14" t="s">
        <v>72</v>
      </c>
      <c r="S48" s="15" t="s">
        <v>75</v>
      </c>
      <c r="T48" s="16" t="s">
        <v>65</v>
      </c>
      <c r="U48" s="16" t="s">
        <v>66</v>
      </c>
    </row>
    <row r="49" spans="1:21" ht="18" customHeight="1" x14ac:dyDescent="0.15">
      <c r="A49" s="6"/>
      <c r="B49" s="124" t="s">
        <v>144</v>
      </c>
      <c r="C49" s="125"/>
      <c r="D49" s="125"/>
      <c r="E49" s="125"/>
      <c r="F49" s="126"/>
      <c r="G49" s="17">
        <v>1</v>
      </c>
      <c r="H49" s="17" t="s">
        <v>145</v>
      </c>
      <c r="I49" s="17" t="s">
        <v>145</v>
      </c>
      <c r="J49" s="17" t="s">
        <v>145</v>
      </c>
      <c r="K49" s="124"/>
      <c r="L49" s="125"/>
      <c r="M49" s="125"/>
      <c r="N49" s="125"/>
      <c r="O49" s="125"/>
      <c r="P49" s="125"/>
      <c r="Q49" s="126"/>
      <c r="R49" s="17"/>
      <c r="S49" s="17"/>
      <c r="T49" s="17"/>
      <c r="U49" s="17"/>
    </row>
    <row r="50" spans="1:21" ht="18" customHeight="1" x14ac:dyDescent="0.15">
      <c r="A50" s="6"/>
      <c r="B50" s="118"/>
      <c r="C50" s="119"/>
      <c r="D50" s="119"/>
      <c r="E50" s="119"/>
      <c r="F50" s="120"/>
      <c r="G50" s="18"/>
      <c r="H50" s="18"/>
      <c r="I50" s="18"/>
      <c r="J50" s="18"/>
      <c r="K50" s="118"/>
      <c r="L50" s="119"/>
      <c r="M50" s="119"/>
      <c r="N50" s="119"/>
      <c r="O50" s="119"/>
      <c r="P50" s="119"/>
      <c r="Q50" s="120"/>
      <c r="R50" s="18"/>
      <c r="S50" s="18"/>
      <c r="T50" s="18"/>
      <c r="U50" s="18"/>
    </row>
    <row r="51" spans="1:21" ht="18" customHeight="1" x14ac:dyDescent="0.15">
      <c r="A51" s="6"/>
      <c r="B51" s="118"/>
      <c r="C51" s="119"/>
      <c r="D51" s="119"/>
      <c r="E51" s="119"/>
      <c r="F51" s="120"/>
      <c r="G51" s="18"/>
      <c r="H51" s="18"/>
      <c r="I51" s="18"/>
      <c r="J51" s="18"/>
      <c r="K51" s="118"/>
      <c r="L51" s="119"/>
      <c r="M51" s="119"/>
      <c r="N51" s="119"/>
      <c r="O51" s="119"/>
      <c r="P51" s="119"/>
      <c r="Q51" s="120"/>
      <c r="R51" s="18"/>
      <c r="S51" s="18"/>
      <c r="T51" s="18"/>
      <c r="U51" s="18"/>
    </row>
    <row r="52" spans="1:21" ht="18" customHeight="1" x14ac:dyDescent="0.15">
      <c r="A52" s="6"/>
      <c r="B52" s="118"/>
      <c r="C52" s="119"/>
      <c r="D52" s="119"/>
      <c r="E52" s="119"/>
      <c r="F52" s="120"/>
      <c r="G52" s="18"/>
      <c r="H52" s="18"/>
      <c r="I52" s="18"/>
      <c r="J52" s="18"/>
      <c r="K52" s="118"/>
      <c r="L52" s="119"/>
      <c r="M52" s="119"/>
      <c r="N52" s="119"/>
      <c r="O52" s="119"/>
      <c r="P52" s="119"/>
      <c r="Q52" s="120"/>
      <c r="R52" s="18"/>
      <c r="S52" s="18"/>
      <c r="T52" s="18"/>
      <c r="U52" s="18"/>
    </row>
    <row r="53" spans="1:21" ht="18" customHeight="1" x14ac:dyDescent="0.15">
      <c r="A53" s="6"/>
      <c r="B53" s="118"/>
      <c r="C53" s="119"/>
      <c r="D53" s="119"/>
      <c r="E53" s="119"/>
      <c r="F53" s="120"/>
      <c r="G53" s="18"/>
      <c r="H53" s="18"/>
      <c r="I53" s="18"/>
      <c r="J53" s="18"/>
      <c r="K53" s="118"/>
      <c r="L53" s="119"/>
      <c r="M53" s="119"/>
      <c r="N53" s="119"/>
      <c r="O53" s="119"/>
      <c r="P53" s="119"/>
      <c r="Q53" s="120"/>
      <c r="R53" s="18"/>
      <c r="S53" s="18"/>
      <c r="T53" s="18"/>
      <c r="U53" s="18"/>
    </row>
    <row r="54" spans="1:21" ht="18" customHeight="1" x14ac:dyDescent="0.15">
      <c r="A54" s="6"/>
      <c r="B54" s="118"/>
      <c r="C54" s="119"/>
      <c r="D54" s="119"/>
      <c r="E54" s="119"/>
      <c r="F54" s="120"/>
      <c r="G54" s="18"/>
      <c r="H54" s="18"/>
      <c r="I54" s="18"/>
      <c r="J54" s="18"/>
      <c r="K54" s="118"/>
      <c r="L54" s="119"/>
      <c r="M54" s="119"/>
      <c r="N54" s="119"/>
      <c r="O54" s="119"/>
      <c r="P54" s="119"/>
      <c r="Q54" s="120"/>
      <c r="R54" s="18"/>
      <c r="S54" s="18"/>
      <c r="T54" s="18"/>
      <c r="U54" s="18"/>
    </row>
    <row r="55" spans="1:21" ht="18" customHeight="1" x14ac:dyDescent="0.15">
      <c r="A55" s="6"/>
      <c r="B55" s="107"/>
      <c r="C55" s="108"/>
      <c r="D55" s="108"/>
      <c r="E55" s="108"/>
      <c r="F55" s="109"/>
      <c r="G55" s="19"/>
      <c r="H55" s="19"/>
      <c r="I55" s="20"/>
      <c r="J55" s="20"/>
      <c r="K55" s="107"/>
      <c r="L55" s="108"/>
      <c r="M55" s="108"/>
      <c r="N55" s="108"/>
      <c r="O55" s="108"/>
      <c r="P55" s="108"/>
      <c r="Q55" s="109"/>
      <c r="R55" s="19"/>
      <c r="S55" s="19"/>
      <c r="T55" s="20"/>
      <c r="U55" s="20"/>
    </row>
    <row r="56" spans="1:21" ht="7.5" customHeight="1" x14ac:dyDescent="0.15">
      <c r="B56" s="91"/>
      <c r="C56" s="91"/>
      <c r="D56" s="91"/>
      <c r="E56" s="91"/>
      <c r="F56" s="91"/>
      <c r="G56" s="91"/>
      <c r="H56" s="91"/>
      <c r="I56" s="91"/>
      <c r="J56" s="91"/>
      <c r="K56" s="91"/>
      <c r="L56" s="91"/>
      <c r="M56" s="91"/>
      <c r="N56" s="91"/>
      <c r="O56" s="91"/>
      <c r="P56" s="91"/>
      <c r="Q56" s="91"/>
      <c r="R56" s="91"/>
      <c r="S56" s="91"/>
      <c r="T56" s="91"/>
    </row>
    <row r="57" spans="1:21" ht="18" customHeight="1" x14ac:dyDescent="0.15">
      <c r="A57" s="133" t="s">
        <v>98</v>
      </c>
      <c r="B57" s="133"/>
      <c r="C57" s="133"/>
      <c r="D57" s="133"/>
      <c r="E57" s="133"/>
      <c r="F57" s="133"/>
      <c r="G57" s="133"/>
      <c r="H57" s="133"/>
      <c r="I57" s="133"/>
      <c r="J57" s="133"/>
      <c r="K57" s="133"/>
      <c r="L57" s="133"/>
      <c r="M57" s="133"/>
      <c r="N57" s="133"/>
      <c r="O57" s="133"/>
      <c r="P57" s="133"/>
      <c r="Q57" s="133"/>
      <c r="R57" s="133"/>
      <c r="S57" s="133"/>
      <c r="T57" s="133"/>
      <c r="U57" s="133"/>
    </row>
    <row r="58" spans="1:21" ht="18" customHeight="1" x14ac:dyDescent="0.15">
      <c r="A58" s="133"/>
      <c r="B58" s="133"/>
      <c r="C58" s="133"/>
      <c r="D58" s="133"/>
      <c r="E58" s="133"/>
      <c r="F58" s="133"/>
      <c r="G58" s="133"/>
      <c r="H58" s="133"/>
      <c r="I58" s="133"/>
      <c r="J58" s="133"/>
      <c r="K58" s="133"/>
      <c r="L58" s="133"/>
      <c r="M58" s="133"/>
      <c r="N58" s="133"/>
      <c r="O58" s="133"/>
      <c r="P58" s="133"/>
      <c r="Q58" s="133"/>
      <c r="R58" s="133"/>
      <c r="S58" s="133"/>
      <c r="T58" s="133"/>
      <c r="U58" s="133"/>
    </row>
    <row r="59" spans="1:21" ht="18" customHeight="1" x14ac:dyDescent="0.15">
      <c r="B59" s="115" t="s">
        <v>47</v>
      </c>
      <c r="C59" s="116"/>
      <c r="D59" s="116"/>
      <c r="E59" s="116"/>
      <c r="F59" s="117"/>
      <c r="G59" s="14" t="s">
        <v>72</v>
      </c>
      <c r="H59" s="15" t="s">
        <v>75</v>
      </c>
      <c r="I59" s="16" t="s">
        <v>52</v>
      </c>
      <c r="J59" s="16" t="s">
        <v>54</v>
      </c>
      <c r="K59" s="115" t="s">
        <v>47</v>
      </c>
      <c r="L59" s="116"/>
      <c r="M59" s="116"/>
      <c r="N59" s="116"/>
      <c r="O59" s="116"/>
      <c r="P59" s="116"/>
      <c r="Q59" s="117"/>
      <c r="R59" s="14" t="s">
        <v>72</v>
      </c>
      <c r="S59" s="15" t="s">
        <v>75</v>
      </c>
      <c r="T59" s="16" t="s">
        <v>52</v>
      </c>
      <c r="U59" s="16" t="s">
        <v>54</v>
      </c>
    </row>
    <row r="60" spans="1:21" ht="18" customHeight="1" x14ac:dyDescent="0.15">
      <c r="A60" s="6"/>
      <c r="B60" s="124" t="s">
        <v>144</v>
      </c>
      <c r="C60" s="125"/>
      <c r="D60" s="125"/>
      <c r="E60" s="125"/>
      <c r="F60" s="126"/>
      <c r="G60" s="17">
        <v>1</v>
      </c>
      <c r="H60" s="17" t="s">
        <v>145</v>
      </c>
      <c r="I60" s="17" t="s">
        <v>145</v>
      </c>
      <c r="J60" s="17" t="s">
        <v>145</v>
      </c>
      <c r="K60" s="124"/>
      <c r="L60" s="125"/>
      <c r="M60" s="125"/>
      <c r="N60" s="125"/>
      <c r="O60" s="125"/>
      <c r="P60" s="125"/>
      <c r="Q60" s="126"/>
      <c r="R60" s="17"/>
      <c r="S60" s="17"/>
      <c r="T60" s="17"/>
      <c r="U60" s="17"/>
    </row>
    <row r="61" spans="1:21" ht="18" customHeight="1" x14ac:dyDescent="0.15">
      <c r="A61" s="6"/>
      <c r="B61" s="118" t="s">
        <v>169</v>
      </c>
      <c r="C61" s="119"/>
      <c r="D61" s="119"/>
      <c r="E61" s="119"/>
      <c r="F61" s="120"/>
      <c r="G61" s="18">
        <v>1</v>
      </c>
      <c r="H61" s="18"/>
      <c r="I61" s="18"/>
      <c r="J61" s="18" t="s">
        <v>145</v>
      </c>
      <c r="K61" s="118"/>
      <c r="L61" s="119"/>
      <c r="M61" s="119"/>
      <c r="N61" s="119"/>
      <c r="O61" s="119"/>
      <c r="P61" s="119"/>
      <c r="Q61" s="120"/>
      <c r="R61" s="18"/>
      <c r="S61" s="18"/>
      <c r="T61" s="18"/>
      <c r="U61" s="18"/>
    </row>
    <row r="62" spans="1:21" ht="18" customHeight="1" x14ac:dyDescent="0.15">
      <c r="A62" s="6"/>
      <c r="B62" s="118" t="s">
        <v>170</v>
      </c>
      <c r="C62" s="119"/>
      <c r="D62" s="119"/>
      <c r="E62" s="119"/>
      <c r="F62" s="120"/>
      <c r="G62" s="18">
        <v>2</v>
      </c>
      <c r="H62" s="18"/>
      <c r="I62" s="18"/>
      <c r="J62" s="18" t="s">
        <v>145</v>
      </c>
      <c r="K62" s="118"/>
      <c r="L62" s="119"/>
      <c r="M62" s="119"/>
      <c r="N62" s="119"/>
      <c r="O62" s="119"/>
      <c r="P62" s="119"/>
      <c r="Q62" s="120"/>
      <c r="R62" s="18"/>
      <c r="S62" s="18"/>
      <c r="T62" s="18"/>
      <c r="U62" s="18"/>
    </row>
    <row r="63" spans="1:21" ht="18" customHeight="1" x14ac:dyDescent="0.15">
      <c r="A63" s="6"/>
      <c r="B63" s="118" t="s">
        <v>171</v>
      </c>
      <c r="C63" s="119"/>
      <c r="D63" s="119"/>
      <c r="E63" s="119"/>
      <c r="F63" s="120"/>
      <c r="G63" s="18">
        <v>2</v>
      </c>
      <c r="H63" s="18"/>
      <c r="I63" s="18"/>
      <c r="J63" s="18" t="s">
        <v>145</v>
      </c>
      <c r="K63" s="118"/>
      <c r="L63" s="119"/>
      <c r="M63" s="119"/>
      <c r="N63" s="119"/>
      <c r="O63" s="119"/>
      <c r="P63" s="119"/>
      <c r="Q63" s="120"/>
      <c r="R63" s="18"/>
      <c r="S63" s="18"/>
      <c r="T63" s="18"/>
      <c r="U63" s="18"/>
    </row>
    <row r="64" spans="1:21" ht="18" customHeight="1" x14ac:dyDescent="0.15">
      <c r="A64" s="6"/>
      <c r="B64" s="118"/>
      <c r="C64" s="119"/>
      <c r="D64" s="119"/>
      <c r="E64" s="119"/>
      <c r="F64" s="120"/>
      <c r="G64" s="18"/>
      <c r="H64" s="18"/>
      <c r="I64" s="18"/>
      <c r="J64" s="18"/>
      <c r="K64" s="118"/>
      <c r="L64" s="119"/>
      <c r="M64" s="119"/>
      <c r="N64" s="119"/>
      <c r="O64" s="119"/>
      <c r="P64" s="119"/>
      <c r="Q64" s="120"/>
      <c r="R64" s="18"/>
      <c r="S64" s="18"/>
      <c r="T64" s="18"/>
      <c r="U64" s="18"/>
    </row>
    <row r="65" spans="1:27" ht="18" customHeight="1" x14ac:dyDescent="0.15">
      <c r="A65" s="6"/>
      <c r="B65" s="118"/>
      <c r="C65" s="119"/>
      <c r="D65" s="119"/>
      <c r="E65" s="119"/>
      <c r="F65" s="120"/>
      <c r="G65" s="18"/>
      <c r="H65" s="18"/>
      <c r="I65" s="18"/>
      <c r="J65" s="18"/>
      <c r="K65" s="118"/>
      <c r="L65" s="119"/>
      <c r="M65" s="119"/>
      <c r="N65" s="119"/>
      <c r="O65" s="119"/>
      <c r="P65" s="119"/>
      <c r="Q65" s="120"/>
      <c r="R65" s="18"/>
      <c r="S65" s="18"/>
      <c r="T65" s="18"/>
      <c r="U65" s="18"/>
    </row>
    <row r="66" spans="1:27" ht="18" customHeight="1" x14ac:dyDescent="0.15">
      <c r="A66" s="6"/>
      <c r="B66" s="107"/>
      <c r="C66" s="108"/>
      <c r="D66" s="108"/>
      <c r="E66" s="108"/>
      <c r="F66" s="109"/>
      <c r="G66" s="19"/>
      <c r="H66" s="19"/>
      <c r="I66" s="20"/>
      <c r="J66" s="20"/>
      <c r="K66" s="107"/>
      <c r="L66" s="108"/>
      <c r="M66" s="108"/>
      <c r="N66" s="108"/>
      <c r="O66" s="108"/>
      <c r="P66" s="108"/>
      <c r="Q66" s="109"/>
      <c r="R66" s="19"/>
      <c r="S66" s="19"/>
      <c r="T66" s="20"/>
      <c r="U66" s="20"/>
    </row>
    <row r="67" spans="1:27" ht="7.5" customHeight="1" x14ac:dyDescent="0.15">
      <c r="B67" s="91"/>
      <c r="C67" s="91"/>
      <c r="D67" s="91"/>
      <c r="E67" s="91"/>
      <c r="F67" s="91"/>
      <c r="G67" s="91"/>
      <c r="H67" s="91"/>
      <c r="I67" s="91"/>
      <c r="J67" s="91"/>
      <c r="K67" s="91"/>
      <c r="L67" s="91"/>
      <c r="M67" s="91"/>
      <c r="N67" s="91"/>
      <c r="O67" s="91"/>
      <c r="P67" s="91"/>
      <c r="Q67" s="91"/>
      <c r="R67" s="91"/>
      <c r="S67" s="91"/>
      <c r="T67" s="91"/>
    </row>
    <row r="68" spans="1:27" ht="18" customHeight="1" x14ac:dyDescent="0.15">
      <c r="A68" s="133" t="s">
        <v>99</v>
      </c>
      <c r="B68" s="133"/>
      <c r="C68" s="133"/>
      <c r="D68" s="133"/>
      <c r="E68" s="133"/>
      <c r="F68" s="133"/>
      <c r="G68" s="133"/>
      <c r="H68" s="133"/>
      <c r="I68" s="133"/>
      <c r="J68" s="133"/>
      <c r="K68" s="133"/>
      <c r="L68" s="133"/>
      <c r="M68" s="133"/>
      <c r="N68" s="133"/>
      <c r="O68" s="133"/>
      <c r="P68" s="133"/>
      <c r="Q68" s="133"/>
      <c r="R68" s="133"/>
      <c r="S68" s="133"/>
      <c r="T68" s="133"/>
      <c r="U68" s="133"/>
    </row>
    <row r="69" spans="1:27" ht="18" customHeight="1" x14ac:dyDescent="0.15">
      <c r="A69" s="133"/>
      <c r="B69" s="133"/>
      <c r="C69" s="133"/>
      <c r="D69" s="133"/>
      <c r="E69" s="133"/>
      <c r="F69" s="133"/>
      <c r="G69" s="133"/>
      <c r="H69" s="133"/>
      <c r="I69" s="133"/>
      <c r="J69" s="133"/>
      <c r="K69" s="133"/>
      <c r="L69" s="133"/>
      <c r="M69" s="133"/>
      <c r="N69" s="133"/>
      <c r="O69" s="133"/>
      <c r="P69" s="133"/>
      <c r="Q69" s="133"/>
      <c r="R69" s="133"/>
      <c r="S69" s="133"/>
      <c r="T69" s="133"/>
      <c r="U69" s="133"/>
    </row>
    <row r="70" spans="1:27" ht="18" customHeight="1" x14ac:dyDescent="0.15">
      <c r="B70" s="115" t="s">
        <v>47</v>
      </c>
      <c r="C70" s="116"/>
      <c r="D70" s="116"/>
      <c r="E70" s="116"/>
      <c r="F70" s="14" t="s">
        <v>72</v>
      </c>
      <c r="G70" s="15" t="s">
        <v>75</v>
      </c>
      <c r="H70" s="16" t="s">
        <v>86</v>
      </c>
      <c r="I70" s="16" t="s">
        <v>67</v>
      </c>
      <c r="J70" s="16" t="s">
        <v>68</v>
      </c>
      <c r="K70" s="115" t="s">
        <v>47</v>
      </c>
      <c r="L70" s="116"/>
      <c r="M70" s="116"/>
      <c r="N70" s="116"/>
      <c r="O70" s="116"/>
      <c r="P70" s="117"/>
      <c r="Q70" s="14" t="s">
        <v>72</v>
      </c>
      <c r="R70" s="15" t="s">
        <v>75</v>
      </c>
      <c r="S70" s="16" t="s">
        <v>86</v>
      </c>
      <c r="T70" s="16" t="s">
        <v>67</v>
      </c>
      <c r="U70" s="16" t="s">
        <v>68</v>
      </c>
    </row>
    <row r="71" spans="1:27" ht="18" customHeight="1" x14ac:dyDescent="0.15">
      <c r="A71" s="6"/>
      <c r="B71" s="124" t="s">
        <v>144</v>
      </c>
      <c r="C71" s="125"/>
      <c r="D71" s="125"/>
      <c r="E71" s="125"/>
      <c r="F71" s="17">
        <v>1</v>
      </c>
      <c r="G71" s="17" t="s">
        <v>145</v>
      </c>
      <c r="H71" s="17" t="s">
        <v>145</v>
      </c>
      <c r="I71" s="17" t="s">
        <v>145</v>
      </c>
      <c r="J71" s="17"/>
      <c r="K71" s="124"/>
      <c r="L71" s="125"/>
      <c r="M71" s="125"/>
      <c r="N71" s="125"/>
      <c r="O71" s="125"/>
      <c r="P71" s="126"/>
      <c r="Q71" s="17"/>
      <c r="R71" s="17"/>
      <c r="S71" s="17"/>
      <c r="T71" s="17"/>
      <c r="U71" s="17"/>
    </row>
    <row r="72" spans="1:27" ht="18" customHeight="1" x14ac:dyDescent="0.15">
      <c r="A72" s="6"/>
      <c r="B72" s="118" t="s">
        <v>169</v>
      </c>
      <c r="C72" s="119"/>
      <c r="D72" s="119"/>
      <c r="E72" s="119"/>
      <c r="F72" s="18">
        <v>1</v>
      </c>
      <c r="G72" s="18"/>
      <c r="H72" s="18" t="s">
        <v>145</v>
      </c>
      <c r="I72" s="18" t="s">
        <v>145</v>
      </c>
      <c r="J72" s="18" t="s">
        <v>145</v>
      </c>
      <c r="K72" s="118"/>
      <c r="L72" s="119"/>
      <c r="M72" s="119"/>
      <c r="N72" s="119"/>
      <c r="O72" s="119"/>
      <c r="P72" s="120"/>
      <c r="Q72" s="18"/>
      <c r="R72" s="18"/>
      <c r="S72" s="18"/>
      <c r="T72" s="18"/>
      <c r="U72" s="18"/>
    </row>
    <row r="73" spans="1:27" ht="18" customHeight="1" x14ac:dyDescent="0.15">
      <c r="A73" s="6"/>
      <c r="B73" s="118" t="s">
        <v>170</v>
      </c>
      <c r="C73" s="119"/>
      <c r="D73" s="119"/>
      <c r="E73" s="119"/>
      <c r="F73" s="18">
        <v>2</v>
      </c>
      <c r="G73" s="18"/>
      <c r="H73" s="18" t="s">
        <v>145</v>
      </c>
      <c r="I73" s="18" t="s">
        <v>145</v>
      </c>
      <c r="J73" s="18" t="s">
        <v>145</v>
      </c>
      <c r="K73" s="118"/>
      <c r="L73" s="119"/>
      <c r="M73" s="119"/>
      <c r="N73" s="119"/>
      <c r="O73" s="119"/>
      <c r="P73" s="120"/>
      <c r="Q73" s="18"/>
      <c r="R73" s="18"/>
      <c r="S73" s="18"/>
      <c r="T73" s="18"/>
      <c r="U73" s="18"/>
    </row>
    <row r="74" spans="1:27" ht="18" customHeight="1" x14ac:dyDescent="0.15">
      <c r="A74" s="6"/>
      <c r="B74" s="118" t="s">
        <v>171</v>
      </c>
      <c r="C74" s="119"/>
      <c r="D74" s="119"/>
      <c r="E74" s="119"/>
      <c r="F74" s="18">
        <v>2</v>
      </c>
      <c r="G74" s="18"/>
      <c r="H74" s="18" t="s">
        <v>145</v>
      </c>
      <c r="I74" s="18" t="s">
        <v>145</v>
      </c>
      <c r="J74" s="18" t="s">
        <v>145</v>
      </c>
      <c r="K74" s="118"/>
      <c r="L74" s="119"/>
      <c r="M74" s="119"/>
      <c r="N74" s="119"/>
      <c r="O74" s="119"/>
      <c r="P74" s="120"/>
      <c r="Q74" s="18"/>
      <c r="R74" s="18"/>
      <c r="S74" s="18"/>
      <c r="T74" s="18"/>
      <c r="U74" s="18"/>
    </row>
    <row r="75" spans="1:27" ht="18" customHeight="1" x14ac:dyDescent="0.15">
      <c r="A75" s="6"/>
      <c r="B75" s="118"/>
      <c r="C75" s="119"/>
      <c r="D75" s="119"/>
      <c r="E75" s="119"/>
      <c r="F75" s="18"/>
      <c r="G75" s="18"/>
      <c r="H75" s="18"/>
      <c r="I75" s="18"/>
      <c r="J75" s="18"/>
      <c r="K75" s="118"/>
      <c r="L75" s="119"/>
      <c r="M75" s="119"/>
      <c r="N75" s="119"/>
      <c r="O75" s="119"/>
      <c r="P75" s="120"/>
      <c r="Q75" s="18"/>
      <c r="R75" s="18"/>
      <c r="S75" s="18"/>
      <c r="T75" s="18"/>
      <c r="U75" s="18"/>
    </row>
    <row r="76" spans="1:27" ht="18" customHeight="1" x14ac:dyDescent="0.15">
      <c r="A76" s="6"/>
      <c r="B76" s="118"/>
      <c r="C76" s="119"/>
      <c r="D76" s="119"/>
      <c r="E76" s="119"/>
      <c r="F76" s="18"/>
      <c r="G76" s="18"/>
      <c r="H76" s="18"/>
      <c r="I76" s="18"/>
      <c r="J76" s="18"/>
      <c r="K76" s="118"/>
      <c r="L76" s="119"/>
      <c r="M76" s="119"/>
      <c r="N76" s="119"/>
      <c r="O76" s="119"/>
      <c r="P76" s="120"/>
      <c r="Q76" s="18"/>
      <c r="R76" s="18"/>
      <c r="S76" s="18"/>
      <c r="T76" s="18"/>
      <c r="U76" s="18"/>
    </row>
    <row r="77" spans="1:27" ht="18" customHeight="1" x14ac:dyDescent="0.15">
      <c r="A77" s="6"/>
      <c r="B77" s="107"/>
      <c r="C77" s="108"/>
      <c r="D77" s="108"/>
      <c r="E77" s="108"/>
      <c r="F77" s="19"/>
      <c r="G77" s="19"/>
      <c r="H77" s="20"/>
      <c r="I77" s="20"/>
      <c r="J77" s="20"/>
      <c r="K77" s="107"/>
      <c r="L77" s="108"/>
      <c r="M77" s="108"/>
      <c r="N77" s="108"/>
      <c r="O77" s="108"/>
      <c r="P77" s="109"/>
      <c r="Q77" s="19"/>
      <c r="R77" s="19"/>
      <c r="S77" s="20"/>
      <c r="T77" s="20"/>
      <c r="U77" s="20"/>
    </row>
    <row r="78" spans="1:27" ht="7.5" customHeight="1" x14ac:dyDescent="0.15">
      <c r="B78" s="91"/>
      <c r="C78" s="91"/>
      <c r="D78" s="91"/>
      <c r="E78" s="91"/>
      <c r="F78" s="91"/>
      <c r="G78" s="91"/>
      <c r="H78" s="91"/>
      <c r="I78" s="91"/>
      <c r="J78" s="91"/>
      <c r="K78" s="91"/>
      <c r="L78" s="91"/>
      <c r="M78" s="91"/>
      <c r="N78" s="91"/>
      <c r="O78" s="91"/>
      <c r="P78" s="91"/>
      <c r="Q78" s="91"/>
      <c r="R78" s="91"/>
      <c r="S78" s="91"/>
      <c r="T78" s="91"/>
    </row>
    <row r="79" spans="1:27" ht="18" customHeight="1" x14ac:dyDescent="0.15">
      <c r="A79" s="8" t="s">
        <v>100</v>
      </c>
      <c r="I79" s="6"/>
      <c r="J79" s="6"/>
      <c r="K79" s="6"/>
      <c r="L79" s="6"/>
      <c r="M79" s="6"/>
      <c r="N79" s="6"/>
      <c r="O79" s="6"/>
      <c r="P79" s="6"/>
      <c r="Q79" s="6"/>
      <c r="R79" s="6"/>
      <c r="S79" s="6"/>
      <c r="T79" s="6"/>
      <c r="U79" s="6"/>
    </row>
    <row r="80" spans="1:27" ht="18" customHeight="1" x14ac:dyDescent="0.15">
      <c r="B80" s="115" t="s">
        <v>47</v>
      </c>
      <c r="C80" s="116"/>
      <c r="D80" s="116"/>
      <c r="E80" s="116"/>
      <c r="F80" s="117"/>
      <c r="G80" s="115" t="s">
        <v>73</v>
      </c>
      <c r="H80" s="116"/>
      <c r="I80" s="116"/>
      <c r="J80" s="117"/>
      <c r="K80" s="130" t="s">
        <v>47</v>
      </c>
      <c r="L80" s="131"/>
      <c r="M80" s="131"/>
      <c r="N80" s="131"/>
      <c r="O80" s="131"/>
      <c r="P80" s="131"/>
      <c r="Q80" s="132"/>
      <c r="R80" s="115" t="s">
        <v>73</v>
      </c>
      <c r="S80" s="116"/>
      <c r="T80" s="116"/>
      <c r="U80" s="117"/>
      <c r="AA80" s="8" t="s">
        <v>137</v>
      </c>
    </row>
    <row r="81" spans="1:27" ht="18" customHeight="1" x14ac:dyDescent="0.15">
      <c r="A81" s="6"/>
      <c r="B81" s="124"/>
      <c r="C81" s="125"/>
      <c r="D81" s="125"/>
      <c r="E81" s="125"/>
      <c r="F81" s="126"/>
      <c r="G81" s="127"/>
      <c r="H81" s="128"/>
      <c r="I81" s="128"/>
      <c r="J81" s="129"/>
      <c r="K81" s="124"/>
      <c r="L81" s="125"/>
      <c r="M81" s="125"/>
      <c r="N81" s="125"/>
      <c r="O81" s="125"/>
      <c r="P81" s="125"/>
      <c r="Q81" s="126"/>
      <c r="R81" s="127"/>
      <c r="S81" s="128"/>
      <c r="T81" s="128"/>
      <c r="U81" s="129"/>
      <c r="AA81" s="8" t="s">
        <v>130</v>
      </c>
    </row>
    <row r="82" spans="1:27" ht="18" customHeight="1" x14ac:dyDescent="0.15">
      <c r="A82" s="6"/>
      <c r="B82" s="118"/>
      <c r="C82" s="119"/>
      <c r="D82" s="119"/>
      <c r="E82" s="119"/>
      <c r="F82" s="120"/>
      <c r="G82" s="121"/>
      <c r="H82" s="122"/>
      <c r="I82" s="122"/>
      <c r="J82" s="123"/>
      <c r="K82" s="118"/>
      <c r="L82" s="119"/>
      <c r="M82" s="119"/>
      <c r="N82" s="119"/>
      <c r="O82" s="119"/>
      <c r="P82" s="119"/>
      <c r="Q82" s="120"/>
      <c r="R82" s="121"/>
      <c r="S82" s="122"/>
      <c r="T82" s="122"/>
      <c r="U82" s="123"/>
      <c r="AA82" s="8" t="s">
        <v>131</v>
      </c>
    </row>
    <row r="83" spans="1:27" ht="18" customHeight="1" x14ac:dyDescent="0.15">
      <c r="A83" s="6"/>
      <c r="B83" s="118"/>
      <c r="C83" s="119"/>
      <c r="D83" s="119"/>
      <c r="E83" s="119"/>
      <c r="F83" s="120"/>
      <c r="G83" s="121"/>
      <c r="H83" s="122"/>
      <c r="I83" s="122"/>
      <c r="J83" s="123"/>
      <c r="K83" s="118"/>
      <c r="L83" s="119"/>
      <c r="M83" s="119"/>
      <c r="N83" s="119"/>
      <c r="O83" s="119"/>
      <c r="P83" s="119"/>
      <c r="Q83" s="120"/>
      <c r="R83" s="121"/>
      <c r="S83" s="122"/>
      <c r="T83" s="122"/>
      <c r="U83" s="123"/>
      <c r="AA83" s="8" t="s">
        <v>132</v>
      </c>
    </row>
    <row r="84" spans="1:27" ht="18" customHeight="1" x14ac:dyDescent="0.15">
      <c r="A84" s="6"/>
      <c r="B84" s="118"/>
      <c r="C84" s="119"/>
      <c r="D84" s="119"/>
      <c r="E84" s="119"/>
      <c r="F84" s="120"/>
      <c r="G84" s="121"/>
      <c r="H84" s="122"/>
      <c r="I84" s="122"/>
      <c r="J84" s="123"/>
      <c r="K84" s="118"/>
      <c r="L84" s="119"/>
      <c r="M84" s="119"/>
      <c r="N84" s="119"/>
      <c r="O84" s="119"/>
      <c r="P84" s="119"/>
      <c r="Q84" s="120"/>
      <c r="R84" s="121"/>
      <c r="S84" s="122"/>
      <c r="T84" s="122"/>
      <c r="U84" s="123"/>
      <c r="AA84" s="8" t="s">
        <v>138</v>
      </c>
    </row>
    <row r="85" spans="1:27" ht="18" customHeight="1" x14ac:dyDescent="0.15">
      <c r="A85" s="6"/>
      <c r="B85" s="118"/>
      <c r="C85" s="119"/>
      <c r="D85" s="119"/>
      <c r="E85" s="119"/>
      <c r="F85" s="120"/>
      <c r="G85" s="121"/>
      <c r="H85" s="122"/>
      <c r="I85" s="122"/>
      <c r="J85" s="123"/>
      <c r="K85" s="118"/>
      <c r="L85" s="119"/>
      <c r="M85" s="119"/>
      <c r="N85" s="119"/>
      <c r="O85" s="119"/>
      <c r="P85" s="119"/>
      <c r="Q85" s="120"/>
      <c r="R85" s="121"/>
      <c r="S85" s="122"/>
      <c r="T85" s="122"/>
      <c r="U85" s="123"/>
      <c r="AA85" s="8" t="s">
        <v>139</v>
      </c>
    </row>
    <row r="86" spans="1:27" ht="18" customHeight="1" x14ac:dyDescent="0.15">
      <c r="A86" s="6"/>
      <c r="B86" s="118"/>
      <c r="C86" s="119"/>
      <c r="D86" s="119"/>
      <c r="E86" s="119"/>
      <c r="F86" s="120"/>
      <c r="G86" s="121"/>
      <c r="H86" s="122"/>
      <c r="I86" s="122"/>
      <c r="J86" s="123"/>
      <c r="K86" s="118"/>
      <c r="L86" s="119"/>
      <c r="M86" s="119"/>
      <c r="N86" s="119"/>
      <c r="O86" s="119"/>
      <c r="P86" s="119"/>
      <c r="Q86" s="120"/>
      <c r="R86" s="121"/>
      <c r="S86" s="122"/>
      <c r="T86" s="122"/>
      <c r="U86" s="123"/>
      <c r="AA86" s="8" t="s">
        <v>133</v>
      </c>
    </row>
    <row r="87" spans="1:27" ht="18" customHeight="1" x14ac:dyDescent="0.15">
      <c r="A87" s="6"/>
      <c r="B87" s="107"/>
      <c r="C87" s="108"/>
      <c r="D87" s="108"/>
      <c r="E87" s="108"/>
      <c r="F87" s="109"/>
      <c r="G87" s="110"/>
      <c r="H87" s="111"/>
      <c r="I87" s="111"/>
      <c r="J87" s="112"/>
      <c r="K87" s="107"/>
      <c r="L87" s="108"/>
      <c r="M87" s="108"/>
      <c r="N87" s="108"/>
      <c r="O87" s="108"/>
      <c r="P87" s="108"/>
      <c r="Q87" s="109"/>
      <c r="R87" s="110"/>
      <c r="S87" s="111"/>
      <c r="T87" s="111"/>
      <c r="U87" s="112"/>
      <c r="AA87" s="8" t="s">
        <v>134</v>
      </c>
    </row>
    <row r="88" spans="1:27" ht="18" customHeight="1" x14ac:dyDescent="0.15">
      <c r="A88" s="6"/>
      <c r="B88" s="11"/>
      <c r="C88" s="11"/>
      <c r="D88" s="11"/>
      <c r="E88" s="11"/>
      <c r="F88" s="11"/>
      <c r="G88" s="21"/>
      <c r="H88" s="21"/>
      <c r="I88" s="21"/>
      <c r="J88" s="21"/>
      <c r="K88" s="11"/>
      <c r="L88" s="11"/>
      <c r="M88" s="11"/>
      <c r="N88" s="11"/>
      <c r="O88" s="11"/>
      <c r="P88" s="11"/>
      <c r="Q88" s="11"/>
      <c r="R88" s="21"/>
      <c r="S88" s="21"/>
      <c r="T88" s="21"/>
      <c r="U88" s="21"/>
      <c r="AA88" s="8" t="s">
        <v>135</v>
      </c>
    </row>
    <row r="89" spans="1:27" ht="18.75" customHeight="1" x14ac:dyDescent="0.15">
      <c r="A89" s="8" t="s">
        <v>101</v>
      </c>
      <c r="AA89" s="8" t="s">
        <v>136</v>
      </c>
    </row>
    <row r="90" spans="1:27" ht="18.75" customHeight="1" x14ac:dyDescent="0.15">
      <c r="B90" s="113" t="s">
        <v>48</v>
      </c>
      <c r="C90" s="114"/>
      <c r="D90" s="115" t="s">
        <v>49</v>
      </c>
      <c r="E90" s="116"/>
      <c r="F90" s="116"/>
      <c r="G90" s="116"/>
      <c r="H90" s="116"/>
      <c r="I90" s="116"/>
      <c r="J90" s="116"/>
      <c r="K90" s="116"/>
      <c r="L90" s="116"/>
      <c r="M90" s="116"/>
      <c r="N90" s="116"/>
      <c r="O90" s="116"/>
      <c r="P90" s="116"/>
      <c r="Q90" s="116"/>
      <c r="R90" s="116"/>
      <c r="S90" s="116"/>
      <c r="T90" s="116"/>
      <c r="U90" s="117"/>
    </row>
    <row r="91" spans="1:27" ht="111.6" customHeight="1" x14ac:dyDescent="0.15">
      <c r="B91" s="92" t="s">
        <v>55</v>
      </c>
      <c r="C91" s="22" t="s">
        <v>50</v>
      </c>
      <c r="D91" s="95" t="s">
        <v>181</v>
      </c>
      <c r="E91" s="96"/>
      <c r="F91" s="96"/>
      <c r="G91" s="96"/>
      <c r="H91" s="96"/>
      <c r="I91" s="96"/>
      <c r="J91" s="96"/>
      <c r="K91" s="96"/>
      <c r="L91" s="96"/>
      <c r="M91" s="96"/>
      <c r="N91" s="96"/>
      <c r="O91" s="96"/>
      <c r="P91" s="96"/>
      <c r="Q91" s="96"/>
      <c r="R91" s="96"/>
      <c r="S91" s="96"/>
      <c r="T91" s="96"/>
      <c r="U91" s="97"/>
    </row>
    <row r="92" spans="1:27" ht="97.5" customHeight="1" x14ac:dyDescent="0.15">
      <c r="B92" s="93"/>
      <c r="C92" s="23" t="s">
        <v>69</v>
      </c>
      <c r="D92" s="101" t="s">
        <v>189</v>
      </c>
      <c r="E92" s="102"/>
      <c r="F92" s="102"/>
      <c r="G92" s="102"/>
      <c r="H92" s="102"/>
      <c r="I92" s="102"/>
      <c r="J92" s="102"/>
      <c r="K92" s="102"/>
      <c r="L92" s="102"/>
      <c r="M92" s="102"/>
      <c r="N92" s="102"/>
      <c r="O92" s="102"/>
      <c r="P92" s="102"/>
      <c r="Q92" s="102"/>
      <c r="R92" s="102"/>
      <c r="S92" s="102"/>
      <c r="T92" s="102"/>
      <c r="U92" s="103"/>
    </row>
    <row r="93" spans="1:27" ht="97.5" customHeight="1" x14ac:dyDescent="0.15">
      <c r="B93" s="92" t="s">
        <v>56</v>
      </c>
      <c r="C93" s="24" t="s">
        <v>63</v>
      </c>
      <c r="D93" s="95" t="s">
        <v>146</v>
      </c>
      <c r="E93" s="96"/>
      <c r="F93" s="96"/>
      <c r="G93" s="96"/>
      <c r="H93" s="96"/>
      <c r="I93" s="96"/>
      <c r="J93" s="96"/>
      <c r="K93" s="96"/>
      <c r="L93" s="96"/>
      <c r="M93" s="96"/>
      <c r="N93" s="96"/>
      <c r="O93" s="96"/>
      <c r="P93" s="96"/>
      <c r="Q93" s="96"/>
      <c r="R93" s="96"/>
      <c r="S93" s="96"/>
      <c r="T93" s="96"/>
      <c r="U93" s="97"/>
    </row>
    <row r="94" spans="1:27" ht="97.5" customHeight="1" x14ac:dyDescent="0.15">
      <c r="B94" s="94"/>
      <c r="C94" s="25" t="s">
        <v>64</v>
      </c>
      <c r="D94" s="101" t="s">
        <v>190</v>
      </c>
      <c r="E94" s="102"/>
      <c r="F94" s="102"/>
      <c r="G94" s="102"/>
      <c r="H94" s="102"/>
      <c r="I94" s="102"/>
      <c r="J94" s="102"/>
      <c r="K94" s="102"/>
      <c r="L94" s="102"/>
      <c r="M94" s="102"/>
      <c r="N94" s="102"/>
      <c r="O94" s="102"/>
      <c r="P94" s="102"/>
      <c r="Q94" s="102"/>
      <c r="R94" s="102"/>
      <c r="S94" s="102"/>
      <c r="T94" s="102"/>
      <c r="U94" s="103"/>
    </row>
    <row r="95" spans="1:27" ht="132.94999999999999" customHeight="1" x14ac:dyDescent="0.15">
      <c r="B95" s="92" t="s">
        <v>57</v>
      </c>
      <c r="C95" s="24" t="s">
        <v>65</v>
      </c>
      <c r="D95" s="95" t="s">
        <v>184</v>
      </c>
      <c r="E95" s="96"/>
      <c r="F95" s="96"/>
      <c r="G95" s="96"/>
      <c r="H95" s="96"/>
      <c r="I95" s="96"/>
      <c r="J95" s="96"/>
      <c r="K95" s="96"/>
      <c r="L95" s="96"/>
      <c r="M95" s="96"/>
      <c r="N95" s="96"/>
      <c r="O95" s="96"/>
      <c r="P95" s="96"/>
      <c r="Q95" s="96"/>
      <c r="R95" s="96"/>
      <c r="S95" s="96"/>
      <c r="T95" s="96"/>
      <c r="U95" s="97"/>
    </row>
    <row r="96" spans="1:27" ht="97.5" customHeight="1" x14ac:dyDescent="0.15">
      <c r="B96" s="94"/>
      <c r="C96" s="26" t="s">
        <v>66</v>
      </c>
      <c r="D96" s="101" t="s">
        <v>147</v>
      </c>
      <c r="E96" s="102"/>
      <c r="F96" s="102"/>
      <c r="G96" s="102"/>
      <c r="H96" s="102"/>
      <c r="I96" s="102"/>
      <c r="J96" s="102"/>
      <c r="K96" s="102"/>
      <c r="L96" s="102"/>
      <c r="M96" s="102"/>
      <c r="N96" s="102"/>
      <c r="O96" s="102"/>
      <c r="P96" s="102"/>
      <c r="Q96" s="102"/>
      <c r="R96" s="102"/>
      <c r="S96" s="102"/>
      <c r="T96" s="102"/>
      <c r="U96" s="103"/>
    </row>
    <row r="97" spans="1:21" ht="147.94999999999999" customHeight="1" x14ac:dyDescent="0.15">
      <c r="B97" s="92" t="s">
        <v>70</v>
      </c>
      <c r="C97" s="22" t="s">
        <v>52</v>
      </c>
      <c r="D97" s="95" t="s">
        <v>221</v>
      </c>
      <c r="E97" s="96"/>
      <c r="F97" s="96"/>
      <c r="G97" s="96"/>
      <c r="H97" s="96"/>
      <c r="I97" s="96"/>
      <c r="J97" s="96"/>
      <c r="K97" s="96"/>
      <c r="L97" s="96"/>
      <c r="M97" s="96"/>
      <c r="N97" s="96"/>
      <c r="O97" s="96"/>
      <c r="P97" s="96"/>
      <c r="Q97" s="96"/>
      <c r="R97" s="96"/>
      <c r="S97" s="96"/>
      <c r="T97" s="96"/>
      <c r="U97" s="97"/>
    </row>
    <row r="98" spans="1:21" ht="97.5" customHeight="1" x14ac:dyDescent="0.15">
      <c r="B98" s="94"/>
      <c r="C98" s="25" t="s">
        <v>54</v>
      </c>
      <c r="D98" s="101" t="s">
        <v>191</v>
      </c>
      <c r="E98" s="102"/>
      <c r="F98" s="102"/>
      <c r="G98" s="102"/>
      <c r="H98" s="102"/>
      <c r="I98" s="102"/>
      <c r="J98" s="102"/>
      <c r="K98" s="102"/>
      <c r="L98" s="102"/>
      <c r="M98" s="102"/>
      <c r="N98" s="102"/>
      <c r="O98" s="102"/>
      <c r="P98" s="102"/>
      <c r="Q98" s="102"/>
      <c r="R98" s="102"/>
      <c r="S98" s="102"/>
      <c r="T98" s="102"/>
      <c r="U98" s="103"/>
    </row>
    <row r="99" spans="1:21" ht="297" customHeight="1" x14ac:dyDescent="0.15">
      <c r="B99" s="92" t="s">
        <v>71</v>
      </c>
      <c r="C99" s="24" t="s">
        <v>51</v>
      </c>
      <c r="D99" s="95" t="s">
        <v>192</v>
      </c>
      <c r="E99" s="96"/>
      <c r="F99" s="96"/>
      <c r="G99" s="96"/>
      <c r="H99" s="96"/>
      <c r="I99" s="96"/>
      <c r="J99" s="96"/>
      <c r="K99" s="96"/>
      <c r="L99" s="96"/>
      <c r="M99" s="96"/>
      <c r="N99" s="96"/>
      <c r="O99" s="96"/>
      <c r="P99" s="96"/>
      <c r="Q99" s="96"/>
      <c r="R99" s="96"/>
      <c r="S99" s="96"/>
      <c r="T99" s="96"/>
      <c r="U99" s="97"/>
    </row>
    <row r="100" spans="1:21" ht="162" customHeight="1" x14ac:dyDescent="0.15">
      <c r="B100" s="93"/>
      <c r="C100" s="27" t="s">
        <v>67</v>
      </c>
      <c r="D100" s="98" t="s">
        <v>193</v>
      </c>
      <c r="E100" s="99"/>
      <c r="F100" s="99"/>
      <c r="G100" s="99"/>
      <c r="H100" s="99"/>
      <c r="I100" s="99"/>
      <c r="J100" s="99"/>
      <c r="K100" s="99"/>
      <c r="L100" s="99"/>
      <c r="M100" s="99"/>
      <c r="N100" s="99"/>
      <c r="O100" s="99"/>
      <c r="P100" s="99"/>
      <c r="Q100" s="99"/>
      <c r="R100" s="99"/>
      <c r="S100" s="99"/>
      <c r="T100" s="99"/>
      <c r="U100" s="100"/>
    </row>
    <row r="101" spans="1:21" ht="112.5" customHeight="1" x14ac:dyDescent="0.15">
      <c r="B101" s="94"/>
      <c r="C101" s="26" t="s">
        <v>68</v>
      </c>
      <c r="D101" s="101" t="s">
        <v>194</v>
      </c>
      <c r="E101" s="102"/>
      <c r="F101" s="102"/>
      <c r="G101" s="102"/>
      <c r="H101" s="102"/>
      <c r="I101" s="102"/>
      <c r="J101" s="102"/>
      <c r="K101" s="102"/>
      <c r="L101" s="102"/>
      <c r="M101" s="102"/>
      <c r="N101" s="102"/>
      <c r="O101" s="102"/>
      <c r="P101" s="102"/>
      <c r="Q101" s="102"/>
      <c r="R101" s="102"/>
      <c r="S101" s="102"/>
      <c r="T101" s="102"/>
      <c r="U101" s="103"/>
    </row>
    <row r="102" spans="1:21" ht="6" customHeight="1" x14ac:dyDescent="0.15"/>
    <row r="103" spans="1:21" ht="18.75" customHeight="1" x14ac:dyDescent="0.15">
      <c r="A103" s="8" t="s">
        <v>102</v>
      </c>
    </row>
    <row r="104" spans="1:21" ht="95.1" customHeight="1" x14ac:dyDescent="0.15">
      <c r="B104" s="104" t="s">
        <v>225</v>
      </c>
      <c r="C104" s="105"/>
      <c r="D104" s="105"/>
      <c r="E104" s="105"/>
      <c r="F104" s="105"/>
      <c r="G104" s="105"/>
      <c r="H104" s="105"/>
      <c r="I104" s="105"/>
      <c r="J104" s="105"/>
      <c r="K104" s="105"/>
      <c r="L104" s="105"/>
      <c r="M104" s="105"/>
      <c r="N104" s="105"/>
      <c r="O104" s="105"/>
      <c r="P104" s="105"/>
      <c r="Q104" s="105"/>
      <c r="R104" s="105"/>
      <c r="S104" s="105"/>
      <c r="T104" s="105"/>
      <c r="U104" s="106"/>
    </row>
    <row r="107" spans="1:21" ht="18" customHeight="1" x14ac:dyDescent="0.15"/>
  </sheetData>
  <mergeCells count="144">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R80:U80"/>
    <mergeCell ref="B81:F81"/>
    <mergeCell ref="G81:J81"/>
    <mergeCell ref="K81:Q81"/>
    <mergeCell ref="R81:U81"/>
    <mergeCell ref="B82:F82"/>
    <mergeCell ref="G82:J82"/>
    <mergeCell ref="K82:Q82"/>
    <mergeCell ref="R82:U82"/>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91:B92"/>
    <mergeCell ref="D91:U91"/>
    <mergeCell ref="D92:U92"/>
    <mergeCell ref="B93:B94"/>
    <mergeCell ref="D93:U93"/>
    <mergeCell ref="D94:U94"/>
    <mergeCell ref="B87:F87"/>
    <mergeCell ref="G87:J87"/>
    <mergeCell ref="K87:Q87"/>
    <mergeCell ref="R87:U87"/>
    <mergeCell ref="B90:C90"/>
    <mergeCell ref="D90:U90"/>
    <mergeCell ref="B99:B101"/>
    <mergeCell ref="D99:U99"/>
    <mergeCell ref="D100:U100"/>
    <mergeCell ref="D101:U101"/>
    <mergeCell ref="B104:U104"/>
    <mergeCell ref="B95:B96"/>
    <mergeCell ref="D95:U95"/>
    <mergeCell ref="D96:U96"/>
    <mergeCell ref="B97:B98"/>
    <mergeCell ref="D97:U97"/>
    <mergeCell ref="D98:U98"/>
  </mergeCells>
  <phoneticPr fontId="1"/>
  <conditionalFormatting sqref="B11:U12">
    <cfRule type="expression" dxfId="7" priority="1">
      <formula>$L$7="学部・学科によって、修了要件は相違しない"</formula>
    </cfRule>
    <cfRule type="expression" dxfId="6" priority="2">
      <formula>$L$9="学部・学科によって、修了要件は相違しない"</formula>
    </cfRule>
  </conditionalFormatting>
  <dataValidations count="6">
    <dataValidation type="list" allowBlank="1" showInputMessage="1" showErrorMessage="1" sqref="H60:J66 S27:U33 H27:J33 S38:U44 H38:J44 S49:U55 H49:J55 S60:U66 G71:J77 R71:U77" xr:uid="{00000000-0002-0000-0100-000000000000}">
      <formula1>"○"</formula1>
    </dataValidation>
    <dataValidation type="list" allowBlank="1" showInputMessage="1" showErrorMessage="1" sqref="U34 U45 E34:H34 E45:H45" xr:uid="{00000000-0002-0000-0100-000001000000}">
      <formula1>"全学開講,一部開講"</formula1>
    </dataValidation>
    <dataValidation type="list" allowBlank="1" showInputMessage="1" showErrorMessage="1" sqref="L14 L7:U7" xr:uid="{00000000-0002-0000-0100-000002000000}">
      <formula1>"学部・学科によって、修了要件は相違する,学部・学科によって、修了要件は相違しない"</formula1>
    </dataValidation>
    <dataValidation type="list" allowBlank="1" showInputMessage="1" showErrorMessage="1" sqref="G88:J88 R88:U88"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100-000004000000}">
      <formula1>$X$16:$X$18</formula1>
    </dataValidation>
    <dataValidation type="list" allowBlank="1" showInputMessage="1" showErrorMessage="1" sqref="G81:J87 R81:U87" xr:uid="{00000000-0002-0000-0100-000005000000}">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A107"/>
  <sheetViews>
    <sheetView showZeros="0" view="pageBreakPreview" topLeftCell="B9" zoomScaleNormal="100" zoomScaleSheetLayoutView="100" workbookViewId="0">
      <selection activeCell="B9" sqref="A1:XFD1048576"/>
    </sheetView>
  </sheetViews>
  <sheetFormatPr defaultColWidth="9" defaultRowHeight="18.75" customHeight="1" x14ac:dyDescent="0.15"/>
  <cols>
    <col min="1" max="1" width="2.5" style="8" customWidth="1"/>
    <col min="2" max="2" width="16.5" style="8" customWidth="1"/>
    <col min="3" max="4" width="5.625" style="8" customWidth="1"/>
    <col min="5" max="5" width="19.875" style="8" customWidth="1"/>
    <col min="6" max="6" width="8.75" style="8" customWidth="1"/>
    <col min="7" max="21" width="5.625" style="8" customWidth="1"/>
    <col min="22" max="22" width="9" style="8"/>
    <col min="23" max="23" width="3.625" style="8" customWidth="1"/>
    <col min="24" max="24" width="48.625" style="8" hidden="1" customWidth="1"/>
    <col min="25" max="26" width="9" style="8"/>
    <col min="27" max="27" width="9" style="8" hidden="1" customWidth="1"/>
    <col min="28" max="16384" width="9" style="8"/>
  </cols>
  <sheetData>
    <row r="1" spans="1:24" ht="18.600000000000001" customHeight="1" x14ac:dyDescent="0.15">
      <c r="T1" s="146" t="s">
        <v>160</v>
      </c>
      <c r="U1" s="146"/>
      <c r="V1" s="9" t="s">
        <v>93</v>
      </c>
    </row>
    <row r="2" spans="1:24" ht="18.75" customHeight="1" x14ac:dyDescent="0.15">
      <c r="B2" s="10" t="s">
        <v>92</v>
      </c>
      <c r="C2" s="115" t="s">
        <v>142</v>
      </c>
      <c r="D2" s="116"/>
      <c r="E2" s="116"/>
      <c r="F2" s="116"/>
      <c r="G2" s="116"/>
      <c r="H2" s="116"/>
      <c r="I2" s="116"/>
      <c r="J2" s="117"/>
      <c r="K2" s="83"/>
      <c r="L2" s="11"/>
      <c r="M2" s="11"/>
      <c r="N2" s="11"/>
      <c r="O2" s="11"/>
      <c r="P2" s="11"/>
      <c r="Q2" s="11"/>
      <c r="R2" s="11"/>
      <c r="S2" s="11"/>
      <c r="T2" s="11"/>
      <c r="U2" s="11"/>
    </row>
    <row r="3" spans="1:24" ht="18.75" customHeight="1" x14ac:dyDescent="0.15">
      <c r="B3" s="10" t="s">
        <v>87</v>
      </c>
      <c r="C3" s="115" t="s">
        <v>143</v>
      </c>
      <c r="D3" s="116"/>
      <c r="E3" s="116"/>
      <c r="F3" s="116"/>
      <c r="G3" s="116"/>
      <c r="H3" s="116"/>
      <c r="I3" s="116"/>
      <c r="J3" s="117"/>
      <c r="K3" s="83"/>
      <c r="L3" s="11"/>
      <c r="M3" s="11"/>
      <c r="N3" s="11"/>
      <c r="O3" s="11"/>
      <c r="P3" s="11"/>
      <c r="Q3" s="11"/>
      <c r="R3" s="11"/>
      <c r="S3" s="11"/>
      <c r="T3" s="11"/>
      <c r="U3" s="11"/>
    </row>
    <row r="4" spans="1:24" ht="15" customHeight="1" x14ac:dyDescent="0.15">
      <c r="L4" s="83"/>
      <c r="M4" s="12"/>
      <c r="N4" s="12"/>
      <c r="O4" s="12"/>
      <c r="P4" s="12"/>
      <c r="Q4" s="12"/>
      <c r="R4" s="12"/>
      <c r="S4" s="12"/>
      <c r="T4" s="12"/>
      <c r="U4" s="12"/>
    </row>
    <row r="5" spans="1:24" ht="18" customHeight="1" x14ac:dyDescent="0.15">
      <c r="A5" s="147" t="s">
        <v>140</v>
      </c>
      <c r="B5" s="147"/>
      <c r="C5" s="147"/>
      <c r="D5" s="147"/>
      <c r="E5" s="147"/>
      <c r="F5" s="147"/>
      <c r="G5" s="147"/>
      <c r="H5" s="147"/>
      <c r="I5" s="147"/>
      <c r="J5" s="147"/>
      <c r="K5" s="147"/>
      <c r="L5" s="147"/>
      <c r="M5" s="147"/>
      <c r="N5" s="147"/>
      <c r="O5" s="147"/>
      <c r="P5" s="147"/>
      <c r="Q5" s="147"/>
      <c r="R5" s="147"/>
      <c r="S5" s="147"/>
      <c r="T5" s="147"/>
      <c r="U5" s="147"/>
    </row>
    <row r="6" spans="1:24" ht="15" customHeight="1" x14ac:dyDescent="0.15">
      <c r="B6" s="6"/>
      <c r="C6" s="6"/>
      <c r="D6" s="6"/>
      <c r="E6" s="6"/>
      <c r="F6" s="6"/>
      <c r="G6" s="6"/>
      <c r="H6" s="6"/>
      <c r="I6" s="6"/>
      <c r="J6" s="6"/>
      <c r="K6" s="6"/>
      <c r="L6" s="6"/>
      <c r="M6" s="6"/>
      <c r="N6" s="6"/>
      <c r="O6" s="6"/>
      <c r="P6" s="6"/>
      <c r="Q6" s="6"/>
      <c r="R6" s="6"/>
      <c r="S6" s="6"/>
      <c r="T6" s="6"/>
      <c r="U6" s="6"/>
    </row>
    <row r="7" spans="1:24" ht="15" customHeight="1" x14ac:dyDescent="0.15">
      <c r="A7" s="8" t="s">
        <v>116</v>
      </c>
      <c r="B7" s="6"/>
      <c r="C7" s="6"/>
      <c r="D7" s="6"/>
      <c r="E7" s="6"/>
      <c r="F7" s="9"/>
      <c r="G7" s="9"/>
      <c r="H7" s="9"/>
      <c r="I7" s="9"/>
      <c r="J7" s="9"/>
      <c r="K7" s="9"/>
      <c r="L7" s="148" t="s">
        <v>115</v>
      </c>
      <c r="M7" s="149"/>
      <c r="N7" s="149"/>
      <c r="O7" s="149"/>
      <c r="P7" s="149"/>
      <c r="Q7" s="149"/>
      <c r="R7" s="149"/>
      <c r="S7" s="149"/>
      <c r="T7" s="149"/>
      <c r="U7" s="150"/>
    </row>
    <row r="8" spans="1:24" ht="6" customHeight="1" x14ac:dyDescent="0.15">
      <c r="B8" s="6"/>
      <c r="C8" s="6"/>
      <c r="D8" s="6"/>
      <c r="E8" s="6"/>
      <c r="F8" s="6"/>
      <c r="G8" s="6"/>
      <c r="H8" s="6"/>
      <c r="I8" s="6"/>
      <c r="J8" s="6"/>
      <c r="K8" s="6"/>
      <c r="L8" s="6"/>
      <c r="M8" s="6"/>
      <c r="N8" s="6"/>
      <c r="O8" s="6"/>
      <c r="P8" s="6"/>
      <c r="Q8" s="6"/>
      <c r="R8" s="6"/>
      <c r="S8" s="6"/>
      <c r="T8" s="6"/>
      <c r="U8" s="6"/>
    </row>
    <row r="9" spans="1:24" ht="18" customHeight="1" x14ac:dyDescent="0.15">
      <c r="A9" s="8" t="s">
        <v>117</v>
      </c>
      <c r="C9" s="6"/>
      <c r="D9" s="6"/>
      <c r="K9" s="83"/>
      <c r="L9" s="9"/>
      <c r="M9" s="9"/>
      <c r="N9" s="9"/>
      <c r="O9" s="9"/>
      <c r="P9" s="9"/>
      <c r="Q9" s="9"/>
      <c r="R9" s="9"/>
      <c r="S9" s="9"/>
      <c r="T9" s="9"/>
      <c r="U9" s="9"/>
    </row>
    <row r="10" spans="1:24" ht="6" customHeight="1" x14ac:dyDescent="0.15">
      <c r="B10" s="6"/>
      <c r="C10" s="6"/>
      <c r="D10" s="6"/>
      <c r="E10" s="6"/>
      <c r="F10" s="6"/>
      <c r="G10" s="6"/>
      <c r="H10" s="6"/>
      <c r="I10" s="6"/>
      <c r="J10" s="6"/>
      <c r="K10" s="6"/>
      <c r="L10" s="5"/>
      <c r="M10" s="6"/>
      <c r="N10" s="6"/>
      <c r="O10" s="6"/>
      <c r="P10" s="6"/>
      <c r="Q10" s="6"/>
      <c r="R10" s="6"/>
      <c r="S10" s="6"/>
      <c r="T10" s="6"/>
      <c r="U10" s="6"/>
    </row>
    <row r="11" spans="1:24" ht="18" customHeight="1" x14ac:dyDescent="0.15">
      <c r="B11" s="151" t="s">
        <v>165</v>
      </c>
      <c r="C11" s="152"/>
      <c r="D11" s="152"/>
      <c r="E11" s="152"/>
      <c r="F11" s="152"/>
      <c r="G11" s="152"/>
      <c r="H11" s="152"/>
      <c r="I11" s="152"/>
      <c r="J11" s="152"/>
      <c r="K11" s="152"/>
      <c r="L11" s="152"/>
      <c r="M11" s="152"/>
      <c r="N11" s="152"/>
      <c r="O11" s="152"/>
      <c r="P11" s="152"/>
      <c r="Q11" s="152"/>
      <c r="R11" s="152"/>
      <c r="S11" s="152"/>
      <c r="T11" s="152"/>
      <c r="U11" s="153"/>
    </row>
    <row r="12" spans="1:24" ht="18" customHeight="1" x14ac:dyDescent="0.15">
      <c r="B12" s="154"/>
      <c r="C12" s="155"/>
      <c r="D12" s="155"/>
      <c r="E12" s="155"/>
      <c r="F12" s="155"/>
      <c r="G12" s="155"/>
      <c r="H12" s="155"/>
      <c r="I12" s="155"/>
      <c r="J12" s="155"/>
      <c r="K12" s="155"/>
      <c r="L12" s="155"/>
      <c r="M12" s="155"/>
      <c r="N12" s="155"/>
      <c r="O12" s="155"/>
      <c r="P12" s="155"/>
      <c r="Q12" s="155"/>
      <c r="R12" s="155"/>
      <c r="S12" s="155"/>
      <c r="T12" s="155"/>
      <c r="U12" s="156"/>
    </row>
    <row r="13" spans="1:24" ht="6" customHeight="1" x14ac:dyDescent="0.15">
      <c r="B13" s="6"/>
      <c r="C13" s="6"/>
      <c r="D13" s="6"/>
      <c r="E13" s="6"/>
      <c r="F13" s="6"/>
      <c r="G13" s="6"/>
      <c r="H13" s="6"/>
      <c r="I13" s="6"/>
      <c r="J13" s="6"/>
      <c r="K13" s="6"/>
      <c r="L13" s="5"/>
      <c r="M13" s="6"/>
      <c r="N13" s="6"/>
      <c r="O13" s="6"/>
      <c r="P13" s="6"/>
      <c r="Q13" s="6"/>
      <c r="R13" s="6"/>
      <c r="S13" s="6"/>
      <c r="T13" s="6"/>
      <c r="U13" s="6"/>
    </row>
    <row r="14" spans="1:24" ht="18" customHeight="1" x14ac:dyDescent="0.15">
      <c r="A14" s="8" t="s">
        <v>94</v>
      </c>
      <c r="B14" s="6"/>
      <c r="C14" s="6"/>
      <c r="D14" s="6"/>
      <c r="E14" s="83"/>
      <c r="F14" s="83"/>
      <c r="G14" s="83"/>
      <c r="H14" s="83"/>
      <c r="I14" s="83"/>
      <c r="J14" s="83"/>
      <c r="K14" s="83"/>
      <c r="L14" s="13"/>
      <c r="M14" s="13"/>
      <c r="N14" s="13"/>
      <c r="O14" s="13"/>
      <c r="P14" s="13"/>
      <c r="Q14" s="13"/>
      <c r="R14" s="13"/>
      <c r="S14" s="13"/>
      <c r="T14" s="13"/>
      <c r="U14" s="13"/>
    </row>
    <row r="15" spans="1:24" ht="18" customHeight="1" x14ac:dyDescent="0.15">
      <c r="B15" s="134" t="s">
        <v>234</v>
      </c>
      <c r="C15" s="135"/>
      <c r="D15" s="135"/>
      <c r="E15" s="135"/>
      <c r="F15" s="135"/>
      <c r="G15" s="135"/>
      <c r="H15" s="135"/>
      <c r="I15" s="135"/>
      <c r="J15" s="135"/>
      <c r="K15" s="135"/>
      <c r="L15" s="135"/>
      <c r="M15" s="135"/>
      <c r="N15" s="135"/>
      <c r="O15" s="135"/>
      <c r="P15" s="135"/>
      <c r="Q15" s="135"/>
      <c r="R15" s="135"/>
      <c r="S15" s="135"/>
      <c r="T15" s="135"/>
      <c r="U15" s="136"/>
      <c r="X15" s="8" t="s">
        <v>88</v>
      </c>
    </row>
    <row r="16" spans="1:24" ht="18" customHeight="1" x14ac:dyDescent="0.15">
      <c r="B16" s="137"/>
      <c r="C16" s="138"/>
      <c r="D16" s="138"/>
      <c r="E16" s="138"/>
      <c r="F16" s="138"/>
      <c r="G16" s="138"/>
      <c r="H16" s="138"/>
      <c r="I16" s="138"/>
      <c r="J16" s="138"/>
      <c r="K16" s="138"/>
      <c r="L16" s="138"/>
      <c r="M16" s="138"/>
      <c r="N16" s="138"/>
      <c r="O16" s="138"/>
      <c r="P16" s="138"/>
      <c r="Q16" s="138"/>
      <c r="R16" s="138"/>
      <c r="S16" s="138"/>
      <c r="T16" s="138"/>
      <c r="U16" s="139"/>
      <c r="X16" s="8" t="s">
        <v>121</v>
      </c>
    </row>
    <row r="17" spans="1:24" ht="18" customHeight="1" x14ac:dyDescent="0.15">
      <c r="B17" s="137"/>
      <c r="C17" s="138"/>
      <c r="D17" s="138"/>
      <c r="E17" s="138"/>
      <c r="F17" s="138"/>
      <c r="G17" s="138"/>
      <c r="H17" s="138"/>
      <c r="I17" s="138"/>
      <c r="J17" s="138"/>
      <c r="K17" s="138"/>
      <c r="L17" s="138"/>
      <c r="M17" s="138"/>
      <c r="N17" s="138"/>
      <c r="O17" s="138"/>
      <c r="P17" s="138"/>
      <c r="Q17" s="138"/>
      <c r="R17" s="138"/>
      <c r="S17" s="138"/>
      <c r="T17" s="138"/>
      <c r="U17" s="139"/>
      <c r="X17" s="8" t="s">
        <v>122</v>
      </c>
    </row>
    <row r="18" spans="1:24" ht="18" customHeight="1" x14ac:dyDescent="0.15">
      <c r="B18" s="137"/>
      <c r="C18" s="138"/>
      <c r="D18" s="138"/>
      <c r="E18" s="138"/>
      <c r="F18" s="138"/>
      <c r="G18" s="138"/>
      <c r="H18" s="138"/>
      <c r="I18" s="138"/>
      <c r="J18" s="138"/>
      <c r="K18" s="138"/>
      <c r="L18" s="138"/>
      <c r="M18" s="138"/>
      <c r="N18" s="138"/>
      <c r="O18" s="138"/>
      <c r="P18" s="138"/>
      <c r="Q18" s="138"/>
      <c r="R18" s="138"/>
      <c r="S18" s="138"/>
      <c r="T18" s="138"/>
      <c r="U18" s="139"/>
      <c r="X18" s="8" t="s">
        <v>123</v>
      </c>
    </row>
    <row r="19" spans="1:24" ht="18" customHeight="1" x14ac:dyDescent="0.15">
      <c r="B19" s="137"/>
      <c r="C19" s="138"/>
      <c r="D19" s="138"/>
      <c r="E19" s="138"/>
      <c r="F19" s="138"/>
      <c r="G19" s="138"/>
      <c r="H19" s="138"/>
      <c r="I19" s="138"/>
      <c r="J19" s="138"/>
      <c r="K19" s="138"/>
      <c r="L19" s="138"/>
      <c r="M19" s="138"/>
      <c r="N19" s="138"/>
      <c r="O19" s="138"/>
      <c r="P19" s="138"/>
      <c r="Q19" s="138"/>
      <c r="R19" s="138"/>
      <c r="S19" s="138"/>
      <c r="T19" s="138"/>
      <c r="U19" s="139"/>
    </row>
    <row r="20" spans="1:24" ht="160.5" customHeight="1" x14ac:dyDescent="0.15">
      <c r="B20" s="140"/>
      <c r="C20" s="141"/>
      <c r="D20" s="141"/>
      <c r="E20" s="141"/>
      <c r="F20" s="141"/>
      <c r="G20" s="141"/>
      <c r="H20" s="141"/>
      <c r="I20" s="141"/>
      <c r="J20" s="141"/>
      <c r="K20" s="141"/>
      <c r="L20" s="141"/>
      <c r="M20" s="141"/>
      <c r="N20" s="141"/>
      <c r="O20" s="141"/>
      <c r="P20" s="141"/>
      <c r="Q20" s="141"/>
      <c r="R20" s="141"/>
      <c r="S20" s="141"/>
      <c r="T20" s="141"/>
      <c r="U20" s="142"/>
    </row>
    <row r="21" spans="1:24" ht="7.5" customHeight="1" x14ac:dyDescent="0.15">
      <c r="B21" s="6"/>
      <c r="C21" s="6"/>
      <c r="D21" s="6"/>
      <c r="E21" s="6"/>
      <c r="F21" s="6"/>
      <c r="G21" s="6"/>
      <c r="H21" s="6"/>
      <c r="I21" s="6"/>
      <c r="J21" s="6"/>
      <c r="K21" s="6"/>
      <c r="L21" s="6"/>
      <c r="M21" s="6"/>
      <c r="N21" s="6"/>
      <c r="O21" s="6"/>
      <c r="P21" s="6"/>
      <c r="Q21" s="6"/>
      <c r="R21" s="6"/>
      <c r="S21" s="6"/>
      <c r="T21" s="6"/>
      <c r="U21" s="6"/>
    </row>
    <row r="22" spans="1:24" ht="20.100000000000001" customHeight="1" x14ac:dyDescent="0.15">
      <c r="B22" s="8" t="s">
        <v>118</v>
      </c>
      <c r="E22" s="10">
        <v>2</v>
      </c>
      <c r="F22" s="8" t="s">
        <v>105</v>
      </c>
      <c r="H22" s="10">
        <v>3</v>
      </c>
      <c r="I22" s="6" t="s">
        <v>106</v>
      </c>
      <c r="J22" s="6"/>
      <c r="K22" s="83"/>
      <c r="M22" s="83" t="s">
        <v>103</v>
      </c>
      <c r="N22" s="143" t="s">
        <v>122</v>
      </c>
      <c r="O22" s="144"/>
      <c r="P22" s="144"/>
      <c r="Q22" s="144"/>
      <c r="R22" s="144"/>
      <c r="S22" s="144"/>
      <c r="T22" s="144"/>
      <c r="U22" s="145"/>
    </row>
    <row r="23" spans="1:24" ht="7.5" customHeight="1" x14ac:dyDescent="0.15">
      <c r="B23" s="6"/>
      <c r="C23" s="6"/>
      <c r="D23" s="6"/>
      <c r="E23" s="6"/>
      <c r="F23" s="6"/>
      <c r="G23" s="6"/>
      <c r="H23" s="6"/>
      <c r="I23" s="6"/>
      <c r="J23" s="6"/>
      <c r="K23" s="6"/>
      <c r="L23" s="6"/>
      <c r="M23" s="6"/>
      <c r="N23" s="6"/>
      <c r="O23" s="6"/>
      <c r="P23" s="6"/>
      <c r="Q23" s="6"/>
      <c r="R23" s="6"/>
      <c r="S23" s="6"/>
      <c r="T23" s="6"/>
      <c r="U23" s="6"/>
    </row>
    <row r="24" spans="1:24" ht="18" customHeight="1" x14ac:dyDescent="0.15">
      <c r="A24" s="133" t="s">
        <v>95</v>
      </c>
      <c r="B24" s="133"/>
      <c r="C24" s="133"/>
      <c r="D24" s="133"/>
      <c r="E24" s="133"/>
      <c r="F24" s="133"/>
      <c r="G24" s="133"/>
      <c r="H24" s="133"/>
      <c r="I24" s="133"/>
      <c r="J24" s="133"/>
      <c r="K24" s="133"/>
      <c r="L24" s="133"/>
      <c r="M24" s="133"/>
      <c r="N24" s="133"/>
      <c r="O24" s="133"/>
      <c r="P24" s="133"/>
      <c r="Q24" s="133"/>
      <c r="R24" s="133"/>
      <c r="S24" s="133"/>
      <c r="T24" s="133"/>
      <c r="U24" s="133"/>
    </row>
    <row r="25" spans="1:24" ht="18" customHeight="1" x14ac:dyDescent="0.15">
      <c r="A25" s="133"/>
      <c r="B25" s="133"/>
      <c r="C25" s="133"/>
      <c r="D25" s="133"/>
      <c r="E25" s="133"/>
      <c r="F25" s="133"/>
      <c r="G25" s="133"/>
      <c r="H25" s="133"/>
      <c r="I25" s="133"/>
      <c r="J25" s="133"/>
      <c r="K25" s="133"/>
      <c r="L25" s="133"/>
      <c r="M25" s="133"/>
      <c r="N25" s="133"/>
      <c r="O25" s="133"/>
      <c r="P25" s="133"/>
      <c r="Q25" s="133"/>
      <c r="R25" s="133"/>
      <c r="S25" s="133"/>
      <c r="T25" s="133"/>
      <c r="U25" s="133"/>
    </row>
    <row r="26" spans="1:24" ht="18" customHeight="1" x14ac:dyDescent="0.15">
      <c r="B26" s="115" t="s">
        <v>47</v>
      </c>
      <c r="C26" s="116"/>
      <c r="D26" s="116"/>
      <c r="E26" s="116"/>
      <c r="F26" s="117"/>
      <c r="G26" s="14" t="s">
        <v>72</v>
      </c>
      <c r="H26" s="15" t="s">
        <v>75</v>
      </c>
      <c r="I26" s="16" t="s">
        <v>50</v>
      </c>
      <c r="J26" s="16" t="s">
        <v>53</v>
      </c>
      <c r="K26" s="115" t="s">
        <v>47</v>
      </c>
      <c r="L26" s="116"/>
      <c r="M26" s="116"/>
      <c r="N26" s="116"/>
      <c r="O26" s="116"/>
      <c r="P26" s="116"/>
      <c r="Q26" s="117"/>
      <c r="R26" s="14" t="s">
        <v>72</v>
      </c>
      <c r="S26" s="15" t="s">
        <v>75</v>
      </c>
      <c r="T26" s="16" t="s">
        <v>50</v>
      </c>
      <c r="U26" s="16" t="s">
        <v>53</v>
      </c>
    </row>
    <row r="27" spans="1:24" ht="18" customHeight="1" x14ac:dyDescent="0.15">
      <c r="B27" s="124" t="s">
        <v>144</v>
      </c>
      <c r="C27" s="125"/>
      <c r="D27" s="125"/>
      <c r="E27" s="125"/>
      <c r="F27" s="126"/>
      <c r="G27" s="17">
        <v>1</v>
      </c>
      <c r="H27" s="17" t="s">
        <v>145</v>
      </c>
      <c r="I27" s="17" t="s">
        <v>145</v>
      </c>
      <c r="J27" s="17" t="s">
        <v>145</v>
      </c>
      <c r="K27" s="124"/>
      <c r="L27" s="125"/>
      <c r="M27" s="125"/>
      <c r="N27" s="125"/>
      <c r="O27" s="125"/>
      <c r="P27" s="125"/>
      <c r="Q27" s="126"/>
      <c r="R27" s="17"/>
      <c r="S27" s="17"/>
      <c r="T27" s="17"/>
      <c r="U27" s="17"/>
    </row>
    <row r="28" spans="1:24" ht="18" customHeight="1" x14ac:dyDescent="0.15">
      <c r="B28" s="118"/>
      <c r="C28" s="119"/>
      <c r="D28" s="119"/>
      <c r="E28" s="119"/>
      <c r="F28" s="120"/>
      <c r="G28" s="18"/>
      <c r="H28" s="18"/>
      <c r="I28" s="18"/>
      <c r="J28" s="18"/>
      <c r="K28" s="118"/>
      <c r="L28" s="119"/>
      <c r="M28" s="119"/>
      <c r="N28" s="119"/>
      <c r="O28" s="119"/>
      <c r="P28" s="119"/>
      <c r="Q28" s="120"/>
      <c r="R28" s="18"/>
      <c r="S28" s="18"/>
      <c r="T28" s="18"/>
      <c r="U28" s="18"/>
    </row>
    <row r="29" spans="1:24" ht="18" customHeight="1" x14ac:dyDescent="0.15">
      <c r="B29" s="118"/>
      <c r="C29" s="119"/>
      <c r="D29" s="119"/>
      <c r="E29" s="119"/>
      <c r="F29" s="120"/>
      <c r="G29" s="18"/>
      <c r="H29" s="18"/>
      <c r="I29" s="18"/>
      <c r="J29" s="18"/>
      <c r="K29" s="118"/>
      <c r="L29" s="119"/>
      <c r="M29" s="119"/>
      <c r="N29" s="119"/>
      <c r="O29" s="119"/>
      <c r="P29" s="119"/>
      <c r="Q29" s="120"/>
      <c r="R29" s="18"/>
      <c r="S29" s="18"/>
      <c r="T29" s="18"/>
      <c r="U29" s="18"/>
    </row>
    <row r="30" spans="1:24" ht="18" customHeight="1" x14ac:dyDescent="0.15">
      <c r="B30" s="118"/>
      <c r="C30" s="119"/>
      <c r="D30" s="119"/>
      <c r="E30" s="119"/>
      <c r="F30" s="120"/>
      <c r="G30" s="18"/>
      <c r="H30" s="18"/>
      <c r="I30" s="18"/>
      <c r="J30" s="18"/>
      <c r="K30" s="118"/>
      <c r="L30" s="119"/>
      <c r="M30" s="119"/>
      <c r="N30" s="119"/>
      <c r="O30" s="119"/>
      <c r="P30" s="119"/>
      <c r="Q30" s="120"/>
      <c r="R30" s="18"/>
      <c r="S30" s="18"/>
      <c r="T30" s="18"/>
      <c r="U30" s="18"/>
    </row>
    <row r="31" spans="1:24" ht="18" customHeight="1" x14ac:dyDescent="0.15">
      <c r="B31" s="118"/>
      <c r="C31" s="119"/>
      <c r="D31" s="119"/>
      <c r="E31" s="119"/>
      <c r="F31" s="120"/>
      <c r="G31" s="18"/>
      <c r="H31" s="18"/>
      <c r="I31" s="18"/>
      <c r="J31" s="18"/>
      <c r="K31" s="118"/>
      <c r="L31" s="119"/>
      <c r="M31" s="119"/>
      <c r="N31" s="119"/>
      <c r="O31" s="119"/>
      <c r="P31" s="119"/>
      <c r="Q31" s="120"/>
      <c r="R31" s="18"/>
      <c r="S31" s="18"/>
      <c r="T31" s="18"/>
      <c r="U31" s="18"/>
    </row>
    <row r="32" spans="1:24" ht="18" customHeight="1" x14ac:dyDescent="0.15">
      <c r="A32" s="6"/>
      <c r="B32" s="118"/>
      <c r="C32" s="119"/>
      <c r="D32" s="119"/>
      <c r="E32" s="119"/>
      <c r="F32" s="120"/>
      <c r="G32" s="18"/>
      <c r="H32" s="18"/>
      <c r="I32" s="18"/>
      <c r="J32" s="18"/>
      <c r="K32" s="118"/>
      <c r="L32" s="119"/>
      <c r="M32" s="119"/>
      <c r="N32" s="119"/>
      <c r="O32" s="119"/>
      <c r="P32" s="119"/>
      <c r="Q32" s="120"/>
      <c r="R32" s="18"/>
      <c r="S32" s="18"/>
      <c r="T32" s="18"/>
      <c r="U32" s="18"/>
    </row>
    <row r="33" spans="1:21" ht="18" customHeight="1" x14ac:dyDescent="0.15">
      <c r="A33" s="6"/>
      <c r="B33" s="107"/>
      <c r="C33" s="108"/>
      <c r="D33" s="108"/>
      <c r="E33" s="108"/>
      <c r="F33" s="109"/>
      <c r="G33" s="19"/>
      <c r="H33" s="19"/>
      <c r="I33" s="20"/>
      <c r="J33" s="20"/>
      <c r="K33" s="107"/>
      <c r="L33" s="108"/>
      <c r="M33" s="108"/>
      <c r="N33" s="108"/>
      <c r="O33" s="108"/>
      <c r="P33" s="108"/>
      <c r="Q33" s="109"/>
      <c r="R33" s="19"/>
      <c r="S33" s="19"/>
      <c r="T33" s="20"/>
      <c r="U33" s="20"/>
    </row>
    <row r="34" spans="1:21" ht="7.5" customHeight="1" x14ac:dyDescent="0.15">
      <c r="A34" s="6"/>
      <c r="B34" s="11"/>
      <c r="C34" s="11"/>
      <c r="D34" s="11"/>
      <c r="E34" s="6"/>
      <c r="F34" s="6"/>
      <c r="G34" s="6"/>
      <c r="H34" s="6"/>
      <c r="I34" s="11"/>
      <c r="J34" s="11"/>
      <c r="K34" s="11"/>
      <c r="L34" s="11"/>
      <c r="M34" s="11"/>
      <c r="N34" s="11"/>
      <c r="O34" s="11"/>
      <c r="P34" s="11"/>
      <c r="Q34" s="11"/>
      <c r="R34" s="11"/>
      <c r="S34" s="11"/>
      <c r="T34" s="11"/>
      <c r="U34" s="6"/>
    </row>
    <row r="35" spans="1:21" ht="18" customHeight="1" x14ac:dyDescent="0.15">
      <c r="A35" s="133" t="s">
        <v>96</v>
      </c>
      <c r="B35" s="133"/>
      <c r="C35" s="133"/>
      <c r="D35" s="133"/>
      <c r="E35" s="133"/>
      <c r="F35" s="133"/>
      <c r="G35" s="133"/>
      <c r="H35" s="133"/>
      <c r="I35" s="133"/>
      <c r="J35" s="133"/>
      <c r="K35" s="133"/>
      <c r="L35" s="133"/>
      <c r="M35" s="133"/>
      <c r="N35" s="133"/>
      <c r="O35" s="133"/>
      <c r="P35" s="133"/>
      <c r="Q35" s="133"/>
      <c r="R35" s="133"/>
      <c r="S35" s="133"/>
      <c r="T35" s="133"/>
      <c r="U35" s="133"/>
    </row>
    <row r="36" spans="1:21" ht="18" customHeight="1" x14ac:dyDescent="0.15">
      <c r="A36" s="133"/>
      <c r="B36" s="133"/>
      <c r="C36" s="133"/>
      <c r="D36" s="133"/>
      <c r="E36" s="133"/>
      <c r="F36" s="133"/>
      <c r="G36" s="133"/>
      <c r="H36" s="133"/>
      <c r="I36" s="133"/>
      <c r="J36" s="133"/>
      <c r="K36" s="133"/>
      <c r="L36" s="133"/>
      <c r="M36" s="133"/>
      <c r="N36" s="133"/>
      <c r="O36" s="133"/>
      <c r="P36" s="133"/>
      <c r="Q36" s="133"/>
      <c r="R36" s="133"/>
      <c r="S36" s="133"/>
      <c r="T36" s="133"/>
      <c r="U36" s="133"/>
    </row>
    <row r="37" spans="1:21" ht="18" customHeight="1" x14ac:dyDescent="0.15">
      <c r="B37" s="115" t="s">
        <v>47</v>
      </c>
      <c r="C37" s="116"/>
      <c r="D37" s="116"/>
      <c r="E37" s="116"/>
      <c r="F37" s="117"/>
      <c r="G37" s="14" t="s">
        <v>72</v>
      </c>
      <c r="H37" s="15" t="s">
        <v>75</v>
      </c>
      <c r="I37" s="16" t="s">
        <v>63</v>
      </c>
      <c r="J37" s="16" t="s">
        <v>64</v>
      </c>
      <c r="K37" s="115" t="s">
        <v>47</v>
      </c>
      <c r="L37" s="116"/>
      <c r="M37" s="116"/>
      <c r="N37" s="116"/>
      <c r="O37" s="116"/>
      <c r="P37" s="116"/>
      <c r="Q37" s="117"/>
      <c r="R37" s="14" t="s">
        <v>72</v>
      </c>
      <c r="S37" s="15" t="s">
        <v>75</v>
      </c>
      <c r="T37" s="16" t="s">
        <v>63</v>
      </c>
      <c r="U37" s="16" t="s">
        <v>64</v>
      </c>
    </row>
    <row r="38" spans="1:21" ht="18" customHeight="1" x14ac:dyDescent="0.15">
      <c r="B38" s="124" t="s">
        <v>144</v>
      </c>
      <c r="C38" s="125"/>
      <c r="D38" s="125"/>
      <c r="E38" s="125"/>
      <c r="F38" s="126"/>
      <c r="G38" s="17">
        <v>1</v>
      </c>
      <c r="H38" s="17" t="s">
        <v>145</v>
      </c>
      <c r="I38" s="17" t="s">
        <v>145</v>
      </c>
      <c r="J38" s="17" t="s">
        <v>145</v>
      </c>
      <c r="K38" s="124"/>
      <c r="L38" s="125"/>
      <c r="M38" s="125"/>
      <c r="N38" s="125"/>
      <c r="O38" s="125"/>
      <c r="P38" s="125"/>
      <c r="Q38" s="126"/>
      <c r="R38" s="17"/>
      <c r="S38" s="17"/>
      <c r="T38" s="17"/>
      <c r="U38" s="17"/>
    </row>
    <row r="39" spans="1:21" ht="18" customHeight="1" x14ac:dyDescent="0.15">
      <c r="B39" s="118"/>
      <c r="C39" s="119"/>
      <c r="D39" s="119"/>
      <c r="E39" s="119"/>
      <c r="F39" s="120"/>
      <c r="G39" s="18"/>
      <c r="H39" s="18"/>
      <c r="I39" s="18"/>
      <c r="J39" s="18"/>
      <c r="K39" s="118"/>
      <c r="L39" s="119"/>
      <c r="M39" s="119"/>
      <c r="N39" s="119"/>
      <c r="O39" s="119"/>
      <c r="P39" s="119"/>
      <c r="Q39" s="120"/>
      <c r="R39" s="18"/>
      <c r="S39" s="18"/>
      <c r="T39" s="18"/>
      <c r="U39" s="18"/>
    </row>
    <row r="40" spans="1:21" ht="18" customHeight="1" x14ac:dyDescent="0.15">
      <c r="B40" s="118"/>
      <c r="C40" s="119"/>
      <c r="D40" s="119"/>
      <c r="E40" s="119"/>
      <c r="F40" s="120"/>
      <c r="G40" s="18"/>
      <c r="H40" s="18"/>
      <c r="I40" s="18"/>
      <c r="J40" s="18"/>
      <c r="K40" s="118"/>
      <c r="L40" s="119"/>
      <c r="M40" s="119"/>
      <c r="N40" s="119"/>
      <c r="O40" s="119"/>
      <c r="P40" s="119"/>
      <c r="Q40" s="120"/>
      <c r="R40" s="18"/>
      <c r="S40" s="18"/>
      <c r="T40" s="18"/>
      <c r="U40" s="18"/>
    </row>
    <row r="41" spans="1:21" ht="18" customHeight="1" x14ac:dyDescent="0.15">
      <c r="B41" s="118"/>
      <c r="C41" s="119"/>
      <c r="D41" s="119"/>
      <c r="E41" s="119"/>
      <c r="F41" s="120"/>
      <c r="G41" s="18"/>
      <c r="H41" s="18"/>
      <c r="I41" s="18"/>
      <c r="J41" s="18"/>
      <c r="K41" s="118"/>
      <c r="L41" s="119"/>
      <c r="M41" s="119"/>
      <c r="N41" s="119"/>
      <c r="O41" s="119"/>
      <c r="P41" s="119"/>
      <c r="Q41" s="120"/>
      <c r="R41" s="18"/>
      <c r="S41" s="18"/>
      <c r="T41" s="18"/>
      <c r="U41" s="18"/>
    </row>
    <row r="42" spans="1:21" ht="18" customHeight="1" x14ac:dyDescent="0.15">
      <c r="B42" s="118"/>
      <c r="C42" s="119"/>
      <c r="D42" s="119"/>
      <c r="E42" s="119"/>
      <c r="F42" s="120"/>
      <c r="G42" s="18"/>
      <c r="H42" s="18"/>
      <c r="I42" s="18"/>
      <c r="J42" s="18"/>
      <c r="K42" s="118"/>
      <c r="L42" s="119"/>
      <c r="M42" s="119"/>
      <c r="N42" s="119"/>
      <c r="O42" s="119"/>
      <c r="P42" s="119"/>
      <c r="Q42" s="120"/>
      <c r="R42" s="18"/>
      <c r="S42" s="18"/>
      <c r="T42" s="18"/>
      <c r="U42" s="18"/>
    </row>
    <row r="43" spans="1:21" ht="18" customHeight="1" x14ac:dyDescent="0.15">
      <c r="B43" s="118"/>
      <c r="C43" s="119"/>
      <c r="D43" s="119"/>
      <c r="E43" s="119"/>
      <c r="F43" s="120"/>
      <c r="G43" s="18"/>
      <c r="H43" s="18"/>
      <c r="I43" s="18"/>
      <c r="J43" s="18"/>
      <c r="K43" s="118"/>
      <c r="L43" s="119"/>
      <c r="M43" s="119"/>
      <c r="N43" s="119"/>
      <c r="O43" s="119"/>
      <c r="P43" s="119"/>
      <c r="Q43" s="120"/>
      <c r="R43" s="18"/>
      <c r="S43" s="18"/>
      <c r="T43" s="18"/>
      <c r="U43" s="18"/>
    </row>
    <row r="44" spans="1:21" ht="18" customHeight="1" x14ac:dyDescent="0.15">
      <c r="B44" s="107"/>
      <c r="C44" s="108"/>
      <c r="D44" s="108"/>
      <c r="E44" s="108"/>
      <c r="F44" s="109"/>
      <c r="G44" s="19"/>
      <c r="H44" s="19"/>
      <c r="I44" s="20"/>
      <c r="J44" s="20"/>
      <c r="K44" s="107"/>
      <c r="L44" s="108"/>
      <c r="M44" s="108"/>
      <c r="N44" s="108"/>
      <c r="O44" s="108"/>
      <c r="P44" s="108"/>
      <c r="Q44" s="109"/>
      <c r="R44" s="19"/>
      <c r="S44" s="19"/>
      <c r="T44" s="20"/>
      <c r="U44" s="20"/>
    </row>
    <row r="45" spans="1:21" ht="7.5" customHeight="1" x14ac:dyDescent="0.15">
      <c r="A45" s="6"/>
      <c r="B45" s="11"/>
      <c r="C45" s="11"/>
      <c r="D45" s="11"/>
      <c r="E45" s="6"/>
      <c r="F45" s="6"/>
      <c r="G45" s="6"/>
      <c r="H45" s="6"/>
      <c r="I45" s="11"/>
      <c r="J45" s="11"/>
      <c r="K45" s="11"/>
      <c r="L45" s="11"/>
      <c r="M45" s="11"/>
      <c r="N45" s="11"/>
      <c r="O45" s="11"/>
      <c r="P45" s="11"/>
      <c r="Q45" s="11"/>
      <c r="R45" s="11"/>
      <c r="S45" s="11"/>
      <c r="T45" s="11"/>
      <c r="U45" s="6"/>
    </row>
    <row r="46" spans="1:21" ht="18" customHeight="1" x14ac:dyDescent="0.15">
      <c r="A46" s="133" t="s">
        <v>97</v>
      </c>
      <c r="B46" s="133"/>
      <c r="C46" s="133"/>
      <c r="D46" s="133"/>
      <c r="E46" s="133"/>
      <c r="F46" s="133"/>
      <c r="G46" s="133"/>
      <c r="H46" s="133"/>
      <c r="I46" s="133"/>
      <c r="J46" s="133"/>
      <c r="K46" s="133"/>
      <c r="L46" s="133"/>
      <c r="M46" s="133"/>
      <c r="N46" s="133"/>
      <c r="O46" s="133"/>
      <c r="P46" s="133"/>
      <c r="Q46" s="133"/>
      <c r="R46" s="133"/>
      <c r="S46" s="133"/>
      <c r="T46" s="133"/>
      <c r="U46" s="133"/>
    </row>
    <row r="47" spans="1:21" ht="18" customHeight="1" x14ac:dyDescent="0.15">
      <c r="A47" s="133"/>
      <c r="B47" s="133"/>
      <c r="C47" s="133"/>
      <c r="D47" s="133"/>
      <c r="E47" s="133"/>
      <c r="F47" s="133"/>
      <c r="G47" s="133"/>
      <c r="H47" s="133"/>
      <c r="I47" s="133"/>
      <c r="J47" s="133"/>
      <c r="K47" s="133"/>
      <c r="L47" s="133"/>
      <c r="M47" s="133"/>
      <c r="N47" s="133"/>
      <c r="O47" s="133"/>
      <c r="P47" s="133"/>
      <c r="Q47" s="133"/>
      <c r="R47" s="133"/>
      <c r="S47" s="133"/>
      <c r="T47" s="133"/>
      <c r="U47" s="133"/>
    </row>
    <row r="48" spans="1:21" ht="18" customHeight="1" x14ac:dyDescent="0.15">
      <c r="B48" s="115" t="s">
        <v>47</v>
      </c>
      <c r="C48" s="116"/>
      <c r="D48" s="116"/>
      <c r="E48" s="116"/>
      <c r="F48" s="117"/>
      <c r="G48" s="14" t="s">
        <v>72</v>
      </c>
      <c r="H48" s="15" t="s">
        <v>75</v>
      </c>
      <c r="I48" s="16" t="s">
        <v>65</v>
      </c>
      <c r="J48" s="16" t="s">
        <v>66</v>
      </c>
      <c r="K48" s="115" t="s">
        <v>47</v>
      </c>
      <c r="L48" s="116"/>
      <c r="M48" s="116"/>
      <c r="N48" s="116"/>
      <c r="O48" s="116"/>
      <c r="P48" s="116"/>
      <c r="Q48" s="117"/>
      <c r="R48" s="14" t="s">
        <v>72</v>
      </c>
      <c r="S48" s="15" t="s">
        <v>75</v>
      </c>
      <c r="T48" s="16" t="s">
        <v>65</v>
      </c>
      <c r="U48" s="16" t="s">
        <v>66</v>
      </c>
    </row>
    <row r="49" spans="1:21" ht="18" customHeight="1" x14ac:dyDescent="0.15">
      <c r="A49" s="6"/>
      <c r="B49" s="124" t="s">
        <v>144</v>
      </c>
      <c r="C49" s="125"/>
      <c r="D49" s="125"/>
      <c r="E49" s="125"/>
      <c r="F49" s="126"/>
      <c r="G49" s="17">
        <v>1</v>
      </c>
      <c r="H49" s="17" t="s">
        <v>145</v>
      </c>
      <c r="I49" s="17" t="s">
        <v>145</v>
      </c>
      <c r="J49" s="17" t="s">
        <v>145</v>
      </c>
      <c r="K49" s="124"/>
      <c r="L49" s="125"/>
      <c r="M49" s="125"/>
      <c r="N49" s="125"/>
      <c r="O49" s="125"/>
      <c r="P49" s="125"/>
      <c r="Q49" s="126"/>
      <c r="R49" s="17"/>
      <c r="S49" s="17"/>
      <c r="T49" s="17"/>
      <c r="U49" s="17"/>
    </row>
    <row r="50" spans="1:21" ht="18" customHeight="1" x14ac:dyDescent="0.15">
      <c r="A50" s="6"/>
      <c r="B50" s="118"/>
      <c r="C50" s="119"/>
      <c r="D50" s="119"/>
      <c r="E50" s="119"/>
      <c r="F50" s="120"/>
      <c r="G50" s="18"/>
      <c r="H50" s="18"/>
      <c r="I50" s="18"/>
      <c r="J50" s="18"/>
      <c r="K50" s="118"/>
      <c r="L50" s="119"/>
      <c r="M50" s="119"/>
      <c r="N50" s="119"/>
      <c r="O50" s="119"/>
      <c r="P50" s="119"/>
      <c r="Q50" s="120"/>
      <c r="R50" s="18"/>
      <c r="S50" s="18"/>
      <c r="T50" s="18"/>
      <c r="U50" s="18"/>
    </row>
    <row r="51" spans="1:21" ht="18" customHeight="1" x14ac:dyDescent="0.15">
      <c r="A51" s="6"/>
      <c r="B51" s="118"/>
      <c r="C51" s="119"/>
      <c r="D51" s="119"/>
      <c r="E51" s="119"/>
      <c r="F51" s="120"/>
      <c r="G51" s="18"/>
      <c r="H51" s="18"/>
      <c r="I51" s="18"/>
      <c r="J51" s="18"/>
      <c r="K51" s="118"/>
      <c r="L51" s="119"/>
      <c r="M51" s="119"/>
      <c r="N51" s="119"/>
      <c r="O51" s="119"/>
      <c r="P51" s="119"/>
      <c r="Q51" s="120"/>
      <c r="R51" s="18"/>
      <c r="S51" s="18"/>
      <c r="T51" s="18"/>
      <c r="U51" s="18"/>
    </row>
    <row r="52" spans="1:21" ht="18" customHeight="1" x14ac:dyDescent="0.15">
      <c r="A52" s="6"/>
      <c r="B52" s="118"/>
      <c r="C52" s="119"/>
      <c r="D52" s="119"/>
      <c r="E52" s="119"/>
      <c r="F52" s="120"/>
      <c r="G52" s="18"/>
      <c r="H52" s="18"/>
      <c r="I52" s="18"/>
      <c r="J52" s="18"/>
      <c r="K52" s="118"/>
      <c r="L52" s="119"/>
      <c r="M52" s="119"/>
      <c r="N52" s="119"/>
      <c r="O52" s="119"/>
      <c r="P52" s="119"/>
      <c r="Q52" s="120"/>
      <c r="R52" s="18"/>
      <c r="S52" s="18"/>
      <c r="T52" s="18"/>
      <c r="U52" s="18"/>
    </row>
    <row r="53" spans="1:21" ht="18" customHeight="1" x14ac:dyDescent="0.15">
      <c r="A53" s="6"/>
      <c r="B53" s="118"/>
      <c r="C53" s="119"/>
      <c r="D53" s="119"/>
      <c r="E53" s="119"/>
      <c r="F53" s="120"/>
      <c r="G53" s="18"/>
      <c r="H53" s="18"/>
      <c r="I53" s="18"/>
      <c r="J53" s="18"/>
      <c r="K53" s="118"/>
      <c r="L53" s="119"/>
      <c r="M53" s="119"/>
      <c r="N53" s="119"/>
      <c r="O53" s="119"/>
      <c r="P53" s="119"/>
      <c r="Q53" s="120"/>
      <c r="R53" s="18"/>
      <c r="S53" s="18"/>
      <c r="T53" s="18"/>
      <c r="U53" s="18"/>
    </row>
    <row r="54" spans="1:21" ht="18" customHeight="1" x14ac:dyDescent="0.15">
      <c r="A54" s="6"/>
      <c r="B54" s="118"/>
      <c r="C54" s="119"/>
      <c r="D54" s="119"/>
      <c r="E54" s="119"/>
      <c r="F54" s="120"/>
      <c r="G54" s="18"/>
      <c r="H54" s="18"/>
      <c r="I54" s="18"/>
      <c r="J54" s="18"/>
      <c r="K54" s="118"/>
      <c r="L54" s="119"/>
      <c r="M54" s="119"/>
      <c r="N54" s="119"/>
      <c r="O54" s="119"/>
      <c r="P54" s="119"/>
      <c r="Q54" s="120"/>
      <c r="R54" s="18"/>
      <c r="S54" s="18"/>
      <c r="T54" s="18"/>
      <c r="U54" s="18"/>
    </row>
    <row r="55" spans="1:21" ht="18" customHeight="1" x14ac:dyDescent="0.15">
      <c r="A55" s="6"/>
      <c r="B55" s="107"/>
      <c r="C55" s="108"/>
      <c r="D55" s="108"/>
      <c r="E55" s="108"/>
      <c r="F55" s="109"/>
      <c r="G55" s="19"/>
      <c r="H55" s="19"/>
      <c r="I55" s="20"/>
      <c r="J55" s="20"/>
      <c r="K55" s="107"/>
      <c r="L55" s="108"/>
      <c r="M55" s="108"/>
      <c r="N55" s="108"/>
      <c r="O55" s="108"/>
      <c r="P55" s="108"/>
      <c r="Q55" s="109"/>
      <c r="R55" s="19"/>
      <c r="S55" s="19"/>
      <c r="T55" s="20"/>
      <c r="U55" s="20"/>
    </row>
    <row r="56" spans="1:21" ht="7.5" customHeight="1" x14ac:dyDescent="0.15">
      <c r="B56" s="91"/>
      <c r="C56" s="91"/>
      <c r="D56" s="91"/>
      <c r="E56" s="91"/>
      <c r="F56" s="91"/>
      <c r="G56" s="91"/>
      <c r="H56" s="91"/>
      <c r="I56" s="91"/>
      <c r="J56" s="91"/>
      <c r="K56" s="91"/>
      <c r="L56" s="91"/>
      <c r="M56" s="91"/>
      <c r="N56" s="91"/>
      <c r="O56" s="91"/>
      <c r="P56" s="91"/>
      <c r="Q56" s="91"/>
      <c r="R56" s="91"/>
      <c r="S56" s="91"/>
      <c r="T56" s="91"/>
    </row>
    <row r="57" spans="1:21" ht="18" customHeight="1" x14ac:dyDescent="0.15">
      <c r="A57" s="133" t="s">
        <v>98</v>
      </c>
      <c r="B57" s="133"/>
      <c r="C57" s="133"/>
      <c r="D57" s="133"/>
      <c r="E57" s="133"/>
      <c r="F57" s="133"/>
      <c r="G57" s="133"/>
      <c r="H57" s="133"/>
      <c r="I57" s="133"/>
      <c r="J57" s="133"/>
      <c r="K57" s="133"/>
      <c r="L57" s="133"/>
      <c r="M57" s="133"/>
      <c r="N57" s="133"/>
      <c r="O57" s="133"/>
      <c r="P57" s="133"/>
      <c r="Q57" s="133"/>
      <c r="R57" s="133"/>
      <c r="S57" s="133"/>
      <c r="T57" s="133"/>
      <c r="U57" s="133"/>
    </row>
    <row r="58" spans="1:21" ht="18" customHeight="1" x14ac:dyDescent="0.15">
      <c r="A58" s="133"/>
      <c r="B58" s="133"/>
      <c r="C58" s="133"/>
      <c r="D58" s="133"/>
      <c r="E58" s="133"/>
      <c r="F58" s="133"/>
      <c r="G58" s="133"/>
      <c r="H58" s="133"/>
      <c r="I58" s="133"/>
      <c r="J58" s="133"/>
      <c r="K58" s="133"/>
      <c r="L58" s="133"/>
      <c r="M58" s="133"/>
      <c r="N58" s="133"/>
      <c r="O58" s="133"/>
      <c r="P58" s="133"/>
      <c r="Q58" s="133"/>
      <c r="R58" s="133"/>
      <c r="S58" s="133"/>
      <c r="T58" s="133"/>
      <c r="U58" s="133"/>
    </row>
    <row r="59" spans="1:21" ht="18" customHeight="1" x14ac:dyDescent="0.15">
      <c r="B59" s="115" t="s">
        <v>47</v>
      </c>
      <c r="C59" s="116"/>
      <c r="D59" s="116"/>
      <c r="E59" s="116"/>
      <c r="F59" s="117"/>
      <c r="G59" s="14" t="s">
        <v>72</v>
      </c>
      <c r="H59" s="15" t="s">
        <v>75</v>
      </c>
      <c r="I59" s="16" t="s">
        <v>52</v>
      </c>
      <c r="J59" s="16" t="s">
        <v>54</v>
      </c>
      <c r="K59" s="115" t="s">
        <v>47</v>
      </c>
      <c r="L59" s="116"/>
      <c r="M59" s="116"/>
      <c r="N59" s="116"/>
      <c r="O59" s="116"/>
      <c r="P59" s="116"/>
      <c r="Q59" s="117"/>
      <c r="R59" s="14" t="s">
        <v>72</v>
      </c>
      <c r="S59" s="15" t="s">
        <v>75</v>
      </c>
      <c r="T59" s="16" t="s">
        <v>52</v>
      </c>
      <c r="U59" s="16" t="s">
        <v>54</v>
      </c>
    </row>
    <row r="60" spans="1:21" ht="18" customHeight="1" x14ac:dyDescent="0.15">
      <c r="A60" s="6"/>
      <c r="B60" s="124" t="s">
        <v>144</v>
      </c>
      <c r="C60" s="125"/>
      <c r="D60" s="125"/>
      <c r="E60" s="125"/>
      <c r="F60" s="126"/>
      <c r="G60" s="17">
        <v>1</v>
      </c>
      <c r="H60" s="17" t="s">
        <v>145</v>
      </c>
      <c r="I60" s="17" t="s">
        <v>145</v>
      </c>
      <c r="J60" s="17" t="s">
        <v>145</v>
      </c>
      <c r="K60" s="124" t="s">
        <v>222</v>
      </c>
      <c r="L60" s="125"/>
      <c r="M60" s="125"/>
      <c r="N60" s="125"/>
      <c r="O60" s="125"/>
      <c r="P60" s="125"/>
      <c r="Q60" s="126"/>
      <c r="R60" s="17">
        <v>2</v>
      </c>
      <c r="S60" s="17"/>
      <c r="T60" s="17"/>
      <c r="U60" s="17" t="s">
        <v>145</v>
      </c>
    </row>
    <row r="61" spans="1:21" ht="18" customHeight="1" x14ac:dyDescent="0.15">
      <c r="A61" s="6"/>
      <c r="B61" s="118" t="s">
        <v>175</v>
      </c>
      <c r="C61" s="119"/>
      <c r="D61" s="119"/>
      <c r="E61" s="119"/>
      <c r="F61" s="120"/>
      <c r="G61" s="18">
        <v>2</v>
      </c>
      <c r="H61" s="18"/>
      <c r="I61" s="18"/>
      <c r="J61" s="18" t="s">
        <v>145</v>
      </c>
      <c r="K61" s="118"/>
      <c r="L61" s="119"/>
      <c r="M61" s="119"/>
      <c r="N61" s="119"/>
      <c r="O61" s="119"/>
      <c r="P61" s="119"/>
      <c r="Q61" s="120"/>
      <c r="R61" s="18"/>
      <c r="S61" s="18"/>
      <c r="T61" s="18"/>
      <c r="U61" s="18"/>
    </row>
    <row r="62" spans="1:21" ht="18" customHeight="1" x14ac:dyDescent="0.15">
      <c r="A62" s="6"/>
      <c r="B62" s="118" t="s">
        <v>176</v>
      </c>
      <c r="C62" s="119"/>
      <c r="D62" s="119"/>
      <c r="E62" s="119"/>
      <c r="F62" s="120"/>
      <c r="G62" s="18">
        <v>2</v>
      </c>
      <c r="H62" s="18"/>
      <c r="I62" s="18"/>
      <c r="J62" s="18" t="s">
        <v>145</v>
      </c>
      <c r="K62" s="118"/>
      <c r="L62" s="119"/>
      <c r="M62" s="119"/>
      <c r="N62" s="119"/>
      <c r="O62" s="119"/>
      <c r="P62" s="119"/>
      <c r="Q62" s="120"/>
      <c r="R62" s="18"/>
      <c r="S62" s="18"/>
      <c r="T62" s="18"/>
      <c r="U62" s="18"/>
    </row>
    <row r="63" spans="1:21" ht="18" customHeight="1" x14ac:dyDescent="0.15">
      <c r="A63" s="6"/>
      <c r="B63" s="118" t="s">
        <v>226</v>
      </c>
      <c r="C63" s="119"/>
      <c r="D63" s="119"/>
      <c r="E63" s="119"/>
      <c r="F63" s="120"/>
      <c r="G63" s="18">
        <v>2</v>
      </c>
      <c r="H63" s="18"/>
      <c r="I63" s="18"/>
      <c r="J63" s="18" t="s">
        <v>145</v>
      </c>
      <c r="K63" s="118"/>
      <c r="L63" s="119"/>
      <c r="M63" s="119"/>
      <c r="N63" s="119"/>
      <c r="O63" s="119"/>
      <c r="P63" s="119"/>
      <c r="Q63" s="120"/>
      <c r="R63" s="18"/>
      <c r="S63" s="18"/>
      <c r="T63" s="18"/>
      <c r="U63" s="18"/>
    </row>
    <row r="64" spans="1:21" ht="18" customHeight="1" x14ac:dyDescent="0.15">
      <c r="A64" s="6"/>
      <c r="B64" s="118" t="s">
        <v>177</v>
      </c>
      <c r="C64" s="119"/>
      <c r="D64" s="119"/>
      <c r="E64" s="119"/>
      <c r="F64" s="120"/>
      <c r="G64" s="18">
        <v>2</v>
      </c>
      <c r="H64" s="18"/>
      <c r="I64" s="18"/>
      <c r="J64" s="18" t="s">
        <v>145</v>
      </c>
      <c r="K64" s="118"/>
      <c r="L64" s="119"/>
      <c r="M64" s="119"/>
      <c r="N64" s="119"/>
      <c r="O64" s="119"/>
      <c r="P64" s="119"/>
      <c r="Q64" s="120"/>
      <c r="R64" s="18"/>
      <c r="S64" s="18"/>
      <c r="T64" s="18"/>
      <c r="U64" s="18"/>
    </row>
    <row r="65" spans="1:27" ht="18" customHeight="1" x14ac:dyDescent="0.15">
      <c r="A65" s="6"/>
      <c r="B65" s="118" t="s">
        <v>227</v>
      </c>
      <c r="C65" s="119"/>
      <c r="D65" s="119"/>
      <c r="E65" s="119"/>
      <c r="F65" s="120"/>
      <c r="G65" s="18">
        <v>2</v>
      </c>
      <c r="H65" s="18"/>
      <c r="I65" s="18"/>
      <c r="J65" s="18" t="s">
        <v>145</v>
      </c>
      <c r="K65" s="118"/>
      <c r="L65" s="119"/>
      <c r="M65" s="119"/>
      <c r="N65" s="119"/>
      <c r="O65" s="119"/>
      <c r="P65" s="119"/>
      <c r="Q65" s="120"/>
      <c r="R65" s="18"/>
      <c r="S65" s="18"/>
      <c r="T65" s="18"/>
      <c r="U65" s="18"/>
    </row>
    <row r="66" spans="1:27" ht="18" customHeight="1" x14ac:dyDescent="0.15">
      <c r="A66" s="6"/>
      <c r="B66" s="107" t="s">
        <v>178</v>
      </c>
      <c r="C66" s="108"/>
      <c r="D66" s="108"/>
      <c r="E66" s="108"/>
      <c r="F66" s="109"/>
      <c r="G66" s="19">
        <v>2</v>
      </c>
      <c r="H66" s="19"/>
      <c r="I66" s="20"/>
      <c r="J66" s="20" t="s">
        <v>145</v>
      </c>
      <c r="K66" s="107"/>
      <c r="L66" s="108"/>
      <c r="M66" s="108"/>
      <c r="N66" s="108"/>
      <c r="O66" s="108"/>
      <c r="P66" s="108"/>
      <c r="Q66" s="109"/>
      <c r="R66" s="19"/>
      <c r="S66" s="19"/>
      <c r="T66" s="20"/>
      <c r="U66" s="20"/>
    </row>
    <row r="67" spans="1:27" ht="7.5" customHeight="1" x14ac:dyDescent="0.15">
      <c r="B67" s="91"/>
      <c r="C67" s="91"/>
      <c r="D67" s="91"/>
      <c r="E67" s="91"/>
      <c r="F67" s="91"/>
      <c r="G67" s="91"/>
      <c r="H67" s="91"/>
      <c r="I67" s="91"/>
      <c r="J67" s="91"/>
      <c r="K67" s="91"/>
      <c r="L67" s="91"/>
      <c r="M67" s="91"/>
      <c r="N67" s="91"/>
      <c r="O67" s="91"/>
      <c r="P67" s="91"/>
      <c r="Q67" s="91"/>
      <c r="R67" s="91"/>
      <c r="S67" s="91"/>
      <c r="T67" s="91"/>
    </row>
    <row r="68" spans="1:27" ht="18" customHeight="1" x14ac:dyDescent="0.15">
      <c r="A68" s="133" t="s">
        <v>99</v>
      </c>
      <c r="B68" s="133"/>
      <c r="C68" s="133"/>
      <c r="D68" s="133"/>
      <c r="E68" s="133"/>
      <c r="F68" s="133"/>
      <c r="G68" s="133"/>
      <c r="H68" s="133"/>
      <c r="I68" s="133"/>
      <c r="J68" s="133"/>
      <c r="K68" s="133"/>
      <c r="L68" s="133"/>
      <c r="M68" s="133"/>
      <c r="N68" s="133"/>
      <c r="O68" s="133"/>
      <c r="P68" s="133"/>
      <c r="Q68" s="133"/>
      <c r="R68" s="133"/>
      <c r="S68" s="133"/>
      <c r="T68" s="133"/>
      <c r="U68" s="133"/>
    </row>
    <row r="69" spans="1:27" ht="18" customHeight="1" x14ac:dyDescent="0.15">
      <c r="A69" s="133"/>
      <c r="B69" s="133"/>
      <c r="C69" s="133"/>
      <c r="D69" s="133"/>
      <c r="E69" s="133"/>
      <c r="F69" s="133"/>
      <c r="G69" s="133"/>
      <c r="H69" s="133"/>
      <c r="I69" s="133"/>
      <c r="J69" s="133"/>
      <c r="K69" s="133"/>
      <c r="L69" s="133"/>
      <c r="M69" s="133"/>
      <c r="N69" s="133"/>
      <c r="O69" s="133"/>
      <c r="P69" s="133"/>
      <c r="Q69" s="133"/>
      <c r="R69" s="133"/>
      <c r="S69" s="133"/>
      <c r="T69" s="133"/>
      <c r="U69" s="133"/>
    </row>
    <row r="70" spans="1:27" ht="18" customHeight="1" x14ac:dyDescent="0.15">
      <c r="B70" s="115" t="s">
        <v>47</v>
      </c>
      <c r="C70" s="116"/>
      <c r="D70" s="116"/>
      <c r="E70" s="116"/>
      <c r="F70" s="14" t="s">
        <v>72</v>
      </c>
      <c r="G70" s="15" t="s">
        <v>75</v>
      </c>
      <c r="H70" s="16" t="s">
        <v>86</v>
      </c>
      <c r="I70" s="16" t="s">
        <v>67</v>
      </c>
      <c r="J70" s="16" t="s">
        <v>68</v>
      </c>
      <c r="K70" s="115" t="s">
        <v>47</v>
      </c>
      <c r="L70" s="116"/>
      <c r="M70" s="116"/>
      <c r="N70" s="116"/>
      <c r="O70" s="116"/>
      <c r="P70" s="117"/>
      <c r="Q70" s="14" t="s">
        <v>72</v>
      </c>
      <c r="R70" s="15" t="s">
        <v>75</v>
      </c>
      <c r="S70" s="16" t="s">
        <v>86</v>
      </c>
      <c r="T70" s="16" t="s">
        <v>67</v>
      </c>
      <c r="U70" s="16" t="s">
        <v>68</v>
      </c>
    </row>
    <row r="71" spans="1:27" ht="38.450000000000003" customHeight="1" x14ac:dyDescent="0.15">
      <c r="A71" s="6"/>
      <c r="B71" s="124" t="s">
        <v>144</v>
      </c>
      <c r="C71" s="125"/>
      <c r="D71" s="125"/>
      <c r="E71" s="125"/>
      <c r="F71" s="17">
        <v>1</v>
      </c>
      <c r="G71" s="17" t="s">
        <v>145</v>
      </c>
      <c r="H71" s="17" t="s">
        <v>145</v>
      </c>
      <c r="I71" s="17" t="s">
        <v>145</v>
      </c>
      <c r="J71" s="17"/>
      <c r="K71" s="163" t="s">
        <v>195</v>
      </c>
      <c r="L71" s="164"/>
      <c r="M71" s="164"/>
      <c r="N71" s="164"/>
      <c r="O71" s="164"/>
      <c r="P71" s="165"/>
      <c r="Q71" s="17">
        <v>2</v>
      </c>
      <c r="R71" s="17"/>
      <c r="S71" s="17" t="s">
        <v>145</v>
      </c>
      <c r="T71" s="17" t="s">
        <v>145</v>
      </c>
      <c r="U71" s="17" t="s">
        <v>145</v>
      </c>
    </row>
    <row r="72" spans="1:27" ht="36.950000000000003" customHeight="1" x14ac:dyDescent="0.15">
      <c r="A72" s="6"/>
      <c r="B72" s="118" t="s">
        <v>175</v>
      </c>
      <c r="C72" s="119"/>
      <c r="D72" s="119"/>
      <c r="E72" s="120"/>
      <c r="F72" s="18">
        <v>2</v>
      </c>
      <c r="G72" s="18"/>
      <c r="H72" s="18" t="s">
        <v>145</v>
      </c>
      <c r="I72" s="18" t="s">
        <v>145</v>
      </c>
      <c r="J72" s="18" t="s">
        <v>145</v>
      </c>
      <c r="K72" s="166" t="s">
        <v>179</v>
      </c>
      <c r="L72" s="167"/>
      <c r="M72" s="167"/>
      <c r="N72" s="167"/>
      <c r="O72" s="167"/>
      <c r="P72" s="168"/>
      <c r="Q72" s="18">
        <v>2</v>
      </c>
      <c r="R72" s="18"/>
      <c r="S72" s="18" t="s">
        <v>145</v>
      </c>
      <c r="T72" s="18" t="s">
        <v>145</v>
      </c>
      <c r="U72" s="18" t="s">
        <v>145</v>
      </c>
    </row>
    <row r="73" spans="1:27" ht="29.45" customHeight="1" x14ac:dyDescent="0.15">
      <c r="A73" s="6"/>
      <c r="B73" s="118" t="s">
        <v>176</v>
      </c>
      <c r="C73" s="119"/>
      <c r="D73" s="119"/>
      <c r="E73" s="119"/>
      <c r="F73" s="18">
        <v>2</v>
      </c>
      <c r="G73" s="18"/>
      <c r="H73" s="18" t="s">
        <v>145</v>
      </c>
      <c r="I73" s="18" t="s">
        <v>145</v>
      </c>
      <c r="J73" s="18" t="s">
        <v>145</v>
      </c>
      <c r="K73" s="118"/>
      <c r="L73" s="119"/>
      <c r="M73" s="119"/>
      <c r="N73" s="119"/>
      <c r="O73" s="119"/>
      <c r="P73" s="120"/>
      <c r="Q73" s="18"/>
      <c r="R73" s="18"/>
      <c r="S73" s="18"/>
      <c r="T73" s="18"/>
      <c r="U73" s="18"/>
    </row>
    <row r="74" spans="1:27" ht="29.45" customHeight="1" x14ac:dyDescent="0.15">
      <c r="A74" s="6"/>
      <c r="B74" s="118" t="s">
        <v>228</v>
      </c>
      <c r="C74" s="119"/>
      <c r="D74" s="119"/>
      <c r="E74" s="119"/>
      <c r="F74" s="18">
        <v>2</v>
      </c>
      <c r="G74" s="18"/>
      <c r="H74" s="18" t="s">
        <v>145</v>
      </c>
      <c r="I74" s="18" t="s">
        <v>145</v>
      </c>
      <c r="J74" s="18" t="s">
        <v>145</v>
      </c>
      <c r="K74" s="118"/>
      <c r="L74" s="119"/>
      <c r="M74" s="119"/>
      <c r="N74" s="119"/>
      <c r="O74" s="119"/>
      <c r="P74" s="120"/>
      <c r="Q74" s="18"/>
      <c r="R74" s="18"/>
      <c r="S74" s="18"/>
      <c r="T74" s="18"/>
      <c r="U74" s="18"/>
    </row>
    <row r="75" spans="1:27" ht="29.45" customHeight="1" x14ac:dyDescent="0.15">
      <c r="A75" s="6"/>
      <c r="B75" s="118" t="s">
        <v>177</v>
      </c>
      <c r="C75" s="119"/>
      <c r="D75" s="119"/>
      <c r="E75" s="119"/>
      <c r="F75" s="18">
        <v>2</v>
      </c>
      <c r="G75" s="18"/>
      <c r="H75" s="18" t="s">
        <v>145</v>
      </c>
      <c r="I75" s="18" t="s">
        <v>145</v>
      </c>
      <c r="J75" s="18" t="s">
        <v>145</v>
      </c>
      <c r="K75" s="118"/>
      <c r="L75" s="119"/>
      <c r="M75" s="119"/>
      <c r="N75" s="119"/>
      <c r="O75" s="119"/>
      <c r="P75" s="120"/>
      <c r="Q75" s="18"/>
      <c r="R75" s="18"/>
      <c r="S75" s="18"/>
      <c r="T75" s="18"/>
      <c r="U75" s="18"/>
    </row>
    <row r="76" spans="1:27" ht="29.45" customHeight="1" x14ac:dyDescent="0.15">
      <c r="A76" s="6"/>
      <c r="B76" s="157" t="s">
        <v>174</v>
      </c>
      <c r="C76" s="158"/>
      <c r="D76" s="158"/>
      <c r="E76" s="159"/>
      <c r="F76" s="18">
        <v>2</v>
      </c>
      <c r="G76" s="18"/>
      <c r="H76" s="18" t="s">
        <v>145</v>
      </c>
      <c r="I76" s="18" t="s">
        <v>145</v>
      </c>
      <c r="J76" s="18" t="s">
        <v>145</v>
      </c>
      <c r="K76" s="118"/>
      <c r="L76" s="119"/>
      <c r="M76" s="119"/>
      <c r="N76" s="119"/>
      <c r="O76" s="119"/>
      <c r="P76" s="120"/>
      <c r="Q76" s="18"/>
      <c r="R76" s="18"/>
      <c r="S76" s="18"/>
      <c r="T76" s="18"/>
      <c r="U76" s="18"/>
    </row>
    <row r="77" spans="1:27" ht="29.45" customHeight="1" x14ac:dyDescent="0.15">
      <c r="A77" s="6"/>
      <c r="B77" s="160" t="s">
        <v>178</v>
      </c>
      <c r="C77" s="161"/>
      <c r="D77" s="161"/>
      <c r="E77" s="162"/>
      <c r="F77" s="19">
        <v>2</v>
      </c>
      <c r="G77" s="19"/>
      <c r="H77" s="20" t="s">
        <v>145</v>
      </c>
      <c r="I77" s="20" t="s">
        <v>145</v>
      </c>
      <c r="J77" s="20" t="s">
        <v>145</v>
      </c>
      <c r="K77" s="107"/>
      <c r="L77" s="108"/>
      <c r="M77" s="108"/>
      <c r="N77" s="108"/>
      <c r="O77" s="108"/>
      <c r="P77" s="109"/>
      <c r="Q77" s="19"/>
      <c r="R77" s="19"/>
      <c r="S77" s="20"/>
      <c r="T77" s="20"/>
      <c r="U77" s="20"/>
    </row>
    <row r="78" spans="1:27" ht="7.5" customHeight="1" x14ac:dyDescent="0.15">
      <c r="B78" s="91"/>
      <c r="C78" s="91"/>
      <c r="D78" s="91"/>
      <c r="E78" s="91"/>
      <c r="F78" s="91"/>
      <c r="G78" s="91"/>
      <c r="H78" s="91"/>
      <c r="I78" s="91"/>
      <c r="J78" s="91"/>
      <c r="K78" s="91"/>
      <c r="L78" s="91"/>
      <c r="M78" s="91"/>
      <c r="N78" s="91"/>
      <c r="O78" s="91"/>
      <c r="P78" s="91"/>
      <c r="Q78" s="91"/>
      <c r="R78" s="91"/>
      <c r="S78" s="91"/>
      <c r="T78" s="91"/>
    </row>
    <row r="79" spans="1:27" ht="18" customHeight="1" x14ac:dyDescent="0.15">
      <c r="A79" s="8" t="s">
        <v>100</v>
      </c>
      <c r="I79" s="6"/>
      <c r="J79" s="6"/>
      <c r="K79" s="6"/>
      <c r="L79" s="6"/>
      <c r="M79" s="6"/>
      <c r="N79" s="6"/>
      <c r="O79" s="6"/>
      <c r="P79" s="6"/>
      <c r="Q79" s="6"/>
      <c r="R79" s="6"/>
      <c r="S79" s="6"/>
      <c r="T79" s="6"/>
      <c r="U79" s="6"/>
    </row>
    <row r="80" spans="1:27" ht="18" customHeight="1" x14ac:dyDescent="0.15">
      <c r="B80" s="115" t="s">
        <v>47</v>
      </c>
      <c r="C80" s="116"/>
      <c r="D80" s="116"/>
      <c r="E80" s="116"/>
      <c r="F80" s="117"/>
      <c r="G80" s="115" t="s">
        <v>73</v>
      </c>
      <c r="H80" s="116"/>
      <c r="I80" s="116"/>
      <c r="J80" s="117"/>
      <c r="K80" s="130" t="s">
        <v>47</v>
      </c>
      <c r="L80" s="131"/>
      <c r="M80" s="131"/>
      <c r="N80" s="131"/>
      <c r="O80" s="131"/>
      <c r="P80" s="131"/>
      <c r="Q80" s="132"/>
      <c r="R80" s="115" t="s">
        <v>73</v>
      </c>
      <c r="S80" s="116"/>
      <c r="T80" s="116"/>
      <c r="U80" s="117"/>
      <c r="AA80" s="8" t="s">
        <v>137</v>
      </c>
    </row>
    <row r="81" spans="1:27" ht="18" customHeight="1" x14ac:dyDescent="0.15">
      <c r="A81" s="6"/>
      <c r="B81" s="124"/>
      <c r="C81" s="125"/>
      <c r="D81" s="125"/>
      <c r="E81" s="125"/>
      <c r="F81" s="126"/>
      <c r="G81" s="127"/>
      <c r="H81" s="128"/>
      <c r="I81" s="128"/>
      <c r="J81" s="129"/>
      <c r="K81" s="124"/>
      <c r="L81" s="125"/>
      <c r="M81" s="125"/>
      <c r="N81" s="125"/>
      <c r="O81" s="125"/>
      <c r="P81" s="125"/>
      <c r="Q81" s="126"/>
      <c r="R81" s="127"/>
      <c r="S81" s="128"/>
      <c r="T81" s="128"/>
      <c r="U81" s="129"/>
      <c r="AA81" s="8" t="s">
        <v>130</v>
      </c>
    </row>
    <row r="82" spans="1:27" ht="18" customHeight="1" x14ac:dyDescent="0.15">
      <c r="A82" s="6"/>
      <c r="B82" s="118"/>
      <c r="C82" s="119"/>
      <c r="D82" s="119"/>
      <c r="E82" s="119"/>
      <c r="F82" s="120"/>
      <c r="G82" s="121"/>
      <c r="H82" s="122"/>
      <c r="I82" s="122"/>
      <c r="J82" s="123"/>
      <c r="K82" s="118"/>
      <c r="L82" s="119"/>
      <c r="M82" s="119"/>
      <c r="N82" s="119"/>
      <c r="O82" s="119"/>
      <c r="P82" s="119"/>
      <c r="Q82" s="120"/>
      <c r="R82" s="121"/>
      <c r="S82" s="122"/>
      <c r="T82" s="122"/>
      <c r="U82" s="123"/>
      <c r="AA82" s="8" t="s">
        <v>131</v>
      </c>
    </row>
    <row r="83" spans="1:27" ht="18" customHeight="1" x14ac:dyDescent="0.15">
      <c r="A83" s="6"/>
      <c r="B83" s="118"/>
      <c r="C83" s="119"/>
      <c r="D83" s="119"/>
      <c r="E83" s="119"/>
      <c r="F83" s="120"/>
      <c r="G83" s="121"/>
      <c r="H83" s="122"/>
      <c r="I83" s="122"/>
      <c r="J83" s="123"/>
      <c r="K83" s="118"/>
      <c r="L83" s="119"/>
      <c r="M83" s="119"/>
      <c r="N83" s="119"/>
      <c r="O83" s="119"/>
      <c r="P83" s="119"/>
      <c r="Q83" s="120"/>
      <c r="R83" s="121"/>
      <c r="S83" s="122"/>
      <c r="T83" s="122"/>
      <c r="U83" s="123"/>
      <c r="AA83" s="8" t="s">
        <v>132</v>
      </c>
    </row>
    <row r="84" spans="1:27" ht="18" customHeight="1" x14ac:dyDescent="0.15">
      <c r="A84" s="6"/>
      <c r="B84" s="118"/>
      <c r="C84" s="119"/>
      <c r="D84" s="119"/>
      <c r="E84" s="119"/>
      <c r="F84" s="120"/>
      <c r="G84" s="121"/>
      <c r="H84" s="122"/>
      <c r="I84" s="122"/>
      <c r="J84" s="123"/>
      <c r="K84" s="118"/>
      <c r="L84" s="119"/>
      <c r="M84" s="119"/>
      <c r="N84" s="119"/>
      <c r="O84" s="119"/>
      <c r="P84" s="119"/>
      <c r="Q84" s="120"/>
      <c r="R84" s="121"/>
      <c r="S84" s="122"/>
      <c r="T84" s="122"/>
      <c r="U84" s="123"/>
      <c r="AA84" s="8" t="s">
        <v>138</v>
      </c>
    </row>
    <row r="85" spans="1:27" ht="18" customHeight="1" x14ac:dyDescent="0.15">
      <c r="A85" s="6"/>
      <c r="B85" s="118"/>
      <c r="C85" s="119"/>
      <c r="D85" s="119"/>
      <c r="E85" s="119"/>
      <c r="F85" s="120"/>
      <c r="G85" s="121"/>
      <c r="H85" s="122"/>
      <c r="I85" s="122"/>
      <c r="J85" s="123"/>
      <c r="K85" s="118"/>
      <c r="L85" s="119"/>
      <c r="M85" s="119"/>
      <c r="N85" s="119"/>
      <c r="O85" s="119"/>
      <c r="P85" s="119"/>
      <c r="Q85" s="120"/>
      <c r="R85" s="121"/>
      <c r="S85" s="122"/>
      <c r="T85" s="122"/>
      <c r="U85" s="123"/>
      <c r="AA85" s="8" t="s">
        <v>139</v>
      </c>
    </row>
    <row r="86" spans="1:27" ht="18" customHeight="1" x14ac:dyDescent="0.15">
      <c r="A86" s="6"/>
      <c r="B86" s="118"/>
      <c r="C86" s="119"/>
      <c r="D86" s="119"/>
      <c r="E86" s="119"/>
      <c r="F86" s="120"/>
      <c r="G86" s="121"/>
      <c r="H86" s="122"/>
      <c r="I86" s="122"/>
      <c r="J86" s="123"/>
      <c r="K86" s="118"/>
      <c r="L86" s="119"/>
      <c r="M86" s="119"/>
      <c r="N86" s="119"/>
      <c r="O86" s="119"/>
      <c r="P86" s="119"/>
      <c r="Q86" s="120"/>
      <c r="R86" s="121"/>
      <c r="S86" s="122"/>
      <c r="T86" s="122"/>
      <c r="U86" s="123"/>
      <c r="AA86" s="8" t="s">
        <v>133</v>
      </c>
    </row>
    <row r="87" spans="1:27" ht="18" customHeight="1" x14ac:dyDescent="0.15">
      <c r="A87" s="6"/>
      <c r="B87" s="107"/>
      <c r="C87" s="108"/>
      <c r="D87" s="108"/>
      <c r="E87" s="108"/>
      <c r="F87" s="109"/>
      <c r="G87" s="110"/>
      <c r="H87" s="111"/>
      <c r="I87" s="111"/>
      <c r="J87" s="112"/>
      <c r="K87" s="107"/>
      <c r="L87" s="108"/>
      <c r="M87" s="108"/>
      <c r="N87" s="108"/>
      <c r="O87" s="108"/>
      <c r="P87" s="108"/>
      <c r="Q87" s="109"/>
      <c r="R87" s="110"/>
      <c r="S87" s="111"/>
      <c r="T87" s="111"/>
      <c r="U87" s="112"/>
      <c r="AA87" s="8" t="s">
        <v>134</v>
      </c>
    </row>
    <row r="88" spans="1:27" ht="18" customHeight="1" x14ac:dyDescent="0.15">
      <c r="A88" s="6"/>
      <c r="B88" s="11"/>
      <c r="C88" s="11"/>
      <c r="D88" s="11"/>
      <c r="E88" s="11"/>
      <c r="F88" s="11"/>
      <c r="G88" s="21"/>
      <c r="H88" s="21"/>
      <c r="I88" s="21"/>
      <c r="J88" s="21"/>
      <c r="K88" s="11"/>
      <c r="L88" s="11"/>
      <c r="M88" s="11"/>
      <c r="N88" s="11"/>
      <c r="O88" s="11"/>
      <c r="P88" s="11"/>
      <c r="Q88" s="11"/>
      <c r="R88" s="21"/>
      <c r="S88" s="21"/>
      <c r="T88" s="21"/>
      <c r="U88" s="21"/>
      <c r="AA88" s="8" t="s">
        <v>135</v>
      </c>
    </row>
    <row r="89" spans="1:27" ht="18.75" customHeight="1" x14ac:dyDescent="0.15">
      <c r="A89" s="8" t="s">
        <v>101</v>
      </c>
      <c r="AA89" s="8" t="s">
        <v>136</v>
      </c>
    </row>
    <row r="90" spans="1:27" ht="18.75" customHeight="1" x14ac:dyDescent="0.15">
      <c r="B90" s="113" t="s">
        <v>48</v>
      </c>
      <c r="C90" s="114"/>
      <c r="D90" s="115" t="s">
        <v>49</v>
      </c>
      <c r="E90" s="116"/>
      <c r="F90" s="116"/>
      <c r="G90" s="116"/>
      <c r="H90" s="116"/>
      <c r="I90" s="116"/>
      <c r="J90" s="116"/>
      <c r="K90" s="116"/>
      <c r="L90" s="116"/>
      <c r="M90" s="116"/>
      <c r="N90" s="116"/>
      <c r="O90" s="116"/>
      <c r="P90" s="116"/>
      <c r="Q90" s="116"/>
      <c r="R90" s="116"/>
      <c r="S90" s="116"/>
      <c r="T90" s="116"/>
      <c r="U90" s="117"/>
    </row>
    <row r="91" spans="1:27" ht="97.5" customHeight="1" x14ac:dyDescent="0.15">
      <c r="B91" s="92" t="s">
        <v>55</v>
      </c>
      <c r="C91" s="22" t="s">
        <v>50</v>
      </c>
      <c r="D91" s="95" t="s">
        <v>181</v>
      </c>
      <c r="E91" s="96"/>
      <c r="F91" s="96"/>
      <c r="G91" s="96"/>
      <c r="H91" s="96"/>
      <c r="I91" s="96"/>
      <c r="J91" s="96"/>
      <c r="K91" s="96"/>
      <c r="L91" s="96"/>
      <c r="M91" s="96"/>
      <c r="N91" s="96"/>
      <c r="O91" s="96"/>
      <c r="P91" s="96"/>
      <c r="Q91" s="96"/>
      <c r="R91" s="96"/>
      <c r="S91" s="96"/>
      <c r="T91" s="96"/>
      <c r="U91" s="97"/>
    </row>
    <row r="92" spans="1:27" ht="97.5" customHeight="1" x14ac:dyDescent="0.15">
      <c r="B92" s="93"/>
      <c r="C92" s="23" t="s">
        <v>69</v>
      </c>
      <c r="D92" s="101" t="s">
        <v>182</v>
      </c>
      <c r="E92" s="102"/>
      <c r="F92" s="102"/>
      <c r="G92" s="102"/>
      <c r="H92" s="102"/>
      <c r="I92" s="102"/>
      <c r="J92" s="102"/>
      <c r="K92" s="102"/>
      <c r="L92" s="102"/>
      <c r="M92" s="102"/>
      <c r="N92" s="102"/>
      <c r="O92" s="102"/>
      <c r="P92" s="102"/>
      <c r="Q92" s="102"/>
      <c r="R92" s="102"/>
      <c r="S92" s="102"/>
      <c r="T92" s="102"/>
      <c r="U92" s="103"/>
    </row>
    <row r="93" spans="1:27" ht="97.5" customHeight="1" x14ac:dyDescent="0.15">
      <c r="B93" s="92" t="s">
        <v>56</v>
      </c>
      <c r="C93" s="24" t="s">
        <v>63</v>
      </c>
      <c r="D93" s="95" t="s">
        <v>146</v>
      </c>
      <c r="E93" s="96"/>
      <c r="F93" s="96"/>
      <c r="G93" s="96"/>
      <c r="H93" s="96"/>
      <c r="I93" s="96"/>
      <c r="J93" s="96"/>
      <c r="K93" s="96"/>
      <c r="L93" s="96"/>
      <c r="M93" s="96"/>
      <c r="N93" s="96"/>
      <c r="O93" s="96"/>
      <c r="P93" s="96"/>
      <c r="Q93" s="96"/>
      <c r="R93" s="96"/>
      <c r="S93" s="96"/>
      <c r="T93" s="96"/>
      <c r="U93" s="97"/>
    </row>
    <row r="94" spans="1:27" ht="97.5" customHeight="1" x14ac:dyDescent="0.15">
      <c r="B94" s="94"/>
      <c r="C94" s="25" t="s">
        <v>64</v>
      </c>
      <c r="D94" s="101" t="s">
        <v>183</v>
      </c>
      <c r="E94" s="102"/>
      <c r="F94" s="102"/>
      <c r="G94" s="102"/>
      <c r="H94" s="102"/>
      <c r="I94" s="102"/>
      <c r="J94" s="102"/>
      <c r="K94" s="102"/>
      <c r="L94" s="102"/>
      <c r="M94" s="102"/>
      <c r="N94" s="102"/>
      <c r="O94" s="102"/>
      <c r="P94" s="102"/>
      <c r="Q94" s="102"/>
      <c r="R94" s="102"/>
      <c r="S94" s="102"/>
      <c r="T94" s="102"/>
      <c r="U94" s="103"/>
    </row>
    <row r="95" spans="1:27" ht="97.5" customHeight="1" x14ac:dyDescent="0.15">
      <c r="B95" s="92" t="s">
        <v>57</v>
      </c>
      <c r="C95" s="24" t="s">
        <v>65</v>
      </c>
      <c r="D95" s="95" t="s">
        <v>184</v>
      </c>
      <c r="E95" s="96"/>
      <c r="F95" s="96"/>
      <c r="G95" s="96"/>
      <c r="H95" s="96"/>
      <c r="I95" s="96"/>
      <c r="J95" s="96"/>
      <c r="K95" s="96"/>
      <c r="L95" s="96"/>
      <c r="M95" s="96"/>
      <c r="N95" s="96"/>
      <c r="O95" s="96"/>
      <c r="P95" s="96"/>
      <c r="Q95" s="96"/>
      <c r="R95" s="96"/>
      <c r="S95" s="96"/>
      <c r="T95" s="96"/>
      <c r="U95" s="97"/>
    </row>
    <row r="96" spans="1:27" ht="97.5" customHeight="1" x14ac:dyDescent="0.15">
      <c r="B96" s="94"/>
      <c r="C96" s="26" t="s">
        <v>66</v>
      </c>
      <c r="D96" s="101" t="s">
        <v>147</v>
      </c>
      <c r="E96" s="102"/>
      <c r="F96" s="102"/>
      <c r="G96" s="102"/>
      <c r="H96" s="102"/>
      <c r="I96" s="102"/>
      <c r="J96" s="102"/>
      <c r="K96" s="102"/>
      <c r="L96" s="102"/>
      <c r="M96" s="102"/>
      <c r="N96" s="102"/>
      <c r="O96" s="102"/>
      <c r="P96" s="102"/>
      <c r="Q96" s="102"/>
      <c r="R96" s="102"/>
      <c r="S96" s="102"/>
      <c r="T96" s="102"/>
      <c r="U96" s="103"/>
    </row>
    <row r="97" spans="1:21" ht="132.94999999999999" customHeight="1" x14ac:dyDescent="0.15">
      <c r="B97" s="92" t="s">
        <v>70</v>
      </c>
      <c r="C97" s="22" t="s">
        <v>52</v>
      </c>
      <c r="D97" s="95" t="s">
        <v>221</v>
      </c>
      <c r="E97" s="96"/>
      <c r="F97" s="96"/>
      <c r="G97" s="96"/>
      <c r="H97" s="96"/>
      <c r="I97" s="96"/>
      <c r="J97" s="96"/>
      <c r="K97" s="96"/>
      <c r="L97" s="96"/>
      <c r="M97" s="96"/>
      <c r="N97" s="96"/>
      <c r="O97" s="96"/>
      <c r="P97" s="96"/>
      <c r="Q97" s="96"/>
      <c r="R97" s="96"/>
      <c r="S97" s="96"/>
      <c r="T97" s="96"/>
      <c r="U97" s="97"/>
    </row>
    <row r="98" spans="1:21" ht="107.1" customHeight="1" x14ac:dyDescent="0.15">
      <c r="B98" s="94"/>
      <c r="C98" s="25" t="s">
        <v>54</v>
      </c>
      <c r="D98" s="101" t="s">
        <v>196</v>
      </c>
      <c r="E98" s="102"/>
      <c r="F98" s="102"/>
      <c r="G98" s="102"/>
      <c r="H98" s="102"/>
      <c r="I98" s="102"/>
      <c r="J98" s="102"/>
      <c r="K98" s="102"/>
      <c r="L98" s="102"/>
      <c r="M98" s="102"/>
      <c r="N98" s="102"/>
      <c r="O98" s="102"/>
      <c r="P98" s="102"/>
      <c r="Q98" s="102"/>
      <c r="R98" s="102"/>
      <c r="S98" s="102"/>
      <c r="T98" s="102"/>
      <c r="U98" s="103"/>
    </row>
    <row r="99" spans="1:21" ht="258.95" customHeight="1" x14ac:dyDescent="0.15">
      <c r="B99" s="92" t="s">
        <v>71</v>
      </c>
      <c r="C99" s="24" t="s">
        <v>51</v>
      </c>
      <c r="D99" s="95" t="s">
        <v>197</v>
      </c>
      <c r="E99" s="96"/>
      <c r="F99" s="96"/>
      <c r="G99" s="96"/>
      <c r="H99" s="96"/>
      <c r="I99" s="96"/>
      <c r="J99" s="96"/>
      <c r="K99" s="96"/>
      <c r="L99" s="96"/>
      <c r="M99" s="96"/>
      <c r="N99" s="96"/>
      <c r="O99" s="96"/>
      <c r="P99" s="96"/>
      <c r="Q99" s="96"/>
      <c r="R99" s="96"/>
      <c r="S99" s="96"/>
      <c r="T99" s="96"/>
      <c r="U99" s="97"/>
    </row>
    <row r="100" spans="1:21" ht="201.6" customHeight="1" x14ac:dyDescent="0.15">
      <c r="B100" s="93"/>
      <c r="C100" s="27" t="s">
        <v>67</v>
      </c>
      <c r="D100" s="98" t="s">
        <v>198</v>
      </c>
      <c r="E100" s="99"/>
      <c r="F100" s="99"/>
      <c r="G100" s="99"/>
      <c r="H100" s="99"/>
      <c r="I100" s="99"/>
      <c r="J100" s="99"/>
      <c r="K100" s="99"/>
      <c r="L100" s="99"/>
      <c r="M100" s="99"/>
      <c r="N100" s="99"/>
      <c r="O100" s="99"/>
      <c r="P100" s="99"/>
      <c r="Q100" s="99"/>
      <c r="R100" s="99"/>
      <c r="S100" s="99"/>
      <c r="T100" s="99"/>
      <c r="U100" s="100"/>
    </row>
    <row r="101" spans="1:21" ht="107.1" customHeight="1" x14ac:dyDescent="0.15">
      <c r="B101" s="94"/>
      <c r="C101" s="26" t="s">
        <v>68</v>
      </c>
      <c r="D101" s="101" t="s">
        <v>199</v>
      </c>
      <c r="E101" s="102"/>
      <c r="F101" s="102"/>
      <c r="G101" s="102"/>
      <c r="H101" s="102"/>
      <c r="I101" s="102"/>
      <c r="J101" s="102"/>
      <c r="K101" s="102"/>
      <c r="L101" s="102"/>
      <c r="M101" s="102"/>
      <c r="N101" s="102"/>
      <c r="O101" s="102"/>
      <c r="P101" s="102"/>
      <c r="Q101" s="102"/>
      <c r="R101" s="102"/>
      <c r="S101" s="102"/>
      <c r="T101" s="102"/>
      <c r="U101" s="103"/>
    </row>
    <row r="102" spans="1:21" ht="6" customHeight="1" x14ac:dyDescent="0.15"/>
    <row r="103" spans="1:21" ht="18.75" customHeight="1" x14ac:dyDescent="0.15">
      <c r="A103" s="8" t="s">
        <v>102</v>
      </c>
    </row>
    <row r="104" spans="1:21" ht="95.1" customHeight="1" x14ac:dyDescent="0.15">
      <c r="B104" s="104" t="s">
        <v>225</v>
      </c>
      <c r="C104" s="105"/>
      <c r="D104" s="105"/>
      <c r="E104" s="105"/>
      <c r="F104" s="105"/>
      <c r="G104" s="105"/>
      <c r="H104" s="105"/>
      <c r="I104" s="105"/>
      <c r="J104" s="105"/>
      <c r="K104" s="105"/>
      <c r="L104" s="105"/>
      <c r="M104" s="105"/>
      <c r="N104" s="105"/>
      <c r="O104" s="105"/>
      <c r="P104" s="105"/>
      <c r="Q104" s="105"/>
      <c r="R104" s="105"/>
      <c r="S104" s="105"/>
      <c r="T104" s="105"/>
      <c r="U104" s="106"/>
    </row>
    <row r="107" spans="1:21" ht="18" customHeight="1" x14ac:dyDescent="0.15"/>
  </sheetData>
  <mergeCells count="144">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R80:U80"/>
    <mergeCell ref="B81:F81"/>
    <mergeCell ref="G81:J81"/>
    <mergeCell ref="K81:Q81"/>
    <mergeCell ref="R81:U81"/>
    <mergeCell ref="B82:F82"/>
    <mergeCell ref="G82:J82"/>
    <mergeCell ref="K82:Q82"/>
    <mergeCell ref="R82:U82"/>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91:B92"/>
    <mergeCell ref="D91:U91"/>
    <mergeCell ref="D92:U92"/>
    <mergeCell ref="B93:B94"/>
    <mergeCell ref="D93:U93"/>
    <mergeCell ref="D94:U94"/>
    <mergeCell ref="B87:F87"/>
    <mergeCell ref="G87:J87"/>
    <mergeCell ref="K87:Q87"/>
    <mergeCell ref="R87:U87"/>
    <mergeCell ref="B90:C90"/>
    <mergeCell ref="D90:U90"/>
    <mergeCell ref="B99:B101"/>
    <mergeCell ref="D99:U99"/>
    <mergeCell ref="D100:U100"/>
    <mergeCell ref="D101:U101"/>
    <mergeCell ref="B104:U104"/>
    <mergeCell ref="B95:B96"/>
    <mergeCell ref="D95:U95"/>
    <mergeCell ref="D96:U96"/>
    <mergeCell ref="B97:B98"/>
    <mergeCell ref="D97:U97"/>
    <mergeCell ref="D98:U98"/>
  </mergeCells>
  <phoneticPr fontId="1"/>
  <conditionalFormatting sqref="B11:U12">
    <cfRule type="expression" dxfId="5" priority="1">
      <formula>$L$7="学部・学科によって、修了要件は相違しない"</formula>
    </cfRule>
    <cfRule type="expression" dxfId="4" priority="2">
      <formula>$L$9="学部・学科によって、修了要件は相違しない"</formula>
    </cfRule>
  </conditionalFormatting>
  <dataValidations count="6">
    <dataValidation type="list" allowBlank="1" showInputMessage="1" showErrorMessage="1" sqref="H60:J66 S27:U33 H27:J33 S38:U44 H38:J44 S49:U55 H49:J55 S60:U66 R71:U77 G71:J77" xr:uid="{00000000-0002-0000-0200-000000000000}">
      <formula1>"○"</formula1>
    </dataValidation>
    <dataValidation type="list" allowBlank="1" showInputMessage="1" showErrorMessage="1" sqref="U34 U45 E34:H34 E45:H45" xr:uid="{00000000-0002-0000-0200-000001000000}">
      <formula1>"全学開講,一部開講"</formula1>
    </dataValidation>
    <dataValidation type="list" allowBlank="1" showInputMessage="1" showErrorMessage="1" sqref="L14 L7:U7" xr:uid="{00000000-0002-0000-0200-000002000000}">
      <formula1>"学部・学科によって、修了要件は相違する,学部・学科によって、修了要件は相違しない"</formula1>
    </dataValidation>
    <dataValidation type="list" allowBlank="1" showInputMessage="1" showErrorMessage="1" sqref="G88:J88 R88:U88" xr:uid="{00000000-0002-0000-02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200-000004000000}">
      <formula1>$X$16:$X$18</formula1>
    </dataValidation>
    <dataValidation type="list" allowBlank="1" showInputMessage="1" showErrorMessage="1" sqref="G81:J87 R81:U87" xr:uid="{00000000-0002-0000-0200-000005000000}">
      <formula1>$AA$80:$AA$89</formula1>
    </dataValidation>
  </dataValidations>
  <printOptions horizontalCentered="1"/>
  <pageMargins left="0.78740157480314965" right="0.78740157480314965" top="0.78740157480314965" bottom="0.19685039370078741" header="0.31496062992125984" footer="0.19685039370078741"/>
  <pageSetup paperSize="9" scale="60"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A107"/>
  <sheetViews>
    <sheetView showZeros="0" view="pageBreakPreview" topLeftCell="A59" zoomScaleNormal="100" zoomScaleSheetLayoutView="100" workbookViewId="0">
      <selection activeCell="A59" sqref="A1:XFD1048576"/>
    </sheetView>
  </sheetViews>
  <sheetFormatPr defaultColWidth="9" defaultRowHeight="18.75" customHeight="1" x14ac:dyDescent="0.15"/>
  <cols>
    <col min="1" max="1" width="2.5" style="8" customWidth="1"/>
    <col min="2" max="2" width="16.5" style="8" customWidth="1"/>
    <col min="3" max="21" width="5.625" style="8" customWidth="1"/>
    <col min="22" max="22" width="9" style="8"/>
    <col min="23" max="23" width="3.625" style="8" customWidth="1"/>
    <col min="24" max="24" width="48.625" style="8" hidden="1" customWidth="1"/>
    <col min="25" max="26" width="9" style="8"/>
    <col min="27" max="27" width="9" style="8" hidden="1" customWidth="1"/>
    <col min="28" max="16384" width="9" style="8"/>
  </cols>
  <sheetData>
    <row r="1" spans="1:24" ht="18.600000000000001" customHeight="1" x14ac:dyDescent="0.15">
      <c r="T1" s="146" t="s">
        <v>159</v>
      </c>
      <c r="U1" s="146"/>
      <c r="V1" s="9" t="s">
        <v>93</v>
      </c>
    </row>
    <row r="2" spans="1:24" ht="18.75" customHeight="1" x14ac:dyDescent="0.15">
      <c r="B2" s="10" t="s">
        <v>92</v>
      </c>
      <c r="C2" s="115" t="s">
        <v>142</v>
      </c>
      <c r="D2" s="116"/>
      <c r="E2" s="116"/>
      <c r="F2" s="116"/>
      <c r="G2" s="116"/>
      <c r="H2" s="116"/>
      <c r="I2" s="116"/>
      <c r="J2" s="117"/>
      <c r="K2" s="83"/>
      <c r="L2" s="11"/>
      <c r="M2" s="11"/>
      <c r="N2" s="11"/>
      <c r="O2" s="11"/>
      <c r="P2" s="11"/>
      <c r="Q2" s="11"/>
      <c r="R2" s="11"/>
      <c r="S2" s="11"/>
      <c r="T2" s="11"/>
      <c r="U2" s="11"/>
    </row>
    <row r="3" spans="1:24" ht="18.75" customHeight="1" x14ac:dyDescent="0.15">
      <c r="B3" s="10" t="s">
        <v>87</v>
      </c>
      <c r="C3" s="115" t="s">
        <v>143</v>
      </c>
      <c r="D3" s="116"/>
      <c r="E3" s="116"/>
      <c r="F3" s="116"/>
      <c r="G3" s="116"/>
      <c r="H3" s="116"/>
      <c r="I3" s="116"/>
      <c r="J3" s="117"/>
      <c r="K3" s="83"/>
      <c r="L3" s="11"/>
      <c r="M3" s="11"/>
      <c r="N3" s="11"/>
      <c r="O3" s="11"/>
      <c r="P3" s="11"/>
      <c r="Q3" s="11"/>
      <c r="R3" s="11"/>
      <c r="S3" s="11"/>
      <c r="T3" s="11"/>
      <c r="U3" s="11"/>
    </row>
    <row r="4" spans="1:24" ht="15" customHeight="1" x14ac:dyDescent="0.15">
      <c r="L4" s="83"/>
      <c r="M4" s="12"/>
      <c r="N4" s="12"/>
      <c r="O4" s="12"/>
      <c r="P4" s="12"/>
      <c r="Q4" s="12"/>
      <c r="R4" s="12"/>
      <c r="S4" s="12"/>
      <c r="T4" s="12"/>
      <c r="U4" s="12"/>
    </row>
    <row r="5" spans="1:24" ht="18" customHeight="1" x14ac:dyDescent="0.15">
      <c r="A5" s="147" t="s">
        <v>140</v>
      </c>
      <c r="B5" s="147"/>
      <c r="C5" s="147"/>
      <c r="D5" s="147"/>
      <c r="E5" s="147"/>
      <c r="F5" s="147"/>
      <c r="G5" s="147"/>
      <c r="H5" s="147"/>
      <c r="I5" s="147"/>
      <c r="J5" s="147"/>
      <c r="K5" s="147"/>
      <c r="L5" s="147"/>
      <c r="M5" s="147"/>
      <c r="N5" s="147"/>
      <c r="O5" s="147"/>
      <c r="P5" s="147"/>
      <c r="Q5" s="147"/>
      <c r="R5" s="147"/>
      <c r="S5" s="147"/>
      <c r="T5" s="147"/>
      <c r="U5" s="147"/>
    </row>
    <row r="6" spans="1:24" ht="15" customHeight="1" x14ac:dyDescent="0.15">
      <c r="B6" s="6"/>
      <c r="C6" s="6"/>
      <c r="D6" s="6"/>
      <c r="E6" s="6"/>
      <c r="F6" s="6"/>
      <c r="G6" s="6"/>
      <c r="H6" s="6"/>
      <c r="I6" s="6"/>
      <c r="J6" s="6"/>
      <c r="K6" s="6"/>
      <c r="L6" s="6"/>
      <c r="M6" s="6"/>
      <c r="N6" s="6"/>
      <c r="O6" s="6"/>
      <c r="P6" s="6"/>
      <c r="Q6" s="6"/>
      <c r="R6" s="6"/>
      <c r="S6" s="6"/>
      <c r="T6" s="6"/>
      <c r="U6" s="6"/>
    </row>
    <row r="7" spans="1:24" ht="15" customHeight="1" x14ac:dyDescent="0.15">
      <c r="A7" s="8" t="s">
        <v>116</v>
      </c>
      <c r="B7" s="6"/>
      <c r="C7" s="6"/>
      <c r="D7" s="6"/>
      <c r="E7" s="6"/>
      <c r="F7" s="9"/>
      <c r="G7" s="9"/>
      <c r="H7" s="9"/>
      <c r="I7" s="9"/>
      <c r="J7" s="9"/>
      <c r="K7" s="9"/>
      <c r="L7" s="148" t="s">
        <v>115</v>
      </c>
      <c r="M7" s="149"/>
      <c r="N7" s="149"/>
      <c r="O7" s="149"/>
      <c r="P7" s="149"/>
      <c r="Q7" s="149"/>
      <c r="R7" s="149"/>
      <c r="S7" s="149"/>
      <c r="T7" s="149"/>
      <c r="U7" s="150"/>
    </row>
    <row r="8" spans="1:24" ht="6" customHeight="1" x14ac:dyDescent="0.15">
      <c r="B8" s="6"/>
      <c r="C8" s="6"/>
      <c r="D8" s="6"/>
      <c r="E8" s="6"/>
      <c r="F8" s="6"/>
      <c r="G8" s="6"/>
      <c r="H8" s="6"/>
      <c r="I8" s="6"/>
      <c r="J8" s="6"/>
      <c r="K8" s="6"/>
      <c r="L8" s="6"/>
      <c r="M8" s="6"/>
      <c r="N8" s="6"/>
      <c r="O8" s="6"/>
      <c r="P8" s="6"/>
      <c r="Q8" s="6"/>
      <c r="R8" s="6"/>
      <c r="S8" s="6"/>
      <c r="T8" s="6"/>
      <c r="U8" s="6"/>
    </row>
    <row r="9" spans="1:24" ht="18" customHeight="1" x14ac:dyDescent="0.15">
      <c r="A9" s="8" t="s">
        <v>117</v>
      </c>
      <c r="C9" s="6"/>
      <c r="D9" s="6"/>
      <c r="K9" s="83"/>
      <c r="L9" s="9"/>
      <c r="M9" s="9"/>
      <c r="N9" s="9"/>
      <c r="O9" s="9"/>
      <c r="P9" s="9"/>
      <c r="Q9" s="9"/>
      <c r="R9" s="9"/>
      <c r="S9" s="9"/>
      <c r="T9" s="9"/>
      <c r="U9" s="9"/>
    </row>
    <row r="10" spans="1:24" ht="6" customHeight="1" x14ac:dyDescent="0.15">
      <c r="B10" s="6"/>
      <c r="C10" s="6"/>
      <c r="D10" s="6"/>
      <c r="E10" s="6"/>
      <c r="F10" s="6"/>
      <c r="G10" s="6"/>
      <c r="H10" s="6"/>
      <c r="I10" s="6"/>
      <c r="J10" s="6"/>
      <c r="K10" s="6"/>
      <c r="L10" s="5"/>
      <c r="M10" s="6"/>
      <c r="N10" s="6"/>
      <c r="O10" s="6"/>
      <c r="P10" s="6"/>
      <c r="Q10" s="6"/>
      <c r="R10" s="6"/>
      <c r="S10" s="6"/>
      <c r="T10" s="6"/>
      <c r="U10" s="6"/>
    </row>
    <row r="11" spans="1:24" ht="18" customHeight="1" x14ac:dyDescent="0.15">
      <c r="B11" s="151" t="s">
        <v>164</v>
      </c>
      <c r="C11" s="152"/>
      <c r="D11" s="152"/>
      <c r="E11" s="152"/>
      <c r="F11" s="152"/>
      <c r="G11" s="152"/>
      <c r="H11" s="152"/>
      <c r="I11" s="152"/>
      <c r="J11" s="152"/>
      <c r="K11" s="152"/>
      <c r="L11" s="152"/>
      <c r="M11" s="152"/>
      <c r="N11" s="152"/>
      <c r="O11" s="152"/>
      <c r="P11" s="152"/>
      <c r="Q11" s="152"/>
      <c r="R11" s="152"/>
      <c r="S11" s="152"/>
      <c r="T11" s="152"/>
      <c r="U11" s="153"/>
    </row>
    <row r="12" spans="1:24" ht="18" customHeight="1" x14ac:dyDescent="0.15">
      <c r="B12" s="154"/>
      <c r="C12" s="155"/>
      <c r="D12" s="155"/>
      <c r="E12" s="155"/>
      <c r="F12" s="155"/>
      <c r="G12" s="155"/>
      <c r="H12" s="155"/>
      <c r="I12" s="155"/>
      <c r="J12" s="155"/>
      <c r="K12" s="155"/>
      <c r="L12" s="155"/>
      <c r="M12" s="155"/>
      <c r="N12" s="155"/>
      <c r="O12" s="155"/>
      <c r="P12" s="155"/>
      <c r="Q12" s="155"/>
      <c r="R12" s="155"/>
      <c r="S12" s="155"/>
      <c r="T12" s="155"/>
      <c r="U12" s="156"/>
    </row>
    <row r="13" spans="1:24" ht="6" customHeight="1" x14ac:dyDescent="0.15">
      <c r="B13" s="6"/>
      <c r="C13" s="6"/>
      <c r="D13" s="6"/>
      <c r="E13" s="6"/>
      <c r="F13" s="6"/>
      <c r="G13" s="6"/>
      <c r="H13" s="6"/>
      <c r="I13" s="6"/>
      <c r="J13" s="6"/>
      <c r="K13" s="6"/>
      <c r="L13" s="5"/>
      <c r="M13" s="6"/>
      <c r="N13" s="6"/>
      <c r="O13" s="6"/>
      <c r="P13" s="6"/>
      <c r="Q13" s="6"/>
      <c r="R13" s="6"/>
      <c r="S13" s="6"/>
      <c r="T13" s="6"/>
      <c r="U13" s="6"/>
    </row>
    <row r="14" spans="1:24" ht="18" customHeight="1" x14ac:dyDescent="0.15">
      <c r="A14" s="8" t="s">
        <v>94</v>
      </c>
      <c r="B14" s="6"/>
      <c r="C14" s="6"/>
      <c r="D14" s="6"/>
      <c r="E14" s="83"/>
      <c r="F14" s="83"/>
      <c r="G14" s="83"/>
      <c r="H14" s="83"/>
      <c r="I14" s="83"/>
      <c r="J14" s="83"/>
      <c r="K14" s="83"/>
      <c r="L14" s="13"/>
      <c r="M14" s="13"/>
      <c r="N14" s="13"/>
      <c r="O14" s="13"/>
      <c r="P14" s="13"/>
      <c r="Q14" s="13"/>
      <c r="R14" s="13"/>
      <c r="S14" s="13"/>
      <c r="T14" s="13"/>
      <c r="U14" s="13"/>
    </row>
    <row r="15" spans="1:24" ht="18" customHeight="1" x14ac:dyDescent="0.15">
      <c r="B15" s="134" t="s">
        <v>200</v>
      </c>
      <c r="C15" s="135"/>
      <c r="D15" s="135"/>
      <c r="E15" s="135"/>
      <c r="F15" s="135"/>
      <c r="G15" s="135"/>
      <c r="H15" s="135"/>
      <c r="I15" s="135"/>
      <c r="J15" s="135"/>
      <c r="K15" s="135"/>
      <c r="L15" s="135"/>
      <c r="M15" s="135"/>
      <c r="N15" s="135"/>
      <c r="O15" s="135"/>
      <c r="P15" s="135"/>
      <c r="Q15" s="135"/>
      <c r="R15" s="135"/>
      <c r="S15" s="135"/>
      <c r="T15" s="135"/>
      <c r="U15" s="136"/>
      <c r="X15" s="8" t="s">
        <v>88</v>
      </c>
    </row>
    <row r="16" spans="1:24" ht="18" customHeight="1" x14ac:dyDescent="0.15">
      <c r="B16" s="137"/>
      <c r="C16" s="138"/>
      <c r="D16" s="138"/>
      <c r="E16" s="138"/>
      <c r="F16" s="138"/>
      <c r="G16" s="138"/>
      <c r="H16" s="138"/>
      <c r="I16" s="138"/>
      <c r="J16" s="138"/>
      <c r="K16" s="138"/>
      <c r="L16" s="138"/>
      <c r="M16" s="138"/>
      <c r="N16" s="138"/>
      <c r="O16" s="138"/>
      <c r="P16" s="138"/>
      <c r="Q16" s="138"/>
      <c r="R16" s="138"/>
      <c r="S16" s="138"/>
      <c r="T16" s="138"/>
      <c r="U16" s="139"/>
      <c r="X16" s="8" t="s">
        <v>121</v>
      </c>
    </row>
    <row r="17" spans="1:24" ht="18" customHeight="1" x14ac:dyDescent="0.15">
      <c r="B17" s="137"/>
      <c r="C17" s="138"/>
      <c r="D17" s="138"/>
      <c r="E17" s="138"/>
      <c r="F17" s="138"/>
      <c r="G17" s="138"/>
      <c r="H17" s="138"/>
      <c r="I17" s="138"/>
      <c r="J17" s="138"/>
      <c r="K17" s="138"/>
      <c r="L17" s="138"/>
      <c r="M17" s="138"/>
      <c r="N17" s="138"/>
      <c r="O17" s="138"/>
      <c r="P17" s="138"/>
      <c r="Q17" s="138"/>
      <c r="R17" s="138"/>
      <c r="S17" s="138"/>
      <c r="T17" s="138"/>
      <c r="U17" s="139"/>
      <c r="X17" s="8" t="s">
        <v>122</v>
      </c>
    </row>
    <row r="18" spans="1:24" ht="18" customHeight="1" x14ac:dyDescent="0.15">
      <c r="B18" s="137"/>
      <c r="C18" s="138"/>
      <c r="D18" s="138"/>
      <c r="E18" s="138"/>
      <c r="F18" s="138"/>
      <c r="G18" s="138"/>
      <c r="H18" s="138"/>
      <c r="I18" s="138"/>
      <c r="J18" s="138"/>
      <c r="K18" s="138"/>
      <c r="L18" s="138"/>
      <c r="M18" s="138"/>
      <c r="N18" s="138"/>
      <c r="O18" s="138"/>
      <c r="P18" s="138"/>
      <c r="Q18" s="138"/>
      <c r="R18" s="138"/>
      <c r="S18" s="138"/>
      <c r="T18" s="138"/>
      <c r="U18" s="139"/>
      <c r="X18" s="8" t="s">
        <v>123</v>
      </c>
    </row>
    <row r="19" spans="1:24" ht="18" customHeight="1" x14ac:dyDescent="0.15">
      <c r="B19" s="137"/>
      <c r="C19" s="138"/>
      <c r="D19" s="138"/>
      <c r="E19" s="138"/>
      <c r="F19" s="138"/>
      <c r="G19" s="138"/>
      <c r="H19" s="138"/>
      <c r="I19" s="138"/>
      <c r="J19" s="138"/>
      <c r="K19" s="138"/>
      <c r="L19" s="138"/>
      <c r="M19" s="138"/>
      <c r="N19" s="138"/>
      <c r="O19" s="138"/>
      <c r="P19" s="138"/>
      <c r="Q19" s="138"/>
      <c r="R19" s="138"/>
      <c r="S19" s="138"/>
      <c r="T19" s="138"/>
      <c r="U19" s="139"/>
    </row>
    <row r="20" spans="1:24" ht="107.1" customHeight="1" x14ac:dyDescent="0.15">
      <c r="B20" s="140"/>
      <c r="C20" s="141"/>
      <c r="D20" s="141"/>
      <c r="E20" s="141"/>
      <c r="F20" s="141"/>
      <c r="G20" s="141"/>
      <c r="H20" s="141"/>
      <c r="I20" s="141"/>
      <c r="J20" s="141"/>
      <c r="K20" s="141"/>
      <c r="L20" s="141"/>
      <c r="M20" s="141"/>
      <c r="N20" s="141"/>
      <c r="O20" s="141"/>
      <c r="P20" s="141"/>
      <c r="Q20" s="141"/>
      <c r="R20" s="141"/>
      <c r="S20" s="141"/>
      <c r="T20" s="141"/>
      <c r="U20" s="142"/>
    </row>
    <row r="21" spans="1:24" ht="7.5" customHeight="1" x14ac:dyDescent="0.15">
      <c r="B21" s="6"/>
      <c r="C21" s="6"/>
      <c r="D21" s="6"/>
      <c r="E21" s="6"/>
      <c r="F21" s="6"/>
      <c r="G21" s="6"/>
      <c r="H21" s="6"/>
      <c r="I21" s="6"/>
      <c r="J21" s="6"/>
      <c r="K21" s="6"/>
      <c r="L21" s="6"/>
      <c r="M21" s="6"/>
      <c r="N21" s="6"/>
      <c r="O21" s="6"/>
      <c r="P21" s="6"/>
      <c r="Q21" s="6"/>
      <c r="R21" s="6"/>
      <c r="S21" s="6"/>
      <c r="T21" s="6"/>
      <c r="U21" s="6"/>
    </row>
    <row r="22" spans="1:24" ht="20.100000000000001" customHeight="1" x14ac:dyDescent="0.15">
      <c r="B22" s="8" t="s">
        <v>118</v>
      </c>
      <c r="E22" s="10">
        <v>2</v>
      </c>
      <c r="F22" s="8" t="s">
        <v>105</v>
      </c>
      <c r="H22" s="10">
        <v>3</v>
      </c>
      <c r="I22" s="6" t="s">
        <v>106</v>
      </c>
      <c r="J22" s="6"/>
      <c r="K22" s="83"/>
      <c r="M22" s="83" t="s">
        <v>103</v>
      </c>
      <c r="N22" s="143" t="s">
        <v>121</v>
      </c>
      <c r="O22" s="144"/>
      <c r="P22" s="144"/>
      <c r="Q22" s="144"/>
      <c r="R22" s="144"/>
      <c r="S22" s="144"/>
      <c r="T22" s="144"/>
      <c r="U22" s="145"/>
    </row>
    <row r="23" spans="1:24" ht="7.5" customHeight="1" x14ac:dyDescent="0.15">
      <c r="B23" s="6"/>
      <c r="C23" s="6"/>
      <c r="D23" s="6"/>
      <c r="E23" s="6"/>
      <c r="F23" s="6"/>
      <c r="G23" s="6"/>
      <c r="H23" s="6"/>
      <c r="I23" s="6"/>
      <c r="J23" s="6"/>
      <c r="K23" s="6"/>
      <c r="L23" s="6"/>
      <c r="M23" s="6"/>
      <c r="N23" s="6"/>
      <c r="O23" s="6"/>
      <c r="P23" s="6"/>
      <c r="Q23" s="6"/>
      <c r="R23" s="6"/>
      <c r="S23" s="6"/>
      <c r="T23" s="6"/>
      <c r="U23" s="6"/>
    </row>
    <row r="24" spans="1:24" ht="18" customHeight="1" x14ac:dyDescent="0.15">
      <c r="A24" s="133" t="s">
        <v>95</v>
      </c>
      <c r="B24" s="133"/>
      <c r="C24" s="133"/>
      <c r="D24" s="133"/>
      <c r="E24" s="133"/>
      <c r="F24" s="133"/>
      <c r="G24" s="133"/>
      <c r="H24" s="133"/>
      <c r="I24" s="133"/>
      <c r="J24" s="133"/>
      <c r="K24" s="133"/>
      <c r="L24" s="133"/>
      <c r="M24" s="133"/>
      <c r="N24" s="133"/>
      <c r="O24" s="133"/>
      <c r="P24" s="133"/>
      <c r="Q24" s="133"/>
      <c r="R24" s="133"/>
      <c r="S24" s="133"/>
      <c r="T24" s="133"/>
      <c r="U24" s="133"/>
    </row>
    <row r="25" spans="1:24" ht="18" customHeight="1" x14ac:dyDescent="0.15">
      <c r="A25" s="133"/>
      <c r="B25" s="133"/>
      <c r="C25" s="133"/>
      <c r="D25" s="133"/>
      <c r="E25" s="133"/>
      <c r="F25" s="133"/>
      <c r="G25" s="133"/>
      <c r="H25" s="133"/>
      <c r="I25" s="133"/>
      <c r="J25" s="133"/>
      <c r="K25" s="133"/>
      <c r="L25" s="133"/>
      <c r="M25" s="133"/>
      <c r="N25" s="133"/>
      <c r="O25" s="133"/>
      <c r="P25" s="133"/>
      <c r="Q25" s="133"/>
      <c r="R25" s="133"/>
      <c r="S25" s="133"/>
      <c r="T25" s="133"/>
      <c r="U25" s="133"/>
    </row>
    <row r="26" spans="1:24" ht="18" customHeight="1" x14ac:dyDescent="0.15">
      <c r="B26" s="115" t="s">
        <v>47</v>
      </c>
      <c r="C26" s="116"/>
      <c r="D26" s="116"/>
      <c r="E26" s="116"/>
      <c r="F26" s="117"/>
      <c r="G26" s="14" t="s">
        <v>72</v>
      </c>
      <c r="H26" s="15" t="s">
        <v>75</v>
      </c>
      <c r="I26" s="16" t="s">
        <v>50</v>
      </c>
      <c r="J26" s="16" t="s">
        <v>53</v>
      </c>
      <c r="K26" s="115" t="s">
        <v>47</v>
      </c>
      <c r="L26" s="116"/>
      <c r="M26" s="116"/>
      <c r="N26" s="116"/>
      <c r="O26" s="116"/>
      <c r="P26" s="116"/>
      <c r="Q26" s="117"/>
      <c r="R26" s="14" t="s">
        <v>72</v>
      </c>
      <c r="S26" s="15" t="s">
        <v>75</v>
      </c>
      <c r="T26" s="16" t="s">
        <v>50</v>
      </c>
      <c r="U26" s="16" t="s">
        <v>53</v>
      </c>
    </row>
    <row r="27" spans="1:24" ht="18" customHeight="1" x14ac:dyDescent="0.15">
      <c r="B27" s="124" t="s">
        <v>144</v>
      </c>
      <c r="C27" s="125"/>
      <c r="D27" s="125"/>
      <c r="E27" s="125"/>
      <c r="F27" s="126"/>
      <c r="G27" s="17">
        <v>1</v>
      </c>
      <c r="H27" s="17" t="s">
        <v>145</v>
      </c>
      <c r="I27" s="17" t="s">
        <v>145</v>
      </c>
      <c r="J27" s="17" t="s">
        <v>145</v>
      </c>
      <c r="K27" s="124"/>
      <c r="L27" s="125"/>
      <c r="M27" s="125"/>
      <c r="N27" s="125"/>
      <c r="O27" s="125"/>
      <c r="P27" s="125"/>
      <c r="Q27" s="126"/>
      <c r="R27" s="17"/>
      <c r="S27" s="17"/>
      <c r="T27" s="17"/>
      <c r="U27" s="17"/>
    </row>
    <row r="28" spans="1:24" ht="18" customHeight="1" x14ac:dyDescent="0.15">
      <c r="B28" s="118"/>
      <c r="C28" s="119"/>
      <c r="D28" s="119"/>
      <c r="E28" s="119"/>
      <c r="F28" s="120"/>
      <c r="G28" s="18"/>
      <c r="H28" s="18"/>
      <c r="I28" s="18"/>
      <c r="J28" s="18"/>
      <c r="K28" s="118"/>
      <c r="L28" s="119"/>
      <c r="M28" s="119"/>
      <c r="N28" s="119"/>
      <c r="O28" s="119"/>
      <c r="P28" s="119"/>
      <c r="Q28" s="120"/>
      <c r="R28" s="18"/>
      <c r="S28" s="18"/>
      <c r="T28" s="18"/>
      <c r="U28" s="18"/>
    </row>
    <row r="29" spans="1:24" ht="18" customHeight="1" x14ac:dyDescent="0.15">
      <c r="B29" s="118"/>
      <c r="C29" s="119"/>
      <c r="D29" s="119"/>
      <c r="E29" s="119"/>
      <c r="F29" s="120"/>
      <c r="G29" s="18"/>
      <c r="H29" s="18"/>
      <c r="I29" s="18"/>
      <c r="J29" s="18"/>
      <c r="K29" s="118"/>
      <c r="L29" s="119"/>
      <c r="M29" s="119"/>
      <c r="N29" s="119"/>
      <c r="O29" s="119"/>
      <c r="P29" s="119"/>
      <c r="Q29" s="120"/>
      <c r="R29" s="18"/>
      <c r="S29" s="18"/>
      <c r="T29" s="18"/>
      <c r="U29" s="18"/>
    </row>
    <row r="30" spans="1:24" ht="18" customHeight="1" x14ac:dyDescent="0.15">
      <c r="B30" s="118"/>
      <c r="C30" s="119"/>
      <c r="D30" s="119"/>
      <c r="E30" s="119"/>
      <c r="F30" s="120"/>
      <c r="G30" s="18"/>
      <c r="H30" s="18"/>
      <c r="I30" s="18"/>
      <c r="J30" s="18"/>
      <c r="K30" s="118"/>
      <c r="L30" s="119"/>
      <c r="M30" s="119"/>
      <c r="N30" s="119"/>
      <c r="O30" s="119"/>
      <c r="P30" s="119"/>
      <c r="Q30" s="120"/>
      <c r="R30" s="18"/>
      <c r="S30" s="18"/>
      <c r="T30" s="18"/>
      <c r="U30" s="18"/>
    </row>
    <row r="31" spans="1:24" ht="18" customHeight="1" x14ac:dyDescent="0.15">
      <c r="B31" s="118"/>
      <c r="C31" s="119"/>
      <c r="D31" s="119"/>
      <c r="E31" s="119"/>
      <c r="F31" s="120"/>
      <c r="G31" s="18"/>
      <c r="H31" s="18"/>
      <c r="I31" s="18"/>
      <c r="J31" s="18"/>
      <c r="K31" s="118"/>
      <c r="L31" s="119"/>
      <c r="M31" s="119"/>
      <c r="N31" s="119"/>
      <c r="O31" s="119"/>
      <c r="P31" s="119"/>
      <c r="Q31" s="120"/>
      <c r="R31" s="18"/>
      <c r="S31" s="18"/>
      <c r="T31" s="18"/>
      <c r="U31" s="18"/>
    </row>
    <row r="32" spans="1:24" ht="18" customHeight="1" x14ac:dyDescent="0.15">
      <c r="A32" s="6"/>
      <c r="B32" s="118"/>
      <c r="C32" s="119"/>
      <c r="D32" s="119"/>
      <c r="E32" s="119"/>
      <c r="F32" s="120"/>
      <c r="G32" s="18"/>
      <c r="H32" s="18"/>
      <c r="I32" s="18"/>
      <c r="J32" s="18"/>
      <c r="K32" s="118"/>
      <c r="L32" s="119"/>
      <c r="M32" s="119"/>
      <c r="N32" s="119"/>
      <c r="O32" s="119"/>
      <c r="P32" s="119"/>
      <c r="Q32" s="120"/>
      <c r="R32" s="18"/>
      <c r="S32" s="18"/>
      <c r="T32" s="18"/>
      <c r="U32" s="18"/>
    </row>
    <row r="33" spans="1:21" ht="18" customHeight="1" x14ac:dyDescent="0.15">
      <c r="A33" s="6"/>
      <c r="B33" s="107"/>
      <c r="C33" s="108"/>
      <c r="D33" s="108"/>
      <c r="E33" s="108"/>
      <c r="F33" s="109"/>
      <c r="G33" s="19"/>
      <c r="H33" s="19"/>
      <c r="I33" s="20"/>
      <c r="J33" s="20"/>
      <c r="K33" s="107"/>
      <c r="L33" s="108"/>
      <c r="M33" s="108"/>
      <c r="N33" s="108"/>
      <c r="O33" s="108"/>
      <c r="P33" s="108"/>
      <c r="Q33" s="109"/>
      <c r="R33" s="19"/>
      <c r="S33" s="19"/>
      <c r="T33" s="20"/>
      <c r="U33" s="20"/>
    </row>
    <row r="34" spans="1:21" ht="7.5" customHeight="1" x14ac:dyDescent="0.15">
      <c r="A34" s="6"/>
      <c r="B34" s="11"/>
      <c r="C34" s="11"/>
      <c r="D34" s="11"/>
      <c r="E34" s="6"/>
      <c r="F34" s="6"/>
      <c r="G34" s="6"/>
      <c r="H34" s="6"/>
      <c r="I34" s="11"/>
      <c r="J34" s="11"/>
      <c r="K34" s="11"/>
      <c r="L34" s="11"/>
      <c r="M34" s="11"/>
      <c r="N34" s="11"/>
      <c r="O34" s="11"/>
      <c r="P34" s="11"/>
      <c r="Q34" s="11"/>
      <c r="R34" s="11"/>
      <c r="S34" s="11"/>
      <c r="T34" s="11"/>
      <c r="U34" s="6"/>
    </row>
    <row r="35" spans="1:21" ht="18" customHeight="1" x14ac:dyDescent="0.15">
      <c r="A35" s="133" t="s">
        <v>96</v>
      </c>
      <c r="B35" s="133"/>
      <c r="C35" s="133"/>
      <c r="D35" s="133"/>
      <c r="E35" s="133"/>
      <c r="F35" s="133"/>
      <c r="G35" s="133"/>
      <c r="H35" s="133"/>
      <c r="I35" s="133"/>
      <c r="J35" s="133"/>
      <c r="K35" s="133"/>
      <c r="L35" s="133"/>
      <c r="M35" s="133"/>
      <c r="N35" s="133"/>
      <c r="O35" s="133"/>
      <c r="P35" s="133"/>
      <c r="Q35" s="133"/>
      <c r="R35" s="133"/>
      <c r="S35" s="133"/>
      <c r="T35" s="133"/>
      <c r="U35" s="133"/>
    </row>
    <row r="36" spans="1:21" ht="18" customHeight="1" x14ac:dyDescent="0.15">
      <c r="A36" s="133"/>
      <c r="B36" s="133"/>
      <c r="C36" s="133"/>
      <c r="D36" s="133"/>
      <c r="E36" s="133"/>
      <c r="F36" s="133"/>
      <c r="G36" s="133"/>
      <c r="H36" s="133"/>
      <c r="I36" s="133"/>
      <c r="J36" s="133"/>
      <c r="K36" s="133"/>
      <c r="L36" s="133"/>
      <c r="M36" s="133"/>
      <c r="N36" s="133"/>
      <c r="O36" s="133"/>
      <c r="P36" s="133"/>
      <c r="Q36" s="133"/>
      <c r="R36" s="133"/>
      <c r="S36" s="133"/>
      <c r="T36" s="133"/>
      <c r="U36" s="133"/>
    </row>
    <row r="37" spans="1:21" ht="18" customHeight="1" x14ac:dyDescent="0.15">
      <c r="B37" s="115" t="s">
        <v>47</v>
      </c>
      <c r="C37" s="116"/>
      <c r="D37" s="116"/>
      <c r="E37" s="116"/>
      <c r="F37" s="117"/>
      <c r="G37" s="14" t="s">
        <v>72</v>
      </c>
      <c r="H37" s="15" t="s">
        <v>75</v>
      </c>
      <c r="I37" s="16" t="s">
        <v>63</v>
      </c>
      <c r="J37" s="16" t="s">
        <v>64</v>
      </c>
      <c r="K37" s="115" t="s">
        <v>47</v>
      </c>
      <c r="L37" s="116"/>
      <c r="M37" s="116"/>
      <c r="N37" s="116"/>
      <c r="O37" s="116"/>
      <c r="P37" s="116"/>
      <c r="Q37" s="117"/>
      <c r="R37" s="14" t="s">
        <v>72</v>
      </c>
      <c r="S37" s="15" t="s">
        <v>75</v>
      </c>
      <c r="T37" s="16" t="s">
        <v>63</v>
      </c>
      <c r="U37" s="16" t="s">
        <v>64</v>
      </c>
    </row>
    <row r="38" spans="1:21" ht="18" customHeight="1" x14ac:dyDescent="0.15">
      <c r="B38" s="124" t="s">
        <v>144</v>
      </c>
      <c r="C38" s="125"/>
      <c r="D38" s="125"/>
      <c r="E38" s="125"/>
      <c r="F38" s="126"/>
      <c r="G38" s="17">
        <v>1</v>
      </c>
      <c r="H38" s="17" t="s">
        <v>145</v>
      </c>
      <c r="I38" s="17" t="s">
        <v>145</v>
      </c>
      <c r="J38" s="17" t="s">
        <v>145</v>
      </c>
      <c r="K38" s="124"/>
      <c r="L38" s="125"/>
      <c r="M38" s="125"/>
      <c r="N38" s="125"/>
      <c r="O38" s="125"/>
      <c r="P38" s="125"/>
      <c r="Q38" s="126"/>
      <c r="R38" s="17"/>
      <c r="S38" s="17"/>
      <c r="T38" s="17"/>
      <c r="U38" s="17"/>
    </row>
    <row r="39" spans="1:21" ht="18" customHeight="1" x14ac:dyDescent="0.15">
      <c r="B39" s="118"/>
      <c r="C39" s="119"/>
      <c r="D39" s="119"/>
      <c r="E39" s="119"/>
      <c r="F39" s="120"/>
      <c r="G39" s="18"/>
      <c r="H39" s="18"/>
      <c r="I39" s="18"/>
      <c r="J39" s="18"/>
      <c r="K39" s="118"/>
      <c r="L39" s="119"/>
      <c r="M39" s="119"/>
      <c r="N39" s="119"/>
      <c r="O39" s="119"/>
      <c r="P39" s="119"/>
      <c r="Q39" s="120"/>
      <c r="R39" s="18"/>
      <c r="S39" s="18"/>
      <c r="T39" s="18"/>
      <c r="U39" s="18"/>
    </row>
    <row r="40" spans="1:21" ht="18" customHeight="1" x14ac:dyDescent="0.15">
      <c r="B40" s="118"/>
      <c r="C40" s="119"/>
      <c r="D40" s="119"/>
      <c r="E40" s="119"/>
      <c r="F40" s="120"/>
      <c r="G40" s="18"/>
      <c r="H40" s="18"/>
      <c r="I40" s="18"/>
      <c r="J40" s="18"/>
      <c r="K40" s="118"/>
      <c r="L40" s="119"/>
      <c r="M40" s="119"/>
      <c r="N40" s="119"/>
      <c r="O40" s="119"/>
      <c r="P40" s="119"/>
      <c r="Q40" s="120"/>
      <c r="R40" s="18"/>
      <c r="S40" s="18"/>
      <c r="T40" s="18"/>
      <c r="U40" s="18"/>
    </row>
    <row r="41" spans="1:21" ht="18" customHeight="1" x14ac:dyDescent="0.15">
      <c r="B41" s="118"/>
      <c r="C41" s="119"/>
      <c r="D41" s="119"/>
      <c r="E41" s="119"/>
      <c r="F41" s="120"/>
      <c r="G41" s="18"/>
      <c r="H41" s="18"/>
      <c r="I41" s="18"/>
      <c r="J41" s="18"/>
      <c r="K41" s="118"/>
      <c r="L41" s="119"/>
      <c r="M41" s="119"/>
      <c r="N41" s="119"/>
      <c r="O41" s="119"/>
      <c r="P41" s="119"/>
      <c r="Q41" s="120"/>
      <c r="R41" s="18"/>
      <c r="S41" s="18"/>
      <c r="T41" s="18"/>
      <c r="U41" s="18"/>
    </row>
    <row r="42" spans="1:21" ht="18" customHeight="1" x14ac:dyDescent="0.15">
      <c r="B42" s="118"/>
      <c r="C42" s="119"/>
      <c r="D42" s="119"/>
      <c r="E42" s="119"/>
      <c r="F42" s="120"/>
      <c r="G42" s="18"/>
      <c r="H42" s="18"/>
      <c r="I42" s="18"/>
      <c r="J42" s="18"/>
      <c r="K42" s="118"/>
      <c r="L42" s="119"/>
      <c r="M42" s="119"/>
      <c r="N42" s="119"/>
      <c r="O42" s="119"/>
      <c r="P42" s="119"/>
      <c r="Q42" s="120"/>
      <c r="R42" s="18"/>
      <c r="S42" s="18"/>
      <c r="T42" s="18"/>
      <c r="U42" s="18"/>
    </row>
    <row r="43" spans="1:21" ht="18" customHeight="1" x14ac:dyDescent="0.15">
      <c r="B43" s="118"/>
      <c r="C43" s="119"/>
      <c r="D43" s="119"/>
      <c r="E43" s="119"/>
      <c r="F43" s="120"/>
      <c r="G43" s="18"/>
      <c r="H43" s="18"/>
      <c r="I43" s="18"/>
      <c r="J43" s="18"/>
      <c r="K43" s="118"/>
      <c r="L43" s="119"/>
      <c r="M43" s="119"/>
      <c r="N43" s="119"/>
      <c r="O43" s="119"/>
      <c r="P43" s="119"/>
      <c r="Q43" s="120"/>
      <c r="R43" s="18"/>
      <c r="S43" s="18"/>
      <c r="T43" s="18"/>
      <c r="U43" s="18"/>
    </row>
    <row r="44" spans="1:21" ht="18" customHeight="1" x14ac:dyDescent="0.15">
      <c r="B44" s="107"/>
      <c r="C44" s="108"/>
      <c r="D44" s="108"/>
      <c r="E44" s="108"/>
      <c r="F44" s="109"/>
      <c r="G44" s="19"/>
      <c r="H44" s="19"/>
      <c r="I44" s="20"/>
      <c r="J44" s="20"/>
      <c r="K44" s="107"/>
      <c r="L44" s="108"/>
      <c r="M44" s="108"/>
      <c r="N44" s="108"/>
      <c r="O44" s="108"/>
      <c r="P44" s="108"/>
      <c r="Q44" s="109"/>
      <c r="R44" s="19"/>
      <c r="S44" s="19"/>
      <c r="T44" s="20"/>
      <c r="U44" s="20"/>
    </row>
    <row r="45" spans="1:21" ht="7.5" customHeight="1" x14ac:dyDescent="0.15">
      <c r="A45" s="6"/>
      <c r="B45" s="11"/>
      <c r="C45" s="11"/>
      <c r="D45" s="11"/>
      <c r="E45" s="6"/>
      <c r="F45" s="6"/>
      <c r="G45" s="6"/>
      <c r="H45" s="6"/>
      <c r="I45" s="11"/>
      <c r="J45" s="11"/>
      <c r="K45" s="11"/>
      <c r="L45" s="11"/>
      <c r="M45" s="11"/>
      <c r="N45" s="11"/>
      <c r="O45" s="11"/>
      <c r="P45" s="11"/>
      <c r="Q45" s="11"/>
      <c r="R45" s="11"/>
      <c r="S45" s="11"/>
      <c r="T45" s="11"/>
      <c r="U45" s="6"/>
    </row>
    <row r="46" spans="1:21" ht="18" customHeight="1" x14ac:dyDescent="0.15">
      <c r="A46" s="133" t="s">
        <v>97</v>
      </c>
      <c r="B46" s="133"/>
      <c r="C46" s="133"/>
      <c r="D46" s="133"/>
      <c r="E46" s="133"/>
      <c r="F46" s="133"/>
      <c r="G46" s="133"/>
      <c r="H46" s="133"/>
      <c r="I46" s="133"/>
      <c r="J46" s="133"/>
      <c r="K46" s="133"/>
      <c r="L46" s="133"/>
      <c r="M46" s="133"/>
      <c r="N46" s="133"/>
      <c r="O46" s="133"/>
      <c r="P46" s="133"/>
      <c r="Q46" s="133"/>
      <c r="R46" s="133"/>
      <c r="S46" s="133"/>
      <c r="T46" s="133"/>
      <c r="U46" s="133"/>
    </row>
    <row r="47" spans="1:21" ht="18" customHeight="1" x14ac:dyDescent="0.15">
      <c r="A47" s="133"/>
      <c r="B47" s="133"/>
      <c r="C47" s="133"/>
      <c r="D47" s="133"/>
      <c r="E47" s="133"/>
      <c r="F47" s="133"/>
      <c r="G47" s="133"/>
      <c r="H47" s="133"/>
      <c r="I47" s="133"/>
      <c r="J47" s="133"/>
      <c r="K47" s="133"/>
      <c r="L47" s="133"/>
      <c r="M47" s="133"/>
      <c r="N47" s="133"/>
      <c r="O47" s="133"/>
      <c r="P47" s="133"/>
      <c r="Q47" s="133"/>
      <c r="R47" s="133"/>
      <c r="S47" s="133"/>
      <c r="T47" s="133"/>
      <c r="U47" s="133"/>
    </row>
    <row r="48" spans="1:21" ht="18" customHeight="1" x14ac:dyDescent="0.15">
      <c r="B48" s="115" t="s">
        <v>47</v>
      </c>
      <c r="C48" s="116"/>
      <c r="D48" s="116"/>
      <c r="E48" s="116"/>
      <c r="F48" s="117"/>
      <c r="G48" s="14" t="s">
        <v>72</v>
      </c>
      <c r="H48" s="15" t="s">
        <v>75</v>
      </c>
      <c r="I48" s="16" t="s">
        <v>65</v>
      </c>
      <c r="J48" s="16" t="s">
        <v>66</v>
      </c>
      <c r="K48" s="115" t="s">
        <v>47</v>
      </c>
      <c r="L48" s="116"/>
      <c r="M48" s="116"/>
      <c r="N48" s="116"/>
      <c r="O48" s="116"/>
      <c r="P48" s="116"/>
      <c r="Q48" s="117"/>
      <c r="R48" s="14" t="s">
        <v>72</v>
      </c>
      <c r="S48" s="15" t="s">
        <v>75</v>
      </c>
      <c r="T48" s="16" t="s">
        <v>65</v>
      </c>
      <c r="U48" s="16" t="s">
        <v>66</v>
      </c>
    </row>
    <row r="49" spans="1:21" ht="18" customHeight="1" x14ac:dyDescent="0.15">
      <c r="A49" s="6"/>
      <c r="B49" s="124" t="s">
        <v>144</v>
      </c>
      <c r="C49" s="125"/>
      <c r="D49" s="125"/>
      <c r="E49" s="125"/>
      <c r="F49" s="126"/>
      <c r="G49" s="17">
        <v>1</v>
      </c>
      <c r="H49" s="17" t="s">
        <v>145</v>
      </c>
      <c r="I49" s="17" t="s">
        <v>145</v>
      </c>
      <c r="J49" s="17" t="s">
        <v>145</v>
      </c>
      <c r="K49" s="124"/>
      <c r="L49" s="125"/>
      <c r="M49" s="125"/>
      <c r="N49" s="125"/>
      <c r="O49" s="125"/>
      <c r="P49" s="125"/>
      <c r="Q49" s="126"/>
      <c r="R49" s="17"/>
      <c r="S49" s="17"/>
      <c r="T49" s="17"/>
      <c r="U49" s="17"/>
    </row>
    <row r="50" spans="1:21" ht="18" customHeight="1" x14ac:dyDescent="0.15">
      <c r="A50" s="6"/>
      <c r="B50" s="118"/>
      <c r="C50" s="119"/>
      <c r="D50" s="119"/>
      <c r="E50" s="119"/>
      <c r="F50" s="120"/>
      <c r="G50" s="18"/>
      <c r="H50" s="18"/>
      <c r="I50" s="18"/>
      <c r="J50" s="18"/>
      <c r="K50" s="118"/>
      <c r="L50" s="119"/>
      <c r="M50" s="119"/>
      <c r="N50" s="119"/>
      <c r="O50" s="119"/>
      <c r="P50" s="119"/>
      <c r="Q50" s="120"/>
      <c r="R50" s="18"/>
      <c r="S50" s="18"/>
      <c r="T50" s="18"/>
      <c r="U50" s="18"/>
    </row>
    <row r="51" spans="1:21" ht="18" customHeight="1" x14ac:dyDescent="0.15">
      <c r="A51" s="6"/>
      <c r="B51" s="118"/>
      <c r="C51" s="119"/>
      <c r="D51" s="119"/>
      <c r="E51" s="119"/>
      <c r="F51" s="120"/>
      <c r="G51" s="18"/>
      <c r="H51" s="18"/>
      <c r="I51" s="18"/>
      <c r="J51" s="18"/>
      <c r="K51" s="118"/>
      <c r="L51" s="119"/>
      <c r="M51" s="119"/>
      <c r="N51" s="119"/>
      <c r="O51" s="119"/>
      <c r="P51" s="119"/>
      <c r="Q51" s="120"/>
      <c r="R51" s="18"/>
      <c r="S51" s="18"/>
      <c r="T51" s="18"/>
      <c r="U51" s="18"/>
    </row>
    <row r="52" spans="1:21" ht="18" customHeight="1" x14ac:dyDescent="0.15">
      <c r="A52" s="6"/>
      <c r="B52" s="118"/>
      <c r="C52" s="119"/>
      <c r="D52" s="119"/>
      <c r="E52" s="119"/>
      <c r="F52" s="120"/>
      <c r="G52" s="18"/>
      <c r="H52" s="18"/>
      <c r="I52" s="18"/>
      <c r="J52" s="18"/>
      <c r="K52" s="118"/>
      <c r="L52" s="119"/>
      <c r="M52" s="119"/>
      <c r="N52" s="119"/>
      <c r="O52" s="119"/>
      <c r="P52" s="119"/>
      <c r="Q52" s="120"/>
      <c r="R52" s="18"/>
      <c r="S52" s="18"/>
      <c r="T52" s="18"/>
      <c r="U52" s="18"/>
    </row>
    <row r="53" spans="1:21" ht="18" customHeight="1" x14ac:dyDescent="0.15">
      <c r="A53" s="6"/>
      <c r="B53" s="118"/>
      <c r="C53" s="119"/>
      <c r="D53" s="119"/>
      <c r="E53" s="119"/>
      <c r="F53" s="120"/>
      <c r="G53" s="18"/>
      <c r="H53" s="18"/>
      <c r="I53" s="18"/>
      <c r="J53" s="18"/>
      <c r="K53" s="118"/>
      <c r="L53" s="119"/>
      <c r="M53" s="119"/>
      <c r="N53" s="119"/>
      <c r="O53" s="119"/>
      <c r="P53" s="119"/>
      <c r="Q53" s="120"/>
      <c r="R53" s="18"/>
      <c r="S53" s="18"/>
      <c r="T53" s="18"/>
      <c r="U53" s="18"/>
    </row>
    <row r="54" spans="1:21" ht="18" customHeight="1" x14ac:dyDescent="0.15">
      <c r="A54" s="6"/>
      <c r="B54" s="118"/>
      <c r="C54" s="119"/>
      <c r="D54" s="119"/>
      <c r="E54" s="119"/>
      <c r="F54" s="120"/>
      <c r="G54" s="18"/>
      <c r="H54" s="18"/>
      <c r="I54" s="18"/>
      <c r="J54" s="18"/>
      <c r="K54" s="118"/>
      <c r="L54" s="119"/>
      <c r="M54" s="119"/>
      <c r="N54" s="119"/>
      <c r="O54" s="119"/>
      <c r="P54" s="119"/>
      <c r="Q54" s="120"/>
      <c r="R54" s="18"/>
      <c r="S54" s="18"/>
      <c r="T54" s="18"/>
      <c r="U54" s="18"/>
    </row>
    <row r="55" spans="1:21" ht="18" customHeight="1" x14ac:dyDescent="0.15">
      <c r="A55" s="6"/>
      <c r="B55" s="107"/>
      <c r="C55" s="108"/>
      <c r="D55" s="108"/>
      <c r="E55" s="108"/>
      <c r="F55" s="109"/>
      <c r="G55" s="19"/>
      <c r="H55" s="19"/>
      <c r="I55" s="20"/>
      <c r="J55" s="20"/>
      <c r="K55" s="107"/>
      <c r="L55" s="108"/>
      <c r="M55" s="108"/>
      <c r="N55" s="108"/>
      <c r="O55" s="108"/>
      <c r="P55" s="108"/>
      <c r="Q55" s="109"/>
      <c r="R55" s="19"/>
      <c r="S55" s="19"/>
      <c r="T55" s="20"/>
      <c r="U55" s="20"/>
    </row>
    <row r="56" spans="1:21" ht="7.5" customHeight="1" x14ac:dyDescent="0.15">
      <c r="B56" s="91"/>
      <c r="C56" s="91"/>
      <c r="D56" s="91"/>
      <c r="E56" s="91"/>
      <c r="F56" s="91"/>
      <c r="G56" s="91"/>
      <c r="H56" s="91"/>
      <c r="I56" s="91"/>
      <c r="J56" s="91"/>
      <c r="K56" s="91"/>
      <c r="L56" s="91"/>
      <c r="M56" s="91"/>
      <c r="N56" s="91"/>
      <c r="O56" s="91"/>
      <c r="P56" s="91"/>
      <c r="Q56" s="91"/>
      <c r="R56" s="91"/>
      <c r="S56" s="91"/>
      <c r="T56" s="91"/>
    </row>
    <row r="57" spans="1:21" ht="18" customHeight="1" x14ac:dyDescent="0.15">
      <c r="A57" s="133" t="s">
        <v>98</v>
      </c>
      <c r="B57" s="133"/>
      <c r="C57" s="133"/>
      <c r="D57" s="133"/>
      <c r="E57" s="133"/>
      <c r="F57" s="133"/>
      <c r="G57" s="133"/>
      <c r="H57" s="133"/>
      <c r="I57" s="133"/>
      <c r="J57" s="133"/>
      <c r="K57" s="133"/>
      <c r="L57" s="133"/>
      <c r="M57" s="133"/>
      <c r="N57" s="133"/>
      <c r="O57" s="133"/>
      <c r="P57" s="133"/>
      <c r="Q57" s="133"/>
      <c r="R57" s="133"/>
      <c r="S57" s="133"/>
      <c r="T57" s="133"/>
      <c r="U57" s="133"/>
    </row>
    <row r="58" spans="1:21" ht="18" customHeight="1" x14ac:dyDescent="0.15">
      <c r="A58" s="133"/>
      <c r="B58" s="133"/>
      <c r="C58" s="133"/>
      <c r="D58" s="133"/>
      <c r="E58" s="133"/>
      <c r="F58" s="133"/>
      <c r="G58" s="133"/>
      <c r="H58" s="133"/>
      <c r="I58" s="133"/>
      <c r="J58" s="133"/>
      <c r="K58" s="133"/>
      <c r="L58" s="133"/>
      <c r="M58" s="133"/>
      <c r="N58" s="133"/>
      <c r="O58" s="133"/>
      <c r="P58" s="133"/>
      <c r="Q58" s="133"/>
      <c r="R58" s="133"/>
      <c r="S58" s="133"/>
      <c r="T58" s="133"/>
      <c r="U58" s="133"/>
    </row>
    <row r="59" spans="1:21" ht="18" customHeight="1" x14ac:dyDescent="0.15">
      <c r="B59" s="115" t="s">
        <v>47</v>
      </c>
      <c r="C59" s="116"/>
      <c r="D59" s="116"/>
      <c r="E59" s="116"/>
      <c r="F59" s="117"/>
      <c r="G59" s="14" t="s">
        <v>72</v>
      </c>
      <c r="H59" s="15" t="s">
        <v>75</v>
      </c>
      <c r="I59" s="16" t="s">
        <v>52</v>
      </c>
      <c r="J59" s="16" t="s">
        <v>54</v>
      </c>
      <c r="K59" s="115" t="s">
        <v>47</v>
      </c>
      <c r="L59" s="116"/>
      <c r="M59" s="116"/>
      <c r="N59" s="116"/>
      <c r="O59" s="116"/>
      <c r="P59" s="116"/>
      <c r="Q59" s="117"/>
      <c r="R59" s="14" t="s">
        <v>72</v>
      </c>
      <c r="S59" s="15" t="s">
        <v>75</v>
      </c>
      <c r="T59" s="16" t="s">
        <v>52</v>
      </c>
      <c r="U59" s="16" t="s">
        <v>54</v>
      </c>
    </row>
    <row r="60" spans="1:21" ht="18" customHeight="1" x14ac:dyDescent="0.15">
      <c r="A60" s="6"/>
      <c r="B60" s="124" t="s">
        <v>144</v>
      </c>
      <c r="C60" s="125"/>
      <c r="D60" s="125"/>
      <c r="E60" s="125"/>
      <c r="F60" s="126"/>
      <c r="G60" s="17">
        <v>1</v>
      </c>
      <c r="H60" s="17" t="s">
        <v>145</v>
      </c>
      <c r="I60" s="17" t="s">
        <v>145</v>
      </c>
      <c r="J60" s="17" t="s">
        <v>145</v>
      </c>
      <c r="K60" s="124"/>
      <c r="L60" s="125"/>
      <c r="M60" s="125"/>
      <c r="N60" s="125"/>
      <c r="O60" s="125"/>
      <c r="P60" s="125"/>
      <c r="Q60" s="126"/>
      <c r="R60" s="17"/>
      <c r="S60" s="17"/>
      <c r="T60" s="17"/>
      <c r="U60" s="17"/>
    </row>
    <row r="61" spans="1:21" ht="18" customHeight="1" x14ac:dyDescent="0.15">
      <c r="A61" s="6"/>
      <c r="B61" s="118" t="s">
        <v>224</v>
      </c>
      <c r="C61" s="119"/>
      <c r="D61" s="119"/>
      <c r="E61" s="119"/>
      <c r="F61" s="120"/>
      <c r="G61" s="18">
        <v>2</v>
      </c>
      <c r="H61" s="18"/>
      <c r="I61" s="18"/>
      <c r="J61" s="18" t="s">
        <v>145</v>
      </c>
      <c r="K61" s="118"/>
      <c r="L61" s="119"/>
      <c r="M61" s="119"/>
      <c r="N61" s="119"/>
      <c r="O61" s="119"/>
      <c r="P61" s="119"/>
      <c r="Q61" s="120"/>
      <c r="R61" s="18"/>
      <c r="S61" s="18"/>
      <c r="T61" s="18"/>
      <c r="U61" s="18"/>
    </row>
    <row r="62" spans="1:21" ht="18" customHeight="1" x14ac:dyDescent="0.15">
      <c r="A62" s="6"/>
      <c r="B62" s="118"/>
      <c r="C62" s="119"/>
      <c r="D62" s="119"/>
      <c r="E62" s="119"/>
      <c r="F62" s="120"/>
      <c r="G62" s="18"/>
      <c r="H62" s="18"/>
      <c r="I62" s="18"/>
      <c r="J62" s="18"/>
      <c r="K62" s="118"/>
      <c r="L62" s="119"/>
      <c r="M62" s="119"/>
      <c r="N62" s="119"/>
      <c r="O62" s="119"/>
      <c r="P62" s="119"/>
      <c r="Q62" s="120"/>
      <c r="R62" s="18"/>
      <c r="S62" s="18"/>
      <c r="T62" s="18"/>
      <c r="U62" s="18"/>
    </row>
    <row r="63" spans="1:21" ht="18" customHeight="1" x14ac:dyDescent="0.15">
      <c r="A63" s="6"/>
      <c r="B63" s="118"/>
      <c r="C63" s="119"/>
      <c r="D63" s="119"/>
      <c r="E63" s="119"/>
      <c r="F63" s="120"/>
      <c r="G63" s="18"/>
      <c r="H63" s="18"/>
      <c r="I63" s="18"/>
      <c r="J63" s="18"/>
      <c r="K63" s="118"/>
      <c r="L63" s="119"/>
      <c r="M63" s="119"/>
      <c r="N63" s="119"/>
      <c r="O63" s="119"/>
      <c r="P63" s="119"/>
      <c r="Q63" s="120"/>
      <c r="R63" s="18"/>
      <c r="S63" s="18"/>
      <c r="T63" s="18"/>
      <c r="U63" s="18"/>
    </row>
    <row r="64" spans="1:21" ht="18" customHeight="1" x14ac:dyDescent="0.15">
      <c r="A64" s="6"/>
      <c r="B64" s="118"/>
      <c r="C64" s="119"/>
      <c r="D64" s="119"/>
      <c r="E64" s="119"/>
      <c r="F64" s="120"/>
      <c r="G64" s="18"/>
      <c r="H64" s="18"/>
      <c r="I64" s="18"/>
      <c r="J64" s="18"/>
      <c r="K64" s="118"/>
      <c r="L64" s="119"/>
      <c r="M64" s="119"/>
      <c r="N64" s="119"/>
      <c r="O64" s="119"/>
      <c r="P64" s="119"/>
      <c r="Q64" s="120"/>
      <c r="R64" s="18"/>
      <c r="S64" s="18"/>
      <c r="T64" s="18"/>
      <c r="U64" s="18"/>
    </row>
    <row r="65" spans="1:27" ht="18" customHeight="1" x14ac:dyDescent="0.15">
      <c r="A65" s="6"/>
      <c r="B65" s="118"/>
      <c r="C65" s="119"/>
      <c r="D65" s="119"/>
      <c r="E65" s="119"/>
      <c r="F65" s="120"/>
      <c r="G65" s="18"/>
      <c r="H65" s="18"/>
      <c r="I65" s="18"/>
      <c r="J65" s="18"/>
      <c r="K65" s="118"/>
      <c r="L65" s="119"/>
      <c r="M65" s="119"/>
      <c r="N65" s="119"/>
      <c r="O65" s="119"/>
      <c r="P65" s="119"/>
      <c r="Q65" s="120"/>
      <c r="R65" s="18"/>
      <c r="S65" s="18"/>
      <c r="T65" s="18"/>
      <c r="U65" s="18"/>
    </row>
    <row r="66" spans="1:27" ht="18" customHeight="1" x14ac:dyDescent="0.15">
      <c r="A66" s="6"/>
      <c r="B66" s="107"/>
      <c r="C66" s="108"/>
      <c r="D66" s="108"/>
      <c r="E66" s="108"/>
      <c r="F66" s="109"/>
      <c r="G66" s="19"/>
      <c r="H66" s="19"/>
      <c r="I66" s="20"/>
      <c r="J66" s="20"/>
      <c r="K66" s="107"/>
      <c r="L66" s="108"/>
      <c r="M66" s="108"/>
      <c r="N66" s="108"/>
      <c r="O66" s="108"/>
      <c r="P66" s="108"/>
      <c r="Q66" s="109"/>
      <c r="R66" s="19"/>
      <c r="S66" s="19"/>
      <c r="T66" s="20"/>
      <c r="U66" s="20"/>
    </row>
    <row r="67" spans="1:27" ht="7.5" customHeight="1" x14ac:dyDescent="0.15">
      <c r="B67" s="91"/>
      <c r="C67" s="91"/>
      <c r="D67" s="91"/>
      <c r="E67" s="91"/>
      <c r="F67" s="91"/>
      <c r="G67" s="91"/>
      <c r="H67" s="91"/>
      <c r="I67" s="91"/>
      <c r="J67" s="91"/>
      <c r="K67" s="91"/>
      <c r="L67" s="91"/>
      <c r="M67" s="91"/>
      <c r="N67" s="91"/>
      <c r="O67" s="91"/>
      <c r="P67" s="91"/>
      <c r="Q67" s="91"/>
      <c r="R67" s="91"/>
      <c r="S67" s="91"/>
      <c r="T67" s="91"/>
    </row>
    <row r="68" spans="1:27" ht="18" customHeight="1" x14ac:dyDescent="0.15">
      <c r="A68" s="133" t="s">
        <v>99</v>
      </c>
      <c r="B68" s="133"/>
      <c r="C68" s="133"/>
      <c r="D68" s="133"/>
      <c r="E68" s="133"/>
      <c r="F68" s="133"/>
      <c r="G68" s="133"/>
      <c r="H68" s="133"/>
      <c r="I68" s="133"/>
      <c r="J68" s="133"/>
      <c r="K68" s="133"/>
      <c r="L68" s="133"/>
      <c r="M68" s="133"/>
      <c r="N68" s="133"/>
      <c r="O68" s="133"/>
      <c r="P68" s="133"/>
      <c r="Q68" s="133"/>
      <c r="R68" s="133"/>
      <c r="S68" s="133"/>
      <c r="T68" s="133"/>
      <c r="U68" s="133"/>
    </row>
    <row r="69" spans="1:27" ht="18" customHeight="1" x14ac:dyDescent="0.15">
      <c r="A69" s="133"/>
      <c r="B69" s="133"/>
      <c r="C69" s="133"/>
      <c r="D69" s="133"/>
      <c r="E69" s="133"/>
      <c r="F69" s="133"/>
      <c r="G69" s="133"/>
      <c r="H69" s="133"/>
      <c r="I69" s="133"/>
      <c r="J69" s="133"/>
      <c r="K69" s="133"/>
      <c r="L69" s="133"/>
      <c r="M69" s="133"/>
      <c r="N69" s="133"/>
      <c r="O69" s="133"/>
      <c r="P69" s="133"/>
      <c r="Q69" s="133"/>
      <c r="R69" s="133"/>
      <c r="S69" s="133"/>
      <c r="T69" s="133"/>
      <c r="U69" s="133"/>
    </row>
    <row r="70" spans="1:27" ht="18" customHeight="1" x14ac:dyDescent="0.15">
      <c r="B70" s="115" t="s">
        <v>47</v>
      </c>
      <c r="C70" s="116"/>
      <c r="D70" s="116"/>
      <c r="E70" s="116"/>
      <c r="F70" s="14" t="s">
        <v>72</v>
      </c>
      <c r="G70" s="15" t="s">
        <v>75</v>
      </c>
      <c r="H70" s="16" t="s">
        <v>86</v>
      </c>
      <c r="I70" s="16" t="s">
        <v>67</v>
      </c>
      <c r="J70" s="16" t="s">
        <v>68</v>
      </c>
      <c r="K70" s="115" t="s">
        <v>47</v>
      </c>
      <c r="L70" s="116"/>
      <c r="M70" s="116"/>
      <c r="N70" s="116"/>
      <c r="O70" s="116"/>
      <c r="P70" s="117"/>
      <c r="Q70" s="14" t="s">
        <v>72</v>
      </c>
      <c r="R70" s="15" t="s">
        <v>75</v>
      </c>
      <c r="S70" s="16" t="s">
        <v>86</v>
      </c>
      <c r="T70" s="16" t="s">
        <v>67</v>
      </c>
      <c r="U70" s="16" t="s">
        <v>68</v>
      </c>
    </row>
    <row r="71" spans="1:27" ht="18" customHeight="1" x14ac:dyDescent="0.15">
      <c r="A71" s="6"/>
      <c r="B71" s="124" t="s">
        <v>144</v>
      </c>
      <c r="C71" s="125"/>
      <c r="D71" s="125"/>
      <c r="E71" s="125"/>
      <c r="F71" s="17">
        <v>1</v>
      </c>
      <c r="G71" s="17" t="s">
        <v>145</v>
      </c>
      <c r="H71" s="17" t="s">
        <v>145</v>
      </c>
      <c r="I71" s="17" t="s">
        <v>145</v>
      </c>
      <c r="J71" s="17"/>
      <c r="K71" s="124"/>
      <c r="L71" s="125"/>
      <c r="M71" s="125"/>
      <c r="N71" s="125"/>
      <c r="O71" s="125"/>
      <c r="P71" s="126"/>
      <c r="Q71" s="17"/>
      <c r="R71" s="17"/>
      <c r="S71" s="17"/>
      <c r="T71" s="17"/>
      <c r="U71" s="17"/>
    </row>
    <row r="72" spans="1:27" ht="18" customHeight="1" x14ac:dyDescent="0.15">
      <c r="A72" s="6"/>
      <c r="B72" s="118" t="s">
        <v>173</v>
      </c>
      <c r="C72" s="119"/>
      <c r="D72" s="119"/>
      <c r="E72" s="119"/>
      <c r="F72" s="18">
        <v>2</v>
      </c>
      <c r="G72" s="18" t="s">
        <v>145</v>
      </c>
      <c r="H72" s="18" t="s">
        <v>145</v>
      </c>
      <c r="I72" s="18" t="s">
        <v>145</v>
      </c>
      <c r="J72" s="18" t="s">
        <v>145</v>
      </c>
      <c r="K72" s="118"/>
      <c r="L72" s="119"/>
      <c r="M72" s="119"/>
      <c r="N72" s="119"/>
      <c r="O72" s="119"/>
      <c r="P72" s="120"/>
      <c r="Q72" s="18"/>
      <c r="R72" s="18"/>
      <c r="S72" s="18"/>
      <c r="T72" s="18"/>
      <c r="U72" s="18"/>
    </row>
    <row r="73" spans="1:27" ht="18" customHeight="1" x14ac:dyDescent="0.15">
      <c r="A73" s="6"/>
      <c r="B73" s="118"/>
      <c r="C73" s="119"/>
      <c r="D73" s="119"/>
      <c r="E73" s="119"/>
      <c r="F73" s="18"/>
      <c r="G73" s="18"/>
      <c r="H73" s="18"/>
      <c r="I73" s="18"/>
      <c r="J73" s="18"/>
      <c r="K73" s="118"/>
      <c r="L73" s="119"/>
      <c r="M73" s="119"/>
      <c r="N73" s="119"/>
      <c r="O73" s="119"/>
      <c r="P73" s="120"/>
      <c r="Q73" s="18"/>
      <c r="R73" s="18"/>
      <c r="S73" s="18"/>
      <c r="T73" s="18"/>
      <c r="U73" s="18"/>
    </row>
    <row r="74" spans="1:27" ht="18" customHeight="1" x14ac:dyDescent="0.15">
      <c r="A74" s="6"/>
      <c r="B74" s="118"/>
      <c r="C74" s="119"/>
      <c r="D74" s="119"/>
      <c r="E74" s="119"/>
      <c r="F74" s="18"/>
      <c r="G74" s="18"/>
      <c r="H74" s="18"/>
      <c r="I74" s="18"/>
      <c r="J74" s="18"/>
      <c r="K74" s="118"/>
      <c r="L74" s="119"/>
      <c r="M74" s="119"/>
      <c r="N74" s="119"/>
      <c r="O74" s="119"/>
      <c r="P74" s="120"/>
      <c r="Q74" s="18"/>
      <c r="R74" s="18"/>
      <c r="S74" s="18"/>
      <c r="T74" s="18"/>
      <c r="U74" s="18"/>
    </row>
    <row r="75" spans="1:27" ht="18" customHeight="1" x14ac:dyDescent="0.15">
      <c r="A75" s="6"/>
      <c r="B75" s="118"/>
      <c r="C75" s="119"/>
      <c r="D75" s="119"/>
      <c r="E75" s="119"/>
      <c r="F75" s="18"/>
      <c r="G75" s="18"/>
      <c r="H75" s="18"/>
      <c r="I75" s="18"/>
      <c r="J75" s="18"/>
      <c r="K75" s="118"/>
      <c r="L75" s="119"/>
      <c r="M75" s="119"/>
      <c r="N75" s="119"/>
      <c r="O75" s="119"/>
      <c r="P75" s="120"/>
      <c r="Q75" s="18"/>
      <c r="R75" s="18"/>
      <c r="S75" s="18"/>
      <c r="T75" s="18"/>
      <c r="U75" s="18"/>
    </row>
    <row r="76" spans="1:27" ht="18" customHeight="1" x14ac:dyDescent="0.15">
      <c r="A76" s="6"/>
      <c r="B76" s="118"/>
      <c r="C76" s="119"/>
      <c r="D76" s="119"/>
      <c r="E76" s="119"/>
      <c r="F76" s="18"/>
      <c r="G76" s="18"/>
      <c r="H76" s="18"/>
      <c r="I76" s="18"/>
      <c r="J76" s="18"/>
      <c r="K76" s="118"/>
      <c r="L76" s="119"/>
      <c r="M76" s="119"/>
      <c r="N76" s="119"/>
      <c r="O76" s="119"/>
      <c r="P76" s="120"/>
      <c r="Q76" s="18"/>
      <c r="R76" s="18"/>
      <c r="S76" s="18"/>
      <c r="T76" s="18"/>
      <c r="U76" s="18"/>
    </row>
    <row r="77" spans="1:27" ht="18" customHeight="1" x14ac:dyDescent="0.15">
      <c r="A77" s="6"/>
      <c r="B77" s="107"/>
      <c r="C77" s="108"/>
      <c r="D77" s="108"/>
      <c r="E77" s="108"/>
      <c r="F77" s="19"/>
      <c r="G77" s="19"/>
      <c r="H77" s="20"/>
      <c r="I77" s="20"/>
      <c r="J77" s="20"/>
      <c r="K77" s="107"/>
      <c r="L77" s="108"/>
      <c r="M77" s="108"/>
      <c r="N77" s="108"/>
      <c r="O77" s="108"/>
      <c r="P77" s="109"/>
      <c r="Q77" s="19"/>
      <c r="R77" s="19"/>
      <c r="S77" s="20"/>
      <c r="T77" s="20"/>
      <c r="U77" s="20"/>
    </row>
    <row r="78" spans="1:27" ht="7.5" customHeight="1" x14ac:dyDescent="0.15">
      <c r="B78" s="91"/>
      <c r="C78" s="91"/>
      <c r="D78" s="91"/>
      <c r="E78" s="91"/>
      <c r="F78" s="91"/>
      <c r="G78" s="91"/>
      <c r="H78" s="91"/>
      <c r="I78" s="91"/>
      <c r="J78" s="91"/>
      <c r="K78" s="91"/>
      <c r="L78" s="91"/>
      <c r="M78" s="91"/>
      <c r="N78" s="91"/>
      <c r="O78" s="91"/>
      <c r="P78" s="91"/>
      <c r="Q78" s="91"/>
      <c r="R78" s="91"/>
      <c r="S78" s="91"/>
      <c r="T78" s="91"/>
    </row>
    <row r="79" spans="1:27" ht="18" customHeight="1" x14ac:dyDescent="0.15">
      <c r="A79" s="8" t="s">
        <v>100</v>
      </c>
      <c r="I79" s="6"/>
      <c r="J79" s="6"/>
      <c r="K79" s="6"/>
      <c r="L79" s="6"/>
      <c r="M79" s="6"/>
      <c r="N79" s="6"/>
      <c r="O79" s="6"/>
      <c r="P79" s="6"/>
      <c r="Q79" s="6"/>
      <c r="R79" s="6"/>
      <c r="S79" s="6"/>
      <c r="T79" s="6"/>
      <c r="U79" s="6"/>
    </row>
    <row r="80" spans="1:27" ht="18" customHeight="1" x14ac:dyDescent="0.15">
      <c r="B80" s="115" t="s">
        <v>47</v>
      </c>
      <c r="C80" s="116"/>
      <c r="D80" s="116"/>
      <c r="E80" s="116"/>
      <c r="F80" s="117"/>
      <c r="G80" s="115" t="s">
        <v>73</v>
      </c>
      <c r="H80" s="116"/>
      <c r="I80" s="116"/>
      <c r="J80" s="117"/>
      <c r="K80" s="130" t="s">
        <v>47</v>
      </c>
      <c r="L80" s="131"/>
      <c r="M80" s="131"/>
      <c r="N80" s="131"/>
      <c r="O80" s="131"/>
      <c r="P80" s="131"/>
      <c r="Q80" s="132"/>
      <c r="R80" s="115" t="s">
        <v>73</v>
      </c>
      <c r="S80" s="116"/>
      <c r="T80" s="116"/>
      <c r="U80" s="117"/>
      <c r="AA80" s="8" t="s">
        <v>137</v>
      </c>
    </row>
    <row r="81" spans="1:27" ht="18" customHeight="1" x14ac:dyDescent="0.15">
      <c r="A81" s="6"/>
      <c r="B81" s="124"/>
      <c r="C81" s="125"/>
      <c r="D81" s="125"/>
      <c r="E81" s="125"/>
      <c r="F81" s="126"/>
      <c r="G81" s="127"/>
      <c r="H81" s="128"/>
      <c r="I81" s="128"/>
      <c r="J81" s="129"/>
      <c r="K81" s="124"/>
      <c r="L81" s="125"/>
      <c r="M81" s="125"/>
      <c r="N81" s="125"/>
      <c r="O81" s="125"/>
      <c r="P81" s="125"/>
      <c r="Q81" s="126"/>
      <c r="R81" s="127"/>
      <c r="S81" s="128"/>
      <c r="T81" s="128"/>
      <c r="U81" s="129"/>
      <c r="AA81" s="8" t="s">
        <v>130</v>
      </c>
    </row>
    <row r="82" spans="1:27" ht="18" customHeight="1" x14ac:dyDescent="0.15">
      <c r="A82" s="6"/>
      <c r="B82" s="118"/>
      <c r="C82" s="119"/>
      <c r="D82" s="119"/>
      <c r="E82" s="119"/>
      <c r="F82" s="120"/>
      <c r="G82" s="121"/>
      <c r="H82" s="122"/>
      <c r="I82" s="122"/>
      <c r="J82" s="123"/>
      <c r="K82" s="118"/>
      <c r="L82" s="119"/>
      <c r="M82" s="119"/>
      <c r="N82" s="119"/>
      <c r="O82" s="119"/>
      <c r="P82" s="119"/>
      <c r="Q82" s="120"/>
      <c r="R82" s="121"/>
      <c r="S82" s="122"/>
      <c r="T82" s="122"/>
      <c r="U82" s="123"/>
      <c r="AA82" s="8" t="s">
        <v>131</v>
      </c>
    </row>
    <row r="83" spans="1:27" ht="18" customHeight="1" x14ac:dyDescent="0.15">
      <c r="A83" s="6"/>
      <c r="B83" s="118"/>
      <c r="C83" s="119"/>
      <c r="D83" s="119"/>
      <c r="E83" s="119"/>
      <c r="F83" s="120"/>
      <c r="G83" s="121"/>
      <c r="H83" s="122"/>
      <c r="I83" s="122"/>
      <c r="J83" s="123"/>
      <c r="K83" s="118"/>
      <c r="L83" s="119"/>
      <c r="M83" s="119"/>
      <c r="N83" s="119"/>
      <c r="O83" s="119"/>
      <c r="P83" s="119"/>
      <c r="Q83" s="120"/>
      <c r="R83" s="121"/>
      <c r="S83" s="122"/>
      <c r="T83" s="122"/>
      <c r="U83" s="123"/>
      <c r="AA83" s="8" t="s">
        <v>132</v>
      </c>
    </row>
    <row r="84" spans="1:27" ht="18" customHeight="1" x14ac:dyDescent="0.15">
      <c r="A84" s="6"/>
      <c r="B84" s="118"/>
      <c r="C84" s="119"/>
      <c r="D84" s="119"/>
      <c r="E84" s="119"/>
      <c r="F84" s="120"/>
      <c r="G84" s="121"/>
      <c r="H84" s="122"/>
      <c r="I84" s="122"/>
      <c r="J84" s="123"/>
      <c r="K84" s="118"/>
      <c r="L84" s="119"/>
      <c r="M84" s="119"/>
      <c r="N84" s="119"/>
      <c r="O84" s="119"/>
      <c r="P84" s="119"/>
      <c r="Q84" s="120"/>
      <c r="R84" s="121"/>
      <c r="S84" s="122"/>
      <c r="T84" s="122"/>
      <c r="U84" s="123"/>
      <c r="AA84" s="8" t="s">
        <v>138</v>
      </c>
    </row>
    <row r="85" spans="1:27" ht="18" customHeight="1" x14ac:dyDescent="0.15">
      <c r="A85" s="6"/>
      <c r="B85" s="118"/>
      <c r="C85" s="119"/>
      <c r="D85" s="119"/>
      <c r="E85" s="119"/>
      <c r="F85" s="120"/>
      <c r="G85" s="121"/>
      <c r="H85" s="122"/>
      <c r="I85" s="122"/>
      <c r="J85" s="123"/>
      <c r="K85" s="118"/>
      <c r="L85" s="119"/>
      <c r="M85" s="119"/>
      <c r="N85" s="119"/>
      <c r="O85" s="119"/>
      <c r="P85" s="119"/>
      <c r="Q85" s="120"/>
      <c r="R85" s="121"/>
      <c r="S85" s="122"/>
      <c r="T85" s="122"/>
      <c r="U85" s="123"/>
      <c r="AA85" s="8" t="s">
        <v>139</v>
      </c>
    </row>
    <row r="86" spans="1:27" ht="18" customHeight="1" x14ac:dyDescent="0.15">
      <c r="A86" s="6"/>
      <c r="B86" s="118"/>
      <c r="C86" s="119"/>
      <c r="D86" s="119"/>
      <c r="E86" s="119"/>
      <c r="F86" s="120"/>
      <c r="G86" s="121"/>
      <c r="H86" s="122"/>
      <c r="I86" s="122"/>
      <c r="J86" s="123"/>
      <c r="K86" s="118"/>
      <c r="L86" s="119"/>
      <c r="M86" s="119"/>
      <c r="N86" s="119"/>
      <c r="O86" s="119"/>
      <c r="P86" s="119"/>
      <c r="Q86" s="120"/>
      <c r="R86" s="121"/>
      <c r="S86" s="122"/>
      <c r="T86" s="122"/>
      <c r="U86" s="123"/>
      <c r="AA86" s="8" t="s">
        <v>133</v>
      </c>
    </row>
    <row r="87" spans="1:27" ht="18" customHeight="1" x14ac:dyDescent="0.15">
      <c r="A87" s="6"/>
      <c r="B87" s="107"/>
      <c r="C87" s="108"/>
      <c r="D87" s="108"/>
      <c r="E87" s="108"/>
      <c r="F87" s="109"/>
      <c r="G87" s="110"/>
      <c r="H87" s="111"/>
      <c r="I87" s="111"/>
      <c r="J87" s="112"/>
      <c r="K87" s="107"/>
      <c r="L87" s="108"/>
      <c r="M87" s="108"/>
      <c r="N87" s="108"/>
      <c r="O87" s="108"/>
      <c r="P87" s="108"/>
      <c r="Q87" s="109"/>
      <c r="R87" s="110"/>
      <c r="S87" s="111"/>
      <c r="T87" s="111"/>
      <c r="U87" s="112"/>
      <c r="AA87" s="8" t="s">
        <v>134</v>
      </c>
    </row>
    <row r="88" spans="1:27" ht="18" customHeight="1" x14ac:dyDescent="0.15">
      <c r="A88" s="6"/>
      <c r="B88" s="11"/>
      <c r="C88" s="11"/>
      <c r="D88" s="11"/>
      <c r="E88" s="11"/>
      <c r="F88" s="11"/>
      <c r="G88" s="21"/>
      <c r="H88" s="21"/>
      <c r="I88" s="21"/>
      <c r="J88" s="21"/>
      <c r="K88" s="11"/>
      <c r="L88" s="11"/>
      <c r="M88" s="11"/>
      <c r="N88" s="11"/>
      <c r="O88" s="11"/>
      <c r="P88" s="11"/>
      <c r="Q88" s="11"/>
      <c r="R88" s="21"/>
      <c r="S88" s="21"/>
      <c r="T88" s="21"/>
      <c r="U88" s="21"/>
      <c r="AA88" s="8" t="s">
        <v>135</v>
      </c>
    </row>
    <row r="89" spans="1:27" ht="18.75" customHeight="1" x14ac:dyDescent="0.15">
      <c r="A89" s="8" t="s">
        <v>101</v>
      </c>
      <c r="AA89" s="8" t="s">
        <v>136</v>
      </c>
    </row>
    <row r="90" spans="1:27" ht="18.75" customHeight="1" x14ac:dyDescent="0.15">
      <c r="B90" s="113" t="s">
        <v>48</v>
      </c>
      <c r="C90" s="114"/>
      <c r="D90" s="115" t="s">
        <v>49</v>
      </c>
      <c r="E90" s="116"/>
      <c r="F90" s="116"/>
      <c r="G90" s="116"/>
      <c r="H90" s="116"/>
      <c r="I90" s="116"/>
      <c r="J90" s="116"/>
      <c r="K90" s="116"/>
      <c r="L90" s="116"/>
      <c r="M90" s="116"/>
      <c r="N90" s="116"/>
      <c r="O90" s="116"/>
      <c r="P90" s="116"/>
      <c r="Q90" s="116"/>
      <c r="R90" s="116"/>
      <c r="S90" s="116"/>
      <c r="T90" s="116"/>
      <c r="U90" s="117"/>
    </row>
    <row r="91" spans="1:27" ht="114" customHeight="1" x14ac:dyDescent="0.15">
      <c r="B91" s="92" t="s">
        <v>55</v>
      </c>
      <c r="C91" s="22" t="s">
        <v>50</v>
      </c>
      <c r="D91" s="95" t="s">
        <v>181</v>
      </c>
      <c r="E91" s="96"/>
      <c r="F91" s="96"/>
      <c r="G91" s="96"/>
      <c r="H91" s="96"/>
      <c r="I91" s="96"/>
      <c r="J91" s="96"/>
      <c r="K91" s="96"/>
      <c r="L91" s="96"/>
      <c r="M91" s="96"/>
      <c r="N91" s="96"/>
      <c r="O91" s="96"/>
      <c r="P91" s="96"/>
      <c r="Q91" s="96"/>
      <c r="R91" s="96"/>
      <c r="S91" s="96"/>
      <c r="T91" s="96"/>
      <c r="U91" s="97"/>
    </row>
    <row r="92" spans="1:27" ht="97.5" customHeight="1" x14ac:dyDescent="0.15">
      <c r="B92" s="93"/>
      <c r="C92" s="23" t="s">
        <v>69</v>
      </c>
      <c r="D92" s="101" t="s">
        <v>182</v>
      </c>
      <c r="E92" s="102"/>
      <c r="F92" s="102"/>
      <c r="G92" s="102"/>
      <c r="H92" s="102"/>
      <c r="I92" s="102"/>
      <c r="J92" s="102"/>
      <c r="K92" s="102"/>
      <c r="L92" s="102"/>
      <c r="M92" s="102"/>
      <c r="N92" s="102"/>
      <c r="O92" s="102"/>
      <c r="P92" s="102"/>
      <c r="Q92" s="102"/>
      <c r="R92" s="102"/>
      <c r="S92" s="102"/>
      <c r="T92" s="102"/>
      <c r="U92" s="103"/>
    </row>
    <row r="93" spans="1:27" ht="97.5" customHeight="1" x14ac:dyDescent="0.15">
      <c r="B93" s="92" t="s">
        <v>56</v>
      </c>
      <c r="C93" s="24" t="s">
        <v>63</v>
      </c>
      <c r="D93" s="95" t="s">
        <v>146</v>
      </c>
      <c r="E93" s="96"/>
      <c r="F93" s="96"/>
      <c r="G93" s="96"/>
      <c r="H93" s="96"/>
      <c r="I93" s="96"/>
      <c r="J93" s="96"/>
      <c r="K93" s="96"/>
      <c r="L93" s="96"/>
      <c r="M93" s="96"/>
      <c r="N93" s="96"/>
      <c r="O93" s="96"/>
      <c r="P93" s="96"/>
      <c r="Q93" s="96"/>
      <c r="R93" s="96"/>
      <c r="S93" s="96"/>
      <c r="T93" s="96"/>
      <c r="U93" s="97"/>
    </row>
    <row r="94" spans="1:27" ht="97.5" customHeight="1" x14ac:dyDescent="0.15">
      <c r="B94" s="94"/>
      <c r="C94" s="25" t="s">
        <v>64</v>
      </c>
      <c r="D94" s="101" t="s">
        <v>183</v>
      </c>
      <c r="E94" s="102"/>
      <c r="F94" s="102"/>
      <c r="G94" s="102"/>
      <c r="H94" s="102"/>
      <c r="I94" s="102"/>
      <c r="J94" s="102"/>
      <c r="K94" s="102"/>
      <c r="L94" s="102"/>
      <c r="M94" s="102"/>
      <c r="N94" s="102"/>
      <c r="O94" s="102"/>
      <c r="P94" s="102"/>
      <c r="Q94" s="102"/>
      <c r="R94" s="102"/>
      <c r="S94" s="102"/>
      <c r="T94" s="102"/>
      <c r="U94" s="103"/>
    </row>
    <row r="95" spans="1:27" ht="128.1" customHeight="1" x14ac:dyDescent="0.15">
      <c r="B95" s="92" t="s">
        <v>57</v>
      </c>
      <c r="C95" s="24" t="s">
        <v>65</v>
      </c>
      <c r="D95" s="95" t="s">
        <v>184</v>
      </c>
      <c r="E95" s="96"/>
      <c r="F95" s="96"/>
      <c r="G95" s="96"/>
      <c r="H95" s="96"/>
      <c r="I95" s="96"/>
      <c r="J95" s="96"/>
      <c r="K95" s="96"/>
      <c r="L95" s="96"/>
      <c r="M95" s="96"/>
      <c r="N95" s="96"/>
      <c r="O95" s="96"/>
      <c r="P95" s="96"/>
      <c r="Q95" s="96"/>
      <c r="R95" s="96"/>
      <c r="S95" s="96"/>
      <c r="T95" s="96"/>
      <c r="U95" s="97"/>
    </row>
    <row r="96" spans="1:27" ht="97.5" customHeight="1" x14ac:dyDescent="0.15">
      <c r="B96" s="94"/>
      <c r="C96" s="26" t="s">
        <v>66</v>
      </c>
      <c r="D96" s="101" t="s">
        <v>147</v>
      </c>
      <c r="E96" s="102"/>
      <c r="F96" s="102"/>
      <c r="G96" s="102"/>
      <c r="H96" s="102"/>
      <c r="I96" s="102"/>
      <c r="J96" s="102"/>
      <c r="K96" s="102"/>
      <c r="L96" s="102"/>
      <c r="M96" s="102"/>
      <c r="N96" s="102"/>
      <c r="O96" s="102"/>
      <c r="P96" s="102"/>
      <c r="Q96" s="102"/>
      <c r="R96" s="102"/>
      <c r="S96" s="102"/>
      <c r="T96" s="102"/>
      <c r="U96" s="103"/>
    </row>
    <row r="97" spans="1:21" ht="147" customHeight="1" x14ac:dyDescent="0.15">
      <c r="B97" s="92" t="s">
        <v>70</v>
      </c>
      <c r="C97" s="22" t="s">
        <v>52</v>
      </c>
      <c r="D97" s="95" t="s">
        <v>221</v>
      </c>
      <c r="E97" s="96"/>
      <c r="F97" s="96"/>
      <c r="G97" s="96"/>
      <c r="H97" s="96"/>
      <c r="I97" s="96"/>
      <c r="J97" s="96"/>
      <c r="K97" s="96"/>
      <c r="L97" s="96"/>
      <c r="M97" s="96"/>
      <c r="N97" s="96"/>
      <c r="O97" s="96"/>
      <c r="P97" s="96"/>
      <c r="Q97" s="96"/>
      <c r="R97" s="96"/>
      <c r="S97" s="96"/>
      <c r="T97" s="96"/>
      <c r="U97" s="97"/>
    </row>
    <row r="98" spans="1:21" ht="97.5" customHeight="1" x14ac:dyDescent="0.15">
      <c r="B98" s="94"/>
      <c r="C98" s="25" t="s">
        <v>54</v>
      </c>
      <c r="D98" s="101" t="s">
        <v>201</v>
      </c>
      <c r="E98" s="102"/>
      <c r="F98" s="102"/>
      <c r="G98" s="102"/>
      <c r="H98" s="102"/>
      <c r="I98" s="102"/>
      <c r="J98" s="102"/>
      <c r="K98" s="102"/>
      <c r="L98" s="102"/>
      <c r="M98" s="102"/>
      <c r="N98" s="102"/>
      <c r="O98" s="102"/>
      <c r="P98" s="102"/>
      <c r="Q98" s="102"/>
      <c r="R98" s="102"/>
      <c r="S98" s="102"/>
      <c r="T98" s="102"/>
      <c r="U98" s="103"/>
    </row>
    <row r="99" spans="1:21" ht="185.45" customHeight="1" x14ac:dyDescent="0.15">
      <c r="B99" s="92" t="s">
        <v>71</v>
      </c>
      <c r="C99" s="24" t="s">
        <v>51</v>
      </c>
      <c r="D99" s="95" t="s">
        <v>229</v>
      </c>
      <c r="E99" s="96"/>
      <c r="F99" s="96"/>
      <c r="G99" s="96"/>
      <c r="H99" s="96"/>
      <c r="I99" s="96"/>
      <c r="J99" s="96"/>
      <c r="K99" s="96"/>
      <c r="L99" s="96"/>
      <c r="M99" s="96"/>
      <c r="N99" s="96"/>
      <c r="O99" s="96"/>
      <c r="P99" s="96"/>
      <c r="Q99" s="96"/>
      <c r="R99" s="96"/>
      <c r="S99" s="96"/>
      <c r="T99" s="96"/>
      <c r="U99" s="97"/>
    </row>
    <row r="100" spans="1:21" ht="150" customHeight="1" x14ac:dyDescent="0.15">
      <c r="B100" s="93"/>
      <c r="C100" s="27" t="s">
        <v>67</v>
      </c>
      <c r="D100" s="98" t="s">
        <v>230</v>
      </c>
      <c r="E100" s="99"/>
      <c r="F100" s="99"/>
      <c r="G100" s="99"/>
      <c r="H100" s="99"/>
      <c r="I100" s="99"/>
      <c r="J100" s="99"/>
      <c r="K100" s="99"/>
      <c r="L100" s="99"/>
      <c r="M100" s="99"/>
      <c r="N100" s="99"/>
      <c r="O100" s="99"/>
      <c r="P100" s="99"/>
      <c r="Q100" s="99"/>
      <c r="R100" s="99"/>
      <c r="S100" s="99"/>
      <c r="T100" s="99"/>
      <c r="U100" s="100"/>
    </row>
    <row r="101" spans="1:21" ht="96.6" customHeight="1" x14ac:dyDescent="0.15">
      <c r="B101" s="94"/>
      <c r="C101" s="26" t="s">
        <v>68</v>
      </c>
      <c r="D101" s="101" t="s">
        <v>202</v>
      </c>
      <c r="E101" s="102"/>
      <c r="F101" s="102"/>
      <c r="G101" s="102"/>
      <c r="H101" s="102"/>
      <c r="I101" s="102"/>
      <c r="J101" s="102"/>
      <c r="K101" s="102"/>
      <c r="L101" s="102"/>
      <c r="M101" s="102"/>
      <c r="N101" s="102"/>
      <c r="O101" s="102"/>
      <c r="P101" s="102"/>
      <c r="Q101" s="102"/>
      <c r="R101" s="102"/>
      <c r="S101" s="102"/>
      <c r="T101" s="102"/>
      <c r="U101" s="103"/>
    </row>
    <row r="102" spans="1:21" ht="6" customHeight="1" x14ac:dyDescent="0.15"/>
    <row r="103" spans="1:21" ht="18.75" customHeight="1" x14ac:dyDescent="0.15">
      <c r="A103" s="8" t="s">
        <v>102</v>
      </c>
    </row>
    <row r="104" spans="1:21" ht="95.1" customHeight="1" x14ac:dyDescent="0.15">
      <c r="B104" s="104" t="s">
        <v>225</v>
      </c>
      <c r="C104" s="105"/>
      <c r="D104" s="105"/>
      <c r="E104" s="105"/>
      <c r="F104" s="105"/>
      <c r="G104" s="105"/>
      <c r="H104" s="105"/>
      <c r="I104" s="105"/>
      <c r="J104" s="105"/>
      <c r="K104" s="105"/>
      <c r="L104" s="105"/>
      <c r="M104" s="105"/>
      <c r="N104" s="105"/>
      <c r="O104" s="105"/>
      <c r="P104" s="105"/>
      <c r="Q104" s="105"/>
      <c r="R104" s="105"/>
      <c r="S104" s="105"/>
      <c r="T104" s="105"/>
      <c r="U104" s="106"/>
    </row>
    <row r="107" spans="1:21" ht="18" customHeight="1" x14ac:dyDescent="0.15"/>
  </sheetData>
  <mergeCells count="144">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R80:U80"/>
    <mergeCell ref="B81:F81"/>
    <mergeCell ref="G81:J81"/>
    <mergeCell ref="K81:Q81"/>
    <mergeCell ref="R81:U81"/>
    <mergeCell ref="B82:F82"/>
    <mergeCell ref="G82:J82"/>
    <mergeCell ref="K82:Q82"/>
    <mergeCell ref="R82:U82"/>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91:B92"/>
    <mergeCell ref="D91:U91"/>
    <mergeCell ref="D92:U92"/>
    <mergeCell ref="B93:B94"/>
    <mergeCell ref="D93:U93"/>
    <mergeCell ref="D94:U94"/>
    <mergeCell ref="B87:F87"/>
    <mergeCell ref="G87:J87"/>
    <mergeCell ref="K87:Q87"/>
    <mergeCell ref="R87:U87"/>
    <mergeCell ref="B90:C90"/>
    <mergeCell ref="D90:U90"/>
    <mergeCell ref="B99:B101"/>
    <mergeCell ref="D99:U99"/>
    <mergeCell ref="D100:U100"/>
    <mergeCell ref="D101:U101"/>
    <mergeCell ref="B104:U104"/>
    <mergeCell ref="B95:B96"/>
    <mergeCell ref="D95:U95"/>
    <mergeCell ref="D96:U96"/>
    <mergeCell ref="B97:B98"/>
    <mergeCell ref="D97:U97"/>
    <mergeCell ref="D98:U98"/>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6">
    <dataValidation type="list" allowBlank="1" showInputMessage="1" showErrorMessage="1" sqref="G81:J87 R81:U87" xr:uid="{00000000-0002-0000-0300-000000000000}">
      <formula1>$AA$80:$AA$89</formula1>
    </dataValidation>
    <dataValidation type="list" allowBlank="1" showInputMessage="1" showErrorMessage="1" sqref="N22:U22" xr:uid="{00000000-0002-0000-0300-000001000000}">
      <formula1>$X$16:$X$18</formula1>
    </dataValidation>
    <dataValidation type="list" allowBlank="1" showInputMessage="1" showErrorMessage="1" sqref="G88:J88 R88:U88" xr:uid="{00000000-0002-0000-0300-000002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00000000-0002-0000-0300-000003000000}">
      <formula1>"学部・学科によって、修了要件は相違する,学部・学科によって、修了要件は相違しない"</formula1>
    </dataValidation>
    <dataValidation type="list" allowBlank="1" showInputMessage="1" showErrorMessage="1" sqref="U34 U45 E34:H34 E45:H45" xr:uid="{00000000-0002-0000-0300-000004000000}">
      <formula1>"全学開講,一部開講"</formula1>
    </dataValidation>
    <dataValidation type="list" allowBlank="1" showInputMessage="1" showErrorMessage="1" sqref="H60:J66 S27:U33 H27:J33 S38:U44 H38:J44 S49:U55 H49:J55 S60:U66 R71:U77 G71:J77" xr:uid="{00000000-0002-0000-0300-000005000000}">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A107"/>
  <sheetViews>
    <sheetView showZeros="0" view="pageBreakPreview" topLeftCell="A62" zoomScaleNormal="100" zoomScaleSheetLayoutView="100" workbookViewId="0">
      <selection activeCell="A62" sqref="A1:XFD1048576"/>
    </sheetView>
  </sheetViews>
  <sheetFormatPr defaultColWidth="9" defaultRowHeight="18.75" customHeight="1" x14ac:dyDescent="0.15"/>
  <cols>
    <col min="1" max="1" width="2.5" style="8" customWidth="1"/>
    <col min="2" max="2" width="16.5" style="8" customWidth="1"/>
    <col min="3" max="21" width="5.625" style="8" customWidth="1"/>
    <col min="22" max="22" width="9" style="8"/>
    <col min="23" max="23" width="3.625" style="8" customWidth="1"/>
    <col min="24" max="24" width="48.625" style="8" hidden="1" customWidth="1"/>
    <col min="25" max="26" width="9" style="8"/>
    <col min="27" max="27" width="9" style="8" hidden="1" customWidth="1"/>
    <col min="28" max="16384" width="9" style="8"/>
  </cols>
  <sheetData>
    <row r="1" spans="1:24" ht="18.600000000000001" customHeight="1" x14ac:dyDescent="0.15">
      <c r="T1" s="146" t="s">
        <v>158</v>
      </c>
      <c r="U1" s="146"/>
      <c r="V1" s="9" t="s">
        <v>93</v>
      </c>
    </row>
    <row r="2" spans="1:24" ht="18.75" customHeight="1" x14ac:dyDescent="0.15">
      <c r="B2" s="10" t="s">
        <v>92</v>
      </c>
      <c r="C2" s="115" t="s">
        <v>214</v>
      </c>
      <c r="D2" s="116"/>
      <c r="E2" s="116"/>
      <c r="F2" s="116"/>
      <c r="G2" s="116"/>
      <c r="H2" s="116"/>
      <c r="I2" s="116"/>
      <c r="J2" s="117"/>
      <c r="K2" s="83"/>
      <c r="L2" s="11"/>
      <c r="M2" s="11"/>
      <c r="N2" s="11"/>
      <c r="O2" s="11"/>
      <c r="P2" s="11"/>
      <c r="Q2" s="11"/>
      <c r="R2" s="11"/>
      <c r="S2" s="11"/>
      <c r="T2" s="11"/>
      <c r="U2" s="11"/>
    </row>
    <row r="3" spans="1:24" ht="18.75" customHeight="1" x14ac:dyDescent="0.15">
      <c r="B3" s="10" t="s">
        <v>87</v>
      </c>
      <c r="C3" s="115" t="s">
        <v>143</v>
      </c>
      <c r="D3" s="116"/>
      <c r="E3" s="116"/>
      <c r="F3" s="116"/>
      <c r="G3" s="116"/>
      <c r="H3" s="116"/>
      <c r="I3" s="116"/>
      <c r="J3" s="117"/>
      <c r="K3" s="83"/>
      <c r="L3" s="11"/>
      <c r="M3" s="11"/>
      <c r="N3" s="11"/>
      <c r="O3" s="11"/>
      <c r="P3" s="11"/>
      <c r="Q3" s="11"/>
      <c r="R3" s="11"/>
      <c r="S3" s="11"/>
      <c r="T3" s="11"/>
      <c r="U3" s="11"/>
    </row>
    <row r="4" spans="1:24" ht="15" customHeight="1" x14ac:dyDescent="0.15">
      <c r="L4" s="83"/>
      <c r="M4" s="12"/>
      <c r="N4" s="12"/>
      <c r="O4" s="12"/>
      <c r="P4" s="12"/>
      <c r="Q4" s="12"/>
      <c r="R4" s="12"/>
      <c r="S4" s="12"/>
      <c r="T4" s="12"/>
      <c r="U4" s="12"/>
    </row>
    <row r="5" spans="1:24" ht="18" customHeight="1" x14ac:dyDescent="0.15">
      <c r="A5" s="147" t="s">
        <v>140</v>
      </c>
      <c r="B5" s="147"/>
      <c r="C5" s="147"/>
      <c r="D5" s="147"/>
      <c r="E5" s="147"/>
      <c r="F5" s="147"/>
      <c r="G5" s="147"/>
      <c r="H5" s="147"/>
      <c r="I5" s="147"/>
      <c r="J5" s="147"/>
      <c r="K5" s="147"/>
      <c r="L5" s="147"/>
      <c r="M5" s="147"/>
      <c r="N5" s="147"/>
      <c r="O5" s="147"/>
      <c r="P5" s="147"/>
      <c r="Q5" s="147"/>
      <c r="R5" s="147"/>
      <c r="S5" s="147"/>
      <c r="T5" s="147"/>
      <c r="U5" s="147"/>
    </row>
    <row r="6" spans="1:24" ht="15" customHeight="1" x14ac:dyDescent="0.15">
      <c r="B6" s="6"/>
      <c r="C6" s="6"/>
      <c r="D6" s="6"/>
      <c r="E6" s="6"/>
      <c r="F6" s="6"/>
      <c r="G6" s="6"/>
      <c r="H6" s="6"/>
      <c r="I6" s="6"/>
      <c r="J6" s="6"/>
      <c r="K6" s="6"/>
      <c r="L6" s="6"/>
      <c r="M6" s="6"/>
      <c r="N6" s="6"/>
      <c r="O6" s="6"/>
      <c r="P6" s="6"/>
      <c r="Q6" s="6"/>
      <c r="R6" s="6"/>
      <c r="S6" s="6"/>
      <c r="T6" s="6"/>
      <c r="U6" s="6"/>
    </row>
    <row r="7" spans="1:24" ht="15" customHeight="1" x14ac:dyDescent="0.15">
      <c r="A7" s="8" t="s">
        <v>116</v>
      </c>
      <c r="B7" s="6"/>
      <c r="C7" s="6"/>
      <c r="D7" s="6"/>
      <c r="E7" s="6"/>
      <c r="F7" s="9"/>
      <c r="G7" s="9"/>
      <c r="H7" s="9"/>
      <c r="I7" s="9"/>
      <c r="J7" s="9"/>
      <c r="K7" s="9"/>
      <c r="L7" s="148" t="s">
        <v>115</v>
      </c>
      <c r="M7" s="149"/>
      <c r="N7" s="149"/>
      <c r="O7" s="149"/>
      <c r="P7" s="149"/>
      <c r="Q7" s="149"/>
      <c r="R7" s="149"/>
      <c r="S7" s="149"/>
      <c r="T7" s="149"/>
      <c r="U7" s="150"/>
    </row>
    <row r="8" spans="1:24" ht="6" customHeight="1" x14ac:dyDescent="0.15">
      <c r="B8" s="6"/>
      <c r="C8" s="6"/>
      <c r="D8" s="6"/>
      <c r="E8" s="6"/>
      <c r="F8" s="6"/>
      <c r="G8" s="6"/>
      <c r="H8" s="6"/>
      <c r="I8" s="6"/>
      <c r="J8" s="6"/>
      <c r="K8" s="6"/>
      <c r="L8" s="6"/>
      <c r="M8" s="6"/>
      <c r="N8" s="6"/>
      <c r="O8" s="6"/>
      <c r="P8" s="6"/>
      <c r="Q8" s="6"/>
      <c r="R8" s="6"/>
      <c r="S8" s="6"/>
      <c r="T8" s="6"/>
      <c r="U8" s="6"/>
    </row>
    <row r="9" spans="1:24" ht="18" customHeight="1" x14ac:dyDescent="0.15">
      <c r="A9" s="8" t="s">
        <v>117</v>
      </c>
      <c r="C9" s="6"/>
      <c r="D9" s="6"/>
      <c r="K9" s="83"/>
      <c r="L9" s="9"/>
      <c r="M9" s="9"/>
      <c r="N9" s="9"/>
      <c r="O9" s="9"/>
      <c r="P9" s="9"/>
      <c r="Q9" s="9"/>
      <c r="R9" s="9"/>
      <c r="S9" s="9"/>
      <c r="T9" s="9"/>
      <c r="U9" s="9"/>
    </row>
    <row r="10" spans="1:24" ht="6" customHeight="1" x14ac:dyDescent="0.15">
      <c r="B10" s="6"/>
      <c r="C10" s="6"/>
      <c r="D10" s="6"/>
      <c r="E10" s="6"/>
      <c r="F10" s="6"/>
      <c r="G10" s="6"/>
      <c r="H10" s="6"/>
      <c r="I10" s="6"/>
      <c r="J10" s="6"/>
      <c r="K10" s="6"/>
      <c r="L10" s="5"/>
      <c r="M10" s="6"/>
      <c r="N10" s="6"/>
      <c r="O10" s="6"/>
      <c r="P10" s="6"/>
      <c r="Q10" s="6"/>
      <c r="R10" s="6"/>
      <c r="S10" s="6"/>
      <c r="T10" s="6"/>
      <c r="U10" s="6"/>
    </row>
    <row r="11" spans="1:24" ht="18" customHeight="1" x14ac:dyDescent="0.15">
      <c r="B11" s="151" t="s">
        <v>166</v>
      </c>
      <c r="C11" s="152"/>
      <c r="D11" s="152"/>
      <c r="E11" s="152"/>
      <c r="F11" s="152"/>
      <c r="G11" s="152"/>
      <c r="H11" s="152"/>
      <c r="I11" s="152"/>
      <c r="J11" s="152"/>
      <c r="K11" s="152"/>
      <c r="L11" s="152"/>
      <c r="M11" s="152"/>
      <c r="N11" s="152"/>
      <c r="O11" s="152"/>
      <c r="P11" s="152"/>
      <c r="Q11" s="152"/>
      <c r="R11" s="152"/>
      <c r="S11" s="152"/>
      <c r="T11" s="152"/>
      <c r="U11" s="153"/>
    </row>
    <row r="12" spans="1:24" ht="18" customHeight="1" x14ac:dyDescent="0.15">
      <c r="B12" s="154"/>
      <c r="C12" s="155"/>
      <c r="D12" s="155"/>
      <c r="E12" s="155"/>
      <c r="F12" s="155"/>
      <c r="G12" s="155"/>
      <c r="H12" s="155"/>
      <c r="I12" s="155"/>
      <c r="J12" s="155"/>
      <c r="K12" s="155"/>
      <c r="L12" s="155"/>
      <c r="M12" s="155"/>
      <c r="N12" s="155"/>
      <c r="O12" s="155"/>
      <c r="P12" s="155"/>
      <c r="Q12" s="155"/>
      <c r="R12" s="155"/>
      <c r="S12" s="155"/>
      <c r="T12" s="155"/>
      <c r="U12" s="156"/>
    </row>
    <row r="13" spans="1:24" ht="6" customHeight="1" x14ac:dyDescent="0.15">
      <c r="B13" s="6"/>
      <c r="C13" s="6"/>
      <c r="D13" s="6"/>
      <c r="E13" s="6"/>
      <c r="F13" s="6"/>
      <c r="G13" s="6"/>
      <c r="H13" s="6"/>
      <c r="I13" s="6"/>
      <c r="J13" s="6"/>
      <c r="K13" s="6"/>
      <c r="L13" s="5"/>
      <c r="M13" s="6"/>
      <c r="N13" s="6"/>
      <c r="O13" s="6"/>
      <c r="P13" s="6"/>
      <c r="Q13" s="6"/>
      <c r="R13" s="6"/>
      <c r="S13" s="6"/>
      <c r="T13" s="6"/>
      <c r="U13" s="6"/>
    </row>
    <row r="14" spans="1:24" ht="18" customHeight="1" x14ac:dyDescent="0.15">
      <c r="A14" s="8" t="s">
        <v>94</v>
      </c>
      <c r="B14" s="6"/>
      <c r="C14" s="6"/>
      <c r="D14" s="6"/>
      <c r="E14" s="83"/>
      <c r="F14" s="83"/>
      <c r="G14" s="83"/>
      <c r="H14" s="83"/>
      <c r="I14" s="83"/>
      <c r="J14" s="83"/>
      <c r="K14" s="83"/>
      <c r="L14" s="13"/>
      <c r="M14" s="13"/>
      <c r="N14" s="13"/>
      <c r="O14" s="13"/>
      <c r="P14" s="13"/>
      <c r="Q14" s="13"/>
      <c r="R14" s="13"/>
      <c r="S14" s="13"/>
      <c r="T14" s="13"/>
      <c r="U14" s="13"/>
    </row>
    <row r="15" spans="1:24" ht="18" customHeight="1" x14ac:dyDescent="0.15">
      <c r="B15" s="134" t="s">
        <v>203</v>
      </c>
      <c r="C15" s="135"/>
      <c r="D15" s="135"/>
      <c r="E15" s="135"/>
      <c r="F15" s="135"/>
      <c r="G15" s="135"/>
      <c r="H15" s="135"/>
      <c r="I15" s="135"/>
      <c r="J15" s="135"/>
      <c r="K15" s="135"/>
      <c r="L15" s="135"/>
      <c r="M15" s="135"/>
      <c r="N15" s="135"/>
      <c r="O15" s="135"/>
      <c r="P15" s="135"/>
      <c r="Q15" s="135"/>
      <c r="R15" s="135"/>
      <c r="S15" s="135"/>
      <c r="T15" s="135"/>
      <c r="U15" s="136"/>
      <c r="X15" s="8" t="s">
        <v>88</v>
      </c>
    </row>
    <row r="16" spans="1:24" ht="18" customHeight="1" x14ac:dyDescent="0.15">
      <c r="B16" s="137"/>
      <c r="C16" s="138"/>
      <c r="D16" s="138"/>
      <c r="E16" s="138"/>
      <c r="F16" s="138"/>
      <c r="G16" s="138"/>
      <c r="H16" s="138"/>
      <c r="I16" s="138"/>
      <c r="J16" s="138"/>
      <c r="K16" s="138"/>
      <c r="L16" s="138"/>
      <c r="M16" s="138"/>
      <c r="N16" s="138"/>
      <c r="O16" s="138"/>
      <c r="P16" s="138"/>
      <c r="Q16" s="138"/>
      <c r="R16" s="138"/>
      <c r="S16" s="138"/>
      <c r="T16" s="138"/>
      <c r="U16" s="139"/>
      <c r="X16" s="8" t="s">
        <v>121</v>
      </c>
    </row>
    <row r="17" spans="1:24" ht="18" customHeight="1" x14ac:dyDescent="0.15">
      <c r="B17" s="137"/>
      <c r="C17" s="138"/>
      <c r="D17" s="138"/>
      <c r="E17" s="138"/>
      <c r="F17" s="138"/>
      <c r="G17" s="138"/>
      <c r="H17" s="138"/>
      <c r="I17" s="138"/>
      <c r="J17" s="138"/>
      <c r="K17" s="138"/>
      <c r="L17" s="138"/>
      <c r="M17" s="138"/>
      <c r="N17" s="138"/>
      <c r="O17" s="138"/>
      <c r="P17" s="138"/>
      <c r="Q17" s="138"/>
      <c r="R17" s="138"/>
      <c r="S17" s="138"/>
      <c r="T17" s="138"/>
      <c r="U17" s="139"/>
      <c r="X17" s="8" t="s">
        <v>122</v>
      </c>
    </row>
    <row r="18" spans="1:24" ht="18" customHeight="1" x14ac:dyDescent="0.15">
      <c r="B18" s="137"/>
      <c r="C18" s="138"/>
      <c r="D18" s="138"/>
      <c r="E18" s="138"/>
      <c r="F18" s="138"/>
      <c r="G18" s="138"/>
      <c r="H18" s="138"/>
      <c r="I18" s="138"/>
      <c r="J18" s="138"/>
      <c r="K18" s="138"/>
      <c r="L18" s="138"/>
      <c r="M18" s="138"/>
      <c r="N18" s="138"/>
      <c r="O18" s="138"/>
      <c r="P18" s="138"/>
      <c r="Q18" s="138"/>
      <c r="R18" s="138"/>
      <c r="S18" s="138"/>
      <c r="T18" s="138"/>
      <c r="U18" s="139"/>
      <c r="X18" s="8" t="s">
        <v>123</v>
      </c>
    </row>
    <row r="19" spans="1:24" ht="18" customHeight="1" x14ac:dyDescent="0.15">
      <c r="B19" s="137"/>
      <c r="C19" s="138"/>
      <c r="D19" s="138"/>
      <c r="E19" s="138"/>
      <c r="F19" s="138"/>
      <c r="G19" s="138"/>
      <c r="H19" s="138"/>
      <c r="I19" s="138"/>
      <c r="J19" s="138"/>
      <c r="K19" s="138"/>
      <c r="L19" s="138"/>
      <c r="M19" s="138"/>
      <c r="N19" s="138"/>
      <c r="O19" s="138"/>
      <c r="P19" s="138"/>
      <c r="Q19" s="138"/>
      <c r="R19" s="138"/>
      <c r="S19" s="138"/>
      <c r="T19" s="138"/>
      <c r="U19" s="139"/>
    </row>
    <row r="20" spans="1:24" ht="107.1" customHeight="1" x14ac:dyDescent="0.15">
      <c r="B20" s="140"/>
      <c r="C20" s="141"/>
      <c r="D20" s="141"/>
      <c r="E20" s="141"/>
      <c r="F20" s="141"/>
      <c r="G20" s="141"/>
      <c r="H20" s="141"/>
      <c r="I20" s="141"/>
      <c r="J20" s="141"/>
      <c r="K20" s="141"/>
      <c r="L20" s="141"/>
      <c r="M20" s="141"/>
      <c r="N20" s="141"/>
      <c r="O20" s="141"/>
      <c r="P20" s="141"/>
      <c r="Q20" s="141"/>
      <c r="R20" s="141"/>
      <c r="S20" s="141"/>
      <c r="T20" s="141"/>
      <c r="U20" s="142"/>
    </row>
    <row r="21" spans="1:24" ht="7.5" customHeight="1" x14ac:dyDescent="0.15">
      <c r="B21" s="6"/>
      <c r="C21" s="6"/>
      <c r="D21" s="6"/>
      <c r="E21" s="6"/>
      <c r="F21" s="6"/>
      <c r="G21" s="6"/>
      <c r="H21" s="6"/>
      <c r="I21" s="6"/>
      <c r="J21" s="6"/>
      <c r="K21" s="6"/>
      <c r="L21" s="6"/>
      <c r="M21" s="6"/>
      <c r="N21" s="6"/>
      <c r="O21" s="6"/>
      <c r="P21" s="6"/>
      <c r="Q21" s="6"/>
      <c r="R21" s="6"/>
      <c r="S21" s="6"/>
      <c r="T21" s="6"/>
      <c r="U21" s="6"/>
    </row>
    <row r="22" spans="1:24" ht="20.100000000000001" customHeight="1" x14ac:dyDescent="0.15">
      <c r="B22" s="8" t="s">
        <v>118</v>
      </c>
      <c r="E22" s="10">
        <v>2</v>
      </c>
      <c r="F22" s="8" t="s">
        <v>105</v>
      </c>
      <c r="H22" s="10">
        <v>2</v>
      </c>
      <c r="I22" s="6" t="s">
        <v>106</v>
      </c>
      <c r="J22" s="6"/>
      <c r="K22" s="83"/>
      <c r="M22" s="83" t="s">
        <v>103</v>
      </c>
      <c r="N22" s="143" t="s">
        <v>121</v>
      </c>
      <c r="O22" s="144"/>
      <c r="P22" s="144"/>
      <c r="Q22" s="144"/>
      <c r="R22" s="144"/>
      <c r="S22" s="144"/>
      <c r="T22" s="144"/>
      <c r="U22" s="145"/>
    </row>
    <row r="23" spans="1:24" ht="7.5" customHeight="1" x14ac:dyDescent="0.15">
      <c r="B23" s="6"/>
      <c r="C23" s="6"/>
      <c r="D23" s="6"/>
      <c r="E23" s="6"/>
      <c r="F23" s="6"/>
      <c r="G23" s="6"/>
      <c r="H23" s="6"/>
      <c r="I23" s="6"/>
      <c r="J23" s="6"/>
      <c r="K23" s="6"/>
      <c r="L23" s="6"/>
      <c r="M23" s="6"/>
      <c r="N23" s="6"/>
      <c r="O23" s="6"/>
      <c r="P23" s="6"/>
      <c r="Q23" s="6"/>
      <c r="R23" s="6"/>
      <c r="S23" s="6"/>
      <c r="T23" s="6"/>
      <c r="U23" s="6"/>
    </row>
    <row r="24" spans="1:24" ht="18" customHeight="1" x14ac:dyDescent="0.15">
      <c r="A24" s="133" t="s">
        <v>95</v>
      </c>
      <c r="B24" s="133"/>
      <c r="C24" s="133"/>
      <c r="D24" s="133"/>
      <c r="E24" s="133"/>
      <c r="F24" s="133"/>
      <c r="G24" s="133"/>
      <c r="H24" s="133"/>
      <c r="I24" s="133"/>
      <c r="J24" s="133"/>
      <c r="K24" s="133"/>
      <c r="L24" s="133"/>
      <c r="M24" s="133"/>
      <c r="N24" s="133"/>
      <c r="O24" s="133"/>
      <c r="P24" s="133"/>
      <c r="Q24" s="133"/>
      <c r="R24" s="133"/>
      <c r="S24" s="133"/>
      <c r="T24" s="133"/>
      <c r="U24" s="133"/>
    </row>
    <row r="25" spans="1:24" ht="18" customHeight="1" x14ac:dyDescent="0.15">
      <c r="A25" s="133"/>
      <c r="B25" s="133"/>
      <c r="C25" s="133"/>
      <c r="D25" s="133"/>
      <c r="E25" s="133"/>
      <c r="F25" s="133"/>
      <c r="G25" s="133"/>
      <c r="H25" s="133"/>
      <c r="I25" s="133"/>
      <c r="J25" s="133"/>
      <c r="K25" s="133"/>
      <c r="L25" s="133"/>
      <c r="M25" s="133"/>
      <c r="N25" s="133"/>
      <c r="O25" s="133"/>
      <c r="P25" s="133"/>
      <c r="Q25" s="133"/>
      <c r="R25" s="133"/>
      <c r="S25" s="133"/>
      <c r="T25" s="133"/>
      <c r="U25" s="133"/>
    </row>
    <row r="26" spans="1:24" ht="18" customHeight="1" x14ac:dyDescent="0.15">
      <c r="B26" s="115" t="s">
        <v>47</v>
      </c>
      <c r="C26" s="116"/>
      <c r="D26" s="116"/>
      <c r="E26" s="116"/>
      <c r="F26" s="117"/>
      <c r="G26" s="14" t="s">
        <v>72</v>
      </c>
      <c r="H26" s="15" t="s">
        <v>75</v>
      </c>
      <c r="I26" s="16" t="s">
        <v>50</v>
      </c>
      <c r="J26" s="16" t="s">
        <v>53</v>
      </c>
      <c r="K26" s="115" t="s">
        <v>47</v>
      </c>
      <c r="L26" s="116"/>
      <c r="M26" s="116"/>
      <c r="N26" s="116"/>
      <c r="O26" s="116"/>
      <c r="P26" s="116"/>
      <c r="Q26" s="117"/>
      <c r="R26" s="14" t="s">
        <v>72</v>
      </c>
      <c r="S26" s="15" t="s">
        <v>75</v>
      </c>
      <c r="T26" s="16" t="s">
        <v>50</v>
      </c>
      <c r="U26" s="16" t="s">
        <v>53</v>
      </c>
    </row>
    <row r="27" spans="1:24" ht="18" customHeight="1" x14ac:dyDescent="0.15">
      <c r="B27" s="124" t="s">
        <v>144</v>
      </c>
      <c r="C27" s="125"/>
      <c r="D27" s="125"/>
      <c r="E27" s="125"/>
      <c r="F27" s="126"/>
      <c r="G27" s="17">
        <v>1</v>
      </c>
      <c r="H27" s="17" t="s">
        <v>145</v>
      </c>
      <c r="I27" s="17" t="s">
        <v>145</v>
      </c>
      <c r="J27" s="17" t="s">
        <v>145</v>
      </c>
      <c r="K27" s="124"/>
      <c r="L27" s="125"/>
      <c r="M27" s="125"/>
      <c r="N27" s="125"/>
      <c r="O27" s="125"/>
      <c r="P27" s="125"/>
      <c r="Q27" s="126"/>
      <c r="R27" s="17"/>
      <c r="S27" s="17"/>
      <c r="T27" s="17"/>
      <c r="U27" s="17"/>
    </row>
    <row r="28" spans="1:24" ht="18" customHeight="1" x14ac:dyDescent="0.15">
      <c r="B28" s="118"/>
      <c r="C28" s="119"/>
      <c r="D28" s="119"/>
      <c r="E28" s="119"/>
      <c r="F28" s="120"/>
      <c r="G28" s="18"/>
      <c r="H28" s="18"/>
      <c r="I28" s="18"/>
      <c r="J28" s="18"/>
      <c r="K28" s="118"/>
      <c r="L28" s="119"/>
      <c r="M28" s="119"/>
      <c r="N28" s="119"/>
      <c r="O28" s="119"/>
      <c r="P28" s="119"/>
      <c r="Q28" s="120"/>
      <c r="R28" s="18"/>
      <c r="S28" s="18"/>
      <c r="T28" s="18"/>
      <c r="U28" s="18"/>
    </row>
    <row r="29" spans="1:24" ht="18" customHeight="1" x14ac:dyDescent="0.15">
      <c r="B29" s="118"/>
      <c r="C29" s="119"/>
      <c r="D29" s="119"/>
      <c r="E29" s="119"/>
      <c r="F29" s="120"/>
      <c r="G29" s="18"/>
      <c r="H29" s="18"/>
      <c r="I29" s="18"/>
      <c r="J29" s="18"/>
      <c r="K29" s="118"/>
      <c r="L29" s="119"/>
      <c r="M29" s="119"/>
      <c r="N29" s="119"/>
      <c r="O29" s="119"/>
      <c r="P29" s="119"/>
      <c r="Q29" s="120"/>
      <c r="R29" s="18"/>
      <c r="S29" s="18"/>
      <c r="T29" s="18"/>
      <c r="U29" s="18"/>
    </row>
    <row r="30" spans="1:24" ht="18" customHeight="1" x14ac:dyDescent="0.15">
      <c r="B30" s="118"/>
      <c r="C30" s="119"/>
      <c r="D30" s="119"/>
      <c r="E30" s="119"/>
      <c r="F30" s="120"/>
      <c r="G30" s="18"/>
      <c r="H30" s="18"/>
      <c r="I30" s="18"/>
      <c r="J30" s="18"/>
      <c r="K30" s="118"/>
      <c r="L30" s="119"/>
      <c r="M30" s="119"/>
      <c r="N30" s="119"/>
      <c r="O30" s="119"/>
      <c r="P30" s="119"/>
      <c r="Q30" s="120"/>
      <c r="R30" s="18"/>
      <c r="S30" s="18"/>
      <c r="T30" s="18"/>
      <c r="U30" s="18"/>
    </row>
    <row r="31" spans="1:24" ht="18" customHeight="1" x14ac:dyDescent="0.15">
      <c r="B31" s="118"/>
      <c r="C31" s="119"/>
      <c r="D31" s="119"/>
      <c r="E31" s="119"/>
      <c r="F31" s="120"/>
      <c r="G31" s="18"/>
      <c r="H31" s="18"/>
      <c r="I31" s="18"/>
      <c r="J31" s="18"/>
      <c r="K31" s="118"/>
      <c r="L31" s="119"/>
      <c r="M31" s="119"/>
      <c r="N31" s="119"/>
      <c r="O31" s="119"/>
      <c r="P31" s="119"/>
      <c r="Q31" s="120"/>
      <c r="R31" s="18"/>
      <c r="S31" s="18"/>
      <c r="T31" s="18"/>
      <c r="U31" s="18"/>
    </row>
    <row r="32" spans="1:24" ht="18" customHeight="1" x14ac:dyDescent="0.15">
      <c r="A32" s="6"/>
      <c r="B32" s="118"/>
      <c r="C32" s="119"/>
      <c r="D32" s="119"/>
      <c r="E32" s="119"/>
      <c r="F32" s="120"/>
      <c r="G32" s="18"/>
      <c r="H32" s="18"/>
      <c r="I32" s="18"/>
      <c r="J32" s="18"/>
      <c r="K32" s="118"/>
      <c r="L32" s="119"/>
      <c r="M32" s="119"/>
      <c r="N32" s="119"/>
      <c r="O32" s="119"/>
      <c r="P32" s="119"/>
      <c r="Q32" s="120"/>
      <c r="R32" s="18"/>
      <c r="S32" s="18"/>
      <c r="T32" s="18"/>
      <c r="U32" s="18"/>
    </row>
    <row r="33" spans="1:21" ht="18" customHeight="1" x14ac:dyDescent="0.15">
      <c r="A33" s="6"/>
      <c r="B33" s="107"/>
      <c r="C33" s="108"/>
      <c r="D33" s="108"/>
      <c r="E33" s="108"/>
      <c r="F33" s="109"/>
      <c r="G33" s="19"/>
      <c r="H33" s="19"/>
      <c r="I33" s="20"/>
      <c r="J33" s="20"/>
      <c r="K33" s="107"/>
      <c r="L33" s="108"/>
      <c r="M33" s="108"/>
      <c r="N33" s="108"/>
      <c r="O33" s="108"/>
      <c r="P33" s="108"/>
      <c r="Q33" s="109"/>
      <c r="R33" s="19"/>
      <c r="S33" s="19"/>
      <c r="T33" s="20"/>
      <c r="U33" s="20"/>
    </row>
    <row r="34" spans="1:21" ht="7.5" customHeight="1" x14ac:dyDescent="0.15">
      <c r="A34" s="6"/>
      <c r="B34" s="11"/>
      <c r="C34" s="11"/>
      <c r="D34" s="11"/>
      <c r="E34" s="6"/>
      <c r="F34" s="6"/>
      <c r="G34" s="6"/>
      <c r="H34" s="6"/>
      <c r="I34" s="11"/>
      <c r="J34" s="11"/>
      <c r="K34" s="11"/>
      <c r="L34" s="11"/>
      <c r="M34" s="11"/>
      <c r="N34" s="11"/>
      <c r="O34" s="11"/>
      <c r="P34" s="11"/>
      <c r="Q34" s="11"/>
      <c r="R34" s="11"/>
      <c r="S34" s="11"/>
      <c r="T34" s="11"/>
      <c r="U34" s="6"/>
    </row>
    <row r="35" spans="1:21" ht="18" customHeight="1" x14ac:dyDescent="0.15">
      <c r="A35" s="133" t="s">
        <v>96</v>
      </c>
      <c r="B35" s="133"/>
      <c r="C35" s="133"/>
      <c r="D35" s="133"/>
      <c r="E35" s="133"/>
      <c r="F35" s="133"/>
      <c r="G35" s="133"/>
      <c r="H35" s="133"/>
      <c r="I35" s="133"/>
      <c r="J35" s="133"/>
      <c r="K35" s="133"/>
      <c r="L35" s="133"/>
      <c r="M35" s="133"/>
      <c r="N35" s="133"/>
      <c r="O35" s="133"/>
      <c r="P35" s="133"/>
      <c r="Q35" s="133"/>
      <c r="R35" s="133"/>
      <c r="S35" s="133"/>
      <c r="T35" s="133"/>
      <c r="U35" s="133"/>
    </row>
    <row r="36" spans="1:21" ht="18" customHeight="1" x14ac:dyDescent="0.15">
      <c r="A36" s="133"/>
      <c r="B36" s="133"/>
      <c r="C36" s="133"/>
      <c r="D36" s="133"/>
      <c r="E36" s="133"/>
      <c r="F36" s="133"/>
      <c r="G36" s="133"/>
      <c r="H36" s="133"/>
      <c r="I36" s="133"/>
      <c r="J36" s="133"/>
      <c r="K36" s="133"/>
      <c r="L36" s="133"/>
      <c r="M36" s="133"/>
      <c r="N36" s="133"/>
      <c r="O36" s="133"/>
      <c r="P36" s="133"/>
      <c r="Q36" s="133"/>
      <c r="R36" s="133"/>
      <c r="S36" s="133"/>
      <c r="T36" s="133"/>
      <c r="U36" s="133"/>
    </row>
    <row r="37" spans="1:21" ht="18" customHeight="1" x14ac:dyDescent="0.15">
      <c r="B37" s="115" t="s">
        <v>47</v>
      </c>
      <c r="C37" s="116"/>
      <c r="D37" s="116"/>
      <c r="E37" s="116"/>
      <c r="F37" s="117"/>
      <c r="G37" s="14" t="s">
        <v>72</v>
      </c>
      <c r="H37" s="15" t="s">
        <v>75</v>
      </c>
      <c r="I37" s="16" t="s">
        <v>63</v>
      </c>
      <c r="J37" s="16" t="s">
        <v>64</v>
      </c>
      <c r="K37" s="115" t="s">
        <v>47</v>
      </c>
      <c r="L37" s="116"/>
      <c r="M37" s="116"/>
      <c r="N37" s="116"/>
      <c r="O37" s="116"/>
      <c r="P37" s="116"/>
      <c r="Q37" s="117"/>
      <c r="R37" s="14" t="s">
        <v>72</v>
      </c>
      <c r="S37" s="15" t="s">
        <v>75</v>
      </c>
      <c r="T37" s="16" t="s">
        <v>63</v>
      </c>
      <c r="U37" s="16" t="s">
        <v>64</v>
      </c>
    </row>
    <row r="38" spans="1:21" ht="18" customHeight="1" x14ac:dyDescent="0.15">
      <c r="B38" s="124" t="s">
        <v>144</v>
      </c>
      <c r="C38" s="125"/>
      <c r="D38" s="125"/>
      <c r="E38" s="125"/>
      <c r="F38" s="126"/>
      <c r="G38" s="17">
        <v>1</v>
      </c>
      <c r="H38" s="17" t="s">
        <v>145</v>
      </c>
      <c r="I38" s="17" t="s">
        <v>145</v>
      </c>
      <c r="J38" s="17" t="s">
        <v>145</v>
      </c>
      <c r="K38" s="124"/>
      <c r="L38" s="125"/>
      <c r="M38" s="125"/>
      <c r="N38" s="125"/>
      <c r="O38" s="125"/>
      <c r="P38" s="125"/>
      <c r="Q38" s="126"/>
      <c r="R38" s="17"/>
      <c r="S38" s="17"/>
      <c r="T38" s="17"/>
      <c r="U38" s="17"/>
    </row>
    <row r="39" spans="1:21" ht="18" customHeight="1" x14ac:dyDescent="0.15">
      <c r="B39" s="118"/>
      <c r="C39" s="119"/>
      <c r="D39" s="119"/>
      <c r="E39" s="119"/>
      <c r="F39" s="120"/>
      <c r="G39" s="18"/>
      <c r="H39" s="18"/>
      <c r="I39" s="18"/>
      <c r="J39" s="18"/>
      <c r="K39" s="118"/>
      <c r="L39" s="119"/>
      <c r="M39" s="119"/>
      <c r="N39" s="119"/>
      <c r="O39" s="119"/>
      <c r="P39" s="119"/>
      <c r="Q39" s="120"/>
      <c r="R39" s="18"/>
      <c r="S39" s="18"/>
      <c r="T39" s="18"/>
      <c r="U39" s="18"/>
    </row>
    <row r="40" spans="1:21" ht="18" customHeight="1" x14ac:dyDescent="0.15">
      <c r="B40" s="118"/>
      <c r="C40" s="119"/>
      <c r="D40" s="119"/>
      <c r="E40" s="119"/>
      <c r="F40" s="120"/>
      <c r="G40" s="18"/>
      <c r="H40" s="18"/>
      <c r="I40" s="18"/>
      <c r="J40" s="18"/>
      <c r="K40" s="118"/>
      <c r="L40" s="119"/>
      <c r="M40" s="119"/>
      <c r="N40" s="119"/>
      <c r="O40" s="119"/>
      <c r="P40" s="119"/>
      <c r="Q40" s="120"/>
      <c r="R40" s="18"/>
      <c r="S40" s="18"/>
      <c r="T40" s="18"/>
      <c r="U40" s="18"/>
    </row>
    <row r="41" spans="1:21" ht="18" customHeight="1" x14ac:dyDescent="0.15">
      <c r="B41" s="118"/>
      <c r="C41" s="119"/>
      <c r="D41" s="119"/>
      <c r="E41" s="119"/>
      <c r="F41" s="120"/>
      <c r="G41" s="18"/>
      <c r="H41" s="18"/>
      <c r="I41" s="18"/>
      <c r="J41" s="18"/>
      <c r="K41" s="118"/>
      <c r="L41" s="119"/>
      <c r="M41" s="119"/>
      <c r="N41" s="119"/>
      <c r="O41" s="119"/>
      <c r="P41" s="119"/>
      <c r="Q41" s="120"/>
      <c r="R41" s="18"/>
      <c r="S41" s="18"/>
      <c r="T41" s="18"/>
      <c r="U41" s="18"/>
    </row>
    <row r="42" spans="1:21" ht="18" customHeight="1" x14ac:dyDescent="0.15">
      <c r="B42" s="118"/>
      <c r="C42" s="119"/>
      <c r="D42" s="119"/>
      <c r="E42" s="119"/>
      <c r="F42" s="120"/>
      <c r="G42" s="18"/>
      <c r="H42" s="18"/>
      <c r="I42" s="18"/>
      <c r="J42" s="18"/>
      <c r="K42" s="118"/>
      <c r="L42" s="119"/>
      <c r="M42" s="119"/>
      <c r="N42" s="119"/>
      <c r="O42" s="119"/>
      <c r="P42" s="119"/>
      <c r="Q42" s="120"/>
      <c r="R42" s="18"/>
      <c r="S42" s="18"/>
      <c r="T42" s="18"/>
      <c r="U42" s="18"/>
    </row>
    <row r="43" spans="1:21" ht="18" customHeight="1" x14ac:dyDescent="0.15">
      <c r="B43" s="118"/>
      <c r="C43" s="119"/>
      <c r="D43" s="119"/>
      <c r="E43" s="119"/>
      <c r="F43" s="120"/>
      <c r="G43" s="18"/>
      <c r="H43" s="18"/>
      <c r="I43" s="18"/>
      <c r="J43" s="18"/>
      <c r="K43" s="118"/>
      <c r="L43" s="119"/>
      <c r="M43" s="119"/>
      <c r="N43" s="119"/>
      <c r="O43" s="119"/>
      <c r="P43" s="119"/>
      <c r="Q43" s="120"/>
      <c r="R43" s="18"/>
      <c r="S43" s="18"/>
      <c r="T43" s="18"/>
      <c r="U43" s="18"/>
    </row>
    <row r="44" spans="1:21" ht="18" customHeight="1" x14ac:dyDescent="0.15">
      <c r="B44" s="107"/>
      <c r="C44" s="108"/>
      <c r="D44" s="108"/>
      <c r="E44" s="108"/>
      <c r="F44" s="109"/>
      <c r="G44" s="19"/>
      <c r="H44" s="19"/>
      <c r="I44" s="20"/>
      <c r="J44" s="20"/>
      <c r="K44" s="107"/>
      <c r="L44" s="108"/>
      <c r="M44" s="108"/>
      <c r="N44" s="108"/>
      <c r="O44" s="108"/>
      <c r="P44" s="108"/>
      <c r="Q44" s="109"/>
      <c r="R44" s="19"/>
      <c r="S44" s="19"/>
      <c r="T44" s="20"/>
      <c r="U44" s="20"/>
    </row>
    <row r="45" spans="1:21" ht="7.5" customHeight="1" x14ac:dyDescent="0.15">
      <c r="A45" s="6"/>
      <c r="B45" s="11"/>
      <c r="C45" s="11"/>
      <c r="D45" s="11"/>
      <c r="E45" s="6"/>
      <c r="F45" s="6"/>
      <c r="G45" s="6"/>
      <c r="H45" s="6"/>
      <c r="I45" s="11"/>
      <c r="J45" s="11"/>
      <c r="K45" s="11"/>
      <c r="L45" s="11"/>
      <c r="M45" s="11"/>
      <c r="N45" s="11"/>
      <c r="O45" s="11"/>
      <c r="P45" s="11"/>
      <c r="Q45" s="11"/>
      <c r="R45" s="11"/>
      <c r="S45" s="11"/>
      <c r="T45" s="11"/>
      <c r="U45" s="6"/>
    </row>
    <row r="46" spans="1:21" ht="18" customHeight="1" x14ac:dyDescent="0.15">
      <c r="A46" s="133" t="s">
        <v>97</v>
      </c>
      <c r="B46" s="133"/>
      <c r="C46" s="133"/>
      <c r="D46" s="133"/>
      <c r="E46" s="133"/>
      <c r="F46" s="133"/>
      <c r="G46" s="133"/>
      <c r="H46" s="133"/>
      <c r="I46" s="133"/>
      <c r="J46" s="133"/>
      <c r="K46" s="133"/>
      <c r="L46" s="133"/>
      <c r="M46" s="133"/>
      <c r="N46" s="133"/>
      <c r="O46" s="133"/>
      <c r="P46" s="133"/>
      <c r="Q46" s="133"/>
      <c r="R46" s="133"/>
      <c r="S46" s="133"/>
      <c r="T46" s="133"/>
      <c r="U46" s="133"/>
    </row>
    <row r="47" spans="1:21" ht="18" customHeight="1" x14ac:dyDescent="0.15">
      <c r="A47" s="133"/>
      <c r="B47" s="133"/>
      <c r="C47" s="133"/>
      <c r="D47" s="133"/>
      <c r="E47" s="133"/>
      <c r="F47" s="133"/>
      <c r="G47" s="133"/>
      <c r="H47" s="133"/>
      <c r="I47" s="133"/>
      <c r="J47" s="133"/>
      <c r="K47" s="133"/>
      <c r="L47" s="133"/>
      <c r="M47" s="133"/>
      <c r="N47" s="133"/>
      <c r="O47" s="133"/>
      <c r="P47" s="133"/>
      <c r="Q47" s="133"/>
      <c r="R47" s="133"/>
      <c r="S47" s="133"/>
      <c r="T47" s="133"/>
      <c r="U47" s="133"/>
    </row>
    <row r="48" spans="1:21" ht="18" customHeight="1" x14ac:dyDescent="0.15">
      <c r="B48" s="115" t="s">
        <v>47</v>
      </c>
      <c r="C48" s="116"/>
      <c r="D48" s="116"/>
      <c r="E48" s="116"/>
      <c r="F48" s="117"/>
      <c r="G48" s="14" t="s">
        <v>72</v>
      </c>
      <c r="H48" s="15" t="s">
        <v>75</v>
      </c>
      <c r="I48" s="16" t="s">
        <v>65</v>
      </c>
      <c r="J48" s="16" t="s">
        <v>66</v>
      </c>
      <c r="K48" s="115" t="s">
        <v>47</v>
      </c>
      <c r="L48" s="116"/>
      <c r="M48" s="116"/>
      <c r="N48" s="116"/>
      <c r="O48" s="116"/>
      <c r="P48" s="116"/>
      <c r="Q48" s="117"/>
      <c r="R48" s="14" t="s">
        <v>72</v>
      </c>
      <c r="S48" s="15" t="s">
        <v>75</v>
      </c>
      <c r="T48" s="16" t="s">
        <v>65</v>
      </c>
      <c r="U48" s="16" t="s">
        <v>66</v>
      </c>
    </row>
    <row r="49" spans="1:21" ht="18" customHeight="1" x14ac:dyDescent="0.15">
      <c r="A49" s="6"/>
      <c r="B49" s="124" t="s">
        <v>144</v>
      </c>
      <c r="C49" s="125"/>
      <c r="D49" s="125"/>
      <c r="E49" s="125"/>
      <c r="F49" s="126"/>
      <c r="G49" s="17">
        <v>1</v>
      </c>
      <c r="H49" s="17" t="s">
        <v>145</v>
      </c>
      <c r="I49" s="17" t="s">
        <v>145</v>
      </c>
      <c r="J49" s="17" t="s">
        <v>145</v>
      </c>
      <c r="K49" s="124"/>
      <c r="L49" s="125"/>
      <c r="M49" s="125"/>
      <c r="N49" s="125"/>
      <c r="O49" s="125"/>
      <c r="P49" s="125"/>
      <c r="Q49" s="126"/>
      <c r="R49" s="17"/>
      <c r="S49" s="17"/>
      <c r="T49" s="17"/>
      <c r="U49" s="17"/>
    </row>
    <row r="50" spans="1:21" ht="18" customHeight="1" x14ac:dyDescent="0.15">
      <c r="A50" s="6"/>
      <c r="B50" s="118"/>
      <c r="C50" s="119"/>
      <c r="D50" s="119"/>
      <c r="E50" s="119"/>
      <c r="F50" s="120"/>
      <c r="G50" s="18"/>
      <c r="H50" s="18"/>
      <c r="I50" s="18"/>
      <c r="J50" s="18"/>
      <c r="K50" s="118"/>
      <c r="L50" s="119"/>
      <c r="M50" s="119"/>
      <c r="N50" s="119"/>
      <c r="O50" s="119"/>
      <c r="P50" s="119"/>
      <c r="Q50" s="120"/>
      <c r="R50" s="18"/>
      <c r="S50" s="18"/>
      <c r="T50" s="18"/>
      <c r="U50" s="18"/>
    </row>
    <row r="51" spans="1:21" ht="18" customHeight="1" x14ac:dyDescent="0.15">
      <c r="A51" s="6"/>
      <c r="B51" s="118"/>
      <c r="C51" s="119"/>
      <c r="D51" s="119"/>
      <c r="E51" s="119"/>
      <c r="F51" s="120"/>
      <c r="G51" s="18"/>
      <c r="H51" s="18"/>
      <c r="I51" s="18"/>
      <c r="J51" s="18"/>
      <c r="K51" s="118"/>
      <c r="L51" s="119"/>
      <c r="M51" s="119"/>
      <c r="N51" s="119"/>
      <c r="O51" s="119"/>
      <c r="P51" s="119"/>
      <c r="Q51" s="120"/>
      <c r="R51" s="18"/>
      <c r="S51" s="18"/>
      <c r="T51" s="18"/>
      <c r="U51" s="18"/>
    </row>
    <row r="52" spans="1:21" ht="18" customHeight="1" x14ac:dyDescent="0.15">
      <c r="A52" s="6"/>
      <c r="B52" s="118"/>
      <c r="C52" s="119"/>
      <c r="D52" s="119"/>
      <c r="E52" s="119"/>
      <c r="F52" s="120"/>
      <c r="G52" s="18"/>
      <c r="H52" s="18"/>
      <c r="I52" s="18"/>
      <c r="J52" s="18"/>
      <c r="K52" s="118"/>
      <c r="L52" s="119"/>
      <c r="M52" s="119"/>
      <c r="N52" s="119"/>
      <c r="O52" s="119"/>
      <c r="P52" s="119"/>
      <c r="Q52" s="120"/>
      <c r="R52" s="18"/>
      <c r="S52" s="18"/>
      <c r="T52" s="18"/>
      <c r="U52" s="18"/>
    </row>
    <row r="53" spans="1:21" ht="18" customHeight="1" x14ac:dyDescent="0.15">
      <c r="A53" s="6"/>
      <c r="B53" s="118"/>
      <c r="C53" s="119"/>
      <c r="D53" s="119"/>
      <c r="E53" s="119"/>
      <c r="F53" s="120"/>
      <c r="G53" s="18"/>
      <c r="H53" s="18"/>
      <c r="I53" s="18"/>
      <c r="J53" s="18"/>
      <c r="K53" s="118"/>
      <c r="L53" s="119"/>
      <c r="M53" s="119"/>
      <c r="N53" s="119"/>
      <c r="O53" s="119"/>
      <c r="P53" s="119"/>
      <c r="Q53" s="120"/>
      <c r="R53" s="18"/>
      <c r="S53" s="18"/>
      <c r="T53" s="18"/>
      <c r="U53" s="18"/>
    </row>
    <row r="54" spans="1:21" ht="18" customHeight="1" x14ac:dyDescent="0.15">
      <c r="A54" s="6"/>
      <c r="B54" s="118"/>
      <c r="C54" s="119"/>
      <c r="D54" s="119"/>
      <c r="E54" s="119"/>
      <c r="F54" s="120"/>
      <c r="G54" s="18"/>
      <c r="H54" s="18"/>
      <c r="I54" s="18"/>
      <c r="J54" s="18"/>
      <c r="K54" s="118"/>
      <c r="L54" s="119"/>
      <c r="M54" s="119"/>
      <c r="N54" s="119"/>
      <c r="O54" s="119"/>
      <c r="P54" s="119"/>
      <c r="Q54" s="120"/>
      <c r="R54" s="18"/>
      <c r="S54" s="18"/>
      <c r="T54" s="18"/>
      <c r="U54" s="18"/>
    </row>
    <row r="55" spans="1:21" ht="18" customHeight="1" x14ac:dyDescent="0.15">
      <c r="A55" s="6"/>
      <c r="B55" s="107"/>
      <c r="C55" s="108"/>
      <c r="D55" s="108"/>
      <c r="E55" s="108"/>
      <c r="F55" s="109"/>
      <c r="G55" s="19"/>
      <c r="H55" s="19"/>
      <c r="I55" s="20"/>
      <c r="J55" s="20"/>
      <c r="K55" s="107"/>
      <c r="L55" s="108"/>
      <c r="M55" s="108"/>
      <c r="N55" s="108"/>
      <c r="O55" s="108"/>
      <c r="P55" s="108"/>
      <c r="Q55" s="109"/>
      <c r="R55" s="19"/>
      <c r="S55" s="19"/>
      <c r="T55" s="20"/>
      <c r="U55" s="20"/>
    </row>
    <row r="56" spans="1:21" ht="7.5" customHeight="1" x14ac:dyDescent="0.15">
      <c r="B56" s="91"/>
      <c r="C56" s="91"/>
      <c r="D56" s="91"/>
      <c r="E56" s="91"/>
      <c r="F56" s="91"/>
      <c r="G56" s="91"/>
      <c r="H56" s="91"/>
      <c r="I56" s="91"/>
      <c r="J56" s="91"/>
      <c r="K56" s="91"/>
      <c r="L56" s="91"/>
      <c r="M56" s="91"/>
      <c r="N56" s="91"/>
      <c r="O56" s="91"/>
      <c r="P56" s="91"/>
      <c r="Q56" s="91"/>
      <c r="R56" s="91"/>
      <c r="S56" s="91"/>
      <c r="T56" s="91"/>
    </row>
    <row r="57" spans="1:21" ht="18" customHeight="1" x14ac:dyDescent="0.15">
      <c r="A57" s="133" t="s">
        <v>98</v>
      </c>
      <c r="B57" s="133"/>
      <c r="C57" s="133"/>
      <c r="D57" s="133"/>
      <c r="E57" s="133"/>
      <c r="F57" s="133"/>
      <c r="G57" s="133"/>
      <c r="H57" s="133"/>
      <c r="I57" s="133"/>
      <c r="J57" s="133"/>
      <c r="K57" s="133"/>
      <c r="L57" s="133"/>
      <c r="M57" s="133"/>
      <c r="N57" s="133"/>
      <c r="O57" s="133"/>
      <c r="P57" s="133"/>
      <c r="Q57" s="133"/>
      <c r="R57" s="133"/>
      <c r="S57" s="133"/>
      <c r="T57" s="133"/>
      <c r="U57" s="133"/>
    </row>
    <row r="58" spans="1:21" ht="18" customHeight="1" x14ac:dyDescent="0.15">
      <c r="A58" s="133"/>
      <c r="B58" s="133"/>
      <c r="C58" s="133"/>
      <c r="D58" s="133"/>
      <c r="E58" s="133"/>
      <c r="F58" s="133"/>
      <c r="G58" s="133"/>
      <c r="H58" s="133"/>
      <c r="I58" s="133"/>
      <c r="J58" s="133"/>
      <c r="K58" s="133"/>
      <c r="L58" s="133"/>
      <c r="M58" s="133"/>
      <c r="N58" s="133"/>
      <c r="O58" s="133"/>
      <c r="P58" s="133"/>
      <c r="Q58" s="133"/>
      <c r="R58" s="133"/>
      <c r="S58" s="133"/>
      <c r="T58" s="133"/>
      <c r="U58" s="133"/>
    </row>
    <row r="59" spans="1:21" ht="18" customHeight="1" x14ac:dyDescent="0.15">
      <c r="B59" s="115" t="s">
        <v>47</v>
      </c>
      <c r="C59" s="116"/>
      <c r="D59" s="116"/>
      <c r="E59" s="116"/>
      <c r="F59" s="117"/>
      <c r="G59" s="14" t="s">
        <v>72</v>
      </c>
      <c r="H59" s="15" t="s">
        <v>75</v>
      </c>
      <c r="I59" s="16" t="s">
        <v>52</v>
      </c>
      <c r="J59" s="16" t="s">
        <v>54</v>
      </c>
      <c r="K59" s="115" t="s">
        <v>47</v>
      </c>
      <c r="L59" s="116"/>
      <c r="M59" s="116"/>
      <c r="N59" s="116"/>
      <c r="O59" s="116"/>
      <c r="P59" s="116"/>
      <c r="Q59" s="117"/>
      <c r="R59" s="14" t="s">
        <v>72</v>
      </c>
      <c r="S59" s="15" t="s">
        <v>75</v>
      </c>
      <c r="T59" s="16" t="s">
        <v>52</v>
      </c>
      <c r="U59" s="16" t="s">
        <v>54</v>
      </c>
    </row>
    <row r="60" spans="1:21" ht="18" customHeight="1" x14ac:dyDescent="0.15">
      <c r="A60" s="6"/>
      <c r="B60" s="124" t="s">
        <v>144</v>
      </c>
      <c r="C60" s="125"/>
      <c r="D60" s="125"/>
      <c r="E60" s="125"/>
      <c r="F60" s="126"/>
      <c r="G60" s="17">
        <v>1</v>
      </c>
      <c r="H60" s="17" t="s">
        <v>145</v>
      </c>
      <c r="I60" s="17" t="s">
        <v>145</v>
      </c>
      <c r="J60" s="17" t="s">
        <v>145</v>
      </c>
      <c r="K60" s="124"/>
      <c r="L60" s="125"/>
      <c r="M60" s="125"/>
      <c r="N60" s="125"/>
      <c r="O60" s="125"/>
      <c r="P60" s="125"/>
      <c r="Q60" s="126"/>
      <c r="R60" s="17"/>
      <c r="S60" s="17"/>
      <c r="T60" s="17"/>
      <c r="U60" s="17"/>
    </row>
    <row r="61" spans="1:21" ht="18" customHeight="1" x14ac:dyDescent="0.15">
      <c r="A61" s="6"/>
      <c r="B61" s="118"/>
      <c r="C61" s="119"/>
      <c r="D61" s="119"/>
      <c r="E61" s="119"/>
      <c r="F61" s="120"/>
      <c r="G61" s="18"/>
      <c r="H61" s="18"/>
      <c r="I61" s="18"/>
      <c r="J61" s="18"/>
      <c r="K61" s="118"/>
      <c r="L61" s="119"/>
      <c r="M61" s="119"/>
      <c r="N61" s="119"/>
      <c r="O61" s="119"/>
      <c r="P61" s="119"/>
      <c r="Q61" s="120"/>
      <c r="R61" s="18"/>
      <c r="S61" s="18"/>
      <c r="T61" s="18"/>
      <c r="U61" s="18"/>
    </row>
    <row r="62" spans="1:21" ht="18" customHeight="1" x14ac:dyDescent="0.15">
      <c r="A62" s="6"/>
      <c r="B62" s="118"/>
      <c r="C62" s="119"/>
      <c r="D62" s="119"/>
      <c r="E62" s="119"/>
      <c r="F62" s="120"/>
      <c r="G62" s="18"/>
      <c r="H62" s="18"/>
      <c r="I62" s="18"/>
      <c r="J62" s="18"/>
      <c r="K62" s="118"/>
      <c r="L62" s="119"/>
      <c r="M62" s="119"/>
      <c r="N62" s="119"/>
      <c r="O62" s="119"/>
      <c r="P62" s="119"/>
      <c r="Q62" s="120"/>
      <c r="R62" s="18"/>
      <c r="S62" s="18"/>
      <c r="T62" s="18"/>
      <c r="U62" s="18"/>
    </row>
    <row r="63" spans="1:21" ht="18" customHeight="1" x14ac:dyDescent="0.15">
      <c r="A63" s="6"/>
      <c r="B63" s="118"/>
      <c r="C63" s="119"/>
      <c r="D63" s="119"/>
      <c r="E63" s="119"/>
      <c r="F63" s="120"/>
      <c r="G63" s="18"/>
      <c r="H63" s="18"/>
      <c r="I63" s="18"/>
      <c r="J63" s="18"/>
      <c r="K63" s="118"/>
      <c r="L63" s="119"/>
      <c r="M63" s="119"/>
      <c r="N63" s="119"/>
      <c r="O63" s="119"/>
      <c r="P63" s="119"/>
      <c r="Q63" s="120"/>
      <c r="R63" s="18"/>
      <c r="S63" s="18"/>
      <c r="T63" s="18"/>
      <c r="U63" s="18"/>
    </row>
    <row r="64" spans="1:21" ht="18" customHeight="1" x14ac:dyDescent="0.15">
      <c r="A64" s="6"/>
      <c r="B64" s="118"/>
      <c r="C64" s="119"/>
      <c r="D64" s="119"/>
      <c r="E64" s="119"/>
      <c r="F64" s="120"/>
      <c r="G64" s="18"/>
      <c r="H64" s="18"/>
      <c r="I64" s="18"/>
      <c r="J64" s="18"/>
      <c r="K64" s="118"/>
      <c r="L64" s="119"/>
      <c r="M64" s="119"/>
      <c r="N64" s="119"/>
      <c r="O64" s="119"/>
      <c r="P64" s="119"/>
      <c r="Q64" s="120"/>
      <c r="R64" s="18"/>
      <c r="S64" s="18"/>
      <c r="T64" s="18"/>
      <c r="U64" s="18"/>
    </row>
    <row r="65" spans="1:27" ht="18" customHeight="1" x14ac:dyDescent="0.15">
      <c r="A65" s="6"/>
      <c r="B65" s="118"/>
      <c r="C65" s="119"/>
      <c r="D65" s="119"/>
      <c r="E65" s="119"/>
      <c r="F65" s="120"/>
      <c r="G65" s="18"/>
      <c r="H65" s="18"/>
      <c r="I65" s="18"/>
      <c r="J65" s="18"/>
      <c r="K65" s="118"/>
      <c r="L65" s="119"/>
      <c r="M65" s="119"/>
      <c r="N65" s="119"/>
      <c r="O65" s="119"/>
      <c r="P65" s="119"/>
      <c r="Q65" s="120"/>
      <c r="R65" s="18"/>
      <c r="S65" s="18"/>
      <c r="T65" s="18"/>
      <c r="U65" s="18"/>
    </row>
    <row r="66" spans="1:27" ht="18" customHeight="1" x14ac:dyDescent="0.15">
      <c r="A66" s="6"/>
      <c r="B66" s="107"/>
      <c r="C66" s="108"/>
      <c r="D66" s="108"/>
      <c r="E66" s="108"/>
      <c r="F66" s="109"/>
      <c r="G66" s="19"/>
      <c r="H66" s="19"/>
      <c r="I66" s="20"/>
      <c r="J66" s="20"/>
      <c r="K66" s="107"/>
      <c r="L66" s="108"/>
      <c r="M66" s="108"/>
      <c r="N66" s="108"/>
      <c r="O66" s="108"/>
      <c r="P66" s="108"/>
      <c r="Q66" s="109"/>
      <c r="R66" s="19"/>
      <c r="S66" s="19"/>
      <c r="T66" s="20"/>
      <c r="U66" s="20"/>
    </row>
    <row r="67" spans="1:27" ht="7.5" customHeight="1" x14ac:dyDescent="0.15">
      <c r="B67" s="91"/>
      <c r="C67" s="91"/>
      <c r="D67" s="91"/>
      <c r="E67" s="91"/>
      <c r="F67" s="91"/>
      <c r="G67" s="91"/>
      <c r="H67" s="91"/>
      <c r="I67" s="91"/>
      <c r="J67" s="91"/>
      <c r="K67" s="91"/>
      <c r="L67" s="91"/>
      <c r="M67" s="91"/>
      <c r="N67" s="91"/>
      <c r="O67" s="91"/>
      <c r="P67" s="91"/>
      <c r="Q67" s="91"/>
      <c r="R67" s="91"/>
      <c r="S67" s="91"/>
      <c r="T67" s="91"/>
    </row>
    <row r="68" spans="1:27" ht="18" customHeight="1" x14ac:dyDescent="0.15">
      <c r="A68" s="133" t="s">
        <v>99</v>
      </c>
      <c r="B68" s="133"/>
      <c r="C68" s="133"/>
      <c r="D68" s="133"/>
      <c r="E68" s="133"/>
      <c r="F68" s="133"/>
      <c r="G68" s="133"/>
      <c r="H68" s="133"/>
      <c r="I68" s="133"/>
      <c r="J68" s="133"/>
      <c r="K68" s="133"/>
      <c r="L68" s="133"/>
      <c r="M68" s="133"/>
      <c r="N68" s="133"/>
      <c r="O68" s="133"/>
      <c r="P68" s="133"/>
      <c r="Q68" s="133"/>
      <c r="R68" s="133"/>
      <c r="S68" s="133"/>
      <c r="T68" s="133"/>
      <c r="U68" s="133"/>
    </row>
    <row r="69" spans="1:27" ht="18" customHeight="1" x14ac:dyDescent="0.15">
      <c r="A69" s="133"/>
      <c r="B69" s="133"/>
      <c r="C69" s="133"/>
      <c r="D69" s="133"/>
      <c r="E69" s="133"/>
      <c r="F69" s="133"/>
      <c r="G69" s="133"/>
      <c r="H69" s="133"/>
      <c r="I69" s="133"/>
      <c r="J69" s="133"/>
      <c r="K69" s="133"/>
      <c r="L69" s="133"/>
      <c r="M69" s="133"/>
      <c r="N69" s="133"/>
      <c r="O69" s="133"/>
      <c r="P69" s="133"/>
      <c r="Q69" s="133"/>
      <c r="R69" s="133"/>
      <c r="S69" s="133"/>
      <c r="T69" s="133"/>
      <c r="U69" s="133"/>
    </row>
    <row r="70" spans="1:27" ht="18" customHeight="1" x14ac:dyDescent="0.15">
      <c r="B70" s="115" t="s">
        <v>47</v>
      </c>
      <c r="C70" s="116"/>
      <c r="D70" s="116"/>
      <c r="E70" s="116"/>
      <c r="F70" s="14" t="s">
        <v>72</v>
      </c>
      <c r="G70" s="15" t="s">
        <v>75</v>
      </c>
      <c r="H70" s="16" t="s">
        <v>86</v>
      </c>
      <c r="I70" s="16" t="s">
        <v>67</v>
      </c>
      <c r="J70" s="16" t="s">
        <v>68</v>
      </c>
      <c r="K70" s="115" t="s">
        <v>47</v>
      </c>
      <c r="L70" s="116"/>
      <c r="M70" s="116"/>
      <c r="N70" s="116"/>
      <c r="O70" s="116"/>
      <c r="P70" s="117"/>
      <c r="Q70" s="14" t="s">
        <v>72</v>
      </c>
      <c r="R70" s="15" t="s">
        <v>75</v>
      </c>
      <c r="S70" s="16" t="s">
        <v>86</v>
      </c>
      <c r="T70" s="16" t="s">
        <v>67</v>
      </c>
      <c r="U70" s="16" t="s">
        <v>68</v>
      </c>
    </row>
    <row r="71" spans="1:27" ht="18" customHeight="1" x14ac:dyDescent="0.15">
      <c r="A71" s="6"/>
      <c r="B71" s="124" t="s">
        <v>144</v>
      </c>
      <c r="C71" s="125"/>
      <c r="D71" s="125"/>
      <c r="E71" s="125"/>
      <c r="F71" s="17">
        <v>1</v>
      </c>
      <c r="G71" s="17" t="s">
        <v>145</v>
      </c>
      <c r="H71" s="17" t="s">
        <v>145</v>
      </c>
      <c r="I71" s="17" t="s">
        <v>145</v>
      </c>
      <c r="J71" s="17"/>
      <c r="K71" s="124"/>
      <c r="L71" s="125"/>
      <c r="M71" s="125"/>
      <c r="N71" s="125"/>
      <c r="O71" s="125"/>
      <c r="P71" s="126"/>
      <c r="Q71" s="17"/>
      <c r="R71" s="17"/>
      <c r="S71" s="17"/>
      <c r="T71" s="17"/>
      <c r="U71" s="17"/>
    </row>
    <row r="72" spans="1:27" ht="18" customHeight="1" x14ac:dyDescent="0.15">
      <c r="A72" s="6"/>
      <c r="B72" s="118" t="s">
        <v>204</v>
      </c>
      <c r="C72" s="119"/>
      <c r="D72" s="119"/>
      <c r="E72" s="119"/>
      <c r="F72" s="18">
        <v>1</v>
      </c>
      <c r="G72" s="18" t="s">
        <v>145</v>
      </c>
      <c r="H72" s="18" t="s">
        <v>145</v>
      </c>
      <c r="I72" s="18" t="s">
        <v>145</v>
      </c>
      <c r="J72" s="18" t="s">
        <v>145</v>
      </c>
      <c r="K72" s="118"/>
      <c r="L72" s="119"/>
      <c r="M72" s="119"/>
      <c r="N72" s="119"/>
      <c r="O72" s="119"/>
      <c r="P72" s="120"/>
      <c r="Q72" s="18"/>
      <c r="R72" s="18"/>
      <c r="S72" s="18"/>
      <c r="T72" s="18"/>
      <c r="U72" s="18"/>
    </row>
    <row r="73" spans="1:27" ht="18" customHeight="1" x14ac:dyDescent="0.15">
      <c r="A73" s="6"/>
      <c r="B73" s="118"/>
      <c r="C73" s="119"/>
      <c r="D73" s="119"/>
      <c r="E73" s="119"/>
      <c r="F73" s="18"/>
      <c r="G73" s="18"/>
      <c r="H73" s="18"/>
      <c r="I73" s="18"/>
      <c r="J73" s="18"/>
      <c r="K73" s="118"/>
      <c r="L73" s="119"/>
      <c r="M73" s="119"/>
      <c r="N73" s="119"/>
      <c r="O73" s="119"/>
      <c r="P73" s="120"/>
      <c r="Q73" s="18"/>
      <c r="R73" s="18"/>
      <c r="S73" s="18"/>
      <c r="T73" s="18"/>
      <c r="U73" s="18"/>
    </row>
    <row r="74" spans="1:27" ht="18" customHeight="1" x14ac:dyDescent="0.15">
      <c r="A74" s="6"/>
      <c r="B74" s="118"/>
      <c r="C74" s="119"/>
      <c r="D74" s="119"/>
      <c r="E74" s="119"/>
      <c r="F74" s="18"/>
      <c r="G74" s="18"/>
      <c r="H74" s="18"/>
      <c r="I74" s="18"/>
      <c r="J74" s="18"/>
      <c r="K74" s="118"/>
      <c r="L74" s="119"/>
      <c r="M74" s="119"/>
      <c r="N74" s="119"/>
      <c r="O74" s="119"/>
      <c r="P74" s="120"/>
      <c r="Q74" s="18"/>
      <c r="R74" s="18"/>
      <c r="S74" s="18"/>
      <c r="T74" s="18"/>
      <c r="U74" s="18"/>
    </row>
    <row r="75" spans="1:27" ht="18" customHeight="1" x14ac:dyDescent="0.15">
      <c r="A75" s="6"/>
      <c r="B75" s="118"/>
      <c r="C75" s="119"/>
      <c r="D75" s="119"/>
      <c r="E75" s="119"/>
      <c r="F75" s="18"/>
      <c r="G75" s="18"/>
      <c r="H75" s="18"/>
      <c r="I75" s="18"/>
      <c r="J75" s="18"/>
      <c r="K75" s="118"/>
      <c r="L75" s="119"/>
      <c r="M75" s="119"/>
      <c r="N75" s="119"/>
      <c r="O75" s="119"/>
      <c r="P75" s="120"/>
      <c r="Q75" s="18"/>
      <c r="R75" s="18"/>
      <c r="S75" s="18"/>
      <c r="T75" s="18"/>
      <c r="U75" s="18"/>
    </row>
    <row r="76" spans="1:27" ht="18" customHeight="1" x14ac:dyDescent="0.15">
      <c r="A76" s="6"/>
      <c r="B76" s="118"/>
      <c r="C76" s="119"/>
      <c r="D76" s="119"/>
      <c r="E76" s="119"/>
      <c r="F76" s="18"/>
      <c r="G76" s="18"/>
      <c r="H76" s="18"/>
      <c r="I76" s="18"/>
      <c r="J76" s="18"/>
      <c r="K76" s="118"/>
      <c r="L76" s="119"/>
      <c r="M76" s="119"/>
      <c r="N76" s="119"/>
      <c r="O76" s="119"/>
      <c r="P76" s="120"/>
      <c r="Q76" s="18"/>
      <c r="R76" s="18"/>
      <c r="S76" s="18"/>
      <c r="T76" s="18"/>
      <c r="U76" s="18"/>
    </row>
    <row r="77" spans="1:27" ht="18" customHeight="1" x14ac:dyDescent="0.15">
      <c r="A77" s="6"/>
      <c r="B77" s="107"/>
      <c r="C77" s="108"/>
      <c r="D77" s="108"/>
      <c r="E77" s="108"/>
      <c r="F77" s="19"/>
      <c r="G77" s="19"/>
      <c r="H77" s="20"/>
      <c r="I77" s="20"/>
      <c r="J77" s="20"/>
      <c r="K77" s="107"/>
      <c r="L77" s="108"/>
      <c r="M77" s="108"/>
      <c r="N77" s="108"/>
      <c r="O77" s="108"/>
      <c r="P77" s="109"/>
      <c r="Q77" s="19"/>
      <c r="R77" s="19"/>
      <c r="S77" s="20"/>
      <c r="T77" s="20"/>
      <c r="U77" s="20"/>
    </row>
    <row r="78" spans="1:27" ht="7.5" customHeight="1" x14ac:dyDescent="0.15">
      <c r="B78" s="91"/>
      <c r="C78" s="91"/>
      <c r="D78" s="91"/>
      <c r="E78" s="91"/>
      <c r="F78" s="91"/>
      <c r="G78" s="91"/>
      <c r="H78" s="91"/>
      <c r="I78" s="91"/>
      <c r="J78" s="91"/>
      <c r="K78" s="91"/>
      <c r="L78" s="91"/>
      <c r="M78" s="91"/>
      <c r="N78" s="91"/>
      <c r="O78" s="91"/>
      <c r="P78" s="91"/>
      <c r="Q78" s="91"/>
      <c r="R78" s="91"/>
      <c r="S78" s="91"/>
      <c r="T78" s="91"/>
    </row>
    <row r="79" spans="1:27" ht="18" customHeight="1" x14ac:dyDescent="0.15">
      <c r="A79" s="8" t="s">
        <v>100</v>
      </c>
      <c r="I79" s="6"/>
      <c r="J79" s="6"/>
      <c r="K79" s="6"/>
      <c r="L79" s="6"/>
      <c r="M79" s="6"/>
      <c r="N79" s="6"/>
      <c r="O79" s="6"/>
      <c r="P79" s="6"/>
      <c r="Q79" s="6"/>
      <c r="R79" s="6"/>
      <c r="S79" s="6"/>
      <c r="T79" s="6"/>
      <c r="U79" s="6"/>
    </row>
    <row r="80" spans="1:27" ht="18" customHeight="1" x14ac:dyDescent="0.15">
      <c r="B80" s="115" t="s">
        <v>47</v>
      </c>
      <c r="C80" s="116"/>
      <c r="D80" s="116"/>
      <c r="E80" s="116"/>
      <c r="F80" s="117"/>
      <c r="G80" s="115" t="s">
        <v>73</v>
      </c>
      <c r="H80" s="116"/>
      <c r="I80" s="116"/>
      <c r="J80" s="117"/>
      <c r="K80" s="130" t="s">
        <v>47</v>
      </c>
      <c r="L80" s="131"/>
      <c r="M80" s="131"/>
      <c r="N80" s="131"/>
      <c r="O80" s="131"/>
      <c r="P80" s="131"/>
      <c r="Q80" s="132"/>
      <c r="R80" s="115" t="s">
        <v>73</v>
      </c>
      <c r="S80" s="116"/>
      <c r="T80" s="116"/>
      <c r="U80" s="117"/>
      <c r="AA80" s="8" t="s">
        <v>137</v>
      </c>
    </row>
    <row r="81" spans="1:27" ht="18" customHeight="1" x14ac:dyDescent="0.15">
      <c r="A81" s="6"/>
      <c r="B81" s="124"/>
      <c r="C81" s="125"/>
      <c r="D81" s="125"/>
      <c r="E81" s="125"/>
      <c r="F81" s="126"/>
      <c r="G81" s="127"/>
      <c r="H81" s="128"/>
      <c r="I81" s="128"/>
      <c r="J81" s="129"/>
      <c r="K81" s="124"/>
      <c r="L81" s="125"/>
      <c r="M81" s="125"/>
      <c r="N81" s="125"/>
      <c r="O81" s="125"/>
      <c r="P81" s="125"/>
      <c r="Q81" s="126"/>
      <c r="R81" s="127"/>
      <c r="S81" s="128"/>
      <c r="T81" s="128"/>
      <c r="U81" s="129"/>
      <c r="AA81" s="8" t="s">
        <v>130</v>
      </c>
    </row>
    <row r="82" spans="1:27" ht="18" customHeight="1" x14ac:dyDescent="0.15">
      <c r="A82" s="6"/>
      <c r="B82" s="118"/>
      <c r="C82" s="119"/>
      <c r="D82" s="119"/>
      <c r="E82" s="119"/>
      <c r="F82" s="120"/>
      <c r="G82" s="121"/>
      <c r="H82" s="122"/>
      <c r="I82" s="122"/>
      <c r="J82" s="123"/>
      <c r="K82" s="118"/>
      <c r="L82" s="119"/>
      <c r="M82" s="119"/>
      <c r="N82" s="119"/>
      <c r="O82" s="119"/>
      <c r="P82" s="119"/>
      <c r="Q82" s="120"/>
      <c r="R82" s="121"/>
      <c r="S82" s="122"/>
      <c r="T82" s="122"/>
      <c r="U82" s="123"/>
      <c r="AA82" s="8" t="s">
        <v>131</v>
      </c>
    </row>
    <row r="83" spans="1:27" ht="18" customHeight="1" x14ac:dyDescent="0.15">
      <c r="A83" s="6"/>
      <c r="B83" s="118"/>
      <c r="C83" s="119"/>
      <c r="D83" s="119"/>
      <c r="E83" s="119"/>
      <c r="F83" s="120"/>
      <c r="G83" s="121"/>
      <c r="H83" s="122"/>
      <c r="I83" s="122"/>
      <c r="J83" s="123"/>
      <c r="K83" s="118"/>
      <c r="L83" s="119"/>
      <c r="M83" s="119"/>
      <c r="N83" s="119"/>
      <c r="O83" s="119"/>
      <c r="P83" s="119"/>
      <c r="Q83" s="120"/>
      <c r="R83" s="121"/>
      <c r="S83" s="122"/>
      <c r="T83" s="122"/>
      <c r="U83" s="123"/>
      <c r="AA83" s="8" t="s">
        <v>132</v>
      </c>
    </row>
    <row r="84" spans="1:27" ht="18" customHeight="1" x14ac:dyDescent="0.15">
      <c r="A84" s="6"/>
      <c r="B84" s="118"/>
      <c r="C84" s="119"/>
      <c r="D84" s="119"/>
      <c r="E84" s="119"/>
      <c r="F84" s="120"/>
      <c r="G84" s="121"/>
      <c r="H84" s="122"/>
      <c r="I84" s="122"/>
      <c r="J84" s="123"/>
      <c r="K84" s="118"/>
      <c r="L84" s="119"/>
      <c r="M84" s="119"/>
      <c r="N84" s="119"/>
      <c r="O84" s="119"/>
      <c r="P84" s="119"/>
      <c r="Q84" s="120"/>
      <c r="R84" s="121"/>
      <c r="S84" s="122"/>
      <c r="T84" s="122"/>
      <c r="U84" s="123"/>
      <c r="AA84" s="8" t="s">
        <v>138</v>
      </c>
    </row>
    <row r="85" spans="1:27" ht="18" customHeight="1" x14ac:dyDescent="0.15">
      <c r="A85" s="6"/>
      <c r="B85" s="118"/>
      <c r="C85" s="119"/>
      <c r="D85" s="119"/>
      <c r="E85" s="119"/>
      <c r="F85" s="120"/>
      <c r="G85" s="121"/>
      <c r="H85" s="122"/>
      <c r="I85" s="122"/>
      <c r="J85" s="123"/>
      <c r="K85" s="118"/>
      <c r="L85" s="119"/>
      <c r="M85" s="119"/>
      <c r="N85" s="119"/>
      <c r="O85" s="119"/>
      <c r="P85" s="119"/>
      <c r="Q85" s="120"/>
      <c r="R85" s="121"/>
      <c r="S85" s="122"/>
      <c r="T85" s="122"/>
      <c r="U85" s="123"/>
      <c r="AA85" s="8" t="s">
        <v>139</v>
      </c>
    </row>
    <row r="86" spans="1:27" ht="18" customHeight="1" x14ac:dyDescent="0.15">
      <c r="A86" s="6"/>
      <c r="B86" s="118"/>
      <c r="C86" s="119"/>
      <c r="D86" s="119"/>
      <c r="E86" s="119"/>
      <c r="F86" s="120"/>
      <c r="G86" s="121"/>
      <c r="H86" s="122"/>
      <c r="I86" s="122"/>
      <c r="J86" s="123"/>
      <c r="K86" s="118"/>
      <c r="L86" s="119"/>
      <c r="M86" s="119"/>
      <c r="N86" s="119"/>
      <c r="O86" s="119"/>
      <c r="P86" s="119"/>
      <c r="Q86" s="120"/>
      <c r="R86" s="121"/>
      <c r="S86" s="122"/>
      <c r="T86" s="122"/>
      <c r="U86" s="123"/>
      <c r="AA86" s="8" t="s">
        <v>133</v>
      </c>
    </row>
    <row r="87" spans="1:27" ht="18" customHeight="1" x14ac:dyDescent="0.15">
      <c r="A87" s="6"/>
      <c r="B87" s="107"/>
      <c r="C87" s="108"/>
      <c r="D87" s="108"/>
      <c r="E87" s="108"/>
      <c r="F87" s="109"/>
      <c r="G87" s="110"/>
      <c r="H87" s="111"/>
      <c r="I87" s="111"/>
      <c r="J87" s="112"/>
      <c r="K87" s="107"/>
      <c r="L87" s="108"/>
      <c r="M87" s="108"/>
      <c r="N87" s="108"/>
      <c r="O87" s="108"/>
      <c r="P87" s="108"/>
      <c r="Q87" s="109"/>
      <c r="R87" s="110"/>
      <c r="S87" s="111"/>
      <c r="T87" s="111"/>
      <c r="U87" s="112"/>
      <c r="AA87" s="8" t="s">
        <v>134</v>
      </c>
    </row>
    <row r="88" spans="1:27" ht="18" customHeight="1" x14ac:dyDescent="0.15">
      <c r="A88" s="6"/>
      <c r="B88" s="11"/>
      <c r="C88" s="11"/>
      <c r="D88" s="11"/>
      <c r="E88" s="11"/>
      <c r="F88" s="11"/>
      <c r="G88" s="21"/>
      <c r="H88" s="21"/>
      <c r="I88" s="21"/>
      <c r="J88" s="21"/>
      <c r="K88" s="11"/>
      <c r="L88" s="11"/>
      <c r="M88" s="11"/>
      <c r="N88" s="11"/>
      <c r="O88" s="11"/>
      <c r="P88" s="11"/>
      <c r="Q88" s="11"/>
      <c r="R88" s="21"/>
      <c r="S88" s="21"/>
      <c r="T88" s="21"/>
      <c r="U88" s="21"/>
      <c r="AA88" s="8" t="s">
        <v>135</v>
      </c>
    </row>
    <row r="89" spans="1:27" ht="18.75" customHeight="1" x14ac:dyDescent="0.15">
      <c r="A89" s="8" t="s">
        <v>101</v>
      </c>
      <c r="AA89" s="8" t="s">
        <v>136</v>
      </c>
    </row>
    <row r="90" spans="1:27" ht="18.75" customHeight="1" x14ac:dyDescent="0.15">
      <c r="B90" s="113" t="s">
        <v>48</v>
      </c>
      <c r="C90" s="114"/>
      <c r="D90" s="115" t="s">
        <v>49</v>
      </c>
      <c r="E90" s="116"/>
      <c r="F90" s="116"/>
      <c r="G90" s="116"/>
      <c r="H90" s="116"/>
      <c r="I90" s="116"/>
      <c r="J90" s="116"/>
      <c r="K90" s="116"/>
      <c r="L90" s="116"/>
      <c r="M90" s="116"/>
      <c r="N90" s="116"/>
      <c r="O90" s="116"/>
      <c r="P90" s="116"/>
      <c r="Q90" s="116"/>
      <c r="R90" s="116"/>
      <c r="S90" s="116"/>
      <c r="T90" s="116"/>
      <c r="U90" s="117"/>
    </row>
    <row r="91" spans="1:27" ht="115.5" customHeight="1" x14ac:dyDescent="0.15">
      <c r="B91" s="92" t="s">
        <v>55</v>
      </c>
      <c r="C91" s="22" t="s">
        <v>50</v>
      </c>
      <c r="D91" s="95" t="s">
        <v>181</v>
      </c>
      <c r="E91" s="96"/>
      <c r="F91" s="96"/>
      <c r="G91" s="96"/>
      <c r="H91" s="96"/>
      <c r="I91" s="96"/>
      <c r="J91" s="96"/>
      <c r="K91" s="96"/>
      <c r="L91" s="96"/>
      <c r="M91" s="96"/>
      <c r="N91" s="96"/>
      <c r="O91" s="96"/>
      <c r="P91" s="96"/>
      <c r="Q91" s="96"/>
      <c r="R91" s="96"/>
      <c r="S91" s="96"/>
      <c r="T91" s="96"/>
      <c r="U91" s="97"/>
    </row>
    <row r="92" spans="1:27" ht="97.5" customHeight="1" x14ac:dyDescent="0.15">
      <c r="B92" s="93"/>
      <c r="C92" s="23" t="s">
        <v>69</v>
      </c>
      <c r="D92" s="101" t="s">
        <v>182</v>
      </c>
      <c r="E92" s="102"/>
      <c r="F92" s="102"/>
      <c r="G92" s="102"/>
      <c r="H92" s="102"/>
      <c r="I92" s="102"/>
      <c r="J92" s="102"/>
      <c r="K92" s="102"/>
      <c r="L92" s="102"/>
      <c r="M92" s="102"/>
      <c r="N92" s="102"/>
      <c r="O92" s="102"/>
      <c r="P92" s="102"/>
      <c r="Q92" s="102"/>
      <c r="R92" s="102"/>
      <c r="S92" s="102"/>
      <c r="T92" s="102"/>
      <c r="U92" s="103"/>
    </row>
    <row r="93" spans="1:27" ht="97.5" customHeight="1" x14ac:dyDescent="0.15">
      <c r="B93" s="92" t="s">
        <v>56</v>
      </c>
      <c r="C93" s="24" t="s">
        <v>63</v>
      </c>
      <c r="D93" s="95" t="s">
        <v>146</v>
      </c>
      <c r="E93" s="96"/>
      <c r="F93" s="96"/>
      <c r="G93" s="96"/>
      <c r="H93" s="96"/>
      <c r="I93" s="96"/>
      <c r="J93" s="96"/>
      <c r="K93" s="96"/>
      <c r="L93" s="96"/>
      <c r="M93" s="96"/>
      <c r="N93" s="96"/>
      <c r="O93" s="96"/>
      <c r="P93" s="96"/>
      <c r="Q93" s="96"/>
      <c r="R93" s="96"/>
      <c r="S93" s="96"/>
      <c r="T93" s="96"/>
      <c r="U93" s="97"/>
    </row>
    <row r="94" spans="1:27" ht="97.5" customHeight="1" x14ac:dyDescent="0.15">
      <c r="B94" s="94"/>
      <c r="C94" s="25" t="s">
        <v>64</v>
      </c>
      <c r="D94" s="101" t="s">
        <v>183</v>
      </c>
      <c r="E94" s="102"/>
      <c r="F94" s="102"/>
      <c r="G94" s="102"/>
      <c r="H94" s="102"/>
      <c r="I94" s="102"/>
      <c r="J94" s="102"/>
      <c r="K94" s="102"/>
      <c r="L94" s="102"/>
      <c r="M94" s="102"/>
      <c r="N94" s="102"/>
      <c r="O94" s="102"/>
      <c r="P94" s="102"/>
      <c r="Q94" s="102"/>
      <c r="R94" s="102"/>
      <c r="S94" s="102"/>
      <c r="T94" s="102"/>
      <c r="U94" s="103"/>
    </row>
    <row r="95" spans="1:27" ht="133.5" customHeight="1" x14ac:dyDescent="0.15">
      <c r="B95" s="92" t="s">
        <v>57</v>
      </c>
      <c r="C95" s="24" t="s">
        <v>65</v>
      </c>
      <c r="D95" s="95" t="s">
        <v>184</v>
      </c>
      <c r="E95" s="96"/>
      <c r="F95" s="96"/>
      <c r="G95" s="96"/>
      <c r="H95" s="96"/>
      <c r="I95" s="96"/>
      <c r="J95" s="96"/>
      <c r="K95" s="96"/>
      <c r="L95" s="96"/>
      <c r="M95" s="96"/>
      <c r="N95" s="96"/>
      <c r="O95" s="96"/>
      <c r="P95" s="96"/>
      <c r="Q95" s="96"/>
      <c r="R95" s="96"/>
      <c r="S95" s="96"/>
      <c r="T95" s="96"/>
      <c r="U95" s="97"/>
    </row>
    <row r="96" spans="1:27" ht="97.5" customHeight="1" x14ac:dyDescent="0.15">
      <c r="B96" s="94"/>
      <c r="C96" s="26" t="s">
        <v>66</v>
      </c>
      <c r="D96" s="101" t="s">
        <v>147</v>
      </c>
      <c r="E96" s="102"/>
      <c r="F96" s="102"/>
      <c r="G96" s="102"/>
      <c r="H96" s="102"/>
      <c r="I96" s="102"/>
      <c r="J96" s="102"/>
      <c r="K96" s="102"/>
      <c r="L96" s="102"/>
      <c r="M96" s="102"/>
      <c r="N96" s="102"/>
      <c r="O96" s="102"/>
      <c r="P96" s="102"/>
      <c r="Q96" s="102"/>
      <c r="R96" s="102"/>
      <c r="S96" s="102"/>
      <c r="T96" s="102"/>
      <c r="U96" s="103"/>
    </row>
    <row r="97" spans="1:21" ht="149.44999999999999" customHeight="1" x14ac:dyDescent="0.15">
      <c r="B97" s="92" t="s">
        <v>70</v>
      </c>
      <c r="C97" s="22" t="s">
        <v>52</v>
      </c>
      <c r="D97" s="95" t="s">
        <v>221</v>
      </c>
      <c r="E97" s="96"/>
      <c r="F97" s="96"/>
      <c r="G97" s="96"/>
      <c r="H97" s="96"/>
      <c r="I97" s="96"/>
      <c r="J97" s="96"/>
      <c r="K97" s="96"/>
      <c r="L97" s="96"/>
      <c r="M97" s="96"/>
      <c r="N97" s="96"/>
      <c r="O97" s="96"/>
      <c r="P97" s="96"/>
      <c r="Q97" s="96"/>
      <c r="R97" s="96"/>
      <c r="S97" s="96"/>
      <c r="T97" s="96"/>
      <c r="U97" s="97"/>
    </row>
    <row r="98" spans="1:21" ht="97.5" customHeight="1" x14ac:dyDescent="0.15">
      <c r="B98" s="94"/>
      <c r="C98" s="25" t="s">
        <v>54</v>
      </c>
      <c r="D98" s="101" t="s">
        <v>223</v>
      </c>
      <c r="E98" s="102"/>
      <c r="F98" s="102"/>
      <c r="G98" s="102"/>
      <c r="H98" s="102"/>
      <c r="I98" s="102"/>
      <c r="J98" s="102"/>
      <c r="K98" s="102"/>
      <c r="L98" s="102"/>
      <c r="M98" s="102"/>
      <c r="N98" s="102"/>
      <c r="O98" s="102"/>
      <c r="P98" s="102"/>
      <c r="Q98" s="102"/>
      <c r="R98" s="102"/>
      <c r="S98" s="102"/>
      <c r="T98" s="102"/>
      <c r="U98" s="103"/>
    </row>
    <row r="99" spans="1:21" ht="260.45" customHeight="1" x14ac:dyDescent="0.15">
      <c r="B99" s="92" t="s">
        <v>71</v>
      </c>
      <c r="C99" s="24" t="s">
        <v>51</v>
      </c>
      <c r="D99" s="95" t="s">
        <v>205</v>
      </c>
      <c r="E99" s="96"/>
      <c r="F99" s="96"/>
      <c r="G99" s="96"/>
      <c r="H99" s="96"/>
      <c r="I99" s="96"/>
      <c r="J99" s="96"/>
      <c r="K99" s="96"/>
      <c r="L99" s="96"/>
      <c r="M99" s="96"/>
      <c r="N99" s="96"/>
      <c r="O99" s="96"/>
      <c r="P99" s="96"/>
      <c r="Q99" s="96"/>
      <c r="R99" s="96"/>
      <c r="S99" s="96"/>
      <c r="T99" s="96"/>
      <c r="U99" s="97"/>
    </row>
    <row r="100" spans="1:21" ht="153" customHeight="1" x14ac:dyDescent="0.15">
      <c r="B100" s="93"/>
      <c r="C100" s="27" t="s">
        <v>67</v>
      </c>
      <c r="D100" s="98" t="s">
        <v>206</v>
      </c>
      <c r="E100" s="99"/>
      <c r="F100" s="99"/>
      <c r="G100" s="99"/>
      <c r="H100" s="99"/>
      <c r="I100" s="99"/>
      <c r="J100" s="99"/>
      <c r="K100" s="99"/>
      <c r="L100" s="99"/>
      <c r="M100" s="99"/>
      <c r="N100" s="99"/>
      <c r="O100" s="99"/>
      <c r="P100" s="99"/>
      <c r="Q100" s="99"/>
      <c r="R100" s="99"/>
      <c r="S100" s="99"/>
      <c r="T100" s="99"/>
      <c r="U100" s="100"/>
    </row>
    <row r="101" spans="1:21" ht="84" customHeight="1" x14ac:dyDescent="0.15">
      <c r="B101" s="94"/>
      <c r="C101" s="26" t="s">
        <v>68</v>
      </c>
      <c r="D101" s="101" t="s">
        <v>207</v>
      </c>
      <c r="E101" s="102"/>
      <c r="F101" s="102"/>
      <c r="G101" s="102"/>
      <c r="H101" s="102"/>
      <c r="I101" s="102"/>
      <c r="J101" s="102"/>
      <c r="K101" s="102"/>
      <c r="L101" s="102"/>
      <c r="M101" s="102"/>
      <c r="N101" s="102"/>
      <c r="O101" s="102"/>
      <c r="P101" s="102"/>
      <c r="Q101" s="102"/>
      <c r="R101" s="102"/>
      <c r="S101" s="102"/>
      <c r="T101" s="102"/>
      <c r="U101" s="103"/>
    </row>
    <row r="102" spans="1:21" ht="6" customHeight="1" x14ac:dyDescent="0.15"/>
    <row r="103" spans="1:21" ht="18.75" customHeight="1" x14ac:dyDescent="0.15">
      <c r="A103" s="8" t="s">
        <v>102</v>
      </c>
    </row>
    <row r="104" spans="1:21" ht="95.1" customHeight="1" x14ac:dyDescent="0.15">
      <c r="B104" s="104" t="s">
        <v>225</v>
      </c>
      <c r="C104" s="105"/>
      <c r="D104" s="105"/>
      <c r="E104" s="105"/>
      <c r="F104" s="105"/>
      <c r="G104" s="105"/>
      <c r="H104" s="105"/>
      <c r="I104" s="105"/>
      <c r="J104" s="105"/>
      <c r="K104" s="105"/>
      <c r="L104" s="105"/>
      <c r="M104" s="105"/>
      <c r="N104" s="105"/>
      <c r="O104" s="105"/>
      <c r="P104" s="105"/>
      <c r="Q104" s="105"/>
      <c r="R104" s="105"/>
      <c r="S104" s="105"/>
      <c r="T104" s="105"/>
      <c r="U104" s="106"/>
    </row>
    <row r="107" spans="1:21" ht="18" customHeight="1" x14ac:dyDescent="0.15"/>
  </sheetData>
  <mergeCells count="144">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R80:U80"/>
    <mergeCell ref="B81:F81"/>
    <mergeCell ref="G81:J81"/>
    <mergeCell ref="K81:Q81"/>
    <mergeCell ref="R81:U81"/>
    <mergeCell ref="B82:F82"/>
    <mergeCell ref="G82:J82"/>
    <mergeCell ref="K82:Q82"/>
    <mergeCell ref="R82:U82"/>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91:B92"/>
    <mergeCell ref="D91:U91"/>
    <mergeCell ref="D92:U92"/>
    <mergeCell ref="B93:B94"/>
    <mergeCell ref="D93:U93"/>
    <mergeCell ref="D94:U94"/>
    <mergeCell ref="B87:F87"/>
    <mergeCell ref="G87:J87"/>
    <mergeCell ref="K87:Q87"/>
    <mergeCell ref="R87:U87"/>
    <mergeCell ref="B90:C90"/>
    <mergeCell ref="D90:U90"/>
    <mergeCell ref="B99:B101"/>
    <mergeCell ref="D99:U99"/>
    <mergeCell ref="D100:U100"/>
    <mergeCell ref="D101:U101"/>
    <mergeCell ref="B104:U104"/>
    <mergeCell ref="B95:B96"/>
    <mergeCell ref="D95:U95"/>
    <mergeCell ref="D96:U96"/>
    <mergeCell ref="B97:B98"/>
    <mergeCell ref="D97:U97"/>
    <mergeCell ref="D98:U9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G81:J87 R81:U87" xr:uid="{00000000-0002-0000-0400-000000000000}">
      <formula1>$AA$80:$AA$89</formula1>
    </dataValidation>
    <dataValidation type="list" allowBlank="1" showInputMessage="1" showErrorMessage="1" sqref="N22:U22" xr:uid="{00000000-0002-0000-0400-000001000000}">
      <formula1>$X$16:$X$18</formula1>
    </dataValidation>
    <dataValidation type="list" allowBlank="1" showInputMessage="1" showErrorMessage="1" sqref="G88:J88 R88:U88" xr:uid="{00000000-0002-0000-0400-000002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00000000-0002-0000-0400-000003000000}">
      <formula1>"学部・学科によって、修了要件は相違する,学部・学科によって、修了要件は相違しない"</formula1>
    </dataValidation>
    <dataValidation type="list" allowBlank="1" showInputMessage="1" showErrorMessage="1" sqref="U34 U45 E34:H34 E45:H45" xr:uid="{00000000-0002-0000-0400-000004000000}">
      <formula1>"全学開講,一部開講"</formula1>
    </dataValidation>
    <dataValidation type="list" allowBlank="1" showInputMessage="1" showErrorMessage="1" sqref="H60:J66 S27:U33 H27:J33 S38:U44 H38:J44 S49:U55 H49:J55 S60:U66 G71:J77 R71:U77" xr:uid="{00000000-0002-0000-0400-000005000000}">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33"/>
  <sheetViews>
    <sheetView view="pageBreakPreview" topLeftCell="A10" zoomScaleNormal="100" zoomScaleSheetLayoutView="100" workbookViewId="0">
      <selection activeCell="A10" sqref="A1:XFD1048576"/>
    </sheetView>
  </sheetViews>
  <sheetFormatPr defaultColWidth="9" defaultRowHeight="18.75" customHeight="1" x14ac:dyDescent="0.15"/>
  <cols>
    <col min="1" max="1" width="2.875" style="89" customWidth="1"/>
    <col min="2" max="2" width="27.875" style="89" customWidth="1"/>
    <col min="3" max="18" width="6.125" style="89" customWidth="1"/>
    <col min="19" max="19" width="6.625" style="89" customWidth="1"/>
    <col min="20" max="16384" width="9" style="89"/>
  </cols>
  <sheetData>
    <row r="1" spans="1:21" ht="18" customHeight="1" x14ac:dyDescent="0.15">
      <c r="S1" s="89" t="s">
        <v>91</v>
      </c>
    </row>
    <row r="2" spans="1:21" ht="18" customHeight="1" x14ac:dyDescent="0.15">
      <c r="Q2" s="170" t="s">
        <v>214</v>
      </c>
      <c r="R2" s="170"/>
      <c r="S2" s="170"/>
    </row>
    <row r="3" spans="1:21" ht="18" customHeight="1" x14ac:dyDescent="0.15">
      <c r="A3" s="171" t="s">
        <v>141</v>
      </c>
      <c r="B3" s="171"/>
      <c r="C3" s="171"/>
      <c r="D3" s="171"/>
      <c r="E3" s="171"/>
      <c r="F3" s="171"/>
      <c r="G3" s="171"/>
      <c r="H3" s="171"/>
      <c r="I3" s="171"/>
      <c r="J3" s="171"/>
      <c r="K3" s="171"/>
      <c r="L3" s="171"/>
      <c r="M3" s="171"/>
      <c r="N3" s="171"/>
      <c r="O3" s="171"/>
      <c r="P3" s="171"/>
      <c r="Q3" s="171"/>
      <c r="R3" s="171"/>
      <c r="S3" s="171"/>
    </row>
    <row r="4" spans="1:21" ht="7.5" customHeight="1" x14ac:dyDescent="0.15">
      <c r="A4" s="88"/>
      <c r="B4" s="88"/>
      <c r="C4" s="88"/>
      <c r="D4" s="88"/>
      <c r="E4" s="88"/>
      <c r="F4" s="88"/>
      <c r="G4" s="88"/>
      <c r="H4" s="88"/>
      <c r="I4" s="88"/>
      <c r="J4" s="88"/>
      <c r="K4" s="88"/>
      <c r="L4" s="88"/>
      <c r="M4" s="88"/>
      <c r="N4" s="88"/>
      <c r="O4" s="88"/>
      <c r="P4" s="88"/>
      <c r="Q4" s="88"/>
      <c r="R4" s="88"/>
      <c r="S4" s="88"/>
    </row>
    <row r="5" spans="1:21" ht="18" customHeight="1" x14ac:dyDescent="0.15">
      <c r="A5" s="89" t="s">
        <v>74</v>
      </c>
      <c r="C5" s="172" t="s">
        <v>150</v>
      </c>
      <c r="D5" s="173"/>
      <c r="E5" s="2" t="s">
        <v>124</v>
      </c>
      <c r="F5" s="88"/>
      <c r="G5" s="88"/>
      <c r="H5" s="88"/>
      <c r="I5" s="88"/>
      <c r="J5" s="88"/>
      <c r="K5" s="88"/>
      <c r="L5" s="88"/>
      <c r="M5" s="88"/>
      <c r="N5" s="88"/>
      <c r="O5" s="88"/>
      <c r="P5" s="88"/>
      <c r="Q5" s="88"/>
      <c r="R5" s="1"/>
      <c r="S5" s="1"/>
    </row>
    <row r="6" spans="1:21" ht="7.35" customHeight="1" x14ac:dyDescent="0.15">
      <c r="C6" s="3"/>
      <c r="D6" s="3"/>
      <c r="E6" s="88"/>
      <c r="F6" s="88"/>
      <c r="G6" s="88"/>
      <c r="H6" s="88"/>
      <c r="I6" s="88"/>
      <c r="J6" s="88"/>
      <c r="K6" s="88"/>
      <c r="L6" s="88"/>
      <c r="M6" s="88"/>
      <c r="N6" s="88"/>
      <c r="O6" s="88"/>
      <c r="P6" s="88"/>
      <c r="Q6" s="88"/>
      <c r="R6" s="1"/>
      <c r="S6" s="1"/>
    </row>
    <row r="7" spans="1:21" ht="18" customHeight="1" x14ac:dyDescent="0.15">
      <c r="A7" s="89" t="s">
        <v>107</v>
      </c>
      <c r="C7" s="3"/>
      <c r="D7" s="3"/>
      <c r="E7" s="88" t="s">
        <v>108</v>
      </c>
      <c r="F7" s="7">
        <v>1056</v>
      </c>
      <c r="G7" s="5" t="s">
        <v>109</v>
      </c>
      <c r="H7" s="6" t="s">
        <v>110</v>
      </c>
      <c r="I7" s="7">
        <v>1886</v>
      </c>
      <c r="J7" s="5" t="s">
        <v>109</v>
      </c>
      <c r="K7" s="83" t="s">
        <v>111</v>
      </c>
      <c r="L7" s="6" t="s">
        <v>112</v>
      </c>
      <c r="M7" s="7">
        <f>F7+I7</f>
        <v>2942</v>
      </c>
      <c r="N7" s="88" t="s">
        <v>1</v>
      </c>
      <c r="O7" s="2" t="s">
        <v>113</v>
      </c>
      <c r="P7" s="88"/>
      <c r="Q7" s="88"/>
      <c r="R7" s="1"/>
      <c r="S7" s="1"/>
    </row>
    <row r="8" spans="1:21" ht="17.45" customHeight="1" x14ac:dyDescent="0.15">
      <c r="A8" s="88"/>
      <c r="B8" s="4" t="s">
        <v>127</v>
      </c>
      <c r="C8" s="88"/>
      <c r="D8" s="88"/>
      <c r="E8" s="88"/>
      <c r="F8" s="6"/>
      <c r="G8" s="6"/>
      <c r="H8" s="6"/>
      <c r="I8" s="6"/>
      <c r="J8" s="6"/>
      <c r="K8" s="6"/>
      <c r="L8" s="6"/>
      <c r="M8" s="6"/>
      <c r="N8" s="88"/>
      <c r="O8" s="88"/>
      <c r="P8" s="88"/>
      <c r="Q8" s="88"/>
      <c r="R8" s="88"/>
      <c r="S8" s="88"/>
    </row>
    <row r="9" spans="1:21" ht="18" customHeight="1" x14ac:dyDescent="0.15">
      <c r="A9" s="89" t="s">
        <v>119</v>
      </c>
      <c r="B9" s="88"/>
      <c r="C9" s="88"/>
      <c r="D9" s="88"/>
      <c r="E9" s="88"/>
      <c r="F9" s="88"/>
      <c r="G9" s="88"/>
      <c r="H9" s="88"/>
      <c r="I9" s="88"/>
      <c r="J9" s="88"/>
      <c r="K9" s="88"/>
      <c r="L9" s="88"/>
      <c r="M9" s="88"/>
      <c r="N9" s="88"/>
      <c r="O9" s="88"/>
      <c r="P9" s="88"/>
      <c r="Q9" s="88"/>
      <c r="R9" s="88"/>
      <c r="S9" s="88"/>
    </row>
    <row r="10" spans="1:21" ht="6" customHeight="1" x14ac:dyDescent="0.15">
      <c r="B10" s="88"/>
      <c r="C10" s="88"/>
      <c r="D10" s="88"/>
      <c r="E10" s="88"/>
      <c r="F10" s="88"/>
      <c r="G10" s="88"/>
      <c r="H10" s="88"/>
      <c r="I10" s="88"/>
      <c r="J10" s="88"/>
      <c r="K10" s="88"/>
      <c r="L10" s="88"/>
      <c r="M10" s="88"/>
      <c r="N10" s="88"/>
      <c r="O10" s="88"/>
      <c r="P10" s="88"/>
      <c r="Q10" s="88"/>
      <c r="R10" s="88"/>
      <c r="S10" s="88"/>
    </row>
    <row r="11" spans="1:21" ht="18" customHeight="1" x14ac:dyDescent="0.15">
      <c r="B11" s="174" t="s">
        <v>42</v>
      </c>
      <c r="C11" s="184" t="s">
        <v>77</v>
      </c>
      <c r="D11" s="176" t="s">
        <v>44</v>
      </c>
      <c r="E11" s="178" t="s">
        <v>37</v>
      </c>
      <c r="F11" s="169" t="s">
        <v>125</v>
      </c>
      <c r="G11" s="169"/>
      <c r="H11" s="169" t="s">
        <v>104</v>
      </c>
      <c r="I11" s="169"/>
      <c r="J11" s="169" t="s">
        <v>76</v>
      </c>
      <c r="K11" s="169"/>
      <c r="L11" s="169" t="s">
        <v>45</v>
      </c>
      <c r="M11" s="169"/>
      <c r="N11" s="169" t="s">
        <v>46</v>
      </c>
      <c r="O11" s="169"/>
      <c r="P11" s="169" t="s">
        <v>126</v>
      </c>
      <c r="Q11" s="169"/>
      <c r="R11" s="180" t="s">
        <v>34</v>
      </c>
      <c r="S11" s="182" t="s">
        <v>31</v>
      </c>
      <c r="U11" s="28"/>
    </row>
    <row r="12" spans="1:21" ht="17.100000000000001" customHeight="1" x14ac:dyDescent="0.15">
      <c r="B12" s="175"/>
      <c r="C12" s="185"/>
      <c r="D12" s="177"/>
      <c r="E12" s="179"/>
      <c r="F12" s="29" t="s">
        <v>85</v>
      </c>
      <c r="G12" s="29" t="s">
        <v>28</v>
      </c>
      <c r="H12" s="29" t="s">
        <v>85</v>
      </c>
      <c r="I12" s="29" t="s">
        <v>28</v>
      </c>
      <c r="J12" s="29" t="s">
        <v>85</v>
      </c>
      <c r="K12" s="29" t="s">
        <v>28</v>
      </c>
      <c r="L12" s="29" t="s">
        <v>85</v>
      </c>
      <c r="M12" s="29" t="s">
        <v>28</v>
      </c>
      <c r="N12" s="29" t="s">
        <v>85</v>
      </c>
      <c r="O12" s="29" t="s">
        <v>28</v>
      </c>
      <c r="P12" s="29" t="s">
        <v>85</v>
      </c>
      <c r="Q12" s="30" t="s">
        <v>28</v>
      </c>
      <c r="R12" s="181"/>
      <c r="S12" s="183"/>
      <c r="U12" s="28"/>
    </row>
    <row r="13" spans="1:21" ht="18" customHeight="1" x14ac:dyDescent="0.15">
      <c r="A13" s="1"/>
      <c r="B13" s="31" t="s">
        <v>167</v>
      </c>
      <c r="C13" s="32">
        <v>683</v>
      </c>
      <c r="D13" s="33">
        <v>120</v>
      </c>
      <c r="E13" s="34">
        <v>640</v>
      </c>
      <c r="F13" s="34">
        <v>129</v>
      </c>
      <c r="G13" s="34">
        <v>122</v>
      </c>
      <c r="H13" s="35"/>
      <c r="I13" s="35"/>
      <c r="J13" s="35"/>
      <c r="K13" s="35"/>
      <c r="L13" s="35"/>
      <c r="M13" s="35"/>
      <c r="N13" s="35"/>
      <c r="O13" s="35"/>
      <c r="P13" s="35"/>
      <c r="Q13" s="36"/>
      <c r="R13" s="37">
        <f>F13+H13+J13+L13+N13+P13</f>
        <v>129</v>
      </c>
      <c r="S13" s="38">
        <f>R13/E13</f>
        <v>0.20156250000000001</v>
      </c>
    </row>
    <row r="14" spans="1:21" ht="18" customHeight="1" x14ac:dyDescent="0.15">
      <c r="A14" s="1"/>
      <c r="B14" s="39" t="s">
        <v>162</v>
      </c>
      <c r="C14" s="40">
        <v>335</v>
      </c>
      <c r="D14" s="41">
        <v>70</v>
      </c>
      <c r="E14" s="42">
        <v>280</v>
      </c>
      <c r="F14" s="43">
        <v>83</v>
      </c>
      <c r="G14" s="43">
        <v>83</v>
      </c>
      <c r="H14" s="44"/>
      <c r="I14" s="43"/>
      <c r="J14" s="44"/>
      <c r="K14" s="44"/>
      <c r="L14" s="44"/>
      <c r="M14" s="44"/>
      <c r="N14" s="44"/>
      <c r="O14" s="44"/>
      <c r="P14" s="44"/>
      <c r="Q14" s="45"/>
      <c r="R14" s="46">
        <f t="shared" ref="R14:R32" si="0">F14+H14+J14+L14+N14+P14</f>
        <v>83</v>
      </c>
      <c r="S14" s="47">
        <f t="shared" ref="S14:S33" si="1">R14/E14</f>
        <v>0.29642857142857143</v>
      </c>
    </row>
    <row r="15" spans="1:21" ht="18" customHeight="1" x14ac:dyDescent="0.15">
      <c r="A15" s="1"/>
      <c r="B15" s="39" t="s">
        <v>148</v>
      </c>
      <c r="C15" s="40">
        <v>878</v>
      </c>
      <c r="D15" s="41">
        <v>180</v>
      </c>
      <c r="E15" s="42">
        <v>720</v>
      </c>
      <c r="F15" s="43">
        <v>204</v>
      </c>
      <c r="G15" s="43">
        <v>136</v>
      </c>
      <c r="H15" s="44"/>
      <c r="I15" s="44"/>
      <c r="J15" s="44"/>
      <c r="K15" s="44"/>
      <c r="L15" s="44"/>
      <c r="M15" s="44"/>
      <c r="N15" s="44"/>
      <c r="O15" s="44"/>
      <c r="P15" s="44"/>
      <c r="Q15" s="45"/>
      <c r="R15" s="46">
        <f t="shared" si="0"/>
        <v>204</v>
      </c>
      <c r="S15" s="48">
        <f>R15/E15</f>
        <v>0.28333333333333333</v>
      </c>
    </row>
    <row r="16" spans="1:21" ht="18" customHeight="1" x14ac:dyDescent="0.15">
      <c r="A16" s="1"/>
      <c r="B16" s="39" t="s">
        <v>149</v>
      </c>
      <c r="C16" s="40">
        <v>551</v>
      </c>
      <c r="D16" s="41">
        <v>125</v>
      </c>
      <c r="E16" s="42">
        <v>500</v>
      </c>
      <c r="F16" s="43">
        <v>135</v>
      </c>
      <c r="G16" s="43">
        <v>126</v>
      </c>
      <c r="H16" s="44"/>
      <c r="I16" s="44"/>
      <c r="J16" s="44"/>
      <c r="K16" s="44"/>
      <c r="L16" s="44"/>
      <c r="M16" s="44"/>
      <c r="N16" s="44"/>
      <c r="O16" s="44"/>
      <c r="P16" s="44"/>
      <c r="Q16" s="45"/>
      <c r="R16" s="46">
        <f t="shared" si="0"/>
        <v>135</v>
      </c>
      <c r="S16" s="48">
        <f t="shared" si="1"/>
        <v>0.27</v>
      </c>
    </row>
    <row r="17" spans="1:19" ht="18" customHeight="1" x14ac:dyDescent="0.15">
      <c r="A17" s="1"/>
      <c r="B17" s="39" t="s">
        <v>231</v>
      </c>
      <c r="C17" s="40">
        <v>495</v>
      </c>
      <c r="D17" s="41">
        <v>120</v>
      </c>
      <c r="E17" s="42">
        <v>530</v>
      </c>
      <c r="F17" s="43">
        <v>120</v>
      </c>
      <c r="G17" s="43">
        <v>119</v>
      </c>
      <c r="H17" s="44"/>
      <c r="I17" s="44"/>
      <c r="J17" s="44"/>
      <c r="K17" s="44"/>
      <c r="L17" s="44"/>
      <c r="M17" s="44"/>
      <c r="N17" s="44"/>
      <c r="O17" s="44"/>
      <c r="P17" s="44"/>
      <c r="Q17" s="45"/>
      <c r="R17" s="46">
        <f t="shared" si="0"/>
        <v>120</v>
      </c>
      <c r="S17" s="48">
        <f t="shared" si="1"/>
        <v>0.22641509433962265</v>
      </c>
    </row>
    <row r="18" spans="1:19" ht="18" customHeight="1" x14ac:dyDescent="0.15">
      <c r="A18" s="1"/>
      <c r="B18" s="39" t="s">
        <v>168</v>
      </c>
      <c r="C18" s="45"/>
      <c r="D18" s="46"/>
      <c r="E18" s="49"/>
      <c r="F18" s="44"/>
      <c r="G18" s="44"/>
      <c r="H18" s="44"/>
      <c r="I18" s="44"/>
      <c r="J18" s="44"/>
      <c r="K18" s="44"/>
      <c r="L18" s="44"/>
      <c r="M18" s="44"/>
      <c r="N18" s="44"/>
      <c r="O18" s="44"/>
      <c r="P18" s="44"/>
      <c r="Q18" s="45"/>
      <c r="R18" s="46">
        <f>F18+H18+J18+L18+N18+P18</f>
        <v>0</v>
      </c>
      <c r="S18" s="48" t="e">
        <f t="shared" si="1"/>
        <v>#DIV/0!</v>
      </c>
    </row>
    <row r="19" spans="1:19" ht="18" customHeight="1" x14ac:dyDescent="0.15">
      <c r="A19" s="1"/>
      <c r="B19" s="39"/>
      <c r="C19" s="45"/>
      <c r="D19" s="46"/>
      <c r="E19" s="49"/>
      <c r="F19" s="44"/>
      <c r="G19" s="44"/>
      <c r="H19" s="44"/>
      <c r="I19" s="44"/>
      <c r="J19" s="44"/>
      <c r="K19" s="44"/>
      <c r="L19" s="44"/>
      <c r="M19" s="44"/>
      <c r="N19" s="44"/>
      <c r="O19" s="44"/>
      <c r="P19" s="44"/>
      <c r="Q19" s="45"/>
      <c r="R19" s="46">
        <f t="shared" si="0"/>
        <v>0</v>
      </c>
      <c r="S19" s="48" t="e">
        <f t="shared" si="1"/>
        <v>#DIV/0!</v>
      </c>
    </row>
    <row r="20" spans="1:19" ht="18" customHeight="1" x14ac:dyDescent="0.15">
      <c r="A20" s="1"/>
      <c r="B20" s="39"/>
      <c r="C20" s="45"/>
      <c r="D20" s="46"/>
      <c r="E20" s="49"/>
      <c r="F20" s="44"/>
      <c r="G20" s="44"/>
      <c r="H20" s="44"/>
      <c r="I20" s="44"/>
      <c r="J20" s="44"/>
      <c r="K20" s="44"/>
      <c r="L20" s="44"/>
      <c r="M20" s="44"/>
      <c r="N20" s="44"/>
      <c r="O20" s="44"/>
      <c r="P20" s="44"/>
      <c r="Q20" s="45"/>
      <c r="R20" s="46">
        <f t="shared" si="0"/>
        <v>0</v>
      </c>
      <c r="S20" s="48" t="e">
        <f t="shared" si="1"/>
        <v>#DIV/0!</v>
      </c>
    </row>
    <row r="21" spans="1:19" ht="18" customHeight="1" x14ac:dyDescent="0.15">
      <c r="A21" s="1"/>
      <c r="B21" s="39"/>
      <c r="C21" s="45"/>
      <c r="D21" s="46"/>
      <c r="E21" s="49"/>
      <c r="F21" s="44"/>
      <c r="G21" s="44"/>
      <c r="H21" s="44"/>
      <c r="I21" s="44"/>
      <c r="J21" s="44"/>
      <c r="K21" s="44"/>
      <c r="L21" s="44"/>
      <c r="M21" s="44"/>
      <c r="N21" s="44"/>
      <c r="O21" s="44"/>
      <c r="P21" s="44"/>
      <c r="Q21" s="45"/>
      <c r="R21" s="46">
        <f t="shared" si="0"/>
        <v>0</v>
      </c>
      <c r="S21" s="48" t="e">
        <f t="shared" si="1"/>
        <v>#DIV/0!</v>
      </c>
    </row>
    <row r="22" spans="1:19" ht="18" customHeight="1" x14ac:dyDescent="0.15">
      <c r="A22" s="1"/>
      <c r="B22" s="39"/>
      <c r="C22" s="45"/>
      <c r="D22" s="46"/>
      <c r="E22" s="49"/>
      <c r="F22" s="44"/>
      <c r="G22" s="44"/>
      <c r="H22" s="44"/>
      <c r="I22" s="44"/>
      <c r="J22" s="44"/>
      <c r="K22" s="44"/>
      <c r="L22" s="44"/>
      <c r="M22" s="44"/>
      <c r="N22" s="44"/>
      <c r="O22" s="44"/>
      <c r="P22" s="44"/>
      <c r="Q22" s="45"/>
      <c r="R22" s="46">
        <f t="shared" si="0"/>
        <v>0</v>
      </c>
      <c r="S22" s="48" t="e">
        <f t="shared" si="1"/>
        <v>#DIV/0!</v>
      </c>
    </row>
    <row r="23" spans="1:19" ht="18" customHeight="1" x14ac:dyDescent="0.15">
      <c r="A23" s="1"/>
      <c r="B23" s="39"/>
      <c r="C23" s="45"/>
      <c r="D23" s="46"/>
      <c r="E23" s="49"/>
      <c r="F23" s="44"/>
      <c r="G23" s="44"/>
      <c r="H23" s="44"/>
      <c r="I23" s="44"/>
      <c r="J23" s="44"/>
      <c r="K23" s="44"/>
      <c r="L23" s="44"/>
      <c r="M23" s="44"/>
      <c r="N23" s="44"/>
      <c r="O23" s="44"/>
      <c r="P23" s="44"/>
      <c r="Q23" s="45"/>
      <c r="R23" s="46">
        <f t="shared" si="0"/>
        <v>0</v>
      </c>
      <c r="S23" s="48" t="e">
        <f t="shared" si="1"/>
        <v>#DIV/0!</v>
      </c>
    </row>
    <row r="24" spans="1:19" ht="18" customHeight="1" x14ac:dyDescent="0.15">
      <c r="A24" s="1"/>
      <c r="B24" s="39"/>
      <c r="C24" s="45"/>
      <c r="D24" s="46"/>
      <c r="E24" s="49"/>
      <c r="F24" s="44"/>
      <c r="G24" s="44"/>
      <c r="H24" s="44"/>
      <c r="I24" s="44"/>
      <c r="J24" s="44"/>
      <c r="K24" s="44"/>
      <c r="L24" s="44"/>
      <c r="M24" s="44"/>
      <c r="N24" s="44"/>
      <c r="O24" s="44"/>
      <c r="P24" s="44"/>
      <c r="Q24" s="45"/>
      <c r="R24" s="46">
        <f t="shared" si="0"/>
        <v>0</v>
      </c>
      <c r="S24" s="48" t="e">
        <f t="shared" si="1"/>
        <v>#DIV/0!</v>
      </c>
    </row>
    <row r="25" spans="1:19" ht="18" customHeight="1" x14ac:dyDescent="0.15">
      <c r="A25" s="1"/>
      <c r="B25" s="39"/>
      <c r="C25" s="45"/>
      <c r="D25" s="46"/>
      <c r="E25" s="49"/>
      <c r="F25" s="44"/>
      <c r="G25" s="44"/>
      <c r="H25" s="44"/>
      <c r="I25" s="44"/>
      <c r="J25" s="44"/>
      <c r="K25" s="44"/>
      <c r="L25" s="44"/>
      <c r="M25" s="44"/>
      <c r="N25" s="44"/>
      <c r="O25" s="44"/>
      <c r="P25" s="44"/>
      <c r="Q25" s="45"/>
      <c r="R25" s="46">
        <f t="shared" si="0"/>
        <v>0</v>
      </c>
      <c r="S25" s="48" t="e">
        <f t="shared" si="1"/>
        <v>#DIV/0!</v>
      </c>
    </row>
    <row r="26" spans="1:19" ht="18" customHeight="1" x14ac:dyDescent="0.15">
      <c r="A26" s="1"/>
      <c r="B26" s="39"/>
      <c r="C26" s="45"/>
      <c r="D26" s="46"/>
      <c r="E26" s="49"/>
      <c r="F26" s="44"/>
      <c r="G26" s="44"/>
      <c r="H26" s="44"/>
      <c r="I26" s="44"/>
      <c r="J26" s="44"/>
      <c r="K26" s="44"/>
      <c r="L26" s="44"/>
      <c r="M26" s="44"/>
      <c r="N26" s="44"/>
      <c r="O26" s="44"/>
      <c r="P26" s="44"/>
      <c r="Q26" s="45"/>
      <c r="R26" s="46">
        <f t="shared" si="0"/>
        <v>0</v>
      </c>
      <c r="S26" s="48" t="e">
        <f t="shared" si="1"/>
        <v>#DIV/0!</v>
      </c>
    </row>
    <row r="27" spans="1:19" ht="18" customHeight="1" x14ac:dyDescent="0.15">
      <c r="A27" s="1"/>
      <c r="B27" s="39"/>
      <c r="C27" s="45"/>
      <c r="D27" s="46"/>
      <c r="E27" s="49"/>
      <c r="F27" s="44"/>
      <c r="G27" s="44"/>
      <c r="H27" s="44"/>
      <c r="I27" s="44"/>
      <c r="J27" s="44"/>
      <c r="K27" s="44"/>
      <c r="L27" s="44"/>
      <c r="M27" s="44"/>
      <c r="N27" s="44"/>
      <c r="O27" s="44"/>
      <c r="P27" s="44"/>
      <c r="Q27" s="45"/>
      <c r="R27" s="46">
        <f t="shared" si="0"/>
        <v>0</v>
      </c>
      <c r="S27" s="48" t="e">
        <f t="shared" si="1"/>
        <v>#DIV/0!</v>
      </c>
    </row>
    <row r="28" spans="1:19" ht="18" customHeight="1" x14ac:dyDescent="0.15">
      <c r="A28" s="1"/>
      <c r="B28" s="39"/>
      <c r="C28" s="45"/>
      <c r="D28" s="46"/>
      <c r="E28" s="49"/>
      <c r="F28" s="44"/>
      <c r="G28" s="44"/>
      <c r="H28" s="44"/>
      <c r="I28" s="44"/>
      <c r="J28" s="44"/>
      <c r="K28" s="44"/>
      <c r="L28" s="44"/>
      <c r="M28" s="44"/>
      <c r="N28" s="44"/>
      <c r="O28" s="44"/>
      <c r="P28" s="44"/>
      <c r="Q28" s="45"/>
      <c r="R28" s="46">
        <f t="shared" si="0"/>
        <v>0</v>
      </c>
      <c r="S28" s="48" t="e">
        <f t="shared" si="1"/>
        <v>#DIV/0!</v>
      </c>
    </row>
    <row r="29" spans="1:19" ht="18" customHeight="1" x14ac:dyDescent="0.15">
      <c r="A29" s="1"/>
      <c r="B29" s="39"/>
      <c r="C29" s="45"/>
      <c r="D29" s="46"/>
      <c r="E29" s="49"/>
      <c r="F29" s="44"/>
      <c r="G29" s="44"/>
      <c r="H29" s="44"/>
      <c r="I29" s="44"/>
      <c r="J29" s="44"/>
      <c r="K29" s="44"/>
      <c r="L29" s="44"/>
      <c r="M29" s="44"/>
      <c r="N29" s="44"/>
      <c r="O29" s="44"/>
      <c r="P29" s="44"/>
      <c r="Q29" s="45"/>
      <c r="R29" s="46">
        <f t="shared" si="0"/>
        <v>0</v>
      </c>
      <c r="S29" s="48" t="e">
        <f t="shared" si="1"/>
        <v>#DIV/0!</v>
      </c>
    </row>
    <row r="30" spans="1:19" ht="18" customHeight="1" x14ac:dyDescent="0.15">
      <c r="A30" s="1"/>
      <c r="B30" s="39"/>
      <c r="C30" s="45"/>
      <c r="D30" s="50"/>
      <c r="E30" s="49"/>
      <c r="F30" s="44"/>
      <c r="G30" s="44"/>
      <c r="H30" s="44"/>
      <c r="I30" s="44"/>
      <c r="J30" s="44"/>
      <c r="K30" s="44"/>
      <c r="L30" s="44"/>
      <c r="M30" s="44"/>
      <c r="N30" s="44"/>
      <c r="O30" s="44"/>
      <c r="P30" s="44"/>
      <c r="Q30" s="45"/>
      <c r="R30" s="50">
        <f t="shared" si="0"/>
        <v>0</v>
      </c>
      <c r="S30" s="48" t="e">
        <f t="shared" si="1"/>
        <v>#DIV/0!</v>
      </c>
    </row>
    <row r="31" spans="1:19" ht="18" customHeight="1" x14ac:dyDescent="0.15">
      <c r="A31" s="1"/>
      <c r="B31" s="39"/>
      <c r="C31" s="45"/>
      <c r="D31" s="50"/>
      <c r="E31" s="49"/>
      <c r="F31" s="44"/>
      <c r="G31" s="44"/>
      <c r="H31" s="44"/>
      <c r="I31" s="44"/>
      <c r="J31" s="44"/>
      <c r="K31" s="44"/>
      <c r="L31" s="44"/>
      <c r="M31" s="44"/>
      <c r="N31" s="44"/>
      <c r="O31" s="44"/>
      <c r="P31" s="44"/>
      <c r="Q31" s="45"/>
      <c r="R31" s="50">
        <f t="shared" si="0"/>
        <v>0</v>
      </c>
      <c r="S31" s="48" t="e">
        <f t="shared" si="1"/>
        <v>#DIV/0!</v>
      </c>
    </row>
    <row r="32" spans="1:19" ht="18" customHeight="1" thickBot="1" x14ac:dyDescent="0.2">
      <c r="A32" s="1"/>
      <c r="B32" s="51"/>
      <c r="C32" s="52"/>
      <c r="D32" s="53"/>
      <c r="E32" s="35"/>
      <c r="F32" s="35"/>
      <c r="G32" s="35"/>
      <c r="H32" s="35"/>
      <c r="I32" s="35"/>
      <c r="J32" s="35"/>
      <c r="K32" s="35"/>
      <c r="L32" s="35"/>
      <c r="M32" s="35"/>
      <c r="N32" s="35"/>
      <c r="O32" s="35"/>
      <c r="P32" s="35"/>
      <c r="Q32" s="45"/>
      <c r="R32" s="53">
        <f t="shared" si="0"/>
        <v>0</v>
      </c>
      <c r="S32" s="54" t="e">
        <f t="shared" si="1"/>
        <v>#DIV/0!</v>
      </c>
    </row>
    <row r="33" spans="2:19" ht="18" customHeight="1" thickTop="1" x14ac:dyDescent="0.15">
      <c r="B33" s="55" t="s">
        <v>32</v>
      </c>
      <c r="C33" s="56">
        <f t="shared" ref="C33" si="2">SUM(C13:C32)</f>
        <v>2942</v>
      </c>
      <c r="D33" s="57">
        <f t="shared" ref="D33:R33" si="3">SUM(D13:D32)</f>
        <v>615</v>
      </c>
      <c r="E33" s="58">
        <f t="shared" si="3"/>
        <v>2670</v>
      </c>
      <c r="F33" s="58">
        <f t="shared" si="3"/>
        <v>671</v>
      </c>
      <c r="G33" s="58">
        <f t="shared" ref="G33:H33" si="4">SUM(G13:G32)</f>
        <v>586</v>
      </c>
      <c r="H33" s="58">
        <f t="shared" si="4"/>
        <v>0</v>
      </c>
      <c r="I33" s="58">
        <f t="shared" ref="I33:J33" si="5">SUM(I13:I32)</f>
        <v>0</v>
      </c>
      <c r="J33" s="58">
        <f t="shared" si="5"/>
        <v>0</v>
      </c>
      <c r="K33" s="58">
        <f t="shared" ref="K33:O33" si="6">SUM(K13:K32)</f>
        <v>0</v>
      </c>
      <c r="L33" s="58">
        <f t="shared" si="6"/>
        <v>0</v>
      </c>
      <c r="M33" s="58">
        <f t="shared" si="6"/>
        <v>0</v>
      </c>
      <c r="N33" s="58">
        <f t="shared" si="6"/>
        <v>0</v>
      </c>
      <c r="O33" s="58">
        <f t="shared" si="6"/>
        <v>0</v>
      </c>
      <c r="P33" s="58">
        <f t="shared" ref="P33:Q33" si="7">SUM(P13:P32)</f>
        <v>0</v>
      </c>
      <c r="Q33" s="56">
        <f t="shared" si="7"/>
        <v>0</v>
      </c>
      <c r="R33" s="57">
        <f t="shared" si="3"/>
        <v>671</v>
      </c>
      <c r="S33" s="59">
        <f t="shared" si="1"/>
        <v>0.25131086142322095</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6:D7">
    <cfRule type="cellIs" priority="2" operator="equal">
      <formula>0</formula>
    </cfRule>
  </conditionalFormatting>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134"/>
  <sheetViews>
    <sheetView showZeros="0" view="pageBreakPreview" topLeftCell="A76" zoomScaleNormal="100" zoomScaleSheetLayoutView="100" workbookViewId="0">
      <selection activeCell="A76" sqref="A1:XFD1048576"/>
    </sheetView>
  </sheetViews>
  <sheetFormatPr defaultColWidth="11.375" defaultRowHeight="18.75" customHeight="1" x14ac:dyDescent="0.15"/>
  <cols>
    <col min="1" max="1" width="2.875" style="60" customWidth="1"/>
    <col min="2" max="2" width="16.625" style="89" customWidth="1"/>
    <col min="3" max="3" width="8.875" style="89" customWidth="1"/>
    <col min="4" max="4" width="2.125" style="89" customWidth="1"/>
    <col min="5" max="5" width="16.625" style="89" customWidth="1"/>
    <col min="6" max="6" width="4.375" style="89" customWidth="1"/>
    <col min="7" max="7" width="9" style="89" customWidth="1"/>
    <col min="8" max="8" width="16.625" style="89" customWidth="1"/>
    <col min="9" max="9" width="12.125" style="89" customWidth="1"/>
    <col min="10" max="16384" width="11.375" style="89"/>
  </cols>
  <sheetData>
    <row r="1" spans="1:9" ht="18.75" customHeight="1" x14ac:dyDescent="0.15">
      <c r="A1" s="60" t="s">
        <v>58</v>
      </c>
      <c r="I1" s="61" t="s">
        <v>90</v>
      </c>
    </row>
    <row r="2" spans="1:9" ht="18.75" customHeight="1" x14ac:dyDescent="0.15">
      <c r="G2" s="61" t="s">
        <v>92</v>
      </c>
      <c r="H2" s="215" t="s">
        <v>214</v>
      </c>
      <c r="I2" s="216"/>
    </row>
    <row r="3" spans="1:9" ht="18.75" customHeight="1" x14ac:dyDescent="0.15">
      <c r="G3" s="61"/>
      <c r="H3" s="2"/>
      <c r="I3" s="2"/>
    </row>
    <row r="4" spans="1:9" ht="18.600000000000001" customHeight="1" x14ac:dyDescent="0.15">
      <c r="A4" s="171" t="s">
        <v>35</v>
      </c>
      <c r="B4" s="171"/>
      <c r="C4" s="171"/>
      <c r="D4" s="171"/>
      <c r="E4" s="171"/>
      <c r="F4" s="171"/>
      <c r="G4" s="171"/>
      <c r="H4" s="171"/>
      <c r="I4" s="171"/>
    </row>
    <row r="5" spans="1:9" ht="13.35" customHeight="1" x14ac:dyDescent="0.15">
      <c r="B5" s="88"/>
      <c r="C5" s="88"/>
      <c r="D5" s="88"/>
      <c r="E5" s="88"/>
      <c r="F5" s="88"/>
      <c r="G5" s="88"/>
      <c r="H5" s="88"/>
      <c r="I5" s="88"/>
    </row>
    <row r="6" spans="1:9" ht="18" customHeight="1" x14ac:dyDescent="0.15">
      <c r="A6" s="89" t="s">
        <v>0</v>
      </c>
      <c r="B6" s="2" t="s">
        <v>80</v>
      </c>
      <c r="C6" s="239" t="s">
        <v>81</v>
      </c>
      <c r="D6" s="239"/>
      <c r="E6" s="10">
        <v>282</v>
      </c>
      <c r="F6" s="6" t="s">
        <v>1</v>
      </c>
      <c r="G6" s="6" t="s">
        <v>2</v>
      </c>
      <c r="H6" s="10">
        <v>249</v>
      </c>
      <c r="I6" s="2" t="s">
        <v>1</v>
      </c>
    </row>
    <row r="7" spans="1:9" ht="12" customHeight="1" x14ac:dyDescent="0.15">
      <c r="C7" s="28"/>
      <c r="D7" s="28"/>
      <c r="E7" s="9"/>
      <c r="F7" s="9"/>
      <c r="G7" s="9"/>
      <c r="H7" s="9"/>
      <c r="I7" s="62"/>
    </row>
    <row r="8" spans="1:9" ht="18" customHeight="1" x14ac:dyDescent="0.15">
      <c r="A8" s="89" t="s">
        <v>3</v>
      </c>
      <c r="B8" s="2" t="s">
        <v>82</v>
      </c>
      <c r="E8" s="6"/>
      <c r="F8" s="6"/>
      <c r="G8" s="6"/>
      <c r="H8" s="10">
        <v>10</v>
      </c>
      <c r="I8" s="2" t="s">
        <v>1</v>
      </c>
    </row>
    <row r="9" spans="1:9" ht="9" customHeight="1" x14ac:dyDescent="0.15">
      <c r="B9" s="88"/>
      <c r="C9" s="88"/>
      <c r="D9" s="88"/>
      <c r="E9" s="88"/>
      <c r="F9" s="88"/>
      <c r="G9" s="88"/>
      <c r="H9" s="88"/>
      <c r="I9" s="88"/>
    </row>
    <row r="10" spans="1:9" ht="18" customHeight="1" x14ac:dyDescent="0.15">
      <c r="A10" s="89" t="s">
        <v>4</v>
      </c>
      <c r="B10" s="2" t="s">
        <v>83</v>
      </c>
      <c r="C10" s="88"/>
      <c r="D10" s="88"/>
      <c r="E10" s="88"/>
      <c r="F10" s="88"/>
      <c r="G10" s="88"/>
      <c r="H10" s="88"/>
      <c r="I10" s="88"/>
    </row>
    <row r="11" spans="1:9" ht="18" customHeight="1" x14ac:dyDescent="0.15">
      <c r="B11" s="61" t="s">
        <v>40</v>
      </c>
      <c r="C11" s="236" t="s">
        <v>212</v>
      </c>
      <c r="D11" s="237"/>
      <c r="E11" s="238"/>
      <c r="F11" s="63"/>
      <c r="G11" s="83" t="s">
        <v>10</v>
      </c>
      <c r="H11" s="236" t="s">
        <v>213</v>
      </c>
      <c r="I11" s="238"/>
    </row>
    <row r="12" spans="1:9" ht="10.35" customHeight="1" x14ac:dyDescent="0.15">
      <c r="B12" s="61"/>
      <c r="C12" s="2"/>
      <c r="D12" s="62"/>
      <c r="E12" s="62"/>
      <c r="F12" s="62"/>
      <c r="G12" s="61"/>
      <c r="H12" s="2"/>
      <c r="I12" s="62"/>
    </row>
    <row r="13" spans="1:9" ht="18" customHeight="1" x14ac:dyDescent="0.15">
      <c r="A13" s="89" t="s">
        <v>7</v>
      </c>
      <c r="B13" s="2" t="s">
        <v>78</v>
      </c>
      <c r="C13" s="88"/>
      <c r="D13" s="88"/>
      <c r="E13" s="88"/>
      <c r="F13" s="88"/>
      <c r="G13" s="88"/>
      <c r="H13" s="88"/>
      <c r="I13" s="88"/>
    </row>
    <row r="14" spans="1:9" ht="18" customHeight="1" x14ac:dyDescent="0.15">
      <c r="B14" s="231" t="s">
        <v>235</v>
      </c>
      <c r="C14" s="232"/>
      <c r="D14" s="232"/>
      <c r="E14" s="232"/>
      <c r="F14" s="232"/>
      <c r="G14" s="232"/>
      <c r="H14" s="232"/>
      <c r="I14" s="233"/>
    </row>
    <row r="15" spans="1:9" ht="9" customHeight="1" x14ac:dyDescent="0.15">
      <c r="B15" s="88"/>
      <c r="C15" s="88"/>
      <c r="D15" s="88"/>
      <c r="E15" s="88"/>
      <c r="F15" s="88"/>
      <c r="G15" s="88"/>
      <c r="H15" s="88"/>
      <c r="I15" s="88"/>
    </row>
    <row r="16" spans="1:9" ht="18" customHeight="1" x14ac:dyDescent="0.15">
      <c r="B16" s="61" t="s">
        <v>40</v>
      </c>
      <c r="C16" s="231" t="s">
        <v>151</v>
      </c>
      <c r="D16" s="234"/>
      <c r="E16" s="235"/>
      <c r="F16" s="62"/>
      <c r="G16" s="61" t="s">
        <v>10</v>
      </c>
      <c r="H16" s="231" t="s">
        <v>152</v>
      </c>
      <c r="I16" s="235"/>
    </row>
    <row r="17" spans="1:9" ht="18" customHeight="1" x14ac:dyDescent="0.15">
      <c r="B17" s="88"/>
      <c r="C17" s="88"/>
      <c r="D17" s="88"/>
      <c r="E17" s="88"/>
      <c r="F17" s="88"/>
      <c r="G17" s="88"/>
      <c r="H17" s="88"/>
      <c r="I17" s="88"/>
    </row>
    <row r="18" spans="1:9" ht="18.75" customHeight="1" x14ac:dyDescent="0.15">
      <c r="A18" s="89" t="s">
        <v>5</v>
      </c>
      <c r="B18" s="89" t="s">
        <v>39</v>
      </c>
      <c r="I18" s="88"/>
    </row>
    <row r="19" spans="1:9" ht="18.75" customHeight="1" x14ac:dyDescent="0.15">
      <c r="A19" s="89"/>
      <c r="B19" s="217" t="s">
        <v>153</v>
      </c>
      <c r="C19" s="218"/>
      <c r="D19" s="218"/>
      <c r="E19" s="218"/>
      <c r="F19" s="218"/>
      <c r="G19" s="218"/>
      <c r="H19" s="218"/>
      <c r="I19" s="219"/>
    </row>
    <row r="20" spans="1:9" ht="7.5" customHeight="1" x14ac:dyDescent="0.15">
      <c r="B20" s="88"/>
      <c r="C20" s="88"/>
      <c r="D20" s="88"/>
      <c r="E20" s="88"/>
      <c r="F20" s="88"/>
      <c r="G20" s="88"/>
      <c r="H20" s="88"/>
      <c r="I20" s="88"/>
    </row>
    <row r="21" spans="1:9" ht="18.75" customHeight="1" x14ac:dyDescent="0.15">
      <c r="A21" s="89" t="s">
        <v>8</v>
      </c>
      <c r="B21" s="89" t="s">
        <v>24</v>
      </c>
    </row>
    <row r="22" spans="1:9" ht="18.75" customHeight="1" x14ac:dyDescent="0.15">
      <c r="A22" s="64"/>
      <c r="B22" s="220" t="s">
        <v>154</v>
      </c>
      <c r="C22" s="221"/>
      <c r="D22" s="221"/>
      <c r="E22" s="221"/>
      <c r="F22" s="221"/>
      <c r="G22" s="221"/>
      <c r="H22" s="221"/>
      <c r="I22" s="222"/>
    </row>
    <row r="23" spans="1:9" ht="18.75" customHeight="1" x14ac:dyDescent="0.15">
      <c r="A23" s="64"/>
      <c r="B23" s="223"/>
      <c r="C23" s="224"/>
      <c r="D23" s="224"/>
      <c r="E23" s="224"/>
      <c r="F23" s="224"/>
      <c r="G23" s="224"/>
      <c r="H23" s="224"/>
      <c r="I23" s="225"/>
    </row>
    <row r="24" spans="1:9" ht="18.75" customHeight="1" x14ac:dyDescent="0.15">
      <c r="A24" s="64"/>
      <c r="B24" s="223"/>
      <c r="C24" s="224"/>
      <c r="D24" s="224"/>
      <c r="E24" s="224"/>
      <c r="F24" s="224"/>
      <c r="G24" s="224"/>
      <c r="H24" s="224"/>
      <c r="I24" s="225"/>
    </row>
    <row r="25" spans="1:9" ht="18.75" customHeight="1" x14ac:dyDescent="0.15">
      <c r="A25" s="64"/>
      <c r="B25" s="223"/>
      <c r="C25" s="224"/>
      <c r="D25" s="224"/>
      <c r="E25" s="224"/>
      <c r="F25" s="224"/>
      <c r="G25" s="224"/>
      <c r="H25" s="224"/>
      <c r="I25" s="225"/>
    </row>
    <row r="26" spans="1:9" ht="18.75" customHeight="1" x14ac:dyDescent="0.15">
      <c r="A26" s="64"/>
      <c r="B26" s="223"/>
      <c r="C26" s="224"/>
      <c r="D26" s="224"/>
      <c r="E26" s="224"/>
      <c r="F26" s="224"/>
      <c r="G26" s="224"/>
      <c r="H26" s="224"/>
      <c r="I26" s="225"/>
    </row>
    <row r="27" spans="1:9" ht="18.75" customHeight="1" x14ac:dyDescent="0.15">
      <c r="A27" s="64"/>
      <c r="B27" s="223"/>
      <c r="C27" s="224"/>
      <c r="D27" s="224"/>
      <c r="E27" s="224"/>
      <c r="F27" s="224"/>
      <c r="G27" s="224"/>
      <c r="H27" s="224"/>
      <c r="I27" s="225"/>
    </row>
    <row r="28" spans="1:9" ht="18.75" customHeight="1" x14ac:dyDescent="0.15">
      <c r="A28" s="64"/>
      <c r="B28" s="223"/>
      <c r="C28" s="224"/>
      <c r="D28" s="224"/>
      <c r="E28" s="224"/>
      <c r="F28" s="224"/>
      <c r="G28" s="224"/>
      <c r="H28" s="224"/>
      <c r="I28" s="225"/>
    </row>
    <row r="29" spans="1:9" ht="18.75" customHeight="1" x14ac:dyDescent="0.15">
      <c r="A29" s="64"/>
      <c r="B29" s="223"/>
      <c r="C29" s="224"/>
      <c r="D29" s="224"/>
      <c r="E29" s="224"/>
      <c r="F29" s="224"/>
      <c r="G29" s="224"/>
      <c r="H29" s="224"/>
      <c r="I29" s="225"/>
    </row>
    <row r="30" spans="1:9" ht="18.75" customHeight="1" x14ac:dyDescent="0.15">
      <c r="A30" s="64"/>
      <c r="B30" s="226"/>
      <c r="C30" s="227"/>
      <c r="D30" s="227"/>
      <c r="E30" s="227"/>
      <c r="F30" s="227"/>
      <c r="G30" s="227"/>
      <c r="H30" s="227"/>
      <c r="I30" s="225"/>
    </row>
    <row r="31" spans="1:9" ht="18.75" customHeight="1" x14ac:dyDescent="0.15">
      <c r="A31" s="64"/>
      <c r="B31" s="226"/>
      <c r="C31" s="227"/>
      <c r="D31" s="227"/>
      <c r="E31" s="227"/>
      <c r="F31" s="227"/>
      <c r="G31" s="227"/>
      <c r="H31" s="227"/>
      <c r="I31" s="225"/>
    </row>
    <row r="32" spans="1:9" ht="18.75" customHeight="1" x14ac:dyDescent="0.15">
      <c r="A32" s="64"/>
      <c r="B32" s="228"/>
      <c r="C32" s="229"/>
      <c r="D32" s="229"/>
      <c r="E32" s="229"/>
      <c r="F32" s="229"/>
      <c r="G32" s="229"/>
      <c r="H32" s="229"/>
      <c r="I32" s="230"/>
    </row>
    <row r="33" spans="1:9" ht="7.5" customHeight="1" x14ac:dyDescent="0.15">
      <c r="A33" s="64"/>
      <c r="B33" s="64"/>
      <c r="C33" s="64"/>
      <c r="D33" s="64"/>
      <c r="E33" s="64"/>
      <c r="F33" s="64"/>
      <c r="G33" s="64"/>
      <c r="H33" s="64"/>
      <c r="I33" s="64"/>
    </row>
    <row r="34" spans="1:9" ht="18.75" customHeight="1" x14ac:dyDescent="0.15">
      <c r="A34" s="65" t="s">
        <v>6</v>
      </c>
      <c r="B34" s="65" t="s">
        <v>9</v>
      </c>
      <c r="C34" s="2"/>
      <c r="D34" s="65"/>
      <c r="E34" s="65"/>
      <c r="F34" s="65"/>
      <c r="G34" s="65"/>
      <c r="H34" s="65"/>
      <c r="I34" s="65"/>
    </row>
    <row r="35" spans="1:9" ht="18.75" customHeight="1" x14ac:dyDescent="0.15">
      <c r="A35" s="64"/>
      <c r="B35" s="220" t="s">
        <v>236</v>
      </c>
      <c r="C35" s="221"/>
      <c r="D35" s="221"/>
      <c r="E35" s="221"/>
      <c r="F35" s="221"/>
      <c r="G35" s="221"/>
      <c r="H35" s="221"/>
      <c r="I35" s="222"/>
    </row>
    <row r="36" spans="1:9" ht="18.75" customHeight="1" x14ac:dyDescent="0.15">
      <c r="A36" s="64"/>
      <c r="B36" s="226"/>
      <c r="C36" s="227"/>
      <c r="D36" s="227"/>
      <c r="E36" s="227"/>
      <c r="F36" s="227"/>
      <c r="G36" s="227"/>
      <c r="H36" s="227"/>
      <c r="I36" s="225"/>
    </row>
    <row r="37" spans="1:9" ht="18.75" customHeight="1" x14ac:dyDescent="0.15">
      <c r="A37" s="64"/>
      <c r="B37" s="226"/>
      <c r="C37" s="227"/>
      <c r="D37" s="227"/>
      <c r="E37" s="227"/>
      <c r="F37" s="227"/>
      <c r="G37" s="227"/>
      <c r="H37" s="227"/>
      <c r="I37" s="225"/>
    </row>
    <row r="38" spans="1:9" ht="18.75" customHeight="1" x14ac:dyDescent="0.15">
      <c r="A38" s="64"/>
      <c r="B38" s="226"/>
      <c r="C38" s="227"/>
      <c r="D38" s="227"/>
      <c r="E38" s="227"/>
      <c r="F38" s="227"/>
      <c r="G38" s="227"/>
      <c r="H38" s="227"/>
      <c r="I38" s="225"/>
    </row>
    <row r="39" spans="1:9" ht="18.75" customHeight="1" x14ac:dyDescent="0.15">
      <c r="A39" s="64"/>
      <c r="B39" s="226"/>
      <c r="C39" s="227"/>
      <c r="D39" s="227"/>
      <c r="E39" s="227"/>
      <c r="F39" s="227"/>
      <c r="G39" s="227"/>
      <c r="H39" s="227"/>
      <c r="I39" s="225"/>
    </row>
    <row r="40" spans="1:9" ht="18.75" customHeight="1" x14ac:dyDescent="0.15">
      <c r="A40" s="64"/>
      <c r="B40" s="226"/>
      <c r="C40" s="227"/>
      <c r="D40" s="227"/>
      <c r="E40" s="227"/>
      <c r="F40" s="227"/>
      <c r="G40" s="227"/>
      <c r="H40" s="227"/>
      <c r="I40" s="225"/>
    </row>
    <row r="41" spans="1:9" ht="18.75" customHeight="1" x14ac:dyDescent="0.15">
      <c r="A41" s="64"/>
      <c r="B41" s="226"/>
      <c r="C41" s="227"/>
      <c r="D41" s="227"/>
      <c r="E41" s="227"/>
      <c r="F41" s="227"/>
      <c r="G41" s="227"/>
      <c r="H41" s="227"/>
      <c r="I41" s="225"/>
    </row>
    <row r="42" spans="1:9" ht="18.75" customHeight="1" x14ac:dyDescent="0.15">
      <c r="A42" s="64"/>
      <c r="B42" s="226"/>
      <c r="C42" s="227"/>
      <c r="D42" s="227"/>
      <c r="E42" s="227"/>
      <c r="F42" s="227"/>
      <c r="G42" s="227"/>
      <c r="H42" s="227"/>
      <c r="I42" s="225"/>
    </row>
    <row r="43" spans="1:9" ht="18.75" customHeight="1" x14ac:dyDescent="0.15">
      <c r="A43" s="64"/>
      <c r="B43" s="226"/>
      <c r="C43" s="227"/>
      <c r="D43" s="227"/>
      <c r="E43" s="227"/>
      <c r="F43" s="227"/>
      <c r="G43" s="227"/>
      <c r="H43" s="227"/>
      <c r="I43" s="225"/>
    </row>
    <row r="44" spans="1:9" ht="18.75" customHeight="1" x14ac:dyDescent="0.15">
      <c r="A44" s="64"/>
      <c r="B44" s="226"/>
      <c r="C44" s="227"/>
      <c r="D44" s="227"/>
      <c r="E44" s="227"/>
      <c r="F44" s="227"/>
      <c r="G44" s="227"/>
      <c r="H44" s="227"/>
      <c r="I44" s="225"/>
    </row>
    <row r="45" spans="1:9" ht="18.75" customHeight="1" x14ac:dyDescent="0.15">
      <c r="A45" s="64"/>
      <c r="B45" s="226"/>
      <c r="C45" s="227"/>
      <c r="D45" s="227"/>
      <c r="E45" s="227"/>
      <c r="F45" s="227"/>
      <c r="G45" s="227"/>
      <c r="H45" s="227"/>
      <c r="I45" s="225"/>
    </row>
    <row r="46" spans="1:9" ht="18.75" customHeight="1" x14ac:dyDescent="0.15">
      <c r="A46" s="64"/>
      <c r="B46" s="228"/>
      <c r="C46" s="229"/>
      <c r="D46" s="229"/>
      <c r="E46" s="229"/>
      <c r="F46" s="229"/>
      <c r="G46" s="229"/>
      <c r="H46" s="229"/>
      <c r="I46" s="230"/>
    </row>
    <row r="47" spans="1:9" ht="7.5" customHeight="1" x14ac:dyDescent="0.15">
      <c r="A47" s="66"/>
      <c r="B47" s="66"/>
      <c r="C47" s="66"/>
      <c r="D47" s="66"/>
      <c r="E47" s="66"/>
      <c r="F47" s="66"/>
      <c r="G47" s="66"/>
      <c r="H47" s="66"/>
      <c r="I47" s="66"/>
    </row>
    <row r="48" spans="1:9" ht="18.75" customHeight="1" x14ac:dyDescent="0.15">
      <c r="A48" s="89" t="s">
        <v>30</v>
      </c>
      <c r="B48" s="89" t="s">
        <v>232</v>
      </c>
    </row>
    <row r="49" spans="1:15" s="88" customFormat="1" ht="18.75" customHeight="1" x14ac:dyDescent="0.15">
      <c r="B49" s="67" t="s">
        <v>128</v>
      </c>
      <c r="C49" s="203">
        <f>'様式２ 履修者等数の実績'!S33</f>
        <v>0.25131086142322095</v>
      </c>
      <c r="D49" s="203"/>
      <c r="E49" s="67" t="s">
        <v>59</v>
      </c>
      <c r="F49" s="204">
        <v>0.46</v>
      </c>
      <c r="G49" s="204"/>
      <c r="H49" s="67" t="s">
        <v>79</v>
      </c>
      <c r="I49" s="90">
        <v>0.69</v>
      </c>
      <c r="J49" s="89"/>
      <c r="M49" s="89"/>
      <c r="N49" s="68"/>
    </row>
    <row r="50" spans="1:15" s="88" customFormat="1" ht="18.75" customHeight="1" x14ac:dyDescent="0.15">
      <c r="B50" s="69" t="s">
        <v>114</v>
      </c>
      <c r="C50" s="186">
        <v>0.92</v>
      </c>
      <c r="D50" s="186"/>
      <c r="E50" s="69" t="s">
        <v>129</v>
      </c>
      <c r="F50" s="186">
        <v>0.96</v>
      </c>
      <c r="G50" s="186"/>
      <c r="H50" s="69" t="s">
        <v>60</v>
      </c>
      <c r="I50" s="70">
        <f>'様式２ 履修者等数の実績'!E33</f>
        <v>2670</v>
      </c>
      <c r="J50" s="89"/>
      <c r="M50" s="89"/>
      <c r="N50" s="68"/>
    </row>
    <row r="51" spans="1:15" ht="18.75" customHeight="1" x14ac:dyDescent="0.15">
      <c r="A51" s="89"/>
      <c r="B51" s="250" t="s">
        <v>61</v>
      </c>
      <c r="C51" s="251"/>
      <c r="D51" s="251"/>
      <c r="E51" s="251"/>
      <c r="F51" s="251"/>
      <c r="G51" s="251"/>
      <c r="H51" s="251"/>
      <c r="I51" s="252"/>
      <c r="N51" s="68"/>
      <c r="O51" s="88"/>
    </row>
    <row r="52" spans="1:15" ht="18.75" customHeight="1" x14ac:dyDescent="0.15">
      <c r="A52" s="89"/>
      <c r="B52" s="205" t="s">
        <v>208</v>
      </c>
      <c r="C52" s="206"/>
      <c r="D52" s="206"/>
      <c r="E52" s="206"/>
      <c r="F52" s="206"/>
      <c r="G52" s="206"/>
      <c r="H52" s="206"/>
      <c r="I52" s="207"/>
      <c r="N52" s="68"/>
      <c r="O52" s="88"/>
    </row>
    <row r="53" spans="1:15" ht="18.75" customHeight="1" x14ac:dyDescent="0.15">
      <c r="A53" s="89"/>
      <c r="B53" s="208"/>
      <c r="C53" s="209"/>
      <c r="D53" s="209"/>
      <c r="E53" s="209"/>
      <c r="F53" s="209"/>
      <c r="G53" s="209"/>
      <c r="H53" s="209"/>
      <c r="I53" s="210"/>
      <c r="N53" s="68"/>
      <c r="O53" s="88"/>
    </row>
    <row r="54" spans="1:15" ht="18.75" customHeight="1" x14ac:dyDescent="0.15">
      <c r="A54" s="89"/>
      <c r="B54" s="208"/>
      <c r="C54" s="209"/>
      <c r="D54" s="209"/>
      <c r="E54" s="209"/>
      <c r="F54" s="209"/>
      <c r="G54" s="209"/>
      <c r="H54" s="209"/>
      <c r="I54" s="210"/>
    </row>
    <row r="55" spans="1:15" ht="18.75" customHeight="1" x14ac:dyDescent="0.15">
      <c r="A55" s="89"/>
      <c r="B55" s="208"/>
      <c r="C55" s="209"/>
      <c r="D55" s="209"/>
      <c r="E55" s="209"/>
      <c r="F55" s="209"/>
      <c r="G55" s="209"/>
      <c r="H55" s="209"/>
      <c r="I55" s="210"/>
    </row>
    <row r="56" spans="1:15" ht="18.75" customHeight="1" x14ac:dyDescent="0.15">
      <c r="A56" s="89"/>
      <c r="B56" s="208"/>
      <c r="C56" s="209"/>
      <c r="D56" s="209"/>
      <c r="E56" s="209"/>
      <c r="F56" s="209"/>
      <c r="G56" s="209"/>
      <c r="H56" s="209"/>
      <c r="I56" s="210"/>
    </row>
    <row r="57" spans="1:15" ht="18.75" customHeight="1" x14ac:dyDescent="0.15">
      <c r="A57" s="89"/>
      <c r="B57" s="208"/>
      <c r="C57" s="209"/>
      <c r="D57" s="209"/>
      <c r="E57" s="209"/>
      <c r="F57" s="209"/>
      <c r="G57" s="209"/>
      <c r="H57" s="209"/>
      <c r="I57" s="210"/>
    </row>
    <row r="58" spans="1:15" ht="18.75" customHeight="1" x14ac:dyDescent="0.15">
      <c r="A58" s="89"/>
      <c r="B58" s="208"/>
      <c r="C58" s="209"/>
      <c r="D58" s="209"/>
      <c r="E58" s="209"/>
      <c r="F58" s="209"/>
      <c r="G58" s="209"/>
      <c r="H58" s="209"/>
      <c r="I58" s="210"/>
    </row>
    <row r="59" spans="1:15" ht="18.75" customHeight="1" x14ac:dyDescent="0.15">
      <c r="A59" s="89"/>
      <c r="B59" s="208"/>
      <c r="C59" s="209"/>
      <c r="D59" s="209"/>
      <c r="E59" s="209"/>
      <c r="F59" s="209"/>
      <c r="G59" s="209"/>
      <c r="H59" s="209"/>
      <c r="I59" s="210"/>
    </row>
    <row r="60" spans="1:15" ht="18.75" customHeight="1" x14ac:dyDescent="0.15">
      <c r="A60" s="89"/>
      <c r="B60" s="208"/>
      <c r="C60" s="209"/>
      <c r="D60" s="209"/>
      <c r="E60" s="209"/>
      <c r="F60" s="209"/>
      <c r="G60" s="209"/>
      <c r="H60" s="209"/>
      <c r="I60" s="210"/>
    </row>
    <row r="61" spans="1:15" ht="18.75" customHeight="1" x14ac:dyDescent="0.15">
      <c r="A61" s="89"/>
      <c r="B61" s="208"/>
      <c r="C61" s="209"/>
      <c r="D61" s="209"/>
      <c r="E61" s="209"/>
      <c r="F61" s="209"/>
      <c r="G61" s="209"/>
      <c r="H61" s="209"/>
      <c r="I61" s="210"/>
    </row>
    <row r="62" spans="1:15" ht="18.75" customHeight="1" x14ac:dyDescent="0.15">
      <c r="A62" s="89"/>
      <c r="B62" s="208"/>
      <c r="C62" s="209"/>
      <c r="D62" s="209"/>
      <c r="E62" s="209"/>
      <c r="F62" s="209"/>
      <c r="G62" s="209"/>
      <c r="H62" s="209"/>
      <c r="I62" s="210"/>
    </row>
    <row r="63" spans="1:15" ht="18.75" customHeight="1" x14ac:dyDescent="0.15">
      <c r="A63" s="89"/>
      <c r="B63" s="211"/>
      <c r="C63" s="212"/>
      <c r="D63" s="212"/>
      <c r="E63" s="212"/>
      <c r="F63" s="212"/>
      <c r="G63" s="212"/>
      <c r="H63" s="212"/>
      <c r="I63" s="213"/>
    </row>
    <row r="64" spans="1:15" ht="7.5" customHeight="1" x14ac:dyDescent="0.15">
      <c r="A64" s="64"/>
      <c r="B64" s="64"/>
      <c r="C64" s="64"/>
      <c r="D64" s="64"/>
      <c r="E64" s="64"/>
      <c r="F64" s="64"/>
      <c r="G64" s="64"/>
      <c r="H64" s="64"/>
      <c r="I64" s="64"/>
    </row>
    <row r="65" spans="1:9" ht="18.75" customHeight="1" x14ac:dyDescent="0.15">
      <c r="A65" s="65" t="s">
        <v>33</v>
      </c>
      <c r="B65" s="89" t="s">
        <v>36</v>
      </c>
      <c r="I65" s="65"/>
    </row>
    <row r="66" spans="1:9" ht="18.75" customHeight="1" x14ac:dyDescent="0.15">
      <c r="A66" s="66"/>
      <c r="B66" s="187" t="s">
        <v>209</v>
      </c>
      <c r="C66" s="188"/>
      <c r="D66" s="188"/>
      <c r="E66" s="188"/>
      <c r="F66" s="188"/>
      <c r="G66" s="188"/>
      <c r="H66" s="188"/>
      <c r="I66" s="189"/>
    </row>
    <row r="67" spans="1:9" ht="18.75" customHeight="1" x14ac:dyDescent="0.15">
      <c r="A67" s="66"/>
      <c r="B67" s="190"/>
      <c r="C67" s="191"/>
      <c r="D67" s="191"/>
      <c r="E67" s="191"/>
      <c r="F67" s="191"/>
      <c r="G67" s="191"/>
      <c r="H67" s="191"/>
      <c r="I67" s="192"/>
    </row>
    <row r="68" spans="1:9" ht="18.75" customHeight="1" x14ac:dyDescent="0.15">
      <c r="A68" s="66"/>
      <c r="B68" s="190"/>
      <c r="C68" s="191"/>
      <c r="D68" s="191"/>
      <c r="E68" s="191"/>
      <c r="F68" s="191"/>
      <c r="G68" s="191"/>
      <c r="H68" s="191"/>
      <c r="I68" s="192"/>
    </row>
    <row r="69" spans="1:9" ht="18.75" customHeight="1" x14ac:dyDescent="0.15">
      <c r="A69" s="66"/>
      <c r="B69" s="190"/>
      <c r="C69" s="191"/>
      <c r="D69" s="191"/>
      <c r="E69" s="191"/>
      <c r="F69" s="191"/>
      <c r="G69" s="191"/>
      <c r="H69" s="191"/>
      <c r="I69" s="192"/>
    </row>
    <row r="70" spans="1:9" ht="18.75" customHeight="1" x14ac:dyDescent="0.15">
      <c r="A70" s="66"/>
      <c r="B70" s="190"/>
      <c r="C70" s="191"/>
      <c r="D70" s="191"/>
      <c r="E70" s="191"/>
      <c r="F70" s="191"/>
      <c r="G70" s="191"/>
      <c r="H70" s="191"/>
      <c r="I70" s="192"/>
    </row>
    <row r="71" spans="1:9" ht="18.75" customHeight="1" x14ac:dyDescent="0.15">
      <c r="A71" s="66"/>
      <c r="B71" s="190"/>
      <c r="C71" s="191"/>
      <c r="D71" s="191"/>
      <c r="E71" s="191"/>
      <c r="F71" s="191"/>
      <c r="G71" s="191"/>
      <c r="H71" s="191"/>
      <c r="I71" s="192"/>
    </row>
    <row r="72" spans="1:9" ht="18.75" customHeight="1" x14ac:dyDescent="0.15">
      <c r="A72" s="66"/>
      <c r="B72" s="190"/>
      <c r="C72" s="191"/>
      <c r="D72" s="191"/>
      <c r="E72" s="191"/>
      <c r="F72" s="191"/>
      <c r="G72" s="191"/>
      <c r="H72" s="191"/>
      <c r="I72" s="192"/>
    </row>
    <row r="73" spans="1:9" ht="18.75" customHeight="1" x14ac:dyDescent="0.15">
      <c r="A73" s="66"/>
      <c r="B73" s="190"/>
      <c r="C73" s="191"/>
      <c r="D73" s="191"/>
      <c r="E73" s="191"/>
      <c r="F73" s="191"/>
      <c r="G73" s="191"/>
      <c r="H73" s="191"/>
      <c r="I73" s="192"/>
    </row>
    <row r="74" spans="1:9" ht="18.75" customHeight="1" x14ac:dyDescent="0.15">
      <c r="A74" s="66"/>
      <c r="B74" s="190"/>
      <c r="C74" s="191"/>
      <c r="D74" s="191"/>
      <c r="E74" s="191"/>
      <c r="F74" s="191"/>
      <c r="G74" s="191"/>
      <c r="H74" s="191"/>
      <c r="I74" s="192"/>
    </row>
    <row r="75" spans="1:9" ht="18.75" customHeight="1" x14ac:dyDescent="0.15">
      <c r="A75" s="66"/>
      <c r="B75" s="190"/>
      <c r="C75" s="191"/>
      <c r="D75" s="191"/>
      <c r="E75" s="191"/>
      <c r="F75" s="191"/>
      <c r="G75" s="191"/>
      <c r="H75" s="191"/>
      <c r="I75" s="192"/>
    </row>
    <row r="76" spans="1:9" ht="18.75" customHeight="1" x14ac:dyDescent="0.15">
      <c r="A76" s="66"/>
      <c r="B76" s="190"/>
      <c r="C76" s="191"/>
      <c r="D76" s="191"/>
      <c r="E76" s="191"/>
      <c r="F76" s="191"/>
      <c r="G76" s="191"/>
      <c r="H76" s="191"/>
      <c r="I76" s="192"/>
    </row>
    <row r="77" spans="1:9" ht="18.75" customHeight="1" x14ac:dyDescent="0.15">
      <c r="A77" s="66"/>
      <c r="B77" s="193"/>
      <c r="C77" s="194"/>
      <c r="D77" s="194"/>
      <c r="E77" s="194"/>
      <c r="F77" s="194"/>
      <c r="G77" s="194"/>
      <c r="H77" s="194"/>
      <c r="I77" s="195"/>
    </row>
    <row r="78" spans="1:9" ht="7.5" customHeight="1" x14ac:dyDescent="0.15">
      <c r="A78" s="66"/>
      <c r="B78" s="66"/>
      <c r="C78" s="66"/>
      <c r="D78" s="66"/>
      <c r="E78" s="66"/>
      <c r="F78" s="66"/>
      <c r="G78" s="66"/>
      <c r="H78" s="66"/>
      <c r="I78" s="66"/>
    </row>
    <row r="79" spans="1:9" ht="18.75" customHeight="1" x14ac:dyDescent="0.15">
      <c r="A79" s="89" t="s">
        <v>11</v>
      </c>
      <c r="B79" s="89" t="s">
        <v>38</v>
      </c>
    </row>
    <row r="80" spans="1:9" ht="18.75" customHeight="1" x14ac:dyDescent="0.15">
      <c r="A80" s="89"/>
      <c r="B80" s="187" t="s">
        <v>220</v>
      </c>
      <c r="C80" s="188"/>
      <c r="D80" s="188"/>
      <c r="E80" s="188"/>
      <c r="F80" s="188"/>
      <c r="G80" s="188"/>
      <c r="H80" s="188"/>
      <c r="I80" s="196"/>
    </row>
    <row r="81" spans="1:9" ht="18.75" customHeight="1" x14ac:dyDescent="0.15">
      <c r="A81" s="89"/>
      <c r="B81" s="197"/>
      <c r="C81" s="198"/>
      <c r="D81" s="198"/>
      <c r="E81" s="198"/>
      <c r="F81" s="198"/>
      <c r="G81" s="198"/>
      <c r="H81" s="198"/>
      <c r="I81" s="199"/>
    </row>
    <row r="82" spans="1:9" ht="18.75" customHeight="1" x14ac:dyDescent="0.15">
      <c r="A82" s="89"/>
      <c r="B82" s="197"/>
      <c r="C82" s="198"/>
      <c r="D82" s="198"/>
      <c r="E82" s="198"/>
      <c r="F82" s="198"/>
      <c r="G82" s="198"/>
      <c r="H82" s="198"/>
      <c r="I82" s="199"/>
    </row>
    <row r="83" spans="1:9" ht="18.75" customHeight="1" x14ac:dyDescent="0.15">
      <c r="A83" s="89"/>
      <c r="B83" s="197"/>
      <c r="C83" s="198"/>
      <c r="D83" s="198"/>
      <c r="E83" s="198"/>
      <c r="F83" s="198"/>
      <c r="G83" s="198"/>
      <c r="H83" s="198"/>
      <c r="I83" s="199"/>
    </row>
    <row r="84" spans="1:9" ht="18.75" customHeight="1" x14ac:dyDescent="0.15">
      <c r="A84" s="89"/>
      <c r="B84" s="197"/>
      <c r="C84" s="198"/>
      <c r="D84" s="198"/>
      <c r="E84" s="198"/>
      <c r="F84" s="198"/>
      <c r="G84" s="198"/>
      <c r="H84" s="198"/>
      <c r="I84" s="199"/>
    </row>
    <row r="85" spans="1:9" ht="18.75" customHeight="1" x14ac:dyDescent="0.15">
      <c r="A85" s="89"/>
      <c r="B85" s="197"/>
      <c r="C85" s="198"/>
      <c r="D85" s="198"/>
      <c r="E85" s="198"/>
      <c r="F85" s="198"/>
      <c r="G85" s="198"/>
      <c r="H85" s="198"/>
      <c r="I85" s="199"/>
    </row>
    <row r="86" spans="1:9" ht="18.75" customHeight="1" x14ac:dyDescent="0.15">
      <c r="A86" s="89"/>
      <c r="B86" s="197"/>
      <c r="C86" s="198"/>
      <c r="D86" s="198"/>
      <c r="E86" s="198"/>
      <c r="F86" s="198"/>
      <c r="G86" s="198"/>
      <c r="H86" s="198"/>
      <c r="I86" s="199"/>
    </row>
    <row r="87" spans="1:9" ht="18.75" customHeight="1" x14ac:dyDescent="0.15">
      <c r="A87" s="89"/>
      <c r="B87" s="197"/>
      <c r="C87" s="198"/>
      <c r="D87" s="198"/>
      <c r="E87" s="198"/>
      <c r="F87" s="198"/>
      <c r="G87" s="198"/>
      <c r="H87" s="198"/>
      <c r="I87" s="199"/>
    </row>
    <row r="88" spans="1:9" ht="18.75" customHeight="1" x14ac:dyDescent="0.15">
      <c r="A88" s="89"/>
      <c r="B88" s="197"/>
      <c r="C88" s="198"/>
      <c r="D88" s="198"/>
      <c r="E88" s="198"/>
      <c r="F88" s="198"/>
      <c r="G88" s="198"/>
      <c r="H88" s="198"/>
      <c r="I88" s="199"/>
    </row>
    <row r="89" spans="1:9" ht="18.75" customHeight="1" x14ac:dyDescent="0.15">
      <c r="A89" s="89"/>
      <c r="B89" s="197"/>
      <c r="C89" s="198"/>
      <c r="D89" s="198"/>
      <c r="E89" s="198"/>
      <c r="F89" s="198"/>
      <c r="G89" s="198"/>
      <c r="H89" s="198"/>
      <c r="I89" s="199"/>
    </row>
    <row r="90" spans="1:9" ht="18.75" customHeight="1" x14ac:dyDescent="0.15">
      <c r="A90" s="66"/>
      <c r="B90" s="197"/>
      <c r="C90" s="198"/>
      <c r="D90" s="198"/>
      <c r="E90" s="198"/>
      <c r="F90" s="198"/>
      <c r="G90" s="198"/>
      <c r="H90" s="198"/>
      <c r="I90" s="199"/>
    </row>
    <row r="91" spans="1:9" ht="14.1" customHeight="1" x14ac:dyDescent="0.15">
      <c r="A91" s="66"/>
      <c r="B91" s="200"/>
      <c r="C91" s="201"/>
      <c r="D91" s="201"/>
      <c r="E91" s="201"/>
      <c r="F91" s="201"/>
      <c r="G91" s="201"/>
      <c r="H91" s="201"/>
      <c r="I91" s="202"/>
    </row>
    <row r="92" spans="1:9" ht="7.5" customHeight="1" x14ac:dyDescent="0.15">
      <c r="A92" s="66"/>
      <c r="B92" s="66"/>
      <c r="C92" s="66"/>
      <c r="D92" s="66"/>
      <c r="E92" s="66"/>
      <c r="F92" s="66"/>
      <c r="G92" s="66"/>
      <c r="H92" s="66"/>
      <c r="I92" s="66"/>
    </row>
    <row r="93" spans="1:9" ht="18.75" customHeight="1" x14ac:dyDescent="0.15">
      <c r="A93" s="89" t="s">
        <v>41</v>
      </c>
      <c r="B93" s="89" t="s">
        <v>12</v>
      </c>
    </row>
    <row r="94" spans="1:9" ht="18.75" customHeight="1" x14ac:dyDescent="0.15">
      <c r="A94" s="89"/>
      <c r="B94" s="240" t="s">
        <v>210</v>
      </c>
      <c r="C94" s="241"/>
      <c r="D94" s="241"/>
      <c r="E94" s="241"/>
      <c r="F94" s="241"/>
      <c r="G94" s="241"/>
      <c r="H94" s="241"/>
      <c r="I94" s="242"/>
    </row>
    <row r="95" spans="1:9" ht="18.75" customHeight="1" x14ac:dyDescent="0.15">
      <c r="A95" s="89"/>
      <c r="B95" s="243"/>
      <c r="C95" s="244"/>
      <c r="D95" s="244"/>
      <c r="E95" s="244"/>
      <c r="F95" s="244"/>
      <c r="G95" s="244"/>
      <c r="H95" s="244"/>
      <c r="I95" s="245"/>
    </row>
    <row r="96" spans="1:9" ht="18.75" customHeight="1" x14ac:dyDescent="0.15">
      <c r="A96" s="89"/>
      <c r="B96" s="243"/>
      <c r="C96" s="244"/>
      <c r="D96" s="244"/>
      <c r="E96" s="244"/>
      <c r="F96" s="244"/>
      <c r="G96" s="244"/>
      <c r="H96" s="244"/>
      <c r="I96" s="245"/>
    </row>
    <row r="97" spans="1:9" ht="18.75" customHeight="1" x14ac:dyDescent="0.15">
      <c r="A97" s="89"/>
      <c r="B97" s="243"/>
      <c r="C97" s="244"/>
      <c r="D97" s="244"/>
      <c r="E97" s="244"/>
      <c r="F97" s="244"/>
      <c r="G97" s="244"/>
      <c r="H97" s="244"/>
      <c r="I97" s="245"/>
    </row>
    <row r="98" spans="1:9" ht="18.75" customHeight="1" x14ac:dyDescent="0.15">
      <c r="A98" s="89"/>
      <c r="B98" s="243"/>
      <c r="C98" s="244"/>
      <c r="D98" s="244"/>
      <c r="E98" s="244"/>
      <c r="F98" s="244"/>
      <c r="G98" s="244"/>
      <c r="H98" s="244"/>
      <c r="I98" s="245"/>
    </row>
    <row r="99" spans="1:9" ht="18.75" customHeight="1" x14ac:dyDescent="0.15">
      <c r="A99" s="89"/>
      <c r="B99" s="243"/>
      <c r="C99" s="244"/>
      <c r="D99" s="244"/>
      <c r="E99" s="244"/>
      <c r="F99" s="244"/>
      <c r="G99" s="244"/>
      <c r="H99" s="244"/>
      <c r="I99" s="245"/>
    </row>
    <row r="100" spans="1:9" ht="18.75" customHeight="1" x14ac:dyDescent="0.15">
      <c r="A100" s="89"/>
      <c r="B100" s="243"/>
      <c r="C100" s="244"/>
      <c r="D100" s="244"/>
      <c r="E100" s="244"/>
      <c r="F100" s="244"/>
      <c r="G100" s="244"/>
      <c r="H100" s="244"/>
      <c r="I100" s="245"/>
    </row>
    <row r="101" spans="1:9" ht="18.75" customHeight="1" x14ac:dyDescent="0.15">
      <c r="A101" s="89"/>
      <c r="B101" s="243"/>
      <c r="C101" s="244"/>
      <c r="D101" s="244"/>
      <c r="E101" s="244"/>
      <c r="F101" s="244"/>
      <c r="G101" s="244"/>
      <c r="H101" s="244"/>
      <c r="I101" s="245"/>
    </row>
    <row r="102" spans="1:9" ht="18.75" customHeight="1" x14ac:dyDescent="0.15">
      <c r="A102" s="89"/>
      <c r="B102" s="243"/>
      <c r="C102" s="244"/>
      <c r="D102" s="244"/>
      <c r="E102" s="244"/>
      <c r="F102" s="244"/>
      <c r="G102" s="244"/>
      <c r="H102" s="244"/>
      <c r="I102" s="245"/>
    </row>
    <row r="103" spans="1:9" ht="18.75" customHeight="1" x14ac:dyDescent="0.15">
      <c r="A103" s="89"/>
      <c r="B103" s="243"/>
      <c r="C103" s="244"/>
      <c r="D103" s="244"/>
      <c r="E103" s="244"/>
      <c r="F103" s="244"/>
      <c r="G103" s="244"/>
      <c r="H103" s="244"/>
      <c r="I103" s="245"/>
    </row>
    <row r="104" spans="1:9" ht="18.75" customHeight="1" x14ac:dyDescent="0.15">
      <c r="A104" s="89"/>
      <c r="B104" s="243"/>
      <c r="C104" s="244"/>
      <c r="D104" s="244"/>
      <c r="E104" s="244"/>
      <c r="F104" s="244"/>
      <c r="G104" s="244"/>
      <c r="H104" s="244"/>
      <c r="I104" s="245"/>
    </row>
    <row r="105" spans="1:9" ht="18.75" customHeight="1" x14ac:dyDescent="0.15">
      <c r="A105" s="66"/>
      <c r="B105" s="246"/>
      <c r="C105" s="247"/>
      <c r="D105" s="247"/>
      <c r="E105" s="247"/>
      <c r="F105" s="247"/>
      <c r="G105" s="247"/>
      <c r="H105" s="247"/>
      <c r="I105" s="248"/>
    </row>
    <row r="106" spans="1:9" ht="7.5" customHeight="1" x14ac:dyDescent="0.15">
      <c r="A106" s="66"/>
      <c r="B106" s="66"/>
      <c r="C106" s="66"/>
      <c r="D106" s="66"/>
      <c r="E106" s="66"/>
      <c r="F106" s="66"/>
      <c r="G106" s="66"/>
      <c r="H106" s="66"/>
      <c r="I106" s="66"/>
    </row>
    <row r="107" spans="1:9" ht="18.75" customHeight="1" x14ac:dyDescent="0.15">
      <c r="A107" s="89" t="s">
        <v>29</v>
      </c>
      <c r="B107" s="249" t="s">
        <v>43</v>
      </c>
      <c r="C107" s="249"/>
      <c r="D107" s="249"/>
      <c r="E107" s="249"/>
      <c r="F107" s="249"/>
      <c r="G107" s="249"/>
      <c r="H107" s="249"/>
      <c r="I107" s="249"/>
    </row>
    <row r="108" spans="1:9" ht="18.75" customHeight="1" x14ac:dyDescent="0.15">
      <c r="A108" s="66"/>
      <c r="B108" s="240" t="s">
        <v>211</v>
      </c>
      <c r="C108" s="241"/>
      <c r="D108" s="241"/>
      <c r="E108" s="241"/>
      <c r="F108" s="241"/>
      <c r="G108" s="241"/>
      <c r="H108" s="241"/>
      <c r="I108" s="242"/>
    </row>
    <row r="109" spans="1:9" ht="18.75" customHeight="1" x14ac:dyDescent="0.15">
      <c r="A109" s="66"/>
      <c r="B109" s="243"/>
      <c r="C109" s="244"/>
      <c r="D109" s="244"/>
      <c r="E109" s="244"/>
      <c r="F109" s="244"/>
      <c r="G109" s="244"/>
      <c r="H109" s="244"/>
      <c r="I109" s="245"/>
    </row>
    <row r="110" spans="1:9" ht="18.75" customHeight="1" x14ac:dyDescent="0.15">
      <c r="A110" s="66"/>
      <c r="B110" s="243"/>
      <c r="C110" s="244"/>
      <c r="D110" s="244"/>
      <c r="E110" s="244"/>
      <c r="F110" s="244"/>
      <c r="G110" s="244"/>
      <c r="H110" s="244"/>
      <c r="I110" s="245"/>
    </row>
    <row r="111" spans="1:9" ht="18.75" customHeight="1" x14ac:dyDescent="0.15">
      <c r="A111" s="66"/>
      <c r="B111" s="243"/>
      <c r="C111" s="244"/>
      <c r="D111" s="244"/>
      <c r="E111" s="244"/>
      <c r="F111" s="244"/>
      <c r="G111" s="244"/>
      <c r="H111" s="244"/>
      <c r="I111" s="245"/>
    </row>
    <row r="112" spans="1:9" ht="18.75" customHeight="1" x14ac:dyDescent="0.15">
      <c r="A112" s="66"/>
      <c r="B112" s="243"/>
      <c r="C112" s="244"/>
      <c r="D112" s="244"/>
      <c r="E112" s="244"/>
      <c r="F112" s="244"/>
      <c r="G112" s="244"/>
      <c r="H112" s="244"/>
      <c r="I112" s="245"/>
    </row>
    <row r="113" spans="1:9" ht="18.75" customHeight="1" x14ac:dyDescent="0.15">
      <c r="A113" s="66"/>
      <c r="B113" s="243"/>
      <c r="C113" s="244"/>
      <c r="D113" s="244"/>
      <c r="E113" s="244"/>
      <c r="F113" s="244"/>
      <c r="G113" s="244"/>
      <c r="H113" s="244"/>
      <c r="I113" s="245"/>
    </row>
    <row r="114" spans="1:9" ht="18.75" customHeight="1" x14ac:dyDescent="0.15">
      <c r="A114" s="66"/>
      <c r="B114" s="243"/>
      <c r="C114" s="244"/>
      <c r="D114" s="244"/>
      <c r="E114" s="244"/>
      <c r="F114" s="244"/>
      <c r="G114" s="244"/>
      <c r="H114" s="244"/>
      <c r="I114" s="245"/>
    </row>
    <row r="115" spans="1:9" ht="18.75" customHeight="1" x14ac:dyDescent="0.15">
      <c r="A115" s="66"/>
      <c r="B115" s="243"/>
      <c r="C115" s="244"/>
      <c r="D115" s="244"/>
      <c r="E115" s="244"/>
      <c r="F115" s="244"/>
      <c r="G115" s="244"/>
      <c r="H115" s="244"/>
      <c r="I115" s="245"/>
    </row>
    <row r="116" spans="1:9" ht="18.75" customHeight="1" x14ac:dyDescent="0.15">
      <c r="A116" s="66"/>
      <c r="B116" s="243"/>
      <c r="C116" s="244"/>
      <c r="D116" s="244"/>
      <c r="E116" s="244"/>
      <c r="F116" s="244"/>
      <c r="G116" s="244"/>
      <c r="H116" s="244"/>
      <c r="I116" s="245"/>
    </row>
    <row r="117" spans="1:9" ht="18.75" customHeight="1" x14ac:dyDescent="0.15">
      <c r="A117" s="66"/>
      <c r="B117" s="243"/>
      <c r="C117" s="244"/>
      <c r="D117" s="244"/>
      <c r="E117" s="244"/>
      <c r="F117" s="244"/>
      <c r="G117" s="244"/>
      <c r="H117" s="244"/>
      <c r="I117" s="245"/>
    </row>
    <row r="118" spans="1:9" ht="18.75" customHeight="1" x14ac:dyDescent="0.15">
      <c r="A118" s="66"/>
      <c r="B118" s="243"/>
      <c r="C118" s="244"/>
      <c r="D118" s="244"/>
      <c r="E118" s="244"/>
      <c r="F118" s="244"/>
      <c r="G118" s="244"/>
      <c r="H118" s="244"/>
      <c r="I118" s="245"/>
    </row>
    <row r="119" spans="1:9" ht="18.75" customHeight="1" x14ac:dyDescent="0.15">
      <c r="A119" s="66"/>
      <c r="B119" s="246"/>
      <c r="C119" s="247"/>
      <c r="D119" s="247"/>
      <c r="E119" s="247"/>
      <c r="F119" s="247"/>
      <c r="G119" s="247"/>
      <c r="H119" s="247"/>
      <c r="I119" s="248"/>
    </row>
    <row r="120" spans="1:9" ht="7.5" customHeight="1" x14ac:dyDescent="0.15">
      <c r="A120" s="66"/>
      <c r="B120" s="71"/>
      <c r="C120" s="71"/>
      <c r="D120" s="71"/>
      <c r="E120" s="71"/>
      <c r="F120" s="71"/>
      <c r="G120" s="71"/>
      <c r="H120" s="71"/>
      <c r="I120" s="71"/>
    </row>
    <row r="121" spans="1:9" ht="18.75" customHeight="1" x14ac:dyDescent="0.15">
      <c r="A121" s="89"/>
      <c r="B121" s="214"/>
      <c r="C121" s="214"/>
      <c r="D121" s="214"/>
      <c r="E121" s="214"/>
      <c r="F121" s="214"/>
      <c r="G121" s="214"/>
      <c r="H121" s="214"/>
      <c r="I121" s="214"/>
    </row>
    <row r="122" spans="1:9" ht="18.75" customHeight="1" x14ac:dyDescent="0.15">
      <c r="A122" s="89"/>
      <c r="B122" s="214"/>
      <c r="C122" s="214"/>
      <c r="D122" s="214"/>
      <c r="E122" s="214"/>
      <c r="F122" s="214"/>
      <c r="G122" s="214"/>
      <c r="H122" s="214"/>
      <c r="I122" s="214"/>
    </row>
    <row r="123" spans="1:9" ht="18.75" customHeight="1" x14ac:dyDescent="0.15">
      <c r="A123" s="66"/>
      <c r="B123" s="86"/>
      <c r="C123" s="86"/>
      <c r="D123" s="86"/>
      <c r="E123" s="86"/>
      <c r="F123" s="86"/>
      <c r="G123" s="86"/>
      <c r="H123" s="86"/>
      <c r="I123" s="87"/>
    </row>
    <row r="124" spans="1:9" ht="18.75" customHeight="1" x14ac:dyDescent="0.15">
      <c r="A124" s="66"/>
      <c r="B124" s="87"/>
      <c r="C124" s="87"/>
      <c r="D124" s="87"/>
      <c r="E124" s="87"/>
      <c r="F124" s="87"/>
      <c r="G124" s="87"/>
      <c r="H124" s="87"/>
      <c r="I124" s="87"/>
    </row>
    <row r="125" spans="1:9" ht="18.75" customHeight="1" x14ac:dyDescent="0.15">
      <c r="A125" s="66"/>
      <c r="B125" s="87"/>
      <c r="C125" s="87"/>
      <c r="D125" s="87"/>
      <c r="E125" s="87"/>
      <c r="F125" s="87"/>
      <c r="G125" s="87"/>
      <c r="H125" s="87"/>
      <c r="I125" s="87"/>
    </row>
    <row r="126" spans="1:9" ht="18.75" customHeight="1" x14ac:dyDescent="0.15">
      <c r="A126" s="66"/>
      <c r="B126" s="87"/>
      <c r="C126" s="87"/>
      <c r="D126" s="87"/>
      <c r="E126" s="87"/>
      <c r="F126" s="87"/>
      <c r="G126" s="87"/>
      <c r="H126" s="87"/>
      <c r="I126" s="87"/>
    </row>
    <row r="127" spans="1:9" ht="18.75" customHeight="1" x14ac:dyDescent="0.15">
      <c r="A127" s="66"/>
      <c r="B127" s="87"/>
      <c r="C127" s="87"/>
      <c r="D127" s="87"/>
      <c r="E127" s="87"/>
      <c r="F127" s="87"/>
      <c r="G127" s="87"/>
      <c r="H127" s="87"/>
      <c r="I127" s="87"/>
    </row>
    <row r="128" spans="1:9" ht="18.75" customHeight="1" x14ac:dyDescent="0.15">
      <c r="A128" s="66"/>
      <c r="B128" s="87"/>
      <c r="C128" s="87"/>
      <c r="D128" s="87"/>
      <c r="E128" s="87"/>
      <c r="F128" s="87"/>
      <c r="G128" s="87"/>
      <c r="H128" s="87"/>
      <c r="I128" s="87"/>
    </row>
    <row r="129" spans="1:9" ht="18.75" customHeight="1" x14ac:dyDescent="0.15">
      <c r="A129" s="66"/>
      <c r="B129" s="87"/>
      <c r="C129" s="87"/>
      <c r="D129" s="87"/>
      <c r="E129" s="87"/>
      <c r="F129" s="87"/>
      <c r="G129" s="87"/>
      <c r="H129" s="87"/>
      <c r="I129" s="87"/>
    </row>
    <row r="130" spans="1:9" ht="18.75" customHeight="1" x14ac:dyDescent="0.15">
      <c r="A130" s="66"/>
      <c r="B130" s="87"/>
      <c r="C130" s="87"/>
      <c r="D130" s="87"/>
      <c r="E130" s="87"/>
      <c r="F130" s="87"/>
      <c r="G130" s="87"/>
      <c r="H130" s="87"/>
      <c r="I130" s="87"/>
    </row>
    <row r="131" spans="1:9" ht="18.75" customHeight="1" x14ac:dyDescent="0.15">
      <c r="A131" s="66"/>
      <c r="B131" s="87"/>
      <c r="C131" s="87"/>
      <c r="D131" s="87"/>
      <c r="E131" s="87"/>
      <c r="F131" s="87"/>
      <c r="G131" s="87"/>
      <c r="H131" s="87"/>
      <c r="I131" s="87"/>
    </row>
    <row r="132" spans="1:9" ht="18.75" customHeight="1" x14ac:dyDescent="0.15">
      <c r="A132" s="66"/>
      <c r="B132" s="87"/>
      <c r="C132" s="87"/>
      <c r="D132" s="87"/>
      <c r="E132" s="87"/>
      <c r="F132" s="87"/>
      <c r="G132" s="87"/>
      <c r="H132" s="87"/>
      <c r="I132" s="87"/>
    </row>
    <row r="133" spans="1:9" ht="14.25" x14ac:dyDescent="0.15">
      <c r="A133" s="66"/>
      <c r="B133" s="87"/>
      <c r="C133" s="87"/>
      <c r="D133" s="87"/>
      <c r="E133" s="87"/>
      <c r="F133" s="87"/>
      <c r="G133" s="87"/>
      <c r="H133" s="87"/>
      <c r="I133" s="87"/>
    </row>
    <row r="134" spans="1:9" ht="7.5" customHeight="1" x14ac:dyDescent="0.15">
      <c r="A134" s="66"/>
      <c r="B134" s="87"/>
      <c r="C134" s="87"/>
      <c r="D134" s="87"/>
      <c r="E134" s="87"/>
      <c r="F134" s="87"/>
      <c r="G134" s="87"/>
      <c r="H134" s="87"/>
      <c r="I134" s="87"/>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30"/>
  <sheetViews>
    <sheetView showZeros="0" tabSelected="1" view="pageBreakPreview" zoomScaleNormal="100" zoomScaleSheetLayoutView="100" workbookViewId="0">
      <selection activeCell="A13" sqref="A1:XFD1048576"/>
    </sheetView>
  </sheetViews>
  <sheetFormatPr defaultColWidth="11.375" defaultRowHeight="22.5" customHeight="1" x14ac:dyDescent="0.15"/>
  <cols>
    <col min="1" max="3" width="2.875" style="89" customWidth="1"/>
    <col min="4" max="4" width="22.125" style="89" customWidth="1"/>
    <col min="5" max="5" width="30.875" style="89" customWidth="1"/>
    <col min="6" max="7" width="7.875" style="89" customWidth="1"/>
    <col min="8" max="9" width="30.875" style="89" customWidth="1"/>
    <col min="10" max="10" width="4.125" style="89" customWidth="1"/>
    <col min="11" max="16384" width="11.375" style="89"/>
  </cols>
  <sheetData>
    <row r="1" spans="1:9" ht="18.75" customHeight="1" x14ac:dyDescent="0.15">
      <c r="A1" s="89" t="s">
        <v>62</v>
      </c>
      <c r="I1" s="61" t="s">
        <v>89</v>
      </c>
    </row>
    <row r="2" spans="1:9" ht="18.75" customHeight="1" x14ac:dyDescent="0.15">
      <c r="H2" s="61" t="s">
        <v>92</v>
      </c>
      <c r="I2" s="84" t="s">
        <v>214</v>
      </c>
    </row>
    <row r="3" spans="1:9" ht="18.75" customHeight="1" x14ac:dyDescent="0.15">
      <c r="A3" s="171" t="s">
        <v>27</v>
      </c>
      <c r="B3" s="171"/>
      <c r="C3" s="171"/>
      <c r="D3" s="171"/>
      <c r="E3" s="171"/>
      <c r="F3" s="171"/>
      <c r="G3" s="171"/>
      <c r="H3" s="171"/>
      <c r="I3" s="171"/>
    </row>
    <row r="4" spans="1:9" ht="18.75" customHeight="1" x14ac:dyDescent="0.15">
      <c r="A4" s="85"/>
      <c r="B4" s="85"/>
      <c r="C4" s="85"/>
      <c r="D4" s="85"/>
      <c r="E4" s="85"/>
      <c r="F4" s="85"/>
      <c r="G4" s="85"/>
      <c r="H4" s="85"/>
      <c r="I4" s="85"/>
    </row>
    <row r="5" spans="1:9" ht="18.75" customHeight="1" x14ac:dyDescent="0.15">
      <c r="A5" s="89" t="s">
        <v>0</v>
      </c>
      <c r="B5" s="2" t="s">
        <v>84</v>
      </c>
      <c r="C5" s="85"/>
      <c r="D5" s="85"/>
      <c r="E5" s="85"/>
      <c r="F5" s="85"/>
      <c r="G5" s="85"/>
      <c r="H5" s="85"/>
      <c r="I5" s="85"/>
    </row>
    <row r="6" spans="1:9" ht="26.25" customHeight="1" x14ac:dyDescent="0.15">
      <c r="A6" s="85"/>
      <c r="B6" s="231" t="s">
        <v>237</v>
      </c>
      <c r="C6" s="276"/>
      <c r="D6" s="276"/>
      <c r="E6" s="276"/>
      <c r="F6" s="276"/>
      <c r="G6" s="276"/>
      <c r="H6" s="277"/>
      <c r="I6" s="88"/>
    </row>
    <row r="7" spans="1:9" ht="9" customHeight="1" x14ac:dyDescent="0.15">
      <c r="A7" s="85"/>
      <c r="B7" s="2"/>
      <c r="C7" s="2"/>
      <c r="D7" s="2"/>
      <c r="E7" s="2"/>
      <c r="F7" s="2"/>
      <c r="G7" s="2"/>
      <c r="H7" s="2"/>
      <c r="I7" s="88"/>
    </row>
    <row r="8" spans="1:9" ht="18.75" customHeight="1" x14ac:dyDescent="0.15">
      <c r="A8" s="85"/>
      <c r="B8" s="88"/>
      <c r="C8" s="88"/>
      <c r="D8" s="61" t="s">
        <v>40</v>
      </c>
      <c r="E8" s="72" t="s">
        <v>155</v>
      </c>
      <c r="F8" s="88"/>
      <c r="G8" s="61" t="s">
        <v>10</v>
      </c>
      <c r="H8" s="72" t="s">
        <v>152</v>
      </c>
      <c r="I8" s="88"/>
    </row>
    <row r="9" spans="1:9" ht="7.5" customHeight="1" x14ac:dyDescent="0.15">
      <c r="A9" s="85"/>
      <c r="B9" s="85"/>
      <c r="C9" s="85"/>
      <c r="D9" s="85"/>
      <c r="E9" s="85"/>
      <c r="F9" s="85"/>
      <c r="G9" s="85"/>
      <c r="H9" s="85"/>
      <c r="I9" s="85"/>
    </row>
    <row r="10" spans="1:9" ht="18.75" customHeight="1" x14ac:dyDescent="0.15">
      <c r="A10" s="89" t="s">
        <v>3</v>
      </c>
      <c r="B10" s="89" t="s">
        <v>26</v>
      </c>
      <c r="C10" s="66"/>
      <c r="D10" s="66"/>
      <c r="E10" s="66"/>
      <c r="F10" s="66"/>
      <c r="G10" s="66"/>
      <c r="H10" s="66"/>
      <c r="I10" s="66"/>
    </row>
    <row r="11" spans="1:9" ht="18.75" customHeight="1" x14ac:dyDescent="0.15">
      <c r="B11" s="215" t="s">
        <v>23</v>
      </c>
      <c r="C11" s="275"/>
      <c r="D11" s="216"/>
      <c r="E11" s="116" t="s">
        <v>25</v>
      </c>
      <c r="F11" s="116"/>
      <c r="G11" s="116"/>
      <c r="H11" s="116"/>
      <c r="I11" s="117"/>
    </row>
    <row r="12" spans="1:9" ht="26.25" customHeight="1" x14ac:dyDescent="0.15">
      <c r="B12" s="73" t="s">
        <v>13</v>
      </c>
      <c r="C12" s="74"/>
      <c r="D12" s="75"/>
      <c r="E12" s="8"/>
      <c r="F12" s="8"/>
      <c r="G12" s="8"/>
      <c r="H12" s="8"/>
      <c r="I12" s="76"/>
    </row>
    <row r="13" spans="1:9" ht="210.75" customHeight="1" x14ac:dyDescent="0.15">
      <c r="B13" s="77"/>
      <c r="C13" s="258" t="s">
        <v>14</v>
      </c>
      <c r="D13" s="259"/>
      <c r="E13" s="271" t="s">
        <v>238</v>
      </c>
      <c r="F13" s="260"/>
      <c r="G13" s="260"/>
      <c r="H13" s="260"/>
      <c r="I13" s="261"/>
    </row>
    <row r="14" spans="1:9" ht="210.75" customHeight="1" x14ac:dyDescent="0.15">
      <c r="B14" s="77"/>
      <c r="C14" s="273" t="s">
        <v>15</v>
      </c>
      <c r="D14" s="274"/>
      <c r="E14" s="271" t="s">
        <v>233</v>
      </c>
      <c r="F14" s="260"/>
      <c r="G14" s="260"/>
      <c r="H14" s="260"/>
      <c r="I14" s="261"/>
    </row>
    <row r="15" spans="1:9" ht="210.75" customHeight="1" x14ac:dyDescent="0.15">
      <c r="B15" s="77"/>
      <c r="C15" s="258" t="s">
        <v>16</v>
      </c>
      <c r="D15" s="259"/>
      <c r="E15" s="271" t="s">
        <v>215</v>
      </c>
      <c r="F15" s="260"/>
      <c r="G15" s="260"/>
      <c r="H15" s="260"/>
      <c r="I15" s="261"/>
    </row>
    <row r="16" spans="1:9" ht="210.75" customHeight="1" x14ac:dyDescent="0.15">
      <c r="B16" s="77"/>
      <c r="C16" s="258" t="s">
        <v>17</v>
      </c>
      <c r="D16" s="259"/>
      <c r="E16" s="271" t="s">
        <v>216</v>
      </c>
      <c r="F16" s="260"/>
      <c r="G16" s="260"/>
      <c r="H16" s="260"/>
      <c r="I16" s="261"/>
    </row>
    <row r="17" spans="2:9" ht="210.75" customHeight="1" x14ac:dyDescent="0.15">
      <c r="B17" s="78"/>
      <c r="C17" s="262" t="s">
        <v>18</v>
      </c>
      <c r="D17" s="263"/>
      <c r="E17" s="272" t="s">
        <v>239</v>
      </c>
      <c r="F17" s="264"/>
      <c r="G17" s="264"/>
      <c r="H17" s="264"/>
      <c r="I17" s="265"/>
    </row>
    <row r="18" spans="2:9" ht="24" customHeight="1" x14ac:dyDescent="0.15">
      <c r="B18" s="73" t="s">
        <v>19</v>
      </c>
      <c r="C18" s="79"/>
      <c r="D18" s="80"/>
      <c r="E18" s="81"/>
      <c r="F18" s="81"/>
      <c r="G18" s="81"/>
      <c r="H18" s="81"/>
      <c r="I18" s="82"/>
    </row>
    <row r="19" spans="2:9" ht="218.25" customHeight="1" x14ac:dyDescent="0.15">
      <c r="B19" s="77"/>
      <c r="C19" s="258" t="s">
        <v>20</v>
      </c>
      <c r="D19" s="259"/>
      <c r="E19" s="260" t="s">
        <v>156</v>
      </c>
      <c r="F19" s="260"/>
      <c r="G19" s="260"/>
      <c r="H19" s="260"/>
      <c r="I19" s="261"/>
    </row>
    <row r="20" spans="2:9" ht="218.25" customHeight="1" x14ac:dyDescent="0.15">
      <c r="B20" s="78"/>
      <c r="C20" s="262" t="s">
        <v>21</v>
      </c>
      <c r="D20" s="263"/>
      <c r="E20" s="264" t="s">
        <v>217</v>
      </c>
      <c r="F20" s="264"/>
      <c r="G20" s="264"/>
      <c r="H20" s="264"/>
      <c r="I20" s="265"/>
    </row>
    <row r="21" spans="2:9" ht="409.5" customHeight="1" x14ac:dyDescent="0.15">
      <c r="B21" s="266" t="s">
        <v>22</v>
      </c>
      <c r="C21" s="267"/>
      <c r="D21" s="268"/>
      <c r="E21" s="269" t="s">
        <v>218</v>
      </c>
      <c r="F21" s="269"/>
      <c r="G21" s="269"/>
      <c r="H21" s="269"/>
      <c r="I21" s="270"/>
    </row>
    <row r="22" spans="2:9" ht="254.45" customHeight="1" x14ac:dyDescent="0.15">
      <c r="B22" s="253" t="s">
        <v>120</v>
      </c>
      <c r="C22" s="254"/>
      <c r="D22" s="255"/>
      <c r="E22" s="256" t="s">
        <v>219</v>
      </c>
      <c r="F22" s="256"/>
      <c r="G22" s="256"/>
      <c r="H22" s="256"/>
      <c r="I22" s="257"/>
    </row>
    <row r="23" spans="2:9" ht="22.5" customHeight="1" x14ac:dyDescent="0.15">
      <c r="B23" s="66"/>
      <c r="C23" s="66"/>
      <c r="D23" s="66"/>
      <c r="E23" s="66"/>
      <c r="F23" s="66"/>
      <c r="G23" s="66"/>
      <c r="H23" s="66"/>
      <c r="I23" s="66"/>
    </row>
    <row r="24" spans="2:9" ht="22.5" customHeight="1" x14ac:dyDescent="0.15">
      <c r="B24" s="66"/>
      <c r="C24" s="66"/>
      <c r="D24" s="66"/>
      <c r="E24" s="66"/>
      <c r="F24" s="66"/>
      <c r="G24" s="66"/>
      <c r="H24" s="66"/>
      <c r="I24" s="66"/>
    </row>
    <row r="25" spans="2:9" ht="22.5" customHeight="1" x14ac:dyDescent="0.15">
      <c r="B25" s="66"/>
      <c r="C25" s="66"/>
      <c r="D25" s="66"/>
      <c r="E25" s="66"/>
      <c r="F25" s="66"/>
      <c r="G25" s="66"/>
      <c r="H25" s="66"/>
      <c r="I25" s="66"/>
    </row>
    <row r="26" spans="2:9" ht="22.5" customHeight="1" x14ac:dyDescent="0.15">
      <c r="B26" s="66"/>
      <c r="C26" s="66"/>
      <c r="D26" s="66"/>
      <c r="E26" s="66"/>
      <c r="F26" s="66"/>
      <c r="G26" s="66"/>
      <c r="H26" s="66"/>
      <c r="I26" s="66"/>
    </row>
    <row r="27" spans="2:9" ht="22.5" customHeight="1" x14ac:dyDescent="0.15">
      <c r="B27" s="66"/>
      <c r="C27" s="66"/>
      <c r="D27" s="66"/>
      <c r="E27" s="66"/>
      <c r="F27" s="66"/>
      <c r="G27" s="66"/>
      <c r="H27" s="66"/>
      <c r="I27" s="66"/>
    </row>
    <row r="28" spans="2:9" ht="22.5" customHeight="1" x14ac:dyDescent="0.15">
      <c r="B28" s="64"/>
      <c r="C28" s="64"/>
      <c r="D28" s="64"/>
      <c r="E28" s="64"/>
      <c r="F28" s="64"/>
      <c r="G28" s="64"/>
      <c r="H28" s="64"/>
      <c r="I28" s="64"/>
    </row>
    <row r="29" spans="2:9" ht="22.5" customHeight="1" x14ac:dyDescent="0.15">
      <c r="B29" s="64"/>
      <c r="C29" s="64"/>
      <c r="D29" s="64"/>
      <c r="E29" s="64"/>
      <c r="F29" s="64"/>
      <c r="G29" s="64"/>
      <c r="H29" s="64"/>
      <c r="I29" s="64"/>
    </row>
    <row r="30" spans="2:9" ht="22.5" customHeight="1" x14ac:dyDescent="0.15">
      <c r="B30" s="64"/>
      <c r="C30" s="64"/>
      <c r="D30" s="64"/>
      <c r="E30" s="64"/>
      <c r="F30" s="64"/>
      <c r="G30" s="64"/>
      <c r="H30" s="64"/>
      <c r="I30" s="6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8</vt:i4>
      </vt:variant>
    </vt:vector>
  </HeadingPairs>
  <TitlesOfParts>
    <vt:vector size="16" baseType="lpstr">
      <vt:lpstr>様式１-１　プログラムを構成する授業科目 (薬学部)</vt:lpstr>
      <vt:lpstr>様式１-２　プログラムを構成する授業科目 (食品栄養科学部)</vt:lpstr>
      <vt:lpstr>様式１-３　プログラムを構成する授業科目 (国際関係学部</vt:lpstr>
      <vt:lpstr>様式１-４　プログラムを構成する授業科目 (経営情報学部</vt:lpstr>
      <vt:lpstr>様式１-５　プログラムを構成する授業科目 (看護学部)</vt:lpstr>
      <vt:lpstr>様式２ 履修者等数の実績</vt:lpstr>
      <vt:lpstr>様式３ 教育の質・履修者数を向上させるための体制・計画</vt:lpstr>
      <vt:lpstr>様式４　自己点検・評価</vt:lpstr>
      <vt:lpstr>'様式１-１　プログラムを構成する授業科目 (薬学部)'!Print_Area</vt:lpstr>
      <vt:lpstr>'様式１-２　プログラムを構成する授業科目 (食品栄養科学部)'!Print_Area</vt:lpstr>
      <vt:lpstr>'様式１-３　プログラムを構成する授業科目 (国際関係学部'!Print_Area</vt:lpstr>
      <vt:lpstr>'様式１-４　プログラムを構成する授業科目 (経営情報学部'!Print_Area</vt:lpstr>
      <vt:lpstr>'様式１-５　プログラムを構成する授業科目 (看護学部)'!Print_Area</vt:lpstr>
      <vt:lpstr>'様式２ 履修者等数の実績'!Print_Area</vt:lpstr>
      <vt:lpstr>'様式３ 教育の質・履修者数を向上させるための体制・計画'!Print_Area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SAS_Kendai</dc:creator>
  <cp:lastModifiedBy>学生室髙橋</cp:lastModifiedBy>
  <cp:lastPrinted>2025-07-08T07:14:27Z</cp:lastPrinted>
  <dcterms:created xsi:type="dcterms:W3CDTF">2011-06-14T05:32:50Z</dcterms:created>
  <dcterms:modified xsi:type="dcterms:W3CDTF">2025-07-09T04:18:01Z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