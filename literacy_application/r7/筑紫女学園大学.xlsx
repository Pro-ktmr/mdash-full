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https://chikushiuacjp.sharepoint.com/sites/msteams_121f39/Shared Documents/共有/■教学推進班/【会議・委員会等】教学推進に係る会議・規程/数理・DS・AI/申請資料/2025リテラシーレベル/1.申請資料/筑紫女学園大学/01_筑紫女学園大学_リテラシー/"/>
    </mc:Choice>
  </mc:AlternateContent>
  <xr:revisionPtr revIDLastSave="137" documentId="14_{E6579B10-7061-4E01-B724-536E0CB4EC66}" xr6:coauthVersionLast="47" xr6:coauthVersionMax="47" xr10:uidLastSave="{E1AE9EC2-A560-497F-9379-CE325D2D43F7}"/>
  <bookViews>
    <workbookView xWindow="-15510" yWindow="-163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S14" i="40"/>
  <c r="S15" i="40"/>
  <c r="S32" i="40"/>
  <c r="S17" i="40"/>
  <c r="S18" i="40"/>
  <c r="S19" i="40"/>
  <c r="S20" i="40"/>
  <c r="S21" i="40"/>
  <c r="S22" i="40"/>
  <c r="S23" i="40"/>
  <c r="S24" i="40"/>
  <c r="S25" i="40"/>
  <c r="S26" i="40"/>
  <c r="S27" i="40"/>
  <c r="S28" i="40"/>
  <c r="S29" i="40"/>
  <c r="S30" i="40"/>
  <c r="S31" i="40"/>
  <c r="S16"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R33" i="40" l="1"/>
  <c r="S33" i="40" s="1"/>
  <c r="C49" i="41" s="1"/>
</calcChain>
</file>

<file path=xl/sharedStrings.xml><?xml version="1.0" encoding="utf-8"?>
<sst xmlns="http://schemas.openxmlformats.org/spreadsheetml/2006/main" count="284" uniqueCount="190">
  <si>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</si>
  <si>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</si>
  <si>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</si>
  <si>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</si>
  <si>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</si>
  <si>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</si>
  <si>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</si>
  <si>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</si>
  <si>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</si>
  <si>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</si>
  <si>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</si>
  <si>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</si>
  <si>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</si>
  <si>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</si>
  <si>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</si>
  <si>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</si>
  <si>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</si>
  <si>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</si>
  <si>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</si>
  <si>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</si>
  <si>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</si>
  <si>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</si>
  <si>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</si>
  <si>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</si>
  <si>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</si>
  <si>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</si>
  <si>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</si>
  <si>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</si>
  <si>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</si>
  <si>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</si>
  <si>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</si>
  <si>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</si>
  <si>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</si>
  <si>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</si>
  <si>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</si>
  <si>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</si>
  <si>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</si>
  <si>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</si>
  <si>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</si>
  <si>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</si>
  <si>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</si>
  <si>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</si>
  <si>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</si>
  <si>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</si>
  <si>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</si>
  <si>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</si>
  <si>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</si>
  <si>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</si>
  <si>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</si>
  <si>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</si>
  <si>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</si>
  <si>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</si>
  <si>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</si>
  <si>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</si>
  <si>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</si>
  <si>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</si>
  <si>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</si>
  <si>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</si>
  <si>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</si>
  <si>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</si>
  <si>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</si>
  <si>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</si>
  <si>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</si>
  <si>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</si>
  <si>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</si>
  <si>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</si>
  <si>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</si>
  <si>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</si>
  <si>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</si>
  <si>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</si>
  <si>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</si>
  <si>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</si>
  <si>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</si>
  <si>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</si>
  <si>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</si>
  <si>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</si>
  <si>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</si>
  <si>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</si>
  <si>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</si>
  <si>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</si>
  <si>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</si>
  <si>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</si>
  <si>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</si>
  <si>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</si>
  <si>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</si>
  <si>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</si>
  <si>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</si>
  <si>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</si>
  <si>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</si>
  <si>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</si>
  <si>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</si>
  <si>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</si>
  <si>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</si>
  <si>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</si>
  <si>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</si>
  <si>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</si>
  <si>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</si>
  <si>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</si>
  <si>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</si>
  <si>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</si>
  <si>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</si>
  <si>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</si>
  <si>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</si>
  <si>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</si>
  <si>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</si>
  <si>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</si>
  <si>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</si>
  <si>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</si>
  <si>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</si>
  <si>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</si>
  <si>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</si>
  <si>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</si>
  <si>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</si>
  <si>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</si>
  <si>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</si>
  <si>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</si>
  <si>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</si>
  <si>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</si>
  <si>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</si>
  <si>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</si>
  <si>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</si>
  <si>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</si>
  <si>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</si>
  <si>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</si>
  <si>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</si>
  <si>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</si>
  <si>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</si>
  <si>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</si>
  <si>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</si>
  <si>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</si>
  <si>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</si>
  <si>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</si>
  <si>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</si>
  <si>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</si>
  <si>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</si>
  <si>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</si>
  <si>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</si>
  <si>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</si>
  <si>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</si>
  <si>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</si>
  <si>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</si>
  <si>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</si>
  <si>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</si>
  <si>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筑紫女学園大学</t>
    <rPh sb="0" eb="7">
      <t>チクシジョガクエンダイガク</t>
    </rPh>
    <phoneticPr fontId="1"/>
  </si>
  <si>
    <t>データサイエンス教育プログラム</t>
    <phoneticPr fontId="1"/>
  </si>
  <si>
    <t>学部・学科によって、修了要件は相違しない</t>
  </si>
  <si>
    <t>「情報処理基礎演習」および「データサイエンス基礎演習」の2科目（計2単位）を取得すること。</t>
    <phoneticPr fontId="1"/>
  </si>
  <si>
    <t>教学部長</t>
    <rPh sb="0" eb="4">
      <t>キョウガクブチョウ</t>
    </rPh>
    <phoneticPr fontId="1"/>
  </si>
  <si>
    <t>教学推進会議</t>
    <rPh sb="0" eb="6">
      <t>キョウガクスイシンカイギ</t>
    </rPh>
    <phoneticPr fontId="1"/>
  </si>
  <si>
    <t>データサイエンス基礎演習</t>
    <rPh sb="8" eb="12">
      <t>キソエンシュウ</t>
    </rPh>
    <phoneticPr fontId="1"/>
  </si>
  <si>
    <t>○</t>
  </si>
  <si>
    <t>情報処理基礎演習</t>
    <rPh sb="0" eb="2">
      <t>ジョウホウ</t>
    </rPh>
    <rPh sb="2" eb="4">
      <t>ショリ</t>
    </rPh>
    <rPh sb="4" eb="6">
      <t>キソ</t>
    </rPh>
    <rPh sb="6" eb="8">
      <t>エンシュウ</t>
    </rPh>
    <phoneticPr fontId="1"/>
  </si>
  <si>
    <t>データサイエンス基礎演習</t>
    <phoneticPr fontId="1"/>
  </si>
  <si>
    <t>令和6</t>
    <rPh sb="0" eb="2">
      <t>レイワ</t>
    </rPh>
    <phoneticPr fontId="1"/>
  </si>
  <si>
    <t>文学部</t>
  </si>
  <si>
    <t>人間科学部</t>
  </si>
  <si>
    <t>現代社会学部</t>
  </si>
  <si>
    <t>筑紫女学園大学教学推進会議内規</t>
    <phoneticPr fontId="1"/>
  </si>
  <si>
    <t>・ビッグデータ、IoT、AI、ロボット（データサイエンス基礎演習　第２回）
・データ量の増加、計算機の処理性能の向上、AIの非連続的進化（データサイエンス基礎演習　第２回）
・第4次産業革命、Society 5.0、データ駆動型社会（データサイエンス基礎演習　第２回）
・複数技術を組み合わせたAIサービス（データサイエンス基礎演習　第２回）
・人間の知的活動とAIの関係性（データサイエンス基礎演習　第２回）
・データを起点としたものの見方、人間の知的活動を起点としたものの見方（データサイエンス基礎演習　第２回）</t>
  </si>
  <si>
    <t>・AI等を活用した新しいビジネスモデル(シェアリングエコノミー、商品のレコメンデーションなど)（データサイエンス基礎演習　第４回）
・AI最新技術の活用例（深層生成モデル、敵対的生成ネットワーク、強化学習、転移学習など）（データサイエンス基礎演習　第４回）</t>
  </si>
  <si>
    <t>・データ・AI活用領域の広がり(生産、消費、文化活動など)（データサイエンス基礎演習　第３回）
・研究開発、調達、製造、物流、販売、マーケティング、サービスなど（データサイエンス基礎演習　第３回）
・仮説検証、知識発見、原因究明、計画策定、判断支援、活動代替、新規生成など（データサイエンス基礎演習　第３回）</t>
  </si>
  <si>
    <t xml:space="preserve">
・ELSI（Ethical, Legal and Social Issues）（情報処理基礎演習　第１２、１３回）
・個人情報保護、EU一般データ保護規則(GDPR)、忘れられる権利、オプトアウト（情報処理基礎演習　第１２、１３回）
・データ倫理：データのねつ造、改ざん、盗用、プライバシー保護（情報処理基礎演習　第１２、１３回）
・AI社会原則（公平性、説明責任、透明性、人間中心の判断）（情報処理基礎演習　第１２、１３回）
・データバイアス、アルゴリズムバイアス（情報処理基礎演習　第１２、１３回）
・AIサービスの責任論（情報処理基礎演習　第１２、１３回）
・データ・AI活用における負の事例紹介（情報処理基礎演習　第１２、１３回）</t>
  </si>
  <si>
    <t>・情報セキュリティ：機密性、完全性、可用性（情報処理基礎演習　第１４回）
・匿名加工情報、暗号化、パスワード、悪意ある情報搾取（情報処理基礎演習　第１４回）
・情報漏洩等によるセキュリティ事故の事例紹介（情報処理基礎演習　第１４回）</t>
  </si>
  <si>
    <t>・データの分布(ヒストグラム)と代表値（平均値、中央値、最頻値）（データサイエンス基礎演習　第６、９、１０回）
・代表値の性質の違い（実社会では平均値＝最頻値でないことが多い）（データサイエンス基礎演習　第６回）
・データのばらつき（分散、標準偏差、偏差値）（データサイエンス基礎演習　第７回）
・クロス集計表、分割表、相関係数行列、散布図行列（データサイエンス基礎演習　第１２回）</t>
  </si>
  <si>
    <t>・データ表現（棒グラフ、折線グラフ、散布図、ヒートマップ）（データサイエンス基礎演習　第１１回）
・優れた可視化事例の紹介（可視化することによって新たな気づきがあった事例など）（データサイエンス基礎演習　第５、６、７、９、１０回）</t>
  </si>
  <si>
    <t xml:space="preserve">・データの集計（和、平均）（データサイエンス基礎演習　第６回）
・データの並び替え、ランキング（データサイエンス基礎演習　８回）
・データ解析ツール（スプレッドシート）（データサイエンス基礎演習　８回）
・表形式のデータ（csv）（データサイエンス基礎演習　８回）
</t>
  </si>
  <si>
    <t>統合教育センター及び情報化・ ICT活用推進センターの任務及び業務について審議し、統合教育センター及び情報化・ ICT活用推進センターの円滑な執行を図ることを目的とする。</t>
    <phoneticPr fontId="1"/>
  </si>
  <si>
    <t xml:space="preserve">本プログラムを構成する「情報処理基礎演習」および「データサイエンス基礎演習」は、全学共通科目かつ1年次科目として開講しているため、令和６年度以降の入学者は、学部・学科を問わず、全員が受講可能としている。
</t>
    <rPh sb="0" eb="1">
      <t>ホン</t>
    </rPh>
    <rPh sb="7" eb="9">
      <t>コウセイ</t>
    </rPh>
    <rPh sb="49" eb="51">
      <t>ネンジ</t>
    </rPh>
    <rPh sb="51" eb="53">
      <t>カモク</t>
    </rPh>
    <rPh sb="56" eb="58">
      <t>カイコウ</t>
    </rPh>
    <rPh sb="65" eb="67">
      <t>レイワ</t>
    </rPh>
    <rPh sb="68" eb="70">
      <t>ネンド</t>
    </rPh>
    <rPh sb="70" eb="72">
      <t>イコウ</t>
    </rPh>
    <rPh sb="73" eb="76">
      <t>ニュウガクシャ</t>
    </rPh>
    <rPh sb="78" eb="80">
      <t>ガクブ</t>
    </rPh>
    <rPh sb="88" eb="90">
      <t>ゼンイン</t>
    </rPh>
    <rPh sb="91" eb="93">
      <t>ジュコウ</t>
    </rPh>
    <phoneticPr fontId="1"/>
  </si>
  <si>
    <t>本プログラムを構成する「情報処理基礎演習」および「データサイエンス基礎演習」は、いずれも1年次から開講される卒業要件必修科目である。１年次の履修登録時には各学科・専攻のガイダンスにおいて履修指導を実施する。</t>
    <rPh sb="72" eb="75">
      <t>トウロクジ</t>
    </rPh>
    <rPh sb="98" eb="100">
      <t>ジッシ</t>
    </rPh>
    <phoneticPr fontId="1"/>
  </si>
  <si>
    <t xml:space="preserve">「情報処理基礎演習」および「データサイエンス基礎演習」は、全学共通科目かつ1年次開講科目として位置づけられており、学部・学科を問わず履修可能である。各学科・コースのカリキュラムに柔軟に対応するため、複数の曜日・時限にわたり、学科・コースごとにクラスを設置し、履修しやすい体制を整えている。
</t>
    <phoneticPr fontId="1"/>
  </si>
  <si>
    <t>授業シラバスにはオフィスアワーの時間帯を明記し、授業外における学生からの質問に対応する体制を整備している。加えて、Microsoft 365の環境を活用し、Microsoft Teamsを通じてオンラインでの対応も実施しており、オフィスアワー以外の時間帯においても質問の受付が可能な体制としている。
また、授業の中間期および期末には、アンケートを通じて学生からの意見や改善要望をもとに授業内容や運営方法の改善を図っている。</t>
    <phoneticPr fontId="1"/>
  </si>
  <si>
    <t>教育プログラムの各科目で実施する｢授業アンケート｣の中で、受講した学生が感じている｢学修成果(知識やスキルがどの程度身に付いたか)｣を聞き取り、学生が苦手意識を持っている学修項目を明らかにした。これらの項目の学修成果が高まるように、来年度に向けて授業内容の改善を図っている。</t>
    <phoneticPr fontId="1"/>
  </si>
  <si>
    <t>社会で求められるインターネットを活用した情報探索・発信、ワードプロセッサ、表計算ソフト、プレゼンテーションソフトを使用し、各回でテーマに沿った具体的な課題に取り組ませている。また、AIおよびデータサイエンスの最新の動向を踏まえ、社会の変化やデータ分析について演習を通じて学ばせることにより、段階的に学びを深めている。これにより、文系学生の苦手意識を軽減し、達成感を得ることで、学ぶ楽しさや意義を実感できるような授業を提供している。</t>
    <phoneticPr fontId="1"/>
  </si>
  <si>
    <t>授業アンケートには、「授業の内容について十分に理解できた」「授業の難易度は適切であった」などの項目があり、それぞれを5段階（大いにそう思う、そう思う、どちらともいえない、そう思わない、全くそう思わない）で評価できる形式となっている。これらのアンケート結果は、担当教員が把握し、授業内容の改善に活用している。また、アンケート結果は全教職員にも開示されるため、担当教員だけでなく、統合教育センターにおいても授業内容および水準の維持・向上を図ることができる。</t>
    <rPh sb="188" eb="190">
      <t>トウゴウ</t>
    </rPh>
    <rPh sb="190" eb="192">
      <t>キョウイク</t>
    </rPh>
    <phoneticPr fontId="1"/>
  </si>
  <si>
    <t>本プログラムは令和6年度に開始され、現時点では修了者がまだ在学中であり、進路状況については確定していない。今後、修了者の進路について調査を実施予定であり、特に情報関連分野への就職を希望する学生も増えることが予想される。</t>
    <phoneticPr fontId="1"/>
  </si>
  <si>
    <t xml:space="preserve">令和6年度より、本プログラムを開始し、同年度以降の入学者から適用している。プログラムを構成する「情報処理基礎演習」および「データサイエンス基礎演習」は、全学共通の卒業要件必修科目として1年次に開講しており、入学者には卒業要件必修科目でもある当該プログラムを履修するよう指導している。
令和6年度入学者全体のプログラム履修率は96.0%。内プログラム修得率は、89.4%となった。
</t>
    <rPh sb="8" eb="9">
      <t>ホン</t>
    </rPh>
    <rPh sb="20" eb="22">
      <t>ネンド</t>
    </rPh>
    <rPh sb="22" eb="24">
      <t>イコウ</t>
    </rPh>
    <rPh sb="25" eb="28">
      <t>ニュウガクシャ</t>
    </rPh>
    <rPh sb="30" eb="32">
      <t>テキヨウ</t>
    </rPh>
    <rPh sb="43" eb="45">
      <t>コウセイ</t>
    </rPh>
    <rPh sb="108" eb="112">
      <t>ソツギョウヨウケン</t>
    </rPh>
    <rPh sb="112" eb="116">
      <t>ヒッシュウカモク</t>
    </rPh>
    <rPh sb="134" eb="136">
      <t>シドウ</t>
    </rPh>
    <rPh sb="142" eb="144">
      <t>レイワ</t>
    </rPh>
    <rPh sb="145" eb="147">
      <t>ネンド</t>
    </rPh>
    <rPh sb="147" eb="150">
      <t>ニュウガクシャ</t>
    </rPh>
    <rPh sb="150" eb="152">
      <t>ゼンタイ</t>
    </rPh>
    <rPh sb="168" eb="169">
      <t>ウチ</t>
    </rPh>
    <rPh sb="174" eb="177">
      <t>シュウトクリツ</t>
    </rPh>
    <phoneticPr fontId="1"/>
  </si>
  <si>
    <t>本学では、全ての授業科目を対象に「授業に関するアンケート」を年間4回（前期中間・前期期末・後期中間・後期期末）実施している。アンケートには自由記述欄を設けており、学生からの率直な意見を収集できるようにしている。
結果は、担当教員が確認した後、フィードバックとして履修者に対しコメントを記述し、共有する仕組みとしている。これらのアンケートは、自己点検・評価活動とあわせて、本プログラムに関する検証および分析における基礎データとして活用している。あわせて、授業内では小テストや課題を通じて学生の理解度を把握している。
本プログラム構成科目の理解度（5点満点中）は以下の通り。
・「情報処理基礎演習」：平均3.94pt
・「データサイエンス基礎演習」：平均4.15pt</t>
    <rPh sb="226" eb="228">
      <t>ジュギョウ</t>
    </rPh>
    <rPh sb="228" eb="229">
      <t>ウチ</t>
    </rPh>
    <rPh sb="231" eb="232">
      <t>ショウ</t>
    </rPh>
    <rPh sb="236" eb="238">
      <t>カダイ</t>
    </rPh>
    <rPh sb="239" eb="240">
      <t>ツウ</t>
    </rPh>
    <rPh sb="242" eb="244">
      <t>ガクセイ</t>
    </rPh>
    <rPh sb="245" eb="248">
      <t>リカイド</t>
    </rPh>
    <rPh sb="249" eb="251">
      <t>ハアク</t>
    </rPh>
    <rPh sb="268" eb="271">
      <t>リカイド</t>
    </rPh>
    <rPh sb="273" eb="276">
      <t>テンマンテン</t>
    </rPh>
    <rPh sb="276" eb="277">
      <t>チュウ</t>
    </rPh>
    <phoneticPr fontId="1"/>
  </si>
  <si>
    <t>本学では、すべての授業科目を対象に「授業に関するアンケート」を年間4回（前期中間と期末、後期中間と期末）実施している。期末アンケートには、「この授業を後輩にも勧めたいか」という設問を含んでおり、「大いにそう思う」から「全くそう思わない」までの5段階で評価を得ることで、授業の推奨度を把握できるようにしている。
本プログラム構成科目の評価（5点満点中）は以下の通り。
・「情報処理基礎演習」：平均3.89pt
・「データサイエンス基礎演習」：平均3.98pt</t>
    <rPh sb="155" eb="156">
      <t>ホン</t>
    </rPh>
    <rPh sb="161" eb="165">
      <t>コウセイカモク</t>
    </rPh>
    <rPh sb="166" eb="168">
      <t>ヒョウカ</t>
    </rPh>
    <rPh sb="170" eb="174">
      <t>テンマンテンチュウ</t>
    </rPh>
    <rPh sb="176" eb="178">
      <t>イカ</t>
    </rPh>
    <rPh sb="179" eb="180">
      <t>トオ</t>
    </rPh>
    <rPh sb="185" eb="193">
      <t>ジョウホウショリキソエンシュウ</t>
    </rPh>
    <rPh sb="214" eb="218">
      <t>キソエンシュウ</t>
    </rPh>
    <rPh sb="220" eb="222">
      <t>ヘイキン</t>
    </rPh>
    <phoneticPr fontId="1"/>
  </si>
  <si>
    <t>本プログラムを構成する科目は、1年次開講の全学共通科目であり、卒業要件を満たす必修科目として位置付けている。このため、入学時の履修登録に際しては、オリエンテーションの場で履修指導を実施している。
令和６年度においては、1年生全体の96.0％が当該プログラムを履修した。履修登録漏れを防ぐため、各学科・コースにおいて履修指導を徹底している。</t>
    <phoneticPr fontId="1"/>
  </si>
  <si>
    <t xml:space="preserve">本プログラムについては、現時点で産業界からの直接的な意見は得ていないものの、教育課程および学修成果の点検・評価を依頼している企業に対して、本プログラムに関する意見を求める機会を設けることを検討している。
</t>
    <phoneticPr fontId="1"/>
  </si>
  <si>
    <t>「データサイエンス教育プログラム」は、令和6年度より開始した取り組みであり、同年度の入学生からを対象に実施している。本プログラムを構成する科目は、全て1年次に開講される全学部共通科目かつ卒業要件必修科目である。全学生が必ず、本プログラムを履修する仕組みとしており、令和９年度以降にはプログラム履修率を100％とする。</t>
    <rPh sb="51" eb="53">
      <t>ジッシ</t>
    </rPh>
    <rPh sb="58" eb="59">
      <t>ホン</t>
    </rPh>
    <rPh sb="65" eb="67">
      <t>コウセイ</t>
    </rPh>
    <rPh sb="69" eb="71">
      <t>カモク</t>
    </rPh>
    <rPh sb="73" eb="74">
      <t>スベ</t>
    </rPh>
    <rPh sb="84" eb="87">
      <t>ゼンガクブ</t>
    </rPh>
    <rPh sb="87" eb="89">
      <t>キョウツウ</t>
    </rPh>
    <rPh sb="105" eb="108">
      <t>ゼンガクセイ</t>
    </rPh>
    <rPh sb="109" eb="110">
      <t>カナラ</t>
    </rPh>
    <rPh sb="112" eb="113">
      <t>ホン</t>
    </rPh>
    <rPh sb="119" eb="121">
      <t>リシュウ</t>
    </rPh>
    <rPh sb="123" eb="125">
      <t>シク</t>
    </rPh>
    <phoneticPr fontId="1"/>
  </si>
  <si>
    <t>・調査データ、実験データ、人の行動ログデータ、機械の稼働ログデータなど（データサイエンス基礎演習　第２回）
・1次データ、2次データ、データのメタ化（データサイエンス基礎演習　第２回）
・構造化データ、非構造化データ（文章、画像/動画、音声/音楽など）（データサイエンス基礎演習　第２回）
・データ作成（ビッグデータとアノテーション）（データサイエンス基礎演習　第２回）
・データのオープン化（オープンデータ）（データサイエンス基礎演習　第２回）</t>
    <phoneticPr fontId="1"/>
  </si>
  <si>
    <t>・データ解析：予測、グルーピング、パターン発見、最適化、シミュレーション・データ同化など（データサイエンス基礎演習　第３回）
・データ可視化：複合グラフ、2軸グラフ、多次元の可視化、関係性の可視化、地図上の可視化、挙動・軌跡の可視化、リアルタイム可視化など
　（データサイエンス基礎演習　第３回）
・非構造化データ処理：言語処理、画像/動画処理、音声/音楽処理など（データサイエンス基礎演習　第３回）
・特化型AIと汎用AI、今のAIで出来ることと出来ないこと、AIとビッグデータ（データサイエンス基礎演習　第３回）
・認識技術、ルールベース、自動化技術（データサイエンス基礎演習　第３回）</t>
    <phoneticPr fontId="1"/>
  </si>
  <si>
    <t>・今後のデジタル社会において、数理・データサイエンス・AIを日常の生活、仕事等の場で使いこなすことができる基礎的な知識・能力を
　身に付けること。
・学修した数理・データサイエンス・AIに関する知識・技能 をベースに、これらを扱う際には、人間中心の適切な判断ができ、不安なく自ら
　の意志でAI等の恩恵を享受し、これらを説明・活用できる能力を身に付けること。</t>
    <phoneticPr fontId="1"/>
  </si>
  <si>
    <t>・データサイエンスのサイクル（課題抽出と定式化、データの取得・管理・加工、探索的データ解析、データ解析と推論、結果の共有・伝達、課題解決に向けた提案）（データサイエンス基礎演習　第４回）
・流通、製造、金融、サービス、インフラ、公共、ヘルスケア等におけるデータ・AI利活用事例紹介（データサイエンス基礎演習　第４回）</t>
    <phoneticPr fontId="1"/>
  </si>
  <si>
    <t>統合教育センター／情報化・ICT活用推進センター</t>
    <rPh sb="0" eb="4">
      <t>トウゴウキョウイク</t>
    </rPh>
    <rPh sb="9" eb="12">
      <t>ジョウホウカ</t>
    </rPh>
    <rPh sb="16" eb="20">
      <t>カツヨウスイシン</t>
    </rPh>
    <phoneticPr fontId="1"/>
  </si>
  <si>
    <t>統合教育センター長／情報化・ICT活用推進センター長</t>
    <rPh sb="0" eb="4">
      <t>トウゴウキョウイク</t>
    </rPh>
    <rPh sb="8" eb="9">
      <t>オサ</t>
    </rPh>
    <rPh sb="25" eb="26">
      <t>オサ</t>
    </rPh>
    <phoneticPr fontId="1"/>
  </si>
  <si>
    <t>石原　努</t>
    <rPh sb="0" eb="2">
      <t>イシハラ</t>
    </rPh>
    <rPh sb="3" eb="4">
      <t>ツトム</t>
    </rPh>
    <phoneticPr fontId="1"/>
  </si>
  <si>
    <t>本会議は、次に掲げる委員をもって構成する。
(1) 教学部長：人間科学部 人間科学科 初等教育・幼児保育専攻 教授　石原　努
(2) 統合教育センター長：人間科学部 人間科学科 初等教育・幼児保育専攻 教授　石原　努
     情報化・ ICT活用推進センター長：人間科学部人間科学科 心理・社会福祉専攻 准教授
　　　　　　　　　　　　　　　　　　　　　　　　　　　　　　　　　　　　　　　　　　　　　　　　　　持尾 弘司
(3) 各学科・専攻の教育職員：
文学部 日本語・日本文学科 教授　森田 真也
文学部 英語学科 教授　荒巻 龍也
文学部 アジア文化学科 准教授　横山 豪志
人間科学部人間科学科 心理・社会福祉専攻 准教授　持尾 弘司
人間科学部 人間科学科 初等教育・保育専攻 准教授　今里 順一
現代社会学部 現代社会学科 教授　佐々木 浩
(4) 教学支援部長：教学支援部　田中 正人</t>
    <rPh sb="31" eb="36">
      <t>ニンゲンカガクブ</t>
    </rPh>
    <rPh sb="37" eb="42">
      <t>ニンゲンカガクカ</t>
    </rPh>
    <rPh sb="43" eb="45">
      <t>ショトウ</t>
    </rPh>
    <rPh sb="45" eb="47">
      <t>キョウイク</t>
    </rPh>
    <rPh sb="48" eb="50">
      <t>ヨウジ</t>
    </rPh>
    <rPh sb="50" eb="52">
      <t>ホイク</t>
    </rPh>
    <rPh sb="52" eb="54">
      <t>センコウ</t>
    </rPh>
    <rPh sb="55" eb="57">
      <t>キョウジュ</t>
    </rPh>
    <rPh sb="58" eb="60">
      <t>イシハラ</t>
    </rPh>
    <rPh sb="61" eb="62">
      <t>ツトム</t>
    </rPh>
    <rPh sb="133" eb="138">
      <t>ニンゲンカガクブ</t>
    </rPh>
    <rPh sb="138" eb="143">
      <t>ニンゲンカガクカ</t>
    </rPh>
    <rPh sb="144" eb="146">
      <t>シンリ</t>
    </rPh>
    <rPh sb="147" eb="151">
      <t>シャカイフクシ</t>
    </rPh>
    <rPh sb="151" eb="153">
      <t>センコウ</t>
    </rPh>
    <rPh sb="154" eb="157">
      <t>ジュンキョウジュ</t>
    </rPh>
    <rPh sb="208" eb="210">
      <t>モチオ</t>
    </rPh>
    <rPh sb="211" eb="212">
      <t>ヒロシ</t>
    </rPh>
    <rPh sb="212" eb="213">
      <t>ツカサ</t>
    </rPh>
    <rPh sb="245" eb="247">
      <t>キョウジュ</t>
    </rPh>
    <rPh sb="263" eb="265">
      <t>キョウジュ</t>
    </rPh>
    <rPh sb="284" eb="287">
      <t>ジュンキョウジュ</t>
    </rPh>
    <rPh sb="347" eb="350">
      <t>ジュンキョウジュ</t>
    </rPh>
    <rPh sb="371" eb="373">
      <t>キョウジュ</t>
    </rPh>
    <rPh sb="392" eb="397">
      <t>キョウガクシエンブ</t>
    </rPh>
    <rPh sb="398" eb="400">
      <t>タナカ</t>
    </rPh>
    <rPh sb="401" eb="403">
      <t>マサトササキヒロシキョウガクシエンブチョウタナカマサト</t>
    </rPh>
    <phoneticPr fontId="1"/>
  </si>
  <si>
    <t>石原 努／持尾 弘司</t>
    <rPh sb="0" eb="2">
      <t>イシハラ</t>
    </rPh>
    <rPh sb="3" eb="4">
      <t>ツトム</t>
    </rPh>
    <rPh sb="5" eb="6">
      <t>ジ</t>
    </rPh>
    <rPh sb="6" eb="7">
      <t>オ</t>
    </rPh>
    <rPh sb="8" eb="9">
      <t>ヒロシ</t>
    </rPh>
    <rPh sb="9" eb="10">
      <t>ツカサ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</si>
</sst>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24" xfId="0" applyNumberFormat="1" applyFont="1" applyBorder="1" applyAlignment="1">
      <alignment vertical="center" shrinkToFit="1"/>
    </xf>
    <xf numFmtId="0" fontId="2" fillId="0" borderId="4" xfId="0" applyFont="1" applyBorder="1" applyAlignment="1">
      <alignment horizontal="center" vertical="center"/>
    </xf>
    <xf numFmtId="0" fontId="2" fillId="0" borderId="2" xfId="0" applyFont="1" applyBorder="1" applyAlignment="1">
      <alignment horizontal="lef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0" zoomScaleNormal="100" zoomScaleSheetLayoutView="80" workbookViewId="0">
      <selection activeCell="AD25" sqref="AD25"/>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6" t="s">
        <v>12</v>
      </c>
      <c r="U1" s="126"/>
      <c r="V1" s="2" t="s">
        <v>94</v>
      </c>
    </row>
    <row r="2" spans="1:24" ht="18.75" customHeight="1" x14ac:dyDescent="0.2">
      <c r="B2" s="15" t="s">
        <v>93</v>
      </c>
      <c r="C2" s="96" t="s">
        <v>143</v>
      </c>
      <c r="D2" s="97"/>
      <c r="E2" s="97"/>
      <c r="F2" s="97"/>
      <c r="G2" s="97"/>
      <c r="H2" s="97"/>
      <c r="I2" s="97"/>
      <c r="J2" s="98"/>
      <c r="K2" s="16"/>
      <c r="L2" s="6"/>
      <c r="M2" s="6"/>
      <c r="N2" s="6"/>
      <c r="O2" s="6"/>
      <c r="P2" s="6"/>
      <c r="Q2" s="6"/>
      <c r="R2" s="6"/>
      <c r="S2" s="6"/>
      <c r="T2" s="6"/>
      <c r="U2" s="6"/>
    </row>
    <row r="3" spans="1:24" ht="18.75" customHeight="1" x14ac:dyDescent="0.2">
      <c r="B3" s="15" t="s">
        <v>88</v>
      </c>
      <c r="C3" s="96" t="s">
        <v>144</v>
      </c>
      <c r="D3" s="97"/>
      <c r="E3" s="97"/>
      <c r="F3" s="97"/>
      <c r="G3" s="97"/>
      <c r="H3" s="97"/>
      <c r="I3" s="97"/>
      <c r="J3" s="98"/>
      <c r="K3" s="16"/>
      <c r="L3" s="6"/>
      <c r="M3" s="6"/>
      <c r="N3" s="6"/>
      <c r="O3" s="6"/>
      <c r="P3" s="6"/>
      <c r="Q3" s="6"/>
      <c r="R3" s="6"/>
      <c r="S3" s="6"/>
      <c r="T3" s="6"/>
      <c r="U3" s="6"/>
    </row>
    <row r="4" spans="1:24" ht="15" customHeight="1" x14ac:dyDescent="0.2">
      <c r="L4" s="16"/>
      <c r="M4" s="71"/>
      <c r="N4" s="71"/>
      <c r="O4" s="71"/>
      <c r="P4" s="71"/>
      <c r="Q4" s="71"/>
      <c r="R4" s="71"/>
      <c r="S4" s="71"/>
      <c r="T4" s="71"/>
      <c r="U4" s="71"/>
    </row>
    <row r="5" spans="1:24" ht="18" customHeight="1" x14ac:dyDescent="0.2">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39" t="s">
        <v>145</v>
      </c>
      <c r="M7" s="140"/>
      <c r="N7" s="140"/>
      <c r="O7" s="140"/>
      <c r="P7" s="140"/>
      <c r="Q7" s="140"/>
      <c r="R7" s="140"/>
      <c r="S7" s="140"/>
      <c r="T7" s="140"/>
      <c r="U7" s="14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2"/>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2">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95</v>
      </c>
      <c r="B14" s="3"/>
      <c r="C14" s="3"/>
      <c r="D14" s="3"/>
      <c r="E14" s="16"/>
      <c r="F14" s="16"/>
      <c r="G14" s="16"/>
      <c r="H14" s="16"/>
      <c r="I14" s="16"/>
      <c r="J14" s="16"/>
      <c r="K14" s="16"/>
      <c r="L14" s="72"/>
      <c r="M14" s="72"/>
      <c r="N14" s="72"/>
      <c r="O14" s="72"/>
      <c r="P14" s="72"/>
      <c r="Q14" s="72"/>
      <c r="R14" s="72"/>
      <c r="S14" s="72"/>
      <c r="T14" s="72"/>
      <c r="U14" s="72"/>
    </row>
    <row r="15" spans="1:24" ht="18" customHeight="1" x14ac:dyDescent="0.2">
      <c r="B15" s="108" t="s">
        <v>146</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149999999999999" customHeight="1" x14ac:dyDescent="0.2">
      <c r="B22" s="1" t="s">
        <v>119</v>
      </c>
      <c r="E22" s="73">
        <v>2</v>
      </c>
      <c r="F22" s="1" t="s">
        <v>107</v>
      </c>
      <c r="H22" s="17">
        <v>2</v>
      </c>
      <c r="I22" s="3" t="s">
        <v>108</v>
      </c>
      <c r="J22" s="3"/>
      <c r="K22" s="16"/>
      <c r="M22" s="16" t="s">
        <v>104</v>
      </c>
      <c r="N22" s="136" t="s">
        <v>122</v>
      </c>
      <c r="O22" s="137"/>
      <c r="P22" s="137"/>
      <c r="Q22" s="137"/>
      <c r="R22" s="137"/>
      <c r="S22" s="137"/>
      <c r="T22" s="137"/>
      <c r="U22" s="13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48</v>
      </c>
      <c r="C26" s="97"/>
      <c r="D26" s="97"/>
      <c r="E26" s="97"/>
      <c r="F26" s="98"/>
      <c r="G26" s="57" t="s">
        <v>73</v>
      </c>
      <c r="H26" s="58" t="s">
        <v>76</v>
      </c>
      <c r="I26" s="59" t="s">
        <v>51</v>
      </c>
      <c r="J26" s="59" t="s">
        <v>54</v>
      </c>
      <c r="K26" s="96" t="s">
        <v>48</v>
      </c>
      <c r="L26" s="97"/>
      <c r="M26" s="97"/>
      <c r="N26" s="97"/>
      <c r="O26" s="97"/>
      <c r="P26" s="97"/>
      <c r="Q26" s="98"/>
      <c r="R26" s="57" t="s">
        <v>73</v>
      </c>
      <c r="S26" s="58" t="s">
        <v>76</v>
      </c>
      <c r="T26" s="59" t="s">
        <v>51</v>
      </c>
      <c r="U26" s="59" t="s">
        <v>54</v>
      </c>
    </row>
    <row r="27" spans="1:24" ht="18" customHeight="1" x14ac:dyDescent="0.2">
      <c r="B27" s="90" t="s">
        <v>149</v>
      </c>
      <c r="C27" s="91"/>
      <c r="D27" s="91"/>
      <c r="E27" s="91"/>
      <c r="F27" s="92"/>
      <c r="G27" s="60">
        <v>1</v>
      </c>
      <c r="H27" s="60" t="s">
        <v>150</v>
      </c>
      <c r="I27" s="60" t="s">
        <v>150</v>
      </c>
      <c r="J27" s="60" t="s">
        <v>150</v>
      </c>
      <c r="K27" s="90"/>
      <c r="L27" s="91"/>
      <c r="M27" s="91"/>
      <c r="N27" s="91"/>
      <c r="O27" s="91"/>
      <c r="P27" s="91"/>
      <c r="Q27" s="92"/>
      <c r="R27" s="60"/>
      <c r="S27" s="60"/>
      <c r="T27" s="60"/>
      <c r="U27" s="60"/>
    </row>
    <row r="28" spans="1:24" ht="18" customHeight="1" x14ac:dyDescent="0.2">
      <c r="B28" s="83"/>
      <c r="C28" s="84"/>
      <c r="D28" s="84"/>
      <c r="E28" s="84"/>
      <c r="F28" s="85"/>
      <c r="G28" s="61"/>
      <c r="H28" s="61"/>
      <c r="I28" s="61"/>
      <c r="J28" s="61"/>
      <c r="K28" s="83"/>
      <c r="L28" s="84"/>
      <c r="M28" s="84"/>
      <c r="N28" s="84"/>
      <c r="O28" s="84"/>
      <c r="P28" s="84"/>
      <c r="Q28" s="85"/>
      <c r="R28" s="61"/>
      <c r="S28" s="61"/>
      <c r="T28" s="61"/>
      <c r="U28" s="61"/>
    </row>
    <row r="29" spans="1:24" ht="18" customHeight="1" x14ac:dyDescent="0.2">
      <c r="B29" s="83"/>
      <c r="C29" s="84"/>
      <c r="D29" s="84"/>
      <c r="E29" s="84"/>
      <c r="F29" s="85"/>
      <c r="G29" s="61"/>
      <c r="H29" s="61"/>
      <c r="I29" s="61"/>
      <c r="J29" s="61"/>
      <c r="K29" s="83"/>
      <c r="L29" s="84"/>
      <c r="M29" s="84"/>
      <c r="N29" s="84"/>
      <c r="O29" s="84"/>
      <c r="P29" s="84"/>
      <c r="Q29" s="85"/>
      <c r="R29" s="61"/>
      <c r="S29" s="61"/>
      <c r="T29" s="61"/>
      <c r="U29" s="61"/>
    </row>
    <row r="30" spans="1:24" ht="18" customHeight="1" x14ac:dyDescent="0.2">
      <c r="B30" s="83"/>
      <c r="C30" s="84"/>
      <c r="D30" s="84"/>
      <c r="E30" s="84"/>
      <c r="F30" s="85"/>
      <c r="G30" s="61"/>
      <c r="H30" s="61"/>
      <c r="I30" s="61"/>
      <c r="J30" s="61"/>
      <c r="K30" s="83"/>
      <c r="L30" s="84"/>
      <c r="M30" s="84"/>
      <c r="N30" s="84"/>
      <c r="O30" s="84"/>
      <c r="P30" s="84"/>
      <c r="Q30" s="85"/>
      <c r="R30" s="61"/>
      <c r="S30" s="61"/>
      <c r="T30" s="61"/>
      <c r="U30" s="61"/>
    </row>
    <row r="31" spans="1:24" ht="18" customHeight="1" x14ac:dyDescent="0.2">
      <c r="B31" s="83"/>
      <c r="C31" s="84"/>
      <c r="D31" s="84"/>
      <c r="E31" s="84"/>
      <c r="F31" s="85"/>
      <c r="G31" s="61"/>
      <c r="H31" s="61"/>
      <c r="I31" s="61"/>
      <c r="J31" s="61"/>
      <c r="K31" s="83"/>
      <c r="L31" s="84"/>
      <c r="M31" s="84"/>
      <c r="N31" s="84"/>
      <c r="O31" s="84"/>
      <c r="P31" s="84"/>
      <c r="Q31" s="85"/>
      <c r="R31" s="61"/>
      <c r="S31" s="61"/>
      <c r="T31" s="61"/>
      <c r="U31" s="61"/>
    </row>
    <row r="32" spans="1:24" ht="18" customHeight="1" x14ac:dyDescent="0.2">
      <c r="A32" s="3"/>
      <c r="B32" s="83"/>
      <c r="C32" s="84"/>
      <c r="D32" s="84"/>
      <c r="E32" s="84"/>
      <c r="F32" s="85"/>
      <c r="G32" s="61"/>
      <c r="H32" s="61"/>
      <c r="I32" s="61"/>
      <c r="J32" s="61"/>
      <c r="K32" s="83"/>
      <c r="L32" s="84"/>
      <c r="M32" s="84"/>
      <c r="N32" s="84"/>
      <c r="O32" s="84"/>
      <c r="P32" s="84"/>
      <c r="Q32" s="85"/>
      <c r="R32" s="61"/>
      <c r="S32" s="61"/>
      <c r="T32" s="61"/>
      <c r="U32" s="61"/>
    </row>
    <row r="33" spans="1:21" ht="18" customHeight="1" x14ac:dyDescent="0.2">
      <c r="A33" s="3"/>
      <c r="B33" s="86"/>
      <c r="C33" s="87"/>
      <c r="D33" s="87"/>
      <c r="E33" s="87"/>
      <c r="F33" s="88"/>
      <c r="G33" s="62"/>
      <c r="H33" s="62"/>
      <c r="I33" s="63"/>
      <c r="J33" s="63"/>
      <c r="K33" s="86"/>
      <c r="L33" s="87"/>
      <c r="M33" s="87"/>
      <c r="N33" s="87"/>
      <c r="O33" s="87"/>
      <c r="P33" s="87"/>
      <c r="Q33" s="88"/>
      <c r="R33" s="62"/>
      <c r="S33" s="62"/>
      <c r="T33" s="63"/>
      <c r="U33" s="63"/>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48</v>
      </c>
      <c r="C37" s="97"/>
      <c r="D37" s="97"/>
      <c r="E37" s="97"/>
      <c r="F37" s="98"/>
      <c r="G37" s="57" t="s">
        <v>73</v>
      </c>
      <c r="H37" s="58" t="s">
        <v>76</v>
      </c>
      <c r="I37" s="59" t="s">
        <v>64</v>
      </c>
      <c r="J37" s="59" t="s">
        <v>65</v>
      </c>
      <c r="K37" s="96" t="s">
        <v>48</v>
      </c>
      <c r="L37" s="97"/>
      <c r="M37" s="97"/>
      <c r="N37" s="97"/>
      <c r="O37" s="97"/>
      <c r="P37" s="97"/>
      <c r="Q37" s="98"/>
      <c r="R37" s="57" t="s">
        <v>73</v>
      </c>
      <c r="S37" s="58" t="s">
        <v>76</v>
      </c>
      <c r="T37" s="59" t="s">
        <v>64</v>
      </c>
      <c r="U37" s="59" t="s">
        <v>65</v>
      </c>
    </row>
    <row r="38" spans="1:21" ht="18" customHeight="1" x14ac:dyDescent="0.2">
      <c r="B38" s="90" t="s">
        <v>149</v>
      </c>
      <c r="C38" s="91"/>
      <c r="D38" s="91"/>
      <c r="E38" s="91"/>
      <c r="F38" s="92"/>
      <c r="G38" s="60">
        <v>1</v>
      </c>
      <c r="H38" s="60" t="s">
        <v>150</v>
      </c>
      <c r="I38" s="60" t="s">
        <v>150</v>
      </c>
      <c r="J38" s="60" t="s">
        <v>150</v>
      </c>
      <c r="K38" s="90"/>
      <c r="L38" s="91"/>
      <c r="M38" s="91"/>
      <c r="N38" s="91"/>
      <c r="O38" s="91"/>
      <c r="P38" s="91"/>
      <c r="Q38" s="92"/>
      <c r="R38" s="60"/>
      <c r="S38" s="60"/>
      <c r="T38" s="60"/>
      <c r="U38" s="60"/>
    </row>
    <row r="39" spans="1:21" ht="18" customHeight="1" x14ac:dyDescent="0.2">
      <c r="B39" s="83"/>
      <c r="C39" s="84"/>
      <c r="D39" s="84"/>
      <c r="E39" s="84"/>
      <c r="F39" s="85"/>
      <c r="G39" s="61"/>
      <c r="H39" s="61"/>
      <c r="I39" s="61"/>
      <c r="J39" s="61"/>
      <c r="K39" s="83"/>
      <c r="L39" s="84"/>
      <c r="M39" s="84"/>
      <c r="N39" s="84"/>
      <c r="O39" s="84"/>
      <c r="P39" s="84"/>
      <c r="Q39" s="85"/>
      <c r="R39" s="61"/>
      <c r="S39" s="61"/>
      <c r="T39" s="61"/>
      <c r="U39" s="61"/>
    </row>
    <row r="40" spans="1:21" ht="18" customHeight="1" x14ac:dyDescent="0.2">
      <c r="B40" s="83"/>
      <c r="C40" s="84"/>
      <c r="D40" s="84"/>
      <c r="E40" s="84"/>
      <c r="F40" s="85"/>
      <c r="G40" s="61"/>
      <c r="H40" s="61"/>
      <c r="I40" s="61"/>
      <c r="J40" s="61"/>
      <c r="K40" s="83"/>
      <c r="L40" s="84"/>
      <c r="M40" s="84"/>
      <c r="N40" s="84"/>
      <c r="O40" s="84"/>
      <c r="P40" s="84"/>
      <c r="Q40" s="85"/>
      <c r="R40" s="61"/>
      <c r="S40" s="61"/>
      <c r="T40" s="61"/>
      <c r="U40" s="61"/>
    </row>
    <row r="41" spans="1:21" ht="18" customHeight="1" x14ac:dyDescent="0.2">
      <c r="B41" s="83"/>
      <c r="C41" s="84"/>
      <c r="D41" s="84"/>
      <c r="E41" s="84"/>
      <c r="F41" s="85"/>
      <c r="G41" s="61"/>
      <c r="H41" s="61"/>
      <c r="I41" s="61"/>
      <c r="J41" s="61"/>
      <c r="K41" s="83"/>
      <c r="L41" s="84"/>
      <c r="M41" s="84"/>
      <c r="N41" s="84"/>
      <c r="O41" s="84"/>
      <c r="P41" s="84"/>
      <c r="Q41" s="85"/>
      <c r="R41" s="61"/>
      <c r="S41" s="61"/>
      <c r="T41" s="61"/>
      <c r="U41" s="61"/>
    </row>
    <row r="42" spans="1:21" ht="18" customHeight="1" x14ac:dyDescent="0.2">
      <c r="B42" s="83"/>
      <c r="C42" s="84"/>
      <c r="D42" s="84"/>
      <c r="E42" s="84"/>
      <c r="F42" s="85"/>
      <c r="G42" s="61"/>
      <c r="H42" s="61"/>
      <c r="I42" s="61"/>
      <c r="J42" s="61"/>
      <c r="K42" s="83"/>
      <c r="L42" s="84"/>
      <c r="M42" s="84"/>
      <c r="N42" s="84"/>
      <c r="O42" s="84"/>
      <c r="P42" s="84"/>
      <c r="Q42" s="85"/>
      <c r="R42" s="61"/>
      <c r="S42" s="61"/>
      <c r="T42" s="61"/>
      <c r="U42" s="61"/>
    </row>
    <row r="43" spans="1:21" ht="18" customHeight="1" x14ac:dyDescent="0.2">
      <c r="B43" s="83"/>
      <c r="C43" s="84"/>
      <c r="D43" s="84"/>
      <c r="E43" s="84"/>
      <c r="F43" s="85"/>
      <c r="G43" s="61"/>
      <c r="H43" s="61"/>
      <c r="I43" s="61"/>
      <c r="J43" s="61"/>
      <c r="K43" s="83"/>
      <c r="L43" s="84"/>
      <c r="M43" s="84"/>
      <c r="N43" s="84"/>
      <c r="O43" s="84"/>
      <c r="P43" s="84"/>
      <c r="Q43" s="85"/>
      <c r="R43" s="61"/>
      <c r="S43" s="61"/>
      <c r="T43" s="61"/>
      <c r="U43" s="61"/>
    </row>
    <row r="44" spans="1:21" ht="18" customHeight="1" x14ac:dyDescent="0.2">
      <c r="B44" s="86"/>
      <c r="C44" s="87"/>
      <c r="D44" s="87"/>
      <c r="E44" s="87"/>
      <c r="F44" s="88"/>
      <c r="G44" s="62"/>
      <c r="H44" s="62"/>
      <c r="I44" s="63"/>
      <c r="J44" s="63"/>
      <c r="K44" s="86"/>
      <c r="L44" s="87"/>
      <c r="M44" s="87"/>
      <c r="N44" s="87"/>
      <c r="O44" s="87"/>
      <c r="P44" s="87"/>
      <c r="Q44" s="88"/>
      <c r="R44" s="62"/>
      <c r="S44" s="62"/>
      <c r="T44" s="63"/>
      <c r="U44" s="63"/>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48</v>
      </c>
      <c r="C48" s="97"/>
      <c r="D48" s="97"/>
      <c r="E48" s="97"/>
      <c r="F48" s="98"/>
      <c r="G48" s="57" t="s">
        <v>73</v>
      </c>
      <c r="H48" s="58" t="s">
        <v>76</v>
      </c>
      <c r="I48" s="59" t="s">
        <v>66</v>
      </c>
      <c r="J48" s="59" t="s">
        <v>67</v>
      </c>
      <c r="K48" s="96" t="s">
        <v>48</v>
      </c>
      <c r="L48" s="97"/>
      <c r="M48" s="97"/>
      <c r="N48" s="97"/>
      <c r="O48" s="97"/>
      <c r="P48" s="97"/>
      <c r="Q48" s="98"/>
      <c r="R48" s="57" t="s">
        <v>73</v>
      </c>
      <c r="S48" s="58" t="s">
        <v>76</v>
      </c>
      <c r="T48" s="59" t="s">
        <v>66</v>
      </c>
      <c r="U48" s="59" t="s">
        <v>67</v>
      </c>
    </row>
    <row r="49" spans="1:21" ht="18" customHeight="1" x14ac:dyDescent="0.2">
      <c r="A49" s="3"/>
      <c r="B49" s="90" t="s">
        <v>149</v>
      </c>
      <c r="C49" s="91"/>
      <c r="D49" s="91"/>
      <c r="E49" s="91"/>
      <c r="F49" s="92"/>
      <c r="G49" s="60">
        <v>1</v>
      </c>
      <c r="H49" s="60" t="s">
        <v>150</v>
      </c>
      <c r="I49" s="60" t="s">
        <v>150</v>
      </c>
      <c r="J49" s="60" t="s">
        <v>150</v>
      </c>
      <c r="K49" s="90"/>
      <c r="L49" s="91"/>
      <c r="M49" s="91"/>
      <c r="N49" s="91"/>
      <c r="O49" s="91"/>
      <c r="P49" s="91"/>
      <c r="Q49" s="92"/>
      <c r="R49" s="60"/>
      <c r="S49" s="60"/>
      <c r="T49" s="60"/>
      <c r="U49" s="60"/>
    </row>
    <row r="50" spans="1:21" ht="18" customHeight="1" x14ac:dyDescent="0.2">
      <c r="A50" s="3"/>
      <c r="B50" s="83"/>
      <c r="C50" s="84"/>
      <c r="D50" s="84"/>
      <c r="E50" s="84"/>
      <c r="F50" s="85"/>
      <c r="G50" s="61"/>
      <c r="H50" s="61"/>
      <c r="I50" s="61"/>
      <c r="J50" s="61"/>
      <c r="K50" s="83"/>
      <c r="L50" s="84"/>
      <c r="M50" s="84"/>
      <c r="N50" s="84"/>
      <c r="O50" s="84"/>
      <c r="P50" s="84"/>
      <c r="Q50" s="85"/>
      <c r="R50" s="61"/>
      <c r="S50" s="61"/>
      <c r="T50" s="61"/>
      <c r="U50" s="61"/>
    </row>
    <row r="51" spans="1:21" ht="18" customHeight="1" x14ac:dyDescent="0.2">
      <c r="A51" s="3"/>
      <c r="B51" s="83"/>
      <c r="C51" s="84"/>
      <c r="D51" s="84"/>
      <c r="E51" s="84"/>
      <c r="F51" s="85"/>
      <c r="G51" s="61"/>
      <c r="H51" s="61"/>
      <c r="I51" s="61"/>
      <c r="J51" s="61"/>
      <c r="K51" s="83"/>
      <c r="L51" s="84"/>
      <c r="M51" s="84"/>
      <c r="N51" s="84"/>
      <c r="O51" s="84"/>
      <c r="P51" s="84"/>
      <c r="Q51" s="85"/>
      <c r="R51" s="61"/>
      <c r="S51" s="61"/>
      <c r="T51" s="61"/>
      <c r="U51" s="61"/>
    </row>
    <row r="52" spans="1:21" ht="18" customHeight="1" x14ac:dyDescent="0.2">
      <c r="A52" s="3"/>
      <c r="B52" s="83"/>
      <c r="C52" s="84"/>
      <c r="D52" s="84"/>
      <c r="E52" s="84"/>
      <c r="F52" s="85"/>
      <c r="G52" s="61"/>
      <c r="H52" s="61"/>
      <c r="I52" s="61"/>
      <c r="J52" s="61"/>
      <c r="K52" s="83"/>
      <c r="L52" s="84"/>
      <c r="M52" s="84"/>
      <c r="N52" s="84"/>
      <c r="O52" s="84"/>
      <c r="P52" s="84"/>
      <c r="Q52" s="85"/>
      <c r="R52" s="61"/>
      <c r="S52" s="61"/>
      <c r="T52" s="61"/>
      <c r="U52" s="61"/>
    </row>
    <row r="53" spans="1:21" ht="18" customHeight="1" x14ac:dyDescent="0.2">
      <c r="A53" s="3"/>
      <c r="B53" s="83"/>
      <c r="C53" s="84"/>
      <c r="D53" s="84"/>
      <c r="E53" s="84"/>
      <c r="F53" s="85"/>
      <c r="G53" s="61"/>
      <c r="H53" s="61"/>
      <c r="I53" s="61"/>
      <c r="J53" s="61"/>
      <c r="K53" s="83"/>
      <c r="L53" s="84"/>
      <c r="M53" s="84"/>
      <c r="N53" s="84"/>
      <c r="O53" s="84"/>
      <c r="P53" s="84"/>
      <c r="Q53" s="85"/>
      <c r="R53" s="61"/>
      <c r="S53" s="61"/>
      <c r="T53" s="61"/>
      <c r="U53" s="61"/>
    </row>
    <row r="54" spans="1:21" ht="18" customHeight="1" x14ac:dyDescent="0.2">
      <c r="A54" s="3"/>
      <c r="B54" s="83"/>
      <c r="C54" s="84"/>
      <c r="D54" s="84"/>
      <c r="E54" s="84"/>
      <c r="F54" s="85"/>
      <c r="G54" s="61"/>
      <c r="H54" s="61"/>
      <c r="I54" s="61"/>
      <c r="J54" s="61"/>
      <c r="K54" s="83"/>
      <c r="L54" s="84"/>
      <c r="M54" s="84"/>
      <c r="N54" s="84"/>
      <c r="O54" s="84"/>
      <c r="P54" s="84"/>
      <c r="Q54" s="85"/>
      <c r="R54" s="61"/>
      <c r="S54" s="61"/>
      <c r="T54" s="61"/>
      <c r="U54" s="61"/>
    </row>
    <row r="55" spans="1:21" ht="18" customHeight="1" x14ac:dyDescent="0.2">
      <c r="A55" s="3"/>
      <c r="B55" s="86"/>
      <c r="C55" s="87"/>
      <c r="D55" s="87"/>
      <c r="E55" s="87"/>
      <c r="F55" s="88"/>
      <c r="G55" s="62"/>
      <c r="H55" s="62"/>
      <c r="I55" s="63"/>
      <c r="J55" s="63"/>
      <c r="K55" s="86"/>
      <c r="L55" s="87"/>
      <c r="M55" s="87"/>
      <c r="N55" s="87"/>
      <c r="O55" s="87"/>
      <c r="P55" s="87"/>
      <c r="Q55" s="88"/>
      <c r="R55" s="62"/>
      <c r="S55" s="62"/>
      <c r="T55" s="63"/>
      <c r="U55" s="63"/>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48</v>
      </c>
      <c r="C59" s="97"/>
      <c r="D59" s="97"/>
      <c r="E59" s="97"/>
      <c r="F59" s="98"/>
      <c r="G59" s="57" t="s">
        <v>73</v>
      </c>
      <c r="H59" s="58" t="s">
        <v>76</v>
      </c>
      <c r="I59" s="59" t="s">
        <v>53</v>
      </c>
      <c r="J59" s="59" t="s">
        <v>55</v>
      </c>
      <c r="K59" s="96" t="s">
        <v>48</v>
      </c>
      <c r="L59" s="97"/>
      <c r="M59" s="97"/>
      <c r="N59" s="97"/>
      <c r="O59" s="97"/>
      <c r="P59" s="97"/>
      <c r="Q59" s="98"/>
      <c r="R59" s="57" t="s">
        <v>73</v>
      </c>
      <c r="S59" s="58" t="s">
        <v>76</v>
      </c>
      <c r="T59" s="59" t="s">
        <v>53</v>
      </c>
      <c r="U59" s="59" t="s">
        <v>55</v>
      </c>
    </row>
    <row r="60" spans="1:21" ht="18" customHeight="1" x14ac:dyDescent="0.2">
      <c r="A60" s="3"/>
      <c r="B60" s="90" t="s">
        <v>151</v>
      </c>
      <c r="C60" s="91"/>
      <c r="D60" s="91"/>
      <c r="E60" s="91"/>
      <c r="F60" s="92"/>
      <c r="G60" s="60">
        <v>1</v>
      </c>
      <c r="H60" s="60" t="s">
        <v>150</v>
      </c>
      <c r="I60" s="60" t="s">
        <v>150</v>
      </c>
      <c r="J60" s="60" t="s">
        <v>150</v>
      </c>
      <c r="K60" s="90"/>
      <c r="L60" s="91"/>
      <c r="M60" s="91"/>
      <c r="N60" s="91"/>
      <c r="O60" s="91"/>
      <c r="P60" s="91"/>
      <c r="Q60" s="92"/>
      <c r="R60" s="60"/>
      <c r="S60" s="60"/>
      <c r="T60" s="60"/>
      <c r="U60" s="60"/>
    </row>
    <row r="61" spans="1:21" ht="18" customHeight="1" x14ac:dyDescent="0.2">
      <c r="A61" s="3"/>
      <c r="B61" s="83"/>
      <c r="C61" s="84"/>
      <c r="D61" s="84"/>
      <c r="E61" s="84"/>
      <c r="F61" s="85"/>
      <c r="G61" s="61"/>
      <c r="H61" s="61"/>
      <c r="I61" s="61"/>
      <c r="J61" s="61"/>
      <c r="K61" s="83"/>
      <c r="L61" s="84"/>
      <c r="M61" s="84"/>
      <c r="N61" s="84"/>
      <c r="O61" s="84"/>
      <c r="P61" s="84"/>
      <c r="Q61" s="85"/>
      <c r="R61" s="61"/>
      <c r="S61" s="61"/>
      <c r="T61" s="61"/>
      <c r="U61" s="61"/>
    </row>
    <row r="62" spans="1:21" ht="18" customHeight="1" x14ac:dyDescent="0.2">
      <c r="A62" s="3"/>
      <c r="B62" s="83"/>
      <c r="C62" s="84"/>
      <c r="D62" s="84"/>
      <c r="E62" s="84"/>
      <c r="F62" s="85"/>
      <c r="G62" s="61"/>
      <c r="H62" s="61"/>
      <c r="I62" s="61"/>
      <c r="J62" s="61"/>
      <c r="K62" s="83"/>
      <c r="L62" s="84"/>
      <c r="M62" s="84"/>
      <c r="N62" s="84"/>
      <c r="O62" s="84"/>
      <c r="P62" s="84"/>
      <c r="Q62" s="85"/>
      <c r="R62" s="61"/>
      <c r="S62" s="61"/>
      <c r="T62" s="61"/>
      <c r="U62" s="61"/>
    </row>
    <row r="63" spans="1:21" ht="18" customHeight="1" x14ac:dyDescent="0.2">
      <c r="A63" s="3"/>
      <c r="B63" s="83"/>
      <c r="C63" s="84"/>
      <c r="D63" s="84"/>
      <c r="E63" s="84"/>
      <c r="F63" s="85"/>
      <c r="G63" s="61"/>
      <c r="H63" s="61"/>
      <c r="I63" s="61"/>
      <c r="J63" s="61"/>
      <c r="K63" s="83"/>
      <c r="L63" s="84"/>
      <c r="M63" s="84"/>
      <c r="N63" s="84"/>
      <c r="O63" s="84"/>
      <c r="P63" s="84"/>
      <c r="Q63" s="85"/>
      <c r="R63" s="61"/>
      <c r="S63" s="61"/>
      <c r="T63" s="61"/>
      <c r="U63" s="61"/>
    </row>
    <row r="64" spans="1:21" ht="18" customHeight="1" x14ac:dyDescent="0.2">
      <c r="A64" s="3"/>
      <c r="B64" s="83"/>
      <c r="C64" s="84"/>
      <c r="D64" s="84"/>
      <c r="E64" s="84"/>
      <c r="F64" s="85"/>
      <c r="G64" s="61"/>
      <c r="H64" s="61"/>
      <c r="I64" s="61"/>
      <c r="J64" s="61"/>
      <c r="K64" s="83"/>
      <c r="L64" s="84"/>
      <c r="M64" s="84"/>
      <c r="N64" s="84"/>
      <c r="O64" s="84"/>
      <c r="P64" s="84"/>
      <c r="Q64" s="85"/>
      <c r="R64" s="61"/>
      <c r="S64" s="61"/>
      <c r="T64" s="61"/>
      <c r="U64" s="61"/>
    </row>
    <row r="65" spans="1:27" ht="18" customHeight="1" x14ac:dyDescent="0.2">
      <c r="A65" s="3"/>
      <c r="B65" s="83"/>
      <c r="C65" s="84"/>
      <c r="D65" s="84"/>
      <c r="E65" s="84"/>
      <c r="F65" s="85"/>
      <c r="G65" s="61"/>
      <c r="H65" s="61"/>
      <c r="I65" s="61"/>
      <c r="J65" s="61"/>
      <c r="K65" s="83"/>
      <c r="L65" s="84"/>
      <c r="M65" s="84"/>
      <c r="N65" s="84"/>
      <c r="O65" s="84"/>
      <c r="P65" s="84"/>
      <c r="Q65" s="85"/>
      <c r="R65" s="61"/>
      <c r="S65" s="61"/>
      <c r="T65" s="61"/>
      <c r="U65" s="61"/>
    </row>
    <row r="66" spans="1:27" ht="18" customHeight="1" x14ac:dyDescent="0.2">
      <c r="A66" s="3"/>
      <c r="B66" s="86"/>
      <c r="C66" s="87"/>
      <c r="D66" s="87"/>
      <c r="E66" s="87"/>
      <c r="F66" s="88"/>
      <c r="G66" s="62"/>
      <c r="H66" s="62"/>
      <c r="I66" s="63"/>
      <c r="J66" s="63"/>
      <c r="K66" s="86"/>
      <c r="L66" s="87"/>
      <c r="M66" s="87"/>
      <c r="N66" s="87"/>
      <c r="O66" s="87"/>
      <c r="P66" s="87"/>
      <c r="Q66" s="88"/>
      <c r="R66" s="62"/>
      <c r="S66" s="62"/>
      <c r="T66" s="63"/>
      <c r="U66" s="63"/>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48</v>
      </c>
      <c r="C70" s="97"/>
      <c r="D70" s="97"/>
      <c r="E70" s="97"/>
      <c r="F70" s="57" t="s">
        <v>73</v>
      </c>
      <c r="G70" s="58" t="s">
        <v>76</v>
      </c>
      <c r="H70" s="59" t="s">
        <v>87</v>
      </c>
      <c r="I70" s="59" t="s">
        <v>68</v>
      </c>
      <c r="J70" s="59" t="s">
        <v>69</v>
      </c>
      <c r="K70" s="96" t="s">
        <v>48</v>
      </c>
      <c r="L70" s="97"/>
      <c r="M70" s="97"/>
      <c r="N70" s="97"/>
      <c r="O70" s="97"/>
      <c r="P70" s="98"/>
      <c r="Q70" s="57" t="s">
        <v>73</v>
      </c>
      <c r="R70" s="58" t="s">
        <v>76</v>
      </c>
      <c r="S70" s="59" t="s">
        <v>87</v>
      </c>
      <c r="T70" s="59" t="s">
        <v>68</v>
      </c>
      <c r="U70" s="59" t="s">
        <v>69</v>
      </c>
    </row>
    <row r="71" spans="1:27" ht="18" customHeight="1" x14ac:dyDescent="0.2">
      <c r="A71" s="3"/>
      <c r="B71" s="90" t="s">
        <v>152</v>
      </c>
      <c r="C71" s="91"/>
      <c r="D71" s="91"/>
      <c r="E71" s="91"/>
      <c r="F71" s="60">
        <v>1</v>
      </c>
      <c r="G71" s="60" t="s">
        <v>150</v>
      </c>
      <c r="H71" s="60" t="s">
        <v>150</v>
      </c>
      <c r="I71" s="60" t="s">
        <v>150</v>
      </c>
      <c r="J71" s="60" t="s">
        <v>150</v>
      </c>
      <c r="K71" s="90"/>
      <c r="L71" s="91"/>
      <c r="M71" s="91"/>
      <c r="N71" s="91"/>
      <c r="O71" s="91"/>
      <c r="P71" s="92"/>
      <c r="Q71" s="60"/>
      <c r="R71" s="60"/>
      <c r="S71" s="60"/>
      <c r="T71" s="60"/>
      <c r="U71" s="60"/>
    </row>
    <row r="72" spans="1:27" ht="18" customHeight="1" x14ac:dyDescent="0.2">
      <c r="A72" s="3"/>
      <c r="B72" s="83"/>
      <c r="C72" s="84"/>
      <c r="D72" s="84"/>
      <c r="E72" s="84"/>
      <c r="F72" s="61"/>
      <c r="G72" s="61"/>
      <c r="H72" s="61"/>
      <c r="I72" s="61"/>
      <c r="J72" s="61"/>
      <c r="K72" s="83"/>
      <c r="L72" s="84"/>
      <c r="M72" s="84"/>
      <c r="N72" s="84"/>
      <c r="O72" s="84"/>
      <c r="P72" s="85"/>
      <c r="Q72" s="61"/>
      <c r="R72" s="61"/>
      <c r="S72" s="61"/>
      <c r="T72" s="61"/>
      <c r="U72" s="61"/>
    </row>
    <row r="73" spans="1:27" ht="18" customHeight="1" x14ac:dyDescent="0.2">
      <c r="A73" s="3"/>
      <c r="B73" s="83"/>
      <c r="C73" s="84"/>
      <c r="D73" s="84"/>
      <c r="E73" s="84"/>
      <c r="F73" s="61"/>
      <c r="G73" s="61"/>
      <c r="H73" s="61"/>
      <c r="I73" s="61"/>
      <c r="J73" s="61"/>
      <c r="K73" s="83"/>
      <c r="L73" s="84"/>
      <c r="M73" s="84"/>
      <c r="N73" s="84"/>
      <c r="O73" s="84"/>
      <c r="P73" s="85"/>
      <c r="Q73" s="61"/>
      <c r="R73" s="61"/>
      <c r="S73" s="61"/>
      <c r="T73" s="61"/>
      <c r="U73" s="61"/>
    </row>
    <row r="74" spans="1:27" ht="18" customHeight="1" x14ac:dyDescent="0.2">
      <c r="A74" s="3"/>
      <c r="B74" s="83"/>
      <c r="C74" s="84"/>
      <c r="D74" s="84"/>
      <c r="E74" s="84"/>
      <c r="F74" s="61"/>
      <c r="G74" s="61"/>
      <c r="H74" s="61"/>
      <c r="I74" s="61"/>
      <c r="J74" s="61"/>
      <c r="K74" s="83"/>
      <c r="L74" s="84"/>
      <c r="M74" s="84"/>
      <c r="N74" s="84"/>
      <c r="O74" s="84"/>
      <c r="P74" s="85"/>
      <c r="Q74" s="61"/>
      <c r="R74" s="61"/>
      <c r="S74" s="61"/>
      <c r="T74" s="61"/>
      <c r="U74" s="61"/>
    </row>
    <row r="75" spans="1:27" ht="18" customHeight="1" x14ac:dyDescent="0.2">
      <c r="A75" s="3"/>
      <c r="B75" s="83"/>
      <c r="C75" s="84"/>
      <c r="D75" s="84"/>
      <c r="E75" s="84"/>
      <c r="F75" s="61"/>
      <c r="G75" s="61"/>
      <c r="H75" s="61"/>
      <c r="I75" s="61"/>
      <c r="J75" s="61"/>
      <c r="K75" s="83"/>
      <c r="L75" s="84"/>
      <c r="M75" s="84"/>
      <c r="N75" s="84"/>
      <c r="O75" s="84"/>
      <c r="P75" s="85"/>
      <c r="Q75" s="61"/>
      <c r="R75" s="61"/>
      <c r="S75" s="61"/>
      <c r="T75" s="61"/>
      <c r="U75" s="61"/>
    </row>
    <row r="76" spans="1:27" ht="18" customHeight="1" x14ac:dyDescent="0.2">
      <c r="A76" s="3"/>
      <c r="B76" s="83"/>
      <c r="C76" s="84"/>
      <c r="D76" s="84"/>
      <c r="E76" s="84"/>
      <c r="F76" s="61"/>
      <c r="G76" s="61"/>
      <c r="H76" s="61"/>
      <c r="I76" s="61"/>
      <c r="J76" s="61"/>
      <c r="K76" s="83"/>
      <c r="L76" s="84"/>
      <c r="M76" s="84"/>
      <c r="N76" s="84"/>
      <c r="O76" s="84"/>
      <c r="P76" s="85"/>
      <c r="Q76" s="61"/>
      <c r="R76" s="61"/>
      <c r="S76" s="61"/>
      <c r="T76" s="61"/>
      <c r="U76" s="61"/>
    </row>
    <row r="77" spans="1:27" ht="18" customHeight="1" x14ac:dyDescent="0.2">
      <c r="A77" s="3"/>
      <c r="B77" s="86"/>
      <c r="C77" s="87"/>
      <c r="D77" s="87"/>
      <c r="E77" s="87"/>
      <c r="F77" s="62"/>
      <c r="G77" s="62"/>
      <c r="H77" s="63"/>
      <c r="I77" s="63"/>
      <c r="J77" s="63"/>
      <c r="K77" s="86"/>
      <c r="L77" s="87"/>
      <c r="M77" s="87"/>
      <c r="N77" s="87"/>
      <c r="O77" s="87"/>
      <c r="P77" s="88"/>
      <c r="Q77" s="62"/>
      <c r="R77" s="62"/>
      <c r="S77" s="63"/>
      <c r="T77" s="63"/>
      <c r="U77" s="63"/>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101</v>
      </c>
      <c r="I79" s="3"/>
      <c r="J79" s="3"/>
      <c r="K79" s="3"/>
      <c r="L79" s="3"/>
      <c r="M79" s="3"/>
      <c r="N79" s="3"/>
      <c r="O79" s="3"/>
      <c r="P79" s="3"/>
      <c r="Q79" s="3"/>
      <c r="R79" s="3"/>
      <c r="S79" s="3"/>
      <c r="T79" s="3"/>
      <c r="U79" s="3"/>
    </row>
    <row r="80" spans="1:27" ht="18" customHeight="1" x14ac:dyDescent="0.2">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138</v>
      </c>
    </row>
    <row r="81" spans="1:27" ht="18" customHeight="1" x14ac:dyDescent="0.2">
      <c r="A81" s="3"/>
      <c r="B81" s="90" t="s">
        <v>149</v>
      </c>
      <c r="C81" s="91"/>
      <c r="D81" s="91"/>
      <c r="E81" s="91"/>
      <c r="F81" s="92"/>
      <c r="G81" s="93" t="s">
        <v>138</v>
      </c>
      <c r="H81" s="94"/>
      <c r="I81" s="94"/>
      <c r="J81" s="95"/>
      <c r="K81" s="90"/>
      <c r="L81" s="91"/>
      <c r="M81" s="91"/>
      <c r="N81" s="91"/>
      <c r="O81" s="91"/>
      <c r="P81" s="91"/>
      <c r="Q81" s="92"/>
      <c r="R81" s="93"/>
      <c r="S81" s="94"/>
      <c r="T81" s="94"/>
      <c r="U81" s="95"/>
      <c r="AA81" s="1" t="s">
        <v>131</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2">
      <c r="A88" s="3"/>
      <c r="B88" s="6"/>
      <c r="C88" s="6"/>
      <c r="D88" s="6"/>
      <c r="E88" s="6"/>
      <c r="F88" s="6"/>
      <c r="G88" s="64"/>
      <c r="H88" s="64"/>
      <c r="I88" s="64"/>
      <c r="J88" s="64"/>
      <c r="K88" s="6"/>
      <c r="L88" s="6"/>
      <c r="M88" s="6"/>
      <c r="N88" s="6"/>
      <c r="O88" s="6"/>
      <c r="P88" s="6"/>
      <c r="Q88" s="6"/>
      <c r="R88" s="64"/>
      <c r="S88" s="64"/>
      <c r="T88" s="64"/>
      <c r="U88" s="64"/>
      <c r="AA88" s="1" t="s">
        <v>136</v>
      </c>
    </row>
    <row r="89" spans="1:27" ht="18.75" customHeight="1" x14ac:dyDescent="0.2">
      <c r="A89" s="1" t="s">
        <v>102</v>
      </c>
      <c r="AA89" s="1" t="s">
        <v>137</v>
      </c>
    </row>
    <row r="90" spans="1:27" ht="18.75" customHeight="1" x14ac:dyDescent="0.2">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2">
      <c r="B91" s="99" t="s">
        <v>56</v>
      </c>
      <c r="C91" s="65" t="s">
        <v>51</v>
      </c>
      <c r="D91" s="130" t="s">
        <v>158</v>
      </c>
      <c r="E91" s="131"/>
      <c r="F91" s="131"/>
      <c r="G91" s="131"/>
      <c r="H91" s="131"/>
      <c r="I91" s="131"/>
      <c r="J91" s="131"/>
      <c r="K91" s="131"/>
      <c r="L91" s="131"/>
      <c r="M91" s="131"/>
      <c r="N91" s="131"/>
      <c r="O91" s="131"/>
      <c r="P91" s="131"/>
      <c r="Q91" s="131"/>
      <c r="R91" s="131"/>
      <c r="S91" s="131"/>
      <c r="T91" s="131"/>
      <c r="U91" s="132"/>
    </row>
    <row r="92" spans="1:27" ht="97.5" customHeight="1" x14ac:dyDescent="0.2">
      <c r="B92" s="123"/>
      <c r="C92" s="66" t="s">
        <v>70</v>
      </c>
      <c r="D92" s="127" t="s">
        <v>159</v>
      </c>
      <c r="E92" s="128"/>
      <c r="F92" s="128"/>
      <c r="G92" s="128"/>
      <c r="H92" s="128"/>
      <c r="I92" s="128"/>
      <c r="J92" s="128"/>
      <c r="K92" s="128"/>
      <c r="L92" s="128"/>
      <c r="M92" s="128"/>
      <c r="N92" s="128"/>
      <c r="O92" s="128"/>
      <c r="P92" s="128"/>
      <c r="Q92" s="128"/>
      <c r="R92" s="128"/>
      <c r="S92" s="128"/>
      <c r="T92" s="128"/>
      <c r="U92" s="129"/>
    </row>
    <row r="93" spans="1:27" ht="97.5" customHeight="1" x14ac:dyDescent="0.2">
      <c r="B93" s="99" t="s">
        <v>57</v>
      </c>
      <c r="C93" s="67" t="s">
        <v>64</v>
      </c>
      <c r="D93" s="130" t="s">
        <v>181</v>
      </c>
      <c r="E93" s="131"/>
      <c r="F93" s="131"/>
      <c r="G93" s="131"/>
      <c r="H93" s="131"/>
      <c r="I93" s="131"/>
      <c r="J93" s="131"/>
      <c r="K93" s="131"/>
      <c r="L93" s="131"/>
      <c r="M93" s="131"/>
      <c r="N93" s="131"/>
      <c r="O93" s="131"/>
      <c r="P93" s="131"/>
      <c r="Q93" s="131"/>
      <c r="R93" s="131"/>
      <c r="S93" s="131"/>
      <c r="T93" s="131"/>
      <c r="U93" s="132"/>
    </row>
    <row r="94" spans="1:27" ht="97.5" customHeight="1" x14ac:dyDescent="0.2">
      <c r="B94" s="100"/>
      <c r="C94" s="68" t="s">
        <v>65</v>
      </c>
      <c r="D94" s="127" t="s">
        <v>160</v>
      </c>
      <c r="E94" s="128"/>
      <c r="F94" s="128"/>
      <c r="G94" s="128"/>
      <c r="H94" s="128"/>
      <c r="I94" s="128"/>
      <c r="J94" s="128"/>
      <c r="K94" s="128"/>
      <c r="L94" s="128"/>
      <c r="M94" s="128"/>
      <c r="N94" s="128"/>
      <c r="O94" s="128"/>
      <c r="P94" s="128"/>
      <c r="Q94" s="128"/>
      <c r="R94" s="128"/>
      <c r="S94" s="128"/>
      <c r="T94" s="128"/>
      <c r="U94" s="129"/>
    </row>
    <row r="95" spans="1:27" ht="97.5" customHeight="1" x14ac:dyDescent="0.2">
      <c r="B95" s="99" t="s">
        <v>58</v>
      </c>
      <c r="C95" s="67" t="s">
        <v>66</v>
      </c>
      <c r="D95" s="130" t="s">
        <v>182</v>
      </c>
      <c r="E95" s="131"/>
      <c r="F95" s="131"/>
      <c r="G95" s="131"/>
      <c r="H95" s="131"/>
      <c r="I95" s="131"/>
      <c r="J95" s="131"/>
      <c r="K95" s="131"/>
      <c r="L95" s="131"/>
      <c r="M95" s="131"/>
      <c r="N95" s="131"/>
      <c r="O95" s="131"/>
      <c r="P95" s="131"/>
      <c r="Q95" s="131"/>
      <c r="R95" s="131"/>
      <c r="S95" s="131"/>
      <c r="T95" s="131"/>
      <c r="U95" s="132"/>
    </row>
    <row r="96" spans="1:27" ht="97.5" customHeight="1" x14ac:dyDescent="0.2">
      <c r="B96" s="100"/>
      <c r="C96" s="69" t="s">
        <v>67</v>
      </c>
      <c r="D96" s="127" t="s">
        <v>184</v>
      </c>
      <c r="E96" s="128"/>
      <c r="F96" s="128"/>
      <c r="G96" s="128"/>
      <c r="H96" s="128"/>
      <c r="I96" s="128"/>
      <c r="J96" s="128"/>
      <c r="K96" s="128"/>
      <c r="L96" s="128"/>
      <c r="M96" s="128"/>
      <c r="N96" s="128"/>
      <c r="O96" s="128"/>
      <c r="P96" s="128"/>
      <c r="Q96" s="128"/>
      <c r="R96" s="128"/>
      <c r="S96" s="128"/>
      <c r="T96" s="128"/>
      <c r="U96" s="129"/>
    </row>
    <row r="97" spans="1:21" ht="97.5" customHeight="1" x14ac:dyDescent="0.2">
      <c r="B97" s="99" t="s">
        <v>71</v>
      </c>
      <c r="C97" s="65" t="s">
        <v>53</v>
      </c>
      <c r="D97" s="130" t="s">
        <v>161</v>
      </c>
      <c r="E97" s="131"/>
      <c r="F97" s="131"/>
      <c r="G97" s="131"/>
      <c r="H97" s="131"/>
      <c r="I97" s="131"/>
      <c r="J97" s="131"/>
      <c r="K97" s="131"/>
      <c r="L97" s="131"/>
      <c r="M97" s="131"/>
      <c r="N97" s="131"/>
      <c r="O97" s="131"/>
      <c r="P97" s="131"/>
      <c r="Q97" s="131"/>
      <c r="R97" s="131"/>
      <c r="S97" s="131"/>
      <c r="T97" s="131"/>
      <c r="U97" s="132"/>
    </row>
    <row r="98" spans="1:21" ht="97.5" customHeight="1" x14ac:dyDescent="0.2">
      <c r="B98" s="100"/>
      <c r="C98" s="68" t="s">
        <v>55</v>
      </c>
      <c r="D98" s="127" t="s">
        <v>162</v>
      </c>
      <c r="E98" s="128"/>
      <c r="F98" s="128"/>
      <c r="G98" s="128"/>
      <c r="H98" s="128"/>
      <c r="I98" s="128"/>
      <c r="J98" s="128"/>
      <c r="K98" s="128"/>
      <c r="L98" s="128"/>
      <c r="M98" s="128"/>
      <c r="N98" s="128"/>
      <c r="O98" s="128"/>
      <c r="P98" s="128"/>
      <c r="Q98" s="128"/>
      <c r="R98" s="128"/>
      <c r="S98" s="128"/>
      <c r="T98" s="128"/>
      <c r="U98" s="129"/>
    </row>
    <row r="99" spans="1:21" ht="97.5" customHeight="1" x14ac:dyDescent="0.2">
      <c r="B99" s="99" t="s">
        <v>72</v>
      </c>
      <c r="C99" s="67" t="s">
        <v>52</v>
      </c>
      <c r="D99" s="130" t="s">
        <v>163</v>
      </c>
      <c r="E99" s="131"/>
      <c r="F99" s="131"/>
      <c r="G99" s="131"/>
      <c r="H99" s="131"/>
      <c r="I99" s="131"/>
      <c r="J99" s="131"/>
      <c r="K99" s="131"/>
      <c r="L99" s="131"/>
      <c r="M99" s="131"/>
      <c r="N99" s="131"/>
      <c r="O99" s="131"/>
      <c r="P99" s="131"/>
      <c r="Q99" s="131"/>
      <c r="R99" s="131"/>
      <c r="S99" s="131"/>
      <c r="T99" s="131"/>
      <c r="U99" s="132"/>
    </row>
    <row r="100" spans="1:21" ht="97.5" customHeight="1" x14ac:dyDescent="0.2">
      <c r="B100" s="123"/>
      <c r="C100" s="70" t="s">
        <v>68</v>
      </c>
      <c r="D100" s="133" t="s">
        <v>164</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2">
      <c r="B101" s="100"/>
      <c r="C101" s="69" t="s">
        <v>69</v>
      </c>
      <c r="D101" s="127" t="s">
        <v>165</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2"/>
    <row r="103" spans="1:21" ht="18.75" customHeight="1" x14ac:dyDescent="0.2">
      <c r="A103" s="1" t="s">
        <v>103</v>
      </c>
    </row>
    <row r="104" spans="1:21" ht="88.5" customHeight="1" x14ac:dyDescent="0.2">
      <c r="B104" s="117" t="s">
        <v>183</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R71:U77 S49:U55 H60:J66 S60:U66 G71:J77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53" zoomScaleNormal="100" zoomScaleSheetLayoutView="100" workbookViewId="0">
      <selection activeCell="AD25" sqref="AD25"/>
    </sheetView>
  </sheetViews>
  <sheetFormatPr defaultColWidth="9" defaultRowHeight="18.75" customHeight="1" x14ac:dyDescent="0.2"/>
  <cols>
    <col min="1" max="1" width="2.9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1"/>
      <c r="B1" s="51"/>
      <c r="C1" s="51"/>
      <c r="D1" s="51"/>
      <c r="E1" s="51"/>
      <c r="F1" s="51"/>
      <c r="G1" s="51"/>
      <c r="H1" s="51"/>
      <c r="I1" s="51"/>
      <c r="J1" s="51"/>
      <c r="K1" s="51"/>
      <c r="L1" s="51"/>
      <c r="M1" s="51"/>
      <c r="N1" s="51"/>
      <c r="O1" s="51"/>
      <c r="P1" s="51"/>
      <c r="Q1" s="51"/>
      <c r="R1" s="51"/>
      <c r="S1" s="51" t="s">
        <v>92</v>
      </c>
    </row>
    <row r="2" spans="1:21" ht="18" customHeight="1" x14ac:dyDescent="0.2">
      <c r="A2" s="51"/>
      <c r="B2" s="51"/>
      <c r="C2" s="51"/>
      <c r="D2" s="51"/>
      <c r="E2" s="51"/>
      <c r="F2" s="51"/>
      <c r="G2" s="51"/>
      <c r="H2" s="51"/>
      <c r="I2" s="51"/>
      <c r="J2" s="51"/>
      <c r="K2" s="51"/>
      <c r="L2" s="51"/>
      <c r="M2" s="51"/>
      <c r="N2" s="51"/>
      <c r="O2" s="51"/>
      <c r="P2" s="51"/>
      <c r="Q2" s="149" t="str">
        <f>'様式１　プログラムを構成する授業科目'!C2</f>
        <v>筑紫女学園大学</v>
      </c>
      <c r="R2" s="149"/>
      <c r="S2" s="149"/>
    </row>
    <row r="3" spans="1:21" ht="18" customHeight="1" x14ac:dyDescent="0.2">
      <c r="A3" s="107" t="s">
        <v>142</v>
      </c>
      <c r="B3" s="107"/>
      <c r="C3" s="107"/>
      <c r="D3" s="107"/>
      <c r="E3" s="107"/>
      <c r="F3" s="107"/>
      <c r="G3" s="107"/>
      <c r="H3" s="107"/>
      <c r="I3" s="107"/>
      <c r="J3" s="107"/>
      <c r="K3" s="107"/>
      <c r="L3" s="107"/>
      <c r="M3" s="107"/>
      <c r="N3" s="107"/>
      <c r="O3" s="107"/>
      <c r="P3" s="107"/>
      <c r="Q3" s="107"/>
      <c r="R3" s="107"/>
      <c r="S3" s="107"/>
    </row>
    <row r="4" spans="1:21" ht="7.5" customHeight="1" x14ac:dyDescent="0.2">
      <c r="A4" s="53"/>
      <c r="B4" s="53"/>
      <c r="C4" s="53"/>
      <c r="D4" s="53"/>
      <c r="E4" s="53"/>
      <c r="F4" s="53"/>
      <c r="G4" s="53"/>
      <c r="H4" s="53"/>
      <c r="I4" s="53"/>
      <c r="J4" s="53"/>
      <c r="K4" s="53"/>
      <c r="L4" s="53"/>
      <c r="M4" s="53"/>
      <c r="N4" s="53"/>
      <c r="O4" s="53"/>
      <c r="P4" s="53"/>
      <c r="Q4" s="53"/>
      <c r="R4" s="53"/>
      <c r="S4" s="53"/>
    </row>
    <row r="5" spans="1:21" ht="18" customHeight="1" x14ac:dyDescent="0.2">
      <c r="A5" s="51" t="s">
        <v>75</v>
      </c>
      <c r="B5" s="51"/>
      <c r="C5" s="150" t="s">
        <v>153</v>
      </c>
      <c r="D5" s="151"/>
      <c r="E5" s="55" t="s">
        <v>125</v>
      </c>
      <c r="F5" s="53"/>
      <c r="G5" s="53"/>
      <c r="H5" s="53"/>
      <c r="I5" s="53"/>
      <c r="J5" s="53"/>
      <c r="K5" s="53"/>
      <c r="L5" s="53"/>
      <c r="M5" s="53"/>
      <c r="N5" s="53"/>
      <c r="O5" s="53"/>
      <c r="P5" s="53"/>
      <c r="Q5" s="53"/>
      <c r="R5" s="52"/>
      <c r="S5" s="52"/>
    </row>
    <row r="6" spans="1:21" ht="7.4" customHeight="1" x14ac:dyDescent="0.2">
      <c r="A6" s="51"/>
      <c r="B6" s="51"/>
      <c r="C6" s="74"/>
      <c r="D6" s="74"/>
      <c r="E6" s="53"/>
      <c r="F6" s="53"/>
      <c r="G6" s="53"/>
      <c r="H6" s="53"/>
      <c r="I6" s="53"/>
      <c r="J6" s="53"/>
      <c r="K6" s="53"/>
      <c r="L6" s="53"/>
      <c r="M6" s="53"/>
      <c r="N6" s="53"/>
      <c r="O6" s="53"/>
      <c r="P6" s="53"/>
      <c r="Q6" s="53"/>
      <c r="R6" s="52"/>
      <c r="S6" s="52"/>
    </row>
    <row r="7" spans="1:21" ht="18" customHeight="1" x14ac:dyDescent="0.2">
      <c r="A7" s="51" t="s">
        <v>109</v>
      </c>
      <c r="B7" s="51"/>
      <c r="C7" s="74"/>
      <c r="D7" s="74"/>
      <c r="E7" s="53" t="s">
        <v>110</v>
      </c>
      <c r="F7" s="56">
        <v>0</v>
      </c>
      <c r="G7" s="55" t="s">
        <v>111</v>
      </c>
      <c r="H7" s="53" t="s">
        <v>112</v>
      </c>
      <c r="I7" s="56">
        <v>2081</v>
      </c>
      <c r="J7" s="55" t="s">
        <v>111</v>
      </c>
      <c r="K7" s="54" t="s">
        <v>113</v>
      </c>
      <c r="L7" s="53" t="s">
        <v>114</v>
      </c>
      <c r="M7" s="56">
        <f>F7+I7</f>
        <v>2081</v>
      </c>
      <c r="N7" s="53" t="s">
        <v>1</v>
      </c>
      <c r="O7" s="55" t="s">
        <v>115</v>
      </c>
      <c r="P7" s="53"/>
      <c r="Q7" s="53"/>
      <c r="R7" s="52"/>
      <c r="S7" s="52"/>
    </row>
    <row r="8" spans="1:21" ht="17.5" customHeight="1" x14ac:dyDescent="0.2">
      <c r="A8" s="53"/>
      <c r="B8" s="75" t="s">
        <v>128</v>
      </c>
      <c r="C8" s="53"/>
      <c r="D8" s="53"/>
      <c r="E8" s="53"/>
      <c r="F8" s="53"/>
      <c r="G8" s="53"/>
      <c r="H8" s="53"/>
      <c r="I8" s="53"/>
      <c r="J8" s="53"/>
      <c r="K8" s="53"/>
      <c r="L8" s="53"/>
      <c r="M8" s="53"/>
      <c r="N8" s="53"/>
      <c r="O8" s="53"/>
      <c r="P8" s="53"/>
      <c r="Q8" s="53"/>
      <c r="R8" s="53"/>
      <c r="S8" s="53"/>
    </row>
    <row r="9" spans="1:21" ht="18" customHeight="1" x14ac:dyDescent="0.2">
      <c r="A9" s="51" t="s">
        <v>120</v>
      </c>
      <c r="B9" s="53"/>
      <c r="C9" s="53"/>
      <c r="D9" s="53"/>
      <c r="E9" s="53"/>
      <c r="F9" s="53"/>
      <c r="G9" s="53"/>
      <c r="H9" s="53"/>
      <c r="I9" s="53"/>
      <c r="J9" s="53"/>
      <c r="K9" s="53"/>
      <c r="L9" s="53"/>
      <c r="M9" s="53"/>
      <c r="N9" s="53"/>
      <c r="O9" s="53"/>
      <c r="P9" s="53"/>
      <c r="Q9" s="53"/>
      <c r="R9" s="53"/>
      <c r="S9" s="53"/>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2" t="s">
        <v>43</v>
      </c>
      <c r="C11" s="162" t="s">
        <v>78</v>
      </c>
      <c r="D11" s="154" t="s">
        <v>45</v>
      </c>
      <c r="E11" s="156" t="s">
        <v>38</v>
      </c>
      <c r="F11" s="148" t="s">
        <v>126</v>
      </c>
      <c r="G11" s="148"/>
      <c r="H11" s="148" t="s">
        <v>106</v>
      </c>
      <c r="I11" s="148"/>
      <c r="J11" s="148" t="s">
        <v>77</v>
      </c>
      <c r="K11" s="148"/>
      <c r="L11" s="148" t="s">
        <v>46</v>
      </c>
      <c r="M11" s="148"/>
      <c r="N11" s="148" t="s">
        <v>47</v>
      </c>
      <c r="O11" s="148"/>
      <c r="P11" s="148" t="s">
        <v>127</v>
      </c>
      <c r="Q11" s="148"/>
      <c r="R11" s="158" t="s">
        <v>35</v>
      </c>
      <c r="S11" s="160" t="s">
        <v>32</v>
      </c>
      <c r="U11" s="2"/>
    </row>
    <row r="12" spans="1:21" ht="17.149999999999999" customHeight="1" x14ac:dyDescent="0.2">
      <c r="B12" s="153"/>
      <c r="C12" s="163"/>
      <c r="D12" s="155"/>
      <c r="E12" s="157"/>
      <c r="F12" s="76" t="s">
        <v>86</v>
      </c>
      <c r="G12" s="76" t="s">
        <v>29</v>
      </c>
      <c r="H12" s="76" t="s">
        <v>86</v>
      </c>
      <c r="I12" s="76" t="s">
        <v>29</v>
      </c>
      <c r="J12" s="76" t="s">
        <v>86</v>
      </c>
      <c r="K12" s="76" t="s">
        <v>29</v>
      </c>
      <c r="L12" s="76" t="s">
        <v>86</v>
      </c>
      <c r="M12" s="76" t="s">
        <v>29</v>
      </c>
      <c r="N12" s="76" t="s">
        <v>86</v>
      </c>
      <c r="O12" s="76" t="s">
        <v>29</v>
      </c>
      <c r="P12" s="76" t="s">
        <v>86</v>
      </c>
      <c r="Q12" s="77" t="s">
        <v>29</v>
      </c>
      <c r="R12" s="159"/>
      <c r="S12" s="161"/>
      <c r="U12" s="2"/>
    </row>
    <row r="13" spans="1:21" ht="18" customHeight="1" x14ac:dyDescent="0.2">
      <c r="A13" s="6"/>
      <c r="B13" s="46" t="s">
        <v>154</v>
      </c>
      <c r="C13" s="34">
        <v>776</v>
      </c>
      <c r="D13" s="35">
        <v>270</v>
      </c>
      <c r="E13" s="36">
        <v>1096</v>
      </c>
      <c r="F13" s="36">
        <v>148</v>
      </c>
      <c r="G13" s="36">
        <v>122</v>
      </c>
      <c r="H13" s="36"/>
      <c r="I13" s="36"/>
      <c r="J13" s="36"/>
      <c r="K13" s="36"/>
      <c r="L13" s="36"/>
      <c r="M13" s="36"/>
      <c r="N13" s="36"/>
      <c r="O13" s="36"/>
      <c r="P13" s="36"/>
      <c r="Q13" s="47"/>
      <c r="R13" s="35">
        <f t="shared" ref="R13:R32" si="0">F13+H13+J13+L13+N13+P13</f>
        <v>148</v>
      </c>
      <c r="S13" s="8">
        <f t="shared" ref="S13:S15" si="1">IFERROR(R13/E13,0)</f>
        <v>0.13503649635036497</v>
      </c>
    </row>
    <row r="14" spans="1:21" ht="18" customHeight="1" x14ac:dyDescent="0.2">
      <c r="A14" s="6"/>
      <c r="B14" s="10" t="s">
        <v>155</v>
      </c>
      <c r="C14" s="37">
        <v>1013</v>
      </c>
      <c r="D14" s="38">
        <v>280</v>
      </c>
      <c r="E14" s="39">
        <v>1120</v>
      </c>
      <c r="F14" s="40">
        <v>205</v>
      </c>
      <c r="G14" s="40">
        <v>192</v>
      </c>
      <c r="H14" s="40"/>
      <c r="I14" s="40"/>
      <c r="J14" s="40"/>
      <c r="K14" s="40"/>
      <c r="L14" s="40"/>
      <c r="M14" s="40"/>
      <c r="N14" s="40"/>
      <c r="O14" s="40"/>
      <c r="P14" s="40"/>
      <c r="Q14" s="37"/>
      <c r="R14" s="38">
        <f t="shared" si="0"/>
        <v>205</v>
      </c>
      <c r="S14" s="8">
        <f t="shared" si="1"/>
        <v>0.18303571428571427</v>
      </c>
    </row>
    <row r="15" spans="1:21" ht="18" customHeight="1" x14ac:dyDescent="0.2">
      <c r="A15" s="6"/>
      <c r="B15" s="10" t="s">
        <v>156</v>
      </c>
      <c r="C15" s="37">
        <v>292</v>
      </c>
      <c r="D15" s="38">
        <v>120</v>
      </c>
      <c r="E15" s="39">
        <v>480</v>
      </c>
      <c r="F15" s="40">
        <v>53</v>
      </c>
      <c r="G15" s="40">
        <v>49</v>
      </c>
      <c r="H15" s="40"/>
      <c r="I15" s="40"/>
      <c r="J15" s="40"/>
      <c r="K15" s="40"/>
      <c r="L15" s="40"/>
      <c r="M15" s="40"/>
      <c r="N15" s="40"/>
      <c r="O15" s="40"/>
      <c r="P15" s="40"/>
      <c r="Q15" s="37"/>
      <c r="R15" s="38">
        <f t="shared" si="0"/>
        <v>53</v>
      </c>
      <c r="S15" s="8">
        <f t="shared" si="1"/>
        <v>0.11041666666666666</v>
      </c>
    </row>
    <row r="16" spans="1:21" ht="18" customHeight="1" x14ac:dyDescent="0.2">
      <c r="A16" s="6"/>
      <c r="B16" s="46"/>
      <c r="C16" s="34"/>
      <c r="D16" s="35"/>
      <c r="E16" s="36"/>
      <c r="F16" s="36"/>
      <c r="G16" s="36"/>
      <c r="H16" s="40"/>
      <c r="I16" s="40"/>
      <c r="J16" s="40"/>
      <c r="K16" s="40"/>
      <c r="L16" s="40"/>
      <c r="M16" s="40"/>
      <c r="N16" s="40"/>
      <c r="O16" s="40"/>
      <c r="P16" s="40"/>
      <c r="Q16" s="37"/>
      <c r="R16" s="38">
        <f t="shared" si="0"/>
        <v>0</v>
      </c>
      <c r="S16" s="8">
        <f>IFERROR(R16/E16,0)</f>
        <v>0</v>
      </c>
    </row>
    <row r="17" spans="1:19" ht="18" customHeight="1" x14ac:dyDescent="0.2">
      <c r="A17" s="6"/>
      <c r="B17" s="10"/>
      <c r="C17" s="37"/>
      <c r="D17" s="38"/>
      <c r="E17" s="39"/>
      <c r="F17" s="40"/>
      <c r="G17" s="40"/>
      <c r="H17" s="40"/>
      <c r="I17" s="40"/>
      <c r="J17" s="40"/>
      <c r="K17" s="40"/>
      <c r="L17" s="40"/>
      <c r="M17" s="40"/>
      <c r="N17" s="40"/>
      <c r="O17" s="40"/>
      <c r="P17" s="40"/>
      <c r="Q17" s="37"/>
      <c r="R17" s="38">
        <f t="shared" si="0"/>
        <v>0</v>
      </c>
      <c r="S17" s="8">
        <f t="shared" ref="S17:S31" si="2">IFERROR(R17/E17,0)</f>
        <v>0</v>
      </c>
    </row>
    <row r="18" spans="1:19" ht="18" customHeight="1" x14ac:dyDescent="0.2">
      <c r="A18" s="6"/>
      <c r="B18" s="10"/>
      <c r="C18" s="37"/>
      <c r="D18" s="38"/>
      <c r="E18" s="39"/>
      <c r="F18" s="40"/>
      <c r="G18" s="40"/>
      <c r="H18" s="40"/>
      <c r="I18" s="40"/>
      <c r="J18" s="40"/>
      <c r="K18" s="40"/>
      <c r="L18" s="40"/>
      <c r="M18" s="40"/>
      <c r="N18" s="40"/>
      <c r="O18" s="40"/>
      <c r="P18" s="40"/>
      <c r="Q18" s="37"/>
      <c r="R18" s="38">
        <f t="shared" si="0"/>
        <v>0</v>
      </c>
      <c r="S18" s="8">
        <f t="shared" si="2"/>
        <v>0</v>
      </c>
    </row>
    <row r="19" spans="1:19" ht="18" customHeight="1" x14ac:dyDescent="0.2">
      <c r="A19" s="6"/>
      <c r="B19" s="10"/>
      <c r="C19" s="37"/>
      <c r="D19" s="38"/>
      <c r="E19" s="39"/>
      <c r="F19" s="40"/>
      <c r="G19" s="40"/>
      <c r="H19" s="40"/>
      <c r="I19" s="40"/>
      <c r="J19" s="40"/>
      <c r="K19" s="40"/>
      <c r="L19" s="40"/>
      <c r="M19" s="40"/>
      <c r="N19" s="40"/>
      <c r="O19" s="40"/>
      <c r="P19" s="40"/>
      <c r="Q19" s="37"/>
      <c r="R19" s="38">
        <f t="shared" si="0"/>
        <v>0</v>
      </c>
      <c r="S19" s="8">
        <f t="shared" si="2"/>
        <v>0</v>
      </c>
    </row>
    <row r="20" spans="1:19" ht="18" customHeight="1" x14ac:dyDescent="0.2">
      <c r="A20" s="6"/>
      <c r="B20" s="10"/>
      <c r="C20" s="37"/>
      <c r="D20" s="38"/>
      <c r="E20" s="39"/>
      <c r="F20" s="40"/>
      <c r="G20" s="40"/>
      <c r="H20" s="40"/>
      <c r="I20" s="40"/>
      <c r="J20" s="40"/>
      <c r="K20" s="40"/>
      <c r="L20" s="40"/>
      <c r="M20" s="40"/>
      <c r="N20" s="40"/>
      <c r="O20" s="40"/>
      <c r="P20" s="40"/>
      <c r="Q20" s="37"/>
      <c r="R20" s="38">
        <f t="shared" si="0"/>
        <v>0</v>
      </c>
      <c r="S20" s="8">
        <f t="shared" si="2"/>
        <v>0</v>
      </c>
    </row>
    <row r="21" spans="1:19" ht="18" customHeight="1" x14ac:dyDescent="0.2">
      <c r="A21" s="6"/>
      <c r="B21" s="10"/>
      <c r="C21" s="37"/>
      <c r="D21" s="38"/>
      <c r="E21" s="39"/>
      <c r="F21" s="40"/>
      <c r="G21" s="40"/>
      <c r="H21" s="40"/>
      <c r="I21" s="40"/>
      <c r="J21" s="40"/>
      <c r="K21" s="40"/>
      <c r="L21" s="40"/>
      <c r="M21" s="40"/>
      <c r="N21" s="40"/>
      <c r="O21" s="40"/>
      <c r="P21" s="40"/>
      <c r="Q21" s="37"/>
      <c r="R21" s="38">
        <f t="shared" si="0"/>
        <v>0</v>
      </c>
      <c r="S21" s="8">
        <f t="shared" si="2"/>
        <v>0</v>
      </c>
    </row>
    <row r="22" spans="1:19" ht="18" customHeight="1" x14ac:dyDescent="0.2">
      <c r="A22" s="6"/>
      <c r="B22" s="10"/>
      <c r="C22" s="37"/>
      <c r="D22" s="38"/>
      <c r="E22" s="39"/>
      <c r="F22" s="40"/>
      <c r="G22" s="40"/>
      <c r="H22" s="40"/>
      <c r="I22" s="40"/>
      <c r="J22" s="40"/>
      <c r="K22" s="40"/>
      <c r="L22" s="40"/>
      <c r="M22" s="40"/>
      <c r="N22" s="40"/>
      <c r="O22" s="40"/>
      <c r="P22" s="40"/>
      <c r="Q22" s="37"/>
      <c r="R22" s="38">
        <f t="shared" si="0"/>
        <v>0</v>
      </c>
      <c r="S22" s="8">
        <f t="shared" si="2"/>
        <v>0</v>
      </c>
    </row>
    <row r="23" spans="1:19" ht="18" customHeight="1" x14ac:dyDescent="0.2">
      <c r="A23" s="6"/>
      <c r="B23" s="10"/>
      <c r="C23" s="37"/>
      <c r="D23" s="38"/>
      <c r="E23" s="39"/>
      <c r="F23" s="40"/>
      <c r="G23" s="40"/>
      <c r="H23" s="40"/>
      <c r="I23" s="40"/>
      <c r="J23" s="40"/>
      <c r="K23" s="40"/>
      <c r="L23" s="40"/>
      <c r="M23" s="40"/>
      <c r="N23" s="40"/>
      <c r="O23" s="40"/>
      <c r="P23" s="40"/>
      <c r="Q23" s="37"/>
      <c r="R23" s="38">
        <f t="shared" si="0"/>
        <v>0</v>
      </c>
      <c r="S23" s="8">
        <f t="shared" si="2"/>
        <v>0</v>
      </c>
    </row>
    <row r="24" spans="1:19" ht="18" customHeight="1" x14ac:dyDescent="0.2">
      <c r="A24" s="6"/>
      <c r="B24" s="10"/>
      <c r="C24" s="37"/>
      <c r="D24" s="38"/>
      <c r="E24" s="39"/>
      <c r="F24" s="40"/>
      <c r="G24" s="40"/>
      <c r="H24" s="40"/>
      <c r="I24" s="40"/>
      <c r="J24" s="40"/>
      <c r="K24" s="40"/>
      <c r="L24" s="40"/>
      <c r="M24" s="40"/>
      <c r="N24" s="40"/>
      <c r="O24" s="40"/>
      <c r="P24" s="40"/>
      <c r="Q24" s="37"/>
      <c r="R24" s="38">
        <f t="shared" si="0"/>
        <v>0</v>
      </c>
      <c r="S24" s="8">
        <f t="shared" si="2"/>
        <v>0</v>
      </c>
    </row>
    <row r="25" spans="1:19" ht="18" customHeight="1" x14ac:dyDescent="0.2">
      <c r="A25" s="6"/>
      <c r="B25" s="10"/>
      <c r="C25" s="37"/>
      <c r="D25" s="38"/>
      <c r="E25" s="39"/>
      <c r="F25" s="40"/>
      <c r="G25" s="40"/>
      <c r="H25" s="40"/>
      <c r="I25" s="40"/>
      <c r="J25" s="40"/>
      <c r="K25" s="40"/>
      <c r="L25" s="40"/>
      <c r="M25" s="40"/>
      <c r="N25" s="40"/>
      <c r="O25" s="40"/>
      <c r="P25" s="40"/>
      <c r="Q25" s="37"/>
      <c r="R25" s="38">
        <f t="shared" si="0"/>
        <v>0</v>
      </c>
      <c r="S25" s="8">
        <f t="shared" si="2"/>
        <v>0</v>
      </c>
    </row>
    <row r="26" spans="1:19" ht="18" customHeight="1" x14ac:dyDescent="0.2">
      <c r="A26" s="6"/>
      <c r="B26" s="10"/>
      <c r="C26" s="37"/>
      <c r="D26" s="38"/>
      <c r="E26" s="39"/>
      <c r="F26" s="40"/>
      <c r="G26" s="40"/>
      <c r="H26" s="40"/>
      <c r="I26" s="40"/>
      <c r="J26" s="40"/>
      <c r="K26" s="40"/>
      <c r="L26" s="40"/>
      <c r="M26" s="40"/>
      <c r="N26" s="40"/>
      <c r="O26" s="40"/>
      <c r="P26" s="40"/>
      <c r="Q26" s="37"/>
      <c r="R26" s="38">
        <f t="shared" si="0"/>
        <v>0</v>
      </c>
      <c r="S26" s="8">
        <f t="shared" si="2"/>
        <v>0</v>
      </c>
    </row>
    <row r="27" spans="1:19" ht="18" customHeight="1" x14ac:dyDescent="0.2">
      <c r="A27" s="6"/>
      <c r="B27" s="10"/>
      <c r="C27" s="37"/>
      <c r="D27" s="38"/>
      <c r="E27" s="39"/>
      <c r="F27" s="40"/>
      <c r="G27" s="40"/>
      <c r="H27" s="40"/>
      <c r="I27" s="40"/>
      <c r="J27" s="40"/>
      <c r="K27" s="40"/>
      <c r="L27" s="40"/>
      <c r="M27" s="40"/>
      <c r="N27" s="40"/>
      <c r="O27" s="40"/>
      <c r="P27" s="40"/>
      <c r="Q27" s="37"/>
      <c r="R27" s="38">
        <f t="shared" si="0"/>
        <v>0</v>
      </c>
      <c r="S27" s="8">
        <f t="shared" si="2"/>
        <v>0</v>
      </c>
    </row>
    <row r="28" spans="1:19" ht="18" customHeight="1" x14ac:dyDescent="0.2">
      <c r="A28" s="6"/>
      <c r="B28" s="10"/>
      <c r="C28" s="37"/>
      <c r="D28" s="38"/>
      <c r="E28" s="39"/>
      <c r="F28" s="40"/>
      <c r="G28" s="40"/>
      <c r="H28" s="40"/>
      <c r="I28" s="40"/>
      <c r="J28" s="40"/>
      <c r="K28" s="40"/>
      <c r="L28" s="40"/>
      <c r="M28" s="40"/>
      <c r="N28" s="40"/>
      <c r="O28" s="40"/>
      <c r="P28" s="40"/>
      <c r="Q28" s="37"/>
      <c r="R28" s="38">
        <f t="shared" si="0"/>
        <v>0</v>
      </c>
      <c r="S28" s="8">
        <f t="shared" si="2"/>
        <v>0</v>
      </c>
    </row>
    <row r="29" spans="1:19" ht="18" customHeight="1" x14ac:dyDescent="0.2">
      <c r="A29" s="6"/>
      <c r="B29" s="10"/>
      <c r="C29" s="37"/>
      <c r="D29" s="38"/>
      <c r="E29" s="39"/>
      <c r="F29" s="40"/>
      <c r="G29" s="40"/>
      <c r="H29" s="40"/>
      <c r="I29" s="40"/>
      <c r="J29" s="40"/>
      <c r="K29" s="40"/>
      <c r="L29" s="40"/>
      <c r="M29" s="40"/>
      <c r="N29" s="40"/>
      <c r="O29" s="40"/>
      <c r="P29" s="40"/>
      <c r="Q29" s="37"/>
      <c r="R29" s="38">
        <f t="shared" si="0"/>
        <v>0</v>
      </c>
      <c r="S29" s="8">
        <f t="shared" si="2"/>
        <v>0</v>
      </c>
    </row>
    <row r="30" spans="1:19" ht="18" customHeight="1" x14ac:dyDescent="0.2">
      <c r="A30" s="6"/>
      <c r="B30" s="10"/>
      <c r="C30" s="37"/>
      <c r="D30" s="41"/>
      <c r="E30" s="39"/>
      <c r="F30" s="40"/>
      <c r="G30" s="40"/>
      <c r="H30" s="40"/>
      <c r="I30" s="40"/>
      <c r="J30" s="40"/>
      <c r="K30" s="40"/>
      <c r="L30" s="40"/>
      <c r="M30" s="40"/>
      <c r="N30" s="40"/>
      <c r="O30" s="40"/>
      <c r="P30" s="40"/>
      <c r="Q30" s="37"/>
      <c r="R30" s="41">
        <f t="shared" si="0"/>
        <v>0</v>
      </c>
      <c r="S30" s="8">
        <f t="shared" si="2"/>
        <v>0</v>
      </c>
    </row>
    <row r="31" spans="1:19" ht="18" customHeight="1" x14ac:dyDescent="0.2">
      <c r="A31" s="6"/>
      <c r="B31" s="10"/>
      <c r="C31" s="37"/>
      <c r="D31" s="41"/>
      <c r="E31" s="39"/>
      <c r="F31" s="40"/>
      <c r="G31" s="40"/>
      <c r="H31" s="40"/>
      <c r="I31" s="40"/>
      <c r="J31" s="40"/>
      <c r="K31" s="40"/>
      <c r="L31" s="40"/>
      <c r="M31" s="40"/>
      <c r="N31" s="40"/>
      <c r="O31" s="40"/>
      <c r="P31" s="40"/>
      <c r="Q31" s="37"/>
      <c r="R31" s="41">
        <f t="shared" si="0"/>
        <v>0</v>
      </c>
      <c r="S31" s="8">
        <f t="shared" si="2"/>
        <v>0</v>
      </c>
    </row>
    <row r="32" spans="1:19" ht="18" customHeight="1" thickBot="1" x14ac:dyDescent="0.25">
      <c r="A32" s="6"/>
      <c r="B32" s="11"/>
      <c r="C32" s="34"/>
      <c r="D32" s="42"/>
      <c r="E32" s="36"/>
      <c r="F32" s="36"/>
      <c r="G32" s="36"/>
      <c r="H32" s="36"/>
      <c r="I32" s="36"/>
      <c r="J32" s="36"/>
      <c r="K32" s="36"/>
      <c r="L32" s="36"/>
      <c r="M32" s="36"/>
      <c r="N32" s="36"/>
      <c r="O32" s="36"/>
      <c r="P32" s="36"/>
      <c r="Q32" s="37"/>
      <c r="R32" s="42">
        <f t="shared" si="0"/>
        <v>0</v>
      </c>
      <c r="S32" s="7">
        <f>IFERROR(R32/E32,0)</f>
        <v>0</v>
      </c>
    </row>
    <row r="33" spans="2:19" ht="18" customHeight="1" thickTop="1" x14ac:dyDescent="0.2">
      <c r="B33" s="12" t="s">
        <v>33</v>
      </c>
      <c r="C33" s="43">
        <f t="shared" ref="C33" si="3">SUM(C13:C32)</f>
        <v>2081</v>
      </c>
      <c r="D33" s="44">
        <f t="shared" ref="D33:R33" si="4">SUM(D13:D32)</f>
        <v>670</v>
      </c>
      <c r="E33" s="45">
        <f t="shared" si="4"/>
        <v>2696</v>
      </c>
      <c r="F33" s="45">
        <f t="shared" si="4"/>
        <v>406</v>
      </c>
      <c r="G33" s="45">
        <f t="shared" ref="G33:H33" si="5">SUM(G13:G32)</f>
        <v>363</v>
      </c>
      <c r="H33" s="45">
        <f t="shared" si="5"/>
        <v>0</v>
      </c>
      <c r="I33" s="45">
        <f t="shared" ref="I33:J33" si="6">SUM(I13:I32)</f>
        <v>0</v>
      </c>
      <c r="J33" s="45">
        <f t="shared" si="6"/>
        <v>0</v>
      </c>
      <c r="K33" s="45">
        <f t="shared" ref="K33:O33" si="7">SUM(K13:K32)</f>
        <v>0</v>
      </c>
      <c r="L33" s="45">
        <f t="shared" si="7"/>
        <v>0</v>
      </c>
      <c r="M33" s="45">
        <f t="shared" si="7"/>
        <v>0</v>
      </c>
      <c r="N33" s="45">
        <f t="shared" si="7"/>
        <v>0</v>
      </c>
      <c r="O33" s="45">
        <f t="shared" si="7"/>
        <v>0</v>
      </c>
      <c r="P33" s="45">
        <f t="shared" ref="P33:Q33" si="8">SUM(P13:P32)</f>
        <v>0</v>
      </c>
      <c r="Q33" s="43">
        <f t="shared" si="8"/>
        <v>0</v>
      </c>
      <c r="R33" s="43">
        <f t="shared" si="4"/>
        <v>406</v>
      </c>
      <c r="S33" s="80">
        <f t="shared" ref="S33" si="9">R33/E33</f>
        <v>0.15059347181008903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AD25" sqref="AD25"/>
    </sheetView>
  </sheetViews>
  <sheetFormatPr defaultColWidth="11.36328125" defaultRowHeight="18.75" customHeight="1" x14ac:dyDescent="0.2"/>
  <cols>
    <col min="1" max="1" width="2.90625" style="18"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18" t="s">
        <v>59</v>
      </c>
      <c r="I1" s="16" t="s">
        <v>91</v>
      </c>
    </row>
    <row r="2" spans="1:9" ht="18.75" customHeight="1" x14ac:dyDescent="0.2">
      <c r="G2" s="16" t="s">
        <v>93</v>
      </c>
      <c r="H2" s="96" t="str">
        <f>'様式１　プログラムを構成する授業科目'!C2</f>
        <v>筑紫女学園大学</v>
      </c>
      <c r="I2" s="98"/>
    </row>
    <row r="3" spans="1:9" ht="18.75" customHeight="1" x14ac:dyDescent="0.2">
      <c r="G3" s="16"/>
      <c r="H3" s="9"/>
      <c r="I3" s="9"/>
    </row>
    <row r="4" spans="1:9" ht="18.649999999999999" customHeight="1" x14ac:dyDescent="0.2">
      <c r="A4" s="107" t="s">
        <v>36</v>
      </c>
      <c r="B4" s="107"/>
      <c r="C4" s="107"/>
      <c r="D4" s="107"/>
      <c r="E4" s="107"/>
      <c r="F4" s="107"/>
      <c r="G4" s="107"/>
      <c r="H4" s="107"/>
      <c r="I4" s="107"/>
    </row>
    <row r="5" spans="1:9" ht="13.4" customHeight="1" x14ac:dyDescent="0.2">
      <c r="B5" s="3"/>
      <c r="C5" s="3"/>
      <c r="D5" s="3"/>
      <c r="E5" s="3"/>
      <c r="F5" s="3"/>
      <c r="G5" s="3"/>
      <c r="H5" s="3"/>
      <c r="I5" s="3"/>
    </row>
    <row r="6" spans="1:9" ht="18" customHeight="1" x14ac:dyDescent="0.2">
      <c r="A6" s="1" t="s">
        <v>0</v>
      </c>
      <c r="B6" s="9" t="s">
        <v>81</v>
      </c>
      <c r="C6" s="184" t="s">
        <v>82</v>
      </c>
      <c r="D6" s="184"/>
      <c r="E6" s="15">
        <v>85</v>
      </c>
      <c r="F6" s="3" t="s">
        <v>1</v>
      </c>
      <c r="G6" s="3" t="s">
        <v>2</v>
      </c>
      <c r="H6" s="15">
        <v>182</v>
      </c>
      <c r="I6" s="9" t="s">
        <v>1</v>
      </c>
    </row>
    <row r="7" spans="1:9" ht="12" customHeight="1" x14ac:dyDescent="0.2">
      <c r="C7" s="2"/>
      <c r="D7" s="2"/>
      <c r="E7" s="2"/>
      <c r="F7" s="2"/>
      <c r="G7" s="2"/>
      <c r="H7" s="2"/>
      <c r="I7" s="19"/>
    </row>
    <row r="8" spans="1:9" ht="18" customHeight="1" x14ac:dyDescent="0.2">
      <c r="A8" s="1" t="s">
        <v>3</v>
      </c>
      <c r="B8" s="9" t="s">
        <v>83</v>
      </c>
      <c r="E8" s="3"/>
      <c r="F8" s="3"/>
      <c r="G8" s="3"/>
      <c r="H8" s="15">
        <v>5</v>
      </c>
      <c r="I8" s="9" t="s">
        <v>1</v>
      </c>
    </row>
    <row r="9" spans="1:9" ht="9" customHeight="1" x14ac:dyDescent="0.2">
      <c r="B9" s="3"/>
      <c r="C9" s="3"/>
      <c r="D9" s="3"/>
      <c r="E9" s="3"/>
      <c r="F9" s="3"/>
      <c r="G9" s="3"/>
      <c r="H9" s="3"/>
      <c r="I9" s="3"/>
    </row>
    <row r="10" spans="1:9" ht="18" customHeight="1" x14ac:dyDescent="0.2">
      <c r="A10" s="1" t="s">
        <v>4</v>
      </c>
      <c r="B10" s="9" t="s">
        <v>84</v>
      </c>
      <c r="C10" s="3"/>
      <c r="D10" s="3"/>
      <c r="E10" s="3"/>
      <c r="F10" s="3"/>
      <c r="G10" s="3"/>
      <c r="H10" s="3"/>
      <c r="I10" s="3"/>
    </row>
    <row r="11" spans="1:9" ht="18" customHeight="1" x14ac:dyDescent="0.2">
      <c r="B11" s="16" t="s">
        <v>41</v>
      </c>
      <c r="C11" s="179" t="s">
        <v>187</v>
      </c>
      <c r="D11" s="182"/>
      <c r="E11" s="183"/>
      <c r="F11" s="19"/>
      <c r="G11" s="16" t="s">
        <v>10</v>
      </c>
      <c r="H11" s="179" t="s">
        <v>147</v>
      </c>
      <c r="I11" s="183"/>
    </row>
    <row r="12" spans="1:9" ht="10.4" customHeight="1" x14ac:dyDescent="0.2">
      <c r="B12" s="16"/>
      <c r="C12" s="9"/>
      <c r="D12" s="19"/>
      <c r="E12" s="19"/>
      <c r="F12" s="19"/>
      <c r="G12" s="16"/>
      <c r="H12" s="9"/>
      <c r="I12" s="19"/>
    </row>
    <row r="13" spans="1:9" ht="18" customHeight="1" x14ac:dyDescent="0.2">
      <c r="A13" s="1" t="s">
        <v>7</v>
      </c>
      <c r="B13" s="9" t="s">
        <v>79</v>
      </c>
      <c r="C13" s="3"/>
      <c r="D13" s="3"/>
      <c r="E13" s="3"/>
      <c r="F13" s="3"/>
      <c r="G13" s="3"/>
      <c r="H13" s="3"/>
      <c r="I13" s="3"/>
    </row>
    <row r="14" spans="1:9" ht="18" customHeight="1" x14ac:dyDescent="0.2">
      <c r="B14" s="179" t="s">
        <v>148</v>
      </c>
      <c r="C14" s="180"/>
      <c r="D14" s="180"/>
      <c r="E14" s="180"/>
      <c r="F14" s="180"/>
      <c r="G14" s="180"/>
      <c r="H14" s="180"/>
      <c r="I14" s="181"/>
    </row>
    <row r="15" spans="1:9" ht="9" customHeight="1" x14ac:dyDescent="0.2">
      <c r="B15" s="3"/>
      <c r="C15" s="3"/>
      <c r="D15" s="3"/>
      <c r="E15" s="3"/>
      <c r="F15" s="3"/>
      <c r="G15" s="3"/>
      <c r="H15" s="3"/>
      <c r="I15" s="3"/>
    </row>
    <row r="16" spans="1:9" ht="18" customHeight="1" x14ac:dyDescent="0.2">
      <c r="B16" s="16" t="s">
        <v>41</v>
      </c>
      <c r="C16" s="179" t="s">
        <v>187</v>
      </c>
      <c r="D16" s="182"/>
      <c r="E16" s="183"/>
      <c r="F16" s="19"/>
      <c r="G16" s="16" t="s">
        <v>10</v>
      </c>
      <c r="H16" s="179" t="s">
        <v>147</v>
      </c>
      <c r="I16" s="18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65" t="s">
        <v>157</v>
      </c>
      <c r="C19" s="166"/>
      <c r="D19" s="166"/>
      <c r="E19" s="166"/>
      <c r="F19" s="166"/>
      <c r="G19" s="166"/>
      <c r="H19" s="166"/>
      <c r="I19" s="16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3"/>
      <c r="B22" s="168" t="s">
        <v>166</v>
      </c>
      <c r="C22" s="169"/>
      <c r="D22" s="169"/>
      <c r="E22" s="169"/>
      <c r="F22" s="169"/>
      <c r="G22" s="169"/>
      <c r="H22" s="169"/>
      <c r="I22" s="170"/>
    </row>
    <row r="23" spans="1:9" ht="18.75" customHeight="1" x14ac:dyDescent="0.2">
      <c r="A23" s="13"/>
      <c r="B23" s="171"/>
      <c r="C23" s="172"/>
      <c r="D23" s="172"/>
      <c r="E23" s="172"/>
      <c r="F23" s="172"/>
      <c r="G23" s="172"/>
      <c r="H23" s="172"/>
      <c r="I23" s="173"/>
    </row>
    <row r="24" spans="1:9" ht="18.75" customHeight="1" x14ac:dyDescent="0.2">
      <c r="A24" s="13"/>
      <c r="B24" s="171"/>
      <c r="C24" s="172"/>
      <c r="D24" s="172"/>
      <c r="E24" s="172"/>
      <c r="F24" s="172"/>
      <c r="G24" s="172"/>
      <c r="H24" s="172"/>
      <c r="I24" s="173"/>
    </row>
    <row r="25" spans="1:9" ht="18.75" customHeight="1" x14ac:dyDescent="0.2">
      <c r="A25" s="13"/>
      <c r="B25" s="171"/>
      <c r="C25" s="172"/>
      <c r="D25" s="172"/>
      <c r="E25" s="172"/>
      <c r="F25" s="172"/>
      <c r="G25" s="172"/>
      <c r="H25" s="172"/>
      <c r="I25" s="173"/>
    </row>
    <row r="26" spans="1:9" ht="18.75" customHeight="1" x14ac:dyDescent="0.2">
      <c r="A26" s="13"/>
      <c r="B26" s="171"/>
      <c r="C26" s="172"/>
      <c r="D26" s="172"/>
      <c r="E26" s="172"/>
      <c r="F26" s="172"/>
      <c r="G26" s="172"/>
      <c r="H26" s="172"/>
      <c r="I26" s="173"/>
    </row>
    <row r="27" spans="1:9" ht="18.75" customHeight="1" x14ac:dyDescent="0.2">
      <c r="A27" s="13"/>
      <c r="B27" s="171"/>
      <c r="C27" s="172"/>
      <c r="D27" s="172"/>
      <c r="E27" s="172"/>
      <c r="F27" s="172"/>
      <c r="G27" s="172"/>
      <c r="H27" s="172"/>
      <c r="I27" s="173"/>
    </row>
    <row r="28" spans="1:9" ht="18.75" customHeight="1" x14ac:dyDescent="0.2">
      <c r="A28" s="13"/>
      <c r="B28" s="171"/>
      <c r="C28" s="172"/>
      <c r="D28" s="172"/>
      <c r="E28" s="172"/>
      <c r="F28" s="172"/>
      <c r="G28" s="172"/>
      <c r="H28" s="172"/>
      <c r="I28" s="173"/>
    </row>
    <row r="29" spans="1:9" ht="18.75" customHeight="1" x14ac:dyDescent="0.2">
      <c r="A29" s="13"/>
      <c r="B29" s="171"/>
      <c r="C29" s="172"/>
      <c r="D29" s="172"/>
      <c r="E29" s="172"/>
      <c r="F29" s="172"/>
      <c r="G29" s="172"/>
      <c r="H29" s="172"/>
      <c r="I29" s="173"/>
    </row>
    <row r="30" spans="1:9" ht="18.75" customHeight="1" x14ac:dyDescent="0.2">
      <c r="A30" s="13"/>
      <c r="B30" s="174"/>
      <c r="C30" s="175"/>
      <c r="D30" s="175"/>
      <c r="E30" s="175"/>
      <c r="F30" s="175"/>
      <c r="G30" s="175"/>
      <c r="H30" s="175"/>
      <c r="I30" s="173"/>
    </row>
    <row r="31" spans="1:9" ht="18.75" customHeight="1" x14ac:dyDescent="0.2">
      <c r="A31" s="13"/>
      <c r="B31" s="174"/>
      <c r="C31" s="175"/>
      <c r="D31" s="175"/>
      <c r="E31" s="175"/>
      <c r="F31" s="175"/>
      <c r="G31" s="175"/>
      <c r="H31" s="175"/>
      <c r="I31" s="173"/>
    </row>
    <row r="32" spans="1:9" ht="18.75" customHeight="1" x14ac:dyDescent="0.2">
      <c r="A32" s="13"/>
      <c r="B32" s="176"/>
      <c r="C32" s="177"/>
      <c r="D32" s="177"/>
      <c r="E32" s="177"/>
      <c r="F32" s="177"/>
      <c r="G32" s="177"/>
      <c r="H32" s="177"/>
      <c r="I32" s="178"/>
    </row>
    <row r="33" spans="1:9" ht="7.5" customHeight="1" x14ac:dyDescent="0.2">
      <c r="A33" s="13"/>
      <c r="B33" s="13"/>
      <c r="C33" s="13"/>
      <c r="D33" s="13"/>
      <c r="E33" s="13"/>
      <c r="F33" s="13"/>
      <c r="G33" s="13"/>
      <c r="H33" s="13"/>
      <c r="I33" s="13"/>
    </row>
    <row r="34" spans="1:9" ht="18.75" customHeight="1" x14ac:dyDescent="0.2">
      <c r="A34" s="14" t="s">
        <v>6</v>
      </c>
      <c r="B34" s="14" t="s">
        <v>9</v>
      </c>
      <c r="C34" s="9"/>
      <c r="D34" s="14"/>
      <c r="E34" s="14"/>
      <c r="F34" s="14"/>
      <c r="G34" s="14"/>
      <c r="H34" s="14"/>
      <c r="I34" s="14"/>
    </row>
    <row r="35" spans="1:9" ht="18.75" customHeight="1" x14ac:dyDescent="0.2">
      <c r="A35" s="13"/>
      <c r="B35" s="168" t="s">
        <v>188</v>
      </c>
      <c r="C35" s="169"/>
      <c r="D35" s="169"/>
      <c r="E35" s="169"/>
      <c r="F35" s="169"/>
      <c r="G35" s="169"/>
      <c r="H35" s="169"/>
      <c r="I35" s="170"/>
    </row>
    <row r="36" spans="1:9" ht="18.75" customHeight="1" x14ac:dyDescent="0.2">
      <c r="A36" s="13"/>
      <c r="B36" s="174"/>
      <c r="C36" s="175"/>
      <c r="D36" s="175"/>
      <c r="E36" s="175"/>
      <c r="F36" s="175"/>
      <c r="G36" s="175"/>
      <c r="H36" s="175"/>
      <c r="I36" s="173"/>
    </row>
    <row r="37" spans="1:9" ht="18.75" customHeight="1" x14ac:dyDescent="0.2">
      <c r="A37" s="13"/>
      <c r="B37" s="174"/>
      <c r="C37" s="175"/>
      <c r="D37" s="175"/>
      <c r="E37" s="175"/>
      <c r="F37" s="175"/>
      <c r="G37" s="175"/>
      <c r="H37" s="175"/>
      <c r="I37" s="173"/>
    </row>
    <row r="38" spans="1:9" ht="18.75" customHeight="1" x14ac:dyDescent="0.2">
      <c r="A38" s="13"/>
      <c r="B38" s="174"/>
      <c r="C38" s="175"/>
      <c r="D38" s="175"/>
      <c r="E38" s="175"/>
      <c r="F38" s="175"/>
      <c r="G38" s="175"/>
      <c r="H38" s="175"/>
      <c r="I38" s="173"/>
    </row>
    <row r="39" spans="1:9" ht="18.75" customHeight="1" x14ac:dyDescent="0.2">
      <c r="A39" s="13"/>
      <c r="B39" s="174"/>
      <c r="C39" s="175"/>
      <c r="D39" s="175"/>
      <c r="E39" s="175"/>
      <c r="F39" s="175"/>
      <c r="G39" s="175"/>
      <c r="H39" s="175"/>
      <c r="I39" s="173"/>
    </row>
    <row r="40" spans="1:9" ht="18.75" customHeight="1" x14ac:dyDescent="0.2">
      <c r="A40" s="13"/>
      <c r="B40" s="174"/>
      <c r="C40" s="175"/>
      <c r="D40" s="175"/>
      <c r="E40" s="175"/>
      <c r="F40" s="175"/>
      <c r="G40" s="175"/>
      <c r="H40" s="175"/>
      <c r="I40" s="173"/>
    </row>
    <row r="41" spans="1:9" ht="18.75" customHeight="1" x14ac:dyDescent="0.2">
      <c r="A41" s="13"/>
      <c r="B41" s="174"/>
      <c r="C41" s="175"/>
      <c r="D41" s="175"/>
      <c r="E41" s="175"/>
      <c r="F41" s="175"/>
      <c r="G41" s="175"/>
      <c r="H41" s="175"/>
      <c r="I41" s="173"/>
    </row>
    <row r="42" spans="1:9" ht="18.75" customHeight="1" x14ac:dyDescent="0.2">
      <c r="A42" s="13"/>
      <c r="B42" s="174"/>
      <c r="C42" s="175"/>
      <c r="D42" s="175"/>
      <c r="E42" s="175"/>
      <c r="F42" s="175"/>
      <c r="G42" s="175"/>
      <c r="H42" s="175"/>
      <c r="I42" s="173"/>
    </row>
    <row r="43" spans="1:9" ht="18.75" customHeight="1" x14ac:dyDescent="0.2">
      <c r="A43" s="13"/>
      <c r="B43" s="174"/>
      <c r="C43" s="175"/>
      <c r="D43" s="175"/>
      <c r="E43" s="175"/>
      <c r="F43" s="175"/>
      <c r="G43" s="175"/>
      <c r="H43" s="175"/>
      <c r="I43" s="173"/>
    </row>
    <row r="44" spans="1:9" ht="18.75" customHeight="1" x14ac:dyDescent="0.2">
      <c r="A44" s="13"/>
      <c r="B44" s="174"/>
      <c r="C44" s="175"/>
      <c r="D44" s="175"/>
      <c r="E44" s="175"/>
      <c r="F44" s="175"/>
      <c r="G44" s="175"/>
      <c r="H44" s="175"/>
      <c r="I44" s="173"/>
    </row>
    <row r="45" spans="1:9" ht="18.75" customHeight="1" x14ac:dyDescent="0.2">
      <c r="A45" s="13"/>
      <c r="B45" s="174"/>
      <c r="C45" s="175"/>
      <c r="D45" s="175"/>
      <c r="E45" s="175"/>
      <c r="F45" s="175"/>
      <c r="G45" s="175"/>
      <c r="H45" s="175"/>
      <c r="I45" s="173"/>
    </row>
    <row r="46" spans="1:9" ht="18.75" customHeight="1" x14ac:dyDescent="0.2">
      <c r="A46" s="13"/>
      <c r="B46" s="176"/>
      <c r="C46" s="177"/>
      <c r="D46" s="177"/>
      <c r="E46" s="177"/>
      <c r="F46" s="177"/>
      <c r="G46" s="177"/>
      <c r="H46" s="177"/>
      <c r="I46" s="178"/>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78" t="s">
        <v>129</v>
      </c>
      <c r="C49" s="206">
        <f>'様式２ 履修者等数の実績'!S33</f>
        <v>0.15059347181008903</v>
      </c>
      <c r="D49" s="206"/>
      <c r="E49" s="78" t="s">
        <v>60</v>
      </c>
      <c r="F49" s="206">
        <v>0.45</v>
      </c>
      <c r="G49" s="206"/>
      <c r="H49" s="78" t="s">
        <v>80</v>
      </c>
      <c r="I49" s="20">
        <v>0.7</v>
      </c>
      <c r="J49" s="1"/>
      <c r="M49" s="1"/>
      <c r="N49" s="21"/>
    </row>
    <row r="50" spans="1:15" s="3" customFormat="1" ht="18.75" customHeight="1" x14ac:dyDescent="0.2">
      <c r="B50" s="79" t="s">
        <v>116</v>
      </c>
      <c r="C50" s="189">
        <v>1</v>
      </c>
      <c r="D50" s="189"/>
      <c r="E50" s="79" t="s">
        <v>130</v>
      </c>
      <c r="F50" s="189">
        <v>1</v>
      </c>
      <c r="G50" s="189"/>
      <c r="H50" s="79" t="s">
        <v>61</v>
      </c>
      <c r="I50" s="22">
        <f>'様式２ 履修者等数の実績'!E33</f>
        <v>2696</v>
      </c>
      <c r="J50" s="1"/>
      <c r="M50" s="1"/>
      <c r="N50" s="21"/>
    </row>
    <row r="51" spans="1:15" ht="18.75" customHeight="1" x14ac:dyDescent="0.2">
      <c r="A51" s="1"/>
      <c r="B51" s="186" t="s">
        <v>62</v>
      </c>
      <c r="C51" s="187"/>
      <c r="D51" s="187"/>
      <c r="E51" s="187"/>
      <c r="F51" s="187"/>
      <c r="G51" s="187"/>
      <c r="H51" s="187"/>
      <c r="I51" s="188"/>
      <c r="N51" s="21"/>
      <c r="O51" s="3"/>
    </row>
    <row r="52" spans="1:15" ht="18.75" customHeight="1" x14ac:dyDescent="0.2">
      <c r="A52" s="1"/>
      <c r="B52" s="207" t="s">
        <v>180</v>
      </c>
      <c r="C52" s="208"/>
      <c r="D52" s="208"/>
      <c r="E52" s="208"/>
      <c r="F52" s="208"/>
      <c r="G52" s="208"/>
      <c r="H52" s="208"/>
      <c r="I52" s="209"/>
      <c r="N52" s="21"/>
      <c r="O52" s="3"/>
    </row>
    <row r="53" spans="1:15" ht="18.75" customHeight="1" x14ac:dyDescent="0.2">
      <c r="A53" s="1"/>
      <c r="B53" s="210"/>
      <c r="C53" s="211"/>
      <c r="D53" s="211"/>
      <c r="E53" s="211"/>
      <c r="F53" s="211"/>
      <c r="G53" s="211"/>
      <c r="H53" s="211"/>
      <c r="I53" s="212"/>
      <c r="N53" s="21"/>
      <c r="O53" s="3"/>
    </row>
    <row r="54" spans="1:15" ht="18.75" customHeight="1" x14ac:dyDescent="0.2">
      <c r="A54" s="1"/>
      <c r="B54" s="210"/>
      <c r="C54" s="211"/>
      <c r="D54" s="211"/>
      <c r="E54" s="211"/>
      <c r="F54" s="211"/>
      <c r="G54" s="211"/>
      <c r="H54" s="211"/>
      <c r="I54" s="212"/>
    </row>
    <row r="55" spans="1:15" ht="18.75" customHeight="1" x14ac:dyDescent="0.2">
      <c r="A55" s="1"/>
      <c r="B55" s="210"/>
      <c r="C55" s="211"/>
      <c r="D55" s="211"/>
      <c r="E55" s="211"/>
      <c r="F55" s="211"/>
      <c r="G55" s="211"/>
      <c r="H55" s="211"/>
      <c r="I55" s="212"/>
    </row>
    <row r="56" spans="1:15" ht="18.75" customHeight="1" x14ac:dyDescent="0.2">
      <c r="A56" s="1"/>
      <c r="B56" s="210"/>
      <c r="C56" s="211"/>
      <c r="D56" s="211"/>
      <c r="E56" s="211"/>
      <c r="F56" s="211"/>
      <c r="G56" s="211"/>
      <c r="H56" s="211"/>
      <c r="I56" s="212"/>
    </row>
    <row r="57" spans="1:15" ht="18.75" customHeight="1" x14ac:dyDescent="0.2">
      <c r="A57" s="1"/>
      <c r="B57" s="210"/>
      <c r="C57" s="211"/>
      <c r="D57" s="211"/>
      <c r="E57" s="211"/>
      <c r="F57" s="211"/>
      <c r="G57" s="211"/>
      <c r="H57" s="211"/>
      <c r="I57" s="212"/>
    </row>
    <row r="58" spans="1:15" ht="18.75" customHeight="1" x14ac:dyDescent="0.2">
      <c r="A58" s="1"/>
      <c r="B58" s="210"/>
      <c r="C58" s="211"/>
      <c r="D58" s="211"/>
      <c r="E58" s="211"/>
      <c r="F58" s="211"/>
      <c r="G58" s="211"/>
      <c r="H58" s="211"/>
      <c r="I58" s="212"/>
    </row>
    <row r="59" spans="1:15" ht="18.75" customHeight="1" x14ac:dyDescent="0.2">
      <c r="A59" s="1"/>
      <c r="B59" s="210"/>
      <c r="C59" s="211"/>
      <c r="D59" s="211"/>
      <c r="E59" s="211"/>
      <c r="F59" s="211"/>
      <c r="G59" s="211"/>
      <c r="H59" s="211"/>
      <c r="I59" s="212"/>
    </row>
    <row r="60" spans="1:15" ht="18.75" customHeight="1" x14ac:dyDescent="0.2">
      <c r="A60" s="1"/>
      <c r="B60" s="210"/>
      <c r="C60" s="211"/>
      <c r="D60" s="211"/>
      <c r="E60" s="211"/>
      <c r="F60" s="211"/>
      <c r="G60" s="211"/>
      <c r="H60" s="211"/>
      <c r="I60" s="212"/>
    </row>
    <row r="61" spans="1:15" ht="18.75" customHeight="1" x14ac:dyDescent="0.2">
      <c r="A61" s="1"/>
      <c r="B61" s="210"/>
      <c r="C61" s="211"/>
      <c r="D61" s="211"/>
      <c r="E61" s="211"/>
      <c r="F61" s="211"/>
      <c r="G61" s="211"/>
      <c r="H61" s="211"/>
      <c r="I61" s="212"/>
    </row>
    <row r="62" spans="1:15" ht="18.75" customHeight="1" x14ac:dyDescent="0.2">
      <c r="A62" s="1"/>
      <c r="B62" s="210"/>
      <c r="C62" s="211"/>
      <c r="D62" s="211"/>
      <c r="E62" s="211"/>
      <c r="F62" s="211"/>
      <c r="G62" s="211"/>
      <c r="H62" s="211"/>
      <c r="I62" s="212"/>
    </row>
    <row r="63" spans="1:15" ht="18.75" customHeight="1" x14ac:dyDescent="0.2">
      <c r="A63" s="1"/>
      <c r="B63" s="213"/>
      <c r="C63" s="214"/>
      <c r="D63" s="214"/>
      <c r="E63" s="214"/>
      <c r="F63" s="214"/>
      <c r="G63" s="214"/>
      <c r="H63" s="214"/>
      <c r="I63" s="215"/>
    </row>
    <row r="64" spans="1:15" ht="7.5" customHeight="1" x14ac:dyDescent="0.2">
      <c r="A64" s="13"/>
      <c r="B64" s="13"/>
      <c r="C64" s="13"/>
      <c r="D64" s="13"/>
      <c r="E64" s="13"/>
      <c r="F64" s="13"/>
      <c r="G64" s="13"/>
      <c r="H64" s="13"/>
      <c r="I64" s="13"/>
    </row>
    <row r="65" spans="1:9" ht="18.75" customHeight="1" x14ac:dyDescent="0.2">
      <c r="A65" s="14" t="s">
        <v>34</v>
      </c>
      <c r="B65" s="1" t="s">
        <v>37</v>
      </c>
      <c r="I65" s="14"/>
    </row>
    <row r="66" spans="1:9" ht="18.75" customHeight="1" x14ac:dyDescent="0.2">
      <c r="A66" s="4"/>
      <c r="B66" s="190" t="s">
        <v>167</v>
      </c>
      <c r="C66" s="191"/>
      <c r="D66" s="191"/>
      <c r="E66" s="191"/>
      <c r="F66" s="191"/>
      <c r="G66" s="191"/>
      <c r="H66" s="191"/>
      <c r="I66" s="192"/>
    </row>
    <row r="67" spans="1:9" ht="18.75" customHeight="1" x14ac:dyDescent="0.2">
      <c r="A67" s="4"/>
      <c r="B67" s="193"/>
      <c r="C67" s="194"/>
      <c r="D67" s="194"/>
      <c r="E67" s="194"/>
      <c r="F67" s="194"/>
      <c r="G67" s="194"/>
      <c r="H67" s="194"/>
      <c r="I67" s="195"/>
    </row>
    <row r="68" spans="1:9" ht="18.75" customHeight="1" x14ac:dyDescent="0.2">
      <c r="A68" s="4"/>
      <c r="B68" s="193"/>
      <c r="C68" s="194"/>
      <c r="D68" s="194"/>
      <c r="E68" s="194"/>
      <c r="F68" s="194"/>
      <c r="G68" s="194"/>
      <c r="H68" s="194"/>
      <c r="I68" s="195"/>
    </row>
    <row r="69" spans="1:9" ht="18.75" customHeight="1" x14ac:dyDescent="0.2">
      <c r="A69" s="4"/>
      <c r="B69" s="193"/>
      <c r="C69" s="194"/>
      <c r="D69" s="194"/>
      <c r="E69" s="194"/>
      <c r="F69" s="194"/>
      <c r="G69" s="194"/>
      <c r="H69" s="194"/>
      <c r="I69" s="195"/>
    </row>
    <row r="70" spans="1:9" ht="18.75" customHeight="1" x14ac:dyDescent="0.2">
      <c r="A70" s="4"/>
      <c r="B70" s="193"/>
      <c r="C70" s="194"/>
      <c r="D70" s="194"/>
      <c r="E70" s="194"/>
      <c r="F70" s="194"/>
      <c r="G70" s="194"/>
      <c r="H70" s="194"/>
      <c r="I70" s="195"/>
    </row>
    <row r="71" spans="1:9" ht="18.75" customHeight="1" x14ac:dyDescent="0.2">
      <c r="A71" s="4"/>
      <c r="B71" s="193"/>
      <c r="C71" s="194"/>
      <c r="D71" s="194"/>
      <c r="E71" s="194"/>
      <c r="F71" s="194"/>
      <c r="G71" s="194"/>
      <c r="H71" s="194"/>
      <c r="I71" s="195"/>
    </row>
    <row r="72" spans="1:9" ht="18.75" customHeight="1" x14ac:dyDescent="0.2">
      <c r="A72" s="4"/>
      <c r="B72" s="193"/>
      <c r="C72" s="194"/>
      <c r="D72" s="194"/>
      <c r="E72" s="194"/>
      <c r="F72" s="194"/>
      <c r="G72" s="194"/>
      <c r="H72" s="194"/>
      <c r="I72" s="195"/>
    </row>
    <row r="73" spans="1:9" ht="18.75" customHeight="1" x14ac:dyDescent="0.2">
      <c r="A73" s="4"/>
      <c r="B73" s="193"/>
      <c r="C73" s="194"/>
      <c r="D73" s="194"/>
      <c r="E73" s="194"/>
      <c r="F73" s="194"/>
      <c r="G73" s="194"/>
      <c r="H73" s="194"/>
      <c r="I73" s="195"/>
    </row>
    <row r="74" spans="1:9" ht="18.75" customHeight="1" x14ac:dyDescent="0.2">
      <c r="A74" s="4"/>
      <c r="B74" s="193"/>
      <c r="C74" s="194"/>
      <c r="D74" s="194"/>
      <c r="E74" s="194"/>
      <c r="F74" s="194"/>
      <c r="G74" s="194"/>
      <c r="H74" s="194"/>
      <c r="I74" s="195"/>
    </row>
    <row r="75" spans="1:9" ht="18.75" customHeight="1" x14ac:dyDescent="0.2">
      <c r="A75" s="4"/>
      <c r="B75" s="193"/>
      <c r="C75" s="194"/>
      <c r="D75" s="194"/>
      <c r="E75" s="194"/>
      <c r="F75" s="194"/>
      <c r="G75" s="194"/>
      <c r="H75" s="194"/>
      <c r="I75" s="195"/>
    </row>
    <row r="76" spans="1:9" ht="18.75" customHeight="1" x14ac:dyDescent="0.2">
      <c r="A76" s="4"/>
      <c r="B76" s="193"/>
      <c r="C76" s="194"/>
      <c r="D76" s="194"/>
      <c r="E76" s="194"/>
      <c r="F76" s="194"/>
      <c r="G76" s="194"/>
      <c r="H76" s="194"/>
      <c r="I76" s="195"/>
    </row>
    <row r="77" spans="1:9" ht="18.75" customHeight="1" x14ac:dyDescent="0.2">
      <c r="A77" s="4"/>
      <c r="B77" s="196"/>
      <c r="C77" s="197"/>
      <c r="D77" s="197"/>
      <c r="E77" s="197"/>
      <c r="F77" s="197"/>
      <c r="G77" s="197"/>
      <c r="H77" s="197"/>
      <c r="I77" s="19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0" t="s">
        <v>168</v>
      </c>
      <c r="C80" s="191"/>
      <c r="D80" s="191"/>
      <c r="E80" s="191"/>
      <c r="F80" s="191"/>
      <c r="G80" s="191"/>
      <c r="H80" s="191"/>
      <c r="I80" s="199"/>
    </row>
    <row r="81" spans="1:9" ht="18.75" customHeight="1" x14ac:dyDescent="0.2">
      <c r="A81" s="1"/>
      <c r="B81" s="200"/>
      <c r="C81" s="201"/>
      <c r="D81" s="201"/>
      <c r="E81" s="201"/>
      <c r="F81" s="201"/>
      <c r="G81" s="201"/>
      <c r="H81" s="201"/>
      <c r="I81" s="202"/>
    </row>
    <row r="82" spans="1:9" ht="18.75" customHeight="1" x14ac:dyDescent="0.2">
      <c r="A82" s="1"/>
      <c r="B82" s="200"/>
      <c r="C82" s="201"/>
      <c r="D82" s="201"/>
      <c r="E82" s="201"/>
      <c r="F82" s="201"/>
      <c r="G82" s="201"/>
      <c r="H82" s="201"/>
      <c r="I82" s="202"/>
    </row>
    <row r="83" spans="1:9" ht="18.75" customHeight="1" x14ac:dyDescent="0.2">
      <c r="A83" s="1"/>
      <c r="B83" s="200"/>
      <c r="C83" s="201"/>
      <c r="D83" s="201"/>
      <c r="E83" s="201"/>
      <c r="F83" s="201"/>
      <c r="G83" s="201"/>
      <c r="H83" s="201"/>
      <c r="I83" s="202"/>
    </row>
    <row r="84" spans="1:9" ht="18.75" customHeight="1" x14ac:dyDescent="0.2">
      <c r="A84" s="1"/>
      <c r="B84" s="200"/>
      <c r="C84" s="201"/>
      <c r="D84" s="201"/>
      <c r="E84" s="201"/>
      <c r="F84" s="201"/>
      <c r="G84" s="201"/>
      <c r="H84" s="201"/>
      <c r="I84" s="202"/>
    </row>
    <row r="85" spans="1:9" ht="18.75" customHeight="1" x14ac:dyDescent="0.2">
      <c r="A85" s="1"/>
      <c r="B85" s="200"/>
      <c r="C85" s="201"/>
      <c r="D85" s="201"/>
      <c r="E85" s="201"/>
      <c r="F85" s="201"/>
      <c r="G85" s="201"/>
      <c r="H85" s="201"/>
      <c r="I85" s="202"/>
    </row>
    <row r="86" spans="1:9" ht="18.75" customHeight="1" x14ac:dyDescent="0.2">
      <c r="A86" s="1"/>
      <c r="B86" s="200"/>
      <c r="C86" s="201"/>
      <c r="D86" s="201"/>
      <c r="E86" s="201"/>
      <c r="F86" s="201"/>
      <c r="G86" s="201"/>
      <c r="H86" s="201"/>
      <c r="I86" s="202"/>
    </row>
    <row r="87" spans="1:9" ht="18.75" customHeight="1" x14ac:dyDescent="0.2">
      <c r="A87" s="1"/>
      <c r="B87" s="200"/>
      <c r="C87" s="201"/>
      <c r="D87" s="201"/>
      <c r="E87" s="201"/>
      <c r="F87" s="201"/>
      <c r="G87" s="201"/>
      <c r="H87" s="201"/>
      <c r="I87" s="202"/>
    </row>
    <row r="88" spans="1:9" ht="18.75" customHeight="1" x14ac:dyDescent="0.2">
      <c r="A88" s="1"/>
      <c r="B88" s="200"/>
      <c r="C88" s="201"/>
      <c r="D88" s="201"/>
      <c r="E88" s="201"/>
      <c r="F88" s="201"/>
      <c r="G88" s="201"/>
      <c r="H88" s="201"/>
      <c r="I88" s="202"/>
    </row>
    <row r="89" spans="1:9" ht="18.75" customHeight="1" x14ac:dyDescent="0.2">
      <c r="A89" s="1"/>
      <c r="B89" s="200"/>
      <c r="C89" s="201"/>
      <c r="D89" s="201"/>
      <c r="E89" s="201"/>
      <c r="F89" s="201"/>
      <c r="G89" s="201"/>
      <c r="H89" s="201"/>
      <c r="I89" s="202"/>
    </row>
    <row r="90" spans="1:9" ht="18.75" customHeight="1" x14ac:dyDescent="0.2">
      <c r="A90" s="4"/>
      <c r="B90" s="200"/>
      <c r="C90" s="201"/>
      <c r="D90" s="201"/>
      <c r="E90" s="201"/>
      <c r="F90" s="201"/>
      <c r="G90" s="201"/>
      <c r="H90" s="201"/>
      <c r="I90" s="202"/>
    </row>
    <row r="91" spans="1:9" ht="18.75" customHeight="1" x14ac:dyDescent="0.2">
      <c r="A91" s="4"/>
      <c r="B91" s="203"/>
      <c r="C91" s="204"/>
      <c r="D91" s="204"/>
      <c r="E91" s="204"/>
      <c r="F91" s="204"/>
      <c r="G91" s="204"/>
      <c r="H91" s="204"/>
      <c r="I91" s="205"/>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68" t="s">
        <v>169</v>
      </c>
      <c r="C94" s="169"/>
      <c r="D94" s="169"/>
      <c r="E94" s="169"/>
      <c r="F94" s="169"/>
      <c r="G94" s="169"/>
      <c r="H94" s="169"/>
      <c r="I94" s="170"/>
    </row>
    <row r="95" spans="1:9" ht="18.75" customHeight="1" x14ac:dyDescent="0.2">
      <c r="A95" s="1"/>
      <c r="B95" s="174"/>
      <c r="C95" s="175"/>
      <c r="D95" s="175"/>
      <c r="E95" s="175"/>
      <c r="F95" s="175"/>
      <c r="G95" s="175"/>
      <c r="H95" s="175"/>
      <c r="I95" s="173"/>
    </row>
    <row r="96" spans="1:9" ht="18.75" customHeight="1" x14ac:dyDescent="0.2">
      <c r="A96" s="1"/>
      <c r="B96" s="174"/>
      <c r="C96" s="175"/>
      <c r="D96" s="175"/>
      <c r="E96" s="175"/>
      <c r="F96" s="175"/>
      <c r="G96" s="175"/>
      <c r="H96" s="175"/>
      <c r="I96" s="173"/>
    </row>
    <row r="97" spans="1:9" ht="18.75" customHeight="1" x14ac:dyDescent="0.2">
      <c r="A97" s="1"/>
      <c r="B97" s="174"/>
      <c r="C97" s="175"/>
      <c r="D97" s="175"/>
      <c r="E97" s="175"/>
      <c r="F97" s="175"/>
      <c r="G97" s="175"/>
      <c r="H97" s="175"/>
      <c r="I97" s="173"/>
    </row>
    <row r="98" spans="1:9" ht="18.75" customHeight="1" x14ac:dyDescent="0.2">
      <c r="A98" s="1"/>
      <c r="B98" s="174"/>
      <c r="C98" s="175"/>
      <c r="D98" s="175"/>
      <c r="E98" s="175"/>
      <c r="F98" s="175"/>
      <c r="G98" s="175"/>
      <c r="H98" s="175"/>
      <c r="I98" s="173"/>
    </row>
    <row r="99" spans="1:9" ht="18.75" customHeight="1" x14ac:dyDescent="0.2">
      <c r="A99" s="1"/>
      <c r="B99" s="174"/>
      <c r="C99" s="175"/>
      <c r="D99" s="175"/>
      <c r="E99" s="175"/>
      <c r="F99" s="175"/>
      <c r="G99" s="175"/>
      <c r="H99" s="175"/>
      <c r="I99" s="173"/>
    </row>
    <row r="100" spans="1:9" ht="18.75" customHeight="1" x14ac:dyDescent="0.2">
      <c r="A100" s="1"/>
      <c r="B100" s="174"/>
      <c r="C100" s="175"/>
      <c r="D100" s="175"/>
      <c r="E100" s="175"/>
      <c r="F100" s="175"/>
      <c r="G100" s="175"/>
      <c r="H100" s="175"/>
      <c r="I100" s="173"/>
    </row>
    <row r="101" spans="1:9" ht="18.75" customHeight="1" x14ac:dyDescent="0.2">
      <c r="A101" s="1"/>
      <c r="B101" s="174"/>
      <c r="C101" s="175"/>
      <c r="D101" s="175"/>
      <c r="E101" s="175"/>
      <c r="F101" s="175"/>
      <c r="G101" s="175"/>
      <c r="H101" s="175"/>
      <c r="I101" s="173"/>
    </row>
    <row r="102" spans="1:9" ht="18.75" customHeight="1" x14ac:dyDescent="0.2">
      <c r="A102" s="1"/>
      <c r="B102" s="174"/>
      <c r="C102" s="175"/>
      <c r="D102" s="175"/>
      <c r="E102" s="175"/>
      <c r="F102" s="175"/>
      <c r="G102" s="175"/>
      <c r="H102" s="175"/>
      <c r="I102" s="173"/>
    </row>
    <row r="103" spans="1:9" ht="18.75" customHeight="1" x14ac:dyDescent="0.2">
      <c r="A103" s="1"/>
      <c r="B103" s="174"/>
      <c r="C103" s="175"/>
      <c r="D103" s="175"/>
      <c r="E103" s="175"/>
      <c r="F103" s="175"/>
      <c r="G103" s="175"/>
      <c r="H103" s="175"/>
      <c r="I103" s="173"/>
    </row>
    <row r="104" spans="1:9" ht="18.75" customHeight="1" x14ac:dyDescent="0.2">
      <c r="A104" s="1"/>
      <c r="B104" s="174"/>
      <c r="C104" s="175"/>
      <c r="D104" s="175"/>
      <c r="E104" s="175"/>
      <c r="F104" s="175"/>
      <c r="G104" s="175"/>
      <c r="H104" s="175"/>
      <c r="I104" s="173"/>
    </row>
    <row r="105" spans="1:9" ht="18.75" customHeight="1" x14ac:dyDescent="0.2">
      <c r="A105" s="4"/>
      <c r="B105" s="176"/>
      <c r="C105" s="177"/>
      <c r="D105" s="177"/>
      <c r="E105" s="177"/>
      <c r="F105" s="177"/>
      <c r="G105" s="177"/>
      <c r="H105" s="177"/>
      <c r="I105" s="178"/>
    </row>
    <row r="106" spans="1:9" ht="7.5" customHeight="1" x14ac:dyDescent="0.2">
      <c r="A106" s="4"/>
      <c r="B106" s="4"/>
      <c r="C106" s="4"/>
      <c r="D106" s="4"/>
      <c r="E106" s="4"/>
      <c r="F106" s="4"/>
      <c r="G106" s="4"/>
      <c r="H106" s="4"/>
      <c r="I106" s="4"/>
    </row>
    <row r="107" spans="1:9" ht="18.75" customHeight="1" x14ac:dyDescent="0.2">
      <c r="A107" s="1" t="s">
        <v>30</v>
      </c>
      <c r="B107" s="185" t="s">
        <v>44</v>
      </c>
      <c r="C107" s="185"/>
      <c r="D107" s="185"/>
      <c r="E107" s="185"/>
      <c r="F107" s="185"/>
      <c r="G107" s="185"/>
      <c r="H107" s="185"/>
      <c r="I107" s="185"/>
    </row>
    <row r="108" spans="1:9" ht="18.75" customHeight="1" x14ac:dyDescent="0.2">
      <c r="A108" s="4"/>
      <c r="B108" s="168" t="s">
        <v>170</v>
      </c>
      <c r="C108" s="169"/>
      <c r="D108" s="169"/>
      <c r="E108" s="169"/>
      <c r="F108" s="169"/>
      <c r="G108" s="169"/>
      <c r="H108" s="169"/>
      <c r="I108" s="170"/>
    </row>
    <row r="109" spans="1:9" ht="18.75" customHeight="1" x14ac:dyDescent="0.2">
      <c r="A109" s="4"/>
      <c r="B109" s="174"/>
      <c r="C109" s="175"/>
      <c r="D109" s="175"/>
      <c r="E109" s="175"/>
      <c r="F109" s="175"/>
      <c r="G109" s="175"/>
      <c r="H109" s="175"/>
      <c r="I109" s="173"/>
    </row>
    <row r="110" spans="1:9" ht="18.75" customHeight="1" x14ac:dyDescent="0.2">
      <c r="A110" s="4"/>
      <c r="B110" s="174"/>
      <c r="C110" s="175"/>
      <c r="D110" s="175"/>
      <c r="E110" s="175"/>
      <c r="F110" s="175"/>
      <c r="G110" s="175"/>
      <c r="H110" s="175"/>
      <c r="I110" s="173"/>
    </row>
    <row r="111" spans="1:9" ht="18.75" customHeight="1" x14ac:dyDescent="0.2">
      <c r="A111" s="4"/>
      <c r="B111" s="174"/>
      <c r="C111" s="175"/>
      <c r="D111" s="175"/>
      <c r="E111" s="175"/>
      <c r="F111" s="175"/>
      <c r="G111" s="175"/>
      <c r="H111" s="175"/>
      <c r="I111" s="173"/>
    </row>
    <row r="112" spans="1:9" ht="18.75" customHeight="1" x14ac:dyDescent="0.2">
      <c r="A112" s="4"/>
      <c r="B112" s="174"/>
      <c r="C112" s="175"/>
      <c r="D112" s="175"/>
      <c r="E112" s="175"/>
      <c r="F112" s="175"/>
      <c r="G112" s="175"/>
      <c r="H112" s="175"/>
      <c r="I112" s="173"/>
    </row>
    <row r="113" spans="1:9" ht="18.75" customHeight="1" x14ac:dyDescent="0.2">
      <c r="A113" s="4"/>
      <c r="B113" s="174"/>
      <c r="C113" s="175"/>
      <c r="D113" s="175"/>
      <c r="E113" s="175"/>
      <c r="F113" s="175"/>
      <c r="G113" s="175"/>
      <c r="H113" s="175"/>
      <c r="I113" s="173"/>
    </row>
    <row r="114" spans="1:9" ht="18.75" customHeight="1" x14ac:dyDescent="0.2">
      <c r="A114" s="4"/>
      <c r="B114" s="174"/>
      <c r="C114" s="175"/>
      <c r="D114" s="175"/>
      <c r="E114" s="175"/>
      <c r="F114" s="175"/>
      <c r="G114" s="175"/>
      <c r="H114" s="175"/>
      <c r="I114" s="173"/>
    </row>
    <row r="115" spans="1:9" ht="18.75" customHeight="1" x14ac:dyDescent="0.2">
      <c r="A115" s="4"/>
      <c r="B115" s="174"/>
      <c r="C115" s="175"/>
      <c r="D115" s="175"/>
      <c r="E115" s="175"/>
      <c r="F115" s="175"/>
      <c r="G115" s="175"/>
      <c r="H115" s="175"/>
      <c r="I115" s="173"/>
    </row>
    <row r="116" spans="1:9" ht="18.75" customHeight="1" x14ac:dyDescent="0.2">
      <c r="A116" s="4"/>
      <c r="B116" s="174"/>
      <c r="C116" s="175"/>
      <c r="D116" s="175"/>
      <c r="E116" s="175"/>
      <c r="F116" s="175"/>
      <c r="G116" s="175"/>
      <c r="H116" s="175"/>
      <c r="I116" s="173"/>
    </row>
    <row r="117" spans="1:9" ht="18.75" customHeight="1" x14ac:dyDescent="0.2">
      <c r="A117" s="4"/>
      <c r="B117" s="174"/>
      <c r="C117" s="175"/>
      <c r="D117" s="175"/>
      <c r="E117" s="175"/>
      <c r="F117" s="175"/>
      <c r="G117" s="175"/>
      <c r="H117" s="175"/>
      <c r="I117" s="173"/>
    </row>
    <row r="118" spans="1:9" ht="18.75" customHeight="1" x14ac:dyDescent="0.2">
      <c r="A118" s="4"/>
      <c r="B118" s="174"/>
      <c r="C118" s="175"/>
      <c r="D118" s="175"/>
      <c r="E118" s="175"/>
      <c r="F118" s="175"/>
      <c r="G118" s="175"/>
      <c r="H118" s="175"/>
      <c r="I118" s="173"/>
    </row>
    <row r="119" spans="1:9" ht="18.75" customHeight="1" x14ac:dyDescent="0.2">
      <c r="A119" s="4"/>
      <c r="B119" s="176"/>
      <c r="C119" s="177"/>
      <c r="D119" s="177"/>
      <c r="E119" s="177"/>
      <c r="F119" s="177"/>
      <c r="G119" s="177"/>
      <c r="H119" s="177"/>
      <c r="I119" s="178"/>
    </row>
    <row r="120" spans="1:9" ht="7.5" customHeight="1" x14ac:dyDescent="0.2">
      <c r="A120" s="4"/>
      <c r="B120" s="23"/>
      <c r="C120" s="23"/>
      <c r="D120" s="23"/>
      <c r="E120" s="23"/>
      <c r="F120" s="23"/>
      <c r="G120" s="23"/>
      <c r="H120" s="23"/>
      <c r="I120" s="23"/>
    </row>
    <row r="121" spans="1:9" ht="18.75" customHeight="1" x14ac:dyDescent="0.2">
      <c r="A121" s="48"/>
      <c r="B121" s="164"/>
      <c r="C121" s="164"/>
      <c r="D121" s="164"/>
      <c r="E121" s="164"/>
      <c r="F121" s="164"/>
      <c r="G121" s="164"/>
      <c r="H121" s="164"/>
      <c r="I121" s="164"/>
    </row>
    <row r="122" spans="1:9" ht="18.75" customHeight="1" x14ac:dyDescent="0.2">
      <c r="A122" s="48"/>
      <c r="B122" s="164"/>
      <c r="C122" s="164"/>
      <c r="D122" s="164"/>
      <c r="E122" s="164"/>
      <c r="F122" s="164"/>
      <c r="G122" s="164"/>
      <c r="H122" s="164"/>
      <c r="I122" s="164"/>
    </row>
    <row r="123" spans="1:9" ht="18.75" customHeight="1" x14ac:dyDescent="0.2">
      <c r="A123" s="4"/>
      <c r="B123" s="49"/>
      <c r="C123" s="49"/>
      <c r="D123" s="49"/>
      <c r="E123" s="49"/>
      <c r="F123" s="49"/>
      <c r="G123" s="49"/>
      <c r="H123" s="49"/>
      <c r="I123" s="50"/>
    </row>
    <row r="124" spans="1:9" ht="18.75" customHeight="1" x14ac:dyDescent="0.2">
      <c r="A124" s="4"/>
      <c r="B124" s="50"/>
      <c r="C124" s="50"/>
      <c r="D124" s="50"/>
      <c r="E124" s="50"/>
      <c r="F124" s="50"/>
      <c r="G124" s="50"/>
      <c r="H124" s="50"/>
      <c r="I124" s="50"/>
    </row>
    <row r="125" spans="1:9" ht="18.75" customHeight="1" x14ac:dyDescent="0.2">
      <c r="A125" s="4"/>
      <c r="B125" s="50"/>
      <c r="C125" s="50"/>
      <c r="D125" s="50"/>
      <c r="E125" s="50"/>
      <c r="F125" s="50"/>
      <c r="G125" s="50"/>
      <c r="H125" s="50"/>
      <c r="I125" s="50"/>
    </row>
    <row r="126" spans="1:9" ht="18.75" customHeight="1" x14ac:dyDescent="0.2">
      <c r="A126" s="4"/>
      <c r="B126" s="50"/>
      <c r="C126" s="50"/>
      <c r="D126" s="50"/>
      <c r="E126" s="50"/>
      <c r="F126" s="50"/>
      <c r="G126" s="50"/>
      <c r="H126" s="50"/>
      <c r="I126" s="50"/>
    </row>
    <row r="127" spans="1:9" ht="18.75" customHeight="1" x14ac:dyDescent="0.2">
      <c r="A127" s="4"/>
      <c r="B127" s="50"/>
      <c r="C127" s="50"/>
      <c r="D127" s="50"/>
      <c r="E127" s="50"/>
      <c r="F127" s="50"/>
      <c r="G127" s="50"/>
      <c r="H127" s="50"/>
      <c r="I127" s="50"/>
    </row>
    <row r="128" spans="1:9" ht="18.75" customHeight="1" x14ac:dyDescent="0.2">
      <c r="A128" s="4"/>
      <c r="B128" s="50"/>
      <c r="C128" s="50"/>
      <c r="D128" s="50"/>
      <c r="E128" s="50"/>
      <c r="F128" s="50"/>
      <c r="G128" s="50"/>
      <c r="H128" s="50"/>
      <c r="I128" s="50"/>
    </row>
    <row r="129" spans="1:9" ht="18.75" customHeight="1" x14ac:dyDescent="0.2">
      <c r="A129" s="4"/>
      <c r="B129" s="50"/>
      <c r="C129" s="50"/>
      <c r="D129" s="50"/>
      <c r="E129" s="50"/>
      <c r="F129" s="50"/>
      <c r="G129" s="50"/>
      <c r="H129" s="50"/>
      <c r="I129" s="50"/>
    </row>
    <row r="130" spans="1:9" ht="18.75" customHeight="1" x14ac:dyDescent="0.2">
      <c r="A130" s="4"/>
      <c r="B130" s="50"/>
      <c r="C130" s="50"/>
      <c r="D130" s="50"/>
      <c r="E130" s="50"/>
      <c r="F130" s="50"/>
      <c r="G130" s="50"/>
      <c r="H130" s="50"/>
      <c r="I130" s="50"/>
    </row>
    <row r="131" spans="1:9" ht="18.75" customHeight="1" x14ac:dyDescent="0.2">
      <c r="A131" s="4"/>
      <c r="B131" s="50"/>
      <c r="C131" s="50"/>
      <c r="D131" s="50"/>
      <c r="E131" s="50"/>
      <c r="F131" s="50"/>
      <c r="G131" s="50"/>
      <c r="H131" s="50"/>
      <c r="I131" s="50"/>
    </row>
    <row r="132" spans="1:9" ht="18.75" customHeight="1" x14ac:dyDescent="0.2">
      <c r="A132" s="4"/>
      <c r="B132" s="50"/>
      <c r="C132" s="50"/>
      <c r="D132" s="50"/>
      <c r="E132" s="50"/>
      <c r="F132" s="50"/>
      <c r="G132" s="50"/>
      <c r="H132" s="50"/>
      <c r="I132" s="50"/>
    </row>
    <row r="133" spans="1:9" ht="14" x14ac:dyDescent="0.2">
      <c r="A133" s="4"/>
      <c r="B133" s="50"/>
      <c r="C133" s="50"/>
      <c r="D133" s="50"/>
      <c r="E133" s="50"/>
      <c r="F133" s="50"/>
      <c r="G133" s="50"/>
      <c r="H133" s="50"/>
      <c r="I133" s="50"/>
    </row>
    <row r="134" spans="1:9" ht="7.5" customHeight="1" x14ac:dyDescent="0.2">
      <c r="A134" s="4"/>
      <c r="B134" s="50"/>
      <c r="C134" s="50"/>
      <c r="D134" s="50"/>
      <c r="E134" s="50"/>
      <c r="F134" s="50"/>
      <c r="G134" s="50"/>
      <c r="H134" s="50"/>
      <c r="I134" s="5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AD25" sqref="AD25"/>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63</v>
      </c>
      <c r="I1" s="16" t="s">
        <v>90</v>
      </c>
    </row>
    <row r="2" spans="1:9" ht="18.75" customHeight="1" x14ac:dyDescent="0.2">
      <c r="H2" s="16" t="s">
        <v>93</v>
      </c>
      <c r="I2" s="15" t="str">
        <f>'様式１　プログラムを構成する授業科目'!C2</f>
        <v>筑紫女学園大学</v>
      </c>
    </row>
    <row r="3" spans="1:9" ht="18.75" customHeight="1" x14ac:dyDescent="0.2">
      <c r="A3" s="107" t="s">
        <v>28</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0</v>
      </c>
      <c r="B5" s="9" t="s">
        <v>85</v>
      </c>
      <c r="C5" s="5"/>
      <c r="D5" s="5"/>
      <c r="E5" s="5"/>
      <c r="F5" s="5"/>
      <c r="G5" s="5"/>
      <c r="H5" s="5"/>
      <c r="I5" s="5"/>
    </row>
    <row r="6" spans="1:9" ht="26.25" customHeight="1" x14ac:dyDescent="0.2">
      <c r="A6" s="5"/>
      <c r="B6" s="179" t="s">
        <v>185</v>
      </c>
      <c r="C6" s="223"/>
      <c r="D6" s="223"/>
      <c r="E6" s="223"/>
      <c r="F6" s="223"/>
      <c r="G6" s="223"/>
      <c r="H6" s="224"/>
      <c r="I6" s="3"/>
    </row>
    <row r="7" spans="1:9" ht="9" customHeight="1" x14ac:dyDescent="0.2">
      <c r="A7" s="5"/>
      <c r="B7" s="9"/>
      <c r="C7" s="9"/>
      <c r="D7" s="9"/>
      <c r="E7" s="9"/>
      <c r="F7" s="9"/>
      <c r="G7" s="9"/>
      <c r="H7" s="9"/>
      <c r="I7" s="3"/>
    </row>
    <row r="8" spans="1:9" ht="18.75" customHeight="1" x14ac:dyDescent="0.2">
      <c r="A8" s="5"/>
      <c r="B8" s="3"/>
      <c r="C8" s="3"/>
      <c r="D8" s="16" t="s">
        <v>41</v>
      </c>
      <c r="E8" s="17" t="s">
        <v>189</v>
      </c>
      <c r="F8" s="3"/>
      <c r="G8" s="16" t="s">
        <v>10</v>
      </c>
      <c r="H8" s="82" t="s">
        <v>186</v>
      </c>
      <c r="I8" s="81"/>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6" t="s">
        <v>24</v>
      </c>
      <c r="C11" s="97"/>
      <c r="D11" s="98"/>
      <c r="E11" s="97" t="s">
        <v>26</v>
      </c>
      <c r="F11" s="97"/>
      <c r="G11" s="97"/>
      <c r="H11" s="97"/>
      <c r="I11" s="98"/>
    </row>
    <row r="12" spans="1:9" ht="26.25" customHeight="1" x14ac:dyDescent="0.2">
      <c r="B12" s="24" t="s">
        <v>14</v>
      </c>
      <c r="C12" s="31"/>
      <c r="D12" s="25"/>
      <c r="E12" s="32"/>
      <c r="F12" s="32"/>
      <c r="G12" s="32"/>
      <c r="H12" s="32"/>
      <c r="I12" s="25"/>
    </row>
    <row r="13" spans="1:9" ht="210.75" customHeight="1" x14ac:dyDescent="0.2">
      <c r="B13" s="26"/>
      <c r="C13" s="221" t="s">
        <v>15</v>
      </c>
      <c r="D13" s="222"/>
      <c r="E13" s="218" t="s">
        <v>175</v>
      </c>
      <c r="F13" s="219"/>
      <c r="G13" s="219"/>
      <c r="H13" s="219"/>
      <c r="I13" s="220"/>
    </row>
    <row r="14" spans="1:9" ht="210.75" customHeight="1" x14ac:dyDescent="0.2">
      <c r="B14" s="26"/>
      <c r="C14" s="216" t="s">
        <v>16</v>
      </c>
      <c r="D14" s="217"/>
      <c r="E14" s="218" t="s">
        <v>171</v>
      </c>
      <c r="F14" s="219"/>
      <c r="G14" s="219"/>
      <c r="H14" s="219"/>
      <c r="I14" s="220"/>
    </row>
    <row r="15" spans="1:9" ht="210.75" customHeight="1" x14ac:dyDescent="0.2">
      <c r="B15" s="26"/>
      <c r="C15" s="221" t="s">
        <v>17</v>
      </c>
      <c r="D15" s="222"/>
      <c r="E15" s="218" t="s">
        <v>176</v>
      </c>
      <c r="F15" s="219"/>
      <c r="G15" s="219"/>
      <c r="H15" s="219"/>
      <c r="I15" s="220"/>
    </row>
    <row r="16" spans="1:9" ht="210.75" customHeight="1" x14ac:dyDescent="0.2">
      <c r="B16" s="26"/>
      <c r="C16" s="221" t="s">
        <v>18</v>
      </c>
      <c r="D16" s="222"/>
      <c r="E16" s="218" t="s">
        <v>177</v>
      </c>
      <c r="F16" s="219"/>
      <c r="G16" s="219"/>
      <c r="H16" s="219"/>
      <c r="I16" s="220"/>
    </row>
    <row r="17" spans="2:9" ht="210.75" customHeight="1" x14ac:dyDescent="0.2">
      <c r="B17" s="27"/>
      <c r="C17" s="225" t="s">
        <v>19</v>
      </c>
      <c r="D17" s="226"/>
      <c r="E17" s="227" t="s">
        <v>178</v>
      </c>
      <c r="F17" s="228"/>
      <c r="G17" s="228"/>
      <c r="H17" s="228"/>
      <c r="I17" s="229"/>
    </row>
    <row r="18" spans="2:9" ht="24" customHeight="1" x14ac:dyDescent="0.2">
      <c r="B18" s="24" t="s">
        <v>20</v>
      </c>
      <c r="C18" s="28"/>
      <c r="D18" s="29"/>
      <c r="E18" s="30"/>
      <c r="F18" s="30"/>
      <c r="G18" s="30"/>
      <c r="H18" s="30"/>
      <c r="I18" s="33"/>
    </row>
    <row r="19" spans="2:9" ht="218.25" customHeight="1" x14ac:dyDescent="0.2">
      <c r="B19" s="26"/>
      <c r="C19" s="221" t="s">
        <v>21</v>
      </c>
      <c r="D19" s="222"/>
      <c r="E19" s="219" t="s">
        <v>174</v>
      </c>
      <c r="F19" s="219"/>
      <c r="G19" s="219"/>
      <c r="H19" s="219"/>
      <c r="I19" s="220"/>
    </row>
    <row r="20" spans="2:9" ht="218.25" customHeight="1" x14ac:dyDescent="0.2">
      <c r="B20" s="27"/>
      <c r="C20" s="225" t="s">
        <v>22</v>
      </c>
      <c r="D20" s="226"/>
      <c r="E20" s="228" t="s">
        <v>179</v>
      </c>
      <c r="F20" s="228"/>
      <c r="G20" s="228"/>
      <c r="H20" s="228"/>
      <c r="I20" s="229"/>
    </row>
    <row r="21" spans="2:9" ht="218.25" customHeight="1" x14ac:dyDescent="0.2">
      <c r="B21" s="235" t="s">
        <v>23</v>
      </c>
      <c r="C21" s="236"/>
      <c r="D21" s="237"/>
      <c r="E21" s="238" t="s">
        <v>172</v>
      </c>
      <c r="F21" s="238"/>
      <c r="G21" s="238"/>
      <c r="H21" s="238"/>
      <c r="I21" s="239"/>
    </row>
    <row r="22" spans="2:9" ht="218.25" customHeight="1" x14ac:dyDescent="0.2">
      <c r="B22" s="230" t="s">
        <v>121</v>
      </c>
      <c r="C22" s="231"/>
      <c r="D22" s="232"/>
      <c r="E22" s="233" t="s">
        <v>173</v>
      </c>
      <c r="F22" s="233"/>
      <c r="G22" s="233"/>
      <c r="H22" s="233"/>
      <c r="I22" s="23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3"/>
      <c r="C28" s="13"/>
      <c r="D28" s="13"/>
      <c r="E28" s="13"/>
      <c r="F28" s="13"/>
      <c r="G28" s="13"/>
      <c r="H28" s="13"/>
      <c r="I28" s="13"/>
    </row>
    <row r="29" spans="2:9" ht="22.5" customHeight="1" x14ac:dyDescent="0.2">
      <c r="B29" s="13"/>
      <c r="C29" s="13"/>
      <c r="D29" s="13"/>
      <c r="E29" s="13"/>
      <c r="F29" s="13"/>
      <c r="G29" s="13"/>
      <c r="H29" s="13"/>
      <c r="I29" s="13"/>
    </row>
    <row r="30" spans="2:9" ht="22.5" customHeight="1" x14ac:dyDescent="0.2">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6" max="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B19D3C4BB4583498A1A8CEA58E3230D" ma:contentTypeVersion="16" ma:contentTypeDescription="新しいドキュメントを作成します。" ma:contentTypeScope="" ma:versionID="53514e2f7a5d472102678295406af4e7">
  <xsd:schema xmlns:xsd="http://www.w3.org/2001/XMLSchema" xmlns:xs="http://www.w3.org/2001/XMLSchema" xmlns:p="http://schemas.microsoft.com/office/2006/metadata/properties" xmlns:ns2="995a7e31-7f45-40be-b459-ff0401ae72fd" xmlns:ns3="d92927b9-4e0b-4057-bba3-faaf70cf7777" targetNamespace="http://schemas.microsoft.com/office/2006/metadata/properties" ma:root="true" ma:fieldsID="8540fd72e955045bfc1ca2c62d055c5e" ns2:_="" ns3:_="">
    <xsd:import namespace="995a7e31-7f45-40be-b459-ff0401ae72fd"/>
    <xsd:import namespace="d92927b9-4e0b-4057-bba3-faaf70cf77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5a7e31-7f45-40be-b459-ff0401ae72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e30ba28a-9e7e-46a0-b0e0-3b4544e672d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2927b9-4e0b-4057-bba3-faaf70cf7777"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d0e864c5-a9c7-478b-9ed9-89af8f30317f}" ma:internalName="TaxCatchAll" ma:showField="CatchAllData" ma:web="d92927b9-4e0b-4057-bba3-faaf70cf77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92927b9-4e0b-4057-bba3-faaf70cf7777" xsi:nil="true"/>
    <lcf76f155ced4ddcb4097134ff3c332f xmlns="995a7e31-7f45-40be-b459-ff0401ae72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8B3F90-2B63-4516-A46A-DEF5FEBFD411}">
  <ds:schemaRefs>
    <ds:schemaRef ds:uri="http://schemas.microsoft.com/sharepoint/v3/contenttype/forms"/>
  </ds:schemaRefs>
</ds:datastoreItem>
</file>

<file path=customXml/itemProps2.xml><?xml version="1.0" encoding="utf-8"?>
<ds:datastoreItem xmlns:ds="http://schemas.openxmlformats.org/officeDocument/2006/customXml" ds:itemID="{ABC38FDA-8AFE-426E-A81B-81701D007E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5a7e31-7f45-40be-b459-ff0401ae72fd"/>
    <ds:schemaRef ds:uri="d92927b9-4e0b-4057-bba3-faaf70cf77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EBC040-4792-4B56-A378-23E6AA9077F4}">
  <ds:schemaRefs>
    <ds:schemaRef ds:uri="http://schemas.openxmlformats.org/package/2006/metadata/core-properties"/>
    <ds:schemaRef ds:uri="http://purl.org/dc/terms/"/>
    <ds:schemaRef ds:uri="http://purl.org/dc/dcmitype/"/>
    <ds:schemaRef ds:uri="http://schemas.microsoft.com/office/2006/documentManagement/types"/>
    <ds:schemaRef ds:uri="995a7e31-7f45-40be-b459-ff0401ae72fd"/>
    <ds:schemaRef ds:uri="d92927b9-4e0b-4057-bba3-faaf70cf7777"/>
    <ds:schemaRef ds:uri="http://purl.org/dc/elements/1.1/"/>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松島　雄大</dc:creator>
  <cp:lastModifiedBy>松島　雄大</cp:lastModifiedBy>
  <cp:lastPrinted>2025-07-03T06:19:27Z</cp:lastPrinted>
  <dcterms:created xsi:type="dcterms:W3CDTF">2011-06-14T05:32:50Z</dcterms:created>
  <dcterms:modified xsi:type="dcterms:W3CDTF">2025-07-03T07:17:19Z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0x0101004B19D3C4BB4583498A1A8CEA58E3230D</vt:lpwstr>
  </property>
  <property fmtid="{D5CDD505-2E9C-101B-9397-08002B2CF9AE}" pid="10" name="MediaServiceImageTags">
    <vt:lpwstr/>
  </property>
</Properties>
</file>