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IMUNAS\NAS-Data$\学生総合支援センター\教育総合サポート部\01教務チーム\2025年度\55_数理・データサイエンス・AI教育プログラム\03_数理・データサイエンス・AI_文科省資料\05_修正指摘0704\02_修正作業\01_実践女子大学_再提出0711\"/>
    </mc:Choice>
  </mc:AlternateContent>
  <xr:revisionPtr revIDLastSave="0" documentId="13_ncr:1_{6B276483-F237-4AA1-97E9-72FF13ADF83A}" xr6:coauthVersionLast="47" xr6:coauthVersionMax="47" xr10:uidLastSave="{00000000-0000-0000-0000-000000000000}"/>
  <bookViews>
    <workbookView xWindow="-108" yWindow="-108" windowWidth="23256" windowHeight="13896" tabRatio="885" xr2:uid="{00000000-000D-0000-FFFF-FFFF00000000}"/>
  </bookViews>
  <sheets>
    <sheet name="様式１　プログラムを構成する授業科目" sheetId="43"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3" i="40" l="1"/>
  <c r="S14" i="40"/>
  <c r="S15" i="40"/>
  <c r="I2" i="42"/>
  <c r="H2" i="41"/>
  <c r="Q2" i="40"/>
  <c r="S16" i="40" l="1"/>
  <c r="J22" i="42" l="1"/>
  <c r="J21" i="42"/>
  <c r="J20" i="42"/>
  <c r="J19" i="42"/>
  <c r="J18" i="42"/>
  <c r="J17" i="42"/>
  <c r="J16" i="42"/>
  <c r="J15" i="42"/>
  <c r="J13" i="42"/>
  <c r="J14" i="42"/>
  <c r="I33" i="40" l="1"/>
  <c r="M33" i="40"/>
  <c r="P33" i="40"/>
  <c r="Q33" i="40"/>
  <c r="O33" i="40"/>
  <c r="N33" i="40"/>
  <c r="L33" i="40"/>
  <c r="J33" i="40"/>
  <c r="K33" i="40"/>
  <c r="H33" i="40"/>
  <c r="R17" i="40" l="1"/>
  <c r="R18" i="40"/>
  <c r="R19" i="40"/>
  <c r="R20" i="40"/>
  <c r="R21" i="40"/>
  <c r="R22" i="40"/>
  <c r="R23" i="40"/>
  <c r="R24" i="40"/>
  <c r="R25" i="40"/>
  <c r="R26" i="40"/>
  <c r="R27" i="40"/>
  <c r="R28" i="40"/>
  <c r="R29" i="40"/>
  <c r="R30" i="40"/>
  <c r="R31" i="40"/>
  <c r="R32" i="40"/>
  <c r="C33" i="40"/>
  <c r="G33" i="40" l="1"/>
  <c r="F33" i="40" l="1"/>
  <c r="E33" i="40"/>
  <c r="I50" i="41" s="1"/>
  <c r="D33" i="40"/>
  <c r="S32" i="40"/>
  <c r="S31" i="40"/>
  <c r="S30" i="40"/>
  <c r="S29" i="40"/>
  <c r="S28" i="40"/>
  <c r="S27" i="40"/>
  <c r="S26" i="40"/>
  <c r="S25" i="40"/>
  <c r="S24" i="40"/>
  <c r="S23" i="40"/>
  <c r="S22" i="40"/>
  <c r="S21" i="40"/>
  <c r="S20" i="40"/>
  <c r="S19" i="40"/>
  <c r="S18" i="40"/>
  <c r="S17" i="40"/>
  <c r="R33" i="40" l="1"/>
  <c r="S33" i="40" s="1"/>
  <c r="C49" i="41" s="1"/>
</calcChain>
</file>

<file path=xl/sharedStrings.xml><?xml version="1.0" encoding="utf-8"?>
<sst xmlns="http://schemas.openxmlformats.org/spreadsheetml/2006/main" count="293" uniqueCount="196">
  <si>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</si>
  <si>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</si>
  <si>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</si>
  <si>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</si>
  <si>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</si>
  <si>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</si>
  <si>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</si>
  <si>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</si>
  <si>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</si>
  <si>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</si>
  <si>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</si>
  <si>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</si>
  <si>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</si>
  <si>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</si>
  <si>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</si>
  <si>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</si>
  <si>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</si>
  <si>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</si>
  <si>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</si>
  <si>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</si>
  <si>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</si>
  <si>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</si>
  <si>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</si>
  <si>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</si>
  <si>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</si>
  <si>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</si>
  <si>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</si>
  <si>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</si>
  <si>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</si>
  <si>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</si>
  <si>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</si>
  <si>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</si>
  <si>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</si>
  <si>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</si>
  <si>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</si>
  <si>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</si>
  <si>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</si>
  <si>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</si>
  <si>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</si>
  <si>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</si>
  <si>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</si>
  <si>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</si>
  <si>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</si>
  <si>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</si>
  <si>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</si>
  <si>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</si>
  <si>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</si>
  <si>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</si>
  <si>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</si>
  <si>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</si>
  <si>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</si>
  <si>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</si>
  <si>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</si>
  <si>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</si>
  <si>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</si>
  <si>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</si>
  <si>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</si>
  <si>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</si>
  <si>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</si>
  <si>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</si>
  <si>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</si>
  <si>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</si>
  <si>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</si>
  <si>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</si>
  <si>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</si>
  <si>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</si>
  <si>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</si>
  <si>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</si>
  <si>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</si>
  <si>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</si>
  <si>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</si>
  <si>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</si>
  <si>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</si>
  <si>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</si>
  <si>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</si>
  <si>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</si>
  <si>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</si>
  <si>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</si>
  <si>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</si>
  <si>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</si>
  <si>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</si>
  <si>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</si>
  <si>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</si>
  <si>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</si>
  <si>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</si>
  <si>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</si>
  <si>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</si>
  <si>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</si>
  <si>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</si>
  <si>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</si>
  <si>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</si>
  <si>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</si>
  <si>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</si>
  <si>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</si>
  <si>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</si>
  <si>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</si>
  <si>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</si>
  <si>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</si>
  <si>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</si>
  <si>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</si>
  <si>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</si>
  <si>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</si>
  <si>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</si>
  <si>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</si>
  <si>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</si>
  <si>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</si>
  <si>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</si>
  <si>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</si>
  <si>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</si>
  <si>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</si>
  <si>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</si>
  <si>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</si>
  <si>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</si>
  <si>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</si>
  <si>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</si>
  <si>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</si>
  <si>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</si>
  <si>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</si>
  <si>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</si>
  <si>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</si>
  <si>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</si>
  <si>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</si>
  <si>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</si>
  <si>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</si>
  <si>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</si>
  <si>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</si>
  <si>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</si>
  <si>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</si>
  <si>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</si>
  <si>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</si>
  <si>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</si>
  <si>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</si>
  <si>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</si>
  <si>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</si>
  <si>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</si>
  <si>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</si>
  <si>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</si>
  <si>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</si>
  <si>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</si>
  <si>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</si>
  <si>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</si>
  <si>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</si>
  <si>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実践女子大学</t>
    <rPh sb="0" eb="6">
      <t>ジッセンジョシダイガク</t>
    </rPh>
    <phoneticPr fontId="1"/>
  </si>
  <si>
    <t>データサイエンス入門</t>
    <rPh sb="8" eb="10">
      <t>ニュウモン</t>
    </rPh>
    <phoneticPr fontId="1"/>
  </si>
  <si>
    <t>○</t>
  </si>
  <si>
    <t>4-1統計および数理基礎</t>
  </si>
  <si>
    <t>・ビッグデータ、IoT、AI、ロボット(データサイエンス入門、1回目)
・生成AI(データサイエンス入門、6回目)
・データ量の増加、計算機の処理性能の向上(データサイエンス入門、1回目)
・Society 5.0(データサイエンス入門、1回目)</t>
    <rPh sb="28" eb="30">
      <t>ニュウモン</t>
    </rPh>
    <rPh sb="32" eb="34">
      <t>カイメ</t>
    </rPh>
    <rPh sb="37" eb="39">
      <t>セイセイ</t>
    </rPh>
    <phoneticPr fontId="1"/>
  </si>
  <si>
    <t>難波雅紀</t>
    <rPh sb="0" eb="2">
      <t>ナンバ</t>
    </rPh>
    <rPh sb="2" eb="3">
      <t>マサ</t>
    </rPh>
    <phoneticPr fontId="1"/>
  </si>
  <si>
    <t>学長</t>
    <rPh sb="0" eb="2">
      <t>ガクチョウ</t>
    </rPh>
    <phoneticPr fontId="1"/>
  </si>
  <si>
    <t>共通教育部門長</t>
    <rPh sb="0" eb="6">
      <t>キョウツウキョウイクブモン</t>
    </rPh>
    <rPh sb="6" eb="7">
      <t>チョウ</t>
    </rPh>
    <phoneticPr fontId="1"/>
  </si>
  <si>
    <t>目標を実現するため、令和6年度より、全学共通教育科目のカリキュラムを改訂し、数理データサイエンスAI教育認定リテラシーレベルのプログラム科目を新設し、全学必修科目とした。そのため、令和6年度以降に入学した全学生が、履修することとなった。</t>
    <rPh sb="0" eb="2">
      <t>モクヒョウ</t>
    </rPh>
    <rPh sb="3" eb="5">
      <t>ジツゲン</t>
    </rPh>
    <rPh sb="10" eb="12">
      <t>レイワ</t>
    </rPh>
    <rPh sb="13" eb="15">
      <t>ネンド</t>
    </rPh>
    <rPh sb="18" eb="22">
      <t>ゼンガクキョウツウ</t>
    </rPh>
    <rPh sb="22" eb="24">
      <t>キョウイク</t>
    </rPh>
    <rPh sb="24" eb="26">
      <t>カモク</t>
    </rPh>
    <rPh sb="34" eb="36">
      <t>カイテイ</t>
    </rPh>
    <rPh sb="38" eb="40">
      <t>スウリ</t>
    </rPh>
    <rPh sb="50" eb="54">
      <t>キョウイクニンテイ</t>
    </rPh>
    <rPh sb="68" eb="70">
      <t>カモク</t>
    </rPh>
    <rPh sb="71" eb="73">
      <t>シンセツ</t>
    </rPh>
    <rPh sb="75" eb="79">
      <t>ゼンガクヒッシュウ</t>
    </rPh>
    <rPh sb="79" eb="81">
      <t>カモク</t>
    </rPh>
    <rPh sb="90" eb="92">
      <t>レイワ</t>
    </rPh>
    <rPh sb="93" eb="95">
      <t>ネンド</t>
    </rPh>
    <rPh sb="95" eb="97">
      <t>イコウ</t>
    </rPh>
    <rPh sb="98" eb="100">
      <t>ニュウガク</t>
    </rPh>
    <rPh sb="102" eb="105">
      <t>ゼンガクセイ</t>
    </rPh>
    <rPh sb="107" eb="109">
      <t>リシュウ</t>
    </rPh>
    <phoneticPr fontId="1"/>
  </si>
  <si>
    <t>数理データサイエンスAI教育認定リテラシーレベルに該当する2科目は、いずれも全学必修科目である。そのため、学部学科に関係なく、令和6年度以降に入学した全学生が受講する。</t>
    <rPh sb="25" eb="27">
      <t>ガイトウ</t>
    </rPh>
    <rPh sb="30" eb="32">
      <t>カモク</t>
    </rPh>
    <rPh sb="53" eb="57">
      <t>ガクブガッカ</t>
    </rPh>
    <rPh sb="58" eb="60">
      <t>カンケイ</t>
    </rPh>
    <rPh sb="63" eb="65">
      <t>レイワ</t>
    </rPh>
    <rPh sb="79" eb="81">
      <t>ジュコウ</t>
    </rPh>
    <phoneticPr fontId="1"/>
  </si>
  <si>
    <t>数理データサイエンスAI教育認定リテラシーレベルに該当する2科目は、いずれも全学必修科目である。そのため、学部学科に関係なく、令和6年度以降に入学した全学生が受講する。必修科目であることは、履修要項等にも明記し、入学時のガイダンス等でも周知している。</t>
    <rPh sb="84" eb="88">
      <t>ヒッシュウカモク</t>
    </rPh>
    <rPh sb="95" eb="99">
      <t>リシュウヨウコウ</t>
    </rPh>
    <rPh sb="99" eb="100">
      <t>トウ</t>
    </rPh>
    <rPh sb="102" eb="104">
      <t>メイキ</t>
    </rPh>
    <rPh sb="106" eb="108">
      <t>ニュウガク</t>
    </rPh>
    <rPh sb="108" eb="109">
      <t>ジ</t>
    </rPh>
    <rPh sb="115" eb="116">
      <t>トウ</t>
    </rPh>
    <rPh sb="118" eb="120">
      <t>シュウチ</t>
    </rPh>
    <phoneticPr fontId="1"/>
  </si>
  <si>
    <t>数理データサイエンスAI教育認定リテラシーレベルに該当する2科目は、いずれも全学必修科目である。そのため、学部学科に関係なく、令和6年度以降に入学した全学生が履修する。
授業内容の修得をサポートするため、知識の修得が必要な内容はオンデマンド科目として、繰り返しの学習が可能としている。実際にデータを操作する経験が必要な内容は上限35名の対面科目として実施し、また大学情報センターにPC相談窓口を設置するなど、個々の学生のレベルにあったサポートができる体制を構築している。</t>
    <rPh sb="79" eb="81">
      <t>リシュウ</t>
    </rPh>
    <rPh sb="85" eb="89">
      <t>ジュギョウナイヨウ</t>
    </rPh>
    <rPh sb="90" eb="92">
      <t>シュウトク</t>
    </rPh>
    <rPh sb="102" eb="104">
      <t>チシキ</t>
    </rPh>
    <rPh sb="105" eb="107">
      <t>シュウトク</t>
    </rPh>
    <rPh sb="108" eb="110">
      <t>ヒツヨウ</t>
    </rPh>
    <rPh sb="111" eb="113">
      <t>ナイヨウ</t>
    </rPh>
    <rPh sb="120" eb="122">
      <t>カモク</t>
    </rPh>
    <rPh sb="126" eb="127">
      <t>ク</t>
    </rPh>
    <rPh sb="128" eb="129">
      <t>カエ</t>
    </rPh>
    <rPh sb="131" eb="133">
      <t>ガクシュウ</t>
    </rPh>
    <rPh sb="134" eb="136">
      <t>カノウ</t>
    </rPh>
    <rPh sb="142" eb="144">
      <t>ジッサイ</t>
    </rPh>
    <rPh sb="149" eb="151">
      <t>ソウサ</t>
    </rPh>
    <rPh sb="153" eb="155">
      <t>ケイケン</t>
    </rPh>
    <rPh sb="156" eb="158">
      <t>ヒツヨウ</t>
    </rPh>
    <rPh sb="159" eb="161">
      <t>ナイヨウ</t>
    </rPh>
    <rPh sb="162" eb="164">
      <t>ジョウゲン</t>
    </rPh>
    <rPh sb="166" eb="167">
      <t>メイ</t>
    </rPh>
    <rPh sb="168" eb="172">
      <t>タイメンカモク</t>
    </rPh>
    <rPh sb="175" eb="177">
      <t>ジッシ</t>
    </rPh>
    <rPh sb="181" eb="183">
      <t>ダイガク</t>
    </rPh>
    <rPh sb="183" eb="185">
      <t>ジョウホウ</t>
    </rPh>
    <rPh sb="192" eb="194">
      <t>ソウダン</t>
    </rPh>
    <rPh sb="194" eb="196">
      <t>マドグチ</t>
    </rPh>
    <rPh sb="197" eb="199">
      <t>セッチ</t>
    </rPh>
    <rPh sb="204" eb="206">
      <t>ココ</t>
    </rPh>
    <rPh sb="207" eb="209">
      <t>ガクセイ</t>
    </rPh>
    <rPh sb="225" eb="227">
      <t>タイセイ</t>
    </rPh>
    <rPh sb="228" eb="230">
      <t>コウチク</t>
    </rPh>
    <phoneticPr fontId="1"/>
  </si>
  <si>
    <t>知識の修得が必要な内容はLMSを用いたオンデマンド科目として、授業時間に制限されない繰り返し学習が可能としている。また、LMSを用いて補足情報の提供、質問受付などを行っている。
実際にデータを操作する経験が必要な内容は上限40名の対面科目として実施しており、授業内できめ細やかな学習指導ができるようにしている。ＬＭＳに授業資料や演習問題をアーカイブしており、学生がいつでも復習が可能なようにしている。授業時間外では、大学情報センターにPC相談窓口を設置するとともに、ＬＭＳを用いて補足情報の提供、質問受付なども行っている。なお、令和7年度からは入学時のＰＣ操作スキルに応じた能力別クラス編成とし、より学生個々のレベルにあった指導が可能な体制とした。</t>
    <rPh sb="16" eb="17">
      <t>モチ</t>
    </rPh>
    <rPh sb="31" eb="35">
      <t>ジュギョウジカン</t>
    </rPh>
    <rPh sb="36" eb="38">
      <t>セイゲン</t>
    </rPh>
    <rPh sb="64" eb="65">
      <t>モチ</t>
    </rPh>
    <rPh sb="67" eb="69">
      <t>ホソク</t>
    </rPh>
    <rPh sb="69" eb="71">
      <t>ジョウホウ</t>
    </rPh>
    <rPh sb="72" eb="74">
      <t>テイキョウ</t>
    </rPh>
    <rPh sb="75" eb="79">
      <t>シツモンウケツケ</t>
    </rPh>
    <rPh sb="82" eb="83">
      <t>オコナ</t>
    </rPh>
    <rPh sb="129" eb="132">
      <t>ジュギョウナイ</t>
    </rPh>
    <rPh sb="135" eb="136">
      <t>コマ</t>
    </rPh>
    <rPh sb="139" eb="143">
      <t>ガクシュウシドウ</t>
    </rPh>
    <rPh sb="159" eb="161">
      <t>ジュギョウ</t>
    </rPh>
    <rPh sb="161" eb="163">
      <t>シリョウ</t>
    </rPh>
    <rPh sb="164" eb="168">
      <t>エンシュウモンダイ</t>
    </rPh>
    <rPh sb="179" eb="181">
      <t>ガクセイ</t>
    </rPh>
    <rPh sb="186" eb="188">
      <t>フクシュウ</t>
    </rPh>
    <rPh sb="189" eb="191">
      <t>カノウ</t>
    </rPh>
    <rPh sb="264" eb="266">
      <t>レイワ</t>
    </rPh>
    <rPh sb="267" eb="269">
      <t>ネンド</t>
    </rPh>
    <rPh sb="272" eb="275">
      <t>ニュウガクジ</t>
    </rPh>
    <rPh sb="278" eb="280">
      <t>ソウサ</t>
    </rPh>
    <rPh sb="284" eb="285">
      <t>オウ</t>
    </rPh>
    <rPh sb="287" eb="290">
      <t>ノウリョクベツ</t>
    </rPh>
    <phoneticPr fontId="1"/>
  </si>
  <si>
    <t>粟津俊二</t>
    <rPh sb="0" eb="2">
      <t>アワヅ</t>
    </rPh>
    <rPh sb="2" eb="4">
      <t>シュンジ</t>
    </rPh>
    <phoneticPr fontId="1"/>
  </si>
  <si>
    <t>大学教育研究センター長</t>
    <rPh sb="0" eb="6">
      <t>ダイガクキョウイクケンキュウ</t>
    </rPh>
    <rPh sb="10" eb="11">
      <t>チョウ</t>
    </rPh>
    <phoneticPr fontId="1"/>
  </si>
  <si>
    <t xml:space="preserve">本教育プログラムを構成する科目「データサイエンス入門」と「情報リテラシー基礎」は2024年度から全学必修となっており、受講を推奨すべき対象とならない。学習意欲の向上や自主学習の動機づけとしては、関連資格（MOS,統計検定）の受験推奨と受験料補助、また学内でのデータコンペ開催などでおこなっている。
</t>
    <rPh sb="24" eb="26">
      <t>ニュウモン</t>
    </rPh>
    <rPh sb="29" eb="31">
      <t>ジョウホウ</t>
    </rPh>
    <rPh sb="36" eb="38">
      <t>キソ</t>
    </rPh>
    <rPh sb="44" eb="46">
      <t>ネンド</t>
    </rPh>
    <rPh sb="59" eb="61">
      <t>ジュコウ</t>
    </rPh>
    <rPh sb="62" eb="64">
      <t>スイショウ</t>
    </rPh>
    <rPh sb="67" eb="69">
      <t>タイショウ</t>
    </rPh>
    <rPh sb="75" eb="79">
      <t>ガクシュウイヨク</t>
    </rPh>
    <rPh sb="80" eb="82">
      <t>コウジョウ</t>
    </rPh>
    <rPh sb="83" eb="87">
      <t>ジシュガクシュウ</t>
    </rPh>
    <rPh sb="88" eb="90">
      <t>ドウキ</t>
    </rPh>
    <rPh sb="97" eb="99">
      <t>カンレン</t>
    </rPh>
    <rPh sb="99" eb="101">
      <t>シカク</t>
    </rPh>
    <rPh sb="106" eb="110">
      <t>トウケイケンテイ</t>
    </rPh>
    <rPh sb="112" eb="116">
      <t>ジュケンスイショウ</t>
    </rPh>
    <rPh sb="117" eb="120">
      <t>ジュケンリョウ</t>
    </rPh>
    <rPh sb="120" eb="122">
      <t>ホジョ</t>
    </rPh>
    <rPh sb="125" eb="127">
      <t>ガクナイ</t>
    </rPh>
    <rPh sb="135" eb="137">
      <t>カイサイ</t>
    </rPh>
    <phoneticPr fontId="1"/>
  </si>
  <si>
    <t>本教育プログラムを構成する科目「データサイエンス入門」と「情報リテラシー基礎」は2024年度から全学必修となっており、履修率は100％である。</t>
    <phoneticPr fontId="1"/>
  </si>
  <si>
    <t>本学では卒業次の進路をほぼ100%把握しており、本教育プログラムを修了した卒業生の第一進路の把握が可能である。また卒業生に対しては定期的にアンケート調査やインタビュー調査を実施しており、その活躍状況や教育の効果、本学の教育への要望事項などを把握している。また本学卒業生の採用実績がある企業・団体にもアンケート調査、インタビュー調査を実施しており、本教育プログラムを修了した卒業生の採用状況や評価を把握する仕組みを設けている。</t>
    <rPh sb="0" eb="2">
      <t>ホンガク</t>
    </rPh>
    <rPh sb="6" eb="7">
      <t>ジ</t>
    </rPh>
    <rPh sb="8" eb="10">
      <t>シンロ</t>
    </rPh>
    <rPh sb="17" eb="19">
      <t>ハアク</t>
    </rPh>
    <rPh sb="41" eb="43">
      <t>ダイイチ</t>
    </rPh>
    <rPh sb="46" eb="48">
      <t>ハアク</t>
    </rPh>
    <rPh sb="49" eb="51">
      <t>カノウ</t>
    </rPh>
    <rPh sb="57" eb="60">
      <t>ソツギョウセイ</t>
    </rPh>
    <rPh sb="61" eb="62">
      <t>タイ</t>
    </rPh>
    <rPh sb="65" eb="68">
      <t>テイキテキ</t>
    </rPh>
    <rPh sb="74" eb="76">
      <t>チョウサ</t>
    </rPh>
    <rPh sb="83" eb="85">
      <t>チョウサ</t>
    </rPh>
    <rPh sb="86" eb="88">
      <t>ジッシ</t>
    </rPh>
    <rPh sb="100" eb="102">
      <t>キョウイク</t>
    </rPh>
    <rPh sb="103" eb="105">
      <t>コウカ</t>
    </rPh>
    <rPh sb="106" eb="108">
      <t>ホンガク</t>
    </rPh>
    <rPh sb="109" eb="111">
      <t>キョウイク</t>
    </rPh>
    <rPh sb="113" eb="115">
      <t>ヨウボウ</t>
    </rPh>
    <rPh sb="115" eb="117">
      <t>ジコウ</t>
    </rPh>
    <rPh sb="120" eb="122">
      <t>ハアク</t>
    </rPh>
    <rPh sb="129" eb="131">
      <t>ホンガク</t>
    </rPh>
    <rPh sb="131" eb="134">
      <t>ソツギョウセイ</t>
    </rPh>
    <rPh sb="135" eb="139">
      <t>サイヨウジッセキ</t>
    </rPh>
    <rPh sb="145" eb="147">
      <t>ダンタイ</t>
    </rPh>
    <rPh sb="163" eb="165">
      <t>チョウサ</t>
    </rPh>
    <phoneticPr fontId="1"/>
  </si>
  <si>
    <t>本学卒業生の採用実績がある企業・団体にもアンケート調査、インタビュー調査を実施しており、本教育プログラムを修了した卒業生対する評価や要望を把握する仕組みを設けている。特に大学において習得してほしい知識とスキル、本学卒業生に不足している能力、経験、態度については詳細な聞き取りを実施しており、その内容を踏まえてプログラムの改善に活用していく。教育プログラムの検討には、産業界における実務経験を持つ教員の意見や、産業界に所属する外部理事や外部評価委員の意見も聴取する。</t>
    <rPh sb="60" eb="61">
      <t>タイ</t>
    </rPh>
    <rPh sb="66" eb="68">
      <t>ヨウボウ</t>
    </rPh>
    <rPh sb="83" eb="84">
      <t>トク</t>
    </rPh>
    <rPh sb="85" eb="87">
      <t>ダイガク</t>
    </rPh>
    <rPh sb="91" eb="93">
      <t>シュウトク</t>
    </rPh>
    <rPh sb="98" eb="100">
      <t>チシキ</t>
    </rPh>
    <rPh sb="105" eb="110">
      <t>ホンガクソツギョウセイ</t>
    </rPh>
    <rPh sb="111" eb="113">
      <t>フソク</t>
    </rPh>
    <rPh sb="117" eb="119">
      <t>ノウリョク</t>
    </rPh>
    <rPh sb="120" eb="122">
      <t>ケイケン</t>
    </rPh>
    <rPh sb="123" eb="125">
      <t>タイド</t>
    </rPh>
    <rPh sb="130" eb="132">
      <t>ショウサイ</t>
    </rPh>
    <rPh sb="133" eb="134">
      <t>キ</t>
    </rPh>
    <rPh sb="135" eb="136">
      <t>ト</t>
    </rPh>
    <rPh sb="138" eb="140">
      <t>ジッシ</t>
    </rPh>
    <rPh sb="147" eb="149">
      <t>ナイヨウ</t>
    </rPh>
    <rPh sb="150" eb="151">
      <t>フ</t>
    </rPh>
    <rPh sb="160" eb="162">
      <t>カイゼン</t>
    </rPh>
    <rPh sb="163" eb="165">
      <t>カツヨウ</t>
    </rPh>
    <rPh sb="170" eb="172">
      <t>キョウイク</t>
    </rPh>
    <rPh sb="178" eb="180">
      <t>ケントウ</t>
    </rPh>
    <rPh sb="183" eb="186">
      <t>サンギョウカイ</t>
    </rPh>
    <rPh sb="190" eb="194">
      <t>ジツムケイケン</t>
    </rPh>
    <rPh sb="195" eb="196">
      <t>モ</t>
    </rPh>
    <rPh sb="197" eb="199">
      <t>キョウイン</t>
    </rPh>
    <rPh sb="200" eb="202">
      <t>イケン</t>
    </rPh>
    <rPh sb="204" eb="207">
      <t>サンギョウカイ</t>
    </rPh>
    <rPh sb="208" eb="210">
      <t>ショゾク</t>
    </rPh>
    <rPh sb="212" eb="214">
      <t>ガイブ</t>
    </rPh>
    <rPh sb="214" eb="216">
      <t>リジ</t>
    </rPh>
    <rPh sb="217" eb="219">
      <t>ガイブ</t>
    </rPh>
    <rPh sb="219" eb="223">
      <t>ヒョウカイイン</t>
    </rPh>
    <rPh sb="224" eb="226">
      <t>イケン</t>
    </rPh>
    <rPh sb="227" eb="229">
      <t>チョウシュ</t>
    </rPh>
    <phoneticPr fontId="1"/>
  </si>
  <si>
    <t>モデルカリキュラムリテラシーレベルの導入部分に準じた内容を展開し、社会の実例や身近な場面でAI等がどのような活用をされているかを紹介し、好奇心を促す講義内容としている。学ぶ意義を高めるため、学内でのデータ分析コンペを実施して優秀者を表彰することや、統計検定やなど関連資格の受験支援を全学的に実施している。また一部の学生には企業でのDXワークショップやDXに関する企業の見学、インターンなどを実施している。</t>
    <rPh sb="39" eb="41">
      <t>ミジカ</t>
    </rPh>
    <rPh sb="42" eb="44">
      <t>バメン</t>
    </rPh>
    <rPh sb="64" eb="66">
      <t>ショウカイ</t>
    </rPh>
    <rPh sb="84" eb="85">
      <t>マナ</t>
    </rPh>
    <rPh sb="86" eb="88">
      <t>イギ</t>
    </rPh>
    <rPh sb="89" eb="90">
      <t>タカ</t>
    </rPh>
    <rPh sb="95" eb="97">
      <t>ガクナイ</t>
    </rPh>
    <phoneticPr fontId="1"/>
  </si>
  <si>
    <t>大学教育研究センターにて授業評価を実施し、授業の内容、授業資料などに関する「わかりやすさ」の評価を聴取している。また、プログラムに関する科目の担当教員からの意見を収集している。これらの内容を踏まえて、担当教員間で対面あるいはオンラインでのミーティングによって、授業の「分かりやすさ」について検討する。検討結果を踏まえて、主担当者が一括して教材や練習問題等を修正し、改善を進めていく。</t>
    <rPh sb="0" eb="4">
      <t>ダイガクキョウイク</t>
    </rPh>
    <rPh sb="4" eb="6">
      <t>ケンキュウ</t>
    </rPh>
    <rPh sb="12" eb="16">
      <t>ジュギョウヒョウカ</t>
    </rPh>
    <rPh sb="17" eb="19">
      <t>ジッシ</t>
    </rPh>
    <rPh sb="21" eb="23">
      <t>ジュギョウ</t>
    </rPh>
    <rPh sb="24" eb="26">
      <t>ナイヨウ</t>
    </rPh>
    <rPh sb="27" eb="29">
      <t>ジュギョウ</t>
    </rPh>
    <rPh sb="29" eb="31">
      <t>シリョウ</t>
    </rPh>
    <rPh sb="34" eb="35">
      <t>カン</t>
    </rPh>
    <rPh sb="46" eb="48">
      <t>ヒョウカ</t>
    </rPh>
    <rPh sb="49" eb="51">
      <t>チョウシュ</t>
    </rPh>
    <rPh sb="78" eb="80">
      <t>イケン</t>
    </rPh>
    <rPh sb="81" eb="83">
      <t>シュウシュウ</t>
    </rPh>
    <rPh sb="92" eb="94">
      <t>ナイヨウ</t>
    </rPh>
    <rPh sb="95" eb="96">
      <t>フ</t>
    </rPh>
    <rPh sb="100" eb="104">
      <t>タントウキョウイン</t>
    </rPh>
    <rPh sb="104" eb="105">
      <t>アイダ</t>
    </rPh>
    <rPh sb="130" eb="132">
      <t>ジュギョウ</t>
    </rPh>
    <rPh sb="145" eb="147">
      <t>ケントウ</t>
    </rPh>
    <rPh sb="150" eb="154">
      <t>ケントウケッカ</t>
    </rPh>
    <rPh sb="155" eb="156">
      <t>フ</t>
    </rPh>
    <rPh sb="160" eb="164">
      <t>シュタントウシャ</t>
    </rPh>
    <rPh sb="165" eb="167">
      <t>イッカツ</t>
    </rPh>
    <rPh sb="169" eb="171">
      <t>キョウザイ</t>
    </rPh>
    <rPh sb="172" eb="174">
      <t>レンシュウ</t>
    </rPh>
    <rPh sb="174" eb="177">
      <t>モンダイトウ</t>
    </rPh>
    <rPh sb="178" eb="180">
      <t>シュウセイ</t>
    </rPh>
    <rPh sb="182" eb="184">
      <t>カイゼン</t>
    </rPh>
    <rPh sb="185" eb="186">
      <t>スス</t>
    </rPh>
    <phoneticPr fontId="1"/>
  </si>
  <si>
    <t>（</t>
  </si>
  <si>
    <t>令和6</t>
    <phoneticPr fontId="1"/>
  </si>
  <si>
    <t>文学部</t>
    <rPh sb="0" eb="3">
      <t>ブンガクブ</t>
    </rPh>
    <phoneticPr fontId="1"/>
  </si>
  <si>
    <t>人間社会学部</t>
    <rPh sb="0" eb="6">
      <t>ニンゲンシャカイガクブ</t>
    </rPh>
    <phoneticPr fontId="1"/>
  </si>
  <si>
    <t>国際学部</t>
    <rPh sb="0" eb="4">
      <t>コクサイガクブ</t>
    </rPh>
    <phoneticPr fontId="1"/>
  </si>
  <si>
    <t>生活科学部</t>
    <rPh sb="0" eb="5">
      <t>セイカツカガクブ</t>
    </rPh>
    <phoneticPr fontId="1"/>
  </si>
  <si>
    <t xml:space="preserve">共通教育部門長/　生活科学部　教授　島﨑あかね 
文学部　教授　深瀬 有希子 
文学部　教授　深澤 晶久  
文学部　教授　舟見 一哉  
文学部　専任講師　齋藤 達也  
国際学部　教授　小牧幸代  
生活科学部　教授 中村 彰男  
生活科学部　教授　佐藤 健  
生活科学部　准教授　水野 いずみ 
生活科学部　専任講師　河井 延晃
人間社会学部　教授 竹内 光悦  
人間社会学部　准教授 井上 綾野  
人間社会学部　専任講師 神山 静香 </t>
    <rPh sb="0" eb="7">
      <t>キョウツウキョウイクブモンチョウ</t>
    </rPh>
    <rPh sb="11" eb="14">
      <t>カガクブ</t>
    </rPh>
    <rPh sb="15" eb="17">
      <t>キョウジュ</t>
    </rPh>
    <rPh sb="25" eb="27">
      <t>ブンガク</t>
    </rPh>
    <rPh sb="27" eb="28">
      <t>ブ</t>
    </rPh>
    <rPh sb="29" eb="31">
      <t>キョウジュ</t>
    </rPh>
    <rPh sb="70" eb="73">
      <t>ブンガクブ</t>
    </rPh>
    <rPh sb="87" eb="91">
      <t>コクサイガクブ</t>
    </rPh>
    <rPh sb="102" eb="107">
      <t>セイカツカガクブ</t>
    </rPh>
    <rPh sb="108" eb="110">
      <t>キョウジュ</t>
    </rPh>
    <rPh sb="119" eb="124">
      <t>セイカツカガクブ</t>
    </rPh>
    <rPh sb="125" eb="127">
      <t>キョウジュ</t>
    </rPh>
    <rPh sb="188" eb="194">
      <t>ニンゲンシャカイガクブ</t>
    </rPh>
    <rPh sb="195" eb="198">
      <t>ジュンキョウジュ</t>
    </rPh>
    <rPh sb="207" eb="211">
      <t>ニンゲンシャカイ</t>
    </rPh>
    <rPh sb="211" eb="213">
      <t>ガクブ</t>
    </rPh>
    <rPh sb="214" eb="218">
      <t>センニンコウシ</t>
    </rPh>
    <phoneticPr fontId="1"/>
  </si>
  <si>
    <t xml:space="preserve">プログラム全体の状況については，学生総合支援センター教育総合サポート部において，プログラムに含まれる科目の履修・単位取得状況の分析を実施し，大学教育研究センター委員会において，クラスごとの単位習得状況や成績分布を把握することができる。クラスは原則として学科ごとに編成されるため，学科ごとの履修・修得状況も合わせて確認することができる。また各授業においては，LMSを用いて，受講者ごとの講義受講状況や，演習課題の回答状況などを把握することができる。加えて，大学教育研究センター長と担当教員とが学内情報システム等で連絡連携を行うことで，プログラムの履修・修得状況を質的・量的に把握することができる。
</t>
    <rPh sb="26" eb="30">
      <t>キョウイクソウゴウ</t>
    </rPh>
    <rPh sb="34" eb="35">
      <t>ブ</t>
    </rPh>
    <rPh sb="121" eb="123">
      <t>ゲンソク</t>
    </rPh>
    <rPh sb="126" eb="128">
      <t>ガッカ</t>
    </rPh>
    <rPh sb="131" eb="133">
      <t>ヘンセイ</t>
    </rPh>
    <rPh sb="139" eb="141">
      <t>ガッカ</t>
    </rPh>
    <rPh sb="144" eb="146">
      <t>リシュウ</t>
    </rPh>
    <rPh sb="147" eb="149">
      <t>シュウトク</t>
    </rPh>
    <rPh sb="149" eb="151">
      <t>ジョウキョウ</t>
    </rPh>
    <rPh sb="152" eb="153">
      <t>ア</t>
    </rPh>
    <rPh sb="156" eb="158">
      <t>カクニン</t>
    </rPh>
    <rPh sb="223" eb="224">
      <t>クワ</t>
    </rPh>
    <rPh sb="245" eb="247">
      <t>ガクナイ</t>
    </rPh>
    <rPh sb="247" eb="249">
      <t>ジョウホウ</t>
    </rPh>
    <rPh sb="253" eb="254">
      <t>トウ</t>
    </rPh>
    <rPh sb="255" eb="257">
      <t>レンラク</t>
    </rPh>
    <rPh sb="257" eb="259">
      <t>レンケイ</t>
    </rPh>
    <rPh sb="272" eb="274">
      <t>リシュウ</t>
    </rPh>
    <phoneticPr fontId="1"/>
  </si>
  <si>
    <t>各担当教員はLMSを活用し，各授業回や課題ごとの学修成果を把握することができる。また，学生総合支援センター教育総合サポート部において実施している授業評価アンケートのうち「満足度」や「当該分野をさらに学びたいかどうか」の項目を分析することによって、学生のデータサイエンスに対する意欲をを把握することができる。単位習得状況や授業評価結果は点検機関である大学教育研究センターにも共有されている。加えて，大学教育研究センター長と担当教員とは学内情報システム等で連絡連携を行っており，学修成果を質的・量的に把握し，本教育プログラムの評価・改善に活用している。</t>
    <rPh sb="0" eb="5">
      <t>カクタントウキョウイン</t>
    </rPh>
    <rPh sb="10" eb="12">
      <t>カツヨウ</t>
    </rPh>
    <rPh sb="24" eb="28">
      <t>ガクシュウセイカ</t>
    </rPh>
    <rPh sb="29" eb="31">
      <t>ハアク</t>
    </rPh>
    <rPh sb="53" eb="57">
      <t>キョウイクソウゴウ</t>
    </rPh>
    <rPh sb="61" eb="62">
      <t>ブ</t>
    </rPh>
    <rPh sb="72" eb="76">
      <t>ジュギョウヒョウカ</t>
    </rPh>
    <rPh sb="123" eb="125">
      <t>ガクセイ</t>
    </rPh>
    <rPh sb="135" eb="136">
      <t>タイ</t>
    </rPh>
    <rPh sb="138" eb="140">
      <t>イヨク</t>
    </rPh>
    <rPh sb="153" eb="157">
      <t>タンイシュウトク</t>
    </rPh>
    <rPh sb="157" eb="159">
      <t>ジョウキョウ</t>
    </rPh>
    <rPh sb="160" eb="162">
      <t>ジュギョウ</t>
    </rPh>
    <rPh sb="162" eb="164">
      <t>ヒョウカ</t>
    </rPh>
    <rPh sb="164" eb="166">
      <t>ケッカ</t>
    </rPh>
    <rPh sb="186" eb="188">
      <t>キョウユウ</t>
    </rPh>
    <rPh sb="194" eb="195">
      <t>クワ</t>
    </rPh>
    <rPh sb="224" eb="225">
      <t>トウ</t>
    </rPh>
    <rPh sb="237" eb="241">
      <t>ガクシュウセイカ</t>
    </rPh>
    <phoneticPr fontId="1"/>
  </si>
  <si>
    <t>全クラス統一の教材、例題、練習問題が準備されており、各担当教員はLMSを活用し、各課題や授業ごとの理解度を把握することができる。教材や課題に生じた疑義や理解困難な点などは、担当教員を通じて収集され、担当教員用の連絡システムを通じたやりとりで検討される。また、学生総合支援センター教育総合サポート部において実施している授業評価アンケートのうち「理解度」の項目を分析することによって、全授業回を通した学生の理解度を把握することができる。大学教育研究センターは、上記の担当教員間のやり取りや授業評価アンケートの結果を把握しており、本教育プログラムの評価・改善に活用している。</t>
    <rPh sb="7" eb="9">
      <t>キョウザイ</t>
    </rPh>
    <rPh sb="10" eb="12">
      <t>レイダイ</t>
    </rPh>
    <rPh sb="18" eb="20">
      <t>ジュンビ</t>
    </rPh>
    <rPh sb="64" eb="66">
      <t>キョウザイ</t>
    </rPh>
    <rPh sb="67" eb="69">
      <t>カダイ</t>
    </rPh>
    <rPh sb="70" eb="71">
      <t>ショウ</t>
    </rPh>
    <rPh sb="73" eb="75">
      <t>ギギ</t>
    </rPh>
    <rPh sb="76" eb="78">
      <t>リカイ</t>
    </rPh>
    <rPh sb="78" eb="80">
      <t>コンナン</t>
    </rPh>
    <rPh sb="81" eb="82">
      <t>テン</t>
    </rPh>
    <rPh sb="86" eb="90">
      <t>タントウキョウイン</t>
    </rPh>
    <rPh sb="91" eb="92">
      <t>ツウ</t>
    </rPh>
    <rPh sb="94" eb="96">
      <t>シュウシュウ</t>
    </rPh>
    <rPh sb="99" eb="101">
      <t>タントウ</t>
    </rPh>
    <rPh sb="101" eb="103">
      <t>キョウイン</t>
    </rPh>
    <rPh sb="103" eb="104">
      <t>ヨウ</t>
    </rPh>
    <rPh sb="105" eb="107">
      <t>レンラク</t>
    </rPh>
    <rPh sb="112" eb="113">
      <t>ツウ</t>
    </rPh>
    <rPh sb="120" eb="122">
      <t>ケントウ</t>
    </rPh>
    <rPh sb="139" eb="143">
      <t>キョウイクソウゴウ</t>
    </rPh>
    <rPh sb="147" eb="148">
      <t>ブ</t>
    </rPh>
    <rPh sb="228" eb="230">
      <t>ジョウキ</t>
    </rPh>
    <rPh sb="231" eb="235">
      <t>タントウキョウイン</t>
    </rPh>
    <rPh sb="235" eb="236">
      <t>アイダ</t>
    </rPh>
    <rPh sb="239" eb="240">
      <t>ト</t>
    </rPh>
    <rPh sb="242" eb="246">
      <t>ジュギョウヒョウカ</t>
    </rPh>
    <rPh sb="252" eb="254">
      <t>ケッカ</t>
    </rPh>
    <rPh sb="255" eb="257">
      <t>ハアク</t>
    </rPh>
    <phoneticPr fontId="1"/>
  </si>
  <si>
    <t>情報リテラシー基礎</t>
    <rPh sb="0" eb="2">
      <t>ジョウホウ</t>
    </rPh>
    <rPh sb="7" eb="9">
      <t>キソ</t>
    </rPh>
    <phoneticPr fontId="1"/>
  </si>
  <si>
    <t>情報リテラシー基礎</t>
    <phoneticPr fontId="1"/>
  </si>
  <si>
    <t>4‐2アルゴリズム基礎</t>
  </si>
  <si>
    <t>4‐8データ活用実践（教師あり学習）</t>
  </si>
  <si>
    <t>・AI最新技術の活用例(データサイエンス入門、1、３回目)
・AI等を活用した新しいビジネスモデル(商品のレコメンデーションなど)(データサイエンス入門、1、３回目)</t>
    <phoneticPr fontId="1"/>
  </si>
  <si>
    <t xml:space="preserve">・調査データ、実験データ、人の行動ログデータ、機械の稼働ログデータなど(データサイエンス入門、２回目)
・データのメタ化(データサイエンス入門、２回目)
・構造化データ、非構造化データ（文章、画像/動画、音声/音楽など）(データサイエンス入門、２回目)
・データ作成（ビッグデータとアノテーション）(データサイエンス入門、２回目)
</t>
    <phoneticPr fontId="1"/>
  </si>
  <si>
    <t xml:space="preserve">・データ・AI活用領域の広がり(生産、消費、文化活動など)(データサイエンス入門、１，３回目)
・研究開発、マーケティング、サービスなど(データサイエンス入門、１，３回目)
・仮説検証、知識発見、原因究明、計画策定、判断支援、活動代替、新規生成など(データサイエンス入門、２回目)
</t>
    <phoneticPr fontId="1"/>
  </si>
  <si>
    <t>・非構造化データ処理：言語処理、画像/動画処理、音声/音楽処理など(データサイエンス入門、１，３回目)
・認識技術、ルールベース、自動化技術(データサイエンス入門、２回目)
・生成AIの活用（プロンプトエンジニアリング）(データサイエンス入門、6回目)</t>
    <phoneticPr fontId="1"/>
  </si>
  <si>
    <t>・データサイエンスのサイクル（課題抽出と定式化、データの取得・管理・加工、探索的データ解析、データ解析と推論、結果の共有・伝達、課題解決に向けた提案）(データサイエンス入門、１，３回目)
・教育、芸術、流通、製造、金融、サービス、インフラ、公共、ヘルスケア等におけるデータ・AI利活用事例紹介(データサイエンス入門、１，３回目)</t>
    <phoneticPr fontId="1"/>
  </si>
  <si>
    <t>・倫理的・法的・社会的課題（ELSI：Ethical, Legal and Social Issues）(データサイエンス入門、6回目)
・個人情報保護、EU一般データ保護規則(GDPR)、忘れられる権利、オプトアウト(データサイエンス入門、6回目)
・データ倫理：データのねつ造、改ざん、盗用、プライバシー保護(データサイエンス入門、6回目)
・AI社会原則（公平性、説明責任、透明性、人間中心の判断）(データサイエンス入門、6回目)
・データバイアス、アルゴリズムバイアス(データサイエンス入門、6回目)
・AIサービスの責任論(データサイエンス入門、6回目)
・データ・AI活用における負の事例紹介(データサイエンス入門、3,6回目)
・生成AIの留意事項（ハルシネーションによる誤情報の生成、偽情報や有害コンテンツの生成・氾濫 など）(データサイエンス入門、3,6回目)</t>
    <phoneticPr fontId="1"/>
  </si>
  <si>
    <t>・情報セキュリティの3要素（機密性、完全性、可用性）(データサイエンス入門、7回目)
・匿名加工情報、暗号化と復号、ユーザ認証と、パスワード、アクセス制御、悪意ある情報搾取(データサイエンス入門、7回目)
・情報漏洩等によるセキュリティ事故の事例紹介(データサイエンス入門、6回目)
・サイバーセキュリティ(データサイエンス入門、6回目)</t>
    <phoneticPr fontId="1"/>
  </si>
  <si>
    <t xml:space="preserve">・データの種類（量的変数、質的変数）(データサイエンス入門、２回目)
・データの分布(ヒストグラム)と代表値（平均値、中央値、最頻値）（データサイエンス入門、4回、情報リテラシー基礎、5,9回）
・代表値の性質の違い（実社会では平均値＝最頻値でないことが多い）（データサイエンス入門、4回、情報リテラシー基礎、5回）
・データのばらつき（分散、標準偏差、偏差値）（情報リテラシー基礎、5回）
・相関と因果（相関係数、擬似相関、交絡）（情報リテラシー基礎、6回）
・母集団と標本抽出（国勢調査、アンケート調査、全数調査、単純無作為抽出、層別抽出、多段抽出）（データサイエンス入門、5回）
・クロス集計表、分割表、相関係数行列、散布図行列（情報リテラシー基礎、6回）
</t>
    <rPh sb="82" eb="84">
      <t>ジョウホウ</t>
    </rPh>
    <rPh sb="89" eb="91">
      <t>キソ</t>
    </rPh>
    <rPh sb="95" eb="96">
      <t>カイ</t>
    </rPh>
    <rPh sb="139" eb="141">
      <t>ニュウモン</t>
    </rPh>
    <rPh sb="143" eb="144">
      <t>カイ</t>
    </rPh>
    <rPh sb="286" eb="288">
      <t>ニュウモン</t>
    </rPh>
    <phoneticPr fontId="1"/>
  </si>
  <si>
    <t xml:space="preserve">・データ表現（棒グラフ、折線グラフ、散布図、箱ひげ図）（情報リテラシー基礎、9.10,11回）
・データの比較（A/Bテスト)（情報リテラシー基礎、11回）
・不適切なグラフ表現（不必要な視覚的要素）（情報リテラシー基礎、11回）
</t>
    <phoneticPr fontId="1"/>
  </si>
  <si>
    <t>・データの集計（和、平均）（情報リテラシー基礎、5回）
・データの並び替え、ランキング（情報リテラシー基礎、2,3,6回）
・データ解析ツール（スプレッドシート、BIツール）(情報リテラシー基礎、2-7回）
・表形式のデータ（csv）(情報リテラシー基礎、2-7回）</t>
    <phoneticPr fontId="1"/>
  </si>
  <si>
    <t>　①社会におけるデータやAIの利活用について考える力
　②実際にデータを読み解き、扱う基礎的な
　③ソフトウエアを用いてデータを分析し、表現する力
　④データやAIの利活用時に倫理的・法的・社会的な留意点について考える力</t>
    <phoneticPr fontId="1"/>
  </si>
  <si>
    <t>学部・学科によって、修了要件は相違しない</t>
  </si>
  <si>
    <t>島﨑あかね</t>
    <rPh sb="0" eb="2">
      <t>シマザキ</t>
    </rPh>
    <phoneticPr fontId="1"/>
  </si>
  <si>
    <t>プログラムを構成する全学共通教育科目「データサイエンス入門(1単位）」および「情報リテラシー基礎(1単位）」の双方、合計2単位を取得すること。</t>
    <phoneticPr fontId="1"/>
  </si>
  <si>
    <t>共通教育部門</t>
    <rPh sb="0" eb="4">
      <t>キョウツウキョウイク</t>
    </rPh>
    <rPh sb="4" eb="6">
      <t>ブモン</t>
    </rPh>
    <phoneticPr fontId="1"/>
  </si>
  <si>
    <t xml:space="preserve">データを活用し社会の課題を発見、解決できる人材を全学的に育成することを目的に、数理・データサイエンス・AI教育の全学的な普及、関連科目の整備を行う。その運営業務を担うために、全学組織である大学教育研究センター下に共通教育部門を発足させる。共通教育部門の業務は、数理データサイエンスAI教育認定リテラシープログラムの運営・改善・進化、及びプログラム科目も含めた共通教育科目の運営に係る調整とする。
</t>
    <rPh sb="24" eb="27">
      <t>ゼンガクテキ</t>
    </rPh>
    <rPh sb="76" eb="78">
      <t>ウンエイ</t>
    </rPh>
    <rPh sb="78" eb="80">
      <t>ギョウム</t>
    </rPh>
    <rPh sb="81" eb="82">
      <t>ニナ</t>
    </rPh>
    <rPh sb="87" eb="91">
      <t>ゼンガクソシキ</t>
    </rPh>
    <rPh sb="94" eb="100">
      <t>ダイガクキョウイクケンキュウ</t>
    </rPh>
    <rPh sb="104" eb="105">
      <t>シタ</t>
    </rPh>
    <rPh sb="106" eb="108">
      <t>キョウツウ</t>
    </rPh>
    <rPh sb="113" eb="115">
      <t>ホッソク</t>
    </rPh>
    <rPh sb="119" eb="125">
      <t>キョウツウキョウイクブモン</t>
    </rPh>
    <rPh sb="126" eb="128">
      <t>ギョウム</t>
    </rPh>
    <rPh sb="166" eb="167">
      <t>オヨ</t>
    </rPh>
    <rPh sb="173" eb="175">
      <t>カモク</t>
    </rPh>
    <rPh sb="176" eb="177">
      <t>フク</t>
    </rPh>
    <phoneticPr fontId="1"/>
  </si>
  <si>
    <t>実践女子大学 数理・データサイエンス・AI教育プログラム
略称：JDASH(Jissen Data science and Ai Smart Higher Education）</t>
    <rPh sb="0" eb="4">
      <t>ジッセンジョシ</t>
    </rPh>
    <rPh sb="4" eb="6">
      <t>ダイガク</t>
    </rPh>
    <rPh sb="7" eb="9">
      <t>スウリ</t>
    </rPh>
    <rPh sb="21" eb="23">
      <t>キョウイク</t>
    </rPh>
    <phoneticPr fontId="1"/>
  </si>
  <si>
    <t>実践女子大学教育研究センター規程</t>
    <phoneticPr fontId="1"/>
  </si>
  <si>
    <t>実践女子大学教育研究センター</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</si>
</sst>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6">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9" fontId="2" fillId="0" borderId="14" xfId="0" applyNumberFormat="1" applyFont="1" applyBorder="1" applyAlignment="1">
      <alignment vertical="center" shrinkToFit="1"/>
    </xf>
    <xf numFmtId="0" fontId="2" fillId="0" borderId="48" xfId="0" applyFont="1" applyBorder="1" applyAlignment="1">
      <alignment horizontal="center" vertical="center" shrinkToFit="1"/>
    </xf>
    <xf numFmtId="0" fontId="3" fillId="0" borderId="40" xfId="0" applyFont="1" applyBorder="1" applyAlignment="1">
      <alignment vertical="center" wrapText="1"/>
    </xf>
    <xf numFmtId="0" fontId="3" fillId="0" borderId="27" xfId="0" applyFont="1" applyBorder="1" applyAlignment="1">
      <alignment vertical="center" wrapText="1"/>
    </xf>
    <xf numFmtId="0" fontId="3" fillId="0" borderId="41" xfId="0" applyFont="1" applyBorder="1" applyAlignment="1">
      <alignmen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0" xfId="0" applyFont="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2" fillId="0" borderId="0" xfId="0" applyFont="1" applyAlignment="1">
      <alignment horizontal="right" vertical="center"/>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6" fillId="0" borderId="0" xfId="0" applyFont="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2" xfId="0" applyFont="1" applyBorder="1" applyAlignment="1">
      <alignment horizontal="left" vertical="center"/>
    </xf>
    <xf numFmtId="0" fontId="5" fillId="0" borderId="4" xfId="0" applyFont="1" applyBorder="1" applyAlignment="1">
      <alignment horizontal="left" vertical="center"/>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1" fillId="0" borderId="7" xfId="0" applyFont="1" applyBorder="1" applyAlignment="1">
      <alignment vertical="top" wrapText="1" shrinkToFit="1"/>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11" fillId="0" borderId="18" xfId="0" applyFont="1" applyBorder="1" applyAlignment="1">
      <alignment vertical="top" wrapText="1" shrinkToFit="1"/>
    </xf>
    <xf numFmtId="0" fontId="11" fillId="0" borderId="19" xfId="0" applyFont="1" applyBorder="1" applyAlignment="1">
      <alignment vertical="top" wrapText="1" shrinkToFit="1"/>
    </xf>
    <xf numFmtId="0" fontId="11"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2" borderId="29" xfId="0" applyFont="1" applyFill="1" applyBorder="1" applyAlignment="1">
      <alignment horizontal="center" vertical="center"/>
    </xf>
    <xf numFmtId="0" fontId="2" fillId="2" borderId="31" xfId="0" applyFont="1" applyFill="1" applyBorder="1" applyAlignment="1">
      <alignment horizontal="center" vertical="center"/>
    </xf>
    <xf numFmtId="0" fontId="2" fillId="2" borderId="30" xfId="0" applyFont="1" applyFill="1" applyBorder="1" applyAlignment="1">
      <alignment horizontal="center"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FB9FD-2296-44B1-BFC2-EDEE41C1D38F}">
  <sheetPr>
    <pageSetUpPr fitToPage="1"/>
  </sheetPr>
  <dimension ref="A1:AA107"/>
  <sheetViews>
    <sheetView showZeros="0" tabSelected="1" view="pageBreakPreview" zoomScaleNormal="100" zoomScaleSheetLayoutView="100" workbookViewId="0"/>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40" t="s">
        <v>12</v>
      </c>
      <c r="U1" s="140"/>
      <c r="V1" s="2" t="s">
        <v>94</v>
      </c>
    </row>
    <row r="2" spans="1:24" ht="18.75" customHeight="1" x14ac:dyDescent="0.2">
      <c r="B2" s="17" t="s">
        <v>93</v>
      </c>
      <c r="C2" s="141" t="s">
        <v>142</v>
      </c>
      <c r="D2" s="142"/>
      <c r="E2" s="142"/>
      <c r="F2" s="142"/>
      <c r="G2" s="142"/>
      <c r="H2" s="142"/>
      <c r="I2" s="142"/>
      <c r="J2" s="143"/>
      <c r="K2" s="18"/>
      <c r="L2" s="6"/>
      <c r="M2" s="6"/>
      <c r="N2" s="6"/>
      <c r="O2" s="6"/>
      <c r="P2" s="6"/>
      <c r="Q2" s="6"/>
      <c r="R2" s="6"/>
      <c r="S2" s="6"/>
      <c r="T2" s="6"/>
      <c r="U2" s="6"/>
    </row>
    <row r="3" spans="1:24" ht="36" customHeight="1" x14ac:dyDescent="0.2">
      <c r="B3" s="17" t="s">
        <v>88</v>
      </c>
      <c r="C3" s="144" t="s">
        <v>193</v>
      </c>
      <c r="D3" s="145"/>
      <c r="E3" s="145"/>
      <c r="F3" s="145"/>
      <c r="G3" s="145"/>
      <c r="H3" s="145"/>
      <c r="I3" s="145"/>
      <c r="J3" s="146"/>
      <c r="K3" s="18"/>
      <c r="L3" s="6"/>
      <c r="M3" s="6"/>
      <c r="N3" s="6"/>
      <c r="O3" s="6"/>
      <c r="P3" s="6"/>
      <c r="Q3" s="6"/>
      <c r="R3" s="6"/>
      <c r="S3" s="6"/>
      <c r="T3" s="6"/>
      <c r="U3" s="6"/>
    </row>
    <row r="4" spans="1:24" ht="15" customHeight="1" x14ac:dyDescent="0.2">
      <c r="L4" s="18"/>
      <c r="M4" s="72"/>
      <c r="N4" s="72"/>
      <c r="O4" s="72"/>
      <c r="P4" s="72"/>
      <c r="Q4" s="72"/>
      <c r="R4" s="72"/>
      <c r="S4" s="72"/>
      <c r="T4" s="72"/>
      <c r="U4" s="72"/>
    </row>
    <row r="5" spans="1:24" ht="18" customHeight="1" x14ac:dyDescent="0.2">
      <c r="A5" s="147" t="s">
        <v>140</v>
      </c>
      <c r="B5" s="147"/>
      <c r="C5" s="147"/>
      <c r="D5" s="147"/>
      <c r="E5" s="147"/>
      <c r="F5" s="147"/>
      <c r="G5" s="147"/>
      <c r="H5" s="147"/>
      <c r="I5" s="147"/>
      <c r="J5" s="147"/>
      <c r="K5" s="147"/>
      <c r="L5" s="147"/>
      <c r="M5" s="147"/>
      <c r="N5" s="147"/>
      <c r="O5" s="147"/>
      <c r="P5" s="147"/>
      <c r="Q5" s="147"/>
      <c r="R5" s="147"/>
      <c r="S5" s="147"/>
      <c r="T5" s="147"/>
      <c r="U5" s="147"/>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116</v>
      </c>
      <c r="B7" s="3"/>
      <c r="C7" s="3"/>
      <c r="D7" s="3"/>
      <c r="E7" s="3"/>
      <c r="F7" s="2"/>
      <c r="G7" s="2"/>
      <c r="H7" s="2"/>
      <c r="I7" s="2"/>
      <c r="J7" s="2"/>
      <c r="K7" s="2"/>
      <c r="L7" s="148" t="s">
        <v>188</v>
      </c>
      <c r="M7" s="149"/>
      <c r="N7" s="149"/>
      <c r="O7" s="149"/>
      <c r="P7" s="149"/>
      <c r="Q7" s="149"/>
      <c r="R7" s="149"/>
      <c r="S7" s="149"/>
      <c r="T7" s="149"/>
      <c r="U7" s="150"/>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117</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51"/>
      <c r="C11" s="152"/>
      <c r="D11" s="152"/>
      <c r="E11" s="152"/>
      <c r="F11" s="152"/>
      <c r="G11" s="152"/>
      <c r="H11" s="152"/>
      <c r="I11" s="152"/>
      <c r="J11" s="152"/>
      <c r="K11" s="152"/>
      <c r="L11" s="152"/>
      <c r="M11" s="152"/>
      <c r="N11" s="152"/>
      <c r="O11" s="152"/>
      <c r="P11" s="152"/>
      <c r="Q11" s="152"/>
      <c r="R11" s="152"/>
      <c r="S11" s="152"/>
      <c r="T11" s="152"/>
      <c r="U11" s="153"/>
    </row>
    <row r="12" spans="1:24" ht="18" customHeight="1" x14ac:dyDescent="0.2">
      <c r="B12" s="154"/>
      <c r="C12" s="155"/>
      <c r="D12" s="155"/>
      <c r="E12" s="155"/>
      <c r="F12" s="155"/>
      <c r="G12" s="155"/>
      <c r="H12" s="155"/>
      <c r="I12" s="155"/>
      <c r="J12" s="155"/>
      <c r="K12" s="155"/>
      <c r="L12" s="155"/>
      <c r="M12" s="155"/>
      <c r="N12" s="155"/>
      <c r="O12" s="155"/>
      <c r="P12" s="155"/>
      <c r="Q12" s="155"/>
      <c r="R12" s="155"/>
      <c r="S12" s="155"/>
      <c r="T12" s="155"/>
      <c r="U12" s="156"/>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8"/>
      <c r="F14" s="18"/>
      <c r="G14" s="18"/>
      <c r="H14" s="18"/>
      <c r="I14" s="18"/>
      <c r="J14" s="18"/>
      <c r="K14" s="18"/>
      <c r="L14" s="73"/>
      <c r="M14" s="73"/>
      <c r="N14" s="73"/>
      <c r="O14" s="73"/>
      <c r="P14" s="73"/>
      <c r="Q14" s="73"/>
      <c r="R14" s="73"/>
      <c r="S14" s="73"/>
      <c r="T14" s="73"/>
      <c r="U14" s="73"/>
    </row>
    <row r="15" spans="1:24" ht="18" customHeight="1" x14ac:dyDescent="0.2">
      <c r="B15" s="128" t="s">
        <v>190</v>
      </c>
      <c r="C15" s="129"/>
      <c r="D15" s="129"/>
      <c r="E15" s="129"/>
      <c r="F15" s="129"/>
      <c r="G15" s="129"/>
      <c r="H15" s="129"/>
      <c r="I15" s="129"/>
      <c r="J15" s="129"/>
      <c r="K15" s="129"/>
      <c r="L15" s="129"/>
      <c r="M15" s="129"/>
      <c r="N15" s="129"/>
      <c r="O15" s="129"/>
      <c r="P15" s="129"/>
      <c r="Q15" s="129"/>
      <c r="R15" s="129"/>
      <c r="S15" s="129"/>
      <c r="T15" s="129"/>
      <c r="U15" s="130"/>
      <c r="X15" s="1" t="s">
        <v>89</v>
      </c>
    </row>
    <row r="16" spans="1:24" ht="18" customHeight="1" x14ac:dyDescent="0.2">
      <c r="B16" s="131"/>
      <c r="C16" s="132"/>
      <c r="D16" s="132"/>
      <c r="E16" s="132"/>
      <c r="F16" s="132"/>
      <c r="G16" s="132"/>
      <c r="H16" s="132"/>
      <c r="I16" s="132"/>
      <c r="J16" s="132"/>
      <c r="K16" s="132"/>
      <c r="L16" s="132"/>
      <c r="M16" s="132"/>
      <c r="N16" s="132"/>
      <c r="O16" s="132"/>
      <c r="P16" s="132"/>
      <c r="Q16" s="132"/>
      <c r="R16" s="132"/>
      <c r="S16" s="132"/>
      <c r="T16" s="132"/>
      <c r="U16" s="133"/>
      <c r="X16" s="1" t="s">
        <v>121</v>
      </c>
    </row>
    <row r="17" spans="1:24" ht="18" customHeight="1" x14ac:dyDescent="0.2">
      <c r="B17" s="131"/>
      <c r="C17" s="132"/>
      <c r="D17" s="132"/>
      <c r="E17" s="132"/>
      <c r="F17" s="132"/>
      <c r="G17" s="132"/>
      <c r="H17" s="132"/>
      <c r="I17" s="132"/>
      <c r="J17" s="132"/>
      <c r="K17" s="132"/>
      <c r="L17" s="132"/>
      <c r="M17" s="132"/>
      <c r="N17" s="132"/>
      <c r="O17" s="132"/>
      <c r="P17" s="132"/>
      <c r="Q17" s="132"/>
      <c r="R17" s="132"/>
      <c r="S17" s="132"/>
      <c r="T17" s="132"/>
      <c r="U17" s="133"/>
      <c r="X17" s="1" t="s">
        <v>122</v>
      </c>
    </row>
    <row r="18" spans="1:24" ht="18" customHeight="1" x14ac:dyDescent="0.2">
      <c r="B18" s="131"/>
      <c r="C18" s="132"/>
      <c r="D18" s="132"/>
      <c r="E18" s="132"/>
      <c r="F18" s="132"/>
      <c r="G18" s="132"/>
      <c r="H18" s="132"/>
      <c r="I18" s="132"/>
      <c r="J18" s="132"/>
      <c r="K18" s="132"/>
      <c r="L18" s="132"/>
      <c r="M18" s="132"/>
      <c r="N18" s="132"/>
      <c r="O18" s="132"/>
      <c r="P18" s="132"/>
      <c r="Q18" s="132"/>
      <c r="R18" s="132"/>
      <c r="S18" s="132"/>
      <c r="T18" s="132"/>
      <c r="U18" s="133"/>
      <c r="X18" s="1" t="s">
        <v>123</v>
      </c>
    </row>
    <row r="19" spans="1:24" ht="18" customHeight="1" x14ac:dyDescent="0.2">
      <c r="B19" s="131"/>
      <c r="C19" s="132"/>
      <c r="D19" s="132"/>
      <c r="E19" s="132"/>
      <c r="F19" s="132"/>
      <c r="G19" s="132"/>
      <c r="H19" s="132"/>
      <c r="I19" s="132"/>
      <c r="J19" s="132"/>
      <c r="K19" s="132"/>
      <c r="L19" s="132"/>
      <c r="M19" s="132"/>
      <c r="N19" s="132"/>
      <c r="O19" s="132"/>
      <c r="P19" s="132"/>
      <c r="Q19" s="132"/>
      <c r="R19" s="132"/>
      <c r="S19" s="132"/>
      <c r="T19" s="132"/>
      <c r="U19" s="133"/>
    </row>
    <row r="20" spans="1:24" ht="18" customHeight="1" x14ac:dyDescent="0.2">
      <c r="B20" s="134"/>
      <c r="C20" s="135"/>
      <c r="D20" s="135"/>
      <c r="E20" s="135"/>
      <c r="F20" s="135"/>
      <c r="G20" s="135"/>
      <c r="H20" s="135"/>
      <c r="I20" s="135"/>
      <c r="J20" s="135"/>
      <c r="K20" s="135"/>
      <c r="L20" s="135"/>
      <c r="M20" s="135"/>
      <c r="N20" s="135"/>
      <c r="O20" s="135"/>
      <c r="P20" s="135"/>
      <c r="Q20" s="135"/>
      <c r="R20" s="135"/>
      <c r="S20" s="135"/>
      <c r="T20" s="135"/>
      <c r="U20" s="136"/>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100000000000001" customHeight="1" x14ac:dyDescent="0.2">
      <c r="B22" s="1" t="s">
        <v>118</v>
      </c>
      <c r="E22" s="74">
        <v>2</v>
      </c>
      <c r="F22" s="1" t="s">
        <v>107</v>
      </c>
      <c r="H22" s="19">
        <v>2</v>
      </c>
      <c r="I22" s="3" t="s">
        <v>108</v>
      </c>
      <c r="J22" s="3"/>
      <c r="K22" s="18"/>
      <c r="M22" s="18" t="s">
        <v>104</v>
      </c>
      <c r="N22" s="137" t="s">
        <v>121</v>
      </c>
      <c r="O22" s="138"/>
      <c r="P22" s="138"/>
      <c r="Q22" s="138"/>
      <c r="R22" s="138"/>
      <c r="S22" s="138"/>
      <c r="T22" s="138"/>
      <c r="U22" s="139"/>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27" t="s">
        <v>96</v>
      </c>
      <c r="B24" s="127"/>
      <c r="C24" s="127"/>
      <c r="D24" s="127"/>
      <c r="E24" s="127"/>
      <c r="F24" s="127"/>
      <c r="G24" s="127"/>
      <c r="H24" s="127"/>
      <c r="I24" s="127"/>
      <c r="J24" s="127"/>
      <c r="K24" s="127"/>
      <c r="L24" s="127"/>
      <c r="M24" s="127"/>
      <c r="N24" s="127"/>
      <c r="O24" s="127"/>
      <c r="P24" s="127"/>
      <c r="Q24" s="127"/>
      <c r="R24" s="127"/>
      <c r="S24" s="127"/>
      <c r="T24" s="127"/>
      <c r="U24" s="127"/>
    </row>
    <row r="25" spans="1:24" ht="18" customHeight="1" x14ac:dyDescent="0.2">
      <c r="A25" s="127"/>
      <c r="B25" s="127"/>
      <c r="C25" s="127"/>
      <c r="D25" s="127"/>
      <c r="E25" s="127"/>
      <c r="F25" s="127"/>
      <c r="G25" s="127"/>
      <c r="H25" s="127"/>
      <c r="I25" s="127"/>
      <c r="J25" s="127"/>
      <c r="K25" s="127"/>
      <c r="L25" s="127"/>
      <c r="M25" s="127"/>
      <c r="N25" s="127"/>
      <c r="O25" s="127"/>
      <c r="P25" s="127"/>
      <c r="Q25" s="127"/>
      <c r="R25" s="127"/>
      <c r="S25" s="127"/>
      <c r="T25" s="127"/>
      <c r="U25" s="127"/>
    </row>
    <row r="26" spans="1:24" ht="18" customHeight="1" x14ac:dyDescent="0.2">
      <c r="B26" s="106" t="s">
        <v>48</v>
      </c>
      <c r="C26" s="107"/>
      <c r="D26" s="107"/>
      <c r="E26" s="107"/>
      <c r="F26" s="108"/>
      <c r="G26" s="58" t="s">
        <v>73</v>
      </c>
      <c r="H26" s="59" t="s">
        <v>76</v>
      </c>
      <c r="I26" s="60" t="s">
        <v>51</v>
      </c>
      <c r="J26" s="60" t="s">
        <v>54</v>
      </c>
      <c r="K26" s="106" t="s">
        <v>48</v>
      </c>
      <c r="L26" s="107"/>
      <c r="M26" s="107"/>
      <c r="N26" s="107"/>
      <c r="O26" s="107"/>
      <c r="P26" s="107"/>
      <c r="Q26" s="108"/>
      <c r="R26" s="58" t="s">
        <v>73</v>
      </c>
      <c r="S26" s="59" t="s">
        <v>76</v>
      </c>
      <c r="T26" s="60" t="s">
        <v>51</v>
      </c>
      <c r="U26" s="60" t="s">
        <v>54</v>
      </c>
    </row>
    <row r="27" spans="1:24" ht="18" customHeight="1" x14ac:dyDescent="0.2">
      <c r="B27" s="115" t="s">
        <v>143</v>
      </c>
      <c r="C27" s="116"/>
      <c r="D27" s="116"/>
      <c r="E27" s="116"/>
      <c r="F27" s="117"/>
      <c r="G27" s="61">
        <v>1</v>
      </c>
      <c r="H27" s="61" t="s">
        <v>144</v>
      </c>
      <c r="I27" s="61" t="s">
        <v>144</v>
      </c>
      <c r="J27" s="61" t="s">
        <v>144</v>
      </c>
      <c r="K27" s="115"/>
      <c r="L27" s="116"/>
      <c r="M27" s="116"/>
      <c r="N27" s="116"/>
      <c r="O27" s="116"/>
      <c r="P27" s="116"/>
      <c r="Q27" s="117"/>
      <c r="R27" s="61"/>
      <c r="S27" s="61"/>
      <c r="T27" s="61"/>
      <c r="U27" s="61"/>
    </row>
    <row r="28" spans="1:24" ht="18" customHeight="1" x14ac:dyDescent="0.2">
      <c r="B28" s="109"/>
      <c r="C28" s="110"/>
      <c r="D28" s="110"/>
      <c r="E28" s="110"/>
      <c r="F28" s="111"/>
      <c r="G28" s="62"/>
      <c r="H28" s="62"/>
      <c r="I28" s="62"/>
      <c r="J28" s="62"/>
      <c r="K28" s="109"/>
      <c r="L28" s="110"/>
      <c r="M28" s="110"/>
      <c r="N28" s="110"/>
      <c r="O28" s="110"/>
      <c r="P28" s="110"/>
      <c r="Q28" s="111"/>
      <c r="R28" s="62"/>
      <c r="S28" s="62"/>
      <c r="T28" s="62"/>
      <c r="U28" s="62"/>
    </row>
    <row r="29" spans="1:24" ht="18" customHeight="1" x14ac:dyDescent="0.2">
      <c r="B29" s="109"/>
      <c r="C29" s="110"/>
      <c r="D29" s="110"/>
      <c r="E29" s="110"/>
      <c r="F29" s="111"/>
      <c r="G29" s="62"/>
      <c r="H29" s="62"/>
      <c r="I29" s="62"/>
      <c r="J29" s="62"/>
      <c r="K29" s="109"/>
      <c r="L29" s="110"/>
      <c r="M29" s="110"/>
      <c r="N29" s="110"/>
      <c r="O29" s="110"/>
      <c r="P29" s="110"/>
      <c r="Q29" s="111"/>
      <c r="R29" s="62"/>
      <c r="S29" s="62"/>
      <c r="T29" s="62"/>
      <c r="U29" s="62"/>
    </row>
    <row r="30" spans="1:24" ht="18" customHeight="1" x14ac:dyDescent="0.2">
      <c r="B30" s="109"/>
      <c r="C30" s="110"/>
      <c r="D30" s="110"/>
      <c r="E30" s="110"/>
      <c r="F30" s="111"/>
      <c r="G30" s="62"/>
      <c r="H30" s="62"/>
      <c r="I30" s="62"/>
      <c r="J30" s="62"/>
      <c r="K30" s="109"/>
      <c r="L30" s="110"/>
      <c r="M30" s="110"/>
      <c r="N30" s="110"/>
      <c r="O30" s="110"/>
      <c r="P30" s="110"/>
      <c r="Q30" s="111"/>
      <c r="R30" s="62"/>
      <c r="S30" s="62"/>
      <c r="T30" s="62"/>
      <c r="U30" s="62"/>
    </row>
    <row r="31" spans="1:24" ht="18" customHeight="1" x14ac:dyDescent="0.2">
      <c r="B31" s="109"/>
      <c r="C31" s="110"/>
      <c r="D31" s="110"/>
      <c r="E31" s="110"/>
      <c r="F31" s="111"/>
      <c r="G31" s="62"/>
      <c r="H31" s="62"/>
      <c r="I31" s="62"/>
      <c r="J31" s="62"/>
      <c r="K31" s="109"/>
      <c r="L31" s="110"/>
      <c r="M31" s="110"/>
      <c r="N31" s="110"/>
      <c r="O31" s="110"/>
      <c r="P31" s="110"/>
      <c r="Q31" s="111"/>
      <c r="R31" s="62"/>
      <c r="S31" s="62"/>
      <c r="T31" s="62"/>
      <c r="U31" s="62"/>
    </row>
    <row r="32" spans="1:24" ht="18" customHeight="1" x14ac:dyDescent="0.2">
      <c r="A32" s="3"/>
      <c r="B32" s="109"/>
      <c r="C32" s="110"/>
      <c r="D32" s="110"/>
      <c r="E32" s="110"/>
      <c r="F32" s="111"/>
      <c r="G32" s="62"/>
      <c r="H32" s="62"/>
      <c r="I32" s="62"/>
      <c r="J32" s="62"/>
      <c r="K32" s="109"/>
      <c r="L32" s="110"/>
      <c r="M32" s="110"/>
      <c r="N32" s="110"/>
      <c r="O32" s="110"/>
      <c r="P32" s="110"/>
      <c r="Q32" s="111"/>
      <c r="R32" s="62"/>
      <c r="S32" s="62"/>
      <c r="T32" s="62"/>
      <c r="U32" s="62"/>
    </row>
    <row r="33" spans="1:21" ht="18" customHeight="1" x14ac:dyDescent="0.2">
      <c r="A33" s="3"/>
      <c r="B33" s="98"/>
      <c r="C33" s="99"/>
      <c r="D33" s="99"/>
      <c r="E33" s="99"/>
      <c r="F33" s="100"/>
      <c r="G33" s="63"/>
      <c r="H33" s="63"/>
      <c r="I33" s="64"/>
      <c r="J33" s="64"/>
      <c r="K33" s="98"/>
      <c r="L33" s="99"/>
      <c r="M33" s="99"/>
      <c r="N33" s="99"/>
      <c r="O33" s="99"/>
      <c r="P33" s="99"/>
      <c r="Q33" s="100"/>
      <c r="R33" s="63"/>
      <c r="S33" s="63"/>
      <c r="T33" s="64"/>
      <c r="U33" s="64"/>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7" t="s">
        <v>97</v>
      </c>
      <c r="B35" s="127"/>
      <c r="C35" s="127"/>
      <c r="D35" s="127"/>
      <c r="E35" s="127"/>
      <c r="F35" s="127"/>
      <c r="G35" s="127"/>
      <c r="H35" s="127"/>
      <c r="I35" s="127"/>
      <c r="J35" s="127"/>
      <c r="K35" s="127"/>
      <c r="L35" s="127"/>
      <c r="M35" s="127"/>
      <c r="N35" s="127"/>
      <c r="O35" s="127"/>
      <c r="P35" s="127"/>
      <c r="Q35" s="127"/>
      <c r="R35" s="127"/>
      <c r="S35" s="127"/>
      <c r="T35" s="127"/>
      <c r="U35" s="127"/>
    </row>
    <row r="36" spans="1:21" ht="18" customHeight="1" x14ac:dyDescent="0.2">
      <c r="A36" s="127"/>
      <c r="B36" s="127"/>
      <c r="C36" s="127"/>
      <c r="D36" s="127"/>
      <c r="E36" s="127"/>
      <c r="F36" s="127"/>
      <c r="G36" s="127"/>
      <c r="H36" s="127"/>
      <c r="I36" s="127"/>
      <c r="J36" s="127"/>
      <c r="K36" s="127"/>
      <c r="L36" s="127"/>
      <c r="M36" s="127"/>
      <c r="N36" s="127"/>
      <c r="O36" s="127"/>
      <c r="P36" s="127"/>
      <c r="Q36" s="127"/>
      <c r="R36" s="127"/>
      <c r="S36" s="127"/>
      <c r="T36" s="127"/>
      <c r="U36" s="127"/>
    </row>
    <row r="37" spans="1:21" ht="18" customHeight="1" x14ac:dyDescent="0.2">
      <c r="B37" s="106" t="s">
        <v>48</v>
      </c>
      <c r="C37" s="107"/>
      <c r="D37" s="107"/>
      <c r="E37" s="107"/>
      <c r="F37" s="108"/>
      <c r="G37" s="58" t="s">
        <v>73</v>
      </c>
      <c r="H37" s="59" t="s">
        <v>76</v>
      </c>
      <c r="I37" s="60" t="s">
        <v>64</v>
      </c>
      <c r="J37" s="60" t="s">
        <v>65</v>
      </c>
      <c r="K37" s="106" t="s">
        <v>48</v>
      </c>
      <c r="L37" s="107"/>
      <c r="M37" s="107"/>
      <c r="N37" s="107"/>
      <c r="O37" s="107"/>
      <c r="P37" s="107"/>
      <c r="Q37" s="108"/>
      <c r="R37" s="58" t="s">
        <v>73</v>
      </c>
      <c r="S37" s="59" t="s">
        <v>76</v>
      </c>
      <c r="T37" s="60" t="s">
        <v>64</v>
      </c>
      <c r="U37" s="60" t="s">
        <v>65</v>
      </c>
    </row>
    <row r="38" spans="1:21" ht="18" customHeight="1" x14ac:dyDescent="0.2">
      <c r="B38" s="115" t="s">
        <v>143</v>
      </c>
      <c r="C38" s="116"/>
      <c r="D38" s="116"/>
      <c r="E38" s="116"/>
      <c r="F38" s="117"/>
      <c r="G38" s="61">
        <v>1</v>
      </c>
      <c r="H38" s="61" t="s">
        <v>144</v>
      </c>
      <c r="I38" s="61" t="s">
        <v>144</v>
      </c>
      <c r="J38" s="61" t="s">
        <v>144</v>
      </c>
      <c r="K38" s="115"/>
      <c r="L38" s="116"/>
      <c r="M38" s="116"/>
      <c r="N38" s="116"/>
      <c r="O38" s="116"/>
      <c r="P38" s="116"/>
      <c r="Q38" s="117"/>
      <c r="R38" s="61"/>
      <c r="S38" s="61"/>
      <c r="T38" s="61"/>
      <c r="U38" s="61"/>
    </row>
    <row r="39" spans="1:21" ht="18" customHeight="1" x14ac:dyDescent="0.2">
      <c r="B39" s="109"/>
      <c r="C39" s="110"/>
      <c r="D39" s="110"/>
      <c r="E39" s="110"/>
      <c r="F39" s="111"/>
      <c r="G39" s="62"/>
      <c r="H39" s="62"/>
      <c r="I39" s="62"/>
      <c r="J39" s="62"/>
      <c r="K39" s="109"/>
      <c r="L39" s="110"/>
      <c r="M39" s="110"/>
      <c r="N39" s="110"/>
      <c r="O39" s="110"/>
      <c r="P39" s="110"/>
      <c r="Q39" s="111"/>
      <c r="R39" s="62"/>
      <c r="S39" s="62"/>
      <c r="T39" s="62"/>
      <c r="U39" s="62"/>
    </row>
    <row r="40" spans="1:21" ht="18" customHeight="1" x14ac:dyDescent="0.2">
      <c r="B40" s="109"/>
      <c r="C40" s="110"/>
      <c r="D40" s="110"/>
      <c r="E40" s="110"/>
      <c r="F40" s="111"/>
      <c r="G40" s="62"/>
      <c r="H40" s="62"/>
      <c r="I40" s="62"/>
      <c r="J40" s="62"/>
      <c r="K40" s="109"/>
      <c r="L40" s="110"/>
      <c r="M40" s="110"/>
      <c r="N40" s="110"/>
      <c r="O40" s="110"/>
      <c r="P40" s="110"/>
      <c r="Q40" s="111"/>
      <c r="R40" s="62"/>
      <c r="S40" s="62"/>
      <c r="T40" s="62"/>
      <c r="U40" s="62"/>
    </row>
    <row r="41" spans="1:21" ht="18" customHeight="1" x14ac:dyDescent="0.2">
      <c r="B41" s="109"/>
      <c r="C41" s="110"/>
      <c r="D41" s="110"/>
      <c r="E41" s="110"/>
      <c r="F41" s="111"/>
      <c r="G41" s="62"/>
      <c r="H41" s="62"/>
      <c r="I41" s="62"/>
      <c r="J41" s="62"/>
      <c r="K41" s="109"/>
      <c r="L41" s="110"/>
      <c r="M41" s="110"/>
      <c r="N41" s="110"/>
      <c r="O41" s="110"/>
      <c r="P41" s="110"/>
      <c r="Q41" s="111"/>
      <c r="R41" s="62"/>
      <c r="S41" s="62"/>
      <c r="T41" s="62"/>
      <c r="U41" s="62"/>
    </row>
    <row r="42" spans="1:21" ht="18" customHeight="1" x14ac:dyDescent="0.2">
      <c r="B42" s="109"/>
      <c r="C42" s="110"/>
      <c r="D42" s="110"/>
      <c r="E42" s="110"/>
      <c r="F42" s="111"/>
      <c r="G42" s="62"/>
      <c r="H42" s="62"/>
      <c r="I42" s="62"/>
      <c r="J42" s="62"/>
      <c r="K42" s="109"/>
      <c r="L42" s="110"/>
      <c r="M42" s="110"/>
      <c r="N42" s="110"/>
      <c r="O42" s="110"/>
      <c r="P42" s="110"/>
      <c r="Q42" s="111"/>
      <c r="R42" s="62"/>
      <c r="S42" s="62"/>
      <c r="T42" s="62"/>
      <c r="U42" s="62"/>
    </row>
    <row r="43" spans="1:21" ht="18" customHeight="1" x14ac:dyDescent="0.2">
      <c r="B43" s="109"/>
      <c r="C43" s="110"/>
      <c r="D43" s="110"/>
      <c r="E43" s="110"/>
      <c r="F43" s="111"/>
      <c r="G43" s="62"/>
      <c r="H43" s="62"/>
      <c r="I43" s="62"/>
      <c r="J43" s="62"/>
      <c r="K43" s="109"/>
      <c r="L43" s="110"/>
      <c r="M43" s="110"/>
      <c r="N43" s="110"/>
      <c r="O43" s="110"/>
      <c r="P43" s="110"/>
      <c r="Q43" s="111"/>
      <c r="R43" s="62"/>
      <c r="S43" s="62"/>
      <c r="T43" s="62"/>
      <c r="U43" s="62"/>
    </row>
    <row r="44" spans="1:21" ht="18" customHeight="1" x14ac:dyDescent="0.2">
      <c r="B44" s="98"/>
      <c r="C44" s="99"/>
      <c r="D44" s="99"/>
      <c r="E44" s="99"/>
      <c r="F44" s="100"/>
      <c r="G44" s="63"/>
      <c r="H44" s="63"/>
      <c r="I44" s="64"/>
      <c r="J44" s="64"/>
      <c r="K44" s="98"/>
      <c r="L44" s="99"/>
      <c r="M44" s="99"/>
      <c r="N44" s="99"/>
      <c r="O44" s="99"/>
      <c r="P44" s="99"/>
      <c r="Q44" s="100"/>
      <c r="R44" s="63"/>
      <c r="S44" s="63"/>
      <c r="T44" s="64"/>
      <c r="U44" s="64"/>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7" t="s">
        <v>98</v>
      </c>
      <c r="B46" s="127"/>
      <c r="C46" s="127"/>
      <c r="D46" s="127"/>
      <c r="E46" s="127"/>
      <c r="F46" s="127"/>
      <c r="G46" s="127"/>
      <c r="H46" s="127"/>
      <c r="I46" s="127"/>
      <c r="J46" s="127"/>
      <c r="K46" s="127"/>
      <c r="L46" s="127"/>
      <c r="M46" s="127"/>
      <c r="N46" s="127"/>
      <c r="O46" s="127"/>
      <c r="P46" s="127"/>
      <c r="Q46" s="127"/>
      <c r="R46" s="127"/>
      <c r="S46" s="127"/>
      <c r="T46" s="127"/>
      <c r="U46" s="127"/>
    </row>
    <row r="47" spans="1:21" ht="18" customHeight="1" x14ac:dyDescent="0.2">
      <c r="A47" s="127"/>
      <c r="B47" s="127"/>
      <c r="C47" s="127"/>
      <c r="D47" s="127"/>
      <c r="E47" s="127"/>
      <c r="F47" s="127"/>
      <c r="G47" s="127"/>
      <c r="H47" s="127"/>
      <c r="I47" s="127"/>
      <c r="J47" s="127"/>
      <c r="K47" s="127"/>
      <c r="L47" s="127"/>
      <c r="M47" s="127"/>
      <c r="N47" s="127"/>
      <c r="O47" s="127"/>
      <c r="P47" s="127"/>
      <c r="Q47" s="127"/>
      <c r="R47" s="127"/>
      <c r="S47" s="127"/>
      <c r="T47" s="127"/>
      <c r="U47" s="127"/>
    </row>
    <row r="48" spans="1:21" ht="18" customHeight="1" x14ac:dyDescent="0.2">
      <c r="B48" s="106" t="s">
        <v>48</v>
      </c>
      <c r="C48" s="107"/>
      <c r="D48" s="107"/>
      <c r="E48" s="107"/>
      <c r="F48" s="108"/>
      <c r="G48" s="58" t="s">
        <v>73</v>
      </c>
      <c r="H48" s="59" t="s">
        <v>76</v>
      </c>
      <c r="I48" s="60" t="s">
        <v>66</v>
      </c>
      <c r="J48" s="60" t="s">
        <v>67</v>
      </c>
      <c r="K48" s="106" t="s">
        <v>48</v>
      </c>
      <c r="L48" s="107"/>
      <c r="M48" s="107"/>
      <c r="N48" s="107"/>
      <c r="O48" s="107"/>
      <c r="P48" s="107"/>
      <c r="Q48" s="108"/>
      <c r="R48" s="58" t="s">
        <v>73</v>
      </c>
      <c r="S48" s="59" t="s">
        <v>76</v>
      </c>
      <c r="T48" s="60" t="s">
        <v>66</v>
      </c>
      <c r="U48" s="60" t="s">
        <v>67</v>
      </c>
    </row>
    <row r="49" spans="1:21" ht="18" customHeight="1" x14ac:dyDescent="0.2">
      <c r="A49" s="3"/>
      <c r="B49" s="115" t="s">
        <v>143</v>
      </c>
      <c r="C49" s="116"/>
      <c r="D49" s="116"/>
      <c r="E49" s="116"/>
      <c r="F49" s="117"/>
      <c r="G49" s="61">
        <v>1</v>
      </c>
      <c r="H49" s="61" t="s">
        <v>144</v>
      </c>
      <c r="I49" s="61" t="s">
        <v>144</v>
      </c>
      <c r="J49" s="61" t="s">
        <v>144</v>
      </c>
      <c r="K49" s="115"/>
      <c r="L49" s="116"/>
      <c r="M49" s="116"/>
      <c r="N49" s="116"/>
      <c r="O49" s="116"/>
      <c r="P49" s="116"/>
      <c r="Q49" s="117"/>
      <c r="R49" s="61"/>
      <c r="S49" s="61"/>
      <c r="T49" s="61"/>
      <c r="U49" s="61"/>
    </row>
    <row r="50" spans="1:21" ht="18" customHeight="1" x14ac:dyDescent="0.2">
      <c r="A50" s="3"/>
      <c r="B50" s="109"/>
      <c r="C50" s="110"/>
      <c r="D50" s="110"/>
      <c r="E50" s="110"/>
      <c r="F50" s="111"/>
      <c r="G50" s="62"/>
      <c r="H50" s="62"/>
      <c r="I50" s="62"/>
      <c r="J50" s="62"/>
      <c r="K50" s="109"/>
      <c r="L50" s="110"/>
      <c r="M50" s="110"/>
      <c r="N50" s="110"/>
      <c r="O50" s="110"/>
      <c r="P50" s="110"/>
      <c r="Q50" s="111"/>
      <c r="R50" s="62"/>
      <c r="S50" s="62"/>
      <c r="T50" s="62"/>
      <c r="U50" s="62"/>
    </row>
    <row r="51" spans="1:21" ht="18" customHeight="1" x14ac:dyDescent="0.2">
      <c r="A51" s="3"/>
      <c r="B51" s="109"/>
      <c r="C51" s="110"/>
      <c r="D51" s="110"/>
      <c r="E51" s="110"/>
      <c r="F51" s="111"/>
      <c r="G51" s="62"/>
      <c r="H51" s="62"/>
      <c r="I51" s="62"/>
      <c r="J51" s="62"/>
      <c r="K51" s="109"/>
      <c r="L51" s="110"/>
      <c r="M51" s="110"/>
      <c r="N51" s="110"/>
      <c r="O51" s="110"/>
      <c r="P51" s="110"/>
      <c r="Q51" s="111"/>
      <c r="R51" s="62"/>
      <c r="S51" s="62"/>
      <c r="T51" s="62"/>
      <c r="U51" s="62"/>
    </row>
    <row r="52" spans="1:21" ht="18" customHeight="1" x14ac:dyDescent="0.2">
      <c r="A52" s="3"/>
      <c r="B52" s="109"/>
      <c r="C52" s="110"/>
      <c r="D52" s="110"/>
      <c r="E52" s="110"/>
      <c r="F52" s="111"/>
      <c r="G52" s="62"/>
      <c r="H52" s="62"/>
      <c r="I52" s="62"/>
      <c r="J52" s="62"/>
      <c r="K52" s="109"/>
      <c r="L52" s="110"/>
      <c r="M52" s="110"/>
      <c r="N52" s="110"/>
      <c r="O52" s="110"/>
      <c r="P52" s="110"/>
      <c r="Q52" s="111"/>
      <c r="R52" s="62"/>
      <c r="S52" s="62"/>
      <c r="T52" s="62"/>
      <c r="U52" s="62"/>
    </row>
    <row r="53" spans="1:21" ht="18" customHeight="1" x14ac:dyDescent="0.2">
      <c r="A53" s="3"/>
      <c r="B53" s="109"/>
      <c r="C53" s="110"/>
      <c r="D53" s="110"/>
      <c r="E53" s="110"/>
      <c r="F53" s="111"/>
      <c r="G53" s="62"/>
      <c r="H53" s="62"/>
      <c r="I53" s="62"/>
      <c r="J53" s="62"/>
      <c r="K53" s="109"/>
      <c r="L53" s="110"/>
      <c r="M53" s="110"/>
      <c r="N53" s="110"/>
      <c r="O53" s="110"/>
      <c r="P53" s="110"/>
      <c r="Q53" s="111"/>
      <c r="R53" s="62"/>
      <c r="S53" s="62"/>
      <c r="T53" s="62"/>
      <c r="U53" s="62"/>
    </row>
    <row r="54" spans="1:21" ht="18" customHeight="1" x14ac:dyDescent="0.2">
      <c r="A54" s="3"/>
      <c r="B54" s="109"/>
      <c r="C54" s="110"/>
      <c r="D54" s="110"/>
      <c r="E54" s="110"/>
      <c r="F54" s="111"/>
      <c r="G54" s="62"/>
      <c r="H54" s="62"/>
      <c r="I54" s="62"/>
      <c r="J54" s="62"/>
      <c r="K54" s="109"/>
      <c r="L54" s="110"/>
      <c r="M54" s="110"/>
      <c r="N54" s="110"/>
      <c r="O54" s="110"/>
      <c r="P54" s="110"/>
      <c r="Q54" s="111"/>
      <c r="R54" s="62"/>
      <c r="S54" s="62"/>
      <c r="T54" s="62"/>
      <c r="U54" s="62"/>
    </row>
    <row r="55" spans="1:21" ht="18" customHeight="1" x14ac:dyDescent="0.2">
      <c r="A55" s="3"/>
      <c r="B55" s="98"/>
      <c r="C55" s="99"/>
      <c r="D55" s="99"/>
      <c r="E55" s="99"/>
      <c r="F55" s="100"/>
      <c r="G55" s="63"/>
      <c r="H55" s="63"/>
      <c r="I55" s="64"/>
      <c r="J55" s="64"/>
      <c r="K55" s="98"/>
      <c r="L55" s="99"/>
      <c r="M55" s="99"/>
      <c r="N55" s="99"/>
      <c r="O55" s="99"/>
      <c r="P55" s="99"/>
      <c r="Q55" s="100"/>
      <c r="R55" s="63"/>
      <c r="S55" s="63"/>
      <c r="T55" s="64"/>
      <c r="U55" s="64"/>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7" t="s">
        <v>99</v>
      </c>
      <c r="B57" s="127"/>
      <c r="C57" s="127"/>
      <c r="D57" s="127"/>
      <c r="E57" s="127"/>
      <c r="F57" s="127"/>
      <c r="G57" s="127"/>
      <c r="H57" s="127"/>
      <c r="I57" s="127"/>
      <c r="J57" s="127"/>
      <c r="K57" s="127"/>
      <c r="L57" s="127"/>
      <c r="M57" s="127"/>
      <c r="N57" s="127"/>
      <c r="O57" s="127"/>
      <c r="P57" s="127"/>
      <c r="Q57" s="127"/>
      <c r="R57" s="127"/>
      <c r="S57" s="127"/>
      <c r="T57" s="127"/>
      <c r="U57" s="127"/>
    </row>
    <row r="58" spans="1:21" ht="18" customHeight="1" x14ac:dyDescent="0.2">
      <c r="A58" s="127"/>
      <c r="B58" s="127"/>
      <c r="C58" s="127"/>
      <c r="D58" s="127"/>
      <c r="E58" s="127"/>
      <c r="F58" s="127"/>
      <c r="G58" s="127"/>
      <c r="H58" s="127"/>
      <c r="I58" s="127"/>
      <c r="J58" s="127"/>
      <c r="K58" s="127"/>
      <c r="L58" s="127"/>
      <c r="M58" s="127"/>
      <c r="N58" s="127"/>
      <c r="O58" s="127"/>
      <c r="P58" s="127"/>
      <c r="Q58" s="127"/>
      <c r="R58" s="127"/>
      <c r="S58" s="127"/>
      <c r="T58" s="127"/>
      <c r="U58" s="127"/>
    </row>
    <row r="59" spans="1:21" ht="18" customHeight="1" x14ac:dyDescent="0.2">
      <c r="B59" s="106" t="s">
        <v>48</v>
      </c>
      <c r="C59" s="107"/>
      <c r="D59" s="107"/>
      <c r="E59" s="107"/>
      <c r="F59" s="108"/>
      <c r="G59" s="58" t="s">
        <v>73</v>
      </c>
      <c r="H59" s="59" t="s">
        <v>76</v>
      </c>
      <c r="I59" s="60" t="s">
        <v>53</v>
      </c>
      <c r="J59" s="60" t="s">
        <v>55</v>
      </c>
      <c r="K59" s="106" t="s">
        <v>48</v>
      </c>
      <c r="L59" s="107"/>
      <c r="M59" s="107"/>
      <c r="N59" s="107"/>
      <c r="O59" s="107"/>
      <c r="P59" s="107"/>
      <c r="Q59" s="108"/>
      <c r="R59" s="58" t="s">
        <v>73</v>
      </c>
      <c r="S59" s="59" t="s">
        <v>76</v>
      </c>
      <c r="T59" s="60" t="s">
        <v>53</v>
      </c>
      <c r="U59" s="60" t="s">
        <v>55</v>
      </c>
    </row>
    <row r="60" spans="1:21" ht="18" customHeight="1" x14ac:dyDescent="0.2">
      <c r="A60" s="3"/>
      <c r="B60" s="115" t="s">
        <v>143</v>
      </c>
      <c r="C60" s="116"/>
      <c r="D60" s="116"/>
      <c r="E60" s="116"/>
      <c r="F60" s="117"/>
      <c r="G60" s="61">
        <v>1</v>
      </c>
      <c r="H60" s="61" t="s">
        <v>144</v>
      </c>
      <c r="I60" s="61" t="s">
        <v>144</v>
      </c>
      <c r="J60" s="61" t="s">
        <v>144</v>
      </c>
      <c r="K60" s="115"/>
      <c r="L60" s="116"/>
      <c r="M60" s="116"/>
      <c r="N60" s="116"/>
      <c r="O60" s="116"/>
      <c r="P60" s="116"/>
      <c r="Q60" s="117"/>
      <c r="R60" s="61"/>
      <c r="S60" s="61"/>
      <c r="T60" s="61"/>
      <c r="U60" s="61"/>
    </row>
    <row r="61" spans="1:21" ht="18" customHeight="1" x14ac:dyDescent="0.2">
      <c r="A61" s="3"/>
      <c r="B61" s="109"/>
      <c r="C61" s="110"/>
      <c r="D61" s="110"/>
      <c r="E61" s="110"/>
      <c r="F61" s="111"/>
      <c r="G61" s="62"/>
      <c r="H61" s="62"/>
      <c r="I61" s="62"/>
      <c r="J61" s="62"/>
      <c r="K61" s="109"/>
      <c r="L61" s="110"/>
      <c r="M61" s="110"/>
      <c r="N61" s="110"/>
      <c r="O61" s="110"/>
      <c r="P61" s="110"/>
      <c r="Q61" s="111"/>
      <c r="R61" s="62"/>
      <c r="S61" s="62"/>
      <c r="T61" s="62"/>
      <c r="U61" s="62"/>
    </row>
    <row r="62" spans="1:21" ht="18" customHeight="1" x14ac:dyDescent="0.2">
      <c r="A62" s="3"/>
      <c r="B62" s="109"/>
      <c r="C62" s="110"/>
      <c r="D62" s="110"/>
      <c r="E62" s="110"/>
      <c r="F62" s="111"/>
      <c r="G62" s="62"/>
      <c r="H62" s="62"/>
      <c r="I62" s="62"/>
      <c r="J62" s="62"/>
      <c r="K62" s="109"/>
      <c r="L62" s="110"/>
      <c r="M62" s="110"/>
      <c r="N62" s="110"/>
      <c r="O62" s="110"/>
      <c r="P62" s="110"/>
      <c r="Q62" s="111"/>
      <c r="R62" s="62"/>
      <c r="S62" s="62"/>
      <c r="T62" s="62"/>
      <c r="U62" s="62"/>
    </row>
    <row r="63" spans="1:21" ht="18" customHeight="1" x14ac:dyDescent="0.2">
      <c r="A63" s="3"/>
      <c r="B63" s="109"/>
      <c r="C63" s="110"/>
      <c r="D63" s="110"/>
      <c r="E63" s="110"/>
      <c r="F63" s="111"/>
      <c r="G63" s="62"/>
      <c r="H63" s="62"/>
      <c r="I63" s="62"/>
      <c r="J63" s="62"/>
      <c r="K63" s="109"/>
      <c r="L63" s="110"/>
      <c r="M63" s="110"/>
      <c r="N63" s="110"/>
      <c r="O63" s="110"/>
      <c r="P63" s="110"/>
      <c r="Q63" s="111"/>
      <c r="R63" s="62"/>
      <c r="S63" s="62"/>
      <c r="T63" s="62"/>
      <c r="U63" s="62"/>
    </row>
    <row r="64" spans="1:21" ht="18" customHeight="1" x14ac:dyDescent="0.2">
      <c r="A64" s="3"/>
      <c r="B64" s="109"/>
      <c r="C64" s="110"/>
      <c r="D64" s="110"/>
      <c r="E64" s="110"/>
      <c r="F64" s="111"/>
      <c r="G64" s="62"/>
      <c r="H64" s="62"/>
      <c r="I64" s="62"/>
      <c r="J64" s="62"/>
      <c r="K64" s="109"/>
      <c r="L64" s="110"/>
      <c r="M64" s="110"/>
      <c r="N64" s="110"/>
      <c r="O64" s="110"/>
      <c r="P64" s="110"/>
      <c r="Q64" s="111"/>
      <c r="R64" s="62"/>
      <c r="S64" s="62"/>
      <c r="T64" s="62"/>
      <c r="U64" s="62"/>
    </row>
    <row r="65" spans="1:27" ht="18" customHeight="1" x14ac:dyDescent="0.2">
      <c r="A65" s="3"/>
      <c r="B65" s="109"/>
      <c r="C65" s="110"/>
      <c r="D65" s="110"/>
      <c r="E65" s="110"/>
      <c r="F65" s="111"/>
      <c r="G65" s="62"/>
      <c r="H65" s="62"/>
      <c r="I65" s="62"/>
      <c r="J65" s="62"/>
      <c r="K65" s="109"/>
      <c r="L65" s="110"/>
      <c r="M65" s="110"/>
      <c r="N65" s="110"/>
      <c r="O65" s="110"/>
      <c r="P65" s="110"/>
      <c r="Q65" s="111"/>
      <c r="R65" s="62"/>
      <c r="S65" s="62"/>
      <c r="T65" s="62"/>
      <c r="U65" s="62"/>
    </row>
    <row r="66" spans="1:27" ht="18" customHeight="1" x14ac:dyDescent="0.2">
      <c r="A66" s="3"/>
      <c r="B66" s="98"/>
      <c r="C66" s="99"/>
      <c r="D66" s="99"/>
      <c r="E66" s="99"/>
      <c r="F66" s="100"/>
      <c r="G66" s="63"/>
      <c r="H66" s="63"/>
      <c r="I66" s="64"/>
      <c r="J66" s="64"/>
      <c r="K66" s="98"/>
      <c r="L66" s="99"/>
      <c r="M66" s="99"/>
      <c r="N66" s="99"/>
      <c r="O66" s="99"/>
      <c r="P66" s="99"/>
      <c r="Q66" s="100"/>
      <c r="R66" s="63"/>
      <c r="S66" s="63"/>
      <c r="T66" s="64"/>
      <c r="U66" s="64"/>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127" t="s">
        <v>100</v>
      </c>
      <c r="B68" s="127"/>
      <c r="C68" s="127"/>
      <c r="D68" s="127"/>
      <c r="E68" s="127"/>
      <c r="F68" s="127"/>
      <c r="G68" s="127"/>
      <c r="H68" s="127"/>
      <c r="I68" s="127"/>
      <c r="J68" s="127"/>
      <c r="K68" s="127"/>
      <c r="L68" s="127"/>
      <c r="M68" s="127"/>
      <c r="N68" s="127"/>
      <c r="O68" s="127"/>
      <c r="P68" s="127"/>
      <c r="Q68" s="127"/>
      <c r="R68" s="127"/>
      <c r="S68" s="127"/>
      <c r="T68" s="127"/>
      <c r="U68" s="127"/>
    </row>
    <row r="69" spans="1:27" ht="18" customHeight="1" x14ac:dyDescent="0.2">
      <c r="A69" s="127"/>
      <c r="B69" s="127"/>
      <c r="C69" s="127"/>
      <c r="D69" s="127"/>
      <c r="E69" s="127"/>
      <c r="F69" s="127"/>
      <c r="G69" s="127"/>
      <c r="H69" s="127"/>
      <c r="I69" s="127"/>
      <c r="J69" s="127"/>
      <c r="K69" s="127"/>
      <c r="L69" s="127"/>
      <c r="M69" s="127"/>
      <c r="N69" s="127"/>
      <c r="O69" s="127"/>
      <c r="P69" s="127"/>
      <c r="Q69" s="127"/>
      <c r="R69" s="127"/>
      <c r="S69" s="127"/>
      <c r="T69" s="127"/>
      <c r="U69" s="127"/>
    </row>
    <row r="70" spans="1:27" ht="18" customHeight="1" x14ac:dyDescent="0.2">
      <c r="B70" s="106" t="s">
        <v>48</v>
      </c>
      <c r="C70" s="107"/>
      <c r="D70" s="107"/>
      <c r="E70" s="107"/>
      <c r="F70" s="58" t="s">
        <v>73</v>
      </c>
      <c r="G70" s="59" t="s">
        <v>76</v>
      </c>
      <c r="H70" s="60" t="s">
        <v>87</v>
      </c>
      <c r="I70" s="60" t="s">
        <v>68</v>
      </c>
      <c r="J70" s="60" t="s">
        <v>69</v>
      </c>
      <c r="K70" s="106" t="s">
        <v>48</v>
      </c>
      <c r="L70" s="107"/>
      <c r="M70" s="107"/>
      <c r="N70" s="107"/>
      <c r="O70" s="107"/>
      <c r="P70" s="108"/>
      <c r="Q70" s="58" t="s">
        <v>73</v>
      </c>
      <c r="R70" s="59" t="s">
        <v>76</v>
      </c>
      <c r="S70" s="60" t="s">
        <v>87</v>
      </c>
      <c r="T70" s="60" t="s">
        <v>68</v>
      </c>
      <c r="U70" s="60" t="s">
        <v>69</v>
      </c>
    </row>
    <row r="71" spans="1:27" ht="18" customHeight="1" x14ac:dyDescent="0.2">
      <c r="A71" s="3"/>
      <c r="B71" s="118" t="s">
        <v>143</v>
      </c>
      <c r="C71" s="119"/>
      <c r="D71" s="119"/>
      <c r="E71" s="120"/>
      <c r="F71" s="82">
        <v>1</v>
      </c>
      <c r="G71" s="61" t="s">
        <v>144</v>
      </c>
      <c r="H71" s="61" t="s">
        <v>144</v>
      </c>
      <c r="I71" s="62"/>
      <c r="J71" s="61"/>
      <c r="K71" s="115"/>
      <c r="L71" s="116"/>
      <c r="M71" s="116"/>
      <c r="N71" s="116"/>
      <c r="O71" s="116"/>
      <c r="P71" s="117"/>
      <c r="Q71" s="61"/>
      <c r="R71" s="61"/>
      <c r="S71" s="61"/>
      <c r="T71" s="61"/>
      <c r="U71" s="61"/>
    </row>
    <row r="72" spans="1:27" ht="18" customHeight="1" x14ac:dyDescent="0.2">
      <c r="A72" s="3"/>
      <c r="B72" s="109" t="s">
        <v>173</v>
      </c>
      <c r="C72" s="110"/>
      <c r="D72" s="110"/>
      <c r="E72" s="110"/>
      <c r="F72" s="82">
        <v>1</v>
      </c>
      <c r="G72" s="61" t="s">
        <v>144</v>
      </c>
      <c r="H72" s="61" t="s">
        <v>144</v>
      </c>
      <c r="I72" s="61" t="s">
        <v>144</v>
      </c>
      <c r="J72" s="61" t="s">
        <v>144</v>
      </c>
      <c r="K72" s="109"/>
      <c r="L72" s="110"/>
      <c r="M72" s="110"/>
      <c r="N72" s="110"/>
      <c r="O72" s="110"/>
      <c r="P72" s="111"/>
      <c r="Q72" s="62"/>
      <c r="R72" s="62"/>
      <c r="S72" s="62"/>
      <c r="T72" s="62"/>
      <c r="U72" s="62"/>
    </row>
    <row r="73" spans="1:27" ht="18" customHeight="1" x14ac:dyDescent="0.2">
      <c r="A73" s="3"/>
      <c r="B73" s="109"/>
      <c r="C73" s="110"/>
      <c r="D73" s="110"/>
      <c r="E73" s="110"/>
      <c r="F73" s="62"/>
      <c r="G73" s="62"/>
      <c r="H73" s="62"/>
      <c r="I73" s="62"/>
      <c r="J73" s="62"/>
      <c r="K73" s="109"/>
      <c r="L73" s="110"/>
      <c r="M73" s="110"/>
      <c r="N73" s="110"/>
      <c r="O73" s="110"/>
      <c r="P73" s="111"/>
      <c r="Q73" s="62"/>
      <c r="R73" s="62"/>
      <c r="S73" s="62"/>
      <c r="T73" s="62"/>
      <c r="U73" s="62"/>
    </row>
    <row r="74" spans="1:27" ht="18" customHeight="1" x14ac:dyDescent="0.2">
      <c r="A74" s="3"/>
      <c r="B74" s="109"/>
      <c r="C74" s="110"/>
      <c r="D74" s="110"/>
      <c r="E74" s="110"/>
      <c r="F74" s="62"/>
      <c r="G74" s="62"/>
      <c r="H74" s="62"/>
      <c r="I74" s="62"/>
      <c r="J74" s="62"/>
      <c r="K74" s="109"/>
      <c r="L74" s="110"/>
      <c r="M74" s="110"/>
      <c r="N74" s="110"/>
      <c r="O74" s="110"/>
      <c r="P74" s="111"/>
      <c r="Q74" s="62"/>
      <c r="R74" s="62"/>
      <c r="S74" s="62"/>
      <c r="T74" s="62"/>
      <c r="U74" s="62"/>
    </row>
    <row r="75" spans="1:27" ht="18" customHeight="1" x14ac:dyDescent="0.2">
      <c r="A75" s="3"/>
      <c r="B75" s="109"/>
      <c r="C75" s="110"/>
      <c r="D75" s="110"/>
      <c r="E75" s="110"/>
      <c r="F75" s="62"/>
      <c r="G75" s="62"/>
      <c r="H75" s="62"/>
      <c r="I75" s="62"/>
      <c r="J75" s="62"/>
      <c r="K75" s="109"/>
      <c r="L75" s="110"/>
      <c r="M75" s="110"/>
      <c r="N75" s="110"/>
      <c r="O75" s="110"/>
      <c r="P75" s="111"/>
      <c r="Q75" s="62"/>
      <c r="R75" s="62"/>
      <c r="S75" s="62"/>
      <c r="T75" s="62"/>
      <c r="U75" s="62"/>
    </row>
    <row r="76" spans="1:27" ht="18" customHeight="1" x14ac:dyDescent="0.2">
      <c r="A76" s="3"/>
      <c r="B76" s="109"/>
      <c r="C76" s="110"/>
      <c r="D76" s="110"/>
      <c r="E76" s="110"/>
      <c r="F76" s="62"/>
      <c r="G76" s="62"/>
      <c r="H76" s="62"/>
      <c r="I76" s="62"/>
      <c r="J76" s="62"/>
      <c r="K76" s="109"/>
      <c r="L76" s="110"/>
      <c r="M76" s="110"/>
      <c r="N76" s="110"/>
      <c r="O76" s="110"/>
      <c r="P76" s="111"/>
      <c r="Q76" s="62"/>
      <c r="R76" s="62"/>
      <c r="S76" s="62"/>
      <c r="T76" s="62"/>
      <c r="U76" s="62"/>
    </row>
    <row r="77" spans="1:27" ht="18" customHeight="1" x14ac:dyDescent="0.2">
      <c r="A77" s="3"/>
      <c r="B77" s="98"/>
      <c r="C77" s="99"/>
      <c r="D77" s="99"/>
      <c r="E77" s="99"/>
      <c r="F77" s="63"/>
      <c r="G77" s="63"/>
      <c r="H77" s="64"/>
      <c r="I77" s="64"/>
      <c r="J77" s="64"/>
      <c r="K77" s="98"/>
      <c r="L77" s="99"/>
      <c r="M77" s="99"/>
      <c r="N77" s="99"/>
      <c r="O77" s="99"/>
      <c r="P77" s="100"/>
      <c r="Q77" s="63"/>
      <c r="R77" s="63"/>
      <c r="S77" s="64"/>
      <c r="T77" s="64"/>
      <c r="U77" s="64"/>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106" t="s">
        <v>48</v>
      </c>
      <c r="C80" s="107"/>
      <c r="D80" s="107"/>
      <c r="E80" s="107"/>
      <c r="F80" s="108"/>
      <c r="G80" s="106" t="s">
        <v>74</v>
      </c>
      <c r="H80" s="107"/>
      <c r="I80" s="107"/>
      <c r="J80" s="108"/>
      <c r="K80" s="124" t="s">
        <v>48</v>
      </c>
      <c r="L80" s="125"/>
      <c r="M80" s="125"/>
      <c r="N80" s="125"/>
      <c r="O80" s="125"/>
      <c r="P80" s="125"/>
      <c r="Q80" s="126"/>
      <c r="R80" s="106" t="s">
        <v>74</v>
      </c>
      <c r="S80" s="107"/>
      <c r="T80" s="107"/>
      <c r="U80" s="108"/>
      <c r="AA80" s="1" t="s">
        <v>137</v>
      </c>
    </row>
    <row r="81" spans="1:27" ht="18" customHeight="1" x14ac:dyDescent="0.2">
      <c r="A81" s="3"/>
      <c r="B81" s="115" t="s">
        <v>143</v>
      </c>
      <c r="C81" s="116"/>
      <c r="D81" s="116"/>
      <c r="E81" s="116"/>
      <c r="F81" s="117"/>
      <c r="G81" s="118" t="s">
        <v>145</v>
      </c>
      <c r="H81" s="119"/>
      <c r="I81" s="119"/>
      <c r="J81" s="120"/>
      <c r="K81" s="115"/>
      <c r="L81" s="116"/>
      <c r="M81" s="116"/>
      <c r="N81" s="116"/>
      <c r="O81" s="116"/>
      <c r="P81" s="116"/>
      <c r="Q81" s="117"/>
      <c r="R81" s="121"/>
      <c r="S81" s="122"/>
      <c r="T81" s="122"/>
      <c r="U81" s="123"/>
      <c r="AA81" s="1" t="s">
        <v>130</v>
      </c>
    </row>
    <row r="82" spans="1:27" ht="18" customHeight="1" x14ac:dyDescent="0.2">
      <c r="A82" s="3"/>
      <c r="B82" s="109" t="s">
        <v>174</v>
      </c>
      <c r="C82" s="110"/>
      <c r="D82" s="110"/>
      <c r="E82" s="110"/>
      <c r="F82" s="111"/>
      <c r="G82" s="112" t="s">
        <v>175</v>
      </c>
      <c r="H82" s="113"/>
      <c r="I82" s="113"/>
      <c r="J82" s="114"/>
      <c r="K82" s="109"/>
      <c r="L82" s="110"/>
      <c r="M82" s="110"/>
      <c r="N82" s="110"/>
      <c r="O82" s="110"/>
      <c r="P82" s="110"/>
      <c r="Q82" s="111"/>
      <c r="R82" s="112"/>
      <c r="S82" s="113"/>
      <c r="T82" s="113"/>
      <c r="U82" s="114"/>
      <c r="AA82" s="1" t="s">
        <v>131</v>
      </c>
    </row>
    <row r="83" spans="1:27" ht="18" customHeight="1" x14ac:dyDescent="0.2">
      <c r="A83" s="3"/>
      <c r="B83" s="109" t="s">
        <v>174</v>
      </c>
      <c r="C83" s="110"/>
      <c r="D83" s="110"/>
      <c r="E83" s="110"/>
      <c r="F83" s="111"/>
      <c r="G83" s="112" t="s">
        <v>176</v>
      </c>
      <c r="H83" s="113"/>
      <c r="I83" s="113"/>
      <c r="J83" s="114"/>
      <c r="K83" s="109"/>
      <c r="L83" s="110"/>
      <c r="M83" s="110"/>
      <c r="N83" s="110"/>
      <c r="O83" s="110"/>
      <c r="P83" s="110"/>
      <c r="Q83" s="111"/>
      <c r="R83" s="112"/>
      <c r="S83" s="113"/>
      <c r="T83" s="113"/>
      <c r="U83" s="114"/>
      <c r="AA83" s="1" t="s">
        <v>132</v>
      </c>
    </row>
    <row r="84" spans="1:27" ht="18" customHeight="1" x14ac:dyDescent="0.2">
      <c r="A84" s="3"/>
      <c r="B84" s="109"/>
      <c r="C84" s="110"/>
      <c r="D84" s="110"/>
      <c r="E84" s="110"/>
      <c r="F84" s="111"/>
      <c r="G84" s="112"/>
      <c r="H84" s="113"/>
      <c r="I84" s="113"/>
      <c r="J84" s="114"/>
      <c r="K84" s="109"/>
      <c r="L84" s="110"/>
      <c r="M84" s="110"/>
      <c r="N84" s="110"/>
      <c r="O84" s="110"/>
      <c r="P84" s="110"/>
      <c r="Q84" s="111"/>
      <c r="R84" s="112"/>
      <c r="S84" s="113"/>
      <c r="T84" s="113"/>
      <c r="U84" s="114"/>
      <c r="AA84" s="1" t="s">
        <v>138</v>
      </c>
    </row>
    <row r="85" spans="1:27" ht="18" customHeight="1" x14ac:dyDescent="0.2">
      <c r="A85" s="3"/>
      <c r="B85" s="109"/>
      <c r="C85" s="110"/>
      <c r="D85" s="110"/>
      <c r="E85" s="110"/>
      <c r="F85" s="111"/>
      <c r="G85" s="112"/>
      <c r="H85" s="113"/>
      <c r="I85" s="113"/>
      <c r="J85" s="114"/>
      <c r="K85" s="109"/>
      <c r="L85" s="110"/>
      <c r="M85" s="110"/>
      <c r="N85" s="110"/>
      <c r="O85" s="110"/>
      <c r="P85" s="110"/>
      <c r="Q85" s="111"/>
      <c r="R85" s="112"/>
      <c r="S85" s="113"/>
      <c r="T85" s="113"/>
      <c r="U85" s="114"/>
      <c r="AA85" s="1" t="s">
        <v>139</v>
      </c>
    </row>
    <row r="86" spans="1:27" ht="18" customHeight="1" x14ac:dyDescent="0.2">
      <c r="A86" s="3"/>
      <c r="B86" s="109"/>
      <c r="C86" s="110"/>
      <c r="D86" s="110"/>
      <c r="E86" s="110"/>
      <c r="F86" s="111"/>
      <c r="G86" s="112"/>
      <c r="H86" s="113"/>
      <c r="I86" s="113"/>
      <c r="J86" s="114"/>
      <c r="K86" s="109"/>
      <c r="L86" s="110"/>
      <c r="M86" s="110"/>
      <c r="N86" s="110"/>
      <c r="O86" s="110"/>
      <c r="P86" s="110"/>
      <c r="Q86" s="111"/>
      <c r="R86" s="112"/>
      <c r="S86" s="113"/>
      <c r="T86" s="113"/>
      <c r="U86" s="114"/>
      <c r="AA86" s="1" t="s">
        <v>133</v>
      </c>
    </row>
    <row r="87" spans="1:27" ht="18" customHeight="1" x14ac:dyDescent="0.2">
      <c r="A87" s="3"/>
      <c r="B87" s="98"/>
      <c r="C87" s="99"/>
      <c r="D87" s="99"/>
      <c r="E87" s="99"/>
      <c r="F87" s="100"/>
      <c r="G87" s="101"/>
      <c r="H87" s="102"/>
      <c r="I87" s="102"/>
      <c r="J87" s="103"/>
      <c r="K87" s="98"/>
      <c r="L87" s="99"/>
      <c r="M87" s="99"/>
      <c r="N87" s="99"/>
      <c r="O87" s="99"/>
      <c r="P87" s="99"/>
      <c r="Q87" s="100"/>
      <c r="R87" s="101"/>
      <c r="S87" s="102"/>
      <c r="T87" s="102"/>
      <c r="U87" s="103"/>
      <c r="AA87" s="1" t="s">
        <v>134</v>
      </c>
    </row>
    <row r="88" spans="1:27" ht="18" customHeight="1" x14ac:dyDescent="0.2">
      <c r="A88" s="3"/>
      <c r="B88" s="6"/>
      <c r="C88" s="6"/>
      <c r="D88" s="6"/>
      <c r="E88" s="6"/>
      <c r="F88" s="6"/>
      <c r="G88" s="65"/>
      <c r="H88" s="65"/>
      <c r="I88" s="65"/>
      <c r="J88" s="65"/>
      <c r="K88" s="6"/>
      <c r="L88" s="6"/>
      <c r="M88" s="6"/>
      <c r="N88" s="6"/>
      <c r="O88" s="6"/>
      <c r="P88" s="6"/>
      <c r="Q88" s="6"/>
      <c r="R88" s="65"/>
      <c r="S88" s="65"/>
      <c r="T88" s="65"/>
      <c r="U88" s="65"/>
      <c r="AA88" s="1" t="s">
        <v>135</v>
      </c>
    </row>
    <row r="89" spans="1:27" ht="18.75" customHeight="1" x14ac:dyDescent="0.2">
      <c r="A89" s="1" t="s">
        <v>102</v>
      </c>
      <c r="AA89" s="1" t="s">
        <v>136</v>
      </c>
    </row>
    <row r="90" spans="1:27" ht="18.75" customHeight="1" x14ac:dyDescent="0.2">
      <c r="B90" s="104" t="s">
        <v>49</v>
      </c>
      <c r="C90" s="105"/>
      <c r="D90" s="106" t="s">
        <v>50</v>
      </c>
      <c r="E90" s="107"/>
      <c r="F90" s="107"/>
      <c r="G90" s="107"/>
      <c r="H90" s="107"/>
      <c r="I90" s="107"/>
      <c r="J90" s="107"/>
      <c r="K90" s="107"/>
      <c r="L90" s="107"/>
      <c r="M90" s="107"/>
      <c r="N90" s="107"/>
      <c r="O90" s="107"/>
      <c r="P90" s="107"/>
      <c r="Q90" s="107"/>
      <c r="R90" s="107"/>
      <c r="S90" s="107"/>
      <c r="T90" s="107"/>
      <c r="U90" s="108"/>
    </row>
    <row r="91" spans="1:27" ht="97.5" customHeight="1" x14ac:dyDescent="0.2">
      <c r="B91" s="83" t="s">
        <v>56</v>
      </c>
      <c r="C91" s="66" t="s">
        <v>51</v>
      </c>
      <c r="D91" s="86" t="s">
        <v>146</v>
      </c>
      <c r="E91" s="87"/>
      <c r="F91" s="87"/>
      <c r="G91" s="87"/>
      <c r="H91" s="87"/>
      <c r="I91" s="87"/>
      <c r="J91" s="87"/>
      <c r="K91" s="87"/>
      <c r="L91" s="87"/>
      <c r="M91" s="87"/>
      <c r="N91" s="87"/>
      <c r="O91" s="87"/>
      <c r="P91" s="87"/>
      <c r="Q91" s="87"/>
      <c r="R91" s="87"/>
      <c r="S91" s="87"/>
      <c r="T91" s="87"/>
      <c r="U91" s="88"/>
    </row>
    <row r="92" spans="1:27" ht="97.5" customHeight="1" x14ac:dyDescent="0.2">
      <c r="B92" s="84"/>
      <c r="C92" s="67" t="s">
        <v>70</v>
      </c>
      <c r="D92" s="92" t="s">
        <v>177</v>
      </c>
      <c r="E92" s="93"/>
      <c r="F92" s="93"/>
      <c r="G92" s="93"/>
      <c r="H92" s="93"/>
      <c r="I92" s="93"/>
      <c r="J92" s="93"/>
      <c r="K92" s="93"/>
      <c r="L92" s="93"/>
      <c r="M92" s="93"/>
      <c r="N92" s="93"/>
      <c r="O92" s="93"/>
      <c r="P92" s="93"/>
      <c r="Q92" s="93"/>
      <c r="R92" s="93"/>
      <c r="S92" s="93"/>
      <c r="T92" s="93"/>
      <c r="U92" s="94"/>
    </row>
    <row r="93" spans="1:27" ht="97.5" customHeight="1" x14ac:dyDescent="0.2">
      <c r="B93" s="83" t="s">
        <v>57</v>
      </c>
      <c r="C93" s="68" t="s">
        <v>64</v>
      </c>
      <c r="D93" s="86" t="s">
        <v>178</v>
      </c>
      <c r="E93" s="87"/>
      <c r="F93" s="87"/>
      <c r="G93" s="87"/>
      <c r="H93" s="87"/>
      <c r="I93" s="87"/>
      <c r="J93" s="87"/>
      <c r="K93" s="87"/>
      <c r="L93" s="87"/>
      <c r="M93" s="87"/>
      <c r="N93" s="87"/>
      <c r="O93" s="87"/>
      <c r="P93" s="87"/>
      <c r="Q93" s="87"/>
      <c r="R93" s="87"/>
      <c r="S93" s="87"/>
      <c r="T93" s="87"/>
      <c r="U93" s="88"/>
    </row>
    <row r="94" spans="1:27" ht="97.5" customHeight="1" x14ac:dyDescent="0.2">
      <c r="B94" s="85"/>
      <c r="C94" s="69" t="s">
        <v>65</v>
      </c>
      <c r="D94" s="92" t="s">
        <v>179</v>
      </c>
      <c r="E94" s="93"/>
      <c r="F94" s="93"/>
      <c r="G94" s="93"/>
      <c r="H94" s="93"/>
      <c r="I94" s="93"/>
      <c r="J94" s="93"/>
      <c r="K94" s="93"/>
      <c r="L94" s="93"/>
      <c r="M94" s="93"/>
      <c r="N94" s="93"/>
      <c r="O94" s="93"/>
      <c r="P94" s="93"/>
      <c r="Q94" s="93"/>
      <c r="R94" s="93"/>
      <c r="S94" s="93"/>
      <c r="T94" s="93"/>
      <c r="U94" s="94"/>
    </row>
    <row r="95" spans="1:27" ht="97.5" customHeight="1" x14ac:dyDescent="0.2">
      <c r="B95" s="83" t="s">
        <v>58</v>
      </c>
      <c r="C95" s="68" t="s">
        <v>66</v>
      </c>
      <c r="D95" s="86" t="s">
        <v>180</v>
      </c>
      <c r="E95" s="87"/>
      <c r="F95" s="87"/>
      <c r="G95" s="87"/>
      <c r="H95" s="87"/>
      <c r="I95" s="87"/>
      <c r="J95" s="87"/>
      <c r="K95" s="87"/>
      <c r="L95" s="87"/>
      <c r="M95" s="87"/>
      <c r="N95" s="87"/>
      <c r="O95" s="87"/>
      <c r="P95" s="87"/>
      <c r="Q95" s="87"/>
      <c r="R95" s="87"/>
      <c r="S95" s="87"/>
      <c r="T95" s="87"/>
      <c r="U95" s="88"/>
    </row>
    <row r="96" spans="1:27" ht="97.5" customHeight="1" x14ac:dyDescent="0.2">
      <c r="B96" s="85"/>
      <c r="C96" s="70" t="s">
        <v>67</v>
      </c>
      <c r="D96" s="92" t="s">
        <v>181</v>
      </c>
      <c r="E96" s="93"/>
      <c r="F96" s="93"/>
      <c r="G96" s="93"/>
      <c r="H96" s="93"/>
      <c r="I96" s="93"/>
      <c r="J96" s="93"/>
      <c r="K96" s="93"/>
      <c r="L96" s="93"/>
      <c r="M96" s="93"/>
      <c r="N96" s="93"/>
      <c r="O96" s="93"/>
      <c r="P96" s="93"/>
      <c r="Q96" s="93"/>
      <c r="R96" s="93"/>
      <c r="S96" s="93"/>
      <c r="T96" s="93"/>
      <c r="U96" s="94"/>
    </row>
    <row r="97" spans="1:21" ht="97.5" customHeight="1" x14ac:dyDescent="0.2">
      <c r="B97" s="83" t="s">
        <v>71</v>
      </c>
      <c r="C97" s="66" t="s">
        <v>53</v>
      </c>
      <c r="D97" s="86" t="s">
        <v>182</v>
      </c>
      <c r="E97" s="87"/>
      <c r="F97" s="87"/>
      <c r="G97" s="87"/>
      <c r="H97" s="87"/>
      <c r="I97" s="87"/>
      <c r="J97" s="87"/>
      <c r="K97" s="87"/>
      <c r="L97" s="87"/>
      <c r="M97" s="87"/>
      <c r="N97" s="87"/>
      <c r="O97" s="87"/>
      <c r="P97" s="87"/>
      <c r="Q97" s="87"/>
      <c r="R97" s="87"/>
      <c r="S97" s="87"/>
      <c r="T97" s="87"/>
      <c r="U97" s="88"/>
    </row>
    <row r="98" spans="1:21" ht="97.5" customHeight="1" x14ac:dyDescent="0.2">
      <c r="B98" s="85"/>
      <c r="C98" s="69" t="s">
        <v>55</v>
      </c>
      <c r="D98" s="92" t="s">
        <v>183</v>
      </c>
      <c r="E98" s="93"/>
      <c r="F98" s="93"/>
      <c r="G98" s="93"/>
      <c r="H98" s="93"/>
      <c r="I98" s="93"/>
      <c r="J98" s="93"/>
      <c r="K98" s="93"/>
      <c r="L98" s="93"/>
      <c r="M98" s="93"/>
      <c r="N98" s="93"/>
      <c r="O98" s="93"/>
      <c r="P98" s="93"/>
      <c r="Q98" s="93"/>
      <c r="R98" s="93"/>
      <c r="S98" s="93"/>
      <c r="T98" s="93"/>
      <c r="U98" s="94"/>
    </row>
    <row r="99" spans="1:21" ht="97.5" customHeight="1" x14ac:dyDescent="0.2">
      <c r="B99" s="83" t="s">
        <v>72</v>
      </c>
      <c r="C99" s="68" t="s">
        <v>52</v>
      </c>
      <c r="D99" s="86" t="s">
        <v>184</v>
      </c>
      <c r="E99" s="87"/>
      <c r="F99" s="87"/>
      <c r="G99" s="87"/>
      <c r="H99" s="87"/>
      <c r="I99" s="87"/>
      <c r="J99" s="87"/>
      <c r="K99" s="87"/>
      <c r="L99" s="87"/>
      <c r="M99" s="87"/>
      <c r="N99" s="87"/>
      <c r="O99" s="87"/>
      <c r="P99" s="87"/>
      <c r="Q99" s="87"/>
      <c r="R99" s="87"/>
      <c r="S99" s="87"/>
      <c r="T99" s="87"/>
      <c r="U99" s="88"/>
    </row>
    <row r="100" spans="1:21" ht="97.5" customHeight="1" x14ac:dyDescent="0.2">
      <c r="B100" s="84"/>
      <c r="C100" s="71" t="s">
        <v>68</v>
      </c>
      <c r="D100" s="89" t="s">
        <v>185</v>
      </c>
      <c r="E100" s="90"/>
      <c r="F100" s="90"/>
      <c r="G100" s="90"/>
      <c r="H100" s="90"/>
      <c r="I100" s="90"/>
      <c r="J100" s="90"/>
      <c r="K100" s="90"/>
      <c r="L100" s="90"/>
      <c r="M100" s="90"/>
      <c r="N100" s="90"/>
      <c r="O100" s="90"/>
      <c r="P100" s="90"/>
      <c r="Q100" s="90"/>
      <c r="R100" s="90"/>
      <c r="S100" s="90"/>
      <c r="T100" s="90"/>
      <c r="U100" s="91"/>
    </row>
    <row r="101" spans="1:21" ht="97.5" customHeight="1" x14ac:dyDescent="0.2">
      <c r="B101" s="85"/>
      <c r="C101" s="70" t="s">
        <v>69</v>
      </c>
      <c r="D101" s="92" t="s">
        <v>186</v>
      </c>
      <c r="E101" s="93"/>
      <c r="F101" s="93"/>
      <c r="G101" s="93"/>
      <c r="H101" s="93"/>
      <c r="I101" s="93"/>
      <c r="J101" s="93"/>
      <c r="K101" s="93"/>
      <c r="L101" s="93"/>
      <c r="M101" s="93"/>
      <c r="N101" s="93"/>
      <c r="O101" s="93"/>
      <c r="P101" s="93"/>
      <c r="Q101" s="93"/>
      <c r="R101" s="93"/>
      <c r="S101" s="93"/>
      <c r="T101" s="93"/>
      <c r="U101" s="94"/>
    </row>
    <row r="102" spans="1:21" ht="6" customHeight="1" x14ac:dyDescent="0.2"/>
    <row r="103" spans="1:21" ht="18.75" customHeight="1" x14ac:dyDescent="0.2">
      <c r="A103" s="1" t="s">
        <v>103</v>
      </c>
    </row>
    <row r="104" spans="1:21" ht="81.75" customHeight="1" x14ac:dyDescent="0.2">
      <c r="B104" s="95" t="s">
        <v>187</v>
      </c>
      <c r="C104" s="96"/>
      <c r="D104" s="96"/>
      <c r="E104" s="96"/>
      <c r="F104" s="96"/>
      <c r="G104" s="96"/>
      <c r="H104" s="96"/>
      <c r="I104" s="96"/>
      <c r="J104" s="96"/>
      <c r="K104" s="96"/>
      <c r="L104" s="96"/>
      <c r="M104" s="96"/>
      <c r="N104" s="96"/>
      <c r="O104" s="96"/>
      <c r="P104" s="96"/>
      <c r="Q104" s="96"/>
      <c r="R104" s="96"/>
      <c r="S104" s="96"/>
      <c r="T104" s="96"/>
      <c r="U104" s="97"/>
    </row>
    <row r="107" spans="1:21" ht="18" customHeight="1" x14ac:dyDescent="0.2"/>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81:U87 G84:J87" xr:uid="{EAD9C6DC-47F7-4E9E-A9F6-00E8A3D85362}">
      <formula1>$AA$80:$AA$89</formula1>
    </dataValidation>
    <dataValidation type="list" allowBlank="1" showInputMessage="1" showErrorMessage="1" sqref="N22:U22" xr:uid="{35E3BBAF-A875-494D-B4CD-7161659EF4F2}">
      <formula1>$X$16:$X$18</formula1>
    </dataValidation>
    <dataValidation type="list" allowBlank="1" showInputMessage="1" showErrorMessage="1" sqref="G88:J88 R88:U88 G81:G83 H81:J82" xr:uid="{316E1F77-D451-41B3-8C6B-59E3315BC85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393727ED-704B-4450-87DC-36CBCA8B0B00}">
      <formula1>"学部・学科によって、修了要件は相違する,学部・学科によって、修了要件は相違しない"</formula1>
    </dataValidation>
    <dataValidation type="list" allowBlank="1" showInputMessage="1" showErrorMessage="1" sqref="U34 U45 E34:H34 E45:H45" xr:uid="{B6039EDA-7782-46BC-BCD1-10002A4F9B0D}">
      <formula1>"全学開講,一部開講"</formula1>
    </dataValidation>
    <dataValidation type="list" allowBlank="1" showInputMessage="1" showErrorMessage="1" sqref="R71:U77 S27:U33 H27:J33 S38:U44 H38:J44 S49:U55 H49:J55 S60:U66 H60:J66 G71:J77" xr:uid="{C839A452-A910-435A-A895-E2941048B484}">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&amp;C数理・データサイエンス・AI教育プログラム認定制度【リテラシーレベル】令和7年度申請用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heetViews>
  <sheetFormatPr defaultColWidth="9" defaultRowHeight="18.75" customHeight="1" x14ac:dyDescent="0.2"/>
  <cols>
    <col min="1" max="1" width="2.88671875" style="1" customWidth="1"/>
    <col min="2" max="2" width="27.88671875" style="1" customWidth="1"/>
    <col min="3" max="18" width="6.109375" style="1" customWidth="1"/>
    <col min="19" max="19" width="6.6640625" style="1" customWidth="1"/>
    <col min="20" max="16384" width="9" style="1"/>
  </cols>
  <sheetData>
    <row r="1" spans="1:21" ht="18" customHeight="1" x14ac:dyDescent="0.2">
      <c r="A1" s="52"/>
      <c r="B1" s="52"/>
      <c r="C1" s="52"/>
      <c r="D1" s="52"/>
      <c r="E1" s="52"/>
      <c r="F1" s="52"/>
      <c r="G1" s="52"/>
      <c r="H1" s="52"/>
      <c r="I1" s="52"/>
      <c r="J1" s="52"/>
      <c r="K1" s="52"/>
      <c r="L1" s="52"/>
      <c r="M1" s="52"/>
      <c r="N1" s="52"/>
      <c r="O1" s="52"/>
      <c r="P1" s="52"/>
      <c r="Q1" s="52"/>
      <c r="R1" s="52"/>
      <c r="S1" s="52" t="s">
        <v>92</v>
      </c>
    </row>
    <row r="2" spans="1:21" ht="18" customHeight="1" x14ac:dyDescent="0.2">
      <c r="A2" s="52"/>
      <c r="B2" s="52"/>
      <c r="C2" s="52"/>
      <c r="D2" s="52"/>
      <c r="E2" s="52"/>
      <c r="F2" s="52"/>
      <c r="G2" s="52"/>
      <c r="H2" s="52"/>
      <c r="I2" s="52"/>
      <c r="J2" s="52"/>
      <c r="K2" s="52"/>
      <c r="L2" s="52"/>
      <c r="M2" s="52"/>
      <c r="N2" s="52"/>
      <c r="O2" s="52"/>
      <c r="P2" s="52"/>
      <c r="Q2" s="158" t="str">
        <f>'様式１　プログラムを構成する授業科目'!C2</f>
        <v>実践女子大学</v>
      </c>
      <c r="R2" s="158"/>
      <c r="S2" s="158"/>
    </row>
    <row r="3" spans="1:21" ht="18" customHeight="1" x14ac:dyDescent="0.2">
      <c r="A3" s="147" t="s">
        <v>141</v>
      </c>
      <c r="B3" s="147"/>
      <c r="C3" s="147"/>
      <c r="D3" s="147"/>
      <c r="E3" s="147"/>
      <c r="F3" s="147"/>
      <c r="G3" s="147"/>
      <c r="H3" s="147"/>
      <c r="I3" s="147"/>
      <c r="J3" s="147"/>
      <c r="K3" s="147"/>
      <c r="L3" s="147"/>
      <c r="M3" s="147"/>
      <c r="N3" s="147"/>
      <c r="O3" s="147"/>
      <c r="P3" s="147"/>
      <c r="Q3" s="147"/>
      <c r="R3" s="147"/>
      <c r="S3" s="147"/>
    </row>
    <row r="4" spans="1:21" ht="7.5" customHeight="1" x14ac:dyDescent="0.2">
      <c r="A4" s="54"/>
      <c r="B4" s="54"/>
      <c r="C4" s="54"/>
      <c r="D4" s="54"/>
      <c r="E4" s="54"/>
      <c r="F4" s="54"/>
      <c r="G4" s="54"/>
      <c r="H4" s="54"/>
      <c r="I4" s="54"/>
      <c r="J4" s="54"/>
      <c r="K4" s="54"/>
      <c r="L4" s="54"/>
      <c r="M4" s="54"/>
      <c r="N4" s="54"/>
      <c r="O4" s="54"/>
      <c r="P4" s="54"/>
      <c r="Q4" s="54"/>
      <c r="R4" s="54"/>
      <c r="S4" s="54"/>
    </row>
    <row r="5" spans="1:21" ht="18" customHeight="1" x14ac:dyDescent="0.2">
      <c r="A5" s="52" t="s">
        <v>75</v>
      </c>
      <c r="B5" s="52"/>
      <c r="C5" s="159" t="s">
        <v>164</v>
      </c>
      <c r="D5" s="160"/>
      <c r="E5" s="56" t="s">
        <v>124</v>
      </c>
      <c r="F5" s="54"/>
      <c r="G5" s="54"/>
      <c r="H5" s="54"/>
      <c r="I5" s="54"/>
      <c r="J5" s="54"/>
      <c r="K5" s="54"/>
      <c r="L5" s="54"/>
      <c r="M5" s="54"/>
      <c r="N5" s="54"/>
      <c r="O5" s="54"/>
      <c r="P5" s="54"/>
      <c r="Q5" s="54"/>
      <c r="R5" s="53"/>
      <c r="S5" s="53"/>
    </row>
    <row r="6" spans="1:21" ht="7.35" customHeight="1" x14ac:dyDescent="0.2">
      <c r="A6" s="52"/>
      <c r="B6" s="52"/>
      <c r="C6" s="75"/>
      <c r="D6" s="75"/>
      <c r="E6" s="54"/>
      <c r="F6" s="54"/>
      <c r="G6" s="54"/>
      <c r="H6" s="54"/>
      <c r="I6" s="54"/>
      <c r="J6" s="54"/>
      <c r="K6" s="54"/>
      <c r="L6" s="54"/>
      <c r="M6" s="54"/>
      <c r="N6" s="54"/>
      <c r="O6" s="54"/>
      <c r="P6" s="54"/>
      <c r="Q6" s="54"/>
      <c r="R6" s="53"/>
      <c r="S6" s="53"/>
    </row>
    <row r="7" spans="1:21" ht="18" customHeight="1" x14ac:dyDescent="0.2">
      <c r="A7" s="52" t="s">
        <v>109</v>
      </c>
      <c r="B7" s="52"/>
      <c r="C7" s="75"/>
      <c r="D7" s="75"/>
      <c r="E7" s="54" t="s">
        <v>110</v>
      </c>
      <c r="F7" s="57">
        <v>0</v>
      </c>
      <c r="G7" s="56" t="s">
        <v>111</v>
      </c>
      <c r="H7" s="54" t="s">
        <v>112</v>
      </c>
      <c r="I7" s="57">
        <v>4259</v>
      </c>
      <c r="J7" s="56" t="s">
        <v>111</v>
      </c>
      <c r="K7" s="55" t="s">
        <v>163</v>
      </c>
      <c r="L7" s="54" t="s">
        <v>113</v>
      </c>
      <c r="M7" s="57">
        <v>4259</v>
      </c>
      <c r="N7" s="54" t="s">
        <v>1</v>
      </c>
      <c r="O7" s="56" t="s">
        <v>114</v>
      </c>
      <c r="P7" s="54"/>
      <c r="Q7" s="54"/>
      <c r="R7" s="53"/>
      <c r="S7" s="53"/>
    </row>
    <row r="8" spans="1:21" ht="17.399999999999999" customHeight="1" x14ac:dyDescent="0.2">
      <c r="A8" s="54"/>
      <c r="B8" s="76" t="s">
        <v>127</v>
      </c>
      <c r="C8" s="54"/>
      <c r="D8" s="54"/>
      <c r="E8" s="54"/>
      <c r="F8" s="54"/>
      <c r="G8" s="54"/>
      <c r="H8" s="54"/>
      <c r="I8" s="54"/>
      <c r="J8" s="54"/>
      <c r="K8" s="54"/>
      <c r="L8" s="54"/>
      <c r="M8" s="54"/>
      <c r="N8" s="54"/>
      <c r="O8" s="54"/>
      <c r="P8" s="54"/>
      <c r="Q8" s="54"/>
      <c r="R8" s="54"/>
      <c r="S8" s="54"/>
    </row>
    <row r="9" spans="1:21" ht="18" customHeight="1" x14ac:dyDescent="0.2">
      <c r="A9" s="52" t="s">
        <v>119</v>
      </c>
      <c r="B9" s="54"/>
      <c r="C9" s="54"/>
      <c r="D9" s="54"/>
      <c r="E9" s="54"/>
      <c r="F9" s="54"/>
      <c r="G9" s="54"/>
      <c r="H9" s="54"/>
      <c r="I9" s="54"/>
      <c r="J9" s="54"/>
      <c r="K9" s="54"/>
      <c r="L9" s="54"/>
      <c r="M9" s="54"/>
      <c r="N9" s="54"/>
      <c r="O9" s="54"/>
      <c r="P9" s="54"/>
      <c r="Q9" s="54"/>
      <c r="R9" s="54"/>
      <c r="S9" s="54"/>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61" t="s">
        <v>43</v>
      </c>
      <c r="C11" s="171" t="s">
        <v>78</v>
      </c>
      <c r="D11" s="163" t="s">
        <v>45</v>
      </c>
      <c r="E11" s="165" t="s">
        <v>38</v>
      </c>
      <c r="F11" s="157" t="s">
        <v>125</v>
      </c>
      <c r="G11" s="157"/>
      <c r="H11" s="157" t="s">
        <v>106</v>
      </c>
      <c r="I11" s="157"/>
      <c r="J11" s="157" t="s">
        <v>77</v>
      </c>
      <c r="K11" s="157"/>
      <c r="L11" s="157" t="s">
        <v>46</v>
      </c>
      <c r="M11" s="157"/>
      <c r="N11" s="157" t="s">
        <v>47</v>
      </c>
      <c r="O11" s="157"/>
      <c r="P11" s="157" t="s">
        <v>126</v>
      </c>
      <c r="Q11" s="157"/>
      <c r="R11" s="167" t="s">
        <v>35</v>
      </c>
      <c r="S11" s="169" t="s">
        <v>32</v>
      </c>
      <c r="U11" s="2"/>
    </row>
    <row r="12" spans="1:21" ht="17.100000000000001" customHeight="1" x14ac:dyDescent="0.2">
      <c r="B12" s="162"/>
      <c r="C12" s="172"/>
      <c r="D12" s="164"/>
      <c r="E12" s="166"/>
      <c r="F12" s="77" t="s">
        <v>86</v>
      </c>
      <c r="G12" s="77" t="s">
        <v>29</v>
      </c>
      <c r="H12" s="77" t="s">
        <v>86</v>
      </c>
      <c r="I12" s="77" t="s">
        <v>29</v>
      </c>
      <c r="J12" s="77" t="s">
        <v>86</v>
      </c>
      <c r="K12" s="77" t="s">
        <v>29</v>
      </c>
      <c r="L12" s="77" t="s">
        <v>86</v>
      </c>
      <c r="M12" s="77" t="s">
        <v>29</v>
      </c>
      <c r="N12" s="77" t="s">
        <v>86</v>
      </c>
      <c r="O12" s="77" t="s">
        <v>29</v>
      </c>
      <c r="P12" s="77" t="s">
        <v>86</v>
      </c>
      <c r="Q12" s="78" t="s">
        <v>29</v>
      </c>
      <c r="R12" s="168"/>
      <c r="S12" s="170"/>
      <c r="U12" s="2"/>
    </row>
    <row r="13" spans="1:21" ht="18" customHeight="1" x14ac:dyDescent="0.2">
      <c r="A13" s="6"/>
      <c r="B13" s="47" t="s">
        <v>165</v>
      </c>
      <c r="C13" s="35">
        <v>1410</v>
      </c>
      <c r="D13" s="36">
        <v>310</v>
      </c>
      <c r="E13" s="37">
        <v>1280</v>
      </c>
      <c r="F13" s="37">
        <v>341</v>
      </c>
      <c r="G13" s="37">
        <v>278</v>
      </c>
      <c r="H13" s="37">
        <v>0</v>
      </c>
      <c r="I13" s="37">
        <v>0</v>
      </c>
      <c r="J13" s="37">
        <v>0</v>
      </c>
      <c r="K13" s="37">
        <v>0</v>
      </c>
      <c r="L13" s="37">
        <v>0</v>
      </c>
      <c r="M13" s="37">
        <v>0</v>
      </c>
      <c r="N13" s="37">
        <v>0</v>
      </c>
      <c r="O13" s="37">
        <v>0</v>
      </c>
      <c r="P13" s="37">
        <v>0</v>
      </c>
      <c r="Q13" s="48">
        <v>0</v>
      </c>
      <c r="R13" s="36">
        <v>341</v>
      </c>
      <c r="S13" s="81">
        <f>R13/E13</f>
        <v>0.26640625000000001</v>
      </c>
    </row>
    <row r="14" spans="1:21" ht="18" customHeight="1" x14ac:dyDescent="0.2">
      <c r="A14" s="6"/>
      <c r="B14" s="11" t="s">
        <v>166</v>
      </c>
      <c r="C14" s="38">
        <v>993</v>
      </c>
      <c r="D14" s="39">
        <v>260</v>
      </c>
      <c r="E14" s="40">
        <v>860</v>
      </c>
      <c r="F14" s="41">
        <v>311</v>
      </c>
      <c r="G14" s="41">
        <v>283</v>
      </c>
      <c r="H14" s="41">
        <v>0</v>
      </c>
      <c r="I14" s="41">
        <v>0</v>
      </c>
      <c r="J14" s="41">
        <v>0</v>
      </c>
      <c r="K14" s="41">
        <v>0</v>
      </c>
      <c r="L14" s="41">
        <v>0</v>
      </c>
      <c r="M14" s="41">
        <v>0</v>
      </c>
      <c r="N14" s="41">
        <v>0</v>
      </c>
      <c r="O14" s="41">
        <v>0</v>
      </c>
      <c r="P14" s="41">
        <v>0</v>
      </c>
      <c r="Q14" s="38">
        <v>0</v>
      </c>
      <c r="R14" s="39">
        <v>311</v>
      </c>
      <c r="S14" s="16">
        <f>R14/E14</f>
        <v>0.36162790697674418</v>
      </c>
    </row>
    <row r="15" spans="1:21" ht="18" customHeight="1" x14ac:dyDescent="0.2">
      <c r="A15" s="6"/>
      <c r="B15" s="11" t="s">
        <v>167</v>
      </c>
      <c r="C15" s="38">
        <v>142</v>
      </c>
      <c r="D15" s="39">
        <v>120</v>
      </c>
      <c r="E15" s="40">
        <v>120</v>
      </c>
      <c r="F15" s="41">
        <v>142</v>
      </c>
      <c r="G15" s="41">
        <v>117</v>
      </c>
      <c r="H15" s="41">
        <v>0</v>
      </c>
      <c r="I15" s="41">
        <v>0</v>
      </c>
      <c r="J15" s="41">
        <v>0</v>
      </c>
      <c r="K15" s="41">
        <v>0</v>
      </c>
      <c r="L15" s="41">
        <v>0</v>
      </c>
      <c r="M15" s="41">
        <v>0</v>
      </c>
      <c r="N15" s="41">
        <v>0</v>
      </c>
      <c r="O15" s="41">
        <v>0</v>
      </c>
      <c r="P15" s="41">
        <v>0</v>
      </c>
      <c r="Q15" s="38">
        <v>0</v>
      </c>
      <c r="R15" s="39">
        <v>142</v>
      </c>
      <c r="S15" s="8">
        <f>R15/E15</f>
        <v>1.1833333333333333</v>
      </c>
    </row>
    <row r="16" spans="1:21" ht="18" customHeight="1" x14ac:dyDescent="0.2">
      <c r="A16" s="6"/>
      <c r="B16" s="11" t="s">
        <v>168</v>
      </c>
      <c r="C16" s="38">
        <v>1714</v>
      </c>
      <c r="D16" s="39">
        <v>410</v>
      </c>
      <c r="E16" s="40">
        <v>1648</v>
      </c>
      <c r="F16" s="41">
        <v>353</v>
      </c>
      <c r="G16" s="41">
        <v>306</v>
      </c>
      <c r="H16" s="41">
        <v>0</v>
      </c>
      <c r="I16" s="41">
        <v>0</v>
      </c>
      <c r="J16" s="41">
        <v>0</v>
      </c>
      <c r="K16" s="41">
        <v>0</v>
      </c>
      <c r="L16" s="41">
        <v>0</v>
      </c>
      <c r="M16" s="41">
        <v>0</v>
      </c>
      <c r="N16" s="41">
        <v>0</v>
      </c>
      <c r="O16" s="41">
        <v>0</v>
      </c>
      <c r="P16" s="41">
        <v>0</v>
      </c>
      <c r="Q16" s="38">
        <v>0</v>
      </c>
      <c r="R16" s="39">
        <v>353</v>
      </c>
      <c r="S16" s="8">
        <f>R16/E16</f>
        <v>0.21419902912621358</v>
      </c>
    </row>
    <row r="17" spans="1:19" ht="18" customHeight="1" x14ac:dyDescent="0.2">
      <c r="A17" s="6"/>
      <c r="B17" s="11"/>
      <c r="C17" s="38"/>
      <c r="D17" s="39"/>
      <c r="E17" s="40"/>
      <c r="F17" s="41"/>
      <c r="G17" s="41"/>
      <c r="H17" s="41"/>
      <c r="I17" s="41"/>
      <c r="J17" s="41"/>
      <c r="K17" s="41"/>
      <c r="L17" s="41"/>
      <c r="M17" s="41"/>
      <c r="N17" s="41"/>
      <c r="O17" s="41"/>
      <c r="P17" s="41"/>
      <c r="Q17" s="38"/>
      <c r="R17" s="39">
        <f t="shared" ref="R17:R32" si="0">F17+H17+J17+L17+N17+P17</f>
        <v>0</v>
      </c>
      <c r="S17" s="8" t="e">
        <f t="shared" ref="S17:S33" si="1">R17/E17</f>
        <v>#DIV/0!</v>
      </c>
    </row>
    <row r="18" spans="1:19" ht="18" customHeight="1" x14ac:dyDescent="0.2">
      <c r="A18" s="6"/>
      <c r="B18" s="11"/>
      <c r="C18" s="38"/>
      <c r="D18" s="39"/>
      <c r="E18" s="40"/>
      <c r="F18" s="41"/>
      <c r="G18" s="41"/>
      <c r="H18" s="41"/>
      <c r="I18" s="41"/>
      <c r="J18" s="41"/>
      <c r="K18" s="41"/>
      <c r="L18" s="41"/>
      <c r="M18" s="41"/>
      <c r="N18" s="41"/>
      <c r="O18" s="41"/>
      <c r="P18" s="41"/>
      <c r="Q18" s="38"/>
      <c r="R18" s="39">
        <f t="shared" si="0"/>
        <v>0</v>
      </c>
      <c r="S18" s="8" t="e">
        <f t="shared" si="1"/>
        <v>#DIV/0!</v>
      </c>
    </row>
    <row r="19" spans="1:19" ht="18" customHeight="1" x14ac:dyDescent="0.2">
      <c r="A19" s="6"/>
      <c r="B19" s="11"/>
      <c r="C19" s="38"/>
      <c r="D19" s="39"/>
      <c r="E19" s="40"/>
      <c r="F19" s="41"/>
      <c r="G19" s="41"/>
      <c r="H19" s="41"/>
      <c r="I19" s="41"/>
      <c r="J19" s="41"/>
      <c r="K19" s="41"/>
      <c r="L19" s="41"/>
      <c r="M19" s="41"/>
      <c r="N19" s="41"/>
      <c r="O19" s="41"/>
      <c r="P19" s="41"/>
      <c r="Q19" s="38"/>
      <c r="R19" s="39">
        <f t="shared" si="0"/>
        <v>0</v>
      </c>
      <c r="S19" s="8" t="e">
        <f t="shared" si="1"/>
        <v>#DIV/0!</v>
      </c>
    </row>
    <row r="20" spans="1:19" ht="18" customHeight="1" x14ac:dyDescent="0.2">
      <c r="A20" s="6"/>
      <c r="B20" s="11"/>
      <c r="C20" s="38"/>
      <c r="D20" s="39"/>
      <c r="E20" s="40"/>
      <c r="F20" s="41"/>
      <c r="G20" s="41"/>
      <c r="H20" s="41"/>
      <c r="I20" s="41"/>
      <c r="J20" s="41"/>
      <c r="K20" s="41"/>
      <c r="L20" s="41"/>
      <c r="M20" s="41"/>
      <c r="N20" s="41"/>
      <c r="O20" s="41"/>
      <c r="P20" s="41"/>
      <c r="Q20" s="38"/>
      <c r="R20" s="39">
        <f t="shared" si="0"/>
        <v>0</v>
      </c>
      <c r="S20" s="8" t="e">
        <f t="shared" si="1"/>
        <v>#DIV/0!</v>
      </c>
    </row>
    <row r="21" spans="1:19" ht="18" customHeight="1" x14ac:dyDescent="0.2">
      <c r="A21" s="6"/>
      <c r="B21" s="11"/>
      <c r="C21" s="38"/>
      <c r="D21" s="39"/>
      <c r="E21" s="40"/>
      <c r="F21" s="41"/>
      <c r="G21" s="41"/>
      <c r="H21" s="41"/>
      <c r="I21" s="41"/>
      <c r="J21" s="41"/>
      <c r="K21" s="41"/>
      <c r="L21" s="41"/>
      <c r="M21" s="41"/>
      <c r="N21" s="41"/>
      <c r="O21" s="41"/>
      <c r="P21" s="41"/>
      <c r="Q21" s="38"/>
      <c r="R21" s="39">
        <f t="shared" si="0"/>
        <v>0</v>
      </c>
      <c r="S21" s="8" t="e">
        <f t="shared" si="1"/>
        <v>#DIV/0!</v>
      </c>
    </row>
    <row r="22" spans="1:19" ht="18" customHeight="1" x14ac:dyDescent="0.2">
      <c r="A22" s="6"/>
      <c r="B22" s="11"/>
      <c r="C22" s="38"/>
      <c r="D22" s="39"/>
      <c r="E22" s="40"/>
      <c r="F22" s="41"/>
      <c r="G22" s="41"/>
      <c r="H22" s="41"/>
      <c r="I22" s="41"/>
      <c r="J22" s="41"/>
      <c r="K22" s="41"/>
      <c r="L22" s="41"/>
      <c r="M22" s="41"/>
      <c r="N22" s="41"/>
      <c r="O22" s="41"/>
      <c r="P22" s="41"/>
      <c r="Q22" s="38"/>
      <c r="R22" s="39">
        <f t="shared" si="0"/>
        <v>0</v>
      </c>
      <c r="S22" s="8" t="e">
        <f t="shared" si="1"/>
        <v>#DIV/0!</v>
      </c>
    </row>
    <row r="23" spans="1:19" ht="18" customHeight="1" x14ac:dyDescent="0.2">
      <c r="A23" s="6"/>
      <c r="B23" s="11"/>
      <c r="C23" s="38"/>
      <c r="D23" s="39"/>
      <c r="E23" s="40"/>
      <c r="F23" s="41"/>
      <c r="G23" s="41"/>
      <c r="H23" s="41"/>
      <c r="I23" s="41"/>
      <c r="J23" s="41"/>
      <c r="K23" s="41"/>
      <c r="L23" s="41"/>
      <c r="M23" s="41"/>
      <c r="N23" s="41"/>
      <c r="O23" s="41"/>
      <c r="P23" s="41"/>
      <c r="Q23" s="38"/>
      <c r="R23" s="39">
        <f t="shared" si="0"/>
        <v>0</v>
      </c>
      <c r="S23" s="8" t="e">
        <f t="shared" si="1"/>
        <v>#DIV/0!</v>
      </c>
    </row>
    <row r="24" spans="1:19" ht="18" customHeight="1" x14ac:dyDescent="0.2">
      <c r="A24" s="6"/>
      <c r="B24" s="11"/>
      <c r="C24" s="38"/>
      <c r="D24" s="39"/>
      <c r="E24" s="40"/>
      <c r="F24" s="41"/>
      <c r="G24" s="41"/>
      <c r="H24" s="41"/>
      <c r="I24" s="41"/>
      <c r="J24" s="41"/>
      <c r="K24" s="41"/>
      <c r="L24" s="41"/>
      <c r="M24" s="41"/>
      <c r="N24" s="41"/>
      <c r="O24" s="41"/>
      <c r="P24" s="41"/>
      <c r="Q24" s="38"/>
      <c r="R24" s="39">
        <f t="shared" si="0"/>
        <v>0</v>
      </c>
      <c r="S24" s="8" t="e">
        <f t="shared" si="1"/>
        <v>#DIV/0!</v>
      </c>
    </row>
    <row r="25" spans="1:19" ht="18" customHeight="1" x14ac:dyDescent="0.2">
      <c r="A25" s="6"/>
      <c r="B25" s="11"/>
      <c r="C25" s="38"/>
      <c r="D25" s="39"/>
      <c r="E25" s="40"/>
      <c r="F25" s="41"/>
      <c r="G25" s="41"/>
      <c r="H25" s="41"/>
      <c r="I25" s="41"/>
      <c r="J25" s="41"/>
      <c r="K25" s="41"/>
      <c r="L25" s="41"/>
      <c r="M25" s="41"/>
      <c r="N25" s="41"/>
      <c r="O25" s="41"/>
      <c r="P25" s="41"/>
      <c r="Q25" s="38"/>
      <c r="R25" s="39">
        <f t="shared" si="0"/>
        <v>0</v>
      </c>
      <c r="S25" s="8" t="e">
        <f t="shared" si="1"/>
        <v>#DIV/0!</v>
      </c>
    </row>
    <row r="26" spans="1:19" ht="18" customHeight="1" x14ac:dyDescent="0.2">
      <c r="A26" s="6"/>
      <c r="B26" s="11"/>
      <c r="C26" s="38"/>
      <c r="D26" s="39"/>
      <c r="E26" s="40"/>
      <c r="F26" s="41"/>
      <c r="G26" s="41"/>
      <c r="H26" s="41"/>
      <c r="I26" s="41"/>
      <c r="J26" s="41"/>
      <c r="K26" s="41"/>
      <c r="L26" s="41"/>
      <c r="M26" s="41"/>
      <c r="N26" s="41"/>
      <c r="O26" s="41"/>
      <c r="P26" s="41"/>
      <c r="Q26" s="38"/>
      <c r="R26" s="39">
        <f t="shared" si="0"/>
        <v>0</v>
      </c>
      <c r="S26" s="8" t="e">
        <f t="shared" si="1"/>
        <v>#DIV/0!</v>
      </c>
    </row>
    <row r="27" spans="1:19" ht="18" customHeight="1" x14ac:dyDescent="0.2">
      <c r="A27" s="6"/>
      <c r="B27" s="11"/>
      <c r="C27" s="38"/>
      <c r="D27" s="39"/>
      <c r="E27" s="40"/>
      <c r="F27" s="41"/>
      <c r="G27" s="41"/>
      <c r="H27" s="41"/>
      <c r="I27" s="41"/>
      <c r="J27" s="41"/>
      <c r="K27" s="41"/>
      <c r="L27" s="41"/>
      <c r="M27" s="41"/>
      <c r="N27" s="41"/>
      <c r="O27" s="41"/>
      <c r="P27" s="41"/>
      <c r="Q27" s="38"/>
      <c r="R27" s="39">
        <f t="shared" si="0"/>
        <v>0</v>
      </c>
      <c r="S27" s="8" t="e">
        <f t="shared" si="1"/>
        <v>#DIV/0!</v>
      </c>
    </row>
    <row r="28" spans="1:19" ht="18" customHeight="1" x14ac:dyDescent="0.2">
      <c r="A28" s="6"/>
      <c r="B28" s="11"/>
      <c r="C28" s="38"/>
      <c r="D28" s="39"/>
      <c r="E28" s="40"/>
      <c r="F28" s="41"/>
      <c r="G28" s="41"/>
      <c r="H28" s="41"/>
      <c r="I28" s="41"/>
      <c r="J28" s="41"/>
      <c r="K28" s="41"/>
      <c r="L28" s="41"/>
      <c r="M28" s="41"/>
      <c r="N28" s="41"/>
      <c r="O28" s="41"/>
      <c r="P28" s="41"/>
      <c r="Q28" s="38"/>
      <c r="R28" s="39">
        <f t="shared" si="0"/>
        <v>0</v>
      </c>
      <c r="S28" s="8" t="e">
        <f t="shared" si="1"/>
        <v>#DIV/0!</v>
      </c>
    </row>
    <row r="29" spans="1:19" ht="18" customHeight="1" x14ac:dyDescent="0.2">
      <c r="A29" s="6"/>
      <c r="B29" s="11"/>
      <c r="C29" s="38"/>
      <c r="D29" s="39"/>
      <c r="E29" s="40"/>
      <c r="F29" s="41"/>
      <c r="G29" s="41"/>
      <c r="H29" s="41"/>
      <c r="I29" s="41"/>
      <c r="J29" s="41"/>
      <c r="K29" s="41"/>
      <c r="L29" s="41"/>
      <c r="M29" s="41"/>
      <c r="N29" s="41"/>
      <c r="O29" s="41"/>
      <c r="P29" s="41"/>
      <c r="Q29" s="38"/>
      <c r="R29" s="39">
        <f t="shared" si="0"/>
        <v>0</v>
      </c>
      <c r="S29" s="8" t="e">
        <f t="shared" si="1"/>
        <v>#DIV/0!</v>
      </c>
    </row>
    <row r="30" spans="1:19" ht="18" customHeight="1" x14ac:dyDescent="0.2">
      <c r="A30" s="6"/>
      <c r="B30" s="11"/>
      <c r="C30" s="38"/>
      <c r="D30" s="42"/>
      <c r="E30" s="40"/>
      <c r="F30" s="41"/>
      <c r="G30" s="41"/>
      <c r="H30" s="41"/>
      <c r="I30" s="41"/>
      <c r="J30" s="41"/>
      <c r="K30" s="41"/>
      <c r="L30" s="41"/>
      <c r="M30" s="41"/>
      <c r="N30" s="41"/>
      <c r="O30" s="41"/>
      <c r="P30" s="41"/>
      <c r="Q30" s="38"/>
      <c r="R30" s="42">
        <f t="shared" si="0"/>
        <v>0</v>
      </c>
      <c r="S30" s="8" t="e">
        <f t="shared" si="1"/>
        <v>#DIV/0!</v>
      </c>
    </row>
    <row r="31" spans="1:19" ht="18" customHeight="1" x14ac:dyDescent="0.2">
      <c r="A31" s="6"/>
      <c r="B31" s="11"/>
      <c r="C31" s="38"/>
      <c r="D31" s="42"/>
      <c r="E31" s="40"/>
      <c r="F31" s="41"/>
      <c r="G31" s="41"/>
      <c r="H31" s="41"/>
      <c r="I31" s="41"/>
      <c r="J31" s="41"/>
      <c r="K31" s="41"/>
      <c r="L31" s="41"/>
      <c r="M31" s="41"/>
      <c r="N31" s="41"/>
      <c r="O31" s="41"/>
      <c r="P31" s="41"/>
      <c r="Q31" s="38"/>
      <c r="R31" s="42">
        <f t="shared" si="0"/>
        <v>0</v>
      </c>
      <c r="S31" s="8" t="e">
        <f t="shared" si="1"/>
        <v>#DIV/0!</v>
      </c>
    </row>
    <row r="32" spans="1:19" ht="18" customHeight="1" thickBot="1" x14ac:dyDescent="0.25">
      <c r="A32" s="6"/>
      <c r="B32" s="12"/>
      <c r="C32" s="35"/>
      <c r="D32" s="43"/>
      <c r="E32" s="37"/>
      <c r="F32" s="37"/>
      <c r="G32" s="37"/>
      <c r="H32" s="37"/>
      <c r="I32" s="37"/>
      <c r="J32" s="37"/>
      <c r="K32" s="37"/>
      <c r="L32" s="37"/>
      <c r="M32" s="37"/>
      <c r="N32" s="37"/>
      <c r="O32" s="37"/>
      <c r="P32" s="37"/>
      <c r="Q32" s="38"/>
      <c r="R32" s="43">
        <f t="shared" si="0"/>
        <v>0</v>
      </c>
      <c r="S32" s="7" t="e">
        <f t="shared" si="1"/>
        <v>#DIV/0!</v>
      </c>
    </row>
    <row r="33" spans="2:19" ht="18" customHeight="1" thickTop="1" x14ac:dyDescent="0.2">
      <c r="B33" s="13" t="s">
        <v>33</v>
      </c>
      <c r="C33" s="44">
        <f t="shared" ref="C33" si="2">SUM(C13:C32)</f>
        <v>4259</v>
      </c>
      <c r="D33" s="45">
        <f t="shared" ref="D33:R33" si="3">SUM(D13:D32)</f>
        <v>1100</v>
      </c>
      <c r="E33" s="46">
        <f t="shared" si="3"/>
        <v>3908</v>
      </c>
      <c r="F33" s="46">
        <f t="shared" si="3"/>
        <v>1147</v>
      </c>
      <c r="G33" s="46">
        <f t="shared" ref="G33:H33" si="4">SUM(G13:G32)</f>
        <v>984</v>
      </c>
      <c r="H33" s="46">
        <f t="shared" si="4"/>
        <v>0</v>
      </c>
      <c r="I33" s="46">
        <f t="shared" ref="I33:J33" si="5">SUM(I13:I32)</f>
        <v>0</v>
      </c>
      <c r="J33" s="46">
        <f t="shared" si="5"/>
        <v>0</v>
      </c>
      <c r="K33" s="46">
        <f t="shared" ref="K33:O33" si="6">SUM(K13:K32)</f>
        <v>0</v>
      </c>
      <c r="L33" s="46">
        <f t="shared" si="6"/>
        <v>0</v>
      </c>
      <c r="M33" s="46">
        <f t="shared" si="6"/>
        <v>0</v>
      </c>
      <c r="N33" s="46">
        <f t="shared" si="6"/>
        <v>0</v>
      </c>
      <c r="O33" s="46">
        <f t="shared" si="6"/>
        <v>0</v>
      </c>
      <c r="P33" s="46">
        <f t="shared" ref="P33:Q33" si="7">SUM(P13:P32)</f>
        <v>0</v>
      </c>
      <c r="Q33" s="44">
        <f t="shared" si="7"/>
        <v>0</v>
      </c>
      <c r="R33" s="45">
        <f t="shared" si="3"/>
        <v>1147</v>
      </c>
      <c r="S33" s="9">
        <f t="shared" si="1"/>
        <v>0.29350051177072672</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topLeftCell="A4" zoomScaleNormal="100" zoomScaleSheetLayoutView="100" workbookViewId="0"/>
  </sheetViews>
  <sheetFormatPr defaultColWidth="11.33203125" defaultRowHeight="18.75" customHeight="1" x14ac:dyDescent="0.2"/>
  <cols>
    <col min="1" max="1" width="2.88671875" style="20" customWidth="1"/>
    <col min="2" max="2" width="16.6640625" style="1" customWidth="1"/>
    <col min="3" max="3" width="8.886718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59</v>
      </c>
      <c r="I1" s="18" t="s">
        <v>91</v>
      </c>
    </row>
    <row r="2" spans="1:9" ht="18.75" customHeight="1" x14ac:dyDescent="0.2">
      <c r="G2" s="18" t="s">
        <v>93</v>
      </c>
      <c r="H2" s="106" t="str">
        <f>'様式１　プログラムを構成する授業科目'!C2</f>
        <v>実践女子大学</v>
      </c>
      <c r="I2" s="108"/>
    </row>
    <row r="3" spans="1:9" ht="18.75" customHeight="1" x14ac:dyDescent="0.2">
      <c r="G3" s="18"/>
      <c r="H3" s="10"/>
      <c r="I3" s="10"/>
    </row>
    <row r="4" spans="1:9" ht="18.600000000000001" customHeight="1" x14ac:dyDescent="0.2">
      <c r="A4" s="147" t="s">
        <v>36</v>
      </c>
      <c r="B4" s="147"/>
      <c r="C4" s="147"/>
      <c r="D4" s="147"/>
      <c r="E4" s="147"/>
      <c r="F4" s="147"/>
      <c r="G4" s="147"/>
      <c r="H4" s="147"/>
      <c r="I4" s="147"/>
    </row>
    <row r="5" spans="1:9" ht="13.35" customHeight="1" x14ac:dyDescent="0.2">
      <c r="B5" s="3"/>
      <c r="C5" s="3"/>
      <c r="D5" s="3"/>
      <c r="E5" s="3"/>
      <c r="F5" s="3"/>
      <c r="G5" s="3"/>
      <c r="H5" s="3"/>
      <c r="I5" s="3"/>
    </row>
    <row r="6" spans="1:9" ht="18" customHeight="1" x14ac:dyDescent="0.2">
      <c r="A6" s="1" t="s">
        <v>0</v>
      </c>
      <c r="B6" s="10" t="s">
        <v>81</v>
      </c>
      <c r="C6" s="194" t="s">
        <v>82</v>
      </c>
      <c r="D6" s="194"/>
      <c r="E6" s="17">
        <v>190</v>
      </c>
      <c r="F6" s="3" t="s">
        <v>1</v>
      </c>
      <c r="G6" s="3" t="s">
        <v>2</v>
      </c>
      <c r="H6" s="17">
        <v>398</v>
      </c>
      <c r="I6" s="10" t="s">
        <v>1</v>
      </c>
    </row>
    <row r="7" spans="1:9" ht="12" customHeight="1" x14ac:dyDescent="0.2">
      <c r="C7" s="2"/>
      <c r="D7" s="2"/>
      <c r="E7" s="2"/>
      <c r="F7" s="2"/>
      <c r="G7" s="2"/>
      <c r="H7" s="2"/>
      <c r="I7" s="21"/>
    </row>
    <row r="8" spans="1:9" ht="18" customHeight="1" x14ac:dyDescent="0.2">
      <c r="A8" s="1" t="s">
        <v>3</v>
      </c>
      <c r="B8" s="10" t="s">
        <v>83</v>
      </c>
      <c r="E8" s="3"/>
      <c r="F8" s="3"/>
      <c r="G8" s="3"/>
      <c r="H8" s="17">
        <v>18</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73" t="s">
        <v>147</v>
      </c>
      <c r="D11" s="193"/>
      <c r="E11" s="174"/>
      <c r="F11" s="21"/>
      <c r="G11" s="18" t="s">
        <v>10</v>
      </c>
      <c r="H11" s="173" t="s">
        <v>148</v>
      </c>
      <c r="I11" s="174"/>
    </row>
    <row r="12" spans="1:9" ht="10.35"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73" t="s">
        <v>191</v>
      </c>
      <c r="C14" s="191"/>
      <c r="D14" s="191"/>
      <c r="E14" s="191"/>
      <c r="F14" s="191"/>
      <c r="G14" s="191"/>
      <c r="H14" s="191"/>
      <c r="I14" s="192"/>
    </row>
    <row r="15" spans="1:9" ht="9" customHeight="1" x14ac:dyDescent="0.2">
      <c r="B15" s="3"/>
      <c r="C15" s="3"/>
      <c r="D15" s="3"/>
      <c r="E15" s="3"/>
      <c r="F15" s="3"/>
      <c r="G15" s="3"/>
      <c r="H15" s="3"/>
      <c r="I15" s="3"/>
    </row>
    <row r="16" spans="1:9" ht="18" customHeight="1" x14ac:dyDescent="0.2">
      <c r="B16" s="18" t="s">
        <v>41</v>
      </c>
      <c r="C16" s="173" t="s">
        <v>189</v>
      </c>
      <c r="D16" s="193"/>
      <c r="E16" s="174"/>
      <c r="F16" s="21"/>
      <c r="G16" s="18" t="s">
        <v>10</v>
      </c>
      <c r="H16" s="173" t="s">
        <v>149</v>
      </c>
      <c r="I16" s="174"/>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76" t="s">
        <v>194</v>
      </c>
      <c r="C19" s="177"/>
      <c r="D19" s="177"/>
      <c r="E19" s="177"/>
      <c r="F19" s="177"/>
      <c r="G19" s="177"/>
      <c r="H19" s="177"/>
      <c r="I19" s="178"/>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79" t="s">
        <v>192</v>
      </c>
      <c r="C22" s="180"/>
      <c r="D22" s="180"/>
      <c r="E22" s="180"/>
      <c r="F22" s="180"/>
      <c r="G22" s="180"/>
      <c r="H22" s="180"/>
      <c r="I22" s="181"/>
    </row>
    <row r="23" spans="1:9" ht="18.75" customHeight="1" x14ac:dyDescent="0.2">
      <c r="A23" s="14"/>
      <c r="B23" s="182"/>
      <c r="C23" s="183"/>
      <c r="D23" s="183"/>
      <c r="E23" s="183"/>
      <c r="F23" s="183"/>
      <c r="G23" s="183"/>
      <c r="H23" s="183"/>
      <c r="I23" s="184"/>
    </row>
    <row r="24" spans="1:9" ht="18.75" customHeight="1" x14ac:dyDescent="0.2">
      <c r="A24" s="14"/>
      <c r="B24" s="182"/>
      <c r="C24" s="183"/>
      <c r="D24" s="183"/>
      <c r="E24" s="183"/>
      <c r="F24" s="183"/>
      <c r="G24" s="183"/>
      <c r="H24" s="183"/>
      <c r="I24" s="184"/>
    </row>
    <row r="25" spans="1:9" ht="18.75" customHeight="1" x14ac:dyDescent="0.2">
      <c r="A25" s="14"/>
      <c r="B25" s="182"/>
      <c r="C25" s="183"/>
      <c r="D25" s="183"/>
      <c r="E25" s="183"/>
      <c r="F25" s="183"/>
      <c r="G25" s="183"/>
      <c r="H25" s="183"/>
      <c r="I25" s="184"/>
    </row>
    <row r="26" spans="1:9" ht="18.75" customHeight="1" x14ac:dyDescent="0.2">
      <c r="A26" s="14"/>
      <c r="B26" s="182"/>
      <c r="C26" s="183"/>
      <c r="D26" s="183"/>
      <c r="E26" s="183"/>
      <c r="F26" s="183"/>
      <c r="G26" s="183"/>
      <c r="H26" s="183"/>
      <c r="I26" s="184"/>
    </row>
    <row r="27" spans="1:9" ht="18.75" customHeight="1" x14ac:dyDescent="0.2">
      <c r="A27" s="14"/>
      <c r="B27" s="182"/>
      <c r="C27" s="183"/>
      <c r="D27" s="183"/>
      <c r="E27" s="183"/>
      <c r="F27" s="183"/>
      <c r="G27" s="183"/>
      <c r="H27" s="183"/>
      <c r="I27" s="184"/>
    </row>
    <row r="28" spans="1:9" ht="18.75" customHeight="1" x14ac:dyDescent="0.2">
      <c r="A28" s="14"/>
      <c r="B28" s="182"/>
      <c r="C28" s="183"/>
      <c r="D28" s="183"/>
      <c r="E28" s="183"/>
      <c r="F28" s="183"/>
      <c r="G28" s="183"/>
      <c r="H28" s="183"/>
      <c r="I28" s="184"/>
    </row>
    <row r="29" spans="1:9" ht="18.75" customHeight="1" x14ac:dyDescent="0.2">
      <c r="A29" s="14"/>
      <c r="B29" s="182"/>
      <c r="C29" s="183"/>
      <c r="D29" s="183"/>
      <c r="E29" s="183"/>
      <c r="F29" s="183"/>
      <c r="G29" s="183"/>
      <c r="H29" s="183"/>
      <c r="I29" s="184"/>
    </row>
    <row r="30" spans="1:9" ht="18.75" customHeight="1" x14ac:dyDescent="0.2">
      <c r="A30" s="14"/>
      <c r="B30" s="185"/>
      <c r="C30" s="186"/>
      <c r="D30" s="186"/>
      <c r="E30" s="186"/>
      <c r="F30" s="186"/>
      <c r="G30" s="186"/>
      <c r="H30" s="186"/>
      <c r="I30" s="184"/>
    </row>
    <row r="31" spans="1:9" ht="18.75" customHeight="1" x14ac:dyDescent="0.2">
      <c r="A31" s="14"/>
      <c r="B31" s="185"/>
      <c r="C31" s="186"/>
      <c r="D31" s="186"/>
      <c r="E31" s="186"/>
      <c r="F31" s="186"/>
      <c r="G31" s="186"/>
      <c r="H31" s="186"/>
      <c r="I31" s="184"/>
    </row>
    <row r="32" spans="1:9" ht="18.75" customHeight="1" x14ac:dyDescent="0.2">
      <c r="A32" s="14"/>
      <c r="B32" s="187"/>
      <c r="C32" s="188"/>
      <c r="D32" s="188"/>
      <c r="E32" s="188"/>
      <c r="F32" s="188"/>
      <c r="G32" s="188"/>
      <c r="H32" s="188"/>
      <c r="I32" s="189"/>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90" t="s">
        <v>169</v>
      </c>
      <c r="C35" s="180"/>
      <c r="D35" s="180"/>
      <c r="E35" s="180"/>
      <c r="F35" s="180"/>
      <c r="G35" s="180"/>
      <c r="H35" s="180"/>
      <c r="I35" s="181"/>
    </row>
    <row r="36" spans="1:9" ht="18.75" customHeight="1" x14ac:dyDescent="0.2">
      <c r="A36" s="14"/>
      <c r="B36" s="185"/>
      <c r="C36" s="186"/>
      <c r="D36" s="186"/>
      <c r="E36" s="186"/>
      <c r="F36" s="186"/>
      <c r="G36" s="186"/>
      <c r="H36" s="186"/>
      <c r="I36" s="184"/>
    </row>
    <row r="37" spans="1:9" ht="18.75" customHeight="1" x14ac:dyDescent="0.2">
      <c r="A37" s="14"/>
      <c r="B37" s="185"/>
      <c r="C37" s="186"/>
      <c r="D37" s="186"/>
      <c r="E37" s="186"/>
      <c r="F37" s="186"/>
      <c r="G37" s="186"/>
      <c r="H37" s="186"/>
      <c r="I37" s="184"/>
    </row>
    <row r="38" spans="1:9" ht="18.75" customHeight="1" x14ac:dyDescent="0.2">
      <c r="A38" s="14"/>
      <c r="B38" s="185"/>
      <c r="C38" s="186"/>
      <c r="D38" s="186"/>
      <c r="E38" s="186"/>
      <c r="F38" s="186"/>
      <c r="G38" s="186"/>
      <c r="H38" s="186"/>
      <c r="I38" s="184"/>
    </row>
    <row r="39" spans="1:9" ht="18.75" customHeight="1" x14ac:dyDescent="0.2">
      <c r="A39" s="14"/>
      <c r="B39" s="185"/>
      <c r="C39" s="186"/>
      <c r="D39" s="186"/>
      <c r="E39" s="186"/>
      <c r="F39" s="186"/>
      <c r="G39" s="186"/>
      <c r="H39" s="186"/>
      <c r="I39" s="184"/>
    </row>
    <row r="40" spans="1:9" ht="18.75" customHeight="1" x14ac:dyDescent="0.2">
      <c r="A40" s="14"/>
      <c r="B40" s="185"/>
      <c r="C40" s="186"/>
      <c r="D40" s="186"/>
      <c r="E40" s="186"/>
      <c r="F40" s="186"/>
      <c r="G40" s="186"/>
      <c r="H40" s="186"/>
      <c r="I40" s="184"/>
    </row>
    <row r="41" spans="1:9" ht="18.75" customHeight="1" x14ac:dyDescent="0.2">
      <c r="A41" s="14"/>
      <c r="B41" s="185"/>
      <c r="C41" s="186"/>
      <c r="D41" s="186"/>
      <c r="E41" s="186"/>
      <c r="F41" s="186"/>
      <c r="G41" s="186"/>
      <c r="H41" s="186"/>
      <c r="I41" s="184"/>
    </row>
    <row r="42" spans="1:9" ht="18.75" customHeight="1" x14ac:dyDescent="0.2">
      <c r="A42" s="14"/>
      <c r="B42" s="185"/>
      <c r="C42" s="186"/>
      <c r="D42" s="186"/>
      <c r="E42" s="186"/>
      <c r="F42" s="186"/>
      <c r="G42" s="186"/>
      <c r="H42" s="186"/>
      <c r="I42" s="184"/>
    </row>
    <row r="43" spans="1:9" ht="18.75" customHeight="1" x14ac:dyDescent="0.2">
      <c r="A43" s="14"/>
      <c r="B43" s="185"/>
      <c r="C43" s="186"/>
      <c r="D43" s="186"/>
      <c r="E43" s="186"/>
      <c r="F43" s="186"/>
      <c r="G43" s="186"/>
      <c r="H43" s="186"/>
      <c r="I43" s="184"/>
    </row>
    <row r="44" spans="1:9" ht="18.75" customHeight="1" x14ac:dyDescent="0.2">
      <c r="A44" s="14"/>
      <c r="B44" s="185"/>
      <c r="C44" s="186"/>
      <c r="D44" s="186"/>
      <c r="E44" s="186"/>
      <c r="F44" s="186"/>
      <c r="G44" s="186"/>
      <c r="H44" s="186"/>
      <c r="I44" s="184"/>
    </row>
    <row r="45" spans="1:9" ht="18.75" customHeight="1" x14ac:dyDescent="0.2">
      <c r="A45" s="14"/>
      <c r="B45" s="185"/>
      <c r="C45" s="186"/>
      <c r="D45" s="186"/>
      <c r="E45" s="186"/>
      <c r="F45" s="186"/>
      <c r="G45" s="186"/>
      <c r="H45" s="186"/>
      <c r="I45" s="184"/>
    </row>
    <row r="46" spans="1:9" ht="18.75" customHeight="1" x14ac:dyDescent="0.2">
      <c r="A46" s="14"/>
      <c r="B46" s="187"/>
      <c r="C46" s="188"/>
      <c r="D46" s="188"/>
      <c r="E46" s="188"/>
      <c r="F46" s="188"/>
      <c r="G46" s="188"/>
      <c r="H46" s="188"/>
      <c r="I46" s="189"/>
    </row>
    <row r="47" spans="1:9" ht="7.5" customHeight="1" x14ac:dyDescent="0.2">
      <c r="A47" s="4"/>
      <c r="B47" s="4"/>
      <c r="C47" s="4"/>
      <c r="D47" s="4"/>
      <c r="E47" s="4"/>
      <c r="F47" s="4"/>
      <c r="G47" s="4"/>
      <c r="H47" s="4"/>
      <c r="I47" s="4"/>
    </row>
    <row r="48" spans="1:9" ht="18.75" customHeight="1" x14ac:dyDescent="0.2">
      <c r="A48" s="1" t="s">
        <v>31</v>
      </c>
      <c r="B48" s="1" t="s">
        <v>105</v>
      </c>
      <c r="H48" s="173" t="s">
        <v>149</v>
      </c>
      <c r="I48" s="174"/>
    </row>
    <row r="49" spans="1:15" s="3" customFormat="1" ht="18.75" customHeight="1" x14ac:dyDescent="0.2">
      <c r="B49" s="79" t="s">
        <v>128</v>
      </c>
      <c r="C49" s="216">
        <f>'様式２ 履修者等数の実績'!S33</f>
        <v>0.29350051177072672</v>
      </c>
      <c r="D49" s="216"/>
      <c r="E49" s="79" t="s">
        <v>60</v>
      </c>
      <c r="F49" s="216">
        <v>0.52</v>
      </c>
      <c r="G49" s="216"/>
      <c r="H49" s="79" t="s">
        <v>80</v>
      </c>
      <c r="I49" s="22">
        <v>0.77</v>
      </c>
      <c r="J49" s="1"/>
      <c r="M49" s="1"/>
      <c r="N49" s="23"/>
    </row>
    <row r="50" spans="1:15" s="3" customFormat="1" ht="18.75" customHeight="1" x14ac:dyDescent="0.2">
      <c r="B50" s="80" t="s">
        <v>115</v>
      </c>
      <c r="C50" s="199">
        <v>1</v>
      </c>
      <c r="D50" s="199"/>
      <c r="E50" s="80" t="s">
        <v>129</v>
      </c>
      <c r="F50" s="199">
        <v>1</v>
      </c>
      <c r="G50" s="199"/>
      <c r="H50" s="80" t="s">
        <v>61</v>
      </c>
      <c r="I50" s="24">
        <f>'様式２ 履修者等数の実績'!E33</f>
        <v>3908</v>
      </c>
      <c r="J50" s="1"/>
      <c r="M50" s="1"/>
      <c r="N50" s="23"/>
    </row>
    <row r="51" spans="1:15" ht="18.75" customHeight="1" x14ac:dyDescent="0.2">
      <c r="A51" s="1"/>
      <c r="B51" s="196" t="s">
        <v>62</v>
      </c>
      <c r="C51" s="197"/>
      <c r="D51" s="197"/>
      <c r="E51" s="197"/>
      <c r="F51" s="197"/>
      <c r="G51" s="197"/>
      <c r="H51" s="197"/>
      <c r="I51" s="198"/>
      <c r="N51" s="23"/>
      <c r="O51" s="3"/>
    </row>
    <row r="52" spans="1:15" ht="18.75" customHeight="1" x14ac:dyDescent="0.2">
      <c r="A52" s="1"/>
      <c r="B52" s="217" t="s">
        <v>150</v>
      </c>
      <c r="C52" s="218"/>
      <c r="D52" s="218"/>
      <c r="E52" s="218"/>
      <c r="F52" s="218"/>
      <c r="G52" s="218"/>
      <c r="H52" s="218"/>
      <c r="I52" s="219"/>
      <c r="N52" s="23"/>
      <c r="O52" s="3"/>
    </row>
    <row r="53" spans="1:15" ht="18.75" customHeight="1" x14ac:dyDescent="0.2">
      <c r="A53" s="1"/>
      <c r="B53" s="220"/>
      <c r="C53" s="221"/>
      <c r="D53" s="221"/>
      <c r="E53" s="221"/>
      <c r="F53" s="221"/>
      <c r="G53" s="221"/>
      <c r="H53" s="221"/>
      <c r="I53" s="222"/>
      <c r="N53" s="23"/>
      <c r="O53" s="3"/>
    </row>
    <row r="54" spans="1:15" ht="18.75" customHeight="1" x14ac:dyDescent="0.2">
      <c r="A54" s="1"/>
      <c r="B54" s="220"/>
      <c r="C54" s="221"/>
      <c r="D54" s="221"/>
      <c r="E54" s="221"/>
      <c r="F54" s="221"/>
      <c r="G54" s="221"/>
      <c r="H54" s="221"/>
      <c r="I54" s="222"/>
    </row>
    <row r="55" spans="1:15" ht="18.75" customHeight="1" x14ac:dyDescent="0.2">
      <c r="A55" s="1"/>
      <c r="B55" s="220"/>
      <c r="C55" s="221"/>
      <c r="D55" s="221"/>
      <c r="E55" s="221"/>
      <c r="F55" s="221"/>
      <c r="G55" s="221"/>
      <c r="H55" s="221"/>
      <c r="I55" s="222"/>
    </row>
    <row r="56" spans="1:15" ht="18.75" customHeight="1" x14ac:dyDescent="0.2">
      <c r="A56" s="1"/>
      <c r="B56" s="220"/>
      <c r="C56" s="221"/>
      <c r="D56" s="221"/>
      <c r="E56" s="221"/>
      <c r="F56" s="221"/>
      <c r="G56" s="221"/>
      <c r="H56" s="221"/>
      <c r="I56" s="222"/>
    </row>
    <row r="57" spans="1:15" ht="18.75" customHeight="1" x14ac:dyDescent="0.2">
      <c r="A57" s="1"/>
      <c r="B57" s="220"/>
      <c r="C57" s="221"/>
      <c r="D57" s="221"/>
      <c r="E57" s="221"/>
      <c r="F57" s="221"/>
      <c r="G57" s="221"/>
      <c r="H57" s="221"/>
      <c r="I57" s="222"/>
    </row>
    <row r="58" spans="1:15" ht="18.75" customHeight="1" x14ac:dyDescent="0.2">
      <c r="A58" s="1"/>
      <c r="B58" s="220"/>
      <c r="C58" s="221"/>
      <c r="D58" s="221"/>
      <c r="E58" s="221"/>
      <c r="F58" s="221"/>
      <c r="G58" s="221"/>
      <c r="H58" s="221"/>
      <c r="I58" s="222"/>
    </row>
    <row r="59" spans="1:15" ht="18.75" customHeight="1" x14ac:dyDescent="0.2">
      <c r="A59" s="1"/>
      <c r="B59" s="220"/>
      <c r="C59" s="221"/>
      <c r="D59" s="221"/>
      <c r="E59" s="221"/>
      <c r="F59" s="221"/>
      <c r="G59" s="221"/>
      <c r="H59" s="221"/>
      <c r="I59" s="222"/>
    </row>
    <row r="60" spans="1:15" ht="18.75" customHeight="1" x14ac:dyDescent="0.2">
      <c r="A60" s="1"/>
      <c r="B60" s="220"/>
      <c r="C60" s="221"/>
      <c r="D60" s="221"/>
      <c r="E60" s="221"/>
      <c r="F60" s="221"/>
      <c r="G60" s="221"/>
      <c r="H60" s="221"/>
      <c r="I60" s="222"/>
    </row>
    <row r="61" spans="1:15" ht="18.75" customHeight="1" x14ac:dyDescent="0.2">
      <c r="A61" s="1"/>
      <c r="B61" s="220"/>
      <c r="C61" s="221"/>
      <c r="D61" s="221"/>
      <c r="E61" s="221"/>
      <c r="F61" s="221"/>
      <c r="G61" s="221"/>
      <c r="H61" s="221"/>
      <c r="I61" s="222"/>
    </row>
    <row r="62" spans="1:15" ht="18.75" customHeight="1" x14ac:dyDescent="0.2">
      <c r="A62" s="1"/>
      <c r="B62" s="220"/>
      <c r="C62" s="221"/>
      <c r="D62" s="221"/>
      <c r="E62" s="221"/>
      <c r="F62" s="221"/>
      <c r="G62" s="221"/>
      <c r="H62" s="221"/>
      <c r="I62" s="222"/>
    </row>
    <row r="63" spans="1:15" ht="18.75" customHeight="1" x14ac:dyDescent="0.2">
      <c r="A63" s="1"/>
      <c r="B63" s="223"/>
      <c r="C63" s="224"/>
      <c r="D63" s="224"/>
      <c r="E63" s="224"/>
      <c r="F63" s="224"/>
      <c r="G63" s="224"/>
      <c r="H63" s="224"/>
      <c r="I63" s="225"/>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200" t="s">
        <v>151</v>
      </c>
      <c r="C66" s="201"/>
      <c r="D66" s="201"/>
      <c r="E66" s="201"/>
      <c r="F66" s="201"/>
      <c r="G66" s="201"/>
      <c r="H66" s="201"/>
      <c r="I66" s="202"/>
    </row>
    <row r="67" spans="1:9" ht="18.75" customHeight="1" x14ac:dyDescent="0.2">
      <c r="A67" s="4"/>
      <c r="B67" s="203"/>
      <c r="C67" s="204"/>
      <c r="D67" s="204"/>
      <c r="E67" s="204"/>
      <c r="F67" s="204"/>
      <c r="G67" s="204"/>
      <c r="H67" s="204"/>
      <c r="I67" s="205"/>
    </row>
    <row r="68" spans="1:9" ht="18.75" customHeight="1" x14ac:dyDescent="0.2">
      <c r="A68" s="4"/>
      <c r="B68" s="203"/>
      <c r="C68" s="204"/>
      <c r="D68" s="204"/>
      <c r="E68" s="204"/>
      <c r="F68" s="204"/>
      <c r="G68" s="204"/>
      <c r="H68" s="204"/>
      <c r="I68" s="205"/>
    </row>
    <row r="69" spans="1:9" ht="18.75" customHeight="1" x14ac:dyDescent="0.2">
      <c r="A69" s="4"/>
      <c r="B69" s="203"/>
      <c r="C69" s="204"/>
      <c r="D69" s="204"/>
      <c r="E69" s="204"/>
      <c r="F69" s="204"/>
      <c r="G69" s="204"/>
      <c r="H69" s="204"/>
      <c r="I69" s="205"/>
    </row>
    <row r="70" spans="1:9" ht="18.75" customHeight="1" x14ac:dyDescent="0.2">
      <c r="A70" s="4"/>
      <c r="B70" s="203"/>
      <c r="C70" s="204"/>
      <c r="D70" s="204"/>
      <c r="E70" s="204"/>
      <c r="F70" s="204"/>
      <c r="G70" s="204"/>
      <c r="H70" s="204"/>
      <c r="I70" s="205"/>
    </row>
    <row r="71" spans="1:9" ht="18.75" customHeight="1" x14ac:dyDescent="0.2">
      <c r="A71" s="4"/>
      <c r="B71" s="203"/>
      <c r="C71" s="204"/>
      <c r="D71" s="204"/>
      <c r="E71" s="204"/>
      <c r="F71" s="204"/>
      <c r="G71" s="204"/>
      <c r="H71" s="204"/>
      <c r="I71" s="205"/>
    </row>
    <row r="72" spans="1:9" ht="18.75" customHeight="1" x14ac:dyDescent="0.2">
      <c r="A72" s="4"/>
      <c r="B72" s="203"/>
      <c r="C72" s="204"/>
      <c r="D72" s="204"/>
      <c r="E72" s="204"/>
      <c r="F72" s="204"/>
      <c r="G72" s="204"/>
      <c r="H72" s="204"/>
      <c r="I72" s="205"/>
    </row>
    <row r="73" spans="1:9" ht="18.75" customHeight="1" x14ac:dyDescent="0.2">
      <c r="A73" s="4"/>
      <c r="B73" s="203"/>
      <c r="C73" s="204"/>
      <c r="D73" s="204"/>
      <c r="E73" s="204"/>
      <c r="F73" s="204"/>
      <c r="G73" s="204"/>
      <c r="H73" s="204"/>
      <c r="I73" s="205"/>
    </row>
    <row r="74" spans="1:9" ht="18.75" customHeight="1" x14ac:dyDescent="0.2">
      <c r="A74" s="4"/>
      <c r="B74" s="203"/>
      <c r="C74" s="204"/>
      <c r="D74" s="204"/>
      <c r="E74" s="204"/>
      <c r="F74" s="204"/>
      <c r="G74" s="204"/>
      <c r="H74" s="204"/>
      <c r="I74" s="205"/>
    </row>
    <row r="75" spans="1:9" ht="18.75" customHeight="1" x14ac:dyDescent="0.2">
      <c r="A75" s="4"/>
      <c r="B75" s="203"/>
      <c r="C75" s="204"/>
      <c r="D75" s="204"/>
      <c r="E75" s="204"/>
      <c r="F75" s="204"/>
      <c r="G75" s="204"/>
      <c r="H75" s="204"/>
      <c r="I75" s="205"/>
    </row>
    <row r="76" spans="1:9" ht="18.75" customHeight="1" x14ac:dyDescent="0.2">
      <c r="A76" s="4"/>
      <c r="B76" s="203"/>
      <c r="C76" s="204"/>
      <c r="D76" s="204"/>
      <c r="E76" s="204"/>
      <c r="F76" s="204"/>
      <c r="G76" s="204"/>
      <c r="H76" s="204"/>
      <c r="I76" s="205"/>
    </row>
    <row r="77" spans="1:9" ht="18.75" customHeight="1" x14ac:dyDescent="0.2">
      <c r="A77" s="4"/>
      <c r="B77" s="206"/>
      <c r="C77" s="207"/>
      <c r="D77" s="207"/>
      <c r="E77" s="207"/>
      <c r="F77" s="207"/>
      <c r="G77" s="207"/>
      <c r="H77" s="207"/>
      <c r="I77" s="208"/>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200" t="s">
        <v>152</v>
      </c>
      <c r="C80" s="201"/>
      <c r="D80" s="201"/>
      <c r="E80" s="201"/>
      <c r="F80" s="201"/>
      <c r="G80" s="201"/>
      <c r="H80" s="201"/>
      <c r="I80" s="209"/>
    </row>
    <row r="81" spans="1:9" ht="18.75" customHeight="1" x14ac:dyDescent="0.2">
      <c r="A81" s="1"/>
      <c r="B81" s="210"/>
      <c r="C81" s="211"/>
      <c r="D81" s="211"/>
      <c r="E81" s="211"/>
      <c r="F81" s="211"/>
      <c r="G81" s="211"/>
      <c r="H81" s="211"/>
      <c r="I81" s="212"/>
    </row>
    <row r="82" spans="1:9" ht="18.75" customHeight="1" x14ac:dyDescent="0.2">
      <c r="A82" s="1"/>
      <c r="B82" s="210"/>
      <c r="C82" s="211"/>
      <c r="D82" s="211"/>
      <c r="E82" s="211"/>
      <c r="F82" s="211"/>
      <c r="G82" s="211"/>
      <c r="H82" s="211"/>
      <c r="I82" s="212"/>
    </row>
    <row r="83" spans="1:9" ht="18.75" customHeight="1" x14ac:dyDescent="0.2">
      <c r="A83" s="1"/>
      <c r="B83" s="210"/>
      <c r="C83" s="211"/>
      <c r="D83" s="211"/>
      <c r="E83" s="211"/>
      <c r="F83" s="211"/>
      <c r="G83" s="211"/>
      <c r="H83" s="211"/>
      <c r="I83" s="212"/>
    </row>
    <row r="84" spans="1:9" ht="18.75" customHeight="1" x14ac:dyDescent="0.2">
      <c r="A84" s="1"/>
      <c r="B84" s="210"/>
      <c r="C84" s="211"/>
      <c r="D84" s="211"/>
      <c r="E84" s="211"/>
      <c r="F84" s="211"/>
      <c r="G84" s="211"/>
      <c r="H84" s="211"/>
      <c r="I84" s="212"/>
    </row>
    <row r="85" spans="1:9" ht="18.75" customHeight="1" x14ac:dyDescent="0.2">
      <c r="A85" s="1"/>
      <c r="B85" s="210"/>
      <c r="C85" s="211"/>
      <c r="D85" s="211"/>
      <c r="E85" s="211"/>
      <c r="F85" s="211"/>
      <c r="G85" s="211"/>
      <c r="H85" s="211"/>
      <c r="I85" s="212"/>
    </row>
    <row r="86" spans="1:9" ht="18.75" customHeight="1" x14ac:dyDescent="0.2">
      <c r="A86" s="1"/>
      <c r="B86" s="210"/>
      <c r="C86" s="211"/>
      <c r="D86" s="211"/>
      <c r="E86" s="211"/>
      <c r="F86" s="211"/>
      <c r="G86" s="211"/>
      <c r="H86" s="211"/>
      <c r="I86" s="212"/>
    </row>
    <row r="87" spans="1:9" ht="18.75" customHeight="1" x14ac:dyDescent="0.2">
      <c r="A87" s="1"/>
      <c r="B87" s="210"/>
      <c r="C87" s="211"/>
      <c r="D87" s="211"/>
      <c r="E87" s="211"/>
      <c r="F87" s="211"/>
      <c r="G87" s="211"/>
      <c r="H87" s="211"/>
      <c r="I87" s="212"/>
    </row>
    <row r="88" spans="1:9" ht="18.75" customHeight="1" x14ac:dyDescent="0.2">
      <c r="A88" s="1"/>
      <c r="B88" s="210"/>
      <c r="C88" s="211"/>
      <c r="D88" s="211"/>
      <c r="E88" s="211"/>
      <c r="F88" s="211"/>
      <c r="G88" s="211"/>
      <c r="H88" s="211"/>
      <c r="I88" s="212"/>
    </row>
    <row r="89" spans="1:9" ht="18.75" customHeight="1" x14ac:dyDescent="0.2">
      <c r="A89" s="1"/>
      <c r="B89" s="210"/>
      <c r="C89" s="211"/>
      <c r="D89" s="211"/>
      <c r="E89" s="211"/>
      <c r="F89" s="211"/>
      <c r="G89" s="211"/>
      <c r="H89" s="211"/>
      <c r="I89" s="212"/>
    </row>
    <row r="90" spans="1:9" ht="18.75" customHeight="1" x14ac:dyDescent="0.2">
      <c r="A90" s="4"/>
      <c r="B90" s="210"/>
      <c r="C90" s="211"/>
      <c r="D90" s="211"/>
      <c r="E90" s="211"/>
      <c r="F90" s="211"/>
      <c r="G90" s="211"/>
      <c r="H90" s="211"/>
      <c r="I90" s="212"/>
    </row>
    <row r="91" spans="1:9" ht="18.75" customHeight="1" x14ac:dyDescent="0.2">
      <c r="A91" s="4"/>
      <c r="B91" s="213"/>
      <c r="C91" s="214"/>
      <c r="D91" s="214"/>
      <c r="E91" s="214"/>
      <c r="F91" s="214"/>
      <c r="G91" s="214"/>
      <c r="H91" s="214"/>
      <c r="I91" s="215"/>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79" t="s">
        <v>153</v>
      </c>
      <c r="C94" s="180"/>
      <c r="D94" s="180"/>
      <c r="E94" s="180"/>
      <c r="F94" s="180"/>
      <c r="G94" s="180"/>
      <c r="H94" s="180"/>
      <c r="I94" s="181"/>
    </row>
    <row r="95" spans="1:9" ht="18.75" customHeight="1" x14ac:dyDescent="0.2">
      <c r="A95" s="1"/>
      <c r="B95" s="185"/>
      <c r="C95" s="186"/>
      <c r="D95" s="186"/>
      <c r="E95" s="186"/>
      <c r="F95" s="186"/>
      <c r="G95" s="186"/>
      <c r="H95" s="186"/>
      <c r="I95" s="184"/>
    </row>
    <row r="96" spans="1:9" ht="18.75" customHeight="1" x14ac:dyDescent="0.2">
      <c r="A96" s="1"/>
      <c r="B96" s="185"/>
      <c r="C96" s="186"/>
      <c r="D96" s="186"/>
      <c r="E96" s="186"/>
      <c r="F96" s="186"/>
      <c r="G96" s="186"/>
      <c r="H96" s="186"/>
      <c r="I96" s="184"/>
    </row>
    <row r="97" spans="1:9" ht="18.75" customHeight="1" x14ac:dyDescent="0.2">
      <c r="A97" s="1"/>
      <c r="B97" s="185"/>
      <c r="C97" s="186"/>
      <c r="D97" s="186"/>
      <c r="E97" s="186"/>
      <c r="F97" s="186"/>
      <c r="G97" s="186"/>
      <c r="H97" s="186"/>
      <c r="I97" s="184"/>
    </row>
    <row r="98" spans="1:9" ht="18.75" customHeight="1" x14ac:dyDescent="0.2">
      <c r="A98" s="1"/>
      <c r="B98" s="185"/>
      <c r="C98" s="186"/>
      <c r="D98" s="186"/>
      <c r="E98" s="186"/>
      <c r="F98" s="186"/>
      <c r="G98" s="186"/>
      <c r="H98" s="186"/>
      <c r="I98" s="184"/>
    </row>
    <row r="99" spans="1:9" ht="18.75" customHeight="1" x14ac:dyDescent="0.2">
      <c r="A99" s="1"/>
      <c r="B99" s="185"/>
      <c r="C99" s="186"/>
      <c r="D99" s="186"/>
      <c r="E99" s="186"/>
      <c r="F99" s="186"/>
      <c r="G99" s="186"/>
      <c r="H99" s="186"/>
      <c r="I99" s="184"/>
    </row>
    <row r="100" spans="1:9" ht="18.75" customHeight="1" x14ac:dyDescent="0.2">
      <c r="A100" s="1"/>
      <c r="B100" s="185"/>
      <c r="C100" s="186"/>
      <c r="D100" s="186"/>
      <c r="E100" s="186"/>
      <c r="F100" s="186"/>
      <c r="G100" s="186"/>
      <c r="H100" s="186"/>
      <c r="I100" s="184"/>
    </row>
    <row r="101" spans="1:9" ht="18.75" customHeight="1" x14ac:dyDescent="0.2">
      <c r="A101" s="1"/>
      <c r="B101" s="185"/>
      <c r="C101" s="186"/>
      <c r="D101" s="186"/>
      <c r="E101" s="186"/>
      <c r="F101" s="186"/>
      <c r="G101" s="186"/>
      <c r="H101" s="186"/>
      <c r="I101" s="184"/>
    </row>
    <row r="102" spans="1:9" ht="18.75" customHeight="1" x14ac:dyDescent="0.2">
      <c r="A102" s="1"/>
      <c r="B102" s="185"/>
      <c r="C102" s="186"/>
      <c r="D102" s="186"/>
      <c r="E102" s="186"/>
      <c r="F102" s="186"/>
      <c r="G102" s="186"/>
      <c r="H102" s="186"/>
      <c r="I102" s="184"/>
    </row>
    <row r="103" spans="1:9" ht="18.75" customHeight="1" x14ac:dyDescent="0.2">
      <c r="A103" s="1"/>
      <c r="B103" s="185"/>
      <c r="C103" s="186"/>
      <c r="D103" s="186"/>
      <c r="E103" s="186"/>
      <c r="F103" s="186"/>
      <c r="G103" s="186"/>
      <c r="H103" s="186"/>
      <c r="I103" s="184"/>
    </row>
    <row r="104" spans="1:9" ht="18.75" customHeight="1" x14ac:dyDescent="0.2">
      <c r="A104" s="1"/>
      <c r="B104" s="185"/>
      <c r="C104" s="186"/>
      <c r="D104" s="186"/>
      <c r="E104" s="186"/>
      <c r="F104" s="186"/>
      <c r="G104" s="186"/>
      <c r="H104" s="186"/>
      <c r="I104" s="184"/>
    </row>
    <row r="105" spans="1:9" ht="18.75" customHeight="1" x14ac:dyDescent="0.2">
      <c r="A105" s="4"/>
      <c r="B105" s="187"/>
      <c r="C105" s="188"/>
      <c r="D105" s="188"/>
      <c r="E105" s="188"/>
      <c r="F105" s="188"/>
      <c r="G105" s="188"/>
      <c r="H105" s="188"/>
      <c r="I105" s="189"/>
    </row>
    <row r="106" spans="1:9" ht="7.5" customHeight="1" x14ac:dyDescent="0.2">
      <c r="A106" s="4"/>
      <c r="B106" s="4"/>
      <c r="C106" s="4"/>
      <c r="D106" s="4"/>
      <c r="E106" s="4"/>
      <c r="F106" s="4"/>
      <c r="G106" s="4"/>
      <c r="H106" s="4"/>
      <c r="I106" s="4"/>
    </row>
    <row r="107" spans="1:9" ht="18.75" customHeight="1" x14ac:dyDescent="0.2">
      <c r="A107" s="1" t="s">
        <v>30</v>
      </c>
      <c r="B107" s="195" t="s">
        <v>44</v>
      </c>
      <c r="C107" s="195"/>
      <c r="D107" s="195"/>
      <c r="E107" s="195"/>
      <c r="F107" s="195"/>
      <c r="G107" s="195"/>
      <c r="H107" s="195"/>
      <c r="I107" s="195"/>
    </row>
    <row r="108" spans="1:9" ht="18.75" customHeight="1" x14ac:dyDescent="0.2">
      <c r="A108" s="4"/>
      <c r="B108" s="179" t="s">
        <v>154</v>
      </c>
      <c r="C108" s="180"/>
      <c r="D108" s="180"/>
      <c r="E108" s="180"/>
      <c r="F108" s="180"/>
      <c r="G108" s="180"/>
      <c r="H108" s="180"/>
      <c r="I108" s="181"/>
    </row>
    <row r="109" spans="1:9" ht="18.75" customHeight="1" x14ac:dyDescent="0.2">
      <c r="A109" s="4"/>
      <c r="B109" s="185"/>
      <c r="C109" s="186"/>
      <c r="D109" s="186"/>
      <c r="E109" s="186"/>
      <c r="F109" s="186"/>
      <c r="G109" s="186"/>
      <c r="H109" s="186"/>
      <c r="I109" s="184"/>
    </row>
    <row r="110" spans="1:9" ht="18.75" customHeight="1" x14ac:dyDescent="0.2">
      <c r="A110" s="4"/>
      <c r="B110" s="185"/>
      <c r="C110" s="186"/>
      <c r="D110" s="186"/>
      <c r="E110" s="186"/>
      <c r="F110" s="186"/>
      <c r="G110" s="186"/>
      <c r="H110" s="186"/>
      <c r="I110" s="184"/>
    </row>
    <row r="111" spans="1:9" ht="18.75" customHeight="1" x14ac:dyDescent="0.2">
      <c r="A111" s="4"/>
      <c r="B111" s="185"/>
      <c r="C111" s="186"/>
      <c r="D111" s="186"/>
      <c r="E111" s="186"/>
      <c r="F111" s="186"/>
      <c r="G111" s="186"/>
      <c r="H111" s="186"/>
      <c r="I111" s="184"/>
    </row>
    <row r="112" spans="1:9" ht="18.75" customHeight="1" x14ac:dyDescent="0.2">
      <c r="A112" s="4"/>
      <c r="B112" s="185"/>
      <c r="C112" s="186"/>
      <c r="D112" s="186"/>
      <c r="E112" s="186"/>
      <c r="F112" s="186"/>
      <c r="G112" s="186"/>
      <c r="H112" s="186"/>
      <c r="I112" s="184"/>
    </row>
    <row r="113" spans="1:9" ht="18.75" customHeight="1" x14ac:dyDescent="0.2">
      <c r="A113" s="4"/>
      <c r="B113" s="185"/>
      <c r="C113" s="186"/>
      <c r="D113" s="186"/>
      <c r="E113" s="186"/>
      <c r="F113" s="186"/>
      <c r="G113" s="186"/>
      <c r="H113" s="186"/>
      <c r="I113" s="184"/>
    </row>
    <row r="114" spans="1:9" ht="18.75" customHeight="1" x14ac:dyDescent="0.2">
      <c r="A114" s="4"/>
      <c r="B114" s="185"/>
      <c r="C114" s="186"/>
      <c r="D114" s="186"/>
      <c r="E114" s="186"/>
      <c r="F114" s="186"/>
      <c r="G114" s="186"/>
      <c r="H114" s="186"/>
      <c r="I114" s="184"/>
    </row>
    <row r="115" spans="1:9" ht="18.75" customHeight="1" x14ac:dyDescent="0.2">
      <c r="A115" s="4"/>
      <c r="B115" s="185"/>
      <c r="C115" s="186"/>
      <c r="D115" s="186"/>
      <c r="E115" s="186"/>
      <c r="F115" s="186"/>
      <c r="G115" s="186"/>
      <c r="H115" s="186"/>
      <c r="I115" s="184"/>
    </row>
    <row r="116" spans="1:9" ht="18.75" customHeight="1" x14ac:dyDescent="0.2">
      <c r="A116" s="4"/>
      <c r="B116" s="185"/>
      <c r="C116" s="186"/>
      <c r="D116" s="186"/>
      <c r="E116" s="186"/>
      <c r="F116" s="186"/>
      <c r="G116" s="186"/>
      <c r="H116" s="186"/>
      <c r="I116" s="184"/>
    </row>
    <row r="117" spans="1:9" ht="18.75" customHeight="1" x14ac:dyDescent="0.2">
      <c r="A117" s="4"/>
      <c r="B117" s="185"/>
      <c r="C117" s="186"/>
      <c r="D117" s="186"/>
      <c r="E117" s="186"/>
      <c r="F117" s="186"/>
      <c r="G117" s="186"/>
      <c r="H117" s="186"/>
      <c r="I117" s="184"/>
    </row>
    <row r="118" spans="1:9" ht="18.75" customHeight="1" x14ac:dyDescent="0.2">
      <c r="A118" s="4"/>
      <c r="B118" s="185"/>
      <c r="C118" s="186"/>
      <c r="D118" s="186"/>
      <c r="E118" s="186"/>
      <c r="F118" s="186"/>
      <c r="G118" s="186"/>
      <c r="H118" s="186"/>
      <c r="I118" s="184"/>
    </row>
    <row r="119" spans="1:9" ht="18.75" customHeight="1" x14ac:dyDescent="0.2">
      <c r="A119" s="4"/>
      <c r="B119" s="187"/>
      <c r="C119" s="188"/>
      <c r="D119" s="188"/>
      <c r="E119" s="188"/>
      <c r="F119" s="188"/>
      <c r="G119" s="188"/>
      <c r="H119" s="188"/>
      <c r="I119" s="189"/>
    </row>
    <row r="120" spans="1:9" ht="7.5" customHeight="1" x14ac:dyDescent="0.2">
      <c r="A120" s="4"/>
      <c r="B120" s="25"/>
      <c r="C120" s="25"/>
      <c r="D120" s="25"/>
      <c r="E120" s="25"/>
      <c r="F120" s="25"/>
      <c r="G120" s="25"/>
      <c r="H120" s="25"/>
      <c r="I120" s="25"/>
    </row>
    <row r="121" spans="1:9" ht="18.75" customHeight="1" x14ac:dyDescent="0.2">
      <c r="A121" s="49"/>
      <c r="B121" s="175"/>
      <c r="C121" s="175"/>
      <c r="D121" s="175"/>
      <c r="E121" s="175"/>
      <c r="F121" s="175"/>
      <c r="G121" s="175"/>
      <c r="H121" s="175"/>
      <c r="I121" s="175"/>
    </row>
    <row r="122" spans="1:9" ht="18.75" customHeight="1" x14ac:dyDescent="0.2">
      <c r="A122" s="49"/>
      <c r="B122" s="175"/>
      <c r="C122" s="175"/>
      <c r="D122" s="175"/>
      <c r="E122" s="175"/>
      <c r="F122" s="175"/>
      <c r="G122" s="175"/>
      <c r="H122" s="175"/>
      <c r="I122" s="175"/>
    </row>
    <row r="123" spans="1:9" ht="18.75" customHeight="1" x14ac:dyDescent="0.2">
      <c r="A123" s="4"/>
      <c r="B123" s="50"/>
      <c r="C123" s="50"/>
      <c r="D123" s="50"/>
      <c r="E123" s="50"/>
      <c r="F123" s="50"/>
      <c r="G123" s="50"/>
      <c r="H123" s="50"/>
      <c r="I123" s="51"/>
    </row>
    <row r="124" spans="1:9" ht="18.75" customHeight="1" x14ac:dyDescent="0.2">
      <c r="A124" s="4"/>
      <c r="B124" s="51"/>
      <c r="C124" s="51"/>
      <c r="D124" s="51"/>
      <c r="E124" s="51"/>
      <c r="F124" s="51"/>
      <c r="G124" s="51"/>
      <c r="H124" s="51"/>
      <c r="I124" s="51"/>
    </row>
    <row r="125" spans="1:9" ht="18.75" customHeight="1" x14ac:dyDescent="0.2">
      <c r="A125" s="4"/>
      <c r="B125" s="51"/>
      <c r="C125" s="51"/>
      <c r="D125" s="51"/>
      <c r="E125" s="51"/>
      <c r="F125" s="51"/>
      <c r="G125" s="51"/>
      <c r="H125" s="51"/>
      <c r="I125" s="51"/>
    </row>
    <row r="126" spans="1:9" ht="18.75" customHeight="1" x14ac:dyDescent="0.2">
      <c r="A126" s="4"/>
      <c r="B126" s="51"/>
      <c r="C126" s="51"/>
      <c r="D126" s="51"/>
      <c r="E126" s="51"/>
      <c r="F126" s="51"/>
      <c r="G126" s="51"/>
      <c r="H126" s="51"/>
      <c r="I126" s="51"/>
    </row>
    <row r="127" spans="1:9" ht="18.75" customHeight="1" x14ac:dyDescent="0.2">
      <c r="A127" s="4"/>
      <c r="B127" s="51"/>
      <c r="C127" s="51"/>
      <c r="D127" s="51"/>
      <c r="E127" s="51"/>
      <c r="F127" s="51"/>
      <c r="G127" s="51"/>
      <c r="H127" s="51"/>
      <c r="I127" s="51"/>
    </row>
    <row r="128" spans="1:9" ht="18.75" customHeight="1" x14ac:dyDescent="0.2">
      <c r="A128" s="4"/>
      <c r="B128" s="51"/>
      <c r="C128" s="51"/>
      <c r="D128" s="51"/>
      <c r="E128" s="51"/>
      <c r="F128" s="51"/>
      <c r="G128" s="51"/>
      <c r="H128" s="51"/>
      <c r="I128" s="51"/>
    </row>
    <row r="129" spans="1:9" ht="18.75" customHeight="1" x14ac:dyDescent="0.2">
      <c r="A129" s="4"/>
      <c r="B129" s="51"/>
      <c r="C129" s="51"/>
      <c r="D129" s="51"/>
      <c r="E129" s="51"/>
      <c r="F129" s="51"/>
      <c r="G129" s="51"/>
      <c r="H129" s="51"/>
      <c r="I129" s="51"/>
    </row>
    <row r="130" spans="1:9" ht="18.75" customHeight="1" x14ac:dyDescent="0.2">
      <c r="A130" s="4"/>
      <c r="B130" s="51"/>
      <c r="C130" s="51"/>
      <c r="D130" s="51"/>
      <c r="E130" s="51"/>
      <c r="F130" s="51"/>
      <c r="G130" s="51"/>
      <c r="H130" s="51"/>
      <c r="I130" s="51"/>
    </row>
    <row r="131" spans="1:9" ht="18.75" customHeight="1" x14ac:dyDescent="0.2">
      <c r="A131" s="4"/>
      <c r="B131" s="51"/>
      <c r="C131" s="51"/>
      <c r="D131" s="51"/>
      <c r="E131" s="51"/>
      <c r="F131" s="51"/>
      <c r="G131" s="51"/>
      <c r="H131" s="51"/>
      <c r="I131" s="51"/>
    </row>
    <row r="132" spans="1:9" ht="18.75" customHeight="1" x14ac:dyDescent="0.2">
      <c r="A132" s="4"/>
      <c r="B132" s="51"/>
      <c r="C132" s="51"/>
      <c r="D132" s="51"/>
      <c r="E132" s="51"/>
      <c r="F132" s="51"/>
      <c r="G132" s="51"/>
      <c r="H132" s="51"/>
      <c r="I132" s="51"/>
    </row>
    <row r="133" spans="1:9" ht="14.4" x14ac:dyDescent="0.2">
      <c r="A133" s="4"/>
      <c r="B133" s="51"/>
      <c r="C133" s="51"/>
      <c r="D133" s="51"/>
      <c r="E133" s="51"/>
      <c r="F133" s="51"/>
      <c r="G133" s="51"/>
      <c r="H133" s="51"/>
      <c r="I133" s="51"/>
    </row>
    <row r="134" spans="1:9" ht="7.5" customHeight="1" x14ac:dyDescent="0.2">
      <c r="A134" s="4"/>
      <c r="B134" s="51"/>
      <c r="C134" s="51"/>
      <c r="D134" s="51"/>
      <c r="E134" s="51"/>
      <c r="F134" s="51"/>
      <c r="G134" s="51"/>
      <c r="H134" s="51"/>
      <c r="I134" s="51"/>
    </row>
  </sheetData>
  <mergeCells count="24">
    <mergeCell ref="B51:I51"/>
    <mergeCell ref="F50:G50"/>
    <mergeCell ref="B66:I77"/>
    <mergeCell ref="B80:I91"/>
    <mergeCell ref="C49:D49"/>
    <mergeCell ref="C50:D50"/>
    <mergeCell ref="F49:G49"/>
    <mergeCell ref="B52:I63"/>
    <mergeCell ref="H48:I48"/>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J30"/>
  <sheetViews>
    <sheetView showZeros="0" view="pageBreakPreview" zoomScale="98" zoomScaleNormal="100" zoomScaleSheetLayoutView="90" workbookViewId="0"/>
  </sheetViews>
  <sheetFormatPr defaultColWidth="11.33203125" defaultRowHeight="22.5" customHeight="1" x14ac:dyDescent="0.2"/>
  <cols>
    <col min="1" max="3" width="2.88671875" style="1" customWidth="1"/>
    <col min="4" max="4" width="22.109375" style="1" customWidth="1"/>
    <col min="5" max="5" width="30.88671875" style="1" customWidth="1"/>
    <col min="6" max="7" width="7.88671875" style="1" customWidth="1"/>
    <col min="8" max="9" width="30.88671875" style="1" customWidth="1"/>
    <col min="10" max="10" width="5" style="1" bestFit="1" customWidth="1"/>
    <col min="11" max="16384" width="11.33203125" style="1"/>
  </cols>
  <sheetData>
    <row r="1" spans="1:10" ht="18.75" customHeight="1" x14ac:dyDescent="0.2">
      <c r="A1" s="1" t="s">
        <v>63</v>
      </c>
      <c r="I1" s="18" t="s">
        <v>90</v>
      </c>
    </row>
    <row r="2" spans="1:10" ht="18.75" customHeight="1" x14ac:dyDescent="0.2">
      <c r="H2" s="18" t="s">
        <v>93</v>
      </c>
      <c r="I2" s="17" t="str">
        <f>'様式１　プログラムを構成する授業科目'!C2</f>
        <v>実践女子大学</v>
      </c>
    </row>
    <row r="3" spans="1:10" ht="18.75" customHeight="1" x14ac:dyDescent="0.2">
      <c r="A3" s="147" t="s">
        <v>28</v>
      </c>
      <c r="B3" s="147"/>
      <c r="C3" s="147"/>
      <c r="D3" s="147"/>
      <c r="E3" s="147"/>
      <c r="F3" s="147"/>
      <c r="G3" s="147"/>
      <c r="H3" s="147"/>
      <c r="I3" s="147"/>
    </row>
    <row r="4" spans="1:10" ht="18.75" customHeight="1" x14ac:dyDescent="0.2">
      <c r="A4" s="5"/>
      <c r="B4" s="5"/>
      <c r="C4" s="5"/>
      <c r="D4" s="5"/>
      <c r="E4" s="5"/>
      <c r="F4" s="5"/>
      <c r="G4" s="5"/>
      <c r="H4" s="5"/>
      <c r="I4" s="5"/>
    </row>
    <row r="5" spans="1:10" ht="18.75" customHeight="1" x14ac:dyDescent="0.2">
      <c r="A5" s="1" t="s">
        <v>0</v>
      </c>
      <c r="B5" s="10" t="s">
        <v>85</v>
      </c>
      <c r="C5" s="5"/>
      <c r="D5" s="5"/>
      <c r="E5" s="5"/>
      <c r="F5" s="5"/>
      <c r="G5" s="5"/>
      <c r="H5" s="5"/>
      <c r="I5" s="5"/>
    </row>
    <row r="6" spans="1:10" ht="26.25" customHeight="1" x14ac:dyDescent="0.2">
      <c r="A6" s="5"/>
      <c r="B6" s="173" t="s">
        <v>195</v>
      </c>
      <c r="C6" s="236"/>
      <c r="D6" s="236"/>
      <c r="E6" s="236"/>
      <c r="F6" s="236"/>
      <c r="G6" s="236"/>
      <c r="H6" s="237"/>
      <c r="I6" s="3"/>
    </row>
    <row r="7" spans="1:10" ht="9" customHeight="1" x14ac:dyDescent="0.2">
      <c r="A7" s="5"/>
      <c r="B7" s="10"/>
      <c r="C7" s="10"/>
      <c r="D7" s="10"/>
      <c r="E7" s="10"/>
      <c r="F7" s="10"/>
      <c r="G7" s="10"/>
      <c r="H7" s="10"/>
      <c r="I7" s="3"/>
    </row>
    <row r="8" spans="1:10" ht="18.75" customHeight="1" x14ac:dyDescent="0.2">
      <c r="A8" s="5"/>
      <c r="B8" s="3"/>
      <c r="C8" s="3"/>
      <c r="D8" s="18" t="s">
        <v>41</v>
      </c>
      <c r="E8" s="19" t="s">
        <v>155</v>
      </c>
      <c r="F8" s="3"/>
      <c r="G8" s="18" t="s">
        <v>10</v>
      </c>
      <c r="H8" s="19" t="s">
        <v>156</v>
      </c>
      <c r="I8" s="3"/>
    </row>
    <row r="9" spans="1:10" ht="7.5" customHeight="1" x14ac:dyDescent="0.2">
      <c r="A9" s="5"/>
      <c r="B9" s="5"/>
      <c r="C9" s="5"/>
      <c r="D9" s="5"/>
      <c r="E9" s="5"/>
      <c r="F9" s="5"/>
      <c r="G9" s="5"/>
      <c r="H9" s="5"/>
      <c r="I9" s="5"/>
    </row>
    <row r="10" spans="1:10" ht="18.75" customHeight="1" x14ac:dyDescent="0.2">
      <c r="A10" s="1" t="s">
        <v>3</v>
      </c>
      <c r="B10" s="1" t="s">
        <v>27</v>
      </c>
      <c r="C10" s="4"/>
      <c r="D10" s="4"/>
      <c r="E10" s="4"/>
      <c r="F10" s="4"/>
      <c r="G10" s="4"/>
      <c r="H10" s="4"/>
      <c r="I10" s="4"/>
    </row>
    <row r="11" spans="1:10" ht="18.75" customHeight="1" x14ac:dyDescent="0.2">
      <c r="B11" s="106" t="s">
        <v>24</v>
      </c>
      <c r="C11" s="107"/>
      <c r="D11" s="108"/>
      <c r="E11" s="107" t="s">
        <v>26</v>
      </c>
      <c r="F11" s="107"/>
      <c r="G11" s="107"/>
      <c r="H11" s="107"/>
      <c r="I11" s="108"/>
    </row>
    <row r="12" spans="1:10" ht="26.25" customHeight="1" x14ac:dyDescent="0.2">
      <c r="B12" s="26" t="s">
        <v>14</v>
      </c>
      <c r="C12" s="33"/>
      <c r="D12" s="27"/>
      <c r="E12" s="238"/>
      <c r="F12" s="239"/>
      <c r="G12" s="239"/>
      <c r="H12" s="239"/>
      <c r="I12" s="240"/>
    </row>
    <row r="13" spans="1:10" ht="210.75" customHeight="1" x14ac:dyDescent="0.2">
      <c r="B13" s="28"/>
      <c r="C13" s="231" t="s">
        <v>15</v>
      </c>
      <c r="D13" s="232"/>
      <c r="E13" s="233" t="s">
        <v>170</v>
      </c>
      <c r="F13" s="234"/>
      <c r="G13" s="234"/>
      <c r="H13" s="234"/>
      <c r="I13" s="235"/>
      <c r="J13" s="1">
        <f t="shared" ref="J13" si="0">LEN(E13)</f>
        <v>298</v>
      </c>
    </row>
    <row r="14" spans="1:10" ht="210.75" customHeight="1" x14ac:dyDescent="0.2">
      <c r="B14" s="28"/>
      <c r="C14" s="226" t="s">
        <v>16</v>
      </c>
      <c r="D14" s="227"/>
      <c r="E14" s="228" t="s">
        <v>171</v>
      </c>
      <c r="F14" s="229"/>
      <c r="G14" s="229"/>
      <c r="H14" s="229"/>
      <c r="I14" s="230"/>
      <c r="J14" s="1">
        <f>LEN(E14)</f>
        <v>274</v>
      </c>
    </row>
    <row r="15" spans="1:10" ht="210.75" customHeight="1" x14ac:dyDescent="0.2">
      <c r="B15" s="28"/>
      <c r="C15" s="231" t="s">
        <v>17</v>
      </c>
      <c r="D15" s="232"/>
      <c r="E15" s="233" t="s">
        <v>172</v>
      </c>
      <c r="F15" s="234"/>
      <c r="G15" s="234"/>
      <c r="H15" s="234"/>
      <c r="I15" s="235"/>
      <c r="J15" s="1">
        <f t="shared" ref="J15:J22" si="1">LEN(E15)</f>
        <v>284</v>
      </c>
    </row>
    <row r="16" spans="1:10" ht="210.75" customHeight="1" x14ac:dyDescent="0.2">
      <c r="B16" s="28"/>
      <c r="C16" s="231" t="s">
        <v>18</v>
      </c>
      <c r="D16" s="232"/>
      <c r="E16" s="233" t="s">
        <v>157</v>
      </c>
      <c r="F16" s="234"/>
      <c r="G16" s="234"/>
      <c r="H16" s="234"/>
      <c r="I16" s="235"/>
      <c r="J16" s="1">
        <f t="shared" si="1"/>
        <v>149</v>
      </c>
    </row>
    <row r="17" spans="2:10" ht="210.75" customHeight="1" x14ac:dyDescent="0.2">
      <c r="B17" s="29"/>
      <c r="C17" s="241" t="s">
        <v>19</v>
      </c>
      <c r="D17" s="242"/>
      <c r="E17" s="243" t="s">
        <v>158</v>
      </c>
      <c r="F17" s="244"/>
      <c r="G17" s="244"/>
      <c r="H17" s="244"/>
      <c r="I17" s="245"/>
      <c r="J17" s="1">
        <f t="shared" si="1"/>
        <v>71</v>
      </c>
    </row>
    <row r="18" spans="2:10" ht="24" customHeight="1" x14ac:dyDescent="0.2">
      <c r="B18" s="26" t="s">
        <v>20</v>
      </c>
      <c r="C18" s="30"/>
      <c r="D18" s="31"/>
      <c r="E18" s="32"/>
      <c r="F18" s="32"/>
      <c r="G18" s="32"/>
      <c r="H18" s="32"/>
      <c r="I18" s="34"/>
      <c r="J18" s="1">
        <f t="shared" si="1"/>
        <v>0</v>
      </c>
    </row>
    <row r="19" spans="2:10" ht="218.25" customHeight="1" x14ac:dyDescent="0.2">
      <c r="B19" s="28"/>
      <c r="C19" s="231" t="s">
        <v>21</v>
      </c>
      <c r="D19" s="232"/>
      <c r="E19" s="234" t="s">
        <v>159</v>
      </c>
      <c r="F19" s="234"/>
      <c r="G19" s="234"/>
      <c r="H19" s="234"/>
      <c r="I19" s="235"/>
      <c r="J19" s="1">
        <f t="shared" si="1"/>
        <v>212</v>
      </c>
    </row>
    <row r="20" spans="2:10" ht="218.25" customHeight="1" x14ac:dyDescent="0.2">
      <c r="B20" s="29"/>
      <c r="C20" s="241" t="s">
        <v>22</v>
      </c>
      <c r="D20" s="242"/>
      <c r="E20" s="244" t="s">
        <v>160</v>
      </c>
      <c r="F20" s="244"/>
      <c r="G20" s="244"/>
      <c r="H20" s="244"/>
      <c r="I20" s="245"/>
      <c r="J20" s="1">
        <f t="shared" si="1"/>
        <v>232</v>
      </c>
    </row>
    <row r="21" spans="2:10" ht="218.25" customHeight="1" x14ac:dyDescent="0.2">
      <c r="B21" s="251" t="s">
        <v>23</v>
      </c>
      <c r="C21" s="252"/>
      <c r="D21" s="253"/>
      <c r="E21" s="254" t="s">
        <v>161</v>
      </c>
      <c r="F21" s="254"/>
      <c r="G21" s="254"/>
      <c r="H21" s="254"/>
      <c r="I21" s="255"/>
      <c r="J21" s="1">
        <f t="shared" si="1"/>
        <v>202</v>
      </c>
    </row>
    <row r="22" spans="2:10" ht="218.25" customHeight="1" x14ac:dyDescent="0.2">
      <c r="B22" s="246" t="s">
        <v>120</v>
      </c>
      <c r="C22" s="247"/>
      <c r="D22" s="248"/>
      <c r="E22" s="249" t="s">
        <v>162</v>
      </c>
      <c r="F22" s="249"/>
      <c r="G22" s="249"/>
      <c r="H22" s="249"/>
      <c r="I22" s="250"/>
      <c r="J22" s="1">
        <f t="shared" si="1"/>
        <v>191</v>
      </c>
    </row>
    <row r="23" spans="2:10" ht="22.5" customHeight="1" x14ac:dyDescent="0.2">
      <c r="B23" s="4"/>
      <c r="C23" s="4"/>
      <c r="D23" s="4"/>
      <c r="E23" s="4"/>
      <c r="F23" s="4"/>
      <c r="G23" s="4"/>
      <c r="H23" s="4"/>
      <c r="I23" s="4"/>
    </row>
    <row r="24" spans="2:10" ht="22.5" customHeight="1" x14ac:dyDescent="0.2">
      <c r="B24" s="4"/>
      <c r="C24" s="4"/>
      <c r="D24" s="4"/>
      <c r="E24" s="4"/>
      <c r="F24" s="4"/>
      <c r="G24" s="4"/>
      <c r="H24" s="4"/>
      <c r="I24" s="4"/>
    </row>
    <row r="25" spans="2:10" ht="22.5" customHeight="1" x14ac:dyDescent="0.2">
      <c r="B25" s="4"/>
      <c r="C25" s="4"/>
      <c r="D25" s="4"/>
      <c r="E25" s="4"/>
      <c r="F25" s="4"/>
      <c r="G25" s="4"/>
      <c r="H25" s="4"/>
      <c r="I25" s="4"/>
    </row>
    <row r="26" spans="2:10" ht="22.5" customHeight="1" x14ac:dyDescent="0.2">
      <c r="B26" s="4"/>
      <c r="C26" s="4"/>
      <c r="D26" s="4"/>
      <c r="E26" s="4"/>
      <c r="F26" s="4"/>
      <c r="G26" s="4"/>
      <c r="H26" s="4"/>
      <c r="I26" s="4"/>
    </row>
    <row r="27" spans="2:10" ht="22.5" customHeight="1" x14ac:dyDescent="0.2">
      <c r="B27" s="4"/>
      <c r="C27" s="4"/>
      <c r="D27" s="4"/>
      <c r="E27" s="4"/>
      <c r="F27" s="4"/>
      <c r="G27" s="4"/>
      <c r="H27" s="4"/>
      <c r="I27" s="4"/>
    </row>
    <row r="28" spans="2:10" ht="22.5" customHeight="1" x14ac:dyDescent="0.2">
      <c r="B28" s="14"/>
      <c r="C28" s="14"/>
      <c r="D28" s="14"/>
      <c r="E28" s="14"/>
      <c r="F28" s="14"/>
      <c r="G28" s="14"/>
      <c r="H28" s="14"/>
      <c r="I28" s="14"/>
    </row>
    <row r="29" spans="2:10" ht="22.5" customHeight="1" x14ac:dyDescent="0.2">
      <c r="B29" s="14"/>
      <c r="C29" s="14"/>
      <c r="D29" s="14"/>
      <c r="E29" s="14"/>
      <c r="F29" s="14"/>
      <c r="G29" s="14"/>
      <c r="H29" s="14"/>
      <c r="I29" s="14"/>
    </row>
    <row r="30" spans="2:10" ht="22.5" customHeight="1" x14ac:dyDescent="0.2">
      <c r="B30" s="14"/>
      <c r="C30" s="14"/>
      <c r="D30" s="14"/>
      <c r="E30" s="14"/>
      <c r="F30" s="14"/>
      <c r="G30" s="14"/>
      <c r="H30" s="14"/>
      <c r="I30" s="14"/>
    </row>
  </sheetData>
  <mergeCells count="23">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 ref="E12:I12"/>
  </mergeCells>
  <phoneticPr fontId="1"/>
  <printOptions horizontalCentered="1"/>
  <pageMargins left="0.78740157480314965" right="0.78740157480314965" top="0.78740157480314965" bottom="0.59055118110236227" header="0.31496062992125984" footer="0.31496062992125984"/>
  <pageSetup paperSize="9" scale="61"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高須 功也</dc:creator>
  <cp:lastModifiedBy>高須功也</cp:lastModifiedBy>
  <cp:lastPrinted>2025-07-07T09:02:29Z</cp:lastPrinted>
  <dcterms:created xsi:type="dcterms:W3CDTF">2011-06-14T05:32:50Z</dcterms:created>
  <dcterms:modified xsi:type="dcterms:W3CDTF">2025-07-07T09:02:46Z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