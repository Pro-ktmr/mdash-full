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kyomu-fs\GYOMU\時間割_New\01_時間割チーム\03_授業運営\72_数理データサイエンスAIプログラム申請\文科省申請書類\リテラシーレベル\申請書類\南山大学\01_南山大学_リテラシー\"/>
    </mc:Choice>
  </mc:AlternateContent>
  <bookViews>
    <workbookView xWindow="29610" yWindow="-120" windowWidth="28110" windowHeight="1644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<sst xmlns="http://schemas.openxmlformats.org/spreadsheetml/2006/main" count="287" uniqueCount="191">
  <si>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</si>
  <si>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</si>
  <si>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</si>
  <si>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</si>
  <si>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</si>
  <si>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</si>
  <si>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</si>
  <si>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</si>
  <si>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</si>
  <si>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</si>
  <si>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</si>
  <si>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</si>
  <si>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</si>
  <si>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</si>
  <si>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</si>
  <si>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</si>
  <si>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</si>
  <si>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</si>
  <si>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</si>
  <si>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</si>
  <si>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</si>
  <si>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</si>
  <si>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</si>
  <si>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</si>
  <si>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</si>
  <si>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</si>
  <si>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</si>
  <si>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</si>
  <si>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</si>
  <si>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</si>
  <si>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</si>
  <si>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</si>
  <si>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</si>
  <si>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</si>
  <si>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</si>
  <si>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</si>
  <si>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</si>
  <si>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</si>
  <si>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</si>
  <si>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</si>
  <si>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</si>
  <si>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</si>
  <si>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</si>
  <si>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</si>
  <si>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</si>
  <si>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</si>
  <si>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</si>
  <si>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</si>
  <si>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</si>
  <si>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</si>
  <si>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</si>
  <si>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</si>
  <si>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</si>
  <si>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</si>
  <si>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</si>
  <si>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</si>
  <si>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</si>
  <si>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</si>
  <si>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</si>
  <si>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</si>
  <si>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</si>
  <si>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</si>
  <si>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</si>
  <si>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</si>
  <si>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</si>
  <si>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</si>
  <si>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</si>
  <si>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</si>
  <si>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</si>
  <si>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</si>
  <si>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</si>
  <si>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</si>
  <si>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</si>
  <si>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</si>
  <si>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</si>
  <si>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</si>
  <si>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</si>
  <si>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</si>
  <si>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</si>
  <si>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</si>
  <si>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</si>
  <si>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</si>
  <si>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</si>
  <si>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</si>
  <si>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</si>
  <si>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</si>
  <si>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</si>
  <si>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</si>
  <si>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</si>
  <si>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</si>
  <si>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</si>
  <si>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</si>
  <si>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</si>
  <si>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</si>
  <si>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</si>
  <si>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</si>
  <si>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</si>
  <si>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</si>
  <si>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</si>
  <si>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</si>
  <si>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</si>
  <si>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</si>
  <si>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</si>
  <si>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</si>
  <si>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</si>
  <si>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</si>
  <si>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</si>
  <si>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</si>
  <si>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</si>
  <si>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</si>
  <si>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</si>
  <si>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</si>
  <si>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</si>
  <si>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</si>
  <si>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</si>
  <si>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</si>
  <si>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</si>
  <si>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</si>
  <si>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</si>
  <si>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</si>
  <si>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</si>
  <si>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</si>
  <si>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</si>
  <si>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</si>
  <si>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</si>
  <si>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</si>
  <si>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</si>
  <si>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</si>
  <si>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</si>
  <si>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</si>
  <si>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</si>
  <si>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</si>
  <si>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</si>
  <si>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</si>
  <si>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</si>
  <si>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</si>
  <si>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</si>
  <si>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</si>
  <si>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</si>
  <si>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</si>
  <si>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</si>
  <si>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</si>
  <si>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</si>
  <si>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南山大学</t>
    <phoneticPr fontId="1"/>
  </si>
  <si>
    <t>南山大学 数理・データサイエンス・AI教育プログラム（リテラシーレベル）</t>
    <phoneticPr fontId="1"/>
  </si>
  <si>
    <t>学部・学科によって、修了要件は相違しない</t>
  </si>
  <si>
    <t>プログラムを構成する共通教育科目の学際科目（科学と情報）「データサイエンス入門」の1科目を取得すること。
※データサイエンス入門は選択必修科目。</t>
    <phoneticPr fontId="1"/>
  </si>
  <si>
    <t>データサイエンス入門</t>
    <phoneticPr fontId="1"/>
  </si>
  <si>
    <t>○</t>
  </si>
  <si>
    <t>「データサイエンス入門」（1回目）
　 ・ データ駆動型社会、Society5.0
（詳細）
 　・社会で起きている変化
　 　データ駆動型社会とは何か。
 　　日常生活で活用されるICT
　 ・Society5.0とこれから目指すべき社会の方向性。
　 ・DXと新たなサービス（音楽・動画配信など）。</t>
    <phoneticPr fontId="1"/>
  </si>
  <si>
    <t>「データサイエンス入門」（2回目）
  ・AI等を活用した新しいビジネスモデル、AI最新技術の活用例
（詳細）
　・社会で起きている変化
　・あらゆるモノがインターネットにつながる時代（IoT）。
  ・ビッグデータとサーバの性能向上、その可能性。
　・ビッグデータの分類（オープンデータなど）。
　・データを取り扱う際の注意点。</t>
    <phoneticPr fontId="1"/>
  </si>
  <si>
    <t>「データサイエンス入門」（2回目）
　・調査データ、実験データ、構造化データ、非構造化データ（文章、画像/動画、音声/音楽など）
（詳細）
　・AI時代の到来
　・機械学習、ディープラーニング（言語処理、動画処理、音楽処理など）、強化学習など。
　・AIの活用領域と活用例（サービス、教育、医療分野など）。
　・自動化技術（自動運転のレベル）。
　・AI利用の負の事例。</t>
    <phoneticPr fontId="1"/>
  </si>
  <si>
    <t>「データサイエンス入門」（2回目）
　・データ・AI活用領域の広がり（生産、消費、文化活動など）
（詳細）
　・AI時代の到来  ・AI活用による働き方の変化(流通、製造、金融、サービスなど）。
　・個人情報の保護。
　・ELSI（Ethical, Legal and Social Issues)。
　・データ倫理（ねつ造、改ざん、盗用への注意）。
　・AI社会原則とAI進化の方向性。</t>
    <phoneticPr fontId="1"/>
  </si>
  <si>
    <t>「データサイエンス入門」（3回目）
　・データ解析：予測、グルーピング、パターン発見、最適化、シミュレーション・データ同化など
（詳細）
　・データ活用と必要なスキル
　・「データ活用力」への期待。
　・データと分析結果の対応関係。　</t>
    <phoneticPr fontId="1"/>
  </si>
  <si>
    <t>「データサイエンス入門」（3回目）
　・データサイエンスのサイクル（課題抽出と定式化、データの取得・管理・加工、探索的データ解析、データ解析と推論、結果の共有・伝達、課題解決に向けた提案）
（詳細）
　・データ活用と必要なスキル。
　・分析結果を利用する人になって考える。
　・データ分析のためのスキル（Excelを駆使する）。</t>
    <phoneticPr fontId="1"/>
  </si>
  <si>
    <t>「データサイエンス入門」（4回目）
　・個人情報保護、データ倫理：データのねつ造、改ざん、盗用、プライバシー保護
（詳細）
　・データを守るための留意事項
　・情報セキュリティについて考える。
　・情報セキュリティ対策。</t>
    <phoneticPr fontId="1"/>
  </si>
  <si>
    <t>「データサイエンス入門」（4回目）
　・情報セキュリティ：機密性、完全性、可用性
（詳細）
　・データを守るための留意事項
　・利用者のセキュリティ上の注意点。
　・個人情報の管理。</t>
    <phoneticPr fontId="1"/>
  </si>
  <si>
    <t>「データサイエンス入門」（5、6、7、8回目）
　・データの種類（量的変数、質的変数）、データの分布（ヒストグラム）と代表値（平均値、中央値、最頻値）、クロス集計表
（詳細）
　・さまざまなデータのタイプ（5回目）
　　1次データと2次データの違い。
　・アンケートデータを要約しよう（6回目）
　　アンケートデータのタイプとデータの入力。
　・データを比較して仮説を考えよう（7回目）
　　データの集計（和、平均）
　　データの種類（量的変数、質的変数）と「仮説思考」。
　　クロス集計とデータ表現（棒グラム、ヒストグラム、折れ線グラフ）。
　　データを代表値で要約する　代表値（平均値、中央値、最頻値）の活用とその限界（8回目）。
　　不適切なグラフ表現。</t>
    <phoneticPr fontId="1"/>
  </si>
  <si>
    <t>「データサイエンス入門」（9、10、11、12回目）
　・データ表現（棒グラフ、折線グラフ、散布図、ヒートマップ）、データの図表表現（チャート化）、データの比較（条件をそろえた比較、処理の前後での比較、A/Bテスト）
（詳細）
　・量的変数をばらつきで要約する（9回目）
　　「ばらつき」の数値化。
　・平均値と標準偏差を活用しよう（10回目）
　　異なる単位の変数の比較と「標準化」。
　・散布図を活用して関係性を分析する（11回目）
　　2変数の関係性の把握と相関分析。
　　データ解析ツール（分析ツール）の使い方。
　・データ分析するために知っておきたいポイント（12回目）
　　分析結果の伝え方。</t>
    <phoneticPr fontId="1"/>
  </si>
  <si>
    <t>「データサイエンス入門」（13,14,15回目）
　・データの集計（和、平均）、データの並び替え、表形式のデータ（ｃｓｖ）
（詳細）
　・さまざまなデータの取得（13回目）
　　表形式のデータ（CSVなど）。
　　インターネットによるデータの探索。
　・データの活用（14回目）
　　取得データへのアプローチ方法。
　・総合演習（15回目）
　　データの取得、分析、およびその結果の報告。</t>
    <phoneticPr fontId="1"/>
  </si>
  <si>
    <t>1. 社会変化とデータ・AI利活用の最新動向について把握できる。
2. データ・AI利活用の活用領域、その方法、留意点について説明できる。
3. データ分析ソフトを用いて、データを収集し、加工し、それら結果を説明できる。</t>
    <phoneticPr fontId="1"/>
  </si>
  <si>
    <t>人文学部</t>
    <rPh sb="0" eb="4">
      <t>ジンブンガクブ</t>
    </rPh>
    <phoneticPr fontId="1"/>
  </si>
  <si>
    <t>外国語学部</t>
    <rPh sb="0" eb="3">
      <t>ガイコクゴ</t>
    </rPh>
    <rPh sb="3" eb="5">
      <t>ガクブ</t>
    </rPh>
    <phoneticPr fontId="1"/>
  </si>
  <si>
    <t>経済学部</t>
    <rPh sb="0" eb="2">
      <t>ケイザイ</t>
    </rPh>
    <rPh sb="2" eb="4">
      <t>ガクブ</t>
    </rPh>
    <phoneticPr fontId="1"/>
  </si>
  <si>
    <t>経営学部</t>
    <rPh sb="0" eb="2">
      <t>ケイエイ</t>
    </rPh>
    <rPh sb="2" eb="4">
      <t>ガクブ</t>
    </rPh>
    <phoneticPr fontId="1"/>
  </si>
  <si>
    <t>法学部</t>
    <rPh sb="0" eb="3">
      <t>ホウガクブ</t>
    </rPh>
    <phoneticPr fontId="1"/>
  </si>
  <si>
    <t>総合政策学部</t>
    <rPh sb="0" eb="4">
      <t>ソウゴウセイサク</t>
    </rPh>
    <rPh sb="4" eb="6">
      <t>ガクブ</t>
    </rPh>
    <phoneticPr fontId="1"/>
  </si>
  <si>
    <t>理工学部</t>
    <rPh sb="0" eb="4">
      <t>リコウガクブ</t>
    </rPh>
    <phoneticPr fontId="1"/>
  </si>
  <si>
    <t>国際教養学部</t>
    <rPh sb="0" eb="2">
      <t>コクサイ</t>
    </rPh>
    <rPh sb="2" eb="4">
      <t>キョウヨウ</t>
    </rPh>
    <rPh sb="4" eb="6">
      <t>ガクブ</t>
    </rPh>
    <phoneticPr fontId="1"/>
  </si>
  <si>
    <t>南川　和充</t>
    <phoneticPr fontId="1"/>
  </si>
  <si>
    <t>教務部長</t>
    <phoneticPr fontId="1"/>
  </si>
  <si>
    <t>南山大学共通教育委員会</t>
    <phoneticPr fontId="1"/>
  </si>
  <si>
    <t>共通教育委員会委員長</t>
    <phoneticPr fontId="1"/>
  </si>
  <si>
    <t>南山大学共通教育委員会規程</t>
    <phoneticPr fontId="1"/>
  </si>
  <si>
    <t>　共通教育委員会は、全学カリキュラム委員会、各学部教授会、外国語教育センター、体育教育センター、情報センターおよび国際センターとの緊密な連携のもとに、「共通教育科目」にかかわる事項を運営連絡することを目的として設置している。
　共通教育委員会の管掌事項の一つとして、数理・データサイエンス・AI 教育プログラム（リテラシーレベル）の改善・進化および自己点検・評価に関する事項を担っている。</t>
    <phoneticPr fontId="1"/>
  </si>
  <si>
    <t>　本授業においては、Excel等、PCの実習を取り入れた授業内容を含めているため、各クラスの定員を限定しているが、次年度以降も定員以上に需要があることが確認できた場合は、更なるクラスの増加や、学生TAを活用して1クラスあたりの定員を拡充すること、それでも不足する場合は、遠隔授業やオンデマンド授業の技術を活用し、全ての希望者が履修できる環境を構築することも視野に入れて検討をすることとしている。</t>
    <phoneticPr fontId="1"/>
  </si>
  <si>
    <t>　大学入学時の新入生ガイダンスでの周知のほか、本学Webサイト、学内専用のポータルサイトに本プログラム専用ページを構築して、本プログラムの授業内容の重要性や社会的に必要となっていることを説明する。また、本プログラム用に開講している科目は、一般教養に位置づけられる共通教育科目に設定していることから、入門的な科目であることや、学部学科を問わず履修できる科目であることをPRしていく。
　また、毎年作成・公表する自己点検・評価報告書には、履修学生による授業評価アンケートに記載された学生の声も掲載するなど、未履修の学生が興味を引くサイトを構築していく。</t>
    <phoneticPr fontId="1"/>
  </si>
  <si>
    <t>　口頭や板書の説明だけでなく、実際にPCやExcelを使用して進めていく授業形式としている。PCを使用した演習時間についても、教員が教室を巡回しており、操作方法がわからない学生がいればサポートを行い、必要があれば全体にフィードバックしている。
　また、授業内容をもとにして作成した課題を定期的に課し、理解の定着を進めている。</t>
    <phoneticPr fontId="1"/>
  </si>
  <si>
    <t>　LMSにて質問を受け付ける体制を用意している。受け付けた質問については、個々の受講生に回答をし、授業内容や課題の理解を促すようにしている。また、それら受け付けた質問で代表的なものに対しては、授業内において解説を行うこととしている。さらに、本授業担当教員間で定期的に情報共有を行い、別のクラスにおいても補足的に解説することも行う体制としている。</t>
    <phoneticPr fontId="1"/>
  </si>
  <si>
    <t>　本教育プログラムの科目は、全学対象の共通教育科目として開講し、全ての学部生の受講を可能としている。履修登録の変更等を経た令和6年度の最終的な履修状況は次のとおりである。
　データサイエンス入門1： 履修者数47名
　データサイエンス入門2： 履修者数48名
　データサイエンス入門3： 履修者数49名
　データサイエンス入門4： 履修者数50名
　令和6年度は、本プログラムの初年度ということで、秋学期（第3クォーター、第4クォーターに2クラスずつ開講した。履修者数は合計で194名であり、単位取得者は、162名という結果となった。
　履修者の内訳については、所属学科のばらつきは若干あるものの、多くの学生が興味を持っていることが確認できた。</t>
    <phoneticPr fontId="1"/>
  </si>
  <si>
    <t>　合格率が84％に達したことにより、受講生は一定の習熟度に達しているものと理解している。また、学生アンケートによると、「この授業を通して、実社会で使えそうなスキルやノウハウを習得した」という設問に対し、「そう思う」、「強くそう思う」という回答ををした学生が約78％となっており、授業は滞りなく実施でき、学修成果も想定どおりあったものと認識している。</t>
    <phoneticPr fontId="1"/>
  </si>
  <si>
    <t>　本プログラムにおいて、独自のアンケートを実施し、学生の理解度等の詳細な分析に役立てている。令和6年度は、履修者194名中80名から回答を得ている。理解度に対する回答は以下のとおりであった。
・「この授業の内容を理解できた」という設問に対し、「そう思う」、「強くそう思う」という回答ををした学生：約73%
・「この授業の予習・復習に十分な時間を確保した」という設問に対し、「そう思う」、「強くそう思う」という回答ををした学生：約44%
・「この授業には総合的に満足した」という設問に対し、「そう思う」、「強くそう思う」という回答ををした学生：85%
多くの履修生が授業内容を理解、満足しており、一部の学生においては、疑問に感じた点については復習するなどして理解に努めていたことがわかった。学生の意見を科目担当者間で共有し、授業の更なる質の向上に努めていく。</t>
    <phoneticPr fontId="1"/>
  </si>
  <si>
    <t>　アンケートにおいて、「この授業を知人に勧めたいと思う」という設問に対し、「そう思う」、「強くそう思う」という回答ををした学生は約81%となり、概ね学生の求める授業内容となっていることが確認できた。</t>
    <phoneticPr fontId="1"/>
  </si>
  <si>
    <t>　令和6年度において、この授業にエントリーしながらも抽選漏れとなった学生は、定員の合計200名に対し44名であった。この授業への需要に対し、全員を受け入れるためには、もう1クラスの開講が必要な状況であった。
　まだ令和6年度の開講しか行っていないため潜在的な需要については不透明であるが、令和7年度については、２クラスを追加で開講することとし、計6クラス（定員300名）で対応することとしている。
　また、将来的な科目数増を見据え、執行部や学部長が出席する委員会等において、担当教員の選出について協力を求め、クラス数の拡充を図ることとしている。</t>
    <phoneticPr fontId="1"/>
  </si>
  <si>
    <t>　本授業は令和6年度より開始したため、現時点では履修者に卒業生はおらずの履修であり、修了者の進路、活躍状況、企業等の評価を得ることはできない状況である。また、全学部生が履修できるよう全学共通科目に配置しているため、低学年の履修が多い傾向にある。
　そのため、本プログラム修了者進路状況についてのみの確認はできていないが、将来的には進路状況等を確認したいと考えている。</t>
    <phoneticPr fontId="1"/>
  </si>
  <si>
    <t>　今年度の授業終了後に、ベネッセアイキャリア　大社接続事業本部　教育事業戦略部部長様に学生アンケート結果やシラバス等をもとに授業内容を確認していただき、以下の意見をいただいた。
　「履修内容はデータの分析だけでなく、社会環境変化（第四次産業革命・Society5.0）の中でデータやAIを活用する意義や重要性にも触れており、これからの社会に出る学生にとって文理問わず必要なスキルを身に付けさせる教育プログラムになっている点が評価できる。
また、座学ではなく実際にデータを扱い分析し結論を導き出す講義形式は実践的なスキルを身に付けることができるので企業側としても高く評価できる。」
　よい評価をいただいている一方で、できるだけ全員の履修ができるようにすることも求められているので、クラス数の増加等は引き続き検討していくこととしている。</t>
    <phoneticPr fontId="1"/>
  </si>
  <si>
    <t>実際にデータを加工、分析することから得られる統計データが、実社会において活用される事例とリンクすることで、学生は興味をもって授業を受講している。机上だけの学問でなく、あらゆる分野で当該技術が活用されていることを学生に知ってもらうことで、学ぶ楽しさを理解してもらいたい。</t>
    <phoneticPr fontId="1"/>
  </si>
  <si>
    <t>令和6</t>
    <rPh sb="0" eb="2">
      <t>レイワ</t>
    </rPh>
    <phoneticPr fontId="1"/>
  </si>
  <si>
    <t>　本学では、「データサイエンス入門」を全学向けの共通教育科目で開講している。社会科学系の学部生だけでなく、理工学部生も受講していたことで、個々の学生の受講前のレベルに差が生じていた。そのため、初めてExcelを使用する学生からは、「基礎から学べて非常に参考になった」、「与えられたデータからどのようなことが推測できるのかを学ぶことができた」という意見もある一方で、「自分にとっては物足りなかった」、「使用するツールが異なるだけで、新しい発見はなかった」という意見もあった。その他、「AIについてもっと学びたい」という期待の声もあることから、今回の学生アンケート内容を教員間で共有し、授業内容を見直すことや、わかりやすい授業を行うよう心掛けていく。
　また、授業内容が物足りないという学生に対しては上位クラスとなる「応用・基礎レベル」の授業の開講についても検討を進めているところである。</t>
    <rPh sb="40" eb="42">
      <t>カガク</t>
    </rPh>
    <phoneticPr fontId="1"/>
  </si>
  <si>
    <t>　令和6年度において、試験的に4クラス（各定員50名）を開講した結果、定員計200名に対し、履修希望者が223名に達し、定員充足率は約112％となった一方で、履修が叶わなかった学生が44名おり、学生の需要は一定程度あることを確認した。
　これを受け、令和7年度は6クラス（定員計300名）を開講することとしている。その後も段階的に開講クラス数の拡充や教員数を増加させていく計画である（令和8および令和9年度：350名、令和10年度：700名を想定している）。
　現状の計画においては、令和10年度には定員計700名での運用を目指しており、将来的にはオンデマンドの手法を取り入れることや、必修化していくことについても検討を開始している。
　なお、この授業は主に低学年（1～2年次）が履修する全学共通科目に属するため、5年後の令和１０年度には在学生全体の約19%程度の学生が履修済みという状況になることを想定している。
　学生の需要が一定程度あることを認識している一方で、まだ当該科目の存在を把握していない学生に対しては、学内専用のポータルサイトや大学Webページにおいて、本プログラムの詳細について周知を行うこととしている。</t>
    <rPh sb="192" eb="194">
      <t>レイワ</t>
    </rPh>
    <rPh sb="198" eb="200">
      <t>レイワ</t>
    </rPh>
    <rPh sb="201" eb="202">
      <t>ネン</t>
    </rPh>
    <rPh sb="202" eb="203">
      <t>ド</t>
    </rPh>
    <rPh sb="207" eb="208">
      <t>メイ</t>
    </rPh>
    <rPh sb="209" eb="211">
      <t>レイワ</t>
    </rPh>
    <rPh sb="213" eb="214">
      <t>ネン</t>
    </rPh>
    <rPh sb="214" eb="215">
      <t>ド</t>
    </rPh>
    <rPh sb="219" eb="220">
      <t>メイ</t>
    </rPh>
    <rPh sb="221" eb="223">
      <t>ソウテイ</t>
    </rPh>
    <rPh sb="375" eb="376">
      <t>ヤク</t>
    </rPh>
    <rPh sb="379" eb="381">
      <t>テイド</t>
    </rPh>
    <phoneticPr fontId="1"/>
  </si>
  <si>
    <t>南山大学共通教育委員会構成員（令和6年度構成員）
　教務部長（委員長）南川　和充　　　　　　　　　　　　　　　　　　　　　　　　　　  法学部　　　　　　 田中　実　
　教務部次長　　　　 川本　真哉　　　　　　　　　　　　　　　　　　　　　　　　 　   総合政策学部　 　山口　和代
　外国語教育センター副センター長（英語教育部門）　MILES，Richard       理工学部　　　　   宮澤　元
　外国語教育センター副センター長（初習外国語教育部門）　鈴木　史己　 国際教養学部   　YARDLEY，Gabriel
　外国語教育センター副センター長（日本語教育部門）　六川　雅彦          教務課長            谷本　達哉
　宗教教育委員会選出委員　　KUCICKI，Janusz
　人間の尊厳科目委員会選出委員   三好　千春
　体育教育センター選出委員　　　　　加藤　孝基
　情報センター選出委員　　　　　　　　桒原　寛明
　基盤・学際科目委員会選出委員　　伊東　留美
　基盤・学際科目委員会選出委員　　飯田　祥明
　キャリア支援委員会選出委員        宮崎　浩伸
　国際センター選出委員                  佐藤　幸代
　人文学部　　　藤川　美代子
　外国語学部　 金　慧昇
　経済学部　　  梅垣　宏嗣
　経営学部　　  宮元　忠敏</t>
    <rPh sb="28" eb="29">
      <t>ブ</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</si>
</sst>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8"/>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3" fontId="11" fillId="0" borderId="1" xfId="0" applyNumberFormat="1" applyFont="1" applyBorder="1">
      <alignment vertical="center"/>
    </xf>
    <xf numFmtId="38" fontId="11" fillId="0" borderId="1" xfId="2" applyFont="1" applyBorder="1">
      <alignment vertical="center"/>
    </xf>
    <xf numFmtId="0" fontId="2" fillId="0" borderId="14" xfId="0" applyFont="1" applyBorder="1" applyAlignment="1">
      <alignment horizontal="left" vertical="center" shrinkToFit="1"/>
    </xf>
    <xf numFmtId="38" fontId="5" fillId="0" borderId="15" xfId="2" applyFont="1" applyBorder="1">
      <alignment vertical="center"/>
    </xf>
    <xf numFmtId="38" fontId="2" fillId="0" borderId="5" xfId="2" applyFont="1" applyFill="1" applyBorder="1" applyAlignment="1">
      <alignment vertical="center" shrinkToFit="1"/>
    </xf>
    <xf numFmtId="38" fontId="5" fillId="0" borderId="20" xfId="2" applyFont="1" applyBorder="1">
      <alignment vertical="center"/>
    </xf>
    <xf numFmtId="38" fontId="2" fillId="0" borderId="46" xfId="2" applyFont="1" applyFill="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7" fillId="0" borderId="7" xfId="0" applyFont="1" applyBorder="1" applyAlignment="1">
      <alignment vertical="top" wrapText="1" shrinkToFit="1"/>
    </xf>
    <xf numFmtId="0" fontId="7" fillId="0" borderId="8" xfId="0" applyFont="1" applyBorder="1" applyAlignment="1">
      <alignment vertical="top" wrapText="1" shrinkToFit="1"/>
    </xf>
    <xf numFmtId="0" fontId="7" fillId="0" borderId="9" xfId="0" applyFont="1" applyBorder="1" applyAlignment="1">
      <alignment vertical="top" shrinkToFit="1"/>
    </xf>
    <xf numFmtId="0" fontId="7" fillId="0" borderId="5" xfId="0" applyFont="1" applyBorder="1" applyAlignment="1">
      <alignment vertical="top" shrinkToFit="1"/>
    </xf>
    <xf numFmtId="0" fontId="7" fillId="0" borderId="0" xfId="0" applyFont="1" applyAlignment="1">
      <alignment vertical="top" shrinkToFit="1"/>
    </xf>
    <xf numFmtId="0" fontId="7" fillId="0" borderId="10" xfId="0" applyFont="1" applyBorder="1" applyAlignment="1">
      <alignment vertical="top" shrinkToFit="1"/>
    </xf>
    <xf numFmtId="0" fontId="7" fillId="0" borderId="11" xfId="0" applyFont="1" applyBorder="1" applyAlignment="1">
      <alignment vertical="top" shrinkToFit="1"/>
    </xf>
    <xf numFmtId="0" fontId="7" fillId="0" borderId="6" xfId="0" applyFont="1" applyBorder="1" applyAlignment="1">
      <alignment vertical="top" shrinkToFit="1"/>
    </xf>
    <xf numFmtId="0" fontId="7"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7"/>
  <sheetViews>
    <sheetView showZeros="0" tabSelected="1" view="pageBreakPreview" zoomScale="80" zoomScaleNormal="100" zoomScaleSheetLayoutView="80" workbookViewId="0">
      <selection activeCell="B1" sqref="B1"/>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31" t="s">
        <v>12</v>
      </c>
      <c r="U1" s="131"/>
      <c r="V1" s="2" t="s">
        <v>94</v>
      </c>
    </row>
    <row r="2" spans="1:24" ht="18.75" customHeight="1" x14ac:dyDescent="0.15">
      <c r="B2" s="17" t="s">
        <v>93</v>
      </c>
      <c r="C2" s="101" t="s">
        <v>143</v>
      </c>
      <c r="D2" s="102"/>
      <c r="E2" s="102"/>
      <c r="F2" s="102"/>
      <c r="G2" s="102"/>
      <c r="H2" s="102"/>
      <c r="I2" s="102"/>
      <c r="J2" s="103"/>
      <c r="K2" s="18"/>
      <c r="L2" s="6"/>
      <c r="M2" s="6"/>
      <c r="N2" s="6"/>
      <c r="O2" s="6"/>
      <c r="P2" s="6"/>
      <c r="Q2" s="6"/>
      <c r="R2" s="6"/>
      <c r="S2" s="6"/>
      <c r="T2" s="6"/>
      <c r="U2" s="6"/>
    </row>
    <row r="3" spans="1:24" ht="18.75" customHeight="1" x14ac:dyDescent="0.15">
      <c r="B3" s="17" t="s">
        <v>88</v>
      </c>
      <c r="C3" s="132" t="s">
        <v>144</v>
      </c>
      <c r="D3" s="133"/>
      <c r="E3" s="133"/>
      <c r="F3" s="133"/>
      <c r="G3" s="133"/>
      <c r="H3" s="133"/>
      <c r="I3" s="133"/>
      <c r="J3" s="134"/>
      <c r="K3" s="18"/>
      <c r="L3" s="6"/>
      <c r="M3" s="6"/>
      <c r="N3" s="6"/>
      <c r="O3" s="6"/>
      <c r="P3" s="6"/>
      <c r="Q3" s="6"/>
      <c r="R3" s="6"/>
      <c r="S3" s="6"/>
      <c r="T3" s="6"/>
      <c r="U3" s="6"/>
    </row>
    <row r="4" spans="1:24" ht="15" customHeight="1" x14ac:dyDescent="0.15">
      <c r="L4" s="18"/>
      <c r="M4" s="72"/>
      <c r="N4" s="72"/>
      <c r="O4" s="72"/>
      <c r="P4" s="72"/>
      <c r="Q4" s="72"/>
      <c r="R4" s="72"/>
      <c r="S4" s="72"/>
      <c r="T4" s="72"/>
      <c r="U4" s="72"/>
    </row>
    <row r="5" spans="1:24" ht="18" customHeight="1" x14ac:dyDescent="0.15">
      <c r="A5" s="112" t="s">
        <v>141</v>
      </c>
      <c r="B5" s="112"/>
      <c r="C5" s="112"/>
      <c r="D5" s="112"/>
      <c r="E5" s="112"/>
      <c r="F5" s="112"/>
      <c r="G5" s="112"/>
      <c r="H5" s="112"/>
      <c r="I5" s="112"/>
      <c r="J5" s="112"/>
      <c r="K5" s="112"/>
      <c r="L5" s="112"/>
      <c r="M5" s="112"/>
      <c r="N5" s="112"/>
      <c r="O5" s="112"/>
      <c r="P5" s="112"/>
      <c r="Q5" s="112"/>
      <c r="R5" s="112"/>
      <c r="S5" s="112"/>
      <c r="T5" s="112"/>
      <c r="U5" s="112"/>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147" t="s">
        <v>145</v>
      </c>
      <c r="M7" s="148"/>
      <c r="N7" s="148"/>
      <c r="O7" s="148"/>
      <c r="P7" s="148"/>
      <c r="Q7" s="148"/>
      <c r="R7" s="148"/>
      <c r="S7" s="148"/>
      <c r="T7" s="148"/>
      <c r="U7" s="149"/>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50"/>
      <c r="C11" s="151"/>
      <c r="D11" s="151"/>
      <c r="E11" s="151"/>
      <c r="F11" s="151"/>
      <c r="G11" s="151"/>
      <c r="H11" s="151"/>
      <c r="I11" s="151"/>
      <c r="J11" s="151"/>
      <c r="K11" s="151"/>
      <c r="L11" s="151"/>
      <c r="M11" s="151"/>
      <c r="N11" s="151"/>
      <c r="O11" s="151"/>
      <c r="P11" s="151"/>
      <c r="Q11" s="151"/>
      <c r="R11" s="151"/>
      <c r="S11" s="151"/>
      <c r="T11" s="151"/>
      <c r="U11" s="152"/>
    </row>
    <row r="12" spans="1:24" ht="18" customHeight="1" x14ac:dyDescent="0.15">
      <c r="B12" s="153"/>
      <c r="C12" s="154"/>
      <c r="D12" s="154"/>
      <c r="E12" s="154"/>
      <c r="F12" s="154"/>
      <c r="G12" s="154"/>
      <c r="H12" s="154"/>
      <c r="I12" s="154"/>
      <c r="J12" s="154"/>
      <c r="K12" s="154"/>
      <c r="L12" s="154"/>
      <c r="M12" s="154"/>
      <c r="N12" s="154"/>
      <c r="O12" s="154"/>
      <c r="P12" s="154"/>
      <c r="Q12" s="154"/>
      <c r="R12" s="154"/>
      <c r="S12" s="154"/>
      <c r="T12" s="154"/>
      <c r="U12" s="155"/>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3"/>
      <c r="M14" s="73"/>
      <c r="N14" s="73"/>
      <c r="O14" s="73"/>
      <c r="P14" s="73"/>
      <c r="Q14" s="73"/>
      <c r="R14" s="73"/>
      <c r="S14" s="73"/>
      <c r="T14" s="73"/>
      <c r="U14" s="73"/>
    </row>
    <row r="15" spans="1:24" ht="18" customHeight="1" x14ac:dyDescent="0.15">
      <c r="B15" s="113" t="s">
        <v>146</v>
      </c>
      <c r="C15" s="114"/>
      <c r="D15" s="114"/>
      <c r="E15" s="114"/>
      <c r="F15" s="114"/>
      <c r="G15" s="114"/>
      <c r="H15" s="114"/>
      <c r="I15" s="114"/>
      <c r="J15" s="114"/>
      <c r="K15" s="114"/>
      <c r="L15" s="114"/>
      <c r="M15" s="114"/>
      <c r="N15" s="114"/>
      <c r="O15" s="114"/>
      <c r="P15" s="114"/>
      <c r="Q15" s="114"/>
      <c r="R15" s="114"/>
      <c r="S15" s="114"/>
      <c r="T15" s="114"/>
      <c r="U15" s="115"/>
      <c r="X15" s="1" t="s">
        <v>89</v>
      </c>
    </row>
    <row r="16" spans="1:24" ht="18" customHeight="1" x14ac:dyDescent="0.15">
      <c r="B16" s="116"/>
      <c r="C16" s="117"/>
      <c r="D16" s="117"/>
      <c r="E16" s="117"/>
      <c r="F16" s="117"/>
      <c r="G16" s="117"/>
      <c r="H16" s="117"/>
      <c r="I16" s="117"/>
      <c r="J16" s="117"/>
      <c r="K16" s="117"/>
      <c r="L16" s="117"/>
      <c r="M16" s="117"/>
      <c r="N16" s="117"/>
      <c r="O16" s="117"/>
      <c r="P16" s="117"/>
      <c r="Q16" s="117"/>
      <c r="R16" s="117"/>
      <c r="S16" s="117"/>
      <c r="T16" s="117"/>
      <c r="U16" s="118"/>
      <c r="X16" s="1" t="s">
        <v>122</v>
      </c>
    </row>
    <row r="17" spans="1:24" ht="18" customHeight="1" x14ac:dyDescent="0.15">
      <c r="B17" s="116"/>
      <c r="C17" s="117"/>
      <c r="D17" s="117"/>
      <c r="E17" s="117"/>
      <c r="F17" s="117"/>
      <c r="G17" s="117"/>
      <c r="H17" s="117"/>
      <c r="I17" s="117"/>
      <c r="J17" s="117"/>
      <c r="K17" s="117"/>
      <c r="L17" s="117"/>
      <c r="M17" s="117"/>
      <c r="N17" s="117"/>
      <c r="O17" s="117"/>
      <c r="P17" s="117"/>
      <c r="Q17" s="117"/>
      <c r="R17" s="117"/>
      <c r="S17" s="117"/>
      <c r="T17" s="117"/>
      <c r="U17" s="118"/>
      <c r="X17" s="1" t="s">
        <v>123</v>
      </c>
    </row>
    <row r="18" spans="1:24" ht="18" customHeight="1" x14ac:dyDescent="0.15">
      <c r="B18" s="116"/>
      <c r="C18" s="117"/>
      <c r="D18" s="117"/>
      <c r="E18" s="117"/>
      <c r="F18" s="117"/>
      <c r="G18" s="117"/>
      <c r="H18" s="117"/>
      <c r="I18" s="117"/>
      <c r="J18" s="117"/>
      <c r="K18" s="117"/>
      <c r="L18" s="117"/>
      <c r="M18" s="117"/>
      <c r="N18" s="117"/>
      <c r="O18" s="117"/>
      <c r="P18" s="117"/>
      <c r="Q18" s="117"/>
      <c r="R18" s="117"/>
      <c r="S18" s="117"/>
      <c r="T18" s="117"/>
      <c r="U18" s="118"/>
      <c r="X18" s="1" t="s">
        <v>124</v>
      </c>
    </row>
    <row r="19" spans="1:24" ht="18" customHeight="1" x14ac:dyDescent="0.15">
      <c r="B19" s="116"/>
      <c r="C19" s="117"/>
      <c r="D19" s="117"/>
      <c r="E19" s="117"/>
      <c r="F19" s="117"/>
      <c r="G19" s="117"/>
      <c r="H19" s="117"/>
      <c r="I19" s="117"/>
      <c r="J19" s="117"/>
      <c r="K19" s="117"/>
      <c r="L19" s="117"/>
      <c r="M19" s="117"/>
      <c r="N19" s="117"/>
      <c r="O19" s="117"/>
      <c r="P19" s="117"/>
      <c r="Q19" s="117"/>
      <c r="R19" s="117"/>
      <c r="S19" s="117"/>
      <c r="T19" s="117"/>
      <c r="U19" s="118"/>
    </row>
    <row r="20" spans="1:24" ht="18" customHeight="1" x14ac:dyDescent="0.15">
      <c r="B20" s="119"/>
      <c r="C20" s="120"/>
      <c r="D20" s="120"/>
      <c r="E20" s="120"/>
      <c r="F20" s="120"/>
      <c r="G20" s="120"/>
      <c r="H20" s="120"/>
      <c r="I20" s="120"/>
      <c r="J20" s="120"/>
      <c r="K20" s="120"/>
      <c r="L20" s="120"/>
      <c r="M20" s="120"/>
      <c r="N20" s="120"/>
      <c r="O20" s="120"/>
      <c r="P20" s="120"/>
      <c r="Q20" s="120"/>
      <c r="R20" s="120"/>
      <c r="S20" s="120"/>
      <c r="T20" s="120"/>
      <c r="U20" s="121"/>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4">
        <v>1</v>
      </c>
      <c r="F22" s="1" t="s">
        <v>107</v>
      </c>
      <c r="H22" s="19">
        <v>2</v>
      </c>
      <c r="I22" s="3" t="s">
        <v>108</v>
      </c>
      <c r="J22" s="3"/>
      <c r="K22" s="18"/>
      <c r="M22" s="18" t="s">
        <v>104</v>
      </c>
      <c r="N22" s="144" t="s">
        <v>124</v>
      </c>
      <c r="O22" s="145"/>
      <c r="P22" s="145"/>
      <c r="Q22" s="145"/>
      <c r="R22" s="145"/>
      <c r="S22" s="145"/>
      <c r="T22" s="145"/>
      <c r="U22" s="146"/>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94" t="s">
        <v>96</v>
      </c>
      <c r="B24" s="94"/>
      <c r="C24" s="94"/>
      <c r="D24" s="94"/>
      <c r="E24" s="94"/>
      <c r="F24" s="94"/>
      <c r="G24" s="94"/>
      <c r="H24" s="94"/>
      <c r="I24" s="94"/>
      <c r="J24" s="94"/>
      <c r="K24" s="94"/>
      <c r="L24" s="94"/>
      <c r="M24" s="94"/>
      <c r="N24" s="94"/>
      <c r="O24" s="94"/>
      <c r="P24" s="94"/>
      <c r="Q24" s="94"/>
      <c r="R24" s="94"/>
      <c r="S24" s="94"/>
      <c r="T24" s="94"/>
      <c r="U24" s="94"/>
    </row>
    <row r="25" spans="1:24" ht="18" customHeight="1" x14ac:dyDescent="0.15">
      <c r="A25" s="94"/>
      <c r="B25" s="94"/>
      <c r="C25" s="94"/>
      <c r="D25" s="94"/>
      <c r="E25" s="94"/>
      <c r="F25" s="94"/>
      <c r="G25" s="94"/>
      <c r="H25" s="94"/>
      <c r="I25" s="94"/>
      <c r="J25" s="94"/>
      <c r="K25" s="94"/>
      <c r="L25" s="94"/>
      <c r="M25" s="94"/>
      <c r="N25" s="94"/>
      <c r="O25" s="94"/>
      <c r="P25" s="94"/>
      <c r="Q25" s="94"/>
      <c r="R25" s="94"/>
      <c r="S25" s="94"/>
      <c r="T25" s="94"/>
      <c r="U25" s="94"/>
    </row>
    <row r="26" spans="1:24" ht="18" customHeight="1" x14ac:dyDescent="0.15">
      <c r="B26" s="101" t="s">
        <v>48</v>
      </c>
      <c r="C26" s="102"/>
      <c r="D26" s="102"/>
      <c r="E26" s="102"/>
      <c r="F26" s="103"/>
      <c r="G26" s="58" t="s">
        <v>73</v>
      </c>
      <c r="H26" s="59" t="s">
        <v>76</v>
      </c>
      <c r="I26" s="60" t="s">
        <v>51</v>
      </c>
      <c r="J26" s="60" t="s">
        <v>54</v>
      </c>
      <c r="K26" s="101" t="s">
        <v>48</v>
      </c>
      <c r="L26" s="102"/>
      <c r="M26" s="102"/>
      <c r="N26" s="102"/>
      <c r="O26" s="102"/>
      <c r="P26" s="102"/>
      <c r="Q26" s="103"/>
      <c r="R26" s="58" t="s">
        <v>73</v>
      </c>
      <c r="S26" s="59" t="s">
        <v>76</v>
      </c>
      <c r="T26" s="60" t="s">
        <v>51</v>
      </c>
      <c r="U26" s="60" t="s">
        <v>54</v>
      </c>
    </row>
    <row r="27" spans="1:24" ht="18" customHeight="1" x14ac:dyDescent="0.15">
      <c r="B27" s="95" t="s">
        <v>147</v>
      </c>
      <c r="C27" s="96"/>
      <c r="D27" s="96"/>
      <c r="E27" s="96"/>
      <c r="F27" s="97"/>
      <c r="G27" s="61">
        <v>2</v>
      </c>
      <c r="H27" s="61" t="s">
        <v>148</v>
      </c>
      <c r="I27" s="61" t="s">
        <v>148</v>
      </c>
      <c r="J27" s="61" t="s">
        <v>148</v>
      </c>
      <c r="K27" s="95"/>
      <c r="L27" s="96"/>
      <c r="M27" s="96"/>
      <c r="N27" s="96"/>
      <c r="O27" s="96"/>
      <c r="P27" s="96"/>
      <c r="Q27" s="97"/>
      <c r="R27" s="61"/>
      <c r="S27" s="61"/>
      <c r="T27" s="61"/>
      <c r="U27" s="61"/>
    </row>
    <row r="28" spans="1:24" ht="18" customHeight="1" x14ac:dyDescent="0.15">
      <c r="B28" s="88"/>
      <c r="C28" s="89"/>
      <c r="D28" s="89"/>
      <c r="E28" s="89"/>
      <c r="F28" s="90"/>
      <c r="G28" s="62"/>
      <c r="H28" s="62"/>
      <c r="I28" s="62"/>
      <c r="J28" s="62"/>
      <c r="K28" s="88"/>
      <c r="L28" s="89"/>
      <c r="M28" s="89"/>
      <c r="N28" s="89"/>
      <c r="O28" s="89"/>
      <c r="P28" s="89"/>
      <c r="Q28" s="90"/>
      <c r="R28" s="62"/>
      <c r="S28" s="62"/>
      <c r="T28" s="62"/>
      <c r="U28" s="62"/>
    </row>
    <row r="29" spans="1:24" ht="18" customHeight="1" x14ac:dyDescent="0.15">
      <c r="B29" s="88"/>
      <c r="C29" s="89"/>
      <c r="D29" s="89"/>
      <c r="E29" s="89"/>
      <c r="F29" s="90"/>
      <c r="G29" s="62"/>
      <c r="H29" s="62"/>
      <c r="I29" s="62"/>
      <c r="J29" s="62"/>
      <c r="K29" s="88"/>
      <c r="L29" s="89"/>
      <c r="M29" s="89"/>
      <c r="N29" s="89"/>
      <c r="O29" s="89"/>
      <c r="P29" s="89"/>
      <c r="Q29" s="90"/>
      <c r="R29" s="62"/>
      <c r="S29" s="62"/>
      <c r="T29" s="62"/>
      <c r="U29" s="62"/>
    </row>
    <row r="30" spans="1:24" ht="18" customHeight="1" x14ac:dyDescent="0.15">
      <c r="B30" s="88"/>
      <c r="C30" s="89"/>
      <c r="D30" s="89"/>
      <c r="E30" s="89"/>
      <c r="F30" s="90"/>
      <c r="G30" s="62"/>
      <c r="H30" s="62"/>
      <c r="I30" s="62"/>
      <c r="J30" s="62"/>
      <c r="K30" s="88"/>
      <c r="L30" s="89"/>
      <c r="M30" s="89"/>
      <c r="N30" s="89"/>
      <c r="O30" s="89"/>
      <c r="P30" s="89"/>
      <c r="Q30" s="90"/>
      <c r="R30" s="62"/>
      <c r="S30" s="62"/>
      <c r="T30" s="62"/>
      <c r="U30" s="62"/>
    </row>
    <row r="31" spans="1:24" ht="18" customHeight="1" x14ac:dyDescent="0.15">
      <c r="B31" s="88"/>
      <c r="C31" s="89"/>
      <c r="D31" s="89"/>
      <c r="E31" s="89"/>
      <c r="F31" s="90"/>
      <c r="G31" s="62"/>
      <c r="H31" s="62"/>
      <c r="I31" s="62"/>
      <c r="J31" s="62"/>
      <c r="K31" s="88"/>
      <c r="L31" s="89"/>
      <c r="M31" s="89"/>
      <c r="N31" s="89"/>
      <c r="O31" s="89"/>
      <c r="P31" s="89"/>
      <c r="Q31" s="90"/>
      <c r="R31" s="62"/>
      <c r="S31" s="62"/>
      <c r="T31" s="62"/>
      <c r="U31" s="62"/>
    </row>
    <row r="32" spans="1:24" ht="18" customHeight="1" x14ac:dyDescent="0.15">
      <c r="A32" s="3"/>
      <c r="B32" s="88"/>
      <c r="C32" s="89"/>
      <c r="D32" s="89"/>
      <c r="E32" s="89"/>
      <c r="F32" s="90"/>
      <c r="G32" s="62"/>
      <c r="H32" s="62"/>
      <c r="I32" s="62"/>
      <c r="J32" s="62"/>
      <c r="K32" s="88"/>
      <c r="L32" s="89"/>
      <c r="M32" s="89"/>
      <c r="N32" s="89"/>
      <c r="O32" s="89"/>
      <c r="P32" s="89"/>
      <c r="Q32" s="90"/>
      <c r="R32" s="62"/>
      <c r="S32" s="62"/>
      <c r="T32" s="62"/>
      <c r="U32" s="62"/>
    </row>
    <row r="33" spans="1:21" ht="18" customHeight="1" x14ac:dyDescent="0.15">
      <c r="A33" s="3"/>
      <c r="B33" s="91"/>
      <c r="C33" s="92"/>
      <c r="D33" s="92"/>
      <c r="E33" s="92"/>
      <c r="F33" s="93"/>
      <c r="G33" s="63"/>
      <c r="H33" s="63"/>
      <c r="I33" s="64"/>
      <c r="J33" s="64"/>
      <c r="K33" s="91"/>
      <c r="L33" s="92"/>
      <c r="M33" s="92"/>
      <c r="N33" s="92"/>
      <c r="O33" s="92"/>
      <c r="P33" s="92"/>
      <c r="Q33" s="93"/>
      <c r="R33" s="63"/>
      <c r="S33" s="63"/>
      <c r="T33" s="64"/>
      <c r="U33" s="64"/>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94" t="s">
        <v>97</v>
      </c>
      <c r="B35" s="94"/>
      <c r="C35" s="94"/>
      <c r="D35" s="94"/>
      <c r="E35" s="94"/>
      <c r="F35" s="94"/>
      <c r="G35" s="94"/>
      <c r="H35" s="94"/>
      <c r="I35" s="94"/>
      <c r="J35" s="94"/>
      <c r="K35" s="94"/>
      <c r="L35" s="94"/>
      <c r="M35" s="94"/>
      <c r="N35" s="94"/>
      <c r="O35" s="94"/>
      <c r="P35" s="94"/>
      <c r="Q35" s="94"/>
      <c r="R35" s="94"/>
      <c r="S35" s="94"/>
      <c r="T35" s="94"/>
      <c r="U35" s="94"/>
    </row>
    <row r="36" spans="1:21" ht="18" customHeight="1" x14ac:dyDescent="0.15">
      <c r="A36" s="94"/>
      <c r="B36" s="94"/>
      <c r="C36" s="94"/>
      <c r="D36" s="94"/>
      <c r="E36" s="94"/>
      <c r="F36" s="94"/>
      <c r="G36" s="94"/>
      <c r="H36" s="94"/>
      <c r="I36" s="94"/>
      <c r="J36" s="94"/>
      <c r="K36" s="94"/>
      <c r="L36" s="94"/>
      <c r="M36" s="94"/>
      <c r="N36" s="94"/>
      <c r="O36" s="94"/>
      <c r="P36" s="94"/>
      <c r="Q36" s="94"/>
      <c r="R36" s="94"/>
      <c r="S36" s="94"/>
      <c r="T36" s="94"/>
      <c r="U36" s="94"/>
    </row>
    <row r="37" spans="1:21" ht="18" customHeight="1" x14ac:dyDescent="0.15">
      <c r="B37" s="101" t="s">
        <v>48</v>
      </c>
      <c r="C37" s="102"/>
      <c r="D37" s="102"/>
      <c r="E37" s="102"/>
      <c r="F37" s="103"/>
      <c r="G37" s="58" t="s">
        <v>73</v>
      </c>
      <c r="H37" s="59" t="s">
        <v>76</v>
      </c>
      <c r="I37" s="60" t="s">
        <v>64</v>
      </c>
      <c r="J37" s="60" t="s">
        <v>65</v>
      </c>
      <c r="K37" s="101" t="s">
        <v>48</v>
      </c>
      <c r="L37" s="102"/>
      <c r="M37" s="102"/>
      <c r="N37" s="102"/>
      <c r="O37" s="102"/>
      <c r="P37" s="102"/>
      <c r="Q37" s="103"/>
      <c r="R37" s="58" t="s">
        <v>73</v>
      </c>
      <c r="S37" s="59" t="s">
        <v>76</v>
      </c>
      <c r="T37" s="60" t="s">
        <v>64</v>
      </c>
      <c r="U37" s="60" t="s">
        <v>65</v>
      </c>
    </row>
    <row r="38" spans="1:21" ht="18" customHeight="1" x14ac:dyDescent="0.15">
      <c r="B38" s="95" t="s">
        <v>147</v>
      </c>
      <c r="C38" s="96"/>
      <c r="D38" s="96"/>
      <c r="E38" s="96"/>
      <c r="F38" s="97"/>
      <c r="G38" s="61">
        <v>2</v>
      </c>
      <c r="H38" s="61" t="s">
        <v>148</v>
      </c>
      <c r="I38" s="61" t="s">
        <v>148</v>
      </c>
      <c r="J38" s="61" t="s">
        <v>148</v>
      </c>
      <c r="K38" s="95"/>
      <c r="L38" s="96"/>
      <c r="M38" s="96"/>
      <c r="N38" s="96"/>
      <c r="O38" s="96"/>
      <c r="P38" s="96"/>
      <c r="Q38" s="97"/>
      <c r="R38" s="61"/>
      <c r="S38" s="61"/>
      <c r="T38" s="61"/>
      <c r="U38" s="61"/>
    </row>
    <row r="39" spans="1:21" ht="18" customHeight="1" x14ac:dyDescent="0.15">
      <c r="B39" s="88"/>
      <c r="C39" s="89"/>
      <c r="D39" s="89"/>
      <c r="E39" s="89"/>
      <c r="F39" s="90"/>
      <c r="G39" s="62"/>
      <c r="H39" s="62"/>
      <c r="I39" s="62"/>
      <c r="J39" s="62"/>
      <c r="K39" s="88"/>
      <c r="L39" s="89"/>
      <c r="M39" s="89"/>
      <c r="N39" s="89"/>
      <c r="O39" s="89"/>
      <c r="P39" s="89"/>
      <c r="Q39" s="90"/>
      <c r="R39" s="62"/>
      <c r="S39" s="62"/>
      <c r="T39" s="62"/>
      <c r="U39" s="62"/>
    </row>
    <row r="40" spans="1:21" ht="18" customHeight="1" x14ac:dyDescent="0.15">
      <c r="B40" s="88"/>
      <c r="C40" s="89"/>
      <c r="D40" s="89"/>
      <c r="E40" s="89"/>
      <c r="F40" s="90"/>
      <c r="G40" s="62"/>
      <c r="H40" s="62"/>
      <c r="I40" s="62"/>
      <c r="J40" s="62"/>
      <c r="K40" s="88"/>
      <c r="L40" s="89"/>
      <c r="M40" s="89"/>
      <c r="N40" s="89"/>
      <c r="O40" s="89"/>
      <c r="P40" s="89"/>
      <c r="Q40" s="90"/>
      <c r="R40" s="62"/>
      <c r="S40" s="62"/>
      <c r="T40" s="62"/>
      <c r="U40" s="62"/>
    </row>
    <row r="41" spans="1:21" ht="18" customHeight="1" x14ac:dyDescent="0.15">
      <c r="B41" s="88"/>
      <c r="C41" s="89"/>
      <c r="D41" s="89"/>
      <c r="E41" s="89"/>
      <c r="F41" s="90"/>
      <c r="G41" s="62"/>
      <c r="H41" s="62"/>
      <c r="I41" s="62"/>
      <c r="J41" s="62"/>
      <c r="K41" s="88"/>
      <c r="L41" s="89"/>
      <c r="M41" s="89"/>
      <c r="N41" s="89"/>
      <c r="O41" s="89"/>
      <c r="P41" s="89"/>
      <c r="Q41" s="90"/>
      <c r="R41" s="62"/>
      <c r="S41" s="62"/>
      <c r="T41" s="62"/>
      <c r="U41" s="62"/>
    </row>
    <row r="42" spans="1:21" ht="18" customHeight="1" x14ac:dyDescent="0.15">
      <c r="B42" s="88"/>
      <c r="C42" s="89"/>
      <c r="D42" s="89"/>
      <c r="E42" s="89"/>
      <c r="F42" s="90"/>
      <c r="G42" s="62"/>
      <c r="H42" s="62"/>
      <c r="I42" s="62"/>
      <c r="J42" s="62"/>
      <c r="K42" s="88"/>
      <c r="L42" s="89"/>
      <c r="M42" s="89"/>
      <c r="N42" s="89"/>
      <c r="O42" s="89"/>
      <c r="P42" s="89"/>
      <c r="Q42" s="90"/>
      <c r="R42" s="62"/>
      <c r="S42" s="62"/>
      <c r="T42" s="62"/>
      <c r="U42" s="62"/>
    </row>
    <row r="43" spans="1:21" ht="18" customHeight="1" x14ac:dyDescent="0.15">
      <c r="B43" s="88"/>
      <c r="C43" s="89"/>
      <c r="D43" s="89"/>
      <c r="E43" s="89"/>
      <c r="F43" s="90"/>
      <c r="G43" s="62"/>
      <c r="H43" s="62"/>
      <c r="I43" s="62"/>
      <c r="J43" s="62"/>
      <c r="K43" s="88"/>
      <c r="L43" s="89"/>
      <c r="M43" s="89"/>
      <c r="N43" s="89"/>
      <c r="O43" s="89"/>
      <c r="P43" s="89"/>
      <c r="Q43" s="90"/>
      <c r="R43" s="62"/>
      <c r="S43" s="62"/>
      <c r="T43" s="62"/>
      <c r="U43" s="62"/>
    </row>
    <row r="44" spans="1:21" ht="18" customHeight="1" x14ac:dyDescent="0.15">
      <c r="B44" s="91"/>
      <c r="C44" s="92"/>
      <c r="D44" s="92"/>
      <c r="E44" s="92"/>
      <c r="F44" s="93"/>
      <c r="G44" s="63"/>
      <c r="H44" s="63"/>
      <c r="I44" s="64"/>
      <c r="J44" s="64"/>
      <c r="K44" s="91"/>
      <c r="L44" s="92"/>
      <c r="M44" s="92"/>
      <c r="N44" s="92"/>
      <c r="O44" s="92"/>
      <c r="P44" s="92"/>
      <c r="Q44" s="93"/>
      <c r="R44" s="63"/>
      <c r="S44" s="63"/>
      <c r="T44" s="64"/>
      <c r="U44" s="64"/>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94" t="s">
        <v>98</v>
      </c>
      <c r="B46" s="94"/>
      <c r="C46" s="94"/>
      <c r="D46" s="94"/>
      <c r="E46" s="94"/>
      <c r="F46" s="94"/>
      <c r="G46" s="94"/>
      <c r="H46" s="94"/>
      <c r="I46" s="94"/>
      <c r="J46" s="94"/>
      <c r="K46" s="94"/>
      <c r="L46" s="94"/>
      <c r="M46" s="94"/>
      <c r="N46" s="94"/>
      <c r="O46" s="94"/>
      <c r="P46" s="94"/>
      <c r="Q46" s="94"/>
      <c r="R46" s="94"/>
      <c r="S46" s="94"/>
      <c r="T46" s="94"/>
      <c r="U46" s="94"/>
    </row>
    <row r="47" spans="1:21" ht="18" customHeight="1" x14ac:dyDescent="0.15">
      <c r="A47" s="94"/>
      <c r="B47" s="94"/>
      <c r="C47" s="94"/>
      <c r="D47" s="94"/>
      <c r="E47" s="94"/>
      <c r="F47" s="94"/>
      <c r="G47" s="94"/>
      <c r="H47" s="94"/>
      <c r="I47" s="94"/>
      <c r="J47" s="94"/>
      <c r="K47" s="94"/>
      <c r="L47" s="94"/>
      <c r="M47" s="94"/>
      <c r="N47" s="94"/>
      <c r="O47" s="94"/>
      <c r="P47" s="94"/>
      <c r="Q47" s="94"/>
      <c r="R47" s="94"/>
      <c r="S47" s="94"/>
      <c r="T47" s="94"/>
      <c r="U47" s="94"/>
    </row>
    <row r="48" spans="1:21" ht="18" customHeight="1" x14ac:dyDescent="0.15">
      <c r="B48" s="101" t="s">
        <v>48</v>
      </c>
      <c r="C48" s="102"/>
      <c r="D48" s="102"/>
      <c r="E48" s="102"/>
      <c r="F48" s="103"/>
      <c r="G48" s="58" t="s">
        <v>73</v>
      </c>
      <c r="H48" s="59" t="s">
        <v>76</v>
      </c>
      <c r="I48" s="60" t="s">
        <v>66</v>
      </c>
      <c r="J48" s="60" t="s">
        <v>67</v>
      </c>
      <c r="K48" s="101" t="s">
        <v>48</v>
      </c>
      <c r="L48" s="102"/>
      <c r="M48" s="102"/>
      <c r="N48" s="102"/>
      <c r="O48" s="102"/>
      <c r="P48" s="102"/>
      <c r="Q48" s="103"/>
      <c r="R48" s="58" t="s">
        <v>73</v>
      </c>
      <c r="S48" s="59" t="s">
        <v>76</v>
      </c>
      <c r="T48" s="60" t="s">
        <v>66</v>
      </c>
      <c r="U48" s="60" t="s">
        <v>67</v>
      </c>
    </row>
    <row r="49" spans="1:21" ht="18" customHeight="1" x14ac:dyDescent="0.15">
      <c r="A49" s="3"/>
      <c r="B49" s="95" t="s">
        <v>147</v>
      </c>
      <c r="C49" s="96"/>
      <c r="D49" s="96"/>
      <c r="E49" s="96"/>
      <c r="F49" s="97"/>
      <c r="G49" s="61">
        <v>2</v>
      </c>
      <c r="H49" s="61" t="s">
        <v>148</v>
      </c>
      <c r="I49" s="61" t="s">
        <v>148</v>
      </c>
      <c r="J49" s="61" t="s">
        <v>148</v>
      </c>
      <c r="K49" s="95"/>
      <c r="L49" s="96"/>
      <c r="M49" s="96"/>
      <c r="N49" s="96"/>
      <c r="O49" s="96"/>
      <c r="P49" s="96"/>
      <c r="Q49" s="97"/>
      <c r="R49" s="61"/>
      <c r="S49" s="61"/>
      <c r="T49" s="61"/>
      <c r="U49" s="61"/>
    </row>
    <row r="50" spans="1:21" ht="18" customHeight="1" x14ac:dyDescent="0.15">
      <c r="A50" s="3"/>
      <c r="B50" s="88"/>
      <c r="C50" s="89"/>
      <c r="D50" s="89"/>
      <c r="E50" s="89"/>
      <c r="F50" s="90"/>
      <c r="G50" s="62"/>
      <c r="H50" s="62"/>
      <c r="I50" s="62"/>
      <c r="J50" s="62"/>
      <c r="K50" s="88"/>
      <c r="L50" s="89"/>
      <c r="M50" s="89"/>
      <c r="N50" s="89"/>
      <c r="O50" s="89"/>
      <c r="P50" s="89"/>
      <c r="Q50" s="90"/>
      <c r="R50" s="62"/>
      <c r="S50" s="62"/>
      <c r="T50" s="62"/>
      <c r="U50" s="62"/>
    </row>
    <row r="51" spans="1:21" ht="18" customHeight="1" x14ac:dyDescent="0.15">
      <c r="A51" s="3"/>
      <c r="B51" s="88"/>
      <c r="C51" s="89"/>
      <c r="D51" s="89"/>
      <c r="E51" s="89"/>
      <c r="F51" s="90"/>
      <c r="G51" s="62"/>
      <c r="H51" s="62"/>
      <c r="I51" s="62"/>
      <c r="J51" s="62"/>
      <c r="K51" s="88"/>
      <c r="L51" s="89"/>
      <c r="M51" s="89"/>
      <c r="N51" s="89"/>
      <c r="O51" s="89"/>
      <c r="P51" s="89"/>
      <c r="Q51" s="90"/>
      <c r="R51" s="62"/>
      <c r="S51" s="62"/>
      <c r="T51" s="62"/>
      <c r="U51" s="62"/>
    </row>
    <row r="52" spans="1:21" ht="18" customHeight="1" x14ac:dyDescent="0.15">
      <c r="A52" s="3"/>
      <c r="B52" s="88"/>
      <c r="C52" s="89"/>
      <c r="D52" s="89"/>
      <c r="E52" s="89"/>
      <c r="F52" s="90"/>
      <c r="G52" s="62"/>
      <c r="H52" s="62"/>
      <c r="I52" s="62"/>
      <c r="J52" s="62"/>
      <c r="K52" s="88"/>
      <c r="L52" s="89"/>
      <c r="M52" s="89"/>
      <c r="N52" s="89"/>
      <c r="O52" s="89"/>
      <c r="P52" s="89"/>
      <c r="Q52" s="90"/>
      <c r="R52" s="62"/>
      <c r="S52" s="62"/>
      <c r="T52" s="62"/>
      <c r="U52" s="62"/>
    </row>
    <row r="53" spans="1:21" ht="18" customHeight="1" x14ac:dyDescent="0.15">
      <c r="A53" s="3"/>
      <c r="B53" s="88"/>
      <c r="C53" s="89"/>
      <c r="D53" s="89"/>
      <c r="E53" s="89"/>
      <c r="F53" s="90"/>
      <c r="G53" s="62"/>
      <c r="H53" s="62"/>
      <c r="I53" s="62"/>
      <c r="J53" s="62"/>
      <c r="K53" s="88"/>
      <c r="L53" s="89"/>
      <c r="M53" s="89"/>
      <c r="N53" s="89"/>
      <c r="O53" s="89"/>
      <c r="P53" s="89"/>
      <c r="Q53" s="90"/>
      <c r="R53" s="62"/>
      <c r="S53" s="62"/>
      <c r="T53" s="62"/>
      <c r="U53" s="62"/>
    </row>
    <row r="54" spans="1:21" ht="18" customHeight="1" x14ac:dyDescent="0.15">
      <c r="A54" s="3"/>
      <c r="B54" s="88"/>
      <c r="C54" s="89"/>
      <c r="D54" s="89"/>
      <c r="E54" s="89"/>
      <c r="F54" s="90"/>
      <c r="G54" s="62"/>
      <c r="H54" s="62"/>
      <c r="I54" s="62"/>
      <c r="J54" s="62"/>
      <c r="K54" s="88"/>
      <c r="L54" s="89"/>
      <c r="M54" s="89"/>
      <c r="N54" s="89"/>
      <c r="O54" s="89"/>
      <c r="P54" s="89"/>
      <c r="Q54" s="90"/>
      <c r="R54" s="62"/>
      <c r="S54" s="62"/>
      <c r="T54" s="62"/>
      <c r="U54" s="62"/>
    </row>
    <row r="55" spans="1:21" ht="18" customHeight="1" x14ac:dyDescent="0.15">
      <c r="A55" s="3"/>
      <c r="B55" s="91"/>
      <c r="C55" s="92"/>
      <c r="D55" s="92"/>
      <c r="E55" s="92"/>
      <c r="F55" s="93"/>
      <c r="G55" s="63"/>
      <c r="H55" s="63"/>
      <c r="I55" s="64"/>
      <c r="J55" s="64"/>
      <c r="K55" s="91"/>
      <c r="L55" s="92"/>
      <c r="M55" s="92"/>
      <c r="N55" s="92"/>
      <c r="O55" s="92"/>
      <c r="P55" s="92"/>
      <c r="Q55" s="93"/>
      <c r="R55" s="63"/>
      <c r="S55" s="63"/>
      <c r="T55" s="64"/>
      <c r="U55" s="64"/>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94" t="s">
        <v>99</v>
      </c>
      <c r="B57" s="94"/>
      <c r="C57" s="94"/>
      <c r="D57" s="94"/>
      <c r="E57" s="94"/>
      <c r="F57" s="94"/>
      <c r="G57" s="94"/>
      <c r="H57" s="94"/>
      <c r="I57" s="94"/>
      <c r="J57" s="94"/>
      <c r="K57" s="94"/>
      <c r="L57" s="94"/>
      <c r="M57" s="94"/>
      <c r="N57" s="94"/>
      <c r="O57" s="94"/>
      <c r="P57" s="94"/>
      <c r="Q57" s="94"/>
      <c r="R57" s="94"/>
      <c r="S57" s="94"/>
      <c r="T57" s="94"/>
      <c r="U57" s="94"/>
    </row>
    <row r="58" spans="1:21" ht="18" customHeight="1" x14ac:dyDescent="0.15">
      <c r="A58" s="94"/>
      <c r="B58" s="94"/>
      <c r="C58" s="94"/>
      <c r="D58" s="94"/>
      <c r="E58" s="94"/>
      <c r="F58" s="94"/>
      <c r="G58" s="94"/>
      <c r="H58" s="94"/>
      <c r="I58" s="94"/>
      <c r="J58" s="94"/>
      <c r="K58" s="94"/>
      <c r="L58" s="94"/>
      <c r="M58" s="94"/>
      <c r="N58" s="94"/>
      <c r="O58" s="94"/>
      <c r="P58" s="94"/>
      <c r="Q58" s="94"/>
      <c r="R58" s="94"/>
      <c r="S58" s="94"/>
      <c r="T58" s="94"/>
      <c r="U58" s="94"/>
    </row>
    <row r="59" spans="1:21" ht="18" customHeight="1" x14ac:dyDescent="0.15">
      <c r="B59" s="101" t="s">
        <v>48</v>
      </c>
      <c r="C59" s="102"/>
      <c r="D59" s="102"/>
      <c r="E59" s="102"/>
      <c r="F59" s="103"/>
      <c r="G59" s="58" t="s">
        <v>73</v>
      </c>
      <c r="H59" s="59" t="s">
        <v>76</v>
      </c>
      <c r="I59" s="60" t="s">
        <v>53</v>
      </c>
      <c r="J59" s="60" t="s">
        <v>55</v>
      </c>
      <c r="K59" s="101" t="s">
        <v>48</v>
      </c>
      <c r="L59" s="102"/>
      <c r="M59" s="102"/>
      <c r="N59" s="102"/>
      <c r="O59" s="102"/>
      <c r="P59" s="102"/>
      <c r="Q59" s="103"/>
      <c r="R59" s="58" t="s">
        <v>73</v>
      </c>
      <c r="S59" s="59" t="s">
        <v>76</v>
      </c>
      <c r="T59" s="60" t="s">
        <v>53</v>
      </c>
      <c r="U59" s="60" t="s">
        <v>55</v>
      </c>
    </row>
    <row r="60" spans="1:21" ht="18" customHeight="1" x14ac:dyDescent="0.15">
      <c r="A60" s="3"/>
      <c r="B60" s="95" t="s">
        <v>147</v>
      </c>
      <c r="C60" s="96"/>
      <c r="D60" s="96"/>
      <c r="E60" s="96"/>
      <c r="F60" s="97"/>
      <c r="G60" s="61">
        <v>2</v>
      </c>
      <c r="H60" s="61" t="s">
        <v>148</v>
      </c>
      <c r="I60" s="61" t="s">
        <v>148</v>
      </c>
      <c r="J60" s="61" t="s">
        <v>148</v>
      </c>
      <c r="K60" s="95"/>
      <c r="L60" s="96"/>
      <c r="M60" s="96"/>
      <c r="N60" s="96"/>
      <c r="O60" s="96"/>
      <c r="P60" s="96"/>
      <c r="Q60" s="97"/>
      <c r="R60" s="61"/>
      <c r="S60" s="61"/>
      <c r="T60" s="61"/>
      <c r="U60" s="61"/>
    </row>
    <row r="61" spans="1:21" ht="18" customHeight="1" x14ac:dyDescent="0.15">
      <c r="A61" s="3"/>
      <c r="B61" s="88"/>
      <c r="C61" s="89"/>
      <c r="D61" s="89"/>
      <c r="E61" s="89"/>
      <c r="F61" s="90"/>
      <c r="G61" s="62"/>
      <c r="H61" s="62"/>
      <c r="I61" s="62"/>
      <c r="J61" s="62"/>
      <c r="K61" s="88"/>
      <c r="L61" s="89"/>
      <c r="M61" s="89"/>
      <c r="N61" s="89"/>
      <c r="O61" s="89"/>
      <c r="P61" s="89"/>
      <c r="Q61" s="90"/>
      <c r="R61" s="62"/>
      <c r="S61" s="62"/>
      <c r="T61" s="62"/>
      <c r="U61" s="62"/>
    </row>
    <row r="62" spans="1:21" ht="18" customHeight="1" x14ac:dyDescent="0.15">
      <c r="A62" s="3"/>
      <c r="B62" s="88"/>
      <c r="C62" s="89"/>
      <c r="D62" s="89"/>
      <c r="E62" s="89"/>
      <c r="F62" s="90"/>
      <c r="G62" s="62"/>
      <c r="H62" s="62"/>
      <c r="I62" s="62"/>
      <c r="J62" s="62"/>
      <c r="K62" s="88"/>
      <c r="L62" s="89"/>
      <c r="M62" s="89"/>
      <c r="N62" s="89"/>
      <c r="O62" s="89"/>
      <c r="P62" s="89"/>
      <c r="Q62" s="90"/>
      <c r="R62" s="62"/>
      <c r="S62" s="62"/>
      <c r="T62" s="62"/>
      <c r="U62" s="62"/>
    </row>
    <row r="63" spans="1:21" ht="18" customHeight="1" x14ac:dyDescent="0.15">
      <c r="A63" s="3"/>
      <c r="B63" s="88"/>
      <c r="C63" s="89"/>
      <c r="D63" s="89"/>
      <c r="E63" s="89"/>
      <c r="F63" s="90"/>
      <c r="G63" s="62"/>
      <c r="H63" s="62"/>
      <c r="I63" s="62"/>
      <c r="J63" s="62"/>
      <c r="K63" s="88"/>
      <c r="L63" s="89"/>
      <c r="M63" s="89"/>
      <c r="N63" s="89"/>
      <c r="O63" s="89"/>
      <c r="P63" s="89"/>
      <c r="Q63" s="90"/>
      <c r="R63" s="62"/>
      <c r="S63" s="62"/>
      <c r="T63" s="62"/>
      <c r="U63" s="62"/>
    </row>
    <row r="64" spans="1:21" ht="18" customHeight="1" x14ac:dyDescent="0.15">
      <c r="A64" s="3"/>
      <c r="B64" s="88"/>
      <c r="C64" s="89"/>
      <c r="D64" s="89"/>
      <c r="E64" s="89"/>
      <c r="F64" s="90"/>
      <c r="G64" s="62"/>
      <c r="H64" s="62"/>
      <c r="I64" s="62"/>
      <c r="J64" s="62"/>
      <c r="K64" s="88"/>
      <c r="L64" s="89"/>
      <c r="M64" s="89"/>
      <c r="N64" s="89"/>
      <c r="O64" s="89"/>
      <c r="P64" s="89"/>
      <c r="Q64" s="90"/>
      <c r="R64" s="62"/>
      <c r="S64" s="62"/>
      <c r="T64" s="62"/>
      <c r="U64" s="62"/>
    </row>
    <row r="65" spans="1:27" ht="18" customHeight="1" x14ac:dyDescent="0.15">
      <c r="A65" s="3"/>
      <c r="B65" s="88"/>
      <c r="C65" s="89"/>
      <c r="D65" s="89"/>
      <c r="E65" s="89"/>
      <c r="F65" s="90"/>
      <c r="G65" s="62"/>
      <c r="H65" s="62"/>
      <c r="I65" s="62"/>
      <c r="J65" s="62"/>
      <c r="K65" s="88"/>
      <c r="L65" s="89"/>
      <c r="M65" s="89"/>
      <c r="N65" s="89"/>
      <c r="O65" s="89"/>
      <c r="P65" s="89"/>
      <c r="Q65" s="90"/>
      <c r="R65" s="62"/>
      <c r="S65" s="62"/>
      <c r="T65" s="62"/>
      <c r="U65" s="62"/>
    </row>
    <row r="66" spans="1:27" ht="18" customHeight="1" x14ac:dyDescent="0.15">
      <c r="A66" s="3"/>
      <c r="B66" s="91"/>
      <c r="C66" s="92"/>
      <c r="D66" s="92"/>
      <c r="E66" s="92"/>
      <c r="F66" s="93"/>
      <c r="G66" s="63"/>
      <c r="H66" s="63"/>
      <c r="I66" s="64"/>
      <c r="J66" s="64"/>
      <c r="K66" s="91"/>
      <c r="L66" s="92"/>
      <c r="M66" s="92"/>
      <c r="N66" s="92"/>
      <c r="O66" s="92"/>
      <c r="P66" s="92"/>
      <c r="Q66" s="93"/>
      <c r="R66" s="63"/>
      <c r="S66" s="63"/>
      <c r="T66" s="64"/>
      <c r="U66" s="64"/>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94" t="s">
        <v>100</v>
      </c>
      <c r="B68" s="94"/>
      <c r="C68" s="94"/>
      <c r="D68" s="94"/>
      <c r="E68" s="94"/>
      <c r="F68" s="94"/>
      <c r="G68" s="94"/>
      <c r="H68" s="94"/>
      <c r="I68" s="94"/>
      <c r="J68" s="94"/>
      <c r="K68" s="94"/>
      <c r="L68" s="94"/>
      <c r="M68" s="94"/>
      <c r="N68" s="94"/>
      <c r="O68" s="94"/>
      <c r="P68" s="94"/>
      <c r="Q68" s="94"/>
      <c r="R68" s="94"/>
      <c r="S68" s="94"/>
      <c r="T68" s="94"/>
      <c r="U68" s="94"/>
    </row>
    <row r="69" spans="1:27" ht="18" customHeight="1" x14ac:dyDescent="0.15">
      <c r="A69" s="94"/>
      <c r="B69" s="94"/>
      <c r="C69" s="94"/>
      <c r="D69" s="94"/>
      <c r="E69" s="94"/>
      <c r="F69" s="94"/>
      <c r="G69" s="94"/>
      <c r="H69" s="94"/>
      <c r="I69" s="94"/>
      <c r="J69" s="94"/>
      <c r="K69" s="94"/>
      <c r="L69" s="94"/>
      <c r="M69" s="94"/>
      <c r="N69" s="94"/>
      <c r="O69" s="94"/>
      <c r="P69" s="94"/>
      <c r="Q69" s="94"/>
      <c r="R69" s="94"/>
      <c r="S69" s="94"/>
      <c r="T69" s="94"/>
      <c r="U69" s="94"/>
    </row>
    <row r="70" spans="1:27" ht="18" customHeight="1" x14ac:dyDescent="0.15">
      <c r="B70" s="101" t="s">
        <v>48</v>
      </c>
      <c r="C70" s="102"/>
      <c r="D70" s="102"/>
      <c r="E70" s="102"/>
      <c r="F70" s="58" t="s">
        <v>73</v>
      </c>
      <c r="G70" s="59" t="s">
        <v>76</v>
      </c>
      <c r="H70" s="60" t="s">
        <v>87</v>
      </c>
      <c r="I70" s="60" t="s">
        <v>68</v>
      </c>
      <c r="J70" s="60" t="s">
        <v>69</v>
      </c>
      <c r="K70" s="101" t="s">
        <v>48</v>
      </c>
      <c r="L70" s="102"/>
      <c r="M70" s="102"/>
      <c r="N70" s="102"/>
      <c r="O70" s="102"/>
      <c r="P70" s="103"/>
      <c r="Q70" s="58" t="s">
        <v>73</v>
      </c>
      <c r="R70" s="59" t="s">
        <v>76</v>
      </c>
      <c r="S70" s="60" t="s">
        <v>87</v>
      </c>
      <c r="T70" s="60" t="s">
        <v>68</v>
      </c>
      <c r="U70" s="60" t="s">
        <v>69</v>
      </c>
    </row>
    <row r="71" spans="1:27" ht="18" customHeight="1" x14ac:dyDescent="0.15">
      <c r="A71" s="3"/>
      <c r="B71" s="95" t="s">
        <v>147</v>
      </c>
      <c r="C71" s="96"/>
      <c r="D71" s="96"/>
      <c r="E71" s="96"/>
      <c r="F71" s="61">
        <v>2</v>
      </c>
      <c r="G71" s="61" t="s">
        <v>148</v>
      </c>
      <c r="H71" s="61" t="s">
        <v>148</v>
      </c>
      <c r="I71" s="61" t="s">
        <v>148</v>
      </c>
      <c r="J71" s="61" t="s">
        <v>148</v>
      </c>
      <c r="K71" s="95"/>
      <c r="L71" s="96"/>
      <c r="M71" s="96"/>
      <c r="N71" s="96"/>
      <c r="O71" s="96"/>
      <c r="P71" s="97"/>
      <c r="Q71" s="61"/>
      <c r="R71" s="61"/>
      <c r="S71" s="61"/>
      <c r="T71" s="61"/>
      <c r="U71" s="61"/>
    </row>
    <row r="72" spans="1:27" ht="18" customHeight="1" x14ac:dyDescent="0.15">
      <c r="A72" s="3"/>
      <c r="B72" s="88"/>
      <c r="C72" s="89"/>
      <c r="D72" s="89"/>
      <c r="E72" s="89"/>
      <c r="F72" s="62"/>
      <c r="G72" s="62"/>
      <c r="H72" s="62"/>
      <c r="I72" s="62"/>
      <c r="J72" s="62"/>
      <c r="K72" s="88"/>
      <c r="L72" s="89"/>
      <c r="M72" s="89"/>
      <c r="N72" s="89"/>
      <c r="O72" s="89"/>
      <c r="P72" s="90"/>
      <c r="Q72" s="62"/>
      <c r="R72" s="62"/>
      <c r="S72" s="62"/>
      <c r="T72" s="62"/>
      <c r="U72" s="62"/>
    </row>
    <row r="73" spans="1:27" ht="18" customHeight="1" x14ac:dyDescent="0.15">
      <c r="A73" s="3"/>
      <c r="B73" s="88"/>
      <c r="C73" s="89"/>
      <c r="D73" s="89"/>
      <c r="E73" s="89"/>
      <c r="F73" s="62"/>
      <c r="G73" s="62"/>
      <c r="H73" s="62"/>
      <c r="I73" s="62"/>
      <c r="J73" s="62"/>
      <c r="K73" s="88"/>
      <c r="L73" s="89"/>
      <c r="M73" s="89"/>
      <c r="N73" s="89"/>
      <c r="O73" s="89"/>
      <c r="P73" s="90"/>
      <c r="Q73" s="62"/>
      <c r="R73" s="62"/>
      <c r="S73" s="62"/>
      <c r="T73" s="62"/>
      <c r="U73" s="62"/>
    </row>
    <row r="74" spans="1:27" ht="18" customHeight="1" x14ac:dyDescent="0.15">
      <c r="A74" s="3"/>
      <c r="B74" s="88"/>
      <c r="C74" s="89"/>
      <c r="D74" s="89"/>
      <c r="E74" s="89"/>
      <c r="F74" s="62"/>
      <c r="G74" s="62"/>
      <c r="H74" s="62"/>
      <c r="I74" s="62"/>
      <c r="J74" s="62"/>
      <c r="K74" s="88"/>
      <c r="L74" s="89"/>
      <c r="M74" s="89"/>
      <c r="N74" s="89"/>
      <c r="O74" s="89"/>
      <c r="P74" s="90"/>
      <c r="Q74" s="62"/>
      <c r="R74" s="62"/>
      <c r="S74" s="62"/>
      <c r="T74" s="62"/>
      <c r="U74" s="62"/>
    </row>
    <row r="75" spans="1:27" ht="18" customHeight="1" x14ac:dyDescent="0.15">
      <c r="A75" s="3"/>
      <c r="B75" s="88"/>
      <c r="C75" s="89"/>
      <c r="D75" s="89"/>
      <c r="E75" s="89"/>
      <c r="F75" s="62"/>
      <c r="G75" s="62"/>
      <c r="H75" s="62"/>
      <c r="I75" s="62"/>
      <c r="J75" s="62"/>
      <c r="K75" s="88"/>
      <c r="L75" s="89"/>
      <c r="M75" s="89"/>
      <c r="N75" s="89"/>
      <c r="O75" s="89"/>
      <c r="P75" s="90"/>
      <c r="Q75" s="62"/>
      <c r="R75" s="62"/>
      <c r="S75" s="62"/>
      <c r="T75" s="62"/>
      <c r="U75" s="62"/>
    </row>
    <row r="76" spans="1:27" ht="18" customHeight="1" x14ac:dyDescent="0.15">
      <c r="A76" s="3"/>
      <c r="B76" s="88"/>
      <c r="C76" s="89"/>
      <c r="D76" s="89"/>
      <c r="E76" s="89"/>
      <c r="F76" s="62"/>
      <c r="G76" s="62"/>
      <c r="H76" s="62"/>
      <c r="I76" s="62"/>
      <c r="J76" s="62"/>
      <c r="K76" s="88"/>
      <c r="L76" s="89"/>
      <c r="M76" s="89"/>
      <c r="N76" s="89"/>
      <c r="O76" s="89"/>
      <c r="P76" s="90"/>
      <c r="Q76" s="62"/>
      <c r="R76" s="62"/>
      <c r="S76" s="62"/>
      <c r="T76" s="62"/>
      <c r="U76" s="62"/>
    </row>
    <row r="77" spans="1:27" ht="18" customHeight="1" x14ac:dyDescent="0.15">
      <c r="A77" s="3"/>
      <c r="B77" s="91"/>
      <c r="C77" s="92"/>
      <c r="D77" s="92"/>
      <c r="E77" s="92"/>
      <c r="F77" s="63"/>
      <c r="G77" s="63"/>
      <c r="H77" s="64"/>
      <c r="I77" s="64"/>
      <c r="J77" s="64"/>
      <c r="K77" s="91"/>
      <c r="L77" s="92"/>
      <c r="M77" s="92"/>
      <c r="N77" s="92"/>
      <c r="O77" s="92"/>
      <c r="P77" s="93"/>
      <c r="Q77" s="63"/>
      <c r="R77" s="63"/>
      <c r="S77" s="64"/>
      <c r="T77" s="64"/>
      <c r="U77" s="64"/>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101" t="s">
        <v>48</v>
      </c>
      <c r="C80" s="102"/>
      <c r="D80" s="102"/>
      <c r="E80" s="102"/>
      <c r="F80" s="103"/>
      <c r="G80" s="101" t="s">
        <v>74</v>
      </c>
      <c r="H80" s="102"/>
      <c r="I80" s="102"/>
      <c r="J80" s="103"/>
      <c r="K80" s="109" t="s">
        <v>48</v>
      </c>
      <c r="L80" s="110"/>
      <c r="M80" s="110"/>
      <c r="N80" s="110"/>
      <c r="O80" s="110"/>
      <c r="P80" s="110"/>
      <c r="Q80" s="111"/>
      <c r="R80" s="101" t="s">
        <v>74</v>
      </c>
      <c r="S80" s="102"/>
      <c r="T80" s="102"/>
      <c r="U80" s="103"/>
      <c r="AA80" s="1" t="s">
        <v>138</v>
      </c>
    </row>
    <row r="81" spans="1:27" ht="18" customHeight="1" x14ac:dyDescent="0.15">
      <c r="A81" s="3"/>
      <c r="B81" s="95"/>
      <c r="C81" s="96"/>
      <c r="D81" s="96"/>
      <c r="E81" s="96"/>
      <c r="F81" s="97"/>
      <c r="G81" s="98"/>
      <c r="H81" s="99"/>
      <c r="I81" s="99"/>
      <c r="J81" s="100"/>
      <c r="K81" s="95"/>
      <c r="L81" s="96"/>
      <c r="M81" s="96"/>
      <c r="N81" s="96"/>
      <c r="O81" s="96"/>
      <c r="P81" s="96"/>
      <c r="Q81" s="97"/>
      <c r="R81" s="98"/>
      <c r="S81" s="99"/>
      <c r="T81" s="99"/>
      <c r="U81" s="100"/>
      <c r="AA81" s="1" t="s">
        <v>131</v>
      </c>
    </row>
    <row r="82" spans="1:27" ht="18" customHeight="1" x14ac:dyDescent="0.15">
      <c r="A82" s="3"/>
      <c r="B82" s="88"/>
      <c r="C82" s="89"/>
      <c r="D82" s="89"/>
      <c r="E82" s="89"/>
      <c r="F82" s="90"/>
      <c r="G82" s="106"/>
      <c r="H82" s="107"/>
      <c r="I82" s="107"/>
      <c r="J82" s="108"/>
      <c r="K82" s="88"/>
      <c r="L82" s="89"/>
      <c r="M82" s="89"/>
      <c r="N82" s="89"/>
      <c r="O82" s="89"/>
      <c r="P82" s="89"/>
      <c r="Q82" s="90"/>
      <c r="R82" s="106"/>
      <c r="S82" s="107"/>
      <c r="T82" s="107"/>
      <c r="U82" s="108"/>
      <c r="AA82" s="1" t="s">
        <v>132</v>
      </c>
    </row>
    <row r="83" spans="1:27" ht="18" customHeight="1" x14ac:dyDescent="0.15">
      <c r="A83" s="3"/>
      <c r="B83" s="88"/>
      <c r="C83" s="89"/>
      <c r="D83" s="89"/>
      <c r="E83" s="89"/>
      <c r="F83" s="90"/>
      <c r="G83" s="106"/>
      <c r="H83" s="107"/>
      <c r="I83" s="107"/>
      <c r="J83" s="108"/>
      <c r="K83" s="88"/>
      <c r="L83" s="89"/>
      <c r="M83" s="89"/>
      <c r="N83" s="89"/>
      <c r="O83" s="89"/>
      <c r="P83" s="89"/>
      <c r="Q83" s="90"/>
      <c r="R83" s="106"/>
      <c r="S83" s="107"/>
      <c r="T83" s="107"/>
      <c r="U83" s="108"/>
      <c r="AA83" s="1" t="s">
        <v>133</v>
      </c>
    </row>
    <row r="84" spans="1:27" ht="18" customHeight="1" x14ac:dyDescent="0.15">
      <c r="A84" s="3"/>
      <c r="B84" s="88"/>
      <c r="C84" s="89"/>
      <c r="D84" s="89"/>
      <c r="E84" s="89"/>
      <c r="F84" s="90"/>
      <c r="G84" s="106"/>
      <c r="H84" s="107"/>
      <c r="I84" s="107"/>
      <c r="J84" s="108"/>
      <c r="K84" s="88"/>
      <c r="L84" s="89"/>
      <c r="M84" s="89"/>
      <c r="N84" s="89"/>
      <c r="O84" s="89"/>
      <c r="P84" s="89"/>
      <c r="Q84" s="90"/>
      <c r="R84" s="106"/>
      <c r="S84" s="107"/>
      <c r="T84" s="107"/>
      <c r="U84" s="108"/>
      <c r="AA84" s="1" t="s">
        <v>139</v>
      </c>
    </row>
    <row r="85" spans="1:27" ht="18" customHeight="1" x14ac:dyDescent="0.15">
      <c r="A85" s="3"/>
      <c r="B85" s="88"/>
      <c r="C85" s="89"/>
      <c r="D85" s="89"/>
      <c r="E85" s="89"/>
      <c r="F85" s="90"/>
      <c r="G85" s="106"/>
      <c r="H85" s="107"/>
      <c r="I85" s="107"/>
      <c r="J85" s="108"/>
      <c r="K85" s="88"/>
      <c r="L85" s="89"/>
      <c r="M85" s="89"/>
      <c r="N85" s="89"/>
      <c r="O85" s="89"/>
      <c r="P85" s="89"/>
      <c r="Q85" s="90"/>
      <c r="R85" s="106"/>
      <c r="S85" s="107"/>
      <c r="T85" s="107"/>
      <c r="U85" s="108"/>
      <c r="AA85" s="1" t="s">
        <v>140</v>
      </c>
    </row>
    <row r="86" spans="1:27" ht="18" customHeight="1" x14ac:dyDescent="0.15">
      <c r="A86" s="3"/>
      <c r="B86" s="88"/>
      <c r="C86" s="89"/>
      <c r="D86" s="89"/>
      <c r="E86" s="89"/>
      <c r="F86" s="90"/>
      <c r="G86" s="106"/>
      <c r="H86" s="107"/>
      <c r="I86" s="107"/>
      <c r="J86" s="108"/>
      <c r="K86" s="88"/>
      <c r="L86" s="89"/>
      <c r="M86" s="89"/>
      <c r="N86" s="89"/>
      <c r="O86" s="89"/>
      <c r="P86" s="89"/>
      <c r="Q86" s="90"/>
      <c r="R86" s="106"/>
      <c r="S86" s="107"/>
      <c r="T86" s="107"/>
      <c r="U86" s="108"/>
      <c r="AA86" s="1" t="s">
        <v>134</v>
      </c>
    </row>
    <row r="87" spans="1:27" ht="18" customHeight="1" x14ac:dyDescent="0.15">
      <c r="A87" s="3"/>
      <c r="B87" s="91"/>
      <c r="C87" s="92"/>
      <c r="D87" s="92"/>
      <c r="E87" s="92"/>
      <c r="F87" s="93"/>
      <c r="G87" s="125"/>
      <c r="H87" s="126"/>
      <c r="I87" s="126"/>
      <c r="J87" s="127"/>
      <c r="K87" s="91"/>
      <c r="L87" s="92"/>
      <c r="M87" s="92"/>
      <c r="N87" s="92"/>
      <c r="O87" s="92"/>
      <c r="P87" s="92"/>
      <c r="Q87" s="93"/>
      <c r="R87" s="125"/>
      <c r="S87" s="126"/>
      <c r="T87" s="126"/>
      <c r="U87" s="127"/>
      <c r="AA87" s="1" t="s">
        <v>135</v>
      </c>
    </row>
    <row r="88" spans="1:27" ht="18" customHeight="1" x14ac:dyDescent="0.15">
      <c r="A88" s="3"/>
      <c r="B88" s="6"/>
      <c r="C88" s="6"/>
      <c r="D88" s="6"/>
      <c r="E88" s="6"/>
      <c r="F88" s="6"/>
      <c r="G88" s="65"/>
      <c r="H88" s="65"/>
      <c r="I88" s="65"/>
      <c r="J88" s="65"/>
      <c r="K88" s="6"/>
      <c r="L88" s="6"/>
      <c r="M88" s="6"/>
      <c r="N88" s="6"/>
      <c r="O88" s="6"/>
      <c r="P88" s="6"/>
      <c r="Q88" s="6"/>
      <c r="R88" s="65"/>
      <c r="S88" s="65"/>
      <c r="T88" s="65"/>
      <c r="U88" s="65"/>
      <c r="AA88" s="1" t="s">
        <v>136</v>
      </c>
    </row>
    <row r="89" spans="1:27" ht="18.75" customHeight="1" x14ac:dyDescent="0.15">
      <c r="A89" s="1" t="s">
        <v>102</v>
      </c>
      <c r="AA89" s="1" t="s">
        <v>137</v>
      </c>
    </row>
    <row r="90" spans="1:27" ht="18.75" customHeight="1" x14ac:dyDescent="0.15">
      <c r="B90" s="129" t="s">
        <v>49</v>
      </c>
      <c r="C90" s="130"/>
      <c r="D90" s="101" t="s">
        <v>50</v>
      </c>
      <c r="E90" s="102"/>
      <c r="F90" s="102"/>
      <c r="G90" s="102"/>
      <c r="H90" s="102"/>
      <c r="I90" s="102"/>
      <c r="J90" s="102"/>
      <c r="K90" s="102"/>
      <c r="L90" s="102"/>
      <c r="M90" s="102"/>
      <c r="N90" s="102"/>
      <c r="O90" s="102"/>
      <c r="P90" s="102"/>
      <c r="Q90" s="102"/>
      <c r="R90" s="102"/>
      <c r="S90" s="102"/>
      <c r="T90" s="102"/>
      <c r="U90" s="103"/>
    </row>
    <row r="91" spans="1:27" ht="97.5" customHeight="1" x14ac:dyDescent="0.15">
      <c r="B91" s="104" t="s">
        <v>56</v>
      </c>
      <c r="C91" s="66" t="s">
        <v>51</v>
      </c>
      <c r="D91" s="138" t="s">
        <v>149</v>
      </c>
      <c r="E91" s="139"/>
      <c r="F91" s="139"/>
      <c r="G91" s="139"/>
      <c r="H91" s="139"/>
      <c r="I91" s="139"/>
      <c r="J91" s="139"/>
      <c r="K91" s="139"/>
      <c r="L91" s="139"/>
      <c r="M91" s="139"/>
      <c r="N91" s="139"/>
      <c r="O91" s="139"/>
      <c r="P91" s="139"/>
      <c r="Q91" s="139"/>
      <c r="R91" s="139"/>
      <c r="S91" s="139"/>
      <c r="T91" s="139"/>
      <c r="U91" s="140"/>
    </row>
    <row r="92" spans="1:27" ht="97.5" customHeight="1" x14ac:dyDescent="0.15">
      <c r="B92" s="128"/>
      <c r="C92" s="67" t="s">
        <v>70</v>
      </c>
      <c r="D92" s="135" t="s">
        <v>150</v>
      </c>
      <c r="E92" s="136"/>
      <c r="F92" s="136"/>
      <c r="G92" s="136"/>
      <c r="H92" s="136"/>
      <c r="I92" s="136"/>
      <c r="J92" s="136"/>
      <c r="K92" s="136"/>
      <c r="L92" s="136"/>
      <c r="M92" s="136"/>
      <c r="N92" s="136"/>
      <c r="O92" s="136"/>
      <c r="P92" s="136"/>
      <c r="Q92" s="136"/>
      <c r="R92" s="136"/>
      <c r="S92" s="136"/>
      <c r="T92" s="136"/>
      <c r="U92" s="137"/>
    </row>
    <row r="93" spans="1:27" ht="97.5" customHeight="1" x14ac:dyDescent="0.15">
      <c r="B93" s="104" t="s">
        <v>57</v>
      </c>
      <c r="C93" s="68" t="s">
        <v>64</v>
      </c>
      <c r="D93" s="138" t="s">
        <v>151</v>
      </c>
      <c r="E93" s="139"/>
      <c r="F93" s="139"/>
      <c r="G93" s="139"/>
      <c r="H93" s="139"/>
      <c r="I93" s="139"/>
      <c r="J93" s="139"/>
      <c r="K93" s="139"/>
      <c r="L93" s="139"/>
      <c r="M93" s="139"/>
      <c r="N93" s="139"/>
      <c r="O93" s="139"/>
      <c r="P93" s="139"/>
      <c r="Q93" s="139"/>
      <c r="R93" s="139"/>
      <c r="S93" s="139"/>
      <c r="T93" s="139"/>
      <c r="U93" s="140"/>
    </row>
    <row r="94" spans="1:27" ht="97.5" customHeight="1" x14ac:dyDescent="0.15">
      <c r="B94" s="105"/>
      <c r="C94" s="69" t="s">
        <v>65</v>
      </c>
      <c r="D94" s="135" t="s">
        <v>152</v>
      </c>
      <c r="E94" s="136"/>
      <c r="F94" s="136"/>
      <c r="G94" s="136"/>
      <c r="H94" s="136"/>
      <c r="I94" s="136"/>
      <c r="J94" s="136"/>
      <c r="K94" s="136"/>
      <c r="L94" s="136"/>
      <c r="M94" s="136"/>
      <c r="N94" s="136"/>
      <c r="O94" s="136"/>
      <c r="P94" s="136"/>
      <c r="Q94" s="136"/>
      <c r="R94" s="136"/>
      <c r="S94" s="136"/>
      <c r="T94" s="136"/>
      <c r="U94" s="137"/>
    </row>
    <row r="95" spans="1:27" ht="97.5" customHeight="1" x14ac:dyDescent="0.15">
      <c r="B95" s="104" t="s">
        <v>58</v>
      </c>
      <c r="C95" s="68" t="s">
        <v>66</v>
      </c>
      <c r="D95" s="138" t="s">
        <v>153</v>
      </c>
      <c r="E95" s="139"/>
      <c r="F95" s="139"/>
      <c r="G95" s="139"/>
      <c r="H95" s="139"/>
      <c r="I95" s="139"/>
      <c r="J95" s="139"/>
      <c r="K95" s="139"/>
      <c r="L95" s="139"/>
      <c r="M95" s="139"/>
      <c r="N95" s="139"/>
      <c r="O95" s="139"/>
      <c r="P95" s="139"/>
      <c r="Q95" s="139"/>
      <c r="R95" s="139"/>
      <c r="S95" s="139"/>
      <c r="T95" s="139"/>
      <c r="U95" s="140"/>
    </row>
    <row r="96" spans="1:27" ht="97.5" customHeight="1" x14ac:dyDescent="0.15">
      <c r="B96" s="105"/>
      <c r="C96" s="70" t="s">
        <v>67</v>
      </c>
      <c r="D96" s="135" t="s">
        <v>154</v>
      </c>
      <c r="E96" s="136"/>
      <c r="F96" s="136"/>
      <c r="G96" s="136"/>
      <c r="H96" s="136"/>
      <c r="I96" s="136"/>
      <c r="J96" s="136"/>
      <c r="K96" s="136"/>
      <c r="L96" s="136"/>
      <c r="M96" s="136"/>
      <c r="N96" s="136"/>
      <c r="O96" s="136"/>
      <c r="P96" s="136"/>
      <c r="Q96" s="136"/>
      <c r="R96" s="136"/>
      <c r="S96" s="136"/>
      <c r="T96" s="136"/>
      <c r="U96" s="137"/>
    </row>
    <row r="97" spans="1:21" ht="97.5" customHeight="1" x14ac:dyDescent="0.15">
      <c r="B97" s="104" t="s">
        <v>71</v>
      </c>
      <c r="C97" s="66" t="s">
        <v>53</v>
      </c>
      <c r="D97" s="138" t="s">
        <v>155</v>
      </c>
      <c r="E97" s="139"/>
      <c r="F97" s="139"/>
      <c r="G97" s="139"/>
      <c r="H97" s="139"/>
      <c r="I97" s="139"/>
      <c r="J97" s="139"/>
      <c r="K97" s="139"/>
      <c r="L97" s="139"/>
      <c r="M97" s="139"/>
      <c r="N97" s="139"/>
      <c r="O97" s="139"/>
      <c r="P97" s="139"/>
      <c r="Q97" s="139"/>
      <c r="R97" s="139"/>
      <c r="S97" s="139"/>
      <c r="T97" s="139"/>
      <c r="U97" s="140"/>
    </row>
    <row r="98" spans="1:21" ht="97.5" customHeight="1" x14ac:dyDescent="0.15">
      <c r="B98" s="105"/>
      <c r="C98" s="69" t="s">
        <v>55</v>
      </c>
      <c r="D98" s="135" t="s">
        <v>156</v>
      </c>
      <c r="E98" s="136"/>
      <c r="F98" s="136"/>
      <c r="G98" s="136"/>
      <c r="H98" s="136"/>
      <c r="I98" s="136"/>
      <c r="J98" s="136"/>
      <c r="K98" s="136"/>
      <c r="L98" s="136"/>
      <c r="M98" s="136"/>
      <c r="N98" s="136"/>
      <c r="O98" s="136"/>
      <c r="P98" s="136"/>
      <c r="Q98" s="136"/>
      <c r="R98" s="136"/>
      <c r="S98" s="136"/>
      <c r="T98" s="136"/>
      <c r="U98" s="137"/>
    </row>
    <row r="99" spans="1:21" ht="166.5" customHeight="1" x14ac:dyDescent="0.15">
      <c r="B99" s="104" t="s">
        <v>72</v>
      </c>
      <c r="C99" s="68" t="s">
        <v>52</v>
      </c>
      <c r="D99" s="138" t="s">
        <v>157</v>
      </c>
      <c r="E99" s="139"/>
      <c r="F99" s="139"/>
      <c r="G99" s="139"/>
      <c r="H99" s="139"/>
      <c r="I99" s="139"/>
      <c r="J99" s="139"/>
      <c r="K99" s="139"/>
      <c r="L99" s="139"/>
      <c r="M99" s="139"/>
      <c r="N99" s="139"/>
      <c r="O99" s="139"/>
      <c r="P99" s="139"/>
      <c r="Q99" s="139"/>
      <c r="R99" s="139"/>
      <c r="S99" s="139"/>
      <c r="T99" s="139"/>
      <c r="U99" s="140"/>
    </row>
    <row r="100" spans="1:21" ht="153.75" customHeight="1" x14ac:dyDescent="0.15">
      <c r="B100" s="128"/>
      <c r="C100" s="71" t="s">
        <v>68</v>
      </c>
      <c r="D100" s="141" t="s">
        <v>158</v>
      </c>
      <c r="E100" s="142"/>
      <c r="F100" s="142"/>
      <c r="G100" s="142"/>
      <c r="H100" s="142"/>
      <c r="I100" s="142"/>
      <c r="J100" s="142"/>
      <c r="K100" s="142"/>
      <c r="L100" s="142"/>
      <c r="M100" s="142"/>
      <c r="N100" s="142"/>
      <c r="O100" s="142"/>
      <c r="P100" s="142"/>
      <c r="Q100" s="142"/>
      <c r="R100" s="142"/>
      <c r="S100" s="142"/>
      <c r="T100" s="142"/>
      <c r="U100" s="143"/>
    </row>
    <row r="101" spans="1:21" ht="163.5" customHeight="1" x14ac:dyDescent="0.15">
      <c r="B101" s="105"/>
      <c r="C101" s="70" t="s">
        <v>69</v>
      </c>
      <c r="D101" s="135" t="s">
        <v>159</v>
      </c>
      <c r="E101" s="136"/>
      <c r="F101" s="136"/>
      <c r="G101" s="136"/>
      <c r="H101" s="136"/>
      <c r="I101" s="136"/>
      <c r="J101" s="136"/>
      <c r="K101" s="136"/>
      <c r="L101" s="136"/>
      <c r="M101" s="136"/>
      <c r="N101" s="136"/>
      <c r="O101" s="136"/>
      <c r="P101" s="136"/>
      <c r="Q101" s="136"/>
      <c r="R101" s="136"/>
      <c r="S101" s="136"/>
      <c r="T101" s="136"/>
      <c r="U101" s="137"/>
    </row>
    <row r="102" spans="1:21" ht="6" customHeight="1" x14ac:dyDescent="0.15"/>
    <row r="103" spans="1:21" ht="18.75" customHeight="1" x14ac:dyDescent="0.15">
      <c r="A103" s="1" t="s">
        <v>103</v>
      </c>
    </row>
    <row r="104" spans="1:21" ht="81.75" customHeight="1" x14ac:dyDescent="0.15">
      <c r="B104" s="122" t="s">
        <v>160</v>
      </c>
      <c r="C104" s="123"/>
      <c r="D104" s="123"/>
      <c r="E104" s="123"/>
      <c r="F104" s="123"/>
      <c r="G104" s="123"/>
      <c r="H104" s="123"/>
      <c r="I104" s="123"/>
      <c r="J104" s="123"/>
      <c r="K104" s="123"/>
      <c r="L104" s="123"/>
      <c r="M104" s="123"/>
      <c r="N104" s="123"/>
      <c r="O104" s="123"/>
      <c r="P104" s="123"/>
      <c r="Q104" s="123"/>
      <c r="R104" s="123"/>
      <c r="S104" s="123"/>
      <c r="T104" s="123"/>
      <c r="U104" s="124"/>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8:J88 R88:U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 type="list" allowBlank="1" showInputMessage="1" showErrorMessage="1" sqref="G81:J87 R81:U87">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E8" sqref="E8"/>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3"/>
      <c r="B1" s="53"/>
      <c r="C1" s="53"/>
      <c r="D1" s="53"/>
      <c r="E1" s="53"/>
      <c r="F1" s="53"/>
      <c r="G1" s="53"/>
      <c r="H1" s="53"/>
      <c r="I1" s="53"/>
      <c r="J1" s="53"/>
      <c r="K1" s="53"/>
      <c r="L1" s="53"/>
      <c r="M1" s="53"/>
      <c r="N1" s="53"/>
      <c r="O1" s="53"/>
      <c r="P1" s="53"/>
      <c r="Q1" s="53"/>
      <c r="R1" s="53"/>
      <c r="S1" s="53" t="s">
        <v>92</v>
      </c>
    </row>
    <row r="2" spans="1:21" ht="18" customHeight="1" x14ac:dyDescent="0.15">
      <c r="A2" s="53"/>
      <c r="B2" s="53"/>
      <c r="C2" s="53"/>
      <c r="D2" s="53"/>
      <c r="E2" s="53"/>
      <c r="F2" s="53"/>
      <c r="G2" s="53"/>
      <c r="H2" s="53"/>
      <c r="I2" s="53"/>
      <c r="J2" s="53"/>
      <c r="K2" s="53"/>
      <c r="L2" s="53"/>
      <c r="M2" s="53"/>
      <c r="N2" s="53"/>
      <c r="O2" s="53"/>
      <c r="P2" s="53"/>
      <c r="Q2" s="157" t="str">
        <f>'様式１　プログラムを構成する授業科目'!C2</f>
        <v>南山大学</v>
      </c>
      <c r="R2" s="157"/>
      <c r="S2" s="157"/>
    </row>
    <row r="3" spans="1:21" ht="18" customHeight="1" x14ac:dyDescent="0.15">
      <c r="A3" s="112" t="s">
        <v>142</v>
      </c>
      <c r="B3" s="112"/>
      <c r="C3" s="112"/>
      <c r="D3" s="112"/>
      <c r="E3" s="112"/>
      <c r="F3" s="112"/>
      <c r="G3" s="112"/>
      <c r="H3" s="112"/>
      <c r="I3" s="112"/>
      <c r="J3" s="112"/>
      <c r="K3" s="112"/>
      <c r="L3" s="112"/>
      <c r="M3" s="112"/>
      <c r="N3" s="112"/>
      <c r="O3" s="112"/>
      <c r="P3" s="112"/>
      <c r="Q3" s="112"/>
      <c r="R3" s="112"/>
      <c r="S3" s="112"/>
    </row>
    <row r="4" spans="1:21" ht="7.5" customHeight="1" x14ac:dyDescent="0.15">
      <c r="A4" s="55"/>
      <c r="B4" s="55"/>
      <c r="C4" s="55"/>
      <c r="D4" s="55"/>
      <c r="E4" s="55"/>
      <c r="F4" s="55"/>
      <c r="G4" s="55"/>
      <c r="H4" s="55"/>
      <c r="I4" s="55"/>
      <c r="J4" s="55"/>
      <c r="K4" s="55"/>
      <c r="L4" s="55"/>
      <c r="M4" s="55"/>
      <c r="N4" s="55"/>
      <c r="O4" s="55"/>
      <c r="P4" s="55"/>
      <c r="Q4" s="55"/>
      <c r="R4" s="55"/>
      <c r="S4" s="55"/>
    </row>
    <row r="5" spans="1:21" ht="18" customHeight="1" x14ac:dyDescent="0.15">
      <c r="A5" s="53" t="s">
        <v>75</v>
      </c>
      <c r="B5" s="53"/>
      <c r="C5" s="158" t="s">
        <v>187</v>
      </c>
      <c r="D5" s="159"/>
      <c r="E5" s="57" t="s">
        <v>125</v>
      </c>
      <c r="F5" s="55"/>
      <c r="G5" s="55"/>
      <c r="H5" s="55"/>
      <c r="I5" s="55"/>
      <c r="J5" s="55"/>
      <c r="K5" s="55"/>
      <c r="L5" s="55"/>
      <c r="M5" s="55"/>
      <c r="N5" s="55"/>
      <c r="O5" s="55"/>
      <c r="P5" s="55"/>
      <c r="Q5" s="55"/>
      <c r="R5" s="54"/>
      <c r="S5" s="54"/>
    </row>
    <row r="6" spans="1:21" ht="7.15" customHeight="1" x14ac:dyDescent="0.15">
      <c r="A6" s="53"/>
      <c r="B6" s="53"/>
      <c r="C6" s="75"/>
      <c r="D6" s="75"/>
      <c r="E6" s="55"/>
      <c r="F6" s="55"/>
      <c r="G6" s="55"/>
      <c r="H6" s="55"/>
      <c r="I6" s="55"/>
      <c r="J6" s="55"/>
      <c r="K6" s="55"/>
      <c r="L6" s="55"/>
      <c r="M6" s="55"/>
      <c r="N6" s="55"/>
      <c r="O6" s="55"/>
      <c r="P6" s="55"/>
      <c r="Q6" s="55"/>
      <c r="R6" s="54"/>
      <c r="S6" s="54"/>
    </row>
    <row r="7" spans="1:21" ht="18" customHeight="1" x14ac:dyDescent="0.15">
      <c r="A7" s="53" t="s">
        <v>109</v>
      </c>
      <c r="B7" s="53"/>
      <c r="C7" s="75"/>
      <c r="D7" s="75"/>
      <c r="E7" s="55" t="s">
        <v>110</v>
      </c>
      <c r="F7" s="81">
        <v>4402</v>
      </c>
      <c r="G7" s="57" t="s">
        <v>111</v>
      </c>
      <c r="H7" s="55" t="s">
        <v>112</v>
      </c>
      <c r="I7" s="81">
        <v>5259</v>
      </c>
      <c r="J7" s="57" t="s">
        <v>111</v>
      </c>
      <c r="K7" s="56" t="s">
        <v>113</v>
      </c>
      <c r="L7" s="55" t="s">
        <v>114</v>
      </c>
      <c r="M7" s="82">
        <f>F7+I7</f>
        <v>9661</v>
      </c>
      <c r="N7" s="55" t="s">
        <v>1</v>
      </c>
      <c r="O7" s="57" t="s">
        <v>115</v>
      </c>
      <c r="P7" s="55"/>
      <c r="Q7" s="55"/>
      <c r="R7" s="54"/>
      <c r="S7" s="54"/>
    </row>
    <row r="8" spans="1:21" ht="17.45" customHeight="1" x14ac:dyDescent="0.15">
      <c r="A8" s="55"/>
      <c r="B8" s="76" t="s">
        <v>128</v>
      </c>
      <c r="C8" s="55"/>
      <c r="D8" s="55"/>
      <c r="E8" s="55"/>
      <c r="F8" s="55"/>
      <c r="G8" s="55"/>
      <c r="H8" s="55"/>
      <c r="I8" s="55"/>
      <c r="J8" s="55"/>
      <c r="K8" s="55"/>
      <c r="L8" s="55"/>
      <c r="M8" s="55"/>
      <c r="N8" s="55"/>
      <c r="O8" s="55"/>
      <c r="P8" s="55"/>
      <c r="Q8" s="55"/>
      <c r="R8" s="55"/>
      <c r="S8" s="55"/>
    </row>
    <row r="9" spans="1:21" ht="18" customHeight="1" x14ac:dyDescent="0.15">
      <c r="A9" s="53" t="s">
        <v>120</v>
      </c>
      <c r="B9" s="55"/>
      <c r="C9" s="55"/>
      <c r="D9" s="55"/>
      <c r="E9" s="55"/>
      <c r="F9" s="55"/>
      <c r="G9" s="55"/>
      <c r="H9" s="55"/>
      <c r="I9" s="55"/>
      <c r="J9" s="55"/>
      <c r="K9" s="55"/>
      <c r="L9" s="55"/>
      <c r="M9" s="55"/>
      <c r="N9" s="55"/>
      <c r="O9" s="55"/>
      <c r="P9" s="55"/>
      <c r="Q9" s="55"/>
      <c r="R9" s="55"/>
      <c r="S9" s="55"/>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0" t="s">
        <v>43</v>
      </c>
      <c r="C11" s="170" t="s">
        <v>78</v>
      </c>
      <c r="D11" s="162" t="s">
        <v>45</v>
      </c>
      <c r="E11" s="164" t="s">
        <v>38</v>
      </c>
      <c r="F11" s="156" t="s">
        <v>126</v>
      </c>
      <c r="G11" s="156"/>
      <c r="H11" s="156" t="s">
        <v>106</v>
      </c>
      <c r="I11" s="156"/>
      <c r="J11" s="156" t="s">
        <v>77</v>
      </c>
      <c r="K11" s="156"/>
      <c r="L11" s="156" t="s">
        <v>46</v>
      </c>
      <c r="M11" s="156"/>
      <c r="N11" s="156" t="s">
        <v>47</v>
      </c>
      <c r="O11" s="156"/>
      <c r="P11" s="156" t="s">
        <v>127</v>
      </c>
      <c r="Q11" s="156"/>
      <c r="R11" s="166" t="s">
        <v>35</v>
      </c>
      <c r="S11" s="168" t="s">
        <v>32</v>
      </c>
      <c r="U11" s="2"/>
    </row>
    <row r="12" spans="1:21" ht="16.899999999999999" customHeight="1" x14ac:dyDescent="0.15">
      <c r="B12" s="161"/>
      <c r="C12" s="171"/>
      <c r="D12" s="163"/>
      <c r="E12" s="165"/>
      <c r="F12" s="77" t="s">
        <v>86</v>
      </c>
      <c r="G12" s="77" t="s">
        <v>29</v>
      </c>
      <c r="H12" s="77" t="s">
        <v>86</v>
      </c>
      <c r="I12" s="77" t="s">
        <v>29</v>
      </c>
      <c r="J12" s="77" t="s">
        <v>86</v>
      </c>
      <c r="K12" s="77" t="s">
        <v>29</v>
      </c>
      <c r="L12" s="77" t="s">
        <v>86</v>
      </c>
      <c r="M12" s="77" t="s">
        <v>29</v>
      </c>
      <c r="N12" s="77" t="s">
        <v>86</v>
      </c>
      <c r="O12" s="77" t="s">
        <v>29</v>
      </c>
      <c r="P12" s="77" t="s">
        <v>86</v>
      </c>
      <c r="Q12" s="78" t="s">
        <v>29</v>
      </c>
      <c r="R12" s="167"/>
      <c r="S12" s="169"/>
      <c r="U12" s="2"/>
    </row>
    <row r="13" spans="1:21" ht="18" customHeight="1" x14ac:dyDescent="0.15">
      <c r="A13" s="6"/>
      <c r="B13" s="83" t="s">
        <v>161</v>
      </c>
      <c r="C13" s="84">
        <v>1482</v>
      </c>
      <c r="D13" s="84">
        <v>340</v>
      </c>
      <c r="E13" s="84">
        <v>1370</v>
      </c>
      <c r="F13" s="85">
        <v>12</v>
      </c>
      <c r="G13" s="85">
        <v>10</v>
      </c>
      <c r="H13" s="38"/>
      <c r="I13" s="38"/>
      <c r="J13" s="38"/>
      <c r="K13" s="38"/>
      <c r="L13" s="38"/>
      <c r="M13" s="38"/>
      <c r="N13" s="38"/>
      <c r="O13" s="38"/>
      <c r="P13" s="38"/>
      <c r="Q13" s="48"/>
      <c r="R13" s="37">
        <f t="shared" ref="R13:R32" si="0">F13+H13+J13+L13+N13+P13</f>
        <v>12</v>
      </c>
      <c r="S13" s="49">
        <f t="shared" ref="S13:S33" si="1">R13/E13</f>
        <v>8.7591240875912416E-3</v>
      </c>
    </row>
    <row r="14" spans="1:21" ht="18" customHeight="1" x14ac:dyDescent="0.15">
      <c r="A14" s="6"/>
      <c r="B14" s="11" t="s">
        <v>162</v>
      </c>
      <c r="C14" s="86">
        <v>1697</v>
      </c>
      <c r="D14" s="86">
        <v>390</v>
      </c>
      <c r="E14" s="86">
        <v>1584</v>
      </c>
      <c r="F14" s="87">
        <v>19</v>
      </c>
      <c r="G14" s="87">
        <v>17</v>
      </c>
      <c r="H14" s="42"/>
      <c r="I14" s="42"/>
      <c r="J14" s="42"/>
      <c r="K14" s="42"/>
      <c r="L14" s="42"/>
      <c r="M14" s="42"/>
      <c r="N14" s="42"/>
      <c r="O14" s="42"/>
      <c r="P14" s="42"/>
      <c r="Q14" s="39"/>
      <c r="R14" s="40">
        <f t="shared" si="0"/>
        <v>19</v>
      </c>
      <c r="S14" s="16">
        <f t="shared" si="1"/>
        <v>1.1994949494949494E-2</v>
      </c>
    </row>
    <row r="15" spans="1:21" ht="18" customHeight="1" x14ac:dyDescent="0.15">
      <c r="A15" s="6"/>
      <c r="B15" s="11" t="s">
        <v>163</v>
      </c>
      <c r="C15" s="86">
        <v>1209</v>
      </c>
      <c r="D15" s="86">
        <v>275</v>
      </c>
      <c r="E15" s="86">
        <v>1100</v>
      </c>
      <c r="F15" s="87">
        <v>20</v>
      </c>
      <c r="G15" s="87">
        <v>18</v>
      </c>
      <c r="H15" s="42"/>
      <c r="I15" s="42"/>
      <c r="J15" s="42"/>
      <c r="K15" s="42"/>
      <c r="L15" s="42"/>
      <c r="M15" s="42"/>
      <c r="N15" s="42"/>
      <c r="O15" s="42"/>
      <c r="P15" s="42"/>
      <c r="Q15" s="39"/>
      <c r="R15" s="40">
        <f t="shared" si="0"/>
        <v>20</v>
      </c>
      <c r="S15" s="8">
        <f t="shared" si="1"/>
        <v>1.8181818181818181E-2</v>
      </c>
    </row>
    <row r="16" spans="1:21" ht="18" customHeight="1" x14ac:dyDescent="0.15">
      <c r="A16" s="6"/>
      <c r="B16" s="11" t="s">
        <v>164</v>
      </c>
      <c r="C16" s="86">
        <v>1159</v>
      </c>
      <c r="D16" s="86">
        <v>270</v>
      </c>
      <c r="E16" s="86">
        <v>1080</v>
      </c>
      <c r="F16" s="87">
        <v>10</v>
      </c>
      <c r="G16" s="87">
        <v>10</v>
      </c>
      <c r="H16" s="42"/>
      <c r="I16" s="42"/>
      <c r="J16" s="42"/>
      <c r="K16" s="42"/>
      <c r="L16" s="42"/>
      <c r="M16" s="42"/>
      <c r="N16" s="42"/>
      <c r="O16" s="42"/>
      <c r="P16" s="42"/>
      <c r="Q16" s="39"/>
      <c r="R16" s="40">
        <f t="shared" si="0"/>
        <v>10</v>
      </c>
      <c r="S16" s="8">
        <f t="shared" si="1"/>
        <v>9.2592592592592587E-3</v>
      </c>
    </row>
    <row r="17" spans="1:19" ht="18" customHeight="1" x14ac:dyDescent="0.15">
      <c r="A17" s="6"/>
      <c r="B17" s="11" t="s">
        <v>165</v>
      </c>
      <c r="C17" s="86">
        <v>1183</v>
      </c>
      <c r="D17" s="86">
        <v>275</v>
      </c>
      <c r="E17" s="86">
        <v>1100</v>
      </c>
      <c r="F17" s="87">
        <v>6</v>
      </c>
      <c r="G17" s="87">
        <v>4</v>
      </c>
      <c r="H17" s="42"/>
      <c r="I17" s="42"/>
      <c r="J17" s="42"/>
      <c r="K17" s="42"/>
      <c r="L17" s="42"/>
      <c r="M17" s="42"/>
      <c r="N17" s="42"/>
      <c r="O17" s="42"/>
      <c r="P17" s="42"/>
      <c r="Q17" s="39"/>
      <c r="R17" s="40">
        <f t="shared" si="0"/>
        <v>6</v>
      </c>
      <c r="S17" s="8">
        <f t="shared" si="1"/>
        <v>5.454545454545455E-3</v>
      </c>
    </row>
    <row r="18" spans="1:19" ht="18" customHeight="1" x14ac:dyDescent="0.15">
      <c r="A18" s="6"/>
      <c r="B18" s="11" t="s">
        <v>166</v>
      </c>
      <c r="C18" s="86">
        <v>1178</v>
      </c>
      <c r="D18" s="86">
        <v>275</v>
      </c>
      <c r="E18" s="86">
        <v>1120</v>
      </c>
      <c r="F18" s="87">
        <v>32</v>
      </c>
      <c r="G18" s="87">
        <v>28</v>
      </c>
      <c r="H18" s="42"/>
      <c r="I18" s="42"/>
      <c r="J18" s="42"/>
      <c r="K18" s="42"/>
      <c r="L18" s="42"/>
      <c r="M18" s="42"/>
      <c r="N18" s="42"/>
      <c r="O18" s="42"/>
      <c r="P18" s="42"/>
      <c r="Q18" s="39"/>
      <c r="R18" s="40">
        <f t="shared" si="0"/>
        <v>32</v>
      </c>
      <c r="S18" s="8">
        <f t="shared" si="1"/>
        <v>2.8571428571428571E-2</v>
      </c>
    </row>
    <row r="19" spans="1:19" ht="18" customHeight="1" x14ac:dyDescent="0.15">
      <c r="A19" s="6"/>
      <c r="B19" s="11" t="s">
        <v>167</v>
      </c>
      <c r="C19" s="86">
        <v>1108</v>
      </c>
      <c r="D19" s="86">
        <v>270</v>
      </c>
      <c r="E19" s="86">
        <v>1080</v>
      </c>
      <c r="F19" s="87">
        <v>94</v>
      </c>
      <c r="G19" s="87">
        <v>75</v>
      </c>
      <c r="H19" s="42"/>
      <c r="I19" s="42"/>
      <c r="J19" s="42"/>
      <c r="K19" s="42"/>
      <c r="L19" s="42"/>
      <c r="M19" s="42"/>
      <c r="N19" s="42"/>
      <c r="O19" s="42"/>
      <c r="P19" s="42"/>
      <c r="Q19" s="39"/>
      <c r="R19" s="40">
        <f t="shared" si="0"/>
        <v>94</v>
      </c>
      <c r="S19" s="8">
        <f t="shared" si="1"/>
        <v>8.7037037037037038E-2</v>
      </c>
    </row>
    <row r="20" spans="1:19" ht="18" customHeight="1" x14ac:dyDescent="0.15">
      <c r="A20" s="6"/>
      <c r="B20" s="11" t="s">
        <v>168</v>
      </c>
      <c r="C20" s="86">
        <v>645</v>
      </c>
      <c r="D20" s="86">
        <v>150</v>
      </c>
      <c r="E20" s="86">
        <v>610</v>
      </c>
      <c r="F20" s="87">
        <v>1</v>
      </c>
      <c r="G20" s="87">
        <v>0</v>
      </c>
      <c r="H20" s="42"/>
      <c r="I20" s="42"/>
      <c r="J20" s="42"/>
      <c r="K20" s="42"/>
      <c r="L20" s="42"/>
      <c r="M20" s="42"/>
      <c r="N20" s="42"/>
      <c r="O20" s="42"/>
      <c r="P20" s="42"/>
      <c r="Q20" s="39"/>
      <c r="R20" s="40">
        <f t="shared" si="0"/>
        <v>1</v>
      </c>
      <c r="S20" s="8">
        <f t="shared" si="1"/>
        <v>1.639344262295082E-3</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9661</v>
      </c>
      <c r="D33" s="46">
        <f t="shared" ref="D33:R33" si="3">SUM(D13:D32)</f>
        <v>2245</v>
      </c>
      <c r="E33" s="47">
        <f t="shared" si="3"/>
        <v>9044</v>
      </c>
      <c r="F33" s="47">
        <f t="shared" si="3"/>
        <v>194</v>
      </c>
      <c r="G33" s="47">
        <f t="shared" ref="G33:H33" si="4">SUM(G13:G32)</f>
        <v>162</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194</v>
      </c>
      <c r="S33" s="9">
        <f t="shared" si="1"/>
        <v>2.1450685537372845E-2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B1" sqref="B1"/>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101" t="str">
        <f>'様式１　プログラムを構成する授業科目'!C2</f>
        <v>南山大学</v>
      </c>
      <c r="I2" s="103"/>
    </row>
    <row r="3" spans="1:9" ht="18.75" customHeight="1" x14ac:dyDescent="0.15">
      <c r="G3" s="18"/>
      <c r="H3" s="10"/>
      <c r="I3" s="10"/>
    </row>
    <row r="4" spans="1:9" ht="18.600000000000001" customHeight="1" x14ac:dyDescent="0.15">
      <c r="A4" s="112" t="s">
        <v>36</v>
      </c>
      <c r="B4" s="112"/>
      <c r="C4" s="112"/>
      <c r="D4" s="112"/>
      <c r="E4" s="112"/>
      <c r="F4" s="112"/>
      <c r="G4" s="112"/>
      <c r="H4" s="112"/>
      <c r="I4" s="112"/>
    </row>
    <row r="5" spans="1:9" ht="13.15" customHeight="1" x14ac:dyDescent="0.15">
      <c r="B5" s="3"/>
      <c r="C5" s="3"/>
      <c r="D5" s="3"/>
      <c r="E5" s="3"/>
      <c r="F5" s="3"/>
      <c r="G5" s="3"/>
      <c r="H5" s="3"/>
      <c r="I5" s="3"/>
    </row>
    <row r="6" spans="1:9" ht="18" customHeight="1" x14ac:dyDescent="0.15">
      <c r="A6" s="1" t="s">
        <v>0</v>
      </c>
      <c r="B6" s="10" t="s">
        <v>81</v>
      </c>
      <c r="C6" s="201" t="s">
        <v>82</v>
      </c>
      <c r="D6" s="201"/>
      <c r="E6" s="17">
        <v>344</v>
      </c>
      <c r="F6" s="3" t="s">
        <v>1</v>
      </c>
      <c r="G6" s="3" t="s">
        <v>2</v>
      </c>
      <c r="H6" s="17">
        <v>428</v>
      </c>
      <c r="I6" s="10" t="s">
        <v>1</v>
      </c>
    </row>
    <row r="7" spans="1:9" ht="12" customHeight="1" x14ac:dyDescent="0.15">
      <c r="C7" s="2"/>
      <c r="D7" s="2"/>
      <c r="E7" s="2"/>
      <c r="F7" s="2"/>
      <c r="G7" s="2"/>
      <c r="H7" s="2"/>
      <c r="I7" s="21"/>
    </row>
    <row r="8" spans="1:9" ht="18" customHeight="1" x14ac:dyDescent="0.15">
      <c r="A8" s="1" t="s">
        <v>3</v>
      </c>
      <c r="B8" s="10" t="s">
        <v>83</v>
      </c>
      <c r="E8" s="3"/>
      <c r="F8" s="3"/>
      <c r="G8" s="3"/>
      <c r="H8" s="17">
        <v>4</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196" t="s">
        <v>169</v>
      </c>
      <c r="D11" s="199"/>
      <c r="E11" s="200"/>
      <c r="F11" s="21"/>
      <c r="G11" s="18" t="s">
        <v>10</v>
      </c>
      <c r="H11" s="196" t="s">
        <v>170</v>
      </c>
      <c r="I11" s="200"/>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196" t="s">
        <v>171</v>
      </c>
      <c r="C14" s="197"/>
      <c r="D14" s="197"/>
      <c r="E14" s="197"/>
      <c r="F14" s="197"/>
      <c r="G14" s="197"/>
      <c r="H14" s="197"/>
      <c r="I14" s="198"/>
    </row>
    <row r="15" spans="1:9" ht="9" customHeight="1" x14ac:dyDescent="0.15">
      <c r="B15" s="3"/>
      <c r="C15" s="3"/>
      <c r="D15" s="3"/>
      <c r="E15" s="3"/>
      <c r="F15" s="3"/>
      <c r="G15" s="3"/>
      <c r="H15" s="3"/>
      <c r="I15" s="3"/>
    </row>
    <row r="16" spans="1:9" ht="18" customHeight="1" x14ac:dyDescent="0.15">
      <c r="B16" s="18" t="s">
        <v>41</v>
      </c>
      <c r="C16" s="196" t="s">
        <v>169</v>
      </c>
      <c r="D16" s="199"/>
      <c r="E16" s="200"/>
      <c r="F16" s="21"/>
      <c r="G16" s="18" t="s">
        <v>10</v>
      </c>
      <c r="H16" s="196" t="s">
        <v>172</v>
      </c>
      <c r="I16" s="200"/>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73" t="s">
        <v>173</v>
      </c>
      <c r="C19" s="174"/>
      <c r="D19" s="174"/>
      <c r="E19" s="174"/>
      <c r="F19" s="174"/>
      <c r="G19" s="174"/>
      <c r="H19" s="174"/>
      <c r="I19" s="175"/>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76" t="s">
        <v>174</v>
      </c>
      <c r="C22" s="177"/>
      <c r="D22" s="177"/>
      <c r="E22" s="177"/>
      <c r="F22" s="177"/>
      <c r="G22" s="177"/>
      <c r="H22" s="177"/>
      <c r="I22" s="178"/>
    </row>
    <row r="23" spans="1:9" ht="18.75" customHeight="1" x14ac:dyDescent="0.15">
      <c r="A23" s="14"/>
      <c r="B23" s="179"/>
      <c r="C23" s="180"/>
      <c r="D23" s="180"/>
      <c r="E23" s="180"/>
      <c r="F23" s="180"/>
      <c r="G23" s="180"/>
      <c r="H23" s="180"/>
      <c r="I23" s="181"/>
    </row>
    <row r="24" spans="1:9" ht="18.75" customHeight="1" x14ac:dyDescent="0.15">
      <c r="A24" s="14"/>
      <c r="B24" s="179"/>
      <c r="C24" s="180"/>
      <c r="D24" s="180"/>
      <c r="E24" s="180"/>
      <c r="F24" s="180"/>
      <c r="G24" s="180"/>
      <c r="H24" s="180"/>
      <c r="I24" s="181"/>
    </row>
    <row r="25" spans="1:9" ht="18.75" customHeight="1" x14ac:dyDescent="0.15">
      <c r="A25" s="14"/>
      <c r="B25" s="179"/>
      <c r="C25" s="180"/>
      <c r="D25" s="180"/>
      <c r="E25" s="180"/>
      <c r="F25" s="180"/>
      <c r="G25" s="180"/>
      <c r="H25" s="180"/>
      <c r="I25" s="181"/>
    </row>
    <row r="26" spans="1:9" ht="18.75" customHeight="1" x14ac:dyDescent="0.15">
      <c r="A26" s="14"/>
      <c r="B26" s="179"/>
      <c r="C26" s="180"/>
      <c r="D26" s="180"/>
      <c r="E26" s="180"/>
      <c r="F26" s="180"/>
      <c r="G26" s="180"/>
      <c r="H26" s="180"/>
      <c r="I26" s="181"/>
    </row>
    <row r="27" spans="1:9" ht="18.75" customHeight="1" x14ac:dyDescent="0.15">
      <c r="A27" s="14"/>
      <c r="B27" s="179"/>
      <c r="C27" s="180"/>
      <c r="D27" s="180"/>
      <c r="E27" s="180"/>
      <c r="F27" s="180"/>
      <c r="G27" s="180"/>
      <c r="H27" s="180"/>
      <c r="I27" s="181"/>
    </row>
    <row r="28" spans="1:9" ht="18.75" customHeight="1" x14ac:dyDescent="0.15">
      <c r="A28" s="14"/>
      <c r="B28" s="179"/>
      <c r="C28" s="180"/>
      <c r="D28" s="180"/>
      <c r="E28" s="180"/>
      <c r="F28" s="180"/>
      <c r="G28" s="180"/>
      <c r="H28" s="180"/>
      <c r="I28" s="181"/>
    </row>
    <row r="29" spans="1:9" ht="18.75" customHeight="1" x14ac:dyDescent="0.15">
      <c r="A29" s="14"/>
      <c r="B29" s="179"/>
      <c r="C29" s="180"/>
      <c r="D29" s="180"/>
      <c r="E29" s="180"/>
      <c r="F29" s="180"/>
      <c r="G29" s="180"/>
      <c r="H29" s="180"/>
      <c r="I29" s="181"/>
    </row>
    <row r="30" spans="1:9" ht="18.75" customHeight="1" x14ac:dyDescent="0.15">
      <c r="A30" s="14"/>
      <c r="B30" s="182"/>
      <c r="C30" s="183"/>
      <c r="D30" s="183"/>
      <c r="E30" s="183"/>
      <c r="F30" s="183"/>
      <c r="G30" s="183"/>
      <c r="H30" s="183"/>
      <c r="I30" s="181"/>
    </row>
    <row r="31" spans="1:9" ht="18.75" customHeight="1" x14ac:dyDescent="0.15">
      <c r="A31" s="14"/>
      <c r="B31" s="182"/>
      <c r="C31" s="183"/>
      <c r="D31" s="183"/>
      <c r="E31" s="183"/>
      <c r="F31" s="183"/>
      <c r="G31" s="183"/>
      <c r="H31" s="183"/>
      <c r="I31" s="181"/>
    </row>
    <row r="32" spans="1:9" ht="18.75" customHeight="1" x14ac:dyDescent="0.15">
      <c r="A32" s="14"/>
      <c r="B32" s="184"/>
      <c r="C32" s="185"/>
      <c r="D32" s="185"/>
      <c r="E32" s="185"/>
      <c r="F32" s="185"/>
      <c r="G32" s="185"/>
      <c r="H32" s="185"/>
      <c r="I32" s="186"/>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87" t="s">
        <v>190</v>
      </c>
      <c r="C35" s="188"/>
      <c r="D35" s="188"/>
      <c r="E35" s="188"/>
      <c r="F35" s="188"/>
      <c r="G35" s="188"/>
      <c r="H35" s="188"/>
      <c r="I35" s="189"/>
    </row>
    <row r="36" spans="1:9" ht="18.75" customHeight="1" x14ac:dyDescent="0.15">
      <c r="A36" s="14"/>
      <c r="B36" s="190"/>
      <c r="C36" s="191"/>
      <c r="D36" s="191"/>
      <c r="E36" s="191"/>
      <c r="F36" s="191"/>
      <c r="G36" s="191"/>
      <c r="H36" s="191"/>
      <c r="I36" s="192"/>
    </row>
    <row r="37" spans="1:9" ht="18.75" customHeight="1" x14ac:dyDescent="0.15">
      <c r="A37" s="14"/>
      <c r="B37" s="190"/>
      <c r="C37" s="191"/>
      <c r="D37" s="191"/>
      <c r="E37" s="191"/>
      <c r="F37" s="191"/>
      <c r="G37" s="191"/>
      <c r="H37" s="191"/>
      <c r="I37" s="192"/>
    </row>
    <row r="38" spans="1:9" ht="18.75" customHeight="1" x14ac:dyDescent="0.15">
      <c r="A38" s="14"/>
      <c r="B38" s="190"/>
      <c r="C38" s="191"/>
      <c r="D38" s="191"/>
      <c r="E38" s="191"/>
      <c r="F38" s="191"/>
      <c r="G38" s="191"/>
      <c r="H38" s="191"/>
      <c r="I38" s="192"/>
    </row>
    <row r="39" spans="1:9" ht="18.75" customHeight="1" x14ac:dyDescent="0.15">
      <c r="A39" s="14"/>
      <c r="B39" s="190"/>
      <c r="C39" s="191"/>
      <c r="D39" s="191"/>
      <c r="E39" s="191"/>
      <c r="F39" s="191"/>
      <c r="G39" s="191"/>
      <c r="H39" s="191"/>
      <c r="I39" s="192"/>
    </row>
    <row r="40" spans="1:9" ht="18.75" customHeight="1" x14ac:dyDescent="0.15">
      <c r="A40" s="14"/>
      <c r="B40" s="190"/>
      <c r="C40" s="191"/>
      <c r="D40" s="191"/>
      <c r="E40" s="191"/>
      <c r="F40" s="191"/>
      <c r="G40" s="191"/>
      <c r="H40" s="191"/>
      <c r="I40" s="192"/>
    </row>
    <row r="41" spans="1:9" ht="18.75" customHeight="1" x14ac:dyDescent="0.15">
      <c r="A41" s="14"/>
      <c r="B41" s="190"/>
      <c r="C41" s="191"/>
      <c r="D41" s="191"/>
      <c r="E41" s="191"/>
      <c r="F41" s="191"/>
      <c r="G41" s="191"/>
      <c r="H41" s="191"/>
      <c r="I41" s="192"/>
    </row>
    <row r="42" spans="1:9" ht="18.75" customHeight="1" x14ac:dyDescent="0.15">
      <c r="A42" s="14"/>
      <c r="B42" s="190"/>
      <c r="C42" s="191"/>
      <c r="D42" s="191"/>
      <c r="E42" s="191"/>
      <c r="F42" s="191"/>
      <c r="G42" s="191"/>
      <c r="H42" s="191"/>
      <c r="I42" s="192"/>
    </row>
    <row r="43" spans="1:9" ht="18.75" customHeight="1" x14ac:dyDescent="0.15">
      <c r="A43" s="14"/>
      <c r="B43" s="190"/>
      <c r="C43" s="191"/>
      <c r="D43" s="191"/>
      <c r="E43" s="191"/>
      <c r="F43" s="191"/>
      <c r="G43" s="191"/>
      <c r="H43" s="191"/>
      <c r="I43" s="192"/>
    </row>
    <row r="44" spans="1:9" ht="18.75" customHeight="1" x14ac:dyDescent="0.15">
      <c r="A44" s="14"/>
      <c r="B44" s="190"/>
      <c r="C44" s="191"/>
      <c r="D44" s="191"/>
      <c r="E44" s="191"/>
      <c r="F44" s="191"/>
      <c r="G44" s="191"/>
      <c r="H44" s="191"/>
      <c r="I44" s="192"/>
    </row>
    <row r="45" spans="1:9" ht="18.75" customHeight="1" x14ac:dyDescent="0.15">
      <c r="A45" s="14"/>
      <c r="B45" s="190"/>
      <c r="C45" s="191"/>
      <c r="D45" s="191"/>
      <c r="E45" s="191"/>
      <c r="F45" s="191"/>
      <c r="G45" s="191"/>
      <c r="H45" s="191"/>
      <c r="I45" s="192"/>
    </row>
    <row r="46" spans="1:9" ht="18.75" customHeight="1" x14ac:dyDescent="0.15">
      <c r="A46" s="14"/>
      <c r="B46" s="193"/>
      <c r="C46" s="194"/>
      <c r="D46" s="194"/>
      <c r="E46" s="194"/>
      <c r="F46" s="194"/>
      <c r="G46" s="194"/>
      <c r="H46" s="194"/>
      <c r="I46" s="195"/>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79" t="s">
        <v>129</v>
      </c>
      <c r="C49" s="223">
        <f>'様式２ 履修者等数の実績'!S33</f>
        <v>2.1450685537372845E-2</v>
      </c>
      <c r="D49" s="223"/>
      <c r="E49" s="79" t="s">
        <v>60</v>
      </c>
      <c r="F49" s="223">
        <v>0.03</v>
      </c>
      <c r="G49" s="223"/>
      <c r="H49" s="79" t="s">
        <v>80</v>
      </c>
      <c r="I49" s="22">
        <v>0.04</v>
      </c>
      <c r="J49" s="1"/>
      <c r="M49" s="1"/>
      <c r="N49" s="23"/>
    </row>
    <row r="50" spans="1:15" s="3" customFormat="1" ht="18.75" customHeight="1" x14ac:dyDescent="0.15">
      <c r="B50" s="80" t="s">
        <v>116</v>
      </c>
      <c r="C50" s="206">
        <v>0.04</v>
      </c>
      <c r="D50" s="206"/>
      <c r="E50" s="80" t="s">
        <v>130</v>
      </c>
      <c r="F50" s="206">
        <v>0.08</v>
      </c>
      <c r="G50" s="206"/>
      <c r="H50" s="80" t="s">
        <v>61</v>
      </c>
      <c r="I50" s="24">
        <f>'様式２ 履修者等数の実績'!E33</f>
        <v>9044</v>
      </c>
      <c r="J50" s="1"/>
      <c r="M50" s="1"/>
      <c r="N50" s="23"/>
    </row>
    <row r="51" spans="1:15" ht="18.75" customHeight="1" x14ac:dyDescent="0.15">
      <c r="A51" s="1"/>
      <c r="B51" s="203" t="s">
        <v>62</v>
      </c>
      <c r="C51" s="204"/>
      <c r="D51" s="204"/>
      <c r="E51" s="204"/>
      <c r="F51" s="204"/>
      <c r="G51" s="204"/>
      <c r="H51" s="204"/>
      <c r="I51" s="205"/>
      <c r="N51" s="23"/>
      <c r="O51" s="3"/>
    </row>
    <row r="52" spans="1:15" ht="18.75" customHeight="1" x14ac:dyDescent="0.15">
      <c r="A52" s="1"/>
      <c r="B52" s="224" t="s">
        <v>189</v>
      </c>
      <c r="C52" s="225"/>
      <c r="D52" s="225"/>
      <c r="E52" s="225"/>
      <c r="F52" s="225"/>
      <c r="G52" s="225"/>
      <c r="H52" s="225"/>
      <c r="I52" s="226"/>
      <c r="N52" s="23"/>
      <c r="O52" s="3"/>
    </row>
    <row r="53" spans="1:15" ht="18.75" customHeight="1" x14ac:dyDescent="0.15">
      <c r="A53" s="1"/>
      <c r="B53" s="227"/>
      <c r="C53" s="228"/>
      <c r="D53" s="228"/>
      <c r="E53" s="228"/>
      <c r="F53" s="228"/>
      <c r="G53" s="228"/>
      <c r="H53" s="228"/>
      <c r="I53" s="229"/>
      <c r="N53" s="23"/>
      <c r="O53" s="3"/>
    </row>
    <row r="54" spans="1:15" ht="18.75" customHeight="1" x14ac:dyDescent="0.15">
      <c r="A54" s="1"/>
      <c r="B54" s="227"/>
      <c r="C54" s="228"/>
      <c r="D54" s="228"/>
      <c r="E54" s="228"/>
      <c r="F54" s="228"/>
      <c r="G54" s="228"/>
      <c r="H54" s="228"/>
      <c r="I54" s="229"/>
    </row>
    <row r="55" spans="1:15" ht="18.75" customHeight="1" x14ac:dyDescent="0.15">
      <c r="A55" s="1"/>
      <c r="B55" s="227"/>
      <c r="C55" s="228"/>
      <c r="D55" s="228"/>
      <c r="E55" s="228"/>
      <c r="F55" s="228"/>
      <c r="G55" s="228"/>
      <c r="H55" s="228"/>
      <c r="I55" s="229"/>
    </row>
    <row r="56" spans="1:15" ht="18.75" customHeight="1" x14ac:dyDescent="0.15">
      <c r="A56" s="1"/>
      <c r="B56" s="227"/>
      <c r="C56" s="228"/>
      <c r="D56" s="228"/>
      <c r="E56" s="228"/>
      <c r="F56" s="228"/>
      <c r="G56" s="228"/>
      <c r="H56" s="228"/>
      <c r="I56" s="229"/>
    </row>
    <row r="57" spans="1:15" ht="18.75" customHeight="1" x14ac:dyDescent="0.15">
      <c r="A57" s="1"/>
      <c r="B57" s="227"/>
      <c r="C57" s="228"/>
      <c r="D57" s="228"/>
      <c r="E57" s="228"/>
      <c r="F57" s="228"/>
      <c r="G57" s="228"/>
      <c r="H57" s="228"/>
      <c r="I57" s="229"/>
    </row>
    <row r="58" spans="1:15" ht="18.75" customHeight="1" x14ac:dyDescent="0.15">
      <c r="A58" s="1"/>
      <c r="B58" s="227"/>
      <c r="C58" s="228"/>
      <c r="D58" s="228"/>
      <c r="E58" s="228"/>
      <c r="F58" s="228"/>
      <c r="G58" s="228"/>
      <c r="H58" s="228"/>
      <c r="I58" s="229"/>
    </row>
    <row r="59" spans="1:15" ht="18.75" customHeight="1" x14ac:dyDescent="0.15">
      <c r="A59" s="1"/>
      <c r="B59" s="227"/>
      <c r="C59" s="228"/>
      <c r="D59" s="228"/>
      <c r="E59" s="228"/>
      <c r="F59" s="228"/>
      <c r="G59" s="228"/>
      <c r="H59" s="228"/>
      <c r="I59" s="229"/>
    </row>
    <row r="60" spans="1:15" ht="18.75" customHeight="1" x14ac:dyDescent="0.15">
      <c r="A60" s="1"/>
      <c r="B60" s="227"/>
      <c r="C60" s="228"/>
      <c r="D60" s="228"/>
      <c r="E60" s="228"/>
      <c r="F60" s="228"/>
      <c r="G60" s="228"/>
      <c r="H60" s="228"/>
      <c r="I60" s="229"/>
    </row>
    <row r="61" spans="1:15" ht="18.75" customHeight="1" x14ac:dyDescent="0.15">
      <c r="A61" s="1"/>
      <c r="B61" s="227"/>
      <c r="C61" s="228"/>
      <c r="D61" s="228"/>
      <c r="E61" s="228"/>
      <c r="F61" s="228"/>
      <c r="G61" s="228"/>
      <c r="H61" s="228"/>
      <c r="I61" s="229"/>
    </row>
    <row r="62" spans="1:15" ht="18.75" customHeight="1" x14ac:dyDescent="0.15">
      <c r="A62" s="1"/>
      <c r="B62" s="227"/>
      <c r="C62" s="228"/>
      <c r="D62" s="228"/>
      <c r="E62" s="228"/>
      <c r="F62" s="228"/>
      <c r="G62" s="228"/>
      <c r="H62" s="228"/>
      <c r="I62" s="229"/>
    </row>
    <row r="63" spans="1:15" ht="18.75" customHeight="1" x14ac:dyDescent="0.15">
      <c r="A63" s="1"/>
      <c r="B63" s="230"/>
      <c r="C63" s="231"/>
      <c r="D63" s="231"/>
      <c r="E63" s="231"/>
      <c r="F63" s="231"/>
      <c r="G63" s="231"/>
      <c r="H63" s="231"/>
      <c r="I63" s="232"/>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07" t="s">
        <v>175</v>
      </c>
      <c r="C66" s="208"/>
      <c r="D66" s="208"/>
      <c r="E66" s="208"/>
      <c r="F66" s="208"/>
      <c r="G66" s="208"/>
      <c r="H66" s="208"/>
      <c r="I66" s="209"/>
    </row>
    <row r="67" spans="1:9" ht="18.75" customHeight="1" x14ac:dyDescent="0.15">
      <c r="A67" s="4"/>
      <c r="B67" s="210"/>
      <c r="C67" s="211"/>
      <c r="D67" s="211"/>
      <c r="E67" s="211"/>
      <c r="F67" s="211"/>
      <c r="G67" s="211"/>
      <c r="H67" s="211"/>
      <c r="I67" s="212"/>
    </row>
    <row r="68" spans="1:9" ht="18.75" customHeight="1" x14ac:dyDescent="0.15">
      <c r="A68" s="4"/>
      <c r="B68" s="210"/>
      <c r="C68" s="211"/>
      <c r="D68" s="211"/>
      <c r="E68" s="211"/>
      <c r="F68" s="211"/>
      <c r="G68" s="211"/>
      <c r="H68" s="211"/>
      <c r="I68" s="212"/>
    </row>
    <row r="69" spans="1:9" ht="18.75" customHeight="1" x14ac:dyDescent="0.15">
      <c r="A69" s="4"/>
      <c r="B69" s="210"/>
      <c r="C69" s="211"/>
      <c r="D69" s="211"/>
      <c r="E69" s="211"/>
      <c r="F69" s="211"/>
      <c r="G69" s="211"/>
      <c r="H69" s="211"/>
      <c r="I69" s="212"/>
    </row>
    <row r="70" spans="1:9" ht="18.75" customHeight="1" x14ac:dyDescent="0.15">
      <c r="A70" s="4"/>
      <c r="B70" s="210"/>
      <c r="C70" s="211"/>
      <c r="D70" s="211"/>
      <c r="E70" s="211"/>
      <c r="F70" s="211"/>
      <c r="G70" s="211"/>
      <c r="H70" s="211"/>
      <c r="I70" s="212"/>
    </row>
    <row r="71" spans="1:9" ht="18.75" customHeight="1" x14ac:dyDescent="0.15">
      <c r="A71" s="4"/>
      <c r="B71" s="210"/>
      <c r="C71" s="211"/>
      <c r="D71" s="211"/>
      <c r="E71" s="211"/>
      <c r="F71" s="211"/>
      <c r="G71" s="211"/>
      <c r="H71" s="211"/>
      <c r="I71" s="212"/>
    </row>
    <row r="72" spans="1:9" ht="18.75" customHeight="1" x14ac:dyDescent="0.15">
      <c r="A72" s="4"/>
      <c r="B72" s="210"/>
      <c r="C72" s="211"/>
      <c r="D72" s="211"/>
      <c r="E72" s="211"/>
      <c r="F72" s="211"/>
      <c r="G72" s="211"/>
      <c r="H72" s="211"/>
      <c r="I72" s="212"/>
    </row>
    <row r="73" spans="1:9" ht="18.75" customHeight="1" x14ac:dyDescent="0.15">
      <c r="A73" s="4"/>
      <c r="B73" s="210"/>
      <c r="C73" s="211"/>
      <c r="D73" s="211"/>
      <c r="E73" s="211"/>
      <c r="F73" s="211"/>
      <c r="G73" s="211"/>
      <c r="H73" s="211"/>
      <c r="I73" s="212"/>
    </row>
    <row r="74" spans="1:9" ht="18.75" customHeight="1" x14ac:dyDescent="0.15">
      <c r="A74" s="4"/>
      <c r="B74" s="210"/>
      <c r="C74" s="211"/>
      <c r="D74" s="211"/>
      <c r="E74" s="211"/>
      <c r="F74" s="211"/>
      <c r="G74" s="211"/>
      <c r="H74" s="211"/>
      <c r="I74" s="212"/>
    </row>
    <row r="75" spans="1:9" ht="18.75" customHeight="1" x14ac:dyDescent="0.15">
      <c r="A75" s="4"/>
      <c r="B75" s="210"/>
      <c r="C75" s="211"/>
      <c r="D75" s="211"/>
      <c r="E75" s="211"/>
      <c r="F75" s="211"/>
      <c r="G75" s="211"/>
      <c r="H75" s="211"/>
      <c r="I75" s="212"/>
    </row>
    <row r="76" spans="1:9" ht="18.75" customHeight="1" x14ac:dyDescent="0.15">
      <c r="A76" s="4"/>
      <c r="B76" s="210"/>
      <c r="C76" s="211"/>
      <c r="D76" s="211"/>
      <c r="E76" s="211"/>
      <c r="F76" s="211"/>
      <c r="G76" s="211"/>
      <c r="H76" s="211"/>
      <c r="I76" s="212"/>
    </row>
    <row r="77" spans="1:9" ht="18.75" customHeight="1" x14ac:dyDescent="0.15">
      <c r="A77" s="4"/>
      <c r="B77" s="213"/>
      <c r="C77" s="214"/>
      <c r="D77" s="214"/>
      <c r="E77" s="214"/>
      <c r="F77" s="214"/>
      <c r="G77" s="214"/>
      <c r="H77" s="214"/>
      <c r="I77" s="215"/>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07" t="s">
        <v>176</v>
      </c>
      <c r="C80" s="208"/>
      <c r="D80" s="208"/>
      <c r="E80" s="208"/>
      <c r="F80" s="208"/>
      <c r="G80" s="208"/>
      <c r="H80" s="208"/>
      <c r="I80" s="216"/>
    </row>
    <row r="81" spans="1:9" ht="18.75" customHeight="1" x14ac:dyDescent="0.15">
      <c r="A81" s="1"/>
      <c r="B81" s="217"/>
      <c r="C81" s="218"/>
      <c r="D81" s="218"/>
      <c r="E81" s="218"/>
      <c r="F81" s="218"/>
      <c r="G81" s="218"/>
      <c r="H81" s="218"/>
      <c r="I81" s="219"/>
    </row>
    <row r="82" spans="1:9" ht="18.75" customHeight="1" x14ac:dyDescent="0.15">
      <c r="A82" s="1"/>
      <c r="B82" s="217"/>
      <c r="C82" s="218"/>
      <c r="D82" s="218"/>
      <c r="E82" s="218"/>
      <c r="F82" s="218"/>
      <c r="G82" s="218"/>
      <c r="H82" s="218"/>
      <c r="I82" s="219"/>
    </row>
    <row r="83" spans="1:9" ht="18.75" customHeight="1" x14ac:dyDescent="0.15">
      <c r="A83" s="1"/>
      <c r="B83" s="217"/>
      <c r="C83" s="218"/>
      <c r="D83" s="218"/>
      <c r="E83" s="218"/>
      <c r="F83" s="218"/>
      <c r="G83" s="218"/>
      <c r="H83" s="218"/>
      <c r="I83" s="219"/>
    </row>
    <row r="84" spans="1:9" ht="18.75" customHeight="1" x14ac:dyDescent="0.15">
      <c r="A84" s="1"/>
      <c r="B84" s="217"/>
      <c r="C84" s="218"/>
      <c r="D84" s="218"/>
      <c r="E84" s="218"/>
      <c r="F84" s="218"/>
      <c r="G84" s="218"/>
      <c r="H84" s="218"/>
      <c r="I84" s="219"/>
    </row>
    <row r="85" spans="1:9" ht="18.75" customHeight="1" x14ac:dyDescent="0.15">
      <c r="A85" s="1"/>
      <c r="B85" s="217"/>
      <c r="C85" s="218"/>
      <c r="D85" s="218"/>
      <c r="E85" s="218"/>
      <c r="F85" s="218"/>
      <c r="G85" s="218"/>
      <c r="H85" s="218"/>
      <c r="I85" s="219"/>
    </row>
    <row r="86" spans="1:9" ht="18.75" customHeight="1" x14ac:dyDescent="0.15">
      <c r="A86" s="1"/>
      <c r="B86" s="217"/>
      <c r="C86" s="218"/>
      <c r="D86" s="218"/>
      <c r="E86" s="218"/>
      <c r="F86" s="218"/>
      <c r="G86" s="218"/>
      <c r="H86" s="218"/>
      <c r="I86" s="219"/>
    </row>
    <row r="87" spans="1:9" ht="18.75" customHeight="1" x14ac:dyDescent="0.15">
      <c r="A87" s="1"/>
      <c r="B87" s="217"/>
      <c r="C87" s="218"/>
      <c r="D87" s="218"/>
      <c r="E87" s="218"/>
      <c r="F87" s="218"/>
      <c r="G87" s="218"/>
      <c r="H87" s="218"/>
      <c r="I87" s="219"/>
    </row>
    <row r="88" spans="1:9" ht="18.75" customHeight="1" x14ac:dyDescent="0.15">
      <c r="A88" s="1"/>
      <c r="B88" s="217"/>
      <c r="C88" s="218"/>
      <c r="D88" s="218"/>
      <c r="E88" s="218"/>
      <c r="F88" s="218"/>
      <c r="G88" s="218"/>
      <c r="H88" s="218"/>
      <c r="I88" s="219"/>
    </row>
    <row r="89" spans="1:9" ht="18.75" customHeight="1" x14ac:dyDescent="0.15">
      <c r="A89" s="1"/>
      <c r="B89" s="217"/>
      <c r="C89" s="218"/>
      <c r="D89" s="218"/>
      <c r="E89" s="218"/>
      <c r="F89" s="218"/>
      <c r="G89" s="218"/>
      <c r="H89" s="218"/>
      <c r="I89" s="219"/>
    </row>
    <row r="90" spans="1:9" ht="18.75" customHeight="1" x14ac:dyDescent="0.15">
      <c r="A90" s="4"/>
      <c r="B90" s="217"/>
      <c r="C90" s="218"/>
      <c r="D90" s="218"/>
      <c r="E90" s="218"/>
      <c r="F90" s="218"/>
      <c r="G90" s="218"/>
      <c r="H90" s="218"/>
      <c r="I90" s="219"/>
    </row>
    <row r="91" spans="1:9" ht="18.75" customHeight="1" x14ac:dyDescent="0.15">
      <c r="A91" s="4"/>
      <c r="B91" s="220"/>
      <c r="C91" s="221"/>
      <c r="D91" s="221"/>
      <c r="E91" s="221"/>
      <c r="F91" s="221"/>
      <c r="G91" s="221"/>
      <c r="H91" s="221"/>
      <c r="I91" s="222"/>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76" t="s">
        <v>177</v>
      </c>
      <c r="C94" s="177"/>
      <c r="D94" s="177"/>
      <c r="E94" s="177"/>
      <c r="F94" s="177"/>
      <c r="G94" s="177"/>
      <c r="H94" s="177"/>
      <c r="I94" s="178"/>
    </row>
    <row r="95" spans="1:9" ht="18.75" customHeight="1" x14ac:dyDescent="0.15">
      <c r="A95" s="1"/>
      <c r="B95" s="182"/>
      <c r="C95" s="183"/>
      <c r="D95" s="183"/>
      <c r="E95" s="183"/>
      <c r="F95" s="183"/>
      <c r="G95" s="183"/>
      <c r="H95" s="183"/>
      <c r="I95" s="181"/>
    </row>
    <row r="96" spans="1:9" ht="18.75" customHeight="1" x14ac:dyDescent="0.15">
      <c r="A96" s="1"/>
      <c r="B96" s="182"/>
      <c r="C96" s="183"/>
      <c r="D96" s="183"/>
      <c r="E96" s="183"/>
      <c r="F96" s="183"/>
      <c r="G96" s="183"/>
      <c r="H96" s="183"/>
      <c r="I96" s="181"/>
    </row>
    <row r="97" spans="1:9" ht="18.75" customHeight="1" x14ac:dyDescent="0.15">
      <c r="A97" s="1"/>
      <c r="B97" s="182"/>
      <c r="C97" s="183"/>
      <c r="D97" s="183"/>
      <c r="E97" s="183"/>
      <c r="F97" s="183"/>
      <c r="G97" s="183"/>
      <c r="H97" s="183"/>
      <c r="I97" s="181"/>
    </row>
    <row r="98" spans="1:9" ht="18.75" customHeight="1" x14ac:dyDescent="0.15">
      <c r="A98" s="1"/>
      <c r="B98" s="182"/>
      <c r="C98" s="183"/>
      <c r="D98" s="183"/>
      <c r="E98" s="183"/>
      <c r="F98" s="183"/>
      <c r="G98" s="183"/>
      <c r="H98" s="183"/>
      <c r="I98" s="181"/>
    </row>
    <row r="99" spans="1:9" ht="18.75" customHeight="1" x14ac:dyDescent="0.15">
      <c r="A99" s="1"/>
      <c r="B99" s="182"/>
      <c r="C99" s="183"/>
      <c r="D99" s="183"/>
      <c r="E99" s="183"/>
      <c r="F99" s="183"/>
      <c r="G99" s="183"/>
      <c r="H99" s="183"/>
      <c r="I99" s="181"/>
    </row>
    <row r="100" spans="1:9" ht="18.75" customHeight="1" x14ac:dyDescent="0.15">
      <c r="A100" s="1"/>
      <c r="B100" s="182"/>
      <c r="C100" s="183"/>
      <c r="D100" s="183"/>
      <c r="E100" s="183"/>
      <c r="F100" s="183"/>
      <c r="G100" s="183"/>
      <c r="H100" s="183"/>
      <c r="I100" s="181"/>
    </row>
    <row r="101" spans="1:9" ht="18.75" customHeight="1" x14ac:dyDescent="0.15">
      <c r="A101" s="1"/>
      <c r="B101" s="182"/>
      <c r="C101" s="183"/>
      <c r="D101" s="183"/>
      <c r="E101" s="183"/>
      <c r="F101" s="183"/>
      <c r="G101" s="183"/>
      <c r="H101" s="183"/>
      <c r="I101" s="181"/>
    </row>
    <row r="102" spans="1:9" ht="18.75" customHeight="1" x14ac:dyDescent="0.15">
      <c r="A102" s="1"/>
      <c r="B102" s="182"/>
      <c r="C102" s="183"/>
      <c r="D102" s="183"/>
      <c r="E102" s="183"/>
      <c r="F102" s="183"/>
      <c r="G102" s="183"/>
      <c r="H102" s="183"/>
      <c r="I102" s="181"/>
    </row>
    <row r="103" spans="1:9" ht="18.75" customHeight="1" x14ac:dyDescent="0.15">
      <c r="A103" s="1"/>
      <c r="B103" s="182"/>
      <c r="C103" s="183"/>
      <c r="D103" s="183"/>
      <c r="E103" s="183"/>
      <c r="F103" s="183"/>
      <c r="G103" s="183"/>
      <c r="H103" s="183"/>
      <c r="I103" s="181"/>
    </row>
    <row r="104" spans="1:9" ht="18.75" customHeight="1" x14ac:dyDescent="0.15">
      <c r="A104" s="1"/>
      <c r="B104" s="182"/>
      <c r="C104" s="183"/>
      <c r="D104" s="183"/>
      <c r="E104" s="183"/>
      <c r="F104" s="183"/>
      <c r="G104" s="183"/>
      <c r="H104" s="183"/>
      <c r="I104" s="181"/>
    </row>
    <row r="105" spans="1:9" ht="18.75" customHeight="1" x14ac:dyDescent="0.15">
      <c r="A105" s="4"/>
      <c r="B105" s="184"/>
      <c r="C105" s="185"/>
      <c r="D105" s="185"/>
      <c r="E105" s="185"/>
      <c r="F105" s="185"/>
      <c r="G105" s="185"/>
      <c r="H105" s="185"/>
      <c r="I105" s="186"/>
    </row>
    <row r="106" spans="1:9" ht="7.5" customHeight="1" x14ac:dyDescent="0.15">
      <c r="A106" s="4"/>
      <c r="B106" s="4"/>
      <c r="C106" s="4"/>
      <c r="D106" s="4"/>
      <c r="E106" s="4"/>
      <c r="F106" s="4"/>
      <c r="G106" s="4"/>
      <c r="H106" s="4"/>
      <c r="I106" s="4"/>
    </row>
    <row r="107" spans="1:9" ht="18.75" customHeight="1" x14ac:dyDescent="0.15">
      <c r="A107" s="1" t="s">
        <v>30</v>
      </c>
      <c r="B107" s="202" t="s">
        <v>44</v>
      </c>
      <c r="C107" s="202"/>
      <c r="D107" s="202"/>
      <c r="E107" s="202"/>
      <c r="F107" s="202"/>
      <c r="G107" s="202"/>
      <c r="H107" s="202"/>
      <c r="I107" s="202"/>
    </row>
    <row r="108" spans="1:9" ht="18.75" customHeight="1" x14ac:dyDescent="0.15">
      <c r="A108" s="4"/>
      <c r="B108" s="176" t="s">
        <v>178</v>
      </c>
      <c r="C108" s="177"/>
      <c r="D108" s="177"/>
      <c r="E108" s="177"/>
      <c r="F108" s="177"/>
      <c r="G108" s="177"/>
      <c r="H108" s="177"/>
      <c r="I108" s="178"/>
    </row>
    <row r="109" spans="1:9" ht="18.75" customHeight="1" x14ac:dyDescent="0.15">
      <c r="A109" s="4"/>
      <c r="B109" s="182"/>
      <c r="C109" s="183"/>
      <c r="D109" s="183"/>
      <c r="E109" s="183"/>
      <c r="F109" s="183"/>
      <c r="G109" s="183"/>
      <c r="H109" s="183"/>
      <c r="I109" s="181"/>
    </row>
    <row r="110" spans="1:9" ht="18.75" customHeight="1" x14ac:dyDescent="0.15">
      <c r="A110" s="4"/>
      <c r="B110" s="182"/>
      <c r="C110" s="183"/>
      <c r="D110" s="183"/>
      <c r="E110" s="183"/>
      <c r="F110" s="183"/>
      <c r="G110" s="183"/>
      <c r="H110" s="183"/>
      <c r="I110" s="181"/>
    </row>
    <row r="111" spans="1:9" ht="18.75" customHeight="1" x14ac:dyDescent="0.15">
      <c r="A111" s="4"/>
      <c r="B111" s="182"/>
      <c r="C111" s="183"/>
      <c r="D111" s="183"/>
      <c r="E111" s="183"/>
      <c r="F111" s="183"/>
      <c r="G111" s="183"/>
      <c r="H111" s="183"/>
      <c r="I111" s="181"/>
    </row>
    <row r="112" spans="1:9" ht="18.75" customHeight="1" x14ac:dyDescent="0.15">
      <c r="A112" s="4"/>
      <c r="B112" s="182"/>
      <c r="C112" s="183"/>
      <c r="D112" s="183"/>
      <c r="E112" s="183"/>
      <c r="F112" s="183"/>
      <c r="G112" s="183"/>
      <c r="H112" s="183"/>
      <c r="I112" s="181"/>
    </row>
    <row r="113" spans="1:9" ht="18.75" customHeight="1" x14ac:dyDescent="0.15">
      <c r="A113" s="4"/>
      <c r="B113" s="182"/>
      <c r="C113" s="183"/>
      <c r="D113" s="183"/>
      <c r="E113" s="183"/>
      <c r="F113" s="183"/>
      <c r="G113" s="183"/>
      <c r="H113" s="183"/>
      <c r="I113" s="181"/>
    </row>
    <row r="114" spans="1:9" ht="18.75" customHeight="1" x14ac:dyDescent="0.15">
      <c r="A114" s="4"/>
      <c r="B114" s="182"/>
      <c r="C114" s="183"/>
      <c r="D114" s="183"/>
      <c r="E114" s="183"/>
      <c r="F114" s="183"/>
      <c r="G114" s="183"/>
      <c r="H114" s="183"/>
      <c r="I114" s="181"/>
    </row>
    <row r="115" spans="1:9" ht="18.75" customHeight="1" x14ac:dyDescent="0.15">
      <c r="A115" s="4"/>
      <c r="B115" s="182"/>
      <c r="C115" s="183"/>
      <c r="D115" s="183"/>
      <c r="E115" s="183"/>
      <c r="F115" s="183"/>
      <c r="G115" s="183"/>
      <c r="H115" s="183"/>
      <c r="I115" s="181"/>
    </row>
    <row r="116" spans="1:9" ht="18.75" customHeight="1" x14ac:dyDescent="0.15">
      <c r="A116" s="4"/>
      <c r="B116" s="182"/>
      <c r="C116" s="183"/>
      <c r="D116" s="183"/>
      <c r="E116" s="183"/>
      <c r="F116" s="183"/>
      <c r="G116" s="183"/>
      <c r="H116" s="183"/>
      <c r="I116" s="181"/>
    </row>
    <row r="117" spans="1:9" ht="18.75" customHeight="1" x14ac:dyDescent="0.15">
      <c r="A117" s="4"/>
      <c r="B117" s="182"/>
      <c r="C117" s="183"/>
      <c r="D117" s="183"/>
      <c r="E117" s="183"/>
      <c r="F117" s="183"/>
      <c r="G117" s="183"/>
      <c r="H117" s="183"/>
      <c r="I117" s="181"/>
    </row>
    <row r="118" spans="1:9" ht="18.75" customHeight="1" x14ac:dyDescent="0.15">
      <c r="A118" s="4"/>
      <c r="B118" s="182"/>
      <c r="C118" s="183"/>
      <c r="D118" s="183"/>
      <c r="E118" s="183"/>
      <c r="F118" s="183"/>
      <c r="G118" s="183"/>
      <c r="H118" s="183"/>
      <c r="I118" s="181"/>
    </row>
    <row r="119" spans="1:9" ht="18.75" customHeight="1" x14ac:dyDescent="0.15">
      <c r="A119" s="4"/>
      <c r="B119" s="184"/>
      <c r="C119" s="185"/>
      <c r="D119" s="185"/>
      <c r="E119" s="185"/>
      <c r="F119" s="185"/>
      <c r="G119" s="185"/>
      <c r="H119" s="185"/>
      <c r="I119" s="186"/>
    </row>
    <row r="120" spans="1:9" ht="7.5" customHeight="1" x14ac:dyDescent="0.15">
      <c r="A120" s="4"/>
      <c r="B120" s="25"/>
      <c r="C120" s="25"/>
      <c r="D120" s="25"/>
      <c r="E120" s="25"/>
      <c r="F120" s="25"/>
      <c r="G120" s="25"/>
      <c r="H120" s="25"/>
      <c r="I120" s="25"/>
    </row>
    <row r="121" spans="1:9" ht="18.75" customHeight="1" x14ac:dyDescent="0.15">
      <c r="A121" s="50"/>
      <c r="B121" s="172"/>
      <c r="C121" s="172"/>
      <c r="D121" s="172"/>
      <c r="E121" s="172"/>
      <c r="F121" s="172"/>
      <c r="G121" s="172"/>
      <c r="H121" s="172"/>
      <c r="I121" s="172"/>
    </row>
    <row r="122" spans="1:9" ht="18.75" customHeight="1" x14ac:dyDescent="0.15">
      <c r="A122" s="50"/>
      <c r="B122" s="172"/>
      <c r="C122" s="172"/>
      <c r="D122" s="172"/>
      <c r="E122" s="172"/>
      <c r="F122" s="172"/>
      <c r="G122" s="172"/>
      <c r="H122" s="172"/>
      <c r="I122" s="172"/>
    </row>
    <row r="123" spans="1:9" ht="18.75" customHeight="1" x14ac:dyDescent="0.15">
      <c r="A123" s="4"/>
      <c r="B123" s="51"/>
      <c r="C123" s="51"/>
      <c r="D123" s="51"/>
      <c r="E123" s="51"/>
      <c r="F123" s="51"/>
      <c r="G123" s="51"/>
      <c r="H123" s="51"/>
      <c r="I123" s="52"/>
    </row>
    <row r="124" spans="1:9" ht="18.75" customHeight="1" x14ac:dyDescent="0.15">
      <c r="A124" s="4"/>
      <c r="B124" s="52"/>
      <c r="C124" s="52"/>
      <c r="D124" s="52"/>
      <c r="E124" s="52"/>
      <c r="F124" s="52"/>
      <c r="G124" s="52"/>
      <c r="H124" s="52"/>
      <c r="I124" s="52"/>
    </row>
    <row r="125" spans="1:9" ht="18.75" customHeight="1" x14ac:dyDescent="0.15">
      <c r="A125" s="4"/>
      <c r="B125" s="52"/>
      <c r="C125" s="52"/>
      <c r="D125" s="52"/>
      <c r="E125" s="52"/>
      <c r="F125" s="52"/>
      <c r="G125" s="52"/>
      <c r="H125" s="52"/>
      <c r="I125" s="52"/>
    </row>
    <row r="126" spans="1:9" ht="18.75" customHeight="1" x14ac:dyDescent="0.15">
      <c r="A126" s="4"/>
      <c r="B126" s="52"/>
      <c r="C126" s="52"/>
      <c r="D126" s="52"/>
      <c r="E126" s="52"/>
      <c r="F126" s="52"/>
      <c r="G126" s="52"/>
      <c r="H126" s="52"/>
      <c r="I126" s="52"/>
    </row>
    <row r="127" spans="1:9" ht="18.75" customHeight="1" x14ac:dyDescent="0.15">
      <c r="A127" s="4"/>
      <c r="B127" s="52"/>
      <c r="C127" s="52"/>
      <c r="D127" s="52"/>
      <c r="E127" s="52"/>
      <c r="F127" s="52"/>
      <c r="G127" s="52"/>
      <c r="H127" s="52"/>
      <c r="I127" s="52"/>
    </row>
    <row r="128" spans="1:9" ht="18.75" customHeight="1" x14ac:dyDescent="0.15">
      <c r="A128" s="4"/>
      <c r="B128" s="52"/>
      <c r="C128" s="52"/>
      <c r="D128" s="52"/>
      <c r="E128" s="52"/>
      <c r="F128" s="52"/>
      <c r="G128" s="52"/>
      <c r="H128" s="52"/>
      <c r="I128" s="52"/>
    </row>
    <row r="129" spans="1:9" ht="18.75" customHeight="1" x14ac:dyDescent="0.15">
      <c r="A129" s="4"/>
      <c r="B129" s="52"/>
      <c r="C129" s="52"/>
      <c r="D129" s="52"/>
      <c r="E129" s="52"/>
      <c r="F129" s="52"/>
      <c r="G129" s="52"/>
      <c r="H129" s="52"/>
      <c r="I129" s="52"/>
    </row>
    <row r="130" spans="1:9" ht="18.75" customHeight="1" x14ac:dyDescent="0.15">
      <c r="A130" s="4"/>
      <c r="B130" s="52"/>
      <c r="C130" s="52"/>
      <c r="D130" s="52"/>
      <c r="E130" s="52"/>
      <c r="F130" s="52"/>
      <c r="G130" s="52"/>
      <c r="H130" s="52"/>
      <c r="I130" s="52"/>
    </row>
    <row r="131" spans="1:9" ht="18.75" customHeight="1" x14ac:dyDescent="0.15">
      <c r="A131" s="4"/>
      <c r="B131" s="52"/>
      <c r="C131" s="52"/>
      <c r="D131" s="52"/>
      <c r="E131" s="52"/>
      <c r="F131" s="52"/>
      <c r="G131" s="52"/>
      <c r="H131" s="52"/>
      <c r="I131" s="52"/>
    </row>
    <row r="132" spans="1:9" ht="18.75" customHeight="1" x14ac:dyDescent="0.15">
      <c r="A132" s="4"/>
      <c r="B132" s="52"/>
      <c r="C132" s="52"/>
      <c r="D132" s="52"/>
      <c r="E132" s="52"/>
      <c r="F132" s="52"/>
      <c r="G132" s="52"/>
      <c r="H132" s="52"/>
      <c r="I132" s="52"/>
    </row>
    <row r="133" spans="1:9" ht="14.25" x14ac:dyDescent="0.15">
      <c r="A133" s="4"/>
      <c r="B133" s="52"/>
      <c r="C133" s="52"/>
      <c r="D133" s="52"/>
      <c r="E133" s="52"/>
      <c r="F133" s="52"/>
      <c r="G133" s="52"/>
      <c r="H133" s="52"/>
      <c r="I133" s="52"/>
    </row>
    <row r="134" spans="1:9" ht="7.5" customHeight="1" x14ac:dyDescent="0.15">
      <c r="A134" s="4"/>
      <c r="B134" s="52"/>
      <c r="C134" s="52"/>
      <c r="D134" s="52"/>
      <c r="E134" s="52"/>
      <c r="F134" s="52"/>
      <c r="G134" s="52"/>
      <c r="H134" s="52"/>
      <c r="I134" s="52"/>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SheetLayoutView="90" workbookViewId="0"/>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南山大学</v>
      </c>
    </row>
    <row r="3" spans="1:9" ht="18.75" customHeight="1" x14ac:dyDescent="0.15">
      <c r="A3" s="112" t="s">
        <v>28</v>
      </c>
      <c r="B3" s="112"/>
      <c r="C3" s="112"/>
      <c r="D3" s="112"/>
      <c r="E3" s="112"/>
      <c r="F3" s="112"/>
      <c r="G3" s="112"/>
      <c r="H3" s="112"/>
      <c r="I3" s="112"/>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196" t="s">
        <v>171</v>
      </c>
      <c r="C6" s="240"/>
      <c r="D6" s="240"/>
      <c r="E6" s="240"/>
      <c r="F6" s="240"/>
      <c r="G6" s="240"/>
      <c r="H6" s="241"/>
      <c r="I6" s="3"/>
    </row>
    <row r="7" spans="1:9" ht="9" customHeight="1" x14ac:dyDescent="0.15">
      <c r="A7" s="5"/>
      <c r="B7" s="10"/>
      <c r="C7" s="10"/>
      <c r="D7" s="10"/>
      <c r="E7" s="10"/>
      <c r="F7" s="10"/>
      <c r="G7" s="10"/>
      <c r="H7" s="10"/>
      <c r="I7" s="3"/>
    </row>
    <row r="8" spans="1:9" ht="18.75" customHeight="1" x14ac:dyDescent="0.15">
      <c r="A8" s="5"/>
      <c r="B8" s="3"/>
      <c r="C8" s="3"/>
      <c r="D8" s="18" t="s">
        <v>41</v>
      </c>
      <c r="E8" s="19" t="s">
        <v>169</v>
      </c>
      <c r="F8" s="3"/>
      <c r="G8" s="18" t="s">
        <v>10</v>
      </c>
      <c r="H8" s="19" t="s">
        <v>172</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1" t="s">
        <v>24</v>
      </c>
      <c r="C11" s="102"/>
      <c r="D11" s="103"/>
      <c r="E11" s="102" t="s">
        <v>26</v>
      </c>
      <c r="F11" s="102"/>
      <c r="G11" s="102"/>
      <c r="H11" s="102"/>
      <c r="I11" s="103"/>
    </row>
    <row r="12" spans="1:9" ht="26.25" customHeight="1" x14ac:dyDescent="0.15">
      <c r="B12" s="26" t="s">
        <v>14</v>
      </c>
      <c r="C12" s="33"/>
      <c r="D12" s="27"/>
      <c r="E12" s="34"/>
      <c r="F12" s="34"/>
      <c r="G12" s="34"/>
      <c r="H12" s="34"/>
      <c r="I12" s="27"/>
    </row>
    <row r="13" spans="1:9" ht="210.75" customHeight="1" x14ac:dyDescent="0.15">
      <c r="B13" s="28"/>
      <c r="C13" s="238" t="s">
        <v>15</v>
      </c>
      <c r="D13" s="239"/>
      <c r="E13" s="235" t="s">
        <v>179</v>
      </c>
      <c r="F13" s="236"/>
      <c r="G13" s="236"/>
      <c r="H13" s="236"/>
      <c r="I13" s="237"/>
    </row>
    <row r="14" spans="1:9" ht="210.75" customHeight="1" x14ac:dyDescent="0.15">
      <c r="B14" s="28"/>
      <c r="C14" s="233" t="s">
        <v>16</v>
      </c>
      <c r="D14" s="234"/>
      <c r="E14" s="235" t="s">
        <v>180</v>
      </c>
      <c r="F14" s="236"/>
      <c r="G14" s="236"/>
      <c r="H14" s="236"/>
      <c r="I14" s="237"/>
    </row>
    <row r="15" spans="1:9" ht="210.75" customHeight="1" x14ac:dyDescent="0.15">
      <c r="B15" s="28"/>
      <c r="C15" s="238" t="s">
        <v>17</v>
      </c>
      <c r="D15" s="239"/>
      <c r="E15" s="235" t="s">
        <v>181</v>
      </c>
      <c r="F15" s="236"/>
      <c r="G15" s="236"/>
      <c r="H15" s="236"/>
      <c r="I15" s="237"/>
    </row>
    <row r="16" spans="1:9" ht="210.75" customHeight="1" x14ac:dyDescent="0.15">
      <c r="B16" s="28"/>
      <c r="C16" s="238" t="s">
        <v>18</v>
      </c>
      <c r="D16" s="239"/>
      <c r="E16" s="235" t="s">
        <v>182</v>
      </c>
      <c r="F16" s="236"/>
      <c r="G16" s="236"/>
      <c r="H16" s="236"/>
      <c r="I16" s="237"/>
    </row>
    <row r="17" spans="2:9" ht="210.75" customHeight="1" x14ac:dyDescent="0.15">
      <c r="B17" s="29"/>
      <c r="C17" s="242" t="s">
        <v>19</v>
      </c>
      <c r="D17" s="243"/>
      <c r="E17" s="244" t="s">
        <v>183</v>
      </c>
      <c r="F17" s="245"/>
      <c r="G17" s="245"/>
      <c r="H17" s="245"/>
      <c r="I17" s="246"/>
    </row>
    <row r="18" spans="2:9" ht="24" customHeight="1" x14ac:dyDescent="0.15">
      <c r="B18" s="26" t="s">
        <v>20</v>
      </c>
      <c r="C18" s="30"/>
      <c r="D18" s="31"/>
      <c r="E18" s="32"/>
      <c r="F18" s="32"/>
      <c r="G18" s="32"/>
      <c r="H18" s="32"/>
      <c r="I18" s="35"/>
    </row>
    <row r="19" spans="2:9" ht="218.25" customHeight="1" x14ac:dyDescent="0.15">
      <c r="B19" s="28"/>
      <c r="C19" s="238" t="s">
        <v>21</v>
      </c>
      <c r="D19" s="239"/>
      <c r="E19" s="236" t="s">
        <v>184</v>
      </c>
      <c r="F19" s="236"/>
      <c r="G19" s="236"/>
      <c r="H19" s="236"/>
      <c r="I19" s="237"/>
    </row>
    <row r="20" spans="2:9" ht="218.25" customHeight="1" x14ac:dyDescent="0.15">
      <c r="B20" s="29"/>
      <c r="C20" s="242" t="s">
        <v>22</v>
      </c>
      <c r="D20" s="243"/>
      <c r="E20" s="245" t="s">
        <v>185</v>
      </c>
      <c r="F20" s="245"/>
      <c r="G20" s="245"/>
      <c r="H20" s="245"/>
      <c r="I20" s="246"/>
    </row>
    <row r="21" spans="2:9" ht="218.25" customHeight="1" x14ac:dyDescent="0.15">
      <c r="B21" s="252" t="s">
        <v>23</v>
      </c>
      <c r="C21" s="253"/>
      <c r="D21" s="254"/>
      <c r="E21" s="255" t="s">
        <v>186</v>
      </c>
      <c r="F21" s="255"/>
      <c r="G21" s="255"/>
      <c r="H21" s="255"/>
      <c r="I21" s="256"/>
    </row>
    <row r="22" spans="2:9" ht="218.25" customHeight="1" x14ac:dyDescent="0.15">
      <c r="B22" s="247" t="s">
        <v>121</v>
      </c>
      <c r="C22" s="248"/>
      <c r="D22" s="249"/>
      <c r="E22" s="250" t="s">
        <v>188</v>
      </c>
      <c r="F22" s="250"/>
      <c r="G22" s="250"/>
      <c r="H22" s="250"/>
      <c r="I22" s="25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神田　武誌</cp:lastModifiedBy>
  <cp:lastPrinted>2025-04-28T04:58:30Z</cp:lastPrinted>
  <dcterms:created xsi:type="dcterms:W3CDTF">2011-06-14T05:32:50Z</dcterms:created>
  <dcterms:modified xsi:type="dcterms:W3CDTF">2025-04-28T04:59:02Z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