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V:\教務課\▽7-1教養科目（一般教育）分科会\数理・データサイエンス・AI\文部科学省への申請書\昭和音楽大学\昭和音楽大学_リテラシー\"/>
    </mc:Choice>
  </mc:AlternateContent>
  <xr:revisionPtr revIDLastSave="0" documentId="13_ncr:1_{A1E775D6-9A22-4BCC-B241-BB557727812A}"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3" r:id="rId2"/>
    <sheet name="様式３ 教育の質・履修者数を向上させるための体制・計画" sheetId="44" r:id="rId3"/>
    <sheet name="様式４　自己点検・評価" sheetId="45" r:id="rId4"/>
  </sheets>
  <externalReferences>
    <externalReference r:id="rId5"/>
    <externalReference r:id="rId6"/>
  </externalReference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5" l="1"/>
  <c r="I50" i="44"/>
  <c r="C49" i="44"/>
  <c r="H2" i="44"/>
  <c r="R33" i="43"/>
  <c r="S33" i="43" s="1"/>
  <c r="Q33" i="43"/>
  <c r="P33" i="43"/>
  <c r="O33" i="43"/>
  <c r="N33" i="43"/>
  <c r="M33" i="43"/>
  <c r="L33" i="43"/>
  <c r="K33" i="43"/>
  <c r="J33" i="43"/>
  <c r="I33" i="43"/>
  <c r="H33" i="43"/>
  <c r="G33" i="43"/>
  <c r="F33" i="43"/>
  <c r="E33" i="43"/>
  <c r="D33" i="43"/>
  <c r="C33" i="43"/>
  <c r="R32" i="43"/>
  <c r="S32" i="43" s="1"/>
  <c r="R31" i="43"/>
  <c r="S31" i="43" s="1"/>
  <c r="R30" i="43"/>
  <c r="S30" i="43" s="1"/>
  <c r="R29" i="43"/>
  <c r="S29" i="43" s="1"/>
  <c r="R28" i="43"/>
  <c r="S28" i="43" s="1"/>
  <c r="R27" i="43"/>
  <c r="S27" i="43" s="1"/>
  <c r="R26" i="43"/>
  <c r="S26" i="43" s="1"/>
  <c r="R25" i="43"/>
  <c r="S25" i="43" s="1"/>
  <c r="R24" i="43"/>
  <c r="S24" i="43" s="1"/>
  <c r="R23" i="43"/>
  <c r="S23" i="43" s="1"/>
  <c r="R22" i="43"/>
  <c r="S22" i="43" s="1"/>
  <c r="R21" i="43"/>
  <c r="S21" i="43" s="1"/>
  <c r="R20" i="43"/>
  <c r="S20" i="43" s="1"/>
  <c r="R19" i="43"/>
  <c r="S19" i="43" s="1"/>
  <c r="R18" i="43"/>
  <c r="S18" i="43" s="1"/>
  <c r="R17" i="43"/>
  <c r="S17" i="43" s="1"/>
  <c r="R16" i="43"/>
  <c r="S16" i="43" s="1"/>
  <c r="R15" i="43"/>
  <c r="S15" i="43" s="1"/>
  <c r="R14" i="43"/>
  <c r="S14" i="43" s="1"/>
  <c r="R13" i="43"/>
  <c r="S13" i="43" s="1"/>
  <c r="M7" i="43"/>
  <c r="Q2" i="43"/>
</calcChain>
</file>

<file path=xl/sharedStrings.xml><?xml version="1.0" encoding="utf-8"?>
<sst xmlns="http://schemas.openxmlformats.org/spreadsheetml/2006/main" count="283" uniqueCount="192">
  <si>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</si>
  <si>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</si>
  <si>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</si>
  <si>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</si>
  <si>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</si>
  <si>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</si>
  <si>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</si>
  <si>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</si>
  <si>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</si>
  <si>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</si>
  <si>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</si>
  <si>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</si>
  <si>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</si>
  <si>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</si>
  <si>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</si>
  <si>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</si>
  <si>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</si>
  <si>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</si>
  <si>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</si>
  <si>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</si>
  <si>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</si>
  <si>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</si>
  <si>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</si>
  <si>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</si>
  <si>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</si>
  <si>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</si>
  <si>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</si>
  <si>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</si>
  <si>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</si>
  <si>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</si>
  <si>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</si>
  <si>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</si>
  <si>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</si>
  <si>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</si>
  <si>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</si>
  <si>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</si>
  <si>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</si>
  <si>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</si>
  <si>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</si>
  <si>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</si>
  <si>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</si>
  <si>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</si>
  <si>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</si>
  <si>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</si>
  <si>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</si>
  <si>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</si>
  <si>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</si>
  <si>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</si>
  <si>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</si>
  <si>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</si>
  <si>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</si>
  <si>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</si>
  <si>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</si>
  <si>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</si>
  <si>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</si>
  <si>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</si>
  <si>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</si>
  <si>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</si>
  <si>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</si>
  <si>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</si>
  <si>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</si>
  <si>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</si>
  <si>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</si>
  <si>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</si>
  <si>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</si>
  <si>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</si>
  <si>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</si>
  <si>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</si>
  <si>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</si>
  <si>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</si>
  <si>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</si>
  <si>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</si>
  <si>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</si>
  <si>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</si>
  <si>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</si>
  <si>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</si>
  <si>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</si>
  <si>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</si>
  <si>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</si>
  <si>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</si>
  <si>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</si>
  <si>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</si>
  <si>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</si>
  <si>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</si>
  <si>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</si>
  <si>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</si>
  <si>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</si>
  <si>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</si>
  <si>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</si>
  <si>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</si>
  <si>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</si>
  <si>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</si>
  <si>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</si>
  <si>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</si>
  <si>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</si>
  <si>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</si>
  <si>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</si>
  <si>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</si>
  <si>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</si>
  <si>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</si>
  <si>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</si>
  <si>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</si>
  <si>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</si>
  <si>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</si>
  <si>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</si>
  <si>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</si>
  <si>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</si>
  <si>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</si>
  <si>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</si>
  <si>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</si>
  <si>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</si>
  <si>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</si>
  <si>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</si>
  <si>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</si>
  <si>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</si>
  <si>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</si>
  <si>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</si>
  <si>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</si>
  <si>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</si>
  <si>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</si>
  <si>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</si>
  <si>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</si>
  <si>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</si>
  <si>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</si>
  <si>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</si>
  <si>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</si>
  <si>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</si>
  <si>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</si>
  <si>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</si>
  <si>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</si>
  <si>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</si>
  <si>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</si>
  <si>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</si>
  <si>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</si>
  <si>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</si>
  <si>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</si>
  <si>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</si>
  <si>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</si>
  <si>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</si>
  <si>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</si>
  <si>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</si>
  <si>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</si>
  <si>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</si>
  <si>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昭和音楽大学</t>
    <rPh sb="0" eb="6">
      <t>ショウワオンガクダイガク</t>
    </rPh>
    <phoneticPr fontId="1"/>
  </si>
  <si>
    <t>学部・学科によって、修了要件は相違しない</t>
  </si>
  <si>
    <t>○</t>
  </si>
  <si>
    <t>・データの種類（量的変数、質的変数）（2回目）
・データの分布(ヒストグラム)と代表値（平均値、中央値、最頻値）（3～5回目）
・代表値の性質の違い（実社会では平均値＝最頻値でないことが多い）（5回目）
・データのばらつき（分散、標準偏差、偏差値）、外れ値（6～8回目）
・相関と因果（相関係数、擬似相関、交絡）（9回目）
・クロス集計表、分割表、相関係数行列、散布図行列（12回目）</t>
    <rPh sb="20" eb="22">
      <t>カイメ</t>
    </rPh>
    <phoneticPr fontId="1"/>
  </si>
  <si>
    <t>・情報セキュリティの3要素（機密性、完全性、可用性）（6回目）
・匿名加工情報、暗号化と復号、ユーザ認証と、パスワード、アクセス制御、悪意ある情報搾取（6回目）</t>
    <phoneticPr fontId="1"/>
  </si>
  <si>
    <t>・倫理的・法的・社会的課題（ELSI：Ethical, Legal and Social Issues）（6回目）
・個人情報保護、EU一般データ保護規則(GDPR)、忘れられる権利、オプトアウト（6回目）
・データ倫理：データのねつ造、改ざん、盗用、プライバシー保護（6回目）</t>
    <phoneticPr fontId="1"/>
  </si>
  <si>
    <t>・AI最新技術の活用例（深層生成モデル、強化学習、転移学習、生成AIなど）（4回目）
・AI等を活用した新しいビジネスモデル(シェアリングエコノミー、商品のレコメンデーションなど)（2回目）
・基盤モデル、大規模言語モデル、拡散モデル（4回目）</t>
    <phoneticPr fontId="1"/>
  </si>
  <si>
    <t>・データ・AI活用領域の広がり(生産、消費、文化活動など)（3回目）
・研究開発、調達、製造、物流、販売、マーケティング、サービスなど（3回目）</t>
    <phoneticPr fontId="1"/>
  </si>
  <si>
    <t>該当なし</t>
    <rPh sb="0" eb="2">
      <t>ガイトウ</t>
    </rPh>
    <phoneticPr fontId="1"/>
  </si>
  <si>
    <t>・ビッグデータ、IoT、AI、生成AI、ロボット（4回目）
・データ量の増加、計算機の処理性能の向上、AIの非連続的進化（4回目）
・第4次産業革命、Society 5.0、データ駆動型社会（5回目）
・データを起点としたものの見方、人間の知的活動を起点としたものの見方（3回目）</t>
    <rPh sb="26" eb="28">
      <t>カイメ</t>
    </rPh>
    <rPh sb="106" eb="108">
      <t>キテン</t>
    </rPh>
    <rPh sb="114" eb="116">
      <t>ミカタ</t>
    </rPh>
    <rPh sb="117" eb="119">
      <t>ニンゲン</t>
    </rPh>
    <rPh sb="120" eb="124">
      <t>チテキカツドウ</t>
    </rPh>
    <rPh sb="125" eb="127">
      <t>キテン</t>
    </rPh>
    <rPh sb="133" eb="135">
      <t>ミカタ</t>
    </rPh>
    <rPh sb="137" eb="139">
      <t>カイメ</t>
    </rPh>
    <phoneticPr fontId="1"/>
  </si>
  <si>
    <t>・調査データ、実験データ、人の行動ログデータ、機械の稼働ログデータなど（3回目）
・1次データ、2次データ、データのメタ化（5回目）
・構造化データ、非構造化データ（文章、画像/動画、音声/音楽など）（2回目）
・データのオープン化（オープンデータ）（6回目）</t>
    <phoneticPr fontId="1"/>
  </si>
  <si>
    <t>・データ解析：予測、グルーピング、パターン発見、最適化、モデル化とシミュレーション・データ同化など（4回目）
・データ可視化：複合グラフ、2軸グラフ、多次元の可視化、関係性の可視化、地図上の可視化、挙動・軌跡の可視化、リアルタイム可視化など（10回目）
・特化型AIと汎用AI、今のAIで出来ることと出来ないこと、AIとビッグデータ（4回目）
・認識技術、ルールベース、自動化技術（4回目）
・マルチモーダル（言語、画像、音声など）、生成AIの活用（プロンプトエンジニアリング）（4回目）</t>
    <phoneticPr fontId="1"/>
  </si>
  <si>
    <t>・データサイエンスのサイクル（課題抽出と定式化、データの取得・管理・加工、探索的データ解析、データ解析と推論、結果の共有・伝達、課題解決に向けた提案）（5回目）
・教育、芸術、流通、製造、金融、サービス、インフラ、公共、ヘルスケア等におけるデータ・AI利活用事例紹介（3回目）</t>
    <rPh sb="135" eb="137">
      <t>カイメ</t>
    </rPh>
    <phoneticPr fontId="1"/>
  </si>
  <si>
    <t>・データ表現（棒グラフ、折線グラフ、散布図、ヒートマップ、箱ひげ図）（11回目）
・データの比較（条件をそろえた比較、処理の前後での比較、A/Bテスト)（13,14回目）
・優れた可視化事例の紹介（可視化することによって新たな気づきがあった事例など）（4回目）
・相手に的確かつ正確に情報を伝える技術や考え方（スライド作成、プレゼンテーションなど）（15回目）</t>
    <rPh sb="127" eb="129">
      <t>カイメ</t>
    </rPh>
    <rPh sb="177" eb="179">
      <t>カイメ</t>
    </rPh>
    <phoneticPr fontId="1"/>
  </si>
  <si>
    <t>・データの取得（機械判読可能なデータの作成・表記方法）（11回目）
・データの集計（和、平均）（10回目）
・データの並び替え、ランキング（12回目）
・データ解析ツール（スプレッドシート、BIツール）（12回目）
・表形式のデータ（csv）（6回目）</t>
    <phoneticPr fontId="1"/>
  </si>
  <si>
    <t>学修した数理・データサイエンス・AIに関する知識・技能をもとに人間中心の適切な判断ができ、不安なく自らの意志でAI等の恩恵を享受し、これらを説明し、活用できる。</t>
    <rPh sb="0" eb="2">
      <t>ガクシュウ</t>
    </rPh>
    <rPh sb="4" eb="6">
      <t>スウリ</t>
    </rPh>
    <rPh sb="19" eb="20">
      <t>カン</t>
    </rPh>
    <rPh sb="22" eb="24">
      <t>チシキ</t>
    </rPh>
    <rPh sb="25" eb="27">
      <t>ギノウ</t>
    </rPh>
    <rPh sb="31" eb="35">
      <t>ニンゲンチュウシン</t>
    </rPh>
    <rPh sb="36" eb="38">
      <t>テキセツ</t>
    </rPh>
    <rPh sb="39" eb="41">
      <t>ハンダン</t>
    </rPh>
    <rPh sb="45" eb="47">
      <t>フアン</t>
    </rPh>
    <rPh sb="49" eb="50">
      <t>ミズカ</t>
    </rPh>
    <rPh sb="52" eb="54">
      <t>イシ</t>
    </rPh>
    <rPh sb="57" eb="58">
      <t>トウ</t>
    </rPh>
    <rPh sb="59" eb="61">
      <t>オンケイ</t>
    </rPh>
    <rPh sb="62" eb="64">
      <t>キョウジュ</t>
    </rPh>
    <rPh sb="70" eb="72">
      <t>セツメイ</t>
    </rPh>
    <rPh sb="74" eb="76">
      <t>カツヨウ</t>
    </rPh>
    <phoneticPr fontId="1"/>
  </si>
  <si>
    <t>令和6</t>
    <rPh sb="0" eb="2">
      <t>レイワ</t>
    </rPh>
    <phoneticPr fontId="1"/>
  </si>
  <si>
    <t>音楽学部音楽芸術表現学科</t>
    <rPh sb="0" eb="4">
      <t>オンガクガクブ</t>
    </rPh>
    <rPh sb="4" eb="8">
      <t>オンガクゲイジュツ</t>
    </rPh>
    <rPh sb="8" eb="12">
      <t>ヒョウゲンガッカ</t>
    </rPh>
    <phoneticPr fontId="1"/>
  </si>
  <si>
    <t>音楽学部音楽芸術運営学科</t>
    <rPh sb="0" eb="4">
      <t>オンガクガクブ</t>
    </rPh>
    <rPh sb="4" eb="8">
      <t>オンガクゲイジュツ</t>
    </rPh>
    <rPh sb="8" eb="12">
      <t>ウンエイガッカ</t>
    </rPh>
    <phoneticPr fontId="1"/>
  </si>
  <si>
    <t>菊池　温紀</t>
    <rPh sb="0" eb="2">
      <t>キクチ</t>
    </rPh>
    <rPh sb="3" eb="4">
      <t>オン</t>
    </rPh>
    <rPh sb="4" eb="5">
      <t>キ</t>
    </rPh>
    <phoneticPr fontId="1"/>
  </si>
  <si>
    <t>教育課程委員会</t>
    <rPh sb="0" eb="4">
      <t>キョウイクカテイ</t>
    </rPh>
    <rPh sb="4" eb="7">
      <t>イインカイ</t>
    </rPh>
    <phoneticPr fontId="1"/>
  </si>
  <si>
    <t>石田　麻子</t>
    <rPh sb="0" eb="2">
      <t>イシダ</t>
    </rPh>
    <rPh sb="3" eb="5">
      <t>アサコ</t>
    </rPh>
    <phoneticPr fontId="1"/>
  </si>
  <si>
    <t>昭和音楽大学・昭和音楽大学短期大学部教育課程委員会規程</t>
    <phoneticPr fontId="1"/>
  </si>
  <si>
    <t>昭和音楽大学及び昭和音楽大学短期大学部の教育課程について各々の教育目的、社会的ニーズ、大学・短大相互の接続等を踏まえた教育課程の編成に関する全学的な方針の策定・検証・評価等を実施することを目的としている。</t>
    <phoneticPr fontId="1"/>
  </si>
  <si>
    <t>※令和9年度（2027年度）新学部で必修または選択必修？</t>
    <rPh sb="1" eb="3">
      <t>レイワ</t>
    </rPh>
    <rPh sb="4" eb="6">
      <t>ネンド</t>
    </rPh>
    <rPh sb="11" eb="13">
      <t>ネンド</t>
    </rPh>
    <rPh sb="14" eb="17">
      <t>シンガクブ</t>
    </rPh>
    <rPh sb="18" eb="20">
      <t>ヒッシュウ</t>
    </rPh>
    <rPh sb="23" eb="25">
      <t>センタク</t>
    </rPh>
    <rPh sb="25" eb="27">
      <t>ヒッシュウ</t>
    </rPh>
    <phoneticPr fontId="1"/>
  </si>
  <si>
    <t>全学部・学科で本教育プログラム該当科目が履修可能なカリキュラムとしている。</t>
    <rPh sb="0" eb="3">
      <t>ゼンガクブ</t>
    </rPh>
    <rPh sb="4" eb="6">
      <t>ガッカ</t>
    </rPh>
    <rPh sb="20" eb="24">
      <t>リシュウカノウ</t>
    </rPh>
    <phoneticPr fontId="1"/>
  </si>
  <si>
    <t>シラバスに授業内容の詳細を記載、履修要綱に本プログラム対象科目であることや履修モデルの履修推奨科目として記載、大学ポータルサイトにて別途本プログラムの周知を行っている。</t>
    <rPh sb="5" eb="9">
      <t>ジュギョウナイヨウ</t>
    </rPh>
    <rPh sb="10" eb="12">
      <t>ショウサイ</t>
    </rPh>
    <rPh sb="13" eb="15">
      <t>キサイ</t>
    </rPh>
    <rPh sb="16" eb="20">
      <t>リシュウヨウコウ</t>
    </rPh>
    <rPh sb="21" eb="22">
      <t>ホン</t>
    </rPh>
    <rPh sb="27" eb="31">
      <t>タイショウカモク</t>
    </rPh>
    <rPh sb="37" eb="39">
      <t>リシュウ</t>
    </rPh>
    <rPh sb="43" eb="45">
      <t>リシュウ</t>
    </rPh>
    <rPh sb="45" eb="49">
      <t>スイショウカモク</t>
    </rPh>
    <rPh sb="52" eb="54">
      <t>キサイ</t>
    </rPh>
    <rPh sb="55" eb="57">
      <t>ダイガク</t>
    </rPh>
    <rPh sb="66" eb="68">
      <t>ベット</t>
    </rPh>
    <rPh sb="68" eb="69">
      <t>ホン</t>
    </rPh>
    <rPh sb="75" eb="77">
      <t>シュウチ</t>
    </rPh>
    <rPh sb="78" eb="79">
      <t>オコナ</t>
    </rPh>
    <phoneticPr fontId="1"/>
  </si>
  <si>
    <t>専任教員によるクラス担任制度により、学生の履修や修学についての相談を受けている。また、事務窓口にて、事務職員による履修などのサポートを行っている。さらに、本教育プログラム該当科目で使用しているメディアルームを、課題などが取り組めるよう授業外の時間に解放したり、より多くの学生がより高度な知識を学べるよう設備の増強の検討を進めている。</t>
    <rPh sb="10" eb="12">
      <t>タンニン</t>
    </rPh>
    <phoneticPr fontId="1"/>
  </si>
  <si>
    <t>本学は Microsoft 365包括ライセンス契約を締結しており、全学生及び教職員が、Microsoft社製の「Microsoft Teams」というグループウェアを使用することができる。これを利用し、Teams上に本教育プログラム該当科目のチーム（グループ）を作成し、講義や演習課題に関する情報共有を実施、担当教員および履修者がチームメンバーとして交流が取れる環境を構築している。
また、学修さぽーと（オフィスアワー）において、履修者が授業担当教員に授業時間以外にも授業に関する質問をすることができ、教員から回答を得る（指導を受ける）ことができる仕組みを運用している。</t>
    <rPh sb="97" eb="99">
      <t>リヨウ</t>
    </rPh>
    <rPh sb="136" eb="138">
      <t>コウギ</t>
    </rPh>
    <rPh sb="139" eb="143">
      <t>エンシュウカダイ</t>
    </rPh>
    <rPh sb="144" eb="145">
      <t>カン</t>
    </rPh>
    <rPh sb="147" eb="149">
      <t>ジョウホウ</t>
    </rPh>
    <rPh sb="149" eb="151">
      <t>キョウユウ</t>
    </rPh>
    <rPh sb="152" eb="154">
      <t>ジッシ</t>
    </rPh>
    <phoneticPr fontId="1"/>
  </si>
  <si>
    <t>内部質保証委員会</t>
    <rPh sb="0" eb="2">
      <t>ナイブ</t>
    </rPh>
    <rPh sb="2" eb="3">
      <t>シツ</t>
    </rPh>
    <rPh sb="3" eb="5">
      <t>ホショウ</t>
    </rPh>
    <rPh sb="5" eb="8">
      <t>イインカイ</t>
    </rPh>
    <phoneticPr fontId="1"/>
  </si>
  <si>
    <t xml:space="preserve">角南　篤 </t>
    <phoneticPr fontId="1"/>
  </si>
  <si>
    <t>学長</t>
    <rPh sb="0" eb="2">
      <t>ガクチョウ</t>
    </rPh>
    <phoneticPr fontId="1"/>
  </si>
  <si>
    <t xml:space="preserve">本プログラムを構成する各授業の受講学生に対し、「学生による授業アンケート」（以下、授業アンケート）を実施している。各授業の担当者が授業アンケート結果を通じて学生の理解度を確認し、本学のアセスメントプランに示す点検改善サイクルに基づいて、授業改善へつなげている。
　また、プログラムの進展に伴い、学生調査として全学で行っている、ディプロマ・ポリシーの達成度を問う「在学生調査」および「卒業時調査」の結果も活用し、授業の改善を行っていく。
</t>
    <rPh sb="0" eb="1">
      <t>ホン</t>
    </rPh>
    <rPh sb="24" eb="26">
      <t>ガクセイ</t>
    </rPh>
    <rPh sb="38" eb="40">
      <t>イカ</t>
    </rPh>
    <rPh sb="41" eb="43">
      <t>ジュギョウ</t>
    </rPh>
    <rPh sb="65" eb="67">
      <t>ジュギョウ</t>
    </rPh>
    <rPh sb="181" eb="184">
      <t>ザイガクセイ</t>
    </rPh>
    <rPh sb="184" eb="186">
      <t>チョウサ</t>
    </rPh>
    <phoneticPr fontId="1"/>
  </si>
  <si>
    <t xml:space="preserve">本学では毎年、本学卒業生の就職先として想定される企業および「連携・協力に関する包括協定」締結済の企業へ、3つのポリシーならびに学修成果に係る意見交換会を開催している。令和6（2024）年度は、本プログラムについてご意見を伺った所1社より意見を頂いた（以下は要約）。
「本プログラムのカリキュラムは、令和9（2027）年度開設予定の貴学芸術工学部へ続いていく教科ではないかと思われた。これらのカリキュラムが音大で学ぶ事できる点は、これからの学生の職業選択に大きな幅が生まれるのではないかと思われ、期待が持てる。」
</t>
    <rPh sb="0" eb="2">
      <t>ホンガク</t>
    </rPh>
    <rPh sb="4" eb="6">
      <t>マイトシ</t>
    </rPh>
    <rPh sb="7" eb="9">
      <t>ホンガク</t>
    </rPh>
    <rPh sb="9" eb="11">
      <t>ソツギョウ</t>
    </rPh>
    <rPh sb="11" eb="12">
      <t>セイ</t>
    </rPh>
    <rPh sb="63" eb="67">
      <t>ガクシュウセイカ</t>
    </rPh>
    <rPh sb="68" eb="69">
      <t>カカ</t>
    </rPh>
    <rPh sb="70" eb="72">
      <t>イケン</t>
    </rPh>
    <rPh sb="72" eb="74">
      <t>コウカン</t>
    </rPh>
    <rPh sb="74" eb="75">
      <t>カイ</t>
    </rPh>
    <rPh sb="76" eb="78">
      <t>カイサイ</t>
    </rPh>
    <rPh sb="83" eb="85">
      <t>レイワ</t>
    </rPh>
    <rPh sb="92" eb="94">
      <t>ネンド</t>
    </rPh>
    <rPh sb="96" eb="97">
      <t>ホン</t>
    </rPh>
    <rPh sb="107" eb="109">
      <t>イケン</t>
    </rPh>
    <rPh sb="110" eb="111">
      <t>ウカガ</t>
    </rPh>
    <rPh sb="113" eb="114">
      <t>トコロ</t>
    </rPh>
    <rPh sb="115" eb="116">
      <t>シャ</t>
    </rPh>
    <rPh sb="118" eb="120">
      <t>イケン</t>
    </rPh>
    <rPh sb="121" eb="122">
      <t>イタダ</t>
    </rPh>
    <rPh sb="125" eb="127">
      <t>イカ</t>
    </rPh>
    <rPh sb="128" eb="130">
      <t>ヨウヤク</t>
    </rPh>
    <rPh sb="134" eb="135">
      <t>ホン</t>
    </rPh>
    <rPh sb="149" eb="151">
      <t>レイワ</t>
    </rPh>
    <phoneticPr fontId="1"/>
  </si>
  <si>
    <t>本科目では第1回目をガイダンスと設定し、今後のデジタル社会において、専門家だけに留まらず一般の利用者にも使いこなすスキルが求められるといった「学ぶことの意義」について説明し、単に数式や計算だけの学びと学生に捉えられないよう「学ぶ楽しさ」についても説明している。また、講義だけでなく、データを扱う演習を毎回取り入れることで、技術的な知識だけでなく、実際にデータを活用できるスキルを身に付け、これらの知識やスキルを「学ぶことの意義」について、履修生が理解できるよう工夫を行っている。</t>
    <rPh sb="198" eb="200">
      <t>チシキ</t>
    </rPh>
    <rPh sb="206" eb="207">
      <t>マナ</t>
    </rPh>
    <rPh sb="211" eb="213">
      <t>イギ</t>
    </rPh>
    <rPh sb="219" eb="221">
      <t>リシュウ</t>
    </rPh>
    <rPh sb="221" eb="222">
      <t>イ</t>
    </rPh>
    <rPh sb="223" eb="225">
      <t>リカイ</t>
    </rPh>
    <rPh sb="230" eb="232">
      <t>クフウ</t>
    </rPh>
    <rPh sb="233" eb="234">
      <t>オコナ</t>
    </rPh>
    <phoneticPr fontId="1"/>
  </si>
  <si>
    <t>メディアルームにおいて、前半は講義、後半は実際にデータを扱う演習という対面形式の授業を実施した。教員はMicrosoft Teams上の本教育プログラム該当科目のチーム（グループ）に授業資料と演習課題を置き、履修生が授業中だけでなく、授業後にいつでも過去の授業内容を確認できるようにした。演習として、主にMicrosoft Excelを分析ツールとして利用し、講義の内容を確認するようにした。演習課題で履修者の理解度を把握しつつ、次回の授業に活かした。各回の課題提出（60％）と成果発表（20％）および主体的学修度（20％）の結果を総合し評価を行った。</t>
    <rPh sb="66" eb="67">
      <t>ウエ</t>
    </rPh>
    <rPh sb="68" eb="69">
      <t>ホン</t>
    </rPh>
    <rPh sb="69" eb="71">
      <t>キョウイク</t>
    </rPh>
    <rPh sb="76" eb="78">
      <t>ガイトウ</t>
    </rPh>
    <rPh sb="78" eb="80">
      <t>カモク</t>
    </rPh>
    <rPh sb="104" eb="106">
      <t>リシュウ</t>
    </rPh>
    <rPh sb="106" eb="107">
      <t>イ</t>
    </rPh>
    <rPh sb="150" eb="151">
      <t>オモ</t>
    </rPh>
    <rPh sb="168" eb="170">
      <t>ブンセキ</t>
    </rPh>
    <rPh sb="176" eb="178">
      <t>リヨウ</t>
    </rPh>
    <rPh sb="229" eb="231">
      <t>カダイ</t>
    </rPh>
    <rPh sb="231" eb="233">
      <t>テイシュツ</t>
    </rPh>
    <rPh sb="239" eb="243">
      <t>セイカハッピョウ</t>
    </rPh>
    <rPh sb="251" eb="254">
      <t>シュタイテキ</t>
    </rPh>
    <rPh sb="254" eb="257">
      <t>ガクシュウド</t>
    </rPh>
    <rPh sb="269" eb="271">
      <t>ヒョウカ</t>
    </rPh>
    <rPh sb="272" eb="273">
      <t>オコナ</t>
    </rPh>
    <phoneticPr fontId="1"/>
  </si>
  <si>
    <t>令和6（2024）年度後期から本プログラムを開始したところであり、プログラム修了者が地域のそれぞれの組織(企業、自治体、団体等)で数理・データサイエンス・AI を活用することが期待され、今後は学生が就職した組織の意見も聞きながら、本プログラムの改善を検討する。</t>
    <rPh sb="11" eb="13">
      <t>コウキ</t>
    </rPh>
    <rPh sb="15" eb="16">
      <t>ホン</t>
    </rPh>
    <rPh sb="115" eb="116">
      <t>ホン</t>
    </rPh>
    <phoneticPr fontId="1"/>
  </si>
  <si>
    <t>「情報機器演習（応用）Ⅰ」＜リテラシーレベル＞を修了すること</t>
    <rPh sb="24" eb="26">
      <t>シュウリョウ</t>
    </rPh>
    <phoneticPr fontId="1"/>
  </si>
  <si>
    <t>「情報機器演習（応用）Ⅰ」＜リテラシーレベル＞</t>
  </si>
  <si>
    <t>「情報機器演習（応用）Ⅰ」＜リテラシーレベル＞</t>
    <phoneticPr fontId="1"/>
  </si>
  <si>
    <t>数理・データサイエンス・ＡＩ教育プログラム（リテラシーレベル）</t>
    <phoneticPr fontId="1"/>
  </si>
  <si>
    <t>このプログラムの科目「情報機器演習（応用）Ⅰ」＜リテラシーレベル＞は、令和6（2024）年度は後期のみ開講し、履修者が9名であり、6名の単位を認定、修了率は66.7％である。
内容を十分に修得した者を合格させる方針であったため、修了者の質の担保はされている。なお、今後のカリキュラム改定において、本教育プログラム該当科目のカリキュラム内での位置付けをより重要度の高い科目となるよう、カリキュラムを扱う教育課程委員会に要請し検討を進めていく。</t>
    <rPh sb="11" eb="13">
      <t>ジョウホウ</t>
    </rPh>
    <rPh sb="13" eb="15">
      <t>キキ</t>
    </rPh>
    <rPh sb="15" eb="17">
      <t>エンシュウ</t>
    </rPh>
    <rPh sb="18" eb="20">
      <t>オウヨウ</t>
    </rPh>
    <rPh sb="35" eb="37">
      <t>レイワ</t>
    </rPh>
    <rPh sb="74" eb="76">
      <t>シュウリョウ</t>
    </rPh>
    <rPh sb="76" eb="77">
      <t>リツ</t>
    </rPh>
    <rPh sb="94" eb="95">
      <t>オサ</t>
    </rPh>
    <rPh sb="114" eb="116">
      <t>シュウリョウ</t>
    </rPh>
    <rPh sb="116" eb="117">
      <t>モノ</t>
    </rPh>
    <rPh sb="132" eb="134">
      <t>コンゴ</t>
    </rPh>
    <rPh sb="198" eb="199">
      <t>アツカ</t>
    </rPh>
    <rPh sb="200" eb="202">
      <t>キョウイク</t>
    </rPh>
    <rPh sb="202" eb="204">
      <t>カテイ</t>
    </rPh>
    <rPh sb="204" eb="207">
      <t>イインカイ</t>
    </rPh>
    <rPh sb="208" eb="210">
      <t>ヨウセイ</t>
    </rPh>
    <rPh sb="211" eb="213">
      <t>ケントウ</t>
    </rPh>
    <rPh sb="214" eb="215">
      <t>スス</t>
    </rPh>
    <phoneticPr fontId="1"/>
  </si>
  <si>
    <t>2024年度は、初年度という事もあり１クラス展開（後期のみ）で開講したが、2025年度の履修状況によって、2026年度は春学期・秋学期に2クラス展開の実施を検討する。併せて、今後のカリキュラム改定において、本教育プログラム該当科目のカリキュラム内での位置づけを、より重要度の高い科目としていく。</t>
    <rPh sb="25" eb="27">
      <t>コウキ</t>
    </rPh>
    <rPh sb="41" eb="43">
      <t>ネンド</t>
    </rPh>
    <rPh sb="44" eb="48">
      <t>リシュウジョウキョウ</t>
    </rPh>
    <rPh sb="78" eb="80">
      <t>ケントウ</t>
    </rPh>
    <phoneticPr fontId="1"/>
  </si>
  <si>
    <t>教育課程委員会
委員長　石田麻子（学長補佐/教授）
副委員長　酒巻和子（研究科長/教授）
副委員長　有田栄（教授）
副委員長　由雄正恒（准教授）
委員　栃木真理子（学生支援センター部長）
委員　横澤田朋美（教職課程支援室長）
委員　松村亮（授業支援室長）
委員　藤田恵理（授業支援室係長）</t>
    <rPh sb="0" eb="4">
      <t>キョウイクカテイ</t>
    </rPh>
    <rPh sb="4" eb="7">
      <t>イインカイ</t>
    </rPh>
    <rPh sb="8" eb="11">
      <t>イインチョウ</t>
    </rPh>
    <rPh sb="12" eb="16">
      <t>イシダアサコ</t>
    </rPh>
    <rPh sb="17" eb="19">
      <t>ガクチョウ</t>
    </rPh>
    <rPh sb="19" eb="21">
      <t>ホサ</t>
    </rPh>
    <rPh sb="22" eb="24">
      <t>キョウジュ</t>
    </rPh>
    <rPh sb="45" eb="49">
      <t>フクイインチョウ</t>
    </rPh>
    <rPh sb="50" eb="52">
      <t>アリタ</t>
    </rPh>
    <rPh sb="52" eb="53">
      <t>サカエ</t>
    </rPh>
    <rPh sb="54" eb="56">
      <t>キョウジュ</t>
    </rPh>
    <rPh sb="58" eb="62">
      <t>フクイインチョウ</t>
    </rPh>
    <rPh sb="63" eb="65">
      <t>ヨシオ</t>
    </rPh>
    <rPh sb="65" eb="67">
      <t>マサツネ</t>
    </rPh>
    <rPh sb="68" eb="69">
      <t>ジュン</t>
    </rPh>
    <rPh sb="69" eb="71">
      <t>キョウジュ</t>
    </rPh>
    <rPh sb="73" eb="75">
      <t>イイン</t>
    </rPh>
    <rPh sb="82" eb="84">
      <t>ガクセイ</t>
    </rPh>
    <rPh sb="84" eb="86">
      <t>シエン</t>
    </rPh>
    <rPh sb="90" eb="92">
      <t>ブチョウ</t>
    </rPh>
    <rPh sb="94" eb="96">
      <t>イイン</t>
    </rPh>
    <rPh sb="103" eb="107">
      <t>キョウショクカテイ</t>
    </rPh>
    <rPh sb="107" eb="110">
      <t>シエンシツ</t>
    </rPh>
    <rPh sb="110" eb="111">
      <t>チョウ</t>
    </rPh>
    <rPh sb="113" eb="115">
      <t>イイン</t>
    </rPh>
    <rPh sb="120" eb="122">
      <t>ジュギョウ</t>
    </rPh>
    <rPh sb="122" eb="125">
      <t>シエンシツ</t>
    </rPh>
    <rPh sb="125" eb="126">
      <t>チョウ</t>
    </rPh>
    <rPh sb="128" eb="130">
      <t>イイン</t>
    </rPh>
    <rPh sb="136" eb="138">
      <t>ジュギョウ</t>
    </rPh>
    <rPh sb="138" eb="141">
      <t>シエンシツ</t>
    </rPh>
    <rPh sb="141" eb="143">
      <t>カカリチョウ</t>
    </rPh>
    <phoneticPr fontId="1"/>
  </si>
  <si>
    <t>教育課程委員会委員長</t>
    <rPh sb="7" eb="10">
      <t>イインチョウ</t>
    </rPh>
    <phoneticPr fontId="1"/>
  </si>
  <si>
    <t>他学生への推奨度については調査を行っていないが、「情報機器演習（応用）Ⅰ」＜リテラシーレベル＞の授業アンケートに関し「総合的にみて、この授業を受講してよかった」という項目には、「そう思う」「少し思う」をあわせて回答者の100％が肯定的に答えている。その結果から推察するに、授業アンケートにおける授業への満足度は高く、本プログラムは学生から一定水準の好意的評価を受けたと考えている。</t>
    <rPh sb="25" eb="27">
      <t>ジョウホウ</t>
    </rPh>
    <rPh sb="27" eb="29">
      <t>キキ</t>
    </rPh>
    <rPh sb="29" eb="31">
      <t>エンシュウ</t>
    </rPh>
    <rPh sb="32" eb="34">
      <t>オウヨウ</t>
    </rPh>
    <rPh sb="48" eb="50">
      <t>ジュギョウ</t>
    </rPh>
    <rPh sb="59" eb="61">
      <t>ソウゴウ</t>
    </rPh>
    <rPh sb="61" eb="62">
      <t>テキ</t>
    </rPh>
    <rPh sb="68" eb="70">
      <t>ジュギョウ</t>
    </rPh>
    <rPh sb="71" eb="73">
      <t>ジュコウ</t>
    </rPh>
    <rPh sb="83" eb="85">
      <t>コウモク</t>
    </rPh>
    <rPh sb="91" eb="92">
      <t>オモ</t>
    </rPh>
    <rPh sb="95" eb="96">
      <t>スコ</t>
    </rPh>
    <rPh sb="97" eb="98">
      <t>オモ</t>
    </rPh>
    <rPh sb="105" eb="107">
      <t>カイトウ</t>
    </rPh>
    <rPh sb="107" eb="108">
      <t>モノ</t>
    </rPh>
    <rPh sb="114" eb="117">
      <t>コウテイテキ</t>
    </rPh>
    <rPh sb="118" eb="119">
      <t>コタ</t>
    </rPh>
    <rPh sb="126" eb="128">
      <t>ケッカ</t>
    </rPh>
    <rPh sb="130" eb="132">
      <t>スイサツ</t>
    </rPh>
    <rPh sb="136" eb="138">
      <t>ジュギョウ</t>
    </rPh>
    <phoneticPr fontId="1"/>
  </si>
  <si>
    <t>令和6（2024）年度後期からの本プログラム開始となった為、履修者は限定的であったが、令和7（2025）年度履修状況によって、2026年度は春学期・秋学期に2クラス展開の実施を検討する。更に今後のカリキュラム改定において、本教育プログラム該当科目のカリキュラム内での位置づけを、より重要度の高い科目とするカリキュラム改編を検討し、履修者数および履修率向上に努める。</t>
    <phoneticPr fontId="1"/>
  </si>
  <si>
    <t>令和6（2024）年度は、前半は講義、後半は実際にデータを扱う演習、課題提出をベースとして対面にて講義を展開した。授業アンケートからは、「初年度ゆえの手探り感がありましたが、一緒に授業を作る楽しみがあった」といった意見を集める事ができ、担当教員と学生間の円滑なコミュニケーションにより学生意見が授業運営へ反映の旨、確認ができる。なお令和6（2024）年度は、「数理・データサイエンス・AI教育強化拠点コンソーシアム」に連携校とし加入、更なる情報収集に努めている。次年度以降も様々な方面より履修者の主観的評価としての理解度、内容、教授方法の適切性を確認し、より「わかりやすい」授業を構築する事を目指していく。</t>
    <rPh sb="0" eb="2">
      <t>レイワ</t>
    </rPh>
    <rPh sb="9" eb="11">
      <t>ネンド</t>
    </rPh>
    <rPh sb="34" eb="36">
      <t>カダイ</t>
    </rPh>
    <rPh sb="36" eb="38">
      <t>テイシュツ</t>
    </rPh>
    <rPh sb="45" eb="47">
      <t>タイメン</t>
    </rPh>
    <rPh sb="49" eb="51">
      <t>コウギ</t>
    </rPh>
    <rPh sb="52" eb="54">
      <t>テンカイ</t>
    </rPh>
    <rPh sb="57" eb="59">
      <t>ジュギョウ</t>
    </rPh>
    <rPh sb="69" eb="72">
      <t>ショネンド</t>
    </rPh>
    <rPh sb="75" eb="77">
      <t>テサグ</t>
    </rPh>
    <rPh sb="107" eb="109">
      <t>イケン</t>
    </rPh>
    <rPh sb="110" eb="111">
      <t>アツ</t>
    </rPh>
    <rPh sb="113" eb="114">
      <t>コト</t>
    </rPh>
    <rPh sb="118" eb="120">
      <t>タントウ</t>
    </rPh>
    <rPh sb="120" eb="122">
      <t>キョウイン</t>
    </rPh>
    <rPh sb="123" eb="125">
      <t>ガクセイ</t>
    </rPh>
    <rPh sb="125" eb="126">
      <t>アイダ</t>
    </rPh>
    <rPh sb="127" eb="129">
      <t>エンカツ</t>
    </rPh>
    <rPh sb="142" eb="144">
      <t>ガクセイ</t>
    </rPh>
    <rPh sb="155" eb="156">
      <t>ムネ</t>
    </rPh>
    <rPh sb="166" eb="168">
      <t>レイワ</t>
    </rPh>
    <rPh sb="175" eb="177">
      <t>ネンド</t>
    </rPh>
    <rPh sb="180" eb="182">
      <t>スウリ</t>
    </rPh>
    <rPh sb="194" eb="196">
      <t>キョウイク</t>
    </rPh>
    <rPh sb="196" eb="198">
      <t>キョウカ</t>
    </rPh>
    <rPh sb="198" eb="200">
      <t>キョテン</t>
    </rPh>
    <rPh sb="209" eb="211">
      <t>レンケイ</t>
    </rPh>
    <rPh sb="211" eb="212">
      <t>コウ</t>
    </rPh>
    <rPh sb="214" eb="216">
      <t>カニュウ</t>
    </rPh>
    <rPh sb="217" eb="218">
      <t>サラ</t>
    </rPh>
    <rPh sb="220" eb="222">
      <t>ジョウホウ</t>
    </rPh>
    <rPh sb="222" eb="224">
      <t>シュウシュウ</t>
    </rPh>
    <rPh sb="225" eb="226">
      <t>ツト</t>
    </rPh>
    <rPh sb="237" eb="239">
      <t>サマザマ</t>
    </rPh>
    <rPh sb="240" eb="242">
      <t>ホウメン</t>
    </rPh>
    <rPh sb="287" eb="289">
      <t>ジュギョウ</t>
    </rPh>
    <rPh sb="290" eb="292">
      <t>コウチク</t>
    </rPh>
    <rPh sb="294" eb="295">
      <t>コト</t>
    </rPh>
    <rPh sb="296" eb="298">
      <t>メザ</t>
    </rPh>
    <phoneticPr fontId="1"/>
  </si>
  <si>
    <t>教授</t>
    <rPh sb="0" eb="2">
      <t>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</si>
</sst>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color rgb="FF0070C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3" fillId="0" borderId="0" xfId="0" applyFont="1">
      <alignmen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2" fillId="0" borderId="14" xfId="0" applyFont="1" applyBorder="1" applyAlignment="1">
      <alignment horizontal="center" vertical="center"/>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0" fillId="0" borderId="0" xfId="0" applyFont="1" applyAlignment="1">
      <alignment horizontal="left" vertical="center" wrapText="1"/>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4" xfId="0" applyFont="1" applyBorder="1" applyAlignment="1">
      <alignment horizontal="lef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18" xfId="0" applyFont="1" applyBorder="1" applyAlignment="1">
      <alignment vertical="top" wrapText="1" shrinkToFit="1"/>
    </xf>
    <xf numFmtId="0" fontId="2" fillId="0" borderId="3"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25945;&#21209;&#35506;\&#9661;7-1&#25945;&#39178;&#31185;&#30446;&#65288;&#19968;&#33324;&#25945;&#32946;&#65289;&#20998;&#31185;&#20250;\&#25968;&#29702;&#12539;&#12487;&#12540;&#12479;&#12469;&#12452;&#12456;&#12531;&#12473;&#12539;AI\&#25991;&#37096;&#31185;&#23398;&#30465;&#12408;&#12398;&#30003;&#35531;&#26360;\&#27096;&#24335;2&#12539;3_&#25480;&#26989;&#25903;&#25588;&#23460;&#20837;&#21147;\01_&#30003;&#35531;&#27096;&#24335;1-4&#12522;&#12486;&#12521;&#12471;&#12540;&#65288;&#20196;&#21644;7&#24180;3&#26376;17&#26085;&#26356;&#26032;&#65289;&#25480;&#26989;&#25903;&#25588;&#23460;&#25285;&#24403;2-3.xlsx" TargetMode="External"/><Relationship Id="rId1" Type="http://schemas.openxmlformats.org/officeDocument/2006/relationships/externalLinkPath" Target="/&#25945;&#21209;&#35506;/&#9661;7-1&#25945;&#39178;&#31185;&#30446;&#65288;&#19968;&#33324;&#25945;&#32946;&#65289;&#20998;&#31185;&#20250;/&#25968;&#29702;&#12539;&#12487;&#12540;&#12479;&#12469;&#12452;&#12456;&#12531;&#12473;&#12539;AI/&#25991;&#37096;&#31185;&#23398;&#30465;&#12408;&#12398;&#30003;&#35531;&#26360;/&#27096;&#24335;2&#12539;3_&#25480;&#26989;&#25903;&#25588;&#23460;&#20837;&#21147;/01_&#30003;&#35531;&#27096;&#24335;1-4&#12522;&#12486;&#12521;&#12471;&#12540;&#65288;&#20196;&#21644;7&#24180;3&#26376;17&#26085;&#26356;&#26032;&#65289;&#25480;&#26989;&#25903;&#25588;&#23460;&#25285;&#24403;2-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V:\&#25945;&#21209;&#35506;\&#9661;7-1&#25945;&#39178;&#31185;&#30446;&#65288;&#19968;&#33324;&#25945;&#32946;&#65289;&#20998;&#31185;&#20250;\&#25968;&#29702;&#12539;&#12487;&#12540;&#12479;&#12469;&#12452;&#12456;&#12531;&#12473;&#12539;AI\&#25991;&#37096;&#31185;&#23398;&#30465;&#12408;&#12398;&#30003;&#35531;&#26360;\&#27096;&#24335;4_&#20225;&#30011;IR&#20837;&#21147;\20250425rev3_01_&#30003;&#35531;&#27096;&#24335;1-4&#12522;&#12486;&#12521;&#12471;&#12540;&#65288;&#25480;&#26989;&#25903;&#25588;&#23460;&#36861;&#35352;_&#27096;&#24335;02_03)(&#20225;&#30011;IR&#27096;&#24335;04).xlsx" TargetMode="External"/><Relationship Id="rId1" Type="http://schemas.openxmlformats.org/officeDocument/2006/relationships/externalLinkPath" Target="/&#25945;&#21209;&#35506;/&#9661;7-1&#25945;&#39178;&#31185;&#30446;&#65288;&#19968;&#33324;&#25945;&#32946;&#65289;&#20998;&#31185;&#20250;/&#25968;&#29702;&#12539;&#12487;&#12540;&#12479;&#12469;&#12452;&#12456;&#12531;&#12473;&#12539;AI/&#25991;&#37096;&#31185;&#23398;&#30465;&#12408;&#12398;&#30003;&#35531;&#26360;/&#27096;&#24335;4_&#20225;&#30011;IR&#20837;&#21147;/20250425rev3_01_&#30003;&#35531;&#27096;&#24335;1-4&#12522;&#12486;&#12521;&#12471;&#12540;&#65288;&#25480;&#26989;&#25903;&#25588;&#23460;&#36861;&#35352;_&#27096;&#24335;02_03)(&#20225;&#30011;IR&#27096;&#24335;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様式１　プログラムを構成する授業科目"/>
      <sheetName val="様式２ 履修者等数の実績"/>
      <sheetName val="様式３ 教育の質・履修者数を向上させるための体制・計画"/>
      <sheetName val="様式４　自己点検・評価"/>
    </sheetNames>
    <sheetDataSet>
      <sheetData sheetId="0">
        <row r="2">
          <cell r="C2" t="str">
            <v>昭和音楽大学</v>
          </cell>
        </row>
      </sheetData>
      <sheetData sheetId="1">
        <row r="33">
          <cell r="E33">
            <v>1195</v>
          </cell>
          <cell r="S33">
            <v>7.5313807531380752E-3</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様式１　プログラムを構成する授業科目"/>
      <sheetName val="様式２ 履修者等数の実績"/>
      <sheetName val="様式３ 教育の質・履修者数を向上させるための体制・計画"/>
      <sheetName val="様式４　自己点検・評価"/>
    </sheetNames>
    <sheetDataSet>
      <sheetData sheetId="0">
        <row r="2">
          <cell r="C2" t="str">
            <v>昭和音楽大学</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80" zoomScaleNormal="100" zoomScaleSheetLayoutView="80" workbookViewId="0">
      <selection activeCell="AE24" sqref="AE2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1" t="s">
        <v>12</v>
      </c>
      <c r="U1" s="121"/>
      <c r="V1" s="2" t="s">
        <v>94</v>
      </c>
    </row>
    <row r="2" spans="1:24" ht="18.75" customHeight="1" x14ac:dyDescent="0.15">
      <c r="B2" s="17" t="s">
        <v>93</v>
      </c>
      <c r="C2" s="90" t="s">
        <v>143</v>
      </c>
      <c r="D2" s="91"/>
      <c r="E2" s="91"/>
      <c r="F2" s="91"/>
      <c r="G2" s="91"/>
      <c r="H2" s="91"/>
      <c r="I2" s="91"/>
      <c r="J2" s="92"/>
      <c r="K2" s="18"/>
      <c r="L2" s="6"/>
      <c r="M2" s="6"/>
      <c r="N2" s="6"/>
      <c r="O2" s="6"/>
      <c r="P2" s="6"/>
      <c r="Q2" s="6"/>
      <c r="R2" s="6"/>
      <c r="S2" s="6"/>
      <c r="T2" s="6"/>
      <c r="U2" s="6"/>
    </row>
    <row r="3" spans="1:24" ht="18.75" customHeight="1" x14ac:dyDescent="0.15">
      <c r="B3" s="17" t="s">
        <v>88</v>
      </c>
      <c r="C3" s="122" t="s">
        <v>183</v>
      </c>
      <c r="D3" s="123"/>
      <c r="E3" s="123"/>
      <c r="F3" s="123"/>
      <c r="G3" s="123"/>
      <c r="H3" s="123"/>
      <c r="I3" s="123"/>
      <c r="J3" s="124"/>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25" t="s">
        <v>141</v>
      </c>
      <c r="B5" s="125"/>
      <c r="C5" s="125"/>
      <c r="D5" s="125"/>
      <c r="E5" s="125"/>
      <c r="F5" s="125"/>
      <c r="G5" s="125"/>
      <c r="H5" s="125"/>
      <c r="I5" s="125"/>
      <c r="J5" s="125"/>
      <c r="K5" s="125"/>
      <c r="L5" s="125"/>
      <c r="M5" s="125"/>
      <c r="N5" s="125"/>
      <c r="O5" s="125"/>
      <c r="P5" s="125"/>
      <c r="Q5" s="125"/>
      <c r="R5" s="125"/>
      <c r="S5" s="125"/>
      <c r="T5" s="125"/>
      <c r="U5" s="125"/>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7" t="s">
        <v>144</v>
      </c>
      <c r="M7" s="88"/>
      <c r="N7" s="88"/>
      <c r="O7" s="88"/>
      <c r="P7" s="88"/>
      <c r="Q7" s="88"/>
      <c r="R7" s="88"/>
      <c r="S7" s="88"/>
      <c r="T7" s="88"/>
      <c r="U7" s="8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9"/>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15">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6" t="s">
        <v>180</v>
      </c>
      <c r="C15" s="127"/>
      <c r="D15" s="127"/>
      <c r="E15" s="127"/>
      <c r="F15" s="127"/>
      <c r="G15" s="127"/>
      <c r="H15" s="127"/>
      <c r="I15" s="127"/>
      <c r="J15" s="127"/>
      <c r="K15" s="127"/>
      <c r="L15" s="127"/>
      <c r="M15" s="127"/>
      <c r="N15" s="127"/>
      <c r="O15" s="127"/>
      <c r="P15" s="127"/>
      <c r="Q15" s="127"/>
      <c r="R15" s="127"/>
      <c r="S15" s="127"/>
      <c r="T15" s="127"/>
      <c r="U15" s="128"/>
      <c r="X15" s="1" t="s">
        <v>89</v>
      </c>
    </row>
    <row r="16" spans="1:24" ht="18" customHeight="1" x14ac:dyDescent="0.15">
      <c r="B16" s="129"/>
      <c r="C16" s="130"/>
      <c r="D16" s="130"/>
      <c r="E16" s="130"/>
      <c r="F16" s="130"/>
      <c r="G16" s="130"/>
      <c r="H16" s="130"/>
      <c r="I16" s="130"/>
      <c r="J16" s="130"/>
      <c r="K16" s="130"/>
      <c r="L16" s="130"/>
      <c r="M16" s="130"/>
      <c r="N16" s="130"/>
      <c r="O16" s="130"/>
      <c r="P16" s="130"/>
      <c r="Q16" s="130"/>
      <c r="R16" s="130"/>
      <c r="S16" s="130"/>
      <c r="T16" s="130"/>
      <c r="U16" s="131"/>
      <c r="X16" s="1" t="s">
        <v>122</v>
      </c>
    </row>
    <row r="17" spans="1:24" ht="18" customHeight="1" x14ac:dyDescent="0.15">
      <c r="B17" s="129"/>
      <c r="C17" s="130"/>
      <c r="D17" s="130"/>
      <c r="E17" s="130"/>
      <c r="F17" s="130"/>
      <c r="G17" s="130"/>
      <c r="H17" s="130"/>
      <c r="I17" s="130"/>
      <c r="J17" s="130"/>
      <c r="K17" s="130"/>
      <c r="L17" s="130"/>
      <c r="M17" s="130"/>
      <c r="N17" s="130"/>
      <c r="O17" s="130"/>
      <c r="P17" s="130"/>
      <c r="Q17" s="130"/>
      <c r="R17" s="130"/>
      <c r="S17" s="130"/>
      <c r="T17" s="130"/>
      <c r="U17" s="131"/>
      <c r="X17" s="1" t="s">
        <v>123</v>
      </c>
    </row>
    <row r="18" spans="1:24" ht="18" customHeight="1" x14ac:dyDescent="0.15">
      <c r="B18" s="129"/>
      <c r="C18" s="130"/>
      <c r="D18" s="130"/>
      <c r="E18" s="130"/>
      <c r="F18" s="130"/>
      <c r="G18" s="130"/>
      <c r="H18" s="130"/>
      <c r="I18" s="130"/>
      <c r="J18" s="130"/>
      <c r="K18" s="130"/>
      <c r="L18" s="130"/>
      <c r="M18" s="130"/>
      <c r="N18" s="130"/>
      <c r="O18" s="130"/>
      <c r="P18" s="130"/>
      <c r="Q18" s="130"/>
      <c r="R18" s="130"/>
      <c r="S18" s="130"/>
      <c r="T18" s="130"/>
      <c r="U18" s="131"/>
      <c r="X18" s="1" t="s">
        <v>124</v>
      </c>
    </row>
    <row r="19" spans="1:24" ht="18" customHeight="1" x14ac:dyDescent="0.15">
      <c r="B19" s="129"/>
      <c r="C19" s="130"/>
      <c r="D19" s="130"/>
      <c r="E19" s="130"/>
      <c r="F19" s="130"/>
      <c r="G19" s="130"/>
      <c r="H19" s="130"/>
      <c r="I19" s="130"/>
      <c r="J19" s="130"/>
      <c r="K19" s="130"/>
      <c r="L19" s="130"/>
      <c r="M19" s="130"/>
      <c r="N19" s="130"/>
      <c r="O19" s="130"/>
      <c r="P19" s="130"/>
      <c r="Q19" s="130"/>
      <c r="R19" s="130"/>
      <c r="S19" s="130"/>
      <c r="T19" s="130"/>
      <c r="U19" s="131"/>
    </row>
    <row r="20" spans="1:24" ht="18" customHeight="1" x14ac:dyDescent="0.15">
      <c r="B20" s="132"/>
      <c r="C20" s="133"/>
      <c r="D20" s="133"/>
      <c r="E20" s="133"/>
      <c r="F20" s="133"/>
      <c r="G20" s="133"/>
      <c r="H20" s="133"/>
      <c r="I20" s="133"/>
      <c r="J20" s="133"/>
      <c r="K20" s="133"/>
      <c r="L20" s="133"/>
      <c r="M20" s="133"/>
      <c r="N20" s="133"/>
      <c r="O20" s="133"/>
      <c r="P20" s="133"/>
      <c r="Q20" s="133"/>
      <c r="R20" s="133"/>
      <c r="S20" s="133"/>
      <c r="T20" s="133"/>
      <c r="U20" s="134"/>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119</v>
      </c>
      <c r="E22" s="76">
        <v>1</v>
      </c>
      <c r="F22" s="1" t="s">
        <v>107</v>
      </c>
      <c r="H22" s="19">
        <v>2</v>
      </c>
      <c r="I22" s="3" t="s">
        <v>108</v>
      </c>
      <c r="J22" s="3"/>
      <c r="K22" s="18"/>
      <c r="M22" s="18" t="s">
        <v>104</v>
      </c>
      <c r="N22" s="84" t="s">
        <v>124</v>
      </c>
      <c r="O22" s="85"/>
      <c r="P22" s="85"/>
      <c r="Q22" s="85"/>
      <c r="R22" s="85"/>
      <c r="S22" s="85"/>
      <c r="T22" s="85"/>
      <c r="U22" s="8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4" t="s">
        <v>96</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0" t="s">
        <v>48</v>
      </c>
      <c r="C26" s="91"/>
      <c r="D26" s="91"/>
      <c r="E26" s="91"/>
      <c r="F26" s="92"/>
      <c r="G26" s="60" t="s">
        <v>73</v>
      </c>
      <c r="H26" s="61" t="s">
        <v>76</v>
      </c>
      <c r="I26" s="62" t="s">
        <v>51</v>
      </c>
      <c r="J26" s="62" t="s">
        <v>54</v>
      </c>
      <c r="K26" s="90" t="s">
        <v>48</v>
      </c>
      <c r="L26" s="91"/>
      <c r="M26" s="91"/>
      <c r="N26" s="91"/>
      <c r="O26" s="91"/>
      <c r="P26" s="91"/>
      <c r="Q26" s="92"/>
      <c r="R26" s="60" t="s">
        <v>73</v>
      </c>
      <c r="S26" s="61" t="s">
        <v>76</v>
      </c>
      <c r="T26" s="62" t="s">
        <v>51</v>
      </c>
      <c r="U26" s="62" t="s">
        <v>54</v>
      </c>
    </row>
    <row r="27" spans="1:24" ht="18" customHeight="1" x14ac:dyDescent="0.15">
      <c r="B27" s="111" t="s">
        <v>182</v>
      </c>
      <c r="C27" s="112"/>
      <c r="D27" s="112"/>
      <c r="E27" s="112"/>
      <c r="F27" s="113"/>
      <c r="G27" s="63">
        <v>2</v>
      </c>
      <c r="H27" s="63" t="s">
        <v>145</v>
      </c>
      <c r="I27" s="63" t="s">
        <v>145</v>
      </c>
      <c r="J27" s="63" t="s">
        <v>145</v>
      </c>
      <c r="K27" s="111"/>
      <c r="L27" s="112"/>
      <c r="M27" s="112"/>
      <c r="N27" s="112"/>
      <c r="O27" s="112"/>
      <c r="P27" s="112"/>
      <c r="Q27" s="113"/>
      <c r="R27" s="63"/>
      <c r="S27" s="63"/>
      <c r="T27" s="63"/>
      <c r="U27" s="63"/>
    </row>
    <row r="28" spans="1:24" ht="18" customHeight="1" x14ac:dyDescent="0.15">
      <c r="B28" s="105"/>
      <c r="C28" s="106"/>
      <c r="D28" s="106"/>
      <c r="E28" s="106"/>
      <c r="F28" s="107"/>
      <c r="G28" s="64"/>
      <c r="H28" s="64"/>
      <c r="I28" s="64"/>
      <c r="J28" s="64"/>
      <c r="K28" s="105"/>
      <c r="L28" s="106"/>
      <c r="M28" s="106"/>
      <c r="N28" s="106"/>
      <c r="O28" s="106"/>
      <c r="P28" s="106"/>
      <c r="Q28" s="107"/>
      <c r="R28" s="64"/>
      <c r="S28" s="64"/>
      <c r="T28" s="64"/>
      <c r="U28" s="64"/>
    </row>
    <row r="29" spans="1:24" ht="18" customHeight="1" x14ac:dyDescent="0.15">
      <c r="B29" s="105"/>
      <c r="C29" s="106"/>
      <c r="D29" s="106"/>
      <c r="E29" s="106"/>
      <c r="F29" s="107"/>
      <c r="G29" s="64"/>
      <c r="H29" s="64"/>
      <c r="I29" s="64"/>
      <c r="J29" s="64"/>
      <c r="K29" s="105"/>
      <c r="L29" s="106"/>
      <c r="M29" s="106"/>
      <c r="N29" s="106"/>
      <c r="O29" s="106"/>
      <c r="P29" s="106"/>
      <c r="Q29" s="107"/>
      <c r="R29" s="64"/>
      <c r="S29" s="64"/>
      <c r="T29" s="64"/>
      <c r="U29" s="64"/>
    </row>
    <row r="30" spans="1:24" ht="18" customHeight="1" x14ac:dyDescent="0.15">
      <c r="B30" s="105"/>
      <c r="C30" s="106"/>
      <c r="D30" s="106"/>
      <c r="E30" s="106"/>
      <c r="F30" s="107"/>
      <c r="G30" s="64"/>
      <c r="H30" s="64"/>
      <c r="I30" s="64"/>
      <c r="J30" s="64"/>
      <c r="K30" s="105"/>
      <c r="L30" s="106"/>
      <c r="M30" s="106"/>
      <c r="N30" s="106"/>
      <c r="O30" s="106"/>
      <c r="P30" s="106"/>
      <c r="Q30" s="107"/>
      <c r="R30" s="64"/>
      <c r="S30" s="64"/>
      <c r="T30" s="64"/>
      <c r="U30" s="64"/>
    </row>
    <row r="31" spans="1:24" ht="18" customHeight="1" x14ac:dyDescent="0.15">
      <c r="B31" s="105"/>
      <c r="C31" s="106"/>
      <c r="D31" s="106"/>
      <c r="E31" s="106"/>
      <c r="F31" s="107"/>
      <c r="G31" s="64"/>
      <c r="H31" s="64"/>
      <c r="I31" s="64"/>
      <c r="J31" s="64"/>
      <c r="K31" s="105"/>
      <c r="L31" s="106"/>
      <c r="M31" s="106"/>
      <c r="N31" s="106"/>
      <c r="O31" s="106"/>
      <c r="P31" s="106"/>
      <c r="Q31" s="107"/>
      <c r="R31" s="64"/>
      <c r="S31" s="64"/>
      <c r="T31" s="64"/>
      <c r="U31" s="64"/>
    </row>
    <row r="32" spans="1:24" ht="18" customHeight="1" x14ac:dyDescent="0.15">
      <c r="A32" s="3"/>
      <c r="B32" s="105"/>
      <c r="C32" s="106"/>
      <c r="D32" s="106"/>
      <c r="E32" s="106"/>
      <c r="F32" s="107"/>
      <c r="G32" s="64"/>
      <c r="H32" s="64"/>
      <c r="I32" s="64"/>
      <c r="J32" s="64"/>
      <c r="K32" s="105"/>
      <c r="L32" s="106"/>
      <c r="M32" s="106"/>
      <c r="N32" s="106"/>
      <c r="O32" s="106"/>
      <c r="P32" s="106"/>
      <c r="Q32" s="107"/>
      <c r="R32" s="64"/>
      <c r="S32" s="64"/>
      <c r="T32" s="64"/>
      <c r="U32" s="64"/>
    </row>
    <row r="33" spans="1:21" ht="18" customHeight="1" x14ac:dyDescent="0.15">
      <c r="A33" s="3"/>
      <c r="B33" s="108"/>
      <c r="C33" s="109"/>
      <c r="D33" s="109"/>
      <c r="E33" s="109"/>
      <c r="F33" s="110"/>
      <c r="G33" s="65"/>
      <c r="H33" s="65"/>
      <c r="I33" s="66"/>
      <c r="J33" s="66"/>
      <c r="K33" s="108"/>
      <c r="L33" s="109"/>
      <c r="M33" s="109"/>
      <c r="N33" s="109"/>
      <c r="O33" s="109"/>
      <c r="P33" s="109"/>
      <c r="Q33" s="110"/>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4" t="s">
        <v>97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0" t="s">
        <v>48</v>
      </c>
      <c r="C37" s="91"/>
      <c r="D37" s="91"/>
      <c r="E37" s="91"/>
      <c r="F37" s="92"/>
      <c r="G37" s="60" t="s">
        <v>73</v>
      </c>
      <c r="H37" s="61" t="s">
        <v>76</v>
      </c>
      <c r="I37" s="62" t="s">
        <v>64</v>
      </c>
      <c r="J37" s="62" t="s">
        <v>65</v>
      </c>
      <c r="K37" s="90" t="s">
        <v>48</v>
      </c>
      <c r="L37" s="91"/>
      <c r="M37" s="91"/>
      <c r="N37" s="91"/>
      <c r="O37" s="91"/>
      <c r="P37" s="91"/>
      <c r="Q37" s="92"/>
      <c r="R37" s="60" t="s">
        <v>73</v>
      </c>
      <c r="S37" s="61" t="s">
        <v>76</v>
      </c>
      <c r="T37" s="62" t="s">
        <v>64</v>
      </c>
      <c r="U37" s="62" t="s">
        <v>65</v>
      </c>
    </row>
    <row r="38" spans="1:21" ht="18" customHeight="1" x14ac:dyDescent="0.15">
      <c r="B38" s="111" t="s">
        <v>182</v>
      </c>
      <c r="C38" s="112"/>
      <c r="D38" s="112"/>
      <c r="E38" s="112"/>
      <c r="F38" s="113"/>
      <c r="G38" s="63">
        <v>2</v>
      </c>
      <c r="H38" s="63" t="s">
        <v>145</v>
      </c>
      <c r="I38" s="63" t="s">
        <v>145</v>
      </c>
      <c r="J38" s="63" t="s">
        <v>145</v>
      </c>
      <c r="K38" s="111"/>
      <c r="L38" s="112"/>
      <c r="M38" s="112"/>
      <c r="N38" s="112"/>
      <c r="O38" s="112"/>
      <c r="P38" s="112"/>
      <c r="Q38" s="113"/>
      <c r="R38" s="63"/>
      <c r="S38" s="63"/>
      <c r="T38" s="63"/>
      <c r="U38" s="63"/>
    </row>
    <row r="39" spans="1:21" ht="18" customHeight="1" x14ac:dyDescent="0.15">
      <c r="B39" s="105"/>
      <c r="C39" s="106"/>
      <c r="D39" s="106"/>
      <c r="E39" s="106"/>
      <c r="F39" s="107"/>
      <c r="G39" s="64"/>
      <c r="H39" s="64"/>
      <c r="I39" s="64"/>
      <c r="J39" s="64"/>
      <c r="K39" s="105"/>
      <c r="L39" s="106"/>
      <c r="M39" s="106"/>
      <c r="N39" s="106"/>
      <c r="O39" s="106"/>
      <c r="P39" s="106"/>
      <c r="Q39" s="107"/>
      <c r="R39" s="64"/>
      <c r="S39" s="64"/>
      <c r="T39" s="64"/>
      <c r="U39" s="64"/>
    </row>
    <row r="40" spans="1:21" ht="18" customHeight="1" x14ac:dyDescent="0.15">
      <c r="B40" s="105"/>
      <c r="C40" s="106"/>
      <c r="D40" s="106"/>
      <c r="E40" s="106"/>
      <c r="F40" s="107"/>
      <c r="G40" s="64"/>
      <c r="H40" s="64"/>
      <c r="I40" s="64"/>
      <c r="J40" s="64"/>
      <c r="K40" s="105"/>
      <c r="L40" s="106"/>
      <c r="M40" s="106"/>
      <c r="N40" s="106"/>
      <c r="O40" s="106"/>
      <c r="P40" s="106"/>
      <c r="Q40" s="107"/>
      <c r="R40" s="64"/>
      <c r="S40" s="64"/>
      <c r="T40" s="64"/>
      <c r="U40" s="64"/>
    </row>
    <row r="41" spans="1:21" ht="18" customHeight="1" x14ac:dyDescent="0.15">
      <c r="B41" s="105"/>
      <c r="C41" s="106"/>
      <c r="D41" s="106"/>
      <c r="E41" s="106"/>
      <c r="F41" s="107"/>
      <c r="G41" s="64"/>
      <c r="H41" s="64"/>
      <c r="I41" s="64"/>
      <c r="J41" s="64"/>
      <c r="K41" s="105"/>
      <c r="L41" s="106"/>
      <c r="M41" s="106"/>
      <c r="N41" s="106"/>
      <c r="O41" s="106"/>
      <c r="P41" s="106"/>
      <c r="Q41" s="107"/>
      <c r="R41" s="64"/>
      <c r="S41" s="64"/>
      <c r="T41" s="64"/>
      <c r="U41" s="64"/>
    </row>
    <row r="42" spans="1:21" ht="18" customHeight="1" x14ac:dyDescent="0.15">
      <c r="B42" s="105"/>
      <c r="C42" s="106"/>
      <c r="D42" s="106"/>
      <c r="E42" s="106"/>
      <c r="F42" s="107"/>
      <c r="G42" s="64"/>
      <c r="H42" s="64"/>
      <c r="I42" s="64"/>
      <c r="J42" s="64"/>
      <c r="K42" s="105"/>
      <c r="L42" s="106"/>
      <c r="M42" s="106"/>
      <c r="N42" s="106"/>
      <c r="O42" s="106"/>
      <c r="P42" s="106"/>
      <c r="Q42" s="107"/>
      <c r="R42" s="64"/>
      <c r="S42" s="64"/>
      <c r="T42" s="64"/>
      <c r="U42" s="64"/>
    </row>
    <row r="43" spans="1:21" ht="18" customHeight="1" x14ac:dyDescent="0.15">
      <c r="B43" s="105"/>
      <c r="C43" s="106"/>
      <c r="D43" s="106"/>
      <c r="E43" s="106"/>
      <c r="F43" s="107"/>
      <c r="G43" s="64"/>
      <c r="H43" s="64"/>
      <c r="I43" s="64"/>
      <c r="J43" s="64"/>
      <c r="K43" s="105"/>
      <c r="L43" s="106"/>
      <c r="M43" s="106"/>
      <c r="N43" s="106"/>
      <c r="O43" s="106"/>
      <c r="P43" s="106"/>
      <c r="Q43" s="107"/>
      <c r="R43" s="64"/>
      <c r="S43" s="64"/>
      <c r="T43" s="64"/>
      <c r="U43" s="64"/>
    </row>
    <row r="44" spans="1:21" ht="18" customHeight="1" x14ac:dyDescent="0.15">
      <c r="B44" s="108"/>
      <c r="C44" s="109"/>
      <c r="D44" s="109"/>
      <c r="E44" s="109"/>
      <c r="F44" s="110"/>
      <c r="G44" s="65"/>
      <c r="H44" s="65"/>
      <c r="I44" s="66"/>
      <c r="J44" s="66"/>
      <c r="K44" s="108"/>
      <c r="L44" s="109"/>
      <c r="M44" s="109"/>
      <c r="N44" s="109"/>
      <c r="O44" s="109"/>
      <c r="P44" s="109"/>
      <c r="Q44" s="110"/>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4" t="s">
        <v>98</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0" t="s">
        <v>48</v>
      </c>
      <c r="C48" s="91"/>
      <c r="D48" s="91"/>
      <c r="E48" s="91"/>
      <c r="F48" s="92"/>
      <c r="G48" s="60" t="s">
        <v>73</v>
      </c>
      <c r="H48" s="61" t="s">
        <v>76</v>
      </c>
      <c r="I48" s="62" t="s">
        <v>66</v>
      </c>
      <c r="J48" s="62" t="s">
        <v>67</v>
      </c>
      <c r="K48" s="90" t="s">
        <v>48</v>
      </c>
      <c r="L48" s="91"/>
      <c r="M48" s="91"/>
      <c r="N48" s="91"/>
      <c r="O48" s="91"/>
      <c r="P48" s="91"/>
      <c r="Q48" s="92"/>
      <c r="R48" s="60" t="s">
        <v>73</v>
      </c>
      <c r="S48" s="61" t="s">
        <v>76</v>
      </c>
      <c r="T48" s="62" t="s">
        <v>66</v>
      </c>
      <c r="U48" s="62" t="s">
        <v>67</v>
      </c>
    </row>
    <row r="49" spans="1:21" ht="18" customHeight="1" x14ac:dyDescent="0.15">
      <c r="A49" s="3"/>
      <c r="B49" s="111" t="s">
        <v>182</v>
      </c>
      <c r="C49" s="112"/>
      <c r="D49" s="112"/>
      <c r="E49" s="112"/>
      <c r="F49" s="113"/>
      <c r="G49" s="63">
        <v>2</v>
      </c>
      <c r="H49" s="63" t="s">
        <v>145</v>
      </c>
      <c r="I49" s="63" t="s">
        <v>145</v>
      </c>
      <c r="J49" s="63" t="s">
        <v>145</v>
      </c>
      <c r="K49" s="111"/>
      <c r="L49" s="112"/>
      <c r="M49" s="112"/>
      <c r="N49" s="112"/>
      <c r="O49" s="112"/>
      <c r="P49" s="112"/>
      <c r="Q49" s="113"/>
      <c r="R49" s="63"/>
      <c r="S49" s="63"/>
      <c r="T49" s="63"/>
      <c r="U49" s="63"/>
    </row>
    <row r="50" spans="1:21" ht="18" customHeight="1" x14ac:dyDescent="0.15">
      <c r="A50" s="3"/>
      <c r="B50" s="105"/>
      <c r="C50" s="106"/>
      <c r="D50" s="106"/>
      <c r="E50" s="106"/>
      <c r="F50" s="107"/>
      <c r="G50" s="64"/>
      <c r="H50" s="64"/>
      <c r="I50" s="64"/>
      <c r="J50" s="64"/>
      <c r="K50" s="105"/>
      <c r="L50" s="106"/>
      <c r="M50" s="106"/>
      <c r="N50" s="106"/>
      <c r="O50" s="106"/>
      <c r="P50" s="106"/>
      <c r="Q50" s="107"/>
      <c r="R50" s="64"/>
      <c r="S50" s="64"/>
      <c r="T50" s="64"/>
      <c r="U50" s="64"/>
    </row>
    <row r="51" spans="1:21" ht="18" customHeight="1" x14ac:dyDescent="0.15">
      <c r="A51" s="3"/>
      <c r="B51" s="105"/>
      <c r="C51" s="106"/>
      <c r="D51" s="106"/>
      <c r="E51" s="106"/>
      <c r="F51" s="107"/>
      <c r="G51" s="64"/>
      <c r="H51" s="64"/>
      <c r="I51" s="64"/>
      <c r="J51" s="64"/>
      <c r="K51" s="105"/>
      <c r="L51" s="106"/>
      <c r="M51" s="106"/>
      <c r="N51" s="106"/>
      <c r="O51" s="106"/>
      <c r="P51" s="106"/>
      <c r="Q51" s="107"/>
      <c r="R51" s="64"/>
      <c r="S51" s="64"/>
      <c r="T51" s="64"/>
      <c r="U51" s="64"/>
    </row>
    <row r="52" spans="1:21" ht="18" customHeight="1" x14ac:dyDescent="0.15">
      <c r="A52" s="3"/>
      <c r="B52" s="105"/>
      <c r="C52" s="106"/>
      <c r="D52" s="106"/>
      <c r="E52" s="106"/>
      <c r="F52" s="107"/>
      <c r="G52" s="64"/>
      <c r="H52" s="64"/>
      <c r="I52" s="64"/>
      <c r="J52" s="64"/>
      <c r="K52" s="105"/>
      <c r="L52" s="106"/>
      <c r="M52" s="106"/>
      <c r="N52" s="106"/>
      <c r="O52" s="106"/>
      <c r="P52" s="106"/>
      <c r="Q52" s="107"/>
      <c r="R52" s="64"/>
      <c r="S52" s="64"/>
      <c r="T52" s="64"/>
      <c r="U52" s="64"/>
    </row>
    <row r="53" spans="1:21" ht="18" customHeight="1" x14ac:dyDescent="0.15">
      <c r="A53" s="3"/>
      <c r="B53" s="105"/>
      <c r="C53" s="106"/>
      <c r="D53" s="106"/>
      <c r="E53" s="106"/>
      <c r="F53" s="107"/>
      <c r="G53" s="64"/>
      <c r="H53" s="64"/>
      <c r="I53" s="64"/>
      <c r="J53" s="64"/>
      <c r="K53" s="105"/>
      <c r="L53" s="106"/>
      <c r="M53" s="106"/>
      <c r="N53" s="106"/>
      <c r="O53" s="106"/>
      <c r="P53" s="106"/>
      <c r="Q53" s="107"/>
      <c r="R53" s="64"/>
      <c r="S53" s="64"/>
      <c r="T53" s="64"/>
      <c r="U53" s="64"/>
    </row>
    <row r="54" spans="1:21" ht="18" customHeight="1" x14ac:dyDescent="0.15">
      <c r="A54" s="3"/>
      <c r="B54" s="105"/>
      <c r="C54" s="106"/>
      <c r="D54" s="106"/>
      <c r="E54" s="106"/>
      <c r="F54" s="107"/>
      <c r="G54" s="64"/>
      <c r="H54" s="64"/>
      <c r="I54" s="64"/>
      <c r="J54" s="64"/>
      <c r="K54" s="105"/>
      <c r="L54" s="106"/>
      <c r="M54" s="106"/>
      <c r="N54" s="106"/>
      <c r="O54" s="106"/>
      <c r="P54" s="106"/>
      <c r="Q54" s="107"/>
      <c r="R54" s="64"/>
      <c r="S54" s="64"/>
      <c r="T54" s="64"/>
      <c r="U54" s="64"/>
    </row>
    <row r="55" spans="1:21" ht="18" customHeight="1" x14ac:dyDescent="0.15">
      <c r="A55" s="3"/>
      <c r="B55" s="108"/>
      <c r="C55" s="109"/>
      <c r="D55" s="109"/>
      <c r="E55" s="109"/>
      <c r="F55" s="110"/>
      <c r="G55" s="65"/>
      <c r="H55" s="65"/>
      <c r="I55" s="66"/>
      <c r="J55" s="66"/>
      <c r="K55" s="108"/>
      <c r="L55" s="109"/>
      <c r="M55" s="109"/>
      <c r="N55" s="109"/>
      <c r="O55" s="109"/>
      <c r="P55" s="109"/>
      <c r="Q55" s="110"/>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4" t="s">
        <v>99</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0" t="s">
        <v>48</v>
      </c>
      <c r="C59" s="91"/>
      <c r="D59" s="91"/>
      <c r="E59" s="91"/>
      <c r="F59" s="92"/>
      <c r="G59" s="60" t="s">
        <v>73</v>
      </c>
      <c r="H59" s="61" t="s">
        <v>76</v>
      </c>
      <c r="I59" s="62" t="s">
        <v>53</v>
      </c>
      <c r="J59" s="62" t="s">
        <v>55</v>
      </c>
      <c r="K59" s="90" t="s">
        <v>48</v>
      </c>
      <c r="L59" s="91"/>
      <c r="M59" s="91"/>
      <c r="N59" s="91"/>
      <c r="O59" s="91"/>
      <c r="P59" s="91"/>
      <c r="Q59" s="92"/>
      <c r="R59" s="60" t="s">
        <v>73</v>
      </c>
      <c r="S59" s="61" t="s">
        <v>76</v>
      </c>
      <c r="T59" s="62" t="s">
        <v>53</v>
      </c>
      <c r="U59" s="62" t="s">
        <v>55</v>
      </c>
    </row>
    <row r="60" spans="1:21" ht="18" customHeight="1" x14ac:dyDescent="0.15">
      <c r="A60" s="3"/>
      <c r="B60" s="111" t="s">
        <v>182</v>
      </c>
      <c r="C60" s="112"/>
      <c r="D60" s="112"/>
      <c r="E60" s="112"/>
      <c r="F60" s="113"/>
      <c r="G60" s="63">
        <v>2</v>
      </c>
      <c r="H60" s="63" t="s">
        <v>145</v>
      </c>
      <c r="I60" s="63" t="s">
        <v>145</v>
      </c>
      <c r="J60" s="63" t="s">
        <v>145</v>
      </c>
      <c r="K60" s="111"/>
      <c r="L60" s="112"/>
      <c r="M60" s="112"/>
      <c r="N60" s="112"/>
      <c r="O60" s="112"/>
      <c r="P60" s="112"/>
      <c r="Q60" s="113"/>
      <c r="R60" s="63"/>
      <c r="S60" s="63"/>
      <c r="T60" s="63"/>
      <c r="U60" s="63"/>
    </row>
    <row r="61" spans="1:21" ht="18" customHeight="1" x14ac:dyDescent="0.15">
      <c r="A61" s="3"/>
      <c r="B61" s="105"/>
      <c r="C61" s="106"/>
      <c r="D61" s="106"/>
      <c r="E61" s="106"/>
      <c r="F61" s="107"/>
      <c r="G61" s="64"/>
      <c r="H61" s="64"/>
      <c r="I61" s="64"/>
      <c r="J61" s="64"/>
      <c r="K61" s="105"/>
      <c r="L61" s="106"/>
      <c r="M61" s="106"/>
      <c r="N61" s="106"/>
      <c r="O61" s="106"/>
      <c r="P61" s="106"/>
      <c r="Q61" s="107"/>
      <c r="R61" s="64"/>
      <c r="S61" s="64"/>
      <c r="T61" s="64"/>
      <c r="U61" s="64"/>
    </row>
    <row r="62" spans="1:21" ht="18" customHeight="1" x14ac:dyDescent="0.15">
      <c r="A62" s="3"/>
      <c r="B62" s="105"/>
      <c r="C62" s="106"/>
      <c r="D62" s="106"/>
      <c r="E62" s="106"/>
      <c r="F62" s="107"/>
      <c r="G62" s="64"/>
      <c r="H62" s="64"/>
      <c r="I62" s="64"/>
      <c r="J62" s="64"/>
      <c r="K62" s="105"/>
      <c r="L62" s="106"/>
      <c r="M62" s="106"/>
      <c r="N62" s="106"/>
      <c r="O62" s="106"/>
      <c r="P62" s="106"/>
      <c r="Q62" s="107"/>
      <c r="R62" s="64"/>
      <c r="S62" s="64"/>
      <c r="T62" s="64"/>
      <c r="U62" s="64"/>
    </row>
    <row r="63" spans="1:21" ht="18" customHeight="1" x14ac:dyDescent="0.15">
      <c r="A63" s="3"/>
      <c r="B63" s="105"/>
      <c r="C63" s="106"/>
      <c r="D63" s="106"/>
      <c r="E63" s="106"/>
      <c r="F63" s="107"/>
      <c r="G63" s="64"/>
      <c r="H63" s="64"/>
      <c r="I63" s="64"/>
      <c r="J63" s="64"/>
      <c r="K63" s="105"/>
      <c r="L63" s="106"/>
      <c r="M63" s="106"/>
      <c r="N63" s="106"/>
      <c r="O63" s="106"/>
      <c r="P63" s="106"/>
      <c r="Q63" s="107"/>
      <c r="R63" s="64"/>
      <c r="S63" s="64"/>
      <c r="T63" s="64"/>
      <c r="U63" s="64"/>
    </row>
    <row r="64" spans="1:21" ht="18" customHeight="1" x14ac:dyDescent="0.15">
      <c r="A64" s="3"/>
      <c r="B64" s="105"/>
      <c r="C64" s="106"/>
      <c r="D64" s="106"/>
      <c r="E64" s="106"/>
      <c r="F64" s="107"/>
      <c r="G64" s="64"/>
      <c r="H64" s="64"/>
      <c r="I64" s="64"/>
      <c r="J64" s="64"/>
      <c r="K64" s="105"/>
      <c r="L64" s="106"/>
      <c r="M64" s="106"/>
      <c r="N64" s="106"/>
      <c r="O64" s="106"/>
      <c r="P64" s="106"/>
      <c r="Q64" s="107"/>
      <c r="R64" s="64"/>
      <c r="S64" s="64"/>
      <c r="T64" s="64"/>
      <c r="U64" s="64"/>
    </row>
    <row r="65" spans="1:27" ht="18" customHeight="1" x14ac:dyDescent="0.15">
      <c r="A65" s="3"/>
      <c r="B65" s="105"/>
      <c r="C65" s="106"/>
      <c r="D65" s="106"/>
      <c r="E65" s="106"/>
      <c r="F65" s="107"/>
      <c r="G65" s="64"/>
      <c r="H65" s="64"/>
      <c r="I65" s="64"/>
      <c r="J65" s="64"/>
      <c r="K65" s="105"/>
      <c r="L65" s="106"/>
      <c r="M65" s="106"/>
      <c r="N65" s="106"/>
      <c r="O65" s="106"/>
      <c r="P65" s="106"/>
      <c r="Q65" s="107"/>
      <c r="R65" s="64"/>
      <c r="S65" s="64"/>
      <c r="T65" s="64"/>
      <c r="U65" s="64"/>
    </row>
    <row r="66" spans="1:27" ht="18" customHeight="1" x14ac:dyDescent="0.15">
      <c r="A66" s="3"/>
      <c r="B66" s="108"/>
      <c r="C66" s="109"/>
      <c r="D66" s="109"/>
      <c r="E66" s="109"/>
      <c r="F66" s="110"/>
      <c r="G66" s="65"/>
      <c r="H66" s="65"/>
      <c r="I66" s="66"/>
      <c r="J66" s="66"/>
      <c r="K66" s="108"/>
      <c r="L66" s="109"/>
      <c r="M66" s="109"/>
      <c r="N66" s="109"/>
      <c r="O66" s="109"/>
      <c r="P66" s="109"/>
      <c r="Q66" s="110"/>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4" t="s">
        <v>100</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x14ac:dyDescent="0.15">
      <c r="B70" s="90" t="s">
        <v>48</v>
      </c>
      <c r="C70" s="91"/>
      <c r="D70" s="91"/>
      <c r="E70" s="91"/>
      <c r="F70" s="60" t="s">
        <v>73</v>
      </c>
      <c r="G70" s="61" t="s">
        <v>76</v>
      </c>
      <c r="H70" s="62" t="s">
        <v>87</v>
      </c>
      <c r="I70" s="62" t="s">
        <v>68</v>
      </c>
      <c r="J70" s="62" t="s">
        <v>69</v>
      </c>
      <c r="K70" s="90" t="s">
        <v>48</v>
      </c>
      <c r="L70" s="91"/>
      <c r="M70" s="91"/>
      <c r="N70" s="91"/>
      <c r="O70" s="91"/>
      <c r="P70" s="92"/>
      <c r="Q70" s="60" t="s">
        <v>73</v>
      </c>
      <c r="R70" s="61" t="s">
        <v>76</v>
      </c>
      <c r="S70" s="62" t="s">
        <v>87</v>
      </c>
      <c r="T70" s="62" t="s">
        <v>68</v>
      </c>
      <c r="U70" s="62" t="s">
        <v>69</v>
      </c>
    </row>
    <row r="71" spans="1:27" ht="18" customHeight="1" x14ac:dyDescent="0.15">
      <c r="A71" s="3"/>
      <c r="B71" s="111" t="s">
        <v>181</v>
      </c>
      <c r="C71" s="112"/>
      <c r="D71" s="112"/>
      <c r="E71" s="112"/>
      <c r="F71" s="63">
        <v>2</v>
      </c>
      <c r="G71" s="63" t="s">
        <v>145</v>
      </c>
      <c r="H71" s="63" t="s">
        <v>145</v>
      </c>
      <c r="I71" s="63" t="s">
        <v>145</v>
      </c>
      <c r="J71" s="63" t="s">
        <v>145</v>
      </c>
      <c r="K71" s="111"/>
      <c r="L71" s="112"/>
      <c r="M71" s="112"/>
      <c r="N71" s="112"/>
      <c r="O71" s="112"/>
      <c r="P71" s="113"/>
      <c r="Q71" s="63"/>
      <c r="R71" s="63"/>
      <c r="S71" s="63"/>
      <c r="T71" s="63"/>
      <c r="U71" s="63"/>
    </row>
    <row r="72" spans="1:27" ht="18" customHeight="1" x14ac:dyDescent="0.15">
      <c r="A72" s="3"/>
      <c r="B72" s="105"/>
      <c r="C72" s="106"/>
      <c r="D72" s="106"/>
      <c r="E72" s="106"/>
      <c r="F72" s="64"/>
      <c r="G72" s="64"/>
      <c r="H72" s="64"/>
      <c r="I72" s="64"/>
      <c r="J72" s="64"/>
      <c r="K72" s="105"/>
      <c r="L72" s="106"/>
      <c r="M72" s="106"/>
      <c r="N72" s="106"/>
      <c r="O72" s="106"/>
      <c r="P72" s="107"/>
      <c r="Q72" s="64"/>
      <c r="R72" s="64"/>
      <c r="S72" s="64"/>
      <c r="T72" s="64"/>
      <c r="U72" s="64"/>
    </row>
    <row r="73" spans="1:27" ht="18" customHeight="1" x14ac:dyDescent="0.15">
      <c r="A73" s="3"/>
      <c r="B73" s="105"/>
      <c r="C73" s="106"/>
      <c r="D73" s="106"/>
      <c r="E73" s="106"/>
      <c r="F73" s="64"/>
      <c r="G73" s="64"/>
      <c r="H73" s="64"/>
      <c r="I73" s="64"/>
      <c r="J73" s="64"/>
      <c r="K73" s="105"/>
      <c r="L73" s="106"/>
      <c r="M73" s="106"/>
      <c r="N73" s="106"/>
      <c r="O73" s="106"/>
      <c r="P73" s="107"/>
      <c r="Q73" s="64"/>
      <c r="R73" s="64"/>
      <c r="S73" s="64"/>
      <c r="T73" s="64"/>
      <c r="U73" s="64"/>
    </row>
    <row r="74" spans="1:27" ht="18" customHeight="1" x14ac:dyDescent="0.15">
      <c r="A74" s="3"/>
      <c r="B74" s="105"/>
      <c r="C74" s="106"/>
      <c r="D74" s="106"/>
      <c r="E74" s="106"/>
      <c r="F74" s="64"/>
      <c r="G74" s="64"/>
      <c r="H74" s="64"/>
      <c r="I74" s="64"/>
      <c r="J74" s="64"/>
      <c r="K74" s="105"/>
      <c r="L74" s="106"/>
      <c r="M74" s="106"/>
      <c r="N74" s="106"/>
      <c r="O74" s="106"/>
      <c r="P74" s="107"/>
      <c r="Q74" s="64"/>
      <c r="R74" s="64"/>
      <c r="S74" s="64"/>
      <c r="T74" s="64"/>
      <c r="U74" s="64"/>
    </row>
    <row r="75" spans="1:27" ht="18" customHeight="1" x14ac:dyDescent="0.15">
      <c r="A75" s="3"/>
      <c r="B75" s="105"/>
      <c r="C75" s="106"/>
      <c r="D75" s="106"/>
      <c r="E75" s="106"/>
      <c r="F75" s="64"/>
      <c r="G75" s="64"/>
      <c r="H75" s="64"/>
      <c r="I75" s="64"/>
      <c r="J75" s="64"/>
      <c r="K75" s="105"/>
      <c r="L75" s="106"/>
      <c r="M75" s="106"/>
      <c r="N75" s="106"/>
      <c r="O75" s="106"/>
      <c r="P75" s="107"/>
      <c r="Q75" s="64"/>
      <c r="R75" s="64"/>
      <c r="S75" s="64"/>
      <c r="T75" s="64"/>
      <c r="U75" s="64"/>
    </row>
    <row r="76" spans="1:27" ht="18" customHeight="1" x14ac:dyDescent="0.15">
      <c r="A76" s="3"/>
      <c r="B76" s="105"/>
      <c r="C76" s="106"/>
      <c r="D76" s="106"/>
      <c r="E76" s="106"/>
      <c r="F76" s="64"/>
      <c r="G76" s="64"/>
      <c r="H76" s="64"/>
      <c r="I76" s="64"/>
      <c r="J76" s="64"/>
      <c r="K76" s="105"/>
      <c r="L76" s="106"/>
      <c r="M76" s="106"/>
      <c r="N76" s="106"/>
      <c r="O76" s="106"/>
      <c r="P76" s="107"/>
      <c r="Q76" s="64"/>
      <c r="R76" s="64"/>
      <c r="S76" s="64"/>
      <c r="T76" s="64"/>
      <c r="U76" s="64"/>
    </row>
    <row r="77" spans="1:27" ht="18" customHeight="1" x14ac:dyDescent="0.15">
      <c r="A77" s="3"/>
      <c r="B77" s="108"/>
      <c r="C77" s="109"/>
      <c r="D77" s="109"/>
      <c r="E77" s="109"/>
      <c r="F77" s="65"/>
      <c r="G77" s="65"/>
      <c r="H77" s="66"/>
      <c r="I77" s="66"/>
      <c r="J77" s="66"/>
      <c r="K77" s="108"/>
      <c r="L77" s="109"/>
      <c r="M77" s="109"/>
      <c r="N77" s="109"/>
      <c r="O77" s="109"/>
      <c r="P77" s="110"/>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0" t="s">
        <v>48</v>
      </c>
      <c r="C80" s="91"/>
      <c r="D80" s="91"/>
      <c r="E80" s="91"/>
      <c r="F80" s="92"/>
      <c r="G80" s="90" t="s">
        <v>74</v>
      </c>
      <c r="H80" s="91"/>
      <c r="I80" s="91"/>
      <c r="J80" s="92"/>
      <c r="K80" s="146" t="s">
        <v>48</v>
      </c>
      <c r="L80" s="147"/>
      <c r="M80" s="147"/>
      <c r="N80" s="147"/>
      <c r="O80" s="147"/>
      <c r="P80" s="147"/>
      <c r="Q80" s="148"/>
      <c r="R80" s="90" t="s">
        <v>74</v>
      </c>
      <c r="S80" s="91"/>
      <c r="T80" s="91"/>
      <c r="U80" s="92"/>
      <c r="AA80" s="1" t="s">
        <v>138</v>
      </c>
    </row>
    <row r="81" spans="1:27" ht="18" customHeight="1" x14ac:dyDescent="0.15">
      <c r="A81" s="3"/>
      <c r="B81" s="111" t="s">
        <v>151</v>
      </c>
      <c r="C81" s="112"/>
      <c r="D81" s="112"/>
      <c r="E81" s="112"/>
      <c r="F81" s="113"/>
      <c r="G81" s="149"/>
      <c r="H81" s="150"/>
      <c r="I81" s="150"/>
      <c r="J81" s="151"/>
      <c r="K81" s="111"/>
      <c r="L81" s="112"/>
      <c r="M81" s="112"/>
      <c r="N81" s="112"/>
      <c r="O81" s="112"/>
      <c r="P81" s="112"/>
      <c r="Q81" s="113"/>
      <c r="R81" s="149"/>
      <c r="S81" s="150"/>
      <c r="T81" s="150"/>
      <c r="U81" s="151"/>
      <c r="AA81" s="1" t="s">
        <v>131</v>
      </c>
    </row>
    <row r="82" spans="1:27" ht="18" customHeight="1" x14ac:dyDescent="0.15">
      <c r="A82" s="3"/>
      <c r="B82" s="105"/>
      <c r="C82" s="106"/>
      <c r="D82" s="106"/>
      <c r="E82" s="106"/>
      <c r="F82" s="107"/>
      <c r="G82" s="141"/>
      <c r="H82" s="142"/>
      <c r="I82" s="142"/>
      <c r="J82" s="143"/>
      <c r="K82" s="105"/>
      <c r="L82" s="106"/>
      <c r="M82" s="106"/>
      <c r="N82" s="106"/>
      <c r="O82" s="106"/>
      <c r="P82" s="106"/>
      <c r="Q82" s="107"/>
      <c r="R82" s="141"/>
      <c r="S82" s="142"/>
      <c r="T82" s="142"/>
      <c r="U82" s="143"/>
      <c r="AA82" s="1" t="s">
        <v>132</v>
      </c>
    </row>
    <row r="83" spans="1:27" ht="18" customHeight="1" x14ac:dyDescent="0.15">
      <c r="A83" s="3"/>
      <c r="B83" s="105"/>
      <c r="C83" s="106"/>
      <c r="D83" s="106"/>
      <c r="E83" s="106"/>
      <c r="F83" s="107"/>
      <c r="G83" s="141"/>
      <c r="H83" s="142"/>
      <c r="I83" s="142"/>
      <c r="J83" s="143"/>
      <c r="K83" s="105"/>
      <c r="L83" s="106"/>
      <c r="M83" s="106"/>
      <c r="N83" s="106"/>
      <c r="O83" s="106"/>
      <c r="P83" s="106"/>
      <c r="Q83" s="107"/>
      <c r="R83" s="141"/>
      <c r="S83" s="142"/>
      <c r="T83" s="142"/>
      <c r="U83" s="143"/>
      <c r="AA83" s="1" t="s">
        <v>133</v>
      </c>
    </row>
    <row r="84" spans="1:27" ht="18" customHeight="1" x14ac:dyDescent="0.15">
      <c r="A84" s="3"/>
      <c r="B84" s="105"/>
      <c r="C84" s="106"/>
      <c r="D84" s="106"/>
      <c r="E84" s="106"/>
      <c r="F84" s="107"/>
      <c r="G84" s="141"/>
      <c r="H84" s="142"/>
      <c r="I84" s="142"/>
      <c r="J84" s="143"/>
      <c r="K84" s="105"/>
      <c r="L84" s="106"/>
      <c r="M84" s="106"/>
      <c r="N84" s="106"/>
      <c r="O84" s="106"/>
      <c r="P84" s="106"/>
      <c r="Q84" s="107"/>
      <c r="R84" s="141"/>
      <c r="S84" s="142"/>
      <c r="T84" s="142"/>
      <c r="U84" s="143"/>
      <c r="AA84" s="1" t="s">
        <v>139</v>
      </c>
    </row>
    <row r="85" spans="1:27" ht="18" customHeight="1" x14ac:dyDescent="0.15">
      <c r="A85" s="3"/>
      <c r="B85" s="105"/>
      <c r="C85" s="106"/>
      <c r="D85" s="106"/>
      <c r="E85" s="106"/>
      <c r="F85" s="107"/>
      <c r="G85" s="141"/>
      <c r="H85" s="142"/>
      <c r="I85" s="142"/>
      <c r="J85" s="143"/>
      <c r="K85" s="105"/>
      <c r="L85" s="106"/>
      <c r="M85" s="106"/>
      <c r="N85" s="106"/>
      <c r="O85" s="106"/>
      <c r="P85" s="106"/>
      <c r="Q85" s="107"/>
      <c r="R85" s="141"/>
      <c r="S85" s="142"/>
      <c r="T85" s="142"/>
      <c r="U85" s="143"/>
      <c r="AA85" s="1" t="s">
        <v>140</v>
      </c>
    </row>
    <row r="86" spans="1:27" ht="18" customHeight="1" x14ac:dyDescent="0.15">
      <c r="A86" s="3"/>
      <c r="B86" s="105"/>
      <c r="C86" s="106"/>
      <c r="D86" s="106"/>
      <c r="E86" s="106"/>
      <c r="F86" s="107"/>
      <c r="G86" s="141"/>
      <c r="H86" s="142"/>
      <c r="I86" s="142"/>
      <c r="J86" s="143"/>
      <c r="K86" s="105"/>
      <c r="L86" s="106"/>
      <c r="M86" s="106"/>
      <c r="N86" s="106"/>
      <c r="O86" s="106"/>
      <c r="P86" s="106"/>
      <c r="Q86" s="107"/>
      <c r="R86" s="141"/>
      <c r="S86" s="142"/>
      <c r="T86" s="142"/>
      <c r="U86" s="143"/>
      <c r="AA86" s="1" t="s">
        <v>134</v>
      </c>
    </row>
    <row r="87" spans="1:27" ht="18" customHeight="1" x14ac:dyDescent="0.15">
      <c r="A87" s="3"/>
      <c r="B87" s="108"/>
      <c r="C87" s="109"/>
      <c r="D87" s="109"/>
      <c r="E87" s="109"/>
      <c r="F87" s="110"/>
      <c r="G87" s="138"/>
      <c r="H87" s="139"/>
      <c r="I87" s="139"/>
      <c r="J87" s="140"/>
      <c r="K87" s="108"/>
      <c r="L87" s="109"/>
      <c r="M87" s="109"/>
      <c r="N87" s="109"/>
      <c r="O87" s="109"/>
      <c r="P87" s="109"/>
      <c r="Q87" s="110"/>
      <c r="R87" s="138"/>
      <c r="S87" s="139"/>
      <c r="T87" s="139"/>
      <c r="U87" s="140"/>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44" t="s">
        <v>49</v>
      </c>
      <c r="C90" s="145"/>
      <c r="D90" s="90" t="s">
        <v>50</v>
      </c>
      <c r="E90" s="91"/>
      <c r="F90" s="91"/>
      <c r="G90" s="91"/>
      <c r="H90" s="91"/>
      <c r="I90" s="91"/>
      <c r="J90" s="91"/>
      <c r="K90" s="91"/>
      <c r="L90" s="91"/>
      <c r="M90" s="91"/>
      <c r="N90" s="91"/>
      <c r="O90" s="91"/>
      <c r="P90" s="91"/>
      <c r="Q90" s="91"/>
      <c r="R90" s="91"/>
      <c r="S90" s="91"/>
      <c r="T90" s="91"/>
      <c r="U90" s="92"/>
    </row>
    <row r="91" spans="1:27" ht="97.5" customHeight="1" x14ac:dyDescent="0.15">
      <c r="B91" s="118" t="s">
        <v>56</v>
      </c>
      <c r="C91" s="68" t="s">
        <v>51</v>
      </c>
      <c r="D91" s="93" t="s">
        <v>152</v>
      </c>
      <c r="E91" s="94"/>
      <c r="F91" s="94"/>
      <c r="G91" s="94"/>
      <c r="H91" s="94"/>
      <c r="I91" s="94"/>
      <c r="J91" s="94"/>
      <c r="K91" s="94"/>
      <c r="L91" s="94"/>
      <c r="M91" s="94"/>
      <c r="N91" s="94"/>
      <c r="O91" s="94"/>
      <c r="P91" s="94"/>
      <c r="Q91" s="94"/>
      <c r="R91" s="94"/>
      <c r="S91" s="94"/>
      <c r="T91" s="94"/>
      <c r="U91" s="95"/>
    </row>
    <row r="92" spans="1:27" ht="97.5" customHeight="1" x14ac:dyDescent="0.15">
      <c r="B92" s="120"/>
      <c r="C92" s="69" t="s">
        <v>70</v>
      </c>
      <c r="D92" s="96" t="s">
        <v>149</v>
      </c>
      <c r="E92" s="97"/>
      <c r="F92" s="97"/>
      <c r="G92" s="97"/>
      <c r="H92" s="97"/>
      <c r="I92" s="97"/>
      <c r="J92" s="97"/>
      <c r="K92" s="97"/>
      <c r="L92" s="97"/>
      <c r="M92" s="97"/>
      <c r="N92" s="97"/>
      <c r="O92" s="97"/>
      <c r="P92" s="97"/>
      <c r="Q92" s="97"/>
      <c r="R92" s="97"/>
      <c r="S92" s="97"/>
      <c r="T92" s="97"/>
      <c r="U92" s="98"/>
    </row>
    <row r="93" spans="1:27" ht="97.5" customHeight="1" x14ac:dyDescent="0.15">
      <c r="B93" s="118" t="s">
        <v>57</v>
      </c>
      <c r="C93" s="70" t="s">
        <v>64</v>
      </c>
      <c r="D93" s="93" t="s">
        <v>153</v>
      </c>
      <c r="E93" s="94"/>
      <c r="F93" s="94"/>
      <c r="G93" s="94"/>
      <c r="H93" s="94"/>
      <c r="I93" s="94"/>
      <c r="J93" s="94"/>
      <c r="K93" s="94"/>
      <c r="L93" s="94"/>
      <c r="M93" s="94"/>
      <c r="N93" s="94"/>
      <c r="O93" s="94"/>
      <c r="P93" s="94"/>
      <c r="Q93" s="94"/>
      <c r="R93" s="94"/>
      <c r="S93" s="94"/>
      <c r="T93" s="94"/>
      <c r="U93" s="95"/>
    </row>
    <row r="94" spans="1:27" ht="97.5" customHeight="1" x14ac:dyDescent="0.15">
      <c r="B94" s="119"/>
      <c r="C94" s="71" t="s">
        <v>65</v>
      </c>
      <c r="D94" s="96" t="s">
        <v>150</v>
      </c>
      <c r="E94" s="97"/>
      <c r="F94" s="97"/>
      <c r="G94" s="97"/>
      <c r="H94" s="97"/>
      <c r="I94" s="97"/>
      <c r="J94" s="97"/>
      <c r="K94" s="97"/>
      <c r="L94" s="97"/>
      <c r="M94" s="97"/>
      <c r="N94" s="97"/>
      <c r="O94" s="97"/>
      <c r="P94" s="97"/>
      <c r="Q94" s="97"/>
      <c r="R94" s="97"/>
      <c r="S94" s="97"/>
      <c r="T94" s="97"/>
      <c r="U94" s="98"/>
    </row>
    <row r="95" spans="1:27" ht="97.5" customHeight="1" x14ac:dyDescent="0.15">
      <c r="B95" s="118" t="s">
        <v>58</v>
      </c>
      <c r="C95" s="70" t="s">
        <v>66</v>
      </c>
      <c r="D95" s="93" t="s">
        <v>154</v>
      </c>
      <c r="E95" s="94"/>
      <c r="F95" s="94"/>
      <c r="G95" s="94"/>
      <c r="H95" s="94"/>
      <c r="I95" s="94"/>
      <c r="J95" s="94"/>
      <c r="K95" s="94"/>
      <c r="L95" s="94"/>
      <c r="M95" s="94"/>
      <c r="N95" s="94"/>
      <c r="O95" s="94"/>
      <c r="P95" s="94"/>
      <c r="Q95" s="94"/>
      <c r="R95" s="94"/>
      <c r="S95" s="94"/>
      <c r="T95" s="94"/>
      <c r="U95" s="95"/>
    </row>
    <row r="96" spans="1:27" ht="97.5" customHeight="1" x14ac:dyDescent="0.15">
      <c r="B96" s="119"/>
      <c r="C96" s="72" t="s">
        <v>67</v>
      </c>
      <c r="D96" s="96" t="s">
        <v>155</v>
      </c>
      <c r="E96" s="97"/>
      <c r="F96" s="97"/>
      <c r="G96" s="97"/>
      <c r="H96" s="97"/>
      <c r="I96" s="97"/>
      <c r="J96" s="97"/>
      <c r="K96" s="97"/>
      <c r="L96" s="97"/>
      <c r="M96" s="97"/>
      <c r="N96" s="97"/>
      <c r="O96" s="97"/>
      <c r="P96" s="97"/>
      <c r="Q96" s="97"/>
      <c r="R96" s="97"/>
      <c r="S96" s="97"/>
      <c r="T96" s="97"/>
      <c r="U96" s="98"/>
    </row>
    <row r="97" spans="1:21" ht="97.5" customHeight="1" x14ac:dyDescent="0.15">
      <c r="B97" s="118" t="s">
        <v>71</v>
      </c>
      <c r="C97" s="68" t="s">
        <v>53</v>
      </c>
      <c r="D97" s="93" t="s">
        <v>148</v>
      </c>
      <c r="E97" s="94"/>
      <c r="F97" s="94"/>
      <c r="G97" s="94"/>
      <c r="H97" s="94"/>
      <c r="I97" s="94"/>
      <c r="J97" s="94"/>
      <c r="K97" s="94"/>
      <c r="L97" s="94"/>
      <c r="M97" s="94"/>
      <c r="N97" s="94"/>
      <c r="O97" s="94"/>
      <c r="P97" s="94"/>
      <c r="Q97" s="94"/>
      <c r="R97" s="94"/>
      <c r="S97" s="94"/>
      <c r="T97" s="94"/>
      <c r="U97" s="95"/>
    </row>
    <row r="98" spans="1:21" ht="97.5" customHeight="1" x14ac:dyDescent="0.15">
      <c r="B98" s="119"/>
      <c r="C98" s="71" t="s">
        <v>55</v>
      </c>
      <c r="D98" s="96" t="s">
        <v>147</v>
      </c>
      <c r="E98" s="97"/>
      <c r="F98" s="97"/>
      <c r="G98" s="97"/>
      <c r="H98" s="97"/>
      <c r="I98" s="97"/>
      <c r="J98" s="97"/>
      <c r="K98" s="97"/>
      <c r="L98" s="97"/>
      <c r="M98" s="97"/>
      <c r="N98" s="97"/>
      <c r="O98" s="97"/>
      <c r="P98" s="97"/>
      <c r="Q98" s="97"/>
      <c r="R98" s="97"/>
      <c r="S98" s="97"/>
      <c r="T98" s="97"/>
      <c r="U98" s="98"/>
    </row>
    <row r="99" spans="1:21" ht="97.5" customHeight="1" x14ac:dyDescent="0.15">
      <c r="B99" s="118" t="s">
        <v>72</v>
      </c>
      <c r="C99" s="70" t="s">
        <v>52</v>
      </c>
      <c r="D99" s="93" t="s">
        <v>146</v>
      </c>
      <c r="E99" s="94"/>
      <c r="F99" s="94"/>
      <c r="G99" s="94"/>
      <c r="H99" s="94"/>
      <c r="I99" s="94"/>
      <c r="J99" s="94"/>
      <c r="K99" s="94"/>
      <c r="L99" s="94"/>
      <c r="M99" s="94"/>
      <c r="N99" s="94"/>
      <c r="O99" s="94"/>
      <c r="P99" s="94"/>
      <c r="Q99" s="94"/>
      <c r="R99" s="94"/>
      <c r="S99" s="94"/>
      <c r="T99" s="94"/>
      <c r="U99" s="95"/>
    </row>
    <row r="100" spans="1:21" ht="97.5" customHeight="1" x14ac:dyDescent="0.15">
      <c r="B100" s="120"/>
      <c r="C100" s="73" t="s">
        <v>68</v>
      </c>
      <c r="D100" s="115" t="s">
        <v>156</v>
      </c>
      <c r="E100" s="116"/>
      <c r="F100" s="116"/>
      <c r="G100" s="116"/>
      <c r="H100" s="116"/>
      <c r="I100" s="116"/>
      <c r="J100" s="116"/>
      <c r="K100" s="116"/>
      <c r="L100" s="116"/>
      <c r="M100" s="116"/>
      <c r="N100" s="116"/>
      <c r="O100" s="116"/>
      <c r="P100" s="116"/>
      <c r="Q100" s="116"/>
      <c r="R100" s="116"/>
      <c r="S100" s="116"/>
      <c r="T100" s="116"/>
      <c r="U100" s="117"/>
    </row>
    <row r="101" spans="1:21" ht="97.5" customHeight="1" x14ac:dyDescent="0.15">
      <c r="B101" s="119"/>
      <c r="C101" s="72" t="s">
        <v>69</v>
      </c>
      <c r="D101" s="96" t="s">
        <v>157</v>
      </c>
      <c r="E101" s="97"/>
      <c r="F101" s="97"/>
      <c r="G101" s="97"/>
      <c r="H101" s="97"/>
      <c r="I101" s="97"/>
      <c r="J101" s="97"/>
      <c r="K101" s="97"/>
      <c r="L101" s="97"/>
      <c r="M101" s="97"/>
      <c r="N101" s="97"/>
      <c r="O101" s="97"/>
      <c r="P101" s="97"/>
      <c r="Q101" s="97"/>
      <c r="R101" s="97"/>
      <c r="S101" s="97"/>
      <c r="T101" s="97"/>
      <c r="U101" s="98"/>
    </row>
    <row r="102" spans="1:21" ht="6" customHeight="1" x14ac:dyDescent="0.15"/>
    <row r="103" spans="1:21" ht="18.75" customHeight="1" x14ac:dyDescent="0.15">
      <c r="A103" s="1" t="s">
        <v>103</v>
      </c>
    </row>
    <row r="104" spans="1:21" ht="81.75" customHeight="1" x14ac:dyDescent="0.15">
      <c r="B104" s="135" t="s">
        <v>158</v>
      </c>
      <c r="C104" s="136"/>
      <c r="D104" s="136"/>
      <c r="E104" s="136"/>
      <c r="F104" s="136"/>
      <c r="G104" s="136"/>
      <c r="H104" s="136"/>
      <c r="I104" s="136"/>
      <c r="J104" s="136"/>
      <c r="K104" s="136"/>
      <c r="L104" s="136"/>
      <c r="M104" s="136"/>
      <c r="N104" s="136"/>
      <c r="O104" s="136"/>
      <c r="P104" s="136"/>
      <c r="Q104" s="136"/>
      <c r="R104" s="136"/>
      <c r="S104" s="136"/>
      <c r="T104" s="136"/>
      <c r="U104" s="137"/>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8146-4C42-49FD-ABA0-11C3EC71D7CB}">
  <sheetPr>
    <pageSetUpPr fitToPage="1"/>
  </sheetPr>
  <dimension ref="A1:U33"/>
  <sheetViews>
    <sheetView view="pageBreakPreview" zoomScaleNormal="100" zoomScaleSheetLayoutView="100" workbookViewId="0">
      <selection activeCell="B1" sqref="B1"/>
    </sheetView>
  </sheetViews>
  <sheetFormatPr defaultColWidth="9" defaultRowHeight="18.75" customHeight="1" x14ac:dyDescent="0.15"/>
  <cols>
    <col min="1" max="1" width="2.8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2" t="str">
        <f>'[1]様式１　プログラムを構成する授業科目'!C2</f>
        <v>昭和音楽大学</v>
      </c>
      <c r="R2" s="152"/>
      <c r="S2" s="152"/>
    </row>
    <row r="3" spans="1:21" ht="18" customHeight="1" x14ac:dyDescent="0.15">
      <c r="A3" s="125" t="s">
        <v>142</v>
      </c>
      <c r="B3" s="125"/>
      <c r="C3" s="125"/>
      <c r="D3" s="125"/>
      <c r="E3" s="125"/>
      <c r="F3" s="125"/>
      <c r="G3" s="125"/>
      <c r="H3" s="125"/>
      <c r="I3" s="125"/>
      <c r="J3" s="125"/>
      <c r="K3" s="125"/>
      <c r="L3" s="125"/>
      <c r="M3" s="125"/>
      <c r="N3" s="125"/>
      <c r="O3" s="125"/>
      <c r="P3" s="125"/>
      <c r="Q3" s="125"/>
      <c r="R3" s="125"/>
      <c r="S3" s="125"/>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3" t="s">
        <v>159</v>
      </c>
      <c r="D5" s="154"/>
      <c r="E5" s="58" t="s">
        <v>125</v>
      </c>
      <c r="F5" s="56"/>
      <c r="G5" s="56"/>
      <c r="H5" s="56"/>
      <c r="I5" s="56"/>
      <c r="J5" s="56"/>
      <c r="K5" s="56"/>
      <c r="L5" s="56"/>
      <c r="M5" s="56"/>
      <c r="N5" s="56"/>
      <c r="O5" s="56"/>
      <c r="P5" s="56"/>
      <c r="Q5" s="56"/>
      <c r="R5" s="55"/>
      <c r="S5" s="55"/>
    </row>
    <row r="6" spans="1:21" ht="7.3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408</v>
      </c>
      <c r="G7" s="58" t="s">
        <v>111</v>
      </c>
      <c r="H7" s="56" t="s">
        <v>112</v>
      </c>
      <c r="I7" s="59">
        <v>770</v>
      </c>
      <c r="J7" s="58" t="s">
        <v>111</v>
      </c>
      <c r="K7" s="57" t="s">
        <v>113</v>
      </c>
      <c r="L7" s="56" t="s">
        <v>114</v>
      </c>
      <c r="M7" s="59">
        <f>F7+I7</f>
        <v>1178</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5" t="s">
        <v>43</v>
      </c>
      <c r="C11" s="157" t="s">
        <v>78</v>
      </c>
      <c r="D11" s="159" t="s">
        <v>45</v>
      </c>
      <c r="E11" s="161" t="s">
        <v>38</v>
      </c>
      <c r="F11" s="163" t="s">
        <v>126</v>
      </c>
      <c r="G11" s="163"/>
      <c r="H11" s="163" t="s">
        <v>106</v>
      </c>
      <c r="I11" s="163"/>
      <c r="J11" s="163" t="s">
        <v>77</v>
      </c>
      <c r="K11" s="163"/>
      <c r="L11" s="163" t="s">
        <v>46</v>
      </c>
      <c r="M11" s="163"/>
      <c r="N11" s="163" t="s">
        <v>47</v>
      </c>
      <c r="O11" s="163"/>
      <c r="P11" s="163" t="s">
        <v>127</v>
      </c>
      <c r="Q11" s="163"/>
      <c r="R11" s="164" t="s">
        <v>35</v>
      </c>
      <c r="S11" s="166" t="s">
        <v>32</v>
      </c>
      <c r="U11" s="2"/>
    </row>
    <row r="12" spans="1:21" ht="17.100000000000001" customHeight="1" x14ac:dyDescent="0.15">
      <c r="B12" s="156"/>
      <c r="C12" s="158"/>
      <c r="D12" s="160"/>
      <c r="E12" s="162"/>
      <c r="F12" s="79" t="s">
        <v>86</v>
      </c>
      <c r="G12" s="79" t="s">
        <v>29</v>
      </c>
      <c r="H12" s="79" t="s">
        <v>86</v>
      </c>
      <c r="I12" s="79" t="s">
        <v>29</v>
      </c>
      <c r="J12" s="79" t="s">
        <v>86</v>
      </c>
      <c r="K12" s="79" t="s">
        <v>29</v>
      </c>
      <c r="L12" s="79" t="s">
        <v>86</v>
      </c>
      <c r="M12" s="79" t="s">
        <v>29</v>
      </c>
      <c r="N12" s="79" t="s">
        <v>86</v>
      </c>
      <c r="O12" s="79" t="s">
        <v>29</v>
      </c>
      <c r="P12" s="79" t="s">
        <v>86</v>
      </c>
      <c r="Q12" s="80" t="s">
        <v>29</v>
      </c>
      <c r="R12" s="165"/>
      <c r="S12" s="167"/>
      <c r="U12" s="2"/>
    </row>
    <row r="13" spans="1:21" ht="18" customHeight="1" x14ac:dyDescent="0.15">
      <c r="A13" s="6"/>
      <c r="B13" s="48" t="s">
        <v>160</v>
      </c>
      <c r="C13" s="36">
        <v>842</v>
      </c>
      <c r="D13" s="37">
        <v>200</v>
      </c>
      <c r="E13" s="38">
        <v>785</v>
      </c>
      <c r="F13" s="38">
        <v>8</v>
      </c>
      <c r="G13" s="38">
        <v>5</v>
      </c>
      <c r="H13" s="38"/>
      <c r="I13" s="38"/>
      <c r="J13" s="38"/>
      <c r="K13" s="38"/>
      <c r="L13" s="38"/>
      <c r="M13" s="38"/>
      <c r="N13" s="38"/>
      <c r="O13" s="38"/>
      <c r="P13" s="38"/>
      <c r="Q13" s="49"/>
      <c r="R13" s="37">
        <f t="shared" ref="R13:R32" si="0">F13+H13+J13+L13+N13+P13</f>
        <v>8</v>
      </c>
      <c r="S13" s="50">
        <f t="shared" ref="S13:S33" si="1">R13/E13</f>
        <v>1.019108280254777E-2</v>
      </c>
    </row>
    <row r="14" spans="1:21" ht="18" customHeight="1" x14ac:dyDescent="0.15">
      <c r="A14" s="6"/>
      <c r="B14" s="11" t="s">
        <v>161</v>
      </c>
      <c r="C14" s="39">
        <v>336</v>
      </c>
      <c r="D14" s="40">
        <v>100</v>
      </c>
      <c r="E14" s="41">
        <v>410</v>
      </c>
      <c r="F14" s="42">
        <v>1</v>
      </c>
      <c r="G14" s="42">
        <v>1</v>
      </c>
      <c r="H14" s="42"/>
      <c r="I14" s="42"/>
      <c r="J14" s="42"/>
      <c r="K14" s="42"/>
      <c r="L14" s="42"/>
      <c r="M14" s="42"/>
      <c r="N14" s="42"/>
      <c r="O14" s="42"/>
      <c r="P14" s="42"/>
      <c r="Q14" s="39"/>
      <c r="R14" s="40">
        <f t="shared" si="0"/>
        <v>1</v>
      </c>
      <c r="S14" s="16">
        <f t="shared" si="1"/>
        <v>2.4390243902439024E-3</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R33" si="2">SUM(C13:C32)</f>
        <v>1178</v>
      </c>
      <c r="D33" s="46">
        <f t="shared" si="2"/>
        <v>300</v>
      </c>
      <c r="E33" s="47">
        <f t="shared" si="2"/>
        <v>1195</v>
      </c>
      <c r="F33" s="47">
        <f t="shared" si="2"/>
        <v>9</v>
      </c>
      <c r="G33" s="47">
        <f t="shared" si="2"/>
        <v>6</v>
      </c>
      <c r="H33" s="47">
        <f t="shared" si="2"/>
        <v>0</v>
      </c>
      <c r="I33" s="47">
        <f t="shared" si="2"/>
        <v>0</v>
      </c>
      <c r="J33" s="47">
        <f t="shared" si="2"/>
        <v>0</v>
      </c>
      <c r="K33" s="47">
        <f t="shared" si="2"/>
        <v>0</v>
      </c>
      <c r="L33" s="47">
        <f t="shared" si="2"/>
        <v>0</v>
      </c>
      <c r="M33" s="47">
        <f t="shared" si="2"/>
        <v>0</v>
      </c>
      <c r="N33" s="47">
        <f t="shared" si="2"/>
        <v>0</v>
      </c>
      <c r="O33" s="47">
        <f t="shared" si="2"/>
        <v>0</v>
      </c>
      <c r="P33" s="47">
        <f t="shared" si="2"/>
        <v>0</v>
      </c>
      <c r="Q33" s="45">
        <f t="shared" si="2"/>
        <v>0</v>
      </c>
      <c r="R33" s="46">
        <f t="shared" si="2"/>
        <v>9</v>
      </c>
      <c r="S33" s="9">
        <f t="shared" si="1"/>
        <v>7.5313807531380752E-3</v>
      </c>
    </row>
  </sheetData>
  <mergeCells count="15">
    <mergeCell ref="Q2:S2"/>
    <mergeCell ref="A3:S3"/>
    <mergeCell ref="C5:D5"/>
    <mergeCell ref="B11:B12"/>
    <mergeCell ref="C11:C12"/>
    <mergeCell ref="D11:D12"/>
    <mergeCell ref="E11:E12"/>
    <mergeCell ref="F11:G11"/>
    <mergeCell ref="H11:I11"/>
    <mergeCell ref="J11:K11"/>
    <mergeCell ref="L11:M11"/>
    <mergeCell ref="N11:O11"/>
    <mergeCell ref="P11:Q11"/>
    <mergeCell ref="R11:R12"/>
    <mergeCell ref="S11:S12"/>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F844-7CB8-4084-A902-C0BBB842F20E}">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87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0" t="str">
        <f>'[1]様式１　プログラムを構成する授業科目'!C2</f>
        <v>昭和音楽大学</v>
      </c>
      <c r="I2" s="92"/>
    </row>
    <row r="3" spans="1:9" ht="18.75" customHeight="1" x14ac:dyDescent="0.15">
      <c r="G3" s="18"/>
      <c r="H3" s="10"/>
      <c r="I3" s="10"/>
    </row>
    <row r="4" spans="1:9" ht="18.600000000000001" customHeight="1" x14ac:dyDescent="0.15">
      <c r="A4" s="125" t="s">
        <v>36</v>
      </c>
      <c r="B4" s="125"/>
      <c r="C4" s="125"/>
      <c r="D4" s="125"/>
      <c r="E4" s="125"/>
      <c r="F4" s="125"/>
      <c r="G4" s="125"/>
      <c r="H4" s="125"/>
      <c r="I4" s="125"/>
    </row>
    <row r="5" spans="1:9" ht="13.35" customHeight="1" x14ac:dyDescent="0.15">
      <c r="B5" s="3"/>
      <c r="C5" s="3"/>
      <c r="D5" s="3"/>
      <c r="E5" s="3"/>
      <c r="F5" s="3"/>
      <c r="G5" s="3"/>
      <c r="H5" s="3"/>
      <c r="I5" s="3"/>
    </row>
    <row r="6" spans="1:9" ht="18" customHeight="1" x14ac:dyDescent="0.15">
      <c r="A6" s="1" t="s">
        <v>0</v>
      </c>
      <c r="B6" s="10" t="s">
        <v>81</v>
      </c>
      <c r="C6" s="209" t="s">
        <v>82</v>
      </c>
      <c r="D6" s="209"/>
      <c r="E6" s="17">
        <v>64</v>
      </c>
      <c r="F6" s="3" t="s">
        <v>1</v>
      </c>
      <c r="G6" s="3" t="s">
        <v>2</v>
      </c>
      <c r="H6" s="17">
        <v>626</v>
      </c>
      <c r="I6" s="10" t="s">
        <v>1</v>
      </c>
    </row>
    <row r="7" spans="1:9" ht="12" customHeight="1" x14ac:dyDescent="0.15">
      <c r="C7" s="2"/>
      <c r="D7" s="2"/>
      <c r="E7" s="2"/>
      <c r="F7" s="2"/>
      <c r="G7" s="2"/>
      <c r="H7" s="2"/>
      <c r="I7" s="21"/>
    </row>
    <row r="8" spans="1:9" ht="18" customHeight="1" x14ac:dyDescent="0.15">
      <c r="A8" s="1" t="s">
        <v>3</v>
      </c>
      <c r="B8" s="10" t="s">
        <v>83</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10" t="s">
        <v>162</v>
      </c>
      <c r="D11" s="211"/>
      <c r="E11" s="212"/>
      <c r="F11" s="21"/>
      <c r="G11" s="18" t="s">
        <v>10</v>
      </c>
      <c r="H11" s="210" t="s">
        <v>191</v>
      </c>
      <c r="I11" s="212"/>
    </row>
    <row r="12" spans="1:9" ht="10.3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10" t="s">
        <v>163</v>
      </c>
      <c r="C14" s="213"/>
      <c r="D14" s="213"/>
      <c r="E14" s="213"/>
      <c r="F14" s="213"/>
      <c r="G14" s="213"/>
      <c r="H14" s="213"/>
      <c r="I14" s="214"/>
    </row>
    <row r="15" spans="1:9" ht="9" customHeight="1" x14ac:dyDescent="0.15">
      <c r="B15" s="3"/>
      <c r="C15" s="3"/>
      <c r="D15" s="3"/>
      <c r="E15" s="3"/>
      <c r="F15" s="3"/>
      <c r="G15" s="3"/>
      <c r="H15" s="3"/>
      <c r="I15" s="3"/>
    </row>
    <row r="16" spans="1:9" ht="18" customHeight="1" x14ac:dyDescent="0.15">
      <c r="B16" s="18" t="s">
        <v>41</v>
      </c>
      <c r="C16" s="210" t="s">
        <v>164</v>
      </c>
      <c r="D16" s="211"/>
      <c r="E16" s="212"/>
      <c r="F16" s="21"/>
      <c r="G16" s="18" t="s">
        <v>10</v>
      </c>
      <c r="H16" s="210" t="s">
        <v>187</v>
      </c>
      <c r="I16" s="21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16" t="s">
        <v>165</v>
      </c>
      <c r="C19" s="217"/>
      <c r="D19" s="217"/>
      <c r="E19" s="217"/>
      <c r="F19" s="217"/>
      <c r="G19" s="217"/>
      <c r="H19" s="217"/>
      <c r="I19" s="218"/>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68" t="s">
        <v>166</v>
      </c>
      <c r="C22" s="169"/>
      <c r="D22" s="169"/>
      <c r="E22" s="169"/>
      <c r="F22" s="169"/>
      <c r="G22" s="169"/>
      <c r="H22" s="169"/>
      <c r="I22" s="170"/>
    </row>
    <row r="23" spans="1:9" ht="18.75" customHeight="1" x14ac:dyDescent="0.15">
      <c r="A23" s="14"/>
      <c r="B23" s="219"/>
      <c r="C23" s="220"/>
      <c r="D23" s="220"/>
      <c r="E23" s="220"/>
      <c r="F23" s="220"/>
      <c r="G23" s="220"/>
      <c r="H23" s="220"/>
      <c r="I23" s="173"/>
    </row>
    <row r="24" spans="1:9" ht="18.75" customHeight="1" x14ac:dyDescent="0.15">
      <c r="A24" s="14"/>
      <c r="B24" s="219"/>
      <c r="C24" s="220"/>
      <c r="D24" s="220"/>
      <c r="E24" s="220"/>
      <c r="F24" s="220"/>
      <c r="G24" s="220"/>
      <c r="H24" s="220"/>
      <c r="I24" s="173"/>
    </row>
    <row r="25" spans="1:9" ht="18.75" customHeight="1" x14ac:dyDescent="0.15">
      <c r="A25" s="14"/>
      <c r="B25" s="219"/>
      <c r="C25" s="220"/>
      <c r="D25" s="220"/>
      <c r="E25" s="220"/>
      <c r="F25" s="220"/>
      <c r="G25" s="220"/>
      <c r="H25" s="220"/>
      <c r="I25" s="173"/>
    </row>
    <row r="26" spans="1:9" ht="18.75" customHeight="1" x14ac:dyDescent="0.15">
      <c r="A26" s="14"/>
      <c r="B26" s="219"/>
      <c r="C26" s="220"/>
      <c r="D26" s="220"/>
      <c r="E26" s="220"/>
      <c r="F26" s="220"/>
      <c r="G26" s="220"/>
      <c r="H26" s="220"/>
      <c r="I26" s="173"/>
    </row>
    <row r="27" spans="1:9" ht="18.75" customHeight="1" x14ac:dyDescent="0.15">
      <c r="A27" s="14"/>
      <c r="B27" s="219"/>
      <c r="C27" s="220"/>
      <c r="D27" s="220"/>
      <c r="E27" s="220"/>
      <c r="F27" s="220"/>
      <c r="G27" s="220"/>
      <c r="H27" s="220"/>
      <c r="I27" s="173"/>
    </row>
    <row r="28" spans="1:9" ht="18.75" customHeight="1" x14ac:dyDescent="0.15">
      <c r="A28" s="14"/>
      <c r="B28" s="219"/>
      <c r="C28" s="220"/>
      <c r="D28" s="220"/>
      <c r="E28" s="220"/>
      <c r="F28" s="220"/>
      <c r="G28" s="220"/>
      <c r="H28" s="220"/>
      <c r="I28" s="173"/>
    </row>
    <row r="29" spans="1:9" ht="18.75" customHeight="1" x14ac:dyDescent="0.15">
      <c r="A29" s="14"/>
      <c r="B29" s="219"/>
      <c r="C29" s="220"/>
      <c r="D29" s="220"/>
      <c r="E29" s="220"/>
      <c r="F29" s="220"/>
      <c r="G29" s="220"/>
      <c r="H29" s="220"/>
      <c r="I29" s="173"/>
    </row>
    <row r="30" spans="1:9" ht="18.75" customHeight="1" x14ac:dyDescent="0.15">
      <c r="A30" s="14"/>
      <c r="B30" s="171"/>
      <c r="C30" s="172"/>
      <c r="D30" s="172"/>
      <c r="E30" s="172"/>
      <c r="F30" s="172"/>
      <c r="G30" s="172"/>
      <c r="H30" s="172"/>
      <c r="I30" s="173"/>
    </row>
    <row r="31" spans="1:9" ht="18.75" customHeight="1" x14ac:dyDescent="0.15">
      <c r="A31" s="14"/>
      <c r="B31" s="171"/>
      <c r="C31" s="172"/>
      <c r="D31" s="172"/>
      <c r="E31" s="172"/>
      <c r="F31" s="172"/>
      <c r="G31" s="172"/>
      <c r="H31" s="172"/>
      <c r="I31" s="173"/>
    </row>
    <row r="32" spans="1:9" ht="18.75" customHeight="1" x14ac:dyDescent="0.15">
      <c r="A32" s="14"/>
      <c r="B32" s="174"/>
      <c r="C32" s="175"/>
      <c r="D32" s="175"/>
      <c r="E32" s="175"/>
      <c r="F32" s="175"/>
      <c r="G32" s="175"/>
      <c r="H32" s="175"/>
      <c r="I32" s="17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68" t="s">
        <v>186</v>
      </c>
      <c r="C35" s="169"/>
      <c r="D35" s="169"/>
      <c r="E35" s="169"/>
      <c r="F35" s="169"/>
      <c r="G35" s="169"/>
      <c r="H35" s="169"/>
      <c r="I35" s="170"/>
    </row>
    <row r="36" spans="1:9" ht="18.75" customHeight="1" x14ac:dyDescent="0.15">
      <c r="A36" s="14"/>
      <c r="B36" s="171"/>
      <c r="C36" s="172"/>
      <c r="D36" s="172"/>
      <c r="E36" s="172"/>
      <c r="F36" s="172"/>
      <c r="G36" s="172"/>
      <c r="H36" s="172"/>
      <c r="I36" s="173"/>
    </row>
    <row r="37" spans="1:9" ht="18.75" customHeight="1" x14ac:dyDescent="0.15">
      <c r="A37" s="14"/>
      <c r="B37" s="171"/>
      <c r="C37" s="172"/>
      <c r="D37" s="172"/>
      <c r="E37" s="172"/>
      <c r="F37" s="172"/>
      <c r="G37" s="172"/>
      <c r="H37" s="172"/>
      <c r="I37" s="173"/>
    </row>
    <row r="38" spans="1:9" ht="18.75" customHeight="1" x14ac:dyDescent="0.15">
      <c r="A38" s="14"/>
      <c r="B38" s="171"/>
      <c r="C38" s="172"/>
      <c r="D38" s="172"/>
      <c r="E38" s="172"/>
      <c r="F38" s="172"/>
      <c r="G38" s="172"/>
      <c r="H38" s="172"/>
      <c r="I38" s="173"/>
    </row>
    <row r="39" spans="1:9" ht="18.75" customHeight="1" x14ac:dyDescent="0.15">
      <c r="A39" s="14"/>
      <c r="B39" s="171"/>
      <c r="C39" s="172"/>
      <c r="D39" s="172"/>
      <c r="E39" s="172"/>
      <c r="F39" s="172"/>
      <c r="G39" s="172"/>
      <c r="H39" s="172"/>
      <c r="I39" s="173"/>
    </row>
    <row r="40" spans="1:9" ht="18.75" customHeight="1" x14ac:dyDescent="0.15">
      <c r="A40" s="14"/>
      <c r="B40" s="171"/>
      <c r="C40" s="172"/>
      <c r="D40" s="172"/>
      <c r="E40" s="172"/>
      <c r="F40" s="172"/>
      <c r="G40" s="172"/>
      <c r="H40" s="172"/>
      <c r="I40" s="173"/>
    </row>
    <row r="41" spans="1:9" ht="18.75" customHeight="1" x14ac:dyDescent="0.15">
      <c r="A41" s="14"/>
      <c r="B41" s="171"/>
      <c r="C41" s="172"/>
      <c r="D41" s="172"/>
      <c r="E41" s="172"/>
      <c r="F41" s="172"/>
      <c r="G41" s="172"/>
      <c r="H41" s="172"/>
      <c r="I41" s="173"/>
    </row>
    <row r="42" spans="1:9" ht="18.75" customHeight="1" x14ac:dyDescent="0.15">
      <c r="A42" s="14"/>
      <c r="B42" s="171"/>
      <c r="C42" s="172"/>
      <c r="D42" s="172"/>
      <c r="E42" s="172"/>
      <c r="F42" s="172"/>
      <c r="G42" s="172"/>
      <c r="H42" s="172"/>
      <c r="I42" s="173"/>
    </row>
    <row r="43" spans="1:9" ht="18.75" customHeight="1" x14ac:dyDescent="0.15">
      <c r="A43" s="14"/>
      <c r="B43" s="171"/>
      <c r="C43" s="172"/>
      <c r="D43" s="172"/>
      <c r="E43" s="172"/>
      <c r="F43" s="172"/>
      <c r="G43" s="172"/>
      <c r="H43" s="172"/>
      <c r="I43" s="173"/>
    </row>
    <row r="44" spans="1:9" ht="18.75" customHeight="1" x14ac:dyDescent="0.15">
      <c r="A44" s="14"/>
      <c r="B44" s="171"/>
      <c r="C44" s="172"/>
      <c r="D44" s="172"/>
      <c r="E44" s="172"/>
      <c r="F44" s="172"/>
      <c r="G44" s="172"/>
      <c r="H44" s="172"/>
      <c r="I44" s="173"/>
    </row>
    <row r="45" spans="1:9" ht="18.75" customHeight="1" x14ac:dyDescent="0.15">
      <c r="A45" s="14"/>
      <c r="B45" s="171"/>
      <c r="C45" s="172"/>
      <c r="D45" s="172"/>
      <c r="E45" s="172"/>
      <c r="F45" s="172"/>
      <c r="G45" s="172"/>
      <c r="H45" s="172"/>
      <c r="I45" s="173"/>
    </row>
    <row r="46" spans="1:9" ht="18.75" customHeight="1" x14ac:dyDescent="0.15">
      <c r="A46" s="14"/>
      <c r="B46" s="174"/>
      <c r="C46" s="175"/>
      <c r="D46" s="175"/>
      <c r="E46" s="175"/>
      <c r="F46" s="175"/>
      <c r="G46" s="175"/>
      <c r="H46" s="175"/>
      <c r="I46" s="176"/>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208">
        <f>'[1]様式２ 履修者等数の実績'!S33</f>
        <v>7.5313807531380752E-3</v>
      </c>
      <c r="D49" s="208"/>
      <c r="E49" s="81" t="s">
        <v>60</v>
      </c>
      <c r="F49" s="208">
        <v>0.02</v>
      </c>
      <c r="G49" s="208"/>
      <c r="H49" s="81" t="s">
        <v>80</v>
      </c>
      <c r="I49" s="22">
        <v>0.04</v>
      </c>
      <c r="J49" s="1"/>
      <c r="M49" s="1"/>
      <c r="N49" s="23"/>
    </row>
    <row r="50" spans="1:15" s="3" customFormat="1" ht="18.75" customHeight="1" x14ac:dyDescent="0.15">
      <c r="B50" s="82" t="s">
        <v>116</v>
      </c>
      <c r="C50" s="179">
        <v>0.1</v>
      </c>
      <c r="D50" s="179"/>
      <c r="E50" s="82" t="s">
        <v>130</v>
      </c>
      <c r="F50" s="179">
        <v>0.1</v>
      </c>
      <c r="G50" s="179"/>
      <c r="H50" s="82" t="s">
        <v>61</v>
      </c>
      <c r="I50" s="24">
        <f>'[1]様式２ 履修者等数の実績'!E33</f>
        <v>1195</v>
      </c>
      <c r="J50" s="83" t="s">
        <v>167</v>
      </c>
      <c r="M50" s="1"/>
      <c r="N50" s="23"/>
    </row>
    <row r="51" spans="1:15" ht="18.75" customHeight="1" x14ac:dyDescent="0.15">
      <c r="A51" s="1"/>
      <c r="B51" s="180" t="s">
        <v>62</v>
      </c>
      <c r="C51" s="181"/>
      <c r="D51" s="181"/>
      <c r="E51" s="181"/>
      <c r="F51" s="181"/>
      <c r="G51" s="181"/>
      <c r="H51" s="181"/>
      <c r="I51" s="182"/>
      <c r="N51" s="23"/>
      <c r="O51" s="3"/>
    </row>
    <row r="52" spans="1:15" ht="18.75" customHeight="1" x14ac:dyDescent="0.15">
      <c r="A52" s="1"/>
      <c r="B52" s="183" t="s">
        <v>185</v>
      </c>
      <c r="C52" s="184"/>
      <c r="D52" s="184"/>
      <c r="E52" s="184"/>
      <c r="F52" s="184"/>
      <c r="G52" s="184"/>
      <c r="H52" s="184"/>
      <c r="I52" s="185"/>
      <c r="N52" s="23"/>
      <c r="O52" s="3"/>
    </row>
    <row r="53" spans="1:15" ht="18.75" customHeight="1" x14ac:dyDescent="0.15">
      <c r="A53" s="1"/>
      <c r="B53" s="186"/>
      <c r="C53" s="187"/>
      <c r="D53" s="187"/>
      <c r="E53" s="187"/>
      <c r="F53" s="187"/>
      <c r="G53" s="187"/>
      <c r="H53" s="187"/>
      <c r="I53" s="188"/>
      <c r="N53" s="23"/>
      <c r="O53" s="3"/>
    </row>
    <row r="54" spans="1:15" ht="18.75" customHeight="1" x14ac:dyDescent="0.15">
      <c r="A54" s="1"/>
      <c r="B54" s="186"/>
      <c r="C54" s="187"/>
      <c r="D54" s="187"/>
      <c r="E54" s="187"/>
      <c r="F54" s="187"/>
      <c r="G54" s="187"/>
      <c r="H54" s="187"/>
      <c r="I54" s="188"/>
    </row>
    <row r="55" spans="1:15" ht="18.75" customHeight="1" x14ac:dyDescent="0.15">
      <c r="A55" s="1"/>
      <c r="B55" s="186"/>
      <c r="C55" s="187"/>
      <c r="D55" s="187"/>
      <c r="E55" s="187"/>
      <c r="F55" s="187"/>
      <c r="G55" s="187"/>
      <c r="H55" s="187"/>
      <c r="I55" s="188"/>
    </row>
    <row r="56" spans="1:15" ht="18.75" customHeight="1" x14ac:dyDescent="0.15">
      <c r="A56" s="1"/>
      <c r="B56" s="186"/>
      <c r="C56" s="187"/>
      <c r="D56" s="187"/>
      <c r="E56" s="187"/>
      <c r="F56" s="187"/>
      <c r="G56" s="187"/>
      <c r="H56" s="187"/>
      <c r="I56" s="188"/>
    </row>
    <row r="57" spans="1:15" ht="18.75" customHeight="1" x14ac:dyDescent="0.15">
      <c r="A57" s="1"/>
      <c r="B57" s="186"/>
      <c r="C57" s="187"/>
      <c r="D57" s="187"/>
      <c r="E57" s="187"/>
      <c r="F57" s="187"/>
      <c r="G57" s="187"/>
      <c r="H57" s="187"/>
      <c r="I57" s="188"/>
    </row>
    <row r="58" spans="1:15" ht="18.75" customHeight="1" x14ac:dyDescent="0.15">
      <c r="A58" s="1"/>
      <c r="B58" s="186"/>
      <c r="C58" s="187"/>
      <c r="D58" s="187"/>
      <c r="E58" s="187"/>
      <c r="F58" s="187"/>
      <c r="G58" s="187"/>
      <c r="H58" s="187"/>
      <c r="I58" s="188"/>
    </row>
    <row r="59" spans="1:15" ht="18.75" customHeight="1" x14ac:dyDescent="0.15">
      <c r="A59" s="1"/>
      <c r="B59" s="186"/>
      <c r="C59" s="187"/>
      <c r="D59" s="187"/>
      <c r="E59" s="187"/>
      <c r="F59" s="187"/>
      <c r="G59" s="187"/>
      <c r="H59" s="187"/>
      <c r="I59" s="188"/>
    </row>
    <row r="60" spans="1:15" ht="18.75" customHeight="1" x14ac:dyDescent="0.15">
      <c r="A60" s="1"/>
      <c r="B60" s="186"/>
      <c r="C60" s="187"/>
      <c r="D60" s="187"/>
      <c r="E60" s="187"/>
      <c r="F60" s="187"/>
      <c r="G60" s="187"/>
      <c r="H60" s="187"/>
      <c r="I60" s="188"/>
    </row>
    <row r="61" spans="1:15" ht="18.75" customHeight="1" x14ac:dyDescent="0.15">
      <c r="A61" s="1"/>
      <c r="B61" s="186"/>
      <c r="C61" s="187"/>
      <c r="D61" s="187"/>
      <c r="E61" s="187"/>
      <c r="F61" s="187"/>
      <c r="G61" s="187"/>
      <c r="H61" s="187"/>
      <c r="I61" s="188"/>
    </row>
    <row r="62" spans="1:15" ht="18.75" customHeight="1" x14ac:dyDescent="0.15">
      <c r="A62" s="1"/>
      <c r="B62" s="186"/>
      <c r="C62" s="187"/>
      <c r="D62" s="187"/>
      <c r="E62" s="187"/>
      <c r="F62" s="187"/>
      <c r="G62" s="187"/>
      <c r="H62" s="187"/>
      <c r="I62" s="188"/>
    </row>
    <row r="63" spans="1:15" ht="18.75" customHeight="1" x14ac:dyDescent="0.15">
      <c r="A63" s="1"/>
      <c r="B63" s="189"/>
      <c r="C63" s="190"/>
      <c r="D63" s="190"/>
      <c r="E63" s="190"/>
      <c r="F63" s="190"/>
      <c r="G63" s="190"/>
      <c r="H63" s="190"/>
      <c r="I63" s="19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92" t="s">
        <v>168</v>
      </c>
      <c r="C66" s="193"/>
      <c r="D66" s="193"/>
      <c r="E66" s="193"/>
      <c r="F66" s="193"/>
      <c r="G66" s="193"/>
      <c r="H66" s="193"/>
      <c r="I66" s="194"/>
    </row>
    <row r="67" spans="1:9" ht="18.75" customHeight="1" x14ac:dyDescent="0.15">
      <c r="A67" s="4"/>
      <c r="B67" s="195"/>
      <c r="C67" s="196"/>
      <c r="D67" s="196"/>
      <c r="E67" s="196"/>
      <c r="F67" s="196"/>
      <c r="G67" s="196"/>
      <c r="H67" s="196"/>
      <c r="I67" s="197"/>
    </row>
    <row r="68" spans="1:9" ht="18.75" customHeight="1" x14ac:dyDescent="0.15">
      <c r="A68" s="4"/>
      <c r="B68" s="195"/>
      <c r="C68" s="196"/>
      <c r="D68" s="196"/>
      <c r="E68" s="196"/>
      <c r="F68" s="196"/>
      <c r="G68" s="196"/>
      <c r="H68" s="196"/>
      <c r="I68" s="197"/>
    </row>
    <row r="69" spans="1:9" ht="18.75" customHeight="1" x14ac:dyDescent="0.15">
      <c r="A69" s="4"/>
      <c r="B69" s="195"/>
      <c r="C69" s="196"/>
      <c r="D69" s="196"/>
      <c r="E69" s="196"/>
      <c r="F69" s="196"/>
      <c r="G69" s="196"/>
      <c r="H69" s="196"/>
      <c r="I69" s="197"/>
    </row>
    <row r="70" spans="1:9" ht="18.75" customHeight="1" x14ac:dyDescent="0.15">
      <c r="A70" s="4"/>
      <c r="B70" s="195"/>
      <c r="C70" s="196"/>
      <c r="D70" s="196"/>
      <c r="E70" s="196"/>
      <c r="F70" s="196"/>
      <c r="G70" s="196"/>
      <c r="H70" s="196"/>
      <c r="I70" s="197"/>
    </row>
    <row r="71" spans="1:9" ht="18.75" customHeight="1" x14ac:dyDescent="0.15">
      <c r="A71" s="4"/>
      <c r="B71" s="195"/>
      <c r="C71" s="196"/>
      <c r="D71" s="196"/>
      <c r="E71" s="196"/>
      <c r="F71" s="196"/>
      <c r="G71" s="196"/>
      <c r="H71" s="196"/>
      <c r="I71" s="197"/>
    </row>
    <row r="72" spans="1:9" ht="18.75" customHeight="1" x14ac:dyDescent="0.15">
      <c r="A72" s="4"/>
      <c r="B72" s="195"/>
      <c r="C72" s="196"/>
      <c r="D72" s="196"/>
      <c r="E72" s="196"/>
      <c r="F72" s="196"/>
      <c r="G72" s="196"/>
      <c r="H72" s="196"/>
      <c r="I72" s="197"/>
    </row>
    <row r="73" spans="1:9" ht="18.75" customHeight="1" x14ac:dyDescent="0.15">
      <c r="A73" s="4"/>
      <c r="B73" s="195"/>
      <c r="C73" s="196"/>
      <c r="D73" s="196"/>
      <c r="E73" s="196"/>
      <c r="F73" s="196"/>
      <c r="G73" s="196"/>
      <c r="H73" s="196"/>
      <c r="I73" s="197"/>
    </row>
    <row r="74" spans="1:9" ht="18.75" customHeight="1" x14ac:dyDescent="0.15">
      <c r="A74" s="4"/>
      <c r="B74" s="195"/>
      <c r="C74" s="196"/>
      <c r="D74" s="196"/>
      <c r="E74" s="196"/>
      <c r="F74" s="196"/>
      <c r="G74" s="196"/>
      <c r="H74" s="196"/>
      <c r="I74" s="197"/>
    </row>
    <row r="75" spans="1:9" ht="18.75" customHeight="1" x14ac:dyDescent="0.15">
      <c r="A75" s="4"/>
      <c r="B75" s="195"/>
      <c r="C75" s="196"/>
      <c r="D75" s="196"/>
      <c r="E75" s="196"/>
      <c r="F75" s="196"/>
      <c r="G75" s="196"/>
      <c r="H75" s="196"/>
      <c r="I75" s="197"/>
    </row>
    <row r="76" spans="1:9" ht="18.75" customHeight="1" x14ac:dyDescent="0.15">
      <c r="A76" s="4"/>
      <c r="B76" s="195"/>
      <c r="C76" s="196"/>
      <c r="D76" s="196"/>
      <c r="E76" s="196"/>
      <c r="F76" s="196"/>
      <c r="G76" s="196"/>
      <c r="H76" s="196"/>
      <c r="I76" s="197"/>
    </row>
    <row r="77" spans="1:9" ht="18.75" customHeight="1" x14ac:dyDescent="0.15">
      <c r="A77" s="4"/>
      <c r="B77" s="198"/>
      <c r="C77" s="199"/>
      <c r="D77" s="199"/>
      <c r="E77" s="199"/>
      <c r="F77" s="199"/>
      <c r="G77" s="199"/>
      <c r="H77" s="199"/>
      <c r="I77" s="20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2" t="s">
        <v>169</v>
      </c>
      <c r="C80" s="193"/>
      <c r="D80" s="193"/>
      <c r="E80" s="193"/>
      <c r="F80" s="193"/>
      <c r="G80" s="193"/>
      <c r="H80" s="193"/>
      <c r="I80" s="201"/>
    </row>
    <row r="81" spans="1:9" ht="18.75" customHeight="1" x14ac:dyDescent="0.15">
      <c r="A81" s="1"/>
      <c r="B81" s="202"/>
      <c r="C81" s="203"/>
      <c r="D81" s="203"/>
      <c r="E81" s="203"/>
      <c r="F81" s="203"/>
      <c r="G81" s="203"/>
      <c r="H81" s="203"/>
      <c r="I81" s="204"/>
    </row>
    <row r="82" spans="1:9" ht="18.75" customHeight="1" x14ac:dyDescent="0.15">
      <c r="A82" s="1"/>
      <c r="B82" s="202"/>
      <c r="C82" s="203"/>
      <c r="D82" s="203"/>
      <c r="E82" s="203"/>
      <c r="F82" s="203"/>
      <c r="G82" s="203"/>
      <c r="H82" s="203"/>
      <c r="I82" s="204"/>
    </row>
    <row r="83" spans="1:9" ht="18.75" customHeight="1" x14ac:dyDescent="0.15">
      <c r="A83" s="1"/>
      <c r="B83" s="202"/>
      <c r="C83" s="203"/>
      <c r="D83" s="203"/>
      <c r="E83" s="203"/>
      <c r="F83" s="203"/>
      <c r="G83" s="203"/>
      <c r="H83" s="203"/>
      <c r="I83" s="204"/>
    </row>
    <row r="84" spans="1:9" ht="18.75" customHeight="1" x14ac:dyDescent="0.15">
      <c r="A84" s="1"/>
      <c r="B84" s="202"/>
      <c r="C84" s="203"/>
      <c r="D84" s="203"/>
      <c r="E84" s="203"/>
      <c r="F84" s="203"/>
      <c r="G84" s="203"/>
      <c r="H84" s="203"/>
      <c r="I84" s="204"/>
    </row>
    <row r="85" spans="1:9" ht="18.75" customHeight="1" x14ac:dyDescent="0.15">
      <c r="A85" s="1"/>
      <c r="B85" s="202"/>
      <c r="C85" s="203"/>
      <c r="D85" s="203"/>
      <c r="E85" s="203"/>
      <c r="F85" s="203"/>
      <c r="G85" s="203"/>
      <c r="H85" s="203"/>
      <c r="I85" s="204"/>
    </row>
    <row r="86" spans="1:9" ht="18.75" customHeight="1" x14ac:dyDescent="0.15">
      <c r="A86" s="1"/>
      <c r="B86" s="202"/>
      <c r="C86" s="203"/>
      <c r="D86" s="203"/>
      <c r="E86" s="203"/>
      <c r="F86" s="203"/>
      <c r="G86" s="203"/>
      <c r="H86" s="203"/>
      <c r="I86" s="204"/>
    </row>
    <row r="87" spans="1:9" ht="18.75" customHeight="1" x14ac:dyDescent="0.15">
      <c r="A87" s="1"/>
      <c r="B87" s="202"/>
      <c r="C87" s="203"/>
      <c r="D87" s="203"/>
      <c r="E87" s="203"/>
      <c r="F87" s="203"/>
      <c r="G87" s="203"/>
      <c r="H87" s="203"/>
      <c r="I87" s="204"/>
    </row>
    <row r="88" spans="1:9" ht="18.75" customHeight="1" x14ac:dyDescent="0.15">
      <c r="A88" s="1"/>
      <c r="B88" s="202"/>
      <c r="C88" s="203"/>
      <c r="D88" s="203"/>
      <c r="E88" s="203"/>
      <c r="F88" s="203"/>
      <c r="G88" s="203"/>
      <c r="H88" s="203"/>
      <c r="I88" s="204"/>
    </row>
    <row r="89" spans="1:9" ht="18.75" customHeight="1" x14ac:dyDescent="0.15">
      <c r="A89" s="1"/>
      <c r="B89" s="202"/>
      <c r="C89" s="203"/>
      <c r="D89" s="203"/>
      <c r="E89" s="203"/>
      <c r="F89" s="203"/>
      <c r="G89" s="203"/>
      <c r="H89" s="203"/>
      <c r="I89" s="204"/>
    </row>
    <row r="90" spans="1:9" ht="18.75" customHeight="1" x14ac:dyDescent="0.15">
      <c r="A90" s="4"/>
      <c r="B90" s="202"/>
      <c r="C90" s="203"/>
      <c r="D90" s="203"/>
      <c r="E90" s="203"/>
      <c r="F90" s="203"/>
      <c r="G90" s="203"/>
      <c r="H90" s="203"/>
      <c r="I90" s="204"/>
    </row>
    <row r="91" spans="1:9" ht="18.75" customHeight="1" x14ac:dyDescent="0.15">
      <c r="A91" s="4"/>
      <c r="B91" s="205"/>
      <c r="C91" s="206"/>
      <c r="D91" s="206"/>
      <c r="E91" s="206"/>
      <c r="F91" s="206"/>
      <c r="G91" s="206"/>
      <c r="H91" s="206"/>
      <c r="I91" s="207"/>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68" t="s">
        <v>170</v>
      </c>
      <c r="C94" s="169"/>
      <c r="D94" s="169"/>
      <c r="E94" s="169"/>
      <c r="F94" s="169"/>
      <c r="G94" s="169"/>
      <c r="H94" s="169"/>
      <c r="I94" s="170"/>
    </row>
    <row r="95" spans="1:9" ht="18.75" customHeight="1" x14ac:dyDescent="0.15">
      <c r="A95" s="1"/>
      <c r="B95" s="171"/>
      <c r="C95" s="172"/>
      <c r="D95" s="172"/>
      <c r="E95" s="172"/>
      <c r="F95" s="172"/>
      <c r="G95" s="172"/>
      <c r="H95" s="172"/>
      <c r="I95" s="173"/>
    </row>
    <row r="96" spans="1:9" ht="18.75" customHeight="1" x14ac:dyDescent="0.15">
      <c r="A96" s="1"/>
      <c r="B96" s="171"/>
      <c r="C96" s="172"/>
      <c r="D96" s="172"/>
      <c r="E96" s="172"/>
      <c r="F96" s="172"/>
      <c r="G96" s="172"/>
      <c r="H96" s="172"/>
      <c r="I96" s="173"/>
    </row>
    <row r="97" spans="1:9" ht="18.75" customHeight="1" x14ac:dyDescent="0.15">
      <c r="A97" s="1"/>
      <c r="B97" s="171"/>
      <c r="C97" s="172"/>
      <c r="D97" s="172"/>
      <c r="E97" s="172"/>
      <c r="F97" s="172"/>
      <c r="G97" s="172"/>
      <c r="H97" s="172"/>
      <c r="I97" s="173"/>
    </row>
    <row r="98" spans="1:9" ht="18.75" customHeight="1" x14ac:dyDescent="0.15">
      <c r="A98" s="1"/>
      <c r="B98" s="171"/>
      <c r="C98" s="172"/>
      <c r="D98" s="172"/>
      <c r="E98" s="172"/>
      <c r="F98" s="172"/>
      <c r="G98" s="172"/>
      <c r="H98" s="172"/>
      <c r="I98" s="173"/>
    </row>
    <row r="99" spans="1:9" ht="18.75" customHeight="1" x14ac:dyDescent="0.15">
      <c r="A99" s="1"/>
      <c r="B99" s="171"/>
      <c r="C99" s="172"/>
      <c r="D99" s="172"/>
      <c r="E99" s="172"/>
      <c r="F99" s="172"/>
      <c r="G99" s="172"/>
      <c r="H99" s="172"/>
      <c r="I99" s="173"/>
    </row>
    <row r="100" spans="1:9" ht="18.75" customHeight="1" x14ac:dyDescent="0.15">
      <c r="A100" s="1"/>
      <c r="B100" s="171"/>
      <c r="C100" s="172"/>
      <c r="D100" s="172"/>
      <c r="E100" s="172"/>
      <c r="F100" s="172"/>
      <c r="G100" s="172"/>
      <c r="H100" s="172"/>
      <c r="I100" s="173"/>
    </row>
    <row r="101" spans="1:9" ht="18.75" customHeight="1" x14ac:dyDescent="0.15">
      <c r="A101" s="1"/>
      <c r="B101" s="171"/>
      <c r="C101" s="172"/>
      <c r="D101" s="172"/>
      <c r="E101" s="172"/>
      <c r="F101" s="172"/>
      <c r="G101" s="172"/>
      <c r="H101" s="172"/>
      <c r="I101" s="173"/>
    </row>
    <row r="102" spans="1:9" ht="18.75" customHeight="1" x14ac:dyDescent="0.15">
      <c r="A102" s="1"/>
      <c r="B102" s="171"/>
      <c r="C102" s="172"/>
      <c r="D102" s="172"/>
      <c r="E102" s="172"/>
      <c r="F102" s="172"/>
      <c r="G102" s="172"/>
      <c r="H102" s="172"/>
      <c r="I102" s="173"/>
    </row>
    <row r="103" spans="1:9" ht="18.75" customHeight="1" x14ac:dyDescent="0.15">
      <c r="A103" s="1"/>
      <c r="B103" s="171"/>
      <c r="C103" s="172"/>
      <c r="D103" s="172"/>
      <c r="E103" s="172"/>
      <c r="F103" s="172"/>
      <c r="G103" s="172"/>
      <c r="H103" s="172"/>
      <c r="I103" s="173"/>
    </row>
    <row r="104" spans="1:9" ht="18.75" customHeight="1" x14ac:dyDescent="0.15">
      <c r="A104" s="1"/>
      <c r="B104" s="171"/>
      <c r="C104" s="172"/>
      <c r="D104" s="172"/>
      <c r="E104" s="172"/>
      <c r="F104" s="172"/>
      <c r="G104" s="172"/>
      <c r="H104" s="172"/>
      <c r="I104" s="173"/>
    </row>
    <row r="105" spans="1:9" ht="18.75" customHeight="1" x14ac:dyDescent="0.15">
      <c r="A105" s="4"/>
      <c r="B105" s="174"/>
      <c r="C105" s="175"/>
      <c r="D105" s="175"/>
      <c r="E105" s="175"/>
      <c r="F105" s="175"/>
      <c r="G105" s="175"/>
      <c r="H105" s="175"/>
      <c r="I105" s="176"/>
    </row>
    <row r="106" spans="1:9" ht="7.5" customHeight="1" x14ac:dyDescent="0.15">
      <c r="A106" s="4"/>
      <c r="B106" s="4"/>
      <c r="C106" s="4"/>
      <c r="D106" s="4"/>
      <c r="E106" s="4"/>
      <c r="F106" s="4"/>
      <c r="G106" s="4"/>
      <c r="H106" s="4"/>
      <c r="I106" s="4"/>
    </row>
    <row r="107" spans="1:9" ht="18.75" customHeight="1" x14ac:dyDescent="0.15">
      <c r="A107" s="1" t="s">
        <v>30</v>
      </c>
      <c r="B107" s="177" t="s">
        <v>44</v>
      </c>
      <c r="C107" s="177"/>
      <c r="D107" s="177"/>
      <c r="E107" s="177"/>
      <c r="F107" s="177"/>
      <c r="G107" s="177"/>
      <c r="H107" s="177"/>
      <c r="I107" s="177"/>
    </row>
    <row r="108" spans="1:9" ht="18.75" customHeight="1" x14ac:dyDescent="0.15">
      <c r="A108" s="4"/>
      <c r="B108" s="168" t="s">
        <v>171</v>
      </c>
      <c r="C108" s="169"/>
      <c r="D108" s="169"/>
      <c r="E108" s="169"/>
      <c r="F108" s="169"/>
      <c r="G108" s="169"/>
      <c r="H108" s="169"/>
      <c r="I108" s="170"/>
    </row>
    <row r="109" spans="1:9" ht="18.75" customHeight="1" x14ac:dyDescent="0.15">
      <c r="A109" s="4"/>
      <c r="B109" s="171"/>
      <c r="C109" s="172"/>
      <c r="D109" s="172"/>
      <c r="E109" s="172"/>
      <c r="F109" s="172"/>
      <c r="G109" s="172"/>
      <c r="H109" s="172"/>
      <c r="I109" s="173"/>
    </row>
    <row r="110" spans="1:9" ht="18.75" customHeight="1" x14ac:dyDescent="0.15">
      <c r="A110" s="4"/>
      <c r="B110" s="171"/>
      <c r="C110" s="172"/>
      <c r="D110" s="172"/>
      <c r="E110" s="172"/>
      <c r="F110" s="172"/>
      <c r="G110" s="172"/>
      <c r="H110" s="172"/>
      <c r="I110" s="173"/>
    </row>
    <row r="111" spans="1:9" ht="18.75" customHeight="1" x14ac:dyDescent="0.15">
      <c r="A111" s="4"/>
      <c r="B111" s="171"/>
      <c r="C111" s="172"/>
      <c r="D111" s="172"/>
      <c r="E111" s="172"/>
      <c r="F111" s="172"/>
      <c r="G111" s="172"/>
      <c r="H111" s="172"/>
      <c r="I111" s="173"/>
    </row>
    <row r="112" spans="1:9" ht="18.75" customHeight="1" x14ac:dyDescent="0.15">
      <c r="A112" s="4"/>
      <c r="B112" s="171"/>
      <c r="C112" s="172"/>
      <c r="D112" s="172"/>
      <c r="E112" s="172"/>
      <c r="F112" s="172"/>
      <c r="G112" s="172"/>
      <c r="H112" s="172"/>
      <c r="I112" s="173"/>
    </row>
    <row r="113" spans="1:9" ht="18.75" customHeight="1" x14ac:dyDescent="0.15">
      <c r="A113" s="4"/>
      <c r="B113" s="171"/>
      <c r="C113" s="172"/>
      <c r="D113" s="172"/>
      <c r="E113" s="172"/>
      <c r="F113" s="172"/>
      <c r="G113" s="172"/>
      <c r="H113" s="172"/>
      <c r="I113" s="173"/>
    </row>
    <row r="114" spans="1:9" ht="18.75" customHeight="1" x14ac:dyDescent="0.15">
      <c r="A114" s="4"/>
      <c r="B114" s="171"/>
      <c r="C114" s="172"/>
      <c r="D114" s="172"/>
      <c r="E114" s="172"/>
      <c r="F114" s="172"/>
      <c r="G114" s="172"/>
      <c r="H114" s="172"/>
      <c r="I114" s="173"/>
    </row>
    <row r="115" spans="1:9" ht="18.75" customHeight="1" x14ac:dyDescent="0.15">
      <c r="A115" s="4"/>
      <c r="B115" s="171"/>
      <c r="C115" s="172"/>
      <c r="D115" s="172"/>
      <c r="E115" s="172"/>
      <c r="F115" s="172"/>
      <c r="G115" s="172"/>
      <c r="H115" s="172"/>
      <c r="I115" s="173"/>
    </row>
    <row r="116" spans="1:9" ht="18.75" customHeight="1" x14ac:dyDescent="0.15">
      <c r="A116" s="4"/>
      <c r="B116" s="171"/>
      <c r="C116" s="172"/>
      <c r="D116" s="172"/>
      <c r="E116" s="172"/>
      <c r="F116" s="172"/>
      <c r="G116" s="172"/>
      <c r="H116" s="172"/>
      <c r="I116" s="173"/>
    </row>
    <row r="117" spans="1:9" ht="18.75" customHeight="1" x14ac:dyDescent="0.15">
      <c r="A117" s="4"/>
      <c r="B117" s="171"/>
      <c r="C117" s="172"/>
      <c r="D117" s="172"/>
      <c r="E117" s="172"/>
      <c r="F117" s="172"/>
      <c r="G117" s="172"/>
      <c r="H117" s="172"/>
      <c r="I117" s="173"/>
    </row>
    <row r="118" spans="1:9" ht="18.75" customHeight="1" x14ac:dyDescent="0.15">
      <c r="A118" s="4"/>
      <c r="B118" s="171"/>
      <c r="C118" s="172"/>
      <c r="D118" s="172"/>
      <c r="E118" s="172"/>
      <c r="F118" s="172"/>
      <c r="G118" s="172"/>
      <c r="H118" s="172"/>
      <c r="I118" s="173"/>
    </row>
    <row r="119" spans="1:9" ht="18.75" customHeight="1" x14ac:dyDescent="0.15">
      <c r="A119" s="4"/>
      <c r="B119" s="174"/>
      <c r="C119" s="175"/>
      <c r="D119" s="175"/>
      <c r="E119" s="175"/>
      <c r="F119" s="175"/>
      <c r="G119" s="175"/>
      <c r="H119" s="175"/>
      <c r="I119" s="176"/>
    </row>
    <row r="120" spans="1:9" ht="7.5" customHeight="1" x14ac:dyDescent="0.15">
      <c r="A120" s="4"/>
      <c r="B120" s="25"/>
      <c r="C120" s="25"/>
      <c r="D120" s="25"/>
      <c r="E120" s="25"/>
      <c r="F120" s="25"/>
      <c r="G120" s="25"/>
      <c r="H120" s="25"/>
      <c r="I120" s="25"/>
    </row>
    <row r="121" spans="1:9" ht="18.75" customHeight="1" x14ac:dyDescent="0.15">
      <c r="A121" s="51"/>
      <c r="B121" s="178"/>
      <c r="C121" s="178"/>
      <c r="D121" s="178"/>
      <c r="E121" s="178"/>
      <c r="F121" s="178"/>
      <c r="G121" s="178"/>
      <c r="H121" s="178"/>
      <c r="I121" s="178"/>
    </row>
    <row r="122" spans="1:9" ht="18.75" customHeight="1" x14ac:dyDescent="0.15">
      <c r="A122" s="51"/>
      <c r="B122" s="178"/>
      <c r="C122" s="178"/>
      <c r="D122" s="178"/>
      <c r="E122" s="178"/>
      <c r="F122" s="178"/>
      <c r="G122" s="178"/>
      <c r="H122" s="178"/>
      <c r="I122" s="178"/>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C49:D49"/>
    <mergeCell ref="F49:G49"/>
    <mergeCell ref="H2:I2"/>
    <mergeCell ref="A4:I4"/>
    <mergeCell ref="C6:D6"/>
    <mergeCell ref="C11:E11"/>
    <mergeCell ref="H11:I11"/>
    <mergeCell ref="B14:I14"/>
    <mergeCell ref="C16:E16"/>
    <mergeCell ref="H16:I16"/>
    <mergeCell ref="B19:I19"/>
    <mergeCell ref="B22:I32"/>
    <mergeCell ref="B35:I46"/>
    <mergeCell ref="B94:I105"/>
    <mergeCell ref="B107:I107"/>
    <mergeCell ref="B108:I119"/>
    <mergeCell ref="B121:I122"/>
    <mergeCell ref="C50:D50"/>
    <mergeCell ref="F50:G50"/>
    <mergeCell ref="B51:I51"/>
    <mergeCell ref="B52:I63"/>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5F0D-1D73-423C-9FF6-5B7C66FD9DFC}">
  <sheetPr>
    <pageSetUpPr fitToPage="1"/>
  </sheetPr>
  <dimension ref="A1:I30"/>
  <sheetViews>
    <sheetView showZeros="0" view="pageBreakPreview" topLeftCell="C1" zoomScale="85" zoomScaleNormal="100" zoomScaleSheetLayoutView="85" workbookViewId="0">
      <selection activeCell="N25" sqref="N25"/>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'[2]様式１　プログラムを構成する授業科目'!C2</f>
        <v>昭和音楽大学</v>
      </c>
    </row>
    <row r="3" spans="1:9" ht="18.75" customHeight="1" x14ac:dyDescent="0.15">
      <c r="A3" s="125" t="s">
        <v>28</v>
      </c>
      <c r="B3" s="125"/>
      <c r="C3" s="125"/>
      <c r="D3" s="125"/>
      <c r="E3" s="125"/>
      <c r="F3" s="125"/>
      <c r="G3" s="125"/>
      <c r="H3" s="125"/>
      <c r="I3" s="125"/>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10" t="s">
        <v>172</v>
      </c>
      <c r="C6" s="248"/>
      <c r="D6" s="248"/>
      <c r="E6" s="248"/>
      <c r="F6" s="248"/>
      <c r="G6" s="248"/>
      <c r="H6" s="215"/>
      <c r="I6" s="3"/>
    </row>
    <row r="7" spans="1:9" ht="9" customHeight="1" x14ac:dyDescent="0.15">
      <c r="A7" s="5"/>
      <c r="B7" s="10"/>
      <c r="C7" s="10"/>
      <c r="D7" s="10"/>
      <c r="E7" s="10"/>
      <c r="F7" s="10"/>
      <c r="G7" s="10"/>
      <c r="H7" s="10"/>
      <c r="I7" s="3"/>
    </row>
    <row r="8" spans="1:9" ht="18.75" customHeight="1" x14ac:dyDescent="0.15">
      <c r="A8" s="5"/>
      <c r="B8" s="3"/>
      <c r="C8" s="3"/>
      <c r="D8" s="18" t="s">
        <v>41</v>
      </c>
      <c r="E8" s="19" t="s">
        <v>173</v>
      </c>
      <c r="F8" s="3"/>
      <c r="G8" s="18" t="s">
        <v>10</v>
      </c>
      <c r="H8" s="19" t="s">
        <v>174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0" t="s">
        <v>24</v>
      </c>
      <c r="C11" s="91"/>
      <c r="D11" s="92"/>
      <c r="E11" s="91" t="s">
        <v>26</v>
      </c>
      <c r="F11" s="91"/>
      <c r="G11" s="91"/>
      <c r="H11" s="91"/>
      <c r="I11" s="92"/>
    </row>
    <row r="12" spans="1:9" ht="26.25" customHeight="1" x14ac:dyDescent="0.15">
      <c r="B12" s="26" t="s">
        <v>14</v>
      </c>
      <c r="C12" s="33"/>
      <c r="D12" s="27"/>
      <c r="E12" s="34"/>
      <c r="F12" s="34"/>
      <c r="G12" s="34"/>
      <c r="H12" s="34"/>
      <c r="I12" s="27"/>
    </row>
    <row r="13" spans="1:9" ht="210.75" customHeight="1" x14ac:dyDescent="0.15">
      <c r="B13" s="28"/>
      <c r="C13" s="236" t="s">
        <v>15</v>
      </c>
      <c r="D13" s="237"/>
      <c r="E13" s="244" t="s">
        <v>184</v>
      </c>
      <c r="F13" s="245"/>
      <c r="G13" s="245"/>
      <c r="H13" s="245"/>
      <c r="I13" s="246"/>
    </row>
    <row r="14" spans="1:9" ht="210.75" customHeight="1" x14ac:dyDescent="0.15">
      <c r="B14" s="28"/>
      <c r="C14" s="242" t="s">
        <v>16</v>
      </c>
      <c r="D14" s="243"/>
      <c r="E14" s="244" t="s">
        <v>178</v>
      </c>
      <c r="F14" s="245"/>
      <c r="G14" s="245"/>
      <c r="H14" s="245"/>
      <c r="I14" s="246"/>
    </row>
    <row r="15" spans="1:9" ht="210.75" customHeight="1" x14ac:dyDescent="0.15">
      <c r="B15" s="28"/>
      <c r="C15" s="236" t="s">
        <v>17</v>
      </c>
      <c r="D15" s="237"/>
      <c r="E15" s="247" t="s">
        <v>175</v>
      </c>
      <c r="F15" s="238"/>
      <c r="G15" s="238"/>
      <c r="H15" s="238"/>
      <c r="I15" s="239"/>
    </row>
    <row r="16" spans="1:9" ht="210.75" customHeight="1" x14ac:dyDescent="0.15">
      <c r="B16" s="28"/>
      <c r="C16" s="236" t="s">
        <v>18</v>
      </c>
      <c r="D16" s="237"/>
      <c r="E16" s="244" t="s">
        <v>188</v>
      </c>
      <c r="F16" s="245"/>
      <c r="G16" s="245"/>
      <c r="H16" s="245"/>
      <c r="I16" s="246"/>
    </row>
    <row r="17" spans="2:9" ht="210.75" customHeight="1" x14ac:dyDescent="0.15">
      <c r="B17" s="29"/>
      <c r="C17" s="231" t="s">
        <v>19</v>
      </c>
      <c r="D17" s="232"/>
      <c r="E17" s="233" t="s">
        <v>189</v>
      </c>
      <c r="F17" s="234"/>
      <c r="G17" s="234"/>
      <c r="H17" s="234"/>
      <c r="I17" s="235"/>
    </row>
    <row r="18" spans="2:9" ht="24" customHeight="1" x14ac:dyDescent="0.15">
      <c r="B18" s="26" t="s">
        <v>20</v>
      </c>
      <c r="C18" s="30"/>
      <c r="D18" s="31"/>
      <c r="E18" s="32"/>
      <c r="F18" s="32"/>
      <c r="G18" s="32"/>
      <c r="H18" s="32"/>
      <c r="I18" s="35"/>
    </row>
    <row r="19" spans="2:9" ht="218.25" customHeight="1" x14ac:dyDescent="0.15">
      <c r="B19" s="28"/>
      <c r="C19" s="236" t="s">
        <v>21</v>
      </c>
      <c r="D19" s="237"/>
      <c r="E19" s="238" t="s">
        <v>179</v>
      </c>
      <c r="F19" s="238"/>
      <c r="G19" s="238"/>
      <c r="H19" s="238"/>
      <c r="I19" s="239"/>
    </row>
    <row r="20" spans="2:9" ht="218.25" customHeight="1" x14ac:dyDescent="0.15">
      <c r="B20" s="29"/>
      <c r="C20" s="231" t="s">
        <v>22</v>
      </c>
      <c r="D20" s="232"/>
      <c r="E20" s="240" t="s">
        <v>176</v>
      </c>
      <c r="F20" s="240"/>
      <c r="G20" s="240"/>
      <c r="H20" s="240"/>
      <c r="I20" s="241"/>
    </row>
    <row r="21" spans="2:9" ht="218.25" customHeight="1" x14ac:dyDescent="0.15">
      <c r="B21" s="221" t="s">
        <v>23</v>
      </c>
      <c r="C21" s="222"/>
      <c r="D21" s="223"/>
      <c r="E21" s="224" t="s">
        <v>177</v>
      </c>
      <c r="F21" s="224"/>
      <c r="G21" s="224"/>
      <c r="H21" s="224"/>
      <c r="I21" s="225"/>
    </row>
    <row r="22" spans="2:9" ht="218.25" customHeight="1" x14ac:dyDescent="0.15">
      <c r="B22" s="226" t="s">
        <v>121</v>
      </c>
      <c r="C22" s="227"/>
      <c r="D22" s="228"/>
      <c r="E22" s="229" t="s">
        <v>190</v>
      </c>
      <c r="F22" s="229"/>
      <c r="G22" s="229"/>
      <c r="H22" s="229"/>
      <c r="I22" s="23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Atsunori Kikuchi</dc:creator>
  <cp:lastModifiedBy>栃木　真理子</cp:lastModifiedBy>
  <cp:lastPrinted>2025-03-17T01:22:06Z</cp:lastPrinted>
  <dcterms:created xsi:type="dcterms:W3CDTF">2011-06-14T05:32:50Z</dcterms:created>
  <dcterms:modified xsi:type="dcterms:W3CDTF">2025-05-07T07:40:13Z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_NewReviewCycle">
    <vt:lpwstr/>
  </property>
  <property fmtid="{D5CDD505-2E9C-101B-9397-08002B2CF9AE}" pid="10" name="_AdHocReviewCycleID">
    <vt:i4>164664855</vt:i4>
  </property>
  <property fmtid="{D5CDD505-2E9C-101B-9397-08002B2CF9AE}" pid="11" name="_EmailSubject">
    <vt:lpwstr>「数理・データサイエンス・ＡＩ教育プログラム認定制度」の申請について</vt:lpwstr>
  </property>
  <property fmtid="{D5CDD505-2E9C-101B-9397-08002B2CF9AE}" pid="12" name="_AuthorEmail">
    <vt:lpwstr>m-irie@tosei-showa-music.ac.jp</vt:lpwstr>
  </property>
  <property fmtid="{D5CDD505-2E9C-101B-9397-08002B2CF9AE}" pid="13" name="_AuthorEmailDisplayName">
    <vt:lpwstr>入江　睦美</vt:lpwstr>
  </property>
  <property fmtid="{D5CDD505-2E9C-101B-9397-08002B2CF9AE}" pid="14" name="_PreviousAdHocReviewCycleID">
    <vt:i4>1910036586</vt:i4>
  </property>
</Properties>
</file>