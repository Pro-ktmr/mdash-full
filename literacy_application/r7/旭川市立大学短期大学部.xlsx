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Users\uchiyamayhi\Downloads\"/>
    </mc:Choice>
  </mc:AlternateContent>
  <xr:revisionPtr revIDLastSave="0" documentId="13_ncr:1_{4160824A-4110-468D-A3FB-0DDDFFA1ADAB}" xr6:coauthVersionLast="36" xr6:coauthVersionMax="47" xr10:uidLastSave="{00000000-0000-0000-0000-000000000000}"/>
  <bookViews>
    <workbookView xWindow="0" yWindow="0" windowWidth="28800" windowHeight="11760" tabRatio="885" activeTab="3" xr2:uid="{00000000-000D-0000-FFFF-FFFF00000000}"/>
  </bookViews>
  <sheets>
    <sheet name="様式１　プログラムを構成する授業科目" sheetId="43"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<sst xmlns="http://schemas.openxmlformats.org/spreadsheetml/2006/main" count="284" uniqueCount="185">
  <si>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</si>
  <si>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</si>
  <si>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</si>
  <si>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旭川市立大学短期大学部</t>
    <rPh sb="0" eb="4">
      <t>アサヒカワシリツ</t>
    </rPh>
    <rPh sb="4" eb="6">
      <t>ダイガク</t>
    </rPh>
    <rPh sb="6" eb="9">
      <t>タンキダイ</t>
    </rPh>
    <rPh sb="9" eb="11">
      <t>ガクブ</t>
    </rPh>
    <phoneticPr fontId="1"/>
  </si>
  <si>
    <t>プログラム名</t>
    <rPh sb="5" eb="6">
      <t>メイ</t>
    </rPh>
    <phoneticPr fontId="1"/>
  </si>
  <si>
    <t>ACU数理・データサイエンス・AI教育プログラム</t>
  </si>
  <si>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</si>
  <si>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</si>
  <si>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</si>
  <si>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</si>
  <si>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</si>
  <si>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「情報機器の操作」の2単位を修得すること。</t>
    <rPh sb="1" eb="3">
      <t>ジョウホウ</t>
    </rPh>
    <rPh sb="3" eb="5">
      <t>キキ</t>
    </rPh>
    <rPh sb="6" eb="8">
      <t>ソウサ</t>
    </rPh>
    <rPh sb="11" eb="13">
      <t>タンイ</t>
    </rPh>
    <rPh sb="14" eb="16">
      <t>シュウトク</t>
    </rPh>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</si>
  <si>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</si>
  <si>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</si>
  <si>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</si>
  <si>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</si>
  <si>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</si>
  <si>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</si>
  <si>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</si>
  <si>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</si>
  <si>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</si>
  <si>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</si>
  <si>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</si>
  <si>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</si>
  <si>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</si>
  <si>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</si>
  <si>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情報機器の操作</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</si>
  <si>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</si>
  <si>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</si>
  <si>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</si>
  <si>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</si>
  <si>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</si>
  <si>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</si>
  <si>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</si>
  <si>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</si>
  <si>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</si>
  <si>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</si>
  <si>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</si>
  <si>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</si>
  <si>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</si>
  <si>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</si>
  <si>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</si>
  <si>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</si>
  <si>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</si>
  <si>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</si>
  <si>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</si>
  <si>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</si>
  <si>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</si>
  <si>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</si>
  <si>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</si>
  <si>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</si>
  <si>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</si>
  <si>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</si>
  <si>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</si>
  <si>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</si>
  <si>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</si>
  <si>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</si>
  <si>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・ビッグデータ、IoT、AI、生成AI、ロボット「情報機器の操作」（１回目）
・第4次産業革命、Society 5.0、データ駆動型社会「情報機器の操作」（１回目）</t>
  </si>
  <si>
    <t>1-6</t>
    <phoneticPr fontId="1"/>
  </si>
  <si>
    <t>・AI最新技術の活用例（深層生成モデル、強化学習、転移学習、生成AIなど）「情報機器の操作」（１回目）</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</si>
  <si>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</si>
  <si>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・調査データ、実験データ、人の行動ログデータ、機械の稼働ログデータなど「情報機器の操作」（１回目）</t>
  </si>
  <si>
    <t>・データ・AI活用領域の広がり(生産、消費、文化活動など)「情報機器の操作」（１回目）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</si>
  <si>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</si>
  <si>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・データ解析：予測、グルーピング、パターン発見、最適化、モデル化とシミュレーション・データ同化など「情報機器の操作」（１回目）</t>
  </si>
  <si>
    <t>・教育、芸術、流通、製造、金融、サービス、インフラ、公共、ヘルスケア等におけるデータ・AI利活用事例紹介「情報機器の操作」（１回目）</t>
  </si>
  <si>
    <t>（４）活用に当たっての様々な留意事項（ELSI、個人情報、データ倫理、ＡＩ社会原則等）を考慮し、情報セキュリティや情報漏洩等、データを守る上での留意事項への理解をする</t>
    <phoneticPr fontId="1"/>
  </si>
  <si>
    <t>・データ倫理：データのねつ造、改ざん、盗用、プライバシー保護「情報機器の操作」（2回目）
・AI社会原則（公平性、説明責任、透明性、人間中心の判断）「情報機器の操作」（１回目）</t>
  </si>
  <si>
    <t>・情報セキュリティの3要素（機密性、完全性、可用性）「情報機器の操作」（2回目）
・情報漏洩等によるセキュリティ事故の事例紹介「情報機器の操作」（2回目）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</si>
  <si>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</si>
  <si>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</si>
  <si>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・データの種類（量的変数、質的変数）「情報処理Ⅱ」（3、8回目）
・データの分布(ヒストグラム)と代表値（平均値、中央値、最頻値）「情報処理Ⅱ」（8回目）
・代表値の性質の違い（実社会では平均値＝最頻値でないことが多い）「情報処理Ⅱ」（8回目）
・データのばらつき（分散、標準偏差、偏差値）、外れ値「情報処理Ⅱ」（8回目）
・相関と因果（相関係数、擬似相関、交絡）「情報処理Ⅱ」（11回目）
・母集団と標本抽出（国勢調査、アンケート調査、全数調査、単純無作為抽出、層別抽出、多段抽出）「情報処理Ⅱ」（13回目）
・クロス集計表、分割表、相関係数行列、散布図行列「情報処理Ⅱ」（11回目）
・統計情報の正しい理解（誇張表現に惑わされない）「情報処理Ⅱ」（15回目）</t>
    <phoneticPr fontId="1"/>
  </si>
  <si>
    <t>・データ表現（棒グラフ、折線グラフ、散布図、ヒートマップ、箱ひげ図）「情報処理Ⅱ」（4、9、10回目）
・データの比較（条件をそろえた比較、処理の前後での比較、A/Bテスト)「情報処理Ⅱ」（13回目）
・不適切なグラフ表現（チャートジャンク、不必要な視覚的要素）「情報処理Ⅱ」（9、10回目）
・優れた可視化事例の紹介（可視化することによって新たな気づきがあった事例など）「情報処理Ⅱ」（4回目）</t>
    <phoneticPr fontId="1"/>
  </si>
  <si>
    <t>・データの集計（和、平均）「情報処理Ⅱ」（5、6回目）
・データの並び替え、ランキング「情報処理Ⅱ」（7回目）
・表形式のデータ（csv）「情報処理Ⅱ」（3回目）</t>
    <phoneticPr fontId="1"/>
  </si>
  <si>
    <t>⑪ プログラムの学修成果（学生等が身に付けられる能力等）</t>
    <phoneticPr fontId="1"/>
  </si>
  <si>
    <t>①数理・データサイエンス・AIに関する基礎知識を身につけ、②情報リテラシーを涵養し、③表計算ソフトを使用してデータを分析する方法を学ぶ。簡単な作表やグラフの作成から、統計分析や対象をモデル化してシミュレーションを行う法など、基礎から応用を身に付ける。簡単な表形式データベースも扱い、汎用的技能、ＩＯＴ能力を活用し、課題の発見、情報の収集・分析、解決策を見出す能力を修得する。</t>
  </si>
  <si>
    <t>様式２</t>
    <phoneticPr fontId="1"/>
  </si>
  <si>
    <t>旭川市立大学短期大学部</t>
    <phoneticPr fontId="1"/>
  </si>
  <si>
    <t>リテラシーレベルのプログラムの履修者数等の実績について</t>
    <phoneticPr fontId="1"/>
  </si>
  <si>
    <t>①プログラム開設年度</t>
    <rPh sb="6" eb="8">
      <t>カイセツ</t>
    </rPh>
    <rPh sb="8" eb="10">
      <t>ネンド</t>
    </rPh>
    <phoneticPr fontId="1"/>
  </si>
  <si>
    <t>令和６</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</si>
  <si>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</si>
  <si>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</si>
  <si>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</si>
  <si>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</si>
  <si>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</si>
  <si>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</si>
  <si>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</si>
  <si>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</si>
  <si>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</si>
  <si>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</si>
  <si>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</si>
  <si>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</si>
  <si>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</si>
  <si>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</si>
  <si>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</si>
  <si>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</si>
  <si>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</si>
  <si>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</si>
  <si>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</si>
  <si>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</si>
  <si>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</si>
  <si>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</si>
  <si>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</si>
  <si>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</si>
  <si>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</si>
  <si>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食物栄養学科</t>
    <rPh sb="0" eb="2">
      <t>ショクモツ</t>
    </rPh>
    <rPh sb="2" eb="4">
      <t>エイヨウ</t>
    </rPh>
    <rPh sb="4" eb="6">
      <t>ガッカ</t>
    </rPh>
    <phoneticPr fontId="1"/>
  </si>
  <si>
    <t>幼児教育学科</t>
    <rPh sb="0" eb="2">
      <t>ヨウジ</t>
    </rPh>
    <rPh sb="2" eb="4">
      <t>キョウイク</t>
    </rPh>
    <rPh sb="4" eb="6">
      <t>ガッカ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</si>
  <si>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</si>
  <si>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</si>
  <si>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</si>
  <si>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</si>
  <si>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</si>
  <si>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</si>
  <si>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</si>
  <si>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</si>
  <si>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</si>
  <si>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</si>
  <si>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</si>
  <si>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</si>
  <si>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</si>
  <si>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西口　規彦</t>
  </si>
  <si>
    <t>（役職名）</t>
    <rPh sb="1" eb="4">
      <t>ヤクショクメイ</t>
    </rPh>
    <phoneticPr fontId="1"/>
  </si>
  <si>
    <t>副学長</t>
  </si>
  <si>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</si>
  <si>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</si>
  <si>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</si>
  <si>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</si>
  <si>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</si>
  <si>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</si>
  <si>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旭川市立大学短期大学部における数理、データサイエンス及びAIに関する教育プログラムの計画・策定を行い適正に運用すること。</t>
    <phoneticPr fontId="1"/>
  </si>
  <si>
    <t>⑦</t>
    <phoneticPr fontId="1"/>
  </si>
  <si>
    <t>具体的な構成員</t>
    <rPh sb="0" eb="3">
      <t>グタイテキ</t>
    </rPh>
    <rPh sb="4" eb="7">
      <t>コウセイイン</t>
    </rPh>
    <phoneticPr fontId="1"/>
  </si>
  <si>
    <t>委員会は 、学長が指名する副学長、大学の各学部から1名、短期大学部から1名、授業科目担当教員、教務課長、その他学長が必要と認めた者をもって組織する。
現状の構成員は以下の通り。
委員長：西口規彦　（副学長）
委員：佐藤直飛　（経済学部　准教授）
委員：廣岡憲造　（保健福祉学部　教授）
委員：藤本愉　（短期大学部　教授）
委員：浅水仁　（新学部設置準備室　教授（情報教育センター　所長））
委員：小川春菜　（教務課課長）
委員：須田孝徳（新学部設置準備室　教授）</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</si>
  <si>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</si>
  <si>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</si>
  <si>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</si>
  <si>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</si>
  <si>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</si>
  <si>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</si>
  <si>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</si>
  <si>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</si>
  <si>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</si>
  <si>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 xml:space="preserve">旭川市立大学短期大学部では、「情報機器の操作」の科目において、令和６年度より数理・データサイエンス・AI教育（リテラシーレベル）の申請向けて、旭川市立大学の各学部学科で実施している各科目と同一のシラバスで運用している。（経済学部「情報処理Ⅱ」、コミュニティ福祉学科「情報処理Ⅱ」、保健看護学科「統計学演習」）
令和６年度の履修率実績は３８％であったが、令和８年度以降は１００％になるように学生指導の積極化を予定している。
</t>
    <rPh sb="0" eb="6">
      <t>アサヒカワシリツダイガク</t>
    </rPh>
    <rPh sb="6" eb="11">
      <t>タンキダイガクブ</t>
    </rPh>
    <rPh sb="65" eb="68">
      <t>シンセイム</t>
    </rPh>
    <rPh sb="78" eb="81">
      <t>カクガクブ</t>
    </rPh>
    <rPh sb="81" eb="83">
      <t>ガッカ</t>
    </rPh>
    <rPh sb="84" eb="86">
      <t>ジッシ</t>
    </rPh>
    <rPh sb="90" eb="93">
      <t>カクカモク</t>
    </rPh>
    <rPh sb="94" eb="96">
      <t>ドウイツ</t>
    </rPh>
    <rPh sb="102" eb="104">
      <t>ウンヨウ</t>
    </rPh>
    <rPh sb="155" eb="157">
      <t>レイワ</t>
    </rPh>
    <rPh sb="158" eb="160">
      <t>ネンド</t>
    </rPh>
    <rPh sb="161" eb="163">
      <t>リシュウ</t>
    </rPh>
    <rPh sb="163" eb="164">
      <t>リツ</t>
    </rPh>
    <rPh sb="164" eb="166">
      <t>ジッセキ</t>
    </rPh>
    <rPh sb="176" eb="178">
      <t>レイワ</t>
    </rPh>
    <rPh sb="179" eb="181">
      <t>ネンド</t>
    </rPh>
    <rPh sb="181" eb="183">
      <t>イコウ</t>
    </rPh>
    <rPh sb="194" eb="198">
      <t>ガクセイシドウ</t>
    </rPh>
    <rPh sb="199" eb="202">
      <t>セッキョクカ</t>
    </rPh>
    <rPh sb="203" eb="205">
      <t>ヨテイ</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</si>
  <si>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</si>
  <si>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</si>
  <si>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食物栄養学科と幼児教育学科において、本プログラムを進める上で明らかになった問題点等については、各学科の特性を考慮しつつ、数理・データサイエンス・AI教育運営委員会において改善を進めていく。
</t>
    <rPh sb="0" eb="2">
      <t>ショクモツ</t>
    </rPh>
    <rPh sb="2" eb="6">
      <t>エイヨウガッカ</t>
    </rPh>
    <rPh sb="7" eb="13">
      <t>ヨウジキョウイクガッカ</t>
    </rPh>
    <rPh sb="18" eb="19">
      <t>ホン</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</si>
  <si>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</si>
  <si>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</si>
  <si>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年度当初のオリエンテーションの中で、本プログラムに関する重要性について周知及び履修促進を行っている。</t>
    <rPh sb="28" eb="31">
      <t>ジュウヨウセイ</t>
    </rPh>
    <phoneticPr fontId="1"/>
  </si>
  <si>
    <t>⑪</t>
    <phoneticPr fontId="1"/>
  </si>
  <si>
    <t>できる限り多くの学生が履修・修得できるようなサポート体制</t>
    <rPh sb="26" eb="28">
      <t>タイセイ</t>
    </rPh>
    <phoneticPr fontId="1"/>
  </si>
  <si>
    <t>全学科の学生が履修可能なカリキュラムとなっており、選択しやすいように工夫している。</t>
    <rPh sb="0" eb="3">
      <t>ゼンガッカ</t>
    </rPh>
    <rPh sb="25" eb="27">
      <t>センタク</t>
    </rPh>
    <rPh sb="34" eb="36">
      <t>クフウ</t>
    </rPh>
    <phoneticPr fontId="1"/>
  </si>
  <si>
    <t>⑫</t>
    <phoneticPr fontId="1"/>
  </si>
  <si>
    <t>授業時間内外で学習指導、質問を受け付ける具体的な仕組み</t>
    <rPh sb="20" eb="23">
      <t>グタイテキ</t>
    </rPh>
    <phoneticPr fontId="1"/>
  </si>
  <si>
    <t>ポータルサイトでオフィスアワーを公開し、質問を受け付けたり、指導を行う環境を整えている。Teamsやメールで学生が担当教員に質問することも可能となっている。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</si>
  <si>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</si>
  <si>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</si>
  <si>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</si>
  <si>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</si>
  <si>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</si>
  <si>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</si>
  <si>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</si>
  <si>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</si>
  <si>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</si>
  <si>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本学において数理・データサイエンス・AI教育（リテラシーレベル）にかかわる科目は、短期大学部では1年次前期開講科目の「情報機器の操作」である。
（1）履修状況：短期大学部（食物栄養学科・幼児教育学科）全体では選択科目であるが、積極的な履修の呼びかけによって1年生115人のうち113人（98％）が履修した。
（2）修得状況：令和6年度において、短期大学部「情報機器の操作」履修者113人のうち、単位修得者は105人（93％）であった。</t>
    <phoneticPr fontId="1"/>
  </si>
  <si>
    <t>学修成果</t>
    <rPh sb="0" eb="2">
      <t>ガクシュウ</t>
    </rPh>
    <rPh sb="2" eb="4">
      <t>セイカ</t>
    </rPh>
    <phoneticPr fontId="1"/>
  </si>
  <si>
    <t xml:space="preserve">短期大学部「情報機器の操作」の単位修得者105人のうち、評価がS（90点以上）である者は22人（21％）であり、A（89-80点）が30人（29％）であり、B（79-70点）が30人（29％）であった。B以上が79％であったことから、過半数の学生が本科目の目標である「データサイエンスを理解し、実践できる能力」を身につけたと考える。
</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</si>
  <si>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</si>
  <si>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短期大学部共通の学生による授業評価のアンケートで、「情報機器の操作」の理解度にかかわる質問項目の集計結果を以下に示す。
「全体を通して授業の内容が理解しやすいように工夫されていたか」という質問に対して、71％の履修者が「非常に、そう思う」「まあまあ、そう思う」と回答した。
以上の結果から、授業では学生の理解を促す取り組みが行われており、過半数の学生が授業内容を十分に理解して必要な知識を身につけ、最終的な成績ではB判定以上を取得したと考える。</t>
    <rPh sb="0" eb="5">
      <t>タンキダイガクブ</t>
    </rPh>
    <rPh sb="5" eb="7">
      <t>キョウツウ</t>
    </rPh>
    <rPh sb="8" eb="10">
      <t>ガクセイ</t>
    </rPh>
    <rPh sb="13" eb="15">
      <t>ジュギョウ</t>
    </rPh>
    <rPh sb="15" eb="17">
      <t>ヒョウカ</t>
    </rPh>
    <rPh sb="26" eb="28">
      <t>ジョウホウ</t>
    </rPh>
    <rPh sb="28" eb="30">
      <t>キキ</t>
    </rPh>
    <rPh sb="31" eb="33">
      <t>ソウサ</t>
    </rPh>
    <rPh sb="35" eb="38">
      <t>リカイド</t>
    </rPh>
    <rPh sb="43" eb="45">
      <t>シツモン</t>
    </rPh>
    <rPh sb="45" eb="47">
      <t>コウモク</t>
    </rPh>
    <rPh sb="48" eb="50">
      <t>シュウケイ</t>
    </rPh>
    <rPh sb="50" eb="52">
      <t>ケッカ</t>
    </rPh>
    <rPh sb="53" eb="55">
      <t>イカ</t>
    </rPh>
    <rPh sb="56" eb="57">
      <t>シメ</t>
    </rPh>
    <rPh sb="95" eb="97">
      <t>シツモン</t>
    </rPh>
    <rPh sb="98" eb="99">
      <t>タイ</t>
    </rPh>
    <rPh sb="106" eb="109">
      <t>リシュウシャ</t>
    </rPh>
    <rPh sb="111" eb="113">
      <t>ヒジョウ</t>
    </rPh>
    <rPh sb="117" eb="118">
      <t>オモ</t>
    </rPh>
    <rPh sb="128" eb="129">
      <t>オモ</t>
    </rPh>
    <rPh sb="132" eb="134">
      <t>カイトウ</t>
    </rPh>
    <rPh sb="139" eb="141">
      <t>イジョウ</t>
    </rPh>
    <rPh sb="142" eb="144">
      <t>ケッカ</t>
    </rPh>
    <rPh sb="147" eb="149">
      <t>ジュギョウ</t>
    </rPh>
    <rPh sb="151" eb="153">
      <t>ガクセイ</t>
    </rPh>
    <rPh sb="154" eb="156">
      <t>リカイ</t>
    </rPh>
    <rPh sb="157" eb="158">
      <t>ウナガ</t>
    </rPh>
    <rPh sb="159" eb="160">
      <t>ト</t>
    </rPh>
    <rPh sb="161" eb="162">
      <t>ク</t>
    </rPh>
    <rPh sb="164" eb="165">
      <t>オコナ</t>
    </rPh>
    <rPh sb="171" eb="174">
      <t>カハンスウ</t>
    </rPh>
    <rPh sb="175" eb="177">
      <t>ガクセイ</t>
    </rPh>
    <rPh sb="178" eb="180">
      <t>ジュギョウ</t>
    </rPh>
    <rPh sb="180" eb="182">
      <t>ナイヨウ</t>
    </rPh>
    <rPh sb="183" eb="185">
      <t>ジュウブン</t>
    </rPh>
    <rPh sb="186" eb="188">
      <t>リカイ</t>
    </rPh>
    <rPh sb="190" eb="192">
      <t>ヒツヨウ</t>
    </rPh>
    <rPh sb="193" eb="195">
      <t>チシキ</t>
    </rPh>
    <rPh sb="196" eb="197">
      <t>ミ</t>
    </rPh>
    <rPh sb="215" eb="217">
      <t>シュトク</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</si>
  <si>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</si>
  <si>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本学共通の学生による授業評価のアンケートで「後輩等、他の学生への推奨度」にかかわる質問項目では、「この授業の内容に興味・関心を持つことができたか」という項目が挙げられる。
上記質問項目について、87％の履修者が「非常に、よくできた」「ある程度、できた」と回答した。
現在のところ、アンケートの自由記述式回答は一般には公表していないが、今後、後輩にとって参考になる回答は、HPなどを通じた後輩学生に対するフィードバックも検討する予定である。</t>
    <rPh sb="22" eb="24">
      <t>コウハイ</t>
    </rPh>
    <rPh sb="24" eb="25">
      <t>トウ</t>
    </rPh>
    <rPh sb="26" eb="27">
      <t>タ</t>
    </rPh>
    <rPh sb="28" eb="30">
      <t>ガクセイ</t>
    </rPh>
    <rPh sb="32" eb="34">
      <t>スイショウ</t>
    </rPh>
    <rPh sb="34" eb="35">
      <t>ド</t>
    </rPh>
    <rPh sb="41" eb="43">
      <t>シツモン</t>
    </rPh>
    <rPh sb="43" eb="45">
      <t>コウモク</t>
    </rPh>
    <rPh sb="76" eb="78">
      <t>コウモク</t>
    </rPh>
    <rPh sb="79" eb="80">
      <t>ア</t>
    </rPh>
    <rPh sb="87" eb="89">
      <t>ジョウキ</t>
    </rPh>
    <rPh sb="89" eb="91">
      <t>シツモン</t>
    </rPh>
    <rPh sb="91" eb="93">
      <t>コウモク</t>
    </rPh>
    <rPh sb="102" eb="105">
      <t>リシュウシャ</t>
    </rPh>
    <rPh sb="107" eb="109">
      <t>ヒジョウ</t>
    </rPh>
    <rPh sb="120" eb="122">
      <t>テイド</t>
    </rPh>
    <rPh sb="128" eb="130">
      <t>カイトウ</t>
    </rPh>
    <rPh sb="135" eb="137">
      <t>ゲンザイ</t>
    </rPh>
    <rPh sb="148" eb="150">
      <t>ジユウ</t>
    </rPh>
    <rPh sb="150" eb="152">
      <t>キジュツ</t>
    </rPh>
    <rPh sb="152" eb="153">
      <t>シキ</t>
    </rPh>
    <rPh sb="153" eb="155">
      <t>カイトウ</t>
    </rPh>
    <rPh sb="156" eb="158">
      <t>イッパン</t>
    </rPh>
    <rPh sb="160" eb="162">
      <t>コウヒョウ</t>
    </rPh>
    <rPh sb="169" eb="171">
      <t>コンゴ</t>
    </rPh>
    <rPh sb="172" eb="174">
      <t>コウハイ</t>
    </rPh>
    <rPh sb="178" eb="180">
      <t>サンコウ</t>
    </rPh>
    <rPh sb="183" eb="185">
      <t>カイトウ</t>
    </rPh>
    <rPh sb="192" eb="193">
      <t>ツウ</t>
    </rPh>
    <rPh sb="195" eb="197">
      <t>コウハイ</t>
    </rPh>
    <rPh sb="197" eb="199">
      <t>ガクセイ</t>
    </rPh>
    <rPh sb="200" eb="201">
      <t>タイ</t>
    </rPh>
    <rPh sb="211" eb="213">
      <t>ケントウ</t>
    </rPh>
    <rPh sb="215" eb="217">
      <t>ヨテイ</t>
    </rPh>
    <phoneticPr fontId="1"/>
  </si>
  <si>
    <t>全学的な履修者数、履修率向上に向けた計画の達成・進捗状況</t>
  </si>
  <si>
    <t>幼児教育学科において「情報機器の操作」は、幼稚園教諭二種免許状を取得する上での必修科目となっており、全学生が履修している。また、食物栄養学科においては選択科目であるが、1年次後期に開講される専門科目「栄養指導論Ⅲ（栄養情報処理）」への導入科目としても位置付けされており、その点からも、今後さらなる履修率の向上のために、積極的な履修の呼びかけを継続的に行う予定であ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</si>
  <si>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</si>
  <si>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</si>
  <si>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卒業生の進路状況については、本学キャリア支援課が郵送によって質問紙調査を行っている。本調査では、卒業生本人には就業の状況を調査し、卒業生が入職した事業所の担当者には、本学卒業生に求める能力の種類と、就業している卒業生の能力に対する評価について質問している。
　数理・データサイエンス・AI教育（リテラシーレベル）にかかわる科目は令和6年度の1年生から開始されたために、本教育プログラム修了者の活躍状況を検討するのは令和8年以降になる。その際には、本学キャリア支援課による調査結果を用いて、評価を行うことになる。</t>
    <rPh sb="0" eb="3">
      <t>ソツギョウセイ</t>
    </rPh>
    <rPh sb="20" eb="23">
      <t>シエンカ</t>
    </rPh>
    <rPh sb="24" eb="26">
      <t>ユウソウ</t>
    </rPh>
    <rPh sb="30" eb="33">
      <t>シツモンシ</t>
    </rPh>
    <rPh sb="36" eb="37">
      <t>オコナ</t>
    </rPh>
    <rPh sb="42" eb="45">
      <t>ホンチョウサ</t>
    </rPh>
    <rPh sb="48" eb="51">
      <t>ソツギョウセイ</t>
    </rPh>
    <rPh sb="51" eb="53">
      <t>ホンニン</t>
    </rPh>
    <rPh sb="55" eb="57">
      <t>シュウギョウ</t>
    </rPh>
    <rPh sb="58" eb="60">
      <t>ジョウキョウ</t>
    </rPh>
    <rPh sb="61" eb="63">
      <t>チョウサ</t>
    </rPh>
    <rPh sb="65" eb="68">
      <t>ソツギョウセイ</t>
    </rPh>
    <rPh sb="69" eb="71">
      <t>ニュウショク</t>
    </rPh>
    <rPh sb="73" eb="76">
      <t>ジギョウショ</t>
    </rPh>
    <rPh sb="77" eb="80">
      <t>タントウシャ</t>
    </rPh>
    <rPh sb="83" eb="85">
      <t>ホンガク</t>
    </rPh>
    <rPh sb="85" eb="88">
      <t>ソツギョウセイ</t>
    </rPh>
    <rPh sb="89" eb="90">
      <t>モト</t>
    </rPh>
    <rPh sb="92" eb="94">
      <t>ノウリョク</t>
    </rPh>
    <rPh sb="95" eb="97">
      <t>シュルイ</t>
    </rPh>
    <rPh sb="105" eb="108">
      <t>ソツギョウセイ</t>
    </rPh>
    <rPh sb="109" eb="111">
      <t>ノウリョク</t>
    </rPh>
    <rPh sb="112" eb="113">
      <t>タイ</t>
    </rPh>
    <rPh sb="115" eb="117">
      <t>ヒョウカ</t>
    </rPh>
    <rPh sb="121" eb="123">
      <t>シツモン</t>
    </rPh>
    <rPh sb="164" eb="166">
      <t>レイワ</t>
    </rPh>
    <rPh sb="167" eb="169">
      <t>ネンド</t>
    </rPh>
    <rPh sb="171" eb="173">
      <t>ネンセイ</t>
    </rPh>
    <rPh sb="175" eb="177">
      <t>カイシ</t>
    </rPh>
    <rPh sb="184" eb="185">
      <t>ホン</t>
    </rPh>
    <rPh sb="185" eb="187">
      <t>キョウイク</t>
    </rPh>
    <rPh sb="192" eb="195">
      <t>シュウリョウシャ</t>
    </rPh>
    <rPh sb="196" eb="198">
      <t>カツヤク</t>
    </rPh>
    <rPh sb="198" eb="200">
      <t>ジョウキョウ</t>
    </rPh>
    <rPh sb="201" eb="203">
      <t>ケントウ</t>
    </rPh>
    <rPh sb="207" eb="209">
      <t>レイワ</t>
    </rPh>
    <rPh sb="210" eb="213">
      <t>ネンイコウ</t>
    </rPh>
    <rPh sb="219" eb="220">
      <t>サイ</t>
    </rPh>
    <rPh sb="223" eb="225">
      <t>ホンガク</t>
    </rPh>
    <rPh sb="229" eb="232">
      <t>シエンカ</t>
    </rPh>
    <rPh sb="235" eb="237">
      <t>チョウサ</t>
    </rPh>
    <rPh sb="237" eb="239">
      <t>ケッカ</t>
    </rPh>
    <rPh sb="240" eb="241">
      <t>モチ</t>
    </rPh>
    <rPh sb="244" eb="246">
      <t>ヒョウカ</t>
    </rPh>
    <rPh sb="247" eb="248">
      <t>オコナ</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</si>
  <si>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</si>
  <si>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卒業生に求められるデータサイエンス、DXなどに関する知識を本教育プログラムに反映させることについて、現状では全国的な傾向にもとづいて授業内容を検討するに留まる。
　今後、キャリア支援課を中心に、卒業生が就業する地元企業に対する聞き取り調査や、卒業生の進路状況に関する質問紙調査の質問にデータサイエンスに関する項目を設けるなどの方法を検討する予定である。</t>
    <rPh sb="0" eb="3">
      <t>ソツギョウセイ</t>
    </rPh>
    <rPh sb="4" eb="5">
      <t>モト</t>
    </rPh>
    <rPh sb="23" eb="24">
      <t>カン</t>
    </rPh>
    <rPh sb="26" eb="28">
      <t>チシキ</t>
    </rPh>
    <rPh sb="29" eb="32">
      <t>ホンキョウイク</t>
    </rPh>
    <rPh sb="38" eb="40">
      <t>ハンエイ</t>
    </rPh>
    <rPh sb="50" eb="52">
      <t>ゲンジョウ</t>
    </rPh>
    <rPh sb="54" eb="57">
      <t>ゼンコクテキ</t>
    </rPh>
    <rPh sb="58" eb="60">
      <t>ケイコウ</t>
    </rPh>
    <rPh sb="66" eb="68">
      <t>ジュギョウ</t>
    </rPh>
    <rPh sb="68" eb="70">
      <t>ナイヨウ</t>
    </rPh>
    <rPh sb="71" eb="73">
      <t>ケントウ</t>
    </rPh>
    <rPh sb="76" eb="77">
      <t>トド</t>
    </rPh>
    <rPh sb="82" eb="84">
      <t>コンゴ</t>
    </rPh>
    <rPh sb="89" eb="91">
      <t>シエン</t>
    </rPh>
    <rPh sb="91" eb="92">
      <t>カ</t>
    </rPh>
    <rPh sb="93" eb="95">
      <t>チュウシン</t>
    </rPh>
    <rPh sb="97" eb="100">
      <t>ソツギョウセイ</t>
    </rPh>
    <rPh sb="101" eb="103">
      <t>シュウギョウ</t>
    </rPh>
    <rPh sb="105" eb="107">
      <t>ジモト</t>
    </rPh>
    <rPh sb="107" eb="109">
      <t>キギョウ</t>
    </rPh>
    <rPh sb="110" eb="111">
      <t>タイ</t>
    </rPh>
    <rPh sb="113" eb="114">
      <t>キ</t>
    </rPh>
    <rPh sb="115" eb="116">
      <t>ト</t>
    </rPh>
    <rPh sb="117" eb="119">
      <t>チョウサ</t>
    </rPh>
    <rPh sb="121" eb="124">
      <t>ソツギョウセイ</t>
    </rPh>
    <rPh sb="125" eb="127">
      <t>シンロ</t>
    </rPh>
    <rPh sb="127" eb="129">
      <t>ジョウキョウ</t>
    </rPh>
    <rPh sb="130" eb="131">
      <t>カン</t>
    </rPh>
    <rPh sb="133" eb="136">
      <t>シツモンシ</t>
    </rPh>
    <rPh sb="136" eb="138">
      <t>チョウサ</t>
    </rPh>
    <rPh sb="139" eb="141">
      <t>シツモン</t>
    </rPh>
    <rPh sb="151" eb="152">
      <t>カン</t>
    </rPh>
    <rPh sb="154" eb="156">
      <t>コウモク</t>
    </rPh>
    <rPh sb="157" eb="158">
      <t>モウ</t>
    </rPh>
    <rPh sb="163" eb="165">
      <t>ホウホウ</t>
    </rPh>
    <rPh sb="166" eb="168">
      <t>ケントウ</t>
    </rPh>
    <rPh sb="170" eb="172">
      <t>ヨテイ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</si>
  <si>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</si>
  <si>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短期大学部共通の学生による授業評価のアンケートで、数理・データサイエンス・AIを学ぶ「楽しさ」「意義」に関する質問として、「この授業の内容に興味・関心を持つことができたか」「全体を通してこの授業は満足できたか」という項目が挙げられる。
（1）「この授業の内容に興味・関心を持つことができたか」という質問に対し、87％の履修者が「非常に、よくできた」「ある程度、できた」と回答した（前掲）。
（2）「全体を通してこの授業は満足できたか」という質問に対し、77％の履修者が「非常に、そう思う」「まあまあ、そう思う」と回答した。
この結果から、過半数の学生が、本教育プログラムを通じてデータサイエンス等に関する学修の意義を理解していたと考える。</t>
    <rPh sb="0" eb="5">
      <t>タンキダイガクブ</t>
    </rPh>
    <rPh sb="55" eb="57">
      <t>シツモン</t>
    </rPh>
    <rPh sb="150" eb="152">
      <t>シツモン</t>
    </rPh>
    <rPh sb="153" eb="154">
      <t>タイ</t>
    </rPh>
    <rPh sb="160" eb="163">
      <t>リシュウシャ</t>
    </rPh>
    <rPh sb="165" eb="167">
      <t>ヒジョウ</t>
    </rPh>
    <rPh sb="178" eb="180">
      <t>テイド</t>
    </rPh>
    <rPh sb="186" eb="188">
      <t>カイトウ</t>
    </rPh>
    <rPh sb="191" eb="193">
      <t>ゼンケイ</t>
    </rPh>
    <rPh sb="243" eb="244">
      <t>オモ</t>
    </rPh>
    <rPh sb="254" eb="255">
      <t>オモ</t>
    </rPh>
    <rPh sb="267" eb="269">
      <t>ケッカ</t>
    </rPh>
    <rPh sb="272" eb="275">
      <t>カハンスウ</t>
    </rPh>
    <rPh sb="276" eb="278">
      <t>ガクセイ</t>
    </rPh>
    <rPh sb="280" eb="283">
      <t>ホンキョウイク</t>
    </rPh>
    <rPh sb="289" eb="290">
      <t>ツウ</t>
    </rPh>
    <rPh sb="300" eb="301">
      <t>トウ</t>
    </rPh>
    <rPh sb="302" eb="303">
      <t>カン</t>
    </rPh>
    <rPh sb="305" eb="307">
      <t>ガクシュウ</t>
    </rPh>
    <rPh sb="308" eb="310">
      <t>イギ</t>
    </rPh>
    <rPh sb="311" eb="313">
      <t>リカイ</t>
    </rPh>
    <rPh sb="318" eb="319">
      <t>カンガ</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</si>
  <si>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</si>
  <si>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学生による授業評価のアンケート結果は、すべて担当教員にフィードバックされている。</t>
    <rPh sb="5" eb="7">
      <t>ジュギョウ</t>
    </rPh>
    <rPh sb="7" eb="9">
      <t>ヒョウカ</t>
    </rPh>
    <rPh sb="15" eb="17">
      <t>ケッカ</t>
    </rPh>
    <phoneticPr fontId="1"/>
  </si>
  <si>
    <t>旭川市立大学数理・データサイエンス・AI教育運営委員会</t>
    <rPh sb="0" eb="4">
      <t>アサヒカワシリツ</t>
    </rPh>
    <rPh sb="4" eb="6">
      <t>ダイガク</t>
    </rPh>
    <phoneticPr fontId="1"/>
  </si>
  <si>
    <t>旭川市立大学数理・データサイエンス・AI教育運営委員会要綱</t>
    <rPh sb="27" eb="29">
      <t>ヨウコウ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</si>
</sst>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3" fillId="2" borderId="37" xfId="0" applyFont="1" applyFill="1" applyBorder="1" applyAlignment="1">
      <alignment vertical="top" shrinkToFit="1"/>
    </xf>
    <xf numFmtId="0" fontId="13" fillId="2" borderId="38" xfId="0" applyFont="1" applyFill="1" applyBorder="1" applyAlignment="1">
      <alignment vertical="top" shrinkToFit="1"/>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3" fillId="0" borderId="41" xfId="0" applyFont="1" applyBorder="1" applyAlignment="1">
      <alignment vertical="center" wrapText="1"/>
    </xf>
    <xf numFmtId="49" fontId="3" fillId="0" borderId="29" xfId="0" applyNumberFormat="1" applyFont="1" applyBorder="1" applyAlignment="1">
      <alignment horizontal="left" vertical="center"/>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49" fontId="7" fillId="0" borderId="18" xfId="0" applyNumberFormat="1" applyFont="1" applyBorder="1" applyAlignment="1">
      <alignment horizontal="left" vertical="center" wrapText="1"/>
    </xf>
    <xf numFmtId="49" fontId="7" fillId="0" borderId="19" xfId="0" applyNumberFormat="1" applyFont="1" applyBorder="1" applyAlignment="1">
      <alignment horizontal="left" vertical="center"/>
    </xf>
    <xf numFmtId="49" fontId="7" fillId="0" borderId="17" xfId="0" applyNumberFormat="1" applyFont="1" applyBorder="1" applyAlignment="1">
      <alignment horizontal="left" vertical="center"/>
    </xf>
    <xf numFmtId="49" fontId="7" fillId="0" borderId="32" xfId="0" applyNumberFormat="1" applyFont="1" applyBorder="1" applyAlignment="1">
      <alignment horizontal="left" vertical="center" wrapText="1"/>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49" fontId="3" fillId="0" borderId="32" xfId="0" applyNumberFormat="1"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2" xfId="0" applyFont="1" applyBorder="1" applyAlignment="1">
      <alignment vertical="top" wrapText="1" shrinkToFi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BD979-1F78-4628-B1B2-09974A98E463}">
  <sheetPr>
    <pageSetUpPr fitToPage="1"/>
  </sheetPr>
  <dimension ref="A1:AA107"/>
  <sheetViews>
    <sheetView showZeros="0" view="pageBreakPreview" zoomScaleNormal="100" zoomScaleSheetLayoutView="100" workbookViewId="0">
      <selection activeCell="G71" sqref="G71"/>
    </sheetView>
  </sheetViews>
  <sheetFormatPr defaultColWidth="9" defaultRowHeight="18.75" customHeight="1" x14ac:dyDescent="0.15"/>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83" t="s">
        <v>0</v>
      </c>
      <c r="U1" s="83"/>
      <c r="V1" s="2" t="s">
        <v>1</v>
      </c>
    </row>
    <row r="2" spans="1:24" ht="18.75" customHeight="1" x14ac:dyDescent="0.15">
      <c r="B2" s="17" t="s">
        <v>2</v>
      </c>
      <c r="C2" s="84" t="s">
        <v>3</v>
      </c>
      <c r="D2" s="85"/>
      <c r="E2" s="85"/>
      <c r="F2" s="85"/>
      <c r="G2" s="85"/>
      <c r="H2" s="85"/>
      <c r="I2" s="85"/>
      <c r="J2" s="86"/>
      <c r="K2" s="18"/>
      <c r="L2" s="6"/>
      <c r="M2" s="6"/>
      <c r="N2" s="6"/>
      <c r="O2" s="6"/>
      <c r="P2" s="6"/>
      <c r="Q2" s="6"/>
      <c r="R2" s="6"/>
      <c r="S2" s="6"/>
      <c r="T2" s="6"/>
      <c r="U2" s="6"/>
    </row>
    <row r="3" spans="1:24" ht="18.75" customHeight="1" x14ac:dyDescent="0.15">
      <c r="B3" s="17" t="s">
        <v>4</v>
      </c>
      <c r="C3" s="84" t="s">
        <v>5</v>
      </c>
      <c r="D3" s="85"/>
      <c r="E3" s="85"/>
      <c r="F3" s="85"/>
      <c r="G3" s="85"/>
      <c r="H3" s="85"/>
      <c r="I3" s="85"/>
      <c r="J3" s="86"/>
      <c r="K3" s="18"/>
      <c r="L3" s="6"/>
      <c r="M3" s="6"/>
      <c r="N3" s="6"/>
      <c r="O3" s="6"/>
      <c r="P3" s="6"/>
      <c r="Q3" s="6"/>
      <c r="R3" s="6"/>
      <c r="S3" s="6"/>
      <c r="T3" s="6"/>
      <c r="U3" s="6"/>
    </row>
    <row r="4" spans="1:24" ht="15" customHeight="1" x14ac:dyDescent="0.15">
      <c r="L4" s="18"/>
      <c r="M4" s="72"/>
      <c r="N4" s="72"/>
      <c r="O4" s="72"/>
      <c r="P4" s="72"/>
      <c r="Q4" s="72"/>
      <c r="R4" s="72"/>
      <c r="S4" s="72"/>
      <c r="T4" s="72"/>
      <c r="U4" s="72"/>
    </row>
    <row r="5" spans="1:24" ht="18" customHeight="1" x14ac:dyDescent="0.15">
      <c r="A5" s="87" t="s">
        <v>6</v>
      </c>
      <c r="B5" s="87"/>
      <c r="C5" s="87"/>
      <c r="D5" s="87"/>
      <c r="E5" s="87"/>
      <c r="F5" s="87"/>
      <c r="G5" s="87"/>
      <c r="H5" s="87"/>
      <c r="I5" s="87"/>
      <c r="J5" s="87"/>
      <c r="K5" s="87"/>
      <c r="L5" s="87"/>
      <c r="M5" s="87"/>
      <c r="N5" s="87"/>
      <c r="O5" s="87"/>
      <c r="P5" s="87"/>
      <c r="Q5" s="87"/>
      <c r="R5" s="87"/>
      <c r="S5" s="87"/>
      <c r="T5" s="87"/>
      <c r="U5" s="87"/>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88" t="s">
        <v>8</v>
      </c>
      <c r="M7" s="89"/>
      <c r="N7" s="89"/>
      <c r="O7" s="89"/>
      <c r="P7" s="89"/>
      <c r="Q7" s="89"/>
      <c r="R7" s="89"/>
      <c r="S7" s="89"/>
      <c r="T7" s="89"/>
      <c r="U7" s="90"/>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1"/>
      <c r="C11" s="92"/>
      <c r="D11" s="92"/>
      <c r="E11" s="92"/>
      <c r="F11" s="92"/>
      <c r="G11" s="92"/>
      <c r="H11" s="92"/>
      <c r="I11" s="92"/>
      <c r="J11" s="92"/>
      <c r="K11" s="92"/>
      <c r="L11" s="92"/>
      <c r="M11" s="92"/>
      <c r="N11" s="92"/>
      <c r="O11" s="92"/>
      <c r="P11" s="92"/>
      <c r="Q11" s="92"/>
      <c r="R11" s="92"/>
      <c r="S11" s="92"/>
      <c r="T11" s="92"/>
      <c r="U11" s="93"/>
    </row>
    <row r="12" spans="1:24" ht="18" customHeight="1" x14ac:dyDescent="0.15">
      <c r="B12" s="94"/>
      <c r="C12" s="95"/>
      <c r="D12" s="95"/>
      <c r="E12" s="95"/>
      <c r="F12" s="95"/>
      <c r="G12" s="95"/>
      <c r="H12" s="95"/>
      <c r="I12" s="95"/>
      <c r="J12" s="95"/>
      <c r="K12" s="95"/>
      <c r="L12" s="95"/>
      <c r="M12" s="95"/>
      <c r="N12" s="95"/>
      <c r="O12" s="95"/>
      <c r="P12" s="95"/>
      <c r="Q12" s="95"/>
      <c r="R12" s="95"/>
      <c r="S12" s="95"/>
      <c r="T12" s="95"/>
      <c r="U12" s="96"/>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10</v>
      </c>
      <c r="B14" s="3"/>
      <c r="C14" s="3"/>
      <c r="D14" s="3"/>
      <c r="E14" s="18"/>
      <c r="F14" s="18"/>
      <c r="G14" s="18"/>
      <c r="H14" s="18"/>
      <c r="I14" s="18"/>
      <c r="J14" s="18"/>
      <c r="K14" s="18"/>
      <c r="L14" s="73"/>
      <c r="M14" s="73"/>
      <c r="N14" s="73"/>
      <c r="O14" s="73"/>
      <c r="P14" s="73"/>
      <c r="Q14" s="73"/>
      <c r="R14" s="73"/>
      <c r="S14" s="73"/>
      <c r="T14" s="73"/>
      <c r="U14" s="73"/>
    </row>
    <row r="15" spans="1:24" ht="18" customHeight="1" x14ac:dyDescent="0.15">
      <c r="B15" s="100" t="s">
        <v>11</v>
      </c>
      <c r="C15" s="101"/>
      <c r="D15" s="101"/>
      <c r="E15" s="101"/>
      <c r="F15" s="101"/>
      <c r="G15" s="101"/>
      <c r="H15" s="101"/>
      <c r="I15" s="101"/>
      <c r="J15" s="101"/>
      <c r="K15" s="101"/>
      <c r="L15" s="101"/>
      <c r="M15" s="101"/>
      <c r="N15" s="101"/>
      <c r="O15" s="101"/>
      <c r="P15" s="101"/>
      <c r="Q15" s="101"/>
      <c r="R15" s="101"/>
      <c r="S15" s="101"/>
      <c r="T15" s="101"/>
      <c r="U15" s="102"/>
      <c r="X15" s="1" t="s">
        <v>12</v>
      </c>
    </row>
    <row r="16" spans="1:24" ht="18" customHeight="1" x14ac:dyDescent="0.15">
      <c r="B16" s="103"/>
      <c r="C16" s="104"/>
      <c r="D16" s="104"/>
      <c r="E16" s="104"/>
      <c r="F16" s="104"/>
      <c r="G16" s="104"/>
      <c r="H16" s="104"/>
      <c r="I16" s="104"/>
      <c r="J16" s="104"/>
      <c r="K16" s="104"/>
      <c r="L16" s="104"/>
      <c r="M16" s="104"/>
      <c r="N16" s="104"/>
      <c r="O16" s="104"/>
      <c r="P16" s="104"/>
      <c r="Q16" s="104"/>
      <c r="R16" s="104"/>
      <c r="S16" s="104"/>
      <c r="T16" s="104"/>
      <c r="U16" s="105"/>
      <c r="X16" s="1" t="s">
        <v>13</v>
      </c>
    </row>
    <row r="17" spans="1:24" ht="18" customHeight="1" x14ac:dyDescent="0.15">
      <c r="B17" s="103"/>
      <c r="C17" s="104"/>
      <c r="D17" s="104"/>
      <c r="E17" s="104"/>
      <c r="F17" s="104"/>
      <c r="G17" s="104"/>
      <c r="H17" s="104"/>
      <c r="I17" s="104"/>
      <c r="J17" s="104"/>
      <c r="K17" s="104"/>
      <c r="L17" s="104"/>
      <c r="M17" s="104"/>
      <c r="N17" s="104"/>
      <c r="O17" s="104"/>
      <c r="P17" s="104"/>
      <c r="Q17" s="104"/>
      <c r="R17" s="104"/>
      <c r="S17" s="104"/>
      <c r="T17" s="104"/>
      <c r="U17" s="105"/>
      <c r="X17" s="1" t="s">
        <v>14</v>
      </c>
    </row>
    <row r="18" spans="1:24" ht="18" customHeight="1" x14ac:dyDescent="0.15">
      <c r="B18" s="103"/>
      <c r="C18" s="104"/>
      <c r="D18" s="104"/>
      <c r="E18" s="104"/>
      <c r="F18" s="104"/>
      <c r="G18" s="104"/>
      <c r="H18" s="104"/>
      <c r="I18" s="104"/>
      <c r="J18" s="104"/>
      <c r="K18" s="104"/>
      <c r="L18" s="104"/>
      <c r="M18" s="104"/>
      <c r="N18" s="104"/>
      <c r="O18" s="104"/>
      <c r="P18" s="104"/>
      <c r="Q18" s="104"/>
      <c r="R18" s="104"/>
      <c r="S18" s="104"/>
      <c r="T18" s="104"/>
      <c r="U18" s="105"/>
      <c r="X18" s="1" t="s">
        <v>15</v>
      </c>
    </row>
    <row r="19" spans="1:24" ht="18" customHeight="1" x14ac:dyDescent="0.15">
      <c r="B19" s="103"/>
      <c r="C19" s="104"/>
      <c r="D19" s="104"/>
      <c r="E19" s="104"/>
      <c r="F19" s="104"/>
      <c r="G19" s="104"/>
      <c r="H19" s="104"/>
      <c r="I19" s="104"/>
      <c r="J19" s="104"/>
      <c r="K19" s="104"/>
      <c r="L19" s="104"/>
      <c r="M19" s="104"/>
      <c r="N19" s="104"/>
      <c r="O19" s="104"/>
      <c r="P19" s="104"/>
      <c r="Q19" s="104"/>
      <c r="R19" s="104"/>
      <c r="S19" s="104"/>
      <c r="T19" s="104"/>
      <c r="U19" s="105"/>
    </row>
    <row r="20" spans="1:24" ht="18" customHeight="1" x14ac:dyDescent="0.15">
      <c r="B20" s="106"/>
      <c r="C20" s="107"/>
      <c r="D20" s="107"/>
      <c r="E20" s="107"/>
      <c r="F20" s="107"/>
      <c r="G20" s="107"/>
      <c r="H20" s="107"/>
      <c r="I20" s="107"/>
      <c r="J20" s="107"/>
      <c r="K20" s="107"/>
      <c r="L20" s="107"/>
      <c r="M20" s="107"/>
      <c r="N20" s="107"/>
      <c r="O20" s="107"/>
      <c r="P20" s="107"/>
      <c r="Q20" s="107"/>
      <c r="R20" s="107"/>
      <c r="S20" s="107"/>
      <c r="T20" s="107"/>
      <c r="U20" s="10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16</v>
      </c>
      <c r="E22" s="74">
        <v>1</v>
      </c>
      <c r="F22" s="1" t="s">
        <v>17</v>
      </c>
      <c r="H22" s="19">
        <v>2</v>
      </c>
      <c r="I22" s="3" t="s">
        <v>18</v>
      </c>
      <c r="J22" s="3"/>
      <c r="K22" s="18"/>
      <c r="M22" s="18" t="s">
        <v>19</v>
      </c>
      <c r="N22" s="109" t="s">
        <v>15</v>
      </c>
      <c r="O22" s="110"/>
      <c r="P22" s="110"/>
      <c r="Q22" s="110"/>
      <c r="R22" s="110"/>
      <c r="S22" s="110"/>
      <c r="T22" s="110"/>
      <c r="U22" s="111"/>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2" t="s">
        <v>20</v>
      </c>
      <c r="B24" s="112"/>
      <c r="C24" s="112"/>
      <c r="D24" s="112"/>
      <c r="E24" s="112"/>
      <c r="F24" s="112"/>
      <c r="G24" s="112"/>
      <c r="H24" s="112"/>
      <c r="I24" s="112"/>
      <c r="J24" s="112"/>
      <c r="K24" s="112"/>
      <c r="L24" s="112"/>
      <c r="M24" s="112"/>
      <c r="N24" s="112"/>
      <c r="O24" s="112"/>
      <c r="P24" s="112"/>
      <c r="Q24" s="112"/>
      <c r="R24" s="112"/>
      <c r="S24" s="112"/>
      <c r="T24" s="112"/>
      <c r="U24" s="112"/>
    </row>
    <row r="25" spans="1:24" ht="18" customHeight="1" x14ac:dyDescent="0.15">
      <c r="A25" s="112"/>
      <c r="B25" s="112"/>
      <c r="C25" s="112"/>
      <c r="D25" s="112"/>
      <c r="E25" s="112"/>
      <c r="F25" s="112"/>
      <c r="G25" s="112"/>
      <c r="H25" s="112"/>
      <c r="I25" s="112"/>
      <c r="J25" s="112"/>
      <c r="K25" s="112"/>
      <c r="L25" s="112"/>
      <c r="M25" s="112"/>
      <c r="N25" s="112"/>
      <c r="O25" s="112"/>
      <c r="P25" s="112"/>
      <c r="Q25" s="112"/>
      <c r="R25" s="112"/>
      <c r="S25" s="112"/>
      <c r="T25" s="112"/>
      <c r="U25" s="112"/>
    </row>
    <row r="26" spans="1:24" ht="18" customHeight="1" x14ac:dyDescent="0.15">
      <c r="B26" s="84" t="s">
        <v>21</v>
      </c>
      <c r="C26" s="85"/>
      <c r="D26" s="85"/>
      <c r="E26" s="85"/>
      <c r="F26" s="86"/>
      <c r="G26" s="58" t="s">
        <v>22</v>
      </c>
      <c r="H26" s="59" t="s">
        <v>23</v>
      </c>
      <c r="I26" s="60" t="s">
        <v>24</v>
      </c>
      <c r="J26" s="60" t="s">
        <v>25</v>
      </c>
      <c r="K26" s="84" t="s">
        <v>21</v>
      </c>
      <c r="L26" s="85"/>
      <c r="M26" s="85"/>
      <c r="N26" s="85"/>
      <c r="O26" s="85"/>
      <c r="P26" s="85"/>
      <c r="Q26" s="86"/>
      <c r="R26" s="58" t="s">
        <v>22</v>
      </c>
      <c r="S26" s="59" t="s">
        <v>23</v>
      </c>
      <c r="T26" s="60" t="s">
        <v>24</v>
      </c>
      <c r="U26" s="60" t="s">
        <v>25</v>
      </c>
    </row>
    <row r="27" spans="1:24" ht="18" customHeight="1" x14ac:dyDescent="0.15">
      <c r="B27" s="113" t="s">
        <v>26</v>
      </c>
      <c r="C27" s="114"/>
      <c r="D27" s="114"/>
      <c r="E27" s="114"/>
      <c r="F27" s="115"/>
      <c r="G27" s="61">
        <v>2</v>
      </c>
      <c r="H27" s="61" t="s">
        <v>27</v>
      </c>
      <c r="I27" s="61" t="s">
        <v>27</v>
      </c>
      <c r="J27" s="61" t="s">
        <v>27</v>
      </c>
      <c r="K27" s="113"/>
      <c r="L27" s="114"/>
      <c r="M27" s="114"/>
      <c r="N27" s="114"/>
      <c r="O27" s="114"/>
      <c r="P27" s="114"/>
      <c r="Q27" s="115"/>
      <c r="R27" s="61"/>
      <c r="S27" s="61"/>
      <c r="T27" s="61"/>
      <c r="U27" s="61"/>
    </row>
    <row r="28" spans="1:24" ht="18" customHeight="1" x14ac:dyDescent="0.15">
      <c r="B28" s="97"/>
      <c r="C28" s="98"/>
      <c r="D28" s="98"/>
      <c r="E28" s="98"/>
      <c r="F28" s="99"/>
      <c r="G28" s="62"/>
      <c r="H28" s="62"/>
      <c r="I28" s="62"/>
      <c r="J28" s="62"/>
      <c r="K28" s="97"/>
      <c r="L28" s="98"/>
      <c r="M28" s="98"/>
      <c r="N28" s="98"/>
      <c r="O28" s="98"/>
      <c r="P28" s="98"/>
      <c r="Q28" s="99"/>
      <c r="R28" s="62"/>
      <c r="S28" s="62"/>
      <c r="T28" s="62"/>
      <c r="U28" s="62"/>
    </row>
    <row r="29" spans="1:24" ht="18" customHeight="1" x14ac:dyDescent="0.15">
      <c r="B29" s="97"/>
      <c r="C29" s="98"/>
      <c r="D29" s="98"/>
      <c r="E29" s="98"/>
      <c r="F29" s="99"/>
      <c r="G29" s="62"/>
      <c r="H29" s="62"/>
      <c r="I29" s="62"/>
      <c r="J29" s="62"/>
      <c r="K29" s="97"/>
      <c r="L29" s="98"/>
      <c r="M29" s="98"/>
      <c r="N29" s="98"/>
      <c r="O29" s="98"/>
      <c r="P29" s="98"/>
      <c r="Q29" s="99"/>
      <c r="R29" s="62"/>
      <c r="S29" s="62"/>
      <c r="T29" s="62"/>
      <c r="U29" s="62"/>
    </row>
    <row r="30" spans="1:24" ht="18" customHeight="1" x14ac:dyDescent="0.15">
      <c r="B30" s="97"/>
      <c r="C30" s="98"/>
      <c r="D30" s="98"/>
      <c r="E30" s="98"/>
      <c r="F30" s="99"/>
      <c r="G30" s="62"/>
      <c r="H30" s="62"/>
      <c r="I30" s="62"/>
      <c r="J30" s="62"/>
      <c r="K30" s="97"/>
      <c r="L30" s="98"/>
      <c r="M30" s="98"/>
      <c r="N30" s="98"/>
      <c r="O30" s="98"/>
      <c r="P30" s="98"/>
      <c r="Q30" s="99"/>
      <c r="R30" s="62"/>
      <c r="S30" s="62"/>
      <c r="T30" s="62"/>
      <c r="U30" s="62"/>
    </row>
    <row r="31" spans="1:24" ht="18" customHeight="1" x14ac:dyDescent="0.15">
      <c r="B31" s="97"/>
      <c r="C31" s="98"/>
      <c r="D31" s="98"/>
      <c r="E31" s="98"/>
      <c r="F31" s="99"/>
      <c r="G31" s="62"/>
      <c r="H31" s="62"/>
      <c r="I31" s="62"/>
      <c r="J31" s="62"/>
      <c r="K31" s="97"/>
      <c r="L31" s="98"/>
      <c r="M31" s="98"/>
      <c r="N31" s="98"/>
      <c r="O31" s="98"/>
      <c r="P31" s="98"/>
      <c r="Q31" s="99"/>
      <c r="R31" s="62"/>
      <c r="S31" s="62"/>
      <c r="T31" s="62"/>
      <c r="U31" s="62"/>
    </row>
    <row r="32" spans="1:24" ht="18" customHeight="1" x14ac:dyDescent="0.15">
      <c r="A32" s="3"/>
      <c r="B32" s="97"/>
      <c r="C32" s="98"/>
      <c r="D32" s="98"/>
      <c r="E32" s="98"/>
      <c r="F32" s="99"/>
      <c r="G32" s="62"/>
      <c r="H32" s="62"/>
      <c r="I32" s="62"/>
      <c r="J32" s="62"/>
      <c r="K32" s="97"/>
      <c r="L32" s="98"/>
      <c r="M32" s="98"/>
      <c r="N32" s="98"/>
      <c r="O32" s="98"/>
      <c r="P32" s="98"/>
      <c r="Q32" s="99"/>
      <c r="R32" s="62"/>
      <c r="S32" s="62"/>
      <c r="T32" s="62"/>
      <c r="U32" s="62"/>
    </row>
    <row r="33" spans="1:21" ht="18" customHeight="1" x14ac:dyDescent="0.15">
      <c r="A33" s="3"/>
      <c r="B33" s="116"/>
      <c r="C33" s="117"/>
      <c r="D33" s="117"/>
      <c r="E33" s="117"/>
      <c r="F33" s="118"/>
      <c r="G33" s="63"/>
      <c r="H33" s="63"/>
      <c r="I33" s="64"/>
      <c r="J33" s="64"/>
      <c r="K33" s="116"/>
      <c r="L33" s="117"/>
      <c r="M33" s="117"/>
      <c r="N33" s="117"/>
      <c r="O33" s="117"/>
      <c r="P33" s="117"/>
      <c r="Q33" s="118"/>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2" t="s">
        <v>28</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84" t="s">
        <v>21</v>
      </c>
      <c r="C37" s="85"/>
      <c r="D37" s="85"/>
      <c r="E37" s="85"/>
      <c r="F37" s="86"/>
      <c r="G37" s="58" t="s">
        <v>22</v>
      </c>
      <c r="H37" s="59" t="s">
        <v>23</v>
      </c>
      <c r="I37" s="60" t="s">
        <v>29</v>
      </c>
      <c r="J37" s="60" t="s">
        <v>30</v>
      </c>
      <c r="K37" s="84" t="s">
        <v>21</v>
      </c>
      <c r="L37" s="85"/>
      <c r="M37" s="85"/>
      <c r="N37" s="85"/>
      <c r="O37" s="85"/>
      <c r="P37" s="85"/>
      <c r="Q37" s="86"/>
      <c r="R37" s="58" t="s">
        <v>22</v>
      </c>
      <c r="S37" s="59" t="s">
        <v>23</v>
      </c>
      <c r="T37" s="60" t="s">
        <v>29</v>
      </c>
      <c r="U37" s="60" t="s">
        <v>30</v>
      </c>
    </row>
    <row r="38" spans="1:21" ht="18" customHeight="1" x14ac:dyDescent="0.15">
      <c r="B38" s="113" t="s">
        <v>26</v>
      </c>
      <c r="C38" s="114"/>
      <c r="D38" s="114"/>
      <c r="E38" s="114"/>
      <c r="F38" s="115"/>
      <c r="G38" s="61">
        <v>2</v>
      </c>
      <c r="H38" s="61" t="s">
        <v>27</v>
      </c>
      <c r="I38" s="61" t="s">
        <v>27</v>
      </c>
      <c r="J38" s="61" t="s">
        <v>27</v>
      </c>
      <c r="K38" s="113"/>
      <c r="L38" s="114"/>
      <c r="M38" s="114"/>
      <c r="N38" s="114"/>
      <c r="O38" s="114"/>
      <c r="P38" s="114"/>
      <c r="Q38" s="115"/>
      <c r="R38" s="61"/>
      <c r="S38" s="61"/>
      <c r="T38" s="61"/>
      <c r="U38" s="61"/>
    </row>
    <row r="39" spans="1:21" ht="18" customHeight="1" x14ac:dyDescent="0.15">
      <c r="B39" s="97"/>
      <c r="C39" s="98"/>
      <c r="D39" s="98"/>
      <c r="E39" s="98"/>
      <c r="F39" s="99"/>
      <c r="G39" s="62"/>
      <c r="H39" s="62"/>
      <c r="I39" s="62"/>
      <c r="J39" s="62"/>
      <c r="K39" s="97"/>
      <c r="L39" s="98"/>
      <c r="M39" s="98"/>
      <c r="N39" s="98"/>
      <c r="O39" s="98"/>
      <c r="P39" s="98"/>
      <c r="Q39" s="99"/>
      <c r="R39" s="62"/>
      <c r="S39" s="62"/>
      <c r="T39" s="62"/>
      <c r="U39" s="62"/>
    </row>
    <row r="40" spans="1:21" ht="18" customHeight="1" x14ac:dyDescent="0.15">
      <c r="B40" s="97"/>
      <c r="C40" s="98"/>
      <c r="D40" s="98"/>
      <c r="E40" s="98"/>
      <c r="F40" s="99"/>
      <c r="G40" s="62"/>
      <c r="H40" s="62"/>
      <c r="I40" s="62"/>
      <c r="J40" s="62"/>
      <c r="K40" s="97"/>
      <c r="L40" s="98"/>
      <c r="M40" s="98"/>
      <c r="N40" s="98"/>
      <c r="O40" s="98"/>
      <c r="P40" s="98"/>
      <c r="Q40" s="99"/>
      <c r="R40" s="62"/>
      <c r="S40" s="62"/>
      <c r="T40" s="62"/>
      <c r="U40" s="62"/>
    </row>
    <row r="41" spans="1:21" ht="18" customHeight="1" x14ac:dyDescent="0.15">
      <c r="B41" s="97"/>
      <c r="C41" s="98"/>
      <c r="D41" s="98"/>
      <c r="E41" s="98"/>
      <c r="F41" s="99"/>
      <c r="G41" s="62"/>
      <c r="H41" s="62"/>
      <c r="I41" s="62"/>
      <c r="J41" s="62"/>
      <c r="K41" s="97"/>
      <c r="L41" s="98"/>
      <c r="M41" s="98"/>
      <c r="N41" s="98"/>
      <c r="O41" s="98"/>
      <c r="P41" s="98"/>
      <c r="Q41" s="99"/>
      <c r="R41" s="62"/>
      <c r="S41" s="62"/>
      <c r="T41" s="62"/>
      <c r="U41" s="62"/>
    </row>
    <row r="42" spans="1:21" ht="18" customHeight="1" x14ac:dyDescent="0.15">
      <c r="B42" s="97"/>
      <c r="C42" s="98"/>
      <c r="D42" s="98"/>
      <c r="E42" s="98"/>
      <c r="F42" s="99"/>
      <c r="G42" s="62"/>
      <c r="H42" s="62"/>
      <c r="I42" s="62"/>
      <c r="J42" s="62"/>
      <c r="K42" s="97"/>
      <c r="L42" s="98"/>
      <c r="M42" s="98"/>
      <c r="N42" s="98"/>
      <c r="O42" s="98"/>
      <c r="P42" s="98"/>
      <c r="Q42" s="99"/>
      <c r="R42" s="62"/>
      <c r="S42" s="62"/>
      <c r="T42" s="62"/>
      <c r="U42" s="62"/>
    </row>
    <row r="43" spans="1:21" ht="18" customHeight="1" x14ac:dyDescent="0.15">
      <c r="B43" s="97"/>
      <c r="C43" s="98"/>
      <c r="D43" s="98"/>
      <c r="E43" s="98"/>
      <c r="F43" s="99"/>
      <c r="G43" s="62"/>
      <c r="H43" s="62"/>
      <c r="I43" s="62"/>
      <c r="J43" s="62"/>
      <c r="K43" s="97"/>
      <c r="L43" s="98"/>
      <c r="M43" s="98"/>
      <c r="N43" s="98"/>
      <c r="O43" s="98"/>
      <c r="P43" s="98"/>
      <c r="Q43" s="99"/>
      <c r="R43" s="62"/>
      <c r="S43" s="62"/>
      <c r="T43" s="62"/>
      <c r="U43" s="62"/>
    </row>
    <row r="44" spans="1:21" ht="18" customHeight="1" x14ac:dyDescent="0.15">
      <c r="B44" s="116"/>
      <c r="C44" s="117"/>
      <c r="D44" s="117"/>
      <c r="E44" s="117"/>
      <c r="F44" s="118"/>
      <c r="G44" s="63"/>
      <c r="H44" s="63"/>
      <c r="I44" s="64"/>
      <c r="J44" s="64"/>
      <c r="K44" s="116"/>
      <c r="L44" s="117"/>
      <c r="M44" s="117"/>
      <c r="N44" s="117"/>
      <c r="O44" s="117"/>
      <c r="P44" s="117"/>
      <c r="Q44" s="118"/>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2" t="s">
        <v>31</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84" t="s">
        <v>21</v>
      </c>
      <c r="C48" s="85"/>
      <c r="D48" s="85"/>
      <c r="E48" s="85"/>
      <c r="F48" s="86"/>
      <c r="G48" s="58" t="s">
        <v>22</v>
      </c>
      <c r="H48" s="59" t="s">
        <v>23</v>
      </c>
      <c r="I48" s="60" t="s">
        <v>32</v>
      </c>
      <c r="J48" s="60" t="s">
        <v>33</v>
      </c>
      <c r="K48" s="84" t="s">
        <v>21</v>
      </c>
      <c r="L48" s="85"/>
      <c r="M48" s="85"/>
      <c r="N48" s="85"/>
      <c r="O48" s="85"/>
      <c r="P48" s="85"/>
      <c r="Q48" s="86"/>
      <c r="R48" s="58" t="s">
        <v>22</v>
      </c>
      <c r="S48" s="59" t="s">
        <v>23</v>
      </c>
      <c r="T48" s="60" t="s">
        <v>32</v>
      </c>
      <c r="U48" s="60" t="s">
        <v>33</v>
      </c>
    </row>
    <row r="49" spans="1:21" ht="18" customHeight="1" x14ac:dyDescent="0.15">
      <c r="A49" s="3"/>
      <c r="B49" s="113" t="s">
        <v>26</v>
      </c>
      <c r="C49" s="114"/>
      <c r="D49" s="114"/>
      <c r="E49" s="114"/>
      <c r="F49" s="115"/>
      <c r="G49" s="61">
        <v>2</v>
      </c>
      <c r="H49" s="61" t="s">
        <v>27</v>
      </c>
      <c r="I49" s="61" t="s">
        <v>27</v>
      </c>
      <c r="J49" s="61" t="s">
        <v>27</v>
      </c>
      <c r="K49" s="113"/>
      <c r="L49" s="114"/>
      <c r="M49" s="114"/>
      <c r="N49" s="114"/>
      <c r="O49" s="114"/>
      <c r="P49" s="114"/>
      <c r="Q49" s="115"/>
      <c r="R49" s="61"/>
      <c r="S49" s="61"/>
      <c r="T49" s="61"/>
      <c r="U49" s="61"/>
    </row>
    <row r="50" spans="1:21" ht="18" customHeight="1" x14ac:dyDescent="0.15">
      <c r="A50" s="3"/>
      <c r="B50" s="97"/>
      <c r="C50" s="98"/>
      <c r="D50" s="98"/>
      <c r="E50" s="98"/>
      <c r="F50" s="99"/>
      <c r="G50" s="62"/>
      <c r="H50" s="62"/>
      <c r="I50" s="62"/>
      <c r="J50" s="62"/>
      <c r="K50" s="97"/>
      <c r="L50" s="98"/>
      <c r="M50" s="98"/>
      <c r="N50" s="98"/>
      <c r="O50" s="98"/>
      <c r="P50" s="98"/>
      <c r="Q50" s="99"/>
      <c r="R50" s="62"/>
      <c r="S50" s="62"/>
      <c r="T50" s="62"/>
      <c r="U50" s="62"/>
    </row>
    <row r="51" spans="1:21" ht="18" customHeight="1" x14ac:dyDescent="0.15">
      <c r="A51" s="3"/>
      <c r="B51" s="97"/>
      <c r="C51" s="98"/>
      <c r="D51" s="98"/>
      <c r="E51" s="98"/>
      <c r="F51" s="99"/>
      <c r="G51" s="62"/>
      <c r="H51" s="62"/>
      <c r="I51" s="62"/>
      <c r="J51" s="62"/>
      <c r="K51" s="97"/>
      <c r="L51" s="98"/>
      <c r="M51" s="98"/>
      <c r="N51" s="98"/>
      <c r="O51" s="98"/>
      <c r="P51" s="98"/>
      <c r="Q51" s="99"/>
      <c r="R51" s="62"/>
      <c r="S51" s="62"/>
      <c r="T51" s="62"/>
      <c r="U51" s="62"/>
    </row>
    <row r="52" spans="1:21" ht="18" customHeight="1" x14ac:dyDescent="0.15">
      <c r="A52" s="3"/>
      <c r="B52" s="97"/>
      <c r="C52" s="98"/>
      <c r="D52" s="98"/>
      <c r="E52" s="98"/>
      <c r="F52" s="99"/>
      <c r="G52" s="62"/>
      <c r="H52" s="62"/>
      <c r="I52" s="62"/>
      <c r="J52" s="62"/>
      <c r="K52" s="97"/>
      <c r="L52" s="98"/>
      <c r="M52" s="98"/>
      <c r="N52" s="98"/>
      <c r="O52" s="98"/>
      <c r="P52" s="98"/>
      <c r="Q52" s="99"/>
      <c r="R52" s="62"/>
      <c r="S52" s="62"/>
      <c r="T52" s="62"/>
      <c r="U52" s="62"/>
    </row>
    <row r="53" spans="1:21" ht="18" customHeight="1" x14ac:dyDescent="0.15">
      <c r="A53" s="3"/>
      <c r="B53" s="97"/>
      <c r="C53" s="98"/>
      <c r="D53" s="98"/>
      <c r="E53" s="98"/>
      <c r="F53" s="99"/>
      <c r="G53" s="62"/>
      <c r="H53" s="62"/>
      <c r="I53" s="62"/>
      <c r="J53" s="62"/>
      <c r="K53" s="97"/>
      <c r="L53" s="98"/>
      <c r="M53" s="98"/>
      <c r="N53" s="98"/>
      <c r="O53" s="98"/>
      <c r="P53" s="98"/>
      <c r="Q53" s="99"/>
      <c r="R53" s="62"/>
      <c r="S53" s="62"/>
      <c r="T53" s="62"/>
      <c r="U53" s="62"/>
    </row>
    <row r="54" spans="1:21" ht="18" customHeight="1" x14ac:dyDescent="0.15">
      <c r="A54" s="3"/>
      <c r="B54" s="97"/>
      <c r="C54" s="98"/>
      <c r="D54" s="98"/>
      <c r="E54" s="98"/>
      <c r="F54" s="99"/>
      <c r="G54" s="62"/>
      <c r="H54" s="62"/>
      <c r="I54" s="62"/>
      <c r="J54" s="62"/>
      <c r="K54" s="97"/>
      <c r="L54" s="98"/>
      <c r="M54" s="98"/>
      <c r="N54" s="98"/>
      <c r="O54" s="98"/>
      <c r="P54" s="98"/>
      <c r="Q54" s="99"/>
      <c r="R54" s="62"/>
      <c r="S54" s="62"/>
      <c r="T54" s="62"/>
      <c r="U54" s="62"/>
    </row>
    <row r="55" spans="1:21" ht="18" customHeight="1" x14ac:dyDescent="0.15">
      <c r="A55" s="3"/>
      <c r="B55" s="116"/>
      <c r="C55" s="117"/>
      <c r="D55" s="117"/>
      <c r="E55" s="117"/>
      <c r="F55" s="118"/>
      <c r="G55" s="63"/>
      <c r="H55" s="63"/>
      <c r="I55" s="64"/>
      <c r="J55" s="64"/>
      <c r="K55" s="116"/>
      <c r="L55" s="117"/>
      <c r="M55" s="117"/>
      <c r="N55" s="117"/>
      <c r="O55" s="117"/>
      <c r="P55" s="117"/>
      <c r="Q55" s="118"/>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2" t="s">
        <v>34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84" t="s">
        <v>21</v>
      </c>
      <c r="C59" s="85"/>
      <c r="D59" s="85"/>
      <c r="E59" s="85"/>
      <c r="F59" s="86"/>
      <c r="G59" s="58" t="s">
        <v>22</v>
      </c>
      <c r="H59" s="59" t="s">
        <v>23</v>
      </c>
      <c r="I59" s="60" t="s">
        <v>35</v>
      </c>
      <c r="J59" s="60" t="s">
        <v>36</v>
      </c>
      <c r="K59" s="84" t="s">
        <v>21</v>
      </c>
      <c r="L59" s="85"/>
      <c r="M59" s="85"/>
      <c r="N59" s="85"/>
      <c r="O59" s="85"/>
      <c r="P59" s="85"/>
      <c r="Q59" s="86"/>
      <c r="R59" s="58" t="s">
        <v>22</v>
      </c>
      <c r="S59" s="59" t="s">
        <v>23</v>
      </c>
      <c r="T59" s="60" t="s">
        <v>35</v>
      </c>
      <c r="U59" s="60" t="s">
        <v>36</v>
      </c>
    </row>
    <row r="60" spans="1:21" ht="18" customHeight="1" x14ac:dyDescent="0.15">
      <c r="A60" s="3"/>
      <c r="B60" s="113" t="s">
        <v>26</v>
      </c>
      <c r="C60" s="114"/>
      <c r="D60" s="114"/>
      <c r="E60" s="114"/>
      <c r="F60" s="115"/>
      <c r="G60" s="61">
        <v>2</v>
      </c>
      <c r="H60" s="61" t="s">
        <v>27</v>
      </c>
      <c r="I60" s="61" t="s">
        <v>27</v>
      </c>
      <c r="J60" s="61" t="s">
        <v>27</v>
      </c>
      <c r="K60" s="113"/>
      <c r="L60" s="114"/>
      <c r="M60" s="114"/>
      <c r="N60" s="114"/>
      <c r="O60" s="114"/>
      <c r="P60" s="114"/>
      <c r="Q60" s="115"/>
      <c r="R60" s="61"/>
      <c r="S60" s="61"/>
      <c r="T60" s="61"/>
      <c r="U60" s="61"/>
    </row>
    <row r="61" spans="1:21" ht="18" customHeight="1" x14ac:dyDescent="0.15">
      <c r="A61" s="3"/>
      <c r="B61" s="97"/>
      <c r="C61" s="98"/>
      <c r="D61" s="98"/>
      <c r="E61" s="98"/>
      <c r="F61" s="99"/>
      <c r="G61" s="62"/>
      <c r="H61" s="62"/>
      <c r="I61" s="62"/>
      <c r="J61" s="62"/>
      <c r="K61" s="97"/>
      <c r="L61" s="98"/>
      <c r="M61" s="98"/>
      <c r="N61" s="98"/>
      <c r="O61" s="98"/>
      <c r="P61" s="98"/>
      <c r="Q61" s="99"/>
      <c r="R61" s="62"/>
      <c r="S61" s="62"/>
      <c r="T61" s="62"/>
      <c r="U61" s="62"/>
    </row>
    <row r="62" spans="1:21" ht="18" customHeight="1" x14ac:dyDescent="0.15">
      <c r="A62" s="3"/>
      <c r="B62" s="97"/>
      <c r="C62" s="98"/>
      <c r="D62" s="98"/>
      <c r="E62" s="98"/>
      <c r="F62" s="99"/>
      <c r="G62" s="62"/>
      <c r="H62" s="62"/>
      <c r="I62" s="62"/>
      <c r="J62" s="62"/>
      <c r="K62" s="97"/>
      <c r="L62" s="98"/>
      <c r="M62" s="98"/>
      <c r="N62" s="98"/>
      <c r="O62" s="98"/>
      <c r="P62" s="98"/>
      <c r="Q62" s="99"/>
      <c r="R62" s="62"/>
      <c r="S62" s="62"/>
      <c r="T62" s="62"/>
      <c r="U62" s="62"/>
    </row>
    <row r="63" spans="1:21" ht="18" customHeight="1" x14ac:dyDescent="0.15">
      <c r="A63" s="3"/>
      <c r="B63" s="97"/>
      <c r="C63" s="98"/>
      <c r="D63" s="98"/>
      <c r="E63" s="98"/>
      <c r="F63" s="99"/>
      <c r="G63" s="62"/>
      <c r="H63" s="62"/>
      <c r="I63" s="62"/>
      <c r="J63" s="62"/>
      <c r="K63" s="97"/>
      <c r="L63" s="98"/>
      <c r="M63" s="98"/>
      <c r="N63" s="98"/>
      <c r="O63" s="98"/>
      <c r="P63" s="98"/>
      <c r="Q63" s="99"/>
      <c r="R63" s="62"/>
      <c r="S63" s="62"/>
      <c r="T63" s="62"/>
      <c r="U63" s="62"/>
    </row>
    <row r="64" spans="1:21" ht="18" customHeight="1" x14ac:dyDescent="0.15">
      <c r="A64" s="3"/>
      <c r="B64" s="97"/>
      <c r="C64" s="98"/>
      <c r="D64" s="98"/>
      <c r="E64" s="98"/>
      <c r="F64" s="99"/>
      <c r="G64" s="62"/>
      <c r="H64" s="62"/>
      <c r="I64" s="62"/>
      <c r="J64" s="62"/>
      <c r="K64" s="97"/>
      <c r="L64" s="98"/>
      <c r="M64" s="98"/>
      <c r="N64" s="98"/>
      <c r="O64" s="98"/>
      <c r="P64" s="98"/>
      <c r="Q64" s="99"/>
      <c r="R64" s="62"/>
      <c r="S64" s="62"/>
      <c r="T64" s="62"/>
      <c r="U64" s="62"/>
    </row>
    <row r="65" spans="1:27" ht="18" customHeight="1" x14ac:dyDescent="0.15">
      <c r="A65" s="3"/>
      <c r="B65" s="97"/>
      <c r="C65" s="98"/>
      <c r="D65" s="98"/>
      <c r="E65" s="98"/>
      <c r="F65" s="99"/>
      <c r="G65" s="62"/>
      <c r="H65" s="62"/>
      <c r="I65" s="62"/>
      <c r="J65" s="62"/>
      <c r="K65" s="97"/>
      <c r="L65" s="98"/>
      <c r="M65" s="98"/>
      <c r="N65" s="98"/>
      <c r="O65" s="98"/>
      <c r="P65" s="98"/>
      <c r="Q65" s="99"/>
      <c r="R65" s="62"/>
      <c r="S65" s="62"/>
      <c r="T65" s="62"/>
      <c r="U65" s="62"/>
    </row>
    <row r="66" spans="1:27" ht="18" customHeight="1" x14ac:dyDescent="0.15">
      <c r="A66" s="3"/>
      <c r="B66" s="116"/>
      <c r="C66" s="117"/>
      <c r="D66" s="117"/>
      <c r="E66" s="117"/>
      <c r="F66" s="118"/>
      <c r="G66" s="63"/>
      <c r="H66" s="63"/>
      <c r="I66" s="64"/>
      <c r="J66" s="64"/>
      <c r="K66" s="116"/>
      <c r="L66" s="117"/>
      <c r="M66" s="117"/>
      <c r="N66" s="117"/>
      <c r="O66" s="117"/>
      <c r="P66" s="117"/>
      <c r="Q66" s="118"/>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2" t="s">
        <v>37</v>
      </c>
      <c r="B68" s="112"/>
      <c r="C68" s="112"/>
      <c r="D68" s="112"/>
      <c r="E68" s="112"/>
      <c r="F68" s="112"/>
      <c r="G68" s="112"/>
      <c r="H68" s="112"/>
      <c r="I68" s="112"/>
      <c r="J68" s="112"/>
      <c r="K68" s="112"/>
      <c r="L68" s="112"/>
      <c r="M68" s="112"/>
      <c r="N68" s="112"/>
      <c r="O68" s="112"/>
      <c r="P68" s="112"/>
      <c r="Q68" s="112"/>
      <c r="R68" s="112"/>
      <c r="S68" s="112"/>
      <c r="T68" s="112"/>
      <c r="U68" s="112"/>
    </row>
    <row r="69" spans="1:27"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7" ht="18" customHeight="1" x14ac:dyDescent="0.15">
      <c r="B70" s="84" t="s">
        <v>21</v>
      </c>
      <c r="C70" s="85"/>
      <c r="D70" s="85"/>
      <c r="E70" s="85"/>
      <c r="F70" s="58" t="s">
        <v>22</v>
      </c>
      <c r="G70" s="59" t="s">
        <v>23</v>
      </c>
      <c r="H70" s="60" t="s">
        <v>38</v>
      </c>
      <c r="I70" s="60" t="s">
        <v>39</v>
      </c>
      <c r="J70" s="60" t="s">
        <v>40</v>
      </c>
      <c r="K70" s="84" t="s">
        <v>21</v>
      </c>
      <c r="L70" s="85"/>
      <c r="M70" s="85"/>
      <c r="N70" s="85"/>
      <c r="O70" s="85"/>
      <c r="P70" s="86"/>
      <c r="Q70" s="58" t="s">
        <v>22</v>
      </c>
      <c r="R70" s="59" t="s">
        <v>23</v>
      </c>
      <c r="S70" s="60" t="s">
        <v>38</v>
      </c>
      <c r="T70" s="60" t="s">
        <v>39</v>
      </c>
      <c r="U70" s="60" t="s">
        <v>40</v>
      </c>
    </row>
    <row r="71" spans="1:27" ht="18" customHeight="1" x14ac:dyDescent="0.15">
      <c r="A71" s="3"/>
      <c r="B71" s="113" t="s">
        <v>26</v>
      </c>
      <c r="C71" s="114"/>
      <c r="D71" s="114"/>
      <c r="E71" s="115"/>
      <c r="F71" s="61">
        <v>2</v>
      </c>
      <c r="G71" s="61" t="s">
        <v>27</v>
      </c>
      <c r="H71" s="61" t="s">
        <v>27</v>
      </c>
      <c r="I71" s="61" t="s">
        <v>27</v>
      </c>
      <c r="J71" s="61" t="s">
        <v>27</v>
      </c>
      <c r="K71" s="113"/>
      <c r="L71" s="114"/>
      <c r="M71" s="114"/>
      <c r="N71" s="114"/>
      <c r="O71" s="114"/>
      <c r="P71" s="115"/>
      <c r="Q71" s="61"/>
      <c r="R71" s="61"/>
      <c r="S71" s="61"/>
      <c r="T71" s="61"/>
      <c r="U71" s="61"/>
    </row>
    <row r="72" spans="1:27" ht="18" customHeight="1" x14ac:dyDescent="0.15">
      <c r="A72" s="3"/>
      <c r="B72" s="97"/>
      <c r="C72" s="98"/>
      <c r="D72" s="98"/>
      <c r="E72" s="98"/>
      <c r="F72" s="62"/>
      <c r="G72" s="62"/>
      <c r="H72" s="62"/>
      <c r="I72" s="62"/>
      <c r="J72" s="62"/>
      <c r="K72" s="97"/>
      <c r="L72" s="98"/>
      <c r="M72" s="98"/>
      <c r="N72" s="98"/>
      <c r="O72" s="98"/>
      <c r="P72" s="99"/>
      <c r="Q72" s="62"/>
      <c r="R72" s="62"/>
      <c r="S72" s="62"/>
      <c r="T72" s="62"/>
      <c r="U72" s="62"/>
    </row>
    <row r="73" spans="1:27" ht="18" customHeight="1" x14ac:dyDescent="0.15">
      <c r="A73" s="3"/>
      <c r="B73" s="97"/>
      <c r="C73" s="98"/>
      <c r="D73" s="98"/>
      <c r="E73" s="98"/>
      <c r="F73" s="62"/>
      <c r="G73" s="62"/>
      <c r="H73" s="62"/>
      <c r="I73" s="62"/>
      <c r="J73" s="62"/>
      <c r="K73" s="97"/>
      <c r="L73" s="98"/>
      <c r="M73" s="98"/>
      <c r="N73" s="98"/>
      <c r="O73" s="98"/>
      <c r="P73" s="99"/>
      <c r="Q73" s="62"/>
      <c r="R73" s="62"/>
      <c r="S73" s="62"/>
      <c r="T73" s="62"/>
      <c r="U73" s="62"/>
    </row>
    <row r="74" spans="1:27" ht="18" customHeight="1" x14ac:dyDescent="0.15">
      <c r="A74" s="3"/>
      <c r="B74" s="97"/>
      <c r="C74" s="98"/>
      <c r="D74" s="98"/>
      <c r="E74" s="98"/>
      <c r="F74" s="62"/>
      <c r="G74" s="62"/>
      <c r="H74" s="62"/>
      <c r="I74" s="62"/>
      <c r="J74" s="62"/>
      <c r="K74" s="97"/>
      <c r="L74" s="98"/>
      <c r="M74" s="98"/>
      <c r="N74" s="98"/>
      <c r="O74" s="98"/>
      <c r="P74" s="99"/>
      <c r="Q74" s="62"/>
      <c r="R74" s="62"/>
      <c r="S74" s="62"/>
      <c r="T74" s="62"/>
      <c r="U74" s="62"/>
    </row>
    <row r="75" spans="1:27" ht="18" customHeight="1" x14ac:dyDescent="0.15">
      <c r="A75" s="3"/>
      <c r="B75" s="97"/>
      <c r="C75" s="98"/>
      <c r="D75" s="98"/>
      <c r="E75" s="98"/>
      <c r="F75" s="62"/>
      <c r="G75" s="62"/>
      <c r="H75" s="62"/>
      <c r="I75" s="62"/>
      <c r="J75" s="62"/>
      <c r="K75" s="97"/>
      <c r="L75" s="98"/>
      <c r="M75" s="98"/>
      <c r="N75" s="98"/>
      <c r="O75" s="98"/>
      <c r="P75" s="99"/>
      <c r="Q75" s="62"/>
      <c r="R75" s="62"/>
      <c r="S75" s="62"/>
      <c r="T75" s="62"/>
      <c r="U75" s="62"/>
    </row>
    <row r="76" spans="1:27" ht="18" customHeight="1" x14ac:dyDescent="0.15">
      <c r="A76" s="3"/>
      <c r="B76" s="97"/>
      <c r="C76" s="98"/>
      <c r="D76" s="98"/>
      <c r="E76" s="98"/>
      <c r="F76" s="62"/>
      <c r="G76" s="62"/>
      <c r="H76" s="62"/>
      <c r="I76" s="62"/>
      <c r="J76" s="62"/>
      <c r="K76" s="97"/>
      <c r="L76" s="98"/>
      <c r="M76" s="98"/>
      <c r="N76" s="98"/>
      <c r="O76" s="98"/>
      <c r="P76" s="99"/>
      <c r="Q76" s="62"/>
      <c r="R76" s="62"/>
      <c r="S76" s="62"/>
      <c r="T76" s="62"/>
      <c r="U76" s="62"/>
    </row>
    <row r="77" spans="1:27" ht="18" customHeight="1" x14ac:dyDescent="0.15">
      <c r="A77" s="3"/>
      <c r="B77" s="116"/>
      <c r="C77" s="117"/>
      <c r="D77" s="117"/>
      <c r="E77" s="117"/>
      <c r="F77" s="63"/>
      <c r="G77" s="63"/>
      <c r="H77" s="64"/>
      <c r="I77" s="64"/>
      <c r="J77" s="64"/>
      <c r="K77" s="116"/>
      <c r="L77" s="117"/>
      <c r="M77" s="117"/>
      <c r="N77" s="117"/>
      <c r="O77" s="117"/>
      <c r="P77" s="118"/>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41</v>
      </c>
      <c r="I79" s="3"/>
      <c r="J79" s="3"/>
      <c r="K79" s="3"/>
      <c r="L79" s="3"/>
      <c r="M79" s="3"/>
      <c r="N79" s="3"/>
      <c r="O79" s="3"/>
      <c r="P79" s="3"/>
      <c r="Q79" s="3"/>
      <c r="R79" s="3"/>
      <c r="S79" s="3"/>
      <c r="T79" s="3"/>
      <c r="U79" s="3"/>
    </row>
    <row r="80" spans="1:27" ht="18" customHeight="1" x14ac:dyDescent="0.15">
      <c r="B80" s="84" t="s">
        <v>21</v>
      </c>
      <c r="C80" s="85"/>
      <c r="D80" s="85"/>
      <c r="E80" s="85"/>
      <c r="F80" s="86"/>
      <c r="G80" s="84" t="s">
        <v>42</v>
      </c>
      <c r="H80" s="85"/>
      <c r="I80" s="85"/>
      <c r="J80" s="86"/>
      <c r="K80" s="119" t="s">
        <v>21</v>
      </c>
      <c r="L80" s="120"/>
      <c r="M80" s="120"/>
      <c r="N80" s="120"/>
      <c r="O80" s="120"/>
      <c r="P80" s="120"/>
      <c r="Q80" s="121"/>
      <c r="R80" s="84" t="s">
        <v>42</v>
      </c>
      <c r="S80" s="85"/>
      <c r="T80" s="85"/>
      <c r="U80" s="86"/>
      <c r="AA80" s="1" t="s">
        <v>43</v>
      </c>
    </row>
    <row r="81" spans="1:27" ht="18" customHeight="1" x14ac:dyDescent="0.15">
      <c r="A81" s="3"/>
      <c r="B81" s="113"/>
      <c r="C81" s="114"/>
      <c r="D81" s="114"/>
      <c r="E81" s="114"/>
      <c r="F81" s="115"/>
      <c r="G81" s="122"/>
      <c r="H81" s="123"/>
      <c r="I81" s="123"/>
      <c r="J81" s="124"/>
      <c r="K81" s="113"/>
      <c r="L81" s="114"/>
      <c r="M81" s="114"/>
      <c r="N81" s="114"/>
      <c r="O81" s="114"/>
      <c r="P81" s="114"/>
      <c r="Q81" s="115"/>
      <c r="R81" s="122"/>
      <c r="S81" s="123"/>
      <c r="T81" s="123"/>
      <c r="U81" s="124"/>
      <c r="AA81" s="1" t="s">
        <v>44</v>
      </c>
    </row>
    <row r="82" spans="1:27" ht="18" customHeight="1" x14ac:dyDescent="0.15">
      <c r="A82" s="3"/>
      <c r="B82" s="97"/>
      <c r="C82" s="98"/>
      <c r="D82" s="98"/>
      <c r="E82" s="98"/>
      <c r="F82" s="99"/>
      <c r="G82" s="125"/>
      <c r="H82" s="126"/>
      <c r="I82" s="126"/>
      <c r="J82" s="127"/>
      <c r="K82" s="97"/>
      <c r="L82" s="98"/>
      <c r="M82" s="98"/>
      <c r="N82" s="98"/>
      <c r="O82" s="98"/>
      <c r="P82" s="98"/>
      <c r="Q82" s="99"/>
      <c r="R82" s="125"/>
      <c r="S82" s="126"/>
      <c r="T82" s="126"/>
      <c r="U82" s="127"/>
      <c r="AA82" s="1" t="s">
        <v>45</v>
      </c>
    </row>
    <row r="83" spans="1:27" ht="18" customHeight="1" x14ac:dyDescent="0.15">
      <c r="A83" s="3"/>
      <c r="B83" s="97"/>
      <c r="C83" s="98"/>
      <c r="D83" s="98"/>
      <c r="E83" s="98"/>
      <c r="F83" s="99"/>
      <c r="G83" s="125"/>
      <c r="H83" s="126"/>
      <c r="I83" s="126"/>
      <c r="J83" s="127"/>
      <c r="K83" s="97"/>
      <c r="L83" s="98"/>
      <c r="M83" s="98"/>
      <c r="N83" s="98"/>
      <c r="O83" s="98"/>
      <c r="P83" s="98"/>
      <c r="Q83" s="99"/>
      <c r="R83" s="125"/>
      <c r="S83" s="126"/>
      <c r="T83" s="126"/>
      <c r="U83" s="127"/>
      <c r="AA83" s="1" t="s">
        <v>46</v>
      </c>
    </row>
    <row r="84" spans="1:27" ht="18" customHeight="1" x14ac:dyDescent="0.15">
      <c r="A84" s="3"/>
      <c r="B84" s="97"/>
      <c r="C84" s="98"/>
      <c r="D84" s="98"/>
      <c r="E84" s="98"/>
      <c r="F84" s="99"/>
      <c r="G84" s="125"/>
      <c r="H84" s="126"/>
      <c r="I84" s="126"/>
      <c r="J84" s="127"/>
      <c r="K84" s="97"/>
      <c r="L84" s="98"/>
      <c r="M84" s="98"/>
      <c r="N84" s="98"/>
      <c r="O84" s="98"/>
      <c r="P84" s="98"/>
      <c r="Q84" s="99"/>
      <c r="R84" s="125"/>
      <c r="S84" s="126"/>
      <c r="T84" s="126"/>
      <c r="U84" s="127"/>
      <c r="AA84" s="1" t="s">
        <v>47</v>
      </c>
    </row>
    <row r="85" spans="1:27" ht="18" customHeight="1" x14ac:dyDescent="0.15">
      <c r="A85" s="3"/>
      <c r="B85" s="97"/>
      <c r="C85" s="98"/>
      <c r="D85" s="98"/>
      <c r="E85" s="98"/>
      <c r="F85" s="99"/>
      <c r="G85" s="125"/>
      <c r="H85" s="126"/>
      <c r="I85" s="126"/>
      <c r="J85" s="127"/>
      <c r="K85" s="97"/>
      <c r="L85" s="98"/>
      <c r="M85" s="98"/>
      <c r="N85" s="98"/>
      <c r="O85" s="98"/>
      <c r="P85" s="98"/>
      <c r="Q85" s="99"/>
      <c r="R85" s="125"/>
      <c r="S85" s="126"/>
      <c r="T85" s="126"/>
      <c r="U85" s="127"/>
      <c r="AA85" s="1" t="s">
        <v>48</v>
      </c>
    </row>
    <row r="86" spans="1:27" ht="18" customHeight="1" x14ac:dyDescent="0.15">
      <c r="A86" s="3"/>
      <c r="B86" s="97"/>
      <c r="C86" s="98"/>
      <c r="D86" s="98"/>
      <c r="E86" s="98"/>
      <c r="F86" s="99"/>
      <c r="G86" s="125"/>
      <c r="H86" s="126"/>
      <c r="I86" s="126"/>
      <c r="J86" s="127"/>
      <c r="K86" s="97"/>
      <c r="L86" s="98"/>
      <c r="M86" s="98"/>
      <c r="N86" s="98"/>
      <c r="O86" s="98"/>
      <c r="P86" s="98"/>
      <c r="Q86" s="99"/>
      <c r="R86" s="125"/>
      <c r="S86" s="126"/>
      <c r="T86" s="126"/>
      <c r="U86" s="127"/>
      <c r="AA86" s="1" t="s">
        <v>49</v>
      </c>
    </row>
    <row r="87" spans="1:27" ht="18" customHeight="1" x14ac:dyDescent="0.15">
      <c r="A87" s="3"/>
      <c r="B87" s="116"/>
      <c r="C87" s="117"/>
      <c r="D87" s="117"/>
      <c r="E87" s="117"/>
      <c r="F87" s="118"/>
      <c r="G87" s="138"/>
      <c r="H87" s="139"/>
      <c r="I87" s="139"/>
      <c r="J87" s="140"/>
      <c r="K87" s="116"/>
      <c r="L87" s="117"/>
      <c r="M87" s="117"/>
      <c r="N87" s="117"/>
      <c r="O87" s="117"/>
      <c r="P87" s="117"/>
      <c r="Q87" s="118"/>
      <c r="R87" s="138"/>
      <c r="S87" s="139"/>
      <c r="T87" s="139"/>
      <c r="U87" s="140"/>
      <c r="AA87" s="1" t="s">
        <v>50</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51</v>
      </c>
    </row>
    <row r="89" spans="1:27" ht="18.75" customHeight="1" x14ac:dyDescent="0.15">
      <c r="A89" s="1" t="s">
        <v>52</v>
      </c>
      <c r="AA89" s="1" t="s">
        <v>53</v>
      </c>
    </row>
    <row r="90" spans="1:27" ht="18.75" customHeight="1" x14ac:dyDescent="0.15">
      <c r="B90" s="141" t="s">
        <v>54</v>
      </c>
      <c r="C90" s="142"/>
      <c r="D90" s="84" t="s">
        <v>55</v>
      </c>
      <c r="E90" s="85"/>
      <c r="F90" s="85"/>
      <c r="G90" s="85"/>
      <c r="H90" s="85"/>
      <c r="I90" s="85"/>
      <c r="J90" s="85"/>
      <c r="K90" s="85"/>
      <c r="L90" s="85"/>
      <c r="M90" s="85"/>
      <c r="N90" s="85"/>
      <c r="O90" s="85"/>
      <c r="P90" s="85"/>
      <c r="Q90" s="85"/>
      <c r="R90" s="85"/>
      <c r="S90" s="85"/>
      <c r="T90" s="85"/>
      <c r="U90" s="86"/>
    </row>
    <row r="91" spans="1:27" ht="97.5" customHeight="1" x14ac:dyDescent="0.15">
      <c r="B91" s="128" t="s">
        <v>56</v>
      </c>
      <c r="C91" s="66" t="s">
        <v>24</v>
      </c>
      <c r="D91" s="130" t="s">
        <v>57</v>
      </c>
      <c r="E91" s="131"/>
      <c r="F91" s="131"/>
      <c r="G91" s="131"/>
      <c r="H91" s="131"/>
      <c r="I91" s="131"/>
      <c r="J91" s="131"/>
      <c r="K91" s="131"/>
      <c r="L91" s="131"/>
      <c r="M91" s="131"/>
      <c r="N91" s="131"/>
      <c r="O91" s="131"/>
      <c r="P91" s="131"/>
      <c r="Q91" s="131"/>
      <c r="R91" s="131"/>
      <c r="S91" s="131"/>
      <c r="T91" s="131"/>
      <c r="U91" s="132"/>
    </row>
    <row r="92" spans="1:27" ht="97.5" customHeight="1" x14ac:dyDescent="0.15">
      <c r="B92" s="129"/>
      <c r="C92" s="67" t="s">
        <v>58</v>
      </c>
      <c r="D92" s="133" t="s">
        <v>59</v>
      </c>
      <c r="E92" s="134"/>
      <c r="F92" s="134"/>
      <c r="G92" s="134"/>
      <c r="H92" s="134"/>
      <c r="I92" s="134"/>
      <c r="J92" s="134"/>
      <c r="K92" s="134"/>
      <c r="L92" s="134"/>
      <c r="M92" s="134"/>
      <c r="N92" s="134"/>
      <c r="O92" s="134"/>
      <c r="P92" s="134"/>
      <c r="Q92" s="134"/>
      <c r="R92" s="134"/>
      <c r="S92" s="134"/>
      <c r="T92" s="134"/>
      <c r="U92" s="135"/>
    </row>
    <row r="93" spans="1:27" ht="97.5" customHeight="1" x14ac:dyDescent="0.15">
      <c r="B93" s="128" t="s">
        <v>60</v>
      </c>
      <c r="C93" s="68" t="s">
        <v>29</v>
      </c>
      <c r="D93" s="137" t="s">
        <v>61</v>
      </c>
      <c r="E93" s="131"/>
      <c r="F93" s="131"/>
      <c r="G93" s="131"/>
      <c r="H93" s="131"/>
      <c r="I93" s="131"/>
      <c r="J93" s="131"/>
      <c r="K93" s="131"/>
      <c r="L93" s="131"/>
      <c r="M93" s="131"/>
      <c r="N93" s="131"/>
      <c r="O93" s="131"/>
      <c r="P93" s="131"/>
      <c r="Q93" s="131"/>
      <c r="R93" s="131"/>
      <c r="S93" s="131"/>
      <c r="T93" s="131"/>
      <c r="U93" s="132"/>
    </row>
    <row r="94" spans="1:27" ht="97.5" customHeight="1" x14ac:dyDescent="0.15">
      <c r="B94" s="136"/>
      <c r="C94" s="69" t="s">
        <v>30</v>
      </c>
      <c r="D94" s="133" t="s">
        <v>62</v>
      </c>
      <c r="E94" s="134"/>
      <c r="F94" s="134"/>
      <c r="G94" s="134"/>
      <c r="H94" s="134"/>
      <c r="I94" s="134"/>
      <c r="J94" s="134"/>
      <c r="K94" s="134"/>
      <c r="L94" s="134"/>
      <c r="M94" s="134"/>
      <c r="N94" s="134"/>
      <c r="O94" s="134"/>
      <c r="P94" s="134"/>
      <c r="Q94" s="134"/>
      <c r="R94" s="134"/>
      <c r="S94" s="134"/>
      <c r="T94" s="134"/>
      <c r="U94" s="135"/>
    </row>
    <row r="95" spans="1:27" ht="97.5" customHeight="1" x14ac:dyDescent="0.15">
      <c r="B95" s="128" t="s">
        <v>63</v>
      </c>
      <c r="C95" s="68" t="s">
        <v>32</v>
      </c>
      <c r="D95" s="137" t="s">
        <v>64</v>
      </c>
      <c r="E95" s="131"/>
      <c r="F95" s="131"/>
      <c r="G95" s="131"/>
      <c r="H95" s="131"/>
      <c r="I95" s="131"/>
      <c r="J95" s="131"/>
      <c r="K95" s="131"/>
      <c r="L95" s="131"/>
      <c r="M95" s="131"/>
      <c r="N95" s="131"/>
      <c r="O95" s="131"/>
      <c r="P95" s="131"/>
      <c r="Q95" s="131"/>
      <c r="R95" s="131"/>
      <c r="S95" s="131"/>
      <c r="T95" s="131"/>
      <c r="U95" s="132"/>
    </row>
    <row r="96" spans="1:27" ht="97.5" customHeight="1" x14ac:dyDescent="0.15">
      <c r="B96" s="136"/>
      <c r="C96" s="70" t="s">
        <v>33</v>
      </c>
      <c r="D96" s="133" t="s">
        <v>65</v>
      </c>
      <c r="E96" s="134"/>
      <c r="F96" s="134"/>
      <c r="G96" s="134"/>
      <c r="H96" s="134"/>
      <c r="I96" s="134"/>
      <c r="J96" s="134"/>
      <c r="K96" s="134"/>
      <c r="L96" s="134"/>
      <c r="M96" s="134"/>
      <c r="N96" s="134"/>
      <c r="O96" s="134"/>
      <c r="P96" s="134"/>
      <c r="Q96" s="134"/>
      <c r="R96" s="134"/>
      <c r="S96" s="134"/>
      <c r="T96" s="134"/>
      <c r="U96" s="135"/>
    </row>
    <row r="97" spans="1:21" ht="97.5" customHeight="1" x14ac:dyDescent="0.15">
      <c r="B97" s="128" t="s">
        <v>66</v>
      </c>
      <c r="C97" s="66" t="s">
        <v>35</v>
      </c>
      <c r="D97" s="130" t="s">
        <v>67</v>
      </c>
      <c r="E97" s="131"/>
      <c r="F97" s="131"/>
      <c r="G97" s="131"/>
      <c r="H97" s="131"/>
      <c r="I97" s="131"/>
      <c r="J97" s="131"/>
      <c r="K97" s="131"/>
      <c r="L97" s="131"/>
      <c r="M97" s="131"/>
      <c r="N97" s="131"/>
      <c r="O97" s="131"/>
      <c r="P97" s="131"/>
      <c r="Q97" s="131"/>
      <c r="R97" s="131"/>
      <c r="S97" s="131"/>
      <c r="T97" s="131"/>
      <c r="U97" s="132"/>
    </row>
    <row r="98" spans="1:21" ht="97.5" customHeight="1" x14ac:dyDescent="0.15">
      <c r="B98" s="136"/>
      <c r="C98" s="69" t="s">
        <v>36</v>
      </c>
      <c r="D98" s="155" t="s">
        <v>68</v>
      </c>
      <c r="E98" s="134"/>
      <c r="F98" s="134"/>
      <c r="G98" s="134"/>
      <c r="H98" s="134"/>
      <c r="I98" s="134"/>
      <c r="J98" s="134"/>
      <c r="K98" s="134"/>
      <c r="L98" s="134"/>
      <c r="M98" s="134"/>
      <c r="N98" s="134"/>
      <c r="O98" s="134"/>
      <c r="P98" s="134"/>
      <c r="Q98" s="134"/>
      <c r="R98" s="134"/>
      <c r="S98" s="134"/>
      <c r="T98" s="134"/>
      <c r="U98" s="135"/>
    </row>
    <row r="99" spans="1:21" ht="97.5" customHeight="1" x14ac:dyDescent="0.15">
      <c r="B99" s="128" t="s">
        <v>69</v>
      </c>
      <c r="C99" s="68" t="s">
        <v>70</v>
      </c>
      <c r="D99" s="143" t="s">
        <v>71</v>
      </c>
      <c r="E99" s="144"/>
      <c r="F99" s="144"/>
      <c r="G99" s="144"/>
      <c r="H99" s="144"/>
      <c r="I99" s="144"/>
      <c r="J99" s="144"/>
      <c r="K99" s="144"/>
      <c r="L99" s="144"/>
      <c r="M99" s="144"/>
      <c r="N99" s="144"/>
      <c r="O99" s="144"/>
      <c r="P99" s="144"/>
      <c r="Q99" s="144"/>
      <c r="R99" s="144"/>
      <c r="S99" s="144"/>
      <c r="T99" s="144"/>
      <c r="U99" s="145"/>
    </row>
    <row r="100" spans="1:21" ht="97.5" customHeight="1" x14ac:dyDescent="0.15">
      <c r="B100" s="129"/>
      <c r="C100" s="71" t="s">
        <v>39</v>
      </c>
      <c r="D100" s="146" t="s">
        <v>72</v>
      </c>
      <c r="E100" s="147"/>
      <c r="F100" s="147"/>
      <c r="G100" s="147"/>
      <c r="H100" s="147"/>
      <c r="I100" s="147"/>
      <c r="J100" s="147"/>
      <c r="K100" s="147"/>
      <c r="L100" s="147"/>
      <c r="M100" s="147"/>
      <c r="N100" s="147"/>
      <c r="O100" s="147"/>
      <c r="P100" s="147"/>
      <c r="Q100" s="147"/>
      <c r="R100" s="147"/>
      <c r="S100" s="147"/>
      <c r="T100" s="147"/>
      <c r="U100" s="148"/>
    </row>
    <row r="101" spans="1:21" ht="97.5" customHeight="1" x14ac:dyDescent="0.15">
      <c r="B101" s="136"/>
      <c r="C101" s="70" t="s">
        <v>40</v>
      </c>
      <c r="D101" s="149" t="s">
        <v>73</v>
      </c>
      <c r="E101" s="150"/>
      <c r="F101" s="150"/>
      <c r="G101" s="150"/>
      <c r="H101" s="150"/>
      <c r="I101" s="150"/>
      <c r="J101" s="150"/>
      <c r="K101" s="150"/>
      <c r="L101" s="150"/>
      <c r="M101" s="150"/>
      <c r="N101" s="150"/>
      <c r="O101" s="150"/>
      <c r="P101" s="150"/>
      <c r="Q101" s="150"/>
      <c r="R101" s="150"/>
      <c r="S101" s="150"/>
      <c r="T101" s="150"/>
      <c r="U101" s="151"/>
    </row>
    <row r="102" spans="1:21" ht="6" customHeight="1" x14ac:dyDescent="0.15"/>
    <row r="103" spans="1:21" ht="18.75" customHeight="1" x14ac:dyDescent="0.15">
      <c r="A103" s="1" t="s">
        <v>74</v>
      </c>
    </row>
    <row r="104" spans="1:21" ht="81.75" customHeight="1" x14ac:dyDescent="0.15">
      <c r="B104" s="152" t="s">
        <v>75</v>
      </c>
      <c r="C104" s="153"/>
      <c r="D104" s="153"/>
      <c r="E104" s="153"/>
      <c r="F104" s="153"/>
      <c r="G104" s="153"/>
      <c r="H104" s="153"/>
      <c r="I104" s="153"/>
      <c r="J104" s="153"/>
      <c r="K104" s="153"/>
      <c r="L104" s="153"/>
      <c r="M104" s="153"/>
      <c r="N104" s="153"/>
      <c r="O104" s="153"/>
      <c r="P104" s="153"/>
      <c r="Q104" s="153"/>
      <c r="R104" s="153"/>
      <c r="S104" s="153"/>
      <c r="T104" s="153"/>
      <c r="U104" s="154"/>
    </row>
    <row r="107" spans="1:21" ht="18" customHeight="1" x14ac:dyDescent="0.15"/>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G81:J87 R81:U87" xr:uid="{5CE6D95A-CD4A-4464-BCDC-B394B02B5E39}">
      <formula1>$AA$80:$AA$89</formula1>
    </dataValidation>
    <dataValidation type="list" allowBlank="1" showInputMessage="1" showErrorMessage="1" sqref="N22:U22" xr:uid="{2C188B7E-8279-4B76-B3BB-DD2F1C5C64FA}">
      <formula1>$X$16:$X$18</formula1>
    </dataValidation>
    <dataValidation type="list" allowBlank="1" showInputMessage="1" showErrorMessage="1" sqref="G88:J88 R88:U88" xr:uid="{833F8E1E-D40B-4BC1-A01B-E3B53DCF116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D312775F-A938-41DF-B37E-C517F716EAD4}">
      <formula1>"学部・学科によって、修了要件は相違する,学部・学科によって、修了要件は相違しない"</formula1>
    </dataValidation>
    <dataValidation type="list" allowBlank="1" showInputMessage="1" showErrorMessage="1" sqref="U34 U45 E34:H34 E45:H45" xr:uid="{4DB9B483-2BD7-4022-9C42-AD8D37B89BC9}">
      <formula1>"全学開講,一部開講"</formula1>
    </dataValidation>
    <dataValidation type="list" allowBlank="1" showInputMessage="1" showErrorMessage="1" sqref="H27:J33 S27:U33 R71:U77 S38:U44 H49:J55 S49:U55 H38:J44 S60:U66 G71:J77 H60:J66" xr:uid="{7E209F07-2B7C-4D03-B823-7BFCAE5A7979}">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S14" sqref="S14"/>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76</v>
      </c>
    </row>
    <row r="2" spans="1:21" ht="18" customHeight="1" x14ac:dyDescent="0.15">
      <c r="A2" s="52"/>
      <c r="B2" s="52"/>
      <c r="C2" s="52"/>
      <c r="D2" s="52"/>
      <c r="E2" s="52"/>
      <c r="F2" s="52"/>
      <c r="G2" s="52"/>
      <c r="H2" s="52"/>
      <c r="I2" s="52"/>
      <c r="J2" s="52"/>
      <c r="K2" s="52"/>
      <c r="L2" s="52"/>
      <c r="M2" s="52"/>
      <c r="N2" s="52"/>
      <c r="O2" s="52"/>
      <c r="P2" s="52"/>
      <c r="Q2" s="157" t="s">
        <v>77</v>
      </c>
      <c r="R2" s="157"/>
      <c r="S2" s="157"/>
    </row>
    <row r="3" spans="1:21" ht="18" customHeight="1" x14ac:dyDescent="0.15">
      <c r="A3" s="87" t="s">
        <v>78</v>
      </c>
      <c r="B3" s="87"/>
      <c r="C3" s="87"/>
      <c r="D3" s="87"/>
      <c r="E3" s="87"/>
      <c r="F3" s="87"/>
      <c r="G3" s="87"/>
      <c r="H3" s="87"/>
      <c r="I3" s="87"/>
      <c r="J3" s="87"/>
      <c r="K3" s="87"/>
      <c r="L3" s="87"/>
      <c r="M3" s="87"/>
      <c r="N3" s="87"/>
      <c r="O3" s="87"/>
      <c r="P3" s="87"/>
      <c r="Q3" s="87"/>
      <c r="R3" s="87"/>
      <c r="S3" s="87"/>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79</v>
      </c>
      <c r="B5" s="52"/>
      <c r="C5" s="158" t="s">
        <v>80</v>
      </c>
      <c r="D5" s="159"/>
      <c r="E5" s="56" t="s">
        <v>81</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82</v>
      </c>
      <c r="B7" s="52"/>
      <c r="C7" s="75"/>
      <c r="D7" s="75"/>
      <c r="E7" s="54" t="s">
        <v>83</v>
      </c>
      <c r="F7" s="57">
        <v>10</v>
      </c>
      <c r="G7" s="56" t="s">
        <v>84</v>
      </c>
      <c r="H7" s="54" t="s">
        <v>85</v>
      </c>
      <c r="I7" s="57">
        <v>174</v>
      </c>
      <c r="J7" s="56" t="s">
        <v>84</v>
      </c>
      <c r="K7" s="55" t="s">
        <v>86</v>
      </c>
      <c r="L7" s="54" t="s">
        <v>87</v>
      </c>
      <c r="M7" s="57">
        <f>F7+I7</f>
        <v>184</v>
      </c>
      <c r="N7" s="54" t="s">
        <v>88</v>
      </c>
      <c r="O7" s="56" t="s">
        <v>89</v>
      </c>
      <c r="P7" s="54"/>
      <c r="Q7" s="54"/>
      <c r="R7" s="53"/>
      <c r="S7" s="53"/>
    </row>
    <row r="8" spans="1:21" ht="17.45" customHeight="1" x14ac:dyDescent="0.15">
      <c r="A8" s="54"/>
      <c r="B8" s="76" t="s">
        <v>90</v>
      </c>
      <c r="C8" s="54"/>
      <c r="D8" s="54"/>
      <c r="E8" s="54"/>
      <c r="F8" s="54"/>
      <c r="G8" s="54"/>
      <c r="H8" s="54"/>
      <c r="I8" s="54"/>
      <c r="J8" s="54"/>
      <c r="K8" s="54"/>
      <c r="L8" s="54"/>
      <c r="M8" s="54"/>
      <c r="N8" s="54"/>
      <c r="O8" s="54"/>
      <c r="P8" s="54"/>
      <c r="Q8" s="54"/>
      <c r="R8" s="54"/>
      <c r="S8" s="54"/>
    </row>
    <row r="9" spans="1:21" ht="18" customHeight="1" x14ac:dyDescent="0.15">
      <c r="A9" s="52" t="s">
        <v>91</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0" t="s">
        <v>92</v>
      </c>
      <c r="C11" s="170" t="s">
        <v>93</v>
      </c>
      <c r="D11" s="162" t="s">
        <v>94</v>
      </c>
      <c r="E11" s="164" t="s">
        <v>95</v>
      </c>
      <c r="F11" s="156" t="s">
        <v>96</v>
      </c>
      <c r="G11" s="156"/>
      <c r="H11" s="156" t="s">
        <v>97</v>
      </c>
      <c r="I11" s="156"/>
      <c r="J11" s="156" t="s">
        <v>98</v>
      </c>
      <c r="K11" s="156"/>
      <c r="L11" s="156" t="s">
        <v>99</v>
      </c>
      <c r="M11" s="156"/>
      <c r="N11" s="156" t="s">
        <v>100</v>
      </c>
      <c r="O11" s="156"/>
      <c r="P11" s="156" t="s">
        <v>101</v>
      </c>
      <c r="Q11" s="156"/>
      <c r="R11" s="166" t="s">
        <v>102</v>
      </c>
      <c r="S11" s="168" t="s">
        <v>103</v>
      </c>
      <c r="U11" s="2"/>
    </row>
    <row r="12" spans="1:21" ht="16.899999999999999" customHeight="1" x14ac:dyDescent="0.15">
      <c r="B12" s="161"/>
      <c r="C12" s="171"/>
      <c r="D12" s="163"/>
      <c r="E12" s="165"/>
      <c r="F12" s="77" t="s">
        <v>104</v>
      </c>
      <c r="G12" s="77" t="s">
        <v>105</v>
      </c>
      <c r="H12" s="77" t="s">
        <v>104</v>
      </c>
      <c r="I12" s="77" t="s">
        <v>105</v>
      </c>
      <c r="J12" s="77" t="s">
        <v>104</v>
      </c>
      <c r="K12" s="77" t="s">
        <v>105</v>
      </c>
      <c r="L12" s="77" t="s">
        <v>104</v>
      </c>
      <c r="M12" s="77" t="s">
        <v>105</v>
      </c>
      <c r="N12" s="77" t="s">
        <v>104</v>
      </c>
      <c r="O12" s="77" t="s">
        <v>105</v>
      </c>
      <c r="P12" s="77" t="s">
        <v>104</v>
      </c>
      <c r="Q12" s="78" t="s">
        <v>105</v>
      </c>
      <c r="R12" s="167"/>
      <c r="S12" s="169"/>
      <c r="U12" s="2"/>
    </row>
    <row r="13" spans="1:21" ht="18" customHeight="1" x14ac:dyDescent="0.15">
      <c r="A13" s="6"/>
      <c r="B13" s="46" t="s">
        <v>106</v>
      </c>
      <c r="C13" s="34">
        <v>75</v>
      </c>
      <c r="D13" s="35">
        <v>50</v>
      </c>
      <c r="E13" s="36">
        <v>100</v>
      </c>
      <c r="F13" s="36">
        <v>49</v>
      </c>
      <c r="G13" s="36">
        <v>46</v>
      </c>
      <c r="H13" s="36"/>
      <c r="I13" s="36"/>
      <c r="J13" s="36"/>
      <c r="K13" s="36"/>
      <c r="L13" s="36"/>
      <c r="M13" s="36"/>
      <c r="N13" s="36"/>
      <c r="O13" s="36"/>
      <c r="P13" s="36"/>
      <c r="Q13" s="47"/>
      <c r="R13" s="35">
        <f t="shared" ref="R13:R32" si="0">F13+H13+J13+L13+N13+P13</f>
        <v>49</v>
      </c>
      <c r="S13" s="48">
        <f>R13/E13</f>
        <v>0.49</v>
      </c>
    </row>
    <row r="14" spans="1:21" ht="18" customHeight="1" x14ac:dyDescent="0.15">
      <c r="A14" s="6"/>
      <c r="B14" s="11" t="s">
        <v>107</v>
      </c>
      <c r="C14" s="37">
        <v>109</v>
      </c>
      <c r="D14" s="38">
        <v>100</v>
      </c>
      <c r="E14" s="39">
        <v>200</v>
      </c>
      <c r="F14" s="40">
        <v>64</v>
      </c>
      <c r="G14" s="40">
        <v>59</v>
      </c>
      <c r="H14" s="40"/>
      <c r="I14" s="40"/>
      <c r="J14" s="40"/>
      <c r="K14" s="40"/>
      <c r="L14" s="40"/>
      <c r="M14" s="40"/>
      <c r="N14" s="40"/>
      <c r="O14" s="40"/>
      <c r="P14" s="40"/>
      <c r="Q14" s="37"/>
      <c r="R14" s="38">
        <f t="shared" si="0"/>
        <v>64</v>
      </c>
      <c r="S14" s="16">
        <f t="shared" ref="S14:S33" si="1">R14/E14</f>
        <v>0.32</v>
      </c>
    </row>
    <row r="15" spans="1:21" ht="18" customHeight="1" x14ac:dyDescent="0.15">
      <c r="A15" s="6"/>
      <c r="B15" s="11"/>
      <c r="C15" s="37"/>
      <c r="D15" s="38"/>
      <c r="E15" s="39"/>
      <c r="F15" s="40"/>
      <c r="G15" s="40"/>
      <c r="H15" s="40"/>
      <c r="I15" s="40"/>
      <c r="J15" s="40"/>
      <c r="K15" s="40"/>
      <c r="L15" s="40"/>
      <c r="M15" s="40"/>
      <c r="N15" s="40"/>
      <c r="O15" s="40"/>
      <c r="P15" s="40"/>
      <c r="Q15" s="37"/>
      <c r="R15" s="38">
        <f t="shared" si="0"/>
        <v>0</v>
      </c>
      <c r="S15" s="8" t="e">
        <f t="shared" si="1"/>
        <v>#DIV/0!</v>
      </c>
    </row>
    <row r="16" spans="1:21" ht="18" customHeight="1" x14ac:dyDescent="0.15">
      <c r="A16" s="6"/>
      <c r="B16" s="11"/>
      <c r="C16" s="37"/>
      <c r="D16" s="38"/>
      <c r="E16" s="39"/>
      <c r="F16" s="40"/>
      <c r="G16" s="40"/>
      <c r="H16" s="40"/>
      <c r="I16" s="40"/>
      <c r="J16" s="40"/>
      <c r="K16" s="40"/>
      <c r="L16" s="40"/>
      <c r="M16" s="40"/>
      <c r="N16" s="40"/>
      <c r="O16" s="40"/>
      <c r="P16" s="40"/>
      <c r="Q16" s="37"/>
      <c r="R16" s="38">
        <f t="shared" si="0"/>
        <v>0</v>
      </c>
      <c r="S16" s="8" t="e">
        <f t="shared" si="1"/>
        <v>#DIV/0!</v>
      </c>
    </row>
    <row r="17" spans="1:19" ht="18" customHeight="1" x14ac:dyDescent="0.15">
      <c r="A17" s="6"/>
      <c r="B17" s="11"/>
      <c r="C17" s="37"/>
      <c r="D17" s="38"/>
      <c r="E17" s="39"/>
      <c r="F17" s="40"/>
      <c r="G17" s="40"/>
      <c r="H17" s="40"/>
      <c r="I17" s="40"/>
      <c r="J17" s="40"/>
      <c r="K17" s="40"/>
      <c r="L17" s="40"/>
      <c r="M17" s="40"/>
      <c r="N17" s="40"/>
      <c r="O17" s="40"/>
      <c r="P17" s="40"/>
      <c r="Q17" s="37"/>
      <c r="R17" s="38">
        <f t="shared" si="0"/>
        <v>0</v>
      </c>
      <c r="S17" s="8" t="e">
        <f t="shared" si="1"/>
        <v>#DIV/0!</v>
      </c>
    </row>
    <row r="18" spans="1:19" ht="18" customHeight="1" x14ac:dyDescent="0.15">
      <c r="A18" s="6"/>
      <c r="B18" s="11"/>
      <c r="C18" s="37"/>
      <c r="D18" s="38"/>
      <c r="E18" s="39"/>
      <c r="F18" s="40"/>
      <c r="G18" s="40"/>
      <c r="H18" s="40"/>
      <c r="I18" s="40"/>
      <c r="J18" s="40"/>
      <c r="K18" s="40"/>
      <c r="L18" s="40"/>
      <c r="M18" s="40"/>
      <c r="N18" s="40"/>
      <c r="O18" s="40"/>
      <c r="P18" s="40"/>
      <c r="Q18" s="37"/>
      <c r="R18" s="38">
        <f t="shared" si="0"/>
        <v>0</v>
      </c>
      <c r="S18" s="8" t="e">
        <f t="shared" si="1"/>
        <v>#DIV/0!</v>
      </c>
    </row>
    <row r="19" spans="1:19" ht="18" customHeight="1" x14ac:dyDescent="0.15">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customHeight="1" x14ac:dyDescent="0.15">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customHeight="1" x14ac:dyDescent="0.15">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customHeight="1" x14ac:dyDescent="0.15">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customHeight="1" x14ac:dyDescent="0.15">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x14ac:dyDescent="0.15">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x14ac:dyDescent="0.15">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x14ac:dyDescent="0.15">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x14ac:dyDescent="0.15">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x14ac:dyDescent="0.15">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x14ac:dyDescent="0.15">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x14ac:dyDescent="0.15">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x14ac:dyDescent="0.15">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x14ac:dyDescent="0.2">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x14ac:dyDescent="0.15">
      <c r="B33" s="13" t="s">
        <v>108</v>
      </c>
      <c r="C33" s="43">
        <f t="shared" ref="C33" si="2">SUM(C13:C32)</f>
        <v>184</v>
      </c>
      <c r="D33" s="44">
        <f t="shared" ref="D33:R33" si="3">SUM(D13:D32)</f>
        <v>150</v>
      </c>
      <c r="E33" s="45">
        <f t="shared" si="3"/>
        <v>300</v>
      </c>
      <c r="F33" s="45">
        <f t="shared" si="3"/>
        <v>113</v>
      </c>
      <c r="G33" s="45">
        <f t="shared" ref="G33:H33" si="4">SUM(G13:G32)</f>
        <v>105</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113</v>
      </c>
      <c r="S33" s="9">
        <f t="shared" si="1"/>
        <v>0.37666666666666665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7" zoomScaleNormal="100" zoomScaleSheetLayoutView="100" workbookViewId="0">
      <selection activeCell="B19" sqref="B19:I19"/>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109</v>
      </c>
      <c r="I1" s="18" t="s">
        <v>110</v>
      </c>
    </row>
    <row r="2" spans="1:9" ht="18.75" customHeight="1" x14ac:dyDescent="0.15">
      <c r="G2" s="18" t="s">
        <v>2</v>
      </c>
      <c r="H2" s="84" t="s">
        <v>77</v>
      </c>
      <c r="I2" s="86"/>
    </row>
    <row r="3" spans="1:9" ht="18.75" customHeight="1" x14ac:dyDescent="0.15">
      <c r="G3" s="18"/>
      <c r="H3" s="10"/>
      <c r="I3" s="10"/>
    </row>
    <row r="4" spans="1:9" ht="18.600000000000001" customHeight="1" x14ac:dyDescent="0.15">
      <c r="A4" s="87" t="s">
        <v>111</v>
      </c>
      <c r="B4" s="87"/>
      <c r="C4" s="87"/>
      <c r="D4" s="87"/>
      <c r="E4" s="87"/>
      <c r="F4" s="87"/>
      <c r="G4" s="87"/>
      <c r="H4" s="87"/>
      <c r="I4" s="87"/>
    </row>
    <row r="5" spans="1:9" ht="13.15" customHeight="1" x14ac:dyDescent="0.15">
      <c r="B5" s="3"/>
      <c r="C5" s="3"/>
      <c r="D5" s="3"/>
      <c r="E5" s="3"/>
      <c r="F5" s="3"/>
      <c r="G5" s="3"/>
      <c r="H5" s="3"/>
      <c r="I5" s="3"/>
    </row>
    <row r="6" spans="1:9" ht="18" customHeight="1" x14ac:dyDescent="0.15">
      <c r="A6" s="1" t="s">
        <v>112</v>
      </c>
      <c r="B6" s="10" t="s">
        <v>113</v>
      </c>
      <c r="C6" s="192" t="s">
        <v>114</v>
      </c>
      <c r="D6" s="192"/>
      <c r="E6" s="17">
        <v>16</v>
      </c>
      <c r="F6" s="3" t="s">
        <v>88</v>
      </c>
      <c r="G6" s="3" t="s">
        <v>115</v>
      </c>
      <c r="H6" s="17">
        <v>47</v>
      </c>
      <c r="I6" s="10" t="s">
        <v>88</v>
      </c>
    </row>
    <row r="7" spans="1:9" ht="12" customHeight="1" x14ac:dyDescent="0.15">
      <c r="C7" s="2"/>
      <c r="D7" s="2"/>
      <c r="E7" s="2"/>
      <c r="F7" s="2"/>
      <c r="G7" s="2"/>
      <c r="H7" s="2"/>
      <c r="I7" s="21"/>
    </row>
    <row r="8" spans="1:9" ht="18" customHeight="1" x14ac:dyDescent="0.15">
      <c r="A8" s="1" t="s">
        <v>116</v>
      </c>
      <c r="B8" s="10" t="s">
        <v>117</v>
      </c>
      <c r="E8" s="3"/>
      <c r="F8" s="3"/>
      <c r="G8" s="3"/>
      <c r="H8" s="17">
        <v>1</v>
      </c>
      <c r="I8" s="10" t="s">
        <v>88</v>
      </c>
    </row>
    <row r="9" spans="1:9" ht="9" customHeight="1" x14ac:dyDescent="0.15">
      <c r="B9" s="3"/>
      <c r="C9" s="3"/>
      <c r="D9" s="3"/>
      <c r="E9" s="3"/>
      <c r="F9" s="3"/>
      <c r="G9" s="3"/>
      <c r="H9" s="3"/>
      <c r="I9" s="3"/>
    </row>
    <row r="10" spans="1:9" ht="18" customHeight="1" x14ac:dyDescent="0.15">
      <c r="A10" s="1" t="s">
        <v>118</v>
      </c>
      <c r="B10" s="10" t="s">
        <v>119</v>
      </c>
      <c r="C10" s="3"/>
      <c r="D10" s="3"/>
      <c r="E10" s="3"/>
      <c r="F10" s="3"/>
      <c r="G10" s="3"/>
      <c r="H10" s="3"/>
      <c r="I10" s="3"/>
    </row>
    <row r="11" spans="1:9" ht="18" customHeight="1" x14ac:dyDescent="0.15">
      <c r="B11" s="18" t="s">
        <v>120</v>
      </c>
      <c r="C11" s="187" t="s">
        <v>121</v>
      </c>
      <c r="D11" s="190"/>
      <c r="E11" s="191"/>
      <c r="F11" s="21"/>
      <c r="G11" s="18" t="s">
        <v>122</v>
      </c>
      <c r="H11" s="187" t="s">
        <v>123</v>
      </c>
      <c r="I11" s="191"/>
    </row>
    <row r="12" spans="1:9" ht="10.15" customHeight="1" x14ac:dyDescent="0.15">
      <c r="B12" s="18"/>
      <c r="C12" s="10"/>
      <c r="D12" s="21"/>
      <c r="E12" s="21"/>
      <c r="F12" s="21"/>
      <c r="G12" s="18"/>
      <c r="H12" s="10"/>
      <c r="I12" s="21"/>
    </row>
    <row r="13" spans="1:9" ht="18" customHeight="1" x14ac:dyDescent="0.15">
      <c r="A13" s="1" t="s">
        <v>124</v>
      </c>
      <c r="B13" s="10" t="s">
        <v>125</v>
      </c>
      <c r="C13" s="3"/>
      <c r="D13" s="3"/>
      <c r="E13" s="3"/>
      <c r="F13" s="3"/>
      <c r="G13" s="3"/>
      <c r="H13" s="3"/>
      <c r="I13" s="3"/>
    </row>
    <row r="14" spans="1:9" ht="18" customHeight="1" x14ac:dyDescent="0.15">
      <c r="B14" s="187" t="s">
        <v>183</v>
      </c>
      <c r="C14" s="188"/>
      <c r="D14" s="188"/>
      <c r="E14" s="188"/>
      <c r="F14" s="188"/>
      <c r="G14" s="188"/>
      <c r="H14" s="188"/>
      <c r="I14" s="189"/>
    </row>
    <row r="15" spans="1:9" ht="9" customHeight="1" x14ac:dyDescent="0.15">
      <c r="B15" s="3"/>
      <c r="C15" s="3"/>
      <c r="D15" s="3"/>
      <c r="E15" s="3"/>
      <c r="F15" s="3"/>
      <c r="G15" s="3"/>
      <c r="H15" s="3"/>
      <c r="I15" s="3"/>
    </row>
    <row r="16" spans="1:9" ht="18" customHeight="1" x14ac:dyDescent="0.15">
      <c r="B16" s="18" t="s">
        <v>120</v>
      </c>
      <c r="C16" s="187" t="s">
        <v>121</v>
      </c>
      <c r="D16" s="190"/>
      <c r="E16" s="191"/>
      <c r="F16" s="21"/>
      <c r="G16" s="18" t="s">
        <v>122</v>
      </c>
      <c r="H16" s="187" t="s">
        <v>123</v>
      </c>
      <c r="I16" s="191"/>
    </row>
    <row r="17" spans="1:9" ht="18" customHeight="1" x14ac:dyDescent="0.15">
      <c r="B17" s="3"/>
      <c r="C17" s="3"/>
      <c r="D17" s="3"/>
      <c r="E17" s="3"/>
      <c r="F17" s="3"/>
      <c r="G17" s="3"/>
      <c r="H17" s="3"/>
      <c r="I17" s="3"/>
    </row>
    <row r="18" spans="1:9" ht="18.75" customHeight="1" x14ac:dyDescent="0.15">
      <c r="A18" s="1" t="s">
        <v>126</v>
      </c>
      <c r="B18" s="1" t="s">
        <v>127</v>
      </c>
      <c r="I18" s="3"/>
    </row>
    <row r="19" spans="1:9" ht="18.75" customHeight="1" x14ac:dyDescent="0.15">
      <c r="A19" s="1"/>
      <c r="B19" s="173" t="s">
        <v>184</v>
      </c>
      <c r="C19" s="174"/>
      <c r="D19" s="174"/>
      <c r="E19" s="174"/>
      <c r="F19" s="174"/>
      <c r="G19" s="174"/>
      <c r="H19" s="174"/>
      <c r="I19" s="175"/>
    </row>
    <row r="20" spans="1:9" ht="7.5" customHeight="1" x14ac:dyDescent="0.15">
      <c r="B20" s="3"/>
      <c r="C20" s="3"/>
      <c r="D20" s="3"/>
      <c r="E20" s="3"/>
      <c r="F20" s="3"/>
      <c r="G20" s="3"/>
      <c r="H20" s="3"/>
      <c r="I20" s="3"/>
    </row>
    <row r="21" spans="1:9" ht="18.75" customHeight="1" x14ac:dyDescent="0.15">
      <c r="A21" s="1" t="s">
        <v>128</v>
      </c>
      <c r="B21" s="1" t="s">
        <v>129</v>
      </c>
    </row>
    <row r="22" spans="1:9" ht="18.75" customHeight="1" x14ac:dyDescent="0.15">
      <c r="A22" s="14"/>
      <c r="B22" s="176" t="s">
        <v>130</v>
      </c>
      <c r="C22" s="177"/>
      <c r="D22" s="177"/>
      <c r="E22" s="177"/>
      <c r="F22" s="177"/>
      <c r="G22" s="177"/>
      <c r="H22" s="177"/>
      <c r="I22" s="178"/>
    </row>
    <row r="23" spans="1:9" ht="18.75" customHeight="1" x14ac:dyDescent="0.15">
      <c r="A23" s="14"/>
      <c r="B23" s="179"/>
      <c r="C23" s="180"/>
      <c r="D23" s="180"/>
      <c r="E23" s="180"/>
      <c r="F23" s="180"/>
      <c r="G23" s="180"/>
      <c r="H23" s="180"/>
      <c r="I23" s="181"/>
    </row>
    <row r="24" spans="1:9" ht="18.75" customHeight="1" x14ac:dyDescent="0.15">
      <c r="A24" s="14"/>
      <c r="B24" s="179"/>
      <c r="C24" s="180"/>
      <c r="D24" s="180"/>
      <c r="E24" s="180"/>
      <c r="F24" s="180"/>
      <c r="G24" s="180"/>
      <c r="H24" s="180"/>
      <c r="I24" s="181"/>
    </row>
    <row r="25" spans="1:9" ht="18.75" customHeight="1" x14ac:dyDescent="0.15">
      <c r="A25" s="14"/>
      <c r="B25" s="179"/>
      <c r="C25" s="180"/>
      <c r="D25" s="180"/>
      <c r="E25" s="180"/>
      <c r="F25" s="180"/>
      <c r="G25" s="180"/>
      <c r="H25" s="180"/>
      <c r="I25" s="181"/>
    </row>
    <row r="26" spans="1:9" ht="18.75" customHeight="1" x14ac:dyDescent="0.15">
      <c r="A26" s="14"/>
      <c r="B26" s="179"/>
      <c r="C26" s="180"/>
      <c r="D26" s="180"/>
      <c r="E26" s="180"/>
      <c r="F26" s="180"/>
      <c r="G26" s="180"/>
      <c r="H26" s="180"/>
      <c r="I26" s="181"/>
    </row>
    <row r="27" spans="1:9" ht="18.75" customHeight="1" x14ac:dyDescent="0.15">
      <c r="A27" s="14"/>
      <c r="B27" s="179"/>
      <c r="C27" s="180"/>
      <c r="D27" s="180"/>
      <c r="E27" s="180"/>
      <c r="F27" s="180"/>
      <c r="G27" s="180"/>
      <c r="H27" s="180"/>
      <c r="I27" s="181"/>
    </row>
    <row r="28" spans="1:9" ht="18.75" customHeight="1" x14ac:dyDescent="0.15">
      <c r="A28" s="14"/>
      <c r="B28" s="179"/>
      <c r="C28" s="180"/>
      <c r="D28" s="180"/>
      <c r="E28" s="180"/>
      <c r="F28" s="180"/>
      <c r="G28" s="180"/>
      <c r="H28" s="180"/>
      <c r="I28" s="181"/>
    </row>
    <row r="29" spans="1:9" ht="18.75" customHeight="1" x14ac:dyDescent="0.15">
      <c r="A29" s="14"/>
      <c r="B29" s="179"/>
      <c r="C29" s="180"/>
      <c r="D29" s="180"/>
      <c r="E29" s="180"/>
      <c r="F29" s="180"/>
      <c r="G29" s="180"/>
      <c r="H29" s="180"/>
      <c r="I29" s="181"/>
    </row>
    <row r="30" spans="1:9" ht="18.75" customHeight="1" x14ac:dyDescent="0.15">
      <c r="A30" s="14"/>
      <c r="B30" s="182"/>
      <c r="C30" s="183"/>
      <c r="D30" s="183"/>
      <c r="E30" s="183"/>
      <c r="F30" s="183"/>
      <c r="G30" s="183"/>
      <c r="H30" s="183"/>
      <c r="I30" s="181"/>
    </row>
    <row r="31" spans="1:9" ht="18.75" customHeight="1" x14ac:dyDescent="0.15">
      <c r="A31" s="14"/>
      <c r="B31" s="182"/>
      <c r="C31" s="183"/>
      <c r="D31" s="183"/>
      <c r="E31" s="183"/>
      <c r="F31" s="183"/>
      <c r="G31" s="183"/>
      <c r="H31" s="183"/>
      <c r="I31" s="181"/>
    </row>
    <row r="32" spans="1:9" ht="18.75" customHeight="1" x14ac:dyDescent="0.15">
      <c r="A32" s="14"/>
      <c r="B32" s="184"/>
      <c r="C32" s="185"/>
      <c r="D32" s="185"/>
      <c r="E32" s="185"/>
      <c r="F32" s="185"/>
      <c r="G32" s="185"/>
      <c r="H32" s="185"/>
      <c r="I32" s="186"/>
    </row>
    <row r="33" spans="1:9" ht="7.5" customHeight="1" x14ac:dyDescent="0.15">
      <c r="A33" s="14"/>
      <c r="B33" s="14"/>
      <c r="C33" s="14"/>
      <c r="D33" s="14"/>
      <c r="E33" s="14"/>
      <c r="F33" s="14"/>
      <c r="G33" s="14"/>
      <c r="H33" s="14"/>
      <c r="I33" s="14"/>
    </row>
    <row r="34" spans="1:9" ht="18.75" customHeight="1" x14ac:dyDescent="0.15">
      <c r="A34" s="15" t="s">
        <v>131</v>
      </c>
      <c r="B34" s="15" t="s">
        <v>132</v>
      </c>
      <c r="C34" s="10"/>
      <c r="D34" s="15"/>
      <c r="E34" s="15"/>
      <c r="F34" s="15"/>
      <c r="G34" s="15"/>
      <c r="H34" s="15"/>
      <c r="I34" s="15"/>
    </row>
    <row r="35" spans="1:9" ht="18.75" customHeight="1" x14ac:dyDescent="0.15">
      <c r="A35" s="14"/>
      <c r="B35" s="176" t="s">
        <v>133</v>
      </c>
      <c r="C35" s="177"/>
      <c r="D35" s="177"/>
      <c r="E35" s="177"/>
      <c r="F35" s="177"/>
      <c r="G35" s="177"/>
      <c r="H35" s="177"/>
      <c r="I35" s="178"/>
    </row>
    <row r="36" spans="1:9" ht="18.75" customHeight="1" x14ac:dyDescent="0.15">
      <c r="A36" s="14"/>
      <c r="B36" s="182"/>
      <c r="C36" s="183"/>
      <c r="D36" s="183"/>
      <c r="E36" s="183"/>
      <c r="F36" s="183"/>
      <c r="G36" s="183"/>
      <c r="H36" s="183"/>
      <c r="I36" s="181"/>
    </row>
    <row r="37" spans="1:9" ht="18.75" customHeight="1" x14ac:dyDescent="0.15">
      <c r="A37" s="14"/>
      <c r="B37" s="182"/>
      <c r="C37" s="183"/>
      <c r="D37" s="183"/>
      <c r="E37" s="183"/>
      <c r="F37" s="183"/>
      <c r="G37" s="183"/>
      <c r="H37" s="183"/>
      <c r="I37" s="181"/>
    </row>
    <row r="38" spans="1:9" ht="18.75" customHeight="1" x14ac:dyDescent="0.15">
      <c r="A38" s="14"/>
      <c r="B38" s="182"/>
      <c r="C38" s="183"/>
      <c r="D38" s="183"/>
      <c r="E38" s="183"/>
      <c r="F38" s="183"/>
      <c r="G38" s="183"/>
      <c r="H38" s="183"/>
      <c r="I38" s="181"/>
    </row>
    <row r="39" spans="1:9" ht="18.75" customHeight="1" x14ac:dyDescent="0.15">
      <c r="A39" s="14"/>
      <c r="B39" s="182"/>
      <c r="C39" s="183"/>
      <c r="D39" s="183"/>
      <c r="E39" s="183"/>
      <c r="F39" s="183"/>
      <c r="G39" s="183"/>
      <c r="H39" s="183"/>
      <c r="I39" s="181"/>
    </row>
    <row r="40" spans="1:9" ht="18.75" customHeight="1" x14ac:dyDescent="0.15">
      <c r="A40" s="14"/>
      <c r="B40" s="182"/>
      <c r="C40" s="183"/>
      <c r="D40" s="183"/>
      <c r="E40" s="183"/>
      <c r="F40" s="183"/>
      <c r="G40" s="183"/>
      <c r="H40" s="183"/>
      <c r="I40" s="181"/>
    </row>
    <row r="41" spans="1:9" ht="18.75" customHeight="1" x14ac:dyDescent="0.15">
      <c r="A41" s="14"/>
      <c r="B41" s="182"/>
      <c r="C41" s="183"/>
      <c r="D41" s="183"/>
      <c r="E41" s="183"/>
      <c r="F41" s="183"/>
      <c r="G41" s="183"/>
      <c r="H41" s="183"/>
      <c r="I41" s="181"/>
    </row>
    <row r="42" spans="1:9" ht="18.75" customHeight="1" x14ac:dyDescent="0.15">
      <c r="A42" s="14"/>
      <c r="B42" s="182"/>
      <c r="C42" s="183"/>
      <c r="D42" s="183"/>
      <c r="E42" s="183"/>
      <c r="F42" s="183"/>
      <c r="G42" s="183"/>
      <c r="H42" s="183"/>
      <c r="I42" s="181"/>
    </row>
    <row r="43" spans="1:9" ht="18.75" customHeight="1" x14ac:dyDescent="0.15">
      <c r="A43" s="14"/>
      <c r="B43" s="182"/>
      <c r="C43" s="183"/>
      <c r="D43" s="183"/>
      <c r="E43" s="183"/>
      <c r="F43" s="183"/>
      <c r="G43" s="183"/>
      <c r="H43" s="183"/>
      <c r="I43" s="181"/>
    </row>
    <row r="44" spans="1:9" ht="18.75" customHeight="1" x14ac:dyDescent="0.15">
      <c r="A44" s="14"/>
      <c r="B44" s="182"/>
      <c r="C44" s="183"/>
      <c r="D44" s="183"/>
      <c r="E44" s="183"/>
      <c r="F44" s="183"/>
      <c r="G44" s="183"/>
      <c r="H44" s="183"/>
      <c r="I44" s="181"/>
    </row>
    <row r="45" spans="1:9" ht="18.75" customHeight="1" x14ac:dyDescent="0.15">
      <c r="A45" s="14"/>
      <c r="B45" s="182"/>
      <c r="C45" s="183"/>
      <c r="D45" s="183"/>
      <c r="E45" s="183"/>
      <c r="F45" s="183"/>
      <c r="G45" s="183"/>
      <c r="H45" s="183"/>
      <c r="I45" s="181"/>
    </row>
    <row r="46" spans="1:9" ht="18.75" customHeight="1" x14ac:dyDescent="0.15">
      <c r="A46" s="14"/>
      <c r="B46" s="184"/>
      <c r="C46" s="185"/>
      <c r="D46" s="185"/>
      <c r="E46" s="185"/>
      <c r="F46" s="185"/>
      <c r="G46" s="185"/>
      <c r="H46" s="185"/>
      <c r="I46" s="186"/>
    </row>
    <row r="47" spans="1:9" ht="7.5" customHeight="1" x14ac:dyDescent="0.15">
      <c r="A47" s="4"/>
      <c r="B47" s="4"/>
      <c r="C47" s="4"/>
      <c r="D47" s="4"/>
      <c r="E47" s="4"/>
      <c r="F47" s="4"/>
      <c r="G47" s="4"/>
      <c r="H47" s="4"/>
      <c r="I47" s="4"/>
    </row>
    <row r="48" spans="1:9" ht="18.75" customHeight="1" x14ac:dyDescent="0.15">
      <c r="A48" s="1" t="s">
        <v>134</v>
      </c>
      <c r="B48" s="1" t="s">
        <v>135</v>
      </c>
    </row>
    <row r="49" spans="1:15" s="3" customFormat="1" ht="18.75" customHeight="1" x14ac:dyDescent="0.15">
      <c r="B49" s="79" t="s">
        <v>136</v>
      </c>
      <c r="C49" s="214">
        <f>'様式２ 履修者等数の実績'!S33</f>
        <v>0.37666666666666665</v>
      </c>
      <c r="D49" s="214"/>
      <c r="E49" s="79" t="s">
        <v>137</v>
      </c>
      <c r="F49" s="214">
        <v>0.71</v>
      </c>
      <c r="G49" s="214"/>
      <c r="H49" s="79" t="s">
        <v>138</v>
      </c>
      <c r="I49" s="22">
        <v>1</v>
      </c>
      <c r="J49" s="1"/>
      <c r="M49" s="1"/>
      <c r="N49" s="23"/>
    </row>
    <row r="50" spans="1:15" s="3" customFormat="1" ht="18.75" customHeight="1" x14ac:dyDescent="0.15">
      <c r="B50" s="80" t="s">
        <v>139</v>
      </c>
      <c r="C50" s="197">
        <v>1</v>
      </c>
      <c r="D50" s="197"/>
      <c r="E50" s="80" t="s">
        <v>140</v>
      </c>
      <c r="F50" s="197">
        <v>1</v>
      </c>
      <c r="G50" s="197"/>
      <c r="H50" s="80" t="s">
        <v>141</v>
      </c>
      <c r="I50" s="24">
        <f>'様式２ 履修者等数の実績'!E33</f>
        <v>300</v>
      </c>
      <c r="J50" s="1"/>
      <c r="M50" s="1"/>
      <c r="N50" s="23"/>
    </row>
    <row r="51" spans="1:15" ht="18.75" customHeight="1" x14ac:dyDescent="0.15">
      <c r="A51" s="1"/>
      <c r="B51" s="194" t="s">
        <v>142</v>
      </c>
      <c r="C51" s="195"/>
      <c r="D51" s="195"/>
      <c r="E51" s="195"/>
      <c r="F51" s="195"/>
      <c r="G51" s="195"/>
      <c r="H51" s="195"/>
      <c r="I51" s="196"/>
      <c r="N51" s="23"/>
      <c r="O51" s="3"/>
    </row>
    <row r="52" spans="1:15" ht="18.75" customHeight="1" x14ac:dyDescent="0.15">
      <c r="A52" s="1"/>
      <c r="B52" s="215" t="s">
        <v>143</v>
      </c>
      <c r="C52" s="216"/>
      <c r="D52" s="216"/>
      <c r="E52" s="216"/>
      <c r="F52" s="216"/>
      <c r="G52" s="216"/>
      <c r="H52" s="216"/>
      <c r="I52" s="217"/>
      <c r="N52" s="23"/>
      <c r="O52" s="3"/>
    </row>
    <row r="53" spans="1:15" ht="18.75" customHeight="1" x14ac:dyDescent="0.15">
      <c r="A53" s="1"/>
      <c r="B53" s="218"/>
      <c r="C53" s="219"/>
      <c r="D53" s="219"/>
      <c r="E53" s="219"/>
      <c r="F53" s="219"/>
      <c r="G53" s="219"/>
      <c r="H53" s="219"/>
      <c r="I53" s="220"/>
      <c r="N53" s="23"/>
      <c r="O53" s="3"/>
    </row>
    <row r="54" spans="1:15" ht="18.75" customHeight="1" x14ac:dyDescent="0.15">
      <c r="A54" s="1"/>
      <c r="B54" s="218"/>
      <c r="C54" s="219"/>
      <c r="D54" s="219"/>
      <c r="E54" s="219"/>
      <c r="F54" s="219"/>
      <c r="G54" s="219"/>
      <c r="H54" s="219"/>
      <c r="I54" s="220"/>
    </row>
    <row r="55" spans="1:15" ht="18.75" customHeight="1" x14ac:dyDescent="0.15">
      <c r="A55" s="1"/>
      <c r="B55" s="218"/>
      <c r="C55" s="219"/>
      <c r="D55" s="219"/>
      <c r="E55" s="219"/>
      <c r="F55" s="219"/>
      <c r="G55" s="219"/>
      <c r="H55" s="219"/>
      <c r="I55" s="220"/>
    </row>
    <row r="56" spans="1:15" ht="18.75" customHeight="1" x14ac:dyDescent="0.15">
      <c r="A56" s="1"/>
      <c r="B56" s="218"/>
      <c r="C56" s="219"/>
      <c r="D56" s="219"/>
      <c r="E56" s="219"/>
      <c r="F56" s="219"/>
      <c r="G56" s="219"/>
      <c r="H56" s="219"/>
      <c r="I56" s="220"/>
    </row>
    <row r="57" spans="1:15" ht="18.75" customHeight="1" x14ac:dyDescent="0.15">
      <c r="A57" s="1"/>
      <c r="B57" s="218"/>
      <c r="C57" s="219"/>
      <c r="D57" s="219"/>
      <c r="E57" s="219"/>
      <c r="F57" s="219"/>
      <c r="G57" s="219"/>
      <c r="H57" s="219"/>
      <c r="I57" s="220"/>
    </row>
    <row r="58" spans="1:15" ht="18.75" customHeight="1" x14ac:dyDescent="0.15">
      <c r="A58" s="1"/>
      <c r="B58" s="218"/>
      <c r="C58" s="219"/>
      <c r="D58" s="219"/>
      <c r="E58" s="219"/>
      <c r="F58" s="219"/>
      <c r="G58" s="219"/>
      <c r="H58" s="219"/>
      <c r="I58" s="220"/>
    </row>
    <row r="59" spans="1:15" ht="18.75" customHeight="1" x14ac:dyDescent="0.15">
      <c r="A59" s="1"/>
      <c r="B59" s="218"/>
      <c r="C59" s="219"/>
      <c r="D59" s="219"/>
      <c r="E59" s="219"/>
      <c r="F59" s="219"/>
      <c r="G59" s="219"/>
      <c r="H59" s="219"/>
      <c r="I59" s="220"/>
    </row>
    <row r="60" spans="1:15" ht="18.75" customHeight="1" x14ac:dyDescent="0.15">
      <c r="A60" s="1"/>
      <c r="B60" s="218"/>
      <c r="C60" s="219"/>
      <c r="D60" s="219"/>
      <c r="E60" s="219"/>
      <c r="F60" s="219"/>
      <c r="G60" s="219"/>
      <c r="H60" s="219"/>
      <c r="I60" s="220"/>
    </row>
    <row r="61" spans="1:15" ht="18.75" customHeight="1" x14ac:dyDescent="0.15">
      <c r="A61" s="1"/>
      <c r="B61" s="218"/>
      <c r="C61" s="219"/>
      <c r="D61" s="219"/>
      <c r="E61" s="219"/>
      <c r="F61" s="219"/>
      <c r="G61" s="219"/>
      <c r="H61" s="219"/>
      <c r="I61" s="220"/>
    </row>
    <row r="62" spans="1:15" ht="18.75" customHeight="1" x14ac:dyDescent="0.15">
      <c r="A62" s="1"/>
      <c r="B62" s="218"/>
      <c r="C62" s="219"/>
      <c r="D62" s="219"/>
      <c r="E62" s="219"/>
      <c r="F62" s="219"/>
      <c r="G62" s="219"/>
      <c r="H62" s="219"/>
      <c r="I62" s="220"/>
    </row>
    <row r="63" spans="1:15" ht="18.75" customHeight="1" x14ac:dyDescent="0.15">
      <c r="A63" s="1"/>
      <c r="B63" s="221"/>
      <c r="C63" s="222"/>
      <c r="D63" s="222"/>
      <c r="E63" s="222"/>
      <c r="F63" s="222"/>
      <c r="G63" s="222"/>
      <c r="H63" s="222"/>
      <c r="I63" s="223"/>
    </row>
    <row r="64" spans="1:15" ht="7.5" customHeight="1" x14ac:dyDescent="0.15">
      <c r="A64" s="14"/>
      <c r="B64" s="14"/>
      <c r="C64" s="14"/>
      <c r="D64" s="14"/>
      <c r="E64" s="14"/>
      <c r="F64" s="14"/>
      <c r="G64" s="14"/>
      <c r="H64" s="14"/>
      <c r="I64" s="14"/>
    </row>
    <row r="65" spans="1:9" ht="18.75" customHeight="1" x14ac:dyDescent="0.15">
      <c r="A65" s="15" t="s">
        <v>144</v>
      </c>
      <c r="B65" s="1" t="s">
        <v>145</v>
      </c>
      <c r="I65" s="15"/>
    </row>
    <row r="66" spans="1:9" ht="18.75" customHeight="1" x14ac:dyDescent="0.15">
      <c r="A66" s="4"/>
      <c r="B66" s="198" t="s">
        <v>146</v>
      </c>
      <c r="C66" s="199"/>
      <c r="D66" s="199"/>
      <c r="E66" s="199"/>
      <c r="F66" s="199"/>
      <c r="G66" s="199"/>
      <c r="H66" s="199"/>
      <c r="I66" s="200"/>
    </row>
    <row r="67" spans="1:9" ht="18.75" customHeight="1" x14ac:dyDescent="0.15">
      <c r="A67" s="4"/>
      <c r="B67" s="201"/>
      <c r="C67" s="202"/>
      <c r="D67" s="202"/>
      <c r="E67" s="202"/>
      <c r="F67" s="202"/>
      <c r="G67" s="202"/>
      <c r="H67" s="202"/>
      <c r="I67" s="203"/>
    </row>
    <row r="68" spans="1:9" ht="18.75" customHeight="1" x14ac:dyDescent="0.15">
      <c r="A68" s="4"/>
      <c r="B68" s="201"/>
      <c r="C68" s="202"/>
      <c r="D68" s="202"/>
      <c r="E68" s="202"/>
      <c r="F68" s="202"/>
      <c r="G68" s="202"/>
      <c r="H68" s="202"/>
      <c r="I68" s="203"/>
    </row>
    <row r="69" spans="1:9" ht="18.75" customHeight="1" x14ac:dyDescent="0.15">
      <c r="A69" s="4"/>
      <c r="B69" s="201"/>
      <c r="C69" s="202"/>
      <c r="D69" s="202"/>
      <c r="E69" s="202"/>
      <c r="F69" s="202"/>
      <c r="G69" s="202"/>
      <c r="H69" s="202"/>
      <c r="I69" s="203"/>
    </row>
    <row r="70" spans="1:9" ht="18.75" customHeight="1" x14ac:dyDescent="0.15">
      <c r="A70" s="4"/>
      <c r="B70" s="201"/>
      <c r="C70" s="202"/>
      <c r="D70" s="202"/>
      <c r="E70" s="202"/>
      <c r="F70" s="202"/>
      <c r="G70" s="202"/>
      <c r="H70" s="202"/>
      <c r="I70" s="203"/>
    </row>
    <row r="71" spans="1:9" ht="18.75" customHeight="1" x14ac:dyDescent="0.15">
      <c r="A71" s="4"/>
      <c r="B71" s="201"/>
      <c r="C71" s="202"/>
      <c r="D71" s="202"/>
      <c r="E71" s="202"/>
      <c r="F71" s="202"/>
      <c r="G71" s="202"/>
      <c r="H71" s="202"/>
      <c r="I71" s="203"/>
    </row>
    <row r="72" spans="1:9" ht="18.75" customHeight="1" x14ac:dyDescent="0.15">
      <c r="A72" s="4"/>
      <c r="B72" s="201"/>
      <c r="C72" s="202"/>
      <c r="D72" s="202"/>
      <c r="E72" s="202"/>
      <c r="F72" s="202"/>
      <c r="G72" s="202"/>
      <c r="H72" s="202"/>
      <c r="I72" s="203"/>
    </row>
    <row r="73" spans="1:9" ht="18.75" customHeight="1" x14ac:dyDescent="0.15">
      <c r="A73" s="4"/>
      <c r="B73" s="201"/>
      <c r="C73" s="202"/>
      <c r="D73" s="202"/>
      <c r="E73" s="202"/>
      <c r="F73" s="202"/>
      <c r="G73" s="202"/>
      <c r="H73" s="202"/>
      <c r="I73" s="203"/>
    </row>
    <row r="74" spans="1:9" ht="18.75" customHeight="1" x14ac:dyDescent="0.15">
      <c r="A74" s="4"/>
      <c r="B74" s="201"/>
      <c r="C74" s="202"/>
      <c r="D74" s="202"/>
      <c r="E74" s="202"/>
      <c r="F74" s="202"/>
      <c r="G74" s="202"/>
      <c r="H74" s="202"/>
      <c r="I74" s="203"/>
    </row>
    <row r="75" spans="1:9" ht="18.75" customHeight="1" x14ac:dyDescent="0.15">
      <c r="A75" s="4"/>
      <c r="B75" s="201"/>
      <c r="C75" s="202"/>
      <c r="D75" s="202"/>
      <c r="E75" s="202"/>
      <c r="F75" s="202"/>
      <c r="G75" s="202"/>
      <c r="H75" s="202"/>
      <c r="I75" s="203"/>
    </row>
    <row r="76" spans="1:9" ht="18.75" customHeight="1" x14ac:dyDescent="0.15">
      <c r="A76" s="4"/>
      <c r="B76" s="201"/>
      <c r="C76" s="202"/>
      <c r="D76" s="202"/>
      <c r="E76" s="202"/>
      <c r="F76" s="202"/>
      <c r="G76" s="202"/>
      <c r="H76" s="202"/>
      <c r="I76" s="203"/>
    </row>
    <row r="77" spans="1:9" ht="18.75" customHeight="1" x14ac:dyDescent="0.15">
      <c r="A77" s="4"/>
      <c r="B77" s="204"/>
      <c r="C77" s="205"/>
      <c r="D77" s="205"/>
      <c r="E77" s="205"/>
      <c r="F77" s="205"/>
      <c r="G77" s="205"/>
      <c r="H77" s="205"/>
      <c r="I77" s="206"/>
    </row>
    <row r="78" spans="1:9" ht="7.5" customHeight="1" x14ac:dyDescent="0.15">
      <c r="A78" s="4"/>
      <c r="B78" s="4"/>
      <c r="C78" s="4"/>
      <c r="D78" s="4"/>
      <c r="E78" s="4"/>
      <c r="F78" s="4"/>
      <c r="G78" s="4"/>
      <c r="H78" s="4"/>
      <c r="I78" s="4"/>
    </row>
    <row r="79" spans="1:9" ht="18.75" customHeight="1" x14ac:dyDescent="0.15">
      <c r="A79" s="1" t="s">
        <v>147</v>
      </c>
      <c r="B79" s="1" t="s">
        <v>148</v>
      </c>
    </row>
    <row r="80" spans="1:9" ht="18.75" customHeight="1" x14ac:dyDescent="0.15">
      <c r="A80" s="1"/>
      <c r="B80" s="198" t="s">
        <v>149</v>
      </c>
      <c r="C80" s="199"/>
      <c r="D80" s="199"/>
      <c r="E80" s="199"/>
      <c r="F80" s="199"/>
      <c r="G80" s="199"/>
      <c r="H80" s="199"/>
      <c r="I80" s="207"/>
    </row>
    <row r="81" spans="1:9" ht="18.75" customHeight="1" x14ac:dyDescent="0.15">
      <c r="A81" s="1"/>
      <c r="B81" s="208"/>
      <c r="C81" s="209"/>
      <c r="D81" s="209"/>
      <c r="E81" s="209"/>
      <c r="F81" s="209"/>
      <c r="G81" s="209"/>
      <c r="H81" s="209"/>
      <c r="I81" s="210"/>
    </row>
    <row r="82" spans="1:9" ht="18.75" customHeight="1" x14ac:dyDescent="0.15">
      <c r="A82" s="1"/>
      <c r="B82" s="208"/>
      <c r="C82" s="209"/>
      <c r="D82" s="209"/>
      <c r="E82" s="209"/>
      <c r="F82" s="209"/>
      <c r="G82" s="209"/>
      <c r="H82" s="209"/>
      <c r="I82" s="210"/>
    </row>
    <row r="83" spans="1:9" ht="18.75" customHeight="1" x14ac:dyDescent="0.15">
      <c r="A83" s="1"/>
      <c r="B83" s="208"/>
      <c r="C83" s="209"/>
      <c r="D83" s="209"/>
      <c r="E83" s="209"/>
      <c r="F83" s="209"/>
      <c r="G83" s="209"/>
      <c r="H83" s="209"/>
      <c r="I83" s="210"/>
    </row>
    <row r="84" spans="1:9" ht="18.75" customHeight="1" x14ac:dyDescent="0.15">
      <c r="A84" s="1"/>
      <c r="B84" s="208"/>
      <c r="C84" s="209"/>
      <c r="D84" s="209"/>
      <c r="E84" s="209"/>
      <c r="F84" s="209"/>
      <c r="G84" s="209"/>
      <c r="H84" s="209"/>
      <c r="I84" s="210"/>
    </row>
    <row r="85" spans="1:9" ht="18.75" customHeight="1" x14ac:dyDescent="0.15">
      <c r="A85" s="1"/>
      <c r="B85" s="208"/>
      <c r="C85" s="209"/>
      <c r="D85" s="209"/>
      <c r="E85" s="209"/>
      <c r="F85" s="209"/>
      <c r="G85" s="209"/>
      <c r="H85" s="209"/>
      <c r="I85" s="210"/>
    </row>
    <row r="86" spans="1:9" ht="18.75" customHeight="1" x14ac:dyDescent="0.15">
      <c r="A86" s="1"/>
      <c r="B86" s="208"/>
      <c r="C86" s="209"/>
      <c r="D86" s="209"/>
      <c r="E86" s="209"/>
      <c r="F86" s="209"/>
      <c r="G86" s="209"/>
      <c r="H86" s="209"/>
      <c r="I86" s="210"/>
    </row>
    <row r="87" spans="1:9" ht="18.75" customHeight="1" x14ac:dyDescent="0.15">
      <c r="A87" s="1"/>
      <c r="B87" s="208"/>
      <c r="C87" s="209"/>
      <c r="D87" s="209"/>
      <c r="E87" s="209"/>
      <c r="F87" s="209"/>
      <c r="G87" s="209"/>
      <c r="H87" s="209"/>
      <c r="I87" s="210"/>
    </row>
    <row r="88" spans="1:9" ht="18.75" customHeight="1" x14ac:dyDescent="0.15">
      <c r="A88" s="1"/>
      <c r="B88" s="208"/>
      <c r="C88" s="209"/>
      <c r="D88" s="209"/>
      <c r="E88" s="209"/>
      <c r="F88" s="209"/>
      <c r="G88" s="209"/>
      <c r="H88" s="209"/>
      <c r="I88" s="210"/>
    </row>
    <row r="89" spans="1:9" ht="18.75" customHeight="1" x14ac:dyDescent="0.15">
      <c r="A89" s="1"/>
      <c r="B89" s="208"/>
      <c r="C89" s="209"/>
      <c r="D89" s="209"/>
      <c r="E89" s="209"/>
      <c r="F89" s="209"/>
      <c r="G89" s="209"/>
      <c r="H89" s="209"/>
      <c r="I89" s="210"/>
    </row>
    <row r="90" spans="1:9" ht="18.75" customHeight="1" x14ac:dyDescent="0.15">
      <c r="A90" s="4"/>
      <c r="B90" s="208"/>
      <c r="C90" s="209"/>
      <c r="D90" s="209"/>
      <c r="E90" s="209"/>
      <c r="F90" s="209"/>
      <c r="G90" s="209"/>
      <c r="H90" s="209"/>
      <c r="I90" s="210"/>
    </row>
    <row r="91" spans="1:9" ht="18.75" customHeight="1" x14ac:dyDescent="0.15">
      <c r="A91" s="4"/>
      <c r="B91" s="211"/>
      <c r="C91" s="212"/>
      <c r="D91" s="212"/>
      <c r="E91" s="212"/>
      <c r="F91" s="212"/>
      <c r="G91" s="212"/>
      <c r="H91" s="212"/>
      <c r="I91" s="213"/>
    </row>
    <row r="92" spans="1:9" ht="7.5" customHeight="1" x14ac:dyDescent="0.15">
      <c r="A92" s="4"/>
      <c r="B92" s="4"/>
      <c r="C92" s="4"/>
      <c r="D92" s="4"/>
      <c r="E92" s="4"/>
      <c r="F92" s="4"/>
      <c r="G92" s="4"/>
      <c r="H92" s="4"/>
      <c r="I92" s="4"/>
    </row>
    <row r="93" spans="1:9" ht="18.75" customHeight="1" x14ac:dyDescent="0.15">
      <c r="A93" s="1" t="s">
        <v>150</v>
      </c>
      <c r="B93" s="1" t="s">
        <v>151</v>
      </c>
    </row>
    <row r="94" spans="1:9" ht="18.75" customHeight="1" x14ac:dyDescent="0.15">
      <c r="A94" s="1"/>
      <c r="B94" s="176" t="s">
        <v>152</v>
      </c>
      <c r="C94" s="177"/>
      <c r="D94" s="177"/>
      <c r="E94" s="177"/>
      <c r="F94" s="177"/>
      <c r="G94" s="177"/>
      <c r="H94" s="177"/>
      <c r="I94" s="178"/>
    </row>
    <row r="95" spans="1:9" ht="18.75" customHeight="1" x14ac:dyDescent="0.15">
      <c r="A95" s="1"/>
      <c r="B95" s="182"/>
      <c r="C95" s="183"/>
      <c r="D95" s="183"/>
      <c r="E95" s="183"/>
      <c r="F95" s="183"/>
      <c r="G95" s="183"/>
      <c r="H95" s="183"/>
      <c r="I95" s="181"/>
    </row>
    <row r="96" spans="1:9" ht="18.75" customHeight="1" x14ac:dyDescent="0.15">
      <c r="A96" s="1"/>
      <c r="B96" s="182"/>
      <c r="C96" s="183"/>
      <c r="D96" s="183"/>
      <c r="E96" s="183"/>
      <c r="F96" s="183"/>
      <c r="G96" s="183"/>
      <c r="H96" s="183"/>
      <c r="I96" s="181"/>
    </row>
    <row r="97" spans="1:9" ht="18.75" customHeight="1" x14ac:dyDescent="0.15">
      <c r="A97" s="1"/>
      <c r="B97" s="182"/>
      <c r="C97" s="183"/>
      <c r="D97" s="183"/>
      <c r="E97" s="183"/>
      <c r="F97" s="183"/>
      <c r="G97" s="183"/>
      <c r="H97" s="183"/>
      <c r="I97" s="181"/>
    </row>
    <row r="98" spans="1:9" ht="18.75" customHeight="1" x14ac:dyDescent="0.15">
      <c r="A98" s="1"/>
      <c r="B98" s="182"/>
      <c r="C98" s="183"/>
      <c r="D98" s="183"/>
      <c r="E98" s="183"/>
      <c r="F98" s="183"/>
      <c r="G98" s="183"/>
      <c r="H98" s="183"/>
      <c r="I98" s="181"/>
    </row>
    <row r="99" spans="1:9" ht="18.75" customHeight="1" x14ac:dyDescent="0.15">
      <c r="A99" s="1"/>
      <c r="B99" s="182"/>
      <c r="C99" s="183"/>
      <c r="D99" s="183"/>
      <c r="E99" s="183"/>
      <c r="F99" s="183"/>
      <c r="G99" s="183"/>
      <c r="H99" s="183"/>
      <c r="I99" s="181"/>
    </row>
    <row r="100" spans="1:9" ht="18.75" customHeight="1" x14ac:dyDescent="0.15">
      <c r="A100" s="1"/>
      <c r="B100" s="182"/>
      <c r="C100" s="183"/>
      <c r="D100" s="183"/>
      <c r="E100" s="183"/>
      <c r="F100" s="183"/>
      <c r="G100" s="183"/>
      <c r="H100" s="183"/>
      <c r="I100" s="181"/>
    </row>
    <row r="101" spans="1:9" ht="18.75" customHeight="1" x14ac:dyDescent="0.15">
      <c r="A101" s="1"/>
      <c r="B101" s="182"/>
      <c r="C101" s="183"/>
      <c r="D101" s="183"/>
      <c r="E101" s="183"/>
      <c r="F101" s="183"/>
      <c r="G101" s="183"/>
      <c r="H101" s="183"/>
      <c r="I101" s="181"/>
    </row>
    <row r="102" spans="1:9" ht="18.75" customHeight="1" x14ac:dyDescent="0.15">
      <c r="A102" s="1"/>
      <c r="B102" s="182"/>
      <c r="C102" s="183"/>
      <c r="D102" s="183"/>
      <c r="E102" s="183"/>
      <c r="F102" s="183"/>
      <c r="G102" s="183"/>
      <c r="H102" s="183"/>
      <c r="I102" s="181"/>
    </row>
    <row r="103" spans="1:9" ht="18.75" customHeight="1" x14ac:dyDescent="0.15">
      <c r="A103" s="1"/>
      <c r="B103" s="182"/>
      <c r="C103" s="183"/>
      <c r="D103" s="183"/>
      <c r="E103" s="183"/>
      <c r="F103" s="183"/>
      <c r="G103" s="183"/>
      <c r="H103" s="183"/>
      <c r="I103" s="181"/>
    </row>
    <row r="104" spans="1:9" ht="18.75" customHeight="1" x14ac:dyDescent="0.15">
      <c r="A104" s="1"/>
      <c r="B104" s="182"/>
      <c r="C104" s="183"/>
      <c r="D104" s="183"/>
      <c r="E104" s="183"/>
      <c r="F104" s="183"/>
      <c r="G104" s="183"/>
      <c r="H104" s="183"/>
      <c r="I104" s="181"/>
    </row>
    <row r="105" spans="1:9" ht="18.75" customHeight="1" x14ac:dyDescent="0.15">
      <c r="A105" s="4"/>
      <c r="B105" s="184"/>
      <c r="C105" s="185"/>
      <c r="D105" s="185"/>
      <c r="E105" s="185"/>
      <c r="F105" s="185"/>
      <c r="G105" s="185"/>
      <c r="H105" s="185"/>
      <c r="I105" s="186"/>
    </row>
    <row r="106" spans="1:9" ht="7.5" customHeight="1" x14ac:dyDescent="0.15">
      <c r="A106" s="4"/>
      <c r="B106" s="4"/>
      <c r="C106" s="4"/>
      <c r="D106" s="4"/>
      <c r="E106" s="4"/>
      <c r="F106" s="4"/>
      <c r="G106" s="4"/>
      <c r="H106" s="4"/>
      <c r="I106" s="4"/>
    </row>
    <row r="107" spans="1:9" ht="18.75" customHeight="1" x14ac:dyDescent="0.15">
      <c r="A107" s="1" t="s">
        <v>153</v>
      </c>
      <c r="B107" s="193" t="s">
        <v>154</v>
      </c>
      <c r="C107" s="193"/>
      <c r="D107" s="193"/>
      <c r="E107" s="193"/>
      <c r="F107" s="193"/>
      <c r="G107" s="193"/>
      <c r="H107" s="193"/>
      <c r="I107" s="193"/>
    </row>
    <row r="108" spans="1:9" ht="18.75" customHeight="1" x14ac:dyDescent="0.15">
      <c r="A108" s="4"/>
      <c r="B108" s="176" t="s">
        <v>155</v>
      </c>
      <c r="C108" s="177"/>
      <c r="D108" s="177"/>
      <c r="E108" s="177"/>
      <c r="F108" s="177"/>
      <c r="G108" s="177"/>
      <c r="H108" s="177"/>
      <c r="I108" s="178"/>
    </row>
    <row r="109" spans="1:9" ht="18.75" customHeight="1" x14ac:dyDescent="0.15">
      <c r="A109" s="4"/>
      <c r="B109" s="182"/>
      <c r="C109" s="183"/>
      <c r="D109" s="183"/>
      <c r="E109" s="183"/>
      <c r="F109" s="183"/>
      <c r="G109" s="183"/>
      <c r="H109" s="183"/>
      <c r="I109" s="181"/>
    </row>
    <row r="110" spans="1:9" ht="18.75" customHeight="1" x14ac:dyDescent="0.15">
      <c r="A110" s="4"/>
      <c r="B110" s="182"/>
      <c r="C110" s="183"/>
      <c r="D110" s="183"/>
      <c r="E110" s="183"/>
      <c r="F110" s="183"/>
      <c r="G110" s="183"/>
      <c r="H110" s="183"/>
      <c r="I110" s="181"/>
    </row>
    <row r="111" spans="1:9" ht="18.75" customHeight="1" x14ac:dyDescent="0.15">
      <c r="A111" s="4"/>
      <c r="B111" s="182"/>
      <c r="C111" s="183"/>
      <c r="D111" s="183"/>
      <c r="E111" s="183"/>
      <c r="F111" s="183"/>
      <c r="G111" s="183"/>
      <c r="H111" s="183"/>
      <c r="I111" s="181"/>
    </row>
    <row r="112" spans="1:9" ht="18.75" customHeight="1" x14ac:dyDescent="0.15">
      <c r="A112" s="4"/>
      <c r="B112" s="182"/>
      <c r="C112" s="183"/>
      <c r="D112" s="183"/>
      <c r="E112" s="183"/>
      <c r="F112" s="183"/>
      <c r="G112" s="183"/>
      <c r="H112" s="183"/>
      <c r="I112" s="181"/>
    </row>
    <row r="113" spans="1:9" ht="18.75" customHeight="1" x14ac:dyDescent="0.15">
      <c r="A113" s="4"/>
      <c r="B113" s="182"/>
      <c r="C113" s="183"/>
      <c r="D113" s="183"/>
      <c r="E113" s="183"/>
      <c r="F113" s="183"/>
      <c r="G113" s="183"/>
      <c r="H113" s="183"/>
      <c r="I113" s="181"/>
    </row>
    <row r="114" spans="1:9" ht="18.75" customHeight="1" x14ac:dyDescent="0.15">
      <c r="A114" s="4"/>
      <c r="B114" s="182"/>
      <c r="C114" s="183"/>
      <c r="D114" s="183"/>
      <c r="E114" s="183"/>
      <c r="F114" s="183"/>
      <c r="G114" s="183"/>
      <c r="H114" s="183"/>
      <c r="I114" s="181"/>
    </row>
    <row r="115" spans="1:9" ht="18.75" customHeight="1" x14ac:dyDescent="0.15">
      <c r="A115" s="4"/>
      <c r="B115" s="182"/>
      <c r="C115" s="183"/>
      <c r="D115" s="183"/>
      <c r="E115" s="183"/>
      <c r="F115" s="183"/>
      <c r="G115" s="183"/>
      <c r="H115" s="183"/>
      <c r="I115" s="181"/>
    </row>
    <row r="116" spans="1:9" ht="18.75" customHeight="1" x14ac:dyDescent="0.15">
      <c r="A116" s="4"/>
      <c r="B116" s="182"/>
      <c r="C116" s="183"/>
      <c r="D116" s="183"/>
      <c r="E116" s="183"/>
      <c r="F116" s="183"/>
      <c r="G116" s="183"/>
      <c r="H116" s="183"/>
      <c r="I116" s="181"/>
    </row>
    <row r="117" spans="1:9" ht="18.75" customHeight="1" x14ac:dyDescent="0.15">
      <c r="A117" s="4"/>
      <c r="B117" s="182"/>
      <c r="C117" s="183"/>
      <c r="D117" s="183"/>
      <c r="E117" s="183"/>
      <c r="F117" s="183"/>
      <c r="G117" s="183"/>
      <c r="H117" s="183"/>
      <c r="I117" s="181"/>
    </row>
    <row r="118" spans="1:9" ht="18.75" customHeight="1" x14ac:dyDescent="0.15">
      <c r="A118" s="4"/>
      <c r="B118" s="182"/>
      <c r="C118" s="183"/>
      <c r="D118" s="183"/>
      <c r="E118" s="183"/>
      <c r="F118" s="183"/>
      <c r="G118" s="183"/>
      <c r="H118" s="183"/>
      <c r="I118" s="181"/>
    </row>
    <row r="119" spans="1:9" ht="18.75" customHeight="1" x14ac:dyDescent="0.15">
      <c r="A119" s="4"/>
      <c r="B119" s="184"/>
      <c r="C119" s="185"/>
      <c r="D119" s="185"/>
      <c r="E119" s="185"/>
      <c r="F119" s="185"/>
      <c r="G119" s="185"/>
      <c r="H119" s="185"/>
      <c r="I119" s="186"/>
    </row>
    <row r="120" spans="1:9" ht="7.5" customHeight="1" x14ac:dyDescent="0.15">
      <c r="A120" s="4"/>
      <c r="B120" s="25"/>
      <c r="C120" s="25"/>
      <c r="D120" s="25"/>
      <c r="E120" s="25"/>
      <c r="F120" s="25"/>
      <c r="G120" s="25"/>
      <c r="H120" s="25"/>
      <c r="I120" s="25"/>
    </row>
    <row r="121" spans="1:9" ht="18.75" customHeight="1" x14ac:dyDescent="0.15">
      <c r="A121" s="49"/>
      <c r="B121" s="172"/>
      <c r="C121" s="172"/>
      <c r="D121" s="172"/>
      <c r="E121" s="172"/>
      <c r="F121" s="172"/>
      <c r="G121" s="172"/>
      <c r="H121" s="172"/>
      <c r="I121" s="172"/>
    </row>
    <row r="122" spans="1:9" ht="18.75" customHeight="1" x14ac:dyDescent="0.15">
      <c r="A122" s="49"/>
      <c r="B122" s="172"/>
      <c r="C122" s="172"/>
      <c r="D122" s="172"/>
      <c r="E122" s="172"/>
      <c r="F122" s="172"/>
      <c r="G122" s="172"/>
      <c r="H122" s="172"/>
      <c r="I122" s="172"/>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90" zoomScaleNormal="100" zoomScaleSheetLayoutView="90" workbookViewId="0">
      <selection activeCell="K9" sqref="K9"/>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156</v>
      </c>
      <c r="I1" s="18" t="s">
        <v>157</v>
      </c>
    </row>
    <row r="2" spans="1:9" ht="18.75" customHeight="1" x14ac:dyDescent="0.15">
      <c r="H2" s="18" t="s">
        <v>2</v>
      </c>
      <c r="I2" s="17" t="s">
        <v>77</v>
      </c>
    </row>
    <row r="3" spans="1:9" ht="18.75" customHeight="1" x14ac:dyDescent="0.15">
      <c r="A3" s="87" t="s">
        <v>158</v>
      </c>
      <c r="B3" s="87"/>
      <c r="C3" s="87"/>
      <c r="D3" s="87"/>
      <c r="E3" s="87"/>
      <c r="F3" s="87"/>
      <c r="G3" s="87"/>
      <c r="H3" s="87"/>
      <c r="I3" s="87"/>
    </row>
    <row r="4" spans="1:9" ht="18.75" customHeight="1" x14ac:dyDescent="0.15">
      <c r="A4" s="5"/>
      <c r="B4" s="5"/>
      <c r="C4" s="5"/>
      <c r="D4" s="5"/>
      <c r="E4" s="5"/>
      <c r="F4" s="5"/>
      <c r="G4" s="5"/>
      <c r="H4" s="5"/>
      <c r="I4" s="5"/>
    </row>
    <row r="5" spans="1:9" ht="18.75" customHeight="1" x14ac:dyDescent="0.15">
      <c r="A5" s="1" t="s">
        <v>112</v>
      </c>
      <c r="B5" s="10" t="s">
        <v>159</v>
      </c>
      <c r="C5" s="5"/>
      <c r="D5" s="5"/>
      <c r="E5" s="5"/>
      <c r="F5" s="5"/>
      <c r="G5" s="5"/>
      <c r="H5" s="5"/>
      <c r="I5" s="5"/>
    </row>
    <row r="6" spans="1:9" ht="26.25" customHeight="1" x14ac:dyDescent="0.15">
      <c r="A6" s="5"/>
      <c r="B6" s="187" t="s">
        <v>183</v>
      </c>
      <c r="C6" s="234"/>
      <c r="D6" s="234"/>
      <c r="E6" s="234"/>
      <c r="F6" s="234"/>
      <c r="G6" s="234"/>
      <c r="H6" s="235"/>
      <c r="I6" s="3"/>
    </row>
    <row r="7" spans="1:9" ht="9" customHeight="1" x14ac:dyDescent="0.15">
      <c r="A7" s="5"/>
      <c r="B7" s="10"/>
      <c r="C7" s="10"/>
      <c r="D7" s="10"/>
      <c r="E7" s="10"/>
      <c r="F7" s="10"/>
      <c r="G7" s="10"/>
      <c r="H7" s="10"/>
      <c r="I7" s="3"/>
    </row>
    <row r="8" spans="1:9" ht="18.75" customHeight="1" x14ac:dyDescent="0.15">
      <c r="A8" s="5"/>
      <c r="B8" s="3"/>
      <c r="C8" s="3"/>
      <c r="D8" s="18" t="s">
        <v>120</v>
      </c>
      <c r="E8" s="19" t="s">
        <v>121</v>
      </c>
      <c r="F8" s="3"/>
      <c r="G8" s="18" t="s">
        <v>122</v>
      </c>
      <c r="H8" s="19" t="s">
        <v>123</v>
      </c>
      <c r="I8" s="3"/>
    </row>
    <row r="9" spans="1:9" ht="7.5" customHeight="1" x14ac:dyDescent="0.15">
      <c r="A9" s="5"/>
      <c r="B9" s="5"/>
      <c r="C9" s="5"/>
      <c r="D9" s="5"/>
      <c r="E9" s="5"/>
      <c r="F9" s="5"/>
      <c r="G9" s="5"/>
      <c r="H9" s="5"/>
      <c r="I9" s="5"/>
    </row>
    <row r="10" spans="1:9" ht="18.75" customHeight="1" x14ac:dyDescent="0.15">
      <c r="A10" s="1" t="s">
        <v>116</v>
      </c>
      <c r="B10" s="1" t="s">
        <v>160</v>
      </c>
      <c r="C10" s="4"/>
      <c r="D10" s="4"/>
      <c r="E10" s="4"/>
      <c r="F10" s="4"/>
      <c r="G10" s="4"/>
      <c r="H10" s="4"/>
      <c r="I10" s="4"/>
    </row>
    <row r="11" spans="1:9" ht="18.75" customHeight="1" x14ac:dyDescent="0.15">
      <c r="B11" s="84" t="s">
        <v>161</v>
      </c>
      <c r="C11" s="85"/>
      <c r="D11" s="86"/>
      <c r="E11" s="85" t="s">
        <v>162</v>
      </c>
      <c r="F11" s="85"/>
      <c r="G11" s="85"/>
      <c r="H11" s="85"/>
      <c r="I11" s="86"/>
    </row>
    <row r="12" spans="1:9" ht="26.25" customHeight="1" x14ac:dyDescent="0.15">
      <c r="B12" s="26" t="s">
        <v>163</v>
      </c>
      <c r="C12" s="32"/>
      <c r="D12" s="27"/>
      <c r="E12" s="33"/>
      <c r="F12" s="33"/>
      <c r="G12" s="33"/>
      <c r="H12" s="33"/>
      <c r="I12" s="27"/>
    </row>
    <row r="13" spans="1:9" ht="210.75" customHeight="1" x14ac:dyDescent="0.15">
      <c r="B13" s="28"/>
      <c r="C13" s="229" t="s">
        <v>164</v>
      </c>
      <c r="D13" s="230"/>
      <c r="E13" s="231" t="s">
        <v>165</v>
      </c>
      <c r="F13" s="232"/>
      <c r="G13" s="232"/>
      <c r="H13" s="232"/>
      <c r="I13" s="233"/>
    </row>
    <row r="14" spans="1:9" ht="210.75" customHeight="1" x14ac:dyDescent="0.15">
      <c r="B14" s="28"/>
      <c r="C14" s="224" t="s">
        <v>166</v>
      </c>
      <c r="D14" s="225"/>
      <c r="E14" s="226" t="s">
        <v>167</v>
      </c>
      <c r="F14" s="227"/>
      <c r="G14" s="227"/>
      <c r="H14" s="227"/>
      <c r="I14" s="228"/>
    </row>
    <row r="15" spans="1:9" ht="210.75" customHeight="1" x14ac:dyDescent="0.15">
      <c r="B15" s="28"/>
      <c r="C15" s="229" t="s">
        <v>168</v>
      </c>
      <c r="D15" s="230"/>
      <c r="E15" s="226" t="s">
        <v>169</v>
      </c>
      <c r="F15" s="227"/>
      <c r="G15" s="227"/>
      <c r="H15" s="227"/>
      <c r="I15" s="228"/>
    </row>
    <row r="16" spans="1:9" ht="210.75" customHeight="1" x14ac:dyDescent="0.15">
      <c r="B16" s="28"/>
      <c r="C16" s="229" t="s">
        <v>170</v>
      </c>
      <c r="D16" s="230"/>
      <c r="E16" s="226" t="s">
        <v>171</v>
      </c>
      <c r="F16" s="227"/>
      <c r="G16" s="227"/>
      <c r="H16" s="227"/>
      <c r="I16" s="228"/>
    </row>
    <row r="17" spans="2:9" ht="210.75" customHeight="1" x14ac:dyDescent="0.15">
      <c r="B17" s="29"/>
      <c r="C17" s="236" t="s">
        <v>172</v>
      </c>
      <c r="D17" s="237"/>
      <c r="E17" s="238" t="s">
        <v>173</v>
      </c>
      <c r="F17" s="239"/>
      <c r="G17" s="239"/>
      <c r="H17" s="239"/>
      <c r="I17" s="240"/>
    </row>
    <row r="18" spans="2:9" ht="24" customHeight="1" x14ac:dyDescent="0.15">
      <c r="B18" s="26" t="s">
        <v>174</v>
      </c>
      <c r="C18" s="30"/>
      <c r="D18" s="31"/>
      <c r="E18" s="81"/>
      <c r="F18" s="81"/>
      <c r="G18" s="81"/>
      <c r="H18" s="81"/>
      <c r="I18" s="82"/>
    </row>
    <row r="19" spans="2:9" ht="218.25" customHeight="1" x14ac:dyDescent="0.15">
      <c r="B19" s="28"/>
      <c r="C19" s="229" t="s">
        <v>175</v>
      </c>
      <c r="D19" s="230"/>
      <c r="E19" s="232" t="s">
        <v>176</v>
      </c>
      <c r="F19" s="232"/>
      <c r="G19" s="232"/>
      <c r="H19" s="232"/>
      <c r="I19" s="233"/>
    </row>
    <row r="20" spans="2:9" ht="218.25" customHeight="1" x14ac:dyDescent="0.15">
      <c r="B20" s="29"/>
      <c r="C20" s="236" t="s">
        <v>177</v>
      </c>
      <c r="D20" s="237"/>
      <c r="E20" s="239" t="s">
        <v>178</v>
      </c>
      <c r="F20" s="239"/>
      <c r="G20" s="239"/>
      <c r="H20" s="239"/>
      <c r="I20" s="240"/>
    </row>
    <row r="21" spans="2:9" ht="218.25" customHeight="1" x14ac:dyDescent="0.15">
      <c r="B21" s="246" t="s">
        <v>179</v>
      </c>
      <c r="C21" s="247"/>
      <c r="D21" s="248"/>
      <c r="E21" s="249" t="s">
        <v>180</v>
      </c>
      <c r="F21" s="249"/>
      <c r="G21" s="249"/>
      <c r="H21" s="249"/>
      <c r="I21" s="250"/>
    </row>
    <row r="22" spans="2:9" ht="218.25" customHeight="1" x14ac:dyDescent="0.15">
      <c r="B22" s="241" t="s">
        <v>181</v>
      </c>
      <c r="C22" s="242"/>
      <c r="D22" s="243"/>
      <c r="E22" s="244" t="s">
        <v>182</v>
      </c>
      <c r="F22" s="244"/>
      <c r="G22" s="244"/>
      <c r="H22" s="244"/>
      <c r="I22" s="24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54CCE42E5B8F940A97E89C0721940BF" ma:contentTypeVersion="13" ma:contentTypeDescription="新しいドキュメントを作成します。" ma:contentTypeScope="" ma:versionID="a8965000707fcac93fd7ede3ebbf9c48">
  <xsd:schema xmlns:xsd="http://www.w3.org/2001/XMLSchema" xmlns:xs="http://www.w3.org/2001/XMLSchema" xmlns:p="http://schemas.microsoft.com/office/2006/metadata/properties" xmlns:ns2="2b4aae45-4866-4b5b-870f-f6e7160cd90e" xmlns:ns3="7b724cbf-2477-4d67-b30c-b4ceb496ac0d" targetNamespace="http://schemas.microsoft.com/office/2006/metadata/properties" ma:root="true" ma:fieldsID="d5a71b5bf57b17435d9b9c20da81ab4f" ns2:_="" ns3:_="">
    <xsd:import namespace="2b4aae45-4866-4b5b-870f-f6e7160cd90e"/>
    <xsd:import namespace="7b724cbf-2477-4d67-b30c-b4ceb496ac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aae45-4866-4b5b-870f-f6e7160cd9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49879009-d439-4e88-a6d0-d70e3ab1057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724cbf-2477-4d67-b30c-b4ceb496ac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43dfc5-8ca4-4799-81d7-e113694c3e2e}" ma:internalName="TaxCatchAll" ma:showField="CatchAllData" ma:web="7b724cbf-2477-4d67-b30c-b4ceb496ac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b724cbf-2477-4d67-b30c-b4ceb496ac0d" xsi:nil="true"/>
    <lcf76f155ced4ddcb4097134ff3c332f xmlns="2b4aae45-4866-4b5b-870f-f6e7160cd9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DC54F6-1291-4422-93DE-720AC43D397D}">
  <ds:schemaRefs>
    <ds:schemaRef ds:uri="http://schemas.microsoft.com/sharepoint/v3/contenttype/forms"/>
  </ds:schemaRefs>
</ds:datastoreItem>
</file>

<file path=customXml/itemProps2.xml><?xml version="1.0" encoding="utf-8"?>
<ds:datastoreItem xmlns:ds="http://schemas.openxmlformats.org/officeDocument/2006/customXml" ds:itemID="{BDD2DBD0-FA14-4B67-8D4F-D112141F645E}"/>
</file>

<file path=customXml/itemProps3.xml><?xml version="1.0" encoding="utf-8"?>
<ds:datastoreItem xmlns:ds="http://schemas.openxmlformats.org/officeDocument/2006/customXml" ds:itemID="{3AA5B460-DA27-4804-B0B4-BC2C8118EBED}">
  <ds:schemaRefs>
    <ds:schemaRef ds:uri="http://purl.org/dc/elements/1.1/"/>
    <ds:schemaRef ds:uri="http://schemas.microsoft.com/office/2006/documentManagement/types"/>
    <ds:schemaRef ds:uri="http://purl.org/dc/dcmitype/"/>
    <ds:schemaRef ds:uri="http://schemas.microsoft.com/office/2006/metadata/properties"/>
    <ds:schemaRef ds:uri="http://purl.org/dc/terms/"/>
    <ds:schemaRef ds:uri="http://www.w3.org/XML/1998/namespace"/>
    <ds:schemaRef ds:uri="77566c30-079d-4bc7-a80f-583800d0e3f0"/>
    <ds:schemaRef ds:uri="http://schemas.microsoft.com/office/infopath/2007/PartnerControls"/>
    <ds:schemaRef ds:uri="http://schemas.openxmlformats.org/package/2006/metadata/core-properties"/>
    <ds:schemaRef ds:uri="b9d0edf5-9a6f-4766-8d42-61e6d67fe1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小川 春菜</dc:creator>
  <cp:keywords/>
  <dc:description/>
  <cp:lastModifiedBy>内山 優平</cp:lastModifiedBy>
  <cp:revision/>
  <cp:lastPrinted>2025-07-05T03:15:18Z</cp:lastPrinted>
  <dcterms:created xsi:type="dcterms:W3CDTF">2011-06-14T05:32:50Z</dcterms:created>
  <dcterms:modified xsi:type="dcterms:W3CDTF">2025-07-07T04:24:55Z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0x010100D54CCE42E5B8F940A97E89C0721940BF</vt:lpwstr>
  </property>
  <property fmtid="{D5CDD505-2E9C-101B-9397-08002B2CF9AE}" pid="10" name="MediaServiceImageTags">
    <vt:lpwstr/>
  </property>
</Properties>
</file>