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C:\Users\atsuk\Downloads\★リテラシー_開封確認済み\086_250722東北文教大学\"/>
    </mc:Choice>
  </mc:AlternateContent>
  <xr:revisionPtr revIDLastSave="0" documentId="13_ncr:1_{24375DC6-6A6F-4534-99C2-631FF02124BE}" xr6:coauthVersionLast="47" xr6:coauthVersionMax="47" xr10:uidLastSave="{00000000-0000-0000-0000-000000000000}"/>
  <bookViews>
    <workbookView xWindow="6492" yWindow="780" windowWidth="11592" windowHeight="10584" tabRatio="885" xr2:uid="{00000000-000D-0000-FFFF-FFFF00000000}"/>
  </bookViews>
  <sheets>
    <sheet name="様式１　プログラムを構成する授業科目 " sheetId="44"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 '!$X$16:$X$18</definedName>
    <definedName name="_xlnm._FilterDatabase" localSheetId="1" hidden="1">'様式２ 履修者等数の実績'!#REF!</definedName>
    <definedName name="_xlnm.Print_Area" localSheetId="0">'様式１　プログラムを構成する授業科目 '!$A$1:$U$105</definedName>
    <definedName name="_xlnm.Print_Area" localSheetId="1">'様式２ 履修者等数の実績'!$A$1:$S$33</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<sst xmlns="http://schemas.openxmlformats.org/spreadsheetml/2006/main" count="352" uniqueCount="204">
  <si>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</si>
  <si>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</si>
  <si>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</si>
  <si>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</si>
  <si>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</si>
  <si>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</si>
  <si>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</si>
  <si>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</si>
  <si>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</si>
  <si>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</si>
  <si>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</si>
  <si>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</si>
  <si>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</si>
  <si>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</si>
  <si>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</si>
  <si>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</si>
  <si>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</si>
  <si>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</si>
  <si>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</si>
  <si>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</si>
  <si>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</si>
  <si>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</si>
  <si>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</si>
  <si>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</si>
  <si>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</si>
  <si>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</si>
  <si>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</si>
  <si>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</si>
  <si>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</si>
  <si>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</si>
  <si>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</si>
  <si>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</si>
  <si>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</si>
  <si>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</si>
  <si>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</si>
  <si>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</si>
  <si>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</si>
  <si>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</si>
  <si>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</si>
  <si>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</si>
  <si>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</si>
  <si>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</si>
  <si>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</si>
  <si>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</si>
  <si>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</si>
  <si>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</si>
  <si>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</si>
  <si>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</si>
  <si>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</si>
  <si>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</si>
  <si>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</si>
  <si>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</si>
  <si>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</si>
  <si>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</si>
  <si>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</si>
  <si>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</si>
  <si>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</si>
  <si>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</si>
  <si>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</si>
  <si>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</si>
  <si>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</si>
  <si>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</si>
  <si>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</si>
  <si>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</si>
  <si>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</si>
  <si>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</si>
  <si>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</si>
  <si>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</si>
  <si>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</si>
  <si>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</si>
  <si>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</si>
  <si>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</si>
  <si>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</si>
  <si>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</si>
  <si>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</si>
  <si>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</si>
  <si>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</si>
  <si>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</si>
  <si>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</si>
  <si>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</si>
  <si>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</si>
  <si>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</si>
  <si>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</si>
  <si>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</si>
  <si>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</si>
  <si>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</si>
  <si>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</si>
  <si>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</si>
  <si>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</si>
  <si>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</si>
  <si>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</si>
  <si>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</si>
  <si>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</si>
  <si>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</si>
  <si>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</si>
  <si>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</si>
  <si>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</si>
  <si>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</si>
  <si>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</si>
  <si>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</si>
  <si>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</si>
  <si>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</si>
  <si>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</si>
  <si>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</si>
  <si>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</si>
  <si>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</si>
  <si>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</si>
  <si>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</si>
  <si>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</si>
  <si>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</si>
  <si>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</si>
  <si>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</si>
  <si>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</si>
  <si>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</si>
  <si>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</si>
  <si>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</si>
  <si>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</si>
  <si>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</si>
  <si>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</si>
  <si>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</si>
  <si>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</si>
  <si>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</si>
  <si>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</si>
  <si>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</si>
  <si>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</si>
  <si>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</si>
  <si>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</si>
  <si>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</si>
  <si>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</si>
  <si>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</si>
  <si>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</si>
  <si>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</si>
  <si>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</si>
  <si>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</si>
  <si>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</si>
  <si>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</si>
  <si>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</si>
  <si>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</si>
  <si>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</si>
  <si>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</si>
  <si>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</si>
  <si>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</si>
  <si>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東北文教大学　数理・データサイエンス・ＡＩ教育プログラム</t>
    <phoneticPr fontId="1"/>
  </si>
  <si>
    <t>東北文教大学</t>
    <phoneticPr fontId="1"/>
  </si>
  <si>
    <t>○</t>
  </si>
  <si>
    <t>4-1統計および数理基礎</t>
  </si>
  <si>
    <t>4‐2アルゴリズム基礎</t>
  </si>
  <si>
    <t>4‐5テキスト解析</t>
  </si>
  <si>
    <t>令和６</t>
    <rPh sb="0" eb="2">
      <t>レイワ</t>
    </rPh>
    <phoneticPr fontId="1"/>
  </si>
  <si>
    <t>人間科学分野におけるデータやAIの利活用ならびにそれに伴う社会の変化や、情報倫理の重要性を理解し、データやAIを適切に扱う基礎的な能力・技術を獲得する。</t>
    <phoneticPr fontId="1"/>
  </si>
  <si>
    <t>鈴木　隆</t>
    <rPh sb="0" eb="2">
      <t xml:space="preserve">スズキ </t>
    </rPh>
    <rPh sb="3" eb="4">
      <t xml:space="preserve">タカシ </t>
    </rPh>
    <phoneticPr fontId="1"/>
  </si>
  <si>
    <t>副学長（教育担当）</t>
    <rPh sb="0" eb="3">
      <t xml:space="preserve">フクガクチョウ </t>
    </rPh>
    <rPh sb="4" eb="8">
      <t xml:space="preserve">キョウイクタントウ </t>
    </rPh>
    <phoneticPr fontId="1"/>
  </si>
  <si>
    <t>　数理・データサイエンス・AIへの関心を高めること、人間科学分野におけるデータやAIの利活用ならびにそれに伴う社会の変化や、情報倫理の重要性を理解し、データやAIを適切に扱う基礎的な能力・技術を育成することを目的とするとともに、東北文教大学 数理・データサイエンス・AI教育プログラムに関する事項を審議するものである。
　なお、本プログラムを立ち上げた令和6年度においては、教務委員会の小委員会として数理・DS・AI教育プログラム推進小委員会を設置していたが、令和7年4月1日に数理・DS・AI教育プログラム推進委員会に格上げし、学内のより重要な組織として位置付けた。</t>
    <rPh sb="209" eb="211">
      <t xml:space="preserve">キョウイク </t>
    </rPh>
    <phoneticPr fontId="1"/>
  </si>
  <si>
    <t xml:space="preserve">　本プログラムの対象科目のうち、卒業要件上の選択科目については、本プログラムを希望する全員が受講できるよう時間割上の配慮を行っている。
　本学では「Google Workspace for Education Fundamentals」に基づき、全学生と教職員に対してGoogleアカウントを発行している。このアカウントを利用した、Gmailによる連絡体制、Google Classroomによる資料のアーカイブ体制によって、学生のサポートを行っている。
</t>
    <phoneticPr fontId="1"/>
  </si>
  <si>
    <t xml:space="preserve">　「Google Workspace for Education Fundamentals」に基づき発行したGoogleアカウントを利用することで、Gmailによる質問の常時対応、Google Classroomによる授業資料の確認が可能となっている。
　また、教員ごとにオフィスアワーを設けているため、授業時間外の学生の質疑応答にも対面であたることができる。
</t>
    <phoneticPr fontId="1"/>
  </si>
  <si>
    <t>人間関係学科と一致させる。</t>
    <rPh sb="0" eb="4">
      <t xml:space="preserve">ニンゲンカンケイ </t>
    </rPh>
    <rPh sb="4" eb="6">
      <t xml:space="preserve">ガッカ </t>
    </rPh>
    <rPh sb="7" eb="9">
      <t xml:space="preserve">イッチ </t>
    </rPh>
    <phoneticPr fontId="1"/>
  </si>
  <si>
    <t>　子ども教育学科においては、本プログラムの対象科目のうち、１科目が卒業必修科目、２科目が選択科目である。前者は全員が受講可能なのは言うまでもない。後者のうち「コンピュータ応用演習」は教職課程の必修にあたるので、これも全員が受講可能となる時間割の配置である。残る「情報科学」について、本プログラムを希望する全員が受講できるよう、時間割において競合科目の調整を行っている。
　人間関係学科においては、本プログラムの対象科目７科目は全て基礎教育科目に配置されている。この内、３科目が卒業必修科目、４科目が選択科目である。卒業必修科目は全員が受講可能なのは言うまでもない。選択科目については、本プログラムを希望する全員が対象科目を受講できるよう、時間割において競合科目の調整を行っている。</t>
    <rPh sb="1" eb="2">
      <t>コ</t>
    </rPh>
    <rPh sb="4" eb="6">
      <t>キョウイク</t>
    </rPh>
    <rPh sb="6" eb="8">
      <t>ガッカ</t>
    </rPh>
    <rPh sb="188" eb="190">
      <t>カンケイ</t>
    </rPh>
    <rPh sb="190" eb="192">
      <t>ガッカ</t>
    </rPh>
    <rPh sb="198" eb="199">
      <t>ホン</t>
    </rPh>
    <rPh sb="205" eb="207">
      <t>タイショウ</t>
    </rPh>
    <rPh sb="207" eb="209">
      <t>カモク</t>
    </rPh>
    <rPh sb="210" eb="212">
      <t>カモク</t>
    </rPh>
    <rPh sb="213" eb="214">
      <t>スベ</t>
    </rPh>
    <rPh sb="215" eb="219">
      <t>キソキョウイク</t>
    </rPh>
    <rPh sb="219" eb="221">
      <t>カモク</t>
    </rPh>
    <rPh sb="222" eb="224">
      <t>ハイチ</t>
    </rPh>
    <rPh sb="232" eb="233">
      <t>ウチ</t>
    </rPh>
    <rPh sb="235" eb="237">
      <t>カモク</t>
    </rPh>
    <rPh sb="238" eb="240">
      <t>ソツギョウ</t>
    </rPh>
    <rPh sb="240" eb="242">
      <t>ヒッシュウ</t>
    </rPh>
    <rPh sb="242" eb="244">
      <t>カモク</t>
    </rPh>
    <rPh sb="246" eb="248">
      <t>カモク</t>
    </rPh>
    <rPh sb="249" eb="251">
      <t>センタク</t>
    </rPh>
    <rPh sb="251" eb="253">
      <t>カモク</t>
    </rPh>
    <rPh sb="257" eb="259">
      <t>ソツギョウ</t>
    </rPh>
    <rPh sb="259" eb="261">
      <t>ヒッシュウ</t>
    </rPh>
    <rPh sb="261" eb="263">
      <t>カモク</t>
    </rPh>
    <rPh sb="264" eb="266">
      <t>ゼンイン</t>
    </rPh>
    <rPh sb="267" eb="269">
      <t>ジュコウ</t>
    </rPh>
    <rPh sb="269" eb="271">
      <t>カノウ</t>
    </rPh>
    <rPh sb="274" eb="275">
      <t>イ</t>
    </rPh>
    <rPh sb="282" eb="284">
      <t>センタク</t>
    </rPh>
    <rPh sb="284" eb="286">
      <t>カモク</t>
    </rPh>
    <rPh sb="319" eb="322">
      <t>ジカンワリ</t>
    </rPh>
    <rPh sb="326" eb="328">
      <t>キョウゴウ</t>
    </rPh>
    <rPh sb="328" eb="330">
      <t>カモク</t>
    </rPh>
    <rPh sb="331" eb="333">
      <t>チョウセイ</t>
    </rPh>
    <rPh sb="334" eb="335">
      <t>オコナ</t>
    </rPh>
    <phoneticPr fontId="1"/>
  </si>
  <si>
    <t>　産業界からの本プログラムに対する意見を直接伺うことはこれまで行っていない。しかしながら、、本学では年１回ステークホルダーとの意見交換会を開催しており、この意見交換会の産業界からの意見を求める機会にしたいと考えている。</t>
    <phoneticPr fontId="1"/>
  </si>
  <si>
    <t>東北文教大学</t>
    <rPh sb="0" eb="6">
      <t>トウホクブンキョウダイガク</t>
    </rPh>
    <phoneticPr fontId="1"/>
  </si>
  <si>
    <t xml:space="preserve">　子ども教育学科においては、モデルカリキュラムリテラシーレベルの導入部分に準じた内容を展開し、社会や学校での実例・想定例をもとに、AI等がどのような活用をされているかを中心に、好奇心を促す講義・演習内容としている。取り上げる実例については、学生から入力されたデータから個人情報を除いたデータを用い、その分析をもとに考察させる内容を実施している。
　人間関係学科においては、1年前期の卒業必修科目でもある「基礎ゼミⅠ」や「情報倫理」の授業を通して、数理・データサイエンス・ＡＩを「学ぶ楽しさ」や「学ぶことの意義」についての理解を深めるよう取り組んでいる。
</t>
    <phoneticPr fontId="1"/>
  </si>
  <si>
    <t xml:space="preserve">　令和6年度は旧教務委員会の数理・DS・AI教育プログラム推進小委員会にて、履修・修得状況の確認を行った。
　本学では令和6年度入学者のカリキュラムより、本プログラムを開始した。両学科ともに2年次以降にもプログラム対象科目が開講されるため、２年次のオリエンテーションにて本プログラムを改めて周知したい。
　また、本学ではActive Portal（教務情報システム）により、学生・教員ともに、学生の履修状況、各回の講義の出欠、成績や単位修得状況を随時、確認することができる。両学科ともに、出席状況を中心に、授業への取組が芳しくない学生の確認ならびに情報共有に努めており、修得状況に対する全学的な体制も整っている。
</t>
    <phoneticPr fontId="1"/>
  </si>
  <si>
    <t>　本学では教育開発センターが主体となって授業アンケートを行っており、この結果を本プログラムの評価・改善につなげることができる。授業アンケートは匿名で行っているため、本プログラム履修者の個々の回答については不明である。しかしながら、教務情報システムにより本プログラム履修者の個々の成績を確認することが可能であるため、この確認結果を本プログラムの評価・改善につなげることができる。なお、現時点における本プログラム履修者のプログラム対象科目の成績は良好である。</t>
    <phoneticPr fontId="1"/>
  </si>
  <si>
    <t xml:space="preserve">　本学の教育開発センターが主体となって行っている授業アンケートでは、授業の到達目標の達成度の自己評価を行っている。この学生自身による自己評価は授業担当者も確認することができ、これと成績評価との関連性を確認することで、授業内容や成績評価の妥当性を判断することができる。この仕組みを本プログラムの評価・改善につなげることができる。なお、現時点における本プログラム履修者のプログラム対象科目の達成度の自己評価と成績はともに良好である。
</t>
    <phoneticPr fontId="1"/>
  </si>
  <si>
    <t>　本学では授業アンケートを後輩学生への履修推奨科目を示すための手段として活用はしていない。しかしながら、授業アンケートの結果に対して、授業担当教員にコメントを求め、期間を決めてその返答を学内で閲覧できる体制を整えている。この返答を後輩学生は履修時の参考情報として活用することができる。</t>
    <phoneticPr fontId="1"/>
  </si>
  <si>
    <t xml:space="preserve">　両学科ともに、2年次以降に本プログラムの必修科目が開講されるため、現時点で修了者はいない。
・教育職
　子ども教育学科の卒業生は、教育データの利活用において、データ・AIを扱う上での留意事項を踏まえつつ、教育DXの推進において、データ・AIを有効に活用できると考えられる。
・一般職
　本学では、2024年度より法人GAIを業務に導入する環境を整えた。これに際して、FD・SD研修会を実施し、企業等で生成AIの業務利用が促進されている実情を確認した。また、本学の卒業生が勤める事業所においても、生成AIの業務利用が進んでいる状況が確認されている。本学の教育プログラムでは生成AIも相応に扱っており、企業等の期待に応えるものと考えられる
</t>
    <phoneticPr fontId="1"/>
  </si>
  <si>
    <t xml:space="preserve">　上記目標を実現するために、オリエンテーションの教務ガイダンスにおいて、本プログラムの重要性を説明するとともに履修を推奨している。
　本プログラムは令和6年度入学者より開始され、現時点の履修者は1学年のみである。このため、履修者数が限られ、実績が低い状況である。学科別では、子ども教育学科の履修者が多く、人間関係学科は少ない。これは、両学科で1年次に提供されるプログラム対象科目の差異に起因している。子ども教育学科では卒業必修科目のみがプログラム対象科目であり、当該必修科目の単位修得者全員をプログラムの履修対象者として挙げている。一方、人間関係学科では卒業必修科目だけでなく卒業選択科目もプログラム対象科目に含まれていることから、個別に確認したプログラム履修希望者の数を挙げている。
　2年次以降にもプログラム科目が提供されるため、オリエンテーションなどを通じて本プログラムを改めて周知することで、子ども教育学科では履修率の維持、人間関係学科では履修率の向上を図りたいと考えている。
　今後の社会情勢次第では本プログラムを必修化することも避けられないと考えているが、現時点においてはそのための具体的な計画はない。
</t>
    <phoneticPr fontId="1"/>
  </si>
  <si>
    <t xml:space="preserve">　本プログラムは令和６年度入学者より開始されている。子ども教育学科は履修者が多く、人間関係学科は少ないが、これは両学科で1年次に提供されるプログラム対象科目の差異に起因している。
　両学科ともに２年次以降にもプログラム対象科目が開講されることから、オリエンテーションにて本プログラムの重要性を改めて周知することにより、子ども教育学科では履修率の維持、人間関係学科では履修率の向上を図りたいと考えている。
　令和７年度以降の入学者に対しては、令和６年度の状況を踏まえ、オリエンテーションに加え、卒業必修科目かつ本プログラム対象科目においても本プログラムの重要性を周知したいと考えている。
</t>
    <rPh sb="246" eb="248">
      <t>ソツギョウ</t>
    </rPh>
    <rPh sb="248" eb="250">
      <t>ヒッシュウ</t>
    </rPh>
    <rPh sb="250" eb="252">
      <t>カモク</t>
    </rPh>
    <phoneticPr fontId="1"/>
  </si>
  <si>
    <t xml:space="preserve">　子ども教育学科においては、学生アンケートからの意見や成績状況を参考に、学生の「分かりやすさ」の観点から講義・演習の内容・実施方法の見直しを検討している。特にAI関連については、主な就職先となる学校教育機関での、子どもや保護者によるAI活用状況も取り入れ、今後のカリキュラム構成の見直しを検討する。
　人間関係学科においては、1年次の卒業必修科目でもある「基礎ゼミⅠ・Ⅱ」や「情報倫理」で生成AIも扱うように努めている。また、既存科目の「情報検索」や「情報処理演習Ⅲ」がモデルカリキュラムに対応した内容を扱っていたため、本プログラムの選択科目とすることで本プログラムの充実化をはかっている。
</t>
    <rPh sb="270" eb="272">
      <t>カモク</t>
    </rPh>
    <phoneticPr fontId="1"/>
  </si>
  <si>
    <t>　本プログラムの周知は、プログラムの目的と概要等を記載したチラシをオリエンテーションにおいて配布し、行っている。
　また、本学のWebサイト（https://www.t-bunkyo.ac.jp/mdash/）にも本プログラムの情報を掲載し、学生が修了要件や対象科目などの情報の確認が行いやすい環境を整えている。
　令和７年度においては、本プログラムの対象科目である１年次の卒業必修科目の中でも、本プログラムの意義を改めて周知することも予定している。</t>
    <rPh sb="207" eb="209">
      <t>イギ</t>
    </rPh>
    <rPh sb="210" eb="211">
      <t>アラタ</t>
    </rPh>
    <rPh sb="220" eb="222">
      <t>ヨテイ</t>
    </rPh>
    <phoneticPr fontId="1"/>
  </si>
  <si>
    <t>様式１-1</t>
    <rPh sb="0" eb="2">
      <t>ヨウシキ</t>
    </rPh>
    <phoneticPr fontId="1"/>
  </si>
  <si>
    <t>教務委員会　委員長</t>
    <rPh sb="0" eb="5">
      <t>キョウムイインカイ</t>
    </rPh>
    <rPh sb="6" eb="9">
      <t>イインチョウ</t>
    </rPh>
    <phoneticPr fontId="1"/>
  </si>
  <si>
    <t>教務委員会　委員長</t>
    <rPh sb="0" eb="2">
      <t>キョウム</t>
    </rPh>
    <rPh sb="2" eb="5">
      <t>イインカイ</t>
    </rPh>
    <rPh sb="6" eb="9">
      <t>イインチョウ</t>
    </rPh>
    <phoneticPr fontId="1"/>
  </si>
  <si>
    <t>学部・学科によって、修了要件は相違しない</t>
  </si>
  <si>
    <t>人間科学部</t>
    <phoneticPr fontId="1"/>
  </si>
  <si>
    <t>情報科学（子ども教育学科）</t>
    <rPh sb="0" eb="4">
      <t xml:space="preserve">ジョウホウカガク </t>
    </rPh>
    <rPh sb="5" eb="6">
      <t>コ</t>
    </rPh>
    <rPh sb="8" eb="10">
      <t>キョウイク</t>
    </rPh>
    <rPh sb="10" eb="12">
      <t>ガッカ</t>
    </rPh>
    <phoneticPr fontId="1"/>
  </si>
  <si>
    <t>コンピュータ基礎演習（子ども教育学科）</t>
    <rPh sb="6" eb="10">
      <t xml:space="preserve">キソエンシュウ </t>
    </rPh>
    <rPh sb="11" eb="12">
      <t>コ</t>
    </rPh>
    <rPh sb="14" eb="16">
      <t>キョウイク</t>
    </rPh>
    <rPh sb="16" eb="18">
      <t>ガッカ</t>
    </rPh>
    <phoneticPr fontId="1"/>
  </si>
  <si>
    <t>コンピュータ応用演習（子ども教育学科）</t>
    <rPh sb="0" eb="4">
      <t>コンピュータ</t>
    </rPh>
    <rPh sb="6" eb="8">
      <t xml:space="preserve">オウヨウ </t>
    </rPh>
    <rPh sb="8" eb="10">
      <t xml:space="preserve">エンシュウ </t>
    </rPh>
    <rPh sb="11" eb="12">
      <t>コ</t>
    </rPh>
    <rPh sb="14" eb="16">
      <t>キョウイク</t>
    </rPh>
    <rPh sb="16" eb="18">
      <t>ガッカ</t>
    </rPh>
    <phoneticPr fontId="1"/>
  </si>
  <si>
    <t>基礎ゼミⅠ（人間関係学科）</t>
    <rPh sb="0" eb="2">
      <t>キソ</t>
    </rPh>
    <rPh sb="6" eb="8">
      <t>ニンゲン</t>
    </rPh>
    <rPh sb="8" eb="10">
      <t>カンケイ</t>
    </rPh>
    <rPh sb="10" eb="12">
      <t>ガッカ</t>
    </rPh>
    <phoneticPr fontId="1"/>
  </si>
  <si>
    <t>情報倫理（人間関係学科）</t>
    <rPh sb="0" eb="4">
      <t>ジョウホウリンリ</t>
    </rPh>
    <phoneticPr fontId="1"/>
  </si>
  <si>
    <t>情報処理演習Ⅱ（人間関係学科）</t>
    <rPh sb="0" eb="6">
      <t>ジョウホウショリエンシュウ</t>
    </rPh>
    <phoneticPr fontId="1"/>
  </si>
  <si>
    <t>情報処理演習Ⅱ（人間関係学科）</t>
    <rPh sb="0" eb="2">
      <t>ジョウホウ</t>
    </rPh>
    <rPh sb="2" eb="6">
      <t>ショリエンシュウ</t>
    </rPh>
    <phoneticPr fontId="1"/>
  </si>
  <si>
    <t>基礎ゼミⅠ（人間関係学科）</t>
    <rPh sb="0" eb="2">
      <t>キソ</t>
    </rPh>
    <phoneticPr fontId="1"/>
  </si>
  <si>
    <t>情報倫理（人間関係学科）</t>
    <rPh sb="0" eb="2">
      <t>ジョウホウ</t>
    </rPh>
    <rPh sb="2" eb="4">
      <t>リンリ</t>
    </rPh>
    <phoneticPr fontId="1"/>
  </si>
  <si>
    <t>基礎ゼミⅡ（人間関係学科）</t>
    <rPh sb="0" eb="2">
      <t>キソ</t>
    </rPh>
    <phoneticPr fontId="1"/>
  </si>
  <si>
    <t>情報処理演習Ⅰ（人間関係学科）</t>
    <rPh sb="0" eb="2">
      <t>ジョウホウ</t>
    </rPh>
    <rPh sb="2" eb="6">
      <t>ショリエンシュウ</t>
    </rPh>
    <phoneticPr fontId="1"/>
  </si>
  <si>
    <t>情報処理演習Ⅲ（人間関係学科）</t>
    <rPh sb="0" eb="2">
      <t>ジョウホウ</t>
    </rPh>
    <rPh sb="2" eb="6">
      <t>ショリエンシュウ</t>
    </rPh>
    <phoneticPr fontId="1"/>
  </si>
  <si>
    <t>情報検索（人間関係学科）</t>
    <rPh sb="0" eb="2">
      <t>ジョウホウ</t>
    </rPh>
    <rPh sb="2" eb="4">
      <t>ケンサク</t>
    </rPh>
    <phoneticPr fontId="1"/>
  </si>
  <si>
    <t>(子ども教育学科)
・ビッグデータ、IoT、AI、生成AI、ロボット　「情報科学　第1回〜第3回」
・データ量の増加、計算機の処理性能の向上、AIの非連続的進化　「情報科学　第3回」
・第4次産業革命、Society 5.0、データ駆動型社会　「情報科学　第1回〜第3回」
・複数技術を組み合わせたAIサービス　「情報科学　第12回」
・人間の知的活動とAIの関係性　「情報科学　第13回」
（人間関係学科）
・ビッグデータ、IoT、AI、生成AI、ロボット　「情報処理演習Ⅱ　第2回」
・データ量の増加、計算機の処理性能の向上、AIの非連続的進化　「情報処理演習Ⅱ　第2回」
・第4次産業革命、Society 5.0、データ駆動型社会　「情報処理演習Ⅱ　第2回）」
・複数技術を組み合わせたAIサービス　「基礎ゼミⅠ　第12～15回」
・人間の知的活動とAIの関係性　「基礎ゼミⅠ　第12～15回」、「情報倫理　第13回」</t>
    <rPh sb="1" eb="2">
      <t>コ</t>
    </rPh>
    <rPh sb="4" eb="6">
      <t>キョウイク</t>
    </rPh>
    <rPh sb="6" eb="8">
      <t>ガッカ</t>
    </rPh>
    <rPh sb="36" eb="40">
      <t xml:space="preserve">ジョウホウカガク </t>
    </rPh>
    <rPh sb="45" eb="46">
      <t xml:space="preserve">ダイ </t>
    </rPh>
    <rPh sb="47" eb="48">
      <t xml:space="preserve">カイ </t>
    </rPh>
    <rPh sb="132" eb="133">
      <t xml:space="preserve">ダイ </t>
    </rPh>
    <rPh sb="134" eb="135">
      <t xml:space="preserve">カイ </t>
    </rPh>
    <phoneticPr fontId="1"/>
  </si>
  <si>
    <t>(子ども教育学科)
・調査データ、実験データ、人の行動ログデータ、機械の稼働ログデータなど　「情報科学　第4回〜第5回」
・1次データ、2次データ、データのメタ化　「情報科学 第7回」
・構造化データ、非構造化データ（文章、画像/動画、音声/音楽など）　「情報科学 第7回」
・データ作成（ビッグデータとアノテーション）　「情報科学 第4回」
・データのオープン化（オープンデータ）　「情報科学 第4回」
（人間関係学科）
・調査データ、実験データ、人の行動ログデータ、機械の稼働ログデータなど　「情報処理演習Ⅱ　第3回」
・1次データ、2次データ、データのメタ化　「情報処理演習Ⅱ　第3回」
・構造化データ、非構造化データ（文章、画像/動画、音声/音楽など）　「情報処理演習Ⅱ　第3,14,15回」</t>
    <rPh sb="47" eb="51">
      <t xml:space="preserve">ジョウホウカガク </t>
    </rPh>
    <rPh sb="56" eb="57">
      <t xml:space="preserve">ダイ </t>
    </rPh>
    <rPh sb="58" eb="59">
      <t xml:space="preserve">カイ </t>
    </rPh>
    <rPh sb="83" eb="85">
      <t xml:space="preserve">ジョウホウショリ </t>
    </rPh>
    <rPh sb="85" eb="87">
      <t xml:space="preserve">カガク </t>
    </rPh>
    <rPh sb="88" eb="89">
      <t xml:space="preserve">ダイ </t>
    </rPh>
    <rPh sb="90" eb="91">
      <t xml:space="preserve">カイ </t>
    </rPh>
    <rPh sb="138" eb="139">
      <t xml:space="preserve">バケ </t>
    </rPh>
    <rPh sb="142" eb="144">
      <t>ジョウホウ</t>
    </rPh>
    <rPh sb="162" eb="164">
      <t>カガク ダイ</t>
    </rPh>
    <rPh sb="164" eb="166">
      <t xml:space="preserve"> カイ </t>
    </rPh>
    <rPh sb="167" eb="168">
      <t>_x0000_%_x0004_</t>
    </rPh>
    <rPh sb="169" eb="170">
      <t/>
    </rPh>
    <rPh sb="181" eb="182">
      <t xml:space="preserve">バケ </t>
    </rPh>
    <rPh sb="193" eb="197">
      <t xml:space="preserve">ジョウホウカガク </t>
    </rPh>
    <rPh sb="198" eb="199">
      <t xml:space="preserve">ダイ </t>
    </rPh>
    <rPh sb="200" eb="201">
      <t xml:space="preserve">カイ </t>
    </rPh>
    <phoneticPr fontId="1"/>
  </si>
  <si>
    <t>(子ども教育学科)
・データ・AI活用領域の広がり(生産、消費、文化活動など) 「情報科学 第4回、第12回〜第13回」
（人間関係学科）
・データ・AI活用領域の広がり(生産、消費、文化活動など) 　「情報処理演習Ⅱ　第3回」
・研究開発、調達、製造、物流、販売、マーケティング、サービスなど　「情報処理演習Ⅱ　第3回」
・仮説検証、知識発見、原因究明、計画策定、判断支援、活動代替、新規生成など　「情報処理演習Ⅱ　第3回」</t>
    <rPh sb="46" eb="47">
      <t xml:space="preserve">ダイ </t>
    </rPh>
    <rPh sb="48" eb="49">
      <t xml:space="preserve">カイ </t>
    </rPh>
    <phoneticPr fontId="1"/>
  </si>
  <si>
    <t>(子ども教育学科)
・データ解析：予測、グルーピング、パターン発見、最適化、モデル化とシミュレーション・データ同化など　「情報科学 第9回〜第11回」
・データ可視化：複合グラフ、2軸グラフ、多次元の可視化、関係性の可視化、地図上の可視化、挙動・軌跡の可視化、リアルタイム可視化など　「情報科学 第9回〜第11回」
（人間関係学科）
・データ解析：予測、グルーピング、パターン発見、最適化、モデル化とシミュレーション・データ同化など　「情報処理演習Ⅱ　第4回」
・データ可視化：複合グラフ、2軸グラフ、多次元の可視化、関係性の可視化、地図上の可視化、挙動・軌跡の可視化、リアルタイム可視化など
　「情報処理演習Ⅱ　第4回」</t>
    <rPh sb="61" eb="65">
      <t xml:space="preserve">ジョウホウカガク </t>
    </rPh>
    <rPh sb="66" eb="67">
      <t xml:space="preserve">ダイ </t>
    </rPh>
    <rPh sb="68" eb="69">
      <t xml:space="preserve">カイ </t>
    </rPh>
    <rPh sb="70" eb="71">
      <t xml:space="preserve">ダイ </t>
    </rPh>
    <rPh sb="73" eb="74">
      <t xml:space="preserve">カイ </t>
    </rPh>
    <phoneticPr fontId="1"/>
  </si>
  <si>
    <t>(子ども教育学科)
・データサイエンスのサイクル（課題抽出と定式化、データの取得・管理・加工、探索的データ解析、データ解析と推論、結果の共有・伝達、
　課題解決に向けた提案）　「情報科学 第10回〜第11回」
・教育、芸術、流通、製造、金融、サービス、インフラ、公共、ヘルスケア等におけるデータ・AI利活用事例紹介　「情報科学 第4回、第12回〜第13回」
（人間関係学科）
・データサイエンスのサイクル（課題抽出と定式化、データの取得・管理・加工、探索的データ解析、データ解析と推論、結果の共有・伝達、
　課題解決に向けた提案）　「情報処理演習Ⅱ　第4回」
・教育、芸術、流通、製造、金融、サービス、インフラ、公共、ヘルスケア等におけるデータ・AI利活用事例紹介　「基礎ゼミⅠ　第12～15回」、
　「情報倫理　第13回」</t>
    <rPh sb="99" eb="100">
      <t xml:space="preserve">ダイ </t>
    </rPh>
    <rPh sb="102" eb="103">
      <t xml:space="preserve">カイ </t>
    </rPh>
    <rPh sb="164" eb="165">
      <t xml:space="preserve">ダイ </t>
    </rPh>
    <rPh sb="166" eb="167">
      <t>カイ ジョウホウリンリダイカイ</t>
    </rPh>
    <phoneticPr fontId="1"/>
  </si>
  <si>
    <t>(子ども教育学科)
・倫理的・法的・社会的課題（ELSI：Ethical, Legal and Social Issues）　「情報科学　第14回」
・個人情報保護、EU一般データ保護規則(GDPR)、忘れられる権利、オプトアウト　「情報科学　第14回」
・データ倫理：データのねつ造、改ざん、盗用、プライバシー保護　「情報科学　第14回」
（人間関係学科）
・倫理的・法的・社会的課題題（ELSI：Ethical, Legal and Social Issues）　「基礎ゼミⅡ　第9回」
・個人情報保護、EU一般データ保護規則(GDPR)、忘れられる権利、オプトアウト　「基礎ゼミⅡ　第9回」、「情報倫理　第10回」
・データ倫理：データのねつ造、改ざん、盗用、プライバシー保護　「基礎ゼミⅡ　第9回」、「情報倫理　第10回」
・データ・AI活用における負の事例紹介　「情報倫理　第13回」
・生成AIの留意事項（ハルシネーションによる誤情報の生成、偽情報や有害コンテンツの生成・氾濫など）　「基礎ゼミⅡ　第9回」、「情報倫理　第13回」</t>
    <phoneticPr fontId="1"/>
  </si>
  <si>
    <t>(子ども教育学科)
・情報セキュリティの3要素（機密性、完全性、可用性） 「情報科学　第6回」
・情報漏洩等によるセキュリティ事故の事例紹介　「情報科学 第6回」
・サイバーセキュリティ 「情報科学 第6回」
（人間関係学科）
・情報セキュリティの3要素（機密性、完全性、可用性）　「情報倫理　第3,4回」
・匿名加工情報、暗号化と復号、ユーザ認証と、パスワード、アクセス制御、悪意ある情報搾取　「情報倫理　第3,4回」
・情報漏洩等によるセキュリティ事故の事例紹介　「情報倫理　第3,4回」
・サイバーセキュリティ　「情報倫理　第3,4回」</t>
    <rPh sb="72" eb="76">
      <t xml:space="preserve">ジョウホウカガク </t>
    </rPh>
    <rPh sb="77" eb="78">
      <t xml:space="preserve">ダイ </t>
    </rPh>
    <rPh sb="79" eb="80">
      <t xml:space="preserve">カイ </t>
    </rPh>
    <phoneticPr fontId="1"/>
  </si>
  <si>
    <t>(子ども教育学科)
・データの種類（量的変数、質的変数）　「コンピュータ基礎演習　第10回〜第11回」、「情報科学　第7回〜第8回」
・データの分布(ヒストグラム)と代表値（平均値、中央値、最頻値）　「コンピュータ基礎演習　第10回〜第11回」、「情報科学　第7回〜第8回」
・代表値の性質の違い（実社会では平均値＝最頻値でないことが多い）　「コンピュータ基礎演習　第10回〜第11回」、「情報科学　第7回〜第8回」
・データのばらつき（分散、標準偏差、偏差値）、外れ値　「情報科学　第8回」
・相関と因果（相関係数、擬似相関、交絡）　「情報科学　第8回」
・クロス集計表、分割表、相関係数行列、散布図行列　「情報科学　第9回」
（人間関係学科）
・データの種類（量的変数、質的変数）　「情報処理演習Ⅱ　第13回」
・データの分布(ヒストグラム)と代表値（平均値、中央値、最頻値）　「情報処理演習Ⅰ　第13～15回」、「情報処理演習Ⅱ　第7,8回」
・代表値の性質の違い（実社会では平均値＝最頻値でないことが多い）　「情報処理演習Ⅰ　第13～15回」、「情報処理演習Ⅱ　第7,8回」
・データのばらつき（分散、標準偏差、偏差値）、外れ値　「情報処理演習Ⅰ　第13～15回」、「情報処理演習Ⅱ　第9回」
・相関と因果（相関係数、擬似相関、交絡）　「情報処理演習Ⅰ　第13～15回」、「情報処理演習Ⅱ　第10,11回」
・母集団と標本抽出（国勢調査、アンケート調査、全数調査、単純無作為抽出、層別抽出、多段抽出）　「基礎ゼミⅠ　第11,12回」、
　「情報処理演習Ⅰ　第13～15回」、「情報処理演習Ⅱ　第12,13回」
・クロス集計表、分割表、相関係数行列、散布図行列　「情報処理演習Ⅱ　第5,6回」
・統計情報の正しい理解（誇張表現に惑わされない）　「基礎ゼミⅠ　第11,12回」</t>
    <rPh sb="36" eb="40">
      <t xml:space="preserve">キソエンシュウ </t>
    </rPh>
    <rPh sb="41" eb="42">
      <t xml:space="preserve">ダイ </t>
    </rPh>
    <rPh sb="44" eb="45">
      <t xml:space="preserve">カイ </t>
    </rPh>
    <rPh sb="46" eb="47">
      <t xml:space="preserve">ダイ </t>
    </rPh>
    <rPh sb="49" eb="50">
      <t xml:space="preserve">カイ </t>
    </rPh>
    <rPh sb="53" eb="57">
      <t xml:space="preserve">ジョウホウカガク </t>
    </rPh>
    <rPh sb="58" eb="59">
      <t xml:space="preserve">ダイ </t>
    </rPh>
    <rPh sb="60" eb="61">
      <t xml:space="preserve">カイ </t>
    </rPh>
    <rPh sb="62" eb="63">
      <t xml:space="preserve">ダイ </t>
    </rPh>
    <rPh sb="64" eb="65">
      <t xml:space="preserve">カイ </t>
    </rPh>
    <rPh sb="305" eb="309">
      <t xml:space="preserve">ジョウホウカガク </t>
    </rPh>
    <rPh sb="310" eb="311">
      <t xml:space="preserve">ダイ </t>
    </rPh>
    <rPh sb="312" eb="313">
      <t xml:space="preserve">カイ </t>
    </rPh>
    <phoneticPr fontId="1"/>
  </si>
  <si>
    <t>(子ども教育学科)
・データ表現（棒グラフ、折線グラフ、散布図、ヒートマップ、箱ひげ図）　「コンピュータ基礎演習　第10回〜第11回」、「情報科学　第7回〜第9回」、「コンピュータ応用演習　第9回」
・データの比較（条件をそろえた比較、処理の前後での比較、A/Bテスト)　「コンピュータ基礎演習　第10回〜第11回」、「情報科学　第7回〜第9回」
（人間関係学科）
・データ表現（棒グラフ、折線グラフ、散布図、ヒートマップ、箱ひげ図）　「情報処理演習Ⅰ　第9回」、「情報処理演習Ⅱ　第7～15回」
・データの比較（条件をそろえた比較、処理の前後での比較、A/Bテスト)　「情報処理演習Ⅰ　第13～15回」、「情報処理演習Ⅱ　第7～15回」
・不適切なグラフ表現（チャートジャンク、不必要な視覚的要素）「基礎ゼミⅠ　第11,12回」
・相手に的確かつ正確に情報を伝える技術や考え方（スライド作成、プレゼンテーションなど）「基礎ゼミⅠ　第12～15回」</t>
    <rPh sb="90" eb="94">
      <t xml:space="preserve">オウヨウエンシュウ </t>
    </rPh>
    <rPh sb="95" eb="96">
      <t xml:space="preserve">ダイ </t>
    </rPh>
    <rPh sb="97" eb="98">
      <t xml:space="preserve">カイ </t>
    </rPh>
    <phoneticPr fontId="1"/>
  </si>
  <si>
    <t>(子ども教育学科)
・データの取得（機械判読可能なデータの作成・表記方法）　「コンピュータ基礎演習　第9回」、「情報科学　第7回」
・データの集計（和、平均）　「コンピュータ基礎演習 第9回」、「情報科学　第8回」、「コンピュータ応用演習　第13回」
・データの並び替え、ランキング　「コンピュータ基礎演習　第9回」、「コンピュータ応用演習　第13回」
（人間関係学科）
・データの取得（機械判読可能なデータの作成・表記方法）　「情報処理演習Ⅰ　第8回」、「情報処理演習Ⅱ　第3回」
・データの集計（和、平均）　「情報処理演習Ⅰ　第8回」、「情報処理演習Ⅱ　第7～15回」
・データの並び替え、ランキング　「情報処理演習Ⅰ　第10～12回」、「情報処理演習Ⅱ　第7～15回」</t>
    <rPh sb="45" eb="49">
      <t xml:space="preserve">キソエンシュウ </t>
    </rPh>
    <rPh sb="50" eb="51">
      <t xml:space="preserve">ダイ </t>
    </rPh>
    <rPh sb="52" eb="53">
      <t xml:space="preserve">カイ </t>
    </rPh>
    <rPh sb="56" eb="58">
      <t xml:space="preserve">ジョウホウカガク </t>
    </rPh>
    <rPh sb="58" eb="60">
      <t xml:space="preserve">カガク </t>
    </rPh>
    <rPh sb="61" eb="62">
      <t xml:space="preserve">ダイ </t>
    </rPh>
    <rPh sb="63" eb="64">
      <t xml:space="preserve">カイ </t>
    </rPh>
    <rPh sb="87" eb="91">
      <t xml:space="preserve">キソエンシュウ </t>
    </rPh>
    <rPh sb="92" eb="93">
      <t xml:space="preserve">ダイ </t>
    </rPh>
    <rPh sb="94" eb="95">
      <t xml:space="preserve">カイ </t>
    </rPh>
    <rPh sb="98" eb="102">
      <t xml:space="preserve">ジョウホウカガク </t>
    </rPh>
    <rPh sb="103" eb="104">
      <t xml:space="preserve">ダイ </t>
    </rPh>
    <rPh sb="115" eb="117">
      <t xml:space="preserve">オウヨウ </t>
    </rPh>
    <rPh sb="117" eb="119">
      <t xml:space="preserve">エンシュウ </t>
    </rPh>
    <rPh sb="120" eb="121">
      <t xml:space="preserve">ダイ </t>
    </rPh>
    <rPh sb="123" eb="124">
      <t xml:space="preserve">カイ </t>
    </rPh>
    <rPh sb="149" eb="153">
      <t xml:space="preserve">キソエンシュウ </t>
    </rPh>
    <rPh sb="154" eb="155">
      <t xml:space="preserve">ダイ </t>
    </rPh>
    <rPh sb="156" eb="157">
      <t xml:space="preserve">カイ </t>
    </rPh>
    <phoneticPr fontId="1"/>
  </si>
  <si>
    <t>人間科学部・子ども教育学科</t>
    <rPh sb="0" eb="2">
      <t>ニンゲン</t>
    </rPh>
    <rPh sb="2" eb="5">
      <t>カガクブ</t>
    </rPh>
    <rPh sb="6" eb="7">
      <t>コ</t>
    </rPh>
    <rPh sb="9" eb="11">
      <t>キョウイク</t>
    </rPh>
    <rPh sb="11" eb="13">
      <t>ガッカ</t>
    </rPh>
    <phoneticPr fontId="1"/>
  </si>
  <si>
    <t>人間科学部・人間関係学科</t>
    <rPh sb="0" eb="2">
      <t>ニンゲン</t>
    </rPh>
    <rPh sb="2" eb="5">
      <t>カガクブ</t>
    </rPh>
    <rPh sb="6" eb="8">
      <t>ニンゲン</t>
    </rPh>
    <rPh sb="8" eb="10">
      <t>カンケイ</t>
    </rPh>
    <rPh sb="10" eb="12">
      <t>ガッカ</t>
    </rPh>
    <phoneticPr fontId="1"/>
  </si>
  <si>
    <t>東北文教大学　数理・DS・AI教育プログラム推進委員会規程</t>
    <rPh sb="0" eb="4">
      <t>トウホクブンキョウ</t>
    </rPh>
    <rPh sb="4" eb="6">
      <t>ダイガク</t>
    </rPh>
    <rPh sb="7" eb="9">
      <t xml:space="preserve">スウリ </t>
    </rPh>
    <rPh sb="15" eb="17">
      <t xml:space="preserve">キョウイク </t>
    </rPh>
    <rPh sb="22" eb="24">
      <t xml:space="preserve">スイシン </t>
    </rPh>
    <rPh sb="24" eb="27">
      <t xml:space="preserve">イインカイ </t>
    </rPh>
    <rPh sb="27" eb="29">
      <t xml:space="preserve">キテイ </t>
    </rPh>
    <phoneticPr fontId="1"/>
  </si>
  <si>
    <t>教務委員会　数理・DS・AI教育プログラム推進小委員会　　（東北文教大学　数理・DS・AI教育プログラム推進委員会）</t>
    <rPh sb="30" eb="34">
      <t>トウホクブンキョウ</t>
    </rPh>
    <rPh sb="34" eb="36">
      <t>ダイガク</t>
    </rPh>
    <phoneticPr fontId="1"/>
  </si>
  <si>
    <t xml:space="preserve">人間科学分野におけるデータやAIの利活用ならびにそれに伴う社会の変化や、情報倫理の重要性を理解し、データやAIを適切に扱う基礎的な能力・技術を獲得する。
教育プログラムの対象科目と修了要件については、人間科学部が設置している子ども教育学科、人間関係学科それぞれの特性に応じて、設定する。
人間科学部・子ども教育学科においては、「コンピュータ基礎演習」(1単位)、「情報科学」(2単位)、「コンピュータ応用演習」(1単位)の単位を修得すること。
人間科学部・人間関係学科においては、「基礎ゼミⅠ」(1単位)、「基礎ゼミⅡ」(1単位)、「情報倫理」(2単位)、「情報処理演習Ⅰ」(1単位)、「情報処理演習Ⅱ」(1単位)の単位を修得するとともに、「情報処理演習Ⅲ」(1単位)または「情報検索」(1単位)のいずれかの単位を修得すること。
</t>
    <rPh sb="145" eb="150">
      <t>ニンゲンカガクブ</t>
    </rPh>
    <rPh sb="223" eb="225">
      <t>ニンゲン</t>
    </rPh>
    <rPh sb="225" eb="228">
      <t>カガクブ</t>
    </rPh>
    <phoneticPr fontId="1"/>
  </si>
  <si>
    <t>(子ども教育学科)
・AI最新技術の活用例（深層生成モデル、強化学習、転移学習、生成AIなど）　「情報科学 第11回」
・AI等を活用した新しいビジネスモデル(シェアリングエコノミー、商品のレコメンデーションなど)　「情報科学 第2回〜第4回」
（人間関係学科）
・AI最新技術の活用例（深層生成モデル、強化学習、転移学習、生成AIなど）　「基礎ゼミⅠ　第12～15回」、「情報倫理　第13回」、
　「情報処理演習Ⅱ　第2,4回」
・AI等を活用した新しいビジネスモデル(シェアリングエコノミー、商品のレコメンデーションなど)　「基礎ゼミⅠ　第12～15回」、
　「情報処理演習Ⅱ　第4回」</t>
    <rPh sb="49" eb="53">
      <t xml:space="preserve">ジョウホウカガク </t>
    </rPh>
    <rPh sb="54" eb="55">
      <t xml:space="preserve">ダイ </t>
    </rPh>
    <rPh sb="57" eb="58">
      <t xml:space="preserve">カイ </t>
    </rPh>
    <rPh sb="118" eb="119">
      <t xml:space="preserve">ダイ </t>
    </rPh>
    <rPh sb="120" eb="121">
      <t xml:space="preserve">カイ </t>
    </rPh>
    <phoneticPr fontId="1"/>
  </si>
  <si>
    <t xml:space="preserve">教務委員会　委員長　鈴木隆
子ども教育学科　准教授　眞壁豊
人間関係学科　准教授　依田平
学務課　山本幾子　鈴木美緒　久原千瑳
</t>
    <rPh sb="0" eb="5">
      <t>キョウムイインカイ</t>
    </rPh>
    <rPh sb="6" eb="9">
      <t>イインチョウ</t>
    </rPh>
    <rPh sb="10" eb="12">
      <t>スズキ</t>
    </rPh>
    <rPh sb="12" eb="13">
      <t>タカシ</t>
    </rPh>
    <rPh sb="26" eb="28">
      <t>マカベ</t>
    </rPh>
    <rPh sb="28" eb="29">
      <t>ユタカ</t>
    </rPh>
    <rPh sb="30" eb="32">
      <t>ニンゲン</t>
    </rPh>
    <rPh sb="32" eb="34">
      <t>カンケイ</t>
    </rPh>
    <rPh sb="34" eb="36">
      <t>ガッカ</t>
    </rPh>
    <rPh sb="37" eb="40">
      <t>ジュンキョウジュ</t>
    </rPh>
    <rPh sb="41" eb="43">
      <t>ヨダ</t>
    </rPh>
    <rPh sb="43" eb="44">
      <t>タイラ</t>
    </rPh>
    <rPh sb="45" eb="48">
      <t>ガクムカ</t>
    </rPh>
    <rPh sb="49" eb="51">
      <t>ヤマモト</t>
    </rPh>
    <rPh sb="51" eb="53">
      <t>イクコ</t>
    </rPh>
    <rPh sb="54" eb="56">
      <t>スズキ</t>
    </rPh>
    <rPh sb="56" eb="58">
      <t>ミオ</t>
    </rPh>
    <rPh sb="59" eb="61">
      <t>ヒサハラ</t>
    </rPh>
    <rPh sb="61" eb="63">
      <t>チサ</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</si>
</sst>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4"/>
      <name val="ＭＳ Ｐゴシック"/>
      <family val="3"/>
      <charset val="128"/>
      <scheme val="minor"/>
    </font>
    <font>
      <sz val="7"/>
      <name val="ＭＳ Ｐゴシック"/>
      <family val="3"/>
      <charset val="128"/>
      <scheme val="minor"/>
    </font>
    <font>
      <sz val="11"/>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0" fontId="2" fillId="0" borderId="0" xfId="0" applyFont="1" applyAlignment="1">
      <alignment horizontal="left" vertical="center"/>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9"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0" fillId="0" borderId="0" xfId="0" applyFont="1">
      <alignment vertical="center"/>
    </xf>
    <xf numFmtId="0" fontId="10" fillId="0" borderId="0" xfId="0" applyFont="1" applyAlignment="1">
      <alignment vertical="center" shrinkToFit="1"/>
    </xf>
    <xf numFmtId="0" fontId="10" fillId="0" borderId="0" xfId="0"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0" fillId="0" borderId="0" xfId="0" applyFont="1" applyAlignment="1">
      <alignment horizontal="center" vertical="center" shrinkToFit="1"/>
    </xf>
    <xf numFmtId="0" fontId="11" fillId="0" borderId="0" xfId="0" applyFont="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 xfId="0" applyFont="1" applyBorder="1" applyAlignment="1">
      <alignment horizontal="left" vertical="center" shrinkToFit="1"/>
    </xf>
    <xf numFmtId="0" fontId="10" fillId="0" borderId="1" xfId="0" applyFont="1" applyBorder="1" applyAlignment="1">
      <alignment horizontal="center" vertical="center"/>
    </xf>
    <xf numFmtId="0" fontId="10" fillId="0" borderId="1" xfId="0" applyFont="1" applyBorder="1">
      <alignment vertical="center"/>
    </xf>
    <xf numFmtId="0" fontId="14" fillId="0" borderId="0" xfId="0" applyFont="1">
      <alignment vertical="center"/>
    </xf>
    <xf numFmtId="0" fontId="13" fillId="0" borderId="32" xfId="0" applyFont="1" applyBorder="1" applyAlignment="1">
      <alignment horizontal="center" vertical="center"/>
    </xf>
    <xf numFmtId="0" fontId="13" fillId="0" borderId="35" xfId="0" applyFont="1" applyBorder="1" applyAlignment="1">
      <alignment horizontal="center" vertical="center"/>
    </xf>
    <xf numFmtId="0" fontId="10" fillId="0" borderId="48" xfId="0" applyFont="1" applyBorder="1" applyAlignment="1">
      <alignment horizontal="left" vertical="center" shrinkToFit="1"/>
    </xf>
    <xf numFmtId="38" fontId="10" fillId="0" borderId="45" xfId="2" applyFont="1" applyBorder="1" applyAlignment="1">
      <alignment vertical="center" shrinkToFit="1"/>
    </xf>
    <xf numFmtId="38" fontId="10" fillId="0" borderId="0" xfId="2" applyFont="1" applyAlignment="1">
      <alignment vertical="center" shrinkToFit="1"/>
    </xf>
    <xf numFmtId="38" fontId="10" fillId="0" borderId="5" xfId="2" applyFont="1" applyBorder="1" applyAlignment="1">
      <alignment vertical="center" shrinkToFit="1"/>
    </xf>
    <xf numFmtId="38" fontId="10" fillId="0" borderId="48" xfId="2" applyFont="1" applyBorder="1" applyAlignment="1">
      <alignment vertical="center" shrinkToFit="1"/>
    </xf>
    <xf numFmtId="0" fontId="10" fillId="0" borderId="20" xfId="0" applyFont="1" applyBorder="1" applyAlignment="1">
      <alignment horizontal="left" vertical="center" shrinkToFit="1"/>
    </xf>
    <xf numFmtId="38" fontId="10" fillId="0" borderId="20" xfId="2" applyFont="1" applyBorder="1" applyAlignment="1">
      <alignment vertical="center" shrinkToFit="1"/>
    </xf>
    <xf numFmtId="38" fontId="10" fillId="0" borderId="19" xfId="2" applyFont="1" applyBorder="1" applyAlignment="1">
      <alignment vertical="center" shrinkToFit="1"/>
    </xf>
    <xf numFmtId="38" fontId="10" fillId="0" borderId="18" xfId="2" applyFont="1" applyBorder="1" applyAlignment="1">
      <alignment vertical="center" shrinkToFit="1"/>
    </xf>
    <xf numFmtId="38" fontId="10" fillId="0" borderId="46" xfId="2" applyFont="1" applyBorder="1" applyAlignment="1">
      <alignment vertical="center" shrinkToFit="1"/>
    </xf>
    <xf numFmtId="9" fontId="10" fillId="0" borderId="20" xfId="0" applyNumberFormat="1" applyFont="1" applyBorder="1" applyAlignment="1">
      <alignment vertical="center" shrinkToFit="1"/>
    </xf>
    <xf numFmtId="38" fontId="10" fillId="0" borderId="17" xfId="2" applyFont="1" applyBorder="1" applyAlignment="1">
      <alignment vertical="center" shrinkToFit="1"/>
    </xf>
    <xf numFmtId="0" fontId="10" fillId="0" borderId="21" xfId="0" applyFont="1" applyBorder="1" applyAlignment="1">
      <alignment horizontal="left" vertical="center" shrinkToFit="1"/>
    </xf>
    <xf numFmtId="38" fontId="10" fillId="0" borderId="10" xfId="2" applyFont="1" applyBorder="1" applyAlignment="1">
      <alignment vertical="center" shrinkToFit="1"/>
    </xf>
    <xf numFmtId="9" fontId="10" fillId="0" borderId="10" xfId="0" applyNumberFormat="1" applyFont="1" applyBorder="1" applyAlignment="1">
      <alignment vertical="center" shrinkToFit="1"/>
    </xf>
    <xf numFmtId="0" fontId="10" fillId="0" borderId="25" xfId="0" applyFont="1" applyBorder="1" applyAlignment="1">
      <alignment horizontal="center" vertical="center" shrinkToFit="1"/>
    </xf>
    <xf numFmtId="38" fontId="10" fillId="0" borderId="25" xfId="2" applyFont="1" applyBorder="1" applyAlignment="1">
      <alignment vertical="center" shrinkToFit="1"/>
    </xf>
    <xf numFmtId="38" fontId="10" fillId="0" borderId="23" xfId="2" applyFont="1" applyBorder="1" applyAlignment="1">
      <alignment vertical="center" shrinkToFit="1"/>
    </xf>
    <xf numFmtId="38" fontId="10" fillId="0" borderId="22" xfId="2" applyFont="1" applyBorder="1" applyAlignment="1">
      <alignment vertical="center" shrinkToFit="1"/>
    </xf>
    <xf numFmtId="9" fontId="10" fillId="0" borderId="24" xfId="0" applyNumberFormat="1" applyFont="1" applyBorder="1" applyAlignment="1">
      <alignment vertical="center" shrinkToFit="1"/>
    </xf>
    <xf numFmtId="9" fontId="10" fillId="0" borderId="45" xfId="0" applyNumberFormat="1" applyFont="1" applyBorder="1" applyAlignment="1">
      <alignment vertical="center" shrinkToFit="1"/>
    </xf>
    <xf numFmtId="0" fontId="2" fillId="0" borderId="0" xfId="0" applyFont="1" applyAlignment="1">
      <alignment horizontal="righ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5" fillId="0" borderId="1" xfId="0" applyFont="1" applyBorder="1" applyAlignment="1">
      <alignment horizontal="center"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0" xfId="0" applyFont="1" applyAlignment="1">
      <alignment vertical="center" wrapTex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9" xfId="0" applyFont="1" applyBorder="1" applyAlignment="1">
      <alignment horizontal="left" vertical="center" shrinkToFit="1"/>
    </xf>
    <xf numFmtId="0" fontId="2" fillId="0" borderId="31" xfId="0" applyFont="1" applyBorder="1" applyAlignment="1">
      <alignment horizontal="left" vertical="center" shrinkToFit="1"/>
    </xf>
    <xf numFmtId="0" fontId="2" fillId="0" borderId="30" xfId="0" applyFont="1" applyBorder="1" applyAlignment="1">
      <alignment horizontal="lef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18"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17" xfId="0" applyFont="1" applyBorder="1" applyAlignment="1">
      <alignment horizontal="left"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3" fillId="0" borderId="41" xfId="0" applyFont="1" applyBorder="1" applyAlignment="1">
      <alignment vertical="center" wrapTex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10" fillId="0" borderId="14" xfId="0" applyFont="1" applyBorder="1" applyAlignment="1">
      <alignment horizontal="center" vertical="center"/>
    </xf>
    <xf numFmtId="0" fontId="10" fillId="0" borderId="1" xfId="0" applyFont="1" applyBorder="1" applyAlignment="1">
      <alignment horizontal="center" vertical="center"/>
    </xf>
    <xf numFmtId="0" fontId="12" fillId="0" borderId="0" xfId="0" applyFont="1" applyAlignment="1">
      <alignment horizontal="center" vertical="center"/>
    </xf>
    <xf numFmtId="0" fontId="10" fillId="0" borderId="2"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15" xfId="0" applyFont="1" applyBorder="1" applyAlignment="1">
      <alignment horizontal="center" vertical="center"/>
    </xf>
    <xf numFmtId="0" fontId="10" fillId="0" borderId="13" xfId="0" applyFont="1" applyBorder="1" applyAlignment="1">
      <alignment horizontal="center" vertical="center"/>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11"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2" xfId="0" applyFont="1" applyBorder="1" applyAlignment="1">
      <alignment horizontal="center" vertical="center" wrapText="1"/>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wrapText="1"/>
    </xf>
    <xf numFmtId="0" fontId="11"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9"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shrinkToFit="1"/>
    </xf>
    <xf numFmtId="0" fontId="5" fillId="0" borderId="3" xfId="0" applyFont="1" applyBorder="1" applyAlignment="1">
      <alignment vertical="center" shrinkToFit="1"/>
    </xf>
    <xf numFmtId="0" fontId="5" fillId="0" borderId="4" xfId="0" applyFont="1" applyBorder="1" applyAlignment="1">
      <alignment vertical="center"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4" xfId="0" applyFont="1" applyBorder="1" applyAlignment="1">
      <alignment horizontal="left" vertical="center" shrinkToFit="1"/>
    </xf>
    <xf numFmtId="0" fontId="10"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cellXfs>
  <cellStyles count="3">
    <cellStyle name="パーセント" xfId="1" builtinId="5"/>
    <cellStyle name="桁区切り" xfId="2" builtinId="6"/>
    <cellStyle name="標準" xfId="0" builtinId="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tabSelected="1" view="pageBreakPreview" topLeftCell="A6" zoomScale="80" zoomScaleNormal="100" zoomScaleSheetLayoutView="80" workbookViewId="0">
      <selection activeCell="B15" sqref="B15:U20"/>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45" customHeight="1" x14ac:dyDescent="0.2">
      <c r="T1" s="85" t="s">
        <v>169</v>
      </c>
      <c r="U1" s="85"/>
      <c r="V1" s="2" t="s">
        <v>93</v>
      </c>
    </row>
    <row r="2" spans="1:24" ht="18.75" customHeight="1" x14ac:dyDescent="0.2">
      <c r="B2" s="10" t="s">
        <v>92</v>
      </c>
      <c r="C2" s="86" t="s">
        <v>143</v>
      </c>
      <c r="D2" s="87"/>
      <c r="E2" s="87"/>
      <c r="F2" s="87"/>
      <c r="G2" s="87"/>
      <c r="H2" s="87"/>
      <c r="I2" s="87"/>
      <c r="J2" s="88"/>
      <c r="K2" s="11"/>
      <c r="L2" s="6"/>
      <c r="M2" s="6"/>
      <c r="N2" s="6"/>
      <c r="O2" s="6"/>
      <c r="P2" s="6"/>
      <c r="Q2" s="6"/>
      <c r="R2" s="6"/>
      <c r="S2" s="6"/>
      <c r="T2" s="6"/>
      <c r="U2" s="6"/>
    </row>
    <row r="3" spans="1:24" ht="18.75" customHeight="1" x14ac:dyDescent="0.2">
      <c r="B3" s="10" t="s">
        <v>87</v>
      </c>
      <c r="C3" s="89" t="s">
        <v>142</v>
      </c>
      <c r="D3" s="90"/>
      <c r="E3" s="90"/>
      <c r="F3" s="90"/>
      <c r="G3" s="90"/>
      <c r="H3" s="90"/>
      <c r="I3" s="90"/>
      <c r="J3" s="91"/>
      <c r="K3" s="11"/>
      <c r="L3" s="6"/>
      <c r="M3" s="6"/>
      <c r="N3" s="6"/>
      <c r="O3" s="6"/>
      <c r="P3" s="6"/>
      <c r="Q3" s="6"/>
      <c r="R3" s="6"/>
      <c r="S3" s="6"/>
      <c r="T3" s="6"/>
      <c r="U3" s="6"/>
    </row>
    <row r="4" spans="1:24" ht="15" customHeight="1" x14ac:dyDescent="0.2">
      <c r="L4" s="11"/>
      <c r="M4" s="51"/>
      <c r="N4" s="51"/>
      <c r="O4" s="51"/>
      <c r="P4" s="51"/>
      <c r="Q4" s="51"/>
      <c r="R4" s="51"/>
      <c r="S4" s="51"/>
      <c r="T4" s="51"/>
      <c r="U4" s="51"/>
    </row>
    <row r="5" spans="1:24" ht="18" customHeight="1" x14ac:dyDescent="0.2">
      <c r="A5" s="92" t="s">
        <v>140</v>
      </c>
      <c r="B5" s="92"/>
      <c r="C5" s="92"/>
      <c r="D5" s="92"/>
      <c r="E5" s="92"/>
      <c r="F5" s="92"/>
      <c r="G5" s="92"/>
      <c r="H5" s="92"/>
      <c r="I5" s="92"/>
      <c r="J5" s="92"/>
      <c r="K5" s="92"/>
      <c r="L5" s="92"/>
      <c r="M5" s="92"/>
      <c r="N5" s="92"/>
      <c r="O5" s="92"/>
      <c r="P5" s="92"/>
      <c r="Q5" s="92"/>
      <c r="R5" s="92"/>
      <c r="S5" s="92"/>
      <c r="T5" s="92"/>
      <c r="U5" s="92"/>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116</v>
      </c>
      <c r="B7" s="3"/>
      <c r="C7" s="3"/>
      <c r="D7" s="3"/>
      <c r="E7" s="3"/>
      <c r="F7" s="2"/>
      <c r="G7" s="2"/>
      <c r="H7" s="2"/>
      <c r="I7" s="2"/>
      <c r="J7" s="2"/>
      <c r="K7" s="2"/>
      <c r="L7" s="93" t="s">
        <v>172</v>
      </c>
      <c r="M7" s="94"/>
      <c r="N7" s="94"/>
      <c r="O7" s="94"/>
      <c r="P7" s="94"/>
      <c r="Q7" s="94"/>
      <c r="R7" s="94"/>
      <c r="S7" s="94"/>
      <c r="T7" s="94"/>
      <c r="U7" s="95"/>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117</v>
      </c>
      <c r="C9" s="3"/>
      <c r="D9" s="3"/>
      <c r="K9" s="11"/>
      <c r="L9" s="2"/>
      <c r="M9" s="2"/>
      <c r="N9" s="2"/>
      <c r="O9" s="2"/>
      <c r="P9" s="2"/>
      <c r="Q9" s="2"/>
      <c r="R9" s="2"/>
      <c r="S9" s="2"/>
      <c r="T9" s="2"/>
      <c r="U9" s="2"/>
    </row>
    <row r="10" spans="1:24" ht="6" customHeight="1" x14ac:dyDescent="0.2">
      <c r="B10" s="3"/>
      <c r="C10" s="3"/>
      <c r="D10" s="3"/>
      <c r="E10" s="3"/>
      <c r="F10" s="3"/>
      <c r="G10" s="3"/>
      <c r="H10" s="3"/>
      <c r="I10" s="3"/>
      <c r="J10" s="3"/>
      <c r="K10" s="3"/>
      <c r="L10" s="7"/>
      <c r="M10" s="3"/>
      <c r="N10" s="3"/>
      <c r="O10" s="3"/>
      <c r="P10" s="3"/>
      <c r="Q10" s="3"/>
      <c r="R10" s="3"/>
      <c r="S10" s="3"/>
      <c r="T10" s="3"/>
      <c r="U10" s="3"/>
    </row>
    <row r="11" spans="1:24" ht="18" customHeight="1" x14ac:dyDescent="0.2">
      <c r="B11" s="96" t="s">
        <v>173</v>
      </c>
      <c r="C11" s="97"/>
      <c r="D11" s="97"/>
      <c r="E11" s="97"/>
      <c r="F11" s="97"/>
      <c r="G11" s="97"/>
      <c r="H11" s="97"/>
      <c r="I11" s="97"/>
      <c r="J11" s="97"/>
      <c r="K11" s="97"/>
      <c r="L11" s="97"/>
      <c r="M11" s="97"/>
      <c r="N11" s="97"/>
      <c r="O11" s="97"/>
      <c r="P11" s="97"/>
      <c r="Q11" s="97"/>
      <c r="R11" s="97"/>
      <c r="S11" s="97"/>
      <c r="T11" s="97"/>
      <c r="U11" s="98"/>
    </row>
    <row r="12" spans="1:24" ht="18" customHeight="1" x14ac:dyDescent="0.2">
      <c r="B12" s="99"/>
      <c r="C12" s="100"/>
      <c r="D12" s="100"/>
      <c r="E12" s="100"/>
      <c r="F12" s="100"/>
      <c r="G12" s="100"/>
      <c r="H12" s="100"/>
      <c r="I12" s="100"/>
      <c r="J12" s="100"/>
      <c r="K12" s="100"/>
      <c r="L12" s="100"/>
      <c r="M12" s="100"/>
      <c r="N12" s="100"/>
      <c r="O12" s="100"/>
      <c r="P12" s="100"/>
      <c r="Q12" s="100"/>
      <c r="R12" s="100"/>
      <c r="S12" s="100"/>
      <c r="T12" s="100"/>
      <c r="U12" s="101"/>
    </row>
    <row r="13" spans="1:24" ht="6" customHeight="1" x14ac:dyDescent="0.2">
      <c r="B13" s="3"/>
      <c r="C13" s="3"/>
      <c r="D13" s="3"/>
      <c r="E13" s="3"/>
      <c r="F13" s="3"/>
      <c r="G13" s="3"/>
      <c r="H13" s="3"/>
      <c r="I13" s="3"/>
      <c r="J13" s="3"/>
      <c r="K13" s="3"/>
      <c r="L13" s="7"/>
      <c r="M13" s="3"/>
      <c r="N13" s="3"/>
      <c r="O13" s="3"/>
      <c r="P13" s="3"/>
      <c r="Q13" s="3"/>
      <c r="R13" s="3"/>
      <c r="S13" s="3"/>
      <c r="T13" s="3"/>
      <c r="U13" s="3"/>
    </row>
    <row r="14" spans="1:24" ht="18" customHeight="1" x14ac:dyDescent="0.2">
      <c r="A14" s="1" t="s">
        <v>94</v>
      </c>
      <c r="B14" s="3"/>
      <c r="C14" s="3"/>
      <c r="D14" s="3"/>
      <c r="E14" s="11"/>
      <c r="F14" s="11"/>
      <c r="G14" s="11"/>
      <c r="H14" s="11"/>
      <c r="I14" s="11"/>
      <c r="J14" s="11"/>
      <c r="K14" s="11"/>
      <c r="L14" s="52"/>
      <c r="M14" s="52"/>
      <c r="N14" s="52"/>
      <c r="O14" s="52"/>
      <c r="P14" s="52"/>
      <c r="Q14" s="52"/>
      <c r="R14" s="52"/>
      <c r="S14" s="52"/>
      <c r="T14" s="52"/>
      <c r="U14" s="52"/>
    </row>
    <row r="15" spans="1:24" ht="25.2" customHeight="1" x14ac:dyDescent="0.2">
      <c r="B15" s="109" t="s">
        <v>201</v>
      </c>
      <c r="C15" s="110"/>
      <c r="D15" s="110"/>
      <c r="E15" s="110"/>
      <c r="F15" s="110"/>
      <c r="G15" s="110"/>
      <c r="H15" s="110"/>
      <c r="I15" s="110"/>
      <c r="J15" s="110"/>
      <c r="K15" s="110"/>
      <c r="L15" s="110"/>
      <c r="M15" s="110"/>
      <c r="N15" s="110"/>
      <c r="O15" s="110"/>
      <c r="P15" s="110"/>
      <c r="Q15" s="110"/>
      <c r="R15" s="110"/>
      <c r="S15" s="110"/>
      <c r="T15" s="110"/>
      <c r="U15" s="111"/>
      <c r="X15" s="1" t="s">
        <v>88</v>
      </c>
    </row>
    <row r="16" spans="1:24" ht="25.2" customHeight="1" x14ac:dyDescent="0.2">
      <c r="B16" s="112"/>
      <c r="C16" s="113"/>
      <c r="D16" s="113"/>
      <c r="E16" s="113"/>
      <c r="F16" s="113"/>
      <c r="G16" s="113"/>
      <c r="H16" s="113"/>
      <c r="I16" s="113"/>
      <c r="J16" s="113"/>
      <c r="K16" s="113"/>
      <c r="L16" s="113"/>
      <c r="M16" s="113"/>
      <c r="N16" s="113"/>
      <c r="O16" s="113"/>
      <c r="P16" s="113"/>
      <c r="Q16" s="113"/>
      <c r="R16" s="113"/>
      <c r="S16" s="113"/>
      <c r="T16" s="113"/>
      <c r="U16" s="114"/>
      <c r="X16" s="1" t="s">
        <v>121</v>
      </c>
    </row>
    <row r="17" spans="1:24" ht="25.2" customHeight="1" x14ac:dyDescent="0.2">
      <c r="B17" s="112"/>
      <c r="C17" s="113"/>
      <c r="D17" s="113"/>
      <c r="E17" s="113"/>
      <c r="F17" s="113"/>
      <c r="G17" s="113"/>
      <c r="H17" s="113"/>
      <c r="I17" s="113"/>
      <c r="J17" s="113"/>
      <c r="K17" s="113"/>
      <c r="L17" s="113"/>
      <c r="M17" s="113"/>
      <c r="N17" s="113"/>
      <c r="O17" s="113"/>
      <c r="P17" s="113"/>
      <c r="Q17" s="113"/>
      <c r="R17" s="113"/>
      <c r="S17" s="113"/>
      <c r="T17" s="113"/>
      <c r="U17" s="114"/>
      <c r="X17" s="1" t="s">
        <v>122</v>
      </c>
    </row>
    <row r="18" spans="1:24" ht="25.2" customHeight="1" x14ac:dyDescent="0.2">
      <c r="B18" s="112"/>
      <c r="C18" s="113"/>
      <c r="D18" s="113"/>
      <c r="E18" s="113"/>
      <c r="F18" s="113"/>
      <c r="G18" s="113"/>
      <c r="H18" s="113"/>
      <c r="I18" s="113"/>
      <c r="J18" s="113"/>
      <c r="K18" s="113"/>
      <c r="L18" s="113"/>
      <c r="M18" s="113"/>
      <c r="N18" s="113"/>
      <c r="O18" s="113"/>
      <c r="P18" s="113"/>
      <c r="Q18" s="113"/>
      <c r="R18" s="113"/>
      <c r="S18" s="113"/>
      <c r="T18" s="113"/>
      <c r="U18" s="114"/>
      <c r="X18" s="1" t="s">
        <v>123</v>
      </c>
    </row>
    <row r="19" spans="1:24" ht="25.2" customHeight="1" x14ac:dyDescent="0.2">
      <c r="B19" s="112"/>
      <c r="C19" s="113"/>
      <c r="D19" s="113"/>
      <c r="E19" s="113"/>
      <c r="F19" s="113"/>
      <c r="G19" s="113"/>
      <c r="H19" s="113"/>
      <c r="I19" s="113"/>
      <c r="J19" s="113"/>
      <c r="K19" s="113"/>
      <c r="L19" s="113"/>
      <c r="M19" s="113"/>
      <c r="N19" s="113"/>
      <c r="O19" s="113"/>
      <c r="P19" s="113"/>
      <c r="Q19" s="113"/>
      <c r="R19" s="113"/>
      <c r="S19" s="113"/>
      <c r="T19" s="113"/>
      <c r="U19" s="114"/>
    </row>
    <row r="20" spans="1:24" ht="25.2" customHeight="1" x14ac:dyDescent="0.2">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118</v>
      </c>
      <c r="E22" s="53">
        <v>3</v>
      </c>
      <c r="F22" s="1" t="s">
        <v>106</v>
      </c>
      <c r="H22" s="12">
        <v>4</v>
      </c>
      <c r="I22" s="3" t="s">
        <v>107</v>
      </c>
      <c r="J22" s="3"/>
      <c r="K22" s="11"/>
      <c r="M22" s="11" t="s">
        <v>103</v>
      </c>
      <c r="N22" s="108" t="s">
        <v>123</v>
      </c>
      <c r="O22" s="108"/>
      <c r="P22" s="108"/>
      <c r="Q22" s="108"/>
      <c r="R22" s="108"/>
      <c r="S22" s="108"/>
      <c r="T22" s="108"/>
      <c r="U22" s="108"/>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18" t="s">
        <v>95</v>
      </c>
      <c r="B24" s="118"/>
      <c r="C24" s="118"/>
      <c r="D24" s="118"/>
      <c r="E24" s="118"/>
      <c r="F24" s="118"/>
      <c r="G24" s="118"/>
      <c r="H24" s="118"/>
      <c r="I24" s="118"/>
      <c r="J24" s="118"/>
      <c r="K24" s="118"/>
      <c r="L24" s="118"/>
      <c r="M24" s="118"/>
      <c r="N24" s="118"/>
      <c r="O24" s="118"/>
      <c r="P24" s="118"/>
      <c r="Q24" s="118"/>
      <c r="R24" s="118"/>
      <c r="S24" s="118"/>
      <c r="T24" s="118"/>
      <c r="U24" s="118"/>
    </row>
    <row r="25" spans="1:24" ht="18" customHeight="1" x14ac:dyDescent="0.2">
      <c r="A25" s="118"/>
      <c r="B25" s="118"/>
      <c r="C25" s="118"/>
      <c r="D25" s="118"/>
      <c r="E25" s="118"/>
      <c r="F25" s="118"/>
      <c r="G25" s="118"/>
      <c r="H25" s="118"/>
      <c r="I25" s="118"/>
      <c r="J25" s="118"/>
      <c r="K25" s="118"/>
      <c r="L25" s="118"/>
      <c r="M25" s="118"/>
      <c r="N25" s="118"/>
      <c r="O25" s="118"/>
      <c r="P25" s="118"/>
      <c r="Q25" s="118"/>
      <c r="R25" s="118"/>
      <c r="S25" s="118"/>
      <c r="T25" s="118"/>
      <c r="U25" s="118"/>
    </row>
    <row r="26" spans="1:24" ht="18" customHeight="1" x14ac:dyDescent="0.2">
      <c r="B26" s="86" t="s">
        <v>47</v>
      </c>
      <c r="C26" s="87"/>
      <c r="D26" s="87"/>
      <c r="E26" s="87"/>
      <c r="F26" s="88"/>
      <c r="G26" s="37" t="s">
        <v>72</v>
      </c>
      <c r="H26" s="38" t="s">
        <v>75</v>
      </c>
      <c r="I26" s="39" t="s">
        <v>50</v>
      </c>
      <c r="J26" s="39" t="s">
        <v>53</v>
      </c>
      <c r="K26" s="86" t="s">
        <v>47</v>
      </c>
      <c r="L26" s="87"/>
      <c r="M26" s="87"/>
      <c r="N26" s="87"/>
      <c r="O26" s="87"/>
      <c r="P26" s="87"/>
      <c r="Q26" s="88"/>
      <c r="R26" s="37" t="s">
        <v>72</v>
      </c>
      <c r="S26" s="38" t="s">
        <v>75</v>
      </c>
      <c r="T26" s="39" t="s">
        <v>50</v>
      </c>
      <c r="U26" s="39" t="s">
        <v>53</v>
      </c>
    </row>
    <row r="27" spans="1:24" ht="18" customHeight="1" x14ac:dyDescent="0.2">
      <c r="B27" s="102" t="s">
        <v>174</v>
      </c>
      <c r="C27" s="103"/>
      <c r="D27" s="103"/>
      <c r="E27" s="103"/>
      <c r="F27" s="104"/>
      <c r="G27" s="40">
        <v>2</v>
      </c>
      <c r="H27" s="40" t="s">
        <v>144</v>
      </c>
      <c r="I27" s="40" t="s">
        <v>144</v>
      </c>
      <c r="J27" s="40" t="s">
        <v>144</v>
      </c>
      <c r="K27" s="102"/>
      <c r="L27" s="103"/>
      <c r="M27" s="103"/>
      <c r="N27" s="103"/>
      <c r="O27" s="103"/>
      <c r="P27" s="103"/>
      <c r="Q27" s="104"/>
      <c r="R27" s="40"/>
      <c r="S27" s="40"/>
      <c r="T27" s="40"/>
      <c r="U27" s="40"/>
    </row>
    <row r="28" spans="1:24" ht="18" customHeight="1" x14ac:dyDescent="0.2">
      <c r="B28" s="102" t="s">
        <v>177</v>
      </c>
      <c r="C28" s="103"/>
      <c r="D28" s="103"/>
      <c r="E28" s="103"/>
      <c r="F28" s="104"/>
      <c r="G28" s="40">
        <v>1</v>
      </c>
      <c r="H28" s="40" t="s">
        <v>144</v>
      </c>
      <c r="I28" s="40" t="s">
        <v>144</v>
      </c>
      <c r="J28" s="40" t="s">
        <v>144</v>
      </c>
      <c r="K28" s="105"/>
      <c r="L28" s="106"/>
      <c r="M28" s="106"/>
      <c r="N28" s="106"/>
      <c r="O28" s="106"/>
      <c r="P28" s="106"/>
      <c r="Q28" s="107"/>
      <c r="R28" s="41"/>
      <c r="S28" s="41"/>
      <c r="T28" s="41"/>
      <c r="U28" s="41"/>
    </row>
    <row r="29" spans="1:24" ht="18" customHeight="1" x14ac:dyDescent="0.2">
      <c r="B29" s="105" t="s">
        <v>178</v>
      </c>
      <c r="C29" s="106"/>
      <c r="D29" s="106"/>
      <c r="E29" s="106"/>
      <c r="F29" s="107"/>
      <c r="G29" s="41">
        <v>2</v>
      </c>
      <c r="H29" s="41" t="s">
        <v>144</v>
      </c>
      <c r="I29" s="41" t="s">
        <v>144</v>
      </c>
      <c r="J29" s="41" t="s">
        <v>144</v>
      </c>
      <c r="K29" s="105"/>
      <c r="L29" s="106"/>
      <c r="M29" s="106"/>
      <c r="N29" s="106"/>
      <c r="O29" s="106"/>
      <c r="P29" s="106"/>
      <c r="Q29" s="107"/>
      <c r="R29" s="41"/>
      <c r="S29" s="41"/>
      <c r="T29" s="41"/>
      <c r="U29" s="41"/>
    </row>
    <row r="30" spans="1:24" ht="18" customHeight="1" x14ac:dyDescent="0.2">
      <c r="B30" s="105" t="s">
        <v>179</v>
      </c>
      <c r="C30" s="106"/>
      <c r="D30" s="106"/>
      <c r="E30" s="106"/>
      <c r="F30" s="107"/>
      <c r="G30" s="41">
        <v>1</v>
      </c>
      <c r="H30" s="41" t="s">
        <v>144</v>
      </c>
      <c r="I30" s="41" t="s">
        <v>144</v>
      </c>
      <c r="J30" s="41" t="s">
        <v>144</v>
      </c>
      <c r="K30" s="105"/>
      <c r="L30" s="106"/>
      <c r="M30" s="106"/>
      <c r="N30" s="106"/>
      <c r="O30" s="106"/>
      <c r="P30" s="106"/>
      <c r="Q30" s="107"/>
      <c r="R30" s="41"/>
      <c r="S30" s="41"/>
      <c r="T30" s="41"/>
      <c r="U30" s="41"/>
    </row>
    <row r="31" spans="1:24" ht="18" customHeight="1" x14ac:dyDescent="0.2">
      <c r="B31" s="105"/>
      <c r="C31" s="106"/>
      <c r="D31" s="106"/>
      <c r="E31" s="106"/>
      <c r="F31" s="107"/>
      <c r="G31" s="41"/>
      <c r="H31" s="41"/>
      <c r="I31" s="41"/>
      <c r="J31" s="41"/>
      <c r="K31" s="105"/>
      <c r="L31" s="106"/>
      <c r="M31" s="106"/>
      <c r="N31" s="106"/>
      <c r="O31" s="106"/>
      <c r="P31" s="106"/>
      <c r="Q31" s="107"/>
      <c r="R31" s="41"/>
      <c r="S31" s="41"/>
      <c r="T31" s="41"/>
      <c r="U31" s="41"/>
    </row>
    <row r="32" spans="1:24" ht="18" customHeight="1" x14ac:dyDescent="0.2">
      <c r="A32" s="3"/>
      <c r="B32" s="105"/>
      <c r="C32" s="106"/>
      <c r="D32" s="106"/>
      <c r="E32" s="106"/>
      <c r="F32" s="107"/>
      <c r="G32" s="41"/>
      <c r="H32" s="41"/>
      <c r="I32" s="41"/>
      <c r="J32" s="41"/>
      <c r="K32" s="105"/>
      <c r="L32" s="106"/>
      <c r="M32" s="106"/>
      <c r="N32" s="106"/>
      <c r="O32" s="106"/>
      <c r="P32" s="106"/>
      <c r="Q32" s="107"/>
      <c r="R32" s="41"/>
      <c r="S32" s="41"/>
      <c r="T32" s="41"/>
      <c r="U32" s="41"/>
    </row>
    <row r="33" spans="1:21" ht="18" customHeight="1" x14ac:dyDescent="0.2">
      <c r="A33" s="3"/>
      <c r="B33" s="119"/>
      <c r="C33" s="120"/>
      <c r="D33" s="120"/>
      <c r="E33" s="120"/>
      <c r="F33" s="121"/>
      <c r="G33" s="42"/>
      <c r="H33" s="42"/>
      <c r="I33" s="43"/>
      <c r="J33" s="43"/>
      <c r="K33" s="119"/>
      <c r="L33" s="120"/>
      <c r="M33" s="120"/>
      <c r="N33" s="120"/>
      <c r="O33" s="120"/>
      <c r="P33" s="120"/>
      <c r="Q33" s="121"/>
      <c r="R33" s="42"/>
      <c r="S33" s="42"/>
      <c r="T33" s="43"/>
      <c r="U33" s="43"/>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18" t="s">
        <v>96</v>
      </c>
      <c r="B35" s="118"/>
      <c r="C35" s="118"/>
      <c r="D35" s="118"/>
      <c r="E35" s="118"/>
      <c r="F35" s="118"/>
      <c r="G35" s="118"/>
      <c r="H35" s="118"/>
      <c r="I35" s="118"/>
      <c r="J35" s="118"/>
      <c r="K35" s="118"/>
      <c r="L35" s="118"/>
      <c r="M35" s="118"/>
      <c r="N35" s="118"/>
      <c r="O35" s="118"/>
      <c r="P35" s="118"/>
      <c r="Q35" s="118"/>
      <c r="R35" s="118"/>
      <c r="S35" s="118"/>
      <c r="T35" s="118"/>
      <c r="U35" s="118"/>
    </row>
    <row r="36" spans="1:21" ht="18" customHeight="1" x14ac:dyDescent="0.2">
      <c r="A36" s="118"/>
      <c r="B36" s="118"/>
      <c r="C36" s="118"/>
      <c r="D36" s="118"/>
      <c r="E36" s="118"/>
      <c r="F36" s="118"/>
      <c r="G36" s="118"/>
      <c r="H36" s="118"/>
      <c r="I36" s="118"/>
      <c r="J36" s="118"/>
      <c r="K36" s="118"/>
      <c r="L36" s="118"/>
      <c r="M36" s="118"/>
      <c r="N36" s="118"/>
      <c r="O36" s="118"/>
      <c r="P36" s="118"/>
      <c r="Q36" s="118"/>
      <c r="R36" s="118"/>
      <c r="S36" s="118"/>
      <c r="T36" s="118"/>
      <c r="U36" s="118"/>
    </row>
    <row r="37" spans="1:21" ht="18" customHeight="1" x14ac:dyDescent="0.2">
      <c r="B37" s="86" t="s">
        <v>47</v>
      </c>
      <c r="C37" s="87"/>
      <c r="D37" s="87"/>
      <c r="E37" s="87"/>
      <c r="F37" s="88"/>
      <c r="G37" s="37" t="s">
        <v>72</v>
      </c>
      <c r="H37" s="38" t="s">
        <v>75</v>
      </c>
      <c r="I37" s="39" t="s">
        <v>63</v>
      </c>
      <c r="J37" s="39" t="s">
        <v>64</v>
      </c>
      <c r="K37" s="86" t="s">
        <v>47</v>
      </c>
      <c r="L37" s="87"/>
      <c r="M37" s="87"/>
      <c r="N37" s="87"/>
      <c r="O37" s="87"/>
      <c r="P37" s="87"/>
      <c r="Q37" s="88"/>
      <c r="R37" s="37" t="s">
        <v>72</v>
      </c>
      <c r="S37" s="38" t="s">
        <v>75</v>
      </c>
      <c r="T37" s="39" t="s">
        <v>63</v>
      </c>
      <c r="U37" s="39" t="s">
        <v>64</v>
      </c>
    </row>
    <row r="38" spans="1:21" ht="18" customHeight="1" x14ac:dyDescent="0.2">
      <c r="B38" s="102" t="s">
        <v>174</v>
      </c>
      <c r="C38" s="103"/>
      <c r="D38" s="103"/>
      <c r="E38" s="103"/>
      <c r="F38" s="104"/>
      <c r="G38" s="40">
        <v>2</v>
      </c>
      <c r="H38" s="40" t="s">
        <v>144</v>
      </c>
      <c r="I38" s="40" t="s">
        <v>144</v>
      </c>
      <c r="J38" s="40" t="s">
        <v>144</v>
      </c>
      <c r="K38" s="102"/>
      <c r="L38" s="103"/>
      <c r="M38" s="103"/>
      <c r="N38" s="103"/>
      <c r="O38" s="103"/>
      <c r="P38" s="103"/>
      <c r="Q38" s="104"/>
      <c r="R38" s="40"/>
      <c r="S38" s="40"/>
      <c r="T38" s="40"/>
      <c r="U38" s="40"/>
    </row>
    <row r="39" spans="1:21" ht="18" customHeight="1" x14ac:dyDescent="0.2">
      <c r="B39" s="102" t="s">
        <v>180</v>
      </c>
      <c r="C39" s="103"/>
      <c r="D39" s="103"/>
      <c r="E39" s="103"/>
      <c r="F39" s="104"/>
      <c r="G39" s="40">
        <v>1</v>
      </c>
      <c r="H39" s="40" t="s">
        <v>144</v>
      </c>
      <c r="I39" s="40" t="s">
        <v>144</v>
      </c>
      <c r="J39" s="40" t="s">
        <v>144</v>
      </c>
      <c r="K39" s="105"/>
      <c r="L39" s="106"/>
      <c r="M39" s="106"/>
      <c r="N39" s="106"/>
      <c r="O39" s="106"/>
      <c r="P39" s="106"/>
      <c r="Q39" s="107"/>
      <c r="R39" s="41"/>
      <c r="S39" s="41"/>
      <c r="T39" s="41"/>
      <c r="U39" s="41"/>
    </row>
    <row r="40" spans="1:21" ht="18" customHeight="1" x14ac:dyDescent="0.2">
      <c r="B40" s="105"/>
      <c r="C40" s="106"/>
      <c r="D40" s="106"/>
      <c r="E40" s="106"/>
      <c r="F40" s="107"/>
      <c r="G40" s="41"/>
      <c r="H40" s="41"/>
      <c r="I40" s="41"/>
      <c r="J40" s="41"/>
      <c r="K40" s="105"/>
      <c r="L40" s="106"/>
      <c r="M40" s="106"/>
      <c r="N40" s="106"/>
      <c r="O40" s="106"/>
      <c r="P40" s="106"/>
      <c r="Q40" s="107"/>
      <c r="R40" s="41"/>
      <c r="S40" s="41"/>
      <c r="T40" s="41"/>
      <c r="U40" s="41"/>
    </row>
    <row r="41" spans="1:21" ht="18" customHeight="1" x14ac:dyDescent="0.2">
      <c r="B41" s="105"/>
      <c r="C41" s="106"/>
      <c r="D41" s="106"/>
      <c r="E41" s="106"/>
      <c r="F41" s="107"/>
      <c r="G41" s="41"/>
      <c r="H41" s="41"/>
      <c r="I41" s="41"/>
      <c r="J41" s="41"/>
      <c r="K41" s="105"/>
      <c r="L41" s="106"/>
      <c r="M41" s="106"/>
      <c r="N41" s="106"/>
      <c r="O41" s="106"/>
      <c r="P41" s="106"/>
      <c r="Q41" s="107"/>
      <c r="R41" s="41"/>
      <c r="S41" s="41"/>
      <c r="T41" s="41"/>
      <c r="U41" s="41"/>
    </row>
    <row r="42" spans="1:21" ht="18" customHeight="1" x14ac:dyDescent="0.2">
      <c r="B42" s="105"/>
      <c r="C42" s="106"/>
      <c r="D42" s="106"/>
      <c r="E42" s="106"/>
      <c r="F42" s="107"/>
      <c r="G42" s="41"/>
      <c r="H42" s="41"/>
      <c r="I42" s="41"/>
      <c r="J42" s="41"/>
      <c r="K42" s="105"/>
      <c r="L42" s="106"/>
      <c r="M42" s="106"/>
      <c r="N42" s="106"/>
      <c r="O42" s="106"/>
      <c r="P42" s="106"/>
      <c r="Q42" s="107"/>
      <c r="R42" s="41"/>
      <c r="S42" s="41"/>
      <c r="T42" s="41"/>
      <c r="U42" s="41"/>
    </row>
    <row r="43" spans="1:21" ht="18" customHeight="1" x14ac:dyDescent="0.2">
      <c r="B43" s="105"/>
      <c r="C43" s="106"/>
      <c r="D43" s="106"/>
      <c r="E43" s="106"/>
      <c r="F43" s="107"/>
      <c r="G43" s="41"/>
      <c r="H43" s="41"/>
      <c r="I43" s="41"/>
      <c r="J43" s="41"/>
      <c r="K43" s="105"/>
      <c r="L43" s="106"/>
      <c r="M43" s="106"/>
      <c r="N43" s="106"/>
      <c r="O43" s="106"/>
      <c r="P43" s="106"/>
      <c r="Q43" s="107"/>
      <c r="R43" s="41"/>
      <c r="S43" s="41"/>
      <c r="T43" s="41"/>
      <c r="U43" s="41"/>
    </row>
    <row r="44" spans="1:21" ht="18" customHeight="1" x14ac:dyDescent="0.2">
      <c r="B44" s="119"/>
      <c r="C44" s="120"/>
      <c r="D44" s="120"/>
      <c r="E44" s="120"/>
      <c r="F44" s="121"/>
      <c r="G44" s="42"/>
      <c r="H44" s="42"/>
      <c r="I44" s="43"/>
      <c r="J44" s="43"/>
      <c r="K44" s="119"/>
      <c r="L44" s="120"/>
      <c r="M44" s="120"/>
      <c r="N44" s="120"/>
      <c r="O44" s="120"/>
      <c r="P44" s="120"/>
      <c r="Q44" s="121"/>
      <c r="R44" s="42"/>
      <c r="S44" s="42"/>
      <c r="T44" s="43"/>
      <c r="U44" s="43"/>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18" t="s">
        <v>97</v>
      </c>
      <c r="B46" s="118"/>
      <c r="C46" s="118"/>
      <c r="D46" s="118"/>
      <c r="E46" s="118"/>
      <c r="F46" s="118"/>
      <c r="G46" s="118"/>
      <c r="H46" s="118"/>
      <c r="I46" s="118"/>
      <c r="J46" s="118"/>
      <c r="K46" s="118"/>
      <c r="L46" s="118"/>
      <c r="M46" s="118"/>
      <c r="N46" s="118"/>
      <c r="O46" s="118"/>
      <c r="P46" s="118"/>
      <c r="Q46" s="118"/>
      <c r="R46" s="118"/>
      <c r="S46" s="118"/>
      <c r="T46" s="118"/>
      <c r="U46" s="118"/>
    </row>
    <row r="47" spans="1:21" ht="18" customHeight="1" x14ac:dyDescent="0.2">
      <c r="A47" s="118"/>
      <c r="B47" s="118"/>
      <c r="C47" s="118"/>
      <c r="D47" s="118"/>
      <c r="E47" s="118"/>
      <c r="F47" s="118"/>
      <c r="G47" s="118"/>
      <c r="H47" s="118"/>
      <c r="I47" s="118"/>
      <c r="J47" s="118"/>
      <c r="K47" s="118"/>
      <c r="L47" s="118"/>
      <c r="M47" s="118"/>
      <c r="N47" s="118"/>
      <c r="O47" s="118"/>
      <c r="P47" s="118"/>
      <c r="Q47" s="118"/>
      <c r="R47" s="118"/>
      <c r="S47" s="118"/>
      <c r="T47" s="118"/>
      <c r="U47" s="118"/>
    </row>
    <row r="48" spans="1:21" ht="18" customHeight="1" x14ac:dyDescent="0.2">
      <c r="B48" s="86" t="s">
        <v>47</v>
      </c>
      <c r="C48" s="87"/>
      <c r="D48" s="87"/>
      <c r="E48" s="87"/>
      <c r="F48" s="88"/>
      <c r="G48" s="37" t="s">
        <v>72</v>
      </c>
      <c r="H48" s="38" t="s">
        <v>75</v>
      </c>
      <c r="I48" s="39" t="s">
        <v>65</v>
      </c>
      <c r="J48" s="39" t="s">
        <v>66</v>
      </c>
      <c r="K48" s="86" t="s">
        <v>47</v>
      </c>
      <c r="L48" s="87"/>
      <c r="M48" s="87"/>
      <c r="N48" s="87"/>
      <c r="O48" s="87"/>
      <c r="P48" s="87"/>
      <c r="Q48" s="88"/>
      <c r="R48" s="37" t="s">
        <v>72</v>
      </c>
      <c r="S48" s="38" t="s">
        <v>75</v>
      </c>
      <c r="T48" s="39" t="s">
        <v>65</v>
      </c>
      <c r="U48" s="39" t="s">
        <v>66</v>
      </c>
    </row>
    <row r="49" spans="1:21" ht="18" customHeight="1" x14ac:dyDescent="0.2">
      <c r="A49" s="3"/>
      <c r="B49" s="102" t="s">
        <v>174</v>
      </c>
      <c r="C49" s="103"/>
      <c r="D49" s="103"/>
      <c r="E49" s="103"/>
      <c r="F49" s="104"/>
      <c r="G49" s="40">
        <v>2</v>
      </c>
      <c r="H49" s="40" t="s">
        <v>144</v>
      </c>
      <c r="I49" s="40" t="s">
        <v>144</v>
      </c>
      <c r="J49" s="40" t="s">
        <v>144</v>
      </c>
      <c r="K49" s="102"/>
      <c r="L49" s="103"/>
      <c r="M49" s="103"/>
      <c r="N49" s="103"/>
      <c r="O49" s="103"/>
      <c r="P49" s="103"/>
      <c r="Q49" s="104"/>
      <c r="R49" s="40"/>
      <c r="S49" s="40"/>
      <c r="T49" s="40"/>
      <c r="U49" s="40"/>
    </row>
    <row r="50" spans="1:21" ht="18" customHeight="1" x14ac:dyDescent="0.2">
      <c r="A50" s="3"/>
      <c r="B50" s="102" t="s">
        <v>181</v>
      </c>
      <c r="C50" s="103"/>
      <c r="D50" s="103"/>
      <c r="E50" s="103"/>
      <c r="F50" s="104"/>
      <c r="G50" s="40">
        <v>1</v>
      </c>
      <c r="H50" s="40" t="s">
        <v>144</v>
      </c>
      <c r="I50" s="40"/>
      <c r="J50" s="40" t="s">
        <v>144</v>
      </c>
      <c r="K50" s="105"/>
      <c r="L50" s="106"/>
      <c r="M50" s="106"/>
      <c r="N50" s="106"/>
      <c r="O50" s="106"/>
      <c r="P50" s="106"/>
      <c r="Q50" s="107"/>
      <c r="R50" s="41"/>
      <c r="S50" s="41"/>
      <c r="T50" s="41"/>
      <c r="U50" s="41"/>
    </row>
    <row r="51" spans="1:21" ht="18" customHeight="1" x14ac:dyDescent="0.2">
      <c r="A51" s="3"/>
      <c r="B51" s="105" t="s">
        <v>182</v>
      </c>
      <c r="C51" s="106"/>
      <c r="D51" s="106"/>
      <c r="E51" s="106"/>
      <c r="F51" s="107"/>
      <c r="G51" s="41">
        <v>2</v>
      </c>
      <c r="H51" s="41" t="s">
        <v>144</v>
      </c>
      <c r="I51" s="41"/>
      <c r="J51" s="41" t="s">
        <v>144</v>
      </c>
      <c r="K51" s="105"/>
      <c r="L51" s="106"/>
      <c r="M51" s="106"/>
      <c r="N51" s="106"/>
      <c r="O51" s="106"/>
      <c r="P51" s="106"/>
      <c r="Q51" s="107"/>
      <c r="R51" s="41"/>
      <c r="S51" s="41"/>
      <c r="T51" s="41"/>
      <c r="U51" s="41"/>
    </row>
    <row r="52" spans="1:21" ht="18" customHeight="1" x14ac:dyDescent="0.2">
      <c r="A52" s="3"/>
      <c r="B52" s="105" t="s">
        <v>180</v>
      </c>
      <c r="C52" s="106"/>
      <c r="D52" s="106"/>
      <c r="E52" s="106"/>
      <c r="F52" s="107"/>
      <c r="G52" s="41">
        <v>1</v>
      </c>
      <c r="H52" s="41" t="s">
        <v>144</v>
      </c>
      <c r="I52" s="41" t="s">
        <v>144</v>
      </c>
      <c r="J52" s="41" t="s">
        <v>144</v>
      </c>
      <c r="K52" s="105"/>
      <c r="L52" s="106"/>
      <c r="M52" s="106"/>
      <c r="N52" s="106"/>
      <c r="O52" s="106"/>
      <c r="P52" s="106"/>
      <c r="Q52" s="107"/>
      <c r="R52" s="41"/>
      <c r="S52" s="41"/>
      <c r="T52" s="41"/>
      <c r="U52" s="41"/>
    </row>
    <row r="53" spans="1:21" ht="18" customHeight="1" x14ac:dyDescent="0.2">
      <c r="A53" s="3"/>
      <c r="B53" s="105"/>
      <c r="C53" s="106"/>
      <c r="D53" s="106"/>
      <c r="E53" s="106"/>
      <c r="F53" s="107"/>
      <c r="G53" s="41"/>
      <c r="H53" s="41"/>
      <c r="I53" s="41"/>
      <c r="J53" s="41"/>
      <c r="K53" s="105"/>
      <c r="L53" s="106"/>
      <c r="M53" s="106"/>
      <c r="N53" s="106"/>
      <c r="O53" s="106"/>
      <c r="P53" s="106"/>
      <c r="Q53" s="107"/>
      <c r="R53" s="41"/>
      <c r="S53" s="41"/>
      <c r="T53" s="41"/>
      <c r="U53" s="41"/>
    </row>
    <row r="54" spans="1:21" ht="18" customHeight="1" x14ac:dyDescent="0.2">
      <c r="A54" s="3"/>
      <c r="B54" s="105"/>
      <c r="C54" s="106"/>
      <c r="D54" s="106"/>
      <c r="E54" s="106"/>
      <c r="F54" s="107"/>
      <c r="G54" s="41"/>
      <c r="H54" s="41"/>
      <c r="I54" s="41"/>
      <c r="J54" s="41"/>
      <c r="K54" s="105"/>
      <c r="L54" s="106"/>
      <c r="M54" s="106"/>
      <c r="N54" s="106"/>
      <c r="O54" s="106"/>
      <c r="P54" s="106"/>
      <c r="Q54" s="107"/>
      <c r="R54" s="41"/>
      <c r="S54" s="41"/>
      <c r="T54" s="41"/>
      <c r="U54" s="41"/>
    </row>
    <row r="55" spans="1:21" ht="18" customHeight="1" x14ac:dyDescent="0.2">
      <c r="A55" s="3"/>
      <c r="B55" s="119"/>
      <c r="C55" s="120"/>
      <c r="D55" s="120"/>
      <c r="E55" s="120"/>
      <c r="F55" s="121"/>
      <c r="G55" s="42"/>
      <c r="H55" s="42"/>
      <c r="I55" s="43"/>
      <c r="J55" s="43"/>
      <c r="K55" s="119"/>
      <c r="L55" s="120"/>
      <c r="M55" s="120"/>
      <c r="N55" s="120"/>
      <c r="O55" s="120"/>
      <c r="P55" s="120"/>
      <c r="Q55" s="121"/>
      <c r="R55" s="42"/>
      <c r="S55" s="42"/>
      <c r="T55" s="43"/>
      <c r="U55" s="43"/>
    </row>
    <row r="56" spans="1:21" ht="7.5" customHeight="1" x14ac:dyDescent="0.2">
      <c r="B56" s="8"/>
      <c r="C56" s="8"/>
      <c r="D56" s="8"/>
      <c r="E56" s="8"/>
      <c r="F56" s="8"/>
      <c r="G56" s="8"/>
      <c r="H56" s="8"/>
      <c r="I56" s="8"/>
      <c r="J56" s="8"/>
      <c r="K56" s="8"/>
      <c r="L56" s="8"/>
      <c r="M56" s="8"/>
      <c r="N56" s="8"/>
      <c r="O56" s="8"/>
      <c r="P56" s="8"/>
      <c r="Q56" s="8"/>
      <c r="R56" s="8"/>
      <c r="S56" s="8"/>
      <c r="T56" s="8"/>
    </row>
    <row r="57" spans="1:21" ht="18" customHeight="1" x14ac:dyDescent="0.2">
      <c r="A57" s="118" t="s">
        <v>98</v>
      </c>
      <c r="B57" s="118"/>
      <c r="C57" s="118"/>
      <c r="D57" s="118"/>
      <c r="E57" s="118"/>
      <c r="F57" s="118"/>
      <c r="G57" s="118"/>
      <c r="H57" s="118"/>
      <c r="I57" s="118"/>
      <c r="J57" s="118"/>
      <c r="K57" s="118"/>
      <c r="L57" s="118"/>
      <c r="M57" s="118"/>
      <c r="N57" s="118"/>
      <c r="O57" s="118"/>
      <c r="P57" s="118"/>
      <c r="Q57" s="118"/>
      <c r="R57" s="118"/>
      <c r="S57" s="118"/>
      <c r="T57" s="118"/>
      <c r="U57" s="118"/>
    </row>
    <row r="58" spans="1:21" ht="18" customHeight="1" x14ac:dyDescent="0.2">
      <c r="A58" s="118"/>
      <c r="B58" s="118"/>
      <c r="C58" s="118"/>
      <c r="D58" s="118"/>
      <c r="E58" s="118"/>
      <c r="F58" s="118"/>
      <c r="G58" s="118"/>
      <c r="H58" s="118"/>
      <c r="I58" s="118"/>
      <c r="J58" s="118"/>
      <c r="K58" s="118"/>
      <c r="L58" s="118"/>
      <c r="M58" s="118"/>
      <c r="N58" s="118"/>
      <c r="O58" s="118"/>
      <c r="P58" s="118"/>
      <c r="Q58" s="118"/>
      <c r="R58" s="118"/>
      <c r="S58" s="118"/>
      <c r="T58" s="118"/>
      <c r="U58" s="118"/>
    </row>
    <row r="59" spans="1:21" ht="18" customHeight="1" x14ac:dyDescent="0.2">
      <c r="B59" s="86" t="s">
        <v>47</v>
      </c>
      <c r="C59" s="87"/>
      <c r="D59" s="87"/>
      <c r="E59" s="87"/>
      <c r="F59" s="88"/>
      <c r="G59" s="37" t="s">
        <v>72</v>
      </c>
      <c r="H59" s="38" t="s">
        <v>75</v>
      </c>
      <c r="I59" s="39" t="s">
        <v>52</v>
      </c>
      <c r="J59" s="39" t="s">
        <v>54</v>
      </c>
      <c r="K59" s="86" t="s">
        <v>47</v>
      </c>
      <c r="L59" s="87"/>
      <c r="M59" s="87"/>
      <c r="N59" s="87"/>
      <c r="O59" s="87"/>
      <c r="P59" s="87"/>
      <c r="Q59" s="88"/>
      <c r="R59" s="37" t="s">
        <v>72</v>
      </c>
      <c r="S59" s="38" t="s">
        <v>75</v>
      </c>
      <c r="T59" s="39" t="s">
        <v>52</v>
      </c>
      <c r="U59" s="39" t="s">
        <v>54</v>
      </c>
    </row>
    <row r="60" spans="1:21" ht="18" customHeight="1" x14ac:dyDescent="0.2">
      <c r="A60" s="3"/>
      <c r="B60" s="102" t="s">
        <v>174</v>
      </c>
      <c r="C60" s="103"/>
      <c r="D60" s="103"/>
      <c r="E60" s="103"/>
      <c r="F60" s="104"/>
      <c r="G60" s="40">
        <v>2</v>
      </c>
      <c r="H60" s="40" t="s">
        <v>144</v>
      </c>
      <c r="I60" s="40" t="s">
        <v>144</v>
      </c>
      <c r="J60" s="40" t="s">
        <v>144</v>
      </c>
      <c r="K60" s="102"/>
      <c r="L60" s="103"/>
      <c r="M60" s="103"/>
      <c r="N60" s="103"/>
      <c r="O60" s="103"/>
      <c r="P60" s="103"/>
      <c r="Q60" s="104"/>
      <c r="R60" s="40"/>
      <c r="S60" s="40"/>
      <c r="T60" s="40"/>
      <c r="U60" s="40"/>
    </row>
    <row r="61" spans="1:21" ht="18" customHeight="1" x14ac:dyDescent="0.2">
      <c r="A61" s="3"/>
      <c r="B61" s="102" t="s">
        <v>183</v>
      </c>
      <c r="C61" s="103"/>
      <c r="D61" s="103"/>
      <c r="E61" s="103"/>
      <c r="F61" s="104"/>
      <c r="G61" s="40">
        <v>1</v>
      </c>
      <c r="H61" s="40" t="s">
        <v>144</v>
      </c>
      <c r="I61" s="40" t="s">
        <v>144</v>
      </c>
      <c r="J61" s="40"/>
      <c r="K61" s="105"/>
      <c r="L61" s="106"/>
      <c r="M61" s="106"/>
      <c r="N61" s="106"/>
      <c r="O61" s="106"/>
      <c r="P61" s="106"/>
      <c r="Q61" s="107"/>
      <c r="R61" s="41"/>
      <c r="S61" s="41"/>
      <c r="T61" s="41"/>
      <c r="U61" s="41"/>
    </row>
    <row r="62" spans="1:21" ht="18" customHeight="1" x14ac:dyDescent="0.2">
      <c r="A62" s="3"/>
      <c r="B62" s="105" t="s">
        <v>182</v>
      </c>
      <c r="C62" s="106"/>
      <c r="D62" s="106"/>
      <c r="E62" s="106"/>
      <c r="F62" s="107"/>
      <c r="G62" s="41">
        <v>2</v>
      </c>
      <c r="H62" s="41" t="s">
        <v>144</v>
      </c>
      <c r="I62" s="41" t="s">
        <v>144</v>
      </c>
      <c r="J62" s="41" t="s">
        <v>144</v>
      </c>
      <c r="K62" s="105"/>
      <c r="L62" s="106"/>
      <c r="M62" s="106"/>
      <c r="N62" s="106"/>
      <c r="O62" s="106"/>
      <c r="P62" s="106"/>
      <c r="Q62" s="107"/>
      <c r="R62" s="41"/>
      <c r="S62" s="41"/>
      <c r="T62" s="41"/>
      <c r="U62" s="41"/>
    </row>
    <row r="63" spans="1:21" ht="18" customHeight="1" x14ac:dyDescent="0.2">
      <c r="A63" s="3"/>
      <c r="B63" s="105"/>
      <c r="C63" s="106"/>
      <c r="D63" s="106"/>
      <c r="E63" s="106"/>
      <c r="F63" s="107"/>
      <c r="G63" s="41"/>
      <c r="H63" s="41"/>
      <c r="I63" s="41"/>
      <c r="J63" s="41"/>
      <c r="K63" s="105"/>
      <c r="L63" s="106"/>
      <c r="M63" s="106"/>
      <c r="N63" s="106"/>
      <c r="O63" s="106"/>
      <c r="P63" s="106"/>
      <c r="Q63" s="107"/>
      <c r="R63" s="41"/>
      <c r="S63" s="41"/>
      <c r="T63" s="41"/>
      <c r="U63" s="41"/>
    </row>
    <row r="64" spans="1:21" ht="18" customHeight="1" x14ac:dyDescent="0.2">
      <c r="A64" s="3"/>
      <c r="B64" s="105"/>
      <c r="C64" s="106"/>
      <c r="D64" s="106"/>
      <c r="E64" s="106"/>
      <c r="F64" s="107"/>
      <c r="G64" s="41"/>
      <c r="H64" s="41"/>
      <c r="I64" s="41"/>
      <c r="J64" s="41"/>
      <c r="K64" s="105"/>
      <c r="L64" s="106"/>
      <c r="M64" s="106"/>
      <c r="N64" s="106"/>
      <c r="O64" s="106"/>
      <c r="P64" s="106"/>
      <c r="Q64" s="107"/>
      <c r="R64" s="41"/>
      <c r="S64" s="41"/>
      <c r="T64" s="41"/>
      <c r="U64" s="41"/>
    </row>
    <row r="65" spans="1:27" ht="18" customHeight="1" x14ac:dyDescent="0.2">
      <c r="A65" s="3"/>
      <c r="B65" s="105"/>
      <c r="C65" s="106"/>
      <c r="D65" s="106"/>
      <c r="E65" s="106"/>
      <c r="F65" s="107"/>
      <c r="G65" s="41"/>
      <c r="H65" s="41"/>
      <c r="I65" s="41"/>
      <c r="J65" s="41"/>
      <c r="K65" s="105"/>
      <c r="L65" s="106"/>
      <c r="M65" s="106"/>
      <c r="N65" s="106"/>
      <c r="O65" s="106"/>
      <c r="P65" s="106"/>
      <c r="Q65" s="107"/>
      <c r="R65" s="41"/>
      <c r="S65" s="41"/>
      <c r="T65" s="41"/>
      <c r="U65" s="41"/>
    </row>
    <row r="66" spans="1:27" ht="18" customHeight="1" x14ac:dyDescent="0.2">
      <c r="A66" s="3"/>
      <c r="B66" s="119"/>
      <c r="C66" s="120"/>
      <c r="D66" s="120"/>
      <c r="E66" s="120"/>
      <c r="F66" s="121"/>
      <c r="G66" s="42"/>
      <c r="H66" s="42"/>
      <c r="I66" s="43"/>
      <c r="J66" s="43"/>
      <c r="K66" s="119"/>
      <c r="L66" s="120"/>
      <c r="M66" s="120"/>
      <c r="N66" s="120"/>
      <c r="O66" s="120"/>
      <c r="P66" s="120"/>
      <c r="Q66" s="121"/>
      <c r="R66" s="42"/>
      <c r="S66" s="42"/>
      <c r="T66" s="43"/>
      <c r="U66" s="43"/>
    </row>
    <row r="67" spans="1:27" ht="7.5" customHeight="1" x14ac:dyDescent="0.2">
      <c r="B67" s="8"/>
      <c r="C67" s="8"/>
      <c r="D67" s="8"/>
      <c r="E67" s="8"/>
      <c r="F67" s="8"/>
      <c r="G67" s="8"/>
      <c r="H67" s="8"/>
      <c r="I67" s="8"/>
      <c r="J67" s="8"/>
      <c r="K67" s="8"/>
      <c r="L67" s="8"/>
      <c r="M67" s="8"/>
      <c r="N67" s="8"/>
      <c r="O67" s="8"/>
      <c r="P67" s="8"/>
      <c r="Q67" s="8"/>
      <c r="R67" s="8"/>
      <c r="S67" s="8"/>
      <c r="T67" s="8"/>
    </row>
    <row r="68" spans="1:27" ht="18" customHeight="1" x14ac:dyDescent="0.2">
      <c r="A68" s="118" t="s">
        <v>99</v>
      </c>
      <c r="B68" s="118"/>
      <c r="C68" s="118"/>
      <c r="D68" s="118"/>
      <c r="E68" s="118"/>
      <c r="F68" s="118"/>
      <c r="G68" s="118"/>
      <c r="H68" s="118"/>
      <c r="I68" s="118"/>
      <c r="J68" s="118"/>
      <c r="K68" s="118"/>
      <c r="L68" s="118"/>
      <c r="M68" s="118"/>
      <c r="N68" s="118"/>
      <c r="O68" s="118"/>
      <c r="P68" s="118"/>
      <c r="Q68" s="118"/>
      <c r="R68" s="118"/>
      <c r="S68" s="118"/>
      <c r="T68" s="118"/>
      <c r="U68" s="118"/>
    </row>
    <row r="69" spans="1:27" ht="18" customHeight="1" x14ac:dyDescent="0.2">
      <c r="A69" s="118"/>
      <c r="B69" s="118"/>
      <c r="C69" s="118"/>
      <c r="D69" s="118"/>
      <c r="E69" s="118"/>
      <c r="F69" s="118"/>
      <c r="G69" s="118"/>
      <c r="H69" s="118"/>
      <c r="I69" s="118"/>
      <c r="J69" s="118"/>
      <c r="K69" s="118"/>
      <c r="L69" s="118"/>
      <c r="M69" s="118"/>
      <c r="N69" s="118"/>
      <c r="O69" s="118"/>
      <c r="P69" s="118"/>
      <c r="Q69" s="118"/>
      <c r="R69" s="118"/>
      <c r="S69" s="118"/>
      <c r="T69" s="118"/>
      <c r="U69" s="118"/>
    </row>
    <row r="70" spans="1:27" ht="18" customHeight="1" x14ac:dyDescent="0.2">
      <c r="B70" s="86" t="s">
        <v>47</v>
      </c>
      <c r="C70" s="87"/>
      <c r="D70" s="87"/>
      <c r="E70" s="87"/>
      <c r="F70" s="37" t="s">
        <v>72</v>
      </c>
      <c r="G70" s="38" t="s">
        <v>75</v>
      </c>
      <c r="H70" s="39" t="s">
        <v>86</v>
      </c>
      <c r="I70" s="39" t="s">
        <v>67</v>
      </c>
      <c r="J70" s="39" t="s">
        <v>68</v>
      </c>
      <c r="K70" s="86" t="s">
        <v>47</v>
      </c>
      <c r="L70" s="87"/>
      <c r="M70" s="87"/>
      <c r="N70" s="87"/>
      <c r="O70" s="87"/>
      <c r="P70" s="88"/>
      <c r="Q70" s="37" t="s">
        <v>72</v>
      </c>
      <c r="R70" s="38" t="s">
        <v>75</v>
      </c>
      <c r="S70" s="39" t="s">
        <v>86</v>
      </c>
      <c r="T70" s="39" t="s">
        <v>67</v>
      </c>
      <c r="U70" s="39" t="s">
        <v>68</v>
      </c>
    </row>
    <row r="71" spans="1:27" ht="18" customHeight="1" x14ac:dyDescent="0.2">
      <c r="A71" s="3"/>
      <c r="B71" s="102" t="s">
        <v>175</v>
      </c>
      <c r="C71" s="103"/>
      <c r="D71" s="103"/>
      <c r="E71" s="103"/>
      <c r="F71" s="40">
        <v>1</v>
      </c>
      <c r="G71" s="40" t="s">
        <v>144</v>
      </c>
      <c r="H71" s="40" t="s">
        <v>144</v>
      </c>
      <c r="I71" s="40" t="s">
        <v>144</v>
      </c>
      <c r="J71" s="40" t="s">
        <v>144</v>
      </c>
      <c r="K71" s="102"/>
      <c r="L71" s="103"/>
      <c r="M71" s="103"/>
      <c r="N71" s="103"/>
      <c r="O71" s="103"/>
      <c r="P71" s="104"/>
      <c r="Q71" s="40"/>
      <c r="R71" s="40"/>
      <c r="S71" s="40"/>
      <c r="T71" s="40"/>
      <c r="U71" s="40"/>
    </row>
    <row r="72" spans="1:27" ht="18" customHeight="1" x14ac:dyDescent="0.2">
      <c r="A72" s="3"/>
      <c r="B72" s="105" t="s">
        <v>174</v>
      </c>
      <c r="C72" s="106"/>
      <c r="D72" s="106"/>
      <c r="E72" s="106"/>
      <c r="F72" s="41">
        <v>2</v>
      </c>
      <c r="G72" s="41" t="s">
        <v>144</v>
      </c>
      <c r="H72" s="41" t="s">
        <v>144</v>
      </c>
      <c r="I72" s="41" t="s">
        <v>144</v>
      </c>
      <c r="J72" s="41" t="s">
        <v>144</v>
      </c>
      <c r="K72" s="105"/>
      <c r="L72" s="106"/>
      <c r="M72" s="106"/>
      <c r="N72" s="106"/>
      <c r="O72" s="106"/>
      <c r="P72" s="107"/>
      <c r="Q72" s="41"/>
      <c r="R72" s="41"/>
      <c r="S72" s="41"/>
      <c r="T72" s="41"/>
      <c r="U72" s="41"/>
    </row>
    <row r="73" spans="1:27" ht="18" customHeight="1" x14ac:dyDescent="0.2">
      <c r="A73" s="3"/>
      <c r="B73" s="105" t="s">
        <v>176</v>
      </c>
      <c r="C73" s="106"/>
      <c r="D73" s="106"/>
      <c r="E73" s="106"/>
      <c r="F73" s="41">
        <v>1</v>
      </c>
      <c r="G73" s="41" t="s">
        <v>144</v>
      </c>
      <c r="H73" s="41"/>
      <c r="I73" s="41" t="s">
        <v>144</v>
      </c>
      <c r="J73" s="41" t="s">
        <v>144</v>
      </c>
      <c r="K73" s="105"/>
      <c r="L73" s="106"/>
      <c r="M73" s="106"/>
      <c r="N73" s="106"/>
      <c r="O73" s="106"/>
      <c r="P73" s="107"/>
      <c r="Q73" s="41"/>
      <c r="R73" s="41"/>
      <c r="S73" s="41"/>
      <c r="T73" s="41"/>
      <c r="U73" s="41"/>
    </row>
    <row r="74" spans="1:27" ht="18" customHeight="1" x14ac:dyDescent="0.2">
      <c r="A74" s="3"/>
      <c r="B74" s="102" t="s">
        <v>181</v>
      </c>
      <c r="C74" s="103"/>
      <c r="D74" s="103"/>
      <c r="E74" s="103"/>
      <c r="F74" s="40">
        <v>1</v>
      </c>
      <c r="G74" s="40" t="s">
        <v>144</v>
      </c>
      <c r="H74" s="40" t="s">
        <v>144</v>
      </c>
      <c r="I74" s="40" t="s">
        <v>144</v>
      </c>
      <c r="J74" s="40"/>
      <c r="K74" s="105"/>
      <c r="L74" s="106"/>
      <c r="M74" s="106"/>
      <c r="N74" s="106"/>
      <c r="O74" s="106"/>
      <c r="P74" s="107"/>
      <c r="Q74" s="41"/>
      <c r="R74" s="41"/>
      <c r="S74" s="41"/>
      <c r="T74" s="41"/>
      <c r="U74" s="41"/>
    </row>
    <row r="75" spans="1:27" ht="18" customHeight="1" x14ac:dyDescent="0.2">
      <c r="A75" s="3"/>
      <c r="B75" s="105" t="s">
        <v>184</v>
      </c>
      <c r="C75" s="106"/>
      <c r="D75" s="106"/>
      <c r="E75" s="106"/>
      <c r="F75" s="41">
        <v>1</v>
      </c>
      <c r="G75" s="41" t="s">
        <v>144</v>
      </c>
      <c r="H75" s="41" t="s">
        <v>144</v>
      </c>
      <c r="I75" s="41" t="s">
        <v>144</v>
      </c>
      <c r="J75" s="41" t="s">
        <v>144</v>
      </c>
      <c r="K75" s="105"/>
      <c r="L75" s="106"/>
      <c r="M75" s="106"/>
      <c r="N75" s="106"/>
      <c r="O75" s="106"/>
      <c r="P75" s="107"/>
      <c r="Q75" s="41"/>
      <c r="R75" s="41"/>
      <c r="S75" s="41"/>
      <c r="T75" s="41"/>
      <c r="U75" s="41"/>
    </row>
    <row r="76" spans="1:27" ht="18" customHeight="1" x14ac:dyDescent="0.2">
      <c r="A76" s="3"/>
      <c r="B76" s="105" t="s">
        <v>180</v>
      </c>
      <c r="C76" s="106"/>
      <c r="D76" s="106"/>
      <c r="E76" s="106"/>
      <c r="F76" s="41">
        <v>1</v>
      </c>
      <c r="G76" s="41" t="s">
        <v>144</v>
      </c>
      <c r="H76" s="41" t="s">
        <v>144</v>
      </c>
      <c r="I76" s="41" t="s">
        <v>144</v>
      </c>
      <c r="J76" s="41" t="s">
        <v>144</v>
      </c>
      <c r="K76" s="105"/>
      <c r="L76" s="106"/>
      <c r="M76" s="106"/>
      <c r="N76" s="106"/>
      <c r="O76" s="106"/>
      <c r="P76" s="107"/>
      <c r="Q76" s="41"/>
      <c r="R76" s="41"/>
      <c r="S76" s="41"/>
      <c r="T76" s="41"/>
      <c r="U76" s="41"/>
    </row>
    <row r="77" spans="1:27" ht="18" customHeight="1" x14ac:dyDescent="0.2">
      <c r="A77" s="3"/>
      <c r="B77" s="119"/>
      <c r="C77" s="120"/>
      <c r="D77" s="120"/>
      <c r="E77" s="120"/>
      <c r="F77" s="42"/>
      <c r="G77" s="42"/>
      <c r="H77" s="43"/>
      <c r="I77" s="43"/>
      <c r="J77" s="43"/>
      <c r="K77" s="119"/>
      <c r="L77" s="120"/>
      <c r="M77" s="120"/>
      <c r="N77" s="120"/>
      <c r="O77" s="120"/>
      <c r="P77" s="121"/>
      <c r="Q77" s="42"/>
      <c r="R77" s="42"/>
      <c r="S77" s="43"/>
      <c r="T77" s="43"/>
      <c r="U77" s="43"/>
    </row>
    <row r="78" spans="1:27" ht="7.5" customHeight="1" x14ac:dyDescent="0.2">
      <c r="B78" s="8"/>
      <c r="C78" s="8"/>
      <c r="D78" s="8"/>
      <c r="E78" s="8"/>
      <c r="F78" s="8"/>
      <c r="G78" s="8"/>
      <c r="H78" s="8"/>
      <c r="I78" s="8"/>
      <c r="J78" s="8"/>
      <c r="K78" s="8"/>
      <c r="L78" s="8"/>
      <c r="M78" s="8"/>
      <c r="N78" s="8"/>
      <c r="O78" s="8"/>
      <c r="P78" s="8"/>
      <c r="Q78" s="8"/>
      <c r="R78" s="8"/>
      <c r="S78" s="8"/>
      <c r="T78" s="8"/>
    </row>
    <row r="79" spans="1:27" ht="18" customHeight="1" x14ac:dyDescent="0.2">
      <c r="A79" s="1" t="s">
        <v>100</v>
      </c>
      <c r="I79" s="3"/>
      <c r="J79" s="3"/>
      <c r="K79" s="3"/>
      <c r="L79" s="3"/>
      <c r="M79" s="3"/>
      <c r="N79" s="3"/>
      <c r="O79" s="3"/>
      <c r="P79" s="3"/>
      <c r="Q79" s="3"/>
      <c r="R79" s="3"/>
      <c r="S79" s="3"/>
      <c r="T79" s="3"/>
      <c r="U79" s="3"/>
    </row>
    <row r="80" spans="1:27" ht="18" customHeight="1" x14ac:dyDescent="0.2">
      <c r="B80" s="86" t="s">
        <v>47</v>
      </c>
      <c r="C80" s="87"/>
      <c r="D80" s="87"/>
      <c r="E80" s="87"/>
      <c r="F80" s="88"/>
      <c r="G80" s="86" t="s">
        <v>73</v>
      </c>
      <c r="H80" s="87"/>
      <c r="I80" s="87"/>
      <c r="J80" s="88"/>
      <c r="K80" s="122" t="s">
        <v>47</v>
      </c>
      <c r="L80" s="123"/>
      <c r="M80" s="123"/>
      <c r="N80" s="123"/>
      <c r="O80" s="123"/>
      <c r="P80" s="123"/>
      <c r="Q80" s="124"/>
      <c r="R80" s="86" t="s">
        <v>73</v>
      </c>
      <c r="S80" s="87"/>
      <c r="T80" s="87"/>
      <c r="U80" s="88"/>
      <c r="AA80" s="1" t="s">
        <v>137</v>
      </c>
    </row>
    <row r="81" spans="1:27" ht="18" customHeight="1" x14ac:dyDescent="0.2">
      <c r="A81" s="3"/>
      <c r="B81" s="102" t="s">
        <v>174</v>
      </c>
      <c r="C81" s="103"/>
      <c r="D81" s="103"/>
      <c r="E81" s="103"/>
      <c r="F81" s="104"/>
      <c r="G81" s="125" t="s">
        <v>145</v>
      </c>
      <c r="H81" s="126"/>
      <c r="I81" s="126"/>
      <c r="J81" s="127"/>
      <c r="K81" s="102"/>
      <c r="L81" s="103"/>
      <c r="M81" s="103"/>
      <c r="N81" s="103"/>
      <c r="O81" s="103"/>
      <c r="P81" s="103"/>
      <c r="Q81" s="104"/>
      <c r="R81" s="125"/>
      <c r="S81" s="126"/>
      <c r="T81" s="126"/>
      <c r="U81" s="127"/>
      <c r="AA81" s="1" t="s">
        <v>130</v>
      </c>
    </row>
    <row r="82" spans="1:27" ht="18" customHeight="1" x14ac:dyDescent="0.2">
      <c r="A82" s="3"/>
      <c r="B82" s="102" t="s">
        <v>184</v>
      </c>
      <c r="C82" s="103"/>
      <c r="D82" s="103"/>
      <c r="E82" s="103"/>
      <c r="F82" s="104"/>
      <c r="G82" s="128" t="s">
        <v>145</v>
      </c>
      <c r="H82" s="129"/>
      <c r="I82" s="129"/>
      <c r="J82" s="130"/>
      <c r="K82" s="105"/>
      <c r="L82" s="106"/>
      <c r="M82" s="106"/>
      <c r="N82" s="106"/>
      <c r="O82" s="106"/>
      <c r="P82" s="106"/>
      <c r="Q82" s="107"/>
      <c r="R82" s="131"/>
      <c r="S82" s="132"/>
      <c r="T82" s="132"/>
      <c r="U82" s="133"/>
      <c r="AA82" s="1" t="s">
        <v>131</v>
      </c>
    </row>
    <row r="83" spans="1:27" ht="18" customHeight="1" x14ac:dyDescent="0.2">
      <c r="A83" s="3"/>
      <c r="B83" s="105" t="s">
        <v>180</v>
      </c>
      <c r="C83" s="106"/>
      <c r="D83" s="106"/>
      <c r="E83" s="106"/>
      <c r="F83" s="107"/>
      <c r="G83" s="134" t="s">
        <v>145</v>
      </c>
      <c r="H83" s="135"/>
      <c r="I83" s="135"/>
      <c r="J83" s="136"/>
      <c r="K83" s="105"/>
      <c r="L83" s="106"/>
      <c r="M83" s="106"/>
      <c r="N83" s="106"/>
      <c r="O83" s="106"/>
      <c r="P83" s="106"/>
      <c r="Q83" s="107"/>
      <c r="R83" s="131"/>
      <c r="S83" s="132"/>
      <c r="T83" s="132"/>
      <c r="U83" s="133"/>
      <c r="AA83" s="1" t="s">
        <v>132</v>
      </c>
    </row>
    <row r="84" spans="1:27" ht="18" customHeight="1" x14ac:dyDescent="0.2">
      <c r="A84" s="3"/>
      <c r="B84" s="105" t="s">
        <v>185</v>
      </c>
      <c r="C84" s="106"/>
      <c r="D84" s="106"/>
      <c r="E84" s="106"/>
      <c r="F84" s="107"/>
      <c r="G84" s="134" t="s">
        <v>146</v>
      </c>
      <c r="H84" s="135"/>
      <c r="I84" s="135"/>
      <c r="J84" s="136"/>
      <c r="K84" s="105"/>
      <c r="L84" s="106"/>
      <c r="M84" s="106"/>
      <c r="N84" s="106"/>
      <c r="O84" s="106"/>
      <c r="P84" s="106"/>
      <c r="Q84" s="107"/>
      <c r="R84" s="131"/>
      <c r="S84" s="132"/>
      <c r="T84" s="132"/>
      <c r="U84" s="133"/>
      <c r="AA84" s="1" t="s">
        <v>138</v>
      </c>
    </row>
    <row r="85" spans="1:27" ht="18" customHeight="1" x14ac:dyDescent="0.2">
      <c r="A85" s="3"/>
      <c r="B85" s="105" t="s">
        <v>186</v>
      </c>
      <c r="C85" s="106"/>
      <c r="D85" s="106"/>
      <c r="E85" s="106"/>
      <c r="F85" s="107"/>
      <c r="G85" s="134" t="s">
        <v>147</v>
      </c>
      <c r="H85" s="135"/>
      <c r="I85" s="135"/>
      <c r="J85" s="136"/>
      <c r="K85" s="105"/>
      <c r="L85" s="106"/>
      <c r="M85" s="106"/>
      <c r="N85" s="106"/>
      <c r="O85" s="106"/>
      <c r="P85" s="106"/>
      <c r="Q85" s="107"/>
      <c r="R85" s="131"/>
      <c r="S85" s="132"/>
      <c r="T85" s="132"/>
      <c r="U85" s="133"/>
      <c r="AA85" s="1" t="s">
        <v>139</v>
      </c>
    </row>
    <row r="86" spans="1:27" ht="18" customHeight="1" x14ac:dyDescent="0.2">
      <c r="A86" s="3"/>
      <c r="B86" s="105"/>
      <c r="C86" s="106"/>
      <c r="D86" s="106"/>
      <c r="E86" s="106"/>
      <c r="F86" s="107"/>
      <c r="G86" s="131"/>
      <c r="H86" s="132"/>
      <c r="I86" s="132"/>
      <c r="J86" s="133"/>
      <c r="K86" s="105"/>
      <c r="L86" s="106"/>
      <c r="M86" s="106"/>
      <c r="N86" s="106"/>
      <c r="O86" s="106"/>
      <c r="P86" s="106"/>
      <c r="Q86" s="107"/>
      <c r="R86" s="131"/>
      <c r="S86" s="132"/>
      <c r="T86" s="132"/>
      <c r="U86" s="133"/>
      <c r="AA86" s="1" t="s">
        <v>133</v>
      </c>
    </row>
    <row r="87" spans="1:27" ht="18" customHeight="1" x14ac:dyDescent="0.2">
      <c r="A87" s="3"/>
      <c r="B87" s="119"/>
      <c r="C87" s="120"/>
      <c r="D87" s="120"/>
      <c r="E87" s="120"/>
      <c r="F87" s="121"/>
      <c r="G87" s="146"/>
      <c r="H87" s="147"/>
      <c r="I87" s="147"/>
      <c r="J87" s="148"/>
      <c r="K87" s="119"/>
      <c r="L87" s="120"/>
      <c r="M87" s="120"/>
      <c r="N87" s="120"/>
      <c r="O87" s="120"/>
      <c r="P87" s="120"/>
      <c r="Q87" s="121"/>
      <c r="R87" s="146"/>
      <c r="S87" s="147"/>
      <c r="T87" s="147"/>
      <c r="U87" s="148"/>
      <c r="AA87" s="1" t="s">
        <v>134</v>
      </c>
    </row>
    <row r="88" spans="1:27" ht="18" customHeight="1" x14ac:dyDescent="0.2">
      <c r="A88" s="3"/>
      <c r="B88" s="6"/>
      <c r="C88" s="6"/>
      <c r="D88" s="6"/>
      <c r="E88" s="6"/>
      <c r="F88" s="6"/>
      <c r="G88" s="44"/>
      <c r="H88" s="44"/>
      <c r="I88" s="44"/>
      <c r="J88" s="44"/>
      <c r="K88" s="6"/>
      <c r="L88" s="6"/>
      <c r="M88" s="6"/>
      <c r="N88" s="6"/>
      <c r="O88" s="6"/>
      <c r="P88" s="6"/>
      <c r="Q88" s="6"/>
      <c r="R88" s="44"/>
      <c r="S88" s="44"/>
      <c r="T88" s="44"/>
      <c r="U88" s="44"/>
      <c r="AA88" s="1" t="s">
        <v>135</v>
      </c>
    </row>
    <row r="89" spans="1:27" ht="18.75" customHeight="1" x14ac:dyDescent="0.2">
      <c r="A89" s="1" t="s">
        <v>101</v>
      </c>
      <c r="AA89" s="1" t="s">
        <v>136</v>
      </c>
    </row>
    <row r="90" spans="1:27" ht="18.75" customHeight="1" x14ac:dyDescent="0.2">
      <c r="B90" s="149" t="s">
        <v>48</v>
      </c>
      <c r="C90" s="150"/>
      <c r="D90" s="86" t="s">
        <v>49</v>
      </c>
      <c r="E90" s="87"/>
      <c r="F90" s="87"/>
      <c r="G90" s="87"/>
      <c r="H90" s="87"/>
      <c r="I90" s="87"/>
      <c r="J90" s="87"/>
      <c r="K90" s="87"/>
      <c r="L90" s="87"/>
      <c r="M90" s="87"/>
      <c r="N90" s="87"/>
      <c r="O90" s="87"/>
      <c r="P90" s="87"/>
      <c r="Q90" s="87"/>
      <c r="R90" s="87"/>
      <c r="S90" s="87"/>
      <c r="T90" s="87"/>
      <c r="U90" s="88"/>
    </row>
    <row r="91" spans="1:27" ht="153" customHeight="1" x14ac:dyDescent="0.2">
      <c r="B91" s="137" t="s">
        <v>55</v>
      </c>
      <c r="C91" s="45" t="s">
        <v>50</v>
      </c>
      <c r="D91" s="139" t="s">
        <v>187</v>
      </c>
      <c r="E91" s="140"/>
      <c r="F91" s="140"/>
      <c r="G91" s="140"/>
      <c r="H91" s="140"/>
      <c r="I91" s="140"/>
      <c r="J91" s="140"/>
      <c r="K91" s="140"/>
      <c r="L91" s="140"/>
      <c r="M91" s="140"/>
      <c r="N91" s="140"/>
      <c r="O91" s="140"/>
      <c r="P91" s="140"/>
      <c r="Q91" s="140"/>
      <c r="R91" s="140"/>
      <c r="S91" s="140"/>
      <c r="T91" s="140"/>
      <c r="U91" s="141"/>
    </row>
    <row r="92" spans="1:27" ht="105" customHeight="1" x14ac:dyDescent="0.2">
      <c r="B92" s="138"/>
      <c r="C92" s="46" t="s">
        <v>69</v>
      </c>
      <c r="D92" s="142" t="s">
        <v>202</v>
      </c>
      <c r="E92" s="143"/>
      <c r="F92" s="143"/>
      <c r="G92" s="143"/>
      <c r="H92" s="143"/>
      <c r="I92" s="143"/>
      <c r="J92" s="143"/>
      <c r="K92" s="143"/>
      <c r="L92" s="143"/>
      <c r="M92" s="143"/>
      <c r="N92" s="143"/>
      <c r="O92" s="143"/>
      <c r="P92" s="143"/>
      <c r="Q92" s="143"/>
      <c r="R92" s="143"/>
      <c r="S92" s="143"/>
      <c r="T92" s="143"/>
      <c r="U92" s="144"/>
    </row>
    <row r="93" spans="1:27" ht="132.75" customHeight="1" x14ac:dyDescent="0.2">
      <c r="B93" s="137" t="s">
        <v>56</v>
      </c>
      <c r="C93" s="47" t="s">
        <v>63</v>
      </c>
      <c r="D93" s="139" t="s">
        <v>188</v>
      </c>
      <c r="E93" s="140"/>
      <c r="F93" s="140"/>
      <c r="G93" s="140"/>
      <c r="H93" s="140"/>
      <c r="I93" s="140"/>
      <c r="J93" s="140"/>
      <c r="K93" s="140"/>
      <c r="L93" s="140"/>
      <c r="M93" s="140"/>
      <c r="N93" s="140"/>
      <c r="O93" s="140"/>
      <c r="P93" s="140"/>
      <c r="Q93" s="140"/>
      <c r="R93" s="140"/>
      <c r="S93" s="140"/>
      <c r="T93" s="140"/>
      <c r="U93" s="141"/>
    </row>
    <row r="94" spans="1:27" ht="97.5" customHeight="1" x14ac:dyDescent="0.2">
      <c r="B94" s="145"/>
      <c r="C94" s="48" t="s">
        <v>64</v>
      </c>
      <c r="D94" s="142" t="s">
        <v>189</v>
      </c>
      <c r="E94" s="143"/>
      <c r="F94" s="143"/>
      <c r="G94" s="143"/>
      <c r="H94" s="143"/>
      <c r="I94" s="143"/>
      <c r="J94" s="143"/>
      <c r="K94" s="143"/>
      <c r="L94" s="143"/>
      <c r="M94" s="143"/>
      <c r="N94" s="143"/>
      <c r="O94" s="143"/>
      <c r="P94" s="143"/>
      <c r="Q94" s="143"/>
      <c r="R94" s="143"/>
      <c r="S94" s="143"/>
      <c r="T94" s="143"/>
      <c r="U94" s="144"/>
    </row>
    <row r="95" spans="1:27" ht="107.25" customHeight="1" x14ac:dyDescent="0.2">
      <c r="B95" s="137" t="s">
        <v>57</v>
      </c>
      <c r="C95" s="47" t="s">
        <v>65</v>
      </c>
      <c r="D95" s="139" t="s">
        <v>190</v>
      </c>
      <c r="E95" s="140"/>
      <c r="F95" s="140"/>
      <c r="G95" s="140"/>
      <c r="H95" s="140"/>
      <c r="I95" s="140"/>
      <c r="J95" s="140"/>
      <c r="K95" s="140"/>
      <c r="L95" s="140"/>
      <c r="M95" s="140"/>
      <c r="N95" s="140"/>
      <c r="O95" s="140"/>
      <c r="P95" s="140"/>
      <c r="Q95" s="140"/>
      <c r="R95" s="140"/>
      <c r="S95" s="140"/>
      <c r="T95" s="140"/>
      <c r="U95" s="141"/>
    </row>
    <row r="96" spans="1:27" ht="125.25" customHeight="1" x14ac:dyDescent="0.2">
      <c r="B96" s="145"/>
      <c r="C96" s="49" t="s">
        <v>66</v>
      </c>
      <c r="D96" s="142" t="s">
        <v>191</v>
      </c>
      <c r="E96" s="143"/>
      <c r="F96" s="143"/>
      <c r="G96" s="143"/>
      <c r="H96" s="143"/>
      <c r="I96" s="143"/>
      <c r="J96" s="143"/>
      <c r="K96" s="143"/>
      <c r="L96" s="143"/>
      <c r="M96" s="143"/>
      <c r="N96" s="143"/>
      <c r="O96" s="143"/>
      <c r="P96" s="143"/>
      <c r="Q96" s="143"/>
      <c r="R96" s="143"/>
      <c r="S96" s="143"/>
      <c r="T96" s="143"/>
      <c r="U96" s="144"/>
    </row>
    <row r="97" spans="1:23" ht="145.5" customHeight="1" x14ac:dyDescent="0.2">
      <c r="B97" s="137" t="s">
        <v>70</v>
      </c>
      <c r="C97" s="45" t="s">
        <v>52</v>
      </c>
      <c r="D97" s="139" t="s">
        <v>192</v>
      </c>
      <c r="E97" s="140"/>
      <c r="F97" s="140"/>
      <c r="G97" s="140"/>
      <c r="H97" s="140"/>
      <c r="I97" s="140"/>
      <c r="J97" s="140"/>
      <c r="K97" s="140"/>
      <c r="L97" s="140"/>
      <c r="M97" s="140"/>
      <c r="N97" s="140"/>
      <c r="O97" s="140"/>
      <c r="P97" s="140"/>
      <c r="Q97" s="140"/>
      <c r="R97" s="140"/>
      <c r="S97" s="140"/>
      <c r="T97" s="140"/>
      <c r="U97" s="141"/>
    </row>
    <row r="98" spans="1:23" ht="116.25" customHeight="1" x14ac:dyDescent="0.2">
      <c r="B98" s="145"/>
      <c r="C98" s="48" t="s">
        <v>54</v>
      </c>
      <c r="D98" s="142" t="s">
        <v>193</v>
      </c>
      <c r="E98" s="143"/>
      <c r="F98" s="143"/>
      <c r="G98" s="143"/>
      <c r="H98" s="143"/>
      <c r="I98" s="143"/>
      <c r="J98" s="143"/>
      <c r="K98" s="143"/>
      <c r="L98" s="143"/>
      <c r="M98" s="143"/>
      <c r="N98" s="143"/>
      <c r="O98" s="143"/>
      <c r="P98" s="143"/>
      <c r="Q98" s="143"/>
      <c r="R98" s="143"/>
      <c r="S98" s="143"/>
      <c r="T98" s="143"/>
      <c r="U98" s="144"/>
    </row>
    <row r="99" spans="1:23" ht="211.5" customHeight="1" x14ac:dyDescent="0.2">
      <c r="B99" s="137" t="s">
        <v>71</v>
      </c>
      <c r="C99" s="47" t="s">
        <v>51</v>
      </c>
      <c r="D99" s="139" t="s">
        <v>194</v>
      </c>
      <c r="E99" s="140"/>
      <c r="F99" s="140"/>
      <c r="G99" s="140"/>
      <c r="H99" s="140"/>
      <c r="I99" s="140"/>
      <c r="J99" s="140"/>
      <c r="K99" s="140"/>
      <c r="L99" s="140"/>
      <c r="M99" s="140"/>
      <c r="N99" s="140"/>
      <c r="O99" s="140"/>
      <c r="P99" s="140"/>
      <c r="Q99" s="140"/>
      <c r="R99" s="140"/>
      <c r="S99" s="140"/>
      <c r="T99" s="140"/>
      <c r="U99" s="141"/>
    </row>
    <row r="100" spans="1:23" ht="123.75" customHeight="1" x14ac:dyDescent="0.2">
      <c r="B100" s="138"/>
      <c r="C100" s="50" t="s">
        <v>67</v>
      </c>
      <c r="D100" s="151" t="s">
        <v>195</v>
      </c>
      <c r="E100" s="152"/>
      <c r="F100" s="152"/>
      <c r="G100" s="152"/>
      <c r="H100" s="152"/>
      <c r="I100" s="152"/>
      <c r="J100" s="152"/>
      <c r="K100" s="152"/>
      <c r="L100" s="152"/>
      <c r="M100" s="152"/>
      <c r="N100" s="152"/>
      <c r="O100" s="152"/>
      <c r="P100" s="152"/>
      <c r="Q100" s="152"/>
      <c r="R100" s="152"/>
      <c r="S100" s="152"/>
      <c r="T100" s="152"/>
      <c r="U100" s="153"/>
    </row>
    <row r="101" spans="1:23" ht="115.5" customHeight="1" x14ac:dyDescent="0.2">
      <c r="B101" s="145"/>
      <c r="C101" s="49" t="s">
        <v>68</v>
      </c>
      <c r="D101" s="142" t="s">
        <v>196</v>
      </c>
      <c r="E101" s="143"/>
      <c r="F101" s="143"/>
      <c r="G101" s="143"/>
      <c r="H101" s="143"/>
      <c r="I101" s="143"/>
      <c r="J101" s="143"/>
      <c r="K101" s="143"/>
      <c r="L101" s="143"/>
      <c r="M101" s="143"/>
      <c r="N101" s="143"/>
      <c r="O101" s="143"/>
      <c r="P101" s="143"/>
      <c r="Q101" s="143"/>
      <c r="R101" s="143"/>
      <c r="S101" s="143"/>
      <c r="T101" s="143"/>
      <c r="U101" s="144"/>
    </row>
    <row r="102" spans="1:23" ht="6" customHeight="1" x14ac:dyDescent="0.2"/>
    <row r="103" spans="1:23" ht="18.75" customHeight="1" x14ac:dyDescent="0.2">
      <c r="A103" s="1" t="s">
        <v>102</v>
      </c>
    </row>
    <row r="104" spans="1:23" ht="81.75" customHeight="1" x14ac:dyDescent="0.2">
      <c r="B104" s="154" t="s">
        <v>149</v>
      </c>
      <c r="C104" s="155"/>
      <c r="D104" s="155"/>
      <c r="E104" s="155"/>
      <c r="F104" s="155"/>
      <c r="G104" s="155"/>
      <c r="H104" s="155"/>
      <c r="I104" s="155"/>
      <c r="J104" s="155"/>
      <c r="K104" s="155"/>
      <c r="L104" s="155"/>
      <c r="M104" s="155"/>
      <c r="N104" s="155"/>
      <c r="O104" s="155"/>
      <c r="P104" s="155"/>
      <c r="Q104" s="155"/>
      <c r="R104" s="155"/>
      <c r="S104" s="155"/>
      <c r="T104" s="155"/>
      <c r="U104" s="156"/>
      <c r="W104" s="1" t="s">
        <v>155</v>
      </c>
    </row>
    <row r="107" spans="1:23" ht="18" customHeight="1" x14ac:dyDescent="0.2"/>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 ref="N22:U22"/>
  </mergeCells>
  <phoneticPr fontId="1"/>
  <dataValidations count="6">
    <dataValidation type="list" allowBlank="1" showInputMessage="1" showErrorMessage="1" sqref="R81:U87 G81:J81 G86:J87" xr:uid="{00000000-0002-0000-0000-000000000000}">
      <formula1>$AA$80:$AA$89</formula1>
    </dataValidation>
    <dataValidation type="list" allowBlank="1" showInputMessage="1" showErrorMessage="1" sqref="G88:J88 R88:U88 G82:G85 H82:J83" xr:uid="{00000000-0002-0000-00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0000000-0002-0000-0000-000003000000}">
      <formula1>"学部・学科によって、修了要件は相違する,学部・学科によって、修了要件は相違しない"</formula1>
    </dataValidation>
    <dataValidation type="list" allowBlank="1" showInputMessage="1" showErrorMessage="1" sqref="U34 U45 E34:H34 E45:H45" xr:uid="{00000000-0002-0000-0000-000004000000}">
      <formula1>"全学開講,一部開講"</formula1>
    </dataValidation>
    <dataValidation type="list" allowBlank="1" showInputMessage="1" showErrorMessage="1" sqref="R71:U77 S27:U33 H27:J33 S38:U44 H38:J44 S49:U55 H49:J55 S60:U66 H60:J66 G71:J77" xr:uid="{00000000-0002-0000-0000-000005000000}">
      <formula1>"○"</formula1>
    </dataValidation>
    <dataValidation type="list" allowBlank="1" showInputMessage="1" showErrorMessage="1" sqref="N22:U22" xr:uid="{00000000-0002-0000-0000-000001000000}">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topLeftCell="A10" zoomScaleNormal="100" zoomScaleSheetLayoutView="100" workbookViewId="0">
      <selection activeCell="I8" sqref="I8"/>
    </sheetView>
  </sheetViews>
  <sheetFormatPr defaultColWidth="9" defaultRowHeight="18.75" customHeight="1" x14ac:dyDescent="0.2"/>
  <cols>
    <col min="1" max="1" width="2.77734375" style="32" customWidth="1"/>
    <col min="2" max="2" width="27.77734375" style="32" customWidth="1"/>
    <col min="3" max="18" width="6.109375" style="32" customWidth="1"/>
    <col min="19" max="19" width="6.6640625" style="32" customWidth="1"/>
    <col min="20" max="16384" width="9" style="32"/>
  </cols>
  <sheetData>
    <row r="1" spans="1:21" ht="18" customHeight="1" x14ac:dyDescent="0.2">
      <c r="S1" s="32" t="s">
        <v>91</v>
      </c>
    </row>
    <row r="2" spans="1:21" ht="18" customHeight="1" x14ac:dyDescent="0.2">
      <c r="Q2" s="158" t="s">
        <v>158</v>
      </c>
      <c r="R2" s="158"/>
      <c r="S2" s="158"/>
    </row>
    <row r="3" spans="1:21" ht="18" customHeight="1" x14ac:dyDescent="0.2">
      <c r="A3" s="159" t="s">
        <v>141</v>
      </c>
      <c r="B3" s="159"/>
      <c r="C3" s="159"/>
      <c r="D3" s="159"/>
      <c r="E3" s="159"/>
      <c r="F3" s="159"/>
      <c r="G3" s="159"/>
      <c r="H3" s="159"/>
      <c r="I3" s="159"/>
      <c r="J3" s="159"/>
      <c r="K3" s="159"/>
      <c r="L3" s="159"/>
      <c r="M3" s="159"/>
      <c r="N3" s="159"/>
      <c r="O3" s="159"/>
      <c r="P3" s="159"/>
      <c r="Q3" s="159"/>
      <c r="R3" s="159"/>
      <c r="S3" s="159"/>
    </row>
    <row r="4" spans="1:21" ht="7.5" customHeight="1" x14ac:dyDescent="0.2">
      <c r="A4" s="34"/>
      <c r="B4" s="34"/>
      <c r="C4" s="34"/>
      <c r="D4" s="34"/>
      <c r="E4" s="34"/>
      <c r="F4" s="34"/>
      <c r="G4" s="34"/>
      <c r="H4" s="34"/>
      <c r="I4" s="34"/>
      <c r="J4" s="34"/>
      <c r="K4" s="34"/>
      <c r="L4" s="34"/>
      <c r="M4" s="34"/>
      <c r="N4" s="34"/>
      <c r="O4" s="34"/>
      <c r="P4" s="34"/>
      <c r="Q4" s="34"/>
      <c r="R4" s="34"/>
      <c r="S4" s="34"/>
    </row>
    <row r="5" spans="1:21" ht="18" customHeight="1" x14ac:dyDescent="0.2">
      <c r="A5" s="32" t="s">
        <v>74</v>
      </c>
      <c r="C5" s="160" t="s">
        <v>148</v>
      </c>
      <c r="D5" s="161"/>
      <c r="E5" s="36" t="s">
        <v>124</v>
      </c>
      <c r="F5" s="34"/>
      <c r="G5" s="34"/>
      <c r="H5" s="34"/>
      <c r="I5" s="34"/>
      <c r="J5" s="34"/>
      <c r="K5" s="34"/>
      <c r="L5" s="34"/>
      <c r="M5" s="34"/>
      <c r="N5" s="34"/>
      <c r="O5" s="34"/>
      <c r="P5" s="34"/>
      <c r="Q5" s="34"/>
      <c r="R5" s="33"/>
      <c r="S5" s="33"/>
    </row>
    <row r="6" spans="1:21" ht="7.35" customHeight="1" x14ac:dyDescent="0.2">
      <c r="C6" s="54"/>
      <c r="D6" s="54"/>
      <c r="E6" s="34"/>
      <c r="F6" s="34"/>
      <c r="G6" s="34"/>
      <c r="H6" s="34"/>
      <c r="I6" s="34"/>
      <c r="J6" s="34"/>
      <c r="K6" s="34"/>
      <c r="L6" s="34"/>
      <c r="M6" s="34"/>
      <c r="N6" s="34"/>
      <c r="O6" s="34"/>
      <c r="P6" s="34"/>
      <c r="Q6" s="34"/>
      <c r="R6" s="33"/>
      <c r="S6" s="33"/>
    </row>
    <row r="7" spans="1:21" ht="18" customHeight="1" x14ac:dyDescent="0.2">
      <c r="A7" s="32" t="s">
        <v>108</v>
      </c>
      <c r="C7" s="54"/>
      <c r="D7" s="54"/>
      <c r="E7" s="34" t="s">
        <v>109</v>
      </c>
      <c r="F7" s="60">
        <v>142</v>
      </c>
      <c r="G7" s="36" t="s">
        <v>110</v>
      </c>
      <c r="H7" s="34" t="s">
        <v>111</v>
      </c>
      <c r="I7" s="60">
        <v>317</v>
      </c>
      <c r="J7" s="36" t="s">
        <v>110</v>
      </c>
      <c r="K7" s="35" t="s">
        <v>112</v>
      </c>
      <c r="L7" s="34" t="s">
        <v>113</v>
      </c>
      <c r="M7" s="60">
        <f>F7+I7</f>
        <v>459</v>
      </c>
      <c r="N7" s="34" t="s">
        <v>1</v>
      </c>
      <c r="O7" s="36" t="s">
        <v>114</v>
      </c>
      <c r="P7" s="34"/>
      <c r="Q7" s="34"/>
      <c r="R7" s="33"/>
      <c r="S7" s="33"/>
    </row>
    <row r="8" spans="1:21" ht="17.7" customHeight="1" x14ac:dyDescent="0.2">
      <c r="A8" s="34"/>
      <c r="B8" s="55" t="s">
        <v>127</v>
      </c>
      <c r="C8" s="34"/>
      <c r="D8" s="34"/>
      <c r="E8" s="34"/>
      <c r="F8" s="34"/>
      <c r="G8" s="34"/>
      <c r="H8" s="34"/>
      <c r="I8" s="34"/>
      <c r="J8" s="34"/>
      <c r="K8" s="34"/>
      <c r="L8" s="34"/>
      <c r="M8" s="34"/>
      <c r="N8" s="34"/>
      <c r="O8" s="34"/>
      <c r="P8" s="34"/>
      <c r="Q8" s="34"/>
      <c r="R8" s="34"/>
      <c r="S8" s="34"/>
    </row>
    <row r="9" spans="1:21" ht="18" customHeight="1" x14ac:dyDescent="0.2">
      <c r="A9" s="32" t="s">
        <v>119</v>
      </c>
      <c r="B9" s="34"/>
      <c r="C9" s="34"/>
      <c r="D9" s="34"/>
      <c r="E9" s="34"/>
      <c r="F9" s="34"/>
      <c r="G9" s="34"/>
      <c r="H9" s="34"/>
      <c r="I9" s="34"/>
      <c r="J9" s="34"/>
      <c r="K9" s="34"/>
      <c r="L9" s="34"/>
      <c r="M9" s="34"/>
      <c r="N9" s="34"/>
      <c r="O9" s="34"/>
      <c r="P9" s="34"/>
      <c r="Q9" s="34"/>
      <c r="R9" s="34"/>
      <c r="S9" s="34"/>
    </row>
    <row r="10" spans="1:21" ht="6" customHeight="1" x14ac:dyDescent="0.2">
      <c r="B10" s="34"/>
      <c r="C10" s="34"/>
      <c r="D10" s="34"/>
      <c r="E10" s="34"/>
      <c r="F10" s="34"/>
      <c r="G10" s="34"/>
      <c r="H10" s="34"/>
      <c r="I10" s="34"/>
      <c r="J10" s="34"/>
      <c r="K10" s="34"/>
      <c r="L10" s="34"/>
      <c r="M10" s="34"/>
      <c r="N10" s="34"/>
      <c r="O10" s="34"/>
      <c r="P10" s="34"/>
      <c r="Q10" s="34"/>
      <c r="R10" s="34"/>
      <c r="S10" s="34"/>
    </row>
    <row r="11" spans="1:21" ht="18" customHeight="1" x14ac:dyDescent="0.2">
      <c r="B11" s="162" t="s">
        <v>42</v>
      </c>
      <c r="C11" s="172" t="s">
        <v>77</v>
      </c>
      <c r="D11" s="164" t="s">
        <v>44</v>
      </c>
      <c r="E11" s="166" t="s">
        <v>37</v>
      </c>
      <c r="F11" s="157" t="s">
        <v>125</v>
      </c>
      <c r="G11" s="157"/>
      <c r="H11" s="157" t="s">
        <v>105</v>
      </c>
      <c r="I11" s="157"/>
      <c r="J11" s="157" t="s">
        <v>76</v>
      </c>
      <c r="K11" s="157"/>
      <c r="L11" s="157" t="s">
        <v>45</v>
      </c>
      <c r="M11" s="157"/>
      <c r="N11" s="157" t="s">
        <v>46</v>
      </c>
      <c r="O11" s="157"/>
      <c r="P11" s="157" t="s">
        <v>126</v>
      </c>
      <c r="Q11" s="157"/>
      <c r="R11" s="168" t="s">
        <v>34</v>
      </c>
      <c r="S11" s="170" t="s">
        <v>31</v>
      </c>
      <c r="U11" s="61"/>
    </row>
    <row r="12" spans="1:21" ht="17.100000000000001" customHeight="1" x14ac:dyDescent="0.2">
      <c r="B12" s="163"/>
      <c r="C12" s="173"/>
      <c r="D12" s="165"/>
      <c r="E12" s="167"/>
      <c r="F12" s="62" t="s">
        <v>85</v>
      </c>
      <c r="G12" s="62" t="s">
        <v>28</v>
      </c>
      <c r="H12" s="62" t="s">
        <v>85</v>
      </c>
      <c r="I12" s="62" t="s">
        <v>28</v>
      </c>
      <c r="J12" s="62" t="s">
        <v>85</v>
      </c>
      <c r="K12" s="62" t="s">
        <v>28</v>
      </c>
      <c r="L12" s="62" t="s">
        <v>85</v>
      </c>
      <c r="M12" s="62" t="s">
        <v>28</v>
      </c>
      <c r="N12" s="62" t="s">
        <v>85</v>
      </c>
      <c r="O12" s="62" t="s">
        <v>28</v>
      </c>
      <c r="P12" s="62" t="s">
        <v>85</v>
      </c>
      <c r="Q12" s="63" t="s">
        <v>28</v>
      </c>
      <c r="R12" s="169"/>
      <c r="S12" s="171"/>
      <c r="U12" s="61"/>
    </row>
    <row r="13" spans="1:21" ht="18" customHeight="1" x14ac:dyDescent="0.2">
      <c r="A13" s="33"/>
      <c r="B13" s="64" t="s">
        <v>197</v>
      </c>
      <c r="C13" s="65">
        <v>269</v>
      </c>
      <c r="D13" s="66">
        <v>70</v>
      </c>
      <c r="E13" s="67">
        <v>290</v>
      </c>
      <c r="F13" s="67">
        <v>66</v>
      </c>
      <c r="G13" s="67">
        <v>0</v>
      </c>
      <c r="H13" s="67"/>
      <c r="I13" s="67"/>
      <c r="J13" s="67"/>
      <c r="K13" s="67"/>
      <c r="L13" s="67"/>
      <c r="M13" s="67"/>
      <c r="N13" s="67"/>
      <c r="O13" s="67"/>
      <c r="P13" s="67"/>
      <c r="Q13" s="68"/>
      <c r="R13" s="66">
        <f t="shared" ref="R13:R32" si="0">F13+H13+J13+L13+N13+P13</f>
        <v>66</v>
      </c>
      <c r="S13" s="84">
        <f t="shared" ref="S13:S33" si="1">R13/E13</f>
        <v>0.22758620689655173</v>
      </c>
    </row>
    <row r="14" spans="1:21" ht="18" customHeight="1" x14ac:dyDescent="0.2">
      <c r="A14" s="33"/>
      <c r="B14" s="69" t="s">
        <v>198</v>
      </c>
      <c r="C14" s="70">
        <v>190</v>
      </c>
      <c r="D14" s="71">
        <v>60</v>
      </c>
      <c r="E14" s="72">
        <v>250</v>
      </c>
      <c r="F14" s="73">
        <v>3</v>
      </c>
      <c r="G14" s="73">
        <v>0</v>
      </c>
      <c r="H14" s="73"/>
      <c r="I14" s="73"/>
      <c r="J14" s="73"/>
      <c r="K14" s="73"/>
      <c r="L14" s="73"/>
      <c r="M14" s="73"/>
      <c r="N14" s="73"/>
      <c r="O14" s="73"/>
      <c r="P14" s="73"/>
      <c r="Q14" s="70"/>
      <c r="R14" s="71">
        <f t="shared" si="0"/>
        <v>3</v>
      </c>
      <c r="S14" s="74">
        <f t="shared" si="1"/>
        <v>1.2E-2</v>
      </c>
    </row>
    <row r="15" spans="1:21" ht="18" customHeight="1" x14ac:dyDescent="0.2">
      <c r="A15" s="33"/>
      <c r="B15" s="69"/>
      <c r="C15" s="70"/>
      <c r="D15" s="71"/>
      <c r="E15" s="72"/>
      <c r="F15" s="73"/>
      <c r="G15" s="73"/>
      <c r="H15" s="73"/>
      <c r="I15" s="73"/>
      <c r="J15" s="73"/>
      <c r="K15" s="73"/>
      <c r="L15" s="73"/>
      <c r="M15" s="73"/>
      <c r="N15" s="73"/>
      <c r="O15" s="73"/>
      <c r="P15" s="73"/>
      <c r="Q15" s="70"/>
      <c r="R15" s="71">
        <f t="shared" si="0"/>
        <v>0</v>
      </c>
      <c r="S15" s="74" t="e">
        <f t="shared" si="1"/>
        <v>#DIV/0!</v>
      </c>
    </row>
    <row r="16" spans="1:21" ht="18" customHeight="1" x14ac:dyDescent="0.2">
      <c r="A16" s="33"/>
      <c r="B16" s="69"/>
      <c r="C16" s="70"/>
      <c r="D16" s="71"/>
      <c r="E16" s="72"/>
      <c r="F16" s="73"/>
      <c r="G16" s="73"/>
      <c r="H16" s="73"/>
      <c r="I16" s="73"/>
      <c r="J16" s="73"/>
      <c r="K16" s="73"/>
      <c r="L16" s="73"/>
      <c r="M16" s="73"/>
      <c r="N16" s="73"/>
      <c r="O16" s="73"/>
      <c r="P16" s="73"/>
      <c r="Q16" s="70"/>
      <c r="R16" s="71">
        <f t="shared" si="0"/>
        <v>0</v>
      </c>
      <c r="S16" s="74" t="e">
        <f t="shared" si="1"/>
        <v>#DIV/0!</v>
      </c>
    </row>
    <row r="17" spans="1:19" ht="18" customHeight="1" x14ac:dyDescent="0.2">
      <c r="A17" s="33"/>
      <c r="B17" s="69"/>
      <c r="C17" s="70"/>
      <c r="D17" s="71"/>
      <c r="E17" s="72"/>
      <c r="F17" s="73"/>
      <c r="G17" s="73"/>
      <c r="H17" s="73"/>
      <c r="I17" s="73"/>
      <c r="J17" s="73"/>
      <c r="K17" s="73"/>
      <c r="L17" s="73"/>
      <c r="M17" s="73"/>
      <c r="N17" s="73"/>
      <c r="O17" s="73"/>
      <c r="P17" s="73"/>
      <c r="Q17" s="70"/>
      <c r="R17" s="71">
        <f t="shared" si="0"/>
        <v>0</v>
      </c>
      <c r="S17" s="74" t="e">
        <f t="shared" si="1"/>
        <v>#DIV/0!</v>
      </c>
    </row>
    <row r="18" spans="1:19" ht="18" customHeight="1" x14ac:dyDescent="0.2">
      <c r="A18" s="33"/>
      <c r="B18" s="69"/>
      <c r="C18" s="70"/>
      <c r="D18" s="71"/>
      <c r="E18" s="72"/>
      <c r="F18" s="73"/>
      <c r="G18" s="73"/>
      <c r="H18" s="73"/>
      <c r="I18" s="73"/>
      <c r="J18" s="73"/>
      <c r="K18" s="73"/>
      <c r="L18" s="73"/>
      <c r="M18" s="73"/>
      <c r="N18" s="73"/>
      <c r="O18" s="73"/>
      <c r="P18" s="73"/>
      <c r="Q18" s="70"/>
      <c r="R18" s="71">
        <f t="shared" si="0"/>
        <v>0</v>
      </c>
      <c r="S18" s="74" t="e">
        <f t="shared" si="1"/>
        <v>#DIV/0!</v>
      </c>
    </row>
    <row r="19" spans="1:19" ht="18" customHeight="1" x14ac:dyDescent="0.2">
      <c r="A19" s="33"/>
      <c r="B19" s="69"/>
      <c r="C19" s="70"/>
      <c r="D19" s="71"/>
      <c r="E19" s="72"/>
      <c r="F19" s="73"/>
      <c r="G19" s="73"/>
      <c r="H19" s="73"/>
      <c r="I19" s="73"/>
      <c r="J19" s="73"/>
      <c r="K19" s="73"/>
      <c r="L19" s="73"/>
      <c r="M19" s="73"/>
      <c r="N19" s="73"/>
      <c r="O19" s="73"/>
      <c r="P19" s="73"/>
      <c r="Q19" s="70"/>
      <c r="R19" s="71">
        <f t="shared" si="0"/>
        <v>0</v>
      </c>
      <c r="S19" s="74" t="e">
        <f t="shared" si="1"/>
        <v>#DIV/0!</v>
      </c>
    </row>
    <row r="20" spans="1:19" ht="18" customHeight="1" x14ac:dyDescent="0.2">
      <c r="A20" s="33"/>
      <c r="B20" s="69"/>
      <c r="C20" s="70"/>
      <c r="D20" s="71"/>
      <c r="E20" s="72"/>
      <c r="F20" s="73"/>
      <c r="G20" s="73"/>
      <c r="H20" s="73"/>
      <c r="I20" s="73"/>
      <c r="J20" s="73"/>
      <c r="K20" s="73"/>
      <c r="L20" s="73"/>
      <c r="M20" s="73"/>
      <c r="N20" s="73"/>
      <c r="O20" s="73"/>
      <c r="P20" s="73"/>
      <c r="Q20" s="70"/>
      <c r="R20" s="71">
        <f t="shared" si="0"/>
        <v>0</v>
      </c>
      <c r="S20" s="74" t="e">
        <f t="shared" si="1"/>
        <v>#DIV/0!</v>
      </c>
    </row>
    <row r="21" spans="1:19" ht="18" customHeight="1" x14ac:dyDescent="0.2">
      <c r="A21" s="33"/>
      <c r="B21" s="69"/>
      <c r="C21" s="70"/>
      <c r="D21" s="71"/>
      <c r="E21" s="72"/>
      <c r="F21" s="73"/>
      <c r="G21" s="73"/>
      <c r="H21" s="73"/>
      <c r="I21" s="73"/>
      <c r="J21" s="73"/>
      <c r="K21" s="73"/>
      <c r="L21" s="73"/>
      <c r="M21" s="73"/>
      <c r="N21" s="73"/>
      <c r="O21" s="73"/>
      <c r="P21" s="73"/>
      <c r="Q21" s="70"/>
      <c r="R21" s="71">
        <f t="shared" si="0"/>
        <v>0</v>
      </c>
      <c r="S21" s="74" t="e">
        <f t="shared" si="1"/>
        <v>#DIV/0!</v>
      </c>
    </row>
    <row r="22" spans="1:19" ht="18" customHeight="1" x14ac:dyDescent="0.2">
      <c r="A22" s="33"/>
      <c r="B22" s="69"/>
      <c r="C22" s="70"/>
      <c r="D22" s="71"/>
      <c r="E22" s="72"/>
      <c r="F22" s="73"/>
      <c r="G22" s="73"/>
      <c r="H22" s="73"/>
      <c r="I22" s="73"/>
      <c r="J22" s="73"/>
      <c r="K22" s="73"/>
      <c r="L22" s="73"/>
      <c r="M22" s="73"/>
      <c r="N22" s="73"/>
      <c r="O22" s="73"/>
      <c r="P22" s="73"/>
      <c r="Q22" s="70"/>
      <c r="R22" s="71">
        <f t="shared" si="0"/>
        <v>0</v>
      </c>
      <c r="S22" s="74" t="e">
        <f t="shared" si="1"/>
        <v>#DIV/0!</v>
      </c>
    </row>
    <row r="23" spans="1:19" ht="18" customHeight="1" x14ac:dyDescent="0.2">
      <c r="A23" s="33"/>
      <c r="B23" s="69"/>
      <c r="C23" s="70"/>
      <c r="D23" s="71"/>
      <c r="E23" s="72"/>
      <c r="F23" s="73"/>
      <c r="G23" s="73"/>
      <c r="H23" s="73"/>
      <c r="I23" s="73"/>
      <c r="J23" s="73"/>
      <c r="K23" s="73"/>
      <c r="L23" s="73"/>
      <c r="M23" s="73"/>
      <c r="N23" s="73"/>
      <c r="O23" s="73"/>
      <c r="P23" s="73"/>
      <c r="Q23" s="70"/>
      <c r="R23" s="71">
        <f t="shared" si="0"/>
        <v>0</v>
      </c>
      <c r="S23" s="74" t="e">
        <f t="shared" si="1"/>
        <v>#DIV/0!</v>
      </c>
    </row>
    <row r="24" spans="1:19" ht="18" customHeight="1" x14ac:dyDescent="0.2">
      <c r="A24" s="33"/>
      <c r="B24" s="69"/>
      <c r="C24" s="70"/>
      <c r="D24" s="71"/>
      <c r="E24" s="72"/>
      <c r="F24" s="73"/>
      <c r="G24" s="73"/>
      <c r="H24" s="73"/>
      <c r="I24" s="73"/>
      <c r="J24" s="73"/>
      <c r="K24" s="73"/>
      <c r="L24" s="73"/>
      <c r="M24" s="73"/>
      <c r="N24" s="73"/>
      <c r="O24" s="73"/>
      <c r="P24" s="73"/>
      <c r="Q24" s="70"/>
      <c r="R24" s="71">
        <f t="shared" si="0"/>
        <v>0</v>
      </c>
      <c r="S24" s="74" t="e">
        <f t="shared" si="1"/>
        <v>#DIV/0!</v>
      </c>
    </row>
    <row r="25" spans="1:19" ht="18" customHeight="1" x14ac:dyDescent="0.2">
      <c r="A25" s="33"/>
      <c r="B25" s="69"/>
      <c r="C25" s="70"/>
      <c r="D25" s="71"/>
      <c r="E25" s="72"/>
      <c r="F25" s="73"/>
      <c r="G25" s="73"/>
      <c r="H25" s="73"/>
      <c r="I25" s="73"/>
      <c r="J25" s="73"/>
      <c r="K25" s="73"/>
      <c r="L25" s="73"/>
      <c r="M25" s="73"/>
      <c r="N25" s="73"/>
      <c r="O25" s="73"/>
      <c r="P25" s="73"/>
      <c r="Q25" s="70"/>
      <c r="R25" s="71">
        <f t="shared" si="0"/>
        <v>0</v>
      </c>
      <c r="S25" s="74" t="e">
        <f t="shared" si="1"/>
        <v>#DIV/0!</v>
      </c>
    </row>
    <row r="26" spans="1:19" ht="18" customHeight="1" x14ac:dyDescent="0.2">
      <c r="A26" s="33"/>
      <c r="B26" s="69"/>
      <c r="C26" s="70"/>
      <c r="D26" s="71"/>
      <c r="E26" s="72"/>
      <c r="F26" s="73"/>
      <c r="G26" s="73"/>
      <c r="H26" s="73"/>
      <c r="I26" s="73"/>
      <c r="J26" s="73"/>
      <c r="K26" s="73"/>
      <c r="L26" s="73"/>
      <c r="M26" s="73"/>
      <c r="N26" s="73"/>
      <c r="O26" s="73"/>
      <c r="P26" s="73"/>
      <c r="Q26" s="70"/>
      <c r="R26" s="71">
        <f t="shared" si="0"/>
        <v>0</v>
      </c>
      <c r="S26" s="74" t="e">
        <f t="shared" si="1"/>
        <v>#DIV/0!</v>
      </c>
    </row>
    <row r="27" spans="1:19" ht="18" customHeight="1" x14ac:dyDescent="0.2">
      <c r="A27" s="33"/>
      <c r="B27" s="69"/>
      <c r="C27" s="70"/>
      <c r="D27" s="71"/>
      <c r="E27" s="72"/>
      <c r="F27" s="73"/>
      <c r="G27" s="73"/>
      <c r="H27" s="73"/>
      <c r="I27" s="73"/>
      <c r="J27" s="73"/>
      <c r="K27" s="73"/>
      <c r="L27" s="73"/>
      <c r="M27" s="73"/>
      <c r="N27" s="73"/>
      <c r="O27" s="73"/>
      <c r="P27" s="73"/>
      <c r="Q27" s="70"/>
      <c r="R27" s="71">
        <f t="shared" si="0"/>
        <v>0</v>
      </c>
      <c r="S27" s="74" t="e">
        <f t="shared" si="1"/>
        <v>#DIV/0!</v>
      </c>
    </row>
    <row r="28" spans="1:19" ht="18" customHeight="1" x14ac:dyDescent="0.2">
      <c r="A28" s="33"/>
      <c r="B28" s="69"/>
      <c r="C28" s="70"/>
      <c r="D28" s="71"/>
      <c r="E28" s="72"/>
      <c r="F28" s="73"/>
      <c r="G28" s="73"/>
      <c r="H28" s="73"/>
      <c r="I28" s="73"/>
      <c r="J28" s="73"/>
      <c r="K28" s="73"/>
      <c r="L28" s="73"/>
      <c r="M28" s="73"/>
      <c r="N28" s="73"/>
      <c r="O28" s="73"/>
      <c r="P28" s="73"/>
      <c r="Q28" s="70"/>
      <c r="R28" s="71">
        <f t="shared" si="0"/>
        <v>0</v>
      </c>
      <c r="S28" s="74" t="e">
        <f t="shared" si="1"/>
        <v>#DIV/0!</v>
      </c>
    </row>
    <row r="29" spans="1:19" ht="18" customHeight="1" x14ac:dyDescent="0.2">
      <c r="A29" s="33"/>
      <c r="B29" s="69"/>
      <c r="C29" s="70"/>
      <c r="D29" s="71"/>
      <c r="E29" s="72"/>
      <c r="F29" s="73"/>
      <c r="G29" s="73"/>
      <c r="H29" s="73"/>
      <c r="I29" s="73"/>
      <c r="J29" s="73"/>
      <c r="K29" s="73"/>
      <c r="L29" s="73"/>
      <c r="M29" s="73"/>
      <c r="N29" s="73"/>
      <c r="O29" s="73"/>
      <c r="P29" s="73"/>
      <c r="Q29" s="70"/>
      <c r="R29" s="71">
        <f t="shared" si="0"/>
        <v>0</v>
      </c>
      <c r="S29" s="74" t="e">
        <f t="shared" si="1"/>
        <v>#DIV/0!</v>
      </c>
    </row>
    <row r="30" spans="1:19" ht="18" customHeight="1" x14ac:dyDescent="0.2">
      <c r="A30" s="33"/>
      <c r="B30" s="69"/>
      <c r="C30" s="70"/>
      <c r="D30" s="75"/>
      <c r="E30" s="72"/>
      <c r="F30" s="73"/>
      <c r="G30" s="73"/>
      <c r="H30" s="73"/>
      <c r="I30" s="73"/>
      <c r="J30" s="73"/>
      <c r="K30" s="73"/>
      <c r="L30" s="73"/>
      <c r="M30" s="73"/>
      <c r="N30" s="73"/>
      <c r="O30" s="73"/>
      <c r="P30" s="73"/>
      <c r="Q30" s="70"/>
      <c r="R30" s="75">
        <f t="shared" si="0"/>
        <v>0</v>
      </c>
      <c r="S30" s="74" t="e">
        <f t="shared" si="1"/>
        <v>#DIV/0!</v>
      </c>
    </row>
    <row r="31" spans="1:19" ht="18" customHeight="1" x14ac:dyDescent="0.2">
      <c r="A31" s="33"/>
      <c r="B31" s="69"/>
      <c r="C31" s="70"/>
      <c r="D31" s="75"/>
      <c r="E31" s="72"/>
      <c r="F31" s="73"/>
      <c r="G31" s="73"/>
      <c r="H31" s="73"/>
      <c r="I31" s="73"/>
      <c r="J31" s="73"/>
      <c r="K31" s="73"/>
      <c r="L31" s="73"/>
      <c r="M31" s="73"/>
      <c r="N31" s="73"/>
      <c r="O31" s="73"/>
      <c r="P31" s="73"/>
      <c r="Q31" s="70"/>
      <c r="R31" s="75">
        <f t="shared" si="0"/>
        <v>0</v>
      </c>
      <c r="S31" s="74" t="e">
        <f t="shared" si="1"/>
        <v>#DIV/0!</v>
      </c>
    </row>
    <row r="32" spans="1:19" ht="18" customHeight="1" thickBot="1" x14ac:dyDescent="0.25">
      <c r="A32" s="33"/>
      <c r="B32" s="76"/>
      <c r="C32" s="65"/>
      <c r="D32" s="77"/>
      <c r="E32" s="67"/>
      <c r="F32" s="67"/>
      <c r="G32" s="67"/>
      <c r="H32" s="67"/>
      <c r="I32" s="67"/>
      <c r="J32" s="67"/>
      <c r="K32" s="67"/>
      <c r="L32" s="67"/>
      <c r="M32" s="67"/>
      <c r="N32" s="67"/>
      <c r="O32" s="67"/>
      <c r="P32" s="67"/>
      <c r="Q32" s="70"/>
      <c r="R32" s="77">
        <f t="shared" si="0"/>
        <v>0</v>
      </c>
      <c r="S32" s="78" t="e">
        <f t="shared" si="1"/>
        <v>#DIV/0!</v>
      </c>
    </row>
    <row r="33" spans="2:19" ht="18" customHeight="1" thickTop="1" x14ac:dyDescent="0.2">
      <c r="B33" s="79" t="s">
        <v>32</v>
      </c>
      <c r="C33" s="80">
        <f t="shared" ref="C33" si="2">SUM(C13:C32)</f>
        <v>459</v>
      </c>
      <c r="D33" s="81">
        <f t="shared" ref="D33:R33" si="3">SUM(D13:D32)</f>
        <v>130</v>
      </c>
      <c r="E33" s="82">
        <f t="shared" si="3"/>
        <v>540</v>
      </c>
      <c r="F33" s="82">
        <f t="shared" si="3"/>
        <v>69</v>
      </c>
      <c r="G33" s="82">
        <f t="shared" ref="G33:H33" si="4">SUM(G13:G32)</f>
        <v>0</v>
      </c>
      <c r="H33" s="82">
        <f t="shared" si="4"/>
        <v>0</v>
      </c>
      <c r="I33" s="82">
        <f t="shared" ref="I33:J33" si="5">SUM(I13:I32)</f>
        <v>0</v>
      </c>
      <c r="J33" s="82">
        <f t="shared" si="5"/>
        <v>0</v>
      </c>
      <c r="K33" s="82">
        <f t="shared" ref="K33:O33" si="6">SUM(K13:K32)</f>
        <v>0</v>
      </c>
      <c r="L33" s="82">
        <f t="shared" si="6"/>
        <v>0</v>
      </c>
      <c r="M33" s="82">
        <f t="shared" si="6"/>
        <v>0</v>
      </c>
      <c r="N33" s="82">
        <f t="shared" si="6"/>
        <v>0</v>
      </c>
      <c r="O33" s="82">
        <f t="shared" si="6"/>
        <v>0</v>
      </c>
      <c r="P33" s="82">
        <f t="shared" ref="P33:Q33" si="7">SUM(P13:P32)</f>
        <v>0</v>
      </c>
      <c r="Q33" s="80">
        <f t="shared" si="7"/>
        <v>0</v>
      </c>
      <c r="R33" s="82">
        <f t="shared" si="3"/>
        <v>69</v>
      </c>
      <c r="S33" s="83">
        <f t="shared" si="1"/>
        <v>0.12777777777777777</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31" zoomScaleNormal="100" zoomScaleSheetLayoutView="100" workbookViewId="0">
      <selection activeCell="B35" sqref="B35:I46"/>
    </sheetView>
  </sheetViews>
  <sheetFormatPr defaultColWidth="11.33203125" defaultRowHeight="18.75" customHeight="1" x14ac:dyDescent="0.2"/>
  <cols>
    <col min="1" max="1" width="2.77734375" style="13" customWidth="1"/>
    <col min="2" max="2" width="16.6640625" style="1" customWidth="1"/>
    <col min="3" max="3" width="8.777343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13" t="s">
        <v>58</v>
      </c>
      <c r="I1" s="11" t="s">
        <v>90</v>
      </c>
    </row>
    <row r="2" spans="1:9" ht="18.75" customHeight="1" x14ac:dyDescent="0.2">
      <c r="G2" s="11" t="s">
        <v>92</v>
      </c>
      <c r="H2" s="86" t="s">
        <v>158</v>
      </c>
      <c r="I2" s="88"/>
    </row>
    <row r="3" spans="1:9" ht="18.75" customHeight="1" x14ac:dyDescent="0.2">
      <c r="G3" s="11"/>
      <c r="H3" s="7"/>
      <c r="I3" s="7"/>
    </row>
    <row r="4" spans="1:9" ht="18.600000000000001" customHeight="1" x14ac:dyDescent="0.2">
      <c r="A4" s="92" t="s">
        <v>35</v>
      </c>
      <c r="B4" s="92"/>
      <c r="C4" s="92"/>
      <c r="D4" s="92"/>
      <c r="E4" s="92"/>
      <c r="F4" s="92"/>
      <c r="G4" s="92"/>
      <c r="H4" s="92"/>
      <c r="I4" s="92"/>
    </row>
    <row r="5" spans="1:9" ht="13.35" customHeight="1" x14ac:dyDescent="0.2">
      <c r="B5" s="3"/>
      <c r="C5" s="3"/>
      <c r="D5" s="3"/>
      <c r="E5" s="3"/>
      <c r="F5" s="3"/>
      <c r="G5" s="3"/>
      <c r="H5" s="3"/>
      <c r="I5" s="3"/>
    </row>
    <row r="6" spans="1:9" s="32" customFormat="1" ht="18" customHeight="1" x14ac:dyDescent="0.2">
      <c r="A6" s="32" t="s">
        <v>0</v>
      </c>
      <c r="B6" s="36" t="s">
        <v>80</v>
      </c>
      <c r="C6" s="223" t="s">
        <v>81</v>
      </c>
      <c r="D6" s="223"/>
      <c r="E6" s="59">
        <v>39</v>
      </c>
      <c r="F6" s="34" t="s">
        <v>1</v>
      </c>
      <c r="G6" s="34" t="s">
        <v>2</v>
      </c>
      <c r="H6" s="59">
        <v>63</v>
      </c>
      <c r="I6" s="36" t="s">
        <v>1</v>
      </c>
    </row>
    <row r="7" spans="1:9" ht="12" customHeight="1" x14ac:dyDescent="0.2">
      <c r="C7" s="2"/>
      <c r="D7" s="2"/>
      <c r="E7" s="2"/>
      <c r="F7" s="2"/>
      <c r="G7" s="2"/>
      <c r="H7" s="2"/>
      <c r="I7" s="14"/>
    </row>
    <row r="8" spans="1:9" ht="18" customHeight="1" x14ac:dyDescent="0.2">
      <c r="A8" s="1" t="s">
        <v>3</v>
      </c>
      <c r="B8" s="7" t="s">
        <v>82</v>
      </c>
      <c r="E8" s="3"/>
      <c r="F8" s="3"/>
      <c r="G8" s="3"/>
      <c r="H8" s="10">
        <v>3</v>
      </c>
      <c r="I8" s="7" t="s">
        <v>1</v>
      </c>
    </row>
    <row r="9" spans="1:9" ht="9" customHeight="1" x14ac:dyDescent="0.2">
      <c r="B9" s="3"/>
      <c r="C9" s="3"/>
      <c r="D9" s="3"/>
      <c r="E9" s="3"/>
      <c r="F9" s="3"/>
      <c r="G9" s="3"/>
      <c r="H9" s="3"/>
      <c r="I9" s="3"/>
    </row>
    <row r="10" spans="1:9" ht="18" customHeight="1" x14ac:dyDescent="0.2">
      <c r="A10" s="1" t="s">
        <v>4</v>
      </c>
      <c r="B10" s="7" t="s">
        <v>83</v>
      </c>
      <c r="C10" s="3"/>
      <c r="D10" s="3"/>
      <c r="E10" s="3"/>
      <c r="F10" s="3"/>
      <c r="G10" s="3"/>
      <c r="H10" s="3"/>
      <c r="I10" s="3"/>
    </row>
    <row r="11" spans="1:9" ht="18" customHeight="1" x14ac:dyDescent="0.2">
      <c r="B11" s="11" t="s">
        <v>40</v>
      </c>
      <c r="C11" s="219" t="s">
        <v>150</v>
      </c>
      <c r="D11" s="220"/>
      <c r="E11" s="221"/>
      <c r="F11" s="14"/>
      <c r="G11" s="11" t="s">
        <v>10</v>
      </c>
      <c r="H11" s="219" t="s">
        <v>151</v>
      </c>
      <c r="I11" s="221"/>
    </row>
    <row r="12" spans="1:9" ht="10.35" customHeight="1" x14ac:dyDescent="0.2">
      <c r="B12" s="11"/>
      <c r="C12" s="7"/>
      <c r="D12" s="14"/>
      <c r="E12" s="14"/>
      <c r="F12" s="14"/>
      <c r="G12" s="11"/>
      <c r="H12" s="7"/>
      <c r="I12" s="14"/>
    </row>
    <row r="13" spans="1:9" ht="18" customHeight="1" x14ac:dyDescent="0.2">
      <c r="A13" s="1" t="s">
        <v>7</v>
      </c>
      <c r="B13" s="7" t="s">
        <v>78</v>
      </c>
      <c r="C13" s="3"/>
      <c r="D13" s="3"/>
      <c r="E13" s="3"/>
      <c r="F13" s="3"/>
      <c r="G13" s="3"/>
      <c r="H13" s="3"/>
      <c r="I13" s="3"/>
    </row>
    <row r="14" spans="1:9" ht="18" customHeight="1" x14ac:dyDescent="0.2">
      <c r="B14" s="216" t="s">
        <v>200</v>
      </c>
      <c r="C14" s="217"/>
      <c r="D14" s="217"/>
      <c r="E14" s="217"/>
      <c r="F14" s="217"/>
      <c r="G14" s="217"/>
      <c r="H14" s="217"/>
      <c r="I14" s="218"/>
    </row>
    <row r="15" spans="1:9" ht="9" customHeight="1" x14ac:dyDescent="0.2">
      <c r="B15" s="3"/>
      <c r="C15" s="3"/>
      <c r="D15" s="3"/>
      <c r="E15" s="3"/>
      <c r="F15" s="3"/>
      <c r="G15" s="3"/>
      <c r="H15" s="3"/>
      <c r="I15" s="3"/>
    </row>
    <row r="16" spans="1:9" ht="18" customHeight="1" x14ac:dyDescent="0.2">
      <c r="B16" s="11" t="s">
        <v>40</v>
      </c>
      <c r="C16" s="219" t="s">
        <v>150</v>
      </c>
      <c r="D16" s="220"/>
      <c r="E16" s="221"/>
      <c r="F16" s="14"/>
      <c r="G16" s="11" t="s">
        <v>10</v>
      </c>
      <c r="H16" s="216" t="s">
        <v>170</v>
      </c>
      <c r="I16" s="222"/>
    </row>
    <row r="17" spans="1:9" ht="18" customHeight="1" x14ac:dyDescent="0.2">
      <c r="B17" s="3"/>
      <c r="C17" s="3"/>
      <c r="D17" s="3"/>
      <c r="E17" s="3"/>
      <c r="F17" s="3"/>
      <c r="G17" s="3"/>
      <c r="H17" s="3"/>
      <c r="I17" s="3"/>
    </row>
    <row r="18" spans="1:9" ht="18.75" customHeight="1" x14ac:dyDescent="0.2">
      <c r="A18" s="1" t="s">
        <v>5</v>
      </c>
      <c r="B18" s="1" t="s">
        <v>39</v>
      </c>
      <c r="I18" s="3"/>
    </row>
    <row r="19" spans="1:9" ht="18.75" customHeight="1" x14ac:dyDescent="0.2">
      <c r="A19" s="1"/>
      <c r="B19" s="202" t="s">
        <v>199</v>
      </c>
      <c r="C19" s="203"/>
      <c r="D19" s="203"/>
      <c r="E19" s="203"/>
      <c r="F19" s="203"/>
      <c r="G19" s="203"/>
      <c r="H19" s="203"/>
      <c r="I19" s="204"/>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8"/>
      <c r="B22" s="205" t="s">
        <v>152</v>
      </c>
      <c r="C22" s="206"/>
      <c r="D22" s="206"/>
      <c r="E22" s="206"/>
      <c r="F22" s="206"/>
      <c r="G22" s="206"/>
      <c r="H22" s="206"/>
      <c r="I22" s="207"/>
    </row>
    <row r="23" spans="1:9" ht="18.75" customHeight="1" x14ac:dyDescent="0.2">
      <c r="A23" s="8"/>
      <c r="B23" s="208"/>
      <c r="C23" s="209"/>
      <c r="D23" s="209"/>
      <c r="E23" s="209"/>
      <c r="F23" s="209"/>
      <c r="G23" s="209"/>
      <c r="H23" s="209"/>
      <c r="I23" s="210"/>
    </row>
    <row r="24" spans="1:9" ht="18.75" customHeight="1" x14ac:dyDescent="0.2">
      <c r="A24" s="8"/>
      <c r="B24" s="208"/>
      <c r="C24" s="209"/>
      <c r="D24" s="209"/>
      <c r="E24" s="209"/>
      <c r="F24" s="209"/>
      <c r="G24" s="209"/>
      <c r="H24" s="209"/>
      <c r="I24" s="210"/>
    </row>
    <row r="25" spans="1:9" ht="18.75" customHeight="1" x14ac:dyDescent="0.2">
      <c r="A25" s="8"/>
      <c r="B25" s="208"/>
      <c r="C25" s="209"/>
      <c r="D25" s="209"/>
      <c r="E25" s="209"/>
      <c r="F25" s="209"/>
      <c r="G25" s="209"/>
      <c r="H25" s="209"/>
      <c r="I25" s="210"/>
    </row>
    <row r="26" spans="1:9" ht="18.75" customHeight="1" x14ac:dyDescent="0.2">
      <c r="A26" s="8"/>
      <c r="B26" s="208"/>
      <c r="C26" s="209"/>
      <c r="D26" s="209"/>
      <c r="E26" s="209"/>
      <c r="F26" s="209"/>
      <c r="G26" s="209"/>
      <c r="H26" s="209"/>
      <c r="I26" s="210"/>
    </row>
    <row r="27" spans="1:9" ht="18.75" customHeight="1" x14ac:dyDescent="0.2">
      <c r="A27" s="8"/>
      <c r="B27" s="208"/>
      <c r="C27" s="209"/>
      <c r="D27" s="209"/>
      <c r="E27" s="209"/>
      <c r="F27" s="209"/>
      <c r="G27" s="209"/>
      <c r="H27" s="209"/>
      <c r="I27" s="210"/>
    </row>
    <row r="28" spans="1:9" ht="18.75" customHeight="1" x14ac:dyDescent="0.2">
      <c r="A28" s="8"/>
      <c r="B28" s="208"/>
      <c r="C28" s="209"/>
      <c r="D28" s="209"/>
      <c r="E28" s="209"/>
      <c r="F28" s="209"/>
      <c r="G28" s="209"/>
      <c r="H28" s="209"/>
      <c r="I28" s="210"/>
    </row>
    <row r="29" spans="1:9" ht="18.75" customHeight="1" x14ac:dyDescent="0.2">
      <c r="A29" s="8"/>
      <c r="B29" s="208"/>
      <c r="C29" s="209"/>
      <c r="D29" s="209"/>
      <c r="E29" s="209"/>
      <c r="F29" s="209"/>
      <c r="G29" s="209"/>
      <c r="H29" s="209"/>
      <c r="I29" s="210"/>
    </row>
    <row r="30" spans="1:9" ht="18.75" customHeight="1" x14ac:dyDescent="0.2">
      <c r="A30" s="8"/>
      <c r="B30" s="211"/>
      <c r="C30" s="212"/>
      <c r="D30" s="212"/>
      <c r="E30" s="212"/>
      <c r="F30" s="212"/>
      <c r="G30" s="212"/>
      <c r="H30" s="212"/>
      <c r="I30" s="210"/>
    </row>
    <row r="31" spans="1:9" ht="18.75" customHeight="1" x14ac:dyDescent="0.2">
      <c r="A31" s="8"/>
      <c r="B31" s="211"/>
      <c r="C31" s="212"/>
      <c r="D31" s="212"/>
      <c r="E31" s="212"/>
      <c r="F31" s="212"/>
      <c r="G31" s="212"/>
      <c r="H31" s="212"/>
      <c r="I31" s="210"/>
    </row>
    <row r="32" spans="1:9" ht="18.75" customHeight="1" x14ac:dyDescent="0.2">
      <c r="A32" s="8"/>
      <c r="B32" s="213"/>
      <c r="C32" s="214"/>
      <c r="D32" s="214"/>
      <c r="E32" s="214"/>
      <c r="F32" s="214"/>
      <c r="G32" s="214"/>
      <c r="H32" s="214"/>
      <c r="I32" s="215"/>
    </row>
    <row r="33" spans="1:9" ht="7.5" customHeight="1" x14ac:dyDescent="0.2">
      <c r="A33" s="8"/>
      <c r="B33" s="8"/>
      <c r="C33" s="8"/>
      <c r="D33" s="8"/>
      <c r="E33" s="8"/>
      <c r="F33" s="8"/>
      <c r="G33" s="8"/>
      <c r="H33" s="8"/>
      <c r="I33" s="8"/>
    </row>
    <row r="34" spans="1:9" ht="18.75" customHeight="1" x14ac:dyDescent="0.2">
      <c r="A34" s="9" t="s">
        <v>6</v>
      </c>
      <c r="B34" s="9" t="s">
        <v>9</v>
      </c>
      <c r="C34" s="7"/>
      <c r="D34" s="9"/>
      <c r="E34" s="9"/>
      <c r="F34" s="9"/>
      <c r="G34" s="9"/>
      <c r="H34" s="9"/>
      <c r="I34" s="9"/>
    </row>
    <row r="35" spans="1:9" ht="18.75" customHeight="1" x14ac:dyDescent="0.2">
      <c r="A35" s="8"/>
      <c r="B35" s="205" t="s">
        <v>203</v>
      </c>
      <c r="C35" s="206"/>
      <c r="D35" s="206"/>
      <c r="E35" s="206"/>
      <c r="F35" s="206"/>
      <c r="G35" s="206"/>
      <c r="H35" s="206"/>
      <c r="I35" s="207"/>
    </row>
    <row r="36" spans="1:9" ht="18.75" customHeight="1" x14ac:dyDescent="0.2">
      <c r="A36" s="8"/>
      <c r="B36" s="211"/>
      <c r="C36" s="212"/>
      <c r="D36" s="212"/>
      <c r="E36" s="212"/>
      <c r="F36" s="212"/>
      <c r="G36" s="212"/>
      <c r="H36" s="212"/>
      <c r="I36" s="210"/>
    </row>
    <row r="37" spans="1:9" ht="18.75" customHeight="1" x14ac:dyDescent="0.2">
      <c r="A37" s="8"/>
      <c r="B37" s="211"/>
      <c r="C37" s="212"/>
      <c r="D37" s="212"/>
      <c r="E37" s="212"/>
      <c r="F37" s="212"/>
      <c r="G37" s="212"/>
      <c r="H37" s="212"/>
      <c r="I37" s="210"/>
    </row>
    <row r="38" spans="1:9" ht="18.75" customHeight="1" x14ac:dyDescent="0.2">
      <c r="A38" s="8"/>
      <c r="B38" s="211"/>
      <c r="C38" s="212"/>
      <c r="D38" s="212"/>
      <c r="E38" s="212"/>
      <c r="F38" s="212"/>
      <c r="G38" s="212"/>
      <c r="H38" s="212"/>
      <c r="I38" s="210"/>
    </row>
    <row r="39" spans="1:9" ht="18.75" customHeight="1" x14ac:dyDescent="0.2">
      <c r="A39" s="8"/>
      <c r="B39" s="211"/>
      <c r="C39" s="212"/>
      <c r="D39" s="212"/>
      <c r="E39" s="212"/>
      <c r="F39" s="212"/>
      <c r="G39" s="212"/>
      <c r="H39" s="212"/>
      <c r="I39" s="210"/>
    </row>
    <row r="40" spans="1:9" ht="18.75" customHeight="1" x14ac:dyDescent="0.2">
      <c r="A40" s="8"/>
      <c r="B40" s="211"/>
      <c r="C40" s="212"/>
      <c r="D40" s="212"/>
      <c r="E40" s="212"/>
      <c r="F40" s="212"/>
      <c r="G40" s="212"/>
      <c r="H40" s="212"/>
      <c r="I40" s="210"/>
    </row>
    <row r="41" spans="1:9" ht="18.75" customHeight="1" x14ac:dyDescent="0.2">
      <c r="A41" s="8"/>
      <c r="B41" s="211"/>
      <c r="C41" s="212"/>
      <c r="D41" s="212"/>
      <c r="E41" s="212"/>
      <c r="F41" s="212"/>
      <c r="G41" s="212"/>
      <c r="H41" s="212"/>
      <c r="I41" s="210"/>
    </row>
    <row r="42" spans="1:9" ht="18.75" customHeight="1" x14ac:dyDescent="0.2">
      <c r="A42" s="8"/>
      <c r="B42" s="211"/>
      <c r="C42" s="212"/>
      <c r="D42" s="212"/>
      <c r="E42" s="212"/>
      <c r="F42" s="212"/>
      <c r="G42" s="212"/>
      <c r="H42" s="212"/>
      <c r="I42" s="210"/>
    </row>
    <row r="43" spans="1:9" ht="18.75" customHeight="1" x14ac:dyDescent="0.2">
      <c r="A43" s="8"/>
      <c r="B43" s="211"/>
      <c r="C43" s="212"/>
      <c r="D43" s="212"/>
      <c r="E43" s="212"/>
      <c r="F43" s="212"/>
      <c r="G43" s="212"/>
      <c r="H43" s="212"/>
      <c r="I43" s="210"/>
    </row>
    <row r="44" spans="1:9" ht="18.75" customHeight="1" x14ac:dyDescent="0.2">
      <c r="A44" s="8"/>
      <c r="B44" s="211"/>
      <c r="C44" s="212"/>
      <c r="D44" s="212"/>
      <c r="E44" s="212"/>
      <c r="F44" s="212"/>
      <c r="G44" s="212"/>
      <c r="H44" s="212"/>
      <c r="I44" s="210"/>
    </row>
    <row r="45" spans="1:9" ht="18.75" customHeight="1" x14ac:dyDescent="0.2">
      <c r="A45" s="8"/>
      <c r="B45" s="211"/>
      <c r="C45" s="212"/>
      <c r="D45" s="212"/>
      <c r="E45" s="212"/>
      <c r="F45" s="212"/>
      <c r="G45" s="212"/>
      <c r="H45" s="212"/>
      <c r="I45" s="210"/>
    </row>
    <row r="46" spans="1:9" ht="18.75" customHeight="1" x14ac:dyDescent="0.2">
      <c r="A46" s="8"/>
      <c r="B46" s="213"/>
      <c r="C46" s="214"/>
      <c r="D46" s="214"/>
      <c r="E46" s="214"/>
      <c r="F46" s="214"/>
      <c r="G46" s="214"/>
      <c r="H46" s="214"/>
      <c r="I46" s="215"/>
    </row>
    <row r="47" spans="1:9" ht="7.5" customHeight="1" x14ac:dyDescent="0.2">
      <c r="A47" s="4"/>
      <c r="B47" s="4"/>
      <c r="C47" s="4"/>
      <c r="D47" s="4"/>
      <c r="E47" s="4"/>
      <c r="F47" s="4"/>
      <c r="G47" s="4"/>
      <c r="H47" s="4"/>
      <c r="I47" s="4"/>
    </row>
    <row r="48" spans="1:9" ht="18.75" customHeight="1" x14ac:dyDescent="0.2">
      <c r="A48" s="1" t="s">
        <v>30</v>
      </c>
      <c r="B48" s="1" t="s">
        <v>104</v>
      </c>
    </row>
    <row r="49" spans="1:15" s="3" customFormat="1" ht="18.75" customHeight="1" x14ac:dyDescent="0.2">
      <c r="B49" s="56" t="s">
        <v>128</v>
      </c>
      <c r="C49" s="191">
        <f>'様式２ 履修者等数の実績'!S33</f>
        <v>0.12777777777777777</v>
      </c>
      <c r="D49" s="191"/>
      <c r="E49" s="56" t="s">
        <v>59</v>
      </c>
      <c r="F49" s="191">
        <v>0.2</v>
      </c>
      <c r="G49" s="191"/>
      <c r="H49" s="56" t="s">
        <v>79</v>
      </c>
      <c r="I49" s="15">
        <v>0.25</v>
      </c>
      <c r="J49" s="1"/>
      <c r="M49" s="1"/>
      <c r="N49" s="16"/>
    </row>
    <row r="50" spans="1:15" s="3" customFormat="1" ht="18.75" customHeight="1" x14ac:dyDescent="0.2">
      <c r="B50" s="57" t="s">
        <v>115</v>
      </c>
      <c r="C50" s="174">
        <v>0.3</v>
      </c>
      <c r="D50" s="174"/>
      <c r="E50" s="57" t="s">
        <v>129</v>
      </c>
      <c r="F50" s="174">
        <v>0.4</v>
      </c>
      <c r="G50" s="174"/>
      <c r="H50" s="57" t="s">
        <v>60</v>
      </c>
      <c r="I50" s="17">
        <f>'様式２ 履修者等数の実績'!E33</f>
        <v>540</v>
      </c>
      <c r="J50" s="1"/>
      <c r="M50" s="1"/>
      <c r="N50" s="16"/>
    </row>
    <row r="51" spans="1:15" ht="18.75" customHeight="1" x14ac:dyDescent="0.2">
      <c r="A51" s="1"/>
      <c r="B51" s="225" t="s">
        <v>61</v>
      </c>
      <c r="C51" s="226"/>
      <c r="D51" s="226"/>
      <c r="E51" s="226"/>
      <c r="F51" s="226"/>
      <c r="G51" s="226"/>
      <c r="H51" s="226"/>
      <c r="I51" s="227"/>
      <c r="N51" s="16"/>
      <c r="O51" s="3"/>
    </row>
    <row r="52" spans="1:15" ht="18.75" customHeight="1" x14ac:dyDescent="0.2">
      <c r="A52" s="1"/>
      <c r="B52" s="192" t="s">
        <v>165</v>
      </c>
      <c r="C52" s="193"/>
      <c r="D52" s="193"/>
      <c r="E52" s="193"/>
      <c r="F52" s="193"/>
      <c r="G52" s="193"/>
      <c r="H52" s="193"/>
      <c r="I52" s="194"/>
      <c r="N52" s="16"/>
      <c r="O52" s="3"/>
    </row>
    <row r="53" spans="1:15" ht="18.75" customHeight="1" x14ac:dyDescent="0.2">
      <c r="A53" s="1"/>
      <c r="B53" s="195"/>
      <c r="C53" s="196"/>
      <c r="D53" s="196"/>
      <c r="E53" s="196"/>
      <c r="F53" s="196"/>
      <c r="G53" s="196"/>
      <c r="H53" s="196"/>
      <c r="I53" s="197"/>
      <c r="N53" s="16"/>
      <c r="O53" s="3"/>
    </row>
    <row r="54" spans="1:15" ht="18.75" customHeight="1" x14ac:dyDescent="0.2">
      <c r="A54" s="1"/>
      <c r="B54" s="195"/>
      <c r="C54" s="196"/>
      <c r="D54" s="196"/>
      <c r="E54" s="196"/>
      <c r="F54" s="196"/>
      <c r="G54" s="196"/>
      <c r="H54" s="196"/>
      <c r="I54" s="197"/>
    </row>
    <row r="55" spans="1:15" ht="18.75" customHeight="1" x14ac:dyDescent="0.2">
      <c r="A55" s="1"/>
      <c r="B55" s="195"/>
      <c r="C55" s="196"/>
      <c r="D55" s="196"/>
      <c r="E55" s="196"/>
      <c r="F55" s="196"/>
      <c r="G55" s="196"/>
      <c r="H55" s="196"/>
      <c r="I55" s="197"/>
    </row>
    <row r="56" spans="1:15" ht="18.75" customHeight="1" x14ac:dyDescent="0.2">
      <c r="A56" s="1"/>
      <c r="B56" s="195"/>
      <c r="C56" s="196"/>
      <c r="D56" s="196"/>
      <c r="E56" s="196"/>
      <c r="F56" s="196"/>
      <c r="G56" s="196"/>
      <c r="H56" s="196"/>
      <c r="I56" s="197"/>
    </row>
    <row r="57" spans="1:15" ht="18.75" customHeight="1" x14ac:dyDescent="0.2">
      <c r="A57" s="1"/>
      <c r="B57" s="195"/>
      <c r="C57" s="196"/>
      <c r="D57" s="196"/>
      <c r="E57" s="196"/>
      <c r="F57" s="196"/>
      <c r="G57" s="196"/>
      <c r="H57" s="196"/>
      <c r="I57" s="197"/>
    </row>
    <row r="58" spans="1:15" ht="18.75" customHeight="1" x14ac:dyDescent="0.2">
      <c r="A58" s="1"/>
      <c r="B58" s="195"/>
      <c r="C58" s="196"/>
      <c r="D58" s="196"/>
      <c r="E58" s="196"/>
      <c r="F58" s="196"/>
      <c r="G58" s="196"/>
      <c r="H58" s="196"/>
      <c r="I58" s="197"/>
    </row>
    <row r="59" spans="1:15" ht="18.75" customHeight="1" x14ac:dyDescent="0.2">
      <c r="A59" s="1"/>
      <c r="B59" s="195"/>
      <c r="C59" s="196"/>
      <c r="D59" s="196"/>
      <c r="E59" s="196"/>
      <c r="F59" s="196"/>
      <c r="G59" s="196"/>
      <c r="H59" s="196"/>
      <c r="I59" s="197"/>
    </row>
    <row r="60" spans="1:15" ht="18.75" customHeight="1" x14ac:dyDescent="0.2">
      <c r="A60" s="1"/>
      <c r="B60" s="195"/>
      <c r="C60" s="196"/>
      <c r="D60" s="196"/>
      <c r="E60" s="196"/>
      <c r="F60" s="196"/>
      <c r="G60" s="196"/>
      <c r="H60" s="196"/>
      <c r="I60" s="197"/>
    </row>
    <row r="61" spans="1:15" ht="18.75" customHeight="1" x14ac:dyDescent="0.2">
      <c r="A61" s="1"/>
      <c r="B61" s="195"/>
      <c r="C61" s="196"/>
      <c r="D61" s="196"/>
      <c r="E61" s="196"/>
      <c r="F61" s="196"/>
      <c r="G61" s="196"/>
      <c r="H61" s="196"/>
      <c r="I61" s="197"/>
    </row>
    <row r="62" spans="1:15" ht="18.75" customHeight="1" x14ac:dyDescent="0.2">
      <c r="A62" s="1"/>
      <c r="B62" s="195"/>
      <c r="C62" s="196"/>
      <c r="D62" s="196"/>
      <c r="E62" s="196"/>
      <c r="F62" s="196"/>
      <c r="G62" s="196"/>
      <c r="H62" s="196"/>
      <c r="I62" s="197"/>
    </row>
    <row r="63" spans="1:15" ht="31.5" customHeight="1" x14ac:dyDescent="0.2">
      <c r="A63" s="1"/>
      <c r="B63" s="198"/>
      <c r="C63" s="199"/>
      <c r="D63" s="199"/>
      <c r="E63" s="199"/>
      <c r="F63" s="199"/>
      <c r="G63" s="199"/>
      <c r="H63" s="199"/>
      <c r="I63" s="200"/>
    </row>
    <row r="64" spans="1:15" ht="7.5" customHeight="1" x14ac:dyDescent="0.2">
      <c r="A64" s="8"/>
      <c r="B64" s="8"/>
      <c r="C64" s="8"/>
      <c r="D64" s="8"/>
      <c r="E64" s="8"/>
      <c r="F64" s="8"/>
      <c r="G64" s="8"/>
      <c r="H64" s="8"/>
      <c r="I64" s="8"/>
    </row>
    <row r="65" spans="1:9" ht="18.75" customHeight="1" x14ac:dyDescent="0.2">
      <c r="A65" s="9" t="s">
        <v>33</v>
      </c>
      <c r="B65" s="1" t="s">
        <v>36</v>
      </c>
      <c r="I65" s="9"/>
    </row>
    <row r="66" spans="1:9" ht="18.75" customHeight="1" x14ac:dyDescent="0.2">
      <c r="A66" s="4"/>
      <c r="B66" s="175" t="s">
        <v>156</v>
      </c>
      <c r="C66" s="176"/>
      <c r="D66" s="176"/>
      <c r="E66" s="176"/>
      <c r="F66" s="176"/>
      <c r="G66" s="176"/>
      <c r="H66" s="176"/>
      <c r="I66" s="177"/>
    </row>
    <row r="67" spans="1:9" ht="18.75" customHeight="1" x14ac:dyDescent="0.2">
      <c r="A67" s="4"/>
      <c r="B67" s="178"/>
      <c r="C67" s="179"/>
      <c r="D67" s="179"/>
      <c r="E67" s="179"/>
      <c r="F67" s="179"/>
      <c r="G67" s="179"/>
      <c r="H67" s="179"/>
      <c r="I67" s="180"/>
    </row>
    <row r="68" spans="1:9" ht="18.75" customHeight="1" x14ac:dyDescent="0.2">
      <c r="A68" s="4"/>
      <c r="B68" s="178"/>
      <c r="C68" s="179"/>
      <c r="D68" s="179"/>
      <c r="E68" s="179"/>
      <c r="F68" s="179"/>
      <c r="G68" s="179"/>
      <c r="H68" s="179"/>
      <c r="I68" s="180"/>
    </row>
    <row r="69" spans="1:9" ht="18.75" customHeight="1" x14ac:dyDescent="0.2">
      <c r="A69" s="4"/>
      <c r="B69" s="178"/>
      <c r="C69" s="179"/>
      <c r="D69" s="179"/>
      <c r="E69" s="179"/>
      <c r="F69" s="179"/>
      <c r="G69" s="179"/>
      <c r="H69" s="179"/>
      <c r="I69" s="180"/>
    </row>
    <row r="70" spans="1:9" ht="18.75" customHeight="1" x14ac:dyDescent="0.2">
      <c r="A70" s="4"/>
      <c r="B70" s="178"/>
      <c r="C70" s="179"/>
      <c r="D70" s="179"/>
      <c r="E70" s="179"/>
      <c r="F70" s="179"/>
      <c r="G70" s="179"/>
      <c r="H70" s="179"/>
      <c r="I70" s="180"/>
    </row>
    <row r="71" spans="1:9" ht="18.75" customHeight="1" x14ac:dyDescent="0.2">
      <c r="A71" s="4"/>
      <c r="B71" s="178"/>
      <c r="C71" s="179"/>
      <c r="D71" s="179"/>
      <c r="E71" s="179"/>
      <c r="F71" s="179"/>
      <c r="G71" s="179"/>
      <c r="H71" s="179"/>
      <c r="I71" s="180"/>
    </row>
    <row r="72" spans="1:9" ht="18.75" customHeight="1" x14ac:dyDescent="0.2">
      <c r="A72" s="4"/>
      <c r="B72" s="178"/>
      <c r="C72" s="179"/>
      <c r="D72" s="179"/>
      <c r="E72" s="179"/>
      <c r="F72" s="179"/>
      <c r="G72" s="179"/>
      <c r="H72" s="179"/>
      <c r="I72" s="180"/>
    </row>
    <row r="73" spans="1:9" ht="18.75" customHeight="1" x14ac:dyDescent="0.2">
      <c r="A73" s="4"/>
      <c r="B73" s="178"/>
      <c r="C73" s="179"/>
      <c r="D73" s="179"/>
      <c r="E73" s="179"/>
      <c r="F73" s="179"/>
      <c r="G73" s="179"/>
      <c r="H73" s="179"/>
      <c r="I73" s="180"/>
    </row>
    <row r="74" spans="1:9" ht="18.75" customHeight="1" x14ac:dyDescent="0.2">
      <c r="A74" s="4"/>
      <c r="B74" s="178"/>
      <c r="C74" s="179"/>
      <c r="D74" s="179"/>
      <c r="E74" s="179"/>
      <c r="F74" s="179"/>
      <c r="G74" s="179"/>
      <c r="H74" s="179"/>
      <c r="I74" s="180"/>
    </row>
    <row r="75" spans="1:9" ht="18.75" customHeight="1" x14ac:dyDescent="0.2">
      <c r="A75" s="4"/>
      <c r="B75" s="178"/>
      <c r="C75" s="179"/>
      <c r="D75" s="179"/>
      <c r="E75" s="179"/>
      <c r="F75" s="179"/>
      <c r="G75" s="179"/>
      <c r="H75" s="179"/>
      <c r="I75" s="180"/>
    </row>
    <row r="76" spans="1:9" ht="18.75" customHeight="1" x14ac:dyDescent="0.2">
      <c r="A76" s="4"/>
      <c r="B76" s="178"/>
      <c r="C76" s="179"/>
      <c r="D76" s="179"/>
      <c r="E76" s="179"/>
      <c r="F76" s="179"/>
      <c r="G76" s="179"/>
      <c r="H76" s="179"/>
      <c r="I76" s="180"/>
    </row>
    <row r="77" spans="1:9" ht="18.75" customHeight="1" x14ac:dyDescent="0.2">
      <c r="A77" s="4"/>
      <c r="B77" s="181"/>
      <c r="C77" s="182"/>
      <c r="D77" s="182"/>
      <c r="E77" s="182"/>
      <c r="F77" s="182"/>
      <c r="G77" s="182"/>
      <c r="H77" s="182"/>
      <c r="I77" s="183"/>
    </row>
    <row r="78" spans="1:9" ht="7.5" customHeight="1" x14ac:dyDescent="0.2">
      <c r="A78" s="4"/>
      <c r="B78" s="4"/>
      <c r="C78" s="4"/>
      <c r="D78" s="4"/>
      <c r="E78" s="4"/>
      <c r="F78" s="4"/>
      <c r="G78" s="4"/>
      <c r="H78" s="4"/>
      <c r="I78" s="4"/>
    </row>
    <row r="79" spans="1:9" ht="18.75" customHeight="1" x14ac:dyDescent="0.2">
      <c r="A79" s="1" t="s">
        <v>11</v>
      </c>
      <c r="B79" s="1" t="s">
        <v>38</v>
      </c>
    </row>
    <row r="80" spans="1:9" ht="18.75" customHeight="1" x14ac:dyDescent="0.2">
      <c r="A80" s="1"/>
      <c r="B80" s="175" t="s">
        <v>168</v>
      </c>
      <c r="C80" s="176"/>
      <c r="D80" s="176"/>
      <c r="E80" s="176"/>
      <c r="F80" s="176"/>
      <c r="G80" s="176"/>
      <c r="H80" s="176"/>
      <c r="I80" s="184"/>
    </row>
    <row r="81" spans="1:9" ht="18.75" customHeight="1" x14ac:dyDescent="0.2">
      <c r="A81" s="1"/>
      <c r="B81" s="185"/>
      <c r="C81" s="186"/>
      <c r="D81" s="186"/>
      <c r="E81" s="186"/>
      <c r="F81" s="186"/>
      <c r="G81" s="186"/>
      <c r="H81" s="186"/>
      <c r="I81" s="187"/>
    </row>
    <row r="82" spans="1:9" ht="18.75" customHeight="1" x14ac:dyDescent="0.2">
      <c r="A82" s="1"/>
      <c r="B82" s="185"/>
      <c r="C82" s="186"/>
      <c r="D82" s="186"/>
      <c r="E82" s="186"/>
      <c r="F82" s="186"/>
      <c r="G82" s="186"/>
      <c r="H82" s="186"/>
      <c r="I82" s="187"/>
    </row>
    <row r="83" spans="1:9" ht="18.75" customHeight="1" x14ac:dyDescent="0.2">
      <c r="A83" s="1"/>
      <c r="B83" s="185"/>
      <c r="C83" s="186"/>
      <c r="D83" s="186"/>
      <c r="E83" s="186"/>
      <c r="F83" s="186"/>
      <c r="G83" s="186"/>
      <c r="H83" s="186"/>
      <c r="I83" s="187"/>
    </row>
    <row r="84" spans="1:9" ht="18.75" customHeight="1" x14ac:dyDescent="0.2">
      <c r="A84" s="1"/>
      <c r="B84" s="185"/>
      <c r="C84" s="186"/>
      <c r="D84" s="186"/>
      <c r="E84" s="186"/>
      <c r="F84" s="186"/>
      <c r="G84" s="186"/>
      <c r="H84" s="186"/>
      <c r="I84" s="187"/>
    </row>
    <row r="85" spans="1:9" ht="18.75" customHeight="1" x14ac:dyDescent="0.2">
      <c r="A85" s="1"/>
      <c r="B85" s="185"/>
      <c r="C85" s="186"/>
      <c r="D85" s="186"/>
      <c r="E85" s="186"/>
      <c r="F85" s="186"/>
      <c r="G85" s="186"/>
      <c r="H85" s="186"/>
      <c r="I85" s="187"/>
    </row>
    <row r="86" spans="1:9" ht="18.75" customHeight="1" x14ac:dyDescent="0.2">
      <c r="A86" s="1"/>
      <c r="B86" s="185"/>
      <c r="C86" s="186"/>
      <c r="D86" s="186"/>
      <c r="E86" s="186"/>
      <c r="F86" s="186"/>
      <c r="G86" s="186"/>
      <c r="H86" s="186"/>
      <c r="I86" s="187"/>
    </row>
    <row r="87" spans="1:9" ht="18.75" customHeight="1" x14ac:dyDescent="0.2">
      <c r="A87" s="1"/>
      <c r="B87" s="185"/>
      <c r="C87" s="186"/>
      <c r="D87" s="186"/>
      <c r="E87" s="186"/>
      <c r="F87" s="186"/>
      <c r="G87" s="186"/>
      <c r="H87" s="186"/>
      <c r="I87" s="187"/>
    </row>
    <row r="88" spans="1:9" ht="18.75" customHeight="1" x14ac:dyDescent="0.2">
      <c r="A88" s="1"/>
      <c r="B88" s="185"/>
      <c r="C88" s="186"/>
      <c r="D88" s="186"/>
      <c r="E88" s="186"/>
      <c r="F88" s="186"/>
      <c r="G88" s="186"/>
      <c r="H88" s="186"/>
      <c r="I88" s="187"/>
    </row>
    <row r="89" spans="1:9" ht="18.75" customHeight="1" x14ac:dyDescent="0.2">
      <c r="A89" s="1"/>
      <c r="B89" s="185"/>
      <c r="C89" s="186"/>
      <c r="D89" s="186"/>
      <c r="E89" s="186"/>
      <c r="F89" s="186"/>
      <c r="G89" s="186"/>
      <c r="H89" s="186"/>
      <c r="I89" s="187"/>
    </row>
    <row r="90" spans="1:9" ht="18.75" customHeight="1" x14ac:dyDescent="0.2">
      <c r="A90" s="4"/>
      <c r="B90" s="185"/>
      <c r="C90" s="186"/>
      <c r="D90" s="186"/>
      <c r="E90" s="186"/>
      <c r="F90" s="186"/>
      <c r="G90" s="186"/>
      <c r="H90" s="186"/>
      <c r="I90" s="187"/>
    </row>
    <row r="91" spans="1:9" ht="18.75" customHeight="1" x14ac:dyDescent="0.2">
      <c r="A91" s="4"/>
      <c r="B91" s="188"/>
      <c r="C91" s="189"/>
      <c r="D91" s="189"/>
      <c r="E91" s="189"/>
      <c r="F91" s="189"/>
      <c r="G91" s="189"/>
      <c r="H91" s="189"/>
      <c r="I91" s="190"/>
    </row>
    <row r="92" spans="1:9" ht="7.5" customHeight="1" x14ac:dyDescent="0.2">
      <c r="A92" s="4"/>
      <c r="B92" s="4"/>
      <c r="C92" s="4"/>
      <c r="D92" s="4"/>
      <c r="E92" s="4"/>
      <c r="F92" s="4"/>
      <c r="G92" s="4"/>
      <c r="H92" s="4"/>
      <c r="I92" s="4"/>
    </row>
    <row r="93" spans="1:9" ht="18.75" customHeight="1" x14ac:dyDescent="0.2">
      <c r="A93" s="1" t="s">
        <v>41</v>
      </c>
      <c r="B93" s="1" t="s">
        <v>12</v>
      </c>
    </row>
    <row r="94" spans="1:9" ht="18.75" customHeight="1" x14ac:dyDescent="0.2">
      <c r="A94" s="1"/>
      <c r="B94" s="205" t="s">
        <v>153</v>
      </c>
      <c r="C94" s="206"/>
      <c r="D94" s="206"/>
      <c r="E94" s="206"/>
      <c r="F94" s="206"/>
      <c r="G94" s="206"/>
      <c r="H94" s="206"/>
      <c r="I94" s="207"/>
    </row>
    <row r="95" spans="1:9" ht="18.75" customHeight="1" x14ac:dyDescent="0.2">
      <c r="A95" s="1"/>
      <c r="B95" s="211"/>
      <c r="C95" s="212"/>
      <c r="D95" s="212"/>
      <c r="E95" s="212"/>
      <c r="F95" s="212"/>
      <c r="G95" s="212"/>
      <c r="H95" s="212"/>
      <c r="I95" s="210"/>
    </row>
    <row r="96" spans="1:9" ht="18.75" customHeight="1" x14ac:dyDescent="0.2">
      <c r="A96" s="1"/>
      <c r="B96" s="211"/>
      <c r="C96" s="212"/>
      <c r="D96" s="212"/>
      <c r="E96" s="212"/>
      <c r="F96" s="212"/>
      <c r="G96" s="212"/>
      <c r="H96" s="212"/>
      <c r="I96" s="210"/>
    </row>
    <row r="97" spans="1:9" ht="18.75" customHeight="1" x14ac:dyDescent="0.2">
      <c r="A97" s="1"/>
      <c r="B97" s="211"/>
      <c r="C97" s="212"/>
      <c r="D97" s="212"/>
      <c r="E97" s="212"/>
      <c r="F97" s="212"/>
      <c r="G97" s="212"/>
      <c r="H97" s="212"/>
      <c r="I97" s="210"/>
    </row>
    <row r="98" spans="1:9" ht="18.75" customHeight="1" x14ac:dyDescent="0.2">
      <c r="A98" s="1"/>
      <c r="B98" s="211"/>
      <c r="C98" s="212"/>
      <c r="D98" s="212"/>
      <c r="E98" s="212"/>
      <c r="F98" s="212"/>
      <c r="G98" s="212"/>
      <c r="H98" s="212"/>
      <c r="I98" s="210"/>
    </row>
    <row r="99" spans="1:9" ht="18.75" customHeight="1" x14ac:dyDescent="0.2">
      <c r="A99" s="1"/>
      <c r="B99" s="211"/>
      <c r="C99" s="212"/>
      <c r="D99" s="212"/>
      <c r="E99" s="212"/>
      <c r="F99" s="212"/>
      <c r="G99" s="212"/>
      <c r="H99" s="212"/>
      <c r="I99" s="210"/>
    </row>
    <row r="100" spans="1:9" ht="18.75" customHeight="1" x14ac:dyDescent="0.2">
      <c r="A100" s="1"/>
      <c r="B100" s="211"/>
      <c r="C100" s="212"/>
      <c r="D100" s="212"/>
      <c r="E100" s="212"/>
      <c r="F100" s="212"/>
      <c r="G100" s="212"/>
      <c r="H100" s="212"/>
      <c r="I100" s="210"/>
    </row>
    <row r="101" spans="1:9" ht="18.75" customHeight="1" x14ac:dyDescent="0.2">
      <c r="A101" s="1"/>
      <c r="B101" s="211"/>
      <c r="C101" s="212"/>
      <c r="D101" s="212"/>
      <c r="E101" s="212"/>
      <c r="F101" s="212"/>
      <c r="G101" s="212"/>
      <c r="H101" s="212"/>
      <c r="I101" s="210"/>
    </row>
    <row r="102" spans="1:9" ht="18.75" customHeight="1" x14ac:dyDescent="0.2">
      <c r="A102" s="1"/>
      <c r="B102" s="211"/>
      <c r="C102" s="212"/>
      <c r="D102" s="212"/>
      <c r="E102" s="212"/>
      <c r="F102" s="212"/>
      <c r="G102" s="212"/>
      <c r="H102" s="212"/>
      <c r="I102" s="210"/>
    </row>
    <row r="103" spans="1:9" ht="18.75" customHeight="1" x14ac:dyDescent="0.2">
      <c r="A103" s="1"/>
      <c r="B103" s="211"/>
      <c r="C103" s="212"/>
      <c r="D103" s="212"/>
      <c r="E103" s="212"/>
      <c r="F103" s="212"/>
      <c r="G103" s="212"/>
      <c r="H103" s="212"/>
      <c r="I103" s="210"/>
    </row>
    <row r="104" spans="1:9" ht="18.75" customHeight="1" x14ac:dyDescent="0.2">
      <c r="A104" s="1"/>
      <c r="B104" s="211"/>
      <c r="C104" s="212"/>
      <c r="D104" s="212"/>
      <c r="E104" s="212"/>
      <c r="F104" s="212"/>
      <c r="G104" s="212"/>
      <c r="H104" s="212"/>
      <c r="I104" s="210"/>
    </row>
    <row r="105" spans="1:9" ht="18.75" customHeight="1" x14ac:dyDescent="0.2">
      <c r="A105" s="4"/>
      <c r="B105" s="213"/>
      <c r="C105" s="214"/>
      <c r="D105" s="214"/>
      <c r="E105" s="214"/>
      <c r="F105" s="214"/>
      <c r="G105" s="214"/>
      <c r="H105" s="214"/>
      <c r="I105" s="215"/>
    </row>
    <row r="106" spans="1:9" ht="7.5" customHeight="1" x14ac:dyDescent="0.2">
      <c r="A106" s="4"/>
      <c r="B106" s="4"/>
      <c r="C106" s="4"/>
      <c r="D106" s="4"/>
      <c r="E106" s="4"/>
      <c r="F106" s="4"/>
      <c r="G106" s="4"/>
      <c r="H106" s="4"/>
      <c r="I106" s="4"/>
    </row>
    <row r="107" spans="1:9" ht="18.75" customHeight="1" x14ac:dyDescent="0.2">
      <c r="A107" s="1" t="s">
        <v>29</v>
      </c>
      <c r="B107" s="224" t="s">
        <v>43</v>
      </c>
      <c r="C107" s="224"/>
      <c r="D107" s="224"/>
      <c r="E107" s="224"/>
      <c r="F107" s="224"/>
      <c r="G107" s="224"/>
      <c r="H107" s="224"/>
      <c r="I107" s="224"/>
    </row>
    <row r="108" spans="1:9" ht="18.75" customHeight="1" x14ac:dyDescent="0.2">
      <c r="A108" s="4"/>
      <c r="B108" s="205" t="s">
        <v>154</v>
      </c>
      <c r="C108" s="206"/>
      <c r="D108" s="206"/>
      <c r="E108" s="206"/>
      <c r="F108" s="206"/>
      <c r="G108" s="206"/>
      <c r="H108" s="206"/>
      <c r="I108" s="207"/>
    </row>
    <row r="109" spans="1:9" ht="18.75" customHeight="1" x14ac:dyDescent="0.2">
      <c r="A109" s="4"/>
      <c r="B109" s="211"/>
      <c r="C109" s="212"/>
      <c r="D109" s="212"/>
      <c r="E109" s="212"/>
      <c r="F109" s="212"/>
      <c r="G109" s="212"/>
      <c r="H109" s="212"/>
      <c r="I109" s="210"/>
    </row>
    <row r="110" spans="1:9" ht="18.75" customHeight="1" x14ac:dyDescent="0.2">
      <c r="A110" s="4"/>
      <c r="B110" s="211"/>
      <c r="C110" s="212"/>
      <c r="D110" s="212"/>
      <c r="E110" s="212"/>
      <c r="F110" s="212"/>
      <c r="G110" s="212"/>
      <c r="H110" s="212"/>
      <c r="I110" s="210"/>
    </row>
    <row r="111" spans="1:9" ht="18.75" customHeight="1" x14ac:dyDescent="0.2">
      <c r="A111" s="4"/>
      <c r="B111" s="211"/>
      <c r="C111" s="212"/>
      <c r="D111" s="212"/>
      <c r="E111" s="212"/>
      <c r="F111" s="212"/>
      <c r="G111" s="212"/>
      <c r="H111" s="212"/>
      <c r="I111" s="210"/>
    </row>
    <row r="112" spans="1:9" ht="18.75" customHeight="1" x14ac:dyDescent="0.2">
      <c r="A112" s="4"/>
      <c r="B112" s="211"/>
      <c r="C112" s="212"/>
      <c r="D112" s="212"/>
      <c r="E112" s="212"/>
      <c r="F112" s="212"/>
      <c r="G112" s="212"/>
      <c r="H112" s="212"/>
      <c r="I112" s="210"/>
    </row>
    <row r="113" spans="1:9" ht="18.75" customHeight="1" x14ac:dyDescent="0.2">
      <c r="A113" s="4"/>
      <c r="B113" s="211"/>
      <c r="C113" s="212"/>
      <c r="D113" s="212"/>
      <c r="E113" s="212"/>
      <c r="F113" s="212"/>
      <c r="G113" s="212"/>
      <c r="H113" s="212"/>
      <c r="I113" s="210"/>
    </row>
    <row r="114" spans="1:9" ht="18.75" customHeight="1" x14ac:dyDescent="0.2">
      <c r="A114" s="4"/>
      <c r="B114" s="211"/>
      <c r="C114" s="212"/>
      <c r="D114" s="212"/>
      <c r="E114" s="212"/>
      <c r="F114" s="212"/>
      <c r="G114" s="212"/>
      <c r="H114" s="212"/>
      <c r="I114" s="210"/>
    </row>
    <row r="115" spans="1:9" ht="18.75" customHeight="1" x14ac:dyDescent="0.2">
      <c r="A115" s="4"/>
      <c r="B115" s="211"/>
      <c r="C115" s="212"/>
      <c r="D115" s="212"/>
      <c r="E115" s="212"/>
      <c r="F115" s="212"/>
      <c r="G115" s="212"/>
      <c r="H115" s="212"/>
      <c r="I115" s="210"/>
    </row>
    <row r="116" spans="1:9" ht="18.75" customHeight="1" x14ac:dyDescent="0.2">
      <c r="A116" s="4"/>
      <c r="B116" s="211"/>
      <c r="C116" s="212"/>
      <c r="D116" s="212"/>
      <c r="E116" s="212"/>
      <c r="F116" s="212"/>
      <c r="G116" s="212"/>
      <c r="H116" s="212"/>
      <c r="I116" s="210"/>
    </row>
    <row r="117" spans="1:9" ht="18.75" customHeight="1" x14ac:dyDescent="0.2">
      <c r="A117" s="4"/>
      <c r="B117" s="211"/>
      <c r="C117" s="212"/>
      <c r="D117" s="212"/>
      <c r="E117" s="212"/>
      <c r="F117" s="212"/>
      <c r="G117" s="212"/>
      <c r="H117" s="212"/>
      <c r="I117" s="210"/>
    </row>
    <row r="118" spans="1:9" ht="18.75" customHeight="1" x14ac:dyDescent="0.2">
      <c r="A118" s="4"/>
      <c r="B118" s="211"/>
      <c r="C118" s="212"/>
      <c r="D118" s="212"/>
      <c r="E118" s="212"/>
      <c r="F118" s="212"/>
      <c r="G118" s="212"/>
      <c r="H118" s="212"/>
      <c r="I118" s="210"/>
    </row>
    <row r="119" spans="1:9" ht="18.75" customHeight="1" x14ac:dyDescent="0.2">
      <c r="A119" s="4"/>
      <c r="B119" s="213"/>
      <c r="C119" s="214"/>
      <c r="D119" s="214"/>
      <c r="E119" s="214"/>
      <c r="F119" s="214"/>
      <c r="G119" s="214"/>
      <c r="H119" s="214"/>
      <c r="I119" s="215"/>
    </row>
    <row r="120" spans="1:9" ht="7.5" customHeight="1" x14ac:dyDescent="0.2">
      <c r="A120" s="4"/>
      <c r="B120" s="18"/>
      <c r="C120" s="18"/>
      <c r="D120" s="18"/>
      <c r="E120" s="18"/>
      <c r="F120" s="18"/>
      <c r="G120" s="18"/>
      <c r="H120" s="18"/>
      <c r="I120" s="18"/>
    </row>
    <row r="121" spans="1:9" ht="18.75" customHeight="1" x14ac:dyDescent="0.2">
      <c r="A121" s="29"/>
      <c r="B121" s="201"/>
      <c r="C121" s="201"/>
      <c r="D121" s="201"/>
      <c r="E121" s="201"/>
      <c r="F121" s="201"/>
      <c r="G121" s="201"/>
      <c r="H121" s="201"/>
      <c r="I121" s="201"/>
    </row>
    <row r="122" spans="1:9" ht="18.75" customHeight="1" x14ac:dyDescent="0.2">
      <c r="A122" s="29"/>
      <c r="B122" s="201"/>
      <c r="C122" s="201"/>
      <c r="D122" s="201"/>
      <c r="E122" s="201"/>
      <c r="F122" s="201"/>
      <c r="G122" s="201"/>
      <c r="H122" s="201"/>
      <c r="I122" s="201"/>
    </row>
    <row r="123" spans="1:9" ht="18.75" customHeight="1" x14ac:dyDescent="0.2">
      <c r="A123" s="4"/>
      <c r="B123" s="30"/>
      <c r="C123" s="30"/>
      <c r="D123" s="30"/>
      <c r="E123" s="30"/>
      <c r="F123" s="30"/>
      <c r="G123" s="30"/>
      <c r="H123" s="30"/>
      <c r="I123" s="31"/>
    </row>
    <row r="124" spans="1:9" ht="18.75" customHeight="1" x14ac:dyDescent="0.2">
      <c r="A124" s="4"/>
      <c r="B124" s="31"/>
      <c r="C124" s="31"/>
      <c r="D124" s="31"/>
      <c r="E124" s="31"/>
      <c r="F124" s="31"/>
      <c r="G124" s="31"/>
      <c r="H124" s="31"/>
      <c r="I124" s="31"/>
    </row>
    <row r="125" spans="1:9" ht="18.75" customHeight="1" x14ac:dyDescent="0.2">
      <c r="A125" s="4"/>
      <c r="B125" s="31"/>
      <c r="C125" s="31"/>
      <c r="D125" s="31"/>
      <c r="E125" s="31"/>
      <c r="F125" s="31"/>
      <c r="G125" s="31"/>
      <c r="H125" s="31"/>
      <c r="I125" s="31"/>
    </row>
    <row r="126" spans="1:9" ht="18.75" customHeight="1" x14ac:dyDescent="0.2">
      <c r="A126" s="4"/>
      <c r="B126" s="31"/>
      <c r="C126" s="31"/>
      <c r="D126" s="31"/>
      <c r="E126" s="31"/>
      <c r="F126" s="31"/>
      <c r="G126" s="31"/>
      <c r="H126" s="31"/>
      <c r="I126" s="31"/>
    </row>
    <row r="127" spans="1:9" ht="18.75" customHeight="1" x14ac:dyDescent="0.2">
      <c r="A127" s="4"/>
      <c r="B127" s="31"/>
      <c r="C127" s="31"/>
      <c r="D127" s="31"/>
      <c r="E127" s="31"/>
      <c r="F127" s="31"/>
      <c r="G127" s="31"/>
      <c r="H127" s="31"/>
      <c r="I127" s="31"/>
    </row>
    <row r="128" spans="1:9" ht="18.75" customHeight="1" x14ac:dyDescent="0.2">
      <c r="A128" s="4"/>
      <c r="B128" s="31"/>
      <c r="C128" s="31"/>
      <c r="D128" s="31"/>
      <c r="E128" s="31"/>
      <c r="F128" s="31"/>
      <c r="G128" s="31"/>
      <c r="H128" s="31"/>
      <c r="I128" s="31"/>
    </row>
    <row r="129" spans="1:9" ht="18.75" customHeight="1" x14ac:dyDescent="0.2">
      <c r="A129" s="4"/>
      <c r="B129" s="31"/>
      <c r="C129" s="31"/>
      <c r="D129" s="31"/>
      <c r="E129" s="31"/>
      <c r="F129" s="31"/>
      <c r="G129" s="31"/>
      <c r="H129" s="31"/>
      <c r="I129" s="31"/>
    </row>
    <row r="130" spans="1:9" ht="18.75" customHeight="1" x14ac:dyDescent="0.2">
      <c r="A130" s="4"/>
      <c r="B130" s="31"/>
      <c r="C130" s="31"/>
      <c r="D130" s="31"/>
      <c r="E130" s="31"/>
      <c r="F130" s="31"/>
      <c r="G130" s="31"/>
      <c r="H130" s="31"/>
      <c r="I130" s="31"/>
    </row>
    <row r="131" spans="1:9" ht="18.75" customHeight="1" x14ac:dyDescent="0.2">
      <c r="A131" s="4"/>
      <c r="B131" s="31"/>
      <c r="C131" s="31"/>
      <c r="D131" s="31"/>
      <c r="E131" s="31"/>
      <c r="F131" s="31"/>
      <c r="G131" s="31"/>
      <c r="H131" s="31"/>
      <c r="I131" s="31"/>
    </row>
    <row r="132" spans="1:9" ht="18.75" customHeight="1" x14ac:dyDescent="0.2">
      <c r="A132" s="4"/>
      <c r="B132" s="31"/>
      <c r="C132" s="31"/>
      <c r="D132" s="31"/>
      <c r="E132" s="31"/>
      <c r="F132" s="31"/>
      <c r="G132" s="31"/>
      <c r="H132" s="31"/>
      <c r="I132" s="31"/>
    </row>
    <row r="133" spans="1:9" ht="14.4" x14ac:dyDescent="0.2">
      <c r="A133" s="4"/>
      <c r="B133" s="31"/>
      <c r="C133" s="31"/>
      <c r="D133" s="31"/>
      <c r="E133" s="31"/>
      <c r="F133" s="31"/>
      <c r="G133" s="31"/>
      <c r="H133" s="31"/>
      <c r="I133" s="31"/>
    </row>
    <row r="134" spans="1:9" ht="7.5" customHeight="1" x14ac:dyDescent="0.2">
      <c r="A134" s="4"/>
      <c r="B134" s="31"/>
      <c r="C134" s="31"/>
      <c r="D134" s="31"/>
      <c r="E134" s="31"/>
      <c r="F134" s="31"/>
      <c r="G134" s="31"/>
      <c r="H134" s="31"/>
      <c r="I134" s="3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16383" man="1"/>
    <brk id="8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zoomScaleNormal="100" zoomScaleSheetLayoutView="100" workbookViewId="0">
      <selection activeCell="I9" sqref="I9"/>
    </sheetView>
  </sheetViews>
  <sheetFormatPr defaultColWidth="11.33203125" defaultRowHeight="22.5" customHeight="1" x14ac:dyDescent="0.2"/>
  <cols>
    <col min="1" max="3" width="2.77734375" style="1" customWidth="1"/>
    <col min="4" max="4" width="22.1093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62</v>
      </c>
      <c r="I1" s="11" t="s">
        <v>89</v>
      </c>
    </row>
    <row r="2" spans="1:9" ht="18.75" customHeight="1" x14ac:dyDescent="0.2">
      <c r="H2" s="11" t="s">
        <v>92</v>
      </c>
      <c r="I2" s="10" t="s">
        <v>158</v>
      </c>
    </row>
    <row r="3" spans="1:9" ht="18.75" customHeight="1" x14ac:dyDescent="0.2">
      <c r="A3" s="92" t="s">
        <v>27</v>
      </c>
      <c r="B3" s="92"/>
      <c r="C3" s="92"/>
      <c r="D3" s="92"/>
      <c r="E3" s="92"/>
      <c r="F3" s="92"/>
      <c r="G3" s="92"/>
      <c r="H3" s="92"/>
      <c r="I3" s="92"/>
    </row>
    <row r="4" spans="1:9" ht="18.75" customHeight="1" x14ac:dyDescent="0.2">
      <c r="A4" s="5"/>
      <c r="B4" s="5"/>
      <c r="C4" s="5"/>
      <c r="D4" s="5"/>
      <c r="E4" s="5"/>
      <c r="F4" s="5"/>
      <c r="G4" s="5"/>
      <c r="H4" s="5"/>
      <c r="I4" s="5"/>
    </row>
    <row r="5" spans="1:9" ht="18.75" customHeight="1" x14ac:dyDescent="0.2">
      <c r="A5" s="1" t="s">
        <v>0</v>
      </c>
      <c r="B5" s="7" t="s">
        <v>84</v>
      </c>
      <c r="C5" s="5"/>
      <c r="D5" s="5"/>
      <c r="E5" s="5"/>
      <c r="F5" s="5"/>
      <c r="G5" s="5"/>
      <c r="H5" s="5"/>
      <c r="I5" s="5"/>
    </row>
    <row r="6" spans="1:9" ht="26.25" customHeight="1" x14ac:dyDescent="0.2">
      <c r="A6" s="5"/>
      <c r="B6" s="216" t="s">
        <v>200</v>
      </c>
      <c r="C6" s="250"/>
      <c r="D6" s="250"/>
      <c r="E6" s="250"/>
      <c r="F6" s="250"/>
      <c r="G6" s="250"/>
      <c r="H6" s="251"/>
      <c r="I6" s="3"/>
    </row>
    <row r="7" spans="1:9" ht="9" customHeight="1" x14ac:dyDescent="0.2">
      <c r="A7" s="5"/>
      <c r="B7" s="7"/>
      <c r="C7" s="7"/>
      <c r="D7" s="7"/>
      <c r="E7" s="7"/>
      <c r="F7" s="7"/>
      <c r="G7" s="7"/>
      <c r="H7" s="7"/>
      <c r="I7" s="3"/>
    </row>
    <row r="8" spans="1:9" ht="18.75" customHeight="1" x14ac:dyDescent="0.2">
      <c r="A8" s="5"/>
      <c r="B8" s="3"/>
      <c r="C8" s="3"/>
      <c r="D8" s="11" t="s">
        <v>40</v>
      </c>
      <c r="E8" s="12" t="s">
        <v>150</v>
      </c>
      <c r="F8" s="3"/>
      <c r="G8" s="11" t="s">
        <v>10</v>
      </c>
      <c r="H8" s="58" t="s">
        <v>171</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86" t="s">
        <v>23</v>
      </c>
      <c r="C11" s="87"/>
      <c r="D11" s="88"/>
      <c r="E11" s="87" t="s">
        <v>25</v>
      </c>
      <c r="F11" s="87"/>
      <c r="G11" s="87"/>
      <c r="H11" s="87"/>
      <c r="I11" s="88"/>
    </row>
    <row r="12" spans="1:9" ht="26.25" customHeight="1" x14ac:dyDescent="0.2">
      <c r="B12" s="19" t="s">
        <v>13</v>
      </c>
      <c r="C12" s="26"/>
      <c r="D12" s="20"/>
      <c r="E12" s="27"/>
      <c r="F12" s="27"/>
      <c r="G12" s="27"/>
      <c r="H12" s="27"/>
      <c r="I12" s="20"/>
    </row>
    <row r="13" spans="1:9" ht="210.75" customHeight="1" x14ac:dyDescent="0.2">
      <c r="B13" s="21"/>
      <c r="C13" s="233" t="s">
        <v>14</v>
      </c>
      <c r="D13" s="234"/>
      <c r="E13" s="246" t="s">
        <v>160</v>
      </c>
      <c r="F13" s="235"/>
      <c r="G13" s="235"/>
      <c r="H13" s="235"/>
      <c r="I13" s="236"/>
    </row>
    <row r="14" spans="1:9" ht="210.75" customHeight="1" x14ac:dyDescent="0.2">
      <c r="B14" s="21"/>
      <c r="C14" s="248" t="s">
        <v>15</v>
      </c>
      <c r="D14" s="249"/>
      <c r="E14" s="246" t="s">
        <v>161</v>
      </c>
      <c r="F14" s="235"/>
      <c r="G14" s="235"/>
      <c r="H14" s="235"/>
      <c r="I14" s="236"/>
    </row>
    <row r="15" spans="1:9" ht="210.75" customHeight="1" x14ac:dyDescent="0.2">
      <c r="B15" s="21"/>
      <c r="C15" s="233" t="s">
        <v>16</v>
      </c>
      <c r="D15" s="234"/>
      <c r="E15" s="246" t="s">
        <v>162</v>
      </c>
      <c r="F15" s="235"/>
      <c r="G15" s="235"/>
      <c r="H15" s="235"/>
      <c r="I15" s="236"/>
    </row>
    <row r="16" spans="1:9" ht="210.75" customHeight="1" x14ac:dyDescent="0.2">
      <c r="B16" s="21"/>
      <c r="C16" s="233" t="s">
        <v>17</v>
      </c>
      <c r="D16" s="234"/>
      <c r="E16" s="246" t="s">
        <v>163</v>
      </c>
      <c r="F16" s="235"/>
      <c r="G16" s="235"/>
      <c r="H16" s="235"/>
      <c r="I16" s="236"/>
    </row>
    <row r="17" spans="2:9" ht="210.75" customHeight="1" x14ac:dyDescent="0.2">
      <c r="B17" s="22"/>
      <c r="C17" s="237" t="s">
        <v>18</v>
      </c>
      <c r="D17" s="238"/>
      <c r="E17" s="247" t="s">
        <v>166</v>
      </c>
      <c r="F17" s="239"/>
      <c r="G17" s="239"/>
      <c r="H17" s="239"/>
      <c r="I17" s="240"/>
    </row>
    <row r="18" spans="2:9" ht="24" customHeight="1" x14ac:dyDescent="0.2">
      <c r="B18" s="19" t="s">
        <v>19</v>
      </c>
      <c r="C18" s="23"/>
      <c r="D18" s="24"/>
      <c r="E18" s="25"/>
      <c r="F18" s="25"/>
      <c r="G18" s="25"/>
      <c r="H18" s="25"/>
      <c r="I18" s="28"/>
    </row>
    <row r="19" spans="2:9" ht="218.25" customHeight="1" x14ac:dyDescent="0.2">
      <c r="B19" s="21"/>
      <c r="C19" s="233" t="s">
        <v>20</v>
      </c>
      <c r="D19" s="234"/>
      <c r="E19" s="235" t="s">
        <v>164</v>
      </c>
      <c r="F19" s="235"/>
      <c r="G19" s="235"/>
      <c r="H19" s="235"/>
      <c r="I19" s="236"/>
    </row>
    <row r="20" spans="2:9" ht="218.25" customHeight="1" x14ac:dyDescent="0.2">
      <c r="B20" s="22"/>
      <c r="C20" s="237" t="s">
        <v>21</v>
      </c>
      <c r="D20" s="238"/>
      <c r="E20" s="239" t="s">
        <v>157</v>
      </c>
      <c r="F20" s="239"/>
      <c r="G20" s="239"/>
      <c r="H20" s="239"/>
      <c r="I20" s="240"/>
    </row>
    <row r="21" spans="2:9" ht="218.25" customHeight="1" x14ac:dyDescent="0.2">
      <c r="B21" s="241" t="s">
        <v>22</v>
      </c>
      <c r="C21" s="242"/>
      <c r="D21" s="243"/>
      <c r="E21" s="244" t="s">
        <v>159</v>
      </c>
      <c r="F21" s="244"/>
      <c r="G21" s="244"/>
      <c r="H21" s="244"/>
      <c r="I21" s="245"/>
    </row>
    <row r="22" spans="2:9" ht="218.25" customHeight="1" x14ac:dyDescent="0.2">
      <c r="B22" s="228" t="s">
        <v>120</v>
      </c>
      <c r="C22" s="229"/>
      <c r="D22" s="230"/>
      <c r="E22" s="231" t="s">
        <v>167</v>
      </c>
      <c r="F22" s="231"/>
      <c r="G22" s="231"/>
      <c r="H22" s="231"/>
      <c r="I22" s="23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8"/>
      <c r="C28" s="8"/>
      <c r="D28" s="8"/>
      <c r="E28" s="8"/>
      <c r="F28" s="8"/>
      <c r="G28" s="8"/>
      <c r="H28" s="8"/>
      <c r="I28" s="8"/>
    </row>
    <row r="29" spans="2:9" ht="22.5" customHeight="1" x14ac:dyDescent="0.2">
      <c r="B29" s="8"/>
      <c r="C29" s="8"/>
      <c r="D29" s="8"/>
      <c r="E29" s="8"/>
      <c r="F29" s="8"/>
      <c r="G29" s="8"/>
      <c r="H29" s="8"/>
      <c r="I29" s="8"/>
    </row>
    <row r="30" spans="2:9" ht="22.5" customHeight="1" x14ac:dyDescent="0.2">
      <c r="B30" s="8"/>
      <c r="C30" s="8"/>
      <c r="D30" s="8"/>
      <c r="E30" s="8"/>
      <c r="F30" s="8"/>
      <c r="G30" s="8"/>
      <c r="H30" s="8"/>
      <c r="I30" s="8"/>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様式１　プログラムを構成する授業科目 </vt:lpstr>
      <vt:lpstr>様式２ 履修者等数の実績</vt:lpstr>
      <vt:lpstr>様式３ 教育の質・履修者数を向上させるための体制・計画</vt:lpstr>
      <vt:lpstr>様式４　自己点検・評価</vt:lpstr>
      <vt:lpstr>'様式１　プログラムを構成する授業科目 '!Print_Area</vt:lpstr>
      <vt:lpstr>'様式２ 履修者等数の実績'!Print_Area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Atsuko Saito</cp:lastModifiedBy>
  <cp:lastPrinted>2025-07-17T04:14:50Z</cp:lastPrinted>
  <dcterms:created xsi:type="dcterms:W3CDTF">2011-06-14T05:32:50Z</dcterms:created>
  <dcterms:modified xsi:type="dcterms:W3CDTF">2025-07-22T23:47:10Z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