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defaultThemeVersion="124226"/>
  <mc:AlternateContent xmlns:mc="http://schemas.openxmlformats.org/markup-compatibility/2006">
    <mc:Choice Requires="x15">
      <x15ac:absPath xmlns:x15ac="http://schemas.microsoft.com/office/spreadsheetml/2010/11/ac" url="S:\【新】教務企画係\25_ICT科目検討WG・ICT作業部会・情報活用科目作業部会\数理・データサイエンス・AI教育プログラム認定制度\R7年度\●申請データ（作業ファイル、ここを常に最新版に）\"/>
    </mc:Choice>
  </mc:AlternateContent>
  <xr:revisionPtr revIDLastSave="0" documentId="13_ncr:1_{DD0547FA-171C-4143-9094-AC7AD74CBC89}" xr6:coauthVersionLast="47"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木村　和佳奈</author>
  </authors>
  <commentList>
    <comment ref="F12" authorId="0" shapeId="0" xr:uid="{0E1AC91F-D072-4495-B874-732229F8BA93}">
      <text>
        <r>
          <rPr>
            <b/>
            <sz val="9"/>
            <color indexed="81"/>
            <rFont val="MS P ゴシック"/>
            <family val="3"/>
            <charset val="128"/>
          </rPr>
          <t>木村　和佳奈:</t>
        </r>
        <r>
          <rPr>
            <sz val="9"/>
            <color indexed="81"/>
            <rFont val="MS P ゴシック"/>
            <family val="3"/>
            <charset val="128"/>
          </rPr>
          <t xml:space="preserve">
１科目でも履修していたら履修者数に含んで算出。
（複数年度に渡るプログラムの際は履修を開始した初年度に計上するとされていることから、対象科目を１つでも履修すれば履修を開始とみなす。）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木村　和佳奈</author>
  </authors>
  <commentList>
    <comment ref="H8" authorId="0" shapeId="0" xr:uid="{6ECC8C49-9FBE-469D-8216-8590DA710B44}">
      <text>
        <r>
          <rPr>
            <sz val="8"/>
            <color indexed="81"/>
            <rFont val="MS P ゴシック"/>
            <family val="3"/>
            <charset val="128"/>
          </rPr>
          <t>「情報活用基礎I～III」は2024年度担当者で計上可能。
「ICT活用の理論と方法」「教育データの活用I」は2025年度担当者で計上する？
2024年度に開講していない「教育データの活用II」の担当教員についてどうする？
⇒2025/4/8文科省より回答あり。
　令和6年度の担当教員数のみで回答することを確認。</t>
        </r>
      </text>
    </comment>
    <comment ref="F49" authorId="0" shapeId="0" xr:uid="{BE215866-F430-4C0F-83FC-6FEBF3E2E0A3}">
      <text>
        <r>
          <rPr>
            <b/>
            <sz val="9"/>
            <color indexed="81"/>
            <rFont val="MS P ゴシック"/>
            <family val="3"/>
            <charset val="128"/>
          </rPr>
          <t>木村　和佳奈:</t>
        </r>
        <r>
          <rPr>
            <sz val="9"/>
            <color indexed="81"/>
            <rFont val="MS P ゴシック"/>
            <family val="3"/>
            <charset val="128"/>
          </rPr>
          <t xml:space="preserve">
1,800名（2学年分の定員）÷3,715名＝48.45％</t>
        </r>
      </text>
    </comment>
    <comment ref="I49" authorId="0" shapeId="0" xr:uid="{BB9FB184-0068-44A7-8721-0BC3B1C9E7AE}">
      <text>
        <r>
          <rPr>
            <b/>
            <sz val="9"/>
            <color indexed="81"/>
            <rFont val="MS P ゴシック"/>
            <family val="3"/>
            <charset val="128"/>
          </rPr>
          <t>木村　和佳奈:</t>
        </r>
        <r>
          <rPr>
            <sz val="9"/>
            <color indexed="81"/>
            <rFont val="MS P ゴシック"/>
            <family val="3"/>
            <charset val="128"/>
          </rPr>
          <t xml:space="preserve">
2,725名（3学年分の定員）÷3,715名＝73.35％</t>
        </r>
      </text>
    </comment>
    <comment ref="C50" authorId="0" shapeId="0" xr:uid="{4B2B96EC-6755-438F-A661-74A921707222}">
      <text>
        <r>
          <rPr>
            <b/>
            <sz val="9"/>
            <color indexed="81"/>
            <rFont val="MS P ゴシック"/>
            <family val="3"/>
            <charset val="128"/>
          </rPr>
          <t>木村　和佳奈:</t>
        </r>
        <r>
          <rPr>
            <sz val="9"/>
            <color indexed="81"/>
            <rFont val="MS P ゴシック"/>
            <family val="3"/>
            <charset val="128"/>
          </rPr>
          <t xml:space="preserve">
3,650名（4学年分の定員）÷3,715名＝98.25％</t>
        </r>
      </text>
    </comment>
  </commentList>
</comments>
</file>

<file path=xl/sharedStrings.xml><?xml version="1.0" encoding="utf-8"?>
<sst xmlns="http://schemas.openxmlformats.org/spreadsheetml/2006/main" count="350" uniqueCount="218">
  <si>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</si>
  <si>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</si>
  <si>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</si>
  <si>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</si>
  <si>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</si>
  <si>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</si>
  <si>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</si>
  <si>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</si>
  <si>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</si>
  <si>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</si>
  <si>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</si>
  <si>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</si>
  <si>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</si>
  <si>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</si>
  <si>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</si>
  <si>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</si>
  <si>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</si>
  <si>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</si>
  <si>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</si>
  <si>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</si>
  <si>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</si>
  <si>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</si>
  <si>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</si>
  <si>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</si>
  <si>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</si>
  <si>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</si>
  <si>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</si>
  <si>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</si>
  <si>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</si>
  <si>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</si>
  <si>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</si>
  <si>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</si>
  <si>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</si>
  <si>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</si>
  <si>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</si>
  <si>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</si>
  <si>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</si>
  <si>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</si>
  <si>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</si>
  <si>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</si>
  <si>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</si>
  <si>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</si>
  <si>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</si>
  <si>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</si>
  <si>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</si>
  <si>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</si>
  <si>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</si>
  <si>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</si>
  <si>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</si>
  <si>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</si>
  <si>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</si>
  <si>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</si>
  <si>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</si>
  <si>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</si>
  <si>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</si>
  <si>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</si>
  <si>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</si>
  <si>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</si>
  <si>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</si>
  <si>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</si>
  <si>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</si>
  <si>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</si>
  <si>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</si>
  <si>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</si>
  <si>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</si>
  <si>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</si>
  <si>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</si>
  <si>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</si>
  <si>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</si>
  <si>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</si>
  <si>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</si>
  <si>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</si>
  <si>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</si>
  <si>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</si>
  <si>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</si>
  <si>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</si>
  <si>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</si>
  <si>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</si>
  <si>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</si>
  <si>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</si>
  <si>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</si>
  <si>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</si>
  <si>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</si>
  <si>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</si>
  <si>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</si>
  <si>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</si>
  <si>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</si>
  <si>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</si>
  <si>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</si>
  <si>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</si>
  <si>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</si>
  <si>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</si>
  <si>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</si>
  <si>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</si>
  <si>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</si>
  <si>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</si>
  <si>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</si>
  <si>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</si>
  <si>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</si>
  <si>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</si>
  <si>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</si>
  <si>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</si>
  <si>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</si>
  <si>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</si>
  <si>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</si>
  <si>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</si>
  <si>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</si>
  <si>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</si>
  <si>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</si>
  <si>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</si>
  <si>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</si>
  <si>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</si>
  <si>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</si>
  <si>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</si>
  <si>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</si>
  <si>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</si>
  <si>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</si>
  <si>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</si>
  <si>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</si>
  <si>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</si>
  <si>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</si>
  <si>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</si>
  <si>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</si>
  <si>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</si>
  <si>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</si>
  <si>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</si>
  <si>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</si>
  <si>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</si>
  <si>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</si>
  <si>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</si>
  <si>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</si>
  <si>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</si>
  <si>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</si>
  <si>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</si>
  <si>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</si>
  <si>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</si>
  <si>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</si>
  <si>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</si>
  <si>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</si>
  <si>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</si>
  <si>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</si>
  <si>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</si>
  <si>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</si>
  <si>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大阪教育大学</t>
    <rPh sb="0" eb="6">
      <t>オオサカキョウイクダイガク</t>
    </rPh>
    <phoneticPr fontId="1"/>
  </si>
  <si>
    <t>大阪教育大学　数理・データサイエンス・AI教育プログラム</t>
    <rPh sb="0" eb="6">
      <t>オオサカキョウイクダイガク</t>
    </rPh>
    <rPh sb="7" eb="9">
      <t>スウリ</t>
    </rPh>
    <rPh sb="21" eb="23">
      <t>キョウイク</t>
    </rPh>
    <phoneticPr fontId="1"/>
  </si>
  <si>
    <t>学部・学科によって、修了要件は相違しない</t>
  </si>
  <si>
    <t>○必修科目「情報活用基礎Ⅰ・Ⅱ・Ⅲ」（各１単位）の３科目３単位を修得すること。
○選択必修科目「ICT活用の理論と方法」、「教育データの活用Ⅰ」、「教育データの活用Ⅱ」（各１単位）のうち２科目２単位を選択し修得すること。</t>
    <rPh sb="94" eb="96">
      <t>カモク</t>
    </rPh>
    <phoneticPr fontId="1"/>
  </si>
  <si>
    <t>情報活用基礎Ⅲ</t>
    <rPh sb="0" eb="6">
      <t xml:space="preserve">ジョウホウカツヨウキソ </t>
    </rPh>
    <phoneticPr fontId="1"/>
  </si>
  <si>
    <t>○</t>
  </si>
  <si>
    <t>ICT活用の理論と方法</t>
  </si>
  <si>
    <t>教育データの活用Ⅰ</t>
  </si>
  <si>
    <t>教育データの活用Ⅱ</t>
  </si>
  <si>
    <t>情報活用基礎Ⅰ</t>
    <rPh sb="0" eb="6">
      <t xml:space="preserve">ジョウホウカツヨウキソ </t>
    </rPh>
    <phoneticPr fontId="1"/>
  </si>
  <si>
    <t>情報活用基礎Ⅲ</t>
    <rPh sb="0" eb="1">
      <t>ジョウホウ</t>
    </rPh>
    <phoneticPr fontId="1"/>
  </si>
  <si>
    <t>4‐3データ構造とプログラミング基礎</t>
  </si>
  <si>
    <t>・ビッグデータ、IoT、AI、生成AI、ロボット「ICT活用の理論と方法」（第2回）
・データ量の増加、計算機の処理性能の向上、AIの非連続的進化「ICT活用の理論と方法」（第4回）
・第4次産業革命、Society 5.0、データ駆動型社会「ICT活用の理論と方法」（第1回）
・複数技術を組み合わせたAIサービス「ICT活用の理論と方法」（第4回）
・人間の知的活動とAIの関係性「教育データの活用Ⅱ」（第8回）
・データを起点としたものの見方、人間の知的活動を起点としたものの見方「教育データの活用Ⅰ」（第1回）</t>
  </si>
  <si>
    <t>・データ活用とAIの仕組み，社会におけるAIの活用「情報活用基礎Ⅲ」（第1回）
・AI最新技術の活用例「ICT活用の理論と方法」（第2回）
・AI等を活用した新しいビジネスモデル「ICT活用の理論と方法」（第4回）</t>
    <rPh sb="10" eb="12">
      <t xml:space="preserve">シクミ </t>
    </rPh>
    <rPh sb="14" eb="16">
      <t xml:space="preserve">シャカイニ </t>
    </rPh>
    <rPh sb="23" eb="25">
      <t xml:space="preserve">カツヨウ </t>
    </rPh>
    <rPh sb="26" eb="30">
      <t>ジョウホ</t>
    </rPh>
    <rPh sb="30" eb="32">
      <t xml:space="preserve">キソ </t>
    </rPh>
    <rPh sb="35" eb="36">
      <t xml:space="preserve">ダイ </t>
    </rPh>
    <rPh sb="37" eb="38">
      <t xml:space="preserve">カイスウ </t>
    </rPh>
    <phoneticPr fontId="1"/>
  </si>
  <si>
    <t>・データ分析の基本・データの可視化「情報活用基礎Ⅲ」（第3回）
・調査データ、実験データ、人の行動ログデータ、機械の稼働ログデータなど「教育データの活用Ⅰ」（第1回）
・1次データ、2次データ、データのメタ化「教育データの活用Ⅱ」（第7回）
・構造化データ、非構造化データ（文章、画像/動画、音声/音楽など）「ICT活用の理論と方法」（第2回）
・データ作成（ビッグデータとアノテーション）「教育データの活用Ⅰ」（第7回）
・データのオープン化（オープンデータ）「ICT活用の理論と方法」（第7回）</t>
    <rPh sb="7" eb="9">
      <t xml:space="preserve">キホン </t>
    </rPh>
    <rPh sb="14" eb="17">
      <t xml:space="preserve">カシカ </t>
    </rPh>
    <rPh sb="18" eb="22">
      <t>ジョウｈ</t>
    </rPh>
    <rPh sb="22" eb="24">
      <t xml:space="preserve">キソ </t>
    </rPh>
    <rPh sb="27" eb="28">
      <t xml:space="preserve">ダイ </t>
    </rPh>
    <rPh sb="29" eb="30">
      <t xml:space="preserve">カイスウ </t>
    </rPh>
    <phoneticPr fontId="1"/>
  </si>
  <si>
    <t>・表計算によるデータ分析「情報活用基礎Ⅲ」（第4回）
・プログラミングによるデータ処理「情報活用基礎Ⅲ」（第6回）
・AI・データ活用を生かした仕組みの提案「情報活用基礎Ⅲ」（第7・8回）
・データ・AI活用領域の広がり（生産、消費、文化活動など）「ICT活用の理論と方法」（第4回）
・仮説検証、知識発見、原因究明、計画策定、判断支援、活動代替、新規生成など「教育データの活用Ⅱ」（第2〜6回）
・対話、コンテンツ生成、翻訳・要約・執筆支援、コーディング支援など生成AIの応用「ICT活用の理論と方法」（第4回）</t>
    <rPh sb="1" eb="4">
      <t xml:space="preserve">ヒョウケイサン </t>
    </rPh>
    <rPh sb="10" eb="12">
      <t xml:space="preserve">ブンセキ </t>
    </rPh>
    <rPh sb="20" eb="23">
      <t xml:space="preserve">ジョウホウカツヨウキ </t>
    </rPh>
    <rPh sb="27" eb="28">
      <t xml:space="preserve">ダイ </t>
    </rPh>
    <phoneticPr fontId="1"/>
  </si>
  <si>
    <t>・データ解析：予測、グルーピング、パターン発見、最適化、モデル化とシミュレーション「教育データの活用Ⅱ」（第2～6回）
・データ可視化：複合グラフ、2軸グラフ、多次元の可視化、関係性の可視化「教育データの活用Ⅰ」（第7回）
・非構造化データ処理：言語処理、画像/動画処理、音声/音楽処理など「ICT活用の理論と方法」（第2回）
・特化型AIと汎用AI、今のAIで出来ることと出来ないこと、AIとビッグデータ「ICT活用の理論と方法」（第4回）
・認識技術、ルールベース、自動化技術「ICT活用の理論と方法」（第3回）
・マルチモーダル（言語、画像、音声など）、生成AIの活用（プロンプトエンジニアリング）「ICT活用の理論と方法」（第4回）</t>
    <phoneticPr fontId="1"/>
  </si>
  <si>
    <t>・課題抽出と定式化「教育データの活用Ⅰ」（第1回）
・データの取得・管理・加工「教育データの活用Ⅰ」（第8回）
・探索的データ解析「教育データの活用Ⅱ」（第2～4回）
・データ解析と推論「教育データの活用Ⅱ」（第5～6回）
・結果の共有・伝達「教育データの活用Ⅱ」（第7回）
・課題解決に向けた提案「教育データの活用Ⅱ」（第7回）
・教育、芸術、流通、製造、金融、サービス、インフラ、公共、ヘルスケア等におけるデータ・AI利活用事例「ICT活用の理論と方法」（第3回・第7回）</t>
    <phoneticPr fontId="1"/>
  </si>
  <si>
    <t>・AI・データの利活用責任「情報活用基礎Ⅲ」（第2回）
・倫理的・法的・社会的課題（ELSI：Ethical, Legal and Social Issues）「ICT活用の理論と方法」（第7回）「教育データの活用Ⅰ」（第8回）
・個人情報保護、EU一般データ保護規則(GDPR)、忘れられる権利、オプトアウト「教育データの活用Ⅱ」（第8回）
・データ倫理：データのねつ造、改ざん、盗用、プライバシー保護「教育データの活用Ⅰ」（第8回）
・AI社会原則（公平性、説明責任、透明性、人間中心の判断）「ICT活用の理論と方法」（第7回）
・データバイアス、アルゴリズムバイアス「教育データの活用Ⅱ」（第8回）
・AIサービスの責任論「ICT活用の理論と方法」（第4回）
・データガバナンス「教育データの活用Ⅰ」（第8回）
・データ・AI活用における負の事例紹介「ICT活用の理論と方法」（第2回）
・生成AIの留意事項（ハルシネーションによる誤情報の生成、偽情報や有害コンテンツの生成・氾濫 など）「ICT活用の理論と方法」（第4回）</t>
    <rPh sb="8" eb="11">
      <t xml:space="preserve">リカツヨウ </t>
    </rPh>
    <rPh sb="11" eb="13">
      <t xml:space="preserve">セキニン </t>
    </rPh>
    <rPh sb="14" eb="18">
      <t>ジョウホウ</t>
    </rPh>
    <rPh sb="18" eb="20">
      <t xml:space="preserve">キソ </t>
    </rPh>
    <rPh sb="23" eb="24">
      <t xml:space="preserve">ダイ </t>
    </rPh>
    <rPh sb="25" eb="26">
      <t xml:space="preserve">カイスウ </t>
    </rPh>
    <phoneticPr fontId="1"/>
  </si>
  <si>
    <t>・データの種類（量的変数、質的変数）「教育データの活用Ⅰ」（第1回）
・データの分布（ヒストグラム）と代表値（平均値、中央値、最頻値）「教育データの活用Ⅰ」（第2回）
・代表値の性質の違い（実社会では平均値＝最頻値でないことが多い）「教育データの活用Ⅰ」（第2回）
・データのばらつき（分散、標準偏差、偏差値）、外れ値「教育データの活用Ⅰ」（第3回・第4回）
・相関と因果（相関係数、擬似相関、交絡）「教育データの活用Ⅰ」（第6回）
・観測データに含まれる誤差の扱い「教育データの活用Ⅱ」（第2回）
・打ち切りや欠測を含むデータ、層別の必要なデータ「教育データの活用Ⅱ」（第6回）
・母集団と標本抽出（国勢調査、アンケート調査、全数調査、単純無作為抽出、層別抽出、多段抽出）「教育データの活用Ⅰ」（第1回）
・クロス集計表、分割表、相関係数行列、散布図行列「教育データの活用Ⅱ」（第6回）
・統計情報の正しい理解（誇張表現に惑わされない）「教育データの活用Ⅰ」（第7回）</t>
    <phoneticPr fontId="1"/>
  </si>
  <si>
    <t>・AI・データ活用を活かした仕組みの提案「情報活用基礎Ⅲ」（第7・8回）
・データ表現（棒グラフ、折線グラフ、散布図、ヒートマップ、箱ひげ図）「教育データの活用Ⅰ」（第7回）
・データの比較（条件をそろえた比較、処理の前後での比較、A/Bテスト）「教育データの活用Ⅱ」（第3回・第5回）
・不適切なグラフ表現（チャートジャンク、不必要な視覚的要素）「教育データの活用Ⅰ」（第7回）
・優れた可視化事例の紹介（可視化することによって新たな気づきがあった事例など）「教育データの活用Ⅱ」（第7回）
・相手に的確かつ正確に情報を伝える技術や考え方（スライド作成、プレゼンテーションなど）「教育データの活用Ⅱ」（第7回）</t>
    <rPh sb="7" eb="9">
      <t xml:space="preserve">カツヨウヲ </t>
    </rPh>
    <rPh sb="10" eb="11">
      <t xml:space="preserve">イカシタ </t>
    </rPh>
    <rPh sb="14" eb="16">
      <t xml:space="preserve">シクミ </t>
    </rPh>
    <rPh sb="18" eb="20">
      <t xml:space="preserve">テイアン </t>
    </rPh>
    <rPh sb="21" eb="27">
      <t xml:space="preserve">ジョウホウカツヨウキソ </t>
    </rPh>
    <rPh sb="30" eb="31">
      <t xml:space="preserve">ダイ </t>
    </rPh>
    <rPh sb="34" eb="35">
      <t xml:space="preserve">カイスウ </t>
    </rPh>
    <phoneticPr fontId="1"/>
  </si>
  <si>
    <t>・データの取得（機械判読可能なデータの作成・表記方法）「教育データの活用Ⅰ」（第1回）
・データの集計（和、平均）「教育データの活用Ⅰ」（第2回）
・データの並び替え、ランキング「教育データの活用Ⅰ」（第5回）
・データ解析ツール（スプレッドシート、BIツール）「教育データの活用Ⅱ」（第7回）
・表形式のデータ（csv）「教育データの活用Ⅰ」（第1回）</t>
  </si>
  <si>
    <t>数理・データサイエンス・AIの基礎的知識を習得し、ＩＣＴ活用の意義を理解するとともに、学校教育の視点でその知識を適切に活用できるＩＣＴ活用指導力の基礎を身に付ける。</t>
  </si>
  <si>
    <t>令和６</t>
    <rPh sb="0" eb="2">
      <t>レイワ</t>
    </rPh>
    <phoneticPr fontId="1"/>
  </si>
  <si>
    <t>学校教育教員養成課程（小学校教育（夜間）５年専攻を除く）</t>
    <rPh sb="25" eb="26">
      <t>ノゾ</t>
    </rPh>
    <phoneticPr fontId="1"/>
  </si>
  <si>
    <t>学校教育教員養成課程小学校教育（夜間）５年専攻</t>
  </si>
  <si>
    <t>学校教育教員養成課程小学校教育（夜間）５年専攻　３年次編入学</t>
    <rPh sb="25" eb="29">
      <t>ネンジヘンニュウ</t>
    </rPh>
    <rPh sb="29" eb="30">
      <t>ガク</t>
    </rPh>
    <phoneticPr fontId="1"/>
  </si>
  <si>
    <t>養護教諭養成課程</t>
  </si>
  <si>
    <t>教育協働学科</t>
  </si>
  <si>
    <t>鈴木　剛</t>
    <rPh sb="0" eb="4">
      <t>スズキ</t>
    </rPh>
    <phoneticPr fontId="1"/>
  </si>
  <si>
    <t>理事・副学長（教育・研究担当）</t>
  </si>
  <si>
    <t>大阪教育大学基幹教育推進機構</t>
  </si>
  <si>
    <t>機構長（理事・副学長）</t>
    <rPh sb="0" eb="3">
      <t>キコウチョウ</t>
    </rPh>
    <rPh sb="4" eb="6">
      <t>リジ</t>
    </rPh>
    <rPh sb="7" eb="10">
      <t>フクガクチョウ</t>
    </rPh>
    <phoneticPr fontId="1"/>
  </si>
  <si>
    <t>大阪教育大学基幹教育推進機構設置規程及び大阪教育大学基幹教育推進機構会議設置要項</t>
    <rPh sb="0" eb="6">
      <t>オオサカキョウイクダイガク</t>
    </rPh>
    <rPh sb="6" eb="8">
      <t>キカン</t>
    </rPh>
    <rPh sb="8" eb="10">
      <t>キョウイク</t>
    </rPh>
    <rPh sb="10" eb="12">
      <t>スイシン</t>
    </rPh>
    <rPh sb="12" eb="14">
      <t>キコウ</t>
    </rPh>
    <rPh sb="14" eb="16">
      <t>セッチ</t>
    </rPh>
    <rPh sb="16" eb="18">
      <t>キテイ</t>
    </rPh>
    <rPh sb="18" eb="19">
      <t>オヨ</t>
    </rPh>
    <phoneticPr fontId="1"/>
  </si>
  <si>
    <t>役職・所属等</t>
    <rPh sb="0" eb="2">
      <t>ヤクショク</t>
    </rPh>
    <rPh sb="3" eb="5">
      <t>ショゾク</t>
    </rPh>
    <rPh sb="5" eb="6">
      <t>ナド</t>
    </rPh>
    <phoneticPr fontId="1"/>
  </si>
  <si>
    <t>氏名</t>
    <rPh sb="0" eb="2">
      <t>シメイ</t>
    </rPh>
    <phoneticPr fontId="1"/>
  </si>
  <si>
    <t>鈴木　剛</t>
    <phoneticPr fontId="1"/>
  </si>
  <si>
    <t>教授</t>
    <rPh sb="0" eb="2">
      <t>キョウジュ</t>
    </rPh>
    <phoneticPr fontId="1"/>
  </si>
  <si>
    <t>土山　和久</t>
    <phoneticPr fontId="1"/>
  </si>
  <si>
    <t>町頭　義朗</t>
    <phoneticPr fontId="1"/>
  </si>
  <si>
    <t>総合教育系主任</t>
    <phoneticPr fontId="1"/>
  </si>
  <si>
    <t>瀬戸口　昌也</t>
    <rPh sb="0" eb="6">
      <t>セトグチ</t>
    </rPh>
    <phoneticPr fontId="1"/>
  </si>
  <si>
    <t>多文化教育系主任</t>
    <phoneticPr fontId="1"/>
  </si>
  <si>
    <t>赤木　登代</t>
    <rPh sb="0" eb="5">
      <t>アカキ</t>
    </rPh>
    <phoneticPr fontId="1"/>
  </si>
  <si>
    <t>健康安全教育系主任</t>
    <phoneticPr fontId="1"/>
  </si>
  <si>
    <t>鈴木　真由子</t>
    <rPh sb="0" eb="6">
      <t>スズキ</t>
    </rPh>
    <phoneticPr fontId="1"/>
  </si>
  <si>
    <t>理数情報教育系主任</t>
    <phoneticPr fontId="1"/>
  </si>
  <si>
    <t>吉本　直弘</t>
    <rPh sb="0" eb="5">
      <t>ヨシモト</t>
    </rPh>
    <phoneticPr fontId="1"/>
  </si>
  <si>
    <t>表現活動教育系主任</t>
    <phoneticPr fontId="1"/>
  </si>
  <si>
    <t>特任教授</t>
    <rPh sb="0" eb="4">
      <t>トクニンキョウジュ</t>
    </rPh>
    <phoneticPr fontId="1"/>
  </si>
  <si>
    <t>吉田　雅行</t>
    <rPh sb="0" eb="5">
      <t>ヨシダ</t>
    </rPh>
    <phoneticPr fontId="1"/>
  </si>
  <si>
    <t>理事・副学長（附属学校担当）</t>
    <phoneticPr fontId="1"/>
  </si>
  <si>
    <t>藤井　睦子</t>
    <rPh sb="0" eb="5">
      <t>フジイ</t>
    </rPh>
    <phoneticPr fontId="1"/>
  </si>
  <si>
    <t>機構長（理事・副学長）</t>
    <rPh sb="0" eb="3">
      <t>キコウチョウ</t>
    </rPh>
    <phoneticPr fontId="1"/>
  </si>
  <si>
    <t>副機構長（教員養成課程長）</t>
    <rPh sb="0" eb="4">
      <t>フクキコウチョウ</t>
    </rPh>
    <phoneticPr fontId="1"/>
  </si>
  <si>
    <t>副機構長（教育協働学科長）</t>
    <rPh sb="11" eb="12">
      <t>チョウ</t>
    </rPh>
    <phoneticPr fontId="1"/>
  </si>
  <si>
    <t>　プログラムは令和６年度から開設し、必修科目「情報活用基礎Ⅰ・Ⅱ・Ⅲ」は卒業要件上の全学必修科目のため、学年進行により完成年度である令和10年度には、履修率が100％となる予定である。</t>
    <rPh sb="7" eb="9">
      <t>レイワ</t>
    </rPh>
    <rPh sb="10" eb="12">
      <t>ネンド</t>
    </rPh>
    <rPh sb="14" eb="16">
      <t>カイセツ</t>
    </rPh>
    <rPh sb="18" eb="20">
      <t>ヒッシュウ</t>
    </rPh>
    <rPh sb="20" eb="22">
      <t>カモク</t>
    </rPh>
    <rPh sb="40" eb="41">
      <t>ジョウ</t>
    </rPh>
    <rPh sb="42" eb="44">
      <t>ゼンガク</t>
    </rPh>
    <rPh sb="44" eb="48">
      <t>ヒッシュウカモク</t>
    </rPh>
    <rPh sb="59" eb="63">
      <t>カンセイネンド</t>
    </rPh>
    <rPh sb="66" eb="68">
      <t>レイワ</t>
    </rPh>
    <rPh sb="70" eb="72">
      <t>ネンド</t>
    </rPh>
    <rPh sb="75" eb="78">
      <t>リシュウリツ</t>
    </rPh>
    <rPh sb="86" eb="88">
      <t>ヨテイ</t>
    </rPh>
    <phoneticPr fontId="1"/>
  </si>
  <si>
    <t>　必修科目「情報活用基礎Ⅰ・Ⅱ・Ⅲ」は卒業要件上の全学必修科目であるため、必ず履修するよう履修指導を行っている。また、大学ウェブページにて本プログラムの情報を掲載する他、新入生ガイダンスで本プログラムの概要等を説明し、今後は修得時のデジタル証明などを整備してプログラム修了を目指すよう促す。</t>
    <phoneticPr fontId="1"/>
  </si>
  <si>
    <t>　本学では、授業時間内における発問・演習支援に加えて、時間外にも継続的な学習支援が行えるよう、複数の相談体制を整備している。各授業科目では学習管理システム（LMS）上に質問受付スレッドを常設し、教員やTAが学生の疑問に随時対応しているほか、講義後のフィードバック機能を通じた教員からの個別対応も実施している。また、週1回程度、教員のオフィスアワーを設けており、履修者は学修内容や課題に関する質問・相談を対面・オンラインのいずれかで行うことができる。</t>
    <phoneticPr fontId="1"/>
  </si>
  <si>
    <t>大阪教育大学基幹教育推進機構</t>
    <rPh sb="0" eb="6">
      <t>オオサカキョウイクダイガク</t>
    </rPh>
    <rPh sb="6" eb="10">
      <t>キカンキョウイク</t>
    </rPh>
    <rPh sb="10" eb="14">
      <t>スイシンキコウ</t>
    </rPh>
    <phoneticPr fontId="1"/>
  </si>
  <si>
    <t>　令和６年度に実施した学生による授業評価アンケートでは、必修科目「情報活用基礎Ⅰ・Ⅱ・Ⅲ」について、「教員になっても必ず使うようなICT活用方法を学ぶことができた点」「オンデマンド授業だったので自分のペースで進めることができた」「確認テストを何度も受けられた点がよかった。復習しやすかった。」等の自由記述があり、概ね良好と捉えている。これらの結果を本プログラムの評価・改善に活用する。</t>
    <rPh sb="1" eb="3">
      <t>レイワ</t>
    </rPh>
    <rPh sb="4" eb="6">
      <t>ネンド</t>
    </rPh>
    <rPh sb="7" eb="9">
      <t>ジッシ</t>
    </rPh>
    <rPh sb="11" eb="13">
      <t>ガクセイ</t>
    </rPh>
    <rPh sb="16" eb="18">
      <t>ジュギョウ</t>
    </rPh>
    <rPh sb="18" eb="20">
      <t>ヒョウカ</t>
    </rPh>
    <rPh sb="148" eb="152">
      <t>ジユウキジュツ</t>
    </rPh>
    <rPh sb="156" eb="157">
      <t>オオム</t>
    </rPh>
    <rPh sb="158" eb="160">
      <t>リョウコウ</t>
    </rPh>
    <rPh sb="161" eb="162">
      <t>トラ</t>
    </rPh>
    <rPh sb="171" eb="173">
      <t>ケッカ</t>
    </rPh>
    <rPh sb="174" eb="175">
      <t>ホン</t>
    </rPh>
    <rPh sb="181" eb="183">
      <t>ヒョウカ</t>
    </rPh>
    <rPh sb="184" eb="186">
      <t>カイゼン</t>
    </rPh>
    <rPh sb="187" eb="189">
      <t>カツヨウ</t>
    </rPh>
    <phoneticPr fontId="1"/>
  </si>
  <si>
    <t>　いずれの科目についても、学生による授業評価アンケートを実施しており、学生の意見等を次年度以降の授業改善や本プログラムの評価・改善に活用するための体制を整えている。</t>
    <rPh sb="5" eb="7">
      <t>カモク</t>
    </rPh>
    <rPh sb="13" eb="15">
      <t>ガクセイ</t>
    </rPh>
    <rPh sb="18" eb="22">
      <t>ジュギョウヒョウカ</t>
    </rPh>
    <rPh sb="28" eb="30">
      <t>ジッシ</t>
    </rPh>
    <rPh sb="35" eb="37">
      <t>ガクセイ</t>
    </rPh>
    <rPh sb="38" eb="40">
      <t>イケン</t>
    </rPh>
    <rPh sb="40" eb="41">
      <t>ナド</t>
    </rPh>
    <rPh sb="42" eb="47">
      <t>ジネンドイコウ</t>
    </rPh>
    <rPh sb="48" eb="52">
      <t>ジュギョウカイゼン</t>
    </rPh>
    <rPh sb="53" eb="54">
      <t>ホン</t>
    </rPh>
    <rPh sb="60" eb="62">
      <t>ヒョウカ</t>
    </rPh>
    <rPh sb="63" eb="65">
      <t>カイゼン</t>
    </rPh>
    <rPh sb="66" eb="68">
      <t>カツヨウ</t>
    </rPh>
    <rPh sb="73" eb="75">
      <t>タイセイ</t>
    </rPh>
    <rPh sb="76" eb="77">
      <t>トトノ</t>
    </rPh>
    <phoneticPr fontId="1"/>
  </si>
  <si>
    <t>　本プログラムを構成する授業科目のうち、必修科目「情報活用基礎I・II・III」は卒業要件上の全学必修科目であり、年次進行により履修率は100％に到達するため、受講者から他の学生への推奨を必要としない。
　また、２～３回生開講の選択必修科目「ICT活用の理論と方法」「教育データの活用Ⅰ」「教育データの活用Ⅱ」は、小学校・中学校・高等学校教諭の教職課程の科目で構成しており、３科目中２科目以上の修得は、教職課程上の必修として位置づけられている。本学では、収容定員の59％は卒業要件でこの選択必修を満たし、本プログラム修了要件を満たす。さらに、教職課程を卒業要件としない教育協働学科でも、令和５年度卒業者では337名中184名（54.6％）が小学校・中学校・高等学校教諭の教員免許状を取得しており、学部全体で最低でも79％程度の本プログラム修了が見込める。また、教育協働学科は卒業要件上で、教育基礎科目として５単位開講される選択必修科目のうち３単位以上を修得するが、その開講科目には「教育データの活用Ⅰ」「教育データの活用Ⅱ」の２単位が含まれており、教員免許状を取得しない学生においても、一定の履修率を期待できる。そのため、さらに履修率は上振れする。これらのことから、受講者から他の学生への推奨は特に必要と考えない。</t>
    <rPh sb="20" eb="24">
      <t>ヒッシュウカモク</t>
    </rPh>
    <rPh sb="41" eb="45">
      <t>ソツギョウヨウケンゼンガク</t>
    </rPh>
    <rPh sb="45" eb="46">
      <t>ウエ</t>
    </rPh>
    <phoneticPr fontId="1"/>
  </si>
  <si>
    <t>　本プログラムは令和６年度入学生より開設したため、プログラムを修了した卒業生はまだ出ていない。なお、本学では卒業時に全学生にアンケートを実施し、また卒業生対しても定期的に追跡調査を実施していることから、今後のプログラム修了者の活躍状況や学校現場等の評価を確認することは可能となる。</t>
    <rPh sb="1" eb="2">
      <t>ホン</t>
    </rPh>
    <rPh sb="8" eb="10">
      <t>レイワ</t>
    </rPh>
    <rPh sb="11" eb="13">
      <t>ネンド</t>
    </rPh>
    <rPh sb="13" eb="16">
      <t>ニュウガクセイ</t>
    </rPh>
    <rPh sb="18" eb="20">
      <t>カイセツ</t>
    </rPh>
    <rPh sb="31" eb="33">
      <t>シュウリョウ</t>
    </rPh>
    <rPh sb="35" eb="38">
      <t>ソツギョウセイ</t>
    </rPh>
    <rPh sb="41" eb="42">
      <t>デ</t>
    </rPh>
    <rPh sb="68" eb="70">
      <t>ジッシ</t>
    </rPh>
    <rPh sb="85" eb="87">
      <t>ツイセキ</t>
    </rPh>
    <phoneticPr fontId="1"/>
  </si>
  <si>
    <t>　大阪府・大阪市・堺市・豊能地区３市２町といった近隣の教育委員会の教育長等と本学関係者によって構成される合同拡大連携協議会や、大阪府・大阪市・堺市・豊中市の教育長と府下の公立校の校長３名を含む本学への諮問会議である提言委員会において、ICTを活用した教育ができる教員の養成 を求める意見等がこれまでに出されており、その対応として本プログラムにおいてICT活用指導力を習得させることを目指している。半年に一度、進捗状況の確認を学内で行い、合同拡大連携協議会や提言委員会においても情報共有を行っている。</t>
    <phoneticPr fontId="1"/>
  </si>
  <si>
    <t>　本プログラムを構成する授業科目のうち、１回生開講「情報活用基礎Ⅰ・Ⅱ・Ⅲ」は卒業要件上の全学必修科目であり、年次進行により履修率は100％に到達する。２～３回生開講の選択必修科目「ICT活用の理論と方法」「教育データの活用Ⅰ」「教育データの活用Ⅱ」は、小学校・中学校・高等学校教諭の教職課程において、３科目中２科目以上の修得は教職課程上の必修として位置づけていること、教職課程とは別に相互履修の制度を整備して卒業要件の単位とすることができること等、卒業や教員免許状取得を目指すことと連動して、修得率が高くなるプログラムとしている。
　また、多様な学生が本プログラムを円滑に履修・修得できるよう、複数の学修支援体制を整備している。具体的には、各授業科目において学習管理システム（LMS）を積極的に活用し、講義資料や補助教材、オンデマンド学習動画などを随時提供しており、学生の学修状況に応じた反復学習や自学自習が可能となっている。そして、統一した教材を利用することにより、受講クラスによらず完全に同一の内容を受講することが可能であり、繰り返し学習できる環境を整えている。また、演習・実習科目では、TAによる質問対応や学習相談の時間を確保し、操作や理解面での支援を実施している。</t>
    <rPh sb="185" eb="189">
      <t>キョウショクカテイ</t>
    </rPh>
    <rPh sb="191" eb="192">
      <t>ベツ</t>
    </rPh>
    <rPh sb="193" eb="197">
      <t>ソウゴリシュウ</t>
    </rPh>
    <rPh sb="198" eb="200">
      <t>セイド</t>
    </rPh>
    <rPh sb="201" eb="203">
      <t>セイビ</t>
    </rPh>
    <rPh sb="205" eb="207">
      <t>ソツギョウ</t>
    </rPh>
    <rPh sb="207" eb="209">
      <t>ヨウケン</t>
    </rPh>
    <rPh sb="210" eb="212">
      <t>タンイ</t>
    </rPh>
    <rPh sb="223" eb="224">
      <t>ナド</t>
    </rPh>
    <rPh sb="225" eb="227">
      <t>ソツギョウ</t>
    </rPh>
    <rPh sb="228" eb="233">
      <t>キョウインメンキョジョウ</t>
    </rPh>
    <rPh sb="233" eb="235">
      <t>シュトク</t>
    </rPh>
    <rPh sb="236" eb="238">
      <t>メザ</t>
    </rPh>
    <rPh sb="242" eb="244">
      <t>レンドウ</t>
    </rPh>
    <rPh sb="247" eb="250">
      <t>シュウトクリツ</t>
    </rPh>
    <rPh sb="251" eb="252">
      <t>タカ</t>
    </rPh>
    <rPh sb="330" eb="334">
      <t xml:space="preserve">ガクシュウカンリシステム </t>
    </rPh>
    <rPh sb="344" eb="347">
      <t xml:space="preserve">セッキョクテキニ </t>
    </rPh>
    <rPh sb="418" eb="420">
      <t xml:space="preserve">トウイツシタ </t>
    </rPh>
    <rPh sb="422" eb="424">
      <t xml:space="preserve">キョウザイヲ </t>
    </rPh>
    <rPh sb="425" eb="427">
      <t xml:space="preserve">リヨウスルコトニ </t>
    </rPh>
    <rPh sb="435" eb="437">
      <t xml:space="preserve">ジュコウクラス </t>
    </rPh>
    <rPh sb="444" eb="446">
      <t xml:space="preserve">カンゼンニ </t>
    </rPh>
    <rPh sb="447" eb="449">
      <t xml:space="preserve">ドウイツ </t>
    </rPh>
    <rPh sb="450" eb="452">
      <t xml:space="preserve">ナイヨウヲ </t>
    </rPh>
    <rPh sb="453" eb="455">
      <t xml:space="preserve">ジュコウスルコトガ </t>
    </rPh>
    <rPh sb="460" eb="462">
      <t xml:space="preserve">カノウデアリ </t>
    </rPh>
    <phoneticPr fontId="1"/>
  </si>
  <si>
    <t>機構長（理事・副学長）</t>
    <rPh sb="0" eb="2">
      <t>キコウ</t>
    </rPh>
    <rPh sb="2" eb="3">
      <t>チョウ</t>
    </rPh>
    <rPh sb="4" eb="6">
      <t>リジ</t>
    </rPh>
    <rPh sb="7" eb="10">
      <t>フクガクチョウ</t>
    </rPh>
    <phoneticPr fontId="1"/>
  </si>
  <si>
    <t>　本学では、数理・データサイエンス・AIに関する科目を初年次から系統的に学修できるよう開設している。数理・データサイエンス・AIを単なる情報処理の技能としてではなく、教育課題の発見と改善に資する実践的な手段として位置づけ、学生が学ぶことの楽しさや社会的意義、社会とのつながりや将来の職業的意義を体感できる授業設計を行っている。さらに、学生自らがテーマを設定して分析を行う探究型の課題や、他分野の学生と意見交換する場を設けることにより、多面的な視点を得て「学ぶ意義」を実感できるよう工夫している。特に、全学共通の必修科目として開講されている「情報活用基礎Ⅰ・Ⅱ・Ⅲ」（各1単位）では、初年次から段階的に情報リテラシー・データリテラシー・AIリテラシーを育成している。授業では、教育データや学校現場の課題をテーマに取り上げながら、表計算ソフトを活用した基礎的なデータ分析や、教育現場でのICT・AIの活用事例を通して、データの価値と活用意義を実感的に学べるよう工夫している。こうした構成により、自身の学びが将来の教育現場、児童・生徒に対する支援へとつながることを具体的にイメージしながら、数理・データサイエンス・AIを主体的に学ぶ姿勢を培っている。</t>
    <phoneticPr fontId="1"/>
  </si>
  <si>
    <t>　本学では、受講生アンケートやIR分析を活用し、授業内容の理解度や教材の適切性を点検し、改善を図っており、数理・データサイエンス・AIに関する授業の教育水準を維持・向上させながら、学生がより深く理解できるよう「分かりやすさ」に重点を置いた授業改善に継続的に取り組んでいる。たとえば、データ分析や統計に関する科目では、難解な理論を図や具体的な事例を通じて視覚的に伝えることで理解の定着を図っている。特に、身近な事例や最新の話題（例：ICTの進展、データ活用による教育改善等）を題材とすることで、学修内容のリアリティと興味を高めている。また、受講生間でのグループワークの促進のためのコミュニケーションツールの活用場面も取り入れ、授業内外でのコミュニケーションを促進させる工夫を行っている。さらに、教員間での教材共有や授業設計の事例交流も積極的に行っており、教育の質の継続的向上に取り組んでいる。加えて、授業ではオンデマンド型の学習を学習管理システム上で提供し、学生の特性に応じた補足資料や説明動画の提供など、学生主体の学習に対するICTを活用した支援も行っており、「自分のペースで繰り返し学べて理解が深まった」との声も得られている。あわせて、TAを配置し、操作方法や課題内容に対する個別指導を実施することで、多様な学生の理解度に応じたきめ細やかな支援体制を整えている。こうした取り組みにより、教育水準を保ちつつ、より分かりやすい授業が実現されている。</t>
    <phoneticPr fontId="1"/>
  </si>
  <si>
    <t>　必修科目「情報活用基礎Ⅰ・Ⅱ・Ⅲ」は卒業要件上の全学必修科目であり、実施主体である基幹教育推進機構の下に設置される教養教育専門部会情報活用科目作業部会の教員が授業を担当し、授業内容は全学共通として実施している。
　選択必修科目「ICT活用の理論と方法」、「教育データの活用Ⅰ」、「教育データの活用Ⅱ」は、学生の所属する課程・専攻・コースまたは学科により教育課程上の科目の位置づけが異なるが、所属する課程等で開講されていない科目も相互履修の制度により履修が可能であり、卒業要件の単位とすることができる。全学で希望する学生全員が受講可能な体制が整っている。</t>
    <rPh sb="23" eb="24">
      <t>ジョウ</t>
    </rPh>
    <rPh sb="25" eb="27">
      <t>ゼンガク</t>
    </rPh>
    <rPh sb="27" eb="29">
      <t>ヒッシュウ</t>
    </rPh>
    <rPh sb="29" eb="31">
      <t>カモク</t>
    </rPh>
    <rPh sb="35" eb="39">
      <t>ジッシシュタイ</t>
    </rPh>
    <rPh sb="42" eb="50">
      <t>キカンキョウイクスイシンキコウ</t>
    </rPh>
    <rPh sb="51" eb="52">
      <t>シタ</t>
    </rPh>
    <rPh sb="53" eb="55">
      <t>セッチ</t>
    </rPh>
    <rPh sb="58" eb="66">
      <t>キョウヨウキョウイクセンモンブカイ</t>
    </rPh>
    <rPh sb="66" eb="70">
      <t>ジョウホウカツヨウ</t>
    </rPh>
    <rPh sb="70" eb="72">
      <t>カモク</t>
    </rPh>
    <rPh sb="72" eb="76">
      <t>サギョウブカイ</t>
    </rPh>
    <rPh sb="77" eb="79">
      <t>キョウイン</t>
    </rPh>
    <rPh sb="80" eb="82">
      <t>ジュギョウ</t>
    </rPh>
    <rPh sb="83" eb="85">
      <t>タントウ</t>
    </rPh>
    <rPh sb="99" eb="101">
      <t>ジッシ</t>
    </rPh>
    <rPh sb="160" eb="162">
      <t>カテイ</t>
    </rPh>
    <rPh sb="172" eb="174">
      <t>ガッカ</t>
    </rPh>
    <rPh sb="177" eb="182">
      <t>キョウイクカテイジョウ</t>
    </rPh>
    <rPh sb="196" eb="198">
      <t>ショゾク</t>
    </rPh>
    <rPh sb="200" eb="202">
      <t>カテイ</t>
    </rPh>
    <rPh sb="202" eb="203">
      <t>ナド</t>
    </rPh>
    <rPh sb="204" eb="206">
      <t>カイコウ</t>
    </rPh>
    <rPh sb="212" eb="214">
      <t>カモク</t>
    </rPh>
    <rPh sb="215" eb="219">
      <t>ソウゴリシュウ</t>
    </rPh>
    <rPh sb="220" eb="222">
      <t>セイド</t>
    </rPh>
    <rPh sb="225" eb="227">
      <t>リシュウ</t>
    </rPh>
    <rPh sb="228" eb="230">
      <t>カノウ</t>
    </rPh>
    <rPh sb="251" eb="253">
      <t>ゼンガク</t>
    </rPh>
    <rPh sb="254" eb="256">
      <t>キボウ</t>
    </rPh>
    <rPh sb="258" eb="260">
      <t>ガクセイ</t>
    </rPh>
    <rPh sb="260" eb="262">
      <t>ゼンイン</t>
    </rPh>
    <rPh sb="263" eb="267">
      <t>ジュコウカノウ</t>
    </rPh>
    <rPh sb="268" eb="270">
      <t>タイセイ</t>
    </rPh>
    <rPh sb="271" eb="272">
      <t>トトノ</t>
    </rPh>
    <phoneticPr fontId="1"/>
  </si>
  <si>
    <t>学部学生と教職大学院生の教育に関して重点基盤となる共通教育科目及び教職課程の教育実践に関する事項を基幹教育として全学的観点から強化整備し、実施を推進することを目的とし、以下に掲げる業務を行う。
(１)　基幹教育の基本方針の策定に関すること。
(２)　基幹教育の実施の推進に関すること。
(３)　基幹教育の評価の実施に関すること。
(４)　その他基幹教育に関する重要事項
以上の業務を円滑に行うため、機構に基幹教育推進機構会議を置く。
プログラムを構成する科目は共通教育科目のみで構成し、基幹教育推進機構会議が実施の推進や自己点検・評価を担うものとする。</t>
    <rPh sb="186" eb="188">
      <t>イジョウ</t>
    </rPh>
    <rPh sb="189" eb="191">
      <t>ギョウム</t>
    </rPh>
    <rPh sb="192" eb="194">
      <t>エンカツ</t>
    </rPh>
    <rPh sb="195" eb="196">
      <t>オコナ</t>
    </rPh>
    <rPh sb="200" eb="202">
      <t>キコウ</t>
    </rPh>
    <rPh sb="203" eb="207">
      <t>キカンキョウイク</t>
    </rPh>
    <rPh sb="207" eb="209">
      <t>スイシン</t>
    </rPh>
    <rPh sb="209" eb="213">
      <t>キコウカイギ</t>
    </rPh>
    <rPh sb="214" eb="215">
      <t>オ</t>
    </rPh>
    <rPh sb="241" eb="243">
      <t>コウセイ</t>
    </rPh>
    <rPh sb="245" eb="253">
      <t>キカンキョウイクスイシンキコウ</t>
    </rPh>
    <rPh sb="253" eb="255">
      <t>カイギ</t>
    </rPh>
    <rPh sb="256" eb="258">
      <t>ジッシ</t>
    </rPh>
    <rPh sb="259" eb="261">
      <t>スイシン</t>
    </rPh>
    <rPh sb="262" eb="266">
      <t>ジコテンケン</t>
    </rPh>
    <rPh sb="267" eb="269">
      <t>ヒョウカ</t>
    </rPh>
    <rPh sb="270" eb="271">
      <t>ニナ</t>
    </rPh>
    <phoneticPr fontId="1"/>
  </si>
  <si>
    <t>　本プログラムは令和６年度から開始している。プログラムの履修率は、１回生開講「情報活用基礎Ⅰ・Ⅱ・Ⅲ」が卒業要件上の全学必修科目のため、令和１０年度には履修率が100％となる見込みである。
　令和６年度における科目別の履修・修得状況については、必修科目「情報活用基礎Ⅰ・Ⅱ・Ⅲ」は１回生開講科目であり、収容定員に対する各科目の履修率はいずれも24％以上であった。また、収容定員に対する各科目の単位修得率はいずれも22％以上であった。選択必修科目「ICT活用の理論と方法」，「教育データの活用Ⅰ」，「教育データの活用Ⅱ」は、２～３回生開講科目で令和７年度以降順次開講していくため、現時点での履修・修得状況は算出できない。</t>
    <rPh sb="1" eb="2">
      <t>ホン</t>
    </rPh>
    <rPh sb="8" eb="10">
      <t>レイワ</t>
    </rPh>
    <rPh sb="11" eb="13">
      <t>ネンド</t>
    </rPh>
    <rPh sb="15" eb="17">
      <t>カイシ</t>
    </rPh>
    <rPh sb="28" eb="31">
      <t>リシュウリツ</t>
    </rPh>
    <rPh sb="34" eb="36">
      <t>カイセイ</t>
    </rPh>
    <rPh sb="36" eb="38">
      <t>カイコウ</t>
    </rPh>
    <rPh sb="105" eb="108">
      <t>カモクベツ</t>
    </rPh>
    <rPh sb="109" eb="111">
      <t>リシュウ</t>
    </rPh>
    <rPh sb="112" eb="116">
      <t>シュウトクジョウキョウ</t>
    </rPh>
    <rPh sb="122" eb="126">
      <t>ヒッシュウカモク</t>
    </rPh>
    <rPh sb="141" eb="145">
      <t>カイセイカイコウ</t>
    </rPh>
    <rPh sb="145" eb="147">
      <t>カモク</t>
    </rPh>
    <rPh sb="151" eb="155">
      <t>シュウヨウテイイン</t>
    </rPh>
    <rPh sb="156" eb="157">
      <t>タイ</t>
    </rPh>
    <rPh sb="159" eb="162">
      <t>カクカモク</t>
    </rPh>
    <rPh sb="163" eb="166">
      <t>リシュウリツ</t>
    </rPh>
    <rPh sb="174" eb="176">
      <t>イジョウ</t>
    </rPh>
    <rPh sb="184" eb="188">
      <t>シュウヨウテイイン</t>
    </rPh>
    <rPh sb="189" eb="190">
      <t>タイ</t>
    </rPh>
    <rPh sb="192" eb="195">
      <t>カクカモク</t>
    </rPh>
    <rPh sb="196" eb="200">
      <t>タンイシュウトク</t>
    </rPh>
    <rPh sb="200" eb="201">
      <t>リツ</t>
    </rPh>
    <rPh sb="209" eb="211">
      <t>イジョウ</t>
    </rPh>
    <rPh sb="264" eb="266">
      <t>カイセイ</t>
    </rPh>
    <rPh sb="266" eb="268">
      <t>カイコウ</t>
    </rPh>
    <rPh sb="268" eb="270">
      <t>カモク</t>
    </rPh>
    <rPh sb="271" eb="273">
      <t>レイワ</t>
    </rPh>
    <rPh sb="274" eb="278">
      <t>ネンドイコウ</t>
    </rPh>
    <rPh sb="278" eb="280">
      <t>ジュンジ</t>
    </rPh>
    <rPh sb="280" eb="282">
      <t>カイコウ</t>
    </rPh>
    <rPh sb="289" eb="292">
      <t>ゲンジテン</t>
    </rPh>
    <rPh sb="294" eb="296">
      <t>リシュウ</t>
    </rPh>
    <rPh sb="297" eb="301">
      <t>シュウトクジョウキョウ</t>
    </rPh>
    <rPh sb="302" eb="304">
      <t>サンシュツ</t>
    </rPh>
    <phoneticPr fontId="1"/>
  </si>
  <si>
    <t>　必修科目「情報活用基礎I・II・III」は卒業要件上の全学必修科目であり、受講者から他の学生への推奨を必要とせず、年次進行により履修率は100％に到達する。
　また、選択必修科目「ICT活用の理論と方法」「教育データの活用I」「教育データの活用II」は、学生の所属する専攻・コースにより卒業要件上の科目の位置づけが異なるが、いずれも卒業要件の単位として含むことができ、大学ウェブページにて本プログラムの情報を掲載する他、新入生ガイダンスで本プログラムの概要等を説明し、今後は修得時のデジタル証明などを整備してプログラム修了を目指すよう促す。</t>
    <rPh sb="26" eb="27">
      <t>ジョウ</t>
    </rPh>
    <rPh sb="128" eb="130">
      <t>ガクセイ</t>
    </rPh>
    <rPh sb="131" eb="133">
      <t>ショゾク</t>
    </rPh>
    <rPh sb="135" eb="137">
      <t>センコウ</t>
    </rPh>
    <rPh sb="144" eb="149">
      <t>ソツギョウヨウケンジョウ</t>
    </rPh>
    <rPh sb="150" eb="152">
      <t>カモク</t>
    </rPh>
    <rPh sb="153" eb="155">
      <t>イチ</t>
    </rPh>
    <rPh sb="158" eb="159">
      <t>コト</t>
    </rPh>
    <rPh sb="167" eb="171">
      <t>ソツギョウヨウケン</t>
    </rPh>
    <rPh sb="172" eb="174">
      <t>タンイ</t>
    </rPh>
    <rPh sb="177" eb="178">
      <t>フク</t>
    </rPh>
    <phoneticPr fontId="1"/>
  </si>
  <si>
    <t>情報活用基礎Ⅱ</t>
    <rPh sb="0" eb="1">
      <t>ジョウホウ</t>
    </rPh>
    <phoneticPr fontId="1"/>
  </si>
  <si>
    <t xml:space="preserve">・情報セキュリティ対策「情報活用基礎Ⅰ」（第7回）
・情報セキュリティの3要素（機密性、完全性、可用性）「情報活用基礎Ⅱ」（第1回・第2回）、「教育データの活用Ⅰ」（第8回）
・匿名加工情報、暗号化と復号、ユーザ認証と、パスワード、アクセス制御、悪意ある情報搾取「教育データの活用Ⅱ」（第8回）
</t>
    <rPh sb="1" eb="3">
      <t xml:space="preserve">ジョウホウセキュリティタイサク </t>
    </rPh>
    <rPh sb="12" eb="18">
      <t xml:space="preserve">ジョウホウカツヨウキソ </t>
    </rPh>
    <rPh sb="21" eb="22">
      <t xml:space="preserve">ダイ </t>
    </rPh>
    <rPh sb="23" eb="24">
      <t xml:space="preserve">カイスウ </t>
    </rPh>
    <rPh sb="62" eb="63">
      <t>ダイ</t>
    </rPh>
    <rPh sb="64" eb="65">
      <t>カイ</t>
    </rPh>
    <rPh sb="66" eb="67">
      <t>ダイ</t>
    </rPh>
    <rPh sb="68" eb="69">
      <t>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</si>
</sst>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b/>
      <sz val="9"/>
      <color indexed="81"/>
      <name val="MS P ゴシック"/>
      <family val="3"/>
      <charset val="128"/>
    </font>
    <font>
      <sz val="9"/>
      <color indexed="81"/>
      <name val="MS P ゴシック"/>
      <family val="3"/>
      <charset val="128"/>
    </font>
    <font>
      <sz val="8"/>
      <color indexed="81"/>
      <name val="MS P 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8" xfId="0" applyFont="1" applyBorder="1" applyAlignment="1">
      <alignment vertical="top" wrapText="1" shrinkToFit="1"/>
    </xf>
    <xf numFmtId="0" fontId="2" fillId="0" borderId="48" xfId="0" applyFont="1" applyBorder="1" applyAlignment="1">
      <alignment horizontal="left" vertical="center" wrapText="1" shrinkToFit="1"/>
    </xf>
    <xf numFmtId="0" fontId="2" fillId="0" borderId="20" xfId="0" applyFont="1" applyBorder="1" applyAlignment="1">
      <alignment horizontal="left" vertical="center" wrapText="1" shrinkToFit="1"/>
    </xf>
    <xf numFmtId="9" fontId="2" fillId="0" borderId="14" xfId="0" applyNumberFormat="1" applyFont="1" applyBorder="1" applyAlignment="1">
      <alignment vertical="center" shrinkToFit="1"/>
    </xf>
    <xf numFmtId="0" fontId="2" fillId="0" borderId="15" xfId="0" applyFont="1" applyBorder="1" applyAlignment="1">
      <alignment horizontal="center"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2" fillId="0" borderId="1" xfId="0" applyFont="1" applyBorder="1" applyAlignment="1">
      <alignment vertical="center" wrapText="1" shrinkToFit="1"/>
    </xf>
    <xf numFmtId="0" fontId="2" fillId="0" borderId="2" xfId="0" applyFont="1" applyBorder="1" applyAlignment="1">
      <alignment horizontal="center" vertical="center" wrapText="1" shrinkToFit="1"/>
    </xf>
    <xf numFmtId="0" fontId="2" fillId="0" borderId="3" xfId="0" applyFont="1" applyBorder="1" applyAlignment="1">
      <alignment horizontal="center" vertical="center" wrapText="1" shrinkToFit="1"/>
    </xf>
    <xf numFmtId="0" fontId="2" fillId="0" borderId="4" xfId="0" applyFont="1" applyBorder="1" applyAlignment="1">
      <alignment horizontal="center" vertical="center" wrapText="1" shrinkToFit="1"/>
    </xf>
    <xf numFmtId="0" fontId="2" fillId="0" borderId="1" xfId="0" applyFont="1" applyBorder="1" applyAlignment="1">
      <alignment horizontal="center" vertical="center" wrapText="1"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2" xfId="0" applyNumberFormat="1" applyFont="1" applyBorder="1" applyAlignment="1">
      <alignment horizontal="center" vertical="center" shrinkToFit="1"/>
    </xf>
    <xf numFmtId="9" fontId="2" fillId="0" borderId="4" xfId="0" applyNumberFormat="1" applyFont="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topLeftCell="A95" zoomScaleNormal="100" zoomScaleSheetLayoutView="100" workbookViewId="0">
      <selection activeCell="D99" sqref="D99:U99"/>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c r="T1" s="126" t="s">
        <v>12</v>
      </c>
      <c r="U1" s="126"/>
      <c r="V1" s="2" t="s">
        <v>94</v>
      </c>
    </row>
    <row r="2" spans="1:24" ht="18.75" customHeight="1">
      <c r="B2" s="17" t="s">
        <v>93</v>
      </c>
      <c r="C2" s="95" t="s">
        <v>143</v>
      </c>
      <c r="D2" s="96"/>
      <c r="E2" s="96"/>
      <c r="F2" s="96"/>
      <c r="G2" s="96"/>
      <c r="H2" s="96"/>
      <c r="I2" s="96"/>
      <c r="J2" s="97"/>
      <c r="K2" s="18"/>
      <c r="L2" s="6"/>
      <c r="M2" s="6"/>
      <c r="N2" s="6"/>
      <c r="O2" s="6"/>
      <c r="P2" s="6"/>
      <c r="Q2" s="6"/>
      <c r="R2" s="6"/>
      <c r="S2" s="6"/>
      <c r="T2" s="6"/>
      <c r="U2" s="6"/>
    </row>
    <row r="3" spans="1:24" ht="18.75" customHeight="1">
      <c r="B3" s="17" t="s">
        <v>88</v>
      </c>
      <c r="C3" s="127" t="s">
        <v>144</v>
      </c>
      <c r="D3" s="128"/>
      <c r="E3" s="128"/>
      <c r="F3" s="128"/>
      <c r="G3" s="128"/>
      <c r="H3" s="128"/>
      <c r="I3" s="128"/>
      <c r="J3" s="129"/>
      <c r="K3" s="18"/>
      <c r="L3" s="6"/>
      <c r="M3" s="6"/>
      <c r="N3" s="6"/>
      <c r="O3" s="6"/>
      <c r="P3" s="6"/>
      <c r="Q3" s="6"/>
      <c r="R3" s="6"/>
      <c r="S3" s="6"/>
      <c r="T3" s="6"/>
      <c r="U3" s="6"/>
    </row>
    <row r="4" spans="1:24" ht="15" customHeight="1">
      <c r="L4" s="18"/>
      <c r="M4" s="72"/>
      <c r="N4" s="72"/>
      <c r="O4" s="72"/>
      <c r="P4" s="72"/>
      <c r="Q4" s="72"/>
      <c r="R4" s="72"/>
      <c r="S4" s="72"/>
      <c r="T4" s="72"/>
      <c r="U4" s="72"/>
    </row>
    <row r="5" spans="1:24" ht="18" customHeight="1">
      <c r="A5" s="130" t="s">
        <v>141</v>
      </c>
      <c r="B5" s="130"/>
      <c r="C5" s="130"/>
      <c r="D5" s="130"/>
      <c r="E5" s="130"/>
      <c r="F5" s="130"/>
      <c r="G5" s="130"/>
      <c r="H5" s="130"/>
      <c r="I5" s="130"/>
      <c r="J5" s="130"/>
      <c r="K5" s="130"/>
      <c r="L5" s="130"/>
      <c r="M5" s="130"/>
      <c r="N5" s="130"/>
      <c r="O5" s="130"/>
      <c r="P5" s="130"/>
      <c r="Q5" s="130"/>
      <c r="R5" s="130"/>
      <c r="S5" s="130"/>
      <c r="T5" s="130"/>
      <c r="U5" s="130"/>
    </row>
    <row r="6" spans="1:24" ht="15" customHeight="1">
      <c r="B6" s="3"/>
      <c r="C6" s="3"/>
      <c r="D6" s="3"/>
      <c r="E6" s="3"/>
      <c r="F6" s="3"/>
      <c r="G6" s="3"/>
      <c r="H6" s="3"/>
      <c r="I6" s="3"/>
      <c r="J6" s="3"/>
      <c r="K6" s="3"/>
      <c r="L6" s="3"/>
      <c r="M6" s="3"/>
      <c r="N6" s="3"/>
      <c r="O6" s="3"/>
      <c r="P6" s="3"/>
      <c r="Q6" s="3"/>
      <c r="R6" s="3"/>
      <c r="S6" s="3"/>
      <c r="T6" s="3"/>
      <c r="U6" s="3"/>
    </row>
    <row r="7" spans="1:24" ht="15" customHeight="1">
      <c r="A7" s="1" t="s">
        <v>117</v>
      </c>
      <c r="B7" s="3"/>
      <c r="C7" s="3"/>
      <c r="D7" s="3"/>
      <c r="E7" s="3"/>
      <c r="F7" s="2"/>
      <c r="G7" s="2"/>
      <c r="H7" s="2"/>
      <c r="I7" s="2"/>
      <c r="J7" s="2"/>
      <c r="K7" s="2"/>
      <c r="L7" s="101" t="s">
        <v>145</v>
      </c>
      <c r="M7" s="102"/>
      <c r="N7" s="102"/>
      <c r="O7" s="102"/>
      <c r="P7" s="102"/>
      <c r="Q7" s="102"/>
      <c r="R7" s="102"/>
      <c r="S7" s="102"/>
      <c r="T7" s="102"/>
      <c r="U7" s="103"/>
    </row>
    <row r="8" spans="1:24" ht="6" customHeight="1">
      <c r="B8" s="3"/>
      <c r="C8" s="3"/>
      <c r="D8" s="3"/>
      <c r="E8" s="3"/>
      <c r="F8" s="3"/>
      <c r="G8" s="3"/>
      <c r="H8" s="3"/>
      <c r="I8" s="3"/>
      <c r="J8" s="3"/>
      <c r="K8" s="3"/>
      <c r="L8" s="3"/>
      <c r="M8" s="3"/>
      <c r="N8" s="3"/>
      <c r="O8" s="3"/>
      <c r="P8" s="3"/>
      <c r="Q8" s="3"/>
      <c r="R8" s="3"/>
      <c r="S8" s="3"/>
      <c r="T8" s="3"/>
      <c r="U8" s="3"/>
    </row>
    <row r="9" spans="1:24" ht="18" customHeight="1">
      <c r="A9" s="1" t="s">
        <v>118</v>
      </c>
      <c r="C9" s="3"/>
      <c r="D9" s="3"/>
      <c r="K9" s="18"/>
      <c r="L9" s="2"/>
      <c r="M9" s="2"/>
      <c r="N9" s="2"/>
      <c r="O9" s="2"/>
      <c r="P9" s="2"/>
      <c r="Q9" s="2"/>
      <c r="R9" s="2"/>
      <c r="S9" s="2"/>
      <c r="T9" s="2"/>
      <c r="U9" s="2"/>
    </row>
    <row r="10" spans="1:24" ht="6" customHeight="1">
      <c r="B10" s="3"/>
      <c r="C10" s="3"/>
      <c r="D10" s="3"/>
      <c r="E10" s="3"/>
      <c r="F10" s="3"/>
      <c r="G10" s="3"/>
      <c r="H10" s="3"/>
      <c r="I10" s="3"/>
      <c r="J10" s="3"/>
      <c r="K10" s="3"/>
      <c r="L10" s="10"/>
      <c r="M10" s="3"/>
      <c r="N10" s="3"/>
      <c r="O10" s="3"/>
      <c r="P10" s="3"/>
      <c r="Q10" s="3"/>
      <c r="R10" s="3"/>
      <c r="S10" s="3"/>
      <c r="T10" s="3"/>
      <c r="U10" s="3"/>
    </row>
    <row r="11" spans="1:24" ht="18" customHeight="1">
      <c r="B11" s="104"/>
      <c r="C11" s="105"/>
      <c r="D11" s="105"/>
      <c r="E11" s="105"/>
      <c r="F11" s="105"/>
      <c r="G11" s="105"/>
      <c r="H11" s="105"/>
      <c r="I11" s="105"/>
      <c r="J11" s="105"/>
      <c r="K11" s="105"/>
      <c r="L11" s="105"/>
      <c r="M11" s="105"/>
      <c r="N11" s="105"/>
      <c r="O11" s="105"/>
      <c r="P11" s="105"/>
      <c r="Q11" s="105"/>
      <c r="R11" s="105"/>
      <c r="S11" s="105"/>
      <c r="T11" s="105"/>
      <c r="U11" s="106"/>
    </row>
    <row r="12" spans="1:24" ht="18" customHeight="1">
      <c r="B12" s="107"/>
      <c r="C12" s="108"/>
      <c r="D12" s="108"/>
      <c r="E12" s="108"/>
      <c r="F12" s="108"/>
      <c r="G12" s="108"/>
      <c r="H12" s="108"/>
      <c r="I12" s="108"/>
      <c r="J12" s="108"/>
      <c r="K12" s="108"/>
      <c r="L12" s="108"/>
      <c r="M12" s="108"/>
      <c r="N12" s="108"/>
      <c r="O12" s="108"/>
      <c r="P12" s="108"/>
      <c r="Q12" s="108"/>
      <c r="R12" s="108"/>
      <c r="S12" s="108"/>
      <c r="T12" s="108"/>
      <c r="U12" s="109"/>
    </row>
    <row r="13" spans="1:24" ht="6" customHeight="1">
      <c r="B13" s="3"/>
      <c r="C13" s="3"/>
      <c r="D13" s="3"/>
      <c r="E13" s="3"/>
      <c r="F13" s="3"/>
      <c r="G13" s="3"/>
      <c r="H13" s="3"/>
      <c r="I13" s="3"/>
      <c r="J13" s="3"/>
      <c r="K13" s="3"/>
      <c r="L13" s="10"/>
      <c r="M13" s="3"/>
      <c r="N13" s="3"/>
      <c r="O13" s="3"/>
      <c r="P13" s="3"/>
      <c r="Q13" s="3"/>
      <c r="R13" s="3"/>
      <c r="S13" s="3"/>
      <c r="T13" s="3"/>
      <c r="U13" s="3"/>
    </row>
    <row r="14" spans="1:24" ht="18" customHeight="1">
      <c r="A14" s="1" t="s">
        <v>95</v>
      </c>
      <c r="B14" s="3"/>
      <c r="C14" s="3"/>
      <c r="D14" s="3"/>
      <c r="E14" s="18"/>
      <c r="F14" s="18"/>
      <c r="G14" s="18"/>
      <c r="H14" s="18"/>
      <c r="I14" s="18"/>
      <c r="J14" s="18"/>
      <c r="K14" s="18"/>
      <c r="L14" s="73"/>
      <c r="M14" s="73"/>
      <c r="N14" s="73"/>
      <c r="O14" s="73"/>
      <c r="P14" s="73"/>
      <c r="Q14" s="73"/>
      <c r="R14" s="73"/>
      <c r="S14" s="73"/>
      <c r="T14" s="73"/>
      <c r="U14" s="73"/>
    </row>
    <row r="15" spans="1:24" ht="18" customHeight="1">
      <c r="B15" s="131" t="s">
        <v>146</v>
      </c>
      <c r="C15" s="132"/>
      <c r="D15" s="132"/>
      <c r="E15" s="132"/>
      <c r="F15" s="132"/>
      <c r="G15" s="132"/>
      <c r="H15" s="132"/>
      <c r="I15" s="132"/>
      <c r="J15" s="132"/>
      <c r="K15" s="132"/>
      <c r="L15" s="132"/>
      <c r="M15" s="132"/>
      <c r="N15" s="132"/>
      <c r="O15" s="132"/>
      <c r="P15" s="132"/>
      <c r="Q15" s="132"/>
      <c r="R15" s="132"/>
      <c r="S15" s="132"/>
      <c r="T15" s="132"/>
      <c r="U15" s="133"/>
      <c r="X15" s="1" t="s">
        <v>89</v>
      </c>
    </row>
    <row r="16" spans="1:24" ht="18" customHeight="1">
      <c r="B16" s="134"/>
      <c r="C16" s="135"/>
      <c r="D16" s="135"/>
      <c r="E16" s="135"/>
      <c r="F16" s="135"/>
      <c r="G16" s="135"/>
      <c r="H16" s="135"/>
      <c r="I16" s="135"/>
      <c r="J16" s="135"/>
      <c r="K16" s="135"/>
      <c r="L16" s="135"/>
      <c r="M16" s="135"/>
      <c r="N16" s="135"/>
      <c r="O16" s="135"/>
      <c r="P16" s="135"/>
      <c r="Q16" s="135"/>
      <c r="R16" s="135"/>
      <c r="S16" s="135"/>
      <c r="T16" s="135"/>
      <c r="U16" s="136"/>
      <c r="X16" s="1" t="s">
        <v>122</v>
      </c>
    </row>
    <row r="17" spans="1:24" ht="18" customHeight="1">
      <c r="B17" s="134"/>
      <c r="C17" s="135"/>
      <c r="D17" s="135"/>
      <c r="E17" s="135"/>
      <c r="F17" s="135"/>
      <c r="G17" s="135"/>
      <c r="H17" s="135"/>
      <c r="I17" s="135"/>
      <c r="J17" s="135"/>
      <c r="K17" s="135"/>
      <c r="L17" s="135"/>
      <c r="M17" s="135"/>
      <c r="N17" s="135"/>
      <c r="O17" s="135"/>
      <c r="P17" s="135"/>
      <c r="Q17" s="135"/>
      <c r="R17" s="135"/>
      <c r="S17" s="135"/>
      <c r="T17" s="135"/>
      <c r="U17" s="136"/>
      <c r="X17" s="1" t="s">
        <v>123</v>
      </c>
    </row>
    <row r="18" spans="1:24" ht="18" customHeight="1">
      <c r="B18" s="134"/>
      <c r="C18" s="135"/>
      <c r="D18" s="135"/>
      <c r="E18" s="135"/>
      <c r="F18" s="135"/>
      <c r="G18" s="135"/>
      <c r="H18" s="135"/>
      <c r="I18" s="135"/>
      <c r="J18" s="135"/>
      <c r="K18" s="135"/>
      <c r="L18" s="135"/>
      <c r="M18" s="135"/>
      <c r="N18" s="135"/>
      <c r="O18" s="135"/>
      <c r="P18" s="135"/>
      <c r="Q18" s="135"/>
      <c r="R18" s="135"/>
      <c r="S18" s="135"/>
      <c r="T18" s="135"/>
      <c r="U18" s="136"/>
      <c r="X18" s="1" t="s">
        <v>124</v>
      </c>
    </row>
    <row r="19" spans="1:24" ht="18" customHeight="1">
      <c r="B19" s="134"/>
      <c r="C19" s="135"/>
      <c r="D19" s="135"/>
      <c r="E19" s="135"/>
      <c r="F19" s="135"/>
      <c r="G19" s="135"/>
      <c r="H19" s="135"/>
      <c r="I19" s="135"/>
      <c r="J19" s="135"/>
      <c r="K19" s="135"/>
      <c r="L19" s="135"/>
      <c r="M19" s="135"/>
      <c r="N19" s="135"/>
      <c r="O19" s="135"/>
      <c r="P19" s="135"/>
      <c r="Q19" s="135"/>
      <c r="R19" s="135"/>
      <c r="S19" s="135"/>
      <c r="T19" s="135"/>
      <c r="U19" s="136"/>
    </row>
    <row r="20" spans="1:24" ht="18" customHeight="1">
      <c r="B20" s="137"/>
      <c r="C20" s="138"/>
      <c r="D20" s="138"/>
      <c r="E20" s="138"/>
      <c r="F20" s="138"/>
      <c r="G20" s="138"/>
      <c r="H20" s="138"/>
      <c r="I20" s="138"/>
      <c r="J20" s="138"/>
      <c r="K20" s="138"/>
      <c r="L20" s="138"/>
      <c r="M20" s="138"/>
      <c r="N20" s="138"/>
      <c r="O20" s="138"/>
      <c r="P20" s="138"/>
      <c r="Q20" s="138"/>
      <c r="R20" s="138"/>
      <c r="S20" s="138"/>
      <c r="T20" s="138"/>
      <c r="U20" s="139"/>
    </row>
    <row r="21" spans="1:24" ht="7.5" customHeight="1">
      <c r="B21" s="3"/>
      <c r="C21" s="3"/>
      <c r="D21" s="3"/>
      <c r="E21" s="3"/>
      <c r="F21" s="3"/>
      <c r="G21" s="3"/>
      <c r="H21" s="3"/>
      <c r="I21" s="3"/>
      <c r="J21" s="3"/>
      <c r="K21" s="3"/>
      <c r="L21" s="3"/>
      <c r="M21" s="3"/>
      <c r="N21" s="3"/>
      <c r="O21" s="3"/>
      <c r="P21" s="3"/>
      <c r="Q21" s="3"/>
      <c r="R21" s="3"/>
      <c r="S21" s="3"/>
      <c r="T21" s="3"/>
      <c r="U21" s="3"/>
    </row>
    <row r="22" spans="1:24" ht="19.899999999999999" customHeight="1">
      <c r="B22" s="1" t="s">
        <v>119</v>
      </c>
      <c r="E22" s="74">
        <v>5</v>
      </c>
      <c r="F22" s="1" t="s">
        <v>107</v>
      </c>
      <c r="H22" s="19">
        <v>5</v>
      </c>
      <c r="I22" s="3" t="s">
        <v>108</v>
      </c>
      <c r="J22" s="3"/>
      <c r="K22" s="18"/>
      <c r="M22" s="18" t="s">
        <v>104</v>
      </c>
      <c r="N22" s="98" t="s">
        <v>124</v>
      </c>
      <c r="O22" s="99"/>
      <c r="P22" s="99"/>
      <c r="Q22" s="99"/>
      <c r="R22" s="99"/>
      <c r="S22" s="99"/>
      <c r="T22" s="99"/>
      <c r="U22" s="100"/>
    </row>
    <row r="23" spans="1:24" ht="7.5" customHeight="1">
      <c r="B23" s="3"/>
      <c r="C23" s="3"/>
      <c r="D23" s="3"/>
      <c r="E23" s="3"/>
      <c r="F23" s="3"/>
      <c r="G23" s="3"/>
      <c r="H23" s="3"/>
      <c r="I23" s="3"/>
      <c r="J23" s="3"/>
      <c r="K23" s="3"/>
      <c r="L23" s="3"/>
      <c r="M23" s="3"/>
      <c r="N23" s="3"/>
      <c r="O23" s="3"/>
      <c r="P23" s="3"/>
      <c r="Q23" s="3"/>
      <c r="R23" s="3"/>
      <c r="S23" s="3"/>
      <c r="T23" s="3"/>
      <c r="U23" s="3"/>
    </row>
    <row r="24" spans="1:24" ht="18" customHeight="1">
      <c r="A24" s="119" t="s">
        <v>96</v>
      </c>
      <c r="B24" s="119"/>
      <c r="C24" s="119"/>
      <c r="D24" s="119"/>
      <c r="E24" s="119"/>
      <c r="F24" s="119"/>
      <c r="G24" s="119"/>
      <c r="H24" s="119"/>
      <c r="I24" s="119"/>
      <c r="J24" s="119"/>
      <c r="K24" s="119"/>
      <c r="L24" s="119"/>
      <c r="M24" s="119"/>
      <c r="N24" s="119"/>
      <c r="O24" s="119"/>
      <c r="P24" s="119"/>
      <c r="Q24" s="119"/>
      <c r="R24" s="119"/>
      <c r="S24" s="119"/>
      <c r="T24" s="119"/>
      <c r="U24" s="119"/>
    </row>
    <row r="25" spans="1:24" ht="18" customHeight="1">
      <c r="A25" s="119"/>
      <c r="B25" s="119"/>
      <c r="C25" s="119"/>
      <c r="D25" s="119"/>
      <c r="E25" s="119"/>
      <c r="F25" s="119"/>
      <c r="G25" s="119"/>
      <c r="H25" s="119"/>
      <c r="I25" s="119"/>
      <c r="J25" s="119"/>
      <c r="K25" s="119"/>
      <c r="L25" s="119"/>
      <c r="M25" s="119"/>
      <c r="N25" s="119"/>
      <c r="O25" s="119"/>
      <c r="P25" s="119"/>
      <c r="Q25" s="119"/>
      <c r="R25" s="119"/>
      <c r="S25" s="119"/>
      <c r="T25" s="119"/>
      <c r="U25" s="119"/>
    </row>
    <row r="26" spans="1:24" ht="18" customHeight="1">
      <c r="B26" s="95" t="s">
        <v>48</v>
      </c>
      <c r="C26" s="96"/>
      <c r="D26" s="96"/>
      <c r="E26" s="96"/>
      <c r="F26" s="97"/>
      <c r="G26" s="58" t="s">
        <v>73</v>
      </c>
      <c r="H26" s="59" t="s">
        <v>76</v>
      </c>
      <c r="I26" s="60" t="s">
        <v>51</v>
      </c>
      <c r="J26" s="60" t="s">
        <v>54</v>
      </c>
      <c r="K26" s="95" t="s">
        <v>48</v>
      </c>
      <c r="L26" s="96"/>
      <c r="M26" s="96"/>
      <c r="N26" s="96"/>
      <c r="O26" s="96"/>
      <c r="P26" s="96"/>
      <c r="Q26" s="97"/>
      <c r="R26" s="58" t="s">
        <v>73</v>
      </c>
      <c r="S26" s="59" t="s">
        <v>76</v>
      </c>
      <c r="T26" s="60" t="s">
        <v>51</v>
      </c>
      <c r="U26" s="60" t="s">
        <v>54</v>
      </c>
    </row>
    <row r="27" spans="1:24" ht="18" customHeight="1">
      <c r="B27" s="116" t="s">
        <v>147</v>
      </c>
      <c r="C27" s="117"/>
      <c r="D27" s="117"/>
      <c r="E27" s="117"/>
      <c r="F27" s="118"/>
      <c r="G27" s="61">
        <v>1</v>
      </c>
      <c r="H27" s="61" t="s">
        <v>148</v>
      </c>
      <c r="I27" s="61"/>
      <c r="J27" s="61" t="s">
        <v>148</v>
      </c>
      <c r="K27" s="116"/>
      <c r="L27" s="117"/>
      <c r="M27" s="117"/>
      <c r="N27" s="117"/>
      <c r="O27" s="117"/>
      <c r="P27" s="117"/>
      <c r="Q27" s="118"/>
      <c r="R27" s="61"/>
      <c r="S27" s="61"/>
      <c r="T27" s="61"/>
      <c r="U27" s="61"/>
    </row>
    <row r="28" spans="1:24" ht="18" customHeight="1">
      <c r="B28" s="110" t="s">
        <v>149</v>
      </c>
      <c r="C28" s="111"/>
      <c r="D28" s="111"/>
      <c r="E28" s="111"/>
      <c r="F28" s="112"/>
      <c r="G28" s="62">
        <v>1</v>
      </c>
      <c r="H28" s="62"/>
      <c r="I28" s="62" t="s">
        <v>148</v>
      </c>
      <c r="J28" s="62" t="s">
        <v>148</v>
      </c>
      <c r="K28" s="110"/>
      <c r="L28" s="111"/>
      <c r="M28" s="111"/>
      <c r="N28" s="111"/>
      <c r="O28" s="111"/>
      <c r="P28" s="111"/>
      <c r="Q28" s="112"/>
      <c r="R28" s="62"/>
      <c r="S28" s="62"/>
      <c r="T28" s="62"/>
      <c r="U28" s="62"/>
    </row>
    <row r="29" spans="1:24" ht="18" customHeight="1">
      <c r="B29" s="110" t="s">
        <v>150</v>
      </c>
      <c r="C29" s="111"/>
      <c r="D29" s="111"/>
      <c r="E29" s="111"/>
      <c r="F29" s="112"/>
      <c r="G29" s="62">
        <v>1</v>
      </c>
      <c r="H29" s="62"/>
      <c r="I29" s="62" t="s">
        <v>148</v>
      </c>
      <c r="J29" s="62"/>
      <c r="K29" s="110"/>
      <c r="L29" s="111"/>
      <c r="M29" s="111"/>
      <c r="N29" s="111"/>
      <c r="O29" s="111"/>
      <c r="P29" s="111"/>
      <c r="Q29" s="112"/>
      <c r="R29" s="62"/>
      <c r="S29" s="62"/>
      <c r="T29" s="62"/>
      <c r="U29" s="62"/>
    </row>
    <row r="30" spans="1:24" ht="18" customHeight="1">
      <c r="B30" s="110" t="s">
        <v>151</v>
      </c>
      <c r="C30" s="111"/>
      <c r="D30" s="111"/>
      <c r="E30" s="111"/>
      <c r="F30" s="112"/>
      <c r="G30" s="62">
        <v>1</v>
      </c>
      <c r="H30" s="62"/>
      <c r="I30" s="62" t="s">
        <v>148</v>
      </c>
      <c r="J30" s="62"/>
      <c r="K30" s="110"/>
      <c r="L30" s="111"/>
      <c r="M30" s="111"/>
      <c r="N30" s="111"/>
      <c r="O30" s="111"/>
      <c r="P30" s="111"/>
      <c r="Q30" s="112"/>
      <c r="R30" s="62"/>
      <c r="S30" s="62"/>
      <c r="T30" s="62"/>
      <c r="U30" s="62"/>
    </row>
    <row r="31" spans="1:24" ht="18" customHeight="1">
      <c r="B31" s="110"/>
      <c r="C31" s="111"/>
      <c r="D31" s="111"/>
      <c r="E31" s="111"/>
      <c r="F31" s="112"/>
      <c r="G31" s="62"/>
      <c r="H31" s="62"/>
      <c r="I31" s="62"/>
      <c r="J31" s="62"/>
      <c r="K31" s="110"/>
      <c r="L31" s="111"/>
      <c r="M31" s="111"/>
      <c r="N31" s="111"/>
      <c r="O31" s="111"/>
      <c r="P31" s="111"/>
      <c r="Q31" s="112"/>
      <c r="R31" s="62"/>
      <c r="S31" s="62"/>
      <c r="T31" s="62"/>
      <c r="U31" s="62"/>
    </row>
    <row r="32" spans="1:24" ht="18" customHeight="1">
      <c r="A32" s="3"/>
      <c r="B32" s="110"/>
      <c r="C32" s="111"/>
      <c r="D32" s="111"/>
      <c r="E32" s="111"/>
      <c r="F32" s="112"/>
      <c r="G32" s="62"/>
      <c r="H32" s="62"/>
      <c r="I32" s="62"/>
      <c r="J32" s="62"/>
      <c r="K32" s="110"/>
      <c r="L32" s="111"/>
      <c r="M32" s="111"/>
      <c r="N32" s="111"/>
      <c r="O32" s="111"/>
      <c r="P32" s="111"/>
      <c r="Q32" s="112"/>
      <c r="R32" s="62"/>
      <c r="S32" s="62"/>
      <c r="T32" s="62"/>
      <c r="U32" s="62"/>
    </row>
    <row r="33" spans="1:21" ht="18" customHeight="1">
      <c r="A33" s="3"/>
      <c r="B33" s="113"/>
      <c r="C33" s="114"/>
      <c r="D33" s="114"/>
      <c r="E33" s="114"/>
      <c r="F33" s="115"/>
      <c r="G33" s="63"/>
      <c r="H33" s="63"/>
      <c r="I33" s="64"/>
      <c r="J33" s="64"/>
      <c r="K33" s="113"/>
      <c r="L33" s="114"/>
      <c r="M33" s="114"/>
      <c r="N33" s="114"/>
      <c r="O33" s="114"/>
      <c r="P33" s="114"/>
      <c r="Q33" s="115"/>
      <c r="R33" s="63"/>
      <c r="S33" s="63"/>
      <c r="T33" s="64"/>
      <c r="U33" s="64"/>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19" t="s">
        <v>97</v>
      </c>
      <c r="B35" s="119"/>
      <c r="C35" s="119"/>
      <c r="D35" s="119"/>
      <c r="E35" s="119"/>
      <c r="F35" s="119"/>
      <c r="G35" s="119"/>
      <c r="H35" s="119"/>
      <c r="I35" s="119"/>
      <c r="J35" s="119"/>
      <c r="K35" s="119"/>
      <c r="L35" s="119"/>
      <c r="M35" s="119"/>
      <c r="N35" s="119"/>
      <c r="O35" s="119"/>
      <c r="P35" s="119"/>
      <c r="Q35" s="119"/>
      <c r="R35" s="119"/>
      <c r="S35" s="119"/>
      <c r="T35" s="119"/>
      <c r="U35" s="119"/>
    </row>
    <row r="36" spans="1:21" ht="18" customHeight="1">
      <c r="A36" s="119"/>
      <c r="B36" s="119"/>
      <c r="C36" s="119"/>
      <c r="D36" s="119"/>
      <c r="E36" s="119"/>
      <c r="F36" s="119"/>
      <c r="G36" s="119"/>
      <c r="H36" s="119"/>
      <c r="I36" s="119"/>
      <c r="J36" s="119"/>
      <c r="K36" s="119"/>
      <c r="L36" s="119"/>
      <c r="M36" s="119"/>
      <c r="N36" s="119"/>
      <c r="O36" s="119"/>
      <c r="P36" s="119"/>
      <c r="Q36" s="119"/>
      <c r="R36" s="119"/>
      <c r="S36" s="119"/>
      <c r="T36" s="119"/>
      <c r="U36" s="119"/>
    </row>
    <row r="37" spans="1:21" ht="18" customHeight="1">
      <c r="B37" s="95" t="s">
        <v>48</v>
      </c>
      <c r="C37" s="96"/>
      <c r="D37" s="96"/>
      <c r="E37" s="96"/>
      <c r="F37" s="97"/>
      <c r="G37" s="58" t="s">
        <v>73</v>
      </c>
      <c r="H37" s="59" t="s">
        <v>76</v>
      </c>
      <c r="I37" s="60" t="s">
        <v>64</v>
      </c>
      <c r="J37" s="60" t="s">
        <v>65</v>
      </c>
      <c r="K37" s="95" t="s">
        <v>48</v>
      </c>
      <c r="L37" s="96"/>
      <c r="M37" s="96"/>
      <c r="N37" s="96"/>
      <c r="O37" s="96"/>
      <c r="P37" s="96"/>
      <c r="Q37" s="97"/>
      <c r="R37" s="58" t="s">
        <v>73</v>
      </c>
      <c r="S37" s="59" t="s">
        <v>76</v>
      </c>
      <c r="T37" s="60" t="s">
        <v>64</v>
      </c>
      <c r="U37" s="60" t="s">
        <v>65</v>
      </c>
    </row>
    <row r="38" spans="1:21" ht="18" customHeight="1">
      <c r="B38" s="116" t="s">
        <v>147</v>
      </c>
      <c r="C38" s="117"/>
      <c r="D38" s="117"/>
      <c r="E38" s="117"/>
      <c r="F38" s="118"/>
      <c r="G38" s="61">
        <v>1</v>
      </c>
      <c r="H38" s="61" t="s">
        <v>148</v>
      </c>
      <c r="I38" s="61" t="s">
        <v>148</v>
      </c>
      <c r="J38" s="61" t="s">
        <v>148</v>
      </c>
      <c r="K38" s="116"/>
      <c r="L38" s="117"/>
      <c r="M38" s="117"/>
      <c r="N38" s="117"/>
      <c r="O38" s="117"/>
      <c r="P38" s="117"/>
      <c r="Q38" s="118"/>
      <c r="R38" s="61"/>
      <c r="S38" s="61"/>
      <c r="T38" s="61"/>
      <c r="U38" s="61"/>
    </row>
    <row r="39" spans="1:21" ht="18" customHeight="1">
      <c r="B39" s="110" t="s">
        <v>149</v>
      </c>
      <c r="C39" s="111"/>
      <c r="D39" s="111"/>
      <c r="E39" s="111"/>
      <c r="F39" s="112"/>
      <c r="G39" s="62">
        <v>1</v>
      </c>
      <c r="H39" s="62"/>
      <c r="I39" s="62" t="s">
        <v>148</v>
      </c>
      <c r="J39" s="62" t="s">
        <v>148</v>
      </c>
      <c r="K39" s="110"/>
      <c r="L39" s="111"/>
      <c r="M39" s="111"/>
      <c r="N39" s="111"/>
      <c r="O39" s="111"/>
      <c r="P39" s="111"/>
      <c r="Q39" s="112"/>
      <c r="R39" s="62"/>
      <c r="S39" s="62"/>
      <c r="T39" s="62"/>
      <c r="U39" s="62"/>
    </row>
    <row r="40" spans="1:21" ht="18" customHeight="1">
      <c r="B40" s="110" t="s">
        <v>150</v>
      </c>
      <c r="C40" s="111"/>
      <c r="D40" s="111"/>
      <c r="E40" s="111"/>
      <c r="F40" s="112"/>
      <c r="G40" s="62">
        <v>1</v>
      </c>
      <c r="H40" s="62"/>
      <c r="I40" s="62" t="s">
        <v>148</v>
      </c>
      <c r="J40" s="62"/>
      <c r="K40" s="110"/>
      <c r="L40" s="111"/>
      <c r="M40" s="111"/>
      <c r="N40" s="111"/>
      <c r="O40" s="111"/>
      <c r="P40" s="111"/>
      <c r="Q40" s="112"/>
      <c r="R40" s="62"/>
      <c r="S40" s="62"/>
      <c r="T40" s="62"/>
      <c r="U40" s="62"/>
    </row>
    <row r="41" spans="1:21" ht="18" customHeight="1">
      <c r="B41" s="110" t="s">
        <v>151</v>
      </c>
      <c r="C41" s="111"/>
      <c r="D41" s="111"/>
      <c r="E41" s="111"/>
      <c r="F41" s="112"/>
      <c r="G41" s="62">
        <v>1</v>
      </c>
      <c r="H41" s="62"/>
      <c r="I41" s="62" t="s">
        <v>148</v>
      </c>
      <c r="J41" s="62" t="s">
        <v>148</v>
      </c>
      <c r="K41" s="110"/>
      <c r="L41" s="111"/>
      <c r="M41" s="111"/>
      <c r="N41" s="111"/>
      <c r="O41" s="111"/>
      <c r="P41" s="111"/>
      <c r="Q41" s="112"/>
      <c r="R41" s="62"/>
      <c r="S41" s="62"/>
      <c r="T41" s="62"/>
      <c r="U41" s="62"/>
    </row>
    <row r="42" spans="1:21" ht="18" customHeight="1">
      <c r="B42" s="110"/>
      <c r="C42" s="111"/>
      <c r="D42" s="111"/>
      <c r="E42" s="111"/>
      <c r="F42" s="112"/>
      <c r="G42" s="62"/>
      <c r="H42" s="62"/>
      <c r="I42" s="62"/>
      <c r="J42" s="62"/>
      <c r="K42" s="110"/>
      <c r="L42" s="111"/>
      <c r="M42" s="111"/>
      <c r="N42" s="111"/>
      <c r="O42" s="111"/>
      <c r="P42" s="111"/>
      <c r="Q42" s="112"/>
      <c r="R42" s="62"/>
      <c r="S42" s="62"/>
      <c r="T42" s="62"/>
      <c r="U42" s="62"/>
    </row>
    <row r="43" spans="1:21" ht="18" customHeight="1">
      <c r="B43" s="110"/>
      <c r="C43" s="111"/>
      <c r="D43" s="111"/>
      <c r="E43" s="111"/>
      <c r="F43" s="112"/>
      <c r="G43" s="62"/>
      <c r="H43" s="62"/>
      <c r="I43" s="62"/>
      <c r="J43" s="62"/>
      <c r="K43" s="110"/>
      <c r="L43" s="111"/>
      <c r="M43" s="111"/>
      <c r="N43" s="111"/>
      <c r="O43" s="111"/>
      <c r="P43" s="111"/>
      <c r="Q43" s="112"/>
      <c r="R43" s="62"/>
      <c r="S43" s="62"/>
      <c r="T43" s="62"/>
      <c r="U43" s="62"/>
    </row>
    <row r="44" spans="1:21" ht="18" customHeight="1">
      <c r="B44" s="113"/>
      <c r="C44" s="114"/>
      <c r="D44" s="114"/>
      <c r="E44" s="114"/>
      <c r="F44" s="115"/>
      <c r="G44" s="63"/>
      <c r="H44" s="63"/>
      <c r="I44" s="64"/>
      <c r="J44" s="64"/>
      <c r="K44" s="113"/>
      <c r="L44" s="114"/>
      <c r="M44" s="114"/>
      <c r="N44" s="114"/>
      <c r="O44" s="114"/>
      <c r="P44" s="114"/>
      <c r="Q44" s="115"/>
      <c r="R44" s="63"/>
      <c r="S44" s="63"/>
      <c r="T44" s="64"/>
      <c r="U44" s="64"/>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19" t="s">
        <v>98</v>
      </c>
      <c r="B46" s="119"/>
      <c r="C46" s="119"/>
      <c r="D46" s="119"/>
      <c r="E46" s="119"/>
      <c r="F46" s="119"/>
      <c r="G46" s="119"/>
      <c r="H46" s="119"/>
      <c r="I46" s="119"/>
      <c r="J46" s="119"/>
      <c r="K46" s="119"/>
      <c r="L46" s="119"/>
      <c r="M46" s="119"/>
      <c r="N46" s="119"/>
      <c r="O46" s="119"/>
      <c r="P46" s="119"/>
      <c r="Q46" s="119"/>
      <c r="R46" s="119"/>
      <c r="S46" s="119"/>
      <c r="T46" s="119"/>
      <c r="U46" s="119"/>
    </row>
    <row r="47" spans="1:21" ht="18" customHeight="1">
      <c r="A47" s="119"/>
      <c r="B47" s="119"/>
      <c r="C47" s="119"/>
      <c r="D47" s="119"/>
      <c r="E47" s="119"/>
      <c r="F47" s="119"/>
      <c r="G47" s="119"/>
      <c r="H47" s="119"/>
      <c r="I47" s="119"/>
      <c r="J47" s="119"/>
      <c r="K47" s="119"/>
      <c r="L47" s="119"/>
      <c r="M47" s="119"/>
      <c r="N47" s="119"/>
      <c r="O47" s="119"/>
      <c r="P47" s="119"/>
      <c r="Q47" s="119"/>
      <c r="R47" s="119"/>
      <c r="S47" s="119"/>
      <c r="T47" s="119"/>
      <c r="U47" s="119"/>
    </row>
    <row r="48" spans="1:21" ht="18" customHeight="1">
      <c r="B48" s="95" t="s">
        <v>48</v>
      </c>
      <c r="C48" s="96"/>
      <c r="D48" s="96"/>
      <c r="E48" s="96"/>
      <c r="F48" s="97"/>
      <c r="G48" s="58" t="s">
        <v>73</v>
      </c>
      <c r="H48" s="59" t="s">
        <v>76</v>
      </c>
      <c r="I48" s="60" t="s">
        <v>66</v>
      </c>
      <c r="J48" s="60" t="s">
        <v>67</v>
      </c>
      <c r="K48" s="95" t="s">
        <v>48</v>
      </c>
      <c r="L48" s="96"/>
      <c r="M48" s="96"/>
      <c r="N48" s="96"/>
      <c r="O48" s="96"/>
      <c r="P48" s="96"/>
      <c r="Q48" s="97"/>
      <c r="R48" s="58" t="s">
        <v>73</v>
      </c>
      <c r="S48" s="59" t="s">
        <v>76</v>
      </c>
      <c r="T48" s="60" t="s">
        <v>66</v>
      </c>
      <c r="U48" s="60" t="s">
        <v>67</v>
      </c>
    </row>
    <row r="49" spans="1:21" ht="18" customHeight="1">
      <c r="A49" s="3"/>
      <c r="B49" s="116" t="s">
        <v>149</v>
      </c>
      <c r="C49" s="117"/>
      <c r="D49" s="117"/>
      <c r="E49" s="117"/>
      <c r="F49" s="118"/>
      <c r="G49" s="61">
        <v>1</v>
      </c>
      <c r="H49" s="61"/>
      <c r="I49" s="61" t="s">
        <v>148</v>
      </c>
      <c r="J49" s="61" t="s">
        <v>148</v>
      </c>
      <c r="K49" s="116"/>
      <c r="L49" s="117"/>
      <c r="M49" s="117"/>
      <c r="N49" s="117"/>
      <c r="O49" s="117"/>
      <c r="P49" s="117"/>
      <c r="Q49" s="118"/>
      <c r="R49" s="61"/>
      <c r="S49" s="61"/>
      <c r="T49" s="61"/>
      <c r="U49" s="61"/>
    </row>
    <row r="50" spans="1:21" ht="18" customHeight="1">
      <c r="A50" s="3"/>
      <c r="B50" s="110" t="s">
        <v>150</v>
      </c>
      <c r="C50" s="111"/>
      <c r="D50" s="111"/>
      <c r="E50" s="111"/>
      <c r="F50" s="112"/>
      <c r="G50" s="62">
        <v>1</v>
      </c>
      <c r="H50" s="62"/>
      <c r="I50" s="62" t="s">
        <v>148</v>
      </c>
      <c r="J50" s="62" t="s">
        <v>148</v>
      </c>
      <c r="K50" s="110"/>
      <c r="L50" s="111"/>
      <c r="M50" s="111"/>
      <c r="N50" s="111"/>
      <c r="O50" s="111"/>
      <c r="P50" s="111"/>
      <c r="Q50" s="112"/>
      <c r="R50" s="62"/>
      <c r="S50" s="62"/>
      <c r="T50" s="62"/>
      <c r="U50" s="62"/>
    </row>
    <row r="51" spans="1:21" ht="18" customHeight="1">
      <c r="A51" s="3"/>
      <c r="B51" s="110" t="s">
        <v>151</v>
      </c>
      <c r="C51" s="111"/>
      <c r="D51" s="111"/>
      <c r="E51" s="111"/>
      <c r="F51" s="112"/>
      <c r="G51" s="62">
        <v>1</v>
      </c>
      <c r="H51" s="62"/>
      <c r="I51" s="62" t="s">
        <v>148</v>
      </c>
      <c r="J51" s="62" t="s">
        <v>148</v>
      </c>
      <c r="K51" s="110"/>
      <c r="L51" s="111"/>
      <c r="M51" s="111"/>
      <c r="N51" s="111"/>
      <c r="O51" s="111"/>
      <c r="P51" s="111"/>
      <c r="Q51" s="112"/>
      <c r="R51" s="62"/>
      <c r="S51" s="62"/>
      <c r="T51" s="62"/>
      <c r="U51" s="62"/>
    </row>
    <row r="52" spans="1:21" ht="18" customHeight="1">
      <c r="A52" s="3"/>
      <c r="B52" s="110"/>
      <c r="C52" s="111"/>
      <c r="D52" s="111"/>
      <c r="E52" s="111"/>
      <c r="F52" s="112"/>
      <c r="G52" s="62"/>
      <c r="H52" s="62"/>
      <c r="I52" s="62"/>
      <c r="J52" s="62"/>
      <c r="K52" s="110"/>
      <c r="L52" s="111"/>
      <c r="M52" s="111"/>
      <c r="N52" s="111"/>
      <c r="O52" s="111"/>
      <c r="P52" s="111"/>
      <c r="Q52" s="112"/>
      <c r="R52" s="62"/>
      <c r="S52" s="62"/>
      <c r="T52" s="62"/>
      <c r="U52" s="62"/>
    </row>
    <row r="53" spans="1:21" ht="18" customHeight="1">
      <c r="A53" s="3"/>
      <c r="B53" s="110"/>
      <c r="C53" s="111"/>
      <c r="D53" s="111"/>
      <c r="E53" s="111"/>
      <c r="F53" s="112"/>
      <c r="G53" s="62"/>
      <c r="H53" s="62"/>
      <c r="I53" s="62"/>
      <c r="J53" s="62"/>
      <c r="K53" s="110"/>
      <c r="L53" s="111"/>
      <c r="M53" s="111"/>
      <c r="N53" s="111"/>
      <c r="O53" s="111"/>
      <c r="P53" s="111"/>
      <c r="Q53" s="112"/>
      <c r="R53" s="62"/>
      <c r="S53" s="62"/>
      <c r="T53" s="62"/>
      <c r="U53" s="62"/>
    </row>
    <row r="54" spans="1:21" ht="18" customHeight="1">
      <c r="A54" s="3"/>
      <c r="B54" s="110"/>
      <c r="C54" s="111"/>
      <c r="D54" s="111"/>
      <c r="E54" s="111"/>
      <c r="F54" s="112"/>
      <c r="G54" s="62"/>
      <c r="H54" s="62"/>
      <c r="I54" s="62"/>
      <c r="J54" s="62"/>
      <c r="K54" s="110"/>
      <c r="L54" s="111"/>
      <c r="M54" s="111"/>
      <c r="N54" s="111"/>
      <c r="O54" s="111"/>
      <c r="P54" s="111"/>
      <c r="Q54" s="112"/>
      <c r="R54" s="62"/>
      <c r="S54" s="62"/>
      <c r="T54" s="62"/>
      <c r="U54" s="62"/>
    </row>
    <row r="55" spans="1:21" ht="18" customHeight="1">
      <c r="A55" s="3"/>
      <c r="B55" s="113"/>
      <c r="C55" s="114"/>
      <c r="D55" s="114"/>
      <c r="E55" s="114"/>
      <c r="F55" s="115"/>
      <c r="G55" s="63"/>
      <c r="H55" s="63"/>
      <c r="I55" s="64"/>
      <c r="J55" s="64"/>
      <c r="K55" s="113"/>
      <c r="L55" s="114"/>
      <c r="M55" s="114"/>
      <c r="N55" s="114"/>
      <c r="O55" s="114"/>
      <c r="P55" s="114"/>
      <c r="Q55" s="115"/>
      <c r="R55" s="63"/>
      <c r="S55" s="63"/>
      <c r="T55" s="64"/>
      <c r="U55" s="64"/>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19" t="s">
        <v>99</v>
      </c>
      <c r="B57" s="119"/>
      <c r="C57" s="119"/>
      <c r="D57" s="119"/>
      <c r="E57" s="119"/>
      <c r="F57" s="119"/>
      <c r="G57" s="119"/>
      <c r="H57" s="119"/>
      <c r="I57" s="119"/>
      <c r="J57" s="119"/>
      <c r="K57" s="119"/>
      <c r="L57" s="119"/>
      <c r="M57" s="119"/>
      <c r="N57" s="119"/>
      <c r="O57" s="119"/>
      <c r="P57" s="119"/>
      <c r="Q57" s="119"/>
      <c r="R57" s="119"/>
      <c r="S57" s="119"/>
      <c r="T57" s="119"/>
      <c r="U57" s="119"/>
    </row>
    <row r="58" spans="1:21" ht="18" customHeight="1">
      <c r="A58" s="119"/>
      <c r="B58" s="119"/>
      <c r="C58" s="119"/>
      <c r="D58" s="119"/>
      <c r="E58" s="119"/>
      <c r="F58" s="119"/>
      <c r="G58" s="119"/>
      <c r="H58" s="119"/>
      <c r="I58" s="119"/>
      <c r="J58" s="119"/>
      <c r="K58" s="119"/>
      <c r="L58" s="119"/>
      <c r="M58" s="119"/>
      <c r="N58" s="119"/>
      <c r="O58" s="119"/>
      <c r="P58" s="119"/>
      <c r="Q58" s="119"/>
      <c r="R58" s="119"/>
      <c r="S58" s="119"/>
      <c r="T58" s="119"/>
      <c r="U58" s="119"/>
    </row>
    <row r="59" spans="1:21" ht="18" customHeight="1">
      <c r="B59" s="95" t="s">
        <v>48</v>
      </c>
      <c r="C59" s="96"/>
      <c r="D59" s="96"/>
      <c r="E59" s="96"/>
      <c r="F59" s="97"/>
      <c r="G59" s="58" t="s">
        <v>73</v>
      </c>
      <c r="H59" s="59" t="s">
        <v>76</v>
      </c>
      <c r="I59" s="60" t="s">
        <v>53</v>
      </c>
      <c r="J59" s="60" t="s">
        <v>55</v>
      </c>
      <c r="K59" s="95" t="s">
        <v>48</v>
      </c>
      <c r="L59" s="96"/>
      <c r="M59" s="96"/>
      <c r="N59" s="96"/>
      <c r="O59" s="96"/>
      <c r="P59" s="96"/>
      <c r="Q59" s="97"/>
      <c r="R59" s="58" t="s">
        <v>73</v>
      </c>
      <c r="S59" s="59" t="s">
        <v>76</v>
      </c>
      <c r="T59" s="60" t="s">
        <v>53</v>
      </c>
      <c r="U59" s="60" t="s">
        <v>55</v>
      </c>
    </row>
    <row r="60" spans="1:21" ht="18" customHeight="1">
      <c r="A60" s="3"/>
      <c r="B60" s="116" t="s">
        <v>152</v>
      </c>
      <c r="C60" s="117"/>
      <c r="D60" s="117"/>
      <c r="E60" s="117"/>
      <c r="F60" s="118"/>
      <c r="G60" s="61">
        <v>1</v>
      </c>
      <c r="H60" s="61" t="s">
        <v>148</v>
      </c>
      <c r="I60" s="61"/>
      <c r="J60" s="85" t="s">
        <v>148</v>
      </c>
      <c r="K60" s="116"/>
      <c r="L60" s="117"/>
      <c r="M60" s="117"/>
      <c r="N60" s="117"/>
      <c r="O60" s="117"/>
      <c r="P60" s="117"/>
      <c r="Q60" s="118"/>
      <c r="R60" s="61"/>
      <c r="S60" s="61"/>
      <c r="T60" s="61"/>
      <c r="U60" s="61"/>
    </row>
    <row r="61" spans="1:21" ht="18" customHeight="1">
      <c r="A61" s="3"/>
      <c r="B61" s="110" t="s">
        <v>216</v>
      </c>
      <c r="C61" s="111"/>
      <c r="D61" s="111"/>
      <c r="E61" s="111"/>
      <c r="F61" s="112"/>
      <c r="G61" s="62">
        <v>1</v>
      </c>
      <c r="H61" s="62" t="s">
        <v>148</v>
      </c>
      <c r="I61" s="62"/>
      <c r="J61" s="62" t="s">
        <v>148</v>
      </c>
      <c r="K61" s="110"/>
      <c r="L61" s="111"/>
      <c r="M61" s="111"/>
      <c r="N61" s="111"/>
      <c r="O61" s="111"/>
      <c r="P61" s="111"/>
      <c r="Q61" s="112"/>
      <c r="R61" s="62"/>
      <c r="S61" s="62"/>
      <c r="T61" s="62"/>
      <c r="U61" s="62"/>
    </row>
    <row r="62" spans="1:21" ht="18" customHeight="1">
      <c r="A62" s="3"/>
      <c r="B62" s="110" t="s">
        <v>153</v>
      </c>
      <c r="C62" s="111"/>
      <c r="D62" s="111"/>
      <c r="E62" s="111"/>
      <c r="F62" s="112"/>
      <c r="G62" s="62">
        <v>1</v>
      </c>
      <c r="H62" s="62" t="s">
        <v>148</v>
      </c>
      <c r="I62" s="62" t="s">
        <v>148</v>
      </c>
      <c r="J62" s="62"/>
      <c r="K62" s="110"/>
      <c r="L62" s="111"/>
      <c r="M62" s="111"/>
      <c r="N62" s="111"/>
      <c r="O62" s="111"/>
      <c r="P62" s="111"/>
      <c r="Q62" s="112"/>
      <c r="R62" s="62"/>
      <c r="S62" s="62"/>
      <c r="T62" s="62"/>
      <c r="U62" s="62"/>
    </row>
    <row r="63" spans="1:21" ht="18" customHeight="1">
      <c r="A63" s="3"/>
      <c r="B63" s="110" t="s">
        <v>149</v>
      </c>
      <c r="C63" s="111"/>
      <c r="D63" s="111"/>
      <c r="E63" s="111"/>
      <c r="F63" s="112"/>
      <c r="G63" s="62">
        <v>1</v>
      </c>
      <c r="H63" s="62"/>
      <c r="I63" s="62" t="s">
        <v>148</v>
      </c>
      <c r="J63" s="62"/>
      <c r="K63" s="110"/>
      <c r="L63" s="111"/>
      <c r="M63" s="111"/>
      <c r="N63" s="111"/>
      <c r="O63" s="111"/>
      <c r="P63" s="111"/>
      <c r="Q63" s="112"/>
      <c r="R63" s="62"/>
      <c r="S63" s="62"/>
      <c r="T63" s="62"/>
      <c r="U63" s="62"/>
    </row>
    <row r="64" spans="1:21" ht="18" customHeight="1">
      <c r="A64" s="3"/>
      <c r="B64" s="110" t="s">
        <v>150</v>
      </c>
      <c r="C64" s="111"/>
      <c r="D64" s="111"/>
      <c r="E64" s="111"/>
      <c r="F64" s="112"/>
      <c r="G64" s="62">
        <v>1</v>
      </c>
      <c r="H64" s="62"/>
      <c r="I64" s="62" t="s">
        <v>148</v>
      </c>
      <c r="J64" s="62" t="s">
        <v>148</v>
      </c>
      <c r="K64" s="110"/>
      <c r="L64" s="111"/>
      <c r="M64" s="111"/>
      <c r="N64" s="111"/>
      <c r="O64" s="111"/>
      <c r="P64" s="111"/>
      <c r="Q64" s="112"/>
      <c r="R64" s="62"/>
      <c r="S64" s="62"/>
      <c r="T64" s="62"/>
      <c r="U64" s="62"/>
    </row>
    <row r="65" spans="1:27" ht="18" customHeight="1">
      <c r="A65" s="3"/>
      <c r="B65" s="110" t="s">
        <v>151</v>
      </c>
      <c r="C65" s="111"/>
      <c r="D65" s="111"/>
      <c r="E65" s="111"/>
      <c r="F65" s="112"/>
      <c r="G65" s="62">
        <v>1</v>
      </c>
      <c r="H65" s="62"/>
      <c r="I65" s="62" t="s">
        <v>148</v>
      </c>
      <c r="J65" s="62" t="s">
        <v>148</v>
      </c>
      <c r="K65" s="110"/>
      <c r="L65" s="111"/>
      <c r="M65" s="111"/>
      <c r="N65" s="111"/>
      <c r="O65" s="111"/>
      <c r="P65" s="111"/>
      <c r="Q65" s="112"/>
      <c r="R65" s="62"/>
      <c r="S65" s="62"/>
      <c r="T65" s="62"/>
      <c r="U65" s="62"/>
    </row>
    <row r="66" spans="1:27" ht="18" customHeight="1">
      <c r="A66" s="3"/>
      <c r="B66" s="113"/>
      <c r="C66" s="114"/>
      <c r="D66" s="114"/>
      <c r="E66" s="114"/>
      <c r="F66" s="115"/>
      <c r="G66" s="63"/>
      <c r="H66" s="63"/>
      <c r="I66" s="64"/>
      <c r="J66" s="64"/>
      <c r="K66" s="113"/>
      <c r="L66" s="114"/>
      <c r="M66" s="114"/>
      <c r="N66" s="114"/>
      <c r="O66" s="114"/>
      <c r="P66" s="114"/>
      <c r="Q66" s="115"/>
      <c r="R66" s="63"/>
      <c r="S66" s="63"/>
      <c r="T66" s="64"/>
      <c r="U66" s="64"/>
    </row>
    <row r="67" spans="1:27" ht="7.5" customHeight="1">
      <c r="B67" s="14"/>
      <c r="C67" s="14"/>
      <c r="D67" s="14"/>
      <c r="E67" s="14"/>
      <c r="F67" s="14"/>
      <c r="G67" s="14"/>
      <c r="H67" s="14"/>
      <c r="I67" s="14"/>
      <c r="J67" s="14"/>
      <c r="K67" s="14"/>
      <c r="L67" s="14"/>
      <c r="M67" s="14"/>
      <c r="N67" s="14"/>
      <c r="O67" s="14"/>
      <c r="P67" s="14"/>
      <c r="Q67" s="14"/>
      <c r="R67" s="14"/>
      <c r="S67" s="14"/>
      <c r="T67" s="14"/>
    </row>
    <row r="68" spans="1:27" ht="18" customHeight="1">
      <c r="A68" s="119" t="s">
        <v>100</v>
      </c>
      <c r="B68" s="119"/>
      <c r="C68" s="119"/>
      <c r="D68" s="119"/>
      <c r="E68" s="119"/>
      <c r="F68" s="119"/>
      <c r="G68" s="119"/>
      <c r="H68" s="119"/>
      <c r="I68" s="119"/>
      <c r="J68" s="119"/>
      <c r="K68" s="119"/>
      <c r="L68" s="119"/>
      <c r="M68" s="119"/>
      <c r="N68" s="119"/>
      <c r="O68" s="119"/>
      <c r="P68" s="119"/>
      <c r="Q68" s="119"/>
      <c r="R68" s="119"/>
      <c r="S68" s="119"/>
      <c r="T68" s="119"/>
      <c r="U68" s="119"/>
    </row>
    <row r="69" spans="1:27" ht="18" customHeight="1">
      <c r="A69" s="119"/>
      <c r="B69" s="119"/>
      <c r="C69" s="119"/>
      <c r="D69" s="119"/>
      <c r="E69" s="119"/>
      <c r="F69" s="119"/>
      <c r="G69" s="119"/>
      <c r="H69" s="119"/>
      <c r="I69" s="119"/>
      <c r="J69" s="119"/>
      <c r="K69" s="119"/>
      <c r="L69" s="119"/>
      <c r="M69" s="119"/>
      <c r="N69" s="119"/>
      <c r="O69" s="119"/>
      <c r="P69" s="119"/>
      <c r="Q69" s="119"/>
      <c r="R69" s="119"/>
      <c r="S69" s="119"/>
      <c r="T69" s="119"/>
      <c r="U69" s="119"/>
    </row>
    <row r="70" spans="1:27" ht="18" customHeight="1">
      <c r="B70" s="95" t="s">
        <v>48</v>
      </c>
      <c r="C70" s="96"/>
      <c r="D70" s="96"/>
      <c r="E70" s="96"/>
      <c r="F70" s="58" t="s">
        <v>73</v>
      </c>
      <c r="G70" s="59" t="s">
        <v>76</v>
      </c>
      <c r="H70" s="60" t="s">
        <v>87</v>
      </c>
      <c r="I70" s="60" t="s">
        <v>68</v>
      </c>
      <c r="J70" s="60" t="s">
        <v>69</v>
      </c>
      <c r="K70" s="95" t="s">
        <v>48</v>
      </c>
      <c r="L70" s="96"/>
      <c r="M70" s="96"/>
      <c r="N70" s="96"/>
      <c r="O70" s="96"/>
      <c r="P70" s="97"/>
      <c r="Q70" s="58" t="s">
        <v>73</v>
      </c>
      <c r="R70" s="59" t="s">
        <v>76</v>
      </c>
      <c r="S70" s="60" t="s">
        <v>87</v>
      </c>
      <c r="T70" s="60" t="s">
        <v>68</v>
      </c>
      <c r="U70" s="60" t="s">
        <v>69</v>
      </c>
    </row>
    <row r="71" spans="1:27" ht="18" customHeight="1">
      <c r="A71" s="3"/>
      <c r="B71" s="116" t="s">
        <v>147</v>
      </c>
      <c r="C71" s="117"/>
      <c r="D71" s="117"/>
      <c r="E71" s="117"/>
      <c r="F71" s="61">
        <v>1</v>
      </c>
      <c r="G71" s="61" t="s">
        <v>148</v>
      </c>
      <c r="H71" s="61"/>
      <c r="I71" s="61" t="s">
        <v>148</v>
      </c>
      <c r="J71" s="61"/>
      <c r="K71" s="116"/>
      <c r="L71" s="117"/>
      <c r="M71" s="117"/>
      <c r="N71" s="117"/>
      <c r="O71" s="117"/>
      <c r="P71" s="118"/>
      <c r="Q71" s="61"/>
      <c r="R71" s="61"/>
      <c r="S71" s="61"/>
      <c r="T71" s="61"/>
      <c r="U71" s="61"/>
    </row>
    <row r="72" spans="1:27" ht="18" customHeight="1">
      <c r="A72" s="3"/>
      <c r="B72" s="110" t="s">
        <v>150</v>
      </c>
      <c r="C72" s="111"/>
      <c r="D72" s="111"/>
      <c r="E72" s="111"/>
      <c r="F72" s="62">
        <v>1</v>
      </c>
      <c r="G72" s="62"/>
      <c r="H72" s="62" t="s">
        <v>148</v>
      </c>
      <c r="I72" s="62" t="s">
        <v>148</v>
      </c>
      <c r="J72" s="62" t="s">
        <v>148</v>
      </c>
      <c r="K72" s="110"/>
      <c r="L72" s="111"/>
      <c r="M72" s="111"/>
      <c r="N72" s="111"/>
      <c r="O72" s="111"/>
      <c r="P72" s="112"/>
      <c r="Q72" s="62"/>
      <c r="R72" s="62"/>
      <c r="S72" s="62"/>
      <c r="T72" s="62"/>
      <c r="U72" s="62"/>
    </row>
    <row r="73" spans="1:27" ht="18" customHeight="1">
      <c r="A73" s="3"/>
      <c r="B73" s="110" t="s">
        <v>151</v>
      </c>
      <c r="C73" s="111"/>
      <c r="D73" s="111"/>
      <c r="E73" s="111"/>
      <c r="F73" s="62">
        <v>1</v>
      </c>
      <c r="G73" s="62"/>
      <c r="H73" s="62" t="s">
        <v>148</v>
      </c>
      <c r="I73" s="62" t="s">
        <v>148</v>
      </c>
      <c r="J73" s="62" t="s">
        <v>148</v>
      </c>
      <c r="K73" s="110"/>
      <c r="L73" s="111"/>
      <c r="M73" s="111"/>
      <c r="N73" s="111"/>
      <c r="O73" s="111"/>
      <c r="P73" s="112"/>
      <c r="Q73" s="62"/>
      <c r="R73" s="62"/>
      <c r="S73" s="62"/>
      <c r="T73" s="62"/>
      <c r="U73" s="62"/>
    </row>
    <row r="74" spans="1:27" ht="18" customHeight="1">
      <c r="A74" s="3"/>
      <c r="B74" s="110"/>
      <c r="C74" s="111"/>
      <c r="D74" s="111"/>
      <c r="E74" s="111"/>
      <c r="F74" s="62"/>
      <c r="G74" s="62"/>
      <c r="H74" s="62"/>
      <c r="I74" s="62"/>
      <c r="J74" s="62"/>
      <c r="K74" s="110"/>
      <c r="L74" s="111"/>
      <c r="M74" s="111"/>
      <c r="N74" s="111"/>
      <c r="O74" s="111"/>
      <c r="P74" s="112"/>
      <c r="Q74" s="62"/>
      <c r="R74" s="62"/>
      <c r="S74" s="62"/>
      <c r="T74" s="62"/>
      <c r="U74" s="62"/>
    </row>
    <row r="75" spans="1:27" ht="18" customHeight="1">
      <c r="A75" s="3"/>
      <c r="B75" s="110"/>
      <c r="C75" s="111"/>
      <c r="D75" s="111"/>
      <c r="E75" s="111"/>
      <c r="F75" s="62"/>
      <c r="G75" s="62"/>
      <c r="H75" s="62"/>
      <c r="I75" s="62"/>
      <c r="J75" s="62"/>
      <c r="K75" s="110"/>
      <c r="L75" s="111"/>
      <c r="M75" s="111"/>
      <c r="N75" s="111"/>
      <c r="O75" s="111"/>
      <c r="P75" s="112"/>
      <c r="Q75" s="62"/>
      <c r="R75" s="62"/>
      <c r="S75" s="62"/>
      <c r="T75" s="62"/>
      <c r="U75" s="62"/>
    </row>
    <row r="76" spans="1:27" ht="18" customHeight="1">
      <c r="A76" s="3"/>
      <c r="B76" s="110"/>
      <c r="C76" s="111"/>
      <c r="D76" s="111"/>
      <c r="E76" s="111"/>
      <c r="F76" s="62"/>
      <c r="G76" s="62"/>
      <c r="H76" s="62"/>
      <c r="I76" s="62"/>
      <c r="J76" s="62"/>
      <c r="K76" s="110"/>
      <c r="L76" s="111"/>
      <c r="M76" s="111"/>
      <c r="N76" s="111"/>
      <c r="O76" s="111"/>
      <c r="P76" s="112"/>
      <c r="Q76" s="62"/>
      <c r="R76" s="62"/>
      <c r="S76" s="62"/>
      <c r="T76" s="62"/>
      <c r="U76" s="62"/>
    </row>
    <row r="77" spans="1:27" ht="18" customHeight="1">
      <c r="A77" s="3"/>
      <c r="B77" s="113"/>
      <c r="C77" s="114"/>
      <c r="D77" s="114"/>
      <c r="E77" s="114"/>
      <c r="F77" s="63"/>
      <c r="G77" s="63"/>
      <c r="H77" s="64"/>
      <c r="I77" s="64"/>
      <c r="J77" s="64"/>
      <c r="K77" s="113"/>
      <c r="L77" s="114"/>
      <c r="M77" s="114"/>
      <c r="N77" s="114"/>
      <c r="O77" s="114"/>
      <c r="P77" s="115"/>
      <c r="Q77" s="63"/>
      <c r="R77" s="63"/>
      <c r="S77" s="64"/>
      <c r="T77" s="64"/>
      <c r="U77" s="64"/>
    </row>
    <row r="78" spans="1:27" ht="7.5" customHeight="1">
      <c r="B78" s="14"/>
      <c r="C78" s="14"/>
      <c r="D78" s="14"/>
      <c r="E78" s="14"/>
      <c r="F78" s="14"/>
      <c r="G78" s="14"/>
      <c r="H78" s="14"/>
      <c r="I78" s="14"/>
      <c r="J78" s="14"/>
      <c r="K78" s="14"/>
      <c r="L78" s="14"/>
      <c r="M78" s="14"/>
      <c r="N78" s="14"/>
      <c r="O78" s="14"/>
      <c r="P78" s="14"/>
      <c r="Q78" s="14"/>
      <c r="R78" s="14"/>
      <c r="S78" s="14"/>
      <c r="T78" s="14"/>
    </row>
    <row r="79" spans="1:27" ht="18" customHeight="1">
      <c r="A79" s="1" t="s">
        <v>101</v>
      </c>
      <c r="I79" s="3"/>
      <c r="J79" s="3"/>
      <c r="K79" s="3"/>
      <c r="L79" s="3"/>
      <c r="M79" s="3"/>
      <c r="N79" s="3"/>
      <c r="O79" s="3"/>
      <c r="P79" s="3"/>
      <c r="Q79" s="3"/>
      <c r="R79" s="3"/>
      <c r="S79" s="3"/>
      <c r="T79" s="3"/>
      <c r="U79" s="3"/>
    </row>
    <row r="80" spans="1:27" ht="18" customHeight="1">
      <c r="B80" s="95" t="s">
        <v>48</v>
      </c>
      <c r="C80" s="96"/>
      <c r="D80" s="96"/>
      <c r="E80" s="96"/>
      <c r="F80" s="97"/>
      <c r="G80" s="95" t="s">
        <v>74</v>
      </c>
      <c r="H80" s="96"/>
      <c r="I80" s="96"/>
      <c r="J80" s="97"/>
      <c r="K80" s="148" t="s">
        <v>48</v>
      </c>
      <c r="L80" s="149"/>
      <c r="M80" s="149"/>
      <c r="N80" s="149"/>
      <c r="O80" s="149"/>
      <c r="P80" s="149"/>
      <c r="Q80" s="150"/>
      <c r="R80" s="95" t="s">
        <v>74</v>
      </c>
      <c r="S80" s="96"/>
      <c r="T80" s="96"/>
      <c r="U80" s="97"/>
      <c r="AA80" s="1" t="s">
        <v>138</v>
      </c>
    </row>
    <row r="81" spans="1:27" ht="18" customHeight="1">
      <c r="A81" s="3"/>
      <c r="B81" s="116" t="s">
        <v>147</v>
      </c>
      <c r="C81" s="117"/>
      <c r="D81" s="117"/>
      <c r="E81" s="117"/>
      <c r="F81" s="118"/>
      <c r="G81" s="151" t="s">
        <v>154</v>
      </c>
      <c r="H81" s="152"/>
      <c r="I81" s="152"/>
      <c r="J81" s="153"/>
      <c r="K81" s="116"/>
      <c r="L81" s="117"/>
      <c r="M81" s="117"/>
      <c r="N81" s="117"/>
      <c r="O81" s="117"/>
      <c r="P81" s="117"/>
      <c r="Q81" s="118"/>
      <c r="R81" s="151"/>
      <c r="S81" s="152"/>
      <c r="T81" s="152"/>
      <c r="U81" s="153"/>
      <c r="AA81" s="1" t="s">
        <v>131</v>
      </c>
    </row>
    <row r="82" spans="1:27" ht="18" customHeight="1">
      <c r="A82" s="3"/>
      <c r="B82" s="110"/>
      <c r="C82" s="111"/>
      <c r="D82" s="111"/>
      <c r="E82" s="111"/>
      <c r="F82" s="112"/>
      <c r="G82" s="143"/>
      <c r="H82" s="144"/>
      <c r="I82" s="144"/>
      <c r="J82" s="145"/>
      <c r="K82" s="110"/>
      <c r="L82" s="111"/>
      <c r="M82" s="111"/>
      <c r="N82" s="111"/>
      <c r="O82" s="111"/>
      <c r="P82" s="111"/>
      <c r="Q82" s="112"/>
      <c r="R82" s="143"/>
      <c r="S82" s="144"/>
      <c r="T82" s="144"/>
      <c r="U82" s="145"/>
      <c r="AA82" s="1" t="s">
        <v>132</v>
      </c>
    </row>
    <row r="83" spans="1:27" ht="18" customHeight="1">
      <c r="A83" s="3"/>
      <c r="B83" s="110"/>
      <c r="C83" s="111"/>
      <c r="D83" s="111"/>
      <c r="E83" s="111"/>
      <c r="F83" s="112"/>
      <c r="G83" s="143"/>
      <c r="H83" s="144"/>
      <c r="I83" s="144"/>
      <c r="J83" s="145"/>
      <c r="K83" s="110"/>
      <c r="L83" s="111"/>
      <c r="M83" s="111"/>
      <c r="N83" s="111"/>
      <c r="O83" s="111"/>
      <c r="P83" s="111"/>
      <c r="Q83" s="112"/>
      <c r="R83" s="143"/>
      <c r="S83" s="144"/>
      <c r="T83" s="144"/>
      <c r="U83" s="145"/>
      <c r="AA83" s="1" t="s">
        <v>133</v>
      </c>
    </row>
    <row r="84" spans="1:27" ht="18" customHeight="1">
      <c r="A84" s="3"/>
      <c r="B84" s="110"/>
      <c r="C84" s="111"/>
      <c r="D84" s="111"/>
      <c r="E84" s="111"/>
      <c r="F84" s="112"/>
      <c r="G84" s="143"/>
      <c r="H84" s="144"/>
      <c r="I84" s="144"/>
      <c r="J84" s="145"/>
      <c r="K84" s="110"/>
      <c r="L84" s="111"/>
      <c r="M84" s="111"/>
      <c r="N84" s="111"/>
      <c r="O84" s="111"/>
      <c r="P84" s="111"/>
      <c r="Q84" s="112"/>
      <c r="R84" s="143"/>
      <c r="S84" s="144"/>
      <c r="T84" s="144"/>
      <c r="U84" s="145"/>
      <c r="AA84" s="1" t="s">
        <v>139</v>
      </c>
    </row>
    <row r="85" spans="1:27" ht="18" customHeight="1">
      <c r="A85" s="3"/>
      <c r="B85" s="110"/>
      <c r="C85" s="111"/>
      <c r="D85" s="111"/>
      <c r="E85" s="111"/>
      <c r="F85" s="112"/>
      <c r="G85" s="143"/>
      <c r="H85" s="144"/>
      <c r="I85" s="144"/>
      <c r="J85" s="145"/>
      <c r="K85" s="110"/>
      <c r="L85" s="111"/>
      <c r="M85" s="111"/>
      <c r="N85" s="111"/>
      <c r="O85" s="111"/>
      <c r="P85" s="111"/>
      <c r="Q85" s="112"/>
      <c r="R85" s="143"/>
      <c r="S85" s="144"/>
      <c r="T85" s="144"/>
      <c r="U85" s="145"/>
      <c r="AA85" s="1" t="s">
        <v>140</v>
      </c>
    </row>
    <row r="86" spans="1:27" ht="18" customHeight="1">
      <c r="A86" s="3"/>
      <c r="B86" s="110"/>
      <c r="C86" s="111"/>
      <c r="D86" s="111"/>
      <c r="E86" s="111"/>
      <c r="F86" s="112"/>
      <c r="G86" s="143"/>
      <c r="H86" s="144"/>
      <c r="I86" s="144"/>
      <c r="J86" s="145"/>
      <c r="K86" s="110"/>
      <c r="L86" s="111"/>
      <c r="M86" s="111"/>
      <c r="N86" s="111"/>
      <c r="O86" s="111"/>
      <c r="P86" s="111"/>
      <c r="Q86" s="112"/>
      <c r="R86" s="143"/>
      <c r="S86" s="144"/>
      <c r="T86" s="144"/>
      <c r="U86" s="145"/>
      <c r="AA86" s="1" t="s">
        <v>134</v>
      </c>
    </row>
    <row r="87" spans="1:27" ht="18" customHeight="1">
      <c r="A87" s="3"/>
      <c r="B87" s="113"/>
      <c r="C87" s="114"/>
      <c r="D87" s="114"/>
      <c r="E87" s="114"/>
      <c r="F87" s="115"/>
      <c r="G87" s="140"/>
      <c r="H87" s="141"/>
      <c r="I87" s="141"/>
      <c r="J87" s="142"/>
      <c r="K87" s="113"/>
      <c r="L87" s="114"/>
      <c r="M87" s="114"/>
      <c r="N87" s="114"/>
      <c r="O87" s="114"/>
      <c r="P87" s="114"/>
      <c r="Q87" s="115"/>
      <c r="R87" s="140"/>
      <c r="S87" s="141"/>
      <c r="T87" s="141"/>
      <c r="U87" s="142"/>
      <c r="AA87" s="1" t="s">
        <v>135</v>
      </c>
    </row>
    <row r="88" spans="1:27" ht="18" customHeight="1">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c r="A89" s="1" t="s">
        <v>102</v>
      </c>
      <c r="AA89" s="1" t="s">
        <v>137</v>
      </c>
    </row>
    <row r="90" spans="1:27" ht="18.75" customHeight="1">
      <c r="B90" s="146" t="s">
        <v>49</v>
      </c>
      <c r="C90" s="147"/>
      <c r="D90" s="95" t="s">
        <v>50</v>
      </c>
      <c r="E90" s="96"/>
      <c r="F90" s="96"/>
      <c r="G90" s="96"/>
      <c r="H90" s="96"/>
      <c r="I90" s="96"/>
      <c r="J90" s="96"/>
      <c r="K90" s="96"/>
      <c r="L90" s="96"/>
      <c r="M90" s="96"/>
      <c r="N90" s="96"/>
      <c r="O90" s="96"/>
      <c r="P90" s="96"/>
      <c r="Q90" s="96"/>
      <c r="R90" s="96"/>
      <c r="S90" s="96"/>
      <c r="T90" s="96"/>
      <c r="U90" s="97"/>
    </row>
    <row r="91" spans="1:27" ht="97.5" customHeight="1">
      <c r="B91" s="123" t="s">
        <v>56</v>
      </c>
      <c r="C91" s="66" t="s">
        <v>51</v>
      </c>
      <c r="D91" s="92" t="s">
        <v>155</v>
      </c>
      <c r="E91" s="93"/>
      <c r="F91" s="93"/>
      <c r="G91" s="93"/>
      <c r="H91" s="93"/>
      <c r="I91" s="93"/>
      <c r="J91" s="93"/>
      <c r="K91" s="93"/>
      <c r="L91" s="93"/>
      <c r="M91" s="93"/>
      <c r="N91" s="93"/>
      <c r="O91" s="93"/>
      <c r="P91" s="93"/>
      <c r="Q91" s="93"/>
      <c r="R91" s="93"/>
      <c r="S91" s="93"/>
      <c r="T91" s="93"/>
      <c r="U91" s="94"/>
    </row>
    <row r="92" spans="1:27" ht="97.5" customHeight="1">
      <c r="B92" s="125"/>
      <c r="C92" s="67" t="s">
        <v>70</v>
      </c>
      <c r="D92" s="89" t="s">
        <v>156</v>
      </c>
      <c r="E92" s="90"/>
      <c r="F92" s="90"/>
      <c r="G92" s="90"/>
      <c r="H92" s="90"/>
      <c r="I92" s="90"/>
      <c r="J92" s="90"/>
      <c r="K92" s="90"/>
      <c r="L92" s="90"/>
      <c r="M92" s="90"/>
      <c r="N92" s="90"/>
      <c r="O92" s="90"/>
      <c r="P92" s="90"/>
      <c r="Q92" s="90"/>
      <c r="R92" s="90"/>
      <c r="S92" s="90"/>
      <c r="T92" s="90"/>
      <c r="U92" s="91"/>
    </row>
    <row r="93" spans="1:27" ht="97.5" customHeight="1">
      <c r="B93" s="123" t="s">
        <v>57</v>
      </c>
      <c r="C93" s="68" t="s">
        <v>64</v>
      </c>
      <c r="D93" s="92" t="s">
        <v>157</v>
      </c>
      <c r="E93" s="93"/>
      <c r="F93" s="93"/>
      <c r="G93" s="93"/>
      <c r="H93" s="93"/>
      <c r="I93" s="93"/>
      <c r="J93" s="93"/>
      <c r="K93" s="93"/>
      <c r="L93" s="93"/>
      <c r="M93" s="93"/>
      <c r="N93" s="93"/>
      <c r="O93" s="93"/>
      <c r="P93" s="93"/>
      <c r="Q93" s="93"/>
      <c r="R93" s="93"/>
      <c r="S93" s="93"/>
      <c r="T93" s="93"/>
      <c r="U93" s="94"/>
    </row>
    <row r="94" spans="1:27" ht="97.5" customHeight="1">
      <c r="B94" s="124"/>
      <c r="C94" s="69" t="s">
        <v>65</v>
      </c>
      <c r="D94" s="89" t="s">
        <v>158</v>
      </c>
      <c r="E94" s="90"/>
      <c r="F94" s="90"/>
      <c r="G94" s="90"/>
      <c r="H94" s="90"/>
      <c r="I94" s="90"/>
      <c r="J94" s="90"/>
      <c r="K94" s="90"/>
      <c r="L94" s="90"/>
      <c r="M94" s="90"/>
      <c r="N94" s="90"/>
      <c r="O94" s="90"/>
      <c r="P94" s="90"/>
      <c r="Q94" s="90"/>
      <c r="R94" s="90"/>
      <c r="S94" s="90"/>
      <c r="T94" s="90"/>
      <c r="U94" s="91"/>
    </row>
    <row r="95" spans="1:27" ht="97.5" customHeight="1">
      <c r="B95" s="123" t="s">
        <v>58</v>
      </c>
      <c r="C95" s="68" t="s">
        <v>66</v>
      </c>
      <c r="D95" s="92" t="s">
        <v>159</v>
      </c>
      <c r="E95" s="93"/>
      <c r="F95" s="93"/>
      <c r="G95" s="93"/>
      <c r="H95" s="93"/>
      <c r="I95" s="93"/>
      <c r="J95" s="93"/>
      <c r="K95" s="93"/>
      <c r="L95" s="93"/>
      <c r="M95" s="93"/>
      <c r="N95" s="93"/>
      <c r="O95" s="93"/>
      <c r="P95" s="93"/>
      <c r="Q95" s="93"/>
      <c r="R95" s="93"/>
      <c r="S95" s="93"/>
      <c r="T95" s="93"/>
      <c r="U95" s="94"/>
    </row>
    <row r="96" spans="1:27" ht="97.5" customHeight="1">
      <c r="B96" s="124"/>
      <c r="C96" s="70" t="s">
        <v>67</v>
      </c>
      <c r="D96" s="89" t="s">
        <v>160</v>
      </c>
      <c r="E96" s="90"/>
      <c r="F96" s="90"/>
      <c r="G96" s="90"/>
      <c r="H96" s="90"/>
      <c r="I96" s="90"/>
      <c r="J96" s="90"/>
      <c r="K96" s="90"/>
      <c r="L96" s="90"/>
      <c r="M96" s="90"/>
      <c r="N96" s="90"/>
      <c r="O96" s="90"/>
      <c r="P96" s="90"/>
      <c r="Q96" s="90"/>
      <c r="R96" s="90"/>
      <c r="S96" s="90"/>
      <c r="T96" s="90"/>
      <c r="U96" s="91"/>
    </row>
    <row r="97" spans="1:21" ht="129.94999999999999" customHeight="1">
      <c r="B97" s="123" t="s">
        <v>71</v>
      </c>
      <c r="C97" s="66" t="s">
        <v>53</v>
      </c>
      <c r="D97" s="92" t="s">
        <v>161</v>
      </c>
      <c r="E97" s="93"/>
      <c r="F97" s="93"/>
      <c r="G97" s="93"/>
      <c r="H97" s="93"/>
      <c r="I97" s="93"/>
      <c r="J97" s="93"/>
      <c r="K97" s="93"/>
      <c r="L97" s="93"/>
      <c r="M97" s="93"/>
      <c r="N97" s="93"/>
      <c r="O97" s="93"/>
      <c r="P97" s="93"/>
      <c r="Q97" s="93"/>
      <c r="R97" s="93"/>
      <c r="S97" s="93"/>
      <c r="T97" s="93"/>
      <c r="U97" s="94"/>
    </row>
    <row r="98" spans="1:21" ht="97.5" customHeight="1">
      <c r="B98" s="124"/>
      <c r="C98" s="69" t="s">
        <v>55</v>
      </c>
      <c r="D98" s="89" t="s">
        <v>217</v>
      </c>
      <c r="E98" s="90"/>
      <c r="F98" s="90"/>
      <c r="G98" s="90"/>
      <c r="H98" s="90"/>
      <c r="I98" s="90"/>
      <c r="J98" s="90"/>
      <c r="K98" s="90"/>
      <c r="L98" s="90"/>
      <c r="M98" s="90"/>
      <c r="N98" s="90"/>
      <c r="O98" s="90"/>
      <c r="P98" s="90"/>
      <c r="Q98" s="90"/>
      <c r="R98" s="90"/>
      <c r="S98" s="90"/>
      <c r="T98" s="90"/>
      <c r="U98" s="91"/>
    </row>
    <row r="99" spans="1:21" ht="129.94999999999999" customHeight="1">
      <c r="B99" s="123" t="s">
        <v>72</v>
      </c>
      <c r="C99" s="68" t="s">
        <v>52</v>
      </c>
      <c r="D99" s="92" t="s">
        <v>162</v>
      </c>
      <c r="E99" s="93"/>
      <c r="F99" s="93"/>
      <c r="G99" s="93"/>
      <c r="H99" s="93"/>
      <c r="I99" s="93"/>
      <c r="J99" s="93"/>
      <c r="K99" s="93"/>
      <c r="L99" s="93"/>
      <c r="M99" s="93"/>
      <c r="N99" s="93"/>
      <c r="O99" s="93"/>
      <c r="P99" s="93"/>
      <c r="Q99" s="93"/>
      <c r="R99" s="93"/>
      <c r="S99" s="93"/>
      <c r="T99" s="93"/>
      <c r="U99" s="94"/>
    </row>
    <row r="100" spans="1:21" ht="97.5" customHeight="1">
      <c r="B100" s="125"/>
      <c r="C100" s="71" t="s">
        <v>68</v>
      </c>
      <c r="D100" s="120" t="s">
        <v>163</v>
      </c>
      <c r="E100" s="121"/>
      <c r="F100" s="121"/>
      <c r="G100" s="121"/>
      <c r="H100" s="121"/>
      <c r="I100" s="121"/>
      <c r="J100" s="121"/>
      <c r="K100" s="121"/>
      <c r="L100" s="121"/>
      <c r="M100" s="121"/>
      <c r="N100" s="121"/>
      <c r="O100" s="121"/>
      <c r="P100" s="121"/>
      <c r="Q100" s="121"/>
      <c r="R100" s="121"/>
      <c r="S100" s="121"/>
      <c r="T100" s="121"/>
      <c r="U100" s="122"/>
    </row>
    <row r="101" spans="1:21" ht="97.5" customHeight="1">
      <c r="B101" s="124"/>
      <c r="C101" s="70" t="s">
        <v>69</v>
      </c>
      <c r="D101" s="89" t="s">
        <v>164</v>
      </c>
      <c r="E101" s="90"/>
      <c r="F101" s="90"/>
      <c r="G101" s="90"/>
      <c r="H101" s="90"/>
      <c r="I101" s="90"/>
      <c r="J101" s="90"/>
      <c r="K101" s="90"/>
      <c r="L101" s="90"/>
      <c r="M101" s="90"/>
      <c r="N101" s="90"/>
      <c r="O101" s="90"/>
      <c r="P101" s="90"/>
      <c r="Q101" s="90"/>
      <c r="R101" s="90"/>
      <c r="S101" s="90"/>
      <c r="T101" s="90"/>
      <c r="U101" s="91"/>
    </row>
    <row r="102" spans="1:21" ht="6" customHeight="1"/>
    <row r="103" spans="1:21" ht="18.75" customHeight="1">
      <c r="A103" s="1" t="s">
        <v>103</v>
      </c>
    </row>
    <row r="104" spans="1:21" ht="81.75" customHeight="1">
      <c r="B104" s="86" t="s">
        <v>165</v>
      </c>
      <c r="C104" s="87"/>
      <c r="D104" s="87"/>
      <c r="E104" s="87"/>
      <c r="F104" s="87"/>
      <c r="G104" s="87"/>
      <c r="H104" s="87"/>
      <c r="I104" s="87"/>
      <c r="J104" s="87"/>
      <c r="K104" s="87"/>
      <c r="L104" s="87"/>
      <c r="M104" s="87"/>
      <c r="N104" s="87"/>
      <c r="O104" s="87"/>
      <c r="P104" s="87"/>
      <c r="Q104" s="87"/>
      <c r="R104" s="87"/>
      <c r="S104" s="87"/>
      <c r="T104" s="87"/>
      <c r="U104" s="88"/>
    </row>
    <row r="107" spans="1:21" ht="18" customHeight="1"/>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9:B101"/>
    <mergeCell ref="B97:B98"/>
    <mergeCell ref="B90:C90"/>
    <mergeCell ref="B93:B94"/>
    <mergeCell ref="R84:U84"/>
    <mergeCell ref="G80:J80"/>
    <mergeCell ref="K80:Q80"/>
    <mergeCell ref="B71:E71"/>
    <mergeCell ref="B72:E72"/>
    <mergeCell ref="R83:U83"/>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C3:J3"/>
    <mergeCell ref="A5:U5"/>
    <mergeCell ref="B15:U20"/>
    <mergeCell ref="A24:U25"/>
    <mergeCell ref="K87:Q87"/>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K70:P70"/>
    <mergeCell ref="B65:F65"/>
    <mergeCell ref="B66:F66"/>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L7:U7"/>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B51:F51"/>
    <mergeCell ref="K38:Q38"/>
    <mergeCell ref="B52:F52"/>
    <mergeCell ref="B53:F53"/>
    <mergeCell ref="B54:F54"/>
    <mergeCell ref="B55:F55"/>
    <mergeCell ref="K42:Q42"/>
    <mergeCell ref="K43:Q43"/>
    <mergeCell ref="B104:U104"/>
    <mergeCell ref="D96:U96"/>
    <mergeCell ref="D95:U95"/>
    <mergeCell ref="D94:U94"/>
    <mergeCell ref="D93:U93"/>
    <mergeCell ref="D92:U92"/>
    <mergeCell ref="D91:U91"/>
    <mergeCell ref="D90:U90"/>
    <mergeCell ref="N22:U22"/>
    <mergeCell ref="D98:U98"/>
    <mergeCell ref="D99:U99"/>
    <mergeCell ref="D100:U100"/>
    <mergeCell ref="D101:U101"/>
    <mergeCell ref="D97:U97"/>
    <mergeCell ref="K44:Q44"/>
    <mergeCell ref="A46:U47"/>
    <mergeCell ref="K41:Q41"/>
    <mergeCell ref="B48:F48"/>
    <mergeCell ref="B49:F49"/>
    <mergeCell ref="B50:F50"/>
    <mergeCell ref="K55:Q55"/>
    <mergeCell ref="B95:B96"/>
    <mergeCell ref="B91:B92"/>
    <mergeCell ref="K71:P7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R81:U87 G81:J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C2" sqref="C2:J2"/>
    </sheetView>
  </sheetViews>
  <sheetFormatPr defaultColWidth="9" defaultRowHeight="18.75" customHeight="1"/>
  <cols>
    <col min="1" max="1" width="2.75" style="1" customWidth="1"/>
    <col min="2" max="2" width="27.875" style="1" customWidth="1"/>
    <col min="3" max="18" width="6.125" style="1" customWidth="1"/>
    <col min="19" max="19" width="6.625" style="1" customWidth="1"/>
    <col min="20" max="16384" width="9" style="1"/>
  </cols>
  <sheetData>
    <row r="1" spans="1:21" ht="18" customHeight="1">
      <c r="A1" s="52"/>
      <c r="B1" s="52"/>
      <c r="C1" s="52"/>
      <c r="D1" s="52"/>
      <c r="E1" s="52"/>
      <c r="F1" s="52"/>
      <c r="G1" s="52"/>
      <c r="H1" s="52"/>
      <c r="I1" s="52"/>
      <c r="J1" s="52"/>
      <c r="K1" s="52"/>
      <c r="L1" s="52"/>
      <c r="M1" s="52"/>
      <c r="N1" s="52"/>
      <c r="O1" s="52"/>
      <c r="P1" s="52"/>
      <c r="Q1" s="52"/>
      <c r="R1" s="52"/>
      <c r="S1" s="52" t="s">
        <v>92</v>
      </c>
    </row>
    <row r="2" spans="1:21" ht="18" customHeight="1">
      <c r="A2" s="52"/>
      <c r="B2" s="52"/>
      <c r="C2" s="52"/>
      <c r="D2" s="52"/>
      <c r="E2" s="52"/>
      <c r="F2" s="52"/>
      <c r="G2" s="52"/>
      <c r="H2" s="52"/>
      <c r="I2" s="52"/>
      <c r="J2" s="52"/>
      <c r="K2" s="52"/>
      <c r="L2" s="52"/>
      <c r="M2" s="52"/>
      <c r="N2" s="52"/>
      <c r="O2" s="52"/>
      <c r="P2" s="52"/>
      <c r="Q2" s="155" t="str">
        <f>'様式１　プログラムを構成する授業科目'!C2</f>
        <v>大阪教育大学</v>
      </c>
      <c r="R2" s="155"/>
      <c r="S2" s="155"/>
    </row>
    <row r="3" spans="1:21" ht="18" customHeight="1">
      <c r="A3" s="130" t="s">
        <v>142</v>
      </c>
      <c r="B3" s="130"/>
      <c r="C3" s="130"/>
      <c r="D3" s="130"/>
      <c r="E3" s="130"/>
      <c r="F3" s="130"/>
      <c r="G3" s="130"/>
      <c r="H3" s="130"/>
      <c r="I3" s="130"/>
      <c r="J3" s="130"/>
      <c r="K3" s="130"/>
      <c r="L3" s="130"/>
      <c r="M3" s="130"/>
      <c r="N3" s="130"/>
      <c r="O3" s="130"/>
      <c r="P3" s="130"/>
      <c r="Q3" s="130"/>
      <c r="R3" s="130"/>
      <c r="S3" s="130"/>
    </row>
    <row r="4" spans="1:21" ht="7.5" customHeight="1">
      <c r="A4" s="54"/>
      <c r="B4" s="54"/>
      <c r="C4" s="54"/>
      <c r="D4" s="54"/>
      <c r="E4" s="54"/>
      <c r="F4" s="54"/>
      <c r="G4" s="54"/>
      <c r="H4" s="54"/>
      <c r="I4" s="54"/>
      <c r="J4" s="54"/>
      <c r="K4" s="54"/>
      <c r="L4" s="54"/>
      <c r="M4" s="54"/>
      <c r="N4" s="54"/>
      <c r="O4" s="54"/>
      <c r="P4" s="54"/>
      <c r="Q4" s="54"/>
      <c r="R4" s="54"/>
      <c r="S4" s="54"/>
    </row>
    <row r="5" spans="1:21" ht="18" customHeight="1">
      <c r="A5" s="52" t="s">
        <v>75</v>
      </c>
      <c r="B5" s="52"/>
      <c r="C5" s="156" t="s">
        <v>166</v>
      </c>
      <c r="D5" s="157"/>
      <c r="E5" s="56" t="s">
        <v>125</v>
      </c>
      <c r="F5" s="54"/>
      <c r="G5" s="54"/>
      <c r="H5" s="54"/>
      <c r="I5" s="54"/>
      <c r="J5" s="54"/>
      <c r="K5" s="54"/>
      <c r="L5" s="54"/>
      <c r="M5" s="54"/>
      <c r="N5" s="54"/>
      <c r="O5" s="54"/>
      <c r="P5" s="54"/>
      <c r="Q5" s="54"/>
      <c r="R5" s="53"/>
      <c r="S5" s="53"/>
    </row>
    <row r="6" spans="1:21" ht="7.15" customHeight="1">
      <c r="A6" s="52"/>
      <c r="B6" s="52"/>
      <c r="C6" s="75"/>
      <c r="D6" s="75"/>
      <c r="E6" s="54"/>
      <c r="F6" s="54"/>
      <c r="G6" s="54"/>
      <c r="H6" s="54"/>
      <c r="I6" s="54"/>
      <c r="J6" s="54"/>
      <c r="K6" s="54"/>
      <c r="L6" s="54"/>
      <c r="M6" s="54"/>
      <c r="N6" s="54"/>
      <c r="O6" s="54"/>
      <c r="P6" s="54"/>
      <c r="Q6" s="54"/>
      <c r="R6" s="53"/>
      <c r="S6" s="53"/>
    </row>
    <row r="7" spans="1:21" ht="18" customHeight="1">
      <c r="A7" s="52" t="s">
        <v>109</v>
      </c>
      <c r="B7" s="52"/>
      <c r="C7" s="75"/>
      <c r="D7" s="75"/>
      <c r="E7" s="54" t="s">
        <v>110</v>
      </c>
      <c r="F7" s="57">
        <v>393</v>
      </c>
      <c r="G7" s="56" t="s">
        <v>111</v>
      </c>
      <c r="H7" s="54" t="s">
        <v>112</v>
      </c>
      <c r="I7" s="57">
        <v>529</v>
      </c>
      <c r="J7" s="56" t="s">
        <v>111</v>
      </c>
      <c r="K7" s="55" t="s">
        <v>113</v>
      </c>
      <c r="L7" s="54" t="s">
        <v>114</v>
      </c>
      <c r="M7" s="57">
        <f>F7+I7</f>
        <v>922</v>
      </c>
      <c r="N7" s="54" t="s">
        <v>1</v>
      </c>
      <c r="O7" s="56" t="s">
        <v>115</v>
      </c>
      <c r="P7" s="54"/>
      <c r="Q7" s="54"/>
      <c r="R7" s="53"/>
      <c r="S7" s="53"/>
    </row>
    <row r="8" spans="1:21" ht="17.45" customHeight="1">
      <c r="A8" s="54"/>
      <c r="B8" s="76" t="s">
        <v>128</v>
      </c>
      <c r="C8" s="54"/>
      <c r="D8" s="54"/>
      <c r="E8" s="54"/>
      <c r="F8" s="54"/>
      <c r="G8" s="54"/>
      <c r="H8" s="54"/>
      <c r="I8" s="54"/>
      <c r="J8" s="54"/>
      <c r="K8" s="54"/>
      <c r="L8" s="54"/>
      <c r="M8" s="54"/>
      <c r="N8" s="54"/>
      <c r="O8" s="54"/>
      <c r="P8" s="54"/>
      <c r="Q8" s="54"/>
      <c r="R8" s="54"/>
      <c r="S8" s="54"/>
    </row>
    <row r="9" spans="1:21" ht="18" customHeight="1">
      <c r="A9" s="52" t="s">
        <v>120</v>
      </c>
      <c r="B9" s="54"/>
      <c r="C9" s="54"/>
      <c r="D9" s="54"/>
      <c r="E9" s="54"/>
      <c r="F9" s="54"/>
      <c r="G9" s="54"/>
      <c r="H9" s="54"/>
      <c r="I9" s="54"/>
      <c r="J9" s="54"/>
      <c r="K9" s="54"/>
      <c r="L9" s="54"/>
      <c r="M9" s="54"/>
      <c r="N9" s="54"/>
      <c r="O9" s="54"/>
      <c r="P9" s="54"/>
      <c r="Q9" s="54"/>
      <c r="R9" s="54"/>
      <c r="S9" s="54"/>
    </row>
    <row r="10" spans="1:21" ht="6" customHeight="1">
      <c r="B10" s="3"/>
      <c r="C10" s="3"/>
      <c r="D10" s="3"/>
      <c r="E10" s="3"/>
      <c r="F10" s="3"/>
      <c r="G10" s="3"/>
      <c r="H10" s="3"/>
      <c r="I10" s="3"/>
      <c r="J10" s="3"/>
      <c r="K10" s="3"/>
      <c r="L10" s="3"/>
      <c r="M10" s="3"/>
      <c r="N10" s="3"/>
      <c r="O10" s="3"/>
      <c r="P10" s="3"/>
      <c r="Q10" s="3"/>
      <c r="R10" s="3"/>
      <c r="S10" s="3"/>
    </row>
    <row r="11" spans="1:21" ht="18" customHeight="1">
      <c r="B11" s="158" t="s">
        <v>43</v>
      </c>
      <c r="C11" s="168" t="s">
        <v>78</v>
      </c>
      <c r="D11" s="160" t="s">
        <v>45</v>
      </c>
      <c r="E11" s="162" t="s">
        <v>38</v>
      </c>
      <c r="F11" s="154" t="s">
        <v>126</v>
      </c>
      <c r="G11" s="154"/>
      <c r="H11" s="154" t="s">
        <v>106</v>
      </c>
      <c r="I11" s="154"/>
      <c r="J11" s="154" t="s">
        <v>77</v>
      </c>
      <c r="K11" s="154"/>
      <c r="L11" s="154" t="s">
        <v>46</v>
      </c>
      <c r="M11" s="154"/>
      <c r="N11" s="154" t="s">
        <v>47</v>
      </c>
      <c r="O11" s="154"/>
      <c r="P11" s="154" t="s">
        <v>127</v>
      </c>
      <c r="Q11" s="154"/>
      <c r="R11" s="164" t="s">
        <v>35</v>
      </c>
      <c r="S11" s="166" t="s">
        <v>32</v>
      </c>
      <c r="U11" s="2"/>
    </row>
    <row r="12" spans="1:21" ht="16.899999999999999" customHeight="1">
      <c r="B12" s="159"/>
      <c r="C12" s="169"/>
      <c r="D12" s="161"/>
      <c r="E12" s="163"/>
      <c r="F12" s="77" t="s">
        <v>86</v>
      </c>
      <c r="G12" s="77" t="s">
        <v>29</v>
      </c>
      <c r="H12" s="77" t="s">
        <v>86</v>
      </c>
      <c r="I12" s="77" t="s">
        <v>29</v>
      </c>
      <c r="J12" s="77" t="s">
        <v>86</v>
      </c>
      <c r="K12" s="77" t="s">
        <v>29</v>
      </c>
      <c r="L12" s="77" t="s">
        <v>86</v>
      </c>
      <c r="M12" s="77" t="s">
        <v>29</v>
      </c>
      <c r="N12" s="77" t="s">
        <v>86</v>
      </c>
      <c r="O12" s="77" t="s">
        <v>29</v>
      </c>
      <c r="P12" s="77" t="s">
        <v>86</v>
      </c>
      <c r="Q12" s="78" t="s">
        <v>29</v>
      </c>
      <c r="R12" s="165"/>
      <c r="S12" s="167"/>
      <c r="U12" s="2"/>
    </row>
    <row r="13" spans="1:21" ht="45" customHeight="1">
      <c r="A13" s="6"/>
      <c r="B13" s="82" t="s">
        <v>167</v>
      </c>
      <c r="C13" s="36">
        <v>499</v>
      </c>
      <c r="D13" s="37">
        <v>480</v>
      </c>
      <c r="E13" s="38">
        <v>1920</v>
      </c>
      <c r="F13" s="38">
        <v>498</v>
      </c>
      <c r="G13" s="38">
        <v>0</v>
      </c>
      <c r="H13" s="38"/>
      <c r="I13" s="38"/>
      <c r="J13" s="38"/>
      <c r="K13" s="38"/>
      <c r="L13" s="38"/>
      <c r="M13" s="38"/>
      <c r="N13" s="38"/>
      <c r="O13" s="38"/>
      <c r="P13" s="38"/>
      <c r="Q13" s="48"/>
      <c r="R13" s="37">
        <f t="shared" ref="R13:R32" si="0">F13+H13+J13+L13+N13+P13</f>
        <v>498</v>
      </c>
      <c r="S13" s="84">
        <f t="shared" ref="S13:S33" si="1">R13/E13</f>
        <v>0.25937500000000002</v>
      </c>
    </row>
    <row r="14" spans="1:21" ht="45" customHeight="1">
      <c r="A14" s="6"/>
      <c r="B14" s="83" t="s">
        <v>168</v>
      </c>
      <c r="C14" s="39">
        <v>41</v>
      </c>
      <c r="D14" s="40">
        <v>40</v>
      </c>
      <c r="E14" s="41">
        <v>200</v>
      </c>
      <c r="F14" s="42">
        <v>40</v>
      </c>
      <c r="G14" s="42">
        <v>0</v>
      </c>
      <c r="H14" s="42"/>
      <c r="I14" s="42"/>
      <c r="J14" s="42"/>
      <c r="K14" s="42"/>
      <c r="L14" s="42"/>
      <c r="M14" s="42"/>
      <c r="N14" s="42"/>
      <c r="O14" s="42"/>
      <c r="P14" s="42"/>
      <c r="Q14" s="39"/>
      <c r="R14" s="40">
        <f t="shared" si="0"/>
        <v>40</v>
      </c>
      <c r="S14" s="16">
        <f t="shared" si="1"/>
        <v>0.2</v>
      </c>
    </row>
    <row r="15" spans="1:21" ht="45" customHeight="1">
      <c r="A15" s="6"/>
      <c r="B15" s="83" t="s">
        <v>169</v>
      </c>
      <c r="C15" s="39">
        <v>0</v>
      </c>
      <c r="D15" s="40">
        <v>25</v>
      </c>
      <c r="E15" s="41">
        <v>75</v>
      </c>
      <c r="F15" s="42">
        <v>0</v>
      </c>
      <c r="G15" s="42">
        <v>0</v>
      </c>
      <c r="H15" s="42"/>
      <c r="I15" s="42"/>
      <c r="J15" s="42"/>
      <c r="K15" s="42"/>
      <c r="L15" s="42"/>
      <c r="M15" s="42"/>
      <c r="N15" s="42"/>
      <c r="O15" s="42"/>
      <c r="P15" s="42"/>
      <c r="Q15" s="39"/>
      <c r="R15" s="40">
        <f t="shared" si="0"/>
        <v>0</v>
      </c>
      <c r="S15" s="8">
        <f t="shared" si="1"/>
        <v>0</v>
      </c>
    </row>
    <row r="16" spans="1:21" ht="18" customHeight="1">
      <c r="A16" s="6"/>
      <c r="B16" s="11" t="s">
        <v>170</v>
      </c>
      <c r="C16" s="39">
        <v>30</v>
      </c>
      <c r="D16" s="40">
        <v>30</v>
      </c>
      <c r="E16" s="41">
        <v>120</v>
      </c>
      <c r="F16" s="42">
        <v>30</v>
      </c>
      <c r="G16" s="42">
        <v>0</v>
      </c>
      <c r="H16" s="42"/>
      <c r="I16" s="42"/>
      <c r="J16" s="42"/>
      <c r="K16" s="42"/>
      <c r="L16" s="42"/>
      <c r="M16" s="42"/>
      <c r="N16" s="42"/>
      <c r="O16" s="42"/>
      <c r="P16" s="42"/>
      <c r="Q16" s="39"/>
      <c r="R16" s="40">
        <f t="shared" si="0"/>
        <v>30</v>
      </c>
      <c r="S16" s="8">
        <f t="shared" si="1"/>
        <v>0.25</v>
      </c>
    </row>
    <row r="17" spans="1:19" ht="18" customHeight="1">
      <c r="A17" s="6"/>
      <c r="B17" s="11" t="s">
        <v>171</v>
      </c>
      <c r="C17" s="39">
        <v>352</v>
      </c>
      <c r="D17" s="40">
        <v>350</v>
      </c>
      <c r="E17" s="41">
        <v>1400</v>
      </c>
      <c r="F17" s="42">
        <v>352</v>
      </c>
      <c r="G17" s="42">
        <v>0</v>
      </c>
      <c r="H17" s="42"/>
      <c r="I17" s="42"/>
      <c r="J17" s="42"/>
      <c r="K17" s="42"/>
      <c r="L17" s="42"/>
      <c r="M17" s="42"/>
      <c r="N17" s="42"/>
      <c r="O17" s="42"/>
      <c r="P17" s="42"/>
      <c r="Q17" s="39"/>
      <c r="R17" s="40">
        <f t="shared" si="0"/>
        <v>352</v>
      </c>
      <c r="S17" s="8">
        <f t="shared" si="1"/>
        <v>0.25142857142857145</v>
      </c>
    </row>
    <row r="18" spans="1:19" ht="18" customHeight="1">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c r="B33" s="13" t="s">
        <v>33</v>
      </c>
      <c r="C33" s="45">
        <f t="shared" ref="C33" si="2">SUM(C13:C32)</f>
        <v>922</v>
      </c>
      <c r="D33" s="46">
        <f t="shared" ref="D33:R33" si="3">SUM(D13:D32)</f>
        <v>925</v>
      </c>
      <c r="E33" s="47">
        <f t="shared" si="3"/>
        <v>3715</v>
      </c>
      <c r="F33" s="47">
        <f t="shared" si="3"/>
        <v>920</v>
      </c>
      <c r="G33" s="47">
        <f t="shared" ref="G33:H33" si="4">SUM(G13:G32)</f>
        <v>0</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920</v>
      </c>
      <c r="S33" s="9">
        <f t="shared" si="1"/>
        <v>0.24764468371467024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85" orientation="landscape" r:id="rId1"/>
  <headerFooter>
    <oddHeader>&amp;C数理・データサイエンス・AI教育プログラム認定制度【リテラシーレベル】</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33" sqref="B33"/>
    </sheetView>
  </sheetViews>
  <sheetFormatPr defaultColWidth="11.375" defaultRowHeight="18.75" customHeight="1"/>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20" t="s">
        <v>59</v>
      </c>
      <c r="I1" s="18" t="s">
        <v>91</v>
      </c>
    </row>
    <row r="2" spans="1:9" ht="18.75" customHeight="1">
      <c r="G2" s="18" t="s">
        <v>93</v>
      </c>
      <c r="H2" s="95" t="str">
        <f>'様式１　プログラムを構成する授業科目'!C2</f>
        <v>大阪教育大学</v>
      </c>
      <c r="I2" s="97"/>
    </row>
    <row r="3" spans="1:9" ht="18.75" customHeight="1">
      <c r="G3" s="18"/>
      <c r="H3" s="10"/>
      <c r="I3" s="10"/>
    </row>
    <row r="4" spans="1:9" ht="18.600000000000001" customHeight="1">
      <c r="A4" s="130" t="s">
        <v>36</v>
      </c>
      <c r="B4" s="130"/>
      <c r="C4" s="130"/>
      <c r="D4" s="130"/>
      <c r="E4" s="130"/>
      <c r="F4" s="130"/>
      <c r="G4" s="130"/>
      <c r="H4" s="130"/>
      <c r="I4" s="130"/>
    </row>
    <row r="5" spans="1:9" ht="13.15" customHeight="1">
      <c r="B5" s="3"/>
      <c r="C5" s="3"/>
      <c r="D5" s="3"/>
      <c r="E5" s="3"/>
      <c r="F5" s="3"/>
      <c r="G5" s="3"/>
      <c r="H5" s="3"/>
      <c r="I5" s="3"/>
    </row>
    <row r="6" spans="1:9" ht="18" customHeight="1">
      <c r="A6" s="1" t="s">
        <v>0</v>
      </c>
      <c r="B6" s="10" t="s">
        <v>81</v>
      </c>
      <c r="C6" s="223" t="s">
        <v>82</v>
      </c>
      <c r="D6" s="223"/>
      <c r="E6" s="17">
        <v>227</v>
      </c>
      <c r="F6" s="3" t="s">
        <v>1</v>
      </c>
      <c r="G6" s="3" t="s">
        <v>2</v>
      </c>
      <c r="H6" s="17">
        <v>217</v>
      </c>
      <c r="I6" s="10" t="s">
        <v>1</v>
      </c>
    </row>
    <row r="7" spans="1:9" ht="12" customHeight="1">
      <c r="C7" s="2"/>
      <c r="D7" s="2"/>
      <c r="E7" s="2"/>
      <c r="F7" s="2"/>
      <c r="G7" s="2"/>
      <c r="H7" s="2"/>
      <c r="I7" s="21"/>
    </row>
    <row r="8" spans="1:9" ht="18" customHeight="1">
      <c r="A8" s="1" t="s">
        <v>3</v>
      </c>
      <c r="B8" s="10" t="s">
        <v>83</v>
      </c>
      <c r="E8" s="3"/>
      <c r="F8" s="3"/>
      <c r="G8" s="3"/>
      <c r="H8" s="17">
        <v>11</v>
      </c>
      <c r="I8" s="10" t="s">
        <v>1</v>
      </c>
    </row>
    <row r="9" spans="1:9" ht="9" customHeight="1">
      <c r="B9" s="3"/>
      <c r="C9" s="3"/>
      <c r="D9" s="3"/>
      <c r="E9" s="3"/>
      <c r="F9" s="3"/>
      <c r="G9" s="3"/>
      <c r="H9" s="3"/>
      <c r="I9" s="3"/>
    </row>
    <row r="10" spans="1:9" ht="18" customHeight="1">
      <c r="A10" s="1" t="s">
        <v>4</v>
      </c>
      <c r="B10" s="10" t="s">
        <v>84</v>
      </c>
      <c r="C10" s="3"/>
      <c r="D10" s="3"/>
      <c r="E10" s="3"/>
      <c r="F10" s="3"/>
      <c r="G10" s="3"/>
      <c r="H10" s="3"/>
      <c r="I10" s="3"/>
    </row>
    <row r="11" spans="1:9" ht="18" customHeight="1">
      <c r="B11" s="18" t="s">
        <v>41</v>
      </c>
      <c r="C11" s="217" t="s">
        <v>172</v>
      </c>
      <c r="D11" s="220"/>
      <c r="E11" s="221"/>
      <c r="F11" s="21"/>
      <c r="G11" s="18" t="s">
        <v>10</v>
      </c>
      <c r="H11" s="217" t="s">
        <v>173</v>
      </c>
      <c r="I11" s="221"/>
    </row>
    <row r="12" spans="1:9" ht="10.15" customHeight="1">
      <c r="B12" s="18"/>
      <c r="C12" s="10"/>
      <c r="D12" s="21"/>
      <c r="E12" s="21"/>
      <c r="F12" s="21"/>
      <c r="G12" s="18"/>
      <c r="H12" s="10"/>
      <c r="I12" s="21"/>
    </row>
    <row r="13" spans="1:9" ht="18" customHeight="1">
      <c r="A13" s="1" t="s">
        <v>7</v>
      </c>
      <c r="B13" s="10" t="s">
        <v>79</v>
      </c>
      <c r="C13" s="3"/>
      <c r="D13" s="3"/>
      <c r="E13" s="3"/>
      <c r="F13" s="3"/>
      <c r="G13" s="3"/>
      <c r="H13" s="3"/>
      <c r="I13" s="3"/>
    </row>
    <row r="14" spans="1:9" ht="18" customHeight="1">
      <c r="B14" s="217" t="s">
        <v>174</v>
      </c>
      <c r="C14" s="218"/>
      <c r="D14" s="218"/>
      <c r="E14" s="218"/>
      <c r="F14" s="218"/>
      <c r="G14" s="218"/>
      <c r="H14" s="218"/>
      <c r="I14" s="219"/>
    </row>
    <row r="15" spans="1:9" ht="9" customHeight="1">
      <c r="B15" s="3"/>
      <c r="C15" s="3"/>
      <c r="D15" s="3"/>
      <c r="E15" s="3"/>
      <c r="F15" s="3"/>
      <c r="G15" s="3"/>
      <c r="H15" s="3"/>
      <c r="I15" s="3"/>
    </row>
    <row r="16" spans="1:9" ht="18" customHeight="1">
      <c r="B16" s="18" t="s">
        <v>41</v>
      </c>
      <c r="C16" s="217" t="s">
        <v>172</v>
      </c>
      <c r="D16" s="220"/>
      <c r="E16" s="221"/>
      <c r="F16" s="21"/>
      <c r="G16" s="18" t="s">
        <v>10</v>
      </c>
      <c r="H16" s="217" t="s">
        <v>175</v>
      </c>
      <c r="I16" s="222"/>
    </row>
    <row r="17" spans="1:9" ht="18" customHeight="1">
      <c r="B17" s="3"/>
      <c r="C17" s="3"/>
      <c r="D17" s="3"/>
      <c r="E17" s="3"/>
      <c r="F17" s="3"/>
      <c r="G17" s="3"/>
      <c r="H17" s="3"/>
      <c r="I17" s="3"/>
    </row>
    <row r="18" spans="1:9" ht="18.75" customHeight="1">
      <c r="A18" s="1" t="s">
        <v>5</v>
      </c>
      <c r="B18" s="1" t="s">
        <v>40</v>
      </c>
      <c r="I18" s="3"/>
    </row>
    <row r="19" spans="1:9" ht="18.75" customHeight="1">
      <c r="A19" s="1"/>
      <c r="B19" s="203" t="s">
        <v>176</v>
      </c>
      <c r="C19" s="204"/>
      <c r="D19" s="204"/>
      <c r="E19" s="204"/>
      <c r="F19" s="204"/>
      <c r="G19" s="204"/>
      <c r="H19" s="204"/>
      <c r="I19" s="205"/>
    </row>
    <row r="20" spans="1:9" ht="7.5" customHeight="1">
      <c r="B20" s="3"/>
      <c r="C20" s="3"/>
      <c r="D20" s="3"/>
      <c r="E20" s="3"/>
      <c r="F20" s="3"/>
      <c r="G20" s="3"/>
      <c r="H20" s="3"/>
      <c r="I20" s="3"/>
    </row>
    <row r="21" spans="1:9" ht="18.75" customHeight="1">
      <c r="A21" s="1" t="s">
        <v>8</v>
      </c>
      <c r="B21" s="1" t="s">
        <v>25</v>
      </c>
    </row>
    <row r="22" spans="1:9" ht="18.75" customHeight="1">
      <c r="A22" s="14"/>
      <c r="B22" s="206" t="s">
        <v>213</v>
      </c>
      <c r="C22" s="207"/>
      <c r="D22" s="207"/>
      <c r="E22" s="207"/>
      <c r="F22" s="207"/>
      <c r="G22" s="207"/>
      <c r="H22" s="207"/>
      <c r="I22" s="208"/>
    </row>
    <row r="23" spans="1:9" ht="18.75" customHeight="1">
      <c r="A23" s="14"/>
      <c r="B23" s="209"/>
      <c r="C23" s="210"/>
      <c r="D23" s="210"/>
      <c r="E23" s="210"/>
      <c r="F23" s="210"/>
      <c r="G23" s="210"/>
      <c r="H23" s="210"/>
      <c r="I23" s="211"/>
    </row>
    <row r="24" spans="1:9" ht="18.75" customHeight="1">
      <c r="A24" s="14"/>
      <c r="B24" s="209"/>
      <c r="C24" s="210"/>
      <c r="D24" s="210"/>
      <c r="E24" s="210"/>
      <c r="F24" s="210"/>
      <c r="G24" s="210"/>
      <c r="H24" s="210"/>
      <c r="I24" s="211"/>
    </row>
    <row r="25" spans="1:9" ht="18.75" customHeight="1">
      <c r="A25" s="14"/>
      <c r="B25" s="209"/>
      <c r="C25" s="210"/>
      <c r="D25" s="210"/>
      <c r="E25" s="210"/>
      <c r="F25" s="210"/>
      <c r="G25" s="210"/>
      <c r="H25" s="210"/>
      <c r="I25" s="211"/>
    </row>
    <row r="26" spans="1:9" ht="18.75" customHeight="1">
      <c r="A26" s="14"/>
      <c r="B26" s="209"/>
      <c r="C26" s="210"/>
      <c r="D26" s="210"/>
      <c r="E26" s="210"/>
      <c r="F26" s="210"/>
      <c r="G26" s="210"/>
      <c r="H26" s="210"/>
      <c r="I26" s="211"/>
    </row>
    <row r="27" spans="1:9" ht="18.75" customHeight="1">
      <c r="A27" s="14"/>
      <c r="B27" s="209"/>
      <c r="C27" s="210"/>
      <c r="D27" s="210"/>
      <c r="E27" s="210"/>
      <c r="F27" s="210"/>
      <c r="G27" s="210"/>
      <c r="H27" s="210"/>
      <c r="I27" s="211"/>
    </row>
    <row r="28" spans="1:9" ht="18.75" customHeight="1">
      <c r="A28" s="14"/>
      <c r="B28" s="209"/>
      <c r="C28" s="210"/>
      <c r="D28" s="210"/>
      <c r="E28" s="210"/>
      <c r="F28" s="210"/>
      <c r="G28" s="210"/>
      <c r="H28" s="210"/>
      <c r="I28" s="211"/>
    </row>
    <row r="29" spans="1:9" ht="18.75" customHeight="1">
      <c r="A29" s="14"/>
      <c r="B29" s="209"/>
      <c r="C29" s="210"/>
      <c r="D29" s="210"/>
      <c r="E29" s="210"/>
      <c r="F29" s="210"/>
      <c r="G29" s="210"/>
      <c r="H29" s="210"/>
      <c r="I29" s="211"/>
    </row>
    <row r="30" spans="1:9" ht="18.75" customHeight="1">
      <c r="A30" s="14"/>
      <c r="B30" s="212"/>
      <c r="C30" s="213"/>
      <c r="D30" s="213"/>
      <c r="E30" s="213"/>
      <c r="F30" s="213"/>
      <c r="G30" s="213"/>
      <c r="H30" s="213"/>
      <c r="I30" s="211"/>
    </row>
    <row r="31" spans="1:9" ht="18.75" customHeight="1">
      <c r="A31" s="14"/>
      <c r="B31" s="212"/>
      <c r="C31" s="213"/>
      <c r="D31" s="213"/>
      <c r="E31" s="213"/>
      <c r="F31" s="213"/>
      <c r="G31" s="213"/>
      <c r="H31" s="213"/>
      <c r="I31" s="211"/>
    </row>
    <row r="32" spans="1:9" ht="18.75" customHeight="1">
      <c r="A32" s="14"/>
      <c r="B32" s="214"/>
      <c r="C32" s="215"/>
      <c r="D32" s="215"/>
      <c r="E32" s="215"/>
      <c r="F32" s="215"/>
      <c r="G32" s="215"/>
      <c r="H32" s="215"/>
      <c r="I32" s="216"/>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171" t="s">
        <v>177</v>
      </c>
      <c r="C35" s="172"/>
      <c r="D35" s="172"/>
      <c r="E35" s="172"/>
      <c r="F35" s="172"/>
      <c r="G35" s="173"/>
      <c r="H35" s="174" t="s">
        <v>178</v>
      </c>
      <c r="I35" s="174"/>
    </row>
    <row r="36" spans="1:9" ht="18.75" customHeight="1">
      <c r="A36" s="14"/>
      <c r="B36" s="170" t="s">
        <v>196</v>
      </c>
      <c r="C36" s="170"/>
      <c r="D36" s="170"/>
      <c r="E36" s="86"/>
      <c r="F36" s="88"/>
      <c r="G36" s="170"/>
      <c r="H36" s="170" t="s">
        <v>179</v>
      </c>
      <c r="I36" s="170"/>
    </row>
    <row r="37" spans="1:9" ht="18.75" customHeight="1">
      <c r="A37" s="14"/>
      <c r="B37" s="170" t="s">
        <v>197</v>
      </c>
      <c r="C37" s="170"/>
      <c r="D37" s="170"/>
      <c r="E37" s="86"/>
      <c r="F37" s="88" t="s">
        <v>180</v>
      </c>
      <c r="G37" s="170"/>
      <c r="H37" s="170" t="s">
        <v>181</v>
      </c>
      <c r="I37" s="170"/>
    </row>
    <row r="38" spans="1:9" ht="18.75" customHeight="1">
      <c r="A38" s="14"/>
      <c r="B38" s="170" t="s">
        <v>198</v>
      </c>
      <c r="C38" s="170"/>
      <c r="D38" s="170"/>
      <c r="E38" s="86"/>
      <c r="F38" s="88" t="s">
        <v>180</v>
      </c>
      <c r="G38" s="170"/>
      <c r="H38" s="170" t="s">
        <v>182</v>
      </c>
      <c r="I38" s="170"/>
    </row>
    <row r="39" spans="1:9" ht="18.75" customHeight="1">
      <c r="A39" s="14"/>
      <c r="B39" s="170" t="s">
        <v>183</v>
      </c>
      <c r="C39" s="170"/>
      <c r="D39" s="170"/>
      <c r="E39" s="86"/>
      <c r="F39" s="88" t="s">
        <v>180</v>
      </c>
      <c r="G39" s="170"/>
      <c r="H39" s="170" t="s">
        <v>184</v>
      </c>
      <c r="I39" s="170"/>
    </row>
    <row r="40" spans="1:9" ht="18.75" customHeight="1">
      <c r="A40" s="14"/>
      <c r="B40" s="170" t="s">
        <v>185</v>
      </c>
      <c r="C40" s="170"/>
      <c r="D40" s="170"/>
      <c r="E40" s="86"/>
      <c r="F40" s="88" t="s">
        <v>180</v>
      </c>
      <c r="G40" s="170"/>
      <c r="H40" s="170" t="s">
        <v>186</v>
      </c>
      <c r="I40" s="170"/>
    </row>
    <row r="41" spans="1:9" ht="18.75" customHeight="1">
      <c r="A41" s="14"/>
      <c r="B41" s="170" t="s">
        <v>187</v>
      </c>
      <c r="C41" s="170"/>
      <c r="D41" s="170"/>
      <c r="E41" s="86"/>
      <c r="F41" s="88" t="s">
        <v>180</v>
      </c>
      <c r="G41" s="170"/>
      <c r="H41" s="170" t="s">
        <v>188</v>
      </c>
      <c r="I41" s="170"/>
    </row>
    <row r="42" spans="1:9" ht="18.75" customHeight="1">
      <c r="A42" s="14"/>
      <c r="B42" s="170" t="s">
        <v>189</v>
      </c>
      <c r="C42" s="170"/>
      <c r="D42" s="170"/>
      <c r="E42" s="86"/>
      <c r="F42" s="88" t="s">
        <v>180</v>
      </c>
      <c r="G42" s="170"/>
      <c r="H42" s="170" t="s">
        <v>190</v>
      </c>
      <c r="I42" s="170"/>
    </row>
    <row r="43" spans="1:9" ht="18.75" customHeight="1">
      <c r="A43" s="14"/>
      <c r="B43" s="170" t="s">
        <v>191</v>
      </c>
      <c r="C43" s="170"/>
      <c r="D43" s="170"/>
      <c r="E43" s="86"/>
      <c r="F43" s="88" t="s">
        <v>192</v>
      </c>
      <c r="G43" s="170"/>
      <c r="H43" s="86" t="s">
        <v>193</v>
      </c>
      <c r="I43" s="88"/>
    </row>
    <row r="44" spans="1:9" ht="18.75" customHeight="1">
      <c r="A44" s="14"/>
      <c r="B44" s="170" t="s">
        <v>194</v>
      </c>
      <c r="C44" s="170"/>
      <c r="D44" s="170"/>
      <c r="E44" s="86"/>
      <c r="F44" s="88"/>
      <c r="G44" s="170"/>
      <c r="H44" s="170" t="s">
        <v>195</v>
      </c>
      <c r="I44" s="170"/>
    </row>
    <row r="45" spans="1:9" ht="18.75" customHeight="1">
      <c r="A45" s="14"/>
      <c r="B45" s="81"/>
      <c r="C45" s="81"/>
      <c r="D45" s="81"/>
      <c r="E45" s="81"/>
      <c r="F45" s="81"/>
      <c r="G45" s="81"/>
      <c r="H45" s="81"/>
      <c r="I45" s="81"/>
    </row>
    <row r="46" spans="1:9" ht="18.75" customHeight="1">
      <c r="A46" s="14"/>
      <c r="B46" s="50"/>
      <c r="C46" s="50"/>
      <c r="D46" s="50"/>
      <c r="E46" s="50"/>
      <c r="F46" s="50"/>
      <c r="G46" s="50"/>
      <c r="H46" s="50"/>
      <c r="I46" s="50"/>
    </row>
    <row r="47" spans="1:9" ht="7.5" customHeight="1">
      <c r="A47" s="4"/>
      <c r="B47" s="4"/>
      <c r="C47" s="4"/>
      <c r="D47" s="4"/>
      <c r="E47" s="4"/>
      <c r="F47" s="4"/>
      <c r="G47" s="4"/>
      <c r="H47" s="4"/>
      <c r="I47" s="4"/>
    </row>
    <row r="48" spans="1:9" ht="18.75" customHeight="1">
      <c r="A48" s="1" t="s">
        <v>31</v>
      </c>
      <c r="B48" s="1" t="s">
        <v>105</v>
      </c>
    </row>
    <row r="49" spans="1:15" s="3" customFormat="1" ht="18.75" customHeight="1">
      <c r="B49" s="79" t="s">
        <v>129</v>
      </c>
      <c r="C49" s="191">
        <f>'様式２ 履修者等数の実績'!S33</f>
        <v>0.24764468371467024</v>
      </c>
      <c r="D49" s="191"/>
      <c r="E49" s="79" t="s">
        <v>60</v>
      </c>
      <c r="F49" s="191">
        <v>0.48</v>
      </c>
      <c r="G49" s="191"/>
      <c r="H49" s="79" t="s">
        <v>80</v>
      </c>
      <c r="I49" s="22">
        <v>0.73</v>
      </c>
      <c r="J49" s="1"/>
      <c r="M49" s="1"/>
      <c r="N49" s="23"/>
    </row>
    <row r="50" spans="1:15" s="3" customFormat="1" ht="18.75" customHeight="1">
      <c r="B50" s="80" t="s">
        <v>116</v>
      </c>
      <c r="C50" s="192">
        <v>0.98</v>
      </c>
      <c r="D50" s="192"/>
      <c r="E50" s="80" t="s">
        <v>130</v>
      </c>
      <c r="F50" s="228">
        <v>1</v>
      </c>
      <c r="G50" s="229"/>
      <c r="H50" s="80" t="s">
        <v>61</v>
      </c>
      <c r="I50" s="24">
        <f>'様式２ 履修者等数の実績'!E33</f>
        <v>3715</v>
      </c>
      <c r="J50" s="1"/>
      <c r="M50" s="1"/>
      <c r="N50" s="23"/>
    </row>
    <row r="51" spans="1:15" ht="18.75" customHeight="1">
      <c r="A51" s="1"/>
      <c r="B51" s="225" t="s">
        <v>62</v>
      </c>
      <c r="C51" s="226"/>
      <c r="D51" s="226"/>
      <c r="E51" s="226"/>
      <c r="F51" s="226"/>
      <c r="G51" s="226"/>
      <c r="H51" s="226"/>
      <c r="I51" s="227"/>
      <c r="N51" s="23"/>
      <c r="O51" s="3"/>
    </row>
    <row r="52" spans="1:15" ht="18.75" customHeight="1">
      <c r="A52" s="1"/>
      <c r="B52" s="193" t="s">
        <v>199</v>
      </c>
      <c r="C52" s="194"/>
      <c r="D52" s="194"/>
      <c r="E52" s="194"/>
      <c r="F52" s="194"/>
      <c r="G52" s="194"/>
      <c r="H52" s="194"/>
      <c r="I52" s="195"/>
      <c r="N52" s="23"/>
      <c r="O52" s="3"/>
    </row>
    <row r="53" spans="1:15" ht="18.75" customHeight="1">
      <c r="A53" s="1"/>
      <c r="B53" s="196"/>
      <c r="C53" s="197"/>
      <c r="D53" s="197"/>
      <c r="E53" s="197"/>
      <c r="F53" s="197"/>
      <c r="G53" s="197"/>
      <c r="H53" s="197"/>
      <c r="I53" s="198"/>
      <c r="N53" s="23"/>
      <c r="O53" s="3"/>
    </row>
    <row r="54" spans="1:15" ht="18.75" customHeight="1">
      <c r="A54" s="1"/>
      <c r="B54" s="196"/>
      <c r="C54" s="197"/>
      <c r="D54" s="197"/>
      <c r="E54" s="197"/>
      <c r="F54" s="197"/>
      <c r="G54" s="197"/>
      <c r="H54" s="197"/>
      <c r="I54" s="198"/>
    </row>
    <row r="55" spans="1:15" ht="18.75" customHeight="1">
      <c r="A55" s="1"/>
      <c r="B55" s="196"/>
      <c r="C55" s="197"/>
      <c r="D55" s="197"/>
      <c r="E55" s="197"/>
      <c r="F55" s="197"/>
      <c r="G55" s="197"/>
      <c r="H55" s="197"/>
      <c r="I55" s="198"/>
    </row>
    <row r="56" spans="1:15" ht="18.75" customHeight="1">
      <c r="A56" s="1"/>
      <c r="B56" s="196"/>
      <c r="C56" s="197"/>
      <c r="D56" s="197"/>
      <c r="E56" s="197"/>
      <c r="F56" s="197"/>
      <c r="G56" s="197"/>
      <c r="H56" s="197"/>
      <c r="I56" s="198"/>
    </row>
    <row r="57" spans="1:15" ht="18.75" customHeight="1">
      <c r="A57" s="1"/>
      <c r="B57" s="196"/>
      <c r="C57" s="197"/>
      <c r="D57" s="197"/>
      <c r="E57" s="197"/>
      <c r="F57" s="197"/>
      <c r="G57" s="197"/>
      <c r="H57" s="197"/>
      <c r="I57" s="198"/>
    </row>
    <row r="58" spans="1:15" ht="18.75" customHeight="1">
      <c r="A58" s="1"/>
      <c r="B58" s="196"/>
      <c r="C58" s="197"/>
      <c r="D58" s="197"/>
      <c r="E58" s="197"/>
      <c r="F58" s="197"/>
      <c r="G58" s="197"/>
      <c r="H58" s="197"/>
      <c r="I58" s="198"/>
    </row>
    <row r="59" spans="1:15" ht="18.75" customHeight="1">
      <c r="A59" s="1"/>
      <c r="B59" s="196"/>
      <c r="C59" s="197"/>
      <c r="D59" s="197"/>
      <c r="E59" s="197"/>
      <c r="F59" s="197"/>
      <c r="G59" s="197"/>
      <c r="H59" s="197"/>
      <c r="I59" s="198"/>
    </row>
    <row r="60" spans="1:15" ht="18.75" customHeight="1">
      <c r="A60" s="1"/>
      <c r="B60" s="196"/>
      <c r="C60" s="197"/>
      <c r="D60" s="197"/>
      <c r="E60" s="197"/>
      <c r="F60" s="197"/>
      <c r="G60" s="197"/>
      <c r="H60" s="197"/>
      <c r="I60" s="198"/>
    </row>
    <row r="61" spans="1:15" ht="18.75" customHeight="1">
      <c r="A61" s="1"/>
      <c r="B61" s="196"/>
      <c r="C61" s="197"/>
      <c r="D61" s="197"/>
      <c r="E61" s="197"/>
      <c r="F61" s="197"/>
      <c r="G61" s="197"/>
      <c r="H61" s="197"/>
      <c r="I61" s="198"/>
    </row>
    <row r="62" spans="1:15" ht="18.75" customHeight="1">
      <c r="A62" s="1"/>
      <c r="B62" s="196"/>
      <c r="C62" s="197"/>
      <c r="D62" s="197"/>
      <c r="E62" s="197"/>
      <c r="F62" s="197"/>
      <c r="G62" s="197"/>
      <c r="H62" s="197"/>
      <c r="I62" s="198"/>
    </row>
    <row r="63" spans="1:15" ht="18.75" customHeight="1">
      <c r="A63" s="1"/>
      <c r="B63" s="199"/>
      <c r="C63" s="200"/>
      <c r="D63" s="200"/>
      <c r="E63" s="200"/>
      <c r="F63" s="200"/>
      <c r="G63" s="200"/>
      <c r="H63" s="200"/>
      <c r="I63" s="201"/>
    </row>
    <row r="64" spans="1:15" ht="7.5" customHeight="1">
      <c r="A64" s="14"/>
      <c r="B64" s="14"/>
      <c r="C64" s="14"/>
      <c r="D64" s="14"/>
      <c r="E64" s="14"/>
      <c r="F64" s="14"/>
      <c r="G64" s="14"/>
      <c r="H64" s="14"/>
      <c r="I64" s="14"/>
    </row>
    <row r="65" spans="1:9" ht="18.75" customHeight="1">
      <c r="A65" s="15" t="s">
        <v>34</v>
      </c>
      <c r="B65" s="1" t="s">
        <v>37</v>
      </c>
      <c r="I65" s="15"/>
    </row>
    <row r="66" spans="1:9" ht="18.75" customHeight="1">
      <c r="A66" s="4"/>
      <c r="B66" s="175" t="s">
        <v>212</v>
      </c>
      <c r="C66" s="176"/>
      <c r="D66" s="176"/>
      <c r="E66" s="176"/>
      <c r="F66" s="176"/>
      <c r="G66" s="176"/>
      <c r="H66" s="176"/>
      <c r="I66" s="177"/>
    </row>
    <row r="67" spans="1:9" ht="18.75" customHeight="1">
      <c r="A67" s="4"/>
      <c r="B67" s="178"/>
      <c r="C67" s="179"/>
      <c r="D67" s="179"/>
      <c r="E67" s="179"/>
      <c r="F67" s="179"/>
      <c r="G67" s="179"/>
      <c r="H67" s="179"/>
      <c r="I67" s="180"/>
    </row>
    <row r="68" spans="1:9" ht="18.75" customHeight="1">
      <c r="A68" s="4"/>
      <c r="B68" s="178"/>
      <c r="C68" s="179"/>
      <c r="D68" s="179"/>
      <c r="E68" s="179"/>
      <c r="F68" s="179"/>
      <c r="G68" s="179"/>
      <c r="H68" s="179"/>
      <c r="I68" s="180"/>
    </row>
    <row r="69" spans="1:9" ht="18.75" customHeight="1">
      <c r="A69" s="4"/>
      <c r="B69" s="178"/>
      <c r="C69" s="179"/>
      <c r="D69" s="179"/>
      <c r="E69" s="179"/>
      <c r="F69" s="179"/>
      <c r="G69" s="179"/>
      <c r="H69" s="179"/>
      <c r="I69" s="180"/>
    </row>
    <row r="70" spans="1:9" ht="18.75" customHeight="1">
      <c r="A70" s="4"/>
      <c r="B70" s="178"/>
      <c r="C70" s="179"/>
      <c r="D70" s="179"/>
      <c r="E70" s="179"/>
      <c r="F70" s="179"/>
      <c r="G70" s="179"/>
      <c r="H70" s="179"/>
      <c r="I70" s="180"/>
    </row>
    <row r="71" spans="1:9" ht="18.75" customHeight="1">
      <c r="A71" s="4"/>
      <c r="B71" s="178"/>
      <c r="C71" s="179"/>
      <c r="D71" s="179"/>
      <c r="E71" s="179"/>
      <c r="F71" s="179"/>
      <c r="G71" s="179"/>
      <c r="H71" s="179"/>
      <c r="I71" s="180"/>
    </row>
    <row r="72" spans="1:9" ht="18.75" customHeight="1">
      <c r="A72" s="4"/>
      <c r="B72" s="178"/>
      <c r="C72" s="179"/>
      <c r="D72" s="179"/>
      <c r="E72" s="179"/>
      <c r="F72" s="179"/>
      <c r="G72" s="179"/>
      <c r="H72" s="179"/>
      <c r="I72" s="180"/>
    </row>
    <row r="73" spans="1:9" ht="18.75" customHeight="1">
      <c r="A73" s="4"/>
      <c r="B73" s="178"/>
      <c r="C73" s="179"/>
      <c r="D73" s="179"/>
      <c r="E73" s="179"/>
      <c r="F73" s="179"/>
      <c r="G73" s="179"/>
      <c r="H73" s="179"/>
      <c r="I73" s="180"/>
    </row>
    <row r="74" spans="1:9" ht="18.75" customHeight="1">
      <c r="A74" s="4"/>
      <c r="B74" s="178"/>
      <c r="C74" s="179"/>
      <c r="D74" s="179"/>
      <c r="E74" s="179"/>
      <c r="F74" s="179"/>
      <c r="G74" s="179"/>
      <c r="H74" s="179"/>
      <c r="I74" s="180"/>
    </row>
    <row r="75" spans="1:9" ht="18.75" customHeight="1">
      <c r="A75" s="4"/>
      <c r="B75" s="178"/>
      <c r="C75" s="179"/>
      <c r="D75" s="179"/>
      <c r="E75" s="179"/>
      <c r="F75" s="179"/>
      <c r="G75" s="179"/>
      <c r="H75" s="179"/>
      <c r="I75" s="180"/>
    </row>
    <row r="76" spans="1:9" ht="18.75" customHeight="1">
      <c r="A76" s="4"/>
      <c r="B76" s="178"/>
      <c r="C76" s="179"/>
      <c r="D76" s="179"/>
      <c r="E76" s="179"/>
      <c r="F76" s="179"/>
      <c r="G76" s="179"/>
      <c r="H76" s="179"/>
      <c r="I76" s="180"/>
    </row>
    <row r="77" spans="1:9" ht="18.75" customHeight="1">
      <c r="A77" s="4"/>
      <c r="B77" s="181"/>
      <c r="C77" s="182"/>
      <c r="D77" s="182"/>
      <c r="E77" s="182"/>
      <c r="F77" s="182"/>
      <c r="G77" s="182"/>
      <c r="H77" s="182"/>
      <c r="I77" s="183"/>
    </row>
    <row r="78" spans="1:9" ht="7.5" customHeight="1">
      <c r="A78" s="4"/>
      <c r="B78" s="4"/>
      <c r="C78" s="4"/>
      <c r="D78" s="4"/>
      <c r="E78" s="4"/>
      <c r="F78" s="4"/>
      <c r="G78" s="4"/>
      <c r="H78" s="4"/>
      <c r="I78" s="4"/>
    </row>
    <row r="79" spans="1:9" ht="18.75" customHeight="1">
      <c r="A79" s="1" t="s">
        <v>11</v>
      </c>
      <c r="B79" s="1" t="s">
        <v>39</v>
      </c>
    </row>
    <row r="80" spans="1:9" ht="18.75" customHeight="1">
      <c r="A80" s="1"/>
      <c r="B80" s="175" t="s">
        <v>200</v>
      </c>
      <c r="C80" s="176"/>
      <c r="D80" s="176"/>
      <c r="E80" s="176"/>
      <c r="F80" s="176"/>
      <c r="G80" s="176"/>
      <c r="H80" s="176"/>
      <c r="I80" s="184"/>
    </row>
    <row r="81" spans="1:9" ht="18.75" customHeight="1">
      <c r="A81" s="1"/>
      <c r="B81" s="185"/>
      <c r="C81" s="186"/>
      <c r="D81" s="186"/>
      <c r="E81" s="186"/>
      <c r="F81" s="186"/>
      <c r="G81" s="186"/>
      <c r="H81" s="186"/>
      <c r="I81" s="187"/>
    </row>
    <row r="82" spans="1:9" ht="18.75" customHeight="1">
      <c r="A82" s="1"/>
      <c r="B82" s="185"/>
      <c r="C82" s="186"/>
      <c r="D82" s="186"/>
      <c r="E82" s="186"/>
      <c r="F82" s="186"/>
      <c r="G82" s="186"/>
      <c r="H82" s="186"/>
      <c r="I82" s="187"/>
    </row>
    <row r="83" spans="1:9" ht="18.75" customHeight="1">
      <c r="A83" s="1"/>
      <c r="B83" s="185"/>
      <c r="C83" s="186"/>
      <c r="D83" s="186"/>
      <c r="E83" s="186"/>
      <c r="F83" s="186"/>
      <c r="G83" s="186"/>
      <c r="H83" s="186"/>
      <c r="I83" s="187"/>
    </row>
    <row r="84" spans="1:9" ht="18.75" customHeight="1">
      <c r="A84" s="1"/>
      <c r="B84" s="185"/>
      <c r="C84" s="186"/>
      <c r="D84" s="186"/>
      <c r="E84" s="186"/>
      <c r="F84" s="186"/>
      <c r="G84" s="186"/>
      <c r="H84" s="186"/>
      <c r="I84" s="187"/>
    </row>
    <row r="85" spans="1:9" ht="18.75" customHeight="1">
      <c r="A85" s="1"/>
      <c r="B85" s="185"/>
      <c r="C85" s="186"/>
      <c r="D85" s="186"/>
      <c r="E85" s="186"/>
      <c r="F85" s="186"/>
      <c r="G85" s="186"/>
      <c r="H85" s="186"/>
      <c r="I85" s="187"/>
    </row>
    <row r="86" spans="1:9" ht="18.75" customHeight="1">
      <c r="A86" s="1"/>
      <c r="B86" s="185"/>
      <c r="C86" s="186"/>
      <c r="D86" s="186"/>
      <c r="E86" s="186"/>
      <c r="F86" s="186"/>
      <c r="G86" s="186"/>
      <c r="H86" s="186"/>
      <c r="I86" s="187"/>
    </row>
    <row r="87" spans="1:9" ht="18.75" customHeight="1">
      <c r="A87" s="1"/>
      <c r="B87" s="185"/>
      <c r="C87" s="186"/>
      <c r="D87" s="186"/>
      <c r="E87" s="186"/>
      <c r="F87" s="186"/>
      <c r="G87" s="186"/>
      <c r="H87" s="186"/>
      <c r="I87" s="187"/>
    </row>
    <row r="88" spans="1:9" ht="18.75" customHeight="1">
      <c r="A88" s="1"/>
      <c r="B88" s="185"/>
      <c r="C88" s="186"/>
      <c r="D88" s="186"/>
      <c r="E88" s="186"/>
      <c r="F88" s="186"/>
      <c r="G88" s="186"/>
      <c r="H88" s="186"/>
      <c r="I88" s="187"/>
    </row>
    <row r="89" spans="1:9" ht="18.75" customHeight="1">
      <c r="A89" s="1"/>
      <c r="B89" s="185"/>
      <c r="C89" s="186"/>
      <c r="D89" s="186"/>
      <c r="E89" s="186"/>
      <c r="F89" s="186"/>
      <c r="G89" s="186"/>
      <c r="H89" s="186"/>
      <c r="I89" s="187"/>
    </row>
    <row r="90" spans="1:9" ht="18.75" customHeight="1">
      <c r="A90" s="4"/>
      <c r="B90" s="185"/>
      <c r="C90" s="186"/>
      <c r="D90" s="186"/>
      <c r="E90" s="186"/>
      <c r="F90" s="186"/>
      <c r="G90" s="186"/>
      <c r="H90" s="186"/>
      <c r="I90" s="187"/>
    </row>
    <row r="91" spans="1:9" ht="18.75" customHeight="1">
      <c r="A91" s="4"/>
      <c r="B91" s="188"/>
      <c r="C91" s="189"/>
      <c r="D91" s="189"/>
      <c r="E91" s="189"/>
      <c r="F91" s="189"/>
      <c r="G91" s="189"/>
      <c r="H91" s="189"/>
      <c r="I91" s="190"/>
    </row>
    <row r="92" spans="1:9" ht="7.5" customHeight="1">
      <c r="A92" s="4"/>
      <c r="B92" s="4"/>
      <c r="C92" s="4"/>
      <c r="D92" s="4"/>
      <c r="E92" s="4"/>
      <c r="F92" s="4"/>
      <c r="G92" s="4"/>
      <c r="H92" s="4"/>
      <c r="I92" s="4"/>
    </row>
    <row r="93" spans="1:9" ht="18.75" customHeight="1">
      <c r="A93" s="1" t="s">
        <v>42</v>
      </c>
      <c r="B93" s="1" t="s">
        <v>13</v>
      </c>
    </row>
    <row r="94" spans="1:9" ht="18.75" customHeight="1">
      <c r="A94" s="1"/>
      <c r="B94" s="206" t="s">
        <v>208</v>
      </c>
      <c r="C94" s="207"/>
      <c r="D94" s="207"/>
      <c r="E94" s="207"/>
      <c r="F94" s="207"/>
      <c r="G94" s="207"/>
      <c r="H94" s="207"/>
      <c r="I94" s="208"/>
    </row>
    <row r="95" spans="1:9" ht="18.75" customHeight="1">
      <c r="A95" s="1"/>
      <c r="B95" s="212"/>
      <c r="C95" s="213"/>
      <c r="D95" s="213"/>
      <c r="E95" s="213"/>
      <c r="F95" s="213"/>
      <c r="G95" s="213"/>
      <c r="H95" s="213"/>
      <c r="I95" s="211"/>
    </row>
    <row r="96" spans="1:9" ht="18.75" customHeight="1">
      <c r="A96" s="1"/>
      <c r="B96" s="212"/>
      <c r="C96" s="213"/>
      <c r="D96" s="213"/>
      <c r="E96" s="213"/>
      <c r="F96" s="213"/>
      <c r="G96" s="213"/>
      <c r="H96" s="213"/>
      <c r="I96" s="211"/>
    </row>
    <row r="97" spans="1:9" ht="18.75" customHeight="1">
      <c r="A97" s="1"/>
      <c r="B97" s="212"/>
      <c r="C97" s="213"/>
      <c r="D97" s="213"/>
      <c r="E97" s="213"/>
      <c r="F97" s="213"/>
      <c r="G97" s="213"/>
      <c r="H97" s="213"/>
      <c r="I97" s="211"/>
    </row>
    <row r="98" spans="1:9" ht="18.75" customHeight="1">
      <c r="A98" s="1"/>
      <c r="B98" s="212"/>
      <c r="C98" s="213"/>
      <c r="D98" s="213"/>
      <c r="E98" s="213"/>
      <c r="F98" s="213"/>
      <c r="G98" s="213"/>
      <c r="H98" s="213"/>
      <c r="I98" s="211"/>
    </row>
    <row r="99" spans="1:9" ht="18.75" customHeight="1">
      <c r="A99" s="1"/>
      <c r="B99" s="212"/>
      <c r="C99" s="213"/>
      <c r="D99" s="213"/>
      <c r="E99" s="213"/>
      <c r="F99" s="213"/>
      <c r="G99" s="213"/>
      <c r="H99" s="213"/>
      <c r="I99" s="211"/>
    </row>
    <row r="100" spans="1:9" ht="18.75" customHeight="1">
      <c r="A100" s="1"/>
      <c r="B100" s="212"/>
      <c r="C100" s="213"/>
      <c r="D100" s="213"/>
      <c r="E100" s="213"/>
      <c r="F100" s="213"/>
      <c r="G100" s="213"/>
      <c r="H100" s="213"/>
      <c r="I100" s="211"/>
    </row>
    <row r="101" spans="1:9" ht="18.75" customHeight="1">
      <c r="A101" s="1"/>
      <c r="B101" s="212"/>
      <c r="C101" s="213"/>
      <c r="D101" s="213"/>
      <c r="E101" s="213"/>
      <c r="F101" s="213"/>
      <c r="G101" s="213"/>
      <c r="H101" s="213"/>
      <c r="I101" s="211"/>
    </row>
    <row r="102" spans="1:9" ht="18.75" customHeight="1">
      <c r="A102" s="1"/>
      <c r="B102" s="212"/>
      <c r="C102" s="213"/>
      <c r="D102" s="213"/>
      <c r="E102" s="213"/>
      <c r="F102" s="213"/>
      <c r="G102" s="213"/>
      <c r="H102" s="213"/>
      <c r="I102" s="211"/>
    </row>
    <row r="103" spans="1:9" ht="18.75" customHeight="1">
      <c r="A103" s="1"/>
      <c r="B103" s="212"/>
      <c r="C103" s="213"/>
      <c r="D103" s="213"/>
      <c r="E103" s="213"/>
      <c r="F103" s="213"/>
      <c r="G103" s="213"/>
      <c r="H103" s="213"/>
      <c r="I103" s="211"/>
    </row>
    <row r="104" spans="1:9" ht="18.75" customHeight="1">
      <c r="A104" s="1"/>
      <c r="B104" s="212"/>
      <c r="C104" s="213"/>
      <c r="D104" s="213"/>
      <c r="E104" s="213"/>
      <c r="F104" s="213"/>
      <c r="G104" s="213"/>
      <c r="H104" s="213"/>
      <c r="I104" s="211"/>
    </row>
    <row r="105" spans="1:9" ht="18.75" customHeight="1">
      <c r="A105" s="4"/>
      <c r="B105" s="214"/>
      <c r="C105" s="215"/>
      <c r="D105" s="215"/>
      <c r="E105" s="215"/>
      <c r="F105" s="215"/>
      <c r="G105" s="215"/>
      <c r="H105" s="215"/>
      <c r="I105" s="216"/>
    </row>
    <row r="106" spans="1:9" ht="7.5" customHeight="1">
      <c r="A106" s="4"/>
      <c r="B106" s="4"/>
      <c r="C106" s="4"/>
      <c r="D106" s="4"/>
      <c r="E106" s="4"/>
      <c r="F106" s="4"/>
      <c r="G106" s="4"/>
      <c r="H106" s="4"/>
      <c r="I106" s="4"/>
    </row>
    <row r="107" spans="1:9" ht="18.75" customHeight="1">
      <c r="A107" s="1" t="s">
        <v>30</v>
      </c>
      <c r="B107" s="224" t="s">
        <v>44</v>
      </c>
      <c r="C107" s="224"/>
      <c r="D107" s="224"/>
      <c r="E107" s="224"/>
      <c r="F107" s="224"/>
      <c r="G107" s="224"/>
      <c r="H107" s="224"/>
      <c r="I107" s="224"/>
    </row>
    <row r="108" spans="1:9" ht="18.75" customHeight="1">
      <c r="A108" s="4"/>
      <c r="B108" s="206" t="s">
        <v>201</v>
      </c>
      <c r="C108" s="207"/>
      <c r="D108" s="207"/>
      <c r="E108" s="207"/>
      <c r="F108" s="207"/>
      <c r="G108" s="207"/>
      <c r="H108" s="207"/>
      <c r="I108" s="208"/>
    </row>
    <row r="109" spans="1:9" ht="18.75" customHeight="1">
      <c r="A109" s="4"/>
      <c r="B109" s="212"/>
      <c r="C109" s="213"/>
      <c r="D109" s="213"/>
      <c r="E109" s="213"/>
      <c r="F109" s="213"/>
      <c r="G109" s="213"/>
      <c r="H109" s="213"/>
      <c r="I109" s="211"/>
    </row>
    <row r="110" spans="1:9" ht="18.75" customHeight="1">
      <c r="A110" s="4"/>
      <c r="B110" s="212"/>
      <c r="C110" s="213"/>
      <c r="D110" s="213"/>
      <c r="E110" s="213"/>
      <c r="F110" s="213"/>
      <c r="G110" s="213"/>
      <c r="H110" s="213"/>
      <c r="I110" s="211"/>
    </row>
    <row r="111" spans="1:9" ht="18.75" customHeight="1">
      <c r="A111" s="4"/>
      <c r="B111" s="212"/>
      <c r="C111" s="213"/>
      <c r="D111" s="213"/>
      <c r="E111" s="213"/>
      <c r="F111" s="213"/>
      <c r="G111" s="213"/>
      <c r="H111" s="213"/>
      <c r="I111" s="211"/>
    </row>
    <row r="112" spans="1:9" ht="18.75" customHeight="1">
      <c r="A112" s="4"/>
      <c r="B112" s="212"/>
      <c r="C112" s="213"/>
      <c r="D112" s="213"/>
      <c r="E112" s="213"/>
      <c r="F112" s="213"/>
      <c r="G112" s="213"/>
      <c r="H112" s="213"/>
      <c r="I112" s="211"/>
    </row>
    <row r="113" spans="1:9" ht="18.75" customHeight="1">
      <c r="A113" s="4"/>
      <c r="B113" s="212"/>
      <c r="C113" s="213"/>
      <c r="D113" s="213"/>
      <c r="E113" s="213"/>
      <c r="F113" s="213"/>
      <c r="G113" s="213"/>
      <c r="H113" s="213"/>
      <c r="I113" s="211"/>
    </row>
    <row r="114" spans="1:9" ht="18.75" customHeight="1">
      <c r="A114" s="4"/>
      <c r="B114" s="212"/>
      <c r="C114" s="213"/>
      <c r="D114" s="213"/>
      <c r="E114" s="213"/>
      <c r="F114" s="213"/>
      <c r="G114" s="213"/>
      <c r="H114" s="213"/>
      <c r="I114" s="211"/>
    </row>
    <row r="115" spans="1:9" ht="18.75" customHeight="1">
      <c r="A115" s="4"/>
      <c r="B115" s="212"/>
      <c r="C115" s="213"/>
      <c r="D115" s="213"/>
      <c r="E115" s="213"/>
      <c r="F115" s="213"/>
      <c r="G115" s="213"/>
      <c r="H115" s="213"/>
      <c r="I115" s="211"/>
    </row>
    <row r="116" spans="1:9" ht="18.75" customHeight="1">
      <c r="A116" s="4"/>
      <c r="B116" s="212"/>
      <c r="C116" s="213"/>
      <c r="D116" s="213"/>
      <c r="E116" s="213"/>
      <c r="F116" s="213"/>
      <c r="G116" s="213"/>
      <c r="H116" s="213"/>
      <c r="I116" s="211"/>
    </row>
    <row r="117" spans="1:9" ht="18.75" customHeight="1">
      <c r="A117" s="4"/>
      <c r="B117" s="212"/>
      <c r="C117" s="213"/>
      <c r="D117" s="213"/>
      <c r="E117" s="213"/>
      <c r="F117" s="213"/>
      <c r="G117" s="213"/>
      <c r="H117" s="213"/>
      <c r="I117" s="211"/>
    </row>
    <row r="118" spans="1:9" ht="18.75" customHeight="1">
      <c r="A118" s="4"/>
      <c r="B118" s="212"/>
      <c r="C118" s="213"/>
      <c r="D118" s="213"/>
      <c r="E118" s="213"/>
      <c r="F118" s="213"/>
      <c r="G118" s="213"/>
      <c r="H118" s="213"/>
      <c r="I118" s="211"/>
    </row>
    <row r="119" spans="1:9" ht="18.75" customHeight="1">
      <c r="A119" s="4"/>
      <c r="B119" s="214"/>
      <c r="C119" s="215"/>
      <c r="D119" s="215"/>
      <c r="E119" s="215"/>
      <c r="F119" s="215"/>
      <c r="G119" s="215"/>
      <c r="H119" s="215"/>
      <c r="I119" s="216"/>
    </row>
    <row r="120" spans="1:9" ht="7.5" customHeight="1">
      <c r="A120" s="4"/>
      <c r="B120" s="25"/>
      <c r="C120" s="25"/>
      <c r="D120" s="25"/>
      <c r="E120" s="25"/>
      <c r="F120" s="25"/>
      <c r="G120" s="25"/>
      <c r="H120" s="25"/>
      <c r="I120" s="25"/>
    </row>
    <row r="121" spans="1:9" ht="18.75" customHeight="1">
      <c r="A121" s="49"/>
      <c r="B121" s="202"/>
      <c r="C121" s="202"/>
      <c r="D121" s="202"/>
      <c r="E121" s="202"/>
      <c r="F121" s="202"/>
      <c r="G121" s="202"/>
      <c r="H121" s="202"/>
      <c r="I121" s="202"/>
    </row>
    <row r="122" spans="1:9" ht="18.75" customHeight="1">
      <c r="A122" s="49"/>
      <c r="B122" s="202"/>
      <c r="C122" s="202"/>
      <c r="D122" s="202"/>
      <c r="E122" s="202"/>
      <c r="F122" s="202"/>
      <c r="G122" s="202"/>
      <c r="H122" s="202"/>
      <c r="I122" s="202"/>
    </row>
    <row r="123" spans="1:9" ht="18.75" customHeight="1">
      <c r="A123" s="4"/>
      <c r="B123" s="50"/>
      <c r="C123" s="50"/>
      <c r="D123" s="50"/>
      <c r="E123" s="50"/>
      <c r="F123" s="50"/>
      <c r="G123" s="50"/>
      <c r="H123" s="50"/>
      <c r="I123" s="51"/>
    </row>
    <row r="124" spans="1:9" ht="18.75" customHeight="1">
      <c r="A124" s="4"/>
      <c r="B124" s="51"/>
      <c r="C124" s="51"/>
      <c r="D124" s="51"/>
      <c r="E124" s="51"/>
      <c r="F124" s="51"/>
      <c r="G124" s="51"/>
      <c r="H124" s="51"/>
      <c r="I124" s="51"/>
    </row>
    <row r="125" spans="1:9" ht="18.75" customHeight="1">
      <c r="A125" s="4"/>
      <c r="B125" s="51"/>
      <c r="C125" s="51"/>
      <c r="D125" s="51"/>
      <c r="E125" s="51"/>
      <c r="F125" s="51"/>
      <c r="G125" s="51"/>
      <c r="H125" s="51"/>
      <c r="I125" s="51"/>
    </row>
    <row r="126" spans="1:9" ht="18.75" customHeight="1">
      <c r="A126" s="4"/>
      <c r="B126" s="51"/>
      <c r="C126" s="51"/>
      <c r="D126" s="51"/>
      <c r="E126" s="51"/>
      <c r="F126" s="51"/>
      <c r="G126" s="51"/>
      <c r="H126" s="51"/>
      <c r="I126" s="51"/>
    </row>
    <row r="127" spans="1:9" ht="18.75" customHeight="1">
      <c r="A127" s="4"/>
      <c r="B127" s="51"/>
      <c r="C127" s="51"/>
      <c r="D127" s="51"/>
      <c r="E127" s="51"/>
      <c r="F127" s="51"/>
      <c r="G127" s="51"/>
      <c r="H127" s="51"/>
      <c r="I127" s="51"/>
    </row>
    <row r="128" spans="1:9" ht="18.75" customHeight="1">
      <c r="A128" s="4"/>
      <c r="B128" s="51"/>
      <c r="C128" s="51"/>
      <c r="D128" s="51"/>
      <c r="E128" s="51"/>
      <c r="F128" s="51"/>
      <c r="G128" s="51"/>
      <c r="H128" s="51"/>
      <c r="I128" s="51"/>
    </row>
    <row r="129" spans="1:9" ht="18.75" customHeight="1">
      <c r="A129" s="4"/>
      <c r="B129" s="51"/>
      <c r="C129" s="51"/>
      <c r="D129" s="51"/>
      <c r="E129" s="51"/>
      <c r="F129" s="51"/>
      <c r="G129" s="51"/>
      <c r="H129" s="51"/>
      <c r="I129" s="51"/>
    </row>
    <row r="130" spans="1:9" ht="18.75" customHeight="1">
      <c r="A130" s="4"/>
      <c r="B130" s="51"/>
      <c r="C130" s="51"/>
      <c r="D130" s="51"/>
      <c r="E130" s="51"/>
      <c r="F130" s="51"/>
      <c r="G130" s="51"/>
      <c r="H130" s="51"/>
      <c r="I130" s="51"/>
    </row>
    <row r="131" spans="1:9" ht="18.75" customHeight="1">
      <c r="A131" s="4"/>
      <c r="B131" s="51"/>
      <c r="C131" s="51"/>
      <c r="D131" s="51"/>
      <c r="E131" s="51"/>
      <c r="F131" s="51"/>
      <c r="G131" s="51"/>
      <c r="H131" s="51"/>
      <c r="I131" s="51"/>
    </row>
    <row r="132" spans="1:9" ht="18.75" customHeight="1">
      <c r="A132" s="4"/>
      <c r="B132" s="51"/>
      <c r="C132" s="51"/>
      <c r="D132" s="51"/>
      <c r="E132" s="51"/>
      <c r="F132" s="51"/>
      <c r="G132" s="51"/>
      <c r="H132" s="51"/>
      <c r="I132" s="51"/>
    </row>
    <row r="133" spans="1:9" ht="14.25">
      <c r="A133" s="4"/>
      <c r="B133" s="51"/>
      <c r="C133" s="51"/>
      <c r="D133" s="51"/>
      <c r="E133" s="51"/>
      <c r="F133" s="51"/>
      <c r="G133" s="51"/>
      <c r="H133" s="51"/>
      <c r="I133" s="51"/>
    </row>
    <row r="134" spans="1:9" ht="7.5" customHeight="1">
      <c r="A134" s="4"/>
      <c r="B134" s="51"/>
      <c r="C134" s="51"/>
      <c r="D134" s="51"/>
      <c r="E134" s="51"/>
      <c r="F134" s="51"/>
      <c r="G134" s="51"/>
      <c r="H134" s="51"/>
      <c r="I134" s="51"/>
    </row>
  </sheetData>
  <mergeCells count="51">
    <mergeCell ref="B121:I122"/>
    <mergeCell ref="H2:I2"/>
    <mergeCell ref="A4:I4"/>
    <mergeCell ref="B19:I19"/>
    <mergeCell ref="B22:I32"/>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 ref="B35:G35"/>
    <mergeCell ref="H35:I35"/>
    <mergeCell ref="B36:E36"/>
    <mergeCell ref="F36:G36"/>
    <mergeCell ref="H36:I36"/>
    <mergeCell ref="B37:E37"/>
    <mergeCell ref="F37:G37"/>
    <mergeCell ref="H37:I37"/>
    <mergeCell ref="B38:E38"/>
    <mergeCell ref="F38:G38"/>
    <mergeCell ref="H38:I38"/>
    <mergeCell ref="B39:E39"/>
    <mergeCell ref="F39:G39"/>
    <mergeCell ref="H39:I39"/>
    <mergeCell ref="B40:E40"/>
    <mergeCell ref="F40:G40"/>
    <mergeCell ref="H40:I40"/>
    <mergeCell ref="B41:E41"/>
    <mergeCell ref="F41:G41"/>
    <mergeCell ref="H41:I41"/>
    <mergeCell ref="B42:E42"/>
    <mergeCell ref="F42:G42"/>
    <mergeCell ref="H42:I42"/>
    <mergeCell ref="B43:E43"/>
    <mergeCell ref="F43:G43"/>
    <mergeCell ref="H43:I43"/>
    <mergeCell ref="B44:E44"/>
    <mergeCell ref="F44:G44"/>
    <mergeCell ref="H44:I44"/>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A3" sqref="A3:I3"/>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63</v>
      </c>
      <c r="I1" s="18" t="s">
        <v>90</v>
      </c>
    </row>
    <row r="2" spans="1:9" ht="18.75" customHeight="1">
      <c r="H2" s="18" t="s">
        <v>93</v>
      </c>
      <c r="I2" s="17" t="str">
        <f>'様式１　プログラムを構成する授業科目'!C2</f>
        <v>大阪教育大学</v>
      </c>
    </row>
    <row r="3" spans="1:9" ht="18.75" customHeight="1">
      <c r="A3" s="130" t="s">
        <v>28</v>
      </c>
      <c r="B3" s="130"/>
      <c r="C3" s="130"/>
      <c r="D3" s="130"/>
      <c r="E3" s="130"/>
      <c r="F3" s="130"/>
      <c r="G3" s="130"/>
      <c r="H3" s="130"/>
      <c r="I3" s="130"/>
    </row>
    <row r="4" spans="1:9" ht="18.75" customHeight="1">
      <c r="A4" s="5"/>
      <c r="B4" s="5"/>
      <c r="C4" s="5"/>
      <c r="D4" s="5"/>
      <c r="E4" s="5"/>
      <c r="F4" s="5"/>
      <c r="G4" s="5"/>
      <c r="H4" s="5"/>
      <c r="I4" s="5"/>
    </row>
    <row r="5" spans="1:9" ht="18.75" customHeight="1">
      <c r="A5" s="1" t="s">
        <v>0</v>
      </c>
      <c r="B5" s="10" t="s">
        <v>85</v>
      </c>
      <c r="C5" s="5"/>
      <c r="D5" s="5"/>
      <c r="E5" s="5"/>
      <c r="F5" s="5"/>
      <c r="G5" s="5"/>
      <c r="H5" s="5"/>
      <c r="I5" s="5"/>
    </row>
    <row r="6" spans="1:9" ht="26.25" customHeight="1">
      <c r="A6" s="5"/>
      <c r="B6" s="217" t="s">
        <v>202</v>
      </c>
      <c r="C6" s="220"/>
      <c r="D6" s="220"/>
      <c r="E6" s="220"/>
      <c r="F6" s="220"/>
      <c r="G6" s="220"/>
      <c r="H6" s="221"/>
      <c r="I6" s="3"/>
    </row>
    <row r="7" spans="1:9" ht="9" customHeight="1">
      <c r="A7" s="5"/>
      <c r="B7" s="10"/>
      <c r="C7" s="10"/>
      <c r="D7" s="10"/>
      <c r="E7" s="10"/>
      <c r="F7" s="10"/>
      <c r="G7" s="10"/>
      <c r="H7" s="10"/>
      <c r="I7" s="3"/>
    </row>
    <row r="8" spans="1:9" ht="18.75" customHeight="1">
      <c r="A8" s="5"/>
      <c r="B8" s="3"/>
      <c r="C8" s="3"/>
      <c r="D8" s="18" t="s">
        <v>41</v>
      </c>
      <c r="E8" s="19" t="s">
        <v>172</v>
      </c>
      <c r="F8" s="3"/>
      <c r="G8" s="18" t="s">
        <v>10</v>
      </c>
      <c r="H8" s="19" t="s">
        <v>209</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95" t="s">
        <v>24</v>
      </c>
      <c r="C11" s="96"/>
      <c r="D11" s="97"/>
      <c r="E11" s="96" t="s">
        <v>26</v>
      </c>
      <c r="F11" s="96"/>
      <c r="G11" s="96"/>
      <c r="H11" s="96"/>
      <c r="I11" s="97"/>
    </row>
    <row r="12" spans="1:9" ht="26.25" customHeight="1">
      <c r="B12" s="26" t="s">
        <v>14</v>
      </c>
      <c r="C12" s="33"/>
      <c r="D12" s="27"/>
      <c r="E12" s="34"/>
      <c r="F12" s="34"/>
      <c r="G12" s="34"/>
      <c r="H12" s="34"/>
      <c r="I12" s="27"/>
    </row>
    <row r="13" spans="1:9" ht="210.75" customHeight="1">
      <c r="B13" s="28"/>
      <c r="C13" s="235" t="s">
        <v>15</v>
      </c>
      <c r="D13" s="236"/>
      <c r="E13" s="248" t="s">
        <v>214</v>
      </c>
      <c r="F13" s="237"/>
      <c r="G13" s="237"/>
      <c r="H13" s="237"/>
      <c r="I13" s="238"/>
    </row>
    <row r="14" spans="1:9" ht="210.75" customHeight="1">
      <c r="B14" s="28"/>
      <c r="C14" s="250" t="s">
        <v>16</v>
      </c>
      <c r="D14" s="251"/>
      <c r="E14" s="248" t="s">
        <v>203</v>
      </c>
      <c r="F14" s="237"/>
      <c r="G14" s="237"/>
      <c r="H14" s="237"/>
      <c r="I14" s="238"/>
    </row>
    <row r="15" spans="1:9" ht="210.75" customHeight="1">
      <c r="B15" s="28"/>
      <c r="C15" s="235" t="s">
        <v>17</v>
      </c>
      <c r="D15" s="236"/>
      <c r="E15" s="248" t="s">
        <v>204</v>
      </c>
      <c r="F15" s="237"/>
      <c r="G15" s="237"/>
      <c r="H15" s="237"/>
      <c r="I15" s="238"/>
    </row>
    <row r="16" spans="1:9" ht="210.75" customHeight="1">
      <c r="B16" s="28"/>
      <c r="C16" s="235" t="s">
        <v>18</v>
      </c>
      <c r="D16" s="236"/>
      <c r="E16" s="248" t="s">
        <v>205</v>
      </c>
      <c r="F16" s="237"/>
      <c r="G16" s="237"/>
      <c r="H16" s="237"/>
      <c r="I16" s="238"/>
    </row>
    <row r="17" spans="2:9" ht="210.75" customHeight="1">
      <c r="B17" s="29"/>
      <c r="C17" s="239" t="s">
        <v>19</v>
      </c>
      <c r="D17" s="240"/>
      <c r="E17" s="249" t="s">
        <v>215</v>
      </c>
      <c r="F17" s="241"/>
      <c r="G17" s="241"/>
      <c r="H17" s="241"/>
      <c r="I17" s="242"/>
    </row>
    <row r="18" spans="2:9" ht="24" customHeight="1">
      <c r="B18" s="26" t="s">
        <v>20</v>
      </c>
      <c r="C18" s="30"/>
      <c r="D18" s="31"/>
      <c r="E18" s="32"/>
      <c r="F18" s="32"/>
      <c r="G18" s="32"/>
      <c r="H18" s="32"/>
      <c r="I18" s="35"/>
    </row>
    <row r="19" spans="2:9" ht="218.25" customHeight="1">
      <c r="B19" s="28"/>
      <c r="C19" s="235" t="s">
        <v>21</v>
      </c>
      <c r="D19" s="236"/>
      <c r="E19" s="237" t="s">
        <v>206</v>
      </c>
      <c r="F19" s="237"/>
      <c r="G19" s="237"/>
      <c r="H19" s="237"/>
      <c r="I19" s="238"/>
    </row>
    <row r="20" spans="2:9" ht="218.25" customHeight="1">
      <c r="B20" s="29"/>
      <c r="C20" s="239" t="s">
        <v>22</v>
      </c>
      <c r="D20" s="240"/>
      <c r="E20" s="241" t="s">
        <v>207</v>
      </c>
      <c r="F20" s="241"/>
      <c r="G20" s="241"/>
      <c r="H20" s="241"/>
      <c r="I20" s="242"/>
    </row>
    <row r="21" spans="2:9" ht="218.25" customHeight="1">
      <c r="B21" s="243" t="s">
        <v>23</v>
      </c>
      <c r="C21" s="244"/>
      <c r="D21" s="245"/>
      <c r="E21" s="246" t="s">
        <v>210</v>
      </c>
      <c r="F21" s="246"/>
      <c r="G21" s="246"/>
      <c r="H21" s="246"/>
      <c r="I21" s="247"/>
    </row>
    <row r="22" spans="2:9" ht="218.25" customHeight="1">
      <c r="B22" s="230" t="s">
        <v>121</v>
      </c>
      <c r="C22" s="231"/>
      <c r="D22" s="232"/>
      <c r="E22" s="233" t="s">
        <v>211</v>
      </c>
      <c r="F22" s="233"/>
      <c r="G22" s="233"/>
      <c r="H22" s="233"/>
      <c r="I22" s="234"/>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木村　和佳奈</cp:lastModifiedBy>
  <cp:lastPrinted>2025-04-23T08:24:09Z</cp:lastPrinted>
  <dcterms:created xsi:type="dcterms:W3CDTF">2011-06-14T05:32:50Z</dcterms:created>
  <dcterms:modified xsi:type="dcterms:W3CDTF">2025-05-02T00:50:47Z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